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935" windowHeight="762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Hoja1!$A$1:$DC$1978</definedName>
  </definedNames>
  <calcPr calcId="125725"/>
</workbook>
</file>

<file path=xl/calcChain.xml><?xml version="1.0" encoding="utf-8"?>
<calcChain xmlns="http://schemas.openxmlformats.org/spreadsheetml/2006/main">
  <c r="U2" i="1"/>
  <c r="CT2"/>
  <c r="CT3"/>
  <c r="U4"/>
  <c r="CT4"/>
  <c r="U5"/>
  <c r="CT5"/>
  <c r="U6"/>
  <c r="CT6"/>
  <c r="CT7"/>
  <c r="CT8"/>
  <c r="U9"/>
  <c r="U10"/>
  <c r="CT10"/>
  <c r="U15"/>
  <c r="DB15"/>
  <c r="DC15"/>
  <c r="U16"/>
  <c r="CT16"/>
  <c r="DB16"/>
  <c r="DC16"/>
  <c r="U17"/>
  <c r="DB17"/>
  <c r="DC17"/>
  <c r="U18"/>
  <c r="U20"/>
  <c r="U22"/>
  <c r="U26"/>
  <c r="CT28"/>
  <c r="U31"/>
  <c r="U38"/>
  <c r="CT38"/>
  <c r="DB40"/>
  <c r="DB41"/>
  <c r="CT45"/>
  <c r="U50"/>
  <c r="DB50"/>
  <c r="DC50"/>
  <c r="U54"/>
  <c r="U59"/>
  <c r="DC59"/>
  <c r="U62"/>
  <c r="U67"/>
  <c r="DB67"/>
  <c r="DC67"/>
  <c r="U69"/>
  <c r="U70"/>
  <c r="CT70"/>
  <c r="DB70"/>
  <c r="DC70"/>
  <c r="U71"/>
  <c r="DB71"/>
  <c r="DC71"/>
  <c r="U72"/>
  <c r="DA72"/>
  <c r="U73"/>
  <c r="CT73"/>
  <c r="U74"/>
  <c r="U75"/>
  <c r="CT75"/>
  <c r="U78"/>
  <c r="CT78"/>
  <c r="U79"/>
  <c r="U80"/>
  <c r="DB80"/>
  <c r="DC80"/>
  <c r="U81"/>
  <c r="DB81"/>
  <c r="DC81"/>
  <c r="U83"/>
  <c r="U84"/>
  <c r="CP84"/>
  <c r="CT84"/>
  <c r="CT86"/>
  <c r="DB86"/>
  <c r="DC86"/>
  <c r="CT87"/>
  <c r="DB87"/>
  <c r="DC87"/>
  <c r="CP89"/>
  <c r="DB89"/>
  <c r="CT90"/>
  <c r="DB90"/>
  <c r="DC90"/>
  <c r="DB92"/>
  <c r="DC92"/>
  <c r="U93"/>
  <c r="CT93"/>
  <c r="DB94"/>
  <c r="CT96"/>
  <c r="DB96"/>
  <c r="DC96"/>
  <c r="CL100"/>
  <c r="CP103"/>
  <c r="CL104"/>
  <c r="CT106"/>
  <c r="DB106"/>
  <c r="DC106"/>
  <c r="CP110"/>
  <c r="CL114"/>
  <c r="CL116"/>
  <c r="CL118"/>
  <c r="CL119"/>
  <c r="CL121"/>
  <c r="DB121"/>
  <c r="U126"/>
  <c r="CL127"/>
  <c r="CP127"/>
  <c r="CT127"/>
  <c r="CT128"/>
  <c r="CT129"/>
  <c r="DB131"/>
  <c r="U132"/>
  <c r="CT132"/>
  <c r="CT133"/>
  <c r="CT136"/>
  <c r="CT137"/>
  <c r="DB137"/>
  <c r="CT138"/>
  <c r="U139"/>
  <c r="CT139"/>
  <c r="U140"/>
  <c r="U143"/>
  <c r="CT143"/>
  <c r="U144"/>
  <c r="CL144"/>
  <c r="CT144"/>
  <c r="CT145"/>
  <c r="U146"/>
  <c r="CP148"/>
  <c r="DB148"/>
  <c r="DC148"/>
  <c r="U149"/>
  <c r="CL149"/>
  <c r="CT150"/>
  <c r="U151"/>
  <c r="DB151"/>
  <c r="DC151"/>
  <c r="DB152"/>
  <c r="DC152"/>
  <c r="DB157"/>
  <c r="DC157"/>
  <c r="CT158"/>
  <c r="DB158"/>
  <c r="DC158"/>
  <c r="CT160"/>
  <c r="U161"/>
  <c r="CT161"/>
  <c r="CP162"/>
  <c r="CT162"/>
  <c r="U163"/>
  <c r="CP163"/>
  <c r="CT163"/>
  <c r="U164"/>
  <c r="CL165"/>
  <c r="CP165"/>
  <c r="CT167"/>
  <c r="U168"/>
  <c r="CT169"/>
  <c r="DB169"/>
  <c r="DC169"/>
  <c r="U171"/>
  <c r="CL171"/>
  <c r="CT171"/>
  <c r="U172"/>
  <c r="DB173"/>
  <c r="DC173"/>
  <c r="U174"/>
  <c r="CT174"/>
  <c r="CT175"/>
  <c r="U176"/>
  <c r="CT176"/>
  <c r="DB181"/>
  <c r="DC181"/>
  <c r="CP182"/>
  <c r="CT182"/>
  <c r="U184"/>
  <c r="CT184"/>
  <c r="DB184"/>
  <c r="DC184"/>
  <c r="U185"/>
  <c r="CT185"/>
  <c r="CT186"/>
  <c r="DB186"/>
  <c r="DC186"/>
  <c r="DB187"/>
  <c r="DC187"/>
  <c r="CT188"/>
  <c r="CT189"/>
  <c r="CT191"/>
  <c r="U192"/>
  <c r="U193"/>
  <c r="CT193"/>
  <c r="CT196"/>
  <c r="CT198"/>
  <c r="U199"/>
  <c r="CT199"/>
  <c r="CP200"/>
  <c r="CT200"/>
  <c r="DB200"/>
  <c r="DC200"/>
  <c r="U201"/>
  <c r="CT202"/>
  <c r="CP208"/>
  <c r="DB208"/>
  <c r="DC208"/>
  <c r="CT209"/>
  <c r="U210"/>
  <c r="CP211"/>
  <c r="DB211"/>
  <c r="DC211"/>
  <c r="CP213"/>
  <c r="DB213"/>
  <c r="DC213"/>
  <c r="CT215"/>
  <c r="U216"/>
  <c r="CT216"/>
  <c r="U217"/>
  <c r="CT217"/>
  <c r="U218"/>
  <c r="CT219"/>
  <c r="CT220"/>
  <c r="U221"/>
  <c r="CT221"/>
  <c r="CT222"/>
  <c r="DB224"/>
  <c r="DC224"/>
  <c r="CT225"/>
  <c r="DB225"/>
  <c r="DC225"/>
  <c r="U226"/>
  <c r="CT226"/>
  <c r="U227"/>
  <c r="CT227"/>
  <c r="CT229"/>
  <c r="DB229"/>
  <c r="DC229"/>
  <c r="CP230"/>
  <c r="DB230"/>
  <c r="DC230"/>
  <c r="CP233"/>
  <c r="U235"/>
  <c r="CT235"/>
  <c r="CP237"/>
  <c r="U240"/>
  <c r="CT240"/>
  <c r="CT242"/>
  <c r="U243"/>
  <c r="CT243"/>
  <c r="U244"/>
  <c r="U245"/>
  <c r="CT245"/>
  <c r="U246"/>
  <c r="CT246"/>
  <c r="U247"/>
  <c r="CT247"/>
  <c r="U248"/>
  <c r="CT249"/>
  <c r="DB249"/>
  <c r="DC249"/>
  <c r="U250"/>
  <c r="CT250"/>
  <c r="CT252"/>
  <c r="U256"/>
  <c r="U258"/>
  <c r="CP259"/>
  <c r="DB259"/>
  <c r="DC259"/>
  <c r="CP260"/>
  <c r="DB260"/>
  <c r="DC260"/>
  <c r="CT261"/>
  <c r="DB261"/>
  <c r="DC261"/>
  <c r="U262"/>
  <c r="CT262"/>
  <c r="U263"/>
  <c r="CT263"/>
  <c r="DB263"/>
  <c r="DC263"/>
  <c r="CT264"/>
  <c r="CT265"/>
  <c r="CT266"/>
  <c r="CT267"/>
  <c r="CT269"/>
  <c r="DB269"/>
  <c r="DC269"/>
  <c r="U270"/>
  <c r="U271"/>
  <c r="CT272"/>
  <c r="U273"/>
  <c r="CT273"/>
  <c r="DB275"/>
  <c r="DC275"/>
  <c r="CT276"/>
  <c r="DB276"/>
  <c r="DC276"/>
  <c r="CT277"/>
  <c r="CT278"/>
  <c r="DB278"/>
  <c r="DC278"/>
  <c r="U279"/>
  <c r="CT279"/>
  <c r="U280"/>
  <c r="CT280"/>
  <c r="CT281"/>
  <c r="CT282"/>
  <c r="CL288"/>
  <c r="CL289"/>
  <c r="CP289"/>
  <c r="CL290"/>
  <c r="CP290"/>
  <c r="CL293"/>
  <c r="CP293"/>
  <c r="DB297"/>
  <c r="DC297"/>
  <c r="CP298"/>
  <c r="CL303"/>
  <c r="CP303"/>
  <c r="DC304"/>
  <c r="CL309"/>
  <c r="DB309"/>
  <c r="CP312"/>
  <c r="CL324"/>
  <c r="DC324"/>
  <c r="CL325"/>
  <c r="CP325"/>
  <c r="CL328"/>
  <c r="CL329"/>
  <c r="CP330"/>
  <c r="U341"/>
  <c r="CT342"/>
  <c r="CL344"/>
  <c r="CT362"/>
  <c r="DB363"/>
  <c r="CL366"/>
  <c r="CP366"/>
  <c r="CL367"/>
  <c r="CL371"/>
  <c r="CP371"/>
  <c r="CL372"/>
  <c r="CL373"/>
  <c r="CL374"/>
  <c r="CL375"/>
  <c r="CL379"/>
  <c r="U380"/>
  <c r="CT380"/>
  <c r="CT382"/>
  <c r="U384"/>
  <c r="CL385"/>
  <c r="CL386"/>
  <c r="CL388"/>
  <c r="U390"/>
  <c r="CL398"/>
  <c r="CL399"/>
  <c r="CP399"/>
  <c r="DB399"/>
  <c r="DC399"/>
  <c r="CL401"/>
  <c r="CL404"/>
  <c r="DB404"/>
  <c r="DC404"/>
  <c r="DB405"/>
  <c r="CL406"/>
  <c r="DC406"/>
  <c r="CL410"/>
  <c r="CP410"/>
  <c r="CL412"/>
  <c r="CP412"/>
  <c r="DB412"/>
  <c r="DC412"/>
  <c r="CL413"/>
  <c r="CP413"/>
  <c r="CT414"/>
  <c r="DB414"/>
  <c r="U415"/>
  <c r="CL415"/>
  <c r="CL416"/>
  <c r="CT422"/>
  <c r="DB422"/>
  <c r="DB423"/>
  <c r="DC423"/>
  <c r="CT426"/>
  <c r="DB426"/>
  <c r="CP428"/>
  <c r="CL430"/>
  <c r="CP430"/>
  <c r="DB431"/>
  <c r="CL432"/>
  <c r="CP432"/>
  <c r="DB432"/>
  <c r="CL433"/>
  <c r="CL434"/>
  <c r="CL436"/>
  <c r="CP436"/>
  <c r="DB436"/>
  <c r="DB438"/>
  <c r="DC438"/>
  <c r="CL439"/>
  <c r="DB439"/>
  <c r="DC439"/>
  <c r="CL441"/>
  <c r="CL442"/>
  <c r="DB442"/>
  <c r="CL443"/>
  <c r="DB443"/>
  <c r="DC443"/>
  <c r="DB444"/>
  <c r="U446"/>
  <c r="CP446"/>
  <c r="CT446"/>
  <c r="CL448"/>
  <c r="CL449"/>
  <c r="DC449"/>
  <c r="DB450"/>
  <c r="CL452"/>
  <c r="CL456"/>
  <c r="CL458"/>
  <c r="CP458"/>
  <c r="CL462"/>
  <c r="CP462"/>
  <c r="CL467"/>
  <c r="CP467"/>
  <c r="CL471"/>
  <c r="CP471"/>
  <c r="CL472"/>
  <c r="CP472"/>
  <c r="CL473"/>
  <c r="CL476"/>
  <c r="CP476"/>
  <c r="CL479"/>
  <c r="DB479"/>
  <c r="DC479"/>
  <c r="CP482"/>
  <c r="CL483"/>
  <c r="DB483"/>
  <c r="CL484"/>
  <c r="U485"/>
  <c r="CL485"/>
  <c r="CL486"/>
  <c r="U488"/>
  <c r="DB489"/>
  <c r="CL492"/>
  <c r="CP492"/>
  <c r="DB492"/>
  <c r="DC492"/>
  <c r="CL501"/>
  <c r="CP501"/>
  <c r="CL502"/>
  <c r="CP502"/>
  <c r="DB502"/>
  <c r="CT505"/>
  <c r="U506"/>
  <c r="DB506"/>
  <c r="DC506"/>
  <c r="DB509"/>
  <c r="DC509"/>
  <c r="DB510"/>
  <c r="DC510"/>
  <c r="DB511"/>
  <c r="DC511"/>
  <c r="DB512"/>
  <c r="DC512"/>
  <c r="DC513"/>
  <c r="DB514"/>
  <c r="CP517"/>
  <c r="CT517"/>
  <c r="CP518"/>
  <c r="CT518"/>
  <c r="U519"/>
  <c r="DB519"/>
  <c r="U520"/>
  <c r="CT520"/>
  <c r="U521"/>
  <c r="DB522"/>
  <c r="DC522"/>
  <c r="DB523"/>
  <c r="DC523"/>
  <c r="CT524"/>
  <c r="DB525"/>
  <c r="DC525"/>
  <c r="U529"/>
  <c r="DB529"/>
  <c r="DC529"/>
  <c r="CT530"/>
  <c r="U532"/>
  <c r="CT532"/>
  <c r="U533"/>
  <c r="CT533"/>
  <c r="U534"/>
  <c r="CT534"/>
  <c r="U536"/>
  <c r="CT536"/>
  <c r="CT537"/>
  <c r="U538"/>
  <c r="CT539"/>
  <c r="DB539"/>
  <c r="DC539"/>
  <c r="CT540"/>
  <c r="CP541"/>
  <c r="CT542"/>
  <c r="U543"/>
  <c r="CT543"/>
  <c r="U544"/>
  <c r="CT544"/>
  <c r="CP545"/>
  <c r="U546"/>
  <c r="CP546"/>
  <c r="U547"/>
  <c r="CT550"/>
  <c r="CP552"/>
  <c r="CT552"/>
  <c r="CP553"/>
  <c r="CT553"/>
  <c r="CP554"/>
  <c r="CT554"/>
  <c r="DB556"/>
  <c r="DB558"/>
  <c r="DC558"/>
  <c r="CT559"/>
  <c r="DB560"/>
  <c r="DC560"/>
  <c r="CT563"/>
  <c r="DB565"/>
  <c r="DC565"/>
  <c r="CT570"/>
  <c r="DB571"/>
  <c r="CT574"/>
  <c r="CT577"/>
  <c r="DB577"/>
  <c r="CT579"/>
  <c r="CT580"/>
  <c r="U581"/>
  <c r="CT581"/>
  <c r="CT582"/>
  <c r="DB582"/>
  <c r="DC582"/>
  <c r="U583"/>
  <c r="DB583"/>
  <c r="DC583"/>
  <c r="DB584"/>
  <c r="DC584"/>
  <c r="CT590"/>
  <c r="DB590"/>
  <c r="DC590"/>
  <c r="CT591"/>
  <c r="DB591"/>
  <c r="CT592"/>
  <c r="DB592"/>
  <c r="DC592"/>
  <c r="CT597"/>
  <c r="DB597"/>
  <c r="DC597"/>
  <c r="CT600"/>
  <c r="CT601"/>
  <c r="DB605"/>
  <c r="U607"/>
  <c r="CT607"/>
  <c r="U609"/>
  <c r="CT609"/>
  <c r="CT610"/>
  <c r="CT611"/>
  <c r="U614"/>
  <c r="CT614"/>
  <c r="U615"/>
  <c r="U617"/>
  <c r="CT617"/>
  <c r="U619"/>
  <c r="CT619"/>
  <c r="CT620"/>
  <c r="DB620"/>
  <c r="DC620"/>
  <c r="U623"/>
  <c r="CT623"/>
  <c r="U624"/>
  <c r="DB624"/>
  <c r="DC624"/>
  <c r="U625"/>
  <c r="CT625"/>
  <c r="U626"/>
  <c r="DB626"/>
  <c r="DC626"/>
  <c r="U628"/>
  <c r="DB628"/>
  <c r="DC628"/>
  <c r="U629"/>
  <c r="DB629"/>
  <c r="DC629"/>
  <c r="CT631"/>
  <c r="CT632"/>
  <c r="DB632"/>
  <c r="DC632"/>
  <c r="DB633"/>
  <c r="DC633"/>
  <c r="CT634"/>
  <c r="U635"/>
  <c r="CT636"/>
  <c r="DB636"/>
  <c r="DC636"/>
  <c r="U637"/>
  <c r="U638"/>
  <c r="CT639"/>
  <c r="U641"/>
  <c r="CT641"/>
  <c r="CT643"/>
  <c r="U644"/>
  <c r="DB644"/>
  <c r="DC644"/>
  <c r="U645"/>
  <c r="CT645"/>
  <c r="DB645"/>
  <c r="DC645"/>
  <c r="CT646"/>
  <c r="CT647"/>
  <c r="DB647"/>
  <c r="DC647"/>
  <c r="U648"/>
  <c r="DB648"/>
  <c r="DC648"/>
  <c r="DB649"/>
  <c r="DC649"/>
  <c r="CT650"/>
  <c r="U651"/>
  <c r="CP651"/>
  <c r="CT651"/>
  <c r="CT652"/>
  <c r="U653"/>
  <c r="DB653"/>
  <c r="DC653"/>
  <c r="U655"/>
  <c r="CT655"/>
  <c r="DB656"/>
  <c r="DC656"/>
  <c r="U657"/>
  <c r="CT657"/>
  <c r="CT658"/>
  <c r="DB658"/>
  <c r="DC658"/>
  <c r="CT659"/>
  <c r="CP660"/>
  <c r="DB660"/>
  <c r="DC660"/>
  <c r="CP661"/>
  <c r="CT661"/>
  <c r="DB661"/>
  <c r="DC661"/>
  <c r="U662"/>
  <c r="DB662"/>
  <c r="CP663"/>
  <c r="CT663"/>
  <c r="DB663"/>
  <c r="DB664"/>
  <c r="U666"/>
  <c r="DB666"/>
  <c r="DC666"/>
  <c r="U667"/>
  <c r="DB667"/>
  <c r="DC667"/>
  <c r="CT670"/>
  <c r="U672"/>
  <c r="CT672"/>
  <c r="DB672"/>
  <c r="DC672"/>
  <c r="CT673"/>
  <c r="DB673"/>
  <c r="DB674"/>
  <c r="U679"/>
  <c r="DB679"/>
  <c r="DC679"/>
  <c r="U681"/>
  <c r="CT681"/>
  <c r="CT682"/>
  <c r="U683"/>
  <c r="DB683"/>
  <c r="DC683"/>
  <c r="CT685"/>
  <c r="CT686"/>
  <c r="DB686"/>
  <c r="DC686"/>
  <c r="CT687"/>
  <c r="CT688"/>
  <c r="DB688"/>
  <c r="DC688"/>
  <c r="CT689"/>
  <c r="U690"/>
  <c r="CT690"/>
  <c r="U691"/>
  <c r="CT691"/>
  <c r="CT692"/>
  <c r="U693"/>
  <c r="CT693"/>
  <c r="CT694"/>
  <c r="U695"/>
  <c r="CT695"/>
  <c r="U696"/>
  <c r="U697"/>
  <c r="DB699"/>
  <c r="DC699"/>
  <c r="DB700"/>
  <c r="DC700"/>
  <c r="U701"/>
  <c r="CT701"/>
  <c r="U704"/>
  <c r="CT704"/>
  <c r="U705"/>
  <c r="DB705"/>
  <c r="DC705"/>
  <c r="CT706"/>
  <c r="CT707"/>
  <c r="U708"/>
  <c r="CT709"/>
  <c r="U710"/>
  <c r="U711"/>
  <c r="CT711"/>
  <c r="CT713"/>
  <c r="CL714"/>
  <c r="CT714"/>
  <c r="DB714"/>
  <c r="U715"/>
  <c r="CT716"/>
  <c r="U717"/>
  <c r="CP717"/>
  <c r="CT717"/>
  <c r="DB717"/>
  <c r="CT719"/>
  <c r="DB720"/>
  <c r="DC720"/>
  <c r="U722"/>
  <c r="DB722"/>
  <c r="DC722"/>
  <c r="U723"/>
  <c r="CT723"/>
  <c r="DB724"/>
  <c r="DC724"/>
  <c r="CT725"/>
  <c r="U726"/>
  <c r="CT726"/>
  <c r="U727"/>
  <c r="U731"/>
  <c r="CT732"/>
  <c r="CT734"/>
  <c r="CT737"/>
  <c r="DB737"/>
  <c r="DC737"/>
  <c r="U738"/>
  <c r="CT738"/>
  <c r="U739"/>
  <c r="CP739"/>
  <c r="CT739"/>
  <c r="CT741"/>
  <c r="U743"/>
  <c r="CT743"/>
  <c r="U744"/>
  <c r="CT744"/>
  <c r="U745"/>
  <c r="CT745"/>
  <c r="U746"/>
  <c r="U748"/>
  <c r="CT748"/>
  <c r="CT749"/>
  <c r="DB750"/>
  <c r="DC750"/>
  <c r="CT751"/>
  <c r="CT752"/>
  <c r="CT753"/>
  <c r="U754"/>
  <c r="CT754"/>
  <c r="CT755"/>
  <c r="DB757"/>
  <c r="DC757"/>
  <c r="CT758"/>
  <c r="U759"/>
  <c r="CT759"/>
  <c r="DB760"/>
  <c r="DC760"/>
  <c r="CT761"/>
  <c r="DB763"/>
  <c r="DC763"/>
  <c r="CT764"/>
  <c r="DB764"/>
  <c r="DC764"/>
  <c r="U765"/>
  <c r="CP765"/>
  <c r="CT765"/>
  <c r="CT766"/>
  <c r="CT767"/>
  <c r="CT768"/>
  <c r="U769"/>
  <c r="CT769"/>
  <c r="CP771"/>
  <c r="CT771"/>
  <c r="DB772"/>
  <c r="DC772"/>
  <c r="CT773"/>
  <c r="CP775"/>
  <c r="DB775"/>
  <c r="DC775"/>
  <c r="U776"/>
  <c r="CT777"/>
  <c r="DB777"/>
  <c r="DC777"/>
  <c r="CT778"/>
  <c r="U779"/>
  <c r="CP779"/>
  <c r="CT779"/>
  <c r="U782"/>
  <c r="CT782"/>
  <c r="CT783"/>
  <c r="DB785"/>
  <c r="DC785"/>
  <c r="CT786"/>
  <c r="CV788"/>
  <c r="CP789"/>
  <c r="CT789"/>
  <c r="DB789"/>
  <c r="U790"/>
  <c r="CV790"/>
  <c r="CP791"/>
  <c r="CT791"/>
  <c r="DB791"/>
  <c r="CL792"/>
  <c r="U793"/>
  <c r="CL794"/>
  <c r="CL795"/>
  <c r="U796"/>
  <c r="U797"/>
  <c r="CP797"/>
  <c r="CT799"/>
  <c r="U802"/>
  <c r="DB802"/>
  <c r="DC802"/>
  <c r="U804"/>
  <c r="CL804"/>
  <c r="CT806"/>
  <c r="U808"/>
  <c r="CP808"/>
  <c r="U809"/>
  <c r="CP809"/>
  <c r="CL811"/>
  <c r="U813"/>
  <c r="CT813"/>
  <c r="CT815"/>
  <c r="U817"/>
  <c r="CL820"/>
  <c r="U821"/>
  <c r="CV821"/>
  <c r="U822"/>
  <c r="CT822"/>
  <c r="U823"/>
  <c r="CT823"/>
  <c r="U828"/>
  <c r="CL828"/>
  <c r="CL829"/>
  <c r="CL833"/>
  <c r="CP833"/>
  <c r="U835"/>
  <c r="CL835"/>
  <c r="CL838"/>
  <c r="CP838"/>
  <c r="CL842"/>
  <c r="U843"/>
  <c r="BF843"/>
  <c r="CL843"/>
  <c r="CP843"/>
  <c r="CL844"/>
  <c r="CL845"/>
  <c r="CP845"/>
  <c r="CL848"/>
  <c r="CP848"/>
  <c r="U849"/>
  <c r="CT849"/>
  <c r="CL850"/>
  <c r="CP850"/>
  <c r="U851"/>
  <c r="CT851"/>
  <c r="CT852"/>
  <c r="U857"/>
  <c r="CV857"/>
  <c r="DA857"/>
  <c r="U858"/>
  <c r="CL858"/>
  <c r="CL859"/>
  <c r="U860"/>
  <c r="CL860"/>
  <c r="CV860"/>
  <c r="CL861"/>
  <c r="U862"/>
  <c r="CV862"/>
  <c r="U863"/>
  <c r="U865"/>
  <c r="CL880"/>
  <c r="CL903"/>
  <c r="CP908"/>
  <c r="CL916"/>
  <c r="CL926"/>
  <c r="CL961"/>
  <c r="CL968"/>
  <c r="U995"/>
  <c r="CP1052"/>
  <c r="CT1052"/>
  <c r="U1054"/>
  <c r="CP1054"/>
  <c r="CT1054"/>
  <c r="U1069"/>
  <c r="CL1069"/>
  <c r="CT1069"/>
  <c r="U1075"/>
  <c r="CL1075"/>
  <c r="CT1075"/>
  <c r="DB1075"/>
  <c r="CP1083"/>
  <c r="DB1084"/>
  <c r="DC1084"/>
  <c r="DB1094"/>
  <c r="DC1094"/>
  <c r="U1115"/>
  <c r="DB1115"/>
  <c r="U1122"/>
  <c r="CT1122"/>
  <c r="U1126"/>
  <c r="CT1126"/>
  <c r="U1128"/>
  <c r="CT1128"/>
  <c r="CT1130"/>
  <c r="DB1130"/>
  <c r="DC1130"/>
  <c r="U1131"/>
  <c r="CT1131"/>
  <c r="U1133"/>
  <c r="CT1133"/>
  <c r="CP1138"/>
  <c r="DB1138"/>
  <c r="DC1138"/>
  <c r="CL1149"/>
  <c r="CL1151"/>
  <c r="CP1151"/>
  <c r="CL1154"/>
  <c r="CL1155"/>
  <c r="CP1155"/>
  <c r="CL1156"/>
  <c r="CP1156"/>
  <c r="CL1158"/>
  <c r="U1162"/>
  <c r="CL1163"/>
  <c r="CL1169"/>
  <c r="CP1169"/>
  <c r="CP1182"/>
  <c r="U1195"/>
  <c r="CL1195"/>
  <c r="CL1198"/>
  <c r="CP1198"/>
  <c r="CL1199"/>
  <c r="CP1199"/>
  <c r="CL1201"/>
  <c r="CP1201"/>
  <c r="CT1201"/>
  <c r="CL1203"/>
  <c r="CP1203"/>
  <c r="CP1204"/>
  <c r="U1206"/>
  <c r="CT1206"/>
  <c r="DA1207"/>
  <c r="U1208"/>
  <c r="DA1208"/>
  <c r="U1209"/>
  <c r="CP1210"/>
  <c r="CT1210"/>
  <c r="U1211"/>
  <c r="CT1211"/>
  <c r="U1212"/>
  <c r="CT1212"/>
  <c r="CT1213"/>
  <c r="U1214"/>
  <c r="U1215"/>
  <c r="CL1215"/>
  <c r="CT1216"/>
  <c r="U1217"/>
  <c r="U1218"/>
  <c r="U1219"/>
  <c r="CT1219"/>
  <c r="U1220"/>
  <c r="CT1220"/>
  <c r="U1221"/>
  <c r="CT1221"/>
  <c r="CT1223"/>
  <c r="U1224"/>
  <c r="CT1225"/>
  <c r="U1226"/>
  <c r="U1227"/>
  <c r="CT1227"/>
  <c r="U1228"/>
  <c r="CV1228"/>
  <c r="DA1229"/>
  <c r="U1230"/>
  <c r="CL1231"/>
  <c r="U1232"/>
  <c r="DA1232"/>
  <c r="CT1233"/>
  <c r="DB1234"/>
  <c r="U1236"/>
  <c r="CT1236"/>
  <c r="U1237"/>
  <c r="DB1237"/>
  <c r="U1238"/>
  <c r="DA1238"/>
  <c r="U1239"/>
  <c r="CT1239"/>
  <c r="U1243"/>
  <c r="CT1243"/>
  <c r="U1245"/>
  <c r="CT1245"/>
  <c r="U1247"/>
  <c r="CT1247"/>
  <c r="U1248"/>
  <c r="CL1248"/>
  <c r="CT1248"/>
  <c r="CT1249"/>
  <c r="U1250"/>
  <c r="CT1250"/>
  <c r="U1252"/>
  <c r="CT1252"/>
  <c r="U1253"/>
  <c r="CP1253"/>
  <c r="CT1253"/>
  <c r="CL1254"/>
  <c r="CT1256"/>
  <c r="U1257"/>
  <c r="CT1257"/>
  <c r="U1258"/>
  <c r="CL1258"/>
  <c r="CT1258"/>
  <c r="CT1260"/>
  <c r="CT1261"/>
  <c r="U1264"/>
  <c r="DA1265"/>
  <c r="CL1267"/>
  <c r="U1270"/>
  <c r="DA1270"/>
  <c r="U1271"/>
  <c r="CV1271"/>
  <c r="DA1271"/>
  <c r="U1272"/>
  <c r="U1273"/>
  <c r="DA1274"/>
  <c r="U1275"/>
  <c r="CT1275"/>
  <c r="U1305"/>
  <c r="CT1305"/>
  <c r="U1311"/>
  <c r="DB1311"/>
  <c r="DC1311"/>
  <c r="AP1341"/>
  <c r="CT1408"/>
  <c r="CT1436"/>
  <c r="CT1445"/>
  <c r="CT1472"/>
  <c r="U1477"/>
  <c r="U1478"/>
  <c r="CP1480"/>
  <c r="CT1480"/>
  <c r="U1481"/>
  <c r="CT1481"/>
  <c r="CT1483"/>
  <c r="CP1485"/>
  <c r="CT1485"/>
  <c r="U1488"/>
  <c r="CT1488"/>
  <c r="U1490"/>
  <c r="CP1493"/>
  <c r="CT1493"/>
  <c r="U1494"/>
  <c r="CP1494"/>
  <c r="CT1494"/>
  <c r="U1495"/>
  <c r="CP1495"/>
  <c r="CT1495"/>
  <c r="CT1496"/>
  <c r="CP1497"/>
  <c r="CT1497"/>
  <c r="U1498"/>
  <c r="CT1498"/>
  <c r="U1500"/>
  <c r="CT1500"/>
  <c r="U1501"/>
  <c r="CT1501"/>
  <c r="U1502"/>
  <c r="CT1502"/>
  <c r="U1503"/>
  <c r="CT1503"/>
  <c r="U1504"/>
  <c r="CT1507"/>
  <c r="CL1508"/>
  <c r="CP1508"/>
  <c r="U1509"/>
  <c r="DB1510"/>
  <c r="DC1510"/>
  <c r="U1511"/>
  <c r="CT1511"/>
  <c r="CT1512"/>
  <c r="DB1512"/>
  <c r="DC1512"/>
  <c r="CT1513"/>
  <c r="DB1513"/>
  <c r="DC1513"/>
  <c r="U1521"/>
  <c r="U1524"/>
  <c r="U1525"/>
  <c r="CT1525"/>
  <c r="U1526"/>
  <c r="U1527"/>
  <c r="CT1527"/>
  <c r="CT1529"/>
  <c r="CT1531"/>
  <c r="CT1535"/>
  <c r="U1536"/>
  <c r="CT1536"/>
  <c r="CT1537"/>
  <c r="CT1538"/>
  <c r="U1539"/>
  <c r="CP1543"/>
  <c r="CT1543"/>
  <c r="U1544"/>
  <c r="CT1544"/>
  <c r="CT1548"/>
  <c r="CP1549"/>
  <c r="CT1549"/>
  <c r="CT1550"/>
  <c r="U1552"/>
  <c r="CT1552"/>
  <c r="CL1554"/>
  <c r="CT1554"/>
  <c r="CP1555"/>
  <c r="CT1555"/>
  <c r="CP1556"/>
  <c r="CT1556"/>
  <c r="CL1557"/>
  <c r="CT1557"/>
  <c r="CL1559"/>
  <c r="CT1562"/>
  <c r="U1564"/>
  <c r="CT1564"/>
  <c r="U1565"/>
  <c r="CP1566"/>
  <c r="CT1566"/>
  <c r="U1567"/>
  <c r="CT1567"/>
  <c r="CT1568"/>
  <c r="CT1574"/>
  <c r="DB1574"/>
  <c r="DC1574"/>
  <c r="CT1575"/>
  <c r="U1577"/>
  <c r="U1579"/>
  <c r="CT1579"/>
  <c r="U1580"/>
  <c r="U1581"/>
  <c r="CT1581"/>
  <c r="CT1583"/>
  <c r="CP1585"/>
  <c r="DB1585"/>
  <c r="DC1585"/>
  <c r="U1586"/>
  <c r="CT1586"/>
  <c r="U1587"/>
  <c r="CT1587"/>
  <c r="U1588"/>
  <c r="CT1588"/>
  <c r="CT1589"/>
  <c r="CT1590"/>
  <c r="CT1591"/>
  <c r="U1592"/>
  <c r="CT1592"/>
  <c r="CT1595"/>
  <c r="CT1599"/>
  <c r="U1600"/>
  <c r="CT1601"/>
  <c r="U1602"/>
  <c r="CT1602"/>
  <c r="U1603"/>
  <c r="DA1603"/>
  <c r="U1604"/>
  <c r="U1612"/>
  <c r="CT1612"/>
  <c r="DB1613"/>
  <c r="DC1613"/>
  <c r="U1614"/>
  <c r="CT1614"/>
  <c r="U1616"/>
  <c r="CT1621"/>
  <c r="DB1621"/>
  <c r="DC1621"/>
  <c r="U1623"/>
  <c r="CT1623"/>
  <c r="CT1624"/>
  <c r="U1625"/>
  <c r="CT1625"/>
  <c r="U1628"/>
  <c r="CP1628"/>
  <c r="CP1630"/>
  <c r="CT1630"/>
  <c r="DB1630"/>
  <c r="U1631"/>
  <c r="CT1631"/>
  <c r="U1632"/>
  <c r="CT1632"/>
  <c r="U1638"/>
  <c r="U1639"/>
  <c r="U1645"/>
  <c r="CT1645"/>
  <c r="DB1647"/>
  <c r="DC1647"/>
  <c r="U1648"/>
  <c r="DB1648"/>
  <c r="DC1648"/>
  <c r="CT1649"/>
  <c r="CT1650"/>
  <c r="DB1650"/>
  <c r="CT1652"/>
  <c r="U1654"/>
  <c r="CT1654"/>
  <c r="U1655"/>
  <c r="CT1655"/>
  <c r="CT1657"/>
  <c r="U1660"/>
  <c r="CP1661"/>
  <c r="U1665"/>
  <c r="CT1667"/>
  <c r="CT1668"/>
  <c r="CL1669"/>
  <c r="CT1671"/>
  <c r="CT1672"/>
  <c r="U1673"/>
  <c r="U1674"/>
  <c r="U1675"/>
  <c r="CT1675"/>
  <c r="CT1678"/>
  <c r="U1679"/>
  <c r="CT1679"/>
  <c r="U1680"/>
  <c r="U1681"/>
  <c r="CT1681"/>
  <c r="DB1682"/>
  <c r="DC1682"/>
  <c r="CT1683"/>
  <c r="U1685"/>
  <c r="CT1685"/>
  <c r="CT1687"/>
  <c r="CT1688"/>
  <c r="DB1688"/>
  <c r="DC1688"/>
  <c r="U1689"/>
  <c r="CT1690"/>
  <c r="CT1691"/>
  <c r="CT1692"/>
  <c r="U1694"/>
  <c r="CT1694"/>
  <c r="CT1695"/>
  <c r="U1696"/>
  <c r="CT1696"/>
  <c r="U1697"/>
  <c r="CT1697"/>
  <c r="U1698"/>
  <c r="U1699"/>
  <c r="CO1699"/>
  <c r="CT1699"/>
  <c r="DB1699"/>
  <c r="DC1699"/>
  <c r="U1700"/>
  <c r="CT1700"/>
  <c r="U1701"/>
  <c r="DA1701"/>
  <c r="U1703"/>
  <c r="U1704"/>
  <c r="CT1704"/>
  <c r="U1705"/>
  <c r="CT1706"/>
  <c r="U1708"/>
  <c r="CT1708"/>
  <c r="CT1709"/>
  <c r="U1711"/>
  <c r="U1712"/>
  <c r="CT1713"/>
  <c r="U1716"/>
  <c r="CT1716"/>
  <c r="U1717"/>
  <c r="CT1717"/>
  <c r="U1718"/>
  <c r="CT1718"/>
  <c r="U1719"/>
  <c r="CT1719"/>
  <c r="CT1720"/>
  <c r="DB1720"/>
  <c r="DC1720"/>
  <c r="CL1721"/>
  <c r="CL1726"/>
  <c r="CL1737"/>
  <c r="CP1737"/>
  <c r="CL1743"/>
  <c r="CL1744"/>
  <c r="CL1750"/>
  <c r="DC1753"/>
  <c r="CL1754"/>
  <c r="CL1756"/>
  <c r="CP1756"/>
  <c r="CT1756"/>
  <c r="CL1758"/>
  <c r="CP1758"/>
  <c r="CL1759"/>
  <c r="CP1759"/>
  <c r="CL1761"/>
  <c r="CL1765"/>
  <c r="CP1765"/>
  <c r="CT1765"/>
  <c r="U1766"/>
  <c r="CL1767"/>
  <c r="CP1767"/>
  <c r="CL1768"/>
  <c r="CL1772"/>
  <c r="CP1772"/>
  <c r="CL1773"/>
  <c r="CP1773"/>
  <c r="CL1774"/>
  <c r="CL1775"/>
  <c r="CT1775"/>
  <c r="CL1778"/>
  <c r="CL1779"/>
  <c r="CP1779"/>
  <c r="CL1780"/>
  <c r="CL1781"/>
  <c r="CL1782"/>
  <c r="DB1782"/>
  <c r="DC1782"/>
  <c r="CL1784"/>
  <c r="CV1784"/>
  <c r="CL1817"/>
  <c r="CP1817"/>
  <c r="CL1822"/>
  <c r="CL1826"/>
  <c r="CL1847"/>
  <c r="DB1847"/>
  <c r="CP1848"/>
  <c r="U1850"/>
  <c r="CL1854"/>
  <c r="CP1854"/>
  <c r="CL1855"/>
  <c r="CP1855"/>
  <c r="CL1856"/>
  <c r="CP1856"/>
  <c r="CL1858"/>
  <c r="CP1858"/>
  <c r="CL1859"/>
  <c r="CP1859"/>
  <c r="CT1863"/>
  <c r="CL1868"/>
  <c r="CL1873"/>
  <c r="CL1878"/>
  <c r="CP1878"/>
  <c r="CT1878"/>
  <c r="CT1884"/>
  <c r="CT1885"/>
  <c r="CT1886"/>
  <c r="CT1887"/>
  <c r="U1888"/>
  <c r="CT1888"/>
  <c r="DA1889"/>
  <c r="CT1890"/>
  <c r="U1892"/>
  <c r="CP1896"/>
  <c r="U1898"/>
  <c r="CT1900"/>
  <c r="CL1901"/>
  <c r="CL1902"/>
  <c r="CL1903"/>
  <c r="CL1909"/>
  <c r="CP1909"/>
  <c r="CL1910"/>
  <c r="CL1911"/>
  <c r="CP1911"/>
  <c r="CL1912"/>
  <c r="CL1916"/>
  <c r="CP1916"/>
  <c r="CP1917"/>
  <c r="CL1918"/>
  <c r="CP1918"/>
  <c r="CL1929"/>
  <c r="CP1929"/>
  <c r="CL1932"/>
  <c r="CV1932"/>
  <c r="DA1932"/>
  <c r="CP1936"/>
  <c r="DC1936"/>
  <c r="CL1940"/>
  <c r="CP1940"/>
  <c r="CP1941"/>
  <c r="CT1942"/>
  <c r="CL1944"/>
  <c r="CL1948"/>
  <c r="CP1951"/>
  <c r="CT1954"/>
  <c r="U1962"/>
  <c r="CT1962"/>
  <c r="CT1963"/>
  <c r="U1964"/>
  <c r="CT1964"/>
  <c r="U1965"/>
  <c r="DB1965"/>
  <c r="U1967"/>
  <c r="U1968"/>
  <c r="U1969"/>
  <c r="U1971"/>
  <c r="U1972"/>
  <c r="U1974"/>
  <c r="CT1974"/>
  <c r="U1976"/>
  <c r="CT1976"/>
  <c r="DA1978"/>
</calcChain>
</file>

<file path=xl/sharedStrings.xml><?xml version="1.0" encoding="utf-8"?>
<sst xmlns="http://schemas.openxmlformats.org/spreadsheetml/2006/main" count="155570" uniqueCount="5381">
  <si>
    <t>Id</t>
  </si>
  <si>
    <t>EPor</t>
  </si>
  <si>
    <t>Cliente</t>
  </si>
  <si>
    <t>Referencia</t>
  </si>
  <si>
    <t>Rcliente</t>
  </si>
  <si>
    <t>Material</t>
  </si>
  <si>
    <t>MaqE</t>
  </si>
  <si>
    <t>Calibre</t>
  </si>
  <si>
    <t>Ancho</t>
  </si>
  <si>
    <t>Fue1</t>
  </si>
  <si>
    <t>Fue2</t>
  </si>
  <si>
    <t>Tipo</t>
  </si>
  <si>
    <t>Trat</t>
  </si>
  <si>
    <t>Dinas</t>
  </si>
  <si>
    <t>Caras</t>
  </si>
  <si>
    <t>Partido</t>
  </si>
  <si>
    <t>PesoBob</t>
  </si>
  <si>
    <t>CalMin</t>
  </si>
  <si>
    <t>CalMax</t>
  </si>
  <si>
    <t>PaProd</t>
  </si>
  <si>
    <t>Observa_Ext</t>
  </si>
  <si>
    <t>Alta</t>
  </si>
  <si>
    <t>Baja</t>
  </si>
  <si>
    <t>Lineal</t>
  </si>
  <si>
    <t>PP</t>
  </si>
  <si>
    <t>Pigmento</t>
  </si>
  <si>
    <t>KilPig</t>
  </si>
  <si>
    <t>OtRefe1</t>
  </si>
  <si>
    <t>KOt1</t>
  </si>
  <si>
    <t>MaqI</t>
  </si>
  <si>
    <t>Colores</t>
  </si>
  <si>
    <t>Caras_Imp</t>
  </si>
  <si>
    <t>Repeticion</t>
  </si>
  <si>
    <t>Montaje_I</t>
  </si>
  <si>
    <t>Rodillo</t>
  </si>
  <si>
    <t>AltImp_C1</t>
  </si>
  <si>
    <t>AltImp_C2</t>
  </si>
  <si>
    <t>NumBarra</t>
  </si>
  <si>
    <t>Cyrel_A</t>
  </si>
  <si>
    <t>Cyrel_L</t>
  </si>
  <si>
    <t>Viscocidad</t>
  </si>
  <si>
    <t>C1Col1</t>
  </si>
  <si>
    <t>C1Re1</t>
  </si>
  <si>
    <t>C1Lin1</t>
  </si>
  <si>
    <t>C1Visco1</t>
  </si>
  <si>
    <t>C1Col2</t>
  </si>
  <si>
    <t>C1Re2</t>
  </si>
  <si>
    <t>C1Lin2</t>
  </si>
  <si>
    <t>C1Visco2</t>
  </si>
  <si>
    <t>C1Col3</t>
  </si>
  <si>
    <t>C1Re3</t>
  </si>
  <si>
    <t>C1Lin3</t>
  </si>
  <si>
    <t>C1Visco3</t>
  </si>
  <si>
    <t>C1Col4</t>
  </si>
  <si>
    <t>C1Re4</t>
  </si>
  <si>
    <t>C1Lin4</t>
  </si>
  <si>
    <t>C1Visco4</t>
  </si>
  <si>
    <t>C1Col5</t>
  </si>
  <si>
    <t>C1Re5</t>
  </si>
  <si>
    <t>C1Lin5</t>
  </si>
  <si>
    <t>C1Visco5</t>
  </si>
  <si>
    <t>C1Col6</t>
  </si>
  <si>
    <t>C1Re6</t>
  </si>
  <si>
    <t>C1Lin6</t>
  </si>
  <si>
    <t>C1Visco6</t>
  </si>
  <si>
    <t>C2Col1</t>
  </si>
  <si>
    <t>C2Re1</t>
  </si>
  <si>
    <t>C2Lin1</t>
  </si>
  <si>
    <t>C2Visco1</t>
  </si>
  <si>
    <t>C2Col2</t>
  </si>
  <si>
    <t>C2Re2</t>
  </si>
  <si>
    <t>C2Lin2</t>
  </si>
  <si>
    <t>C2Visco2</t>
  </si>
  <si>
    <t>C2Col3</t>
  </si>
  <si>
    <t>C2Re3</t>
  </si>
  <si>
    <t>C2Lin3</t>
  </si>
  <si>
    <t>C2Visco3</t>
  </si>
  <si>
    <t>C2Col4</t>
  </si>
  <si>
    <t>C2Re4</t>
  </si>
  <si>
    <t>C2Lin4</t>
  </si>
  <si>
    <t>C2Visco4</t>
  </si>
  <si>
    <t>C2Col5</t>
  </si>
  <si>
    <t>C2Re5</t>
  </si>
  <si>
    <t>C2Lin5</t>
  </si>
  <si>
    <t>C2Visco5</t>
  </si>
  <si>
    <t>C2Col6</t>
  </si>
  <si>
    <t>C2Re6</t>
  </si>
  <si>
    <t>C2Lin6</t>
  </si>
  <si>
    <t>C2Visco6</t>
  </si>
  <si>
    <t>Observa_Imp</t>
  </si>
  <si>
    <t>MaqS</t>
  </si>
  <si>
    <t>TipoSEllado</t>
  </si>
  <si>
    <t>Troquel</t>
  </si>
  <si>
    <t>Alt_Sellado</t>
  </si>
  <si>
    <t>Golpes</t>
  </si>
  <si>
    <t>Bpor</t>
  </si>
  <si>
    <t>Ppor</t>
  </si>
  <si>
    <t>Observa_Sell</t>
  </si>
  <si>
    <t>AnchoRefile</t>
  </si>
  <si>
    <t>AlturaRefile</t>
  </si>
  <si>
    <t>RadioRefile</t>
  </si>
  <si>
    <t>TipoEmbo</t>
  </si>
  <si>
    <t>KilosR</t>
  </si>
  <si>
    <t>TipoR</t>
  </si>
  <si>
    <t>Observa_Ref</t>
  </si>
  <si>
    <t>Maquina_M</t>
  </si>
  <si>
    <t>DetalleM</t>
  </si>
  <si>
    <t>HAEB</t>
  </si>
  <si>
    <t>900.238.806-7</t>
  </si>
  <si>
    <t>TPPL30X1.4</t>
  </si>
  <si>
    <t>TPPL</t>
  </si>
  <si>
    <t>-</t>
  </si>
  <si>
    <t>TUBULAR</t>
  </si>
  <si>
    <t>LATERAL</t>
  </si>
  <si>
    <t>800.157.130-6</t>
  </si>
  <si>
    <t>LBDL15.5X2.7</t>
  </si>
  <si>
    <t>LBDL</t>
  </si>
  <si>
    <t>LAMINA</t>
  </si>
  <si>
    <t>SI</t>
  </si>
  <si>
    <t>900.251.849-7</t>
  </si>
  <si>
    <t>TPPL50X1.3</t>
  </si>
  <si>
    <t>TUBULAR PP 50X1.3</t>
  </si>
  <si>
    <t>800221724-4</t>
  </si>
  <si>
    <t>BADL45X74X1.5</t>
  </si>
  <si>
    <t>LAINER EXPORTACIONES</t>
  </si>
  <si>
    <t>BADL</t>
  </si>
  <si>
    <t>AMBIENTALES</t>
  </si>
  <si>
    <t>YUMONDI</t>
  </si>
  <si>
    <t>FONDO</t>
  </si>
  <si>
    <t>900.314.952-1</t>
  </si>
  <si>
    <t>BADL29+8+8X76X1.4</t>
  </si>
  <si>
    <t>ARROBERA 17.5X30"</t>
  </si>
  <si>
    <t>-DESTINO SELLADO_x000D_
-</t>
  </si>
  <si>
    <t>SU HEXCENO</t>
  </si>
  <si>
    <t>HEAVY DIUTY</t>
  </si>
  <si>
    <t>SERVO 1</t>
  </si>
  <si>
    <t>BADL23+8+8X64X1.4</t>
  </si>
  <si>
    <t>BOLSA AD 15X25"</t>
  </si>
  <si>
    <t>NO</t>
  </si>
  <si>
    <t>SU. HEXCENO</t>
  </si>
  <si>
    <t>811.045.162-0</t>
  </si>
  <si>
    <t>BADL43X70X1.5</t>
  </si>
  <si>
    <t>RECICLADA 43X70</t>
  </si>
  <si>
    <t>RDO OPACO</t>
  </si>
  <si>
    <t>890.920.304-0</t>
  </si>
  <si>
    <t>BADL65X90X0.8</t>
  </si>
  <si>
    <t>BOLSA DE RECICLAJE 65X90 VERDE</t>
  </si>
  <si>
    <t>VERDE</t>
  </si>
  <si>
    <t>BADL29+8+8X84X1.4</t>
  </si>
  <si>
    <t>ARROBERA 17.5X33</t>
  </si>
  <si>
    <t>-OJO MEDIDAS Y RESISTENCIA_x000D_
-SELLADO_x000D_
-</t>
  </si>
  <si>
    <t>BADL29+8+8X79X1.4</t>
  </si>
  <si>
    <t>ARROBERA 17.5X31"</t>
  </si>
  <si>
    <t>DESTINO SELLADO</t>
  </si>
  <si>
    <t>890.901.624-1</t>
  </si>
  <si>
    <t>TBDL25X1.7</t>
  </si>
  <si>
    <t>TUBULAR 25X1.7 RECUPERADO</t>
  </si>
  <si>
    <t>TBDL</t>
  </si>
  <si>
    <t>BADL21+7+7X62X1.4</t>
  </si>
  <si>
    <t>ARROBERA 14X25"</t>
  </si>
  <si>
    <t>LINE- HEXCENO</t>
  </si>
  <si>
    <t>HEAVY  DIUTY</t>
  </si>
  <si>
    <t>JFDLPC</t>
  </si>
  <si>
    <t>900.020.215-7</t>
  </si>
  <si>
    <t>TADL45X45X1.5</t>
  </si>
  <si>
    <t>PRECORTE 18X18"</t>
  </si>
  <si>
    <t>TADL</t>
  </si>
  <si>
    <t>ARANGO</t>
  </si>
  <si>
    <t>DESTINO ALMACEN</t>
  </si>
  <si>
    <t>TADL40X0.7</t>
  </si>
  <si>
    <t>PRECORTE MEDIANO RECUP. NEGRO</t>
  </si>
  <si>
    <t>900.157.858-1</t>
  </si>
  <si>
    <t>TADL30X40X0.7</t>
  </si>
  <si>
    <t>PRECORTE PEQUEÑO RECUPERADO NEGRO</t>
  </si>
  <si>
    <t>800.186.295-6</t>
  </si>
  <si>
    <t>TADL70X0.8</t>
  </si>
  <si>
    <t>ME0018 SEMITUBULAR GAVETA</t>
  </si>
  <si>
    <t>BRABOPLAS</t>
  </si>
  <si>
    <t>SEMI-TUBULAR</t>
  </si>
  <si>
    <t>MARCAR MUY BIEN LOS ROLLOS_x000D_
DESTINO ALMACEN</t>
  </si>
  <si>
    <t>800.106.884-2</t>
  </si>
  <si>
    <t>TADLPAM74X3</t>
  </si>
  <si>
    <t>BOLSA BASURA 29X46" AMARILLO</t>
  </si>
  <si>
    <t>TADLPAM</t>
  </si>
  <si>
    <t>AMARILLO</t>
  </si>
  <si>
    <t>TADLPAZ74X3</t>
  </si>
  <si>
    <t>BOLSA BASURA 29X46" AZUL</t>
  </si>
  <si>
    <t>TADLPAZ</t>
  </si>
  <si>
    <t>AZUL</t>
  </si>
  <si>
    <t>RDO TT/E</t>
  </si>
  <si>
    <t>BBDL97.5X130X2</t>
  </si>
  <si>
    <t>ASERRIN GRANDE</t>
  </si>
  <si>
    <t>BBDL</t>
  </si>
  <si>
    <t>1/2 RDO OPACO</t>
  </si>
  <si>
    <t>890.900.071-4</t>
  </si>
  <si>
    <t>BADL57X60X2</t>
  </si>
  <si>
    <t>ESCALINO - RECUPERADO</t>
  </si>
  <si>
    <t>RDO. TTE. OPACO</t>
  </si>
  <si>
    <t>SERVO</t>
  </si>
  <si>
    <t>BUEN SELLE_x000D_
DESTINO ALMACEN</t>
  </si>
  <si>
    <t>811.013.802-9</t>
  </si>
  <si>
    <t>BADL62X240X3</t>
  </si>
  <si>
    <t>CUÑETE 5 GALONES RECUPERADO</t>
  </si>
  <si>
    <t>DESTINO CORTADORA MANUAL</t>
  </si>
  <si>
    <t>INTERNO</t>
  </si>
  <si>
    <t>CORTE Y SELLE DE FONDO_x000D_
DESTINO ALMACEN</t>
  </si>
  <si>
    <t>TBDL105X1.7</t>
  </si>
  <si>
    <t>TUBULAR 105 CMS PARA PUERTAS</t>
  </si>
  <si>
    <t>RDO</t>
  </si>
  <si>
    <t>TBDL63X3</t>
  </si>
  <si>
    <t>TUBULAR RECUPERADO</t>
  </si>
  <si>
    <t>DESTINO ALMACEN - EMPACAR</t>
  </si>
  <si>
    <t>TPPL45X1.3</t>
  </si>
  <si>
    <t>SERVICIO DE SELLADO - 13x18"</t>
  </si>
  <si>
    <t xml:space="preserve">EMPACAR EN LA MISMA BOLSA SIN CINTA (99 + EMPAQUE 0 100)_x000D_
NO COLOCAR TIQUETES_x000D_
DESTINO ALMACEN </t>
  </si>
  <si>
    <t>860.025.639-4</t>
  </si>
  <si>
    <t>TBDL150X4</t>
  </si>
  <si>
    <t>TUBULAR 150 CM</t>
  </si>
  <si>
    <t>POLIETILENO BD RECUPERADO_x000D_
DESTINO ALMACEN</t>
  </si>
  <si>
    <t>800.006.286-9</t>
  </si>
  <si>
    <t>BADL29X49.5X0.5</t>
  </si>
  <si>
    <t>BOLSA 11.5"X19.5"</t>
  </si>
  <si>
    <t>PERFORACION</t>
  </si>
  <si>
    <t>890.906.119-6</t>
  </si>
  <si>
    <t>BBDL30X39X2</t>
  </si>
  <si>
    <t>BOLSA RECUPERADA 30X39</t>
  </si>
  <si>
    <t>830.002.366-0</t>
  </si>
  <si>
    <t>STBDLPN150X4</t>
  </si>
  <si>
    <t>SEMITUBULAR BD 150X4</t>
  </si>
  <si>
    <t>STBDLPN</t>
  </si>
  <si>
    <t>NAGRO</t>
  </si>
  <si>
    <t>890.900.281-4</t>
  </si>
  <si>
    <t>BBDL80+20+20X170X4</t>
  </si>
  <si>
    <t>BOLSA TRANSPARENTE</t>
  </si>
  <si>
    <t>DESTINO CORTE MANUAL</t>
  </si>
  <si>
    <t>CORTE Y SELLE FONDO_x000D_
DESTINO ALMACEN</t>
  </si>
  <si>
    <t>811.015.602-1</t>
  </si>
  <si>
    <t>BADLPV90X130X1.5</t>
  </si>
  <si>
    <t>90X130 VERDE RECUPERADO</t>
  </si>
  <si>
    <t>BADLPV</t>
  </si>
  <si>
    <t>EXTERNO</t>
  </si>
  <si>
    <t>CORTE Y SELLE MANUAL_x000D_
-</t>
  </si>
  <si>
    <t>BBDL29X29X1</t>
  </si>
  <si>
    <t>BOLSA RECUPERADA 29X29</t>
  </si>
  <si>
    <t>BBDL65X80X2</t>
  </si>
  <si>
    <t>BOLSA RECUPERADA 65X80 COD 1348160</t>
  </si>
  <si>
    <t>BADL69X90X1.5</t>
  </si>
  <si>
    <t>SERVICIO DE SELLADO TUBULAR 69X90</t>
  </si>
  <si>
    <t>BBDL30X45X1</t>
  </si>
  <si>
    <t>BOLSA RECUPERADA 30X45</t>
  </si>
  <si>
    <t>890.911.539-6</t>
  </si>
  <si>
    <t>TBDL61X1.8</t>
  </si>
  <si>
    <t>TUBULAR RECUPERADO 24"</t>
  </si>
  <si>
    <t>BBDL65X67X2</t>
  </si>
  <si>
    <t>BOLSA RECUPERADA 65X67</t>
  </si>
  <si>
    <t>BADLPN75X105X0.8</t>
  </si>
  <si>
    <t>BASURA NEGRA</t>
  </si>
  <si>
    <t>BADLPN</t>
  </si>
  <si>
    <t>DESTINO SELLAADO</t>
  </si>
  <si>
    <t>NEGRO</t>
  </si>
  <si>
    <t>DESTINO ALMACE</t>
  </si>
  <si>
    <t>900.072.587-4</t>
  </si>
  <si>
    <t>BBDL100X120X2.5</t>
  </si>
  <si>
    <t>BOLSA MADERA 100X120</t>
  </si>
  <si>
    <t>DESTINO MANUELAES-</t>
  </si>
  <si>
    <t>1/2 RDO</t>
  </si>
  <si>
    <t>CORTE Y SELLE MANAL-</t>
  </si>
  <si>
    <t>890.928.257-9</t>
  </si>
  <si>
    <t>BADLPR60X90X2</t>
  </si>
  <si>
    <t>BOLSA 60X90 ROJA</t>
  </si>
  <si>
    <t>BADLPR</t>
  </si>
  <si>
    <t>ROJO</t>
  </si>
  <si>
    <t>45.436.076-5</t>
  </si>
  <si>
    <t>BADL48+13+13X93X1.3</t>
  </si>
  <si>
    <t>REEMPAQUE PEQUEÑO</t>
  </si>
  <si>
    <t xml:space="preserve">RDO. OPACO </t>
  </si>
  <si>
    <t>TBDL60X3</t>
  </si>
  <si>
    <t>63.326.043-6</t>
  </si>
  <si>
    <t>BBDL100X170X3</t>
  </si>
  <si>
    <t>100X170 RECUPERADO</t>
  </si>
  <si>
    <t>DESTINO MANUALES</t>
  </si>
  <si>
    <t>CORTE Y SELLE-</t>
  </si>
  <si>
    <t>BBDL97.5X130X1.3</t>
  </si>
  <si>
    <t>BOLSA PARA ASERRIN - RECUPERADA</t>
  </si>
  <si>
    <t>MATERIAL RECUPERADO_x000D_
DESTINO MANUALES</t>
  </si>
  <si>
    <t>BADLPB40X52X0.5</t>
  </si>
  <si>
    <t>BOLSA COLOR PARA PREMEZCLA BLANCA</t>
  </si>
  <si>
    <t>BADLPB</t>
  </si>
  <si>
    <t>BLANCO</t>
  </si>
  <si>
    <t>BADL35X45X1.5</t>
  </si>
  <si>
    <t>REF: 22433 BANDEJA PEQUEÑA</t>
  </si>
  <si>
    <t>BADLPAM40X52X0.6</t>
  </si>
  <si>
    <t>BOLSA COLOR PARA PREMEZCLA AMARILLA</t>
  </si>
  <si>
    <t>BADLPAM</t>
  </si>
  <si>
    <t>BBDL60X90X4</t>
  </si>
  <si>
    <t>BOLSA REEMPAQUE</t>
  </si>
  <si>
    <t>DESTINO SELLADO-</t>
  </si>
  <si>
    <t>BADL51X180X3</t>
  </si>
  <si>
    <t>TAPA CUÑETE 5 GALONES RECUPERADO</t>
  </si>
  <si>
    <t>TADL28X2</t>
  </si>
  <si>
    <t>TUBULAR 11" RECUPERADO</t>
  </si>
  <si>
    <t>BADLPR40X52X0.6</t>
  </si>
  <si>
    <t>BOLSA COLOR PARA PREMEZCLA ROJA</t>
  </si>
  <si>
    <t>890.923.630-0</t>
  </si>
  <si>
    <t>BADL65X125X0.5</t>
  </si>
  <si>
    <t>LAINER</t>
  </si>
  <si>
    <t>CORTE Y SELLE MANUAL_x000D_
DESTINO ALMACEN</t>
  </si>
  <si>
    <t>BOLSA PARA ASERRIN - RECUPAREDA</t>
  </si>
  <si>
    <t>BADL28X43X0.5</t>
  </si>
  <si>
    <t>BOLSA 11X17"</t>
  </si>
  <si>
    <t>BADLPV40X52X0.5</t>
  </si>
  <si>
    <t>BOLSA COLOR PARA PREMEZCLA VERDE</t>
  </si>
  <si>
    <t>890.926.985-3</t>
  </si>
  <si>
    <t>BADL61X104X1.2</t>
  </si>
  <si>
    <t>TUBULAR 105 CMS PARA PUERTAS RECUPERADO</t>
  </si>
  <si>
    <t>30.</t>
  </si>
  <si>
    <t>BOLSA PARA ASERRIN - RECUPERADO</t>
  </si>
  <si>
    <t>DESTINO CORTADODA MANUAL-</t>
  </si>
  <si>
    <t>100% RECUPERADO OPACO</t>
  </si>
  <si>
    <t>CORTE Y SELLE MANUAL-</t>
  </si>
  <si>
    <t>800.006.553-0</t>
  </si>
  <si>
    <t>TBDL70X3.5</t>
  </si>
  <si>
    <t>TUBULAR BD 70X3.5</t>
  </si>
  <si>
    <t>BADL25X43X1</t>
  </si>
  <si>
    <t>BOLSA PARA MENUDO 1 KILO RECUPERADO</t>
  </si>
  <si>
    <t>BBDL105X220X1.7</t>
  </si>
  <si>
    <t>BOLSA PARA PUERTAS GRANDE</t>
  </si>
  <si>
    <t>COMAI 750</t>
  </si>
  <si>
    <t>800011002-4</t>
  </si>
  <si>
    <t>BBDL140X117X2</t>
  </si>
  <si>
    <t>CANASTA</t>
  </si>
  <si>
    <t>BADLPN40X52X0.5</t>
  </si>
  <si>
    <t>BOLSA COLOR PARA PREMEZCLA NEGRA</t>
  </si>
  <si>
    <t>811.007.707-2</t>
  </si>
  <si>
    <t>TADL50X3</t>
  </si>
  <si>
    <t>TUBULAR NEGRO</t>
  </si>
  <si>
    <t>811.010.705-9</t>
  </si>
  <si>
    <t>TADL91X3</t>
  </si>
  <si>
    <t>TUBULAR AD 91X3.0 OPACO</t>
  </si>
  <si>
    <t>1/2 OPACO</t>
  </si>
  <si>
    <t>BADL47X72X1.2</t>
  </si>
  <si>
    <t>LAINER PEQUEÑA</t>
  </si>
  <si>
    <t>TBDL50X1.7</t>
  </si>
  <si>
    <t>TUBULAR 50 CMS PARA PUERTAS</t>
  </si>
  <si>
    <t>DESTINO ALMACEN_x000D_
-</t>
  </si>
  <si>
    <t>BADL60X90X2</t>
  </si>
  <si>
    <t>BOLSA PARA BASURA RECUPERADA</t>
  </si>
  <si>
    <t>811.010.410-1</t>
  </si>
  <si>
    <t>TADL98X2.5</t>
  </si>
  <si>
    <t>TUBULAR AD 98X2.5</t>
  </si>
  <si>
    <t>SERVICIO DE SELLADO 100X170 RECUPERAD0</t>
  </si>
  <si>
    <t>890.900.293-2</t>
  </si>
  <si>
    <t>BADL35X45X1</t>
  </si>
  <si>
    <t>MULTIUSOS</t>
  </si>
  <si>
    <t>CESAR C</t>
  </si>
  <si>
    <t>890.935.258-5</t>
  </si>
  <si>
    <t>LBDI92X3.5</t>
  </si>
  <si>
    <t>SERVICIO DE SELLADO FEDCO - BOLSA 26X35+4+7</t>
  </si>
  <si>
    <t>LBDI</t>
  </si>
  <si>
    <t>CLIENTE</t>
  </si>
  <si>
    <t>SERVO 2</t>
  </si>
  <si>
    <t>-MONTARLO EN EL DIA PARA QUE EL CIENTE DE VºBº AL SELLE_x000D_
-BIEN EMPACACO EN BOLSAS PARA TROQUELAR_x000D_
-ALMACEN</t>
  </si>
  <si>
    <t>71.628.411-9</t>
  </si>
  <si>
    <t>BADIPG36X42+4X2.5</t>
  </si>
  <si>
    <t>SERVICIO DE SELLADO MULTICALZADO</t>
  </si>
  <si>
    <t>BADIPG</t>
  </si>
  <si>
    <t>GRIS</t>
  </si>
  <si>
    <t>RIÑON DERECHO</t>
  </si>
  <si>
    <t>BADIPB36X44+4+8X3.5</t>
  </si>
  <si>
    <t>SERVICIO DE SELLADO TENDENCIAS</t>
  </si>
  <si>
    <t>BADIPB</t>
  </si>
  <si>
    <t>-SOLAPA POR FUELLE DE 8.0 CMS_x000D_
-BIEN EMPACADO PARA TROQUELAR</t>
  </si>
  <si>
    <t>LADIPAM12.5X2.75</t>
  </si>
  <si>
    <t>SERVICIO DE REFILADO</t>
  </si>
  <si>
    <t>LADIPAM</t>
  </si>
  <si>
    <t>centrada-</t>
  </si>
  <si>
    <t>RALG</t>
  </si>
  <si>
    <t>BADL60X97X0.8</t>
  </si>
  <si>
    <t>SERVICIO DE SELLADO 60X97X0.8</t>
  </si>
  <si>
    <t>900.299.043-5</t>
  </si>
  <si>
    <t>TBDLPB30X0.9</t>
  </si>
  <si>
    <t>TUBULAR BD BLANCO 30X0.9</t>
  </si>
  <si>
    <t>TBDLPB</t>
  </si>
  <si>
    <t>CODIPLAX</t>
  </si>
  <si>
    <t>BADL44X100X2</t>
  </si>
  <si>
    <t>BOLSA 44X100 ORIGINAL</t>
  </si>
  <si>
    <t>ALTA ORIGINAL</t>
  </si>
  <si>
    <t>ALTA RDO TT/E</t>
  </si>
  <si>
    <t>811.015.370-8</t>
  </si>
  <si>
    <t>TBDL2MTX6</t>
  </si>
  <si>
    <t>PLASTICO NEGRO</t>
  </si>
  <si>
    <t>TBDLPN150X4</t>
  </si>
  <si>
    <t>SEMITUBULAR NEGRO 150X4.0</t>
  </si>
  <si>
    <t>TBDLPN</t>
  </si>
  <si>
    <t>DESTINO ALMACEN-</t>
  </si>
  <si>
    <t>RDO. NEGRO</t>
  </si>
  <si>
    <t>BOLSA BASURA 29X46" AMARILLA</t>
  </si>
  <si>
    <t>TADL60X1</t>
  </si>
  <si>
    <t>TUBULAR ORIGINAL 24"X1.0</t>
  </si>
  <si>
    <t>890.908.493-5</t>
  </si>
  <si>
    <t>BADLPV162X70</t>
  </si>
  <si>
    <t>BOLSA VERDE TAPA CUTTER 162X70</t>
  </si>
  <si>
    <t>BADLPG100X120X1.2</t>
  </si>
  <si>
    <t>BOLSA RECICLAJE 100X120 PIG. GRIS</t>
  </si>
  <si>
    <t>BADLPG</t>
  </si>
  <si>
    <t>800.224.586-8</t>
  </si>
  <si>
    <t>TBDL40X0.9</t>
  </si>
  <si>
    <t>SERVICIO DE EXTRUSION - TUB 40X0.9</t>
  </si>
  <si>
    <t>-RETAL MAXIMO 1.0 KLS + 49.0 KLS = 50.0 KLS_x000D_
-ALMACEN</t>
  </si>
  <si>
    <t>STBDL250X6</t>
  </si>
  <si>
    <t>PLASTICO INVERNADERO</t>
  </si>
  <si>
    <t>STBDL</t>
  </si>
  <si>
    <t>811.039.536-7</t>
  </si>
  <si>
    <t>LBDIPB21X27.5X1.5</t>
  </si>
  <si>
    <t>LAMINA BLANCA QUESITO RIONEGRO 250 GRM</t>
  </si>
  <si>
    <t>LBDIPB</t>
  </si>
  <si>
    <t>DARMA</t>
  </si>
  <si>
    <t>BBDL200X300X2.2</t>
  </si>
  <si>
    <t>LAINER BIG-BAG</t>
  </si>
  <si>
    <t>DESTINO MANUALIDADES</t>
  </si>
  <si>
    <t>CORTE Y SELLE MANUAL DE FONDO_x000D_
DESTINO ALMACEN</t>
  </si>
  <si>
    <t>809.007.132-0</t>
  </si>
  <si>
    <t>BADIPB40X50+5X3</t>
  </si>
  <si>
    <t>BOLSA ALMACEN GRANDE CORDON  II</t>
  </si>
  <si>
    <t>-CONTROLAR DESCOMPENCE PARA EVITAR DEVOLCION DE CORREA_x000D_
-DEJAR 7.0 CMS A UN LADO  SIN TRATAR Y MARCAR COMO BOCA DE LA BOLSA_x000D_
-IMPRESION CORREA_x000D_
.</t>
  </si>
  <si>
    <t>BLAMCO</t>
  </si>
  <si>
    <t>BIODEGRDABLE</t>
  </si>
  <si>
    <t>CORREA</t>
  </si>
  <si>
    <t>860.002.017-4</t>
  </si>
  <si>
    <t>BBDI20.5X20.5+6X2.5</t>
  </si>
  <si>
    <t>REF. 13866 MANGA CORTA CUELLO REDONDO NIÑO</t>
  </si>
  <si>
    <t>BBDI</t>
  </si>
  <si>
    <t>-TUBUK'LAR DE  47.0 CMS PARTIDO CON SOLAPA VOLADA DE 6.0 CMS_x000D_
-TRATAR LADO DE LA SOLAPA...SIN TRATAR LA SOLPA_x000D_
-DARMA_x000D_
-</t>
  </si>
  <si>
    <t>MUESTRA</t>
  </si>
  <si>
    <t>800.179.834-7</t>
  </si>
  <si>
    <t>BBDL40.5X51X0.9</t>
  </si>
  <si>
    <t>BOLSA 16X20</t>
  </si>
  <si>
    <t xml:space="preserve">-DESTINO SELLADO-_x000D_
-TUBULAR DE 102CMS PARTIDO A LA 1/2_x000D_
</t>
  </si>
  <si>
    <t>ZENNER</t>
  </si>
  <si>
    <t>COLOCAR EN EL TIQUETE LA REF: 16 X20_x000D_
DESTINO ALMACEN-</t>
  </si>
  <si>
    <t>71.666.776-3</t>
  </si>
  <si>
    <t xml:space="preserve">- TUBULAR DE 47 CMS PARTIDO CON SOLAPA VOLADA DE 6.0 CMS_x000D_
- TRATAR LADO DE LA SOLAPA... SIN TRATAR LA SOLAPA_x000D_
- DESTINO DARMA_x000D_
- </t>
  </si>
  <si>
    <t>- BIEN EMPACADO PARA TROQUELAR_x000D_
- DESTINO TROQUELADO</t>
  </si>
  <si>
    <t xml:space="preserve">- TROQUEL_x000D_
- GANCHO TROQUEL PEGADO_x000D_
</t>
  </si>
  <si>
    <t>REF. 17351 ESQUELETO CUELLO REDONDO NIÑO</t>
  </si>
  <si>
    <t>-TUBULAR DE 47.0 CMS PARTIDO CON SOLAPA VOLADA DE 6.0 CMS_x000D_
-TRATAR LADO ¡DE LA SOLAPA..... SIN TRATAR LA SOLAPA_x000D_
-DARMA</t>
  </si>
  <si>
    <t>BBDL30X33X3</t>
  </si>
  <si>
    <t>BOLSA 3 KILOS</t>
  </si>
  <si>
    <t>-TUBULAR DE 66.0 CMS PARTIDO A LA 1/2_x000D_
-SELLADO_x000D_
-</t>
  </si>
  <si>
    <t>L- LI- SU HEXCENO</t>
  </si>
  <si>
    <t>-OJO BUEN SELLE_x000D_
-ALMACEN</t>
  </si>
  <si>
    <t>REF. 13866 MANGA CORTA CUELLO REDONDO JUNIOR</t>
  </si>
  <si>
    <t xml:space="preserve">- TUBULAR DE 47 CMS PARTIDO CON SOLAPA VOLADA DE 6.0 CMS_x000D_
TRATAR LADO DE LA SOLAPA... SIN TRATAR LA SOLAPA_x000D_
- DESTINO DARMA_x000D_
- </t>
  </si>
  <si>
    <t>- BIEN EMPACADOS PARA TROQUELAR_x000D_
- DESTINO TROQUEL</t>
  </si>
  <si>
    <t>811.017.000-7</t>
  </si>
  <si>
    <t>BBDI40X50X2</t>
  </si>
  <si>
    <t>PAQUETE SORPRESA II</t>
  </si>
  <si>
    <t>BBDL135+55+55X225X4</t>
  </si>
  <si>
    <t>LAINER 2</t>
  </si>
  <si>
    <t>DESTINO MANUALES-</t>
  </si>
  <si>
    <t>BBDL200X315X2</t>
  </si>
  <si>
    <t>LAINER BIG - BAG</t>
  </si>
  <si>
    <t>CORTADORA</t>
  </si>
  <si>
    <t>CORTE X300 CMS_x000D_
DESTINO ALMACEN</t>
  </si>
  <si>
    <t>-TUBULAR DE 47.0 CMS PATIDO CON SOLAPA  VOLADA DE 6.0 CMS _x000D_
-TRATAR LADO DE LA SOLAPA.....SIN TRATAR LA SOLAPA_x000D_
-DARMA_x000D_
-</t>
  </si>
  <si>
    <t>SEGUN MUESTRA</t>
  </si>
  <si>
    <t>811.031.208-1</t>
  </si>
  <si>
    <t>TADL35.5+10+10X1.7</t>
  </si>
  <si>
    <t>FUELLE TRANSPARENTE DE ALTA DENSIDAD</t>
  </si>
  <si>
    <t>COEXTRUSORA</t>
  </si>
  <si>
    <t>USAR MATERIAL DEL CLIENTE_x000D_
GRAFILADO AL MAXIMO_x000D_
DESTINO ALMACEN</t>
  </si>
  <si>
    <t>88247152-2</t>
  </si>
  <si>
    <t>TADLPV61+13+13X0.75</t>
  </si>
  <si>
    <t>TUBULAR VERDE 24+5+5"</t>
  </si>
  <si>
    <t>TADLPV</t>
  </si>
  <si>
    <t xml:space="preserve">-DESTINO ALMACEN_x000D_
GRAFILADO_x000D_
</t>
  </si>
  <si>
    <t>LBDI34X2.7</t>
  </si>
  <si>
    <t>LAMINA LATIN FIESTA - GUANABANA 397 GR</t>
  </si>
  <si>
    <t>-OJO MATERIAL BRILLANTE_x000D_
-DESTINO CA¡OREA_x000D_
-</t>
  </si>
  <si>
    <t>SUPER HEXENO</t>
  </si>
  <si>
    <t>LBDI15.5X2.7</t>
  </si>
  <si>
    <t>LAMINA COEXTRUIDA 90GR MORA</t>
  </si>
  <si>
    <t>LAMINA DE 65.0CMS. PARTIDA A LA 1/2 PARA ROLLOS DE 39.3KLS_x000D_
DESTINO DARMA_x000D_
-</t>
  </si>
  <si>
    <t>TADL50X1.5</t>
  </si>
  <si>
    <t>TUBULAR AD 50X1.5</t>
  </si>
  <si>
    <t>-RETAL MAXIMO 4.0KLS. + 296.0KLS = 200. KLS_x000D_
-DESTINO ALMACEN_x000D_
-</t>
  </si>
  <si>
    <t>TADL80X1.5</t>
  </si>
  <si>
    <t>TUBULAR AD 80X1.5</t>
  </si>
  <si>
    <t>-RETAL MAXIMO 10 KLS. + 400.0 KLS. = 500 KLS_x000D_
-DESTINO ALMACEN_x000D_
-</t>
  </si>
  <si>
    <t>BBDI16X35X3</t>
  </si>
  <si>
    <t>CANOA - MORA 900GR</t>
  </si>
  <si>
    <t>IMPRESION  DEMES_x000D_
-CONTROLAR DESCOMPENCE _x000D_
-</t>
  </si>
  <si>
    <t>LINAL HEXENO</t>
  </si>
  <si>
    <t>DEMES</t>
  </si>
  <si>
    <t xml:space="preserve">-DESTINO SELLADO_x000D_
</t>
  </si>
  <si>
    <t>DESTINO SELLADO_x000D_
OJO CON EL SELLE-</t>
  </si>
  <si>
    <t>LAMINA COEXTRUIDA 90GR LULO</t>
  </si>
  <si>
    <t>-LAMINA DE 65.0 CMS. PARTIDA A LA 1/2 PÀRA ROLLOS DE 39.5_x000D_
KLS_x000D_
DESTINO DARMA</t>
  </si>
  <si>
    <t>900.059.436-7</t>
  </si>
  <si>
    <t>BBDI18X31X2.5</t>
  </si>
  <si>
    <t>FILETE DE ROBALO</t>
  </si>
  <si>
    <t>DESTINO DARMA-</t>
  </si>
  <si>
    <t>LINEALHEXE.NO</t>
  </si>
  <si>
    <t>DESTINO ALMACEN_x000D_
OJO CON EL SELLE-</t>
  </si>
  <si>
    <t>15.380.169-1</t>
  </si>
  <si>
    <t>TADL62X74X0.7</t>
  </si>
  <si>
    <t>PRECORTE GRANDE BLANCO ORIGINAL</t>
  </si>
  <si>
    <t>-DESTINO YUMONDI_x000D_
-</t>
  </si>
  <si>
    <t>PRECORTE</t>
  </si>
  <si>
    <t>800.031.391-1</t>
  </si>
  <si>
    <t>BBDL33.5+8+8X65X2</t>
  </si>
  <si>
    <t>NACIONAL DE CHOCOLATES COBERTURA LPU</t>
  </si>
  <si>
    <t>-OJO MEDIDA _x000D_
-OJO RESISTENCIA_x000D_
-DESTINO SELLADO_x000D_
-</t>
  </si>
  <si>
    <t>-PAQUETES EN BOLSAS_x000D_
EMPACAREN COSTALES NUEVOS CON BOLSA LAINER Y SI N MARCAR_x000D_
-DESINO ALMACEN</t>
  </si>
  <si>
    <t>BBDL50X72.5X2</t>
  </si>
  <si>
    <t>NACIONAL DE CHOCOLATES NEGRA ESCENCIAS</t>
  </si>
  <si>
    <t>-OJO MEDIDA _x000D_
-OJO RESISENCIA_x000D_
-DESTINO SELLADO_x000D_
-</t>
  </si>
  <si>
    <t>-PAQUETES EN BOLSAS_x000D_
-EMPACAR EN COSTALES NUEVOS CON BOLSA LAINER SIN MARCAR_x000D_
-AMACEN</t>
  </si>
  <si>
    <t>BBDL62X100X4.5</t>
  </si>
  <si>
    <t>NACIONAL DE CHOCOLATES NEGRA MANI</t>
  </si>
  <si>
    <t>-OJO RESISTENCIA_x000D_
DESTINO SELLADO</t>
  </si>
  <si>
    <t>-NO COLOCAR LOS BULTOS EN PISO SUCIO_x000D_
-PAQUETES EN ROLLOS Y EN BOLSAS ( COMO TECNAS )_x000D_
-EMPACAR EN COSTLES NUEVOS  CON BOLSA LAINER Y SIN MARCCAR_x000D_
DESTINO SELLADO</t>
  </si>
  <si>
    <t>HUESO CARNUDO</t>
  </si>
  <si>
    <t>LINEAL HEXENO</t>
  </si>
  <si>
    <t>CAMARON PRECOCIDO</t>
  </si>
  <si>
    <t>DESTINO DARMA_x000D_
-</t>
  </si>
  <si>
    <t>DESTINO ALMACEN _x000D_
OJO CON EL SELLE-</t>
  </si>
  <si>
    <t>TBDL100X1.5</t>
  </si>
  <si>
    <t>SERVICIO DE EXTRUSION - TUB BD 100X1.5</t>
  </si>
  <si>
    <t xml:space="preserve">-RETAL MAXIMO 6.0 KLS. + 294 KLS = 300 KLS_x000D_
-DESTINO ALMACEN_x000D_
-_x000D_
</t>
  </si>
  <si>
    <t>BBDL38+14.5+14.5X72X2.5</t>
  </si>
  <si>
    <t>NACIONAL DE CHOCOLATES MANTECA EXPORTACION</t>
  </si>
  <si>
    <t>-OJO MEDIDAS_x000D_
-OJO RESISTENCIA_x000D_
DESTINO DELLDO_x000D_
-</t>
  </si>
  <si>
    <t>-CORTAR UNICAMENTE_x000D_
-PAQUETES EN BOLSAS........... NO COLOCAR LOS BULTOS EN PISO SUCIO_x000D_
-EMPACAR EN COSTALES NUEVOS CON BOLSA LAINER SIN MARCAR_x000D_
-NO COLOCAR EL BULTO SOBRE EL PISO SUCIO</t>
  </si>
  <si>
    <t>LAMINA COEXTRUIDA 90GR CON FOTOCELDA</t>
  </si>
  <si>
    <t xml:space="preserve">OJO LAMINA DE 65.0CMS. PARTIDA  A  LA 1/2  PARA  ROLLAS DE 39.5_x000D_
K_x000D_
DESTINO DARMA_x000D_
</t>
  </si>
  <si>
    <t>900.260.021-4</t>
  </si>
  <si>
    <t>BBDL18X30X1.3</t>
  </si>
  <si>
    <t>BOLSA 7X12"</t>
  </si>
  <si>
    <t>-TUBULAR DE 60.0 CMS PARTIDO A LA 1/2_x000D_
-DESTINO DELLADO_x000D_
-</t>
  </si>
  <si>
    <t>DESTINO ALMACEM-</t>
  </si>
  <si>
    <t>LAMINA COEXTRUIDA 90GR PIÑA</t>
  </si>
  <si>
    <t xml:space="preserve">LAMINA DE 65.0 CMS. PARTIDA A LA 1/2 PARA ROLLOS DE 39.5_x000D_
KLS._x000D_
DESTINO  DARMA </t>
  </si>
  <si>
    <t xml:space="preserve">LAMINA LATIN FIESTA - FRESA 397 GR </t>
  </si>
  <si>
    <t>-OJO MATERIAL BRILLANTE_x000D_
-DESTINO CORREA_x000D_
-</t>
  </si>
  <si>
    <t>LAMINA EL SEMBRADOR - MANGO 397GR</t>
  </si>
  <si>
    <t>-LAMINA DE 71.0CMS. PARTIDA PARA ROLLOS DE 39.3_x000D_
CMS._x000D_
DESTINO DARMA</t>
  </si>
  <si>
    <t>LAMINA EL SEMBRADOR - MARACUYA 397GR</t>
  </si>
  <si>
    <t>-LAMINA DE 71.0CMS PARTIDA A LA 1/2 PARA ROLLOS DE 39.3_x000D_
KLS_x000D_
DESTINO DARMA</t>
  </si>
  <si>
    <t>811.010.574-0</t>
  </si>
  <si>
    <t>BBDL21+8+8X50X2</t>
  </si>
  <si>
    <t>ARROBERA REPOSTERIA</t>
  </si>
  <si>
    <t>-OJO CON LAS MEDIDAS_x000D_
-DESTINO SELLADO_x000D_
-</t>
  </si>
  <si>
    <t>LIN - TETALHOXCENO</t>
  </si>
  <si>
    <t>-OJO CON LAS MEDIDAS_x000D_
DESTINO SELLADO</t>
  </si>
  <si>
    <t>BBDI18+5+5X34X1.5</t>
  </si>
  <si>
    <t>PEQUEÑA DESPACHOS</t>
  </si>
  <si>
    <t>SESTINO DSELLADO</t>
  </si>
  <si>
    <t>SELLOPLAS</t>
  </si>
  <si>
    <t>BADI40X50+7X1.5</t>
  </si>
  <si>
    <t>OUTLET GRANDE</t>
  </si>
  <si>
    <t>BADI</t>
  </si>
  <si>
    <t>-DEJAR 10.0 CMS SIN TRATAR, A UN EXTREMO, Y MARCAR COMO BOCA DE LA BOLSA_x000D_
- DESTINOP DARMA_x000D_
-</t>
  </si>
  <si>
    <t>ARTE</t>
  </si>
  <si>
    <t>-BIEN EMPACADO PARA TROQUELAR EN BOLSAS_x000D_
-ALMACAEN</t>
  </si>
  <si>
    <t>LAMINA EL SEMBRADOR TOMATE DE ARBOL 397GR</t>
  </si>
  <si>
    <t>-MATERIAL BRILLANTE_x000D_
DESTINO CORREA_x000D_
-</t>
  </si>
  <si>
    <t>LAMINA LATIN FIESTA - MARACUYA 397 GR</t>
  </si>
  <si>
    <t>-OJO MAERIAL  BRILLANTE_x000D_
-DESTINO CORREA_x000D_
-</t>
  </si>
  <si>
    <t>LAMINA LATIN FIESTA - MANGO 397 GR</t>
  </si>
  <si>
    <t>-OJO MATERIAL BRILLANTE_x000D_
-IMPRESION CORREA_x000D_
-</t>
  </si>
  <si>
    <t>TBDL45X4.0</t>
  </si>
  <si>
    <t>SERVICIO DE EXTRUSION 18"</t>
  </si>
  <si>
    <t>BBDI17.5X28X2.5</t>
  </si>
  <si>
    <t>GENERICA GRANDE DISTRIBUIDORA EVELMAR</t>
  </si>
  <si>
    <t>-IMPRESION DARMA_x000D_
tratar una cara por dentro y otra por fuera</t>
  </si>
  <si>
    <t>LINEAL S. HEXENO</t>
  </si>
  <si>
    <t>BBDL18X20+2.5X1.5</t>
  </si>
  <si>
    <t>BOLSA 7X7</t>
  </si>
  <si>
    <t>-TUBULAR DE 42.4 CMS. PARTIDO CON SOLAPA_x000D_
-DE 2.5 CMS.  VOLADA_x000D_
-DESTINO ALMACEN_x000D_
-</t>
  </si>
  <si>
    <t>BBDL12X12+2.5X1.5</t>
  </si>
  <si>
    <t>BOLSA 5X5</t>
  </si>
  <si>
    <t>-TUBULAR DE 26.6 CMS. PARTIDO CON SOLAPA _x000D_
-DE 2.5 CMS. VOLADA_x000D_
-SELLDO_x000D_
-</t>
  </si>
  <si>
    <t>LAMINA EL SEMBRADOR GUAYABA 397GR</t>
  </si>
  <si>
    <t xml:space="preserve">-LAMINA DE 71.0CNS. PARTIDA A LA 1/2 PARA ROLLOS DE 27.5 KLS._x000D_
OJO MATERIAL BIAEN T/TE_x000D_
DESTINO DARMA_x000D_
-_x000D_
</t>
  </si>
  <si>
    <t>BADIPB40X30X3.5</t>
  </si>
  <si>
    <t>QUICK SILVER PEQUEÑA</t>
  </si>
  <si>
    <t xml:space="preserve">-IMPRESION DARMA_x000D_
</t>
  </si>
  <si>
    <t xml:space="preserve">-BIEN EMPACADO PARA TROQUELAR_x000D_
</t>
  </si>
  <si>
    <t>TROQUEL RIÑON-</t>
  </si>
  <si>
    <t>BADLPV60X90X1.2</t>
  </si>
  <si>
    <t>BOLSA BASURA 60X90 VERDE</t>
  </si>
  <si>
    <t>ALTA RECUPERADO</t>
  </si>
  <si>
    <t>900.324.206-6</t>
  </si>
  <si>
    <t>BBDI15X25+2.5X1.65</t>
  </si>
  <si>
    <t xml:space="preserve">PAN DE QUESO VIENESA </t>
  </si>
  <si>
    <t>-MATERIAL BRILLANTE_x000D_
-DESTINO DARMA_x000D_
-</t>
  </si>
  <si>
    <t>L HEXENO</t>
  </si>
  <si>
    <t>BBDL15X17+2.5X1.5</t>
  </si>
  <si>
    <t>BOLSA 6X6</t>
  </si>
  <si>
    <t>-TUBULAR DE 36.5 CMS. PARTIDO CON SOLAPA VOLADA_x000D_
-DE 2.5 CMS._x000D_
-DESTINO SELLADO_x000D_
-</t>
  </si>
  <si>
    <t>-DESTNO_x000D_
ALMACEN</t>
  </si>
  <si>
    <t>BBDL20+7+7X51X2.5</t>
  </si>
  <si>
    <t>TRANSPARENTE ESENCIA</t>
  </si>
  <si>
    <t>-OJ MEDIDAS_x000D_
-OJO RESISTENCIA_x000D_
-DESTINO SELLADO</t>
  </si>
  <si>
    <t>L EXENO</t>
  </si>
  <si>
    <t>-CORTE UNICAMENTE_x000D_
-PAQUETES EN BOLSAS_x000D_
-EMPACAR EN COSTALES NUEVOS CON BOLSA LAINER SIN MARCAR_x000D_
DESTINO MAUELES</t>
  </si>
  <si>
    <t>ZONA VIRTUAL</t>
  </si>
  <si>
    <t>-CARA INTERNA  SIN PIGMENTO_x000D_
-CARA EXTERNA CON EL PIGMENTO_x000D_
-DESTINO DARMA_x000D_
-</t>
  </si>
  <si>
    <t>VERDE LIMON</t>
  </si>
  <si>
    <t>TADL25X0.7</t>
  </si>
  <si>
    <t>PRECORTE BLANCO ORIGINAL 10X14"</t>
  </si>
  <si>
    <t>-SELLADO_x000D_
PARTIR A LA 1/2 CON CUCHILLA CALIENTE</t>
  </si>
  <si>
    <t>BADL50X61X0.5</t>
  </si>
  <si>
    <t>PAPELERA CON PEDAL 10 LTS - RECUPERADO</t>
  </si>
  <si>
    <t>-DESTINO  YUMUNDI_x000D_
-</t>
  </si>
  <si>
    <t>1/2 RDO. OPACO</t>
  </si>
  <si>
    <t>BBDI14X31X2.5</t>
  </si>
  <si>
    <t>LOMITOS DE TILAPIA</t>
  </si>
  <si>
    <t>HEXENO</t>
  </si>
  <si>
    <t>TADL45X0.8</t>
  </si>
  <si>
    <t>TUBULAR AD 45X0.8</t>
  </si>
  <si>
    <t>TADL65X1.7</t>
  </si>
  <si>
    <t>SERVICIO DE EXTRUSION - TUB AD 65X1.7</t>
  </si>
  <si>
    <t>-USAR MATERIA PRIMA DEL CLIENTE_x000D_
GRAFILADO AL MAXIMO</t>
  </si>
  <si>
    <t>TADL74X3</t>
  </si>
  <si>
    <t>BOLSA TRANSPARENTE 29X46 RETAL</t>
  </si>
  <si>
    <t>-DESTINO SELLADO_x000D_
-ALTA RDO TT/E</t>
  </si>
  <si>
    <t>LINS HEXENO</t>
  </si>
  <si>
    <t>-DESTINO ALMACEN_x000D_
OJO BUEN SELLE</t>
  </si>
  <si>
    <t>BADLPG50X50X0.8</t>
  </si>
  <si>
    <t>BOLSA BASURA 50X50 GRIS</t>
  </si>
  <si>
    <t>CANOA GENERICA 900GR</t>
  </si>
  <si>
    <t>890.400.514-1</t>
  </si>
  <si>
    <t>BADL35+9+9X76X1.8</t>
  </si>
  <si>
    <t>RLMB</t>
  </si>
  <si>
    <t>-MEZCLAS: INTERIOR :25 K. ALTA + 4 K LINEAL NORMAL_x000D_
EXTERIOR:25 K 640 + 4 K LINEAL HEXENO + 6 K 641_x000D_
-_x000D_
.</t>
  </si>
  <si>
    <t>PERFORACIONES</t>
  </si>
  <si>
    <t>800.041.731-3</t>
  </si>
  <si>
    <t>BADLPB14X19X1</t>
  </si>
  <si>
    <t>BOLSA 14X19 BLANCA</t>
  </si>
  <si>
    <t>ALMACEN-</t>
  </si>
  <si>
    <t>TADL35.5+10+10X1.65</t>
  </si>
  <si>
    <t>SERVICIO DE EXTRUSION - TUB AD 35.5+10+10X1.65</t>
  </si>
  <si>
    <t xml:space="preserve">-OJO 172 KLS DE PRODUCC +4 KLS DE RETAL =176 KLS._x000D_
DESTINO ALMACEN_x000D_
GRAFILADO_x000D_
-_x000D_
</t>
  </si>
  <si>
    <t>BADIPB50X40X3.5</t>
  </si>
  <si>
    <t>QUICK SILVER GRANDE</t>
  </si>
  <si>
    <t>-DSTINO DARMA_x000D_
-</t>
  </si>
  <si>
    <t>TADI60X2</t>
  </si>
  <si>
    <t>TUBULAR IMPRESO PARA MUESTRAS</t>
  </si>
  <si>
    <t>TADI</t>
  </si>
  <si>
    <t>BBDI17X23X3</t>
  </si>
  <si>
    <t>BOLSA LATIN FIESTA - COCO 397 GR</t>
  </si>
  <si>
    <t>-LAMINA DE 92.0CMS. PARTIDO A 46.0CMS , PARA 4 ROLLOS_x000D_
-DESTINO CORREA_x000D_
-</t>
  </si>
  <si>
    <t>811040799-9</t>
  </si>
  <si>
    <t>BBDLPV40X45+5X3</t>
  </si>
  <si>
    <t>NAVIDAD PLASTICOS UNION</t>
  </si>
  <si>
    <t>BBDLPV</t>
  </si>
  <si>
    <t xml:space="preserve">VERDE  </t>
  </si>
  <si>
    <t>900327611-1</t>
  </si>
  <si>
    <t>BADI40X50X3</t>
  </si>
  <si>
    <t>CITY BABY GRANDE</t>
  </si>
  <si>
    <t>-IMPRESION DARMA_x000D_
-</t>
  </si>
  <si>
    <t>-BIEN EMPACADO PARA TROQUELAR EN BOLSAS_x000D_
-ALMACEN</t>
  </si>
  <si>
    <t>LAMINA LATIN FIESTA - MORA 397 GR</t>
  </si>
  <si>
    <t>-OJO MATERIAL  BIEN TT/E_x000D_
-DESTINO CORREA</t>
  </si>
  <si>
    <t>TADL46+10+10X1.65</t>
  </si>
  <si>
    <t>FUELLE TRANSPARENTE ALTA DENSIDAD 2</t>
  </si>
  <si>
    <t>441 KLS DE PRODUCC + 9 DE RETAL = 450 KLOS_x000D_
DESTINO ALMACEN_x000D_
GRAFILADO_x000D_
-_x000D_
-</t>
  </si>
  <si>
    <t>BBDI19.5X20X3</t>
  </si>
  <si>
    <t xml:space="preserve">BOLSA TOMATE DE ARBOL EL SEMBRADOR 453 GR </t>
  </si>
  <si>
    <t xml:space="preserve">-LAMINA DE 80.0 CMS PARTIDA A LA 1/2 PARA 4 ROLLOS_x000D_
DE 180.CMS_x000D_
-DESTINO DARMA_x000D_
-MATERIAL BRILLANE_x000D_
-_x000D_
</t>
  </si>
  <si>
    <t>LI- HEXENO</t>
  </si>
  <si>
    <t>-SELLE DOBLE_x000D_
-ALMACEN</t>
  </si>
  <si>
    <t>98.528.821-4</t>
  </si>
  <si>
    <t>BBDI20X26X0.9</t>
  </si>
  <si>
    <t>MEDIA TELA</t>
  </si>
  <si>
    <t>DESTINO IMPRESION DARMA_x000D_
BUEN COMTROL AL CALIBRE X PESO</t>
  </si>
  <si>
    <t>20.5</t>
  </si>
  <si>
    <t xml:space="preserve">BLANCO </t>
  </si>
  <si>
    <t>DESTINO ALMACEN_x000D_
DEJAR MUESTRAS BIEN MARCADAS</t>
  </si>
  <si>
    <t>811.039.221-2</t>
  </si>
  <si>
    <t>CVADL40X70</t>
  </si>
  <si>
    <t>CUBRE VESTIDO  40X70</t>
  </si>
  <si>
    <t>CVADL</t>
  </si>
  <si>
    <t>CVADL35X50X0.5</t>
  </si>
  <si>
    <t>CUBRE VESTIDO 35X50</t>
  </si>
  <si>
    <t>PARTIR A LA1/2 CON CUCHILLA CALIENTE._x000D_
DESTINO SELLADO_x000D_
-</t>
  </si>
  <si>
    <t>BADIPB50X190X2.5</t>
  </si>
  <si>
    <t>IMPRESA 50X190 CODIGO 1015129</t>
  </si>
  <si>
    <t>-CARA INTERNA.:25 KLS DE ALTA RDO BLANCO + 3.0 KLS DE COMAI  750 + 5.0 KLS DE LINEAL_x000D_
-CARA EXTERNA: 25.0 KLS DE ALTA ORIGINAL + 5.0 KLS DE ALTA RDO BLANCO + 1.75 KLS DE PIG BLANCO + 5.0 KLS DE LINEAL</t>
  </si>
  <si>
    <t>CONTINUA</t>
  </si>
  <si>
    <t>-DESTINO MANUALES_x000D_
-SELLAR CANTIDAD EXACTA</t>
  </si>
  <si>
    <t>BBDL30X35X1.3</t>
  </si>
  <si>
    <t>BOLSA POLIETILENO 12X14"</t>
  </si>
  <si>
    <t>-TUBULAR DE 70.0 CMS TARTIDO A LA 1/2_x000D_
-DESTINO SELLADO_x000D_
-</t>
  </si>
  <si>
    <t>BBDL35X43X1.5</t>
  </si>
  <si>
    <t>BOLSA 14X17 ENDOCENAR</t>
  </si>
  <si>
    <t>BBDI13.5X23.5+2.5X1.5</t>
  </si>
  <si>
    <t>CONSUMO CUAJADA 400 GR</t>
  </si>
  <si>
    <t>SELLE EN "V"</t>
  </si>
  <si>
    <t>CANOA - MANGO 900GR</t>
  </si>
  <si>
    <t>LIN- HEXCENO</t>
  </si>
  <si>
    <t>900.293.515-2</t>
  </si>
  <si>
    <t>BADL60X100X0.8</t>
  </si>
  <si>
    <t>BOLSA 60X100</t>
  </si>
  <si>
    <t>PALMAS - GUANABANA 900GR</t>
  </si>
  <si>
    <t>MATERIAL BRILLANTE, PEDIR VºBº-_x000D_
DESTINO DARMA</t>
  </si>
  <si>
    <t>DESTINO ALMACEN _x000D_
OJO SELLE-</t>
  </si>
  <si>
    <t>BBDL22.5+8.5+8.5X63X2</t>
  </si>
  <si>
    <t>BOLSA GRANDE - ARROBERA Nº 2</t>
  </si>
  <si>
    <t>DESTINO SELLADO-_x000D_
OJO  RESISTENCIA</t>
  </si>
  <si>
    <t>LINEAL SUER  EXENO</t>
  </si>
  <si>
    <t>890.907.163-5</t>
  </si>
  <si>
    <t>BADL45+9+9X90X2</t>
  </si>
  <si>
    <t>ARROBERA BULLY</t>
  </si>
  <si>
    <t xml:space="preserve">-OJO MEDIDAS_x000D_
-DESTINO SELLADO_x000D_
-GRAFILADO_x000D_
</t>
  </si>
  <si>
    <t>LI- HEXCENO</t>
  </si>
  <si>
    <t>PALMAS - MANGO 900GR</t>
  </si>
  <si>
    <t>816.008.877-9</t>
  </si>
  <si>
    <t>CVBDL50X40X0.7</t>
  </si>
  <si>
    <t>CUBREVESTIDO 50X40</t>
  </si>
  <si>
    <t>CVBDL</t>
  </si>
  <si>
    <t>-DESTINO SELLADO _x000D_
-</t>
  </si>
  <si>
    <t>LAMINA LATIN - FIESTA PAPAYA 397 GR</t>
  </si>
  <si>
    <t>-OJO MATERIAL BRILLANTE_x000D_
DESTINO CORREA</t>
  </si>
  <si>
    <t>70.128.167-7</t>
  </si>
  <si>
    <t>BBDI13.8X30.5X3.5</t>
  </si>
  <si>
    <t>LOMITO DE TILAPIA</t>
  </si>
  <si>
    <t>LBDI44.5X2.5</t>
  </si>
  <si>
    <t>LAMINA CON FOTOCELDA 44.5 CM</t>
  </si>
  <si>
    <t>SUPER HEXCENO</t>
  </si>
  <si>
    <t>BADIPB30+7+7X55X1.5</t>
  </si>
  <si>
    <t>BOLSA VENTAS CARGADERA</t>
  </si>
  <si>
    <t xml:space="preserve">-DESTINO DARMA_x000D_
</t>
  </si>
  <si>
    <t>-BIEN EMPACADO EN BOLSA PARA TROQUELAR_x000D_
-</t>
  </si>
  <si>
    <t>890.900.608-9</t>
  </si>
  <si>
    <t>BBDIPB33X41X2</t>
  </si>
  <si>
    <t>BOLSA PERIODICO CALIBRE 2</t>
  </si>
  <si>
    <t>BBDIPB</t>
  </si>
  <si>
    <t>BOLSA PERIODICO</t>
  </si>
  <si>
    <t>IMPPRESIPON DARMA</t>
  </si>
  <si>
    <t>BADL52X90X2.5</t>
  </si>
  <si>
    <t>TIPO 3 ESPECIAL RECUPERADO</t>
  </si>
  <si>
    <t>1/2RDO OPACO</t>
  </si>
  <si>
    <t>TBDL54X2.4</t>
  </si>
  <si>
    <t>SERVICIO DE EXTRUSION - TUB 54X2.5</t>
  </si>
  <si>
    <t>-RETAL MAXIMO 2.3 KLS +112.7 KLS = 115.0 KLS _x000D_
-MATERIAL DEL CLIENTE_x000D_
DESTINIO ALMACEN</t>
  </si>
  <si>
    <t>TBDL39X1.9</t>
  </si>
  <si>
    <t>SERVICIO DE EXTRUSION - TUB 39X1.9</t>
  </si>
  <si>
    <t xml:space="preserve">-TUBULAR DE 78.0 CMS PARTIDO CON CUCHILLA TERMICA_x000D_
-RETAL MAXIMO 7.3 KLS  + 357.7 KLS = 365 KLS_x000D_
-MTERIAL DEL CLIENTE _x000D_
-DESTINO ALMACEN_x000D_
-_x000D_
-_x000D_
</t>
  </si>
  <si>
    <t>TBDL52.5X1.2</t>
  </si>
  <si>
    <t>SERVICIO DE EXTRUSION - TUB 52.5X1.2</t>
  </si>
  <si>
    <t>-RETAL MAXIMO 7.4 KLS + 362.6 KLS  = 370.0 KLS_x000D_
-MATERIAL CEL CLIENTE_x000D_
-</t>
  </si>
  <si>
    <t>TBDLPB64X1.4</t>
  </si>
  <si>
    <t>SERVICIO DE EXTRUSION - TUB 64X1.4</t>
  </si>
  <si>
    <t>-RETAL MAXIMO 1.0 KLS +44.0 KLS =45.0 KLS_x000D_
-DESTINO ALMACEN_x000D_
-MATERIAL DEL CLIENTE_x000D_
-</t>
  </si>
  <si>
    <t>BADLPA98X175X3</t>
  </si>
  <si>
    <t>BOLSA GENERICA AZUL CANECA</t>
  </si>
  <si>
    <t>BADLPA</t>
  </si>
  <si>
    <t>-MEZCLA: 25.0 KLS DE ALTA BRASKEN GM 9450F-  + 5.0 KLS DE HEAVY DIUTY + 8.0 KLS DE LINEAL HEXCENO_x000D_
-MATERIAL SIN  ARRUGAS_x000D_
-DESTINO MANUALES_x000D_
-</t>
  </si>
  <si>
    <t>BBDI21+7.5+7.5X59X2.0</t>
  </si>
  <si>
    <t>ABURRA 400 GR</t>
  </si>
  <si>
    <t>-OJO RESISTENCIA EXTREMOS_x000D_
-POCA ORESION EN LOS RODILLOS HALADORES_x000D_
-IMPRESION DARMA_x000D_
-</t>
  </si>
  <si>
    <t>LIN - HEXCENO</t>
  </si>
  <si>
    <t>TBDL50X3.3</t>
  </si>
  <si>
    <t>SERVICIO DE EXTRUSION 50X3.3</t>
  </si>
  <si>
    <t>RETAL MAXIMO 5.0 KLS. + 245.0 KLS =250 KLS _x000D_
_x000D_
-ALMACEN</t>
  </si>
  <si>
    <t>811.046.846-4</t>
  </si>
  <si>
    <t>BADIPNA40X45X3</t>
  </si>
  <si>
    <t>RAWFIT ALMACEN GRANDE NARANJA</t>
  </si>
  <si>
    <t>BADIPNA</t>
  </si>
  <si>
    <t>NARANJA</t>
  </si>
  <si>
    <t>811.014.311-9</t>
  </si>
  <si>
    <t>BBDI45X70X1.5</t>
  </si>
  <si>
    <t>LA SOÑADORA</t>
  </si>
  <si>
    <t>BADIPNA30X40X3</t>
  </si>
  <si>
    <t>RAWFIT ALMACEN PEQUEÑO NARANJA</t>
  </si>
  <si>
    <t>BBDI18.5X32+5X2</t>
  </si>
  <si>
    <t>BOLSA SIXPACK CONSUMO</t>
  </si>
  <si>
    <t>-TUBULAR DE 74.0 CMS. PARTIDO A LA 1/2 CON CUCHILLA TERMICA_x000D_
-TRATAR SOLAMENTE 15.0 CMS POR EL FONDO YMARCAR FONDO DE LA BOLSA_x000D_
-DESTINO DARMA_x000D_
-</t>
  </si>
  <si>
    <t>-BIEN EMPACADO EN BOLSA PARA TROQUELAR_x000D_
-ALMACEN</t>
  </si>
  <si>
    <t>BBDI15.5X23+3X1.5</t>
  </si>
  <si>
    <t>CUAJADA RIONEGRO 500GR</t>
  </si>
  <si>
    <t>-DESTINO DARMA_x000D_
-</t>
  </si>
  <si>
    <t>LBDI21.5X26.5X1.2</t>
  </si>
  <si>
    <t>LAMINA QUESITO SIMONA 200 GRM</t>
  </si>
  <si>
    <t>-LAMINA  DE 86.0 CMS PARTIDA A LA 1/2 _x000D_
 DESTINO DARMA_x000D_
-</t>
  </si>
  <si>
    <t>-RETAL MAXIMO 10 kls. +490 kls = 500 KLS_x000D_
-MATERIAL DEL CLIENTE_x000D_
-DESTINO ALMACEN</t>
  </si>
  <si>
    <t>100% BAJA RDO</t>
  </si>
  <si>
    <t>CANOA - GUAYABA 900GR</t>
  </si>
  <si>
    <t>-OJO BIEN CALIBRADO QUE LOS ROLLOS NO QUEDEN FLOJOS A UN LADO_x000D_
-DESTINO DEMMES_x000D_
-</t>
  </si>
  <si>
    <t>LINEAL HEXCENO</t>
  </si>
  <si>
    <t>890.937.837-9</t>
  </si>
  <si>
    <t>LBDL54X1.8</t>
  </si>
  <si>
    <t>SERVICIO DE EXTRUSION - LAM 54X18</t>
  </si>
  <si>
    <t>BADL60X100X2</t>
  </si>
  <si>
    <t>BOLSA BASURA RECUPERADA (BPM)</t>
  </si>
  <si>
    <t>TBDL37+8+8X1.4</t>
  </si>
  <si>
    <t>SERVICIO DE EXTRUSION - TUB 37+8+8X1.4</t>
  </si>
  <si>
    <t>-RETAL MAXIMO 2.0 KLS + 98.0KLS  = 100 KLS._x000D_
-MATERIAL DEL CLIENTE_x000D_
-OJO RESISTENCIA EXTREMOS_x000D_
-DESTINO ALMACEN_x000D_
-</t>
  </si>
  <si>
    <t>830.053.994-4</t>
  </si>
  <si>
    <t>CVBDL46X51X0.8</t>
  </si>
  <si>
    <t>CUBREVESTIDO 18X20"</t>
  </si>
  <si>
    <t>SELLE CUBREVESTIDO_x000D_
DESTINO ALMACEN</t>
  </si>
  <si>
    <t>CVBDL46X56X0.8</t>
  </si>
  <si>
    <t>CUBREVESTIDO 18X22"</t>
  </si>
  <si>
    <t>TBDLPB50X5.0</t>
  </si>
  <si>
    <t>SERVICIO DE EXTRUSION - TUB 50X5.0</t>
  </si>
  <si>
    <t>LAM- DOBLE</t>
  </si>
  <si>
    <t>-RETAL MAXIMO 1.0 KLS + 49.0 KLS  50.0KLS_x000D_
-MTERIAL DEL CLIENTE_x000D_
-</t>
  </si>
  <si>
    <t>BADL45X58X0.5</t>
  </si>
  <si>
    <t>BOLSA 18X23"</t>
  </si>
  <si>
    <t>-SELLDO YUMONDI_x000D_
-GRAFILDO  SUAVE_x000D_
-</t>
  </si>
  <si>
    <t>890.906.904-1</t>
  </si>
  <si>
    <t>BBDL76X68.5X2</t>
  </si>
  <si>
    <t>BOLSA BD 30X27" CODIGO 50065</t>
  </si>
  <si>
    <t>LI- SU- HEXCENO</t>
  </si>
  <si>
    <t>BADIPB40X50+7X1.5</t>
  </si>
  <si>
    <t>FRANELAS GRANDE</t>
  </si>
  <si>
    <t>-DEJAR 10.0CMS. SIN TRATAR A UN LADO Y MARCAR COMO BOCA DE LA BOLSA_x000D_
-OJO QUE NO QUEDE CON OREJA A UN LADO_x000D_
-DESTINO DARMA_x000D_
-</t>
  </si>
  <si>
    <t>BBDL15X23X2</t>
  </si>
  <si>
    <t>BOLSA TRANSPARENTE 6X9" AREQUIPE</t>
  </si>
  <si>
    <t>LIN. METALHPXCENO</t>
  </si>
  <si>
    <t>-OJO BUEN SELLE ES PARA EMPACAR LIQUIDOS, QUE NO QUEDE CON POROS_x000D_
-ALMACEN</t>
  </si>
  <si>
    <t>BADL93X58X1</t>
  </si>
  <si>
    <t>BOLSA CANASTA</t>
  </si>
  <si>
    <t>811.035.319-7</t>
  </si>
  <si>
    <t>BADL58X88X0.9</t>
  </si>
  <si>
    <t>PACA</t>
  </si>
  <si>
    <t>-DESTINO SELLADO_x000D_
-OJO RESISTENCIA_x000D_
-GRAFILADO_x000D_
-</t>
  </si>
  <si>
    <t>890.900.291-8</t>
  </si>
  <si>
    <t>REEMPAQUE CODIGO 530</t>
  </si>
  <si>
    <t xml:space="preserve">- MEZCLAS: INTERIOR. 25 K ALTA + 6 K LIEAL HEXCENO_x000D_
-EXTERIOR: 25 K 640 + 4 K LINEAL HEXCENO + 4 K BAJA_x000D_
-GRAFILADO_x000D_
-_x000D_
- </t>
  </si>
  <si>
    <t xml:space="preserve">-_x000D_
</t>
  </si>
  <si>
    <t xml:space="preserve">DESTINO SELLADO_x000D_
</t>
  </si>
  <si>
    <t>LBDL70X1.9</t>
  </si>
  <si>
    <t>LAMINA SERVICIO DE EXTRUSION</t>
  </si>
  <si>
    <t>-RETAL MAXIMO 5.0 KLS + 245 KLS = 250 KLS. _x000D_
-DESTINO ALMACEN _x000D_
-</t>
  </si>
  <si>
    <t>TBDL52.25X1.1</t>
  </si>
  <si>
    <t>SERVICIO DE EXTRUSION - TUB 52.25X1.1</t>
  </si>
  <si>
    <t>-RETAL MAXIMO 2.2 KLS. + 107.8 KLS = 110.0 KLS_x000D_
-DESTINO ALAMACEN_x000D_
-</t>
  </si>
  <si>
    <t>STBDL36+5X1.1</t>
  </si>
  <si>
    <t>SERVICIO DE EXTRUSION 36+5X1.1</t>
  </si>
  <si>
    <t>-OJO TUBULAR DE 77.0 CMS PAERTIDO  CON SOLAPA DE 5.0 CMS_x000D_
 RETAL MAXIMO 2.5 KLS. + 122.5 KLS = 125 KLS. _x000D_
-ALMACEN_x000D_
-</t>
  </si>
  <si>
    <t>BBDI21.5+6.5X27.5X1.5</t>
  </si>
  <si>
    <t>BOCARED</t>
  </si>
  <si>
    <t>-OJO LAMINA DE 99.0 CMS PARTIDA A LA 1/2 _x000D_
-IMPRESION DEMES_x000D_
-</t>
  </si>
  <si>
    <t>-OJO BIEN EMPACADO PARA TROQUELAR MANUL_x000D_
ALAMCEN</t>
  </si>
  <si>
    <t>BADLPR101X70X0.75</t>
  </si>
  <si>
    <t>CANASTA ROJA</t>
  </si>
  <si>
    <t>-SELLADO_x000D_
-</t>
  </si>
  <si>
    <t>BADLPA101X70X0.75</t>
  </si>
  <si>
    <t>CANASTA AZUL</t>
  </si>
  <si>
    <t>-OJO  EMPACAR SEGUN LAS NORMAS DEL CLIENTE_x000D_
-ALMACEN</t>
  </si>
  <si>
    <t>900.150.915-1</t>
  </si>
  <si>
    <t>BADIPR39X31X3.5</t>
  </si>
  <si>
    <t>COCOA JEANS ALMACEN</t>
  </si>
  <si>
    <t>BADIPR</t>
  </si>
  <si>
    <t>-TUBULAR DE 62.0 CMS PARTIDO A LA 1/2_x000D_
-IMPRESION DARMA_x000D_
-</t>
  </si>
  <si>
    <t xml:space="preserve">-BIEM EMPACADO EN BOLSAS PARA TROQUELAR_x000D_
</t>
  </si>
  <si>
    <t>ARROBERA NORMAL</t>
  </si>
  <si>
    <t>-OJO MEDIDAS Y RESISTENCIA _x000D_
-DESTINO SELLADO_x000D_
-GRAFILADO_x000D_
-</t>
  </si>
  <si>
    <t>BADIPB34X40+7X1.5</t>
  </si>
  <si>
    <t>FRANELAS PEQUEÑA</t>
  </si>
  <si>
    <t>-DEJAR 10.0 CMS. A UN LAOD SIN TRATAR Y MARCAR COMO BOCA DE LA BOLSA_x000D_
-OJO QUE NO QUEDE CON OREJA A UN LADO_x000D_
-DESTINO DARMA_x000D_
-</t>
  </si>
  <si>
    <t>-BIEN EMPACADO EN BOLSAS PARA TROQUELAR_x000D_
-ALMACEN</t>
  </si>
  <si>
    <t>TBDLPB50X1.9</t>
  </si>
  <si>
    <t>SERVICIO DE EXTRUSION - TUB 50X1.9</t>
  </si>
  <si>
    <t>-RETAL MAXIMO  9.5 KLS + 465.5 = 475 kls_x000D_
-MATERIAL DEL CLIENTE_x000D_
 DESTINO ALMACEN</t>
  </si>
  <si>
    <t>CANOA - LULO 900 GRM</t>
  </si>
  <si>
    <t>-IMPRESION DEMES_x000D_
-CONTROLAR LA OREJA _x000D_
-</t>
  </si>
  <si>
    <t>LIN- METALHOXCENO</t>
  </si>
  <si>
    <t>BBDLPB20X30X1</t>
  </si>
  <si>
    <t>PLASTICAUCA - KING - KONG</t>
  </si>
  <si>
    <t>BBDLPB</t>
  </si>
  <si>
    <t>811.039.649-0</t>
  </si>
  <si>
    <t>BBDL20+6+6X35X4</t>
  </si>
  <si>
    <t>BOLSA COEXTRUIDA SIN IMPRESION</t>
  </si>
  <si>
    <t>BADLPAM101X70X0.75</t>
  </si>
  <si>
    <t>CANASTA AMARILLA</t>
  </si>
  <si>
    <t>-EMPACAR SEGUN LA NORMA DEL CLIENTE_x000D_
-ALMACEN</t>
  </si>
  <si>
    <t>BBDL32X40X0.8</t>
  </si>
  <si>
    <t>CUBREHOMBROS 32X40</t>
  </si>
  <si>
    <t>-TUBULAR DE 80.0 CMS PARTIDO A LA 1/2 CON CUCHILLA TERMICA  (PARA PODERLE SUMINISTRAR AIRE EN SELLADO_x000D_
-DESTINO DELLADO_x000D_
-</t>
  </si>
  <si>
    <t>MEDIA LUNA</t>
  </si>
  <si>
    <t>BBDL26X26X0.8</t>
  </si>
  <si>
    <t>CUBREHOMBROS 26X26</t>
  </si>
  <si>
    <t>-DESTINO SELADO_x000D_
-</t>
  </si>
  <si>
    <t>BBDL30X29X0.8</t>
  </si>
  <si>
    <t>CUBREHOMBROS 30X29</t>
  </si>
  <si>
    <t>1/2 LUNA</t>
  </si>
  <si>
    <t>811.014.419-5</t>
  </si>
  <si>
    <t>BBDI21X30X2</t>
  </si>
  <si>
    <t>LUMUS 21X30</t>
  </si>
  <si>
    <t>-IMPRESION DARMA_x000D_
-CONTROLAR QUE LOS ROLLOS NO QUEDEN FLOJOS A UN LADO_x000D_
-</t>
  </si>
  <si>
    <t>BBDL19.5X27X1.25</t>
  </si>
  <si>
    <t>PEKITAS TACO X40</t>
  </si>
  <si>
    <t xml:space="preserve">DESTINO SELLADO_x000D_
-_x000D_
</t>
  </si>
  <si>
    <t>900.083.506-5</t>
  </si>
  <si>
    <t>BADIPB20X25X2</t>
  </si>
  <si>
    <t>MADED IN COLOMBIA PEQUEÑA</t>
  </si>
  <si>
    <t xml:space="preserve">-IMPRESION DARMA_x000D_
-_x000D_
</t>
  </si>
  <si>
    <t>LINEAL NORMAL</t>
  </si>
  <si>
    <t>-BIEN EMPACADO EN BOLSAS PARA TROQUELAR_x000D_
-</t>
  </si>
  <si>
    <t>BOLSA OUTLET GRANDE</t>
  </si>
  <si>
    <t>-OJO DEJAR 10.0 CMS A UN EXTREMO SIN TRATAR Y MARCAR COMO BOCA DE LA BOLSA_x000D_
-DARMA_x000D_
-</t>
  </si>
  <si>
    <t>BADLPR65X90X0.8</t>
  </si>
  <si>
    <t>BOLSA RECICLAJE 65X90 ROJA</t>
  </si>
  <si>
    <t>BBDI20+6+6X35X4</t>
  </si>
  <si>
    <t>BOLSA COEXTRUIDA IMPRESA</t>
  </si>
  <si>
    <t>BADL65X97X1</t>
  </si>
  <si>
    <t>LAINER 65X97</t>
  </si>
  <si>
    <t>DESTINO SELLADO_x000D_
GRAFILADO</t>
  </si>
  <si>
    <t>BADIPB20+6+6X43X1.5</t>
  </si>
  <si>
    <t>BOLSA PUNTO DE VENTA PEQUEÑA</t>
  </si>
  <si>
    <t>LINEAL -HEXCENO</t>
  </si>
  <si>
    <t>BBDIPB30X38X1.9</t>
  </si>
  <si>
    <t>OUTLET 30X38</t>
  </si>
  <si>
    <t>-TUBULAR DE 76.0 CMS. PARTIDO A LA 1/2_x000D_
-DESTINO DARMA_x000D_
-</t>
  </si>
  <si>
    <t>-BIEN EMPACACO ENBOLSAS PARA TROQUELAR_x000D_
-DESTINO TROQUELADO</t>
  </si>
  <si>
    <t>43.670.735-6</t>
  </si>
  <si>
    <t>BADL60X80X1.4</t>
  </si>
  <si>
    <t>DESPACHOS</t>
  </si>
  <si>
    <t>DESTINO ALMACEN_x000D_
OJO BUEN SELLE</t>
  </si>
  <si>
    <t>TADL100X1.5</t>
  </si>
  <si>
    <t>SERVICIO DE EXTRUSION TUBULAR AD 100X1.5</t>
  </si>
  <si>
    <t>-RETAL MAXIMO 10.0 KLS. + 490.0 KLS = 500.KLS._x000D_
DESTINO ALMACEN_x000D_
-</t>
  </si>
  <si>
    <t>890.926.766-7</t>
  </si>
  <si>
    <t>BBDI29X40.5X1.2</t>
  </si>
  <si>
    <t>BOLSA CHIQUITA PREMIUM</t>
  </si>
  <si>
    <t>-IMPRESION_x000D_
DARMA_x000D_
-</t>
  </si>
  <si>
    <t>-DESTINO: APARTADO_x000D_
-ORDEN DE COMPRA: 1329</t>
  </si>
  <si>
    <t>BBDL36X63X2.5</t>
  </si>
  <si>
    <t>NEGRA CHOCOLISTO</t>
  </si>
  <si>
    <t xml:space="preserve">-OJO BUEN CALIBRE A LO ANCHO DEL MATERIAL_x000D_
-DESTINO SELLADO_x000D_
-_x000D_
</t>
  </si>
  <si>
    <t>-PAQUETES EN BOLSAS _x000D_
-EMPACAR EN COSTALES NUEVOS CON BOLSA LAINER SIN MARCAR - NO COLOCAR LOS BULTOS EN PISO SUCIO_x000D_
-ALMACEN</t>
  </si>
  <si>
    <t>811.046.808-4</t>
  </si>
  <si>
    <t>BBDI9X27X3</t>
  </si>
  <si>
    <t>GUANABANA</t>
  </si>
  <si>
    <t>LINEAL EXENO</t>
  </si>
  <si>
    <t>FONDO DOBLE</t>
  </si>
  <si>
    <t>BADL62X120X2.5</t>
  </si>
  <si>
    <t>TIPO 2 ESPECIAL</t>
  </si>
  <si>
    <t>TILAPIA</t>
  </si>
  <si>
    <t>TIPO 3 ESPECIAL</t>
  </si>
  <si>
    <t>_x000D_
_x000D_
DESTINO SELLADO_x000D_
OJO MATERIAL GRAFILADO</t>
  </si>
  <si>
    <t>DESTINO ALMCEN</t>
  </si>
  <si>
    <t>_x000D_
-</t>
  </si>
  <si>
    <t>BBDLPB23X33X2.5</t>
  </si>
  <si>
    <t>FOOD SERVICE</t>
  </si>
  <si>
    <t>-66.0 CMS PARTIDO A LA1/2_x000D_
-SELLADO</t>
  </si>
  <si>
    <t>-PAQUETES SIN DOBLAR_x000D_
-EMPACAR EN COSTALES NUEVOS CON BOLSA LAINER SIN MARCAR - NO COLOCAR EL BULTO EN PISO SUCIO_x000D_
-ALMACEN</t>
  </si>
  <si>
    <t>BBDIPB27X38X4.5</t>
  </si>
  <si>
    <t>MORTERO DE COLOR</t>
  </si>
  <si>
    <t>FUELLE TRANSPARENTE DE ALTA DENSIDAD CALIBRE 1.65</t>
  </si>
  <si>
    <t>-RETAL MAXIMO 4.0 KILS + 296.0 KLS = 200 KLS._x000D_
-DESTINO ALMACEN_x000D_
-_x000D_
- CON MAERIAL DEL CLIENTE</t>
  </si>
  <si>
    <t>BBDI27X38X4.5</t>
  </si>
  <si>
    <t>BOLSA MORTERO COLOR</t>
  </si>
  <si>
    <t>-MRZCLA: 25.0LKS DE ORIGINAL + 10.0KLS DE BAJA RDO BLANCO + 8.0 LINEAL + 2.0 KLS DE PIG - BLANCO_x000D_
-DARMA_x000D_
-</t>
  </si>
  <si>
    <t>900.043.492-1</t>
  </si>
  <si>
    <t>BBDI20.5X44X1.5</t>
  </si>
  <si>
    <t>ALIÑADO TAJADO</t>
  </si>
  <si>
    <t>PAN PEQUEÑO</t>
  </si>
  <si>
    <t>ALMACEN</t>
  </si>
  <si>
    <t>MINIPAN</t>
  </si>
  <si>
    <t>PAN BOLA</t>
  </si>
  <si>
    <t>BBDI20.5X40+4X1.5</t>
  </si>
  <si>
    <t>PAN TAJADO RICO PAN</t>
  </si>
  <si>
    <t>BBDL30X40+3.5X1.25</t>
  </si>
  <si>
    <t>BOLSA 30X40+3.5 CALIBRE 1.25</t>
  </si>
  <si>
    <t>BADLPB20+6+6X30X1.5</t>
  </si>
  <si>
    <t>ALMACEN PEQUEÑO SIN IMPRESION</t>
  </si>
  <si>
    <t>BLNCO</t>
  </si>
  <si>
    <t>CAMISETA</t>
  </si>
  <si>
    <t>LINER 65X97</t>
  </si>
  <si>
    <t>HUESO DE BAGRE</t>
  </si>
  <si>
    <t>-OJO SELLE _x000D_
-ALMACEN</t>
  </si>
  <si>
    <t>-TUBULAR DE 80.0CMS PARTID A LA 1/2 CON CUCHILLA TERMICA_x000D_
-DESDTINO YUMONDI</t>
  </si>
  <si>
    <t>BBDL38+14.5+14.5X72X1.5</t>
  </si>
  <si>
    <t>EMPAQUE A GRANEL</t>
  </si>
  <si>
    <t>-OJO MEDIDAS Y RESISTENCA_x000D_
-DESTINO SELLADO</t>
  </si>
  <si>
    <t xml:space="preserve">-CORTAR UNICA/..... PAQUETES EN BOLSAS_x000D_
-EMPACAR EN COSTAL NUEVO CON BOLSA LAINER SIN MARCAR_x000D_
-NO COLOCAR LOS BULTOS EN PISO SUCIO </t>
  </si>
  <si>
    <t>BBDL63X109X2</t>
  </si>
  <si>
    <t>COCOA EXPORTACION</t>
  </si>
  <si>
    <t>-OJO REDISTENCIA_x000D_
-DESTINO SELLADO</t>
  </si>
  <si>
    <t>-PAQUETES EN BOLSAS_x000D_
-EMPACAR EN COSTAL NUEVO CON BOLSA LAINER SIN MARCAR_x000D_
-NO COLOCAR EL BULTO SOBRE EL PISO SUCIO_x000D_
- ALMACEN</t>
  </si>
  <si>
    <t>900.313.251-0</t>
  </si>
  <si>
    <t>LBDLPB24X1.0</t>
  </si>
  <si>
    <t xml:space="preserve">-LAMINA DE 48.0 CMS COLOCAR 2 CUCHILLAS  PARA SACAR UN DE 10.0KLS DE 24.0 CMS AL EMBOBINAR_x000D_
-BURN PIGMENTO_x000D_
-_x000D_
</t>
  </si>
  <si>
    <t>BANCO</t>
  </si>
  <si>
    <t>BADL101X70X0.75</t>
  </si>
  <si>
    <t>BOLSA CANASTA TRANSPARENTE</t>
  </si>
  <si>
    <t>-EMPACAR EN COSTAL NUEVO CON BOLSA LAINER_x000D_
ALMACEN</t>
  </si>
  <si>
    <t>LBDLPB90X2.4</t>
  </si>
  <si>
    <t>SERVICIO DE EXTRUSION - LAM 90X2.4</t>
  </si>
  <si>
    <t>LBDLPB</t>
  </si>
  <si>
    <t xml:space="preserve">-RETAL MAXIMO 5.4 KLS +264.6 KLS = 270.0KLS_x000D_
-MATERIAL DEL CLIENTE_x000D_
- DESTINO ALMACEN_x000D_
</t>
  </si>
  <si>
    <t>TBDL86X1.7</t>
  </si>
  <si>
    <t>TUBULAR 86 CM PARA PUERTAS</t>
  </si>
  <si>
    <t>I/2 RDO-OPACO</t>
  </si>
  <si>
    <t>BADIPB30X35+7X1.5</t>
  </si>
  <si>
    <t>OUTLET PEQUEÑO</t>
  </si>
  <si>
    <t xml:space="preserve">-BIEN EMPACADAS PARA TROQUELAR EN BOLSAS_x000D_
</t>
  </si>
  <si>
    <t>BADIPB35X40+5+7X2</t>
  </si>
  <si>
    <t>EXPOMODA</t>
  </si>
  <si>
    <t>-BIEN EMPACADAS PARA TROQUELAR_x000D_
-</t>
  </si>
  <si>
    <t>BADIPB38X32+5X3.5</t>
  </si>
  <si>
    <t>SUFI - MANOS LIBRES</t>
  </si>
  <si>
    <t>-DEJAR 10.0 CMS SIN TRATAR A UN EXTREMO , MARCAR CAMO FON DO DE LA BOLSA_x000D_
-IMPRESIO DARMA_x000D_
-</t>
  </si>
  <si>
    <t>BBDL48X37X3</t>
  </si>
  <si>
    <t>MEOO35 BOLSA 6 KILOS</t>
  </si>
  <si>
    <t>CVBDI51X56X1.8</t>
  </si>
  <si>
    <t>CUBREVESTIDO NAGA IMPRESO PEQUEÑO</t>
  </si>
  <si>
    <t>CVBDI</t>
  </si>
  <si>
    <t>22.081.577-4</t>
  </si>
  <si>
    <t>BBDL23+8+8X63X2.0</t>
  </si>
  <si>
    <t>BOLSA BD 15X25"</t>
  </si>
  <si>
    <t>-OJO BUENA RESISTENCIA EN LOS EXTREMOS- FUELLES_x000D_
-COLOCAR POCA PRESION EN LOS RODILLOS HALADORES_x000D_
-DESTINO SELLADO_x000D_
-</t>
  </si>
  <si>
    <t>-OJO BUENA RESISTENCIA EN LOS FUELLES_x000D_
-COLOCAR POCA PRESION EN LOS RODILLOS HALADORES_x000D_
-DESTINO SELLADO_x000D_
-</t>
  </si>
  <si>
    <t>BOLSA AD 14X25"</t>
  </si>
  <si>
    <t>-OJO CON LA RESISTENCIA EN LOS FUELLES_x000D_
-COLOCAR POCA PRESION EN LOS RODILLOS HALADORES_x000D_
-DESTINO SELLADO_x000D_
-GRAFILADO_x000D_
-</t>
  </si>
  <si>
    <t>SU- HEXCENO</t>
  </si>
  <si>
    <t>BBDL33X41X2</t>
  </si>
  <si>
    <t>BOLSA BD 13X16"</t>
  </si>
  <si>
    <t>830.058.216-5</t>
  </si>
  <si>
    <t>STBDL33X1.6</t>
  </si>
  <si>
    <t>SEMITUBULAR 33 CM</t>
  </si>
  <si>
    <t>-TUBULAR DE 66.0 CMS PARTIDO A LA1/2_x000D_
-2 ROLLOS DE 15.0KLS C/U_x000D_
-ALMACEN</t>
  </si>
  <si>
    <t>900.109.044-9</t>
  </si>
  <si>
    <t>BADIPB26X35.5X1.1</t>
  </si>
  <si>
    <t>ALMACEN PEQUEÑO LA MEDIA NARANJA</t>
  </si>
  <si>
    <t>-TUBULAR  DE 71.0 CMS PARTIDO A LA 1/2 _x000D_
-IMPRESUIN DARMA_x000D_
-</t>
  </si>
  <si>
    <t>BBDL11X22X2</t>
  </si>
  <si>
    <t>NACIONAL DE CHOCOLATES ESENCIAS TRANSPARENTE</t>
  </si>
  <si>
    <t>-PAQUETES EN BOLSAS_x000D_
EN COSTALES NUEVOS SIN  MARCAR.....NO COLOCAR LOS BULTOS EN PISO SUCIO_x000D_
DESTINO ALMACEN</t>
  </si>
  <si>
    <t>BADLPV101X70X0.75</t>
  </si>
  <si>
    <t>CANASTA VERDE</t>
  </si>
  <si>
    <t>-EMPACAR EN COSTAL NUEVO CON BOLSA LAINER_x000D_
-ALMACEN</t>
  </si>
  <si>
    <t>BADLPROS101X70X0.75</t>
  </si>
  <si>
    <t>CANASTA ROSADA</t>
  </si>
  <si>
    <t>BADLPROS</t>
  </si>
  <si>
    <t>-DESINO SELLDO_x000D_
-1500 GMS. DE PIGMENTO BLANCO _x000D_
-180 GRS  PIG ROJO_x000D_
-</t>
  </si>
  <si>
    <t>ROJO -BLA</t>
  </si>
  <si>
    <t>TADLPG74X3</t>
  </si>
  <si>
    <t>BOLSA BASURA 29X46" GRIS</t>
  </si>
  <si>
    <t>TADLPG</t>
  </si>
  <si>
    <t>CVADL50X100X0.5</t>
  </si>
  <si>
    <t>CUBREVESTIDO 50X100</t>
  </si>
  <si>
    <t>DESTINO YUMONDI</t>
  </si>
  <si>
    <t>CORTE Y SELLE CUBREVESTIDO_x000D_
DESTINO ALMACEN</t>
  </si>
  <si>
    <t>BADL98X175X2</t>
  </si>
  <si>
    <t>MUESTRAS COEXTRUSION 98x175</t>
  </si>
  <si>
    <t>-MEZCLA: 25.0KILOS DE ALTA BRASKEN 9450F +5.0KLS DE HEAVY DIUTY + 8.0KLS DE LINEAL HEXCENO</t>
  </si>
  <si>
    <t>MANUALES</t>
  </si>
  <si>
    <t>BADL60X92X2</t>
  </si>
  <si>
    <t>MUESTRAS COEXTRUSION 60x92</t>
  </si>
  <si>
    <t>-MEZCLA: 25.0KLS DE ALTA BRASKEN9450F + 5.0 KLS DE HEAVY  DIUTY + 8.0 KLS DE LINEAL HEXCENO_x000D_
-DESTINO SELLADO</t>
  </si>
  <si>
    <t>BBDL14.5X22.5+2.5X1.5</t>
  </si>
  <si>
    <t>BOLSA SIN IMPRESION QUESITO 400 GR</t>
  </si>
  <si>
    <t>-DESTINO SELLALDO_x000D_
-TRABAJAR CON  ROTACION COMO CAFETERO</t>
  </si>
  <si>
    <t>BOLSA SIMONA CODIGO DE BARRAS</t>
  </si>
  <si>
    <t>-TRATAR SOLO DE LA 1/2 AL EXTREMO Y MARCAR COMO FONDO DE LA BOLSA_x000D_
-DESTINO DARMA_x000D_
-</t>
  </si>
  <si>
    <t>RIÑON CURVO</t>
  </si>
  <si>
    <t>LBDI26X33.5X1.5</t>
  </si>
  <si>
    <t>LAMINA TRANSPARENTE QUESO 400 GR</t>
  </si>
  <si>
    <t>BADL62X74X0.7</t>
  </si>
  <si>
    <t>BOLSA INDIVIDUAL 62X74</t>
  </si>
  <si>
    <t>890.900.259-1</t>
  </si>
  <si>
    <t>BPPL47.5X50+5X2</t>
  </si>
  <si>
    <t>COJIN 47.5X50+5</t>
  </si>
  <si>
    <t>BPPL</t>
  </si>
  <si>
    <t>CINTA  D . FAZ</t>
  </si>
  <si>
    <t>BBDIPB35X60X5</t>
  </si>
  <si>
    <t>10 KILOS IMPRESA</t>
  </si>
  <si>
    <t>COLOCAR RUANA EN  LOS EXTREMOS</t>
  </si>
  <si>
    <t>LINE-SUP-EXENO</t>
  </si>
  <si>
    <t>CANASTA TRANSPARENTE</t>
  </si>
  <si>
    <t>BADL51X100X2</t>
  </si>
  <si>
    <t>BOLSA 51X100</t>
  </si>
  <si>
    <t>OJO RESISTENCIA_x000D_
DESTINO SELLADO</t>
  </si>
  <si>
    <t>BBDL26X36+3.5X1.25</t>
  </si>
  <si>
    <t>BOLSA 26X36+3.5X1.25 CONCALIDAD</t>
  </si>
  <si>
    <t>CUBREVESTDIO 18X20"</t>
  </si>
  <si>
    <t>CUBREVESTIDO-</t>
  </si>
  <si>
    <t>71.681.459-6</t>
  </si>
  <si>
    <t>BADIPB39X45X1.5</t>
  </si>
  <si>
    <t>PIETON GRANDE INTERNA</t>
  </si>
  <si>
    <t>TUBULAR ABIERTO_x000D_
DESTINO DARMA-</t>
  </si>
  <si>
    <t>39.0</t>
  </si>
  <si>
    <t>40.</t>
  </si>
  <si>
    <t>PLATA</t>
  </si>
  <si>
    <t xml:space="preserve">-DESTINO SELLADO_x000D_
_x000D_
</t>
  </si>
  <si>
    <t>EMBOLSADA Y PEGADA DE TIRA-</t>
  </si>
  <si>
    <t>BADL39X45X2</t>
  </si>
  <si>
    <t>PIETON GRANDE EXTERNA</t>
  </si>
  <si>
    <t>BUEN CALIBRE OJO QUE EL ROLLO NO QUEDE FLOJO A UN LADO_x000D_
DESTINO DARMA_x000D_
_x000D_
_x000D_
_x000D_
_x000D_
_x000D_
_x000D_
-</t>
  </si>
  <si>
    <t>39-</t>
  </si>
  <si>
    <t>40-</t>
  </si>
  <si>
    <t>DESTINO MANUALES_x000D_
-</t>
  </si>
  <si>
    <t>EMBOLSAR Y PEGAR TIRA ROJA-</t>
  </si>
  <si>
    <t>BBDI50X70X1.5</t>
  </si>
  <si>
    <t>FATELARES</t>
  </si>
  <si>
    <t>50-</t>
  </si>
  <si>
    <t>DEJAR MUESTRAS_x000D_
DESTINO ALMACEN-</t>
  </si>
  <si>
    <t>COMODISIMOS</t>
  </si>
  <si>
    <t>811.040.836-3</t>
  </si>
  <si>
    <t>TADL75X2</t>
  </si>
  <si>
    <t>TUBULAR ORIGINAL 75X2.0</t>
  </si>
  <si>
    <t>811.012.208-9</t>
  </si>
  <si>
    <t>BADLPNA60+10+10X80X1</t>
  </si>
  <si>
    <t>MUESTRAS</t>
  </si>
  <si>
    <t>BADLPNA</t>
  </si>
  <si>
    <t>OJO CON QUE LOS FUELLES NO QEDEN FLOJOS_x000D_
DESTINO SELLADO</t>
  </si>
  <si>
    <t>DEJAR MUESTRAS_x000D_
DESTINO ALMACAEN-</t>
  </si>
  <si>
    <t>TORTA DE PESCADO X 9</t>
  </si>
  <si>
    <t>BUEN CONTROL AL CALIBRE_x000D_
DESTINO DARMA-_x000D_
-</t>
  </si>
  <si>
    <t>17.5-</t>
  </si>
  <si>
    <t>35-</t>
  </si>
  <si>
    <t>DEJAR MUESTRAS _x000D_
DESTONO ALMACEN-</t>
  </si>
  <si>
    <t>BBDL21+8+8X60X2</t>
  </si>
  <si>
    <t>ARROBERA 460 GR</t>
  </si>
  <si>
    <t>OJO MUCHO CONTROL ES UNA MUESTRA_x000D_
BUENA RESISTENCIA_x000D_
QUE LOS FUELLES NO QUEDEN FLOJOS_x000D_
DESTIMO SELLADO-_x000D_
ROLLO DE 230 MTS.</t>
  </si>
  <si>
    <t>OJO BIEN CONTROLADO ES UNA MUESTRA_x000D_
DEJAR MUESTRA BIEN MARCADAS-</t>
  </si>
  <si>
    <t>BADL42X70X0.6</t>
  </si>
  <si>
    <t>BOLSA PACA TOSTADA 42X70</t>
  </si>
  <si>
    <t>BIEN CALIBRADO_x000D_
_x000D_
DESTINO SELLADO</t>
  </si>
  <si>
    <t>PAQUETES AMARRADOS_x000D_
COLOCAR BOLSA LAINER AL EMPAQUE-</t>
  </si>
  <si>
    <t>BADLPV40X50X0.8</t>
  </si>
  <si>
    <t>BOLSA BASURA 40X50 VERDE</t>
  </si>
  <si>
    <t>GRAFILADO SUAVE_x000D_
DESTINO SELLADO_x000D_
1 ROLLO DE 409 MTS.</t>
  </si>
  <si>
    <t>RDO. DE 1/2</t>
  </si>
  <si>
    <t>3.481.950-6</t>
  </si>
  <si>
    <t>BADIPP40X45X2.5</t>
  </si>
  <si>
    <t>ONIX</t>
  </si>
  <si>
    <t>BADIPP</t>
  </si>
  <si>
    <t>BBDI30X70X4</t>
  </si>
  <si>
    <t>GRANDE MITSUBISHI</t>
  </si>
  <si>
    <t>OJO  RESISTENCIA-_x000D_
DESTINO DARMA</t>
  </si>
  <si>
    <t>35.-</t>
  </si>
  <si>
    <t>-2 REPETICIONES X BOLSA_x000D_
DESTINO SELLADO</t>
  </si>
  <si>
    <t>DEJAR MUESTRAS _x000D_
DESTINO ALMACEN-</t>
  </si>
  <si>
    <t>TUBULAR AD 91X3.0 RECUPERADO</t>
  </si>
  <si>
    <t>DESTNO ALMACEN_x000D_
-</t>
  </si>
  <si>
    <t>TTE RDO</t>
  </si>
  <si>
    <t>TADL60X4</t>
  </si>
  <si>
    <t>TUBULAR AD 60X4.0 RECUPERADO</t>
  </si>
  <si>
    <t>DESTINO: ALMACEN</t>
  </si>
  <si>
    <t>RDO ALTA OPACO</t>
  </si>
  <si>
    <t>BADL51X170X2</t>
  </si>
  <si>
    <t>BOLSA 51X170 RECUPERADO</t>
  </si>
  <si>
    <t>DESTINO DOBLDORA  MANUALES_x000D_
-</t>
  </si>
  <si>
    <t>CORTE Y SELLE MANUL-</t>
  </si>
  <si>
    <t>BADL60X240X2</t>
  </si>
  <si>
    <t>BOLSA 60X240 RECUPERADO</t>
  </si>
  <si>
    <t>DESTINO DOBLADORA_x000D_
-</t>
  </si>
  <si>
    <t>93355220-6</t>
  </si>
  <si>
    <t>BBDIPB38X44+7X3</t>
  </si>
  <si>
    <t>BOLSA PIGMENTO GRANDE</t>
  </si>
  <si>
    <t>BIEN EMBOBINADO QUE NO QUEDE FLOJO A LOS EXTREMOS_x000D_
USAR LINEAL EXENO_x000D_
DEJAR SIN TRATAR 10 CMS EN CADA EXTREMO_x000D_
DESTINO CORREA</t>
  </si>
  <si>
    <t>38-</t>
  </si>
  <si>
    <t>POLICRO</t>
  </si>
  <si>
    <t>-BIEN EMPACADAS EN BOLSAS  PARA TROQUELAR_x000D_
-DESTINO TROQUEL</t>
  </si>
  <si>
    <t>BBDIPB25X35X3</t>
  </si>
  <si>
    <t>BOLSA PIGMENTO PEQUEÑO</t>
  </si>
  <si>
    <t>CONTROLAR EMBOMINADO QUE NO QUEDE FLOJO A UN LADO_x000D_
USAR LINEAL EXENO_x000D_
8 ROLLOS X 1054 MTS -  2 X 843 MTS_x000D_
DESTINO CORREA</t>
  </si>
  <si>
    <t>MUESTRA-</t>
  </si>
  <si>
    <t>DEJAR MUESTRAS_x000D_
DESTINO :TROQUELSDO_x000D_
BIEM EMPACADAS PARA TROQUELAR</t>
  </si>
  <si>
    <t>BADL60X88X1</t>
  </si>
  <si>
    <t>PACA RECUPERADA - TRANSPORTES</t>
  </si>
  <si>
    <t xml:space="preserve">MATERIAL GRAFILADO_x000D_
BIEN CALIBRADO X PESO_x000D_
DESTINO YUMONDI_x000D_
</t>
  </si>
  <si>
    <t>I/2 OPACO RDO</t>
  </si>
  <si>
    <t>SIN PERFORAR_x000D_
OJO AL SELLE Y BOCA DE LA BOLSA QUE NO QUEDE SELLADA_x000D_
COLOCAR BOLSA LAINER AL EMPAQUE_x000D_
DESTINO ALMACEN</t>
  </si>
  <si>
    <t>BOLSA 51X100 RECUPERADO</t>
  </si>
  <si>
    <t>-DESTINO SELLADO_x000D_
-_x000D_
_x000D_
.</t>
  </si>
  <si>
    <t xml:space="preserve">- </t>
  </si>
  <si>
    <t>890.921.141-1</t>
  </si>
  <si>
    <t>BBDL105X155X2</t>
  </si>
  <si>
    <t>REEMPAQUE GRANDE CALIBRE 2</t>
  </si>
  <si>
    <t xml:space="preserve">-4 ROLLOS DE 407 MTS_x000D_
BUEN CALIBRE_x000D_
DESTINO ALMACEN_x000D_
</t>
  </si>
  <si>
    <t>RDO. TTE BAJA</t>
  </si>
  <si>
    <t>BBDL41X107X2</t>
  </si>
  <si>
    <t>BOLSA 41X107 TOALLA</t>
  </si>
  <si>
    <t>4 ROLLOS DE 407MTS_x000D_
OJO BUEN CALIBRE_x000D_
DESTINO SELLADO</t>
  </si>
  <si>
    <t>RDO TTE</t>
  </si>
  <si>
    <t>43.827.301-9</t>
  </si>
  <si>
    <t>BADIPB35X40X3</t>
  </si>
  <si>
    <t>TALBOT ALMACEN TURQUEZA</t>
  </si>
  <si>
    <t>BIEN EMPACADO PARA TROQUELAR-</t>
  </si>
  <si>
    <t>BBDL18+6+6X55X2</t>
  </si>
  <si>
    <t>ARROBERA MIXTURA</t>
  </si>
  <si>
    <t xml:space="preserve">OJO BUEN CALIBRE POR PESO Y CALIBRADOR_x000D_
BUENA RESISTENCIA_x000D_
QUE LOS FUELLES NO QUEDEN FLOJOS_x000D_
DESTINO SELLADO_x000D_
</t>
  </si>
  <si>
    <t xml:space="preserve">OJO BUEN CONTROL ES UNA MUESTRA_x000D_
DESTINO ALMACEN_x000D_
_x000D_
</t>
  </si>
  <si>
    <t>BADL37+9+9X50X2.2</t>
  </si>
  <si>
    <t>ARROBERA PARA SALES</t>
  </si>
  <si>
    <t>DESTINO SELLADO-_x000D_
OJO RESISTENCIA</t>
  </si>
  <si>
    <t>TORTA DE PESCADO X 9 PYP</t>
  </si>
  <si>
    <t>DESTINO DARMA_x000D_
-_x000D_
_x000D_
_x000D_
_x000D_
-</t>
  </si>
  <si>
    <t>BADLPB35.5+6+6X60X1.7</t>
  </si>
  <si>
    <t>ALMACEN GRANDE SIN IMPRESION</t>
  </si>
  <si>
    <t>QUE LOS FUELLES NO QUEDEN FLOJOS_x000D_
DESINO SELLADO-</t>
  </si>
  <si>
    <t>BIEN EMPACADAS PARA TROQQUELAR_x000D_
DESTINO MANUALES-</t>
  </si>
  <si>
    <t>TROQUEL CAMISETA-</t>
  </si>
  <si>
    <t>TADL38X0.7</t>
  </si>
  <si>
    <t>PRECORTE BLANCO ORIGINAL 15X24"</t>
  </si>
  <si>
    <t>-TUBULAR DE 76. 0 CMS. PARTIDO CON CUCHILLA  TERMICAPARA ROLLOS DE 38.0CMS  31.5 KLS_x000D_
DESTINO  YUMONDI_x000D_
-</t>
  </si>
  <si>
    <t>- ROLLOS DE 1140 BOLSAS</t>
  </si>
  <si>
    <t>PRECORTE-</t>
  </si>
  <si>
    <t>LBDL105X1.2</t>
  </si>
  <si>
    <t>SERVICIO DE EXTRUSION - LAM 105X1.2</t>
  </si>
  <si>
    <t>LBDL104.5X0.9</t>
  </si>
  <si>
    <t>SERVICIO DE EXTRUSION - LAM 104.5X0.9</t>
  </si>
  <si>
    <t xml:space="preserve">DESTINO ALMACEN_x000D_
-INCLUIR EL RETAL EN EL KILAJE </t>
  </si>
  <si>
    <t>BADLPA60X90X2</t>
  </si>
  <si>
    <t>BOLSA 60X90 BASURA AZU</t>
  </si>
  <si>
    <t>OJO SELLE_x000D_
DESTINO ALMACEN-</t>
  </si>
  <si>
    <t>BADLPV60X90X2</t>
  </si>
  <si>
    <t>BOLSA 60X90 BASURA VERDE</t>
  </si>
  <si>
    <t>OJO SELLE _x000D_
DESTINO ALMACEN-</t>
  </si>
  <si>
    <t>SUPER EXENO</t>
  </si>
  <si>
    <t>LBDL85X1.9</t>
  </si>
  <si>
    <t>SERVICIO DE EXTRUSION - LAM 85X1.9</t>
  </si>
  <si>
    <t>RETAL MAXIMO 1.8 KLS + 94.2 KLS. = 96.0 KLS_x000D_
-CON MATERIAL DEL CLIENTE_x000D_
-ALMACEN</t>
  </si>
  <si>
    <t>LBDL50X1.9</t>
  </si>
  <si>
    <t>SERVICIO DE EXTRUSION - LAM 50X1.9</t>
  </si>
  <si>
    <t>-RETAL MAXIMO 3.8 KLS + 186.2 KLS = 190.0 KLS_x000D_
-CON MATERIAL DEL CLIENTE_x000D_
-ALMACEN</t>
  </si>
  <si>
    <t>LBDL85X1.4</t>
  </si>
  <si>
    <t>SERVICIO DE EXTRUSION - LAM 85X1.4</t>
  </si>
  <si>
    <t>OJO BUEN CALIBRE POR PESO Y POR CALIBRADOR_x000D_
BUENA RESISTENCIA_x000D_
QUE QUE LOS FUELLES NO QUEQDEN FLOJOS_x000D_
DESTINO SELLADO</t>
  </si>
  <si>
    <t>BUEN SELLE _x000D_
DESTINO ALMACEN-</t>
  </si>
  <si>
    <t>71.683.474-6</t>
  </si>
  <si>
    <t>BBDIPB24X36+7X1.8</t>
  </si>
  <si>
    <t>HELPHARMA</t>
  </si>
  <si>
    <t>24-</t>
  </si>
  <si>
    <t>48-</t>
  </si>
  <si>
    <t xml:space="preserve">ROJO </t>
  </si>
  <si>
    <t>DEJAR MUESTRAS_x000D_
BIEN EMPACADO PARA TROQUELAR-</t>
  </si>
  <si>
    <t>BBDI21+8+8X60X2</t>
  </si>
  <si>
    <t>ARROBERA 460GR IMPRESA</t>
  </si>
  <si>
    <t>BUEN CALIBRE POR PESO Y ACALIBRADOR_x000D_
BUENA RESISTENCIA_x000D_
QUE LOS FUELLES NO QUEDEN FLOJOS_x000D_
DESTINO DARMA-</t>
  </si>
  <si>
    <t>METALHOXCENO</t>
  </si>
  <si>
    <t>2.0</t>
  </si>
  <si>
    <t>60-</t>
  </si>
  <si>
    <t>-TRABAJAR CON DOBLE PESTAÑA_x000D_
-DESTINO ALMACEN_x000D_
OJO SELLE-</t>
  </si>
  <si>
    <t>TBDL19.5+7+7X2</t>
  </si>
  <si>
    <t>SERVICIO DE EXTRUSION Y SELLADO</t>
  </si>
  <si>
    <t>LINEAL EXENO_x000D_
DESTINO SELLADO_x000D_
OJO RESISTENCIA-</t>
  </si>
  <si>
    <t>BBDL68X73.5X1.5</t>
  </si>
  <si>
    <t>COJIN TV</t>
  </si>
  <si>
    <t>DESTINOP MANUALES_x000D_
-</t>
  </si>
  <si>
    <t>SELLE ADICIONAL_x000D_
-</t>
  </si>
  <si>
    <t>890.903.310-3</t>
  </si>
  <si>
    <t>BADI53X80X3.5</t>
  </si>
  <si>
    <t>BOLSA ANHIDRIDO</t>
  </si>
  <si>
    <t>OJO PEDIDO ESPECIAL  BIEN CALIBARADO BUENA RESISTENCIA_x000D_
_x000D_
DESTINO DARMA-</t>
  </si>
  <si>
    <t>HECXENO</t>
  </si>
  <si>
    <t>80.-</t>
  </si>
  <si>
    <t>800.129.625-0</t>
  </si>
  <si>
    <t>LPPI18X20X2</t>
  </si>
  <si>
    <t>PLASTICO FRUIDOR 18X20</t>
  </si>
  <si>
    <t>LPPI</t>
  </si>
  <si>
    <t>IMPRESION DARMA_x000D_
-</t>
  </si>
  <si>
    <t>18-</t>
  </si>
  <si>
    <t>36-</t>
  </si>
  <si>
    <t>DEJJAR MUESTRAS_x000D_
DESTINO ALMACEN-</t>
  </si>
  <si>
    <t>BBDI23X28+5X0.9</t>
  </si>
  <si>
    <t>PARIGI</t>
  </si>
  <si>
    <t>23.-</t>
  </si>
  <si>
    <t>46-</t>
  </si>
  <si>
    <t>DEJAR MUESTRAS BIEN MARCADAS-</t>
  </si>
  <si>
    <t>BBDL36X56X1.0</t>
  </si>
  <si>
    <t>BOLSA X 6 UND - 36X56 CM</t>
  </si>
  <si>
    <t>DESTINO SELLADO_x000D_
_x000D_
_x000D_
_x000D_
_x000D_
_x000D_
_x000D_
-</t>
  </si>
  <si>
    <t>TADL77X2</t>
  </si>
  <si>
    <t>BADL48X68X1.5</t>
  </si>
  <si>
    <t>BANDEJA DE LUJO GRANDE ORIGINAL</t>
  </si>
  <si>
    <t>DESTNO SELLADO-</t>
  </si>
  <si>
    <t>TBDL32X0.9</t>
  </si>
  <si>
    <t>SERVICIO DE EXTRUSION - TUB 32X0.9</t>
  </si>
  <si>
    <t>LBDL64X1.2</t>
  </si>
  <si>
    <t>SERVICIO DE EXTRUSION - LAM 64X1.2</t>
  </si>
  <si>
    <t>DESTINO: ALMCEN-</t>
  </si>
  <si>
    <t>LBDL102X1.4</t>
  </si>
  <si>
    <t>SERVICIO DE EXTRUSION - LAM 102X1.4</t>
  </si>
  <si>
    <t xml:space="preserve">-RETAL MAXIMO 4.0 KLS + 296.0 KLS = 200 KLS_x000D_
-DESTINO ALMACEN_x000D_
-641 DEL CLIENTE_x000D_
</t>
  </si>
  <si>
    <t>BADLPB43X190X2.5</t>
  </si>
  <si>
    <t>SIN IMPRESION 43X190 CODIGO 1335047</t>
  </si>
  <si>
    <t>-CARA EXERNA MEZCLA NORMAL_x000D_
-CARA INTERNA 20.0KLS DE ALTA +5.0 KLS DE ALTA RDO BLANCO+2.0 KLS DE COMAI 750 +1.30KLS DE PIG BLANCO +8.0 KLS DE LINEAL_x000D_
-DESTINO SELLADO MANUAL</t>
  </si>
  <si>
    <t>-DESTINO ALMACEN_x000D_
-SELLAR CANTIDAD EXACTA</t>
  </si>
  <si>
    <t>TBDL53X1.2</t>
  </si>
  <si>
    <t>SERVICIO DE EXTRUSION - TUB 53X1.2</t>
  </si>
  <si>
    <t>OJO INCLUIR RETAL EN EL KILAJE_x000D_
DESTINO ALMACEN-</t>
  </si>
  <si>
    <t>BBDL40X70X3</t>
  </si>
  <si>
    <t>BOLSA DOSIFICADORA 20K</t>
  </si>
  <si>
    <t>DESTINO ALMACEN_x000D_
USAR BOLSA LAINER EN EL EMPAQUE</t>
  </si>
  <si>
    <t>811.015.887-3</t>
  </si>
  <si>
    <t>BADI66X66+6+6X3</t>
  </si>
  <si>
    <t>FINOLINO GRANDE</t>
  </si>
  <si>
    <t>DESTINO IMPRESION DARMA_x000D_
OJO  .:CONTROLAR QUE LOS FUELLES NO QUEDEN  FLOJOS</t>
  </si>
  <si>
    <t>MANIJA FLEXIBLE GRIS DE 40CM_x000D_
DESTINO ALMACEN</t>
  </si>
  <si>
    <t>CVBDL46X71X0.8</t>
  </si>
  <si>
    <t>CUBREVESTIDO 18X28"</t>
  </si>
  <si>
    <t xml:space="preserve">CUBRESTIDO_x000D_
DESTINO ALMAACEN_x000D_
_x000D_
_x000D_
</t>
  </si>
  <si>
    <t>BADL47X65X0.5</t>
  </si>
  <si>
    <t>BOLSA 18.5X25.5" - CAL 0.5</t>
  </si>
  <si>
    <t>BOLSA 51X170</t>
  </si>
  <si>
    <t>OJO RESITENCIA Y CALIBRE X PESO_x000D_
DESTINO MANUALES</t>
  </si>
  <si>
    <t>BBDI39X45X3</t>
  </si>
  <si>
    <t>XTREMO GRANDE</t>
  </si>
  <si>
    <t>ROLLOS BIEN EMBUELTOS,  SALEN FUERA DE LA CIUDAD_x000D_
BIEN TRATADO 42 DINAS</t>
  </si>
  <si>
    <t xml:space="preserve">AZUL </t>
  </si>
  <si>
    <t>DESTINO MANUALIDAD_x000D_
DEJAR MUESTRAS PARA ARCHIVO</t>
  </si>
  <si>
    <t xml:space="preserve">EXTERNO </t>
  </si>
  <si>
    <t>MANIJA FLEXIBLE NARANJA_x000D_
DESTINO ALMACEN</t>
  </si>
  <si>
    <t>HAAEB</t>
  </si>
  <si>
    <t>BOLSA PACA TOSTADA - TRANSPORTES</t>
  </si>
  <si>
    <t>ANILLO DE ALTA BOQUILLA DE 80mm_x000D_
BUEN CONTROL A LA RESISTENCIA_x000D_
DESTINO SELLADO</t>
  </si>
  <si>
    <t>-OJO BIEN MARCADA LA REF. PACA TOSTADA TRANSPORTES_x000D_
BUENA REVISION AL SELLE_x000D_
DESTINO ALMACEN_x000D_
USAR BOLSA LAINER EN EL EMPAQUE</t>
  </si>
  <si>
    <t>TUBULAR 86 CMS PARA PUERTAS</t>
  </si>
  <si>
    <t>1/2 opaco</t>
  </si>
  <si>
    <t>BBDL86X220X1.7</t>
  </si>
  <si>
    <t>BOLSA PARA PUERTAS PEQUEÑA</t>
  </si>
  <si>
    <t>890.933.313-3</t>
  </si>
  <si>
    <t>BADL58X92X0.7</t>
  </si>
  <si>
    <t>2 ROLLOS DE 2293 MTS _x000D_
DESTINO SELLADO_x000D_
GRAFILADO</t>
  </si>
  <si>
    <t>900.295.631-8</t>
  </si>
  <si>
    <t>BADL68X155X2</t>
  </si>
  <si>
    <t>BOMBONERAS</t>
  </si>
  <si>
    <t>TADL61X3</t>
  </si>
  <si>
    <t>TUBULAR AD 61X3.0</t>
  </si>
  <si>
    <t>BUENA RESISTENCIA _x000D_
NO PASAR DEL CALIBRE_x000D_
MATERIAL ORIGINAL_x000D_
DESTINO ALMACEN</t>
  </si>
  <si>
    <t>BADLPV60X75X1</t>
  </si>
  <si>
    <t>BOLSA BASURA 60X75 VERDE</t>
  </si>
  <si>
    <t xml:space="preserve">GRAFILADO SUAVE_x000D_
DESTINO SELLDO_x000D_
1 ROLLO DE 1195 MTS_x000D_
_x000D_
</t>
  </si>
  <si>
    <t xml:space="preserve">RDO DE 1/2 </t>
  </si>
  <si>
    <t>BADL49X70X0.7</t>
  </si>
  <si>
    <t>LAMINA EN PRECORTE GRANDE</t>
  </si>
  <si>
    <t>-ROLLOS DE 1000 BOLSAS</t>
  </si>
  <si>
    <t>900.231.875-3</t>
  </si>
  <si>
    <t>BBDI20.5X46+4X1.5</t>
  </si>
  <si>
    <t>TAJADO CROSTY (ROJO)</t>
  </si>
  <si>
    <t>-CONTROLAR QUE LOS ROLLOS NO QUEDDEN FLOJAS A UN LADO_x000D_
-DESTINO CORREA_x000D_
-</t>
  </si>
  <si>
    <t>800.091.484-7</t>
  </si>
  <si>
    <t>BADIPB24+5+5X35X1</t>
  </si>
  <si>
    <t>ALMACEN PEQUEÑA BIODEGRADABLE</t>
  </si>
  <si>
    <t xml:space="preserve">DESTINO IMPRESION DARMA_x000D_
- LLEVA ADHITIVO BIODEGRADABLE_x000D_
- </t>
  </si>
  <si>
    <t>BIODEGRADABLE</t>
  </si>
  <si>
    <t>DRAMA</t>
  </si>
  <si>
    <t>RIÑON</t>
  </si>
  <si>
    <t>DESTINO TROQUELADORA_x000D_
BIEN EMPACADDAS PARA TROQUELAR</t>
  </si>
  <si>
    <t>TROQUEL RIÑON_x000D_
DESTINO ALMACEN</t>
  </si>
  <si>
    <t>BBDI20X40X4</t>
  </si>
  <si>
    <t>MITSUBISHI MEDIANA</t>
  </si>
  <si>
    <t>DESTINO IMPRESION DARMA</t>
  </si>
  <si>
    <t>DESTINO ALMACEN_x000D_
DEJAR MUESTRAS</t>
  </si>
  <si>
    <t>BBDI20.5X45.5+4X1.5</t>
  </si>
  <si>
    <t>TAJADO SUPER ECONOMICO (AZUL)</t>
  </si>
  <si>
    <t>DESTINO IMPRESION CORREA_x000D_
BUEN COMTROL AL CALIBRE X PESO</t>
  </si>
  <si>
    <t xml:space="preserve">DESTINO ALMACEN_x000D_
DEJAR MUESTRAS_x000D_
</t>
  </si>
  <si>
    <t>BADIPB30+7+7X55X1.3</t>
  </si>
  <si>
    <t>PUNTO DE VENTA IMPRESO</t>
  </si>
  <si>
    <t>DESTINO IMPRESION DARMA_x000D_
OJO AL EMBOBINAR QUE NO QUEDEN LOS FUELLES FLOJOS</t>
  </si>
  <si>
    <t>BIEN EMPACADO PARA TROQUELAR EN BOLSAS_x000D_
DESTINO TROQUELADORA</t>
  </si>
  <si>
    <t>TROQUEL CAMISETA_x000D_
DESTINO ALMACEN</t>
  </si>
  <si>
    <t>BBDL26X36+3.5X2</t>
  </si>
  <si>
    <t>BOLSA 26X36+3.5 CAL. 2 EXPORTACIONES</t>
  </si>
  <si>
    <t xml:space="preserve">DESTINO SELLADO_x000D_
TUBULAR DE 75.6 CMS. CON SOLAPA VOLADA DE 3.5CMS._x000D_
 </t>
  </si>
  <si>
    <t>800.243.866-6</t>
  </si>
  <si>
    <t>BADIPB40X50+7X2.2</t>
  </si>
  <si>
    <t>TOMATICOS GRANDE</t>
  </si>
  <si>
    <t>-DEJAR 10.0 CMS A UN LADO SIN TRATAR Y MARCAR COMO BOCA DE LA BOLSA_x000D_
-DESTINO CORREA_x000D_
-</t>
  </si>
  <si>
    <t>A LOS LADOS</t>
  </si>
  <si>
    <t>-DESTINO MANUALES_x000D_
BIEN EMPACADO PARA TROQUELAR</t>
  </si>
  <si>
    <t>TROQUEL Y TIRA-</t>
  </si>
  <si>
    <t>BBDL80X80X2</t>
  </si>
  <si>
    <t>BOLSA RECUPERADA 80X80 CODIGO 1348177</t>
  </si>
  <si>
    <t>BADI50X50+6+6X3</t>
  </si>
  <si>
    <t>FINOLINO MEDIANA</t>
  </si>
  <si>
    <t>DESTINO IMPRESION DARMA_x000D_
CONTROLAR QUE LOS FUELLES NO QUEDEN FLOJOS</t>
  </si>
  <si>
    <t>BBDI27X32+5X1.2</t>
  </si>
  <si>
    <t>ECKO IMPRESA</t>
  </si>
  <si>
    <t>-TUBULAR DE 69.0CMS PARTIDO CON SOLAPA VOLADA DE 5.0 CMS_x000D_
-DESTINO DARMA_x000D_
-</t>
  </si>
  <si>
    <t>71.730.915-4</t>
  </si>
  <si>
    <t>BIAZZA NUEVO DISEÑO</t>
  </si>
  <si>
    <t>DESTINO DARMA</t>
  </si>
  <si>
    <t>-DESTINO MANUALES_x000D_
DOBLAR NO EMPACAR EN BOLSAS</t>
  </si>
  <si>
    <t>COLOCARTIRA PLATA-</t>
  </si>
  <si>
    <t>BBDI26X35X1.2</t>
  </si>
  <si>
    <t>BOLSA CHIQUITA JR</t>
  </si>
  <si>
    <t xml:space="preserve">-OJO MEDIDA BIEN CONTROLDA 70.3CMS AL EMBOBINAR_x000D_
-DESTINO CORREA_x000D_
-_x000D_
</t>
  </si>
  <si>
    <t xml:space="preserve">-DESTINO :APARTADO  AGROCENTRO_x000D_
- ORDEN DE COMPRA 7609_x000D_
-OJO CANTIDAD X PAQUETE X BULTO_x000D_
-EMPACAR EN BULTOS_x000D_
_x000D_
_x000D_
</t>
  </si>
  <si>
    <t>BADL60X80X0.6</t>
  </si>
  <si>
    <t>DESTINO SELLADO_x000D_
-</t>
  </si>
  <si>
    <t>BADIPB25+5+5X35X1</t>
  </si>
  <si>
    <t>PUNTO DE VENTA PEQUEÑA</t>
  </si>
  <si>
    <t>BUEN CONTROL A LAS MEDIDAS_x000D_
DESTINO DARMA</t>
  </si>
  <si>
    <t>-BIEN EMPACADAS PARA TROQUELAR_x000D_
DEJAR MUESTRAS_x000D_
DESTINO MANUALES</t>
  </si>
  <si>
    <t>TROQUEL CAMISETA_x000D_
-DESTINO ALMACEN</t>
  </si>
  <si>
    <t>BADIPB30+7+7X50X1</t>
  </si>
  <si>
    <t>PUNTO DE VENTA GRANDE</t>
  </si>
  <si>
    <t>BUEN CONTROL A LAS MEDIDAS_x000D_
IMPRESION DARMA</t>
  </si>
  <si>
    <t>BIEN EMPACADAS PARA TROQUELAR_x000D_
-DESTINO MANUALES</t>
  </si>
  <si>
    <t>TROQUEL_x000D_
-</t>
  </si>
  <si>
    <t>BBDL90X155X2</t>
  </si>
  <si>
    <t>REEMPAQUE PEQUEÑO CALIBRE 2</t>
  </si>
  <si>
    <t>DESTINO MANALES</t>
  </si>
  <si>
    <t>12.5 RDO TTE</t>
  </si>
  <si>
    <t>BBDIPV40X50X2</t>
  </si>
  <si>
    <t>BOLSA SEGUNDAS</t>
  </si>
  <si>
    <t>BBDIPV</t>
  </si>
  <si>
    <t xml:space="preserve">-MEZCLAS :  EXTERNA 25 DE BAJA, +5 DE LINEAL + 1.5 PIG VERDE_x000D_
                          INTERNA   25 DE BAJA  +5 DE LINEAL +300GRS P BCO_x000D_
 DESTINO  DARMA, </t>
  </si>
  <si>
    <t>P.BCO 300GMS</t>
  </si>
  <si>
    <t>DEJAR MUESTRAS BIN MARCADAS_x000D_
DESTINO ALMACEN</t>
  </si>
  <si>
    <t>1.036.605.471-5</t>
  </si>
  <si>
    <t>POSTA DE BAGRE</t>
  </si>
  <si>
    <t>CONTROLAR CALIBRE X  PESO_x000D_
DEITINO DARMA</t>
  </si>
  <si>
    <t>BLANO</t>
  </si>
  <si>
    <t>-DESTINO,SELLADO</t>
  </si>
  <si>
    <t>DEJAR MUESTRAS BIEN MARCADAS_x000D_
DESTINO ALMACEN</t>
  </si>
  <si>
    <t>CONTROLAR CALIBRE X PESO_x000D_
DESTINO DARMA</t>
  </si>
  <si>
    <t>DEJAR MUESTRAS BIEN MARCADAS_x000D_
DESTINO DESPACHOS</t>
  </si>
  <si>
    <t>LOMITOS APANADOS</t>
  </si>
  <si>
    <t>CONTROL CALIBRE  X PESO_x000D_
DESTINO DARMA_x000D_
-</t>
  </si>
  <si>
    <t>DEJAR MUESTRAS BIEN MARCADAS_x000D_
DESTINO SELLADO-</t>
  </si>
  <si>
    <t>FILETE DE MERLUZA</t>
  </si>
  <si>
    <t>CONTROLAR CALIRBE POR PESO_x000D_
DESTINO DARMA</t>
  </si>
  <si>
    <t>DEJAR MUESTRAS BIEN MARCADAS_x000D_
DESTINO ALMACE-</t>
  </si>
  <si>
    <t>CONTROLAR CALBRE POR PESO_x000D_
DESTINO DARMA</t>
  </si>
  <si>
    <t>DEJAR MUESTRAS BIEN MARCADAS_x000D_
DESTINO ALMACEN-</t>
  </si>
  <si>
    <t xml:space="preserve">CONTROLAR CALIBRE POR PESO_x000D_
DESTINO DARMA_x000D_
</t>
  </si>
  <si>
    <t>18.</t>
  </si>
  <si>
    <t xml:space="preserve">BLNCO </t>
  </si>
  <si>
    <t>DEJAR MUESTRAS BIEN MARCADOAS_x000D_
SESTINO ALMACEN</t>
  </si>
  <si>
    <t>CONTROLAR CALAIBRE X  PESO_x000D_
IMPRESION DARMA</t>
  </si>
  <si>
    <t>BADLPV65X90X0.8</t>
  </si>
  <si>
    <t>BOLSA RECICLAJE 65X90 VERDE</t>
  </si>
  <si>
    <t xml:space="preserve">DESTINO SELLDO_x000D_
PREPARAR GRANO SOLAMENTE PARA 30.0 KLS._x000D_
</t>
  </si>
  <si>
    <t>VERDE MGR 271</t>
  </si>
  <si>
    <t>BADL28X38X0.5</t>
  </si>
  <si>
    <t>BOLSA 11X15"</t>
  </si>
  <si>
    <t>DESTINO SELLADO_x000D_
76.0 CMS PARTIDO A LA 1/2</t>
  </si>
  <si>
    <t>RCD 1/2 OPACO</t>
  </si>
  <si>
    <t xml:space="preserve">PERFORACION SEGUN MUESTRA_x000D_
DESTINO ALMACEN_x000D_
</t>
  </si>
  <si>
    <t>BBDI30X40X5</t>
  </si>
  <si>
    <t>BOLSA 5 KILOS  IMPRESA</t>
  </si>
  <si>
    <t>OJO LINEAL EXENO 2601_x000D_
BOQUILLA 80mm_x000D_
DESTINO DARMA</t>
  </si>
  <si>
    <t>CORTAR  UNICAMENTE_x000D_
DESTINO MANUALES-</t>
  </si>
  <si>
    <t>SELLE COLOCAR TIQUETE_x000D_
-</t>
  </si>
  <si>
    <t>BADL51X70X1.5</t>
  </si>
  <si>
    <t>FANTASIA MEDIANA - ORIGINAL</t>
  </si>
  <si>
    <t>BADL61X91X1</t>
  </si>
  <si>
    <t>RECUPERADO SALES</t>
  </si>
  <si>
    <t>RDO 1/2 OPACO</t>
  </si>
  <si>
    <t xml:space="preserve">PAQUETE AMARRADO_x000D_
DESTINO ALMACEN_x000D_
</t>
  </si>
  <si>
    <t>BBDL43+13+13X96X1.3</t>
  </si>
  <si>
    <t>REEMPAQUE PEQUEÑO ORIGINAL</t>
  </si>
  <si>
    <t>BUEN CONTROL EN MEDIDAS Y RESISTENCIA_x000D_
DESTINO SELLADO</t>
  </si>
  <si>
    <t>890.903.253-1</t>
  </si>
  <si>
    <t>BBDL45+12.5+12.5X70X3</t>
  </si>
  <si>
    <t>BOLSA DOCENA</t>
  </si>
  <si>
    <t xml:space="preserve">DESTINO SELLADO_x000D_
OJO CONTROL MEDIDAS Y RESISTENCIA_x000D_
-_x000D_
</t>
  </si>
  <si>
    <t>-BUEN SELLE _x000D_
CONTRULAR MEDIDAS Y  RESISTENCIA DEL MATERIAL_x000D_
DESTINO ALMACEN</t>
  </si>
  <si>
    <t>BBDL30X40X2</t>
  </si>
  <si>
    <t>10 LIBRAS</t>
  </si>
  <si>
    <t>BBDI26X44X1.2</t>
  </si>
  <si>
    <t>BANACLUSTER COBANA</t>
  </si>
  <si>
    <t xml:space="preserve">IMPRESION DARMA_x000D_
</t>
  </si>
  <si>
    <t xml:space="preserve">DESTINO: APARTADO_x000D_
O. DE COMPRA 6935_x000D_
-EMPACAR EN BUILTOS_x000D_
-OJO CONTROLAR CANTIDAD DE PAQUETES POR BULTIS Y BOLSAS POR PAQUETE_x000D_
_x000D_
DEJAR MUESTRAS _x000D_
</t>
  </si>
  <si>
    <t>BBDI60X60X1.25</t>
  </si>
  <si>
    <t>WARNING 60X60</t>
  </si>
  <si>
    <t>IMPRESION DARMA_x000D_
_x000D_
-</t>
  </si>
  <si>
    <t>-DEJAR MUESTRAS PARA ARCHIVO BIEN MARCADAS_x000D_
DESTINO ALMACEN</t>
  </si>
  <si>
    <t>BADL45X55X0.7</t>
  </si>
  <si>
    <t>MEDIA PACA</t>
  </si>
  <si>
    <t xml:space="preserve">1 ROLLO DE 2296 MTS_x000D_
GRAFILADO_x000D_
_x000D_
</t>
  </si>
  <si>
    <t>DESTINO ALMACEN _x000D_
OJO SELLE Y MEDIDAS</t>
  </si>
  <si>
    <t>BBDI24.5X28+7.5X1.5</t>
  </si>
  <si>
    <t>WARNING POLY BAG</t>
  </si>
  <si>
    <t xml:space="preserve">TUBULAR DE 63.5 CMS. CON SOLAPA DE 7.5 CMS_x000D_
DESTINO IMPRESION DARMA_x000D_
</t>
  </si>
  <si>
    <t>25.5</t>
  </si>
  <si>
    <t>-DEJAR MUESTRA PARA ARCHIVO_x000D_
DESTINO ALMACEN</t>
  </si>
  <si>
    <t>811.012.657-2</t>
  </si>
  <si>
    <t>RDO1/2 OPACO</t>
  </si>
  <si>
    <t>BBDL25X40X1</t>
  </si>
  <si>
    <t>BOLSA BD 10X16"</t>
  </si>
  <si>
    <t>PACA RECUPERADA - DESPACHOS</t>
  </si>
  <si>
    <t xml:space="preserve">-DESTINO SELLADO_x000D_
_x000D_
GRAFILADO_x000D_
_x000D_
</t>
  </si>
  <si>
    <t>RDO DE 1/2 OPACO</t>
  </si>
  <si>
    <t>OJO CON EL SELLE_x000D_
COLOCAR BOLSA LAINER_x000D_
SIN PERFORAR_x000D_
DESTINO ALMACEN-</t>
  </si>
  <si>
    <t>BBDI37X52+6X1.5</t>
  </si>
  <si>
    <t>RAWFIT BAJA</t>
  </si>
  <si>
    <t>LINEAL NORMAL_x000D_
DESTINO DARMA-</t>
  </si>
  <si>
    <t>37-</t>
  </si>
  <si>
    <t xml:space="preserve">NARANJA </t>
  </si>
  <si>
    <t>COLOCAR CINTA DOBLE FAZ EN LA SOLAPA_x000D_
DEJAR MUESTRAS_x000D_
DESTINO AL MACEN-</t>
  </si>
  <si>
    <t>BOLSA 60X240</t>
  </si>
  <si>
    <t xml:space="preserve">DESTINO CORTADORA MANUAL_x000D_
OJO RESISTENCIA </t>
  </si>
  <si>
    <t>BBDL40X35.5X0.9</t>
  </si>
  <si>
    <t>BOLSA 16X14</t>
  </si>
  <si>
    <t>DESTINO SELLDO-</t>
  </si>
  <si>
    <t>COLOCAR EN EL TIQUETE LA REF: 16. X 14_x000D_
DESTINO ALMACEN_x000D_
-</t>
  </si>
  <si>
    <t>BBDLPB50X58X2.5</t>
  </si>
  <si>
    <t>BOLSA BLANCA SIN IMPRESION 50X58</t>
  </si>
  <si>
    <t>DESTINO SELLABO-</t>
  </si>
  <si>
    <t>BBDL20X23X1</t>
  </si>
  <si>
    <t>BOLSA BD 8X9"</t>
  </si>
  <si>
    <t>BBDL15X23X1</t>
  </si>
  <si>
    <t>BOLSA BD 6X9"</t>
  </si>
  <si>
    <t>811.018.771-1</t>
  </si>
  <si>
    <t>LBDIPB66X85X5</t>
  </si>
  <si>
    <t>LISTONES PLASTICOS CIRCULO DE LA EXCELENCIA 2009</t>
  </si>
  <si>
    <t>IMPRESION DARMA-</t>
  </si>
  <si>
    <t>BADIPB30X40X3</t>
  </si>
  <si>
    <t>RAWFIT ALMACEN PEQUEÑO</t>
  </si>
  <si>
    <t>NO EMPACAAR EN BOLSA_x000D_
DESTINO MANUALES-</t>
  </si>
  <si>
    <t>BBDL23.5X26.5X1.5</t>
  </si>
  <si>
    <t>CHAPETA</t>
  </si>
  <si>
    <t>DESTINO SELLA DO_x000D_
-TUBULAR DE 53.0 CMS PARTIDO A LA 1/2_x000D_
-</t>
  </si>
  <si>
    <t>BBDI21X36X2.5</t>
  </si>
  <si>
    <t>TILAPIA GRANDE</t>
  </si>
  <si>
    <t>DEARMA</t>
  </si>
  <si>
    <t>TBDL70X1.5</t>
  </si>
  <si>
    <t>SERVICIO DE EXTRUSION - TUB BD 70X1.5</t>
  </si>
  <si>
    <t>-RETAL MAXIMO 40 KLS. + 1960 KLS = 2000 KLS_x000D_
-DESTINO ALMACEN_x000D_
-_x000D_
-</t>
  </si>
  <si>
    <t>BADL45X63X0.8</t>
  </si>
  <si>
    <t xml:space="preserve"> MASTER</t>
  </si>
  <si>
    <t>TALBOT ALMACEN NEGRO</t>
  </si>
  <si>
    <t>BIEN EMPADO PARA TROQUELAR-</t>
  </si>
  <si>
    <t>TALBOT ALMACEN FUCSIA</t>
  </si>
  <si>
    <t>BIAEN EMPACADAS_x000D_
PARA TROQUELAR-</t>
  </si>
  <si>
    <t>BBDIPB20X24X4</t>
  </si>
  <si>
    <t>BANDERIN 2009</t>
  </si>
  <si>
    <t>20-</t>
  </si>
  <si>
    <t>TIPO BANDERIN</t>
  </si>
  <si>
    <t>BIEN EMPACADAS PARA TROQUELAR-</t>
  </si>
  <si>
    <t>BADL35X60X2</t>
  </si>
  <si>
    <t>10 KILOS SIN IMPRESION</t>
  </si>
  <si>
    <t>-DESTINO SELLADO_x000D_
-LIMPIAR BIEN RODILLERIA ANTES DEL MONTAJE_x000D_
-COLOCAR RUANA EN LOS EXTREMOS_x000D_
-SELLADO_x000D_
-</t>
  </si>
  <si>
    <t>DESTINO ALMACEN_x000D_
OJO SELLE SIN POROS_x000D_
COLOCAR BOLSA LAINER</t>
  </si>
  <si>
    <t xml:space="preserve">_x000D_
-_x000D_
_x000D_
</t>
  </si>
  <si>
    <t>BBDL35.5X56X0.9</t>
  </si>
  <si>
    <t>BOLSA 14X22</t>
  </si>
  <si>
    <t>DESTINO ALMACEN_x000D_
COLOAR EN EL TIQUETE LA REF: 14X 22_x000D_
-</t>
  </si>
  <si>
    <t>BBDL26X38X0.9</t>
  </si>
  <si>
    <t>BOLSA 10X15</t>
  </si>
  <si>
    <t xml:space="preserve">- TUBULAR DE 76 CMS PARTIDO A LA MITAD (1/2)._x000D_
- DESTINO SELLADO_x000D_
- </t>
  </si>
  <si>
    <t>MARCAR EN EL TIQUETE LA REF 10 X 15_x000D_
DESTINO ALMACEN-</t>
  </si>
  <si>
    <t>BBDI50X71X1.5</t>
  </si>
  <si>
    <t>SLEEPLINE</t>
  </si>
  <si>
    <t>DFESTINO ALMACEN-</t>
  </si>
  <si>
    <t>BBDL21.3+8+8X60X2</t>
  </si>
  <si>
    <t>ARROBERA NORMAL SIN IMPRESION</t>
  </si>
  <si>
    <t>OJO MEDIDA : MATERIAL QUE NO TENGA LA MEDIDA, NO DEJARLO EN EL ROLLLO_x000D_
-OJO RESISTENCIA EXTREMOS-- OJO PRESION RODILLOS_x000D_
-DESTINO SELLADO_x000D_
-</t>
  </si>
  <si>
    <t>METALHOCENO</t>
  </si>
  <si>
    <t>OJO BUEN CONTROL A LAS MEDIDAS_x000D_
DESTINO ALMACEN _x000D_
BULTOS X 1000 ASI LO PIDEN-</t>
  </si>
  <si>
    <t>BADIPB40X45X3</t>
  </si>
  <si>
    <t>RAWFIT ALMACEN GRANDE</t>
  </si>
  <si>
    <t xml:space="preserve">DESTINO DARMA_x000D_
_x000D_
</t>
  </si>
  <si>
    <t>-NO EMPACAR EN BOLSA_x000D_
DESTINO MANUALES</t>
  </si>
  <si>
    <t>BBDIPB40X50+5X2.3</t>
  </si>
  <si>
    <t>NAVIDAD CARMEL</t>
  </si>
  <si>
    <t>SELLE DE REFUERZO</t>
  </si>
  <si>
    <t>BADLPB35X175X2.5</t>
  </si>
  <si>
    <t>SIN IMPRESION 35X175 CODIGO 1333911</t>
  </si>
  <si>
    <t>-CARA INTERNA: 25.0 KLS DE ALTA RDO BLANCO + 3.0 KLS DE COMAI 750 + 5.0 KLS DE LINEAL_x000D_
-CARA EXTERNA: 25.0 KLS DE ALTA ORIGINAL + 5.0 KLS DE ALTA RDO BLANCO +1.75 KLS DE PIG BLANCO + 5.0 KLS DE LINEAL</t>
  </si>
  <si>
    <t>LAMINA MARACUYA 90GR CON GUIA</t>
  </si>
  <si>
    <t>LIN- EXENO</t>
  </si>
  <si>
    <t>800.045.438-8</t>
  </si>
  <si>
    <t>ANCHO_x000D_
26.5 CMS CON SOLAPA DE 2.5 CMS VOLADA_x000D_
DESTINO SELLDO-</t>
  </si>
  <si>
    <t>ANCHO 36.5CMS CON SOLAPA VOLADA DE 2.5 CMS_x000D_
DESTINO SELLADO-</t>
  </si>
  <si>
    <t>SESTINO SELLADO-</t>
  </si>
  <si>
    <t>DESTINO AMACEN-</t>
  </si>
  <si>
    <t>BBDI20X28X3</t>
  </si>
  <si>
    <t>PAPA CRIOLLA EL SEMBRADOR</t>
  </si>
  <si>
    <t>EXENO</t>
  </si>
  <si>
    <t>BBDIPB24X29+5X2</t>
  </si>
  <si>
    <t>OUTLET CONCALIDAD PEQUEÑA</t>
  </si>
  <si>
    <t>DESTINO DARMA_x000D_
OJO:_x000D_
DEJAR 12.0CMS. SIN TRATAR A UN EXTREMO Y MARCAR COMO BOCA DE LA BOLSA-</t>
  </si>
  <si>
    <t>CVBDL46X56X1</t>
  </si>
  <si>
    <t>CUBRE VESTIDO 18X22"</t>
  </si>
  <si>
    <t>DESTINO MANUALAES_x000D_
-</t>
  </si>
  <si>
    <t>BBDL30X39X1</t>
  </si>
  <si>
    <t>BOLSA RECUPERADA 30X39 CODIGO 1348184</t>
  </si>
  <si>
    <t>1/2OPACO</t>
  </si>
  <si>
    <t>BADL50X71X3</t>
  </si>
  <si>
    <t>POLVO BIZCOCHO</t>
  </si>
  <si>
    <t>BBDIPB36X46+7X2</t>
  </si>
  <si>
    <t>OUTLET CONCALIDAD GRANDE</t>
  </si>
  <si>
    <t>DESTINO DARMA-_x000D_
OJO DEJAR 15.0 CMS. A UN EXTREMO SI N TRATAR Y MARCAR BOCA DE LA BOLSA</t>
  </si>
  <si>
    <t>TROQUE RIÑON-</t>
  </si>
  <si>
    <t>900.062.201-4</t>
  </si>
  <si>
    <t>BBDL61X110X4</t>
  </si>
  <si>
    <t>BOLSA 61X110 MEMP-01100</t>
  </si>
  <si>
    <t>-DESTINO ALMACEN_x000D_
-EVITAR CONTAMINAR- BOLSAS PARA EMPACAR ALIMENTOS- COSTALES NUEVOS CON BOLSA LAINER</t>
  </si>
  <si>
    <t xml:space="preserve">DESTINO DARMMA_x000D_
</t>
  </si>
  <si>
    <t>-DESTINO ALMACEN_x000D_
OJO CON EL SELLE</t>
  </si>
  <si>
    <t>TUBULAR AD 61X3.0 RECUPERADO</t>
  </si>
  <si>
    <t>BBDI16X30.5X3.5</t>
  </si>
  <si>
    <t>BUEN SABOR</t>
  </si>
  <si>
    <t>DWSTINO DARMA-</t>
  </si>
  <si>
    <t>BADL54X150X2</t>
  </si>
  <si>
    <t>BOLSA 54X150 RECUPERADO</t>
  </si>
  <si>
    <t>1.129.564.889-1</t>
  </si>
  <si>
    <t>BBDIPB40+5+5X50X3</t>
  </si>
  <si>
    <t>ALMACEN IBERIA GRANDE</t>
  </si>
  <si>
    <t>TRQUEL-</t>
  </si>
  <si>
    <t>BANDERIN DAN</t>
  </si>
  <si>
    <t>BANDERINES</t>
  </si>
  <si>
    <t>BIEN EMPACADOS PADR TROQUELAR_x000D_
DESTINO TROQUEL-</t>
  </si>
  <si>
    <t>824.004.938-0</t>
  </si>
  <si>
    <t>BBDIPB18X27X1.5</t>
  </si>
  <si>
    <t>AGROGENESIS 1 KILO</t>
  </si>
  <si>
    <t>TBDL50X3.2</t>
  </si>
  <si>
    <t>SERVICIO DE EXTRUSION 50X3.2</t>
  </si>
  <si>
    <t>-CON MATERIAL DEL CLIENTE_x000D_
-RETAL MAXIMO  5.KLS. + 245 25KLS. = 200 KLS_x000D_
-DESTINO ALMACEN_x000D_
-</t>
  </si>
  <si>
    <t>BBDIPB30X43+5X3</t>
  </si>
  <si>
    <t>UNIFORMES</t>
  </si>
  <si>
    <t>TADL35.5X0.7</t>
  </si>
  <si>
    <t>PRECORTE LAMINA</t>
  </si>
  <si>
    <t xml:space="preserve">LAMINA DOBLE DE 71.0 CMS PARTIDA A LA 1/2 PARA ROLLOS DE 35.5 CMS_x000D_
-4 ROLLOS DE 25.0 KLS_x000D_
-DESTINO YUMONDI_x000D_
-_x000D_
_x000D_
</t>
  </si>
  <si>
    <t>BBDIPB33+7.5+7.5X60X1.7</t>
  </si>
  <si>
    <t>ALMACEN GRANDE LA MEDIA NARANJA</t>
  </si>
  <si>
    <t>-PEDIR VºBº AL PIGMENTO_x000D_
DESTINO DARMA</t>
  </si>
  <si>
    <t>BIEN EMPACADO PAR A TROQUELAR-_x000D_
SELLE DE FONDO DOBLE</t>
  </si>
  <si>
    <t>BBDIPB28+6+6X48X1.3</t>
  </si>
  <si>
    <t>ALMACEN MEDIANO LA MEDIA NARANJA</t>
  </si>
  <si>
    <t xml:space="preserve">PEDIR VºBº AL PIGMENTO_x000D_
DESTINO DARMA_x000D_
</t>
  </si>
  <si>
    <t>1.2</t>
  </si>
  <si>
    <t>-BIEN EMPACADO PARA TROQUELAR, EN BOLSA_x000D_
SELLE DE FONDO DOBLE</t>
  </si>
  <si>
    <t>TADL81X2.5</t>
  </si>
  <si>
    <t>SEMITUBULAR 32"</t>
  </si>
  <si>
    <t>RECUPERADO TT/E BONITO_x000D_
DESTINO ALMACEN-</t>
  </si>
  <si>
    <t>ALTA TT/E RDO</t>
  </si>
  <si>
    <t>BBDI40+10+10X65X2</t>
  </si>
  <si>
    <t>87010072 COJIN IMPRESA</t>
  </si>
  <si>
    <t>DETINO ALMACEN-</t>
  </si>
  <si>
    <t>BOLSA ALMACEN GRANDE CORDON - NUEVA IMAGEN</t>
  </si>
  <si>
    <t>DESTINO CORREA_x000D_
CONTROLAR EL EMBOBINADO DEL ROLLO , QUE NO QUEDE FLOJO A UN EXTREMO PARA EVITAR DEVOLUCION DE CORREA_x000D_
-</t>
  </si>
  <si>
    <t xml:space="preserve">        BIEN EMPACADO PARA TROQUELAR-</t>
  </si>
  <si>
    <t>TROQUEL-</t>
  </si>
  <si>
    <t>BADIPB32X40+5X3</t>
  </si>
  <si>
    <t>BOLSA ALMACEN PEQUEÑA CORDON - NUEVA IMAGEN</t>
  </si>
  <si>
    <t>DESTINNO CORREA_x000D_
-CONTROLAR BIEN EL EMBOBINADO QUE NO SALGA FLOJO A UN LADO PARA EVITAR DEVULUCION DE CORREA_x000D_
-</t>
  </si>
  <si>
    <t>15.263.159-5</t>
  </si>
  <si>
    <t>BBDL28X60X2</t>
  </si>
  <si>
    <t>BOLSA 28X60</t>
  </si>
  <si>
    <t>BIEN EMPACO PARA TROQUELAR_x000D_
-</t>
  </si>
  <si>
    <t>TBDL27X5</t>
  </si>
  <si>
    <t>SERVICIO DE EXTRUSION - TUB 27X5.0</t>
  </si>
  <si>
    <t>BPPI26X35+3+5X2.5</t>
  </si>
  <si>
    <t>CAMISETA NAGA 26X35</t>
  </si>
  <si>
    <t>BPPI</t>
  </si>
  <si>
    <t>BADLPB46X58X0.9</t>
  </si>
  <si>
    <t>BOLSA BASURA PAPELERA</t>
  </si>
  <si>
    <t>BBDIPB20X32X2</t>
  </si>
  <si>
    <t>AGROGENESIS 2 KILOS</t>
  </si>
  <si>
    <t>71.711.243-2</t>
  </si>
  <si>
    <t>BBDIMET37X39X3</t>
  </si>
  <si>
    <t>MELLOW</t>
  </si>
  <si>
    <t>BBDIMET</t>
  </si>
  <si>
    <t>PEDIDO PAPA METALIZAR: SIN ARRUGAS, OJO ROLLO PAREJO SI N OREJA_x000D_
DESTINO ALMACEN_x000D_
-</t>
  </si>
  <si>
    <t>DEJAR MUESTRAS_x000D_
DESTINO MANUALIDADES_x000D_
-</t>
  </si>
  <si>
    <t>SIN IMPRESION 35X175 COD 1333911</t>
  </si>
  <si>
    <t>TBDL40X2</t>
  </si>
  <si>
    <t>TUBULAR ORIGINAL 40X2.0</t>
  </si>
  <si>
    <t>OJO ROLLOAS 60.KILOS_x000D_
DESTINO ALMACEN-</t>
  </si>
  <si>
    <t>BBDI50X70+10X1.5</t>
  </si>
  <si>
    <t>CUBRE LECHO EKONO</t>
  </si>
  <si>
    <t>_x000D_
-DESTINO ALMACEN</t>
  </si>
  <si>
    <t>TBDL60X0.85</t>
  </si>
  <si>
    <t>SERVICIO DE EXTRUSION - TUB 60X0.85</t>
  </si>
  <si>
    <t>INCLUIR RETAL EN EL KILAJE_x000D_
DESTINO ALMACEN-</t>
  </si>
  <si>
    <t>TBDL58X1</t>
  </si>
  <si>
    <t>SERVICIO DE EXTRUSION - TUB 58X1.0</t>
  </si>
  <si>
    <t>-RETAL MAXIMO 6.0 KLS + 294.0 KLS =  300 KLS_x000D_
-DESTINO ALMACEN _x000D_
-MATERIAL DEL CIENTE_x000D_
-</t>
  </si>
  <si>
    <t>TBDL58X0.85</t>
  </si>
  <si>
    <t>SERVICIO DE EXTRUSION - TUB 58X0.85</t>
  </si>
  <si>
    <t>- RETAL MAXIMO 6 KLS + 294 KLS = 300 KLS._x000D_
 ALMACEN_x000D_
-</t>
  </si>
  <si>
    <t>BBDI45X66+10X2</t>
  </si>
  <si>
    <t>ROYALE GRANDE</t>
  </si>
  <si>
    <t>45-</t>
  </si>
  <si>
    <t>DESTINO SELLADO_x000D_
ADEJAR MAUESTRAS-</t>
  </si>
  <si>
    <t>BBDL20.5X48.5+5+4X1.5</t>
  </si>
  <si>
    <t>PAN BLANCO EXTRALARGO GUADALUPE</t>
  </si>
  <si>
    <t>TIENDAS S PEQUEÑA</t>
  </si>
  <si>
    <t>BIEN EMPACADAS PARA TROQUELAR_x000D_
DEJAR MUESTRAS_x000D_
DESTINO TROQUEL-</t>
  </si>
  <si>
    <t>BBDL22.5X30.5+3.5X1.25</t>
  </si>
  <si>
    <t>BOLSA FAC</t>
  </si>
  <si>
    <t>-TUBULAR DE 64.5 CNS PARTIDO CON SOLAPA VOLADA DE 3.5 CMS_x000D_
-SELLADO</t>
  </si>
  <si>
    <t>BADL58X78X0.8</t>
  </si>
  <si>
    <t>BOLSA 58X78</t>
  </si>
  <si>
    <t>DESTINO YUMONDI-_x000D_
GRAFILAR SUAVE</t>
  </si>
  <si>
    <t>TBDL40X2.5</t>
  </si>
  <si>
    <t>SEMITUBULAR TRANSPARENTE 16"</t>
  </si>
  <si>
    <t>BPPI19.5X41+4X1.5</t>
  </si>
  <si>
    <t>PAN ECONOMICO MARKYPAN</t>
  </si>
  <si>
    <t>20.-</t>
  </si>
  <si>
    <t>TBDL45X2.5</t>
  </si>
  <si>
    <t>SEMITUBULAR TRANSPARENTE 18"</t>
  </si>
  <si>
    <t>TADL32+5+5X2.4</t>
  </si>
  <si>
    <t>SERVICIO DE EXTRUSION - TUB 32+5+5X2.4</t>
  </si>
  <si>
    <t>SEPARAR EL RETAL POR CADA PEDIDO_x000D_
OJO CONTROLAR QUE LOS FUELLES NO QUEDEN FLOJOS_x000D_
DESTINO ALMACEN-</t>
  </si>
  <si>
    <t>STADL76X2</t>
  </si>
  <si>
    <t>SERVICIO DE EXTRUSION - STUB 76X2.0</t>
  </si>
  <si>
    <t>STADL</t>
  </si>
  <si>
    <t>OJO TUBULAR ABIERTO_x000D_
SEPARAR EL RETAL POR PEDIDO_x000D_
DESTINO ALMACEN-</t>
  </si>
  <si>
    <t>TADLPB50X2.9</t>
  </si>
  <si>
    <t>SERVICIO DE EXTRUSION - TUB 50X2.9</t>
  </si>
  <si>
    <t>TADLPB</t>
  </si>
  <si>
    <t>SEPARAR EL RETAL POR PEDIDO Y DESCONTARLO ALOS KILOS PEDIDOS_x000D_
DFESTINO ALMACEN-</t>
  </si>
  <si>
    <t>NBA</t>
  </si>
  <si>
    <t>TUBULAR DE 69.0 CMS. CON SOLAPA DE 2.5 CMS._x000D_
DESTINO DARMA</t>
  </si>
  <si>
    <t>27.-</t>
  </si>
  <si>
    <t>56-</t>
  </si>
  <si>
    <t>DEJAR MUESTRAS_x000D_
DESTUNO ALMACEN-</t>
  </si>
  <si>
    <t>TADLPB44+6.5+6.5X2.9</t>
  </si>
  <si>
    <t>SERVICIO DE EXTRUSION - TUB 44+6.5+6.5X2.9</t>
  </si>
  <si>
    <t>CONTROLAR QUE LOS FUELLES NO QUEDEN FLOJOS_x000D_
SEPARAR EL RETAL POR PEDIDO_x000D_
DESTINO ALMACEN-</t>
  </si>
  <si>
    <t>BBDIPB32X45X4.5</t>
  </si>
  <si>
    <t>PEGA ROCA X 10K</t>
  </si>
  <si>
    <t>-IMPRESION DARMA_x000D_
-MEZCLA: 25.0KLS ORIGINAL +10.0 KLS BAJA RDO BLANCO+8.0 KLS LINEAL2.0 KLS PIG BLANCO_x000D_
-</t>
  </si>
  <si>
    <t>: DESTINO ALMACEN - OJO CON EL SELLE.</t>
  </si>
  <si>
    <t>BADLPB28+6+6X53X1.7</t>
  </si>
  <si>
    <t>ALMACEN MEDIANA SIN IMPRESION</t>
  </si>
  <si>
    <t>QUE LOS FUELLES NO QUEDEN FLOJOS_x000D_
DESTINO SELLADO-</t>
  </si>
  <si>
    <t>BIEN EMPACADAS PARA TROQUELAR- EN BOLSAS_x000D_
DESTINO TROQUEL-</t>
  </si>
  <si>
    <t>BBDIPB40X50X1.9</t>
  </si>
  <si>
    <t>OUTLET PEQUEÑA</t>
  </si>
  <si>
    <t>MORADO</t>
  </si>
  <si>
    <t>BIEN EMPACADO PARA TROQUELAR_x000D_
DEJAR MUESTRAS-</t>
  </si>
  <si>
    <t>TROQUEL -RIÑON</t>
  </si>
  <si>
    <t>BBDIPB50X60X1.9</t>
  </si>
  <si>
    <t>DESTUNO DARMA-</t>
  </si>
  <si>
    <t>LISTONES PLASTICOS DIA DE LA ASESORA 2009</t>
  </si>
  <si>
    <t>66-</t>
  </si>
  <si>
    <t>ROLLOS DE A 1-</t>
  </si>
  <si>
    <t>BADL37+9+9X76X2.5</t>
  </si>
  <si>
    <t>ARROBERA PARA SALES RECUPERADA</t>
  </si>
  <si>
    <t>MUESTRA BUENA CALIDAD_x000D_
DESTIO SELLADO-</t>
  </si>
  <si>
    <t>BBDL20X30X2</t>
  </si>
  <si>
    <t>MUESTRAS  LABORATORIO</t>
  </si>
  <si>
    <t>BBDI14X24X2</t>
  </si>
  <si>
    <t>TORTA DE PESCADO X 6 PYP</t>
  </si>
  <si>
    <t>14-</t>
  </si>
  <si>
    <t>DEJAR MUESTRAS_x000D_
DESTINO SELLADO_x000D_
-</t>
  </si>
  <si>
    <t>BBDL35+8+8X76X3</t>
  </si>
  <si>
    <t>DOBLE ARROBERA</t>
  </si>
  <si>
    <t>DESTINO SELLADO_x000D_
OJO BUENA RESISRENCIA-</t>
  </si>
  <si>
    <t>_x000D_
DESTINO ALMACEN-</t>
  </si>
  <si>
    <t>MUESTRAS LABORATORIO</t>
  </si>
  <si>
    <t>_x000D_
DESTINO SELLADO_x000D_
-</t>
  </si>
  <si>
    <t>811.031.744-6</t>
  </si>
  <si>
    <t>BADIPN30X30X3</t>
  </si>
  <si>
    <t>BOLSA PEQUEÑA 30X30</t>
  </si>
  <si>
    <t>BADIPN</t>
  </si>
  <si>
    <t>BIEN EMPACADO PARA TROQUELAR_x000D_
DESTINO TROQUEL-</t>
  </si>
  <si>
    <t>811.029.614-0</t>
  </si>
  <si>
    <t>TADL60X2</t>
  </si>
  <si>
    <t>TUBULAR AD 60X2.0</t>
  </si>
  <si>
    <t xml:space="preserve">_x000D_
DESTINO ALMACEN_x000D_
</t>
  </si>
  <si>
    <t>BBDIPB30X40X5</t>
  </si>
  <si>
    <t>5 KILOS IMPRESA</t>
  </si>
  <si>
    <t>-DESTNO ALMACEN_x000D_
SELLAE EN MAQUINA</t>
  </si>
  <si>
    <t>CANOA - MARACUYA 900GR</t>
  </si>
  <si>
    <t>IMPRESION DEMES_x000D_
-CONTROLAR DESCOMPENCE</t>
  </si>
  <si>
    <t>_x000D_
DESTNO  ALMACEN_x000D_
-</t>
  </si>
  <si>
    <t>900.277.244-4</t>
  </si>
  <si>
    <t>PALMAS - TOMATE DE ARBOL</t>
  </si>
  <si>
    <t>LI- SUPER HEXCENO</t>
  </si>
  <si>
    <t>-SELLE DE FONDO COBLE ( CON PESTAÑA )_x000D_
DESTINO ALMACEN-</t>
  </si>
  <si>
    <t>PALMAS - LULO</t>
  </si>
  <si>
    <t>COLOCAR PRESELLE DE 8MM_x000D_
DESTINO ALMACEN-</t>
  </si>
  <si>
    <t>PALMAS - MORA</t>
  </si>
  <si>
    <t>L-SUPER HEXCENO</t>
  </si>
  <si>
    <t>DESTINO ALMACEN_x000D_
- DELLE DE FAONDO DOBLE ( CON PESTAÑA )</t>
  </si>
  <si>
    <t>TADLPB18+5+5X0.7</t>
  </si>
  <si>
    <t>SERVICIO DE EXTRUSION</t>
  </si>
  <si>
    <t>DESTINO ALMACEN_x000D_
OJO BUENA RESISTENCIA-</t>
  </si>
  <si>
    <t>BADL60X120X2</t>
  </si>
  <si>
    <t>BOLSA BASURA 60X120</t>
  </si>
  <si>
    <t>1/2 OPACO RDO</t>
  </si>
  <si>
    <t>BADL30X130X2</t>
  </si>
  <si>
    <t>BOLSA 30X130 RECUPERADO</t>
  </si>
  <si>
    <t>DESTINO  MANUALAES-</t>
  </si>
  <si>
    <t>BADL38+9+9X65X2.2</t>
  </si>
  <si>
    <t>ARROBERA GRAFILADA</t>
  </si>
  <si>
    <t>OJO MEDIDAS- ANCHO TOTAL 56.0 CMS._x000D_
OJO RESISTENCIA_x000D_
DESTINO SELLADO_x000D_
-</t>
  </si>
  <si>
    <t xml:space="preserve">LINEAL NORMAL </t>
  </si>
  <si>
    <t>PERFOCION = CIPA_x000D_
DESTINO AMACEN</t>
  </si>
  <si>
    <t>BADL100X80X0.8</t>
  </si>
  <si>
    <t>BOLSA 100X80</t>
  </si>
  <si>
    <t>TIENDAS S GRANDE</t>
  </si>
  <si>
    <t>-DEJAR MUESTRAS_x000D_
DESTINO ALMACEN</t>
  </si>
  <si>
    <t>TBDL52.25X0.9</t>
  </si>
  <si>
    <t>SERVICIO DE EXTRUSION - TUB 52.25X0.9</t>
  </si>
  <si>
    <t>-RETAL MAXIMO 7.0 KLS + 313.0 KLS = 320.KLS_x000D_
-MATERIAL DEL CLIENTE_x000D_
-DESTINO ALMACEN_x000D_
-</t>
  </si>
  <si>
    <t>SERVICIO DE COEXTRUSION - TUB 50X3.0</t>
  </si>
  <si>
    <t>DESTINO ALMACEN-_x000D_
USARMISMOS PARAMETROS TEMPERATURAS Y MEZCLAS DE SOLLA</t>
  </si>
  <si>
    <t>BADL45X60X0.5</t>
  </si>
  <si>
    <t>BOLSA 45X60 ORIGINAL</t>
  </si>
  <si>
    <t>810.003.907-7</t>
  </si>
  <si>
    <t>BADL34+10+10X75X2.5</t>
  </si>
  <si>
    <t>ARROBERA PEQUEÑA</t>
  </si>
  <si>
    <t>DESTINO SELLADO_x000D_
OJO  ES UNA MUESTRA_x000D_
GRAFILADO_x000D_
BUENA RESISTENCIA BUEN CALIBRE-</t>
  </si>
  <si>
    <t>BADL42+9+9X96X2.5</t>
  </si>
  <si>
    <t>ARROBERA GRANDE</t>
  </si>
  <si>
    <t>DESTINO SELLADO_x000D_
OJO ES UNA MUESTRA _x000D_
BUEN CALIBRE BUENA RESISTENCA-_x000D_
GRAFILADO</t>
  </si>
  <si>
    <t>TBDL30X1.8</t>
  </si>
  <si>
    <t>TUBULAR RECUPERADO 12"</t>
  </si>
  <si>
    <t xml:space="preserve">-DESTINO ALMACEN_x000D_
-_x000D_
</t>
  </si>
  <si>
    <t>1/2 OPACO RDO.</t>
  </si>
  <si>
    <t>TBDL45X1.8</t>
  </si>
  <si>
    <t>TUBULAR RECUPERADO 18"</t>
  </si>
  <si>
    <t>BADL100X60X1.8</t>
  </si>
  <si>
    <t>DESTINO SELLDO_x000D_
-</t>
  </si>
  <si>
    <t>DESTINO  ALMACEN_x000D_
-</t>
  </si>
  <si>
    <t>BBDI40.5X43X1.5</t>
  </si>
  <si>
    <t>BOLSA COJIN BASIC DAYS - COD 35458</t>
  </si>
  <si>
    <t>DESINO  DARMA_x000D_
-</t>
  </si>
  <si>
    <t>DEJAR MUESTRAS _x000D_
DESTINO  ALMACEN_x000D_
-</t>
  </si>
  <si>
    <t>43.626.890-2</t>
  </si>
  <si>
    <t>LA HABITACION MEDIANA</t>
  </si>
  <si>
    <t>QUE LOS FUELLES NO QUEDEN FLOJOS_x000D_
IMPRESION DARMA-</t>
  </si>
  <si>
    <t>MANIJA FLEXIBLE-</t>
  </si>
  <si>
    <t>BADL51X230X2</t>
  </si>
  <si>
    <t>BOLSA 51X230 RECUPERADO</t>
  </si>
  <si>
    <t>DESTINO MANUALAES-</t>
  </si>
  <si>
    <t>CORTE Y SELLE_x000D_
-DESTINO ALMACEN</t>
  </si>
  <si>
    <t>860.007.538-2</t>
  </si>
  <si>
    <t>BBDLPN15X23+2.5X1.25</t>
  </si>
  <si>
    <t>ALMACIGO 15X23+2.5 - 1.25</t>
  </si>
  <si>
    <t>BBDLPN</t>
  </si>
  <si>
    <t>BAJA RDO</t>
  </si>
  <si>
    <t>BBDI15X23+2.5X1.5</t>
  </si>
  <si>
    <t>QUESO RIONEGRO 400 GR ROJO</t>
  </si>
  <si>
    <t>-LAMINA DE 102.CMS PARTIDA A LA 1/2_x000D_
-IMPRESION DARMA_x000D_
-</t>
  </si>
  <si>
    <t>MUESRRA</t>
  </si>
  <si>
    <t>800.011.207-7</t>
  </si>
  <si>
    <t>BADL64X113X2.5</t>
  </si>
  <si>
    <t>BOLSA AD 64X113</t>
  </si>
  <si>
    <t>LIN-HEXCENO</t>
  </si>
  <si>
    <t>-CORTAR UNICA/</t>
  </si>
  <si>
    <t>SERVICIO DE EXTRUSION - TUB 37+8+8 CAL 1.4</t>
  </si>
  <si>
    <t>RETAL MAXIMO 2.1KLS + 102.9 = 105KLS_x000D_
DESTINO ALMACEN</t>
  </si>
  <si>
    <t>TBDL70X0.9</t>
  </si>
  <si>
    <t>SERVICIO DE EXTRUSION - TUB 70X0.9</t>
  </si>
  <si>
    <t>RETAL MAXIMO 1KLS + 49KLS = 50_x000D_
DESTINO ALMACEN</t>
  </si>
  <si>
    <t>BBDL86X240X1.7</t>
  </si>
  <si>
    <t>BOLSA PARA PUERTAS PEQUEÑA 86X240</t>
  </si>
  <si>
    <t xml:space="preserve">-MANUALES_x000D_
</t>
  </si>
  <si>
    <t>BBDIPB28+6+6X50X1.3</t>
  </si>
  <si>
    <t>BOLSA ALMACEN MEDIANO LA MEDIA NARANJA</t>
  </si>
  <si>
    <t>PEDIR V°B°  AL PIGMENTO_x000D_
DESTINO DARMA</t>
  </si>
  <si>
    <t>BIEN EMPACADO PARA TROQUELAR, EN BOLSA_x000D_
SELLE DE FONDO DOBLE</t>
  </si>
  <si>
    <t>BBDL105X240X1.7</t>
  </si>
  <si>
    <t>BOLSA PARA PUERTAS GRANDE 105X240</t>
  </si>
  <si>
    <t>-MANUALES_x000D_
-</t>
  </si>
  <si>
    <t>BADIPB34X44X2.5</t>
  </si>
  <si>
    <t>PIGMENTO - REGALO BIODEGRADABLE</t>
  </si>
  <si>
    <t>-OJO MAXIMO CONTROL AL DESCOMPENCE_x000D_
IMPRESION DARMA_x000D_
-</t>
  </si>
  <si>
    <t>-BIEM EMPACADO PARA TROQUELAR_x000D_
-TRQUELADORA</t>
  </si>
  <si>
    <t>-DEJAR 10 CM SIN TRATAR A UN LADO Y MARCAR COMO BOCA_x000D_
-OJO QUE NO QUEDE CON OREJA A UN LADO_x000D_
-DESTINO: DARMA</t>
  </si>
  <si>
    <t>-BIEN EMPACADO PARA TROQUELAR_x000D_
-ALMACEN</t>
  </si>
  <si>
    <t>BBDI27.3X21.5+6X2.5</t>
  </si>
  <si>
    <t>CAMISETA ESQUELETO C.  REDONDO HOMBRE</t>
  </si>
  <si>
    <t>- TUBULAR DE 49 CMS PARTIDO CON SOLAPA VOLADA DE 6 CMS_x000D_
- TRATAR CARA DE LA SOLAPA_x000D_
- IMPRESION DARMA_x000D_
-</t>
  </si>
  <si>
    <t xml:space="preserve">- BIEN EMPACADO PARA TROQUELAR_x000D_
</t>
  </si>
  <si>
    <t>- DEJAR 10 CM SIN TRATAR A UN LADO Y MARCAR COMO BOCA._x000D_
-OJO QUE NO QUEDE CON OREJA A UN LADO_x000D_
-DESTINO: DARMA</t>
  </si>
  <si>
    <t>TROQUEL RIÑON</t>
  </si>
  <si>
    <t>BADL28+6.5+6.5X60X1.5</t>
  </si>
  <si>
    <t>ARROBERA GATOS CODIGO 589</t>
  </si>
  <si>
    <t xml:space="preserve">MEZCLAS :INTERIOR :   25KLS DE ALTA + 4 KLS DE LINEAL_x000D_
 EXTERIOR:  25 KLS DE 640 + 4 KLS LINEAL (EXENO) +4 KLS 641_x000D_
-GRAFILADO_x000D_
-_x000D_
                                                  _x000D_
_x000D_
</t>
  </si>
  <si>
    <t>DESTINO ALMACEN_x000D_
TENER CUIDADO CON LAS MEDIDAS Y EL ANCHO DEL MATERIAL</t>
  </si>
  <si>
    <t>QUESITO RIONEGRO 400 GR VERDE-ROJO</t>
  </si>
  <si>
    <t>-LAMINA DE 102 CMS PARTIDA A LA 1/2_x000D_
-IMPRESION DARMA_x000D_
-</t>
  </si>
  <si>
    <t>L- SU- HEXCENO</t>
  </si>
  <si>
    <t>BBDI16X35X2.5</t>
  </si>
  <si>
    <t>CANOA - MARACUYA 900 GRM CAL 2.5</t>
  </si>
  <si>
    <t xml:space="preserve">-DEMES_x000D_
- CONTROLAR DESCOMPENCE_x000D_
- </t>
  </si>
  <si>
    <t>LI- HECXENO</t>
  </si>
  <si>
    <t>BBDLPB35+7+7X60X2</t>
  </si>
  <si>
    <t>PUNTO DE VENTA GRANDE SIN IMPRESION</t>
  </si>
  <si>
    <t>BADLPG65X90X0.9</t>
  </si>
  <si>
    <t>BOLSA BASURA 65X90 GRIS</t>
  </si>
  <si>
    <t>BADLPV65X90X0.9</t>
  </si>
  <si>
    <t>BOLSA BASURA 65X90 VERDE</t>
  </si>
  <si>
    <t>COEXTRUIDA 60X240</t>
  </si>
  <si>
    <t>-MEZCLAS: INTERIOR 25 K ALTA + 6 K LINEAL NORMAL (BUTENO)_x000D_
- EXTERIOR 25K 640 + 4 K LINEAL NORMAL +4 K BAJA 641_x000D_
- MANUALES</t>
  </si>
  <si>
    <t>BADIPN23X30X2.2</t>
  </si>
  <si>
    <t>DIANE &amp; GEORDI TIENDA MEDIANA BIODEGRADABLE</t>
  </si>
  <si>
    <t xml:space="preserve">-TUBULAR DE 60 CM PARTIDO A LA MITAD_x000D_
- DARMA_x000D_
- </t>
  </si>
  <si>
    <t xml:space="preserve">- BIEN EMPACADO PARA TROQUELAR_x000D_
- </t>
  </si>
  <si>
    <t>15.316.293-3</t>
  </si>
  <si>
    <t>BBDI15X23X1</t>
  </si>
  <si>
    <t>BOLSA QUESITO 310 G DON ALEJO</t>
  </si>
  <si>
    <t xml:space="preserve">- PARA DARMA_x000D_
- </t>
  </si>
  <si>
    <t>860.025.792-3</t>
  </si>
  <si>
    <t>BBDIPV65X90+5X3</t>
  </si>
  <si>
    <t>BOLSAS FIESTA DE NAVIDAD 2010</t>
  </si>
  <si>
    <t>-VERDE MGR 270</t>
  </si>
  <si>
    <t>VERDE ESPECIAL</t>
  </si>
  <si>
    <t>AMARILLA NORMAL</t>
  </si>
  <si>
    <t xml:space="preserve">DESTINO ALMACEN_x000D_
</t>
  </si>
  <si>
    <t>BADL28X24.5X0.4</t>
  </si>
  <si>
    <t>BOLSA AD 28X24.5</t>
  </si>
  <si>
    <t>BBDL26X35X1.5</t>
  </si>
  <si>
    <t>BOLSA T.Q.</t>
  </si>
  <si>
    <t>DESTINO SELLADO_x000D_
ROLLOS DE 1075 MTS</t>
  </si>
  <si>
    <t>DESTINO ALMACEN - COLOCAR BOLSA LAINER AL BULTO</t>
  </si>
  <si>
    <t>BOLSA 51X230 OPACO</t>
  </si>
  <si>
    <t>OPACO RDO</t>
  </si>
  <si>
    <t>CANOA - GUANABANA 900 GRM CAL 2.5</t>
  </si>
  <si>
    <t>-DEMES_x000D_
- CONTROLAR DESCOMPENCE_x000D_
-</t>
  </si>
  <si>
    <t>LI- HAEXCENO</t>
  </si>
  <si>
    <t>LBDL45X1.9</t>
  </si>
  <si>
    <t>SERVICIO DE EXTRUSION - LAM 45X1.9</t>
  </si>
  <si>
    <t>-RETAL MAXIMO 1.2 KLS + 58.8 KLS = 60.0KLS_x000D_
CON MATERIAL DEL CLIENTE_x000D_
ALMACEN</t>
  </si>
  <si>
    <t>BADLPNA101X70X0.75</t>
  </si>
  <si>
    <t>CANASTA NARANJADA</t>
  </si>
  <si>
    <t>BADLPB101X70X0.75</t>
  </si>
  <si>
    <t>CANASTA BLANCA</t>
  </si>
  <si>
    <t>BADLPC101X70X0.75</t>
  </si>
  <si>
    <t>CANASTA CAFE</t>
  </si>
  <si>
    <t>BADLPC</t>
  </si>
  <si>
    <t>CAFE</t>
  </si>
  <si>
    <t>BADL28X34X1</t>
  </si>
  <si>
    <t>BOLSA AD 28X34X1.0</t>
  </si>
  <si>
    <t>BBDL22X40+4.5+4X1.5</t>
  </si>
  <si>
    <t>MUESTRA NUTRIPAN 400 GR</t>
  </si>
  <si>
    <t>WIEKET</t>
  </si>
  <si>
    <t>BBDI13.8X29.5X3.5</t>
  </si>
  <si>
    <t>TORTA DE CARNE X 8</t>
  </si>
  <si>
    <t>-IMPRESUION DARMA_x000D_
-</t>
  </si>
  <si>
    <t>TADL20X2</t>
  </si>
  <si>
    <t>TUBULAR AD 20X2.0</t>
  </si>
  <si>
    <t>BOLSA ALMACEN PEQUEÑA CORDON II</t>
  </si>
  <si>
    <t>-DESTINO CORREA_x000D_
-CONTROLAR EL EMBOBINADO DEL ROLLO, QUE NO QUEDE FLOJO A UN EXTREMO PARA EVITAR DEVOLUCION DE CORREA</t>
  </si>
  <si>
    <t>BADL53X80X3.5</t>
  </si>
  <si>
    <t>BOLSA ANHIDRIDO SIN IMPRESION</t>
  </si>
  <si>
    <t>-SELLADO_x000D_
-OJO RESISTENCIA</t>
  </si>
  <si>
    <t>L HEXCENO</t>
  </si>
  <si>
    <t>CLUSTER TESCO</t>
  </si>
  <si>
    <t>-DESTINO: APARTAD-_x000D_
-ORDEN DE COMPRA 1944_x000D_
-ALMACEN</t>
  </si>
  <si>
    <t>BBDI15X19.5+2.5X1.5</t>
  </si>
  <si>
    <t>QUESITO RIONEGRO VERDE- ROJO 400 G</t>
  </si>
  <si>
    <t xml:space="preserve">-LAINA DE 88.0 CMS PARTIDA A LA1/2 _x000D_
-ROLLOS PAREJOS _x000D_
-DARMA_x000D_
- </t>
  </si>
  <si>
    <t>BBDL14X29X2</t>
  </si>
  <si>
    <t>LOMITO DE MERLUSA</t>
  </si>
  <si>
    <t>890.901.352-3</t>
  </si>
  <si>
    <t>BADL20X48X0.4</t>
  </si>
  <si>
    <t>REPARTIDORES</t>
  </si>
  <si>
    <t>BBDI19.5X32+3.5+4X1.5</t>
  </si>
  <si>
    <t>PAN BOLITA GUADALUPE 250 G</t>
  </si>
  <si>
    <t>-IMPRESION CARREA_x000D_
-BUEN CONTROL A LA MADIDA ROLLOS PAREJOS</t>
  </si>
  <si>
    <t>WIECKET</t>
  </si>
  <si>
    <t>-ALMACEN_x000D_
-MARCAR CAJA LOTE: DIA /MES/ Nº DE PEDIDO_x000D_
HAY QUE REFILAR ANTES DE SELLAR</t>
  </si>
  <si>
    <t>PAN BUFFET MAMA INES 250 G</t>
  </si>
  <si>
    <t>LI/ HEXCENO</t>
  </si>
  <si>
    <t>-ALMACEM _x000D_
-MARCAR CAJA : DIA/ MES/ Nº DE PEDIDO</t>
  </si>
  <si>
    <t>PAN BOLITA LALO 250 G</t>
  </si>
  <si>
    <t>L/ HEXCENO</t>
  </si>
  <si>
    <t>-ALMMACEN-_x000D_
-MARCAR CAJA: DIA/ MES/ Nº DE PEDIDO_x000D_
-REFILAR ANTES DE SELLAR</t>
  </si>
  <si>
    <t>BADIPB20X30X1</t>
  </si>
  <si>
    <t>BOLSA PEQUEÑA SIN TROQUEL LA MEDIA NARANJA</t>
  </si>
  <si>
    <t>-PEDIR VISTO BUENO AL PIGMENTO_x000D_
-DESTINO DARMA</t>
  </si>
  <si>
    <t>LBDL46X2.1</t>
  </si>
  <si>
    <t>LAMINA BD 46X2.1</t>
  </si>
  <si>
    <t>-ROLLOS  PAREJOS_x000D_
-ALMACEN</t>
  </si>
  <si>
    <t>LI/ SUP HEXCENO</t>
  </si>
  <si>
    <t>BOLSA CANOA 900GR MIXTA</t>
  </si>
  <si>
    <t>IMPRESION DEMES</t>
  </si>
  <si>
    <t>MUESTRA- ARTE</t>
  </si>
  <si>
    <t>LBDL22X26.5X1.2</t>
  </si>
  <si>
    <t>LAMINA TRANSPARENTE QUESITO 250 GRM</t>
  </si>
  <si>
    <t>CANOA - MORA 900 GRM CAL 2.5</t>
  </si>
  <si>
    <t>-DEMES_x000D_
-CONTROLAR DESCOMPENCE</t>
  </si>
  <si>
    <t>CANOA - LULO 900 GRM CAL 2.5</t>
  </si>
  <si>
    <t>CANOA - MANGO 900 GRM CAL 2.5</t>
  </si>
  <si>
    <t>LI- EXCENO</t>
  </si>
  <si>
    <t>TADLPNA30.5X1.4</t>
  </si>
  <si>
    <t>SERVICIO DE EXTRUSION - TUBULAR DE 30.5X1.4</t>
  </si>
  <si>
    <t>TADLPNA</t>
  </si>
  <si>
    <t>-ALMACEN_x000D_
-MATERIAL DEL CLIENTE_x000D_
-</t>
  </si>
  <si>
    <t>MARANJA</t>
  </si>
  <si>
    <t>BOLSA ALMACEN GRANDE CORDON- BIODEGRADABLE</t>
  </si>
  <si>
    <t>-OJO CON EL DESCOMPENCE PARA EVITAR DEVOLUCION DE CORREA_x000D_
-SE ADJUNTA MUESTRA PARA PIGMENTO_x000D_
-DESTINO CORREA</t>
  </si>
  <si>
    <t>BIODEGRADLE</t>
  </si>
  <si>
    <t>-BIEN EMPCADO PARA TROQUELAR AJUSTANDO BIEN LA BOCA DE LA BOLSA_x000D_
-</t>
  </si>
  <si>
    <t>-TROQUEL 1/2 LUNA</t>
  </si>
  <si>
    <t>TUBULAR AD 91X3.0 ORIGINAL</t>
  </si>
  <si>
    <t xml:space="preserve">- DESTINO ALMACEN _x000D_
- LA MEZCLA SIMILAR A SOLLA NO DA_x000D_
- </t>
  </si>
  <si>
    <t>BOLSA 30X130 ORIGINAL</t>
  </si>
  <si>
    <t>- MEZCLAS : INTERIOR 25 K ALTA +6 K LINEAL NORMAL (BUTENO)_x000D_
- EXTERIOR: 12.5 K DE 640 + 12.5 K DE BAJA ESPECIAL + 5 K LINEAL_x000D_
- DESTINO MANUALES</t>
  </si>
  <si>
    <t>800.186.656-1</t>
  </si>
  <si>
    <t>BBDI50X70+15X1.7</t>
  </si>
  <si>
    <t>ALMOHADA SILVIA T</t>
  </si>
  <si>
    <t xml:space="preserve">- PLASTICOS DARMA_x000D_
- </t>
  </si>
  <si>
    <t>CVADL50X50X0.5</t>
  </si>
  <si>
    <t>CUBREVESTIDO 50X50</t>
  </si>
  <si>
    <t xml:space="preserve">-YUMONDI_x000D_
</t>
  </si>
  <si>
    <t>TADL76X0.50</t>
  </si>
  <si>
    <t>SERVICIO DE EXTRUSION 76X0.50</t>
  </si>
  <si>
    <t>-MATERIAL GRAFILADO_x000D_
MATERIAL DEL CLIENTE_x000D_
-</t>
  </si>
  <si>
    <t>TADL58X0.45</t>
  </si>
  <si>
    <t>SERVICIO DE EXTRUSION 58X0.45</t>
  </si>
  <si>
    <t>-MEZCLA DEL CLIENTE_x000D_
-ALMACEN_x000D_
-GRAFILADO_x000D_
-_x000D_
-</t>
  </si>
  <si>
    <t>900.357.475-2</t>
  </si>
  <si>
    <t>PAN BOLA RIKY PAN</t>
  </si>
  <si>
    <t>-DARMA_x000D_
-</t>
  </si>
  <si>
    <t>BBDIPB20+6+6X45X4</t>
  </si>
  <si>
    <t>COEXTRUIDA SUSTRATOS IMPRESA</t>
  </si>
  <si>
    <t>-BLANCO POR FUERA_x000D_
-NEGRO POR DENTRO_x000D_
-DARMA_x000D_
-</t>
  </si>
  <si>
    <t>-PEDIR MUESTRA PARA LA ALTURA_x000D_
-ALMACEN</t>
  </si>
  <si>
    <t>800.034.626-9</t>
  </si>
  <si>
    <t>BADIPB35+6+6X40X3</t>
  </si>
  <si>
    <t>PERMAQUIM FERIA</t>
  </si>
  <si>
    <t xml:space="preserve">-IMPRESIOM DARMA_x000D_
.100% ALTA TT/E RECUPERADO_x000D_
-_x000D_
</t>
  </si>
  <si>
    <t>MW-134-10-0408A</t>
  </si>
  <si>
    <t>RECIPOL-MAD-720</t>
  </si>
  <si>
    <t>-DOBLAR UNICA/ NO REQUIERE BOLSA_x000D_
ALMACEN</t>
  </si>
  <si>
    <t>LANCHERO APANADO</t>
  </si>
  <si>
    <t>-ALMACEN_x000D_
-OJO BUEN SELLE</t>
  </si>
  <si>
    <t>TADLPF40X2.3</t>
  </si>
  <si>
    <t>SSERVICIO DE EXTRUSION - TUBULAR 40X2.3</t>
  </si>
  <si>
    <t>TADLPF</t>
  </si>
  <si>
    <t>-ALMACEN_x000D_
-CON MATERIAL DEL CLIENTE</t>
  </si>
  <si>
    <t>FUCSIA</t>
  </si>
  <si>
    <t>TBDL50X0.9</t>
  </si>
  <si>
    <t>SERVICIO DE EXTRUSION - TUB 50X0.9</t>
  </si>
  <si>
    <t>-RETAL MAXIMO 5.0KLS + 236.0 KLS = 241.0 KLS_x000D_
ALMACEN</t>
  </si>
  <si>
    <t>TADLPNA25X1.4</t>
  </si>
  <si>
    <t>SERVICIO DE EXTRUSION - TUBULAR 25X1.4</t>
  </si>
  <si>
    <t>-ALMACEN_x000D_
-MATERIAL DEL CLIENTE</t>
  </si>
  <si>
    <t>PAN TAJADO RIKY PAN</t>
  </si>
  <si>
    <t>BBDIPAM12X55X2.9</t>
  </si>
  <si>
    <t>BATE ROOTT + CO</t>
  </si>
  <si>
    <t>BBDIPAM</t>
  </si>
  <si>
    <t>- MANTENER CALIBRE_x000D_
- PLASTICOS CORREA</t>
  </si>
  <si>
    <t>1.5</t>
  </si>
  <si>
    <t>- COLOCAR VALVULA_x000D_
- DESTINO ALMACEN</t>
  </si>
  <si>
    <t>LBDL90X2.4</t>
  </si>
  <si>
    <t>SERVICIO DE ESTRUSION - LAM 90X2.4</t>
  </si>
  <si>
    <t>-RETAL MAXIMO 5.4 kLS + 264.6 KLS = 270.0 KLS _x000D_
-CON MATERIAL DEL CLIENTE_x000D_
-ALMACEN</t>
  </si>
  <si>
    <t>LBDLPB37X5</t>
  </si>
  <si>
    <t>SERVICIO DE EXTRUSION - LAM 37X5</t>
  </si>
  <si>
    <t>LAM-DLOBLE</t>
  </si>
  <si>
    <t>-RETAL MAXIMO 1.0 KLS + 44.0KLS = 45.0 KLS_x000D_
- CON MATERIAL DEL CLINTE_x000D_
-ALMACEN_x000D_
-</t>
  </si>
  <si>
    <t>LAMINA TRANSPARENTE QUESO 400 GR SIN IMPRESION</t>
  </si>
  <si>
    <t>BBDL21+8+8X60X1.8</t>
  </si>
  <si>
    <t>MUESTRA ARROBERA</t>
  </si>
  <si>
    <t xml:space="preserve">- DESTINO SELLADO_x000D_
- MUESTRAS _x000D_
- </t>
  </si>
  <si>
    <t>LADL25X0.38</t>
  </si>
  <si>
    <t>LAMINA DOBLE ALTA DENSIDAD</t>
  </si>
  <si>
    <t>LADL</t>
  </si>
  <si>
    <t>LAM-DOBLE</t>
  </si>
  <si>
    <t>-LAMINA DOBLE DE 50.0CMS PARTIDA A LA 1/2_x000D_
-ALMACEN_x000D_
-</t>
  </si>
  <si>
    <t>800.027.656-0</t>
  </si>
  <si>
    <t>REF 8421 BRONZINI</t>
  </si>
  <si>
    <t xml:space="preserve">- TUBULAR DE 49 CMS PARTIDO CON SOLAPA VOLADA DE 6 CMS_x000D_
- TRATAR LADO DE LA SOLAPA_x000D_
- DESTINO DARMA_x000D_
- </t>
  </si>
  <si>
    <t>- PEGAR GANCHO 07J</t>
  </si>
  <si>
    <t>TBDL67X1.4</t>
  </si>
  <si>
    <t>SERVICIO DE EXTRUSION - TUB 67X1.4</t>
  </si>
  <si>
    <t>-RETAL MAXIMO 1.0 KLS + 44.0 KLS = 45.0 KLS _x000D_
-CON MATRIAL DEL CLIENTE_x000D_
-ALMACEN</t>
  </si>
  <si>
    <t>BADIPB34X40+4X2</t>
  </si>
  <si>
    <t>PIGMENTO-REGALO</t>
  </si>
  <si>
    <t>-CONTROLAR QUE NO SALGA MATERIAL DESCOMPENSADO_x000D_
-IMPRESION DARMA</t>
  </si>
  <si>
    <t>CIN- D-FAZ</t>
  </si>
  <si>
    <t>BBDI30X38+5X1.5</t>
  </si>
  <si>
    <t>RCACHE JEANS</t>
  </si>
  <si>
    <t>-TUBULAR DE 81.0 CMS  PARTIDO COS SOLAPA VOLADA DE 5.0 CMS_x000D_
- DARMA_x000D_
-</t>
  </si>
  <si>
    <t>CINTA DOBLE FAZ</t>
  </si>
  <si>
    <t>BADLPR35X45X0.9</t>
  </si>
  <si>
    <t>BOLSA BASURA 35X45 ROJO</t>
  </si>
  <si>
    <t>BOLSA ALMACEN GRANDE CORDON II</t>
  </si>
  <si>
    <t>-DESTINO CORREA_x000D_
-CONTROLAR EL EMBOBONADO DEL ROLLO, QUE NO QUEDE FLOJO A UN EXTREMO PARA EVITAR DEVOLUCION DE CORREA</t>
  </si>
  <si>
    <t>BBDIPB11X55X3</t>
  </si>
  <si>
    <t>BOLSA POLIETILENO MASTER</t>
  </si>
  <si>
    <t>71.603.651-1</t>
  </si>
  <si>
    <t>BBDL30X47.5X7.5</t>
  </si>
  <si>
    <t>BOLSA BD 12X19" PIEDRAS RECUPERADO</t>
  </si>
  <si>
    <t xml:space="preserve">- BAJA RECUPERADO_x000D_
- </t>
  </si>
  <si>
    <t>TBDL36X1.9</t>
  </si>
  <si>
    <t>SERVICIO DE EXTRUSION - TUB 36X1.9</t>
  </si>
  <si>
    <t>RETAL MAXIMO 2KLS + 98KLS = 100 KLS_x000D_
DESTINO ALMACEN</t>
  </si>
  <si>
    <t>TBDL37.5X0.9</t>
  </si>
  <si>
    <t>SERVICIO DE EXTRUSION - TUB 37.5X0.9</t>
  </si>
  <si>
    <t>RETAL MAXIMO 1.4KLS + 68.6KLS = 70KLS_x000D_
DESTINO ALMACEN</t>
  </si>
  <si>
    <t>LBDLPB80X2.4</t>
  </si>
  <si>
    <t>SERVICIO DE EXTRUSION - LAM BLANCA 80X2.4</t>
  </si>
  <si>
    <t>-RETAL MAXIMO 7.1KLS + 97.9KLS = 105KLS_x000D_
-MATERIAL DEL CLIENTE_x000D_
-DESTINO ALMACEN</t>
  </si>
  <si>
    <t>BPPI17.5X17.5+5X2</t>
  </si>
  <si>
    <t>GEORDI PEQUEÑA CON CINTA ADHESIVA</t>
  </si>
  <si>
    <t>- CINTA DOBLE FAZ_x000D_
- SOLAPA VOLADA</t>
  </si>
  <si>
    <t>TBDL35.5X0.9</t>
  </si>
  <si>
    <t>SERVICIO DE EXTRUSION - TUB 35.5X0.9</t>
  </si>
  <si>
    <t>BADIPB36X42+5+7X2</t>
  </si>
  <si>
    <t>EXPOMODA NUEVA</t>
  </si>
  <si>
    <t xml:space="preserve">- PLASTICOS DARMA_x000D_
- MARCAR FUELLE DE 7 CM COMO BOCA DE LA BOLSA_x000D_
- </t>
  </si>
  <si>
    <t>BOLSA ALMACEN PEQUEÑA CORDON- BIODEGRADABLE</t>
  </si>
  <si>
    <t>-OJO CON EL DESCOMPENCE PARA EVITAR DEVOLUON DE CORREA_x000D_
-SE ADJUNTA MUESTRA PARA PIGMENTO_x000D_
-DESTINO CORREA_x000D_
-</t>
  </si>
  <si>
    <t>900.285.052-0</t>
  </si>
  <si>
    <t>BBDIPB43.5X50+5X2.3</t>
  </si>
  <si>
    <t>NAVIDAD MEDIANA</t>
  </si>
  <si>
    <t>-DEJAR 7.0 CMS  SIN TRATAR A UN LADO MARCAR COMO BOCA DE LA BOLSA_x000D_
-DARMA_x000D_
-</t>
  </si>
  <si>
    <t>TBDL70X0.85</t>
  </si>
  <si>
    <t>SERVICIO DE EXTRUSION - TUB 70X0.085</t>
  </si>
  <si>
    <t>-RETAL MAXIMO 2.0 KLS + 71.0 KLS = 73.0 KLS_x000D_
-ALMACEN</t>
  </si>
  <si>
    <t>TBDL38X2.8</t>
  </si>
  <si>
    <t>SERVICIO DE EXTRUSION - TUB 38X2.8</t>
  </si>
  <si>
    <t>-RETAL MAXIMO 1.0 KLS + 47.0KLS =48.0 KLS_x000D_
-ALAMCEN</t>
  </si>
  <si>
    <t>TBDL40X2.8</t>
  </si>
  <si>
    <t>SERVICIO DE EXTRUSION - TUB 40X2.8</t>
  </si>
  <si>
    <t>-RETAL MAXIMO 1.0 KLS + 47.0 KLS = 48.0 KLS  _x000D_
ALMACEN</t>
  </si>
  <si>
    <t>TBDL52.5X0.9</t>
  </si>
  <si>
    <t>SERVICIO DE EXTRUSION - TUB 52.5X0.9</t>
  </si>
  <si>
    <t>-RETAL MAXIMO 3.0 KLS + 147.0 KLS = 150 KLS_x000D_
-ALMACEN</t>
  </si>
  <si>
    <t>BADI17.5X28.5X3</t>
  </si>
  <si>
    <t>BOLSA HALLOWEEN</t>
  </si>
  <si>
    <t>-TUBULAR DE 59.0 CMS PARTIDO A LA 1/2 OJO CORTE DEDIDA BIEN EXACTA_x000D_
-TRATAR UNA CARA POR DENTRO Y LA OTRA POR FUERA , IDICANDO CARA TRATADA_x000D_
-DESTINO DARMA</t>
  </si>
  <si>
    <t>TADL85+15+15X0.6</t>
  </si>
  <si>
    <t>TUBULAR AD 85+15+15X0.6</t>
  </si>
  <si>
    <t>- ALMACEN_x000D_
- ROLLOS BIEN EMPACADOS</t>
  </si>
  <si>
    <t>BPPL22X52+4X1</t>
  </si>
  <si>
    <t>OFERTA BROWNIE SOLEDAD</t>
  </si>
  <si>
    <t xml:space="preserve">- DESTINO SELLADO_x000D_
- </t>
  </si>
  <si>
    <t>- EMPACAR EN LINER_x000D_
- ALMACEN</t>
  </si>
  <si>
    <t>CVBDL43X43X0.8</t>
  </si>
  <si>
    <t>CUBREVESTIDO 17X17"</t>
  </si>
  <si>
    <t>_x000D_
DESTINO YUMONDI</t>
  </si>
  <si>
    <t>BBDL34X51.5X3</t>
  </si>
  <si>
    <t>BOLSA SIN IMPRESION TRATADA</t>
  </si>
  <si>
    <t>-SELLADO_x000D_
-TRATADO 2 CARAS</t>
  </si>
  <si>
    <t>LBDL43X1.9</t>
  </si>
  <si>
    <t>LAMINA SERVICIO DE EXTRUSION 43X1.9</t>
  </si>
  <si>
    <t>-RETAL MAXIMO 2.0 KLS + 91.0 KLS = 95.0KLS_x000D_
-ALACEN_x000D_
-</t>
  </si>
  <si>
    <t>TUBULAR AD 61X3.0 ORIGINAL</t>
  </si>
  <si>
    <t xml:space="preserve">-MEZCLAS: INTERIOR 25 K ALTA + 6 K LINEAL NORMAL (BUTENO)_x000D_
- EXTERIOR: 12.5 KILOS DE 640 + 12.5 K DE BAJA ESPECIAL + 5 K LINEAL_x000D_
- DESTINO ALMACEN_x000D_
- </t>
  </si>
  <si>
    <t>BLANCA NORMAL</t>
  </si>
  <si>
    <t>DETINO SELLADO</t>
  </si>
  <si>
    <t>-DESTINO SELLADO_x000D_
DEJAR MUESTRAS</t>
  </si>
  <si>
    <t>BBDIPB66X70+5X2.5</t>
  </si>
  <si>
    <t>NAVIDAD GRANDE</t>
  </si>
  <si>
    <t>-DEJAR 7.0 CMS SIN TRATAR A UN LADO Y MARCAR COMO BOCA DE LA BOLSA_x000D_
-DARMA</t>
  </si>
  <si>
    <t>HEXCENO</t>
  </si>
  <si>
    <t xml:space="preserve">-NO REQUIERE EMPACAR EN BOLSA_x000D_
</t>
  </si>
  <si>
    <t>-TIRA ROJA 0 TOMATICOS</t>
  </si>
  <si>
    <t>900.031.088-5</t>
  </si>
  <si>
    <t xml:space="preserve">-EMPACAR EN BULTOS ( EMPAQUES PLASTICOS )_x000D_
-ALMACEN_x000D_
-DIRECCION SANTA MART_x000D_
-ORDEN DE COMPRA  7837_x000D_
</t>
  </si>
  <si>
    <t>BADLPA65X90X0.9</t>
  </si>
  <si>
    <t>BOLSA BASURA 65X90 AZUL</t>
  </si>
  <si>
    <t>LBDL90X2</t>
  </si>
  <si>
    <t>LAMINA BD 90X2.0</t>
  </si>
  <si>
    <t>-OJO  TRATADO A 41. DINAS_x000D_
-DESTINO ALMACEN</t>
  </si>
  <si>
    <t>CANOA GENERICA 900 GRM CAL 2.5</t>
  </si>
  <si>
    <t>-IMPRESION DEMES_x000D_
-CONTROLAR QUE NO SALGA CON DESCOMPEMCE_x000D_
-DEMES</t>
  </si>
  <si>
    <t>SUPER- HAXCENO</t>
  </si>
  <si>
    <t>BADL65X90X3</t>
  </si>
  <si>
    <t>BOLSA DOSIFICACION 65X90</t>
  </si>
  <si>
    <t xml:space="preserve">-CARA INTERNA : 25.0 KLS  DE ALTA + 6.0 LINEAL NOMAL_x000D_
-CORA EXTERNA: 25.0 KLS DE 640 + 4.0 K DE 641 + 4.0 K DE SU- HEXCENO_x000D_
-SELLADO_x000D_
- </t>
  </si>
  <si>
    <t>LIN-NORMAL</t>
  </si>
  <si>
    <t>SUPER-HEXCENO</t>
  </si>
  <si>
    <t>-EMPACAR DOBLADO COMO TECNAS_x000D_
-EMPAQUE FINAL SEGUN NORMA DEL CLIENTE_x000D_
-ALAMCEN</t>
  </si>
  <si>
    <t>:-</t>
  </si>
  <si>
    <t>900.163.731-1</t>
  </si>
  <si>
    <t>BADIPNA70X90X1</t>
  </si>
  <si>
    <t>FUTURASEO IMPRESO - RECOLECCION</t>
  </si>
  <si>
    <t>NARANJA MO-230</t>
  </si>
  <si>
    <t>-OJO PAQUETES X 10 BOLSAS_x000D_
-ALMACEN</t>
  </si>
  <si>
    <t>BADLPB65X90X0.8</t>
  </si>
  <si>
    <t>BOLSA RECICLAJE 65X90 BLANCA</t>
  </si>
  <si>
    <t>BADLPA57X50X0.7</t>
  </si>
  <si>
    <t>BOLSA RECICLAJE 57X50 AZUL</t>
  </si>
  <si>
    <t>AZAUL</t>
  </si>
  <si>
    <t>-C ANATIDAD EXACTA</t>
  </si>
  <si>
    <t>811.041.005-4</t>
  </si>
  <si>
    <t>URABA LIMPIO IMPRESO - RECOLECCION</t>
  </si>
  <si>
    <t>NARANJAMO-230</t>
  </si>
  <si>
    <t>BBDL40.5X43X1.5</t>
  </si>
  <si>
    <t>BOLSA 40.5X43 CODIGO 32222</t>
  </si>
  <si>
    <t>BADL45.5X63X0.8</t>
  </si>
  <si>
    <t>MASTER</t>
  </si>
  <si>
    <t>DESTINO SELLADO_x000D_
OJO RESISTENCIA</t>
  </si>
  <si>
    <t>DESTINO ALMACEN_x000D_
PAQUETES AMARRADOS_x000D_
OJO MEDIDAS Y SELLE</t>
  </si>
  <si>
    <t>BADLPNA70X90X1</t>
  </si>
  <si>
    <t>BOLSA 70X90 NARANJA RECUPERADO</t>
  </si>
  <si>
    <t>HELPHARMA BIODEGRADABLE</t>
  </si>
  <si>
    <t>-TUBULAR DE 86.0 CMS PARTIDO CON CUHILLA TERMICA_x000D_
-DEJAR SIN TRATAR 20.0 CMS AL CENTRO DEL TUBULAR O SEA 10.0 CMS A CADA ROLLO Y MARCAR COMO BOCA DE LA BOLSA_x000D_
-IMPRESION DARMA_x000D_
-</t>
  </si>
  <si>
    <t>BBDL50X70+10X1.5</t>
  </si>
  <si>
    <t>ALMOHADA 50X70+10</t>
  </si>
  <si>
    <t>BBDL35X50X1.25</t>
  </si>
  <si>
    <t>BOLSA 35X50</t>
  </si>
  <si>
    <t>_x000D_
DESTINO SELLADO</t>
  </si>
  <si>
    <t>BADLPB57X50X0.7</t>
  </si>
  <si>
    <t>BOLSA RECICLAJE 57X50 BLANCA</t>
  </si>
  <si>
    <t>BOLSA 51X230 ORIGINAL</t>
  </si>
  <si>
    <t>ALTA ORIGNAL</t>
  </si>
  <si>
    <t>BADLPA65X90X0.8</t>
  </si>
  <si>
    <t>BOLSA RECICLAJE 65X90 PIG. AZUL</t>
  </si>
  <si>
    <t>BADLPR162X70X0.75</t>
  </si>
  <si>
    <t>BOLSA ROJA TAPA CUTTER 162X70</t>
  </si>
  <si>
    <t>BOLSA 26X36+3.5 CAL 1.25</t>
  </si>
  <si>
    <t xml:space="preserve">-DESTINO SELLADO_x000D_
-TUBULAR DE 76.0 CMS PARTIDO CON SOLAPA VOLADA DE 4.0CMS_x000D_
- </t>
  </si>
  <si>
    <t>BADLPAM162X70X0.75</t>
  </si>
  <si>
    <t>BOLSA AMARILLA TAPA CUTTER 162X70</t>
  </si>
  <si>
    <t>AMRILLO</t>
  </si>
  <si>
    <t>BADLPL162X70X0.75</t>
  </si>
  <si>
    <t>BOLSA LILA TAPA CUTTER 162X70</t>
  </si>
  <si>
    <t>BADLPL</t>
  </si>
  <si>
    <t>LILA</t>
  </si>
  <si>
    <t>LPPL60X1.7</t>
  </si>
  <si>
    <t>LAMINA PP 60X1.7</t>
  </si>
  <si>
    <t>LPPL</t>
  </si>
  <si>
    <t>-OJO TRATADO BIEN CONTROLADO_x000D_
ROLLOS BIEN EMPACACADOS CON RUANA EN LOS EXTREMOS_x000D_
-ALMACEN</t>
  </si>
  <si>
    <t>ROLLOS BIEM EMPACADOS</t>
  </si>
  <si>
    <t>890.901.756-5</t>
  </si>
  <si>
    <t>BBDL27.6X38X1.1</t>
  </si>
  <si>
    <t>MUESTRA SIN VALOR COMERCIAL</t>
  </si>
  <si>
    <t>-TUBULAR DE 76.0CMS PARTIDO A LA 1/2_x000D_
-SELLADO</t>
  </si>
  <si>
    <t>REF. 64428 CAMISETA MANGA CORTA C. REDONDO HOMBRE</t>
  </si>
  <si>
    <t>-TUBULAR DE 49.0 CMS PARTIDO CON ¡SOLAPA VOLADA DE 6.0 CMS_x000D_
 TRATAR LADO DE LA SOLAPA.... SIN TRATAR LA SOLAPA_x000D_
- DARM</t>
  </si>
  <si>
    <t>BADL53X98X2.5</t>
  </si>
  <si>
    <t>BOLSA 53X98 AD 25 KILOS</t>
  </si>
  <si>
    <t>-SELLADO_x000D_
COLOCAR RUANA PARA PRROTER LOS EXTREMOS_x000D_
-</t>
  </si>
  <si>
    <t>LIN-SUPER HEXENO</t>
  </si>
  <si>
    <t>-EMPACAR COMO TECNAS_x000D_
-CORTAR UNICA/</t>
  </si>
  <si>
    <t>BBDL22X40+4+4X1.5</t>
  </si>
  <si>
    <t>NUTRIPAN 400 GM MUESTRA</t>
  </si>
  <si>
    <t xml:space="preserve">-SELLABO_x000D_
</t>
  </si>
  <si>
    <t>WUECKET10</t>
  </si>
  <si>
    <t>TADL83+16+16X0.60</t>
  </si>
  <si>
    <t>TUBULAR AD 83+16+16</t>
  </si>
  <si>
    <t>REF. 15999 MANGA CORTA CUELLO V HOMBRE</t>
  </si>
  <si>
    <t>-TUBULAR DE 49.0 CMS PARTIDO CON SOLAPA DE 6.0 CMS_x000D_
-TRATAR LADO LA SOLAPA... SIN TRATAR LA SOLAPA_x000D_
-DARMA_x000D_
-</t>
  </si>
  <si>
    <t>LBDL97X1.4</t>
  </si>
  <si>
    <t>LAMINA BD 97X1.4</t>
  </si>
  <si>
    <t>TUBULAR BD 45X2.5 ORIGINAL</t>
  </si>
  <si>
    <t>BBDL25X33X2</t>
  </si>
  <si>
    <t>INSTITUCIONAL - LOMITO DE TILAPIA SIN IMPRESION</t>
  </si>
  <si>
    <t>-SELLADO_x000D_
-TUBULAR DE 66.0 CMS PARTIDO A LA 1/2</t>
  </si>
  <si>
    <t>TPPL18X1.5</t>
  </si>
  <si>
    <t>SEMITUBULAR PP 7"</t>
  </si>
  <si>
    <t>-TUBULAR DE 38.0 CMS PARTIDO A  LA 1/2_x000D_
-ALMACEM_x000D_
-ROLLOS BIEN EMPACADOS_x000D_
-</t>
  </si>
  <si>
    <t>SEGUNDAS II</t>
  </si>
  <si>
    <t>LBDL68X2.2</t>
  </si>
  <si>
    <t>LAMINA BD 68X2.2</t>
  </si>
  <si>
    <t>-TRTATADO A 41DINAS_x000D_
-ALMACEN</t>
  </si>
  <si>
    <t>GENERICA PESCADOS Y PROCESADOS</t>
  </si>
  <si>
    <t>BADLPROS162X70X0.75</t>
  </si>
  <si>
    <t>BOLSA ROSADA TAPA CUTTER 162X70</t>
  </si>
  <si>
    <t>BOLSA 51X100 ORIGINAL</t>
  </si>
  <si>
    <t>- MEZCLAS : INTERIOR : 25 K ALTA + 6 K DE LINEAL NORMAL (BUTENO)_x000D_
- EXTERIOR : 12.5 K DE 640 + 12.5 K DE BAJA ESPECIAL + 5 K LINEAL._x000D_
- DESTINO SELLADO</t>
  </si>
  <si>
    <t>8.702.475-7</t>
  </si>
  <si>
    <t>BADI26X30+5X1.9</t>
  </si>
  <si>
    <t>JUNKER STORE PEQUEÑA</t>
  </si>
  <si>
    <t>-TUBULAR DE 70.0 CMS PARTIDO A LA 1/2_x000D_
-IMPRESION DARMA</t>
  </si>
  <si>
    <t>BOLSA 51X170 ORIGINAL</t>
  </si>
  <si>
    <t>BOLSA 60X240 ORIGINAL</t>
  </si>
  <si>
    <t xml:space="preserve">- MEZCLAS : INTERIOR 25 K ALTA + 6 K LINEAL NORMAL (BUTENO)._x000D_
- EXTERIOR : 12.5 K DE 640 + 12.5 K DE BAJA ESPECIAL + 5 K LINEAL_x000D_
- MANUALES_x000D_
- </t>
  </si>
  <si>
    <t>BBDI12.5X18+2X1.5</t>
  </si>
  <si>
    <t>QUESITO RIONEGRO 260 GR ROJO</t>
  </si>
  <si>
    <t>-LAMINA DE 80.0CMS CMS PARTIDA A LA 1/2_x000D_
-IMPRESIONDARMA_x000D_
-</t>
  </si>
  <si>
    <t>BBDI15X23+3X1.5</t>
  </si>
  <si>
    <t>QUESITO RIONEGRO 400 GRM</t>
  </si>
  <si>
    <t>BADIPB43X190X2.5</t>
  </si>
  <si>
    <t>IMPRESA 43X190 CODIGO 1335139</t>
  </si>
  <si>
    <t>-CARA INTERNA: 25.0 KLS DE ALTA RDO BLANCO + 3.0 KLS DE COMAI 750 + 5.0 KLS LINEAL_x000D_
-CARA EXTERNA: 250 KLS DE ALTA ORIGINAL + 5.0 KLS DE ALTA RDO BLANCO + 1.75 KLS DE PIG BLANCO + 5.0 KLS DE LINEAL_x000D_
-</t>
  </si>
  <si>
    <t>BBDL90+18+18X86X1.5</t>
  </si>
  <si>
    <t>BOLSA FUELLE FUNDAS</t>
  </si>
  <si>
    <t>BADIPB35X175X2.5</t>
  </si>
  <si>
    <t>IMPRESA 35X175 CODIGO 1332116</t>
  </si>
  <si>
    <t>CARA INTERNA: 25.0KLS DE ALTA RDO BLANCO + 5.0 KLS DE DE COMAI 750 + 5.0KLS DE LINEAL_x000D_
-CARA EXTERNA: 25.0 KLS DE ALTA ORIGINAL + 5.0 KLS DE RDO BLANCO + 1.75 KLS DE PIG BLANCO + 5.0KLS DE LINEAL_x000D_
-</t>
  </si>
  <si>
    <t xml:space="preserve">GRIS </t>
  </si>
  <si>
    <t>DESTINO ALMACEN_x000D_
-SELLAR CANTIDAD EXACTA</t>
  </si>
  <si>
    <t>ZONA VIRTUAL II</t>
  </si>
  <si>
    <t>890.704.858-3</t>
  </si>
  <si>
    <t>-DEJAR 10.0 CMS A UN LADO SIN TRATAR MARCAR COMO DE LA BOLSA_x000D_
-IMPRESION DARMA_x000D_
-</t>
  </si>
  <si>
    <t>BIEN EMPACADAD PARA TROQUELAR UJUSTANDO BIEN LA BOCA</t>
  </si>
  <si>
    <t>BBDL30X70X4</t>
  </si>
  <si>
    <t>BOLSA GRANDE SIN IMPRESIÓN</t>
  </si>
  <si>
    <t>BOLSA 51X100 OPACO</t>
  </si>
  <si>
    <t>BBDL34+8+8X80X3</t>
  </si>
  <si>
    <t>DOBLE ARROBERA GRANDE</t>
  </si>
  <si>
    <t>-OJO RESISTENCIA --POCA PRESION EN LOS RODILLOS_x000D_
-GRAFILADO AL MAXIMO_x000D_
-</t>
  </si>
  <si>
    <t>LIN- SU- HEXCENO</t>
  </si>
  <si>
    <t>BADIPN32X40+8X2.2</t>
  </si>
  <si>
    <t>DIANE &amp; GEORDI TIENDA BIODEGRADABLE</t>
  </si>
  <si>
    <t>-DEJAR SIN TRATAR 10.0 CMS A UN LADO Y MARCAR COMO BOCA DE LA BOLSA_x000D_
-DARMA</t>
  </si>
  <si>
    <t>-BIEN EMPADO PARA TROQUELAR  _x000D_
-COLOCAR TIQUETE A CADA PAQUETE _x000D_
-</t>
  </si>
  <si>
    <t>BBDLPV20X24X4</t>
  </si>
  <si>
    <t>BANDERINES NAVIDAD VERDE</t>
  </si>
  <si>
    <t>VERDE-MGR 270</t>
  </si>
  <si>
    <t>32.682.735-7</t>
  </si>
  <si>
    <t>BBDI26X30+5+5X3.5</t>
  </si>
  <si>
    <t>REVIEW PEQUEÑA NUEVA IMAGEN</t>
  </si>
  <si>
    <t>L-HEXCENO</t>
  </si>
  <si>
    <t>-NO REQUIERE BOLSAS EN LOS PAQUETES_x000D_
-COLOCAR TIQUETES A CADA PAQUETE_x000D_
-ALMACEN</t>
  </si>
  <si>
    <t>-TIRA BLANCA DE 3.0 X 50.0 CMS</t>
  </si>
  <si>
    <t>BBDLPR20X24X4</t>
  </si>
  <si>
    <t>BANDERINES NAVIDAD ROJO</t>
  </si>
  <si>
    <t>BBDLPR</t>
  </si>
  <si>
    <t>BBDI40X45+7+6X3.5</t>
  </si>
  <si>
    <t>REVIEW GRANDE NUEVA IMAGEN</t>
  </si>
  <si>
    <t>L- HEXCENO</t>
  </si>
  <si>
    <t>-NO REQUIERE BOLSA DE EMPAQUE_x000D_
-COLOCAR TIQUETE A CADA PAQUETE_x000D_
-</t>
  </si>
  <si>
    <t>BBDL33.7X53X3</t>
  </si>
  <si>
    <t>BOLSA GENERICA 33.7X53 CERNIDO</t>
  </si>
  <si>
    <t>-CARA INTERNA: 25 K  ALTA + 6 K DE LINEAL HEXCENO_x000D_
-CARA EXTERNA. 25 K DE 640 + 4 K  DE L HEXCENO + 4 K DE 641_x000D_
-SELLADO_x000D_
-BIEN CALIBRADO SIN ARRUGAS SIN DESCOMPENCE_x000D_
-</t>
  </si>
  <si>
    <t>-SELLE PESTAÑA DOBLE _x000D_
-LAS PESTAÑAS INCLUYEN EL ANCHO_x000D_
-OJO SELLE QUE NO QUEDE PQROSO_x000D_
-ALMACEN</t>
  </si>
  <si>
    <t>BADL162X70X0.75</t>
  </si>
  <si>
    <t>BOLSA CANASTA TRANSPARENTE 162X70</t>
  </si>
  <si>
    <t>BADLPA162X70X0.75</t>
  </si>
  <si>
    <t>BOLSA AZUL TAPA CUTTER 162X70</t>
  </si>
  <si>
    <t>TADLPN20+6.5+6.5X1</t>
  </si>
  <si>
    <t>SERVICIO EXTRUSION TUB AD NEGRO 20+6.5+6.5</t>
  </si>
  <si>
    <t>TADLPN</t>
  </si>
  <si>
    <t>-PEDIR VºBº _x000D_
-ALMACEN</t>
  </si>
  <si>
    <t>negro</t>
  </si>
  <si>
    <t>BBDL25X35X1</t>
  </si>
  <si>
    <t>BOLSA INDIVIDUAL EJERCITO CAL. 1.0"</t>
  </si>
  <si>
    <t>-OJO: SUMINISTRAR 0.300 GRS DE ADHITIVO SLIP DE BAJA  X CARA INTERNA_x000D_
-SELLADO_x000D_
-</t>
  </si>
  <si>
    <t>ADHITIVO SLIP BAJA</t>
  </si>
  <si>
    <t>-OJO BOLSA TOTAL/ DESPEGADA_x000D_
-ALMACAEN</t>
  </si>
  <si>
    <t>BOLSA PERIODICO PEREIRA</t>
  </si>
  <si>
    <t>-LAMINA DE 82.0 CMS PARTIDA A LAS 1/2_x000D_
- DESTINO DEMES_x000D_
-</t>
  </si>
  <si>
    <t>TADLPB20+6.5+6.5X1</t>
  </si>
  <si>
    <t>SERVICIO EXTRUSION TUB AD BLANCO 20+6.5+6.5</t>
  </si>
  <si>
    <t>-MONTAR EN EL DIA PARA DAR VºBº_x000D_
-ALMACEN</t>
  </si>
  <si>
    <t>BBDLPB40+5+5X50X3</t>
  </si>
  <si>
    <t>ALMACEN IBERIA SIN IMPRESION</t>
  </si>
  <si>
    <t>811.007.678-7</t>
  </si>
  <si>
    <t>CAMISETA ESQUELETO C. REDONDO HOMBRE</t>
  </si>
  <si>
    <t>-TUBULAR DE 49.0 CMS PARTIDO CON SOLAPA VOLADA DE 6.0CMS_x000D_
-TRATAR LADO DE LA SOLAPA_x000D_
-DARMA</t>
  </si>
  <si>
    <t>-PEGAR GANCHO 07J</t>
  </si>
  <si>
    <t>CAMISETA MANGA CORTA C. REDONDO HOMBRE</t>
  </si>
  <si>
    <t>-TUBULAR DE 49.0 CMS PARTIDO CON SOLAPA VOLAADA DE 6.0 CMS_x000D_
-TRATAR CARA DE LA SOLAPA_x000D_
-DARMA</t>
  </si>
  <si>
    <t>-BIEN EMPACADO PARA TRPQUELAR_x000D_
- ALMACEN</t>
  </si>
  <si>
    <t>BBDIPB14X20X3.5</t>
  </si>
  <si>
    <t>IMPRESA PEQUEÑA</t>
  </si>
  <si>
    <t>PIGMENTO BLANCO FUERTE_x000D_
DESTINO IMPRESION DARMA</t>
  </si>
  <si>
    <t>AZUL CLARO</t>
  </si>
  <si>
    <t>AZUL OSCURO</t>
  </si>
  <si>
    <t>_x000D_
REVISAR BIEN EL SELLE Y PIGMENTO DEL MATERIAL_x000D_
DESTINO ALMACEN</t>
  </si>
  <si>
    <t>BOLSA 5 KILOS IMPRESA</t>
  </si>
  <si>
    <t>OJO LINEAL SUPER EXENO_x000D_
-DESTINO DARMA_x000D_
-COLOCAR RUANA EN LOS EXTREMOS_x000D_
-</t>
  </si>
  <si>
    <t>L-SUP-HEXCENO</t>
  </si>
  <si>
    <t>OJO BUEN SELLE MAQUINA_x000D_
DESTINO ALMACEN</t>
  </si>
  <si>
    <t>TADLPAM64+12.5+12.5X1.6</t>
  </si>
  <si>
    <t>TUBULAR AD AMARILLO 64+12.5+12.5</t>
  </si>
  <si>
    <t>-TRABAJAR  PIGMENTO POR CARA EXTERNA_x000D_
-ALMACEN_x000D_
-</t>
  </si>
  <si>
    <t>BAJA RDO TTE</t>
  </si>
  <si>
    <t>BADL64X100X1.5</t>
  </si>
  <si>
    <t>REEMPAQUE 64X100</t>
  </si>
  <si>
    <t>DESTINO SELLADO_x000D_
LIMPIAR BIEM RODILLERIA_x000D_
MATERIAL TOTAL/ LIMPIO_x000D_
_x000D_
OJO EVITAR COTAMINAR EL MATERIAL EN EL PISO_x000D_
DESTINO SELLADO</t>
  </si>
  <si>
    <t>DOBLAR EN ROLLO Y EMPACAR EN BOLSA_x000D_
COLOCAR BOLSA LAINER AL EMPAQUE_x000D_
DESTINO ALMACEAN</t>
  </si>
  <si>
    <t>BADLPN98X127X5</t>
  </si>
  <si>
    <t>BOLSA 98X127 RECUPERADO</t>
  </si>
  <si>
    <t>TADL40X60X0.7</t>
  </si>
  <si>
    <t>PRECORTE MEDIANO</t>
  </si>
  <si>
    <t xml:space="preserve">-OJO ROLLOS DE 15.0KLS = 1800 BOLSAS_x000D_
</t>
  </si>
  <si>
    <t>890.906.413-7</t>
  </si>
  <si>
    <t>BADLPBE60X70X0.8</t>
  </si>
  <si>
    <t>BOLSA BASURA 60X70 BEIGE RECUPERADO</t>
  </si>
  <si>
    <t>BADLPBE</t>
  </si>
  <si>
    <t>BEIGE</t>
  </si>
  <si>
    <t>ALTA RDO</t>
  </si>
  <si>
    <t>BBDI45X70+10X1.7</t>
  </si>
  <si>
    <t>BOLSA ALMOHADA AMERICANA</t>
  </si>
  <si>
    <t>BADLPB162X70X0.75</t>
  </si>
  <si>
    <t>BOLSA BLANCA TAPA CUTTER 162X70</t>
  </si>
  <si>
    <t>BBDL32X53X3</t>
  </si>
  <si>
    <t>MUESTRA SIN VALOR COMERCIAL 32X53X3</t>
  </si>
  <si>
    <t xml:space="preserve">-MEZCLA = SOLLA 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OJO MEZCLA IGUAL A SOLLA_x000D_
-SELLADO_x000D_
</t>
  </si>
  <si>
    <t>-OJO SELLE DE FONDO CON PESTAÑA _x000D_
-ANCHO INTERNO 32.0 CMS _x000D_
 ALMACEN</t>
  </si>
  <si>
    <t>-TUBLAR  DE 86.0 CMS  PARTDO A LA 1/2 TRATANDO UN ROLLO POR FUERA Y OTRO POR DENTRO_x000D_
 DESTINO DARMA_x000D_
-</t>
  </si>
  <si>
    <t>43.869.674-0</t>
  </si>
  <si>
    <t>-IPMRESION DARMA_x000D_
-OJO PIG DE CLARIAN  PLATA</t>
  </si>
  <si>
    <t>PLATA-DE CLARIAN</t>
  </si>
  <si>
    <t>-ISELLADO_x000D_
-</t>
  </si>
  <si>
    <t>BOLSA ALMACEN PEQUEÑA CORDON  II</t>
  </si>
  <si>
    <t>-CONTROLAR DESCOMPENCE PARA EVITAR DEVOLUCIAON DE CORREA_x000D_
-DEJAR 7.0 CMS A UN LADO Y MARCAR COMO BOCA DE LA BOLSA_x000D_
-IMPRESIN ORREA_x000D_
-</t>
  </si>
  <si>
    <t>BIODEBRADABLE</t>
  </si>
  <si>
    <t>BADLPB60X70X0.8</t>
  </si>
  <si>
    <t>BOLSA BASURA 60X70 BLANCA RECUPERADO</t>
  </si>
  <si>
    <t>ALTA RDO BLANCO</t>
  </si>
  <si>
    <t>BADLPR60X70X0.8</t>
  </si>
  <si>
    <t>BOLSA BASURA 60X70 ROJA RECUPERADO</t>
  </si>
  <si>
    <t>811.032.857-4</t>
  </si>
  <si>
    <t>BPPI26.5X32+5X2</t>
  </si>
  <si>
    <t>BOLSA IMPRESA TALLA 8-10</t>
  </si>
  <si>
    <t>BADLPG60X70X0.8</t>
  </si>
  <si>
    <t>BOLSA BASURA 60X70 GRIS RECUPERADO</t>
  </si>
  <si>
    <t>BADL60X97X0.7</t>
  </si>
  <si>
    <t>BOLSA AD 60X97</t>
  </si>
  <si>
    <t>ATTA RDO</t>
  </si>
  <si>
    <t>BBDL13.8X30.5X2</t>
  </si>
  <si>
    <t>LOMITO SIN IMPRESION CALIBRE 2</t>
  </si>
  <si>
    <t>BADL60X65X3</t>
  </si>
  <si>
    <t>BOLSA REEMPAQUE 60X65</t>
  </si>
  <si>
    <t>SUP HEXCENO</t>
  </si>
  <si>
    <t xml:space="preserve">-EMPACAR EN ROLLITO COMO TECNAS_x000D_
-EMPAQUE FINAL: SEGUIR NORMA DADA POR ELCLIENTE_x000D_
-ALMACEN_x000D_
</t>
  </si>
  <si>
    <t>TUBULAR AD 61X3.0 OPACO</t>
  </si>
  <si>
    <t>TADL27X0.6</t>
  </si>
  <si>
    <t>TUBULAR AD 27X0.6</t>
  </si>
  <si>
    <t>-TUBULAR DE 27.0 CMS PARTIDO CON CUCHILLA TERMICA_x000D_
-ROLLOS BIEN EMPACADOS_x000D_
-</t>
  </si>
  <si>
    <t>BOLSA ALMACEN COCOA JEANS</t>
  </si>
  <si>
    <t>-IMPRESION DARMA_x000D_
-DEJAR 7.0 CMS SIN TRATAR A UN LADO Y MARCAR COMO BOCA DE LA BOLSA_x000D_
-</t>
  </si>
  <si>
    <t>-BIEN EMPACADO PARA TROQUELAR_x000D_
-</t>
  </si>
  <si>
    <t>-DEJAR 10.0 CMS CMS A UN LAADO SIN TRATAR Y MARCAR COMO BOCA DE LA BOLSA_x000D_
- IMPRESION DARMA_x000D_
-</t>
  </si>
  <si>
    <t>-BIEN EMPACADAS PARA TROQUELARAJUSTANDO BIEN LA BOCA_x000D_
-</t>
  </si>
  <si>
    <t>BADL62X110X1.5</t>
  </si>
  <si>
    <t>TIPO 1 NORMAL - RECUPERADO</t>
  </si>
  <si>
    <t>GRAFILADO AL MAXIMO_x000D_
USAR BOQUILLA DE80mm_x000D_
DESTINO SELLADO</t>
  </si>
  <si>
    <t>COMI 750</t>
  </si>
  <si>
    <t>100% RDO</t>
  </si>
  <si>
    <t xml:space="preserve">CONTROLAR SELLE Y MEDIDA_x000D_
DESTINO ALMACEN_x000D_
</t>
  </si>
  <si>
    <t>TBDL80X2.5</t>
  </si>
  <si>
    <t>TUBULAR BD 32"X2.5 PARA TELAS</t>
  </si>
  <si>
    <t>-ROLLOS BIEN EMPACADOS _x000D_
-ALAMCEN_x000D_
-</t>
  </si>
  <si>
    <t>BBDL12X14.5X1.5</t>
  </si>
  <si>
    <t>BOLSA BD 12X14.5</t>
  </si>
  <si>
    <t>BADLPNA162X70X0.75</t>
  </si>
  <si>
    <t>BOLSA NARANJA TAPA CUTTER 162X70</t>
  </si>
  <si>
    <t>BADLPN60X70X0.8</t>
  </si>
  <si>
    <t>BOLSA BASURA 60X70 NEGRA RECUPERADO</t>
  </si>
  <si>
    <t>250 GR PIÑA</t>
  </si>
  <si>
    <t>-CONTROLÑAR DESCOMPENCE_x000D_
-IMPRESION DARMA_x000D_
-</t>
  </si>
  <si>
    <t>LI-SUP/HEXCENO</t>
  </si>
  <si>
    <t>LBDL62X2.8</t>
  </si>
  <si>
    <t>TERMOENCOGIBLE</t>
  </si>
  <si>
    <t>BADL58X80X0.6</t>
  </si>
  <si>
    <t>BOLSA BASURA RECUPERADO ROJO</t>
  </si>
  <si>
    <t>LISTONES PLASTICOS DIA DE LA ASESORA 2010 (79196)</t>
  </si>
  <si>
    <t>-DOBLAR EN ROLLITOS DE A 10 UNIDADES_x000D_
-ALMACEN</t>
  </si>
  <si>
    <t>BADL80.5X102X0.8</t>
  </si>
  <si>
    <t>BOLSA TRANSPARENTE 80.5X102</t>
  </si>
  <si>
    <t>BADLPL101X70X0.75</t>
  </si>
  <si>
    <t>CANASTA LILA</t>
  </si>
  <si>
    <t>-PEDIR VºBº AL PIGMENTO_x000D_
-SELLADO_x000D_
-</t>
  </si>
  <si>
    <t>PIG- BLANCO</t>
  </si>
  <si>
    <t>-SEGUIR LAS INSRUCCIONES DE EMPAQUE_x000D_
-ALACEN</t>
  </si>
  <si>
    <t>BBDIPB16X23+3X1.5</t>
  </si>
  <si>
    <t>CUAJADA SIMONA 500 GRM</t>
  </si>
  <si>
    <t>-IPRESION DEMES_x000D_
-</t>
  </si>
  <si>
    <t>900.434.406-4</t>
  </si>
  <si>
    <t>BADI40X50X2.5</t>
  </si>
  <si>
    <t>NAVY STORE - JEAN STORE</t>
  </si>
  <si>
    <t xml:space="preserve">- DESTINO DEMES_x000D_
- </t>
  </si>
  <si>
    <t xml:space="preserve">- TROQUEL RIÑON_x000D_
- DESTINO ALMACEN_x000D_
</t>
  </si>
  <si>
    <t>BADL64X98X0.80</t>
  </si>
  <si>
    <t>BOLSA DESPACHOS</t>
  </si>
  <si>
    <t>250 GR TOMATE DE ARBOL</t>
  </si>
  <si>
    <t>-CONTROLAR DESCOMPENCE_x000D_
-IMPRESION DARMA_x000D_
-</t>
  </si>
  <si>
    <t>LI- SUP/HEXCENO</t>
  </si>
  <si>
    <t>900.112.215-2</t>
  </si>
  <si>
    <t>BADIPB35+8+8X60X1.7</t>
  </si>
  <si>
    <t>PUNTO DE VENTA TECNIDECOR</t>
  </si>
  <si>
    <t>- TIPO CAMISETA_x000D_
- DESTINO ALMACEN</t>
  </si>
  <si>
    <t>LBDI31X2.5</t>
  </si>
  <si>
    <t>LAMINA CON FOTOCELDA MASCOTAS</t>
  </si>
  <si>
    <t>-CONTROLAR DESCOMPENCE ES PARA EMPACADO AUTOMATICO_x000D_
-IMPRESION DARMA_x000D_
-</t>
  </si>
  <si>
    <t>LI / METALHOXCENO</t>
  </si>
  <si>
    <t>0.7cms a la guia</t>
  </si>
  <si>
    <t xml:space="preserve">-ROLLOS DE 16.0 KLS_x000D_
-EMPACAR DE A  UN  ROLLO EN PE GRUESO </t>
  </si>
  <si>
    <t>BBDI45X65+10X1.5</t>
  </si>
  <si>
    <t>BOLSA CASANOVA</t>
  </si>
  <si>
    <t>BADIPB40X45+7+6X2.2</t>
  </si>
  <si>
    <t>REVIEW GRANDE</t>
  </si>
  <si>
    <t xml:space="preserve">-IMPRESION DARMA_x000D_
-OJO _x000D_
_x000D_
IMPRESION DARMA_x000D_
-CONTROLAR QUE NO SALGA CON DESCOMPENCE_x000D_
-_x000D_
</t>
  </si>
  <si>
    <t>-ALMACEN_x000D_
NO REQUIERE EMPACAR EN BOLSAS</t>
  </si>
  <si>
    <t>STADL105X2</t>
  </si>
  <si>
    <t>SEMITUBULAR 105 CM</t>
  </si>
  <si>
    <t xml:space="preserve">- DESTINO ALMACEN_x000D_
- TRATADO CENTRAL_x000D_
- </t>
  </si>
  <si>
    <t>BBDL40X50+8+8X3.5</t>
  </si>
  <si>
    <t>BOLSA PARA DOCUMENTOS</t>
  </si>
  <si>
    <t>SU-HEXCENO</t>
  </si>
  <si>
    <t xml:space="preserve">-BIAEN EMPACADO PARA TROQUELAR_x000D_
</t>
  </si>
  <si>
    <t>BBDI32X45.5X1.7</t>
  </si>
  <si>
    <t>GIRBAUD</t>
  </si>
  <si>
    <t>BADIPN50X40X3.5</t>
  </si>
  <si>
    <t>BOLSA GRANDE NEGRA QUICK SILVER</t>
  </si>
  <si>
    <t>-NO REQUIERE EMPACAR EN BOLSAS_x000D_
ALMACEN</t>
  </si>
  <si>
    <t>BBDI16X23.5X3</t>
  </si>
  <si>
    <t>CANOA COCO 397 GR</t>
  </si>
  <si>
    <t>-LAMINA DE 94.0 CMS PARTIDA A LA 1/2_x000D_
.-DEMES_x000D_
-</t>
  </si>
  <si>
    <t>BBDIPB15X23+3X1.5</t>
  </si>
  <si>
    <t>QUESITO SIMONA 400 GRM</t>
  </si>
  <si>
    <t>TADLPAM25.5X1.4</t>
  </si>
  <si>
    <t>SERVICIO DE EXTRUSION 25.5X1.4</t>
  </si>
  <si>
    <t>LADLPB85X3.2</t>
  </si>
  <si>
    <t>LAMINA PIGMENTADA BLANCA</t>
  </si>
  <si>
    <t>LADLPB</t>
  </si>
  <si>
    <t>-OJO BUEN CALIBRE_x000D_
-CONTROLAR DESCOMPENCE_x000D_
-ALMACEN_x000D_
-</t>
  </si>
  <si>
    <t>TADL49X0.7</t>
  </si>
  <si>
    <t>LAMINA EN PRECORTE GRANDE 49x70</t>
  </si>
  <si>
    <t>LAM-DOBL</t>
  </si>
  <si>
    <t>-LAMINA DOBLE_x000D_
-SELLADO</t>
  </si>
  <si>
    <t>PRECORTE10</t>
  </si>
  <si>
    <t>-ROLLOS DE 1000 BOLSAS_x000D_
-ALMACEN</t>
  </si>
  <si>
    <t>TADL55+10+10X1</t>
  </si>
  <si>
    <t>SERVICIO DE ESTRUSION</t>
  </si>
  <si>
    <t>-TRABAJAR CON MATERIAL ENVIADO POR EL CLIENTE_x000D_
-ALMACEN</t>
  </si>
  <si>
    <t>AMMARILLO</t>
  </si>
  <si>
    <t>TADLPAM37X2.8</t>
  </si>
  <si>
    <t>SERVICIO DE EXTRUSION 37X2.8</t>
  </si>
  <si>
    <t>BADLPG101X70X0.75</t>
  </si>
  <si>
    <t>CANASTA GRIS</t>
  </si>
  <si>
    <t>TADLPB62X74X0.7</t>
  </si>
  <si>
    <t>PRECORTE GRANDE</t>
  </si>
  <si>
    <t>L-DOBLE</t>
  </si>
  <si>
    <t>-SELLDO_x000D_
-OJO LAMINA DOBLE</t>
  </si>
  <si>
    <t>BADL51X80X3</t>
  </si>
  <si>
    <t>BOLSA 51X80 RECUPERADO</t>
  </si>
  <si>
    <t xml:space="preserve">- RECUPERADO_x000D_
- DESTINO SELLADO_x000D_
- </t>
  </si>
  <si>
    <t>TADLPB45X2.8</t>
  </si>
  <si>
    <t>TUBULAR 45 CM BLANCO</t>
  </si>
  <si>
    <t>-CONTROLAR DESCOMPENCE_x000D_
-DESTINO ALMACEN</t>
  </si>
  <si>
    <t>BBDL35X50X2</t>
  </si>
  <si>
    <t>BOLSA 14X20</t>
  </si>
  <si>
    <t>-ALMACEN_x000D_
-COLOCAR BOLSA LAINER AL EMPAQUE</t>
  </si>
  <si>
    <t>BADIPB26X30+5+5X2.2</t>
  </si>
  <si>
    <t>REVIEW PEQUEÑA</t>
  </si>
  <si>
    <t>-IMPRESION DARMA_x000D_
-CONTROLAR QUQE NO DE DEESCOMCE  A UN LADO_x000D_
-</t>
  </si>
  <si>
    <t>BBDL25X35X0.9</t>
  </si>
  <si>
    <t>CAMISETA INDIVIDUAL</t>
  </si>
  <si>
    <t>SUPERIOR</t>
  </si>
  <si>
    <t>LBDL67X2.5</t>
  </si>
  <si>
    <t>LAMINA BD 67X2.5</t>
  </si>
  <si>
    <t xml:space="preserve">- 30% LINEAL METALOXENO_x000D_
- DESTINO ALMACEN_x000D_
- </t>
  </si>
  <si>
    <t>LBDIPB22X24.5X1.2</t>
  </si>
  <si>
    <t>LAMINA BLANCA QUESITO RIONEGRO 220 GRM NUEVA</t>
  </si>
  <si>
    <t>SERVICIO DE EXTRUSION - TUB 70X0.85</t>
  </si>
  <si>
    <t>-RETAL MAXIMO 1.4 KLS + 68.6 KLS = 70.0 KLS _x000D_
-ALMACEN_x000D_
-</t>
  </si>
  <si>
    <t>QUESO RIONEGRO 450 GRM</t>
  </si>
  <si>
    <t>BBDL13.8X30.5X3.5</t>
  </si>
  <si>
    <t>LOMITO SIN IMPRESION</t>
  </si>
  <si>
    <t>41.3</t>
  </si>
  <si>
    <t>BBDL27.5X27.5+5.5X1.5</t>
  </si>
  <si>
    <t>HAMBURGUESA MAMA INES MUESTRA</t>
  </si>
  <si>
    <t>70.382.396-4</t>
  </si>
  <si>
    <t>BADLPA38X76X3</t>
  </si>
  <si>
    <t>ALTA AZUL 38X76</t>
  </si>
  <si>
    <t>-OJO CONTROLAR QUE LOS ROLLOS NO QUEDEN FLOJOS_x000D_
-A UN EXTREMO PAR AVITAR PROBLEMA EN SELLADO_x000D_
-DESTINO DARMA_x000D_
-</t>
  </si>
  <si>
    <t>13.8</t>
  </si>
  <si>
    <t>900.308.389-8</t>
  </si>
  <si>
    <t>LBDL26X33.5X1.5</t>
  </si>
  <si>
    <t>LAMINA TRANSPARENTE QUESO 400 GRM</t>
  </si>
  <si>
    <t>-LAMINA DE 67.0 CMS PARTIDA A LA 1/2_x000D_
-SELLADO_x000D_
-</t>
  </si>
  <si>
    <t>BADIPN40X30X3.5</t>
  </si>
  <si>
    <t>BOLSA PEQUEÑA NEGRA QUICK SILVER</t>
  </si>
  <si>
    <t>-OJO CONTROLAR DESCOMPENCE_x000D_
-IMPRESION DARMA_x000D_
-</t>
  </si>
  <si>
    <t>-NO REQUIERE EMPACAR EN BOLSAS_x000D_
-AMACEN</t>
  </si>
  <si>
    <t>250 GR GUAYABA</t>
  </si>
  <si>
    <t>LIN- SUPER/HEXCENO</t>
  </si>
  <si>
    <t>BADL27X39X0.8</t>
  </si>
  <si>
    <t>FARDOS DE 6 UNIDADES</t>
  </si>
  <si>
    <t>-TUBUALAR DE 78.0 CMS PARTIDO A LA  1/2_x000D_
- SELLDO_x000D_
-</t>
  </si>
  <si>
    <t>CUAJADA RIONEGRO VERDE 500GR</t>
  </si>
  <si>
    <t>-IPRESION DARMA_x000D_
-</t>
  </si>
  <si>
    <t>GENERICA GRANDE</t>
  </si>
  <si>
    <t>LIN- HEXENO</t>
  </si>
  <si>
    <t>17.5</t>
  </si>
  <si>
    <t xml:space="preserve">VERDE </t>
  </si>
  <si>
    <t>BBDL20+6+6X45X4</t>
  </si>
  <si>
    <t>BOLSA COEXTRUIDA GRANDE</t>
  </si>
  <si>
    <t>TUB</t>
  </si>
  <si>
    <t>-BLANCO POR FUERA_x000D_
-NEGRO POR DENTRO</t>
  </si>
  <si>
    <t>LBDL51X1.9</t>
  </si>
  <si>
    <t>SERVICIO DE EXTRUSION - LAM 51X1.9</t>
  </si>
  <si>
    <t xml:space="preserve">-RETAL MAXIMO 10.6 KLS + 519.4 K =530 KLS_x000D_
CON MATERIAL DEL CLIENTE_x000D_
-ALMACEN_x000D_
-_x000D_
</t>
  </si>
  <si>
    <t>BADI40X48X1.9</t>
  </si>
  <si>
    <t>JUNKER STORE</t>
  </si>
  <si>
    <t>-ALMACEN_x000D_
-BIEN EMPACADO PARA TROQUELAR</t>
  </si>
  <si>
    <t>890.941.663-1</t>
  </si>
  <si>
    <t>BBDLPB50X75X1.2</t>
  </si>
  <si>
    <t>- DESTINO SELLADO_x000D_
- _x000D_
-</t>
  </si>
  <si>
    <t>BBDLPA50X80X3</t>
  </si>
  <si>
    <t>BOLSA AZUL CLARO 50X80</t>
  </si>
  <si>
    <t>BBDLPA</t>
  </si>
  <si>
    <t>OUTLET 40X50 MEDIANA</t>
  </si>
  <si>
    <t>-TUBULAR DE 100.0 CMS PARTIDO A LA 1/2_x000D_
-IMPRESION DARMA</t>
  </si>
  <si>
    <t>-BIEN EMPACADO `PARA TROQUELAR_x000D_
-</t>
  </si>
  <si>
    <t>250 GR MARACUYA</t>
  </si>
  <si>
    <t>TBDL52.5X1.1</t>
  </si>
  <si>
    <t>SERVICIO DE EXTRUSION - TUB 52.5X1.1</t>
  </si>
  <si>
    <t>-RETAL MAXIMO 3.4 KLS + 166.6 = 170 KLS_x000D_
-ALMACEN_x000D_
-</t>
  </si>
  <si>
    <t>BBDL60X92X4</t>
  </si>
  <si>
    <t>BOLSA GENERICA 60X92</t>
  </si>
  <si>
    <t>-MEZCLA  = SOLLA_x000D_
-INTERIOR: 25 K DE ALTA + 6 K DE LINEAL HEXENO_x000D_
-EXTERIOR: 25K  640 + 4K DE LINEAL METALHOXCENO  4 K DE 641_x000D_
-SELLADO_x000D_
-</t>
  </si>
  <si>
    <t>-DOBLAR EN ROLO DEJANDO EL SELLE AL FINAL  PARA HACER DOBLE SELLE_x000D_
-MANUALES</t>
  </si>
  <si>
    <t>890.903.938-8</t>
  </si>
  <si>
    <t>BADI30X40+5X2.7</t>
  </si>
  <si>
    <t>BANCOLOMBIA CON CORDON</t>
  </si>
  <si>
    <t>-BIEN CONTROLADO EL DESCOMPENCE_x000D_
-OJO DEJAR 10.0 CMS A UN LADO SIN TRATAR Y MARCAR COMO BOCA DE LA BOLSA_x000D_
-</t>
  </si>
  <si>
    <t>BADL50+10+10X100X2.5</t>
  </si>
  <si>
    <t>BOLSA TALEGO PERIODICO</t>
  </si>
  <si>
    <t>250 GR MORA</t>
  </si>
  <si>
    <t>-ONTROLAR DESCOMPENCE_x000D_
-IMPRESION DARMA_x000D_
-</t>
  </si>
  <si>
    <t>250 GR LULO</t>
  </si>
  <si>
    <t>-CONTROLAR DESCOMPENCE_x000D_
-IPRESIOM DARMA_x000D_
-</t>
  </si>
  <si>
    <t>L- SUPER/HEXCENO</t>
  </si>
  <si>
    <t>BADIPAM17.5X28.5X3</t>
  </si>
  <si>
    <t>BOLSA BASURA CARROS - EXITO</t>
  </si>
  <si>
    <t>BADIPAM</t>
  </si>
  <si>
    <t>-TUBULAR DE 57.0 CMS PARTIDO A LA 1/2  CON CUCHILLA TERMICA MARCAR ESTE LADO COMO BOCA DE LA BOLSA_x000D_
-IMPRESION DARMA_x000D_
-SE ADJUNTA MUESTRA PARA EL PIGMENTO_x000D_
-</t>
  </si>
  <si>
    <t>BADLPBE101X70X0.75</t>
  </si>
  <si>
    <t>CANASTA BEIGE</t>
  </si>
  <si>
    <t>-DSSTINO SELLADO_x000D_
-</t>
  </si>
  <si>
    <t>-OJO EMPAQUE DE ACUERDO A LA NORMA DEL CLIENTE _x000D_
-ALMACEN</t>
  </si>
  <si>
    <t>BOLSA BASURA RECUPERADO VERDE</t>
  </si>
  <si>
    <t xml:space="preserve">- DESTINO SELLADO_x000D_
- _x000D_
</t>
  </si>
  <si>
    <t>BANDERIN DIA DE LA ASESORA 2010 (79197)</t>
  </si>
  <si>
    <t>-IMPRESION DARMA_x000D_
-LAMINA DE 96.0 CMS PARTIDA A LA 1/2</t>
  </si>
  <si>
    <t>-PAQUETES  DE 45 BOLSAS  BIEN EMPACADAS PARA TROQUELAR_x000D_
ALMACEN</t>
  </si>
  <si>
    <t>QUESITO RIONEGRO ROJO 400 GR</t>
  </si>
  <si>
    <t xml:space="preserve">- UTILIZAR MATERIAL DEL PEDIDO # 8070_x000D_
- _x000D_
</t>
  </si>
  <si>
    <t>BBDL17.5X33X4</t>
  </si>
  <si>
    <t>SALSAS 1 KILO</t>
  </si>
  <si>
    <t>-INTERIOR : 25 K DE ALTA + 6K DE LINEAL HEXCENO_x000D_
-EXTERIOR: 25K 640 + 4K DE LINEALHEXCENO + 4.0KLS DE 641_x000D_
-SELLAO_x000D_
-</t>
  </si>
  <si>
    <t>-OJO SELLE SIN POROS SE EMPACAN LIQUIDOS_x000D_
-ALMACEN</t>
  </si>
  <si>
    <t>BADI24.5X40X3.5</t>
  </si>
  <si>
    <t>FERIA DE LAS FLORES</t>
  </si>
  <si>
    <t>-BIEN EMPACADO PARA TROQUELAR EN SOLSAS_x000D_
- ALMACEN</t>
  </si>
  <si>
    <t>BADL70X98X0.80</t>
  </si>
  <si>
    <t>BOLSA 70X98</t>
  </si>
  <si>
    <t>OUTLET 30X38 PEQUEÑA</t>
  </si>
  <si>
    <t>-TUBULAR DE 76.0 CMS PARTIDO AL 1/2_x000D_
IMPRESON DARMA</t>
  </si>
  <si>
    <t>COCO RALLADO EL SEMBRADOR 397 GRM</t>
  </si>
  <si>
    <t>-CONTROLAR EL DESCOMPENCE ( OREJA ) PARA EVITAR PROBLEMAS EN SELLADO_x000D_
-IMPRESION DEMES_x000D_
-LAMINA DE4 94.0 CMS PARTIDA A LA 1/2_x000D_
-</t>
  </si>
  <si>
    <t>LBDIPB22X26.5X1.2</t>
  </si>
  <si>
    <t>LAMINA BLANCA QUESITO RIONEGRO 220 GRM</t>
  </si>
  <si>
    <t>BBDIPB35+7+7X60X2</t>
  </si>
  <si>
    <t>DESTINO MANUALIDADES_x000D_
BIEN EMPACADAS PARA TROQUELAR</t>
  </si>
  <si>
    <t>TROQUEL CAMISETA_x000D_
DESTINO ALMACEN  - BULTOS X 1000</t>
  </si>
  <si>
    <t>TADLPAM40.6X1.8</t>
  </si>
  <si>
    <t>SERVICIO DE EXTRUSION 40.6X1.8</t>
  </si>
  <si>
    <t>-COM PGMENTO PEN-062_x000D_
-ALMACEN</t>
  </si>
  <si>
    <t>TADL60X0.8</t>
  </si>
  <si>
    <t>SERVICIO DE SELLADO 60X97</t>
  </si>
  <si>
    <t>BBDI20.5X41+4X1.25</t>
  </si>
  <si>
    <t>PAN CASERO 450 GRM</t>
  </si>
  <si>
    <t>-iIMPRESION DARMA_x000D_
-</t>
  </si>
  <si>
    <t>BADLPB34X46X1</t>
  </si>
  <si>
    <t>BOLSA BLANCA</t>
  </si>
  <si>
    <t>-TUBULAR DE 92.0CMS PATIDO A LA1/2 _x000D_
-SELLADO_x000D_
-</t>
  </si>
  <si>
    <t>-EMPACAR SEGUN LA NORMA DEL CLIENTE_x000D_
-AMACEN</t>
  </si>
  <si>
    <t>BADIPN32X40X3</t>
  </si>
  <si>
    <t>STUDIO 54 MEDIANA</t>
  </si>
  <si>
    <t>-BIEN EMPACADO EN BOLSAS PARA TROQQUELAR_x000D_
-MANUALES</t>
  </si>
  <si>
    <t>LBDL25X20X1.5</t>
  </si>
  <si>
    <t>LAMINA TRANSPARENTE QUESITO 220 GRM</t>
  </si>
  <si>
    <t>-LAMINA DE 80.00 CMS PARTIDA A LA 1/2 _x000D_
-SELLADO_x000D_
-</t>
  </si>
  <si>
    <t>REF 64428 BRONZINI CUELLO REDONDO MANGA CORTA</t>
  </si>
  <si>
    <t xml:space="preserve">- TUBULAR DE 47.0 CMS PARTIDO CON SOLAPA VOLADA DE 6.0 CMS_x000D_
- TRATAR LADO DE LA SOLAPA... SIN TRATAR LA SOLAPA _x000D_
- DESTINO DARMA_x000D_
- </t>
  </si>
  <si>
    <t>LAMINA TRICAPA EL SEMBRADOR MARACUYA 397 GRM</t>
  </si>
  <si>
    <t>-ALTURA CENTRADA POR CUADRO CENTRAL_x000D_
-EMPACAR EN PE GRUESO</t>
  </si>
  <si>
    <t>BADIPB40X50+5X2.2</t>
  </si>
  <si>
    <t>TOMATICOS GRANDE CORREDOR</t>
  </si>
  <si>
    <t>DEJAR 7.0 CMS A UN LADO SIN TRATAR  MARCAR COMO LA BOCA DE LA BOLSA._x000D_
IMPRESION CORREA</t>
  </si>
  <si>
    <t>LAMINA TRICAPA EL SEMBRADOR MORA 397 GRM</t>
  </si>
  <si>
    <t>-ALTURA: CENTRADA POR CUADRO CENTRAL_x000D_
-EMPACAR EN PE GRUESO</t>
  </si>
  <si>
    <t>BADIPB32X40+5X2.2</t>
  </si>
  <si>
    <t>TOMATICOS PEQUEÑA CORREDOR</t>
  </si>
  <si>
    <t>DEJAR 7 CMS A UN LADO SIN TRATAR Y MARCAR COMO BOCA DE LA BOLSA_x000D_
IMPRESION CORREA</t>
  </si>
  <si>
    <t>LBDPPI34X2.7</t>
  </si>
  <si>
    <t>LAMINA COEXTRUIDA 397GR MANGO</t>
  </si>
  <si>
    <t>LBDPPI</t>
  </si>
  <si>
    <t>IMPRESION CORREA-</t>
  </si>
  <si>
    <t>TRICAPA GUANABANA 90 GR</t>
  </si>
  <si>
    <t>2cms a la guia</t>
  </si>
  <si>
    <t>-13.0 KLS</t>
  </si>
  <si>
    <t xml:space="preserve">-EMPACAR EN PE GRUESO DE A 2 ROLLOS_x000D_
-ALTURA 2.0 CMS A LA GUIA_x000D_
</t>
  </si>
  <si>
    <t>LBDPPI15.5X2.7</t>
  </si>
  <si>
    <t>LAMINA COEXTRUIDA 90GR GUAYABA</t>
  </si>
  <si>
    <t>IMPRESINO CORREA-</t>
  </si>
  <si>
    <t>LBDPPI18X2.7</t>
  </si>
  <si>
    <t>LAMINA COEXTRUIDA 250GR MANGO</t>
  </si>
  <si>
    <t>LAMINA TRICAPA EL SEMBRADOR TOMATE DE ARBOL 397 GR</t>
  </si>
  <si>
    <t>3.2 CMS AL RECUADRO-</t>
  </si>
  <si>
    <t>-ALTURA 3.2 AL RECUADRO, SEGUN ARTE LADO DE LA GUIA</t>
  </si>
  <si>
    <t>BBDI22X40+4+4X1.5</t>
  </si>
  <si>
    <t>NUTRIPAN 400 GMS NUEVA</t>
  </si>
  <si>
    <t>WICKET</t>
  </si>
  <si>
    <t>-ALMACEN_x000D_
-MARCAR CAJA  LOTE; DIA MES AÑO - Nº DEL PEDIDO</t>
  </si>
  <si>
    <t>BBDI20.5X42.5+4.5+4X1.5</t>
  </si>
  <si>
    <t>PAN TAJADO MAMA INES 420GR</t>
  </si>
  <si>
    <t>DESTINO IMPRESION CORREA</t>
  </si>
  <si>
    <t>BADIPB34X40+7X2.2</t>
  </si>
  <si>
    <t>TOMATICOS PEQUEÑA</t>
  </si>
  <si>
    <t>DEJAR 10.0CMS A UN LADA SIN TRATAR Y MARCAR COMO BOCA DE LA BOLSA_x000D_
-IPMRESION CORREA_x000D_
-</t>
  </si>
  <si>
    <t>CINTA PLASTICA ROJA_x000D_
DESTINO ALMACEN</t>
  </si>
  <si>
    <t>4.327.092-7</t>
  </si>
  <si>
    <t>LAMINA TRICAPA EL SEMBRADOR GUAYABA 397 GRM</t>
  </si>
  <si>
    <t>-DESTINO REFILADO_x000D_
-</t>
  </si>
  <si>
    <t xml:space="preserve">CENTRADA </t>
  </si>
  <si>
    <t>-ALTURA : CENTRADA POR CUADRO CENTRAL_x000D_
-EMPACAR EN PE GRUESO</t>
  </si>
  <si>
    <t>811.010.679-5</t>
  </si>
  <si>
    <t>BBDI25X28X3</t>
  </si>
  <si>
    <t>SERVICIO DE TROQUELADO</t>
  </si>
  <si>
    <t>BBDI25.5X33+4+1.5X1.5</t>
  </si>
  <si>
    <t>HAMBURGUESA CON AJONJOLI MAMA INES</t>
  </si>
  <si>
    <t>LAMINA COEXTRUIDA 250GR GUAYABA</t>
  </si>
  <si>
    <t>TADL25X35X0.9</t>
  </si>
  <si>
    <t>PRECORTE 10X14"</t>
  </si>
  <si>
    <t>PAN TAJADO INTEGRAL MAMA INES 440GR CON PRECIO</t>
  </si>
  <si>
    <t>IMPRESOON CORREA</t>
  </si>
  <si>
    <t>DORADO</t>
  </si>
  <si>
    <t>PAN TAJADO INTEGRAL 440 MAMA INES</t>
  </si>
  <si>
    <t>BBDI24.5X28+4X1.5</t>
  </si>
  <si>
    <t>BOLSA PANECITOS CON WICKET</t>
  </si>
  <si>
    <t>-COLACAR PRECORTE EN LA SOLAPA_x000D_
-EMPACAR EN CAJA GRANDE_x000D_
-COLOCAR  LOTE : DIA  MES--Nº DEL PEDIDO- OPERRARIO</t>
  </si>
  <si>
    <t>-MARCAR CAJA : LOTE DIA-MES-Nº DEL PEDIDO_x000D_
-ALMACEN</t>
  </si>
  <si>
    <t>890.904.224-2</t>
  </si>
  <si>
    <t>BBDI27X41X1</t>
  </si>
  <si>
    <t>MINIPACK FYFFES</t>
  </si>
  <si>
    <t>LAMINA COEXTRUIDA 397GR TOMATE DE ARBOL</t>
  </si>
  <si>
    <t>TAJADO AZUL Nº 2</t>
  </si>
  <si>
    <t>BADLPB29+7.5+7.5X55X0.6</t>
  </si>
  <si>
    <t>BOLSA BLANCA TROQUEL CAMISETA</t>
  </si>
  <si>
    <t>blanco</t>
  </si>
  <si>
    <t>TAJADO INTEGRAL 460GR MAMA INES</t>
  </si>
  <si>
    <t>BBDL25X35X0.8</t>
  </si>
  <si>
    <t>BOLSA INDIVIDUAL EJERCITO</t>
  </si>
  <si>
    <t>BADIPB40X50+7</t>
  </si>
  <si>
    <t>COLORES SEGUN ARTE_x000D_
DESTINO SELLADO</t>
  </si>
  <si>
    <t>CINTA PLASTICA PARA CERRAR BOCA_x000D_
DESTINO ALMACEN</t>
  </si>
  <si>
    <t>LAMINA TRICAPA TRANSPARENTE</t>
  </si>
  <si>
    <t>811.017.934-0</t>
  </si>
  <si>
    <t>TADL30X0.7</t>
  </si>
  <si>
    <t>PRECORTE AD 12X16"</t>
  </si>
  <si>
    <t>BBDI24.5X28X1.5</t>
  </si>
  <si>
    <t>PANECITOS MAMA INES</t>
  </si>
  <si>
    <t>24.5</t>
  </si>
  <si>
    <t>LAMINA COEXTRUIDA 397GR GUAYABA</t>
  </si>
  <si>
    <t xml:space="preserve">LAMINA TRICAPA EL SEMBRADOR LULO 397 GR </t>
  </si>
  <si>
    <t>-ALTAURA CENTTRADA POR CUADRA CENTRAL_x000D_
-EMPACAR EN PE GRUESO_x000D_
ROLLOS DE 935 MTS</t>
  </si>
  <si>
    <t>PAN HUEVO GUADALUPE 550 GR</t>
  </si>
  <si>
    <t>PAN TAJADO BLANCO SAN REMO</t>
  </si>
  <si>
    <t>BBDL29.7X41.2X1</t>
  </si>
  <si>
    <t>CLUSTER BAG DARIEN</t>
  </si>
  <si>
    <t>TADL20X30X0.9</t>
  </si>
  <si>
    <t>PRECORTE 8X12"</t>
  </si>
  <si>
    <t>TRICAPA PIÑA 90 GR</t>
  </si>
  <si>
    <t>TRICAPA TRANSPARENTE</t>
  </si>
  <si>
    <t>PAN TAJADO MAMA INES 460GR</t>
  </si>
  <si>
    <t>BADIPB34X40+7</t>
  </si>
  <si>
    <t>TRICAPA GUAYABA 90 GR</t>
  </si>
  <si>
    <t xml:space="preserve">- DESTINO DARMA_x000D_
- </t>
  </si>
  <si>
    <t>CENTRADA</t>
  </si>
  <si>
    <t>- EMPACAR EN PE GRUESO DE A 2 ROLLOS_x000D_
- ALTURA 2.0 CMS A LA GUIA</t>
  </si>
  <si>
    <t>BBDI20.5X48.5+5+4X1.5</t>
  </si>
  <si>
    <t>PAN INTEGRAL GUADALUPE 570 GR</t>
  </si>
  <si>
    <t>IMPRESION CORREA</t>
  </si>
  <si>
    <t>USAR CAJAS GRANDES DE BIMBO_x000D_
DEJAR MUESTRAS_x000D_
DESTINO ALMACEN-</t>
  </si>
  <si>
    <t>LBDI88X1.2</t>
  </si>
  <si>
    <t>SERVICIO DE SELLADO - BANACLUSTER 1 LB</t>
  </si>
  <si>
    <t>UNIR CON CINTA DE A  2 PAQUETES- _x000D_
DESTINO ALMACEN_x000D_
PEWPARAR EL RETAL</t>
  </si>
  <si>
    <t>TRICAPA GENERICA 90 GR</t>
  </si>
  <si>
    <t>2.0 CS a la guia</t>
  </si>
  <si>
    <t>-1330MTS 13.0KLS</t>
  </si>
  <si>
    <t>- EMPACAR PE GRUESO DE A 2 ROLLOS</t>
  </si>
  <si>
    <t>TADL20X0.7</t>
  </si>
  <si>
    <t>PRECORTE AD 8X12"</t>
  </si>
  <si>
    <t>PAN TAJADO MAMA INES 420GR SIN PRECIO</t>
  </si>
  <si>
    <t>DESTINO ALMACEN_x000D_
CORTE COMPLETO EN EL PRECORTE DELWICKET_x000D_
MARCAR CAJA  CON - LOTE: DIA- MES- #  DEL PEDIDO</t>
  </si>
  <si>
    <t>PAN TAJADO MANTEQUILLA GUADALUPE</t>
  </si>
  <si>
    <t>WIICKET</t>
  </si>
  <si>
    <t>USAR LAS CAJAS GRANDES DE BIMBO_x000D_
DEJAR MUESTRAS_x000D_
DESTINO ALMACEN-</t>
  </si>
  <si>
    <t xml:space="preserve">NEGRO </t>
  </si>
  <si>
    <t>TROQUEL Y CORDON BLANCO_x000D_
DESTINO ALMACEN</t>
  </si>
  <si>
    <t>PRECORTE AD 15X24"</t>
  </si>
  <si>
    <t>BBDI20X28+4+2.5X1.5</t>
  </si>
  <si>
    <t>PAN PERRO MAMA INES</t>
  </si>
  <si>
    <t>MEZCLA PANADEROS</t>
  </si>
  <si>
    <t>AMARULLO</t>
  </si>
  <si>
    <t>MAGENTA</t>
  </si>
  <si>
    <t>DEJAR MUESTRA PARA ARCHIVO_x000D_
COLOCAR BOLSA LAINER AL EMPAQUE_x000D_
DESTINO SELLADO</t>
  </si>
  <si>
    <t>BBDI25.5X27.5+4.5+2.5X1.5</t>
  </si>
  <si>
    <t>HAMBURGUESA MAMA INES X 4</t>
  </si>
  <si>
    <t>DEJAR MUESTRA PARA ARCHIVO_x000D_
DESTINO ALMMACEN_x000D_
COLOCAR BOLSA LAINER AL EMPAQUE</t>
  </si>
  <si>
    <t>PAN TAJADO BLANCO</t>
  </si>
  <si>
    <t>MEZCLA PARA PANADEROS_x000D_
DESTINO IMPPRESION CORREA</t>
  </si>
  <si>
    <t>20.4</t>
  </si>
  <si>
    <t xml:space="preserve">AMARILLO </t>
  </si>
  <si>
    <t>DEJAR MUESTRAS PAR A ARCHIVO_x000D_
DESTINO ALMACEN</t>
  </si>
  <si>
    <t>PAN TAJADO INTEGRAL MAMA INES 440 GR CON PRECIO</t>
  </si>
  <si>
    <t>20.5-</t>
  </si>
  <si>
    <t>42-</t>
  </si>
  <si>
    <t>BBDI20.5X45+5+4X1.5</t>
  </si>
  <si>
    <t>PAN TAJADO MANTEQUILLA 405GR</t>
  </si>
  <si>
    <t>DESTINO ALMACEN_x000D_
MARCAR CAJA; LOTE - MES - DIA - # DE PEDIDO</t>
  </si>
  <si>
    <t>PAN TAJADO INTEGRAL 460GR MAMA INES</t>
  </si>
  <si>
    <t>BBDL24.5X28+4X1.5</t>
  </si>
  <si>
    <t>PANECITOS CON WICKET</t>
  </si>
  <si>
    <t>IMPESIOM CORREA-</t>
  </si>
  <si>
    <t>EMPAQUE EN CAJA_x000D_
DESTINO ALMACEN-</t>
  </si>
  <si>
    <t>BBDI20.5X40+4+4X1.5</t>
  </si>
  <si>
    <t>NUTRIPAN 400 GMS</t>
  </si>
  <si>
    <t>PAN TAJADO BLANCO GUADALUPE 550 GR</t>
  </si>
  <si>
    <t>DEJAR MUESTRAS_x000D_
USAR LAS CAJAS GRANDES DE BIMBO</t>
  </si>
  <si>
    <t>BBDI18X45+0.5X1.5</t>
  </si>
  <si>
    <t>PAN ALIÑADO 280 GR</t>
  </si>
  <si>
    <t>PAN TAJADO INTEGRAL MAMA INES 440 GR SIN PRECIO</t>
  </si>
  <si>
    <t>-IMPRESION CORREA _x000D_
-</t>
  </si>
  <si>
    <t>BBDI22X46.5+4+4X1.5</t>
  </si>
  <si>
    <t>NUTRIPAN ALIÑADO 640GR</t>
  </si>
  <si>
    <t xml:space="preserve">IMPRESION CORREA_x000D_
</t>
  </si>
  <si>
    <t>CORTE TOTAL EN EL PRECORTE DE WICKET_x000D_
DESTINO ALNACEN</t>
  </si>
  <si>
    <t>TAJ. INTEGRAL CON AVENA, PASAS Y NUECES</t>
  </si>
  <si>
    <t>DESTINO ALMACEN_x000D_
FAVOR DEJAR MUESTRAS</t>
  </si>
  <si>
    <t>PANECITOS MAMA INES X20</t>
  </si>
  <si>
    <t>LBDIPAM70X3</t>
  </si>
  <si>
    <t>PLASTILONA LALO</t>
  </si>
  <si>
    <t>LBDIPAM</t>
  </si>
  <si>
    <t>ROLLOS DE 15 KILOS MAXIMO_x000D_
DESTINO ALMACEN</t>
  </si>
  <si>
    <t>LAMINA TRICAPA EL SEMBRADOR GUANABANA 397 GRM</t>
  </si>
  <si>
    <t>TRICAPA MARACUYA 90 GR</t>
  </si>
  <si>
    <t>2.0 CMS A LA GUIA</t>
  </si>
  <si>
    <t>-13.0KLS</t>
  </si>
  <si>
    <t>-EMPACAR EN MATERIAL GRUESO DE A 2 ROLLOS_x000D_
-ALTURA 2.0 CMS  A LA GUIA_x000D_
-</t>
  </si>
  <si>
    <t>NUTRIPAN 400 GR</t>
  </si>
  <si>
    <t>MEZCLA PANADEROS_x000D_
DESTINO IMPRESION CORREA</t>
  </si>
  <si>
    <t>DEJAR MUESTRAS BIEN MARCADAS_x000D_
USAR BOLSA LAINER EN LA CAJA_x000D_
DESTINO ALACEN</t>
  </si>
  <si>
    <t>TRICAPA LULO 90 GR</t>
  </si>
  <si>
    <t>-ALTURA  2.0 CMS A LA GUIA _x000D_
-1330 MTS</t>
  </si>
  <si>
    <t>PAN TAJADO MAMA INES 420 GR CON PRECIO</t>
  </si>
  <si>
    <t>IMPRESION_x000D_
CORREA</t>
  </si>
  <si>
    <t>-DESTINO ALMACEN_x000D_
CORTE TOTAL EN EL WICKET</t>
  </si>
  <si>
    <t>TRICAPA MORA 90 GR</t>
  </si>
  <si>
    <t>-EMPACAR EN PE GRUESO DE A 2 ROLLOS_x000D_
-ALTURA 2.0 CMS A LA GUIA</t>
  </si>
  <si>
    <t>TRICAPA MANGO 90 GR</t>
  </si>
  <si>
    <t>2.0CMS A LA GUIA</t>
  </si>
  <si>
    <t>PAN TAJADO LECHE LALO 405GR</t>
  </si>
  <si>
    <t>DESTINO ALMACEN_x000D_
MARCAR CAJA  LOTE: DIA - MES - # DE PEDIDO</t>
  </si>
  <si>
    <t>BBDI24.5X46.5+4.5+4X1.5</t>
  </si>
  <si>
    <t>NUTRIPAN ALIÑADO 640GRM NUEVO</t>
  </si>
  <si>
    <t>-MARCAR CAJA CON LOTE: MES - DIA - Nº DEL PEDIDO_x000D_
- ALMACEN_x000D_
-EMPACAR EN CAJA NORMAL</t>
  </si>
  <si>
    <t>NUTRIPAN 400GR</t>
  </si>
  <si>
    <t>BBDI27.5X41.5X1.1</t>
  </si>
  <si>
    <t>BONI</t>
  </si>
  <si>
    <t>27.5</t>
  </si>
  <si>
    <t>LLEVA CAMBIO DIRECCION_x000D_
DESTINO SELLADO</t>
  </si>
  <si>
    <t>43.734.289-8</t>
  </si>
  <si>
    <t>BADIPAM50X70X0.8</t>
  </si>
  <si>
    <t>MERCAPUNTO GRANDE</t>
  </si>
  <si>
    <t>PIGMENTO AMARILLO MY223 - 1.85_x000D_
DESTINO IMPRESION DARMA</t>
  </si>
  <si>
    <t xml:space="preserve">CAFE </t>
  </si>
  <si>
    <t>BADIPB35.5+6+6X60X1.7</t>
  </si>
  <si>
    <t>ALMACEN GRANDE</t>
  </si>
  <si>
    <t>BADIPB20+6+6X30X1.5</t>
  </si>
  <si>
    <t>ALMACEN PEQUEÑO</t>
  </si>
  <si>
    <t>DESTINO TROQUELADORA</t>
  </si>
  <si>
    <t>MORTERO COLOR</t>
  </si>
  <si>
    <t>BADI30X25+4X2.5</t>
  </si>
  <si>
    <t>FINOLINO PEQUEÑA</t>
  </si>
  <si>
    <t>MANIJA FLEXIBLE GRIS DE 70CM_x000D_
DESTINO ALMACEN</t>
  </si>
  <si>
    <t>BOLSA PEQUEÑA</t>
  </si>
  <si>
    <t>MANIJA FLEXIBLE GRIS 70cm X 3cm_x000D_
DESTINO ALMACEN</t>
  </si>
  <si>
    <t>TBDL5X2</t>
  </si>
  <si>
    <t>TUBULAR BD DE 2 PULGADAS</t>
  </si>
  <si>
    <t>TORTA DE PESCADO X6</t>
  </si>
  <si>
    <t>-LAMINA DE 96.0 CMS PARTIDA A LA 1/2_x000D_
-DESINO DARMA_x000D_
-</t>
  </si>
  <si>
    <t>14.5</t>
  </si>
  <si>
    <t>CVBDI50X75X0.7</t>
  </si>
  <si>
    <t>CUBRE VESTIDO WARNING</t>
  </si>
  <si>
    <t>BBDI14X26X3.5</t>
  </si>
  <si>
    <t>HAMBURGUESA DE PESCADO</t>
  </si>
  <si>
    <t>BBDL33X28X1.5</t>
  </si>
  <si>
    <t>HAMBURGUESA 4" SIN IMPRESION</t>
  </si>
  <si>
    <t>TBDI13.5X1.7</t>
  </si>
  <si>
    <t>GRANOS RIVER 500GR</t>
  </si>
  <si>
    <t>TBDI</t>
  </si>
  <si>
    <t>BADL40X64X2</t>
  </si>
  <si>
    <t>LAINER 25 K ESPECIAL</t>
  </si>
  <si>
    <t>VERIFICAR STOCK_x000D_
DESTINO SELLADO</t>
  </si>
  <si>
    <t>-DESTINO ALMACEN_x000D_
-EMPACAR O LO ANCHO DEL EMPAQUE</t>
  </si>
  <si>
    <t>BBDIPB40X50+5+5X3</t>
  </si>
  <si>
    <t>BOLSA FERIA</t>
  </si>
  <si>
    <t>SELLE - TROQUEL_x000D_
CORDON - OJALETE_x000D_
DESTINO ALMACEN</t>
  </si>
  <si>
    <t>BBDI27X37+5X1.5</t>
  </si>
  <si>
    <t>KILAUEA PRENDA</t>
  </si>
  <si>
    <t>900.072.035-0</t>
  </si>
  <si>
    <t>BADI47+4+4X74X1.6</t>
  </si>
  <si>
    <t>TOALLA EMBALAJE 9X40</t>
  </si>
  <si>
    <t>BADIPAM34+7+7X55X0.8</t>
  </si>
  <si>
    <t>MERCAPUNTO</t>
  </si>
  <si>
    <t>PIGMENTO AMARILLO MY 223 - 1.85 K_x000D_
DESTINO IMPRESION DARMA</t>
  </si>
  <si>
    <t>BADLPV45X60X1</t>
  </si>
  <si>
    <t>BOLSA VERDE</t>
  </si>
  <si>
    <t>BBDI20.5X45X3</t>
  </si>
  <si>
    <t>PAGUE 2 LLEVE 3 CONGELADO LIGHT Y CONGELADO</t>
  </si>
  <si>
    <t>DESTINO MANUALIDAD</t>
  </si>
  <si>
    <t>SELLE TRANSVERSAL 9CM_x000D_
DESTINO ALMACEN</t>
  </si>
  <si>
    <t>BADLPB50X190X2.5</t>
  </si>
  <si>
    <t>SIN IMPRESION 50X190 CODIGO 1333904</t>
  </si>
  <si>
    <t xml:space="preserve">-CARA EXTERNA MEZCLA NORMAL_x000D_
-CARA INTERNA: 20KLS DE ALTA +5.0 KLS DE ALTA RDO BLANCO + 2.0 KLS DE COMAI 750 +1.30KLS DE PIG BLANCO + 8.0KLOS DE LINEAL_x000D_
-DESTINO SELLADO MANUAL </t>
  </si>
  <si>
    <t>COMAI</t>
  </si>
  <si>
    <t>BADLPA55X75X1</t>
  </si>
  <si>
    <t>BOLSA AZUL</t>
  </si>
  <si>
    <t>BADLPAM30X45X1</t>
  </si>
  <si>
    <t>BOLSA AMARILLA</t>
  </si>
  <si>
    <t>900.100.310-2</t>
  </si>
  <si>
    <t>BADI27X50X2.3</t>
  </si>
  <si>
    <t>3 KILOS - HIELO</t>
  </si>
  <si>
    <t>70.905.163-1</t>
  </si>
  <si>
    <t>BADIPA30X33X3</t>
  </si>
  <si>
    <t>PLAY MODEL</t>
  </si>
  <si>
    <t>BADIPA</t>
  </si>
  <si>
    <t>CIAM</t>
  </si>
  <si>
    <t>BADL24+6+6X35X1</t>
  </si>
  <si>
    <t>TABUN Y GRILL DOMICILIO</t>
  </si>
  <si>
    <t>CVBDI45X88X1.8</t>
  </si>
  <si>
    <t>CUBREVESTIDO IMPRESO</t>
  </si>
  <si>
    <t>BOLSA 51X230</t>
  </si>
  <si>
    <t>GENERICA PEQUEÑA</t>
  </si>
  <si>
    <t>CVBDL46X51X1</t>
  </si>
  <si>
    <t>IMPRESA CODIGO 1335139</t>
  </si>
  <si>
    <t>LAMINA CON FOTOCELDA</t>
  </si>
  <si>
    <t>_x000D_
-LINEAL EXENO_x000D_
-DESTINO DARMA_x000D_
-</t>
  </si>
  <si>
    <t>32-</t>
  </si>
  <si>
    <t xml:space="preserve">-DESTINO ALMACEN_x000D_
</t>
  </si>
  <si>
    <t>830.512.140-1</t>
  </si>
  <si>
    <t>BBDL52X88X6</t>
  </si>
  <si>
    <t>BOLSA MASTER SIN IMPRESION</t>
  </si>
  <si>
    <t>BBDI27X29+6X2</t>
  </si>
  <si>
    <t>D´MARCO</t>
  </si>
  <si>
    <t>BADL60X88X0.6</t>
  </si>
  <si>
    <t>BOLSA PACA TOSTADA (PRODUCCION)</t>
  </si>
  <si>
    <t>BBDI20.5X24.5X3</t>
  </si>
  <si>
    <t>BOLSA 1 KILO</t>
  </si>
  <si>
    <t>DESTINO IMPRESION DARMA-</t>
  </si>
  <si>
    <t>24.5-</t>
  </si>
  <si>
    <t>25-</t>
  </si>
  <si>
    <t>_x000D_
DESTINO AMACEN-</t>
  </si>
  <si>
    <t>BADLPV57X50X0.7</t>
  </si>
  <si>
    <t>BOLSA RECICLAJE 57X50 VERDE</t>
  </si>
  <si>
    <t>BBDI35X48X1.2</t>
  </si>
  <si>
    <t>MECCA WARNING</t>
  </si>
  <si>
    <t>BBDIPF30X40X2.3</t>
  </si>
  <si>
    <t>CARMEL PLATA</t>
  </si>
  <si>
    <t>BBDIPF</t>
  </si>
  <si>
    <t>BADL61X91X0.5</t>
  </si>
  <si>
    <t>LAINER 61X91 CAL. 0.5</t>
  </si>
  <si>
    <t>CARA 1: 25K ALTA - 10K LINEAL_x000D_
CARA 2: 25K ALTA - 8K LINEAL_x000D_
DESTINO SELLADO</t>
  </si>
  <si>
    <t>TBDIPB13.8X2</t>
  </si>
  <si>
    <t>FUNDA ACEITE</t>
  </si>
  <si>
    <t>TBDIPB</t>
  </si>
  <si>
    <t xml:space="preserve">-NO COLOCAR TIQUETES_x000D_
</t>
  </si>
  <si>
    <t>BADIPB37X37X3</t>
  </si>
  <si>
    <t>BOLSA CLIENTES</t>
  </si>
  <si>
    <t xml:space="preserve">FUCSIA </t>
  </si>
  <si>
    <t>TBDI10X2.5</t>
  </si>
  <si>
    <t>TUBULAR FRUTIFRESH</t>
  </si>
  <si>
    <t>800.043.527-6</t>
  </si>
  <si>
    <t>BBDI32X39.5+5X1.1</t>
  </si>
  <si>
    <t>ECKO</t>
  </si>
  <si>
    <t>BADL50X55X1</t>
  </si>
  <si>
    <t>50X55 MAQUILAS</t>
  </si>
  <si>
    <t>REVIZAR STOCK_x000D_
DESTINO SELLADO</t>
  </si>
  <si>
    <t>BADIPAM30+6+6X51X0.8</t>
  </si>
  <si>
    <t>MERCAPUNTO PEQUEÑA</t>
  </si>
  <si>
    <t>QUESO RIONEGRO VERDE- ROJO 450 GR</t>
  </si>
  <si>
    <t>- ALMACEN_x000D_
- CODIGO DE BARRAS 7703656704509</t>
  </si>
  <si>
    <t>BBDI10X29X4</t>
  </si>
  <si>
    <t>BOLSA IMPRESA PEQUEÑA CODIGO 301165</t>
  </si>
  <si>
    <t>TBDI13X1.5</t>
  </si>
  <si>
    <t>AZUCAR RIVER 400 GR</t>
  </si>
  <si>
    <t>19.-</t>
  </si>
  <si>
    <t>BADLPB30+7+7X55X1</t>
  </si>
  <si>
    <t>PUNTO DE VENTA</t>
  </si>
  <si>
    <t>-DESTINO TROQUELADORA_x000D_
-BIEN EMPACADO EN BOLSAS PARA TROQUELAR</t>
  </si>
  <si>
    <t>CVBDL50X70X0.7</t>
  </si>
  <si>
    <t>CUBREVESTIDO 50X70</t>
  </si>
  <si>
    <t>BBDI52X80X6</t>
  </si>
  <si>
    <t>BOLSA MASTER</t>
  </si>
  <si>
    <t>BADLPN26+5+5X50X1</t>
  </si>
  <si>
    <t>BOLSA EL TESORO</t>
  </si>
  <si>
    <t>BBDL26X44X1.2</t>
  </si>
  <si>
    <t>CLUSTER SIN IMPRESION (COBANA)</t>
  </si>
  <si>
    <t>CVBDL43X43X1</t>
  </si>
  <si>
    <t>CVBDI50X90X0.8</t>
  </si>
  <si>
    <t>CUBREVESTIDO WARNING IMPRESION NEGRA</t>
  </si>
  <si>
    <t>BOLSA RECICLAJE 65X90 GRIS</t>
  </si>
  <si>
    <t>BADL51X230X1.8</t>
  </si>
  <si>
    <t>BOLSA AD 51X230</t>
  </si>
  <si>
    <t>DESTINO:  SELLADO MANUAL</t>
  </si>
  <si>
    <t>CORTE Y SELLE MANUAL_x000D_
DESTINO:  ALMMACEN</t>
  </si>
  <si>
    <t>811.030.164-1</t>
  </si>
  <si>
    <t>TBDI27X4</t>
  </si>
  <si>
    <t>TUBULAR IMPRESO</t>
  </si>
  <si>
    <t>BBDL30X45X2</t>
  </si>
  <si>
    <t>BOLSA DOSIFICADORA 10K</t>
  </si>
  <si>
    <t>71.683.47</t>
  </si>
  <si>
    <t>BADI40X45X2.5</t>
  </si>
  <si>
    <t>DELICIA</t>
  </si>
  <si>
    <t>COLORES Y CARAS SEGUN ARTE_x000D_
DESTINO SELLADO</t>
  </si>
  <si>
    <t>MANIJA FLEXIBLE FUCSIA_x000D_
DESTINO ALMACEN</t>
  </si>
  <si>
    <t>42.794.900-3</t>
  </si>
  <si>
    <t>BBDIPB25X38X2.5</t>
  </si>
  <si>
    <t>FASHION MEN TROQUEL RIÑON</t>
  </si>
  <si>
    <t>BADIPB20+6+6X40X1</t>
  </si>
  <si>
    <t>PUNTO DE VENTA MEDIANA / CAUCASIA</t>
  </si>
  <si>
    <t>LBOPPI37X1</t>
  </si>
  <si>
    <t>LAMINA SIMONA GENERICA</t>
  </si>
  <si>
    <t>LBOPPI</t>
  </si>
  <si>
    <t xml:space="preserve">- IMPRESION DARMA_x000D_
- </t>
  </si>
  <si>
    <t>TBDI27X3.5</t>
  </si>
  <si>
    <t>TUBULAR MAHER</t>
  </si>
  <si>
    <t>900.100.961-7</t>
  </si>
  <si>
    <t>BADIPB35X43+5X2.5</t>
  </si>
  <si>
    <t>ALMACEN NAGA MEDIANA</t>
  </si>
  <si>
    <t>BADIPB30X40X1.5</t>
  </si>
  <si>
    <t>CARMEL BLANCA</t>
  </si>
  <si>
    <t>AZUL 314C</t>
  </si>
  <si>
    <t>TBDL5X1</t>
  </si>
  <si>
    <t>CINTILLO AMARRE</t>
  </si>
  <si>
    <t>BADIPB20+6+6X43X1</t>
  </si>
  <si>
    <t>PUNTO DE VENTA PEQUEÑA IMPRESA</t>
  </si>
  <si>
    <t>BIAZZA</t>
  </si>
  <si>
    <t>MANIJA FLEXIBLE PLATA_x000D_
DESTINO ALMACEN</t>
  </si>
  <si>
    <t>BBDI52X56X6</t>
  </si>
  <si>
    <t>MASTER BLANCO</t>
  </si>
  <si>
    <t>BBDL10X29X4</t>
  </si>
  <si>
    <t>BOLSA PEQUEÑA SIN IMPRESION</t>
  </si>
  <si>
    <t>BBDI18X33X2.5</t>
  </si>
  <si>
    <t>18X33 IMPRESA ZAMAR TILAPIA</t>
  </si>
  <si>
    <t>IMPRESA ZAMAR LOMITO</t>
  </si>
  <si>
    <t>BBDIPB30X40X4</t>
  </si>
  <si>
    <t>SUPER PEGA</t>
  </si>
  <si>
    <t>890.900.446-2</t>
  </si>
  <si>
    <t>BBDL7.5X10X1</t>
  </si>
  <si>
    <t>POLIETILENO 3X4"</t>
  </si>
  <si>
    <t>IMPRESA GRANDE</t>
  </si>
  <si>
    <t>SELLE DE FONDO_x000D_
DESTINO ALMACEN</t>
  </si>
  <si>
    <t>BADL39+10+10X95X1.8</t>
  </si>
  <si>
    <t>SOLLA PECES CODIGO 568</t>
  </si>
  <si>
    <t>BBDL70+15+15X120X1</t>
  </si>
  <si>
    <t>FUNDAS</t>
  </si>
  <si>
    <t>DESTINO ALMACEN_x000D_
DOBLAR EN  4   AMARRAR</t>
  </si>
  <si>
    <t>BADIPN40X50+7X3</t>
  </si>
  <si>
    <t>STUDIO 54 GRANDE</t>
  </si>
  <si>
    <t>-DESTINO IMPRESION DARMA_x000D_
-DEJAR 10.0CMS SIN TRATAR A UN EXTREMO Y MARCAR  BOCA SE LA BOLSA_x000D_
-</t>
  </si>
  <si>
    <t>PLTA</t>
  </si>
  <si>
    <t>DESTINO SELLADO_x000D_
IMPRESION SOLO CON PAGINA WEB</t>
  </si>
  <si>
    <t>BIEN EMPACADAS PARA TROQUELAR EN BOLSAS</t>
  </si>
  <si>
    <t>98.619.857-1</t>
  </si>
  <si>
    <t>BADIPA36X38+7+4X2</t>
  </si>
  <si>
    <t>STREN SPORT</t>
  </si>
  <si>
    <t>AZUL ME260</t>
  </si>
  <si>
    <t>BBDI30X30X2</t>
  </si>
  <si>
    <t>XTREMO PEQUEÑA</t>
  </si>
  <si>
    <t>TADIPA30X1</t>
  </si>
  <si>
    <t>PRECORTE AMARILLO 12X17" / SERVICIO</t>
  </si>
  <si>
    <t>TADIPA</t>
  </si>
  <si>
    <t>ROLLOS DE 7 KILOS MAXIMO_x000D_
DESTINO ALMACEN</t>
  </si>
  <si>
    <t>REEMPAQUE NUEVA MEZCLA CODIGO 530</t>
  </si>
  <si>
    <t>VERIFICAR Y CONTROLAR LA MEDIDA Y CALIDAD_x000D_
DESTINO ALMACEN</t>
  </si>
  <si>
    <t>BADLPR67X88X1.5</t>
  </si>
  <si>
    <t>BOLSA ROJA</t>
  </si>
  <si>
    <t>BADL30X125X2</t>
  </si>
  <si>
    <t>BOLSA 30X125</t>
  </si>
  <si>
    <t>CUBRE VESTIDO 17X17"</t>
  </si>
  <si>
    <t xml:space="preserve">DESTINO SELLADO_x000D_
_x000D_
</t>
  </si>
  <si>
    <t xml:space="preserve">DESTINO MANUALES_x000D_
_x000D_
</t>
  </si>
  <si>
    <t>CUBREVESTIDO_x000D_
DESTINO ALMACEN</t>
  </si>
  <si>
    <t>890.903.024-1</t>
  </si>
  <si>
    <t>BADIPNE44X50+7+5X3</t>
  </si>
  <si>
    <t>NAVITRANS GRANDE</t>
  </si>
  <si>
    <t>BADIPNE</t>
  </si>
  <si>
    <t>BADIPNE26X28+7+5X3</t>
  </si>
  <si>
    <t>NAVITRANS PEQUEÑA</t>
  </si>
  <si>
    <t>CVBDL46X81X0.8</t>
  </si>
  <si>
    <t>CUBREVESTIDO 18X32"</t>
  </si>
  <si>
    <t>DESTNO MANUALES-</t>
  </si>
  <si>
    <t>CUBRESTIDO_x000D_
DESTINO ALMACEN</t>
  </si>
  <si>
    <t>LISTONES PLASTICOS</t>
  </si>
  <si>
    <t>ROSADO</t>
  </si>
  <si>
    <t>CORTAR CADA 3 REPETICIONES_x000D_
DESTINO ALMACEN</t>
  </si>
  <si>
    <t>BADL44X53X1.5</t>
  </si>
  <si>
    <t>FANTASIA PEQUEÑA - ORIGINAL</t>
  </si>
  <si>
    <t>BUEN SELLE_x000D_
DESTINO SELLADO</t>
  </si>
  <si>
    <t>BADIPB35.5X45.5X3</t>
  </si>
  <si>
    <t>J.I. MEDIANA</t>
  </si>
  <si>
    <t>IMPRESION DARTMA</t>
  </si>
  <si>
    <t>BIEN EMPACADO PARA TROQUELAR DESTINO MANUALES-</t>
  </si>
  <si>
    <t>TROQUL RIÑON DESTINO ALMACEN-</t>
  </si>
  <si>
    <t>890.900.197-3</t>
  </si>
  <si>
    <t>BBDI42X51X1.5</t>
  </si>
  <si>
    <t>CUBRE PANTALON</t>
  </si>
  <si>
    <t xml:space="preserve">DESTINO MANUALIDAD_x000D_
</t>
  </si>
  <si>
    <t>BANDERIN</t>
  </si>
  <si>
    <t>TROQUEL TRIANGULO_x000D_
DESTINO ALMACEN</t>
  </si>
  <si>
    <t>900.068.444-4</t>
  </si>
  <si>
    <t>BBDIPB25X34+4X2</t>
  </si>
  <si>
    <t>BULEVAR DE LA MODA PEQUEÑA</t>
  </si>
  <si>
    <t>MANIJA ROJA_x000D_
DESTINO ALMACEN</t>
  </si>
  <si>
    <t>BADL60X240X1.8</t>
  </si>
  <si>
    <t>BOLSA AD 60X240</t>
  </si>
  <si>
    <t xml:space="preserve">-DESTINO CORTADORA MANUAL_x000D_
</t>
  </si>
  <si>
    <t>BBDI25X28+4X1.5</t>
  </si>
  <si>
    <t>D´MUJER X40</t>
  </si>
  <si>
    <t>BADL20X21X1</t>
  </si>
  <si>
    <t>BOLSA INTERNA TOSTONES Y MADUROS</t>
  </si>
  <si>
    <t>43.157.235-5</t>
  </si>
  <si>
    <t>BADIPN40X50X3</t>
  </si>
  <si>
    <t>IN FASHION GRANDE</t>
  </si>
  <si>
    <t>IMPRESION DARMA_x000D_
-CONTROLAR DESCOMPENCE_x000D_
-</t>
  </si>
  <si>
    <t>BIEN EMPACADAS PARA TROQUELAR_x000D_
DESTINO MANUALES</t>
  </si>
  <si>
    <t>-TROUEL RIÑON_x000D_
DESTINO ALMACEN</t>
  </si>
  <si>
    <t>FINOLINO MEDIANO</t>
  </si>
  <si>
    <t>IN FASHION PEQUEÑA</t>
  </si>
  <si>
    <t>IMPRESION DARMA</t>
  </si>
  <si>
    <t>BIEN EMPACADO PARA TROQUELAR_x000D_
DEJAR MUESTRS PARA ARCHIVO_x000D_
DESTINO MANUALIDAD</t>
  </si>
  <si>
    <t>-TROQUEL RIÑON_x000D_
-DESTINO ALMACEN</t>
  </si>
  <si>
    <t>BBDI29X40.5X1.1</t>
  </si>
  <si>
    <t>CHIQUITA PREMIUM</t>
  </si>
  <si>
    <t>-DESTINO APARTADO -AGROCENTRO_x000D_
-ORDEN DE COMPRA 2031</t>
  </si>
  <si>
    <t>BADIPB38X40X2</t>
  </si>
  <si>
    <t>MADE IN COLOMBIA</t>
  </si>
  <si>
    <t>DESTINO IMPRESION DARMA_x000D_
-</t>
  </si>
  <si>
    <t>MANIJA FLEXIBLE ROJA_x000D_
DESTINO ALMACEN</t>
  </si>
  <si>
    <t>-BIEN EMPACADAS PARA TROQUELAR EN BOLSAS_x000D_
-ALMACEN</t>
  </si>
  <si>
    <t>71.586.506-8</t>
  </si>
  <si>
    <t>BADL50X70X0.7</t>
  </si>
  <si>
    <t>890.706.630-0</t>
  </si>
  <si>
    <t>BBDI25.5X50+5X1.5</t>
  </si>
  <si>
    <t>PAN PULLMAN</t>
  </si>
  <si>
    <t>BOLSA 30X130</t>
  </si>
  <si>
    <t>BBDI22X30X2</t>
  </si>
  <si>
    <t>LUMUS</t>
  </si>
  <si>
    <t>BUENA SELLABILIDAD_x000D_
DESTINO ALMACEN</t>
  </si>
  <si>
    <t>811.026.611-5</t>
  </si>
  <si>
    <t>BBDIPB32X45+7X3</t>
  </si>
  <si>
    <t>BOLSA ALMACEN</t>
  </si>
  <si>
    <t>369C</t>
  </si>
  <si>
    <t>BBDI47X59X1.25</t>
  </si>
  <si>
    <t>WARNING 3 IDIOMAS PEQUEÑA</t>
  </si>
  <si>
    <t>BADL20X30X1</t>
  </si>
  <si>
    <t>BOLSA 20X30</t>
  </si>
  <si>
    <t>890.906.791-6</t>
  </si>
  <si>
    <t>BADIPB60X85X0.9</t>
  </si>
  <si>
    <t>ESPECIAL MULTICOMPRA</t>
  </si>
  <si>
    <t>BADIPB30+7+7X50X0.6</t>
  </si>
  <si>
    <t>MULTICOMPRA No 20</t>
  </si>
  <si>
    <t>BADIPB22.5X30X2</t>
  </si>
  <si>
    <t>ALMACEN NAGA PEQUEÑA</t>
  </si>
  <si>
    <t>22.5</t>
  </si>
  <si>
    <t>BOLSA 26X36+3.5 EN POLIETILENO</t>
  </si>
  <si>
    <t>CVADL50X80X0.5</t>
  </si>
  <si>
    <t>CUBREVESTIDO 50X80 CONCALIDAD</t>
  </si>
  <si>
    <t>BADIPB17X25X1.5</t>
  </si>
  <si>
    <t>BADIPB50X65+7X3.5</t>
  </si>
  <si>
    <t>ALMACEN NAGA EXTRA GRANDE</t>
  </si>
  <si>
    <t>BBDL46X53X1</t>
  </si>
  <si>
    <t>BOLSA 18X21"</t>
  </si>
  <si>
    <t>BADIPB30+8+8X55X1</t>
  </si>
  <si>
    <t>ALMACEN GRANDE BIODEGRADABLE</t>
  </si>
  <si>
    <t>DESTINO IMPRESION DARMA_x000D_
- LLEVA ADHITIVO BIODEGRADABLE</t>
  </si>
  <si>
    <t>DESTINO TROQUELADO_x000D_
-BIEN EMPACADO EN BOLSAS PAR A TROQUELAR</t>
  </si>
  <si>
    <t>98.379.127-0</t>
  </si>
  <si>
    <t>BADIPF37.5X30+5X5</t>
  </si>
  <si>
    <t>LO MAXIMO - MANOS LIBRES</t>
  </si>
  <si>
    <t>BADIPF</t>
  </si>
  <si>
    <t>37.5</t>
  </si>
  <si>
    <t>MUESTRO</t>
  </si>
  <si>
    <t>MANIJA FLEXIBLE NEGRA 5X140_x000D_
DESTINO ALMACEN</t>
  </si>
  <si>
    <t>BADI39X45X2</t>
  </si>
  <si>
    <t>PIETON GRANDE</t>
  </si>
  <si>
    <t>890.102.466-6</t>
  </si>
  <si>
    <t>BADIPB22.5+4+4X35.5X1.5</t>
  </si>
  <si>
    <t>NOVAMED</t>
  </si>
  <si>
    <t>35.5</t>
  </si>
  <si>
    <t>CVADL45X48X0.5</t>
  </si>
  <si>
    <t>CUBREVESTIDO JUNIOR 45X50</t>
  </si>
  <si>
    <t>TBDL7X4</t>
  </si>
  <si>
    <t>TUBULAR BD 7X4.0</t>
  </si>
  <si>
    <t>BBDI25X35X1.2</t>
  </si>
  <si>
    <t>PRODUCT OF COLOMBIA</t>
  </si>
  <si>
    <t>PANTONE 286C-</t>
  </si>
  <si>
    <t>BBDI22.5X30X0.9</t>
  </si>
  <si>
    <t>AREPA BLANCA GIGANTE</t>
  </si>
  <si>
    <t>DESTINO ALMACEN_x000D_
DEJAR MUESTRAS PARA ARCHIVO</t>
  </si>
  <si>
    <t>PEQUEÑA IMPRESA 35X175</t>
  </si>
  <si>
    <t>ECKO GUNIT SPRING</t>
  </si>
  <si>
    <t>VERIFICAR STOCK_x000D_
DESTINO IMPRESION DARMA</t>
  </si>
  <si>
    <t>TIPO 2 RECUPERADO</t>
  </si>
  <si>
    <t>LAFFON</t>
  </si>
  <si>
    <t>BADL80X130X1.5</t>
  </si>
  <si>
    <t>80X130CM</t>
  </si>
  <si>
    <t>BBDI48X70X1.25</t>
  </si>
  <si>
    <t>WARNING 3 IDIOMAS</t>
  </si>
  <si>
    <t>BBDI70X107X1</t>
  </si>
  <si>
    <t>CUBRE PANTALON IMPRESO 70X107</t>
  </si>
  <si>
    <t>PERFORACION SUPERIOR PARA ENTRAR GANCHO_x000D_
VERIFICAR MUESTRA FISICA_x000D_
DESTINO ALMACEN</t>
  </si>
  <si>
    <t>MASTER COLOR</t>
  </si>
  <si>
    <t>BADL61X91X0.9</t>
  </si>
  <si>
    <t>BOLSA PACA TOSTADA (LOGISTICA)</t>
  </si>
  <si>
    <t>STUDIO 54 PEQUEÑA</t>
  </si>
  <si>
    <t>DESTINO MANUALIDADES_x000D_
DEJAR MUESTRAS PARA ARCHIVO_x000D_
BIEN EMPACADAS PARA TRQUELAR</t>
  </si>
  <si>
    <t>COBANA NUEVA IMAGEN</t>
  </si>
  <si>
    <t>PANTONE 286C</t>
  </si>
  <si>
    <t>TENER CUIDADO CON EL CONTEO DE UNIDADES_x000D_
DESTINO STA. MARTHA_x000D_
O. DE CCOMPRA 2596_x000D_
_x000D_
DEJAR MUESTRAS PARA ARCHIVO</t>
  </si>
  <si>
    <t>BBDI19.5X27X3.5</t>
  </si>
  <si>
    <t>CHULETA APANADA X 10</t>
  </si>
  <si>
    <t xml:space="preserve">DESTINO IMPRESION DARMA_x000D_
</t>
  </si>
  <si>
    <t>BANACLUSTER COBANA NUEVA IMAGEN</t>
  </si>
  <si>
    <t>70.515.864-2</t>
  </si>
  <si>
    <t>BBDI15X30.5X3.5</t>
  </si>
  <si>
    <t>MARES DE COLOMBIA GENERICA</t>
  </si>
  <si>
    <t>BADL32X42X1</t>
  </si>
  <si>
    <t>BOLSA 32X42</t>
  </si>
  <si>
    <t>BBDL20.3X30X1.8</t>
  </si>
  <si>
    <t>BOLSA LABORATORIO</t>
  </si>
  <si>
    <t>BADIPB40X50+7X3</t>
  </si>
  <si>
    <t>ALMACEN NAGA GRANDE</t>
  </si>
  <si>
    <t>TUBULAR AD 91X3.0</t>
  </si>
  <si>
    <t>BUENA RESISTENCIA_x000D_
DESTINO ALMACEN</t>
  </si>
  <si>
    <t>FASHION MEN PEQUEÑA</t>
  </si>
  <si>
    <t>800.055.169-4</t>
  </si>
  <si>
    <t>TBDIPB9.3X4</t>
  </si>
  <si>
    <t>MARACUYA</t>
  </si>
  <si>
    <t>13.3</t>
  </si>
  <si>
    <t>26.5</t>
  </si>
  <si>
    <t>MORA</t>
  </si>
  <si>
    <t>TBDL9.3X4</t>
  </si>
  <si>
    <t>BEBIDA LACTEA SIN IMPRESION</t>
  </si>
  <si>
    <t>BBDL37X72X3</t>
  </si>
  <si>
    <t>40 LIBRAS</t>
  </si>
  <si>
    <t>CANTIDADES EXACTAS_x000D_
DESTINO ALMACEN</t>
  </si>
  <si>
    <t>BBDL40X80X4</t>
  </si>
  <si>
    <t>50 LIBRAS</t>
  </si>
  <si>
    <t>BBDL32X46X1.2</t>
  </si>
  <si>
    <t>CLUSTER PLATANO 5 LB - 1.2</t>
  </si>
  <si>
    <t>PERFORACION SEGUN PLANO_x000D_
DEJAR MUESTRA BIEN MARCADAS-</t>
  </si>
  <si>
    <t>PUNTO DE VENTA MEDIANA / MONTELIBANO</t>
  </si>
  <si>
    <t>BBDL32X46X1.5</t>
  </si>
  <si>
    <t>CLUSTER PLATANO 5 LB - 1.5</t>
  </si>
  <si>
    <t>-DEJAR MUESTRAS BIEN MARCADAS_x000D_
DESTINO ALMACEN</t>
  </si>
  <si>
    <t>BADIPB28+7+7X66X1</t>
  </si>
  <si>
    <t>PUNTO DE VENTA GRANDE / MONTELIBANO</t>
  </si>
  <si>
    <t>PUNTO DE VENTA GRANDE / CAUCASIA</t>
  </si>
  <si>
    <t>SOLLA PECES CODIGO 589</t>
  </si>
  <si>
    <t>BBDL40X60X3</t>
  </si>
  <si>
    <t>15K DOSIFICADORA</t>
  </si>
  <si>
    <t>BADLPB60X190X2.5</t>
  </si>
  <si>
    <t>SIN IMPRESION 60X190 CODIGO 1334983</t>
  </si>
  <si>
    <t>-CARA EXTERNA MEZCLA NORMAL_x000D_
-CARA INTERNA 20.0 KLS DE ALTA +5.0 KLS DE ALTA RDO. BLANCO+20.0 KLS DECOMAI 750_x000D_
-+1.30 KLS DE PPIG BLANCO+ 8.0 KLS DE LINEAL_x000D_
-DESTINO SELLADO MANUAL_x000D_
-</t>
  </si>
  <si>
    <t>-DESTINO CORTE MANUAL_x000D_
-SELLAR CANTIDAD EXACTA</t>
  </si>
  <si>
    <t>CORTE MANUAL Y SELE DE FONDO_x000D_
DESTINO ALMACEN</t>
  </si>
  <si>
    <t>LBDL120X170X1</t>
  </si>
  <si>
    <t>LAMINA 120X170 CUBRECAJA</t>
  </si>
  <si>
    <t xml:space="preserve">REVIZAR STOCK_x000D_
DESTINO CORTADORA MANUAL_x000D_
</t>
  </si>
  <si>
    <t>CORTE MANUAL_x000D_
DESTINO ALMACEN</t>
  </si>
  <si>
    <t>BBDIPB35X175X3</t>
  </si>
  <si>
    <t>BADLPB43X175X2.5</t>
  </si>
  <si>
    <t>SIN IMPRESION 43X175 CODIGO 1335047</t>
  </si>
  <si>
    <t>BBDL56X52X3</t>
  </si>
  <si>
    <t>ME0024 BOLSA 12 KILOS</t>
  </si>
  <si>
    <t>NO DOBLAR - MARCAR BIEN - ROTULAR_x000D_
DESTINO ALMACEN</t>
  </si>
  <si>
    <t>BBDI15+5+5X46X3</t>
  </si>
  <si>
    <t>ME0014 ARROBERA DON JOSE</t>
  </si>
  <si>
    <t>SE SELLA Y ENFUELLA EN TUBYPLAST_x000D_
DESTINO ALMACEN</t>
  </si>
  <si>
    <t>TUBYPLAST</t>
  </si>
  <si>
    <t>BBDIPB35X40X3</t>
  </si>
  <si>
    <t>AZUL TIENDA GRANDE</t>
  </si>
  <si>
    <t>BBDL40+20+20X120X5</t>
  </si>
  <si>
    <t>BOLSA COEXTRUIDA</t>
  </si>
  <si>
    <t>SE TRABAJA CON MEZCLA EXTERNA E INTERNA_x000D_
DESTINO MANUALIDADES</t>
  </si>
  <si>
    <t>BADI32X40X3</t>
  </si>
  <si>
    <t>IN FASHION</t>
  </si>
  <si>
    <t>DESTINO IMPRESON DARMA</t>
  </si>
  <si>
    <t>BBDL15X30X2</t>
  </si>
  <si>
    <t>BOLSA 6X12"</t>
  </si>
  <si>
    <t>BBDIPB25X30X3</t>
  </si>
  <si>
    <t>AZUL TIENDA PEQUEÑA</t>
  </si>
  <si>
    <t>TADL66X0.8</t>
  </si>
  <si>
    <t>SERVICIO DE SELLADO - 66X100</t>
  </si>
  <si>
    <t>BBDL90X155X3</t>
  </si>
  <si>
    <t>ORIGINAL REEMPAQUE PEQUEÑA</t>
  </si>
  <si>
    <t>CORTE Y SELLE FONDO MANUAL_x000D_
DESTINO ALMACEN</t>
  </si>
  <si>
    <t>BADIPB43X175X2.5</t>
  </si>
  <si>
    <t>IMPRESA 43X175</t>
  </si>
  <si>
    <t>BBDI22.5X28+5X1.15</t>
  </si>
  <si>
    <t>BOLSA INDIVIDUAL HURLEY</t>
  </si>
  <si>
    <t>DESTINO IMPRESION SELLOPLAS (SCREEN)</t>
  </si>
  <si>
    <t>IMPRESION SCREEN_x000D_
DESTINO ALMACEN</t>
  </si>
  <si>
    <t>BADL25X35X1</t>
  </si>
  <si>
    <t>EMPAQUE SELLADO 25X35</t>
  </si>
  <si>
    <t>900.112.933-2</t>
  </si>
  <si>
    <t>BADIPB38X39X3</t>
  </si>
  <si>
    <t>LUZ DE MAR</t>
  </si>
  <si>
    <t>MANIJA FLEXIBLE BLANCA_x000D_
DESTINO ALMACEN</t>
  </si>
  <si>
    <t>CANOA - GUANABANA 900GR</t>
  </si>
  <si>
    <t>-IMPRESION  DEMES_x000D_
-OJO CONTROLAR DESCOMPENCE</t>
  </si>
  <si>
    <t>BADL60X85X1</t>
  </si>
  <si>
    <t>LAINER 60X85</t>
  </si>
  <si>
    <t>BBDI18.5X26X3</t>
  </si>
  <si>
    <t>BOLSA DE KILO 18.5X26</t>
  </si>
  <si>
    <t>BADL61X79X1.8</t>
  </si>
  <si>
    <t>BOLSA 24X31"</t>
  </si>
  <si>
    <t>CAMISETA GRANDE</t>
  </si>
  <si>
    <t>BADL40X50X1</t>
  </si>
  <si>
    <t>EMPAQUE SELLADO 40X50</t>
  </si>
  <si>
    <t>BBDL29.5X35+2X1.5</t>
  </si>
  <si>
    <t>HAMBURGUESA X 6 UND (SIN IMPRESION)</t>
  </si>
  <si>
    <t>BADL30X56X1</t>
  </si>
  <si>
    <t>BOLSA 12X22"</t>
  </si>
  <si>
    <t>BADL96X145X3.5</t>
  </si>
  <si>
    <t>CAJAS DE BATERIA</t>
  </si>
  <si>
    <t>BBDLPB58X50X2.5</t>
  </si>
  <si>
    <t>BOLSA BLANCA SIN IMPRESION</t>
  </si>
  <si>
    <t>ECKO BSR</t>
  </si>
  <si>
    <t>EN STOCK HAY 1.090_x000D_
DESTINO ALMACEN</t>
  </si>
  <si>
    <t>DIVISION FUNDAS</t>
  </si>
  <si>
    <t>CORTE MANUAL Y SELLE DE FONDO_x000D_
DESTINO ALMACEN</t>
  </si>
  <si>
    <t>TBDIPB15.3X4</t>
  </si>
  <si>
    <t>LECHE ENTERA</t>
  </si>
  <si>
    <t>BBDIPB22X25+6X2</t>
  </si>
  <si>
    <t>NAVIDAD</t>
  </si>
  <si>
    <t>1925C</t>
  </si>
  <si>
    <t>900.037.539-2</t>
  </si>
  <si>
    <t>BADL80X190X1.5</t>
  </si>
  <si>
    <t>BOLSA EMPAQUE 80X190</t>
  </si>
  <si>
    <t>52.040.451-9</t>
  </si>
  <si>
    <t>BBDIPBE45X49+7X4</t>
  </si>
  <si>
    <t>ADRIANA ARANGO GRANDE</t>
  </si>
  <si>
    <t>BBDIPBE</t>
  </si>
  <si>
    <t>TROQUEL RIÑON Y CORDON DORADO_x000D_
DESTINO ALMACEN</t>
  </si>
  <si>
    <t>BBDIPBE32X40+7X4</t>
  </si>
  <si>
    <t>ADRIANA ARANGO MEDIANA</t>
  </si>
  <si>
    <t>PALMAS - LULO 900GR</t>
  </si>
  <si>
    <t>TBDL9X3</t>
  </si>
  <si>
    <t>BEBIDA SABORIZADA</t>
  </si>
  <si>
    <t>BADIPB60X190X2.5</t>
  </si>
  <si>
    <t>IMPRESA 60X190 CODIGO 1335122</t>
  </si>
  <si>
    <t>-CARA INTERNA: 25.0KLS DE ALTA RDO BLANCO + 3.0 KLS DE COMAI 750 + 5.0 KLS LINEAL_x000D_
-CARA EXTERNA: 25.0 KLS DE ALTA ORIGINAL + 5.0 KLS DE ALTA RDO BLANCO + 1.75 KLS DE PIG. BLANCO + 5.0 KLS DE LINEA_x000D_
-</t>
  </si>
  <si>
    <t>BADL29.5X50X0.9</t>
  </si>
  <si>
    <t>GOLOSIA 15X20</t>
  </si>
  <si>
    <t>BBDL105X155X3</t>
  </si>
  <si>
    <t>ORIGINAL REEMPAQUE GRANDE</t>
  </si>
  <si>
    <t>22.080.111-1</t>
  </si>
  <si>
    <t>PEGADA DE MANIJA-</t>
  </si>
  <si>
    <t>BBDI38X39X3</t>
  </si>
  <si>
    <t>TALBOT</t>
  </si>
  <si>
    <t>GRIS PLATA</t>
  </si>
  <si>
    <t>PEGADA DE TIRA_x000D_
DESTINO ALMACEN</t>
  </si>
  <si>
    <t>MASTERBACH</t>
  </si>
  <si>
    <t>TBDL11X1.5</t>
  </si>
  <si>
    <t>TUBULAR BD 11X1.5</t>
  </si>
  <si>
    <t>PACA TOSTADA</t>
  </si>
  <si>
    <t>MASTER 25K GRANDE</t>
  </si>
  <si>
    <t>811.006.389-9</t>
  </si>
  <si>
    <t>BADL62X90X1.5</t>
  </si>
  <si>
    <t>LAINER PARA CAL GRANDE</t>
  </si>
  <si>
    <t>CARA INT: 25 AD + 10 LINEAL - CARA EXT: 25 AD + 5 LINEAL_x000D_
DESTINO SELLADO</t>
  </si>
  <si>
    <t>BBDI19.5X33.5+4.5+0.5X1.5</t>
  </si>
  <si>
    <t>MOGOLLAS INTEGRALES MAMA INES</t>
  </si>
  <si>
    <t>-DESTINO IMPRESION CORREA-</t>
  </si>
  <si>
    <t>-OJO OJO CONTROLAR SOLAPA 1/2 CMS._x000D_
DESTINO ALMACEN</t>
  </si>
  <si>
    <t>BOLSA BASURA 29X46'' GRIS</t>
  </si>
  <si>
    <t>-DETINO SELLADO_x000D_
-</t>
  </si>
  <si>
    <t>BBDL20X40X4</t>
  </si>
  <si>
    <t>BOLSA 20X40CM</t>
  </si>
  <si>
    <t>NUEVO DESARROLLO PEQUEÑA IMPRESA AD</t>
  </si>
  <si>
    <t>TBDL15X4</t>
  </si>
  <si>
    <t>TUBULAR BD 15X4.0</t>
  </si>
  <si>
    <t>CAMISETA PEQUEÑA</t>
  </si>
  <si>
    <t>BADIPB35X175X3</t>
  </si>
  <si>
    <t>IMPRESA PEQUEÑA NUEVA IMAGEN</t>
  </si>
  <si>
    <t>XCESO SINGAPUR</t>
  </si>
  <si>
    <t>IMPRESA GRANDE NUEVA IMAGEN</t>
  </si>
  <si>
    <t>BADI50X65+7X3.5</t>
  </si>
  <si>
    <t>EXTRAGRANDE NAGA ALMACEN</t>
  </si>
  <si>
    <t>BOLSA 50 LIBRAS</t>
  </si>
  <si>
    <t>DESTINO ALMACEN - FAVOR NO ENVIAR MAS DE LO SOLICITADO</t>
  </si>
  <si>
    <t>BBDI19.5X32+5X2</t>
  </si>
  <si>
    <t>BOLSA SIXPACK RIONEGRO</t>
  </si>
  <si>
    <t xml:space="preserve">-DESTINO IMPRESION DARMA_x000D_
-TRATAR SOLO DE LA 1/2 AL EXTREMO Y MARCAR COMO FONDO DE LA BOLSA_x000D_
</t>
  </si>
  <si>
    <t>BOLSA 26X36+3.5 CAL 2</t>
  </si>
  <si>
    <t>BOLSA ALMACEN CON CORDON GRANDE ROOTT+CO</t>
  </si>
  <si>
    <t>TBDL30X4</t>
  </si>
  <si>
    <t>TUBULAR BD 30X4</t>
  </si>
  <si>
    <t>BADL50X190X2.5</t>
  </si>
  <si>
    <t>GRANDE SIN IMPRESION</t>
  </si>
  <si>
    <t>XCESO PALACIO</t>
  </si>
  <si>
    <t>BADL5.5X25X1</t>
  </si>
  <si>
    <t>BOLSA 5.5X25</t>
  </si>
  <si>
    <t>YES BRASIL/SINGAPUR</t>
  </si>
  <si>
    <t>CUBREVESTIDO</t>
  </si>
  <si>
    <t>SELLE CUBREVESTIDO_x000D_
DESTINO AMACEN</t>
  </si>
  <si>
    <t>CUBREVESTIDO JUNIOR</t>
  </si>
  <si>
    <t>GOLOSIA X15X20</t>
  </si>
  <si>
    <t>DESTINO SELLADO_x000D_
-_x000D_
_x000D_
CALIBRE BIEN CONTROLADO</t>
  </si>
  <si>
    <t>BADL64X160X1</t>
  </si>
  <si>
    <t>BOLSA 64X160</t>
  </si>
  <si>
    <t>ZOO YORK</t>
  </si>
  <si>
    <t>ECKO SPRING</t>
  </si>
  <si>
    <t>BADIPG40X45X2.5</t>
  </si>
  <si>
    <t>ALMACEN UNARMED</t>
  </si>
  <si>
    <t>GRIS OSCURO</t>
  </si>
  <si>
    <t>MARC ECKO</t>
  </si>
  <si>
    <t>SELLED DE FONDO_x000D_
DESTINO ALMACEN</t>
  </si>
  <si>
    <t>BOLSA 40X50</t>
  </si>
  <si>
    <t>BOLSA 25X35</t>
  </si>
  <si>
    <t>811.018.000-1</t>
  </si>
  <si>
    <t>BBDI30X40+5X2</t>
  </si>
  <si>
    <t>REPUBLIC - PRENDA</t>
  </si>
  <si>
    <t>BBDL35X175X3</t>
  </si>
  <si>
    <t>PEQUEÑA SIN IMPRESION</t>
  </si>
  <si>
    <t>BADLPV100X120X1.2</t>
  </si>
  <si>
    <t>BOLSA RECICLAJE 100X120 VERDE</t>
  </si>
  <si>
    <t>BADLPG30X40X0.5</t>
  </si>
  <si>
    <t>BOLSA GRIS AD</t>
  </si>
  <si>
    <t>BBDL25X40X4</t>
  </si>
  <si>
    <t>BOLSA 25X40</t>
  </si>
  <si>
    <t>BADL30X40X1</t>
  </si>
  <si>
    <t>EMPAQUE SELLADO 30X40</t>
  </si>
  <si>
    <t>BADL22X30X1</t>
  </si>
  <si>
    <t>EMPAQUE SELLADO 22X30</t>
  </si>
  <si>
    <t>BBDI22.5X45X3</t>
  </si>
  <si>
    <t>PAGUE 3 LLEVE 4 CONGELADO</t>
  </si>
  <si>
    <t>NEGR</t>
  </si>
  <si>
    <t>SELLE POR DEFINIR_x000D_
DESTINO ALMACEN</t>
  </si>
  <si>
    <t>ME0035 BOLSA 6 KILOS</t>
  </si>
  <si>
    <t>NO DOBLAR BOLSA - MARCAR MUY BIEN - USAR ROTULOS_x000D_
DESTINO ALMACEN</t>
  </si>
  <si>
    <t>CANOA PIÑA 900GR</t>
  </si>
  <si>
    <t>NAVIDAD - REF 6400000144</t>
  </si>
  <si>
    <t>DESTINO MANUALIDADES - IMPRESION SCREEN</t>
  </si>
  <si>
    <t>SCREEN - CORDON TIPO TULA_x000D_
DESTINO ALMACEN</t>
  </si>
  <si>
    <t>CVBDI48X92X1.2</t>
  </si>
  <si>
    <t>CV HURLEY TALLA L</t>
  </si>
  <si>
    <t>CV HURLEY TALLA XL</t>
  </si>
  <si>
    <t>VISTE LA MODA</t>
  </si>
  <si>
    <t>MANIJA FLEXIBE BLANCA_x000D_
DESTINO ALMACEN</t>
  </si>
  <si>
    <t>BBDI66X100X1.8</t>
  </si>
  <si>
    <t>SERVICIO DE SELLADO BUKLER</t>
  </si>
  <si>
    <t>BADL35X50X1</t>
  </si>
  <si>
    <t>EMPAQUE SELLADO 35X50</t>
  </si>
  <si>
    <t>ME 0014 ARROBERA DON JOSE</t>
  </si>
  <si>
    <t>TBDIPB66X101X1.8</t>
  </si>
  <si>
    <t>SERVICIO DE SELLADO KJEANS</t>
  </si>
  <si>
    <t>BADL100X120X1.2</t>
  </si>
  <si>
    <t>BOLSA RECICLAJE 100X120 AZUL</t>
  </si>
  <si>
    <t>VERIFICAR STOCK_x000D_
DESTINO CORTADORA MANUAL</t>
  </si>
  <si>
    <t>LATIN FIESTA GENERICA 900 GR</t>
  </si>
  <si>
    <t>BOLSA RECICLAJE 65X90 CREMA</t>
  </si>
  <si>
    <t>CREMA</t>
  </si>
  <si>
    <t>BOLSA RECICLAJE 65X90 AZUL</t>
  </si>
  <si>
    <t>BBDI16.5X23.5X1</t>
  </si>
  <si>
    <t>BOLSA QUESITO 400G LA FLORIDA</t>
  </si>
  <si>
    <t>16.5</t>
  </si>
  <si>
    <t>BADIPR38X32+5X3.5</t>
  </si>
  <si>
    <t>SUFI MANOS LIBRES</t>
  </si>
  <si>
    <t>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-MANAULAES</t>
  </si>
  <si>
    <t>BOLSA ALMACEN CON CORDON PEQUEÑA ROOTT+CO</t>
  </si>
  <si>
    <t>TEEN FLOWER</t>
  </si>
  <si>
    <t>AMARILLA</t>
  </si>
  <si>
    <t>BOLSA RECICLAJE 100X120 GRIS</t>
  </si>
  <si>
    <t>CV HURLEY TALLA S</t>
  </si>
  <si>
    <t>CVBDI43X76X1.2</t>
  </si>
  <si>
    <t>CV HURLEY TALLA 5</t>
  </si>
  <si>
    <t>EMPAQUE SELLADO 50X55</t>
  </si>
  <si>
    <t>CV HURLEY TALLA 6</t>
  </si>
  <si>
    <t>890.901.191-4</t>
  </si>
  <si>
    <t>BADIPB21X30.4X2</t>
  </si>
  <si>
    <t>TIENDA VERDE PEQUEÑA</t>
  </si>
  <si>
    <t>BADIPB41+6+6X55X3</t>
  </si>
  <si>
    <t>TIENDA VERDE GRANDE</t>
  </si>
  <si>
    <t>TBDI21X2</t>
  </si>
  <si>
    <t>AZUCAR FINA 2300 GR</t>
  </si>
  <si>
    <t>BOLSA PLASTICA LAINER DE 50 KILOS</t>
  </si>
  <si>
    <t>CARA INTERNA: 25K AD - 10K LINEAL_x000D_
CARA EXTERNA: 25K AD - 8K LINEAL_x000D_
DESTINO SELLADO</t>
  </si>
  <si>
    <t>UVA</t>
  </si>
  <si>
    <t>FONDO -DOBLE</t>
  </si>
  <si>
    <t>EMPAQUE SELLADO 32X42</t>
  </si>
  <si>
    <t>BBDIPR40X50X2.3</t>
  </si>
  <si>
    <t>PAQUETE SORPRESA</t>
  </si>
  <si>
    <t>BBDIPR</t>
  </si>
  <si>
    <t>-PIGMENTO MR-244 PERMAQUIM_x000D_
-DESTINO IMPRESION DARMA_x000D_
-TUBULAR DE 100.0CMS PARTIDO A LA 1/2</t>
  </si>
  <si>
    <t>TBDI17X2.2</t>
  </si>
  <si>
    <t>AZUCAR RIVER 1000 GR</t>
  </si>
  <si>
    <t>BOLSA 1 KILO - GENERICA</t>
  </si>
  <si>
    <t>DESTINO ALMAACEN-</t>
  </si>
  <si>
    <t>BOLSA 1 KILO - MANDARINA</t>
  </si>
  <si>
    <t>IMPRESION_x000D_
DARMA-</t>
  </si>
  <si>
    <t>SETINO ALMACEN-</t>
  </si>
  <si>
    <t>CARAVANA No 20</t>
  </si>
  <si>
    <t>TBDI13X1.7</t>
  </si>
  <si>
    <t>AZUCAR RIVER 460 GR</t>
  </si>
  <si>
    <t>BADIPB26X36+5X2.5</t>
  </si>
  <si>
    <t>TIENDA VERDE MEDIANA</t>
  </si>
  <si>
    <t>CV HURLEY TALLA 7</t>
  </si>
  <si>
    <t>ADRIANA ARANGO PEQUEÑA</t>
  </si>
  <si>
    <t>DESTINO TROQUELADORA_x000D_
BIEN EMPACADO PARA TROQUELAR_x000D_
DEJAR MUESTRAS PARA ARCHIVO</t>
  </si>
  <si>
    <t>LBDL47X2.5</t>
  </si>
  <si>
    <t>SERVICIO DE EXTRUSION LAMINA BD 47X2.5</t>
  </si>
  <si>
    <t>ROLLOS BIEN EMPACADOS CON RUANA EN LOS EXTREMOS_x000D_
-TRATAO POR FUERA_x000D_
-</t>
  </si>
  <si>
    <t>LBDPPI15.5X2.5</t>
  </si>
  <si>
    <t>LAMINA TRICAPA MARACUYA</t>
  </si>
  <si>
    <t>IMPRESION DAARMA-</t>
  </si>
  <si>
    <t>TBDL10X4</t>
  </si>
  <si>
    <t>TUBULAR 10CM</t>
  </si>
  <si>
    <t>BBDI30X32+5X1.15</t>
  </si>
  <si>
    <t>BOLSA INDIVIDUAL LEVI´S</t>
  </si>
  <si>
    <t>DESTINO MANUALIDADES - SCREEN</t>
  </si>
  <si>
    <t>BBDI14X29X3.5</t>
  </si>
  <si>
    <t>LANCHERO HAMBURGUESA</t>
  </si>
  <si>
    <t>LANCHERO LOMITO</t>
  </si>
  <si>
    <t>CUBREVESTIDO 50X80</t>
  </si>
  <si>
    <t>GENERICA</t>
  </si>
  <si>
    <t>_x000D_
DESTINO ALMAACEN-</t>
  </si>
  <si>
    <t>BADL47X65X1</t>
  </si>
  <si>
    <t>BOLSA 18.5X25.5"</t>
  </si>
  <si>
    <t>BOLSA 10 KILOS</t>
  </si>
  <si>
    <t>BOLSA PACA TOSTADA</t>
  </si>
  <si>
    <t>BBDI18X31X3.5</t>
  </si>
  <si>
    <t>PINCHOS</t>
  </si>
  <si>
    <t>ORIGINAL REEMPAQUE PEQUEÑO</t>
  </si>
  <si>
    <t>CV HURLEY TALLA 4</t>
  </si>
  <si>
    <t>STBDL25X2</t>
  </si>
  <si>
    <t>SEMITUBULAR BD 25X2.0</t>
  </si>
  <si>
    <t>DESTINO ALMACEN_x000D_
-TUBULAR DE 50..0 CMS PARTIDO A LA 1/2_x000D_
-</t>
  </si>
  <si>
    <t>BADL100X63X0.5</t>
  </si>
  <si>
    <t>ME0022 CANASTA</t>
  </si>
  <si>
    <t>BBDL40X55X3</t>
  </si>
  <si>
    <t>30  LIBRAS</t>
  </si>
  <si>
    <t>BADIPB25+6+6X30X1</t>
  </si>
  <si>
    <t>_x000D_
DESTINO ALMACEN_x000D_
-</t>
  </si>
  <si>
    <t>BADLPG34X45X0.5</t>
  </si>
  <si>
    <t>BOLSA GRIS AD 34X45</t>
  </si>
  <si>
    <t>SOLLA PECES</t>
  </si>
  <si>
    <t>BBDL36X50X2</t>
  </si>
  <si>
    <t>25 LIBRAS</t>
  </si>
  <si>
    <t>BBDI52X40X6</t>
  </si>
  <si>
    <t>MASTER 12.5G PEQUEÑA</t>
  </si>
  <si>
    <t>EMPAQUE PEQUEÑA</t>
  </si>
  <si>
    <t>CV HURLEY TALLA M</t>
  </si>
  <si>
    <t>BBDL25X35X2</t>
  </si>
  <si>
    <t>5 LIBRAS</t>
  </si>
  <si>
    <t>BADLPB20+6+6X43X1</t>
  </si>
  <si>
    <t>PUNTO DE VENTA MEDIANA</t>
  </si>
  <si>
    <t>BBDL24X34X1.2</t>
  </si>
  <si>
    <t>BOLSA INDIVIDUAL EJERCITO URUGUAY</t>
  </si>
  <si>
    <t>GRANOS RIVER 460 GR</t>
  </si>
  <si>
    <t>BADIPB28+6+6X53X1.7</t>
  </si>
  <si>
    <t>ALMACEN MEDIANA</t>
  </si>
  <si>
    <t>TADL65X1.8</t>
  </si>
  <si>
    <t>TUBULAR AD 65X1.8</t>
  </si>
  <si>
    <t>BOLSA 1 KILO - GUANABANA</t>
  </si>
  <si>
    <t>BOLSA 1 KILO - MANGO</t>
  </si>
  <si>
    <t>DESTINO LUVIPLAS PARA PRECORTAR_x000D_
DESTINO ALMACEN</t>
  </si>
  <si>
    <t>MANGO</t>
  </si>
  <si>
    <t>FONDO DODLE</t>
  </si>
  <si>
    <t>BBDLPR70X130X4</t>
  </si>
  <si>
    <t>BOLSA BAJA DENSIDAD ROJA</t>
  </si>
  <si>
    <t>CORTE Y SELLE MANUAL DE FONDO_x000D_
DESTINO ALAMCEN</t>
  </si>
  <si>
    <t>BOLSA 1 KILO - MORA</t>
  </si>
  <si>
    <t>FRESA</t>
  </si>
  <si>
    <t>FONDO DOLBLE</t>
  </si>
  <si>
    <t>BBDLPV70X130X4</t>
  </si>
  <si>
    <t>BOLSA BAJA DENSIDAD VERDE</t>
  </si>
  <si>
    <t>CORTE Y SELLE DE FONDO_x000D_
DESTINO ALAMCEN</t>
  </si>
  <si>
    <t>BPPI17X50X1.30</t>
  </si>
  <si>
    <t>LACHIS SERVICIO DE SELLADO</t>
  </si>
  <si>
    <t>DEMMES</t>
  </si>
  <si>
    <t>71.658.938-6</t>
  </si>
  <si>
    <t>LBOPPL22X1.2</t>
  </si>
  <si>
    <t>LAMINA BOPP 22X1.2</t>
  </si>
  <si>
    <t>LBOPPL</t>
  </si>
  <si>
    <t>-REFILADO_x000D_
-</t>
  </si>
  <si>
    <t>LBOPPL32X1.2</t>
  </si>
  <si>
    <t>LAMINA BOPP 32X1.2</t>
  </si>
  <si>
    <t>LBOPPI40X1.2</t>
  </si>
  <si>
    <t>LAMINA TOSTADA SANTA GEMA 170 G</t>
  </si>
  <si>
    <t>-ROLLO BIEN EMPACADO_x000D_
-ALMACEN</t>
  </si>
  <si>
    <t>- IMPRESION DEMES_x000D_
- CONTROLAR DESCOMPENSE</t>
  </si>
  <si>
    <t>BADL66X98X0.70</t>
  </si>
  <si>
    <t>SERVICIO DE SELLADO 66X98</t>
  </si>
  <si>
    <t>BADLPG65X90X1</t>
  </si>
  <si>
    <t>GRIS 65X90</t>
  </si>
  <si>
    <t>SIGMAPLAS</t>
  </si>
  <si>
    <t>BADLPG40X60X0.5</t>
  </si>
  <si>
    <t>BOLSA AD GRIS</t>
  </si>
  <si>
    <t xml:space="preserve">- COMPRAS_x000D_
- DESTINO ALMACEN_x000D_
- </t>
  </si>
  <si>
    <t>BBDL20X10X1.2</t>
  </si>
  <si>
    <t>ZIPPER MUESTRAS</t>
  </si>
  <si>
    <t>900.330.430-4</t>
  </si>
  <si>
    <t>LBOPPI22X0.25</t>
  </si>
  <si>
    <t>IMPRESA FOTOCELDA</t>
  </si>
  <si>
    <t>BADLPBE40X60X0.5</t>
  </si>
  <si>
    <t>BOLSA AD BEIGE</t>
  </si>
  <si>
    <t xml:space="preserve">- COMPRAS_x000D_
- DESTINO ALMACEN_x000D_
-_x000D_
</t>
  </si>
  <si>
    <t>1.037.570.428-9</t>
  </si>
  <si>
    <t>TBDL5X4</t>
  </si>
  <si>
    <t>TUBULAR DE 2" TRANSPARENTE</t>
  </si>
  <si>
    <t>BBDL80X110X2</t>
  </si>
  <si>
    <t>BOLSA 80X110</t>
  </si>
  <si>
    <t>20  LIBRAS</t>
  </si>
  <si>
    <t>890.937.233-0</t>
  </si>
  <si>
    <t>GOLPEADOR</t>
  </si>
  <si>
    <t>20 LIBRAS</t>
  </si>
  <si>
    <t>BADLPB45X60X0.5</t>
  </si>
  <si>
    <t>BOLSA AD BLANCA</t>
  </si>
  <si>
    <t>- ENTRARA POR COMPRA_x000D_
- DESTINO ALMACEN</t>
  </si>
  <si>
    <t xml:space="preserve">- DESTINO ALMACEN_x000D_
</t>
  </si>
  <si>
    <t>BADLPN45X60X0.5</t>
  </si>
  <si>
    <t>BOLSA AD NEGRA</t>
  </si>
  <si>
    <t>- SE COMPRARAN_x000D_
- DESTINO ALMACEN</t>
  </si>
  <si>
    <t>PRECORTE PEQUEÑO RECUP. NEGRO</t>
  </si>
  <si>
    <t>900.239.652-4</t>
  </si>
  <si>
    <t>TBDLPN65X0.8</t>
  </si>
  <si>
    <t>SERVICIO DE SELLADO - BOLSA 65X80</t>
  </si>
  <si>
    <t>LBOPPL30X1</t>
  </si>
  <si>
    <t>LAMINA BOPP 30X1</t>
  </si>
  <si>
    <t>-ALMACEM_x000D_
-ROLLOS BIEN EMPACADOS HAY QUE PROTEJER BIEN LOS EXTREMOS</t>
  </si>
  <si>
    <t>BBDL35X50X1</t>
  </si>
  <si>
    <t>BOLSA 14X20"</t>
  </si>
  <si>
    <t>LBOPPI36X1.2</t>
  </si>
  <si>
    <t>PAN ALIÑADO 280 GR MAMA INES</t>
  </si>
  <si>
    <t>-EMPACAR EN PE GRUESO  DE A UN ROLLO-_x000D_
-COLOCAR ROTULO</t>
  </si>
  <si>
    <t>BPPL15.5X23X1.3</t>
  </si>
  <si>
    <t>BOLSA POLIPROPILENO SIN IMPRESION</t>
  </si>
  <si>
    <t xml:space="preserve">- COMPRAS_x000D_
- </t>
  </si>
  <si>
    <t>LPPL47X1</t>
  </si>
  <si>
    <t>LAMINA BIO PP SIN IMPRESION</t>
  </si>
  <si>
    <t>LPPI21X1</t>
  </si>
  <si>
    <t>PANZUTO MAMA INES</t>
  </si>
  <si>
    <t>-IMPRESION CORREA_x000D_
-</t>
  </si>
  <si>
    <t>LBOPPI26X1</t>
  </si>
  <si>
    <t>LAMINA BOPP CHIQUILLAS</t>
  </si>
  <si>
    <t>BADLPR40X60X0.5</t>
  </si>
  <si>
    <t>BOLSA AD ROJA</t>
  </si>
  <si>
    <t>98.384.927-8</t>
  </si>
  <si>
    <t>BADIPB26+7+4X34X2</t>
  </si>
  <si>
    <t>BOLSA PEQUEÑA COTTON &amp; EFFECTS</t>
  </si>
  <si>
    <t>BBDLPN17X23+2.5X1.5</t>
  </si>
  <si>
    <t>ALMACIGO 17X23X1.5</t>
  </si>
  <si>
    <t>-DESTINO SELLADO_x000D_
CONTROLAR QUE LOS FUELLES NO QUEDEN FLOJOS_x000D_
ROLLOS DE 900 MTS.</t>
  </si>
  <si>
    <t>EMPACAR EN LA MISMA BOLSA_x000D_
DESTINO ALMACEN-</t>
  </si>
  <si>
    <t>BBDL10X14X2</t>
  </si>
  <si>
    <t>BOLSA 10X14 CON CIERRE HERMETICO</t>
  </si>
  <si>
    <t>BBDLPB12X55X2.8</t>
  </si>
  <si>
    <t>GOLPEADOR BLANCO SIN IMPRESION</t>
  </si>
  <si>
    <t>LBOPPI30.5X1.2</t>
  </si>
  <si>
    <t>LAMINA BOPP VIENESA CONTINUA GENERICA</t>
  </si>
  <si>
    <t>CENTRADA-</t>
  </si>
  <si>
    <t>BBDL84X82X2</t>
  </si>
  <si>
    <t>ASERRIN NUEVA MEDIDA</t>
  </si>
  <si>
    <t>1/2 RDO OPÀCO</t>
  </si>
  <si>
    <t>TADL30X46X1</t>
  </si>
  <si>
    <t>PRECORTE 12X18" RECUPERADO</t>
  </si>
  <si>
    <t>LUVIPLAST</t>
  </si>
  <si>
    <t>TADL25X36X1</t>
  </si>
  <si>
    <t>PRECORTE 10X14" RECUPERADO</t>
  </si>
  <si>
    <t>TBDL50X3</t>
  </si>
  <si>
    <t>TUBULAR RECUPERADO GRANDE</t>
  </si>
  <si>
    <t>BPPI25X35X1.5</t>
  </si>
  <si>
    <t>PAN MESA</t>
  </si>
  <si>
    <t>OMEGA</t>
  </si>
  <si>
    <t>BPPI23X30+2.5X1.5</t>
  </si>
  <si>
    <t>SALCHIPAN</t>
  </si>
  <si>
    <t>BPPI17.5X30.5X1.5</t>
  </si>
  <si>
    <t>BOLSA TROCILLOS</t>
  </si>
  <si>
    <t>BPPI19.5X30.5X1.5</t>
  </si>
  <si>
    <t>PASABOQUITAS</t>
  </si>
  <si>
    <t>IMPRESIN DARMA</t>
  </si>
  <si>
    <t>BPPI32X35+3X1.5</t>
  </si>
  <si>
    <t>GENERICO 2 PANZOTE-BIZCOCHO NUEVO</t>
  </si>
  <si>
    <t>BPPI25X36+4X1.5</t>
  </si>
  <si>
    <t>TOSTADA X 15 RAKAMANDAKA</t>
  </si>
  <si>
    <t>PASABOQUITAS PEQUEÑO</t>
  </si>
  <si>
    <t>PANCITOS ALIÑADOS</t>
  </si>
  <si>
    <t>DESTINO IMPRESION  DARMA</t>
  </si>
  <si>
    <t>DEJAR MUESTRAS _x000D_
DESTINO ALMCEN-</t>
  </si>
  <si>
    <t>BOLSA POLVO DE BIZCOCHO</t>
  </si>
  <si>
    <t>BPPI20X37+3X1.5</t>
  </si>
  <si>
    <t>TOSTADITOS</t>
  </si>
  <si>
    <t>TROCILLOS</t>
  </si>
  <si>
    <t>19.5-</t>
  </si>
  <si>
    <t>MUESTRAS-</t>
  </si>
  <si>
    <t>-DEJAR MUESTRAS PARA ARCHIVO_x000D_
-DESTINO ALMACEN</t>
  </si>
  <si>
    <t>CVPPL40X60X1.3</t>
  </si>
  <si>
    <t>CUBREHOMBROS 40X60</t>
  </si>
  <si>
    <t>CVPPL</t>
  </si>
  <si>
    <t>RAKAMANDAKA PAN REDONDO</t>
  </si>
  <si>
    <t>BPPI18X32+3X1.5</t>
  </si>
  <si>
    <t>TOSTADA CROSTY</t>
  </si>
  <si>
    <t>PANCITOS TIERNITOS</t>
  </si>
  <si>
    <t>_x000D_
DESTINO ALMACEN</t>
  </si>
  <si>
    <t>BPPI18X33X1.5</t>
  </si>
  <si>
    <t>GENERICA RAKAMANDAKA</t>
  </si>
  <si>
    <t>BPPI22.5X36+4X1.5</t>
  </si>
  <si>
    <t>TOSTADA X 30 RAKAMANDAKA</t>
  </si>
  <si>
    <t>BPPI22X31+4X1.5</t>
  </si>
  <si>
    <t>MINIPAN EL JARDIN</t>
  </si>
  <si>
    <t>-DESTINO ALMACEN_x000D_
-PAQUETES SIN DOBLAR</t>
  </si>
  <si>
    <t>LPPL75X1.5</t>
  </si>
  <si>
    <t>LAMINA PP 75X1.5</t>
  </si>
  <si>
    <t>-NO DOLBLAR EMPACAR EN ROLLITO_x000D_
DESTNO ALMACEN</t>
  </si>
  <si>
    <t>LPPI43.5X1</t>
  </si>
  <si>
    <t>PAN QUESO</t>
  </si>
  <si>
    <t>PACKFILM</t>
  </si>
  <si>
    <t>LPPI42.5X1</t>
  </si>
  <si>
    <t>PAN LECHE - NM</t>
  </si>
  <si>
    <t>900.225.463-8</t>
  </si>
  <si>
    <t>LPPL40X1.1</t>
  </si>
  <si>
    <t>LAMINA TRANSPARENTE PULLPAN</t>
  </si>
  <si>
    <t>LPPL16X25</t>
  </si>
  <si>
    <t>LAMINA BIOPP USA</t>
  </si>
  <si>
    <t>LPPI37X1</t>
  </si>
  <si>
    <t>TOSTADA TULIPAN</t>
  </si>
  <si>
    <t>LBOPPL25X1.2</t>
  </si>
  <si>
    <t>LAMINA BOPP 25X1.2</t>
  </si>
  <si>
    <t xml:space="preserve">GOLOSIA MAMA INES AREQUIPE X 6 </t>
  </si>
  <si>
    <t>LBOPPI23.5X1</t>
  </si>
  <si>
    <t>CHUSQUITAS MAMA INES</t>
  </si>
  <si>
    <t>A RAZ DE GUIA</t>
  </si>
  <si>
    <t xml:space="preserve">-EMPACAR DE A 2 ROLOS EN PE GRUESO _x000D_
-COLOCAR ROTULO- MTS X ROLLO 820_x000D_
-MTS. X  ROLLO  820_x000D_
-1440  MTROS X ROLLO_x000D_
</t>
  </si>
  <si>
    <t>CHUSQUITAS MAMA INES X 5 SIN PRECIO</t>
  </si>
  <si>
    <t>-EMPACAR DE A 2 ROLLOS EN EMPAQUE GRUESO_x000D_
-COLOCAR ROTULO</t>
  </si>
  <si>
    <t>PAN LECHE</t>
  </si>
  <si>
    <t>BBDL5X25X0.8</t>
  </si>
  <si>
    <t>BOLSA 2"X10" REEMPAQUE SEMILLAS</t>
  </si>
  <si>
    <t>PLA MEDELLIN</t>
  </si>
  <si>
    <t>PLAS MEDELLIN</t>
  </si>
  <si>
    <t>BBDL14X22.9+2.5X1</t>
  </si>
  <si>
    <t>ALMACIGO - SAN FRANCISCO</t>
  </si>
  <si>
    <t>PLASTISER</t>
  </si>
  <si>
    <t>PERFORACIONES SEGUN PLANO_x000D_
DESTINO ALMACEN</t>
  </si>
  <si>
    <t>ALMACIGO - SONSON</t>
  </si>
  <si>
    <t>ALMACIGO - SAN RAFAEL</t>
  </si>
  <si>
    <t>ALMACIGO - SAN LUIS</t>
  </si>
  <si>
    <t>ALMACIGO - CARAMANTA</t>
  </si>
  <si>
    <t>ALMACIGO - SAN JERÓNIMO</t>
  </si>
  <si>
    <t>ALMACIGO - SABANETA</t>
  </si>
  <si>
    <t>ALMACIGO - MONTEBELLO</t>
  </si>
  <si>
    <t>TUBULAR AD 60X4.0</t>
  </si>
  <si>
    <t>ALMACIGO - CARMEN DE VIBORAL</t>
  </si>
  <si>
    <t>ALMACIGO - VEGACHÍ</t>
  </si>
  <si>
    <t>BBDLPN15X23+2.5X1.5</t>
  </si>
  <si>
    <t>ALMACIGO 15X23+2.5</t>
  </si>
  <si>
    <t>ALMACIGO</t>
  </si>
  <si>
    <t xml:space="preserve">SERVO </t>
  </si>
  <si>
    <t>ALMACIGO - SAN CARLOS</t>
  </si>
  <si>
    <t>ALMACIGO - YOLOMBÓ</t>
  </si>
  <si>
    <t>ALMACIGO - SAN ROQUE</t>
  </si>
  <si>
    <t>ALMACIGO - SANTA ROSA</t>
  </si>
  <si>
    <t>ALMACIGO - YALÍ</t>
  </si>
  <si>
    <t>ALMACIGO - VENECIA</t>
  </si>
  <si>
    <t>ALMACIGO - TITIRIBI</t>
  </si>
  <si>
    <t>ALMACIGO - VALPARAÍSO</t>
  </si>
  <si>
    <t>ALMACIGO - GUATAPÉ</t>
  </si>
  <si>
    <t>ALMACIGO - ABEJORRAL</t>
  </si>
  <si>
    <t>CVADL50X60X0.5</t>
  </si>
  <si>
    <t>CUBREVESTIDO 50X60</t>
  </si>
  <si>
    <t>ALMACIGO - LIBORINA</t>
  </si>
  <si>
    <t>ALMACIGO - LA CEJA</t>
  </si>
  <si>
    <t>PERFORACIONES SEGUN PLANO_x000D_
DESTINO ALMACEN_x000D_
-</t>
  </si>
  <si>
    <t>CVADL50X55X0.5</t>
  </si>
  <si>
    <t>CUBREVESTIDO 50X55</t>
  </si>
  <si>
    <t>SELLE DE FONDO CUBREVESTIDO_x000D_
DESTINO ALMACEN</t>
  </si>
  <si>
    <t>ALMACIGO - AMAGA</t>
  </si>
  <si>
    <t>ALMACIGO - ANDES</t>
  </si>
  <si>
    <t>BOLSA IMPRESA TALLA 9-11</t>
  </si>
  <si>
    <t>ALMACIGO - ANGOSTURA</t>
  </si>
  <si>
    <t>ALMACIGO - ANORÍ</t>
  </si>
  <si>
    <t>ALMACIGO - ANZA</t>
  </si>
  <si>
    <t>ALMACIGO - ARMENIA</t>
  </si>
  <si>
    <t>ALMACIGO - BARBOSA</t>
  </si>
  <si>
    <t>BBDL90X100X4</t>
  </si>
  <si>
    <t>EMPAQUE CABLES</t>
  </si>
  <si>
    <t>ALMACIGO - BRICEÑO</t>
  </si>
  <si>
    <t>ALMACIGO - BURITICÁ</t>
  </si>
  <si>
    <t>ALMACIGO - BETANIA</t>
  </si>
  <si>
    <t>ALMACIGO - CONCORDIA</t>
  </si>
  <si>
    <t>ALMACIGO - COCORNÁ</t>
  </si>
  <si>
    <t>ALMACIGO - FREDONIA</t>
  </si>
  <si>
    <t>ALMACIGO - CARACOLÍ</t>
  </si>
  <si>
    <t>900.068.733-8</t>
  </si>
  <si>
    <t>LPPL45X1.4</t>
  </si>
  <si>
    <t>LAMINA PP 45X1.4</t>
  </si>
  <si>
    <t>TENER CUIDADO CON MEDIDA Y CALIBRE_x000D_
DESTINO ALMACEN</t>
  </si>
  <si>
    <t>BPPI20X32+3X1.5</t>
  </si>
  <si>
    <t>TOSTADA INTEGRAL</t>
  </si>
  <si>
    <t>800.176.428-6</t>
  </si>
  <si>
    <t>LPPI8X20X2</t>
  </si>
  <si>
    <t>LAMINA TUCAN</t>
  </si>
  <si>
    <t>BPPL28X37+5X1.1</t>
  </si>
  <si>
    <t xml:space="preserve">ARTURO CALLE </t>
  </si>
  <si>
    <t>900.168.182-9</t>
  </si>
  <si>
    <t>BPPI15X26X1.5</t>
  </si>
  <si>
    <t>GEMELOS</t>
  </si>
  <si>
    <t>BPPI20X32X1.5</t>
  </si>
  <si>
    <t>TOSTADAS X12 UND</t>
  </si>
  <si>
    <t>LPPL50X1.25</t>
  </si>
  <si>
    <t>LAMINA DOBLE 50X1.25</t>
  </si>
  <si>
    <t>LAMINA DOBLE ABIERTA A LOS DOS LADOS_x000D_
TENER CUIDAD</t>
  </si>
  <si>
    <t>BPPI25X30X1.5</t>
  </si>
  <si>
    <t>FANTASY KIDS GRANDE</t>
  </si>
  <si>
    <t>BPPI26X35X1.2</t>
  </si>
  <si>
    <t>PLUK NUEVA IMAGEN</t>
  </si>
  <si>
    <t>TENER CUIDADO CON LAS CANTIDADES_x000D_
DESTINO ALMACEN</t>
  </si>
  <si>
    <t>93.392.172-8</t>
  </si>
  <si>
    <t>TPPL25X1.3</t>
  </si>
  <si>
    <t>TUBULAR PP 25X1.3</t>
  </si>
  <si>
    <t>BPPI32X47+4X1.5</t>
  </si>
  <si>
    <t>SUPER OFERTA</t>
  </si>
  <si>
    <t>TPPL40X1.3</t>
  </si>
  <si>
    <t>TUBULAR PP 40X1.3</t>
  </si>
  <si>
    <t>TULIPAN</t>
  </si>
  <si>
    <t>71.684.902-1</t>
  </si>
  <si>
    <t>BPPI32X38+4X3</t>
  </si>
  <si>
    <t>SOHO</t>
  </si>
  <si>
    <t>TPPL35X1.6</t>
  </si>
  <si>
    <t>TUBULAR PP 35X1.6</t>
  </si>
  <si>
    <t>BPPI30X32+3X1.5</t>
  </si>
  <si>
    <t>PAN SUIZO JARDIN</t>
  </si>
  <si>
    <t>DESTINO IMPRESION DARMA_x000D_
-EMBOBINADO DODLE CARA_x000D_
-</t>
  </si>
  <si>
    <t>DESTINO ALMACEN_x000D_
PAQUETES SIN DOBLAR</t>
  </si>
  <si>
    <t>BPPI24X28.5+2.5+4X1.5</t>
  </si>
  <si>
    <t>BUSO Y CAMISA ROOTT KIDS</t>
  </si>
  <si>
    <t>DEJAR MUESTRAS PARA ARCHIVO_x000D_
DESTINO ALMACEN</t>
  </si>
  <si>
    <t>BPPL27X30+5X1.1</t>
  </si>
  <si>
    <t>FYFFES SMALL BAG</t>
  </si>
  <si>
    <t>PRODUCIR 800 KILOS EN SEPTIEMBRE Y 800 KILOS EN OCTUBRE_x000D_
DESTINO SELLADO</t>
  </si>
  <si>
    <t>TENER MUCHO CUIDADO CON LAS CANTIDADES_x000D_
DESTINO ALMACEN - APARTADO</t>
  </si>
  <si>
    <t>TPPL45X1.2</t>
  </si>
  <si>
    <t>TUBULAR PP 45X1.2</t>
  </si>
  <si>
    <t>TENER CUIDADO CON MEDIDA Y CALIBRE_x000D_
DESTINO ALMACE</t>
  </si>
  <si>
    <t>BPPI32X38+3X1.5</t>
  </si>
  <si>
    <t>PANZOTE</t>
  </si>
  <si>
    <t>TPPL20X1.3</t>
  </si>
  <si>
    <t>TUBULAR PP 20X1.3</t>
  </si>
  <si>
    <t>TPPL38X1.8</t>
  </si>
  <si>
    <t>TUBULAR PP 38X1.8</t>
  </si>
  <si>
    <t>PLUK</t>
  </si>
  <si>
    <t>-USAR EMBOBINADO DOBLE CARA_x000D_
-TRATAR CON PLATINA DE 34.0 CMS_x000D_
--DESTINO CORREA_x000D_
-</t>
  </si>
  <si>
    <t>S.ARTE</t>
  </si>
  <si>
    <t>:</t>
  </si>
  <si>
    <t>DESTINO STA MARTA_x000D_
-ORDEN DE COMPRA 7047_x000D_
-EMPACAR EN BULTOS_x000D_
_x000D_
- MUCHO CONTROL A LA CANTIDAD POR CAJA Y POR PAQUETE</t>
  </si>
  <si>
    <t>PAN TAJADO ESPECIAL 430GR</t>
  </si>
  <si>
    <t>TRATADO A 39 DINAS SIN BLOQUEO_x000D_
DESTINO IMPRESION CORREA</t>
  </si>
  <si>
    <t>900.173.298-4</t>
  </si>
  <si>
    <t>LPPI21X1.6</t>
  </si>
  <si>
    <t>CODISUPER - CANELA MOLIDA</t>
  </si>
  <si>
    <t>13.5</t>
  </si>
  <si>
    <t>CODISUPER - COMINO PEPA</t>
  </si>
  <si>
    <t>LPPL55X1.2</t>
  </si>
  <si>
    <t>LAMINA PP 55X1.2</t>
  </si>
  <si>
    <t>CODISUPER - GENERICO</t>
  </si>
  <si>
    <t>BPPI23X41X1.2</t>
  </si>
  <si>
    <t>BANANA ROYAL 5 DEDOS</t>
  </si>
  <si>
    <t xml:space="preserve">OJO CON EL TRATDO_x000D_
ROLLOS DE 40 KILOS POCA PRESION_x000D_
DESTINO CORREA_x000D_
_x000D_
</t>
  </si>
  <si>
    <t xml:space="preserve">BLACO </t>
  </si>
  <si>
    <t>AMARILL</t>
  </si>
  <si>
    <t xml:space="preserve">-DESTINO : STA. MARTHA - O.DE OCMPRA 5741_x000D_
-OJO CONTROLAR CANTIDAD DE PÀQUETES POR CAJA  Y  BOLSAS POR PAQUETE_x000D_
_x000D_
_x000D_
_x000D_
</t>
  </si>
  <si>
    <t>900.129.935-4</t>
  </si>
  <si>
    <t>BPPI13.5X25.5X1.2</t>
  </si>
  <si>
    <t>VELA 10X19</t>
  </si>
  <si>
    <t>CODISUPER - PIMIENTA MOLIDA</t>
  </si>
  <si>
    <t>BPPI15X24X2</t>
  </si>
  <si>
    <t>BOCADILLO TUMES</t>
  </si>
  <si>
    <t>DESTINO IMPRESION DARMA_x000D_
ROLLOS BIEN CONTROLADOS SIN OREJA</t>
  </si>
  <si>
    <t>BPPI13X20X1.2</t>
  </si>
  <si>
    <t>VELA 10X13</t>
  </si>
  <si>
    <t>-TUBULAR DE 40.0CMS PARTIDO ALA 1/2 TRATAR 1 CARA POR DENTRO Y OTRA POR FURA _x000D_
-DARMA_x000D_
-</t>
  </si>
  <si>
    <t>BPPI32X42+3X1.5</t>
  </si>
  <si>
    <t>BIZCOCHO</t>
  </si>
  <si>
    <t>TPPL45X1.7</t>
  </si>
  <si>
    <t>TUBULAR PP 45X1.7</t>
  </si>
  <si>
    <t>pp</t>
  </si>
  <si>
    <t>TPPL35X1.7</t>
  </si>
  <si>
    <t>TUBULAR PP 35X1.7</t>
  </si>
  <si>
    <t>BPPI32X42+6X2.5</t>
  </si>
  <si>
    <t>DRIL DROCKERS NAGA</t>
  </si>
  <si>
    <t>DESTINO IMPRESION LUVIPLAS</t>
  </si>
  <si>
    <t>TPPL40X0.8</t>
  </si>
  <si>
    <t>TUBULAR PP 40X0.8</t>
  </si>
  <si>
    <t>BPPI28X30+2.5+5X1.5</t>
  </si>
  <si>
    <t>PANTALON ROOTT KIDS</t>
  </si>
  <si>
    <t>CUCAS</t>
  </si>
  <si>
    <t>BPPI16X20+2.5X1.5</t>
  </si>
  <si>
    <t>CUCAS PEQUEÑAS</t>
  </si>
  <si>
    <t>TPPL35X1.3</t>
  </si>
  <si>
    <t>TUBULAR PP 35X1.3</t>
  </si>
  <si>
    <t>BPPL37X50+5X1.7</t>
  </si>
  <si>
    <t>ANCHETA</t>
  </si>
  <si>
    <t>BPPI31X42+4X1.2</t>
  </si>
  <si>
    <t>MECCA</t>
  </si>
  <si>
    <t>TUBULAR 40X0.8</t>
  </si>
  <si>
    <t>BPPI34.5X40+5X1.5</t>
  </si>
  <si>
    <t>JEAN HOMBRE</t>
  </si>
  <si>
    <t>34.5</t>
  </si>
  <si>
    <t>BPPL40X50+5X1.3</t>
  </si>
  <si>
    <t>OFERTA PP ROMANITO</t>
  </si>
  <si>
    <t>BPPL24X16+4X1.5</t>
  </si>
  <si>
    <t>BOLSA SOBRE HACEB</t>
  </si>
  <si>
    <t>CON CINTA ADHESIVA EN LA SOLAPA_x000D_
DESTINO MANUALIDADES</t>
  </si>
  <si>
    <t>PEGAR CINTA ADHESIVA 1"_x000D_
DESTINO ALMACEN</t>
  </si>
  <si>
    <t>BPPL30X50X1</t>
  </si>
  <si>
    <t>BOLSA PP 12X20"</t>
  </si>
  <si>
    <t>CONTROLAR OREJA DE PERRO EN ESTA VIROLA_x000D_
DESTINO SELLADO</t>
  </si>
  <si>
    <t>DESTINO ALMACEN_x000D_
COLOCAR BOLSA LAINER AL EMPAQUE</t>
  </si>
  <si>
    <t>BPPL30X38+5X1.2</t>
  </si>
  <si>
    <t>JEAN</t>
  </si>
  <si>
    <t>70.750.871-0</t>
  </si>
  <si>
    <t>LPPL45X2</t>
  </si>
  <si>
    <t>LAMINA PP 45X2.0</t>
  </si>
  <si>
    <t>TENER CUIDADO CON TRATADO Y CALIBRE_x000D_
DESTINO ALMAC</t>
  </si>
  <si>
    <t>LPPL25X1.2</t>
  </si>
  <si>
    <t>LAMINA PP 25X1.2</t>
  </si>
  <si>
    <t>VIROLA 50 PARTIDA LA 1/2_x000D_
CONTROLAR QUE NO FORME MORRO EN LOS EXTREMOS_x000D_
-RETAL MAXIMO 6.0 KLS + 294 =300 KLS_x000D_
-</t>
  </si>
  <si>
    <t>300 GR ADHITIVO</t>
  </si>
  <si>
    <t>LPPL28X1.15</t>
  </si>
  <si>
    <t>LAMINA PP 28X1.15</t>
  </si>
  <si>
    <t xml:space="preserve">-RETAL MAXIMO 20 KLS- + 980 KLS. = 100 KLS_x000D_
-CON MATERIAL DEL CLIENTE_x000D_
-CONTROLAR QUE LA CUCHILLA NO FORME MORRO EN LOS EXTREMOS_x000D_
-_x000D_
-ALMACEN_x000D_
</t>
  </si>
  <si>
    <t>300 GS. ADHITVO</t>
  </si>
  <si>
    <t>70.512.881-4</t>
  </si>
  <si>
    <t>TPPL50X1</t>
  </si>
  <si>
    <t>TUBULAR PP 50X1.0</t>
  </si>
  <si>
    <t>15.252.227-0</t>
  </si>
  <si>
    <t>BPPL20.5X40X1</t>
  </si>
  <si>
    <t>BOLSA 8X16"</t>
  </si>
  <si>
    <t>MARCAR MUY BIEN - NO EXCEDER LA CANTIDAD_x000D_
DESTINO ALMACEN</t>
  </si>
  <si>
    <t>BPPL25.5X40X1</t>
  </si>
  <si>
    <t>BOLSA 10X16"</t>
  </si>
  <si>
    <t>10.063.526-9</t>
  </si>
  <si>
    <t>TPPL30X0.85</t>
  </si>
  <si>
    <t>TUBULAR PP 30X0.85</t>
  </si>
  <si>
    <t>BPPL19X45.5X1.5</t>
  </si>
  <si>
    <t>PALITROQUES X3</t>
  </si>
  <si>
    <t>TPPL45X1</t>
  </si>
  <si>
    <t>TUBULAR PP 45X1.0</t>
  </si>
  <si>
    <t>TENER CUIDADO CON EL BLOQUEO_x000D_
DESTINO ALMACEN - EMPACAR</t>
  </si>
  <si>
    <t>811.038.994-2</t>
  </si>
  <si>
    <t>BPPL19X25+5X2.5</t>
  </si>
  <si>
    <t>BOLSA PP LISA</t>
  </si>
  <si>
    <t>BPPI20X30X1.5</t>
  </si>
  <si>
    <t>FANTASY FASHION PEQUEÑA</t>
  </si>
  <si>
    <t>TPPL40X2</t>
  </si>
  <si>
    <t>TUBULAR PP 40X2.0</t>
  </si>
  <si>
    <t>BPPL26.5X30+5X1</t>
  </si>
  <si>
    <t>CLUSTER SMALL BAG GENERICA</t>
  </si>
  <si>
    <t>PERFORACION IGUAL A FREDY FFYFES_x000D_
DESTINO ALMACEN</t>
  </si>
  <si>
    <t>BPPL15X17.5X1.5</t>
  </si>
  <si>
    <t>ME0020 BOLSA PAQUETE DON JULIO</t>
  </si>
  <si>
    <t>BPPI18X30X1.5</t>
  </si>
  <si>
    <t>TOSTADA</t>
  </si>
  <si>
    <t>BPPL23X56X1</t>
  </si>
  <si>
    <t>BOLSA PP 9X22"</t>
  </si>
  <si>
    <t>TPPL50X0.85</t>
  </si>
  <si>
    <t>TUBULAR PP 50X0.85</t>
  </si>
  <si>
    <t>BPPI18X35X1.5</t>
  </si>
  <si>
    <t>PRODUCTOS EXQUISITOS PANDEQUESO</t>
  </si>
  <si>
    <t>DESTINO IMPRESION DARMA_x000D_
BUEN CALIBRE</t>
  </si>
  <si>
    <t>RANDON</t>
  </si>
  <si>
    <t xml:space="preserve"> DESTINO ALMACEN_x000D_
OJO CON EL SELLE</t>
  </si>
  <si>
    <t>TPPL45X0.85</t>
  </si>
  <si>
    <t>TUBULAR PP 45X0.85</t>
  </si>
  <si>
    <t>BPPI26X35+6X2.5</t>
  </si>
  <si>
    <t>CAMISETA NAGA</t>
  </si>
  <si>
    <t>LPPI9.5X20X2</t>
  </si>
  <si>
    <t>LAMINA 9.5X20 CM</t>
  </si>
  <si>
    <t>BPPL30X30X1.3</t>
  </si>
  <si>
    <t>BOLSA PP 30X30 CM</t>
  </si>
  <si>
    <t>TPPL20X1</t>
  </si>
  <si>
    <t>TUBULAR PP 20X1.0</t>
  </si>
  <si>
    <t>TPPL30X1</t>
  </si>
  <si>
    <t>TUBULAR PP 30X1.0</t>
  </si>
  <si>
    <t>TPPL25X2.5</t>
  </si>
  <si>
    <t>TUBULAR PP 25X2.5</t>
  </si>
  <si>
    <t>TPPL40X1</t>
  </si>
  <si>
    <t>TUBULAR PP 40X1.0</t>
  </si>
  <si>
    <t>BPPL23X30X1.2</t>
  </si>
  <si>
    <t>BOLSA CAMISETA</t>
  </si>
  <si>
    <t>BPPI16X28+3X1.5</t>
  </si>
  <si>
    <t>CUCAS GRANDES</t>
  </si>
  <si>
    <t>42.978.575-3</t>
  </si>
  <si>
    <t>LPPL50X1.2</t>
  </si>
  <si>
    <t>LAMINA PP 50X1.2</t>
  </si>
  <si>
    <t>BPPL19.5X40+4X1.5</t>
  </si>
  <si>
    <t>TAJADO SIN IMPRESION</t>
  </si>
  <si>
    <t>800.130.108-6</t>
  </si>
  <si>
    <t>BPPL24X42X1.8</t>
  </si>
  <si>
    <t>PAÑO PARA MESA</t>
  </si>
  <si>
    <t xml:space="preserve">DESTINO MANUALIDADES_x000D_
</t>
  </si>
  <si>
    <t>CON GANCHO DE PP (MANIJA)_x000D_
DESTINO ALMACEN</t>
  </si>
  <si>
    <t>BPPI27X30+5X1</t>
  </si>
  <si>
    <t>FREDY FYFFES</t>
  </si>
  <si>
    <t>BPPL17X30X2.5</t>
  </si>
  <si>
    <t>BOLSA CEREAL 17X30</t>
  </si>
  <si>
    <t>REVIZAR INVENTARIO_x000D_
DESTINO SELLADO</t>
  </si>
  <si>
    <t>BPPI30X36+5X1.5</t>
  </si>
  <si>
    <t>BUSO Y CAMISA</t>
  </si>
  <si>
    <t>CODIGO CLUSTER 23X41</t>
  </si>
  <si>
    <t>VERIFICAR NUEVO PLANO CON LAS PERFORACIONES_x000D_
TENER CUIDADO CON EL NUMERO DE UNIDADES_x000D_
DESTINO ALMACEN</t>
  </si>
  <si>
    <t>TAJADO IMPRESO</t>
  </si>
  <si>
    <t>FANTASY KIDS PEQUEÑA</t>
  </si>
  <si>
    <t>BPPL26X35X1.5</t>
  </si>
  <si>
    <t>REEMPAQUE CHUSQUITA</t>
  </si>
  <si>
    <t>BPPL25X45.5X1.5</t>
  </si>
  <si>
    <t>MINICALADITOS X3</t>
  </si>
  <si>
    <t>TPPL40X1.2</t>
  </si>
  <si>
    <t>TUBULAR PP 40X1.2</t>
  </si>
  <si>
    <t>TUBULAR PP 30X1.4</t>
  </si>
  <si>
    <t>TPPL38X1.4</t>
  </si>
  <si>
    <t>TUBULAR PP 38X1.4</t>
  </si>
  <si>
    <t>BPPL27X29.5+7X3</t>
  </si>
  <si>
    <t>TROQUEL TIPO SOBRE_x000D_
DESTINO ALMACEN</t>
  </si>
  <si>
    <t>TENER CUIDADO CON BLOQUEO_x000D_
DESTINO ALMACEN - EMPACAR</t>
  </si>
  <si>
    <t>BPPL30X33X1.3</t>
  </si>
  <si>
    <t>BOLSA PP 30X33 CM</t>
  </si>
  <si>
    <t>BPPI13X25X1.5</t>
  </si>
  <si>
    <t>ROSQUILLA</t>
  </si>
  <si>
    <t>PANTONE</t>
  </si>
  <si>
    <t>BPPL34X50X1.4</t>
  </si>
  <si>
    <t>OFERTA GRANDE</t>
  </si>
  <si>
    <t>811.003.724-1</t>
  </si>
  <si>
    <t>LPPL15X1</t>
  </si>
  <si>
    <t>BPPL28X29+7X1.3</t>
  </si>
  <si>
    <t xml:space="preserve">BOLSA PP SIN IMPRESION </t>
  </si>
  <si>
    <t>BPPI32X42+10X2.5</t>
  </si>
  <si>
    <t>JEAN NAGA</t>
  </si>
  <si>
    <t>BPPI24X29+6X1.5</t>
  </si>
  <si>
    <t>PRENDA PEQUEÑA PIGMENTO</t>
  </si>
  <si>
    <t>PERRO</t>
  </si>
  <si>
    <t>TPPL30X1.3</t>
  </si>
  <si>
    <t>TUBULAR PP 30X1.3</t>
  </si>
  <si>
    <t>TPPL15X1</t>
  </si>
  <si>
    <t>SEMITUBULAR 6"</t>
  </si>
  <si>
    <t>EMPACAR DOBLE EN CADA EMPAQUE (2 ROLLOS DE 6")_x000D_
DESTINO ALMACEN</t>
  </si>
  <si>
    <t>INTEGRAL</t>
  </si>
  <si>
    <t>TPPL25X1</t>
  </si>
  <si>
    <t>TUBULAR PP 25X1.0</t>
  </si>
  <si>
    <t>FANTASY FASHION</t>
  </si>
  <si>
    <t>SIN OREJA DE PERRO_x000D_
CALIBRE BIEN CONTROLADO X PESO_x000D_
DESTINO ALMACEN</t>
  </si>
  <si>
    <t>CAMBIA LA UBICACION DEL CYREL_x000D_
DESTIN SELLADO</t>
  </si>
  <si>
    <t>DESTINO ALMACEN_x000D_
DEJAR MUESTRAS PARA  ARCHIVO</t>
  </si>
  <si>
    <t>TPPL35X0.85</t>
  </si>
  <si>
    <t>TUBULAR PP 35X0.85</t>
  </si>
  <si>
    <t>TPPL30X1.5</t>
  </si>
  <si>
    <t>TUBULAR PP 30X1.5</t>
  </si>
  <si>
    <t>49.733.738-0</t>
  </si>
  <si>
    <t>BPPI17.5X25X1.5</t>
  </si>
  <si>
    <t>AREPAS PUES</t>
  </si>
  <si>
    <t>DESTINO IMPRESION DARMA_x000D_
VIROLA 50 PARTIDA A LA 1/2</t>
  </si>
  <si>
    <t>BPPI22.5X27.5+4.5X2.2</t>
  </si>
  <si>
    <t>EMPORIO</t>
  </si>
  <si>
    <t>PEGAR GANCHO_x000D_
DESTINO ALMACEN</t>
  </si>
  <si>
    <t>CAMISA NAGA</t>
  </si>
  <si>
    <t>BPPI15X23X1.5</t>
  </si>
  <si>
    <t>AREPAS PARA RELLENAR</t>
  </si>
  <si>
    <t>AREPAS DE QUESO</t>
  </si>
  <si>
    <t>LPPL28X1</t>
  </si>
  <si>
    <t>SERVICIO DE EXTRUSION LAMINA PP 28X1.0</t>
  </si>
  <si>
    <t>-RETAL MAXIMO 6.0 KLS. + 294.0KLS =300 KLS_x000D_
-CON MATERIAL DEL CLIENTE_x000D_
-ALMACEN</t>
  </si>
  <si>
    <t>ADHITIVO</t>
  </si>
  <si>
    <t>LPPL28X1.2</t>
  </si>
  <si>
    <t>LAMINA DOBLE 28X1.2</t>
  </si>
  <si>
    <t>LPPL30X1.3</t>
  </si>
  <si>
    <t>LAMINA DOBLE 30X1.3</t>
  </si>
  <si>
    <t>LAMINA DOBLE ABIERTA A LOS DOS LADOS_x000D_
TENER CUIDADO CON MEDIDA Y CALIBRE_x000D_
DESTINO ALMACEN</t>
  </si>
  <si>
    <t>LAMINA DOBLE 28X1.15</t>
  </si>
  <si>
    <t>SIN OREJA DE PERRO - BUEN CONTROL EN EL CORTE DE LA CUCHILLA  EVITANDO MORRO EN LOS EXTREMOS_x000D_
DESTINO ALMACEN</t>
  </si>
  <si>
    <t>300 GM ADHITIVO</t>
  </si>
  <si>
    <t>890.935.900-6</t>
  </si>
  <si>
    <t>BPPL35X42+4X1.5</t>
  </si>
  <si>
    <t>OFERTA PEQUEÑA</t>
  </si>
  <si>
    <t>BPPI21X46+4X1.5</t>
  </si>
  <si>
    <t>TAJADO FAMILIAR</t>
  </si>
  <si>
    <t>BPPL20.5X27.5+5X3</t>
  </si>
  <si>
    <t>_x000D_
TROQUELAR_x000D_
DESTINO ALMACEN</t>
  </si>
  <si>
    <t>BPPI32X37+6X1.5</t>
  </si>
  <si>
    <t>PANTALON BLUE INC</t>
  </si>
  <si>
    <t>DESTINO IMPRESION DARMA_x000D_
BUEN CALIBRE SIN OREJA</t>
  </si>
  <si>
    <t>DESTINO ALMACEN_x000D_
DEJAR MUESTRAS_x000D_
SOLAPA  X  DEBAJO DEL DISEÑO</t>
  </si>
  <si>
    <t>BPPL25X18+4X2.5</t>
  </si>
  <si>
    <t>BODY SHAPER CON GANCHO</t>
  </si>
  <si>
    <t>SACAR SEMITUBULAR DE 18+4_x000D_
DESTINO SELLADO</t>
  </si>
  <si>
    <t>BPPI21X26.5X1.2</t>
  </si>
  <si>
    <t>BABY BANANAS</t>
  </si>
  <si>
    <t>AMARILLO 2</t>
  </si>
  <si>
    <t>TENER CUIDADO CON CANTIDADES_x000D_
DESTINO ALMACEN</t>
  </si>
  <si>
    <t>LAMINA PP 28X1.0</t>
  </si>
  <si>
    <t>LAM-DODL</t>
  </si>
  <si>
    <t>-RETAL MAXIMO 40.0 KLS + 1960 KLS = 2000 KLS_x000D_
-CON MATERIAL DEL CLIENTE_x000D_
-ALMACEN</t>
  </si>
  <si>
    <t xml:space="preserve">300GRS ADHITIVO </t>
  </si>
  <si>
    <t>BPPL20X30X1.5</t>
  </si>
  <si>
    <t>ME0011 8X11 GALLETA WAFFER</t>
  </si>
  <si>
    <t>NO DOBLAR LA BOLSA - MARCAR MUY BIEN_x000D_
DESTINO ALMACEN</t>
  </si>
  <si>
    <t>TPPL40X0.85</t>
  </si>
  <si>
    <t>TUBULAR 40X0.85</t>
  </si>
  <si>
    <t>TUBULAR 35X0.85</t>
  </si>
  <si>
    <t>TAJADO INTEGRAL</t>
  </si>
  <si>
    <t>TUBULAR 30X0.85</t>
  </si>
  <si>
    <t>BPPI39.5X50X1.25</t>
  </si>
  <si>
    <t>COMBO SAN REMO</t>
  </si>
  <si>
    <t>BPPL22X35X2</t>
  </si>
  <si>
    <t>ME0003 BOLSA 17GX1000</t>
  </si>
  <si>
    <t>NO DOBLAR LA BOLSA - CLOLOCAR EN EL TIQUETE LA REFERENCIA (ME 0003)_x000D_
DESTINO ALMACEN</t>
  </si>
  <si>
    <t>BPPI21X39+4X1.5</t>
  </si>
  <si>
    <t>PAN TAJADO 430GR</t>
  </si>
  <si>
    <t>GENERICO</t>
  </si>
  <si>
    <t>BPPI26X33+4X2.5</t>
  </si>
  <si>
    <t>FASHION MEN PRENDA</t>
  </si>
  <si>
    <t>BPPL34X45X1.4</t>
  </si>
  <si>
    <t>OFERTA</t>
  </si>
  <si>
    <t>BUEN SELLE - BUENA MEDIDA_x000D_
DESTINO SELLADO</t>
  </si>
  <si>
    <t>BPPI30.5X35.5+2.5+4.5X1.5</t>
  </si>
  <si>
    <t>PRENDA GRANDE PIGMENTO</t>
  </si>
  <si>
    <t>30.5</t>
  </si>
  <si>
    <t>FUELLE DE FONDO PARTE  SUPERIOR DELDISEÑO_x000D_
DESTINO ALMACEN</t>
  </si>
  <si>
    <t>TUBULAR PP 50X1</t>
  </si>
  <si>
    <t>TENER CUIDADO CON TRATAMIENTO, MEDIDA Y CALIBRE_x000D_
DESTINO ALMACEN</t>
  </si>
  <si>
    <t>BPPL16.5X35X1.5</t>
  </si>
  <si>
    <t>ME0026 BOLSA SERVICIAL SIN IMPRESION</t>
  </si>
  <si>
    <t>MARCAR EN EL TIQUETE LA REF.ME0026_x000D_
DESTINO ALACEN</t>
  </si>
  <si>
    <t>TUCAN</t>
  </si>
  <si>
    <t>9.5</t>
  </si>
  <si>
    <t>LPPL35X1.15</t>
  </si>
  <si>
    <t>LAMINA DOBLE 35X1.15</t>
  </si>
  <si>
    <t>TENER MUCHO CUIDADO CON CALIBRE_x000D_
DESTINO ALMACEN - EMPACAR</t>
  </si>
  <si>
    <t>BOLSA 9X22"</t>
  </si>
  <si>
    <t>BOLSA CEREAL</t>
  </si>
  <si>
    <t>BPPI22X39+4X1.5</t>
  </si>
  <si>
    <t>PAN TAJADO 430G</t>
  </si>
  <si>
    <t>BPPI13X24X1.5</t>
  </si>
  <si>
    <t>BPPI20X31+4X1.5</t>
  </si>
  <si>
    <t>PRODUCTOS INTEGRALES</t>
  </si>
  <si>
    <t>_x000D_
_x000D_
_x000D_
DEJAR MUESTRAS PARA ARCHIVO_x000D_
DESTINO ALMACEN</t>
  </si>
  <si>
    <t>BPPI15.5X20X1.5</t>
  </si>
  <si>
    <t>PHYSALIS</t>
  </si>
  <si>
    <t>-SELLE ADICIONAL SEGUN MUESTRA_x000D_
DESTINO ALMACEN</t>
  </si>
  <si>
    <t>- IMPRRESION DARMA_x000D_
-</t>
  </si>
  <si>
    <t>811.021.772-1</t>
  </si>
  <si>
    <t>BPPI14.5X20+5X1.4</t>
  </si>
  <si>
    <t>AVON MEXICO GARANTIA</t>
  </si>
  <si>
    <t>VIROLA DE 45CM CON SOLAPA DE 5CM_x000D_
DESTINO IMPRESION DARMA</t>
  </si>
  <si>
    <t>CANTIDADES EXACTAS_x000D_
CINTA DOBLE FAZ EN SOLAPA_x000D_
DESTINO ALMACEN</t>
  </si>
  <si>
    <t>TPPL15X1.3</t>
  </si>
  <si>
    <t>SEMITUBULAR PP 6"</t>
  </si>
  <si>
    <t>BPPI32X32+3+6X1.5</t>
  </si>
  <si>
    <t>BUSO Y CAMISA BLUE INC</t>
  </si>
  <si>
    <t xml:space="preserve">CALIBRE BIEN CONTROLADO_x000D_
DESTINO IMPRESION DARMA_x000D_
</t>
  </si>
  <si>
    <t>-DEJAR MUESTRAS BIEN MARCADAS PARA ARCHIVO_x000D_
-DESTINO ALMACEN</t>
  </si>
  <si>
    <t>BPPI32X36+5X1.5</t>
  </si>
  <si>
    <t>PAN BOLA JARDIN</t>
  </si>
  <si>
    <t xml:space="preserve">EMPACAR BOLSA A LO LARGO SIN DOBLAR_x000D_
DESTINO ALMACEN_x000D_
</t>
  </si>
  <si>
    <t>811.032.854-2</t>
  </si>
  <si>
    <t>BPPL35.5X50X2.3</t>
  </si>
  <si>
    <t>BOLSA PP 35.5X50</t>
  </si>
  <si>
    <t>-NO DOLAR LOS PAQUETES_x000D_
-ALMACEN</t>
  </si>
  <si>
    <t>LPPL40X1.4</t>
  </si>
  <si>
    <t>LAMINA PP 40X1.4</t>
  </si>
  <si>
    <t>LPPL35X1.3</t>
  </si>
  <si>
    <t>LAMINA PP 35X1.3</t>
  </si>
  <si>
    <t>-ALMACEN_x000D_
-</t>
  </si>
  <si>
    <t>TPPL30X1.2</t>
  </si>
  <si>
    <t>BOLSA 30X35</t>
  </si>
  <si>
    <t>811.011.909-9</t>
  </si>
  <si>
    <t>BPPI12X14X2.8</t>
  </si>
  <si>
    <t>PEQUEÑA IGB</t>
  </si>
  <si>
    <t>-IP`RESION DARMA_x000D_
-</t>
  </si>
  <si>
    <t>ALAMCEN</t>
  </si>
  <si>
    <t>BPPI15.5X17X2.8</t>
  </si>
  <si>
    <t>GRANDE IGB</t>
  </si>
  <si>
    <t>811.007.730-2</t>
  </si>
  <si>
    <t>TPPL35X1.4</t>
  </si>
  <si>
    <t>SERVICIO DE EXTRUSION - TUB PP 35X1.4</t>
  </si>
  <si>
    <t>-RETAL MAXIMO 2.0 KLS. + 98.0KLS = 100 KLS. _x000D_
-TRATADO POR FUERA_x000D_
-CON MATERIAL DEL CLIENTE_x000D_
-ALMACEN_x000D_
-</t>
  </si>
  <si>
    <t>DON LIMON LOTE 42034</t>
  </si>
  <si>
    <t>LPPL30X1.8</t>
  </si>
  <si>
    <t>LAMINA DOBLE PP 30X1.8</t>
  </si>
  <si>
    <t>-OJO CON EL CORTE DE LAS  CUCHLLLAS QUE NO FOE¡RME MORRO EN LOS EXTREMOS_x000D_
-ALMACEN</t>
  </si>
  <si>
    <t>ADHITVO SLIP</t>
  </si>
  <si>
    <t>LPPL28X1.1</t>
  </si>
  <si>
    <t>LAMINA DOBLE PP 28X1.1</t>
  </si>
  <si>
    <t>-OJO CORTE DE LA CUCHILLA - QUE NO FORME MORRO_x000D_
-ALMACEN_x000D_
-</t>
  </si>
  <si>
    <t>LAMINA ROSADA CON SELLO</t>
  </si>
  <si>
    <t>-CONTROLAR QUE NO SALGA CON OREJA_x000D_
-DESTINO ALAMCEN_x000D_
-</t>
  </si>
  <si>
    <t>BPPL27X30+5X1.3</t>
  </si>
  <si>
    <t>BOLSA CON CINTA ADHESIVA CALIBRE 1.3</t>
  </si>
  <si>
    <t>bppl</t>
  </si>
  <si>
    <t>CON CINTA</t>
  </si>
  <si>
    <t>-ALMACEN_x000D_
CINTA DOBLE FAZ</t>
  </si>
  <si>
    <t>TUBULAR PP 45X1.3</t>
  </si>
  <si>
    <t>LPPL44X1.4</t>
  </si>
  <si>
    <t>LAMINA PP 44X1.4</t>
  </si>
  <si>
    <t xml:space="preserve">-OJO EL CALIBRE DEBE SER MUY BIEN CONTRALADO  ALO AMCHO DE LA PELICULA_x000D_
-OJO AL TRATADO_x000D_
-ROLLOS BIEN PROTEJIDOS COLOCAR RUANAS_x000D_
-BIEN CONTROLADO EVITAR DEVULUCIONES_x000D_
-_x000D_
</t>
  </si>
  <si>
    <t>BPPI29X38+5X2</t>
  </si>
  <si>
    <t>BOLSA CANADA</t>
  </si>
  <si>
    <t>-IMPREESION DARMA_x000D_
-</t>
  </si>
  <si>
    <t>CINTA D- FAZ</t>
  </si>
  <si>
    <t>BPPI18X22.5X1.5</t>
  </si>
  <si>
    <t>TOSTADA X 5 RAKAMANDAKA</t>
  </si>
  <si>
    <t>LPPI20X20X2</t>
  </si>
  <si>
    <t>PHISALIS 20X20 LOTE 41363</t>
  </si>
  <si>
    <t>-MPRESION DARMA_x000D_
-</t>
  </si>
  <si>
    <t>BPPL26X44X1.2</t>
  </si>
  <si>
    <t>1 LIBRA NUEVA IMAGEN WAKEF</t>
  </si>
  <si>
    <t>890.919.255-6</t>
  </si>
  <si>
    <t>BPPI34X40+5+6X2</t>
  </si>
  <si>
    <t>CARLOS NIETO</t>
  </si>
  <si>
    <t>-EL TRATADO DEBE SER DE EXTRMO A EXTREMO_x000D_
-DESTINO DARMA_x000D_
-</t>
  </si>
  <si>
    <t>-SOLAPA : PARTE SUPERIOR DEL DISEÑO_x000D_
-FUELLE : PARTE INFERIOR DEL DISEÑO_x000D_
-ALMACEN</t>
  </si>
  <si>
    <t>BPPI21X33X2</t>
  </si>
  <si>
    <t>BOLSA PP 21X33</t>
  </si>
  <si>
    <t>890.919.355-4</t>
  </si>
  <si>
    <t>BPPL8X10X1</t>
  </si>
  <si>
    <t>BOLSA 3X4" - COD 151030040100</t>
  </si>
  <si>
    <t>DON LIMON LOTE 42033</t>
  </si>
  <si>
    <t>TUCAN LOTE 40028</t>
  </si>
  <si>
    <t>BPPL25X40X1</t>
  </si>
  <si>
    <t>BOLSA 10X16" - COD 15110016100</t>
  </si>
  <si>
    <t>-CON TIQUETES DEL CLIENTE_x000D_
-NO DOBLAR LOS PAQUETES_x000D_
-ALMACEN</t>
  </si>
  <si>
    <t>811.018.423-3</t>
  </si>
  <si>
    <t>TPPL33X1.3</t>
  </si>
  <si>
    <t>SERVICIO DE EXTRUSION - TUB PP 33X1.3</t>
  </si>
  <si>
    <t>-RETAL MAXIMO 1.5 KLS + 73.5 KLS = 75.0 KLS_x000D_
-ALMACEN_x000D_
-</t>
  </si>
  <si>
    <t>TPPL35X1.2</t>
  </si>
  <si>
    <t>TUBULAR PP 35X1.2</t>
  </si>
  <si>
    <t>-CONTROLAR QUE NO SALGA CON OREA_x000D_
-SESTINO ALMACEN_x000D_
-</t>
  </si>
  <si>
    <t>BPPL31X38+5X1.5</t>
  </si>
  <si>
    <t>BOLSA PP SIN IMPRESION</t>
  </si>
  <si>
    <t>BANANA ROYAL COSTA RICA</t>
  </si>
  <si>
    <t>-EMBOBNADO DOBLE CARA_x000D_
- BUEN CONTROL AL TRATADO_x000D_
-DESTINO CORREA_x000D_
-</t>
  </si>
  <si>
    <t>-DESTINO : NUEVA COLONIA - TURBO_x000D_
-ORDEN DE COMPRA: 6954_x000D_
-EMPAAQUE EN CAJA_x000D_
. _x000D_
ORDEN DE COMPRA 358</t>
  </si>
  <si>
    <t>LPPL35X1.4</t>
  </si>
  <si>
    <t>LAMINA PP 35X1.4</t>
  </si>
  <si>
    <t>BPPI21.5+6.5X27.5X2.8</t>
  </si>
  <si>
    <t>BOLSA PLASTICA INDIVIDUAL</t>
  </si>
  <si>
    <t>-OJO CONTROLAR DESCOMPENCE_x000D_
-IMPRESION DEMES_x000D_
-</t>
  </si>
  <si>
    <t>-CONTROLAR CANTIDAD POR PAQUETE _x000D_
-MANUALES</t>
  </si>
  <si>
    <t>BPPI28X22.5+5X2.5</t>
  </si>
  <si>
    <t>HOMBRE CON GANCHO</t>
  </si>
  <si>
    <t>-IPRESION DARMA_x000D_
-OJO MATERIAL BIEN CALIBRADO SIN DESCOMPENCE_x000D_
-</t>
  </si>
  <si>
    <t>BPPI19.5X20.5+5X2.5</t>
  </si>
  <si>
    <t>GENERICA CON GANCHO</t>
  </si>
  <si>
    <t>TPPL33X0.9</t>
  </si>
  <si>
    <t>SERVICIO DE EXTRUSION - TUB PP 33X0.9</t>
  </si>
  <si>
    <t>-RETAL MAXIMO 2 KLS + 98 KLS = 100.0 KLS_x000D_
-DESTINO ALMACEN_x000D_
-</t>
  </si>
  <si>
    <t>LPPL35X1</t>
  </si>
  <si>
    <t>SERVICIO DE EXTRUSION LAMINA PP 35X1.0</t>
  </si>
  <si>
    <t>LAM-DODLE</t>
  </si>
  <si>
    <t>-CONTROL CORTE DE CUCHILLA QUE NO FORME MORRO_x000D_
-ALMACEN_x000D_
-</t>
  </si>
  <si>
    <t>ADHITVO</t>
  </si>
  <si>
    <t>TPPL55X0.95</t>
  </si>
  <si>
    <t>SERVICIO DE EXTRUSION TUB PP 55X0.95</t>
  </si>
  <si>
    <t>-RETAL MAXIMO 1.6 K +78.6 KLS = 80 KLS_x000D_
-DESTINO ALMACEN_x000D_
-</t>
  </si>
  <si>
    <t>1.6 K</t>
  </si>
  <si>
    <t>LPPL45X1.2</t>
  </si>
  <si>
    <t>LAMINA PP 45X1.2</t>
  </si>
  <si>
    <t>-OJO DESCOMPENCE_x000D_
-ALMACEN_x000D_
-</t>
  </si>
  <si>
    <t>TPPL35X0.95</t>
  </si>
  <si>
    <t>TUBULAR PP 35X0.95</t>
  </si>
  <si>
    <t>-TRATADO X FUERA_x000D_
-ALMACEN</t>
  </si>
  <si>
    <t>TPPL40X1.9</t>
  </si>
  <si>
    <t>TUBULAR PP 40X1.9</t>
  </si>
  <si>
    <t>-TRATADO  X FUERA_x000D_
-ALMACEN</t>
  </si>
  <si>
    <t>SERVICIO DE EXTRUSION LAMINA PP 30X1.3</t>
  </si>
  <si>
    <t>LAM -DOBLE</t>
  </si>
  <si>
    <t xml:space="preserve">-ALMACEN_x000D_
-CONTROLAR CORTE DE CUCHILLA </t>
  </si>
  <si>
    <t>LPPL50X1.3</t>
  </si>
  <si>
    <t>LAMINA PP 50X1.3</t>
  </si>
  <si>
    <t>TPPL30X1.8</t>
  </si>
  <si>
    <t>TUBULAR PP 30X1.8</t>
  </si>
  <si>
    <t>-OJO BIEN CALIBRADO A LO ANCHO DEL MATERIAL_x000D_
-TRATADO POR FUERA_x000D_
-ALMACEN</t>
  </si>
  <si>
    <t>SERVICIO DE EXTRUSION 40X1.3</t>
  </si>
  <si>
    <t>-RETAL MAXIMO 1.6 KLS + 78.4 KLS = 80 KLS_x000D_
-MATERIAL DEL CLIENTE_x000D_
-DESTINO ALMACEN</t>
  </si>
  <si>
    <t>TPPL25X2</t>
  </si>
  <si>
    <t>TUBULAR PP 25X2</t>
  </si>
  <si>
    <t>BPPI26X45X1.3</t>
  </si>
  <si>
    <t>TOSTADA RIKY PAN X 30</t>
  </si>
  <si>
    <t>ME0011 8X11 GALLETA WAFER</t>
  </si>
  <si>
    <t>-ALMACEN_x000D_
- NO DOBLAR LOS PAQUETES</t>
  </si>
  <si>
    <t>BPPL26X35+3+5X2.5</t>
  </si>
  <si>
    <t>CAMISA NAGA SIN IMPRESION</t>
  </si>
  <si>
    <t>TPPL28X1.5</t>
  </si>
  <si>
    <t>SERVICIO DE EXTRUSION TUB PP 28X1.5</t>
  </si>
  <si>
    <t>LAMINA ROSADA SIN SELLO</t>
  </si>
  <si>
    <t>-IMPRESION DARMA_x000D_
-ALMACEN_x000D_
-</t>
  </si>
  <si>
    <t>BPPI32X43+5X1.8</t>
  </si>
  <si>
    <t>KENYA - MAASAI</t>
  </si>
  <si>
    <t>CINTA</t>
  </si>
  <si>
    <t>-ALMACEN_x000D_
-CINTA DOBLE FAZ_x000D_
-SOLAPA POR DEBAJO DEL DISEÑO</t>
  </si>
  <si>
    <t>BBDI12.5X16+2X1.4</t>
  </si>
  <si>
    <t>QUESITO RIONEGRO 220 GR</t>
  </si>
  <si>
    <t>-LAMINA DE 72.0 CMS PARTIDA A LA 1/2_x000D_
-IMPRESION DARMA_x000D_
-</t>
  </si>
  <si>
    <t>DON LIMON</t>
  </si>
  <si>
    <t>-ALMACEN _x000D_
-CAJA GRANDE NORMAL</t>
  </si>
  <si>
    <t>- ALMACEN_x000D_
-</t>
  </si>
  <si>
    <t>LPPL55X2.7</t>
  </si>
  <si>
    <t>LAMINA PP 55X2.7</t>
  </si>
  <si>
    <t>-OJO COM EL DESCOMENCE_x000D_
-ALMACEN</t>
  </si>
  <si>
    <t>811.012.002-9</t>
  </si>
  <si>
    <t>BPPI31.5X48X1.2</t>
  </si>
  <si>
    <t>OFERTA ROJA PEQ</t>
  </si>
  <si>
    <t>-IPMRESION DARMA_x000D_
-</t>
  </si>
  <si>
    <t>BPPL10.5X12X2</t>
  </si>
  <si>
    <t>ANGULOS Y SOPORTES CALIBRE 2</t>
  </si>
  <si>
    <t>DON LIMON LOTE 42035</t>
  </si>
  <si>
    <t>-IMPRESION DARMA_x000D_
ALMACEN_x000D_
-</t>
  </si>
  <si>
    <t>BPPI15X17.5X1.5</t>
  </si>
  <si>
    <t>GOLOSA RICO PAN</t>
  </si>
  <si>
    <t>BOLSA CLUSTER PP ENSAYO</t>
  </si>
  <si>
    <t>-CON LAS PERFORACIONES DE COBANA_x000D_
-DESTINO STA. MARTA_x000D_
-ORDEN DE COMPRA 2789_x000D_
-ALMACEN</t>
  </si>
  <si>
    <t>TPPL38X1.3</t>
  </si>
  <si>
    <t>SERVICIO DE EXTRUSION - TUB PP 38X1.3</t>
  </si>
  <si>
    <t>-RETAL MAXIMO 2.0 KLS + 98.0KLS = 100.0KLS_x000D_
-TRABAJAR CON MATERIAL DEL CLIENTE_x000D_
-</t>
  </si>
  <si>
    <t>SERVICIO DE EXTRUSION - TUB PP 35X1.3</t>
  </si>
  <si>
    <t>-RETAL MAXIMO 2.0 KLS + 28.0 KLS = 30_x000D_
-TRABAJAR CON MATERIAL DEL CLIENTE_x000D_
-_x000D_
-_x000D_
-</t>
  </si>
  <si>
    <t>TPPL55X1.5</t>
  </si>
  <si>
    <t>SERVICIO DE EXTRUSION - TUB PP 55X1.5</t>
  </si>
  <si>
    <t>-MATERIAL DEL CLIENTE_x000D_
-RETAL MAXIMO 2.5 KLS + 122.5 KLS =125.0 KLS_x000D_
-ALMACEN_x000D_
-</t>
  </si>
  <si>
    <t>PANDEQUESO SANTARROSANO</t>
  </si>
  <si>
    <t>-EMBOBINADO DOBLE CARA_x000D_
-DESTINO : DARMA_x000D_
-</t>
  </si>
  <si>
    <t>BPPI17.5X25X1.0</t>
  </si>
  <si>
    <t>AREPAS PUES CALIBRE 1</t>
  </si>
  <si>
    <t>SERVICIO DE EXTRUSION LAMINA PP 40X1.1</t>
  </si>
  <si>
    <t>LAM-DOB</t>
  </si>
  <si>
    <t xml:space="preserve">-RETAL MAAXIMO 6.0 KLS. + 294.0KLS. = 300 KLS_x000D_
-DESTINO ALMACEN_x000D_
-_x000D_
</t>
  </si>
  <si>
    <t>ADHITIVO SLIP</t>
  </si>
  <si>
    <t>LPPL50X1.1</t>
  </si>
  <si>
    <t>SERVICIO DE EXTRUSION LAMINA PP 50X1.1</t>
  </si>
  <si>
    <t xml:space="preserve">-RETAL MAXIMO 16.0 KLS. + 784.0 KLS = 800 KLS_x000D_
-DESTINO ALMACEN_x000D_
-_x000D_
</t>
  </si>
  <si>
    <t>800.153.270-0</t>
  </si>
  <si>
    <t>LPPL46X1.9</t>
  </si>
  <si>
    <t>SERVICIO DE EXTRUSION LAMINA PP CAL 1.9</t>
  </si>
  <si>
    <t>-RETAL MAXIMO 2.0 KLS + 98.0 KLS  =100 KLS_x000D_
-DESTINO ALMACEN</t>
  </si>
  <si>
    <t>PAN ECONOMICO MARKIPAN</t>
  </si>
  <si>
    <t>-EMBOBINSDO DOBLE CARA_x000D_
-DESTINO DARMA_x000D_
-</t>
  </si>
  <si>
    <t>BPPI32X45+3X1.5</t>
  </si>
  <si>
    <t>SUPER OFERTA GENERICA CON CODIGO</t>
  </si>
  <si>
    <t>-EMBOBINADO DOBLE CARA_x000D_
-DESTINO CORREA</t>
  </si>
  <si>
    <t>BPPL27X30+5X1.4</t>
  </si>
  <si>
    <t>BOLSA CON CINTA ADHESIVA CALIBRE 1.4</t>
  </si>
  <si>
    <t>CINTA ADHESIVA</t>
  </si>
  <si>
    <t>BPPL10X15X1</t>
  </si>
  <si>
    <t>BOLSA 4X6" - COD 151040060100</t>
  </si>
  <si>
    <t>-DESTINO ALMACEN_x000D_
-</t>
  </si>
  <si>
    <t>-ALMACEN _x000D_
-USAR TIQUETES DEL CLIENTE_x000D_
-</t>
  </si>
  <si>
    <t>CVPPL44X40X1.3</t>
  </si>
  <si>
    <t>CUBREHOMBROS 44X40</t>
  </si>
  <si>
    <t>TPPL28X0.9</t>
  </si>
  <si>
    <t>SERVICIO DE EXTRUSION - TUB PP 28X0.9</t>
  </si>
  <si>
    <t>-RETAL MAXIMO 1.0KLS. + 49.0 KLS = 50.0KLS_x000D_
CON MATERIAL DEL CLIENTE_x000D_
-ALMACEN</t>
  </si>
  <si>
    <t>BPPI19X25X1.5</t>
  </si>
  <si>
    <t xml:space="preserve">CALADITAS JARDIN </t>
  </si>
  <si>
    <t>DON LIMON LOTE 42031</t>
  </si>
  <si>
    <t>-IMPRESION DARAMA_x000D_
-</t>
  </si>
  <si>
    <t>BPPI32X50X1.25</t>
  </si>
  <si>
    <t xml:space="preserve">OFERTA INTEGRAL IMPRESA VIENESA </t>
  </si>
  <si>
    <t>BPPI20X25X1.5</t>
  </si>
  <si>
    <t>PANDEYUCA 90 GR</t>
  </si>
  <si>
    <t>TPPL38X1.5</t>
  </si>
  <si>
    <t>SERVICIO DE EXTRUSION TUB.PP38X1.5</t>
  </si>
  <si>
    <t>-RETAL MAXIMO 2.0 KLS. +98.0 KLS = 100 KLS_x000D_
- DSTINO ALMACEN_x000D_
-</t>
  </si>
  <si>
    <t>TUCAN LOTE 40023</t>
  </si>
  <si>
    <t>TPPL45X2.8</t>
  </si>
  <si>
    <t>SERVICIO DE EXTRUSION TUB PP45X2.8</t>
  </si>
  <si>
    <t xml:space="preserve">-RETAL MAXIMO 4.0 KLS +196 KLS = 200 KLS_x000D_
- ESTINO ALMACEM_x000D_
-_x000D_
</t>
  </si>
  <si>
    <t>BPPI29X32+4X1.2</t>
  </si>
  <si>
    <t>MECCA PEQUEÑA</t>
  </si>
  <si>
    <t>BPPL12X20X2</t>
  </si>
  <si>
    <t xml:space="preserve">RODACHINA </t>
  </si>
  <si>
    <t>-DRSTINO: SELLADO_x000D_
-TUBULAR DE 40.0 CMS PARTIDO A LA 1/2</t>
  </si>
  <si>
    <t>800.157.926-1</t>
  </si>
  <si>
    <t>TPPL25X1.5</t>
  </si>
  <si>
    <t>SERVICIO DE EXTRUSION TUB PP 25X1.5</t>
  </si>
  <si>
    <t xml:space="preserve">-EMBOBINADO DOBLE CARA _x000D_
- CONTROL TRATADO PARA EVITAR BLOQUEO_x000D_
-DESTINO ALMACEN_x000D_
-_x000D_
</t>
  </si>
  <si>
    <t>BPPL30X35X1.3</t>
  </si>
  <si>
    <t>BOLSA PP 12X14"</t>
  </si>
  <si>
    <t>TPPL33X1.4</t>
  </si>
  <si>
    <t>SERVICIO EXTRSION 33CM</t>
  </si>
  <si>
    <t>BPPI16X35X1.5</t>
  </si>
  <si>
    <t>PAN DE YUCA VIENESA</t>
  </si>
  <si>
    <t>-IMPRESINO DARMA_x000D_
-EMBOBINADO DOLE CARA_x000D_
-</t>
  </si>
  <si>
    <t>CVPPL40X40X1.3</t>
  </si>
  <si>
    <t>CUBREHOMBRO 40X40</t>
  </si>
  <si>
    <t>ADHIVO</t>
  </si>
  <si>
    <t>ME 0026 BOLSA SERVICIAL SIN IMPRESION</t>
  </si>
  <si>
    <t>-USAR VIROLA NUEVA_x000D_
-DESTINO SELLADO_x000D_
-</t>
  </si>
  <si>
    <t>SERVICIO DE EXTRUSION TUB PP 45X2.8</t>
  </si>
  <si>
    <t>-RETAL MAXIMO 4.2 KLS + 205.8 KLS = 210.0 KLS_x000D_
-MAETRIAL DEL CLIENTE_x000D_
-DESTINO ALMACEN</t>
  </si>
  <si>
    <t>TPPL33X2.8</t>
  </si>
  <si>
    <t>SERVICIO DE EXTRUSION - TUB PP 33X2.8</t>
  </si>
  <si>
    <t>-RETAL MAXIMO 6.8 KLS + 333.2 KLS = 340 KLS _x000D_
-MATERIAL DEL CLIENTE_x000D_
-DESTINO ALMACEN</t>
  </si>
  <si>
    <t>15.432.624-4</t>
  </si>
  <si>
    <t>LPPL27.5X1</t>
  </si>
  <si>
    <t>LAMINA PP DOBLE 27.5 CMS</t>
  </si>
  <si>
    <t>- LAMINA DOBLE DE 55.0 CMS PARTIDA A LA 1/2_x000D_
-BIEN EMBOBINADO_x000D_
-ALMACEN_x000D_
-</t>
  </si>
  <si>
    <t>TPPL25X1.8</t>
  </si>
  <si>
    <t>TUBULAR PP 25X1.8</t>
  </si>
  <si>
    <t>TPPL40X0.9</t>
  </si>
  <si>
    <t>SERVICIO DE EXTRUSION - TUB PP 40X0.9</t>
  </si>
  <si>
    <t>BPPL27X21+5X2</t>
  </si>
  <si>
    <t>BOLSA DE PP CON GANCHO</t>
  </si>
  <si>
    <t>-48.0CMS PARTIDO  CON SOLAPA DE 5.0 CMS VOLADA_x000D_
-DESTONO SELLADO_x000D_
-</t>
  </si>
  <si>
    <t>LAMINA 9.5X20CM LOTE 41372</t>
  </si>
  <si>
    <t>TPPL25X2.0</t>
  </si>
  <si>
    <t>SERVICIO DE EXTRUSION TUB PP 25X2</t>
  </si>
  <si>
    <t>-RETAL MAXIMO 3.4 KLS + 166.6.0 KLS =170 KLS_x000D_
-DESTINO ALMACEN_x000D_
-</t>
  </si>
  <si>
    <t>23.550.174-6</t>
  </si>
  <si>
    <t>BPPL32X44+8X2.5</t>
  </si>
  <si>
    <t>BOLSA PP PANTALON</t>
  </si>
  <si>
    <t>BPPL10X25X1</t>
  </si>
  <si>
    <t>BOLSA 4X10" - COD 151040100100</t>
  </si>
  <si>
    <t>-ALMACEN_x000D_
-PAQUETES SIN DOBLAR_x000D_
-COLOCAR TIQUETES DEL CLIENTE</t>
  </si>
  <si>
    <t>LPPI9.4X20X2</t>
  </si>
  <si>
    <t>OCHUVA EL TESORO</t>
  </si>
  <si>
    <t>PHYSALIS 20X20 LOTE 41362</t>
  </si>
  <si>
    <t>-ALMACEN_x000D_
-EMPAQUE EN CAJA</t>
  </si>
  <si>
    <t>BPPL25X40X3</t>
  </si>
  <si>
    <t>BOLSA PP 10X16" CAL. 3</t>
  </si>
  <si>
    <t>TPPL45X0.9</t>
  </si>
  <si>
    <t>SESRVICIO DE EXTRUSION - TUB PP 45X0.9</t>
  </si>
  <si>
    <t>-RETAL MAXIMO 2.0KLS.+98.0KLS =100 KLS_x000D_
-MATERIAL DEL CLIENTE_x000D_
-ALMACEN</t>
  </si>
  <si>
    <t>BPPI25.5X30+10X1.5</t>
  </si>
  <si>
    <t>EVERPLAST - REF 301040A</t>
  </si>
  <si>
    <t>STPPL20X2</t>
  </si>
  <si>
    <t>SEMITUBULAR PP 8"</t>
  </si>
  <si>
    <t>STPPL</t>
  </si>
  <si>
    <t>-ALMMCEN_x000D_
-</t>
  </si>
  <si>
    <t>BPPI20.5X27.5+5X3</t>
  </si>
  <si>
    <t>87010129 IMPRESA</t>
  </si>
  <si>
    <t>CINTA - D.F</t>
  </si>
  <si>
    <t>-BIEN EMPACADO PARA  TROQUELAR_x000D_
-DAETINO MANUALES</t>
  </si>
  <si>
    <t>BPPL25X27+6X1.5</t>
  </si>
  <si>
    <t>GORRA Y BLUSA SIN IMPRESION ROOTT+CO</t>
  </si>
  <si>
    <t>LAMINA 9.5X20 CM LOTE 41372</t>
  </si>
  <si>
    <t>CVPPL30X26X1.3</t>
  </si>
  <si>
    <t>BPPL30X40X0.8</t>
  </si>
  <si>
    <t>BOLSA PP 12X16"</t>
  </si>
  <si>
    <t>BPPI30X38+5X2</t>
  </si>
  <si>
    <t>BOLSA JEAN</t>
  </si>
  <si>
    <t>ME 0020 BOLSA PAQUETE DON JULIO</t>
  </si>
  <si>
    <t>-CON VIROLA NUEVA_x000D_
-DESTINO SELLADO_x000D_
-</t>
  </si>
  <si>
    <t>DON LIMON LOTE 42032</t>
  </si>
  <si>
    <t>LAMINA DOBLE PP 25X1.2</t>
  </si>
  <si>
    <t>LAM- DOBL</t>
  </si>
  <si>
    <t>-RETAL MAXIMO 4.0KLS +198.0 KLS. = 200 KLS._x000D_
-DESTINO ALMACEN_x000D_
-CON MATERIAL DEL CLIENTE_x000D_
-</t>
  </si>
  <si>
    <t>TPPL42X1.3</t>
  </si>
  <si>
    <t>SERVICIO DE EXTRUSION - TUB PP 42X1.3</t>
  </si>
  <si>
    <t>-RETAL MAXIMO 2.0 KLS + 98.0KLS = 100 KLS._x000D_
-MATERIAL DEL CLINTE_x000D_
-DESPACHOS</t>
  </si>
  <si>
    <t>BPPI14X15X1.5</t>
  </si>
  <si>
    <t>GOLOSINA JARDIN</t>
  </si>
  <si>
    <t>-PLASTICOS DARMA_x000D_
-</t>
  </si>
  <si>
    <t>LAMINA PP 35X1.0</t>
  </si>
  <si>
    <t>-RETAL MAXIMO 2.0 KLS + 98.0 KLS = 100.0 KLS_x000D_
-DESTINO ALMACEN_x000D_
-</t>
  </si>
  <si>
    <t>SERVICIO DE EXTRUSION - TB PP 40X0.9</t>
  </si>
  <si>
    <t>-RETAL MAXIMO 2.0 KLS. + 98.0 KLS = 100.0KLS_x000D_
-CON MATERIAL DEL CLIENTE_x000D_
-ALMACEN</t>
  </si>
  <si>
    <t>SERVICIO DE EXTRUSION - TUB PP 35X0.95</t>
  </si>
  <si>
    <t>-RETAL MAXIMO 1.6 KLS + 78.4 KLS = 80 KLS_x000D_
-DESTINO ALMACEN_x000D_
-</t>
  </si>
  <si>
    <t>DON LIMON LOTE 42042</t>
  </si>
  <si>
    <t>-TRABAJAR CON PROPILCO_x000D_
-IMPRESION DARMA</t>
  </si>
  <si>
    <t>BPPL35X48X1.4</t>
  </si>
  <si>
    <t>BOLSA PP 35X48X1.4</t>
  </si>
  <si>
    <t xml:space="preserve"> RANDON</t>
  </si>
  <si>
    <t>-NO DOLBLAR LOS PAQUETES_x000D_
-ALMACEN</t>
  </si>
  <si>
    <t>900.408.298-5</t>
  </si>
  <si>
    <t>BPPL15X30X1.5</t>
  </si>
  <si>
    <t>BOLSA PP 15X30</t>
  </si>
  <si>
    <t>BPPI17.5X20X2.5</t>
  </si>
  <si>
    <t>CEREALES DFRUTA PEQUEÑA POLICROMIA</t>
  </si>
  <si>
    <t>900.138.759-1</t>
  </si>
  <si>
    <t>LPPL30X1.5</t>
  </si>
  <si>
    <t>LAMINA PP 30X1.5 MONO (MUESTRA)</t>
  </si>
  <si>
    <t>.</t>
  </si>
  <si>
    <t>BPPL34X48X0.9</t>
  </si>
  <si>
    <t>BOLSA PP 34X48</t>
  </si>
  <si>
    <t>45.9</t>
  </si>
  <si>
    <t xml:space="preserve">AHITIVO </t>
  </si>
  <si>
    <t>-OJO NO COLOCAR TIQUETES_x000D_
-MARCAR BULTO SOLA/ Nº DEL PEDIDO-MEDIDAS-CANTIDAD,- ASI:_x000D_
-ALMACEN</t>
  </si>
  <si>
    <t>TPPL35X0.8</t>
  </si>
  <si>
    <t>TUBULAR PP 35X0.8</t>
  </si>
  <si>
    <t>-ROLLOS BIEN EMPACADOS_x000D_
-ALMACEN</t>
  </si>
  <si>
    <t>STPPL12.5X1.5</t>
  </si>
  <si>
    <t>SEMITUBULAR PP 5"X1.5</t>
  </si>
  <si>
    <t>-TUBULAR DE 25.0 CMS PARTIDO  AL  1/2_x000D_
-ROLLOS BIEN EMPACADOS_x000D_
-</t>
  </si>
  <si>
    <t>BPPI25X34X1.2</t>
  </si>
  <si>
    <t>VAN DOMMELEN COLOMBIA</t>
  </si>
  <si>
    <t>-IMPRESION DEMES_x000D_
-</t>
  </si>
  <si>
    <t xml:space="preserve">-EMPACAR PAQUETES EN BOLSAS TT/ES-- BULTOS  EMPAQUE BLANCOS_x000D_
-DESTINO APARTADO_x000D_
-ORDEN DE COMPRA--1818_x000D_
</t>
  </si>
  <si>
    <t>SEMITUBULAR PP 5"X1.9</t>
  </si>
  <si>
    <t>-TUBULAR DE 25.0CMS PARTDO A LA 1/2_x000D_
-ROLLOS BIEN EMPACADOS_x000D_
-ALMACEN</t>
  </si>
  <si>
    <t>TUBULAR PP 50X1.3 T1C</t>
  </si>
  <si>
    <t>-TRATADO BIEN CONTROLADO_x000D_
-ROLLOS BIEN EMPACADOS COLOCAR RUANA EN LOS EXTREMOS_x000D_
-ALMACEN</t>
  </si>
  <si>
    <t>TPPL45X1.8</t>
  </si>
  <si>
    <t>TUBULAR PP 45X1.8</t>
  </si>
  <si>
    <t>-TRADO BIEN CONTROLADO_x000D_
-ALMACEN_x000D_
-</t>
  </si>
  <si>
    <t>LPPL40X2.4</t>
  </si>
  <si>
    <t>LAMINA PP 40X2.4</t>
  </si>
  <si>
    <t>-OJO CON EL TRATADO... BIEN TRATADA_x000D_
-ALMACEN</t>
  </si>
  <si>
    <t>DON LIMON LOTE 42040</t>
  </si>
  <si>
    <t>BPPL27.5X22.5+5X2.0</t>
  </si>
  <si>
    <t>BOLSA PP 27.5X22.5+5.0</t>
  </si>
  <si>
    <t xml:space="preserve">-OJO TUBULAR DE 50.0 CMS PAARTIDO CON SOLAPA VOLADA DE 5.0 CMS_x000D_
-SELLADO_x000D_
- </t>
  </si>
  <si>
    <t>-NO REQUIERE BOLSA DE EMPAQUE_x000D_
-ALMACREM</t>
  </si>
  <si>
    <t>BPPL11X20X1.5</t>
  </si>
  <si>
    <t>BOLSA PP 11X20</t>
  </si>
  <si>
    <t>-SI ES PRPILCO TRABAJAR CON 300G DE ADHITIVO_x000D_
-IMPRESION DEMES_x000D_
-</t>
  </si>
  <si>
    <t xml:space="preserve">-EMPACAR EN EMPAQUES PLASTICOS_x000D_
-DIRECCION SANTA MARTA_x000D_
-ORDEN DE COMPRA 7837_x000D_
</t>
  </si>
  <si>
    <t>BPPL16.5X38X1.5</t>
  </si>
  <si>
    <t>BOLSA SERVICIAL 16.5X38</t>
  </si>
  <si>
    <t>-MARCAR EN EL TIQUETE LA REFERENCIA_x000D_
-NO DOBLAR</t>
  </si>
  <si>
    <t>-ROLLOS BIEN EMPACADOS CON RUANA EN LOS EXTREMOS_x000D_
-CALIBRE BIEN CONTROLADO_x000D_
-ALMACEN_x000D_
-</t>
  </si>
  <si>
    <t>TPPL50X1.9</t>
  </si>
  <si>
    <t>TUBULAR PP 50X1.9</t>
  </si>
  <si>
    <t>-ROLLOS BIEN EMPACADOS CON RUANA EN LOS EXTREMOS_x000D_
-CALIBRE BIEN CONTRLADO_x000D_
-ALMACEN</t>
  </si>
  <si>
    <t>900.019.790-9</t>
  </si>
  <si>
    <t>BPPL19X45X3</t>
  </si>
  <si>
    <t>BOLSA PP 19X45X3</t>
  </si>
  <si>
    <t>-MATERIAL BIEN CALIBRADO_x000D_
 SELLADO</t>
  </si>
  <si>
    <t>-NO DOBLAR LOS PAQUETES_x000D_
-ALMACEN</t>
  </si>
  <si>
    <t>TPPL48X1.2</t>
  </si>
  <si>
    <t>SERVICIO EXTRUSION TUB PP 48X1.2</t>
  </si>
  <si>
    <t>44.1</t>
  </si>
  <si>
    <t>-MATERIAL DEL CLIENTE_x000D_
-220.5 KLS + 4.5 KLD DE RETAL = 225.0KLS_x000D_
- ROLLOS BIEN EMPACADOS CON RUANA_x000D_
-</t>
  </si>
  <si>
    <t>NIÑO CON GANCHO GEORDI NUEVA</t>
  </si>
  <si>
    <t xml:space="preserve">-IMPRESION DEMES_x000D_
</t>
  </si>
  <si>
    <t>muestra</t>
  </si>
  <si>
    <t>LPPL44X1.9</t>
  </si>
  <si>
    <t>LAMINA PP 44X1.9</t>
  </si>
  <si>
    <t>-PEDIDO BIEN CONTROLADO  TRATADO, CALEBRE ,DESCOMPENCE PARA EVITAR DEVOLUCION DE CORREA_x000D_
-ROLLOS BIEN EMPACADOS  COLOCAR RUANAS EN LOS EXTREMOS_x000D_
-</t>
  </si>
  <si>
    <t>BPPL20X44+4X1.5</t>
  </si>
  <si>
    <t>BOLSA PP 20X44+4</t>
  </si>
  <si>
    <t>BPPI30X38+5X1.2</t>
  </si>
  <si>
    <t>JEAN IMPRESA</t>
  </si>
  <si>
    <t>DON LIMON LOTE 42041</t>
  </si>
  <si>
    <t>VAN DOMMELEN</t>
  </si>
  <si>
    <t>-IMPRESION DEMMES_x000D_
-</t>
  </si>
  <si>
    <t>AHITIVO</t>
  </si>
  <si>
    <t>-ORDEN DE COMPRA_x000D_
-DIRECCION SANTA MARTHA_x000D_
-OJO CANTDAD X CAJA X BULTO</t>
  </si>
  <si>
    <t>TPPL35X0.9</t>
  </si>
  <si>
    <t>SERVICIO DE EXTRUSION - TUB PP 35X0.9</t>
  </si>
  <si>
    <t>-RETAL MAXIMO 0.5 KLS + 24.5 KLS = 25.0 KLS_x000D_
-ALMACEN_x000D_
-</t>
  </si>
  <si>
    <t>BPPI26X44X1.1</t>
  </si>
  <si>
    <t>FANCY VOORDEEL</t>
  </si>
  <si>
    <t>-EMPACAR EN BULTOS  SE BAJA BLANCOS_x000D_
-DESTINO APARTADO_x000D_
-ORDEN DE COMPRA 1025</t>
  </si>
  <si>
    <t>OFERTA BROWNIE ITAGUI</t>
  </si>
  <si>
    <t>- DESTINO SELLADO_x000D_
- CONTROLAR DESCOMPENSE DE MATERIAL</t>
  </si>
  <si>
    <t>- DESTINO ALMACEN_x000D_
- COLOCAR BOLSA LAINER AL EMPAQUE</t>
  </si>
  <si>
    <t>811.001-985-6</t>
  </si>
  <si>
    <t>BPPL27.5X20+5X1.5</t>
  </si>
  <si>
    <t>- PEGADO DE GANCHO 07J TT/E</t>
  </si>
  <si>
    <t>BPPL14X25.5X1.5</t>
  </si>
  <si>
    <t>BOLSA 14X25.5</t>
  </si>
  <si>
    <t>BPPL15.5X25X1.5</t>
  </si>
  <si>
    <t>BOLSA 15.5X25</t>
  </si>
  <si>
    <t>TPPL50X1.75</t>
  </si>
  <si>
    <t>SERVICIO DE EXTRUSION TUB PP 50X1.75</t>
  </si>
  <si>
    <t xml:space="preserve">- DESTINO ALMACEN _x000D_
- </t>
  </si>
  <si>
    <t>TPPL35X1.5</t>
  </si>
  <si>
    <t>TUBULAR PP 35X1.5</t>
  </si>
  <si>
    <t xml:space="preserve">- DESTINO ALMACEN_x000D_
- </t>
  </si>
  <si>
    <t>TUBULAR PP 35X1.5 - SERVICIO DE EXTRUSION</t>
  </si>
  <si>
    <t>TPPL55X1.3</t>
  </si>
  <si>
    <t>TUBULAR PP 55X1.3</t>
  </si>
  <si>
    <t>TPPL40X1.5</t>
  </si>
  <si>
    <t>TUBULAR PP 40X1.5</t>
  </si>
  <si>
    <t xml:space="preserve">- ALMACEN_x000D_
- </t>
  </si>
  <si>
    <t>TPPL30X2</t>
  </si>
  <si>
    <t>TUBULAR PP 30X2.0</t>
  </si>
  <si>
    <t>LPPL45X2.7</t>
  </si>
  <si>
    <t>LAMINA PP 45X2.7</t>
  </si>
  <si>
    <t>LAMINA DOBLE 28 CMS</t>
  </si>
  <si>
    <t>L- DOBLE</t>
  </si>
  <si>
    <t>-LAMINA DOBLE_x000D_
ALMACEN</t>
  </si>
  <si>
    <t>BPPL27X40X1.5</t>
  </si>
  <si>
    <t>CODIGO 87010068 NUEVA</t>
  </si>
  <si>
    <t>- DESTINO SELLADO_x000D_
- ADHITIVO SLEEP</t>
  </si>
  <si>
    <t>BPPL22X45+5X1.5</t>
  </si>
  <si>
    <t>PAN BLANCO 460 + PASTELITO SOLEDAD</t>
  </si>
  <si>
    <t>- COLOCAR BOLSA LINER AL EMPAQUE_x000D_
- ALMACEN</t>
  </si>
  <si>
    <t>BPPI19.5X28.5X1.4</t>
  </si>
  <si>
    <t>PAN QUESO 280 G</t>
  </si>
  <si>
    <t>TPPL60X0.8</t>
  </si>
  <si>
    <t>TUBULAR PP 60X0.8</t>
  </si>
  <si>
    <t>-ALMACEN_x000D_
- ROLLO BIEN AMPACADO</t>
  </si>
  <si>
    <t>LAMINA ROSADA CON SELLO LOTE 41377</t>
  </si>
  <si>
    <t>BPPI23X30X1.2</t>
  </si>
  <si>
    <t>CAMISETA IMPRESA</t>
  </si>
  <si>
    <t>BPPL17X18+4X1.3</t>
  </si>
  <si>
    <t>BEBES CON GANCHO</t>
  </si>
  <si>
    <t>-TUBULAR DE 40.0 CMS PARTIDO CON SOLAPA VOLADA DE 4.0 CMS_x000D_
-SELLADO</t>
  </si>
  <si>
    <t>-OJO CANTIDAD DE BOLDSAS POR PAQUETE_x000D_
-ALMACEN</t>
  </si>
  <si>
    <t>BPPL27.5X24.5+6X1.5</t>
  </si>
  <si>
    <t>PIJAMA DAMA CON GANCHO</t>
  </si>
  <si>
    <t>-OJO CANTIDAD DE BOLSAS POR PAQUETE_x000D_
-ALMACEN</t>
  </si>
  <si>
    <t>PHISALIS 20X20 LOTE 41366</t>
  </si>
  <si>
    <t>15.372.413-9</t>
  </si>
  <si>
    <t>BPPI27.5X20+5X1.5</t>
  </si>
  <si>
    <t>NEUTRO NUEVA</t>
  </si>
  <si>
    <t>-PEGADO DE GANCHO 07J TT/E</t>
  </si>
  <si>
    <t>TPPL50X0.8</t>
  </si>
  <si>
    <t>TUBULAR PP 50X0.8</t>
  </si>
  <si>
    <t xml:space="preserve">-ALMACEN_x000D_
-OJO ROLLO BIEN EMPACADO </t>
  </si>
  <si>
    <t>LAMINA ROSADA SIN SELLO LOTE 41377</t>
  </si>
  <si>
    <t>LPPL45X1.9</t>
  </si>
  <si>
    <t>LAMINA PP DOBLE 45X1.9</t>
  </si>
  <si>
    <t>LAM/DOBLE</t>
  </si>
  <si>
    <t>-ALMACEN _x000D_
-OJO CVORTE DE CUCHILLA QUE FORME MORRO EN LOS EXTREMOS</t>
  </si>
  <si>
    <t>TUCAN LOTE 40034</t>
  </si>
  <si>
    <t>DON LIMON LOTE 42043</t>
  </si>
  <si>
    <t>BPPI40X60+5X2.5</t>
  </si>
  <si>
    <t>REFERENCIA PRUEBA</t>
  </si>
  <si>
    <t xml:space="preserve">OJO: CONTROLAR BIEN EL CALIBRE._x000D_
DESTINO: IMPRESION_x000D_
</t>
  </si>
  <si>
    <t>5 CM</t>
  </si>
  <si>
    <t>POLIAMIDA</t>
  </si>
  <si>
    <t xml:space="preserve">DESTINO: SELLADO_x000D_
TONALIDADES SEGUN MUESTRA_x000D_
SE ANEXA PLANO MECANICO_x000D_
</t>
  </si>
  <si>
    <t>DESTINO: ALMACEN_x000D_
NO DOBLAR BOLSAS AL EMPACAR</t>
  </si>
  <si>
    <t>BPPL11X20X2</t>
  </si>
  <si>
    <t>BOLSA PP 11X20X2</t>
  </si>
  <si>
    <t xml:space="preserve">- TENER CUIDADO CON EL CALIBRE 2.0"_x000D_
- </t>
  </si>
  <si>
    <t>BPPI19.5X30X1.4</t>
  </si>
  <si>
    <t>PAN QUESO VIENESA 280 G</t>
  </si>
  <si>
    <t>LPPL50X1.9</t>
  </si>
  <si>
    <t>LAMINA PP DOBLE 50X1.9</t>
  </si>
  <si>
    <t>LAM/DOBL</t>
  </si>
  <si>
    <t>-CONTROLAR CORTE DE CUCHILLA QUE NO FORME MORRO EN LOS EXTREMOS_x000D_
- ALMACEN</t>
  </si>
  <si>
    <t>BPPL21X33X2</t>
  </si>
  <si>
    <t>BOLSA PP 21X33 SIN IMPRESION</t>
  </si>
  <si>
    <t>BPPL24.5X28+5X1.5</t>
  </si>
  <si>
    <t>BOLSA PP 24.5X28+5</t>
  </si>
  <si>
    <t>1.128.477.707-1</t>
  </si>
  <si>
    <t>BPPL25X35X1.3</t>
  </si>
  <si>
    <t>BOLSA PP 10"X14"</t>
  </si>
  <si>
    <t>-NO DOBLAR LOS PAQUETES_x000D_
-MARCAR LOS PAQUETES CON LA REF_x000D_
-NO COLOCAR TIQUETES</t>
  </si>
  <si>
    <t>STPPL20X1.9</t>
  </si>
  <si>
    <t>SEMITUBULAR PP 8"X1.9</t>
  </si>
  <si>
    <t>ALMACEN_x000D_
-TUBULAR DE 40.0 CMS PARTIDO A LA 1/2_x000D_
-</t>
  </si>
  <si>
    <t>BPPI30X38+5X1.7</t>
  </si>
  <si>
    <t>BOLSA JEAN CALIBRE 1.7</t>
  </si>
  <si>
    <t>TPPL30X0.8</t>
  </si>
  <si>
    <t>TUBULAR PP 30X0.8</t>
  </si>
  <si>
    <t>TUBULAR PP 30X2</t>
  </si>
  <si>
    <t>39.206.751-0</t>
  </si>
  <si>
    <t>BPPI10.5X12.5X1</t>
  </si>
  <si>
    <t>CHICAS BIZCOCHITOS</t>
  </si>
  <si>
    <t>-SACAR EN VIROLA DE 50 CMS, PARTIDO EN DOS</t>
  </si>
  <si>
    <t>PANDEQUESO SANTARROSANO CON FUELLE</t>
  </si>
  <si>
    <t>-EMBOBINADO DOBLE CARA_x000D_
-DESTINO DARMA</t>
  </si>
  <si>
    <t>BPPI20X38+4X2</t>
  </si>
  <si>
    <t>LARGA INTERIOR II CARMEL</t>
  </si>
  <si>
    <t>-ROLLOS BIEN CALIBRADOS SIN OREJA_x000D_
-DESTINO DARMA</t>
  </si>
  <si>
    <t>-COLOCAR CINTA DOBLE FAZ EN LA SOLAPA_x000D_
-DESTINO ALMACEN</t>
  </si>
  <si>
    <t>BPPI14X13+4X1.5</t>
  </si>
  <si>
    <t>PEQUEÑA INTERIOR II CARMEL</t>
  </si>
  <si>
    <t>-TUBULAR DE 30CMS PARTIDO CON SOLAPA VOLADA DE 4.0CMS_x000D_
-TRATAR CARA DE LA SOLAPA_x000D_
DESTINO DARMA</t>
  </si>
  <si>
    <t>DON LIMON LOTE 42038</t>
  </si>
  <si>
    <t>TUCAN LOTE 40031</t>
  </si>
  <si>
    <t>PAN BLANCO 460 + PASTELITO</t>
  </si>
  <si>
    <t>-COLOCAR BOLSA LAINER_x000D_
-ALMACEN</t>
  </si>
  <si>
    <t>-NO DOBLAR LOS PAQUETES_x000D_
MARCAR LOS PAQUETES  CON LA REF_x000D_
-NO COLOCAR TIQUETES</t>
  </si>
  <si>
    <t>BPPI24.5X28+5X1.5</t>
  </si>
  <si>
    <t>TEENS II</t>
  </si>
  <si>
    <t>BPPL26X37+6X1</t>
  </si>
  <si>
    <t>BOLSA 26X37+6 SIN IMPRESION</t>
  </si>
  <si>
    <t>SELLADO</t>
  </si>
  <si>
    <t>BPPI31.5X38+5X2</t>
  </si>
  <si>
    <t>BOLSA IMPRESA NEW ERA</t>
  </si>
  <si>
    <t>-OJO NO MEZCLAR MATERIAL POR TALLAS_x000D_
-COLOCAR CINTA DEBLE FAX Y PERFORACION_x000D_
-ALAMCEN</t>
  </si>
  <si>
    <t>BPPL15X20X3</t>
  </si>
  <si>
    <t>BOLSA CEREAL-AVENA</t>
  </si>
  <si>
    <t>BOLSA PP 12"X20"</t>
  </si>
  <si>
    <t>BPPL30X35+6X2.8</t>
  </si>
  <si>
    <t>BOLSA PP CON CINTA</t>
  </si>
  <si>
    <t>-CON CINTA DOBLE FAZ EN LA SOLAPA_x000D_
 ALMACEN</t>
  </si>
  <si>
    <t>PHISALIS 20X20 LOTE 41364</t>
  </si>
  <si>
    <t>BPPI27.5X21.5+6.5X2.8</t>
  </si>
  <si>
    <t>BOCARED PP</t>
  </si>
  <si>
    <t>-OJO  CONTROLAR DESCOMPENCE_x000D_
-IMPRESION DEMES_x000D_
-</t>
  </si>
  <si>
    <t>-OJO BIEN CONTROLADA LA CANTIDAD POR PAQUETE_x000D_
-ALAMCEN</t>
  </si>
  <si>
    <t>BPPL35X28X2.2</t>
  </si>
  <si>
    <t>BOLSA NACHOS X 500</t>
  </si>
  <si>
    <t>TPPL35X2</t>
  </si>
  <si>
    <t>SERVICIO DE EXTRUSION - TUB PP 35X2</t>
  </si>
  <si>
    <t>-RETAL MAXIMO 2.0 + 98.0 KLS = 100 KLS_x000D_
-ALMACEN_x000D_
 -MATERIAL DEL CLIENTE_x000D_
-</t>
  </si>
  <si>
    <t>2.</t>
  </si>
  <si>
    <t>DON LIMON LOTE 42037</t>
  </si>
  <si>
    <t>LAMINA PP 30X1.8</t>
  </si>
  <si>
    <t>-CONTROLAR CORTE DE CUCHILLA QUE NO FORME MORRO EN LOS EXTREMOS_x000D_
-ALMACEN</t>
  </si>
  <si>
    <t>BPPI20X27+2.5X1.5</t>
  </si>
  <si>
    <t>PANDEYUCA 90 GRM NUEVO</t>
  </si>
  <si>
    <t>BPPI27.5X17.5+5X1.5</t>
  </si>
  <si>
    <t>NEUTRO</t>
  </si>
  <si>
    <t>BPPL34X39+6X2.8</t>
  </si>
  <si>
    <t>BOLSA PP CON CINTA GRANDE</t>
  </si>
  <si>
    <t>-ALMACEN_x000D_
-COLOCAR CINTA DOLBLE FAZ</t>
  </si>
  <si>
    <t>LAMINA ROSADA CON SELLO LOTE 41376</t>
  </si>
  <si>
    <t>LAMINA ROSADA SIN SELLO LOTE 41376</t>
  </si>
  <si>
    <t>-IMPRESIOM DARMA_x000D_
-</t>
  </si>
  <si>
    <t>TUCAN LOTE 40033</t>
  </si>
  <si>
    <t>LPPL45X1.8</t>
  </si>
  <si>
    <t>LAMINA PP 45X1.8</t>
  </si>
  <si>
    <t>-ALMACEN_x000D_
-OJO PEDIDO BIEN CONTROLADO_x000D_
-</t>
  </si>
  <si>
    <t>BPPL6.5X20X2</t>
  </si>
  <si>
    <t>MANIJA PEQUEÑA CALIBRE 2</t>
  </si>
  <si>
    <t>BOLSA IMPRESA TALLA 6-8</t>
  </si>
  <si>
    <t>BOLSA IMPRESA TALLA 4-6</t>
  </si>
  <si>
    <t>BOLSA IMPRESA TALLA 10-12</t>
  </si>
  <si>
    <t>VAN DOMMELEN COSTA RICA</t>
  </si>
  <si>
    <t xml:space="preserve">-EMPACAR EN BULTOS BLANCOS_x000D_
 -ESTINO APARTADO_x000D_
- ORDRN DE COMPRA 1638 _x000D_
_x000D_
</t>
  </si>
  <si>
    <t>BPPL30X35+6X3</t>
  </si>
  <si>
    <t>87010290 SIN IMPRESION</t>
  </si>
  <si>
    <t>PHISALIS 20X20 LOTE 41365</t>
  </si>
  <si>
    <t>LPPL25X4</t>
  </si>
  <si>
    <t>LAMINA PP 25X4</t>
  </si>
  <si>
    <t>BPPI26X44X1.2</t>
  </si>
  <si>
    <t>CLUSTER FANCY</t>
  </si>
  <si>
    <t>-EMPACAR EN BULTOS_x000D_
-ORDEN DE COMPRA 7223_x000D_
-DESTINO  APARTADO AGROCENTRO</t>
  </si>
  <si>
    <t>BPPL33X48X1.4</t>
  </si>
  <si>
    <t>BOLSA PANTALON TALLAS GRANDE</t>
  </si>
  <si>
    <t>TUCAN LOTE 40032</t>
  </si>
  <si>
    <t>LPPL28X1.0</t>
  </si>
  <si>
    <t>SERVICIO DE EXTRUSION - LAM PP 28X1.0</t>
  </si>
  <si>
    <t>BPPL10.5X20X2</t>
  </si>
  <si>
    <t xml:space="preserve">TOPE Y VISAGRA </t>
  </si>
  <si>
    <t>-DESTINO: SELLADO_x000D_
-</t>
  </si>
  <si>
    <t>BPPI18X20+4X1.5</t>
  </si>
  <si>
    <t>GRANDE INTERIOR II CARMEL</t>
  </si>
  <si>
    <t>-VIROLA 44 CON SOLAPA DE 4.0-CMS_x000D_
-DESTINO DARMA_x000D_
-OJO CONTROLAR CORTE EN LA SOLAPA QUE NO FORME ARRUGA.</t>
  </si>
  <si>
    <t xml:space="preserve">-DEJAR MUESTRAS_x000D_
</t>
  </si>
  <si>
    <t>JEAN II MUJER JOVEN</t>
  </si>
  <si>
    <t>MEDIANA II MUJER JOVEN</t>
  </si>
  <si>
    <t>-BUEN CONTROL AL CALIBRE_x000D_
-IMPRESION DARMA</t>
  </si>
  <si>
    <t>SERVICIO REBOBINADO TUB - 35X0.9</t>
  </si>
  <si>
    <t>BPPL31X45X1.45</t>
  </si>
  <si>
    <t>BOLSA PANTALON TALLA PEQUEÑA</t>
  </si>
  <si>
    <t>SERVICIO DE EXTRUSION - LAM PP 28X1.1</t>
  </si>
  <si>
    <t>LPPL9.5X20X2</t>
  </si>
  <si>
    <t>LAMINA SIN IMPRESION 9.5X20</t>
  </si>
  <si>
    <t>SERVICIO DE EXTRUSION - LAM PP 25X4.0</t>
  </si>
  <si>
    <t xml:space="preserve">-LAMINA DE 50.0 CMS _x000D_
DESTINO REFILADO </t>
  </si>
  <si>
    <t>LPPL30X1</t>
  </si>
  <si>
    <t>SERVICIO DE EXTRUSION - LAM PP 30X1.0</t>
  </si>
  <si>
    <t>-CONTROLAR CORTE DE CUCHILLA PARA EVITAR MORRO EN LOS EXTREMOS_x000D_
-ALMACEN</t>
  </si>
  <si>
    <t>BPPL25X34+3+6X1.4</t>
  </si>
  <si>
    <t>BOLSA CAMISA 25X34+3+6X1.4</t>
  </si>
  <si>
    <t>CHICAS LENGUITAS</t>
  </si>
  <si>
    <t>BPPL25.5X35X1.5</t>
  </si>
  <si>
    <t>BOLSA 10"X14"</t>
  </si>
  <si>
    <t>DON LIMON LOTE 42039</t>
  </si>
  <si>
    <t>HOMBRE CON GANCHO GEORDI NUEVA</t>
  </si>
  <si>
    <t>-OJO MATERIAL BIEN CALIBRADO, SIN DESCOMPENCE_x000D_
-IMPRESION DARMA</t>
  </si>
  <si>
    <t>BPPI25X38X0.8</t>
  </si>
  <si>
    <t>CAÑITA GRANDE</t>
  </si>
  <si>
    <t xml:space="preserve">OJO CON EL CALIBRE 0.8_x000D_
DESTINO IMPRESION DARMA_x000D_
AGREGAR 400 GMS DE ADHITIVO SLIP_x000D_
</t>
  </si>
  <si>
    <t>DEJAR MUESTRAS PARA  ARCHIVO_x000D_
DESTINO ALMACEN-</t>
  </si>
  <si>
    <t>CVPPL40X40X1.5</t>
  </si>
  <si>
    <t>CUBREVESTIDO PP 40X40</t>
  </si>
  <si>
    <t>BUEN CALIBRE DESTINO SELLADO</t>
  </si>
  <si>
    <t>OJO HAY RECLAMO X DESCALIRE_x000D_
CONTRO0LAR OREJA DE PERRO_x000D_
DESTINO ALMACEN-</t>
  </si>
  <si>
    <t>- MAXIMO RETAL  2.0KLS + 98 KLS = 100 KLS_x000D_
- DESTINO ALMACEN_x000D_
-</t>
  </si>
  <si>
    <t>BPPL18X25+5X1.3</t>
  </si>
  <si>
    <t>BOLSA 7X12 CON CINTA DOBLE FAZ</t>
  </si>
  <si>
    <t>-COLOCAR CINTA DOBLE FAZ_x000D_
-ALMACEN</t>
  </si>
  <si>
    <t>BPPI36X36+4X1.3</t>
  </si>
  <si>
    <t>PAQUETAZO</t>
  </si>
  <si>
    <t>CALIBRE BIEN CONTROLADO_x000D_
DESTINO :DARMA</t>
  </si>
  <si>
    <t xml:space="preserve">-DESTINO ALMACAEN_x000D_
CHEQUEAR OREJA EN CADA ROLLO_x000D_
</t>
  </si>
  <si>
    <t>TPPL40X2.3</t>
  </si>
  <si>
    <t>TUBULAR PP 40X2.3</t>
  </si>
  <si>
    <t>CALIBRE BIEN CONTROLADO_x000D_
TRATADO POR FUERA_x000D_
DESTINO ALMACEN</t>
  </si>
  <si>
    <t>TUBULAR PP 28X0.9 SERVICIO DE EXTRUSION</t>
  </si>
  <si>
    <t>BIEN CALIBRADO POR PESO_x000D_
DESTINO ALMACEN</t>
  </si>
  <si>
    <t>BPPL14X13+4X1.5</t>
  </si>
  <si>
    <t>BOLSA PEQUEÑA ROPA INTERIOR</t>
  </si>
  <si>
    <t>VIROLA 30.0 CON SOLAPA DE 4.0 CMS._x000D_
DESTINO: SELLADO_x000D_
_x000D_
_x000D_
-</t>
  </si>
  <si>
    <t>DESTINO: ALMACEN_x000D_
COLOCAR CINTA DODLE FAZ EN LA SOLAPA (</t>
  </si>
  <si>
    <t>CONTROLAR QUE SALGA SIN OREJA DE PERRO_x000D_
DESTINO SELLAADO</t>
  </si>
  <si>
    <t>BPPI16.5X35X0.8</t>
  </si>
  <si>
    <t>CAÑITA MEDIANA</t>
  </si>
  <si>
    <t>CALIBRE CONTROLADO POR PESO_x000D_
DESTINO IMPRESION DARMA_x000D_
-</t>
  </si>
  <si>
    <t>70.977.835-0</t>
  </si>
  <si>
    <t>BPPL30X41+4X1.7</t>
  </si>
  <si>
    <t>PRENDA SIN IMPRESION GRANDE</t>
  </si>
  <si>
    <t>-BUEN CALIBRE_x000D_
DESTINO SELLADO</t>
  </si>
  <si>
    <t>DEJAR MUESTRAS BIEN MARCADAS PARA ARCHIVO_x000D_
COLOCAR CINTA DOBLE FAZ EN LA SOLAPA_x000D_
DESTINO ALMACEN</t>
  </si>
  <si>
    <t>TUBULAR PP 40X1.9 SERVICIO DE EXTRUSION</t>
  </si>
  <si>
    <t>OJO CON LA OREJA DE PERRO ESTA VIROLA LA DA EN EL CENTRO DEL ROLLO_x000D_
DESTINO ALMACEN-</t>
  </si>
  <si>
    <t>LAMINA DOBLE 28X1</t>
  </si>
  <si>
    <t>SIN OREJA DE PERRO - CONTROLAR EL CORTE DE LA CUCHILLA QUE NO FORME MORRO EN LOS EXTREMOS._x000D_
DESTINO ALMACEN_x000D_
-</t>
  </si>
  <si>
    <t>-300GM ADHIVO</t>
  </si>
  <si>
    <t>TPPL40X1.4</t>
  </si>
  <si>
    <t>TUBULAR PP 40X1.4 - SERVICIO DE EXTRUSION</t>
  </si>
  <si>
    <t xml:space="preserve"> DESTINO ALMACEN</t>
  </si>
  <si>
    <t>DON LIMON LOTE 42022</t>
  </si>
  <si>
    <t>ROLLOS PAREJOS SIN OREJA_x000D_
DESTNO DARMA-</t>
  </si>
  <si>
    <t>9.5-</t>
  </si>
  <si>
    <t>30-</t>
  </si>
  <si>
    <t>BPPL30X38+5X2</t>
  </si>
  <si>
    <t>JEAN SIN IMPRESION</t>
  </si>
  <si>
    <t>SIN OREJA DE PERRO_x000D_
BUEN CONTROL AL CALIBRE_x000D_
DESTINO SELLADO</t>
  </si>
  <si>
    <t>900.072.404-5</t>
  </si>
  <si>
    <t>TPPL25X1.25</t>
  </si>
  <si>
    <t>TUBULAR PP 25X1.25</t>
  </si>
  <si>
    <t>MATERIAL BIEN CALIBRADO_x000D_
OJO CON EL TRATADO 38 DINAS CNTROLAR BLOQEO_x000D_
DESTINO ALMACEN</t>
  </si>
  <si>
    <t>800.230.322-5</t>
  </si>
  <si>
    <t>CVPPL34X38X1.4</t>
  </si>
  <si>
    <t>CUBREVESTIDO 34X38</t>
  </si>
  <si>
    <t xml:space="preserve">CALIBRE BIEN CONTROLADO 23.0 GMS X PESO_x000D_
AGREGAR ADHITIVO SLIP_x000D_
DESTINO SELLADO_x000D_
</t>
  </si>
  <si>
    <t>300G.DE ADHIT</t>
  </si>
  <si>
    <t>_</t>
  </si>
  <si>
    <t>PAQUETES SIN DOBLAR_x000D_
BOLSA TOTAL/ DESPEGADA_x000D_
DESTINO ALMACEN</t>
  </si>
  <si>
    <t>BPPL25X35X1</t>
  </si>
  <si>
    <t>BOLSA 10X14" - COD 151100140100</t>
  </si>
  <si>
    <t>-DESTINO SELLAADO_x000D_
-</t>
  </si>
  <si>
    <t>COLOCAR TIQUETES DE SIGMAPLAS_x000D_
NO DOBLAR LOS PAQUETES_x000D_
DESTINO ALMACEN</t>
  </si>
  <si>
    <t>TPPL25X1.2</t>
  </si>
  <si>
    <t>TUBULAR PP 25X1.2</t>
  </si>
  <si>
    <t>OJO TRADADO SIN BLOQUEO_x000D_
DESTINO ALMACEN</t>
  </si>
  <si>
    <t>BPPI13.5X33X0.8</t>
  </si>
  <si>
    <t>CAÑITA PEQUEÑA</t>
  </si>
  <si>
    <t>CALIBRE CONTROLADO POR PESO_x000D_
DESTINO IMPRESION DARMA</t>
  </si>
  <si>
    <t>CARMEL MEDIANA</t>
  </si>
  <si>
    <t>BUEN CONTROL AL CALIBRE_x000D_
DESTINO IMPRESION DARMA</t>
  </si>
  <si>
    <t>-SOLAPA PARTE INFERIOR DEL DISEÑO_x000D_
-DESTINO ALMACEN</t>
  </si>
  <si>
    <t>LAMINA PP 40X1.1</t>
  </si>
  <si>
    <t>CONTROLAR QUE NO SALGA CON MORRO EN LOS EXTREMOS_x000D_
SIN OREJA DE PERRO _x000D_
DESTINO ALMACEN</t>
  </si>
  <si>
    <t>300GR ADHITIVO</t>
  </si>
  <si>
    <t>BOLSA GRANDE ROPA INTERIOR CARMEL</t>
  </si>
  <si>
    <t xml:space="preserve">VIROLA 44 CON SOLAPA DE 4.0CMS_x000D_
DESTINO DARMA_x000D_
OJO CONTROLAR CORTE EN LA SOLAPA QUE NO FORME ARRUGA_x000D_
</t>
  </si>
  <si>
    <t xml:space="preserve">-DEJAR MUESTRAS_x000D_
DESTINO ALMACEN_x000D_
</t>
  </si>
  <si>
    <t>TUBULAR PP 40X1.4</t>
  </si>
  <si>
    <t>-RETAL MAXIMO 2.0KLS + 98.0 KLS  =100 KLS_x000D_
-DESTINO ALMACEN_x000D_
-TRATADO EXTERNO_x000D_
-</t>
  </si>
  <si>
    <t>BPPL27X30+5X1.5</t>
  </si>
  <si>
    <t>CALIBRE BIEN CONTROLADO_x000D_
DESTINO SELLADO</t>
  </si>
  <si>
    <t>COLOCAR CINTA DOBLE FAZ EN LA SOLAPA  A 1/2 CMS DEL BORDE _x000D_
DESTINO ALMACEN</t>
  </si>
  <si>
    <t>15.679.282-1</t>
  </si>
  <si>
    <t>CALIBRE BIEN CONTROLADO POR PESO_x000D_
DESTINO ALMACAEN</t>
  </si>
  <si>
    <t>PRODUCTOS SAGON</t>
  </si>
  <si>
    <t>OJO BUEN CALIBRE_x000D_
DESTINO:  DARMA</t>
  </si>
  <si>
    <t>DEJAR MUESTRAS  BIEN MARCADAS_x000D_
DESTINO ALMACEN</t>
  </si>
  <si>
    <t>BPPL15X20X1</t>
  </si>
  <si>
    <t>BOLSA 6X8" - COD 151060080100</t>
  </si>
  <si>
    <t>BUEN CALIBRE_x000D_
DESTINO SELLADO</t>
  </si>
  <si>
    <t xml:space="preserve">_x000D_
NO DOBLAR LOS PAQUETES_x000D_
COLOCAR TIQUETES DE SIGMAPLAS_x000D_
DESTINO ALMACEN  - </t>
  </si>
  <si>
    <t>BPPL23X32+5X1</t>
  </si>
  <si>
    <t>BOLSA 23X32+5</t>
  </si>
  <si>
    <t>_x000D_
DESTINO SELLADO-</t>
  </si>
  <si>
    <t>CVPPL40X80X1.5</t>
  </si>
  <si>
    <t>CUBREVESTIDO PP 40X80</t>
  </si>
  <si>
    <t>OJO BUEN CALIBRE_x000D_
DESTINO : SELLADO_x000D_
-</t>
  </si>
  <si>
    <t>BPPI25X27+6X1.5</t>
  </si>
  <si>
    <t>GORRA Y BLUSA</t>
  </si>
  <si>
    <t>OJO CALIBRE POR PESO_x000D_
DETINO DARMA-</t>
  </si>
  <si>
    <t>MUCHO CONTROL  CON LA OREJA  EN ESTA MEDIDA_x000D_
DESTINO SELLADO</t>
  </si>
  <si>
    <t>-DESTINO ALMACEN _x000D_
COLOCAR BOLSA LAINER AL EMPAQUE</t>
  </si>
  <si>
    <t>8.014.386-8</t>
  </si>
  <si>
    <t>BPPI20X30X1.25</t>
  </si>
  <si>
    <t>MI CASA DEL PAN 8X12</t>
  </si>
  <si>
    <t>DON LIMON LOTE 42023</t>
  </si>
  <si>
    <t>CONTROLAR OREJA_x000D_
DESTINO DARMA-</t>
  </si>
  <si>
    <t>PAN TAJADO ESPECIAL 430 GR</t>
  </si>
  <si>
    <t>-COMTROLAR OREJA_x000D_
-DESTINO CORREA</t>
  </si>
  <si>
    <t>BPPI22.5X46+4X1.5</t>
  </si>
  <si>
    <t>PANDEQUESO</t>
  </si>
  <si>
    <t>OJO BUEN CONTROL SIM OREJA_x000D_
-</t>
  </si>
  <si>
    <t>22.5-</t>
  </si>
  <si>
    <t>DEJAAR MUESTRAS _x000D_
DESTINO ALMACEN-</t>
  </si>
  <si>
    <t>BOLSA PEQUEÑA ROPA INTERIOR CARMEL</t>
  </si>
  <si>
    <t>TUBULAR SE 30.0 CMS PARTIDO CON SOLA PA DE 4.0 CMS VOLADA_x000D_
DESTINO IMPRESION DARMA_x000D_
TRATAR CARA DE LA SOLAPA_x000D_
-</t>
  </si>
  <si>
    <t>14.-</t>
  </si>
  <si>
    <t>28-</t>
  </si>
  <si>
    <t>-COLOCAR CINTA DOLBLE FAZ  EN LA SOLAPA_x000D_
DESTINO ALMACEN</t>
  </si>
  <si>
    <t>TPPI23X1.5</t>
  </si>
  <si>
    <t>LAMINA 23CM IMPRESA CODIGO 030001-8</t>
  </si>
  <si>
    <t>TPPI</t>
  </si>
  <si>
    <t>-OJO BUEN CALIBRE SIN OREJA_x000D_
-DESTINO DARMA_x000D_
-OJO ROLLOS DE KILAJE EXACTO PARA EVITAR EMPATES EN REFILDO_x000D_
-</t>
  </si>
  <si>
    <t>CONTINUA-</t>
  </si>
  <si>
    <t>2250MTS-20.0KLS</t>
  </si>
  <si>
    <t>-ROLLOS DE 20.0 KLS   2550 M,TS-_x000D_
-EMPACAR DE A 2 ROLLOS EN PE GRUESO</t>
  </si>
  <si>
    <t>BPPL18.5X41+4X1.5</t>
  </si>
  <si>
    <t>TAJADO SIN IMPRESIÓN -2-</t>
  </si>
  <si>
    <t>OJO CALIBRE SIN OREJA_x000D_
DESTINO SELLADO-</t>
  </si>
  <si>
    <t>SERVICIO DE EXTRUSION TUB PP 45X1.3</t>
  </si>
  <si>
    <t>-RETAL MAXIMO 2.0KLS. +98.0KLS = 100 KLS._x000D_
DESTINO ALMACEN_x000D_
-</t>
  </si>
  <si>
    <t>TPPL35X2.5</t>
  </si>
  <si>
    <t>TUBULAR PP 35X2.5</t>
  </si>
  <si>
    <t>DESTIMO ALMACEN-</t>
  </si>
  <si>
    <t>BPPI32X39+3X1.5</t>
  </si>
  <si>
    <t>GENERICO 2 (PANZOTE-BIZCOCHO)</t>
  </si>
  <si>
    <t>-IMPRESION: CORREA_x000D_
EMBOBINADO DOBLE CARA_x000D_
-</t>
  </si>
  <si>
    <t>BPPL8X13X1</t>
  </si>
  <si>
    <t>BOLSA 3X5" - COD 151030050100</t>
  </si>
  <si>
    <t>COLOCAR TIQUETES DEL CLIENTE_x000D_
DESTINO ALMACEN-</t>
  </si>
  <si>
    <t>PAN TRENZA</t>
  </si>
  <si>
    <t>-SIN OREJA _x000D_
-DESTINO DARMA_x000D_
-</t>
  </si>
  <si>
    <t>DEJAR MUESTRAS PARA ARCHIVO_x000D_
DESTINO SELLADO-</t>
  </si>
  <si>
    <t>TUCAN LOTE 40021</t>
  </si>
  <si>
    <t>OJO CON LA OREJA DER PERRO EN ESTA VIROLA_x000D_
DESTINO IMPRESION DARMA</t>
  </si>
  <si>
    <t>-SIN OREJA DE PERRO - CONTROLAR EL CORTE DE LA CUCHILLA  QUE NO FORME MORRO EN LOS EXTREMOS_x000D_
DESTINO ALMACEN</t>
  </si>
  <si>
    <t>890.505.140-0</t>
  </si>
  <si>
    <t>COJO OREJA DE PERRO EN ESTA VIROLA_x000D_
PESO MAXIMO : DEL ROLLO 40 KLS_x000D_
DESTINO : ALMACEN</t>
  </si>
  <si>
    <t>TUBULAR PP 35X2.0</t>
  </si>
  <si>
    <t>OJO. SIN OREJOA DE PERRO-_x000D_
PESO MAXIMO DE LOS ROLLOS: 40KLS_x000D_
DESTINO: ALMACEN</t>
  </si>
  <si>
    <t>BPPI30X35+6X3</t>
  </si>
  <si>
    <t>87010290 IMPRESA</t>
  </si>
  <si>
    <t>BIEN CALIBRADO SIN OREJA  DE PERRO_x000D_
DESTINO IMP`RESION DARMA</t>
  </si>
  <si>
    <t>BIEN EMPACADAS PARA TROQUELAR_x000D_
CINTA DOBLE FAZ EN LA SOLAPA_x000D_
DEJAR MUESTRAS BIEN MARCADAS_x000D_
SESTINO ALMACEN</t>
  </si>
  <si>
    <t xml:space="preserve">TROQUEL_x000D_
</t>
  </si>
  <si>
    <t>BPPI31.5X50.5X1.2</t>
  </si>
  <si>
    <t>_x000D_
DETINO IMPRESION DARMA</t>
  </si>
  <si>
    <t>PANDEYUCA 90GR</t>
  </si>
  <si>
    <t>BUEN CALIBRE SIN OREJA_x000D_
DESTINO IMPRESION DARMA</t>
  </si>
  <si>
    <t>42.</t>
  </si>
  <si>
    <t>DEJAR MUESTRAS MARCADAS_x000D_
DESTINO ALMACEN-</t>
  </si>
  <si>
    <t>DON LIMON LOTE 42021</t>
  </si>
  <si>
    <t>CONTROLAR OREJA DE PERRO EN ESTA VIROLA_x000D_
DESTINO : DARMA</t>
  </si>
  <si>
    <t>CVPPL30X45X1.3</t>
  </si>
  <si>
    <t>CUBREVESTIDO 12X18"</t>
  </si>
  <si>
    <t>-DESTONO: SELLADO_x000D_
-</t>
  </si>
  <si>
    <t>BPPL18X25X2.5</t>
  </si>
  <si>
    <t>BOLSA 7X10" - COD 151070100250</t>
  </si>
  <si>
    <t>OJO CON LA OREJA DE PERRO EN ESTA VIROLA_x000D_
BUEN CALIBRE _x000D_
DESTINO SELLADO</t>
  </si>
  <si>
    <t>OJO  NO DOBLAR LOS PQUETES_x000D_
COLOCAR TIQUETES DEL CLIENTE_x000D_
DESTINO ALMACEN</t>
  </si>
  <si>
    <t>BOLSA LARGA ROPA INTERIOR CARMEL</t>
  </si>
  <si>
    <t>ROLLOS BIEN CALIBRADOS SIN OREJA_x000D_
DESTINO DARMA</t>
  </si>
  <si>
    <t>DETINO ALMACEN_x000D_
COLOCAR CINTA DOBLE FAZ EN LA SOLAPA-</t>
  </si>
  <si>
    <t>CLENCH</t>
  </si>
  <si>
    <t>OJO BIEN CALIBRADO_x000D_
DESTINO DARMA</t>
  </si>
  <si>
    <t>-DESTINO ALMACEN_x000D_
CINTA DOBLE FAZ EN LA SOLAPA</t>
  </si>
  <si>
    <t>MAASAI</t>
  </si>
  <si>
    <t>BIEN CALIBRADO SIN OREJA_x000D_
DESTINO DARMA-</t>
  </si>
  <si>
    <t>LPATA</t>
  </si>
  <si>
    <t>DEJAR MUESTRAS_x000D_
DESTINO  ALMACEN_x000D_
COLOCAR CINTA DOBLE FAZ EN LA SOLAPA</t>
  </si>
  <si>
    <t>KENYA</t>
  </si>
  <si>
    <t>BUEN CALIBRE SIN OREJA _x000D_
DESTINO DARMA</t>
  </si>
  <si>
    <t>DEJAR  MUESTRAS_x000D_
COLOCAR CINTA DOBLE FAZ EN LA SOLAPA_x000D_
DESTINO ALMACEN</t>
  </si>
  <si>
    <t>BPPI27X30+6X3</t>
  </si>
  <si>
    <t>87010053 IMPRESA</t>
  </si>
  <si>
    <t>TIPO SOBRE</t>
  </si>
  <si>
    <t>-BIEN EMPACADO PARA TROQUELAR_x000D_
CON CINTA DOBLE FAZ</t>
  </si>
  <si>
    <t>LPPL50X2</t>
  </si>
  <si>
    <t>LAMINA PP 50X2.0</t>
  </si>
  <si>
    <t>OJO BIEN CONTROLADO SIN OREJA DE PERRO_x000D_
CONTROLAR QUE LA CUCHILLA NO FORME MORRO EN LOS EXTREMOS_x000D_
DESTINO ALMAACEN-</t>
  </si>
  <si>
    <t>TPPI29X1.5</t>
  </si>
  <si>
    <t>LAMINA 29CM IMPRESA CODIGO 030002-5</t>
  </si>
  <si>
    <t>OJO PEDIDO BIEN CONTROLADO-_x000D_
DESTINO DARMA</t>
  </si>
  <si>
    <t>-EMPACAR DE A 1 ROLLO</t>
  </si>
  <si>
    <t>BOLSA JEAN NUEVA IMAGEN</t>
  </si>
  <si>
    <t>DEJAR MUESTRA PARA ARCHIVO_x000D_
DESTINO ALMACEN</t>
  </si>
  <si>
    <t>43.313.397-3</t>
  </si>
  <si>
    <t>BPPI18X35X1.2</t>
  </si>
  <si>
    <t>PAN DE ENRIQUESITO</t>
  </si>
  <si>
    <t>TAJADO TULIPAN</t>
  </si>
  <si>
    <t>BPPI30X40+4X1.4</t>
  </si>
  <si>
    <t>CHRISTIAN LAY</t>
  </si>
  <si>
    <t>PERFORACIONES SEGUN PLANO_x000D_
CINTA DOBLE FAZ_x000D_
DESTINO ALMACEN</t>
  </si>
  <si>
    <t>BPPI19.5X41+2X1.5</t>
  </si>
  <si>
    <t>BIZCOCHITOS</t>
  </si>
  <si>
    <t>BPPI32X48X2</t>
  </si>
  <si>
    <t>CHAMAN ADULTOS</t>
  </si>
  <si>
    <t>BPPI23X24.5+3.5X1.5</t>
  </si>
  <si>
    <t>PANDEYUCA - PONQUE RICO</t>
  </si>
  <si>
    <t>PANDEYUCA - PRODUCTOS LA 96</t>
  </si>
  <si>
    <t>LAMINA PP 27.5X1.0</t>
  </si>
  <si>
    <t>LAMINA ABIERTA A LOS DOS LADOS_x000D_
TENER CUIDADO CON MEDIDA Y CALIBRE_x000D_
DESTINO ALMACEN</t>
  </si>
  <si>
    <t>BPPL27X35X1.5</t>
  </si>
  <si>
    <t>CODIGO 87010068</t>
  </si>
  <si>
    <t>SIN OREJA DE PERRO -  BUEN CONTROL AL CALIBRE _x000D_
DESTINO SELLADO</t>
  </si>
  <si>
    <t>10% DE RANDOM_x000D_
DESTINO ALMACEN</t>
  </si>
  <si>
    <t>TUBULAR PP 40X0.85</t>
  </si>
  <si>
    <t>CEREALES D´FRUTA PEQUEÑA</t>
  </si>
  <si>
    <t>ME0003 BOLSA 17GX100</t>
  </si>
  <si>
    <t>BUEN CALIBRE _x000D_
DESTINO SELLADO</t>
  </si>
  <si>
    <t>TODO PAQUETE DEBE LLEVAR TIQUETE INDICANDO LA REF. ME0003_x000D_
DESTINO ALMACEN_x000D_
_x000D_
_x000D_
DESTINO ALMACEN</t>
  </si>
  <si>
    <t>BPPI30X38+5X2.3</t>
  </si>
  <si>
    <t>BOLSA GRANDE ARABESCOS</t>
  </si>
  <si>
    <t>LAMINA DOBLE ABIERTA A LOS DOS LADOS_x000D_
TENER CUIDADO CON MEDIDA Y CALIBRE_x000D_
DESTINO ALMACEN - EMPACAR</t>
  </si>
  <si>
    <t>LAMINA PP 35X1.15</t>
  </si>
  <si>
    <t xml:space="preserve">LAMINA DOBLE ABIERTA A LOS DOS LADOS_x000D_
TENER CUIDADO CON MEDIDA Y CALIBRE_x000D_
DESTINO ALMACEN </t>
  </si>
  <si>
    <t>BPPI17X30X2.5</t>
  </si>
  <si>
    <t>BOLSA CEREALES Y GRANOS</t>
  </si>
  <si>
    <t xml:space="preserve">DESTINO ALMACEN_x000D_
DEJAR MUESTRAS </t>
  </si>
  <si>
    <t>900.159.316-0</t>
  </si>
  <si>
    <t>FRUTOS DE MI MONTAÑA</t>
  </si>
  <si>
    <t>BPPL30.4X35+3.8+7X1</t>
  </si>
  <si>
    <t>BOLSA DE PP</t>
  </si>
  <si>
    <t>TPPL32X2</t>
  </si>
  <si>
    <t>LAMINA 32CM CODIGO 30003-2</t>
  </si>
  <si>
    <t>LAMINA SENCILLA DE 33CM_x000D_
ROLLOS BIEN EMBOBINADOS_x000D_
BOBINAS DE 20 A 24 KILOS_x000D_
DESTINO ALMACEN</t>
  </si>
  <si>
    <t>TPPL23X1.5</t>
  </si>
  <si>
    <t>LAMINA 23CM CODIGO 30001-8</t>
  </si>
  <si>
    <t>LAMINA SENCILLA DE 46CM (REFILAR EN DARMA)_x000D_
BOBINAS DE 20 A 24 KILOS_x000D_
MUY BIEN REFILADO</t>
  </si>
  <si>
    <t>811.013.831-2</t>
  </si>
  <si>
    <t>LAMINA PP DOBLE 50X1.1</t>
  </si>
  <si>
    <t>LAMINA DOBLE_x000D_
TENER CUIDADO CON CALIBRE Y MEDIDA_x000D_
DESTINO ALMACEN</t>
  </si>
  <si>
    <t>LPPL40X1</t>
  </si>
  <si>
    <t>LAMINA PP DOBLE 40X1.0</t>
  </si>
  <si>
    <t>LAMINA DOBLE_x000D_
TENER CUIDADO CON MEDIDA Y CALIBRE_x000D_
DESTINO ALMACEN</t>
  </si>
  <si>
    <t>LAMINA DOBLE 25X1.2</t>
  </si>
  <si>
    <t>LAMI-DOBLE</t>
  </si>
  <si>
    <t>SIN OREEJA DE PERRO - CONTROLAR EL CORTE DELA CUCHILLA, QUE NO FORME MORRO EN LOS EXTREMOS_x000D_
DESTINO ALMCEN_x000D_
_x000D_
DESTINO ALMACEN</t>
  </si>
  <si>
    <t>LPPL50X1.15</t>
  </si>
  <si>
    <t>LAMINA DOBLE 50X1.15</t>
  </si>
  <si>
    <t>TPPL40X1.8</t>
  </si>
  <si>
    <t>TUBULAR PP 40X1.8</t>
  </si>
  <si>
    <t>DESTINO ALMACEN_x000D_
OJO TRATADO POR FUERA-</t>
  </si>
  <si>
    <t>14.994.795-2</t>
  </si>
  <si>
    <t>BOLSA 12X14" GERPAR</t>
  </si>
  <si>
    <t>LAMINA PP 40X1.0</t>
  </si>
  <si>
    <t>-SIN OREJA DE PERRO_x000D_
-BUEN CONTROL AL CORTE DE LA CUCHILLA QUE NO FORME MORRO EN LOS EXTREMOS_x000D_
-DESTINO ALMACEN</t>
  </si>
  <si>
    <t>300GRM DE ADHITIVO</t>
  </si>
  <si>
    <t>BPPI30X38X2</t>
  </si>
  <si>
    <t>CHAMAN JUNIOR</t>
  </si>
  <si>
    <t>_x000D_
-TRATDO A 39 DINAS_x000D_
-DESTINO IMPRESION DEMES_x000D_
-</t>
  </si>
  <si>
    <t xml:space="preserve">ADHITVO </t>
  </si>
  <si>
    <t>POLYCRO</t>
  </si>
  <si>
    <t>-DESTINO STA. MARTHA_x000D_
O.DE COMPRA 7607.... STA. MARTA_x000D_
- EMPACAR EN BULTOS_x000D_
--OJO CANTIDAD SE BOLSAS X PAQUETE  X CAJA_x000D_
-</t>
  </si>
  <si>
    <t>LAMINA PP 50X1.1</t>
  </si>
  <si>
    <t>CONTROLAR CORTE DE LA CUCHILLA  QUE NO FORME MORRO_x000D_
-RETAL MAXIMO 14 KLS + 686 KLS = 700 KLS _x000D_
-</t>
  </si>
  <si>
    <t>LAMINA PP 30X1.3</t>
  </si>
  <si>
    <t>SIN OREJA DE PERRO- CONTROLAR CORTE DE LA CUCHILLA QUE NO FORME MORRO EN LOS EXTREMOS_x000D_
DESTINO ALMACEN-</t>
  </si>
  <si>
    <t>TPPL28X1</t>
  </si>
  <si>
    <t>TUBULAR PP 28X1.0</t>
  </si>
  <si>
    <t>-TRATADO A 38 DINAS SIN BLOQUEO DESTINO  ALMACEN</t>
  </si>
  <si>
    <t>CON CINTA DOBLE FAZ_x000D_
DESTINO ALMACEN</t>
  </si>
  <si>
    <t>BPPI14X33X0.8</t>
  </si>
  <si>
    <t>PITILLOS PAJITA</t>
  </si>
  <si>
    <t xml:space="preserve">SIN  OREJA DE PERRO -  BIEN CALIBRADO 08 - DESTINO DARMA_x000D_
</t>
  </si>
  <si>
    <t>ADH SLIP</t>
  </si>
  <si>
    <t xml:space="preserve"> DESTINO ALMACEN_x000D_
OJO BUEN SELLE</t>
  </si>
  <si>
    <t>BPPL27X30+5X1.7</t>
  </si>
  <si>
    <t>BOLSA CON CINTA ADHESIVA</t>
  </si>
  <si>
    <t>- SIN OREJA DE PERRO_x000D_
- BUEN CONTROL AL CALIBRE_x000D_
- DESTINO ALMACEN</t>
  </si>
  <si>
    <t>TPPL45X1.9</t>
  </si>
  <si>
    <t>TUBULAR PP 45X1.9</t>
  </si>
  <si>
    <t>- SIN OREJA DE PERRO_x000D_
- TRATADO POR FUERA_x000D_
- DESTINO ALMACEN</t>
  </si>
  <si>
    <t>BPPI32X38X1.3</t>
  </si>
  <si>
    <t>MAPPOS</t>
  </si>
  <si>
    <t xml:space="preserve">SON OREJA DE PERRO_x000D_
DESTINO ALMACEN_x000D_
_x000D_
_x000D_
_x000D_
</t>
  </si>
  <si>
    <t>SIN TIQUETES - DEJAR MUESTRAS PRA ARCHIVO_x000D_
BOCA POR DEBAJO DEL DISEÑO_x000D_
DESTINO ALMACEN</t>
  </si>
  <si>
    <t>- SIN OREJA DE PERRO_x000D_
- BUEN CALIBRE_x000D_
- DESTINO DARMA</t>
  </si>
  <si>
    <t>NUESTRA</t>
  </si>
  <si>
    <t>DEJAR MUESTRAS PARA ARCHIVO_x000D_
DESTINO ALMACEM_x000D_
SOLAPA POR DEBAJO DEL DISEÑO</t>
  </si>
  <si>
    <t>BPPL26X33+4X2.5</t>
  </si>
  <si>
    <t>FASHION MEN PRENDA SIN IMPRESION</t>
  </si>
  <si>
    <t>COLOCAR CINTA DOBLE FAZ EN LA SOLAPA _x000D_
DESTINO ALMACEN</t>
  </si>
  <si>
    <t>TPPL50X1.4</t>
  </si>
  <si>
    <t>TUBULAR PP 50X1.4</t>
  </si>
  <si>
    <t>-TRATADO POR FUERA_x000D_
-RETAL MAXIMO 13.O KLS + 407.0 KLS  = 420 KLS_x000D_
-DESTINO ALMACEN_x000D_
-</t>
  </si>
  <si>
    <t>-TRATADO A 38 DINAS SIN BLOQUEO - DESTINO ALMACEN</t>
  </si>
  <si>
    <t>LAMINA WELTGARTEN</t>
  </si>
  <si>
    <t>BPPL20X45X1</t>
  </si>
  <si>
    <t>BOLSA 8X18" - COD 151080180100</t>
  </si>
  <si>
    <t>COLOCAER TIQUETES DEL CLIENTE A CADA PAQUETE_x000D_
DESTINO ALMACEN-_x000D_
NO DOBLAR LOS PAQUETES</t>
  </si>
  <si>
    <t>BPPL18X25X1</t>
  </si>
  <si>
    <t>BOLSA 7X10" - COD 151070100</t>
  </si>
  <si>
    <t>NO DOBLAR LOS PAQUETES_x000D_
COLOCAR TIQUETES  DEL CLIENTE_x000D_
DESTINO ALMACEN-</t>
  </si>
  <si>
    <t>BPPL6.5X10X2</t>
  </si>
  <si>
    <t>UNIDAD BOTON CALIBRE 2</t>
  </si>
  <si>
    <t>DESTINO DARMA_x000D_
INDICAR CARA TRATADA-</t>
  </si>
  <si>
    <t>805.027.976-0</t>
  </si>
  <si>
    <t>BPPL4.5X16X1.5</t>
  </si>
  <si>
    <t>APLICADOR FEMENINO</t>
  </si>
  <si>
    <t>DESTINO SELLADO_x000D_
_x000D_
_x000D_
_x000D_
_x000D_
-</t>
  </si>
  <si>
    <t>BANANEN</t>
  </si>
  <si>
    <t>BPPL12X14X2</t>
  </si>
  <si>
    <t>CANTO 10 MT</t>
  </si>
  <si>
    <t>DESINO ALMACEN-</t>
  </si>
  <si>
    <t>BPPL20X30X1</t>
  </si>
  <si>
    <t>8X12" SIN IMPRESION</t>
  </si>
  <si>
    <t>DESTINO ALMACEN_x000D_
DEJAR MUESTRS</t>
  </si>
  <si>
    <t>LAMINA EL SEÑOR ROJO</t>
  </si>
  <si>
    <t>9.4</t>
  </si>
  <si>
    <t>BPPL20X38+4X2</t>
  </si>
  <si>
    <t>BOLSA LARGA ROPA INTERIOR</t>
  </si>
  <si>
    <t>DESTINO SELLADO_x000D_
BUEN CONTROL DEL CALIBRE POR PESO</t>
  </si>
  <si>
    <t>CON CINTA DOBLE FAZ EN LA SOLAPA_x000D_
DESTINO ALMACEN</t>
  </si>
  <si>
    <t>BPPL18X20+4X1.5</t>
  </si>
  <si>
    <t>BOLSA GRANDE ROPA INTERIOR</t>
  </si>
  <si>
    <t>VIROLA DE 44 o 45 CM_x000D_
SACAR CON SOLAPA VOLADA DE 4.0CMS_x000D_
DESTINO SELLADO</t>
  </si>
  <si>
    <t>CON CINTA DOBLE FAZ - ROJA_x000D_
DESTINO ALMACEN</t>
  </si>
  <si>
    <t>BPPI21.5X47X1.5</t>
  </si>
  <si>
    <t>PAN ALIÑADO TAJADO</t>
  </si>
  <si>
    <t xml:space="preserve">DESTINO SELLADO_x000D_
CALIBRE BIEN CONTROLADO_x000D_
</t>
  </si>
  <si>
    <t>BOLSA 12X12"</t>
  </si>
  <si>
    <t>DESTINO DELLADO-</t>
  </si>
  <si>
    <t>SIN TIQUETES _x000D_
NO DOBLAR LOS PAQUETES_x000D_
DESTINO ALMACEN-</t>
  </si>
  <si>
    <t>BPPI32X42+6X3</t>
  </si>
  <si>
    <t>87010291 IMPRESA</t>
  </si>
  <si>
    <t>TROQUEL TIPO SOBRE-</t>
  </si>
  <si>
    <t>RAWFIT PP</t>
  </si>
  <si>
    <t>DESTINO DARMA_x000D_
CONTROLAR OREJA EN CADA ROLLO-</t>
  </si>
  <si>
    <t>CINTA D. FAZ</t>
  </si>
  <si>
    <t>DESTINO ALMACAAEN-</t>
  </si>
  <si>
    <t>DON LIMON LOTE 42028</t>
  </si>
  <si>
    <t>TPPL56X1.25</t>
  </si>
  <si>
    <t>TUBULAR PP 56X1.25</t>
  </si>
  <si>
    <t>BPPL25X30X1.3</t>
  </si>
  <si>
    <t>BOLSA 10X12"</t>
  </si>
  <si>
    <t>SERVICIO DE EXTRUSION - TUB 55X1.3</t>
  </si>
  <si>
    <t>DESTINO ALMACEN_x000D_
OJO CONTROLAR LA OREJA-</t>
  </si>
  <si>
    <t>TPPL55X2.9</t>
  </si>
  <si>
    <t>SERVICIO DE EXTRUSION - TUB 55X2.9</t>
  </si>
  <si>
    <t>DESTINO SELLADO_x000D_
OJO CON LA OREJA-</t>
  </si>
  <si>
    <t>TUCAN LOTE 40025</t>
  </si>
  <si>
    <t>DESTINODARMA-</t>
  </si>
  <si>
    <t>DESTINO ALACEN-</t>
  </si>
  <si>
    <t>DON LIMON LOTE 42027</t>
  </si>
  <si>
    <t>DESTINO  ALMACEN-</t>
  </si>
  <si>
    <t>OFERTA ROJO</t>
  </si>
  <si>
    <t>DESTINO DARMA_x000D_
USAR EMBOBINADO DOBLE CARA-</t>
  </si>
  <si>
    <t>TUBULAR PP 35X1.4</t>
  </si>
  <si>
    <t>DESTINO ALMACEN_x000D_
TRATADO X FUERA-</t>
  </si>
  <si>
    <t>17.023.765-7</t>
  </si>
  <si>
    <t>BPPI12X15X1.5</t>
  </si>
  <si>
    <t>CRIOLLITAS</t>
  </si>
  <si>
    <t>OFERTA CREMA</t>
  </si>
  <si>
    <t>SERVICIO DE EXTRUSION - TUB PP 40X1.4</t>
  </si>
  <si>
    <t>-RETAL MAXIMO 3.4 LKLS + 166.6 KLS = 170 KLS_x000D_
-DESTINO ALMACEN_x000D_
-MATERIAL DEL CLIENTE_x000D_
-TRATADO POR FUERA_x000D_
-_x000D_
-</t>
  </si>
  <si>
    <t>43.587.683-6</t>
  </si>
  <si>
    <t>DESTINO ALMACEN_x000D_
OJO BIEN CONTROLADA LA OREJA-</t>
  </si>
  <si>
    <t>-DESTINO ALMACEM_x000D_
EMBOBINADO DOBLE CARA</t>
  </si>
  <si>
    <t>TBDL20X3.5</t>
  </si>
  <si>
    <t>SERVICIO DE SELLADO - 20X75</t>
  </si>
  <si>
    <t>CONTROLAR OREJA_x000D_
DESTINO ALMACEN-</t>
  </si>
  <si>
    <t>SERVICIO DE EXTRUSION - TUB PP 50X1.4</t>
  </si>
  <si>
    <t>-RETAL MAXIMO 4.20KLS. +205.8 KLS. = 210 KLS._x000D_
-MATERIAL DEL CLIENTE_x000D_
-TRADO  X FUERA_x000D_
-DESTINO ALMACEN_x000D_
-</t>
  </si>
  <si>
    <t>TPPL42X1.2</t>
  </si>
  <si>
    <t>SERVICIO DE EXTRUSION - TUB PP 42X1.2</t>
  </si>
  <si>
    <t>OJO CON PP DEL CLIENTE_x000D_
MARCAR EL RETAL Y ENTREGARLO A DESPACHOS POR PEDIDO_x000D_
TRATADO POR FUERA_x000D_
DESTINO ALMACEN-</t>
  </si>
  <si>
    <t>SERVICIO DE EXTRUSION - TUB PP 40X2.3</t>
  </si>
  <si>
    <t>RETAL MAXIMO 3.0KLS + 137. 0 KLS = 140.0 KLS._x000D_
-USAR MATERIAL DEL CLIENTE_x000D_
-DESTINO ALMACEN_x000D_
-TRATADO POR FUERA_x000D_
-</t>
  </si>
  <si>
    <t>TUCAN LOTE 40024</t>
  </si>
  <si>
    <t xml:space="preserve">ADHITIVO </t>
  </si>
  <si>
    <t>NO DOBLAR LOS PAQUETES_x000D_
SESTINO ALMACEN-</t>
  </si>
  <si>
    <t>OJO COMTROLAR BUEN LA OREJA HAY RECLANOS_x000D_
DESTINO ALMACEN-</t>
  </si>
  <si>
    <t>BPPL30X41X1</t>
  </si>
  <si>
    <t>BOLSA 12X16" - COD 151120160100</t>
  </si>
  <si>
    <t>COLOCAR TIQUETES DEL CLIENTE_x000D_
PAQUETES SIN DOBLAR-</t>
  </si>
  <si>
    <t>RECLAMO  POR OREJA BIEN CONTROLADO_x000D_
DESTINO ALMACEN-</t>
  </si>
  <si>
    <t>BPPI30X25+7X2.5</t>
  </si>
  <si>
    <t>PIJAMA PANTALON CORTO</t>
  </si>
  <si>
    <t>BIEN CALIBRADO_x000D_
DESTINO DARMA_x000D_
-</t>
  </si>
  <si>
    <t>Randon</t>
  </si>
  <si>
    <t>-HACER EL PAQUETE  EN  ROLLITO  AMARRADOS_x000D_
DESTINO MANUALIDAD</t>
  </si>
  <si>
    <t>PEGADA DE GANCHOS-</t>
  </si>
  <si>
    <t>BPPL15.6X20.5+4X2</t>
  </si>
  <si>
    <t>BOLSA 15.6X20.5+4 CMS</t>
  </si>
  <si>
    <t xml:space="preserve">DESTINO SELLDO-_x000D_
VIROLA 45 PARTIDO  CON SOLPAVOLADA DE 2.0 CMS </t>
  </si>
  <si>
    <t>CINTA DOLBLE FAZ</t>
  </si>
  <si>
    <t>TPPL30X0.95</t>
  </si>
  <si>
    <t>SERVICIO DE EXTRUSION - TUB PP 30X0.95</t>
  </si>
  <si>
    <t>SESTINO ALMACEN_x000D_
-RETAL MAXIMO 2.0 KLS. + 98.0 KLS = 100 KLS_x000D_
-CON MARTERIAL DEL CLIENTE_x000D_
-TRATADO EXTERNO_x000D_
-ALMACEN_x000D_
-</t>
  </si>
  <si>
    <t>BPPL14X23X1</t>
  </si>
  <si>
    <t>BOLSA 5.5X9" - COD 151055090100</t>
  </si>
  <si>
    <t>DESTINO ALMACEN_x000D_
COLOCAR TIQUETES DEL CLIENTE-</t>
  </si>
  <si>
    <t>900.267.081-8</t>
  </si>
  <si>
    <t>LPPL55X1.9</t>
  </si>
  <si>
    <t>SERVICIO DE EXTRUSION - LAM 55X1.9</t>
  </si>
  <si>
    <t>-PRODUCION + 4 KILOS DE RETAL = A 200 KLS._x000D_
DESTINO ALMCEN_x000D_
-</t>
  </si>
  <si>
    <t>SUPER OFERTA NUEVA IMAGEN</t>
  </si>
  <si>
    <t>-EMBOBINADO DOBLE CARA_x000D_
-DESTINO: CORREA_x000D_
-_x000D_
-</t>
  </si>
  <si>
    <t>BPPL35X51X1</t>
  </si>
  <si>
    <t>BOLSA 14X20" - COD 151140200100</t>
  </si>
  <si>
    <t>-DESTINO SELLDO_x000D_
-</t>
  </si>
  <si>
    <t>-ALMACEN_x000D_
-CONTIQUETES DEL CLINTE</t>
  </si>
  <si>
    <t>BOLSA PP 13X18"</t>
  </si>
  <si>
    <t>-SIN TIQUETES-MARCAR EL PAQUETE  CON LA MEDIDA_x000D_
ALMACEN</t>
  </si>
  <si>
    <t>SERVICIO EXTRUSION TUB.PP30X1.5</t>
  </si>
  <si>
    <t>-RETAL MAXIMO 2.0 KLS + 98.0KLS = 100 KLS_x000D_
DESTNO ALMACEN_x000D_
-EMBOBINADO DOBLE CARA_x000D_
-</t>
  </si>
  <si>
    <t>LPPL45X2.8</t>
  </si>
  <si>
    <t>SERVICIO DE EXTRUSION LAM PP 45X2.8</t>
  </si>
  <si>
    <t>-RETAL MAXIMO 6.0KLS. + 274.0 KLS=280 KLS_x000D_
-DESTNO ALMACEN_x000D_
-</t>
  </si>
  <si>
    <t xml:space="preserve">SERVICIO DE EXTRUSION TUB PP 33X1.4 </t>
  </si>
  <si>
    <t xml:space="preserve">-RETAL MAXIMO 3.0 KLS + 147.0 KLS = 150KLS_x000D_
DESTINO ALMACEN_x000D_
-_x000D_
</t>
  </si>
  <si>
    <t>BPPI21X32+3X1.5</t>
  </si>
  <si>
    <t>MOGOLLAS INTEGRALES</t>
  </si>
  <si>
    <t>-IMPRESION DARMA_x000D_
-EMBOBINADO DOBLE CARA_x000D_
-</t>
  </si>
  <si>
    <t>TOSTADAS INTEGRALES</t>
  </si>
  <si>
    <t>-IMPRESION DARMA_x000D_
EMBOBINADO DOBLE CARA_x000D_
-</t>
  </si>
  <si>
    <t>LAMINA 9.5X20 LOTE 41371</t>
  </si>
  <si>
    <t>TUCAN LOTE 40027</t>
  </si>
  <si>
    <t>BADL61X91X0.6</t>
  </si>
  <si>
    <t>LPPL25X1</t>
  </si>
  <si>
    <t>LAMINA DOBLE 25 CMS</t>
  </si>
  <si>
    <t>LA-DOBLE</t>
  </si>
  <si>
    <t>-BIEN EMBOBINADO _x000D_
CONTROLAR  CORTE DE LA CUCHILLA_x000D_
DESTINO ALMACEN_x000D_
-ROLLOS BIEN EMPACADOS_x000D_
-</t>
  </si>
  <si>
    <t>GENERICO 1</t>
  </si>
  <si>
    <t>-DESTINO IMPRESION CCORREA_x000D_
-</t>
  </si>
  <si>
    <t>DESTINO ALMACEN _x000D_
OJO COMTROLAR LA OREJA EN CADA ROLLOO-</t>
  </si>
  <si>
    <t>STPPL30X1.4</t>
  </si>
  <si>
    <t>TUBULAR DE P.P. Y SERVICIO DE SELLADO 12X12"</t>
  </si>
  <si>
    <t xml:space="preserve">-OJO,OJO MEDIDA , PEDIDO ANTERIOR SALIO SIN CONTROL _x000D_
NO COLOCAR TIQUETES MARCAR EN EL PAQUETE LAS MEDIDAS_x000D_
DESTINO ALMACEN_x000D_
</t>
  </si>
  <si>
    <t>OJO HAY RECLAMO POR OREJA  BIEN CONTROLADO_x000D_
DESTINOALMACEN-</t>
  </si>
  <si>
    <t>BPPL30X45X1</t>
  </si>
  <si>
    <t>BOLSA PANTALONERA</t>
  </si>
  <si>
    <t>DEDTINO SELLDO-</t>
  </si>
  <si>
    <t>DAETINO ALMACEN-</t>
  </si>
  <si>
    <t>BPPL25X34+3+8X1.5</t>
  </si>
  <si>
    <t>BOLSA CAMISERA</t>
  </si>
  <si>
    <t>PLASTICO FRUIDOR 9X20</t>
  </si>
  <si>
    <t>SERVICIO DE EXTRUSION - TUB PP 45X1.3</t>
  </si>
  <si>
    <t>-RETAL MAXIMO 2.0 KLS + 98.0KLS =100.0KLS_x000D_
-TRABAJAR CON MATERIAL DEL CLIENTE_x000D_
-</t>
  </si>
  <si>
    <t>SERVICIO DE EXTRUSION - TUB PP 55X2.9</t>
  </si>
  <si>
    <t>-MATERIAL BIEN CONTROLADO SIN OREJA_x000D_
- RETAL MAIMO 4.0 KLS. + 196.0 KILOS = 200 KLS_x000D_
-DESTINO ALMACEN_x000D_
-</t>
  </si>
  <si>
    <t>DON LIMON LOTE 42030</t>
  </si>
  <si>
    <t>-ROLLOS BIEN PAREJOS SIN OREJA_x000D_
DESTINO DARMA_x000D_
-</t>
  </si>
  <si>
    <t>TUCAN LOTE 40026</t>
  </si>
  <si>
    <t>PHYSALIS 20X20 LOTE 41361</t>
  </si>
  <si>
    <t>-DESTINO SELLADO_x000D_
ANTES DE SALLAR PEDIR PLANO DE PERFORACIONES</t>
  </si>
  <si>
    <t>DON LIMON LOTE 42029</t>
  </si>
  <si>
    <t>DESTNO DARMA-</t>
  </si>
  <si>
    <t>SEDTINO ALMACEN-</t>
  </si>
  <si>
    <t>TPPL45X2</t>
  </si>
  <si>
    <t>SERVICIO DE EXTRUSION - TUB PP 45X2.0</t>
  </si>
  <si>
    <t>-DESTINO ALMACEN_x000D_
QUE NO SALGA CON OREJA</t>
  </si>
  <si>
    <t>TPPL55X1</t>
  </si>
  <si>
    <t>SERVICIO DE EXTRUSION - TUB 55X1.0</t>
  </si>
  <si>
    <t xml:space="preserve">313 KILOS + 7 KLOS DE RETAL= 320 KILOS _x000D_
DESTINO ALMACEN_x000D_
-_x000D_
</t>
  </si>
  <si>
    <t>TPPL38X1.7</t>
  </si>
  <si>
    <t>SERVICIO DE EXTRUSION - TUB PP 38X1.7</t>
  </si>
  <si>
    <t>RETAL MAXIM O 5 KILOS-_x000D_
 195.0 KLS. DDE PRODUCCION  + 5 DE RETAL = 200 KLS._x000D_
DESTINO ALMACEN</t>
  </si>
  <si>
    <t>BPPL8X13+4.5X1.5</t>
  </si>
  <si>
    <t>BOLSA 8X13 CON CINTA</t>
  </si>
  <si>
    <t>-DESTINOSELLADO_x000D_
-ANCHO 30.0CMS. PARTIDO A LA 1/2 CON SOLAPA_x000D_
-VOLADA DE 5.0 CMS_x000D_
-</t>
  </si>
  <si>
    <t>CON CINTA DOBLE FAZ-</t>
  </si>
  <si>
    <t>BPPI22.5X50X1.5</t>
  </si>
  <si>
    <t>PAN ESPECIAL</t>
  </si>
  <si>
    <t>DEJAR MUESTRA_x000D_
DESTINO ALMACEN-</t>
  </si>
  <si>
    <t>CAMISETA NUEVA IMAGEN</t>
  </si>
  <si>
    <t>BPPI30X42X2</t>
  </si>
  <si>
    <t>ANDARIEGAS</t>
  </si>
  <si>
    <t>DESTINO ALMACEN_x000D_
DEJAR MUESTRAS-</t>
  </si>
  <si>
    <t>BADI50X70X2</t>
  </si>
  <si>
    <t>BOLSA PARA MUESTRAS</t>
  </si>
  <si>
    <t>70.-</t>
  </si>
  <si>
    <t>70-</t>
  </si>
  <si>
    <t>DEJAR MUESTRAS _x000D_
DESTINO ALMACAEN-</t>
  </si>
  <si>
    <t>DON LIMON LOTE 42026</t>
  </si>
  <si>
    <t>BPPL24X28.5+2.5+4X1.5</t>
  </si>
  <si>
    <t>BUSO Y CAMISA KIDS SIN IMPRESION</t>
  </si>
  <si>
    <t>OJO  HAY RECLAMOS POR OREJA EN LA 1/2 DEL ROLLO_x000D_
FAVOR CONTROLAR_x000D_
DESTINO ALMAACEN-</t>
  </si>
  <si>
    <t>BPPL34.5X40+5X1.5</t>
  </si>
  <si>
    <t>JEAN HOMBRE SIN IMPRESION ROOTT + CO</t>
  </si>
  <si>
    <t>DESTIN0_x000D_
SELLADO-</t>
  </si>
  <si>
    <t>DON LIMON LOTE 42024</t>
  </si>
  <si>
    <t>TUCAN LOTE 40022</t>
  </si>
  <si>
    <t>BPPI35X55X2</t>
  </si>
  <si>
    <t>BOTAS ANDARIEGAS</t>
  </si>
  <si>
    <t>BPPL30X36+5X1.5</t>
  </si>
  <si>
    <t>BUSO Y CAMISA SIN IMPRESION ROOTT + CO</t>
  </si>
  <si>
    <t>SELLADO_x000D_
-</t>
  </si>
  <si>
    <t>TPPL45X2.4</t>
  </si>
  <si>
    <t>TUBULAR PP 45X2.4</t>
  </si>
  <si>
    <t>SERVICIO DE EXTRUSION - TUB 25X2.0</t>
  </si>
  <si>
    <t>OJO 294 KLS DE PRODUCCION + 6 KLS  DERETAL = 300 KLS_x000D_
DESTINO ALMACEN-</t>
  </si>
  <si>
    <t>AGULOS Y SOPORTES CALIBRE 2</t>
  </si>
  <si>
    <t>LPPL46X1.4</t>
  </si>
  <si>
    <t>LAMINA PP 46X1.4</t>
  </si>
  <si>
    <t>DESTINO ALMACEN_x000D_
INDICAR CARA TRATADA-</t>
  </si>
  <si>
    <t>LPPL46X2.8</t>
  </si>
  <si>
    <t>LAMINA DE PP 46 CM 2.8</t>
  </si>
  <si>
    <t>CALIBRE Y TRATADO BIEN CONTROLADO_x000D_
DESTINO ALMACEN-</t>
  </si>
  <si>
    <t>PAN TAJADO SIMONA</t>
  </si>
  <si>
    <t>DESTINO CORREA-</t>
  </si>
  <si>
    <t>LPPL56X1.4</t>
  </si>
  <si>
    <t>LAMINA PP 56X1.4</t>
  </si>
  <si>
    <t>OJO SE REQUIRE CALIDAD 1A_x000D_
CONTROLAR OREJAS_x000D_
DESTINO ALMACEN-</t>
  </si>
  <si>
    <t>890.940.700-1</t>
  </si>
  <si>
    <t>LPPL50X2.5</t>
  </si>
  <si>
    <t>LAMINA PP 50X2.5</t>
  </si>
  <si>
    <t>-COMTROLAR QUE SALGA SIN OREJA_x000D_
DESTINO ALMCEN</t>
  </si>
  <si>
    <t>PAN TAJADO 430GR MARKYPAN</t>
  </si>
  <si>
    <t>40.-</t>
  </si>
  <si>
    <t>LPPL50X1.4</t>
  </si>
  <si>
    <t>LAMINA PP 50X1.4</t>
  </si>
  <si>
    <t>OJO CO ESTE PEDIDO SIN OREJA_x000D_
BUEN CONTROL AL TRATADO_x000D_
DESTINO ALMACEN_x000D_
-</t>
  </si>
  <si>
    <t>-DESTNO ALMACEN_x000D_
INDICAR CARA TRATADA</t>
  </si>
  <si>
    <t>TPPI32X2.0</t>
  </si>
  <si>
    <t>LAMINA 32CM IMPRESA CODIGO 030003-2</t>
  </si>
  <si>
    <t>-IMPRESION DARMA_x000D_
-OJO MUCHO CONTROL AL PESO DE LOS ROLLOS PARA NO HACER EMPATES EN REFILADO_x000D_
-</t>
  </si>
  <si>
    <t>BPPL32X47+4X1.1</t>
  </si>
  <si>
    <t>SUPER OFERTA SIN IMPRESION</t>
  </si>
  <si>
    <t>BIEN CALIBRADO SIN OREJA</t>
  </si>
  <si>
    <t>OJO CON LA OREJA PARA EVITAR RECLMOS-DESTINO ALMACEN</t>
  </si>
  <si>
    <t>STPPL46X1.3</t>
  </si>
  <si>
    <t>SEMITUBULAR PP 18"X1.3</t>
  </si>
  <si>
    <t>PIJAMA PANTALON LARGO</t>
  </si>
  <si>
    <t xml:space="preserve">BIEN CALIBRADO_x000D_
DESTINO DARMA_x000D_
</t>
  </si>
  <si>
    <t>HACER EL PAQUETE EN ROLLITO AMARRADO_x000D_
DEJAR MUESTRA-</t>
  </si>
  <si>
    <t>LPPL40X1.9</t>
  </si>
  <si>
    <t>LAMINA PP 40X1.9</t>
  </si>
  <si>
    <t>INDICAR CARA TRATADA_x000D_
DESTINO ALMACEN-</t>
  </si>
  <si>
    <t>SEMITUBULAR PP 30X1.4</t>
  </si>
  <si>
    <t>OJO AL CALIBRE_x000D_
DESTINO ALMCEN-</t>
  </si>
  <si>
    <t>BPPL9X18X1</t>
  </si>
  <si>
    <t>BOLSA 3.5X7" - COD 151035070100</t>
  </si>
  <si>
    <t>-DESTINO ALMCEN_x000D_
- CON TIQUETES DEL CLIENTE</t>
  </si>
  <si>
    <t>BPPI34X50X1.25</t>
  </si>
  <si>
    <t>IMPRESIN DARMA-</t>
  </si>
  <si>
    <t>TEENS</t>
  </si>
  <si>
    <t>BPPL28X30+2.5+5X1.5</t>
  </si>
  <si>
    <t>PANTALON ROOTT KIDS SIN IMPRESION</t>
  </si>
  <si>
    <t>SERVICIO DE EXTRUSION - STUB 20X2.0</t>
  </si>
  <si>
    <t>VIROLA 40 PARTIDA A LA 1/2_x000D_
SEPARAR EL RETAL POR PEDIDO_x000D_
DESTINO ALMACEN -</t>
  </si>
  <si>
    <t>EVERLAST - REF 301040A</t>
  </si>
  <si>
    <t>BPPL10.5X15X2</t>
  </si>
  <si>
    <t>TARUGOS Y PATA ALFREDO</t>
  </si>
  <si>
    <t>BOLSA 8X12" - COD 151080120100</t>
  </si>
  <si>
    <t>BPPL10X13X1</t>
  </si>
  <si>
    <t>BOLSA 4X5" - COD 151040050100</t>
  </si>
  <si>
    <t>COLOCAR TIQUETES DEL CLIENTE A CADA PAQUETE-</t>
  </si>
  <si>
    <t>DON LIMON LOTE 42025</t>
  </si>
  <si>
    <t>STPPL35X2.5</t>
  </si>
  <si>
    <t>SEMITUBULAR PP 35X2.5</t>
  </si>
  <si>
    <t>TUBULAR PP 38X1.5</t>
  </si>
  <si>
    <t>DETINO  ALMCEN-</t>
  </si>
  <si>
    <t>DRIL DOCKERS NAGA - NUEVA IMAGEN</t>
  </si>
  <si>
    <t>TPPL50X1.5</t>
  </si>
  <si>
    <t>TUBULAR PP 50X1.5</t>
  </si>
  <si>
    <t>NO DOBLAR LOS PAQUETES-_x000D_
DESTINO ALMACEN</t>
  </si>
  <si>
    <t>PHISALIS 20X20 LOTE 41367</t>
  </si>
  <si>
    <t>SERVICIO DE EXTRUSION - TUB 40X1.3</t>
  </si>
  <si>
    <t>BPPL15X35X1</t>
  </si>
  <si>
    <t>BOLSA PARA MONEDAS</t>
  </si>
  <si>
    <t>SELLAR Y HACER PLANILLA DE PRDUCCION  DE ACUAERDO A LA CANTIDAD POR CIUDAD-_x000D_
DESTINO ALMACEN</t>
  </si>
  <si>
    <t>TPPL51X1.85</t>
  </si>
  <si>
    <t>TUBULAR PP 51X1.85</t>
  </si>
  <si>
    <t>TPPL25X1.4</t>
  </si>
  <si>
    <t>TUBULAR PP 25X1.4 / SERV. DE EXTRUSION</t>
  </si>
  <si>
    <t xml:space="preserve">-KILOS TOTAL CON EL RETAL_x000D_
DESTINO ALMACEN_x000D_
</t>
  </si>
  <si>
    <t>TPPL35X1</t>
  </si>
  <si>
    <t>SERVICIO DE EXTRUSION - TUB 35X1.0</t>
  </si>
  <si>
    <t>SEPARAR_x000D_
EL RETAAL POR PEDIDO_x000D_
SESTINO ALM CAEN_x000D_
-</t>
  </si>
  <si>
    <t>STPPL27X2</t>
  </si>
  <si>
    <t>SERVICIO DE EXTRUSION - STUB 27X2.0</t>
  </si>
  <si>
    <t>VIROLA 55 PARTIDO A LA 1/2_x000D_
SEPAR EL RETAL Y MARCAZRLO POR PEDIDO_x000D_
DESTINO ALMACEN-</t>
  </si>
  <si>
    <t>LAMINA PP DOBLE 27.5X1.0</t>
  </si>
  <si>
    <t>LAM.DOBLE</t>
  </si>
  <si>
    <t>-ROLLOS BIEN EMBOBINADOS Y BIEN EMPACADOS_x000D_
CONTROLAR CORTE DE CUCHILLA_x000D_
-DESTINO ALMACEN_x000D_
-</t>
  </si>
  <si>
    <t>ADITIVO</t>
  </si>
  <si>
    <t>BADLPB26X34X2</t>
  </si>
  <si>
    <t>REGALOS 26X34</t>
  </si>
  <si>
    <t>BADIPB35X44X2.4</t>
  </si>
  <si>
    <t>BOLSA GRANDE COTTON &amp; EFFECTS</t>
  </si>
  <si>
    <t xml:space="preserve">-SELLOPLAS_x000D_
</t>
  </si>
  <si>
    <t>BADLPB40X44X2</t>
  </si>
  <si>
    <t>REGALOS 40X44</t>
  </si>
  <si>
    <t>CVADL35X70X0.5</t>
  </si>
  <si>
    <t>CUBREVESTIDO 35X70</t>
  </si>
  <si>
    <t>STOCK</t>
  </si>
  <si>
    <t>-CUBREVESTIDO_x000D_
MATERIAL EN STOCK</t>
  </si>
  <si>
    <t>BADL40X64X1</t>
  </si>
  <si>
    <t>LAINER 25 K</t>
  </si>
  <si>
    <t>MATERIAL DE LIMPIEZA_x000D_
DESTINO SELLADO</t>
  </si>
  <si>
    <t>DESTINO</t>
  </si>
  <si>
    <t>BADLPB37X45+7+6X2.2</t>
  </si>
  <si>
    <t>BOLSA BLANCA FUELLES</t>
  </si>
  <si>
    <t>-SIN TROQUELAR_x000D_
-BOCA POR FUELLE DE 7.0 CMS</t>
  </si>
  <si>
    <t>BADLPB36X45+7+6X2.2</t>
  </si>
  <si>
    <t>BOLSA BLANCA FUELLES 36X45+6+7</t>
  </si>
  <si>
    <t>-DOBLAR - NO REQUIERE BOLSA_x000D_
NO LLEVA TROQUEL</t>
  </si>
  <si>
    <t>BADLPB42X45+7+6X2.2</t>
  </si>
  <si>
    <t>BOLSA BLANCA FUELLES 42X45+6+7</t>
  </si>
  <si>
    <t>B,LANCO</t>
  </si>
  <si>
    <t>-O REQUIERE BOSA DE EMPAQUE_x000D_
-BOCA POR FUELLE DE 7.0 CMS_x000D_
-NO LLEVA TROQUEL</t>
  </si>
  <si>
    <t>LBOPPL25X1</t>
  </si>
  <si>
    <t>LAMINA BOPP 25X1</t>
  </si>
  <si>
    <t xml:space="preserve">- REFILADO_x000D_
- </t>
  </si>
  <si>
    <t xml:space="preserve">- ROLLOS BIEN EMPACADOS_x000D_
</t>
  </si>
  <si>
    <t>BBDL15X28X1</t>
  </si>
  <si>
    <t>BOLSA 6X11"</t>
  </si>
  <si>
    <t>-COLOCAR BOLSA LAINER_x000D_
DESTINO ALMACEN</t>
  </si>
  <si>
    <t>TPPL45X1.4</t>
  </si>
  <si>
    <t>BOLSA PP 13X18" CALIBRE 1.4</t>
  </si>
  <si>
    <t>-NO COLOCAR TIQUETES_x000D_
MARCAR EN EL PAQETE REF:13X18_x000D_
ALMACEN</t>
  </si>
  <si>
    <t>811.017.289-8</t>
  </si>
  <si>
    <t>BADL50X70X0.5</t>
  </si>
  <si>
    <t>BOLSA EMPAQUE GRANDE</t>
  </si>
  <si>
    <t>BADL5X25X1.0</t>
  </si>
  <si>
    <t>BOLSA 5X25 CMS</t>
  </si>
  <si>
    <t>BADL50X60X0.5</t>
  </si>
  <si>
    <t>BOLSA EMPAQUE PEQUEÑA</t>
  </si>
  <si>
    <t>LAINER 25K</t>
  </si>
  <si>
    <t>TUBULAR PP 55X1.5</t>
  </si>
  <si>
    <t>LBOPPL32X1</t>
  </si>
  <si>
    <t>LAMINA BOPP 32X1</t>
  </si>
  <si>
    <t>- REFILADO_x000D_
- ROLLO BIEN EMPACADO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</si>
</sst>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978"/>
  <sheetViews>
    <sheetView tabSelected="1" workbookViewId="0">
      <selection activeCell="L1996" sqref="L1996"/>
    </sheetView>
  </sheetViews>
  <sheetFormatPr baseColWidth="10" defaultRowHeight="15"/>
  <cols>
    <col min="7" max="7" width="14" bestFit="1" customWidth="1"/>
  </cols>
  <sheetData>
    <row r="1" spans="1:1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>
      <c r="A2">
        <v>1472</v>
      </c>
      <c r="B2" t="s">
        <v>107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>
        <v>1.5</v>
      </c>
      <c r="I2">
        <v>45</v>
      </c>
      <c r="J2">
        <v>0</v>
      </c>
      <c r="K2">
        <v>0</v>
      </c>
      <c r="L2" t="s">
        <v>112</v>
      </c>
      <c r="M2" t="s">
        <v>111</v>
      </c>
      <c r="N2">
        <v>0</v>
      </c>
      <c r="O2">
        <v>0</v>
      </c>
      <c r="P2" t="s">
        <v>111</v>
      </c>
      <c r="Q2">
        <v>40</v>
      </c>
      <c r="R2">
        <v>0</v>
      </c>
      <c r="S2">
        <v>0</v>
      </c>
      <c r="T2">
        <v>5</v>
      </c>
      <c r="U2" t="e">
        <f>-SELLADO</f>
        <v>#NAME?</v>
      </c>
      <c r="V2">
        <v>12.5</v>
      </c>
      <c r="W2">
        <v>0</v>
      </c>
      <c r="X2">
        <v>12.5</v>
      </c>
      <c r="Y2">
        <v>0</v>
      </c>
      <c r="Z2" t="s">
        <v>111</v>
      </c>
      <c r="AA2">
        <v>0</v>
      </c>
      <c r="AB2" t="s">
        <v>111</v>
      </c>
      <c r="AC2">
        <v>0</v>
      </c>
      <c r="AD2" t="s">
        <v>111</v>
      </c>
      <c r="AE2">
        <v>0</v>
      </c>
      <c r="AF2">
        <v>0</v>
      </c>
      <c r="AG2" t="s">
        <v>111</v>
      </c>
      <c r="AH2" t="s">
        <v>111</v>
      </c>
      <c r="AI2" t="s">
        <v>111</v>
      </c>
      <c r="AJ2" t="s">
        <v>111</v>
      </c>
      <c r="AK2" t="s">
        <v>111</v>
      </c>
      <c r="AL2" t="s">
        <v>111</v>
      </c>
      <c r="AM2">
        <v>0</v>
      </c>
      <c r="AN2">
        <v>0</v>
      </c>
      <c r="AO2">
        <v>0</v>
      </c>
      <c r="AP2" t="s">
        <v>111</v>
      </c>
      <c r="AQ2" t="s">
        <v>111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 t="s">
        <v>111</v>
      </c>
      <c r="AY2" t="s">
        <v>111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127</v>
      </c>
      <c r="CN2" t="s">
        <v>128</v>
      </c>
      <c r="CO2" t="s">
        <v>111</v>
      </c>
      <c r="CP2" t="s">
        <v>111</v>
      </c>
      <c r="CQ2">
        <v>0</v>
      </c>
      <c r="CR2">
        <v>1000</v>
      </c>
      <c r="CS2">
        <v>50</v>
      </c>
      <c r="CT2" t="e">
        <f>-ALMACEN</f>
        <v>#NAME?</v>
      </c>
      <c r="CU2">
        <v>0</v>
      </c>
      <c r="CV2" t="s">
        <v>111</v>
      </c>
      <c r="CW2" t="s">
        <v>111</v>
      </c>
      <c r="CX2" t="s">
        <v>111</v>
      </c>
      <c r="CY2">
        <v>0</v>
      </c>
      <c r="CZ2" t="s">
        <v>111</v>
      </c>
      <c r="DA2" t="s">
        <v>111</v>
      </c>
      <c r="DB2" t="s">
        <v>111</v>
      </c>
      <c r="DC2" t="s">
        <v>111</v>
      </c>
    </row>
    <row r="3" spans="1:107">
      <c r="A3">
        <v>1529</v>
      </c>
      <c r="B3" t="s">
        <v>107</v>
      </c>
      <c r="C3" t="s">
        <v>129</v>
      </c>
      <c r="D3" t="s">
        <v>130</v>
      </c>
      <c r="E3" t="s">
        <v>131</v>
      </c>
      <c r="F3" t="s">
        <v>125</v>
      </c>
      <c r="G3" t="s">
        <v>126</v>
      </c>
      <c r="H3">
        <v>1.4</v>
      </c>
      <c r="I3">
        <v>29</v>
      </c>
      <c r="J3">
        <v>8</v>
      </c>
      <c r="K3">
        <v>8</v>
      </c>
      <c r="L3" t="s">
        <v>112</v>
      </c>
      <c r="M3" t="s">
        <v>111</v>
      </c>
      <c r="N3">
        <v>0</v>
      </c>
      <c r="O3">
        <v>0</v>
      </c>
      <c r="P3" t="s">
        <v>111</v>
      </c>
      <c r="Q3">
        <v>30</v>
      </c>
      <c r="R3">
        <v>0</v>
      </c>
      <c r="S3">
        <v>0</v>
      </c>
      <c r="T3">
        <v>5</v>
      </c>
      <c r="U3" s="1" t="s">
        <v>132</v>
      </c>
      <c r="V3">
        <v>25</v>
      </c>
      <c r="W3">
        <v>0</v>
      </c>
      <c r="X3">
        <v>15</v>
      </c>
      <c r="Y3">
        <v>0</v>
      </c>
      <c r="Z3" t="s">
        <v>133</v>
      </c>
      <c r="AA3">
        <v>10</v>
      </c>
      <c r="AB3" t="s">
        <v>134</v>
      </c>
      <c r="AC3">
        <v>5</v>
      </c>
      <c r="AD3" t="s">
        <v>111</v>
      </c>
      <c r="AE3">
        <v>0</v>
      </c>
      <c r="AF3">
        <v>0</v>
      </c>
      <c r="AG3" t="s">
        <v>111</v>
      </c>
      <c r="AH3" t="s">
        <v>111</v>
      </c>
      <c r="AI3" t="s">
        <v>111</v>
      </c>
      <c r="AJ3" t="s">
        <v>111</v>
      </c>
      <c r="AK3" t="s">
        <v>111</v>
      </c>
      <c r="AL3" t="s">
        <v>111</v>
      </c>
      <c r="AM3">
        <v>0</v>
      </c>
      <c r="AN3">
        <v>0</v>
      </c>
      <c r="AO3">
        <v>0</v>
      </c>
      <c r="AP3" t="s">
        <v>111</v>
      </c>
      <c r="AQ3" t="s">
        <v>111</v>
      </c>
      <c r="AR3" t="s">
        <v>111</v>
      </c>
      <c r="AS3" t="s">
        <v>111</v>
      </c>
      <c r="AT3" t="s">
        <v>111</v>
      </c>
      <c r="AU3" t="s">
        <v>111</v>
      </c>
      <c r="AV3" t="s">
        <v>111</v>
      </c>
      <c r="AW3" t="s">
        <v>111</v>
      </c>
      <c r="AX3" t="s">
        <v>111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111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111</v>
      </c>
      <c r="BY3" t="s">
        <v>111</v>
      </c>
      <c r="BZ3" t="s">
        <v>111</v>
      </c>
      <c r="CA3" t="s">
        <v>111</v>
      </c>
      <c r="CB3" t="s">
        <v>111</v>
      </c>
      <c r="CC3" t="s">
        <v>111</v>
      </c>
      <c r="CD3" t="s">
        <v>111</v>
      </c>
      <c r="CE3" t="s">
        <v>111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111</v>
      </c>
      <c r="CL3" t="s">
        <v>111</v>
      </c>
      <c r="CM3" t="s">
        <v>135</v>
      </c>
      <c r="CN3" t="s">
        <v>128</v>
      </c>
      <c r="CO3" t="s">
        <v>111</v>
      </c>
      <c r="CP3" t="s">
        <v>111</v>
      </c>
      <c r="CQ3">
        <v>0</v>
      </c>
      <c r="CR3">
        <v>1000</v>
      </c>
      <c r="CS3">
        <v>50</v>
      </c>
      <c r="CT3" t="e">
        <f>-ALMACEN</f>
        <v>#NAME?</v>
      </c>
      <c r="CU3">
        <v>0</v>
      </c>
      <c r="CV3" t="s">
        <v>111</v>
      </c>
      <c r="CW3" t="s">
        <v>111</v>
      </c>
      <c r="CX3" t="s">
        <v>111</v>
      </c>
      <c r="CY3">
        <v>0</v>
      </c>
      <c r="CZ3" t="s">
        <v>111</v>
      </c>
      <c r="DA3" t="s">
        <v>111</v>
      </c>
      <c r="DB3" t="s">
        <v>111</v>
      </c>
      <c r="DC3" t="s">
        <v>111</v>
      </c>
    </row>
    <row r="4" spans="1:107">
      <c r="A4">
        <v>1885</v>
      </c>
      <c r="B4" t="s">
        <v>107</v>
      </c>
      <c r="C4" t="s">
        <v>129</v>
      </c>
      <c r="D4" t="s">
        <v>136</v>
      </c>
      <c r="E4" t="s">
        <v>137</v>
      </c>
      <c r="F4" t="s">
        <v>125</v>
      </c>
      <c r="G4" t="s">
        <v>126</v>
      </c>
      <c r="H4">
        <v>1.4</v>
      </c>
      <c r="I4">
        <v>23</v>
      </c>
      <c r="J4">
        <v>8</v>
      </c>
      <c r="K4">
        <v>8</v>
      </c>
      <c r="L4" t="s">
        <v>112</v>
      </c>
      <c r="M4" t="s">
        <v>138</v>
      </c>
      <c r="N4">
        <v>0</v>
      </c>
      <c r="O4">
        <v>0</v>
      </c>
      <c r="P4" t="s">
        <v>111</v>
      </c>
      <c r="Q4">
        <v>20</v>
      </c>
      <c r="R4">
        <v>0</v>
      </c>
      <c r="S4">
        <v>0</v>
      </c>
      <c r="T4">
        <v>10</v>
      </c>
      <c r="U4" t="e">
        <f>-SELLADO</f>
        <v>#NAME?</v>
      </c>
      <c r="V4">
        <v>250</v>
      </c>
      <c r="W4">
        <v>0</v>
      </c>
      <c r="X4">
        <v>150</v>
      </c>
      <c r="Y4">
        <v>0</v>
      </c>
      <c r="Z4" t="s">
        <v>139</v>
      </c>
      <c r="AA4">
        <v>10</v>
      </c>
      <c r="AB4" t="s">
        <v>134</v>
      </c>
      <c r="AC4">
        <v>500</v>
      </c>
      <c r="AD4" t="s">
        <v>111</v>
      </c>
      <c r="AE4">
        <v>0</v>
      </c>
      <c r="AF4">
        <v>0</v>
      </c>
      <c r="AG4" t="s">
        <v>111</v>
      </c>
      <c r="AH4" t="s">
        <v>111</v>
      </c>
      <c r="AI4" t="s">
        <v>111</v>
      </c>
      <c r="AJ4" t="s">
        <v>111</v>
      </c>
      <c r="AK4" t="s">
        <v>111</v>
      </c>
      <c r="AL4" t="s">
        <v>111</v>
      </c>
      <c r="AM4">
        <v>0</v>
      </c>
      <c r="AN4">
        <v>0</v>
      </c>
      <c r="AO4">
        <v>0</v>
      </c>
      <c r="AP4" t="s">
        <v>111</v>
      </c>
      <c r="AQ4" t="s">
        <v>111</v>
      </c>
      <c r="AR4" t="s">
        <v>111</v>
      </c>
      <c r="AS4" t="s">
        <v>111</v>
      </c>
      <c r="AT4" t="s">
        <v>111</v>
      </c>
      <c r="AU4" t="s">
        <v>111</v>
      </c>
      <c r="AV4" t="s">
        <v>111</v>
      </c>
      <c r="AW4" t="s">
        <v>111</v>
      </c>
      <c r="AX4" t="s">
        <v>111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111</v>
      </c>
      <c r="BQ4" t="s">
        <v>111</v>
      </c>
      <c r="BR4" t="s">
        <v>111</v>
      </c>
      <c r="BS4" t="s">
        <v>111</v>
      </c>
      <c r="BT4" t="s">
        <v>111</v>
      </c>
      <c r="BU4" t="s">
        <v>111</v>
      </c>
      <c r="BV4" t="s">
        <v>111</v>
      </c>
      <c r="BW4" t="s">
        <v>111</v>
      </c>
      <c r="BX4" t="s">
        <v>111</v>
      </c>
      <c r="BY4" t="s">
        <v>111</v>
      </c>
      <c r="BZ4" t="s">
        <v>111</v>
      </c>
      <c r="CA4" t="s">
        <v>111</v>
      </c>
      <c r="CB4" t="s">
        <v>111</v>
      </c>
      <c r="CC4" t="s">
        <v>111</v>
      </c>
      <c r="CD4" t="s">
        <v>111</v>
      </c>
      <c r="CE4" t="s">
        <v>111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111</v>
      </c>
      <c r="CL4" t="s">
        <v>111</v>
      </c>
      <c r="CM4" t="s">
        <v>135</v>
      </c>
      <c r="CN4" t="s">
        <v>128</v>
      </c>
      <c r="CO4" t="s">
        <v>111</v>
      </c>
      <c r="CP4" t="s">
        <v>111</v>
      </c>
      <c r="CQ4">
        <v>0</v>
      </c>
      <c r="CR4">
        <v>1000</v>
      </c>
      <c r="CS4">
        <v>50</v>
      </c>
      <c r="CT4" t="e">
        <f>-ALMACEN</f>
        <v>#NAME?</v>
      </c>
      <c r="CU4">
        <v>0</v>
      </c>
      <c r="CV4" t="s">
        <v>111</v>
      </c>
      <c r="CX4" t="s">
        <v>111</v>
      </c>
      <c r="CY4">
        <v>0</v>
      </c>
      <c r="CZ4" t="s">
        <v>111</v>
      </c>
      <c r="DA4" t="s">
        <v>111</v>
      </c>
      <c r="DB4" t="s">
        <v>111</v>
      </c>
      <c r="DC4" t="s">
        <v>111</v>
      </c>
    </row>
    <row r="5" spans="1:107">
      <c r="A5">
        <v>1519</v>
      </c>
      <c r="B5" t="s">
        <v>107</v>
      </c>
      <c r="C5" t="s">
        <v>140</v>
      </c>
      <c r="D5" t="s">
        <v>141</v>
      </c>
      <c r="E5" t="s">
        <v>142</v>
      </c>
      <c r="F5" t="s">
        <v>125</v>
      </c>
      <c r="G5" t="s">
        <v>126</v>
      </c>
      <c r="H5">
        <v>1.5</v>
      </c>
      <c r="I5">
        <v>43</v>
      </c>
      <c r="J5">
        <v>0</v>
      </c>
      <c r="K5">
        <v>0</v>
      </c>
      <c r="L5" t="s">
        <v>112</v>
      </c>
      <c r="M5" t="s">
        <v>111</v>
      </c>
      <c r="N5">
        <v>0</v>
      </c>
      <c r="O5">
        <v>0</v>
      </c>
      <c r="P5">
        <v>40</v>
      </c>
      <c r="Q5">
        <v>40</v>
      </c>
      <c r="R5">
        <v>0</v>
      </c>
      <c r="S5">
        <v>0</v>
      </c>
      <c r="T5">
        <v>5</v>
      </c>
      <c r="U5" t="e">
        <f>-SELLADO</f>
        <v>#NAME?</v>
      </c>
      <c r="V5">
        <v>12.5</v>
      </c>
      <c r="W5">
        <v>12.5</v>
      </c>
      <c r="X5">
        <v>0</v>
      </c>
      <c r="Y5">
        <v>0</v>
      </c>
      <c r="Z5" t="s">
        <v>111</v>
      </c>
      <c r="AA5">
        <v>0</v>
      </c>
      <c r="AB5" t="s">
        <v>143</v>
      </c>
      <c r="AC5">
        <v>25</v>
      </c>
      <c r="AD5" t="s">
        <v>111</v>
      </c>
      <c r="AE5">
        <v>0</v>
      </c>
      <c r="AF5">
        <v>0</v>
      </c>
      <c r="AG5" t="s">
        <v>111</v>
      </c>
      <c r="AH5" t="s">
        <v>111</v>
      </c>
      <c r="AI5" t="s">
        <v>111</v>
      </c>
      <c r="AJ5" t="s">
        <v>111</v>
      </c>
      <c r="AK5" t="s">
        <v>111</v>
      </c>
      <c r="AL5" t="s">
        <v>111</v>
      </c>
      <c r="AM5">
        <v>0</v>
      </c>
      <c r="AN5">
        <v>0</v>
      </c>
      <c r="AO5">
        <v>0</v>
      </c>
      <c r="AP5" t="s">
        <v>111</v>
      </c>
      <c r="AQ5" t="s">
        <v>111</v>
      </c>
      <c r="AR5" t="s">
        <v>111</v>
      </c>
      <c r="AS5" t="s">
        <v>111</v>
      </c>
      <c r="AT5" t="s">
        <v>111</v>
      </c>
      <c r="AU5" t="s">
        <v>111</v>
      </c>
      <c r="AV5" t="s">
        <v>111</v>
      </c>
      <c r="AW5" t="s">
        <v>111</v>
      </c>
      <c r="AX5" t="s">
        <v>111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111</v>
      </c>
      <c r="BQ5" t="s">
        <v>111</v>
      </c>
      <c r="BR5" t="s">
        <v>111</v>
      </c>
      <c r="BS5" t="s">
        <v>111</v>
      </c>
      <c r="BT5" t="s">
        <v>111</v>
      </c>
      <c r="BU5" t="s">
        <v>111</v>
      </c>
      <c r="BV5" t="s">
        <v>111</v>
      </c>
      <c r="BW5" t="s">
        <v>111</v>
      </c>
      <c r="BX5" t="s">
        <v>111</v>
      </c>
      <c r="BY5" t="s">
        <v>111</v>
      </c>
      <c r="BZ5" t="s">
        <v>111</v>
      </c>
      <c r="CA5" t="s">
        <v>111</v>
      </c>
      <c r="CB5" t="s">
        <v>111</v>
      </c>
      <c r="CC5" t="s">
        <v>111</v>
      </c>
      <c r="CD5" t="s">
        <v>111</v>
      </c>
      <c r="CE5" t="s">
        <v>111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111</v>
      </c>
      <c r="CL5" t="s">
        <v>111</v>
      </c>
      <c r="CM5" t="s">
        <v>127</v>
      </c>
      <c r="CN5" t="s">
        <v>128</v>
      </c>
      <c r="CO5" t="s">
        <v>111</v>
      </c>
      <c r="CP5" t="s">
        <v>111</v>
      </c>
      <c r="CQ5">
        <v>0</v>
      </c>
      <c r="CR5">
        <v>500</v>
      </c>
      <c r="CS5">
        <v>50</v>
      </c>
      <c r="CT5" t="e">
        <f>-ALMACEN</f>
        <v>#NAME?</v>
      </c>
      <c r="CU5">
        <v>0</v>
      </c>
      <c r="CV5" t="s">
        <v>111</v>
      </c>
      <c r="CW5" t="s">
        <v>111</v>
      </c>
      <c r="CX5" t="s">
        <v>111</v>
      </c>
      <c r="CY5">
        <v>0</v>
      </c>
      <c r="CZ5" t="s">
        <v>111</v>
      </c>
      <c r="DA5" t="s">
        <v>111</v>
      </c>
      <c r="DB5" t="s">
        <v>111</v>
      </c>
      <c r="DC5" t="s">
        <v>111</v>
      </c>
    </row>
    <row r="6" spans="1:107">
      <c r="A6">
        <v>1512</v>
      </c>
      <c r="B6" t="s">
        <v>107</v>
      </c>
      <c r="C6" t="s">
        <v>144</v>
      </c>
      <c r="D6" t="s">
        <v>145</v>
      </c>
      <c r="E6" t="s">
        <v>146</v>
      </c>
      <c r="F6" t="s">
        <v>125</v>
      </c>
      <c r="G6" t="s">
        <v>126</v>
      </c>
      <c r="H6">
        <v>0.8</v>
      </c>
      <c r="I6">
        <v>65</v>
      </c>
      <c r="J6">
        <v>0</v>
      </c>
      <c r="K6">
        <v>0</v>
      </c>
      <c r="L6" t="s">
        <v>112</v>
      </c>
      <c r="M6" t="s">
        <v>111</v>
      </c>
      <c r="N6">
        <v>0</v>
      </c>
      <c r="O6">
        <v>0</v>
      </c>
      <c r="P6" t="s">
        <v>111</v>
      </c>
      <c r="Q6">
        <v>40</v>
      </c>
      <c r="R6">
        <v>0</v>
      </c>
      <c r="S6">
        <v>0</v>
      </c>
      <c r="T6">
        <v>5</v>
      </c>
      <c r="U6" t="e">
        <f>-SELLADO</f>
        <v>#NAME?</v>
      </c>
      <c r="V6">
        <v>250</v>
      </c>
      <c r="W6">
        <v>0</v>
      </c>
      <c r="X6">
        <v>5</v>
      </c>
      <c r="Y6">
        <v>0</v>
      </c>
      <c r="Z6" t="s">
        <v>147</v>
      </c>
      <c r="AA6">
        <v>1.5</v>
      </c>
      <c r="AB6" t="s">
        <v>111</v>
      </c>
      <c r="AC6">
        <v>0</v>
      </c>
      <c r="AD6" t="s">
        <v>111</v>
      </c>
      <c r="AE6">
        <v>0</v>
      </c>
      <c r="AF6">
        <v>0</v>
      </c>
      <c r="AG6" t="s">
        <v>111</v>
      </c>
      <c r="AH6" t="s">
        <v>111</v>
      </c>
      <c r="AI6" t="s">
        <v>111</v>
      </c>
      <c r="AJ6" t="s">
        <v>111</v>
      </c>
      <c r="AK6" t="s">
        <v>111</v>
      </c>
      <c r="AL6" t="s">
        <v>111</v>
      </c>
      <c r="AM6">
        <v>0</v>
      </c>
      <c r="AN6">
        <v>0</v>
      </c>
      <c r="AO6">
        <v>0</v>
      </c>
      <c r="AP6" t="s">
        <v>111</v>
      </c>
      <c r="AQ6" t="s">
        <v>111</v>
      </c>
      <c r="AR6" t="s">
        <v>111</v>
      </c>
      <c r="AS6" t="s">
        <v>111</v>
      </c>
      <c r="AT6" t="s">
        <v>111</v>
      </c>
      <c r="AU6" t="s">
        <v>111</v>
      </c>
      <c r="AV6" t="s">
        <v>111</v>
      </c>
      <c r="AW6" t="s">
        <v>111</v>
      </c>
      <c r="AX6" t="s">
        <v>111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111</v>
      </c>
      <c r="BQ6" t="s">
        <v>111</v>
      </c>
      <c r="BR6" t="s">
        <v>111</v>
      </c>
      <c r="BS6" t="s">
        <v>111</v>
      </c>
      <c r="BT6" t="s">
        <v>111</v>
      </c>
      <c r="BU6" t="s">
        <v>111</v>
      </c>
      <c r="BV6" t="s">
        <v>111</v>
      </c>
      <c r="BW6" t="s">
        <v>111</v>
      </c>
      <c r="BX6" t="s">
        <v>111</v>
      </c>
      <c r="BY6" t="s">
        <v>111</v>
      </c>
      <c r="BZ6" t="s">
        <v>111</v>
      </c>
      <c r="CA6" t="s">
        <v>111</v>
      </c>
      <c r="CB6" t="s">
        <v>111</v>
      </c>
      <c r="CC6" t="s">
        <v>111</v>
      </c>
      <c r="CD6" t="s">
        <v>111</v>
      </c>
      <c r="CE6" t="s">
        <v>111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111</v>
      </c>
      <c r="CL6" t="s">
        <v>111</v>
      </c>
      <c r="CM6" t="s">
        <v>127</v>
      </c>
      <c r="CN6" t="s">
        <v>128</v>
      </c>
      <c r="CO6" t="s">
        <v>111</v>
      </c>
      <c r="CP6" t="s">
        <v>111</v>
      </c>
      <c r="CQ6">
        <v>0</v>
      </c>
      <c r="CR6">
        <v>0</v>
      </c>
      <c r="CS6">
        <v>1000</v>
      </c>
      <c r="CT6" t="e">
        <f>-ALMACEN</f>
        <v>#NAME?</v>
      </c>
      <c r="CU6">
        <v>0</v>
      </c>
      <c r="CV6" t="s">
        <v>111</v>
      </c>
      <c r="CW6" t="s">
        <v>111</v>
      </c>
      <c r="CX6" t="s">
        <v>111</v>
      </c>
      <c r="CY6">
        <v>0</v>
      </c>
      <c r="CZ6" t="s">
        <v>111</v>
      </c>
      <c r="DA6" t="s">
        <v>111</v>
      </c>
      <c r="DB6" t="s">
        <v>111</v>
      </c>
      <c r="DC6" t="s">
        <v>111</v>
      </c>
    </row>
    <row r="7" spans="1:107">
      <c r="A7">
        <v>1694</v>
      </c>
      <c r="B7" t="s">
        <v>107</v>
      </c>
      <c r="C7" t="s">
        <v>129</v>
      </c>
      <c r="D7" t="s">
        <v>148</v>
      </c>
      <c r="E7" t="s">
        <v>149</v>
      </c>
      <c r="F7" t="s">
        <v>125</v>
      </c>
      <c r="G7" t="s">
        <v>126</v>
      </c>
      <c r="H7">
        <v>1.4</v>
      </c>
      <c r="I7">
        <v>29</v>
      </c>
      <c r="J7">
        <v>8</v>
      </c>
      <c r="K7">
        <v>8</v>
      </c>
      <c r="L7" t="s">
        <v>112</v>
      </c>
      <c r="M7" t="s">
        <v>111</v>
      </c>
      <c r="N7">
        <v>0</v>
      </c>
      <c r="O7">
        <v>0</v>
      </c>
      <c r="P7" t="s">
        <v>111</v>
      </c>
      <c r="Q7">
        <v>30</v>
      </c>
      <c r="R7">
        <v>0</v>
      </c>
      <c r="S7">
        <v>0</v>
      </c>
      <c r="T7">
        <v>5</v>
      </c>
      <c r="U7" s="1" t="s">
        <v>150</v>
      </c>
      <c r="V7">
        <v>25</v>
      </c>
      <c r="W7">
        <v>0</v>
      </c>
      <c r="X7">
        <v>15</v>
      </c>
      <c r="Y7">
        <v>0</v>
      </c>
      <c r="Z7" t="s">
        <v>133</v>
      </c>
      <c r="AA7">
        <v>10</v>
      </c>
      <c r="AB7" t="s">
        <v>134</v>
      </c>
      <c r="AC7">
        <v>5</v>
      </c>
      <c r="AD7" t="s">
        <v>111</v>
      </c>
      <c r="AE7">
        <v>0</v>
      </c>
      <c r="AF7">
        <v>0</v>
      </c>
      <c r="AG7" t="s">
        <v>111</v>
      </c>
      <c r="AH7" t="s">
        <v>111</v>
      </c>
      <c r="AI7" t="s">
        <v>111</v>
      </c>
      <c r="AJ7" t="s">
        <v>111</v>
      </c>
      <c r="AK7" t="s">
        <v>111</v>
      </c>
      <c r="AL7" t="s">
        <v>111</v>
      </c>
      <c r="AM7">
        <v>0</v>
      </c>
      <c r="AN7">
        <v>0</v>
      </c>
      <c r="AO7">
        <v>0</v>
      </c>
      <c r="AP7" t="s">
        <v>111</v>
      </c>
      <c r="AQ7" t="s">
        <v>111</v>
      </c>
      <c r="AR7" t="s">
        <v>111</v>
      </c>
      <c r="AS7" t="s">
        <v>111</v>
      </c>
      <c r="AT7" t="s">
        <v>111</v>
      </c>
      <c r="AU7" t="s">
        <v>111</v>
      </c>
      <c r="AV7" t="s">
        <v>111</v>
      </c>
      <c r="AW7" t="s">
        <v>111</v>
      </c>
      <c r="AX7" t="s">
        <v>111</v>
      </c>
      <c r="AY7" t="s">
        <v>111</v>
      </c>
      <c r="AZ7" t="s">
        <v>111</v>
      </c>
      <c r="BA7" t="s">
        <v>111</v>
      </c>
      <c r="BB7" t="s">
        <v>111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111</v>
      </c>
      <c r="BQ7" t="s">
        <v>111</v>
      </c>
      <c r="BR7" t="s">
        <v>111</v>
      </c>
      <c r="BS7" t="s">
        <v>111</v>
      </c>
      <c r="BT7" t="s">
        <v>111</v>
      </c>
      <c r="BU7" t="s">
        <v>111</v>
      </c>
      <c r="BV7" t="s">
        <v>111</v>
      </c>
      <c r="BW7" t="s">
        <v>111</v>
      </c>
      <c r="BX7" t="s">
        <v>111</v>
      </c>
      <c r="BY7" t="s">
        <v>111</v>
      </c>
      <c r="BZ7" t="s">
        <v>111</v>
      </c>
      <c r="CA7" t="s">
        <v>111</v>
      </c>
      <c r="CB7" t="s">
        <v>111</v>
      </c>
      <c r="CC7" t="s">
        <v>111</v>
      </c>
      <c r="CD7" t="s">
        <v>111</v>
      </c>
      <c r="CE7" t="s">
        <v>111</v>
      </c>
      <c r="CF7" t="s">
        <v>111</v>
      </c>
      <c r="CG7" t="s">
        <v>111</v>
      </c>
      <c r="CH7" t="s">
        <v>111</v>
      </c>
      <c r="CI7" t="s">
        <v>111</v>
      </c>
      <c r="CJ7" t="s">
        <v>111</v>
      </c>
      <c r="CK7" t="s">
        <v>111</v>
      </c>
      <c r="CL7" t="s">
        <v>111</v>
      </c>
      <c r="CM7" t="s">
        <v>135</v>
      </c>
      <c r="CN7" t="s">
        <v>128</v>
      </c>
      <c r="CO7" t="s">
        <v>111</v>
      </c>
      <c r="CP7" t="s">
        <v>111</v>
      </c>
      <c r="CQ7">
        <v>0</v>
      </c>
      <c r="CR7">
        <v>1000</v>
      </c>
      <c r="CS7">
        <v>50</v>
      </c>
      <c r="CT7" t="e">
        <f>-ALMACEN</f>
        <v>#NAME?</v>
      </c>
      <c r="CU7">
        <v>0</v>
      </c>
      <c r="CV7" t="s">
        <v>111</v>
      </c>
      <c r="CX7" t="s">
        <v>111</v>
      </c>
      <c r="CY7">
        <v>0</v>
      </c>
      <c r="CZ7" t="s">
        <v>111</v>
      </c>
      <c r="DA7" t="s">
        <v>111</v>
      </c>
      <c r="DB7" t="s">
        <v>111</v>
      </c>
      <c r="DC7" t="s">
        <v>111</v>
      </c>
    </row>
    <row r="8" spans="1:107">
      <c r="A8">
        <v>1744</v>
      </c>
      <c r="B8" t="s">
        <v>107</v>
      </c>
      <c r="C8" t="s">
        <v>129</v>
      </c>
      <c r="D8" t="s">
        <v>151</v>
      </c>
      <c r="E8" t="s">
        <v>152</v>
      </c>
      <c r="F8" t="s">
        <v>125</v>
      </c>
      <c r="G8" t="s">
        <v>126</v>
      </c>
      <c r="H8">
        <v>1.4</v>
      </c>
      <c r="I8">
        <v>29</v>
      </c>
      <c r="J8">
        <v>8</v>
      </c>
      <c r="K8">
        <v>8</v>
      </c>
      <c r="L8" t="s">
        <v>112</v>
      </c>
      <c r="M8" t="s">
        <v>111</v>
      </c>
      <c r="N8">
        <v>0</v>
      </c>
      <c r="O8">
        <v>0</v>
      </c>
      <c r="P8" t="s">
        <v>138</v>
      </c>
      <c r="Q8">
        <v>30</v>
      </c>
      <c r="R8">
        <v>0</v>
      </c>
      <c r="S8">
        <v>0</v>
      </c>
      <c r="T8">
        <v>7</v>
      </c>
      <c r="U8" t="s">
        <v>153</v>
      </c>
      <c r="V8">
        <v>25</v>
      </c>
      <c r="W8">
        <v>0</v>
      </c>
      <c r="X8">
        <v>10</v>
      </c>
      <c r="Y8">
        <v>0</v>
      </c>
      <c r="Z8" t="s">
        <v>111</v>
      </c>
      <c r="AA8">
        <v>0</v>
      </c>
      <c r="AB8" t="s">
        <v>134</v>
      </c>
      <c r="AC8">
        <v>5</v>
      </c>
      <c r="AD8" t="s">
        <v>111</v>
      </c>
      <c r="AE8">
        <v>0</v>
      </c>
      <c r="AF8">
        <v>0</v>
      </c>
      <c r="AG8" t="s">
        <v>111</v>
      </c>
      <c r="AH8" t="s">
        <v>111</v>
      </c>
      <c r="AI8" t="s">
        <v>111</v>
      </c>
      <c r="AJ8" t="s">
        <v>111</v>
      </c>
      <c r="AK8" t="s">
        <v>111</v>
      </c>
      <c r="AL8" t="s">
        <v>111</v>
      </c>
      <c r="AM8">
        <v>0</v>
      </c>
      <c r="AN8">
        <v>0</v>
      </c>
      <c r="AO8">
        <v>0</v>
      </c>
      <c r="AP8" t="s">
        <v>111</v>
      </c>
      <c r="AQ8" t="s">
        <v>111</v>
      </c>
      <c r="AR8" t="s">
        <v>111</v>
      </c>
      <c r="AS8" t="s">
        <v>111</v>
      </c>
      <c r="AT8" t="s">
        <v>111</v>
      </c>
      <c r="AU8" t="s">
        <v>111</v>
      </c>
      <c r="AV8" t="s">
        <v>111</v>
      </c>
      <c r="AW8" t="s">
        <v>111</v>
      </c>
      <c r="AX8" t="s">
        <v>111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111</v>
      </c>
      <c r="BQ8" t="s">
        <v>111</v>
      </c>
      <c r="BR8" t="s">
        <v>111</v>
      </c>
      <c r="BS8" t="s">
        <v>111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 t="s">
        <v>111</v>
      </c>
      <c r="CC8" t="s">
        <v>111</v>
      </c>
      <c r="CD8" t="s">
        <v>111</v>
      </c>
      <c r="CE8" t="s">
        <v>111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111</v>
      </c>
      <c r="CL8" t="s">
        <v>111</v>
      </c>
      <c r="CM8" t="s">
        <v>135</v>
      </c>
      <c r="CN8" t="s">
        <v>128</v>
      </c>
      <c r="CO8" t="s">
        <v>111</v>
      </c>
      <c r="CP8" t="s">
        <v>111</v>
      </c>
      <c r="CQ8">
        <v>0</v>
      </c>
      <c r="CR8">
        <v>1000</v>
      </c>
      <c r="CS8">
        <v>50</v>
      </c>
      <c r="CT8" t="e">
        <f>-ALMACEN</f>
        <v>#NAME?</v>
      </c>
      <c r="CU8">
        <v>0</v>
      </c>
      <c r="CV8" t="s">
        <v>111</v>
      </c>
      <c r="CX8" t="s">
        <v>111</v>
      </c>
      <c r="CY8">
        <v>0</v>
      </c>
      <c r="CZ8" t="s">
        <v>111</v>
      </c>
      <c r="DA8" t="s">
        <v>111</v>
      </c>
      <c r="DB8" t="s">
        <v>111</v>
      </c>
      <c r="DC8" t="s">
        <v>111</v>
      </c>
    </row>
    <row r="9" spans="1:107">
      <c r="A9">
        <v>1943</v>
      </c>
      <c r="B9" t="s">
        <v>107</v>
      </c>
      <c r="C9" t="s">
        <v>154</v>
      </c>
      <c r="D9" t="s">
        <v>155</v>
      </c>
      <c r="E9" t="s">
        <v>156</v>
      </c>
      <c r="F9" t="s">
        <v>157</v>
      </c>
      <c r="G9" t="s">
        <v>126</v>
      </c>
      <c r="H9">
        <v>1.7</v>
      </c>
      <c r="I9">
        <v>25</v>
      </c>
      <c r="J9">
        <v>0</v>
      </c>
      <c r="K9">
        <v>0</v>
      </c>
      <c r="L9" t="s">
        <v>112</v>
      </c>
      <c r="M9" t="s">
        <v>111</v>
      </c>
      <c r="N9">
        <v>0</v>
      </c>
      <c r="O9">
        <v>0</v>
      </c>
      <c r="P9" t="s">
        <v>111</v>
      </c>
      <c r="Q9">
        <v>25</v>
      </c>
      <c r="R9">
        <v>0</v>
      </c>
      <c r="S9">
        <v>0</v>
      </c>
      <c r="T9">
        <v>0</v>
      </c>
      <c r="U9" t="e">
        <f>-ALAMCEN</f>
        <v>#NAME?</v>
      </c>
      <c r="V9">
        <v>12.5</v>
      </c>
      <c r="W9">
        <v>12.5</v>
      </c>
      <c r="X9">
        <v>0</v>
      </c>
      <c r="Y9">
        <v>0</v>
      </c>
      <c r="Z9" t="s">
        <v>111</v>
      </c>
      <c r="AA9">
        <v>0</v>
      </c>
      <c r="AB9" t="s">
        <v>143</v>
      </c>
      <c r="AC9">
        <v>25</v>
      </c>
      <c r="AD9" t="s">
        <v>111</v>
      </c>
      <c r="AE9">
        <v>0</v>
      </c>
      <c r="AF9">
        <v>0</v>
      </c>
      <c r="AG9" t="s">
        <v>111</v>
      </c>
      <c r="AH9" t="s">
        <v>111</v>
      </c>
      <c r="AI9" t="s">
        <v>111</v>
      </c>
      <c r="AJ9" t="s">
        <v>111</v>
      </c>
      <c r="AK9" t="s">
        <v>111</v>
      </c>
      <c r="AL9" t="s">
        <v>111</v>
      </c>
      <c r="AM9">
        <v>0</v>
      </c>
      <c r="AN9">
        <v>0</v>
      </c>
      <c r="AO9">
        <v>0</v>
      </c>
      <c r="AP9" t="s">
        <v>111</v>
      </c>
      <c r="AQ9" t="s">
        <v>111</v>
      </c>
      <c r="AR9" t="s">
        <v>111</v>
      </c>
      <c r="AS9" t="s">
        <v>111</v>
      </c>
      <c r="AT9" t="s">
        <v>111</v>
      </c>
      <c r="AU9" t="s">
        <v>111</v>
      </c>
      <c r="AV9" t="s">
        <v>111</v>
      </c>
      <c r="AW9" t="s">
        <v>111</v>
      </c>
      <c r="AX9" t="s">
        <v>111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111</v>
      </c>
      <c r="BQ9" t="s">
        <v>111</v>
      </c>
      <c r="BR9" t="s">
        <v>111</v>
      </c>
      <c r="BS9" t="s">
        <v>111</v>
      </c>
      <c r="BT9" t="s">
        <v>111</v>
      </c>
      <c r="BU9" t="s">
        <v>111</v>
      </c>
      <c r="BV9" t="s">
        <v>111</v>
      </c>
      <c r="BW9" t="s">
        <v>111</v>
      </c>
      <c r="BX9" t="s">
        <v>111</v>
      </c>
      <c r="BY9" t="s">
        <v>111</v>
      </c>
      <c r="BZ9" t="s">
        <v>111</v>
      </c>
      <c r="CA9" t="s">
        <v>111</v>
      </c>
      <c r="CB9" t="s">
        <v>111</v>
      </c>
      <c r="CC9" t="s">
        <v>111</v>
      </c>
      <c r="CD9" t="s">
        <v>111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>
        <v>0</v>
      </c>
      <c r="CR9">
        <v>0</v>
      </c>
      <c r="CS9">
        <v>0</v>
      </c>
      <c r="CT9" t="s">
        <v>111</v>
      </c>
      <c r="CU9">
        <v>0</v>
      </c>
      <c r="CV9" t="s">
        <v>111</v>
      </c>
      <c r="CX9" t="s">
        <v>111</v>
      </c>
      <c r="CY9">
        <v>0</v>
      </c>
      <c r="CZ9" t="s">
        <v>111</v>
      </c>
      <c r="DA9" t="s">
        <v>111</v>
      </c>
      <c r="DB9" t="s">
        <v>111</v>
      </c>
      <c r="DC9" t="s">
        <v>111</v>
      </c>
    </row>
    <row r="10" spans="1:107">
      <c r="A10">
        <v>1602</v>
      </c>
      <c r="B10" t="s">
        <v>107</v>
      </c>
      <c r="C10" t="s">
        <v>129</v>
      </c>
      <c r="D10" t="s">
        <v>158</v>
      </c>
      <c r="E10" t="s">
        <v>159</v>
      </c>
      <c r="F10" t="s">
        <v>125</v>
      </c>
      <c r="G10" t="s">
        <v>126</v>
      </c>
      <c r="H10">
        <v>1.4</v>
      </c>
      <c r="I10">
        <v>21</v>
      </c>
      <c r="J10">
        <v>7</v>
      </c>
      <c r="K10">
        <v>7</v>
      </c>
      <c r="L10" t="s">
        <v>112</v>
      </c>
      <c r="M10" t="s">
        <v>111</v>
      </c>
      <c r="N10">
        <v>0</v>
      </c>
      <c r="O10">
        <v>0</v>
      </c>
      <c r="P10" t="s">
        <v>111</v>
      </c>
      <c r="Q10">
        <v>25</v>
      </c>
      <c r="R10">
        <v>0</v>
      </c>
      <c r="S10">
        <v>0</v>
      </c>
      <c r="T10">
        <v>5</v>
      </c>
      <c r="U10" t="e">
        <f>-SELLADO</f>
        <v>#NAME?</v>
      </c>
      <c r="V10">
        <v>25</v>
      </c>
      <c r="W10">
        <v>0</v>
      </c>
      <c r="X10">
        <v>14</v>
      </c>
      <c r="Y10">
        <v>0</v>
      </c>
      <c r="Z10" t="s">
        <v>160</v>
      </c>
      <c r="AA10">
        <v>10</v>
      </c>
      <c r="AB10" t="s">
        <v>161</v>
      </c>
      <c r="AC10">
        <v>4</v>
      </c>
      <c r="AD10" t="s">
        <v>111</v>
      </c>
      <c r="AE10">
        <v>0</v>
      </c>
      <c r="AF10">
        <v>0</v>
      </c>
      <c r="AG10" t="s">
        <v>111</v>
      </c>
      <c r="AH10" t="s">
        <v>111</v>
      </c>
      <c r="AI10" t="s">
        <v>111</v>
      </c>
      <c r="AJ10" t="s">
        <v>111</v>
      </c>
      <c r="AK10" t="s">
        <v>111</v>
      </c>
      <c r="AL10" t="s">
        <v>111</v>
      </c>
      <c r="AM10">
        <v>0</v>
      </c>
      <c r="AN10">
        <v>0</v>
      </c>
      <c r="AO10">
        <v>0</v>
      </c>
      <c r="AP10" t="s">
        <v>111</v>
      </c>
      <c r="AQ10" t="s">
        <v>111</v>
      </c>
      <c r="AR10" t="s">
        <v>111</v>
      </c>
      <c r="AS10" t="s">
        <v>111</v>
      </c>
      <c r="AT10" t="s">
        <v>111</v>
      </c>
      <c r="AU10" t="s">
        <v>111</v>
      </c>
      <c r="AV10" t="s">
        <v>111</v>
      </c>
      <c r="AW10" t="s">
        <v>111</v>
      </c>
      <c r="AX10" t="s">
        <v>111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111</v>
      </c>
      <c r="BQ10" t="s">
        <v>111</v>
      </c>
      <c r="BR10" t="s">
        <v>111</v>
      </c>
      <c r="BS10" t="s">
        <v>111</v>
      </c>
      <c r="BT10" t="s">
        <v>111</v>
      </c>
      <c r="BU10" t="s">
        <v>111</v>
      </c>
      <c r="BV10" t="s">
        <v>111</v>
      </c>
      <c r="BW10" t="s">
        <v>111</v>
      </c>
      <c r="BX10" t="s">
        <v>111</v>
      </c>
      <c r="BY10" t="s">
        <v>111</v>
      </c>
      <c r="BZ10" t="s">
        <v>111</v>
      </c>
      <c r="CA10" t="s">
        <v>111</v>
      </c>
      <c r="CB10" t="s">
        <v>111</v>
      </c>
      <c r="CC10" t="s">
        <v>111</v>
      </c>
      <c r="CD10" t="s">
        <v>111</v>
      </c>
      <c r="CE10" t="s">
        <v>111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111</v>
      </c>
      <c r="CL10" t="s">
        <v>111</v>
      </c>
      <c r="CM10" t="s">
        <v>135</v>
      </c>
      <c r="CN10" t="s">
        <v>128</v>
      </c>
      <c r="CO10" t="s">
        <v>111</v>
      </c>
      <c r="CP10" t="s">
        <v>111</v>
      </c>
      <c r="CQ10">
        <v>0</v>
      </c>
      <c r="CR10">
        <v>1000</v>
      </c>
      <c r="CS10">
        <v>50</v>
      </c>
      <c r="CT10" t="e">
        <f>-OJO SELLE Y RESISTENCIA DEL MATERIAL</f>
        <v>#NAME?</v>
      </c>
      <c r="CU10">
        <v>0</v>
      </c>
      <c r="CV10" t="s">
        <v>111</v>
      </c>
      <c r="CW10" t="s">
        <v>111</v>
      </c>
      <c r="CX10" t="s">
        <v>111</v>
      </c>
      <c r="CY10">
        <v>0</v>
      </c>
      <c r="CZ10" t="s">
        <v>111</v>
      </c>
      <c r="DA10" t="s">
        <v>111</v>
      </c>
      <c r="DB10" t="s">
        <v>111</v>
      </c>
      <c r="DC10" t="s">
        <v>111</v>
      </c>
    </row>
    <row r="11" spans="1:107">
      <c r="A11">
        <v>300</v>
      </c>
      <c r="B11" t="s">
        <v>162</v>
      </c>
      <c r="C11" t="s">
        <v>163</v>
      </c>
      <c r="D11" t="s">
        <v>164</v>
      </c>
      <c r="E11" t="s">
        <v>165</v>
      </c>
      <c r="F11" t="s">
        <v>166</v>
      </c>
      <c r="G11" t="s">
        <v>167</v>
      </c>
      <c r="H11">
        <v>1.5</v>
      </c>
      <c r="I11">
        <v>46</v>
      </c>
      <c r="J11">
        <v>0</v>
      </c>
      <c r="K11">
        <v>0</v>
      </c>
      <c r="L11" t="s">
        <v>112</v>
      </c>
      <c r="M11" t="s">
        <v>138</v>
      </c>
      <c r="N11">
        <v>0</v>
      </c>
      <c r="O11">
        <v>0</v>
      </c>
      <c r="P11" t="s">
        <v>138</v>
      </c>
      <c r="Q11">
        <v>10</v>
      </c>
      <c r="R11">
        <v>0</v>
      </c>
      <c r="S11">
        <v>0</v>
      </c>
      <c r="T11">
        <v>0</v>
      </c>
      <c r="U11" t="s">
        <v>168</v>
      </c>
      <c r="V11">
        <v>0</v>
      </c>
      <c r="W11">
        <v>0</v>
      </c>
      <c r="X11">
        <v>1</v>
      </c>
      <c r="Y11">
        <v>0</v>
      </c>
      <c r="Z11" t="s">
        <v>111</v>
      </c>
      <c r="AA11">
        <v>0</v>
      </c>
      <c r="AB11" t="s">
        <v>111</v>
      </c>
      <c r="AC11">
        <v>0</v>
      </c>
      <c r="AD11" t="s">
        <v>111</v>
      </c>
      <c r="AE11">
        <v>0</v>
      </c>
      <c r="AF11">
        <v>0</v>
      </c>
      <c r="AG11" t="s">
        <v>111</v>
      </c>
      <c r="AH11" t="s">
        <v>111</v>
      </c>
      <c r="AI11" t="s">
        <v>111</v>
      </c>
      <c r="AJ11" t="s">
        <v>111</v>
      </c>
      <c r="AK11" t="s">
        <v>111</v>
      </c>
      <c r="AL11" t="s">
        <v>111</v>
      </c>
      <c r="AM11">
        <v>0</v>
      </c>
      <c r="AN11">
        <v>0</v>
      </c>
      <c r="AO11">
        <v>0</v>
      </c>
      <c r="AP11" t="s">
        <v>111</v>
      </c>
      <c r="AQ11" t="s">
        <v>111</v>
      </c>
      <c r="AR11" t="s">
        <v>111</v>
      </c>
      <c r="AS11" t="s">
        <v>111</v>
      </c>
      <c r="AT11" t="s">
        <v>111</v>
      </c>
      <c r="AU11" t="s">
        <v>111</v>
      </c>
      <c r="AV11" t="s">
        <v>111</v>
      </c>
      <c r="AW11" t="s">
        <v>111</v>
      </c>
      <c r="AX11" t="s">
        <v>111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111</v>
      </c>
      <c r="BQ11" t="s">
        <v>111</v>
      </c>
      <c r="BR11" t="s">
        <v>111</v>
      </c>
      <c r="BS11" t="s">
        <v>111</v>
      </c>
      <c r="BT11" t="s">
        <v>111</v>
      </c>
      <c r="BU11" t="s">
        <v>111</v>
      </c>
      <c r="BV11" t="s">
        <v>111</v>
      </c>
      <c r="BW11" t="s">
        <v>111</v>
      </c>
      <c r="BX11" t="s">
        <v>111</v>
      </c>
      <c r="BY11" t="s">
        <v>111</v>
      </c>
      <c r="BZ11" t="s">
        <v>111</v>
      </c>
      <c r="CA11" t="s">
        <v>111</v>
      </c>
      <c r="CB11" t="s">
        <v>111</v>
      </c>
      <c r="CC11" t="s">
        <v>111</v>
      </c>
      <c r="CD11" t="s">
        <v>111</v>
      </c>
      <c r="CE11" t="s">
        <v>111</v>
      </c>
      <c r="CF11" t="s">
        <v>111</v>
      </c>
      <c r="CG11" t="s">
        <v>111</v>
      </c>
      <c r="CH11" t="s">
        <v>111</v>
      </c>
      <c r="CI11" t="s">
        <v>111</v>
      </c>
      <c r="CJ11" t="s">
        <v>111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>
        <v>0</v>
      </c>
      <c r="CR11">
        <v>0</v>
      </c>
      <c r="CS11">
        <v>0</v>
      </c>
      <c r="CT11" t="s">
        <v>111</v>
      </c>
      <c r="CU11">
        <v>0</v>
      </c>
      <c r="CV11" t="s">
        <v>111</v>
      </c>
      <c r="CW11" t="s">
        <v>111</v>
      </c>
      <c r="CX11" t="s">
        <v>111</v>
      </c>
      <c r="CY11">
        <v>0</v>
      </c>
      <c r="CZ11" t="s">
        <v>111</v>
      </c>
      <c r="DA11" t="s">
        <v>111</v>
      </c>
      <c r="DB11" t="s">
        <v>111</v>
      </c>
      <c r="DC11" t="s">
        <v>111</v>
      </c>
    </row>
    <row r="12" spans="1:107">
      <c r="A12">
        <v>134</v>
      </c>
      <c r="B12" t="s">
        <v>162</v>
      </c>
      <c r="C12" s="2">
        <v>15380169</v>
      </c>
      <c r="D12" t="s">
        <v>169</v>
      </c>
      <c r="E12" t="s">
        <v>170</v>
      </c>
      <c r="F12" t="s">
        <v>166</v>
      </c>
      <c r="G12" t="s">
        <v>167</v>
      </c>
      <c r="H12">
        <v>0.7</v>
      </c>
      <c r="I12">
        <v>40</v>
      </c>
      <c r="J12">
        <v>0</v>
      </c>
      <c r="K12">
        <v>0</v>
      </c>
      <c r="L12" t="s">
        <v>112</v>
      </c>
      <c r="M12" t="s">
        <v>138</v>
      </c>
      <c r="N12">
        <v>0</v>
      </c>
      <c r="O12">
        <v>0</v>
      </c>
      <c r="P12" t="s">
        <v>138</v>
      </c>
      <c r="Q12">
        <v>10</v>
      </c>
      <c r="R12">
        <v>0</v>
      </c>
      <c r="S12">
        <v>0</v>
      </c>
      <c r="T12">
        <v>0</v>
      </c>
      <c r="U12" t="s">
        <v>168</v>
      </c>
      <c r="V12">
        <v>0</v>
      </c>
      <c r="W12">
        <v>0</v>
      </c>
      <c r="X12">
        <v>1</v>
      </c>
      <c r="Y12">
        <v>0</v>
      </c>
      <c r="Z12" t="s">
        <v>111</v>
      </c>
      <c r="AA12">
        <v>0</v>
      </c>
      <c r="AB12" t="s">
        <v>111</v>
      </c>
      <c r="AC12">
        <v>0</v>
      </c>
      <c r="AD12" t="s">
        <v>111</v>
      </c>
      <c r="AE12">
        <v>0</v>
      </c>
      <c r="AF12">
        <v>0</v>
      </c>
      <c r="AG12" t="s">
        <v>111</v>
      </c>
      <c r="AH12" t="s">
        <v>111</v>
      </c>
      <c r="AI12" t="s">
        <v>111</v>
      </c>
      <c r="AJ12" t="s">
        <v>111</v>
      </c>
      <c r="AK12" t="s">
        <v>111</v>
      </c>
      <c r="AL12" t="s">
        <v>111</v>
      </c>
      <c r="AM12">
        <v>0</v>
      </c>
      <c r="AN12">
        <v>0</v>
      </c>
      <c r="AO12">
        <v>0</v>
      </c>
      <c r="AP12" t="s">
        <v>111</v>
      </c>
      <c r="AQ12" t="s">
        <v>111</v>
      </c>
      <c r="AR12" t="s">
        <v>111</v>
      </c>
      <c r="AS12" t="s">
        <v>111</v>
      </c>
      <c r="AT12" t="s">
        <v>111</v>
      </c>
      <c r="AU12" t="s">
        <v>111</v>
      </c>
      <c r="AV12" t="s">
        <v>111</v>
      </c>
      <c r="AW12" t="s">
        <v>111</v>
      </c>
      <c r="AX12" t="s">
        <v>111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111</v>
      </c>
      <c r="BM12" t="s">
        <v>111</v>
      </c>
      <c r="BN12" t="s">
        <v>111</v>
      </c>
      <c r="BO12" t="s">
        <v>111</v>
      </c>
      <c r="BP12" t="s">
        <v>111</v>
      </c>
      <c r="BQ12" t="s">
        <v>111</v>
      </c>
      <c r="BR12" t="s">
        <v>111</v>
      </c>
      <c r="BS12" t="s">
        <v>111</v>
      </c>
      <c r="BT12" t="s">
        <v>111</v>
      </c>
      <c r="BU12" t="s">
        <v>111</v>
      </c>
      <c r="BV12" t="s">
        <v>111</v>
      </c>
      <c r="BW12" t="s">
        <v>111</v>
      </c>
      <c r="BX12" t="s">
        <v>111</v>
      </c>
      <c r="BY12" t="s">
        <v>111</v>
      </c>
      <c r="BZ12" t="s">
        <v>111</v>
      </c>
      <c r="CA12" t="s">
        <v>111</v>
      </c>
      <c r="CB12" t="s">
        <v>111</v>
      </c>
      <c r="CC12" t="s">
        <v>111</v>
      </c>
      <c r="CD12" t="s">
        <v>111</v>
      </c>
      <c r="CE12" t="s">
        <v>111</v>
      </c>
      <c r="CF12" t="s">
        <v>111</v>
      </c>
      <c r="CG12" t="s">
        <v>111</v>
      </c>
      <c r="CH12" t="s">
        <v>111</v>
      </c>
      <c r="CI12" t="s">
        <v>111</v>
      </c>
      <c r="CJ12" t="s">
        <v>111</v>
      </c>
      <c r="CK12" t="s">
        <v>111</v>
      </c>
      <c r="CL12" t="s">
        <v>111</v>
      </c>
      <c r="CM12" t="s">
        <v>111</v>
      </c>
      <c r="CN12" t="s">
        <v>111</v>
      </c>
      <c r="CO12" t="s">
        <v>111</v>
      </c>
      <c r="CP12" t="s">
        <v>111</v>
      </c>
      <c r="CQ12">
        <v>0</v>
      </c>
      <c r="CR12">
        <v>0</v>
      </c>
      <c r="CS12">
        <v>0</v>
      </c>
      <c r="CT12" t="s">
        <v>111</v>
      </c>
      <c r="CU12">
        <v>0</v>
      </c>
      <c r="CV12" t="s">
        <v>111</v>
      </c>
      <c r="CW12" t="s">
        <v>111</v>
      </c>
      <c r="CX12" t="s">
        <v>111</v>
      </c>
      <c r="CY12">
        <v>0</v>
      </c>
      <c r="CZ12" t="s">
        <v>111</v>
      </c>
      <c r="DA12" t="s">
        <v>111</v>
      </c>
      <c r="DB12" t="s">
        <v>111</v>
      </c>
      <c r="DC12" t="s">
        <v>111</v>
      </c>
    </row>
    <row r="13" spans="1:107">
      <c r="A13">
        <v>291</v>
      </c>
      <c r="B13" t="s">
        <v>162</v>
      </c>
      <c r="C13" t="s">
        <v>171</v>
      </c>
      <c r="D13" t="s">
        <v>172</v>
      </c>
      <c r="E13" t="s">
        <v>173</v>
      </c>
      <c r="F13" t="s">
        <v>166</v>
      </c>
      <c r="G13" t="s">
        <v>167</v>
      </c>
      <c r="H13">
        <v>0.7</v>
      </c>
      <c r="I13">
        <v>30</v>
      </c>
      <c r="J13">
        <v>0</v>
      </c>
      <c r="K13">
        <v>0</v>
      </c>
      <c r="L13" t="s">
        <v>112</v>
      </c>
      <c r="M13" t="s">
        <v>138</v>
      </c>
      <c r="N13">
        <v>0</v>
      </c>
      <c r="O13">
        <v>0</v>
      </c>
      <c r="P13" t="s">
        <v>138</v>
      </c>
      <c r="Q13">
        <v>10</v>
      </c>
      <c r="R13">
        <v>0</v>
      </c>
      <c r="S13">
        <v>0</v>
      </c>
      <c r="T13">
        <v>0</v>
      </c>
      <c r="U13" t="s">
        <v>168</v>
      </c>
      <c r="V13">
        <v>0</v>
      </c>
      <c r="W13">
        <v>0</v>
      </c>
      <c r="X13">
        <v>1</v>
      </c>
      <c r="Y13">
        <v>0</v>
      </c>
      <c r="Z13" t="s">
        <v>111</v>
      </c>
      <c r="AA13">
        <v>0</v>
      </c>
      <c r="AB13" t="s">
        <v>111</v>
      </c>
      <c r="AC13">
        <v>0</v>
      </c>
      <c r="AD13" t="s">
        <v>111</v>
      </c>
      <c r="AE13">
        <v>0</v>
      </c>
      <c r="AF13">
        <v>0</v>
      </c>
      <c r="AG13" t="s">
        <v>111</v>
      </c>
      <c r="AH13" t="s">
        <v>111</v>
      </c>
      <c r="AI13" t="s">
        <v>111</v>
      </c>
      <c r="AJ13" t="s">
        <v>111</v>
      </c>
      <c r="AK13" t="s">
        <v>111</v>
      </c>
      <c r="AL13" t="s">
        <v>111</v>
      </c>
      <c r="AM13">
        <v>0</v>
      </c>
      <c r="AN13">
        <v>0</v>
      </c>
      <c r="AO13">
        <v>0</v>
      </c>
      <c r="AP13" t="s">
        <v>111</v>
      </c>
      <c r="AQ13" t="s">
        <v>111</v>
      </c>
      <c r="AR13" t="s">
        <v>111</v>
      </c>
      <c r="AS13" t="s">
        <v>111</v>
      </c>
      <c r="AT13" t="s">
        <v>111</v>
      </c>
      <c r="AU13" t="s">
        <v>111</v>
      </c>
      <c r="AV13" t="s">
        <v>111</v>
      </c>
      <c r="AW13" t="s">
        <v>111</v>
      </c>
      <c r="AX13" t="s">
        <v>111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111</v>
      </c>
      <c r="BQ13" t="s">
        <v>111</v>
      </c>
      <c r="BR13" t="s">
        <v>111</v>
      </c>
      <c r="BS13" t="s">
        <v>111</v>
      </c>
      <c r="BT13" t="s">
        <v>111</v>
      </c>
      <c r="BU13" t="s">
        <v>111</v>
      </c>
      <c r="BV13" t="s">
        <v>111</v>
      </c>
      <c r="BW13" t="s">
        <v>111</v>
      </c>
      <c r="BX13" t="s">
        <v>111</v>
      </c>
      <c r="BY13" t="s">
        <v>111</v>
      </c>
      <c r="BZ13" t="s">
        <v>111</v>
      </c>
      <c r="CA13" t="s">
        <v>111</v>
      </c>
      <c r="CB13" t="s">
        <v>111</v>
      </c>
      <c r="CC13" t="s">
        <v>111</v>
      </c>
      <c r="CD13" t="s">
        <v>111</v>
      </c>
      <c r="CE13" t="s">
        <v>111</v>
      </c>
      <c r="CF13" t="s">
        <v>111</v>
      </c>
      <c r="CG13" t="s">
        <v>111</v>
      </c>
      <c r="CH13" t="s">
        <v>111</v>
      </c>
      <c r="CI13" t="s">
        <v>111</v>
      </c>
      <c r="CJ13" t="s">
        <v>111</v>
      </c>
      <c r="CK13" t="s">
        <v>111</v>
      </c>
      <c r="CL13" t="s">
        <v>111</v>
      </c>
      <c r="CM13" t="s">
        <v>111</v>
      </c>
      <c r="CN13" t="s">
        <v>111</v>
      </c>
      <c r="CO13" t="s">
        <v>111</v>
      </c>
      <c r="CP13" t="s">
        <v>111</v>
      </c>
      <c r="CQ13">
        <v>0</v>
      </c>
      <c r="CR13">
        <v>0</v>
      </c>
      <c r="CS13">
        <v>0</v>
      </c>
      <c r="CT13" t="s">
        <v>111</v>
      </c>
      <c r="CU13">
        <v>0</v>
      </c>
      <c r="CV13" t="s">
        <v>111</v>
      </c>
      <c r="CW13" t="s">
        <v>111</v>
      </c>
      <c r="CX13" t="s">
        <v>111</v>
      </c>
      <c r="CY13">
        <v>0</v>
      </c>
      <c r="CZ13" t="s">
        <v>111</v>
      </c>
      <c r="DA13" t="s">
        <v>111</v>
      </c>
      <c r="DB13" t="s">
        <v>111</v>
      </c>
      <c r="DC13" t="s">
        <v>111</v>
      </c>
    </row>
    <row r="14" spans="1:107">
      <c r="A14">
        <v>190</v>
      </c>
      <c r="B14" t="s">
        <v>162</v>
      </c>
      <c r="C14" t="s">
        <v>174</v>
      </c>
      <c r="D14" t="s">
        <v>175</v>
      </c>
      <c r="E14" t="s">
        <v>176</v>
      </c>
      <c r="F14" t="s">
        <v>166</v>
      </c>
      <c r="G14" t="s">
        <v>177</v>
      </c>
      <c r="H14">
        <v>0.8</v>
      </c>
      <c r="I14">
        <v>70</v>
      </c>
      <c r="J14">
        <v>0</v>
      </c>
      <c r="K14">
        <v>0</v>
      </c>
      <c r="L14" t="s">
        <v>178</v>
      </c>
      <c r="M14" t="s">
        <v>138</v>
      </c>
      <c r="N14">
        <v>0</v>
      </c>
      <c r="O14">
        <v>0</v>
      </c>
      <c r="P14" t="s">
        <v>138</v>
      </c>
      <c r="Q14">
        <v>40</v>
      </c>
      <c r="R14">
        <v>0</v>
      </c>
      <c r="S14">
        <v>0</v>
      </c>
      <c r="T14">
        <v>0</v>
      </c>
      <c r="U14" s="1" t="s">
        <v>179</v>
      </c>
      <c r="V14">
        <v>25</v>
      </c>
      <c r="W14">
        <v>0</v>
      </c>
      <c r="X14">
        <v>5</v>
      </c>
      <c r="Y14">
        <v>0</v>
      </c>
      <c r="Z14" t="s">
        <v>111</v>
      </c>
      <c r="AA14">
        <v>0</v>
      </c>
      <c r="AB14" t="s">
        <v>111</v>
      </c>
      <c r="AC14">
        <v>0</v>
      </c>
      <c r="AD14" t="s">
        <v>111</v>
      </c>
      <c r="AE14">
        <v>0</v>
      </c>
      <c r="AF14">
        <v>0</v>
      </c>
      <c r="AG14" t="s">
        <v>111</v>
      </c>
      <c r="AH14" t="s">
        <v>111</v>
      </c>
      <c r="AI14" t="s">
        <v>111</v>
      </c>
      <c r="AJ14" t="s">
        <v>111</v>
      </c>
      <c r="AK14" t="s">
        <v>111</v>
      </c>
      <c r="AL14" t="s">
        <v>111</v>
      </c>
      <c r="AM14">
        <v>0</v>
      </c>
      <c r="AN14">
        <v>0</v>
      </c>
      <c r="AO14">
        <v>0</v>
      </c>
      <c r="AP14" t="s">
        <v>111</v>
      </c>
      <c r="AQ14" t="s">
        <v>111</v>
      </c>
      <c r="AR14" t="s">
        <v>111</v>
      </c>
      <c r="AS14" t="s">
        <v>111</v>
      </c>
      <c r="AT14" t="s">
        <v>111</v>
      </c>
      <c r="AU14" t="s">
        <v>111</v>
      </c>
      <c r="AV14" t="s">
        <v>111</v>
      </c>
      <c r="AW14" t="s">
        <v>111</v>
      </c>
      <c r="AX14" t="s">
        <v>111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111</v>
      </c>
      <c r="BM14" t="s">
        <v>111</v>
      </c>
      <c r="BN14" t="s">
        <v>111</v>
      </c>
      <c r="BO14" t="s">
        <v>111</v>
      </c>
      <c r="BP14" t="s">
        <v>111</v>
      </c>
      <c r="BQ14" t="s">
        <v>111</v>
      </c>
      <c r="BR14" t="s">
        <v>111</v>
      </c>
      <c r="BS14" t="s">
        <v>111</v>
      </c>
      <c r="BT14" t="s">
        <v>111</v>
      </c>
      <c r="BU14" t="s">
        <v>111</v>
      </c>
      <c r="BV14" t="s">
        <v>111</v>
      </c>
      <c r="BW14" t="s">
        <v>111</v>
      </c>
      <c r="BX14" t="s">
        <v>111</v>
      </c>
      <c r="BY14" t="s">
        <v>111</v>
      </c>
      <c r="BZ14" t="s">
        <v>111</v>
      </c>
      <c r="CA14" t="s">
        <v>111</v>
      </c>
      <c r="CB14" t="s">
        <v>111</v>
      </c>
      <c r="CC14" t="s">
        <v>111</v>
      </c>
      <c r="CD14" t="s">
        <v>111</v>
      </c>
      <c r="CE14" t="s">
        <v>111</v>
      </c>
      <c r="CF14" t="s">
        <v>111</v>
      </c>
      <c r="CG14" t="s">
        <v>111</v>
      </c>
      <c r="CH14" t="s">
        <v>111</v>
      </c>
      <c r="CI14" t="s">
        <v>111</v>
      </c>
      <c r="CJ14" t="s">
        <v>111</v>
      </c>
      <c r="CK14" t="s">
        <v>111</v>
      </c>
      <c r="CL14" t="s">
        <v>111</v>
      </c>
      <c r="CM14" t="s">
        <v>111</v>
      </c>
      <c r="CN14" t="s">
        <v>111</v>
      </c>
      <c r="CO14" t="s">
        <v>111</v>
      </c>
      <c r="CP14" t="s">
        <v>111</v>
      </c>
      <c r="CQ14">
        <v>0</v>
      </c>
      <c r="CR14">
        <v>0</v>
      </c>
      <c r="CS14">
        <v>0</v>
      </c>
      <c r="CT14" t="s">
        <v>111</v>
      </c>
      <c r="CU14">
        <v>0</v>
      </c>
      <c r="CV14" t="s">
        <v>111</v>
      </c>
      <c r="CW14" t="s">
        <v>111</v>
      </c>
      <c r="CX14" t="s">
        <v>111</v>
      </c>
      <c r="CY14">
        <v>0</v>
      </c>
      <c r="CZ14" t="s">
        <v>111</v>
      </c>
      <c r="DA14" t="s">
        <v>111</v>
      </c>
      <c r="DB14" t="s">
        <v>111</v>
      </c>
      <c r="DC14" t="s">
        <v>111</v>
      </c>
    </row>
    <row r="15" spans="1:107">
      <c r="A15">
        <v>1271</v>
      </c>
      <c r="B15" t="s">
        <v>107</v>
      </c>
      <c r="C15" t="s">
        <v>180</v>
      </c>
      <c r="D15" t="s">
        <v>181</v>
      </c>
      <c r="E15" t="s">
        <v>182</v>
      </c>
      <c r="F15" t="s">
        <v>183</v>
      </c>
      <c r="G15" t="s">
        <v>177</v>
      </c>
      <c r="H15">
        <v>2.9</v>
      </c>
      <c r="I15">
        <v>73.599999999999994</v>
      </c>
      <c r="J15">
        <v>0</v>
      </c>
      <c r="K15">
        <v>0</v>
      </c>
      <c r="L15" t="s">
        <v>112</v>
      </c>
      <c r="M15" t="s">
        <v>111</v>
      </c>
      <c r="N15">
        <v>0</v>
      </c>
      <c r="O15">
        <v>0</v>
      </c>
      <c r="P15" t="s">
        <v>111</v>
      </c>
      <c r="Q15">
        <v>20</v>
      </c>
      <c r="R15">
        <v>0</v>
      </c>
      <c r="S15">
        <v>0</v>
      </c>
      <c r="T15">
        <v>5</v>
      </c>
      <c r="U15" t="e">
        <f>-SELLADO</f>
        <v>#NAME?</v>
      </c>
      <c r="V15">
        <v>25</v>
      </c>
      <c r="W15">
        <v>0</v>
      </c>
      <c r="X15">
        <v>8</v>
      </c>
      <c r="Y15">
        <v>0</v>
      </c>
      <c r="Z15" t="s">
        <v>184</v>
      </c>
      <c r="AA15">
        <v>1</v>
      </c>
      <c r="AB15" t="s">
        <v>111</v>
      </c>
      <c r="AC15">
        <v>0</v>
      </c>
      <c r="AD15" t="s">
        <v>111</v>
      </c>
      <c r="AE15">
        <v>0</v>
      </c>
      <c r="AF15">
        <v>0</v>
      </c>
      <c r="AG15" t="s">
        <v>111</v>
      </c>
      <c r="AH15" t="s">
        <v>111</v>
      </c>
      <c r="AI15" t="s">
        <v>111</v>
      </c>
      <c r="AJ15" t="s">
        <v>111</v>
      </c>
      <c r="AK15" t="s">
        <v>111</v>
      </c>
      <c r="AL15" t="s">
        <v>111</v>
      </c>
      <c r="AM15">
        <v>0</v>
      </c>
      <c r="AN15">
        <v>0</v>
      </c>
      <c r="AO15">
        <v>0</v>
      </c>
      <c r="AP15" t="s">
        <v>111</v>
      </c>
      <c r="AQ15" t="s">
        <v>111</v>
      </c>
      <c r="AR15" t="s">
        <v>111</v>
      </c>
      <c r="AS15" t="s">
        <v>111</v>
      </c>
      <c r="AT15" t="s">
        <v>111</v>
      </c>
      <c r="AU15" t="s">
        <v>111</v>
      </c>
      <c r="AV15" t="s">
        <v>111</v>
      </c>
      <c r="AW15" t="s">
        <v>111</v>
      </c>
      <c r="AX15" t="s">
        <v>111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111</v>
      </c>
      <c r="BM15" t="s">
        <v>111</v>
      </c>
      <c r="BN15" t="s">
        <v>111</v>
      </c>
      <c r="BO15" t="s">
        <v>111</v>
      </c>
      <c r="BP15" t="s">
        <v>111</v>
      </c>
      <c r="BQ15" t="s">
        <v>111</v>
      </c>
      <c r="BR15" t="s">
        <v>111</v>
      </c>
      <c r="BS15" t="s">
        <v>111</v>
      </c>
      <c r="BT15" t="s">
        <v>111</v>
      </c>
      <c r="BU15" t="s">
        <v>111</v>
      </c>
      <c r="BV15" t="s">
        <v>111</v>
      </c>
      <c r="BW15" t="s">
        <v>111</v>
      </c>
      <c r="BX15" t="s">
        <v>111</v>
      </c>
      <c r="BY15" t="s">
        <v>111</v>
      </c>
      <c r="BZ15" t="s">
        <v>111</v>
      </c>
      <c r="CA15" t="s">
        <v>111</v>
      </c>
      <c r="CB15" t="s">
        <v>111</v>
      </c>
      <c r="CC15" t="s">
        <v>111</v>
      </c>
      <c r="CD15" t="s">
        <v>111</v>
      </c>
      <c r="CE15" t="s">
        <v>111</v>
      </c>
      <c r="CF15" t="s">
        <v>111</v>
      </c>
      <c r="CG15" t="s">
        <v>111</v>
      </c>
      <c r="CH15" t="s">
        <v>111</v>
      </c>
      <c r="CI15" t="s">
        <v>111</v>
      </c>
      <c r="CJ15" t="s">
        <v>111</v>
      </c>
      <c r="CK15" t="s">
        <v>111</v>
      </c>
      <c r="CL15" t="s">
        <v>111</v>
      </c>
      <c r="CM15" t="s">
        <v>111</v>
      </c>
      <c r="CN15" t="s">
        <v>111</v>
      </c>
      <c r="CO15" t="s">
        <v>111</v>
      </c>
      <c r="CP15" t="s">
        <v>111</v>
      </c>
      <c r="CQ15">
        <v>0</v>
      </c>
      <c r="CR15">
        <v>200</v>
      </c>
      <c r="CS15">
        <v>10</v>
      </c>
      <c r="CT15" t="s">
        <v>111</v>
      </c>
      <c r="CU15">
        <v>0</v>
      </c>
      <c r="CV15" t="s">
        <v>111</v>
      </c>
      <c r="CW15" t="s">
        <v>111</v>
      </c>
      <c r="CX15" t="s">
        <v>111</v>
      </c>
      <c r="CY15">
        <v>0</v>
      </c>
      <c r="CZ15" t="s">
        <v>111</v>
      </c>
      <c r="DA15" t="s">
        <v>111</v>
      </c>
      <c r="DB15" t="e">
        <f>-EXTERNO</f>
        <v>#NAME?</v>
      </c>
      <c r="DC15" t="e">
        <f>-CORTE Y SELLE</f>
        <v>#NAME?</v>
      </c>
    </row>
    <row r="16" spans="1:107">
      <c r="A16">
        <v>1272</v>
      </c>
      <c r="B16" t="s">
        <v>107</v>
      </c>
      <c r="C16" t="s">
        <v>180</v>
      </c>
      <c r="D16" t="s">
        <v>185</v>
      </c>
      <c r="E16" t="s">
        <v>186</v>
      </c>
      <c r="F16" t="s">
        <v>187</v>
      </c>
      <c r="G16" t="s">
        <v>177</v>
      </c>
      <c r="H16">
        <v>2.9</v>
      </c>
      <c r="I16">
        <v>73.599999999999994</v>
      </c>
      <c r="J16">
        <v>0</v>
      </c>
      <c r="K16">
        <v>0</v>
      </c>
      <c r="L16" t="s">
        <v>112</v>
      </c>
      <c r="M16" t="s">
        <v>111</v>
      </c>
      <c r="N16">
        <v>0</v>
      </c>
      <c r="O16">
        <v>0</v>
      </c>
      <c r="P16" t="s">
        <v>111</v>
      </c>
      <c r="Q16">
        <v>20</v>
      </c>
      <c r="R16">
        <v>0</v>
      </c>
      <c r="S16">
        <v>0</v>
      </c>
      <c r="T16">
        <v>5</v>
      </c>
      <c r="U16" t="e">
        <f>-SELLADO</f>
        <v>#NAME?</v>
      </c>
      <c r="V16">
        <v>25</v>
      </c>
      <c r="W16">
        <v>0</v>
      </c>
      <c r="X16">
        <v>8</v>
      </c>
      <c r="Y16">
        <v>0</v>
      </c>
      <c r="Z16" t="s">
        <v>188</v>
      </c>
      <c r="AA16">
        <v>0.8</v>
      </c>
      <c r="AB16" t="s">
        <v>189</v>
      </c>
      <c r="AC16">
        <v>25</v>
      </c>
      <c r="AD16" t="s">
        <v>111</v>
      </c>
      <c r="AE16">
        <v>0</v>
      </c>
      <c r="AF16">
        <v>0</v>
      </c>
      <c r="AG16" t="s">
        <v>111</v>
      </c>
      <c r="AH16" t="s">
        <v>111</v>
      </c>
      <c r="AI16" t="s">
        <v>111</v>
      </c>
      <c r="AJ16" t="s">
        <v>111</v>
      </c>
      <c r="AK16" t="s">
        <v>111</v>
      </c>
      <c r="AL16" t="s">
        <v>111</v>
      </c>
      <c r="AM16">
        <v>0</v>
      </c>
      <c r="AN16">
        <v>0</v>
      </c>
      <c r="AO16">
        <v>0</v>
      </c>
      <c r="AP16" t="s">
        <v>111</v>
      </c>
      <c r="AQ16" t="s">
        <v>111</v>
      </c>
      <c r="AR16" t="s">
        <v>111</v>
      </c>
      <c r="AS16" t="s">
        <v>111</v>
      </c>
      <c r="AT16" t="s">
        <v>111</v>
      </c>
      <c r="AU16" t="s">
        <v>111</v>
      </c>
      <c r="AV16" t="s">
        <v>111</v>
      </c>
      <c r="AW16" t="s">
        <v>111</v>
      </c>
      <c r="AX16" t="s">
        <v>111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111</v>
      </c>
      <c r="BQ16" t="s">
        <v>111</v>
      </c>
      <c r="BR16" t="s">
        <v>111</v>
      </c>
      <c r="BS16" t="s">
        <v>111</v>
      </c>
      <c r="BT16" t="s">
        <v>111</v>
      </c>
      <c r="BU16" t="s">
        <v>111</v>
      </c>
      <c r="BV16" t="s">
        <v>111</v>
      </c>
      <c r="BW16" t="s">
        <v>111</v>
      </c>
      <c r="BX16" t="s">
        <v>111</v>
      </c>
      <c r="BY16" t="s">
        <v>111</v>
      </c>
      <c r="BZ16" t="s">
        <v>111</v>
      </c>
      <c r="CA16" t="s">
        <v>111</v>
      </c>
      <c r="CB16" t="s">
        <v>111</v>
      </c>
      <c r="CC16" t="s">
        <v>111</v>
      </c>
      <c r="CD16" t="s">
        <v>111</v>
      </c>
      <c r="CE16" t="s">
        <v>111</v>
      </c>
      <c r="CF16" t="s">
        <v>111</v>
      </c>
      <c r="CG16" t="s">
        <v>111</v>
      </c>
      <c r="CH16" t="s">
        <v>111</v>
      </c>
      <c r="CI16" t="s">
        <v>111</v>
      </c>
      <c r="CJ16" t="s">
        <v>111</v>
      </c>
      <c r="CK16" t="s">
        <v>111</v>
      </c>
      <c r="CL16" t="s">
        <v>111</v>
      </c>
      <c r="CM16" t="s">
        <v>135</v>
      </c>
      <c r="CN16" t="s">
        <v>128</v>
      </c>
      <c r="CO16" t="s">
        <v>111</v>
      </c>
      <c r="CP16" t="s">
        <v>111</v>
      </c>
      <c r="CQ16">
        <v>30</v>
      </c>
      <c r="CR16">
        <v>200</v>
      </c>
      <c r="CS16">
        <v>10</v>
      </c>
      <c r="CT16" t="e">
        <f>-ALMACEN</f>
        <v>#NAME?</v>
      </c>
      <c r="CU16">
        <v>0</v>
      </c>
      <c r="CV16" t="s">
        <v>111</v>
      </c>
      <c r="CW16" t="s">
        <v>111</v>
      </c>
      <c r="CX16" t="s">
        <v>111</v>
      </c>
      <c r="CY16">
        <v>0</v>
      </c>
      <c r="CZ16" t="s">
        <v>111</v>
      </c>
      <c r="DA16" t="s">
        <v>111</v>
      </c>
      <c r="DB16" t="e">
        <f>-EXTERNO</f>
        <v>#NAME?</v>
      </c>
      <c r="DC16" t="e">
        <f>-CORTE Y SELLE</f>
        <v>#NAME?</v>
      </c>
    </row>
    <row r="17" spans="1:107">
      <c r="A17">
        <v>1524</v>
      </c>
      <c r="B17" t="s">
        <v>107</v>
      </c>
      <c r="C17" t="s">
        <v>154</v>
      </c>
      <c r="D17" t="s">
        <v>190</v>
      </c>
      <c r="E17" t="s">
        <v>191</v>
      </c>
      <c r="F17" t="s">
        <v>192</v>
      </c>
      <c r="G17" t="s">
        <v>177</v>
      </c>
      <c r="H17">
        <v>2</v>
      </c>
      <c r="I17">
        <v>97.5</v>
      </c>
      <c r="J17">
        <v>0</v>
      </c>
      <c r="K17">
        <v>0</v>
      </c>
      <c r="L17" t="s">
        <v>112</v>
      </c>
      <c r="M17" t="s">
        <v>111</v>
      </c>
      <c r="N17">
        <v>0</v>
      </c>
      <c r="O17">
        <v>0</v>
      </c>
      <c r="P17" t="s">
        <v>111</v>
      </c>
      <c r="Q17">
        <v>50</v>
      </c>
      <c r="R17">
        <v>0</v>
      </c>
      <c r="S17">
        <v>0</v>
      </c>
      <c r="T17">
        <v>5</v>
      </c>
      <c r="U17" t="e">
        <f>-MANUALES</f>
        <v>#NAME?</v>
      </c>
      <c r="V17">
        <v>12.5</v>
      </c>
      <c r="W17">
        <v>12.5</v>
      </c>
      <c r="X17">
        <v>0</v>
      </c>
      <c r="Y17">
        <v>0</v>
      </c>
      <c r="Z17" t="s">
        <v>111</v>
      </c>
      <c r="AA17">
        <v>0</v>
      </c>
      <c r="AB17" t="s">
        <v>193</v>
      </c>
      <c r="AC17">
        <v>25</v>
      </c>
      <c r="AD17" t="s">
        <v>111</v>
      </c>
      <c r="AE17">
        <v>0</v>
      </c>
      <c r="AF17">
        <v>0</v>
      </c>
      <c r="AG17" t="s">
        <v>111</v>
      </c>
      <c r="AH17" t="s">
        <v>111</v>
      </c>
      <c r="AI17" t="s">
        <v>111</v>
      </c>
      <c r="AJ17" t="s">
        <v>111</v>
      </c>
      <c r="AK17" t="s">
        <v>111</v>
      </c>
      <c r="AL17" t="s">
        <v>111</v>
      </c>
      <c r="AM17">
        <v>0</v>
      </c>
      <c r="AN17">
        <v>0</v>
      </c>
      <c r="AO17">
        <v>0</v>
      </c>
      <c r="AP17" t="s">
        <v>111</v>
      </c>
      <c r="AQ17" t="s">
        <v>111</v>
      </c>
      <c r="AR17" t="s">
        <v>111</v>
      </c>
      <c r="AS17" t="s">
        <v>111</v>
      </c>
      <c r="AT17" t="s">
        <v>111</v>
      </c>
      <c r="AU17" t="s">
        <v>111</v>
      </c>
      <c r="AV17" t="s">
        <v>111</v>
      </c>
      <c r="AW17" t="s">
        <v>111</v>
      </c>
      <c r="AX17" t="s">
        <v>111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111</v>
      </c>
      <c r="BQ17" t="s">
        <v>111</v>
      </c>
      <c r="BR17" t="s">
        <v>111</v>
      </c>
      <c r="BS17" t="s">
        <v>111</v>
      </c>
      <c r="BT17" t="s">
        <v>111</v>
      </c>
      <c r="BU17" t="s">
        <v>111</v>
      </c>
      <c r="BV17" t="s">
        <v>111</v>
      </c>
      <c r="BW17" t="s">
        <v>111</v>
      </c>
      <c r="BX17" t="s">
        <v>111</v>
      </c>
      <c r="BY17" t="s">
        <v>111</v>
      </c>
      <c r="BZ17" t="s">
        <v>111</v>
      </c>
      <c r="CA17" t="s">
        <v>111</v>
      </c>
      <c r="CB17" t="s">
        <v>111</v>
      </c>
      <c r="CC17" t="s">
        <v>111</v>
      </c>
      <c r="CD17" t="s">
        <v>111</v>
      </c>
      <c r="CE17" t="s">
        <v>111</v>
      </c>
      <c r="CF17" t="s">
        <v>111</v>
      </c>
      <c r="CG17" t="s">
        <v>111</v>
      </c>
      <c r="CH17" t="s">
        <v>111</v>
      </c>
      <c r="CI17" t="s">
        <v>111</v>
      </c>
      <c r="CJ17" t="s">
        <v>111</v>
      </c>
      <c r="CK17" t="s">
        <v>111</v>
      </c>
      <c r="CL17" t="s">
        <v>111</v>
      </c>
      <c r="CM17" t="s">
        <v>111</v>
      </c>
      <c r="CN17" t="s">
        <v>111</v>
      </c>
      <c r="CO17" t="s">
        <v>111</v>
      </c>
      <c r="CP17" t="s">
        <v>111</v>
      </c>
      <c r="CQ17">
        <v>0</v>
      </c>
      <c r="CR17">
        <v>200</v>
      </c>
      <c r="CS17">
        <v>20</v>
      </c>
      <c r="CT17" t="s">
        <v>111</v>
      </c>
      <c r="CU17">
        <v>0</v>
      </c>
      <c r="CV17" t="s">
        <v>111</v>
      </c>
      <c r="CW17" t="s">
        <v>111</v>
      </c>
      <c r="CX17" t="s">
        <v>111</v>
      </c>
      <c r="CY17">
        <v>0</v>
      </c>
      <c r="CZ17" t="s">
        <v>111</v>
      </c>
      <c r="DA17" t="s">
        <v>111</v>
      </c>
      <c r="DB17" t="e">
        <f>-INTERNO</f>
        <v>#NAME?</v>
      </c>
      <c r="DC17" t="e">
        <f>-CORTE Y SELLE</f>
        <v>#NAME?</v>
      </c>
    </row>
    <row r="18" spans="1:107">
      <c r="A18">
        <v>744</v>
      </c>
      <c r="B18" t="s">
        <v>107</v>
      </c>
      <c r="C18" t="s">
        <v>194</v>
      </c>
      <c r="D18" t="s">
        <v>195</v>
      </c>
      <c r="E18" t="s">
        <v>196</v>
      </c>
      <c r="F18" t="s">
        <v>125</v>
      </c>
      <c r="G18" t="s">
        <v>177</v>
      </c>
      <c r="H18">
        <v>1.9</v>
      </c>
      <c r="I18">
        <v>57</v>
      </c>
      <c r="J18">
        <v>0</v>
      </c>
      <c r="K18">
        <v>0</v>
      </c>
      <c r="L18" t="s">
        <v>112</v>
      </c>
      <c r="M18" t="s">
        <v>138</v>
      </c>
      <c r="N18">
        <v>0</v>
      </c>
      <c r="O18">
        <v>0</v>
      </c>
      <c r="P18" t="s">
        <v>138</v>
      </c>
      <c r="Q18">
        <v>35</v>
      </c>
      <c r="R18">
        <v>0</v>
      </c>
      <c r="S18">
        <v>0</v>
      </c>
      <c r="T18">
        <v>0</v>
      </c>
      <c r="U18" t="e">
        <f>-DESTINO SELLADO</f>
        <v>#NAME?</v>
      </c>
      <c r="V18">
        <v>0</v>
      </c>
      <c r="W18">
        <v>12.5</v>
      </c>
      <c r="X18">
        <v>12.5</v>
      </c>
      <c r="Y18">
        <v>0</v>
      </c>
      <c r="Z18" t="s">
        <v>111</v>
      </c>
      <c r="AA18">
        <v>0</v>
      </c>
      <c r="AB18" t="s">
        <v>197</v>
      </c>
      <c r="AC18">
        <v>0</v>
      </c>
      <c r="AD18" t="s">
        <v>111</v>
      </c>
      <c r="AE18">
        <v>0</v>
      </c>
      <c r="AF18">
        <v>0</v>
      </c>
      <c r="AG18" t="s">
        <v>111</v>
      </c>
      <c r="AH18" t="s">
        <v>111</v>
      </c>
      <c r="AI18" t="s">
        <v>111</v>
      </c>
      <c r="AJ18" t="s">
        <v>111</v>
      </c>
      <c r="AK18" t="s">
        <v>111</v>
      </c>
      <c r="AL18" t="s">
        <v>111</v>
      </c>
      <c r="AM18">
        <v>0</v>
      </c>
      <c r="AN18">
        <v>0</v>
      </c>
      <c r="AO18">
        <v>0</v>
      </c>
      <c r="AP18" t="s">
        <v>111</v>
      </c>
      <c r="AQ18" t="s">
        <v>111</v>
      </c>
      <c r="AR18" t="s">
        <v>111</v>
      </c>
      <c r="AS18" t="s">
        <v>111</v>
      </c>
      <c r="AT18" t="s">
        <v>111</v>
      </c>
      <c r="AU18" t="s">
        <v>111</v>
      </c>
      <c r="AV18" t="s">
        <v>111</v>
      </c>
      <c r="AW18" t="s">
        <v>111</v>
      </c>
      <c r="AX18" t="s">
        <v>111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111</v>
      </c>
      <c r="BQ18" t="s">
        <v>111</v>
      </c>
      <c r="BR18" t="s">
        <v>111</v>
      </c>
      <c r="BS18" t="s">
        <v>111</v>
      </c>
      <c r="BT18" t="s">
        <v>111</v>
      </c>
      <c r="BU18" t="s">
        <v>111</v>
      </c>
      <c r="BV18" t="s">
        <v>111</v>
      </c>
      <c r="BW18" t="s">
        <v>111</v>
      </c>
      <c r="BX18" t="s">
        <v>111</v>
      </c>
      <c r="BY18" t="s">
        <v>111</v>
      </c>
      <c r="BZ18" t="s">
        <v>111</v>
      </c>
      <c r="CA18" t="s">
        <v>111</v>
      </c>
      <c r="CB18" t="s">
        <v>111</v>
      </c>
      <c r="CC18" t="s">
        <v>111</v>
      </c>
      <c r="CD18" t="s">
        <v>111</v>
      </c>
      <c r="CE18" t="s">
        <v>111</v>
      </c>
      <c r="CF18" t="s">
        <v>111</v>
      </c>
      <c r="CG18" t="s">
        <v>111</v>
      </c>
      <c r="CH18" t="s">
        <v>111</v>
      </c>
      <c r="CI18" t="s">
        <v>111</v>
      </c>
      <c r="CJ18" t="s">
        <v>111</v>
      </c>
      <c r="CK18" t="s">
        <v>111</v>
      </c>
      <c r="CL18" t="s">
        <v>111</v>
      </c>
      <c r="CM18" t="s">
        <v>198</v>
      </c>
      <c r="CN18" t="s">
        <v>128</v>
      </c>
      <c r="CO18" t="s">
        <v>111</v>
      </c>
      <c r="CP18" t="s">
        <v>111</v>
      </c>
      <c r="CQ18">
        <v>0</v>
      </c>
      <c r="CR18">
        <v>500</v>
      </c>
      <c r="CS18">
        <v>25</v>
      </c>
      <c r="CT18" s="1" t="s">
        <v>199</v>
      </c>
      <c r="CU18">
        <v>0</v>
      </c>
      <c r="CV18" t="s">
        <v>111</v>
      </c>
      <c r="CW18" t="s">
        <v>111</v>
      </c>
      <c r="CX18" t="s">
        <v>111</v>
      </c>
      <c r="CY18">
        <v>0</v>
      </c>
      <c r="CZ18" t="s">
        <v>111</v>
      </c>
      <c r="DA18" t="s">
        <v>111</v>
      </c>
      <c r="DB18" t="s">
        <v>111</v>
      </c>
      <c r="DC18" t="s">
        <v>111</v>
      </c>
    </row>
    <row r="19" spans="1:107">
      <c r="A19">
        <v>448</v>
      </c>
      <c r="B19" t="s">
        <v>162</v>
      </c>
      <c r="C19" t="s">
        <v>200</v>
      </c>
      <c r="D19" t="s">
        <v>201</v>
      </c>
      <c r="E19" t="s">
        <v>202</v>
      </c>
      <c r="F19" t="s">
        <v>125</v>
      </c>
      <c r="G19" t="s">
        <v>177</v>
      </c>
      <c r="H19">
        <v>3</v>
      </c>
      <c r="I19">
        <v>62</v>
      </c>
      <c r="J19">
        <v>0</v>
      </c>
      <c r="K19">
        <v>0</v>
      </c>
      <c r="L19" t="s">
        <v>112</v>
      </c>
      <c r="M19" t="s">
        <v>138</v>
      </c>
      <c r="N19">
        <v>0</v>
      </c>
      <c r="O19">
        <v>0</v>
      </c>
      <c r="P19" t="s">
        <v>138</v>
      </c>
      <c r="Q19">
        <v>30</v>
      </c>
      <c r="R19">
        <v>0</v>
      </c>
      <c r="S19">
        <v>0</v>
      </c>
      <c r="T19">
        <v>0</v>
      </c>
      <c r="U19" t="s">
        <v>203</v>
      </c>
      <c r="V19">
        <v>0</v>
      </c>
      <c r="W19">
        <v>0</v>
      </c>
      <c r="X19">
        <v>1</v>
      </c>
      <c r="Y19">
        <v>0</v>
      </c>
      <c r="Z19" t="s">
        <v>111</v>
      </c>
      <c r="AA19">
        <v>0</v>
      </c>
      <c r="AB19" t="s">
        <v>111</v>
      </c>
      <c r="AC19">
        <v>0</v>
      </c>
      <c r="AD19" t="s">
        <v>111</v>
      </c>
      <c r="AE19">
        <v>0</v>
      </c>
      <c r="AF19">
        <v>0</v>
      </c>
      <c r="AG19" t="s">
        <v>111</v>
      </c>
      <c r="AH19" t="s">
        <v>111</v>
      </c>
      <c r="AI19" t="s">
        <v>111</v>
      </c>
      <c r="AJ19" t="s">
        <v>111</v>
      </c>
      <c r="AK19" t="s">
        <v>111</v>
      </c>
      <c r="AL19" t="s">
        <v>111</v>
      </c>
      <c r="AM19">
        <v>0</v>
      </c>
      <c r="AN19">
        <v>0</v>
      </c>
      <c r="AO19">
        <v>0</v>
      </c>
      <c r="AP19" t="s">
        <v>111</v>
      </c>
      <c r="AQ19" t="s">
        <v>111</v>
      </c>
      <c r="AR19" t="s">
        <v>111</v>
      </c>
      <c r="AS19" t="s">
        <v>111</v>
      </c>
      <c r="AT19" t="s">
        <v>111</v>
      </c>
      <c r="AU19" t="s">
        <v>111</v>
      </c>
      <c r="AV19" t="s">
        <v>111</v>
      </c>
      <c r="AW19" t="s">
        <v>111</v>
      </c>
      <c r="AX19" t="s">
        <v>111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111</v>
      </c>
      <c r="BQ19" t="s">
        <v>111</v>
      </c>
      <c r="BR19" t="s">
        <v>111</v>
      </c>
      <c r="BS19" t="s">
        <v>111</v>
      </c>
      <c r="BT19" t="s">
        <v>111</v>
      </c>
      <c r="BU19" t="s">
        <v>111</v>
      </c>
      <c r="BV19" t="s">
        <v>111</v>
      </c>
      <c r="BW19" t="s">
        <v>111</v>
      </c>
      <c r="BX19" t="s">
        <v>111</v>
      </c>
      <c r="BY19" t="s">
        <v>111</v>
      </c>
      <c r="BZ19" t="s">
        <v>111</v>
      </c>
      <c r="CA19" t="s">
        <v>111</v>
      </c>
      <c r="CB19" t="s">
        <v>111</v>
      </c>
      <c r="CC19" t="s">
        <v>111</v>
      </c>
      <c r="CD19" t="s">
        <v>111</v>
      </c>
      <c r="CE19" t="s">
        <v>111</v>
      </c>
      <c r="CF19" t="s">
        <v>111</v>
      </c>
      <c r="CG19" t="s">
        <v>111</v>
      </c>
      <c r="CH19" t="s">
        <v>111</v>
      </c>
      <c r="CI19" t="s">
        <v>111</v>
      </c>
      <c r="CJ19" t="s">
        <v>111</v>
      </c>
      <c r="CK19" t="s">
        <v>111</v>
      </c>
      <c r="CL19" t="s">
        <v>111</v>
      </c>
      <c r="CM19" t="s">
        <v>111</v>
      </c>
      <c r="CN19" t="s">
        <v>111</v>
      </c>
      <c r="CO19" t="s">
        <v>111</v>
      </c>
      <c r="CP19" t="s">
        <v>111</v>
      </c>
      <c r="CQ19">
        <v>0</v>
      </c>
      <c r="CR19">
        <v>0</v>
      </c>
      <c r="CS19">
        <v>0</v>
      </c>
      <c r="CT19" t="s">
        <v>111</v>
      </c>
      <c r="CU19">
        <v>0</v>
      </c>
      <c r="CV19" t="s">
        <v>111</v>
      </c>
      <c r="CW19" t="s">
        <v>111</v>
      </c>
      <c r="CX19" t="s">
        <v>111</v>
      </c>
      <c r="CY19">
        <v>0</v>
      </c>
      <c r="CZ19" t="s">
        <v>111</v>
      </c>
      <c r="DA19" t="s">
        <v>111</v>
      </c>
      <c r="DB19" t="s">
        <v>204</v>
      </c>
      <c r="DC19" s="1" t="s">
        <v>205</v>
      </c>
    </row>
    <row r="20" spans="1:107">
      <c r="A20">
        <v>1454</v>
      </c>
      <c r="B20" t="s">
        <v>107</v>
      </c>
      <c r="C20" t="s">
        <v>154</v>
      </c>
      <c r="D20" t="s">
        <v>206</v>
      </c>
      <c r="E20" t="s">
        <v>207</v>
      </c>
      <c r="F20" t="s">
        <v>157</v>
      </c>
      <c r="G20" t="s">
        <v>177</v>
      </c>
      <c r="H20">
        <v>1.7</v>
      </c>
      <c r="I20">
        <v>105</v>
      </c>
      <c r="J20">
        <v>0</v>
      </c>
      <c r="K20">
        <v>0</v>
      </c>
      <c r="L20" t="s">
        <v>112</v>
      </c>
      <c r="M20" t="s">
        <v>111</v>
      </c>
      <c r="N20">
        <v>0</v>
      </c>
      <c r="O20">
        <v>0</v>
      </c>
      <c r="P20" t="s">
        <v>111</v>
      </c>
      <c r="Q20">
        <v>30</v>
      </c>
      <c r="R20">
        <v>0</v>
      </c>
      <c r="S20">
        <v>0</v>
      </c>
      <c r="T20">
        <v>0</v>
      </c>
      <c r="U20" t="e">
        <f>-ALMACEN</f>
        <v>#NAME?</v>
      </c>
      <c r="V20">
        <v>12.5</v>
      </c>
      <c r="W20">
        <v>0</v>
      </c>
      <c r="X20">
        <v>1.5</v>
      </c>
      <c r="Y20">
        <v>0</v>
      </c>
      <c r="Z20" t="s">
        <v>111</v>
      </c>
      <c r="AA20">
        <v>0</v>
      </c>
      <c r="AB20" t="s">
        <v>208</v>
      </c>
      <c r="AC20">
        <v>25</v>
      </c>
      <c r="AD20" t="s">
        <v>111</v>
      </c>
      <c r="AE20">
        <v>0</v>
      </c>
      <c r="AF20">
        <v>0</v>
      </c>
      <c r="AG20" t="s">
        <v>111</v>
      </c>
      <c r="AH20" t="s">
        <v>111</v>
      </c>
      <c r="AI20" t="s">
        <v>111</v>
      </c>
      <c r="AJ20" t="s">
        <v>111</v>
      </c>
      <c r="AK20" t="s">
        <v>111</v>
      </c>
      <c r="AL20" t="s">
        <v>111</v>
      </c>
      <c r="AM20">
        <v>0</v>
      </c>
      <c r="AN20">
        <v>0</v>
      </c>
      <c r="AO20">
        <v>0</v>
      </c>
      <c r="AP20" t="s">
        <v>111</v>
      </c>
      <c r="AQ20" t="s">
        <v>111</v>
      </c>
      <c r="AR20" t="s">
        <v>111</v>
      </c>
      <c r="AS20" t="s">
        <v>111</v>
      </c>
      <c r="AT20" t="s">
        <v>111</v>
      </c>
      <c r="AU20" t="s">
        <v>111</v>
      </c>
      <c r="AV20" t="s">
        <v>111</v>
      </c>
      <c r="AW20" t="s">
        <v>111</v>
      </c>
      <c r="AX20" t="s">
        <v>111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111</v>
      </c>
      <c r="BM20" t="s">
        <v>111</v>
      </c>
      <c r="BN20" t="s">
        <v>111</v>
      </c>
      <c r="BO20" t="s">
        <v>111</v>
      </c>
      <c r="BP20" t="s">
        <v>111</v>
      </c>
      <c r="BQ20" t="s">
        <v>111</v>
      </c>
      <c r="BR20" t="s">
        <v>111</v>
      </c>
      <c r="BS20" t="s">
        <v>111</v>
      </c>
      <c r="BT20" t="s">
        <v>111</v>
      </c>
      <c r="BU20" t="s">
        <v>111</v>
      </c>
      <c r="BV20" t="s">
        <v>111</v>
      </c>
      <c r="BW20" t="s">
        <v>111</v>
      </c>
      <c r="BX20" t="s">
        <v>111</v>
      </c>
      <c r="BY20" t="s">
        <v>111</v>
      </c>
      <c r="BZ20" t="s">
        <v>111</v>
      </c>
      <c r="CA20" t="s">
        <v>111</v>
      </c>
      <c r="CB20" t="s">
        <v>111</v>
      </c>
      <c r="CC20" t="s">
        <v>111</v>
      </c>
      <c r="CD20" t="s">
        <v>111</v>
      </c>
      <c r="CE20" t="s">
        <v>111</v>
      </c>
      <c r="CF20" t="s">
        <v>111</v>
      </c>
      <c r="CG20" t="s">
        <v>111</v>
      </c>
      <c r="CH20" t="s">
        <v>111</v>
      </c>
      <c r="CI20" t="s">
        <v>111</v>
      </c>
      <c r="CJ20" t="s">
        <v>111</v>
      </c>
      <c r="CK20" t="s">
        <v>111</v>
      </c>
      <c r="CL20" t="s">
        <v>111</v>
      </c>
      <c r="CM20" t="s">
        <v>111</v>
      </c>
      <c r="CN20" t="s">
        <v>111</v>
      </c>
      <c r="CO20" t="s">
        <v>111</v>
      </c>
      <c r="CP20" t="s">
        <v>111</v>
      </c>
      <c r="CQ20">
        <v>0</v>
      </c>
      <c r="CR20">
        <v>0</v>
      </c>
      <c r="CS20">
        <v>0</v>
      </c>
      <c r="CT20" t="s">
        <v>111</v>
      </c>
      <c r="CU20">
        <v>0</v>
      </c>
      <c r="CV20" t="s">
        <v>111</v>
      </c>
      <c r="CW20" t="s">
        <v>111</v>
      </c>
      <c r="CX20" t="s">
        <v>111</v>
      </c>
      <c r="CY20">
        <v>0</v>
      </c>
      <c r="CZ20" t="s">
        <v>111</v>
      </c>
      <c r="DA20" t="s">
        <v>111</v>
      </c>
      <c r="DB20" t="s">
        <v>111</v>
      </c>
      <c r="DC20" t="s">
        <v>111</v>
      </c>
    </row>
    <row r="21" spans="1:107">
      <c r="A21">
        <v>283</v>
      </c>
      <c r="B21" t="s">
        <v>162</v>
      </c>
      <c r="C21" s="2">
        <v>93385719</v>
      </c>
      <c r="D21" t="s">
        <v>209</v>
      </c>
      <c r="E21" t="s">
        <v>210</v>
      </c>
      <c r="F21" t="s">
        <v>157</v>
      </c>
      <c r="G21" t="s">
        <v>177</v>
      </c>
      <c r="H21">
        <v>3</v>
      </c>
      <c r="I21">
        <v>63</v>
      </c>
      <c r="J21">
        <v>0</v>
      </c>
      <c r="K21">
        <v>0</v>
      </c>
      <c r="L21" t="s">
        <v>112</v>
      </c>
      <c r="M21" t="s">
        <v>138</v>
      </c>
      <c r="N21">
        <v>0</v>
      </c>
      <c r="O21">
        <v>0</v>
      </c>
      <c r="P21" t="s">
        <v>138</v>
      </c>
      <c r="Q21">
        <v>40</v>
      </c>
      <c r="R21">
        <v>0</v>
      </c>
      <c r="S21">
        <v>0</v>
      </c>
      <c r="T21">
        <v>0</v>
      </c>
      <c r="U21" t="s">
        <v>211</v>
      </c>
      <c r="V21">
        <v>0</v>
      </c>
      <c r="W21">
        <v>0</v>
      </c>
      <c r="X21">
        <v>1</v>
      </c>
      <c r="Y21">
        <v>0</v>
      </c>
      <c r="Z21" t="s">
        <v>111</v>
      </c>
      <c r="AA21">
        <v>0</v>
      </c>
      <c r="AB21" t="s">
        <v>111</v>
      </c>
      <c r="AC21">
        <v>0</v>
      </c>
      <c r="AD21" t="s">
        <v>111</v>
      </c>
      <c r="AE21">
        <v>0</v>
      </c>
      <c r="AF21">
        <v>0</v>
      </c>
      <c r="AG21" t="s">
        <v>111</v>
      </c>
      <c r="AH21" t="s">
        <v>111</v>
      </c>
      <c r="AI21" t="s">
        <v>111</v>
      </c>
      <c r="AJ21" t="s">
        <v>111</v>
      </c>
      <c r="AK21" t="s">
        <v>111</v>
      </c>
      <c r="AL21" t="s">
        <v>111</v>
      </c>
      <c r="AM21">
        <v>0</v>
      </c>
      <c r="AN21">
        <v>0</v>
      </c>
      <c r="AO21">
        <v>0</v>
      </c>
      <c r="AP21" t="s">
        <v>111</v>
      </c>
      <c r="AQ21" t="s">
        <v>111</v>
      </c>
      <c r="AR21" t="s">
        <v>111</v>
      </c>
      <c r="AS21" t="s">
        <v>111</v>
      </c>
      <c r="AT21" t="s">
        <v>111</v>
      </c>
      <c r="AU21" t="s">
        <v>111</v>
      </c>
      <c r="AV21" t="s">
        <v>111</v>
      </c>
      <c r="AW21" t="s">
        <v>111</v>
      </c>
      <c r="AX21" t="s">
        <v>111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111</v>
      </c>
      <c r="BM21" t="s">
        <v>111</v>
      </c>
      <c r="BN21" t="s">
        <v>111</v>
      </c>
      <c r="BO21" t="s">
        <v>111</v>
      </c>
      <c r="BP21" t="s">
        <v>111</v>
      </c>
      <c r="BQ21" t="s">
        <v>111</v>
      </c>
      <c r="BR21" t="s">
        <v>111</v>
      </c>
      <c r="BS21" t="s">
        <v>111</v>
      </c>
      <c r="BT21" t="s">
        <v>111</v>
      </c>
      <c r="BU21" t="s">
        <v>111</v>
      </c>
      <c r="BV21" t="s">
        <v>111</v>
      </c>
      <c r="BW21" t="s">
        <v>111</v>
      </c>
      <c r="BX21" t="s">
        <v>111</v>
      </c>
      <c r="BY21" t="s">
        <v>111</v>
      </c>
      <c r="BZ21" t="s">
        <v>111</v>
      </c>
      <c r="CA21" t="s">
        <v>111</v>
      </c>
      <c r="CB21" t="s">
        <v>111</v>
      </c>
      <c r="CC21" t="s">
        <v>111</v>
      </c>
      <c r="CD21" t="s">
        <v>111</v>
      </c>
      <c r="CE21" t="s">
        <v>111</v>
      </c>
      <c r="CF21" t="s">
        <v>111</v>
      </c>
      <c r="CG21" t="s">
        <v>111</v>
      </c>
      <c r="CH21" t="s">
        <v>111</v>
      </c>
      <c r="CI21" t="s">
        <v>111</v>
      </c>
      <c r="CJ21" t="s">
        <v>111</v>
      </c>
      <c r="CK21" t="s">
        <v>111</v>
      </c>
      <c r="CL21" t="s">
        <v>111</v>
      </c>
      <c r="CM21" t="s">
        <v>111</v>
      </c>
      <c r="CN21" t="s">
        <v>111</v>
      </c>
      <c r="CO21" t="s">
        <v>111</v>
      </c>
      <c r="CP21" t="s">
        <v>111</v>
      </c>
      <c r="CQ21">
        <v>0</v>
      </c>
      <c r="CR21">
        <v>0</v>
      </c>
      <c r="CS21">
        <v>0</v>
      </c>
      <c r="CT21" t="s">
        <v>111</v>
      </c>
      <c r="CU21">
        <v>0</v>
      </c>
      <c r="CV21" t="s">
        <v>111</v>
      </c>
      <c r="CW21" t="s">
        <v>111</v>
      </c>
      <c r="CX21" t="s">
        <v>111</v>
      </c>
      <c r="CY21">
        <v>0</v>
      </c>
      <c r="CZ21" t="s">
        <v>111</v>
      </c>
      <c r="DA21" t="s">
        <v>111</v>
      </c>
      <c r="DB21" t="s">
        <v>111</v>
      </c>
      <c r="DC21" t="s">
        <v>111</v>
      </c>
    </row>
    <row r="22" spans="1:107">
      <c r="A22">
        <v>934</v>
      </c>
      <c r="B22" t="s">
        <v>107</v>
      </c>
      <c r="C22" t="s">
        <v>108</v>
      </c>
      <c r="D22" t="s">
        <v>212</v>
      </c>
      <c r="E22" t="s">
        <v>213</v>
      </c>
      <c r="F22" t="s">
        <v>110</v>
      </c>
      <c r="G22" t="s">
        <v>177</v>
      </c>
      <c r="H22">
        <v>1.3</v>
      </c>
      <c r="I22">
        <v>45</v>
      </c>
      <c r="J22">
        <v>0</v>
      </c>
      <c r="K22">
        <v>0</v>
      </c>
      <c r="L22" t="s">
        <v>111</v>
      </c>
      <c r="M22" t="s">
        <v>111</v>
      </c>
      <c r="N22">
        <v>0</v>
      </c>
      <c r="O22">
        <v>0</v>
      </c>
      <c r="P22" t="s">
        <v>111</v>
      </c>
      <c r="Q22">
        <v>40</v>
      </c>
      <c r="R22">
        <v>0</v>
      </c>
      <c r="S22">
        <v>0</v>
      </c>
      <c r="T22">
        <v>0</v>
      </c>
      <c r="U22" t="e">
        <f>-DESTINO SELLADO</f>
        <v>#NAME?</v>
      </c>
      <c r="V22">
        <v>0</v>
      </c>
      <c r="W22">
        <v>0</v>
      </c>
      <c r="X22">
        <v>1</v>
      </c>
      <c r="Y22">
        <v>0</v>
      </c>
      <c r="Z22" t="s">
        <v>111</v>
      </c>
      <c r="AA22">
        <v>0</v>
      </c>
      <c r="AB22" t="s">
        <v>111</v>
      </c>
      <c r="AC22">
        <v>0</v>
      </c>
      <c r="AD22" t="s">
        <v>111</v>
      </c>
      <c r="AE22">
        <v>0</v>
      </c>
      <c r="AF22">
        <v>0</v>
      </c>
      <c r="AG22" t="s">
        <v>111</v>
      </c>
      <c r="AH22" t="s">
        <v>111</v>
      </c>
      <c r="AI22" t="s">
        <v>111</v>
      </c>
      <c r="AJ22" t="s">
        <v>111</v>
      </c>
      <c r="AK22" t="s">
        <v>111</v>
      </c>
      <c r="AL22" t="s">
        <v>111</v>
      </c>
      <c r="AM22">
        <v>0</v>
      </c>
      <c r="AN22">
        <v>0</v>
      </c>
      <c r="AO22">
        <v>0</v>
      </c>
      <c r="AP22" t="s">
        <v>111</v>
      </c>
      <c r="AQ22" t="s">
        <v>111</v>
      </c>
      <c r="AR22" t="s">
        <v>111</v>
      </c>
      <c r="AS22" t="s">
        <v>111</v>
      </c>
      <c r="AT22" t="s">
        <v>111</v>
      </c>
      <c r="AU22" t="s">
        <v>111</v>
      </c>
      <c r="AV22" t="s">
        <v>111</v>
      </c>
      <c r="AW22" t="s">
        <v>111</v>
      </c>
      <c r="AX22" t="s">
        <v>111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111</v>
      </c>
      <c r="BM22" t="s">
        <v>111</v>
      </c>
      <c r="BN22" t="s">
        <v>111</v>
      </c>
      <c r="BO22" t="s">
        <v>111</v>
      </c>
      <c r="BP22" t="s">
        <v>111</v>
      </c>
      <c r="BQ22" t="s">
        <v>111</v>
      </c>
      <c r="BR22" t="s">
        <v>111</v>
      </c>
      <c r="BS22" t="s">
        <v>111</v>
      </c>
      <c r="BT22" t="s">
        <v>111</v>
      </c>
      <c r="BU22" t="s">
        <v>111</v>
      </c>
      <c r="BV22" t="s">
        <v>111</v>
      </c>
      <c r="BW22" t="s">
        <v>111</v>
      </c>
      <c r="BX22" t="s">
        <v>111</v>
      </c>
      <c r="BY22" t="s">
        <v>111</v>
      </c>
      <c r="BZ22" t="s">
        <v>111</v>
      </c>
      <c r="CA22" t="s">
        <v>111</v>
      </c>
      <c r="CB22" t="s">
        <v>111</v>
      </c>
      <c r="CC22" t="s">
        <v>111</v>
      </c>
      <c r="CD22" t="s">
        <v>111</v>
      </c>
      <c r="CE22" t="s">
        <v>111</v>
      </c>
      <c r="CF22" t="s">
        <v>111</v>
      </c>
      <c r="CG22" t="s">
        <v>111</v>
      </c>
      <c r="CH22" t="s">
        <v>111</v>
      </c>
      <c r="CI22" t="s">
        <v>111</v>
      </c>
      <c r="CJ22" t="s">
        <v>111</v>
      </c>
      <c r="CK22" t="s">
        <v>111</v>
      </c>
      <c r="CL22" t="s">
        <v>111</v>
      </c>
      <c r="CM22" t="s">
        <v>198</v>
      </c>
      <c r="CN22" t="s">
        <v>113</v>
      </c>
      <c r="CO22" t="s">
        <v>111</v>
      </c>
      <c r="CP22" t="s">
        <v>111</v>
      </c>
      <c r="CQ22">
        <v>55</v>
      </c>
      <c r="CR22">
        <v>4000</v>
      </c>
      <c r="CS22">
        <v>100</v>
      </c>
      <c r="CT22" s="1" t="s">
        <v>214</v>
      </c>
      <c r="CU22">
        <v>0</v>
      </c>
      <c r="CV22" t="s">
        <v>111</v>
      </c>
      <c r="CW22" t="s">
        <v>111</v>
      </c>
      <c r="CX22" t="s">
        <v>111</v>
      </c>
      <c r="CY22">
        <v>0</v>
      </c>
      <c r="CZ22" t="s">
        <v>111</v>
      </c>
      <c r="DA22" t="s">
        <v>111</v>
      </c>
      <c r="DB22" t="s">
        <v>111</v>
      </c>
      <c r="DC22" t="s">
        <v>111</v>
      </c>
    </row>
    <row r="23" spans="1:107">
      <c r="A23">
        <v>428</v>
      </c>
      <c r="B23" t="s">
        <v>162</v>
      </c>
      <c r="C23" t="s">
        <v>215</v>
      </c>
      <c r="D23" t="s">
        <v>216</v>
      </c>
      <c r="E23" t="s">
        <v>217</v>
      </c>
      <c r="F23" t="s">
        <v>157</v>
      </c>
      <c r="G23" t="s">
        <v>177</v>
      </c>
      <c r="H23">
        <v>4</v>
      </c>
      <c r="I23">
        <v>150</v>
      </c>
      <c r="J23">
        <v>0</v>
      </c>
      <c r="K23">
        <v>0</v>
      </c>
      <c r="L23" t="s">
        <v>112</v>
      </c>
      <c r="M23" t="s">
        <v>138</v>
      </c>
      <c r="N23">
        <v>0</v>
      </c>
      <c r="O23">
        <v>0</v>
      </c>
      <c r="P23" t="s">
        <v>138</v>
      </c>
      <c r="Q23">
        <v>50</v>
      </c>
      <c r="R23">
        <v>0</v>
      </c>
      <c r="S23">
        <v>0</v>
      </c>
      <c r="T23">
        <v>0</v>
      </c>
      <c r="U23" s="1" t="s">
        <v>218</v>
      </c>
      <c r="V23">
        <v>0</v>
      </c>
      <c r="W23">
        <v>0</v>
      </c>
      <c r="X23">
        <v>1</v>
      </c>
      <c r="Y23">
        <v>0</v>
      </c>
      <c r="Z23" t="s">
        <v>111</v>
      </c>
      <c r="AA23">
        <v>0</v>
      </c>
      <c r="AB23" t="s">
        <v>111</v>
      </c>
      <c r="AC23">
        <v>0</v>
      </c>
      <c r="AD23" t="s">
        <v>111</v>
      </c>
      <c r="AE23">
        <v>0</v>
      </c>
      <c r="AF23">
        <v>0</v>
      </c>
      <c r="AG23" t="s">
        <v>111</v>
      </c>
      <c r="AH23" t="s">
        <v>111</v>
      </c>
      <c r="AI23" t="s">
        <v>111</v>
      </c>
      <c r="AJ23" t="s">
        <v>111</v>
      </c>
      <c r="AK23" t="s">
        <v>111</v>
      </c>
      <c r="AL23" t="s">
        <v>111</v>
      </c>
      <c r="AM23">
        <v>0</v>
      </c>
      <c r="AN23">
        <v>0</v>
      </c>
      <c r="AO23">
        <v>0</v>
      </c>
      <c r="AP23" t="s">
        <v>111</v>
      </c>
      <c r="AQ23" t="s">
        <v>111</v>
      </c>
      <c r="AR23" t="s">
        <v>111</v>
      </c>
      <c r="AS23" t="s">
        <v>111</v>
      </c>
      <c r="AT23" t="s">
        <v>111</v>
      </c>
      <c r="AU23" t="s">
        <v>111</v>
      </c>
      <c r="AV23" t="s">
        <v>111</v>
      </c>
      <c r="AW23" t="s">
        <v>111</v>
      </c>
      <c r="AX23" t="s">
        <v>111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111</v>
      </c>
      <c r="BM23" t="s">
        <v>111</v>
      </c>
      <c r="BN23" t="s">
        <v>111</v>
      </c>
      <c r="BO23" t="s">
        <v>111</v>
      </c>
      <c r="BP23" t="s">
        <v>111</v>
      </c>
      <c r="BQ23" t="s">
        <v>111</v>
      </c>
      <c r="BR23" t="s">
        <v>111</v>
      </c>
      <c r="BS23" t="s">
        <v>111</v>
      </c>
      <c r="BT23" t="s">
        <v>111</v>
      </c>
      <c r="BU23" t="s">
        <v>111</v>
      </c>
      <c r="BV23" t="s">
        <v>111</v>
      </c>
      <c r="BW23" t="s">
        <v>111</v>
      </c>
      <c r="BX23" t="s">
        <v>111</v>
      </c>
      <c r="BY23" t="s">
        <v>111</v>
      </c>
      <c r="BZ23" t="s">
        <v>111</v>
      </c>
      <c r="CA23" t="s">
        <v>111</v>
      </c>
      <c r="CB23" t="s">
        <v>111</v>
      </c>
      <c r="CC23" t="s">
        <v>111</v>
      </c>
      <c r="CD23" t="s">
        <v>111</v>
      </c>
      <c r="CE23" t="s">
        <v>111</v>
      </c>
      <c r="CF23" t="s">
        <v>111</v>
      </c>
      <c r="CG23" t="s">
        <v>111</v>
      </c>
      <c r="CH23" t="s">
        <v>111</v>
      </c>
      <c r="CI23" t="s">
        <v>111</v>
      </c>
      <c r="CJ23" t="s">
        <v>111</v>
      </c>
      <c r="CK23" t="s">
        <v>111</v>
      </c>
      <c r="CL23" t="s">
        <v>111</v>
      </c>
      <c r="CM23" t="s">
        <v>111</v>
      </c>
      <c r="CN23" t="s">
        <v>111</v>
      </c>
      <c r="CO23" t="s">
        <v>111</v>
      </c>
      <c r="CP23" t="s">
        <v>111</v>
      </c>
      <c r="CQ23">
        <v>0</v>
      </c>
      <c r="CR23">
        <v>0</v>
      </c>
      <c r="CS23">
        <v>0</v>
      </c>
      <c r="CT23" t="s">
        <v>111</v>
      </c>
      <c r="CU23">
        <v>0</v>
      </c>
      <c r="CV23" t="s">
        <v>111</v>
      </c>
      <c r="CW23" t="s">
        <v>111</v>
      </c>
      <c r="CX23" t="s">
        <v>111</v>
      </c>
      <c r="CY23">
        <v>0</v>
      </c>
      <c r="CZ23" t="s">
        <v>111</v>
      </c>
      <c r="DA23" t="s">
        <v>111</v>
      </c>
      <c r="DB23" t="s">
        <v>111</v>
      </c>
      <c r="DC23" t="s">
        <v>111</v>
      </c>
    </row>
    <row r="24" spans="1:107">
      <c r="A24">
        <v>408</v>
      </c>
      <c r="B24" t="s">
        <v>162</v>
      </c>
      <c r="C24" t="s">
        <v>219</v>
      </c>
      <c r="D24" t="s">
        <v>220</v>
      </c>
      <c r="E24" t="s">
        <v>221</v>
      </c>
      <c r="F24" t="s">
        <v>125</v>
      </c>
      <c r="G24" t="s">
        <v>177</v>
      </c>
      <c r="H24">
        <v>0.5</v>
      </c>
      <c r="I24">
        <v>50</v>
      </c>
      <c r="J24">
        <v>0</v>
      </c>
      <c r="K24">
        <v>0</v>
      </c>
      <c r="L24" t="s">
        <v>112</v>
      </c>
      <c r="M24" t="s">
        <v>138</v>
      </c>
      <c r="N24">
        <v>0</v>
      </c>
      <c r="O24">
        <v>0</v>
      </c>
      <c r="P24" t="s">
        <v>138</v>
      </c>
      <c r="Q24">
        <v>40</v>
      </c>
      <c r="R24">
        <v>0</v>
      </c>
      <c r="S24">
        <v>0</v>
      </c>
      <c r="T24">
        <v>0</v>
      </c>
      <c r="U24" t="s">
        <v>153</v>
      </c>
      <c r="V24">
        <v>0</v>
      </c>
      <c r="W24">
        <v>0</v>
      </c>
      <c r="X24">
        <v>1</v>
      </c>
      <c r="Y24">
        <v>0</v>
      </c>
      <c r="Z24" t="s">
        <v>111</v>
      </c>
      <c r="AA24">
        <v>0</v>
      </c>
      <c r="AB24" t="s">
        <v>111</v>
      </c>
      <c r="AC24">
        <v>0</v>
      </c>
      <c r="AD24" t="s">
        <v>111</v>
      </c>
      <c r="AE24">
        <v>0</v>
      </c>
      <c r="AF24">
        <v>0</v>
      </c>
      <c r="AG24" t="s">
        <v>111</v>
      </c>
      <c r="AH24" t="s">
        <v>111</v>
      </c>
      <c r="AI24" t="s">
        <v>111</v>
      </c>
      <c r="AJ24" t="s">
        <v>111</v>
      </c>
      <c r="AK24" t="s">
        <v>111</v>
      </c>
      <c r="AL24" t="s">
        <v>111</v>
      </c>
      <c r="AM24">
        <v>0</v>
      </c>
      <c r="AN24">
        <v>0</v>
      </c>
      <c r="AO24">
        <v>0</v>
      </c>
      <c r="AP24" t="s">
        <v>111</v>
      </c>
      <c r="AQ24" t="s">
        <v>111</v>
      </c>
      <c r="AR24" t="s">
        <v>111</v>
      </c>
      <c r="AS24" t="s">
        <v>111</v>
      </c>
      <c r="AT24" t="s">
        <v>111</v>
      </c>
      <c r="AU24" t="s">
        <v>111</v>
      </c>
      <c r="AV24" t="s">
        <v>111</v>
      </c>
      <c r="AW24" t="s">
        <v>111</v>
      </c>
      <c r="AX24" t="s">
        <v>111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111</v>
      </c>
      <c r="BQ24" t="s">
        <v>111</v>
      </c>
      <c r="BR24" t="s">
        <v>111</v>
      </c>
      <c r="BS24" t="s">
        <v>111</v>
      </c>
      <c r="BT24" t="s">
        <v>111</v>
      </c>
      <c r="BU24" t="s">
        <v>111</v>
      </c>
      <c r="BV24" t="s">
        <v>111</v>
      </c>
      <c r="BW24" t="s">
        <v>111</v>
      </c>
      <c r="BX24" t="s">
        <v>111</v>
      </c>
      <c r="BY24" t="s">
        <v>111</v>
      </c>
      <c r="BZ24" t="s">
        <v>111</v>
      </c>
      <c r="CA24" t="s">
        <v>111</v>
      </c>
      <c r="CB24" t="s">
        <v>111</v>
      </c>
      <c r="CC24" t="s">
        <v>111</v>
      </c>
      <c r="CD24" t="s">
        <v>111</v>
      </c>
      <c r="CE24" t="s">
        <v>111</v>
      </c>
      <c r="CF24" t="s">
        <v>111</v>
      </c>
      <c r="CG24" t="s">
        <v>111</v>
      </c>
      <c r="CH24" t="s">
        <v>111</v>
      </c>
      <c r="CI24" t="s">
        <v>111</v>
      </c>
      <c r="CJ24" t="s">
        <v>111</v>
      </c>
      <c r="CK24" t="s">
        <v>111</v>
      </c>
      <c r="CL24" t="s">
        <v>111</v>
      </c>
      <c r="CM24" t="s">
        <v>198</v>
      </c>
      <c r="CN24" t="s">
        <v>113</v>
      </c>
      <c r="CO24" t="s">
        <v>222</v>
      </c>
      <c r="CP24" t="s">
        <v>111</v>
      </c>
      <c r="CQ24">
        <v>0</v>
      </c>
      <c r="CR24">
        <v>0</v>
      </c>
      <c r="CS24">
        <v>0</v>
      </c>
      <c r="CT24" t="s">
        <v>168</v>
      </c>
      <c r="CU24">
        <v>0</v>
      </c>
      <c r="CV24" t="s">
        <v>111</v>
      </c>
      <c r="CW24" t="s">
        <v>111</v>
      </c>
      <c r="CX24" t="s">
        <v>111</v>
      </c>
      <c r="CY24">
        <v>0</v>
      </c>
      <c r="CZ24" t="s">
        <v>111</v>
      </c>
      <c r="DA24" t="s">
        <v>111</v>
      </c>
      <c r="DB24" t="s">
        <v>111</v>
      </c>
      <c r="DC24" t="s">
        <v>111</v>
      </c>
    </row>
    <row r="25" spans="1:107">
      <c r="A25">
        <v>318</v>
      </c>
      <c r="B25" t="s">
        <v>162</v>
      </c>
      <c r="C25" t="s">
        <v>223</v>
      </c>
      <c r="D25" t="s">
        <v>224</v>
      </c>
      <c r="E25" t="s">
        <v>225</v>
      </c>
      <c r="F25" t="s">
        <v>192</v>
      </c>
      <c r="G25" t="s">
        <v>177</v>
      </c>
      <c r="H25">
        <v>2</v>
      </c>
      <c r="I25">
        <v>39</v>
      </c>
      <c r="J25">
        <v>0</v>
      </c>
      <c r="K25">
        <v>0</v>
      </c>
      <c r="L25" t="s">
        <v>112</v>
      </c>
      <c r="M25" t="s">
        <v>138</v>
      </c>
      <c r="N25">
        <v>0</v>
      </c>
      <c r="O25">
        <v>0</v>
      </c>
      <c r="P25" t="s">
        <v>138</v>
      </c>
      <c r="Q25">
        <v>40</v>
      </c>
      <c r="R25">
        <v>0</v>
      </c>
      <c r="S25">
        <v>0</v>
      </c>
      <c r="T25">
        <v>0</v>
      </c>
      <c r="U25" t="s">
        <v>153</v>
      </c>
      <c r="V25">
        <v>0</v>
      </c>
      <c r="W25">
        <v>0</v>
      </c>
      <c r="X25">
        <v>1</v>
      </c>
      <c r="Y25">
        <v>0</v>
      </c>
      <c r="Z25" t="s">
        <v>111</v>
      </c>
      <c r="AA25">
        <v>0</v>
      </c>
      <c r="AB25" t="s">
        <v>111</v>
      </c>
      <c r="AC25">
        <v>0</v>
      </c>
      <c r="AD25" t="s">
        <v>111</v>
      </c>
      <c r="AE25">
        <v>0</v>
      </c>
      <c r="AF25">
        <v>0</v>
      </c>
      <c r="AG25" t="s">
        <v>111</v>
      </c>
      <c r="AH25" t="s">
        <v>111</v>
      </c>
      <c r="AI25" t="s">
        <v>111</v>
      </c>
      <c r="AJ25" t="s">
        <v>111</v>
      </c>
      <c r="AK25" t="s">
        <v>111</v>
      </c>
      <c r="AL25" t="s">
        <v>111</v>
      </c>
      <c r="AM25">
        <v>0</v>
      </c>
      <c r="AN25">
        <v>0</v>
      </c>
      <c r="AO25">
        <v>0</v>
      </c>
      <c r="AP25" t="s">
        <v>111</v>
      </c>
      <c r="AQ25" t="s">
        <v>111</v>
      </c>
      <c r="AR25" t="s">
        <v>111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111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111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 t="s">
        <v>111</v>
      </c>
      <c r="CC25" t="s">
        <v>111</v>
      </c>
      <c r="CD25" t="s">
        <v>111</v>
      </c>
      <c r="CE25" t="s">
        <v>111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111</v>
      </c>
      <c r="CL25" t="s">
        <v>111</v>
      </c>
      <c r="CM25" t="s">
        <v>198</v>
      </c>
      <c r="CN25" t="s">
        <v>113</v>
      </c>
      <c r="CO25" t="s">
        <v>111</v>
      </c>
      <c r="CP25" t="s">
        <v>111</v>
      </c>
      <c r="CQ25">
        <v>0</v>
      </c>
      <c r="CR25">
        <v>0</v>
      </c>
      <c r="CS25">
        <v>0</v>
      </c>
      <c r="CT25" t="s">
        <v>168</v>
      </c>
      <c r="CU25">
        <v>0</v>
      </c>
      <c r="CV25" t="s">
        <v>111</v>
      </c>
      <c r="CW25" t="s">
        <v>111</v>
      </c>
      <c r="CX25" t="s">
        <v>111</v>
      </c>
      <c r="CY25">
        <v>0</v>
      </c>
      <c r="CZ25" t="s">
        <v>111</v>
      </c>
      <c r="DA25" t="s">
        <v>111</v>
      </c>
      <c r="DB25" t="s">
        <v>111</v>
      </c>
      <c r="DC25" t="s">
        <v>111</v>
      </c>
    </row>
    <row r="26" spans="1:107">
      <c r="A26">
        <v>1843</v>
      </c>
      <c r="B26" t="s">
        <v>107</v>
      </c>
      <c r="C26" t="s">
        <v>226</v>
      </c>
      <c r="D26" t="s">
        <v>227</v>
      </c>
      <c r="E26" t="s">
        <v>228</v>
      </c>
      <c r="F26" t="s">
        <v>229</v>
      </c>
      <c r="G26" t="s">
        <v>177</v>
      </c>
      <c r="H26">
        <v>4</v>
      </c>
      <c r="I26">
        <v>150</v>
      </c>
      <c r="J26">
        <v>0</v>
      </c>
      <c r="K26">
        <v>0</v>
      </c>
      <c r="L26" t="s">
        <v>112</v>
      </c>
      <c r="M26" t="s">
        <v>111</v>
      </c>
      <c r="N26">
        <v>0</v>
      </c>
      <c r="O26">
        <v>0</v>
      </c>
      <c r="P26" t="s">
        <v>111</v>
      </c>
      <c r="Q26">
        <v>40</v>
      </c>
      <c r="R26">
        <v>0</v>
      </c>
      <c r="S26">
        <v>0</v>
      </c>
      <c r="T26">
        <v>0</v>
      </c>
      <c r="U26" t="e">
        <f>-ALMACEN</f>
        <v>#NAME?</v>
      </c>
      <c r="V26">
        <v>0</v>
      </c>
      <c r="W26">
        <v>25</v>
      </c>
      <c r="X26">
        <v>0</v>
      </c>
      <c r="Y26">
        <v>0</v>
      </c>
      <c r="Z26" t="s">
        <v>230</v>
      </c>
      <c r="AA26">
        <v>1.5</v>
      </c>
      <c r="AB26" t="s">
        <v>111</v>
      </c>
      <c r="AC26">
        <v>0</v>
      </c>
      <c r="AD26" t="s">
        <v>111</v>
      </c>
      <c r="AE26">
        <v>0</v>
      </c>
      <c r="AF26">
        <v>0</v>
      </c>
      <c r="AG26" t="s">
        <v>111</v>
      </c>
      <c r="AH26" t="s">
        <v>111</v>
      </c>
      <c r="AI26" t="s">
        <v>111</v>
      </c>
      <c r="AJ26" t="s">
        <v>111</v>
      </c>
      <c r="AK26" t="s">
        <v>111</v>
      </c>
      <c r="AL26" t="s">
        <v>111</v>
      </c>
      <c r="AM26">
        <v>0</v>
      </c>
      <c r="AN26">
        <v>0</v>
      </c>
      <c r="AO26">
        <v>0</v>
      </c>
      <c r="AP26" t="s">
        <v>111</v>
      </c>
      <c r="AQ26" t="s">
        <v>111</v>
      </c>
      <c r="AR26" t="s">
        <v>111</v>
      </c>
      <c r="AS26" t="s">
        <v>111</v>
      </c>
      <c r="AT26" t="s">
        <v>111</v>
      </c>
      <c r="AU26" t="s">
        <v>111</v>
      </c>
      <c r="AV26" t="s">
        <v>111</v>
      </c>
      <c r="AW26" t="s">
        <v>111</v>
      </c>
      <c r="AX26" t="s">
        <v>111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111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111</v>
      </c>
      <c r="BM26" t="s">
        <v>111</v>
      </c>
      <c r="BN26" t="s">
        <v>111</v>
      </c>
      <c r="BO26" t="s">
        <v>111</v>
      </c>
      <c r="BP26" t="s">
        <v>111</v>
      </c>
      <c r="BQ26" t="s">
        <v>111</v>
      </c>
      <c r="BR26" t="s">
        <v>111</v>
      </c>
      <c r="BS26" t="s">
        <v>111</v>
      </c>
      <c r="BT26" t="s">
        <v>111</v>
      </c>
      <c r="BU26" t="s">
        <v>111</v>
      </c>
      <c r="BV26" t="s">
        <v>111</v>
      </c>
      <c r="BW26" t="s">
        <v>111</v>
      </c>
      <c r="BX26" t="s">
        <v>111</v>
      </c>
      <c r="BY26" t="s">
        <v>111</v>
      </c>
      <c r="BZ26" t="s">
        <v>111</v>
      </c>
      <c r="CA26" t="s">
        <v>111</v>
      </c>
      <c r="CB26" t="s">
        <v>111</v>
      </c>
      <c r="CC26" t="s">
        <v>111</v>
      </c>
      <c r="CD26" t="s">
        <v>111</v>
      </c>
      <c r="CE26" t="s">
        <v>111</v>
      </c>
      <c r="CF26" t="s">
        <v>111</v>
      </c>
      <c r="CG26" t="s">
        <v>111</v>
      </c>
      <c r="CH26" t="s">
        <v>111</v>
      </c>
      <c r="CI26" t="s">
        <v>111</v>
      </c>
      <c r="CJ26" t="s">
        <v>111</v>
      </c>
      <c r="CK26" t="s">
        <v>111</v>
      </c>
      <c r="CL26" t="s">
        <v>111</v>
      </c>
      <c r="CM26" t="s">
        <v>111</v>
      </c>
      <c r="CN26" t="s">
        <v>111</v>
      </c>
      <c r="CO26" t="s">
        <v>111</v>
      </c>
      <c r="CP26" t="s">
        <v>111</v>
      </c>
      <c r="CQ26">
        <v>0</v>
      </c>
      <c r="CR26">
        <v>0</v>
      </c>
      <c r="CS26">
        <v>0</v>
      </c>
      <c r="CT26" t="s">
        <v>111</v>
      </c>
      <c r="CU26">
        <v>0</v>
      </c>
      <c r="CV26" t="s">
        <v>111</v>
      </c>
      <c r="CX26" t="s">
        <v>111</v>
      </c>
      <c r="CY26">
        <v>0</v>
      </c>
      <c r="CZ26" t="s">
        <v>111</v>
      </c>
      <c r="DA26" t="s">
        <v>111</v>
      </c>
      <c r="DB26" t="s">
        <v>111</v>
      </c>
      <c r="DC26" t="s">
        <v>111</v>
      </c>
    </row>
    <row r="27" spans="1:107">
      <c r="A27">
        <v>214</v>
      </c>
      <c r="B27" t="s">
        <v>162</v>
      </c>
      <c r="C27" t="s">
        <v>231</v>
      </c>
      <c r="D27" t="s">
        <v>232</v>
      </c>
      <c r="E27" t="s">
        <v>233</v>
      </c>
      <c r="F27" t="s">
        <v>192</v>
      </c>
      <c r="G27" t="s">
        <v>177</v>
      </c>
      <c r="H27">
        <v>4</v>
      </c>
      <c r="I27">
        <v>120</v>
      </c>
      <c r="J27">
        <v>0</v>
      </c>
      <c r="K27">
        <v>0</v>
      </c>
      <c r="L27" t="s">
        <v>112</v>
      </c>
      <c r="M27" t="s">
        <v>138</v>
      </c>
      <c r="N27">
        <v>0</v>
      </c>
      <c r="O27">
        <v>0</v>
      </c>
      <c r="P27" t="s">
        <v>138</v>
      </c>
      <c r="Q27">
        <v>35</v>
      </c>
      <c r="R27">
        <v>0</v>
      </c>
      <c r="S27">
        <v>0</v>
      </c>
      <c r="T27">
        <v>0</v>
      </c>
      <c r="U27" t="s">
        <v>234</v>
      </c>
      <c r="V27">
        <v>0</v>
      </c>
      <c r="W27">
        <v>0</v>
      </c>
      <c r="X27">
        <v>1</v>
      </c>
      <c r="Y27">
        <v>0</v>
      </c>
      <c r="Z27" t="s">
        <v>111</v>
      </c>
      <c r="AA27">
        <v>0</v>
      </c>
      <c r="AB27" t="s">
        <v>111</v>
      </c>
      <c r="AC27">
        <v>0</v>
      </c>
      <c r="AD27" t="s">
        <v>111</v>
      </c>
      <c r="AE27">
        <v>0</v>
      </c>
      <c r="AF27">
        <v>0</v>
      </c>
      <c r="AG27" t="s">
        <v>111</v>
      </c>
      <c r="AH27" t="s">
        <v>111</v>
      </c>
      <c r="AI27" t="s">
        <v>111</v>
      </c>
      <c r="AJ27" t="s">
        <v>111</v>
      </c>
      <c r="AK27" t="s">
        <v>111</v>
      </c>
      <c r="AL27" t="s">
        <v>111</v>
      </c>
      <c r="AM27">
        <v>0</v>
      </c>
      <c r="AN27">
        <v>0</v>
      </c>
      <c r="AO27">
        <v>0</v>
      </c>
      <c r="AP27" t="s">
        <v>111</v>
      </c>
      <c r="AQ27" t="s">
        <v>111</v>
      </c>
      <c r="AR27" t="s">
        <v>111</v>
      </c>
      <c r="AS27" t="s">
        <v>111</v>
      </c>
      <c r="AT27" t="s">
        <v>111</v>
      </c>
      <c r="AU27" t="s">
        <v>111</v>
      </c>
      <c r="AV27" t="s">
        <v>111</v>
      </c>
      <c r="AW27" t="s">
        <v>111</v>
      </c>
      <c r="AX27" t="s">
        <v>111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111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111</v>
      </c>
      <c r="BM27" t="s">
        <v>111</v>
      </c>
      <c r="BN27" t="s">
        <v>111</v>
      </c>
      <c r="BO27" t="s">
        <v>111</v>
      </c>
      <c r="BP27" t="s">
        <v>111</v>
      </c>
      <c r="BQ27" t="s">
        <v>111</v>
      </c>
      <c r="BR27" t="s">
        <v>111</v>
      </c>
      <c r="BS27" t="s">
        <v>111</v>
      </c>
      <c r="BT27" t="s">
        <v>111</v>
      </c>
      <c r="BU27" t="s">
        <v>111</v>
      </c>
      <c r="BV27" t="s">
        <v>111</v>
      </c>
      <c r="BW27" t="s">
        <v>111</v>
      </c>
      <c r="BX27" t="s">
        <v>111</v>
      </c>
      <c r="BY27" t="s">
        <v>111</v>
      </c>
      <c r="BZ27" t="s">
        <v>111</v>
      </c>
      <c r="CA27" t="s">
        <v>111</v>
      </c>
      <c r="CB27" t="s">
        <v>111</v>
      </c>
      <c r="CC27" t="s">
        <v>111</v>
      </c>
      <c r="CD27" t="s">
        <v>111</v>
      </c>
      <c r="CE27" t="s">
        <v>111</v>
      </c>
      <c r="CF27" t="s">
        <v>111</v>
      </c>
      <c r="CG27" t="s">
        <v>111</v>
      </c>
      <c r="CH27" t="s">
        <v>111</v>
      </c>
      <c r="CI27" t="s">
        <v>111</v>
      </c>
      <c r="CJ27" t="s">
        <v>111</v>
      </c>
      <c r="CK27" t="s">
        <v>111</v>
      </c>
      <c r="CL27" t="s">
        <v>111</v>
      </c>
      <c r="CM27" t="s">
        <v>111</v>
      </c>
      <c r="CN27" t="s">
        <v>111</v>
      </c>
      <c r="CO27" t="s">
        <v>111</v>
      </c>
      <c r="CP27" t="s">
        <v>111</v>
      </c>
      <c r="CQ27">
        <v>0</v>
      </c>
      <c r="CR27">
        <v>0</v>
      </c>
      <c r="CS27">
        <v>0</v>
      </c>
      <c r="CT27" t="s">
        <v>111</v>
      </c>
      <c r="CU27">
        <v>0</v>
      </c>
      <c r="CV27" t="s">
        <v>111</v>
      </c>
      <c r="CW27" t="s">
        <v>111</v>
      </c>
      <c r="CX27" t="s">
        <v>111</v>
      </c>
      <c r="CY27">
        <v>0</v>
      </c>
      <c r="CZ27" t="s">
        <v>111</v>
      </c>
      <c r="DA27" t="s">
        <v>111</v>
      </c>
      <c r="DB27" t="s">
        <v>204</v>
      </c>
      <c r="DC27" s="1" t="s">
        <v>235</v>
      </c>
    </row>
    <row r="28" spans="1:107">
      <c r="A28">
        <v>706</v>
      </c>
      <c r="B28" t="s">
        <v>107</v>
      </c>
      <c r="C28" t="s">
        <v>236</v>
      </c>
      <c r="D28" t="s">
        <v>237</v>
      </c>
      <c r="E28" t="s">
        <v>238</v>
      </c>
      <c r="F28" t="s">
        <v>239</v>
      </c>
      <c r="G28" t="s">
        <v>177</v>
      </c>
      <c r="H28">
        <v>1.5</v>
      </c>
      <c r="I28">
        <v>90</v>
      </c>
      <c r="J28">
        <v>0</v>
      </c>
      <c r="K28">
        <v>0</v>
      </c>
      <c r="L28" t="s">
        <v>112</v>
      </c>
      <c r="M28" t="s">
        <v>138</v>
      </c>
      <c r="N28">
        <v>0</v>
      </c>
      <c r="O28">
        <v>0</v>
      </c>
      <c r="P28" t="s">
        <v>138</v>
      </c>
      <c r="Q28">
        <v>50</v>
      </c>
      <c r="R28">
        <v>0</v>
      </c>
      <c r="S28">
        <v>0</v>
      </c>
      <c r="T28">
        <v>0</v>
      </c>
      <c r="U28" t="s">
        <v>203</v>
      </c>
      <c r="V28">
        <v>0</v>
      </c>
      <c r="W28">
        <v>12.5</v>
      </c>
      <c r="X28">
        <v>12.5</v>
      </c>
      <c r="Y28">
        <v>0</v>
      </c>
      <c r="Z28" t="s">
        <v>147</v>
      </c>
      <c r="AA28">
        <v>0</v>
      </c>
      <c r="AB28" t="s">
        <v>111</v>
      </c>
      <c r="AC28">
        <v>0</v>
      </c>
      <c r="AD28" t="s">
        <v>111</v>
      </c>
      <c r="AE28">
        <v>0</v>
      </c>
      <c r="AF28">
        <v>0</v>
      </c>
      <c r="AG28" t="s">
        <v>111</v>
      </c>
      <c r="AH28" t="s">
        <v>111</v>
      </c>
      <c r="AI28" t="s">
        <v>111</v>
      </c>
      <c r="AJ28" t="s">
        <v>111</v>
      </c>
      <c r="AK28" t="s">
        <v>111</v>
      </c>
      <c r="AL28" t="s">
        <v>111</v>
      </c>
      <c r="AM28">
        <v>0</v>
      </c>
      <c r="AN28">
        <v>0</v>
      </c>
      <c r="AO28">
        <v>0</v>
      </c>
      <c r="AP28" t="s">
        <v>111</v>
      </c>
      <c r="AQ28" t="s">
        <v>111</v>
      </c>
      <c r="AR28" t="s">
        <v>111</v>
      </c>
      <c r="AS28" t="s">
        <v>111</v>
      </c>
      <c r="AT28" t="s">
        <v>111</v>
      </c>
      <c r="AU28" t="s">
        <v>111</v>
      </c>
      <c r="AV28" t="s">
        <v>111</v>
      </c>
      <c r="AW28" t="s">
        <v>111</v>
      </c>
      <c r="AX28" t="s">
        <v>111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111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111</v>
      </c>
      <c r="BM28" t="s">
        <v>111</v>
      </c>
      <c r="BN28" t="s">
        <v>111</v>
      </c>
      <c r="BO28" t="s">
        <v>111</v>
      </c>
      <c r="BP28" t="s">
        <v>111</v>
      </c>
      <c r="BQ28" t="s">
        <v>111</v>
      </c>
      <c r="BR28" t="s">
        <v>111</v>
      </c>
      <c r="BS28" t="s">
        <v>111</v>
      </c>
      <c r="BT28" t="s">
        <v>111</v>
      </c>
      <c r="BU28" t="s">
        <v>111</v>
      </c>
      <c r="BV28" t="s">
        <v>111</v>
      </c>
      <c r="BW28" t="s">
        <v>111</v>
      </c>
      <c r="BX28" t="s">
        <v>111</v>
      </c>
      <c r="BY28" t="s">
        <v>111</v>
      </c>
      <c r="BZ28" t="s">
        <v>111</v>
      </c>
      <c r="CA28" t="s">
        <v>111</v>
      </c>
      <c r="CB28" t="s">
        <v>111</v>
      </c>
      <c r="CC28" t="s">
        <v>111</v>
      </c>
      <c r="CD28" t="s">
        <v>111</v>
      </c>
      <c r="CE28" t="s">
        <v>111</v>
      </c>
      <c r="CF28" t="s">
        <v>111</v>
      </c>
      <c r="CG28" t="s">
        <v>111</v>
      </c>
      <c r="CH28" t="s">
        <v>111</v>
      </c>
      <c r="CI28" t="s">
        <v>111</v>
      </c>
      <c r="CJ28" t="s">
        <v>111</v>
      </c>
      <c r="CK28" t="s">
        <v>111</v>
      </c>
      <c r="CL28" t="s">
        <v>111</v>
      </c>
      <c r="CM28" t="s">
        <v>111</v>
      </c>
      <c r="CN28" t="s">
        <v>111</v>
      </c>
      <c r="CO28" t="s">
        <v>111</v>
      </c>
      <c r="CP28" t="s">
        <v>111</v>
      </c>
      <c r="CQ28">
        <v>0</v>
      </c>
      <c r="CR28">
        <v>300</v>
      </c>
      <c r="CS28">
        <v>50</v>
      </c>
      <c r="CT28" t="e">
        <f>-MARCAR EN EL BULTO CANTIDAD DE PAQUETES  Y CUANTAS BOLSAS  X  PAQUETE</f>
        <v>#NAME?</v>
      </c>
      <c r="CU28">
        <v>0</v>
      </c>
      <c r="CV28" t="s">
        <v>111</v>
      </c>
      <c r="CW28" t="s">
        <v>111</v>
      </c>
      <c r="CX28" t="s">
        <v>111</v>
      </c>
      <c r="CY28">
        <v>0</v>
      </c>
      <c r="CZ28" t="s">
        <v>111</v>
      </c>
      <c r="DA28" t="s">
        <v>111</v>
      </c>
      <c r="DB28" t="s">
        <v>240</v>
      </c>
      <c r="DC28" s="1" t="s">
        <v>241</v>
      </c>
    </row>
    <row r="29" spans="1:107">
      <c r="A29">
        <v>436</v>
      </c>
      <c r="B29" t="s">
        <v>162</v>
      </c>
      <c r="C29" t="s">
        <v>223</v>
      </c>
      <c r="D29" t="s">
        <v>242</v>
      </c>
      <c r="E29" t="s">
        <v>243</v>
      </c>
      <c r="F29" t="s">
        <v>192</v>
      </c>
      <c r="G29" t="s">
        <v>177</v>
      </c>
      <c r="H29">
        <v>1</v>
      </c>
      <c r="I29">
        <v>30</v>
      </c>
      <c r="J29">
        <v>0</v>
      </c>
      <c r="K29">
        <v>0</v>
      </c>
      <c r="L29" t="s">
        <v>112</v>
      </c>
      <c r="M29" t="s">
        <v>138</v>
      </c>
      <c r="N29">
        <v>0</v>
      </c>
      <c r="O29">
        <v>0</v>
      </c>
      <c r="P29" t="s">
        <v>138</v>
      </c>
      <c r="Q29">
        <v>30</v>
      </c>
      <c r="R29">
        <v>0</v>
      </c>
      <c r="S29">
        <v>0</v>
      </c>
      <c r="T29">
        <v>0</v>
      </c>
      <c r="U29" t="s">
        <v>153</v>
      </c>
      <c r="V29">
        <v>0</v>
      </c>
      <c r="W29">
        <v>0</v>
      </c>
      <c r="X29">
        <v>1</v>
      </c>
      <c r="Y29">
        <v>0</v>
      </c>
      <c r="Z29" t="s">
        <v>111</v>
      </c>
      <c r="AA29">
        <v>0</v>
      </c>
      <c r="AB29" t="s">
        <v>111</v>
      </c>
      <c r="AC29">
        <v>0</v>
      </c>
      <c r="AD29" t="s">
        <v>111</v>
      </c>
      <c r="AE29">
        <v>0</v>
      </c>
      <c r="AF29">
        <v>0</v>
      </c>
      <c r="AG29" t="s">
        <v>111</v>
      </c>
      <c r="AH29" t="s">
        <v>111</v>
      </c>
      <c r="AI29" t="s">
        <v>111</v>
      </c>
      <c r="AJ29" t="s">
        <v>111</v>
      </c>
      <c r="AK29" t="s">
        <v>111</v>
      </c>
      <c r="AL29" t="s">
        <v>111</v>
      </c>
      <c r="AM29">
        <v>0</v>
      </c>
      <c r="AN29">
        <v>0</v>
      </c>
      <c r="AO29">
        <v>0</v>
      </c>
      <c r="AP29" t="s">
        <v>111</v>
      </c>
      <c r="AQ29" t="s">
        <v>111</v>
      </c>
      <c r="AR29" t="s">
        <v>111</v>
      </c>
      <c r="AS29" t="s">
        <v>111</v>
      </c>
      <c r="AT29" t="s">
        <v>111</v>
      </c>
      <c r="AU29" t="s">
        <v>111</v>
      </c>
      <c r="AV29" t="s">
        <v>111</v>
      </c>
      <c r="AW29" t="s">
        <v>111</v>
      </c>
      <c r="AX29" t="s">
        <v>111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111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111</v>
      </c>
      <c r="BM29" t="s">
        <v>111</v>
      </c>
      <c r="BN29" t="s">
        <v>111</v>
      </c>
      <c r="BO29" t="s">
        <v>111</v>
      </c>
      <c r="BP29" t="s">
        <v>111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111</v>
      </c>
      <c r="BW29" t="s">
        <v>111</v>
      </c>
      <c r="BX29" t="s">
        <v>111</v>
      </c>
      <c r="BY29" t="s">
        <v>111</v>
      </c>
      <c r="BZ29" t="s">
        <v>111</v>
      </c>
      <c r="CA29" t="s">
        <v>111</v>
      </c>
      <c r="CB29" t="s">
        <v>111</v>
      </c>
      <c r="CC29" t="s">
        <v>111</v>
      </c>
      <c r="CD29" t="s">
        <v>111</v>
      </c>
      <c r="CE29" t="s">
        <v>111</v>
      </c>
      <c r="CF29" t="s">
        <v>111</v>
      </c>
      <c r="CG29" t="s">
        <v>111</v>
      </c>
      <c r="CH29" t="s">
        <v>111</v>
      </c>
      <c r="CI29" t="s">
        <v>111</v>
      </c>
      <c r="CJ29" t="s">
        <v>111</v>
      </c>
      <c r="CK29" t="s">
        <v>111</v>
      </c>
      <c r="CL29" t="s">
        <v>111</v>
      </c>
      <c r="CM29" t="s">
        <v>198</v>
      </c>
      <c r="CN29" t="s">
        <v>128</v>
      </c>
      <c r="CO29" t="s">
        <v>111</v>
      </c>
      <c r="CP29" t="s">
        <v>111</v>
      </c>
      <c r="CQ29">
        <v>0</v>
      </c>
      <c r="CR29">
        <v>0</v>
      </c>
      <c r="CS29">
        <v>0</v>
      </c>
      <c r="CT29" t="s">
        <v>168</v>
      </c>
      <c r="CU29">
        <v>0</v>
      </c>
      <c r="CV29" t="s">
        <v>111</v>
      </c>
      <c r="CW29" t="s">
        <v>111</v>
      </c>
      <c r="CX29" t="s">
        <v>111</v>
      </c>
      <c r="CY29">
        <v>0</v>
      </c>
      <c r="CZ29" t="s">
        <v>111</v>
      </c>
      <c r="DA29" t="s">
        <v>111</v>
      </c>
      <c r="DB29" t="s">
        <v>111</v>
      </c>
      <c r="DC29" t="s">
        <v>111</v>
      </c>
    </row>
    <row r="30" spans="1:107">
      <c r="A30">
        <v>320</v>
      </c>
      <c r="B30" t="s">
        <v>162</v>
      </c>
      <c r="C30" t="s">
        <v>223</v>
      </c>
      <c r="D30" t="s">
        <v>244</v>
      </c>
      <c r="E30" t="s">
        <v>245</v>
      </c>
      <c r="F30" t="s">
        <v>192</v>
      </c>
      <c r="G30" t="s">
        <v>177</v>
      </c>
      <c r="H30">
        <v>2</v>
      </c>
      <c r="I30">
        <v>65</v>
      </c>
      <c r="J30">
        <v>0</v>
      </c>
      <c r="K30">
        <v>0</v>
      </c>
      <c r="L30" t="s">
        <v>112</v>
      </c>
      <c r="M30" t="s">
        <v>138</v>
      </c>
      <c r="N30">
        <v>0</v>
      </c>
      <c r="O30">
        <v>0</v>
      </c>
      <c r="P30" t="s">
        <v>138</v>
      </c>
      <c r="Q30">
        <v>40</v>
      </c>
      <c r="R30">
        <v>0</v>
      </c>
      <c r="S30">
        <v>0</v>
      </c>
      <c r="T30">
        <v>0</v>
      </c>
      <c r="U30" t="s">
        <v>153</v>
      </c>
      <c r="V30">
        <v>0</v>
      </c>
      <c r="W30">
        <v>0</v>
      </c>
      <c r="X30">
        <v>1</v>
      </c>
      <c r="Y30">
        <v>0</v>
      </c>
      <c r="Z30" t="s">
        <v>111</v>
      </c>
      <c r="AA30">
        <v>0</v>
      </c>
      <c r="AB30" t="s">
        <v>111</v>
      </c>
      <c r="AC30">
        <v>0</v>
      </c>
      <c r="AD30" t="s">
        <v>111</v>
      </c>
      <c r="AE30">
        <v>0</v>
      </c>
      <c r="AF30">
        <v>0</v>
      </c>
      <c r="AG30" t="s">
        <v>111</v>
      </c>
      <c r="AH30" t="s">
        <v>111</v>
      </c>
      <c r="AI30" t="s">
        <v>111</v>
      </c>
      <c r="AJ30" t="s">
        <v>111</v>
      </c>
      <c r="AK30" t="s">
        <v>111</v>
      </c>
      <c r="AL30" t="s">
        <v>111</v>
      </c>
      <c r="AM30">
        <v>0</v>
      </c>
      <c r="AN30">
        <v>0</v>
      </c>
      <c r="AO30">
        <v>0</v>
      </c>
      <c r="AP30" t="s">
        <v>111</v>
      </c>
      <c r="AQ30" t="s">
        <v>111</v>
      </c>
      <c r="AR30" t="s">
        <v>111</v>
      </c>
      <c r="AS30" t="s">
        <v>111</v>
      </c>
      <c r="AT30" t="s">
        <v>111</v>
      </c>
      <c r="AU30" t="s">
        <v>111</v>
      </c>
      <c r="AV30" t="s">
        <v>111</v>
      </c>
      <c r="AW30" t="s">
        <v>111</v>
      </c>
      <c r="AX30" t="s">
        <v>111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111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111</v>
      </c>
      <c r="BM30" t="s">
        <v>111</v>
      </c>
      <c r="BN30" t="s">
        <v>111</v>
      </c>
      <c r="BO30" t="s">
        <v>111</v>
      </c>
      <c r="BP30" t="s">
        <v>111</v>
      </c>
      <c r="BQ30" t="s">
        <v>111</v>
      </c>
      <c r="BR30" t="s">
        <v>111</v>
      </c>
      <c r="BS30" t="s">
        <v>111</v>
      </c>
      <c r="BT30" t="s">
        <v>111</v>
      </c>
      <c r="BU30" t="s">
        <v>111</v>
      </c>
      <c r="BV30" t="s">
        <v>111</v>
      </c>
      <c r="BW30" t="s">
        <v>111</v>
      </c>
      <c r="BX30" t="s">
        <v>111</v>
      </c>
      <c r="BY30" t="s">
        <v>111</v>
      </c>
      <c r="BZ30" t="s">
        <v>111</v>
      </c>
      <c r="CA30" t="s">
        <v>111</v>
      </c>
      <c r="CB30" t="s">
        <v>111</v>
      </c>
      <c r="CC30" t="s">
        <v>111</v>
      </c>
      <c r="CD30" t="s">
        <v>111</v>
      </c>
      <c r="CE30" t="s">
        <v>111</v>
      </c>
      <c r="CF30" t="s">
        <v>111</v>
      </c>
      <c r="CG30" t="s">
        <v>111</v>
      </c>
      <c r="CH30" t="s">
        <v>111</v>
      </c>
      <c r="CI30" t="s">
        <v>111</v>
      </c>
      <c r="CJ30" t="s">
        <v>111</v>
      </c>
      <c r="CK30" t="s">
        <v>111</v>
      </c>
      <c r="CL30" t="s">
        <v>111</v>
      </c>
      <c r="CM30" t="s">
        <v>198</v>
      </c>
      <c r="CN30" t="s">
        <v>128</v>
      </c>
      <c r="CO30" t="s">
        <v>111</v>
      </c>
      <c r="CP30" t="s">
        <v>111</v>
      </c>
      <c r="CQ30">
        <v>0</v>
      </c>
      <c r="CR30">
        <v>0</v>
      </c>
      <c r="CS30">
        <v>0</v>
      </c>
      <c r="CT30" t="s">
        <v>168</v>
      </c>
      <c r="CU30">
        <v>0</v>
      </c>
      <c r="CV30" t="s">
        <v>111</v>
      </c>
      <c r="CW30" t="s">
        <v>111</v>
      </c>
      <c r="CX30" t="s">
        <v>111</v>
      </c>
      <c r="CY30">
        <v>0</v>
      </c>
      <c r="CZ30" t="s">
        <v>111</v>
      </c>
      <c r="DA30" t="s">
        <v>111</v>
      </c>
      <c r="DB30" t="s">
        <v>111</v>
      </c>
      <c r="DC30" t="s">
        <v>111</v>
      </c>
    </row>
    <row r="31" spans="1:107">
      <c r="A31">
        <v>1373</v>
      </c>
      <c r="B31" t="s">
        <v>107</v>
      </c>
      <c r="C31" t="s">
        <v>108</v>
      </c>
      <c r="D31" t="s">
        <v>246</v>
      </c>
      <c r="E31" t="s">
        <v>247</v>
      </c>
      <c r="F31" t="s">
        <v>125</v>
      </c>
      <c r="G31" t="s">
        <v>177</v>
      </c>
      <c r="H31">
        <v>1.5</v>
      </c>
      <c r="I31">
        <v>69</v>
      </c>
      <c r="J31">
        <v>0</v>
      </c>
      <c r="K31">
        <v>0</v>
      </c>
      <c r="L31" t="s">
        <v>112</v>
      </c>
      <c r="M31" t="s">
        <v>138</v>
      </c>
      <c r="N31">
        <v>0</v>
      </c>
      <c r="O31">
        <v>0</v>
      </c>
      <c r="P31" t="s">
        <v>111</v>
      </c>
      <c r="Q31">
        <v>40</v>
      </c>
      <c r="R31">
        <v>0</v>
      </c>
      <c r="S31">
        <v>0</v>
      </c>
      <c r="T31">
        <v>0</v>
      </c>
      <c r="U31" t="e">
        <f>-SELLADO</f>
        <v>#NAME?</v>
      </c>
      <c r="V31">
        <v>0</v>
      </c>
      <c r="W31">
        <v>0</v>
      </c>
      <c r="X31">
        <v>1</v>
      </c>
      <c r="Y31">
        <v>0</v>
      </c>
      <c r="Z31" t="s">
        <v>111</v>
      </c>
      <c r="AA31">
        <v>0</v>
      </c>
      <c r="AB31" t="s">
        <v>111</v>
      </c>
      <c r="AC31">
        <v>0</v>
      </c>
      <c r="AD31" t="s">
        <v>111</v>
      </c>
      <c r="AE31">
        <v>0</v>
      </c>
      <c r="AF31">
        <v>0</v>
      </c>
      <c r="AG31" t="s">
        <v>111</v>
      </c>
      <c r="AH31" t="s">
        <v>111</v>
      </c>
      <c r="AI31" t="s">
        <v>111</v>
      </c>
      <c r="AJ31" t="s">
        <v>111</v>
      </c>
      <c r="AK31" t="s">
        <v>111</v>
      </c>
      <c r="AL31" t="s">
        <v>111</v>
      </c>
      <c r="AM31">
        <v>0</v>
      </c>
      <c r="AN31">
        <v>0</v>
      </c>
      <c r="AO31">
        <v>0</v>
      </c>
      <c r="AP31" t="s">
        <v>111</v>
      </c>
      <c r="AQ31" t="s">
        <v>111</v>
      </c>
      <c r="AR31" t="s">
        <v>111</v>
      </c>
      <c r="AS31" t="s">
        <v>111</v>
      </c>
      <c r="AT31" t="s">
        <v>111</v>
      </c>
      <c r="AU31" t="s">
        <v>111</v>
      </c>
      <c r="AV31" t="s">
        <v>111</v>
      </c>
      <c r="AW31" t="s">
        <v>111</v>
      </c>
      <c r="AX31" t="s">
        <v>111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111</v>
      </c>
      <c r="BE31" t="s">
        <v>111</v>
      </c>
      <c r="BF31" t="s">
        <v>111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111</v>
      </c>
      <c r="BM31" t="s">
        <v>111</v>
      </c>
      <c r="BN31" t="s">
        <v>111</v>
      </c>
      <c r="BO31" t="s">
        <v>111</v>
      </c>
      <c r="BP31" t="s">
        <v>111</v>
      </c>
      <c r="BQ31" t="s">
        <v>111</v>
      </c>
      <c r="BR31" t="s">
        <v>111</v>
      </c>
      <c r="BS31" t="s">
        <v>111</v>
      </c>
      <c r="BT31" t="s">
        <v>111</v>
      </c>
      <c r="BU31" t="s">
        <v>111</v>
      </c>
      <c r="BV31" t="s">
        <v>111</v>
      </c>
      <c r="BW31" t="s">
        <v>111</v>
      </c>
      <c r="BX31" t="s">
        <v>111</v>
      </c>
      <c r="BY31" t="s">
        <v>111</v>
      </c>
      <c r="BZ31" t="s">
        <v>111</v>
      </c>
      <c r="CA31" t="s">
        <v>111</v>
      </c>
      <c r="CB31" t="s">
        <v>111</v>
      </c>
      <c r="CC31" t="s">
        <v>111</v>
      </c>
      <c r="CD31" t="s">
        <v>111</v>
      </c>
      <c r="CE31" t="s">
        <v>111</v>
      </c>
      <c r="CF31" t="s">
        <v>111</v>
      </c>
      <c r="CG31" t="s">
        <v>111</v>
      </c>
      <c r="CH31" t="s">
        <v>111</v>
      </c>
      <c r="CI31" t="s">
        <v>111</v>
      </c>
      <c r="CJ31" t="s">
        <v>111</v>
      </c>
      <c r="CK31" t="s">
        <v>111</v>
      </c>
      <c r="CL31" t="s">
        <v>111</v>
      </c>
      <c r="CM31" t="s">
        <v>127</v>
      </c>
      <c r="CN31" t="s">
        <v>128</v>
      </c>
      <c r="CO31" t="s">
        <v>111</v>
      </c>
      <c r="CP31" t="s">
        <v>111</v>
      </c>
      <c r="CQ31">
        <v>0</v>
      </c>
      <c r="CR31">
        <v>800</v>
      </c>
      <c r="CS31">
        <v>50</v>
      </c>
      <c r="CT31" t="s">
        <v>111</v>
      </c>
      <c r="CU31">
        <v>0</v>
      </c>
      <c r="CV31" t="s">
        <v>111</v>
      </c>
      <c r="CW31" t="s">
        <v>111</v>
      </c>
      <c r="CX31" t="s">
        <v>111</v>
      </c>
      <c r="CY31">
        <v>0</v>
      </c>
      <c r="CZ31" t="s">
        <v>111</v>
      </c>
      <c r="DA31" t="s">
        <v>111</v>
      </c>
      <c r="DB31" t="s">
        <v>111</v>
      </c>
      <c r="DC31" t="s">
        <v>111</v>
      </c>
    </row>
    <row r="32" spans="1:107">
      <c r="A32">
        <v>435</v>
      </c>
      <c r="B32" t="s">
        <v>162</v>
      </c>
      <c r="C32" t="s">
        <v>223</v>
      </c>
      <c r="D32" t="s">
        <v>248</v>
      </c>
      <c r="E32" t="s">
        <v>249</v>
      </c>
      <c r="F32" t="s">
        <v>192</v>
      </c>
      <c r="G32" t="s">
        <v>177</v>
      </c>
      <c r="H32">
        <v>1</v>
      </c>
      <c r="I32">
        <v>30</v>
      </c>
      <c r="J32">
        <v>0</v>
      </c>
      <c r="K32">
        <v>0</v>
      </c>
      <c r="L32" t="s">
        <v>112</v>
      </c>
      <c r="M32" t="s">
        <v>138</v>
      </c>
      <c r="N32">
        <v>0</v>
      </c>
      <c r="O32">
        <v>0</v>
      </c>
      <c r="P32" t="s">
        <v>138</v>
      </c>
      <c r="Q32">
        <v>30</v>
      </c>
      <c r="R32">
        <v>0</v>
      </c>
      <c r="S32">
        <v>0</v>
      </c>
      <c r="T32">
        <v>0</v>
      </c>
      <c r="U32" t="s">
        <v>153</v>
      </c>
      <c r="V32">
        <v>0</v>
      </c>
      <c r="W32">
        <v>0</v>
      </c>
      <c r="X32">
        <v>1</v>
      </c>
      <c r="Y32">
        <v>0</v>
      </c>
      <c r="Z32" t="s">
        <v>111</v>
      </c>
      <c r="AA32">
        <v>0</v>
      </c>
      <c r="AB32" t="s">
        <v>111</v>
      </c>
      <c r="AC32">
        <v>0</v>
      </c>
      <c r="AD32" t="s">
        <v>111</v>
      </c>
      <c r="AE32">
        <v>0</v>
      </c>
      <c r="AF32">
        <v>0</v>
      </c>
      <c r="AG32" t="s">
        <v>111</v>
      </c>
      <c r="AH32" t="s">
        <v>111</v>
      </c>
      <c r="AI32" t="s">
        <v>111</v>
      </c>
      <c r="AJ32" t="s">
        <v>111</v>
      </c>
      <c r="AK32" t="s">
        <v>111</v>
      </c>
      <c r="AL32" t="s">
        <v>111</v>
      </c>
      <c r="AM32">
        <v>0</v>
      </c>
      <c r="AN32">
        <v>0</v>
      </c>
      <c r="AO32">
        <v>0</v>
      </c>
      <c r="AP32" t="s">
        <v>111</v>
      </c>
      <c r="AQ32" t="s">
        <v>111</v>
      </c>
      <c r="AR32" t="s">
        <v>111</v>
      </c>
      <c r="AS32" t="s">
        <v>111</v>
      </c>
      <c r="AT32" t="s">
        <v>111</v>
      </c>
      <c r="AU32" t="s">
        <v>111</v>
      </c>
      <c r="AV32" t="s">
        <v>111</v>
      </c>
      <c r="AW32" t="s">
        <v>111</v>
      </c>
      <c r="AX32" t="s">
        <v>111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111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111</v>
      </c>
      <c r="BM32" t="s">
        <v>111</v>
      </c>
      <c r="BN32" t="s">
        <v>111</v>
      </c>
      <c r="BO32" t="s">
        <v>111</v>
      </c>
      <c r="BP32" t="s">
        <v>111</v>
      </c>
      <c r="BQ32" t="s">
        <v>111</v>
      </c>
      <c r="BR32" t="s">
        <v>111</v>
      </c>
      <c r="BS32" t="s">
        <v>111</v>
      </c>
      <c r="BT32" t="s">
        <v>111</v>
      </c>
      <c r="BU32" t="s">
        <v>111</v>
      </c>
      <c r="BV32" t="s">
        <v>111</v>
      </c>
      <c r="BW32" t="s">
        <v>111</v>
      </c>
      <c r="BX32" t="s">
        <v>111</v>
      </c>
      <c r="BY32" t="s">
        <v>111</v>
      </c>
      <c r="BZ32" t="s">
        <v>111</v>
      </c>
      <c r="CA32" t="s">
        <v>111</v>
      </c>
      <c r="CB32" t="s">
        <v>111</v>
      </c>
      <c r="CC32" t="s">
        <v>111</v>
      </c>
      <c r="CD32" t="s">
        <v>111</v>
      </c>
      <c r="CE32" t="s">
        <v>111</v>
      </c>
      <c r="CF32" t="s">
        <v>111</v>
      </c>
      <c r="CG32" t="s">
        <v>111</v>
      </c>
      <c r="CH32" t="s">
        <v>111</v>
      </c>
      <c r="CI32" t="s">
        <v>111</v>
      </c>
      <c r="CJ32" t="s">
        <v>111</v>
      </c>
      <c r="CK32" t="s">
        <v>111</v>
      </c>
      <c r="CL32" t="s">
        <v>111</v>
      </c>
      <c r="CM32" t="s">
        <v>198</v>
      </c>
      <c r="CN32" t="s">
        <v>128</v>
      </c>
      <c r="CO32" t="s">
        <v>111</v>
      </c>
      <c r="CP32" t="s">
        <v>111</v>
      </c>
      <c r="CQ32">
        <v>0</v>
      </c>
      <c r="CR32">
        <v>0</v>
      </c>
      <c r="CS32">
        <v>0</v>
      </c>
      <c r="CT32" t="s">
        <v>168</v>
      </c>
      <c r="CU32">
        <v>0</v>
      </c>
      <c r="CV32" t="s">
        <v>111</v>
      </c>
      <c r="CW32" t="s">
        <v>111</v>
      </c>
      <c r="CX32" t="s">
        <v>111</v>
      </c>
      <c r="CY32">
        <v>0</v>
      </c>
      <c r="CZ32" t="s">
        <v>111</v>
      </c>
      <c r="DA32" t="s">
        <v>111</v>
      </c>
      <c r="DB32" t="s">
        <v>111</v>
      </c>
      <c r="DC32" t="s">
        <v>111</v>
      </c>
    </row>
    <row r="33" spans="1:107">
      <c r="A33">
        <v>434</v>
      </c>
      <c r="B33" t="s">
        <v>162</v>
      </c>
      <c r="C33" t="s">
        <v>250</v>
      </c>
      <c r="D33" t="s">
        <v>251</v>
      </c>
      <c r="E33" t="s">
        <v>252</v>
      </c>
      <c r="F33" t="s">
        <v>157</v>
      </c>
      <c r="G33" t="s">
        <v>177</v>
      </c>
      <c r="H33">
        <v>1.8</v>
      </c>
      <c r="I33">
        <v>61</v>
      </c>
      <c r="J33">
        <v>0</v>
      </c>
      <c r="K33">
        <v>0</v>
      </c>
      <c r="L33" t="s">
        <v>112</v>
      </c>
      <c r="M33" t="s">
        <v>138</v>
      </c>
      <c r="N33">
        <v>0</v>
      </c>
      <c r="O33">
        <v>0</v>
      </c>
      <c r="P33" t="s">
        <v>138</v>
      </c>
      <c r="Q33">
        <v>33.299999999999997</v>
      </c>
      <c r="R33">
        <v>0</v>
      </c>
      <c r="S33">
        <v>0</v>
      </c>
      <c r="T33">
        <v>0</v>
      </c>
      <c r="U33" t="s">
        <v>168</v>
      </c>
      <c r="V33">
        <v>12.5</v>
      </c>
      <c r="W33">
        <v>12.5</v>
      </c>
      <c r="X33">
        <v>0</v>
      </c>
      <c r="Y33">
        <v>0</v>
      </c>
      <c r="Z33" t="s">
        <v>111</v>
      </c>
      <c r="AA33">
        <v>0</v>
      </c>
      <c r="AB33" t="s">
        <v>193</v>
      </c>
      <c r="AC33">
        <v>25</v>
      </c>
      <c r="AD33" t="s">
        <v>111</v>
      </c>
      <c r="AE33">
        <v>0</v>
      </c>
      <c r="AF33">
        <v>0</v>
      </c>
      <c r="AG33" t="s">
        <v>111</v>
      </c>
      <c r="AH33" t="s">
        <v>111</v>
      </c>
      <c r="AI33" t="s">
        <v>111</v>
      </c>
      <c r="AJ33" t="s">
        <v>111</v>
      </c>
      <c r="AK33" t="s">
        <v>111</v>
      </c>
      <c r="AL33" t="s">
        <v>111</v>
      </c>
      <c r="AM33">
        <v>0</v>
      </c>
      <c r="AN33">
        <v>0</v>
      </c>
      <c r="AO33">
        <v>0</v>
      </c>
      <c r="AP33" t="s">
        <v>111</v>
      </c>
      <c r="AQ33" t="s">
        <v>111</v>
      </c>
      <c r="AR33" t="s">
        <v>111</v>
      </c>
      <c r="AS33" t="s">
        <v>111</v>
      </c>
      <c r="AT33" t="s">
        <v>111</v>
      </c>
      <c r="AU33" t="s">
        <v>111</v>
      </c>
      <c r="AV33" t="s">
        <v>111</v>
      </c>
      <c r="AW33" t="s">
        <v>111</v>
      </c>
      <c r="AX33" t="s">
        <v>111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111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111</v>
      </c>
      <c r="BM33" t="s">
        <v>111</v>
      </c>
      <c r="BN33" t="s">
        <v>111</v>
      </c>
      <c r="BO33" t="s">
        <v>111</v>
      </c>
      <c r="BP33" t="s">
        <v>111</v>
      </c>
      <c r="BQ33" t="s">
        <v>111</v>
      </c>
      <c r="BR33" t="s">
        <v>111</v>
      </c>
      <c r="BS33" t="s">
        <v>111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111</v>
      </c>
      <c r="BZ33" t="s">
        <v>111</v>
      </c>
      <c r="CA33" t="s">
        <v>111</v>
      </c>
      <c r="CB33" t="s">
        <v>111</v>
      </c>
      <c r="CC33" t="s">
        <v>111</v>
      </c>
      <c r="CD33" t="s">
        <v>111</v>
      </c>
      <c r="CE33" t="s">
        <v>111</v>
      </c>
      <c r="CF33" t="s">
        <v>111</v>
      </c>
      <c r="CG33" t="s">
        <v>111</v>
      </c>
      <c r="CH33" t="s">
        <v>111</v>
      </c>
      <c r="CI33" t="s">
        <v>111</v>
      </c>
      <c r="CJ33" t="s">
        <v>111</v>
      </c>
      <c r="CK33" t="s">
        <v>111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>
        <v>0</v>
      </c>
      <c r="CR33">
        <v>0</v>
      </c>
      <c r="CS33">
        <v>0</v>
      </c>
      <c r="CT33" t="s">
        <v>111</v>
      </c>
      <c r="CU33">
        <v>0</v>
      </c>
      <c r="CV33" t="s">
        <v>111</v>
      </c>
      <c r="CW33" t="s">
        <v>111</v>
      </c>
      <c r="CX33" t="s">
        <v>111</v>
      </c>
      <c r="CY33">
        <v>0</v>
      </c>
      <c r="CZ33" t="s">
        <v>111</v>
      </c>
      <c r="DA33" t="s">
        <v>111</v>
      </c>
      <c r="DB33" t="s">
        <v>111</v>
      </c>
      <c r="DC33" t="s">
        <v>111</v>
      </c>
    </row>
    <row r="34" spans="1:107">
      <c r="A34">
        <v>319</v>
      </c>
      <c r="B34" t="s">
        <v>162</v>
      </c>
      <c r="C34" t="s">
        <v>223</v>
      </c>
      <c r="D34" t="s">
        <v>253</v>
      </c>
      <c r="E34" t="s">
        <v>254</v>
      </c>
      <c r="F34" t="s">
        <v>192</v>
      </c>
      <c r="G34" t="s">
        <v>177</v>
      </c>
      <c r="H34">
        <v>2</v>
      </c>
      <c r="I34">
        <v>65</v>
      </c>
      <c r="J34">
        <v>0</v>
      </c>
      <c r="K34">
        <v>0</v>
      </c>
      <c r="L34" t="s">
        <v>112</v>
      </c>
      <c r="M34" t="s">
        <v>138</v>
      </c>
      <c r="N34">
        <v>0</v>
      </c>
      <c r="O34">
        <v>0</v>
      </c>
      <c r="P34" t="s">
        <v>138</v>
      </c>
      <c r="Q34">
        <v>40</v>
      </c>
      <c r="R34">
        <v>0</v>
      </c>
      <c r="S34">
        <v>0</v>
      </c>
      <c r="T34">
        <v>0</v>
      </c>
      <c r="U34" t="s">
        <v>153</v>
      </c>
      <c r="V34">
        <v>0</v>
      </c>
      <c r="W34">
        <v>0</v>
      </c>
      <c r="X34">
        <v>1</v>
      </c>
      <c r="Y34">
        <v>0</v>
      </c>
      <c r="Z34" t="s">
        <v>111</v>
      </c>
      <c r="AA34">
        <v>0</v>
      </c>
      <c r="AB34" t="s">
        <v>111</v>
      </c>
      <c r="AC34">
        <v>0</v>
      </c>
      <c r="AD34" t="s">
        <v>111</v>
      </c>
      <c r="AE34">
        <v>0</v>
      </c>
      <c r="AF34">
        <v>0</v>
      </c>
      <c r="AG34" t="s">
        <v>111</v>
      </c>
      <c r="AH34" t="s">
        <v>111</v>
      </c>
      <c r="AI34" t="s">
        <v>111</v>
      </c>
      <c r="AJ34" t="s">
        <v>111</v>
      </c>
      <c r="AK34" t="s">
        <v>111</v>
      </c>
      <c r="AL34" t="s">
        <v>111</v>
      </c>
      <c r="AM34">
        <v>0</v>
      </c>
      <c r="AN34">
        <v>0</v>
      </c>
      <c r="AO34">
        <v>0</v>
      </c>
      <c r="AP34" t="s">
        <v>111</v>
      </c>
      <c r="AQ34" t="s">
        <v>111</v>
      </c>
      <c r="AR34" t="s">
        <v>111</v>
      </c>
      <c r="AS34" t="s">
        <v>111</v>
      </c>
      <c r="AT34" t="s">
        <v>111</v>
      </c>
      <c r="AU34" t="s">
        <v>111</v>
      </c>
      <c r="AV34" t="s">
        <v>111</v>
      </c>
      <c r="AW34" t="s">
        <v>111</v>
      </c>
      <c r="AX34" t="s">
        <v>111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111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111</v>
      </c>
      <c r="BM34" t="s">
        <v>111</v>
      </c>
      <c r="BN34" t="s">
        <v>111</v>
      </c>
      <c r="BO34" t="s">
        <v>111</v>
      </c>
      <c r="BP34" t="s">
        <v>111</v>
      </c>
      <c r="BQ34" t="s">
        <v>111</v>
      </c>
      <c r="BR34" t="s">
        <v>111</v>
      </c>
      <c r="BS34" t="s">
        <v>111</v>
      </c>
      <c r="BT34" t="s">
        <v>111</v>
      </c>
      <c r="BU34" t="s">
        <v>111</v>
      </c>
      <c r="BV34" t="s">
        <v>111</v>
      </c>
      <c r="BW34" t="s">
        <v>111</v>
      </c>
      <c r="BX34" t="s">
        <v>111</v>
      </c>
      <c r="BY34" t="s">
        <v>111</v>
      </c>
      <c r="BZ34" t="s">
        <v>111</v>
      </c>
      <c r="CA34" t="s">
        <v>111</v>
      </c>
      <c r="CB34" t="s">
        <v>111</v>
      </c>
      <c r="CC34" t="s">
        <v>111</v>
      </c>
      <c r="CD34" t="s">
        <v>111</v>
      </c>
      <c r="CE34" t="s">
        <v>111</v>
      </c>
      <c r="CF34" t="s">
        <v>111</v>
      </c>
      <c r="CG34" t="s">
        <v>111</v>
      </c>
      <c r="CH34" t="s">
        <v>111</v>
      </c>
      <c r="CI34" t="s">
        <v>111</v>
      </c>
      <c r="CJ34" t="s">
        <v>111</v>
      </c>
      <c r="CK34" t="s">
        <v>111</v>
      </c>
      <c r="CL34" t="s">
        <v>111</v>
      </c>
      <c r="CM34" t="s">
        <v>198</v>
      </c>
      <c r="CN34" t="s">
        <v>128</v>
      </c>
      <c r="CO34" t="s">
        <v>111</v>
      </c>
      <c r="CP34" t="s">
        <v>111</v>
      </c>
      <c r="CQ34">
        <v>0</v>
      </c>
      <c r="CR34">
        <v>0</v>
      </c>
      <c r="CS34">
        <v>0</v>
      </c>
      <c r="CT34" t="s">
        <v>168</v>
      </c>
      <c r="CU34">
        <v>0</v>
      </c>
      <c r="CV34" t="s">
        <v>111</v>
      </c>
      <c r="CW34" t="s">
        <v>111</v>
      </c>
      <c r="CX34" t="s">
        <v>111</v>
      </c>
      <c r="CY34">
        <v>0</v>
      </c>
      <c r="CZ34" t="s">
        <v>111</v>
      </c>
      <c r="DA34" t="s">
        <v>111</v>
      </c>
      <c r="DB34" t="s">
        <v>111</v>
      </c>
      <c r="DC34" t="s">
        <v>111</v>
      </c>
    </row>
    <row r="35" spans="1:107">
      <c r="A35">
        <v>808</v>
      </c>
      <c r="B35" t="s">
        <v>107</v>
      </c>
      <c r="C35" t="s">
        <v>154</v>
      </c>
      <c r="D35" t="s">
        <v>255</v>
      </c>
      <c r="E35" t="s">
        <v>256</v>
      </c>
      <c r="F35" t="s">
        <v>257</v>
      </c>
      <c r="G35" t="s">
        <v>177</v>
      </c>
      <c r="H35">
        <v>0.8</v>
      </c>
      <c r="I35">
        <v>75</v>
      </c>
      <c r="J35">
        <v>0</v>
      </c>
      <c r="K35">
        <v>0</v>
      </c>
      <c r="L35" t="s">
        <v>112</v>
      </c>
      <c r="M35" t="s">
        <v>138</v>
      </c>
      <c r="N35">
        <v>0</v>
      </c>
      <c r="O35">
        <v>0</v>
      </c>
      <c r="P35" t="s">
        <v>138</v>
      </c>
      <c r="Q35">
        <v>50</v>
      </c>
      <c r="R35">
        <v>0</v>
      </c>
      <c r="S35">
        <v>0</v>
      </c>
      <c r="T35">
        <v>0</v>
      </c>
      <c r="U35" t="s">
        <v>258</v>
      </c>
      <c r="V35">
        <v>20</v>
      </c>
      <c r="W35">
        <v>0</v>
      </c>
      <c r="X35">
        <v>10</v>
      </c>
      <c r="Y35">
        <v>0</v>
      </c>
      <c r="Z35" t="s">
        <v>259</v>
      </c>
      <c r="AA35">
        <v>2</v>
      </c>
      <c r="AB35" t="s">
        <v>111</v>
      </c>
      <c r="AC35">
        <v>0</v>
      </c>
      <c r="AD35" t="s">
        <v>111</v>
      </c>
      <c r="AE35">
        <v>0</v>
      </c>
      <c r="AF35">
        <v>0</v>
      </c>
      <c r="AG35" t="s">
        <v>111</v>
      </c>
      <c r="AH35" t="s">
        <v>111</v>
      </c>
      <c r="AI35" t="s">
        <v>111</v>
      </c>
      <c r="AJ35" t="s">
        <v>111</v>
      </c>
      <c r="AK35" t="s">
        <v>111</v>
      </c>
      <c r="AL35" t="s">
        <v>111</v>
      </c>
      <c r="AM35">
        <v>0</v>
      </c>
      <c r="AN35">
        <v>0</v>
      </c>
      <c r="AO35">
        <v>0</v>
      </c>
      <c r="AP35" t="s">
        <v>111</v>
      </c>
      <c r="AQ35" t="s">
        <v>111</v>
      </c>
      <c r="AR35" t="s">
        <v>111</v>
      </c>
      <c r="AS35" t="s">
        <v>111</v>
      </c>
      <c r="AT35" t="s">
        <v>111</v>
      </c>
      <c r="AU35" t="s">
        <v>111</v>
      </c>
      <c r="AV35" t="s">
        <v>111</v>
      </c>
      <c r="AW35" t="s">
        <v>111</v>
      </c>
      <c r="AX35" t="s">
        <v>111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111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111</v>
      </c>
      <c r="BM35" t="s">
        <v>111</v>
      </c>
      <c r="BN35" t="s">
        <v>111</v>
      </c>
      <c r="BO35" t="s">
        <v>111</v>
      </c>
      <c r="BP35" t="s">
        <v>111</v>
      </c>
      <c r="BQ35" t="s">
        <v>111</v>
      </c>
      <c r="BR35" t="s">
        <v>111</v>
      </c>
      <c r="BS35" t="s">
        <v>111</v>
      </c>
      <c r="BT35" t="s">
        <v>111</v>
      </c>
      <c r="BU35" t="s">
        <v>111</v>
      </c>
      <c r="BV35" t="s">
        <v>111</v>
      </c>
      <c r="BW35" t="s">
        <v>111</v>
      </c>
      <c r="BX35" t="s">
        <v>111</v>
      </c>
      <c r="BY35" t="s">
        <v>111</v>
      </c>
      <c r="BZ35" t="s">
        <v>111</v>
      </c>
      <c r="CA35" t="s">
        <v>111</v>
      </c>
      <c r="CB35" t="s">
        <v>111</v>
      </c>
      <c r="CC35" t="s">
        <v>111</v>
      </c>
      <c r="CD35" t="s">
        <v>111</v>
      </c>
      <c r="CE35" t="s">
        <v>111</v>
      </c>
      <c r="CF35" t="s">
        <v>111</v>
      </c>
      <c r="CG35" t="s">
        <v>111</v>
      </c>
      <c r="CH35" t="s">
        <v>111</v>
      </c>
      <c r="CI35" t="s">
        <v>111</v>
      </c>
      <c r="CJ35" t="s">
        <v>111</v>
      </c>
      <c r="CK35" t="s">
        <v>111</v>
      </c>
      <c r="CL35" t="s">
        <v>111</v>
      </c>
      <c r="CM35" t="s">
        <v>127</v>
      </c>
      <c r="CN35" t="s">
        <v>128</v>
      </c>
      <c r="CO35" t="s">
        <v>111</v>
      </c>
      <c r="CP35" t="s">
        <v>111</v>
      </c>
      <c r="CQ35">
        <v>0</v>
      </c>
      <c r="CR35">
        <v>1000</v>
      </c>
      <c r="CS35">
        <v>100</v>
      </c>
      <c r="CT35" t="s">
        <v>260</v>
      </c>
      <c r="CU35">
        <v>0</v>
      </c>
      <c r="CV35" t="s">
        <v>111</v>
      </c>
      <c r="CW35" t="s">
        <v>111</v>
      </c>
      <c r="CX35" t="s">
        <v>111</v>
      </c>
      <c r="CY35">
        <v>0</v>
      </c>
      <c r="CZ35" t="s">
        <v>111</v>
      </c>
      <c r="DA35" t="s">
        <v>111</v>
      </c>
      <c r="DB35" t="s">
        <v>111</v>
      </c>
      <c r="DC35" t="s">
        <v>111</v>
      </c>
    </row>
    <row r="36" spans="1:107">
      <c r="A36">
        <v>880</v>
      </c>
      <c r="B36" t="s">
        <v>107</v>
      </c>
      <c r="C36" t="s">
        <v>261</v>
      </c>
      <c r="D36" t="s">
        <v>262</v>
      </c>
      <c r="E36" t="s">
        <v>263</v>
      </c>
      <c r="F36" t="s">
        <v>192</v>
      </c>
      <c r="G36" t="s">
        <v>177</v>
      </c>
      <c r="H36">
        <v>2.5</v>
      </c>
      <c r="I36">
        <v>100</v>
      </c>
      <c r="J36">
        <v>0</v>
      </c>
      <c r="K36">
        <v>0</v>
      </c>
      <c r="L36" t="s">
        <v>112</v>
      </c>
      <c r="M36" t="s">
        <v>138</v>
      </c>
      <c r="N36">
        <v>0</v>
      </c>
      <c r="O36">
        <v>0</v>
      </c>
      <c r="P36" t="s">
        <v>138</v>
      </c>
      <c r="Q36">
        <v>40</v>
      </c>
      <c r="R36">
        <v>0</v>
      </c>
      <c r="S36">
        <v>0</v>
      </c>
      <c r="T36">
        <v>0</v>
      </c>
      <c r="U36" t="s">
        <v>264</v>
      </c>
      <c r="V36">
        <v>0</v>
      </c>
      <c r="W36">
        <v>0</v>
      </c>
      <c r="X36">
        <v>1</v>
      </c>
      <c r="Y36">
        <v>0</v>
      </c>
      <c r="Z36" t="s">
        <v>111</v>
      </c>
      <c r="AA36">
        <v>0</v>
      </c>
      <c r="AB36" t="s">
        <v>265</v>
      </c>
      <c r="AC36">
        <v>25</v>
      </c>
      <c r="AD36" t="s">
        <v>111</v>
      </c>
      <c r="AE36">
        <v>0</v>
      </c>
      <c r="AF36">
        <v>0</v>
      </c>
      <c r="AG36" t="s">
        <v>111</v>
      </c>
      <c r="AH36" t="s">
        <v>111</v>
      </c>
      <c r="AI36" t="s">
        <v>111</v>
      </c>
      <c r="AJ36" t="s">
        <v>111</v>
      </c>
      <c r="AK36" t="s">
        <v>111</v>
      </c>
      <c r="AL36" t="s">
        <v>111</v>
      </c>
      <c r="AM36">
        <v>0</v>
      </c>
      <c r="AN36">
        <v>0</v>
      </c>
      <c r="AO36">
        <v>0</v>
      </c>
      <c r="AP36" t="s">
        <v>111</v>
      </c>
      <c r="AQ36" t="s">
        <v>111</v>
      </c>
      <c r="AR36" t="s">
        <v>111</v>
      </c>
      <c r="AS36" t="s">
        <v>111</v>
      </c>
      <c r="AT36" t="s">
        <v>111</v>
      </c>
      <c r="AU36" t="s">
        <v>111</v>
      </c>
      <c r="AV36" t="s">
        <v>111</v>
      </c>
      <c r="AW36" t="s">
        <v>111</v>
      </c>
      <c r="AX36" t="s">
        <v>111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111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111</v>
      </c>
      <c r="BM36" t="s">
        <v>111</v>
      </c>
      <c r="BN36" t="s">
        <v>111</v>
      </c>
      <c r="BO36" t="s">
        <v>111</v>
      </c>
      <c r="BP36" t="s">
        <v>111</v>
      </c>
      <c r="BQ36" t="s">
        <v>111</v>
      </c>
      <c r="BR36" t="s">
        <v>111</v>
      </c>
      <c r="BS36" t="s">
        <v>111</v>
      </c>
      <c r="BT36" t="s">
        <v>111</v>
      </c>
      <c r="BU36" t="s">
        <v>111</v>
      </c>
      <c r="BV36" t="s">
        <v>111</v>
      </c>
      <c r="BW36" t="s">
        <v>111</v>
      </c>
      <c r="BX36" t="s">
        <v>111</v>
      </c>
      <c r="BY36" t="s">
        <v>111</v>
      </c>
      <c r="BZ36" t="s">
        <v>111</v>
      </c>
      <c r="CA36" t="s">
        <v>111</v>
      </c>
      <c r="CB36" t="s">
        <v>111</v>
      </c>
      <c r="CC36" t="s">
        <v>111</v>
      </c>
      <c r="CD36" t="s">
        <v>111</v>
      </c>
      <c r="CE36" t="s">
        <v>111</v>
      </c>
      <c r="CF36" t="s">
        <v>111</v>
      </c>
      <c r="CG36" t="s">
        <v>111</v>
      </c>
      <c r="CH36" t="s">
        <v>111</v>
      </c>
      <c r="CI36" t="s">
        <v>111</v>
      </c>
      <c r="CJ36" t="s">
        <v>111</v>
      </c>
      <c r="CK36" t="s">
        <v>111</v>
      </c>
      <c r="CL36" t="s">
        <v>111</v>
      </c>
      <c r="CM36" t="s">
        <v>111</v>
      </c>
      <c r="CN36" t="s">
        <v>111</v>
      </c>
      <c r="CO36" t="s">
        <v>111</v>
      </c>
      <c r="CP36" t="s">
        <v>111</v>
      </c>
      <c r="CQ36">
        <v>0</v>
      </c>
      <c r="CR36">
        <v>0</v>
      </c>
      <c r="CS36">
        <v>0</v>
      </c>
      <c r="CT36" t="s">
        <v>111</v>
      </c>
      <c r="CU36">
        <v>0</v>
      </c>
      <c r="CV36" t="s">
        <v>111</v>
      </c>
      <c r="CW36" t="s">
        <v>111</v>
      </c>
      <c r="CX36" t="s">
        <v>111</v>
      </c>
      <c r="CY36">
        <v>0</v>
      </c>
      <c r="CZ36" t="s">
        <v>111</v>
      </c>
      <c r="DA36" t="s">
        <v>111</v>
      </c>
      <c r="DB36" t="s">
        <v>240</v>
      </c>
      <c r="DC36" t="s">
        <v>266</v>
      </c>
    </row>
    <row r="37" spans="1:107">
      <c r="A37">
        <v>562</v>
      </c>
      <c r="B37" t="s">
        <v>162</v>
      </c>
      <c r="C37" t="s">
        <v>267</v>
      </c>
      <c r="D37" t="s">
        <v>268</v>
      </c>
      <c r="E37" t="s">
        <v>269</v>
      </c>
      <c r="F37" t="s">
        <v>270</v>
      </c>
      <c r="G37" t="s">
        <v>177</v>
      </c>
      <c r="H37">
        <v>2</v>
      </c>
      <c r="I37">
        <v>60</v>
      </c>
      <c r="J37">
        <v>0</v>
      </c>
      <c r="K37">
        <v>0</v>
      </c>
      <c r="L37" t="s">
        <v>112</v>
      </c>
      <c r="M37" t="s">
        <v>138</v>
      </c>
      <c r="N37">
        <v>0</v>
      </c>
      <c r="O37">
        <v>0</v>
      </c>
      <c r="P37" t="s">
        <v>138</v>
      </c>
      <c r="Q37">
        <v>30</v>
      </c>
      <c r="R37">
        <v>0</v>
      </c>
      <c r="S37">
        <v>0</v>
      </c>
      <c r="T37">
        <v>0</v>
      </c>
      <c r="U37" t="s">
        <v>153</v>
      </c>
      <c r="V37">
        <v>0</v>
      </c>
      <c r="W37">
        <v>0</v>
      </c>
      <c r="X37">
        <v>1</v>
      </c>
      <c r="Y37">
        <v>0</v>
      </c>
      <c r="Z37" t="s">
        <v>271</v>
      </c>
      <c r="AA37">
        <v>0</v>
      </c>
      <c r="AB37" t="s">
        <v>111</v>
      </c>
      <c r="AC37">
        <v>0</v>
      </c>
      <c r="AD37" t="s">
        <v>111</v>
      </c>
      <c r="AE37">
        <v>0</v>
      </c>
      <c r="AF37">
        <v>0</v>
      </c>
      <c r="AG37" t="s">
        <v>111</v>
      </c>
      <c r="AH37" t="s">
        <v>111</v>
      </c>
      <c r="AI37" t="s">
        <v>111</v>
      </c>
      <c r="AJ37" t="s">
        <v>111</v>
      </c>
      <c r="AK37" t="s">
        <v>111</v>
      </c>
      <c r="AL37" t="s">
        <v>111</v>
      </c>
      <c r="AM37">
        <v>0</v>
      </c>
      <c r="AN37">
        <v>0</v>
      </c>
      <c r="AO37">
        <v>0</v>
      </c>
      <c r="AP37" t="s">
        <v>111</v>
      </c>
      <c r="AQ37" t="s">
        <v>111</v>
      </c>
      <c r="AR37" t="s">
        <v>111</v>
      </c>
      <c r="AS37" t="s">
        <v>111</v>
      </c>
      <c r="AT37" t="s">
        <v>111</v>
      </c>
      <c r="AU37" t="s">
        <v>111</v>
      </c>
      <c r="AV37" t="s">
        <v>111</v>
      </c>
      <c r="AW37" t="s">
        <v>111</v>
      </c>
      <c r="AX37" t="s">
        <v>111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111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111</v>
      </c>
      <c r="BM37" t="s">
        <v>111</v>
      </c>
      <c r="BN37" t="s">
        <v>111</v>
      </c>
      <c r="BO37" t="s">
        <v>111</v>
      </c>
      <c r="BP37" t="s">
        <v>111</v>
      </c>
      <c r="BQ37" t="s">
        <v>111</v>
      </c>
      <c r="BR37" t="s">
        <v>111</v>
      </c>
      <c r="BS37" t="s">
        <v>111</v>
      </c>
      <c r="BT37" t="s">
        <v>111</v>
      </c>
      <c r="BU37" t="s">
        <v>111</v>
      </c>
      <c r="BV37" t="s">
        <v>111</v>
      </c>
      <c r="BW37" t="s">
        <v>111</v>
      </c>
      <c r="BX37" t="s">
        <v>111</v>
      </c>
      <c r="BY37" t="s">
        <v>111</v>
      </c>
      <c r="BZ37" t="s">
        <v>111</v>
      </c>
      <c r="CA37" t="s">
        <v>111</v>
      </c>
      <c r="CB37" t="s">
        <v>111</v>
      </c>
      <c r="CC37" t="s">
        <v>111</v>
      </c>
      <c r="CD37" t="s">
        <v>111</v>
      </c>
      <c r="CE37" t="s">
        <v>111</v>
      </c>
      <c r="CF37" t="s">
        <v>111</v>
      </c>
      <c r="CG37" t="s">
        <v>111</v>
      </c>
      <c r="CH37" t="s">
        <v>111</v>
      </c>
      <c r="CI37" t="s">
        <v>111</v>
      </c>
      <c r="CJ37" t="s">
        <v>111</v>
      </c>
      <c r="CK37" t="s">
        <v>111</v>
      </c>
      <c r="CL37" t="s">
        <v>111</v>
      </c>
      <c r="CM37" t="s">
        <v>198</v>
      </c>
      <c r="CN37" t="s">
        <v>128</v>
      </c>
      <c r="CO37" t="s">
        <v>111</v>
      </c>
      <c r="CP37" t="s">
        <v>111</v>
      </c>
      <c r="CQ37">
        <v>0</v>
      </c>
      <c r="CR37">
        <v>0</v>
      </c>
      <c r="CS37">
        <v>0</v>
      </c>
      <c r="CT37" t="s">
        <v>168</v>
      </c>
      <c r="CU37">
        <v>0</v>
      </c>
      <c r="CV37" t="s">
        <v>111</v>
      </c>
      <c r="CW37" t="s">
        <v>111</v>
      </c>
      <c r="CX37" t="s">
        <v>111</v>
      </c>
      <c r="CY37">
        <v>0</v>
      </c>
      <c r="CZ37" t="s">
        <v>111</v>
      </c>
      <c r="DA37" t="s">
        <v>111</v>
      </c>
      <c r="DB37" t="s">
        <v>111</v>
      </c>
      <c r="DC37" t="s">
        <v>111</v>
      </c>
    </row>
    <row r="38" spans="1:107">
      <c r="A38">
        <v>721</v>
      </c>
      <c r="B38" t="s">
        <v>107</v>
      </c>
      <c r="C38" t="s">
        <v>272</v>
      </c>
      <c r="D38" t="s">
        <v>273</v>
      </c>
      <c r="E38" t="s">
        <v>274</v>
      </c>
      <c r="F38" t="s">
        <v>125</v>
      </c>
      <c r="G38" t="s">
        <v>177</v>
      </c>
      <c r="H38">
        <v>1.3</v>
      </c>
      <c r="I38">
        <v>48</v>
      </c>
      <c r="J38">
        <v>13</v>
      </c>
      <c r="K38">
        <v>13</v>
      </c>
      <c r="L38" t="s">
        <v>112</v>
      </c>
      <c r="M38" t="s">
        <v>138</v>
      </c>
      <c r="N38">
        <v>0</v>
      </c>
      <c r="O38">
        <v>0</v>
      </c>
      <c r="P38" t="s">
        <v>111</v>
      </c>
      <c r="Q38">
        <v>35</v>
      </c>
      <c r="R38">
        <v>0</v>
      </c>
      <c r="S38">
        <v>0</v>
      </c>
      <c r="T38">
        <v>0</v>
      </c>
      <c r="U38" t="e">
        <f>- MATERIAL GRAFILADO - DESTINO ALMACEN</f>
        <v>#NAME?</v>
      </c>
      <c r="V38">
        <v>12.5</v>
      </c>
      <c r="W38">
        <v>12.5</v>
      </c>
      <c r="X38">
        <v>0</v>
      </c>
      <c r="Y38">
        <v>0</v>
      </c>
      <c r="Z38" t="s">
        <v>111</v>
      </c>
      <c r="AA38">
        <v>0</v>
      </c>
      <c r="AB38" t="s">
        <v>275</v>
      </c>
      <c r="AC38">
        <v>0</v>
      </c>
      <c r="AD38" t="s">
        <v>111</v>
      </c>
      <c r="AE38">
        <v>0</v>
      </c>
      <c r="AF38">
        <v>0</v>
      </c>
      <c r="AG38" t="s">
        <v>111</v>
      </c>
      <c r="AH38" t="s">
        <v>111</v>
      </c>
      <c r="AI38" t="s">
        <v>111</v>
      </c>
      <c r="AJ38" t="s">
        <v>111</v>
      </c>
      <c r="AK38" t="s">
        <v>111</v>
      </c>
      <c r="AL38" t="s">
        <v>111</v>
      </c>
      <c r="AM38">
        <v>0</v>
      </c>
      <c r="AN38">
        <v>0</v>
      </c>
      <c r="AO38">
        <v>0</v>
      </c>
      <c r="AP38" t="s">
        <v>111</v>
      </c>
      <c r="AQ38" t="s">
        <v>111</v>
      </c>
      <c r="AR38" t="s">
        <v>111</v>
      </c>
      <c r="AS38" t="s">
        <v>111</v>
      </c>
      <c r="AT38" t="s">
        <v>111</v>
      </c>
      <c r="AU38" t="s">
        <v>111</v>
      </c>
      <c r="AV38" t="s">
        <v>111</v>
      </c>
      <c r="AW38" t="s">
        <v>111</v>
      </c>
      <c r="AX38" t="s">
        <v>111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111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111</v>
      </c>
      <c r="BM38" t="s">
        <v>111</v>
      </c>
      <c r="BN38" t="s">
        <v>111</v>
      </c>
      <c r="BO38" t="s">
        <v>111</v>
      </c>
      <c r="BP38" t="s">
        <v>111</v>
      </c>
      <c r="BQ38" t="s">
        <v>111</v>
      </c>
      <c r="BR38" t="s">
        <v>111</v>
      </c>
      <c r="BS38" t="s">
        <v>111</v>
      </c>
      <c r="BT38" t="s">
        <v>111</v>
      </c>
      <c r="BU38" t="s">
        <v>111</v>
      </c>
      <c r="BV38" t="s">
        <v>111</v>
      </c>
      <c r="BW38" t="s">
        <v>111</v>
      </c>
      <c r="BX38" t="s">
        <v>111</v>
      </c>
      <c r="BY38" t="s">
        <v>111</v>
      </c>
      <c r="BZ38" t="s">
        <v>111</v>
      </c>
      <c r="CA38" t="s">
        <v>111</v>
      </c>
      <c r="CB38" t="s">
        <v>111</v>
      </c>
      <c r="CC38" t="s">
        <v>111</v>
      </c>
      <c r="CD38" t="s">
        <v>111</v>
      </c>
      <c r="CE38" t="s">
        <v>111</v>
      </c>
      <c r="CF38" t="s">
        <v>111</v>
      </c>
      <c r="CG38" t="s">
        <v>111</v>
      </c>
      <c r="CH38" t="s">
        <v>111</v>
      </c>
      <c r="CI38" t="s">
        <v>111</v>
      </c>
      <c r="CJ38" t="s">
        <v>111</v>
      </c>
      <c r="CK38" t="s">
        <v>111</v>
      </c>
      <c r="CL38" t="s">
        <v>111</v>
      </c>
      <c r="CM38" t="s">
        <v>127</v>
      </c>
      <c r="CN38" t="s">
        <v>128</v>
      </c>
      <c r="CO38" t="s">
        <v>111</v>
      </c>
      <c r="CP38" t="s">
        <v>111</v>
      </c>
      <c r="CQ38">
        <v>0</v>
      </c>
      <c r="CR38">
        <v>400</v>
      </c>
      <c r="CS38">
        <v>50</v>
      </c>
      <c r="CT38" t="e">
        <f>-DESTINO ALMACEN</f>
        <v>#NAME?</v>
      </c>
      <c r="CU38">
        <v>0</v>
      </c>
      <c r="CV38" t="s">
        <v>111</v>
      </c>
      <c r="CW38" t="s">
        <v>111</v>
      </c>
      <c r="CX38" t="s">
        <v>111</v>
      </c>
      <c r="CY38">
        <v>0</v>
      </c>
      <c r="CZ38" t="s">
        <v>111</v>
      </c>
      <c r="DA38" t="s">
        <v>111</v>
      </c>
      <c r="DB38" t="s">
        <v>111</v>
      </c>
      <c r="DC38" t="s">
        <v>111</v>
      </c>
    </row>
    <row r="39" spans="1:107">
      <c r="A39">
        <v>372</v>
      </c>
      <c r="B39" t="s">
        <v>162</v>
      </c>
      <c r="C39" t="s">
        <v>219</v>
      </c>
      <c r="D39" t="s">
        <v>276</v>
      </c>
      <c r="E39" t="s">
        <v>210</v>
      </c>
      <c r="F39" t="s">
        <v>157</v>
      </c>
      <c r="G39" t="s">
        <v>177</v>
      </c>
      <c r="H39">
        <v>3</v>
      </c>
      <c r="I39">
        <v>60</v>
      </c>
      <c r="J39">
        <v>0</v>
      </c>
      <c r="K39">
        <v>0</v>
      </c>
      <c r="L39" t="s">
        <v>112</v>
      </c>
      <c r="M39" t="s">
        <v>138</v>
      </c>
      <c r="N39">
        <v>0</v>
      </c>
      <c r="O39">
        <v>0</v>
      </c>
      <c r="P39" t="s">
        <v>138</v>
      </c>
      <c r="Q39">
        <v>35</v>
      </c>
      <c r="R39">
        <v>0</v>
      </c>
      <c r="S39">
        <v>0</v>
      </c>
      <c r="T39">
        <v>0</v>
      </c>
      <c r="U39" t="s">
        <v>168</v>
      </c>
      <c r="V39">
        <v>0</v>
      </c>
      <c r="W39">
        <v>0</v>
      </c>
      <c r="X39">
        <v>1</v>
      </c>
      <c r="Y39">
        <v>0</v>
      </c>
      <c r="Z39" t="s">
        <v>111</v>
      </c>
      <c r="AA39">
        <v>0</v>
      </c>
      <c r="AB39" t="s">
        <v>111</v>
      </c>
      <c r="AC39">
        <v>0</v>
      </c>
      <c r="AD39" t="s">
        <v>111</v>
      </c>
      <c r="AE39">
        <v>0</v>
      </c>
      <c r="AF39">
        <v>0</v>
      </c>
      <c r="AG39" t="s">
        <v>111</v>
      </c>
      <c r="AH39" t="s">
        <v>111</v>
      </c>
      <c r="AI39" t="s">
        <v>111</v>
      </c>
      <c r="AJ39" t="s">
        <v>111</v>
      </c>
      <c r="AK39" t="s">
        <v>111</v>
      </c>
      <c r="AL39" t="s">
        <v>111</v>
      </c>
      <c r="AM39">
        <v>0</v>
      </c>
      <c r="AN39">
        <v>0</v>
      </c>
      <c r="AO39">
        <v>0</v>
      </c>
      <c r="AP39" t="s">
        <v>111</v>
      </c>
      <c r="AQ39" t="s">
        <v>111</v>
      </c>
      <c r="AR39" t="s">
        <v>111</v>
      </c>
      <c r="AS39" t="s">
        <v>111</v>
      </c>
      <c r="AT39" t="s">
        <v>111</v>
      </c>
      <c r="AU39" t="s">
        <v>111</v>
      </c>
      <c r="AV39" t="s">
        <v>111</v>
      </c>
      <c r="AW39" t="s">
        <v>111</v>
      </c>
      <c r="AX39" t="s">
        <v>111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111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111</v>
      </c>
      <c r="BM39" t="s">
        <v>111</v>
      </c>
      <c r="BN39" t="s">
        <v>111</v>
      </c>
      <c r="BO39" t="s">
        <v>111</v>
      </c>
      <c r="BP39" t="s">
        <v>111</v>
      </c>
      <c r="BQ39" t="s">
        <v>111</v>
      </c>
      <c r="BR39" t="s">
        <v>111</v>
      </c>
      <c r="BS39" t="s">
        <v>111</v>
      </c>
      <c r="BT39" t="s">
        <v>111</v>
      </c>
      <c r="BU39" t="s">
        <v>111</v>
      </c>
      <c r="BV39" t="s">
        <v>111</v>
      </c>
      <c r="BW39" t="s">
        <v>111</v>
      </c>
      <c r="BX39" t="s">
        <v>111</v>
      </c>
      <c r="BY39" t="s">
        <v>111</v>
      </c>
      <c r="BZ39" t="s">
        <v>111</v>
      </c>
      <c r="CA39" t="s">
        <v>111</v>
      </c>
      <c r="CB39" t="s">
        <v>111</v>
      </c>
      <c r="CC39" t="s">
        <v>111</v>
      </c>
      <c r="CD39" t="s">
        <v>111</v>
      </c>
      <c r="CE39" t="s">
        <v>111</v>
      </c>
      <c r="CF39" t="s">
        <v>111</v>
      </c>
      <c r="CG39" t="s">
        <v>111</v>
      </c>
      <c r="CH39" t="s">
        <v>111</v>
      </c>
      <c r="CI39" t="s">
        <v>111</v>
      </c>
      <c r="CJ39" t="s">
        <v>111</v>
      </c>
      <c r="CK39" t="s">
        <v>111</v>
      </c>
      <c r="CL39" t="s">
        <v>111</v>
      </c>
      <c r="CM39" t="s">
        <v>111</v>
      </c>
      <c r="CN39" t="s">
        <v>111</v>
      </c>
      <c r="CO39" t="s">
        <v>111</v>
      </c>
      <c r="CP39" t="s">
        <v>111</v>
      </c>
      <c r="CQ39">
        <v>0</v>
      </c>
      <c r="CR39">
        <v>0</v>
      </c>
      <c r="CS39">
        <v>0</v>
      </c>
      <c r="CT39" t="s">
        <v>111</v>
      </c>
      <c r="CU39">
        <v>0</v>
      </c>
      <c r="CV39" t="s">
        <v>111</v>
      </c>
      <c r="CW39" t="s">
        <v>111</v>
      </c>
      <c r="CX39" t="s">
        <v>111</v>
      </c>
      <c r="CY39">
        <v>0</v>
      </c>
      <c r="CZ39" t="s">
        <v>111</v>
      </c>
      <c r="DA39" t="s">
        <v>111</v>
      </c>
      <c r="DB39" t="s">
        <v>111</v>
      </c>
      <c r="DC39" t="s">
        <v>111</v>
      </c>
    </row>
    <row r="40" spans="1:107">
      <c r="A40">
        <v>1007</v>
      </c>
      <c r="B40" t="s">
        <v>107</v>
      </c>
      <c r="C40" t="s">
        <v>277</v>
      </c>
      <c r="D40" t="s">
        <v>278</v>
      </c>
      <c r="E40" t="s">
        <v>279</v>
      </c>
      <c r="F40" t="s">
        <v>192</v>
      </c>
      <c r="G40" t="s">
        <v>177</v>
      </c>
      <c r="H40">
        <v>3</v>
      </c>
      <c r="I40">
        <v>100</v>
      </c>
      <c r="J40">
        <v>0</v>
      </c>
      <c r="K40">
        <v>0</v>
      </c>
      <c r="L40" t="s">
        <v>112</v>
      </c>
      <c r="M40" t="s">
        <v>111</v>
      </c>
      <c r="N40">
        <v>0</v>
      </c>
      <c r="O40">
        <v>0</v>
      </c>
      <c r="P40" t="s">
        <v>138</v>
      </c>
      <c r="Q40">
        <v>40</v>
      </c>
      <c r="R40">
        <v>0</v>
      </c>
      <c r="S40">
        <v>0</v>
      </c>
      <c r="T40">
        <v>5</v>
      </c>
      <c r="U40" t="s">
        <v>280</v>
      </c>
      <c r="V40">
        <v>12.5</v>
      </c>
      <c r="W40">
        <v>12.5</v>
      </c>
      <c r="X40">
        <v>0</v>
      </c>
      <c r="Y40">
        <v>0</v>
      </c>
      <c r="Z40" t="s">
        <v>111</v>
      </c>
      <c r="AA40">
        <v>0</v>
      </c>
      <c r="AB40" t="s">
        <v>111</v>
      </c>
      <c r="AC40">
        <v>0</v>
      </c>
      <c r="AD40" t="s">
        <v>111</v>
      </c>
      <c r="AE40">
        <v>0</v>
      </c>
      <c r="AF40">
        <v>0</v>
      </c>
      <c r="AG40" t="s">
        <v>111</v>
      </c>
      <c r="AH40" t="s">
        <v>111</v>
      </c>
      <c r="AI40" t="s">
        <v>111</v>
      </c>
      <c r="AJ40" t="s">
        <v>111</v>
      </c>
      <c r="AK40" t="s">
        <v>111</v>
      </c>
      <c r="AL40" t="s">
        <v>111</v>
      </c>
      <c r="AM40">
        <v>0</v>
      </c>
      <c r="AN40">
        <v>0</v>
      </c>
      <c r="AO40">
        <v>0</v>
      </c>
      <c r="AP40" t="s">
        <v>111</v>
      </c>
      <c r="AQ40" t="s">
        <v>111</v>
      </c>
      <c r="AR40" t="s">
        <v>111</v>
      </c>
      <c r="AS40" t="s">
        <v>111</v>
      </c>
      <c r="AT40" t="s">
        <v>111</v>
      </c>
      <c r="AU40" t="s">
        <v>111</v>
      </c>
      <c r="AV40" t="s">
        <v>111</v>
      </c>
      <c r="AW40" t="s">
        <v>111</v>
      </c>
      <c r="AX40" t="s">
        <v>111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111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111</v>
      </c>
      <c r="BM40" t="s">
        <v>111</v>
      </c>
      <c r="BN40" t="s">
        <v>111</v>
      </c>
      <c r="BO40" t="s">
        <v>111</v>
      </c>
      <c r="BP40" t="s">
        <v>111</v>
      </c>
      <c r="BQ40" t="s">
        <v>111</v>
      </c>
      <c r="BR40" t="s">
        <v>111</v>
      </c>
      <c r="BS40" t="s">
        <v>111</v>
      </c>
      <c r="BT40" t="s">
        <v>111</v>
      </c>
      <c r="BU40" t="s">
        <v>111</v>
      </c>
      <c r="BV40" t="s">
        <v>111</v>
      </c>
      <c r="BW40" t="s">
        <v>111</v>
      </c>
      <c r="BX40" t="s">
        <v>111</v>
      </c>
      <c r="BY40" t="s">
        <v>111</v>
      </c>
      <c r="BZ40" t="s">
        <v>111</v>
      </c>
      <c r="CA40" t="s">
        <v>111</v>
      </c>
      <c r="CB40" t="s">
        <v>111</v>
      </c>
      <c r="CC40" t="s">
        <v>111</v>
      </c>
      <c r="CD40" t="s">
        <v>111</v>
      </c>
      <c r="CE40" t="s">
        <v>111</v>
      </c>
      <c r="CF40" t="s">
        <v>111</v>
      </c>
      <c r="CG40" t="s">
        <v>111</v>
      </c>
      <c r="CH40" t="s">
        <v>111</v>
      </c>
      <c r="CI40" t="s">
        <v>111</v>
      </c>
      <c r="CJ40" t="s">
        <v>111</v>
      </c>
      <c r="CK40" t="s">
        <v>111</v>
      </c>
      <c r="CL40" t="s">
        <v>111</v>
      </c>
      <c r="CM40" t="s">
        <v>111</v>
      </c>
      <c r="CN40" t="s">
        <v>111</v>
      </c>
      <c r="CO40" t="s">
        <v>111</v>
      </c>
      <c r="CP40" t="s">
        <v>111</v>
      </c>
      <c r="CQ40">
        <v>0</v>
      </c>
      <c r="CR40">
        <v>0</v>
      </c>
      <c r="CS40">
        <v>0</v>
      </c>
      <c r="CT40" t="s">
        <v>111</v>
      </c>
      <c r="CU40">
        <v>0</v>
      </c>
      <c r="CV40" t="s">
        <v>111</v>
      </c>
      <c r="CW40" t="s">
        <v>111</v>
      </c>
      <c r="CX40" t="s">
        <v>111</v>
      </c>
      <c r="CY40">
        <v>0</v>
      </c>
      <c r="CZ40" t="s">
        <v>111</v>
      </c>
      <c r="DA40" t="s">
        <v>111</v>
      </c>
      <c r="DB40" t="e">
        <f>-EXTERNO</f>
        <v>#NAME?</v>
      </c>
      <c r="DC40" t="s">
        <v>281</v>
      </c>
    </row>
    <row r="41" spans="1:107">
      <c r="A41">
        <v>1180</v>
      </c>
      <c r="B41" t="s">
        <v>107</v>
      </c>
      <c r="C41" t="s">
        <v>154</v>
      </c>
      <c r="D41" t="s">
        <v>282</v>
      </c>
      <c r="E41" t="s">
        <v>283</v>
      </c>
      <c r="F41" t="s">
        <v>192</v>
      </c>
      <c r="G41" t="s">
        <v>177</v>
      </c>
      <c r="H41">
        <v>1.3</v>
      </c>
      <c r="I41">
        <v>97.5</v>
      </c>
      <c r="J41">
        <v>0</v>
      </c>
      <c r="K41">
        <v>0</v>
      </c>
      <c r="L41" t="s">
        <v>112</v>
      </c>
      <c r="M41" t="s">
        <v>111</v>
      </c>
      <c r="N41">
        <v>0</v>
      </c>
      <c r="O41">
        <v>0</v>
      </c>
      <c r="P41" t="s">
        <v>111</v>
      </c>
      <c r="Q41">
        <v>50</v>
      </c>
      <c r="R41">
        <v>0</v>
      </c>
      <c r="S41">
        <v>0</v>
      </c>
      <c r="T41">
        <v>5</v>
      </c>
      <c r="U41" s="1" t="s">
        <v>284</v>
      </c>
      <c r="V41">
        <v>0</v>
      </c>
      <c r="W41">
        <v>25</v>
      </c>
      <c r="X41">
        <v>0</v>
      </c>
      <c r="Y41">
        <v>0</v>
      </c>
      <c r="Z41" t="s">
        <v>111</v>
      </c>
      <c r="AA41">
        <v>0</v>
      </c>
      <c r="AB41" t="s">
        <v>111</v>
      </c>
      <c r="AC41">
        <v>0</v>
      </c>
      <c r="AD41" t="s">
        <v>111</v>
      </c>
      <c r="AE41">
        <v>0</v>
      </c>
      <c r="AF41">
        <v>0</v>
      </c>
      <c r="AG41" t="s">
        <v>111</v>
      </c>
      <c r="AH41" t="s">
        <v>111</v>
      </c>
      <c r="AI41" t="s">
        <v>111</v>
      </c>
      <c r="AJ41" t="s">
        <v>111</v>
      </c>
      <c r="AK41" t="s">
        <v>111</v>
      </c>
      <c r="AL41" t="s">
        <v>111</v>
      </c>
      <c r="AM41">
        <v>0</v>
      </c>
      <c r="AN41">
        <v>0</v>
      </c>
      <c r="AO41">
        <v>0</v>
      </c>
      <c r="AP41" t="s">
        <v>111</v>
      </c>
      <c r="AQ41" t="s">
        <v>111</v>
      </c>
      <c r="AR41" t="s">
        <v>111</v>
      </c>
      <c r="AS41" t="s">
        <v>111</v>
      </c>
      <c r="AT41" t="s">
        <v>111</v>
      </c>
      <c r="AU41" t="s">
        <v>111</v>
      </c>
      <c r="AV41" t="s">
        <v>111</v>
      </c>
      <c r="AW41" t="s">
        <v>111</v>
      </c>
      <c r="AX41" t="s">
        <v>111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111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111</v>
      </c>
      <c r="BM41" t="s">
        <v>111</v>
      </c>
      <c r="BN41" t="s">
        <v>111</v>
      </c>
      <c r="BO41" t="s">
        <v>111</v>
      </c>
      <c r="BP41" t="s">
        <v>111</v>
      </c>
      <c r="BQ41" t="s">
        <v>111</v>
      </c>
      <c r="BR41" t="s">
        <v>111</v>
      </c>
      <c r="BS41" t="s">
        <v>111</v>
      </c>
      <c r="BT41" t="s">
        <v>111</v>
      </c>
      <c r="BU41" t="s">
        <v>111</v>
      </c>
      <c r="BV41" t="s">
        <v>111</v>
      </c>
      <c r="BW41" t="s">
        <v>111</v>
      </c>
      <c r="BX41" t="s">
        <v>111</v>
      </c>
      <c r="BY41" t="s">
        <v>111</v>
      </c>
      <c r="BZ41" t="s">
        <v>111</v>
      </c>
      <c r="CA41" t="s">
        <v>111</v>
      </c>
      <c r="CB41" t="s">
        <v>111</v>
      </c>
      <c r="CC41" t="s">
        <v>111</v>
      </c>
      <c r="CD41" t="s">
        <v>111</v>
      </c>
      <c r="CE41" t="s">
        <v>111</v>
      </c>
      <c r="CF41" t="s">
        <v>111</v>
      </c>
      <c r="CG41" t="s">
        <v>111</v>
      </c>
      <c r="CH41" t="s">
        <v>111</v>
      </c>
      <c r="CI41" t="s">
        <v>111</v>
      </c>
      <c r="CJ41" t="s">
        <v>111</v>
      </c>
      <c r="CK41" t="s">
        <v>111</v>
      </c>
      <c r="CL41" t="s">
        <v>111</v>
      </c>
      <c r="CM41" t="s">
        <v>111</v>
      </c>
      <c r="CN41" t="s">
        <v>111</v>
      </c>
      <c r="CO41" t="s">
        <v>111</v>
      </c>
      <c r="CP41" t="s">
        <v>111</v>
      </c>
      <c r="CQ41">
        <v>0</v>
      </c>
      <c r="CR41">
        <v>0</v>
      </c>
      <c r="CS41">
        <v>0</v>
      </c>
      <c r="CT41" t="s">
        <v>111</v>
      </c>
      <c r="CU41">
        <v>0</v>
      </c>
      <c r="CV41" t="s">
        <v>111</v>
      </c>
      <c r="CW41" t="s">
        <v>111</v>
      </c>
      <c r="CX41" t="s">
        <v>111</v>
      </c>
      <c r="CY41">
        <v>0</v>
      </c>
      <c r="CZ41" t="s">
        <v>111</v>
      </c>
      <c r="DA41" t="s">
        <v>111</v>
      </c>
      <c r="DB41" t="e">
        <f>-EXTERNO</f>
        <v>#NAME?</v>
      </c>
      <c r="DC41" t="s">
        <v>281</v>
      </c>
    </row>
    <row r="42" spans="1:107">
      <c r="A42">
        <v>385</v>
      </c>
      <c r="B42" t="s">
        <v>162</v>
      </c>
      <c r="C42" t="s">
        <v>122</v>
      </c>
      <c r="D42" t="s">
        <v>285</v>
      </c>
      <c r="E42" t="s">
        <v>286</v>
      </c>
      <c r="F42" t="s">
        <v>287</v>
      </c>
      <c r="G42" t="s">
        <v>177</v>
      </c>
      <c r="H42">
        <v>0.5</v>
      </c>
      <c r="I42">
        <v>40</v>
      </c>
      <c r="J42">
        <v>0</v>
      </c>
      <c r="K42">
        <v>0</v>
      </c>
      <c r="L42" t="s">
        <v>112</v>
      </c>
      <c r="M42" t="s">
        <v>138</v>
      </c>
      <c r="N42">
        <v>0</v>
      </c>
      <c r="O42">
        <v>0</v>
      </c>
      <c r="P42" t="s">
        <v>138</v>
      </c>
      <c r="Q42">
        <v>25</v>
      </c>
      <c r="R42">
        <v>0</v>
      </c>
      <c r="S42">
        <v>0</v>
      </c>
      <c r="T42">
        <v>0</v>
      </c>
      <c r="U42" t="s">
        <v>153</v>
      </c>
      <c r="V42">
        <v>0</v>
      </c>
      <c r="W42">
        <v>0</v>
      </c>
      <c r="X42">
        <v>1</v>
      </c>
      <c r="Y42">
        <v>0</v>
      </c>
      <c r="Z42" t="s">
        <v>288</v>
      </c>
      <c r="AA42">
        <v>0</v>
      </c>
      <c r="AB42" t="s">
        <v>111</v>
      </c>
      <c r="AC42">
        <v>0</v>
      </c>
      <c r="AD42" t="s">
        <v>111</v>
      </c>
      <c r="AE42">
        <v>0</v>
      </c>
      <c r="AF42">
        <v>0</v>
      </c>
      <c r="AG42" t="s">
        <v>111</v>
      </c>
      <c r="AH42" t="s">
        <v>111</v>
      </c>
      <c r="AI42" t="s">
        <v>111</v>
      </c>
      <c r="AJ42" t="s">
        <v>111</v>
      </c>
      <c r="AK42" t="s">
        <v>111</v>
      </c>
      <c r="AL42" t="s">
        <v>111</v>
      </c>
      <c r="AM42">
        <v>0</v>
      </c>
      <c r="AN42">
        <v>0</v>
      </c>
      <c r="AO42">
        <v>0</v>
      </c>
      <c r="AP42" t="s">
        <v>111</v>
      </c>
      <c r="AQ42" t="s">
        <v>111</v>
      </c>
      <c r="AR42" t="s">
        <v>111</v>
      </c>
      <c r="AS42" t="s">
        <v>111</v>
      </c>
      <c r="AT42" t="s">
        <v>111</v>
      </c>
      <c r="AU42" t="s">
        <v>111</v>
      </c>
      <c r="AV42" t="s">
        <v>111</v>
      </c>
      <c r="AW42" t="s">
        <v>111</v>
      </c>
      <c r="AX42" t="s">
        <v>111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111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111</v>
      </c>
      <c r="BM42" t="s">
        <v>111</v>
      </c>
      <c r="BN42" t="s">
        <v>111</v>
      </c>
      <c r="BO42" t="s">
        <v>111</v>
      </c>
      <c r="BP42" t="s">
        <v>111</v>
      </c>
      <c r="BQ42" t="s">
        <v>111</v>
      </c>
      <c r="BR42" t="s">
        <v>111</v>
      </c>
      <c r="BS42" t="s">
        <v>111</v>
      </c>
      <c r="BT42" t="s">
        <v>111</v>
      </c>
      <c r="BU42" t="s">
        <v>111</v>
      </c>
      <c r="BV42" t="s">
        <v>111</v>
      </c>
      <c r="BW42" t="s">
        <v>111</v>
      </c>
      <c r="BX42" t="s">
        <v>111</v>
      </c>
      <c r="BY42" t="s">
        <v>111</v>
      </c>
      <c r="BZ42" t="s">
        <v>111</v>
      </c>
      <c r="CA42" t="s">
        <v>111</v>
      </c>
      <c r="CB42" t="s">
        <v>111</v>
      </c>
      <c r="CC42" t="s">
        <v>111</v>
      </c>
      <c r="CD42" t="s">
        <v>111</v>
      </c>
      <c r="CE42" t="s">
        <v>111</v>
      </c>
      <c r="CF42" t="s">
        <v>111</v>
      </c>
      <c r="CG42" t="s">
        <v>111</v>
      </c>
      <c r="CH42" t="s">
        <v>111</v>
      </c>
      <c r="CI42" t="s">
        <v>111</v>
      </c>
      <c r="CJ42" t="s">
        <v>111</v>
      </c>
      <c r="CK42" t="s">
        <v>111</v>
      </c>
      <c r="CL42" t="s">
        <v>111</v>
      </c>
      <c r="CM42" t="s">
        <v>198</v>
      </c>
      <c r="CN42" t="s">
        <v>128</v>
      </c>
      <c r="CO42" t="s">
        <v>111</v>
      </c>
      <c r="CP42" t="s">
        <v>111</v>
      </c>
      <c r="CQ42">
        <v>0</v>
      </c>
      <c r="CR42">
        <v>0</v>
      </c>
      <c r="CS42">
        <v>0</v>
      </c>
      <c r="CT42" t="s">
        <v>168</v>
      </c>
      <c r="CU42">
        <v>0</v>
      </c>
      <c r="CV42" t="s">
        <v>111</v>
      </c>
      <c r="CW42" t="s">
        <v>111</v>
      </c>
      <c r="CX42" t="s">
        <v>111</v>
      </c>
      <c r="CY42">
        <v>0</v>
      </c>
      <c r="CZ42" t="s">
        <v>111</v>
      </c>
      <c r="DA42" t="s">
        <v>111</v>
      </c>
      <c r="DB42" t="s">
        <v>111</v>
      </c>
      <c r="DC42" t="s">
        <v>111</v>
      </c>
    </row>
    <row r="43" spans="1:107">
      <c r="A43">
        <v>649</v>
      </c>
      <c r="B43" t="s">
        <v>162</v>
      </c>
      <c r="C43" t="s">
        <v>194</v>
      </c>
      <c r="D43" t="s">
        <v>289</v>
      </c>
      <c r="E43" t="s">
        <v>290</v>
      </c>
      <c r="F43" t="s">
        <v>125</v>
      </c>
      <c r="G43" t="s">
        <v>177</v>
      </c>
      <c r="H43">
        <v>1.5</v>
      </c>
      <c r="I43">
        <v>46</v>
      </c>
      <c r="J43">
        <v>0</v>
      </c>
      <c r="K43">
        <v>0</v>
      </c>
      <c r="L43" t="s">
        <v>112</v>
      </c>
      <c r="M43" t="s">
        <v>138</v>
      </c>
      <c r="N43">
        <v>0</v>
      </c>
      <c r="O43">
        <v>0</v>
      </c>
      <c r="P43" t="s">
        <v>138</v>
      </c>
      <c r="Q43">
        <v>35</v>
      </c>
      <c r="R43">
        <v>0</v>
      </c>
      <c r="S43">
        <v>0</v>
      </c>
      <c r="T43">
        <v>0</v>
      </c>
      <c r="U43" t="s">
        <v>153</v>
      </c>
      <c r="V43">
        <v>0</v>
      </c>
      <c r="W43">
        <v>0</v>
      </c>
      <c r="X43">
        <v>1</v>
      </c>
      <c r="Y43">
        <v>0</v>
      </c>
      <c r="Z43" t="s">
        <v>111</v>
      </c>
      <c r="AA43">
        <v>0</v>
      </c>
      <c r="AB43" t="s">
        <v>111</v>
      </c>
      <c r="AC43">
        <v>0</v>
      </c>
      <c r="AD43" t="s">
        <v>111</v>
      </c>
      <c r="AE43">
        <v>0</v>
      </c>
      <c r="AF43">
        <v>0</v>
      </c>
      <c r="AG43" t="s">
        <v>111</v>
      </c>
      <c r="AH43" t="s">
        <v>111</v>
      </c>
      <c r="AI43" t="s">
        <v>111</v>
      </c>
      <c r="AJ43" t="s">
        <v>111</v>
      </c>
      <c r="AK43" t="s">
        <v>111</v>
      </c>
      <c r="AL43" t="s">
        <v>111</v>
      </c>
      <c r="AM43">
        <v>0</v>
      </c>
      <c r="AN43">
        <v>0</v>
      </c>
      <c r="AO43">
        <v>0</v>
      </c>
      <c r="AP43" t="s">
        <v>111</v>
      </c>
      <c r="AQ43" t="s">
        <v>111</v>
      </c>
      <c r="AR43" t="s">
        <v>111</v>
      </c>
      <c r="AS43" t="s">
        <v>111</v>
      </c>
      <c r="AT43" t="s">
        <v>111</v>
      </c>
      <c r="AU43" t="s">
        <v>111</v>
      </c>
      <c r="AV43" t="s">
        <v>111</v>
      </c>
      <c r="AW43" t="s">
        <v>111</v>
      </c>
      <c r="AX43" t="s">
        <v>111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111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111</v>
      </c>
      <c r="BM43" t="s">
        <v>111</v>
      </c>
      <c r="BN43" t="s">
        <v>111</v>
      </c>
      <c r="BO43" t="s">
        <v>111</v>
      </c>
      <c r="BP43" t="s">
        <v>111</v>
      </c>
      <c r="BQ43" t="s">
        <v>111</v>
      </c>
      <c r="BR43" t="s">
        <v>111</v>
      </c>
      <c r="BS43" t="s">
        <v>111</v>
      </c>
      <c r="BT43" t="s">
        <v>111</v>
      </c>
      <c r="BU43" t="s">
        <v>111</v>
      </c>
      <c r="BV43" t="s">
        <v>111</v>
      </c>
      <c r="BW43" t="s">
        <v>111</v>
      </c>
      <c r="BX43" t="s">
        <v>111</v>
      </c>
      <c r="BY43" t="s">
        <v>111</v>
      </c>
      <c r="BZ43" t="s">
        <v>111</v>
      </c>
      <c r="CA43" t="s">
        <v>111</v>
      </c>
      <c r="CB43" t="s">
        <v>111</v>
      </c>
      <c r="CC43" t="s">
        <v>111</v>
      </c>
      <c r="CD43" t="s">
        <v>111</v>
      </c>
      <c r="CE43" t="s">
        <v>111</v>
      </c>
      <c r="CF43" t="s">
        <v>111</v>
      </c>
      <c r="CG43" t="s">
        <v>111</v>
      </c>
      <c r="CH43" t="s">
        <v>111</v>
      </c>
      <c r="CI43" t="s">
        <v>111</v>
      </c>
      <c r="CJ43" t="s">
        <v>111</v>
      </c>
      <c r="CK43" t="s">
        <v>111</v>
      </c>
      <c r="CL43" t="s">
        <v>111</v>
      </c>
      <c r="CM43" t="s">
        <v>198</v>
      </c>
      <c r="CN43" t="s">
        <v>113</v>
      </c>
      <c r="CO43" t="s">
        <v>111</v>
      </c>
      <c r="CP43" t="s">
        <v>111</v>
      </c>
      <c r="CQ43">
        <v>0</v>
      </c>
      <c r="CR43">
        <v>0</v>
      </c>
      <c r="CS43">
        <v>0</v>
      </c>
      <c r="CT43" t="s">
        <v>168</v>
      </c>
      <c r="CU43">
        <v>0</v>
      </c>
      <c r="CV43" t="s">
        <v>111</v>
      </c>
      <c r="CW43" t="s">
        <v>111</v>
      </c>
      <c r="CX43" t="s">
        <v>111</v>
      </c>
      <c r="CY43">
        <v>0</v>
      </c>
      <c r="CZ43" t="s">
        <v>111</v>
      </c>
      <c r="DA43" t="s">
        <v>111</v>
      </c>
      <c r="DB43" t="s">
        <v>111</v>
      </c>
      <c r="DC43" t="s">
        <v>111</v>
      </c>
    </row>
    <row r="44" spans="1:107">
      <c r="A44">
        <v>383</v>
      </c>
      <c r="B44" t="s">
        <v>162</v>
      </c>
      <c r="C44" t="s">
        <v>122</v>
      </c>
      <c r="D44" t="s">
        <v>291</v>
      </c>
      <c r="E44" t="s">
        <v>292</v>
      </c>
      <c r="F44" t="s">
        <v>293</v>
      </c>
      <c r="G44" t="s">
        <v>177</v>
      </c>
      <c r="H44">
        <v>0.6</v>
      </c>
      <c r="I44">
        <v>40</v>
      </c>
      <c r="J44">
        <v>0</v>
      </c>
      <c r="K44">
        <v>0</v>
      </c>
      <c r="L44" t="s">
        <v>112</v>
      </c>
      <c r="M44" t="s">
        <v>138</v>
      </c>
      <c r="N44">
        <v>0</v>
      </c>
      <c r="O44">
        <v>0</v>
      </c>
      <c r="P44" t="s">
        <v>138</v>
      </c>
      <c r="Q44">
        <v>25</v>
      </c>
      <c r="R44">
        <v>0</v>
      </c>
      <c r="S44">
        <v>0</v>
      </c>
      <c r="T44">
        <v>5</v>
      </c>
      <c r="U44" t="s">
        <v>168</v>
      </c>
      <c r="V44">
        <v>12.5</v>
      </c>
      <c r="W44">
        <v>12.5</v>
      </c>
      <c r="X44">
        <v>0</v>
      </c>
      <c r="Y44">
        <v>0</v>
      </c>
      <c r="Z44" t="s">
        <v>184</v>
      </c>
      <c r="AA44">
        <v>0</v>
      </c>
      <c r="AB44" t="s">
        <v>111</v>
      </c>
      <c r="AC44">
        <v>0</v>
      </c>
      <c r="AD44" t="s">
        <v>111</v>
      </c>
      <c r="AE44">
        <v>0</v>
      </c>
      <c r="AF44">
        <v>0</v>
      </c>
      <c r="AG44" t="s">
        <v>111</v>
      </c>
      <c r="AH44" t="s">
        <v>111</v>
      </c>
      <c r="AI44" t="s">
        <v>111</v>
      </c>
      <c r="AJ44" t="s">
        <v>111</v>
      </c>
      <c r="AK44" t="s">
        <v>111</v>
      </c>
      <c r="AL44" t="s">
        <v>111</v>
      </c>
      <c r="AM44">
        <v>0</v>
      </c>
      <c r="AN44">
        <v>0</v>
      </c>
      <c r="AO44">
        <v>0</v>
      </c>
      <c r="AP44" t="s">
        <v>111</v>
      </c>
      <c r="AQ44" t="s">
        <v>111</v>
      </c>
      <c r="AR44" t="s">
        <v>111</v>
      </c>
      <c r="AS44" t="s">
        <v>111</v>
      </c>
      <c r="AT44" t="s">
        <v>111</v>
      </c>
      <c r="AU44" t="s">
        <v>111</v>
      </c>
      <c r="AV44" t="s">
        <v>111</v>
      </c>
      <c r="AW44" t="s">
        <v>111</v>
      </c>
      <c r="AX44" t="s">
        <v>111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111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111</v>
      </c>
      <c r="BM44" t="s">
        <v>111</v>
      </c>
      <c r="BN44" t="s">
        <v>111</v>
      </c>
      <c r="BO44" t="s">
        <v>111</v>
      </c>
      <c r="BP44" t="s">
        <v>111</v>
      </c>
      <c r="BQ44" t="s">
        <v>111</v>
      </c>
      <c r="BR44" t="s">
        <v>111</v>
      </c>
      <c r="BS44" t="s">
        <v>111</v>
      </c>
      <c r="BT44" t="s">
        <v>111</v>
      </c>
      <c r="BU44" t="s">
        <v>111</v>
      </c>
      <c r="BV44" t="s">
        <v>111</v>
      </c>
      <c r="BW44" t="s">
        <v>111</v>
      </c>
      <c r="BX44" t="s">
        <v>111</v>
      </c>
      <c r="BY44" t="s">
        <v>111</v>
      </c>
      <c r="BZ44" t="s">
        <v>111</v>
      </c>
      <c r="CA44" t="s">
        <v>111</v>
      </c>
      <c r="CB44" t="s">
        <v>111</v>
      </c>
      <c r="CC44" t="s">
        <v>111</v>
      </c>
      <c r="CD44" t="s">
        <v>111</v>
      </c>
      <c r="CE44" t="s">
        <v>111</v>
      </c>
      <c r="CF44" t="s">
        <v>111</v>
      </c>
      <c r="CG44" t="s">
        <v>111</v>
      </c>
      <c r="CH44" t="s">
        <v>111</v>
      </c>
      <c r="CI44" t="s">
        <v>111</v>
      </c>
      <c r="CJ44" t="s">
        <v>111</v>
      </c>
      <c r="CK44" t="s">
        <v>111</v>
      </c>
      <c r="CL44" t="s">
        <v>111</v>
      </c>
      <c r="CM44" t="s">
        <v>198</v>
      </c>
      <c r="CN44" t="s">
        <v>128</v>
      </c>
      <c r="CO44" t="s">
        <v>111</v>
      </c>
      <c r="CP44" t="s">
        <v>111</v>
      </c>
      <c r="CQ44">
        <v>0</v>
      </c>
      <c r="CR44">
        <v>1500</v>
      </c>
      <c r="CS44">
        <v>100</v>
      </c>
      <c r="CT44" t="s">
        <v>111</v>
      </c>
      <c r="CU44">
        <v>0</v>
      </c>
      <c r="CV44" t="s">
        <v>111</v>
      </c>
      <c r="CW44" t="s">
        <v>111</v>
      </c>
      <c r="CX44" t="s">
        <v>111</v>
      </c>
      <c r="CY44">
        <v>0</v>
      </c>
      <c r="CZ44" t="s">
        <v>111</v>
      </c>
      <c r="DA44" t="s">
        <v>111</v>
      </c>
      <c r="DB44" t="s">
        <v>111</v>
      </c>
      <c r="DC44" t="s">
        <v>111</v>
      </c>
    </row>
    <row r="45" spans="1:107">
      <c r="A45">
        <v>1040</v>
      </c>
      <c r="B45" t="s">
        <v>107</v>
      </c>
      <c r="C45" t="s">
        <v>114</v>
      </c>
      <c r="D45" t="s">
        <v>294</v>
      </c>
      <c r="E45" t="s">
        <v>295</v>
      </c>
      <c r="F45" t="s">
        <v>192</v>
      </c>
      <c r="G45" t="s">
        <v>177</v>
      </c>
      <c r="H45">
        <v>4</v>
      </c>
      <c r="I45">
        <v>60</v>
      </c>
      <c r="J45">
        <v>0</v>
      </c>
      <c r="K45">
        <v>0</v>
      </c>
      <c r="L45" t="s">
        <v>112</v>
      </c>
      <c r="M45" t="s">
        <v>111</v>
      </c>
      <c r="N45">
        <v>0</v>
      </c>
      <c r="O45">
        <v>0</v>
      </c>
      <c r="P45" t="s">
        <v>138</v>
      </c>
      <c r="Q45">
        <v>40</v>
      </c>
      <c r="R45">
        <v>0</v>
      </c>
      <c r="S45">
        <v>0</v>
      </c>
      <c r="T45">
        <v>3</v>
      </c>
      <c r="U45" t="s">
        <v>296</v>
      </c>
      <c r="V45">
        <v>0</v>
      </c>
      <c r="W45">
        <v>12.5</v>
      </c>
      <c r="X45">
        <v>12.5</v>
      </c>
      <c r="Y45">
        <v>0</v>
      </c>
      <c r="Z45" t="s">
        <v>111</v>
      </c>
      <c r="AA45">
        <v>0</v>
      </c>
      <c r="AB45" t="s">
        <v>111</v>
      </c>
      <c r="AC45">
        <v>0</v>
      </c>
      <c r="AD45" t="s">
        <v>111</v>
      </c>
      <c r="AE45">
        <v>0</v>
      </c>
      <c r="AF45">
        <v>0</v>
      </c>
      <c r="AG45" t="s">
        <v>111</v>
      </c>
      <c r="AH45" t="s">
        <v>111</v>
      </c>
      <c r="AI45" t="s">
        <v>111</v>
      </c>
      <c r="AJ45" t="s">
        <v>111</v>
      </c>
      <c r="AK45" t="s">
        <v>111</v>
      </c>
      <c r="AL45" t="s">
        <v>111</v>
      </c>
      <c r="AM45">
        <v>0</v>
      </c>
      <c r="AN45">
        <v>0</v>
      </c>
      <c r="AO45">
        <v>0</v>
      </c>
      <c r="AP45" t="s">
        <v>111</v>
      </c>
      <c r="AQ45" t="s">
        <v>111</v>
      </c>
      <c r="AR45" t="s">
        <v>111</v>
      </c>
      <c r="AS45" t="s">
        <v>111</v>
      </c>
      <c r="AT45" t="s">
        <v>111</v>
      </c>
      <c r="AU45" t="s">
        <v>111</v>
      </c>
      <c r="AV45" t="s">
        <v>111</v>
      </c>
      <c r="AW45" t="s">
        <v>111</v>
      </c>
      <c r="AX45" t="s">
        <v>111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111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111</v>
      </c>
      <c r="BM45" t="s">
        <v>111</v>
      </c>
      <c r="BN45" t="s">
        <v>111</v>
      </c>
      <c r="BO45" t="s">
        <v>111</v>
      </c>
      <c r="BP45" t="s">
        <v>111</v>
      </c>
      <c r="BQ45" t="s">
        <v>111</v>
      </c>
      <c r="BR45" t="s">
        <v>111</v>
      </c>
      <c r="BS45" t="s">
        <v>111</v>
      </c>
      <c r="BT45" t="s">
        <v>111</v>
      </c>
      <c r="BU45" t="s">
        <v>111</v>
      </c>
      <c r="BV45" t="s">
        <v>111</v>
      </c>
      <c r="BW45" t="s">
        <v>111</v>
      </c>
      <c r="BX45" t="s">
        <v>111</v>
      </c>
      <c r="BY45" t="s">
        <v>111</v>
      </c>
      <c r="BZ45" t="s">
        <v>111</v>
      </c>
      <c r="CA45" t="s">
        <v>111</v>
      </c>
      <c r="CB45" t="s">
        <v>111</v>
      </c>
      <c r="CC45" t="s">
        <v>111</v>
      </c>
      <c r="CD45" t="s">
        <v>111</v>
      </c>
      <c r="CE45" t="s">
        <v>111</v>
      </c>
      <c r="CF45" t="s">
        <v>111</v>
      </c>
      <c r="CG45" t="s">
        <v>111</v>
      </c>
      <c r="CH45" t="s">
        <v>111</v>
      </c>
      <c r="CI45" t="s">
        <v>111</v>
      </c>
      <c r="CJ45" t="s">
        <v>111</v>
      </c>
      <c r="CK45" t="s">
        <v>111</v>
      </c>
      <c r="CL45" t="s">
        <v>111</v>
      </c>
      <c r="CM45" t="s">
        <v>135</v>
      </c>
      <c r="CN45" t="s">
        <v>128</v>
      </c>
      <c r="CO45" t="s">
        <v>111</v>
      </c>
      <c r="CP45" t="s">
        <v>111</v>
      </c>
      <c r="CQ45">
        <v>0</v>
      </c>
      <c r="CR45">
        <v>1000</v>
      </c>
      <c r="CS45">
        <v>20</v>
      </c>
      <c r="CT45" t="e">
        <f>-DESTINO ALMACEN</f>
        <v>#NAME?</v>
      </c>
      <c r="CU45">
        <v>0</v>
      </c>
      <c r="CV45" t="s">
        <v>111</v>
      </c>
      <c r="CW45" t="s">
        <v>111</v>
      </c>
      <c r="CX45" t="s">
        <v>111</v>
      </c>
      <c r="CY45">
        <v>0</v>
      </c>
      <c r="CZ45" t="s">
        <v>111</v>
      </c>
      <c r="DA45" t="s">
        <v>111</v>
      </c>
      <c r="DB45" t="s">
        <v>111</v>
      </c>
      <c r="DC45" t="s">
        <v>111</v>
      </c>
    </row>
    <row r="46" spans="1:107">
      <c r="A46">
        <v>514</v>
      </c>
      <c r="B46" t="s">
        <v>162</v>
      </c>
      <c r="C46" t="s">
        <v>200</v>
      </c>
      <c r="D46" t="s">
        <v>297</v>
      </c>
      <c r="E46" t="s">
        <v>298</v>
      </c>
      <c r="F46" t="s">
        <v>125</v>
      </c>
      <c r="G46" t="s">
        <v>177</v>
      </c>
      <c r="H46">
        <v>3</v>
      </c>
      <c r="I46">
        <v>51</v>
      </c>
      <c r="J46">
        <v>0</v>
      </c>
      <c r="K46">
        <v>0</v>
      </c>
      <c r="L46" t="s">
        <v>112</v>
      </c>
      <c r="M46" t="s">
        <v>138</v>
      </c>
      <c r="N46">
        <v>0</v>
      </c>
      <c r="O46">
        <v>0</v>
      </c>
      <c r="P46" t="s">
        <v>138</v>
      </c>
      <c r="Q46">
        <v>40</v>
      </c>
      <c r="R46">
        <v>0</v>
      </c>
      <c r="S46">
        <v>0</v>
      </c>
      <c r="T46">
        <v>0</v>
      </c>
      <c r="U46" t="s">
        <v>203</v>
      </c>
      <c r="V46">
        <v>0</v>
      </c>
      <c r="W46">
        <v>0</v>
      </c>
      <c r="X46">
        <v>1</v>
      </c>
      <c r="Y46">
        <v>0</v>
      </c>
      <c r="Z46" t="s">
        <v>111</v>
      </c>
      <c r="AA46">
        <v>0</v>
      </c>
      <c r="AB46" t="s">
        <v>111</v>
      </c>
      <c r="AC46">
        <v>0</v>
      </c>
      <c r="AD46" t="s">
        <v>111</v>
      </c>
      <c r="AE46">
        <v>0</v>
      </c>
      <c r="AF46">
        <v>0</v>
      </c>
      <c r="AG46" t="s">
        <v>111</v>
      </c>
      <c r="AH46" t="s">
        <v>111</v>
      </c>
      <c r="AI46" t="s">
        <v>111</v>
      </c>
      <c r="AJ46" t="s">
        <v>111</v>
      </c>
      <c r="AK46" t="s">
        <v>111</v>
      </c>
      <c r="AL46" t="s">
        <v>111</v>
      </c>
      <c r="AM46">
        <v>0</v>
      </c>
      <c r="AN46">
        <v>0</v>
      </c>
      <c r="AO46">
        <v>0</v>
      </c>
      <c r="AP46" t="s">
        <v>111</v>
      </c>
      <c r="AQ46" t="s">
        <v>111</v>
      </c>
      <c r="AR46" t="s">
        <v>111</v>
      </c>
      <c r="AS46" t="s">
        <v>111</v>
      </c>
      <c r="AT46" t="s">
        <v>111</v>
      </c>
      <c r="AU46" t="s">
        <v>111</v>
      </c>
      <c r="AV46" t="s">
        <v>111</v>
      </c>
      <c r="AW46" t="s">
        <v>111</v>
      </c>
      <c r="AX46" t="s">
        <v>111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111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111</v>
      </c>
      <c r="BM46" t="s">
        <v>111</v>
      </c>
      <c r="BN46" t="s">
        <v>111</v>
      </c>
      <c r="BO46" t="s">
        <v>111</v>
      </c>
      <c r="BP46" t="s">
        <v>111</v>
      </c>
      <c r="BQ46" t="s">
        <v>111</v>
      </c>
      <c r="BR46" t="s">
        <v>111</v>
      </c>
      <c r="BS46" t="s">
        <v>111</v>
      </c>
      <c r="BT46" t="s">
        <v>111</v>
      </c>
      <c r="BU46" t="s">
        <v>111</v>
      </c>
      <c r="BV46" t="s">
        <v>111</v>
      </c>
      <c r="BW46" t="s">
        <v>111</v>
      </c>
      <c r="BX46" t="s">
        <v>111</v>
      </c>
      <c r="BY46" t="s">
        <v>111</v>
      </c>
      <c r="BZ46" t="s">
        <v>111</v>
      </c>
      <c r="CA46" t="s">
        <v>111</v>
      </c>
      <c r="CB46" t="s">
        <v>111</v>
      </c>
      <c r="CC46" t="s">
        <v>111</v>
      </c>
      <c r="CD46" t="s">
        <v>111</v>
      </c>
      <c r="CE46" t="s">
        <v>111</v>
      </c>
      <c r="CF46" t="s">
        <v>111</v>
      </c>
      <c r="CG46" t="s">
        <v>111</v>
      </c>
      <c r="CH46" t="s">
        <v>111</v>
      </c>
      <c r="CI46" t="s">
        <v>111</v>
      </c>
      <c r="CJ46" t="s">
        <v>111</v>
      </c>
      <c r="CK46" t="s">
        <v>111</v>
      </c>
      <c r="CL46" t="s">
        <v>111</v>
      </c>
      <c r="CM46" t="s">
        <v>111</v>
      </c>
      <c r="CN46" t="s">
        <v>111</v>
      </c>
      <c r="CO46" t="s">
        <v>111</v>
      </c>
      <c r="CP46" t="s">
        <v>111</v>
      </c>
      <c r="CQ46">
        <v>0</v>
      </c>
      <c r="CR46">
        <v>0</v>
      </c>
      <c r="CS46">
        <v>0</v>
      </c>
      <c r="CT46" t="s">
        <v>111</v>
      </c>
      <c r="CU46">
        <v>0</v>
      </c>
      <c r="CV46" t="s">
        <v>111</v>
      </c>
      <c r="CW46" t="s">
        <v>111</v>
      </c>
      <c r="CX46" t="s">
        <v>111</v>
      </c>
      <c r="CY46">
        <v>0</v>
      </c>
      <c r="CZ46" t="s">
        <v>111</v>
      </c>
      <c r="DA46" t="s">
        <v>111</v>
      </c>
      <c r="DB46" t="s">
        <v>204</v>
      </c>
      <c r="DC46" s="1" t="s">
        <v>205</v>
      </c>
    </row>
    <row r="47" spans="1:107">
      <c r="A47">
        <v>515</v>
      </c>
      <c r="B47" t="s">
        <v>162</v>
      </c>
      <c r="C47" t="s">
        <v>200</v>
      </c>
      <c r="D47" t="s">
        <v>299</v>
      </c>
      <c r="E47" t="s">
        <v>300</v>
      </c>
      <c r="F47" t="s">
        <v>166</v>
      </c>
      <c r="G47" t="s">
        <v>177</v>
      </c>
      <c r="H47">
        <v>2</v>
      </c>
      <c r="I47">
        <v>28</v>
      </c>
      <c r="J47">
        <v>0</v>
      </c>
      <c r="K47">
        <v>0</v>
      </c>
      <c r="L47" t="s">
        <v>112</v>
      </c>
      <c r="M47" t="s">
        <v>138</v>
      </c>
      <c r="N47">
        <v>0</v>
      </c>
      <c r="O47">
        <v>0</v>
      </c>
      <c r="P47" t="s">
        <v>138</v>
      </c>
      <c r="Q47">
        <v>40</v>
      </c>
      <c r="R47">
        <v>0</v>
      </c>
      <c r="S47">
        <v>0</v>
      </c>
      <c r="T47">
        <v>0</v>
      </c>
      <c r="U47" t="s">
        <v>168</v>
      </c>
      <c r="V47">
        <v>0</v>
      </c>
      <c r="W47">
        <v>0</v>
      </c>
      <c r="X47">
        <v>1</v>
      </c>
      <c r="Y47">
        <v>0</v>
      </c>
      <c r="Z47" t="s">
        <v>111</v>
      </c>
      <c r="AA47">
        <v>0</v>
      </c>
      <c r="AB47" t="s">
        <v>111</v>
      </c>
      <c r="AC47">
        <v>0</v>
      </c>
      <c r="AD47" t="s">
        <v>111</v>
      </c>
      <c r="AE47">
        <v>0</v>
      </c>
      <c r="AF47">
        <v>0</v>
      </c>
      <c r="AG47" t="s">
        <v>111</v>
      </c>
      <c r="AH47" t="s">
        <v>111</v>
      </c>
      <c r="AI47" t="s">
        <v>111</v>
      </c>
      <c r="AJ47" t="s">
        <v>111</v>
      </c>
      <c r="AK47" t="s">
        <v>111</v>
      </c>
      <c r="AL47" t="s">
        <v>111</v>
      </c>
      <c r="AM47">
        <v>0</v>
      </c>
      <c r="AN47">
        <v>0</v>
      </c>
      <c r="AO47">
        <v>0</v>
      </c>
      <c r="AP47" t="s">
        <v>111</v>
      </c>
      <c r="AQ47" t="s">
        <v>111</v>
      </c>
      <c r="AR47" t="s">
        <v>111</v>
      </c>
      <c r="AS47" t="s">
        <v>111</v>
      </c>
      <c r="AT47" t="s">
        <v>111</v>
      </c>
      <c r="AU47" t="s">
        <v>111</v>
      </c>
      <c r="AV47" t="s">
        <v>111</v>
      </c>
      <c r="AW47" t="s">
        <v>111</v>
      </c>
      <c r="AX47" t="s">
        <v>111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111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111</v>
      </c>
      <c r="BM47" t="s">
        <v>111</v>
      </c>
      <c r="BN47" t="s">
        <v>111</v>
      </c>
      <c r="BO47" t="s">
        <v>111</v>
      </c>
      <c r="BP47" t="s">
        <v>111</v>
      </c>
      <c r="BQ47" t="s">
        <v>111</v>
      </c>
      <c r="BR47" t="s">
        <v>111</v>
      </c>
      <c r="BS47" t="s">
        <v>111</v>
      </c>
      <c r="BT47" t="s">
        <v>111</v>
      </c>
      <c r="BU47" t="s">
        <v>111</v>
      </c>
      <c r="BV47" t="s">
        <v>111</v>
      </c>
      <c r="BW47" t="s">
        <v>111</v>
      </c>
      <c r="BX47" t="s">
        <v>111</v>
      </c>
      <c r="BY47" t="s">
        <v>111</v>
      </c>
      <c r="BZ47" t="s">
        <v>111</v>
      </c>
      <c r="CA47" t="s">
        <v>111</v>
      </c>
      <c r="CB47" t="s">
        <v>111</v>
      </c>
      <c r="CC47" t="s">
        <v>111</v>
      </c>
      <c r="CD47" t="s">
        <v>111</v>
      </c>
      <c r="CE47" t="s">
        <v>111</v>
      </c>
      <c r="CF47" t="s">
        <v>111</v>
      </c>
      <c r="CG47" t="s">
        <v>111</v>
      </c>
      <c r="CH47" t="s">
        <v>111</v>
      </c>
      <c r="CI47" t="s">
        <v>111</v>
      </c>
      <c r="CJ47" t="s">
        <v>111</v>
      </c>
      <c r="CK47" t="s">
        <v>111</v>
      </c>
      <c r="CL47" t="s">
        <v>111</v>
      </c>
      <c r="CM47" t="s">
        <v>111</v>
      </c>
      <c r="CN47" t="s">
        <v>111</v>
      </c>
      <c r="CO47" t="s">
        <v>111</v>
      </c>
      <c r="CP47" t="s">
        <v>111</v>
      </c>
      <c r="CQ47">
        <v>0</v>
      </c>
      <c r="CR47">
        <v>0</v>
      </c>
      <c r="CS47">
        <v>0</v>
      </c>
      <c r="CT47" t="s">
        <v>111</v>
      </c>
      <c r="CU47">
        <v>0</v>
      </c>
      <c r="CV47" t="s">
        <v>111</v>
      </c>
      <c r="CW47" t="s">
        <v>111</v>
      </c>
      <c r="CX47" t="s">
        <v>111</v>
      </c>
      <c r="CY47">
        <v>0</v>
      </c>
      <c r="CZ47" t="s">
        <v>111</v>
      </c>
      <c r="DA47" t="s">
        <v>111</v>
      </c>
      <c r="DB47" t="s">
        <v>111</v>
      </c>
      <c r="DC47" t="s">
        <v>111</v>
      </c>
    </row>
    <row r="48" spans="1:107">
      <c r="A48">
        <v>382</v>
      </c>
      <c r="B48" t="s">
        <v>162</v>
      </c>
      <c r="C48" t="s">
        <v>122</v>
      </c>
      <c r="D48" t="s">
        <v>301</v>
      </c>
      <c r="E48" t="s">
        <v>302</v>
      </c>
      <c r="F48" t="s">
        <v>270</v>
      </c>
      <c r="G48" t="s">
        <v>177</v>
      </c>
      <c r="H48">
        <v>0.6</v>
      </c>
      <c r="I48">
        <v>40</v>
      </c>
      <c r="J48">
        <v>0</v>
      </c>
      <c r="K48">
        <v>0</v>
      </c>
      <c r="L48" t="s">
        <v>112</v>
      </c>
      <c r="M48" t="s">
        <v>138</v>
      </c>
      <c r="N48">
        <v>0</v>
      </c>
      <c r="O48">
        <v>0</v>
      </c>
      <c r="P48" t="s">
        <v>138</v>
      </c>
      <c r="Q48">
        <v>25</v>
      </c>
      <c r="R48">
        <v>0</v>
      </c>
      <c r="S48">
        <v>0</v>
      </c>
      <c r="T48">
        <v>0</v>
      </c>
      <c r="U48" t="s">
        <v>153</v>
      </c>
      <c r="V48">
        <v>0</v>
      </c>
      <c r="W48">
        <v>0</v>
      </c>
      <c r="X48">
        <v>1</v>
      </c>
      <c r="Y48">
        <v>0</v>
      </c>
      <c r="Z48" t="s">
        <v>271</v>
      </c>
      <c r="AA48">
        <v>0</v>
      </c>
      <c r="AB48" t="s">
        <v>111</v>
      </c>
      <c r="AC48">
        <v>0</v>
      </c>
      <c r="AD48" t="s">
        <v>111</v>
      </c>
      <c r="AE48">
        <v>0</v>
      </c>
      <c r="AF48">
        <v>0</v>
      </c>
      <c r="AG48" t="s">
        <v>111</v>
      </c>
      <c r="AH48" t="s">
        <v>111</v>
      </c>
      <c r="AI48" t="s">
        <v>111</v>
      </c>
      <c r="AJ48" t="s">
        <v>111</v>
      </c>
      <c r="AK48" t="s">
        <v>111</v>
      </c>
      <c r="AL48" t="s">
        <v>111</v>
      </c>
      <c r="AM48">
        <v>0</v>
      </c>
      <c r="AN48">
        <v>0</v>
      </c>
      <c r="AO48">
        <v>0</v>
      </c>
      <c r="AP48" t="s">
        <v>111</v>
      </c>
      <c r="AQ48" t="s">
        <v>111</v>
      </c>
      <c r="AR48" t="s">
        <v>111</v>
      </c>
      <c r="AS48" t="s">
        <v>111</v>
      </c>
      <c r="AT48" t="s">
        <v>111</v>
      </c>
      <c r="AU48" t="s">
        <v>111</v>
      </c>
      <c r="AV48" t="s">
        <v>111</v>
      </c>
      <c r="AW48" t="s">
        <v>111</v>
      </c>
      <c r="AX48" t="s">
        <v>111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111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111</v>
      </c>
      <c r="BM48" t="s">
        <v>111</v>
      </c>
      <c r="BN48" t="s">
        <v>111</v>
      </c>
      <c r="BO48" t="s">
        <v>111</v>
      </c>
      <c r="BP48" t="s">
        <v>111</v>
      </c>
      <c r="BQ48" t="s">
        <v>111</v>
      </c>
      <c r="BR48" t="s">
        <v>111</v>
      </c>
      <c r="BS48" t="s">
        <v>111</v>
      </c>
      <c r="BT48" t="s">
        <v>111</v>
      </c>
      <c r="BU48" t="s">
        <v>111</v>
      </c>
      <c r="BV48" t="s">
        <v>111</v>
      </c>
      <c r="BW48" t="s">
        <v>111</v>
      </c>
      <c r="BX48" t="s">
        <v>111</v>
      </c>
      <c r="BY48" t="s">
        <v>111</v>
      </c>
      <c r="BZ48" t="s">
        <v>111</v>
      </c>
      <c r="CA48" t="s">
        <v>111</v>
      </c>
      <c r="CB48" t="s">
        <v>111</v>
      </c>
      <c r="CC48" t="s">
        <v>111</v>
      </c>
      <c r="CD48" t="s">
        <v>111</v>
      </c>
      <c r="CE48" t="s">
        <v>111</v>
      </c>
      <c r="CF48" t="s">
        <v>111</v>
      </c>
      <c r="CG48" t="s">
        <v>111</v>
      </c>
      <c r="CH48" t="s">
        <v>111</v>
      </c>
      <c r="CI48" t="s">
        <v>111</v>
      </c>
      <c r="CJ48" t="s">
        <v>111</v>
      </c>
      <c r="CK48" t="s">
        <v>111</v>
      </c>
      <c r="CL48" t="s">
        <v>111</v>
      </c>
      <c r="CM48" t="s">
        <v>198</v>
      </c>
      <c r="CN48" t="s">
        <v>128</v>
      </c>
      <c r="CO48" t="s">
        <v>111</v>
      </c>
      <c r="CP48" t="s">
        <v>111</v>
      </c>
      <c r="CQ48">
        <v>0</v>
      </c>
      <c r="CR48">
        <v>0</v>
      </c>
      <c r="CS48">
        <v>0</v>
      </c>
      <c r="CT48" t="s">
        <v>168</v>
      </c>
      <c r="CU48">
        <v>0</v>
      </c>
      <c r="CV48" t="s">
        <v>111</v>
      </c>
      <c r="CW48" t="s">
        <v>111</v>
      </c>
      <c r="CX48" t="s">
        <v>111</v>
      </c>
      <c r="CY48">
        <v>0</v>
      </c>
      <c r="CZ48" t="s">
        <v>111</v>
      </c>
      <c r="DA48" t="s">
        <v>111</v>
      </c>
      <c r="DB48" t="s">
        <v>111</v>
      </c>
      <c r="DC48" t="s">
        <v>111</v>
      </c>
    </row>
    <row r="49" spans="1:107">
      <c r="A49">
        <v>533</v>
      </c>
      <c r="B49" t="s">
        <v>162</v>
      </c>
      <c r="C49" t="s">
        <v>303</v>
      </c>
      <c r="D49" t="s">
        <v>304</v>
      </c>
      <c r="E49" t="s">
        <v>305</v>
      </c>
      <c r="F49" t="s">
        <v>125</v>
      </c>
      <c r="G49" t="s">
        <v>177</v>
      </c>
      <c r="H49">
        <v>0.5</v>
      </c>
      <c r="I49">
        <v>65</v>
      </c>
      <c r="J49">
        <v>0</v>
      </c>
      <c r="K49">
        <v>0</v>
      </c>
      <c r="L49" t="s">
        <v>112</v>
      </c>
      <c r="M49" t="s">
        <v>138</v>
      </c>
      <c r="N49">
        <v>0</v>
      </c>
      <c r="O49">
        <v>0</v>
      </c>
      <c r="P49" t="s">
        <v>138</v>
      </c>
      <c r="Q49">
        <v>30</v>
      </c>
      <c r="R49">
        <v>0</v>
      </c>
      <c r="S49">
        <v>0</v>
      </c>
      <c r="T49">
        <v>0</v>
      </c>
      <c r="U49" t="s">
        <v>203</v>
      </c>
      <c r="V49">
        <v>0</v>
      </c>
      <c r="W49">
        <v>0</v>
      </c>
      <c r="X49">
        <v>1</v>
      </c>
      <c r="Y49">
        <v>0</v>
      </c>
      <c r="Z49" t="s">
        <v>111</v>
      </c>
      <c r="AA49">
        <v>0</v>
      </c>
      <c r="AB49" t="s">
        <v>111</v>
      </c>
      <c r="AC49">
        <v>0</v>
      </c>
      <c r="AD49" t="s">
        <v>111</v>
      </c>
      <c r="AE49">
        <v>0</v>
      </c>
      <c r="AF49">
        <v>0</v>
      </c>
      <c r="AG49" t="s">
        <v>111</v>
      </c>
      <c r="AH49" t="s">
        <v>111</v>
      </c>
      <c r="AI49" t="s">
        <v>111</v>
      </c>
      <c r="AJ49" t="s">
        <v>111</v>
      </c>
      <c r="AK49" t="s">
        <v>111</v>
      </c>
      <c r="AL49" t="s">
        <v>111</v>
      </c>
      <c r="AM49">
        <v>0</v>
      </c>
      <c r="AN49">
        <v>0</v>
      </c>
      <c r="AO49">
        <v>0</v>
      </c>
      <c r="AP49" t="s">
        <v>111</v>
      </c>
      <c r="AQ49" t="s">
        <v>111</v>
      </c>
      <c r="AR49" t="s">
        <v>111</v>
      </c>
      <c r="AS49" t="s">
        <v>111</v>
      </c>
      <c r="AT49" t="s">
        <v>111</v>
      </c>
      <c r="AU49" t="s">
        <v>111</v>
      </c>
      <c r="AV49" t="s">
        <v>111</v>
      </c>
      <c r="AW49" t="s">
        <v>111</v>
      </c>
      <c r="AX49" t="s">
        <v>111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111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111</v>
      </c>
      <c r="BM49" t="s">
        <v>111</v>
      </c>
      <c r="BN49" t="s">
        <v>111</v>
      </c>
      <c r="BO49" t="s">
        <v>111</v>
      </c>
      <c r="BP49" t="s">
        <v>111</v>
      </c>
      <c r="BQ49" t="s">
        <v>111</v>
      </c>
      <c r="BR49" t="s">
        <v>111</v>
      </c>
      <c r="BS49" t="s">
        <v>111</v>
      </c>
      <c r="BT49" t="s">
        <v>111</v>
      </c>
      <c r="BU49" t="s">
        <v>111</v>
      </c>
      <c r="BV49" t="s">
        <v>111</v>
      </c>
      <c r="BW49" t="s">
        <v>111</v>
      </c>
      <c r="BX49" t="s">
        <v>111</v>
      </c>
      <c r="BY49" t="s">
        <v>111</v>
      </c>
      <c r="BZ49" t="s">
        <v>111</v>
      </c>
      <c r="CA49" t="s">
        <v>111</v>
      </c>
      <c r="CB49" t="s">
        <v>111</v>
      </c>
      <c r="CC49" t="s">
        <v>111</v>
      </c>
      <c r="CD49" t="s">
        <v>111</v>
      </c>
      <c r="CE49" t="s">
        <v>111</v>
      </c>
      <c r="CF49" t="s">
        <v>111</v>
      </c>
      <c r="CG49" t="s">
        <v>111</v>
      </c>
      <c r="CH49" t="s">
        <v>111</v>
      </c>
      <c r="CI49" t="s">
        <v>111</v>
      </c>
      <c r="CJ49" t="s">
        <v>111</v>
      </c>
      <c r="CK49" t="s">
        <v>111</v>
      </c>
      <c r="CL49" t="s">
        <v>111</v>
      </c>
      <c r="CM49" t="s">
        <v>111</v>
      </c>
      <c r="CN49" t="s">
        <v>111</v>
      </c>
      <c r="CO49" t="s">
        <v>111</v>
      </c>
      <c r="CP49" t="s">
        <v>111</v>
      </c>
      <c r="CQ49">
        <v>0</v>
      </c>
      <c r="CR49">
        <v>0</v>
      </c>
      <c r="CS49">
        <v>0</v>
      </c>
      <c r="CT49" t="s">
        <v>111</v>
      </c>
      <c r="CU49">
        <v>0</v>
      </c>
      <c r="CV49" t="s">
        <v>111</v>
      </c>
      <c r="CW49" t="s">
        <v>111</v>
      </c>
      <c r="CX49" t="s">
        <v>111</v>
      </c>
      <c r="CY49">
        <v>0</v>
      </c>
      <c r="CZ49" t="s">
        <v>111</v>
      </c>
      <c r="DA49" t="s">
        <v>111</v>
      </c>
      <c r="DB49" t="s">
        <v>204</v>
      </c>
      <c r="DC49" s="1" t="s">
        <v>306</v>
      </c>
    </row>
    <row r="50" spans="1:107">
      <c r="A50">
        <v>1362</v>
      </c>
      <c r="B50" t="s">
        <v>107</v>
      </c>
      <c r="C50" t="s">
        <v>154</v>
      </c>
      <c r="D50" t="s">
        <v>282</v>
      </c>
      <c r="E50" t="s">
        <v>307</v>
      </c>
      <c r="F50" t="s">
        <v>192</v>
      </c>
      <c r="G50" t="s">
        <v>177</v>
      </c>
      <c r="H50">
        <v>1.3</v>
      </c>
      <c r="I50">
        <v>97.5</v>
      </c>
      <c r="J50">
        <v>0</v>
      </c>
      <c r="K50">
        <v>0</v>
      </c>
      <c r="L50" t="s">
        <v>112</v>
      </c>
      <c r="M50" t="s">
        <v>111</v>
      </c>
      <c r="N50">
        <v>0</v>
      </c>
      <c r="O50">
        <v>0</v>
      </c>
      <c r="P50" t="s">
        <v>111</v>
      </c>
      <c r="Q50">
        <v>80</v>
      </c>
      <c r="R50">
        <v>0</v>
      </c>
      <c r="S50">
        <v>0</v>
      </c>
      <c r="T50">
        <v>5</v>
      </c>
      <c r="U50" t="e">
        <f>-MANUALES</f>
        <v>#NAME?</v>
      </c>
      <c r="V50">
        <v>12.5</v>
      </c>
      <c r="W50">
        <v>12.5</v>
      </c>
      <c r="X50">
        <v>0</v>
      </c>
      <c r="Y50">
        <v>0</v>
      </c>
      <c r="Z50" t="s">
        <v>111</v>
      </c>
      <c r="AA50">
        <v>0</v>
      </c>
      <c r="AB50" t="s">
        <v>193</v>
      </c>
      <c r="AC50">
        <v>250</v>
      </c>
      <c r="AD50" t="s">
        <v>111</v>
      </c>
      <c r="AE50">
        <v>0</v>
      </c>
      <c r="AF50">
        <v>0</v>
      </c>
      <c r="AG50" t="s">
        <v>111</v>
      </c>
      <c r="AH50" t="s">
        <v>111</v>
      </c>
      <c r="AI50" t="s">
        <v>111</v>
      </c>
      <c r="AJ50" t="s">
        <v>111</v>
      </c>
      <c r="AK50" t="s">
        <v>111</v>
      </c>
      <c r="AL50" t="s">
        <v>111</v>
      </c>
      <c r="AM50">
        <v>0</v>
      </c>
      <c r="AN50">
        <v>0</v>
      </c>
      <c r="AO50">
        <v>0</v>
      </c>
      <c r="AP50" t="s">
        <v>111</v>
      </c>
      <c r="AQ50" t="s">
        <v>111</v>
      </c>
      <c r="AR50" t="s">
        <v>111</v>
      </c>
      <c r="AS50" t="s">
        <v>111</v>
      </c>
      <c r="AT50" t="s">
        <v>111</v>
      </c>
      <c r="AU50" t="s">
        <v>111</v>
      </c>
      <c r="AV50" t="s">
        <v>111</v>
      </c>
      <c r="AW50" t="s">
        <v>111</v>
      </c>
      <c r="AX50" t="s">
        <v>111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111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111</v>
      </c>
      <c r="BM50" t="s">
        <v>111</v>
      </c>
      <c r="BN50" t="s">
        <v>111</v>
      </c>
      <c r="BO50" t="s">
        <v>111</v>
      </c>
      <c r="BP50" t="s">
        <v>111</v>
      </c>
      <c r="BQ50" t="s">
        <v>111</v>
      </c>
      <c r="BR50" t="s">
        <v>111</v>
      </c>
      <c r="BS50" t="s">
        <v>111</v>
      </c>
      <c r="BT50" t="s">
        <v>111</v>
      </c>
      <c r="BU50" t="s">
        <v>111</v>
      </c>
      <c r="BV50" t="s">
        <v>111</v>
      </c>
      <c r="BW50" t="s">
        <v>111</v>
      </c>
      <c r="BX50" t="s">
        <v>111</v>
      </c>
      <c r="BY50" t="s">
        <v>111</v>
      </c>
      <c r="BZ50" t="s">
        <v>111</v>
      </c>
      <c r="CA50" t="s">
        <v>111</v>
      </c>
      <c r="CB50" t="s">
        <v>111</v>
      </c>
      <c r="CC50" t="s">
        <v>111</v>
      </c>
      <c r="CD50" t="s">
        <v>111</v>
      </c>
      <c r="CE50" t="s">
        <v>111</v>
      </c>
      <c r="CF50" t="s">
        <v>111</v>
      </c>
      <c r="CG50" t="s">
        <v>111</v>
      </c>
      <c r="CH50" t="s">
        <v>111</v>
      </c>
      <c r="CI50" t="s">
        <v>111</v>
      </c>
      <c r="CJ50" t="s">
        <v>111</v>
      </c>
      <c r="CK50" t="s">
        <v>111</v>
      </c>
      <c r="CL50" t="s">
        <v>111</v>
      </c>
      <c r="CM50" t="s">
        <v>111</v>
      </c>
      <c r="CN50" t="s">
        <v>111</v>
      </c>
      <c r="CO50" t="s">
        <v>111</v>
      </c>
      <c r="CP50" t="s">
        <v>111</v>
      </c>
      <c r="CQ50">
        <v>0</v>
      </c>
      <c r="CR50">
        <v>200</v>
      </c>
      <c r="CS50">
        <v>200</v>
      </c>
      <c r="CT50" t="s">
        <v>111</v>
      </c>
      <c r="CU50">
        <v>0</v>
      </c>
      <c r="CV50" t="s">
        <v>111</v>
      </c>
      <c r="CW50" t="s">
        <v>111</v>
      </c>
      <c r="CX50" t="s">
        <v>111</v>
      </c>
      <c r="CY50">
        <v>0</v>
      </c>
      <c r="CZ50" t="s">
        <v>111</v>
      </c>
      <c r="DA50" t="s">
        <v>111</v>
      </c>
      <c r="DB50" t="e">
        <f>-INTERNO</f>
        <v>#NAME?</v>
      </c>
      <c r="DC50" t="e">
        <f>-CORTE Y SELLE</f>
        <v>#NAME?</v>
      </c>
    </row>
    <row r="51" spans="1:107">
      <c r="A51">
        <v>522</v>
      </c>
      <c r="B51" t="s">
        <v>162</v>
      </c>
      <c r="C51" t="s">
        <v>219</v>
      </c>
      <c r="D51" t="s">
        <v>308</v>
      </c>
      <c r="E51" t="s">
        <v>309</v>
      </c>
      <c r="F51" t="s">
        <v>125</v>
      </c>
      <c r="G51" t="s">
        <v>177</v>
      </c>
      <c r="H51">
        <v>0.5</v>
      </c>
      <c r="I51">
        <v>43</v>
      </c>
      <c r="J51">
        <v>0</v>
      </c>
      <c r="K51">
        <v>0</v>
      </c>
      <c r="L51" t="s">
        <v>112</v>
      </c>
      <c r="M51" t="s">
        <v>138</v>
      </c>
      <c r="N51">
        <v>0</v>
      </c>
      <c r="O51">
        <v>0</v>
      </c>
      <c r="P51" t="s">
        <v>138</v>
      </c>
      <c r="Q51">
        <v>30</v>
      </c>
      <c r="R51">
        <v>0</v>
      </c>
      <c r="S51">
        <v>0</v>
      </c>
      <c r="T51">
        <v>0</v>
      </c>
      <c r="U51" t="s">
        <v>153</v>
      </c>
      <c r="V51">
        <v>0</v>
      </c>
      <c r="W51">
        <v>0</v>
      </c>
      <c r="X51">
        <v>1</v>
      </c>
      <c r="Y51">
        <v>0</v>
      </c>
      <c r="Z51" t="s">
        <v>111</v>
      </c>
      <c r="AA51">
        <v>0</v>
      </c>
      <c r="AB51" t="s">
        <v>111</v>
      </c>
      <c r="AC51">
        <v>0</v>
      </c>
      <c r="AD51" t="s">
        <v>111</v>
      </c>
      <c r="AE51">
        <v>0</v>
      </c>
      <c r="AF51">
        <v>0</v>
      </c>
      <c r="AG51" t="s">
        <v>111</v>
      </c>
      <c r="AH51" t="s">
        <v>111</v>
      </c>
      <c r="AI51" t="s">
        <v>111</v>
      </c>
      <c r="AJ51" t="s">
        <v>111</v>
      </c>
      <c r="AK51" t="s">
        <v>111</v>
      </c>
      <c r="AL51" t="s">
        <v>111</v>
      </c>
      <c r="AM51">
        <v>0</v>
      </c>
      <c r="AN51">
        <v>0</v>
      </c>
      <c r="AO51">
        <v>0</v>
      </c>
      <c r="AP51" t="s">
        <v>111</v>
      </c>
      <c r="AQ51" t="s">
        <v>111</v>
      </c>
      <c r="AR51" t="s">
        <v>111</v>
      </c>
      <c r="AS51" t="s">
        <v>111</v>
      </c>
      <c r="AT51" t="s">
        <v>111</v>
      </c>
      <c r="AU51" t="s">
        <v>111</v>
      </c>
      <c r="AV51" t="s">
        <v>111</v>
      </c>
      <c r="AW51" t="s">
        <v>111</v>
      </c>
      <c r="AX51" t="s">
        <v>111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111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111</v>
      </c>
      <c r="BM51" t="s">
        <v>111</v>
      </c>
      <c r="BN51" t="s">
        <v>111</v>
      </c>
      <c r="BO51" t="s">
        <v>111</v>
      </c>
      <c r="BP51" t="s">
        <v>111</v>
      </c>
      <c r="BQ51" t="s">
        <v>111</v>
      </c>
      <c r="BR51" t="s">
        <v>111</v>
      </c>
      <c r="BS51" t="s">
        <v>111</v>
      </c>
      <c r="BT51" t="s">
        <v>111</v>
      </c>
      <c r="BU51" t="s">
        <v>111</v>
      </c>
      <c r="BV51" t="s">
        <v>111</v>
      </c>
      <c r="BW51" t="s">
        <v>111</v>
      </c>
      <c r="BX51" t="s">
        <v>111</v>
      </c>
      <c r="BY51" t="s">
        <v>111</v>
      </c>
      <c r="BZ51" t="s">
        <v>111</v>
      </c>
      <c r="CA51" t="s">
        <v>111</v>
      </c>
      <c r="CB51" t="s">
        <v>111</v>
      </c>
      <c r="CC51" t="s">
        <v>111</v>
      </c>
      <c r="CD51" t="s">
        <v>111</v>
      </c>
      <c r="CE51" t="s">
        <v>111</v>
      </c>
      <c r="CF51" t="s">
        <v>111</v>
      </c>
      <c r="CG51" t="s">
        <v>111</v>
      </c>
      <c r="CH51" t="s">
        <v>111</v>
      </c>
      <c r="CI51" t="s">
        <v>111</v>
      </c>
      <c r="CJ51" t="s">
        <v>111</v>
      </c>
      <c r="CK51" t="s">
        <v>111</v>
      </c>
      <c r="CL51" t="s">
        <v>111</v>
      </c>
      <c r="CM51" t="s">
        <v>198</v>
      </c>
      <c r="CN51" t="s">
        <v>113</v>
      </c>
      <c r="CO51" t="s">
        <v>222</v>
      </c>
      <c r="CP51" t="s">
        <v>111</v>
      </c>
      <c r="CQ51">
        <v>0</v>
      </c>
      <c r="CR51">
        <v>0</v>
      </c>
      <c r="CS51">
        <v>0</v>
      </c>
      <c r="CT51" t="s">
        <v>168</v>
      </c>
      <c r="CU51">
        <v>0</v>
      </c>
      <c r="CV51" t="s">
        <v>111</v>
      </c>
      <c r="CW51" t="s">
        <v>111</v>
      </c>
      <c r="CX51" t="s">
        <v>111</v>
      </c>
      <c r="CY51">
        <v>0</v>
      </c>
      <c r="CZ51" t="s">
        <v>111</v>
      </c>
      <c r="DA51" t="s">
        <v>111</v>
      </c>
      <c r="DB51" t="s">
        <v>111</v>
      </c>
      <c r="DC51" t="s">
        <v>111</v>
      </c>
    </row>
    <row r="52" spans="1:107">
      <c r="A52">
        <v>384</v>
      </c>
      <c r="B52" t="s">
        <v>162</v>
      </c>
      <c r="C52" t="s">
        <v>122</v>
      </c>
      <c r="D52" t="s">
        <v>310</v>
      </c>
      <c r="E52" t="s">
        <v>311</v>
      </c>
      <c r="F52" t="s">
        <v>239</v>
      </c>
      <c r="G52" t="s">
        <v>177</v>
      </c>
      <c r="H52">
        <v>0.5</v>
      </c>
      <c r="I52">
        <v>40</v>
      </c>
      <c r="J52">
        <v>0</v>
      </c>
      <c r="K52">
        <v>0</v>
      </c>
      <c r="L52" t="s">
        <v>112</v>
      </c>
      <c r="M52" t="s">
        <v>138</v>
      </c>
      <c r="N52">
        <v>0</v>
      </c>
      <c r="O52">
        <v>0</v>
      </c>
      <c r="P52" t="s">
        <v>138</v>
      </c>
      <c r="Q52">
        <v>25</v>
      </c>
      <c r="R52">
        <v>0</v>
      </c>
      <c r="S52">
        <v>0</v>
      </c>
      <c r="T52">
        <v>0</v>
      </c>
      <c r="U52" t="s">
        <v>153</v>
      </c>
      <c r="V52">
        <v>0</v>
      </c>
      <c r="W52">
        <v>0</v>
      </c>
      <c r="X52">
        <v>1</v>
      </c>
      <c r="Y52">
        <v>0</v>
      </c>
      <c r="Z52" t="s">
        <v>147</v>
      </c>
      <c r="AA52">
        <v>0</v>
      </c>
      <c r="AB52" t="s">
        <v>111</v>
      </c>
      <c r="AC52">
        <v>0</v>
      </c>
      <c r="AD52" t="s">
        <v>111</v>
      </c>
      <c r="AE52">
        <v>0</v>
      </c>
      <c r="AF52">
        <v>0</v>
      </c>
      <c r="AG52" t="s">
        <v>111</v>
      </c>
      <c r="AH52" t="s">
        <v>111</v>
      </c>
      <c r="AI52" t="s">
        <v>111</v>
      </c>
      <c r="AJ52" t="s">
        <v>111</v>
      </c>
      <c r="AK52" t="s">
        <v>111</v>
      </c>
      <c r="AL52" t="s">
        <v>111</v>
      </c>
      <c r="AM52">
        <v>0</v>
      </c>
      <c r="AN52">
        <v>0</v>
      </c>
      <c r="AO52">
        <v>0</v>
      </c>
      <c r="AP52" t="s">
        <v>111</v>
      </c>
      <c r="AQ52" t="s">
        <v>111</v>
      </c>
      <c r="AR52" t="s">
        <v>111</v>
      </c>
      <c r="AS52" t="s">
        <v>111</v>
      </c>
      <c r="AT52" t="s">
        <v>111</v>
      </c>
      <c r="AU52" t="s">
        <v>111</v>
      </c>
      <c r="AV52" t="s">
        <v>111</v>
      </c>
      <c r="AW52" t="s">
        <v>111</v>
      </c>
      <c r="AX52" t="s">
        <v>111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111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111</v>
      </c>
      <c r="BM52" t="s">
        <v>111</v>
      </c>
      <c r="BN52" t="s">
        <v>111</v>
      </c>
      <c r="BO52" t="s">
        <v>111</v>
      </c>
      <c r="BP52" t="s">
        <v>111</v>
      </c>
      <c r="BQ52" t="s">
        <v>111</v>
      </c>
      <c r="BR52" t="s">
        <v>111</v>
      </c>
      <c r="BS52" t="s">
        <v>111</v>
      </c>
      <c r="BT52" t="s">
        <v>111</v>
      </c>
      <c r="BU52" t="s">
        <v>111</v>
      </c>
      <c r="BV52" t="s">
        <v>111</v>
      </c>
      <c r="BW52" t="s">
        <v>111</v>
      </c>
      <c r="BX52" t="s">
        <v>111</v>
      </c>
      <c r="BY52" t="s">
        <v>111</v>
      </c>
      <c r="BZ52" t="s">
        <v>111</v>
      </c>
      <c r="CA52" t="s">
        <v>111</v>
      </c>
      <c r="CB52" t="s">
        <v>111</v>
      </c>
      <c r="CC52" t="s">
        <v>111</v>
      </c>
      <c r="CD52" t="s">
        <v>111</v>
      </c>
      <c r="CE52" t="s">
        <v>111</v>
      </c>
      <c r="CF52" t="s">
        <v>111</v>
      </c>
      <c r="CG52" t="s">
        <v>111</v>
      </c>
      <c r="CH52" t="s">
        <v>111</v>
      </c>
      <c r="CI52" t="s">
        <v>111</v>
      </c>
      <c r="CJ52" t="s">
        <v>111</v>
      </c>
      <c r="CK52" t="s">
        <v>111</v>
      </c>
      <c r="CL52" t="s">
        <v>111</v>
      </c>
      <c r="CM52" t="s">
        <v>198</v>
      </c>
      <c r="CN52" t="s">
        <v>128</v>
      </c>
      <c r="CO52" t="s">
        <v>111</v>
      </c>
      <c r="CP52" t="s">
        <v>111</v>
      </c>
      <c r="CQ52">
        <v>0</v>
      </c>
      <c r="CR52">
        <v>0</v>
      </c>
      <c r="CS52">
        <v>0</v>
      </c>
      <c r="CT52" t="s">
        <v>168</v>
      </c>
      <c r="CU52">
        <v>0</v>
      </c>
      <c r="CV52" t="s">
        <v>111</v>
      </c>
      <c r="CW52" t="s">
        <v>111</v>
      </c>
      <c r="CX52" t="s">
        <v>111</v>
      </c>
      <c r="CY52">
        <v>0</v>
      </c>
      <c r="CZ52" t="s">
        <v>111</v>
      </c>
      <c r="DA52" t="s">
        <v>111</v>
      </c>
      <c r="DB52" t="s">
        <v>111</v>
      </c>
      <c r="DC52" t="s">
        <v>111</v>
      </c>
    </row>
    <row r="53" spans="1:107">
      <c r="A53">
        <v>152</v>
      </c>
      <c r="B53" t="s">
        <v>162</v>
      </c>
      <c r="C53" t="s">
        <v>312</v>
      </c>
      <c r="D53" t="s">
        <v>313</v>
      </c>
      <c r="E53" t="s">
        <v>305</v>
      </c>
      <c r="F53" t="s">
        <v>125</v>
      </c>
      <c r="G53" t="s">
        <v>177</v>
      </c>
      <c r="H53">
        <v>1</v>
      </c>
      <c r="I53">
        <v>61</v>
      </c>
      <c r="J53">
        <v>0</v>
      </c>
      <c r="K53">
        <v>0</v>
      </c>
      <c r="L53" t="s">
        <v>112</v>
      </c>
      <c r="M53" t="s">
        <v>138</v>
      </c>
      <c r="N53">
        <v>0</v>
      </c>
      <c r="O53">
        <v>0</v>
      </c>
      <c r="P53" t="s">
        <v>138</v>
      </c>
      <c r="Q53">
        <v>40</v>
      </c>
      <c r="R53">
        <v>0</v>
      </c>
      <c r="S53">
        <v>0</v>
      </c>
      <c r="T53">
        <v>0</v>
      </c>
      <c r="U53" t="s">
        <v>203</v>
      </c>
      <c r="V53">
        <v>0</v>
      </c>
      <c r="W53">
        <v>0</v>
      </c>
      <c r="X53">
        <v>1</v>
      </c>
      <c r="Y53">
        <v>0</v>
      </c>
      <c r="Z53" t="s">
        <v>111</v>
      </c>
      <c r="AA53">
        <v>0</v>
      </c>
      <c r="AB53" t="s">
        <v>111</v>
      </c>
      <c r="AC53">
        <v>0</v>
      </c>
      <c r="AD53" t="s">
        <v>111</v>
      </c>
      <c r="AE53">
        <v>0</v>
      </c>
      <c r="AF53">
        <v>0</v>
      </c>
      <c r="AG53" t="s">
        <v>111</v>
      </c>
      <c r="AH53" t="s">
        <v>111</v>
      </c>
      <c r="AI53" t="s">
        <v>111</v>
      </c>
      <c r="AJ53" t="s">
        <v>111</v>
      </c>
      <c r="AK53" t="s">
        <v>111</v>
      </c>
      <c r="AL53" t="s">
        <v>111</v>
      </c>
      <c r="AM53">
        <v>0</v>
      </c>
      <c r="AN53">
        <v>0</v>
      </c>
      <c r="AO53">
        <v>0</v>
      </c>
      <c r="AP53" t="s">
        <v>111</v>
      </c>
      <c r="AQ53" t="s">
        <v>111</v>
      </c>
      <c r="AR53" t="s">
        <v>111</v>
      </c>
      <c r="AS53" t="s">
        <v>111</v>
      </c>
      <c r="AT53" t="s">
        <v>111</v>
      </c>
      <c r="AU53" t="s">
        <v>111</v>
      </c>
      <c r="AV53" t="s">
        <v>111</v>
      </c>
      <c r="AW53" t="s">
        <v>111</v>
      </c>
      <c r="AX53" t="s">
        <v>111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111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111</v>
      </c>
      <c r="BM53" t="s">
        <v>111</v>
      </c>
      <c r="BN53" t="s">
        <v>111</v>
      </c>
      <c r="BO53" t="s">
        <v>111</v>
      </c>
      <c r="BP53" t="s">
        <v>111</v>
      </c>
      <c r="BQ53" t="s">
        <v>111</v>
      </c>
      <c r="BR53" t="s">
        <v>111</v>
      </c>
      <c r="BS53" t="s">
        <v>111</v>
      </c>
      <c r="BT53" t="s">
        <v>111</v>
      </c>
      <c r="BU53" t="s">
        <v>111</v>
      </c>
      <c r="BV53" t="s">
        <v>111</v>
      </c>
      <c r="BW53" t="s">
        <v>111</v>
      </c>
      <c r="BX53" t="s">
        <v>111</v>
      </c>
      <c r="BY53" t="s">
        <v>111</v>
      </c>
      <c r="BZ53" t="s">
        <v>111</v>
      </c>
      <c r="CA53" t="s">
        <v>111</v>
      </c>
      <c r="CB53" t="s">
        <v>111</v>
      </c>
      <c r="CC53" t="s">
        <v>111</v>
      </c>
      <c r="CD53" t="s">
        <v>111</v>
      </c>
      <c r="CE53" t="s">
        <v>111</v>
      </c>
      <c r="CF53" t="s">
        <v>111</v>
      </c>
      <c r="CG53" t="s">
        <v>111</v>
      </c>
      <c r="CH53" t="s">
        <v>111</v>
      </c>
      <c r="CI53" t="s">
        <v>111</v>
      </c>
      <c r="CJ53" t="s">
        <v>111</v>
      </c>
      <c r="CK53" t="s">
        <v>111</v>
      </c>
      <c r="CL53" t="s">
        <v>111</v>
      </c>
      <c r="CM53" t="s">
        <v>111</v>
      </c>
      <c r="CN53" t="s">
        <v>111</v>
      </c>
      <c r="CO53" t="s">
        <v>111</v>
      </c>
      <c r="CP53" t="s">
        <v>111</v>
      </c>
      <c r="CQ53">
        <v>0</v>
      </c>
      <c r="CR53">
        <v>0</v>
      </c>
      <c r="CS53">
        <v>0</v>
      </c>
      <c r="CT53" t="s">
        <v>111</v>
      </c>
      <c r="CU53">
        <v>0</v>
      </c>
      <c r="CV53" t="s">
        <v>111</v>
      </c>
      <c r="CW53" t="s">
        <v>111</v>
      </c>
      <c r="CX53" t="s">
        <v>111</v>
      </c>
      <c r="CY53">
        <v>0</v>
      </c>
      <c r="CZ53" t="s">
        <v>111</v>
      </c>
      <c r="DA53" t="s">
        <v>111</v>
      </c>
      <c r="DB53" t="s">
        <v>204</v>
      </c>
      <c r="DC53" s="1" t="s">
        <v>205</v>
      </c>
    </row>
    <row r="54" spans="1:107">
      <c r="A54">
        <v>1455</v>
      </c>
      <c r="B54" t="s">
        <v>107</v>
      </c>
      <c r="C54" t="s">
        <v>154</v>
      </c>
      <c r="D54" t="s">
        <v>206</v>
      </c>
      <c r="E54" t="s">
        <v>314</v>
      </c>
      <c r="F54" t="s">
        <v>157</v>
      </c>
      <c r="G54" t="s">
        <v>177</v>
      </c>
      <c r="H54">
        <v>1.7</v>
      </c>
      <c r="I54">
        <v>105</v>
      </c>
      <c r="J54">
        <v>0</v>
      </c>
      <c r="K54">
        <v>0</v>
      </c>
      <c r="L54" t="s">
        <v>112</v>
      </c>
      <c r="M54" t="s">
        <v>111</v>
      </c>
      <c r="N54">
        <v>0</v>
      </c>
      <c r="O54">
        <v>0</v>
      </c>
      <c r="P54" t="s">
        <v>315</v>
      </c>
      <c r="Q54">
        <v>30</v>
      </c>
      <c r="R54">
        <v>0</v>
      </c>
      <c r="S54">
        <v>0</v>
      </c>
      <c r="T54">
        <v>0</v>
      </c>
      <c r="U54" t="e">
        <f>-ALMACEN</f>
        <v>#NAME?</v>
      </c>
      <c r="V54">
        <v>12.5</v>
      </c>
      <c r="W54">
        <v>0</v>
      </c>
      <c r="X54">
        <v>12.5</v>
      </c>
      <c r="Y54">
        <v>0</v>
      </c>
      <c r="Z54" t="s">
        <v>111</v>
      </c>
      <c r="AA54">
        <v>0</v>
      </c>
      <c r="AB54" t="s">
        <v>208</v>
      </c>
      <c r="AC54">
        <v>0</v>
      </c>
      <c r="AD54" t="s">
        <v>111</v>
      </c>
      <c r="AE54">
        <v>0</v>
      </c>
      <c r="AF54">
        <v>0</v>
      </c>
      <c r="AG54" t="s">
        <v>111</v>
      </c>
      <c r="AH54" t="s">
        <v>111</v>
      </c>
      <c r="AI54" t="s">
        <v>111</v>
      </c>
      <c r="AJ54" t="s">
        <v>111</v>
      </c>
      <c r="AK54" t="s">
        <v>111</v>
      </c>
      <c r="AL54" t="s">
        <v>111</v>
      </c>
      <c r="AM54">
        <v>0</v>
      </c>
      <c r="AN54">
        <v>0</v>
      </c>
      <c r="AO54">
        <v>0</v>
      </c>
      <c r="AP54" t="s">
        <v>111</v>
      </c>
      <c r="AQ54" t="s">
        <v>111</v>
      </c>
      <c r="AR54" t="s">
        <v>111</v>
      </c>
      <c r="AS54" t="s">
        <v>111</v>
      </c>
      <c r="AT54" t="s">
        <v>111</v>
      </c>
      <c r="AU54" t="s">
        <v>111</v>
      </c>
      <c r="AV54" t="s">
        <v>111</v>
      </c>
      <c r="AW54" t="s">
        <v>111</v>
      </c>
      <c r="AX54" t="s">
        <v>111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111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111</v>
      </c>
      <c r="BM54" t="s">
        <v>111</v>
      </c>
      <c r="BN54" t="s">
        <v>111</v>
      </c>
      <c r="BO54" t="s">
        <v>111</v>
      </c>
      <c r="BP54" t="s">
        <v>111</v>
      </c>
      <c r="BQ54" t="s">
        <v>111</v>
      </c>
      <c r="BR54" t="s">
        <v>111</v>
      </c>
      <c r="BS54" t="s">
        <v>111</v>
      </c>
      <c r="BT54" t="s">
        <v>111</v>
      </c>
      <c r="BU54" t="s">
        <v>111</v>
      </c>
      <c r="BV54" t="s">
        <v>111</v>
      </c>
      <c r="BW54" t="s">
        <v>111</v>
      </c>
      <c r="BX54" t="s">
        <v>111</v>
      </c>
      <c r="BY54" t="s">
        <v>111</v>
      </c>
      <c r="BZ54" t="s">
        <v>111</v>
      </c>
      <c r="CA54" t="s">
        <v>111</v>
      </c>
      <c r="CB54" t="s">
        <v>111</v>
      </c>
      <c r="CC54" t="s">
        <v>111</v>
      </c>
      <c r="CD54" t="s">
        <v>111</v>
      </c>
      <c r="CE54" t="s">
        <v>111</v>
      </c>
      <c r="CF54" t="s">
        <v>111</v>
      </c>
      <c r="CG54" t="s">
        <v>111</v>
      </c>
      <c r="CH54" t="s">
        <v>111</v>
      </c>
      <c r="CI54" t="s">
        <v>111</v>
      </c>
      <c r="CJ54" t="s">
        <v>111</v>
      </c>
      <c r="CK54" t="s">
        <v>111</v>
      </c>
      <c r="CL54" t="s">
        <v>111</v>
      </c>
      <c r="CM54" t="s">
        <v>111</v>
      </c>
      <c r="CN54" t="s">
        <v>111</v>
      </c>
      <c r="CO54" t="s">
        <v>111</v>
      </c>
      <c r="CP54" t="s">
        <v>111</v>
      </c>
      <c r="CQ54">
        <v>0</v>
      </c>
      <c r="CR54">
        <v>0</v>
      </c>
      <c r="CS54">
        <v>0</v>
      </c>
      <c r="CT54" t="s">
        <v>111</v>
      </c>
      <c r="CU54">
        <v>0</v>
      </c>
      <c r="CV54" t="s">
        <v>111</v>
      </c>
      <c r="CW54" t="s">
        <v>111</v>
      </c>
      <c r="CX54" t="s">
        <v>111</v>
      </c>
      <c r="CY54">
        <v>0</v>
      </c>
      <c r="CZ54" t="s">
        <v>111</v>
      </c>
      <c r="DA54" t="s">
        <v>111</v>
      </c>
      <c r="DB54" t="s">
        <v>111</v>
      </c>
      <c r="DC54" t="s">
        <v>111</v>
      </c>
    </row>
    <row r="55" spans="1:107">
      <c r="A55">
        <v>714</v>
      </c>
      <c r="B55" t="s">
        <v>107</v>
      </c>
      <c r="C55" t="s">
        <v>154</v>
      </c>
      <c r="D55" t="s">
        <v>282</v>
      </c>
      <c r="E55" t="s">
        <v>316</v>
      </c>
      <c r="F55" t="s">
        <v>192</v>
      </c>
      <c r="G55" t="s">
        <v>177</v>
      </c>
      <c r="H55">
        <v>1.3</v>
      </c>
      <c r="I55">
        <v>98</v>
      </c>
      <c r="J55">
        <v>0</v>
      </c>
      <c r="K55">
        <v>0</v>
      </c>
      <c r="L55" t="s">
        <v>112</v>
      </c>
      <c r="M55" t="s">
        <v>138</v>
      </c>
      <c r="N55">
        <v>0</v>
      </c>
      <c r="O55">
        <v>0</v>
      </c>
      <c r="P55" t="s">
        <v>111</v>
      </c>
      <c r="Q55">
        <v>42</v>
      </c>
      <c r="R55">
        <v>0</v>
      </c>
      <c r="S55">
        <v>0</v>
      </c>
      <c r="T55">
        <v>0</v>
      </c>
      <c r="U55" t="s">
        <v>317</v>
      </c>
      <c r="V55">
        <v>12.5</v>
      </c>
      <c r="W55">
        <v>12.5</v>
      </c>
      <c r="X55">
        <v>0</v>
      </c>
      <c r="Y55">
        <v>0</v>
      </c>
      <c r="Z55" t="s">
        <v>111</v>
      </c>
      <c r="AA55">
        <v>0</v>
      </c>
      <c r="AB55" t="s">
        <v>318</v>
      </c>
      <c r="AC55">
        <v>0</v>
      </c>
      <c r="AD55" t="s">
        <v>111</v>
      </c>
      <c r="AE55">
        <v>0</v>
      </c>
      <c r="AF55">
        <v>0</v>
      </c>
      <c r="AG55" t="s">
        <v>111</v>
      </c>
      <c r="AH55" t="s">
        <v>111</v>
      </c>
      <c r="AI55" t="s">
        <v>111</v>
      </c>
      <c r="AJ55" t="s">
        <v>111</v>
      </c>
      <c r="AK55" t="s">
        <v>111</v>
      </c>
      <c r="AL55" t="s">
        <v>111</v>
      </c>
      <c r="AM55">
        <v>0</v>
      </c>
      <c r="AN55">
        <v>0</v>
      </c>
      <c r="AO55">
        <v>0</v>
      </c>
      <c r="AP55" t="s">
        <v>111</v>
      </c>
      <c r="AQ55" t="s">
        <v>111</v>
      </c>
      <c r="AR55" t="s">
        <v>111</v>
      </c>
      <c r="AS55" t="s">
        <v>111</v>
      </c>
      <c r="AT55" t="s">
        <v>111</v>
      </c>
      <c r="AU55" t="s">
        <v>111</v>
      </c>
      <c r="AV55" t="s">
        <v>111</v>
      </c>
      <c r="AW55" t="s">
        <v>111</v>
      </c>
      <c r="AX55" t="s">
        <v>111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111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111</v>
      </c>
      <c r="BM55" t="s">
        <v>111</v>
      </c>
      <c r="BN55" t="s">
        <v>111</v>
      </c>
      <c r="BO55" t="s">
        <v>111</v>
      </c>
      <c r="BP55" t="s">
        <v>111</v>
      </c>
      <c r="BQ55" t="s">
        <v>111</v>
      </c>
      <c r="BR55" t="s">
        <v>111</v>
      </c>
      <c r="BS55" t="s">
        <v>111</v>
      </c>
      <c r="BT55" t="s">
        <v>111</v>
      </c>
      <c r="BU55" t="s">
        <v>111</v>
      </c>
      <c r="BV55" t="s">
        <v>111</v>
      </c>
      <c r="BW55" t="s">
        <v>111</v>
      </c>
      <c r="BX55" t="s">
        <v>111</v>
      </c>
      <c r="BY55" t="s">
        <v>111</v>
      </c>
      <c r="BZ55" t="s">
        <v>111</v>
      </c>
      <c r="CA55" t="s">
        <v>111</v>
      </c>
      <c r="CB55" t="s">
        <v>111</v>
      </c>
      <c r="CC55" t="s">
        <v>111</v>
      </c>
      <c r="CD55" t="s">
        <v>111</v>
      </c>
      <c r="CE55" t="s">
        <v>111</v>
      </c>
      <c r="CF55" t="s">
        <v>111</v>
      </c>
      <c r="CG55" t="s">
        <v>111</v>
      </c>
      <c r="CH55" t="s">
        <v>111</v>
      </c>
      <c r="CI55" t="s">
        <v>111</v>
      </c>
      <c r="CJ55" t="s">
        <v>111</v>
      </c>
      <c r="CK55" t="s">
        <v>111</v>
      </c>
      <c r="CL55" t="s">
        <v>111</v>
      </c>
      <c r="CM55" t="s">
        <v>111</v>
      </c>
      <c r="CN55" t="s">
        <v>111</v>
      </c>
      <c r="CO55" t="s">
        <v>111</v>
      </c>
      <c r="CP55" t="s">
        <v>111</v>
      </c>
      <c r="CQ55">
        <v>0</v>
      </c>
      <c r="CR55">
        <v>20</v>
      </c>
      <c r="CS55">
        <v>300</v>
      </c>
      <c r="CT55" t="s">
        <v>111</v>
      </c>
      <c r="CU55">
        <v>0</v>
      </c>
      <c r="CV55" t="s">
        <v>111</v>
      </c>
      <c r="CW55" t="s">
        <v>111</v>
      </c>
      <c r="CX55" t="s">
        <v>111</v>
      </c>
      <c r="CY55">
        <v>0</v>
      </c>
      <c r="CZ55" t="s">
        <v>111</v>
      </c>
      <c r="DA55" t="s">
        <v>111</v>
      </c>
      <c r="DB55" t="s">
        <v>240</v>
      </c>
      <c r="DC55" t="s">
        <v>319</v>
      </c>
    </row>
    <row r="56" spans="1:107">
      <c r="A56">
        <v>278</v>
      </c>
      <c r="B56" t="s">
        <v>162</v>
      </c>
      <c r="C56" t="s">
        <v>320</v>
      </c>
      <c r="D56" t="s">
        <v>321</v>
      </c>
      <c r="E56" t="s">
        <v>322</v>
      </c>
      <c r="F56" t="s">
        <v>157</v>
      </c>
      <c r="G56" t="s">
        <v>177</v>
      </c>
      <c r="H56">
        <v>3.5</v>
      </c>
      <c r="I56">
        <v>70</v>
      </c>
      <c r="J56">
        <v>0</v>
      </c>
      <c r="K56">
        <v>0</v>
      </c>
      <c r="L56" t="s">
        <v>112</v>
      </c>
      <c r="M56" t="s">
        <v>138</v>
      </c>
      <c r="N56">
        <v>0</v>
      </c>
      <c r="O56">
        <v>0</v>
      </c>
      <c r="P56" t="s">
        <v>138</v>
      </c>
      <c r="Q56">
        <v>40</v>
      </c>
      <c r="R56">
        <v>0</v>
      </c>
      <c r="S56">
        <v>0</v>
      </c>
      <c r="T56">
        <v>0</v>
      </c>
      <c r="U56" t="s">
        <v>168</v>
      </c>
      <c r="V56">
        <v>0</v>
      </c>
      <c r="W56">
        <v>0</v>
      </c>
      <c r="X56">
        <v>1</v>
      </c>
      <c r="Y56">
        <v>0</v>
      </c>
      <c r="Z56" t="s">
        <v>111</v>
      </c>
      <c r="AA56">
        <v>0</v>
      </c>
      <c r="AB56" t="s">
        <v>111</v>
      </c>
      <c r="AC56">
        <v>0</v>
      </c>
      <c r="AD56" t="s">
        <v>111</v>
      </c>
      <c r="AE56">
        <v>0</v>
      </c>
      <c r="AF56">
        <v>0</v>
      </c>
      <c r="AG56" t="s">
        <v>111</v>
      </c>
      <c r="AH56" t="s">
        <v>111</v>
      </c>
      <c r="AI56" t="s">
        <v>111</v>
      </c>
      <c r="AJ56" t="s">
        <v>111</v>
      </c>
      <c r="AK56" t="s">
        <v>111</v>
      </c>
      <c r="AL56" t="s">
        <v>111</v>
      </c>
      <c r="AM56">
        <v>0</v>
      </c>
      <c r="AN56">
        <v>0</v>
      </c>
      <c r="AO56">
        <v>0</v>
      </c>
      <c r="AP56" t="s">
        <v>111</v>
      </c>
      <c r="AQ56" t="s">
        <v>111</v>
      </c>
      <c r="AR56" t="s">
        <v>111</v>
      </c>
      <c r="AS56" t="s">
        <v>111</v>
      </c>
      <c r="AT56" t="s">
        <v>111</v>
      </c>
      <c r="AU56" t="s">
        <v>111</v>
      </c>
      <c r="AV56" t="s">
        <v>111</v>
      </c>
      <c r="AW56" t="s">
        <v>111</v>
      </c>
      <c r="AX56" t="s">
        <v>111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111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111</v>
      </c>
      <c r="BM56" t="s">
        <v>111</v>
      </c>
      <c r="BN56" t="s">
        <v>111</v>
      </c>
      <c r="BO56" t="s">
        <v>111</v>
      </c>
      <c r="BP56" t="s">
        <v>111</v>
      </c>
      <c r="BQ56" t="s">
        <v>111</v>
      </c>
      <c r="BR56" t="s">
        <v>111</v>
      </c>
      <c r="BS56" t="s">
        <v>111</v>
      </c>
      <c r="BT56" t="s">
        <v>111</v>
      </c>
      <c r="BU56" t="s">
        <v>111</v>
      </c>
      <c r="BV56" t="s">
        <v>111</v>
      </c>
      <c r="BW56" t="s">
        <v>111</v>
      </c>
      <c r="BX56" t="s">
        <v>111</v>
      </c>
      <c r="BY56" t="s">
        <v>111</v>
      </c>
      <c r="BZ56" t="s">
        <v>111</v>
      </c>
      <c r="CA56" t="s">
        <v>111</v>
      </c>
      <c r="CB56" t="s">
        <v>111</v>
      </c>
      <c r="CC56" t="s">
        <v>111</v>
      </c>
      <c r="CD56" t="s">
        <v>111</v>
      </c>
      <c r="CE56" t="s">
        <v>111</v>
      </c>
      <c r="CF56" t="s">
        <v>111</v>
      </c>
      <c r="CG56" t="s">
        <v>111</v>
      </c>
      <c r="CH56" t="s">
        <v>111</v>
      </c>
      <c r="CI56" t="s">
        <v>111</v>
      </c>
      <c r="CJ56" t="s">
        <v>111</v>
      </c>
      <c r="CK56" t="s">
        <v>111</v>
      </c>
      <c r="CL56" t="s">
        <v>111</v>
      </c>
      <c r="CM56" t="s">
        <v>111</v>
      </c>
      <c r="CN56" t="s">
        <v>111</v>
      </c>
      <c r="CO56" t="s">
        <v>111</v>
      </c>
      <c r="CP56" t="s">
        <v>111</v>
      </c>
      <c r="CQ56">
        <v>0</v>
      </c>
      <c r="CR56">
        <v>0</v>
      </c>
      <c r="CS56">
        <v>0</v>
      </c>
      <c r="CT56" t="s">
        <v>111</v>
      </c>
      <c r="CU56">
        <v>0</v>
      </c>
      <c r="CV56" t="s">
        <v>111</v>
      </c>
      <c r="CW56" t="s">
        <v>111</v>
      </c>
      <c r="CX56" t="s">
        <v>111</v>
      </c>
      <c r="CY56">
        <v>0</v>
      </c>
      <c r="CZ56" t="s">
        <v>111</v>
      </c>
      <c r="DA56" t="s">
        <v>111</v>
      </c>
      <c r="DB56" t="s">
        <v>111</v>
      </c>
      <c r="DC56" t="s">
        <v>111</v>
      </c>
    </row>
    <row r="57" spans="1:107">
      <c r="A57">
        <v>692</v>
      </c>
      <c r="B57" t="s">
        <v>162</v>
      </c>
      <c r="C57" t="s">
        <v>163</v>
      </c>
      <c r="D57" t="s">
        <v>323</v>
      </c>
      <c r="E57" t="s">
        <v>324</v>
      </c>
      <c r="F57" t="s">
        <v>125</v>
      </c>
      <c r="G57" t="s">
        <v>177</v>
      </c>
      <c r="H57">
        <v>1</v>
      </c>
      <c r="I57">
        <v>43</v>
      </c>
      <c r="J57">
        <v>0</v>
      </c>
      <c r="K57">
        <v>0</v>
      </c>
      <c r="L57" t="s">
        <v>112</v>
      </c>
      <c r="M57" t="s">
        <v>138</v>
      </c>
      <c r="N57">
        <v>0</v>
      </c>
      <c r="O57">
        <v>0</v>
      </c>
      <c r="P57" t="s">
        <v>138</v>
      </c>
      <c r="Q57">
        <v>30</v>
      </c>
      <c r="R57">
        <v>0</v>
      </c>
      <c r="S57">
        <v>0</v>
      </c>
      <c r="T57">
        <v>0</v>
      </c>
      <c r="U57" t="s">
        <v>153</v>
      </c>
      <c r="V57">
        <v>0</v>
      </c>
      <c r="W57">
        <v>0</v>
      </c>
      <c r="X57">
        <v>1</v>
      </c>
      <c r="Y57">
        <v>0</v>
      </c>
      <c r="Z57" t="s">
        <v>111</v>
      </c>
      <c r="AA57">
        <v>0</v>
      </c>
      <c r="AB57" t="s">
        <v>111</v>
      </c>
      <c r="AC57">
        <v>0</v>
      </c>
      <c r="AD57" t="s">
        <v>111</v>
      </c>
      <c r="AE57">
        <v>0</v>
      </c>
      <c r="AF57">
        <v>0</v>
      </c>
      <c r="AG57" t="s">
        <v>111</v>
      </c>
      <c r="AH57" t="s">
        <v>111</v>
      </c>
      <c r="AI57" t="s">
        <v>111</v>
      </c>
      <c r="AJ57" t="s">
        <v>111</v>
      </c>
      <c r="AK57" t="s">
        <v>111</v>
      </c>
      <c r="AL57" t="s">
        <v>111</v>
      </c>
      <c r="AM57">
        <v>0</v>
      </c>
      <c r="AN57">
        <v>0</v>
      </c>
      <c r="AO57">
        <v>0</v>
      </c>
      <c r="AP57" t="s">
        <v>111</v>
      </c>
      <c r="AQ57" t="s">
        <v>111</v>
      </c>
      <c r="AR57" t="s">
        <v>111</v>
      </c>
      <c r="AS57" t="s">
        <v>111</v>
      </c>
      <c r="AT57" t="s">
        <v>111</v>
      </c>
      <c r="AU57" t="s">
        <v>111</v>
      </c>
      <c r="AV57" t="s">
        <v>111</v>
      </c>
      <c r="AW57" t="s">
        <v>111</v>
      </c>
      <c r="AX57" t="s">
        <v>111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111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111</v>
      </c>
      <c r="BM57" t="s">
        <v>111</v>
      </c>
      <c r="BN57" t="s">
        <v>111</v>
      </c>
      <c r="BO57" t="s">
        <v>111</v>
      </c>
      <c r="BP57" t="s">
        <v>111</v>
      </c>
      <c r="BQ57" t="s">
        <v>111</v>
      </c>
      <c r="BR57" t="s">
        <v>111</v>
      </c>
      <c r="BS57" t="s">
        <v>111</v>
      </c>
      <c r="BT57" t="s">
        <v>111</v>
      </c>
      <c r="BU57" t="s">
        <v>111</v>
      </c>
      <c r="BV57" t="s">
        <v>111</v>
      </c>
      <c r="BW57" t="s">
        <v>111</v>
      </c>
      <c r="BX57" t="s">
        <v>111</v>
      </c>
      <c r="BY57" t="s">
        <v>111</v>
      </c>
      <c r="BZ57" t="s">
        <v>111</v>
      </c>
      <c r="CA57" t="s">
        <v>111</v>
      </c>
      <c r="CB57" t="s">
        <v>111</v>
      </c>
      <c r="CC57" t="s">
        <v>111</v>
      </c>
      <c r="CD57" t="s">
        <v>111</v>
      </c>
      <c r="CE57" t="s">
        <v>111</v>
      </c>
      <c r="CF57" t="s">
        <v>111</v>
      </c>
      <c r="CG57" t="s">
        <v>111</v>
      </c>
      <c r="CH57" t="s">
        <v>111</v>
      </c>
      <c r="CI57" t="s">
        <v>111</v>
      </c>
      <c r="CJ57" t="s">
        <v>111</v>
      </c>
      <c r="CK57" t="s">
        <v>111</v>
      </c>
      <c r="CL57" t="s">
        <v>111</v>
      </c>
      <c r="CM57" t="s">
        <v>198</v>
      </c>
      <c r="CN57" t="s">
        <v>113</v>
      </c>
      <c r="CO57" t="s">
        <v>111</v>
      </c>
      <c r="CP57" t="s">
        <v>111</v>
      </c>
      <c r="CQ57">
        <v>102</v>
      </c>
      <c r="CR57">
        <v>0</v>
      </c>
      <c r="CS57">
        <v>0</v>
      </c>
      <c r="CT57" t="s">
        <v>168</v>
      </c>
      <c r="CU57">
        <v>0</v>
      </c>
      <c r="CV57" t="s">
        <v>111</v>
      </c>
      <c r="CW57" t="s">
        <v>111</v>
      </c>
      <c r="CX57" t="s">
        <v>111</v>
      </c>
      <c r="CY57">
        <v>0</v>
      </c>
      <c r="CZ57" t="s">
        <v>111</v>
      </c>
      <c r="DA57" t="s">
        <v>111</v>
      </c>
      <c r="DB57" t="s">
        <v>111</v>
      </c>
      <c r="DC57" t="s">
        <v>111</v>
      </c>
    </row>
    <row r="58" spans="1:107">
      <c r="A58">
        <v>691</v>
      </c>
      <c r="B58" t="s">
        <v>162</v>
      </c>
      <c r="C58" t="s">
        <v>154</v>
      </c>
      <c r="D58" t="s">
        <v>325</v>
      </c>
      <c r="E58" t="s">
        <v>326</v>
      </c>
      <c r="F58" t="s">
        <v>192</v>
      </c>
      <c r="G58" t="s">
        <v>177</v>
      </c>
      <c r="H58">
        <v>1.6</v>
      </c>
      <c r="I58">
        <v>105</v>
      </c>
      <c r="J58">
        <v>0</v>
      </c>
      <c r="K58">
        <v>0</v>
      </c>
      <c r="L58" t="s">
        <v>112</v>
      </c>
      <c r="M58" t="s">
        <v>138</v>
      </c>
      <c r="N58">
        <v>0</v>
      </c>
      <c r="O58">
        <v>0</v>
      </c>
      <c r="P58" t="s">
        <v>138</v>
      </c>
      <c r="Q58">
        <v>40</v>
      </c>
      <c r="R58">
        <v>0</v>
      </c>
      <c r="S58">
        <v>0</v>
      </c>
      <c r="T58">
        <v>5</v>
      </c>
      <c r="U58" t="s">
        <v>203</v>
      </c>
      <c r="V58">
        <v>12.5</v>
      </c>
      <c r="W58">
        <v>12.5</v>
      </c>
      <c r="X58">
        <v>1</v>
      </c>
      <c r="Y58">
        <v>0</v>
      </c>
      <c r="Z58" t="s">
        <v>111</v>
      </c>
      <c r="AA58">
        <v>0</v>
      </c>
      <c r="AB58" t="s">
        <v>327</v>
      </c>
      <c r="AC58">
        <v>2.5</v>
      </c>
      <c r="AD58" t="s">
        <v>111</v>
      </c>
      <c r="AE58">
        <v>0</v>
      </c>
      <c r="AF58">
        <v>0</v>
      </c>
      <c r="AG58" t="s">
        <v>111</v>
      </c>
      <c r="AH58" t="s">
        <v>111</v>
      </c>
      <c r="AI58" t="s">
        <v>111</v>
      </c>
      <c r="AJ58" t="s">
        <v>111</v>
      </c>
      <c r="AK58" t="s">
        <v>111</v>
      </c>
      <c r="AL58" t="s">
        <v>111</v>
      </c>
      <c r="AM58">
        <v>0</v>
      </c>
      <c r="AN58">
        <v>0</v>
      </c>
      <c r="AO58">
        <v>0</v>
      </c>
      <c r="AP58" t="s">
        <v>111</v>
      </c>
      <c r="AQ58" t="s">
        <v>111</v>
      </c>
      <c r="AR58" t="s">
        <v>111</v>
      </c>
      <c r="AS58" t="s">
        <v>111</v>
      </c>
      <c r="AT58" t="s">
        <v>111</v>
      </c>
      <c r="AU58" t="s">
        <v>111</v>
      </c>
      <c r="AV58" t="s">
        <v>111</v>
      </c>
      <c r="AW58" t="s">
        <v>111</v>
      </c>
      <c r="AX58" t="s">
        <v>111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111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111</v>
      </c>
      <c r="BM58" t="s">
        <v>111</v>
      </c>
      <c r="BN58" t="s">
        <v>111</v>
      </c>
      <c r="BO58" t="s">
        <v>111</v>
      </c>
      <c r="BP58" t="s">
        <v>111</v>
      </c>
      <c r="BQ58" t="s">
        <v>111</v>
      </c>
      <c r="BR58" t="s">
        <v>111</v>
      </c>
      <c r="BS58" t="s">
        <v>111</v>
      </c>
      <c r="BT58" t="s">
        <v>111</v>
      </c>
      <c r="BU58" t="s">
        <v>111</v>
      </c>
      <c r="BV58" t="s">
        <v>111</v>
      </c>
      <c r="BW58" t="s">
        <v>111</v>
      </c>
      <c r="BX58" t="s">
        <v>111</v>
      </c>
      <c r="BY58" t="s">
        <v>111</v>
      </c>
      <c r="BZ58" t="s">
        <v>111</v>
      </c>
      <c r="CA58" t="s">
        <v>111</v>
      </c>
      <c r="CB58" t="s">
        <v>111</v>
      </c>
      <c r="CC58" t="s">
        <v>111</v>
      </c>
      <c r="CD58" t="s">
        <v>111</v>
      </c>
      <c r="CE58" t="s">
        <v>111</v>
      </c>
      <c r="CF58" t="s">
        <v>111</v>
      </c>
      <c r="CG58" t="s">
        <v>111</v>
      </c>
      <c r="CH58" t="s">
        <v>111</v>
      </c>
      <c r="CI58" t="s">
        <v>111</v>
      </c>
      <c r="CJ58" t="s">
        <v>111</v>
      </c>
      <c r="CK58" t="s">
        <v>111</v>
      </c>
      <c r="CL58" t="s">
        <v>111</v>
      </c>
      <c r="CM58" t="s">
        <v>111</v>
      </c>
      <c r="CN58" t="s">
        <v>111</v>
      </c>
      <c r="CO58" t="s">
        <v>111</v>
      </c>
      <c r="CP58" t="s">
        <v>111</v>
      </c>
      <c r="CQ58">
        <v>0</v>
      </c>
      <c r="CR58">
        <v>200</v>
      </c>
      <c r="CS58">
        <v>20</v>
      </c>
      <c r="CT58" t="s">
        <v>111</v>
      </c>
      <c r="CU58">
        <v>0</v>
      </c>
      <c r="CV58" t="s">
        <v>111</v>
      </c>
      <c r="CW58" t="s">
        <v>111</v>
      </c>
      <c r="CX58" t="s">
        <v>111</v>
      </c>
      <c r="CY58">
        <v>0</v>
      </c>
      <c r="CZ58" t="s">
        <v>111</v>
      </c>
      <c r="DA58" t="s">
        <v>111</v>
      </c>
      <c r="DB58" t="s">
        <v>204</v>
      </c>
      <c r="DC58" s="1" t="s">
        <v>205</v>
      </c>
    </row>
    <row r="59" spans="1:107">
      <c r="A59">
        <v>127</v>
      </c>
      <c r="B59" t="s">
        <v>107</v>
      </c>
      <c r="C59" t="s">
        <v>328</v>
      </c>
      <c r="D59" t="s">
        <v>329</v>
      </c>
      <c r="E59" t="s">
        <v>330</v>
      </c>
      <c r="F59" t="s">
        <v>192</v>
      </c>
      <c r="G59" t="s">
        <v>177</v>
      </c>
      <c r="H59">
        <v>1.9</v>
      </c>
      <c r="I59">
        <v>117</v>
      </c>
      <c r="J59">
        <v>0</v>
      </c>
      <c r="K59">
        <v>0</v>
      </c>
      <c r="L59" t="s">
        <v>178</v>
      </c>
      <c r="M59" t="s">
        <v>138</v>
      </c>
      <c r="N59">
        <v>0</v>
      </c>
      <c r="O59">
        <v>0</v>
      </c>
      <c r="P59" t="s">
        <v>138</v>
      </c>
      <c r="Q59">
        <v>40</v>
      </c>
      <c r="R59">
        <v>0</v>
      </c>
      <c r="S59">
        <v>0</v>
      </c>
      <c r="T59">
        <v>0</v>
      </c>
      <c r="U59" t="e">
        <f>-DESTINO SELLOPLAS</f>
        <v>#NAME?</v>
      </c>
      <c r="V59">
        <v>0</v>
      </c>
      <c r="W59">
        <v>25</v>
      </c>
      <c r="X59">
        <v>12.5</v>
      </c>
      <c r="Y59">
        <v>0</v>
      </c>
      <c r="Z59" t="s">
        <v>111</v>
      </c>
      <c r="AA59">
        <v>0</v>
      </c>
      <c r="AB59" t="s">
        <v>111</v>
      </c>
      <c r="AC59">
        <v>0</v>
      </c>
      <c r="AD59" t="s">
        <v>111</v>
      </c>
      <c r="AE59">
        <v>0</v>
      </c>
      <c r="AF59">
        <v>0</v>
      </c>
      <c r="AG59" t="s">
        <v>111</v>
      </c>
      <c r="AH59" t="s">
        <v>111</v>
      </c>
      <c r="AI59" t="s">
        <v>111</v>
      </c>
      <c r="AJ59" t="s">
        <v>111</v>
      </c>
      <c r="AK59" t="s">
        <v>111</v>
      </c>
      <c r="AL59" t="s">
        <v>111</v>
      </c>
      <c r="AM59">
        <v>0</v>
      </c>
      <c r="AN59">
        <v>0</v>
      </c>
      <c r="AO59">
        <v>0</v>
      </c>
      <c r="AP59" t="s">
        <v>111</v>
      </c>
      <c r="AQ59" t="s">
        <v>111</v>
      </c>
      <c r="AR59" t="s">
        <v>111</v>
      </c>
      <c r="AS59" t="s">
        <v>111</v>
      </c>
      <c r="AT59" t="s">
        <v>111</v>
      </c>
      <c r="AU59" t="s">
        <v>111</v>
      </c>
      <c r="AV59" t="s">
        <v>111</v>
      </c>
      <c r="AW59" t="s">
        <v>111</v>
      </c>
      <c r="AX59" t="s">
        <v>111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111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111</v>
      </c>
      <c r="BM59" t="s">
        <v>111</v>
      </c>
      <c r="BN59" t="s">
        <v>111</v>
      </c>
      <c r="BO59" t="s">
        <v>111</v>
      </c>
      <c r="BP59" t="s">
        <v>111</v>
      </c>
      <c r="BQ59" t="s">
        <v>111</v>
      </c>
      <c r="BR59" t="s">
        <v>111</v>
      </c>
      <c r="BS59" t="s">
        <v>111</v>
      </c>
      <c r="BT59" t="s">
        <v>111</v>
      </c>
      <c r="BU59" t="s">
        <v>111</v>
      </c>
      <c r="BV59" t="s">
        <v>111</v>
      </c>
      <c r="BW59" t="s">
        <v>111</v>
      </c>
      <c r="BX59" t="s">
        <v>111</v>
      </c>
      <c r="BY59" t="s">
        <v>111</v>
      </c>
      <c r="BZ59" t="s">
        <v>111</v>
      </c>
      <c r="CA59" t="s">
        <v>111</v>
      </c>
      <c r="CB59" t="s">
        <v>111</v>
      </c>
      <c r="CC59" t="s">
        <v>111</v>
      </c>
      <c r="CD59" t="s">
        <v>111</v>
      </c>
      <c r="CE59" t="s">
        <v>111</v>
      </c>
      <c r="CF59" t="s">
        <v>111</v>
      </c>
      <c r="CG59" t="s">
        <v>111</v>
      </c>
      <c r="CH59" t="s">
        <v>111</v>
      </c>
      <c r="CI59" t="s">
        <v>111</v>
      </c>
      <c r="CJ59" t="s">
        <v>111</v>
      </c>
      <c r="CK59" t="s">
        <v>111</v>
      </c>
      <c r="CL59" t="s">
        <v>111</v>
      </c>
      <c r="CM59" t="s">
        <v>111</v>
      </c>
      <c r="CN59" t="s">
        <v>111</v>
      </c>
      <c r="CO59" t="s">
        <v>111</v>
      </c>
      <c r="CP59" t="s">
        <v>111</v>
      </c>
      <c r="CQ59">
        <v>0</v>
      </c>
      <c r="CR59">
        <v>0</v>
      </c>
      <c r="CS59">
        <v>0</v>
      </c>
      <c r="CT59" t="s">
        <v>111</v>
      </c>
      <c r="CU59">
        <v>0</v>
      </c>
      <c r="CV59" t="s">
        <v>111</v>
      </c>
      <c r="CW59" t="s">
        <v>111</v>
      </c>
      <c r="CX59" t="s">
        <v>111</v>
      </c>
      <c r="CY59">
        <v>0</v>
      </c>
      <c r="CZ59" t="s">
        <v>111</v>
      </c>
      <c r="DA59" t="s">
        <v>111</v>
      </c>
      <c r="DB59" t="s">
        <v>240</v>
      </c>
      <c r="DC59" t="e">
        <f>-CORTE Y SELLE</f>
        <v>#NAME?</v>
      </c>
    </row>
    <row r="60" spans="1:107">
      <c r="A60">
        <v>386</v>
      </c>
      <c r="B60" t="s">
        <v>162</v>
      </c>
      <c r="C60" t="s">
        <v>122</v>
      </c>
      <c r="D60" t="s">
        <v>331</v>
      </c>
      <c r="E60" t="s">
        <v>332</v>
      </c>
      <c r="F60" t="s">
        <v>257</v>
      </c>
      <c r="G60" t="s">
        <v>177</v>
      </c>
      <c r="H60">
        <v>0.5</v>
      </c>
      <c r="I60">
        <v>40</v>
      </c>
      <c r="J60">
        <v>0</v>
      </c>
      <c r="K60">
        <v>0</v>
      </c>
      <c r="L60" t="s">
        <v>112</v>
      </c>
      <c r="M60" t="s">
        <v>138</v>
      </c>
      <c r="N60">
        <v>0</v>
      </c>
      <c r="O60">
        <v>0</v>
      </c>
      <c r="P60" t="s">
        <v>138</v>
      </c>
      <c r="Q60">
        <v>25</v>
      </c>
      <c r="R60">
        <v>0</v>
      </c>
      <c r="S60">
        <v>0</v>
      </c>
      <c r="T60">
        <v>0</v>
      </c>
      <c r="U60" t="s">
        <v>153</v>
      </c>
      <c r="V60">
        <v>0</v>
      </c>
      <c r="W60">
        <v>0</v>
      </c>
      <c r="X60">
        <v>1</v>
      </c>
      <c r="Y60">
        <v>0</v>
      </c>
      <c r="Z60" t="s">
        <v>259</v>
      </c>
      <c r="AA60">
        <v>0</v>
      </c>
      <c r="AB60" t="s">
        <v>111</v>
      </c>
      <c r="AC60">
        <v>0</v>
      </c>
      <c r="AD60" t="s">
        <v>111</v>
      </c>
      <c r="AE60">
        <v>0</v>
      </c>
      <c r="AF60">
        <v>0</v>
      </c>
      <c r="AG60" t="s">
        <v>111</v>
      </c>
      <c r="AH60" t="s">
        <v>111</v>
      </c>
      <c r="AI60" t="s">
        <v>111</v>
      </c>
      <c r="AJ60" t="s">
        <v>111</v>
      </c>
      <c r="AK60" t="s">
        <v>111</v>
      </c>
      <c r="AL60" t="s">
        <v>111</v>
      </c>
      <c r="AM60">
        <v>0</v>
      </c>
      <c r="AN60">
        <v>0</v>
      </c>
      <c r="AO60">
        <v>0</v>
      </c>
      <c r="AP60" t="s">
        <v>111</v>
      </c>
      <c r="AQ60" t="s">
        <v>111</v>
      </c>
      <c r="AR60" t="s">
        <v>111</v>
      </c>
      <c r="AS60" t="s">
        <v>111</v>
      </c>
      <c r="AT60" t="s">
        <v>111</v>
      </c>
      <c r="AU60" t="s">
        <v>111</v>
      </c>
      <c r="AV60" t="s">
        <v>111</v>
      </c>
      <c r="AW60" t="s">
        <v>111</v>
      </c>
      <c r="AX60" t="s">
        <v>111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111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111</v>
      </c>
      <c r="BM60" t="s">
        <v>111</v>
      </c>
      <c r="BN60" t="s">
        <v>111</v>
      </c>
      <c r="BO60" t="s">
        <v>111</v>
      </c>
      <c r="BP60" t="s">
        <v>111</v>
      </c>
      <c r="BQ60" t="s">
        <v>111</v>
      </c>
      <c r="BR60" t="s">
        <v>111</v>
      </c>
      <c r="BS60" t="s">
        <v>111</v>
      </c>
      <c r="BT60" t="s">
        <v>111</v>
      </c>
      <c r="BU60" t="s">
        <v>111</v>
      </c>
      <c r="BV60" t="s">
        <v>111</v>
      </c>
      <c r="BW60" t="s">
        <v>111</v>
      </c>
      <c r="BX60" t="s">
        <v>111</v>
      </c>
      <c r="BY60" t="s">
        <v>111</v>
      </c>
      <c r="BZ60" t="s">
        <v>111</v>
      </c>
      <c r="CA60" t="s">
        <v>111</v>
      </c>
      <c r="CB60" t="s">
        <v>111</v>
      </c>
      <c r="CC60" t="s">
        <v>111</v>
      </c>
      <c r="CD60" t="s">
        <v>111</v>
      </c>
      <c r="CE60" t="s">
        <v>111</v>
      </c>
      <c r="CF60" t="s">
        <v>111</v>
      </c>
      <c r="CG60" t="s">
        <v>111</v>
      </c>
      <c r="CH60" t="s">
        <v>111</v>
      </c>
      <c r="CI60" t="s">
        <v>111</v>
      </c>
      <c r="CJ60" t="s">
        <v>111</v>
      </c>
      <c r="CK60" t="s">
        <v>111</v>
      </c>
      <c r="CL60" t="s">
        <v>111</v>
      </c>
      <c r="CM60" t="s">
        <v>198</v>
      </c>
      <c r="CN60" t="s">
        <v>128</v>
      </c>
      <c r="CO60" t="s">
        <v>111</v>
      </c>
      <c r="CP60" t="s">
        <v>111</v>
      </c>
      <c r="CQ60">
        <v>0</v>
      </c>
      <c r="CR60">
        <v>0</v>
      </c>
      <c r="CS60">
        <v>0</v>
      </c>
      <c r="CT60" t="s">
        <v>168</v>
      </c>
      <c r="CU60">
        <v>0</v>
      </c>
      <c r="CV60" t="s">
        <v>111</v>
      </c>
      <c r="CW60" t="s">
        <v>111</v>
      </c>
      <c r="CX60" t="s">
        <v>111</v>
      </c>
      <c r="CY60">
        <v>0</v>
      </c>
      <c r="CZ60" t="s">
        <v>111</v>
      </c>
      <c r="DA60" t="s">
        <v>111</v>
      </c>
      <c r="DB60" t="s">
        <v>111</v>
      </c>
      <c r="DC60" t="s">
        <v>111</v>
      </c>
    </row>
    <row r="61" spans="1:107">
      <c r="A61">
        <v>392</v>
      </c>
      <c r="B61" t="s">
        <v>162</v>
      </c>
      <c r="C61" t="s">
        <v>333</v>
      </c>
      <c r="D61" t="s">
        <v>334</v>
      </c>
      <c r="E61" t="s">
        <v>335</v>
      </c>
      <c r="F61" t="s">
        <v>166</v>
      </c>
      <c r="G61" t="s">
        <v>177</v>
      </c>
      <c r="H61">
        <v>3</v>
      </c>
      <c r="I61">
        <v>50</v>
      </c>
      <c r="J61">
        <v>0</v>
      </c>
      <c r="K61">
        <v>0</v>
      </c>
      <c r="L61" t="s">
        <v>112</v>
      </c>
      <c r="M61" t="s">
        <v>138</v>
      </c>
      <c r="N61">
        <v>0</v>
      </c>
      <c r="O61">
        <v>0</v>
      </c>
      <c r="P61" t="s">
        <v>138</v>
      </c>
      <c r="Q61">
        <v>20</v>
      </c>
      <c r="R61">
        <v>0</v>
      </c>
      <c r="S61">
        <v>0</v>
      </c>
      <c r="T61">
        <v>0</v>
      </c>
      <c r="U61" t="s">
        <v>168</v>
      </c>
      <c r="V61">
        <v>0</v>
      </c>
      <c r="W61">
        <v>0</v>
      </c>
      <c r="X61">
        <v>1</v>
      </c>
      <c r="Y61">
        <v>0</v>
      </c>
      <c r="Z61" t="s">
        <v>259</v>
      </c>
      <c r="AA61">
        <v>0</v>
      </c>
      <c r="AB61" t="s">
        <v>111</v>
      </c>
      <c r="AC61">
        <v>0</v>
      </c>
      <c r="AD61" t="s">
        <v>111</v>
      </c>
      <c r="AE61">
        <v>0</v>
      </c>
      <c r="AF61">
        <v>0</v>
      </c>
      <c r="AG61" t="s">
        <v>111</v>
      </c>
      <c r="AH61" t="s">
        <v>111</v>
      </c>
      <c r="AI61" t="s">
        <v>111</v>
      </c>
      <c r="AJ61" t="s">
        <v>111</v>
      </c>
      <c r="AK61" t="s">
        <v>111</v>
      </c>
      <c r="AL61" t="s">
        <v>111</v>
      </c>
      <c r="AM61">
        <v>0</v>
      </c>
      <c r="AN61">
        <v>0</v>
      </c>
      <c r="AO61">
        <v>0</v>
      </c>
      <c r="AP61" t="s">
        <v>111</v>
      </c>
      <c r="AQ61" t="s">
        <v>111</v>
      </c>
      <c r="AR61" t="s">
        <v>111</v>
      </c>
      <c r="AS61" t="s">
        <v>111</v>
      </c>
      <c r="AT61" t="s">
        <v>111</v>
      </c>
      <c r="AU61" t="s">
        <v>111</v>
      </c>
      <c r="AV61" t="s">
        <v>111</v>
      </c>
      <c r="AW61" t="s">
        <v>111</v>
      </c>
      <c r="AX61" t="s">
        <v>111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111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111</v>
      </c>
      <c r="BM61" t="s">
        <v>111</v>
      </c>
      <c r="BN61" t="s">
        <v>111</v>
      </c>
      <c r="BO61" t="s">
        <v>111</v>
      </c>
      <c r="BP61" t="s">
        <v>111</v>
      </c>
      <c r="BQ61" t="s">
        <v>111</v>
      </c>
      <c r="BR61" t="s">
        <v>111</v>
      </c>
      <c r="BS61" t="s">
        <v>111</v>
      </c>
      <c r="BT61" t="s">
        <v>111</v>
      </c>
      <c r="BU61" t="s">
        <v>111</v>
      </c>
      <c r="BV61" t="s">
        <v>111</v>
      </c>
      <c r="BW61" t="s">
        <v>111</v>
      </c>
      <c r="BX61" t="s">
        <v>111</v>
      </c>
      <c r="BY61" t="s">
        <v>111</v>
      </c>
      <c r="BZ61" t="s">
        <v>111</v>
      </c>
      <c r="CA61" t="s">
        <v>111</v>
      </c>
      <c r="CB61" t="s">
        <v>111</v>
      </c>
      <c r="CC61" t="s">
        <v>111</v>
      </c>
      <c r="CD61" t="s">
        <v>111</v>
      </c>
      <c r="CE61" t="s">
        <v>111</v>
      </c>
      <c r="CF61" t="s">
        <v>111</v>
      </c>
      <c r="CG61" t="s">
        <v>111</v>
      </c>
      <c r="CH61" t="s">
        <v>111</v>
      </c>
      <c r="CI61" t="s">
        <v>111</v>
      </c>
      <c r="CJ61" t="s">
        <v>111</v>
      </c>
      <c r="CK61" t="s">
        <v>111</v>
      </c>
      <c r="CL61" t="s">
        <v>111</v>
      </c>
      <c r="CM61" t="s">
        <v>111</v>
      </c>
      <c r="CN61" t="s">
        <v>111</v>
      </c>
      <c r="CO61" t="s">
        <v>111</v>
      </c>
      <c r="CP61" t="s">
        <v>111</v>
      </c>
      <c r="CQ61">
        <v>0</v>
      </c>
      <c r="CR61">
        <v>0</v>
      </c>
      <c r="CS61">
        <v>0</v>
      </c>
      <c r="CT61" t="s">
        <v>111</v>
      </c>
      <c r="CU61">
        <v>0</v>
      </c>
      <c r="CV61" t="s">
        <v>111</v>
      </c>
      <c r="CW61" t="s">
        <v>111</v>
      </c>
      <c r="CX61" t="s">
        <v>111</v>
      </c>
      <c r="CY61">
        <v>0</v>
      </c>
      <c r="CZ61" t="s">
        <v>111</v>
      </c>
      <c r="DA61" t="s">
        <v>111</v>
      </c>
      <c r="DB61" t="s">
        <v>111</v>
      </c>
      <c r="DC61" t="s">
        <v>111</v>
      </c>
    </row>
    <row r="62" spans="1:107">
      <c r="A62">
        <v>1806</v>
      </c>
      <c r="B62" t="s">
        <v>107</v>
      </c>
      <c r="C62" t="s">
        <v>336</v>
      </c>
      <c r="D62" t="s">
        <v>337</v>
      </c>
      <c r="E62" t="s">
        <v>338</v>
      </c>
      <c r="F62" t="s">
        <v>166</v>
      </c>
      <c r="G62" t="s">
        <v>177</v>
      </c>
      <c r="H62">
        <v>3</v>
      </c>
      <c r="I62">
        <v>91</v>
      </c>
      <c r="J62">
        <v>0</v>
      </c>
      <c r="K62">
        <v>0</v>
      </c>
      <c r="L62" t="s">
        <v>112</v>
      </c>
      <c r="M62" t="s">
        <v>111</v>
      </c>
      <c r="N62">
        <v>0</v>
      </c>
      <c r="O62">
        <v>0</v>
      </c>
      <c r="P62" t="s">
        <v>111</v>
      </c>
      <c r="Q62">
        <v>40</v>
      </c>
      <c r="R62">
        <v>0</v>
      </c>
      <c r="S62">
        <v>0</v>
      </c>
      <c r="T62">
        <v>0</v>
      </c>
      <c r="U62" t="e">
        <f>-ALMACEN</f>
        <v>#NAME?</v>
      </c>
      <c r="V62">
        <v>12.5</v>
      </c>
      <c r="W62">
        <v>12.5</v>
      </c>
      <c r="X62">
        <v>0</v>
      </c>
      <c r="Y62">
        <v>0</v>
      </c>
      <c r="Z62" t="s">
        <v>111</v>
      </c>
      <c r="AA62">
        <v>0</v>
      </c>
      <c r="AB62" t="s">
        <v>339</v>
      </c>
      <c r="AC62">
        <v>25</v>
      </c>
      <c r="AD62" t="s">
        <v>111</v>
      </c>
      <c r="AE62">
        <v>0</v>
      </c>
      <c r="AF62">
        <v>0</v>
      </c>
      <c r="AG62" t="s">
        <v>111</v>
      </c>
      <c r="AH62" t="s">
        <v>111</v>
      </c>
      <c r="AI62" t="s">
        <v>111</v>
      </c>
      <c r="AJ62" t="s">
        <v>111</v>
      </c>
      <c r="AK62" t="s">
        <v>111</v>
      </c>
      <c r="AL62" t="s">
        <v>111</v>
      </c>
      <c r="AM62">
        <v>0</v>
      </c>
      <c r="AN62">
        <v>0</v>
      </c>
      <c r="AO62">
        <v>0</v>
      </c>
      <c r="AP62" t="s">
        <v>111</v>
      </c>
      <c r="AQ62" t="s">
        <v>111</v>
      </c>
      <c r="AR62" t="s">
        <v>111</v>
      </c>
      <c r="AS62" t="s">
        <v>111</v>
      </c>
      <c r="AT62" t="s">
        <v>111</v>
      </c>
      <c r="AU62" t="s">
        <v>111</v>
      </c>
      <c r="AV62" t="s">
        <v>111</v>
      </c>
      <c r="AW62" t="s">
        <v>111</v>
      </c>
      <c r="AX62" t="s">
        <v>111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111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111</v>
      </c>
      <c r="BM62" t="s">
        <v>111</v>
      </c>
      <c r="BN62" t="s">
        <v>111</v>
      </c>
      <c r="BO62" t="s">
        <v>111</v>
      </c>
      <c r="BP62" t="s">
        <v>111</v>
      </c>
      <c r="BQ62" t="s">
        <v>111</v>
      </c>
      <c r="BR62" t="s">
        <v>111</v>
      </c>
      <c r="BS62" t="s">
        <v>111</v>
      </c>
      <c r="BT62" t="s">
        <v>111</v>
      </c>
      <c r="BU62" t="s">
        <v>111</v>
      </c>
      <c r="BV62" t="s">
        <v>111</v>
      </c>
      <c r="BW62" t="s">
        <v>111</v>
      </c>
      <c r="BX62" t="s">
        <v>111</v>
      </c>
      <c r="BY62" t="s">
        <v>111</v>
      </c>
      <c r="BZ62" t="s">
        <v>111</v>
      </c>
      <c r="CA62" t="s">
        <v>111</v>
      </c>
      <c r="CB62" t="s">
        <v>111</v>
      </c>
      <c r="CC62" t="s">
        <v>111</v>
      </c>
      <c r="CD62" t="s">
        <v>111</v>
      </c>
      <c r="CE62" t="s">
        <v>111</v>
      </c>
      <c r="CF62" t="s">
        <v>111</v>
      </c>
      <c r="CG62" t="s">
        <v>111</v>
      </c>
      <c r="CH62" t="s">
        <v>111</v>
      </c>
      <c r="CI62" t="s">
        <v>111</v>
      </c>
      <c r="CJ62" t="s">
        <v>111</v>
      </c>
      <c r="CK62" t="s">
        <v>111</v>
      </c>
      <c r="CL62" t="s">
        <v>111</v>
      </c>
      <c r="CM62" t="s">
        <v>111</v>
      </c>
      <c r="CN62" t="s">
        <v>111</v>
      </c>
      <c r="CO62" t="s">
        <v>111</v>
      </c>
      <c r="CP62" t="s">
        <v>111</v>
      </c>
      <c r="CQ62">
        <v>0</v>
      </c>
      <c r="CR62">
        <v>0</v>
      </c>
      <c r="CS62">
        <v>0</v>
      </c>
      <c r="CT62" t="s">
        <v>111</v>
      </c>
      <c r="CU62">
        <v>0</v>
      </c>
      <c r="CV62" t="s">
        <v>111</v>
      </c>
      <c r="CX62" t="s">
        <v>111</v>
      </c>
      <c r="CY62">
        <v>0</v>
      </c>
      <c r="CZ62" t="s">
        <v>111</v>
      </c>
      <c r="DA62" t="s">
        <v>111</v>
      </c>
      <c r="DB62" t="s">
        <v>111</v>
      </c>
      <c r="DC62" t="s">
        <v>111</v>
      </c>
    </row>
    <row r="63" spans="1:107">
      <c r="A63">
        <v>208</v>
      </c>
      <c r="B63" t="s">
        <v>162</v>
      </c>
      <c r="C63" t="s">
        <v>312</v>
      </c>
      <c r="D63" t="s">
        <v>340</v>
      </c>
      <c r="E63" t="s">
        <v>341</v>
      </c>
      <c r="F63" t="s">
        <v>125</v>
      </c>
      <c r="G63" t="s">
        <v>177</v>
      </c>
      <c r="H63">
        <v>1</v>
      </c>
      <c r="I63">
        <v>47</v>
      </c>
      <c r="J63">
        <v>0</v>
      </c>
      <c r="K63">
        <v>0</v>
      </c>
      <c r="L63" t="s">
        <v>112</v>
      </c>
      <c r="M63" t="s">
        <v>138</v>
      </c>
      <c r="N63">
        <v>0</v>
      </c>
      <c r="O63">
        <v>0</v>
      </c>
      <c r="P63" t="s">
        <v>138</v>
      </c>
      <c r="Q63">
        <v>35</v>
      </c>
      <c r="R63">
        <v>0</v>
      </c>
      <c r="S63">
        <v>0</v>
      </c>
      <c r="T63">
        <v>0</v>
      </c>
      <c r="U63" t="s">
        <v>153</v>
      </c>
      <c r="V63">
        <v>0</v>
      </c>
      <c r="W63">
        <v>0</v>
      </c>
      <c r="X63">
        <v>1</v>
      </c>
      <c r="Y63">
        <v>0</v>
      </c>
      <c r="Z63" t="s">
        <v>111</v>
      </c>
      <c r="AA63">
        <v>0</v>
      </c>
      <c r="AB63" t="s">
        <v>111</v>
      </c>
      <c r="AC63">
        <v>0</v>
      </c>
      <c r="AD63" t="s">
        <v>111</v>
      </c>
      <c r="AE63">
        <v>0</v>
      </c>
      <c r="AF63">
        <v>0</v>
      </c>
      <c r="AG63" t="s">
        <v>111</v>
      </c>
      <c r="AH63" t="s">
        <v>111</v>
      </c>
      <c r="AI63" t="s">
        <v>111</v>
      </c>
      <c r="AJ63" t="s">
        <v>111</v>
      </c>
      <c r="AK63" t="s">
        <v>111</v>
      </c>
      <c r="AL63" t="s">
        <v>111</v>
      </c>
      <c r="AM63">
        <v>0</v>
      </c>
      <c r="AN63">
        <v>0</v>
      </c>
      <c r="AO63">
        <v>0</v>
      </c>
      <c r="AP63" t="s">
        <v>111</v>
      </c>
      <c r="AQ63" t="s">
        <v>111</v>
      </c>
      <c r="AR63" t="s">
        <v>111</v>
      </c>
      <c r="AS63" t="s">
        <v>111</v>
      </c>
      <c r="AT63" t="s">
        <v>111</v>
      </c>
      <c r="AU63" t="s">
        <v>111</v>
      </c>
      <c r="AV63" t="s">
        <v>111</v>
      </c>
      <c r="AW63" t="s">
        <v>111</v>
      </c>
      <c r="AX63" t="s">
        <v>111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111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111</v>
      </c>
      <c r="BM63" t="s">
        <v>111</v>
      </c>
      <c r="BN63" t="s">
        <v>111</v>
      </c>
      <c r="BO63" t="s">
        <v>111</v>
      </c>
      <c r="BP63" t="s">
        <v>111</v>
      </c>
      <c r="BQ63" t="s">
        <v>111</v>
      </c>
      <c r="BR63" t="s">
        <v>111</v>
      </c>
      <c r="BS63" t="s">
        <v>111</v>
      </c>
      <c r="BT63" t="s">
        <v>111</v>
      </c>
      <c r="BU63" t="s">
        <v>111</v>
      </c>
      <c r="BV63" t="s">
        <v>111</v>
      </c>
      <c r="BW63" t="s">
        <v>111</v>
      </c>
      <c r="BX63" t="s">
        <v>111</v>
      </c>
      <c r="BY63" t="s">
        <v>111</v>
      </c>
      <c r="BZ63" t="s">
        <v>111</v>
      </c>
      <c r="CA63" t="s">
        <v>111</v>
      </c>
      <c r="CB63" t="s">
        <v>111</v>
      </c>
      <c r="CC63" t="s">
        <v>111</v>
      </c>
      <c r="CD63" t="s">
        <v>111</v>
      </c>
      <c r="CE63" t="s">
        <v>111</v>
      </c>
      <c r="CF63" t="s">
        <v>111</v>
      </c>
      <c r="CG63" t="s">
        <v>111</v>
      </c>
      <c r="CH63" t="s">
        <v>111</v>
      </c>
      <c r="CI63" t="s">
        <v>111</v>
      </c>
      <c r="CJ63" t="s">
        <v>111</v>
      </c>
      <c r="CK63" t="s">
        <v>111</v>
      </c>
      <c r="CL63" t="s">
        <v>111</v>
      </c>
      <c r="CM63" t="s">
        <v>198</v>
      </c>
      <c r="CN63" t="s">
        <v>128</v>
      </c>
      <c r="CO63" t="s">
        <v>111</v>
      </c>
      <c r="CP63" t="s">
        <v>111</v>
      </c>
      <c r="CQ63">
        <v>0</v>
      </c>
      <c r="CR63">
        <v>0</v>
      </c>
      <c r="CS63">
        <v>0</v>
      </c>
      <c r="CT63" t="s">
        <v>168</v>
      </c>
      <c r="CU63">
        <v>0</v>
      </c>
      <c r="CV63" t="s">
        <v>111</v>
      </c>
      <c r="CW63" t="s">
        <v>111</v>
      </c>
      <c r="CX63" t="s">
        <v>111</v>
      </c>
      <c r="CY63">
        <v>0</v>
      </c>
      <c r="CZ63" t="s">
        <v>111</v>
      </c>
      <c r="DA63" t="s">
        <v>111</v>
      </c>
      <c r="DB63" t="s">
        <v>111</v>
      </c>
      <c r="DC63" t="s">
        <v>111</v>
      </c>
    </row>
    <row r="64" spans="1:107">
      <c r="A64">
        <v>1059</v>
      </c>
      <c r="B64" t="s">
        <v>107</v>
      </c>
      <c r="C64" t="s">
        <v>154</v>
      </c>
      <c r="D64" t="s">
        <v>342</v>
      </c>
      <c r="E64" t="s">
        <v>343</v>
      </c>
      <c r="F64" t="s">
        <v>157</v>
      </c>
      <c r="G64" t="s">
        <v>177</v>
      </c>
      <c r="H64">
        <v>1.7</v>
      </c>
      <c r="I64">
        <v>50</v>
      </c>
      <c r="J64">
        <v>0</v>
      </c>
      <c r="K64">
        <v>0</v>
      </c>
      <c r="L64" t="s">
        <v>112</v>
      </c>
      <c r="M64" t="s">
        <v>111</v>
      </c>
      <c r="N64">
        <v>0</v>
      </c>
      <c r="O64">
        <v>0</v>
      </c>
      <c r="P64" t="s">
        <v>138</v>
      </c>
      <c r="Q64">
        <v>50</v>
      </c>
      <c r="R64">
        <v>0</v>
      </c>
      <c r="S64">
        <v>0</v>
      </c>
      <c r="T64">
        <v>0</v>
      </c>
      <c r="U64" s="1" t="s">
        <v>344</v>
      </c>
      <c r="V64">
        <v>12.5</v>
      </c>
      <c r="W64">
        <v>0</v>
      </c>
      <c r="X64">
        <v>12.5</v>
      </c>
      <c r="Y64">
        <v>0</v>
      </c>
      <c r="Z64" t="s">
        <v>111</v>
      </c>
      <c r="AA64">
        <v>0</v>
      </c>
      <c r="AB64" t="s">
        <v>193</v>
      </c>
      <c r="AC64">
        <v>25</v>
      </c>
      <c r="AD64" t="s">
        <v>111</v>
      </c>
      <c r="AE64">
        <v>0</v>
      </c>
      <c r="AF64">
        <v>0</v>
      </c>
      <c r="AG64" t="s">
        <v>111</v>
      </c>
      <c r="AH64" t="s">
        <v>111</v>
      </c>
      <c r="AI64" t="s">
        <v>111</v>
      </c>
      <c r="AJ64" t="s">
        <v>111</v>
      </c>
      <c r="AK64" t="s">
        <v>111</v>
      </c>
      <c r="AL64" t="s">
        <v>111</v>
      </c>
      <c r="AM64">
        <v>0</v>
      </c>
      <c r="AN64">
        <v>0</v>
      </c>
      <c r="AO64">
        <v>0</v>
      </c>
      <c r="AP64" t="s">
        <v>111</v>
      </c>
      <c r="AQ64" t="s">
        <v>111</v>
      </c>
      <c r="AR64" t="s">
        <v>111</v>
      </c>
      <c r="AS64" t="s">
        <v>111</v>
      </c>
      <c r="AT64" t="s">
        <v>111</v>
      </c>
      <c r="AU64" t="s">
        <v>111</v>
      </c>
      <c r="AV64" t="s">
        <v>111</v>
      </c>
      <c r="AW64" t="s">
        <v>111</v>
      </c>
      <c r="AX64" t="s">
        <v>111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111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111</v>
      </c>
      <c r="BM64" t="s">
        <v>111</v>
      </c>
      <c r="BN64" t="s">
        <v>111</v>
      </c>
      <c r="BO64" t="s">
        <v>111</v>
      </c>
      <c r="BP64" t="s">
        <v>111</v>
      </c>
      <c r="BQ64" t="s">
        <v>111</v>
      </c>
      <c r="BR64" t="s">
        <v>111</v>
      </c>
      <c r="BS64" t="s">
        <v>111</v>
      </c>
      <c r="BT64" t="s">
        <v>111</v>
      </c>
      <c r="BU64" t="s">
        <v>111</v>
      </c>
      <c r="BV64" t="s">
        <v>111</v>
      </c>
      <c r="BW64" t="s">
        <v>111</v>
      </c>
      <c r="BX64" t="s">
        <v>111</v>
      </c>
      <c r="BY64" t="s">
        <v>111</v>
      </c>
      <c r="BZ64" t="s">
        <v>111</v>
      </c>
      <c r="CA64" t="s">
        <v>111</v>
      </c>
      <c r="CB64" t="s">
        <v>111</v>
      </c>
      <c r="CC64" t="s">
        <v>111</v>
      </c>
      <c r="CD64" t="s">
        <v>111</v>
      </c>
      <c r="CE64" t="s">
        <v>111</v>
      </c>
      <c r="CF64" t="s">
        <v>111</v>
      </c>
      <c r="CG64" t="s">
        <v>111</v>
      </c>
      <c r="CH64" t="s">
        <v>111</v>
      </c>
      <c r="CI64" t="s">
        <v>111</v>
      </c>
      <c r="CJ64" t="s">
        <v>111</v>
      </c>
      <c r="CK64" t="s">
        <v>111</v>
      </c>
      <c r="CL64" t="s">
        <v>111</v>
      </c>
      <c r="CM64" t="s">
        <v>111</v>
      </c>
      <c r="CN64" t="s">
        <v>111</v>
      </c>
      <c r="CO64" t="s">
        <v>111</v>
      </c>
      <c r="CP64" t="s">
        <v>111</v>
      </c>
      <c r="CQ64">
        <v>0</v>
      </c>
      <c r="CR64">
        <v>0</v>
      </c>
      <c r="CS64">
        <v>0</v>
      </c>
      <c r="CT64" t="s">
        <v>111</v>
      </c>
      <c r="CU64">
        <v>0</v>
      </c>
      <c r="CV64" t="s">
        <v>111</v>
      </c>
      <c r="CW64" t="s">
        <v>111</v>
      </c>
      <c r="CX64" t="s">
        <v>111</v>
      </c>
      <c r="CY64">
        <v>0</v>
      </c>
      <c r="CZ64" t="s">
        <v>111</v>
      </c>
      <c r="DA64" t="s">
        <v>111</v>
      </c>
      <c r="DB64" t="s">
        <v>111</v>
      </c>
      <c r="DC64" t="s">
        <v>111</v>
      </c>
    </row>
    <row r="65" spans="1:107">
      <c r="A65">
        <v>669</v>
      </c>
      <c r="B65" t="s">
        <v>162</v>
      </c>
      <c r="C65" t="s">
        <v>267</v>
      </c>
      <c r="D65" t="s">
        <v>345</v>
      </c>
      <c r="E65" t="s">
        <v>346</v>
      </c>
      <c r="F65" t="s">
        <v>125</v>
      </c>
      <c r="G65" t="s">
        <v>177</v>
      </c>
      <c r="H65">
        <v>1.9</v>
      </c>
      <c r="I65">
        <v>60</v>
      </c>
      <c r="J65">
        <v>0</v>
      </c>
      <c r="K65">
        <v>0</v>
      </c>
      <c r="L65" t="s">
        <v>112</v>
      </c>
      <c r="M65" t="s">
        <v>138</v>
      </c>
      <c r="N65">
        <v>0</v>
      </c>
      <c r="O65">
        <v>0</v>
      </c>
      <c r="P65" t="s">
        <v>138</v>
      </c>
      <c r="Q65">
        <v>30</v>
      </c>
      <c r="R65">
        <v>0</v>
      </c>
      <c r="S65">
        <v>0</v>
      </c>
      <c r="T65">
        <v>0</v>
      </c>
      <c r="U65" t="s">
        <v>153</v>
      </c>
      <c r="V65">
        <v>0</v>
      </c>
      <c r="W65">
        <v>0</v>
      </c>
      <c r="X65">
        <v>1</v>
      </c>
      <c r="Y65">
        <v>0</v>
      </c>
      <c r="Z65" t="s">
        <v>111</v>
      </c>
      <c r="AA65">
        <v>0</v>
      </c>
      <c r="AB65" t="s">
        <v>111</v>
      </c>
      <c r="AC65">
        <v>0</v>
      </c>
      <c r="AD65" t="s">
        <v>111</v>
      </c>
      <c r="AE65">
        <v>0</v>
      </c>
      <c r="AF65">
        <v>0</v>
      </c>
      <c r="AG65" t="s">
        <v>111</v>
      </c>
      <c r="AH65" t="s">
        <v>111</v>
      </c>
      <c r="AI65" t="s">
        <v>111</v>
      </c>
      <c r="AJ65" t="s">
        <v>111</v>
      </c>
      <c r="AK65" t="s">
        <v>111</v>
      </c>
      <c r="AL65" t="s">
        <v>111</v>
      </c>
      <c r="AM65">
        <v>0</v>
      </c>
      <c r="AN65">
        <v>0</v>
      </c>
      <c r="AO65">
        <v>0</v>
      </c>
      <c r="AP65" t="s">
        <v>111</v>
      </c>
      <c r="AQ65" t="s">
        <v>111</v>
      </c>
      <c r="AR65" t="s">
        <v>111</v>
      </c>
      <c r="AS65" t="s">
        <v>111</v>
      </c>
      <c r="AT65" t="s">
        <v>111</v>
      </c>
      <c r="AU65" t="s">
        <v>111</v>
      </c>
      <c r="AV65" t="s">
        <v>111</v>
      </c>
      <c r="AW65" t="s">
        <v>111</v>
      </c>
      <c r="AX65" t="s">
        <v>111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111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111</v>
      </c>
      <c r="BM65" t="s">
        <v>111</v>
      </c>
      <c r="BN65" t="s">
        <v>111</v>
      </c>
      <c r="BO65" t="s">
        <v>111</v>
      </c>
      <c r="BP65" t="s">
        <v>111</v>
      </c>
      <c r="BQ65" t="s">
        <v>111</v>
      </c>
      <c r="BR65" t="s">
        <v>111</v>
      </c>
      <c r="BS65" t="s">
        <v>111</v>
      </c>
      <c r="BT65" t="s">
        <v>111</v>
      </c>
      <c r="BU65" t="s">
        <v>111</v>
      </c>
      <c r="BV65" t="s">
        <v>111</v>
      </c>
      <c r="BW65" t="s">
        <v>111</v>
      </c>
      <c r="BX65" t="s">
        <v>111</v>
      </c>
      <c r="BY65" t="s">
        <v>111</v>
      </c>
      <c r="BZ65" t="s">
        <v>111</v>
      </c>
      <c r="CA65" t="s">
        <v>111</v>
      </c>
      <c r="CB65" t="s">
        <v>111</v>
      </c>
      <c r="CC65" t="s">
        <v>111</v>
      </c>
      <c r="CD65" t="s">
        <v>111</v>
      </c>
      <c r="CE65" t="s">
        <v>111</v>
      </c>
      <c r="CF65" t="s">
        <v>111</v>
      </c>
      <c r="CG65" t="s">
        <v>111</v>
      </c>
      <c r="CH65" t="s">
        <v>111</v>
      </c>
      <c r="CI65" t="s">
        <v>111</v>
      </c>
      <c r="CJ65" t="s">
        <v>111</v>
      </c>
      <c r="CK65" t="s">
        <v>111</v>
      </c>
      <c r="CL65" t="s">
        <v>111</v>
      </c>
      <c r="CM65" t="s">
        <v>127</v>
      </c>
      <c r="CN65" t="s">
        <v>128</v>
      </c>
      <c r="CO65" t="s">
        <v>111</v>
      </c>
      <c r="CP65" t="s">
        <v>111</v>
      </c>
      <c r="CQ65">
        <v>0</v>
      </c>
      <c r="CR65">
        <v>0</v>
      </c>
      <c r="CS65">
        <v>0</v>
      </c>
      <c r="CT65" t="s">
        <v>168</v>
      </c>
      <c r="CU65">
        <v>0</v>
      </c>
      <c r="CV65" t="s">
        <v>111</v>
      </c>
      <c r="CW65" t="s">
        <v>111</v>
      </c>
      <c r="CX65" t="s">
        <v>111</v>
      </c>
      <c r="CY65">
        <v>0</v>
      </c>
      <c r="CZ65" t="s">
        <v>111</v>
      </c>
      <c r="DA65" t="s">
        <v>111</v>
      </c>
      <c r="DB65" t="s">
        <v>111</v>
      </c>
      <c r="DC65" t="s">
        <v>111</v>
      </c>
    </row>
    <row r="66" spans="1:107">
      <c r="A66">
        <v>666</v>
      </c>
      <c r="B66" t="s">
        <v>162</v>
      </c>
      <c r="C66" t="s">
        <v>347</v>
      </c>
      <c r="D66" t="s">
        <v>348</v>
      </c>
      <c r="E66" t="s">
        <v>349</v>
      </c>
      <c r="F66" t="s">
        <v>166</v>
      </c>
      <c r="G66" t="s">
        <v>177</v>
      </c>
      <c r="H66">
        <v>2.5</v>
      </c>
      <c r="I66">
        <v>98</v>
      </c>
      <c r="J66">
        <v>0</v>
      </c>
      <c r="K66">
        <v>0</v>
      </c>
      <c r="L66" t="s">
        <v>112</v>
      </c>
      <c r="M66" t="s">
        <v>138</v>
      </c>
      <c r="N66">
        <v>0</v>
      </c>
      <c r="O66">
        <v>0</v>
      </c>
      <c r="P66" t="s">
        <v>138</v>
      </c>
      <c r="Q66">
        <v>50</v>
      </c>
      <c r="R66">
        <v>0</v>
      </c>
      <c r="S66">
        <v>0</v>
      </c>
      <c r="T66">
        <v>0</v>
      </c>
      <c r="U66" t="s">
        <v>168</v>
      </c>
      <c r="V66">
        <v>0</v>
      </c>
      <c r="W66">
        <v>0</v>
      </c>
      <c r="X66">
        <v>1</v>
      </c>
      <c r="Y66">
        <v>0</v>
      </c>
      <c r="Z66" t="s">
        <v>111</v>
      </c>
      <c r="AA66">
        <v>0</v>
      </c>
      <c r="AB66" t="s">
        <v>111</v>
      </c>
      <c r="AC66">
        <v>0</v>
      </c>
      <c r="AD66" t="s">
        <v>111</v>
      </c>
      <c r="AE66">
        <v>0</v>
      </c>
      <c r="AF66">
        <v>0</v>
      </c>
      <c r="AG66" t="s">
        <v>111</v>
      </c>
      <c r="AH66" t="s">
        <v>111</v>
      </c>
      <c r="AI66" t="s">
        <v>111</v>
      </c>
      <c r="AJ66" t="s">
        <v>111</v>
      </c>
      <c r="AK66" t="s">
        <v>111</v>
      </c>
      <c r="AL66" t="s">
        <v>111</v>
      </c>
      <c r="AM66">
        <v>0</v>
      </c>
      <c r="AN66">
        <v>0</v>
      </c>
      <c r="AO66">
        <v>0</v>
      </c>
      <c r="AP66" t="s">
        <v>111</v>
      </c>
      <c r="AQ66" t="s">
        <v>111</v>
      </c>
      <c r="AR66" t="s">
        <v>111</v>
      </c>
      <c r="AS66" t="s">
        <v>111</v>
      </c>
      <c r="AT66" t="s">
        <v>111</v>
      </c>
      <c r="AU66" t="s">
        <v>111</v>
      </c>
      <c r="AV66" t="s">
        <v>111</v>
      </c>
      <c r="AW66" t="s">
        <v>111</v>
      </c>
      <c r="AX66" t="s">
        <v>111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111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111</v>
      </c>
      <c r="BM66" t="s">
        <v>111</v>
      </c>
      <c r="BN66" t="s">
        <v>111</v>
      </c>
      <c r="BO66" t="s">
        <v>111</v>
      </c>
      <c r="BP66" t="s">
        <v>111</v>
      </c>
      <c r="BQ66" t="s">
        <v>111</v>
      </c>
      <c r="BR66" t="s">
        <v>111</v>
      </c>
      <c r="BS66" t="s">
        <v>111</v>
      </c>
      <c r="BT66" t="s">
        <v>111</v>
      </c>
      <c r="BU66" t="s">
        <v>111</v>
      </c>
      <c r="BV66" t="s">
        <v>111</v>
      </c>
      <c r="BW66" t="s">
        <v>111</v>
      </c>
      <c r="BX66" t="s">
        <v>111</v>
      </c>
      <c r="BY66" t="s">
        <v>111</v>
      </c>
      <c r="BZ66" t="s">
        <v>111</v>
      </c>
      <c r="CA66" t="s">
        <v>111</v>
      </c>
      <c r="CB66" t="s">
        <v>111</v>
      </c>
      <c r="CC66" t="s">
        <v>111</v>
      </c>
      <c r="CD66" t="s">
        <v>111</v>
      </c>
      <c r="CE66" t="s">
        <v>111</v>
      </c>
      <c r="CF66" t="s">
        <v>111</v>
      </c>
      <c r="CG66" t="s">
        <v>111</v>
      </c>
      <c r="CH66" t="s">
        <v>111</v>
      </c>
      <c r="CI66" t="s">
        <v>111</v>
      </c>
      <c r="CJ66" t="s">
        <v>111</v>
      </c>
      <c r="CK66" t="s">
        <v>111</v>
      </c>
      <c r="CL66" t="s">
        <v>111</v>
      </c>
      <c r="CM66" t="s">
        <v>111</v>
      </c>
      <c r="CN66" t="s">
        <v>111</v>
      </c>
      <c r="CO66" t="s">
        <v>111</v>
      </c>
      <c r="CP66" t="s">
        <v>111</v>
      </c>
      <c r="CQ66">
        <v>0</v>
      </c>
      <c r="CR66">
        <v>0</v>
      </c>
      <c r="CS66">
        <v>0</v>
      </c>
      <c r="CT66" t="s">
        <v>111</v>
      </c>
      <c r="CU66">
        <v>0</v>
      </c>
      <c r="CV66" t="s">
        <v>111</v>
      </c>
      <c r="CW66" t="s">
        <v>111</v>
      </c>
      <c r="CX66" t="s">
        <v>111</v>
      </c>
      <c r="CY66">
        <v>0</v>
      </c>
      <c r="CZ66" t="s">
        <v>111</v>
      </c>
      <c r="DA66" t="s">
        <v>111</v>
      </c>
      <c r="DB66" t="s">
        <v>111</v>
      </c>
      <c r="DC66" t="s">
        <v>111</v>
      </c>
    </row>
    <row r="67" spans="1:107">
      <c r="A67">
        <v>1892</v>
      </c>
      <c r="B67" t="s">
        <v>107</v>
      </c>
      <c r="C67" t="s">
        <v>277</v>
      </c>
      <c r="D67" t="s">
        <v>278</v>
      </c>
      <c r="E67" t="s">
        <v>350</v>
      </c>
      <c r="F67" t="s">
        <v>192</v>
      </c>
      <c r="G67" t="s">
        <v>177</v>
      </c>
      <c r="H67">
        <v>3</v>
      </c>
      <c r="I67">
        <v>100</v>
      </c>
      <c r="J67">
        <v>0</v>
      </c>
      <c r="K67">
        <v>0</v>
      </c>
      <c r="L67" t="s">
        <v>117</v>
      </c>
      <c r="M67" t="s">
        <v>111</v>
      </c>
      <c r="N67">
        <v>0</v>
      </c>
      <c r="O67">
        <v>0</v>
      </c>
      <c r="P67" t="s">
        <v>111</v>
      </c>
      <c r="Q67">
        <v>20</v>
      </c>
      <c r="R67">
        <v>0</v>
      </c>
      <c r="S67">
        <v>0</v>
      </c>
      <c r="T67">
        <v>0</v>
      </c>
      <c r="U67" t="e">
        <f>-SELLADO</f>
        <v>#NAME?</v>
      </c>
      <c r="V67">
        <v>25</v>
      </c>
      <c r="W67">
        <v>0</v>
      </c>
      <c r="X67">
        <v>25</v>
      </c>
      <c r="Y67">
        <v>0</v>
      </c>
      <c r="Z67" t="s">
        <v>111</v>
      </c>
      <c r="AA67">
        <v>0</v>
      </c>
      <c r="AB67" t="s">
        <v>111</v>
      </c>
      <c r="AC67">
        <v>0</v>
      </c>
      <c r="AD67" t="s">
        <v>111</v>
      </c>
      <c r="AE67">
        <v>0</v>
      </c>
      <c r="AF67">
        <v>0</v>
      </c>
      <c r="AG67" t="s">
        <v>111</v>
      </c>
      <c r="AH67" t="s">
        <v>111</v>
      </c>
      <c r="AI67" t="s">
        <v>111</v>
      </c>
      <c r="AJ67" t="s">
        <v>111</v>
      </c>
      <c r="AK67" t="s">
        <v>111</v>
      </c>
      <c r="AL67" t="s">
        <v>111</v>
      </c>
      <c r="AM67">
        <v>0</v>
      </c>
      <c r="AN67">
        <v>0</v>
      </c>
      <c r="AO67">
        <v>0</v>
      </c>
      <c r="AP67" t="s">
        <v>111</v>
      </c>
      <c r="AQ67" t="s">
        <v>111</v>
      </c>
      <c r="AR67" t="s">
        <v>111</v>
      </c>
      <c r="AS67" t="s">
        <v>111</v>
      </c>
      <c r="AT67" t="s">
        <v>111</v>
      </c>
      <c r="AU67" t="s">
        <v>111</v>
      </c>
      <c r="AV67" t="s">
        <v>111</v>
      </c>
      <c r="AW67" t="s">
        <v>111</v>
      </c>
      <c r="AX67" t="s">
        <v>111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111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111</v>
      </c>
      <c r="BM67" t="s">
        <v>111</v>
      </c>
      <c r="BN67" t="s">
        <v>111</v>
      </c>
      <c r="BO67" t="s">
        <v>111</v>
      </c>
      <c r="BP67" t="s">
        <v>111</v>
      </c>
      <c r="BQ67" t="s">
        <v>111</v>
      </c>
      <c r="BR67" t="s">
        <v>111</v>
      </c>
      <c r="BS67" t="s">
        <v>111</v>
      </c>
      <c r="BT67" t="s">
        <v>111</v>
      </c>
      <c r="BU67" t="s">
        <v>111</v>
      </c>
      <c r="BV67" t="s">
        <v>111</v>
      </c>
      <c r="BW67" t="s">
        <v>111</v>
      </c>
      <c r="BX67" t="s">
        <v>111</v>
      </c>
      <c r="BY67" t="s">
        <v>111</v>
      </c>
      <c r="BZ67" t="s">
        <v>111</v>
      </c>
      <c r="CA67" t="s">
        <v>111</v>
      </c>
      <c r="CB67" t="s">
        <v>111</v>
      </c>
      <c r="CC67" t="s">
        <v>111</v>
      </c>
      <c r="CD67" t="s">
        <v>111</v>
      </c>
      <c r="CE67" t="s">
        <v>111</v>
      </c>
      <c r="CF67" t="s">
        <v>111</v>
      </c>
      <c r="CG67" t="s">
        <v>111</v>
      </c>
      <c r="CH67" t="s">
        <v>111</v>
      </c>
      <c r="CI67" t="s">
        <v>111</v>
      </c>
      <c r="CJ67" t="s">
        <v>111</v>
      </c>
      <c r="CK67" t="s">
        <v>111</v>
      </c>
      <c r="CL67" t="s">
        <v>111</v>
      </c>
      <c r="CM67" t="s">
        <v>111</v>
      </c>
      <c r="CN67" t="s">
        <v>111</v>
      </c>
      <c r="CO67" t="s">
        <v>111</v>
      </c>
      <c r="CP67" t="s">
        <v>111</v>
      </c>
      <c r="CQ67">
        <v>0</v>
      </c>
      <c r="CR67">
        <v>0</v>
      </c>
      <c r="CS67">
        <v>0</v>
      </c>
      <c r="CT67" t="s">
        <v>111</v>
      </c>
      <c r="CU67">
        <v>0</v>
      </c>
      <c r="CV67" t="s">
        <v>111</v>
      </c>
      <c r="CX67" t="s">
        <v>111</v>
      </c>
      <c r="CY67">
        <v>0</v>
      </c>
      <c r="CZ67" t="s">
        <v>111</v>
      </c>
      <c r="DA67" t="s">
        <v>111</v>
      </c>
      <c r="DB67" t="e">
        <f>-INTERNO</f>
        <v>#NAME?</v>
      </c>
      <c r="DC67" t="e">
        <f>-CORTE Y SELLE</f>
        <v>#NAME?</v>
      </c>
    </row>
    <row r="68" spans="1:107">
      <c r="A68">
        <v>350</v>
      </c>
      <c r="B68" t="s">
        <v>162</v>
      </c>
      <c r="C68" t="s">
        <v>351</v>
      </c>
      <c r="D68" t="s">
        <v>352</v>
      </c>
      <c r="E68" t="s">
        <v>353</v>
      </c>
      <c r="F68" t="s">
        <v>125</v>
      </c>
      <c r="G68" t="s">
        <v>354</v>
      </c>
      <c r="H68">
        <v>1</v>
      </c>
      <c r="I68">
        <v>45</v>
      </c>
      <c r="J68">
        <v>0</v>
      </c>
      <c r="K68">
        <v>0</v>
      </c>
      <c r="L68" t="s">
        <v>112</v>
      </c>
      <c r="M68" t="s">
        <v>138</v>
      </c>
      <c r="N68">
        <v>0</v>
      </c>
      <c r="O68">
        <v>0</v>
      </c>
      <c r="P68" t="s">
        <v>138</v>
      </c>
      <c r="Q68">
        <v>35</v>
      </c>
      <c r="R68">
        <v>0</v>
      </c>
      <c r="S68">
        <v>0</v>
      </c>
      <c r="T68">
        <v>0</v>
      </c>
      <c r="U68" t="s">
        <v>153</v>
      </c>
      <c r="V68">
        <v>0</v>
      </c>
      <c r="W68">
        <v>0</v>
      </c>
      <c r="X68">
        <v>1</v>
      </c>
      <c r="Y68">
        <v>0</v>
      </c>
      <c r="Z68" t="s">
        <v>111</v>
      </c>
      <c r="AA68">
        <v>0</v>
      </c>
      <c r="AB68" t="s">
        <v>111</v>
      </c>
      <c r="AC68">
        <v>0</v>
      </c>
      <c r="AD68" t="s">
        <v>111</v>
      </c>
      <c r="AE68">
        <v>0</v>
      </c>
      <c r="AF68">
        <v>0</v>
      </c>
      <c r="AG68" t="s">
        <v>111</v>
      </c>
      <c r="AH68" t="s">
        <v>111</v>
      </c>
      <c r="AI68" t="s">
        <v>111</v>
      </c>
      <c r="AJ68" t="s">
        <v>111</v>
      </c>
      <c r="AK68" t="s">
        <v>111</v>
      </c>
      <c r="AL68" t="s">
        <v>111</v>
      </c>
      <c r="AM68">
        <v>0</v>
      </c>
      <c r="AN68">
        <v>0</v>
      </c>
      <c r="AO68">
        <v>0</v>
      </c>
      <c r="AP68" t="s">
        <v>111</v>
      </c>
      <c r="AQ68" t="s">
        <v>111</v>
      </c>
      <c r="AR68" t="s">
        <v>111</v>
      </c>
      <c r="AS68" t="s">
        <v>111</v>
      </c>
      <c r="AT68" t="s">
        <v>111</v>
      </c>
      <c r="AU68" t="s">
        <v>111</v>
      </c>
      <c r="AV68" t="s">
        <v>111</v>
      </c>
      <c r="AW68" t="s">
        <v>111</v>
      </c>
      <c r="AX68" t="s">
        <v>111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111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111</v>
      </c>
      <c r="BM68" t="s">
        <v>111</v>
      </c>
      <c r="BN68" t="s">
        <v>111</v>
      </c>
      <c r="BO68" t="s">
        <v>111</v>
      </c>
      <c r="BP68" t="s">
        <v>111</v>
      </c>
      <c r="BQ68" t="s">
        <v>111</v>
      </c>
      <c r="BR68" t="s">
        <v>111</v>
      </c>
      <c r="BS68" t="s">
        <v>111</v>
      </c>
      <c r="BT68" t="s">
        <v>111</v>
      </c>
      <c r="BU68" t="s">
        <v>111</v>
      </c>
      <c r="BV68" t="s">
        <v>111</v>
      </c>
      <c r="BW68" t="s">
        <v>111</v>
      </c>
      <c r="BX68" t="s">
        <v>111</v>
      </c>
      <c r="BY68" t="s">
        <v>111</v>
      </c>
      <c r="BZ68" t="s">
        <v>111</v>
      </c>
      <c r="CA68" t="s">
        <v>111</v>
      </c>
      <c r="CB68" t="s">
        <v>111</v>
      </c>
      <c r="CC68" t="s">
        <v>111</v>
      </c>
      <c r="CD68" t="s">
        <v>111</v>
      </c>
      <c r="CE68" t="s">
        <v>111</v>
      </c>
      <c r="CF68" t="s">
        <v>111</v>
      </c>
      <c r="CG68" t="s">
        <v>111</v>
      </c>
      <c r="CH68" t="s">
        <v>111</v>
      </c>
      <c r="CI68" t="s">
        <v>111</v>
      </c>
      <c r="CJ68" t="s">
        <v>111</v>
      </c>
      <c r="CK68" t="s">
        <v>111</v>
      </c>
      <c r="CL68" t="s">
        <v>111</v>
      </c>
      <c r="CM68" t="s">
        <v>198</v>
      </c>
      <c r="CN68" t="s">
        <v>113</v>
      </c>
      <c r="CO68" t="s">
        <v>111</v>
      </c>
      <c r="CP68" t="s">
        <v>111</v>
      </c>
      <c r="CQ68">
        <v>0</v>
      </c>
      <c r="CR68">
        <v>0</v>
      </c>
      <c r="CS68">
        <v>0</v>
      </c>
      <c r="CT68" t="s">
        <v>168</v>
      </c>
      <c r="CU68">
        <v>0</v>
      </c>
      <c r="CV68" t="s">
        <v>111</v>
      </c>
      <c r="CW68" t="s">
        <v>111</v>
      </c>
      <c r="CX68" t="s">
        <v>111</v>
      </c>
      <c r="CY68">
        <v>0</v>
      </c>
      <c r="CZ68" t="s">
        <v>111</v>
      </c>
      <c r="DA68" t="s">
        <v>111</v>
      </c>
      <c r="DB68" t="s">
        <v>111</v>
      </c>
      <c r="DC68" t="s">
        <v>111</v>
      </c>
    </row>
    <row r="69" spans="1:107">
      <c r="A69">
        <v>1473</v>
      </c>
      <c r="B69" t="s">
        <v>107</v>
      </c>
      <c r="C69" t="s">
        <v>355</v>
      </c>
      <c r="D69" t="s">
        <v>356</v>
      </c>
      <c r="E69" t="s">
        <v>357</v>
      </c>
      <c r="F69" t="s">
        <v>358</v>
      </c>
      <c r="G69" t="s">
        <v>359</v>
      </c>
      <c r="H69">
        <v>3.5</v>
      </c>
      <c r="I69">
        <v>92</v>
      </c>
      <c r="J69">
        <v>0</v>
      </c>
      <c r="K69">
        <v>0</v>
      </c>
      <c r="L69" t="s">
        <v>117</v>
      </c>
      <c r="M69" t="s">
        <v>111</v>
      </c>
      <c r="N69">
        <v>0</v>
      </c>
      <c r="O69">
        <v>0</v>
      </c>
      <c r="P69" t="s">
        <v>111</v>
      </c>
      <c r="Q69">
        <v>400</v>
      </c>
      <c r="R69">
        <v>0</v>
      </c>
      <c r="S69">
        <v>0</v>
      </c>
      <c r="T69">
        <v>0</v>
      </c>
      <c r="U69" t="e">
        <f>-DESTINO SELLADO</f>
        <v>#NAME?</v>
      </c>
      <c r="V69">
        <v>0</v>
      </c>
      <c r="W69">
        <v>0</v>
      </c>
      <c r="X69">
        <v>10</v>
      </c>
      <c r="Y69">
        <v>0</v>
      </c>
      <c r="Z69" t="s">
        <v>111</v>
      </c>
      <c r="AA69">
        <v>0</v>
      </c>
      <c r="AB69" t="s">
        <v>111</v>
      </c>
      <c r="AC69">
        <v>0</v>
      </c>
      <c r="AD69" t="s">
        <v>111</v>
      </c>
      <c r="AE69">
        <v>0</v>
      </c>
      <c r="AF69">
        <v>0</v>
      </c>
      <c r="AG69" t="s">
        <v>111</v>
      </c>
      <c r="AH69" t="s">
        <v>111</v>
      </c>
      <c r="AI69" t="s">
        <v>111</v>
      </c>
      <c r="AJ69" t="s">
        <v>111</v>
      </c>
      <c r="AK69" t="s">
        <v>111</v>
      </c>
      <c r="AL69" t="s">
        <v>111</v>
      </c>
      <c r="AM69">
        <v>0</v>
      </c>
      <c r="AN69">
        <v>0</v>
      </c>
      <c r="AO69">
        <v>0</v>
      </c>
      <c r="AP69" t="s">
        <v>111</v>
      </c>
      <c r="AQ69" t="s">
        <v>111</v>
      </c>
      <c r="AR69" t="s">
        <v>111</v>
      </c>
      <c r="AS69" t="s">
        <v>111</v>
      </c>
      <c r="AT69" t="s">
        <v>111</v>
      </c>
      <c r="AU69" t="s">
        <v>111</v>
      </c>
      <c r="AV69" t="s">
        <v>111</v>
      </c>
      <c r="AW69" t="s">
        <v>111</v>
      </c>
      <c r="AX69" t="s">
        <v>111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111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111</v>
      </c>
      <c r="BM69" t="s">
        <v>111</v>
      </c>
      <c r="BN69" t="s">
        <v>111</v>
      </c>
      <c r="BO69" t="s">
        <v>111</v>
      </c>
      <c r="BP69" t="s">
        <v>111</v>
      </c>
      <c r="BQ69" t="s">
        <v>111</v>
      </c>
      <c r="BR69" t="s">
        <v>111</v>
      </c>
      <c r="BS69" t="s">
        <v>111</v>
      </c>
      <c r="BT69" t="s">
        <v>111</v>
      </c>
      <c r="BU69" t="s">
        <v>111</v>
      </c>
      <c r="BV69" t="s">
        <v>111</v>
      </c>
      <c r="BW69" t="s">
        <v>111</v>
      </c>
      <c r="BX69" t="s">
        <v>111</v>
      </c>
      <c r="BY69" t="s">
        <v>111</v>
      </c>
      <c r="BZ69" t="s">
        <v>111</v>
      </c>
      <c r="CA69" t="s">
        <v>111</v>
      </c>
      <c r="CB69" t="s">
        <v>111</v>
      </c>
      <c r="CC69" t="s">
        <v>111</v>
      </c>
      <c r="CD69" t="s">
        <v>111</v>
      </c>
      <c r="CE69" t="s">
        <v>111</v>
      </c>
      <c r="CF69" t="s">
        <v>111</v>
      </c>
      <c r="CG69" t="s">
        <v>111</v>
      </c>
      <c r="CH69" t="s">
        <v>111</v>
      </c>
      <c r="CI69" t="s">
        <v>111</v>
      </c>
      <c r="CJ69" t="s">
        <v>111</v>
      </c>
      <c r="CK69" t="s">
        <v>111</v>
      </c>
      <c r="CL69" t="s">
        <v>111</v>
      </c>
      <c r="CM69" t="s">
        <v>360</v>
      </c>
      <c r="CN69" t="s">
        <v>113</v>
      </c>
      <c r="CO69" t="s">
        <v>111</v>
      </c>
      <c r="CP69" t="s">
        <v>111</v>
      </c>
      <c r="CQ69">
        <v>0</v>
      </c>
      <c r="CR69">
        <v>3000</v>
      </c>
      <c r="CS69">
        <v>50</v>
      </c>
      <c r="CT69" s="1" t="s">
        <v>361</v>
      </c>
      <c r="CU69">
        <v>0</v>
      </c>
      <c r="CV69" t="s">
        <v>111</v>
      </c>
      <c r="CW69" t="s">
        <v>111</v>
      </c>
      <c r="CX69" t="s">
        <v>111</v>
      </c>
      <c r="CY69">
        <v>0</v>
      </c>
      <c r="CZ69" t="s">
        <v>111</v>
      </c>
      <c r="DA69" t="s">
        <v>111</v>
      </c>
      <c r="DB69" t="s">
        <v>111</v>
      </c>
      <c r="DC69" t="s">
        <v>111</v>
      </c>
    </row>
    <row r="70" spans="1:107">
      <c r="A70">
        <v>1802</v>
      </c>
      <c r="B70" t="s">
        <v>107</v>
      </c>
      <c r="C70" t="s">
        <v>362</v>
      </c>
      <c r="D70" t="s">
        <v>363</v>
      </c>
      <c r="E70" t="s">
        <v>364</v>
      </c>
      <c r="F70" t="s">
        <v>365</v>
      </c>
      <c r="G70" t="s">
        <v>359</v>
      </c>
      <c r="H70">
        <v>2.5</v>
      </c>
      <c r="I70">
        <v>46</v>
      </c>
      <c r="J70">
        <v>0</v>
      </c>
      <c r="K70">
        <v>0</v>
      </c>
      <c r="L70" t="s">
        <v>112</v>
      </c>
      <c r="M70" t="s">
        <v>111</v>
      </c>
      <c r="N70">
        <v>0</v>
      </c>
      <c r="O70">
        <v>0</v>
      </c>
      <c r="P70" t="s">
        <v>111</v>
      </c>
      <c r="Q70">
        <v>20</v>
      </c>
      <c r="R70">
        <v>0</v>
      </c>
      <c r="S70">
        <v>0</v>
      </c>
      <c r="T70">
        <v>0</v>
      </c>
      <c r="U70" t="e">
        <f>-SELLADO</f>
        <v>#NAME?</v>
      </c>
      <c r="V70">
        <v>5</v>
      </c>
      <c r="W70">
        <v>0</v>
      </c>
      <c r="X70">
        <v>5</v>
      </c>
      <c r="Y70">
        <v>0</v>
      </c>
      <c r="Z70" t="s">
        <v>366</v>
      </c>
      <c r="AA70">
        <v>0</v>
      </c>
      <c r="AB70" t="s">
        <v>111</v>
      </c>
      <c r="AC70">
        <v>0</v>
      </c>
      <c r="AD70" t="s">
        <v>111</v>
      </c>
      <c r="AE70">
        <v>0</v>
      </c>
      <c r="AF70">
        <v>0</v>
      </c>
      <c r="AG70" t="s">
        <v>111</v>
      </c>
      <c r="AH70" t="s">
        <v>111</v>
      </c>
      <c r="AI70" t="s">
        <v>111</v>
      </c>
      <c r="AJ70" t="s">
        <v>111</v>
      </c>
      <c r="AK70" t="s">
        <v>111</v>
      </c>
      <c r="AL70" t="s">
        <v>111</v>
      </c>
      <c r="AM70">
        <v>0</v>
      </c>
      <c r="AN70">
        <v>0</v>
      </c>
      <c r="AO70">
        <v>0</v>
      </c>
      <c r="AP70" t="s">
        <v>111</v>
      </c>
      <c r="AQ70" t="s">
        <v>111</v>
      </c>
      <c r="AR70" t="s">
        <v>111</v>
      </c>
      <c r="AS70" t="s">
        <v>111</v>
      </c>
      <c r="AT70" t="s">
        <v>111</v>
      </c>
      <c r="AU70" t="s">
        <v>111</v>
      </c>
      <c r="AV70" t="s">
        <v>111</v>
      </c>
      <c r="AW70" t="s">
        <v>111</v>
      </c>
      <c r="AX70" t="s">
        <v>111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111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111</v>
      </c>
      <c r="BM70" t="s">
        <v>111</v>
      </c>
      <c r="BN70" t="s">
        <v>111</v>
      </c>
      <c r="BO70" t="s">
        <v>111</v>
      </c>
      <c r="BP70" t="s">
        <v>111</v>
      </c>
      <c r="BQ70" t="s">
        <v>111</v>
      </c>
      <c r="BR70" t="s">
        <v>111</v>
      </c>
      <c r="BS70" t="s">
        <v>111</v>
      </c>
      <c r="BT70" t="s">
        <v>111</v>
      </c>
      <c r="BU70" t="s">
        <v>111</v>
      </c>
      <c r="BV70" t="s">
        <v>111</v>
      </c>
      <c r="BW70" t="s">
        <v>111</v>
      </c>
      <c r="BX70" t="s">
        <v>111</v>
      </c>
      <c r="BY70" t="s">
        <v>111</v>
      </c>
      <c r="BZ70" t="s">
        <v>111</v>
      </c>
      <c r="CA70" t="s">
        <v>111</v>
      </c>
      <c r="CB70" t="s">
        <v>111</v>
      </c>
      <c r="CC70" t="s">
        <v>111</v>
      </c>
      <c r="CD70" t="s">
        <v>111</v>
      </c>
      <c r="CE70" t="s">
        <v>111</v>
      </c>
      <c r="CF70" t="s">
        <v>111</v>
      </c>
      <c r="CG70" t="s">
        <v>111</v>
      </c>
      <c r="CH70" t="s">
        <v>111</v>
      </c>
      <c r="CI70" t="s">
        <v>111</v>
      </c>
      <c r="CJ70" t="s">
        <v>111</v>
      </c>
      <c r="CK70" t="s">
        <v>111</v>
      </c>
      <c r="CL70" t="s">
        <v>111</v>
      </c>
      <c r="CM70" t="s">
        <v>135</v>
      </c>
      <c r="CN70" t="s">
        <v>113</v>
      </c>
      <c r="CO70" t="s">
        <v>367</v>
      </c>
      <c r="CP70" t="s">
        <v>111</v>
      </c>
      <c r="CQ70">
        <v>0</v>
      </c>
      <c r="CR70">
        <v>1000</v>
      </c>
      <c r="CS70">
        <v>50</v>
      </c>
      <c r="CT70" t="e">
        <f>-BIEN EMPACADO PARA TROQUELAR</f>
        <v>#NAME?</v>
      </c>
      <c r="CU70">
        <v>0</v>
      </c>
      <c r="CV70" t="s">
        <v>111</v>
      </c>
      <c r="CX70" t="s">
        <v>111</v>
      </c>
      <c r="CY70">
        <v>0</v>
      </c>
      <c r="CZ70" t="s">
        <v>111</v>
      </c>
      <c r="DA70" t="s">
        <v>111</v>
      </c>
      <c r="DB70" t="e">
        <f>-INTERNO</f>
        <v>#NAME?</v>
      </c>
      <c r="DC70" t="e">
        <f>-TROQUEL RIÑON</f>
        <v>#NAME?</v>
      </c>
    </row>
    <row r="71" spans="1:107">
      <c r="A71">
        <v>1801</v>
      </c>
      <c r="B71" t="s">
        <v>107</v>
      </c>
      <c r="C71" t="s">
        <v>362</v>
      </c>
      <c r="D71" t="s">
        <v>368</v>
      </c>
      <c r="E71" t="s">
        <v>369</v>
      </c>
      <c r="F71" t="s">
        <v>370</v>
      </c>
      <c r="G71" t="s">
        <v>359</v>
      </c>
      <c r="H71">
        <v>3.5</v>
      </c>
      <c r="I71">
        <v>44</v>
      </c>
      <c r="J71">
        <v>4</v>
      </c>
      <c r="K71">
        <v>8</v>
      </c>
      <c r="L71" t="s">
        <v>112</v>
      </c>
      <c r="M71" t="s">
        <v>111</v>
      </c>
      <c r="N71">
        <v>0</v>
      </c>
      <c r="O71">
        <v>0</v>
      </c>
      <c r="P71" t="s">
        <v>111</v>
      </c>
      <c r="Q71">
        <v>40</v>
      </c>
      <c r="R71">
        <v>0</v>
      </c>
      <c r="S71">
        <v>0</v>
      </c>
      <c r="T71">
        <v>0</v>
      </c>
      <c r="U71" t="e">
        <f>-SELLADO</f>
        <v>#NAME?</v>
      </c>
      <c r="V71">
        <v>5</v>
      </c>
      <c r="W71">
        <v>0</v>
      </c>
      <c r="X71">
        <v>5</v>
      </c>
      <c r="Y71">
        <v>0</v>
      </c>
      <c r="Z71" t="s">
        <v>288</v>
      </c>
      <c r="AA71">
        <v>0</v>
      </c>
      <c r="AB71" t="s">
        <v>111</v>
      </c>
      <c r="AC71">
        <v>0</v>
      </c>
      <c r="AD71" t="s">
        <v>111</v>
      </c>
      <c r="AE71">
        <v>0</v>
      </c>
      <c r="AF71">
        <v>0</v>
      </c>
      <c r="AG71" t="s">
        <v>111</v>
      </c>
      <c r="AH71" t="s">
        <v>111</v>
      </c>
      <c r="AI71" t="s">
        <v>111</v>
      </c>
      <c r="AJ71" t="s">
        <v>111</v>
      </c>
      <c r="AK71" t="s">
        <v>111</v>
      </c>
      <c r="AL71" t="s">
        <v>111</v>
      </c>
      <c r="AM71">
        <v>0</v>
      </c>
      <c r="AN71">
        <v>0</v>
      </c>
      <c r="AO71">
        <v>0</v>
      </c>
      <c r="AP71" t="s">
        <v>111</v>
      </c>
      <c r="AQ71" t="s">
        <v>111</v>
      </c>
      <c r="AR71" t="s">
        <v>111</v>
      </c>
      <c r="AS71" t="s">
        <v>111</v>
      </c>
      <c r="AT71" t="s">
        <v>111</v>
      </c>
      <c r="AU71" t="s">
        <v>111</v>
      </c>
      <c r="AV71" t="s">
        <v>111</v>
      </c>
      <c r="AW71" t="s">
        <v>111</v>
      </c>
      <c r="AX71" t="s">
        <v>111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111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111</v>
      </c>
      <c r="BM71" t="s">
        <v>111</v>
      </c>
      <c r="BN71" t="s">
        <v>111</v>
      </c>
      <c r="BO71" t="s">
        <v>111</v>
      </c>
      <c r="BP71" t="s">
        <v>111</v>
      </c>
      <c r="BQ71" t="s">
        <v>111</v>
      </c>
      <c r="BR71" t="s">
        <v>111</v>
      </c>
      <c r="BS71" t="s">
        <v>111</v>
      </c>
      <c r="BT71" t="s">
        <v>111</v>
      </c>
      <c r="BU71" t="s">
        <v>111</v>
      </c>
      <c r="BV71" t="s">
        <v>111</v>
      </c>
      <c r="BW71" t="s">
        <v>111</v>
      </c>
      <c r="BX71" t="s">
        <v>111</v>
      </c>
      <c r="BY71" t="s">
        <v>111</v>
      </c>
      <c r="BZ71" t="s">
        <v>111</v>
      </c>
      <c r="CA71" t="s">
        <v>111</v>
      </c>
      <c r="CB71" t="s">
        <v>111</v>
      </c>
      <c r="CC71" t="s">
        <v>111</v>
      </c>
      <c r="CD71" t="s">
        <v>111</v>
      </c>
      <c r="CE71" t="s">
        <v>111</v>
      </c>
      <c r="CF71" t="s">
        <v>111</v>
      </c>
      <c r="CG71" t="s">
        <v>111</v>
      </c>
      <c r="CH71" t="s">
        <v>111</v>
      </c>
      <c r="CI71" t="s">
        <v>111</v>
      </c>
      <c r="CJ71" t="s">
        <v>111</v>
      </c>
      <c r="CK71" t="s">
        <v>111</v>
      </c>
      <c r="CL71" t="s">
        <v>111</v>
      </c>
      <c r="CM71" t="s">
        <v>135</v>
      </c>
      <c r="CN71" t="s">
        <v>113</v>
      </c>
      <c r="CO71" t="s">
        <v>367</v>
      </c>
      <c r="CP71" t="s">
        <v>111</v>
      </c>
      <c r="CQ71">
        <v>0</v>
      </c>
      <c r="CR71">
        <v>1000</v>
      </c>
      <c r="CS71">
        <v>50</v>
      </c>
      <c r="CT71" s="1" t="s">
        <v>371</v>
      </c>
      <c r="CU71">
        <v>0</v>
      </c>
      <c r="CV71" t="s">
        <v>111</v>
      </c>
      <c r="CX71" t="s">
        <v>111</v>
      </c>
      <c r="CY71">
        <v>0</v>
      </c>
      <c r="CZ71" t="s">
        <v>111</v>
      </c>
      <c r="DA71" t="s">
        <v>111</v>
      </c>
      <c r="DB71" t="e">
        <f>-INERNO</f>
        <v>#NAME?</v>
      </c>
      <c r="DC71" t="e">
        <f>-TROQUEL RIÑON</f>
        <v>#NAME?</v>
      </c>
    </row>
    <row r="72" spans="1:107">
      <c r="A72">
        <v>2002</v>
      </c>
      <c r="B72" t="s">
        <v>107</v>
      </c>
      <c r="C72" t="s">
        <v>277</v>
      </c>
      <c r="D72" t="s">
        <v>372</v>
      </c>
      <c r="E72" t="s">
        <v>373</v>
      </c>
      <c r="F72" t="s">
        <v>374</v>
      </c>
      <c r="G72" t="s">
        <v>359</v>
      </c>
      <c r="H72">
        <v>2.75</v>
      </c>
      <c r="I72">
        <v>50</v>
      </c>
      <c r="J72">
        <v>0</v>
      </c>
      <c r="K72">
        <v>0</v>
      </c>
      <c r="L72" t="s">
        <v>117</v>
      </c>
      <c r="M72" t="s">
        <v>111</v>
      </c>
      <c r="N72">
        <v>0</v>
      </c>
      <c r="O72">
        <v>0</v>
      </c>
      <c r="P72" t="s">
        <v>111</v>
      </c>
      <c r="Q72">
        <v>20</v>
      </c>
      <c r="R72">
        <v>0</v>
      </c>
      <c r="S72">
        <v>0</v>
      </c>
      <c r="T72">
        <v>0</v>
      </c>
      <c r="U72" t="e">
        <f>-REFILADO</f>
        <v>#NAME?</v>
      </c>
      <c r="V72">
        <v>0</v>
      </c>
      <c r="W72">
        <v>10</v>
      </c>
      <c r="X72">
        <v>10</v>
      </c>
      <c r="Y72">
        <v>0</v>
      </c>
      <c r="Z72" t="s">
        <v>111</v>
      </c>
      <c r="AA72">
        <v>0</v>
      </c>
      <c r="AB72" t="s">
        <v>111</v>
      </c>
      <c r="AC72">
        <v>0</v>
      </c>
      <c r="AD72" t="s">
        <v>111</v>
      </c>
      <c r="AE72">
        <v>0</v>
      </c>
      <c r="AF72">
        <v>0</v>
      </c>
      <c r="AG72" t="s">
        <v>111</v>
      </c>
      <c r="AH72" t="s">
        <v>111</v>
      </c>
      <c r="AI72" t="s">
        <v>111</v>
      </c>
      <c r="AJ72" t="s">
        <v>111</v>
      </c>
      <c r="AK72" t="s">
        <v>111</v>
      </c>
      <c r="AL72" t="s">
        <v>111</v>
      </c>
      <c r="AM72">
        <v>0</v>
      </c>
      <c r="AN72">
        <v>0</v>
      </c>
      <c r="AO72">
        <v>0</v>
      </c>
      <c r="AP72" t="s">
        <v>111</v>
      </c>
      <c r="AQ72" t="s">
        <v>111</v>
      </c>
      <c r="AR72" t="s">
        <v>111</v>
      </c>
      <c r="AS72" t="s">
        <v>111</v>
      </c>
      <c r="AT72" t="s">
        <v>111</v>
      </c>
      <c r="AU72" t="s">
        <v>111</v>
      </c>
      <c r="AV72" t="s">
        <v>111</v>
      </c>
      <c r="AW72" t="s">
        <v>111</v>
      </c>
      <c r="AX72" t="s">
        <v>111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111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111</v>
      </c>
      <c r="BM72" t="s">
        <v>111</v>
      </c>
      <c r="BN72" t="s">
        <v>111</v>
      </c>
      <c r="BO72" t="s">
        <v>111</v>
      </c>
      <c r="BP72" t="s">
        <v>111</v>
      </c>
      <c r="BQ72" t="s">
        <v>111</v>
      </c>
      <c r="BR72" t="s">
        <v>111</v>
      </c>
      <c r="BS72" t="s">
        <v>111</v>
      </c>
      <c r="BT72" t="s">
        <v>111</v>
      </c>
      <c r="BU72" t="s">
        <v>111</v>
      </c>
      <c r="BV72" t="s">
        <v>111</v>
      </c>
      <c r="BW72" t="s">
        <v>111</v>
      </c>
      <c r="BX72" t="s">
        <v>111</v>
      </c>
      <c r="BY72" t="s">
        <v>111</v>
      </c>
      <c r="BZ72" t="s">
        <v>111</v>
      </c>
      <c r="CA72" t="s">
        <v>111</v>
      </c>
      <c r="CB72" t="s">
        <v>111</v>
      </c>
      <c r="CC72" t="s">
        <v>111</v>
      </c>
      <c r="CD72" t="s">
        <v>111</v>
      </c>
      <c r="CE72" t="s">
        <v>111</v>
      </c>
      <c r="CF72" t="s">
        <v>111</v>
      </c>
      <c r="CG72" t="s">
        <v>111</v>
      </c>
      <c r="CH72" t="s">
        <v>111</v>
      </c>
      <c r="CI72" t="s">
        <v>111</v>
      </c>
      <c r="CJ72" t="s">
        <v>111</v>
      </c>
      <c r="CK72" t="s">
        <v>111</v>
      </c>
      <c r="CL72" t="s">
        <v>111</v>
      </c>
      <c r="CM72" t="s">
        <v>111</v>
      </c>
      <c r="CN72" t="s">
        <v>111</v>
      </c>
      <c r="CO72" t="s">
        <v>111</v>
      </c>
      <c r="CP72" t="s">
        <v>111</v>
      </c>
      <c r="CQ72">
        <v>0</v>
      </c>
      <c r="CR72">
        <v>0</v>
      </c>
      <c r="CS72">
        <v>0</v>
      </c>
      <c r="CT72" t="s">
        <v>111</v>
      </c>
      <c r="CU72">
        <v>12.5</v>
      </c>
      <c r="CV72" t="s">
        <v>375</v>
      </c>
      <c r="CX72">
        <v>-1</v>
      </c>
      <c r="CY72">
        <v>0</v>
      </c>
      <c r="CZ72" t="s">
        <v>117</v>
      </c>
      <c r="DA72" t="e">
        <f>-ALMACEN</f>
        <v>#NAME?</v>
      </c>
      <c r="DB72" t="s">
        <v>111</v>
      </c>
      <c r="DC72" t="s">
        <v>111</v>
      </c>
    </row>
    <row r="73" spans="1:107">
      <c r="A73">
        <v>2020</v>
      </c>
      <c r="B73" t="s">
        <v>376</v>
      </c>
      <c r="C73" t="s">
        <v>119</v>
      </c>
      <c r="D73" t="s">
        <v>377</v>
      </c>
      <c r="E73" t="s">
        <v>378</v>
      </c>
      <c r="F73" t="s">
        <v>125</v>
      </c>
      <c r="G73" t="s">
        <v>359</v>
      </c>
      <c r="H73">
        <v>0.8</v>
      </c>
      <c r="I73">
        <v>60</v>
      </c>
      <c r="J73">
        <v>0</v>
      </c>
      <c r="K73">
        <v>0</v>
      </c>
      <c r="L73" t="s">
        <v>112</v>
      </c>
      <c r="M73" t="s">
        <v>138</v>
      </c>
      <c r="N73">
        <v>0</v>
      </c>
      <c r="O73">
        <v>0</v>
      </c>
      <c r="P73" t="s">
        <v>111</v>
      </c>
      <c r="Q73">
        <v>40</v>
      </c>
      <c r="R73">
        <v>0</v>
      </c>
      <c r="S73">
        <v>0</v>
      </c>
      <c r="T73">
        <v>0</v>
      </c>
      <c r="U73" t="e">
        <f>- SELLADO</f>
        <v>#NAME?</v>
      </c>
      <c r="V73">
        <v>10</v>
      </c>
      <c r="W73">
        <v>0</v>
      </c>
      <c r="X73">
        <v>0</v>
      </c>
      <c r="Y73">
        <v>0</v>
      </c>
      <c r="Z73" t="s">
        <v>111</v>
      </c>
      <c r="AA73">
        <v>0</v>
      </c>
      <c r="AB73" t="s">
        <v>111</v>
      </c>
      <c r="AC73">
        <v>0</v>
      </c>
      <c r="AD73" t="s">
        <v>111</v>
      </c>
      <c r="AE73">
        <v>0</v>
      </c>
      <c r="AF73">
        <v>0</v>
      </c>
      <c r="AG73" t="s">
        <v>111</v>
      </c>
      <c r="AH73" t="s">
        <v>111</v>
      </c>
      <c r="AI73" t="s">
        <v>111</v>
      </c>
      <c r="AJ73" t="s">
        <v>111</v>
      </c>
      <c r="AK73" t="s">
        <v>111</v>
      </c>
      <c r="AL73" t="s">
        <v>111</v>
      </c>
      <c r="AM73">
        <v>0</v>
      </c>
      <c r="AN73">
        <v>0</v>
      </c>
      <c r="AO73">
        <v>0</v>
      </c>
      <c r="AP73" t="s">
        <v>111</v>
      </c>
      <c r="AQ73" t="s">
        <v>111</v>
      </c>
      <c r="AR73" t="s">
        <v>111</v>
      </c>
      <c r="AS73" t="s">
        <v>111</v>
      </c>
      <c r="AT73" t="s">
        <v>111</v>
      </c>
      <c r="AU73" t="s">
        <v>111</v>
      </c>
      <c r="AV73" t="s">
        <v>111</v>
      </c>
      <c r="AW73" t="s">
        <v>111</v>
      </c>
      <c r="AX73" t="s">
        <v>111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111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111</v>
      </c>
      <c r="BM73" t="s">
        <v>111</v>
      </c>
      <c r="BN73" t="s">
        <v>111</v>
      </c>
      <c r="BO73" t="s">
        <v>111</v>
      </c>
      <c r="BP73" t="s">
        <v>111</v>
      </c>
      <c r="BQ73" t="s">
        <v>111</v>
      </c>
      <c r="BR73" t="s">
        <v>111</v>
      </c>
      <c r="BS73" t="s">
        <v>111</v>
      </c>
      <c r="BT73" t="s">
        <v>111</v>
      </c>
      <c r="BU73" t="s">
        <v>111</v>
      </c>
      <c r="BV73" t="s">
        <v>111</v>
      </c>
      <c r="BW73" t="s">
        <v>111</v>
      </c>
      <c r="BX73" t="s">
        <v>111</v>
      </c>
      <c r="BY73" t="s">
        <v>111</v>
      </c>
      <c r="BZ73" t="s">
        <v>111</v>
      </c>
      <c r="CA73" t="s">
        <v>111</v>
      </c>
      <c r="CB73" t="s">
        <v>111</v>
      </c>
      <c r="CC73" t="s">
        <v>111</v>
      </c>
      <c r="CD73" t="s">
        <v>111</v>
      </c>
      <c r="CE73" t="s">
        <v>111</v>
      </c>
      <c r="CF73" t="s">
        <v>111</v>
      </c>
      <c r="CG73" t="s">
        <v>111</v>
      </c>
      <c r="CH73" t="s">
        <v>111</v>
      </c>
      <c r="CI73" t="s">
        <v>111</v>
      </c>
      <c r="CJ73" t="s">
        <v>111</v>
      </c>
      <c r="CK73" t="s">
        <v>111</v>
      </c>
      <c r="CL73" t="s">
        <v>111</v>
      </c>
      <c r="CM73" t="s">
        <v>127</v>
      </c>
      <c r="CN73" t="s">
        <v>128</v>
      </c>
      <c r="CO73" t="s">
        <v>111</v>
      </c>
      <c r="CP73" t="s">
        <v>111</v>
      </c>
      <c r="CQ73">
        <v>0</v>
      </c>
      <c r="CR73">
        <v>1500</v>
      </c>
      <c r="CS73">
        <v>100</v>
      </c>
      <c r="CT73" t="e">
        <f>-ALMACEN</f>
        <v>#NAME?</v>
      </c>
      <c r="CU73">
        <v>0</v>
      </c>
      <c r="CV73" t="s">
        <v>111</v>
      </c>
      <c r="CX73" t="s">
        <v>111</v>
      </c>
      <c r="CY73">
        <v>0</v>
      </c>
      <c r="CZ73" t="s">
        <v>111</v>
      </c>
      <c r="DA73" t="s">
        <v>111</v>
      </c>
      <c r="DB73" t="s">
        <v>111</v>
      </c>
      <c r="DC73" t="s">
        <v>111</v>
      </c>
    </row>
    <row r="74" spans="1:107">
      <c r="A74">
        <v>1863</v>
      </c>
      <c r="B74" t="s">
        <v>107</v>
      </c>
      <c r="C74" t="s">
        <v>379</v>
      </c>
      <c r="D74" t="s">
        <v>380</v>
      </c>
      <c r="E74" t="s">
        <v>381</v>
      </c>
      <c r="F74" t="s">
        <v>382</v>
      </c>
      <c r="G74" t="s">
        <v>383</v>
      </c>
      <c r="H74">
        <v>0.9</v>
      </c>
      <c r="I74">
        <v>30</v>
      </c>
      <c r="J74">
        <v>0</v>
      </c>
      <c r="K74">
        <v>0</v>
      </c>
      <c r="L74" t="s">
        <v>112</v>
      </c>
      <c r="M74" t="s">
        <v>118</v>
      </c>
      <c r="N74">
        <v>39</v>
      </c>
      <c r="O74">
        <v>1</v>
      </c>
      <c r="P74" t="s">
        <v>111</v>
      </c>
      <c r="Q74">
        <v>25</v>
      </c>
      <c r="R74">
        <v>0</v>
      </c>
      <c r="S74">
        <v>0</v>
      </c>
      <c r="T74">
        <v>0</v>
      </c>
      <c r="U74" t="e">
        <f>-ALMACEN</f>
        <v>#NAME?</v>
      </c>
      <c r="V74">
        <v>0</v>
      </c>
      <c r="W74">
        <v>25</v>
      </c>
      <c r="X74">
        <v>5</v>
      </c>
      <c r="Y74">
        <v>0</v>
      </c>
      <c r="Z74" t="s">
        <v>288</v>
      </c>
      <c r="AA74">
        <v>2</v>
      </c>
      <c r="AB74" t="s">
        <v>111</v>
      </c>
      <c r="AC74">
        <v>0</v>
      </c>
      <c r="AD74" t="s">
        <v>111</v>
      </c>
      <c r="AE74">
        <v>0</v>
      </c>
      <c r="AF74">
        <v>0</v>
      </c>
      <c r="AG74" t="s">
        <v>111</v>
      </c>
      <c r="AH74" t="s">
        <v>111</v>
      </c>
      <c r="AI74" t="s">
        <v>111</v>
      </c>
      <c r="AJ74" t="s">
        <v>111</v>
      </c>
      <c r="AK74" t="s">
        <v>111</v>
      </c>
      <c r="AL74" t="s">
        <v>111</v>
      </c>
      <c r="AM74">
        <v>0</v>
      </c>
      <c r="AN74">
        <v>0</v>
      </c>
      <c r="AO74">
        <v>0</v>
      </c>
      <c r="AP74" t="s">
        <v>111</v>
      </c>
      <c r="AQ74" t="s">
        <v>111</v>
      </c>
      <c r="AR74" t="s">
        <v>111</v>
      </c>
      <c r="AS74" t="s">
        <v>111</v>
      </c>
      <c r="AT74" t="s">
        <v>111</v>
      </c>
      <c r="AU74" t="s">
        <v>111</v>
      </c>
      <c r="AV74" t="s">
        <v>111</v>
      </c>
      <c r="AW74" t="s">
        <v>111</v>
      </c>
      <c r="AX74" t="s">
        <v>111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111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111</v>
      </c>
      <c r="BM74" t="s">
        <v>111</v>
      </c>
      <c r="BN74" t="s">
        <v>111</v>
      </c>
      <c r="BO74" t="s">
        <v>111</v>
      </c>
      <c r="BP74" t="s">
        <v>111</v>
      </c>
      <c r="BQ74" t="s">
        <v>111</v>
      </c>
      <c r="BR74" t="s">
        <v>111</v>
      </c>
      <c r="BS74" t="s">
        <v>111</v>
      </c>
      <c r="BT74" t="s">
        <v>111</v>
      </c>
      <c r="BU74" t="s">
        <v>111</v>
      </c>
      <c r="BV74" t="s">
        <v>111</v>
      </c>
      <c r="BW74" t="s">
        <v>111</v>
      </c>
      <c r="BX74" t="s">
        <v>111</v>
      </c>
      <c r="BY74" t="s">
        <v>111</v>
      </c>
      <c r="BZ74" t="s">
        <v>111</v>
      </c>
      <c r="CA74" t="s">
        <v>111</v>
      </c>
      <c r="CB74" t="s">
        <v>111</v>
      </c>
      <c r="CC74" t="s">
        <v>111</v>
      </c>
      <c r="CD74" t="s">
        <v>111</v>
      </c>
      <c r="CE74" t="s">
        <v>111</v>
      </c>
      <c r="CF74" t="s">
        <v>111</v>
      </c>
      <c r="CG74" t="s">
        <v>111</v>
      </c>
      <c r="CH74" t="s">
        <v>111</v>
      </c>
      <c r="CI74" t="s">
        <v>111</v>
      </c>
      <c r="CJ74" t="s">
        <v>111</v>
      </c>
      <c r="CK74" t="s">
        <v>111</v>
      </c>
      <c r="CL74" t="s">
        <v>111</v>
      </c>
      <c r="CM74" t="s">
        <v>111</v>
      </c>
      <c r="CN74" t="s">
        <v>111</v>
      </c>
      <c r="CO74" t="s">
        <v>111</v>
      </c>
      <c r="CP74" t="s">
        <v>111</v>
      </c>
      <c r="CQ74">
        <v>0</v>
      </c>
      <c r="CR74">
        <v>0</v>
      </c>
      <c r="CS74">
        <v>0</v>
      </c>
      <c r="CT74" t="s">
        <v>111</v>
      </c>
      <c r="CU74">
        <v>0</v>
      </c>
      <c r="CV74" t="s">
        <v>111</v>
      </c>
      <c r="CX74" t="s">
        <v>111</v>
      </c>
      <c r="CY74">
        <v>0</v>
      </c>
      <c r="CZ74" t="s">
        <v>111</v>
      </c>
      <c r="DA74" t="s">
        <v>111</v>
      </c>
      <c r="DB74" t="s">
        <v>111</v>
      </c>
      <c r="DC74" t="s">
        <v>111</v>
      </c>
    </row>
    <row r="75" spans="1:107">
      <c r="A75">
        <v>1921</v>
      </c>
      <c r="B75" t="s">
        <v>107</v>
      </c>
      <c r="C75" t="s">
        <v>336</v>
      </c>
      <c r="D75" t="s">
        <v>384</v>
      </c>
      <c r="E75" t="s">
        <v>385</v>
      </c>
      <c r="F75" t="s">
        <v>125</v>
      </c>
      <c r="G75" t="s">
        <v>383</v>
      </c>
      <c r="H75">
        <v>2</v>
      </c>
      <c r="I75">
        <v>44</v>
      </c>
      <c r="J75">
        <v>0</v>
      </c>
      <c r="K75">
        <v>0</v>
      </c>
      <c r="L75" t="s">
        <v>112</v>
      </c>
      <c r="M75" t="s">
        <v>111</v>
      </c>
      <c r="N75">
        <v>0</v>
      </c>
      <c r="O75">
        <v>0</v>
      </c>
      <c r="P75" t="s">
        <v>111</v>
      </c>
      <c r="Q75">
        <v>43.1</v>
      </c>
      <c r="R75">
        <v>0</v>
      </c>
      <c r="S75">
        <v>0</v>
      </c>
      <c r="T75">
        <v>5</v>
      </c>
      <c r="U75" t="e">
        <f>-SELLADO</f>
        <v>#NAME?</v>
      </c>
      <c r="V75">
        <v>25</v>
      </c>
      <c r="W75">
        <v>0</v>
      </c>
      <c r="X75">
        <v>8</v>
      </c>
      <c r="Y75">
        <v>0</v>
      </c>
      <c r="Z75" t="s">
        <v>386</v>
      </c>
      <c r="AA75">
        <v>25</v>
      </c>
      <c r="AB75" t="s">
        <v>387</v>
      </c>
      <c r="AC75">
        <v>25</v>
      </c>
      <c r="AD75" t="s">
        <v>111</v>
      </c>
      <c r="AE75">
        <v>0</v>
      </c>
      <c r="AF75">
        <v>0</v>
      </c>
      <c r="AG75" t="s">
        <v>111</v>
      </c>
      <c r="AH75" t="s">
        <v>111</v>
      </c>
      <c r="AI75" t="s">
        <v>111</v>
      </c>
      <c r="AJ75" t="s">
        <v>111</v>
      </c>
      <c r="AK75" t="s">
        <v>111</v>
      </c>
      <c r="AL75" t="s">
        <v>111</v>
      </c>
      <c r="AM75">
        <v>0</v>
      </c>
      <c r="AN75">
        <v>0</v>
      </c>
      <c r="AO75">
        <v>0</v>
      </c>
      <c r="AP75" t="s">
        <v>111</v>
      </c>
      <c r="AQ75" t="s">
        <v>111</v>
      </c>
      <c r="AR75" t="s">
        <v>111</v>
      </c>
      <c r="AS75" t="s">
        <v>111</v>
      </c>
      <c r="AT75" t="s">
        <v>111</v>
      </c>
      <c r="AU75" t="s">
        <v>111</v>
      </c>
      <c r="AV75" t="s">
        <v>111</v>
      </c>
      <c r="AW75" t="s">
        <v>111</v>
      </c>
      <c r="AX75" t="s">
        <v>111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111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111</v>
      </c>
      <c r="BM75" t="s">
        <v>111</v>
      </c>
      <c r="BN75" t="s">
        <v>111</v>
      </c>
      <c r="BO75" t="s">
        <v>111</v>
      </c>
      <c r="BP75" t="s">
        <v>111</v>
      </c>
      <c r="BQ75" t="s">
        <v>111</v>
      </c>
      <c r="BR75" t="s">
        <v>111</v>
      </c>
      <c r="BS75" t="s">
        <v>111</v>
      </c>
      <c r="BT75" t="s">
        <v>111</v>
      </c>
      <c r="BU75" t="s">
        <v>111</v>
      </c>
      <c r="BV75" t="s">
        <v>111</v>
      </c>
      <c r="BW75" t="s">
        <v>111</v>
      </c>
      <c r="BX75" t="s">
        <v>111</v>
      </c>
      <c r="BY75" t="s">
        <v>111</v>
      </c>
      <c r="BZ75" t="s">
        <v>111</v>
      </c>
      <c r="CA75" t="s">
        <v>111</v>
      </c>
      <c r="CB75" t="s">
        <v>111</v>
      </c>
      <c r="CC75" t="s">
        <v>111</v>
      </c>
      <c r="CD75" t="s">
        <v>111</v>
      </c>
      <c r="CE75" t="s">
        <v>111</v>
      </c>
      <c r="CF75" t="s">
        <v>111</v>
      </c>
      <c r="CG75" t="s">
        <v>111</v>
      </c>
      <c r="CH75" t="s">
        <v>111</v>
      </c>
      <c r="CI75" t="s">
        <v>111</v>
      </c>
      <c r="CJ75" t="s">
        <v>111</v>
      </c>
      <c r="CK75" t="s">
        <v>111</v>
      </c>
      <c r="CL75" t="s">
        <v>111</v>
      </c>
      <c r="CM75" t="s">
        <v>135</v>
      </c>
      <c r="CN75" t="s">
        <v>128</v>
      </c>
      <c r="CO75" t="s">
        <v>111</v>
      </c>
      <c r="CP75" t="s">
        <v>111</v>
      </c>
      <c r="CQ75">
        <v>0</v>
      </c>
      <c r="CR75">
        <v>500</v>
      </c>
      <c r="CS75">
        <v>20</v>
      </c>
      <c r="CT75" t="e">
        <f>-ALMACEN</f>
        <v>#NAME?</v>
      </c>
      <c r="CU75">
        <v>0</v>
      </c>
      <c r="CV75" t="s">
        <v>111</v>
      </c>
      <c r="CX75" t="s">
        <v>111</v>
      </c>
      <c r="CY75">
        <v>0</v>
      </c>
      <c r="CZ75" t="s">
        <v>111</v>
      </c>
      <c r="DA75" t="s">
        <v>111</v>
      </c>
      <c r="DB75" t="s">
        <v>111</v>
      </c>
      <c r="DC75" t="s">
        <v>111</v>
      </c>
    </row>
    <row r="76" spans="1:107">
      <c r="A76">
        <v>183</v>
      </c>
      <c r="B76" t="s">
        <v>162</v>
      </c>
      <c r="C76" t="s">
        <v>388</v>
      </c>
      <c r="D76" t="s">
        <v>389</v>
      </c>
      <c r="E76" t="s">
        <v>390</v>
      </c>
      <c r="F76" t="s">
        <v>157</v>
      </c>
      <c r="G76" t="s">
        <v>383</v>
      </c>
      <c r="H76">
        <v>6</v>
      </c>
      <c r="I76">
        <v>200</v>
      </c>
      <c r="J76">
        <v>0</v>
      </c>
      <c r="K76">
        <v>0</v>
      </c>
      <c r="L76" t="s">
        <v>178</v>
      </c>
      <c r="M76" t="s">
        <v>138</v>
      </c>
      <c r="N76">
        <v>0</v>
      </c>
      <c r="O76">
        <v>0</v>
      </c>
      <c r="P76" t="s">
        <v>138</v>
      </c>
      <c r="Q76">
        <v>60</v>
      </c>
      <c r="R76">
        <v>0</v>
      </c>
      <c r="S76">
        <v>0</v>
      </c>
      <c r="T76">
        <v>0</v>
      </c>
      <c r="U76" t="s">
        <v>168</v>
      </c>
      <c r="V76">
        <v>0</v>
      </c>
      <c r="W76">
        <v>0</v>
      </c>
      <c r="X76">
        <v>1</v>
      </c>
      <c r="Y76">
        <v>0</v>
      </c>
      <c r="Z76" t="s">
        <v>111</v>
      </c>
      <c r="AA76">
        <v>0</v>
      </c>
      <c r="AB76" t="s">
        <v>111</v>
      </c>
      <c r="AC76">
        <v>0</v>
      </c>
      <c r="AD76" t="s">
        <v>111</v>
      </c>
      <c r="AE76">
        <v>0</v>
      </c>
      <c r="AF76">
        <v>0</v>
      </c>
      <c r="AG76" t="s">
        <v>111</v>
      </c>
      <c r="AH76" t="s">
        <v>111</v>
      </c>
      <c r="AI76" t="s">
        <v>111</v>
      </c>
      <c r="AJ76" t="s">
        <v>111</v>
      </c>
      <c r="AK76" t="s">
        <v>111</v>
      </c>
      <c r="AL76" t="s">
        <v>111</v>
      </c>
      <c r="AM76">
        <v>0</v>
      </c>
      <c r="AN76">
        <v>0</v>
      </c>
      <c r="AO76">
        <v>0</v>
      </c>
      <c r="AP76" t="s">
        <v>111</v>
      </c>
      <c r="AQ76" t="s">
        <v>111</v>
      </c>
      <c r="AR76" t="s">
        <v>111</v>
      </c>
      <c r="AS76" t="s">
        <v>111</v>
      </c>
      <c r="AT76" t="s">
        <v>111</v>
      </c>
      <c r="AU76" t="s">
        <v>111</v>
      </c>
      <c r="AV76" t="s">
        <v>111</v>
      </c>
      <c r="AW76" t="s">
        <v>111</v>
      </c>
      <c r="AX76" t="s">
        <v>111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111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111</v>
      </c>
      <c r="BM76" t="s">
        <v>111</v>
      </c>
      <c r="BN76" t="s">
        <v>111</v>
      </c>
      <c r="BO76" t="s">
        <v>111</v>
      </c>
      <c r="BP76" t="s">
        <v>111</v>
      </c>
      <c r="BQ76" t="s">
        <v>111</v>
      </c>
      <c r="BR76" t="s">
        <v>111</v>
      </c>
      <c r="BS76" t="s">
        <v>111</v>
      </c>
      <c r="BT76" t="s">
        <v>111</v>
      </c>
      <c r="BU76" t="s">
        <v>111</v>
      </c>
      <c r="BV76" t="s">
        <v>111</v>
      </c>
      <c r="BW76" t="s">
        <v>111</v>
      </c>
      <c r="BX76" t="s">
        <v>111</v>
      </c>
      <c r="BY76" t="s">
        <v>111</v>
      </c>
      <c r="BZ76" t="s">
        <v>111</v>
      </c>
      <c r="CA76" t="s">
        <v>111</v>
      </c>
      <c r="CB76" t="s">
        <v>111</v>
      </c>
      <c r="CC76" t="s">
        <v>111</v>
      </c>
      <c r="CD76" t="s">
        <v>111</v>
      </c>
      <c r="CE76" t="s">
        <v>111</v>
      </c>
      <c r="CF76" t="s">
        <v>111</v>
      </c>
      <c r="CG76" t="s">
        <v>111</v>
      </c>
      <c r="CH76" t="s">
        <v>111</v>
      </c>
      <c r="CI76" t="s">
        <v>111</v>
      </c>
      <c r="CJ76" t="s">
        <v>111</v>
      </c>
      <c r="CK76" t="s">
        <v>111</v>
      </c>
      <c r="CL76" t="s">
        <v>111</v>
      </c>
      <c r="CM76" t="s">
        <v>111</v>
      </c>
      <c r="CN76" t="s">
        <v>111</v>
      </c>
      <c r="CO76" t="s">
        <v>111</v>
      </c>
      <c r="CP76" t="s">
        <v>111</v>
      </c>
      <c r="CQ76">
        <v>0</v>
      </c>
      <c r="CR76">
        <v>0</v>
      </c>
      <c r="CS76">
        <v>0</v>
      </c>
      <c r="CT76" t="s">
        <v>111</v>
      </c>
      <c r="CU76">
        <v>0</v>
      </c>
      <c r="CV76" t="s">
        <v>111</v>
      </c>
      <c r="CW76" t="s">
        <v>111</v>
      </c>
      <c r="CX76" t="s">
        <v>111</v>
      </c>
      <c r="CY76">
        <v>0</v>
      </c>
      <c r="CZ76" t="s">
        <v>111</v>
      </c>
      <c r="DA76" t="s">
        <v>111</v>
      </c>
      <c r="DB76" t="s">
        <v>111</v>
      </c>
      <c r="DC76" t="s">
        <v>111</v>
      </c>
    </row>
    <row r="77" spans="1:107">
      <c r="A77">
        <v>885</v>
      </c>
      <c r="B77" t="s">
        <v>107</v>
      </c>
      <c r="C77" t="s">
        <v>215</v>
      </c>
      <c r="D77" t="s">
        <v>391</v>
      </c>
      <c r="E77" t="s">
        <v>392</v>
      </c>
      <c r="F77" t="s">
        <v>393</v>
      </c>
      <c r="G77" t="s">
        <v>383</v>
      </c>
      <c r="H77">
        <v>4</v>
      </c>
      <c r="I77">
        <v>150</v>
      </c>
      <c r="J77">
        <v>0</v>
      </c>
      <c r="K77">
        <v>0</v>
      </c>
      <c r="L77" t="s">
        <v>178</v>
      </c>
      <c r="M77" t="s">
        <v>138</v>
      </c>
      <c r="N77">
        <v>0</v>
      </c>
      <c r="O77">
        <v>0</v>
      </c>
      <c r="P77" t="s">
        <v>138</v>
      </c>
      <c r="Q77">
        <v>50</v>
      </c>
      <c r="R77">
        <v>0</v>
      </c>
      <c r="S77">
        <v>0</v>
      </c>
      <c r="T77">
        <v>0</v>
      </c>
      <c r="U77" t="s">
        <v>394</v>
      </c>
      <c r="V77">
        <v>0</v>
      </c>
      <c r="W77">
        <v>0</v>
      </c>
      <c r="X77">
        <v>1</v>
      </c>
      <c r="Y77">
        <v>0</v>
      </c>
      <c r="Z77" t="s">
        <v>259</v>
      </c>
      <c r="AA77">
        <v>1</v>
      </c>
      <c r="AB77" t="s">
        <v>395</v>
      </c>
      <c r="AC77">
        <v>25</v>
      </c>
      <c r="AD77" t="s">
        <v>111</v>
      </c>
      <c r="AE77">
        <v>0</v>
      </c>
      <c r="AF77">
        <v>0</v>
      </c>
      <c r="AG77" t="s">
        <v>111</v>
      </c>
      <c r="AH77" t="s">
        <v>111</v>
      </c>
      <c r="AI77" t="s">
        <v>111</v>
      </c>
      <c r="AJ77" t="s">
        <v>111</v>
      </c>
      <c r="AK77" t="s">
        <v>111</v>
      </c>
      <c r="AL77" t="s">
        <v>111</v>
      </c>
      <c r="AM77">
        <v>0</v>
      </c>
      <c r="AN77">
        <v>0</v>
      </c>
      <c r="AO77">
        <v>0</v>
      </c>
      <c r="AP77" t="s">
        <v>111</v>
      </c>
      <c r="AQ77" t="s">
        <v>111</v>
      </c>
      <c r="AR77" t="s">
        <v>111</v>
      </c>
      <c r="AS77" t="s">
        <v>111</v>
      </c>
      <c r="AT77" t="s">
        <v>111</v>
      </c>
      <c r="AU77" t="s">
        <v>111</v>
      </c>
      <c r="AV77" t="s">
        <v>111</v>
      </c>
      <c r="AW77" t="s">
        <v>111</v>
      </c>
      <c r="AX77" t="s">
        <v>111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111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111</v>
      </c>
      <c r="BM77" t="s">
        <v>111</v>
      </c>
      <c r="BN77" t="s">
        <v>111</v>
      </c>
      <c r="BO77" t="s">
        <v>111</v>
      </c>
      <c r="BP77" t="s">
        <v>111</v>
      </c>
      <c r="BQ77" t="s">
        <v>111</v>
      </c>
      <c r="BR77" t="s">
        <v>111</v>
      </c>
      <c r="BS77" t="s">
        <v>111</v>
      </c>
      <c r="BT77" t="s">
        <v>111</v>
      </c>
      <c r="BU77" t="s">
        <v>111</v>
      </c>
      <c r="BV77" t="s">
        <v>111</v>
      </c>
      <c r="BW77" t="s">
        <v>111</v>
      </c>
      <c r="BX77" t="s">
        <v>111</v>
      </c>
      <c r="BY77" t="s">
        <v>111</v>
      </c>
      <c r="BZ77" t="s">
        <v>111</v>
      </c>
      <c r="CA77" t="s">
        <v>111</v>
      </c>
      <c r="CB77" t="s">
        <v>111</v>
      </c>
      <c r="CC77" t="s">
        <v>111</v>
      </c>
      <c r="CD77" t="s">
        <v>111</v>
      </c>
      <c r="CE77" t="s">
        <v>111</v>
      </c>
      <c r="CF77" t="s">
        <v>111</v>
      </c>
      <c r="CG77" t="s">
        <v>111</v>
      </c>
      <c r="CH77" t="s">
        <v>111</v>
      </c>
      <c r="CI77" t="s">
        <v>111</v>
      </c>
      <c r="CJ77" t="s">
        <v>111</v>
      </c>
      <c r="CK77" t="s">
        <v>111</v>
      </c>
      <c r="CL77" t="s">
        <v>111</v>
      </c>
      <c r="CM77" t="s">
        <v>111</v>
      </c>
      <c r="CN77" t="s">
        <v>111</v>
      </c>
      <c r="CO77" t="s">
        <v>111</v>
      </c>
      <c r="CP77" t="s">
        <v>111</v>
      </c>
      <c r="CQ77">
        <v>0</v>
      </c>
      <c r="CR77">
        <v>0</v>
      </c>
      <c r="CS77">
        <v>0</v>
      </c>
      <c r="CT77" t="s">
        <v>111</v>
      </c>
      <c r="CU77">
        <v>0</v>
      </c>
      <c r="CV77" t="s">
        <v>111</v>
      </c>
      <c r="CW77" t="s">
        <v>111</v>
      </c>
      <c r="CX77" t="s">
        <v>111</v>
      </c>
      <c r="CY77">
        <v>0</v>
      </c>
      <c r="CZ77" t="s">
        <v>111</v>
      </c>
      <c r="DA77" t="s">
        <v>111</v>
      </c>
      <c r="DB77" t="s">
        <v>111</v>
      </c>
      <c r="DC77" t="s">
        <v>111</v>
      </c>
    </row>
    <row r="78" spans="1:107">
      <c r="A78">
        <v>1414</v>
      </c>
      <c r="B78" t="s">
        <v>107</v>
      </c>
      <c r="C78" t="s">
        <v>180</v>
      </c>
      <c r="D78" t="s">
        <v>181</v>
      </c>
      <c r="E78" t="s">
        <v>396</v>
      </c>
      <c r="F78" t="s">
        <v>183</v>
      </c>
      <c r="G78" t="s">
        <v>383</v>
      </c>
      <c r="H78">
        <v>3</v>
      </c>
      <c r="I78">
        <v>74</v>
      </c>
      <c r="J78">
        <v>0</v>
      </c>
      <c r="K78">
        <v>0</v>
      </c>
      <c r="L78" t="s">
        <v>112</v>
      </c>
      <c r="M78" t="s">
        <v>138</v>
      </c>
      <c r="N78">
        <v>0</v>
      </c>
      <c r="O78">
        <v>0</v>
      </c>
      <c r="P78" t="s">
        <v>111</v>
      </c>
      <c r="Q78">
        <v>50</v>
      </c>
      <c r="R78">
        <v>0</v>
      </c>
      <c r="S78">
        <v>0</v>
      </c>
      <c r="T78">
        <v>3</v>
      </c>
      <c r="U78" t="e">
        <f>-SELLADO</f>
        <v>#NAME?</v>
      </c>
      <c r="V78">
        <v>25</v>
      </c>
      <c r="W78">
        <v>0</v>
      </c>
      <c r="X78">
        <v>8</v>
      </c>
      <c r="Y78">
        <v>0</v>
      </c>
      <c r="Z78" t="s">
        <v>184</v>
      </c>
      <c r="AA78">
        <v>0.8</v>
      </c>
      <c r="AB78" t="s">
        <v>111</v>
      </c>
      <c r="AC78">
        <v>0</v>
      </c>
      <c r="AD78" t="s">
        <v>111</v>
      </c>
      <c r="AE78">
        <v>0</v>
      </c>
      <c r="AF78">
        <v>0</v>
      </c>
      <c r="AG78" t="s">
        <v>111</v>
      </c>
      <c r="AH78" t="s">
        <v>111</v>
      </c>
      <c r="AI78" t="s">
        <v>111</v>
      </c>
      <c r="AJ78" t="s">
        <v>111</v>
      </c>
      <c r="AK78" t="s">
        <v>111</v>
      </c>
      <c r="AL78" t="s">
        <v>111</v>
      </c>
      <c r="AM78">
        <v>0</v>
      </c>
      <c r="AN78">
        <v>0</v>
      </c>
      <c r="AO78">
        <v>0</v>
      </c>
      <c r="AP78" t="s">
        <v>111</v>
      </c>
      <c r="AQ78" t="s">
        <v>111</v>
      </c>
      <c r="AR78" t="s">
        <v>111</v>
      </c>
      <c r="AS78" t="s">
        <v>111</v>
      </c>
      <c r="AT78" t="s">
        <v>111</v>
      </c>
      <c r="AU78" t="s">
        <v>111</v>
      </c>
      <c r="AV78" t="s">
        <v>111</v>
      </c>
      <c r="AW78" t="s">
        <v>111</v>
      </c>
      <c r="AX78" t="s">
        <v>111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111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111</v>
      </c>
      <c r="BM78" t="s">
        <v>111</v>
      </c>
      <c r="BN78" t="s">
        <v>111</v>
      </c>
      <c r="BO78" t="s">
        <v>111</v>
      </c>
      <c r="BP78" t="s">
        <v>111</v>
      </c>
      <c r="BQ78" t="s">
        <v>111</v>
      </c>
      <c r="BR78" t="s">
        <v>111</v>
      </c>
      <c r="BS78" t="s">
        <v>111</v>
      </c>
      <c r="BT78" t="s">
        <v>111</v>
      </c>
      <c r="BU78" t="s">
        <v>111</v>
      </c>
      <c r="BV78" t="s">
        <v>111</v>
      </c>
      <c r="BW78" t="s">
        <v>111</v>
      </c>
      <c r="BX78" t="s">
        <v>111</v>
      </c>
      <c r="BY78" t="s">
        <v>111</v>
      </c>
      <c r="BZ78" t="s">
        <v>111</v>
      </c>
      <c r="CA78" t="s">
        <v>111</v>
      </c>
      <c r="CB78" t="s">
        <v>111</v>
      </c>
      <c r="CC78" t="s">
        <v>111</v>
      </c>
      <c r="CD78" t="s">
        <v>111</v>
      </c>
      <c r="CE78" t="s">
        <v>111</v>
      </c>
      <c r="CF78" t="s">
        <v>111</v>
      </c>
      <c r="CG78" t="s">
        <v>111</v>
      </c>
      <c r="CH78" t="s">
        <v>111</v>
      </c>
      <c r="CI78" t="s">
        <v>111</v>
      </c>
      <c r="CJ78" t="s">
        <v>111</v>
      </c>
      <c r="CK78" t="s">
        <v>111</v>
      </c>
      <c r="CL78" t="s">
        <v>111</v>
      </c>
      <c r="CM78" t="s">
        <v>135</v>
      </c>
      <c r="CN78" t="s">
        <v>128</v>
      </c>
      <c r="CO78" t="s">
        <v>111</v>
      </c>
      <c r="CP78" t="s">
        <v>111</v>
      </c>
      <c r="CQ78">
        <v>30</v>
      </c>
      <c r="CR78">
        <v>200</v>
      </c>
      <c r="CS78">
        <v>20</v>
      </c>
      <c r="CT78" t="e">
        <f>-ALMACEN</f>
        <v>#NAME?</v>
      </c>
      <c r="CU78">
        <v>0</v>
      </c>
      <c r="CV78" t="s">
        <v>111</v>
      </c>
      <c r="CW78" t="s">
        <v>111</v>
      </c>
      <c r="CX78" t="s">
        <v>111</v>
      </c>
      <c r="CY78">
        <v>0</v>
      </c>
      <c r="CZ78" t="s">
        <v>111</v>
      </c>
      <c r="DA78" t="s">
        <v>111</v>
      </c>
      <c r="DB78" t="s">
        <v>111</v>
      </c>
      <c r="DC78" t="s">
        <v>111</v>
      </c>
    </row>
    <row r="79" spans="1:107">
      <c r="A79">
        <v>1845</v>
      </c>
      <c r="B79" t="s">
        <v>107</v>
      </c>
      <c r="C79" t="s">
        <v>119</v>
      </c>
      <c r="D79" t="s">
        <v>397</v>
      </c>
      <c r="E79" t="s">
        <v>398</v>
      </c>
      <c r="F79" t="s">
        <v>166</v>
      </c>
      <c r="G79" t="s">
        <v>383</v>
      </c>
      <c r="H79">
        <v>1</v>
      </c>
      <c r="I79">
        <v>60</v>
      </c>
      <c r="J79">
        <v>0</v>
      </c>
      <c r="K79">
        <v>0</v>
      </c>
      <c r="L79" t="s">
        <v>112</v>
      </c>
      <c r="M79" t="s">
        <v>111</v>
      </c>
      <c r="N79">
        <v>0</v>
      </c>
      <c r="O79">
        <v>0</v>
      </c>
      <c r="P79" t="s">
        <v>111</v>
      </c>
      <c r="Q79">
        <v>50</v>
      </c>
      <c r="R79">
        <v>0</v>
      </c>
      <c r="S79">
        <v>0</v>
      </c>
      <c r="T79">
        <v>0</v>
      </c>
      <c r="U79" t="e">
        <f>-ALMAECN</f>
        <v>#NAME?</v>
      </c>
      <c r="V79">
        <v>25</v>
      </c>
      <c r="W79">
        <v>0</v>
      </c>
      <c r="X79">
        <v>6</v>
      </c>
      <c r="Y79">
        <v>0</v>
      </c>
      <c r="Z79" t="s">
        <v>111</v>
      </c>
      <c r="AA79">
        <v>0</v>
      </c>
      <c r="AB79" t="s">
        <v>111</v>
      </c>
      <c r="AC79">
        <v>0</v>
      </c>
      <c r="AD79" t="s">
        <v>111</v>
      </c>
      <c r="AE79">
        <v>0</v>
      </c>
      <c r="AF79">
        <v>0</v>
      </c>
      <c r="AG79" t="s">
        <v>111</v>
      </c>
      <c r="AH79" t="s">
        <v>111</v>
      </c>
      <c r="AI79" t="s">
        <v>111</v>
      </c>
      <c r="AJ79" t="s">
        <v>111</v>
      </c>
      <c r="AK79" t="s">
        <v>111</v>
      </c>
      <c r="AL79" t="s">
        <v>111</v>
      </c>
      <c r="AM79">
        <v>0</v>
      </c>
      <c r="AN79">
        <v>0</v>
      </c>
      <c r="AO79">
        <v>0</v>
      </c>
      <c r="AP79" t="s">
        <v>111</v>
      </c>
      <c r="AQ79" t="s">
        <v>111</v>
      </c>
      <c r="AR79" t="s">
        <v>111</v>
      </c>
      <c r="AS79" t="s">
        <v>111</v>
      </c>
      <c r="AT79" t="s">
        <v>111</v>
      </c>
      <c r="AU79" t="s">
        <v>111</v>
      </c>
      <c r="AV79" t="s">
        <v>111</v>
      </c>
      <c r="AW79" t="s">
        <v>111</v>
      </c>
      <c r="AX79" t="s">
        <v>111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111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111</v>
      </c>
      <c r="BM79" t="s">
        <v>111</v>
      </c>
      <c r="BN79" t="s">
        <v>111</v>
      </c>
      <c r="BO79" t="s">
        <v>111</v>
      </c>
      <c r="BP79" t="s">
        <v>111</v>
      </c>
      <c r="BQ79" t="s">
        <v>111</v>
      </c>
      <c r="BR79" t="s">
        <v>111</v>
      </c>
      <c r="BS79" t="s">
        <v>111</v>
      </c>
      <c r="BT79" t="s">
        <v>111</v>
      </c>
      <c r="BU79" t="s">
        <v>111</v>
      </c>
      <c r="BV79" t="s">
        <v>111</v>
      </c>
      <c r="BW79" t="s">
        <v>111</v>
      </c>
      <c r="BX79" t="s">
        <v>111</v>
      </c>
      <c r="BY79" t="s">
        <v>111</v>
      </c>
      <c r="BZ79" t="s">
        <v>111</v>
      </c>
      <c r="CA79" t="s">
        <v>111</v>
      </c>
      <c r="CB79" t="s">
        <v>111</v>
      </c>
      <c r="CC79" t="s">
        <v>111</v>
      </c>
      <c r="CD79" t="s">
        <v>111</v>
      </c>
      <c r="CE79" t="s">
        <v>111</v>
      </c>
      <c r="CF79" t="s">
        <v>111</v>
      </c>
      <c r="CG79" t="s">
        <v>111</v>
      </c>
      <c r="CH79" t="s">
        <v>111</v>
      </c>
      <c r="CI79" t="s">
        <v>111</v>
      </c>
      <c r="CJ79" t="s">
        <v>111</v>
      </c>
      <c r="CK79" t="s">
        <v>111</v>
      </c>
      <c r="CL79" t="s">
        <v>111</v>
      </c>
      <c r="CM79" t="s">
        <v>111</v>
      </c>
      <c r="CN79" t="s">
        <v>111</v>
      </c>
      <c r="CO79" t="s">
        <v>111</v>
      </c>
      <c r="CP79" t="s">
        <v>111</v>
      </c>
      <c r="CQ79">
        <v>0</v>
      </c>
      <c r="CR79">
        <v>0</v>
      </c>
      <c r="CS79">
        <v>0</v>
      </c>
      <c r="CT79" t="s">
        <v>111</v>
      </c>
      <c r="CU79">
        <v>0</v>
      </c>
      <c r="CV79" t="s">
        <v>111</v>
      </c>
      <c r="CX79" t="s">
        <v>111</v>
      </c>
      <c r="CY79">
        <v>0</v>
      </c>
      <c r="CZ79" t="s">
        <v>111</v>
      </c>
      <c r="DA79" t="s">
        <v>111</v>
      </c>
      <c r="DB79" t="s">
        <v>111</v>
      </c>
      <c r="DC79" t="s">
        <v>111</v>
      </c>
    </row>
    <row r="80" spans="1:107">
      <c r="A80">
        <v>1873</v>
      </c>
      <c r="B80" t="s">
        <v>107</v>
      </c>
      <c r="C80" t="s">
        <v>399</v>
      </c>
      <c r="D80" t="s">
        <v>400</v>
      </c>
      <c r="E80" t="s">
        <v>401</v>
      </c>
      <c r="F80" t="s">
        <v>239</v>
      </c>
      <c r="G80" t="s">
        <v>383</v>
      </c>
      <c r="H80">
        <v>0.75</v>
      </c>
      <c r="I80">
        <v>70</v>
      </c>
      <c r="J80">
        <v>0</v>
      </c>
      <c r="K80">
        <v>0</v>
      </c>
      <c r="L80" t="s">
        <v>178</v>
      </c>
      <c r="M80" t="s">
        <v>111</v>
      </c>
      <c r="N80">
        <v>0</v>
      </c>
      <c r="O80">
        <v>0</v>
      </c>
      <c r="P80" t="s">
        <v>111</v>
      </c>
      <c r="Q80">
        <v>44</v>
      </c>
      <c r="R80">
        <v>0</v>
      </c>
      <c r="S80">
        <v>0</v>
      </c>
      <c r="T80">
        <v>5</v>
      </c>
      <c r="U80" t="e">
        <f>-MANUALES</f>
        <v>#NAME?</v>
      </c>
      <c r="V80">
        <v>25</v>
      </c>
      <c r="W80">
        <v>0</v>
      </c>
      <c r="X80">
        <v>7</v>
      </c>
      <c r="Y80">
        <v>0</v>
      </c>
      <c r="Z80" t="s">
        <v>147</v>
      </c>
      <c r="AA80">
        <v>1.5</v>
      </c>
      <c r="AB80" t="s">
        <v>111</v>
      </c>
      <c r="AC80">
        <v>0</v>
      </c>
      <c r="AD80" t="s">
        <v>111</v>
      </c>
      <c r="AE80">
        <v>0</v>
      </c>
      <c r="AF80">
        <v>0</v>
      </c>
      <c r="AG80" t="s">
        <v>111</v>
      </c>
      <c r="AH80" t="s">
        <v>111</v>
      </c>
      <c r="AI80" t="s">
        <v>111</v>
      </c>
      <c r="AJ80" t="s">
        <v>111</v>
      </c>
      <c r="AK80" t="s">
        <v>111</v>
      </c>
      <c r="AL80" t="s">
        <v>111</v>
      </c>
      <c r="AM80">
        <v>0</v>
      </c>
      <c r="AN80">
        <v>0</v>
      </c>
      <c r="AO80">
        <v>0</v>
      </c>
      <c r="AP80" t="s">
        <v>111</v>
      </c>
      <c r="AQ80" t="s">
        <v>111</v>
      </c>
      <c r="AR80" t="s">
        <v>111</v>
      </c>
      <c r="AS80" t="s">
        <v>111</v>
      </c>
      <c r="AT80" t="s">
        <v>111</v>
      </c>
      <c r="AU80" t="s">
        <v>111</v>
      </c>
      <c r="AV80" t="s">
        <v>111</v>
      </c>
      <c r="AW80" t="s">
        <v>111</v>
      </c>
      <c r="AX80" t="s">
        <v>111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111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111</v>
      </c>
      <c r="BM80" t="s">
        <v>111</v>
      </c>
      <c r="BN80" t="s">
        <v>111</v>
      </c>
      <c r="BO80" t="s">
        <v>111</v>
      </c>
      <c r="BP80" t="s">
        <v>111</v>
      </c>
      <c r="BQ80" t="s">
        <v>111</v>
      </c>
      <c r="BR80" t="s">
        <v>111</v>
      </c>
      <c r="BS80" t="s">
        <v>111</v>
      </c>
      <c r="BT80" t="s">
        <v>111</v>
      </c>
      <c r="BU80" t="s">
        <v>111</v>
      </c>
      <c r="BV80" t="s">
        <v>111</v>
      </c>
      <c r="BW80" t="s">
        <v>111</v>
      </c>
      <c r="BX80" t="s">
        <v>111</v>
      </c>
      <c r="BY80" t="s">
        <v>111</v>
      </c>
      <c r="BZ80" t="s">
        <v>111</v>
      </c>
      <c r="CA80" t="s">
        <v>111</v>
      </c>
      <c r="CB80" t="s">
        <v>111</v>
      </c>
      <c r="CC80" t="s">
        <v>111</v>
      </c>
      <c r="CD80" t="s">
        <v>111</v>
      </c>
      <c r="CE80" t="s">
        <v>111</v>
      </c>
      <c r="CF80" t="s">
        <v>111</v>
      </c>
      <c r="CG80" t="s">
        <v>111</v>
      </c>
      <c r="CH80" t="s">
        <v>111</v>
      </c>
      <c r="CI80" t="s">
        <v>111</v>
      </c>
      <c r="CJ80" t="s">
        <v>111</v>
      </c>
      <c r="CK80" t="s">
        <v>111</v>
      </c>
      <c r="CL80" t="s">
        <v>111</v>
      </c>
      <c r="CM80" t="s">
        <v>111</v>
      </c>
      <c r="CN80" t="s">
        <v>111</v>
      </c>
      <c r="CO80" t="s">
        <v>111</v>
      </c>
      <c r="CP80" t="s">
        <v>111</v>
      </c>
      <c r="CQ80">
        <v>0</v>
      </c>
      <c r="CR80">
        <v>0</v>
      </c>
      <c r="CS80">
        <v>0</v>
      </c>
      <c r="CT80" t="s">
        <v>111</v>
      </c>
      <c r="CU80">
        <v>0</v>
      </c>
      <c r="CV80" t="s">
        <v>111</v>
      </c>
      <c r="CX80" t="s">
        <v>111</v>
      </c>
      <c r="CY80">
        <v>0</v>
      </c>
      <c r="CZ80" t="s">
        <v>111</v>
      </c>
      <c r="DA80" t="s">
        <v>111</v>
      </c>
      <c r="DB80" t="e">
        <f>-INTERNO</f>
        <v>#NAME?</v>
      </c>
      <c r="DC80" t="e">
        <f>-CORTE Y SELLE</f>
        <v>#NAME?</v>
      </c>
    </row>
    <row r="81" spans="1:107">
      <c r="A81">
        <v>1853</v>
      </c>
      <c r="B81" t="s">
        <v>107</v>
      </c>
      <c r="C81" t="s">
        <v>144</v>
      </c>
      <c r="D81" t="s">
        <v>402</v>
      </c>
      <c r="E81" t="s">
        <v>403</v>
      </c>
      <c r="F81" t="s">
        <v>404</v>
      </c>
      <c r="G81" t="s">
        <v>383</v>
      </c>
      <c r="H81">
        <v>1.2</v>
      </c>
      <c r="I81">
        <v>100</v>
      </c>
      <c r="J81">
        <v>0</v>
      </c>
      <c r="K81">
        <v>0</v>
      </c>
      <c r="L81" t="s">
        <v>112</v>
      </c>
      <c r="M81" t="s">
        <v>111</v>
      </c>
      <c r="N81">
        <v>0</v>
      </c>
      <c r="O81">
        <v>0</v>
      </c>
      <c r="P81" t="s">
        <v>111</v>
      </c>
      <c r="Q81">
        <v>15</v>
      </c>
      <c r="R81">
        <v>0</v>
      </c>
      <c r="S81">
        <v>0</v>
      </c>
      <c r="T81">
        <v>5</v>
      </c>
      <c r="U81" t="e">
        <f>-MANUALES</f>
        <v>#NAME?</v>
      </c>
      <c r="V81">
        <v>25</v>
      </c>
      <c r="W81">
        <v>0</v>
      </c>
      <c r="X81">
        <v>5</v>
      </c>
      <c r="Y81">
        <v>0</v>
      </c>
      <c r="Z81" t="s">
        <v>366</v>
      </c>
      <c r="AA81">
        <v>1.5</v>
      </c>
      <c r="AB81" t="s">
        <v>111</v>
      </c>
      <c r="AC81">
        <v>0</v>
      </c>
      <c r="AD81" t="s">
        <v>111</v>
      </c>
      <c r="AE81">
        <v>0</v>
      </c>
      <c r="AF81">
        <v>0</v>
      </c>
      <c r="AG81" t="s">
        <v>111</v>
      </c>
      <c r="AH81" t="s">
        <v>111</v>
      </c>
      <c r="AI81" t="s">
        <v>111</v>
      </c>
      <c r="AJ81" t="s">
        <v>111</v>
      </c>
      <c r="AK81" t="s">
        <v>111</v>
      </c>
      <c r="AL81" t="s">
        <v>111</v>
      </c>
      <c r="AM81">
        <v>0</v>
      </c>
      <c r="AN81">
        <v>0</v>
      </c>
      <c r="AO81">
        <v>0</v>
      </c>
      <c r="AP81" t="s">
        <v>111</v>
      </c>
      <c r="AQ81" t="s">
        <v>111</v>
      </c>
      <c r="AR81" t="s">
        <v>111</v>
      </c>
      <c r="AS81" t="s">
        <v>111</v>
      </c>
      <c r="AT81" t="s">
        <v>111</v>
      </c>
      <c r="AU81" t="s">
        <v>111</v>
      </c>
      <c r="AV81" t="s">
        <v>111</v>
      </c>
      <c r="AW81" t="s">
        <v>111</v>
      </c>
      <c r="AX81" t="s">
        <v>111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111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111</v>
      </c>
      <c r="BM81" t="s">
        <v>111</v>
      </c>
      <c r="BN81" t="s">
        <v>111</v>
      </c>
      <c r="BO81" t="s">
        <v>111</v>
      </c>
      <c r="BP81" t="s">
        <v>111</v>
      </c>
      <c r="BQ81" t="s">
        <v>111</v>
      </c>
      <c r="BR81" t="s">
        <v>111</v>
      </c>
      <c r="BS81" t="s">
        <v>111</v>
      </c>
      <c r="BT81" t="s">
        <v>111</v>
      </c>
      <c r="BU81" t="s">
        <v>111</v>
      </c>
      <c r="BV81" t="s">
        <v>111</v>
      </c>
      <c r="BW81" t="s">
        <v>111</v>
      </c>
      <c r="BX81" t="s">
        <v>111</v>
      </c>
      <c r="BY81" t="s">
        <v>111</v>
      </c>
      <c r="BZ81" t="s">
        <v>111</v>
      </c>
      <c r="CA81" t="s">
        <v>111</v>
      </c>
      <c r="CB81" t="s">
        <v>111</v>
      </c>
      <c r="CC81" t="s">
        <v>111</v>
      </c>
      <c r="CD81" t="s">
        <v>111</v>
      </c>
      <c r="CE81" t="s">
        <v>111</v>
      </c>
      <c r="CF81" t="s">
        <v>111</v>
      </c>
      <c r="CG81" t="s">
        <v>111</v>
      </c>
      <c r="CH81" t="s">
        <v>111</v>
      </c>
      <c r="CI81" t="s">
        <v>111</v>
      </c>
      <c r="CJ81" t="s">
        <v>111</v>
      </c>
      <c r="CK81" t="s">
        <v>111</v>
      </c>
      <c r="CL81" t="s">
        <v>111</v>
      </c>
      <c r="CM81" t="s">
        <v>111</v>
      </c>
      <c r="CN81" t="s">
        <v>111</v>
      </c>
      <c r="CO81" t="s">
        <v>111</v>
      </c>
      <c r="CP81" t="s">
        <v>111</v>
      </c>
      <c r="CQ81">
        <v>0</v>
      </c>
      <c r="CR81">
        <v>0</v>
      </c>
      <c r="CS81">
        <v>0</v>
      </c>
      <c r="CT81" t="s">
        <v>111</v>
      </c>
      <c r="CU81">
        <v>0</v>
      </c>
      <c r="CV81" t="s">
        <v>111</v>
      </c>
      <c r="CX81" t="s">
        <v>111</v>
      </c>
      <c r="CY81">
        <v>0</v>
      </c>
      <c r="CZ81" t="s">
        <v>111</v>
      </c>
      <c r="DA81" t="s">
        <v>111</v>
      </c>
      <c r="DB81" t="e">
        <f>-INTERNO</f>
        <v>#NAME?</v>
      </c>
      <c r="DC81" t="e">
        <f>-CORTE Y SELLE</f>
        <v>#NAME?</v>
      </c>
    </row>
    <row r="82" spans="1:107">
      <c r="A82">
        <v>1732</v>
      </c>
      <c r="B82" t="s">
        <v>107</v>
      </c>
      <c r="C82" t="s">
        <v>405</v>
      </c>
      <c r="D82" t="s">
        <v>406</v>
      </c>
      <c r="E82" t="s">
        <v>407</v>
      </c>
      <c r="F82" t="s">
        <v>157</v>
      </c>
      <c r="G82" t="s">
        <v>383</v>
      </c>
      <c r="H82">
        <v>0.9</v>
      </c>
      <c r="I82">
        <v>40</v>
      </c>
      <c r="J82">
        <v>0</v>
      </c>
      <c r="K82">
        <v>0</v>
      </c>
      <c r="L82" t="s">
        <v>112</v>
      </c>
      <c r="M82" t="s">
        <v>138</v>
      </c>
      <c r="N82">
        <v>0</v>
      </c>
      <c r="O82">
        <v>0</v>
      </c>
      <c r="P82">
        <v>0</v>
      </c>
      <c r="Q82">
        <v>49</v>
      </c>
      <c r="R82">
        <v>0</v>
      </c>
      <c r="S82">
        <v>0</v>
      </c>
      <c r="T82">
        <v>0</v>
      </c>
      <c r="U82" s="1" t="s">
        <v>408</v>
      </c>
      <c r="V82">
        <v>0</v>
      </c>
      <c r="W82">
        <v>25</v>
      </c>
      <c r="X82">
        <v>5</v>
      </c>
      <c r="Y82">
        <v>0</v>
      </c>
      <c r="Z82" t="s">
        <v>111</v>
      </c>
      <c r="AA82">
        <v>0</v>
      </c>
      <c r="AB82" t="s">
        <v>111</v>
      </c>
      <c r="AC82">
        <v>0</v>
      </c>
      <c r="AD82" t="s">
        <v>111</v>
      </c>
      <c r="AE82">
        <v>0</v>
      </c>
      <c r="AF82">
        <v>0</v>
      </c>
      <c r="AG82" t="s">
        <v>111</v>
      </c>
      <c r="AH82" t="s">
        <v>111</v>
      </c>
      <c r="AI82" t="s">
        <v>111</v>
      </c>
      <c r="AJ82" t="s">
        <v>111</v>
      </c>
      <c r="AK82" t="s">
        <v>111</v>
      </c>
      <c r="AL82" t="s">
        <v>111</v>
      </c>
      <c r="AM82">
        <v>0</v>
      </c>
      <c r="AN82">
        <v>0</v>
      </c>
      <c r="AO82">
        <v>0</v>
      </c>
      <c r="AP82" t="s">
        <v>111</v>
      </c>
      <c r="AQ82" t="s">
        <v>111</v>
      </c>
      <c r="AR82" t="s">
        <v>111</v>
      </c>
      <c r="AS82" t="s">
        <v>111</v>
      </c>
      <c r="AT82" t="s">
        <v>111</v>
      </c>
      <c r="AU82" t="s">
        <v>111</v>
      </c>
      <c r="AV82" t="s">
        <v>111</v>
      </c>
      <c r="AW82" t="s">
        <v>111</v>
      </c>
      <c r="AX82" t="s">
        <v>111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111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111</v>
      </c>
      <c r="BM82" t="s">
        <v>111</v>
      </c>
      <c r="BN82" t="s">
        <v>111</v>
      </c>
      <c r="BO82" t="s">
        <v>111</v>
      </c>
      <c r="BP82" t="s">
        <v>111</v>
      </c>
      <c r="BQ82" t="s">
        <v>111</v>
      </c>
      <c r="BR82" t="s">
        <v>111</v>
      </c>
      <c r="BS82" t="s">
        <v>111</v>
      </c>
      <c r="BT82" t="s">
        <v>111</v>
      </c>
      <c r="BU82" t="s">
        <v>111</v>
      </c>
      <c r="BV82" t="s">
        <v>111</v>
      </c>
      <c r="BW82" t="s">
        <v>111</v>
      </c>
      <c r="BX82" t="s">
        <v>111</v>
      </c>
      <c r="BY82" t="s">
        <v>111</v>
      </c>
      <c r="BZ82" t="s">
        <v>111</v>
      </c>
      <c r="CA82" t="s">
        <v>111</v>
      </c>
      <c r="CB82" t="s">
        <v>111</v>
      </c>
      <c r="CC82" t="s">
        <v>111</v>
      </c>
      <c r="CD82" t="s">
        <v>111</v>
      </c>
      <c r="CE82" t="s">
        <v>111</v>
      </c>
      <c r="CF82" t="s">
        <v>111</v>
      </c>
      <c r="CG82" t="s">
        <v>111</v>
      </c>
      <c r="CH82" t="s">
        <v>111</v>
      </c>
      <c r="CI82" t="s">
        <v>111</v>
      </c>
      <c r="CJ82" t="s">
        <v>111</v>
      </c>
      <c r="CK82" t="s">
        <v>111</v>
      </c>
      <c r="CL82" t="s">
        <v>111</v>
      </c>
      <c r="CM82" t="s">
        <v>111</v>
      </c>
      <c r="CN82" t="s">
        <v>111</v>
      </c>
      <c r="CO82" t="s">
        <v>111</v>
      </c>
      <c r="CP82" t="s">
        <v>111</v>
      </c>
      <c r="CQ82">
        <v>0</v>
      </c>
      <c r="CR82">
        <v>0</v>
      </c>
      <c r="CS82">
        <v>0</v>
      </c>
      <c r="CT82" t="s">
        <v>111</v>
      </c>
      <c r="CU82">
        <v>0</v>
      </c>
      <c r="CV82" t="s">
        <v>111</v>
      </c>
      <c r="CX82" t="s">
        <v>111</v>
      </c>
      <c r="CY82">
        <v>0</v>
      </c>
      <c r="CZ82" t="s">
        <v>111</v>
      </c>
      <c r="DA82" t="s">
        <v>111</v>
      </c>
      <c r="DB82" t="s">
        <v>111</v>
      </c>
      <c r="DC82" t="s">
        <v>111</v>
      </c>
    </row>
    <row r="83" spans="1:107">
      <c r="A83">
        <v>1217</v>
      </c>
      <c r="B83" t="s">
        <v>107</v>
      </c>
      <c r="C83" t="s">
        <v>226</v>
      </c>
      <c r="D83" t="s">
        <v>409</v>
      </c>
      <c r="E83" t="s">
        <v>410</v>
      </c>
      <c r="F83" t="s">
        <v>411</v>
      </c>
      <c r="G83" t="s">
        <v>383</v>
      </c>
      <c r="H83">
        <v>6</v>
      </c>
      <c r="I83">
        <v>250</v>
      </c>
      <c r="J83">
        <v>0</v>
      </c>
      <c r="K83">
        <v>0</v>
      </c>
      <c r="L83" t="s">
        <v>112</v>
      </c>
      <c r="M83" t="s">
        <v>111</v>
      </c>
      <c r="N83">
        <v>0</v>
      </c>
      <c r="O83">
        <v>0</v>
      </c>
      <c r="P83" t="s">
        <v>111</v>
      </c>
      <c r="Q83">
        <v>30</v>
      </c>
      <c r="R83">
        <v>0</v>
      </c>
      <c r="S83">
        <v>0</v>
      </c>
      <c r="T83">
        <v>0</v>
      </c>
      <c r="U83" t="e">
        <f>-DESTINO ALMACEN</f>
        <v>#NAME?</v>
      </c>
      <c r="V83">
        <v>0</v>
      </c>
      <c r="W83">
        <v>25</v>
      </c>
      <c r="X83">
        <v>0</v>
      </c>
      <c r="Y83">
        <v>0</v>
      </c>
      <c r="Z83" t="s">
        <v>111</v>
      </c>
      <c r="AA83">
        <v>0</v>
      </c>
      <c r="AB83" t="s">
        <v>111</v>
      </c>
      <c r="AC83">
        <v>0</v>
      </c>
      <c r="AD83" t="s">
        <v>111</v>
      </c>
      <c r="AE83">
        <v>0</v>
      </c>
      <c r="AF83">
        <v>0</v>
      </c>
      <c r="AG83" t="s">
        <v>111</v>
      </c>
      <c r="AH83" t="s">
        <v>111</v>
      </c>
      <c r="AI83" t="s">
        <v>111</v>
      </c>
      <c r="AJ83" t="s">
        <v>111</v>
      </c>
      <c r="AK83" t="s">
        <v>111</v>
      </c>
      <c r="AL83" t="s">
        <v>111</v>
      </c>
      <c r="AM83">
        <v>0</v>
      </c>
      <c r="AN83">
        <v>0</v>
      </c>
      <c r="AO83">
        <v>0</v>
      </c>
      <c r="AP83" t="s">
        <v>111</v>
      </c>
      <c r="AQ83" t="s">
        <v>111</v>
      </c>
      <c r="AR83" t="s">
        <v>111</v>
      </c>
      <c r="AS83" t="s">
        <v>111</v>
      </c>
      <c r="AT83" t="s">
        <v>111</v>
      </c>
      <c r="AU83" t="s">
        <v>111</v>
      </c>
      <c r="AV83" t="s">
        <v>111</v>
      </c>
      <c r="AW83" t="s">
        <v>111</v>
      </c>
      <c r="AX83" t="s">
        <v>111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111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111</v>
      </c>
      <c r="BM83" t="s">
        <v>111</v>
      </c>
      <c r="BN83" t="s">
        <v>111</v>
      </c>
      <c r="BO83" t="s">
        <v>111</v>
      </c>
      <c r="BP83" t="s">
        <v>111</v>
      </c>
      <c r="BQ83" t="s">
        <v>111</v>
      </c>
      <c r="BR83" t="s">
        <v>111</v>
      </c>
      <c r="BS83" t="s">
        <v>111</v>
      </c>
      <c r="BT83" t="s">
        <v>111</v>
      </c>
      <c r="BU83" t="s">
        <v>111</v>
      </c>
      <c r="BV83" t="s">
        <v>111</v>
      </c>
      <c r="BW83" t="s">
        <v>111</v>
      </c>
      <c r="BX83" t="s">
        <v>111</v>
      </c>
      <c r="BY83" t="s">
        <v>111</v>
      </c>
      <c r="BZ83" t="s">
        <v>111</v>
      </c>
      <c r="CA83" t="s">
        <v>111</v>
      </c>
      <c r="CB83" t="s">
        <v>111</v>
      </c>
      <c r="CC83" t="s">
        <v>111</v>
      </c>
      <c r="CD83" t="s">
        <v>111</v>
      </c>
      <c r="CE83" t="s">
        <v>111</v>
      </c>
      <c r="CF83" t="s">
        <v>111</v>
      </c>
      <c r="CG83" t="s">
        <v>111</v>
      </c>
      <c r="CH83" t="s">
        <v>111</v>
      </c>
      <c r="CI83" t="s">
        <v>111</v>
      </c>
      <c r="CJ83" t="s">
        <v>111</v>
      </c>
      <c r="CK83" t="s">
        <v>111</v>
      </c>
      <c r="CL83" t="s">
        <v>111</v>
      </c>
      <c r="CM83" t="s">
        <v>111</v>
      </c>
      <c r="CN83" t="s">
        <v>111</v>
      </c>
      <c r="CO83" t="s">
        <v>111</v>
      </c>
      <c r="CP83" t="s">
        <v>111</v>
      </c>
      <c r="CQ83">
        <v>0</v>
      </c>
      <c r="CR83">
        <v>0</v>
      </c>
      <c r="CS83">
        <v>0</v>
      </c>
      <c r="CT83" t="s">
        <v>111</v>
      </c>
      <c r="CU83">
        <v>0</v>
      </c>
      <c r="CV83" t="s">
        <v>111</v>
      </c>
      <c r="CW83" t="s">
        <v>111</v>
      </c>
      <c r="CX83" t="s">
        <v>111</v>
      </c>
      <c r="CY83">
        <v>0</v>
      </c>
      <c r="CZ83" t="s">
        <v>111</v>
      </c>
      <c r="DA83" t="s">
        <v>111</v>
      </c>
      <c r="DB83" t="s">
        <v>111</v>
      </c>
      <c r="DC83" t="s">
        <v>111</v>
      </c>
    </row>
    <row r="84" spans="1:107">
      <c r="A84">
        <v>1566</v>
      </c>
      <c r="B84" t="s">
        <v>107</v>
      </c>
      <c r="C84" t="s">
        <v>412</v>
      </c>
      <c r="D84" t="s">
        <v>413</v>
      </c>
      <c r="E84" t="s">
        <v>414</v>
      </c>
      <c r="F84" t="s">
        <v>415</v>
      </c>
      <c r="G84" t="s">
        <v>383</v>
      </c>
      <c r="H84">
        <v>1.5</v>
      </c>
      <c r="I84">
        <v>42</v>
      </c>
      <c r="J84">
        <v>0</v>
      </c>
      <c r="K84">
        <v>0</v>
      </c>
      <c r="L84" t="s">
        <v>117</v>
      </c>
      <c r="M84" t="s">
        <v>118</v>
      </c>
      <c r="N84">
        <v>40</v>
      </c>
      <c r="O84">
        <v>1</v>
      </c>
      <c r="P84" t="s">
        <v>111</v>
      </c>
      <c r="Q84">
        <v>53</v>
      </c>
      <c r="R84">
        <v>0</v>
      </c>
      <c r="S84">
        <v>0</v>
      </c>
      <c r="T84">
        <v>5</v>
      </c>
      <c r="U84" t="e">
        <f>-IMPRESION DARMA</f>
        <v>#NAME?</v>
      </c>
      <c r="V84">
        <v>0</v>
      </c>
      <c r="W84">
        <v>25</v>
      </c>
      <c r="X84">
        <v>5</v>
      </c>
      <c r="Y84">
        <v>0</v>
      </c>
      <c r="Z84" t="s">
        <v>288</v>
      </c>
      <c r="AA84">
        <v>1.8</v>
      </c>
      <c r="AB84" t="s">
        <v>111</v>
      </c>
      <c r="AC84">
        <v>0</v>
      </c>
      <c r="AD84" t="s">
        <v>416</v>
      </c>
      <c r="AE84">
        <v>0</v>
      </c>
      <c r="AF84">
        <v>0</v>
      </c>
      <c r="AG84" t="s">
        <v>111</v>
      </c>
      <c r="AH84" t="s">
        <v>128</v>
      </c>
      <c r="AI84" t="s">
        <v>111</v>
      </c>
      <c r="AJ84" t="s">
        <v>111</v>
      </c>
      <c r="AK84" t="s">
        <v>111</v>
      </c>
      <c r="AL84" t="s">
        <v>111</v>
      </c>
      <c r="AM84">
        <v>0</v>
      </c>
      <c r="AN84">
        <v>0</v>
      </c>
      <c r="AO84">
        <v>0</v>
      </c>
      <c r="AP84" t="s">
        <v>111</v>
      </c>
      <c r="AQ84" t="s">
        <v>111</v>
      </c>
      <c r="AR84" t="s">
        <v>111</v>
      </c>
      <c r="AS84" t="s">
        <v>111</v>
      </c>
      <c r="AT84" t="s">
        <v>111</v>
      </c>
      <c r="AU84" t="s">
        <v>111</v>
      </c>
      <c r="AV84" t="s">
        <v>111</v>
      </c>
      <c r="AW84" t="s">
        <v>111</v>
      </c>
      <c r="AX84" t="s">
        <v>111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111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111</v>
      </c>
      <c r="BM84" t="s">
        <v>111</v>
      </c>
      <c r="BN84" t="s">
        <v>111</v>
      </c>
      <c r="BO84" t="s">
        <v>111</v>
      </c>
      <c r="BP84" t="s">
        <v>111</v>
      </c>
      <c r="BQ84" t="s">
        <v>111</v>
      </c>
      <c r="BR84" t="s">
        <v>111</v>
      </c>
      <c r="BS84" t="s">
        <v>111</v>
      </c>
      <c r="BT84" t="s">
        <v>111</v>
      </c>
      <c r="BU84" t="s">
        <v>111</v>
      </c>
      <c r="BV84" t="s">
        <v>111</v>
      </c>
      <c r="BW84" t="s">
        <v>111</v>
      </c>
      <c r="BX84" t="s">
        <v>111</v>
      </c>
      <c r="BY84" t="s">
        <v>111</v>
      </c>
      <c r="BZ84" t="s">
        <v>111</v>
      </c>
      <c r="CA84" t="s">
        <v>111</v>
      </c>
      <c r="CB84" t="s">
        <v>111</v>
      </c>
      <c r="CC84" t="s">
        <v>111</v>
      </c>
      <c r="CD84" t="s">
        <v>111</v>
      </c>
      <c r="CE84" t="s">
        <v>111</v>
      </c>
      <c r="CF84" t="s">
        <v>111</v>
      </c>
      <c r="CG84" t="s">
        <v>111</v>
      </c>
      <c r="CH84" t="s">
        <v>111</v>
      </c>
      <c r="CI84" t="s">
        <v>111</v>
      </c>
      <c r="CJ84" t="s">
        <v>111</v>
      </c>
      <c r="CK84" t="s">
        <v>111</v>
      </c>
      <c r="CL84" t="s">
        <v>111</v>
      </c>
      <c r="CM84" t="s">
        <v>135</v>
      </c>
      <c r="CN84" t="s">
        <v>128</v>
      </c>
      <c r="CO84" t="s">
        <v>111</v>
      </c>
      <c r="CP84" t="e">
        <f>-MUESTRA</f>
        <v>#NAME?</v>
      </c>
      <c r="CQ84">
        <v>0</v>
      </c>
      <c r="CR84">
        <v>12000</v>
      </c>
      <c r="CS84">
        <v>500</v>
      </c>
      <c r="CT84" t="e">
        <f>-ALMACEN</f>
        <v>#NAME?</v>
      </c>
      <c r="CU84">
        <v>0</v>
      </c>
      <c r="CV84" t="s">
        <v>111</v>
      </c>
      <c r="CW84" t="s">
        <v>111</v>
      </c>
      <c r="CX84" t="s">
        <v>111</v>
      </c>
      <c r="CY84">
        <v>0</v>
      </c>
      <c r="CZ84" t="s">
        <v>111</v>
      </c>
      <c r="DA84" t="s">
        <v>111</v>
      </c>
      <c r="DB84" t="s">
        <v>111</v>
      </c>
      <c r="DC84" t="s">
        <v>111</v>
      </c>
    </row>
    <row r="85" spans="1:107">
      <c r="A85">
        <v>97</v>
      </c>
      <c r="B85" t="s">
        <v>162</v>
      </c>
      <c r="C85" t="s">
        <v>388</v>
      </c>
      <c r="D85" t="s">
        <v>417</v>
      </c>
      <c r="E85" t="s">
        <v>418</v>
      </c>
      <c r="F85" t="s">
        <v>192</v>
      </c>
      <c r="G85" t="s">
        <v>383</v>
      </c>
      <c r="H85">
        <v>2.2000000000000002</v>
      </c>
      <c r="I85">
        <v>200</v>
      </c>
      <c r="J85">
        <v>0</v>
      </c>
      <c r="K85">
        <v>0</v>
      </c>
      <c r="L85" t="s">
        <v>112</v>
      </c>
      <c r="M85" t="s">
        <v>138</v>
      </c>
      <c r="N85">
        <v>0</v>
      </c>
      <c r="O85">
        <v>0</v>
      </c>
      <c r="P85" t="s">
        <v>138</v>
      </c>
      <c r="Q85">
        <v>40</v>
      </c>
      <c r="R85">
        <v>0</v>
      </c>
      <c r="S85">
        <v>0</v>
      </c>
      <c r="T85">
        <v>0</v>
      </c>
      <c r="U85" t="s">
        <v>419</v>
      </c>
      <c r="V85">
        <v>0</v>
      </c>
      <c r="W85">
        <v>25</v>
      </c>
      <c r="X85">
        <v>8</v>
      </c>
      <c r="Y85">
        <v>0</v>
      </c>
      <c r="Z85" t="s">
        <v>111</v>
      </c>
      <c r="AA85">
        <v>0</v>
      </c>
      <c r="AB85" t="s">
        <v>111</v>
      </c>
      <c r="AC85">
        <v>0</v>
      </c>
      <c r="AD85" t="s">
        <v>111</v>
      </c>
      <c r="AE85">
        <v>0</v>
      </c>
      <c r="AF85">
        <v>0</v>
      </c>
      <c r="AG85" t="s">
        <v>111</v>
      </c>
      <c r="AH85" t="s">
        <v>111</v>
      </c>
      <c r="AI85" t="s">
        <v>111</v>
      </c>
      <c r="AJ85" t="s">
        <v>111</v>
      </c>
      <c r="AK85" t="s">
        <v>111</v>
      </c>
      <c r="AL85" t="s">
        <v>111</v>
      </c>
      <c r="AM85">
        <v>0</v>
      </c>
      <c r="AN85">
        <v>0</v>
      </c>
      <c r="AO85">
        <v>0</v>
      </c>
      <c r="AP85" t="s">
        <v>111</v>
      </c>
      <c r="AQ85" t="s">
        <v>111</v>
      </c>
      <c r="AR85" t="s">
        <v>111</v>
      </c>
      <c r="AS85" t="s">
        <v>111</v>
      </c>
      <c r="AT85" t="s">
        <v>111</v>
      </c>
      <c r="AU85" t="s">
        <v>111</v>
      </c>
      <c r="AV85" t="s">
        <v>111</v>
      </c>
      <c r="AW85" t="s">
        <v>111</v>
      </c>
      <c r="AX85" t="s">
        <v>111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111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111</v>
      </c>
      <c r="BM85" t="s">
        <v>111</v>
      </c>
      <c r="BN85" t="s">
        <v>111</v>
      </c>
      <c r="BO85" t="s">
        <v>111</v>
      </c>
      <c r="BP85" t="s">
        <v>111</v>
      </c>
      <c r="BQ85" t="s">
        <v>111</v>
      </c>
      <c r="BR85" t="s">
        <v>111</v>
      </c>
      <c r="BS85" t="s">
        <v>111</v>
      </c>
      <c r="BT85" t="s">
        <v>111</v>
      </c>
      <c r="BU85" t="s">
        <v>111</v>
      </c>
      <c r="BV85" t="s">
        <v>111</v>
      </c>
      <c r="BW85" t="s">
        <v>111</v>
      </c>
      <c r="BX85" t="s">
        <v>111</v>
      </c>
      <c r="BY85" t="s">
        <v>111</v>
      </c>
      <c r="BZ85" t="s">
        <v>111</v>
      </c>
      <c r="CA85" t="s">
        <v>111</v>
      </c>
      <c r="CB85" t="s">
        <v>111</v>
      </c>
      <c r="CC85" t="s">
        <v>111</v>
      </c>
      <c r="CD85" t="s">
        <v>111</v>
      </c>
      <c r="CE85" t="s">
        <v>111</v>
      </c>
      <c r="CF85" t="s">
        <v>111</v>
      </c>
      <c r="CG85" t="s">
        <v>111</v>
      </c>
      <c r="CH85" t="s">
        <v>111</v>
      </c>
      <c r="CI85" t="s">
        <v>111</v>
      </c>
      <c r="CJ85" t="s">
        <v>111</v>
      </c>
      <c r="CK85" t="s">
        <v>111</v>
      </c>
      <c r="CL85" t="s">
        <v>111</v>
      </c>
      <c r="CM85" t="s">
        <v>111</v>
      </c>
      <c r="CN85" t="s">
        <v>111</v>
      </c>
      <c r="CO85" t="s">
        <v>111</v>
      </c>
      <c r="CP85" t="s">
        <v>111</v>
      </c>
      <c r="CQ85">
        <v>0</v>
      </c>
      <c r="CR85">
        <v>20</v>
      </c>
      <c r="CS85">
        <v>1</v>
      </c>
      <c r="CT85" t="s">
        <v>419</v>
      </c>
      <c r="CU85">
        <v>0</v>
      </c>
      <c r="CV85" t="s">
        <v>111</v>
      </c>
      <c r="CW85" t="s">
        <v>111</v>
      </c>
      <c r="CX85" t="s">
        <v>111</v>
      </c>
      <c r="CY85">
        <v>0</v>
      </c>
      <c r="CZ85" t="s">
        <v>111</v>
      </c>
      <c r="DA85" t="s">
        <v>111</v>
      </c>
      <c r="DB85" t="s">
        <v>204</v>
      </c>
      <c r="DC85" s="1" t="s">
        <v>420</v>
      </c>
    </row>
    <row r="86" spans="1:107">
      <c r="A86">
        <v>1861</v>
      </c>
      <c r="B86" t="s">
        <v>107</v>
      </c>
      <c r="C86" t="s">
        <v>421</v>
      </c>
      <c r="D86" t="s">
        <v>422</v>
      </c>
      <c r="E86" t="s">
        <v>423</v>
      </c>
      <c r="F86" t="s">
        <v>370</v>
      </c>
      <c r="G86" t="s">
        <v>383</v>
      </c>
      <c r="H86">
        <v>2.9</v>
      </c>
      <c r="I86">
        <v>55</v>
      </c>
      <c r="J86">
        <v>0</v>
      </c>
      <c r="K86">
        <v>0</v>
      </c>
      <c r="L86" t="s">
        <v>112</v>
      </c>
      <c r="M86" t="s">
        <v>118</v>
      </c>
      <c r="N86">
        <v>39</v>
      </c>
      <c r="O86">
        <v>2</v>
      </c>
      <c r="P86" t="s">
        <v>111</v>
      </c>
      <c r="Q86">
        <v>50</v>
      </c>
      <c r="R86">
        <v>0</v>
      </c>
      <c r="S86">
        <v>0</v>
      </c>
      <c r="T86">
        <v>5</v>
      </c>
      <c r="U86" s="1" t="s">
        <v>424</v>
      </c>
      <c r="V86">
        <v>25</v>
      </c>
      <c r="W86">
        <v>0</v>
      </c>
      <c r="X86">
        <v>8</v>
      </c>
      <c r="Y86">
        <v>0</v>
      </c>
      <c r="Z86" t="s">
        <v>425</v>
      </c>
      <c r="AA86">
        <v>0.15</v>
      </c>
      <c r="AB86" t="s">
        <v>426</v>
      </c>
      <c r="AC86">
        <v>0.7</v>
      </c>
      <c r="AD86" t="s">
        <v>427</v>
      </c>
      <c r="AE86">
        <v>0</v>
      </c>
      <c r="AF86">
        <v>0</v>
      </c>
      <c r="AG86" t="s">
        <v>111</v>
      </c>
      <c r="AH86" t="s">
        <v>113</v>
      </c>
      <c r="AI86" t="s">
        <v>111</v>
      </c>
      <c r="AJ86" t="s">
        <v>111</v>
      </c>
      <c r="AK86" t="s">
        <v>111</v>
      </c>
      <c r="AL86" t="s">
        <v>111</v>
      </c>
      <c r="AM86">
        <v>0</v>
      </c>
      <c r="AN86">
        <v>0</v>
      </c>
      <c r="AO86">
        <v>0</v>
      </c>
      <c r="AP86" t="s">
        <v>111</v>
      </c>
      <c r="AQ86" t="s">
        <v>111</v>
      </c>
      <c r="AR86" t="s">
        <v>111</v>
      </c>
      <c r="AS86" t="s">
        <v>111</v>
      </c>
      <c r="AT86" t="s">
        <v>111</v>
      </c>
      <c r="AU86" t="s">
        <v>111</v>
      </c>
      <c r="AV86" t="s">
        <v>111</v>
      </c>
      <c r="AW86" t="s">
        <v>111</v>
      </c>
      <c r="AX86" t="s">
        <v>111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111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111</v>
      </c>
      <c r="BM86" t="s">
        <v>111</v>
      </c>
      <c r="BN86" t="s">
        <v>111</v>
      </c>
      <c r="BO86" t="s">
        <v>111</v>
      </c>
      <c r="BP86" t="s">
        <v>111</v>
      </c>
      <c r="BQ86" t="s">
        <v>111</v>
      </c>
      <c r="BR86" t="s">
        <v>111</v>
      </c>
      <c r="BS86" t="s">
        <v>111</v>
      </c>
      <c r="BT86" t="s">
        <v>111</v>
      </c>
      <c r="BU86" t="s">
        <v>111</v>
      </c>
      <c r="BV86" t="s">
        <v>111</v>
      </c>
      <c r="BW86" t="s">
        <v>111</v>
      </c>
      <c r="BX86" t="s">
        <v>111</v>
      </c>
      <c r="BY86" t="s">
        <v>111</v>
      </c>
      <c r="BZ86" t="s">
        <v>111</v>
      </c>
      <c r="CA86" t="s">
        <v>111</v>
      </c>
      <c r="CB86" t="s">
        <v>111</v>
      </c>
      <c r="CC86" t="s">
        <v>111</v>
      </c>
      <c r="CD86" t="s">
        <v>111</v>
      </c>
      <c r="CE86" t="s">
        <v>111</v>
      </c>
      <c r="CF86" t="s">
        <v>111</v>
      </c>
      <c r="CG86" t="s">
        <v>111</v>
      </c>
      <c r="CH86" t="s">
        <v>111</v>
      </c>
      <c r="CI86" t="s">
        <v>111</v>
      </c>
      <c r="CJ86" t="s">
        <v>111</v>
      </c>
      <c r="CK86" t="s">
        <v>111</v>
      </c>
      <c r="CL86" t="s">
        <v>111</v>
      </c>
      <c r="CM86" t="s">
        <v>360</v>
      </c>
      <c r="CN86" t="s">
        <v>113</v>
      </c>
      <c r="CO86" t="s">
        <v>367</v>
      </c>
      <c r="CP86" t="s">
        <v>111</v>
      </c>
      <c r="CQ86">
        <v>0</v>
      </c>
      <c r="CR86">
        <v>800</v>
      </c>
      <c r="CS86">
        <v>50</v>
      </c>
      <c r="CT86" t="e">
        <f>-BIEN EMPACADO PARA TROQUELAR</f>
        <v>#NAME?</v>
      </c>
      <c r="CU86">
        <v>0</v>
      </c>
      <c r="CV86" t="s">
        <v>111</v>
      </c>
      <c r="CX86" t="s">
        <v>111</v>
      </c>
      <c r="CY86">
        <v>0</v>
      </c>
      <c r="CZ86" t="s">
        <v>111</v>
      </c>
      <c r="DA86" t="s">
        <v>111</v>
      </c>
      <c r="DB86" t="e">
        <f>-EXTERNO</f>
        <v>#NAME?</v>
      </c>
      <c r="DC86" t="e">
        <f>-CORDON BLANCO</f>
        <v>#NAME?</v>
      </c>
    </row>
    <row r="87" spans="1:107">
      <c r="A87">
        <v>1905</v>
      </c>
      <c r="B87" t="s">
        <v>107</v>
      </c>
      <c r="C87" t="s">
        <v>428</v>
      </c>
      <c r="D87" t="s">
        <v>429</v>
      </c>
      <c r="E87" t="s">
        <v>430</v>
      </c>
      <c r="F87" t="s">
        <v>431</v>
      </c>
      <c r="G87" t="s">
        <v>383</v>
      </c>
      <c r="H87">
        <v>2.4</v>
      </c>
      <c r="I87">
        <v>20.5</v>
      </c>
      <c r="J87">
        <v>3</v>
      </c>
      <c r="K87">
        <v>0</v>
      </c>
      <c r="L87" t="s">
        <v>178</v>
      </c>
      <c r="M87" t="s">
        <v>118</v>
      </c>
      <c r="N87">
        <v>39</v>
      </c>
      <c r="O87">
        <v>1</v>
      </c>
      <c r="P87" t="s">
        <v>111</v>
      </c>
      <c r="Q87">
        <v>25.5</v>
      </c>
      <c r="R87">
        <v>0</v>
      </c>
      <c r="S87">
        <v>0</v>
      </c>
      <c r="T87">
        <v>5</v>
      </c>
      <c r="U87" s="1" t="s">
        <v>432</v>
      </c>
      <c r="V87">
        <v>0</v>
      </c>
      <c r="W87">
        <v>25</v>
      </c>
      <c r="X87">
        <v>8</v>
      </c>
      <c r="Y87">
        <v>0</v>
      </c>
      <c r="Z87" t="s">
        <v>111</v>
      </c>
      <c r="AA87">
        <v>0</v>
      </c>
      <c r="AB87" t="s">
        <v>111</v>
      </c>
      <c r="AC87">
        <v>0</v>
      </c>
      <c r="AD87" t="s">
        <v>416</v>
      </c>
      <c r="AE87">
        <v>0</v>
      </c>
      <c r="AF87">
        <v>0</v>
      </c>
      <c r="AG87" t="s">
        <v>111</v>
      </c>
      <c r="AH87" t="s">
        <v>111</v>
      </c>
      <c r="AI87" t="s">
        <v>111</v>
      </c>
      <c r="AJ87" t="s">
        <v>111</v>
      </c>
      <c r="AK87" t="s">
        <v>111</v>
      </c>
      <c r="AL87" t="s">
        <v>111</v>
      </c>
      <c r="AM87">
        <v>0</v>
      </c>
      <c r="AN87">
        <v>0</v>
      </c>
      <c r="AO87">
        <v>0</v>
      </c>
      <c r="AP87" t="s">
        <v>111</v>
      </c>
      <c r="AQ87" t="s">
        <v>111</v>
      </c>
      <c r="AR87" t="s">
        <v>111</v>
      </c>
      <c r="AS87" t="s">
        <v>111</v>
      </c>
      <c r="AT87" t="s">
        <v>111</v>
      </c>
      <c r="AU87" t="s">
        <v>111</v>
      </c>
      <c r="AV87" t="s">
        <v>111</v>
      </c>
      <c r="AW87" t="s">
        <v>111</v>
      </c>
      <c r="AX87" t="s">
        <v>111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111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111</v>
      </c>
      <c r="BM87" t="s">
        <v>111</v>
      </c>
      <c r="BN87" t="s">
        <v>111</v>
      </c>
      <c r="BO87" t="s">
        <v>111</v>
      </c>
      <c r="BP87" t="s">
        <v>111</v>
      </c>
      <c r="BQ87" t="s">
        <v>111</v>
      </c>
      <c r="BR87" t="s">
        <v>111</v>
      </c>
      <c r="BS87" t="s">
        <v>111</v>
      </c>
      <c r="BT87" t="s">
        <v>111</v>
      </c>
      <c r="BU87" t="s">
        <v>111</v>
      </c>
      <c r="BV87" t="s">
        <v>111</v>
      </c>
      <c r="BW87" t="s">
        <v>111</v>
      </c>
      <c r="BX87" t="s">
        <v>111</v>
      </c>
      <c r="BY87" t="s">
        <v>111</v>
      </c>
      <c r="BZ87" t="s">
        <v>111</v>
      </c>
      <c r="CA87" t="s">
        <v>111</v>
      </c>
      <c r="CB87" t="s">
        <v>111</v>
      </c>
      <c r="CC87" t="s">
        <v>111</v>
      </c>
      <c r="CD87" t="s">
        <v>111</v>
      </c>
      <c r="CE87" t="s">
        <v>111</v>
      </c>
      <c r="CF87" t="s">
        <v>111</v>
      </c>
      <c r="CG87" t="s">
        <v>111</v>
      </c>
      <c r="CH87" t="s">
        <v>111</v>
      </c>
      <c r="CI87" t="s">
        <v>111</v>
      </c>
      <c r="CJ87" t="s">
        <v>111</v>
      </c>
      <c r="CK87" t="s">
        <v>111</v>
      </c>
      <c r="CL87" t="s">
        <v>111</v>
      </c>
      <c r="CM87" t="s">
        <v>135</v>
      </c>
      <c r="CN87" t="s">
        <v>113</v>
      </c>
      <c r="CO87" t="s">
        <v>433</v>
      </c>
      <c r="CP87" t="s">
        <v>111</v>
      </c>
      <c r="CQ87">
        <v>0</v>
      </c>
      <c r="CR87">
        <v>3000</v>
      </c>
      <c r="CS87">
        <v>100</v>
      </c>
      <c r="CT87" t="e">
        <f>-BIEN EMPACADO PARA TROQUELAR</f>
        <v>#NAME?</v>
      </c>
      <c r="CU87">
        <v>0</v>
      </c>
      <c r="CV87" t="s">
        <v>111</v>
      </c>
      <c r="CX87" t="s">
        <v>111</v>
      </c>
      <c r="CY87">
        <v>0</v>
      </c>
      <c r="CZ87" t="s">
        <v>111</v>
      </c>
      <c r="DA87" t="s">
        <v>111</v>
      </c>
      <c r="DB87" t="e">
        <f>-INTERNO</f>
        <v>#NAME?</v>
      </c>
      <c r="DC87" t="e">
        <f>-TROQUEL</f>
        <v>#NAME?</v>
      </c>
    </row>
    <row r="88" spans="1:107">
      <c r="A88">
        <v>1104</v>
      </c>
      <c r="B88" t="s">
        <v>107</v>
      </c>
      <c r="C88" t="s">
        <v>434</v>
      </c>
      <c r="D88" t="s">
        <v>435</v>
      </c>
      <c r="E88" t="s">
        <v>436</v>
      </c>
      <c r="F88" t="s">
        <v>192</v>
      </c>
      <c r="G88" t="s">
        <v>383</v>
      </c>
      <c r="H88">
        <v>0.9</v>
      </c>
      <c r="I88">
        <v>51</v>
      </c>
      <c r="J88">
        <v>0</v>
      </c>
      <c r="K88">
        <v>0</v>
      </c>
      <c r="L88" t="s">
        <v>178</v>
      </c>
      <c r="M88" t="s">
        <v>111</v>
      </c>
      <c r="N88">
        <v>0</v>
      </c>
      <c r="O88">
        <v>0</v>
      </c>
      <c r="P88" t="s">
        <v>111</v>
      </c>
      <c r="Q88">
        <v>45.5</v>
      </c>
      <c r="R88">
        <v>0</v>
      </c>
      <c r="S88">
        <v>0</v>
      </c>
      <c r="T88">
        <v>5</v>
      </c>
      <c r="U88" s="1" t="s">
        <v>437</v>
      </c>
      <c r="V88">
        <v>0</v>
      </c>
      <c r="W88">
        <v>25</v>
      </c>
      <c r="X88">
        <v>5</v>
      </c>
      <c r="Y88">
        <v>0</v>
      </c>
      <c r="Z88" t="s">
        <v>111</v>
      </c>
      <c r="AA88">
        <v>0</v>
      </c>
      <c r="AB88" t="s">
        <v>111</v>
      </c>
      <c r="AC88">
        <v>0</v>
      </c>
      <c r="AD88" t="s">
        <v>111</v>
      </c>
      <c r="AE88">
        <v>0</v>
      </c>
      <c r="AF88">
        <v>0</v>
      </c>
      <c r="AG88" t="s">
        <v>111</v>
      </c>
      <c r="AH88" t="s">
        <v>111</v>
      </c>
      <c r="AI88" t="s">
        <v>111</v>
      </c>
      <c r="AJ88" t="s">
        <v>111</v>
      </c>
      <c r="AK88" t="s">
        <v>111</v>
      </c>
      <c r="AL88" t="s">
        <v>111</v>
      </c>
      <c r="AM88">
        <v>0</v>
      </c>
      <c r="AN88">
        <v>0</v>
      </c>
      <c r="AO88">
        <v>0</v>
      </c>
      <c r="AP88" t="s">
        <v>111</v>
      </c>
      <c r="AQ88" t="s">
        <v>111</v>
      </c>
      <c r="AR88" t="s">
        <v>111</v>
      </c>
      <c r="AS88" t="s">
        <v>111</v>
      </c>
      <c r="AT88" t="s">
        <v>111</v>
      </c>
      <c r="AU88" t="s">
        <v>111</v>
      </c>
      <c r="AV88" t="s">
        <v>111</v>
      </c>
      <c r="AW88" t="s">
        <v>111</v>
      </c>
      <c r="AX88" t="s">
        <v>111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111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111</v>
      </c>
      <c r="BM88" t="s">
        <v>111</v>
      </c>
      <c r="BN88" t="s">
        <v>111</v>
      </c>
      <c r="BO88" t="s">
        <v>111</v>
      </c>
      <c r="BP88" t="s">
        <v>111</v>
      </c>
      <c r="BQ88" t="s">
        <v>111</v>
      </c>
      <c r="BR88" t="s">
        <v>111</v>
      </c>
      <c r="BS88" t="s">
        <v>111</v>
      </c>
      <c r="BT88" t="s">
        <v>111</v>
      </c>
      <c r="BU88" t="s">
        <v>111</v>
      </c>
      <c r="BV88" t="s">
        <v>111</v>
      </c>
      <c r="BW88" t="s">
        <v>111</v>
      </c>
      <c r="BX88" t="s">
        <v>111</v>
      </c>
      <c r="BY88" t="s">
        <v>111</v>
      </c>
      <c r="BZ88" t="s">
        <v>111</v>
      </c>
      <c r="CA88" t="s">
        <v>111</v>
      </c>
      <c r="CB88" t="s">
        <v>111</v>
      </c>
      <c r="CC88" t="s">
        <v>111</v>
      </c>
      <c r="CD88" t="s">
        <v>111</v>
      </c>
      <c r="CE88" t="s">
        <v>111</v>
      </c>
      <c r="CF88" t="s">
        <v>111</v>
      </c>
      <c r="CG88" t="s">
        <v>111</v>
      </c>
      <c r="CH88" t="s">
        <v>111</v>
      </c>
      <c r="CI88" t="s">
        <v>111</v>
      </c>
      <c r="CJ88" t="s">
        <v>111</v>
      </c>
      <c r="CK88" t="s">
        <v>111</v>
      </c>
      <c r="CL88" t="s">
        <v>111</v>
      </c>
      <c r="CM88" t="s">
        <v>438</v>
      </c>
      <c r="CN88" t="s">
        <v>113</v>
      </c>
      <c r="CO88" t="s">
        <v>111</v>
      </c>
      <c r="CP88" t="s">
        <v>111</v>
      </c>
      <c r="CQ88">
        <v>65</v>
      </c>
      <c r="CR88">
        <v>3000</v>
      </c>
      <c r="CS88">
        <v>100</v>
      </c>
      <c r="CT88" s="1" t="s">
        <v>439</v>
      </c>
      <c r="CU88">
        <v>0</v>
      </c>
      <c r="CV88" t="s">
        <v>111</v>
      </c>
      <c r="CW88" t="s">
        <v>111</v>
      </c>
      <c r="CX88" t="s">
        <v>111</v>
      </c>
      <c r="CY88">
        <v>0</v>
      </c>
      <c r="CZ88" t="s">
        <v>111</v>
      </c>
      <c r="DA88" t="s">
        <v>111</v>
      </c>
      <c r="DB88" t="s">
        <v>111</v>
      </c>
      <c r="DC88" t="s">
        <v>111</v>
      </c>
    </row>
    <row r="89" spans="1:107">
      <c r="A89">
        <v>2090</v>
      </c>
      <c r="B89" t="s">
        <v>376</v>
      </c>
      <c r="C89" t="s">
        <v>440</v>
      </c>
      <c r="D89" t="s">
        <v>429</v>
      </c>
      <c r="E89" t="s">
        <v>430</v>
      </c>
      <c r="F89" t="s">
        <v>431</v>
      </c>
      <c r="G89" t="s">
        <v>383</v>
      </c>
      <c r="H89">
        <v>2.4</v>
      </c>
      <c r="I89">
        <v>20.5</v>
      </c>
      <c r="J89">
        <v>3</v>
      </c>
      <c r="K89">
        <v>0</v>
      </c>
      <c r="L89" t="s">
        <v>178</v>
      </c>
      <c r="M89" t="s">
        <v>118</v>
      </c>
      <c r="N89">
        <v>39</v>
      </c>
      <c r="O89">
        <v>1</v>
      </c>
      <c r="P89" t="s">
        <v>118</v>
      </c>
      <c r="Q89">
        <v>30</v>
      </c>
      <c r="R89">
        <v>0</v>
      </c>
      <c r="S89">
        <v>0</v>
      </c>
      <c r="T89">
        <v>5</v>
      </c>
      <c r="U89" s="1" t="s">
        <v>441</v>
      </c>
      <c r="V89">
        <v>0</v>
      </c>
      <c r="W89">
        <v>25</v>
      </c>
      <c r="X89">
        <v>8</v>
      </c>
      <c r="Y89">
        <v>0</v>
      </c>
      <c r="Z89" t="s">
        <v>111</v>
      </c>
      <c r="AA89">
        <v>0</v>
      </c>
      <c r="AB89" t="s">
        <v>111</v>
      </c>
      <c r="AC89">
        <v>0</v>
      </c>
      <c r="AD89" t="s">
        <v>416</v>
      </c>
      <c r="AE89">
        <v>0</v>
      </c>
      <c r="AF89">
        <v>0</v>
      </c>
      <c r="AG89" t="s">
        <v>111</v>
      </c>
      <c r="AH89" t="s">
        <v>111</v>
      </c>
      <c r="AI89" t="s">
        <v>111</v>
      </c>
      <c r="AJ89" t="s">
        <v>111</v>
      </c>
      <c r="AK89" t="s">
        <v>111</v>
      </c>
      <c r="AL89" t="s">
        <v>111</v>
      </c>
      <c r="AM89">
        <v>0</v>
      </c>
      <c r="AN89">
        <v>0</v>
      </c>
      <c r="AO89">
        <v>0</v>
      </c>
      <c r="AP89" t="s">
        <v>111</v>
      </c>
      <c r="AQ89" t="s">
        <v>111</v>
      </c>
      <c r="AR89" t="s">
        <v>111</v>
      </c>
      <c r="AS89" t="s">
        <v>111</v>
      </c>
      <c r="AT89" t="s">
        <v>111</v>
      </c>
      <c r="AU89" t="s">
        <v>111</v>
      </c>
      <c r="AV89" t="s">
        <v>111</v>
      </c>
      <c r="AW89" t="s">
        <v>111</v>
      </c>
      <c r="AX89" t="s">
        <v>111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111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111</v>
      </c>
      <c r="BM89" t="s">
        <v>111</v>
      </c>
      <c r="BN89" t="s">
        <v>111</v>
      </c>
      <c r="BO89" t="s">
        <v>111</v>
      </c>
      <c r="BP89" t="s">
        <v>111</v>
      </c>
      <c r="BQ89" t="s">
        <v>111</v>
      </c>
      <c r="BR89" t="s">
        <v>111</v>
      </c>
      <c r="BS89" t="s">
        <v>111</v>
      </c>
      <c r="BT89" t="s">
        <v>111</v>
      </c>
      <c r="BU89" t="s">
        <v>111</v>
      </c>
      <c r="BV89" t="s">
        <v>111</v>
      </c>
      <c r="BW89" t="s">
        <v>111</v>
      </c>
      <c r="BX89" t="s">
        <v>111</v>
      </c>
      <c r="BY89" t="s">
        <v>111</v>
      </c>
      <c r="BZ89" t="s">
        <v>111</v>
      </c>
      <c r="CA89" t="s">
        <v>111</v>
      </c>
      <c r="CB89" t="s">
        <v>111</v>
      </c>
      <c r="CC89" t="s">
        <v>111</v>
      </c>
      <c r="CD89" t="s">
        <v>111</v>
      </c>
      <c r="CE89" t="s">
        <v>111</v>
      </c>
      <c r="CF89" t="s">
        <v>111</v>
      </c>
      <c r="CG89" t="s">
        <v>111</v>
      </c>
      <c r="CH89" t="s">
        <v>111</v>
      </c>
      <c r="CI89" t="s">
        <v>111</v>
      </c>
      <c r="CJ89" t="s">
        <v>111</v>
      </c>
      <c r="CK89" t="s">
        <v>111</v>
      </c>
      <c r="CL89" t="s">
        <v>111</v>
      </c>
      <c r="CM89" t="s">
        <v>135</v>
      </c>
      <c r="CN89" t="s">
        <v>113</v>
      </c>
      <c r="CO89" t="s">
        <v>111</v>
      </c>
      <c r="CP89" t="e">
        <f>-MUESTRA</f>
        <v>#NAME?</v>
      </c>
      <c r="CQ89">
        <v>0</v>
      </c>
      <c r="CR89">
        <v>3000</v>
      </c>
      <c r="CS89">
        <v>100</v>
      </c>
      <c r="CT89" s="1" t="s">
        <v>442</v>
      </c>
      <c r="CU89">
        <v>0</v>
      </c>
      <c r="CV89" t="s">
        <v>111</v>
      </c>
      <c r="CX89" t="s">
        <v>111</v>
      </c>
      <c r="CY89">
        <v>0</v>
      </c>
      <c r="CZ89" t="s">
        <v>111</v>
      </c>
      <c r="DA89" t="s">
        <v>111</v>
      </c>
      <c r="DB89" t="e">
        <f>- INTERNO</f>
        <v>#NAME?</v>
      </c>
      <c r="DC89" s="1" t="s">
        <v>443</v>
      </c>
    </row>
    <row r="90" spans="1:107">
      <c r="A90">
        <v>1906</v>
      </c>
      <c r="B90" t="s">
        <v>107</v>
      </c>
      <c r="C90" t="s">
        <v>428</v>
      </c>
      <c r="D90" t="s">
        <v>429</v>
      </c>
      <c r="E90" t="s">
        <v>444</v>
      </c>
      <c r="F90" t="s">
        <v>431</v>
      </c>
      <c r="G90" t="s">
        <v>383</v>
      </c>
      <c r="H90">
        <v>2.4</v>
      </c>
      <c r="I90">
        <v>20.5</v>
      </c>
      <c r="J90">
        <v>3</v>
      </c>
      <c r="K90">
        <v>0</v>
      </c>
      <c r="L90" t="s">
        <v>178</v>
      </c>
      <c r="M90" t="s">
        <v>118</v>
      </c>
      <c r="N90">
        <v>39</v>
      </c>
      <c r="O90">
        <v>1</v>
      </c>
      <c r="P90" t="s">
        <v>111</v>
      </c>
      <c r="Q90">
        <v>25.5</v>
      </c>
      <c r="R90">
        <v>0</v>
      </c>
      <c r="S90">
        <v>0</v>
      </c>
      <c r="T90">
        <v>5</v>
      </c>
      <c r="U90" s="1" t="s">
        <v>445</v>
      </c>
      <c r="V90">
        <v>0</v>
      </c>
      <c r="W90">
        <v>25</v>
      </c>
      <c r="X90">
        <v>8</v>
      </c>
      <c r="Y90">
        <v>0</v>
      </c>
      <c r="Z90" t="s">
        <v>111</v>
      </c>
      <c r="AA90">
        <v>0</v>
      </c>
      <c r="AB90" t="s">
        <v>111</v>
      </c>
      <c r="AC90">
        <v>0</v>
      </c>
      <c r="AD90" t="s">
        <v>416</v>
      </c>
      <c r="AE90">
        <v>0</v>
      </c>
      <c r="AF90">
        <v>0</v>
      </c>
      <c r="AG90" t="s">
        <v>111</v>
      </c>
      <c r="AH90" t="s">
        <v>111</v>
      </c>
      <c r="AI90" t="s">
        <v>111</v>
      </c>
      <c r="AJ90" t="s">
        <v>111</v>
      </c>
      <c r="AK90" t="s">
        <v>111</v>
      </c>
      <c r="AL90" t="s">
        <v>111</v>
      </c>
      <c r="AM90">
        <v>0</v>
      </c>
      <c r="AN90">
        <v>0</v>
      </c>
      <c r="AO90">
        <v>0</v>
      </c>
      <c r="AP90" t="s">
        <v>111</v>
      </c>
      <c r="AQ90" t="s">
        <v>111</v>
      </c>
      <c r="AR90" t="s">
        <v>111</v>
      </c>
      <c r="AS90" t="s">
        <v>111</v>
      </c>
      <c r="AT90" t="s">
        <v>111</v>
      </c>
      <c r="AU90" t="s">
        <v>111</v>
      </c>
      <c r="AV90" t="s">
        <v>111</v>
      </c>
      <c r="AW90" t="s">
        <v>111</v>
      </c>
      <c r="AX90" t="s">
        <v>111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111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111</v>
      </c>
      <c r="BM90" t="s">
        <v>111</v>
      </c>
      <c r="BN90" t="s">
        <v>111</v>
      </c>
      <c r="BO90" t="s">
        <v>111</v>
      </c>
      <c r="BP90" t="s">
        <v>111</v>
      </c>
      <c r="BQ90" t="s">
        <v>111</v>
      </c>
      <c r="BR90" t="s">
        <v>111</v>
      </c>
      <c r="BS90" t="s">
        <v>111</v>
      </c>
      <c r="BT90" t="s">
        <v>111</v>
      </c>
      <c r="BU90" t="s">
        <v>111</v>
      </c>
      <c r="BV90" t="s">
        <v>111</v>
      </c>
      <c r="BW90" t="s">
        <v>111</v>
      </c>
      <c r="BX90" t="s">
        <v>111</v>
      </c>
      <c r="BY90" t="s">
        <v>111</v>
      </c>
      <c r="BZ90" t="s">
        <v>111</v>
      </c>
      <c r="CA90" t="s">
        <v>111</v>
      </c>
      <c r="CB90" t="s">
        <v>111</v>
      </c>
      <c r="CC90" t="s">
        <v>111</v>
      </c>
      <c r="CD90" t="s">
        <v>111</v>
      </c>
      <c r="CE90" t="s">
        <v>111</v>
      </c>
      <c r="CF90" t="s">
        <v>111</v>
      </c>
      <c r="CG90" t="s">
        <v>111</v>
      </c>
      <c r="CH90" t="s">
        <v>111</v>
      </c>
      <c r="CI90" t="s">
        <v>111</v>
      </c>
      <c r="CJ90" t="s">
        <v>111</v>
      </c>
      <c r="CK90" t="s">
        <v>111</v>
      </c>
      <c r="CL90" t="s">
        <v>111</v>
      </c>
      <c r="CM90" t="s">
        <v>135</v>
      </c>
      <c r="CN90" t="s">
        <v>111</v>
      </c>
      <c r="CO90" t="s">
        <v>433</v>
      </c>
      <c r="CP90" t="s">
        <v>111</v>
      </c>
      <c r="CQ90">
        <v>0</v>
      </c>
      <c r="CR90">
        <v>3000</v>
      </c>
      <c r="CS90">
        <v>100</v>
      </c>
      <c r="CT90" t="e">
        <f>-BIEN EMPACADO PARA TROQUELAR</f>
        <v>#NAME?</v>
      </c>
      <c r="CU90">
        <v>0</v>
      </c>
      <c r="CV90" t="s">
        <v>111</v>
      </c>
      <c r="CX90" t="s">
        <v>111</v>
      </c>
      <c r="CY90">
        <v>0</v>
      </c>
      <c r="CZ90" t="s">
        <v>111</v>
      </c>
      <c r="DA90" t="s">
        <v>111</v>
      </c>
      <c r="DB90" t="e">
        <f>-INTERNO</f>
        <v>#NAME?</v>
      </c>
      <c r="DC90" t="e">
        <f>-TROQUEL</f>
        <v>#NAME?</v>
      </c>
    </row>
    <row r="91" spans="1:107">
      <c r="A91">
        <v>1929</v>
      </c>
      <c r="B91" t="s">
        <v>107</v>
      </c>
      <c r="C91" t="s">
        <v>174</v>
      </c>
      <c r="D91" t="s">
        <v>446</v>
      </c>
      <c r="E91" t="s">
        <v>447</v>
      </c>
      <c r="F91" t="s">
        <v>192</v>
      </c>
      <c r="G91" t="s">
        <v>383</v>
      </c>
      <c r="H91">
        <v>2.9</v>
      </c>
      <c r="I91">
        <v>33</v>
      </c>
      <c r="J91">
        <v>0</v>
      </c>
      <c r="K91">
        <v>0</v>
      </c>
      <c r="L91" t="s">
        <v>178</v>
      </c>
      <c r="M91" t="s">
        <v>111</v>
      </c>
      <c r="N91">
        <v>0</v>
      </c>
      <c r="O91">
        <v>0</v>
      </c>
      <c r="P91" t="s">
        <v>111</v>
      </c>
      <c r="Q91">
        <v>14</v>
      </c>
      <c r="R91">
        <v>0</v>
      </c>
      <c r="S91">
        <v>0</v>
      </c>
      <c r="T91">
        <v>5</v>
      </c>
      <c r="U91" s="1" t="s">
        <v>448</v>
      </c>
      <c r="V91">
        <v>0</v>
      </c>
      <c r="W91">
        <v>25</v>
      </c>
      <c r="X91">
        <v>8</v>
      </c>
      <c r="Y91">
        <v>0</v>
      </c>
      <c r="Z91" t="s">
        <v>111</v>
      </c>
      <c r="AA91">
        <v>0</v>
      </c>
      <c r="AB91" t="s">
        <v>449</v>
      </c>
      <c r="AC91">
        <v>8</v>
      </c>
      <c r="AD91" t="s">
        <v>111</v>
      </c>
      <c r="AE91">
        <v>0</v>
      </c>
      <c r="AF91">
        <v>0</v>
      </c>
      <c r="AG91" t="s">
        <v>111</v>
      </c>
      <c r="AH91" t="s">
        <v>111</v>
      </c>
      <c r="AI91" t="s">
        <v>111</v>
      </c>
      <c r="AJ91" t="s">
        <v>111</v>
      </c>
      <c r="AK91" t="s">
        <v>111</v>
      </c>
      <c r="AL91" t="s">
        <v>111</v>
      </c>
      <c r="AM91">
        <v>0</v>
      </c>
      <c r="AN91">
        <v>0</v>
      </c>
      <c r="AO91">
        <v>0</v>
      </c>
      <c r="AP91" t="s">
        <v>111</v>
      </c>
      <c r="AQ91" t="s">
        <v>111</v>
      </c>
      <c r="AR91" t="s">
        <v>111</v>
      </c>
      <c r="AS91" t="s">
        <v>111</v>
      </c>
      <c r="AT91" t="s">
        <v>111</v>
      </c>
      <c r="AU91" t="s">
        <v>111</v>
      </c>
      <c r="AV91" t="s">
        <v>111</v>
      </c>
      <c r="AW91" t="s">
        <v>111</v>
      </c>
      <c r="AX91" t="s">
        <v>111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111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111</v>
      </c>
      <c r="BM91" t="s">
        <v>111</v>
      </c>
      <c r="BN91" t="s">
        <v>111</v>
      </c>
      <c r="BO91" t="s">
        <v>111</v>
      </c>
      <c r="BP91" t="s">
        <v>111</v>
      </c>
      <c r="BQ91" t="s">
        <v>111</v>
      </c>
      <c r="BR91" t="s">
        <v>111</v>
      </c>
      <c r="BS91" t="s">
        <v>111</v>
      </c>
      <c r="BT91" t="s">
        <v>111</v>
      </c>
      <c r="BU91" t="s">
        <v>111</v>
      </c>
      <c r="BV91" t="s">
        <v>111</v>
      </c>
      <c r="BW91" t="s">
        <v>111</v>
      </c>
      <c r="BX91" t="s">
        <v>111</v>
      </c>
      <c r="BY91" t="s">
        <v>111</v>
      </c>
      <c r="BZ91" t="s">
        <v>111</v>
      </c>
      <c r="CA91" t="s">
        <v>111</v>
      </c>
      <c r="CB91" t="s">
        <v>111</v>
      </c>
      <c r="CC91" t="s">
        <v>111</v>
      </c>
      <c r="CD91" t="s">
        <v>111</v>
      </c>
      <c r="CE91" t="s">
        <v>111</v>
      </c>
      <c r="CF91" t="s">
        <v>111</v>
      </c>
      <c r="CG91" t="s">
        <v>111</v>
      </c>
      <c r="CH91" t="s">
        <v>111</v>
      </c>
      <c r="CI91" t="s">
        <v>111</v>
      </c>
      <c r="CJ91" t="s">
        <v>111</v>
      </c>
      <c r="CK91" t="s">
        <v>111</v>
      </c>
      <c r="CL91" t="s">
        <v>111</v>
      </c>
      <c r="CM91" t="s">
        <v>438</v>
      </c>
      <c r="CN91" t="s">
        <v>113</v>
      </c>
      <c r="CO91" t="s">
        <v>111</v>
      </c>
      <c r="CP91" t="s">
        <v>111</v>
      </c>
      <c r="CQ91">
        <v>0</v>
      </c>
      <c r="CR91">
        <v>2000</v>
      </c>
      <c r="CS91">
        <v>200</v>
      </c>
      <c r="CT91" s="1" t="s">
        <v>450</v>
      </c>
      <c r="CU91">
        <v>0</v>
      </c>
      <c r="CV91" t="s">
        <v>111</v>
      </c>
      <c r="CX91" t="s">
        <v>111</v>
      </c>
      <c r="CY91">
        <v>0</v>
      </c>
      <c r="CZ91" t="s">
        <v>111</v>
      </c>
      <c r="DA91" t="s">
        <v>111</v>
      </c>
      <c r="DB91" t="s">
        <v>111</v>
      </c>
      <c r="DC91" t="s">
        <v>111</v>
      </c>
    </row>
    <row r="92" spans="1:107">
      <c r="A92">
        <v>2091</v>
      </c>
      <c r="B92" t="s">
        <v>376</v>
      </c>
      <c r="C92" t="s">
        <v>440</v>
      </c>
      <c r="D92" t="s">
        <v>429</v>
      </c>
      <c r="E92" t="s">
        <v>451</v>
      </c>
      <c r="F92" t="s">
        <v>431</v>
      </c>
      <c r="G92" t="s">
        <v>383</v>
      </c>
      <c r="H92">
        <v>2.5</v>
      </c>
      <c r="I92">
        <v>20.5</v>
      </c>
      <c r="J92">
        <v>3</v>
      </c>
      <c r="K92">
        <v>0</v>
      </c>
      <c r="L92" t="s">
        <v>178</v>
      </c>
      <c r="M92" t="s">
        <v>118</v>
      </c>
      <c r="N92">
        <v>39</v>
      </c>
      <c r="O92">
        <v>1</v>
      </c>
      <c r="P92" t="s">
        <v>118</v>
      </c>
      <c r="Q92">
        <v>30</v>
      </c>
      <c r="R92">
        <v>0</v>
      </c>
      <c r="S92">
        <v>0</v>
      </c>
      <c r="T92">
        <v>5</v>
      </c>
      <c r="U92" s="1" t="s">
        <v>452</v>
      </c>
      <c r="V92">
        <v>0</v>
      </c>
      <c r="W92">
        <v>25</v>
      </c>
      <c r="X92">
        <v>8</v>
      </c>
      <c r="Y92">
        <v>0</v>
      </c>
      <c r="Z92" t="s">
        <v>111</v>
      </c>
      <c r="AA92">
        <v>0</v>
      </c>
      <c r="AB92" t="s">
        <v>111</v>
      </c>
      <c r="AC92">
        <v>0</v>
      </c>
      <c r="AD92" t="s">
        <v>416</v>
      </c>
      <c r="AE92">
        <v>0</v>
      </c>
      <c r="AF92">
        <v>0</v>
      </c>
      <c r="AG92" t="s">
        <v>111</v>
      </c>
      <c r="AH92" t="s">
        <v>111</v>
      </c>
      <c r="AI92" t="s">
        <v>111</v>
      </c>
      <c r="AJ92" t="s">
        <v>111</v>
      </c>
      <c r="AK92" t="s">
        <v>111</v>
      </c>
      <c r="AL92" t="s">
        <v>111</v>
      </c>
      <c r="AM92">
        <v>0</v>
      </c>
      <c r="AN92">
        <v>0</v>
      </c>
      <c r="AO92">
        <v>0</v>
      </c>
      <c r="AP92" t="s">
        <v>111</v>
      </c>
      <c r="AQ92" t="s">
        <v>111</v>
      </c>
      <c r="AR92" t="s">
        <v>111</v>
      </c>
      <c r="AS92" t="s">
        <v>111</v>
      </c>
      <c r="AT92" t="s">
        <v>111</v>
      </c>
      <c r="AU92" t="s">
        <v>111</v>
      </c>
      <c r="AV92" t="s">
        <v>111</v>
      </c>
      <c r="AW92" t="s">
        <v>111</v>
      </c>
      <c r="AX92" t="s">
        <v>111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111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111</v>
      </c>
      <c r="BM92" t="s">
        <v>111</v>
      </c>
      <c r="BN92" t="s">
        <v>111</v>
      </c>
      <c r="BO92" t="s">
        <v>111</v>
      </c>
      <c r="BP92" t="s">
        <v>111</v>
      </c>
      <c r="BQ92" t="s">
        <v>111</v>
      </c>
      <c r="BR92" t="s">
        <v>111</v>
      </c>
      <c r="BS92" t="s">
        <v>111</v>
      </c>
      <c r="BT92" t="s">
        <v>111</v>
      </c>
      <c r="BU92" t="s">
        <v>111</v>
      </c>
      <c r="BV92" t="s">
        <v>111</v>
      </c>
      <c r="BW92" t="s">
        <v>111</v>
      </c>
      <c r="BX92" t="s">
        <v>111</v>
      </c>
      <c r="BY92" t="s">
        <v>111</v>
      </c>
      <c r="BZ92" t="s">
        <v>111</v>
      </c>
      <c r="CA92" t="s">
        <v>111</v>
      </c>
      <c r="CB92" t="s">
        <v>111</v>
      </c>
      <c r="CC92" t="s">
        <v>111</v>
      </c>
      <c r="CD92" t="s">
        <v>111</v>
      </c>
      <c r="CE92" t="s">
        <v>111</v>
      </c>
      <c r="CF92" t="s">
        <v>111</v>
      </c>
      <c r="CG92" t="s">
        <v>111</v>
      </c>
      <c r="CH92" t="s">
        <v>111</v>
      </c>
      <c r="CI92" t="s">
        <v>111</v>
      </c>
      <c r="CJ92" t="s">
        <v>111</v>
      </c>
      <c r="CK92" t="s">
        <v>111</v>
      </c>
      <c r="CL92" t="s">
        <v>111</v>
      </c>
      <c r="CM92" t="s">
        <v>135</v>
      </c>
      <c r="CN92" t="s">
        <v>113</v>
      </c>
      <c r="CO92" t="s">
        <v>111</v>
      </c>
      <c r="CP92" t="s">
        <v>111</v>
      </c>
      <c r="CQ92">
        <v>0</v>
      </c>
      <c r="CR92">
        <v>3000</v>
      </c>
      <c r="CS92">
        <v>100</v>
      </c>
      <c r="CT92" s="1" t="s">
        <v>453</v>
      </c>
      <c r="CU92">
        <v>0</v>
      </c>
      <c r="CV92" t="s">
        <v>111</v>
      </c>
      <c r="CX92" t="s">
        <v>111</v>
      </c>
      <c r="CY92">
        <v>0</v>
      </c>
      <c r="CZ92" t="s">
        <v>111</v>
      </c>
      <c r="DA92" t="s">
        <v>111</v>
      </c>
      <c r="DB92" t="e">
        <f>- INTERNO</f>
        <v>#NAME?</v>
      </c>
      <c r="DC92" t="e">
        <f>- GANCHO TROQUEL PEGADO</f>
        <v>#NAME?</v>
      </c>
    </row>
    <row r="93" spans="1:107">
      <c r="A93">
        <v>1888</v>
      </c>
      <c r="B93" t="s">
        <v>107</v>
      </c>
      <c r="C93" t="s">
        <v>454</v>
      </c>
      <c r="D93" t="s">
        <v>455</v>
      </c>
      <c r="E93" t="s">
        <v>456</v>
      </c>
      <c r="F93" t="s">
        <v>431</v>
      </c>
      <c r="G93" t="s">
        <v>383</v>
      </c>
      <c r="H93">
        <v>1.9</v>
      </c>
      <c r="I93">
        <v>50</v>
      </c>
      <c r="J93">
        <v>0</v>
      </c>
      <c r="K93">
        <v>0</v>
      </c>
      <c r="L93" t="s">
        <v>112</v>
      </c>
      <c r="M93" t="s">
        <v>118</v>
      </c>
      <c r="N93">
        <v>39</v>
      </c>
      <c r="O93">
        <v>2</v>
      </c>
      <c r="P93" t="s">
        <v>111</v>
      </c>
      <c r="Q93">
        <v>46.5</v>
      </c>
      <c r="R93">
        <v>0</v>
      </c>
      <c r="S93">
        <v>0</v>
      </c>
      <c r="T93">
        <v>5</v>
      </c>
      <c r="U93" t="e">
        <f>-DARMA</f>
        <v>#NAME?</v>
      </c>
      <c r="V93">
        <v>0</v>
      </c>
      <c r="W93">
        <v>25</v>
      </c>
      <c r="X93">
        <v>6</v>
      </c>
      <c r="Y93">
        <v>0</v>
      </c>
      <c r="Z93" t="s">
        <v>111</v>
      </c>
      <c r="AA93">
        <v>0</v>
      </c>
      <c r="AB93" t="s">
        <v>111</v>
      </c>
      <c r="AC93">
        <v>0</v>
      </c>
      <c r="AD93" t="s">
        <v>416</v>
      </c>
      <c r="AE93">
        <v>0</v>
      </c>
      <c r="AF93">
        <v>0</v>
      </c>
      <c r="AG93" t="s">
        <v>111</v>
      </c>
      <c r="AH93" t="s">
        <v>111</v>
      </c>
      <c r="AI93" t="s">
        <v>111</v>
      </c>
      <c r="AJ93" t="s">
        <v>111</v>
      </c>
      <c r="AK93" t="s">
        <v>111</v>
      </c>
      <c r="AL93" t="s">
        <v>111</v>
      </c>
      <c r="AM93">
        <v>0</v>
      </c>
      <c r="AN93">
        <v>0</v>
      </c>
      <c r="AO93">
        <v>0</v>
      </c>
      <c r="AP93" t="s">
        <v>111</v>
      </c>
      <c r="AQ93" t="s">
        <v>111</v>
      </c>
      <c r="AR93" t="s">
        <v>111</v>
      </c>
      <c r="AS93" t="s">
        <v>111</v>
      </c>
      <c r="AT93" t="s">
        <v>111</v>
      </c>
      <c r="AU93" t="s">
        <v>111</v>
      </c>
      <c r="AV93" t="s">
        <v>111</v>
      </c>
      <c r="AW93" t="s">
        <v>111</v>
      </c>
      <c r="AX93" t="s">
        <v>111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111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111</v>
      </c>
      <c r="BM93" t="s">
        <v>111</v>
      </c>
      <c r="BN93" t="s">
        <v>111</v>
      </c>
      <c r="BO93" t="s">
        <v>111</v>
      </c>
      <c r="BP93" t="s">
        <v>111</v>
      </c>
      <c r="BQ93" t="s">
        <v>111</v>
      </c>
      <c r="BR93" t="s">
        <v>111</v>
      </c>
      <c r="BS93" t="s">
        <v>111</v>
      </c>
      <c r="BT93" t="s">
        <v>111</v>
      </c>
      <c r="BU93" t="s">
        <v>111</v>
      </c>
      <c r="BV93" t="s">
        <v>111</v>
      </c>
      <c r="BW93" t="s">
        <v>111</v>
      </c>
      <c r="BX93" t="s">
        <v>111</v>
      </c>
      <c r="BY93" t="s">
        <v>111</v>
      </c>
      <c r="BZ93" t="s">
        <v>111</v>
      </c>
      <c r="CA93" t="s">
        <v>111</v>
      </c>
      <c r="CB93" t="s">
        <v>111</v>
      </c>
      <c r="CC93" t="s">
        <v>111</v>
      </c>
      <c r="CD93" t="s">
        <v>111</v>
      </c>
      <c r="CE93" t="s">
        <v>111</v>
      </c>
      <c r="CF93" t="s">
        <v>111</v>
      </c>
      <c r="CG93" t="s">
        <v>111</v>
      </c>
      <c r="CH93" t="s">
        <v>111</v>
      </c>
      <c r="CI93" t="s">
        <v>111</v>
      </c>
      <c r="CJ93" t="s">
        <v>111</v>
      </c>
      <c r="CK93" t="s">
        <v>111</v>
      </c>
      <c r="CL93" t="s">
        <v>111</v>
      </c>
      <c r="CM93" t="s">
        <v>135</v>
      </c>
      <c r="CN93" t="s">
        <v>113</v>
      </c>
      <c r="CO93" t="s">
        <v>111</v>
      </c>
      <c r="CP93" t="s">
        <v>111</v>
      </c>
      <c r="CQ93">
        <v>0</v>
      </c>
      <c r="CR93">
        <v>1500</v>
      </c>
      <c r="CS93">
        <v>100</v>
      </c>
      <c r="CT93" t="e">
        <f>-DARMA</f>
        <v>#NAME?</v>
      </c>
      <c r="CU93">
        <v>0</v>
      </c>
      <c r="CV93" t="s">
        <v>111</v>
      </c>
      <c r="CX93" t="s">
        <v>111</v>
      </c>
      <c r="CY93">
        <v>0</v>
      </c>
      <c r="CZ93" t="s">
        <v>111</v>
      </c>
      <c r="DA93" t="s">
        <v>111</v>
      </c>
      <c r="DB93" t="s">
        <v>111</v>
      </c>
      <c r="DC93" t="s">
        <v>111</v>
      </c>
    </row>
    <row r="94" spans="1:107">
      <c r="A94">
        <v>1030</v>
      </c>
      <c r="B94" t="s">
        <v>107</v>
      </c>
      <c r="C94" t="s">
        <v>388</v>
      </c>
      <c r="D94" t="s">
        <v>457</v>
      </c>
      <c r="E94" t="s">
        <v>458</v>
      </c>
      <c r="F94" t="s">
        <v>192</v>
      </c>
      <c r="G94" t="s">
        <v>383</v>
      </c>
      <c r="H94">
        <v>4</v>
      </c>
      <c r="I94">
        <v>135</v>
      </c>
      <c r="J94">
        <v>55</v>
      </c>
      <c r="K94">
        <v>55</v>
      </c>
      <c r="L94" t="s">
        <v>112</v>
      </c>
      <c r="M94" t="s">
        <v>138</v>
      </c>
      <c r="N94">
        <v>0</v>
      </c>
      <c r="O94">
        <v>0</v>
      </c>
      <c r="P94" t="s">
        <v>138</v>
      </c>
      <c r="Q94">
        <v>40</v>
      </c>
      <c r="R94">
        <v>0</v>
      </c>
      <c r="S94">
        <v>0</v>
      </c>
      <c r="T94">
        <v>5</v>
      </c>
      <c r="U94" t="s">
        <v>459</v>
      </c>
      <c r="V94">
        <v>0</v>
      </c>
      <c r="W94">
        <v>25</v>
      </c>
      <c r="X94">
        <v>5</v>
      </c>
      <c r="Y94">
        <v>0</v>
      </c>
      <c r="Z94" t="s">
        <v>111</v>
      </c>
      <c r="AA94">
        <v>0</v>
      </c>
      <c r="AB94" t="s">
        <v>111</v>
      </c>
      <c r="AC94">
        <v>0</v>
      </c>
      <c r="AD94" t="s">
        <v>111</v>
      </c>
      <c r="AE94">
        <v>0</v>
      </c>
      <c r="AF94">
        <v>0</v>
      </c>
      <c r="AG94" t="s">
        <v>111</v>
      </c>
      <c r="AH94" t="s">
        <v>111</v>
      </c>
      <c r="AI94" t="s">
        <v>111</v>
      </c>
      <c r="AJ94" t="s">
        <v>111</v>
      </c>
      <c r="AK94" t="s">
        <v>111</v>
      </c>
      <c r="AL94" t="s">
        <v>111</v>
      </c>
      <c r="AM94">
        <v>0</v>
      </c>
      <c r="AN94">
        <v>0</v>
      </c>
      <c r="AO94">
        <v>0</v>
      </c>
      <c r="AP94" t="s">
        <v>111</v>
      </c>
      <c r="AQ94" t="s">
        <v>111</v>
      </c>
      <c r="AR94" t="s">
        <v>111</v>
      </c>
      <c r="AS94" t="s">
        <v>111</v>
      </c>
      <c r="AT94" t="s">
        <v>111</v>
      </c>
      <c r="AU94" t="s">
        <v>111</v>
      </c>
      <c r="AV94" t="s">
        <v>111</v>
      </c>
      <c r="AW94" t="s">
        <v>111</v>
      </c>
      <c r="AX94" t="s">
        <v>111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111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111</v>
      </c>
      <c r="BM94" t="s">
        <v>111</v>
      </c>
      <c r="BN94" t="s">
        <v>111</v>
      </c>
      <c r="BO94" t="s">
        <v>111</v>
      </c>
      <c r="BP94" t="s">
        <v>111</v>
      </c>
      <c r="BQ94" t="s">
        <v>111</v>
      </c>
      <c r="BR94" t="s">
        <v>111</v>
      </c>
      <c r="BS94" t="s">
        <v>111</v>
      </c>
      <c r="BT94" t="s">
        <v>111</v>
      </c>
      <c r="BU94" t="s">
        <v>111</v>
      </c>
      <c r="BV94" t="s">
        <v>111</v>
      </c>
      <c r="BW94" t="s">
        <v>111</v>
      </c>
      <c r="BX94" t="s">
        <v>111</v>
      </c>
      <c r="BY94" t="s">
        <v>111</v>
      </c>
      <c r="BZ94" t="s">
        <v>111</v>
      </c>
      <c r="CA94" t="s">
        <v>111</v>
      </c>
      <c r="CB94" t="s">
        <v>111</v>
      </c>
      <c r="CC94" t="s">
        <v>111</v>
      </c>
      <c r="CD94" t="s">
        <v>111</v>
      </c>
      <c r="CE94" t="s">
        <v>111</v>
      </c>
      <c r="CF94" t="s">
        <v>111</v>
      </c>
      <c r="CG94" t="s">
        <v>111</v>
      </c>
      <c r="CH94" t="s">
        <v>111</v>
      </c>
      <c r="CI94" t="s">
        <v>111</v>
      </c>
      <c r="CJ94" t="s">
        <v>111</v>
      </c>
      <c r="CK94" t="s">
        <v>111</v>
      </c>
      <c r="CL94" t="s">
        <v>111</v>
      </c>
      <c r="CM94" t="s">
        <v>111</v>
      </c>
      <c r="CN94" t="s">
        <v>111</v>
      </c>
      <c r="CO94" t="s">
        <v>111</v>
      </c>
      <c r="CP94" t="s">
        <v>111</v>
      </c>
      <c r="CQ94">
        <v>0</v>
      </c>
      <c r="CR94">
        <v>0</v>
      </c>
      <c r="CS94">
        <v>0</v>
      </c>
      <c r="CT94" t="s">
        <v>111</v>
      </c>
      <c r="CU94">
        <v>0</v>
      </c>
      <c r="CV94" t="s">
        <v>111</v>
      </c>
      <c r="CW94" t="s">
        <v>111</v>
      </c>
      <c r="CX94" t="s">
        <v>111</v>
      </c>
      <c r="CY94">
        <v>0</v>
      </c>
      <c r="CZ94" t="s">
        <v>111</v>
      </c>
      <c r="DA94" t="s">
        <v>111</v>
      </c>
      <c r="DB94" t="e">
        <f>-EXTERNO</f>
        <v>#NAME?</v>
      </c>
      <c r="DC94" t="s">
        <v>281</v>
      </c>
    </row>
    <row r="95" spans="1:107">
      <c r="A95">
        <v>761</v>
      </c>
      <c r="B95" t="s">
        <v>107</v>
      </c>
      <c r="C95" t="s">
        <v>388</v>
      </c>
      <c r="D95" t="s">
        <v>460</v>
      </c>
      <c r="E95" t="s">
        <v>461</v>
      </c>
      <c r="F95" t="s">
        <v>192</v>
      </c>
      <c r="G95" t="s">
        <v>383</v>
      </c>
      <c r="H95">
        <v>2.2000000000000002</v>
      </c>
      <c r="I95">
        <v>200</v>
      </c>
      <c r="J95">
        <v>0</v>
      </c>
      <c r="K95">
        <v>0</v>
      </c>
      <c r="L95" t="s">
        <v>112</v>
      </c>
      <c r="M95" t="s">
        <v>138</v>
      </c>
      <c r="N95">
        <v>0</v>
      </c>
      <c r="O95">
        <v>0</v>
      </c>
      <c r="P95" t="s">
        <v>138</v>
      </c>
      <c r="Q95">
        <v>50</v>
      </c>
      <c r="R95">
        <v>0</v>
      </c>
      <c r="S95">
        <v>0</v>
      </c>
      <c r="T95">
        <v>0</v>
      </c>
      <c r="U95" t="s">
        <v>280</v>
      </c>
      <c r="V95">
        <v>0</v>
      </c>
      <c r="W95">
        <v>200</v>
      </c>
      <c r="X95">
        <v>150</v>
      </c>
      <c r="Y95">
        <v>0</v>
      </c>
      <c r="Z95" t="s">
        <v>111</v>
      </c>
      <c r="AA95">
        <v>0</v>
      </c>
      <c r="AB95" t="s">
        <v>111</v>
      </c>
      <c r="AC95">
        <v>0</v>
      </c>
      <c r="AD95" t="s">
        <v>111</v>
      </c>
      <c r="AE95">
        <v>0</v>
      </c>
      <c r="AF95">
        <v>0</v>
      </c>
      <c r="AG95" t="s">
        <v>111</v>
      </c>
      <c r="AH95" t="s">
        <v>111</v>
      </c>
      <c r="AI95" t="s">
        <v>111</v>
      </c>
      <c r="AJ95" t="s">
        <v>111</v>
      </c>
      <c r="AK95" t="s">
        <v>111</v>
      </c>
      <c r="AL95" t="s">
        <v>111</v>
      </c>
      <c r="AM95">
        <v>0</v>
      </c>
      <c r="AN95">
        <v>0</v>
      </c>
      <c r="AO95">
        <v>0</v>
      </c>
      <c r="AP95" t="s">
        <v>111</v>
      </c>
      <c r="AQ95" t="s">
        <v>111</v>
      </c>
      <c r="AR95" t="s">
        <v>111</v>
      </c>
      <c r="AS95" t="s">
        <v>111</v>
      </c>
      <c r="AT95" t="s">
        <v>111</v>
      </c>
      <c r="AU95" t="s">
        <v>111</v>
      </c>
      <c r="AV95" t="s">
        <v>111</v>
      </c>
      <c r="AW95" t="s">
        <v>111</v>
      </c>
      <c r="AX95" t="s">
        <v>111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111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111</v>
      </c>
      <c r="BM95" t="s">
        <v>111</v>
      </c>
      <c r="BN95" t="s">
        <v>111</v>
      </c>
      <c r="BO95" t="s">
        <v>111</v>
      </c>
      <c r="BP95" t="s">
        <v>111</v>
      </c>
      <c r="BQ95" t="s">
        <v>111</v>
      </c>
      <c r="BR95" t="s">
        <v>111</v>
      </c>
      <c r="BS95" t="s">
        <v>111</v>
      </c>
      <c r="BT95" t="s">
        <v>111</v>
      </c>
      <c r="BU95" t="s">
        <v>111</v>
      </c>
      <c r="BV95" t="s">
        <v>111</v>
      </c>
      <c r="BW95" t="s">
        <v>111</v>
      </c>
      <c r="BX95" t="s">
        <v>111</v>
      </c>
      <c r="BY95" t="s">
        <v>111</v>
      </c>
      <c r="BZ95" t="s">
        <v>111</v>
      </c>
      <c r="CA95" t="s">
        <v>111</v>
      </c>
      <c r="CB95" t="s">
        <v>111</v>
      </c>
      <c r="CC95" t="s">
        <v>111</v>
      </c>
      <c r="CD95" t="s">
        <v>111</v>
      </c>
      <c r="CE95" t="s">
        <v>111</v>
      </c>
      <c r="CF95" t="s">
        <v>111</v>
      </c>
      <c r="CG95" t="s">
        <v>111</v>
      </c>
      <c r="CH95" t="s">
        <v>111</v>
      </c>
      <c r="CI95" t="s">
        <v>111</v>
      </c>
      <c r="CJ95" t="s">
        <v>111</v>
      </c>
      <c r="CK95" t="s">
        <v>111</v>
      </c>
      <c r="CL95" t="s">
        <v>111</v>
      </c>
      <c r="CM95" t="s">
        <v>462</v>
      </c>
      <c r="CN95" t="s">
        <v>128</v>
      </c>
      <c r="CO95" t="s">
        <v>111</v>
      </c>
      <c r="CP95" t="s">
        <v>111</v>
      </c>
      <c r="CQ95">
        <v>0</v>
      </c>
      <c r="CR95">
        <v>20</v>
      </c>
      <c r="CS95">
        <v>1</v>
      </c>
      <c r="CT95" t="s">
        <v>111</v>
      </c>
      <c r="CU95">
        <v>0</v>
      </c>
      <c r="CV95" t="s">
        <v>111</v>
      </c>
      <c r="CW95" t="s">
        <v>111</v>
      </c>
      <c r="CX95" t="s">
        <v>111</v>
      </c>
      <c r="CY95">
        <v>0</v>
      </c>
      <c r="CZ95" t="s">
        <v>111</v>
      </c>
      <c r="DA95" t="s">
        <v>111</v>
      </c>
      <c r="DB95" t="s">
        <v>240</v>
      </c>
      <c r="DC95" s="1" t="s">
        <v>463</v>
      </c>
    </row>
    <row r="96" spans="1:107">
      <c r="A96">
        <v>1904</v>
      </c>
      <c r="B96" t="s">
        <v>107</v>
      </c>
      <c r="C96" t="s">
        <v>428</v>
      </c>
      <c r="D96" t="s">
        <v>429</v>
      </c>
      <c r="E96" t="s">
        <v>451</v>
      </c>
      <c r="F96" t="s">
        <v>431</v>
      </c>
      <c r="G96" t="s">
        <v>383</v>
      </c>
      <c r="H96">
        <v>2.4</v>
      </c>
      <c r="I96">
        <v>20.5</v>
      </c>
      <c r="J96">
        <v>3</v>
      </c>
      <c r="K96">
        <v>0</v>
      </c>
      <c r="L96" t="s">
        <v>178</v>
      </c>
      <c r="M96" t="s">
        <v>118</v>
      </c>
      <c r="N96">
        <v>39</v>
      </c>
      <c r="O96">
        <v>1</v>
      </c>
      <c r="P96" t="s">
        <v>111</v>
      </c>
      <c r="Q96">
        <v>25.5</v>
      </c>
      <c r="R96">
        <v>0</v>
      </c>
      <c r="S96">
        <v>0</v>
      </c>
      <c r="T96">
        <v>5</v>
      </c>
      <c r="U96" s="1" t="s">
        <v>464</v>
      </c>
      <c r="V96">
        <v>0</v>
      </c>
      <c r="W96">
        <v>25</v>
      </c>
      <c r="X96">
        <v>8</v>
      </c>
      <c r="Y96">
        <v>0</v>
      </c>
      <c r="Z96" t="s">
        <v>111</v>
      </c>
      <c r="AA96">
        <v>0</v>
      </c>
      <c r="AB96" t="s">
        <v>111</v>
      </c>
      <c r="AC96">
        <v>0</v>
      </c>
      <c r="AD96" t="s">
        <v>416</v>
      </c>
      <c r="AE96">
        <v>0</v>
      </c>
      <c r="AF96">
        <v>0</v>
      </c>
      <c r="AG96" t="s">
        <v>111</v>
      </c>
      <c r="AH96" t="s">
        <v>111</v>
      </c>
      <c r="AI96" t="s">
        <v>111</v>
      </c>
      <c r="AJ96" t="s">
        <v>111</v>
      </c>
      <c r="AK96" t="s">
        <v>111</v>
      </c>
      <c r="AL96" t="s">
        <v>111</v>
      </c>
      <c r="AM96">
        <v>0</v>
      </c>
      <c r="AN96">
        <v>0</v>
      </c>
      <c r="AO96">
        <v>0</v>
      </c>
      <c r="AP96" t="s">
        <v>111</v>
      </c>
      <c r="AQ96" t="s">
        <v>111</v>
      </c>
      <c r="AR96" t="s">
        <v>111</v>
      </c>
      <c r="AS96" t="s">
        <v>111</v>
      </c>
      <c r="AT96" t="s">
        <v>111</v>
      </c>
      <c r="AU96" t="s">
        <v>111</v>
      </c>
      <c r="AV96" t="s">
        <v>111</v>
      </c>
      <c r="AW96" t="s">
        <v>111</v>
      </c>
      <c r="AX96" t="s">
        <v>111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111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111</v>
      </c>
      <c r="BM96" t="s">
        <v>111</v>
      </c>
      <c r="BN96" t="s">
        <v>111</v>
      </c>
      <c r="BO96" t="s">
        <v>111</v>
      </c>
      <c r="BP96" t="s">
        <v>111</v>
      </c>
      <c r="BQ96" t="s">
        <v>111</v>
      </c>
      <c r="BR96" t="s">
        <v>111</v>
      </c>
      <c r="BS96" t="s">
        <v>111</v>
      </c>
      <c r="BT96" t="s">
        <v>111</v>
      </c>
      <c r="BU96" t="s">
        <v>111</v>
      </c>
      <c r="BV96" t="s">
        <v>111</v>
      </c>
      <c r="BW96" t="s">
        <v>111</v>
      </c>
      <c r="BX96" t="s">
        <v>111</v>
      </c>
      <c r="BY96" t="s">
        <v>111</v>
      </c>
      <c r="BZ96" t="s">
        <v>111</v>
      </c>
      <c r="CA96" t="s">
        <v>111</v>
      </c>
      <c r="CB96" t="s">
        <v>111</v>
      </c>
      <c r="CC96" t="s">
        <v>111</v>
      </c>
      <c r="CD96" t="s">
        <v>111</v>
      </c>
      <c r="CE96" t="s">
        <v>111</v>
      </c>
      <c r="CF96" t="s">
        <v>111</v>
      </c>
      <c r="CG96" t="s">
        <v>111</v>
      </c>
      <c r="CH96" t="s">
        <v>111</v>
      </c>
      <c r="CI96" t="s">
        <v>111</v>
      </c>
      <c r="CJ96" t="s">
        <v>111</v>
      </c>
      <c r="CK96" t="s">
        <v>111</v>
      </c>
      <c r="CL96" t="s">
        <v>111</v>
      </c>
      <c r="CM96" t="s">
        <v>135</v>
      </c>
      <c r="CN96" t="s">
        <v>113</v>
      </c>
      <c r="CO96" t="s">
        <v>465</v>
      </c>
      <c r="CP96" t="s">
        <v>111</v>
      </c>
      <c r="CQ96">
        <v>0</v>
      </c>
      <c r="CR96">
        <v>3000</v>
      </c>
      <c r="CS96">
        <v>100</v>
      </c>
      <c r="CT96" t="e">
        <f>-BIEN EMPACADO PARA TROQUELAR</f>
        <v>#NAME?</v>
      </c>
      <c r="CU96">
        <v>0</v>
      </c>
      <c r="CV96" t="s">
        <v>111</v>
      </c>
      <c r="CX96" t="s">
        <v>111</v>
      </c>
      <c r="CY96">
        <v>0</v>
      </c>
      <c r="CZ96" t="s">
        <v>111</v>
      </c>
      <c r="DA96" t="s">
        <v>111</v>
      </c>
      <c r="DB96" t="e">
        <f>-INTERNO</f>
        <v>#NAME?</v>
      </c>
      <c r="DC96" t="e">
        <f>-TROQUEL</f>
        <v>#NAME?</v>
      </c>
    </row>
    <row r="97" spans="1:107">
      <c r="A97">
        <v>1226</v>
      </c>
      <c r="B97" t="s">
        <v>107</v>
      </c>
      <c r="C97" t="s">
        <v>466</v>
      </c>
      <c r="D97" t="s">
        <v>467</v>
      </c>
      <c r="E97" t="s">
        <v>468</v>
      </c>
      <c r="F97" t="s">
        <v>166</v>
      </c>
      <c r="G97" t="s">
        <v>469</v>
      </c>
      <c r="H97">
        <v>1.7</v>
      </c>
      <c r="I97">
        <v>35.5</v>
      </c>
      <c r="J97">
        <v>10</v>
      </c>
      <c r="K97">
        <v>10</v>
      </c>
      <c r="L97" t="s">
        <v>112</v>
      </c>
      <c r="M97" t="s">
        <v>111</v>
      </c>
      <c r="N97">
        <v>0</v>
      </c>
      <c r="O97">
        <v>0</v>
      </c>
      <c r="P97" t="s">
        <v>111</v>
      </c>
      <c r="Q97">
        <v>35</v>
      </c>
      <c r="R97">
        <v>0</v>
      </c>
      <c r="S97">
        <v>0</v>
      </c>
      <c r="T97">
        <v>0</v>
      </c>
      <c r="U97" s="1" t="s">
        <v>470</v>
      </c>
      <c r="V97">
        <v>25</v>
      </c>
      <c r="W97">
        <v>0</v>
      </c>
      <c r="X97">
        <v>8</v>
      </c>
      <c r="Y97">
        <v>0</v>
      </c>
      <c r="Z97" t="s">
        <v>111</v>
      </c>
      <c r="AA97">
        <v>0</v>
      </c>
      <c r="AB97" t="s">
        <v>111</v>
      </c>
      <c r="AC97">
        <v>0</v>
      </c>
      <c r="AD97" t="s">
        <v>111</v>
      </c>
      <c r="AE97">
        <v>0</v>
      </c>
      <c r="AF97">
        <v>0</v>
      </c>
      <c r="AG97" t="s">
        <v>111</v>
      </c>
      <c r="AH97" t="s">
        <v>111</v>
      </c>
      <c r="AI97" t="s">
        <v>111</v>
      </c>
      <c r="AJ97" t="s">
        <v>111</v>
      </c>
      <c r="AK97" t="s">
        <v>111</v>
      </c>
      <c r="AL97" t="s">
        <v>111</v>
      </c>
      <c r="AM97">
        <v>0</v>
      </c>
      <c r="AN97">
        <v>0</v>
      </c>
      <c r="AO97">
        <v>0</v>
      </c>
      <c r="AP97" t="s">
        <v>111</v>
      </c>
      <c r="AQ97" t="s">
        <v>111</v>
      </c>
      <c r="AR97" t="s">
        <v>111</v>
      </c>
      <c r="AS97" t="s">
        <v>111</v>
      </c>
      <c r="AT97" t="s">
        <v>111</v>
      </c>
      <c r="AU97" t="s">
        <v>111</v>
      </c>
      <c r="AV97" t="s">
        <v>111</v>
      </c>
      <c r="AW97" t="s">
        <v>111</v>
      </c>
      <c r="AX97" t="s">
        <v>111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111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111</v>
      </c>
      <c r="BM97" t="s">
        <v>111</v>
      </c>
      <c r="BN97" t="s">
        <v>111</v>
      </c>
      <c r="BO97" t="s">
        <v>111</v>
      </c>
      <c r="BP97" t="s">
        <v>111</v>
      </c>
      <c r="BQ97" t="s">
        <v>111</v>
      </c>
      <c r="BR97" t="s">
        <v>111</v>
      </c>
      <c r="BS97" t="s">
        <v>111</v>
      </c>
      <c r="BT97" t="s">
        <v>111</v>
      </c>
      <c r="BU97" t="s">
        <v>111</v>
      </c>
      <c r="BV97" t="s">
        <v>111</v>
      </c>
      <c r="BW97" t="s">
        <v>111</v>
      </c>
      <c r="BX97" t="s">
        <v>111</v>
      </c>
      <c r="BY97" t="s">
        <v>111</v>
      </c>
      <c r="BZ97" t="s">
        <v>111</v>
      </c>
      <c r="CA97" t="s">
        <v>111</v>
      </c>
      <c r="CB97" t="s">
        <v>111</v>
      </c>
      <c r="CC97" t="s">
        <v>111</v>
      </c>
      <c r="CD97" t="s">
        <v>111</v>
      </c>
      <c r="CE97" t="s">
        <v>111</v>
      </c>
      <c r="CF97" t="s">
        <v>111</v>
      </c>
      <c r="CG97" t="s">
        <v>111</v>
      </c>
      <c r="CH97" t="s">
        <v>111</v>
      </c>
      <c r="CI97" t="s">
        <v>111</v>
      </c>
      <c r="CJ97" t="s">
        <v>111</v>
      </c>
      <c r="CK97" t="s">
        <v>111</v>
      </c>
      <c r="CL97" t="s">
        <v>111</v>
      </c>
      <c r="CM97" t="s">
        <v>111</v>
      </c>
      <c r="CN97" t="s">
        <v>111</v>
      </c>
      <c r="CO97" t="s">
        <v>111</v>
      </c>
      <c r="CP97" t="s">
        <v>111</v>
      </c>
      <c r="CQ97">
        <v>0</v>
      </c>
      <c r="CR97">
        <v>0</v>
      </c>
      <c r="CS97">
        <v>0</v>
      </c>
      <c r="CT97" t="s">
        <v>111</v>
      </c>
      <c r="CU97">
        <v>0</v>
      </c>
      <c r="CV97" t="s">
        <v>111</v>
      </c>
      <c r="CW97" t="s">
        <v>111</v>
      </c>
      <c r="CX97" t="s">
        <v>111</v>
      </c>
      <c r="CY97">
        <v>0</v>
      </c>
      <c r="CZ97" t="s">
        <v>111</v>
      </c>
      <c r="DA97" t="s">
        <v>111</v>
      </c>
      <c r="DB97" t="s">
        <v>111</v>
      </c>
      <c r="DC97" t="s">
        <v>111</v>
      </c>
    </row>
    <row r="98" spans="1:107">
      <c r="A98">
        <v>1227</v>
      </c>
      <c r="B98" t="s">
        <v>107</v>
      </c>
      <c r="C98" t="s">
        <v>471</v>
      </c>
      <c r="D98" t="s">
        <v>472</v>
      </c>
      <c r="E98" t="s">
        <v>473</v>
      </c>
      <c r="F98" t="s">
        <v>474</v>
      </c>
      <c r="G98" t="s">
        <v>469</v>
      </c>
      <c r="H98">
        <v>0.75</v>
      </c>
      <c r="I98">
        <v>24</v>
      </c>
      <c r="J98">
        <v>5</v>
      </c>
      <c r="K98">
        <v>5</v>
      </c>
      <c r="L98" t="s">
        <v>112</v>
      </c>
      <c r="M98" t="s">
        <v>118</v>
      </c>
      <c r="N98">
        <v>38</v>
      </c>
      <c r="O98">
        <v>2</v>
      </c>
      <c r="P98" t="s">
        <v>111</v>
      </c>
      <c r="Q98">
        <v>25</v>
      </c>
      <c r="R98">
        <v>0</v>
      </c>
      <c r="S98">
        <v>0</v>
      </c>
      <c r="T98">
        <v>0</v>
      </c>
      <c r="U98" s="1" t="s">
        <v>475</v>
      </c>
      <c r="V98">
        <v>25</v>
      </c>
      <c r="W98">
        <v>0</v>
      </c>
      <c r="X98">
        <v>6</v>
      </c>
      <c r="Y98">
        <v>0</v>
      </c>
      <c r="Z98" t="s">
        <v>147</v>
      </c>
      <c r="AA98">
        <v>1.5</v>
      </c>
      <c r="AB98" t="s">
        <v>111</v>
      </c>
      <c r="AC98">
        <v>0</v>
      </c>
      <c r="AD98" t="s">
        <v>111</v>
      </c>
      <c r="AE98">
        <v>0</v>
      </c>
      <c r="AF98">
        <v>0</v>
      </c>
      <c r="AG98" t="s">
        <v>111</v>
      </c>
      <c r="AH98" t="s">
        <v>111</v>
      </c>
      <c r="AI98" t="s">
        <v>111</v>
      </c>
      <c r="AJ98" t="s">
        <v>111</v>
      </c>
      <c r="AK98" t="s">
        <v>111</v>
      </c>
      <c r="AL98" t="s">
        <v>111</v>
      </c>
      <c r="AM98">
        <v>0</v>
      </c>
      <c r="AN98">
        <v>0</v>
      </c>
      <c r="AO98">
        <v>0</v>
      </c>
      <c r="AP98" t="s">
        <v>111</v>
      </c>
      <c r="AQ98" t="s">
        <v>111</v>
      </c>
      <c r="AR98" t="s">
        <v>111</v>
      </c>
      <c r="AS98" t="s">
        <v>111</v>
      </c>
      <c r="AT98" t="s">
        <v>111</v>
      </c>
      <c r="AU98" t="s">
        <v>111</v>
      </c>
      <c r="AV98" t="s">
        <v>111</v>
      </c>
      <c r="AW98" t="s">
        <v>111</v>
      </c>
      <c r="AX98" t="s">
        <v>111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111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111</v>
      </c>
      <c r="BM98" t="s">
        <v>111</v>
      </c>
      <c r="BN98" t="s">
        <v>111</v>
      </c>
      <c r="BO98" t="s">
        <v>111</v>
      </c>
      <c r="BP98" t="s">
        <v>111</v>
      </c>
      <c r="BQ98" t="s">
        <v>111</v>
      </c>
      <c r="BR98" t="s">
        <v>111</v>
      </c>
      <c r="BS98" t="s">
        <v>111</v>
      </c>
      <c r="BT98" t="s">
        <v>111</v>
      </c>
      <c r="BU98" t="s">
        <v>111</v>
      </c>
      <c r="BV98" t="s">
        <v>111</v>
      </c>
      <c r="BW98" t="s">
        <v>111</v>
      </c>
      <c r="BX98" t="s">
        <v>111</v>
      </c>
      <c r="BY98" t="s">
        <v>111</v>
      </c>
      <c r="BZ98" t="s">
        <v>111</v>
      </c>
      <c r="CA98" t="s">
        <v>111</v>
      </c>
      <c r="CB98" t="s">
        <v>111</v>
      </c>
      <c r="CC98" t="s">
        <v>111</v>
      </c>
      <c r="CD98" t="s">
        <v>111</v>
      </c>
      <c r="CE98" t="s">
        <v>111</v>
      </c>
      <c r="CF98" t="s">
        <v>111</v>
      </c>
      <c r="CG98" t="s">
        <v>111</v>
      </c>
      <c r="CH98" t="s">
        <v>111</v>
      </c>
      <c r="CI98" t="s">
        <v>111</v>
      </c>
      <c r="CJ98" t="s">
        <v>111</v>
      </c>
      <c r="CK98" t="s">
        <v>111</v>
      </c>
      <c r="CL98" t="s">
        <v>111</v>
      </c>
      <c r="CM98" t="s">
        <v>111</v>
      </c>
      <c r="CN98" t="s">
        <v>111</v>
      </c>
      <c r="CO98" t="s">
        <v>111</v>
      </c>
      <c r="CP98" t="s">
        <v>111</v>
      </c>
      <c r="CQ98">
        <v>0</v>
      </c>
      <c r="CR98">
        <v>0</v>
      </c>
      <c r="CS98">
        <v>0</v>
      </c>
      <c r="CT98" t="s">
        <v>111</v>
      </c>
      <c r="CU98">
        <v>0</v>
      </c>
      <c r="CV98" t="s">
        <v>111</v>
      </c>
      <c r="CW98" t="s">
        <v>111</v>
      </c>
      <c r="CX98" t="s">
        <v>111</v>
      </c>
      <c r="CY98">
        <v>0</v>
      </c>
      <c r="CZ98" t="s">
        <v>111</v>
      </c>
      <c r="DA98" t="s">
        <v>111</v>
      </c>
      <c r="DB98" t="s">
        <v>111</v>
      </c>
      <c r="DC98" t="s">
        <v>111</v>
      </c>
    </row>
    <row r="99" spans="1:107">
      <c r="A99">
        <v>1312</v>
      </c>
      <c r="B99" t="s">
        <v>107</v>
      </c>
      <c r="C99" t="s">
        <v>114</v>
      </c>
      <c r="D99" t="s">
        <v>476</v>
      </c>
      <c r="E99" t="s">
        <v>477</v>
      </c>
      <c r="F99" t="s">
        <v>358</v>
      </c>
      <c r="G99" t="s">
        <v>469</v>
      </c>
      <c r="H99">
        <v>2.7</v>
      </c>
      <c r="I99">
        <v>70.3</v>
      </c>
      <c r="J99">
        <v>0</v>
      </c>
      <c r="K99">
        <v>0</v>
      </c>
      <c r="L99" t="s">
        <v>117</v>
      </c>
      <c r="M99" t="s">
        <v>118</v>
      </c>
      <c r="N99">
        <v>39</v>
      </c>
      <c r="O99">
        <v>1</v>
      </c>
      <c r="P99" t="s">
        <v>111</v>
      </c>
      <c r="Q99">
        <v>57.9</v>
      </c>
      <c r="R99">
        <v>0</v>
      </c>
      <c r="S99">
        <v>0</v>
      </c>
      <c r="T99">
        <v>3</v>
      </c>
      <c r="U99" s="1" t="s">
        <v>478</v>
      </c>
      <c r="V99">
        <v>0</v>
      </c>
      <c r="W99">
        <v>25</v>
      </c>
      <c r="X99">
        <v>8</v>
      </c>
      <c r="Y99">
        <v>0</v>
      </c>
      <c r="Z99" t="s">
        <v>111</v>
      </c>
      <c r="AA99">
        <v>0</v>
      </c>
      <c r="AB99" t="s">
        <v>479</v>
      </c>
      <c r="AC99">
        <v>8</v>
      </c>
      <c r="AD99" t="s">
        <v>427</v>
      </c>
      <c r="AE99">
        <v>0</v>
      </c>
      <c r="AF99">
        <v>0</v>
      </c>
      <c r="AG99" t="s">
        <v>111</v>
      </c>
      <c r="AH99" t="s">
        <v>113</v>
      </c>
      <c r="AI99" t="s">
        <v>111</v>
      </c>
      <c r="AJ99" t="s">
        <v>111</v>
      </c>
      <c r="AK99" t="s">
        <v>111</v>
      </c>
      <c r="AL99" t="s">
        <v>111</v>
      </c>
      <c r="AM99">
        <v>0</v>
      </c>
      <c r="AN99">
        <v>0</v>
      </c>
      <c r="AO99">
        <v>0</v>
      </c>
      <c r="AP99" t="s">
        <v>111</v>
      </c>
      <c r="AQ99" t="s">
        <v>111</v>
      </c>
      <c r="AR99" t="s">
        <v>111</v>
      </c>
      <c r="AS99" t="s">
        <v>111</v>
      </c>
      <c r="AT99" t="s">
        <v>111</v>
      </c>
      <c r="AU99" t="s">
        <v>111</v>
      </c>
      <c r="AV99" t="s">
        <v>111</v>
      </c>
      <c r="AW99" t="s">
        <v>111</v>
      </c>
      <c r="AX99" t="s">
        <v>111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111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111</v>
      </c>
      <c r="BM99" t="s">
        <v>111</v>
      </c>
      <c r="BN99" t="s">
        <v>111</v>
      </c>
      <c r="BO99" t="s">
        <v>111</v>
      </c>
      <c r="BP99" t="s">
        <v>111</v>
      </c>
      <c r="BQ99" t="s">
        <v>111</v>
      </c>
      <c r="BR99" t="s">
        <v>111</v>
      </c>
      <c r="BS99" t="s">
        <v>111</v>
      </c>
      <c r="BT99" t="s">
        <v>111</v>
      </c>
      <c r="BU99" t="s">
        <v>111</v>
      </c>
      <c r="BV99" t="s">
        <v>111</v>
      </c>
      <c r="BW99" t="s">
        <v>111</v>
      </c>
      <c r="BX99" t="s">
        <v>111</v>
      </c>
      <c r="BY99" t="s">
        <v>111</v>
      </c>
      <c r="BZ99" t="s">
        <v>111</v>
      </c>
      <c r="CA99" t="s">
        <v>111</v>
      </c>
      <c r="CB99" t="s">
        <v>111</v>
      </c>
      <c r="CC99" t="s">
        <v>111</v>
      </c>
      <c r="CD99" t="s">
        <v>111</v>
      </c>
      <c r="CE99" t="s">
        <v>111</v>
      </c>
      <c r="CF99" t="s">
        <v>111</v>
      </c>
      <c r="CG99" t="s">
        <v>111</v>
      </c>
      <c r="CH99" t="s">
        <v>111</v>
      </c>
      <c r="CI99" t="s">
        <v>111</v>
      </c>
      <c r="CJ99" t="s">
        <v>111</v>
      </c>
      <c r="CK99" t="s">
        <v>111</v>
      </c>
      <c r="CL99" t="s">
        <v>111</v>
      </c>
      <c r="CM99" t="s">
        <v>111</v>
      </c>
      <c r="CN99" t="s">
        <v>111</v>
      </c>
      <c r="CO99" t="s">
        <v>111</v>
      </c>
      <c r="CP99" t="s">
        <v>111</v>
      </c>
      <c r="CQ99">
        <v>0</v>
      </c>
      <c r="CR99">
        <v>0</v>
      </c>
      <c r="CS99">
        <v>0</v>
      </c>
      <c r="CT99" t="s">
        <v>111</v>
      </c>
      <c r="CU99">
        <v>0</v>
      </c>
      <c r="CV99" t="s">
        <v>111</v>
      </c>
      <c r="CW99" t="s">
        <v>111</v>
      </c>
      <c r="CX99" t="s">
        <v>111</v>
      </c>
      <c r="CY99">
        <v>0</v>
      </c>
      <c r="CZ99" t="s">
        <v>111</v>
      </c>
      <c r="DA99" t="s">
        <v>111</v>
      </c>
      <c r="DB99" t="s">
        <v>111</v>
      </c>
      <c r="DC99" t="s">
        <v>111</v>
      </c>
    </row>
    <row r="100" spans="1:107">
      <c r="A100">
        <v>1193</v>
      </c>
      <c r="B100" t="s">
        <v>107</v>
      </c>
      <c r="C100" t="s">
        <v>114</v>
      </c>
      <c r="D100" t="s">
        <v>480</v>
      </c>
      <c r="E100" t="s">
        <v>481</v>
      </c>
      <c r="F100" t="s">
        <v>358</v>
      </c>
      <c r="G100" t="s">
        <v>469</v>
      </c>
      <c r="H100">
        <v>2.7</v>
      </c>
      <c r="I100">
        <v>65</v>
      </c>
      <c r="J100">
        <v>0</v>
      </c>
      <c r="K100">
        <v>0</v>
      </c>
      <c r="L100" t="s">
        <v>117</v>
      </c>
      <c r="M100" t="s">
        <v>118</v>
      </c>
      <c r="N100">
        <v>39</v>
      </c>
      <c r="O100">
        <v>1</v>
      </c>
      <c r="P100" t="s">
        <v>118</v>
      </c>
      <c r="Q100">
        <v>78.7</v>
      </c>
      <c r="R100">
        <v>0</v>
      </c>
      <c r="S100">
        <v>0</v>
      </c>
      <c r="T100">
        <v>5</v>
      </c>
      <c r="U100" s="1" t="s">
        <v>482</v>
      </c>
      <c r="V100">
        <v>0</v>
      </c>
      <c r="W100">
        <v>25</v>
      </c>
      <c r="X100">
        <v>8</v>
      </c>
      <c r="Y100">
        <v>0</v>
      </c>
      <c r="Z100" t="s">
        <v>111</v>
      </c>
      <c r="AA100">
        <v>0</v>
      </c>
      <c r="AB100" t="s">
        <v>479</v>
      </c>
      <c r="AC100">
        <v>8</v>
      </c>
      <c r="AD100" t="s">
        <v>416</v>
      </c>
      <c r="AE100">
        <v>0</v>
      </c>
      <c r="AF100">
        <v>0</v>
      </c>
      <c r="AG100" t="s">
        <v>111</v>
      </c>
      <c r="AH100" t="s">
        <v>113</v>
      </c>
      <c r="AI100" t="s">
        <v>111</v>
      </c>
      <c r="AJ100" t="s">
        <v>111</v>
      </c>
      <c r="AK100" t="s">
        <v>111</v>
      </c>
      <c r="AL100" t="s">
        <v>111</v>
      </c>
      <c r="AM100">
        <v>0</v>
      </c>
      <c r="AN100">
        <v>0</v>
      </c>
      <c r="AO100">
        <v>0</v>
      </c>
      <c r="AP100" t="s">
        <v>111</v>
      </c>
      <c r="AQ100" t="s">
        <v>111</v>
      </c>
      <c r="AR100" t="s">
        <v>111</v>
      </c>
      <c r="AS100" t="s">
        <v>111</v>
      </c>
      <c r="AT100" t="s">
        <v>111</v>
      </c>
      <c r="AU100" t="s">
        <v>111</v>
      </c>
      <c r="AV100" t="s">
        <v>111</v>
      </c>
      <c r="AW100" t="s">
        <v>111</v>
      </c>
      <c r="AX100" t="s">
        <v>111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111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111</v>
      </c>
      <c r="BM100" t="s">
        <v>111</v>
      </c>
      <c r="BN100" t="s">
        <v>111</v>
      </c>
      <c r="BO100" t="s">
        <v>111</v>
      </c>
      <c r="BP100" t="s">
        <v>111</v>
      </c>
      <c r="BQ100" t="s">
        <v>111</v>
      </c>
      <c r="BR100" t="s">
        <v>111</v>
      </c>
      <c r="BS100" t="s">
        <v>111</v>
      </c>
      <c r="BT100" t="s">
        <v>111</v>
      </c>
      <c r="BU100" t="s">
        <v>111</v>
      </c>
      <c r="BV100" t="s">
        <v>111</v>
      </c>
      <c r="BW100" t="s">
        <v>111</v>
      </c>
      <c r="BX100" t="s">
        <v>111</v>
      </c>
      <c r="BY100" t="s">
        <v>111</v>
      </c>
      <c r="BZ100" t="s">
        <v>111</v>
      </c>
      <c r="CA100" t="s">
        <v>111</v>
      </c>
      <c r="CB100" t="s">
        <v>111</v>
      </c>
      <c r="CC100" t="s">
        <v>111</v>
      </c>
      <c r="CD100" t="s">
        <v>111</v>
      </c>
      <c r="CE100" t="s">
        <v>111</v>
      </c>
      <c r="CF100" t="s">
        <v>111</v>
      </c>
      <c r="CG100" t="s">
        <v>111</v>
      </c>
      <c r="CH100" t="s">
        <v>111</v>
      </c>
      <c r="CI100" t="s">
        <v>111</v>
      </c>
      <c r="CJ100" t="s">
        <v>111</v>
      </c>
      <c r="CK100" t="s">
        <v>111</v>
      </c>
      <c r="CL100" t="e">
        <f>-DESTINO ALMACEN</f>
        <v>#NAME?</v>
      </c>
      <c r="CM100" t="s">
        <v>111</v>
      </c>
      <c r="CN100" t="s">
        <v>111</v>
      </c>
      <c r="CO100" t="s">
        <v>111</v>
      </c>
      <c r="CP100" t="s">
        <v>111</v>
      </c>
      <c r="CQ100">
        <v>0</v>
      </c>
      <c r="CR100">
        <v>0</v>
      </c>
      <c r="CS100">
        <v>0</v>
      </c>
      <c r="CT100" t="s">
        <v>111</v>
      </c>
      <c r="CU100">
        <v>0</v>
      </c>
      <c r="CV100" t="s">
        <v>111</v>
      </c>
      <c r="CW100" t="s">
        <v>111</v>
      </c>
      <c r="CX100" t="s">
        <v>111</v>
      </c>
      <c r="CY100">
        <v>0</v>
      </c>
      <c r="CZ100" t="s">
        <v>111</v>
      </c>
      <c r="DA100" t="s">
        <v>111</v>
      </c>
      <c r="DB100" t="s">
        <v>111</v>
      </c>
      <c r="DC100" t="s">
        <v>111</v>
      </c>
    </row>
    <row r="101" spans="1:107">
      <c r="A101">
        <v>1308</v>
      </c>
      <c r="B101" t="s">
        <v>107</v>
      </c>
      <c r="C101" t="s">
        <v>267</v>
      </c>
      <c r="D101" t="s">
        <v>483</v>
      </c>
      <c r="E101" t="s">
        <v>484</v>
      </c>
      <c r="F101" t="s">
        <v>166</v>
      </c>
      <c r="G101" t="s">
        <v>469</v>
      </c>
      <c r="H101">
        <v>1.5</v>
      </c>
      <c r="I101">
        <v>50</v>
      </c>
      <c r="J101">
        <v>0</v>
      </c>
      <c r="K101">
        <v>0</v>
      </c>
      <c r="L101" t="s">
        <v>112</v>
      </c>
      <c r="M101" t="s">
        <v>111</v>
      </c>
      <c r="N101">
        <v>0</v>
      </c>
      <c r="O101">
        <v>0</v>
      </c>
      <c r="P101" t="s">
        <v>111</v>
      </c>
      <c r="Q101">
        <v>49</v>
      </c>
      <c r="R101">
        <v>0</v>
      </c>
      <c r="S101">
        <v>0</v>
      </c>
      <c r="T101">
        <v>5</v>
      </c>
      <c r="U101" s="1" t="s">
        <v>485</v>
      </c>
      <c r="V101">
        <v>25</v>
      </c>
      <c r="W101">
        <v>0</v>
      </c>
      <c r="X101">
        <v>5</v>
      </c>
      <c r="Y101">
        <v>0</v>
      </c>
      <c r="Z101" t="s">
        <v>111</v>
      </c>
      <c r="AA101">
        <v>0</v>
      </c>
      <c r="AB101" t="s">
        <v>111</v>
      </c>
      <c r="AC101">
        <v>0</v>
      </c>
      <c r="AD101" t="s">
        <v>111</v>
      </c>
      <c r="AE101">
        <v>0</v>
      </c>
      <c r="AF101">
        <v>0</v>
      </c>
      <c r="AG101" t="s">
        <v>111</v>
      </c>
      <c r="AH101" t="s">
        <v>111</v>
      </c>
      <c r="AI101" t="s">
        <v>111</v>
      </c>
      <c r="AJ101" t="s">
        <v>111</v>
      </c>
      <c r="AK101" t="s">
        <v>111</v>
      </c>
      <c r="AL101" t="s">
        <v>111</v>
      </c>
      <c r="AM101">
        <v>0</v>
      </c>
      <c r="AN101">
        <v>0</v>
      </c>
      <c r="AO101">
        <v>0</v>
      </c>
      <c r="AP101" t="s">
        <v>111</v>
      </c>
      <c r="AQ101" t="s">
        <v>111</v>
      </c>
      <c r="AR101" t="s">
        <v>111</v>
      </c>
      <c r="AS101" t="s">
        <v>111</v>
      </c>
      <c r="AT101" t="s">
        <v>111</v>
      </c>
      <c r="AU101" t="s">
        <v>111</v>
      </c>
      <c r="AV101" t="s">
        <v>111</v>
      </c>
      <c r="AW101" t="s">
        <v>111</v>
      </c>
      <c r="AX101" t="s">
        <v>111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111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111</v>
      </c>
      <c r="BM101" t="s">
        <v>111</v>
      </c>
      <c r="BN101" t="s">
        <v>111</v>
      </c>
      <c r="BO101" t="s">
        <v>111</v>
      </c>
      <c r="BP101" t="s">
        <v>111</v>
      </c>
      <c r="BQ101" t="s">
        <v>111</v>
      </c>
      <c r="BR101" t="s">
        <v>111</v>
      </c>
      <c r="BS101" t="s">
        <v>111</v>
      </c>
      <c r="BT101" t="s">
        <v>111</v>
      </c>
      <c r="BU101" t="s">
        <v>111</v>
      </c>
      <c r="BV101" t="s">
        <v>111</v>
      </c>
      <c r="BW101" t="s">
        <v>111</v>
      </c>
      <c r="BX101" t="s">
        <v>111</v>
      </c>
      <c r="BY101" t="s">
        <v>111</v>
      </c>
      <c r="BZ101" t="s">
        <v>111</v>
      </c>
      <c r="CA101" t="s">
        <v>111</v>
      </c>
      <c r="CB101" t="s">
        <v>111</v>
      </c>
      <c r="CC101" t="s">
        <v>111</v>
      </c>
      <c r="CD101" t="s">
        <v>111</v>
      </c>
      <c r="CE101" t="s">
        <v>111</v>
      </c>
      <c r="CF101" t="s">
        <v>111</v>
      </c>
      <c r="CG101" t="s">
        <v>111</v>
      </c>
      <c r="CH101" t="s">
        <v>111</v>
      </c>
      <c r="CI101" t="s">
        <v>111</v>
      </c>
      <c r="CJ101" t="s">
        <v>111</v>
      </c>
      <c r="CK101" t="s">
        <v>111</v>
      </c>
      <c r="CL101" t="s">
        <v>111</v>
      </c>
      <c r="CM101" t="s">
        <v>111</v>
      </c>
      <c r="CN101" t="s">
        <v>111</v>
      </c>
      <c r="CO101" t="s">
        <v>111</v>
      </c>
      <c r="CP101" t="s">
        <v>111</v>
      </c>
      <c r="CQ101">
        <v>0</v>
      </c>
      <c r="CR101">
        <v>0</v>
      </c>
      <c r="CS101">
        <v>0</v>
      </c>
      <c r="CT101" t="s">
        <v>111</v>
      </c>
      <c r="CU101">
        <v>0</v>
      </c>
      <c r="CV101" t="s">
        <v>111</v>
      </c>
      <c r="CW101" t="s">
        <v>111</v>
      </c>
      <c r="CX101" t="s">
        <v>111</v>
      </c>
      <c r="CY101">
        <v>0</v>
      </c>
      <c r="CZ101" t="s">
        <v>111</v>
      </c>
      <c r="DA101" t="s">
        <v>111</v>
      </c>
      <c r="DB101" t="s">
        <v>111</v>
      </c>
      <c r="DC101" t="s">
        <v>111</v>
      </c>
    </row>
    <row r="102" spans="1:107">
      <c r="A102">
        <v>1307</v>
      </c>
      <c r="B102" t="s">
        <v>107</v>
      </c>
      <c r="C102" t="s">
        <v>267</v>
      </c>
      <c r="D102" t="s">
        <v>486</v>
      </c>
      <c r="E102" t="s">
        <v>487</v>
      </c>
      <c r="F102" t="s">
        <v>166</v>
      </c>
      <c r="G102" t="s">
        <v>469</v>
      </c>
      <c r="H102">
        <v>1.5</v>
      </c>
      <c r="I102">
        <v>80</v>
      </c>
      <c r="J102">
        <v>0</v>
      </c>
      <c r="K102">
        <v>0</v>
      </c>
      <c r="L102" t="s">
        <v>112</v>
      </c>
      <c r="M102" t="s">
        <v>111</v>
      </c>
      <c r="N102">
        <v>0</v>
      </c>
      <c r="O102">
        <v>0</v>
      </c>
      <c r="P102" t="s">
        <v>111</v>
      </c>
      <c r="Q102">
        <v>49</v>
      </c>
      <c r="R102">
        <v>0</v>
      </c>
      <c r="S102">
        <v>0</v>
      </c>
      <c r="T102">
        <v>0</v>
      </c>
      <c r="U102" s="1" t="s">
        <v>488</v>
      </c>
      <c r="V102">
        <v>250</v>
      </c>
      <c r="W102">
        <v>0</v>
      </c>
      <c r="X102">
        <v>5</v>
      </c>
      <c r="Y102">
        <v>0</v>
      </c>
      <c r="Z102" t="s">
        <v>111</v>
      </c>
      <c r="AA102">
        <v>0</v>
      </c>
      <c r="AB102" t="s">
        <v>111</v>
      </c>
      <c r="AC102">
        <v>0</v>
      </c>
      <c r="AD102" t="s">
        <v>111</v>
      </c>
      <c r="AE102">
        <v>0</v>
      </c>
      <c r="AF102">
        <v>0</v>
      </c>
      <c r="AG102" t="s">
        <v>111</v>
      </c>
      <c r="AH102" t="s">
        <v>111</v>
      </c>
      <c r="AI102" t="s">
        <v>111</v>
      </c>
      <c r="AJ102" t="s">
        <v>111</v>
      </c>
      <c r="AK102" t="s">
        <v>111</v>
      </c>
      <c r="AL102" t="s">
        <v>111</v>
      </c>
      <c r="AM102">
        <v>0</v>
      </c>
      <c r="AN102">
        <v>0</v>
      </c>
      <c r="AO102">
        <v>0</v>
      </c>
      <c r="AP102" t="s">
        <v>111</v>
      </c>
      <c r="AQ102" t="s">
        <v>111</v>
      </c>
      <c r="AR102" t="s">
        <v>111</v>
      </c>
      <c r="AS102" t="s">
        <v>111</v>
      </c>
      <c r="AT102" t="s">
        <v>111</v>
      </c>
      <c r="AU102" t="s">
        <v>111</v>
      </c>
      <c r="AV102" t="s">
        <v>111</v>
      </c>
      <c r="AW102" t="s">
        <v>111</v>
      </c>
      <c r="AX102" t="s">
        <v>111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111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111</v>
      </c>
      <c r="BM102" t="s">
        <v>111</v>
      </c>
      <c r="BN102" t="s">
        <v>111</v>
      </c>
      <c r="BO102" t="s">
        <v>111</v>
      </c>
      <c r="BP102" t="s">
        <v>111</v>
      </c>
      <c r="BQ102" t="s">
        <v>111</v>
      </c>
      <c r="BR102" t="s">
        <v>111</v>
      </c>
      <c r="BS102" t="s">
        <v>111</v>
      </c>
      <c r="BT102" t="s">
        <v>111</v>
      </c>
      <c r="BU102" t="s">
        <v>111</v>
      </c>
      <c r="BV102" t="s">
        <v>111</v>
      </c>
      <c r="BW102" t="s">
        <v>111</v>
      </c>
      <c r="BX102" t="s">
        <v>111</v>
      </c>
      <c r="BY102" t="s">
        <v>111</v>
      </c>
      <c r="BZ102" t="s">
        <v>111</v>
      </c>
      <c r="CA102" t="s">
        <v>111</v>
      </c>
      <c r="CB102" t="s">
        <v>111</v>
      </c>
      <c r="CC102" t="s">
        <v>111</v>
      </c>
      <c r="CD102" t="s">
        <v>111</v>
      </c>
      <c r="CE102" t="s">
        <v>111</v>
      </c>
      <c r="CF102" t="s">
        <v>111</v>
      </c>
      <c r="CG102" t="s">
        <v>111</v>
      </c>
      <c r="CH102" t="s">
        <v>111</v>
      </c>
      <c r="CI102" t="s">
        <v>111</v>
      </c>
      <c r="CJ102" t="s">
        <v>111</v>
      </c>
      <c r="CK102" t="s">
        <v>111</v>
      </c>
      <c r="CL102" t="s">
        <v>111</v>
      </c>
      <c r="CM102" t="s">
        <v>111</v>
      </c>
      <c r="CN102" t="s">
        <v>111</v>
      </c>
      <c r="CO102" t="s">
        <v>111</v>
      </c>
      <c r="CP102" t="s">
        <v>111</v>
      </c>
      <c r="CQ102">
        <v>0</v>
      </c>
      <c r="CR102">
        <v>0</v>
      </c>
      <c r="CS102">
        <v>0</v>
      </c>
      <c r="CT102" t="s">
        <v>111</v>
      </c>
      <c r="CU102">
        <v>0</v>
      </c>
      <c r="CV102" t="s">
        <v>111</v>
      </c>
      <c r="CW102" t="s">
        <v>111</v>
      </c>
      <c r="CX102" t="s">
        <v>111</v>
      </c>
      <c r="CY102">
        <v>0</v>
      </c>
      <c r="CZ102" t="s">
        <v>111</v>
      </c>
      <c r="DA102" t="s">
        <v>111</v>
      </c>
      <c r="DB102" t="s">
        <v>111</v>
      </c>
      <c r="DC102" t="s">
        <v>111</v>
      </c>
    </row>
    <row r="103" spans="1:107">
      <c r="A103">
        <v>1194</v>
      </c>
      <c r="B103" t="s">
        <v>107</v>
      </c>
      <c r="C103" t="s">
        <v>114</v>
      </c>
      <c r="D103" t="s">
        <v>489</v>
      </c>
      <c r="E103" t="s">
        <v>490</v>
      </c>
      <c r="F103" t="s">
        <v>431</v>
      </c>
      <c r="G103" t="s">
        <v>469</v>
      </c>
      <c r="H103">
        <v>2.9</v>
      </c>
      <c r="I103">
        <v>70</v>
      </c>
      <c r="J103">
        <v>0</v>
      </c>
      <c r="K103">
        <v>0</v>
      </c>
      <c r="L103" t="s">
        <v>117</v>
      </c>
      <c r="M103" t="s">
        <v>118</v>
      </c>
      <c r="N103">
        <v>0</v>
      </c>
      <c r="O103">
        <v>1</v>
      </c>
      <c r="P103" t="s">
        <v>111</v>
      </c>
      <c r="Q103">
        <v>41.7</v>
      </c>
      <c r="R103">
        <v>0</v>
      </c>
      <c r="S103">
        <v>0</v>
      </c>
      <c r="T103">
        <v>10</v>
      </c>
      <c r="U103" s="1" t="s">
        <v>491</v>
      </c>
      <c r="V103">
        <v>0</v>
      </c>
      <c r="W103">
        <v>250</v>
      </c>
      <c r="X103">
        <v>7.5</v>
      </c>
      <c r="Y103">
        <v>0</v>
      </c>
      <c r="Z103" t="s">
        <v>111</v>
      </c>
      <c r="AA103">
        <v>0</v>
      </c>
      <c r="AB103" t="s">
        <v>492</v>
      </c>
      <c r="AC103">
        <v>8</v>
      </c>
      <c r="AD103" t="s">
        <v>493</v>
      </c>
      <c r="AE103">
        <v>0</v>
      </c>
      <c r="AF103">
        <v>0</v>
      </c>
      <c r="AG103" t="s">
        <v>111</v>
      </c>
      <c r="AH103" t="s">
        <v>128</v>
      </c>
      <c r="AI103" t="s">
        <v>111</v>
      </c>
      <c r="AJ103" t="s">
        <v>111</v>
      </c>
      <c r="AK103" t="s">
        <v>111</v>
      </c>
      <c r="AL103" t="s">
        <v>111</v>
      </c>
      <c r="AM103">
        <v>0</v>
      </c>
      <c r="AN103">
        <v>0</v>
      </c>
      <c r="AO103">
        <v>0</v>
      </c>
      <c r="AP103" t="s">
        <v>111</v>
      </c>
      <c r="AQ103" t="s">
        <v>111</v>
      </c>
      <c r="AR103" t="s">
        <v>111</v>
      </c>
      <c r="AS103" t="s">
        <v>111</v>
      </c>
      <c r="AT103" t="s">
        <v>111</v>
      </c>
      <c r="AU103" t="s">
        <v>111</v>
      </c>
      <c r="AV103" t="s">
        <v>111</v>
      </c>
      <c r="AW103" t="s">
        <v>111</v>
      </c>
      <c r="AX103" t="s">
        <v>111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111</v>
      </c>
      <c r="BG103" t="s">
        <v>111</v>
      </c>
      <c r="BH103" t="s">
        <v>111</v>
      </c>
      <c r="BI103" t="s">
        <v>111</v>
      </c>
      <c r="BJ103" t="s">
        <v>111</v>
      </c>
      <c r="BK103" t="s">
        <v>111</v>
      </c>
      <c r="BL103" t="s">
        <v>111</v>
      </c>
      <c r="BM103" t="s">
        <v>111</v>
      </c>
      <c r="BN103" t="s">
        <v>111</v>
      </c>
      <c r="BO103" t="s">
        <v>111</v>
      </c>
      <c r="BP103" t="s">
        <v>111</v>
      </c>
      <c r="BQ103" t="s">
        <v>111</v>
      </c>
      <c r="BR103" t="s">
        <v>111</v>
      </c>
      <c r="BS103" t="s">
        <v>111</v>
      </c>
      <c r="BT103" t="s">
        <v>111</v>
      </c>
      <c r="BU103" t="s">
        <v>111</v>
      </c>
      <c r="BV103" t="s">
        <v>111</v>
      </c>
      <c r="BW103" t="s">
        <v>111</v>
      </c>
      <c r="BX103" t="s">
        <v>111</v>
      </c>
      <c r="BY103" t="s">
        <v>111</v>
      </c>
      <c r="BZ103" t="s">
        <v>111</v>
      </c>
      <c r="CA103" t="s">
        <v>111</v>
      </c>
      <c r="CB103" t="s">
        <v>111</v>
      </c>
      <c r="CC103" t="s">
        <v>111</v>
      </c>
      <c r="CD103" t="s">
        <v>111</v>
      </c>
      <c r="CE103" t="s">
        <v>111</v>
      </c>
      <c r="CF103" t="s">
        <v>111</v>
      </c>
      <c r="CG103" t="s">
        <v>111</v>
      </c>
      <c r="CH103" t="s">
        <v>111</v>
      </c>
      <c r="CI103" t="s">
        <v>111</v>
      </c>
      <c r="CJ103" t="s">
        <v>111</v>
      </c>
      <c r="CK103" t="s">
        <v>111</v>
      </c>
      <c r="CL103" s="1" t="s">
        <v>494</v>
      </c>
      <c r="CM103" t="s">
        <v>135</v>
      </c>
      <c r="CN103" t="s">
        <v>113</v>
      </c>
      <c r="CO103" t="s">
        <v>111</v>
      </c>
      <c r="CP103" t="e">
        <f>-MUESTRA</f>
        <v>#NAME?</v>
      </c>
      <c r="CQ103">
        <v>45</v>
      </c>
      <c r="CR103">
        <v>3000</v>
      </c>
      <c r="CS103">
        <v>100</v>
      </c>
      <c r="CT103" s="1" t="s">
        <v>495</v>
      </c>
      <c r="CU103">
        <v>0</v>
      </c>
      <c r="CV103" t="s">
        <v>111</v>
      </c>
      <c r="CW103" t="s">
        <v>111</v>
      </c>
      <c r="CX103" t="s">
        <v>111</v>
      </c>
      <c r="CY103">
        <v>0</v>
      </c>
      <c r="CZ103" t="s">
        <v>111</v>
      </c>
      <c r="DA103" t="s">
        <v>111</v>
      </c>
      <c r="DB103" t="s">
        <v>111</v>
      </c>
      <c r="DC103" t="s">
        <v>111</v>
      </c>
    </row>
    <row r="104" spans="1:107">
      <c r="A104">
        <v>1201</v>
      </c>
      <c r="B104" t="s">
        <v>107</v>
      </c>
      <c r="C104" t="s">
        <v>114</v>
      </c>
      <c r="D104" t="s">
        <v>480</v>
      </c>
      <c r="E104" t="s">
        <v>496</v>
      </c>
      <c r="F104" t="s">
        <v>358</v>
      </c>
      <c r="G104" t="s">
        <v>469</v>
      </c>
      <c r="H104">
        <v>2.7</v>
      </c>
      <c r="I104">
        <v>65</v>
      </c>
      <c r="J104">
        <v>0</v>
      </c>
      <c r="K104">
        <v>0</v>
      </c>
      <c r="L104" t="s">
        <v>117</v>
      </c>
      <c r="M104" t="s">
        <v>118</v>
      </c>
      <c r="N104">
        <v>40</v>
      </c>
      <c r="O104">
        <v>1</v>
      </c>
      <c r="P104" t="s">
        <v>118</v>
      </c>
      <c r="Q104">
        <v>53.2</v>
      </c>
      <c r="R104">
        <v>0</v>
      </c>
      <c r="S104">
        <v>0</v>
      </c>
      <c r="T104">
        <v>5</v>
      </c>
      <c r="U104" s="1" t="s">
        <v>497</v>
      </c>
      <c r="V104">
        <v>0</v>
      </c>
      <c r="W104">
        <v>25</v>
      </c>
      <c r="X104">
        <v>8</v>
      </c>
      <c r="Y104">
        <v>0</v>
      </c>
      <c r="Z104" t="s">
        <v>111</v>
      </c>
      <c r="AA104">
        <v>0</v>
      </c>
      <c r="AB104" t="s">
        <v>479</v>
      </c>
      <c r="AC104">
        <v>8</v>
      </c>
      <c r="AD104" t="s">
        <v>416</v>
      </c>
      <c r="AE104">
        <v>0</v>
      </c>
      <c r="AF104">
        <v>0</v>
      </c>
      <c r="AG104" t="s">
        <v>111</v>
      </c>
      <c r="AH104" t="s">
        <v>128</v>
      </c>
      <c r="AI104" t="s">
        <v>111</v>
      </c>
      <c r="AJ104" t="s">
        <v>111</v>
      </c>
      <c r="AK104" t="s">
        <v>111</v>
      </c>
      <c r="AL104" t="s">
        <v>111</v>
      </c>
      <c r="AM104">
        <v>0</v>
      </c>
      <c r="AN104">
        <v>0</v>
      </c>
      <c r="AO104">
        <v>0</v>
      </c>
      <c r="AP104" t="s">
        <v>111</v>
      </c>
      <c r="AQ104" t="s">
        <v>111</v>
      </c>
      <c r="AR104" t="s">
        <v>111</v>
      </c>
      <c r="AS104" t="s">
        <v>111</v>
      </c>
      <c r="AT104" t="s">
        <v>111</v>
      </c>
      <c r="AU104" t="s">
        <v>111</v>
      </c>
      <c r="AV104" t="s">
        <v>111</v>
      </c>
      <c r="AW104" t="s">
        <v>111</v>
      </c>
      <c r="AX104" t="s">
        <v>111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111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111</v>
      </c>
      <c r="BM104" t="s">
        <v>111</v>
      </c>
      <c r="BN104" t="s">
        <v>111</v>
      </c>
      <c r="BO104" t="s">
        <v>111</v>
      </c>
      <c r="BP104" t="s">
        <v>111</v>
      </c>
      <c r="BQ104" t="s">
        <v>111</v>
      </c>
      <c r="BR104" t="s">
        <v>111</v>
      </c>
      <c r="BS104" t="s">
        <v>111</v>
      </c>
      <c r="BT104" t="s">
        <v>111</v>
      </c>
      <c r="BU104" t="s">
        <v>111</v>
      </c>
      <c r="BV104" t="s">
        <v>111</v>
      </c>
      <c r="BW104" t="s">
        <v>111</v>
      </c>
      <c r="BX104" t="s">
        <v>111</v>
      </c>
      <c r="BY104" t="s">
        <v>111</v>
      </c>
      <c r="BZ104" t="s">
        <v>111</v>
      </c>
      <c r="CA104" t="s">
        <v>111</v>
      </c>
      <c r="CB104" t="s">
        <v>111</v>
      </c>
      <c r="CC104" t="s">
        <v>111</v>
      </c>
      <c r="CD104" t="s">
        <v>111</v>
      </c>
      <c r="CE104" t="s">
        <v>111</v>
      </c>
      <c r="CF104" t="s">
        <v>111</v>
      </c>
      <c r="CG104" t="s">
        <v>111</v>
      </c>
      <c r="CH104" t="s">
        <v>111</v>
      </c>
      <c r="CI104" t="s">
        <v>111</v>
      </c>
      <c r="CJ104" t="s">
        <v>111</v>
      </c>
      <c r="CK104" t="s">
        <v>111</v>
      </c>
      <c r="CL104" t="e">
        <f>-DESTINO ALMACEN</f>
        <v>#NAME?</v>
      </c>
      <c r="CM104" t="s">
        <v>111</v>
      </c>
      <c r="CN104" t="s">
        <v>111</v>
      </c>
      <c r="CO104" t="s">
        <v>111</v>
      </c>
      <c r="CP104" t="s">
        <v>111</v>
      </c>
      <c r="CQ104">
        <v>0</v>
      </c>
      <c r="CR104">
        <v>0</v>
      </c>
      <c r="CS104">
        <v>0</v>
      </c>
      <c r="CT104" t="s">
        <v>111</v>
      </c>
      <c r="CU104">
        <v>0</v>
      </c>
      <c r="CV104" t="s">
        <v>111</v>
      </c>
      <c r="CW104" t="s">
        <v>111</v>
      </c>
      <c r="CX104" t="s">
        <v>111</v>
      </c>
      <c r="CY104">
        <v>0</v>
      </c>
      <c r="CZ104" t="s">
        <v>111</v>
      </c>
      <c r="DA104" t="s">
        <v>111</v>
      </c>
      <c r="DB104" t="s">
        <v>111</v>
      </c>
      <c r="DC104" t="s">
        <v>111</v>
      </c>
    </row>
    <row r="105" spans="1:107">
      <c r="A105">
        <v>1192</v>
      </c>
      <c r="B105" t="s">
        <v>107</v>
      </c>
      <c r="C105" t="s">
        <v>498</v>
      </c>
      <c r="D105" t="s">
        <v>499</v>
      </c>
      <c r="E105" t="s">
        <v>500</v>
      </c>
      <c r="F105" t="s">
        <v>431</v>
      </c>
      <c r="G105" t="s">
        <v>469</v>
      </c>
      <c r="H105">
        <v>2.4</v>
      </c>
      <c r="I105">
        <v>62</v>
      </c>
      <c r="J105">
        <v>0</v>
      </c>
      <c r="K105">
        <v>0</v>
      </c>
      <c r="L105" t="s">
        <v>117</v>
      </c>
      <c r="M105" t="s">
        <v>118</v>
      </c>
      <c r="N105">
        <v>39</v>
      </c>
      <c r="O105">
        <v>1</v>
      </c>
      <c r="P105" t="s">
        <v>111</v>
      </c>
      <c r="Q105">
        <v>40</v>
      </c>
      <c r="R105">
        <v>0</v>
      </c>
      <c r="S105">
        <v>0</v>
      </c>
      <c r="T105">
        <v>5</v>
      </c>
      <c r="U105" t="s">
        <v>501</v>
      </c>
      <c r="V105">
        <v>0</v>
      </c>
      <c r="W105">
        <v>25</v>
      </c>
      <c r="X105">
        <v>8</v>
      </c>
      <c r="Y105">
        <v>0</v>
      </c>
      <c r="Z105" t="s">
        <v>111</v>
      </c>
      <c r="AA105">
        <v>0</v>
      </c>
      <c r="AB105" t="s">
        <v>502</v>
      </c>
      <c r="AC105">
        <v>8</v>
      </c>
      <c r="AD105" t="s">
        <v>416</v>
      </c>
      <c r="AE105">
        <v>0</v>
      </c>
      <c r="AF105">
        <v>0</v>
      </c>
      <c r="AG105" t="s">
        <v>111</v>
      </c>
      <c r="AH105" t="s">
        <v>113</v>
      </c>
      <c r="AI105" t="s">
        <v>111</v>
      </c>
      <c r="AJ105" t="s">
        <v>111</v>
      </c>
      <c r="AK105" t="s">
        <v>111</v>
      </c>
      <c r="AL105" t="s">
        <v>111</v>
      </c>
      <c r="AM105">
        <v>0</v>
      </c>
      <c r="AN105">
        <v>0</v>
      </c>
      <c r="AO105">
        <v>0</v>
      </c>
      <c r="AP105" t="s">
        <v>111</v>
      </c>
      <c r="AQ105" t="s">
        <v>111</v>
      </c>
      <c r="AR105" t="s">
        <v>111</v>
      </c>
      <c r="AS105" t="s">
        <v>111</v>
      </c>
      <c r="AT105" t="s">
        <v>111</v>
      </c>
      <c r="AU105" t="s">
        <v>111</v>
      </c>
      <c r="AV105" t="s">
        <v>111</v>
      </c>
      <c r="AW105" t="s">
        <v>111</v>
      </c>
      <c r="AX105" t="s">
        <v>111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111</v>
      </c>
      <c r="BG105" t="s">
        <v>111</v>
      </c>
      <c r="BH105" t="s">
        <v>111</v>
      </c>
      <c r="BI105" t="s">
        <v>111</v>
      </c>
      <c r="BJ105" t="s">
        <v>111</v>
      </c>
      <c r="BK105" t="s">
        <v>111</v>
      </c>
      <c r="BL105" t="s">
        <v>111</v>
      </c>
      <c r="BM105" t="s">
        <v>111</v>
      </c>
      <c r="BN105" t="s">
        <v>111</v>
      </c>
      <c r="BO105" t="s">
        <v>111</v>
      </c>
      <c r="BP105" t="s">
        <v>111</v>
      </c>
      <c r="BQ105" t="s">
        <v>111</v>
      </c>
      <c r="BR105" t="s">
        <v>111</v>
      </c>
      <c r="BS105" t="s">
        <v>111</v>
      </c>
      <c r="BT105" t="s">
        <v>111</v>
      </c>
      <c r="BU105" t="s">
        <v>111</v>
      </c>
      <c r="BV105" t="s">
        <v>111</v>
      </c>
      <c r="BW105" t="s">
        <v>111</v>
      </c>
      <c r="BX105" t="s">
        <v>111</v>
      </c>
      <c r="BY105" t="s">
        <v>111</v>
      </c>
      <c r="BZ105" t="s">
        <v>111</v>
      </c>
      <c r="CA105" t="s">
        <v>111</v>
      </c>
      <c r="CB105" t="s">
        <v>111</v>
      </c>
      <c r="CC105" t="s">
        <v>111</v>
      </c>
      <c r="CD105" t="s">
        <v>111</v>
      </c>
      <c r="CE105" t="s">
        <v>111</v>
      </c>
      <c r="CF105" t="s">
        <v>111</v>
      </c>
      <c r="CG105" t="s">
        <v>111</v>
      </c>
      <c r="CH105" t="s">
        <v>111</v>
      </c>
      <c r="CI105" t="s">
        <v>111</v>
      </c>
      <c r="CJ105" t="s">
        <v>111</v>
      </c>
      <c r="CK105" t="s">
        <v>111</v>
      </c>
      <c r="CL105" t="s">
        <v>111</v>
      </c>
      <c r="CM105" t="s">
        <v>135</v>
      </c>
      <c r="CN105" t="s">
        <v>113</v>
      </c>
      <c r="CO105" t="s">
        <v>111</v>
      </c>
      <c r="CP105" t="s">
        <v>111</v>
      </c>
      <c r="CQ105">
        <v>0</v>
      </c>
      <c r="CR105">
        <v>5000</v>
      </c>
      <c r="CS105">
        <v>200</v>
      </c>
      <c r="CT105" s="1" t="s">
        <v>503</v>
      </c>
      <c r="CU105">
        <v>0</v>
      </c>
      <c r="CV105" t="s">
        <v>111</v>
      </c>
      <c r="CW105" t="s">
        <v>111</v>
      </c>
      <c r="CX105" t="s">
        <v>111</v>
      </c>
      <c r="CY105">
        <v>0</v>
      </c>
      <c r="CZ105" t="s">
        <v>111</v>
      </c>
      <c r="DA105" t="s">
        <v>111</v>
      </c>
      <c r="DB105" t="s">
        <v>111</v>
      </c>
      <c r="DC105" t="s">
        <v>111</v>
      </c>
    </row>
    <row r="106" spans="1:107">
      <c r="A106">
        <v>1345</v>
      </c>
      <c r="B106" t="s">
        <v>107</v>
      </c>
      <c r="C106" t="s">
        <v>504</v>
      </c>
      <c r="D106" t="s">
        <v>505</v>
      </c>
      <c r="E106" t="s">
        <v>506</v>
      </c>
      <c r="F106" t="s">
        <v>166</v>
      </c>
      <c r="G106" t="s">
        <v>469</v>
      </c>
      <c r="H106">
        <v>0.7</v>
      </c>
      <c r="I106">
        <v>62</v>
      </c>
      <c r="J106">
        <v>0</v>
      </c>
      <c r="K106">
        <v>0</v>
      </c>
      <c r="L106" t="s">
        <v>112</v>
      </c>
      <c r="M106" t="s">
        <v>111</v>
      </c>
      <c r="N106">
        <v>0</v>
      </c>
      <c r="O106">
        <v>0</v>
      </c>
      <c r="P106" t="s">
        <v>111</v>
      </c>
      <c r="Q106">
        <v>50</v>
      </c>
      <c r="R106">
        <v>0</v>
      </c>
      <c r="S106">
        <v>0</v>
      </c>
      <c r="T106">
        <v>0</v>
      </c>
      <c r="U106" s="1" t="s">
        <v>507</v>
      </c>
      <c r="V106">
        <v>25</v>
      </c>
      <c r="W106">
        <v>0</v>
      </c>
      <c r="X106">
        <v>5</v>
      </c>
      <c r="Y106">
        <v>0</v>
      </c>
      <c r="Z106" t="s">
        <v>288</v>
      </c>
      <c r="AA106">
        <v>1.8</v>
      </c>
      <c r="AB106" t="s">
        <v>111</v>
      </c>
      <c r="AC106">
        <v>0</v>
      </c>
      <c r="AD106" t="s">
        <v>111</v>
      </c>
      <c r="AE106">
        <v>0</v>
      </c>
      <c r="AF106">
        <v>0</v>
      </c>
      <c r="AG106" t="s">
        <v>111</v>
      </c>
      <c r="AH106" t="s">
        <v>111</v>
      </c>
      <c r="AI106" t="s">
        <v>111</v>
      </c>
      <c r="AJ106" t="s">
        <v>111</v>
      </c>
      <c r="AK106" t="s">
        <v>111</v>
      </c>
      <c r="AL106" t="s">
        <v>111</v>
      </c>
      <c r="AM106">
        <v>0</v>
      </c>
      <c r="AN106">
        <v>0</v>
      </c>
      <c r="AO106">
        <v>0</v>
      </c>
      <c r="AP106" t="s">
        <v>111</v>
      </c>
      <c r="AQ106" t="s">
        <v>111</v>
      </c>
      <c r="AR106" t="s">
        <v>111</v>
      </c>
      <c r="AS106" t="s">
        <v>111</v>
      </c>
      <c r="AT106" t="s">
        <v>111</v>
      </c>
      <c r="AU106" t="s">
        <v>111</v>
      </c>
      <c r="AV106" t="s">
        <v>111</v>
      </c>
      <c r="AW106" t="s">
        <v>111</v>
      </c>
      <c r="AX106" t="s">
        <v>111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111</v>
      </c>
      <c r="BG106" t="s">
        <v>111</v>
      </c>
      <c r="BH106" t="s">
        <v>111</v>
      </c>
      <c r="BI106" t="s">
        <v>111</v>
      </c>
      <c r="BJ106" t="s">
        <v>111</v>
      </c>
      <c r="BK106" t="s">
        <v>111</v>
      </c>
      <c r="BL106" t="s">
        <v>111</v>
      </c>
      <c r="BM106" t="s">
        <v>111</v>
      </c>
      <c r="BN106" t="s">
        <v>111</v>
      </c>
      <c r="BO106" t="s">
        <v>111</v>
      </c>
      <c r="BP106" t="s">
        <v>111</v>
      </c>
      <c r="BQ106" t="s">
        <v>111</v>
      </c>
      <c r="BR106" t="s">
        <v>111</v>
      </c>
      <c r="BS106" t="s">
        <v>111</v>
      </c>
      <c r="BT106" t="s">
        <v>111</v>
      </c>
      <c r="BU106" t="s">
        <v>111</v>
      </c>
      <c r="BV106" t="s">
        <v>111</v>
      </c>
      <c r="BW106" t="s">
        <v>111</v>
      </c>
      <c r="BX106" t="s">
        <v>111</v>
      </c>
      <c r="BY106" t="s">
        <v>111</v>
      </c>
      <c r="BZ106" t="s">
        <v>111</v>
      </c>
      <c r="CA106" t="s">
        <v>111</v>
      </c>
      <c r="CB106" t="s">
        <v>111</v>
      </c>
      <c r="CC106" t="s">
        <v>111</v>
      </c>
      <c r="CD106" t="s">
        <v>111</v>
      </c>
      <c r="CE106" t="s">
        <v>111</v>
      </c>
      <c r="CF106" t="s">
        <v>111</v>
      </c>
      <c r="CG106" t="s">
        <v>111</v>
      </c>
      <c r="CH106" t="s">
        <v>111</v>
      </c>
      <c r="CI106" t="s">
        <v>111</v>
      </c>
      <c r="CJ106" t="s">
        <v>111</v>
      </c>
      <c r="CK106" t="s">
        <v>111</v>
      </c>
      <c r="CL106" t="s">
        <v>111</v>
      </c>
      <c r="CM106" t="s">
        <v>127</v>
      </c>
      <c r="CN106" t="s">
        <v>111</v>
      </c>
      <c r="CO106" t="s">
        <v>508</v>
      </c>
      <c r="CP106" t="s">
        <v>111</v>
      </c>
      <c r="CQ106">
        <v>0</v>
      </c>
      <c r="CR106">
        <v>0</v>
      </c>
      <c r="CS106">
        <v>640</v>
      </c>
      <c r="CT106" t="e">
        <f>-ALMACEN</f>
        <v>#NAME?</v>
      </c>
      <c r="CU106">
        <v>0</v>
      </c>
      <c r="CV106" t="s">
        <v>111</v>
      </c>
      <c r="CW106" t="s">
        <v>111</v>
      </c>
      <c r="CX106" t="s">
        <v>111</v>
      </c>
      <c r="CY106">
        <v>0</v>
      </c>
      <c r="CZ106" t="s">
        <v>111</v>
      </c>
      <c r="DA106" t="s">
        <v>111</v>
      </c>
      <c r="DB106" t="e">
        <f>-EXTERNO</f>
        <v>#NAME?</v>
      </c>
      <c r="DC106" t="e">
        <f>-PRECORTE</f>
        <v>#NAME?</v>
      </c>
    </row>
    <row r="107" spans="1:107">
      <c r="A107">
        <v>1327</v>
      </c>
      <c r="B107" t="s">
        <v>107</v>
      </c>
      <c r="C107" t="s">
        <v>509</v>
      </c>
      <c r="D107" t="s">
        <v>510</v>
      </c>
      <c r="E107" t="s">
        <v>511</v>
      </c>
      <c r="F107" t="s">
        <v>192</v>
      </c>
      <c r="G107" t="s">
        <v>469</v>
      </c>
      <c r="H107">
        <v>2</v>
      </c>
      <c r="I107">
        <v>33.5</v>
      </c>
      <c r="J107">
        <v>8</v>
      </c>
      <c r="K107">
        <v>8</v>
      </c>
      <c r="L107" t="s">
        <v>112</v>
      </c>
      <c r="M107" t="s">
        <v>111</v>
      </c>
      <c r="N107">
        <v>0</v>
      </c>
      <c r="O107">
        <v>0</v>
      </c>
      <c r="P107" t="s">
        <v>111</v>
      </c>
      <c r="Q107">
        <v>40</v>
      </c>
      <c r="R107">
        <v>0</v>
      </c>
      <c r="S107">
        <v>0</v>
      </c>
      <c r="T107">
        <v>5</v>
      </c>
      <c r="U107" s="1" t="s">
        <v>512</v>
      </c>
      <c r="V107">
        <v>0</v>
      </c>
      <c r="W107">
        <v>25</v>
      </c>
      <c r="X107">
        <v>8</v>
      </c>
      <c r="Y107">
        <v>0</v>
      </c>
      <c r="Z107" t="s">
        <v>111</v>
      </c>
      <c r="AA107">
        <v>0</v>
      </c>
      <c r="AB107" t="s">
        <v>111</v>
      </c>
      <c r="AC107">
        <v>0</v>
      </c>
      <c r="AD107" t="s">
        <v>111</v>
      </c>
      <c r="AE107">
        <v>0</v>
      </c>
      <c r="AF107">
        <v>0</v>
      </c>
      <c r="AG107" t="s">
        <v>111</v>
      </c>
      <c r="AH107" t="s">
        <v>111</v>
      </c>
      <c r="AI107" t="s">
        <v>111</v>
      </c>
      <c r="AJ107" t="s">
        <v>111</v>
      </c>
      <c r="AK107" t="s">
        <v>111</v>
      </c>
      <c r="AL107" t="s">
        <v>111</v>
      </c>
      <c r="AM107">
        <v>0</v>
      </c>
      <c r="AN107">
        <v>0</v>
      </c>
      <c r="AO107">
        <v>0</v>
      </c>
      <c r="AP107" t="s">
        <v>111</v>
      </c>
      <c r="AQ107" t="s">
        <v>111</v>
      </c>
      <c r="AR107" t="s">
        <v>111</v>
      </c>
      <c r="AS107" t="s">
        <v>111</v>
      </c>
      <c r="AT107" t="s">
        <v>111</v>
      </c>
      <c r="AU107" t="s">
        <v>111</v>
      </c>
      <c r="AV107" t="s">
        <v>111</v>
      </c>
      <c r="AW107" t="s">
        <v>111</v>
      </c>
      <c r="AX107" t="s">
        <v>111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111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 t="s">
        <v>111</v>
      </c>
      <c r="BM107" t="s">
        <v>111</v>
      </c>
      <c r="BN107" t="s">
        <v>111</v>
      </c>
      <c r="BO107" t="s">
        <v>111</v>
      </c>
      <c r="BP107" t="s">
        <v>111</v>
      </c>
      <c r="BQ107" t="s">
        <v>111</v>
      </c>
      <c r="BR107" t="s">
        <v>111</v>
      </c>
      <c r="BS107" t="s">
        <v>111</v>
      </c>
      <c r="BT107" t="s">
        <v>111</v>
      </c>
      <c r="BU107" t="s">
        <v>111</v>
      </c>
      <c r="BV107" t="s">
        <v>111</v>
      </c>
      <c r="BW107" t="s">
        <v>111</v>
      </c>
      <c r="BX107" t="s">
        <v>111</v>
      </c>
      <c r="BY107" t="s">
        <v>111</v>
      </c>
      <c r="BZ107" t="s">
        <v>111</v>
      </c>
      <c r="CA107" t="s">
        <v>111</v>
      </c>
      <c r="CB107" t="s">
        <v>111</v>
      </c>
      <c r="CC107" t="s">
        <v>111</v>
      </c>
      <c r="CD107" t="s">
        <v>111</v>
      </c>
      <c r="CE107" t="s">
        <v>111</v>
      </c>
      <c r="CF107" t="s">
        <v>111</v>
      </c>
      <c r="CG107" t="s">
        <v>111</v>
      </c>
      <c r="CH107" t="s">
        <v>111</v>
      </c>
      <c r="CI107" t="s">
        <v>111</v>
      </c>
      <c r="CJ107" t="s">
        <v>111</v>
      </c>
      <c r="CK107" t="s">
        <v>111</v>
      </c>
      <c r="CL107" t="s">
        <v>111</v>
      </c>
      <c r="CM107" t="s">
        <v>135</v>
      </c>
      <c r="CN107" t="s">
        <v>128</v>
      </c>
      <c r="CO107" t="s">
        <v>111</v>
      </c>
      <c r="CP107" t="s">
        <v>111</v>
      </c>
      <c r="CQ107">
        <v>0</v>
      </c>
      <c r="CR107">
        <v>1000</v>
      </c>
      <c r="CS107">
        <v>0</v>
      </c>
      <c r="CT107" s="1" t="s">
        <v>513</v>
      </c>
      <c r="CU107">
        <v>0</v>
      </c>
      <c r="CV107" t="s">
        <v>111</v>
      </c>
      <c r="CW107" t="s">
        <v>111</v>
      </c>
      <c r="CX107" t="s">
        <v>111</v>
      </c>
      <c r="CY107">
        <v>0</v>
      </c>
      <c r="CZ107" t="s">
        <v>111</v>
      </c>
      <c r="DA107" t="s">
        <v>111</v>
      </c>
      <c r="DB107" t="s">
        <v>111</v>
      </c>
      <c r="DC107" t="s">
        <v>111</v>
      </c>
    </row>
    <row r="108" spans="1:107">
      <c r="A108">
        <v>1326</v>
      </c>
      <c r="B108" t="s">
        <v>107</v>
      </c>
      <c r="C108" t="s">
        <v>509</v>
      </c>
      <c r="D108" t="s">
        <v>514</v>
      </c>
      <c r="E108" t="s">
        <v>515</v>
      </c>
      <c r="F108" t="s">
        <v>192</v>
      </c>
      <c r="G108" t="s">
        <v>469</v>
      </c>
      <c r="H108">
        <v>2</v>
      </c>
      <c r="I108">
        <v>50</v>
      </c>
      <c r="J108">
        <v>0</v>
      </c>
      <c r="K108">
        <v>0</v>
      </c>
      <c r="L108" t="s">
        <v>112</v>
      </c>
      <c r="M108" t="s">
        <v>111</v>
      </c>
      <c r="N108">
        <v>0</v>
      </c>
      <c r="O108">
        <v>0</v>
      </c>
      <c r="P108" t="s">
        <v>111</v>
      </c>
      <c r="Q108">
        <v>44.4</v>
      </c>
      <c r="R108">
        <v>0</v>
      </c>
      <c r="S108">
        <v>0</v>
      </c>
      <c r="T108">
        <v>5</v>
      </c>
      <c r="U108" s="1" t="s">
        <v>516</v>
      </c>
      <c r="V108">
        <v>0</v>
      </c>
      <c r="W108">
        <v>25</v>
      </c>
      <c r="X108">
        <v>8</v>
      </c>
      <c r="Y108">
        <v>0</v>
      </c>
      <c r="Z108" t="s">
        <v>259</v>
      </c>
      <c r="AA108">
        <v>1</v>
      </c>
      <c r="AB108" t="s">
        <v>111</v>
      </c>
      <c r="AC108">
        <v>0</v>
      </c>
      <c r="AD108" t="s">
        <v>111</v>
      </c>
      <c r="AE108">
        <v>0</v>
      </c>
      <c r="AF108">
        <v>0</v>
      </c>
      <c r="AG108" t="s">
        <v>111</v>
      </c>
      <c r="AH108" t="s">
        <v>111</v>
      </c>
      <c r="AI108" t="s">
        <v>111</v>
      </c>
      <c r="AJ108" t="s">
        <v>111</v>
      </c>
      <c r="AK108" t="s">
        <v>111</v>
      </c>
      <c r="AL108" t="s">
        <v>111</v>
      </c>
      <c r="AM108">
        <v>0</v>
      </c>
      <c r="AN108">
        <v>0</v>
      </c>
      <c r="AO108">
        <v>0</v>
      </c>
      <c r="AP108" t="s">
        <v>111</v>
      </c>
      <c r="AQ108" t="s">
        <v>111</v>
      </c>
      <c r="AR108" t="s">
        <v>111</v>
      </c>
      <c r="AS108" t="s">
        <v>111</v>
      </c>
      <c r="AT108" t="s">
        <v>111</v>
      </c>
      <c r="AU108" t="s">
        <v>111</v>
      </c>
      <c r="AV108" t="s">
        <v>111</v>
      </c>
      <c r="AW108" t="s">
        <v>111</v>
      </c>
      <c r="AX108" t="s">
        <v>111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111</v>
      </c>
      <c r="BG108" t="s">
        <v>111</v>
      </c>
      <c r="BH108" t="s">
        <v>111</v>
      </c>
      <c r="BI108" t="s">
        <v>111</v>
      </c>
      <c r="BJ108" t="s">
        <v>111</v>
      </c>
      <c r="BK108" t="s">
        <v>111</v>
      </c>
      <c r="BL108" t="s">
        <v>111</v>
      </c>
      <c r="BM108" t="s">
        <v>111</v>
      </c>
      <c r="BN108" t="s">
        <v>111</v>
      </c>
      <c r="BO108" t="s">
        <v>111</v>
      </c>
      <c r="BP108" t="s">
        <v>111</v>
      </c>
      <c r="BQ108" t="s">
        <v>111</v>
      </c>
      <c r="BR108" t="s">
        <v>111</v>
      </c>
      <c r="BS108" t="s">
        <v>111</v>
      </c>
      <c r="BT108" t="s">
        <v>111</v>
      </c>
      <c r="BU108" t="s">
        <v>111</v>
      </c>
      <c r="BV108" t="s">
        <v>111</v>
      </c>
      <c r="BW108" t="s">
        <v>111</v>
      </c>
      <c r="BX108" t="s">
        <v>111</v>
      </c>
      <c r="BY108" t="s">
        <v>111</v>
      </c>
      <c r="BZ108" t="s">
        <v>111</v>
      </c>
      <c r="CA108" t="s">
        <v>111</v>
      </c>
      <c r="CB108" t="s">
        <v>111</v>
      </c>
      <c r="CC108" t="s">
        <v>111</v>
      </c>
      <c r="CD108" t="s">
        <v>111</v>
      </c>
      <c r="CE108" t="s">
        <v>111</v>
      </c>
      <c r="CF108" t="s">
        <v>111</v>
      </c>
      <c r="CG108" t="s">
        <v>111</v>
      </c>
      <c r="CH108" t="s">
        <v>111</v>
      </c>
      <c r="CI108" t="s">
        <v>111</v>
      </c>
      <c r="CJ108" t="s">
        <v>111</v>
      </c>
      <c r="CK108" t="s">
        <v>111</v>
      </c>
      <c r="CL108" t="s">
        <v>111</v>
      </c>
      <c r="CM108" t="s">
        <v>135</v>
      </c>
      <c r="CN108" t="s">
        <v>128</v>
      </c>
      <c r="CO108" t="s">
        <v>111</v>
      </c>
      <c r="CP108" t="s">
        <v>111</v>
      </c>
      <c r="CQ108">
        <v>34</v>
      </c>
      <c r="CR108">
        <v>1000</v>
      </c>
      <c r="CS108">
        <v>50</v>
      </c>
      <c r="CT108" s="1" t="s">
        <v>517</v>
      </c>
      <c r="CU108">
        <v>0</v>
      </c>
      <c r="CV108" t="s">
        <v>111</v>
      </c>
      <c r="CW108" t="s">
        <v>111</v>
      </c>
      <c r="CX108" t="s">
        <v>111</v>
      </c>
      <c r="CY108">
        <v>0</v>
      </c>
      <c r="CZ108" t="s">
        <v>111</v>
      </c>
      <c r="DA108" t="s">
        <v>111</v>
      </c>
      <c r="DB108" t="s">
        <v>111</v>
      </c>
      <c r="DC108" t="s">
        <v>111</v>
      </c>
    </row>
    <row r="109" spans="1:107">
      <c r="A109">
        <v>1325</v>
      </c>
      <c r="B109" t="s">
        <v>107</v>
      </c>
      <c r="C109" t="s">
        <v>509</v>
      </c>
      <c r="D109" t="s">
        <v>518</v>
      </c>
      <c r="E109" t="s">
        <v>519</v>
      </c>
      <c r="F109" t="s">
        <v>192</v>
      </c>
      <c r="G109" t="s">
        <v>469</v>
      </c>
      <c r="H109">
        <v>4.5</v>
      </c>
      <c r="I109">
        <v>62</v>
      </c>
      <c r="J109">
        <v>0</v>
      </c>
      <c r="K109">
        <v>0</v>
      </c>
      <c r="L109" t="s">
        <v>112</v>
      </c>
      <c r="M109" t="s">
        <v>138</v>
      </c>
      <c r="N109">
        <v>0</v>
      </c>
      <c r="O109">
        <v>0</v>
      </c>
      <c r="P109" t="s">
        <v>111</v>
      </c>
      <c r="Q109">
        <v>52.3</v>
      </c>
      <c r="R109">
        <v>0</v>
      </c>
      <c r="S109">
        <v>0</v>
      </c>
      <c r="T109">
        <v>5</v>
      </c>
      <c r="U109" s="1" t="s">
        <v>520</v>
      </c>
      <c r="V109">
        <v>0</v>
      </c>
      <c r="W109">
        <v>25</v>
      </c>
      <c r="X109">
        <v>8</v>
      </c>
      <c r="Y109">
        <v>0</v>
      </c>
      <c r="Z109" t="s">
        <v>259</v>
      </c>
      <c r="AA109">
        <v>0.8</v>
      </c>
      <c r="AB109" t="s">
        <v>111</v>
      </c>
      <c r="AC109">
        <v>0</v>
      </c>
      <c r="AD109" t="s">
        <v>111</v>
      </c>
      <c r="AE109">
        <v>0</v>
      </c>
      <c r="AF109">
        <v>0</v>
      </c>
      <c r="AG109" t="s">
        <v>111</v>
      </c>
      <c r="AH109" t="s">
        <v>111</v>
      </c>
      <c r="AI109" t="s">
        <v>111</v>
      </c>
      <c r="AJ109" t="s">
        <v>111</v>
      </c>
      <c r="AK109" t="s">
        <v>111</v>
      </c>
      <c r="AL109" t="s">
        <v>111</v>
      </c>
      <c r="AM109">
        <v>0</v>
      </c>
      <c r="AN109">
        <v>0</v>
      </c>
      <c r="AO109">
        <v>0</v>
      </c>
      <c r="AP109" t="s">
        <v>111</v>
      </c>
      <c r="AQ109" t="s">
        <v>111</v>
      </c>
      <c r="AR109" t="s">
        <v>111</v>
      </c>
      <c r="AS109" t="s">
        <v>111</v>
      </c>
      <c r="AT109" t="s">
        <v>111</v>
      </c>
      <c r="AU109" t="s">
        <v>111</v>
      </c>
      <c r="AV109" t="s">
        <v>111</v>
      </c>
      <c r="AW109" t="s">
        <v>111</v>
      </c>
      <c r="AX109" t="s">
        <v>111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111</v>
      </c>
      <c r="BG109" t="s">
        <v>111</v>
      </c>
      <c r="BH109" t="s">
        <v>111</v>
      </c>
      <c r="BI109" t="s">
        <v>111</v>
      </c>
      <c r="BJ109" t="s">
        <v>111</v>
      </c>
      <c r="BK109" t="s">
        <v>111</v>
      </c>
      <c r="BL109" t="s">
        <v>111</v>
      </c>
      <c r="BM109" t="s">
        <v>111</v>
      </c>
      <c r="BN109" t="s">
        <v>111</v>
      </c>
      <c r="BO109" t="s">
        <v>111</v>
      </c>
      <c r="BP109" t="s">
        <v>111</v>
      </c>
      <c r="BQ109" t="s">
        <v>111</v>
      </c>
      <c r="BR109" t="s">
        <v>111</v>
      </c>
      <c r="BS109" t="s">
        <v>111</v>
      </c>
      <c r="BT109" t="s">
        <v>111</v>
      </c>
      <c r="BU109" t="s">
        <v>111</v>
      </c>
      <c r="BV109" t="s">
        <v>111</v>
      </c>
      <c r="BW109" t="s">
        <v>111</v>
      </c>
      <c r="BX109" t="s">
        <v>111</v>
      </c>
      <c r="BY109" t="s">
        <v>111</v>
      </c>
      <c r="BZ109" t="s">
        <v>111</v>
      </c>
      <c r="CA109" t="s">
        <v>111</v>
      </c>
      <c r="CB109" t="s">
        <v>111</v>
      </c>
      <c r="CC109" t="s">
        <v>111</v>
      </c>
      <c r="CD109" t="s">
        <v>111</v>
      </c>
      <c r="CE109" t="s">
        <v>111</v>
      </c>
      <c r="CF109" t="s">
        <v>111</v>
      </c>
      <c r="CG109" t="s">
        <v>111</v>
      </c>
      <c r="CH109" t="s">
        <v>111</v>
      </c>
      <c r="CI109" t="s">
        <v>111</v>
      </c>
      <c r="CJ109" t="s">
        <v>111</v>
      </c>
      <c r="CK109" t="s">
        <v>111</v>
      </c>
      <c r="CL109" t="s">
        <v>111</v>
      </c>
      <c r="CM109" t="s">
        <v>135</v>
      </c>
      <c r="CN109" t="s">
        <v>128</v>
      </c>
      <c r="CO109" t="s">
        <v>111</v>
      </c>
      <c r="CP109" t="s">
        <v>111</v>
      </c>
      <c r="CQ109">
        <v>32</v>
      </c>
      <c r="CR109">
        <v>250</v>
      </c>
      <c r="CS109">
        <v>25</v>
      </c>
      <c r="CT109" s="1" t="s">
        <v>521</v>
      </c>
      <c r="CU109">
        <v>0</v>
      </c>
      <c r="CV109" t="s">
        <v>111</v>
      </c>
      <c r="CW109" t="s">
        <v>111</v>
      </c>
      <c r="CX109" t="s">
        <v>111</v>
      </c>
      <c r="CY109">
        <v>0</v>
      </c>
      <c r="CZ109" t="s">
        <v>111</v>
      </c>
      <c r="DA109" t="s">
        <v>111</v>
      </c>
      <c r="DB109" t="s">
        <v>111</v>
      </c>
      <c r="DC109" t="s">
        <v>111</v>
      </c>
    </row>
    <row r="110" spans="1:107">
      <c r="A110">
        <v>1190</v>
      </c>
      <c r="B110" t="s">
        <v>107</v>
      </c>
      <c r="C110" t="s">
        <v>498</v>
      </c>
      <c r="D110" t="s">
        <v>499</v>
      </c>
      <c r="E110" t="s">
        <v>522</v>
      </c>
      <c r="F110" t="s">
        <v>431</v>
      </c>
      <c r="G110" t="s">
        <v>469</v>
      </c>
      <c r="H110">
        <v>2.4</v>
      </c>
      <c r="I110">
        <v>62</v>
      </c>
      <c r="J110">
        <v>0</v>
      </c>
      <c r="K110">
        <v>0</v>
      </c>
      <c r="L110" t="s">
        <v>117</v>
      </c>
      <c r="M110" t="s">
        <v>118</v>
      </c>
      <c r="N110">
        <v>39</v>
      </c>
      <c r="O110">
        <v>1</v>
      </c>
      <c r="P110" t="s">
        <v>111</v>
      </c>
      <c r="Q110">
        <v>33</v>
      </c>
      <c r="R110">
        <v>0</v>
      </c>
      <c r="S110">
        <v>0</v>
      </c>
      <c r="T110">
        <v>5</v>
      </c>
      <c r="U110" t="s">
        <v>501</v>
      </c>
      <c r="V110">
        <v>0</v>
      </c>
      <c r="W110">
        <v>25</v>
      </c>
      <c r="X110">
        <v>8</v>
      </c>
      <c r="Y110">
        <v>0</v>
      </c>
      <c r="Z110" t="s">
        <v>111</v>
      </c>
      <c r="AA110">
        <v>0</v>
      </c>
      <c r="AB110" t="s">
        <v>523</v>
      </c>
      <c r="AC110">
        <v>8</v>
      </c>
      <c r="AD110" t="s">
        <v>416</v>
      </c>
      <c r="AE110">
        <v>0</v>
      </c>
      <c r="AF110">
        <v>0</v>
      </c>
      <c r="AG110" t="s">
        <v>111</v>
      </c>
      <c r="AH110" t="s">
        <v>113</v>
      </c>
      <c r="AI110" t="s">
        <v>111</v>
      </c>
      <c r="AJ110" t="s">
        <v>111</v>
      </c>
      <c r="AK110" t="s">
        <v>111</v>
      </c>
      <c r="AL110" t="s">
        <v>111</v>
      </c>
      <c r="AM110">
        <v>0</v>
      </c>
      <c r="AN110">
        <v>0</v>
      </c>
      <c r="AO110">
        <v>0</v>
      </c>
      <c r="AP110" t="s">
        <v>111</v>
      </c>
      <c r="AQ110" t="s">
        <v>111</v>
      </c>
      <c r="AR110" t="s">
        <v>111</v>
      </c>
      <c r="AS110" t="s">
        <v>111</v>
      </c>
      <c r="AT110" t="s">
        <v>111</v>
      </c>
      <c r="AU110" t="s">
        <v>111</v>
      </c>
      <c r="AV110" t="s">
        <v>111</v>
      </c>
      <c r="AW110" t="s">
        <v>111</v>
      </c>
      <c r="AX110" t="s">
        <v>111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111</v>
      </c>
      <c r="BG110" t="s">
        <v>111</v>
      </c>
      <c r="BH110" t="s">
        <v>111</v>
      </c>
      <c r="BI110" t="s">
        <v>111</v>
      </c>
      <c r="BJ110" t="s">
        <v>111</v>
      </c>
      <c r="BK110" t="s">
        <v>111</v>
      </c>
      <c r="BL110" t="s">
        <v>111</v>
      </c>
      <c r="BM110" t="s">
        <v>111</v>
      </c>
      <c r="BN110" t="s">
        <v>111</v>
      </c>
      <c r="BO110" t="s">
        <v>111</v>
      </c>
      <c r="BP110" t="s">
        <v>111</v>
      </c>
      <c r="BQ110" t="s">
        <v>111</v>
      </c>
      <c r="BR110" t="s">
        <v>111</v>
      </c>
      <c r="BS110" t="s">
        <v>111</v>
      </c>
      <c r="BT110" t="s">
        <v>111</v>
      </c>
      <c r="BU110" t="s">
        <v>111</v>
      </c>
      <c r="BV110" t="s">
        <v>111</v>
      </c>
      <c r="BW110" t="s">
        <v>111</v>
      </c>
      <c r="BX110" t="s">
        <v>111</v>
      </c>
      <c r="BY110" t="s">
        <v>111</v>
      </c>
      <c r="BZ110" t="s">
        <v>111</v>
      </c>
      <c r="CA110" t="s">
        <v>111</v>
      </c>
      <c r="CB110" t="s">
        <v>111</v>
      </c>
      <c r="CC110" t="s">
        <v>111</v>
      </c>
      <c r="CD110" t="s">
        <v>111</v>
      </c>
      <c r="CE110" t="s">
        <v>111</v>
      </c>
      <c r="CF110" t="s">
        <v>111</v>
      </c>
      <c r="CG110" t="s">
        <v>111</v>
      </c>
      <c r="CH110" t="s">
        <v>111</v>
      </c>
      <c r="CI110" t="s">
        <v>111</v>
      </c>
      <c r="CJ110" t="s">
        <v>111</v>
      </c>
      <c r="CK110" t="s">
        <v>111</v>
      </c>
      <c r="CL110" t="s">
        <v>111</v>
      </c>
      <c r="CM110" t="s">
        <v>135</v>
      </c>
      <c r="CN110" t="s">
        <v>113</v>
      </c>
      <c r="CO110" t="s">
        <v>111</v>
      </c>
      <c r="CP110" t="e">
        <f>-MUESTRA</f>
        <v>#NAME?</v>
      </c>
      <c r="CQ110">
        <v>0</v>
      </c>
      <c r="CR110">
        <v>5000</v>
      </c>
      <c r="CS110">
        <v>200</v>
      </c>
      <c r="CT110" s="1" t="s">
        <v>503</v>
      </c>
      <c r="CU110">
        <v>0</v>
      </c>
      <c r="CV110" t="s">
        <v>111</v>
      </c>
      <c r="CW110" t="s">
        <v>111</v>
      </c>
      <c r="CX110" t="s">
        <v>111</v>
      </c>
      <c r="CY110">
        <v>0</v>
      </c>
      <c r="CZ110" t="s">
        <v>111</v>
      </c>
      <c r="DA110" t="s">
        <v>111</v>
      </c>
      <c r="DB110" t="s">
        <v>111</v>
      </c>
      <c r="DC110" t="s">
        <v>111</v>
      </c>
    </row>
    <row r="111" spans="1:107">
      <c r="A111">
        <v>1191</v>
      </c>
      <c r="B111" t="s">
        <v>107</v>
      </c>
      <c r="C111" t="s">
        <v>498</v>
      </c>
      <c r="D111" t="s">
        <v>499</v>
      </c>
      <c r="E111" t="s">
        <v>524</v>
      </c>
      <c r="F111" t="s">
        <v>431</v>
      </c>
      <c r="G111" t="s">
        <v>469</v>
      </c>
      <c r="H111">
        <v>2.5</v>
      </c>
      <c r="I111">
        <v>62</v>
      </c>
      <c r="J111">
        <v>0</v>
      </c>
      <c r="K111">
        <v>0</v>
      </c>
      <c r="L111" t="s">
        <v>117</v>
      </c>
      <c r="M111" t="s">
        <v>118</v>
      </c>
      <c r="N111">
        <v>39</v>
      </c>
      <c r="O111">
        <v>1</v>
      </c>
      <c r="P111" t="s">
        <v>111</v>
      </c>
      <c r="Q111">
        <v>27.3</v>
      </c>
      <c r="R111">
        <v>0</v>
      </c>
      <c r="S111">
        <v>0</v>
      </c>
      <c r="T111">
        <v>5</v>
      </c>
      <c r="U111" s="1" t="s">
        <v>525</v>
      </c>
      <c r="V111">
        <v>0</v>
      </c>
      <c r="W111">
        <v>25</v>
      </c>
      <c r="X111">
        <v>8</v>
      </c>
      <c r="Y111">
        <v>0</v>
      </c>
      <c r="Z111" t="s">
        <v>111</v>
      </c>
      <c r="AA111">
        <v>0</v>
      </c>
      <c r="AB111" t="s">
        <v>523</v>
      </c>
      <c r="AC111">
        <v>8</v>
      </c>
      <c r="AD111" t="s">
        <v>416</v>
      </c>
      <c r="AE111">
        <v>0</v>
      </c>
      <c r="AF111">
        <v>0</v>
      </c>
      <c r="AG111" t="s">
        <v>111</v>
      </c>
      <c r="AH111" t="s">
        <v>113</v>
      </c>
      <c r="AI111" t="s">
        <v>111</v>
      </c>
      <c r="AJ111" t="s">
        <v>111</v>
      </c>
      <c r="AK111" t="s">
        <v>111</v>
      </c>
      <c r="AL111" t="s">
        <v>111</v>
      </c>
      <c r="AM111">
        <v>0</v>
      </c>
      <c r="AN111">
        <v>0</v>
      </c>
      <c r="AO111">
        <v>0</v>
      </c>
      <c r="AP111" t="s">
        <v>111</v>
      </c>
      <c r="AQ111" t="s">
        <v>111</v>
      </c>
      <c r="AR111" t="s">
        <v>111</v>
      </c>
      <c r="AS111" t="s">
        <v>111</v>
      </c>
      <c r="AT111" t="s">
        <v>111</v>
      </c>
      <c r="AU111" t="s">
        <v>111</v>
      </c>
      <c r="AV111" t="s">
        <v>111</v>
      </c>
      <c r="AW111" t="s">
        <v>111</v>
      </c>
      <c r="AX111" t="s">
        <v>111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111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111</v>
      </c>
      <c r="BM111" t="s">
        <v>111</v>
      </c>
      <c r="BN111" t="s">
        <v>111</v>
      </c>
      <c r="BO111" t="s">
        <v>111</v>
      </c>
      <c r="BP111" t="s">
        <v>111</v>
      </c>
      <c r="BQ111" t="s">
        <v>111</v>
      </c>
      <c r="BR111" t="s">
        <v>111</v>
      </c>
      <c r="BS111" t="s">
        <v>111</v>
      </c>
      <c r="BT111" t="s">
        <v>111</v>
      </c>
      <c r="BU111" t="s">
        <v>111</v>
      </c>
      <c r="BV111" t="s">
        <v>111</v>
      </c>
      <c r="BW111" t="s">
        <v>111</v>
      </c>
      <c r="BX111" t="s">
        <v>111</v>
      </c>
      <c r="BY111" t="s">
        <v>111</v>
      </c>
      <c r="BZ111" t="s">
        <v>111</v>
      </c>
      <c r="CA111" t="s">
        <v>111</v>
      </c>
      <c r="CB111" t="s">
        <v>111</v>
      </c>
      <c r="CC111" t="s">
        <v>111</v>
      </c>
      <c r="CD111" t="s">
        <v>111</v>
      </c>
      <c r="CE111" t="s">
        <v>111</v>
      </c>
      <c r="CF111" t="s">
        <v>111</v>
      </c>
      <c r="CG111" t="s">
        <v>111</v>
      </c>
      <c r="CH111" t="s">
        <v>111</v>
      </c>
      <c r="CI111" t="s">
        <v>111</v>
      </c>
      <c r="CJ111" t="s">
        <v>111</v>
      </c>
      <c r="CK111" t="s">
        <v>111</v>
      </c>
      <c r="CL111" t="s">
        <v>111</v>
      </c>
      <c r="CM111" t="s">
        <v>360</v>
      </c>
      <c r="CN111" t="s">
        <v>113</v>
      </c>
      <c r="CO111" t="s">
        <v>111</v>
      </c>
      <c r="CP111" t="s">
        <v>111</v>
      </c>
      <c r="CQ111">
        <v>0</v>
      </c>
      <c r="CR111">
        <v>4000</v>
      </c>
      <c r="CS111">
        <v>200</v>
      </c>
      <c r="CT111" s="1" t="s">
        <v>526</v>
      </c>
      <c r="CU111">
        <v>0</v>
      </c>
      <c r="CV111" t="s">
        <v>111</v>
      </c>
      <c r="CW111" t="s">
        <v>111</v>
      </c>
      <c r="CX111" t="s">
        <v>111</v>
      </c>
      <c r="CY111">
        <v>0</v>
      </c>
      <c r="CZ111" t="s">
        <v>111</v>
      </c>
      <c r="DA111" t="s">
        <v>111</v>
      </c>
      <c r="DB111" t="s">
        <v>111</v>
      </c>
      <c r="DC111" t="s">
        <v>111</v>
      </c>
    </row>
    <row r="112" spans="1:107">
      <c r="A112">
        <v>1198</v>
      </c>
      <c r="B112" t="s">
        <v>107</v>
      </c>
      <c r="C112" t="s">
        <v>267</v>
      </c>
      <c r="D112" t="s">
        <v>527</v>
      </c>
      <c r="E112" t="s">
        <v>528</v>
      </c>
      <c r="F112" t="s">
        <v>157</v>
      </c>
      <c r="G112" t="s">
        <v>469</v>
      </c>
      <c r="H112">
        <v>1.5</v>
      </c>
      <c r="I112">
        <v>100</v>
      </c>
      <c r="J112">
        <v>0</v>
      </c>
      <c r="K112">
        <v>0</v>
      </c>
      <c r="L112" t="s">
        <v>112</v>
      </c>
      <c r="M112" t="s">
        <v>138</v>
      </c>
      <c r="N112">
        <v>0</v>
      </c>
      <c r="O112">
        <v>0</v>
      </c>
      <c r="P112" t="s">
        <v>111</v>
      </c>
      <c r="Q112">
        <v>50</v>
      </c>
      <c r="R112">
        <v>0</v>
      </c>
      <c r="S112">
        <v>0</v>
      </c>
      <c r="T112">
        <v>0</v>
      </c>
      <c r="U112" s="1" t="s">
        <v>529</v>
      </c>
      <c r="V112">
        <v>0</v>
      </c>
      <c r="W112">
        <v>25</v>
      </c>
      <c r="X112">
        <v>0</v>
      </c>
      <c r="Y112">
        <v>0</v>
      </c>
      <c r="Z112" t="s">
        <v>111</v>
      </c>
      <c r="AA112">
        <v>0</v>
      </c>
      <c r="AB112" t="s">
        <v>111</v>
      </c>
      <c r="AC112">
        <v>0</v>
      </c>
      <c r="AD112" t="s">
        <v>111</v>
      </c>
      <c r="AE112">
        <v>0</v>
      </c>
      <c r="AF112">
        <v>0</v>
      </c>
      <c r="AG112" t="s">
        <v>111</v>
      </c>
      <c r="AH112" t="s">
        <v>111</v>
      </c>
      <c r="AI112" t="s">
        <v>111</v>
      </c>
      <c r="AJ112" t="s">
        <v>111</v>
      </c>
      <c r="AK112" t="s">
        <v>111</v>
      </c>
      <c r="AL112" t="s">
        <v>111</v>
      </c>
      <c r="AM112">
        <v>0</v>
      </c>
      <c r="AN112">
        <v>0</v>
      </c>
      <c r="AO112">
        <v>0</v>
      </c>
      <c r="AP112" t="s">
        <v>111</v>
      </c>
      <c r="AQ112" t="s">
        <v>111</v>
      </c>
      <c r="AR112" t="s">
        <v>111</v>
      </c>
      <c r="AS112" t="s">
        <v>111</v>
      </c>
      <c r="AT112" t="s">
        <v>111</v>
      </c>
      <c r="AU112" t="s">
        <v>111</v>
      </c>
      <c r="AV112" t="s">
        <v>111</v>
      </c>
      <c r="AW112" t="s">
        <v>111</v>
      </c>
      <c r="AX112" t="s">
        <v>111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111</v>
      </c>
      <c r="BF112" t="s">
        <v>111</v>
      </c>
      <c r="BG112" t="s">
        <v>111</v>
      </c>
      <c r="BH112" t="s">
        <v>111</v>
      </c>
      <c r="BI112" t="s">
        <v>111</v>
      </c>
      <c r="BJ112" t="s">
        <v>111</v>
      </c>
      <c r="BK112" t="s">
        <v>111</v>
      </c>
      <c r="BL112" t="s">
        <v>111</v>
      </c>
      <c r="BM112" t="s">
        <v>111</v>
      </c>
      <c r="BN112" t="s">
        <v>111</v>
      </c>
      <c r="BO112" t="s">
        <v>111</v>
      </c>
      <c r="BP112" t="s">
        <v>111</v>
      </c>
      <c r="BQ112" t="s">
        <v>111</v>
      </c>
      <c r="BR112" t="s">
        <v>111</v>
      </c>
      <c r="BS112" t="s">
        <v>111</v>
      </c>
      <c r="BT112" t="s">
        <v>111</v>
      </c>
      <c r="BU112" t="s">
        <v>111</v>
      </c>
      <c r="BV112" t="s">
        <v>111</v>
      </c>
      <c r="BW112" t="s">
        <v>111</v>
      </c>
      <c r="BX112" t="s">
        <v>111</v>
      </c>
      <c r="BY112" t="s">
        <v>111</v>
      </c>
      <c r="BZ112" t="s">
        <v>111</v>
      </c>
      <c r="CA112" t="s">
        <v>111</v>
      </c>
      <c r="CB112" t="s">
        <v>111</v>
      </c>
      <c r="CC112" t="s">
        <v>111</v>
      </c>
      <c r="CD112" t="s">
        <v>111</v>
      </c>
      <c r="CE112" t="s">
        <v>111</v>
      </c>
      <c r="CF112" t="s">
        <v>111</v>
      </c>
      <c r="CG112" t="s">
        <v>111</v>
      </c>
      <c r="CH112" t="s">
        <v>111</v>
      </c>
      <c r="CI112" t="s">
        <v>111</v>
      </c>
      <c r="CJ112" t="s">
        <v>111</v>
      </c>
      <c r="CK112" t="s">
        <v>111</v>
      </c>
      <c r="CL112" t="s">
        <v>111</v>
      </c>
      <c r="CM112" t="s">
        <v>111</v>
      </c>
      <c r="CN112" t="s">
        <v>111</v>
      </c>
      <c r="CO112" t="s">
        <v>111</v>
      </c>
      <c r="CP112" t="s">
        <v>111</v>
      </c>
      <c r="CQ112">
        <v>0</v>
      </c>
      <c r="CR112">
        <v>0</v>
      </c>
      <c r="CS112">
        <v>0</v>
      </c>
      <c r="CT112" t="s">
        <v>111</v>
      </c>
      <c r="CU112">
        <v>0</v>
      </c>
      <c r="CV112" t="s">
        <v>111</v>
      </c>
      <c r="CW112" t="s">
        <v>111</v>
      </c>
      <c r="CX112" t="s">
        <v>111</v>
      </c>
      <c r="CY112">
        <v>0</v>
      </c>
      <c r="CZ112" t="s">
        <v>111</v>
      </c>
      <c r="DA112" t="s">
        <v>111</v>
      </c>
      <c r="DB112" t="s">
        <v>111</v>
      </c>
      <c r="DC112" t="s">
        <v>111</v>
      </c>
    </row>
    <row r="113" spans="1:107">
      <c r="A113">
        <v>1324</v>
      </c>
      <c r="B113" t="s">
        <v>107</v>
      </c>
      <c r="C113" t="s">
        <v>509</v>
      </c>
      <c r="D113" t="s">
        <v>530</v>
      </c>
      <c r="E113" t="s">
        <v>531</v>
      </c>
      <c r="F113" t="s">
        <v>192</v>
      </c>
      <c r="G113" t="s">
        <v>469</v>
      </c>
      <c r="H113">
        <v>2.5</v>
      </c>
      <c r="I113">
        <v>38</v>
      </c>
      <c r="J113">
        <v>14.5</v>
      </c>
      <c r="K113">
        <v>14.5</v>
      </c>
      <c r="L113" t="s">
        <v>112</v>
      </c>
      <c r="M113" t="s">
        <v>111</v>
      </c>
      <c r="N113">
        <v>0</v>
      </c>
      <c r="O113">
        <v>0</v>
      </c>
      <c r="P113" t="s">
        <v>111</v>
      </c>
      <c r="Q113">
        <v>44.6</v>
      </c>
      <c r="R113">
        <v>0</v>
      </c>
      <c r="S113">
        <v>0</v>
      </c>
      <c r="T113">
        <v>5</v>
      </c>
      <c r="U113" s="1" t="s">
        <v>532</v>
      </c>
      <c r="V113">
        <v>0</v>
      </c>
      <c r="W113">
        <v>25</v>
      </c>
      <c r="X113">
        <v>8</v>
      </c>
      <c r="Y113">
        <v>0</v>
      </c>
      <c r="Z113" t="s">
        <v>111</v>
      </c>
      <c r="AA113">
        <v>0</v>
      </c>
      <c r="AB113" t="s">
        <v>111</v>
      </c>
      <c r="AC113">
        <v>0</v>
      </c>
      <c r="AD113" t="s">
        <v>111</v>
      </c>
      <c r="AE113">
        <v>0</v>
      </c>
      <c r="AF113">
        <v>0</v>
      </c>
      <c r="AG113" t="s">
        <v>111</v>
      </c>
      <c r="AH113" t="s">
        <v>111</v>
      </c>
      <c r="AI113" t="s">
        <v>111</v>
      </c>
      <c r="AJ113" t="s">
        <v>111</v>
      </c>
      <c r="AK113" t="s">
        <v>111</v>
      </c>
      <c r="AL113" t="s">
        <v>111</v>
      </c>
      <c r="AM113">
        <v>0</v>
      </c>
      <c r="AN113">
        <v>0</v>
      </c>
      <c r="AO113">
        <v>0</v>
      </c>
      <c r="AP113" t="s">
        <v>111</v>
      </c>
      <c r="AQ113" t="s">
        <v>111</v>
      </c>
      <c r="AR113" t="s">
        <v>111</v>
      </c>
      <c r="AS113" t="s">
        <v>111</v>
      </c>
      <c r="AT113" t="s">
        <v>111</v>
      </c>
      <c r="AU113" t="s">
        <v>111</v>
      </c>
      <c r="AV113" t="s">
        <v>111</v>
      </c>
      <c r="AW113" t="s">
        <v>111</v>
      </c>
      <c r="AX113" t="s">
        <v>111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111</v>
      </c>
      <c r="BE113" t="s">
        <v>111</v>
      </c>
      <c r="BF113" t="s">
        <v>111</v>
      </c>
      <c r="BG113" t="s">
        <v>111</v>
      </c>
      <c r="BH113" t="s">
        <v>111</v>
      </c>
      <c r="BI113" t="s">
        <v>111</v>
      </c>
      <c r="BJ113" t="s">
        <v>111</v>
      </c>
      <c r="BK113" t="s">
        <v>111</v>
      </c>
      <c r="BL113" t="s">
        <v>111</v>
      </c>
      <c r="BM113" t="s">
        <v>111</v>
      </c>
      <c r="BN113" t="s">
        <v>111</v>
      </c>
      <c r="BO113" t="s">
        <v>111</v>
      </c>
      <c r="BP113" t="s">
        <v>111</v>
      </c>
      <c r="BQ113" t="s">
        <v>111</v>
      </c>
      <c r="BR113" t="s">
        <v>111</v>
      </c>
      <c r="BS113" t="s">
        <v>111</v>
      </c>
      <c r="BT113" t="s">
        <v>111</v>
      </c>
      <c r="BU113" t="s">
        <v>111</v>
      </c>
      <c r="BV113" t="s">
        <v>111</v>
      </c>
      <c r="BW113" t="s">
        <v>111</v>
      </c>
      <c r="BX113" t="s">
        <v>111</v>
      </c>
      <c r="BY113" t="s">
        <v>111</v>
      </c>
      <c r="BZ113" t="s">
        <v>111</v>
      </c>
      <c r="CA113" t="s">
        <v>111</v>
      </c>
      <c r="CB113" t="s">
        <v>111</v>
      </c>
      <c r="CC113" t="s">
        <v>111</v>
      </c>
      <c r="CD113" t="s">
        <v>111</v>
      </c>
      <c r="CE113" t="s">
        <v>111</v>
      </c>
      <c r="CF113" t="s">
        <v>111</v>
      </c>
      <c r="CG113" t="s">
        <v>111</v>
      </c>
      <c r="CH113" t="s">
        <v>111</v>
      </c>
      <c r="CI113" t="s">
        <v>111</v>
      </c>
      <c r="CJ113" t="s">
        <v>111</v>
      </c>
      <c r="CK113" t="s">
        <v>111</v>
      </c>
      <c r="CL113" t="s">
        <v>111</v>
      </c>
      <c r="CM113" t="s">
        <v>135</v>
      </c>
      <c r="CN113" t="s">
        <v>128</v>
      </c>
      <c r="CO113" t="s">
        <v>111</v>
      </c>
      <c r="CP113" t="s">
        <v>111</v>
      </c>
      <c r="CQ113">
        <v>0</v>
      </c>
      <c r="CR113">
        <v>500</v>
      </c>
      <c r="CS113">
        <v>50</v>
      </c>
      <c r="CT113" s="1" t="s">
        <v>533</v>
      </c>
      <c r="CU113">
        <v>0</v>
      </c>
      <c r="CV113" t="s">
        <v>111</v>
      </c>
      <c r="CW113" t="s">
        <v>111</v>
      </c>
      <c r="CX113" t="s">
        <v>111</v>
      </c>
      <c r="CY113">
        <v>0</v>
      </c>
      <c r="CZ113" t="s">
        <v>111</v>
      </c>
      <c r="DA113" t="s">
        <v>111</v>
      </c>
      <c r="DB113" t="s">
        <v>111</v>
      </c>
      <c r="DC113" t="s">
        <v>111</v>
      </c>
    </row>
    <row r="114" spans="1:107">
      <c r="A114">
        <v>1199</v>
      </c>
      <c r="B114" t="s">
        <v>107</v>
      </c>
      <c r="C114" t="s">
        <v>114</v>
      </c>
      <c r="D114" t="s">
        <v>480</v>
      </c>
      <c r="E114" t="s">
        <v>534</v>
      </c>
      <c r="F114" t="s">
        <v>358</v>
      </c>
      <c r="G114" t="s">
        <v>469</v>
      </c>
      <c r="H114">
        <v>2.7</v>
      </c>
      <c r="I114">
        <v>65</v>
      </c>
      <c r="J114">
        <v>0</v>
      </c>
      <c r="K114">
        <v>0</v>
      </c>
      <c r="L114" t="s">
        <v>117</v>
      </c>
      <c r="M114" t="s">
        <v>118</v>
      </c>
      <c r="N114">
        <v>40</v>
      </c>
      <c r="O114">
        <v>1</v>
      </c>
      <c r="P114" t="s">
        <v>111</v>
      </c>
      <c r="Q114">
        <v>79</v>
      </c>
      <c r="R114">
        <v>0</v>
      </c>
      <c r="S114">
        <v>0</v>
      </c>
      <c r="T114">
        <v>5</v>
      </c>
      <c r="U114" s="1" t="s">
        <v>535</v>
      </c>
      <c r="V114">
        <v>0</v>
      </c>
      <c r="W114">
        <v>25</v>
      </c>
      <c r="X114">
        <v>8</v>
      </c>
      <c r="Y114">
        <v>0</v>
      </c>
      <c r="Z114" t="s">
        <v>111</v>
      </c>
      <c r="AA114">
        <v>0</v>
      </c>
      <c r="AB114" t="s">
        <v>479</v>
      </c>
      <c r="AC114">
        <v>8</v>
      </c>
      <c r="AD114" t="s">
        <v>416</v>
      </c>
      <c r="AE114">
        <v>0</v>
      </c>
      <c r="AF114">
        <v>0</v>
      </c>
      <c r="AG114" t="s">
        <v>111</v>
      </c>
      <c r="AH114" t="s">
        <v>128</v>
      </c>
      <c r="AI114" t="s">
        <v>111</v>
      </c>
      <c r="AJ114" t="s">
        <v>111</v>
      </c>
      <c r="AK114" t="s">
        <v>111</v>
      </c>
      <c r="AL114" t="s">
        <v>111</v>
      </c>
      <c r="AM114">
        <v>0</v>
      </c>
      <c r="AN114">
        <v>0</v>
      </c>
      <c r="AO114">
        <v>0</v>
      </c>
      <c r="AP114" t="s">
        <v>111</v>
      </c>
      <c r="AQ114" t="s">
        <v>111</v>
      </c>
      <c r="AR114" t="s">
        <v>111</v>
      </c>
      <c r="AS114" t="s">
        <v>111</v>
      </c>
      <c r="AT114" t="s">
        <v>111</v>
      </c>
      <c r="AU114" t="s">
        <v>111</v>
      </c>
      <c r="AV114" t="s">
        <v>111</v>
      </c>
      <c r="AW114" t="s">
        <v>111</v>
      </c>
      <c r="AX114" t="s">
        <v>111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111</v>
      </c>
      <c r="BE114" t="s">
        <v>111</v>
      </c>
      <c r="BF114" t="s">
        <v>111</v>
      </c>
      <c r="BG114" t="s">
        <v>111</v>
      </c>
      <c r="BH114" t="s">
        <v>111</v>
      </c>
      <c r="BI114" t="s">
        <v>111</v>
      </c>
      <c r="BJ114" t="s">
        <v>111</v>
      </c>
      <c r="BK114" t="s">
        <v>111</v>
      </c>
      <c r="BL114" t="s">
        <v>111</v>
      </c>
      <c r="BM114" t="s">
        <v>111</v>
      </c>
      <c r="BN114" t="s">
        <v>111</v>
      </c>
      <c r="BO114" t="s">
        <v>111</v>
      </c>
      <c r="BP114" t="s">
        <v>111</v>
      </c>
      <c r="BQ114" t="s">
        <v>111</v>
      </c>
      <c r="BR114" t="s">
        <v>111</v>
      </c>
      <c r="BS114" t="s">
        <v>111</v>
      </c>
      <c r="BT114" t="s">
        <v>111</v>
      </c>
      <c r="BU114" t="s">
        <v>111</v>
      </c>
      <c r="BV114" t="s">
        <v>111</v>
      </c>
      <c r="BW114" t="s">
        <v>111</v>
      </c>
      <c r="BX114" t="s">
        <v>111</v>
      </c>
      <c r="BY114" t="s">
        <v>111</v>
      </c>
      <c r="BZ114" t="s">
        <v>111</v>
      </c>
      <c r="CA114" t="s">
        <v>111</v>
      </c>
      <c r="CB114" t="s">
        <v>111</v>
      </c>
      <c r="CC114" t="s">
        <v>111</v>
      </c>
      <c r="CD114" t="s">
        <v>111</v>
      </c>
      <c r="CE114" t="s">
        <v>111</v>
      </c>
      <c r="CF114" t="s">
        <v>111</v>
      </c>
      <c r="CG114" t="s">
        <v>111</v>
      </c>
      <c r="CH114" t="s">
        <v>111</v>
      </c>
      <c r="CI114" t="s">
        <v>111</v>
      </c>
      <c r="CJ114" t="s">
        <v>111</v>
      </c>
      <c r="CK114" t="s">
        <v>111</v>
      </c>
      <c r="CL114" t="e">
        <f>-DESTINO ALMACEN</f>
        <v>#NAME?</v>
      </c>
      <c r="CM114" t="s">
        <v>111</v>
      </c>
      <c r="CN114" t="s">
        <v>111</v>
      </c>
      <c r="CO114" t="s">
        <v>111</v>
      </c>
      <c r="CP114" t="s">
        <v>111</v>
      </c>
      <c r="CQ114">
        <v>0</v>
      </c>
      <c r="CR114">
        <v>0</v>
      </c>
      <c r="CS114">
        <v>0</v>
      </c>
      <c r="CT114" t="s">
        <v>111</v>
      </c>
      <c r="CU114">
        <v>0</v>
      </c>
      <c r="CV114" t="s">
        <v>111</v>
      </c>
      <c r="CW114" t="s">
        <v>111</v>
      </c>
      <c r="CX114" t="s">
        <v>111</v>
      </c>
      <c r="CY114">
        <v>0</v>
      </c>
      <c r="CZ114" t="s">
        <v>111</v>
      </c>
      <c r="DA114" t="s">
        <v>111</v>
      </c>
      <c r="DB114" t="s">
        <v>111</v>
      </c>
      <c r="DC114" t="s">
        <v>111</v>
      </c>
    </row>
    <row r="115" spans="1:107">
      <c r="A115">
        <v>1213</v>
      </c>
      <c r="B115" t="s">
        <v>107</v>
      </c>
      <c r="C115" t="s">
        <v>536</v>
      </c>
      <c r="D115" t="s">
        <v>537</v>
      </c>
      <c r="E115" t="s">
        <v>538</v>
      </c>
      <c r="F115" t="s">
        <v>192</v>
      </c>
      <c r="G115" t="s">
        <v>469</v>
      </c>
      <c r="H115">
        <v>1.3</v>
      </c>
      <c r="I115">
        <v>30</v>
      </c>
      <c r="J115">
        <v>0</v>
      </c>
      <c r="K115">
        <v>0</v>
      </c>
      <c r="L115" t="s">
        <v>178</v>
      </c>
      <c r="M115" t="s">
        <v>111</v>
      </c>
      <c r="N115">
        <v>0</v>
      </c>
      <c r="O115">
        <v>0</v>
      </c>
      <c r="P115" t="s">
        <v>118</v>
      </c>
      <c r="Q115">
        <v>17.2</v>
      </c>
      <c r="R115">
        <v>0</v>
      </c>
      <c r="S115">
        <v>0</v>
      </c>
      <c r="T115">
        <v>5</v>
      </c>
      <c r="U115" s="1" t="s">
        <v>539</v>
      </c>
      <c r="V115">
        <v>0</v>
      </c>
      <c r="W115">
        <v>2500</v>
      </c>
      <c r="X115">
        <v>5</v>
      </c>
      <c r="Y115">
        <v>0</v>
      </c>
      <c r="Z115" t="s">
        <v>111</v>
      </c>
      <c r="AA115">
        <v>0</v>
      </c>
      <c r="AB115" t="s">
        <v>111</v>
      </c>
      <c r="AC115">
        <v>0</v>
      </c>
      <c r="AD115" t="s">
        <v>111</v>
      </c>
      <c r="AE115">
        <v>0</v>
      </c>
      <c r="AF115">
        <v>0</v>
      </c>
      <c r="AG115" t="s">
        <v>111</v>
      </c>
      <c r="AH115" t="s">
        <v>111</v>
      </c>
      <c r="AI115" t="s">
        <v>111</v>
      </c>
      <c r="AJ115" t="s">
        <v>111</v>
      </c>
      <c r="AK115" t="s">
        <v>111</v>
      </c>
      <c r="AL115" t="s">
        <v>111</v>
      </c>
      <c r="AM115">
        <v>0</v>
      </c>
      <c r="AN115">
        <v>0</v>
      </c>
      <c r="AO115">
        <v>0</v>
      </c>
      <c r="AP115" t="s">
        <v>111</v>
      </c>
      <c r="AQ115" t="s">
        <v>111</v>
      </c>
      <c r="AR115" t="s">
        <v>111</v>
      </c>
      <c r="AS115" t="s">
        <v>111</v>
      </c>
      <c r="AT115" t="s">
        <v>111</v>
      </c>
      <c r="AU115" t="s">
        <v>111</v>
      </c>
      <c r="AV115" t="s">
        <v>111</v>
      </c>
      <c r="AW115" t="s">
        <v>111</v>
      </c>
      <c r="AX115" t="s">
        <v>111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111</v>
      </c>
      <c r="BE115" t="s">
        <v>111</v>
      </c>
      <c r="BF115" t="s">
        <v>111</v>
      </c>
      <c r="BG115" t="s">
        <v>111</v>
      </c>
      <c r="BH115" t="s">
        <v>111</v>
      </c>
      <c r="BI115" t="s">
        <v>111</v>
      </c>
      <c r="BJ115" t="s">
        <v>111</v>
      </c>
      <c r="BK115" t="s">
        <v>111</v>
      </c>
      <c r="BL115" t="s">
        <v>111</v>
      </c>
      <c r="BM115" t="s">
        <v>111</v>
      </c>
      <c r="BN115" t="s">
        <v>111</v>
      </c>
      <c r="BO115" t="s">
        <v>111</v>
      </c>
      <c r="BP115" t="s">
        <v>111</v>
      </c>
      <c r="BQ115" t="s">
        <v>111</v>
      </c>
      <c r="BR115" t="s">
        <v>111</v>
      </c>
      <c r="BS115" t="s">
        <v>111</v>
      </c>
      <c r="BT115" t="s">
        <v>111</v>
      </c>
      <c r="BU115" t="s">
        <v>111</v>
      </c>
      <c r="BV115" t="s">
        <v>111</v>
      </c>
      <c r="BW115" t="s">
        <v>111</v>
      </c>
      <c r="BX115" t="s">
        <v>111</v>
      </c>
      <c r="BY115" t="s">
        <v>111</v>
      </c>
      <c r="BZ115" t="s">
        <v>111</v>
      </c>
      <c r="CA115" t="s">
        <v>111</v>
      </c>
      <c r="CB115" t="s">
        <v>111</v>
      </c>
      <c r="CC115" t="s">
        <v>111</v>
      </c>
      <c r="CD115" t="s">
        <v>111</v>
      </c>
      <c r="CE115" t="s">
        <v>111</v>
      </c>
      <c r="CF115" t="s">
        <v>111</v>
      </c>
      <c r="CG115" t="s">
        <v>111</v>
      </c>
      <c r="CH115" t="s">
        <v>111</v>
      </c>
      <c r="CI115" t="s">
        <v>111</v>
      </c>
      <c r="CJ115" t="s">
        <v>111</v>
      </c>
      <c r="CK115" t="s">
        <v>111</v>
      </c>
      <c r="CL115" t="s">
        <v>111</v>
      </c>
      <c r="CM115">
        <v>450</v>
      </c>
      <c r="CN115" t="s">
        <v>113</v>
      </c>
      <c r="CO115" t="s">
        <v>111</v>
      </c>
      <c r="CP115" t="s">
        <v>111</v>
      </c>
      <c r="CQ115">
        <v>0</v>
      </c>
      <c r="CR115">
        <v>10000</v>
      </c>
      <c r="CS115">
        <v>200</v>
      </c>
      <c r="CT115" t="s">
        <v>540</v>
      </c>
      <c r="CU115">
        <v>0</v>
      </c>
      <c r="CV115" t="s">
        <v>111</v>
      </c>
      <c r="CW115" t="s">
        <v>111</v>
      </c>
      <c r="CX115" t="s">
        <v>111</v>
      </c>
      <c r="CY115">
        <v>0</v>
      </c>
      <c r="CZ115" t="s">
        <v>111</v>
      </c>
      <c r="DA115" t="s">
        <v>111</v>
      </c>
      <c r="DB115" t="s">
        <v>111</v>
      </c>
      <c r="DC115" t="s">
        <v>111</v>
      </c>
    </row>
    <row r="116" spans="1:107">
      <c r="A116">
        <v>1200</v>
      </c>
      <c r="B116" t="s">
        <v>107</v>
      </c>
      <c r="C116" t="s">
        <v>114</v>
      </c>
      <c r="D116" t="s">
        <v>480</v>
      </c>
      <c r="E116" t="s">
        <v>541</v>
      </c>
      <c r="F116" t="s">
        <v>358</v>
      </c>
      <c r="G116" t="s">
        <v>469</v>
      </c>
      <c r="H116">
        <v>2.7</v>
      </c>
      <c r="I116">
        <v>65</v>
      </c>
      <c r="J116">
        <v>0</v>
      </c>
      <c r="K116">
        <v>0</v>
      </c>
      <c r="L116" t="s">
        <v>117</v>
      </c>
      <c r="M116" t="s">
        <v>118</v>
      </c>
      <c r="N116">
        <v>0</v>
      </c>
      <c r="O116">
        <v>1</v>
      </c>
      <c r="P116" t="s">
        <v>118</v>
      </c>
      <c r="Q116">
        <v>79</v>
      </c>
      <c r="R116">
        <v>0</v>
      </c>
      <c r="S116">
        <v>0</v>
      </c>
      <c r="T116">
        <v>5</v>
      </c>
      <c r="U116" s="1" t="s">
        <v>542</v>
      </c>
      <c r="V116">
        <v>0</v>
      </c>
      <c r="W116">
        <v>25</v>
      </c>
      <c r="X116">
        <v>8</v>
      </c>
      <c r="Y116">
        <v>0</v>
      </c>
      <c r="Z116" t="s">
        <v>111</v>
      </c>
      <c r="AA116">
        <v>0</v>
      </c>
      <c r="AB116" t="s">
        <v>479</v>
      </c>
      <c r="AC116">
        <v>8</v>
      </c>
      <c r="AD116" t="s">
        <v>416</v>
      </c>
      <c r="AE116">
        <v>0</v>
      </c>
      <c r="AF116">
        <v>0</v>
      </c>
      <c r="AG116" t="s">
        <v>111</v>
      </c>
      <c r="AH116" t="s">
        <v>128</v>
      </c>
      <c r="AI116" t="s">
        <v>111</v>
      </c>
      <c r="AJ116" t="s">
        <v>111</v>
      </c>
      <c r="AK116" t="s">
        <v>111</v>
      </c>
      <c r="AL116" t="s">
        <v>111</v>
      </c>
      <c r="AM116">
        <v>0</v>
      </c>
      <c r="AN116">
        <v>0</v>
      </c>
      <c r="AO116">
        <v>0</v>
      </c>
      <c r="AP116" t="s">
        <v>111</v>
      </c>
      <c r="AQ116" t="s">
        <v>111</v>
      </c>
      <c r="AR116" t="s">
        <v>111</v>
      </c>
      <c r="AS116" t="s">
        <v>111</v>
      </c>
      <c r="AT116" t="s">
        <v>111</v>
      </c>
      <c r="AU116" t="s">
        <v>111</v>
      </c>
      <c r="AV116" t="s">
        <v>111</v>
      </c>
      <c r="AW116" t="s">
        <v>111</v>
      </c>
      <c r="AX116" t="s">
        <v>111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111</v>
      </c>
      <c r="BE116" t="s">
        <v>111</v>
      </c>
      <c r="BF116" t="s">
        <v>111</v>
      </c>
      <c r="BG116" t="s">
        <v>111</v>
      </c>
      <c r="BH116" t="s">
        <v>111</v>
      </c>
      <c r="BI116" t="s">
        <v>111</v>
      </c>
      <c r="BJ116" t="s">
        <v>111</v>
      </c>
      <c r="BK116" t="s">
        <v>111</v>
      </c>
      <c r="BL116" t="s">
        <v>111</v>
      </c>
      <c r="BM116" t="s">
        <v>111</v>
      </c>
      <c r="BN116" t="s">
        <v>111</v>
      </c>
      <c r="BO116" t="s">
        <v>111</v>
      </c>
      <c r="BP116" t="s">
        <v>111</v>
      </c>
      <c r="BQ116" t="s">
        <v>111</v>
      </c>
      <c r="BR116" t="s">
        <v>111</v>
      </c>
      <c r="BS116" t="s">
        <v>111</v>
      </c>
      <c r="BT116" t="s">
        <v>111</v>
      </c>
      <c r="BU116" t="s">
        <v>111</v>
      </c>
      <c r="BV116" t="s">
        <v>111</v>
      </c>
      <c r="BW116" t="s">
        <v>111</v>
      </c>
      <c r="BX116" t="s">
        <v>111</v>
      </c>
      <c r="BY116" t="s">
        <v>111</v>
      </c>
      <c r="BZ116" t="s">
        <v>111</v>
      </c>
      <c r="CA116" t="s">
        <v>111</v>
      </c>
      <c r="CB116" t="s">
        <v>111</v>
      </c>
      <c r="CC116" t="s">
        <v>111</v>
      </c>
      <c r="CD116" t="s">
        <v>111</v>
      </c>
      <c r="CE116" t="s">
        <v>111</v>
      </c>
      <c r="CF116" t="s">
        <v>111</v>
      </c>
      <c r="CG116" t="s">
        <v>111</v>
      </c>
      <c r="CH116" t="s">
        <v>111</v>
      </c>
      <c r="CI116" t="s">
        <v>111</v>
      </c>
      <c r="CJ116" t="s">
        <v>111</v>
      </c>
      <c r="CK116" t="s">
        <v>111</v>
      </c>
      <c r="CL116" t="e">
        <f>-DESTINO ALMACEN</f>
        <v>#NAME?</v>
      </c>
      <c r="CM116" t="s">
        <v>111</v>
      </c>
      <c r="CN116" t="s">
        <v>111</v>
      </c>
      <c r="CO116" t="s">
        <v>111</v>
      </c>
      <c r="CP116" t="s">
        <v>111</v>
      </c>
      <c r="CQ116">
        <v>0</v>
      </c>
      <c r="CR116">
        <v>0</v>
      </c>
      <c r="CS116">
        <v>0</v>
      </c>
      <c r="CT116" t="s">
        <v>111</v>
      </c>
      <c r="CU116">
        <v>0</v>
      </c>
      <c r="CV116" t="s">
        <v>111</v>
      </c>
      <c r="CW116" t="s">
        <v>111</v>
      </c>
      <c r="CX116" t="s">
        <v>111</v>
      </c>
      <c r="CY116">
        <v>0</v>
      </c>
      <c r="CZ116" t="s">
        <v>111</v>
      </c>
      <c r="DA116" t="s">
        <v>111</v>
      </c>
      <c r="DB116" t="s">
        <v>111</v>
      </c>
      <c r="DC116" t="s">
        <v>111</v>
      </c>
    </row>
    <row r="117" spans="1:107">
      <c r="A117">
        <v>1313</v>
      </c>
      <c r="B117" t="s">
        <v>107</v>
      </c>
      <c r="C117" t="s">
        <v>114</v>
      </c>
      <c r="D117" t="s">
        <v>476</v>
      </c>
      <c r="E117" t="s">
        <v>543</v>
      </c>
      <c r="F117" t="s">
        <v>358</v>
      </c>
      <c r="G117" t="s">
        <v>469</v>
      </c>
      <c r="H117">
        <v>2.7</v>
      </c>
      <c r="I117">
        <v>70.3</v>
      </c>
      <c r="J117">
        <v>0</v>
      </c>
      <c r="K117">
        <v>0</v>
      </c>
      <c r="L117" t="s">
        <v>117</v>
      </c>
      <c r="M117" t="s">
        <v>118</v>
      </c>
      <c r="N117">
        <v>39</v>
      </c>
      <c r="O117">
        <v>1</v>
      </c>
      <c r="P117" t="s">
        <v>111</v>
      </c>
      <c r="Q117">
        <v>70.3</v>
      </c>
      <c r="R117">
        <v>0</v>
      </c>
      <c r="S117">
        <v>0</v>
      </c>
      <c r="T117">
        <v>3</v>
      </c>
      <c r="U117" s="1" t="s">
        <v>544</v>
      </c>
      <c r="V117">
        <v>0</v>
      </c>
      <c r="W117">
        <v>25</v>
      </c>
      <c r="X117">
        <v>8</v>
      </c>
      <c r="Y117">
        <v>0</v>
      </c>
      <c r="Z117" t="s">
        <v>111</v>
      </c>
      <c r="AA117">
        <v>0</v>
      </c>
      <c r="AB117" t="s">
        <v>479</v>
      </c>
      <c r="AC117">
        <v>8</v>
      </c>
      <c r="AD117" t="s">
        <v>427</v>
      </c>
      <c r="AE117">
        <v>0</v>
      </c>
      <c r="AF117">
        <v>0</v>
      </c>
      <c r="AG117" t="s">
        <v>111</v>
      </c>
      <c r="AH117" t="s">
        <v>128</v>
      </c>
      <c r="AI117" t="s">
        <v>111</v>
      </c>
      <c r="AJ117" t="s">
        <v>111</v>
      </c>
      <c r="AK117" t="s">
        <v>111</v>
      </c>
      <c r="AL117" t="s">
        <v>111</v>
      </c>
      <c r="AM117">
        <v>0</v>
      </c>
      <c r="AN117">
        <v>0</v>
      </c>
      <c r="AO117">
        <v>0</v>
      </c>
      <c r="AP117" t="s">
        <v>111</v>
      </c>
      <c r="AQ117" t="s">
        <v>111</v>
      </c>
      <c r="AR117" t="s">
        <v>111</v>
      </c>
      <c r="AS117" t="s">
        <v>111</v>
      </c>
      <c r="AT117" t="s">
        <v>111</v>
      </c>
      <c r="AU117" t="s">
        <v>111</v>
      </c>
      <c r="AV117" t="s">
        <v>111</v>
      </c>
      <c r="AW117" t="s">
        <v>111</v>
      </c>
      <c r="AX117" t="s">
        <v>111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111</v>
      </c>
      <c r="BE117" t="s">
        <v>111</v>
      </c>
      <c r="BF117" t="s">
        <v>111</v>
      </c>
      <c r="BG117" t="s">
        <v>111</v>
      </c>
      <c r="BH117" t="s">
        <v>111</v>
      </c>
      <c r="BI117" t="s">
        <v>111</v>
      </c>
      <c r="BJ117" t="s">
        <v>111</v>
      </c>
      <c r="BK117" t="s">
        <v>111</v>
      </c>
      <c r="BL117" t="s">
        <v>111</v>
      </c>
      <c r="BM117" t="s">
        <v>111</v>
      </c>
      <c r="BN117" t="s">
        <v>111</v>
      </c>
      <c r="BO117" t="s">
        <v>111</v>
      </c>
      <c r="BP117" t="s">
        <v>111</v>
      </c>
      <c r="BQ117" t="s">
        <v>111</v>
      </c>
      <c r="BR117" t="s">
        <v>111</v>
      </c>
      <c r="BS117" t="s">
        <v>111</v>
      </c>
      <c r="BT117" t="s">
        <v>111</v>
      </c>
      <c r="BU117" t="s">
        <v>111</v>
      </c>
      <c r="BV117" t="s">
        <v>111</v>
      </c>
      <c r="BW117" t="s">
        <v>111</v>
      </c>
      <c r="BX117" t="s">
        <v>111</v>
      </c>
      <c r="BY117" t="s">
        <v>111</v>
      </c>
      <c r="BZ117" t="s">
        <v>111</v>
      </c>
      <c r="CA117" t="s">
        <v>111</v>
      </c>
      <c r="CB117" t="s">
        <v>111</v>
      </c>
      <c r="CC117" t="s">
        <v>111</v>
      </c>
      <c r="CD117" t="s">
        <v>111</v>
      </c>
      <c r="CE117" t="s">
        <v>111</v>
      </c>
      <c r="CF117" t="s">
        <v>111</v>
      </c>
      <c r="CG117" t="s">
        <v>111</v>
      </c>
      <c r="CH117" t="s">
        <v>111</v>
      </c>
      <c r="CI117" t="s">
        <v>111</v>
      </c>
      <c r="CJ117" t="s">
        <v>111</v>
      </c>
      <c r="CK117" t="s">
        <v>111</v>
      </c>
      <c r="CL117" t="s">
        <v>111</v>
      </c>
      <c r="CM117" t="s">
        <v>111</v>
      </c>
      <c r="CN117" t="s">
        <v>111</v>
      </c>
      <c r="CO117" t="s">
        <v>111</v>
      </c>
      <c r="CP117" t="s">
        <v>111</v>
      </c>
      <c r="CQ117">
        <v>0</v>
      </c>
      <c r="CR117">
        <v>0</v>
      </c>
      <c r="CS117">
        <v>0</v>
      </c>
      <c r="CT117" t="s">
        <v>111</v>
      </c>
      <c r="CU117">
        <v>0</v>
      </c>
      <c r="CV117" t="s">
        <v>111</v>
      </c>
      <c r="CW117" t="s">
        <v>111</v>
      </c>
      <c r="CX117" t="s">
        <v>111</v>
      </c>
      <c r="CY117">
        <v>0</v>
      </c>
      <c r="CZ117" t="s">
        <v>111</v>
      </c>
      <c r="DA117" t="s">
        <v>111</v>
      </c>
      <c r="DB117" t="s">
        <v>111</v>
      </c>
      <c r="DC117" t="s">
        <v>111</v>
      </c>
    </row>
    <row r="118" spans="1:107">
      <c r="A118">
        <v>1209</v>
      </c>
      <c r="B118" t="s">
        <v>107</v>
      </c>
      <c r="C118" t="s">
        <v>114</v>
      </c>
      <c r="D118" t="s">
        <v>476</v>
      </c>
      <c r="E118" t="s">
        <v>545</v>
      </c>
      <c r="F118" t="s">
        <v>358</v>
      </c>
      <c r="G118" t="s">
        <v>469</v>
      </c>
      <c r="H118">
        <v>2.7</v>
      </c>
      <c r="I118">
        <v>71</v>
      </c>
      <c r="J118">
        <v>0</v>
      </c>
      <c r="K118">
        <v>0</v>
      </c>
      <c r="L118" t="s">
        <v>117</v>
      </c>
      <c r="M118" t="s">
        <v>118</v>
      </c>
      <c r="N118">
        <v>40</v>
      </c>
      <c r="O118">
        <v>1</v>
      </c>
      <c r="P118" t="s">
        <v>118</v>
      </c>
      <c r="Q118">
        <v>78.7</v>
      </c>
      <c r="R118">
        <v>0</v>
      </c>
      <c r="S118">
        <v>0</v>
      </c>
      <c r="T118">
        <v>5</v>
      </c>
      <c r="U118" s="1" t="s">
        <v>546</v>
      </c>
      <c r="V118">
        <v>0</v>
      </c>
      <c r="W118">
        <v>25</v>
      </c>
      <c r="X118">
        <v>8</v>
      </c>
      <c r="Y118">
        <v>0</v>
      </c>
      <c r="Z118" t="s">
        <v>111</v>
      </c>
      <c r="AA118">
        <v>0</v>
      </c>
      <c r="AB118" t="s">
        <v>479</v>
      </c>
      <c r="AC118">
        <v>8</v>
      </c>
      <c r="AD118" t="s">
        <v>416</v>
      </c>
      <c r="AE118">
        <v>0</v>
      </c>
      <c r="AF118">
        <v>0</v>
      </c>
      <c r="AG118" t="s">
        <v>111</v>
      </c>
      <c r="AH118" t="s">
        <v>128</v>
      </c>
      <c r="AI118" t="s">
        <v>111</v>
      </c>
      <c r="AJ118" t="s">
        <v>111</v>
      </c>
      <c r="AK118" t="s">
        <v>111</v>
      </c>
      <c r="AL118" t="s">
        <v>111</v>
      </c>
      <c r="AM118">
        <v>0</v>
      </c>
      <c r="AN118">
        <v>0</v>
      </c>
      <c r="AO118">
        <v>0</v>
      </c>
      <c r="AP118" t="s">
        <v>111</v>
      </c>
      <c r="AQ118" t="s">
        <v>111</v>
      </c>
      <c r="AR118" t="s">
        <v>111</v>
      </c>
      <c r="AS118" t="s">
        <v>111</v>
      </c>
      <c r="AT118" t="s">
        <v>111</v>
      </c>
      <c r="AU118" t="s">
        <v>111</v>
      </c>
      <c r="AV118" t="s">
        <v>111</v>
      </c>
      <c r="AW118" t="s">
        <v>111</v>
      </c>
      <c r="AX118" t="s">
        <v>111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111</v>
      </c>
      <c r="BE118" t="s">
        <v>111</v>
      </c>
      <c r="BF118" t="s">
        <v>111</v>
      </c>
      <c r="BG118" t="s">
        <v>111</v>
      </c>
      <c r="BH118" t="s">
        <v>111</v>
      </c>
      <c r="BI118" t="s">
        <v>111</v>
      </c>
      <c r="BJ118" t="s">
        <v>111</v>
      </c>
      <c r="BK118" t="s">
        <v>111</v>
      </c>
      <c r="BL118" t="s">
        <v>111</v>
      </c>
      <c r="BM118" t="s">
        <v>111</v>
      </c>
      <c r="BN118" t="s">
        <v>111</v>
      </c>
      <c r="BO118" t="s">
        <v>111</v>
      </c>
      <c r="BP118" t="s">
        <v>111</v>
      </c>
      <c r="BQ118" t="s">
        <v>111</v>
      </c>
      <c r="BR118" t="s">
        <v>111</v>
      </c>
      <c r="BS118" t="s">
        <v>111</v>
      </c>
      <c r="BT118" t="s">
        <v>111</v>
      </c>
      <c r="BU118" t="s">
        <v>111</v>
      </c>
      <c r="BV118" t="s">
        <v>111</v>
      </c>
      <c r="BW118" t="s">
        <v>111</v>
      </c>
      <c r="BX118" t="s">
        <v>111</v>
      </c>
      <c r="BY118" t="s">
        <v>111</v>
      </c>
      <c r="BZ118" t="s">
        <v>111</v>
      </c>
      <c r="CA118" t="s">
        <v>111</v>
      </c>
      <c r="CB118" t="s">
        <v>111</v>
      </c>
      <c r="CC118" t="s">
        <v>111</v>
      </c>
      <c r="CD118" t="s">
        <v>111</v>
      </c>
      <c r="CE118" t="s">
        <v>111</v>
      </c>
      <c r="CF118" t="s">
        <v>111</v>
      </c>
      <c r="CG118" t="s">
        <v>111</v>
      </c>
      <c r="CH118" t="s">
        <v>111</v>
      </c>
      <c r="CI118" t="s">
        <v>111</v>
      </c>
      <c r="CJ118" t="s">
        <v>111</v>
      </c>
      <c r="CK118" t="s">
        <v>111</v>
      </c>
      <c r="CL118" t="e">
        <f>-DESTINO ALMACEN</f>
        <v>#NAME?</v>
      </c>
      <c r="CM118" t="s">
        <v>111</v>
      </c>
      <c r="CN118" t="s">
        <v>111</v>
      </c>
      <c r="CO118" t="s">
        <v>111</v>
      </c>
      <c r="CP118" t="s">
        <v>111</v>
      </c>
      <c r="CQ118">
        <v>0</v>
      </c>
      <c r="CR118">
        <v>0</v>
      </c>
      <c r="CS118">
        <v>0</v>
      </c>
      <c r="CT118" t="s">
        <v>111</v>
      </c>
      <c r="CU118">
        <v>0</v>
      </c>
      <c r="CV118" t="s">
        <v>111</v>
      </c>
      <c r="CW118" t="s">
        <v>111</v>
      </c>
      <c r="CX118" t="s">
        <v>111</v>
      </c>
      <c r="CY118">
        <v>0</v>
      </c>
      <c r="CZ118" t="s">
        <v>111</v>
      </c>
      <c r="DA118" t="s">
        <v>111</v>
      </c>
      <c r="DB118" t="s">
        <v>111</v>
      </c>
      <c r="DC118" t="s">
        <v>111</v>
      </c>
    </row>
    <row r="119" spans="1:107">
      <c r="A119">
        <v>1210</v>
      </c>
      <c r="B119" t="s">
        <v>107</v>
      </c>
      <c r="C119" t="s">
        <v>114</v>
      </c>
      <c r="D119" t="s">
        <v>476</v>
      </c>
      <c r="E119" t="s">
        <v>547</v>
      </c>
      <c r="F119" t="s">
        <v>358</v>
      </c>
      <c r="G119" t="s">
        <v>469</v>
      </c>
      <c r="H119">
        <v>2.7</v>
      </c>
      <c r="I119">
        <v>71</v>
      </c>
      <c r="J119">
        <v>0</v>
      </c>
      <c r="K119">
        <v>0</v>
      </c>
      <c r="L119" t="s">
        <v>117</v>
      </c>
      <c r="M119" t="s">
        <v>118</v>
      </c>
      <c r="N119">
        <v>40</v>
      </c>
      <c r="O119">
        <v>1</v>
      </c>
      <c r="P119" t="s">
        <v>118</v>
      </c>
      <c r="Q119">
        <v>78.7</v>
      </c>
      <c r="R119">
        <v>0</v>
      </c>
      <c r="S119">
        <v>0</v>
      </c>
      <c r="T119">
        <v>5</v>
      </c>
      <c r="U119" s="1" t="s">
        <v>548</v>
      </c>
      <c r="V119">
        <v>0</v>
      </c>
      <c r="W119">
        <v>25</v>
      </c>
      <c r="X119">
        <v>8</v>
      </c>
      <c r="Y119">
        <v>0</v>
      </c>
      <c r="Z119" t="s">
        <v>111</v>
      </c>
      <c r="AA119">
        <v>0</v>
      </c>
      <c r="AB119" t="s">
        <v>479</v>
      </c>
      <c r="AC119">
        <v>8</v>
      </c>
      <c r="AD119" t="s">
        <v>416</v>
      </c>
      <c r="AE119">
        <v>0</v>
      </c>
      <c r="AF119">
        <v>0</v>
      </c>
      <c r="AG119" t="s">
        <v>111</v>
      </c>
      <c r="AH119" t="s">
        <v>128</v>
      </c>
      <c r="AI119" t="s">
        <v>111</v>
      </c>
      <c r="AJ119" t="s">
        <v>111</v>
      </c>
      <c r="AK119" t="s">
        <v>111</v>
      </c>
      <c r="AL119" t="s">
        <v>111</v>
      </c>
      <c r="AM119">
        <v>0</v>
      </c>
      <c r="AN119">
        <v>0</v>
      </c>
      <c r="AO119">
        <v>0</v>
      </c>
      <c r="AP119" t="s">
        <v>111</v>
      </c>
      <c r="AQ119" t="s">
        <v>111</v>
      </c>
      <c r="AR119" t="s">
        <v>111</v>
      </c>
      <c r="AS119" t="s">
        <v>111</v>
      </c>
      <c r="AT119" t="s">
        <v>111</v>
      </c>
      <c r="AU119" t="s">
        <v>111</v>
      </c>
      <c r="AV119" t="s">
        <v>111</v>
      </c>
      <c r="AW119" t="s">
        <v>111</v>
      </c>
      <c r="AX119" t="s">
        <v>111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111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111</v>
      </c>
      <c r="BM119" t="s">
        <v>111</v>
      </c>
      <c r="BN119" t="s">
        <v>111</v>
      </c>
      <c r="BO119" t="s">
        <v>111</v>
      </c>
      <c r="BP119" t="s">
        <v>111</v>
      </c>
      <c r="BQ119" t="s">
        <v>111</v>
      </c>
      <c r="BR119" t="s">
        <v>111</v>
      </c>
      <c r="BS119" t="s">
        <v>111</v>
      </c>
      <c r="BT119" t="s">
        <v>111</v>
      </c>
      <c r="BU119" t="s">
        <v>111</v>
      </c>
      <c r="BV119" t="s">
        <v>111</v>
      </c>
      <c r="BW119" t="s">
        <v>111</v>
      </c>
      <c r="BX119" t="s">
        <v>111</v>
      </c>
      <c r="BY119" t="s">
        <v>111</v>
      </c>
      <c r="BZ119" t="s">
        <v>111</v>
      </c>
      <c r="CA119" t="s">
        <v>111</v>
      </c>
      <c r="CB119" t="s">
        <v>111</v>
      </c>
      <c r="CC119" t="s">
        <v>111</v>
      </c>
      <c r="CD119" t="s">
        <v>111</v>
      </c>
      <c r="CE119" t="s">
        <v>111</v>
      </c>
      <c r="CF119" t="s">
        <v>111</v>
      </c>
      <c r="CG119" t="s">
        <v>111</v>
      </c>
      <c r="CH119" t="s">
        <v>111</v>
      </c>
      <c r="CI119" t="s">
        <v>111</v>
      </c>
      <c r="CJ119" t="s">
        <v>111</v>
      </c>
      <c r="CK119" t="s">
        <v>111</v>
      </c>
      <c r="CL119" t="e">
        <f>-DESTINO ALMACEN</f>
        <v>#NAME?</v>
      </c>
      <c r="CM119" t="s">
        <v>111</v>
      </c>
      <c r="CN119" t="s">
        <v>111</v>
      </c>
      <c r="CO119" t="s">
        <v>111</v>
      </c>
      <c r="CP119" t="s">
        <v>111</v>
      </c>
      <c r="CQ119">
        <v>0</v>
      </c>
      <c r="CR119">
        <v>0</v>
      </c>
      <c r="CS119">
        <v>0</v>
      </c>
      <c r="CT119" t="s">
        <v>111</v>
      </c>
      <c r="CU119">
        <v>0</v>
      </c>
      <c r="CV119" t="s">
        <v>111</v>
      </c>
      <c r="CW119" t="s">
        <v>111</v>
      </c>
      <c r="CX119" t="s">
        <v>111</v>
      </c>
      <c r="CY119">
        <v>0</v>
      </c>
      <c r="CZ119" t="s">
        <v>111</v>
      </c>
      <c r="DA119" t="s">
        <v>111</v>
      </c>
      <c r="DB119" t="s">
        <v>111</v>
      </c>
      <c r="DC119" t="s">
        <v>111</v>
      </c>
    </row>
    <row r="120" spans="1:107">
      <c r="A120">
        <v>1301</v>
      </c>
      <c r="B120" t="s">
        <v>107</v>
      </c>
      <c r="C120" t="s">
        <v>549</v>
      </c>
      <c r="D120" t="s">
        <v>550</v>
      </c>
      <c r="E120" t="s">
        <v>551</v>
      </c>
      <c r="F120" t="s">
        <v>192</v>
      </c>
      <c r="G120" t="s">
        <v>469</v>
      </c>
      <c r="H120">
        <v>2</v>
      </c>
      <c r="I120">
        <v>21.3</v>
      </c>
      <c r="J120">
        <v>8</v>
      </c>
      <c r="K120">
        <v>8</v>
      </c>
      <c r="L120" t="s">
        <v>112</v>
      </c>
      <c r="M120" t="s">
        <v>118</v>
      </c>
      <c r="N120">
        <v>36</v>
      </c>
      <c r="O120">
        <v>2</v>
      </c>
      <c r="P120" t="s">
        <v>111</v>
      </c>
      <c r="Q120">
        <v>34</v>
      </c>
      <c r="R120">
        <v>0</v>
      </c>
      <c r="S120">
        <v>0</v>
      </c>
      <c r="T120">
        <v>5</v>
      </c>
      <c r="U120" s="1" t="s">
        <v>552</v>
      </c>
      <c r="V120">
        <v>0</v>
      </c>
      <c r="W120">
        <v>25</v>
      </c>
      <c r="X120">
        <v>8</v>
      </c>
      <c r="Y120">
        <v>0</v>
      </c>
      <c r="Z120" t="s">
        <v>111</v>
      </c>
      <c r="AA120">
        <v>0</v>
      </c>
      <c r="AB120" t="s">
        <v>553</v>
      </c>
      <c r="AC120">
        <v>8</v>
      </c>
      <c r="AD120" t="s">
        <v>111</v>
      </c>
      <c r="AE120">
        <v>0</v>
      </c>
      <c r="AF120">
        <v>0</v>
      </c>
      <c r="AG120" t="s">
        <v>111</v>
      </c>
      <c r="AH120" t="s">
        <v>111</v>
      </c>
      <c r="AI120" t="s">
        <v>111</v>
      </c>
      <c r="AJ120" t="s">
        <v>111</v>
      </c>
      <c r="AK120" t="s">
        <v>111</v>
      </c>
      <c r="AL120" t="s">
        <v>111</v>
      </c>
      <c r="AM120">
        <v>0</v>
      </c>
      <c r="AN120">
        <v>0</v>
      </c>
      <c r="AO120">
        <v>0</v>
      </c>
      <c r="AP120" t="s">
        <v>111</v>
      </c>
      <c r="AQ120" t="s">
        <v>111</v>
      </c>
      <c r="AR120" t="s">
        <v>111</v>
      </c>
      <c r="AS120" t="s">
        <v>111</v>
      </c>
      <c r="AT120" t="s">
        <v>111</v>
      </c>
      <c r="AU120" t="s">
        <v>111</v>
      </c>
      <c r="AV120" t="s">
        <v>111</v>
      </c>
      <c r="AW120" t="s">
        <v>111</v>
      </c>
      <c r="AX120" t="s">
        <v>111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111</v>
      </c>
      <c r="BE120" t="s">
        <v>111</v>
      </c>
      <c r="BF120" t="s">
        <v>111</v>
      </c>
      <c r="BG120" t="s">
        <v>111</v>
      </c>
      <c r="BH120" t="s">
        <v>111</v>
      </c>
      <c r="BI120" t="s">
        <v>111</v>
      </c>
      <c r="BJ120" t="s">
        <v>111</v>
      </c>
      <c r="BK120" t="s">
        <v>111</v>
      </c>
      <c r="BL120" t="s">
        <v>111</v>
      </c>
      <c r="BM120" t="s">
        <v>111</v>
      </c>
      <c r="BN120" t="s">
        <v>111</v>
      </c>
      <c r="BO120" t="s">
        <v>111</v>
      </c>
      <c r="BP120" t="s">
        <v>111</v>
      </c>
      <c r="BQ120" t="s">
        <v>111</v>
      </c>
      <c r="BR120" t="s">
        <v>111</v>
      </c>
      <c r="BS120" t="s">
        <v>111</v>
      </c>
      <c r="BT120" t="s">
        <v>111</v>
      </c>
      <c r="BU120" t="s">
        <v>111</v>
      </c>
      <c r="BV120" t="s">
        <v>111</v>
      </c>
      <c r="BW120" t="s">
        <v>111</v>
      </c>
      <c r="BX120" t="s">
        <v>111</v>
      </c>
      <c r="BY120" t="s">
        <v>111</v>
      </c>
      <c r="BZ120" t="s">
        <v>111</v>
      </c>
      <c r="CA120" t="s">
        <v>111</v>
      </c>
      <c r="CB120" t="s">
        <v>111</v>
      </c>
      <c r="CC120" t="s">
        <v>111</v>
      </c>
      <c r="CD120" t="s">
        <v>111</v>
      </c>
      <c r="CE120" t="s">
        <v>111</v>
      </c>
      <c r="CF120" t="s">
        <v>111</v>
      </c>
      <c r="CG120" t="s">
        <v>111</v>
      </c>
      <c r="CH120" t="s">
        <v>111</v>
      </c>
      <c r="CI120" t="s">
        <v>111</v>
      </c>
      <c r="CJ120" t="s">
        <v>111</v>
      </c>
      <c r="CK120" t="s">
        <v>111</v>
      </c>
      <c r="CL120" t="s">
        <v>111</v>
      </c>
      <c r="CM120" t="s">
        <v>135</v>
      </c>
      <c r="CN120" t="s">
        <v>128</v>
      </c>
      <c r="CO120" t="s">
        <v>111</v>
      </c>
      <c r="CP120" t="s">
        <v>111</v>
      </c>
      <c r="CQ120">
        <v>0</v>
      </c>
      <c r="CR120">
        <v>1000</v>
      </c>
      <c r="CS120">
        <v>50</v>
      </c>
      <c r="CT120" s="1" t="s">
        <v>554</v>
      </c>
      <c r="CU120">
        <v>0</v>
      </c>
      <c r="CV120" t="s">
        <v>111</v>
      </c>
      <c r="CW120" t="s">
        <v>111</v>
      </c>
      <c r="CX120" t="s">
        <v>111</v>
      </c>
      <c r="CY120">
        <v>0</v>
      </c>
      <c r="CZ120" t="s">
        <v>111</v>
      </c>
      <c r="DA120" t="s">
        <v>111</v>
      </c>
      <c r="DB120" t="s">
        <v>111</v>
      </c>
      <c r="DC120" t="s">
        <v>111</v>
      </c>
    </row>
    <row r="121" spans="1:107">
      <c r="A121">
        <v>1211</v>
      </c>
      <c r="B121" t="s">
        <v>107</v>
      </c>
      <c r="C121" t="s">
        <v>351</v>
      </c>
      <c r="D121" t="s">
        <v>555</v>
      </c>
      <c r="E121" t="s">
        <v>556</v>
      </c>
      <c r="F121" t="s">
        <v>431</v>
      </c>
      <c r="G121" t="s">
        <v>469</v>
      </c>
      <c r="H121">
        <v>1.5</v>
      </c>
      <c r="I121">
        <v>18</v>
      </c>
      <c r="J121">
        <v>5</v>
      </c>
      <c r="K121">
        <v>5</v>
      </c>
      <c r="L121" t="s">
        <v>112</v>
      </c>
      <c r="M121" t="s">
        <v>118</v>
      </c>
      <c r="N121">
        <v>39</v>
      </c>
      <c r="O121">
        <v>2</v>
      </c>
      <c r="P121" t="s">
        <v>111</v>
      </c>
      <c r="Q121">
        <v>140</v>
      </c>
      <c r="R121">
        <v>0</v>
      </c>
      <c r="S121">
        <v>0</v>
      </c>
      <c r="T121">
        <v>5</v>
      </c>
      <c r="U121" t="s">
        <v>557</v>
      </c>
      <c r="V121">
        <v>0</v>
      </c>
      <c r="W121">
        <v>25</v>
      </c>
      <c r="X121">
        <v>6</v>
      </c>
      <c r="Y121">
        <v>0</v>
      </c>
      <c r="Z121" t="s">
        <v>288</v>
      </c>
      <c r="AA121">
        <v>1.8</v>
      </c>
      <c r="AB121" t="s">
        <v>111</v>
      </c>
      <c r="AC121">
        <v>0</v>
      </c>
      <c r="AD121" t="s">
        <v>558</v>
      </c>
      <c r="AE121">
        <v>0</v>
      </c>
      <c r="AF121">
        <v>0</v>
      </c>
      <c r="AG121" t="s">
        <v>111</v>
      </c>
      <c r="AH121" t="s">
        <v>111</v>
      </c>
      <c r="AI121" t="s">
        <v>111</v>
      </c>
      <c r="AJ121" t="s">
        <v>111</v>
      </c>
      <c r="AK121" t="s">
        <v>111</v>
      </c>
      <c r="AL121" t="s">
        <v>111</v>
      </c>
      <c r="AM121">
        <v>0</v>
      </c>
      <c r="AN121">
        <v>0</v>
      </c>
      <c r="AO121">
        <v>0</v>
      </c>
      <c r="AP121" t="s">
        <v>111</v>
      </c>
      <c r="AQ121" t="s">
        <v>111</v>
      </c>
      <c r="AR121" t="s">
        <v>111</v>
      </c>
      <c r="AS121" t="s">
        <v>111</v>
      </c>
      <c r="AT121" t="s">
        <v>111</v>
      </c>
      <c r="AU121" t="s">
        <v>111</v>
      </c>
      <c r="AV121" t="s">
        <v>111</v>
      </c>
      <c r="AW121" t="s">
        <v>111</v>
      </c>
      <c r="AX121" t="s">
        <v>111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111</v>
      </c>
      <c r="BE121" t="s">
        <v>111</v>
      </c>
      <c r="BF121" t="s">
        <v>111</v>
      </c>
      <c r="BG121" t="s">
        <v>111</v>
      </c>
      <c r="BH121" t="s">
        <v>111</v>
      </c>
      <c r="BI121" t="s">
        <v>111</v>
      </c>
      <c r="BJ121" t="s">
        <v>111</v>
      </c>
      <c r="BK121" t="s">
        <v>111</v>
      </c>
      <c r="BL121" t="s">
        <v>111</v>
      </c>
      <c r="BM121" t="s">
        <v>111</v>
      </c>
      <c r="BN121" t="s">
        <v>111</v>
      </c>
      <c r="BO121" t="s">
        <v>111</v>
      </c>
      <c r="BP121" t="s">
        <v>111</v>
      </c>
      <c r="BQ121" t="s">
        <v>111</v>
      </c>
      <c r="BR121" t="s">
        <v>111</v>
      </c>
      <c r="BS121" t="s">
        <v>111</v>
      </c>
      <c r="BT121" t="s">
        <v>111</v>
      </c>
      <c r="BU121" t="s">
        <v>111</v>
      </c>
      <c r="BV121" t="s">
        <v>111</v>
      </c>
      <c r="BW121" t="s">
        <v>111</v>
      </c>
      <c r="BX121" t="s">
        <v>111</v>
      </c>
      <c r="BY121" t="s">
        <v>111</v>
      </c>
      <c r="BZ121" t="s">
        <v>111</v>
      </c>
      <c r="CA121" t="s">
        <v>111</v>
      </c>
      <c r="CB121" t="s">
        <v>111</v>
      </c>
      <c r="CC121" t="s">
        <v>111</v>
      </c>
      <c r="CD121" t="s">
        <v>111</v>
      </c>
      <c r="CE121" t="s">
        <v>111</v>
      </c>
      <c r="CF121" t="s">
        <v>111</v>
      </c>
      <c r="CG121" t="s">
        <v>111</v>
      </c>
      <c r="CH121" t="s">
        <v>111</v>
      </c>
      <c r="CI121" t="s">
        <v>111</v>
      </c>
      <c r="CJ121" t="s">
        <v>111</v>
      </c>
      <c r="CK121" t="s">
        <v>111</v>
      </c>
      <c r="CL121" t="e">
        <f>-ALMACEN</f>
        <v>#NAME?</v>
      </c>
      <c r="CM121" t="s">
        <v>135</v>
      </c>
      <c r="CN121" t="s">
        <v>128</v>
      </c>
      <c r="CO121" t="s">
        <v>111</v>
      </c>
      <c r="CP121" t="s">
        <v>111</v>
      </c>
      <c r="CQ121">
        <v>0</v>
      </c>
      <c r="CR121">
        <v>500</v>
      </c>
      <c r="CS121">
        <v>50</v>
      </c>
      <c r="CT121" t="s">
        <v>111</v>
      </c>
      <c r="CU121">
        <v>0</v>
      </c>
      <c r="CV121" t="s">
        <v>111</v>
      </c>
      <c r="CW121" t="s">
        <v>111</v>
      </c>
      <c r="CX121" t="s">
        <v>111</v>
      </c>
      <c r="CY121">
        <v>0</v>
      </c>
      <c r="CZ121" t="s">
        <v>111</v>
      </c>
      <c r="DA121" t="s">
        <v>111</v>
      </c>
      <c r="DB121" t="e">
        <f>-INTERNO</f>
        <v>#NAME?</v>
      </c>
      <c r="DC121" t="s">
        <v>111</v>
      </c>
    </row>
    <row r="122" spans="1:107">
      <c r="A122">
        <v>1306</v>
      </c>
      <c r="B122" t="s">
        <v>107</v>
      </c>
      <c r="C122" t="s">
        <v>428</v>
      </c>
      <c r="D122" t="s">
        <v>559</v>
      </c>
      <c r="E122" t="s">
        <v>560</v>
      </c>
      <c r="F122" t="s">
        <v>561</v>
      </c>
      <c r="G122" t="s">
        <v>469</v>
      </c>
      <c r="H122">
        <v>1.4</v>
      </c>
      <c r="I122">
        <v>57</v>
      </c>
      <c r="J122">
        <v>0</v>
      </c>
      <c r="K122">
        <v>0</v>
      </c>
      <c r="L122" t="s">
        <v>112</v>
      </c>
      <c r="M122" t="s">
        <v>118</v>
      </c>
      <c r="N122">
        <v>39</v>
      </c>
      <c r="O122">
        <v>2</v>
      </c>
      <c r="P122" t="s">
        <v>138</v>
      </c>
      <c r="Q122">
        <v>41.7</v>
      </c>
      <c r="R122">
        <v>0</v>
      </c>
      <c r="S122">
        <v>0</v>
      </c>
      <c r="T122">
        <v>5</v>
      </c>
      <c r="U122" s="1" t="s">
        <v>562</v>
      </c>
      <c r="V122">
        <v>25</v>
      </c>
      <c r="W122">
        <v>0</v>
      </c>
      <c r="X122">
        <v>7</v>
      </c>
      <c r="Y122">
        <v>0</v>
      </c>
      <c r="Z122" t="s">
        <v>288</v>
      </c>
      <c r="AA122">
        <v>1.8</v>
      </c>
      <c r="AB122" t="s">
        <v>111</v>
      </c>
      <c r="AC122">
        <v>0</v>
      </c>
      <c r="AD122" t="s">
        <v>416</v>
      </c>
      <c r="AE122">
        <v>0</v>
      </c>
      <c r="AF122">
        <v>0</v>
      </c>
      <c r="AG122" t="s">
        <v>111</v>
      </c>
      <c r="AH122" t="s">
        <v>113</v>
      </c>
      <c r="AI122" t="s">
        <v>111</v>
      </c>
      <c r="AJ122" t="s">
        <v>111</v>
      </c>
      <c r="AK122" t="s">
        <v>111</v>
      </c>
      <c r="AL122" t="s">
        <v>111</v>
      </c>
      <c r="AM122">
        <v>0</v>
      </c>
      <c r="AN122">
        <v>0</v>
      </c>
      <c r="AO122">
        <v>0</v>
      </c>
      <c r="AP122" t="s">
        <v>111</v>
      </c>
      <c r="AQ122" t="s">
        <v>111</v>
      </c>
      <c r="AR122" t="s">
        <v>111</v>
      </c>
      <c r="AS122" t="s">
        <v>111</v>
      </c>
      <c r="AT122" t="s">
        <v>111</v>
      </c>
      <c r="AU122" t="s">
        <v>111</v>
      </c>
      <c r="AV122" t="s">
        <v>111</v>
      </c>
      <c r="AW122" t="s">
        <v>111</v>
      </c>
      <c r="AX122" t="s">
        <v>111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111</v>
      </c>
      <c r="BE122" t="s">
        <v>111</v>
      </c>
      <c r="BF122" t="s">
        <v>111</v>
      </c>
      <c r="BG122" t="s">
        <v>111</v>
      </c>
      <c r="BH122" t="s">
        <v>111</v>
      </c>
      <c r="BI122" t="s">
        <v>111</v>
      </c>
      <c r="BJ122" t="s">
        <v>111</v>
      </c>
      <c r="BK122" t="s">
        <v>111</v>
      </c>
      <c r="BL122" t="s">
        <v>111</v>
      </c>
      <c r="BM122" t="s">
        <v>111</v>
      </c>
      <c r="BN122" t="s">
        <v>111</v>
      </c>
      <c r="BO122" t="s">
        <v>111</v>
      </c>
      <c r="BP122" t="s">
        <v>111</v>
      </c>
      <c r="BQ122" t="s">
        <v>111</v>
      </c>
      <c r="BR122" t="s">
        <v>111</v>
      </c>
      <c r="BS122" t="s">
        <v>111</v>
      </c>
      <c r="BT122" t="s">
        <v>111</v>
      </c>
      <c r="BU122" t="s">
        <v>111</v>
      </c>
      <c r="BV122" t="s">
        <v>111</v>
      </c>
      <c r="BW122" t="s">
        <v>111</v>
      </c>
      <c r="BX122" t="s">
        <v>111</v>
      </c>
      <c r="BY122" t="s">
        <v>111</v>
      </c>
      <c r="BZ122" t="s">
        <v>111</v>
      </c>
      <c r="CA122" t="s">
        <v>111</v>
      </c>
      <c r="CB122" t="s">
        <v>111</v>
      </c>
      <c r="CC122" t="s">
        <v>111</v>
      </c>
      <c r="CD122" t="s">
        <v>111</v>
      </c>
      <c r="CE122" t="s">
        <v>111</v>
      </c>
      <c r="CF122" t="s">
        <v>111</v>
      </c>
      <c r="CG122" t="s">
        <v>111</v>
      </c>
      <c r="CH122" t="s">
        <v>111</v>
      </c>
      <c r="CI122" t="s">
        <v>111</v>
      </c>
      <c r="CJ122" t="s">
        <v>111</v>
      </c>
      <c r="CK122" t="s">
        <v>111</v>
      </c>
      <c r="CL122" t="s">
        <v>111</v>
      </c>
      <c r="CM122" t="s">
        <v>135</v>
      </c>
      <c r="CN122" t="s">
        <v>113</v>
      </c>
      <c r="CO122" t="s">
        <v>111</v>
      </c>
      <c r="CP122" t="s">
        <v>563</v>
      </c>
      <c r="CQ122">
        <v>45</v>
      </c>
      <c r="CR122">
        <v>2000</v>
      </c>
      <c r="CS122">
        <v>50</v>
      </c>
      <c r="CT122" s="1" t="s">
        <v>564</v>
      </c>
      <c r="CU122">
        <v>0</v>
      </c>
      <c r="CV122" t="s">
        <v>111</v>
      </c>
      <c r="CW122" t="s">
        <v>111</v>
      </c>
      <c r="CX122" t="s">
        <v>111</v>
      </c>
      <c r="CY122">
        <v>0</v>
      </c>
      <c r="CZ122" t="s">
        <v>111</v>
      </c>
      <c r="DA122" t="s">
        <v>111</v>
      </c>
      <c r="DB122" t="s">
        <v>111</v>
      </c>
      <c r="DC122" t="s">
        <v>111</v>
      </c>
    </row>
    <row r="123" spans="1:107">
      <c r="A123">
        <v>1316</v>
      </c>
      <c r="B123" t="s">
        <v>107</v>
      </c>
      <c r="C123" t="s">
        <v>114</v>
      </c>
      <c r="D123" t="s">
        <v>476</v>
      </c>
      <c r="E123" t="s">
        <v>565</v>
      </c>
      <c r="F123" t="s">
        <v>358</v>
      </c>
      <c r="G123" t="s">
        <v>469</v>
      </c>
      <c r="H123">
        <v>2.7</v>
      </c>
      <c r="I123">
        <v>35.5</v>
      </c>
      <c r="J123">
        <v>0</v>
      </c>
      <c r="K123">
        <v>0</v>
      </c>
      <c r="L123" t="s">
        <v>117</v>
      </c>
      <c r="M123" t="s">
        <v>118</v>
      </c>
      <c r="N123">
        <v>39</v>
      </c>
      <c r="O123">
        <v>1</v>
      </c>
      <c r="P123" t="s">
        <v>138</v>
      </c>
      <c r="Q123">
        <v>37.5</v>
      </c>
      <c r="R123">
        <v>0</v>
      </c>
      <c r="S123">
        <v>0</v>
      </c>
      <c r="T123">
        <v>3</v>
      </c>
      <c r="U123" s="1" t="s">
        <v>566</v>
      </c>
      <c r="V123">
        <v>0</v>
      </c>
      <c r="W123">
        <v>25</v>
      </c>
      <c r="X123">
        <v>8</v>
      </c>
      <c r="Y123">
        <v>0</v>
      </c>
      <c r="Z123" t="s">
        <v>111</v>
      </c>
      <c r="AA123">
        <v>0</v>
      </c>
      <c r="AB123" t="s">
        <v>479</v>
      </c>
      <c r="AC123">
        <v>8</v>
      </c>
      <c r="AD123" t="s">
        <v>427</v>
      </c>
      <c r="AE123">
        <v>0</v>
      </c>
      <c r="AF123">
        <v>0</v>
      </c>
      <c r="AG123" t="s">
        <v>111</v>
      </c>
      <c r="AH123" t="s">
        <v>113</v>
      </c>
      <c r="AI123" t="s">
        <v>111</v>
      </c>
      <c r="AJ123" t="s">
        <v>111</v>
      </c>
      <c r="AK123" t="s">
        <v>111</v>
      </c>
      <c r="AL123" t="s">
        <v>111</v>
      </c>
      <c r="AM123">
        <v>0</v>
      </c>
      <c r="AN123">
        <v>0</v>
      </c>
      <c r="AO123">
        <v>0</v>
      </c>
      <c r="AP123" t="s">
        <v>111</v>
      </c>
      <c r="AQ123" t="s">
        <v>111</v>
      </c>
      <c r="AR123" t="s">
        <v>111</v>
      </c>
      <c r="AS123" t="s">
        <v>111</v>
      </c>
      <c r="AT123" t="s">
        <v>111</v>
      </c>
      <c r="AU123" t="s">
        <v>111</v>
      </c>
      <c r="AV123" t="s">
        <v>111</v>
      </c>
      <c r="AW123" t="s">
        <v>111</v>
      </c>
      <c r="AX123" t="s">
        <v>111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111</v>
      </c>
      <c r="BE123" t="s">
        <v>111</v>
      </c>
      <c r="BF123" t="s">
        <v>111</v>
      </c>
      <c r="BG123" t="s">
        <v>111</v>
      </c>
      <c r="BH123" t="s">
        <v>111</v>
      </c>
      <c r="BI123" t="s">
        <v>111</v>
      </c>
      <c r="BJ123" t="s">
        <v>111</v>
      </c>
      <c r="BK123" t="s">
        <v>111</v>
      </c>
      <c r="BL123" t="s">
        <v>111</v>
      </c>
      <c r="BM123" t="s">
        <v>111</v>
      </c>
      <c r="BN123" t="s">
        <v>111</v>
      </c>
      <c r="BO123" t="s">
        <v>111</v>
      </c>
      <c r="BP123" t="s">
        <v>111</v>
      </c>
      <c r="BQ123" t="s">
        <v>111</v>
      </c>
      <c r="BR123" t="s">
        <v>111</v>
      </c>
      <c r="BS123" t="s">
        <v>111</v>
      </c>
      <c r="BT123" t="s">
        <v>111</v>
      </c>
      <c r="BU123" t="s">
        <v>111</v>
      </c>
      <c r="BV123" t="s">
        <v>111</v>
      </c>
      <c r="BW123" t="s">
        <v>111</v>
      </c>
      <c r="BX123" t="s">
        <v>111</v>
      </c>
      <c r="BY123" t="s">
        <v>111</v>
      </c>
      <c r="BZ123" t="s">
        <v>111</v>
      </c>
      <c r="CA123" t="s">
        <v>111</v>
      </c>
      <c r="CB123" t="s">
        <v>111</v>
      </c>
      <c r="CC123" t="s">
        <v>111</v>
      </c>
      <c r="CD123" t="s">
        <v>111</v>
      </c>
      <c r="CE123" t="s">
        <v>111</v>
      </c>
      <c r="CF123" t="s">
        <v>111</v>
      </c>
      <c r="CG123" t="s">
        <v>111</v>
      </c>
      <c r="CH123" t="s">
        <v>111</v>
      </c>
      <c r="CI123" t="s">
        <v>111</v>
      </c>
      <c r="CJ123" t="s">
        <v>111</v>
      </c>
      <c r="CK123" t="s">
        <v>111</v>
      </c>
      <c r="CL123" t="s">
        <v>111</v>
      </c>
      <c r="CM123" t="s">
        <v>111</v>
      </c>
      <c r="CN123" t="s">
        <v>111</v>
      </c>
      <c r="CO123" t="s">
        <v>111</v>
      </c>
      <c r="CP123" t="s">
        <v>111</v>
      </c>
      <c r="CQ123">
        <v>0</v>
      </c>
      <c r="CR123">
        <v>0</v>
      </c>
      <c r="CS123">
        <v>0</v>
      </c>
      <c r="CT123" t="s">
        <v>111</v>
      </c>
      <c r="CU123">
        <v>0</v>
      </c>
      <c r="CV123" t="s">
        <v>111</v>
      </c>
      <c r="CW123" t="s">
        <v>111</v>
      </c>
      <c r="CX123" t="s">
        <v>111</v>
      </c>
      <c r="CY123">
        <v>0</v>
      </c>
      <c r="CZ123" t="s">
        <v>111</v>
      </c>
      <c r="DA123" t="s">
        <v>111</v>
      </c>
      <c r="DB123" t="s">
        <v>111</v>
      </c>
      <c r="DC123" t="s">
        <v>111</v>
      </c>
    </row>
    <row r="124" spans="1:107">
      <c r="A124">
        <v>1315</v>
      </c>
      <c r="B124" t="s">
        <v>107</v>
      </c>
      <c r="C124" t="s">
        <v>114</v>
      </c>
      <c r="D124" t="s">
        <v>476</v>
      </c>
      <c r="E124" t="s">
        <v>567</v>
      </c>
      <c r="F124" t="s">
        <v>358</v>
      </c>
      <c r="G124" t="s">
        <v>469</v>
      </c>
      <c r="H124">
        <v>2.7</v>
      </c>
      <c r="I124">
        <v>70.3</v>
      </c>
      <c r="J124">
        <v>0</v>
      </c>
      <c r="K124">
        <v>0</v>
      </c>
      <c r="L124" t="s">
        <v>117</v>
      </c>
      <c r="M124" t="s">
        <v>118</v>
      </c>
      <c r="N124">
        <v>39</v>
      </c>
      <c r="O124">
        <v>1</v>
      </c>
      <c r="P124" t="s">
        <v>111</v>
      </c>
      <c r="Q124">
        <v>57.9</v>
      </c>
      <c r="R124">
        <v>0</v>
      </c>
      <c r="S124">
        <v>0</v>
      </c>
      <c r="T124">
        <v>3</v>
      </c>
      <c r="U124" s="1" t="s">
        <v>568</v>
      </c>
      <c r="V124">
        <v>0</v>
      </c>
      <c r="W124">
        <v>25</v>
      </c>
      <c r="X124">
        <v>8</v>
      </c>
      <c r="Y124">
        <v>0</v>
      </c>
      <c r="Z124" t="s">
        <v>111</v>
      </c>
      <c r="AA124">
        <v>0</v>
      </c>
      <c r="AB124" t="s">
        <v>479</v>
      </c>
      <c r="AC124">
        <v>8</v>
      </c>
      <c r="AD124" t="s">
        <v>427</v>
      </c>
      <c r="AE124">
        <v>0</v>
      </c>
      <c r="AF124">
        <v>0</v>
      </c>
      <c r="AG124" t="s">
        <v>111</v>
      </c>
      <c r="AH124" t="s">
        <v>128</v>
      </c>
      <c r="AI124" t="s">
        <v>111</v>
      </c>
      <c r="AJ124" t="s">
        <v>111</v>
      </c>
      <c r="AK124" t="s">
        <v>111</v>
      </c>
      <c r="AL124" t="s">
        <v>111</v>
      </c>
      <c r="AM124">
        <v>0</v>
      </c>
      <c r="AN124">
        <v>0</v>
      </c>
      <c r="AO124">
        <v>0</v>
      </c>
      <c r="AP124" t="s">
        <v>111</v>
      </c>
      <c r="AQ124" t="s">
        <v>111</v>
      </c>
      <c r="AR124" t="s">
        <v>111</v>
      </c>
      <c r="AS124" t="s">
        <v>111</v>
      </c>
      <c r="AT124" t="s">
        <v>111</v>
      </c>
      <c r="AU124" t="s">
        <v>111</v>
      </c>
      <c r="AV124" t="s">
        <v>111</v>
      </c>
      <c r="AW124" t="s">
        <v>111</v>
      </c>
      <c r="AX124" t="s">
        <v>111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111</v>
      </c>
      <c r="BE124" t="s">
        <v>111</v>
      </c>
      <c r="BF124" t="s">
        <v>111</v>
      </c>
      <c r="BG124" t="s">
        <v>111</v>
      </c>
      <c r="BH124" t="s">
        <v>111</v>
      </c>
      <c r="BI124" t="s">
        <v>111</v>
      </c>
      <c r="BJ124" t="s">
        <v>111</v>
      </c>
      <c r="BK124" t="s">
        <v>111</v>
      </c>
      <c r="BL124" t="s">
        <v>111</v>
      </c>
      <c r="BM124" t="s">
        <v>111</v>
      </c>
      <c r="BN124" t="s">
        <v>111</v>
      </c>
      <c r="BO124" t="s">
        <v>111</v>
      </c>
      <c r="BP124" t="s">
        <v>111</v>
      </c>
      <c r="BQ124" t="s">
        <v>111</v>
      </c>
      <c r="BR124" t="s">
        <v>111</v>
      </c>
      <c r="BS124" t="s">
        <v>111</v>
      </c>
      <c r="BT124" t="s">
        <v>111</v>
      </c>
      <c r="BU124" t="s">
        <v>111</v>
      </c>
      <c r="BV124" t="s">
        <v>111</v>
      </c>
      <c r="BW124" t="s">
        <v>111</v>
      </c>
      <c r="BX124" t="s">
        <v>111</v>
      </c>
      <c r="BY124" t="s">
        <v>111</v>
      </c>
      <c r="BZ124" t="s">
        <v>111</v>
      </c>
      <c r="CA124" t="s">
        <v>111</v>
      </c>
      <c r="CB124" t="s">
        <v>111</v>
      </c>
      <c r="CC124" t="s">
        <v>111</v>
      </c>
      <c r="CD124" t="s">
        <v>111</v>
      </c>
      <c r="CE124" t="s">
        <v>111</v>
      </c>
      <c r="CF124" t="s">
        <v>111</v>
      </c>
      <c r="CG124" t="s">
        <v>111</v>
      </c>
      <c r="CH124" t="s">
        <v>111</v>
      </c>
      <c r="CI124" t="s">
        <v>111</v>
      </c>
      <c r="CJ124" t="s">
        <v>111</v>
      </c>
      <c r="CK124" t="s">
        <v>111</v>
      </c>
      <c r="CL124" t="s">
        <v>111</v>
      </c>
      <c r="CM124" t="s">
        <v>111</v>
      </c>
      <c r="CN124" t="s">
        <v>111</v>
      </c>
      <c r="CO124" t="s">
        <v>111</v>
      </c>
      <c r="CP124" t="s">
        <v>111</v>
      </c>
      <c r="CQ124">
        <v>0</v>
      </c>
      <c r="CR124">
        <v>0</v>
      </c>
      <c r="CS124">
        <v>0</v>
      </c>
      <c r="CT124" t="s">
        <v>111</v>
      </c>
      <c r="CU124">
        <v>0</v>
      </c>
      <c r="CV124" t="s">
        <v>111</v>
      </c>
      <c r="CW124" t="s">
        <v>111</v>
      </c>
      <c r="CX124" t="s">
        <v>111</v>
      </c>
      <c r="CY124">
        <v>0</v>
      </c>
      <c r="CZ124" t="s">
        <v>111</v>
      </c>
      <c r="DA124" t="s">
        <v>111</v>
      </c>
      <c r="DB124" t="s">
        <v>111</v>
      </c>
      <c r="DC124" t="s">
        <v>111</v>
      </c>
    </row>
    <row r="125" spans="1:107">
      <c r="A125">
        <v>1314</v>
      </c>
      <c r="B125" t="s">
        <v>107</v>
      </c>
      <c r="C125" t="s">
        <v>114</v>
      </c>
      <c r="D125" t="s">
        <v>476</v>
      </c>
      <c r="E125" t="s">
        <v>569</v>
      </c>
      <c r="F125" t="s">
        <v>358</v>
      </c>
      <c r="G125" t="s">
        <v>469</v>
      </c>
      <c r="H125">
        <v>2.7</v>
      </c>
      <c r="I125">
        <v>70.3</v>
      </c>
      <c r="J125">
        <v>0</v>
      </c>
      <c r="K125">
        <v>0</v>
      </c>
      <c r="L125" t="s">
        <v>117</v>
      </c>
      <c r="M125" t="s">
        <v>118</v>
      </c>
      <c r="N125">
        <v>39</v>
      </c>
      <c r="O125">
        <v>1</v>
      </c>
      <c r="P125" t="s">
        <v>111</v>
      </c>
      <c r="Q125">
        <v>57.9</v>
      </c>
      <c r="R125">
        <v>0</v>
      </c>
      <c r="S125">
        <v>0</v>
      </c>
      <c r="T125">
        <v>3</v>
      </c>
      <c r="U125" s="1" t="s">
        <v>570</v>
      </c>
      <c r="V125">
        <v>0</v>
      </c>
      <c r="W125">
        <v>25</v>
      </c>
      <c r="X125">
        <v>8</v>
      </c>
      <c r="Y125">
        <v>0</v>
      </c>
      <c r="Z125" t="s">
        <v>111</v>
      </c>
      <c r="AA125">
        <v>0</v>
      </c>
      <c r="AB125" t="s">
        <v>479</v>
      </c>
      <c r="AC125">
        <v>8</v>
      </c>
      <c r="AD125" t="s">
        <v>427</v>
      </c>
      <c r="AE125">
        <v>0</v>
      </c>
      <c r="AF125">
        <v>0</v>
      </c>
      <c r="AG125" t="s">
        <v>111</v>
      </c>
      <c r="AH125" t="s">
        <v>128</v>
      </c>
      <c r="AI125" t="s">
        <v>111</v>
      </c>
      <c r="AJ125" t="s">
        <v>111</v>
      </c>
      <c r="AK125" t="s">
        <v>111</v>
      </c>
      <c r="AL125" t="s">
        <v>111</v>
      </c>
      <c r="AM125">
        <v>0</v>
      </c>
      <c r="AN125">
        <v>0</v>
      </c>
      <c r="AO125">
        <v>0</v>
      </c>
      <c r="AP125" t="s">
        <v>111</v>
      </c>
      <c r="AQ125" t="s">
        <v>111</v>
      </c>
      <c r="AR125" t="s">
        <v>111</v>
      </c>
      <c r="AS125" t="s">
        <v>111</v>
      </c>
      <c r="AT125" t="s">
        <v>111</v>
      </c>
      <c r="AU125" t="s">
        <v>111</v>
      </c>
      <c r="AV125" t="s">
        <v>111</v>
      </c>
      <c r="AW125" t="s">
        <v>111</v>
      </c>
      <c r="AX125" t="s">
        <v>111</v>
      </c>
      <c r="AY125" t="s">
        <v>111</v>
      </c>
      <c r="AZ125" t="s">
        <v>111</v>
      </c>
      <c r="BA125" t="s">
        <v>111</v>
      </c>
      <c r="BB125" t="s">
        <v>111</v>
      </c>
      <c r="BC125" t="s">
        <v>111</v>
      </c>
      <c r="BD125" t="s">
        <v>111</v>
      </c>
      <c r="BE125" t="s">
        <v>111</v>
      </c>
      <c r="BF125" t="s">
        <v>111</v>
      </c>
      <c r="BG125" t="s">
        <v>111</v>
      </c>
      <c r="BH125" t="s">
        <v>111</v>
      </c>
      <c r="BI125" t="s">
        <v>111</v>
      </c>
      <c r="BJ125" t="s">
        <v>111</v>
      </c>
      <c r="BK125" t="s">
        <v>111</v>
      </c>
      <c r="BL125" t="s">
        <v>111</v>
      </c>
      <c r="BM125" t="s">
        <v>111</v>
      </c>
      <c r="BN125" t="s">
        <v>111</v>
      </c>
      <c r="BO125" t="s">
        <v>111</v>
      </c>
      <c r="BP125" t="s">
        <v>111</v>
      </c>
      <c r="BQ125" t="s">
        <v>111</v>
      </c>
      <c r="BR125" t="s">
        <v>111</v>
      </c>
      <c r="BS125" t="s">
        <v>111</v>
      </c>
      <c r="BT125" t="s">
        <v>111</v>
      </c>
      <c r="BU125" t="s">
        <v>111</v>
      </c>
      <c r="BV125" t="s">
        <v>111</v>
      </c>
      <c r="BW125" t="s">
        <v>111</v>
      </c>
      <c r="BX125" t="s">
        <v>111</v>
      </c>
      <c r="BY125" t="s">
        <v>111</v>
      </c>
      <c r="BZ125" t="s">
        <v>111</v>
      </c>
      <c r="CA125" t="s">
        <v>111</v>
      </c>
      <c r="CB125" t="s">
        <v>111</v>
      </c>
      <c r="CC125" t="s">
        <v>111</v>
      </c>
      <c r="CD125" t="s">
        <v>111</v>
      </c>
      <c r="CE125" t="s">
        <v>111</v>
      </c>
      <c r="CF125" t="s">
        <v>111</v>
      </c>
      <c r="CG125" t="s">
        <v>111</v>
      </c>
      <c r="CH125" t="s">
        <v>111</v>
      </c>
      <c r="CI125" t="s">
        <v>111</v>
      </c>
      <c r="CJ125" t="s">
        <v>111</v>
      </c>
      <c r="CK125" t="s">
        <v>111</v>
      </c>
      <c r="CL125" t="s">
        <v>111</v>
      </c>
      <c r="CM125" t="s">
        <v>111</v>
      </c>
      <c r="CN125" t="s">
        <v>111</v>
      </c>
      <c r="CO125" t="s">
        <v>111</v>
      </c>
      <c r="CP125" t="s">
        <v>111</v>
      </c>
      <c r="CQ125">
        <v>0</v>
      </c>
      <c r="CR125">
        <v>0</v>
      </c>
      <c r="CS125">
        <v>0</v>
      </c>
      <c r="CT125" t="s">
        <v>111</v>
      </c>
      <c r="CU125">
        <v>0</v>
      </c>
      <c r="CV125" t="s">
        <v>111</v>
      </c>
      <c r="CW125" t="s">
        <v>111</v>
      </c>
      <c r="CX125" t="s">
        <v>111</v>
      </c>
      <c r="CY125">
        <v>0</v>
      </c>
      <c r="CZ125" t="s">
        <v>111</v>
      </c>
      <c r="DA125" t="s">
        <v>111</v>
      </c>
      <c r="DB125" t="s">
        <v>111</v>
      </c>
      <c r="DC125" t="s">
        <v>111</v>
      </c>
    </row>
    <row r="126" spans="1:107">
      <c r="A126">
        <v>1323</v>
      </c>
      <c r="B126" t="s">
        <v>107</v>
      </c>
      <c r="C126" t="s">
        <v>108</v>
      </c>
      <c r="D126" t="s">
        <v>571</v>
      </c>
      <c r="E126" t="s">
        <v>572</v>
      </c>
      <c r="F126" t="s">
        <v>157</v>
      </c>
      <c r="G126" t="s">
        <v>469</v>
      </c>
      <c r="H126">
        <v>4</v>
      </c>
      <c r="I126">
        <v>45.7</v>
      </c>
      <c r="J126">
        <v>0</v>
      </c>
      <c r="K126">
        <v>0</v>
      </c>
      <c r="L126" t="s">
        <v>112</v>
      </c>
      <c r="M126" t="s">
        <v>111</v>
      </c>
      <c r="N126">
        <v>0</v>
      </c>
      <c r="O126">
        <v>0</v>
      </c>
      <c r="P126" t="s">
        <v>111</v>
      </c>
      <c r="Q126">
        <v>32.5</v>
      </c>
      <c r="R126">
        <v>0</v>
      </c>
      <c r="S126">
        <v>0</v>
      </c>
      <c r="T126">
        <v>0</v>
      </c>
      <c r="U126" t="e">
        <f>-DESTINO ALMACEN</f>
        <v>#NAME?</v>
      </c>
      <c r="V126">
        <v>0</v>
      </c>
      <c r="W126">
        <v>25</v>
      </c>
      <c r="X126">
        <v>50</v>
      </c>
      <c r="Y126">
        <v>0</v>
      </c>
      <c r="Z126" t="s">
        <v>111</v>
      </c>
      <c r="AA126">
        <v>0</v>
      </c>
      <c r="AB126" t="s">
        <v>111</v>
      </c>
      <c r="AC126">
        <v>0</v>
      </c>
      <c r="AD126" t="s">
        <v>111</v>
      </c>
      <c r="AE126">
        <v>0</v>
      </c>
      <c r="AF126">
        <v>0</v>
      </c>
      <c r="AG126" t="s">
        <v>111</v>
      </c>
      <c r="AH126" t="s">
        <v>111</v>
      </c>
      <c r="AI126" t="s">
        <v>111</v>
      </c>
      <c r="AJ126" t="s">
        <v>111</v>
      </c>
      <c r="AK126" t="s">
        <v>111</v>
      </c>
      <c r="AL126" t="s">
        <v>111</v>
      </c>
      <c r="AM126">
        <v>0</v>
      </c>
      <c r="AN126">
        <v>0</v>
      </c>
      <c r="AO126">
        <v>0</v>
      </c>
      <c r="AP126" t="s">
        <v>111</v>
      </c>
      <c r="AQ126" t="s">
        <v>111</v>
      </c>
      <c r="AR126" t="s">
        <v>111</v>
      </c>
      <c r="AS126" t="s">
        <v>111</v>
      </c>
      <c r="AT126" t="s">
        <v>111</v>
      </c>
      <c r="AU126" t="s">
        <v>111</v>
      </c>
      <c r="AV126" t="s">
        <v>111</v>
      </c>
      <c r="AW126" t="s">
        <v>111</v>
      </c>
      <c r="AX126" t="s">
        <v>111</v>
      </c>
      <c r="AY126" t="s">
        <v>111</v>
      </c>
      <c r="AZ126" t="s">
        <v>111</v>
      </c>
      <c r="BA126" t="s">
        <v>111</v>
      </c>
      <c r="BB126" t="s">
        <v>111</v>
      </c>
      <c r="BC126" t="s">
        <v>111</v>
      </c>
      <c r="BD126" t="s">
        <v>111</v>
      </c>
      <c r="BE126" t="s">
        <v>111</v>
      </c>
      <c r="BF126" t="s">
        <v>111</v>
      </c>
      <c r="BG126" t="s">
        <v>111</v>
      </c>
      <c r="BH126" t="s">
        <v>111</v>
      </c>
      <c r="BI126" t="s">
        <v>111</v>
      </c>
      <c r="BJ126" t="s">
        <v>111</v>
      </c>
      <c r="BK126" t="s">
        <v>111</v>
      </c>
      <c r="BL126" t="s">
        <v>111</v>
      </c>
      <c r="BM126" t="s">
        <v>111</v>
      </c>
      <c r="BN126" t="s">
        <v>111</v>
      </c>
      <c r="BO126" t="s">
        <v>111</v>
      </c>
      <c r="BP126" t="s">
        <v>111</v>
      </c>
      <c r="BQ126" t="s">
        <v>111</v>
      </c>
      <c r="BR126" t="s">
        <v>111</v>
      </c>
      <c r="BS126" t="s">
        <v>111</v>
      </c>
      <c r="BT126" t="s">
        <v>111</v>
      </c>
      <c r="BU126" t="s">
        <v>111</v>
      </c>
      <c r="BV126" t="s">
        <v>111</v>
      </c>
      <c r="BW126" t="s">
        <v>111</v>
      </c>
      <c r="BX126" t="s">
        <v>111</v>
      </c>
      <c r="BY126" t="s">
        <v>111</v>
      </c>
      <c r="BZ126" t="s">
        <v>111</v>
      </c>
      <c r="CA126" t="s">
        <v>111</v>
      </c>
      <c r="CB126" t="s">
        <v>111</v>
      </c>
      <c r="CC126" t="s">
        <v>111</v>
      </c>
      <c r="CD126" t="s">
        <v>111</v>
      </c>
      <c r="CE126" t="s">
        <v>111</v>
      </c>
      <c r="CF126" t="s">
        <v>111</v>
      </c>
      <c r="CG126" t="s">
        <v>111</v>
      </c>
      <c r="CH126" t="s">
        <v>111</v>
      </c>
      <c r="CI126" t="s">
        <v>111</v>
      </c>
      <c r="CJ126" t="s">
        <v>111</v>
      </c>
      <c r="CK126" t="s">
        <v>111</v>
      </c>
      <c r="CL126" t="s">
        <v>111</v>
      </c>
      <c r="CM126" t="s">
        <v>111</v>
      </c>
      <c r="CN126" t="s">
        <v>111</v>
      </c>
      <c r="CO126" t="s">
        <v>111</v>
      </c>
      <c r="CP126" t="s">
        <v>111</v>
      </c>
      <c r="CQ126">
        <v>0</v>
      </c>
      <c r="CR126">
        <v>0</v>
      </c>
      <c r="CS126">
        <v>0</v>
      </c>
      <c r="CT126" t="s">
        <v>111</v>
      </c>
      <c r="CU126">
        <v>0</v>
      </c>
      <c r="CV126" t="s">
        <v>111</v>
      </c>
      <c r="CW126" t="s">
        <v>111</v>
      </c>
      <c r="CX126" t="s">
        <v>111</v>
      </c>
      <c r="CY126">
        <v>0</v>
      </c>
      <c r="CZ126" t="s">
        <v>111</v>
      </c>
      <c r="DA126" t="s">
        <v>111</v>
      </c>
      <c r="DB126" t="s">
        <v>111</v>
      </c>
      <c r="DC126" t="s">
        <v>111</v>
      </c>
    </row>
    <row r="127" spans="1:107">
      <c r="A127">
        <v>1263</v>
      </c>
      <c r="B127" t="s">
        <v>107</v>
      </c>
      <c r="C127" t="s">
        <v>504</v>
      </c>
      <c r="D127" t="s">
        <v>573</v>
      </c>
      <c r="E127" t="s">
        <v>574</v>
      </c>
      <c r="F127" t="s">
        <v>431</v>
      </c>
      <c r="G127" t="s">
        <v>469</v>
      </c>
      <c r="H127">
        <v>2.4</v>
      </c>
      <c r="I127">
        <v>28</v>
      </c>
      <c r="J127">
        <v>0</v>
      </c>
      <c r="K127">
        <v>0</v>
      </c>
      <c r="L127" t="s">
        <v>178</v>
      </c>
      <c r="M127" t="s">
        <v>118</v>
      </c>
      <c r="N127">
        <v>40</v>
      </c>
      <c r="O127">
        <v>1</v>
      </c>
      <c r="P127" t="s">
        <v>138</v>
      </c>
      <c r="Q127">
        <v>38.4</v>
      </c>
      <c r="R127">
        <v>0</v>
      </c>
      <c r="S127">
        <v>0</v>
      </c>
      <c r="T127">
        <v>5</v>
      </c>
      <c r="U127" s="1" t="s">
        <v>575</v>
      </c>
      <c r="V127">
        <v>0</v>
      </c>
      <c r="W127">
        <v>25</v>
      </c>
      <c r="X127">
        <v>8</v>
      </c>
      <c r="Y127">
        <v>0</v>
      </c>
      <c r="Z127" t="s">
        <v>111</v>
      </c>
      <c r="AA127">
        <v>0</v>
      </c>
      <c r="AB127" t="s">
        <v>576</v>
      </c>
      <c r="AC127">
        <v>8</v>
      </c>
      <c r="AD127" t="s">
        <v>416</v>
      </c>
      <c r="AE127">
        <v>0</v>
      </c>
      <c r="AF127">
        <v>0</v>
      </c>
      <c r="AG127" t="s">
        <v>111</v>
      </c>
      <c r="AH127" t="s">
        <v>113</v>
      </c>
      <c r="AI127" t="s">
        <v>111</v>
      </c>
      <c r="AJ127" t="s">
        <v>111</v>
      </c>
      <c r="AK127" t="s">
        <v>111</v>
      </c>
      <c r="AL127" t="s">
        <v>111</v>
      </c>
      <c r="AM127">
        <v>0</v>
      </c>
      <c r="AN127">
        <v>0</v>
      </c>
      <c r="AO127">
        <v>0</v>
      </c>
      <c r="AP127" t="s">
        <v>111</v>
      </c>
      <c r="AQ127" t="s">
        <v>111</v>
      </c>
      <c r="AR127" t="s">
        <v>111</v>
      </c>
      <c r="AS127" t="s">
        <v>111</v>
      </c>
      <c r="AT127" t="s">
        <v>111</v>
      </c>
      <c r="AU127" t="s">
        <v>111</v>
      </c>
      <c r="AV127" t="s">
        <v>111</v>
      </c>
      <c r="AW127" t="s">
        <v>111</v>
      </c>
      <c r="AX127" t="s">
        <v>111</v>
      </c>
      <c r="AY127" t="s">
        <v>111</v>
      </c>
      <c r="AZ127" t="s">
        <v>111</v>
      </c>
      <c r="BA127" t="s">
        <v>111</v>
      </c>
      <c r="BB127" t="s">
        <v>111</v>
      </c>
      <c r="BC127" t="s">
        <v>111</v>
      </c>
      <c r="BD127" t="s">
        <v>111</v>
      </c>
      <c r="BE127" t="s">
        <v>111</v>
      </c>
      <c r="BF127" t="s">
        <v>111</v>
      </c>
      <c r="BG127" t="s">
        <v>111</v>
      </c>
      <c r="BH127" t="s">
        <v>111</v>
      </c>
      <c r="BI127" t="s">
        <v>111</v>
      </c>
      <c r="BJ127" t="s">
        <v>111</v>
      </c>
      <c r="BK127" t="s">
        <v>111</v>
      </c>
      <c r="BL127" t="s">
        <v>111</v>
      </c>
      <c r="BM127" t="s">
        <v>111</v>
      </c>
      <c r="BN127" t="s">
        <v>111</v>
      </c>
      <c r="BO127" t="s">
        <v>111</v>
      </c>
      <c r="BP127" t="s">
        <v>111</v>
      </c>
      <c r="BQ127" t="s">
        <v>111</v>
      </c>
      <c r="BR127" t="s">
        <v>111</v>
      </c>
      <c r="BS127" t="s">
        <v>111</v>
      </c>
      <c r="BT127" t="s">
        <v>111</v>
      </c>
      <c r="BU127" t="s">
        <v>111</v>
      </c>
      <c r="BV127" t="s">
        <v>111</v>
      </c>
      <c r="BW127" t="s">
        <v>111</v>
      </c>
      <c r="BX127" t="s">
        <v>111</v>
      </c>
      <c r="BY127" t="s">
        <v>111</v>
      </c>
      <c r="BZ127" t="s">
        <v>111</v>
      </c>
      <c r="CA127" t="s">
        <v>111</v>
      </c>
      <c r="CB127" t="s">
        <v>111</v>
      </c>
      <c r="CC127" t="s">
        <v>111</v>
      </c>
      <c r="CD127" t="s">
        <v>111</v>
      </c>
      <c r="CE127" t="s">
        <v>111</v>
      </c>
      <c r="CF127" t="s">
        <v>111</v>
      </c>
      <c r="CG127" t="s">
        <v>111</v>
      </c>
      <c r="CH127" t="s">
        <v>111</v>
      </c>
      <c r="CI127" t="s">
        <v>111</v>
      </c>
      <c r="CJ127" t="s">
        <v>111</v>
      </c>
      <c r="CK127" t="s">
        <v>111</v>
      </c>
      <c r="CL127" t="e">
        <f>-SELLADO</f>
        <v>#NAME?</v>
      </c>
      <c r="CM127" t="s">
        <v>438</v>
      </c>
      <c r="CN127" t="s">
        <v>113</v>
      </c>
      <c r="CO127" t="s">
        <v>111</v>
      </c>
      <c r="CP127" t="e">
        <f>-MUESTRA</f>
        <v>#NAME?</v>
      </c>
      <c r="CQ127">
        <v>76</v>
      </c>
      <c r="CR127">
        <v>4000</v>
      </c>
      <c r="CS127">
        <v>200</v>
      </c>
      <c r="CT127" t="e">
        <f>-ALMACEN</f>
        <v>#NAME?</v>
      </c>
      <c r="CU127">
        <v>0</v>
      </c>
      <c r="CV127" t="s">
        <v>111</v>
      </c>
      <c r="CW127" t="s">
        <v>111</v>
      </c>
      <c r="CX127" t="s">
        <v>111</v>
      </c>
      <c r="CY127">
        <v>0</v>
      </c>
      <c r="CZ127" t="s">
        <v>111</v>
      </c>
      <c r="DA127" t="s">
        <v>111</v>
      </c>
      <c r="DB127" t="s">
        <v>111</v>
      </c>
      <c r="DC127" t="s">
        <v>111</v>
      </c>
    </row>
    <row r="128" spans="1:107">
      <c r="A128">
        <v>1267</v>
      </c>
      <c r="B128" t="s">
        <v>107</v>
      </c>
      <c r="C128" t="s">
        <v>180</v>
      </c>
      <c r="D128" t="s">
        <v>577</v>
      </c>
      <c r="E128" t="s">
        <v>578</v>
      </c>
      <c r="F128" t="s">
        <v>192</v>
      </c>
      <c r="G128" t="s">
        <v>469</v>
      </c>
      <c r="H128">
        <v>1.4</v>
      </c>
      <c r="I128">
        <v>21.2</v>
      </c>
      <c r="J128">
        <v>0</v>
      </c>
      <c r="K128">
        <v>0</v>
      </c>
      <c r="L128" t="s">
        <v>112</v>
      </c>
      <c r="M128" t="s">
        <v>111</v>
      </c>
      <c r="N128">
        <v>0</v>
      </c>
      <c r="O128">
        <v>0</v>
      </c>
      <c r="P128" t="s">
        <v>138</v>
      </c>
      <c r="Q128">
        <v>18.600000000000001</v>
      </c>
      <c r="R128">
        <v>0</v>
      </c>
      <c r="S128">
        <v>0</v>
      </c>
      <c r="T128">
        <v>5</v>
      </c>
      <c r="U128" s="1" t="s">
        <v>579</v>
      </c>
      <c r="V128">
        <v>0</v>
      </c>
      <c r="W128">
        <v>25</v>
      </c>
      <c r="X128">
        <v>8</v>
      </c>
      <c r="Y128">
        <v>0</v>
      </c>
      <c r="Z128" t="s">
        <v>111</v>
      </c>
      <c r="AA128">
        <v>0</v>
      </c>
      <c r="AB128" t="s">
        <v>111</v>
      </c>
      <c r="AC128">
        <v>0</v>
      </c>
      <c r="AD128" t="s">
        <v>111</v>
      </c>
      <c r="AE128">
        <v>0</v>
      </c>
      <c r="AF128">
        <v>0</v>
      </c>
      <c r="AG128" t="s">
        <v>111</v>
      </c>
      <c r="AH128" t="s">
        <v>111</v>
      </c>
      <c r="AI128" t="s">
        <v>111</v>
      </c>
      <c r="AJ128" t="s">
        <v>111</v>
      </c>
      <c r="AK128" t="s">
        <v>111</v>
      </c>
      <c r="AL128" t="s">
        <v>111</v>
      </c>
      <c r="AM128">
        <v>0</v>
      </c>
      <c r="AN128">
        <v>0</v>
      </c>
      <c r="AO128">
        <v>0</v>
      </c>
      <c r="AP128" t="s">
        <v>111</v>
      </c>
      <c r="AQ128" t="s">
        <v>111</v>
      </c>
      <c r="AR128" t="s">
        <v>111</v>
      </c>
      <c r="AS128" t="s">
        <v>111</v>
      </c>
      <c r="AT128" t="s">
        <v>111</v>
      </c>
      <c r="AU128" t="s">
        <v>111</v>
      </c>
      <c r="AV128" t="s">
        <v>111</v>
      </c>
      <c r="AW128" t="s">
        <v>111</v>
      </c>
      <c r="AX128" t="s">
        <v>111</v>
      </c>
      <c r="AY128" t="s">
        <v>111</v>
      </c>
      <c r="AZ128" t="s">
        <v>111</v>
      </c>
      <c r="BA128" t="s">
        <v>111</v>
      </c>
      <c r="BB128" t="s">
        <v>111</v>
      </c>
      <c r="BC128" t="s">
        <v>111</v>
      </c>
      <c r="BD128" t="s">
        <v>111</v>
      </c>
      <c r="BE128" t="s">
        <v>111</v>
      </c>
      <c r="BF128" t="s">
        <v>111</v>
      </c>
      <c r="BG128" t="s">
        <v>111</v>
      </c>
      <c r="BH128" t="s">
        <v>111</v>
      </c>
      <c r="BI128" t="s">
        <v>111</v>
      </c>
      <c r="BJ128" t="s">
        <v>111</v>
      </c>
      <c r="BK128" t="s">
        <v>111</v>
      </c>
      <c r="BL128" t="s">
        <v>111</v>
      </c>
      <c r="BM128" t="s">
        <v>111</v>
      </c>
      <c r="BN128" t="s">
        <v>111</v>
      </c>
      <c r="BO128" t="s">
        <v>111</v>
      </c>
      <c r="BP128" t="s">
        <v>111</v>
      </c>
      <c r="BQ128" t="s">
        <v>111</v>
      </c>
      <c r="BR128" t="s">
        <v>111</v>
      </c>
      <c r="BS128" t="s">
        <v>111</v>
      </c>
      <c r="BT128" t="s">
        <v>111</v>
      </c>
      <c r="BU128" t="s">
        <v>111</v>
      </c>
      <c r="BV128" t="s">
        <v>111</v>
      </c>
      <c r="BW128" t="s">
        <v>111</v>
      </c>
      <c r="BX128" t="s">
        <v>111</v>
      </c>
      <c r="BY128" t="s">
        <v>111</v>
      </c>
      <c r="BZ128" t="s">
        <v>111</v>
      </c>
      <c r="CA128" t="s">
        <v>111</v>
      </c>
      <c r="CB128" t="s">
        <v>111</v>
      </c>
      <c r="CC128" t="s">
        <v>111</v>
      </c>
      <c r="CD128" t="s">
        <v>111</v>
      </c>
      <c r="CE128" t="s">
        <v>111</v>
      </c>
      <c r="CF128" t="s">
        <v>111</v>
      </c>
      <c r="CG128" t="s">
        <v>111</v>
      </c>
      <c r="CH128" t="s">
        <v>111</v>
      </c>
      <c r="CI128" t="s">
        <v>111</v>
      </c>
      <c r="CJ128" t="s">
        <v>111</v>
      </c>
      <c r="CK128" t="s">
        <v>111</v>
      </c>
      <c r="CL128" t="s">
        <v>111</v>
      </c>
      <c r="CM128">
        <v>450</v>
      </c>
      <c r="CN128" t="s">
        <v>113</v>
      </c>
      <c r="CO128" t="s">
        <v>111</v>
      </c>
      <c r="CP128" t="s">
        <v>111</v>
      </c>
      <c r="CQ128">
        <v>0</v>
      </c>
      <c r="CR128">
        <v>10000</v>
      </c>
      <c r="CS128">
        <v>250</v>
      </c>
      <c r="CT128" t="e">
        <f>-DESTINO SELLADO</f>
        <v>#NAME?</v>
      </c>
      <c r="CU128">
        <v>0</v>
      </c>
      <c r="CV128" t="s">
        <v>111</v>
      </c>
      <c r="CW128" t="s">
        <v>111</v>
      </c>
      <c r="CX128" t="s">
        <v>111</v>
      </c>
      <c r="CY128">
        <v>0</v>
      </c>
      <c r="CZ128" t="s">
        <v>111</v>
      </c>
      <c r="DA128" t="s">
        <v>111</v>
      </c>
      <c r="DB128" t="s">
        <v>111</v>
      </c>
      <c r="DC128" t="s">
        <v>111</v>
      </c>
    </row>
    <row r="129" spans="1:107">
      <c r="A129">
        <v>1266</v>
      </c>
      <c r="B129" t="s">
        <v>107</v>
      </c>
      <c r="C129" t="s">
        <v>180</v>
      </c>
      <c r="D129" t="s">
        <v>580</v>
      </c>
      <c r="E129" t="s">
        <v>581</v>
      </c>
      <c r="F129" t="s">
        <v>192</v>
      </c>
      <c r="G129" t="s">
        <v>469</v>
      </c>
      <c r="H129">
        <v>1.4</v>
      </c>
      <c r="I129">
        <v>13.3</v>
      </c>
      <c r="J129">
        <v>0</v>
      </c>
      <c r="K129">
        <v>0</v>
      </c>
      <c r="L129" t="s">
        <v>178</v>
      </c>
      <c r="M129" t="s">
        <v>111</v>
      </c>
      <c r="N129">
        <v>0</v>
      </c>
      <c r="O129">
        <v>0</v>
      </c>
      <c r="P129" t="s">
        <v>118</v>
      </c>
      <c r="Q129">
        <v>16</v>
      </c>
      <c r="R129">
        <v>0</v>
      </c>
      <c r="S129">
        <v>0</v>
      </c>
      <c r="T129">
        <v>5</v>
      </c>
      <c r="U129" s="1" t="s">
        <v>582</v>
      </c>
      <c r="V129">
        <v>0</v>
      </c>
      <c r="W129">
        <v>25</v>
      </c>
      <c r="X129">
        <v>8</v>
      </c>
      <c r="Y129">
        <v>0</v>
      </c>
      <c r="Z129" t="s">
        <v>111</v>
      </c>
      <c r="AA129">
        <v>0</v>
      </c>
      <c r="AB129" t="s">
        <v>111</v>
      </c>
      <c r="AC129">
        <v>0</v>
      </c>
      <c r="AD129" t="s">
        <v>111</v>
      </c>
      <c r="AE129">
        <v>0</v>
      </c>
      <c r="AF129">
        <v>0</v>
      </c>
      <c r="AG129" t="s">
        <v>111</v>
      </c>
      <c r="AH129" t="s">
        <v>111</v>
      </c>
      <c r="AI129" t="s">
        <v>111</v>
      </c>
      <c r="AJ129" t="s">
        <v>111</v>
      </c>
      <c r="AK129" t="s">
        <v>111</v>
      </c>
      <c r="AL129" t="s">
        <v>111</v>
      </c>
      <c r="AM129">
        <v>0</v>
      </c>
      <c r="AN129">
        <v>0</v>
      </c>
      <c r="AO129">
        <v>0</v>
      </c>
      <c r="AP129" t="s">
        <v>111</v>
      </c>
      <c r="AQ129" t="s">
        <v>111</v>
      </c>
      <c r="AR129" t="s">
        <v>111</v>
      </c>
      <c r="AS129" t="s">
        <v>111</v>
      </c>
      <c r="AT129" t="s">
        <v>111</v>
      </c>
      <c r="AU129" t="s">
        <v>111</v>
      </c>
      <c r="AV129" t="s">
        <v>111</v>
      </c>
      <c r="AW129" t="s">
        <v>111</v>
      </c>
      <c r="AX129" t="s">
        <v>111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111</v>
      </c>
      <c r="BE129" t="s">
        <v>111</v>
      </c>
      <c r="BF129" t="s">
        <v>111</v>
      </c>
      <c r="BG129" t="s">
        <v>111</v>
      </c>
      <c r="BH129" t="s">
        <v>111</v>
      </c>
      <c r="BI129" t="s">
        <v>111</v>
      </c>
      <c r="BJ129" t="s">
        <v>111</v>
      </c>
      <c r="BK129" t="s">
        <v>111</v>
      </c>
      <c r="BL129" t="s">
        <v>111</v>
      </c>
      <c r="BM129" t="s">
        <v>111</v>
      </c>
      <c r="BN129" t="s">
        <v>111</v>
      </c>
      <c r="BO129" t="s">
        <v>111</v>
      </c>
      <c r="BP129" t="s">
        <v>111</v>
      </c>
      <c r="BQ129" t="s">
        <v>111</v>
      </c>
      <c r="BR129" t="s">
        <v>111</v>
      </c>
      <c r="BS129" t="s">
        <v>111</v>
      </c>
      <c r="BT129" t="s">
        <v>111</v>
      </c>
      <c r="BU129" t="s">
        <v>111</v>
      </c>
      <c r="BV129" t="s">
        <v>111</v>
      </c>
      <c r="BW129" t="s">
        <v>111</v>
      </c>
      <c r="BX129" t="s">
        <v>111</v>
      </c>
      <c r="BY129" t="s">
        <v>111</v>
      </c>
      <c r="BZ129" t="s">
        <v>111</v>
      </c>
      <c r="CA129" t="s">
        <v>111</v>
      </c>
      <c r="CB129" t="s">
        <v>111</v>
      </c>
      <c r="CC129" t="s">
        <v>111</v>
      </c>
      <c r="CD129" t="s">
        <v>111</v>
      </c>
      <c r="CE129" t="s">
        <v>111</v>
      </c>
      <c r="CF129" t="s">
        <v>111</v>
      </c>
      <c r="CG129" t="s">
        <v>111</v>
      </c>
      <c r="CH129" t="s">
        <v>111</v>
      </c>
      <c r="CI129" t="s">
        <v>111</v>
      </c>
      <c r="CJ129" t="s">
        <v>111</v>
      </c>
      <c r="CK129" t="s">
        <v>111</v>
      </c>
      <c r="CL129" t="s">
        <v>111</v>
      </c>
      <c r="CM129">
        <v>450</v>
      </c>
      <c r="CN129" t="s">
        <v>113</v>
      </c>
      <c r="CO129" t="s">
        <v>111</v>
      </c>
      <c r="CP129" t="s">
        <v>111</v>
      </c>
      <c r="CQ129">
        <v>0</v>
      </c>
      <c r="CR129">
        <v>15000</v>
      </c>
      <c r="CS129">
        <v>250</v>
      </c>
      <c r="CT129" t="e">
        <f>-ALMACEN</f>
        <v>#NAME?</v>
      </c>
      <c r="CU129">
        <v>0</v>
      </c>
      <c r="CV129" t="s">
        <v>111</v>
      </c>
      <c r="CW129" t="s">
        <v>111</v>
      </c>
      <c r="CX129" t="s">
        <v>111</v>
      </c>
      <c r="CY129">
        <v>0</v>
      </c>
      <c r="CZ129" t="s">
        <v>111</v>
      </c>
      <c r="DA129" t="s">
        <v>111</v>
      </c>
      <c r="DB129" t="s">
        <v>111</v>
      </c>
      <c r="DC129" t="s">
        <v>111</v>
      </c>
    </row>
    <row r="130" spans="1:107">
      <c r="A130">
        <v>1234</v>
      </c>
      <c r="B130" t="s">
        <v>107</v>
      </c>
      <c r="C130" t="s">
        <v>114</v>
      </c>
      <c r="D130" t="s">
        <v>476</v>
      </c>
      <c r="E130" t="s">
        <v>583</v>
      </c>
      <c r="F130" t="s">
        <v>358</v>
      </c>
      <c r="G130" t="s">
        <v>469</v>
      </c>
      <c r="H130">
        <v>2.7</v>
      </c>
      <c r="I130">
        <v>71</v>
      </c>
      <c r="J130">
        <v>0</v>
      </c>
      <c r="K130">
        <v>0</v>
      </c>
      <c r="L130" t="s">
        <v>117</v>
      </c>
      <c r="M130" t="s">
        <v>118</v>
      </c>
      <c r="N130">
        <v>400</v>
      </c>
      <c r="O130">
        <v>1</v>
      </c>
      <c r="P130" t="s">
        <v>118</v>
      </c>
      <c r="Q130">
        <v>55</v>
      </c>
      <c r="R130">
        <v>0</v>
      </c>
      <c r="S130">
        <v>0</v>
      </c>
      <c r="T130">
        <v>10</v>
      </c>
      <c r="U130" s="1" t="s">
        <v>584</v>
      </c>
      <c r="V130">
        <v>0</v>
      </c>
      <c r="W130">
        <v>25</v>
      </c>
      <c r="X130">
        <v>8</v>
      </c>
      <c r="Y130">
        <v>0</v>
      </c>
      <c r="Z130" t="s">
        <v>111</v>
      </c>
      <c r="AA130">
        <v>0</v>
      </c>
      <c r="AB130" t="s">
        <v>111</v>
      </c>
      <c r="AC130">
        <v>0</v>
      </c>
      <c r="AD130" t="s">
        <v>416</v>
      </c>
      <c r="AE130">
        <v>0</v>
      </c>
      <c r="AF130">
        <v>0</v>
      </c>
      <c r="AG130" t="s">
        <v>111</v>
      </c>
      <c r="AH130" t="s">
        <v>128</v>
      </c>
      <c r="AI130" t="s">
        <v>111</v>
      </c>
      <c r="AJ130" t="s">
        <v>111</v>
      </c>
      <c r="AK130" t="s">
        <v>111</v>
      </c>
      <c r="AL130" t="s">
        <v>111</v>
      </c>
      <c r="AM130">
        <v>0</v>
      </c>
      <c r="AN130">
        <v>0</v>
      </c>
      <c r="AO130">
        <v>0</v>
      </c>
      <c r="AP130" t="s">
        <v>111</v>
      </c>
      <c r="AQ130" t="s">
        <v>111</v>
      </c>
      <c r="AR130" t="s">
        <v>111</v>
      </c>
      <c r="AS130" t="s">
        <v>111</v>
      </c>
      <c r="AT130" t="s">
        <v>111</v>
      </c>
      <c r="AU130" t="s">
        <v>111</v>
      </c>
      <c r="AV130" t="s">
        <v>111</v>
      </c>
      <c r="AW130" t="s">
        <v>111</v>
      </c>
      <c r="AX130" t="s">
        <v>111</v>
      </c>
      <c r="AY130" t="s">
        <v>111</v>
      </c>
      <c r="AZ130" t="s">
        <v>111</v>
      </c>
      <c r="BA130" t="s">
        <v>111</v>
      </c>
      <c r="BB130" t="s">
        <v>111</v>
      </c>
      <c r="BC130" t="s">
        <v>111</v>
      </c>
      <c r="BD130" t="s">
        <v>111</v>
      </c>
      <c r="BE130" t="s">
        <v>111</v>
      </c>
      <c r="BF130" t="s">
        <v>111</v>
      </c>
      <c r="BG130" t="s">
        <v>111</v>
      </c>
      <c r="BH130" t="s">
        <v>111</v>
      </c>
      <c r="BI130" t="s">
        <v>111</v>
      </c>
      <c r="BJ130" t="s">
        <v>111</v>
      </c>
      <c r="BK130" t="s">
        <v>111</v>
      </c>
      <c r="BL130" t="s">
        <v>111</v>
      </c>
      <c r="BM130" t="s">
        <v>111</v>
      </c>
      <c r="BN130" t="s">
        <v>111</v>
      </c>
      <c r="BO130" t="s">
        <v>111</v>
      </c>
      <c r="BP130" t="s">
        <v>111</v>
      </c>
      <c r="BQ130" t="s">
        <v>111</v>
      </c>
      <c r="BR130" t="s">
        <v>111</v>
      </c>
      <c r="BS130" t="s">
        <v>111</v>
      </c>
      <c r="BT130" t="s">
        <v>111</v>
      </c>
      <c r="BU130" t="s">
        <v>111</v>
      </c>
      <c r="BV130" t="s">
        <v>111</v>
      </c>
      <c r="BW130" t="s">
        <v>111</v>
      </c>
      <c r="BX130" t="s">
        <v>111</v>
      </c>
      <c r="BY130" t="s">
        <v>111</v>
      </c>
      <c r="BZ130" t="s">
        <v>111</v>
      </c>
      <c r="CA130" t="s">
        <v>111</v>
      </c>
      <c r="CB130" t="s">
        <v>111</v>
      </c>
      <c r="CC130" t="s">
        <v>111</v>
      </c>
      <c r="CD130" t="s">
        <v>111</v>
      </c>
      <c r="CE130" t="s">
        <v>111</v>
      </c>
      <c r="CF130" t="s">
        <v>111</v>
      </c>
      <c r="CG130" t="s">
        <v>111</v>
      </c>
      <c r="CH130" t="s">
        <v>111</v>
      </c>
      <c r="CI130" t="s">
        <v>111</v>
      </c>
      <c r="CJ130" t="s">
        <v>111</v>
      </c>
      <c r="CK130" t="s">
        <v>111</v>
      </c>
      <c r="CL130" t="s">
        <v>111</v>
      </c>
      <c r="CM130" t="s">
        <v>111</v>
      </c>
      <c r="CN130" t="s">
        <v>111</v>
      </c>
      <c r="CO130" t="s">
        <v>111</v>
      </c>
      <c r="CP130" t="s">
        <v>111</v>
      </c>
      <c r="CQ130">
        <v>0</v>
      </c>
      <c r="CR130">
        <v>0</v>
      </c>
      <c r="CS130">
        <v>0</v>
      </c>
      <c r="CT130" t="s">
        <v>111</v>
      </c>
      <c r="CU130">
        <v>0</v>
      </c>
      <c r="CV130" t="s">
        <v>111</v>
      </c>
      <c r="CW130" t="s">
        <v>111</v>
      </c>
      <c r="CX130" t="s">
        <v>111</v>
      </c>
      <c r="CY130">
        <v>0</v>
      </c>
      <c r="CZ130" t="s">
        <v>111</v>
      </c>
      <c r="DA130" t="s">
        <v>111</v>
      </c>
      <c r="DB130" t="s">
        <v>111</v>
      </c>
      <c r="DC130" t="s">
        <v>111</v>
      </c>
    </row>
    <row r="131" spans="1:107">
      <c r="A131">
        <v>1235</v>
      </c>
      <c r="B131" t="s">
        <v>107</v>
      </c>
      <c r="C131" s="2">
        <v>900304158</v>
      </c>
      <c r="D131" t="s">
        <v>585</v>
      </c>
      <c r="E131" t="s">
        <v>586</v>
      </c>
      <c r="F131" t="s">
        <v>370</v>
      </c>
      <c r="G131" t="s">
        <v>469</v>
      </c>
      <c r="H131">
        <v>3.4</v>
      </c>
      <c r="I131">
        <v>70</v>
      </c>
      <c r="J131">
        <v>0</v>
      </c>
      <c r="K131">
        <v>0</v>
      </c>
      <c r="L131" t="s">
        <v>178</v>
      </c>
      <c r="M131" t="s">
        <v>118</v>
      </c>
      <c r="N131">
        <v>40</v>
      </c>
      <c r="O131">
        <v>2</v>
      </c>
      <c r="P131" t="s">
        <v>118</v>
      </c>
      <c r="Q131">
        <v>30</v>
      </c>
      <c r="R131">
        <v>0</v>
      </c>
      <c r="S131">
        <v>0</v>
      </c>
      <c r="T131">
        <v>5</v>
      </c>
      <c r="U131" s="1" t="s">
        <v>587</v>
      </c>
      <c r="V131">
        <v>25</v>
      </c>
      <c r="W131">
        <v>0</v>
      </c>
      <c r="X131">
        <v>8</v>
      </c>
      <c r="Y131">
        <v>0</v>
      </c>
      <c r="Z131" t="s">
        <v>288</v>
      </c>
      <c r="AA131">
        <v>1.2</v>
      </c>
      <c r="AB131" t="s">
        <v>111</v>
      </c>
      <c r="AC131">
        <v>0</v>
      </c>
      <c r="AD131" t="s">
        <v>416</v>
      </c>
      <c r="AE131">
        <v>0</v>
      </c>
      <c r="AF131">
        <v>0</v>
      </c>
      <c r="AG131" t="s">
        <v>111</v>
      </c>
      <c r="AH131" t="s">
        <v>113</v>
      </c>
      <c r="AI131" t="s">
        <v>111</v>
      </c>
      <c r="AJ131" t="s">
        <v>111</v>
      </c>
      <c r="AK131" t="s">
        <v>111</v>
      </c>
      <c r="AL131" t="s">
        <v>111</v>
      </c>
      <c r="AM131">
        <v>0</v>
      </c>
      <c r="AN131">
        <v>0</v>
      </c>
      <c r="AO131">
        <v>0</v>
      </c>
      <c r="AP131" t="s">
        <v>111</v>
      </c>
      <c r="AQ131" t="s">
        <v>111</v>
      </c>
      <c r="AR131" t="s">
        <v>111</v>
      </c>
      <c r="AS131" t="s">
        <v>111</v>
      </c>
      <c r="AT131" t="s">
        <v>111</v>
      </c>
      <c r="AU131" t="s">
        <v>111</v>
      </c>
      <c r="AV131" t="s">
        <v>111</v>
      </c>
      <c r="AW131" t="s">
        <v>111</v>
      </c>
      <c r="AX131" t="s">
        <v>111</v>
      </c>
      <c r="AY131" t="s">
        <v>111</v>
      </c>
      <c r="AZ131" t="s">
        <v>111</v>
      </c>
      <c r="BA131" t="s">
        <v>111</v>
      </c>
      <c r="BB131" t="s">
        <v>111</v>
      </c>
      <c r="BC131" t="s">
        <v>111</v>
      </c>
      <c r="BD131" t="s">
        <v>111</v>
      </c>
      <c r="BE131" t="s">
        <v>111</v>
      </c>
      <c r="BF131" t="s">
        <v>111</v>
      </c>
      <c r="BG131" t="s">
        <v>111</v>
      </c>
      <c r="BH131" t="s">
        <v>111</v>
      </c>
      <c r="BI131" t="s">
        <v>111</v>
      </c>
      <c r="BJ131" t="s">
        <v>111</v>
      </c>
      <c r="BK131" t="s">
        <v>111</v>
      </c>
      <c r="BL131" t="s">
        <v>111</v>
      </c>
      <c r="BM131" t="s">
        <v>111</v>
      </c>
      <c r="BN131" t="s">
        <v>111</v>
      </c>
      <c r="BO131" t="s">
        <v>111</v>
      </c>
      <c r="BP131" t="s">
        <v>111</v>
      </c>
      <c r="BQ131" t="s">
        <v>111</v>
      </c>
      <c r="BR131" t="s">
        <v>111</v>
      </c>
      <c r="BS131" t="s">
        <v>111</v>
      </c>
      <c r="BT131" t="s">
        <v>111</v>
      </c>
      <c r="BU131" t="s">
        <v>111</v>
      </c>
      <c r="BV131" t="s">
        <v>111</v>
      </c>
      <c r="BW131" t="s">
        <v>111</v>
      </c>
      <c r="BX131" t="s">
        <v>111</v>
      </c>
      <c r="BY131" t="s">
        <v>111</v>
      </c>
      <c r="BZ131" t="s">
        <v>111</v>
      </c>
      <c r="CA131" t="s">
        <v>111</v>
      </c>
      <c r="CB131" t="s">
        <v>111</v>
      </c>
      <c r="CC131" t="s">
        <v>111</v>
      </c>
      <c r="CD131" t="s">
        <v>111</v>
      </c>
      <c r="CE131" t="s">
        <v>111</v>
      </c>
      <c r="CF131" t="s">
        <v>111</v>
      </c>
      <c r="CG131" t="s">
        <v>111</v>
      </c>
      <c r="CH131" t="s">
        <v>111</v>
      </c>
      <c r="CI131" t="s">
        <v>111</v>
      </c>
      <c r="CJ131" t="s">
        <v>111</v>
      </c>
      <c r="CK131" t="s">
        <v>111</v>
      </c>
      <c r="CL131" t="s">
        <v>111</v>
      </c>
      <c r="CM131" t="s">
        <v>438</v>
      </c>
      <c r="CN131" t="s">
        <v>113</v>
      </c>
      <c r="CO131" t="s">
        <v>111</v>
      </c>
      <c r="CP131" t="s">
        <v>111</v>
      </c>
      <c r="CQ131">
        <v>31</v>
      </c>
      <c r="CR131">
        <v>1000</v>
      </c>
      <c r="CS131">
        <v>100</v>
      </c>
      <c r="CT131" s="1" t="s">
        <v>588</v>
      </c>
      <c r="CU131">
        <v>0</v>
      </c>
      <c r="CV131" t="s">
        <v>111</v>
      </c>
      <c r="CW131" t="s">
        <v>111</v>
      </c>
      <c r="CX131" t="s">
        <v>111</v>
      </c>
      <c r="CY131">
        <v>0</v>
      </c>
      <c r="CZ131" t="s">
        <v>111</v>
      </c>
      <c r="DA131" t="s">
        <v>111</v>
      </c>
      <c r="DB131" t="e">
        <f>-INTERNO</f>
        <v>#NAME?</v>
      </c>
      <c r="DC131" t="s">
        <v>589</v>
      </c>
    </row>
    <row r="132" spans="1:107">
      <c r="A132">
        <v>1255</v>
      </c>
      <c r="B132" t="s">
        <v>107</v>
      </c>
      <c r="C132" t="s">
        <v>267</v>
      </c>
      <c r="D132" t="s">
        <v>590</v>
      </c>
      <c r="E132" t="s">
        <v>591</v>
      </c>
      <c r="F132" t="s">
        <v>239</v>
      </c>
      <c r="G132" t="s">
        <v>469</v>
      </c>
      <c r="H132">
        <v>1.2</v>
      </c>
      <c r="I132">
        <v>60</v>
      </c>
      <c r="J132">
        <v>0</v>
      </c>
      <c r="K132">
        <v>0</v>
      </c>
      <c r="L132" t="s">
        <v>112</v>
      </c>
      <c r="M132" t="s">
        <v>111</v>
      </c>
      <c r="N132">
        <v>0</v>
      </c>
      <c r="O132">
        <v>0</v>
      </c>
      <c r="P132" t="s">
        <v>111</v>
      </c>
      <c r="Q132">
        <v>55.3</v>
      </c>
      <c r="R132">
        <v>0</v>
      </c>
      <c r="S132">
        <v>0</v>
      </c>
      <c r="T132">
        <v>3</v>
      </c>
      <c r="U132" t="e">
        <f>-DESTINO SELLADO</f>
        <v>#NAME?</v>
      </c>
      <c r="V132">
        <v>25</v>
      </c>
      <c r="W132">
        <v>0</v>
      </c>
      <c r="X132">
        <v>6</v>
      </c>
      <c r="Y132">
        <v>0</v>
      </c>
      <c r="Z132" t="s">
        <v>147</v>
      </c>
      <c r="AA132">
        <v>1.5</v>
      </c>
      <c r="AB132" t="s">
        <v>592</v>
      </c>
      <c r="AC132">
        <v>25</v>
      </c>
      <c r="AD132" t="s">
        <v>111</v>
      </c>
      <c r="AE132">
        <v>0</v>
      </c>
      <c r="AF132">
        <v>0</v>
      </c>
      <c r="AG132" t="s">
        <v>111</v>
      </c>
      <c r="AH132" t="s">
        <v>111</v>
      </c>
      <c r="AI132" t="s">
        <v>111</v>
      </c>
      <c r="AJ132" t="s">
        <v>111</v>
      </c>
      <c r="AK132" t="s">
        <v>111</v>
      </c>
      <c r="AL132" t="s">
        <v>111</v>
      </c>
      <c r="AM132">
        <v>0</v>
      </c>
      <c r="AN132">
        <v>0</v>
      </c>
      <c r="AO132">
        <v>0</v>
      </c>
      <c r="AP132" t="s">
        <v>111</v>
      </c>
      <c r="AQ132" t="s">
        <v>111</v>
      </c>
      <c r="AR132" t="s">
        <v>111</v>
      </c>
      <c r="AS132" t="s">
        <v>111</v>
      </c>
      <c r="AT132" t="s">
        <v>111</v>
      </c>
      <c r="AU132" t="s">
        <v>111</v>
      </c>
      <c r="AV132" t="s">
        <v>111</v>
      </c>
      <c r="AW132" t="s">
        <v>111</v>
      </c>
      <c r="AX132" t="s">
        <v>111</v>
      </c>
      <c r="AY132" t="s">
        <v>111</v>
      </c>
      <c r="AZ132" t="s">
        <v>111</v>
      </c>
      <c r="BA132" t="s">
        <v>111</v>
      </c>
      <c r="BB132" t="s">
        <v>111</v>
      </c>
      <c r="BC132" t="s">
        <v>111</v>
      </c>
      <c r="BD132" t="s">
        <v>111</v>
      </c>
      <c r="BE132" t="s">
        <v>111</v>
      </c>
      <c r="BF132" t="s">
        <v>111</v>
      </c>
      <c r="BG132" t="s">
        <v>111</v>
      </c>
      <c r="BH132" t="s">
        <v>111</v>
      </c>
      <c r="BI132" t="s">
        <v>111</v>
      </c>
      <c r="BJ132" t="s">
        <v>111</v>
      </c>
      <c r="BK132" t="s">
        <v>111</v>
      </c>
      <c r="BL132" t="s">
        <v>111</v>
      </c>
      <c r="BM132" t="s">
        <v>111</v>
      </c>
      <c r="BN132" t="s">
        <v>111</v>
      </c>
      <c r="BO132" t="s">
        <v>111</v>
      </c>
      <c r="BP132" t="s">
        <v>111</v>
      </c>
      <c r="BQ132" t="s">
        <v>111</v>
      </c>
      <c r="BR132" t="s">
        <v>111</v>
      </c>
      <c r="BS132" t="s">
        <v>111</v>
      </c>
      <c r="BT132" t="s">
        <v>111</v>
      </c>
      <c r="BU132" t="s">
        <v>111</v>
      </c>
      <c r="BV132" t="s">
        <v>111</v>
      </c>
      <c r="BW132" t="s">
        <v>111</v>
      </c>
      <c r="BX132" t="s">
        <v>111</v>
      </c>
      <c r="BY132" t="s">
        <v>111</v>
      </c>
      <c r="BZ132" t="s">
        <v>111</v>
      </c>
      <c r="CA132" t="s">
        <v>111</v>
      </c>
      <c r="CB132" t="s">
        <v>111</v>
      </c>
      <c r="CC132" t="s">
        <v>111</v>
      </c>
      <c r="CD132" t="s">
        <v>111</v>
      </c>
      <c r="CE132" t="s">
        <v>111</v>
      </c>
      <c r="CF132" t="s">
        <v>111</v>
      </c>
      <c r="CG132" t="s">
        <v>111</v>
      </c>
      <c r="CH132" t="s">
        <v>111</v>
      </c>
      <c r="CI132" t="s">
        <v>111</v>
      </c>
      <c r="CJ132" t="s">
        <v>111</v>
      </c>
      <c r="CK132" t="s">
        <v>111</v>
      </c>
      <c r="CL132" t="s">
        <v>111</v>
      </c>
      <c r="CM132" t="s">
        <v>127</v>
      </c>
      <c r="CN132" t="s">
        <v>128</v>
      </c>
      <c r="CO132" t="s">
        <v>111</v>
      </c>
      <c r="CP132" t="s">
        <v>111</v>
      </c>
      <c r="CQ132">
        <v>0</v>
      </c>
      <c r="CR132">
        <v>1000</v>
      </c>
      <c r="CS132">
        <v>100</v>
      </c>
      <c r="CT132" t="e">
        <f>-DESTINO ALMACEN</f>
        <v>#NAME?</v>
      </c>
      <c r="CU132">
        <v>0</v>
      </c>
      <c r="CV132" t="s">
        <v>111</v>
      </c>
      <c r="CW132" t="s">
        <v>111</v>
      </c>
      <c r="CX132" t="s">
        <v>111</v>
      </c>
      <c r="CY132">
        <v>0</v>
      </c>
      <c r="CZ132" t="s">
        <v>111</v>
      </c>
      <c r="DA132" t="s">
        <v>111</v>
      </c>
      <c r="DB132" t="s">
        <v>111</v>
      </c>
      <c r="DC132" t="s">
        <v>111</v>
      </c>
    </row>
    <row r="133" spans="1:107">
      <c r="A133">
        <v>1290</v>
      </c>
      <c r="B133" t="s">
        <v>107</v>
      </c>
      <c r="C133" t="s">
        <v>593</v>
      </c>
      <c r="D133" t="s">
        <v>594</v>
      </c>
      <c r="E133" t="s">
        <v>595</v>
      </c>
      <c r="F133" t="s">
        <v>431</v>
      </c>
      <c r="G133" t="s">
        <v>469</v>
      </c>
      <c r="H133">
        <v>1.65</v>
      </c>
      <c r="I133">
        <v>55</v>
      </c>
      <c r="J133">
        <v>0</v>
      </c>
      <c r="K133">
        <v>0</v>
      </c>
      <c r="L133" t="s">
        <v>117</v>
      </c>
      <c r="M133" t="s">
        <v>118</v>
      </c>
      <c r="N133">
        <v>40</v>
      </c>
      <c r="O133">
        <v>1</v>
      </c>
      <c r="P133" t="s">
        <v>111</v>
      </c>
      <c r="Q133">
        <v>50</v>
      </c>
      <c r="R133">
        <v>0</v>
      </c>
      <c r="S133">
        <v>0</v>
      </c>
      <c r="T133">
        <v>5</v>
      </c>
      <c r="U133" s="1" t="s">
        <v>596</v>
      </c>
      <c r="V133">
        <v>0</v>
      </c>
      <c r="W133">
        <v>250</v>
      </c>
      <c r="X133">
        <v>8</v>
      </c>
      <c r="Y133">
        <v>0</v>
      </c>
      <c r="Z133" t="s">
        <v>111</v>
      </c>
      <c r="AA133">
        <v>0</v>
      </c>
      <c r="AB133" t="s">
        <v>597</v>
      </c>
      <c r="AC133">
        <v>8</v>
      </c>
      <c r="AD133" t="s">
        <v>416</v>
      </c>
      <c r="AE133">
        <v>0</v>
      </c>
      <c r="AF133">
        <v>0</v>
      </c>
      <c r="AG133" t="s">
        <v>111</v>
      </c>
      <c r="AH133" t="s">
        <v>113</v>
      </c>
      <c r="AI133" t="s">
        <v>111</v>
      </c>
      <c r="AJ133" t="s">
        <v>111</v>
      </c>
      <c r="AK133" t="s">
        <v>111</v>
      </c>
      <c r="AL133" t="s">
        <v>111</v>
      </c>
      <c r="AM133">
        <v>0</v>
      </c>
      <c r="AN133">
        <v>0</v>
      </c>
      <c r="AO133">
        <v>0</v>
      </c>
      <c r="AP133" t="s">
        <v>111</v>
      </c>
      <c r="AQ133" t="s">
        <v>111</v>
      </c>
      <c r="AR133" t="s">
        <v>111</v>
      </c>
      <c r="AS133" t="s">
        <v>111</v>
      </c>
      <c r="AT133" t="s">
        <v>111</v>
      </c>
      <c r="AU133" t="s">
        <v>111</v>
      </c>
      <c r="AV133" t="s">
        <v>111</v>
      </c>
      <c r="AW133" t="s">
        <v>111</v>
      </c>
      <c r="AX133" t="s">
        <v>111</v>
      </c>
      <c r="AY133" t="s">
        <v>111</v>
      </c>
      <c r="AZ133" t="s">
        <v>111</v>
      </c>
      <c r="BA133" t="s">
        <v>111</v>
      </c>
      <c r="BB133" t="s">
        <v>111</v>
      </c>
      <c r="BC133" t="s">
        <v>111</v>
      </c>
      <c r="BD133" t="s">
        <v>111</v>
      </c>
      <c r="BE133" t="s">
        <v>111</v>
      </c>
      <c r="BF133" t="s">
        <v>111</v>
      </c>
      <c r="BG133" t="s">
        <v>111</v>
      </c>
      <c r="BH133" t="s">
        <v>111</v>
      </c>
      <c r="BI133" t="s">
        <v>111</v>
      </c>
      <c r="BJ133" t="s">
        <v>111</v>
      </c>
      <c r="BK133" t="s">
        <v>111</v>
      </c>
      <c r="BL133" t="s">
        <v>111</v>
      </c>
      <c r="BM133" t="s">
        <v>111</v>
      </c>
      <c r="BN133" t="s">
        <v>111</v>
      </c>
      <c r="BO133" t="s">
        <v>111</v>
      </c>
      <c r="BP133" t="s">
        <v>111</v>
      </c>
      <c r="BQ133" t="s">
        <v>111</v>
      </c>
      <c r="BR133" t="s">
        <v>111</v>
      </c>
      <c r="BS133" t="s">
        <v>111</v>
      </c>
      <c r="BT133" t="s">
        <v>111</v>
      </c>
      <c r="BU133" t="s">
        <v>111</v>
      </c>
      <c r="BV133" t="s">
        <v>111</v>
      </c>
      <c r="BW133" t="s">
        <v>111</v>
      </c>
      <c r="BX133" t="s">
        <v>111</v>
      </c>
      <c r="BY133" t="s">
        <v>111</v>
      </c>
      <c r="BZ133" t="s">
        <v>111</v>
      </c>
      <c r="CA133" t="s">
        <v>111</v>
      </c>
      <c r="CB133" t="s">
        <v>111</v>
      </c>
      <c r="CC133" t="s">
        <v>111</v>
      </c>
      <c r="CD133" t="s">
        <v>111</v>
      </c>
      <c r="CE133" t="s">
        <v>111</v>
      </c>
      <c r="CF133" t="s">
        <v>111</v>
      </c>
      <c r="CG133" t="s">
        <v>111</v>
      </c>
      <c r="CH133" t="s">
        <v>111</v>
      </c>
      <c r="CI133" t="s">
        <v>111</v>
      </c>
      <c r="CJ133" t="s">
        <v>111</v>
      </c>
      <c r="CK133" t="s">
        <v>111</v>
      </c>
      <c r="CL133" t="s">
        <v>111</v>
      </c>
      <c r="CM133" t="s">
        <v>438</v>
      </c>
      <c r="CN133" t="s">
        <v>113</v>
      </c>
      <c r="CO133" t="s">
        <v>111</v>
      </c>
      <c r="CP133" t="s">
        <v>111</v>
      </c>
      <c r="CQ133">
        <v>80</v>
      </c>
      <c r="CR133">
        <v>8000</v>
      </c>
      <c r="CS133">
        <v>250</v>
      </c>
      <c r="CT133" t="e">
        <f>-ALMACEN</f>
        <v>#NAME?</v>
      </c>
      <c r="CU133">
        <v>0</v>
      </c>
      <c r="CV133" t="s">
        <v>111</v>
      </c>
      <c r="CW133" t="s">
        <v>111</v>
      </c>
      <c r="CX133" t="s">
        <v>111</v>
      </c>
      <c r="CY133">
        <v>0</v>
      </c>
      <c r="CZ133" t="s">
        <v>111</v>
      </c>
      <c r="DA133" t="s">
        <v>111</v>
      </c>
      <c r="DB133" t="s">
        <v>111</v>
      </c>
      <c r="DC133" t="s">
        <v>111</v>
      </c>
    </row>
    <row r="134" spans="1:107">
      <c r="A134">
        <v>1265</v>
      </c>
      <c r="B134" t="s">
        <v>107</v>
      </c>
      <c r="C134" t="s">
        <v>180</v>
      </c>
      <c r="D134" t="s">
        <v>598</v>
      </c>
      <c r="E134" t="s">
        <v>599</v>
      </c>
      <c r="F134" t="s">
        <v>192</v>
      </c>
      <c r="G134" t="s">
        <v>469</v>
      </c>
      <c r="H134">
        <v>1.4</v>
      </c>
      <c r="I134">
        <v>18.3</v>
      </c>
      <c r="J134">
        <v>0</v>
      </c>
      <c r="K134">
        <v>0</v>
      </c>
      <c r="L134" t="s">
        <v>178</v>
      </c>
      <c r="M134" t="s">
        <v>111</v>
      </c>
      <c r="N134">
        <v>0</v>
      </c>
      <c r="O134">
        <v>0</v>
      </c>
      <c r="P134" t="s">
        <v>138</v>
      </c>
      <c r="Q134">
        <v>20</v>
      </c>
      <c r="R134">
        <v>0</v>
      </c>
      <c r="S134">
        <v>0</v>
      </c>
      <c r="T134">
        <v>5</v>
      </c>
      <c r="U134" s="1" t="s">
        <v>600</v>
      </c>
      <c r="V134">
        <v>0</v>
      </c>
      <c r="W134">
        <v>25</v>
      </c>
      <c r="X134">
        <v>8</v>
      </c>
      <c r="Y134">
        <v>0</v>
      </c>
      <c r="Z134" t="s">
        <v>111</v>
      </c>
      <c r="AA134">
        <v>0</v>
      </c>
      <c r="AB134" t="s">
        <v>111</v>
      </c>
      <c r="AC134">
        <v>0</v>
      </c>
      <c r="AD134" t="s">
        <v>111</v>
      </c>
      <c r="AE134">
        <v>0</v>
      </c>
      <c r="AF134">
        <v>0</v>
      </c>
      <c r="AG134" t="s">
        <v>111</v>
      </c>
      <c r="AH134" t="s">
        <v>111</v>
      </c>
      <c r="AI134" t="s">
        <v>111</v>
      </c>
      <c r="AJ134" t="s">
        <v>111</v>
      </c>
      <c r="AK134" t="s">
        <v>111</v>
      </c>
      <c r="AL134" t="s">
        <v>111</v>
      </c>
      <c r="AM134">
        <v>0</v>
      </c>
      <c r="AN134">
        <v>0</v>
      </c>
      <c r="AO134">
        <v>0</v>
      </c>
      <c r="AP134" t="s">
        <v>111</v>
      </c>
      <c r="AQ134" t="s">
        <v>111</v>
      </c>
      <c r="AR134" t="s">
        <v>111</v>
      </c>
      <c r="AS134" t="s">
        <v>111</v>
      </c>
      <c r="AT134" t="s">
        <v>111</v>
      </c>
      <c r="AU134" t="s">
        <v>111</v>
      </c>
      <c r="AV134" t="s">
        <v>111</v>
      </c>
      <c r="AW134" t="s">
        <v>111</v>
      </c>
      <c r="AX134" t="s">
        <v>111</v>
      </c>
      <c r="AY134" t="s">
        <v>111</v>
      </c>
      <c r="AZ134" t="s">
        <v>111</v>
      </c>
      <c r="BA134" t="s">
        <v>111</v>
      </c>
      <c r="BB134" t="s">
        <v>111</v>
      </c>
      <c r="BC134" t="s">
        <v>111</v>
      </c>
      <c r="BD134" t="s">
        <v>111</v>
      </c>
      <c r="BE134" t="s">
        <v>111</v>
      </c>
      <c r="BF134" t="s">
        <v>111</v>
      </c>
      <c r="BG134" t="s">
        <v>111</v>
      </c>
      <c r="BH134" t="s">
        <v>111</v>
      </c>
      <c r="BI134" t="s">
        <v>111</v>
      </c>
      <c r="BJ134" t="s">
        <v>111</v>
      </c>
      <c r="BK134" t="s">
        <v>111</v>
      </c>
      <c r="BL134" t="s">
        <v>111</v>
      </c>
      <c r="BM134" t="s">
        <v>111</v>
      </c>
      <c r="BN134" t="s">
        <v>111</v>
      </c>
      <c r="BO134" t="s">
        <v>111</v>
      </c>
      <c r="BP134" t="s">
        <v>111</v>
      </c>
      <c r="BQ134" t="s">
        <v>111</v>
      </c>
      <c r="BR134" t="s">
        <v>111</v>
      </c>
      <c r="BS134" t="s">
        <v>111</v>
      </c>
      <c r="BT134" t="s">
        <v>111</v>
      </c>
      <c r="BU134" t="s">
        <v>111</v>
      </c>
      <c r="BV134" t="s">
        <v>111</v>
      </c>
      <c r="BW134" t="s">
        <v>111</v>
      </c>
      <c r="BX134" t="s">
        <v>111</v>
      </c>
      <c r="BY134" t="s">
        <v>111</v>
      </c>
      <c r="BZ134" t="s">
        <v>111</v>
      </c>
      <c r="CA134" t="s">
        <v>111</v>
      </c>
      <c r="CB134" t="s">
        <v>111</v>
      </c>
      <c r="CC134" t="s">
        <v>111</v>
      </c>
      <c r="CD134" t="s">
        <v>111</v>
      </c>
      <c r="CE134" t="s">
        <v>111</v>
      </c>
      <c r="CF134" t="s">
        <v>111</v>
      </c>
      <c r="CG134" t="s">
        <v>111</v>
      </c>
      <c r="CH134" t="s">
        <v>111</v>
      </c>
      <c r="CI134" t="s">
        <v>111</v>
      </c>
      <c r="CJ134" t="s">
        <v>111</v>
      </c>
      <c r="CK134" t="s">
        <v>111</v>
      </c>
      <c r="CL134" t="s">
        <v>111</v>
      </c>
      <c r="CM134">
        <v>450</v>
      </c>
      <c r="CN134" t="s">
        <v>113</v>
      </c>
      <c r="CO134" t="s">
        <v>111</v>
      </c>
      <c r="CP134" t="s">
        <v>111</v>
      </c>
      <c r="CQ134">
        <v>65</v>
      </c>
      <c r="CR134">
        <v>10000</v>
      </c>
      <c r="CS134">
        <v>250</v>
      </c>
      <c r="CT134" s="1" t="s">
        <v>601</v>
      </c>
      <c r="CU134">
        <v>0</v>
      </c>
      <c r="CV134" t="s">
        <v>111</v>
      </c>
      <c r="CW134" t="s">
        <v>111</v>
      </c>
      <c r="CX134" t="s">
        <v>111</v>
      </c>
      <c r="CY134">
        <v>0</v>
      </c>
      <c r="CZ134" t="s">
        <v>111</v>
      </c>
      <c r="DA134" t="s">
        <v>111</v>
      </c>
      <c r="DB134" t="s">
        <v>111</v>
      </c>
      <c r="DC134" t="s">
        <v>111</v>
      </c>
    </row>
    <row r="135" spans="1:107">
      <c r="A135">
        <v>1329</v>
      </c>
      <c r="B135" t="s">
        <v>107</v>
      </c>
      <c r="C135" t="s">
        <v>509</v>
      </c>
      <c r="D135" t="s">
        <v>602</v>
      </c>
      <c r="E135" t="s">
        <v>603</v>
      </c>
      <c r="F135" t="s">
        <v>192</v>
      </c>
      <c r="G135" t="s">
        <v>469</v>
      </c>
      <c r="H135">
        <v>2.5</v>
      </c>
      <c r="I135">
        <v>20</v>
      </c>
      <c r="J135">
        <v>7</v>
      </c>
      <c r="K135">
        <v>7</v>
      </c>
      <c r="L135" t="s">
        <v>112</v>
      </c>
      <c r="M135" t="s">
        <v>111</v>
      </c>
      <c r="N135">
        <v>0</v>
      </c>
      <c r="O135">
        <v>0</v>
      </c>
      <c r="P135" t="s">
        <v>111</v>
      </c>
      <c r="Q135">
        <v>26.5</v>
      </c>
      <c r="R135">
        <v>0</v>
      </c>
      <c r="S135">
        <v>0</v>
      </c>
      <c r="T135">
        <v>5</v>
      </c>
      <c r="U135" s="1" t="s">
        <v>604</v>
      </c>
      <c r="V135">
        <v>0</v>
      </c>
      <c r="W135">
        <v>25</v>
      </c>
      <c r="X135">
        <v>8</v>
      </c>
      <c r="Y135">
        <v>0</v>
      </c>
      <c r="Z135" t="s">
        <v>111</v>
      </c>
      <c r="AA135">
        <v>0</v>
      </c>
      <c r="AB135" t="s">
        <v>605</v>
      </c>
      <c r="AC135">
        <v>8</v>
      </c>
      <c r="AD135" t="s">
        <v>111</v>
      </c>
      <c r="AE135">
        <v>0</v>
      </c>
      <c r="AF135">
        <v>0</v>
      </c>
      <c r="AG135" t="s">
        <v>111</v>
      </c>
      <c r="AH135" t="s">
        <v>111</v>
      </c>
      <c r="AI135" t="s">
        <v>111</v>
      </c>
      <c r="AJ135" t="s">
        <v>111</v>
      </c>
      <c r="AK135" t="s">
        <v>111</v>
      </c>
      <c r="AL135" t="s">
        <v>111</v>
      </c>
      <c r="AM135">
        <v>0</v>
      </c>
      <c r="AN135">
        <v>0</v>
      </c>
      <c r="AO135">
        <v>0</v>
      </c>
      <c r="AP135" t="s">
        <v>111</v>
      </c>
      <c r="AQ135" t="s">
        <v>111</v>
      </c>
      <c r="AR135" t="s">
        <v>111</v>
      </c>
      <c r="AS135" t="s">
        <v>111</v>
      </c>
      <c r="AT135" t="s">
        <v>111</v>
      </c>
      <c r="AU135" t="s">
        <v>111</v>
      </c>
      <c r="AV135" t="s">
        <v>111</v>
      </c>
      <c r="AW135" t="s">
        <v>111</v>
      </c>
      <c r="AX135" t="s">
        <v>111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111</v>
      </c>
      <c r="BE135" t="s">
        <v>111</v>
      </c>
      <c r="BF135" t="s">
        <v>111</v>
      </c>
      <c r="BG135" t="s">
        <v>111</v>
      </c>
      <c r="BH135" t="s">
        <v>111</v>
      </c>
      <c r="BI135" t="s">
        <v>111</v>
      </c>
      <c r="BJ135" t="s">
        <v>111</v>
      </c>
      <c r="BK135" t="s">
        <v>111</v>
      </c>
      <c r="BL135" t="s">
        <v>111</v>
      </c>
      <c r="BM135" t="s">
        <v>111</v>
      </c>
      <c r="BN135" t="s">
        <v>111</v>
      </c>
      <c r="BO135" t="s">
        <v>111</v>
      </c>
      <c r="BP135" t="s">
        <v>111</v>
      </c>
      <c r="BQ135" t="s">
        <v>111</v>
      </c>
      <c r="BR135" t="s">
        <v>111</v>
      </c>
      <c r="BS135" t="s">
        <v>111</v>
      </c>
      <c r="BT135" t="s">
        <v>111</v>
      </c>
      <c r="BU135" t="s">
        <v>111</v>
      </c>
      <c r="BV135" t="s">
        <v>111</v>
      </c>
      <c r="BW135" t="s">
        <v>111</v>
      </c>
      <c r="BX135" t="s">
        <v>111</v>
      </c>
      <c r="BY135" t="s">
        <v>111</v>
      </c>
      <c r="BZ135" t="s">
        <v>111</v>
      </c>
      <c r="CA135" t="s">
        <v>111</v>
      </c>
      <c r="CB135" t="s">
        <v>111</v>
      </c>
      <c r="CC135" t="s">
        <v>111</v>
      </c>
      <c r="CD135" t="s">
        <v>111</v>
      </c>
      <c r="CE135" t="s">
        <v>111</v>
      </c>
      <c r="CF135" t="s">
        <v>111</v>
      </c>
      <c r="CG135" t="s">
        <v>111</v>
      </c>
      <c r="CH135" t="s">
        <v>111</v>
      </c>
      <c r="CI135" t="s">
        <v>111</v>
      </c>
      <c r="CJ135" t="s">
        <v>111</v>
      </c>
      <c r="CK135" t="s">
        <v>111</v>
      </c>
      <c r="CL135" t="s">
        <v>111</v>
      </c>
      <c r="CM135" t="s">
        <v>135</v>
      </c>
      <c r="CN135" t="s">
        <v>128</v>
      </c>
      <c r="CO135" t="s">
        <v>111</v>
      </c>
      <c r="CP135" t="s">
        <v>111</v>
      </c>
      <c r="CQ135">
        <v>0</v>
      </c>
      <c r="CR135">
        <v>1000</v>
      </c>
      <c r="CS135">
        <v>0</v>
      </c>
      <c r="CT135" s="1" t="s">
        <v>606</v>
      </c>
      <c r="CU135">
        <v>0</v>
      </c>
      <c r="CV135" t="s">
        <v>111</v>
      </c>
      <c r="CW135" t="s">
        <v>111</v>
      </c>
      <c r="CX135" t="s">
        <v>111</v>
      </c>
      <c r="CY135">
        <v>0</v>
      </c>
      <c r="CZ135" t="s">
        <v>111</v>
      </c>
      <c r="DA135" t="s">
        <v>111</v>
      </c>
      <c r="DB135" t="s">
        <v>111</v>
      </c>
      <c r="DC135" t="s">
        <v>111</v>
      </c>
    </row>
    <row r="136" spans="1:107">
      <c r="A136">
        <v>1305</v>
      </c>
      <c r="B136" t="s">
        <v>107</v>
      </c>
      <c r="C136" t="s">
        <v>454</v>
      </c>
      <c r="D136" t="s">
        <v>455</v>
      </c>
      <c r="E136" t="s">
        <v>607</v>
      </c>
      <c r="F136" t="s">
        <v>431</v>
      </c>
      <c r="G136" t="s">
        <v>469</v>
      </c>
      <c r="H136">
        <v>1.9</v>
      </c>
      <c r="I136">
        <v>50</v>
      </c>
      <c r="J136">
        <v>0</v>
      </c>
      <c r="K136">
        <v>0</v>
      </c>
      <c r="L136" t="s">
        <v>112</v>
      </c>
      <c r="M136" t="s">
        <v>118</v>
      </c>
      <c r="N136">
        <v>40</v>
      </c>
      <c r="O136">
        <v>1</v>
      </c>
      <c r="P136" t="s">
        <v>111</v>
      </c>
      <c r="Q136">
        <v>49</v>
      </c>
      <c r="R136">
        <v>0</v>
      </c>
      <c r="S136">
        <v>0</v>
      </c>
      <c r="T136">
        <v>5</v>
      </c>
      <c r="U136" s="1" t="s">
        <v>608</v>
      </c>
      <c r="V136">
        <v>0</v>
      </c>
      <c r="W136">
        <v>250</v>
      </c>
      <c r="X136">
        <v>6</v>
      </c>
      <c r="Y136">
        <v>0</v>
      </c>
      <c r="Z136" t="s">
        <v>609</v>
      </c>
      <c r="AA136">
        <v>1.5</v>
      </c>
      <c r="AB136" t="s">
        <v>111</v>
      </c>
      <c r="AC136">
        <v>0</v>
      </c>
      <c r="AD136" t="s">
        <v>416</v>
      </c>
      <c r="AE136">
        <v>0</v>
      </c>
      <c r="AF136">
        <v>0</v>
      </c>
      <c r="AG136" t="s">
        <v>111</v>
      </c>
      <c r="AH136" t="s">
        <v>113</v>
      </c>
      <c r="AI136" t="s">
        <v>111</v>
      </c>
      <c r="AJ136" t="s">
        <v>111</v>
      </c>
      <c r="AK136" t="s">
        <v>111</v>
      </c>
      <c r="AL136" t="s">
        <v>111</v>
      </c>
      <c r="AM136">
        <v>0</v>
      </c>
      <c r="AN136">
        <v>0</v>
      </c>
      <c r="AO136">
        <v>0</v>
      </c>
      <c r="AP136" t="s">
        <v>111</v>
      </c>
      <c r="AQ136" t="s">
        <v>111</v>
      </c>
      <c r="AR136" t="s">
        <v>111</v>
      </c>
      <c r="AS136" t="s">
        <v>111</v>
      </c>
      <c r="AT136" t="s">
        <v>111</v>
      </c>
      <c r="AU136" t="s">
        <v>111</v>
      </c>
      <c r="AV136" t="s">
        <v>111</v>
      </c>
      <c r="AW136" t="s">
        <v>111</v>
      </c>
      <c r="AX136" t="s">
        <v>111</v>
      </c>
      <c r="AY136" t="s">
        <v>111</v>
      </c>
      <c r="AZ136" t="s">
        <v>111</v>
      </c>
      <c r="BA136" t="s">
        <v>111</v>
      </c>
      <c r="BB136" t="s">
        <v>111</v>
      </c>
      <c r="BC136" t="s">
        <v>111</v>
      </c>
      <c r="BD136" t="s">
        <v>111</v>
      </c>
      <c r="BE136" t="s">
        <v>111</v>
      </c>
      <c r="BF136" t="s">
        <v>111</v>
      </c>
      <c r="BG136" t="s">
        <v>111</v>
      </c>
      <c r="BH136" t="s">
        <v>111</v>
      </c>
      <c r="BI136" t="s">
        <v>111</v>
      </c>
      <c r="BJ136" t="s">
        <v>111</v>
      </c>
      <c r="BK136" t="s">
        <v>111</v>
      </c>
      <c r="BL136" t="s">
        <v>111</v>
      </c>
      <c r="BM136" t="s">
        <v>111</v>
      </c>
      <c r="BN136" t="s">
        <v>111</v>
      </c>
      <c r="BO136" t="s">
        <v>111</v>
      </c>
      <c r="BP136" t="s">
        <v>111</v>
      </c>
      <c r="BQ136" t="s">
        <v>111</v>
      </c>
      <c r="BR136" t="s">
        <v>111</v>
      </c>
      <c r="BS136" t="s">
        <v>111</v>
      </c>
      <c r="BT136" t="s">
        <v>111</v>
      </c>
      <c r="BU136" t="s">
        <v>111</v>
      </c>
      <c r="BV136" t="s">
        <v>111</v>
      </c>
      <c r="BW136" t="s">
        <v>111</v>
      </c>
      <c r="BX136" t="s">
        <v>111</v>
      </c>
      <c r="BY136" t="s">
        <v>111</v>
      </c>
      <c r="BZ136" t="s">
        <v>111</v>
      </c>
      <c r="CA136" t="s">
        <v>111</v>
      </c>
      <c r="CB136" t="s">
        <v>111</v>
      </c>
      <c r="CC136" t="s">
        <v>111</v>
      </c>
      <c r="CD136" t="s">
        <v>111</v>
      </c>
      <c r="CE136" t="s">
        <v>111</v>
      </c>
      <c r="CF136" t="s">
        <v>111</v>
      </c>
      <c r="CG136" t="s">
        <v>111</v>
      </c>
      <c r="CH136" t="s">
        <v>111</v>
      </c>
      <c r="CI136" t="s">
        <v>111</v>
      </c>
      <c r="CJ136" t="s">
        <v>111</v>
      </c>
      <c r="CK136" t="s">
        <v>111</v>
      </c>
      <c r="CL136" t="s">
        <v>111</v>
      </c>
      <c r="CM136" t="s">
        <v>135</v>
      </c>
      <c r="CN136" t="s">
        <v>113</v>
      </c>
      <c r="CO136" t="s">
        <v>111</v>
      </c>
      <c r="CP136" t="s">
        <v>563</v>
      </c>
      <c r="CQ136">
        <v>70</v>
      </c>
      <c r="CR136">
        <v>1000</v>
      </c>
      <c r="CS136">
        <v>100</v>
      </c>
      <c r="CT136" t="e">
        <f>-ALMACEN</f>
        <v>#NAME?</v>
      </c>
      <c r="CU136">
        <v>0</v>
      </c>
      <c r="CV136" t="s">
        <v>111</v>
      </c>
      <c r="CW136" t="s">
        <v>111</v>
      </c>
      <c r="CX136" t="s">
        <v>111</v>
      </c>
      <c r="CY136">
        <v>0</v>
      </c>
      <c r="CZ136" t="s">
        <v>111</v>
      </c>
      <c r="DA136" t="s">
        <v>111</v>
      </c>
      <c r="DB136" t="s">
        <v>111</v>
      </c>
      <c r="DC136" t="s">
        <v>111</v>
      </c>
    </row>
    <row r="137" spans="1:107">
      <c r="A137">
        <v>1264</v>
      </c>
      <c r="B137" t="s">
        <v>107</v>
      </c>
      <c r="C137" t="s">
        <v>154</v>
      </c>
      <c r="D137" t="s">
        <v>610</v>
      </c>
      <c r="E137" t="s">
        <v>611</v>
      </c>
      <c r="F137" t="s">
        <v>166</v>
      </c>
      <c r="G137" t="s">
        <v>469</v>
      </c>
      <c r="H137">
        <v>0.7</v>
      </c>
      <c r="I137">
        <v>50.8</v>
      </c>
      <c r="J137">
        <v>0</v>
      </c>
      <c r="K137">
        <v>0</v>
      </c>
      <c r="L137" t="s">
        <v>112</v>
      </c>
      <c r="M137" t="s">
        <v>111</v>
      </c>
      <c r="N137">
        <v>0</v>
      </c>
      <c r="O137">
        <v>0</v>
      </c>
      <c r="P137" t="s">
        <v>118</v>
      </c>
      <c r="Q137">
        <v>30</v>
      </c>
      <c r="R137">
        <v>0</v>
      </c>
      <c r="S137">
        <v>0</v>
      </c>
      <c r="T137">
        <v>0</v>
      </c>
      <c r="U137" s="1" t="s">
        <v>612</v>
      </c>
      <c r="V137">
        <v>25</v>
      </c>
      <c r="W137">
        <v>0</v>
      </c>
      <c r="X137">
        <v>6</v>
      </c>
      <c r="Y137">
        <v>0</v>
      </c>
      <c r="Z137" t="s">
        <v>288</v>
      </c>
      <c r="AA137">
        <v>1.8</v>
      </c>
      <c r="AB137" t="s">
        <v>111</v>
      </c>
      <c r="AC137">
        <v>0</v>
      </c>
      <c r="AD137" t="s">
        <v>111</v>
      </c>
      <c r="AE137">
        <v>0</v>
      </c>
      <c r="AF137">
        <v>0</v>
      </c>
      <c r="AG137" t="s">
        <v>111</v>
      </c>
      <c r="AH137" t="s">
        <v>111</v>
      </c>
      <c r="AI137" t="s">
        <v>111</v>
      </c>
      <c r="AJ137" t="s">
        <v>111</v>
      </c>
      <c r="AK137" t="s">
        <v>111</v>
      </c>
      <c r="AL137" t="s">
        <v>111</v>
      </c>
      <c r="AM137">
        <v>0</v>
      </c>
      <c r="AN137">
        <v>0</v>
      </c>
      <c r="AO137">
        <v>0</v>
      </c>
      <c r="AP137" t="s">
        <v>111</v>
      </c>
      <c r="AQ137" t="s">
        <v>111</v>
      </c>
      <c r="AR137" t="s">
        <v>111</v>
      </c>
      <c r="AS137" t="s">
        <v>111</v>
      </c>
      <c r="AT137" t="s">
        <v>111</v>
      </c>
      <c r="AU137" t="s">
        <v>111</v>
      </c>
      <c r="AV137" t="s">
        <v>111</v>
      </c>
      <c r="AW137" t="s">
        <v>111</v>
      </c>
      <c r="AX137" t="s">
        <v>111</v>
      </c>
      <c r="AY137" t="s">
        <v>111</v>
      </c>
      <c r="AZ137" t="s">
        <v>111</v>
      </c>
      <c r="BA137" t="s">
        <v>111</v>
      </c>
      <c r="BB137" t="s">
        <v>111</v>
      </c>
      <c r="BC137" t="s">
        <v>111</v>
      </c>
      <c r="BD137" t="s">
        <v>111</v>
      </c>
      <c r="BE137" t="s">
        <v>111</v>
      </c>
      <c r="BF137" t="s">
        <v>111</v>
      </c>
      <c r="BG137" t="s">
        <v>111</v>
      </c>
      <c r="BH137" t="s">
        <v>111</v>
      </c>
      <c r="BI137" t="s">
        <v>111</v>
      </c>
      <c r="BJ137" t="s">
        <v>111</v>
      </c>
      <c r="BK137" t="s">
        <v>111</v>
      </c>
      <c r="BL137" t="s">
        <v>111</v>
      </c>
      <c r="BM137" t="s">
        <v>111</v>
      </c>
      <c r="BN137" t="s">
        <v>111</v>
      </c>
      <c r="BO137" t="s">
        <v>111</v>
      </c>
      <c r="BP137" t="s">
        <v>111</v>
      </c>
      <c r="BQ137" t="s">
        <v>111</v>
      </c>
      <c r="BR137" t="s">
        <v>111</v>
      </c>
      <c r="BS137" t="s">
        <v>111</v>
      </c>
      <c r="BT137" t="s">
        <v>111</v>
      </c>
      <c r="BU137" t="s">
        <v>111</v>
      </c>
      <c r="BV137" t="s">
        <v>111</v>
      </c>
      <c r="BW137" t="s">
        <v>111</v>
      </c>
      <c r="BX137" t="s">
        <v>111</v>
      </c>
      <c r="BY137" t="s">
        <v>111</v>
      </c>
      <c r="BZ137" t="s">
        <v>111</v>
      </c>
      <c r="CA137" t="s">
        <v>111</v>
      </c>
      <c r="CB137" t="s">
        <v>111</v>
      </c>
      <c r="CC137" t="s">
        <v>111</v>
      </c>
      <c r="CD137" t="s">
        <v>111</v>
      </c>
      <c r="CE137" t="s">
        <v>111</v>
      </c>
      <c r="CF137" t="s">
        <v>111</v>
      </c>
      <c r="CG137" t="s">
        <v>111</v>
      </c>
      <c r="CH137" t="s">
        <v>111</v>
      </c>
      <c r="CI137" t="s">
        <v>111</v>
      </c>
      <c r="CJ137" t="s">
        <v>111</v>
      </c>
      <c r="CK137" t="s">
        <v>111</v>
      </c>
      <c r="CL137" t="s">
        <v>111</v>
      </c>
      <c r="CM137" t="s">
        <v>127</v>
      </c>
      <c r="CN137" t="s">
        <v>508</v>
      </c>
      <c r="CO137" t="s">
        <v>111</v>
      </c>
      <c r="CP137" t="s">
        <v>111</v>
      </c>
      <c r="CQ137">
        <v>0</v>
      </c>
      <c r="CR137">
        <v>0</v>
      </c>
      <c r="CS137">
        <v>6400</v>
      </c>
      <c r="CT137" t="e">
        <f>-ALMACEN</f>
        <v>#NAME?</v>
      </c>
      <c r="CU137">
        <v>0</v>
      </c>
      <c r="CV137" t="s">
        <v>111</v>
      </c>
      <c r="CW137" t="s">
        <v>111</v>
      </c>
      <c r="CX137" t="s">
        <v>111</v>
      </c>
      <c r="CY137">
        <v>0</v>
      </c>
      <c r="CZ137" t="s">
        <v>111</v>
      </c>
      <c r="DA137" t="s">
        <v>111</v>
      </c>
      <c r="DB137" t="e">
        <f>-EXTERNO</f>
        <v>#NAME?</v>
      </c>
      <c r="DC137" t="s">
        <v>111</v>
      </c>
    </row>
    <row r="138" spans="1:107">
      <c r="A138">
        <v>1269</v>
      </c>
      <c r="B138" t="s">
        <v>107</v>
      </c>
      <c r="C138" t="s">
        <v>194</v>
      </c>
      <c r="D138" t="s">
        <v>613</v>
      </c>
      <c r="E138" t="s">
        <v>614</v>
      </c>
      <c r="F138" t="s">
        <v>125</v>
      </c>
      <c r="G138" t="s">
        <v>469</v>
      </c>
      <c r="H138">
        <v>0.5</v>
      </c>
      <c r="I138">
        <v>50</v>
      </c>
      <c r="J138">
        <v>0</v>
      </c>
      <c r="K138">
        <v>0</v>
      </c>
      <c r="L138" t="s">
        <v>112</v>
      </c>
      <c r="M138" t="s">
        <v>111</v>
      </c>
      <c r="N138">
        <v>0</v>
      </c>
      <c r="O138">
        <v>0</v>
      </c>
      <c r="P138" t="s">
        <v>111</v>
      </c>
      <c r="Q138">
        <v>46.9</v>
      </c>
      <c r="R138">
        <v>0</v>
      </c>
      <c r="S138">
        <v>0</v>
      </c>
      <c r="T138">
        <v>5</v>
      </c>
      <c r="U138" s="1" t="s">
        <v>615</v>
      </c>
      <c r="V138">
        <v>12.5</v>
      </c>
      <c r="W138">
        <v>0</v>
      </c>
      <c r="X138">
        <v>12.5</v>
      </c>
      <c r="Y138">
        <v>0</v>
      </c>
      <c r="Z138" t="s">
        <v>111</v>
      </c>
      <c r="AA138">
        <v>0</v>
      </c>
      <c r="AB138" t="s">
        <v>616</v>
      </c>
      <c r="AC138">
        <v>25</v>
      </c>
      <c r="AD138" t="s">
        <v>111</v>
      </c>
      <c r="AE138">
        <v>0</v>
      </c>
      <c r="AF138">
        <v>0</v>
      </c>
      <c r="AG138" t="s">
        <v>111</v>
      </c>
      <c r="AH138" t="s">
        <v>111</v>
      </c>
      <c r="AI138" t="s">
        <v>111</v>
      </c>
      <c r="AJ138" t="s">
        <v>111</v>
      </c>
      <c r="AK138" t="s">
        <v>111</v>
      </c>
      <c r="AL138" t="s">
        <v>111</v>
      </c>
      <c r="AM138">
        <v>0</v>
      </c>
      <c r="AN138">
        <v>0</v>
      </c>
      <c r="AO138">
        <v>0</v>
      </c>
      <c r="AP138" t="s">
        <v>111</v>
      </c>
      <c r="AQ138" t="s">
        <v>111</v>
      </c>
      <c r="AR138" t="s">
        <v>111</v>
      </c>
      <c r="AS138" t="s">
        <v>111</v>
      </c>
      <c r="AT138" t="s">
        <v>111</v>
      </c>
      <c r="AU138" t="s">
        <v>111</v>
      </c>
      <c r="AV138" t="s">
        <v>111</v>
      </c>
      <c r="AW138" t="s">
        <v>111</v>
      </c>
      <c r="AX138" t="s">
        <v>111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111</v>
      </c>
      <c r="BE138" t="s">
        <v>111</v>
      </c>
      <c r="BF138" t="s">
        <v>111</v>
      </c>
      <c r="BG138" t="s">
        <v>111</v>
      </c>
      <c r="BH138" t="s">
        <v>111</v>
      </c>
      <c r="BI138" t="s">
        <v>111</v>
      </c>
      <c r="BJ138" t="s">
        <v>111</v>
      </c>
      <c r="BK138" t="s">
        <v>111</v>
      </c>
      <c r="BL138" t="s">
        <v>111</v>
      </c>
      <c r="BM138" t="s">
        <v>111</v>
      </c>
      <c r="BN138" t="s">
        <v>111</v>
      </c>
      <c r="BO138" t="s">
        <v>111</v>
      </c>
      <c r="BP138" t="s">
        <v>111</v>
      </c>
      <c r="BQ138" t="s">
        <v>111</v>
      </c>
      <c r="BR138" t="s">
        <v>111</v>
      </c>
      <c r="BS138" t="s">
        <v>111</v>
      </c>
      <c r="BT138" t="s">
        <v>111</v>
      </c>
      <c r="BU138" t="s">
        <v>111</v>
      </c>
      <c r="BV138" t="s">
        <v>111</v>
      </c>
      <c r="BW138" t="s">
        <v>111</v>
      </c>
      <c r="BX138" t="s">
        <v>111</v>
      </c>
      <c r="BY138" t="s">
        <v>111</v>
      </c>
      <c r="BZ138" t="s">
        <v>111</v>
      </c>
      <c r="CA138" t="s">
        <v>111</v>
      </c>
      <c r="CB138" t="s">
        <v>111</v>
      </c>
      <c r="CC138" t="s">
        <v>111</v>
      </c>
      <c r="CD138" t="s">
        <v>111</v>
      </c>
      <c r="CE138" t="s">
        <v>111</v>
      </c>
      <c r="CF138" t="s">
        <v>111</v>
      </c>
      <c r="CG138" t="s">
        <v>111</v>
      </c>
      <c r="CH138" t="s">
        <v>111</v>
      </c>
      <c r="CI138" t="s">
        <v>111</v>
      </c>
      <c r="CJ138" t="s">
        <v>111</v>
      </c>
      <c r="CK138" t="s">
        <v>111</v>
      </c>
      <c r="CL138" t="s">
        <v>111</v>
      </c>
      <c r="CM138" t="s">
        <v>127</v>
      </c>
      <c r="CN138" t="s">
        <v>128</v>
      </c>
      <c r="CO138" t="s">
        <v>111</v>
      </c>
      <c r="CP138" t="s">
        <v>111</v>
      </c>
      <c r="CQ138">
        <v>0</v>
      </c>
      <c r="CR138">
        <v>2000</v>
      </c>
      <c r="CS138">
        <v>100</v>
      </c>
      <c r="CT138" t="e">
        <f>-ALMACEN</f>
        <v>#NAME?</v>
      </c>
      <c r="CU138">
        <v>0</v>
      </c>
      <c r="CV138" t="s">
        <v>111</v>
      </c>
      <c r="CW138" t="s">
        <v>111</v>
      </c>
      <c r="CX138" t="s">
        <v>111</v>
      </c>
      <c r="CY138">
        <v>0</v>
      </c>
      <c r="CZ138" t="s">
        <v>111</v>
      </c>
      <c r="DA138" t="s">
        <v>111</v>
      </c>
      <c r="DB138" t="s">
        <v>111</v>
      </c>
      <c r="DC138" t="s">
        <v>111</v>
      </c>
    </row>
    <row r="139" spans="1:107">
      <c r="A139">
        <v>1219</v>
      </c>
      <c r="B139" t="s">
        <v>107</v>
      </c>
      <c r="C139" t="s">
        <v>498</v>
      </c>
      <c r="D139" t="s">
        <v>617</v>
      </c>
      <c r="E139" t="s">
        <v>618</v>
      </c>
      <c r="F139" t="s">
        <v>431</v>
      </c>
      <c r="G139" t="s">
        <v>469</v>
      </c>
      <c r="H139">
        <v>2.4</v>
      </c>
      <c r="I139">
        <v>62</v>
      </c>
      <c r="J139">
        <v>0</v>
      </c>
      <c r="K139">
        <v>0</v>
      </c>
      <c r="L139" t="s">
        <v>117</v>
      </c>
      <c r="M139" t="s">
        <v>118</v>
      </c>
      <c r="N139">
        <v>40</v>
      </c>
      <c r="O139">
        <v>1</v>
      </c>
      <c r="P139" t="s">
        <v>138</v>
      </c>
      <c r="Q139">
        <v>25.5</v>
      </c>
      <c r="R139">
        <v>0</v>
      </c>
      <c r="S139">
        <v>0</v>
      </c>
      <c r="T139">
        <v>5</v>
      </c>
      <c r="U139" t="e">
        <f>-DESTINO DARMA</f>
        <v>#NAME?</v>
      </c>
      <c r="V139">
        <v>0</v>
      </c>
      <c r="W139">
        <v>8</v>
      </c>
      <c r="X139">
        <v>8</v>
      </c>
      <c r="Y139">
        <v>0</v>
      </c>
      <c r="Z139" t="s">
        <v>111</v>
      </c>
      <c r="AA139">
        <v>0</v>
      </c>
      <c r="AB139" t="s">
        <v>619</v>
      </c>
      <c r="AC139">
        <v>8</v>
      </c>
      <c r="AD139" t="s">
        <v>416</v>
      </c>
      <c r="AE139">
        <v>0</v>
      </c>
      <c r="AF139">
        <v>0</v>
      </c>
      <c r="AG139" t="s">
        <v>111</v>
      </c>
      <c r="AH139" t="s">
        <v>113</v>
      </c>
      <c r="AI139" t="s">
        <v>111</v>
      </c>
      <c r="AJ139" t="s">
        <v>111</v>
      </c>
      <c r="AK139" t="s">
        <v>111</v>
      </c>
      <c r="AL139" t="s">
        <v>111</v>
      </c>
      <c r="AM139">
        <v>0</v>
      </c>
      <c r="AN139">
        <v>0</v>
      </c>
      <c r="AO139">
        <v>0</v>
      </c>
      <c r="AP139" t="s">
        <v>111</v>
      </c>
      <c r="AQ139" t="s">
        <v>111</v>
      </c>
      <c r="AR139" t="s">
        <v>111</v>
      </c>
      <c r="AS139" t="s">
        <v>111</v>
      </c>
      <c r="AT139" t="s">
        <v>111</v>
      </c>
      <c r="AU139" t="s">
        <v>111</v>
      </c>
      <c r="AV139" t="s">
        <v>111</v>
      </c>
      <c r="AW139" t="s">
        <v>111</v>
      </c>
      <c r="AX139" t="s">
        <v>111</v>
      </c>
      <c r="AY139" t="s">
        <v>111</v>
      </c>
      <c r="AZ139" t="s">
        <v>111</v>
      </c>
      <c r="BA139" t="s">
        <v>111</v>
      </c>
      <c r="BB139" t="s">
        <v>111</v>
      </c>
      <c r="BC139" t="s">
        <v>111</v>
      </c>
      <c r="BD139" t="s">
        <v>111</v>
      </c>
      <c r="BE139" t="s">
        <v>111</v>
      </c>
      <c r="BF139" t="s">
        <v>111</v>
      </c>
      <c r="BG139" t="s">
        <v>111</v>
      </c>
      <c r="BH139" t="s">
        <v>111</v>
      </c>
      <c r="BI139" t="s">
        <v>111</v>
      </c>
      <c r="BJ139" t="s">
        <v>111</v>
      </c>
      <c r="BK139" t="s">
        <v>111</v>
      </c>
      <c r="BL139" t="s">
        <v>111</v>
      </c>
      <c r="BM139" t="s">
        <v>111</v>
      </c>
      <c r="BN139" t="s">
        <v>111</v>
      </c>
      <c r="BO139" t="s">
        <v>111</v>
      </c>
      <c r="BP139" t="s">
        <v>111</v>
      </c>
      <c r="BQ139" t="s">
        <v>111</v>
      </c>
      <c r="BR139" t="s">
        <v>111</v>
      </c>
      <c r="BS139" t="s">
        <v>111</v>
      </c>
      <c r="BT139" t="s">
        <v>111</v>
      </c>
      <c r="BU139" t="s">
        <v>111</v>
      </c>
      <c r="BV139" t="s">
        <v>111</v>
      </c>
      <c r="BW139" t="s">
        <v>111</v>
      </c>
      <c r="BX139" t="s">
        <v>111</v>
      </c>
      <c r="BY139" t="s">
        <v>111</v>
      </c>
      <c r="BZ139" t="s">
        <v>111</v>
      </c>
      <c r="CA139" t="s">
        <v>111</v>
      </c>
      <c r="CB139" t="s">
        <v>111</v>
      </c>
      <c r="CC139" t="s">
        <v>111</v>
      </c>
      <c r="CD139" t="s">
        <v>111</v>
      </c>
      <c r="CE139" t="s">
        <v>111</v>
      </c>
      <c r="CF139" t="s">
        <v>111</v>
      </c>
      <c r="CG139" t="s">
        <v>111</v>
      </c>
      <c r="CH139" t="s">
        <v>111</v>
      </c>
      <c r="CI139" t="s">
        <v>111</v>
      </c>
      <c r="CJ139" t="s">
        <v>111</v>
      </c>
      <c r="CK139" t="s">
        <v>111</v>
      </c>
      <c r="CL139" t="s">
        <v>111</v>
      </c>
      <c r="CM139" t="s">
        <v>360</v>
      </c>
      <c r="CN139" t="s">
        <v>111</v>
      </c>
      <c r="CO139" t="s">
        <v>111</v>
      </c>
      <c r="CP139" t="s">
        <v>111</v>
      </c>
      <c r="CQ139">
        <v>0</v>
      </c>
      <c r="CR139">
        <v>5000</v>
      </c>
      <c r="CS139">
        <v>200</v>
      </c>
      <c r="CT139" t="e">
        <f>-DESTINO ALMACEN</f>
        <v>#NAME?</v>
      </c>
      <c r="CU139">
        <v>0</v>
      </c>
      <c r="CV139" t="s">
        <v>111</v>
      </c>
      <c r="CW139" t="s">
        <v>111</v>
      </c>
      <c r="CX139" t="s">
        <v>111</v>
      </c>
      <c r="CY139">
        <v>0</v>
      </c>
      <c r="CZ139" t="s">
        <v>111</v>
      </c>
      <c r="DA139" t="s">
        <v>111</v>
      </c>
      <c r="DB139" t="s">
        <v>111</v>
      </c>
      <c r="DC139" t="s">
        <v>111</v>
      </c>
    </row>
    <row r="140" spans="1:107">
      <c r="A140">
        <v>1221</v>
      </c>
      <c r="B140" t="s">
        <v>107</v>
      </c>
      <c r="C140" t="s">
        <v>277</v>
      </c>
      <c r="D140" t="s">
        <v>620</v>
      </c>
      <c r="E140" t="s">
        <v>621</v>
      </c>
      <c r="F140" t="s">
        <v>166</v>
      </c>
      <c r="G140" t="s">
        <v>469</v>
      </c>
      <c r="H140">
        <v>0.8</v>
      </c>
      <c r="I140">
        <v>45</v>
      </c>
      <c r="J140">
        <v>0</v>
      </c>
      <c r="K140">
        <v>0</v>
      </c>
      <c r="L140" t="s">
        <v>112</v>
      </c>
      <c r="M140" t="s">
        <v>138</v>
      </c>
      <c r="N140">
        <v>0</v>
      </c>
      <c r="O140">
        <v>0</v>
      </c>
      <c r="P140" t="s">
        <v>111</v>
      </c>
      <c r="Q140">
        <v>40</v>
      </c>
      <c r="R140">
        <v>0</v>
      </c>
      <c r="S140">
        <v>0</v>
      </c>
      <c r="T140">
        <v>0</v>
      </c>
      <c r="U140" t="e">
        <f>-DSTINO SELLADO</f>
        <v>#NAME?</v>
      </c>
      <c r="V140">
        <v>25</v>
      </c>
      <c r="W140">
        <v>0</v>
      </c>
      <c r="X140">
        <v>8</v>
      </c>
      <c r="Y140">
        <v>0</v>
      </c>
      <c r="Z140" t="s">
        <v>111</v>
      </c>
      <c r="AA140">
        <v>0</v>
      </c>
      <c r="AB140" t="s">
        <v>111</v>
      </c>
      <c r="AC140">
        <v>0</v>
      </c>
      <c r="AD140" t="s">
        <v>111</v>
      </c>
      <c r="AE140">
        <v>0</v>
      </c>
      <c r="AF140">
        <v>0</v>
      </c>
      <c r="AG140" t="s">
        <v>111</v>
      </c>
      <c r="AH140" t="s">
        <v>111</v>
      </c>
      <c r="AI140" t="s">
        <v>111</v>
      </c>
      <c r="AJ140" t="s">
        <v>111</v>
      </c>
      <c r="AK140" t="s">
        <v>111</v>
      </c>
      <c r="AL140" t="s">
        <v>111</v>
      </c>
      <c r="AM140">
        <v>0</v>
      </c>
      <c r="AN140">
        <v>0</v>
      </c>
      <c r="AO140">
        <v>0</v>
      </c>
      <c r="AP140" t="s">
        <v>111</v>
      </c>
      <c r="AQ140" t="s">
        <v>111</v>
      </c>
      <c r="AR140" t="s">
        <v>111</v>
      </c>
      <c r="AS140" t="s">
        <v>111</v>
      </c>
      <c r="AT140" t="s">
        <v>111</v>
      </c>
      <c r="AU140" t="s">
        <v>111</v>
      </c>
      <c r="AV140" t="s">
        <v>111</v>
      </c>
      <c r="AW140" t="s">
        <v>111</v>
      </c>
      <c r="AX140" t="s">
        <v>111</v>
      </c>
      <c r="AY140" t="s">
        <v>111</v>
      </c>
      <c r="AZ140" t="s">
        <v>111</v>
      </c>
      <c r="BA140" t="s">
        <v>111</v>
      </c>
      <c r="BB140" t="s">
        <v>111</v>
      </c>
      <c r="BC140" t="s">
        <v>111</v>
      </c>
      <c r="BD140" t="s">
        <v>111</v>
      </c>
      <c r="BE140" t="s">
        <v>111</v>
      </c>
      <c r="BF140" t="s">
        <v>111</v>
      </c>
      <c r="BG140" t="s">
        <v>111</v>
      </c>
      <c r="BH140" t="s">
        <v>111</v>
      </c>
      <c r="BI140" t="s">
        <v>111</v>
      </c>
      <c r="BJ140" t="s">
        <v>111</v>
      </c>
      <c r="BK140" t="s">
        <v>111</v>
      </c>
      <c r="BL140" t="s">
        <v>111</v>
      </c>
      <c r="BM140" t="s">
        <v>111</v>
      </c>
      <c r="BN140" t="s">
        <v>111</v>
      </c>
      <c r="BO140" t="s">
        <v>111</v>
      </c>
      <c r="BP140" t="s">
        <v>111</v>
      </c>
      <c r="BQ140" t="s">
        <v>111</v>
      </c>
      <c r="BR140" t="s">
        <v>111</v>
      </c>
      <c r="BS140" t="s">
        <v>111</v>
      </c>
      <c r="BT140" t="s">
        <v>111</v>
      </c>
      <c r="BU140" t="s">
        <v>111</v>
      </c>
      <c r="BV140" t="s">
        <v>111</v>
      </c>
      <c r="BW140" t="s">
        <v>111</v>
      </c>
      <c r="BX140" t="s">
        <v>111</v>
      </c>
      <c r="BY140" t="s">
        <v>111</v>
      </c>
      <c r="BZ140" t="s">
        <v>111</v>
      </c>
      <c r="CA140" t="s">
        <v>111</v>
      </c>
      <c r="CB140" t="s">
        <v>111</v>
      </c>
      <c r="CC140" t="s">
        <v>111</v>
      </c>
      <c r="CD140" t="s">
        <v>111</v>
      </c>
      <c r="CE140" t="s">
        <v>111</v>
      </c>
      <c r="CF140" t="s">
        <v>111</v>
      </c>
      <c r="CG140" t="s">
        <v>111</v>
      </c>
      <c r="CH140" t="s">
        <v>111</v>
      </c>
      <c r="CI140" t="s">
        <v>111</v>
      </c>
      <c r="CJ140" t="s">
        <v>111</v>
      </c>
      <c r="CK140" t="s">
        <v>111</v>
      </c>
      <c r="CL140" t="s">
        <v>111</v>
      </c>
      <c r="CM140" t="s">
        <v>111</v>
      </c>
      <c r="CN140" t="s">
        <v>111</v>
      </c>
      <c r="CO140" t="s">
        <v>111</v>
      </c>
      <c r="CP140" t="s">
        <v>111</v>
      </c>
      <c r="CQ140">
        <v>0</v>
      </c>
      <c r="CR140">
        <v>0</v>
      </c>
      <c r="CS140">
        <v>0</v>
      </c>
      <c r="CT140" t="s">
        <v>111</v>
      </c>
      <c r="CU140">
        <v>0</v>
      </c>
      <c r="CV140" t="s">
        <v>111</v>
      </c>
      <c r="CW140" t="s">
        <v>111</v>
      </c>
      <c r="CX140" t="s">
        <v>111</v>
      </c>
      <c r="CY140">
        <v>0</v>
      </c>
      <c r="CZ140" t="s">
        <v>111</v>
      </c>
      <c r="DA140" t="s">
        <v>111</v>
      </c>
      <c r="DB140" t="s">
        <v>111</v>
      </c>
      <c r="DC140" t="s">
        <v>111</v>
      </c>
    </row>
    <row r="141" spans="1:107">
      <c r="A141">
        <v>1223</v>
      </c>
      <c r="B141" t="s">
        <v>107</v>
      </c>
      <c r="C141" t="s">
        <v>466</v>
      </c>
      <c r="D141" t="s">
        <v>622</v>
      </c>
      <c r="E141" t="s">
        <v>623</v>
      </c>
      <c r="F141" t="s">
        <v>166</v>
      </c>
      <c r="G141" t="s">
        <v>469</v>
      </c>
      <c r="H141">
        <v>1.7</v>
      </c>
      <c r="I141">
        <v>65</v>
      </c>
      <c r="J141">
        <v>0</v>
      </c>
      <c r="K141">
        <v>0</v>
      </c>
      <c r="L141" t="s">
        <v>112</v>
      </c>
      <c r="M141" t="s">
        <v>138</v>
      </c>
      <c r="N141">
        <v>0</v>
      </c>
      <c r="O141">
        <v>0</v>
      </c>
      <c r="P141" t="s">
        <v>111</v>
      </c>
      <c r="Q141">
        <v>55</v>
      </c>
      <c r="R141">
        <v>0</v>
      </c>
      <c r="S141">
        <v>0</v>
      </c>
      <c r="T141">
        <v>0</v>
      </c>
      <c r="U141" s="1" t="s">
        <v>624</v>
      </c>
      <c r="V141">
        <v>25</v>
      </c>
      <c r="W141">
        <v>0</v>
      </c>
      <c r="X141">
        <v>8</v>
      </c>
      <c r="Y141">
        <v>0</v>
      </c>
      <c r="Z141" t="s">
        <v>111</v>
      </c>
      <c r="AA141">
        <v>0</v>
      </c>
      <c r="AB141" t="s">
        <v>111</v>
      </c>
      <c r="AC141">
        <v>0</v>
      </c>
      <c r="AD141" t="s">
        <v>111</v>
      </c>
      <c r="AE141">
        <v>0</v>
      </c>
      <c r="AF141">
        <v>0</v>
      </c>
      <c r="AG141" t="s">
        <v>111</v>
      </c>
      <c r="AH141" t="s">
        <v>111</v>
      </c>
      <c r="AI141" t="s">
        <v>111</v>
      </c>
      <c r="AJ141" t="s">
        <v>111</v>
      </c>
      <c r="AK141" t="s">
        <v>111</v>
      </c>
      <c r="AL141" t="s">
        <v>111</v>
      </c>
      <c r="AM141">
        <v>0</v>
      </c>
      <c r="AN141">
        <v>0</v>
      </c>
      <c r="AO141">
        <v>0</v>
      </c>
      <c r="AP141" t="s">
        <v>111</v>
      </c>
      <c r="AQ141" t="s">
        <v>111</v>
      </c>
      <c r="AR141" t="s">
        <v>111</v>
      </c>
      <c r="AS141" t="s">
        <v>111</v>
      </c>
      <c r="AT141" t="s">
        <v>111</v>
      </c>
      <c r="AU141" t="s">
        <v>111</v>
      </c>
      <c r="AV141" t="s">
        <v>111</v>
      </c>
      <c r="AW141" t="s">
        <v>111</v>
      </c>
      <c r="AX141" t="s">
        <v>111</v>
      </c>
      <c r="AY141" t="s">
        <v>111</v>
      </c>
      <c r="AZ141" t="s">
        <v>111</v>
      </c>
      <c r="BA141" t="s">
        <v>111</v>
      </c>
      <c r="BB141" t="s">
        <v>111</v>
      </c>
      <c r="BC141" t="s">
        <v>111</v>
      </c>
      <c r="BD141" t="s">
        <v>111</v>
      </c>
      <c r="BE141" t="s">
        <v>111</v>
      </c>
      <c r="BF141" t="s">
        <v>111</v>
      </c>
      <c r="BG141" t="s">
        <v>111</v>
      </c>
      <c r="BH141" t="s">
        <v>111</v>
      </c>
      <c r="BI141" t="s">
        <v>111</v>
      </c>
      <c r="BJ141" t="s">
        <v>111</v>
      </c>
      <c r="BK141" t="s">
        <v>111</v>
      </c>
      <c r="BL141" t="s">
        <v>111</v>
      </c>
      <c r="BM141" t="s">
        <v>111</v>
      </c>
      <c r="BN141" t="s">
        <v>111</v>
      </c>
      <c r="BO141" t="s">
        <v>111</v>
      </c>
      <c r="BP141" t="s">
        <v>111</v>
      </c>
      <c r="BQ141" t="s">
        <v>111</v>
      </c>
      <c r="BR141" t="s">
        <v>111</v>
      </c>
      <c r="BS141" t="s">
        <v>111</v>
      </c>
      <c r="BT141" t="s">
        <v>111</v>
      </c>
      <c r="BU141" t="s">
        <v>111</v>
      </c>
      <c r="BV141" t="s">
        <v>111</v>
      </c>
      <c r="BW141" t="s">
        <v>111</v>
      </c>
      <c r="BX141" t="s">
        <v>111</v>
      </c>
      <c r="BY141" t="s">
        <v>111</v>
      </c>
      <c r="BZ141" t="s">
        <v>111</v>
      </c>
      <c r="CA141" t="s">
        <v>111</v>
      </c>
      <c r="CB141" t="s">
        <v>111</v>
      </c>
      <c r="CC141" t="s">
        <v>111</v>
      </c>
      <c r="CD141" t="s">
        <v>111</v>
      </c>
      <c r="CE141" t="s">
        <v>111</v>
      </c>
      <c r="CF141" t="s">
        <v>111</v>
      </c>
      <c r="CG141" t="s">
        <v>111</v>
      </c>
      <c r="CH141" t="s">
        <v>111</v>
      </c>
      <c r="CI141" t="s">
        <v>111</v>
      </c>
      <c r="CJ141" t="s">
        <v>111</v>
      </c>
      <c r="CK141" t="s">
        <v>111</v>
      </c>
      <c r="CL141" t="s">
        <v>111</v>
      </c>
      <c r="CM141" t="s">
        <v>111</v>
      </c>
      <c r="CN141" t="s">
        <v>111</v>
      </c>
      <c r="CO141" t="s">
        <v>111</v>
      </c>
      <c r="CP141" t="s">
        <v>111</v>
      </c>
      <c r="CQ141">
        <v>0</v>
      </c>
      <c r="CR141">
        <v>0</v>
      </c>
      <c r="CS141">
        <v>0</v>
      </c>
      <c r="CT141" t="s">
        <v>111</v>
      </c>
      <c r="CU141">
        <v>0</v>
      </c>
      <c r="CV141" t="s">
        <v>111</v>
      </c>
      <c r="CW141" t="s">
        <v>111</v>
      </c>
      <c r="CX141" t="s">
        <v>111</v>
      </c>
      <c r="CY141">
        <v>0</v>
      </c>
      <c r="CZ141" t="s">
        <v>111</v>
      </c>
      <c r="DA141" t="s">
        <v>111</v>
      </c>
      <c r="DB141" t="s">
        <v>111</v>
      </c>
      <c r="DC141" t="s">
        <v>111</v>
      </c>
    </row>
    <row r="142" spans="1:107">
      <c r="A142">
        <v>1245</v>
      </c>
      <c r="B142" t="s">
        <v>107</v>
      </c>
      <c r="C142" t="s">
        <v>180</v>
      </c>
      <c r="D142" t="s">
        <v>625</v>
      </c>
      <c r="E142" t="s">
        <v>626</v>
      </c>
      <c r="F142" t="s">
        <v>166</v>
      </c>
      <c r="G142" t="s">
        <v>469</v>
      </c>
      <c r="H142">
        <v>3</v>
      </c>
      <c r="I142">
        <v>73.599999999999994</v>
      </c>
      <c r="J142">
        <v>0</v>
      </c>
      <c r="K142">
        <v>0</v>
      </c>
      <c r="L142" t="s">
        <v>112</v>
      </c>
      <c r="M142" t="s">
        <v>111</v>
      </c>
      <c r="N142">
        <v>0</v>
      </c>
      <c r="O142">
        <v>0</v>
      </c>
      <c r="P142" t="s">
        <v>138</v>
      </c>
      <c r="Q142">
        <v>52</v>
      </c>
      <c r="R142">
        <v>0</v>
      </c>
      <c r="S142">
        <v>0</v>
      </c>
      <c r="T142">
        <v>3</v>
      </c>
      <c r="U142" s="1" t="s">
        <v>627</v>
      </c>
      <c r="V142">
        <v>25</v>
      </c>
      <c r="W142">
        <v>0</v>
      </c>
      <c r="X142">
        <v>8</v>
      </c>
      <c r="Y142">
        <v>0</v>
      </c>
      <c r="Z142" t="s">
        <v>111</v>
      </c>
      <c r="AA142">
        <v>0</v>
      </c>
      <c r="AB142" t="s">
        <v>628</v>
      </c>
      <c r="AC142">
        <v>8</v>
      </c>
      <c r="AD142" t="s">
        <v>111</v>
      </c>
      <c r="AE142">
        <v>0</v>
      </c>
      <c r="AF142">
        <v>0</v>
      </c>
      <c r="AG142" t="s">
        <v>111</v>
      </c>
      <c r="AH142" t="s">
        <v>111</v>
      </c>
      <c r="AI142" t="s">
        <v>111</v>
      </c>
      <c r="AJ142" t="s">
        <v>111</v>
      </c>
      <c r="AK142" t="s">
        <v>111</v>
      </c>
      <c r="AL142" t="s">
        <v>111</v>
      </c>
      <c r="AM142">
        <v>0</v>
      </c>
      <c r="AN142">
        <v>0</v>
      </c>
      <c r="AO142">
        <v>0</v>
      </c>
      <c r="AP142" t="s">
        <v>111</v>
      </c>
      <c r="AQ142" t="s">
        <v>111</v>
      </c>
      <c r="AR142" t="s">
        <v>111</v>
      </c>
      <c r="AS142" t="s">
        <v>111</v>
      </c>
      <c r="AT142" t="s">
        <v>111</v>
      </c>
      <c r="AU142" t="s">
        <v>111</v>
      </c>
      <c r="AV142" t="s">
        <v>111</v>
      </c>
      <c r="AW142" t="s">
        <v>111</v>
      </c>
      <c r="AX142" t="s">
        <v>111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111</v>
      </c>
      <c r="BE142" t="s">
        <v>111</v>
      </c>
      <c r="BF142" t="s">
        <v>111</v>
      </c>
      <c r="BG142" t="s">
        <v>111</v>
      </c>
      <c r="BH142" t="s">
        <v>111</v>
      </c>
      <c r="BI142" t="s">
        <v>111</v>
      </c>
      <c r="BJ142" t="s">
        <v>111</v>
      </c>
      <c r="BK142" t="s">
        <v>111</v>
      </c>
      <c r="BL142" t="s">
        <v>111</v>
      </c>
      <c r="BM142" t="s">
        <v>111</v>
      </c>
      <c r="BN142" t="s">
        <v>111</v>
      </c>
      <c r="BO142" t="s">
        <v>111</v>
      </c>
      <c r="BP142" t="s">
        <v>111</v>
      </c>
      <c r="BQ142" t="s">
        <v>111</v>
      </c>
      <c r="BR142" t="s">
        <v>111</v>
      </c>
      <c r="BS142" t="s">
        <v>111</v>
      </c>
      <c r="BT142" t="s">
        <v>111</v>
      </c>
      <c r="BU142" t="s">
        <v>111</v>
      </c>
      <c r="BV142" t="s">
        <v>111</v>
      </c>
      <c r="BW142" t="s">
        <v>111</v>
      </c>
      <c r="BX142" t="s">
        <v>111</v>
      </c>
      <c r="BY142" t="s">
        <v>111</v>
      </c>
      <c r="BZ142" t="s">
        <v>111</v>
      </c>
      <c r="CA142" t="s">
        <v>111</v>
      </c>
      <c r="CB142" t="s">
        <v>111</v>
      </c>
      <c r="CC142" t="s">
        <v>111</v>
      </c>
      <c r="CD142" t="s">
        <v>111</v>
      </c>
      <c r="CE142" t="s">
        <v>111</v>
      </c>
      <c r="CF142" t="s">
        <v>111</v>
      </c>
      <c r="CG142" t="s">
        <v>111</v>
      </c>
      <c r="CH142" t="s">
        <v>111</v>
      </c>
      <c r="CI142" t="s">
        <v>111</v>
      </c>
      <c r="CJ142" t="s">
        <v>111</v>
      </c>
      <c r="CK142" t="s">
        <v>111</v>
      </c>
      <c r="CL142" t="s">
        <v>111</v>
      </c>
      <c r="CM142" t="s">
        <v>135</v>
      </c>
      <c r="CN142" t="s">
        <v>128</v>
      </c>
      <c r="CO142" t="s">
        <v>111</v>
      </c>
      <c r="CP142" t="s">
        <v>111</v>
      </c>
      <c r="CQ142">
        <v>30</v>
      </c>
      <c r="CR142">
        <v>200</v>
      </c>
      <c r="CS142">
        <v>20</v>
      </c>
      <c r="CT142" s="1" t="s">
        <v>629</v>
      </c>
      <c r="CU142">
        <v>0</v>
      </c>
      <c r="CV142" t="s">
        <v>111</v>
      </c>
      <c r="CW142" t="s">
        <v>111</v>
      </c>
      <c r="CX142" t="s">
        <v>111</v>
      </c>
      <c r="CY142">
        <v>0</v>
      </c>
      <c r="CZ142" t="s">
        <v>111</v>
      </c>
      <c r="DA142" t="s">
        <v>111</v>
      </c>
      <c r="DB142" t="s">
        <v>111</v>
      </c>
      <c r="DC142" t="s">
        <v>111</v>
      </c>
    </row>
    <row r="143" spans="1:107">
      <c r="A143">
        <v>1254</v>
      </c>
      <c r="B143" t="s">
        <v>107</v>
      </c>
      <c r="C143" t="s">
        <v>267</v>
      </c>
      <c r="D143" t="s">
        <v>630</v>
      </c>
      <c r="E143" t="s">
        <v>631</v>
      </c>
      <c r="F143" t="s">
        <v>404</v>
      </c>
      <c r="G143" t="s">
        <v>469</v>
      </c>
      <c r="H143">
        <v>0.8</v>
      </c>
      <c r="I143">
        <v>50</v>
      </c>
      <c r="J143">
        <v>0</v>
      </c>
      <c r="K143">
        <v>0</v>
      </c>
      <c r="L143" t="s">
        <v>112</v>
      </c>
      <c r="M143" t="s">
        <v>111</v>
      </c>
      <c r="N143">
        <v>0</v>
      </c>
      <c r="O143">
        <v>0</v>
      </c>
      <c r="P143" t="s">
        <v>111</v>
      </c>
      <c r="Q143">
        <v>25</v>
      </c>
      <c r="R143">
        <v>0</v>
      </c>
      <c r="S143">
        <v>0</v>
      </c>
      <c r="T143">
        <v>3</v>
      </c>
      <c r="U143" t="e">
        <f>-DSTINO SELLADO</f>
        <v>#NAME?</v>
      </c>
      <c r="V143">
        <v>25</v>
      </c>
      <c r="W143">
        <v>0</v>
      </c>
      <c r="X143">
        <v>6</v>
      </c>
      <c r="Y143">
        <v>0</v>
      </c>
      <c r="Z143" t="s">
        <v>366</v>
      </c>
      <c r="AA143">
        <v>1.5</v>
      </c>
      <c r="AB143" t="s">
        <v>592</v>
      </c>
      <c r="AC143">
        <v>25</v>
      </c>
      <c r="AD143" t="s">
        <v>111</v>
      </c>
      <c r="AE143">
        <v>0</v>
      </c>
      <c r="AF143">
        <v>0</v>
      </c>
      <c r="AG143" t="s">
        <v>111</v>
      </c>
      <c r="AH143" t="s">
        <v>111</v>
      </c>
      <c r="AI143" t="s">
        <v>111</v>
      </c>
      <c r="AJ143" t="s">
        <v>111</v>
      </c>
      <c r="AK143" t="s">
        <v>111</v>
      </c>
      <c r="AL143" t="s">
        <v>111</v>
      </c>
      <c r="AM143">
        <v>0</v>
      </c>
      <c r="AN143">
        <v>0</v>
      </c>
      <c r="AO143">
        <v>0</v>
      </c>
      <c r="AP143" t="s">
        <v>111</v>
      </c>
      <c r="AQ143" t="s">
        <v>111</v>
      </c>
      <c r="AR143" t="s">
        <v>111</v>
      </c>
      <c r="AS143" t="s">
        <v>111</v>
      </c>
      <c r="AT143" t="s">
        <v>111</v>
      </c>
      <c r="AU143" t="s">
        <v>111</v>
      </c>
      <c r="AV143" t="s">
        <v>111</v>
      </c>
      <c r="AW143" t="s">
        <v>111</v>
      </c>
      <c r="AX143" t="s">
        <v>111</v>
      </c>
      <c r="AY143" t="s">
        <v>111</v>
      </c>
      <c r="AZ143" t="s">
        <v>111</v>
      </c>
      <c r="BA143" t="s">
        <v>111</v>
      </c>
      <c r="BB143" t="s">
        <v>111</v>
      </c>
      <c r="BC143" t="s">
        <v>111</v>
      </c>
      <c r="BD143" t="s">
        <v>111</v>
      </c>
      <c r="BE143" t="s">
        <v>111</v>
      </c>
      <c r="BF143" t="s">
        <v>111</v>
      </c>
      <c r="BG143" t="s">
        <v>111</v>
      </c>
      <c r="BH143" t="s">
        <v>111</v>
      </c>
      <c r="BI143" t="s">
        <v>111</v>
      </c>
      <c r="BJ143" t="s">
        <v>111</v>
      </c>
      <c r="BK143" t="s">
        <v>111</v>
      </c>
      <c r="BL143" t="s">
        <v>111</v>
      </c>
      <c r="BM143" t="s">
        <v>111</v>
      </c>
      <c r="BN143" t="s">
        <v>111</v>
      </c>
      <c r="BO143" t="s">
        <v>111</v>
      </c>
      <c r="BP143" t="s">
        <v>111</v>
      </c>
      <c r="BQ143" t="s">
        <v>111</v>
      </c>
      <c r="BR143" t="s">
        <v>111</v>
      </c>
      <c r="BS143" t="s">
        <v>111</v>
      </c>
      <c r="BT143" t="s">
        <v>111</v>
      </c>
      <c r="BU143" t="s">
        <v>111</v>
      </c>
      <c r="BV143" t="s">
        <v>111</v>
      </c>
      <c r="BW143" t="s">
        <v>111</v>
      </c>
      <c r="BX143" t="s">
        <v>111</v>
      </c>
      <c r="BY143" t="s">
        <v>111</v>
      </c>
      <c r="BZ143" t="s">
        <v>111</v>
      </c>
      <c r="CA143" t="s">
        <v>111</v>
      </c>
      <c r="CB143" t="s">
        <v>111</v>
      </c>
      <c r="CC143" t="s">
        <v>111</v>
      </c>
      <c r="CD143" t="s">
        <v>111</v>
      </c>
      <c r="CE143" t="s">
        <v>111</v>
      </c>
      <c r="CF143" t="s">
        <v>111</v>
      </c>
      <c r="CG143" t="s">
        <v>111</v>
      </c>
      <c r="CH143" t="s">
        <v>111</v>
      </c>
      <c r="CI143" t="s">
        <v>111</v>
      </c>
      <c r="CJ143" t="s">
        <v>111</v>
      </c>
      <c r="CK143" t="s">
        <v>111</v>
      </c>
      <c r="CL143" t="s">
        <v>111</v>
      </c>
      <c r="CM143" t="s">
        <v>127</v>
      </c>
      <c r="CN143" t="s">
        <v>128</v>
      </c>
      <c r="CO143" t="s">
        <v>111</v>
      </c>
      <c r="CP143" t="s">
        <v>111</v>
      </c>
      <c r="CQ143">
        <v>0</v>
      </c>
      <c r="CR143">
        <v>2000</v>
      </c>
      <c r="CS143">
        <v>100</v>
      </c>
      <c r="CT143" t="e">
        <f>-DESTINO SELLADO</f>
        <v>#NAME?</v>
      </c>
      <c r="CU143">
        <v>0</v>
      </c>
      <c r="CV143" t="s">
        <v>111</v>
      </c>
      <c r="CW143" t="s">
        <v>111</v>
      </c>
      <c r="CX143" t="s">
        <v>111</v>
      </c>
      <c r="CY143">
        <v>0</v>
      </c>
      <c r="CZ143" t="s">
        <v>111</v>
      </c>
      <c r="DA143" t="s">
        <v>111</v>
      </c>
      <c r="DB143" t="s">
        <v>111</v>
      </c>
      <c r="DC143" t="s">
        <v>111</v>
      </c>
    </row>
    <row r="144" spans="1:107">
      <c r="A144">
        <v>1251</v>
      </c>
      <c r="B144" t="s">
        <v>107</v>
      </c>
      <c r="C144" t="s">
        <v>114</v>
      </c>
      <c r="D144" t="s">
        <v>489</v>
      </c>
      <c r="E144" t="s">
        <v>632</v>
      </c>
      <c r="F144" t="s">
        <v>431</v>
      </c>
      <c r="G144" t="s">
        <v>469</v>
      </c>
      <c r="H144">
        <v>3</v>
      </c>
      <c r="I144">
        <v>70</v>
      </c>
      <c r="J144">
        <v>0</v>
      </c>
      <c r="K144">
        <v>0</v>
      </c>
      <c r="L144" t="s">
        <v>117</v>
      </c>
      <c r="M144" t="s">
        <v>118</v>
      </c>
      <c r="N144">
        <v>0</v>
      </c>
      <c r="O144">
        <v>1</v>
      </c>
      <c r="P144" t="s">
        <v>111</v>
      </c>
      <c r="Q144">
        <v>50</v>
      </c>
      <c r="R144">
        <v>0</v>
      </c>
      <c r="S144">
        <v>0</v>
      </c>
      <c r="T144">
        <v>5</v>
      </c>
      <c r="U144" t="e">
        <f>-IMPRESION DEMES</f>
        <v>#NAME?</v>
      </c>
      <c r="V144">
        <v>0</v>
      </c>
      <c r="W144">
        <v>25</v>
      </c>
      <c r="X144">
        <v>8</v>
      </c>
      <c r="Y144">
        <v>0</v>
      </c>
      <c r="Z144" t="s">
        <v>111</v>
      </c>
      <c r="AA144">
        <v>0</v>
      </c>
      <c r="AB144" t="s">
        <v>111</v>
      </c>
      <c r="AC144">
        <v>0</v>
      </c>
      <c r="AD144" t="s">
        <v>493</v>
      </c>
      <c r="AE144">
        <v>0</v>
      </c>
      <c r="AF144">
        <v>0</v>
      </c>
      <c r="AG144" t="s">
        <v>111</v>
      </c>
      <c r="AH144" t="s">
        <v>113</v>
      </c>
      <c r="AI144" t="s">
        <v>111</v>
      </c>
      <c r="AJ144" t="s">
        <v>111</v>
      </c>
      <c r="AK144" t="s">
        <v>111</v>
      </c>
      <c r="AL144" t="s">
        <v>111</v>
      </c>
      <c r="AM144">
        <v>0</v>
      </c>
      <c r="AN144">
        <v>0</v>
      </c>
      <c r="AO144">
        <v>0</v>
      </c>
      <c r="AP144" t="s">
        <v>111</v>
      </c>
      <c r="AQ144" t="s">
        <v>111</v>
      </c>
      <c r="AR144" t="s">
        <v>111</v>
      </c>
      <c r="AS144" t="s">
        <v>111</v>
      </c>
      <c r="AT144" t="s">
        <v>111</v>
      </c>
      <c r="AU144" t="s">
        <v>111</v>
      </c>
      <c r="AV144" t="s">
        <v>111</v>
      </c>
      <c r="AW144" t="s">
        <v>111</v>
      </c>
      <c r="AX144" t="s">
        <v>111</v>
      </c>
      <c r="AY144" t="s">
        <v>111</v>
      </c>
      <c r="AZ144" t="s">
        <v>111</v>
      </c>
      <c r="BA144" t="s">
        <v>111</v>
      </c>
      <c r="BB144" t="s">
        <v>111</v>
      </c>
      <c r="BC144" t="s">
        <v>111</v>
      </c>
      <c r="BD144" t="s">
        <v>111</v>
      </c>
      <c r="BE144" t="s">
        <v>111</v>
      </c>
      <c r="BF144" t="s">
        <v>111</v>
      </c>
      <c r="BG144" t="s">
        <v>111</v>
      </c>
      <c r="BH144" t="s">
        <v>111</v>
      </c>
      <c r="BI144" t="s">
        <v>111</v>
      </c>
      <c r="BJ144" t="s">
        <v>111</v>
      </c>
      <c r="BK144" t="s">
        <v>111</v>
      </c>
      <c r="BL144" t="s">
        <v>111</v>
      </c>
      <c r="BM144" t="s">
        <v>111</v>
      </c>
      <c r="BN144" t="s">
        <v>111</v>
      </c>
      <c r="BO144" t="s">
        <v>111</v>
      </c>
      <c r="BP144" t="s">
        <v>111</v>
      </c>
      <c r="BQ144" t="s">
        <v>111</v>
      </c>
      <c r="BR144" t="s">
        <v>111</v>
      </c>
      <c r="BS144" t="s">
        <v>111</v>
      </c>
      <c r="BT144" t="s">
        <v>111</v>
      </c>
      <c r="BU144" t="s">
        <v>111</v>
      </c>
      <c r="BV144" t="s">
        <v>111</v>
      </c>
      <c r="BW144" t="s">
        <v>111</v>
      </c>
      <c r="BX144" t="s">
        <v>111</v>
      </c>
      <c r="BY144" t="s">
        <v>111</v>
      </c>
      <c r="BZ144" t="s">
        <v>111</v>
      </c>
      <c r="CA144" t="s">
        <v>111</v>
      </c>
      <c r="CB144" t="s">
        <v>111</v>
      </c>
      <c r="CC144" t="s">
        <v>111</v>
      </c>
      <c r="CD144" t="s">
        <v>111</v>
      </c>
      <c r="CE144" t="s">
        <v>111</v>
      </c>
      <c r="CF144" t="s">
        <v>111</v>
      </c>
      <c r="CG144" t="s">
        <v>111</v>
      </c>
      <c r="CH144" t="s">
        <v>111</v>
      </c>
      <c r="CI144" t="s">
        <v>111</v>
      </c>
      <c r="CJ144" t="s">
        <v>111</v>
      </c>
      <c r="CK144" t="s">
        <v>111</v>
      </c>
      <c r="CL144" t="e">
        <f>-DSTINO SELLADO</f>
        <v>#NAME?</v>
      </c>
      <c r="CM144" t="s">
        <v>135</v>
      </c>
      <c r="CN144" t="s">
        <v>128</v>
      </c>
      <c r="CO144" t="s">
        <v>111</v>
      </c>
      <c r="CP144" t="s">
        <v>563</v>
      </c>
      <c r="CQ144">
        <v>45</v>
      </c>
      <c r="CR144">
        <v>3000</v>
      </c>
      <c r="CS144">
        <v>100</v>
      </c>
      <c r="CT144" t="e">
        <f>-DESTINO SELLADO</f>
        <v>#NAME?</v>
      </c>
      <c r="CU144">
        <v>0</v>
      </c>
      <c r="CV144" t="s">
        <v>111</v>
      </c>
      <c r="CW144" t="s">
        <v>111</v>
      </c>
      <c r="CX144" t="s">
        <v>111</v>
      </c>
      <c r="CY144">
        <v>0</v>
      </c>
      <c r="CZ144" t="s">
        <v>111</v>
      </c>
      <c r="DA144" t="s">
        <v>111</v>
      </c>
      <c r="DB144" t="s">
        <v>111</v>
      </c>
      <c r="DC144" t="s">
        <v>111</v>
      </c>
    </row>
    <row r="145" spans="1:107">
      <c r="A145">
        <v>1250</v>
      </c>
      <c r="B145" t="s">
        <v>107</v>
      </c>
      <c r="C145" t="s">
        <v>633</v>
      </c>
      <c r="D145" t="s">
        <v>634</v>
      </c>
      <c r="E145" t="s">
        <v>635</v>
      </c>
      <c r="F145" t="s">
        <v>125</v>
      </c>
      <c r="G145" t="s">
        <v>469</v>
      </c>
      <c r="H145">
        <v>1.8</v>
      </c>
      <c r="I145">
        <v>35</v>
      </c>
      <c r="J145">
        <v>9</v>
      </c>
      <c r="K145">
        <v>9</v>
      </c>
      <c r="L145" t="s">
        <v>112</v>
      </c>
      <c r="M145" t="s">
        <v>118</v>
      </c>
      <c r="N145">
        <v>0</v>
      </c>
      <c r="O145">
        <v>2</v>
      </c>
      <c r="P145" t="s">
        <v>111</v>
      </c>
      <c r="Q145">
        <v>33.299999999999997</v>
      </c>
      <c r="R145">
        <v>0</v>
      </c>
      <c r="S145">
        <v>0</v>
      </c>
      <c r="T145">
        <v>10</v>
      </c>
      <c r="U145" s="1" t="s">
        <v>636</v>
      </c>
      <c r="V145">
        <v>25</v>
      </c>
      <c r="W145">
        <v>31</v>
      </c>
      <c r="X145">
        <v>8</v>
      </c>
      <c r="Y145">
        <v>0</v>
      </c>
      <c r="Z145" t="s">
        <v>111</v>
      </c>
      <c r="AA145">
        <v>0</v>
      </c>
      <c r="AB145" t="s">
        <v>111</v>
      </c>
      <c r="AC145">
        <v>0</v>
      </c>
      <c r="AD145" t="s">
        <v>111</v>
      </c>
      <c r="AE145">
        <v>0</v>
      </c>
      <c r="AF145">
        <v>0</v>
      </c>
      <c r="AG145" t="s">
        <v>111</v>
      </c>
      <c r="AH145" t="s">
        <v>111</v>
      </c>
      <c r="AI145" t="s">
        <v>111</v>
      </c>
      <c r="AJ145" t="s">
        <v>111</v>
      </c>
      <c r="AK145" t="s">
        <v>111</v>
      </c>
      <c r="AL145" t="s">
        <v>111</v>
      </c>
      <c r="AM145">
        <v>0</v>
      </c>
      <c r="AN145">
        <v>0</v>
      </c>
      <c r="AO145">
        <v>0</v>
      </c>
      <c r="AP145" t="s">
        <v>111</v>
      </c>
      <c r="AQ145" t="s">
        <v>111</v>
      </c>
      <c r="AR145" t="s">
        <v>111</v>
      </c>
      <c r="AS145" t="s">
        <v>111</v>
      </c>
      <c r="AT145" t="s">
        <v>111</v>
      </c>
      <c r="AU145" t="s">
        <v>111</v>
      </c>
      <c r="AV145" t="s">
        <v>111</v>
      </c>
      <c r="AW145" t="s">
        <v>111</v>
      </c>
      <c r="AX145" t="s">
        <v>111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111</v>
      </c>
      <c r="BE145" t="s">
        <v>111</v>
      </c>
      <c r="BF145" t="s">
        <v>111</v>
      </c>
      <c r="BG145" t="s">
        <v>111</v>
      </c>
      <c r="BH145" t="s">
        <v>111</v>
      </c>
      <c r="BI145" t="s">
        <v>111</v>
      </c>
      <c r="BJ145" t="s">
        <v>111</v>
      </c>
      <c r="BK145" t="s">
        <v>111</v>
      </c>
      <c r="BL145" t="s">
        <v>111</v>
      </c>
      <c r="BM145" t="s">
        <v>111</v>
      </c>
      <c r="BN145" t="s">
        <v>111</v>
      </c>
      <c r="BO145" t="s">
        <v>111</v>
      </c>
      <c r="BP145" t="s">
        <v>111</v>
      </c>
      <c r="BQ145" t="s">
        <v>111</v>
      </c>
      <c r="BR145" t="s">
        <v>111</v>
      </c>
      <c r="BS145" t="s">
        <v>111</v>
      </c>
      <c r="BT145" t="s">
        <v>111</v>
      </c>
      <c r="BU145" t="s">
        <v>111</v>
      </c>
      <c r="BV145" t="s">
        <v>111</v>
      </c>
      <c r="BW145" t="s">
        <v>111</v>
      </c>
      <c r="BX145" t="s">
        <v>111</v>
      </c>
      <c r="BY145" t="s">
        <v>111</v>
      </c>
      <c r="BZ145" t="s">
        <v>111</v>
      </c>
      <c r="CA145" t="s">
        <v>111</v>
      </c>
      <c r="CB145" t="s">
        <v>111</v>
      </c>
      <c r="CC145" t="s">
        <v>111</v>
      </c>
      <c r="CD145" t="s">
        <v>111</v>
      </c>
      <c r="CE145" t="s">
        <v>111</v>
      </c>
      <c r="CF145" t="s">
        <v>111</v>
      </c>
      <c r="CG145" t="s">
        <v>111</v>
      </c>
      <c r="CH145" t="s">
        <v>111</v>
      </c>
      <c r="CI145" t="s">
        <v>111</v>
      </c>
      <c r="CJ145" t="s">
        <v>111</v>
      </c>
      <c r="CK145" t="s">
        <v>111</v>
      </c>
      <c r="CL145" t="s">
        <v>111</v>
      </c>
      <c r="CM145" t="s">
        <v>135</v>
      </c>
      <c r="CN145" t="s">
        <v>128</v>
      </c>
      <c r="CO145" t="s">
        <v>637</v>
      </c>
      <c r="CP145" t="s">
        <v>111</v>
      </c>
      <c r="CQ145">
        <v>35</v>
      </c>
      <c r="CR145">
        <v>500</v>
      </c>
      <c r="CS145">
        <v>500</v>
      </c>
      <c r="CT145" t="e">
        <f>-DESTINO ALMACEN</f>
        <v>#NAME?</v>
      </c>
      <c r="CU145">
        <v>0</v>
      </c>
      <c r="CV145" t="s">
        <v>111</v>
      </c>
      <c r="CW145" t="s">
        <v>111</v>
      </c>
      <c r="CX145" t="s">
        <v>111</v>
      </c>
      <c r="CY145">
        <v>0</v>
      </c>
      <c r="CZ145" t="s">
        <v>111</v>
      </c>
      <c r="DA145" t="s">
        <v>111</v>
      </c>
      <c r="DB145" t="s">
        <v>111</v>
      </c>
      <c r="DC145" t="s">
        <v>111</v>
      </c>
    </row>
    <row r="146" spans="1:107">
      <c r="A146">
        <v>1247</v>
      </c>
      <c r="B146" t="s">
        <v>107</v>
      </c>
      <c r="C146" t="s">
        <v>638</v>
      </c>
      <c r="D146" t="s">
        <v>639</v>
      </c>
      <c r="E146" t="s">
        <v>640</v>
      </c>
      <c r="F146" t="s">
        <v>287</v>
      </c>
      <c r="G146" t="s">
        <v>469</v>
      </c>
      <c r="H146">
        <v>1</v>
      </c>
      <c r="I146">
        <v>38</v>
      </c>
      <c r="J146">
        <v>0</v>
      </c>
      <c r="K146">
        <v>0</v>
      </c>
      <c r="L146" t="s">
        <v>112</v>
      </c>
      <c r="M146" t="s">
        <v>111</v>
      </c>
      <c r="N146">
        <v>0</v>
      </c>
      <c r="O146">
        <v>0</v>
      </c>
      <c r="P146" t="s">
        <v>111</v>
      </c>
      <c r="Q146">
        <v>26</v>
      </c>
      <c r="R146">
        <v>0</v>
      </c>
      <c r="S146">
        <v>0</v>
      </c>
      <c r="T146">
        <v>5</v>
      </c>
      <c r="U146" t="e">
        <f>-DESTINO SELLADO</f>
        <v>#NAME?</v>
      </c>
      <c r="V146">
        <v>25</v>
      </c>
      <c r="W146">
        <v>0</v>
      </c>
      <c r="X146">
        <v>6</v>
      </c>
      <c r="Y146">
        <v>0</v>
      </c>
      <c r="Z146" t="s">
        <v>288</v>
      </c>
      <c r="AA146">
        <v>1.8</v>
      </c>
      <c r="AB146" t="s">
        <v>111</v>
      </c>
      <c r="AC146">
        <v>0</v>
      </c>
      <c r="AD146" t="s">
        <v>111</v>
      </c>
      <c r="AE146">
        <v>0</v>
      </c>
      <c r="AF146">
        <v>0</v>
      </c>
      <c r="AG146" t="s">
        <v>111</v>
      </c>
      <c r="AH146" t="s">
        <v>111</v>
      </c>
      <c r="AI146" t="s">
        <v>111</v>
      </c>
      <c r="AJ146" t="s">
        <v>111</v>
      </c>
      <c r="AK146" t="s">
        <v>111</v>
      </c>
      <c r="AL146" t="s">
        <v>111</v>
      </c>
      <c r="AM146">
        <v>0</v>
      </c>
      <c r="AN146">
        <v>0</v>
      </c>
      <c r="AO146">
        <v>0</v>
      </c>
      <c r="AP146" t="s">
        <v>111</v>
      </c>
      <c r="AQ146" t="s">
        <v>111</v>
      </c>
      <c r="AR146" t="s">
        <v>111</v>
      </c>
      <c r="AS146" t="s">
        <v>111</v>
      </c>
      <c r="AT146" t="s">
        <v>111</v>
      </c>
      <c r="AU146" t="s">
        <v>111</v>
      </c>
      <c r="AV146" t="s">
        <v>111</v>
      </c>
      <c r="AW146" t="s">
        <v>111</v>
      </c>
      <c r="AX146" t="s">
        <v>111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111</v>
      </c>
      <c r="BE146" t="s">
        <v>111</v>
      </c>
      <c r="BF146" t="s">
        <v>111</v>
      </c>
      <c r="BG146" t="s">
        <v>111</v>
      </c>
      <c r="BH146" t="s">
        <v>111</v>
      </c>
      <c r="BI146" t="s">
        <v>111</v>
      </c>
      <c r="BJ146" t="s">
        <v>111</v>
      </c>
      <c r="BK146" t="s">
        <v>111</v>
      </c>
      <c r="BL146" t="s">
        <v>111</v>
      </c>
      <c r="BM146" t="s">
        <v>111</v>
      </c>
      <c r="BN146" t="s">
        <v>111</v>
      </c>
      <c r="BO146" t="s">
        <v>111</v>
      </c>
      <c r="BP146" t="s">
        <v>111</v>
      </c>
      <c r="BQ146" t="s">
        <v>111</v>
      </c>
      <c r="BR146" t="s">
        <v>111</v>
      </c>
      <c r="BS146" t="s">
        <v>111</v>
      </c>
      <c r="BT146" t="s">
        <v>111</v>
      </c>
      <c r="BU146" t="s">
        <v>111</v>
      </c>
      <c r="BV146" t="s">
        <v>111</v>
      </c>
      <c r="BW146" t="s">
        <v>111</v>
      </c>
      <c r="BX146" t="s">
        <v>111</v>
      </c>
      <c r="BY146" t="s">
        <v>111</v>
      </c>
      <c r="BZ146" t="s">
        <v>111</v>
      </c>
      <c r="CA146" t="s">
        <v>111</v>
      </c>
      <c r="CB146" t="s">
        <v>111</v>
      </c>
      <c r="CC146" t="s">
        <v>111</v>
      </c>
      <c r="CD146" t="s">
        <v>111</v>
      </c>
      <c r="CE146" t="s">
        <v>111</v>
      </c>
      <c r="CF146" t="s">
        <v>111</v>
      </c>
      <c r="CG146" t="s">
        <v>111</v>
      </c>
      <c r="CH146" t="s">
        <v>111</v>
      </c>
      <c r="CI146" t="s">
        <v>111</v>
      </c>
      <c r="CJ146" t="s">
        <v>111</v>
      </c>
      <c r="CK146" t="s">
        <v>111</v>
      </c>
      <c r="CL146" t="s">
        <v>111</v>
      </c>
      <c r="CM146">
        <v>450</v>
      </c>
      <c r="CN146" t="s">
        <v>113</v>
      </c>
      <c r="CO146" t="s">
        <v>111</v>
      </c>
      <c r="CP146" t="s">
        <v>111</v>
      </c>
      <c r="CQ146">
        <v>0</v>
      </c>
      <c r="CR146">
        <v>10000</v>
      </c>
      <c r="CS146">
        <v>200</v>
      </c>
      <c r="CT146" t="s">
        <v>641</v>
      </c>
      <c r="CU146">
        <v>0</v>
      </c>
      <c r="CV146" t="s">
        <v>111</v>
      </c>
      <c r="CW146" t="s">
        <v>111</v>
      </c>
      <c r="CX146" t="s">
        <v>111</v>
      </c>
      <c r="CY146">
        <v>0</v>
      </c>
      <c r="CZ146" t="s">
        <v>111</v>
      </c>
      <c r="DA146" t="s">
        <v>111</v>
      </c>
      <c r="DB146" t="s">
        <v>111</v>
      </c>
      <c r="DC146" t="s">
        <v>111</v>
      </c>
    </row>
    <row r="147" spans="1:107">
      <c r="A147">
        <v>1238</v>
      </c>
      <c r="B147" t="s">
        <v>107</v>
      </c>
      <c r="C147" t="s">
        <v>466</v>
      </c>
      <c r="D147" t="s">
        <v>642</v>
      </c>
      <c r="E147" t="s">
        <v>643</v>
      </c>
      <c r="F147" t="s">
        <v>166</v>
      </c>
      <c r="G147" t="s">
        <v>469</v>
      </c>
      <c r="H147">
        <v>1.65</v>
      </c>
      <c r="I147">
        <v>35.5</v>
      </c>
      <c r="J147">
        <v>10</v>
      </c>
      <c r="K147">
        <v>10</v>
      </c>
      <c r="L147" t="s">
        <v>112</v>
      </c>
      <c r="M147" t="s">
        <v>138</v>
      </c>
      <c r="N147">
        <v>0</v>
      </c>
      <c r="O147">
        <v>0</v>
      </c>
      <c r="P147" t="s">
        <v>111</v>
      </c>
      <c r="Q147">
        <v>34.4</v>
      </c>
      <c r="R147">
        <v>0</v>
      </c>
      <c r="S147">
        <v>0</v>
      </c>
      <c r="T147">
        <v>0</v>
      </c>
      <c r="U147" s="1" t="s">
        <v>644</v>
      </c>
      <c r="V147">
        <v>25</v>
      </c>
      <c r="W147">
        <v>0</v>
      </c>
      <c r="X147">
        <v>5</v>
      </c>
      <c r="Y147">
        <v>0</v>
      </c>
      <c r="Z147" t="s">
        <v>111</v>
      </c>
      <c r="AA147">
        <v>0</v>
      </c>
      <c r="AB147" t="s">
        <v>111</v>
      </c>
      <c r="AC147">
        <v>0</v>
      </c>
      <c r="AD147" t="s">
        <v>111</v>
      </c>
      <c r="AE147">
        <v>0</v>
      </c>
      <c r="AF147">
        <v>0</v>
      </c>
      <c r="AG147" t="s">
        <v>111</v>
      </c>
      <c r="AH147" t="s">
        <v>111</v>
      </c>
      <c r="AI147" t="s">
        <v>111</v>
      </c>
      <c r="AJ147" t="s">
        <v>111</v>
      </c>
      <c r="AK147" t="s">
        <v>111</v>
      </c>
      <c r="AL147" t="s">
        <v>111</v>
      </c>
      <c r="AM147">
        <v>0</v>
      </c>
      <c r="AN147">
        <v>0</v>
      </c>
      <c r="AO147">
        <v>0</v>
      </c>
      <c r="AP147" t="s">
        <v>111</v>
      </c>
      <c r="AQ147" t="s">
        <v>111</v>
      </c>
      <c r="AR147" t="s">
        <v>111</v>
      </c>
      <c r="AS147" t="s">
        <v>111</v>
      </c>
      <c r="AT147" t="s">
        <v>111</v>
      </c>
      <c r="AU147" t="s">
        <v>111</v>
      </c>
      <c r="AV147" t="s">
        <v>111</v>
      </c>
      <c r="AW147" t="s">
        <v>111</v>
      </c>
      <c r="AX147" t="s">
        <v>111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111</v>
      </c>
      <c r="BE147" t="s">
        <v>111</v>
      </c>
      <c r="BF147" t="s">
        <v>111</v>
      </c>
      <c r="BG147" t="s">
        <v>111</v>
      </c>
      <c r="BH147" t="s">
        <v>111</v>
      </c>
      <c r="BI147" t="s">
        <v>111</v>
      </c>
      <c r="BJ147" t="s">
        <v>111</v>
      </c>
      <c r="BK147" t="s">
        <v>111</v>
      </c>
      <c r="BL147" t="s">
        <v>111</v>
      </c>
      <c r="BM147" t="s">
        <v>111</v>
      </c>
      <c r="BN147" t="s">
        <v>111</v>
      </c>
      <c r="BO147" t="s">
        <v>111</v>
      </c>
      <c r="BP147" t="s">
        <v>111</v>
      </c>
      <c r="BQ147" t="s">
        <v>111</v>
      </c>
      <c r="BR147" t="s">
        <v>111</v>
      </c>
      <c r="BS147" t="s">
        <v>111</v>
      </c>
      <c r="BT147" t="s">
        <v>111</v>
      </c>
      <c r="BU147" t="s">
        <v>111</v>
      </c>
      <c r="BV147" t="s">
        <v>111</v>
      </c>
      <c r="BW147" t="s">
        <v>111</v>
      </c>
      <c r="BX147" t="s">
        <v>111</v>
      </c>
      <c r="BY147" t="s">
        <v>111</v>
      </c>
      <c r="BZ147" t="s">
        <v>111</v>
      </c>
      <c r="CA147" t="s">
        <v>111</v>
      </c>
      <c r="CB147" t="s">
        <v>111</v>
      </c>
      <c r="CC147" t="s">
        <v>111</v>
      </c>
      <c r="CD147" t="s">
        <v>111</v>
      </c>
      <c r="CE147" t="s">
        <v>111</v>
      </c>
      <c r="CF147" t="s">
        <v>111</v>
      </c>
      <c r="CG147" t="s">
        <v>111</v>
      </c>
      <c r="CH147" t="s">
        <v>111</v>
      </c>
      <c r="CI147" t="s">
        <v>111</v>
      </c>
      <c r="CJ147" t="s">
        <v>111</v>
      </c>
      <c r="CK147" t="s">
        <v>111</v>
      </c>
      <c r="CL147" t="s">
        <v>111</v>
      </c>
      <c r="CM147" t="s">
        <v>111</v>
      </c>
      <c r="CN147" t="s">
        <v>111</v>
      </c>
      <c r="CO147" t="s">
        <v>111</v>
      </c>
      <c r="CP147" t="s">
        <v>111</v>
      </c>
      <c r="CQ147">
        <v>0</v>
      </c>
      <c r="CR147">
        <v>0</v>
      </c>
      <c r="CS147">
        <v>0</v>
      </c>
      <c r="CT147" t="s">
        <v>111</v>
      </c>
      <c r="CU147">
        <v>0</v>
      </c>
      <c r="CV147" t="s">
        <v>111</v>
      </c>
      <c r="CW147" t="s">
        <v>111</v>
      </c>
      <c r="CX147" t="s">
        <v>111</v>
      </c>
      <c r="CY147">
        <v>0</v>
      </c>
      <c r="CZ147" t="s">
        <v>111</v>
      </c>
      <c r="DA147" t="s">
        <v>111</v>
      </c>
      <c r="DB147" t="s">
        <v>111</v>
      </c>
      <c r="DC147" t="s">
        <v>111</v>
      </c>
    </row>
    <row r="148" spans="1:107">
      <c r="A148">
        <v>1236</v>
      </c>
      <c r="B148" t="s">
        <v>107</v>
      </c>
      <c r="C148" s="2">
        <v>900304158</v>
      </c>
      <c r="D148" t="s">
        <v>645</v>
      </c>
      <c r="E148" t="s">
        <v>646</v>
      </c>
      <c r="F148" t="s">
        <v>370</v>
      </c>
      <c r="G148" t="s">
        <v>469</v>
      </c>
      <c r="H148">
        <v>3.5</v>
      </c>
      <c r="I148">
        <v>70</v>
      </c>
      <c r="J148">
        <v>0</v>
      </c>
      <c r="K148">
        <v>0</v>
      </c>
      <c r="L148" t="s">
        <v>178</v>
      </c>
      <c r="M148" t="s">
        <v>118</v>
      </c>
      <c r="N148">
        <v>40</v>
      </c>
      <c r="O148">
        <v>2</v>
      </c>
      <c r="P148" t="s">
        <v>118</v>
      </c>
      <c r="Q148">
        <v>300</v>
      </c>
      <c r="R148">
        <v>0</v>
      </c>
      <c r="S148">
        <v>0</v>
      </c>
      <c r="T148">
        <v>5</v>
      </c>
      <c r="U148" s="1" t="s">
        <v>647</v>
      </c>
      <c r="V148">
        <v>250</v>
      </c>
      <c r="W148">
        <v>0</v>
      </c>
      <c r="X148">
        <v>8</v>
      </c>
      <c r="Y148">
        <v>0</v>
      </c>
      <c r="Z148" t="s">
        <v>288</v>
      </c>
      <c r="AA148">
        <v>1.2</v>
      </c>
      <c r="AB148" t="s">
        <v>111</v>
      </c>
      <c r="AC148">
        <v>0</v>
      </c>
      <c r="AD148" t="s">
        <v>416</v>
      </c>
      <c r="AE148">
        <v>0</v>
      </c>
      <c r="AF148">
        <v>0</v>
      </c>
      <c r="AG148" t="s">
        <v>111</v>
      </c>
      <c r="AH148" t="s">
        <v>113</v>
      </c>
      <c r="AI148" t="s">
        <v>111</v>
      </c>
      <c r="AJ148" t="s">
        <v>111</v>
      </c>
      <c r="AK148" t="s">
        <v>111</v>
      </c>
      <c r="AL148" t="s">
        <v>111</v>
      </c>
      <c r="AM148">
        <v>0</v>
      </c>
      <c r="AN148">
        <v>0</v>
      </c>
      <c r="AO148">
        <v>0</v>
      </c>
      <c r="AP148" t="s">
        <v>111</v>
      </c>
      <c r="AQ148" t="s">
        <v>111</v>
      </c>
      <c r="AR148" t="s">
        <v>111</v>
      </c>
      <c r="AS148" t="s">
        <v>111</v>
      </c>
      <c r="AT148" t="s">
        <v>111</v>
      </c>
      <c r="AU148" t="s">
        <v>111</v>
      </c>
      <c r="AV148" t="s">
        <v>111</v>
      </c>
      <c r="AW148" t="s">
        <v>111</v>
      </c>
      <c r="AX148" t="s">
        <v>111</v>
      </c>
      <c r="AY148" t="s">
        <v>111</v>
      </c>
      <c r="AZ148" t="s">
        <v>111</v>
      </c>
      <c r="BA148" t="s">
        <v>111</v>
      </c>
      <c r="BB148" t="s">
        <v>111</v>
      </c>
      <c r="BC148" t="s">
        <v>111</v>
      </c>
      <c r="BD148" t="s">
        <v>111</v>
      </c>
      <c r="BE148" t="s">
        <v>111</v>
      </c>
      <c r="BF148" t="s">
        <v>111</v>
      </c>
      <c r="BG148" t="s">
        <v>111</v>
      </c>
      <c r="BH148" t="s">
        <v>111</v>
      </c>
      <c r="BI148" t="s">
        <v>111</v>
      </c>
      <c r="BJ148" t="s">
        <v>111</v>
      </c>
      <c r="BK148" t="s">
        <v>111</v>
      </c>
      <c r="BL148" t="s">
        <v>111</v>
      </c>
      <c r="BM148" t="s">
        <v>111</v>
      </c>
      <c r="BN148" t="s">
        <v>111</v>
      </c>
      <c r="BO148" t="s">
        <v>111</v>
      </c>
      <c r="BP148" t="s">
        <v>111</v>
      </c>
      <c r="BQ148" t="s">
        <v>111</v>
      </c>
      <c r="BR148" t="s">
        <v>111</v>
      </c>
      <c r="BS148" t="s">
        <v>111</v>
      </c>
      <c r="BT148" t="s">
        <v>111</v>
      </c>
      <c r="BU148" t="s">
        <v>111</v>
      </c>
      <c r="BV148" t="s">
        <v>111</v>
      </c>
      <c r="BW148" t="s">
        <v>111</v>
      </c>
      <c r="BX148" t="s">
        <v>111</v>
      </c>
      <c r="BY148" t="s">
        <v>111</v>
      </c>
      <c r="BZ148" t="s">
        <v>111</v>
      </c>
      <c r="CA148" t="s">
        <v>111</v>
      </c>
      <c r="CB148" t="s">
        <v>111</v>
      </c>
      <c r="CC148" t="s">
        <v>111</v>
      </c>
      <c r="CD148" t="s">
        <v>111</v>
      </c>
      <c r="CE148" t="s">
        <v>111</v>
      </c>
      <c r="CF148" t="s">
        <v>111</v>
      </c>
      <c r="CG148" t="s">
        <v>111</v>
      </c>
      <c r="CH148" t="s">
        <v>111</v>
      </c>
      <c r="CI148" t="s">
        <v>111</v>
      </c>
      <c r="CJ148" t="s">
        <v>111</v>
      </c>
      <c r="CK148" t="s">
        <v>111</v>
      </c>
      <c r="CL148" t="s">
        <v>111</v>
      </c>
      <c r="CM148" t="s">
        <v>438</v>
      </c>
      <c r="CN148" t="s">
        <v>113</v>
      </c>
      <c r="CO148" t="s">
        <v>367</v>
      </c>
      <c r="CP148" t="e">
        <f>-MUESTRA</f>
        <v>#NAME?</v>
      </c>
      <c r="CQ148">
        <v>28</v>
      </c>
      <c r="CR148">
        <v>1000</v>
      </c>
      <c r="CS148">
        <v>100</v>
      </c>
      <c r="CT148" s="1" t="s">
        <v>588</v>
      </c>
      <c r="CU148">
        <v>0</v>
      </c>
      <c r="CV148" t="s">
        <v>111</v>
      </c>
      <c r="CW148" t="s">
        <v>111</v>
      </c>
      <c r="CX148" t="s">
        <v>111</v>
      </c>
      <c r="CY148">
        <v>0</v>
      </c>
      <c r="CZ148" t="s">
        <v>111</v>
      </c>
      <c r="DA148" t="s">
        <v>111</v>
      </c>
      <c r="DB148" t="e">
        <f>-INTERNO</f>
        <v>#NAME?</v>
      </c>
      <c r="DC148" t="e">
        <f>-TROQUEL RIÑON</f>
        <v>#NAME?</v>
      </c>
    </row>
    <row r="149" spans="1:107">
      <c r="A149">
        <v>1274</v>
      </c>
      <c r="B149" t="s">
        <v>107</v>
      </c>
      <c r="C149" t="s">
        <v>336</v>
      </c>
      <c r="D149" t="s">
        <v>648</v>
      </c>
      <c r="E149" t="s">
        <v>649</v>
      </c>
      <c r="F149" t="s">
        <v>650</v>
      </c>
      <c r="G149" t="s">
        <v>469</v>
      </c>
      <c r="H149">
        <v>2</v>
      </c>
      <c r="I149">
        <v>60</v>
      </c>
      <c r="J149">
        <v>0</v>
      </c>
      <c r="K149">
        <v>0</v>
      </c>
      <c r="L149" t="s">
        <v>112</v>
      </c>
      <c r="M149" t="s">
        <v>118</v>
      </c>
      <c r="N149">
        <v>0</v>
      </c>
      <c r="O149">
        <v>2</v>
      </c>
      <c r="P149" t="s">
        <v>111</v>
      </c>
      <c r="Q149">
        <v>33.299999999999997</v>
      </c>
      <c r="R149">
        <v>0</v>
      </c>
      <c r="S149">
        <v>0</v>
      </c>
      <c r="T149">
        <v>0</v>
      </c>
      <c r="U149" t="e">
        <f>-IMPRESO DARMA</f>
        <v>#NAME?</v>
      </c>
      <c r="V149">
        <v>25</v>
      </c>
      <c r="W149">
        <v>0</v>
      </c>
      <c r="X149">
        <v>5</v>
      </c>
      <c r="Y149">
        <v>0</v>
      </c>
      <c r="Z149" t="s">
        <v>111</v>
      </c>
      <c r="AA149">
        <v>0</v>
      </c>
      <c r="AB149" t="s">
        <v>111</v>
      </c>
      <c r="AC149">
        <v>0</v>
      </c>
      <c r="AD149" t="s">
        <v>416</v>
      </c>
      <c r="AE149">
        <v>0</v>
      </c>
      <c r="AF149">
        <v>0</v>
      </c>
      <c r="AG149" t="s">
        <v>111</v>
      </c>
      <c r="AH149" t="s">
        <v>128</v>
      </c>
      <c r="AI149" t="s">
        <v>111</v>
      </c>
      <c r="AJ149" t="s">
        <v>111</v>
      </c>
      <c r="AK149" t="s">
        <v>111</v>
      </c>
      <c r="AL149" t="s">
        <v>111</v>
      </c>
      <c r="AM149">
        <v>0</v>
      </c>
      <c r="AN149">
        <v>0</v>
      </c>
      <c r="AO149">
        <v>0</v>
      </c>
      <c r="AP149" t="s">
        <v>111</v>
      </c>
      <c r="AQ149" t="s">
        <v>111</v>
      </c>
      <c r="AR149" t="s">
        <v>111</v>
      </c>
      <c r="AS149" t="s">
        <v>111</v>
      </c>
      <c r="AT149" t="s">
        <v>111</v>
      </c>
      <c r="AU149" t="s">
        <v>111</v>
      </c>
      <c r="AV149" t="s">
        <v>111</v>
      </c>
      <c r="AW149" t="s">
        <v>111</v>
      </c>
      <c r="AX149" t="s">
        <v>111</v>
      </c>
      <c r="AY149" t="s">
        <v>111</v>
      </c>
      <c r="AZ149" t="s">
        <v>111</v>
      </c>
      <c r="BA149" t="s">
        <v>111</v>
      </c>
      <c r="BB149" t="s">
        <v>111</v>
      </c>
      <c r="BC149" t="s">
        <v>111</v>
      </c>
      <c r="BD149" t="s">
        <v>111</v>
      </c>
      <c r="BE149" t="s">
        <v>111</v>
      </c>
      <c r="BF149" t="s">
        <v>111</v>
      </c>
      <c r="BG149" t="s">
        <v>111</v>
      </c>
      <c r="BH149" t="s">
        <v>111</v>
      </c>
      <c r="BI149" t="s">
        <v>111</v>
      </c>
      <c r="BJ149" t="s">
        <v>111</v>
      </c>
      <c r="BK149" t="s">
        <v>111</v>
      </c>
      <c r="BL149" t="s">
        <v>111</v>
      </c>
      <c r="BM149" t="s">
        <v>111</v>
      </c>
      <c r="BN149" t="s">
        <v>111</v>
      </c>
      <c r="BO149" t="s">
        <v>111</v>
      </c>
      <c r="BP149" t="s">
        <v>111</v>
      </c>
      <c r="BQ149" t="s">
        <v>111</v>
      </c>
      <c r="BR149" t="s">
        <v>111</v>
      </c>
      <c r="BS149" t="s">
        <v>111</v>
      </c>
      <c r="BT149" t="s">
        <v>111</v>
      </c>
      <c r="BU149" t="s">
        <v>111</v>
      </c>
      <c r="BV149" t="s">
        <v>111</v>
      </c>
      <c r="BW149" t="s">
        <v>111</v>
      </c>
      <c r="BX149" t="s">
        <v>111</v>
      </c>
      <c r="BY149" t="s">
        <v>111</v>
      </c>
      <c r="BZ149" t="s">
        <v>111</v>
      </c>
      <c r="CA149" t="s">
        <v>111</v>
      </c>
      <c r="CB149" t="s">
        <v>111</v>
      </c>
      <c r="CC149" t="s">
        <v>111</v>
      </c>
      <c r="CD149" t="s">
        <v>111</v>
      </c>
      <c r="CE149" t="s">
        <v>111</v>
      </c>
      <c r="CF149" t="s">
        <v>111</v>
      </c>
      <c r="CG149" t="s">
        <v>111</v>
      </c>
      <c r="CH149" t="s">
        <v>111</v>
      </c>
      <c r="CI149" t="s">
        <v>111</v>
      </c>
      <c r="CJ149" t="s">
        <v>111</v>
      </c>
      <c r="CK149" t="s">
        <v>111</v>
      </c>
      <c r="CL149" t="e">
        <f>-ALMACEN</f>
        <v>#NAME?</v>
      </c>
      <c r="CM149" t="s">
        <v>111</v>
      </c>
      <c r="CN149" t="s">
        <v>111</v>
      </c>
      <c r="CO149" t="s">
        <v>111</v>
      </c>
      <c r="CP149" t="s">
        <v>111</v>
      </c>
      <c r="CQ149">
        <v>0</v>
      </c>
      <c r="CR149">
        <v>0</v>
      </c>
      <c r="CS149">
        <v>0</v>
      </c>
      <c r="CT149" t="s">
        <v>111</v>
      </c>
      <c r="CU149">
        <v>0</v>
      </c>
      <c r="CV149" t="s">
        <v>111</v>
      </c>
      <c r="CW149" t="s">
        <v>111</v>
      </c>
      <c r="CX149" t="s">
        <v>111</v>
      </c>
      <c r="CY149">
        <v>0</v>
      </c>
      <c r="CZ149" t="s">
        <v>111</v>
      </c>
      <c r="DA149" t="s">
        <v>111</v>
      </c>
      <c r="DB149" t="s">
        <v>111</v>
      </c>
      <c r="DC149" t="s">
        <v>111</v>
      </c>
    </row>
    <row r="150" spans="1:107">
      <c r="A150">
        <v>1310</v>
      </c>
      <c r="B150" t="s">
        <v>107</v>
      </c>
      <c r="C150" t="s">
        <v>114</v>
      </c>
      <c r="D150" t="s">
        <v>651</v>
      </c>
      <c r="E150" t="s">
        <v>652</v>
      </c>
      <c r="F150" t="s">
        <v>431</v>
      </c>
      <c r="G150" t="s">
        <v>469</v>
      </c>
      <c r="H150">
        <v>2.9</v>
      </c>
      <c r="I150">
        <v>46</v>
      </c>
      <c r="J150">
        <v>0</v>
      </c>
      <c r="K150">
        <v>0</v>
      </c>
      <c r="L150" t="s">
        <v>117</v>
      </c>
      <c r="M150" t="s">
        <v>118</v>
      </c>
      <c r="N150">
        <v>39</v>
      </c>
      <c r="O150">
        <v>1</v>
      </c>
      <c r="P150" t="s">
        <v>111</v>
      </c>
      <c r="Q150">
        <v>51.4</v>
      </c>
      <c r="R150">
        <v>0</v>
      </c>
      <c r="S150">
        <v>0</v>
      </c>
      <c r="T150">
        <v>5</v>
      </c>
      <c r="U150" s="1" t="s">
        <v>653</v>
      </c>
      <c r="V150">
        <v>0</v>
      </c>
      <c r="W150">
        <v>25</v>
      </c>
      <c r="X150">
        <v>8</v>
      </c>
      <c r="Y150">
        <v>0</v>
      </c>
      <c r="Z150" t="s">
        <v>111</v>
      </c>
      <c r="AA150">
        <v>0</v>
      </c>
      <c r="AB150" t="s">
        <v>479</v>
      </c>
      <c r="AC150">
        <v>8</v>
      </c>
      <c r="AD150" t="s">
        <v>427</v>
      </c>
      <c r="AE150">
        <v>0</v>
      </c>
      <c r="AF150">
        <v>0</v>
      </c>
      <c r="AG150" t="s">
        <v>111</v>
      </c>
      <c r="AH150" t="s">
        <v>113</v>
      </c>
      <c r="AI150" t="s">
        <v>111</v>
      </c>
      <c r="AJ150" t="s">
        <v>111</v>
      </c>
      <c r="AK150" t="s">
        <v>111</v>
      </c>
      <c r="AL150" t="s">
        <v>111</v>
      </c>
      <c r="AM150">
        <v>0</v>
      </c>
      <c r="AN150">
        <v>0</v>
      </c>
      <c r="AO150">
        <v>0</v>
      </c>
      <c r="AP150" t="s">
        <v>111</v>
      </c>
      <c r="AQ150" t="s">
        <v>111</v>
      </c>
      <c r="AR150" t="s">
        <v>111</v>
      </c>
      <c r="AS150" t="s">
        <v>111</v>
      </c>
      <c r="AT150" t="s">
        <v>111</v>
      </c>
      <c r="AU150" t="s">
        <v>111</v>
      </c>
      <c r="AV150" t="s">
        <v>111</v>
      </c>
      <c r="AW150" t="s">
        <v>111</v>
      </c>
      <c r="AX150" t="s">
        <v>111</v>
      </c>
      <c r="AY150" t="s">
        <v>111</v>
      </c>
      <c r="AZ150" t="s">
        <v>111</v>
      </c>
      <c r="BA150" t="s">
        <v>111</v>
      </c>
      <c r="BB150" t="s">
        <v>111</v>
      </c>
      <c r="BC150" t="s">
        <v>111</v>
      </c>
      <c r="BD150" t="s">
        <v>111</v>
      </c>
      <c r="BE150" t="s">
        <v>111</v>
      </c>
      <c r="BF150" t="s">
        <v>111</v>
      </c>
      <c r="BG150" t="s">
        <v>111</v>
      </c>
      <c r="BH150" t="s">
        <v>111</v>
      </c>
      <c r="BI150" t="s">
        <v>111</v>
      </c>
      <c r="BJ150" t="s">
        <v>111</v>
      </c>
      <c r="BK150" t="s">
        <v>111</v>
      </c>
      <c r="BL150" t="s">
        <v>111</v>
      </c>
      <c r="BM150" t="s">
        <v>111</v>
      </c>
      <c r="BN150" t="s">
        <v>111</v>
      </c>
      <c r="BO150" t="s">
        <v>111</v>
      </c>
      <c r="BP150" t="s">
        <v>111</v>
      </c>
      <c r="BQ150" t="s">
        <v>111</v>
      </c>
      <c r="BR150" t="s">
        <v>111</v>
      </c>
      <c r="BS150" t="s">
        <v>111</v>
      </c>
      <c r="BT150" t="s">
        <v>111</v>
      </c>
      <c r="BU150" t="s">
        <v>111</v>
      </c>
      <c r="BV150" t="s">
        <v>111</v>
      </c>
      <c r="BW150" t="s">
        <v>111</v>
      </c>
      <c r="BX150" t="s">
        <v>111</v>
      </c>
      <c r="BY150" t="s">
        <v>111</v>
      </c>
      <c r="BZ150" t="s">
        <v>111</v>
      </c>
      <c r="CA150" t="s">
        <v>111</v>
      </c>
      <c r="CB150" t="s">
        <v>111</v>
      </c>
      <c r="CC150" t="s">
        <v>111</v>
      </c>
      <c r="CD150" t="s">
        <v>111</v>
      </c>
      <c r="CE150" t="s">
        <v>111</v>
      </c>
      <c r="CF150" t="s">
        <v>111</v>
      </c>
      <c r="CG150" t="s">
        <v>111</v>
      </c>
      <c r="CH150" t="s">
        <v>111</v>
      </c>
      <c r="CI150" t="s">
        <v>111</v>
      </c>
      <c r="CJ150" t="s">
        <v>111</v>
      </c>
      <c r="CK150" t="s">
        <v>111</v>
      </c>
      <c r="CL150" t="s">
        <v>111</v>
      </c>
      <c r="CM150" t="s">
        <v>135</v>
      </c>
      <c r="CN150" t="s">
        <v>113</v>
      </c>
      <c r="CO150" t="s">
        <v>111</v>
      </c>
      <c r="CP150" t="s">
        <v>111</v>
      </c>
      <c r="CQ150">
        <v>0</v>
      </c>
      <c r="CR150">
        <v>5000</v>
      </c>
      <c r="CS150">
        <v>200</v>
      </c>
      <c r="CT150" t="e">
        <f>-DESTINO ALMCEN</f>
        <v>#NAME?</v>
      </c>
      <c r="CU150">
        <v>0</v>
      </c>
      <c r="CV150" t="s">
        <v>111</v>
      </c>
      <c r="CW150" t="s">
        <v>111</v>
      </c>
      <c r="CX150" t="s">
        <v>111</v>
      </c>
      <c r="CY150">
        <v>0</v>
      </c>
      <c r="CZ150" t="s">
        <v>111</v>
      </c>
      <c r="DA150" t="s">
        <v>111</v>
      </c>
      <c r="DB150" t="s">
        <v>111</v>
      </c>
      <c r="DC150" t="s">
        <v>111</v>
      </c>
    </row>
    <row r="151" spans="1:107">
      <c r="A151">
        <v>1203</v>
      </c>
      <c r="B151" t="s">
        <v>107</v>
      </c>
      <c r="C151" t="s">
        <v>654</v>
      </c>
      <c r="D151" t="s">
        <v>655</v>
      </c>
      <c r="E151" t="s">
        <v>656</v>
      </c>
      <c r="F151" t="s">
        <v>657</v>
      </c>
      <c r="G151" t="s">
        <v>469</v>
      </c>
      <c r="H151">
        <v>3</v>
      </c>
      <c r="I151">
        <v>50</v>
      </c>
      <c r="J151">
        <v>0</v>
      </c>
      <c r="K151">
        <v>0</v>
      </c>
      <c r="L151" t="s">
        <v>112</v>
      </c>
      <c r="M151" t="s">
        <v>138</v>
      </c>
      <c r="N151">
        <v>0</v>
      </c>
      <c r="O151">
        <v>1</v>
      </c>
      <c r="P151" t="s">
        <v>111</v>
      </c>
      <c r="Q151">
        <v>3</v>
      </c>
      <c r="R151">
        <v>0</v>
      </c>
      <c r="S151">
        <v>0</v>
      </c>
      <c r="T151">
        <v>5</v>
      </c>
      <c r="U151" t="e">
        <f>-DESTNO SELLADO</f>
        <v>#NAME?</v>
      </c>
      <c r="V151">
        <v>0</v>
      </c>
      <c r="W151">
        <v>25</v>
      </c>
      <c r="X151">
        <v>8</v>
      </c>
      <c r="Y151">
        <v>0</v>
      </c>
      <c r="Z151" t="s">
        <v>658</v>
      </c>
      <c r="AA151">
        <v>1.5</v>
      </c>
      <c r="AB151" t="s">
        <v>111</v>
      </c>
      <c r="AC151">
        <v>0</v>
      </c>
      <c r="AD151" t="s">
        <v>111</v>
      </c>
      <c r="AE151">
        <v>0</v>
      </c>
      <c r="AF151">
        <v>0</v>
      </c>
      <c r="AG151" t="s">
        <v>111</v>
      </c>
      <c r="AH151" t="s">
        <v>111</v>
      </c>
      <c r="AI151" t="s">
        <v>111</v>
      </c>
      <c r="AJ151" t="s">
        <v>111</v>
      </c>
      <c r="AK151" t="s">
        <v>111</v>
      </c>
      <c r="AL151" t="s">
        <v>111</v>
      </c>
      <c r="AM151">
        <v>0</v>
      </c>
      <c r="AN151">
        <v>0</v>
      </c>
      <c r="AO151">
        <v>0</v>
      </c>
      <c r="AP151" t="s">
        <v>111</v>
      </c>
      <c r="AQ151" t="s">
        <v>111</v>
      </c>
      <c r="AR151" t="s">
        <v>111</v>
      </c>
      <c r="AS151" t="s">
        <v>111</v>
      </c>
      <c r="AT151" t="s">
        <v>111</v>
      </c>
      <c r="AU151" t="s">
        <v>111</v>
      </c>
      <c r="AV151" t="s">
        <v>111</v>
      </c>
      <c r="AW151" t="s">
        <v>111</v>
      </c>
      <c r="AX151" t="s">
        <v>111</v>
      </c>
      <c r="AY151" t="s">
        <v>111</v>
      </c>
      <c r="AZ151" t="s">
        <v>111</v>
      </c>
      <c r="BA151" t="s">
        <v>111</v>
      </c>
      <c r="BB151" t="s">
        <v>111</v>
      </c>
      <c r="BC151" t="s">
        <v>111</v>
      </c>
      <c r="BD151" t="s">
        <v>111</v>
      </c>
      <c r="BE151" t="s">
        <v>111</v>
      </c>
      <c r="BF151" t="s">
        <v>111</v>
      </c>
      <c r="BG151" t="s">
        <v>111</v>
      </c>
      <c r="BH151" t="s">
        <v>111</v>
      </c>
      <c r="BI151" t="s">
        <v>111</v>
      </c>
      <c r="BJ151" t="s">
        <v>111</v>
      </c>
      <c r="BK151" t="s">
        <v>111</v>
      </c>
      <c r="BL151" t="s">
        <v>111</v>
      </c>
      <c r="BM151" t="s">
        <v>111</v>
      </c>
      <c r="BN151" t="s">
        <v>111</v>
      </c>
      <c r="BO151" t="s">
        <v>111</v>
      </c>
      <c r="BP151" t="s">
        <v>111</v>
      </c>
      <c r="BQ151" t="s">
        <v>111</v>
      </c>
      <c r="BR151" t="s">
        <v>111</v>
      </c>
      <c r="BS151" t="s">
        <v>111</v>
      </c>
      <c r="BT151" t="s">
        <v>111</v>
      </c>
      <c r="BU151" t="s">
        <v>111</v>
      </c>
      <c r="BV151" t="s">
        <v>111</v>
      </c>
      <c r="BW151" t="s">
        <v>111</v>
      </c>
      <c r="BX151" t="s">
        <v>111</v>
      </c>
      <c r="BY151" t="s">
        <v>111</v>
      </c>
      <c r="BZ151" t="s">
        <v>111</v>
      </c>
      <c r="CA151" t="s">
        <v>111</v>
      </c>
      <c r="CB151" t="s">
        <v>111</v>
      </c>
      <c r="CC151" t="s">
        <v>111</v>
      </c>
      <c r="CD151" t="s">
        <v>111</v>
      </c>
      <c r="CE151" t="s">
        <v>111</v>
      </c>
      <c r="CF151" t="s">
        <v>111</v>
      </c>
      <c r="CG151" t="s">
        <v>111</v>
      </c>
      <c r="CH151" t="s">
        <v>111</v>
      </c>
      <c r="CI151" t="s">
        <v>111</v>
      </c>
      <c r="CJ151" t="s">
        <v>111</v>
      </c>
      <c r="CK151" t="s">
        <v>111</v>
      </c>
      <c r="CL151" t="s">
        <v>111</v>
      </c>
      <c r="CM151" t="s">
        <v>135</v>
      </c>
      <c r="CN151" t="s">
        <v>113</v>
      </c>
      <c r="CO151" t="s">
        <v>111</v>
      </c>
      <c r="CP151" t="s">
        <v>111</v>
      </c>
      <c r="CQ151">
        <v>0</v>
      </c>
      <c r="CR151">
        <v>0</v>
      </c>
      <c r="CS151">
        <v>50</v>
      </c>
      <c r="CT151" t="s">
        <v>111</v>
      </c>
      <c r="CU151">
        <v>0</v>
      </c>
      <c r="CV151" t="s">
        <v>111</v>
      </c>
      <c r="CW151" t="s">
        <v>111</v>
      </c>
      <c r="CX151" t="s">
        <v>111</v>
      </c>
      <c r="CY151">
        <v>0</v>
      </c>
      <c r="CZ151" t="s">
        <v>111</v>
      </c>
      <c r="DA151" t="s">
        <v>111</v>
      </c>
      <c r="DB151" t="e">
        <f>-INTERNO</f>
        <v>#NAME?</v>
      </c>
      <c r="DC151" t="e">
        <f>-SELLAR Y COLOCAR CORDON</f>
        <v>#NAME?</v>
      </c>
    </row>
    <row r="152" spans="1:107">
      <c r="A152">
        <v>1309</v>
      </c>
      <c r="B152" t="s">
        <v>107</v>
      </c>
      <c r="C152" t="s">
        <v>659</v>
      </c>
      <c r="D152" t="s">
        <v>660</v>
      </c>
      <c r="E152" t="s">
        <v>661</v>
      </c>
      <c r="F152" t="s">
        <v>561</v>
      </c>
      <c r="G152" t="s">
        <v>469</v>
      </c>
      <c r="H152">
        <v>2.9</v>
      </c>
      <c r="I152">
        <v>50</v>
      </c>
      <c r="J152">
        <v>0</v>
      </c>
      <c r="K152">
        <v>0</v>
      </c>
      <c r="L152" t="s">
        <v>112</v>
      </c>
      <c r="M152" t="s">
        <v>118</v>
      </c>
      <c r="N152">
        <v>0</v>
      </c>
      <c r="O152">
        <v>1</v>
      </c>
      <c r="P152" t="s">
        <v>111</v>
      </c>
      <c r="Q152">
        <v>50</v>
      </c>
      <c r="R152">
        <v>0</v>
      </c>
      <c r="S152">
        <v>0</v>
      </c>
      <c r="T152">
        <v>5</v>
      </c>
      <c r="U152" s="1" t="s">
        <v>662</v>
      </c>
      <c r="V152">
        <v>25</v>
      </c>
      <c r="W152">
        <v>0</v>
      </c>
      <c r="X152">
        <v>8</v>
      </c>
      <c r="Y152">
        <v>0</v>
      </c>
      <c r="Z152" t="s">
        <v>288</v>
      </c>
      <c r="AA152">
        <v>1.3</v>
      </c>
      <c r="AB152" t="s">
        <v>111</v>
      </c>
      <c r="AC152">
        <v>0</v>
      </c>
      <c r="AD152" t="s">
        <v>416</v>
      </c>
      <c r="AE152">
        <v>0</v>
      </c>
      <c r="AF152">
        <v>0</v>
      </c>
      <c r="AG152" t="s">
        <v>111</v>
      </c>
      <c r="AH152" t="s">
        <v>113</v>
      </c>
      <c r="AI152" t="s">
        <v>111</v>
      </c>
      <c r="AJ152" t="s">
        <v>111</v>
      </c>
      <c r="AK152" t="s">
        <v>111</v>
      </c>
      <c r="AL152" t="s">
        <v>111</v>
      </c>
      <c r="AM152">
        <v>0</v>
      </c>
      <c r="AN152">
        <v>0</v>
      </c>
      <c r="AO152">
        <v>0</v>
      </c>
      <c r="AP152" t="s">
        <v>111</v>
      </c>
      <c r="AQ152" t="s">
        <v>111</v>
      </c>
      <c r="AR152" t="s">
        <v>111</v>
      </c>
      <c r="AS152" t="s">
        <v>111</v>
      </c>
      <c r="AT152" t="s">
        <v>111</v>
      </c>
      <c r="AU152" t="s">
        <v>111</v>
      </c>
      <c r="AV152" t="s">
        <v>111</v>
      </c>
      <c r="AW152" t="s">
        <v>111</v>
      </c>
      <c r="AX152" t="s">
        <v>111</v>
      </c>
      <c r="AY152" t="s">
        <v>111</v>
      </c>
      <c r="AZ152" t="s">
        <v>111</v>
      </c>
      <c r="BA152" t="s">
        <v>111</v>
      </c>
      <c r="BB152" t="s">
        <v>111</v>
      </c>
      <c r="BC152" t="s">
        <v>111</v>
      </c>
      <c r="BD152" t="s">
        <v>111</v>
      </c>
      <c r="BE152" t="s">
        <v>111</v>
      </c>
      <c r="BF152" t="s">
        <v>111</v>
      </c>
      <c r="BG152" t="s">
        <v>111</v>
      </c>
      <c r="BH152" t="s">
        <v>111</v>
      </c>
      <c r="BI152" t="s">
        <v>111</v>
      </c>
      <c r="BJ152" t="s">
        <v>111</v>
      </c>
      <c r="BK152" t="s">
        <v>111</v>
      </c>
      <c r="BL152" t="s">
        <v>111</v>
      </c>
      <c r="BM152" t="s">
        <v>111</v>
      </c>
      <c r="BN152" t="s">
        <v>111</v>
      </c>
      <c r="BO152" t="s">
        <v>111</v>
      </c>
      <c r="BP152" t="s">
        <v>111</v>
      </c>
      <c r="BQ152" t="s">
        <v>111</v>
      </c>
      <c r="BR152" t="s">
        <v>111</v>
      </c>
      <c r="BS152" t="s">
        <v>111</v>
      </c>
      <c r="BT152" t="s">
        <v>111</v>
      </c>
      <c r="BU152" t="s">
        <v>111</v>
      </c>
      <c r="BV152" t="s">
        <v>111</v>
      </c>
      <c r="BW152" t="s">
        <v>111</v>
      </c>
      <c r="BX152" t="s">
        <v>111</v>
      </c>
      <c r="BY152" t="s">
        <v>111</v>
      </c>
      <c r="BZ152" t="s">
        <v>111</v>
      </c>
      <c r="CA152" t="s">
        <v>111</v>
      </c>
      <c r="CB152" t="s">
        <v>111</v>
      </c>
      <c r="CC152" t="s">
        <v>111</v>
      </c>
      <c r="CD152" t="s">
        <v>111</v>
      </c>
      <c r="CE152" t="s">
        <v>111</v>
      </c>
      <c r="CF152" t="s">
        <v>111</v>
      </c>
      <c r="CG152" t="s">
        <v>111</v>
      </c>
      <c r="CH152" t="s">
        <v>111</v>
      </c>
      <c r="CI152" t="s">
        <v>111</v>
      </c>
      <c r="CJ152" t="s">
        <v>111</v>
      </c>
      <c r="CK152" t="s">
        <v>111</v>
      </c>
      <c r="CL152" t="s">
        <v>111</v>
      </c>
      <c r="CM152" t="s">
        <v>135</v>
      </c>
      <c r="CN152" t="s">
        <v>113</v>
      </c>
      <c r="CO152" t="s">
        <v>111</v>
      </c>
      <c r="CP152" t="s">
        <v>563</v>
      </c>
      <c r="CQ152">
        <v>45</v>
      </c>
      <c r="CR152">
        <v>800</v>
      </c>
      <c r="CS152">
        <v>50</v>
      </c>
      <c r="CT152" s="1" t="s">
        <v>663</v>
      </c>
      <c r="CU152">
        <v>0</v>
      </c>
      <c r="CV152" t="s">
        <v>111</v>
      </c>
      <c r="CW152" t="s">
        <v>111</v>
      </c>
      <c r="CX152" t="s">
        <v>111</v>
      </c>
      <c r="CY152">
        <v>0</v>
      </c>
      <c r="CZ152" t="s">
        <v>111</v>
      </c>
      <c r="DA152" t="s">
        <v>111</v>
      </c>
      <c r="DB152" t="e">
        <f>-INTERNO</f>
        <v>#NAME?</v>
      </c>
      <c r="DC152" t="e">
        <f>-TROQUEL</f>
        <v>#NAME?</v>
      </c>
    </row>
    <row r="153" spans="1:107">
      <c r="A153">
        <v>1304</v>
      </c>
      <c r="B153" t="s">
        <v>107</v>
      </c>
      <c r="C153" t="s">
        <v>114</v>
      </c>
      <c r="D153" t="s">
        <v>476</v>
      </c>
      <c r="E153" t="s">
        <v>664</v>
      </c>
      <c r="F153" t="s">
        <v>358</v>
      </c>
      <c r="G153" t="s">
        <v>469</v>
      </c>
      <c r="H153">
        <v>2.7</v>
      </c>
      <c r="I153">
        <v>70.3</v>
      </c>
      <c r="J153">
        <v>0</v>
      </c>
      <c r="K153">
        <v>0</v>
      </c>
      <c r="L153" t="s">
        <v>117</v>
      </c>
      <c r="M153" t="s">
        <v>118</v>
      </c>
      <c r="N153">
        <v>39</v>
      </c>
      <c r="O153">
        <v>1</v>
      </c>
      <c r="P153" t="s">
        <v>138</v>
      </c>
      <c r="Q153">
        <v>57.9</v>
      </c>
      <c r="R153">
        <v>0</v>
      </c>
      <c r="S153">
        <v>0</v>
      </c>
      <c r="T153">
        <v>5</v>
      </c>
      <c r="U153" s="1" t="s">
        <v>665</v>
      </c>
      <c r="V153">
        <v>0</v>
      </c>
      <c r="W153">
        <v>25</v>
      </c>
      <c r="X153">
        <v>8</v>
      </c>
      <c r="Y153">
        <v>0</v>
      </c>
      <c r="Z153" t="s">
        <v>111</v>
      </c>
      <c r="AA153">
        <v>0</v>
      </c>
      <c r="AB153" t="s">
        <v>523</v>
      </c>
      <c r="AC153">
        <v>8</v>
      </c>
      <c r="AD153" t="s">
        <v>427</v>
      </c>
      <c r="AE153">
        <v>0</v>
      </c>
      <c r="AF153">
        <v>0</v>
      </c>
      <c r="AG153" t="s">
        <v>111</v>
      </c>
      <c r="AH153" t="s">
        <v>128</v>
      </c>
      <c r="AI153" t="s">
        <v>111</v>
      </c>
      <c r="AJ153" t="s">
        <v>111</v>
      </c>
      <c r="AK153" t="s">
        <v>111</v>
      </c>
      <c r="AL153" t="s">
        <v>111</v>
      </c>
      <c r="AM153">
        <v>0</v>
      </c>
      <c r="AN153">
        <v>0</v>
      </c>
      <c r="AO153">
        <v>0</v>
      </c>
      <c r="AP153" t="s">
        <v>111</v>
      </c>
      <c r="AQ153" t="s">
        <v>111</v>
      </c>
      <c r="AR153" t="s">
        <v>111</v>
      </c>
      <c r="AS153" t="s">
        <v>111</v>
      </c>
      <c r="AT153" t="s">
        <v>111</v>
      </c>
      <c r="AU153" t="s">
        <v>111</v>
      </c>
      <c r="AV153" t="s">
        <v>111</v>
      </c>
      <c r="AW153" t="s">
        <v>111</v>
      </c>
      <c r="AX153" t="s">
        <v>111</v>
      </c>
      <c r="AY153" t="s">
        <v>111</v>
      </c>
      <c r="AZ153" t="s">
        <v>111</v>
      </c>
      <c r="BA153" t="s">
        <v>111</v>
      </c>
      <c r="BB153" t="s">
        <v>111</v>
      </c>
      <c r="BC153" t="s">
        <v>111</v>
      </c>
      <c r="BD153" t="s">
        <v>111</v>
      </c>
      <c r="BE153" t="s">
        <v>111</v>
      </c>
      <c r="BF153" t="s">
        <v>111</v>
      </c>
      <c r="BG153" t="s">
        <v>111</v>
      </c>
      <c r="BH153" t="s">
        <v>111</v>
      </c>
      <c r="BI153" t="s">
        <v>111</v>
      </c>
      <c r="BJ153" t="s">
        <v>111</v>
      </c>
      <c r="BK153" t="s">
        <v>111</v>
      </c>
      <c r="BL153" t="s">
        <v>111</v>
      </c>
      <c r="BM153" t="s">
        <v>111</v>
      </c>
      <c r="BN153" t="s">
        <v>111</v>
      </c>
      <c r="BO153" t="s">
        <v>111</v>
      </c>
      <c r="BP153" t="s">
        <v>111</v>
      </c>
      <c r="BQ153" t="s">
        <v>111</v>
      </c>
      <c r="BR153" t="s">
        <v>111</v>
      </c>
      <c r="BS153" t="s">
        <v>111</v>
      </c>
      <c r="BT153" t="s">
        <v>111</v>
      </c>
      <c r="BU153" t="s">
        <v>111</v>
      </c>
      <c r="BV153" t="s">
        <v>111</v>
      </c>
      <c r="BW153" t="s">
        <v>111</v>
      </c>
      <c r="BX153" t="s">
        <v>111</v>
      </c>
      <c r="BY153" t="s">
        <v>111</v>
      </c>
      <c r="BZ153" t="s">
        <v>111</v>
      </c>
      <c r="CA153" t="s">
        <v>111</v>
      </c>
      <c r="CB153" t="s">
        <v>111</v>
      </c>
      <c r="CC153" t="s">
        <v>111</v>
      </c>
      <c r="CD153" t="s">
        <v>111</v>
      </c>
      <c r="CE153" t="s">
        <v>111</v>
      </c>
      <c r="CF153" t="s">
        <v>111</v>
      </c>
      <c r="CG153" t="s">
        <v>111</v>
      </c>
      <c r="CH153" t="s">
        <v>111</v>
      </c>
      <c r="CI153" t="s">
        <v>111</v>
      </c>
      <c r="CJ153" t="s">
        <v>111</v>
      </c>
      <c r="CK153" t="s">
        <v>111</v>
      </c>
      <c r="CL153" t="s">
        <v>111</v>
      </c>
      <c r="CM153" t="s">
        <v>111</v>
      </c>
      <c r="CN153" t="s">
        <v>111</v>
      </c>
      <c r="CO153" t="s">
        <v>111</v>
      </c>
      <c r="CP153" t="s">
        <v>111</v>
      </c>
      <c r="CQ153">
        <v>0</v>
      </c>
      <c r="CR153">
        <v>0</v>
      </c>
      <c r="CS153">
        <v>0</v>
      </c>
      <c r="CT153" t="s">
        <v>111</v>
      </c>
      <c r="CU153">
        <v>0</v>
      </c>
      <c r="CV153" t="s">
        <v>111</v>
      </c>
      <c r="CW153" t="s">
        <v>111</v>
      </c>
      <c r="CX153" t="s">
        <v>111</v>
      </c>
      <c r="CY153">
        <v>0</v>
      </c>
      <c r="CZ153" t="s">
        <v>111</v>
      </c>
      <c r="DA153" t="s">
        <v>111</v>
      </c>
      <c r="DB153" t="s">
        <v>111</v>
      </c>
      <c r="DC153" t="s">
        <v>111</v>
      </c>
    </row>
    <row r="154" spans="1:107">
      <c r="A154">
        <v>1224</v>
      </c>
      <c r="B154" t="s">
        <v>107</v>
      </c>
      <c r="C154" t="s">
        <v>466</v>
      </c>
      <c r="D154" t="s">
        <v>666</v>
      </c>
      <c r="E154" t="s">
        <v>667</v>
      </c>
      <c r="F154" t="s">
        <v>166</v>
      </c>
      <c r="G154" t="s">
        <v>469</v>
      </c>
      <c r="H154">
        <v>1.65</v>
      </c>
      <c r="I154">
        <v>46</v>
      </c>
      <c r="J154">
        <v>10</v>
      </c>
      <c r="K154">
        <v>10</v>
      </c>
      <c r="L154" t="s">
        <v>112</v>
      </c>
      <c r="M154" t="s">
        <v>111</v>
      </c>
      <c r="N154">
        <v>0</v>
      </c>
      <c r="O154">
        <v>0</v>
      </c>
      <c r="P154" t="s">
        <v>111</v>
      </c>
      <c r="Q154">
        <v>44.1</v>
      </c>
      <c r="R154">
        <v>0</v>
      </c>
      <c r="S154">
        <v>0</v>
      </c>
      <c r="T154">
        <v>0</v>
      </c>
      <c r="U154" s="1" t="s">
        <v>668</v>
      </c>
      <c r="V154">
        <v>25</v>
      </c>
      <c r="W154">
        <v>0</v>
      </c>
      <c r="X154">
        <v>8</v>
      </c>
      <c r="Y154">
        <v>0</v>
      </c>
      <c r="Z154" t="s">
        <v>111</v>
      </c>
      <c r="AA154">
        <v>0</v>
      </c>
      <c r="AB154" t="s">
        <v>111</v>
      </c>
      <c r="AC154">
        <v>0</v>
      </c>
      <c r="AD154" t="s">
        <v>111</v>
      </c>
      <c r="AE154">
        <v>0</v>
      </c>
      <c r="AF154">
        <v>0</v>
      </c>
      <c r="AG154" t="s">
        <v>111</v>
      </c>
      <c r="AH154" t="s">
        <v>111</v>
      </c>
      <c r="AI154" t="s">
        <v>111</v>
      </c>
      <c r="AJ154" t="s">
        <v>111</v>
      </c>
      <c r="AK154" t="s">
        <v>111</v>
      </c>
      <c r="AL154" t="s">
        <v>111</v>
      </c>
      <c r="AM154">
        <v>0</v>
      </c>
      <c r="AN154">
        <v>0</v>
      </c>
      <c r="AO154">
        <v>0</v>
      </c>
      <c r="AP154" t="s">
        <v>111</v>
      </c>
      <c r="AQ154" t="s">
        <v>111</v>
      </c>
      <c r="AR154" t="s">
        <v>111</v>
      </c>
      <c r="AS154" t="s">
        <v>111</v>
      </c>
      <c r="AT154" t="s">
        <v>111</v>
      </c>
      <c r="AU154" t="s">
        <v>111</v>
      </c>
      <c r="AV154" t="s">
        <v>111</v>
      </c>
      <c r="AW154" t="s">
        <v>111</v>
      </c>
      <c r="AX154" t="s">
        <v>111</v>
      </c>
      <c r="AY154" t="s">
        <v>111</v>
      </c>
      <c r="AZ154" t="s">
        <v>111</v>
      </c>
      <c r="BA154" t="s">
        <v>111</v>
      </c>
      <c r="BB154" t="s">
        <v>111</v>
      </c>
      <c r="BC154" t="s">
        <v>111</v>
      </c>
      <c r="BD154" t="s">
        <v>111</v>
      </c>
      <c r="BE154" t="s">
        <v>111</v>
      </c>
      <c r="BF154" t="s">
        <v>111</v>
      </c>
      <c r="BG154" t="s">
        <v>111</v>
      </c>
      <c r="BH154" t="s">
        <v>111</v>
      </c>
      <c r="BI154" t="s">
        <v>111</v>
      </c>
      <c r="BJ154" t="s">
        <v>111</v>
      </c>
      <c r="BK154" t="s">
        <v>111</v>
      </c>
      <c r="BL154" t="s">
        <v>111</v>
      </c>
      <c r="BM154" t="s">
        <v>111</v>
      </c>
      <c r="BN154" t="s">
        <v>111</v>
      </c>
      <c r="BO154" t="s">
        <v>111</v>
      </c>
      <c r="BP154" t="s">
        <v>111</v>
      </c>
      <c r="BQ154" t="s">
        <v>111</v>
      </c>
      <c r="BR154" t="s">
        <v>111</v>
      </c>
      <c r="BS154" t="s">
        <v>111</v>
      </c>
      <c r="BT154" t="s">
        <v>111</v>
      </c>
      <c r="BU154" t="s">
        <v>111</v>
      </c>
      <c r="BV154" t="s">
        <v>111</v>
      </c>
      <c r="BW154" t="s">
        <v>111</v>
      </c>
      <c r="BX154" t="s">
        <v>111</v>
      </c>
      <c r="BY154" t="s">
        <v>111</v>
      </c>
      <c r="BZ154" t="s">
        <v>111</v>
      </c>
      <c r="CA154" t="s">
        <v>111</v>
      </c>
      <c r="CB154" t="s">
        <v>111</v>
      </c>
      <c r="CC154" t="s">
        <v>111</v>
      </c>
      <c r="CD154" t="s">
        <v>111</v>
      </c>
      <c r="CE154" t="s">
        <v>111</v>
      </c>
      <c r="CF154" t="s">
        <v>111</v>
      </c>
      <c r="CG154" t="s">
        <v>111</v>
      </c>
      <c r="CH154" t="s">
        <v>111</v>
      </c>
      <c r="CI154" t="s">
        <v>111</v>
      </c>
      <c r="CJ154" t="s">
        <v>111</v>
      </c>
      <c r="CK154" t="s">
        <v>111</v>
      </c>
      <c r="CL154" t="s">
        <v>111</v>
      </c>
      <c r="CM154" t="s">
        <v>111</v>
      </c>
      <c r="CN154" t="s">
        <v>111</v>
      </c>
      <c r="CO154" t="s">
        <v>111</v>
      </c>
      <c r="CP154" t="s">
        <v>111</v>
      </c>
      <c r="CQ154">
        <v>0</v>
      </c>
      <c r="CR154">
        <v>0</v>
      </c>
      <c r="CS154">
        <v>0</v>
      </c>
      <c r="CT154" t="s">
        <v>111</v>
      </c>
      <c r="CU154">
        <v>0</v>
      </c>
      <c r="CV154" t="s">
        <v>111</v>
      </c>
      <c r="CW154" t="s">
        <v>111</v>
      </c>
      <c r="CX154" t="s">
        <v>111</v>
      </c>
      <c r="CY154">
        <v>0</v>
      </c>
      <c r="CZ154" t="s">
        <v>111</v>
      </c>
      <c r="DA154" t="s">
        <v>111</v>
      </c>
      <c r="DB154" t="s">
        <v>111</v>
      </c>
      <c r="DC154" t="s">
        <v>111</v>
      </c>
    </row>
    <row r="155" spans="1:107">
      <c r="A155">
        <v>1291</v>
      </c>
      <c r="B155" t="s">
        <v>107</v>
      </c>
      <c r="C155" t="s">
        <v>114</v>
      </c>
      <c r="D155" t="s">
        <v>669</v>
      </c>
      <c r="E155" t="s">
        <v>670</v>
      </c>
      <c r="F155" t="s">
        <v>431</v>
      </c>
      <c r="G155" t="s">
        <v>469</v>
      </c>
      <c r="H155">
        <v>2.9</v>
      </c>
      <c r="I155">
        <v>80</v>
      </c>
      <c r="J155">
        <v>0</v>
      </c>
      <c r="K155">
        <v>0</v>
      </c>
      <c r="L155" t="s">
        <v>117</v>
      </c>
      <c r="M155" t="s">
        <v>118</v>
      </c>
      <c r="N155">
        <v>40</v>
      </c>
      <c r="O155">
        <v>1</v>
      </c>
      <c r="P155" t="s">
        <v>111</v>
      </c>
      <c r="Q155">
        <v>36</v>
      </c>
      <c r="R155">
        <v>0</v>
      </c>
      <c r="S155">
        <v>0</v>
      </c>
      <c r="T155">
        <v>5</v>
      </c>
      <c r="U155" s="1" t="s">
        <v>671</v>
      </c>
      <c r="V155">
        <v>0</v>
      </c>
      <c r="W155">
        <v>25</v>
      </c>
      <c r="X155">
        <v>8</v>
      </c>
      <c r="Y155">
        <v>0</v>
      </c>
      <c r="Z155" t="s">
        <v>111</v>
      </c>
      <c r="AA155">
        <v>0</v>
      </c>
      <c r="AB155" t="s">
        <v>672</v>
      </c>
      <c r="AC155">
        <v>8</v>
      </c>
      <c r="AD155" t="s">
        <v>416</v>
      </c>
      <c r="AE155">
        <v>0</v>
      </c>
      <c r="AF155">
        <v>0</v>
      </c>
      <c r="AG155" t="s">
        <v>111</v>
      </c>
      <c r="AH155" t="s">
        <v>113</v>
      </c>
      <c r="AI155" t="s">
        <v>111</v>
      </c>
      <c r="AJ155" t="s">
        <v>111</v>
      </c>
      <c r="AK155" t="s">
        <v>111</v>
      </c>
      <c r="AL155" t="s">
        <v>111</v>
      </c>
      <c r="AM155">
        <v>0</v>
      </c>
      <c r="AN155">
        <v>0</v>
      </c>
      <c r="AO155">
        <v>0</v>
      </c>
      <c r="AP155" t="s">
        <v>111</v>
      </c>
      <c r="AQ155" t="s">
        <v>111</v>
      </c>
      <c r="AR155" t="s">
        <v>111</v>
      </c>
      <c r="AS155" t="s">
        <v>111</v>
      </c>
      <c r="AT155" t="s">
        <v>111</v>
      </c>
      <c r="AU155" t="s">
        <v>111</v>
      </c>
      <c r="AV155" t="s">
        <v>111</v>
      </c>
      <c r="AW155" t="s">
        <v>111</v>
      </c>
      <c r="AX155" t="s">
        <v>111</v>
      </c>
      <c r="AY155" t="s">
        <v>111</v>
      </c>
      <c r="AZ155" t="s">
        <v>111</v>
      </c>
      <c r="BA155" t="s">
        <v>111</v>
      </c>
      <c r="BB155" t="s">
        <v>111</v>
      </c>
      <c r="BC155" t="s">
        <v>111</v>
      </c>
      <c r="BD155" t="s">
        <v>111</v>
      </c>
      <c r="BE155" t="s">
        <v>111</v>
      </c>
      <c r="BF155" t="s">
        <v>111</v>
      </c>
      <c r="BG155" t="s">
        <v>111</v>
      </c>
      <c r="BH155" t="s">
        <v>111</v>
      </c>
      <c r="BI155" t="s">
        <v>111</v>
      </c>
      <c r="BJ155" t="s">
        <v>111</v>
      </c>
      <c r="BK155" t="s">
        <v>111</v>
      </c>
      <c r="BL155" t="s">
        <v>111</v>
      </c>
      <c r="BM155" t="s">
        <v>111</v>
      </c>
      <c r="BN155" t="s">
        <v>111</v>
      </c>
      <c r="BO155" t="s">
        <v>111</v>
      </c>
      <c r="BP155" t="s">
        <v>111</v>
      </c>
      <c r="BQ155" t="s">
        <v>111</v>
      </c>
      <c r="BR155" t="s">
        <v>111</v>
      </c>
      <c r="BS155" t="s">
        <v>111</v>
      </c>
      <c r="BT155" t="s">
        <v>111</v>
      </c>
      <c r="BU155" t="s">
        <v>111</v>
      </c>
      <c r="BV155" t="s">
        <v>111</v>
      </c>
      <c r="BW155" t="s">
        <v>111</v>
      </c>
      <c r="BX155" t="s">
        <v>111</v>
      </c>
      <c r="BY155" t="s">
        <v>111</v>
      </c>
      <c r="BZ155" t="s">
        <v>111</v>
      </c>
      <c r="CA155" t="s">
        <v>111</v>
      </c>
      <c r="CB155" t="s">
        <v>111</v>
      </c>
      <c r="CC155" t="s">
        <v>111</v>
      </c>
      <c r="CD155" t="s">
        <v>111</v>
      </c>
      <c r="CE155" t="s">
        <v>111</v>
      </c>
      <c r="CF155" t="s">
        <v>111</v>
      </c>
      <c r="CG155" t="s">
        <v>111</v>
      </c>
      <c r="CH155" t="s">
        <v>111</v>
      </c>
      <c r="CI155" t="s">
        <v>111</v>
      </c>
      <c r="CJ155" t="s">
        <v>111</v>
      </c>
      <c r="CK155" t="s">
        <v>111</v>
      </c>
      <c r="CL155" t="s">
        <v>111</v>
      </c>
      <c r="CM155" t="s">
        <v>135</v>
      </c>
      <c r="CN155" t="s">
        <v>128</v>
      </c>
      <c r="CO155" t="s">
        <v>111</v>
      </c>
      <c r="CP155" t="s">
        <v>111</v>
      </c>
      <c r="CQ155">
        <v>45</v>
      </c>
      <c r="CR155">
        <v>5000</v>
      </c>
      <c r="CS155">
        <v>100</v>
      </c>
      <c r="CT155" s="1" t="s">
        <v>673</v>
      </c>
      <c r="CU155">
        <v>0</v>
      </c>
      <c r="CV155" t="s">
        <v>111</v>
      </c>
      <c r="CW155" t="s">
        <v>111</v>
      </c>
      <c r="CX155" t="s">
        <v>111</v>
      </c>
      <c r="CY155">
        <v>0</v>
      </c>
      <c r="CZ155" t="s">
        <v>111</v>
      </c>
      <c r="DA155" t="s">
        <v>111</v>
      </c>
      <c r="DB155" t="s">
        <v>111</v>
      </c>
      <c r="DC155" t="s">
        <v>111</v>
      </c>
    </row>
    <row r="156" spans="1:107">
      <c r="A156">
        <v>169</v>
      </c>
      <c r="B156" t="s">
        <v>107</v>
      </c>
      <c r="C156" t="s">
        <v>674</v>
      </c>
      <c r="D156" t="s">
        <v>675</v>
      </c>
      <c r="E156" t="s">
        <v>676</v>
      </c>
      <c r="F156" t="s">
        <v>431</v>
      </c>
      <c r="G156" t="s">
        <v>469</v>
      </c>
      <c r="H156">
        <v>0.9</v>
      </c>
      <c r="I156">
        <v>52</v>
      </c>
      <c r="J156">
        <v>0</v>
      </c>
      <c r="K156">
        <v>0</v>
      </c>
      <c r="L156" t="s">
        <v>112</v>
      </c>
      <c r="M156" t="s">
        <v>118</v>
      </c>
      <c r="N156">
        <v>40</v>
      </c>
      <c r="O156">
        <v>2</v>
      </c>
      <c r="P156" t="s">
        <v>138</v>
      </c>
      <c r="Q156">
        <v>43.5</v>
      </c>
      <c r="R156">
        <v>0</v>
      </c>
      <c r="S156">
        <v>0</v>
      </c>
      <c r="T156">
        <v>0</v>
      </c>
      <c r="U156" s="1" t="s">
        <v>677</v>
      </c>
      <c r="V156">
        <v>0</v>
      </c>
      <c r="W156">
        <v>25</v>
      </c>
      <c r="X156">
        <v>8</v>
      </c>
      <c r="Y156">
        <v>0</v>
      </c>
      <c r="Z156" t="s">
        <v>111</v>
      </c>
      <c r="AA156">
        <v>0</v>
      </c>
      <c r="AB156" t="s">
        <v>111</v>
      </c>
      <c r="AC156">
        <v>0</v>
      </c>
      <c r="AD156" t="s">
        <v>416</v>
      </c>
      <c r="AE156">
        <v>4</v>
      </c>
      <c r="AF156">
        <v>1</v>
      </c>
      <c r="AG156" t="s">
        <v>678</v>
      </c>
      <c r="AH156" t="s">
        <v>111</v>
      </c>
      <c r="AI156">
        <v>42</v>
      </c>
      <c r="AJ156" t="s">
        <v>111</v>
      </c>
      <c r="AK156" t="s">
        <v>111</v>
      </c>
      <c r="AL156" t="s">
        <v>111</v>
      </c>
      <c r="AM156">
        <v>0</v>
      </c>
      <c r="AN156">
        <v>0</v>
      </c>
      <c r="AO156">
        <v>0</v>
      </c>
      <c r="AP156" t="s">
        <v>184</v>
      </c>
      <c r="AQ156" t="s">
        <v>111</v>
      </c>
      <c r="AR156" t="s">
        <v>111</v>
      </c>
      <c r="AS156" t="s">
        <v>111</v>
      </c>
      <c r="AT156" t="s">
        <v>147</v>
      </c>
      <c r="AU156" t="s">
        <v>111</v>
      </c>
      <c r="AV156" t="s">
        <v>111</v>
      </c>
      <c r="AW156" t="s">
        <v>111</v>
      </c>
      <c r="AX156" t="s">
        <v>679</v>
      </c>
      <c r="AY156" t="s">
        <v>111</v>
      </c>
      <c r="AZ156" t="s">
        <v>111</v>
      </c>
      <c r="BA156" t="s">
        <v>111</v>
      </c>
      <c r="BB156" t="s">
        <v>259</v>
      </c>
      <c r="BC156" t="s">
        <v>111</v>
      </c>
      <c r="BD156" t="s">
        <v>111</v>
      </c>
      <c r="BE156" t="s">
        <v>111</v>
      </c>
      <c r="BF156" t="s">
        <v>111</v>
      </c>
      <c r="BG156" t="s">
        <v>111</v>
      </c>
      <c r="BH156" t="s">
        <v>111</v>
      </c>
      <c r="BI156" t="s">
        <v>111</v>
      </c>
      <c r="BJ156" t="s">
        <v>111</v>
      </c>
      <c r="BK156" t="s">
        <v>111</v>
      </c>
      <c r="BL156" t="s">
        <v>111</v>
      </c>
      <c r="BM156" t="s">
        <v>111</v>
      </c>
      <c r="BN156" t="s">
        <v>111</v>
      </c>
      <c r="BO156" t="s">
        <v>111</v>
      </c>
      <c r="BP156" t="s">
        <v>111</v>
      </c>
      <c r="BQ156" t="s">
        <v>111</v>
      </c>
      <c r="BR156" t="s">
        <v>111</v>
      </c>
      <c r="BS156" t="s">
        <v>111</v>
      </c>
      <c r="BT156" t="s">
        <v>111</v>
      </c>
      <c r="BU156" t="s">
        <v>111</v>
      </c>
      <c r="BV156" t="s">
        <v>111</v>
      </c>
      <c r="BW156" t="s">
        <v>111</v>
      </c>
      <c r="BX156" t="s">
        <v>111</v>
      </c>
      <c r="BY156" t="s">
        <v>111</v>
      </c>
      <c r="BZ156" t="s">
        <v>111</v>
      </c>
      <c r="CA156" t="s">
        <v>111</v>
      </c>
      <c r="CB156" t="s">
        <v>111</v>
      </c>
      <c r="CC156" t="s">
        <v>111</v>
      </c>
      <c r="CD156" t="s">
        <v>111</v>
      </c>
      <c r="CE156" t="s">
        <v>111</v>
      </c>
      <c r="CF156" t="s">
        <v>111</v>
      </c>
      <c r="CG156" t="s">
        <v>111</v>
      </c>
      <c r="CH156" t="s">
        <v>111</v>
      </c>
      <c r="CI156" t="s">
        <v>111</v>
      </c>
      <c r="CJ156" t="s">
        <v>111</v>
      </c>
      <c r="CK156" t="s">
        <v>111</v>
      </c>
      <c r="CL156" t="s">
        <v>153</v>
      </c>
      <c r="CM156" t="s">
        <v>198</v>
      </c>
      <c r="CN156" t="s">
        <v>113</v>
      </c>
      <c r="CO156" t="s">
        <v>111</v>
      </c>
      <c r="CP156" t="s">
        <v>433</v>
      </c>
      <c r="CQ156">
        <v>0</v>
      </c>
      <c r="CR156">
        <v>12000</v>
      </c>
      <c r="CS156">
        <v>500</v>
      </c>
      <c r="CT156" s="1" t="s">
        <v>680</v>
      </c>
      <c r="CU156">
        <v>0</v>
      </c>
      <c r="CV156" t="s">
        <v>111</v>
      </c>
      <c r="CW156" t="s">
        <v>111</v>
      </c>
      <c r="CX156" t="s">
        <v>111</v>
      </c>
      <c r="CY156">
        <v>0</v>
      </c>
      <c r="CZ156" t="s">
        <v>111</v>
      </c>
      <c r="DA156" t="s">
        <v>111</v>
      </c>
      <c r="DB156" t="s">
        <v>111</v>
      </c>
      <c r="DC156" t="s">
        <v>111</v>
      </c>
    </row>
    <row r="157" spans="1:107">
      <c r="A157">
        <v>1280</v>
      </c>
      <c r="B157" t="s">
        <v>107</v>
      </c>
      <c r="C157" t="s">
        <v>681</v>
      </c>
      <c r="D157" t="s">
        <v>682</v>
      </c>
      <c r="E157" t="s">
        <v>683</v>
      </c>
      <c r="F157" t="s">
        <v>684</v>
      </c>
      <c r="G157" t="s">
        <v>469</v>
      </c>
      <c r="H157">
        <v>0.45</v>
      </c>
      <c r="I157">
        <v>40</v>
      </c>
      <c r="J157">
        <v>0</v>
      </c>
      <c r="K157">
        <v>0</v>
      </c>
      <c r="L157" t="s">
        <v>112</v>
      </c>
      <c r="M157" t="s">
        <v>111</v>
      </c>
      <c r="N157">
        <v>0</v>
      </c>
      <c r="O157">
        <v>0</v>
      </c>
      <c r="P157" t="s">
        <v>111</v>
      </c>
      <c r="Q157">
        <v>40</v>
      </c>
      <c r="R157">
        <v>0</v>
      </c>
      <c r="S157">
        <v>0</v>
      </c>
      <c r="T157">
        <v>5</v>
      </c>
      <c r="U157" s="1" t="s">
        <v>132</v>
      </c>
      <c r="V157">
        <v>25</v>
      </c>
      <c r="W157">
        <v>0</v>
      </c>
      <c r="X157">
        <v>5</v>
      </c>
      <c r="Y157">
        <v>0</v>
      </c>
      <c r="Z157" t="s">
        <v>111</v>
      </c>
      <c r="AA157">
        <v>0</v>
      </c>
      <c r="AB157" t="s">
        <v>111</v>
      </c>
      <c r="AC157">
        <v>0</v>
      </c>
      <c r="AD157" t="s">
        <v>111</v>
      </c>
      <c r="AE157">
        <v>0</v>
      </c>
      <c r="AF157">
        <v>0</v>
      </c>
      <c r="AG157" t="s">
        <v>111</v>
      </c>
      <c r="AH157" t="s">
        <v>111</v>
      </c>
      <c r="AI157" t="s">
        <v>111</v>
      </c>
      <c r="AJ157" t="s">
        <v>111</v>
      </c>
      <c r="AK157" t="s">
        <v>111</v>
      </c>
      <c r="AL157" t="s">
        <v>111</v>
      </c>
      <c r="AM157">
        <v>0</v>
      </c>
      <c r="AN157">
        <v>0</v>
      </c>
      <c r="AO157">
        <v>0</v>
      </c>
      <c r="AP157" t="s">
        <v>111</v>
      </c>
      <c r="AQ157" t="s">
        <v>111</v>
      </c>
      <c r="AR157" t="s">
        <v>111</v>
      </c>
      <c r="AS157" t="s">
        <v>111</v>
      </c>
      <c r="AT157" t="s">
        <v>111</v>
      </c>
      <c r="AU157" t="s">
        <v>111</v>
      </c>
      <c r="AV157" t="s">
        <v>111</v>
      </c>
      <c r="AW157" t="s">
        <v>111</v>
      </c>
      <c r="AX157" t="s">
        <v>111</v>
      </c>
      <c r="AY157" t="s">
        <v>111</v>
      </c>
      <c r="AZ157" t="s">
        <v>111</v>
      </c>
      <c r="BA157" t="s">
        <v>111</v>
      </c>
      <c r="BB157" t="s">
        <v>111</v>
      </c>
      <c r="BC157" t="s">
        <v>111</v>
      </c>
      <c r="BD157" t="s">
        <v>111</v>
      </c>
      <c r="BE157" t="s">
        <v>111</v>
      </c>
      <c r="BF157" t="s">
        <v>111</v>
      </c>
      <c r="BG157" t="s">
        <v>111</v>
      </c>
      <c r="BH157" t="s">
        <v>111</v>
      </c>
      <c r="BI157" t="s">
        <v>111</v>
      </c>
      <c r="BJ157" t="s">
        <v>111</v>
      </c>
      <c r="BK157" t="s">
        <v>111</v>
      </c>
      <c r="BL157" t="s">
        <v>111</v>
      </c>
      <c r="BM157" t="s">
        <v>111</v>
      </c>
      <c r="BN157" t="s">
        <v>111</v>
      </c>
      <c r="BO157" t="s">
        <v>111</v>
      </c>
      <c r="BP157" t="s">
        <v>111</v>
      </c>
      <c r="BQ157" t="s">
        <v>111</v>
      </c>
      <c r="BR157" t="s">
        <v>111</v>
      </c>
      <c r="BS157" t="s">
        <v>111</v>
      </c>
      <c r="BT157" t="s">
        <v>111</v>
      </c>
      <c r="BU157" t="s">
        <v>111</v>
      </c>
      <c r="BV157" t="s">
        <v>111</v>
      </c>
      <c r="BW157" t="s">
        <v>111</v>
      </c>
      <c r="BX157" t="s">
        <v>111</v>
      </c>
      <c r="BY157" t="s">
        <v>111</v>
      </c>
      <c r="BZ157" t="s">
        <v>111</v>
      </c>
      <c r="CA157" t="s">
        <v>111</v>
      </c>
      <c r="CB157" t="s">
        <v>111</v>
      </c>
      <c r="CC157" t="s">
        <v>111</v>
      </c>
      <c r="CD157" t="s">
        <v>111</v>
      </c>
      <c r="CE157" t="s">
        <v>111</v>
      </c>
      <c r="CF157" t="s">
        <v>111</v>
      </c>
      <c r="CG157" t="s">
        <v>111</v>
      </c>
      <c r="CH157" t="s">
        <v>111</v>
      </c>
      <c r="CI157" t="s">
        <v>111</v>
      </c>
      <c r="CJ157" t="s">
        <v>111</v>
      </c>
      <c r="CK157" t="s">
        <v>111</v>
      </c>
      <c r="CL157" t="s">
        <v>111</v>
      </c>
      <c r="CM157" t="s">
        <v>111</v>
      </c>
      <c r="CN157" t="s">
        <v>111</v>
      </c>
      <c r="CO157" t="s">
        <v>111</v>
      </c>
      <c r="CP157" t="s">
        <v>111</v>
      </c>
      <c r="CQ157">
        <v>0</v>
      </c>
      <c r="CR157">
        <v>2000</v>
      </c>
      <c r="CS157">
        <v>100</v>
      </c>
      <c r="CT157" t="s">
        <v>111</v>
      </c>
      <c r="CU157">
        <v>0</v>
      </c>
      <c r="CV157" t="s">
        <v>111</v>
      </c>
      <c r="CW157" t="s">
        <v>111</v>
      </c>
      <c r="CX157" t="s">
        <v>111</v>
      </c>
      <c r="CY157">
        <v>0</v>
      </c>
      <c r="CZ157" t="s">
        <v>111</v>
      </c>
      <c r="DA157" t="s">
        <v>111</v>
      </c>
      <c r="DB157" t="e">
        <f>-EXTERNO</f>
        <v>#NAME?</v>
      </c>
      <c r="DC157" t="e">
        <f>-CUBREVESTDO</f>
        <v>#NAME?</v>
      </c>
    </row>
    <row r="158" spans="1:107">
      <c r="A158">
        <v>1279</v>
      </c>
      <c r="B158" t="s">
        <v>107</v>
      </c>
      <c r="C158" t="s">
        <v>681</v>
      </c>
      <c r="D158" t="s">
        <v>685</v>
      </c>
      <c r="E158" t="s">
        <v>686</v>
      </c>
      <c r="F158" t="s">
        <v>684</v>
      </c>
      <c r="G158" t="s">
        <v>469</v>
      </c>
      <c r="H158">
        <v>0.45</v>
      </c>
      <c r="I158">
        <v>70</v>
      </c>
      <c r="J158">
        <v>0</v>
      </c>
      <c r="K158">
        <v>0</v>
      </c>
      <c r="L158" t="s">
        <v>112</v>
      </c>
      <c r="M158" t="s">
        <v>111</v>
      </c>
      <c r="N158">
        <v>0</v>
      </c>
      <c r="O158">
        <v>0</v>
      </c>
      <c r="P158" t="s">
        <v>111</v>
      </c>
      <c r="Q158">
        <v>80</v>
      </c>
      <c r="R158">
        <v>0</v>
      </c>
      <c r="S158">
        <v>0</v>
      </c>
      <c r="T158">
        <v>5</v>
      </c>
      <c r="U158" s="1" t="s">
        <v>687</v>
      </c>
      <c r="V158">
        <v>25</v>
      </c>
      <c r="W158">
        <v>0</v>
      </c>
      <c r="X158">
        <v>5</v>
      </c>
      <c r="Y158">
        <v>0</v>
      </c>
      <c r="Z158" t="s">
        <v>111</v>
      </c>
      <c r="AA158">
        <v>0</v>
      </c>
      <c r="AB158" t="s">
        <v>111</v>
      </c>
      <c r="AC158">
        <v>0</v>
      </c>
      <c r="AD158" t="s">
        <v>111</v>
      </c>
      <c r="AE158">
        <v>0</v>
      </c>
      <c r="AF158">
        <v>0</v>
      </c>
      <c r="AG158" t="s">
        <v>111</v>
      </c>
      <c r="AH158" t="s">
        <v>111</v>
      </c>
      <c r="AI158" t="s">
        <v>111</v>
      </c>
      <c r="AJ158" t="s">
        <v>111</v>
      </c>
      <c r="AK158" t="s">
        <v>111</v>
      </c>
      <c r="AL158" t="s">
        <v>111</v>
      </c>
      <c r="AM158">
        <v>0</v>
      </c>
      <c r="AN158">
        <v>0</v>
      </c>
      <c r="AO158">
        <v>0</v>
      </c>
      <c r="AP158" t="s">
        <v>111</v>
      </c>
      <c r="AQ158" t="s">
        <v>111</v>
      </c>
      <c r="AR158" t="s">
        <v>111</v>
      </c>
      <c r="AS158" t="s">
        <v>111</v>
      </c>
      <c r="AT158" t="s">
        <v>111</v>
      </c>
      <c r="AU158" t="s">
        <v>111</v>
      </c>
      <c r="AV158" t="s">
        <v>111</v>
      </c>
      <c r="AW158" t="s">
        <v>111</v>
      </c>
      <c r="AX158" t="s">
        <v>111</v>
      </c>
      <c r="AY158" t="s">
        <v>111</v>
      </c>
      <c r="AZ158" t="s">
        <v>111</v>
      </c>
      <c r="BA158" t="s">
        <v>111</v>
      </c>
      <c r="BB158" t="s">
        <v>111</v>
      </c>
      <c r="BC158" t="s">
        <v>111</v>
      </c>
      <c r="BD158" t="s">
        <v>111</v>
      </c>
      <c r="BE158" t="s">
        <v>111</v>
      </c>
      <c r="BF158" t="s">
        <v>111</v>
      </c>
      <c r="BG158" t="s">
        <v>111</v>
      </c>
      <c r="BH158" t="s">
        <v>111</v>
      </c>
      <c r="BI158" t="s">
        <v>111</v>
      </c>
      <c r="BJ158" t="s">
        <v>111</v>
      </c>
      <c r="BK158" t="s">
        <v>111</v>
      </c>
      <c r="BL158" t="s">
        <v>111</v>
      </c>
      <c r="BM158" t="s">
        <v>111</v>
      </c>
      <c r="BN158" t="s">
        <v>111</v>
      </c>
      <c r="BO158" t="s">
        <v>111</v>
      </c>
      <c r="BP158" t="s">
        <v>111</v>
      </c>
      <c r="BQ158" t="s">
        <v>111</v>
      </c>
      <c r="BR158" t="s">
        <v>111</v>
      </c>
      <c r="BS158" t="s">
        <v>111</v>
      </c>
      <c r="BT158" t="s">
        <v>111</v>
      </c>
      <c r="BU158" t="s">
        <v>111</v>
      </c>
      <c r="BV158" t="s">
        <v>111</v>
      </c>
      <c r="BW158" t="s">
        <v>111</v>
      </c>
      <c r="BX158" t="s">
        <v>111</v>
      </c>
      <c r="BY158" t="s">
        <v>111</v>
      </c>
      <c r="BZ158" t="s">
        <v>111</v>
      </c>
      <c r="CA158" t="s">
        <v>111</v>
      </c>
      <c r="CB158" t="s">
        <v>111</v>
      </c>
      <c r="CC158" t="s">
        <v>111</v>
      </c>
      <c r="CD158" t="s">
        <v>111</v>
      </c>
      <c r="CE158" t="s">
        <v>111</v>
      </c>
      <c r="CF158" t="s">
        <v>111</v>
      </c>
      <c r="CG158" t="s">
        <v>111</v>
      </c>
      <c r="CH158" t="s">
        <v>111</v>
      </c>
      <c r="CI158" t="s">
        <v>111</v>
      </c>
      <c r="CJ158" t="s">
        <v>111</v>
      </c>
      <c r="CK158" t="s">
        <v>111</v>
      </c>
      <c r="CL158" t="s">
        <v>111</v>
      </c>
      <c r="CM158" t="s">
        <v>111</v>
      </c>
      <c r="CN158" t="s">
        <v>111</v>
      </c>
      <c r="CO158" t="s">
        <v>111</v>
      </c>
      <c r="CP158" t="s">
        <v>111</v>
      </c>
      <c r="CQ158">
        <v>0</v>
      </c>
      <c r="CR158">
        <v>2000</v>
      </c>
      <c r="CS158">
        <v>100</v>
      </c>
      <c r="CT158" t="e">
        <f>-MANUALES</f>
        <v>#NAME?</v>
      </c>
      <c r="CU158">
        <v>0</v>
      </c>
      <c r="CV158" t="s">
        <v>111</v>
      </c>
      <c r="CW158" t="s">
        <v>111</v>
      </c>
      <c r="CX158" t="s">
        <v>111</v>
      </c>
      <c r="CY158">
        <v>0</v>
      </c>
      <c r="CZ158" t="s">
        <v>111</v>
      </c>
      <c r="DA158" t="s">
        <v>111</v>
      </c>
      <c r="DB158" t="e">
        <f>-INTERNO</f>
        <v>#NAME?</v>
      </c>
      <c r="DC158" t="e">
        <f>-CUBREVESTDO</f>
        <v>#NAME?</v>
      </c>
    </row>
    <row r="159" spans="1:107">
      <c r="A159">
        <v>263</v>
      </c>
      <c r="B159" t="s">
        <v>162</v>
      </c>
      <c r="C159" t="s">
        <v>223</v>
      </c>
      <c r="D159" t="s">
        <v>688</v>
      </c>
      <c r="E159" t="s">
        <v>689</v>
      </c>
      <c r="F159" t="s">
        <v>370</v>
      </c>
      <c r="G159" t="s">
        <v>469</v>
      </c>
      <c r="H159">
        <v>2.5</v>
      </c>
      <c r="I159">
        <v>50</v>
      </c>
      <c r="J159">
        <v>0</v>
      </c>
      <c r="K159">
        <v>0</v>
      </c>
      <c r="L159" t="s">
        <v>112</v>
      </c>
      <c r="M159" t="s">
        <v>118</v>
      </c>
      <c r="N159">
        <v>40</v>
      </c>
      <c r="O159">
        <v>2</v>
      </c>
      <c r="P159" t="s">
        <v>138</v>
      </c>
      <c r="Q159">
        <v>46.3</v>
      </c>
      <c r="R159">
        <v>0</v>
      </c>
      <c r="S159">
        <v>0</v>
      </c>
      <c r="T159">
        <v>1</v>
      </c>
      <c r="U159" s="1" t="s">
        <v>690</v>
      </c>
      <c r="V159">
        <v>25</v>
      </c>
      <c r="W159">
        <v>0</v>
      </c>
      <c r="X159">
        <v>10</v>
      </c>
      <c r="Y159">
        <v>0</v>
      </c>
      <c r="Z159" t="s">
        <v>288</v>
      </c>
      <c r="AA159">
        <v>1.75</v>
      </c>
      <c r="AB159" t="s">
        <v>327</v>
      </c>
      <c r="AC159">
        <v>3</v>
      </c>
      <c r="AD159" t="s">
        <v>416</v>
      </c>
      <c r="AE159">
        <v>2</v>
      </c>
      <c r="AF159">
        <v>2</v>
      </c>
      <c r="AG159" t="s">
        <v>691</v>
      </c>
      <c r="AH159" t="s">
        <v>111</v>
      </c>
      <c r="AI159">
        <v>38</v>
      </c>
      <c r="AJ159" t="s">
        <v>111</v>
      </c>
      <c r="AK159" t="s">
        <v>111</v>
      </c>
      <c r="AL159" t="s">
        <v>111</v>
      </c>
      <c r="AM159">
        <v>0</v>
      </c>
      <c r="AN159">
        <v>0</v>
      </c>
      <c r="AO159">
        <v>0</v>
      </c>
      <c r="AP159" t="s">
        <v>366</v>
      </c>
      <c r="AQ159" t="s">
        <v>111</v>
      </c>
      <c r="AR159" t="s">
        <v>111</v>
      </c>
      <c r="AS159" t="s">
        <v>111</v>
      </c>
      <c r="AT159" t="s">
        <v>271</v>
      </c>
      <c r="AU159" t="s">
        <v>111</v>
      </c>
      <c r="AV159" t="s">
        <v>111</v>
      </c>
      <c r="AW159" t="s">
        <v>111</v>
      </c>
      <c r="AX159" t="s">
        <v>111</v>
      </c>
      <c r="AY159" t="s">
        <v>111</v>
      </c>
      <c r="AZ159" t="s">
        <v>111</v>
      </c>
      <c r="BA159" t="s">
        <v>111</v>
      </c>
      <c r="BB159" t="s">
        <v>111</v>
      </c>
      <c r="BC159" t="s">
        <v>111</v>
      </c>
      <c r="BD159" t="s">
        <v>111</v>
      </c>
      <c r="BE159" t="s">
        <v>111</v>
      </c>
      <c r="BF159" t="s">
        <v>111</v>
      </c>
      <c r="BG159" t="s">
        <v>111</v>
      </c>
      <c r="BH159" t="s">
        <v>111</v>
      </c>
      <c r="BI159" t="s">
        <v>111</v>
      </c>
      <c r="BJ159" t="s">
        <v>111</v>
      </c>
      <c r="BK159" t="s">
        <v>111</v>
      </c>
      <c r="BL159" t="s">
        <v>111</v>
      </c>
      <c r="BM159" t="s">
        <v>111</v>
      </c>
      <c r="BN159" t="s">
        <v>111</v>
      </c>
      <c r="BO159" t="s">
        <v>111</v>
      </c>
      <c r="BP159" t="s">
        <v>111</v>
      </c>
      <c r="BQ159" t="s">
        <v>111</v>
      </c>
      <c r="BR159" t="s">
        <v>111</v>
      </c>
      <c r="BS159" t="s">
        <v>111</v>
      </c>
      <c r="BT159" t="s">
        <v>111</v>
      </c>
      <c r="BU159" t="s">
        <v>111</v>
      </c>
      <c r="BV159" t="s">
        <v>111</v>
      </c>
      <c r="BW159" t="s">
        <v>111</v>
      </c>
      <c r="BX159" t="s">
        <v>111</v>
      </c>
      <c r="BY159" t="s">
        <v>111</v>
      </c>
      <c r="BZ159" t="s">
        <v>111</v>
      </c>
      <c r="CA159" t="s">
        <v>111</v>
      </c>
      <c r="CB159" t="s">
        <v>111</v>
      </c>
      <c r="CC159" t="s">
        <v>111</v>
      </c>
      <c r="CD159" t="s">
        <v>111</v>
      </c>
      <c r="CE159" t="s">
        <v>111</v>
      </c>
      <c r="CF159" t="s">
        <v>111</v>
      </c>
      <c r="CG159" t="s">
        <v>111</v>
      </c>
      <c r="CH159" t="s">
        <v>111</v>
      </c>
      <c r="CI159" t="s">
        <v>111</v>
      </c>
      <c r="CJ159" t="s">
        <v>111</v>
      </c>
      <c r="CK159" t="s">
        <v>111</v>
      </c>
      <c r="CL159" t="s">
        <v>203</v>
      </c>
      <c r="CM159" t="s">
        <v>111</v>
      </c>
      <c r="CN159" t="s">
        <v>111</v>
      </c>
      <c r="CO159" t="s">
        <v>111</v>
      </c>
      <c r="CP159" t="s">
        <v>111</v>
      </c>
      <c r="CQ159">
        <v>0</v>
      </c>
      <c r="CR159">
        <v>240</v>
      </c>
      <c r="CS159">
        <v>20</v>
      </c>
      <c r="CT159" s="1" t="s">
        <v>692</v>
      </c>
      <c r="CU159">
        <v>0</v>
      </c>
      <c r="CV159" t="s">
        <v>111</v>
      </c>
      <c r="CW159" t="s">
        <v>111</v>
      </c>
      <c r="CX159" t="s">
        <v>111</v>
      </c>
      <c r="CY159">
        <v>0</v>
      </c>
      <c r="CZ159" t="s">
        <v>111</v>
      </c>
      <c r="DA159" t="s">
        <v>111</v>
      </c>
      <c r="DB159" t="s">
        <v>204</v>
      </c>
      <c r="DC159" s="1" t="s">
        <v>306</v>
      </c>
    </row>
    <row r="160" spans="1:107">
      <c r="A160">
        <v>1276</v>
      </c>
      <c r="B160" t="s">
        <v>107</v>
      </c>
      <c r="C160" t="s">
        <v>536</v>
      </c>
      <c r="D160" t="s">
        <v>693</v>
      </c>
      <c r="E160" t="s">
        <v>694</v>
      </c>
      <c r="F160" t="s">
        <v>192</v>
      </c>
      <c r="G160" t="s">
        <v>469</v>
      </c>
      <c r="H160">
        <v>1.3</v>
      </c>
      <c r="I160">
        <v>35</v>
      </c>
      <c r="J160">
        <v>0</v>
      </c>
      <c r="K160">
        <v>0</v>
      </c>
      <c r="L160" t="s">
        <v>112</v>
      </c>
      <c r="M160" t="s">
        <v>111</v>
      </c>
      <c r="N160">
        <v>0</v>
      </c>
      <c r="O160">
        <v>0</v>
      </c>
      <c r="P160" t="s">
        <v>118</v>
      </c>
      <c r="Q160">
        <v>33.4</v>
      </c>
      <c r="R160">
        <v>0</v>
      </c>
      <c r="S160">
        <v>0</v>
      </c>
      <c r="T160">
        <v>5</v>
      </c>
      <c r="U160" s="1" t="s">
        <v>695</v>
      </c>
      <c r="V160">
        <v>0</v>
      </c>
      <c r="W160">
        <v>25</v>
      </c>
      <c r="X160">
        <v>6</v>
      </c>
      <c r="Y160">
        <v>0</v>
      </c>
      <c r="Z160" t="s">
        <v>111</v>
      </c>
      <c r="AA160">
        <v>0</v>
      </c>
      <c r="AB160" t="s">
        <v>111</v>
      </c>
      <c r="AC160">
        <v>0</v>
      </c>
      <c r="AD160" t="s">
        <v>111</v>
      </c>
      <c r="AE160">
        <v>0</v>
      </c>
      <c r="AF160">
        <v>0</v>
      </c>
      <c r="AG160" t="s">
        <v>111</v>
      </c>
      <c r="AH160" t="s">
        <v>111</v>
      </c>
      <c r="AI160" t="s">
        <v>111</v>
      </c>
      <c r="AJ160" t="s">
        <v>111</v>
      </c>
      <c r="AK160" t="s">
        <v>111</v>
      </c>
      <c r="AL160" t="s">
        <v>111</v>
      </c>
      <c r="AM160">
        <v>0</v>
      </c>
      <c r="AN160">
        <v>0</v>
      </c>
      <c r="AO160">
        <v>0</v>
      </c>
      <c r="AP160" t="s">
        <v>111</v>
      </c>
      <c r="AQ160" t="s">
        <v>111</v>
      </c>
      <c r="AR160" t="s">
        <v>111</v>
      </c>
      <c r="AS160" t="s">
        <v>111</v>
      </c>
      <c r="AT160" t="s">
        <v>111</v>
      </c>
      <c r="AU160" t="s">
        <v>111</v>
      </c>
      <c r="AV160" t="s">
        <v>111</v>
      </c>
      <c r="AW160" t="s">
        <v>111</v>
      </c>
      <c r="AX160" t="s">
        <v>111</v>
      </c>
      <c r="AY160" t="s">
        <v>111</v>
      </c>
      <c r="AZ160" t="s">
        <v>111</v>
      </c>
      <c r="BA160" t="s">
        <v>111</v>
      </c>
      <c r="BB160" t="s">
        <v>111</v>
      </c>
      <c r="BC160" t="s">
        <v>111</v>
      </c>
      <c r="BD160" t="s">
        <v>111</v>
      </c>
      <c r="BE160" t="s">
        <v>111</v>
      </c>
      <c r="BF160" t="s">
        <v>111</v>
      </c>
      <c r="BG160" t="s">
        <v>111</v>
      </c>
      <c r="BH160" t="s">
        <v>111</v>
      </c>
      <c r="BI160" t="s">
        <v>111</v>
      </c>
      <c r="BJ160" t="s">
        <v>111</v>
      </c>
      <c r="BK160" t="s">
        <v>111</v>
      </c>
      <c r="BL160" t="s">
        <v>111</v>
      </c>
      <c r="BM160" t="s">
        <v>111</v>
      </c>
      <c r="BN160" t="s">
        <v>111</v>
      </c>
      <c r="BO160" t="s">
        <v>111</v>
      </c>
      <c r="BP160" t="s">
        <v>111</v>
      </c>
      <c r="BQ160" t="s">
        <v>111</v>
      </c>
      <c r="BR160" t="s">
        <v>111</v>
      </c>
      <c r="BS160" t="s">
        <v>111</v>
      </c>
      <c r="BT160" t="s">
        <v>111</v>
      </c>
      <c r="BU160" t="s">
        <v>111</v>
      </c>
      <c r="BV160" t="s">
        <v>111</v>
      </c>
      <c r="BW160" t="s">
        <v>111</v>
      </c>
      <c r="BX160" t="s">
        <v>111</v>
      </c>
      <c r="BY160" t="s">
        <v>111</v>
      </c>
      <c r="BZ160" t="s">
        <v>111</v>
      </c>
      <c r="CA160" t="s">
        <v>111</v>
      </c>
      <c r="CB160" t="s">
        <v>111</v>
      </c>
      <c r="CC160" t="s">
        <v>111</v>
      </c>
      <c r="CD160" t="s">
        <v>111</v>
      </c>
      <c r="CE160" t="s">
        <v>111</v>
      </c>
      <c r="CF160" t="s">
        <v>111</v>
      </c>
      <c r="CG160" t="s">
        <v>111</v>
      </c>
      <c r="CH160" t="s">
        <v>111</v>
      </c>
      <c r="CI160" t="s">
        <v>111</v>
      </c>
      <c r="CJ160" t="s">
        <v>111</v>
      </c>
      <c r="CK160" t="s">
        <v>111</v>
      </c>
      <c r="CL160" t="s">
        <v>111</v>
      </c>
      <c r="CM160">
        <v>450</v>
      </c>
      <c r="CN160" t="s">
        <v>113</v>
      </c>
      <c r="CO160" t="s">
        <v>111</v>
      </c>
      <c r="CP160" t="s">
        <v>111</v>
      </c>
      <c r="CQ160">
        <v>86</v>
      </c>
      <c r="CR160">
        <v>6000</v>
      </c>
      <c r="CS160">
        <v>250</v>
      </c>
      <c r="CT160" t="e">
        <f>-ALMACEN</f>
        <v>#NAME?</v>
      </c>
      <c r="CU160">
        <v>0</v>
      </c>
      <c r="CV160" t="s">
        <v>111</v>
      </c>
      <c r="CW160" t="s">
        <v>111</v>
      </c>
      <c r="CX160" t="s">
        <v>111</v>
      </c>
      <c r="CY160">
        <v>0</v>
      </c>
      <c r="CZ160" t="s">
        <v>111</v>
      </c>
      <c r="DA160" t="s">
        <v>111</v>
      </c>
      <c r="DB160" t="s">
        <v>111</v>
      </c>
      <c r="DC160" t="s">
        <v>111</v>
      </c>
    </row>
    <row r="161" spans="1:107">
      <c r="A161">
        <v>1268</v>
      </c>
      <c r="B161" t="s">
        <v>107</v>
      </c>
      <c r="C161" t="s">
        <v>180</v>
      </c>
      <c r="D161" t="s">
        <v>696</v>
      </c>
      <c r="E161" t="s">
        <v>697</v>
      </c>
      <c r="F161" t="s">
        <v>192</v>
      </c>
      <c r="G161" t="s">
        <v>469</v>
      </c>
      <c r="H161">
        <v>1.4</v>
      </c>
      <c r="I161">
        <v>86</v>
      </c>
      <c r="J161">
        <v>0</v>
      </c>
      <c r="K161">
        <v>0</v>
      </c>
      <c r="L161" t="s">
        <v>112</v>
      </c>
      <c r="M161" t="s">
        <v>111</v>
      </c>
      <c r="N161">
        <v>0</v>
      </c>
      <c r="O161">
        <v>0</v>
      </c>
      <c r="P161" t="s">
        <v>111</v>
      </c>
      <c r="Q161">
        <v>51.6</v>
      </c>
      <c r="R161">
        <v>0</v>
      </c>
      <c r="S161">
        <v>0</v>
      </c>
      <c r="T161">
        <v>5</v>
      </c>
      <c r="U161" t="e">
        <f>-SELLADO</f>
        <v>#NAME?</v>
      </c>
      <c r="V161">
        <v>0</v>
      </c>
      <c r="W161">
        <v>25</v>
      </c>
      <c r="X161">
        <v>5</v>
      </c>
      <c r="Y161">
        <v>0</v>
      </c>
      <c r="Z161" t="s">
        <v>111</v>
      </c>
      <c r="AA161">
        <v>0</v>
      </c>
      <c r="AB161" t="s">
        <v>111</v>
      </c>
      <c r="AC161">
        <v>0</v>
      </c>
      <c r="AD161" t="s">
        <v>111</v>
      </c>
      <c r="AE161">
        <v>0</v>
      </c>
      <c r="AF161">
        <v>0</v>
      </c>
      <c r="AG161" t="s">
        <v>111</v>
      </c>
      <c r="AH161" t="s">
        <v>111</v>
      </c>
      <c r="AI161" t="s">
        <v>111</v>
      </c>
      <c r="AJ161" t="s">
        <v>111</v>
      </c>
      <c r="AK161" t="s">
        <v>111</v>
      </c>
      <c r="AL161" t="s">
        <v>111</v>
      </c>
      <c r="AM161">
        <v>0</v>
      </c>
      <c r="AN161">
        <v>0</v>
      </c>
      <c r="AO161">
        <v>0</v>
      </c>
      <c r="AP161" t="s">
        <v>111</v>
      </c>
      <c r="AQ161" t="s">
        <v>111</v>
      </c>
      <c r="AR161" t="s">
        <v>111</v>
      </c>
      <c r="AS161" t="s">
        <v>111</v>
      </c>
      <c r="AT161" t="s">
        <v>111</v>
      </c>
      <c r="AU161" t="s">
        <v>111</v>
      </c>
      <c r="AV161" t="s">
        <v>111</v>
      </c>
      <c r="AW161" t="s">
        <v>111</v>
      </c>
      <c r="AX161" t="s">
        <v>111</v>
      </c>
      <c r="AY161" t="s">
        <v>111</v>
      </c>
      <c r="AZ161" t="s">
        <v>111</v>
      </c>
      <c r="BA161" t="s">
        <v>111</v>
      </c>
      <c r="BB161" t="s">
        <v>111</v>
      </c>
      <c r="BC161" t="s">
        <v>111</v>
      </c>
      <c r="BD161" t="s">
        <v>111</v>
      </c>
      <c r="BE161" t="s">
        <v>111</v>
      </c>
      <c r="BF161" t="s">
        <v>111</v>
      </c>
      <c r="BG161" t="s">
        <v>111</v>
      </c>
      <c r="BH161" t="s">
        <v>111</v>
      </c>
      <c r="BI161" t="s">
        <v>111</v>
      </c>
      <c r="BJ161" t="s">
        <v>111</v>
      </c>
      <c r="BK161" t="s">
        <v>111</v>
      </c>
      <c r="BL161" t="s">
        <v>111</v>
      </c>
      <c r="BM161" t="s">
        <v>111</v>
      </c>
      <c r="BN161" t="s">
        <v>111</v>
      </c>
      <c r="BO161" t="s">
        <v>111</v>
      </c>
      <c r="BP161" t="s">
        <v>111</v>
      </c>
      <c r="BQ161" t="s">
        <v>111</v>
      </c>
      <c r="BR161" t="s">
        <v>111</v>
      </c>
      <c r="BS161" t="s">
        <v>111</v>
      </c>
      <c r="BT161" t="s">
        <v>111</v>
      </c>
      <c r="BU161" t="s">
        <v>111</v>
      </c>
      <c r="BV161" t="s">
        <v>111</v>
      </c>
      <c r="BW161" t="s">
        <v>111</v>
      </c>
      <c r="BX161" t="s">
        <v>111</v>
      </c>
      <c r="BY161" t="s">
        <v>111</v>
      </c>
      <c r="BZ161" t="s">
        <v>111</v>
      </c>
      <c r="CA161" t="s">
        <v>111</v>
      </c>
      <c r="CB161" t="s">
        <v>111</v>
      </c>
      <c r="CC161" t="s">
        <v>111</v>
      </c>
      <c r="CD161" t="s">
        <v>111</v>
      </c>
      <c r="CE161" t="s">
        <v>111</v>
      </c>
      <c r="CF161" t="s">
        <v>111</v>
      </c>
      <c r="CG161" t="s">
        <v>111</v>
      </c>
      <c r="CH161" t="s">
        <v>111</v>
      </c>
      <c r="CI161" t="s">
        <v>111</v>
      </c>
      <c r="CJ161" t="s">
        <v>111</v>
      </c>
      <c r="CK161" t="s">
        <v>111</v>
      </c>
      <c r="CL161" t="s">
        <v>111</v>
      </c>
      <c r="CM161" t="s">
        <v>135</v>
      </c>
      <c r="CN161" t="s">
        <v>113</v>
      </c>
      <c r="CO161" t="s">
        <v>111</v>
      </c>
      <c r="CP161" t="s">
        <v>111</v>
      </c>
      <c r="CQ161">
        <v>0</v>
      </c>
      <c r="CR161">
        <v>4000</v>
      </c>
      <c r="CS161">
        <v>200</v>
      </c>
      <c r="CT161" t="e">
        <f>-SELLADO</f>
        <v>#NAME?</v>
      </c>
      <c r="CU161">
        <v>0</v>
      </c>
      <c r="CV161" t="s">
        <v>111</v>
      </c>
      <c r="CW161" t="s">
        <v>111</v>
      </c>
      <c r="CX161" t="s">
        <v>111</v>
      </c>
      <c r="CY161">
        <v>0</v>
      </c>
      <c r="CZ161" t="s">
        <v>111</v>
      </c>
      <c r="DA161" t="s">
        <v>111</v>
      </c>
      <c r="DB161" t="s">
        <v>111</v>
      </c>
      <c r="DC161" t="s">
        <v>111</v>
      </c>
    </row>
    <row r="162" spans="1:107">
      <c r="A162">
        <v>1298</v>
      </c>
      <c r="B162" t="s">
        <v>107</v>
      </c>
      <c r="C162" t="s">
        <v>412</v>
      </c>
      <c r="D162" t="s">
        <v>698</v>
      </c>
      <c r="E162" t="s">
        <v>699</v>
      </c>
      <c r="F162" t="s">
        <v>431</v>
      </c>
      <c r="G162" t="s">
        <v>469</v>
      </c>
      <c r="H162">
        <v>1.4</v>
      </c>
      <c r="I162">
        <v>52</v>
      </c>
      <c r="J162">
        <v>0</v>
      </c>
      <c r="K162">
        <v>0</v>
      </c>
      <c r="L162" t="s">
        <v>117</v>
      </c>
      <c r="M162" t="s">
        <v>118</v>
      </c>
      <c r="N162">
        <v>39</v>
      </c>
      <c r="O162">
        <v>1</v>
      </c>
      <c r="P162" t="s">
        <v>138</v>
      </c>
      <c r="Q162">
        <v>48.1</v>
      </c>
      <c r="R162">
        <v>0</v>
      </c>
      <c r="S162">
        <v>0</v>
      </c>
      <c r="T162">
        <v>5</v>
      </c>
      <c r="U162" s="1" t="s">
        <v>662</v>
      </c>
      <c r="V162">
        <v>0</v>
      </c>
      <c r="W162">
        <v>25</v>
      </c>
      <c r="X162">
        <v>6</v>
      </c>
      <c r="Y162">
        <v>0</v>
      </c>
      <c r="Z162" t="s">
        <v>111</v>
      </c>
      <c r="AA162">
        <v>0</v>
      </c>
      <c r="AB162" t="s">
        <v>111</v>
      </c>
      <c r="AC162">
        <v>0</v>
      </c>
      <c r="AD162" t="s">
        <v>416</v>
      </c>
      <c r="AE162">
        <v>0</v>
      </c>
      <c r="AF162">
        <v>0</v>
      </c>
      <c r="AG162" t="s">
        <v>111</v>
      </c>
      <c r="AH162" t="s">
        <v>113</v>
      </c>
      <c r="AI162" t="s">
        <v>111</v>
      </c>
      <c r="AJ162" t="s">
        <v>111</v>
      </c>
      <c r="AK162" t="s">
        <v>111</v>
      </c>
      <c r="AL162" t="s">
        <v>111</v>
      </c>
      <c r="AM162">
        <v>0</v>
      </c>
      <c r="AN162">
        <v>0</v>
      </c>
      <c r="AO162">
        <v>0</v>
      </c>
      <c r="AP162" t="s">
        <v>111</v>
      </c>
      <c r="AQ162" t="s">
        <v>111</v>
      </c>
      <c r="AR162" t="s">
        <v>111</v>
      </c>
      <c r="AS162" t="s">
        <v>111</v>
      </c>
      <c r="AT162" t="s">
        <v>111</v>
      </c>
      <c r="AU162" t="s">
        <v>111</v>
      </c>
      <c r="AV162" t="s">
        <v>111</v>
      </c>
      <c r="AW162" t="s">
        <v>111</v>
      </c>
      <c r="AX162" t="s">
        <v>111</v>
      </c>
      <c r="AY162" t="s">
        <v>111</v>
      </c>
      <c r="AZ162" t="s">
        <v>111</v>
      </c>
      <c r="BA162" t="s">
        <v>111</v>
      </c>
      <c r="BB162" t="s">
        <v>111</v>
      </c>
      <c r="BC162" t="s">
        <v>111</v>
      </c>
      <c r="BD162" t="s">
        <v>111</v>
      </c>
      <c r="BE162" t="s">
        <v>111</v>
      </c>
      <c r="BF162" t="s">
        <v>111</v>
      </c>
      <c r="BG162" t="s">
        <v>111</v>
      </c>
      <c r="BH162" t="s">
        <v>111</v>
      </c>
      <c r="BI162" t="s">
        <v>111</v>
      </c>
      <c r="BJ162" t="s">
        <v>111</v>
      </c>
      <c r="BK162" t="s">
        <v>111</v>
      </c>
      <c r="BL162" t="s">
        <v>111</v>
      </c>
      <c r="BM162" t="s">
        <v>111</v>
      </c>
      <c r="BN162" t="s">
        <v>111</v>
      </c>
      <c r="BO162" t="s">
        <v>111</v>
      </c>
      <c r="BP162" t="s">
        <v>111</v>
      </c>
      <c r="BQ162" t="s">
        <v>111</v>
      </c>
      <c r="BR162" t="s">
        <v>111</v>
      </c>
      <c r="BS162" t="s">
        <v>111</v>
      </c>
      <c r="BT162" t="s">
        <v>111</v>
      </c>
      <c r="BU162" t="s">
        <v>111</v>
      </c>
      <c r="BV162" t="s">
        <v>111</v>
      </c>
      <c r="BW162" t="s">
        <v>111</v>
      </c>
      <c r="BX162" t="s">
        <v>111</v>
      </c>
      <c r="BY162" t="s">
        <v>111</v>
      </c>
      <c r="BZ162" t="s">
        <v>111</v>
      </c>
      <c r="CA162" t="s">
        <v>111</v>
      </c>
      <c r="CB162" t="s">
        <v>111</v>
      </c>
      <c r="CC162" t="s">
        <v>111</v>
      </c>
      <c r="CD162" t="s">
        <v>111</v>
      </c>
      <c r="CE162" t="s">
        <v>111</v>
      </c>
      <c r="CF162" t="s">
        <v>111</v>
      </c>
      <c r="CG162" t="s">
        <v>111</v>
      </c>
      <c r="CH162" t="s">
        <v>111</v>
      </c>
      <c r="CI162" t="s">
        <v>111</v>
      </c>
      <c r="CJ162" t="s">
        <v>111</v>
      </c>
      <c r="CK162" t="s">
        <v>111</v>
      </c>
      <c r="CL162" t="s">
        <v>111</v>
      </c>
      <c r="CM162" t="s">
        <v>135</v>
      </c>
      <c r="CN162" t="s">
        <v>700</v>
      </c>
      <c r="CO162" t="s">
        <v>111</v>
      </c>
      <c r="CP162" t="e">
        <f>-MUESTRA</f>
        <v>#NAME?</v>
      </c>
      <c r="CQ162">
        <v>115</v>
      </c>
      <c r="CR162">
        <v>6000</v>
      </c>
      <c r="CS162">
        <v>250</v>
      </c>
      <c r="CT162" t="e">
        <f>-ALMACEN</f>
        <v>#NAME?</v>
      </c>
      <c r="CU162">
        <v>0</v>
      </c>
      <c r="CV162" t="s">
        <v>111</v>
      </c>
      <c r="CW162" t="s">
        <v>111</v>
      </c>
      <c r="CX162" t="s">
        <v>111</v>
      </c>
      <c r="CY162">
        <v>0</v>
      </c>
      <c r="CZ162" t="s">
        <v>111</v>
      </c>
      <c r="DA162" t="s">
        <v>111</v>
      </c>
      <c r="DB162" t="s">
        <v>111</v>
      </c>
      <c r="DC162" t="s">
        <v>111</v>
      </c>
    </row>
    <row r="163" spans="1:107">
      <c r="A163">
        <v>1273</v>
      </c>
      <c r="B163" t="s">
        <v>107</v>
      </c>
      <c r="C163" t="s">
        <v>114</v>
      </c>
      <c r="D163" t="s">
        <v>489</v>
      </c>
      <c r="E163" t="s">
        <v>701</v>
      </c>
      <c r="F163" t="s">
        <v>431</v>
      </c>
      <c r="G163" t="s">
        <v>469</v>
      </c>
      <c r="H163">
        <v>2.9</v>
      </c>
      <c r="I163">
        <v>70</v>
      </c>
      <c r="J163">
        <v>0</v>
      </c>
      <c r="K163">
        <v>0</v>
      </c>
      <c r="L163" t="s">
        <v>117</v>
      </c>
      <c r="M163" t="s">
        <v>118</v>
      </c>
      <c r="N163">
        <v>40</v>
      </c>
      <c r="O163">
        <v>1</v>
      </c>
      <c r="P163" t="s">
        <v>138</v>
      </c>
      <c r="Q163">
        <v>39.6</v>
      </c>
      <c r="R163">
        <v>0</v>
      </c>
      <c r="S163">
        <v>0</v>
      </c>
      <c r="T163">
        <v>5</v>
      </c>
      <c r="U163" t="e">
        <f>-IMPRESION DARMA</f>
        <v>#NAME?</v>
      </c>
      <c r="V163">
        <v>0</v>
      </c>
      <c r="W163">
        <v>25</v>
      </c>
      <c r="X163">
        <v>8</v>
      </c>
      <c r="Y163">
        <v>0</v>
      </c>
      <c r="Z163" t="s">
        <v>111</v>
      </c>
      <c r="AA163">
        <v>0</v>
      </c>
      <c r="AB163" t="s">
        <v>702</v>
      </c>
      <c r="AC163">
        <v>8</v>
      </c>
      <c r="AD163" t="s">
        <v>493</v>
      </c>
      <c r="AE163">
        <v>0</v>
      </c>
      <c r="AF163">
        <v>0</v>
      </c>
      <c r="AG163" t="s">
        <v>111</v>
      </c>
      <c r="AH163" t="s">
        <v>113</v>
      </c>
      <c r="AI163" t="s">
        <v>111</v>
      </c>
      <c r="AJ163" t="s">
        <v>111</v>
      </c>
      <c r="AK163" t="s">
        <v>111</v>
      </c>
      <c r="AL163" t="s">
        <v>111</v>
      </c>
      <c r="AM163">
        <v>0</v>
      </c>
      <c r="AN163">
        <v>0</v>
      </c>
      <c r="AO163">
        <v>0</v>
      </c>
      <c r="AP163" t="s">
        <v>111</v>
      </c>
      <c r="AQ163" t="s">
        <v>111</v>
      </c>
      <c r="AR163" t="s">
        <v>111</v>
      </c>
      <c r="AS163" t="s">
        <v>111</v>
      </c>
      <c r="AT163" t="s">
        <v>111</v>
      </c>
      <c r="AU163" t="s">
        <v>111</v>
      </c>
      <c r="AV163" t="s">
        <v>111</v>
      </c>
      <c r="AW163" t="s">
        <v>111</v>
      </c>
      <c r="AX163" t="s">
        <v>111</v>
      </c>
      <c r="AY163" t="s">
        <v>111</v>
      </c>
      <c r="AZ163" t="s">
        <v>111</v>
      </c>
      <c r="BA163" t="s">
        <v>111</v>
      </c>
      <c r="BB163" t="s">
        <v>111</v>
      </c>
      <c r="BC163" t="s">
        <v>111</v>
      </c>
      <c r="BD163" t="s">
        <v>111</v>
      </c>
      <c r="BE163" t="s">
        <v>111</v>
      </c>
      <c r="BF163" t="s">
        <v>111</v>
      </c>
      <c r="BG163" t="s">
        <v>111</v>
      </c>
      <c r="BH163" t="s">
        <v>111</v>
      </c>
      <c r="BI163" t="s">
        <v>111</v>
      </c>
      <c r="BJ163" t="s">
        <v>111</v>
      </c>
      <c r="BK163" t="s">
        <v>111</v>
      </c>
      <c r="BL163" t="s">
        <v>111</v>
      </c>
      <c r="BM163" t="s">
        <v>111</v>
      </c>
      <c r="BN163" t="s">
        <v>111</v>
      </c>
      <c r="BO163" t="s">
        <v>111</v>
      </c>
      <c r="BP163" t="s">
        <v>111</v>
      </c>
      <c r="BQ163" t="s">
        <v>111</v>
      </c>
      <c r="BR163" t="s">
        <v>111</v>
      </c>
      <c r="BS163" t="s">
        <v>111</v>
      </c>
      <c r="BT163" t="s">
        <v>111</v>
      </c>
      <c r="BU163" t="s">
        <v>111</v>
      </c>
      <c r="BV163" t="s">
        <v>111</v>
      </c>
      <c r="BW163" t="s">
        <v>111</v>
      </c>
      <c r="BX163" t="s">
        <v>111</v>
      </c>
      <c r="BY163" t="s">
        <v>111</v>
      </c>
      <c r="BZ163" t="s">
        <v>111</v>
      </c>
      <c r="CA163" t="s">
        <v>111</v>
      </c>
      <c r="CB163" t="s">
        <v>111</v>
      </c>
      <c r="CC163" t="s">
        <v>111</v>
      </c>
      <c r="CD163" t="s">
        <v>111</v>
      </c>
      <c r="CE163" t="s">
        <v>111</v>
      </c>
      <c r="CF163" t="s">
        <v>111</v>
      </c>
      <c r="CG163" t="s">
        <v>111</v>
      </c>
      <c r="CH163" t="s">
        <v>111</v>
      </c>
      <c r="CI163" t="s">
        <v>111</v>
      </c>
      <c r="CJ163" t="s">
        <v>111</v>
      </c>
      <c r="CK163" t="s">
        <v>111</v>
      </c>
      <c r="CL163" t="s">
        <v>111</v>
      </c>
      <c r="CM163" t="s">
        <v>135</v>
      </c>
      <c r="CN163" t="s">
        <v>113</v>
      </c>
      <c r="CO163" t="s">
        <v>111</v>
      </c>
      <c r="CP163" t="e">
        <f>-MUESTRA</f>
        <v>#NAME?</v>
      </c>
      <c r="CQ163">
        <v>0</v>
      </c>
      <c r="CR163">
        <v>3000</v>
      </c>
      <c r="CS163">
        <v>100</v>
      </c>
      <c r="CT163" t="e">
        <f>-ALMACEN</f>
        <v>#NAME?</v>
      </c>
      <c r="CU163">
        <v>0</v>
      </c>
      <c r="CV163" t="s">
        <v>111</v>
      </c>
      <c r="CW163" t="s">
        <v>111</v>
      </c>
      <c r="CX163" t="s">
        <v>111</v>
      </c>
      <c r="CY163">
        <v>0</v>
      </c>
      <c r="CZ163" t="s">
        <v>111</v>
      </c>
      <c r="DA163" t="s">
        <v>111</v>
      </c>
      <c r="DB163" t="s">
        <v>111</v>
      </c>
      <c r="DC163" t="s">
        <v>111</v>
      </c>
    </row>
    <row r="164" spans="1:107">
      <c r="A164">
        <v>1230</v>
      </c>
      <c r="B164" t="s">
        <v>107</v>
      </c>
      <c r="C164" t="s">
        <v>703</v>
      </c>
      <c r="D164" t="s">
        <v>704</v>
      </c>
      <c r="E164" t="s">
        <v>705</v>
      </c>
      <c r="F164" t="s">
        <v>125</v>
      </c>
      <c r="G164" t="s">
        <v>469</v>
      </c>
      <c r="H164">
        <v>0.8</v>
      </c>
      <c r="I164">
        <v>60</v>
      </c>
      <c r="J164">
        <v>0</v>
      </c>
      <c r="K164">
        <v>0</v>
      </c>
      <c r="L164" t="s">
        <v>112</v>
      </c>
      <c r="M164" t="s">
        <v>111</v>
      </c>
      <c r="N164">
        <v>0</v>
      </c>
      <c r="O164">
        <v>0</v>
      </c>
      <c r="P164" t="s">
        <v>111</v>
      </c>
      <c r="Q164">
        <v>37</v>
      </c>
      <c r="R164">
        <v>0</v>
      </c>
      <c r="S164">
        <v>0</v>
      </c>
      <c r="T164">
        <v>5</v>
      </c>
      <c r="U164" t="e">
        <f>-DESTINO SELLADO</f>
        <v>#NAME?</v>
      </c>
      <c r="V164">
        <v>25</v>
      </c>
      <c r="W164">
        <v>0</v>
      </c>
      <c r="X164">
        <v>6</v>
      </c>
      <c r="Y164">
        <v>0</v>
      </c>
      <c r="Z164" t="s">
        <v>111</v>
      </c>
      <c r="AA164">
        <v>0</v>
      </c>
      <c r="AB164" t="s">
        <v>111</v>
      </c>
      <c r="AC164">
        <v>0</v>
      </c>
      <c r="AD164" t="s">
        <v>111</v>
      </c>
      <c r="AE164">
        <v>0</v>
      </c>
      <c r="AF164">
        <v>0</v>
      </c>
      <c r="AG164" t="s">
        <v>111</v>
      </c>
      <c r="AH164" t="s">
        <v>111</v>
      </c>
      <c r="AI164" t="s">
        <v>111</v>
      </c>
      <c r="AJ164" t="s">
        <v>111</v>
      </c>
      <c r="AK164" t="s">
        <v>111</v>
      </c>
      <c r="AL164" t="s">
        <v>111</v>
      </c>
      <c r="AM164">
        <v>0</v>
      </c>
      <c r="AN164">
        <v>0</v>
      </c>
      <c r="AO164">
        <v>0</v>
      </c>
      <c r="AP164" t="s">
        <v>111</v>
      </c>
      <c r="AQ164" t="s">
        <v>111</v>
      </c>
      <c r="AR164" t="s">
        <v>111</v>
      </c>
      <c r="AS164" t="s">
        <v>111</v>
      </c>
      <c r="AT164" t="s">
        <v>111</v>
      </c>
      <c r="AU164" t="s">
        <v>111</v>
      </c>
      <c r="AV164" t="s">
        <v>111</v>
      </c>
      <c r="AW164" t="s">
        <v>111</v>
      </c>
      <c r="AX164" t="s">
        <v>111</v>
      </c>
      <c r="AY164" t="s">
        <v>111</v>
      </c>
      <c r="AZ164" t="s">
        <v>111</v>
      </c>
      <c r="BA164" t="s">
        <v>111</v>
      </c>
      <c r="BB164" t="s">
        <v>111</v>
      </c>
      <c r="BC164" t="s">
        <v>111</v>
      </c>
      <c r="BD164" t="s">
        <v>111</v>
      </c>
      <c r="BE164" t="s">
        <v>111</v>
      </c>
      <c r="BF164" t="s">
        <v>111</v>
      </c>
      <c r="BG164" t="s">
        <v>111</v>
      </c>
      <c r="BH164" t="s">
        <v>111</v>
      </c>
      <c r="BI164" t="s">
        <v>111</v>
      </c>
      <c r="BJ164" t="s">
        <v>111</v>
      </c>
      <c r="BK164" t="s">
        <v>111</v>
      </c>
      <c r="BL164" t="s">
        <v>111</v>
      </c>
      <c r="BM164" t="s">
        <v>111</v>
      </c>
      <c r="BN164" t="s">
        <v>111</v>
      </c>
      <c r="BO164" t="s">
        <v>111</v>
      </c>
      <c r="BP164" t="s">
        <v>111</v>
      </c>
      <c r="BQ164" t="s">
        <v>111</v>
      </c>
      <c r="BR164" t="s">
        <v>111</v>
      </c>
      <c r="BS164" t="s">
        <v>111</v>
      </c>
      <c r="BT164" t="s">
        <v>111</v>
      </c>
      <c r="BU164" t="s">
        <v>111</v>
      </c>
      <c r="BV164" t="s">
        <v>111</v>
      </c>
      <c r="BW164" t="s">
        <v>111</v>
      </c>
      <c r="BX164" t="s">
        <v>111</v>
      </c>
      <c r="BY164" t="s">
        <v>111</v>
      </c>
      <c r="BZ164" t="s">
        <v>111</v>
      </c>
      <c r="CA164" t="s">
        <v>111</v>
      </c>
      <c r="CB164" t="s">
        <v>111</v>
      </c>
      <c r="CC164" t="s">
        <v>111</v>
      </c>
      <c r="CD164" t="s">
        <v>111</v>
      </c>
      <c r="CE164" t="s">
        <v>111</v>
      </c>
      <c r="CF164" t="s">
        <v>111</v>
      </c>
      <c r="CG164" t="s">
        <v>111</v>
      </c>
      <c r="CH164" t="s">
        <v>111</v>
      </c>
      <c r="CI164" t="s">
        <v>111</v>
      </c>
      <c r="CJ164" t="s">
        <v>111</v>
      </c>
      <c r="CK164" t="s">
        <v>111</v>
      </c>
      <c r="CL164" t="s">
        <v>111</v>
      </c>
      <c r="CM164" t="s">
        <v>127</v>
      </c>
      <c r="CN164" t="s">
        <v>128</v>
      </c>
      <c r="CO164" t="s">
        <v>111</v>
      </c>
      <c r="CP164" t="s">
        <v>111</v>
      </c>
      <c r="CQ164">
        <v>0</v>
      </c>
      <c r="CR164">
        <v>100</v>
      </c>
      <c r="CS164">
        <v>100</v>
      </c>
      <c r="CT164" t="s">
        <v>168</v>
      </c>
      <c r="CU164">
        <v>0</v>
      </c>
      <c r="CV164" t="s">
        <v>111</v>
      </c>
      <c r="CW164" t="s">
        <v>111</v>
      </c>
      <c r="CX164" t="s">
        <v>111</v>
      </c>
      <c r="CY164">
        <v>0</v>
      </c>
      <c r="CZ164" t="s">
        <v>111</v>
      </c>
      <c r="DA164" t="s">
        <v>111</v>
      </c>
      <c r="DB164" t="s">
        <v>111</v>
      </c>
      <c r="DC164" t="s">
        <v>111</v>
      </c>
    </row>
    <row r="165" spans="1:107">
      <c r="A165">
        <v>1195</v>
      </c>
      <c r="B165" t="s">
        <v>107</v>
      </c>
      <c r="C165" t="s">
        <v>114</v>
      </c>
      <c r="D165" t="s">
        <v>489</v>
      </c>
      <c r="E165" t="s">
        <v>706</v>
      </c>
      <c r="F165" t="s">
        <v>431</v>
      </c>
      <c r="G165" t="s">
        <v>469</v>
      </c>
      <c r="H165">
        <v>2.9</v>
      </c>
      <c r="I165">
        <v>70</v>
      </c>
      <c r="J165">
        <v>0</v>
      </c>
      <c r="K165">
        <v>0</v>
      </c>
      <c r="L165" t="s">
        <v>117</v>
      </c>
      <c r="M165" t="s">
        <v>118</v>
      </c>
      <c r="N165">
        <v>40</v>
      </c>
      <c r="O165">
        <v>1</v>
      </c>
      <c r="P165" t="s">
        <v>111</v>
      </c>
      <c r="Q165">
        <v>40</v>
      </c>
      <c r="R165">
        <v>0</v>
      </c>
      <c r="S165">
        <v>0</v>
      </c>
      <c r="T165">
        <v>5</v>
      </c>
      <c r="U165" s="1" t="s">
        <v>707</v>
      </c>
      <c r="V165">
        <v>0</v>
      </c>
      <c r="W165">
        <v>25</v>
      </c>
      <c r="X165">
        <v>8</v>
      </c>
      <c r="Y165">
        <v>0</v>
      </c>
      <c r="Z165" t="s">
        <v>111</v>
      </c>
      <c r="AA165">
        <v>0</v>
      </c>
      <c r="AB165" t="s">
        <v>111</v>
      </c>
      <c r="AC165">
        <v>0</v>
      </c>
      <c r="AD165" t="s">
        <v>416</v>
      </c>
      <c r="AE165">
        <v>0</v>
      </c>
      <c r="AF165">
        <v>0</v>
      </c>
      <c r="AG165" t="s">
        <v>111</v>
      </c>
      <c r="AH165" t="s">
        <v>113</v>
      </c>
      <c r="AI165" t="s">
        <v>111</v>
      </c>
      <c r="AJ165" t="s">
        <v>111</v>
      </c>
      <c r="AK165" t="s">
        <v>111</v>
      </c>
      <c r="AL165" t="s">
        <v>111</v>
      </c>
      <c r="AM165">
        <v>0</v>
      </c>
      <c r="AN165">
        <v>0</v>
      </c>
      <c r="AO165">
        <v>0</v>
      </c>
      <c r="AP165" t="s">
        <v>111</v>
      </c>
      <c r="AQ165" t="s">
        <v>111</v>
      </c>
      <c r="AR165" t="s">
        <v>111</v>
      </c>
      <c r="AS165" t="s">
        <v>111</v>
      </c>
      <c r="AT165" t="s">
        <v>111</v>
      </c>
      <c r="AU165" t="s">
        <v>111</v>
      </c>
      <c r="AV165" t="s">
        <v>111</v>
      </c>
      <c r="AW165" t="s">
        <v>111</v>
      </c>
      <c r="AX165" t="s">
        <v>111</v>
      </c>
      <c r="AY165" t="s">
        <v>111</v>
      </c>
      <c r="AZ165" t="s">
        <v>111</v>
      </c>
      <c r="BA165" t="s">
        <v>111</v>
      </c>
      <c r="BB165" t="s">
        <v>111</v>
      </c>
      <c r="BC165" t="s">
        <v>111</v>
      </c>
      <c r="BD165" t="s">
        <v>111</v>
      </c>
      <c r="BE165" t="s">
        <v>111</v>
      </c>
      <c r="BF165" t="s">
        <v>111</v>
      </c>
      <c r="BG165" t="s">
        <v>111</v>
      </c>
      <c r="BH165" t="s">
        <v>111</v>
      </c>
      <c r="BI165" t="s">
        <v>111</v>
      </c>
      <c r="BJ165" t="s">
        <v>111</v>
      </c>
      <c r="BK165" t="s">
        <v>111</v>
      </c>
      <c r="BL165" t="s">
        <v>111</v>
      </c>
      <c r="BM165" t="s">
        <v>111</v>
      </c>
      <c r="BN165" t="s">
        <v>111</v>
      </c>
      <c r="BO165" t="s">
        <v>111</v>
      </c>
      <c r="BP165" t="s">
        <v>111</v>
      </c>
      <c r="BQ165" t="s">
        <v>111</v>
      </c>
      <c r="BR165" t="s">
        <v>111</v>
      </c>
      <c r="BS165" t="s">
        <v>111</v>
      </c>
      <c r="BT165" t="s">
        <v>111</v>
      </c>
      <c r="BU165" t="s">
        <v>111</v>
      </c>
      <c r="BV165" t="s">
        <v>111</v>
      </c>
      <c r="BW165" t="s">
        <v>111</v>
      </c>
      <c r="BX165" t="s">
        <v>111</v>
      </c>
      <c r="BY165" t="s">
        <v>111</v>
      </c>
      <c r="BZ165" t="s">
        <v>111</v>
      </c>
      <c r="CA165" t="s">
        <v>111</v>
      </c>
      <c r="CB165" t="s">
        <v>111</v>
      </c>
      <c r="CC165" t="s">
        <v>111</v>
      </c>
      <c r="CD165" t="s">
        <v>111</v>
      </c>
      <c r="CE165" t="s">
        <v>111</v>
      </c>
      <c r="CF165" t="s">
        <v>111</v>
      </c>
      <c r="CG165" t="s">
        <v>111</v>
      </c>
      <c r="CH165" t="s">
        <v>111</v>
      </c>
      <c r="CI165" t="s">
        <v>111</v>
      </c>
      <c r="CJ165" t="s">
        <v>111</v>
      </c>
      <c r="CK165" t="s">
        <v>111</v>
      </c>
      <c r="CL165" t="e">
        <f>-DESTINO SELLADO</f>
        <v>#NAME?</v>
      </c>
      <c r="CM165" t="s">
        <v>135</v>
      </c>
      <c r="CN165" t="s">
        <v>113</v>
      </c>
      <c r="CO165" t="s">
        <v>111</v>
      </c>
      <c r="CP165" t="e">
        <f>-MUESTRA</f>
        <v>#NAME?</v>
      </c>
      <c r="CQ165">
        <v>0</v>
      </c>
      <c r="CR165">
        <v>3000</v>
      </c>
      <c r="CS165">
        <v>100</v>
      </c>
      <c r="CT165" s="1" t="s">
        <v>708</v>
      </c>
      <c r="CU165">
        <v>0</v>
      </c>
      <c r="CV165" t="s">
        <v>111</v>
      </c>
      <c r="CW165" t="s">
        <v>111</v>
      </c>
      <c r="CX165" t="s">
        <v>111</v>
      </c>
      <c r="CY165">
        <v>0</v>
      </c>
      <c r="CZ165" t="s">
        <v>111</v>
      </c>
      <c r="DA165" t="s">
        <v>111</v>
      </c>
      <c r="DB165" t="s">
        <v>111</v>
      </c>
      <c r="DC165" t="s">
        <v>111</v>
      </c>
    </row>
    <row r="166" spans="1:107">
      <c r="A166">
        <v>1196</v>
      </c>
      <c r="B166" t="s">
        <v>107</v>
      </c>
      <c r="C166" t="s">
        <v>549</v>
      </c>
      <c r="D166" t="s">
        <v>709</v>
      </c>
      <c r="E166" t="s">
        <v>710</v>
      </c>
      <c r="F166" t="s">
        <v>192</v>
      </c>
      <c r="G166" t="s">
        <v>469</v>
      </c>
      <c r="H166">
        <v>2</v>
      </c>
      <c r="I166">
        <v>22.5</v>
      </c>
      <c r="J166">
        <v>8.5</v>
      </c>
      <c r="K166">
        <v>8.5</v>
      </c>
      <c r="L166" t="s">
        <v>112</v>
      </c>
      <c r="M166" t="s">
        <v>118</v>
      </c>
      <c r="N166">
        <v>38</v>
      </c>
      <c r="O166">
        <v>2</v>
      </c>
      <c r="P166" t="s">
        <v>111</v>
      </c>
      <c r="Q166">
        <v>32.5</v>
      </c>
      <c r="R166">
        <v>0</v>
      </c>
      <c r="S166">
        <v>0</v>
      </c>
      <c r="T166">
        <v>5</v>
      </c>
      <c r="U166" s="1" t="s">
        <v>711</v>
      </c>
      <c r="V166">
        <v>0</v>
      </c>
      <c r="W166">
        <v>25</v>
      </c>
      <c r="X166">
        <v>7.5</v>
      </c>
      <c r="Y166">
        <v>0</v>
      </c>
      <c r="Z166" t="s">
        <v>111</v>
      </c>
      <c r="AA166">
        <v>0</v>
      </c>
      <c r="AB166" t="s">
        <v>712</v>
      </c>
      <c r="AC166">
        <v>7.5</v>
      </c>
      <c r="AD166" t="s">
        <v>111</v>
      </c>
      <c r="AE166">
        <v>0</v>
      </c>
      <c r="AF166">
        <v>0</v>
      </c>
      <c r="AG166" t="s">
        <v>111</v>
      </c>
      <c r="AH166" t="s">
        <v>111</v>
      </c>
      <c r="AI166" t="s">
        <v>111</v>
      </c>
      <c r="AJ166" t="s">
        <v>111</v>
      </c>
      <c r="AK166" t="s">
        <v>111</v>
      </c>
      <c r="AL166" t="s">
        <v>111</v>
      </c>
      <c r="AM166">
        <v>0</v>
      </c>
      <c r="AN166">
        <v>0</v>
      </c>
      <c r="AO166">
        <v>0</v>
      </c>
      <c r="AP166" t="s">
        <v>111</v>
      </c>
      <c r="AQ166" t="s">
        <v>111</v>
      </c>
      <c r="AR166" t="s">
        <v>111</v>
      </c>
      <c r="AS166" t="s">
        <v>111</v>
      </c>
      <c r="AT166" t="s">
        <v>111</v>
      </c>
      <c r="AU166" t="s">
        <v>111</v>
      </c>
      <c r="AV166" t="s">
        <v>111</v>
      </c>
      <c r="AW166" t="s">
        <v>111</v>
      </c>
      <c r="AX166" t="s">
        <v>111</v>
      </c>
      <c r="AY166" t="s">
        <v>111</v>
      </c>
      <c r="AZ166" t="s">
        <v>111</v>
      </c>
      <c r="BA166" t="s">
        <v>111</v>
      </c>
      <c r="BB166" t="s">
        <v>111</v>
      </c>
      <c r="BC166" t="s">
        <v>111</v>
      </c>
      <c r="BD166" t="s">
        <v>111</v>
      </c>
      <c r="BE166" t="s">
        <v>111</v>
      </c>
      <c r="BF166" t="s">
        <v>111</v>
      </c>
      <c r="BG166" t="s">
        <v>111</v>
      </c>
      <c r="BH166" t="s">
        <v>111</v>
      </c>
      <c r="BI166" t="s">
        <v>111</v>
      </c>
      <c r="BJ166" t="s">
        <v>111</v>
      </c>
      <c r="BK166" t="s">
        <v>111</v>
      </c>
      <c r="BL166" t="s">
        <v>111</v>
      </c>
      <c r="BM166" t="s">
        <v>111</v>
      </c>
      <c r="BN166" t="s">
        <v>111</v>
      </c>
      <c r="BO166" t="s">
        <v>111</v>
      </c>
      <c r="BP166" t="s">
        <v>111</v>
      </c>
      <c r="BQ166" t="s">
        <v>111</v>
      </c>
      <c r="BR166" t="s">
        <v>111</v>
      </c>
      <c r="BS166" t="s">
        <v>111</v>
      </c>
      <c r="BT166" t="s">
        <v>111</v>
      </c>
      <c r="BU166" t="s">
        <v>111</v>
      </c>
      <c r="BV166" t="s">
        <v>111</v>
      </c>
      <c r="BW166" t="s">
        <v>111</v>
      </c>
      <c r="BX166" t="s">
        <v>111</v>
      </c>
      <c r="BY166" t="s">
        <v>111</v>
      </c>
      <c r="BZ166" t="s">
        <v>111</v>
      </c>
      <c r="CA166" t="s">
        <v>111</v>
      </c>
      <c r="CB166" t="s">
        <v>111</v>
      </c>
      <c r="CC166" t="s">
        <v>111</v>
      </c>
      <c r="CD166" t="s">
        <v>111</v>
      </c>
      <c r="CE166" t="s">
        <v>111</v>
      </c>
      <c r="CF166" t="s">
        <v>111</v>
      </c>
      <c r="CG166" t="s">
        <v>111</v>
      </c>
      <c r="CH166" t="s">
        <v>111</v>
      </c>
      <c r="CI166" t="s">
        <v>111</v>
      </c>
      <c r="CJ166" t="s">
        <v>111</v>
      </c>
      <c r="CK166" t="s">
        <v>111</v>
      </c>
      <c r="CL166" t="s">
        <v>111</v>
      </c>
      <c r="CM166" t="s">
        <v>135</v>
      </c>
      <c r="CN166" t="s">
        <v>128</v>
      </c>
      <c r="CO166" t="s">
        <v>111</v>
      </c>
      <c r="CP166" t="s">
        <v>111</v>
      </c>
      <c r="CQ166">
        <v>42</v>
      </c>
      <c r="CR166">
        <v>1000</v>
      </c>
      <c r="CS166">
        <v>25</v>
      </c>
      <c r="CT166" t="s">
        <v>168</v>
      </c>
      <c r="CU166">
        <v>0</v>
      </c>
      <c r="CV166" t="s">
        <v>111</v>
      </c>
      <c r="CW166" t="s">
        <v>111</v>
      </c>
      <c r="CX166" t="s">
        <v>111</v>
      </c>
      <c r="CY166">
        <v>0</v>
      </c>
      <c r="CZ166" t="s">
        <v>111</v>
      </c>
      <c r="DA166" t="s">
        <v>111</v>
      </c>
      <c r="DB166" t="s">
        <v>111</v>
      </c>
      <c r="DC166" t="s">
        <v>111</v>
      </c>
    </row>
    <row r="167" spans="1:107">
      <c r="A167">
        <v>142</v>
      </c>
      <c r="B167" t="s">
        <v>162</v>
      </c>
      <c r="C167" t="s">
        <v>713</v>
      </c>
      <c r="D167" t="s">
        <v>714</v>
      </c>
      <c r="E167" t="s">
        <v>715</v>
      </c>
      <c r="F167" t="s">
        <v>125</v>
      </c>
      <c r="G167" t="s">
        <v>469</v>
      </c>
      <c r="H167">
        <v>1.8</v>
      </c>
      <c r="I167">
        <v>45</v>
      </c>
      <c r="J167">
        <v>9</v>
      </c>
      <c r="K167">
        <v>9</v>
      </c>
      <c r="L167" t="s">
        <v>112</v>
      </c>
      <c r="M167" t="s">
        <v>138</v>
      </c>
      <c r="N167">
        <v>0</v>
      </c>
      <c r="O167">
        <v>0</v>
      </c>
      <c r="P167" t="s">
        <v>138</v>
      </c>
      <c r="Q167">
        <v>40.799999999999997</v>
      </c>
      <c r="R167">
        <v>0</v>
      </c>
      <c r="S167">
        <v>0</v>
      </c>
      <c r="T167">
        <v>10</v>
      </c>
      <c r="U167" s="1" t="s">
        <v>716</v>
      </c>
      <c r="V167">
        <v>25</v>
      </c>
      <c r="W167">
        <v>0</v>
      </c>
      <c r="X167">
        <v>10</v>
      </c>
      <c r="Y167">
        <v>0</v>
      </c>
      <c r="Z167" t="s">
        <v>111</v>
      </c>
      <c r="AA167">
        <v>0</v>
      </c>
      <c r="AB167" t="s">
        <v>717</v>
      </c>
      <c r="AC167">
        <v>10</v>
      </c>
      <c r="AD167" t="s">
        <v>111</v>
      </c>
      <c r="AE167">
        <v>0</v>
      </c>
      <c r="AF167">
        <v>0</v>
      </c>
      <c r="AG167" t="s">
        <v>111</v>
      </c>
      <c r="AH167" t="s">
        <v>111</v>
      </c>
      <c r="AI167" t="s">
        <v>111</v>
      </c>
      <c r="AJ167" t="s">
        <v>111</v>
      </c>
      <c r="AK167" t="s">
        <v>111</v>
      </c>
      <c r="AL167" t="s">
        <v>111</v>
      </c>
      <c r="AM167">
        <v>0</v>
      </c>
      <c r="AN167">
        <v>0</v>
      </c>
      <c r="AO167">
        <v>0</v>
      </c>
      <c r="AP167" t="s">
        <v>111</v>
      </c>
      <c r="AQ167" t="s">
        <v>111</v>
      </c>
      <c r="AR167" t="s">
        <v>111</v>
      </c>
      <c r="AS167" t="s">
        <v>111</v>
      </c>
      <c r="AT167" t="s">
        <v>111</v>
      </c>
      <c r="AU167" t="s">
        <v>111</v>
      </c>
      <c r="AV167" t="s">
        <v>111</v>
      </c>
      <c r="AW167" t="s">
        <v>111</v>
      </c>
      <c r="AX167" t="s">
        <v>111</v>
      </c>
      <c r="AY167" t="s">
        <v>111</v>
      </c>
      <c r="AZ167" t="s">
        <v>111</v>
      </c>
      <c r="BA167" t="s">
        <v>111</v>
      </c>
      <c r="BB167" t="s">
        <v>111</v>
      </c>
      <c r="BC167" t="s">
        <v>111</v>
      </c>
      <c r="BD167" t="s">
        <v>111</v>
      </c>
      <c r="BE167" t="s">
        <v>111</v>
      </c>
      <c r="BF167" t="s">
        <v>111</v>
      </c>
      <c r="BG167" t="s">
        <v>111</v>
      </c>
      <c r="BH167" t="s">
        <v>111</v>
      </c>
      <c r="BI167" t="s">
        <v>111</v>
      </c>
      <c r="BJ167" t="s">
        <v>111</v>
      </c>
      <c r="BK167" t="s">
        <v>111</v>
      </c>
      <c r="BL167" t="s">
        <v>111</v>
      </c>
      <c r="BM167" t="s">
        <v>111</v>
      </c>
      <c r="BN167" t="s">
        <v>111</v>
      </c>
      <c r="BO167" t="s">
        <v>111</v>
      </c>
      <c r="BP167" t="s">
        <v>111</v>
      </c>
      <c r="BQ167" t="s">
        <v>111</v>
      </c>
      <c r="BR167" t="s">
        <v>111</v>
      </c>
      <c r="BS167" t="s">
        <v>111</v>
      </c>
      <c r="BT167" t="s">
        <v>111</v>
      </c>
      <c r="BU167" t="s">
        <v>111</v>
      </c>
      <c r="BV167" t="s">
        <v>111</v>
      </c>
      <c r="BW167" t="s">
        <v>111</v>
      </c>
      <c r="BX167" t="s">
        <v>111</v>
      </c>
      <c r="BY167" t="s">
        <v>111</v>
      </c>
      <c r="BZ167" t="s">
        <v>111</v>
      </c>
      <c r="CA167" t="s">
        <v>111</v>
      </c>
      <c r="CB167" t="s">
        <v>111</v>
      </c>
      <c r="CC167" t="s">
        <v>111</v>
      </c>
      <c r="CD167" t="s">
        <v>111</v>
      </c>
      <c r="CE167" t="s">
        <v>111</v>
      </c>
      <c r="CF167" t="s">
        <v>111</v>
      </c>
      <c r="CG167" t="s">
        <v>111</v>
      </c>
      <c r="CH167" t="s">
        <v>111</v>
      </c>
      <c r="CI167" t="s">
        <v>111</v>
      </c>
      <c r="CJ167" t="s">
        <v>111</v>
      </c>
      <c r="CK167" t="s">
        <v>111</v>
      </c>
      <c r="CL167" t="s">
        <v>111</v>
      </c>
      <c r="CM167" t="s">
        <v>135</v>
      </c>
      <c r="CN167" t="s">
        <v>128</v>
      </c>
      <c r="CO167" t="s">
        <v>222</v>
      </c>
      <c r="CP167" t="s">
        <v>111</v>
      </c>
      <c r="CQ167">
        <v>36</v>
      </c>
      <c r="CR167">
        <v>500</v>
      </c>
      <c r="CS167">
        <v>50</v>
      </c>
      <c r="CT167" t="e">
        <f>-DESTINO ALMACAN</f>
        <v>#NAME?</v>
      </c>
      <c r="CU167">
        <v>0</v>
      </c>
      <c r="CV167" t="s">
        <v>111</v>
      </c>
      <c r="CW167" t="s">
        <v>111</v>
      </c>
      <c r="CX167" t="s">
        <v>111</v>
      </c>
      <c r="CY167">
        <v>0</v>
      </c>
      <c r="CZ167" t="s">
        <v>111</v>
      </c>
      <c r="DA167" t="s">
        <v>111</v>
      </c>
      <c r="DB167" t="s">
        <v>111</v>
      </c>
      <c r="DC167" t="s">
        <v>111</v>
      </c>
    </row>
    <row r="168" spans="1:107">
      <c r="A168">
        <v>1204</v>
      </c>
      <c r="B168" t="s">
        <v>107</v>
      </c>
      <c r="C168" t="s">
        <v>114</v>
      </c>
      <c r="D168" t="s">
        <v>489</v>
      </c>
      <c r="E168" t="s">
        <v>718</v>
      </c>
      <c r="F168" t="s">
        <v>431</v>
      </c>
      <c r="G168" t="s">
        <v>469</v>
      </c>
      <c r="H168">
        <v>2.9</v>
      </c>
      <c r="I168">
        <v>70</v>
      </c>
      <c r="J168">
        <v>0</v>
      </c>
      <c r="K168">
        <v>0</v>
      </c>
      <c r="L168" t="s">
        <v>117</v>
      </c>
      <c r="M168" t="s">
        <v>118</v>
      </c>
      <c r="N168">
        <v>40</v>
      </c>
      <c r="O168">
        <v>1</v>
      </c>
      <c r="P168" t="s">
        <v>111</v>
      </c>
      <c r="Q168">
        <v>40</v>
      </c>
      <c r="R168">
        <v>0</v>
      </c>
      <c r="S168">
        <v>0</v>
      </c>
      <c r="T168">
        <v>5</v>
      </c>
      <c r="U168" t="e">
        <f>-DESTINO DARMA</f>
        <v>#NAME?</v>
      </c>
      <c r="V168">
        <v>0</v>
      </c>
      <c r="W168">
        <v>25</v>
      </c>
      <c r="X168">
        <v>8</v>
      </c>
      <c r="Y168">
        <v>0</v>
      </c>
      <c r="Z168" t="s">
        <v>111</v>
      </c>
      <c r="AA168">
        <v>0</v>
      </c>
      <c r="AB168" t="s">
        <v>479</v>
      </c>
      <c r="AC168">
        <v>8</v>
      </c>
      <c r="AD168" t="s">
        <v>416</v>
      </c>
      <c r="AE168">
        <v>0</v>
      </c>
      <c r="AF168">
        <v>0</v>
      </c>
      <c r="AG168" t="s">
        <v>111</v>
      </c>
      <c r="AH168" t="s">
        <v>113</v>
      </c>
      <c r="AI168" t="s">
        <v>111</v>
      </c>
      <c r="AJ168" t="s">
        <v>111</v>
      </c>
      <c r="AK168" t="s">
        <v>111</v>
      </c>
      <c r="AL168" t="s">
        <v>111</v>
      </c>
      <c r="AM168">
        <v>0</v>
      </c>
      <c r="AN168">
        <v>0</v>
      </c>
      <c r="AO168">
        <v>0</v>
      </c>
      <c r="AP168" t="s">
        <v>111</v>
      </c>
      <c r="AQ168" t="s">
        <v>111</v>
      </c>
      <c r="AR168" t="s">
        <v>111</v>
      </c>
      <c r="AS168" t="s">
        <v>111</v>
      </c>
      <c r="AT168" t="s">
        <v>111</v>
      </c>
      <c r="AU168" t="s">
        <v>111</v>
      </c>
      <c r="AV168" t="s">
        <v>111</v>
      </c>
      <c r="AW168" t="s">
        <v>111</v>
      </c>
      <c r="AX168" t="s">
        <v>111</v>
      </c>
      <c r="AY168" t="s">
        <v>111</v>
      </c>
      <c r="AZ168" t="s">
        <v>111</v>
      </c>
      <c r="BA168" t="s">
        <v>111</v>
      </c>
      <c r="BB168" t="s">
        <v>111</v>
      </c>
      <c r="BC168" t="s">
        <v>111</v>
      </c>
      <c r="BD168" t="s">
        <v>111</v>
      </c>
      <c r="BE168" t="s">
        <v>111</v>
      </c>
      <c r="BF168" t="s">
        <v>111</v>
      </c>
      <c r="BG168" t="s">
        <v>111</v>
      </c>
      <c r="BH168" t="s">
        <v>111</v>
      </c>
      <c r="BI168" t="s">
        <v>111</v>
      </c>
      <c r="BJ168" t="s">
        <v>111</v>
      </c>
      <c r="BK168" t="s">
        <v>111</v>
      </c>
      <c r="BL168" t="s">
        <v>111</v>
      </c>
      <c r="BM168" t="s">
        <v>111</v>
      </c>
      <c r="BN168" t="s">
        <v>111</v>
      </c>
      <c r="BO168" t="s">
        <v>111</v>
      </c>
      <c r="BP168" t="s">
        <v>111</v>
      </c>
      <c r="BQ168" t="s">
        <v>111</v>
      </c>
      <c r="BR168" t="s">
        <v>111</v>
      </c>
      <c r="BS168" t="s">
        <v>111</v>
      </c>
      <c r="BT168" t="s">
        <v>111</v>
      </c>
      <c r="BU168" t="s">
        <v>111</v>
      </c>
      <c r="BV168" t="s">
        <v>111</v>
      </c>
      <c r="BW168" t="s">
        <v>111</v>
      </c>
      <c r="BX168" t="s">
        <v>111</v>
      </c>
      <c r="BY168" t="s">
        <v>111</v>
      </c>
      <c r="BZ168" t="s">
        <v>111</v>
      </c>
      <c r="CA168" t="s">
        <v>111</v>
      </c>
      <c r="CB168" t="s">
        <v>111</v>
      </c>
      <c r="CC168" t="s">
        <v>111</v>
      </c>
      <c r="CD168" t="s">
        <v>111</v>
      </c>
      <c r="CE168" t="s">
        <v>111</v>
      </c>
      <c r="CF168" t="s">
        <v>111</v>
      </c>
      <c r="CG168" t="s">
        <v>111</v>
      </c>
      <c r="CH168" t="s">
        <v>111</v>
      </c>
      <c r="CI168" t="s">
        <v>111</v>
      </c>
      <c r="CJ168" t="s">
        <v>111</v>
      </c>
      <c r="CK168" t="s">
        <v>111</v>
      </c>
      <c r="CL168" t="s">
        <v>111</v>
      </c>
      <c r="CM168" t="s">
        <v>135</v>
      </c>
      <c r="CN168" t="s">
        <v>113</v>
      </c>
      <c r="CO168" t="s">
        <v>111</v>
      </c>
      <c r="CP168" t="s">
        <v>111</v>
      </c>
      <c r="CQ168">
        <v>0</v>
      </c>
      <c r="CR168">
        <v>3000</v>
      </c>
      <c r="CS168">
        <v>100</v>
      </c>
      <c r="CT168" t="s">
        <v>394</v>
      </c>
      <c r="CU168">
        <v>0</v>
      </c>
      <c r="CV168" t="s">
        <v>111</v>
      </c>
      <c r="CW168" t="s">
        <v>111</v>
      </c>
      <c r="CX168" t="s">
        <v>111</v>
      </c>
      <c r="CY168">
        <v>0</v>
      </c>
      <c r="CZ168" t="s">
        <v>111</v>
      </c>
      <c r="DA168" t="s">
        <v>111</v>
      </c>
      <c r="DB168" t="s">
        <v>111</v>
      </c>
      <c r="DC168" t="s">
        <v>111</v>
      </c>
    </row>
    <row r="169" spans="1:107">
      <c r="A169">
        <v>1259</v>
      </c>
      <c r="B169" t="s">
        <v>107</v>
      </c>
      <c r="C169" t="s">
        <v>719</v>
      </c>
      <c r="D169" t="s">
        <v>720</v>
      </c>
      <c r="E169" t="s">
        <v>721</v>
      </c>
      <c r="F169" t="s">
        <v>722</v>
      </c>
      <c r="G169" t="s">
        <v>469</v>
      </c>
      <c r="H169">
        <v>0.7</v>
      </c>
      <c r="I169">
        <v>50</v>
      </c>
      <c r="J169">
        <v>0</v>
      </c>
      <c r="K169">
        <v>0</v>
      </c>
      <c r="L169" t="s">
        <v>112</v>
      </c>
      <c r="M169" t="s">
        <v>111</v>
      </c>
      <c r="N169">
        <v>0</v>
      </c>
      <c r="O169">
        <v>0</v>
      </c>
      <c r="P169" t="s">
        <v>111</v>
      </c>
      <c r="Q169">
        <v>34.299999999999997</v>
      </c>
      <c r="R169">
        <v>0</v>
      </c>
      <c r="S169">
        <v>0</v>
      </c>
      <c r="T169">
        <v>5</v>
      </c>
      <c r="U169" s="1" t="s">
        <v>723</v>
      </c>
      <c r="V169">
        <v>0</v>
      </c>
      <c r="W169">
        <v>25</v>
      </c>
      <c r="X169">
        <v>5</v>
      </c>
      <c r="Y169">
        <v>0</v>
      </c>
      <c r="Z169" t="s">
        <v>111</v>
      </c>
      <c r="AA169">
        <v>0</v>
      </c>
      <c r="AB169" t="s">
        <v>111</v>
      </c>
      <c r="AC169">
        <v>0</v>
      </c>
      <c r="AD169" t="s">
        <v>111</v>
      </c>
      <c r="AE169">
        <v>0</v>
      </c>
      <c r="AF169">
        <v>0</v>
      </c>
      <c r="AG169" t="s">
        <v>111</v>
      </c>
      <c r="AH169" t="s">
        <v>111</v>
      </c>
      <c r="AI169" t="s">
        <v>111</v>
      </c>
      <c r="AJ169" t="s">
        <v>111</v>
      </c>
      <c r="AK169" t="s">
        <v>111</v>
      </c>
      <c r="AL169" t="s">
        <v>111</v>
      </c>
      <c r="AM169">
        <v>0</v>
      </c>
      <c r="AN169">
        <v>0</v>
      </c>
      <c r="AO169">
        <v>0</v>
      </c>
      <c r="AP169" t="s">
        <v>111</v>
      </c>
      <c r="AQ169" t="s">
        <v>111</v>
      </c>
      <c r="AR169" t="s">
        <v>111</v>
      </c>
      <c r="AS169" t="s">
        <v>111</v>
      </c>
      <c r="AT169" t="s">
        <v>111</v>
      </c>
      <c r="AU169" t="s">
        <v>111</v>
      </c>
      <c r="AV169" t="s">
        <v>111</v>
      </c>
      <c r="AW169" t="s">
        <v>111</v>
      </c>
      <c r="AX169" t="s">
        <v>111</v>
      </c>
      <c r="AY169" t="s">
        <v>111</v>
      </c>
      <c r="AZ169" t="s">
        <v>111</v>
      </c>
      <c r="BA169" t="s">
        <v>111</v>
      </c>
      <c r="BB169" t="s">
        <v>111</v>
      </c>
      <c r="BC169" t="s">
        <v>111</v>
      </c>
      <c r="BD169" t="s">
        <v>111</v>
      </c>
      <c r="BE169" t="s">
        <v>111</v>
      </c>
      <c r="BF169" t="s">
        <v>111</v>
      </c>
      <c r="BG169" t="s">
        <v>111</v>
      </c>
      <c r="BH169" t="s">
        <v>111</v>
      </c>
      <c r="BI169" t="s">
        <v>111</v>
      </c>
      <c r="BJ169" t="s">
        <v>111</v>
      </c>
      <c r="BK169" t="s">
        <v>111</v>
      </c>
      <c r="BL169" t="s">
        <v>111</v>
      </c>
      <c r="BM169" t="s">
        <v>111</v>
      </c>
      <c r="BN169" t="s">
        <v>111</v>
      </c>
      <c r="BO169" t="s">
        <v>111</v>
      </c>
      <c r="BP169" t="s">
        <v>111</v>
      </c>
      <c r="BQ169" t="s">
        <v>111</v>
      </c>
      <c r="BR169" t="s">
        <v>111</v>
      </c>
      <c r="BS169" t="s">
        <v>111</v>
      </c>
      <c r="BT169" t="s">
        <v>111</v>
      </c>
      <c r="BU169" t="s">
        <v>111</v>
      </c>
      <c r="BV169" t="s">
        <v>111</v>
      </c>
      <c r="BW169" t="s">
        <v>111</v>
      </c>
      <c r="BX169" t="s">
        <v>111</v>
      </c>
      <c r="BY169" t="s">
        <v>111</v>
      </c>
      <c r="BZ169" t="s">
        <v>111</v>
      </c>
      <c r="CA169" t="s">
        <v>111</v>
      </c>
      <c r="CB169" t="s">
        <v>111</v>
      </c>
      <c r="CC169" t="s">
        <v>111</v>
      </c>
      <c r="CD169" t="s">
        <v>111</v>
      </c>
      <c r="CE169" t="s">
        <v>111</v>
      </c>
      <c r="CF169" t="s">
        <v>111</v>
      </c>
      <c r="CG169" t="s">
        <v>111</v>
      </c>
      <c r="CH169" t="s">
        <v>111</v>
      </c>
      <c r="CI169" t="s">
        <v>111</v>
      </c>
      <c r="CJ169" t="s">
        <v>111</v>
      </c>
      <c r="CK169" t="s">
        <v>111</v>
      </c>
      <c r="CL169" t="s">
        <v>111</v>
      </c>
      <c r="CM169" t="s">
        <v>127</v>
      </c>
      <c r="CN169" t="s">
        <v>128</v>
      </c>
      <c r="CO169" t="s">
        <v>111</v>
      </c>
      <c r="CP169" t="s">
        <v>111</v>
      </c>
      <c r="CQ169">
        <v>0</v>
      </c>
      <c r="CR169">
        <v>1500</v>
      </c>
      <c r="CS169">
        <v>100</v>
      </c>
      <c r="CT169" t="e">
        <f>-MANUALES</f>
        <v>#NAME?</v>
      </c>
      <c r="CU169">
        <v>0</v>
      </c>
      <c r="CV169" t="s">
        <v>111</v>
      </c>
      <c r="CW169" t="s">
        <v>111</v>
      </c>
      <c r="CX169" t="s">
        <v>111</v>
      </c>
      <c r="CY169">
        <v>0</v>
      </c>
      <c r="CZ169" t="s">
        <v>111</v>
      </c>
      <c r="DA169" t="s">
        <v>111</v>
      </c>
      <c r="DB169" t="e">
        <f>-INTERNO</f>
        <v>#NAME?</v>
      </c>
      <c r="DC169" t="e">
        <f>-CUBREVESTIDO</f>
        <v>#NAME?</v>
      </c>
    </row>
    <row r="170" spans="1:107">
      <c r="A170">
        <v>1311</v>
      </c>
      <c r="B170" t="s">
        <v>107</v>
      </c>
      <c r="C170" t="s">
        <v>114</v>
      </c>
      <c r="D170" t="s">
        <v>476</v>
      </c>
      <c r="E170" t="s">
        <v>724</v>
      </c>
      <c r="F170" t="s">
        <v>358</v>
      </c>
      <c r="G170" t="s">
        <v>469</v>
      </c>
      <c r="H170">
        <v>2.7</v>
      </c>
      <c r="I170">
        <v>70.3</v>
      </c>
      <c r="J170">
        <v>0</v>
      </c>
      <c r="K170">
        <v>0</v>
      </c>
      <c r="L170" t="s">
        <v>117</v>
      </c>
      <c r="M170" t="s">
        <v>118</v>
      </c>
      <c r="N170">
        <v>39</v>
      </c>
      <c r="O170">
        <v>1</v>
      </c>
      <c r="P170" t="s">
        <v>111</v>
      </c>
      <c r="Q170">
        <v>57.9</v>
      </c>
      <c r="R170">
        <v>0</v>
      </c>
      <c r="S170">
        <v>0</v>
      </c>
      <c r="T170">
        <v>3</v>
      </c>
      <c r="U170" s="1" t="s">
        <v>725</v>
      </c>
      <c r="V170">
        <v>0</v>
      </c>
      <c r="W170">
        <v>25</v>
      </c>
      <c r="X170">
        <v>8</v>
      </c>
      <c r="Y170">
        <v>0</v>
      </c>
      <c r="Z170" t="s">
        <v>111</v>
      </c>
      <c r="AA170">
        <v>0</v>
      </c>
      <c r="AB170" t="s">
        <v>479</v>
      </c>
      <c r="AC170">
        <v>80</v>
      </c>
      <c r="AD170" t="s">
        <v>427</v>
      </c>
      <c r="AE170">
        <v>0</v>
      </c>
      <c r="AF170">
        <v>0</v>
      </c>
      <c r="AG170" t="s">
        <v>111</v>
      </c>
      <c r="AH170" t="s">
        <v>128</v>
      </c>
      <c r="AI170" t="s">
        <v>111</v>
      </c>
      <c r="AJ170" t="s">
        <v>111</v>
      </c>
      <c r="AK170" t="s">
        <v>111</v>
      </c>
      <c r="AL170" t="s">
        <v>111</v>
      </c>
      <c r="AM170">
        <v>0</v>
      </c>
      <c r="AN170">
        <v>0</v>
      </c>
      <c r="AO170">
        <v>0</v>
      </c>
      <c r="AP170" t="s">
        <v>111</v>
      </c>
      <c r="AQ170" t="s">
        <v>111</v>
      </c>
      <c r="AR170" t="s">
        <v>111</v>
      </c>
      <c r="AS170" t="s">
        <v>111</v>
      </c>
      <c r="AT170" t="s">
        <v>111</v>
      </c>
      <c r="AU170" t="s">
        <v>111</v>
      </c>
      <c r="AV170" t="s">
        <v>111</v>
      </c>
      <c r="AW170" t="s">
        <v>111</v>
      </c>
      <c r="AX170" t="s">
        <v>111</v>
      </c>
      <c r="AY170" t="s">
        <v>111</v>
      </c>
      <c r="AZ170" t="s">
        <v>111</v>
      </c>
      <c r="BA170" t="s">
        <v>111</v>
      </c>
      <c r="BB170" t="s">
        <v>111</v>
      </c>
      <c r="BC170" t="s">
        <v>111</v>
      </c>
      <c r="BD170" t="s">
        <v>111</v>
      </c>
      <c r="BE170" t="s">
        <v>111</v>
      </c>
      <c r="BF170" t="s">
        <v>111</v>
      </c>
      <c r="BG170" t="s">
        <v>111</v>
      </c>
      <c r="BH170" t="s">
        <v>111</v>
      </c>
      <c r="BI170" t="s">
        <v>111</v>
      </c>
      <c r="BJ170" t="s">
        <v>111</v>
      </c>
      <c r="BK170" t="s">
        <v>111</v>
      </c>
      <c r="BL170" t="s">
        <v>111</v>
      </c>
      <c r="BM170" t="s">
        <v>111</v>
      </c>
      <c r="BN170" t="s">
        <v>111</v>
      </c>
      <c r="BO170" t="s">
        <v>111</v>
      </c>
      <c r="BP170" t="s">
        <v>111</v>
      </c>
      <c r="BQ170" t="s">
        <v>111</v>
      </c>
      <c r="BR170" t="s">
        <v>111</v>
      </c>
      <c r="BS170" t="s">
        <v>111</v>
      </c>
      <c r="BT170" t="s">
        <v>111</v>
      </c>
      <c r="BU170" t="s">
        <v>111</v>
      </c>
      <c r="BV170" t="s">
        <v>111</v>
      </c>
      <c r="BW170" t="s">
        <v>111</v>
      </c>
      <c r="BX170" t="s">
        <v>111</v>
      </c>
      <c r="BY170" t="s">
        <v>111</v>
      </c>
      <c r="BZ170" t="s">
        <v>111</v>
      </c>
      <c r="CA170" t="s">
        <v>111</v>
      </c>
      <c r="CB170" t="s">
        <v>111</v>
      </c>
      <c r="CC170" t="s">
        <v>111</v>
      </c>
      <c r="CD170" t="s">
        <v>111</v>
      </c>
      <c r="CE170" t="s">
        <v>111</v>
      </c>
      <c r="CF170" t="s">
        <v>111</v>
      </c>
      <c r="CG170" t="s">
        <v>111</v>
      </c>
      <c r="CH170" t="s">
        <v>111</v>
      </c>
      <c r="CI170" t="s">
        <v>111</v>
      </c>
      <c r="CJ170" t="s">
        <v>111</v>
      </c>
      <c r="CK170" t="s">
        <v>111</v>
      </c>
      <c r="CL170" t="s">
        <v>111</v>
      </c>
      <c r="CM170" t="s">
        <v>111</v>
      </c>
      <c r="CN170" t="s">
        <v>111</v>
      </c>
      <c r="CO170" t="s">
        <v>111</v>
      </c>
      <c r="CP170" t="s">
        <v>111</v>
      </c>
      <c r="CQ170">
        <v>0</v>
      </c>
      <c r="CR170">
        <v>0</v>
      </c>
      <c r="CS170">
        <v>0</v>
      </c>
      <c r="CT170" t="s">
        <v>111</v>
      </c>
      <c r="CU170">
        <v>0</v>
      </c>
      <c r="CV170" t="s">
        <v>111</v>
      </c>
      <c r="CW170" t="s">
        <v>111</v>
      </c>
      <c r="CX170" t="s">
        <v>111</v>
      </c>
      <c r="CY170">
        <v>0</v>
      </c>
      <c r="CZ170" t="s">
        <v>111</v>
      </c>
      <c r="DA170" t="s">
        <v>111</v>
      </c>
      <c r="DB170" t="s">
        <v>111</v>
      </c>
      <c r="DC170" t="s">
        <v>111</v>
      </c>
    </row>
    <row r="171" spans="1:107">
      <c r="A171">
        <v>1229</v>
      </c>
      <c r="B171" t="s">
        <v>107</v>
      </c>
      <c r="C171" t="s">
        <v>726</v>
      </c>
      <c r="D171" t="s">
        <v>727</v>
      </c>
      <c r="E171" t="s">
        <v>728</v>
      </c>
      <c r="F171" t="s">
        <v>431</v>
      </c>
      <c r="G171" t="s">
        <v>469</v>
      </c>
      <c r="H171">
        <v>3.4</v>
      </c>
      <c r="I171">
        <v>61</v>
      </c>
      <c r="J171">
        <v>0</v>
      </c>
      <c r="K171">
        <v>0</v>
      </c>
      <c r="L171" t="s">
        <v>117</v>
      </c>
      <c r="M171" t="s">
        <v>118</v>
      </c>
      <c r="N171">
        <v>40</v>
      </c>
      <c r="O171">
        <v>1</v>
      </c>
      <c r="P171" t="s">
        <v>111</v>
      </c>
      <c r="Q171">
        <v>47</v>
      </c>
      <c r="R171">
        <v>0</v>
      </c>
      <c r="S171">
        <v>0</v>
      </c>
      <c r="T171">
        <v>5</v>
      </c>
      <c r="U171" t="e">
        <f>-DESTINO CORREA</f>
        <v>#NAME?</v>
      </c>
      <c r="V171">
        <v>0</v>
      </c>
      <c r="W171">
        <v>25</v>
      </c>
      <c r="X171">
        <v>8</v>
      </c>
      <c r="Y171">
        <v>0</v>
      </c>
      <c r="Z171" t="s">
        <v>111</v>
      </c>
      <c r="AA171">
        <v>0</v>
      </c>
      <c r="AB171" t="s">
        <v>523</v>
      </c>
      <c r="AC171">
        <v>8</v>
      </c>
      <c r="AD171" t="s">
        <v>427</v>
      </c>
      <c r="AE171">
        <v>0</v>
      </c>
      <c r="AF171">
        <v>0</v>
      </c>
      <c r="AG171" t="s">
        <v>111</v>
      </c>
      <c r="AH171" t="s">
        <v>113</v>
      </c>
      <c r="AI171" t="s">
        <v>111</v>
      </c>
      <c r="AJ171" t="s">
        <v>111</v>
      </c>
      <c r="AK171" t="s">
        <v>111</v>
      </c>
      <c r="AL171" t="s">
        <v>111</v>
      </c>
      <c r="AM171">
        <v>0</v>
      </c>
      <c r="AN171">
        <v>0</v>
      </c>
      <c r="AO171">
        <v>0</v>
      </c>
      <c r="AP171" t="s">
        <v>111</v>
      </c>
      <c r="AQ171" t="s">
        <v>111</v>
      </c>
      <c r="AR171" t="s">
        <v>111</v>
      </c>
      <c r="AS171" t="s">
        <v>111</v>
      </c>
      <c r="AT171" t="s">
        <v>111</v>
      </c>
      <c r="AU171" t="s">
        <v>111</v>
      </c>
      <c r="AV171" t="s">
        <v>111</v>
      </c>
      <c r="AW171" t="s">
        <v>111</v>
      </c>
      <c r="AX171" t="s">
        <v>111</v>
      </c>
      <c r="AY171" t="s">
        <v>111</v>
      </c>
      <c r="AZ171" t="s">
        <v>111</v>
      </c>
      <c r="BA171" t="s">
        <v>111</v>
      </c>
      <c r="BB171" t="s">
        <v>111</v>
      </c>
      <c r="BC171" t="s">
        <v>111</v>
      </c>
      <c r="BD171" t="s">
        <v>111</v>
      </c>
      <c r="BE171" t="s">
        <v>111</v>
      </c>
      <c r="BF171" t="s">
        <v>111</v>
      </c>
      <c r="BG171" t="s">
        <v>111</v>
      </c>
      <c r="BH171" t="s">
        <v>111</v>
      </c>
      <c r="BI171" t="s">
        <v>111</v>
      </c>
      <c r="BJ171" t="s">
        <v>111</v>
      </c>
      <c r="BK171" t="s">
        <v>111</v>
      </c>
      <c r="BL171" t="s">
        <v>111</v>
      </c>
      <c r="BM171" t="s">
        <v>111</v>
      </c>
      <c r="BN171" t="s">
        <v>111</v>
      </c>
      <c r="BO171" t="s">
        <v>111</v>
      </c>
      <c r="BP171" t="s">
        <v>111</v>
      </c>
      <c r="BQ171" t="s">
        <v>111</v>
      </c>
      <c r="BR171" t="s">
        <v>111</v>
      </c>
      <c r="BS171" t="s">
        <v>111</v>
      </c>
      <c r="BT171" t="s">
        <v>111</v>
      </c>
      <c r="BU171" t="s">
        <v>111</v>
      </c>
      <c r="BV171" t="s">
        <v>111</v>
      </c>
      <c r="BW171" t="s">
        <v>111</v>
      </c>
      <c r="BX171" t="s">
        <v>111</v>
      </c>
      <c r="BY171" t="s">
        <v>111</v>
      </c>
      <c r="BZ171" t="s">
        <v>111</v>
      </c>
      <c r="CA171" t="s">
        <v>111</v>
      </c>
      <c r="CB171" t="s">
        <v>111</v>
      </c>
      <c r="CC171" t="s">
        <v>111</v>
      </c>
      <c r="CD171" t="s">
        <v>111</v>
      </c>
      <c r="CE171" t="s">
        <v>111</v>
      </c>
      <c r="CF171" t="s">
        <v>111</v>
      </c>
      <c r="CG171" t="s">
        <v>111</v>
      </c>
      <c r="CH171" t="s">
        <v>111</v>
      </c>
      <c r="CI171" t="s">
        <v>111</v>
      </c>
      <c r="CJ171" t="s">
        <v>111</v>
      </c>
      <c r="CK171" t="s">
        <v>111</v>
      </c>
      <c r="CL171" t="e">
        <f>-DESTINO SELLADO</f>
        <v>#NAME?</v>
      </c>
      <c r="CM171" t="s">
        <v>438</v>
      </c>
      <c r="CN171" t="s">
        <v>113</v>
      </c>
      <c r="CO171" t="s">
        <v>111</v>
      </c>
      <c r="CP171" t="s">
        <v>563</v>
      </c>
      <c r="CQ171">
        <v>54</v>
      </c>
      <c r="CR171">
        <v>5000</v>
      </c>
      <c r="CS171">
        <v>200</v>
      </c>
      <c r="CT171" t="e">
        <f>-SETINO ALMACEN</f>
        <v>#NAME?</v>
      </c>
      <c r="CU171">
        <v>0</v>
      </c>
      <c r="CV171" t="s">
        <v>111</v>
      </c>
      <c r="CW171" t="s">
        <v>111</v>
      </c>
      <c r="CX171" t="s">
        <v>111</v>
      </c>
      <c r="CY171">
        <v>0</v>
      </c>
      <c r="CZ171" t="s">
        <v>111</v>
      </c>
      <c r="DA171" t="s">
        <v>111</v>
      </c>
      <c r="DB171" t="s">
        <v>111</v>
      </c>
      <c r="DC171" t="s">
        <v>111</v>
      </c>
    </row>
    <row r="172" spans="1:107">
      <c r="A172">
        <v>1489</v>
      </c>
      <c r="B172" t="s">
        <v>107</v>
      </c>
      <c r="C172" t="s">
        <v>713</v>
      </c>
      <c r="D172" t="s">
        <v>729</v>
      </c>
      <c r="E172" t="s">
        <v>730</v>
      </c>
      <c r="F172" t="s">
        <v>358</v>
      </c>
      <c r="G172" t="s">
        <v>469</v>
      </c>
      <c r="H172">
        <v>2.5</v>
      </c>
      <c r="I172">
        <v>45.5</v>
      </c>
      <c r="J172">
        <v>0</v>
      </c>
      <c r="K172">
        <v>0</v>
      </c>
      <c r="L172" t="s">
        <v>117</v>
      </c>
      <c r="M172" t="s">
        <v>118</v>
      </c>
      <c r="N172">
        <v>39</v>
      </c>
      <c r="O172">
        <v>1</v>
      </c>
      <c r="P172" t="s">
        <v>111</v>
      </c>
      <c r="Q172">
        <v>55</v>
      </c>
      <c r="R172">
        <v>0</v>
      </c>
      <c r="S172">
        <v>0</v>
      </c>
      <c r="T172">
        <v>10</v>
      </c>
      <c r="U172" t="e">
        <f>-DESTINO DARMA</f>
        <v>#NAME?</v>
      </c>
      <c r="V172">
        <v>0</v>
      </c>
      <c r="W172">
        <v>25</v>
      </c>
      <c r="X172">
        <v>10</v>
      </c>
      <c r="Y172">
        <v>0</v>
      </c>
      <c r="Z172" t="s">
        <v>111</v>
      </c>
      <c r="AA172">
        <v>0</v>
      </c>
      <c r="AB172" t="s">
        <v>731</v>
      </c>
      <c r="AC172">
        <v>10</v>
      </c>
      <c r="AD172" t="s">
        <v>416</v>
      </c>
      <c r="AE172">
        <v>0</v>
      </c>
      <c r="AF172">
        <v>0</v>
      </c>
      <c r="AG172" t="s">
        <v>111</v>
      </c>
      <c r="AH172" t="s">
        <v>128</v>
      </c>
      <c r="AI172" t="s">
        <v>111</v>
      </c>
      <c r="AJ172" t="s">
        <v>111</v>
      </c>
      <c r="AK172" t="s">
        <v>111</v>
      </c>
      <c r="AL172" t="s">
        <v>111</v>
      </c>
      <c r="AM172">
        <v>0</v>
      </c>
      <c r="AN172">
        <v>0</v>
      </c>
      <c r="AO172">
        <v>0</v>
      </c>
      <c r="AP172" t="s">
        <v>111</v>
      </c>
      <c r="AQ172" t="s">
        <v>111</v>
      </c>
      <c r="AR172" t="s">
        <v>111</v>
      </c>
      <c r="AS172" t="s">
        <v>111</v>
      </c>
      <c r="AT172" t="s">
        <v>111</v>
      </c>
      <c r="AU172" t="s">
        <v>111</v>
      </c>
      <c r="AV172" t="s">
        <v>111</v>
      </c>
      <c r="AW172" t="s">
        <v>111</v>
      </c>
      <c r="AX172" t="s">
        <v>111</v>
      </c>
      <c r="AY172" t="s">
        <v>111</v>
      </c>
      <c r="AZ172" t="s">
        <v>111</v>
      </c>
      <c r="BA172" t="s">
        <v>111</v>
      </c>
      <c r="BB172" t="s">
        <v>111</v>
      </c>
      <c r="BC172" t="s">
        <v>111</v>
      </c>
      <c r="BD172" t="s">
        <v>111</v>
      </c>
      <c r="BE172" t="s">
        <v>111</v>
      </c>
      <c r="BF172" t="s">
        <v>111</v>
      </c>
      <c r="BG172" t="s">
        <v>111</v>
      </c>
      <c r="BH172" t="s">
        <v>111</v>
      </c>
      <c r="BI172" t="s">
        <v>111</v>
      </c>
      <c r="BJ172" t="s">
        <v>111</v>
      </c>
      <c r="BK172" t="s">
        <v>111</v>
      </c>
      <c r="BL172" t="s">
        <v>111</v>
      </c>
      <c r="BM172" t="s">
        <v>111</v>
      </c>
      <c r="BN172" t="s">
        <v>111</v>
      </c>
      <c r="BO172" t="s">
        <v>111</v>
      </c>
      <c r="BP172" t="s">
        <v>111</v>
      </c>
      <c r="BQ172" t="s">
        <v>111</v>
      </c>
      <c r="BR172" t="s">
        <v>111</v>
      </c>
      <c r="BS172" t="s">
        <v>111</v>
      </c>
      <c r="BT172" t="s">
        <v>111</v>
      </c>
      <c r="BU172" t="s">
        <v>111</v>
      </c>
      <c r="BV172" t="s">
        <v>111</v>
      </c>
      <c r="BW172" t="s">
        <v>111</v>
      </c>
      <c r="BX172" t="s">
        <v>111</v>
      </c>
      <c r="BY172" t="s">
        <v>111</v>
      </c>
      <c r="BZ172" t="s">
        <v>111</v>
      </c>
      <c r="CA172" t="s">
        <v>111</v>
      </c>
      <c r="CB172" t="s">
        <v>111</v>
      </c>
      <c r="CC172" t="s">
        <v>111</v>
      </c>
      <c r="CD172" t="s">
        <v>111</v>
      </c>
      <c r="CE172" t="s">
        <v>111</v>
      </c>
      <c r="CF172" t="s">
        <v>111</v>
      </c>
      <c r="CG172" t="s">
        <v>111</v>
      </c>
      <c r="CH172" t="s">
        <v>111</v>
      </c>
      <c r="CI172" t="s">
        <v>111</v>
      </c>
      <c r="CJ172" t="s">
        <v>111</v>
      </c>
      <c r="CK172" t="s">
        <v>111</v>
      </c>
      <c r="CL172" t="s">
        <v>111</v>
      </c>
      <c r="CM172" t="s">
        <v>111</v>
      </c>
      <c r="CN172" t="s">
        <v>111</v>
      </c>
      <c r="CO172" t="s">
        <v>111</v>
      </c>
      <c r="CP172" t="s">
        <v>111</v>
      </c>
      <c r="CQ172">
        <v>0</v>
      </c>
      <c r="CR172">
        <v>0</v>
      </c>
      <c r="CS172">
        <v>0</v>
      </c>
      <c r="CT172" t="s">
        <v>111</v>
      </c>
      <c r="CU172">
        <v>0</v>
      </c>
      <c r="CV172" t="s">
        <v>111</v>
      </c>
      <c r="CW172" t="s">
        <v>111</v>
      </c>
      <c r="CX172" t="s">
        <v>111</v>
      </c>
      <c r="CY172">
        <v>0</v>
      </c>
      <c r="CZ172" t="s">
        <v>111</v>
      </c>
      <c r="DA172" t="s">
        <v>111</v>
      </c>
      <c r="DB172" t="s">
        <v>111</v>
      </c>
      <c r="DC172" t="s">
        <v>111</v>
      </c>
    </row>
    <row r="173" spans="1:107">
      <c r="A173">
        <v>1461</v>
      </c>
      <c r="B173" t="s">
        <v>107</v>
      </c>
      <c r="C173" t="s">
        <v>412</v>
      </c>
      <c r="D173" t="s">
        <v>732</v>
      </c>
      <c r="E173" t="s">
        <v>733</v>
      </c>
      <c r="F173" t="s">
        <v>370</v>
      </c>
      <c r="G173" t="s">
        <v>469</v>
      </c>
      <c r="H173">
        <v>1.5</v>
      </c>
      <c r="I173">
        <v>30</v>
      </c>
      <c r="J173">
        <v>7</v>
      </c>
      <c r="K173">
        <v>7</v>
      </c>
      <c r="L173" t="s">
        <v>112</v>
      </c>
      <c r="M173" t="s">
        <v>118</v>
      </c>
      <c r="N173">
        <v>40</v>
      </c>
      <c r="O173">
        <v>1</v>
      </c>
      <c r="P173" t="s">
        <v>111</v>
      </c>
      <c r="Q173">
        <v>34</v>
      </c>
      <c r="R173">
        <v>0</v>
      </c>
      <c r="S173">
        <v>0</v>
      </c>
      <c r="T173">
        <v>5</v>
      </c>
      <c r="U173" s="1" t="s">
        <v>734</v>
      </c>
      <c r="V173">
        <v>25</v>
      </c>
      <c r="W173">
        <v>0</v>
      </c>
      <c r="X173">
        <v>8</v>
      </c>
      <c r="Y173">
        <v>0</v>
      </c>
      <c r="Z173" t="s">
        <v>288</v>
      </c>
      <c r="AA173">
        <v>1.5</v>
      </c>
      <c r="AB173" t="s">
        <v>111</v>
      </c>
      <c r="AC173">
        <v>0</v>
      </c>
      <c r="AD173" t="s">
        <v>416</v>
      </c>
      <c r="AE173">
        <v>0</v>
      </c>
      <c r="AF173">
        <v>0</v>
      </c>
      <c r="AG173" t="s">
        <v>111</v>
      </c>
      <c r="AH173" t="s">
        <v>128</v>
      </c>
      <c r="AI173" t="s">
        <v>111</v>
      </c>
      <c r="AJ173" t="s">
        <v>111</v>
      </c>
      <c r="AK173" t="s">
        <v>111</v>
      </c>
      <c r="AL173" t="s">
        <v>111</v>
      </c>
      <c r="AM173">
        <v>0</v>
      </c>
      <c r="AN173">
        <v>0</v>
      </c>
      <c r="AO173">
        <v>0</v>
      </c>
      <c r="AP173" t="s">
        <v>111</v>
      </c>
      <c r="AQ173" t="s">
        <v>111</v>
      </c>
      <c r="AR173" t="s">
        <v>111</v>
      </c>
      <c r="AS173" t="s">
        <v>111</v>
      </c>
      <c r="AT173" t="s">
        <v>111</v>
      </c>
      <c r="AU173" t="s">
        <v>111</v>
      </c>
      <c r="AV173" t="s">
        <v>111</v>
      </c>
      <c r="AW173" t="s">
        <v>111</v>
      </c>
      <c r="AX173" t="s">
        <v>111</v>
      </c>
      <c r="AY173" t="s">
        <v>111</v>
      </c>
      <c r="AZ173" t="s">
        <v>111</v>
      </c>
      <c r="BA173" t="s">
        <v>111</v>
      </c>
      <c r="BB173" t="s">
        <v>111</v>
      </c>
      <c r="BC173" t="s">
        <v>111</v>
      </c>
      <c r="BD173" t="s">
        <v>111</v>
      </c>
      <c r="BE173" t="s">
        <v>111</v>
      </c>
      <c r="BF173" t="s">
        <v>111</v>
      </c>
      <c r="BG173" t="s">
        <v>111</v>
      </c>
      <c r="BH173" t="s">
        <v>111</v>
      </c>
      <c r="BI173" t="s">
        <v>111</v>
      </c>
      <c r="BJ173" t="s">
        <v>111</v>
      </c>
      <c r="BK173" t="s">
        <v>111</v>
      </c>
      <c r="BL173" t="s">
        <v>111</v>
      </c>
      <c r="BM173" t="s">
        <v>111</v>
      </c>
      <c r="BN173" t="s">
        <v>111</v>
      </c>
      <c r="BO173" t="s">
        <v>111</v>
      </c>
      <c r="BP173" t="s">
        <v>111</v>
      </c>
      <c r="BQ173" t="s">
        <v>111</v>
      </c>
      <c r="BR173" t="s">
        <v>111</v>
      </c>
      <c r="BS173" t="s">
        <v>111</v>
      </c>
      <c r="BT173" t="s">
        <v>111</v>
      </c>
      <c r="BU173" t="s">
        <v>111</v>
      </c>
      <c r="BV173" t="s">
        <v>111</v>
      </c>
      <c r="BW173" t="s">
        <v>111</v>
      </c>
      <c r="BX173" t="s">
        <v>111</v>
      </c>
      <c r="BY173" t="s">
        <v>111</v>
      </c>
      <c r="BZ173" t="s">
        <v>111</v>
      </c>
      <c r="CA173" t="s">
        <v>111</v>
      </c>
      <c r="CB173" t="s">
        <v>111</v>
      </c>
      <c r="CC173" t="s">
        <v>111</v>
      </c>
      <c r="CD173" t="s">
        <v>111</v>
      </c>
      <c r="CE173" t="s">
        <v>111</v>
      </c>
      <c r="CF173" t="s">
        <v>111</v>
      </c>
      <c r="CG173" t="s">
        <v>111</v>
      </c>
      <c r="CH173" t="s">
        <v>111</v>
      </c>
      <c r="CI173" t="s">
        <v>111</v>
      </c>
      <c r="CJ173" t="s">
        <v>111</v>
      </c>
      <c r="CK173" t="s">
        <v>111</v>
      </c>
      <c r="CL173" t="s">
        <v>111</v>
      </c>
      <c r="CM173" t="s">
        <v>135</v>
      </c>
      <c r="CN173" t="s">
        <v>128</v>
      </c>
      <c r="CO173" t="s">
        <v>111</v>
      </c>
      <c r="CP173" t="s">
        <v>111</v>
      </c>
      <c r="CQ173">
        <v>0</v>
      </c>
      <c r="CR173">
        <v>2000</v>
      </c>
      <c r="CS173">
        <v>50</v>
      </c>
      <c r="CT173" s="1" t="s">
        <v>735</v>
      </c>
      <c r="CU173">
        <v>0</v>
      </c>
      <c r="CV173" t="s">
        <v>111</v>
      </c>
      <c r="CW173" t="s">
        <v>111</v>
      </c>
      <c r="CX173" t="s">
        <v>111</v>
      </c>
      <c r="CY173">
        <v>0</v>
      </c>
      <c r="CZ173" t="s">
        <v>111</v>
      </c>
      <c r="DA173" t="s">
        <v>111</v>
      </c>
      <c r="DB173" t="e">
        <f>-INTERNO</f>
        <v>#NAME?</v>
      </c>
      <c r="DC173" t="e">
        <f>-TROQUE CAMISETA</f>
        <v>#NAME?</v>
      </c>
    </row>
    <row r="174" spans="1:107">
      <c r="A174">
        <v>1501</v>
      </c>
      <c r="B174" t="s">
        <v>107</v>
      </c>
      <c r="C174" t="s">
        <v>736</v>
      </c>
      <c r="D174" t="s">
        <v>737</v>
      </c>
      <c r="E174" t="s">
        <v>738</v>
      </c>
      <c r="F174" t="s">
        <v>739</v>
      </c>
      <c r="G174" t="s">
        <v>469</v>
      </c>
      <c r="H174">
        <v>2</v>
      </c>
      <c r="I174">
        <v>82</v>
      </c>
      <c r="J174">
        <v>0</v>
      </c>
      <c r="K174">
        <v>0</v>
      </c>
      <c r="L174" t="s">
        <v>117</v>
      </c>
      <c r="M174" t="s">
        <v>118</v>
      </c>
      <c r="N174">
        <v>40</v>
      </c>
      <c r="O174">
        <v>1</v>
      </c>
      <c r="P174" t="s">
        <v>111</v>
      </c>
      <c r="Q174">
        <v>530</v>
      </c>
      <c r="R174">
        <v>0</v>
      </c>
      <c r="S174">
        <v>0</v>
      </c>
      <c r="T174">
        <v>5</v>
      </c>
      <c r="U174" t="e">
        <f>-IMPRESION DARMA</f>
        <v>#NAME?</v>
      </c>
      <c r="V174">
        <v>0</v>
      </c>
      <c r="W174">
        <v>250</v>
      </c>
      <c r="X174">
        <v>8</v>
      </c>
      <c r="Y174">
        <v>0</v>
      </c>
      <c r="Z174" t="s">
        <v>288</v>
      </c>
      <c r="AA174">
        <v>2</v>
      </c>
      <c r="AB174" t="s">
        <v>111</v>
      </c>
      <c r="AC174">
        <v>0</v>
      </c>
      <c r="AD174" t="s">
        <v>416</v>
      </c>
      <c r="AE174">
        <v>0</v>
      </c>
      <c r="AF174">
        <v>0</v>
      </c>
      <c r="AG174" t="s">
        <v>111</v>
      </c>
      <c r="AH174" t="s">
        <v>113</v>
      </c>
      <c r="AI174" t="s">
        <v>111</v>
      </c>
      <c r="AJ174" t="s">
        <v>111</v>
      </c>
      <c r="AK174" t="s">
        <v>111</v>
      </c>
      <c r="AL174" t="s">
        <v>111</v>
      </c>
      <c r="AM174">
        <v>0</v>
      </c>
      <c r="AN174">
        <v>0</v>
      </c>
      <c r="AO174">
        <v>0</v>
      </c>
      <c r="AP174" t="s">
        <v>111</v>
      </c>
      <c r="AQ174" t="s">
        <v>111</v>
      </c>
      <c r="AR174" t="s">
        <v>111</v>
      </c>
      <c r="AS174" t="s">
        <v>111</v>
      </c>
      <c r="AT174" t="s">
        <v>111</v>
      </c>
      <c r="AU174" t="s">
        <v>111</v>
      </c>
      <c r="AV174" t="s">
        <v>111</v>
      </c>
      <c r="AW174" t="s">
        <v>111</v>
      </c>
      <c r="AX174" t="s">
        <v>111</v>
      </c>
      <c r="AY174" t="s">
        <v>111</v>
      </c>
      <c r="AZ174" t="s">
        <v>111</v>
      </c>
      <c r="BA174" t="s">
        <v>111</v>
      </c>
      <c r="BB174" t="s">
        <v>111</v>
      </c>
      <c r="BC174" t="s">
        <v>111</v>
      </c>
      <c r="BD174" t="s">
        <v>111</v>
      </c>
      <c r="BE174" t="s">
        <v>111</v>
      </c>
      <c r="BF174" t="s">
        <v>111</v>
      </c>
      <c r="BG174" t="s">
        <v>111</v>
      </c>
      <c r="BH174" t="s">
        <v>111</v>
      </c>
      <c r="BI174" t="s">
        <v>111</v>
      </c>
      <c r="BJ174" t="s">
        <v>111</v>
      </c>
      <c r="BK174" t="s">
        <v>111</v>
      </c>
      <c r="BL174" t="s">
        <v>111</v>
      </c>
      <c r="BM174" t="s">
        <v>111</v>
      </c>
      <c r="BN174" t="s">
        <v>111</v>
      </c>
      <c r="BO174" t="s">
        <v>111</v>
      </c>
      <c r="BP174" t="s">
        <v>111</v>
      </c>
      <c r="BQ174" t="s">
        <v>111</v>
      </c>
      <c r="BR174" t="s">
        <v>111</v>
      </c>
      <c r="BS174" t="s">
        <v>111</v>
      </c>
      <c r="BT174" t="s">
        <v>111</v>
      </c>
      <c r="BU174" t="s">
        <v>111</v>
      </c>
      <c r="BV174" t="s">
        <v>111</v>
      </c>
      <c r="BW174" t="s">
        <v>111</v>
      </c>
      <c r="BX174" t="s">
        <v>111</v>
      </c>
      <c r="BY174" t="s">
        <v>111</v>
      </c>
      <c r="BZ174" t="s">
        <v>111</v>
      </c>
      <c r="CA174" t="s">
        <v>111</v>
      </c>
      <c r="CB174" t="s">
        <v>111</v>
      </c>
      <c r="CC174" t="s">
        <v>111</v>
      </c>
      <c r="CD174" t="s">
        <v>111</v>
      </c>
      <c r="CE174" t="s">
        <v>111</v>
      </c>
      <c r="CF174" t="s">
        <v>111</v>
      </c>
      <c r="CG174" t="s">
        <v>111</v>
      </c>
      <c r="CH174" t="s">
        <v>111</v>
      </c>
      <c r="CI174" t="s">
        <v>111</v>
      </c>
      <c r="CJ174" t="s">
        <v>111</v>
      </c>
      <c r="CK174" t="s">
        <v>111</v>
      </c>
      <c r="CL174" t="s">
        <v>111</v>
      </c>
      <c r="CM174" t="s">
        <v>360</v>
      </c>
      <c r="CN174" t="s">
        <v>113</v>
      </c>
      <c r="CO174" t="s">
        <v>111</v>
      </c>
      <c r="CP174" t="s">
        <v>111</v>
      </c>
      <c r="CQ174">
        <v>0</v>
      </c>
      <c r="CR174">
        <v>2000</v>
      </c>
      <c r="CS174">
        <v>100</v>
      </c>
      <c r="CT174" t="e">
        <f>-ALMACEN</f>
        <v>#NAME?</v>
      </c>
      <c r="CU174">
        <v>0</v>
      </c>
      <c r="CV174" t="s">
        <v>111</v>
      </c>
      <c r="CW174" t="s">
        <v>111</v>
      </c>
      <c r="CX174" t="s">
        <v>111</v>
      </c>
      <c r="CY174">
        <v>0</v>
      </c>
      <c r="CZ174" t="s">
        <v>111</v>
      </c>
      <c r="DA174" t="s">
        <v>111</v>
      </c>
      <c r="DB174" t="s">
        <v>111</v>
      </c>
      <c r="DC174" t="s">
        <v>111</v>
      </c>
    </row>
    <row r="175" spans="1:107">
      <c r="A175">
        <v>1495</v>
      </c>
      <c r="B175" t="s">
        <v>107</v>
      </c>
      <c r="C175" t="s">
        <v>736</v>
      </c>
      <c r="D175" t="s">
        <v>737</v>
      </c>
      <c r="E175" t="s">
        <v>740</v>
      </c>
      <c r="F175" t="s">
        <v>431</v>
      </c>
      <c r="G175" t="s">
        <v>469</v>
      </c>
      <c r="H175">
        <v>2</v>
      </c>
      <c r="I175">
        <v>82</v>
      </c>
      <c r="J175">
        <v>0</v>
      </c>
      <c r="K175">
        <v>0</v>
      </c>
      <c r="L175" t="s">
        <v>117</v>
      </c>
      <c r="M175" t="s">
        <v>118</v>
      </c>
      <c r="N175">
        <v>40</v>
      </c>
      <c r="O175">
        <v>1</v>
      </c>
      <c r="P175" t="s">
        <v>138</v>
      </c>
      <c r="Q175">
        <v>53</v>
      </c>
      <c r="R175">
        <v>0</v>
      </c>
      <c r="S175">
        <v>0</v>
      </c>
      <c r="T175">
        <v>5</v>
      </c>
      <c r="U175" t="s">
        <v>741</v>
      </c>
      <c r="V175">
        <v>0</v>
      </c>
      <c r="W175">
        <v>25</v>
      </c>
      <c r="X175">
        <v>8</v>
      </c>
      <c r="Y175">
        <v>0</v>
      </c>
      <c r="Z175" t="s">
        <v>288</v>
      </c>
      <c r="AA175">
        <v>2</v>
      </c>
      <c r="AB175" t="s">
        <v>111</v>
      </c>
      <c r="AC175">
        <v>0</v>
      </c>
      <c r="AD175" t="s">
        <v>416</v>
      </c>
      <c r="AE175">
        <v>0</v>
      </c>
      <c r="AF175">
        <v>0</v>
      </c>
      <c r="AG175" t="s">
        <v>111</v>
      </c>
      <c r="AH175" t="s">
        <v>113</v>
      </c>
      <c r="AI175" t="s">
        <v>111</v>
      </c>
      <c r="AJ175" t="s">
        <v>111</v>
      </c>
      <c r="AK175" t="s">
        <v>111</v>
      </c>
      <c r="AL175" t="s">
        <v>111</v>
      </c>
      <c r="AM175">
        <v>0</v>
      </c>
      <c r="AN175">
        <v>0</v>
      </c>
      <c r="AO175">
        <v>0</v>
      </c>
      <c r="AP175" t="s">
        <v>111</v>
      </c>
      <c r="AQ175" t="s">
        <v>111</v>
      </c>
      <c r="AR175" t="s">
        <v>111</v>
      </c>
      <c r="AS175" t="s">
        <v>111</v>
      </c>
      <c r="AT175" t="s">
        <v>111</v>
      </c>
      <c r="AU175" t="s">
        <v>111</v>
      </c>
      <c r="AV175" t="s">
        <v>111</v>
      </c>
      <c r="AW175" t="s">
        <v>111</v>
      </c>
      <c r="AX175" t="s">
        <v>111</v>
      </c>
      <c r="AY175" t="s">
        <v>111</v>
      </c>
      <c r="AZ175" t="s">
        <v>111</v>
      </c>
      <c r="BA175" t="s">
        <v>111</v>
      </c>
      <c r="BB175" t="s">
        <v>111</v>
      </c>
      <c r="BC175" t="s">
        <v>111</v>
      </c>
      <c r="BD175" t="s">
        <v>111</v>
      </c>
      <c r="BE175" t="s">
        <v>111</v>
      </c>
      <c r="BF175" t="s">
        <v>111</v>
      </c>
      <c r="BG175" t="s">
        <v>111</v>
      </c>
      <c r="BH175" t="s">
        <v>111</v>
      </c>
      <c r="BI175" t="s">
        <v>111</v>
      </c>
      <c r="BJ175" t="s">
        <v>111</v>
      </c>
      <c r="BK175" t="s">
        <v>111</v>
      </c>
      <c r="BL175" t="s">
        <v>111</v>
      </c>
      <c r="BM175" t="s">
        <v>111</v>
      </c>
      <c r="BN175" t="s">
        <v>111</v>
      </c>
      <c r="BO175" t="s">
        <v>111</v>
      </c>
      <c r="BP175" t="s">
        <v>111</v>
      </c>
      <c r="BQ175" t="s">
        <v>111</v>
      </c>
      <c r="BR175" t="s">
        <v>111</v>
      </c>
      <c r="BS175" t="s">
        <v>111</v>
      </c>
      <c r="BT175" t="s">
        <v>111</v>
      </c>
      <c r="BU175" t="s">
        <v>111</v>
      </c>
      <c r="BV175" t="s">
        <v>111</v>
      </c>
      <c r="BW175" t="s">
        <v>111</v>
      </c>
      <c r="BX175" t="s">
        <v>111</v>
      </c>
      <c r="BY175" t="s">
        <v>111</v>
      </c>
      <c r="BZ175" t="s">
        <v>111</v>
      </c>
      <c r="CA175" t="s">
        <v>111</v>
      </c>
      <c r="CB175" t="s">
        <v>111</v>
      </c>
      <c r="CC175" t="s">
        <v>111</v>
      </c>
      <c r="CD175" t="s">
        <v>111</v>
      </c>
      <c r="CE175" t="s">
        <v>111</v>
      </c>
      <c r="CF175" t="s">
        <v>111</v>
      </c>
      <c r="CG175" t="s">
        <v>111</v>
      </c>
      <c r="CH175" t="s">
        <v>111</v>
      </c>
      <c r="CI175" t="s">
        <v>111</v>
      </c>
      <c r="CJ175" t="s">
        <v>111</v>
      </c>
      <c r="CK175" t="s">
        <v>111</v>
      </c>
      <c r="CL175" t="s">
        <v>111</v>
      </c>
      <c r="CM175" t="s">
        <v>360</v>
      </c>
      <c r="CN175" t="s">
        <v>113</v>
      </c>
      <c r="CO175" t="s">
        <v>111</v>
      </c>
      <c r="CP175" t="s">
        <v>111</v>
      </c>
      <c r="CQ175">
        <v>0</v>
      </c>
      <c r="CR175">
        <v>0</v>
      </c>
      <c r="CS175">
        <v>100</v>
      </c>
      <c r="CT175" t="e">
        <f>-ALMACEN</f>
        <v>#NAME?</v>
      </c>
      <c r="CU175">
        <v>0</v>
      </c>
      <c r="CV175" t="s">
        <v>111</v>
      </c>
      <c r="CW175" t="s">
        <v>111</v>
      </c>
      <c r="CX175" t="s">
        <v>111</v>
      </c>
      <c r="CY175">
        <v>0</v>
      </c>
      <c r="CZ175" t="s">
        <v>111</v>
      </c>
      <c r="DA175" t="s">
        <v>111</v>
      </c>
      <c r="DB175" t="s">
        <v>111</v>
      </c>
      <c r="DC175" t="s">
        <v>111</v>
      </c>
    </row>
    <row r="176" spans="1:107">
      <c r="A176">
        <v>1457</v>
      </c>
      <c r="B176" t="s">
        <v>107</v>
      </c>
      <c r="C176" t="s">
        <v>140</v>
      </c>
      <c r="D176" t="s">
        <v>742</v>
      </c>
      <c r="E176" t="s">
        <v>743</v>
      </c>
      <c r="F176" t="s">
        <v>125</v>
      </c>
      <c r="G176" t="s">
        <v>469</v>
      </c>
      <c r="H176">
        <v>2.2000000000000002</v>
      </c>
      <c r="I176">
        <v>52</v>
      </c>
      <c r="J176">
        <v>0</v>
      </c>
      <c r="K176">
        <v>0</v>
      </c>
      <c r="L176" t="s">
        <v>112</v>
      </c>
      <c r="M176" t="s">
        <v>111</v>
      </c>
      <c r="N176">
        <v>0</v>
      </c>
      <c r="O176">
        <v>0</v>
      </c>
      <c r="P176" t="s">
        <v>111</v>
      </c>
      <c r="Q176">
        <v>49.4</v>
      </c>
      <c r="R176">
        <v>0</v>
      </c>
      <c r="S176">
        <v>0</v>
      </c>
      <c r="T176">
        <v>5</v>
      </c>
      <c r="U176" t="e">
        <f>-SELLADO</f>
        <v>#NAME?</v>
      </c>
      <c r="V176">
        <v>12.5</v>
      </c>
      <c r="W176">
        <v>0</v>
      </c>
      <c r="X176">
        <v>12.5</v>
      </c>
      <c r="Y176">
        <v>0</v>
      </c>
      <c r="Z176" t="s">
        <v>111</v>
      </c>
      <c r="AA176">
        <v>0</v>
      </c>
      <c r="AB176" t="s">
        <v>744</v>
      </c>
      <c r="AC176">
        <v>0</v>
      </c>
      <c r="AD176" t="s">
        <v>111</v>
      </c>
      <c r="AE176">
        <v>0</v>
      </c>
      <c r="AF176">
        <v>0</v>
      </c>
      <c r="AG176" t="s">
        <v>111</v>
      </c>
      <c r="AH176" t="s">
        <v>111</v>
      </c>
      <c r="AI176" t="s">
        <v>111</v>
      </c>
      <c r="AJ176" t="s">
        <v>111</v>
      </c>
      <c r="AK176" t="s">
        <v>111</v>
      </c>
      <c r="AL176" t="s">
        <v>111</v>
      </c>
      <c r="AM176">
        <v>0</v>
      </c>
      <c r="AN176">
        <v>0</v>
      </c>
      <c r="AO176">
        <v>0</v>
      </c>
      <c r="AP176" t="s">
        <v>111</v>
      </c>
      <c r="AQ176" t="s">
        <v>111</v>
      </c>
      <c r="AR176" t="s">
        <v>111</v>
      </c>
      <c r="AS176" t="s">
        <v>111</v>
      </c>
      <c r="AT176" t="s">
        <v>111</v>
      </c>
      <c r="AU176" t="s">
        <v>111</v>
      </c>
      <c r="AV176" t="s">
        <v>111</v>
      </c>
      <c r="AW176" t="s">
        <v>111</v>
      </c>
      <c r="AX176" t="s">
        <v>111</v>
      </c>
      <c r="AY176" t="s">
        <v>111</v>
      </c>
      <c r="AZ176" t="s">
        <v>111</v>
      </c>
      <c r="BA176" t="s">
        <v>111</v>
      </c>
      <c r="BB176" t="s">
        <v>111</v>
      </c>
      <c r="BC176" t="s">
        <v>111</v>
      </c>
      <c r="BD176" t="s">
        <v>111</v>
      </c>
      <c r="BE176" t="s">
        <v>111</v>
      </c>
      <c r="BF176" t="s">
        <v>111</v>
      </c>
      <c r="BG176" t="s">
        <v>111</v>
      </c>
      <c r="BH176" t="s">
        <v>111</v>
      </c>
      <c r="BI176" t="s">
        <v>111</v>
      </c>
      <c r="BJ176" t="s">
        <v>111</v>
      </c>
      <c r="BK176" t="s">
        <v>111</v>
      </c>
      <c r="BL176" t="s">
        <v>111</v>
      </c>
      <c r="BM176" t="s">
        <v>111</v>
      </c>
      <c r="BN176" t="s">
        <v>111</v>
      </c>
      <c r="BO176" t="s">
        <v>111</v>
      </c>
      <c r="BP176" t="s">
        <v>111</v>
      </c>
      <c r="BQ176" t="s">
        <v>111</v>
      </c>
      <c r="BR176" t="s">
        <v>111</v>
      </c>
      <c r="BS176" t="s">
        <v>111</v>
      </c>
      <c r="BT176" t="s">
        <v>111</v>
      </c>
      <c r="BU176" t="s">
        <v>111</v>
      </c>
      <c r="BV176" t="s">
        <v>111</v>
      </c>
      <c r="BW176" t="s">
        <v>111</v>
      </c>
      <c r="BX176" t="s">
        <v>111</v>
      </c>
      <c r="BY176" t="s">
        <v>111</v>
      </c>
      <c r="BZ176" t="s">
        <v>111</v>
      </c>
      <c r="CA176" t="s">
        <v>111</v>
      </c>
      <c r="CB176" t="s">
        <v>111</v>
      </c>
      <c r="CC176" t="s">
        <v>111</v>
      </c>
      <c r="CD176" t="s">
        <v>111</v>
      </c>
      <c r="CE176" t="s">
        <v>111</v>
      </c>
      <c r="CF176" t="s">
        <v>111</v>
      </c>
      <c r="CG176" t="s">
        <v>111</v>
      </c>
      <c r="CH176" t="s">
        <v>111</v>
      </c>
      <c r="CI176" t="s">
        <v>111</v>
      </c>
      <c r="CJ176" t="s">
        <v>111</v>
      </c>
      <c r="CK176" t="s">
        <v>111</v>
      </c>
      <c r="CL176" t="s">
        <v>111</v>
      </c>
      <c r="CM176" t="s">
        <v>135</v>
      </c>
      <c r="CN176" t="s">
        <v>128</v>
      </c>
      <c r="CO176" t="s">
        <v>111</v>
      </c>
      <c r="CP176" t="s">
        <v>111</v>
      </c>
      <c r="CQ176">
        <v>0</v>
      </c>
      <c r="CR176">
        <v>500</v>
      </c>
      <c r="CS176">
        <v>20</v>
      </c>
      <c r="CT176" t="e">
        <f>-ALMACEN</f>
        <v>#NAME?</v>
      </c>
      <c r="CU176">
        <v>0</v>
      </c>
      <c r="CV176" t="s">
        <v>111</v>
      </c>
      <c r="CW176" t="s">
        <v>111</v>
      </c>
      <c r="CX176" t="s">
        <v>111</v>
      </c>
      <c r="CY176">
        <v>0</v>
      </c>
      <c r="CZ176" t="s">
        <v>111</v>
      </c>
      <c r="DA176" t="s">
        <v>111</v>
      </c>
      <c r="DB176" t="s">
        <v>111</v>
      </c>
      <c r="DC176" t="s">
        <v>111</v>
      </c>
    </row>
    <row r="177" spans="1:107">
      <c r="A177">
        <v>1492</v>
      </c>
      <c r="B177" t="s">
        <v>107</v>
      </c>
      <c r="C177" t="s">
        <v>405</v>
      </c>
      <c r="D177" t="s">
        <v>745</v>
      </c>
      <c r="E177" t="s">
        <v>746</v>
      </c>
      <c r="F177" t="s">
        <v>157</v>
      </c>
      <c r="G177" t="s">
        <v>469</v>
      </c>
      <c r="H177">
        <v>2.4</v>
      </c>
      <c r="I177">
        <v>54</v>
      </c>
      <c r="J177">
        <v>0</v>
      </c>
      <c r="K177">
        <v>0</v>
      </c>
      <c r="L177" t="s">
        <v>112</v>
      </c>
      <c r="M177" t="s">
        <v>118</v>
      </c>
      <c r="N177">
        <v>38</v>
      </c>
      <c r="O177">
        <v>2</v>
      </c>
      <c r="P177" t="s">
        <v>111</v>
      </c>
      <c r="Q177">
        <v>37.5</v>
      </c>
      <c r="R177">
        <v>0</v>
      </c>
      <c r="S177">
        <v>0</v>
      </c>
      <c r="T177">
        <v>0</v>
      </c>
      <c r="U177" s="1" t="s">
        <v>747</v>
      </c>
      <c r="V177">
        <v>0</v>
      </c>
      <c r="W177">
        <v>25</v>
      </c>
      <c r="X177">
        <v>8</v>
      </c>
      <c r="Y177">
        <v>0</v>
      </c>
      <c r="Z177" t="s">
        <v>288</v>
      </c>
      <c r="AA177">
        <v>1</v>
      </c>
      <c r="AB177" t="s">
        <v>111</v>
      </c>
      <c r="AC177">
        <v>0</v>
      </c>
      <c r="AD177" t="s">
        <v>111</v>
      </c>
      <c r="AE177">
        <v>0</v>
      </c>
      <c r="AF177">
        <v>0</v>
      </c>
      <c r="AG177" t="s">
        <v>111</v>
      </c>
      <c r="AH177" t="s">
        <v>111</v>
      </c>
      <c r="AI177" t="s">
        <v>111</v>
      </c>
      <c r="AJ177" t="s">
        <v>111</v>
      </c>
      <c r="AK177" t="s">
        <v>111</v>
      </c>
      <c r="AL177" t="s">
        <v>111</v>
      </c>
      <c r="AM177">
        <v>0</v>
      </c>
      <c r="AN177">
        <v>0</v>
      </c>
      <c r="AO177">
        <v>0</v>
      </c>
      <c r="AP177" t="s">
        <v>111</v>
      </c>
      <c r="AQ177" t="s">
        <v>111</v>
      </c>
      <c r="AR177" t="s">
        <v>111</v>
      </c>
      <c r="AS177" t="s">
        <v>111</v>
      </c>
      <c r="AT177" t="s">
        <v>111</v>
      </c>
      <c r="AU177" t="s">
        <v>111</v>
      </c>
      <c r="AV177" t="s">
        <v>111</v>
      </c>
      <c r="AW177" t="s">
        <v>111</v>
      </c>
      <c r="AX177" t="s">
        <v>111</v>
      </c>
      <c r="AY177" t="s">
        <v>111</v>
      </c>
      <c r="AZ177" t="s">
        <v>111</v>
      </c>
      <c r="BA177" t="s">
        <v>111</v>
      </c>
      <c r="BB177" t="s">
        <v>111</v>
      </c>
      <c r="BC177" t="s">
        <v>111</v>
      </c>
      <c r="BD177" t="s">
        <v>111</v>
      </c>
      <c r="BE177" t="s">
        <v>111</v>
      </c>
      <c r="BF177" t="s">
        <v>111</v>
      </c>
      <c r="BG177" t="s">
        <v>111</v>
      </c>
      <c r="BH177" t="s">
        <v>111</v>
      </c>
      <c r="BI177" t="s">
        <v>111</v>
      </c>
      <c r="BJ177" t="s">
        <v>111</v>
      </c>
      <c r="BK177" t="s">
        <v>111</v>
      </c>
      <c r="BL177" t="s">
        <v>111</v>
      </c>
      <c r="BM177" t="s">
        <v>111</v>
      </c>
      <c r="BN177" t="s">
        <v>111</v>
      </c>
      <c r="BO177" t="s">
        <v>111</v>
      </c>
      <c r="BP177" t="s">
        <v>111</v>
      </c>
      <c r="BQ177" t="s">
        <v>111</v>
      </c>
      <c r="BR177" t="s">
        <v>111</v>
      </c>
      <c r="BS177" t="s">
        <v>111</v>
      </c>
      <c r="BT177" t="s">
        <v>111</v>
      </c>
      <c r="BU177" t="s">
        <v>111</v>
      </c>
      <c r="BV177" t="s">
        <v>111</v>
      </c>
      <c r="BW177" t="s">
        <v>111</v>
      </c>
      <c r="BX177" t="s">
        <v>111</v>
      </c>
      <c r="BY177" t="s">
        <v>111</v>
      </c>
      <c r="BZ177" t="s">
        <v>111</v>
      </c>
      <c r="CA177" t="s">
        <v>111</v>
      </c>
      <c r="CB177" t="s">
        <v>111</v>
      </c>
      <c r="CC177" t="s">
        <v>111</v>
      </c>
      <c r="CD177" t="s">
        <v>111</v>
      </c>
      <c r="CE177" t="s">
        <v>111</v>
      </c>
      <c r="CF177" t="s">
        <v>111</v>
      </c>
      <c r="CG177" t="s">
        <v>111</v>
      </c>
      <c r="CH177" t="s">
        <v>111</v>
      </c>
      <c r="CI177" t="s">
        <v>111</v>
      </c>
      <c r="CJ177" t="s">
        <v>111</v>
      </c>
      <c r="CK177" t="s">
        <v>111</v>
      </c>
      <c r="CL177" t="s">
        <v>111</v>
      </c>
      <c r="CM177" t="s">
        <v>111</v>
      </c>
      <c r="CN177" t="s">
        <v>111</v>
      </c>
      <c r="CO177" t="s">
        <v>111</v>
      </c>
      <c r="CP177" t="s">
        <v>111</v>
      </c>
      <c r="CQ177">
        <v>0</v>
      </c>
      <c r="CR177">
        <v>0</v>
      </c>
      <c r="CS177">
        <v>0</v>
      </c>
      <c r="CT177" t="s">
        <v>111</v>
      </c>
      <c r="CU177">
        <v>0</v>
      </c>
      <c r="CV177" t="s">
        <v>111</v>
      </c>
      <c r="CW177" t="s">
        <v>111</v>
      </c>
      <c r="CX177" t="s">
        <v>111</v>
      </c>
      <c r="CY177">
        <v>0</v>
      </c>
      <c r="CZ177" t="s">
        <v>111</v>
      </c>
      <c r="DA177" t="s">
        <v>111</v>
      </c>
      <c r="DB177" t="s">
        <v>111</v>
      </c>
      <c r="DC177" t="s">
        <v>111</v>
      </c>
    </row>
    <row r="178" spans="1:107">
      <c r="A178">
        <v>1491</v>
      </c>
      <c r="B178" t="s">
        <v>107</v>
      </c>
      <c r="C178" t="s">
        <v>405</v>
      </c>
      <c r="D178" t="s">
        <v>748</v>
      </c>
      <c r="E178" t="s">
        <v>749</v>
      </c>
      <c r="F178" t="s">
        <v>157</v>
      </c>
      <c r="G178" t="s">
        <v>469</v>
      </c>
      <c r="H178">
        <v>1.9</v>
      </c>
      <c r="I178">
        <v>39</v>
      </c>
      <c r="J178">
        <v>0</v>
      </c>
      <c r="K178">
        <v>0</v>
      </c>
      <c r="L178" t="s">
        <v>112</v>
      </c>
      <c r="M178" t="s">
        <v>118</v>
      </c>
      <c r="N178">
        <v>0</v>
      </c>
      <c r="O178">
        <v>2</v>
      </c>
      <c r="P178" t="s">
        <v>111</v>
      </c>
      <c r="Q178">
        <v>59.6</v>
      </c>
      <c r="R178">
        <v>0</v>
      </c>
      <c r="S178">
        <v>0</v>
      </c>
      <c r="T178">
        <v>0</v>
      </c>
      <c r="U178" s="1" t="s">
        <v>750</v>
      </c>
      <c r="V178">
        <v>0</v>
      </c>
      <c r="W178">
        <v>250</v>
      </c>
      <c r="X178">
        <v>5</v>
      </c>
      <c r="Y178">
        <v>0</v>
      </c>
      <c r="Z178" t="s">
        <v>288</v>
      </c>
      <c r="AA178">
        <v>1.2</v>
      </c>
      <c r="AB178" t="s">
        <v>111</v>
      </c>
      <c r="AC178">
        <v>0</v>
      </c>
      <c r="AD178" t="s">
        <v>111</v>
      </c>
      <c r="AE178">
        <v>0</v>
      </c>
      <c r="AF178">
        <v>0</v>
      </c>
      <c r="AG178" t="s">
        <v>111</v>
      </c>
      <c r="AH178" t="s">
        <v>111</v>
      </c>
      <c r="AI178" t="s">
        <v>111</v>
      </c>
      <c r="AJ178" t="s">
        <v>111</v>
      </c>
      <c r="AK178" t="s">
        <v>111</v>
      </c>
      <c r="AL178" t="s">
        <v>111</v>
      </c>
      <c r="AM178">
        <v>0</v>
      </c>
      <c r="AN178">
        <v>0</v>
      </c>
      <c r="AO178">
        <v>0</v>
      </c>
      <c r="AP178" t="s">
        <v>111</v>
      </c>
      <c r="AQ178" t="s">
        <v>111</v>
      </c>
      <c r="AR178" t="s">
        <v>111</v>
      </c>
      <c r="AS178" t="s">
        <v>111</v>
      </c>
      <c r="AT178" t="s">
        <v>111</v>
      </c>
      <c r="AU178" t="s">
        <v>111</v>
      </c>
      <c r="AV178" t="s">
        <v>111</v>
      </c>
      <c r="AW178" t="s">
        <v>111</v>
      </c>
      <c r="AX178" t="s">
        <v>111</v>
      </c>
      <c r="AY178" t="s">
        <v>111</v>
      </c>
      <c r="AZ178" t="s">
        <v>111</v>
      </c>
      <c r="BA178" t="s">
        <v>111</v>
      </c>
      <c r="BB178" t="s">
        <v>111</v>
      </c>
      <c r="BC178" t="s">
        <v>111</v>
      </c>
      <c r="BD178" t="s">
        <v>111</v>
      </c>
      <c r="BE178" t="s">
        <v>111</v>
      </c>
      <c r="BF178" t="s">
        <v>111</v>
      </c>
      <c r="BG178" t="s">
        <v>111</v>
      </c>
      <c r="BH178" t="s">
        <v>111</v>
      </c>
      <c r="BI178" t="s">
        <v>111</v>
      </c>
      <c r="BJ178" t="s">
        <v>111</v>
      </c>
      <c r="BK178" t="s">
        <v>111</v>
      </c>
      <c r="BL178" t="s">
        <v>111</v>
      </c>
      <c r="BM178" t="s">
        <v>111</v>
      </c>
      <c r="BN178" t="s">
        <v>111</v>
      </c>
      <c r="BO178" t="s">
        <v>111</v>
      </c>
      <c r="BP178" t="s">
        <v>111</v>
      </c>
      <c r="BQ178" t="s">
        <v>111</v>
      </c>
      <c r="BR178" t="s">
        <v>111</v>
      </c>
      <c r="BS178" t="s">
        <v>111</v>
      </c>
      <c r="BT178" t="s">
        <v>111</v>
      </c>
      <c r="BU178" t="s">
        <v>111</v>
      </c>
      <c r="BV178" t="s">
        <v>111</v>
      </c>
      <c r="BW178" t="s">
        <v>111</v>
      </c>
      <c r="BX178" t="s">
        <v>111</v>
      </c>
      <c r="BY178" t="s">
        <v>111</v>
      </c>
      <c r="BZ178" t="s">
        <v>111</v>
      </c>
      <c r="CA178" t="s">
        <v>111</v>
      </c>
      <c r="CB178" t="s">
        <v>111</v>
      </c>
      <c r="CC178" t="s">
        <v>111</v>
      </c>
      <c r="CD178" t="s">
        <v>111</v>
      </c>
      <c r="CE178" t="s">
        <v>111</v>
      </c>
      <c r="CF178" t="s">
        <v>111</v>
      </c>
      <c r="CG178" t="s">
        <v>111</v>
      </c>
      <c r="CH178" t="s">
        <v>111</v>
      </c>
      <c r="CI178" t="s">
        <v>111</v>
      </c>
      <c r="CJ178" t="s">
        <v>111</v>
      </c>
      <c r="CK178" t="s">
        <v>111</v>
      </c>
      <c r="CL178" t="s">
        <v>111</v>
      </c>
      <c r="CM178" t="s">
        <v>111</v>
      </c>
      <c r="CN178" t="s">
        <v>111</v>
      </c>
      <c r="CO178" t="s">
        <v>111</v>
      </c>
      <c r="CP178" t="s">
        <v>111</v>
      </c>
      <c r="CQ178">
        <v>0</v>
      </c>
      <c r="CR178">
        <v>0</v>
      </c>
      <c r="CS178">
        <v>0</v>
      </c>
      <c r="CT178" t="s">
        <v>111</v>
      </c>
      <c r="CU178">
        <v>0</v>
      </c>
      <c r="CV178" t="s">
        <v>111</v>
      </c>
      <c r="CW178" t="s">
        <v>111</v>
      </c>
      <c r="CX178" t="s">
        <v>111</v>
      </c>
      <c r="CY178">
        <v>0</v>
      </c>
      <c r="CZ178" t="s">
        <v>111</v>
      </c>
      <c r="DA178" t="s">
        <v>111</v>
      </c>
      <c r="DB178" t="s">
        <v>111</v>
      </c>
      <c r="DC178" t="s">
        <v>111</v>
      </c>
    </row>
    <row r="179" spans="1:107">
      <c r="A179">
        <v>1470</v>
      </c>
      <c r="B179" t="s">
        <v>107</v>
      </c>
      <c r="C179" t="s">
        <v>405</v>
      </c>
      <c r="D179" t="s">
        <v>751</v>
      </c>
      <c r="E179" t="s">
        <v>752</v>
      </c>
      <c r="F179" t="s">
        <v>157</v>
      </c>
      <c r="G179" t="s">
        <v>469</v>
      </c>
      <c r="H179">
        <v>1.2</v>
      </c>
      <c r="I179">
        <v>52.5</v>
      </c>
      <c r="J179">
        <v>0</v>
      </c>
      <c r="K179">
        <v>0</v>
      </c>
      <c r="L179" t="s">
        <v>112</v>
      </c>
      <c r="M179" t="s">
        <v>138</v>
      </c>
      <c r="N179">
        <v>0</v>
      </c>
      <c r="O179">
        <v>0</v>
      </c>
      <c r="P179" t="s">
        <v>111</v>
      </c>
      <c r="Q179">
        <v>40.200000000000003</v>
      </c>
      <c r="R179">
        <v>0</v>
      </c>
      <c r="S179">
        <v>0</v>
      </c>
      <c r="T179">
        <v>0</v>
      </c>
      <c r="U179" s="1" t="s">
        <v>753</v>
      </c>
      <c r="V179">
        <v>0</v>
      </c>
      <c r="W179">
        <v>25</v>
      </c>
      <c r="X179">
        <v>5</v>
      </c>
      <c r="Y179">
        <v>0</v>
      </c>
      <c r="Z179" t="s">
        <v>111</v>
      </c>
      <c r="AA179">
        <v>0</v>
      </c>
      <c r="AB179" t="s">
        <v>111</v>
      </c>
      <c r="AC179">
        <v>0</v>
      </c>
      <c r="AD179" t="s">
        <v>111</v>
      </c>
      <c r="AE179">
        <v>0</v>
      </c>
      <c r="AF179">
        <v>0</v>
      </c>
      <c r="AG179" t="s">
        <v>111</v>
      </c>
      <c r="AH179" t="s">
        <v>111</v>
      </c>
      <c r="AI179" t="s">
        <v>111</v>
      </c>
      <c r="AJ179" t="s">
        <v>111</v>
      </c>
      <c r="AK179" t="s">
        <v>111</v>
      </c>
      <c r="AL179" t="s">
        <v>111</v>
      </c>
      <c r="AM179">
        <v>0</v>
      </c>
      <c r="AN179">
        <v>0</v>
      </c>
      <c r="AO179">
        <v>0</v>
      </c>
      <c r="AP179" t="s">
        <v>111</v>
      </c>
      <c r="AQ179" t="s">
        <v>111</v>
      </c>
      <c r="AR179" t="s">
        <v>111</v>
      </c>
      <c r="AS179" t="s">
        <v>111</v>
      </c>
      <c r="AT179" t="s">
        <v>111</v>
      </c>
      <c r="AU179" t="s">
        <v>111</v>
      </c>
      <c r="AV179" t="s">
        <v>111</v>
      </c>
      <c r="AW179" t="s">
        <v>111</v>
      </c>
      <c r="AX179" t="s">
        <v>111</v>
      </c>
      <c r="AY179" t="s">
        <v>111</v>
      </c>
      <c r="AZ179" t="s">
        <v>111</v>
      </c>
      <c r="BA179" t="s">
        <v>111</v>
      </c>
      <c r="BB179" t="s">
        <v>111</v>
      </c>
      <c r="BC179" t="s">
        <v>111</v>
      </c>
      <c r="BD179" t="s">
        <v>111</v>
      </c>
      <c r="BE179" t="s">
        <v>111</v>
      </c>
      <c r="BF179" t="s">
        <v>111</v>
      </c>
      <c r="BG179" t="s">
        <v>111</v>
      </c>
      <c r="BH179" t="s">
        <v>111</v>
      </c>
      <c r="BI179" t="s">
        <v>111</v>
      </c>
      <c r="BJ179" t="s">
        <v>111</v>
      </c>
      <c r="BK179" t="s">
        <v>111</v>
      </c>
      <c r="BL179" t="s">
        <v>111</v>
      </c>
      <c r="BM179" t="s">
        <v>111</v>
      </c>
      <c r="BN179" t="s">
        <v>111</v>
      </c>
      <c r="BO179" t="s">
        <v>111</v>
      </c>
      <c r="BP179" t="s">
        <v>111</v>
      </c>
      <c r="BQ179" t="s">
        <v>111</v>
      </c>
      <c r="BR179" t="s">
        <v>111</v>
      </c>
      <c r="BS179" t="s">
        <v>111</v>
      </c>
      <c r="BT179" t="s">
        <v>111</v>
      </c>
      <c r="BU179" t="s">
        <v>111</v>
      </c>
      <c r="BV179" t="s">
        <v>111</v>
      </c>
      <c r="BW179" t="s">
        <v>111</v>
      </c>
      <c r="BX179" t="s">
        <v>111</v>
      </c>
      <c r="BY179" t="s">
        <v>111</v>
      </c>
      <c r="BZ179" t="s">
        <v>111</v>
      </c>
      <c r="CA179" t="s">
        <v>111</v>
      </c>
      <c r="CB179" t="s">
        <v>111</v>
      </c>
      <c r="CC179" t="s">
        <v>111</v>
      </c>
      <c r="CD179" t="s">
        <v>111</v>
      </c>
      <c r="CE179" t="s">
        <v>111</v>
      </c>
      <c r="CF179" t="s">
        <v>111</v>
      </c>
      <c r="CG179" t="s">
        <v>111</v>
      </c>
      <c r="CH179" t="s">
        <v>111</v>
      </c>
      <c r="CI179" t="s">
        <v>111</v>
      </c>
      <c r="CJ179" t="s">
        <v>111</v>
      </c>
      <c r="CK179" t="s">
        <v>111</v>
      </c>
      <c r="CL179" t="s">
        <v>111</v>
      </c>
      <c r="CM179" t="s">
        <v>111</v>
      </c>
      <c r="CN179" t="s">
        <v>111</v>
      </c>
      <c r="CO179" t="s">
        <v>111</v>
      </c>
      <c r="CP179" t="s">
        <v>111</v>
      </c>
      <c r="CQ179">
        <v>0</v>
      </c>
      <c r="CR179">
        <v>0</v>
      </c>
      <c r="CS179">
        <v>0</v>
      </c>
      <c r="CT179" t="s">
        <v>111</v>
      </c>
      <c r="CU179">
        <v>0</v>
      </c>
      <c r="CV179" t="s">
        <v>111</v>
      </c>
      <c r="CW179" t="s">
        <v>111</v>
      </c>
      <c r="CX179" t="s">
        <v>111</v>
      </c>
      <c r="CY179">
        <v>0</v>
      </c>
      <c r="CZ179" t="s">
        <v>111</v>
      </c>
      <c r="DA179" t="s">
        <v>111</v>
      </c>
      <c r="DB179" t="s">
        <v>111</v>
      </c>
      <c r="DC179" t="s">
        <v>111</v>
      </c>
    </row>
    <row r="180" spans="1:107">
      <c r="A180">
        <v>1469</v>
      </c>
      <c r="B180" t="s">
        <v>107</v>
      </c>
      <c r="C180" t="s">
        <v>405</v>
      </c>
      <c r="D180" t="s">
        <v>754</v>
      </c>
      <c r="E180" t="s">
        <v>755</v>
      </c>
      <c r="F180" t="s">
        <v>382</v>
      </c>
      <c r="G180" t="s">
        <v>469</v>
      </c>
      <c r="H180">
        <v>1.4</v>
      </c>
      <c r="I180">
        <v>64</v>
      </c>
      <c r="J180">
        <v>0</v>
      </c>
      <c r="K180">
        <v>0</v>
      </c>
      <c r="L180" t="s">
        <v>112</v>
      </c>
      <c r="M180" t="s">
        <v>138</v>
      </c>
      <c r="N180">
        <v>0</v>
      </c>
      <c r="O180">
        <v>0</v>
      </c>
      <c r="P180" t="s">
        <v>111</v>
      </c>
      <c r="Q180">
        <v>44</v>
      </c>
      <c r="R180">
        <v>0</v>
      </c>
      <c r="S180">
        <v>0</v>
      </c>
      <c r="T180">
        <v>0</v>
      </c>
      <c r="U180" s="1" t="s">
        <v>756</v>
      </c>
      <c r="V180">
        <v>0</v>
      </c>
      <c r="W180">
        <v>25</v>
      </c>
      <c r="X180">
        <v>5</v>
      </c>
      <c r="Y180">
        <v>0</v>
      </c>
      <c r="Z180" t="s">
        <v>288</v>
      </c>
      <c r="AA180">
        <v>1.5</v>
      </c>
      <c r="AB180" t="s">
        <v>111</v>
      </c>
      <c r="AC180">
        <v>0</v>
      </c>
      <c r="AD180" t="s">
        <v>111</v>
      </c>
      <c r="AE180">
        <v>0</v>
      </c>
      <c r="AF180">
        <v>0</v>
      </c>
      <c r="AG180" t="s">
        <v>111</v>
      </c>
      <c r="AH180" t="s">
        <v>111</v>
      </c>
      <c r="AI180" t="s">
        <v>111</v>
      </c>
      <c r="AJ180" t="s">
        <v>111</v>
      </c>
      <c r="AK180" t="s">
        <v>111</v>
      </c>
      <c r="AL180" t="s">
        <v>111</v>
      </c>
      <c r="AM180">
        <v>0</v>
      </c>
      <c r="AN180">
        <v>0</v>
      </c>
      <c r="AO180">
        <v>0</v>
      </c>
      <c r="AP180" t="s">
        <v>111</v>
      </c>
      <c r="AQ180" t="s">
        <v>111</v>
      </c>
      <c r="AR180" t="s">
        <v>111</v>
      </c>
      <c r="AS180" t="s">
        <v>111</v>
      </c>
      <c r="AT180" t="s">
        <v>111</v>
      </c>
      <c r="AU180" t="s">
        <v>111</v>
      </c>
      <c r="AV180" t="s">
        <v>111</v>
      </c>
      <c r="AW180" t="s">
        <v>111</v>
      </c>
      <c r="AX180" t="s">
        <v>111</v>
      </c>
      <c r="AY180" t="s">
        <v>111</v>
      </c>
      <c r="AZ180" t="s">
        <v>111</v>
      </c>
      <c r="BA180" t="s">
        <v>111</v>
      </c>
      <c r="BB180" t="s">
        <v>111</v>
      </c>
      <c r="BC180" t="s">
        <v>111</v>
      </c>
      <c r="BD180" t="s">
        <v>111</v>
      </c>
      <c r="BE180" t="s">
        <v>111</v>
      </c>
      <c r="BF180" t="s">
        <v>111</v>
      </c>
      <c r="BG180" t="s">
        <v>111</v>
      </c>
      <c r="BH180" t="s">
        <v>111</v>
      </c>
      <c r="BI180" t="s">
        <v>111</v>
      </c>
      <c r="BJ180" t="s">
        <v>111</v>
      </c>
      <c r="BK180" t="s">
        <v>111</v>
      </c>
      <c r="BL180" t="s">
        <v>111</v>
      </c>
      <c r="BM180" t="s">
        <v>111</v>
      </c>
      <c r="BN180" t="s">
        <v>111</v>
      </c>
      <c r="BO180" t="s">
        <v>111</v>
      </c>
      <c r="BP180" t="s">
        <v>111</v>
      </c>
      <c r="BQ180" t="s">
        <v>111</v>
      </c>
      <c r="BR180" t="s">
        <v>111</v>
      </c>
      <c r="BS180" t="s">
        <v>111</v>
      </c>
      <c r="BT180" t="s">
        <v>111</v>
      </c>
      <c r="BU180" t="s">
        <v>111</v>
      </c>
      <c r="BV180" t="s">
        <v>111</v>
      </c>
      <c r="BW180" t="s">
        <v>111</v>
      </c>
      <c r="BX180" t="s">
        <v>111</v>
      </c>
      <c r="BY180" t="s">
        <v>111</v>
      </c>
      <c r="BZ180" t="s">
        <v>111</v>
      </c>
      <c r="CA180" t="s">
        <v>111</v>
      </c>
      <c r="CB180" t="s">
        <v>111</v>
      </c>
      <c r="CC180" t="s">
        <v>111</v>
      </c>
      <c r="CD180" t="s">
        <v>111</v>
      </c>
      <c r="CE180" t="s">
        <v>111</v>
      </c>
      <c r="CF180" t="s">
        <v>111</v>
      </c>
      <c r="CG180" t="s">
        <v>111</v>
      </c>
      <c r="CH180" t="s">
        <v>111</v>
      </c>
      <c r="CI180" t="s">
        <v>111</v>
      </c>
      <c r="CJ180" t="s">
        <v>111</v>
      </c>
      <c r="CK180" t="s">
        <v>111</v>
      </c>
      <c r="CL180" t="s">
        <v>111</v>
      </c>
      <c r="CM180" t="s">
        <v>111</v>
      </c>
      <c r="CN180" t="s">
        <v>111</v>
      </c>
      <c r="CO180" t="s">
        <v>111</v>
      </c>
      <c r="CP180" t="s">
        <v>111</v>
      </c>
      <c r="CQ180">
        <v>0</v>
      </c>
      <c r="CR180">
        <v>0</v>
      </c>
      <c r="CS180">
        <v>0</v>
      </c>
      <c r="CT180" t="s">
        <v>111</v>
      </c>
      <c r="CU180">
        <v>0</v>
      </c>
      <c r="CV180" t="s">
        <v>111</v>
      </c>
      <c r="CW180" t="s">
        <v>111</v>
      </c>
      <c r="CX180" t="s">
        <v>111</v>
      </c>
      <c r="CY180">
        <v>0</v>
      </c>
      <c r="CZ180" t="s">
        <v>111</v>
      </c>
      <c r="DA180" t="s">
        <v>111</v>
      </c>
      <c r="DB180" t="s">
        <v>111</v>
      </c>
      <c r="DC180" t="s">
        <v>111</v>
      </c>
    </row>
    <row r="181" spans="1:107">
      <c r="A181">
        <v>1468</v>
      </c>
      <c r="B181" t="s">
        <v>107</v>
      </c>
      <c r="C181" t="s">
        <v>114</v>
      </c>
      <c r="D181" t="s">
        <v>757</v>
      </c>
      <c r="E181" t="s">
        <v>758</v>
      </c>
      <c r="F181" t="s">
        <v>759</v>
      </c>
      <c r="G181" t="s">
        <v>469</v>
      </c>
      <c r="H181">
        <v>3</v>
      </c>
      <c r="I181">
        <v>98</v>
      </c>
      <c r="J181">
        <v>0</v>
      </c>
      <c r="K181">
        <v>0</v>
      </c>
      <c r="L181" t="s">
        <v>112</v>
      </c>
      <c r="M181" t="s">
        <v>111</v>
      </c>
      <c r="N181">
        <v>0</v>
      </c>
      <c r="O181">
        <v>0</v>
      </c>
      <c r="P181" t="s">
        <v>111</v>
      </c>
      <c r="Q181">
        <v>53.6</v>
      </c>
      <c r="R181">
        <v>0</v>
      </c>
      <c r="S181">
        <v>0</v>
      </c>
      <c r="T181">
        <v>5</v>
      </c>
      <c r="U181" s="1" t="s">
        <v>760</v>
      </c>
      <c r="V181">
        <v>25</v>
      </c>
      <c r="W181">
        <v>0</v>
      </c>
      <c r="X181">
        <v>13</v>
      </c>
      <c r="Y181">
        <v>0</v>
      </c>
      <c r="Z181" t="s">
        <v>188</v>
      </c>
      <c r="AA181">
        <v>0.3</v>
      </c>
      <c r="AB181" t="s">
        <v>111</v>
      </c>
      <c r="AC181">
        <v>0</v>
      </c>
      <c r="AD181" t="s">
        <v>111</v>
      </c>
      <c r="AE181">
        <v>0</v>
      </c>
      <c r="AF181">
        <v>0</v>
      </c>
      <c r="AG181" t="s">
        <v>111</v>
      </c>
      <c r="AH181" t="s">
        <v>111</v>
      </c>
      <c r="AI181" t="s">
        <v>111</v>
      </c>
      <c r="AJ181" t="s">
        <v>111</v>
      </c>
      <c r="AK181" t="s">
        <v>111</v>
      </c>
      <c r="AL181" t="s">
        <v>111</v>
      </c>
      <c r="AM181">
        <v>0</v>
      </c>
      <c r="AN181">
        <v>0</v>
      </c>
      <c r="AO181">
        <v>0</v>
      </c>
      <c r="AP181" t="s">
        <v>111</v>
      </c>
      <c r="AQ181" t="s">
        <v>111</v>
      </c>
      <c r="AR181" t="s">
        <v>111</v>
      </c>
      <c r="AS181" t="s">
        <v>111</v>
      </c>
      <c r="AT181" t="s">
        <v>111</v>
      </c>
      <c r="AU181" t="s">
        <v>111</v>
      </c>
      <c r="AV181" t="s">
        <v>111</v>
      </c>
      <c r="AW181" t="s">
        <v>111</v>
      </c>
      <c r="AX181" t="s">
        <v>111</v>
      </c>
      <c r="AY181" t="s">
        <v>111</v>
      </c>
      <c r="AZ181" t="s">
        <v>111</v>
      </c>
      <c r="BA181" t="s">
        <v>111</v>
      </c>
      <c r="BB181" t="s">
        <v>111</v>
      </c>
      <c r="BC181" t="s">
        <v>111</v>
      </c>
      <c r="BD181" t="s">
        <v>111</v>
      </c>
      <c r="BE181" t="s">
        <v>111</v>
      </c>
      <c r="BF181" t="s">
        <v>111</v>
      </c>
      <c r="BG181" t="s">
        <v>111</v>
      </c>
      <c r="BH181" t="s">
        <v>111</v>
      </c>
      <c r="BI181" t="s">
        <v>111</v>
      </c>
      <c r="BJ181" t="s">
        <v>111</v>
      </c>
      <c r="BK181" t="s">
        <v>111</v>
      </c>
      <c r="BL181" t="s">
        <v>111</v>
      </c>
      <c r="BM181" t="s">
        <v>111</v>
      </c>
      <c r="BN181" t="s">
        <v>111</v>
      </c>
      <c r="BO181" t="s">
        <v>111</v>
      </c>
      <c r="BP181" t="s">
        <v>111</v>
      </c>
      <c r="BQ181" t="s">
        <v>111</v>
      </c>
      <c r="BR181" t="s">
        <v>111</v>
      </c>
      <c r="BS181" t="s">
        <v>111</v>
      </c>
      <c r="BT181" t="s">
        <v>111</v>
      </c>
      <c r="BU181" t="s">
        <v>111</v>
      </c>
      <c r="BV181" t="s">
        <v>111</v>
      </c>
      <c r="BW181" t="s">
        <v>111</v>
      </c>
      <c r="BX181" t="s">
        <v>111</v>
      </c>
      <c r="BY181" t="s">
        <v>111</v>
      </c>
      <c r="BZ181" t="s">
        <v>111</v>
      </c>
      <c r="CA181" t="s">
        <v>111</v>
      </c>
      <c r="CB181" t="s">
        <v>111</v>
      </c>
      <c r="CC181" t="s">
        <v>111</v>
      </c>
      <c r="CD181" t="s">
        <v>111</v>
      </c>
      <c r="CE181" t="s">
        <v>111</v>
      </c>
      <c r="CF181" t="s">
        <v>111</v>
      </c>
      <c r="CG181" t="s">
        <v>111</v>
      </c>
      <c r="CH181" t="s">
        <v>111</v>
      </c>
      <c r="CI181" t="s">
        <v>111</v>
      </c>
      <c r="CJ181" t="s">
        <v>111</v>
      </c>
      <c r="CK181" t="s">
        <v>111</v>
      </c>
      <c r="CL181" t="s">
        <v>111</v>
      </c>
      <c r="CM181" t="s">
        <v>111</v>
      </c>
      <c r="CN181" t="s">
        <v>111</v>
      </c>
      <c r="CO181" t="s">
        <v>111</v>
      </c>
      <c r="CP181" t="s">
        <v>111</v>
      </c>
      <c r="CQ181">
        <v>0</v>
      </c>
      <c r="CR181">
        <v>100</v>
      </c>
      <c r="CS181">
        <v>10</v>
      </c>
      <c r="CT181" t="s">
        <v>111</v>
      </c>
      <c r="CU181">
        <v>0</v>
      </c>
      <c r="CV181" t="s">
        <v>111</v>
      </c>
      <c r="CW181" t="s">
        <v>111</v>
      </c>
      <c r="CX181" t="s">
        <v>111</v>
      </c>
      <c r="CY181">
        <v>0</v>
      </c>
      <c r="CZ181" t="s">
        <v>111</v>
      </c>
      <c r="DA181" t="s">
        <v>111</v>
      </c>
      <c r="DB181" t="e">
        <f>-INTERNO</f>
        <v>#NAME?</v>
      </c>
      <c r="DC181" t="e">
        <f>-CORTE Y DOBLE SELLE</f>
        <v>#NAME?</v>
      </c>
    </row>
    <row r="182" spans="1:107">
      <c r="A182">
        <v>1456</v>
      </c>
      <c r="B182" t="s">
        <v>107</v>
      </c>
      <c r="C182" t="s">
        <v>549</v>
      </c>
      <c r="D182" t="s">
        <v>761</v>
      </c>
      <c r="E182" t="s">
        <v>762</v>
      </c>
      <c r="F182" t="s">
        <v>431</v>
      </c>
      <c r="G182" t="s">
        <v>469</v>
      </c>
      <c r="H182">
        <v>2</v>
      </c>
      <c r="I182">
        <v>21.3</v>
      </c>
      <c r="J182">
        <v>7.5</v>
      </c>
      <c r="K182">
        <v>7.5</v>
      </c>
      <c r="L182" t="s">
        <v>112</v>
      </c>
      <c r="M182" t="s">
        <v>118</v>
      </c>
      <c r="N182">
        <v>39</v>
      </c>
      <c r="O182">
        <v>2</v>
      </c>
      <c r="P182" t="s">
        <v>111</v>
      </c>
      <c r="Q182">
        <v>26.2</v>
      </c>
      <c r="R182">
        <v>0</v>
      </c>
      <c r="S182">
        <v>0</v>
      </c>
      <c r="T182">
        <v>5</v>
      </c>
      <c r="U182" s="1" t="s">
        <v>763</v>
      </c>
      <c r="V182">
        <v>0</v>
      </c>
      <c r="W182">
        <v>25</v>
      </c>
      <c r="X182">
        <v>8</v>
      </c>
      <c r="Y182">
        <v>0</v>
      </c>
      <c r="Z182" t="s">
        <v>111</v>
      </c>
      <c r="AA182">
        <v>0</v>
      </c>
      <c r="AB182" t="s">
        <v>764</v>
      </c>
      <c r="AC182">
        <v>0</v>
      </c>
      <c r="AD182" t="s">
        <v>416</v>
      </c>
      <c r="AE182">
        <v>0</v>
      </c>
      <c r="AF182">
        <v>0</v>
      </c>
      <c r="AG182" t="s">
        <v>111</v>
      </c>
      <c r="AH182" t="s">
        <v>128</v>
      </c>
      <c r="AI182" t="s">
        <v>111</v>
      </c>
      <c r="AJ182" t="s">
        <v>111</v>
      </c>
      <c r="AK182" t="s">
        <v>111</v>
      </c>
      <c r="AL182" t="s">
        <v>111</v>
      </c>
      <c r="AM182">
        <v>0</v>
      </c>
      <c r="AN182">
        <v>0</v>
      </c>
      <c r="AO182">
        <v>0</v>
      </c>
      <c r="AP182" t="s">
        <v>111</v>
      </c>
      <c r="AQ182" t="s">
        <v>111</v>
      </c>
      <c r="AR182" t="s">
        <v>111</v>
      </c>
      <c r="AS182" t="s">
        <v>111</v>
      </c>
      <c r="AT182" t="s">
        <v>111</v>
      </c>
      <c r="AU182" t="s">
        <v>111</v>
      </c>
      <c r="AV182" t="s">
        <v>111</v>
      </c>
      <c r="AW182" t="s">
        <v>111</v>
      </c>
      <c r="AX182" t="s">
        <v>111</v>
      </c>
      <c r="AY182" t="s">
        <v>111</v>
      </c>
      <c r="AZ182" t="s">
        <v>111</v>
      </c>
      <c r="BA182" t="s">
        <v>111</v>
      </c>
      <c r="BB182" t="s">
        <v>111</v>
      </c>
      <c r="BC182" t="s">
        <v>111</v>
      </c>
      <c r="BD182" t="s">
        <v>111</v>
      </c>
      <c r="BE182" t="s">
        <v>111</v>
      </c>
      <c r="BF182" t="s">
        <v>111</v>
      </c>
      <c r="BG182" t="s">
        <v>111</v>
      </c>
      <c r="BH182" t="s">
        <v>111</v>
      </c>
      <c r="BI182" t="s">
        <v>111</v>
      </c>
      <c r="BJ182" t="s">
        <v>111</v>
      </c>
      <c r="BK182" t="s">
        <v>111</v>
      </c>
      <c r="BL182" t="s">
        <v>111</v>
      </c>
      <c r="BM182" t="s">
        <v>111</v>
      </c>
      <c r="BN182" t="s">
        <v>111</v>
      </c>
      <c r="BO182" t="s">
        <v>111</v>
      </c>
      <c r="BP182" t="s">
        <v>111</v>
      </c>
      <c r="BQ182" t="s">
        <v>111</v>
      </c>
      <c r="BR182" t="s">
        <v>111</v>
      </c>
      <c r="BS182" t="s">
        <v>111</v>
      </c>
      <c r="BT182" t="s">
        <v>111</v>
      </c>
      <c r="BU182" t="s">
        <v>111</v>
      </c>
      <c r="BV182" t="s">
        <v>111</v>
      </c>
      <c r="BW182" t="s">
        <v>111</v>
      </c>
      <c r="BX182" t="s">
        <v>111</v>
      </c>
      <c r="BY182" t="s">
        <v>111</v>
      </c>
      <c r="BZ182" t="s">
        <v>111</v>
      </c>
      <c r="CA182" t="s">
        <v>111</v>
      </c>
      <c r="CB182" t="s">
        <v>111</v>
      </c>
      <c r="CC182" t="s">
        <v>111</v>
      </c>
      <c r="CD182" t="s">
        <v>111</v>
      </c>
      <c r="CE182" t="s">
        <v>111</v>
      </c>
      <c r="CF182" t="s">
        <v>111</v>
      </c>
      <c r="CG182" t="s">
        <v>111</v>
      </c>
      <c r="CH182" t="s">
        <v>111</v>
      </c>
      <c r="CI182" t="s">
        <v>111</v>
      </c>
      <c r="CJ182" t="s">
        <v>111</v>
      </c>
      <c r="CK182" t="s">
        <v>111</v>
      </c>
      <c r="CL182" t="s">
        <v>111</v>
      </c>
      <c r="CM182" t="s">
        <v>135</v>
      </c>
      <c r="CN182" t="s">
        <v>128</v>
      </c>
      <c r="CO182" t="s">
        <v>111</v>
      </c>
      <c r="CP182" t="e">
        <f>-MUESTRA</f>
        <v>#NAME?</v>
      </c>
      <c r="CQ182">
        <v>0</v>
      </c>
      <c r="CR182">
        <v>1000</v>
      </c>
      <c r="CS182">
        <v>500</v>
      </c>
      <c r="CT182" t="e">
        <f>-ALMACEN</f>
        <v>#NAME?</v>
      </c>
      <c r="CU182">
        <v>0</v>
      </c>
      <c r="CV182" t="s">
        <v>111</v>
      </c>
      <c r="CW182" t="s">
        <v>111</v>
      </c>
      <c r="CX182" t="s">
        <v>111</v>
      </c>
      <c r="CY182">
        <v>0</v>
      </c>
      <c r="CZ182" t="s">
        <v>111</v>
      </c>
      <c r="DA182" t="s">
        <v>111</v>
      </c>
      <c r="DB182" t="s">
        <v>111</v>
      </c>
      <c r="DC182" t="s">
        <v>111</v>
      </c>
    </row>
    <row r="183" spans="1:107">
      <c r="A183">
        <v>1500</v>
      </c>
      <c r="B183" t="s">
        <v>107</v>
      </c>
      <c r="C183" s="2">
        <v>8275881</v>
      </c>
      <c r="D183" t="s">
        <v>765</v>
      </c>
      <c r="E183" t="s">
        <v>766</v>
      </c>
      <c r="F183" t="s">
        <v>157</v>
      </c>
      <c r="G183" t="s">
        <v>469</v>
      </c>
      <c r="H183">
        <v>3.3</v>
      </c>
      <c r="I183">
        <v>50</v>
      </c>
      <c r="J183">
        <v>0</v>
      </c>
      <c r="K183">
        <v>0</v>
      </c>
      <c r="L183" t="s">
        <v>112</v>
      </c>
      <c r="M183" t="s">
        <v>118</v>
      </c>
      <c r="N183">
        <v>39</v>
      </c>
      <c r="O183">
        <v>2</v>
      </c>
      <c r="P183" t="s">
        <v>111</v>
      </c>
      <c r="Q183">
        <v>49</v>
      </c>
      <c r="R183">
        <v>0</v>
      </c>
      <c r="S183">
        <v>0</v>
      </c>
      <c r="T183">
        <v>0</v>
      </c>
      <c r="U183" s="1" t="s">
        <v>767</v>
      </c>
      <c r="V183">
        <v>0</v>
      </c>
      <c r="W183">
        <v>25</v>
      </c>
      <c r="X183">
        <v>5</v>
      </c>
      <c r="Y183">
        <v>0</v>
      </c>
      <c r="Z183" t="s">
        <v>111</v>
      </c>
      <c r="AA183">
        <v>0</v>
      </c>
      <c r="AB183" t="s">
        <v>111</v>
      </c>
      <c r="AC183">
        <v>0</v>
      </c>
      <c r="AD183" t="s">
        <v>111</v>
      </c>
      <c r="AE183">
        <v>0</v>
      </c>
      <c r="AF183">
        <v>0</v>
      </c>
      <c r="AG183" t="s">
        <v>111</v>
      </c>
      <c r="AH183" t="s">
        <v>111</v>
      </c>
      <c r="AI183" t="s">
        <v>111</v>
      </c>
      <c r="AJ183" t="s">
        <v>111</v>
      </c>
      <c r="AK183" t="s">
        <v>111</v>
      </c>
      <c r="AL183" t="s">
        <v>111</v>
      </c>
      <c r="AM183">
        <v>0</v>
      </c>
      <c r="AN183">
        <v>0</v>
      </c>
      <c r="AO183">
        <v>0</v>
      </c>
      <c r="AP183" t="s">
        <v>111</v>
      </c>
      <c r="AQ183" t="s">
        <v>111</v>
      </c>
      <c r="AR183" t="s">
        <v>111</v>
      </c>
      <c r="AS183" t="s">
        <v>111</v>
      </c>
      <c r="AT183" t="s">
        <v>111</v>
      </c>
      <c r="AU183" t="s">
        <v>111</v>
      </c>
      <c r="AV183" t="s">
        <v>111</v>
      </c>
      <c r="AW183" t="s">
        <v>111</v>
      </c>
      <c r="AX183" t="s">
        <v>111</v>
      </c>
      <c r="AY183" t="s">
        <v>111</v>
      </c>
      <c r="AZ183" t="s">
        <v>111</v>
      </c>
      <c r="BA183" t="s">
        <v>111</v>
      </c>
      <c r="BB183" t="s">
        <v>111</v>
      </c>
      <c r="BC183" t="s">
        <v>111</v>
      </c>
      <c r="BD183" t="s">
        <v>111</v>
      </c>
      <c r="BE183" t="s">
        <v>111</v>
      </c>
      <c r="BF183" t="s">
        <v>111</v>
      </c>
      <c r="BG183" t="s">
        <v>111</v>
      </c>
      <c r="BH183" t="s">
        <v>111</v>
      </c>
      <c r="BI183" t="s">
        <v>111</v>
      </c>
      <c r="BJ183" t="s">
        <v>111</v>
      </c>
      <c r="BK183" t="s">
        <v>111</v>
      </c>
      <c r="BL183" t="s">
        <v>111</v>
      </c>
      <c r="BM183" t="s">
        <v>111</v>
      </c>
      <c r="BN183" t="s">
        <v>111</v>
      </c>
      <c r="BO183" t="s">
        <v>111</v>
      </c>
      <c r="BP183" t="s">
        <v>111</v>
      </c>
      <c r="BQ183" t="s">
        <v>111</v>
      </c>
      <c r="BR183" t="s">
        <v>111</v>
      </c>
      <c r="BS183" t="s">
        <v>111</v>
      </c>
      <c r="BT183" t="s">
        <v>111</v>
      </c>
      <c r="BU183" t="s">
        <v>111</v>
      </c>
      <c r="BV183" t="s">
        <v>111</v>
      </c>
      <c r="BW183" t="s">
        <v>111</v>
      </c>
      <c r="BX183" t="s">
        <v>111</v>
      </c>
      <c r="BY183" t="s">
        <v>111</v>
      </c>
      <c r="BZ183" t="s">
        <v>111</v>
      </c>
      <c r="CA183" t="s">
        <v>111</v>
      </c>
      <c r="CB183" t="s">
        <v>111</v>
      </c>
      <c r="CC183" t="s">
        <v>111</v>
      </c>
      <c r="CD183" t="s">
        <v>111</v>
      </c>
      <c r="CE183" t="s">
        <v>111</v>
      </c>
      <c r="CF183" t="s">
        <v>111</v>
      </c>
      <c r="CG183" t="s">
        <v>111</v>
      </c>
      <c r="CH183" t="s">
        <v>111</v>
      </c>
      <c r="CI183" t="s">
        <v>111</v>
      </c>
      <c r="CJ183" t="s">
        <v>111</v>
      </c>
      <c r="CK183" t="s">
        <v>111</v>
      </c>
      <c r="CL183" t="s">
        <v>111</v>
      </c>
      <c r="CM183" t="s">
        <v>111</v>
      </c>
      <c r="CN183" t="s">
        <v>111</v>
      </c>
      <c r="CO183" t="s">
        <v>111</v>
      </c>
      <c r="CP183" t="s">
        <v>111</v>
      </c>
      <c r="CQ183">
        <v>0</v>
      </c>
      <c r="CR183">
        <v>0</v>
      </c>
      <c r="CS183">
        <v>0</v>
      </c>
      <c r="CT183" t="s">
        <v>111</v>
      </c>
      <c r="CU183">
        <v>0</v>
      </c>
      <c r="CV183" t="s">
        <v>111</v>
      </c>
      <c r="CW183" t="s">
        <v>111</v>
      </c>
      <c r="CX183" t="s">
        <v>111</v>
      </c>
      <c r="CY183">
        <v>0</v>
      </c>
      <c r="CZ183" t="s">
        <v>111</v>
      </c>
      <c r="DA183" t="s">
        <v>111</v>
      </c>
      <c r="DB183" t="s">
        <v>111</v>
      </c>
      <c r="DC183" t="s">
        <v>111</v>
      </c>
    </row>
    <row r="184" spans="1:107">
      <c r="A184">
        <v>1506</v>
      </c>
      <c r="B184" t="s">
        <v>107</v>
      </c>
      <c r="C184" t="s">
        <v>768</v>
      </c>
      <c r="D184" t="s">
        <v>769</v>
      </c>
      <c r="E184" t="s">
        <v>770</v>
      </c>
      <c r="F184" t="s">
        <v>771</v>
      </c>
      <c r="G184" t="s">
        <v>469</v>
      </c>
      <c r="H184">
        <v>2.9</v>
      </c>
      <c r="I184">
        <v>45</v>
      </c>
      <c r="J184">
        <v>0</v>
      </c>
      <c r="K184">
        <v>0</v>
      </c>
      <c r="L184" t="s">
        <v>112</v>
      </c>
      <c r="M184" t="s">
        <v>118</v>
      </c>
      <c r="N184">
        <v>39</v>
      </c>
      <c r="O184">
        <v>2</v>
      </c>
      <c r="P184" t="s">
        <v>111</v>
      </c>
      <c r="Q184">
        <v>53.6</v>
      </c>
      <c r="R184">
        <v>0</v>
      </c>
      <c r="S184">
        <v>0</v>
      </c>
      <c r="T184">
        <v>5</v>
      </c>
      <c r="U184" t="e">
        <f>-IMPRESION DARMA</f>
        <v>#NAME?</v>
      </c>
      <c r="V184">
        <v>25</v>
      </c>
      <c r="W184">
        <v>0</v>
      </c>
      <c r="X184">
        <v>8</v>
      </c>
      <c r="Y184">
        <v>0</v>
      </c>
      <c r="Z184" t="s">
        <v>772</v>
      </c>
      <c r="AA184">
        <v>0.8</v>
      </c>
      <c r="AB184" t="s">
        <v>111</v>
      </c>
      <c r="AC184">
        <v>0</v>
      </c>
      <c r="AD184" t="s">
        <v>416</v>
      </c>
      <c r="AE184">
        <v>0</v>
      </c>
      <c r="AF184">
        <v>0</v>
      </c>
      <c r="AG184" t="s">
        <v>111</v>
      </c>
      <c r="AH184" t="s">
        <v>113</v>
      </c>
      <c r="AI184" t="s">
        <v>111</v>
      </c>
      <c r="AJ184" t="s">
        <v>111</v>
      </c>
      <c r="AK184" t="s">
        <v>111</v>
      </c>
      <c r="AL184" t="s">
        <v>111</v>
      </c>
      <c r="AM184">
        <v>0</v>
      </c>
      <c r="AN184">
        <v>0</v>
      </c>
      <c r="AO184">
        <v>0</v>
      </c>
      <c r="AP184" t="s">
        <v>111</v>
      </c>
      <c r="AQ184" t="s">
        <v>111</v>
      </c>
      <c r="AR184" t="s">
        <v>111</v>
      </c>
      <c r="AS184" t="s">
        <v>111</v>
      </c>
      <c r="AT184" t="s">
        <v>111</v>
      </c>
      <c r="AU184" t="s">
        <v>111</v>
      </c>
      <c r="AV184" t="s">
        <v>111</v>
      </c>
      <c r="AW184" t="s">
        <v>111</v>
      </c>
      <c r="AX184" t="s">
        <v>111</v>
      </c>
      <c r="AY184" t="s">
        <v>111</v>
      </c>
      <c r="AZ184" t="s">
        <v>111</v>
      </c>
      <c r="BA184" t="s">
        <v>111</v>
      </c>
      <c r="BB184" t="s">
        <v>111</v>
      </c>
      <c r="BC184" t="s">
        <v>111</v>
      </c>
      <c r="BD184" t="s">
        <v>111</v>
      </c>
      <c r="BE184" t="s">
        <v>111</v>
      </c>
      <c r="BF184" t="s">
        <v>111</v>
      </c>
      <c r="BG184" t="s">
        <v>111</v>
      </c>
      <c r="BH184" t="s">
        <v>111</v>
      </c>
      <c r="BI184" t="s">
        <v>111</v>
      </c>
      <c r="BJ184" t="s">
        <v>111</v>
      </c>
      <c r="BK184" t="s">
        <v>111</v>
      </c>
      <c r="BL184" t="s">
        <v>111</v>
      </c>
      <c r="BM184" t="s">
        <v>111</v>
      </c>
      <c r="BN184" t="s">
        <v>111</v>
      </c>
      <c r="BO184" t="s">
        <v>111</v>
      </c>
      <c r="BP184" t="s">
        <v>111</v>
      </c>
      <c r="BQ184" t="s">
        <v>111</v>
      </c>
      <c r="BR184" t="s">
        <v>111</v>
      </c>
      <c r="BS184" t="s">
        <v>111</v>
      </c>
      <c r="BT184" t="s">
        <v>111</v>
      </c>
      <c r="BU184" t="s">
        <v>111</v>
      </c>
      <c r="BV184" t="s">
        <v>111</v>
      </c>
      <c r="BW184" t="s">
        <v>111</v>
      </c>
      <c r="BX184" t="s">
        <v>111</v>
      </c>
      <c r="BY184" t="s">
        <v>111</v>
      </c>
      <c r="BZ184" t="s">
        <v>111</v>
      </c>
      <c r="CA184" t="s">
        <v>111</v>
      </c>
      <c r="CB184" t="s">
        <v>111</v>
      </c>
      <c r="CC184" t="s">
        <v>111</v>
      </c>
      <c r="CD184" t="s">
        <v>111</v>
      </c>
      <c r="CE184" t="s">
        <v>111</v>
      </c>
      <c r="CF184" t="s">
        <v>111</v>
      </c>
      <c r="CG184" t="s">
        <v>111</v>
      </c>
      <c r="CH184" t="s">
        <v>111</v>
      </c>
      <c r="CI184" t="s">
        <v>111</v>
      </c>
      <c r="CJ184" t="s">
        <v>111</v>
      </c>
      <c r="CK184" t="s">
        <v>111</v>
      </c>
      <c r="CL184" t="s">
        <v>111</v>
      </c>
      <c r="CM184" t="s">
        <v>360</v>
      </c>
      <c r="CN184" t="s">
        <v>113</v>
      </c>
      <c r="CO184" t="s">
        <v>111</v>
      </c>
      <c r="CP184" t="s">
        <v>111</v>
      </c>
      <c r="CQ184">
        <v>0</v>
      </c>
      <c r="CR184">
        <v>3000</v>
      </c>
      <c r="CS184">
        <v>100</v>
      </c>
      <c r="CT184" t="e">
        <f>-ALMACEN</f>
        <v>#NAME?</v>
      </c>
      <c r="CU184">
        <v>0</v>
      </c>
      <c r="CV184" t="s">
        <v>111</v>
      </c>
      <c r="CW184" t="s">
        <v>111</v>
      </c>
      <c r="CX184" t="s">
        <v>111</v>
      </c>
      <c r="CY184">
        <v>0</v>
      </c>
      <c r="CZ184" t="s">
        <v>111</v>
      </c>
      <c r="DA184" t="s">
        <v>111</v>
      </c>
      <c r="DB184" t="e">
        <f>-INTERNO</f>
        <v>#NAME?</v>
      </c>
      <c r="DC184" t="e">
        <f>-MANIJA FLEXIBLE</f>
        <v>#NAME?</v>
      </c>
    </row>
    <row r="185" spans="1:107">
      <c r="A185">
        <v>1490</v>
      </c>
      <c r="B185" t="s">
        <v>107</v>
      </c>
      <c r="C185" t="s">
        <v>773</v>
      </c>
      <c r="D185" t="s">
        <v>774</v>
      </c>
      <c r="E185" t="s">
        <v>775</v>
      </c>
      <c r="F185" t="s">
        <v>431</v>
      </c>
      <c r="G185" t="s">
        <v>469</v>
      </c>
      <c r="H185">
        <v>1.5</v>
      </c>
      <c r="I185">
        <v>70</v>
      </c>
      <c r="J185">
        <v>0</v>
      </c>
      <c r="K185">
        <v>0</v>
      </c>
      <c r="L185" t="s">
        <v>112</v>
      </c>
      <c r="M185" t="s">
        <v>118</v>
      </c>
      <c r="N185">
        <v>40</v>
      </c>
      <c r="O185">
        <v>1</v>
      </c>
      <c r="P185" t="s">
        <v>111</v>
      </c>
      <c r="Q185">
        <v>46.3</v>
      </c>
      <c r="R185">
        <v>0</v>
      </c>
      <c r="S185">
        <v>0</v>
      </c>
      <c r="T185">
        <v>5</v>
      </c>
      <c r="U185" t="e">
        <f>-IMPRESION DARMA</f>
        <v>#NAME?</v>
      </c>
      <c r="V185">
        <v>0</v>
      </c>
      <c r="W185">
        <v>25</v>
      </c>
      <c r="X185">
        <v>7</v>
      </c>
      <c r="Y185">
        <v>0</v>
      </c>
      <c r="Z185" t="s">
        <v>111</v>
      </c>
      <c r="AA185">
        <v>0</v>
      </c>
      <c r="AB185" t="s">
        <v>111</v>
      </c>
      <c r="AC185">
        <v>0</v>
      </c>
      <c r="AD185" t="s">
        <v>416</v>
      </c>
      <c r="AE185">
        <v>0</v>
      </c>
      <c r="AF185">
        <v>0</v>
      </c>
      <c r="AG185" t="s">
        <v>111</v>
      </c>
      <c r="AH185" t="s">
        <v>113</v>
      </c>
      <c r="AI185" t="s">
        <v>111</v>
      </c>
      <c r="AJ185" t="s">
        <v>111</v>
      </c>
      <c r="AK185" t="s">
        <v>111</v>
      </c>
      <c r="AL185" t="s">
        <v>111</v>
      </c>
      <c r="AM185">
        <v>0</v>
      </c>
      <c r="AN185">
        <v>0</v>
      </c>
      <c r="AO185">
        <v>0</v>
      </c>
      <c r="AP185" t="s">
        <v>111</v>
      </c>
      <c r="AQ185" t="s">
        <v>111</v>
      </c>
      <c r="AR185" t="s">
        <v>111</v>
      </c>
      <c r="AS185" t="s">
        <v>111</v>
      </c>
      <c r="AT185" t="s">
        <v>111</v>
      </c>
      <c r="AU185" t="s">
        <v>111</v>
      </c>
      <c r="AV185" t="s">
        <v>111</v>
      </c>
      <c r="AW185" t="s">
        <v>111</v>
      </c>
      <c r="AX185" t="s">
        <v>111</v>
      </c>
      <c r="AY185" t="s">
        <v>111</v>
      </c>
      <c r="AZ185" t="s">
        <v>111</v>
      </c>
      <c r="BA185" t="s">
        <v>111</v>
      </c>
      <c r="BB185" t="s">
        <v>111</v>
      </c>
      <c r="BC185" t="s">
        <v>111</v>
      </c>
      <c r="BD185" t="s">
        <v>111</v>
      </c>
      <c r="BE185" t="s">
        <v>111</v>
      </c>
      <c r="BF185" t="s">
        <v>111</v>
      </c>
      <c r="BG185" t="s">
        <v>111</v>
      </c>
      <c r="BH185" t="s">
        <v>111</v>
      </c>
      <c r="BI185" t="s">
        <v>111</v>
      </c>
      <c r="BJ185" t="s">
        <v>111</v>
      </c>
      <c r="BK185" t="s">
        <v>111</v>
      </c>
      <c r="BL185" t="s">
        <v>111</v>
      </c>
      <c r="BM185" t="s">
        <v>111</v>
      </c>
      <c r="BN185" t="s">
        <v>111</v>
      </c>
      <c r="BO185" t="s">
        <v>111</v>
      </c>
      <c r="BP185" t="s">
        <v>111</v>
      </c>
      <c r="BQ185" t="s">
        <v>111</v>
      </c>
      <c r="BR185" t="s">
        <v>111</v>
      </c>
      <c r="BS185" t="s">
        <v>111</v>
      </c>
      <c r="BT185" t="s">
        <v>111</v>
      </c>
      <c r="BU185" t="s">
        <v>111</v>
      </c>
      <c r="BV185" t="s">
        <v>111</v>
      </c>
      <c r="BW185" t="s">
        <v>111</v>
      </c>
      <c r="BX185" t="s">
        <v>111</v>
      </c>
      <c r="BY185" t="s">
        <v>111</v>
      </c>
      <c r="BZ185" t="s">
        <v>111</v>
      </c>
      <c r="CA185" t="s">
        <v>111</v>
      </c>
      <c r="CB185" t="s">
        <v>111</v>
      </c>
      <c r="CC185" t="s">
        <v>111</v>
      </c>
      <c r="CD185" t="s">
        <v>111</v>
      </c>
      <c r="CE185" t="s">
        <v>111</v>
      </c>
      <c r="CF185" t="s">
        <v>111</v>
      </c>
      <c r="CG185" t="s">
        <v>111</v>
      </c>
      <c r="CH185" t="s">
        <v>111</v>
      </c>
      <c r="CI185" t="s">
        <v>111</v>
      </c>
      <c r="CJ185" t="s">
        <v>111</v>
      </c>
      <c r="CK185" t="s">
        <v>111</v>
      </c>
      <c r="CL185" t="s">
        <v>111</v>
      </c>
      <c r="CM185" t="s">
        <v>135</v>
      </c>
      <c r="CN185" t="s">
        <v>113</v>
      </c>
      <c r="CO185" t="s">
        <v>111</v>
      </c>
      <c r="CP185" t="s">
        <v>111</v>
      </c>
      <c r="CQ185">
        <v>0</v>
      </c>
      <c r="CR185">
        <v>1000</v>
      </c>
      <c r="CS185">
        <v>50</v>
      </c>
      <c r="CT185" t="e">
        <f>-ALMACEN</f>
        <v>#NAME?</v>
      </c>
      <c r="CU185">
        <v>0</v>
      </c>
      <c r="CV185" t="s">
        <v>111</v>
      </c>
      <c r="CW185" t="s">
        <v>111</v>
      </c>
      <c r="CX185" t="s">
        <v>111</v>
      </c>
      <c r="CY185">
        <v>0</v>
      </c>
      <c r="CZ185" t="s">
        <v>111</v>
      </c>
      <c r="DA185" t="s">
        <v>111</v>
      </c>
      <c r="DB185" t="s">
        <v>111</v>
      </c>
      <c r="DC185" t="s">
        <v>111</v>
      </c>
    </row>
    <row r="186" spans="1:107">
      <c r="A186">
        <v>1507</v>
      </c>
      <c r="B186" t="s">
        <v>107</v>
      </c>
      <c r="C186" t="s">
        <v>768</v>
      </c>
      <c r="D186" t="s">
        <v>776</v>
      </c>
      <c r="E186" t="s">
        <v>777</v>
      </c>
      <c r="F186" t="s">
        <v>771</v>
      </c>
      <c r="G186" t="s">
        <v>469</v>
      </c>
      <c r="H186">
        <v>2.9</v>
      </c>
      <c r="I186">
        <v>40</v>
      </c>
      <c r="J186">
        <v>0</v>
      </c>
      <c r="K186">
        <v>0</v>
      </c>
      <c r="L186" t="s">
        <v>112</v>
      </c>
      <c r="M186">
        <v>40</v>
      </c>
      <c r="N186">
        <v>39</v>
      </c>
      <c r="O186">
        <v>2</v>
      </c>
      <c r="P186" t="s">
        <v>138</v>
      </c>
      <c r="Q186">
        <v>53.6</v>
      </c>
      <c r="R186">
        <v>0</v>
      </c>
      <c r="S186">
        <v>0</v>
      </c>
      <c r="T186">
        <v>5</v>
      </c>
      <c r="U186" s="1" t="s">
        <v>662</v>
      </c>
      <c r="V186">
        <v>25</v>
      </c>
      <c r="W186">
        <v>0</v>
      </c>
      <c r="X186">
        <v>8</v>
      </c>
      <c r="Y186">
        <v>0</v>
      </c>
      <c r="Z186" t="s">
        <v>772</v>
      </c>
      <c r="AA186">
        <v>0.8</v>
      </c>
      <c r="AB186" t="s">
        <v>111</v>
      </c>
      <c r="AC186">
        <v>0</v>
      </c>
      <c r="AD186" t="s">
        <v>416</v>
      </c>
      <c r="AE186">
        <v>0</v>
      </c>
      <c r="AF186">
        <v>0</v>
      </c>
      <c r="AG186" t="s">
        <v>111</v>
      </c>
      <c r="AH186" t="s">
        <v>113</v>
      </c>
      <c r="AI186" t="s">
        <v>111</v>
      </c>
      <c r="AJ186" t="s">
        <v>111</v>
      </c>
      <c r="AK186" t="s">
        <v>111</v>
      </c>
      <c r="AL186" t="s">
        <v>111</v>
      </c>
      <c r="AM186">
        <v>0</v>
      </c>
      <c r="AN186">
        <v>0</v>
      </c>
      <c r="AO186">
        <v>0</v>
      </c>
      <c r="AP186" t="s">
        <v>111</v>
      </c>
      <c r="AQ186" t="s">
        <v>111</v>
      </c>
      <c r="AR186" t="s">
        <v>111</v>
      </c>
      <c r="AS186" t="s">
        <v>111</v>
      </c>
      <c r="AT186" t="s">
        <v>111</v>
      </c>
      <c r="AU186" t="s">
        <v>111</v>
      </c>
      <c r="AV186" t="s">
        <v>111</v>
      </c>
      <c r="AW186" t="s">
        <v>111</v>
      </c>
      <c r="AX186" t="s">
        <v>111</v>
      </c>
      <c r="AY186" t="s">
        <v>111</v>
      </c>
      <c r="AZ186" t="s">
        <v>111</v>
      </c>
      <c r="BA186" t="s">
        <v>111</v>
      </c>
      <c r="BB186" t="s">
        <v>111</v>
      </c>
      <c r="BC186" t="s">
        <v>111</v>
      </c>
      <c r="BD186" t="s">
        <v>111</v>
      </c>
      <c r="BE186" t="s">
        <v>111</v>
      </c>
      <c r="BF186" t="s">
        <v>111</v>
      </c>
      <c r="BG186" t="s">
        <v>111</v>
      </c>
      <c r="BH186" t="s">
        <v>111</v>
      </c>
      <c r="BI186" t="s">
        <v>111</v>
      </c>
      <c r="BJ186" t="s">
        <v>111</v>
      </c>
      <c r="BK186" t="s">
        <v>111</v>
      </c>
      <c r="BL186" t="s">
        <v>111</v>
      </c>
      <c r="BM186" t="s">
        <v>111</v>
      </c>
      <c r="BN186" t="s">
        <v>111</v>
      </c>
      <c r="BO186" t="s">
        <v>111</v>
      </c>
      <c r="BP186" t="s">
        <v>111</v>
      </c>
      <c r="BQ186" t="s">
        <v>111</v>
      </c>
      <c r="BR186" t="s">
        <v>111</v>
      </c>
      <c r="BS186" t="s">
        <v>111</v>
      </c>
      <c r="BT186" t="s">
        <v>111</v>
      </c>
      <c r="BU186" t="s">
        <v>111</v>
      </c>
      <c r="BV186" t="s">
        <v>111</v>
      </c>
      <c r="BW186" t="s">
        <v>111</v>
      </c>
      <c r="BX186" t="s">
        <v>111</v>
      </c>
      <c r="BY186" t="s">
        <v>111</v>
      </c>
      <c r="BZ186" t="s">
        <v>111</v>
      </c>
      <c r="CA186" t="s">
        <v>111</v>
      </c>
      <c r="CB186" t="s">
        <v>111</v>
      </c>
      <c r="CC186" t="s">
        <v>111</v>
      </c>
      <c r="CD186" t="s">
        <v>111</v>
      </c>
      <c r="CE186" t="s">
        <v>111</v>
      </c>
      <c r="CF186" t="s">
        <v>111</v>
      </c>
      <c r="CG186" t="s">
        <v>111</v>
      </c>
      <c r="CH186" t="s">
        <v>111</v>
      </c>
      <c r="CI186" t="s">
        <v>111</v>
      </c>
      <c r="CJ186" t="s">
        <v>111</v>
      </c>
      <c r="CK186" t="s">
        <v>111</v>
      </c>
      <c r="CL186" t="s">
        <v>111</v>
      </c>
      <c r="CM186" t="s">
        <v>360</v>
      </c>
      <c r="CN186" t="s">
        <v>113</v>
      </c>
      <c r="CO186" t="s">
        <v>111</v>
      </c>
      <c r="CP186" t="s">
        <v>111</v>
      </c>
      <c r="CQ186">
        <v>0</v>
      </c>
      <c r="CR186">
        <v>3000</v>
      </c>
      <c r="CS186">
        <v>100</v>
      </c>
      <c r="CT186" t="e">
        <f>-ALMACEN</f>
        <v>#NAME?</v>
      </c>
      <c r="CU186">
        <v>0</v>
      </c>
      <c r="CV186" t="s">
        <v>111</v>
      </c>
      <c r="CW186" t="s">
        <v>111</v>
      </c>
      <c r="CX186" t="s">
        <v>111</v>
      </c>
      <c r="CY186">
        <v>0</v>
      </c>
      <c r="CZ186" t="s">
        <v>111</v>
      </c>
      <c r="DA186" t="s">
        <v>111</v>
      </c>
      <c r="DB186" t="e">
        <f>-EXTERNO</f>
        <v>#NAME?</v>
      </c>
      <c r="DC186" t="e">
        <f>-MANIJA FLEXIBLE NEGRA</f>
        <v>#NAME?</v>
      </c>
    </row>
    <row r="187" spans="1:107">
      <c r="A187">
        <v>1486</v>
      </c>
      <c r="B187" t="s">
        <v>107</v>
      </c>
      <c r="C187" t="s">
        <v>412</v>
      </c>
      <c r="D187" t="s">
        <v>778</v>
      </c>
      <c r="E187" t="s">
        <v>779</v>
      </c>
      <c r="F187" t="s">
        <v>431</v>
      </c>
      <c r="G187" t="s">
        <v>469</v>
      </c>
      <c r="H187">
        <v>1.9</v>
      </c>
      <c r="I187">
        <v>37</v>
      </c>
      <c r="J187">
        <v>0</v>
      </c>
      <c r="K187">
        <v>0</v>
      </c>
      <c r="L187" t="s">
        <v>112</v>
      </c>
      <c r="M187" t="s">
        <v>118</v>
      </c>
      <c r="N187">
        <v>39</v>
      </c>
      <c r="O187">
        <v>1</v>
      </c>
      <c r="P187" t="s">
        <v>111</v>
      </c>
      <c r="Q187">
        <v>31.8</v>
      </c>
      <c r="R187">
        <v>0</v>
      </c>
      <c r="S187">
        <v>0</v>
      </c>
      <c r="T187">
        <v>5</v>
      </c>
      <c r="U187" s="1" t="s">
        <v>780</v>
      </c>
      <c r="V187">
        <v>0</v>
      </c>
      <c r="W187">
        <v>25</v>
      </c>
      <c r="X187">
        <v>8</v>
      </c>
      <c r="Y187">
        <v>0</v>
      </c>
      <c r="Z187" t="s">
        <v>111</v>
      </c>
      <c r="AA187">
        <v>0</v>
      </c>
      <c r="AB187" t="s">
        <v>111</v>
      </c>
      <c r="AC187">
        <v>0</v>
      </c>
      <c r="AD187" t="s">
        <v>416</v>
      </c>
      <c r="AE187">
        <v>0</v>
      </c>
      <c r="AF187">
        <v>0</v>
      </c>
      <c r="AG187" t="s">
        <v>111</v>
      </c>
      <c r="AH187" t="s">
        <v>113</v>
      </c>
      <c r="AI187" t="s">
        <v>111</v>
      </c>
      <c r="AJ187" t="s">
        <v>111</v>
      </c>
      <c r="AK187" t="s">
        <v>111</v>
      </c>
      <c r="AL187" t="s">
        <v>111</v>
      </c>
      <c r="AM187">
        <v>0</v>
      </c>
      <c r="AN187">
        <v>0</v>
      </c>
      <c r="AO187">
        <v>0</v>
      </c>
      <c r="AP187" t="s">
        <v>111</v>
      </c>
      <c r="AQ187" t="s">
        <v>111</v>
      </c>
      <c r="AR187" t="s">
        <v>111</v>
      </c>
      <c r="AS187" t="s">
        <v>111</v>
      </c>
      <c r="AT187" t="s">
        <v>111</v>
      </c>
      <c r="AU187" t="s">
        <v>111</v>
      </c>
      <c r="AV187" t="s">
        <v>111</v>
      </c>
      <c r="AW187" t="s">
        <v>111</v>
      </c>
      <c r="AX187" t="s">
        <v>111</v>
      </c>
      <c r="AY187" t="s">
        <v>111</v>
      </c>
      <c r="AZ187" t="s">
        <v>111</v>
      </c>
      <c r="BA187" t="s">
        <v>111</v>
      </c>
      <c r="BB187" t="s">
        <v>111</v>
      </c>
      <c r="BC187" t="s">
        <v>111</v>
      </c>
      <c r="BD187" t="s">
        <v>111</v>
      </c>
      <c r="BE187" t="s">
        <v>111</v>
      </c>
      <c r="BF187" t="s">
        <v>111</v>
      </c>
      <c r="BG187" t="s">
        <v>111</v>
      </c>
      <c r="BH187" t="s">
        <v>111</v>
      </c>
      <c r="BI187" t="s">
        <v>111</v>
      </c>
      <c r="BJ187" t="s">
        <v>111</v>
      </c>
      <c r="BK187" t="s">
        <v>111</v>
      </c>
      <c r="BL187" t="s">
        <v>111</v>
      </c>
      <c r="BM187" t="s">
        <v>111</v>
      </c>
      <c r="BN187" t="s">
        <v>111</v>
      </c>
      <c r="BO187" t="s">
        <v>111</v>
      </c>
      <c r="BP187" t="s">
        <v>111</v>
      </c>
      <c r="BQ187" t="s">
        <v>111</v>
      </c>
      <c r="BR187" t="s">
        <v>111</v>
      </c>
      <c r="BS187" t="s">
        <v>111</v>
      </c>
      <c r="BT187" t="s">
        <v>111</v>
      </c>
      <c r="BU187" t="s">
        <v>111</v>
      </c>
      <c r="BV187" t="s">
        <v>111</v>
      </c>
      <c r="BW187" t="s">
        <v>111</v>
      </c>
      <c r="BX187" t="s">
        <v>111</v>
      </c>
      <c r="BY187" t="s">
        <v>111</v>
      </c>
      <c r="BZ187" t="s">
        <v>111</v>
      </c>
      <c r="CA187" t="s">
        <v>111</v>
      </c>
      <c r="CB187" t="s">
        <v>111</v>
      </c>
      <c r="CC187" t="s">
        <v>111</v>
      </c>
      <c r="CD187" t="s">
        <v>111</v>
      </c>
      <c r="CE187" t="s">
        <v>111</v>
      </c>
      <c r="CF187" t="s">
        <v>111</v>
      </c>
      <c r="CG187" t="s">
        <v>111</v>
      </c>
      <c r="CH187" t="s">
        <v>111</v>
      </c>
      <c r="CI187" t="s">
        <v>111</v>
      </c>
      <c r="CJ187" t="s">
        <v>111</v>
      </c>
      <c r="CK187" t="s">
        <v>111</v>
      </c>
      <c r="CL187" t="s">
        <v>111</v>
      </c>
      <c r="CM187" t="s">
        <v>360</v>
      </c>
      <c r="CN187" t="s">
        <v>113</v>
      </c>
      <c r="CO187" t="s">
        <v>367</v>
      </c>
      <c r="CP187" t="s">
        <v>111</v>
      </c>
      <c r="CQ187">
        <v>0</v>
      </c>
      <c r="CR187">
        <v>5000</v>
      </c>
      <c r="CS187">
        <v>50</v>
      </c>
      <c r="CT187" s="1" t="s">
        <v>781</v>
      </c>
      <c r="CU187">
        <v>0</v>
      </c>
      <c r="CV187" t="s">
        <v>111</v>
      </c>
      <c r="CW187" t="s">
        <v>111</v>
      </c>
      <c r="CX187" t="s">
        <v>111</v>
      </c>
      <c r="CY187">
        <v>0</v>
      </c>
      <c r="CZ187" t="s">
        <v>111</v>
      </c>
      <c r="DA187" t="s">
        <v>111</v>
      </c>
      <c r="DB187" t="e">
        <f>-INTERNO</f>
        <v>#NAME?</v>
      </c>
      <c r="DC187" t="e">
        <f>-TROQUEL RIÑON</f>
        <v>#NAME?</v>
      </c>
    </row>
    <row r="188" spans="1:107">
      <c r="A188">
        <v>1485</v>
      </c>
      <c r="B188" t="s">
        <v>107</v>
      </c>
      <c r="C188" t="s">
        <v>412</v>
      </c>
      <c r="D188" t="s">
        <v>782</v>
      </c>
      <c r="E188" t="s">
        <v>783</v>
      </c>
      <c r="F188" t="s">
        <v>431</v>
      </c>
      <c r="G188" t="s">
        <v>469</v>
      </c>
      <c r="H188">
        <v>1.5</v>
      </c>
      <c r="I188">
        <v>52</v>
      </c>
      <c r="J188">
        <v>0</v>
      </c>
      <c r="K188">
        <v>0</v>
      </c>
      <c r="L188" t="s">
        <v>117</v>
      </c>
      <c r="M188" t="s">
        <v>118</v>
      </c>
      <c r="N188">
        <v>39</v>
      </c>
      <c r="O188">
        <v>1</v>
      </c>
      <c r="P188" t="s">
        <v>111</v>
      </c>
      <c r="Q188">
        <v>37</v>
      </c>
      <c r="R188">
        <v>0</v>
      </c>
      <c r="S188">
        <v>0</v>
      </c>
      <c r="T188">
        <v>5</v>
      </c>
      <c r="U188" s="1" t="s">
        <v>784</v>
      </c>
      <c r="V188">
        <v>0</v>
      </c>
      <c r="W188">
        <v>250</v>
      </c>
      <c r="X188">
        <v>7</v>
      </c>
      <c r="Y188">
        <v>0</v>
      </c>
      <c r="Z188" t="s">
        <v>111</v>
      </c>
      <c r="AA188">
        <v>0</v>
      </c>
      <c r="AB188" t="s">
        <v>111</v>
      </c>
      <c r="AC188">
        <v>0</v>
      </c>
      <c r="AD188" t="s">
        <v>416</v>
      </c>
      <c r="AE188">
        <v>0</v>
      </c>
      <c r="AF188">
        <v>0</v>
      </c>
      <c r="AG188" t="s">
        <v>111</v>
      </c>
      <c r="AH188" t="s">
        <v>113</v>
      </c>
      <c r="AI188" t="s">
        <v>111</v>
      </c>
      <c r="AJ188" t="s">
        <v>111</v>
      </c>
      <c r="AK188" t="s">
        <v>111</v>
      </c>
      <c r="AL188" t="s">
        <v>111</v>
      </c>
      <c r="AM188">
        <v>0</v>
      </c>
      <c r="AN188">
        <v>0</v>
      </c>
      <c r="AO188">
        <v>0</v>
      </c>
      <c r="AP188" t="s">
        <v>111</v>
      </c>
      <c r="AQ188" t="s">
        <v>111</v>
      </c>
      <c r="AR188" t="s">
        <v>111</v>
      </c>
      <c r="AS188" t="s">
        <v>111</v>
      </c>
      <c r="AT188" t="s">
        <v>111</v>
      </c>
      <c r="AU188" t="s">
        <v>111</v>
      </c>
      <c r="AV188" t="s">
        <v>111</v>
      </c>
      <c r="AW188" t="s">
        <v>111</v>
      </c>
      <c r="AX188" t="s">
        <v>111</v>
      </c>
      <c r="AY188" t="s">
        <v>111</v>
      </c>
      <c r="AZ188" t="s">
        <v>111</v>
      </c>
      <c r="BA188" t="s">
        <v>111</v>
      </c>
      <c r="BB188" t="s">
        <v>111</v>
      </c>
      <c r="BC188" t="s">
        <v>111</v>
      </c>
      <c r="BD188" t="s">
        <v>111</v>
      </c>
      <c r="BE188" t="s">
        <v>111</v>
      </c>
      <c r="BF188" t="s">
        <v>111</v>
      </c>
      <c r="BG188" t="s">
        <v>111</v>
      </c>
      <c r="BH188" t="s">
        <v>111</v>
      </c>
      <c r="BI188" t="s">
        <v>111</v>
      </c>
      <c r="BJ188" t="s">
        <v>111</v>
      </c>
      <c r="BK188" t="s">
        <v>111</v>
      </c>
      <c r="BL188" t="s">
        <v>111</v>
      </c>
      <c r="BM188" t="s">
        <v>111</v>
      </c>
      <c r="BN188" t="s">
        <v>111</v>
      </c>
      <c r="BO188" t="s">
        <v>111</v>
      </c>
      <c r="BP188" t="s">
        <v>111</v>
      </c>
      <c r="BQ188" t="s">
        <v>111</v>
      </c>
      <c r="BR188" t="s">
        <v>111</v>
      </c>
      <c r="BS188" t="s">
        <v>111</v>
      </c>
      <c r="BT188" t="s">
        <v>111</v>
      </c>
      <c r="BU188" t="s">
        <v>111</v>
      </c>
      <c r="BV188" t="s">
        <v>111</v>
      </c>
      <c r="BW188" t="s">
        <v>111</v>
      </c>
      <c r="BX188" t="s">
        <v>111</v>
      </c>
      <c r="BY188" t="s">
        <v>111</v>
      </c>
      <c r="BZ188" t="s">
        <v>111</v>
      </c>
      <c r="CA188" t="s">
        <v>111</v>
      </c>
      <c r="CB188" t="s">
        <v>111</v>
      </c>
      <c r="CC188" t="s">
        <v>111</v>
      </c>
      <c r="CD188" t="s">
        <v>111</v>
      </c>
      <c r="CE188" t="s">
        <v>111</v>
      </c>
      <c r="CF188" t="s">
        <v>111</v>
      </c>
      <c r="CG188" t="s">
        <v>111</v>
      </c>
      <c r="CH188" t="s">
        <v>111</v>
      </c>
      <c r="CI188" t="s">
        <v>111</v>
      </c>
      <c r="CJ188" t="s">
        <v>111</v>
      </c>
      <c r="CK188" t="s">
        <v>111</v>
      </c>
      <c r="CL188" t="s">
        <v>111</v>
      </c>
      <c r="CM188" t="s">
        <v>135</v>
      </c>
      <c r="CN188" t="s">
        <v>113</v>
      </c>
      <c r="CO188" t="s">
        <v>111</v>
      </c>
      <c r="CP188" t="s">
        <v>111</v>
      </c>
      <c r="CQ188">
        <v>0</v>
      </c>
      <c r="CR188">
        <v>7000</v>
      </c>
      <c r="CS188">
        <v>200</v>
      </c>
      <c r="CT188" t="e">
        <f>-ALMACEN</f>
        <v>#NAME?</v>
      </c>
      <c r="CU188">
        <v>0</v>
      </c>
      <c r="CV188" t="s">
        <v>111</v>
      </c>
      <c r="CW188" t="s">
        <v>111</v>
      </c>
      <c r="CX188" t="s">
        <v>111</v>
      </c>
      <c r="CY188">
        <v>0</v>
      </c>
      <c r="CZ188" t="s">
        <v>111</v>
      </c>
      <c r="DA188" t="s">
        <v>111</v>
      </c>
      <c r="DB188" t="s">
        <v>111</v>
      </c>
      <c r="DC188" t="s">
        <v>111</v>
      </c>
    </row>
    <row r="189" spans="1:107">
      <c r="A189">
        <v>1483</v>
      </c>
      <c r="B189" t="s">
        <v>107</v>
      </c>
      <c r="C189" t="s">
        <v>412</v>
      </c>
      <c r="D189" t="s">
        <v>785</v>
      </c>
      <c r="E189" t="s">
        <v>786</v>
      </c>
      <c r="F189" t="s">
        <v>358</v>
      </c>
      <c r="G189" t="s">
        <v>469</v>
      </c>
      <c r="H189">
        <v>1.2</v>
      </c>
      <c r="I189">
        <v>43</v>
      </c>
      <c r="J189">
        <v>0</v>
      </c>
      <c r="K189">
        <v>0</v>
      </c>
      <c r="L189" t="s">
        <v>117</v>
      </c>
      <c r="M189" t="s">
        <v>118</v>
      </c>
      <c r="N189">
        <v>39</v>
      </c>
      <c r="O189">
        <v>1</v>
      </c>
      <c r="P189" t="s">
        <v>111</v>
      </c>
      <c r="Q189">
        <v>20.9</v>
      </c>
      <c r="R189">
        <v>0</v>
      </c>
      <c r="S189">
        <v>0</v>
      </c>
      <c r="T189">
        <v>5</v>
      </c>
      <c r="U189" s="1" t="s">
        <v>787</v>
      </c>
      <c r="V189">
        <v>0</v>
      </c>
      <c r="W189">
        <v>25</v>
      </c>
      <c r="X189">
        <v>5</v>
      </c>
      <c r="Y189">
        <v>0</v>
      </c>
      <c r="Z189" t="s">
        <v>288</v>
      </c>
      <c r="AA189">
        <v>2</v>
      </c>
      <c r="AB189" t="s">
        <v>111</v>
      </c>
      <c r="AC189">
        <v>0</v>
      </c>
      <c r="AD189" t="s">
        <v>416</v>
      </c>
      <c r="AE189">
        <v>0</v>
      </c>
      <c r="AF189">
        <v>0</v>
      </c>
      <c r="AG189" t="s">
        <v>111</v>
      </c>
      <c r="AH189" t="s">
        <v>128</v>
      </c>
      <c r="AI189" t="s">
        <v>111</v>
      </c>
      <c r="AJ189" t="s">
        <v>111</v>
      </c>
      <c r="AK189" t="s">
        <v>111</v>
      </c>
      <c r="AL189" t="s">
        <v>111</v>
      </c>
      <c r="AM189">
        <v>0</v>
      </c>
      <c r="AN189">
        <v>0</v>
      </c>
      <c r="AO189">
        <v>0</v>
      </c>
      <c r="AP189" t="s">
        <v>111</v>
      </c>
      <c r="AQ189" t="s">
        <v>111</v>
      </c>
      <c r="AR189" t="s">
        <v>111</v>
      </c>
      <c r="AS189" t="s">
        <v>111</v>
      </c>
      <c r="AT189" t="s">
        <v>111</v>
      </c>
      <c r="AU189" t="s">
        <v>111</v>
      </c>
      <c r="AV189" t="s">
        <v>111</v>
      </c>
      <c r="AW189" t="s">
        <v>111</v>
      </c>
      <c r="AX189" t="s">
        <v>111</v>
      </c>
      <c r="AY189" t="s">
        <v>111</v>
      </c>
      <c r="AZ189" t="s">
        <v>111</v>
      </c>
      <c r="BA189" t="s">
        <v>111</v>
      </c>
      <c r="BB189" t="s">
        <v>111</v>
      </c>
      <c r="BC189" t="s">
        <v>111</v>
      </c>
      <c r="BD189" t="s">
        <v>111</v>
      </c>
      <c r="BE189" t="s">
        <v>111</v>
      </c>
      <c r="BF189" t="s">
        <v>111</v>
      </c>
      <c r="BG189" t="s">
        <v>111</v>
      </c>
      <c r="BH189" t="s">
        <v>111</v>
      </c>
      <c r="BI189" t="s">
        <v>111</v>
      </c>
      <c r="BJ189" t="s">
        <v>111</v>
      </c>
      <c r="BK189" t="s">
        <v>111</v>
      </c>
      <c r="BL189" t="s">
        <v>111</v>
      </c>
      <c r="BM189" t="s">
        <v>111</v>
      </c>
      <c r="BN189" t="s">
        <v>111</v>
      </c>
      <c r="BO189" t="s">
        <v>111</v>
      </c>
      <c r="BP189" t="s">
        <v>111</v>
      </c>
      <c r="BQ189" t="s">
        <v>111</v>
      </c>
      <c r="BR189" t="s">
        <v>111</v>
      </c>
      <c r="BS189" t="s">
        <v>111</v>
      </c>
      <c r="BT189" t="s">
        <v>111</v>
      </c>
      <c r="BU189" t="s">
        <v>111</v>
      </c>
      <c r="BV189" t="s">
        <v>111</v>
      </c>
      <c r="BW189" t="s">
        <v>111</v>
      </c>
      <c r="BX189" t="s">
        <v>111</v>
      </c>
      <c r="BY189" t="s">
        <v>111</v>
      </c>
      <c r="BZ189" t="s">
        <v>111</v>
      </c>
      <c r="CA189" t="s">
        <v>111</v>
      </c>
      <c r="CB189" t="s">
        <v>111</v>
      </c>
      <c r="CC189" t="s">
        <v>111</v>
      </c>
      <c r="CD189" t="s">
        <v>111</v>
      </c>
      <c r="CE189" t="s">
        <v>111</v>
      </c>
      <c r="CF189" t="s">
        <v>111</v>
      </c>
      <c r="CG189" t="s">
        <v>111</v>
      </c>
      <c r="CH189" t="s">
        <v>111</v>
      </c>
      <c r="CI189" t="s">
        <v>111</v>
      </c>
      <c r="CJ189" t="s">
        <v>111</v>
      </c>
      <c r="CK189" t="s">
        <v>111</v>
      </c>
      <c r="CL189" t="s">
        <v>111</v>
      </c>
      <c r="CM189" t="s">
        <v>135</v>
      </c>
      <c r="CN189" t="s">
        <v>113</v>
      </c>
      <c r="CO189" t="s">
        <v>111</v>
      </c>
      <c r="CP189" t="s">
        <v>111</v>
      </c>
      <c r="CQ189">
        <v>60</v>
      </c>
      <c r="CR189">
        <v>13000</v>
      </c>
      <c r="CS189">
        <v>500</v>
      </c>
      <c r="CT189" t="e">
        <f>-ALMACEN</f>
        <v>#NAME?</v>
      </c>
      <c r="CU189">
        <v>0</v>
      </c>
      <c r="CV189" t="s">
        <v>111</v>
      </c>
      <c r="CW189" t="s">
        <v>111</v>
      </c>
      <c r="CX189" t="s">
        <v>111</v>
      </c>
      <c r="CY189">
        <v>0</v>
      </c>
      <c r="CZ189" t="s">
        <v>111</v>
      </c>
      <c r="DA189" t="s">
        <v>111</v>
      </c>
      <c r="DB189" t="s">
        <v>111</v>
      </c>
      <c r="DC189" t="s">
        <v>111</v>
      </c>
    </row>
    <row r="190" spans="1:107">
      <c r="A190">
        <v>1479</v>
      </c>
      <c r="B190" t="s">
        <v>107</v>
      </c>
      <c r="C190" t="s">
        <v>379</v>
      </c>
      <c r="D190" t="s">
        <v>527</v>
      </c>
      <c r="E190" t="s">
        <v>528</v>
      </c>
      <c r="F190" t="s">
        <v>157</v>
      </c>
      <c r="G190" t="s">
        <v>469</v>
      </c>
      <c r="H190">
        <v>1.5</v>
      </c>
      <c r="I190">
        <v>100</v>
      </c>
      <c r="J190">
        <v>0</v>
      </c>
      <c r="K190">
        <v>0</v>
      </c>
      <c r="L190" t="s">
        <v>112</v>
      </c>
      <c r="M190" t="s">
        <v>111</v>
      </c>
      <c r="N190">
        <v>0</v>
      </c>
      <c r="O190">
        <v>0</v>
      </c>
      <c r="P190" t="s">
        <v>111</v>
      </c>
      <c r="Q190">
        <v>49</v>
      </c>
      <c r="R190">
        <v>0</v>
      </c>
      <c r="S190">
        <v>0</v>
      </c>
      <c r="T190">
        <v>0</v>
      </c>
      <c r="U190" s="1" t="s">
        <v>788</v>
      </c>
      <c r="V190">
        <v>0</v>
      </c>
      <c r="W190">
        <v>25</v>
      </c>
      <c r="X190">
        <v>0</v>
      </c>
      <c r="Y190">
        <v>0</v>
      </c>
      <c r="Z190" t="s">
        <v>111</v>
      </c>
      <c r="AA190">
        <v>0</v>
      </c>
      <c r="AB190" t="s">
        <v>789</v>
      </c>
      <c r="AC190">
        <v>25</v>
      </c>
      <c r="AD190" t="s">
        <v>111</v>
      </c>
      <c r="AE190">
        <v>0</v>
      </c>
      <c r="AF190">
        <v>0</v>
      </c>
      <c r="AG190" t="s">
        <v>111</v>
      </c>
      <c r="AH190" t="s">
        <v>111</v>
      </c>
      <c r="AI190" t="s">
        <v>111</v>
      </c>
      <c r="AJ190" t="s">
        <v>111</v>
      </c>
      <c r="AK190" t="s">
        <v>111</v>
      </c>
      <c r="AL190" t="s">
        <v>111</v>
      </c>
      <c r="AM190">
        <v>0</v>
      </c>
      <c r="AN190">
        <v>0</v>
      </c>
      <c r="AO190">
        <v>0</v>
      </c>
      <c r="AP190" t="s">
        <v>111</v>
      </c>
      <c r="AQ190" t="s">
        <v>111</v>
      </c>
      <c r="AR190" t="s">
        <v>111</v>
      </c>
      <c r="AS190" t="s">
        <v>111</v>
      </c>
      <c r="AT190" t="s">
        <v>111</v>
      </c>
      <c r="AU190" t="s">
        <v>111</v>
      </c>
      <c r="AV190" t="s">
        <v>111</v>
      </c>
      <c r="AW190" t="s">
        <v>111</v>
      </c>
      <c r="AX190" t="s">
        <v>111</v>
      </c>
      <c r="AY190" t="s">
        <v>111</v>
      </c>
      <c r="AZ190" t="s">
        <v>111</v>
      </c>
      <c r="BA190" t="s">
        <v>111</v>
      </c>
      <c r="BB190" t="s">
        <v>111</v>
      </c>
      <c r="BC190" t="s">
        <v>111</v>
      </c>
      <c r="BD190" t="s">
        <v>111</v>
      </c>
      <c r="BE190" t="s">
        <v>111</v>
      </c>
      <c r="BF190" t="s">
        <v>111</v>
      </c>
      <c r="BG190" t="s">
        <v>111</v>
      </c>
      <c r="BH190" t="s">
        <v>111</v>
      </c>
      <c r="BI190" t="s">
        <v>111</v>
      </c>
      <c r="BJ190" t="s">
        <v>111</v>
      </c>
      <c r="BK190" t="s">
        <v>111</v>
      </c>
      <c r="BL190" t="s">
        <v>111</v>
      </c>
      <c r="BM190" t="s">
        <v>111</v>
      </c>
      <c r="BN190" t="s">
        <v>111</v>
      </c>
      <c r="BO190" t="s">
        <v>111</v>
      </c>
      <c r="BP190" t="s">
        <v>111</v>
      </c>
      <c r="BQ190" t="s">
        <v>111</v>
      </c>
      <c r="BR190" t="s">
        <v>111</v>
      </c>
      <c r="BS190" t="s">
        <v>111</v>
      </c>
      <c r="BT190" t="s">
        <v>111</v>
      </c>
      <c r="BU190" t="s">
        <v>111</v>
      </c>
      <c r="BV190" t="s">
        <v>111</v>
      </c>
      <c r="BW190" t="s">
        <v>111</v>
      </c>
      <c r="BX190" t="s">
        <v>111</v>
      </c>
      <c r="BY190" t="s">
        <v>111</v>
      </c>
      <c r="BZ190" t="s">
        <v>111</v>
      </c>
      <c r="CA190" t="s">
        <v>111</v>
      </c>
      <c r="CB190" t="s">
        <v>111</v>
      </c>
      <c r="CC190" t="s">
        <v>111</v>
      </c>
      <c r="CD190" t="s">
        <v>111</v>
      </c>
      <c r="CE190" t="s">
        <v>111</v>
      </c>
      <c r="CF190" t="s">
        <v>111</v>
      </c>
      <c r="CG190" t="s">
        <v>111</v>
      </c>
      <c r="CH190" t="s">
        <v>111</v>
      </c>
      <c r="CI190" t="s">
        <v>111</v>
      </c>
      <c r="CJ190" t="s">
        <v>111</v>
      </c>
      <c r="CK190" t="s">
        <v>111</v>
      </c>
      <c r="CL190" t="s">
        <v>111</v>
      </c>
      <c r="CM190" t="s">
        <v>111</v>
      </c>
      <c r="CN190" t="s">
        <v>111</v>
      </c>
      <c r="CO190" t="s">
        <v>111</v>
      </c>
      <c r="CP190" t="s">
        <v>111</v>
      </c>
      <c r="CQ190">
        <v>0</v>
      </c>
      <c r="CR190">
        <v>0</v>
      </c>
      <c r="CS190">
        <v>0</v>
      </c>
      <c r="CT190" t="s">
        <v>111</v>
      </c>
      <c r="CU190">
        <v>0</v>
      </c>
      <c r="CV190" t="s">
        <v>111</v>
      </c>
      <c r="CW190" t="s">
        <v>111</v>
      </c>
      <c r="CX190" t="s">
        <v>111</v>
      </c>
      <c r="CY190">
        <v>0</v>
      </c>
      <c r="CZ190" t="s">
        <v>111</v>
      </c>
      <c r="DA190" t="s">
        <v>111</v>
      </c>
      <c r="DB190" t="s">
        <v>111</v>
      </c>
      <c r="DC190" t="s">
        <v>111</v>
      </c>
    </row>
    <row r="191" spans="1:107">
      <c r="A191">
        <v>1476</v>
      </c>
      <c r="B191" t="s">
        <v>107</v>
      </c>
      <c r="C191" t="s">
        <v>114</v>
      </c>
      <c r="D191" t="s">
        <v>489</v>
      </c>
      <c r="E191" t="s">
        <v>790</v>
      </c>
      <c r="F191" t="s">
        <v>431</v>
      </c>
      <c r="G191" t="s">
        <v>469</v>
      </c>
      <c r="H191">
        <v>2.9</v>
      </c>
      <c r="I191">
        <v>70</v>
      </c>
      <c r="J191">
        <v>0</v>
      </c>
      <c r="K191">
        <v>0</v>
      </c>
      <c r="L191" t="s">
        <v>117</v>
      </c>
      <c r="M191" t="s">
        <v>118</v>
      </c>
      <c r="N191">
        <v>39</v>
      </c>
      <c r="O191">
        <v>1</v>
      </c>
      <c r="P191">
        <v>1</v>
      </c>
      <c r="Q191">
        <v>40</v>
      </c>
      <c r="R191">
        <v>0</v>
      </c>
      <c r="S191">
        <v>0</v>
      </c>
      <c r="T191">
        <v>5</v>
      </c>
      <c r="U191" s="1" t="s">
        <v>791</v>
      </c>
      <c r="V191">
        <v>0</v>
      </c>
      <c r="W191">
        <v>25</v>
      </c>
      <c r="X191">
        <v>8</v>
      </c>
      <c r="Y191">
        <v>0</v>
      </c>
      <c r="Z191" t="s">
        <v>111</v>
      </c>
      <c r="AA191">
        <v>0</v>
      </c>
      <c r="AB191" t="s">
        <v>792</v>
      </c>
      <c r="AC191">
        <v>8</v>
      </c>
      <c r="AD191" t="s">
        <v>493</v>
      </c>
      <c r="AE191">
        <v>0</v>
      </c>
      <c r="AF191">
        <v>0</v>
      </c>
      <c r="AG191" t="s">
        <v>111</v>
      </c>
      <c r="AH191" t="s">
        <v>113</v>
      </c>
      <c r="AI191" t="s">
        <v>111</v>
      </c>
      <c r="AJ191" t="s">
        <v>111</v>
      </c>
      <c r="AK191" t="s">
        <v>111</v>
      </c>
      <c r="AL191" t="s">
        <v>111</v>
      </c>
      <c r="AM191">
        <v>0</v>
      </c>
      <c r="AN191">
        <v>0</v>
      </c>
      <c r="AO191">
        <v>0</v>
      </c>
      <c r="AP191" t="s">
        <v>111</v>
      </c>
      <c r="AQ191" t="s">
        <v>111</v>
      </c>
      <c r="AR191" t="s">
        <v>111</v>
      </c>
      <c r="AS191" t="s">
        <v>111</v>
      </c>
      <c r="AT191" t="s">
        <v>111</v>
      </c>
      <c r="AU191" t="s">
        <v>111</v>
      </c>
      <c r="AV191" t="s">
        <v>111</v>
      </c>
      <c r="AW191" t="s">
        <v>111</v>
      </c>
      <c r="AX191" t="s">
        <v>111</v>
      </c>
      <c r="AY191" t="s">
        <v>111</v>
      </c>
      <c r="AZ191" t="s">
        <v>111</v>
      </c>
      <c r="BA191" t="s">
        <v>111</v>
      </c>
      <c r="BB191" t="s">
        <v>111</v>
      </c>
      <c r="BC191" t="s">
        <v>111</v>
      </c>
      <c r="BD191" t="s">
        <v>111</v>
      </c>
      <c r="BE191" t="s">
        <v>111</v>
      </c>
      <c r="BF191" t="s">
        <v>111</v>
      </c>
      <c r="BG191" t="s">
        <v>111</v>
      </c>
      <c r="BH191" t="s">
        <v>111</v>
      </c>
      <c r="BI191" t="s">
        <v>111</v>
      </c>
      <c r="BJ191" t="s">
        <v>111</v>
      </c>
      <c r="BK191" t="s">
        <v>111</v>
      </c>
      <c r="BL191" t="s">
        <v>111</v>
      </c>
      <c r="BM191" t="s">
        <v>111</v>
      </c>
      <c r="BN191" t="s">
        <v>111</v>
      </c>
      <c r="BO191" t="s">
        <v>111</v>
      </c>
      <c r="BP191" t="s">
        <v>111</v>
      </c>
      <c r="BQ191" t="s">
        <v>111</v>
      </c>
      <c r="BR191" t="s">
        <v>111</v>
      </c>
      <c r="BS191" t="s">
        <v>111</v>
      </c>
      <c r="BT191" t="s">
        <v>111</v>
      </c>
      <c r="BU191" t="s">
        <v>111</v>
      </c>
      <c r="BV191" t="s">
        <v>111</v>
      </c>
      <c r="BW191" t="s">
        <v>111</v>
      </c>
      <c r="BX191" t="s">
        <v>111</v>
      </c>
      <c r="BY191" t="s">
        <v>111</v>
      </c>
      <c r="BZ191" t="s">
        <v>111</v>
      </c>
      <c r="CA191" t="s">
        <v>111</v>
      </c>
      <c r="CB191" t="s">
        <v>111</v>
      </c>
      <c r="CC191" t="s">
        <v>111</v>
      </c>
      <c r="CD191" t="s">
        <v>111</v>
      </c>
      <c r="CE191" t="s">
        <v>111</v>
      </c>
      <c r="CF191" t="s">
        <v>111</v>
      </c>
      <c r="CG191" t="s">
        <v>111</v>
      </c>
      <c r="CH191" t="s">
        <v>111</v>
      </c>
      <c r="CI191" t="s">
        <v>111</v>
      </c>
      <c r="CJ191" t="s">
        <v>111</v>
      </c>
      <c r="CK191" t="s">
        <v>111</v>
      </c>
      <c r="CL191" t="s">
        <v>111</v>
      </c>
      <c r="CM191" t="s">
        <v>135</v>
      </c>
      <c r="CN191" t="s">
        <v>113</v>
      </c>
      <c r="CO191" t="s">
        <v>111</v>
      </c>
      <c r="CP191" t="s">
        <v>111</v>
      </c>
      <c r="CQ191">
        <v>37</v>
      </c>
      <c r="CR191">
        <v>3000</v>
      </c>
      <c r="CS191">
        <v>100</v>
      </c>
      <c r="CT191" t="e">
        <f>-ALMACEN</f>
        <v>#NAME?</v>
      </c>
      <c r="CU191">
        <v>0</v>
      </c>
      <c r="CV191" t="s">
        <v>111</v>
      </c>
      <c r="CW191" t="s">
        <v>111</v>
      </c>
      <c r="CX191" t="s">
        <v>111</v>
      </c>
      <c r="CY191">
        <v>0</v>
      </c>
      <c r="CZ191" t="s">
        <v>111</v>
      </c>
      <c r="DA191" t="s">
        <v>111</v>
      </c>
      <c r="DB191" t="s">
        <v>111</v>
      </c>
      <c r="DC191" t="s">
        <v>111</v>
      </c>
    </row>
    <row r="192" spans="1:107">
      <c r="A192">
        <v>1475</v>
      </c>
      <c r="B192" t="s">
        <v>107</v>
      </c>
      <c r="C192" t="s">
        <v>793</v>
      </c>
      <c r="D192" t="s">
        <v>794</v>
      </c>
      <c r="E192" t="s">
        <v>795</v>
      </c>
      <c r="F192" t="s">
        <v>116</v>
      </c>
      <c r="G192" t="s">
        <v>469</v>
      </c>
      <c r="H192">
        <v>1.8</v>
      </c>
      <c r="I192">
        <v>54</v>
      </c>
      <c r="J192">
        <v>0</v>
      </c>
      <c r="K192">
        <v>0</v>
      </c>
      <c r="L192" t="s">
        <v>117</v>
      </c>
      <c r="M192" t="s">
        <v>118</v>
      </c>
      <c r="N192">
        <v>0</v>
      </c>
      <c r="O192">
        <v>40</v>
      </c>
      <c r="P192" t="s">
        <v>111</v>
      </c>
      <c r="Q192">
        <v>37.5</v>
      </c>
      <c r="R192">
        <v>0</v>
      </c>
      <c r="S192">
        <v>0</v>
      </c>
      <c r="T192">
        <v>0</v>
      </c>
      <c r="U192" t="e">
        <f>-ALMACEN</f>
        <v>#NAME?</v>
      </c>
      <c r="V192">
        <v>0</v>
      </c>
      <c r="W192">
        <v>25</v>
      </c>
      <c r="X192">
        <v>8</v>
      </c>
      <c r="Y192">
        <v>0</v>
      </c>
      <c r="Z192" t="s">
        <v>111</v>
      </c>
      <c r="AA192">
        <v>0</v>
      </c>
      <c r="AB192" t="s">
        <v>111</v>
      </c>
      <c r="AC192">
        <v>0</v>
      </c>
      <c r="AD192" t="s">
        <v>111</v>
      </c>
      <c r="AE192">
        <v>0</v>
      </c>
      <c r="AF192">
        <v>0</v>
      </c>
      <c r="AG192" t="s">
        <v>111</v>
      </c>
      <c r="AH192" t="s">
        <v>111</v>
      </c>
      <c r="AI192" t="s">
        <v>111</v>
      </c>
      <c r="AJ192" t="s">
        <v>111</v>
      </c>
      <c r="AK192" t="s">
        <v>111</v>
      </c>
      <c r="AL192" t="s">
        <v>111</v>
      </c>
      <c r="AM192">
        <v>0</v>
      </c>
      <c r="AN192">
        <v>0</v>
      </c>
      <c r="AO192">
        <v>0</v>
      </c>
      <c r="AP192" t="s">
        <v>111</v>
      </c>
      <c r="AQ192" t="s">
        <v>111</v>
      </c>
      <c r="AR192" t="s">
        <v>111</v>
      </c>
      <c r="AS192" t="s">
        <v>111</v>
      </c>
      <c r="AT192" t="s">
        <v>111</v>
      </c>
      <c r="AU192" t="s">
        <v>111</v>
      </c>
      <c r="AV192" t="s">
        <v>111</v>
      </c>
      <c r="AW192" t="s">
        <v>111</v>
      </c>
      <c r="AX192" t="s">
        <v>111</v>
      </c>
      <c r="AY192" t="s">
        <v>111</v>
      </c>
      <c r="AZ192" t="s">
        <v>111</v>
      </c>
      <c r="BA192" t="s">
        <v>111</v>
      </c>
      <c r="BB192" t="s">
        <v>111</v>
      </c>
      <c r="BC192" t="s">
        <v>111</v>
      </c>
      <c r="BD192" t="s">
        <v>111</v>
      </c>
      <c r="BE192" t="s">
        <v>111</v>
      </c>
      <c r="BF192" t="s">
        <v>111</v>
      </c>
      <c r="BG192" t="s">
        <v>111</v>
      </c>
      <c r="BH192" t="s">
        <v>111</v>
      </c>
      <c r="BI192" t="s">
        <v>111</v>
      </c>
      <c r="BJ192" t="s">
        <v>111</v>
      </c>
      <c r="BK192" t="s">
        <v>111</v>
      </c>
      <c r="BL192" t="s">
        <v>111</v>
      </c>
      <c r="BM192" t="s">
        <v>111</v>
      </c>
      <c r="BN192" t="s">
        <v>111</v>
      </c>
      <c r="BO192" t="s">
        <v>111</v>
      </c>
      <c r="BP192" t="s">
        <v>111</v>
      </c>
      <c r="BQ192" t="s">
        <v>111</v>
      </c>
      <c r="BR192" t="s">
        <v>111</v>
      </c>
      <c r="BS192" t="s">
        <v>111</v>
      </c>
      <c r="BT192" t="s">
        <v>111</v>
      </c>
      <c r="BU192" t="s">
        <v>111</v>
      </c>
      <c r="BV192" t="s">
        <v>111</v>
      </c>
      <c r="BW192" t="s">
        <v>111</v>
      </c>
      <c r="BX192" t="s">
        <v>111</v>
      </c>
      <c r="BY192" t="s">
        <v>111</v>
      </c>
      <c r="BZ192" t="s">
        <v>111</v>
      </c>
      <c r="CA192" t="s">
        <v>111</v>
      </c>
      <c r="CB192" t="s">
        <v>111</v>
      </c>
      <c r="CC192" t="s">
        <v>111</v>
      </c>
      <c r="CD192" t="s">
        <v>111</v>
      </c>
      <c r="CE192" t="s">
        <v>111</v>
      </c>
      <c r="CF192" t="s">
        <v>111</v>
      </c>
      <c r="CG192" t="s">
        <v>111</v>
      </c>
      <c r="CH192" t="s">
        <v>111</v>
      </c>
      <c r="CI192" t="s">
        <v>111</v>
      </c>
      <c r="CJ192" t="s">
        <v>111</v>
      </c>
      <c r="CK192" t="s">
        <v>111</v>
      </c>
      <c r="CL192" t="s">
        <v>111</v>
      </c>
      <c r="CM192" t="s">
        <v>111</v>
      </c>
      <c r="CN192" t="s">
        <v>111</v>
      </c>
      <c r="CO192" t="s">
        <v>111</v>
      </c>
      <c r="CP192" t="s">
        <v>111</v>
      </c>
      <c r="CQ192">
        <v>0</v>
      </c>
      <c r="CR192">
        <v>0</v>
      </c>
      <c r="CS192">
        <v>0</v>
      </c>
      <c r="CT192" t="s">
        <v>111</v>
      </c>
      <c r="CU192">
        <v>0</v>
      </c>
      <c r="CV192" t="s">
        <v>111</v>
      </c>
      <c r="CW192" t="s">
        <v>111</v>
      </c>
      <c r="CX192" t="s">
        <v>111</v>
      </c>
      <c r="CY192">
        <v>0</v>
      </c>
      <c r="CZ192" t="s">
        <v>111</v>
      </c>
      <c r="DA192" t="s">
        <v>111</v>
      </c>
      <c r="DB192" t="s">
        <v>111</v>
      </c>
      <c r="DC192" t="s">
        <v>111</v>
      </c>
    </row>
    <row r="193" spans="1:107">
      <c r="A193">
        <v>1474</v>
      </c>
      <c r="B193" t="s">
        <v>107</v>
      </c>
      <c r="C193" t="s">
        <v>267</v>
      </c>
      <c r="D193" t="s">
        <v>796</v>
      </c>
      <c r="E193" t="s">
        <v>797</v>
      </c>
      <c r="F193" t="s">
        <v>125</v>
      </c>
      <c r="G193" t="s">
        <v>469</v>
      </c>
      <c r="H193">
        <v>2</v>
      </c>
      <c r="I193">
        <v>60</v>
      </c>
      <c r="J193">
        <v>0</v>
      </c>
      <c r="K193">
        <v>0</v>
      </c>
      <c r="L193" t="s">
        <v>112</v>
      </c>
      <c r="M193" t="s">
        <v>111</v>
      </c>
      <c r="N193">
        <v>0</v>
      </c>
      <c r="O193">
        <v>0</v>
      </c>
      <c r="P193" t="s">
        <v>111</v>
      </c>
      <c r="Q193">
        <v>50.6</v>
      </c>
      <c r="R193">
        <v>0</v>
      </c>
      <c r="S193">
        <v>0</v>
      </c>
      <c r="T193">
        <v>5</v>
      </c>
      <c r="U193" t="e">
        <f>-DESTINO SELLADO</f>
        <v>#NAME?</v>
      </c>
      <c r="V193">
        <v>12.5</v>
      </c>
      <c r="W193">
        <v>12.5</v>
      </c>
      <c r="X193">
        <v>0</v>
      </c>
      <c r="Y193">
        <v>0</v>
      </c>
      <c r="Z193" t="s">
        <v>111</v>
      </c>
      <c r="AA193">
        <v>0</v>
      </c>
      <c r="AB193" t="s">
        <v>744</v>
      </c>
      <c r="AC193">
        <v>250</v>
      </c>
      <c r="AD193" t="s">
        <v>111</v>
      </c>
      <c r="AE193">
        <v>0</v>
      </c>
      <c r="AF193">
        <v>0</v>
      </c>
      <c r="AG193" t="s">
        <v>111</v>
      </c>
      <c r="AH193" t="s">
        <v>111</v>
      </c>
      <c r="AI193" t="s">
        <v>111</v>
      </c>
      <c r="AJ193" t="s">
        <v>111</v>
      </c>
      <c r="AK193" t="s">
        <v>111</v>
      </c>
      <c r="AL193" t="s">
        <v>111</v>
      </c>
      <c r="AM193">
        <v>0</v>
      </c>
      <c r="AN193">
        <v>0</v>
      </c>
      <c r="AO193">
        <v>0</v>
      </c>
      <c r="AP193" t="s">
        <v>111</v>
      </c>
      <c r="AQ193" t="s">
        <v>111</v>
      </c>
      <c r="AR193" t="s">
        <v>111</v>
      </c>
      <c r="AS193" t="s">
        <v>111</v>
      </c>
      <c r="AT193" t="s">
        <v>111</v>
      </c>
      <c r="AU193" t="s">
        <v>111</v>
      </c>
      <c r="AV193" t="s">
        <v>111</v>
      </c>
      <c r="AW193" t="s">
        <v>111</v>
      </c>
      <c r="AX193" t="s">
        <v>111</v>
      </c>
      <c r="AY193" t="s">
        <v>111</v>
      </c>
      <c r="AZ193" t="s">
        <v>111</v>
      </c>
      <c r="BA193" t="s">
        <v>111</v>
      </c>
      <c r="BB193" t="s">
        <v>111</v>
      </c>
      <c r="BC193" t="s">
        <v>111</v>
      </c>
      <c r="BD193" t="s">
        <v>111</v>
      </c>
      <c r="BE193" t="s">
        <v>111</v>
      </c>
      <c r="BF193" t="s">
        <v>111</v>
      </c>
      <c r="BG193" t="s">
        <v>111</v>
      </c>
      <c r="BH193" t="s">
        <v>111</v>
      </c>
      <c r="BI193" t="s">
        <v>111</v>
      </c>
      <c r="BJ193" t="s">
        <v>111</v>
      </c>
      <c r="BK193" t="s">
        <v>111</v>
      </c>
      <c r="BL193" t="s">
        <v>111</v>
      </c>
      <c r="BM193" t="s">
        <v>111</v>
      </c>
      <c r="BN193" t="s">
        <v>111</v>
      </c>
      <c r="BO193" t="s">
        <v>111</v>
      </c>
      <c r="BP193" t="s">
        <v>111</v>
      </c>
      <c r="BQ193" t="s">
        <v>111</v>
      </c>
      <c r="BR193" t="s">
        <v>111</v>
      </c>
      <c r="BS193" t="s">
        <v>111</v>
      </c>
      <c r="BT193" t="s">
        <v>111</v>
      </c>
      <c r="BU193" t="s">
        <v>111</v>
      </c>
      <c r="BV193" t="s">
        <v>111</v>
      </c>
      <c r="BW193" t="s">
        <v>111</v>
      </c>
      <c r="BX193" t="s">
        <v>111</v>
      </c>
      <c r="BY193" t="s">
        <v>111</v>
      </c>
      <c r="BZ193" t="s">
        <v>111</v>
      </c>
      <c r="CA193" t="s">
        <v>111</v>
      </c>
      <c r="CB193" t="s">
        <v>111</v>
      </c>
      <c r="CC193" t="s">
        <v>111</v>
      </c>
      <c r="CD193" t="s">
        <v>111</v>
      </c>
      <c r="CE193" t="s">
        <v>111</v>
      </c>
      <c r="CF193" t="s">
        <v>111</v>
      </c>
      <c r="CG193" t="s">
        <v>111</v>
      </c>
      <c r="CH193" t="s">
        <v>111</v>
      </c>
      <c r="CI193" t="s">
        <v>111</v>
      </c>
      <c r="CJ193" t="s">
        <v>111</v>
      </c>
      <c r="CK193" t="s">
        <v>111</v>
      </c>
      <c r="CL193" t="s">
        <v>111</v>
      </c>
      <c r="CM193" t="s">
        <v>135</v>
      </c>
      <c r="CN193" t="s">
        <v>128</v>
      </c>
      <c r="CO193" t="s">
        <v>111</v>
      </c>
      <c r="CP193" t="s">
        <v>111</v>
      </c>
      <c r="CQ193">
        <v>30</v>
      </c>
      <c r="CR193">
        <v>500</v>
      </c>
      <c r="CS193">
        <v>50</v>
      </c>
      <c r="CT193" t="e">
        <f>-ALMACEN</f>
        <v>#NAME?</v>
      </c>
      <c r="CU193">
        <v>0</v>
      </c>
      <c r="CV193" t="s">
        <v>111</v>
      </c>
      <c r="CW193" t="s">
        <v>111</v>
      </c>
      <c r="CX193" t="s">
        <v>111</v>
      </c>
      <c r="CY193">
        <v>0</v>
      </c>
      <c r="CZ193" t="s">
        <v>111</v>
      </c>
      <c r="DA193" t="s">
        <v>111</v>
      </c>
      <c r="DB193" t="s">
        <v>111</v>
      </c>
      <c r="DC193" t="s">
        <v>111</v>
      </c>
    </row>
    <row r="194" spans="1:107">
      <c r="A194">
        <v>1471</v>
      </c>
      <c r="B194" t="s">
        <v>107</v>
      </c>
      <c r="C194" t="s">
        <v>405</v>
      </c>
      <c r="D194" t="s">
        <v>798</v>
      </c>
      <c r="E194" t="s">
        <v>799</v>
      </c>
      <c r="F194" t="s">
        <v>157</v>
      </c>
      <c r="G194" t="s">
        <v>469</v>
      </c>
      <c r="H194">
        <v>1.4</v>
      </c>
      <c r="I194">
        <v>37</v>
      </c>
      <c r="J194">
        <v>8</v>
      </c>
      <c r="K194">
        <v>8</v>
      </c>
      <c r="L194" t="s">
        <v>112</v>
      </c>
      <c r="M194" t="s">
        <v>111</v>
      </c>
      <c r="N194">
        <v>0</v>
      </c>
      <c r="O194">
        <v>0</v>
      </c>
      <c r="P194" t="s">
        <v>111</v>
      </c>
      <c r="Q194">
        <v>46</v>
      </c>
      <c r="R194">
        <v>0</v>
      </c>
      <c r="S194">
        <v>0</v>
      </c>
      <c r="T194">
        <v>0</v>
      </c>
      <c r="U194" s="1" t="s">
        <v>800</v>
      </c>
      <c r="V194">
        <v>0</v>
      </c>
      <c r="W194">
        <v>25</v>
      </c>
      <c r="X194">
        <v>8</v>
      </c>
      <c r="Y194">
        <v>0</v>
      </c>
      <c r="Z194" t="s">
        <v>111</v>
      </c>
      <c r="AA194">
        <v>0</v>
      </c>
      <c r="AB194" t="s">
        <v>111</v>
      </c>
      <c r="AC194">
        <v>0</v>
      </c>
      <c r="AD194" t="s">
        <v>111</v>
      </c>
      <c r="AE194">
        <v>0</v>
      </c>
      <c r="AF194">
        <v>0</v>
      </c>
      <c r="AG194" t="s">
        <v>111</v>
      </c>
      <c r="AH194" t="s">
        <v>111</v>
      </c>
      <c r="AI194" t="s">
        <v>111</v>
      </c>
      <c r="AJ194" t="s">
        <v>111</v>
      </c>
      <c r="AK194" t="s">
        <v>111</v>
      </c>
      <c r="AL194" t="s">
        <v>111</v>
      </c>
      <c r="AM194">
        <v>0</v>
      </c>
      <c r="AN194">
        <v>0</v>
      </c>
      <c r="AO194">
        <v>0</v>
      </c>
      <c r="AP194" t="s">
        <v>111</v>
      </c>
      <c r="AQ194" t="s">
        <v>111</v>
      </c>
      <c r="AR194" t="s">
        <v>111</v>
      </c>
      <c r="AS194" t="s">
        <v>111</v>
      </c>
      <c r="AT194" t="s">
        <v>111</v>
      </c>
      <c r="AU194" t="s">
        <v>111</v>
      </c>
      <c r="AV194" t="s">
        <v>111</v>
      </c>
      <c r="AW194" t="s">
        <v>111</v>
      </c>
      <c r="AX194" t="s">
        <v>111</v>
      </c>
      <c r="AY194" t="s">
        <v>111</v>
      </c>
      <c r="AZ194" t="s">
        <v>111</v>
      </c>
      <c r="BA194" t="s">
        <v>111</v>
      </c>
      <c r="BB194" t="s">
        <v>111</v>
      </c>
      <c r="BC194" t="s">
        <v>111</v>
      </c>
      <c r="BD194" t="s">
        <v>111</v>
      </c>
      <c r="BE194" t="s">
        <v>111</v>
      </c>
      <c r="BF194" t="s">
        <v>111</v>
      </c>
      <c r="BG194" t="s">
        <v>111</v>
      </c>
      <c r="BH194" t="s">
        <v>111</v>
      </c>
      <c r="BI194" t="s">
        <v>111</v>
      </c>
      <c r="BJ194" t="s">
        <v>111</v>
      </c>
      <c r="BK194" t="s">
        <v>111</v>
      </c>
      <c r="BL194" t="s">
        <v>111</v>
      </c>
      <c r="BM194" t="s">
        <v>111</v>
      </c>
      <c r="BN194" t="s">
        <v>111</v>
      </c>
      <c r="BO194" t="s">
        <v>111</v>
      </c>
      <c r="BP194" t="s">
        <v>111</v>
      </c>
      <c r="BQ194" t="s">
        <v>111</v>
      </c>
      <c r="BR194" t="s">
        <v>111</v>
      </c>
      <c r="BS194" t="s">
        <v>111</v>
      </c>
      <c r="BT194" t="s">
        <v>111</v>
      </c>
      <c r="BU194" t="s">
        <v>111</v>
      </c>
      <c r="BV194" t="s">
        <v>111</v>
      </c>
      <c r="BW194" t="s">
        <v>111</v>
      </c>
      <c r="BX194" t="s">
        <v>111</v>
      </c>
      <c r="BY194" t="s">
        <v>111</v>
      </c>
      <c r="BZ194" t="s">
        <v>111</v>
      </c>
      <c r="CA194" t="s">
        <v>111</v>
      </c>
      <c r="CB194" t="s">
        <v>111</v>
      </c>
      <c r="CC194" t="s">
        <v>111</v>
      </c>
      <c r="CD194" t="s">
        <v>111</v>
      </c>
      <c r="CE194" t="s">
        <v>111</v>
      </c>
      <c r="CF194" t="s">
        <v>111</v>
      </c>
      <c r="CG194" t="s">
        <v>111</v>
      </c>
      <c r="CH194" t="s">
        <v>111</v>
      </c>
      <c r="CI194" t="s">
        <v>111</v>
      </c>
      <c r="CJ194" t="s">
        <v>111</v>
      </c>
      <c r="CK194" t="s">
        <v>111</v>
      </c>
      <c r="CL194" t="s">
        <v>111</v>
      </c>
      <c r="CM194" t="s">
        <v>111</v>
      </c>
      <c r="CN194" t="s">
        <v>111</v>
      </c>
      <c r="CO194" t="s">
        <v>111</v>
      </c>
      <c r="CP194" t="s">
        <v>111</v>
      </c>
      <c r="CQ194">
        <v>0</v>
      </c>
      <c r="CR194">
        <v>0</v>
      </c>
      <c r="CS194">
        <v>0</v>
      </c>
      <c r="CT194" t="s">
        <v>111</v>
      </c>
      <c r="CU194">
        <v>0</v>
      </c>
      <c r="CV194" t="s">
        <v>111</v>
      </c>
      <c r="CW194" t="s">
        <v>111</v>
      </c>
      <c r="CX194" t="s">
        <v>111</v>
      </c>
      <c r="CY194">
        <v>0</v>
      </c>
      <c r="CZ194" t="s">
        <v>111</v>
      </c>
      <c r="DA194" t="s">
        <v>111</v>
      </c>
      <c r="DB194" t="s">
        <v>111</v>
      </c>
      <c r="DC194" t="s">
        <v>111</v>
      </c>
    </row>
    <row r="195" spans="1:107">
      <c r="A195">
        <v>222</v>
      </c>
      <c r="B195" t="s">
        <v>107</v>
      </c>
      <c r="C195" t="s">
        <v>801</v>
      </c>
      <c r="D195" t="s">
        <v>802</v>
      </c>
      <c r="E195" t="s">
        <v>803</v>
      </c>
      <c r="F195" t="s">
        <v>722</v>
      </c>
      <c r="G195" t="s">
        <v>469</v>
      </c>
      <c r="H195">
        <v>0.8</v>
      </c>
      <c r="I195">
        <v>46</v>
      </c>
      <c r="J195">
        <v>0</v>
      </c>
      <c r="K195">
        <v>0</v>
      </c>
      <c r="L195" t="s">
        <v>112</v>
      </c>
      <c r="M195" t="s">
        <v>138</v>
      </c>
      <c r="N195">
        <v>0</v>
      </c>
      <c r="O195">
        <v>0</v>
      </c>
      <c r="P195" t="s">
        <v>138</v>
      </c>
      <c r="Q195">
        <v>27.5</v>
      </c>
      <c r="R195">
        <v>0</v>
      </c>
      <c r="S195">
        <v>0</v>
      </c>
      <c r="T195">
        <v>27.5</v>
      </c>
      <c r="U195" t="s">
        <v>419</v>
      </c>
      <c r="V195">
        <v>0</v>
      </c>
      <c r="W195">
        <v>25</v>
      </c>
      <c r="X195">
        <v>6</v>
      </c>
      <c r="Y195">
        <v>0</v>
      </c>
      <c r="Z195" t="s">
        <v>111</v>
      </c>
      <c r="AA195">
        <v>0</v>
      </c>
      <c r="AB195" t="s">
        <v>111</v>
      </c>
      <c r="AC195">
        <v>0</v>
      </c>
      <c r="AD195" t="s">
        <v>111</v>
      </c>
      <c r="AE195">
        <v>0</v>
      </c>
      <c r="AF195">
        <v>0</v>
      </c>
      <c r="AG195" t="s">
        <v>111</v>
      </c>
      <c r="AH195" t="s">
        <v>111</v>
      </c>
      <c r="AI195" t="s">
        <v>111</v>
      </c>
      <c r="AJ195" t="s">
        <v>111</v>
      </c>
      <c r="AK195" t="s">
        <v>111</v>
      </c>
      <c r="AL195" t="s">
        <v>111</v>
      </c>
      <c r="AM195">
        <v>0</v>
      </c>
      <c r="AN195">
        <v>0</v>
      </c>
      <c r="AO195">
        <v>0</v>
      </c>
      <c r="AP195" t="s">
        <v>111</v>
      </c>
      <c r="AQ195" t="s">
        <v>111</v>
      </c>
      <c r="AR195" t="s">
        <v>111</v>
      </c>
      <c r="AS195" t="s">
        <v>111</v>
      </c>
      <c r="AT195" t="s">
        <v>111</v>
      </c>
      <c r="AU195" t="s">
        <v>111</v>
      </c>
      <c r="AV195" t="s">
        <v>111</v>
      </c>
      <c r="AW195" t="s">
        <v>111</v>
      </c>
      <c r="AX195" t="s">
        <v>111</v>
      </c>
      <c r="AY195" t="s">
        <v>111</v>
      </c>
      <c r="AZ195" t="s">
        <v>111</v>
      </c>
      <c r="BA195" t="s">
        <v>111</v>
      </c>
      <c r="BB195" t="s">
        <v>111</v>
      </c>
      <c r="BC195" t="s">
        <v>111</v>
      </c>
      <c r="BD195" t="s">
        <v>111</v>
      </c>
      <c r="BE195" t="s">
        <v>111</v>
      </c>
      <c r="BF195" t="s">
        <v>111</v>
      </c>
      <c r="BG195" t="s">
        <v>111</v>
      </c>
      <c r="BH195" t="s">
        <v>111</v>
      </c>
      <c r="BI195" t="s">
        <v>111</v>
      </c>
      <c r="BJ195" t="s">
        <v>111</v>
      </c>
      <c r="BK195" t="s">
        <v>111</v>
      </c>
      <c r="BL195" t="s">
        <v>111</v>
      </c>
      <c r="BM195" t="s">
        <v>111</v>
      </c>
      <c r="BN195" t="s">
        <v>111</v>
      </c>
      <c r="BO195" t="s">
        <v>111</v>
      </c>
      <c r="BP195" t="s">
        <v>111</v>
      </c>
      <c r="BQ195" t="s">
        <v>111</v>
      </c>
      <c r="BR195" t="s">
        <v>111</v>
      </c>
      <c r="BS195" t="s">
        <v>111</v>
      </c>
      <c r="BT195" t="s">
        <v>111</v>
      </c>
      <c r="BU195" t="s">
        <v>111</v>
      </c>
      <c r="BV195" t="s">
        <v>111</v>
      </c>
      <c r="BW195" t="s">
        <v>111</v>
      </c>
      <c r="BX195" t="s">
        <v>111</v>
      </c>
      <c r="BY195" t="s">
        <v>111</v>
      </c>
      <c r="BZ195" t="s">
        <v>111</v>
      </c>
      <c r="CA195" t="s">
        <v>111</v>
      </c>
      <c r="CB195" t="s">
        <v>111</v>
      </c>
      <c r="CC195" t="s">
        <v>111</v>
      </c>
      <c r="CD195" t="s">
        <v>111</v>
      </c>
      <c r="CE195" t="s">
        <v>111</v>
      </c>
      <c r="CF195" t="s">
        <v>111</v>
      </c>
      <c r="CG195" t="s">
        <v>111</v>
      </c>
      <c r="CH195" t="s">
        <v>111</v>
      </c>
      <c r="CI195" t="s">
        <v>111</v>
      </c>
      <c r="CJ195" t="s">
        <v>111</v>
      </c>
      <c r="CK195" t="s">
        <v>111</v>
      </c>
      <c r="CL195" t="s">
        <v>111</v>
      </c>
      <c r="CM195" t="s">
        <v>111</v>
      </c>
      <c r="CN195" t="s">
        <v>111</v>
      </c>
      <c r="CO195" t="s">
        <v>111</v>
      </c>
      <c r="CP195" t="s">
        <v>111</v>
      </c>
      <c r="CQ195">
        <v>0</v>
      </c>
      <c r="CR195">
        <v>1500</v>
      </c>
      <c r="CS195">
        <v>100</v>
      </c>
      <c r="CT195" t="s">
        <v>111</v>
      </c>
      <c r="CU195">
        <v>0</v>
      </c>
      <c r="CV195" t="s">
        <v>111</v>
      </c>
      <c r="CW195" t="s">
        <v>111</v>
      </c>
      <c r="CX195" t="s">
        <v>111</v>
      </c>
      <c r="CY195">
        <v>0</v>
      </c>
      <c r="CZ195" t="s">
        <v>111</v>
      </c>
      <c r="DA195" t="s">
        <v>111</v>
      </c>
      <c r="DB195" t="s">
        <v>204</v>
      </c>
      <c r="DC195" s="1" t="s">
        <v>804</v>
      </c>
    </row>
    <row r="196" spans="1:107">
      <c r="A196">
        <v>223</v>
      </c>
      <c r="B196" t="s">
        <v>107</v>
      </c>
      <c r="C196" t="s">
        <v>801</v>
      </c>
      <c r="D196" t="s">
        <v>805</v>
      </c>
      <c r="E196" t="s">
        <v>806</v>
      </c>
      <c r="F196" t="s">
        <v>722</v>
      </c>
      <c r="G196" t="s">
        <v>469</v>
      </c>
      <c r="H196">
        <v>0.8</v>
      </c>
      <c r="I196">
        <v>46</v>
      </c>
      <c r="J196">
        <v>0</v>
      </c>
      <c r="K196">
        <v>0</v>
      </c>
      <c r="L196" t="s">
        <v>112</v>
      </c>
      <c r="M196" t="s">
        <v>138</v>
      </c>
      <c r="N196">
        <v>0</v>
      </c>
      <c r="O196">
        <v>0</v>
      </c>
      <c r="P196" t="s">
        <v>138</v>
      </c>
      <c r="Q196">
        <v>30.3</v>
      </c>
      <c r="R196">
        <v>0</v>
      </c>
      <c r="S196">
        <v>0</v>
      </c>
      <c r="T196">
        <v>0</v>
      </c>
      <c r="U196" t="s">
        <v>153</v>
      </c>
      <c r="V196">
        <v>0</v>
      </c>
      <c r="W196">
        <v>25</v>
      </c>
      <c r="X196">
        <v>5</v>
      </c>
      <c r="Y196">
        <v>0</v>
      </c>
      <c r="Z196" t="s">
        <v>111</v>
      </c>
      <c r="AA196">
        <v>0</v>
      </c>
      <c r="AB196" t="s">
        <v>111</v>
      </c>
      <c r="AC196">
        <v>0</v>
      </c>
      <c r="AD196" t="s">
        <v>111</v>
      </c>
      <c r="AE196">
        <v>0</v>
      </c>
      <c r="AF196">
        <v>0</v>
      </c>
      <c r="AG196" t="s">
        <v>111</v>
      </c>
      <c r="AH196" t="s">
        <v>111</v>
      </c>
      <c r="AI196" t="s">
        <v>111</v>
      </c>
      <c r="AJ196" t="s">
        <v>111</v>
      </c>
      <c r="AK196" t="s">
        <v>111</v>
      </c>
      <c r="AL196" t="s">
        <v>111</v>
      </c>
      <c r="AM196">
        <v>0</v>
      </c>
      <c r="AN196">
        <v>0</v>
      </c>
      <c r="AO196">
        <v>0</v>
      </c>
      <c r="AP196" t="s">
        <v>111</v>
      </c>
      <c r="AQ196" t="s">
        <v>111</v>
      </c>
      <c r="AR196" t="s">
        <v>111</v>
      </c>
      <c r="AS196" t="s">
        <v>111</v>
      </c>
      <c r="AT196" t="s">
        <v>111</v>
      </c>
      <c r="AU196" t="s">
        <v>111</v>
      </c>
      <c r="AV196" t="s">
        <v>111</v>
      </c>
      <c r="AW196" t="s">
        <v>111</v>
      </c>
      <c r="AX196" t="s">
        <v>111</v>
      </c>
      <c r="AY196" t="s">
        <v>111</v>
      </c>
      <c r="AZ196" t="s">
        <v>111</v>
      </c>
      <c r="BA196" t="s">
        <v>111</v>
      </c>
      <c r="BB196" t="s">
        <v>111</v>
      </c>
      <c r="BC196" t="s">
        <v>111</v>
      </c>
      <c r="BD196" t="s">
        <v>111</v>
      </c>
      <c r="BE196" t="s">
        <v>111</v>
      </c>
      <c r="BF196" t="s">
        <v>111</v>
      </c>
      <c r="BG196" t="s">
        <v>111</v>
      </c>
      <c r="BH196" t="s">
        <v>111</v>
      </c>
      <c r="BI196" t="s">
        <v>111</v>
      </c>
      <c r="BJ196" t="s">
        <v>111</v>
      </c>
      <c r="BK196" t="s">
        <v>111</v>
      </c>
      <c r="BL196" t="s">
        <v>111</v>
      </c>
      <c r="BM196" t="s">
        <v>111</v>
      </c>
      <c r="BN196" t="s">
        <v>111</v>
      </c>
      <c r="BO196" t="s">
        <v>111</v>
      </c>
      <c r="BP196" t="s">
        <v>111</v>
      </c>
      <c r="BQ196" t="s">
        <v>111</v>
      </c>
      <c r="BR196" t="s">
        <v>111</v>
      </c>
      <c r="BS196" t="s">
        <v>111</v>
      </c>
      <c r="BT196" t="s">
        <v>111</v>
      </c>
      <c r="BU196" t="s">
        <v>111</v>
      </c>
      <c r="BV196" t="s">
        <v>111</v>
      </c>
      <c r="BW196" t="s">
        <v>111</v>
      </c>
      <c r="BX196" t="s">
        <v>111</v>
      </c>
      <c r="BY196" t="s">
        <v>111</v>
      </c>
      <c r="BZ196" t="s">
        <v>111</v>
      </c>
      <c r="CA196" t="s">
        <v>111</v>
      </c>
      <c r="CB196" t="s">
        <v>111</v>
      </c>
      <c r="CC196" t="s">
        <v>111</v>
      </c>
      <c r="CD196" t="s">
        <v>111</v>
      </c>
      <c r="CE196" t="s">
        <v>111</v>
      </c>
      <c r="CF196" t="s">
        <v>111</v>
      </c>
      <c r="CG196" t="s">
        <v>111</v>
      </c>
      <c r="CH196" t="s">
        <v>111</v>
      </c>
      <c r="CI196" t="s">
        <v>111</v>
      </c>
      <c r="CJ196" t="s">
        <v>111</v>
      </c>
      <c r="CK196" t="s">
        <v>111</v>
      </c>
      <c r="CL196" t="s">
        <v>111</v>
      </c>
      <c r="CM196" t="s">
        <v>127</v>
      </c>
      <c r="CN196" t="s">
        <v>128</v>
      </c>
      <c r="CO196" t="s">
        <v>111</v>
      </c>
      <c r="CP196" t="s">
        <v>111</v>
      </c>
      <c r="CQ196">
        <v>0</v>
      </c>
      <c r="CR196">
        <v>1500</v>
      </c>
      <c r="CS196">
        <v>100</v>
      </c>
      <c r="CT196" t="e">
        <f>-DESTNO MANUALES</f>
        <v>#NAME?</v>
      </c>
      <c r="CU196">
        <v>0</v>
      </c>
      <c r="CV196" t="s">
        <v>111</v>
      </c>
      <c r="CW196" t="s">
        <v>111</v>
      </c>
      <c r="CX196" t="s">
        <v>111</v>
      </c>
      <c r="CY196">
        <v>0</v>
      </c>
      <c r="CZ196" t="s">
        <v>111</v>
      </c>
      <c r="DA196" t="s">
        <v>111</v>
      </c>
      <c r="DB196" t="s">
        <v>204</v>
      </c>
      <c r="DC196" s="1" t="s">
        <v>804</v>
      </c>
    </row>
    <row r="197" spans="1:107">
      <c r="A197">
        <v>1449</v>
      </c>
      <c r="B197" t="s">
        <v>107</v>
      </c>
      <c r="C197" t="s">
        <v>405</v>
      </c>
      <c r="D197" t="s">
        <v>807</v>
      </c>
      <c r="E197" t="s">
        <v>808</v>
      </c>
      <c r="F197" t="s">
        <v>382</v>
      </c>
      <c r="G197" t="s">
        <v>469</v>
      </c>
      <c r="H197">
        <v>5</v>
      </c>
      <c r="I197">
        <v>50</v>
      </c>
      <c r="J197">
        <v>0</v>
      </c>
      <c r="K197">
        <v>0</v>
      </c>
      <c r="L197" t="s">
        <v>809</v>
      </c>
      <c r="M197" t="s">
        <v>118</v>
      </c>
      <c r="N197">
        <v>40</v>
      </c>
      <c r="O197">
        <v>2</v>
      </c>
      <c r="P197" t="s">
        <v>111</v>
      </c>
      <c r="Q197">
        <v>49</v>
      </c>
      <c r="R197">
        <v>0</v>
      </c>
      <c r="S197">
        <v>0</v>
      </c>
      <c r="T197">
        <v>0</v>
      </c>
      <c r="U197" s="1" t="s">
        <v>810</v>
      </c>
      <c r="V197">
        <v>0</v>
      </c>
      <c r="W197">
        <v>25</v>
      </c>
      <c r="X197">
        <v>5</v>
      </c>
      <c r="Y197">
        <v>0</v>
      </c>
      <c r="Z197" t="s">
        <v>288</v>
      </c>
      <c r="AA197">
        <v>1</v>
      </c>
      <c r="AB197" t="s">
        <v>111</v>
      </c>
      <c r="AC197">
        <v>0</v>
      </c>
      <c r="AD197" t="s">
        <v>111</v>
      </c>
      <c r="AE197">
        <v>0</v>
      </c>
      <c r="AF197">
        <v>0</v>
      </c>
      <c r="AG197" t="s">
        <v>111</v>
      </c>
      <c r="AH197" t="s">
        <v>111</v>
      </c>
      <c r="AI197" t="s">
        <v>111</v>
      </c>
      <c r="AJ197" t="s">
        <v>111</v>
      </c>
      <c r="AK197" t="s">
        <v>111</v>
      </c>
      <c r="AL197" t="s">
        <v>111</v>
      </c>
      <c r="AM197">
        <v>0</v>
      </c>
      <c r="AN197">
        <v>0</v>
      </c>
      <c r="AO197">
        <v>0</v>
      </c>
      <c r="AP197" t="s">
        <v>111</v>
      </c>
      <c r="AQ197" t="s">
        <v>111</v>
      </c>
      <c r="AR197" t="s">
        <v>111</v>
      </c>
      <c r="AS197" t="s">
        <v>111</v>
      </c>
      <c r="AT197" t="s">
        <v>111</v>
      </c>
      <c r="AU197" t="s">
        <v>111</v>
      </c>
      <c r="AV197" t="s">
        <v>111</v>
      </c>
      <c r="AW197" t="s">
        <v>111</v>
      </c>
      <c r="AX197" t="s">
        <v>111</v>
      </c>
      <c r="AY197" t="s">
        <v>111</v>
      </c>
      <c r="AZ197" t="s">
        <v>111</v>
      </c>
      <c r="BA197" t="s">
        <v>111</v>
      </c>
      <c r="BB197" t="s">
        <v>111</v>
      </c>
      <c r="BC197" t="s">
        <v>111</v>
      </c>
      <c r="BD197" t="s">
        <v>111</v>
      </c>
      <c r="BE197" t="s">
        <v>111</v>
      </c>
      <c r="BF197" t="s">
        <v>111</v>
      </c>
      <c r="BG197" t="s">
        <v>111</v>
      </c>
      <c r="BH197" t="s">
        <v>111</v>
      </c>
      <c r="BI197" t="s">
        <v>111</v>
      </c>
      <c r="BJ197" t="s">
        <v>111</v>
      </c>
      <c r="BK197" t="s">
        <v>111</v>
      </c>
      <c r="BL197" t="s">
        <v>111</v>
      </c>
      <c r="BM197" t="s">
        <v>111</v>
      </c>
      <c r="BN197" t="s">
        <v>111</v>
      </c>
      <c r="BO197" t="s">
        <v>111</v>
      </c>
      <c r="BP197" t="s">
        <v>111</v>
      </c>
      <c r="BQ197" t="s">
        <v>111</v>
      </c>
      <c r="BR197" t="s">
        <v>111</v>
      </c>
      <c r="BS197" t="s">
        <v>111</v>
      </c>
      <c r="BT197" t="s">
        <v>111</v>
      </c>
      <c r="BU197" t="s">
        <v>111</v>
      </c>
      <c r="BV197" t="s">
        <v>111</v>
      </c>
      <c r="BW197" t="s">
        <v>111</v>
      </c>
      <c r="BX197" t="s">
        <v>111</v>
      </c>
      <c r="BY197" t="s">
        <v>111</v>
      </c>
      <c r="BZ197" t="s">
        <v>111</v>
      </c>
      <c r="CA197" t="s">
        <v>111</v>
      </c>
      <c r="CB197" t="s">
        <v>111</v>
      </c>
      <c r="CC197" t="s">
        <v>111</v>
      </c>
      <c r="CD197" t="s">
        <v>111</v>
      </c>
      <c r="CE197" t="s">
        <v>111</v>
      </c>
      <c r="CF197" t="s">
        <v>111</v>
      </c>
      <c r="CG197" t="s">
        <v>111</v>
      </c>
      <c r="CH197" t="s">
        <v>111</v>
      </c>
      <c r="CI197" t="s">
        <v>111</v>
      </c>
      <c r="CJ197" t="s">
        <v>111</v>
      </c>
      <c r="CK197" t="s">
        <v>111</v>
      </c>
      <c r="CL197" t="s">
        <v>111</v>
      </c>
      <c r="CM197" t="s">
        <v>111</v>
      </c>
      <c r="CN197" t="s">
        <v>111</v>
      </c>
      <c r="CO197" t="s">
        <v>111</v>
      </c>
      <c r="CP197" t="s">
        <v>111</v>
      </c>
      <c r="CQ197">
        <v>0</v>
      </c>
      <c r="CR197">
        <v>0</v>
      </c>
      <c r="CS197">
        <v>0</v>
      </c>
      <c r="CT197" t="s">
        <v>111</v>
      </c>
      <c r="CU197">
        <v>0</v>
      </c>
      <c r="CV197" t="s">
        <v>111</v>
      </c>
      <c r="CW197" t="s">
        <v>111</v>
      </c>
      <c r="CX197" t="s">
        <v>111</v>
      </c>
      <c r="CY197">
        <v>0</v>
      </c>
      <c r="CZ197" t="s">
        <v>111</v>
      </c>
      <c r="DA197" t="s">
        <v>111</v>
      </c>
      <c r="DB197" t="s">
        <v>111</v>
      </c>
      <c r="DC197" t="s">
        <v>111</v>
      </c>
    </row>
    <row r="198" spans="1:107">
      <c r="A198">
        <v>1372</v>
      </c>
      <c r="B198" t="s">
        <v>107</v>
      </c>
      <c r="C198" t="s">
        <v>801</v>
      </c>
      <c r="D198" t="s">
        <v>811</v>
      </c>
      <c r="E198" t="s">
        <v>812</v>
      </c>
      <c r="F198" t="s">
        <v>125</v>
      </c>
      <c r="G198" t="s">
        <v>469</v>
      </c>
      <c r="H198">
        <v>0.45</v>
      </c>
      <c r="I198">
        <v>45</v>
      </c>
      <c r="J198">
        <v>0</v>
      </c>
      <c r="K198">
        <v>0</v>
      </c>
      <c r="L198" t="s">
        <v>112</v>
      </c>
      <c r="M198" t="s">
        <v>111</v>
      </c>
      <c r="N198">
        <v>0</v>
      </c>
      <c r="O198">
        <v>0</v>
      </c>
      <c r="P198" t="s">
        <v>138</v>
      </c>
      <c r="Q198">
        <v>30</v>
      </c>
      <c r="R198">
        <v>0</v>
      </c>
      <c r="S198">
        <v>0</v>
      </c>
      <c r="T198">
        <v>5</v>
      </c>
      <c r="U198" s="1" t="s">
        <v>813</v>
      </c>
      <c r="V198">
        <v>25</v>
      </c>
      <c r="W198">
        <v>0</v>
      </c>
      <c r="X198">
        <v>5</v>
      </c>
      <c r="Y198">
        <v>0</v>
      </c>
      <c r="Z198" t="s">
        <v>111</v>
      </c>
      <c r="AA198">
        <v>0</v>
      </c>
      <c r="AB198" t="s">
        <v>111</v>
      </c>
      <c r="AC198">
        <v>0</v>
      </c>
      <c r="AD198" t="s">
        <v>111</v>
      </c>
      <c r="AE198">
        <v>0</v>
      </c>
      <c r="AF198">
        <v>0</v>
      </c>
      <c r="AG198" t="s">
        <v>111</v>
      </c>
      <c r="AH198" t="s">
        <v>111</v>
      </c>
      <c r="AI198" t="s">
        <v>111</v>
      </c>
      <c r="AJ198" t="s">
        <v>111</v>
      </c>
      <c r="AK198" t="s">
        <v>111</v>
      </c>
      <c r="AL198" t="s">
        <v>111</v>
      </c>
      <c r="AM198">
        <v>0</v>
      </c>
      <c r="AN198">
        <v>0</v>
      </c>
      <c r="AO198">
        <v>0</v>
      </c>
      <c r="AP198" t="s">
        <v>111</v>
      </c>
      <c r="AQ198" t="s">
        <v>111</v>
      </c>
      <c r="AR198" t="s">
        <v>111</v>
      </c>
      <c r="AS198" t="s">
        <v>111</v>
      </c>
      <c r="AT198" t="s">
        <v>111</v>
      </c>
      <c r="AU198" t="s">
        <v>111</v>
      </c>
      <c r="AV198" t="s">
        <v>111</v>
      </c>
      <c r="AW198" t="s">
        <v>111</v>
      </c>
      <c r="AX198" t="s">
        <v>111</v>
      </c>
      <c r="AY198" t="s">
        <v>111</v>
      </c>
      <c r="AZ198" t="s">
        <v>111</v>
      </c>
      <c r="BA198" t="s">
        <v>111</v>
      </c>
      <c r="BB198" t="s">
        <v>111</v>
      </c>
      <c r="BC198" t="s">
        <v>111</v>
      </c>
      <c r="BD198" t="s">
        <v>111</v>
      </c>
      <c r="BE198" t="s">
        <v>111</v>
      </c>
      <c r="BF198" t="s">
        <v>111</v>
      </c>
      <c r="BG198" t="s">
        <v>111</v>
      </c>
      <c r="BH198" t="s">
        <v>111</v>
      </c>
      <c r="BI198" t="s">
        <v>111</v>
      </c>
      <c r="BJ198" t="s">
        <v>111</v>
      </c>
      <c r="BK198" t="s">
        <v>111</v>
      </c>
      <c r="BL198" t="s">
        <v>111</v>
      </c>
      <c r="BM198" t="s">
        <v>111</v>
      </c>
      <c r="BN198" t="s">
        <v>111</v>
      </c>
      <c r="BO198" t="s">
        <v>111</v>
      </c>
      <c r="BP198" t="s">
        <v>111</v>
      </c>
      <c r="BQ198" t="s">
        <v>111</v>
      </c>
      <c r="BR198" t="s">
        <v>111</v>
      </c>
      <c r="BS198" t="s">
        <v>111</v>
      </c>
      <c r="BT198" t="s">
        <v>111</v>
      </c>
      <c r="BU198" t="s">
        <v>111</v>
      </c>
      <c r="BV198" t="s">
        <v>111</v>
      </c>
      <c r="BW198" t="s">
        <v>111</v>
      </c>
      <c r="BX198" t="s">
        <v>111</v>
      </c>
      <c r="BY198" t="s">
        <v>111</v>
      </c>
      <c r="BZ198" t="s">
        <v>111</v>
      </c>
      <c r="CA198" t="s">
        <v>111</v>
      </c>
      <c r="CB198" t="s">
        <v>111</v>
      </c>
      <c r="CC198" t="s">
        <v>111</v>
      </c>
      <c r="CD198" t="s">
        <v>111</v>
      </c>
      <c r="CE198" t="s">
        <v>111</v>
      </c>
      <c r="CF198" t="s">
        <v>111</v>
      </c>
      <c r="CG198" t="s">
        <v>111</v>
      </c>
      <c r="CH198" t="s">
        <v>111</v>
      </c>
      <c r="CI198" t="s">
        <v>111</v>
      </c>
      <c r="CJ198" t="s">
        <v>111</v>
      </c>
      <c r="CK198" t="s">
        <v>111</v>
      </c>
      <c r="CL198" t="s">
        <v>111</v>
      </c>
      <c r="CM198" t="s">
        <v>127</v>
      </c>
      <c r="CN198" t="s">
        <v>128</v>
      </c>
      <c r="CO198" t="s">
        <v>111</v>
      </c>
      <c r="CP198" t="s">
        <v>111</v>
      </c>
      <c r="CQ198">
        <v>0</v>
      </c>
      <c r="CR198">
        <v>3000</v>
      </c>
      <c r="CS198">
        <v>100</v>
      </c>
      <c r="CT198" t="e">
        <f>-ALMACEN</f>
        <v>#NAME?</v>
      </c>
      <c r="CU198">
        <v>0</v>
      </c>
      <c r="CV198" t="s">
        <v>111</v>
      </c>
      <c r="CW198" t="s">
        <v>111</v>
      </c>
      <c r="CX198" t="s">
        <v>111</v>
      </c>
      <c r="CY198">
        <v>0</v>
      </c>
      <c r="CZ198" t="s">
        <v>111</v>
      </c>
      <c r="DA198" t="s">
        <v>111</v>
      </c>
      <c r="DB198" t="s">
        <v>111</v>
      </c>
      <c r="DC198" t="s">
        <v>111</v>
      </c>
    </row>
    <row r="199" spans="1:107">
      <c r="A199">
        <v>1499</v>
      </c>
      <c r="B199" t="s">
        <v>107</v>
      </c>
      <c r="C199" t="s">
        <v>814</v>
      </c>
      <c r="D199" t="s">
        <v>815</v>
      </c>
      <c r="E199" t="s">
        <v>816</v>
      </c>
      <c r="F199" t="s">
        <v>192</v>
      </c>
      <c r="G199" t="s">
        <v>469</v>
      </c>
      <c r="H199">
        <v>2</v>
      </c>
      <c r="I199">
        <v>76</v>
      </c>
      <c r="J199">
        <v>0</v>
      </c>
      <c r="K199">
        <v>0</v>
      </c>
      <c r="L199" t="s">
        <v>112</v>
      </c>
      <c r="M199" t="s">
        <v>111</v>
      </c>
      <c r="N199">
        <v>0</v>
      </c>
      <c r="O199">
        <v>0</v>
      </c>
      <c r="P199" t="s">
        <v>111</v>
      </c>
      <c r="Q199">
        <v>51</v>
      </c>
      <c r="R199">
        <v>0</v>
      </c>
      <c r="S199">
        <v>0</v>
      </c>
      <c r="T199">
        <v>5</v>
      </c>
      <c r="U199" t="e">
        <f>-SELLADO</f>
        <v>#NAME?</v>
      </c>
      <c r="V199">
        <v>0</v>
      </c>
      <c r="W199">
        <v>25</v>
      </c>
      <c r="X199">
        <v>8</v>
      </c>
      <c r="Y199">
        <v>0</v>
      </c>
      <c r="Z199" t="s">
        <v>111</v>
      </c>
      <c r="AA199">
        <v>0</v>
      </c>
      <c r="AB199" t="s">
        <v>817</v>
      </c>
      <c r="AC199">
        <v>8</v>
      </c>
      <c r="AD199" t="s">
        <v>111</v>
      </c>
      <c r="AE199">
        <v>0</v>
      </c>
      <c r="AF199">
        <v>0</v>
      </c>
      <c r="AG199" t="s">
        <v>111</v>
      </c>
      <c r="AH199" t="s">
        <v>111</v>
      </c>
      <c r="AI199" t="s">
        <v>111</v>
      </c>
      <c r="AJ199" t="s">
        <v>111</v>
      </c>
      <c r="AK199" t="s">
        <v>111</v>
      </c>
      <c r="AL199" t="s">
        <v>111</v>
      </c>
      <c r="AM199">
        <v>0</v>
      </c>
      <c r="AN199">
        <v>0</v>
      </c>
      <c r="AO199">
        <v>0</v>
      </c>
      <c r="AP199" t="s">
        <v>111</v>
      </c>
      <c r="AQ199" t="s">
        <v>111</v>
      </c>
      <c r="AR199" t="s">
        <v>111</v>
      </c>
      <c r="AS199" t="s">
        <v>111</v>
      </c>
      <c r="AT199" t="s">
        <v>111</v>
      </c>
      <c r="AU199" t="s">
        <v>111</v>
      </c>
      <c r="AV199" t="s">
        <v>111</v>
      </c>
      <c r="AW199" t="s">
        <v>111</v>
      </c>
      <c r="AX199" t="s">
        <v>111</v>
      </c>
      <c r="AY199" t="s">
        <v>111</v>
      </c>
      <c r="AZ199" t="s">
        <v>111</v>
      </c>
      <c r="BA199" t="s">
        <v>111</v>
      </c>
      <c r="BB199" t="s">
        <v>111</v>
      </c>
      <c r="BC199" t="s">
        <v>111</v>
      </c>
      <c r="BD199" t="s">
        <v>111</v>
      </c>
      <c r="BE199" t="s">
        <v>111</v>
      </c>
      <c r="BF199" t="s">
        <v>111</v>
      </c>
      <c r="BG199" t="s">
        <v>111</v>
      </c>
      <c r="BH199" t="s">
        <v>111</v>
      </c>
      <c r="BI199" t="s">
        <v>111</v>
      </c>
      <c r="BJ199" t="s">
        <v>111</v>
      </c>
      <c r="BK199" t="s">
        <v>111</v>
      </c>
      <c r="BL199" t="s">
        <v>111</v>
      </c>
      <c r="BM199" t="s">
        <v>111</v>
      </c>
      <c r="BN199" t="s">
        <v>111</v>
      </c>
      <c r="BO199" t="s">
        <v>111</v>
      </c>
      <c r="BP199" t="s">
        <v>111</v>
      </c>
      <c r="BQ199" t="s">
        <v>111</v>
      </c>
      <c r="BR199" t="s">
        <v>111</v>
      </c>
      <c r="BS199" t="s">
        <v>111</v>
      </c>
      <c r="BT199" t="s">
        <v>111</v>
      </c>
      <c r="BU199" t="s">
        <v>111</v>
      </c>
      <c r="BV199" t="s">
        <v>111</v>
      </c>
      <c r="BW199" t="s">
        <v>111</v>
      </c>
      <c r="BX199" t="s">
        <v>111</v>
      </c>
      <c r="BY199" t="s">
        <v>111</v>
      </c>
      <c r="BZ199" t="s">
        <v>111</v>
      </c>
      <c r="CA199" t="s">
        <v>111</v>
      </c>
      <c r="CB199" t="s">
        <v>111</v>
      </c>
      <c r="CC199" t="s">
        <v>111</v>
      </c>
      <c r="CD199" t="s">
        <v>111</v>
      </c>
      <c r="CE199" t="s">
        <v>111</v>
      </c>
      <c r="CF199" t="s">
        <v>111</v>
      </c>
      <c r="CG199" t="s">
        <v>111</v>
      </c>
      <c r="CH199" t="s">
        <v>111</v>
      </c>
      <c r="CI199" t="s">
        <v>111</v>
      </c>
      <c r="CJ199" t="s">
        <v>111</v>
      </c>
      <c r="CK199" t="s">
        <v>111</v>
      </c>
      <c r="CL199" t="s">
        <v>111</v>
      </c>
      <c r="CM199" t="s">
        <v>135</v>
      </c>
      <c r="CN199" t="s">
        <v>128</v>
      </c>
      <c r="CO199" t="s">
        <v>111</v>
      </c>
      <c r="CP199" t="s">
        <v>111</v>
      </c>
      <c r="CQ199">
        <v>0</v>
      </c>
      <c r="CR199">
        <v>500</v>
      </c>
      <c r="CS199">
        <v>25</v>
      </c>
      <c r="CT199" t="e">
        <f>-ALMACEN</f>
        <v>#NAME?</v>
      </c>
      <c r="CU199">
        <v>0</v>
      </c>
      <c r="CV199" t="s">
        <v>111</v>
      </c>
      <c r="CW199" t="s">
        <v>111</v>
      </c>
      <c r="CX199" t="s">
        <v>111</v>
      </c>
      <c r="CY199">
        <v>0</v>
      </c>
      <c r="CZ199" t="s">
        <v>111</v>
      </c>
      <c r="DA199" t="s">
        <v>111</v>
      </c>
      <c r="DB199" t="s">
        <v>111</v>
      </c>
      <c r="DC199" t="s">
        <v>111</v>
      </c>
    </row>
    <row r="200" spans="1:107">
      <c r="A200">
        <v>1545</v>
      </c>
      <c r="B200" t="s">
        <v>107</v>
      </c>
      <c r="C200" t="s">
        <v>801</v>
      </c>
      <c r="D200" t="s">
        <v>818</v>
      </c>
      <c r="E200" t="s">
        <v>819</v>
      </c>
      <c r="F200" t="s">
        <v>370</v>
      </c>
      <c r="G200" t="s">
        <v>469</v>
      </c>
      <c r="H200">
        <v>1.5</v>
      </c>
      <c r="I200">
        <v>57</v>
      </c>
      <c r="J200">
        <v>0</v>
      </c>
      <c r="K200">
        <v>0</v>
      </c>
      <c r="L200" t="s">
        <v>112</v>
      </c>
      <c r="M200" t="s">
        <v>118</v>
      </c>
      <c r="N200">
        <v>39</v>
      </c>
      <c r="O200">
        <v>2</v>
      </c>
      <c r="P200" t="s">
        <v>111</v>
      </c>
      <c r="Q200">
        <v>43.7</v>
      </c>
      <c r="R200">
        <v>0</v>
      </c>
      <c r="S200">
        <v>0</v>
      </c>
      <c r="T200">
        <v>5</v>
      </c>
      <c r="U200" s="1" t="s">
        <v>820</v>
      </c>
      <c r="V200">
        <v>25</v>
      </c>
      <c r="W200">
        <v>0</v>
      </c>
      <c r="X200">
        <v>8</v>
      </c>
      <c r="Y200">
        <v>0</v>
      </c>
      <c r="Z200" t="s">
        <v>288</v>
      </c>
      <c r="AA200">
        <v>1.5</v>
      </c>
      <c r="AB200" t="s">
        <v>111</v>
      </c>
      <c r="AC200">
        <v>0</v>
      </c>
      <c r="AD200" t="s">
        <v>416</v>
      </c>
      <c r="AE200">
        <v>0</v>
      </c>
      <c r="AF200">
        <v>0</v>
      </c>
      <c r="AG200" t="s">
        <v>111</v>
      </c>
      <c r="AH200" t="s">
        <v>113</v>
      </c>
      <c r="AI200" t="s">
        <v>111</v>
      </c>
      <c r="AJ200" t="s">
        <v>111</v>
      </c>
      <c r="AK200" t="s">
        <v>111</v>
      </c>
      <c r="AL200" t="s">
        <v>111</v>
      </c>
      <c r="AM200">
        <v>0</v>
      </c>
      <c r="AN200">
        <v>0</v>
      </c>
      <c r="AO200">
        <v>0</v>
      </c>
      <c r="AP200" t="s">
        <v>111</v>
      </c>
      <c r="AQ200" t="s">
        <v>111</v>
      </c>
      <c r="AR200" t="s">
        <v>111</v>
      </c>
      <c r="AS200" t="s">
        <v>111</v>
      </c>
      <c r="AT200" t="s">
        <v>111</v>
      </c>
      <c r="AU200" t="s">
        <v>111</v>
      </c>
      <c r="AV200" t="s">
        <v>111</v>
      </c>
      <c r="AW200" t="s">
        <v>111</v>
      </c>
      <c r="AX200" t="s">
        <v>111</v>
      </c>
      <c r="AY200" t="s">
        <v>111</v>
      </c>
      <c r="AZ200" t="s">
        <v>111</v>
      </c>
      <c r="BA200" t="s">
        <v>111</v>
      </c>
      <c r="BB200" t="s">
        <v>111</v>
      </c>
      <c r="BC200" t="s">
        <v>111</v>
      </c>
      <c r="BD200" t="s">
        <v>111</v>
      </c>
      <c r="BE200" t="s">
        <v>111</v>
      </c>
      <c r="BF200" t="s">
        <v>111</v>
      </c>
      <c r="BG200" t="s">
        <v>111</v>
      </c>
      <c r="BH200" t="s">
        <v>111</v>
      </c>
      <c r="BI200" t="s">
        <v>111</v>
      </c>
      <c r="BJ200" t="s">
        <v>111</v>
      </c>
      <c r="BK200" t="s">
        <v>111</v>
      </c>
      <c r="BL200" t="s">
        <v>111</v>
      </c>
      <c r="BM200" t="s">
        <v>111</v>
      </c>
      <c r="BN200" t="s">
        <v>111</v>
      </c>
      <c r="BO200" t="s">
        <v>111</v>
      </c>
      <c r="BP200" t="s">
        <v>111</v>
      </c>
      <c r="BQ200" t="s">
        <v>111</v>
      </c>
      <c r="BR200" t="s">
        <v>111</v>
      </c>
      <c r="BS200" t="s">
        <v>111</v>
      </c>
      <c r="BT200" t="s">
        <v>111</v>
      </c>
      <c r="BU200" t="s">
        <v>111</v>
      </c>
      <c r="BV200" t="s">
        <v>111</v>
      </c>
      <c r="BW200" t="s">
        <v>111</v>
      </c>
      <c r="BX200" t="s">
        <v>111</v>
      </c>
      <c r="BY200" t="s">
        <v>111</v>
      </c>
      <c r="BZ200" t="s">
        <v>111</v>
      </c>
      <c r="CA200" t="s">
        <v>111</v>
      </c>
      <c r="CB200" t="s">
        <v>111</v>
      </c>
      <c r="CC200" t="s">
        <v>111</v>
      </c>
      <c r="CD200" t="s">
        <v>111</v>
      </c>
      <c r="CE200" t="s">
        <v>111</v>
      </c>
      <c r="CF200" t="s">
        <v>111</v>
      </c>
      <c r="CG200" t="s">
        <v>111</v>
      </c>
      <c r="CH200" t="s">
        <v>111</v>
      </c>
      <c r="CI200" t="s">
        <v>111</v>
      </c>
      <c r="CJ200" t="s">
        <v>111</v>
      </c>
      <c r="CK200" t="s">
        <v>111</v>
      </c>
      <c r="CL200" t="s">
        <v>111</v>
      </c>
      <c r="CM200" t="s">
        <v>360</v>
      </c>
      <c r="CN200" t="s">
        <v>113</v>
      </c>
      <c r="CO200" t="s">
        <v>367</v>
      </c>
      <c r="CP200" t="e">
        <f>-MUESTRA</f>
        <v>#NAME?</v>
      </c>
      <c r="CQ200">
        <v>0</v>
      </c>
      <c r="CR200">
        <v>2000</v>
      </c>
      <c r="CS200">
        <v>50</v>
      </c>
      <c r="CT200" t="e">
        <f>-BIEN EMPACADO PARA TROQUELAR</f>
        <v>#NAME?</v>
      </c>
      <c r="CU200">
        <v>0</v>
      </c>
      <c r="CV200" t="s">
        <v>111</v>
      </c>
      <c r="CW200" t="s">
        <v>111</v>
      </c>
      <c r="CX200" t="s">
        <v>111</v>
      </c>
      <c r="CY200">
        <v>0</v>
      </c>
      <c r="CZ200" t="s">
        <v>111</v>
      </c>
      <c r="DA200" t="s">
        <v>111</v>
      </c>
      <c r="DB200" t="e">
        <f>-INTEERNO</f>
        <v>#NAME?</v>
      </c>
      <c r="DC200" t="e">
        <f>-TROQUEL RIÑON</f>
        <v>#NAME?</v>
      </c>
    </row>
    <row r="201" spans="1:107">
      <c r="A201">
        <v>1562</v>
      </c>
      <c r="B201" t="s">
        <v>107</v>
      </c>
      <c r="C201" t="s">
        <v>412</v>
      </c>
      <c r="D201" t="s">
        <v>821</v>
      </c>
      <c r="E201" t="s">
        <v>822</v>
      </c>
      <c r="F201" t="s">
        <v>192</v>
      </c>
      <c r="G201" t="s">
        <v>469</v>
      </c>
      <c r="H201">
        <v>2</v>
      </c>
      <c r="I201">
        <v>46</v>
      </c>
      <c r="J201">
        <v>0</v>
      </c>
      <c r="K201">
        <v>0</v>
      </c>
      <c r="L201" t="s">
        <v>112</v>
      </c>
      <c r="M201" t="s">
        <v>111</v>
      </c>
      <c r="N201">
        <v>0</v>
      </c>
      <c r="O201">
        <v>0</v>
      </c>
      <c r="P201" t="s">
        <v>111</v>
      </c>
      <c r="Q201">
        <v>25</v>
      </c>
      <c r="R201">
        <v>0</v>
      </c>
      <c r="S201">
        <v>0</v>
      </c>
      <c r="T201">
        <v>5</v>
      </c>
      <c r="U201" t="e">
        <f>-SELLADO</f>
        <v>#NAME?</v>
      </c>
      <c r="V201">
        <v>0</v>
      </c>
      <c r="W201">
        <v>25</v>
      </c>
      <c r="X201">
        <v>8</v>
      </c>
      <c r="Y201">
        <v>0</v>
      </c>
      <c r="Z201" t="s">
        <v>111</v>
      </c>
      <c r="AA201">
        <v>0</v>
      </c>
      <c r="AB201" t="s">
        <v>823</v>
      </c>
      <c r="AC201">
        <v>8</v>
      </c>
      <c r="AD201" t="s">
        <v>111</v>
      </c>
      <c r="AE201">
        <v>0</v>
      </c>
      <c r="AF201">
        <v>0</v>
      </c>
      <c r="AG201" t="s">
        <v>111</v>
      </c>
      <c r="AH201" t="s">
        <v>111</v>
      </c>
      <c r="AI201" t="s">
        <v>111</v>
      </c>
      <c r="AJ201" t="s">
        <v>111</v>
      </c>
      <c r="AK201" t="s">
        <v>111</v>
      </c>
      <c r="AL201" t="s">
        <v>111</v>
      </c>
      <c r="AM201">
        <v>0</v>
      </c>
      <c r="AN201">
        <v>0</v>
      </c>
      <c r="AO201">
        <v>0</v>
      </c>
      <c r="AP201" t="s">
        <v>111</v>
      </c>
      <c r="AQ201" t="s">
        <v>111</v>
      </c>
      <c r="AR201" t="s">
        <v>111</v>
      </c>
      <c r="AS201" t="s">
        <v>111</v>
      </c>
      <c r="AT201" t="s">
        <v>111</v>
      </c>
      <c r="AU201" t="s">
        <v>111</v>
      </c>
      <c r="AV201" t="s">
        <v>111</v>
      </c>
      <c r="AW201" t="s">
        <v>111</v>
      </c>
      <c r="AX201" t="s">
        <v>111</v>
      </c>
      <c r="AY201" t="s">
        <v>111</v>
      </c>
      <c r="AZ201" t="s">
        <v>111</v>
      </c>
      <c r="BA201" t="s">
        <v>111</v>
      </c>
      <c r="BB201" t="s">
        <v>111</v>
      </c>
      <c r="BC201" t="s">
        <v>111</v>
      </c>
      <c r="BD201" t="s">
        <v>111</v>
      </c>
      <c r="BE201" t="s">
        <v>111</v>
      </c>
      <c r="BF201" t="s">
        <v>111</v>
      </c>
      <c r="BG201" t="s">
        <v>111</v>
      </c>
      <c r="BH201" t="s">
        <v>111</v>
      </c>
      <c r="BI201" t="s">
        <v>111</v>
      </c>
      <c r="BJ201" t="s">
        <v>111</v>
      </c>
      <c r="BK201" t="s">
        <v>111</v>
      </c>
      <c r="BL201" t="s">
        <v>111</v>
      </c>
      <c r="BM201" t="s">
        <v>111</v>
      </c>
      <c r="BN201" t="s">
        <v>111</v>
      </c>
      <c r="BO201" t="s">
        <v>111</v>
      </c>
      <c r="BP201" t="s">
        <v>111</v>
      </c>
      <c r="BQ201" t="s">
        <v>111</v>
      </c>
      <c r="BR201" t="s">
        <v>111</v>
      </c>
      <c r="BS201" t="s">
        <v>111</v>
      </c>
      <c r="BT201" t="s">
        <v>111</v>
      </c>
      <c r="BU201" t="s">
        <v>111</v>
      </c>
      <c r="BV201" t="s">
        <v>111</v>
      </c>
      <c r="BW201" t="s">
        <v>111</v>
      </c>
      <c r="BX201" t="s">
        <v>111</v>
      </c>
      <c r="BY201" t="s">
        <v>111</v>
      </c>
      <c r="BZ201" t="s">
        <v>111</v>
      </c>
      <c r="CA201" t="s">
        <v>111</v>
      </c>
      <c r="CB201" t="s">
        <v>111</v>
      </c>
      <c r="CC201" t="s">
        <v>111</v>
      </c>
      <c r="CD201" t="s">
        <v>111</v>
      </c>
      <c r="CE201" t="s">
        <v>111</v>
      </c>
      <c r="CF201" t="s">
        <v>111</v>
      </c>
      <c r="CG201" t="s">
        <v>111</v>
      </c>
      <c r="CH201" t="s">
        <v>111</v>
      </c>
      <c r="CI201" t="s">
        <v>111</v>
      </c>
      <c r="CJ201" t="s">
        <v>111</v>
      </c>
      <c r="CK201" t="s">
        <v>111</v>
      </c>
      <c r="CL201" t="s">
        <v>111</v>
      </c>
      <c r="CM201" t="s">
        <v>135</v>
      </c>
      <c r="CN201" t="s">
        <v>113</v>
      </c>
      <c r="CO201" t="s">
        <v>111</v>
      </c>
      <c r="CP201" t="s">
        <v>111</v>
      </c>
      <c r="CQ201">
        <v>0</v>
      </c>
      <c r="CR201">
        <v>5000</v>
      </c>
      <c r="CS201">
        <v>200</v>
      </c>
      <c r="CT201" s="1" t="s">
        <v>824</v>
      </c>
      <c r="CU201">
        <v>0</v>
      </c>
      <c r="CV201" t="s">
        <v>111</v>
      </c>
      <c r="CW201" t="s">
        <v>111</v>
      </c>
      <c r="CX201" t="s">
        <v>111</v>
      </c>
      <c r="CY201">
        <v>0</v>
      </c>
      <c r="CZ201" t="s">
        <v>111</v>
      </c>
      <c r="DA201" t="s">
        <v>111</v>
      </c>
      <c r="DB201" t="s">
        <v>111</v>
      </c>
      <c r="DC201" t="s">
        <v>111</v>
      </c>
    </row>
    <row r="202" spans="1:107">
      <c r="A202">
        <v>1561</v>
      </c>
      <c r="B202" t="s">
        <v>107</v>
      </c>
      <c r="C202" t="s">
        <v>412</v>
      </c>
      <c r="D202" t="s">
        <v>825</v>
      </c>
      <c r="E202" t="s">
        <v>826</v>
      </c>
      <c r="F202" t="s">
        <v>125</v>
      </c>
      <c r="G202" t="s">
        <v>469</v>
      </c>
      <c r="H202">
        <v>1</v>
      </c>
      <c r="I202">
        <v>58</v>
      </c>
      <c r="J202">
        <v>0</v>
      </c>
      <c r="K202">
        <v>0</v>
      </c>
      <c r="L202" t="s">
        <v>178</v>
      </c>
      <c r="M202" t="s">
        <v>111</v>
      </c>
      <c r="N202">
        <v>0</v>
      </c>
      <c r="O202">
        <v>0</v>
      </c>
      <c r="P202" t="s">
        <v>111</v>
      </c>
      <c r="Q202">
        <v>36.9</v>
      </c>
      <c r="R202">
        <v>0</v>
      </c>
      <c r="S202">
        <v>0</v>
      </c>
      <c r="T202">
        <v>5</v>
      </c>
      <c r="U202" s="1" t="s">
        <v>132</v>
      </c>
      <c r="V202">
        <v>25</v>
      </c>
      <c r="W202">
        <v>0</v>
      </c>
      <c r="X202">
        <v>5</v>
      </c>
      <c r="Y202">
        <v>0</v>
      </c>
      <c r="Z202" t="s">
        <v>111</v>
      </c>
      <c r="AA202">
        <v>0</v>
      </c>
      <c r="AB202" t="s">
        <v>111</v>
      </c>
      <c r="AC202">
        <v>0</v>
      </c>
      <c r="AD202" t="s">
        <v>111</v>
      </c>
      <c r="AE202">
        <v>0</v>
      </c>
      <c r="AF202">
        <v>0</v>
      </c>
      <c r="AG202" t="s">
        <v>111</v>
      </c>
      <c r="AH202" t="s">
        <v>111</v>
      </c>
      <c r="AI202" t="s">
        <v>111</v>
      </c>
      <c r="AJ202" t="s">
        <v>111</v>
      </c>
      <c r="AK202" t="s">
        <v>111</v>
      </c>
      <c r="AL202" t="s">
        <v>111</v>
      </c>
      <c r="AM202">
        <v>0</v>
      </c>
      <c r="AN202">
        <v>0</v>
      </c>
      <c r="AO202">
        <v>0</v>
      </c>
      <c r="AP202" t="s">
        <v>111</v>
      </c>
      <c r="AQ202" t="s">
        <v>111</v>
      </c>
      <c r="AR202" t="s">
        <v>111</v>
      </c>
      <c r="AS202" t="s">
        <v>111</v>
      </c>
      <c r="AT202" t="s">
        <v>111</v>
      </c>
      <c r="AU202" t="s">
        <v>111</v>
      </c>
      <c r="AV202" t="s">
        <v>111</v>
      </c>
      <c r="AW202" t="s">
        <v>111</v>
      </c>
      <c r="AX202" t="s">
        <v>111</v>
      </c>
      <c r="AY202" t="s">
        <v>111</v>
      </c>
      <c r="AZ202" t="s">
        <v>111</v>
      </c>
      <c r="BA202" t="s">
        <v>111</v>
      </c>
      <c r="BB202" t="s">
        <v>111</v>
      </c>
      <c r="BC202" t="s">
        <v>111</v>
      </c>
      <c r="BD202" t="s">
        <v>111</v>
      </c>
      <c r="BE202" t="s">
        <v>111</v>
      </c>
      <c r="BF202" t="s">
        <v>111</v>
      </c>
      <c r="BG202" t="s">
        <v>111</v>
      </c>
      <c r="BH202" t="s">
        <v>111</v>
      </c>
      <c r="BI202" t="s">
        <v>111</v>
      </c>
      <c r="BJ202" t="s">
        <v>111</v>
      </c>
      <c r="BK202" t="s">
        <v>111</v>
      </c>
      <c r="BL202" t="s">
        <v>111</v>
      </c>
      <c r="BM202" t="s">
        <v>111</v>
      </c>
      <c r="BN202" t="s">
        <v>111</v>
      </c>
      <c r="BO202" t="s">
        <v>111</v>
      </c>
      <c r="BP202" t="s">
        <v>111</v>
      </c>
      <c r="BQ202" t="s">
        <v>111</v>
      </c>
      <c r="BR202" t="s">
        <v>111</v>
      </c>
      <c r="BS202" t="s">
        <v>111</v>
      </c>
      <c r="BT202" t="s">
        <v>111</v>
      </c>
      <c r="BU202" t="s">
        <v>111</v>
      </c>
      <c r="BV202" t="s">
        <v>111</v>
      </c>
      <c r="BW202" t="s">
        <v>111</v>
      </c>
      <c r="BX202" t="s">
        <v>111</v>
      </c>
      <c r="BY202" t="s">
        <v>111</v>
      </c>
      <c r="BZ202" t="s">
        <v>111</v>
      </c>
      <c r="CA202" t="s">
        <v>111</v>
      </c>
      <c r="CB202" t="s">
        <v>111</v>
      </c>
      <c r="CC202" t="s">
        <v>111</v>
      </c>
      <c r="CD202" t="s">
        <v>111</v>
      </c>
      <c r="CE202" t="s">
        <v>111</v>
      </c>
      <c r="CF202" t="s">
        <v>111</v>
      </c>
      <c r="CG202" t="s">
        <v>111</v>
      </c>
      <c r="CH202" t="s">
        <v>111</v>
      </c>
      <c r="CI202" t="s">
        <v>111</v>
      </c>
      <c r="CJ202" t="s">
        <v>111</v>
      </c>
      <c r="CK202" t="s">
        <v>111</v>
      </c>
      <c r="CL202" t="s">
        <v>111</v>
      </c>
      <c r="CM202" t="s">
        <v>135</v>
      </c>
      <c r="CN202" t="s">
        <v>113</v>
      </c>
      <c r="CO202" t="s">
        <v>111</v>
      </c>
      <c r="CP202" t="s">
        <v>111</v>
      </c>
      <c r="CQ202">
        <v>0</v>
      </c>
      <c r="CR202">
        <v>1000</v>
      </c>
      <c r="CS202">
        <v>50</v>
      </c>
      <c r="CT202" t="e">
        <f>-ALMACEN</f>
        <v>#NAME?</v>
      </c>
      <c r="CU202">
        <v>0</v>
      </c>
      <c r="CV202" t="s">
        <v>111</v>
      </c>
      <c r="CW202" t="s">
        <v>111</v>
      </c>
      <c r="CX202" t="s">
        <v>111</v>
      </c>
      <c r="CY202">
        <v>0</v>
      </c>
      <c r="CZ202" t="s">
        <v>111</v>
      </c>
      <c r="DA202" t="s">
        <v>111</v>
      </c>
      <c r="DB202" t="s">
        <v>111</v>
      </c>
      <c r="DC202" t="s">
        <v>111</v>
      </c>
    </row>
    <row r="203" spans="1:107">
      <c r="A203">
        <v>642</v>
      </c>
      <c r="B203" t="s">
        <v>162</v>
      </c>
      <c r="C203" t="s">
        <v>827</v>
      </c>
      <c r="D203" t="s">
        <v>828</v>
      </c>
      <c r="E203" t="s">
        <v>829</v>
      </c>
      <c r="F203" t="s">
        <v>125</v>
      </c>
      <c r="G203" t="s">
        <v>469</v>
      </c>
      <c r="H203">
        <v>0.62</v>
      </c>
      <c r="I203">
        <v>58</v>
      </c>
      <c r="J203">
        <v>0</v>
      </c>
      <c r="K203">
        <v>0</v>
      </c>
      <c r="L203" t="s">
        <v>112</v>
      </c>
      <c r="M203" t="s">
        <v>138</v>
      </c>
      <c r="N203">
        <v>0</v>
      </c>
      <c r="O203">
        <v>0</v>
      </c>
      <c r="P203" t="s">
        <v>138</v>
      </c>
      <c r="Q203">
        <v>41.2</v>
      </c>
      <c r="R203">
        <v>0</v>
      </c>
      <c r="S203">
        <v>0</v>
      </c>
      <c r="T203">
        <v>5</v>
      </c>
      <c r="U203" s="1" t="s">
        <v>830</v>
      </c>
      <c r="V203">
        <v>25</v>
      </c>
      <c r="W203">
        <v>0</v>
      </c>
      <c r="X203">
        <v>5</v>
      </c>
      <c r="Y203">
        <v>0</v>
      </c>
      <c r="Z203" t="s">
        <v>111</v>
      </c>
      <c r="AA203">
        <v>0</v>
      </c>
      <c r="AB203" t="s">
        <v>111</v>
      </c>
      <c r="AC203">
        <v>0</v>
      </c>
      <c r="AD203" t="s">
        <v>111</v>
      </c>
      <c r="AE203">
        <v>0</v>
      </c>
      <c r="AF203">
        <v>0</v>
      </c>
      <c r="AG203" t="s">
        <v>111</v>
      </c>
      <c r="AH203" t="s">
        <v>111</v>
      </c>
      <c r="AI203" t="s">
        <v>111</v>
      </c>
      <c r="AJ203" t="s">
        <v>111</v>
      </c>
      <c r="AK203" t="s">
        <v>111</v>
      </c>
      <c r="AL203" t="s">
        <v>111</v>
      </c>
      <c r="AM203">
        <v>0</v>
      </c>
      <c r="AN203">
        <v>0</v>
      </c>
      <c r="AO203">
        <v>0</v>
      </c>
      <c r="AP203" t="s">
        <v>111</v>
      </c>
      <c r="AQ203" t="s">
        <v>111</v>
      </c>
      <c r="AR203" t="s">
        <v>111</v>
      </c>
      <c r="AS203" t="s">
        <v>111</v>
      </c>
      <c r="AT203" t="s">
        <v>111</v>
      </c>
      <c r="AU203" t="s">
        <v>111</v>
      </c>
      <c r="AV203" t="s">
        <v>111</v>
      </c>
      <c r="AW203" t="s">
        <v>111</v>
      </c>
      <c r="AX203" t="s">
        <v>111</v>
      </c>
      <c r="AY203" t="s">
        <v>111</v>
      </c>
      <c r="AZ203" t="s">
        <v>111</v>
      </c>
      <c r="BA203" t="s">
        <v>111</v>
      </c>
      <c r="BB203" t="s">
        <v>111</v>
      </c>
      <c r="BC203" t="s">
        <v>111</v>
      </c>
      <c r="BD203" t="s">
        <v>111</v>
      </c>
      <c r="BE203" t="s">
        <v>111</v>
      </c>
      <c r="BF203" t="s">
        <v>111</v>
      </c>
      <c r="BG203" t="s">
        <v>111</v>
      </c>
      <c r="BH203" t="s">
        <v>111</v>
      </c>
      <c r="BI203" t="s">
        <v>111</v>
      </c>
      <c r="BJ203" t="s">
        <v>111</v>
      </c>
      <c r="BK203" t="s">
        <v>111</v>
      </c>
      <c r="BL203" t="s">
        <v>111</v>
      </c>
      <c r="BM203" t="s">
        <v>111</v>
      </c>
      <c r="BN203" t="s">
        <v>111</v>
      </c>
      <c r="BO203" t="s">
        <v>111</v>
      </c>
      <c r="BP203" t="s">
        <v>111</v>
      </c>
      <c r="BQ203" t="s">
        <v>111</v>
      </c>
      <c r="BR203" t="s">
        <v>111</v>
      </c>
      <c r="BS203" t="s">
        <v>111</v>
      </c>
      <c r="BT203" t="s">
        <v>111</v>
      </c>
      <c r="BU203" t="s">
        <v>111</v>
      </c>
      <c r="BV203" t="s">
        <v>111</v>
      </c>
      <c r="BW203" t="s">
        <v>111</v>
      </c>
      <c r="BX203" t="s">
        <v>111</v>
      </c>
      <c r="BY203" t="s">
        <v>111</v>
      </c>
      <c r="BZ203" t="s">
        <v>111</v>
      </c>
      <c r="CA203" t="s">
        <v>111</v>
      </c>
      <c r="CB203" t="s">
        <v>111</v>
      </c>
      <c r="CC203" t="s">
        <v>111</v>
      </c>
      <c r="CD203" t="s">
        <v>111</v>
      </c>
      <c r="CE203" t="s">
        <v>111</v>
      </c>
      <c r="CF203" t="s">
        <v>111</v>
      </c>
      <c r="CG203" t="s">
        <v>111</v>
      </c>
      <c r="CH203" t="s">
        <v>111</v>
      </c>
      <c r="CI203" t="s">
        <v>111</v>
      </c>
      <c r="CJ203" t="s">
        <v>111</v>
      </c>
      <c r="CK203" t="s">
        <v>111</v>
      </c>
      <c r="CL203" t="s">
        <v>111</v>
      </c>
      <c r="CM203" t="s">
        <v>127</v>
      </c>
      <c r="CN203" t="s">
        <v>128</v>
      </c>
      <c r="CO203" t="s">
        <v>111</v>
      </c>
      <c r="CP203" t="s">
        <v>111</v>
      </c>
      <c r="CQ203">
        <v>0</v>
      </c>
      <c r="CR203">
        <v>1500</v>
      </c>
      <c r="CS203">
        <v>100</v>
      </c>
      <c r="CT203" t="s">
        <v>168</v>
      </c>
      <c r="CU203">
        <v>0</v>
      </c>
      <c r="CV203" t="s">
        <v>111</v>
      </c>
      <c r="CW203" t="s">
        <v>111</v>
      </c>
      <c r="CX203" t="s">
        <v>111</v>
      </c>
      <c r="CY203">
        <v>0</v>
      </c>
      <c r="CZ203" t="s">
        <v>111</v>
      </c>
      <c r="DA203" t="s">
        <v>111</v>
      </c>
      <c r="DB203" t="s">
        <v>111</v>
      </c>
      <c r="DC203" t="s">
        <v>111</v>
      </c>
    </row>
    <row r="204" spans="1:107">
      <c r="A204">
        <v>63</v>
      </c>
      <c r="B204" t="s">
        <v>162</v>
      </c>
      <c r="C204" t="s">
        <v>831</v>
      </c>
      <c r="D204" t="s">
        <v>634</v>
      </c>
      <c r="E204" t="s">
        <v>832</v>
      </c>
      <c r="F204" t="s">
        <v>125</v>
      </c>
      <c r="G204" t="s">
        <v>469</v>
      </c>
      <c r="H204">
        <v>1.8</v>
      </c>
      <c r="I204">
        <v>35</v>
      </c>
      <c r="J204">
        <v>9</v>
      </c>
      <c r="K204">
        <v>9</v>
      </c>
      <c r="L204" t="s">
        <v>112</v>
      </c>
      <c r="M204" t="s">
        <v>118</v>
      </c>
      <c r="N204">
        <v>39</v>
      </c>
      <c r="O204">
        <v>2</v>
      </c>
      <c r="P204" t="s">
        <v>138</v>
      </c>
      <c r="Q204">
        <v>32.9</v>
      </c>
      <c r="R204">
        <v>0</v>
      </c>
      <c r="S204">
        <v>0</v>
      </c>
      <c r="T204">
        <v>10</v>
      </c>
      <c r="U204" s="1" t="s">
        <v>833</v>
      </c>
      <c r="V204">
        <v>25</v>
      </c>
      <c r="W204">
        <v>29</v>
      </c>
      <c r="X204">
        <v>10</v>
      </c>
      <c r="Y204">
        <v>0</v>
      </c>
      <c r="Z204" t="s">
        <v>111</v>
      </c>
      <c r="AA204">
        <v>0</v>
      </c>
      <c r="AB204" t="s">
        <v>111</v>
      </c>
      <c r="AC204">
        <v>0</v>
      </c>
      <c r="AD204" t="s">
        <v>111</v>
      </c>
      <c r="AE204">
        <v>0</v>
      </c>
      <c r="AF204">
        <v>0</v>
      </c>
      <c r="AG204" t="s">
        <v>111</v>
      </c>
      <c r="AH204" t="s">
        <v>111</v>
      </c>
      <c r="AI204" t="s">
        <v>111</v>
      </c>
      <c r="AJ204" t="s">
        <v>111</v>
      </c>
      <c r="AK204" t="s">
        <v>111</v>
      </c>
      <c r="AL204" t="s">
        <v>111</v>
      </c>
      <c r="AM204">
        <v>0</v>
      </c>
      <c r="AN204">
        <v>0</v>
      </c>
      <c r="AO204">
        <v>0</v>
      </c>
      <c r="AP204" t="s">
        <v>111</v>
      </c>
      <c r="AQ204" t="s">
        <v>111</v>
      </c>
      <c r="AR204" t="s">
        <v>111</v>
      </c>
      <c r="AS204" t="s">
        <v>111</v>
      </c>
      <c r="AT204" t="s">
        <v>111</v>
      </c>
      <c r="AU204" t="s">
        <v>111</v>
      </c>
      <c r="AV204" t="s">
        <v>111</v>
      </c>
      <c r="AW204" t="s">
        <v>111</v>
      </c>
      <c r="AX204" t="s">
        <v>111</v>
      </c>
      <c r="AY204" t="s">
        <v>111</v>
      </c>
      <c r="AZ204" t="s">
        <v>111</v>
      </c>
      <c r="BA204" t="s">
        <v>111</v>
      </c>
      <c r="BB204" t="s">
        <v>111</v>
      </c>
      <c r="BC204" t="s">
        <v>111</v>
      </c>
      <c r="BD204" t="s">
        <v>111</v>
      </c>
      <c r="BE204" t="s">
        <v>111</v>
      </c>
      <c r="BF204" t="s">
        <v>111</v>
      </c>
      <c r="BG204" t="s">
        <v>111</v>
      </c>
      <c r="BH204" t="s">
        <v>111</v>
      </c>
      <c r="BI204" t="s">
        <v>111</v>
      </c>
      <c r="BJ204" t="s">
        <v>111</v>
      </c>
      <c r="BK204" t="s">
        <v>111</v>
      </c>
      <c r="BL204" t="s">
        <v>111</v>
      </c>
      <c r="BM204" t="s">
        <v>111</v>
      </c>
      <c r="BN204" t="s">
        <v>111</v>
      </c>
      <c r="BO204" t="s">
        <v>111</v>
      </c>
      <c r="BP204" t="s">
        <v>111</v>
      </c>
      <c r="BQ204" t="s">
        <v>111</v>
      </c>
      <c r="BR204" t="s">
        <v>111</v>
      </c>
      <c r="BS204" t="s">
        <v>111</v>
      </c>
      <c r="BT204" t="s">
        <v>111</v>
      </c>
      <c r="BU204" t="s">
        <v>111</v>
      </c>
      <c r="BV204" t="s">
        <v>111</v>
      </c>
      <c r="BW204" t="s">
        <v>111</v>
      </c>
      <c r="BX204" t="s">
        <v>111</v>
      </c>
      <c r="BY204" t="s">
        <v>111</v>
      </c>
      <c r="BZ204" t="s">
        <v>111</v>
      </c>
      <c r="CA204" t="s">
        <v>111</v>
      </c>
      <c r="CB204" t="s">
        <v>111</v>
      </c>
      <c r="CC204" t="s">
        <v>111</v>
      </c>
      <c r="CD204" t="s">
        <v>111</v>
      </c>
      <c r="CE204" t="s">
        <v>111</v>
      </c>
      <c r="CF204" t="s">
        <v>111</v>
      </c>
      <c r="CG204" t="s">
        <v>111</v>
      </c>
      <c r="CH204" t="s">
        <v>111</v>
      </c>
      <c r="CI204" t="s">
        <v>111</v>
      </c>
      <c r="CJ204" t="s">
        <v>111</v>
      </c>
      <c r="CK204" t="s">
        <v>111</v>
      </c>
      <c r="CL204" s="1" t="s">
        <v>834</v>
      </c>
      <c r="CM204" t="s">
        <v>135</v>
      </c>
      <c r="CN204" t="s">
        <v>128</v>
      </c>
      <c r="CO204" t="s">
        <v>222</v>
      </c>
      <c r="CP204" t="s">
        <v>111</v>
      </c>
      <c r="CQ204">
        <v>35</v>
      </c>
      <c r="CR204">
        <v>500</v>
      </c>
      <c r="CS204">
        <v>50</v>
      </c>
      <c r="CT204" s="1" t="s">
        <v>835</v>
      </c>
      <c r="CU204">
        <v>0</v>
      </c>
      <c r="CV204" t="s">
        <v>111</v>
      </c>
      <c r="CW204" t="s">
        <v>111</v>
      </c>
      <c r="CX204" t="s">
        <v>111</v>
      </c>
      <c r="CY204">
        <v>0</v>
      </c>
      <c r="CZ204" t="s">
        <v>111</v>
      </c>
      <c r="DA204" t="s">
        <v>111</v>
      </c>
      <c r="DB204" t="s">
        <v>111</v>
      </c>
      <c r="DC204" t="s">
        <v>111</v>
      </c>
    </row>
    <row r="205" spans="1:107">
      <c r="A205">
        <v>1556</v>
      </c>
      <c r="B205" t="s">
        <v>107</v>
      </c>
      <c r="C205" t="s">
        <v>405</v>
      </c>
      <c r="D205" t="s">
        <v>836</v>
      </c>
      <c r="E205" t="s">
        <v>837</v>
      </c>
      <c r="F205" t="s">
        <v>116</v>
      </c>
      <c r="G205" t="s">
        <v>469</v>
      </c>
      <c r="H205">
        <v>1.9</v>
      </c>
      <c r="I205">
        <v>70</v>
      </c>
      <c r="J205">
        <v>0</v>
      </c>
      <c r="K205">
        <v>0</v>
      </c>
      <c r="L205" t="s">
        <v>117</v>
      </c>
      <c r="M205" t="s">
        <v>118</v>
      </c>
      <c r="N205">
        <v>39</v>
      </c>
      <c r="O205">
        <v>1</v>
      </c>
      <c r="P205" t="s">
        <v>111</v>
      </c>
      <c r="Q205">
        <v>61.2</v>
      </c>
      <c r="R205">
        <v>0</v>
      </c>
      <c r="S205">
        <v>0</v>
      </c>
      <c r="T205">
        <v>0</v>
      </c>
      <c r="U205" s="1" t="s">
        <v>838</v>
      </c>
      <c r="V205">
        <v>0</v>
      </c>
      <c r="W205">
        <v>25</v>
      </c>
      <c r="X205">
        <v>5</v>
      </c>
      <c r="Y205">
        <v>0</v>
      </c>
      <c r="Z205" t="s">
        <v>111</v>
      </c>
      <c r="AA205">
        <v>0</v>
      </c>
      <c r="AB205" t="s">
        <v>111</v>
      </c>
      <c r="AC205">
        <v>0</v>
      </c>
      <c r="AD205" t="s">
        <v>111</v>
      </c>
      <c r="AE205">
        <v>0</v>
      </c>
      <c r="AF205">
        <v>0</v>
      </c>
      <c r="AG205" t="s">
        <v>111</v>
      </c>
      <c r="AH205" t="s">
        <v>111</v>
      </c>
      <c r="AI205" t="s">
        <v>111</v>
      </c>
      <c r="AJ205" t="s">
        <v>111</v>
      </c>
      <c r="AK205" t="s">
        <v>111</v>
      </c>
      <c r="AL205" t="s">
        <v>111</v>
      </c>
      <c r="AM205">
        <v>0</v>
      </c>
      <c r="AN205">
        <v>0</v>
      </c>
      <c r="AO205">
        <v>0</v>
      </c>
      <c r="AP205" t="s">
        <v>111</v>
      </c>
      <c r="AQ205" t="s">
        <v>111</v>
      </c>
      <c r="AR205" t="s">
        <v>111</v>
      </c>
      <c r="AS205" t="s">
        <v>111</v>
      </c>
      <c r="AT205" t="s">
        <v>111</v>
      </c>
      <c r="AU205" t="s">
        <v>111</v>
      </c>
      <c r="AV205" t="s">
        <v>111</v>
      </c>
      <c r="AW205" t="s">
        <v>111</v>
      </c>
      <c r="AX205" t="s">
        <v>111</v>
      </c>
      <c r="AY205" t="s">
        <v>111</v>
      </c>
      <c r="AZ205" t="s">
        <v>111</v>
      </c>
      <c r="BA205" t="s">
        <v>111</v>
      </c>
      <c r="BB205" t="s">
        <v>111</v>
      </c>
      <c r="BC205" t="s">
        <v>111</v>
      </c>
      <c r="BD205" t="s">
        <v>111</v>
      </c>
      <c r="BE205" t="s">
        <v>111</v>
      </c>
      <c r="BF205" t="s">
        <v>111</v>
      </c>
      <c r="BG205" t="s">
        <v>111</v>
      </c>
      <c r="BH205" t="s">
        <v>111</v>
      </c>
      <c r="BI205" t="s">
        <v>111</v>
      </c>
      <c r="BJ205" t="s">
        <v>111</v>
      </c>
      <c r="BK205" t="s">
        <v>111</v>
      </c>
      <c r="BL205" t="s">
        <v>111</v>
      </c>
      <c r="BM205" t="s">
        <v>111</v>
      </c>
      <c r="BN205" t="s">
        <v>111</v>
      </c>
      <c r="BO205" t="s">
        <v>111</v>
      </c>
      <c r="BP205" t="s">
        <v>111</v>
      </c>
      <c r="BQ205" t="s">
        <v>111</v>
      </c>
      <c r="BR205" t="s">
        <v>111</v>
      </c>
      <c r="BS205" t="s">
        <v>111</v>
      </c>
      <c r="BT205" t="s">
        <v>111</v>
      </c>
      <c r="BU205" t="s">
        <v>111</v>
      </c>
      <c r="BV205" t="s">
        <v>111</v>
      </c>
      <c r="BW205" t="s">
        <v>111</v>
      </c>
      <c r="BX205" t="s">
        <v>111</v>
      </c>
      <c r="BY205" t="s">
        <v>111</v>
      </c>
      <c r="BZ205" t="s">
        <v>111</v>
      </c>
      <c r="CA205" t="s">
        <v>111</v>
      </c>
      <c r="CB205" t="s">
        <v>111</v>
      </c>
      <c r="CC205" t="s">
        <v>111</v>
      </c>
      <c r="CD205" t="s">
        <v>111</v>
      </c>
      <c r="CE205" t="s">
        <v>111</v>
      </c>
      <c r="CF205" t="s">
        <v>111</v>
      </c>
      <c r="CG205" t="s">
        <v>111</v>
      </c>
      <c r="CH205" t="s">
        <v>111</v>
      </c>
      <c r="CI205" t="s">
        <v>111</v>
      </c>
      <c r="CJ205" t="s">
        <v>111</v>
      </c>
      <c r="CK205" t="s">
        <v>111</v>
      </c>
      <c r="CL205" t="s">
        <v>111</v>
      </c>
      <c r="CM205" t="s">
        <v>111</v>
      </c>
      <c r="CN205" t="s">
        <v>111</v>
      </c>
      <c r="CO205" t="s">
        <v>111</v>
      </c>
      <c r="CP205" t="s">
        <v>111</v>
      </c>
      <c r="CQ205">
        <v>0</v>
      </c>
      <c r="CR205">
        <v>0</v>
      </c>
      <c r="CS205">
        <v>0</v>
      </c>
      <c r="CT205" t="s">
        <v>111</v>
      </c>
      <c r="CU205">
        <v>0</v>
      </c>
      <c r="CV205" t="s">
        <v>111</v>
      </c>
      <c r="CW205" t="s">
        <v>111</v>
      </c>
      <c r="CX205" t="s">
        <v>111</v>
      </c>
      <c r="CY205">
        <v>0</v>
      </c>
      <c r="CZ205" t="s">
        <v>111</v>
      </c>
      <c r="DA205" t="s">
        <v>111</v>
      </c>
      <c r="DB205" t="s">
        <v>111</v>
      </c>
      <c r="DC205" t="s">
        <v>111</v>
      </c>
    </row>
    <row r="206" spans="1:107">
      <c r="A206">
        <v>1555</v>
      </c>
      <c r="B206" t="s">
        <v>107</v>
      </c>
      <c r="C206" t="s">
        <v>405</v>
      </c>
      <c r="D206" t="s">
        <v>839</v>
      </c>
      <c r="E206" t="s">
        <v>840</v>
      </c>
      <c r="F206" t="s">
        <v>157</v>
      </c>
      <c r="G206" t="s">
        <v>469</v>
      </c>
      <c r="H206">
        <v>1.1000000000000001</v>
      </c>
      <c r="I206">
        <v>52.25</v>
      </c>
      <c r="J206">
        <v>0</v>
      </c>
      <c r="K206">
        <v>0</v>
      </c>
      <c r="L206" t="s">
        <v>112</v>
      </c>
      <c r="M206" t="s">
        <v>111</v>
      </c>
      <c r="N206">
        <v>0</v>
      </c>
      <c r="O206">
        <v>0</v>
      </c>
      <c r="P206" t="s">
        <v>111</v>
      </c>
      <c r="Q206">
        <v>53.9</v>
      </c>
      <c r="R206">
        <v>0</v>
      </c>
      <c r="S206">
        <v>0</v>
      </c>
      <c r="T206">
        <v>5</v>
      </c>
      <c r="U206" s="1" t="s">
        <v>841</v>
      </c>
      <c r="V206">
        <v>0</v>
      </c>
      <c r="W206">
        <v>25</v>
      </c>
      <c r="X206">
        <v>5</v>
      </c>
      <c r="Y206">
        <v>0</v>
      </c>
      <c r="Z206" t="s">
        <v>111</v>
      </c>
      <c r="AA206">
        <v>0</v>
      </c>
      <c r="AB206" t="s">
        <v>111</v>
      </c>
      <c r="AC206">
        <v>0</v>
      </c>
      <c r="AD206" t="s">
        <v>111</v>
      </c>
      <c r="AE206">
        <v>0</v>
      </c>
      <c r="AF206">
        <v>0</v>
      </c>
      <c r="AG206" t="s">
        <v>111</v>
      </c>
      <c r="AH206" t="s">
        <v>111</v>
      </c>
      <c r="AI206" t="s">
        <v>111</v>
      </c>
      <c r="AJ206" t="s">
        <v>111</v>
      </c>
      <c r="AK206" t="s">
        <v>111</v>
      </c>
      <c r="AL206" t="s">
        <v>111</v>
      </c>
      <c r="AM206">
        <v>0</v>
      </c>
      <c r="AN206">
        <v>0</v>
      </c>
      <c r="AO206">
        <v>0</v>
      </c>
      <c r="AP206" t="s">
        <v>111</v>
      </c>
      <c r="AQ206" t="s">
        <v>111</v>
      </c>
      <c r="AR206" t="s">
        <v>111</v>
      </c>
      <c r="AS206" t="s">
        <v>111</v>
      </c>
      <c r="AT206" t="s">
        <v>111</v>
      </c>
      <c r="AU206" t="s">
        <v>111</v>
      </c>
      <c r="AV206" t="s">
        <v>111</v>
      </c>
      <c r="AW206" t="s">
        <v>111</v>
      </c>
      <c r="AX206" t="s">
        <v>111</v>
      </c>
      <c r="AY206" t="s">
        <v>111</v>
      </c>
      <c r="AZ206" t="s">
        <v>111</v>
      </c>
      <c r="BA206" t="s">
        <v>111</v>
      </c>
      <c r="BB206" t="s">
        <v>111</v>
      </c>
      <c r="BC206" t="s">
        <v>111</v>
      </c>
      <c r="BD206" t="s">
        <v>111</v>
      </c>
      <c r="BE206" t="s">
        <v>111</v>
      </c>
      <c r="BF206" t="s">
        <v>111</v>
      </c>
      <c r="BG206" t="s">
        <v>111</v>
      </c>
      <c r="BH206" t="s">
        <v>111</v>
      </c>
      <c r="BI206" t="s">
        <v>111</v>
      </c>
      <c r="BJ206" t="s">
        <v>111</v>
      </c>
      <c r="BK206" t="s">
        <v>111</v>
      </c>
      <c r="BL206" t="s">
        <v>111</v>
      </c>
      <c r="BM206" t="s">
        <v>111</v>
      </c>
      <c r="BN206" t="s">
        <v>111</v>
      </c>
      <c r="BO206" t="s">
        <v>111</v>
      </c>
      <c r="BP206" t="s">
        <v>111</v>
      </c>
      <c r="BQ206" t="s">
        <v>111</v>
      </c>
      <c r="BR206" t="s">
        <v>111</v>
      </c>
      <c r="BS206" t="s">
        <v>111</v>
      </c>
      <c r="BT206" t="s">
        <v>111</v>
      </c>
      <c r="BU206" t="s">
        <v>111</v>
      </c>
      <c r="BV206" t="s">
        <v>111</v>
      </c>
      <c r="BW206" t="s">
        <v>111</v>
      </c>
      <c r="BX206" t="s">
        <v>111</v>
      </c>
      <c r="BY206" t="s">
        <v>111</v>
      </c>
      <c r="BZ206" t="s">
        <v>111</v>
      </c>
      <c r="CA206" t="s">
        <v>111</v>
      </c>
      <c r="CB206" t="s">
        <v>111</v>
      </c>
      <c r="CC206" t="s">
        <v>111</v>
      </c>
      <c r="CD206" t="s">
        <v>111</v>
      </c>
      <c r="CE206" t="s">
        <v>111</v>
      </c>
      <c r="CF206" t="s">
        <v>111</v>
      </c>
      <c r="CG206" t="s">
        <v>111</v>
      </c>
      <c r="CH206" t="s">
        <v>111</v>
      </c>
      <c r="CI206" t="s">
        <v>111</v>
      </c>
      <c r="CJ206" t="s">
        <v>111</v>
      </c>
      <c r="CK206" t="s">
        <v>111</v>
      </c>
      <c r="CL206" t="s">
        <v>111</v>
      </c>
      <c r="CM206" t="s">
        <v>111</v>
      </c>
      <c r="CN206" t="s">
        <v>111</v>
      </c>
      <c r="CO206" t="s">
        <v>111</v>
      </c>
      <c r="CP206" t="s">
        <v>111</v>
      </c>
      <c r="CQ206">
        <v>0</v>
      </c>
      <c r="CR206">
        <v>0</v>
      </c>
      <c r="CS206">
        <v>0</v>
      </c>
      <c r="CT206" t="s">
        <v>111</v>
      </c>
      <c r="CU206">
        <v>0</v>
      </c>
      <c r="CV206" t="s">
        <v>111</v>
      </c>
      <c r="CW206" t="s">
        <v>111</v>
      </c>
      <c r="CX206" t="s">
        <v>111</v>
      </c>
      <c r="CY206">
        <v>0</v>
      </c>
      <c r="CZ206" t="s">
        <v>111</v>
      </c>
      <c r="DA206" t="s">
        <v>111</v>
      </c>
      <c r="DB206" t="s">
        <v>111</v>
      </c>
      <c r="DC206" t="s">
        <v>111</v>
      </c>
    </row>
    <row r="207" spans="1:107">
      <c r="A207">
        <v>1554</v>
      </c>
      <c r="B207" t="s">
        <v>107</v>
      </c>
      <c r="C207" t="s">
        <v>405</v>
      </c>
      <c r="D207" t="s">
        <v>842</v>
      </c>
      <c r="E207" t="s">
        <v>843</v>
      </c>
      <c r="F207" t="s">
        <v>411</v>
      </c>
      <c r="G207" t="s">
        <v>469</v>
      </c>
      <c r="H207">
        <v>1.1000000000000001</v>
      </c>
      <c r="I207">
        <v>36</v>
      </c>
      <c r="J207">
        <v>2.5</v>
      </c>
      <c r="K207">
        <v>0</v>
      </c>
      <c r="L207" t="s">
        <v>178</v>
      </c>
      <c r="M207" t="s">
        <v>111</v>
      </c>
      <c r="N207">
        <v>0</v>
      </c>
      <c r="O207">
        <v>0</v>
      </c>
      <c r="P207" t="s">
        <v>111</v>
      </c>
      <c r="Q207">
        <v>30.6</v>
      </c>
      <c r="R207">
        <v>0</v>
      </c>
      <c r="S207">
        <v>0</v>
      </c>
      <c r="T207">
        <v>0</v>
      </c>
      <c r="U207" s="1" t="s">
        <v>844</v>
      </c>
      <c r="V207">
        <v>0</v>
      </c>
      <c r="W207">
        <v>5</v>
      </c>
      <c r="X207">
        <v>5</v>
      </c>
      <c r="Y207">
        <v>0</v>
      </c>
      <c r="Z207" t="s">
        <v>111</v>
      </c>
      <c r="AA207">
        <v>0</v>
      </c>
      <c r="AB207" t="s">
        <v>111</v>
      </c>
      <c r="AC207">
        <v>0</v>
      </c>
      <c r="AD207" t="s">
        <v>111</v>
      </c>
      <c r="AE207">
        <v>0</v>
      </c>
      <c r="AF207">
        <v>0</v>
      </c>
      <c r="AG207" t="s">
        <v>111</v>
      </c>
      <c r="AH207" t="s">
        <v>111</v>
      </c>
      <c r="AI207" t="s">
        <v>111</v>
      </c>
      <c r="AJ207" t="s">
        <v>111</v>
      </c>
      <c r="AK207" t="s">
        <v>111</v>
      </c>
      <c r="AL207" t="s">
        <v>111</v>
      </c>
      <c r="AM207">
        <v>0</v>
      </c>
      <c r="AN207">
        <v>0</v>
      </c>
      <c r="AO207">
        <v>0</v>
      </c>
      <c r="AP207" t="s">
        <v>111</v>
      </c>
      <c r="AQ207" t="s">
        <v>111</v>
      </c>
      <c r="AR207" t="s">
        <v>111</v>
      </c>
      <c r="AS207" t="s">
        <v>111</v>
      </c>
      <c r="AT207" t="s">
        <v>111</v>
      </c>
      <c r="AU207" t="s">
        <v>111</v>
      </c>
      <c r="AV207" t="s">
        <v>111</v>
      </c>
      <c r="AW207" t="s">
        <v>111</v>
      </c>
      <c r="AX207" t="s">
        <v>111</v>
      </c>
      <c r="AY207" t="s">
        <v>111</v>
      </c>
      <c r="AZ207" t="s">
        <v>111</v>
      </c>
      <c r="BA207" t="s">
        <v>111</v>
      </c>
      <c r="BB207" t="s">
        <v>111</v>
      </c>
      <c r="BC207" t="s">
        <v>111</v>
      </c>
      <c r="BD207" t="s">
        <v>111</v>
      </c>
      <c r="BE207" t="s">
        <v>111</v>
      </c>
      <c r="BF207" t="s">
        <v>111</v>
      </c>
      <c r="BG207" t="s">
        <v>111</v>
      </c>
      <c r="BH207" t="s">
        <v>111</v>
      </c>
      <c r="BI207" t="s">
        <v>111</v>
      </c>
      <c r="BJ207" t="s">
        <v>111</v>
      </c>
      <c r="BK207" t="s">
        <v>111</v>
      </c>
      <c r="BL207" t="s">
        <v>111</v>
      </c>
      <c r="BM207" t="s">
        <v>111</v>
      </c>
      <c r="BN207" t="s">
        <v>111</v>
      </c>
      <c r="BO207" t="s">
        <v>111</v>
      </c>
      <c r="BP207" t="s">
        <v>111</v>
      </c>
      <c r="BQ207" t="s">
        <v>111</v>
      </c>
      <c r="BR207" t="s">
        <v>111</v>
      </c>
      <c r="BS207" t="s">
        <v>111</v>
      </c>
      <c r="BT207" t="s">
        <v>111</v>
      </c>
      <c r="BU207" t="s">
        <v>111</v>
      </c>
      <c r="BV207" t="s">
        <v>111</v>
      </c>
      <c r="BW207" t="s">
        <v>111</v>
      </c>
      <c r="BX207" t="s">
        <v>111</v>
      </c>
      <c r="BY207" t="s">
        <v>111</v>
      </c>
      <c r="BZ207" t="s">
        <v>111</v>
      </c>
      <c r="CA207" t="s">
        <v>111</v>
      </c>
      <c r="CB207" t="s">
        <v>111</v>
      </c>
      <c r="CC207" t="s">
        <v>111</v>
      </c>
      <c r="CD207" t="s">
        <v>111</v>
      </c>
      <c r="CE207" t="s">
        <v>111</v>
      </c>
      <c r="CF207" t="s">
        <v>111</v>
      </c>
      <c r="CG207" t="s">
        <v>111</v>
      </c>
      <c r="CH207" t="s">
        <v>111</v>
      </c>
      <c r="CI207" t="s">
        <v>111</v>
      </c>
      <c r="CJ207" t="s">
        <v>111</v>
      </c>
      <c r="CK207" t="s">
        <v>111</v>
      </c>
      <c r="CL207" t="s">
        <v>111</v>
      </c>
      <c r="CM207" t="s">
        <v>111</v>
      </c>
      <c r="CN207" t="s">
        <v>111</v>
      </c>
      <c r="CO207" t="s">
        <v>111</v>
      </c>
      <c r="CP207" t="s">
        <v>111</v>
      </c>
      <c r="CQ207">
        <v>0</v>
      </c>
      <c r="CR207">
        <v>0</v>
      </c>
      <c r="CS207">
        <v>0</v>
      </c>
      <c r="CT207" t="s">
        <v>111</v>
      </c>
      <c r="CU207">
        <v>0</v>
      </c>
      <c r="CV207" t="s">
        <v>111</v>
      </c>
      <c r="CW207" t="s">
        <v>111</v>
      </c>
      <c r="CX207" t="s">
        <v>111</v>
      </c>
      <c r="CY207">
        <v>0</v>
      </c>
      <c r="CZ207" t="s">
        <v>111</v>
      </c>
      <c r="DA207" t="s">
        <v>111</v>
      </c>
      <c r="DB207" t="s">
        <v>111</v>
      </c>
      <c r="DC207" t="s">
        <v>111</v>
      </c>
    </row>
    <row r="208" spans="1:107">
      <c r="A208">
        <v>1551</v>
      </c>
      <c r="B208" t="s">
        <v>107</v>
      </c>
      <c r="C208" t="s">
        <v>428</v>
      </c>
      <c r="D208" t="s">
        <v>845</v>
      </c>
      <c r="E208" t="s">
        <v>846</v>
      </c>
      <c r="F208" t="s">
        <v>431</v>
      </c>
      <c r="G208" t="s">
        <v>469</v>
      </c>
      <c r="H208">
        <v>1.5</v>
      </c>
      <c r="I208">
        <v>49.5</v>
      </c>
      <c r="J208">
        <v>0</v>
      </c>
      <c r="K208">
        <v>0</v>
      </c>
      <c r="L208" t="s">
        <v>117</v>
      </c>
      <c r="M208" t="s">
        <v>118</v>
      </c>
      <c r="N208">
        <v>39</v>
      </c>
      <c r="O208">
        <v>1</v>
      </c>
      <c r="P208" t="s">
        <v>111</v>
      </c>
      <c r="Q208">
        <v>48.7</v>
      </c>
      <c r="R208">
        <v>0</v>
      </c>
      <c r="S208">
        <v>0</v>
      </c>
      <c r="T208">
        <v>5</v>
      </c>
      <c r="U208" s="1" t="s">
        <v>847</v>
      </c>
      <c r="V208">
        <v>0</v>
      </c>
      <c r="W208">
        <v>25</v>
      </c>
      <c r="X208">
        <v>8</v>
      </c>
      <c r="Y208">
        <v>0</v>
      </c>
      <c r="Z208" t="s">
        <v>111</v>
      </c>
      <c r="AA208">
        <v>0</v>
      </c>
      <c r="AB208" t="s">
        <v>111</v>
      </c>
      <c r="AC208">
        <v>0</v>
      </c>
      <c r="AD208" t="s">
        <v>493</v>
      </c>
      <c r="AE208">
        <v>0</v>
      </c>
      <c r="AF208">
        <v>0</v>
      </c>
      <c r="AG208" t="s">
        <v>111</v>
      </c>
      <c r="AH208" t="s">
        <v>113</v>
      </c>
      <c r="AI208" t="s">
        <v>111</v>
      </c>
      <c r="AJ208" t="s">
        <v>111</v>
      </c>
      <c r="AK208" t="s">
        <v>111</v>
      </c>
      <c r="AL208" t="s">
        <v>111</v>
      </c>
      <c r="AM208">
        <v>0</v>
      </c>
      <c r="AN208">
        <v>0</v>
      </c>
      <c r="AO208">
        <v>0</v>
      </c>
      <c r="AP208" t="s">
        <v>111</v>
      </c>
      <c r="AQ208" t="s">
        <v>111</v>
      </c>
      <c r="AR208" t="s">
        <v>111</v>
      </c>
      <c r="AS208" t="s">
        <v>111</v>
      </c>
      <c r="AT208" t="s">
        <v>111</v>
      </c>
      <c r="AU208" t="s">
        <v>111</v>
      </c>
      <c r="AV208" t="s">
        <v>111</v>
      </c>
      <c r="AW208" t="s">
        <v>111</v>
      </c>
      <c r="AX208" t="s">
        <v>111</v>
      </c>
      <c r="AY208" t="s">
        <v>111</v>
      </c>
      <c r="AZ208" t="s">
        <v>111</v>
      </c>
      <c r="BA208" t="s">
        <v>111</v>
      </c>
      <c r="BB208" t="s">
        <v>111</v>
      </c>
      <c r="BC208" t="s">
        <v>111</v>
      </c>
      <c r="BD208" t="s">
        <v>111</v>
      </c>
      <c r="BE208" t="s">
        <v>111</v>
      </c>
      <c r="BF208" t="s">
        <v>111</v>
      </c>
      <c r="BG208" t="s">
        <v>111</v>
      </c>
      <c r="BH208" t="s">
        <v>111</v>
      </c>
      <c r="BI208" t="s">
        <v>111</v>
      </c>
      <c r="BJ208" t="s">
        <v>111</v>
      </c>
      <c r="BK208" t="s">
        <v>111</v>
      </c>
      <c r="BL208" t="s">
        <v>111</v>
      </c>
      <c r="BM208" t="s">
        <v>111</v>
      </c>
      <c r="BN208" t="s">
        <v>111</v>
      </c>
      <c r="BO208" t="s">
        <v>111</v>
      </c>
      <c r="BP208" t="s">
        <v>111</v>
      </c>
      <c r="BQ208" t="s">
        <v>111</v>
      </c>
      <c r="BR208" t="s">
        <v>111</v>
      </c>
      <c r="BS208" t="s">
        <v>111</v>
      </c>
      <c r="BT208" t="s">
        <v>111</v>
      </c>
      <c r="BU208" t="s">
        <v>111</v>
      </c>
      <c r="BV208" t="s">
        <v>111</v>
      </c>
      <c r="BW208" t="s">
        <v>111</v>
      </c>
      <c r="BX208" t="s">
        <v>111</v>
      </c>
      <c r="BY208" t="s">
        <v>111</v>
      </c>
      <c r="BZ208" t="s">
        <v>111</v>
      </c>
      <c r="CA208" t="s">
        <v>111</v>
      </c>
      <c r="CB208" t="s">
        <v>111</v>
      </c>
      <c r="CC208" t="s">
        <v>111</v>
      </c>
      <c r="CD208" t="s">
        <v>111</v>
      </c>
      <c r="CE208" t="s">
        <v>111</v>
      </c>
      <c r="CF208" t="s">
        <v>111</v>
      </c>
      <c r="CG208" t="s">
        <v>111</v>
      </c>
      <c r="CH208" t="s">
        <v>111</v>
      </c>
      <c r="CI208" t="s">
        <v>111</v>
      </c>
      <c r="CJ208" t="s">
        <v>111</v>
      </c>
      <c r="CK208" t="s">
        <v>111</v>
      </c>
      <c r="CL208" t="s">
        <v>111</v>
      </c>
      <c r="CM208" t="s">
        <v>135</v>
      </c>
      <c r="CN208" t="s">
        <v>113</v>
      </c>
      <c r="CO208" t="s">
        <v>111</v>
      </c>
      <c r="CP208" t="e">
        <f>-MUESTRA</f>
        <v>#NAME?</v>
      </c>
      <c r="CQ208">
        <v>0</v>
      </c>
      <c r="CR208">
        <v>0</v>
      </c>
      <c r="CS208">
        <v>50</v>
      </c>
      <c r="CT208" s="1" t="s">
        <v>848</v>
      </c>
      <c r="CU208">
        <v>0</v>
      </c>
      <c r="CV208" t="s">
        <v>111</v>
      </c>
      <c r="CW208" t="s">
        <v>111</v>
      </c>
      <c r="CX208" t="s">
        <v>111</v>
      </c>
      <c r="CY208">
        <v>0</v>
      </c>
      <c r="CZ208" t="s">
        <v>111</v>
      </c>
      <c r="DA208" t="s">
        <v>111</v>
      </c>
      <c r="DB208" t="e">
        <f>-EXTERNO</f>
        <v>#NAME?</v>
      </c>
      <c r="DC208" t="e">
        <f>-PEGADA DE GANCHO- PERFORACION</f>
        <v>#NAME?</v>
      </c>
    </row>
    <row r="209" spans="1:107">
      <c r="A209">
        <v>1541</v>
      </c>
      <c r="B209" t="s">
        <v>107</v>
      </c>
      <c r="C209" t="s">
        <v>399</v>
      </c>
      <c r="D209" t="s">
        <v>849</v>
      </c>
      <c r="E209" t="s">
        <v>850</v>
      </c>
      <c r="F209" t="s">
        <v>270</v>
      </c>
      <c r="G209" t="s">
        <v>469</v>
      </c>
      <c r="H209">
        <v>0.7</v>
      </c>
      <c r="I209">
        <v>70</v>
      </c>
      <c r="J209">
        <v>0</v>
      </c>
      <c r="K209">
        <v>0</v>
      </c>
      <c r="L209" t="s">
        <v>178</v>
      </c>
      <c r="M209" t="s">
        <v>111</v>
      </c>
      <c r="N209">
        <v>0</v>
      </c>
      <c r="O209">
        <v>0</v>
      </c>
      <c r="P209" t="s">
        <v>111</v>
      </c>
      <c r="Q209">
        <v>46</v>
      </c>
      <c r="R209">
        <v>0</v>
      </c>
      <c r="S209">
        <v>0</v>
      </c>
      <c r="T209">
        <v>5</v>
      </c>
      <c r="U209" s="1" t="s">
        <v>851</v>
      </c>
      <c r="V209">
        <v>25</v>
      </c>
      <c r="W209">
        <v>0</v>
      </c>
      <c r="X209">
        <v>7</v>
      </c>
      <c r="Y209">
        <v>0</v>
      </c>
      <c r="Z209" t="s">
        <v>271</v>
      </c>
      <c r="AA209">
        <v>1.5</v>
      </c>
      <c r="AB209" t="s">
        <v>111</v>
      </c>
      <c r="AC209">
        <v>0</v>
      </c>
      <c r="AD209" t="s">
        <v>111</v>
      </c>
      <c r="AE209">
        <v>0</v>
      </c>
      <c r="AF209">
        <v>0</v>
      </c>
      <c r="AG209" t="s">
        <v>111</v>
      </c>
      <c r="AH209" t="s">
        <v>111</v>
      </c>
      <c r="AI209" t="s">
        <v>111</v>
      </c>
      <c r="AJ209" t="s">
        <v>111</v>
      </c>
      <c r="AK209" t="s">
        <v>111</v>
      </c>
      <c r="AL209" t="s">
        <v>111</v>
      </c>
      <c r="AM209">
        <v>0</v>
      </c>
      <c r="AN209">
        <v>0</v>
      </c>
      <c r="AO209">
        <v>0</v>
      </c>
      <c r="AP209" t="s">
        <v>111</v>
      </c>
      <c r="AQ209" t="s">
        <v>111</v>
      </c>
      <c r="AR209" t="s">
        <v>111</v>
      </c>
      <c r="AS209" t="s">
        <v>111</v>
      </c>
      <c r="AT209" t="s">
        <v>111</v>
      </c>
      <c r="AU209" t="s">
        <v>111</v>
      </c>
      <c r="AV209" t="s">
        <v>111</v>
      </c>
      <c r="AW209" t="s">
        <v>111</v>
      </c>
      <c r="AX209" t="s">
        <v>111</v>
      </c>
      <c r="AY209" t="s">
        <v>111</v>
      </c>
      <c r="AZ209" t="s">
        <v>111</v>
      </c>
      <c r="BA209" t="s">
        <v>111</v>
      </c>
      <c r="BB209" t="s">
        <v>111</v>
      </c>
      <c r="BC209" t="s">
        <v>111</v>
      </c>
      <c r="BD209" t="s">
        <v>111</v>
      </c>
      <c r="BE209" t="s">
        <v>111</v>
      </c>
      <c r="BF209" t="s">
        <v>111</v>
      </c>
      <c r="BG209" t="s">
        <v>111</v>
      </c>
      <c r="BH209" t="s">
        <v>111</v>
      </c>
      <c r="BI209" t="s">
        <v>111</v>
      </c>
      <c r="BJ209" t="s">
        <v>111</v>
      </c>
      <c r="BK209" t="s">
        <v>111</v>
      </c>
      <c r="BL209" t="s">
        <v>111</v>
      </c>
      <c r="BM209" t="s">
        <v>111</v>
      </c>
      <c r="BN209" t="s">
        <v>111</v>
      </c>
      <c r="BO209" t="s">
        <v>111</v>
      </c>
      <c r="BP209" t="s">
        <v>111</v>
      </c>
      <c r="BQ209" t="s">
        <v>111</v>
      </c>
      <c r="BR209" t="s">
        <v>111</v>
      </c>
      <c r="BS209" t="s">
        <v>111</v>
      </c>
      <c r="BT209" t="s">
        <v>111</v>
      </c>
      <c r="BU209" t="s">
        <v>111</v>
      </c>
      <c r="BV209" t="s">
        <v>111</v>
      </c>
      <c r="BW209" t="s">
        <v>111</v>
      </c>
      <c r="BX209" t="s">
        <v>111</v>
      </c>
      <c r="BY209" t="s">
        <v>111</v>
      </c>
      <c r="BZ209" t="s">
        <v>111</v>
      </c>
      <c r="CA209" t="s">
        <v>111</v>
      </c>
      <c r="CB209" t="s">
        <v>111</v>
      </c>
      <c r="CC209" t="s">
        <v>111</v>
      </c>
      <c r="CD209" t="s">
        <v>111</v>
      </c>
      <c r="CE209" t="s">
        <v>111</v>
      </c>
      <c r="CF209" t="s">
        <v>111</v>
      </c>
      <c r="CG209" t="s">
        <v>111</v>
      </c>
      <c r="CH209" t="s">
        <v>111</v>
      </c>
      <c r="CI209" t="s">
        <v>111</v>
      </c>
      <c r="CJ209" t="s">
        <v>111</v>
      </c>
      <c r="CK209" t="s">
        <v>111</v>
      </c>
      <c r="CL209" t="s">
        <v>111</v>
      </c>
      <c r="CM209" t="s">
        <v>360</v>
      </c>
      <c r="CN209" t="s">
        <v>113</v>
      </c>
      <c r="CO209" t="s">
        <v>111</v>
      </c>
      <c r="CP209" t="s">
        <v>111</v>
      </c>
      <c r="CQ209">
        <v>0</v>
      </c>
      <c r="CR209">
        <v>500</v>
      </c>
      <c r="CS209">
        <v>50</v>
      </c>
      <c r="CT209" t="e">
        <f>-ALMACEN</f>
        <v>#NAME?</v>
      </c>
      <c r="CU209">
        <v>0</v>
      </c>
      <c r="CV209" t="s">
        <v>111</v>
      </c>
      <c r="CW209" t="s">
        <v>111</v>
      </c>
      <c r="CX209" t="s">
        <v>111</v>
      </c>
      <c r="CY209">
        <v>0</v>
      </c>
      <c r="CZ209" t="s">
        <v>111</v>
      </c>
      <c r="DA209" t="s">
        <v>111</v>
      </c>
      <c r="DB209" t="s">
        <v>111</v>
      </c>
      <c r="DC209" t="s">
        <v>111</v>
      </c>
    </row>
    <row r="210" spans="1:107">
      <c r="A210">
        <v>1540</v>
      </c>
      <c r="B210" t="s">
        <v>107</v>
      </c>
      <c r="C210" t="s">
        <v>399</v>
      </c>
      <c r="D210" t="s">
        <v>852</v>
      </c>
      <c r="E210" t="s">
        <v>853</v>
      </c>
      <c r="F210" t="s">
        <v>759</v>
      </c>
      <c r="G210" t="s">
        <v>469</v>
      </c>
      <c r="H210">
        <v>0.7</v>
      </c>
      <c r="I210">
        <v>70</v>
      </c>
      <c r="J210">
        <v>0</v>
      </c>
      <c r="K210">
        <v>0</v>
      </c>
      <c r="L210" t="s">
        <v>178</v>
      </c>
      <c r="M210" t="s">
        <v>138</v>
      </c>
      <c r="N210">
        <v>0</v>
      </c>
      <c r="O210">
        <v>0</v>
      </c>
      <c r="P210" t="s">
        <v>111</v>
      </c>
      <c r="Q210">
        <v>40.5</v>
      </c>
      <c r="R210">
        <v>0</v>
      </c>
      <c r="S210">
        <v>0</v>
      </c>
      <c r="T210">
        <v>5</v>
      </c>
      <c r="U210" t="e">
        <f>-SELLADO</f>
        <v>#NAME?</v>
      </c>
      <c r="V210">
        <v>25</v>
      </c>
      <c r="W210">
        <v>0</v>
      </c>
      <c r="X210">
        <v>7</v>
      </c>
      <c r="Y210">
        <v>0</v>
      </c>
      <c r="Z210" t="s">
        <v>188</v>
      </c>
      <c r="AA210">
        <v>1.2</v>
      </c>
      <c r="AB210" t="s">
        <v>111</v>
      </c>
      <c r="AC210">
        <v>0</v>
      </c>
      <c r="AD210" t="s">
        <v>111</v>
      </c>
      <c r="AE210">
        <v>0</v>
      </c>
      <c r="AF210">
        <v>0</v>
      </c>
      <c r="AG210" t="s">
        <v>111</v>
      </c>
      <c r="AH210" t="s">
        <v>111</v>
      </c>
      <c r="AI210" t="s">
        <v>111</v>
      </c>
      <c r="AJ210" t="s">
        <v>111</v>
      </c>
      <c r="AK210" t="s">
        <v>111</v>
      </c>
      <c r="AL210" t="s">
        <v>111</v>
      </c>
      <c r="AM210">
        <v>0</v>
      </c>
      <c r="AN210">
        <v>0</v>
      </c>
      <c r="AO210">
        <v>0</v>
      </c>
      <c r="AP210" t="s">
        <v>111</v>
      </c>
      <c r="AQ210" t="s">
        <v>111</v>
      </c>
      <c r="AR210" t="s">
        <v>111</v>
      </c>
      <c r="AS210" t="s">
        <v>111</v>
      </c>
      <c r="AT210" t="s">
        <v>111</v>
      </c>
      <c r="AU210" t="s">
        <v>111</v>
      </c>
      <c r="AV210" t="s">
        <v>111</v>
      </c>
      <c r="AW210" t="s">
        <v>111</v>
      </c>
      <c r="AX210" t="s">
        <v>111</v>
      </c>
      <c r="AY210" t="s">
        <v>111</v>
      </c>
      <c r="AZ210" t="s">
        <v>111</v>
      </c>
      <c r="BA210" t="s">
        <v>111</v>
      </c>
      <c r="BB210" t="s">
        <v>111</v>
      </c>
      <c r="BC210" t="s">
        <v>111</v>
      </c>
      <c r="BD210" t="s">
        <v>111</v>
      </c>
      <c r="BE210" t="s">
        <v>111</v>
      </c>
      <c r="BF210" t="s">
        <v>111</v>
      </c>
      <c r="BG210" t="s">
        <v>111</v>
      </c>
      <c r="BH210" t="s">
        <v>111</v>
      </c>
      <c r="BI210" t="s">
        <v>111</v>
      </c>
      <c r="BJ210" t="s">
        <v>111</v>
      </c>
      <c r="BK210" t="s">
        <v>111</v>
      </c>
      <c r="BL210" t="s">
        <v>111</v>
      </c>
      <c r="BM210" t="s">
        <v>111</v>
      </c>
      <c r="BN210" t="s">
        <v>111</v>
      </c>
      <c r="BO210" t="s">
        <v>111</v>
      </c>
      <c r="BP210" t="s">
        <v>111</v>
      </c>
      <c r="BQ210" t="s">
        <v>111</v>
      </c>
      <c r="BR210" t="s">
        <v>111</v>
      </c>
      <c r="BS210" t="s">
        <v>111</v>
      </c>
      <c r="BT210" t="s">
        <v>111</v>
      </c>
      <c r="BU210" t="s">
        <v>111</v>
      </c>
      <c r="BV210" t="s">
        <v>111</v>
      </c>
      <c r="BW210" t="s">
        <v>111</v>
      </c>
      <c r="BX210" t="s">
        <v>111</v>
      </c>
      <c r="BY210" t="s">
        <v>111</v>
      </c>
      <c r="BZ210" t="s">
        <v>111</v>
      </c>
      <c r="CA210" t="s">
        <v>111</v>
      </c>
      <c r="CB210" t="s">
        <v>111</v>
      </c>
      <c r="CC210" t="s">
        <v>111</v>
      </c>
      <c r="CD210" t="s">
        <v>111</v>
      </c>
      <c r="CE210" t="s">
        <v>111</v>
      </c>
      <c r="CF210" t="s">
        <v>111</v>
      </c>
      <c r="CG210" t="s">
        <v>111</v>
      </c>
      <c r="CH210" t="s">
        <v>111</v>
      </c>
      <c r="CI210" t="s">
        <v>111</v>
      </c>
      <c r="CJ210" t="s">
        <v>111</v>
      </c>
      <c r="CK210" t="s">
        <v>111</v>
      </c>
      <c r="CL210" t="s">
        <v>111</v>
      </c>
      <c r="CM210" t="s">
        <v>360</v>
      </c>
      <c r="CN210" t="s">
        <v>113</v>
      </c>
      <c r="CO210" t="s">
        <v>111</v>
      </c>
      <c r="CP210" t="s">
        <v>111</v>
      </c>
      <c r="CQ210">
        <v>0</v>
      </c>
      <c r="CR210">
        <v>500</v>
      </c>
      <c r="CS210">
        <v>50</v>
      </c>
      <c r="CT210" s="1" t="s">
        <v>854</v>
      </c>
      <c r="CU210">
        <v>0</v>
      </c>
      <c r="CV210" t="s">
        <v>111</v>
      </c>
      <c r="CW210" t="s">
        <v>111</v>
      </c>
      <c r="CX210" t="s">
        <v>111</v>
      </c>
      <c r="CY210">
        <v>0</v>
      </c>
      <c r="CZ210" t="s">
        <v>111</v>
      </c>
      <c r="DA210" t="s">
        <v>111</v>
      </c>
      <c r="DB210" t="s">
        <v>111</v>
      </c>
      <c r="DC210" t="s">
        <v>111</v>
      </c>
    </row>
    <row r="211" spans="1:107">
      <c r="A211">
        <v>1538</v>
      </c>
      <c r="B211" t="s">
        <v>107</v>
      </c>
      <c r="C211" t="s">
        <v>855</v>
      </c>
      <c r="D211" t="s">
        <v>856</v>
      </c>
      <c r="E211" t="s">
        <v>857</v>
      </c>
      <c r="F211" t="s">
        <v>858</v>
      </c>
      <c r="G211" t="s">
        <v>469</v>
      </c>
      <c r="H211">
        <v>3.4</v>
      </c>
      <c r="I211">
        <v>62</v>
      </c>
      <c r="J211">
        <v>0</v>
      </c>
      <c r="K211">
        <v>0</v>
      </c>
      <c r="L211" t="s">
        <v>178</v>
      </c>
      <c r="M211" t="s">
        <v>118</v>
      </c>
      <c r="N211">
        <v>39</v>
      </c>
      <c r="O211">
        <v>2</v>
      </c>
      <c r="P211" t="s">
        <v>111</v>
      </c>
      <c r="Q211">
        <v>26.3</v>
      </c>
      <c r="R211">
        <v>0</v>
      </c>
      <c r="S211">
        <v>0</v>
      </c>
      <c r="T211">
        <v>5</v>
      </c>
      <c r="U211" s="1" t="s">
        <v>859</v>
      </c>
      <c r="V211">
        <v>25</v>
      </c>
      <c r="W211">
        <v>0</v>
      </c>
      <c r="X211">
        <v>6</v>
      </c>
      <c r="Y211">
        <v>0</v>
      </c>
      <c r="Z211" t="s">
        <v>271</v>
      </c>
      <c r="AA211">
        <v>1</v>
      </c>
      <c r="AB211" t="s">
        <v>111</v>
      </c>
      <c r="AC211">
        <v>0</v>
      </c>
      <c r="AD211" t="s">
        <v>416</v>
      </c>
      <c r="AE211">
        <v>0</v>
      </c>
      <c r="AF211">
        <v>0</v>
      </c>
      <c r="AG211" t="s">
        <v>111</v>
      </c>
      <c r="AH211" t="s">
        <v>113</v>
      </c>
      <c r="AI211" t="s">
        <v>111</v>
      </c>
      <c r="AJ211" t="s">
        <v>111</v>
      </c>
      <c r="AK211" t="s">
        <v>111</v>
      </c>
      <c r="AL211" t="s">
        <v>111</v>
      </c>
      <c r="AM211">
        <v>0</v>
      </c>
      <c r="AN211">
        <v>0</v>
      </c>
      <c r="AO211">
        <v>0</v>
      </c>
      <c r="AP211" t="s">
        <v>111</v>
      </c>
      <c r="AQ211" t="s">
        <v>111</v>
      </c>
      <c r="AR211" t="s">
        <v>111</v>
      </c>
      <c r="AS211" t="s">
        <v>111</v>
      </c>
      <c r="AT211" t="s">
        <v>111</v>
      </c>
      <c r="AU211" t="s">
        <v>111</v>
      </c>
      <c r="AV211" t="s">
        <v>111</v>
      </c>
      <c r="AW211" t="s">
        <v>111</v>
      </c>
      <c r="AX211" t="s">
        <v>111</v>
      </c>
      <c r="AY211" t="s">
        <v>111</v>
      </c>
      <c r="AZ211" t="s">
        <v>111</v>
      </c>
      <c r="BA211" t="s">
        <v>111</v>
      </c>
      <c r="BB211" t="s">
        <v>111</v>
      </c>
      <c r="BC211" t="s">
        <v>111</v>
      </c>
      <c r="BD211" t="s">
        <v>111</v>
      </c>
      <c r="BE211" t="s">
        <v>111</v>
      </c>
      <c r="BF211" t="s">
        <v>111</v>
      </c>
      <c r="BG211" t="s">
        <v>111</v>
      </c>
      <c r="BH211" t="s">
        <v>111</v>
      </c>
      <c r="BI211" t="s">
        <v>111</v>
      </c>
      <c r="BJ211" t="s">
        <v>111</v>
      </c>
      <c r="BK211" t="s">
        <v>111</v>
      </c>
      <c r="BL211" t="s">
        <v>111</v>
      </c>
      <c r="BM211" t="s">
        <v>111</v>
      </c>
      <c r="BN211" t="s">
        <v>111</v>
      </c>
      <c r="BO211" t="s">
        <v>111</v>
      </c>
      <c r="BP211" t="s">
        <v>111</v>
      </c>
      <c r="BQ211" t="s">
        <v>111</v>
      </c>
      <c r="BR211" t="s">
        <v>111</v>
      </c>
      <c r="BS211" t="s">
        <v>111</v>
      </c>
      <c r="BT211" t="s">
        <v>111</v>
      </c>
      <c r="BU211" t="s">
        <v>111</v>
      </c>
      <c r="BV211" t="s">
        <v>111</v>
      </c>
      <c r="BW211" t="s">
        <v>111</v>
      </c>
      <c r="BX211" t="s">
        <v>111</v>
      </c>
      <c r="BY211" t="s">
        <v>111</v>
      </c>
      <c r="BZ211" t="s">
        <v>111</v>
      </c>
      <c r="CA211" t="s">
        <v>111</v>
      </c>
      <c r="CB211" t="s">
        <v>111</v>
      </c>
      <c r="CC211" t="s">
        <v>111</v>
      </c>
      <c r="CD211" t="s">
        <v>111</v>
      </c>
      <c r="CE211" t="s">
        <v>111</v>
      </c>
      <c r="CF211" t="s">
        <v>111</v>
      </c>
      <c r="CG211" t="s">
        <v>111</v>
      </c>
      <c r="CH211" t="s">
        <v>111</v>
      </c>
      <c r="CI211" t="s">
        <v>111</v>
      </c>
      <c r="CJ211" t="s">
        <v>111</v>
      </c>
      <c r="CK211" t="s">
        <v>111</v>
      </c>
      <c r="CL211" t="s">
        <v>111</v>
      </c>
      <c r="CM211" t="s">
        <v>360</v>
      </c>
      <c r="CN211" t="s">
        <v>113</v>
      </c>
      <c r="CO211" t="s">
        <v>111</v>
      </c>
      <c r="CP211" t="e">
        <f>-MUESTRA</f>
        <v>#NAME?</v>
      </c>
      <c r="CQ211">
        <v>0</v>
      </c>
      <c r="CR211">
        <v>2500</v>
      </c>
      <c r="CS211">
        <v>100</v>
      </c>
      <c r="CT211" s="1" t="s">
        <v>860</v>
      </c>
      <c r="CU211">
        <v>0</v>
      </c>
      <c r="CV211" t="s">
        <v>111</v>
      </c>
      <c r="CW211" t="s">
        <v>111</v>
      </c>
      <c r="CX211" t="s">
        <v>111</v>
      </c>
      <c r="CY211">
        <v>0</v>
      </c>
      <c r="CZ211" t="s">
        <v>111</v>
      </c>
      <c r="DA211" t="s">
        <v>111</v>
      </c>
      <c r="DB211" t="e">
        <f>-INTERNO</f>
        <v>#NAME?</v>
      </c>
      <c r="DC211" t="e">
        <f>-TROQUEL RIÑON</f>
        <v>#NAME?</v>
      </c>
    </row>
    <row r="212" spans="1:107">
      <c r="A212">
        <v>93</v>
      </c>
      <c r="B212" t="s">
        <v>162</v>
      </c>
      <c r="C212" t="s">
        <v>713</v>
      </c>
      <c r="D212" t="s">
        <v>634</v>
      </c>
      <c r="E212" t="s">
        <v>861</v>
      </c>
      <c r="F212" t="s">
        <v>125</v>
      </c>
      <c r="G212" t="s">
        <v>469</v>
      </c>
      <c r="H212">
        <v>1.65</v>
      </c>
      <c r="I212">
        <v>35</v>
      </c>
      <c r="J212">
        <v>9</v>
      </c>
      <c r="K212">
        <v>9</v>
      </c>
      <c r="L212" t="s">
        <v>112</v>
      </c>
      <c r="M212" t="s">
        <v>138</v>
      </c>
      <c r="N212">
        <v>0</v>
      </c>
      <c r="O212">
        <v>0</v>
      </c>
      <c r="P212" t="s">
        <v>138</v>
      </c>
      <c r="Q212">
        <v>36.4</v>
      </c>
      <c r="R212">
        <v>0</v>
      </c>
      <c r="S212">
        <v>0</v>
      </c>
      <c r="T212">
        <v>10</v>
      </c>
      <c r="U212" s="1" t="s">
        <v>862</v>
      </c>
      <c r="V212">
        <v>25</v>
      </c>
      <c r="W212">
        <v>0</v>
      </c>
      <c r="X212">
        <v>10</v>
      </c>
      <c r="Y212">
        <v>0</v>
      </c>
      <c r="Z212" t="s">
        <v>111</v>
      </c>
      <c r="AA212">
        <v>0</v>
      </c>
      <c r="AB212" t="s">
        <v>717</v>
      </c>
      <c r="AC212">
        <v>10</v>
      </c>
      <c r="AD212" t="s">
        <v>111</v>
      </c>
      <c r="AE212">
        <v>0</v>
      </c>
      <c r="AF212">
        <v>0</v>
      </c>
      <c r="AG212" t="s">
        <v>111</v>
      </c>
      <c r="AH212" t="s">
        <v>111</v>
      </c>
      <c r="AI212" t="s">
        <v>111</v>
      </c>
      <c r="AJ212" t="s">
        <v>111</v>
      </c>
      <c r="AK212" t="s">
        <v>111</v>
      </c>
      <c r="AL212" t="s">
        <v>111</v>
      </c>
      <c r="AM212">
        <v>0</v>
      </c>
      <c r="AN212">
        <v>0</v>
      </c>
      <c r="AO212">
        <v>0</v>
      </c>
      <c r="AP212" t="s">
        <v>111</v>
      </c>
      <c r="AQ212" t="s">
        <v>111</v>
      </c>
      <c r="AR212" t="s">
        <v>111</v>
      </c>
      <c r="AS212" t="s">
        <v>111</v>
      </c>
      <c r="AT212" t="s">
        <v>111</v>
      </c>
      <c r="AU212" t="s">
        <v>111</v>
      </c>
      <c r="AV212" t="s">
        <v>111</v>
      </c>
      <c r="AW212" t="s">
        <v>111</v>
      </c>
      <c r="AX212" t="s">
        <v>111</v>
      </c>
      <c r="AY212" t="s">
        <v>111</v>
      </c>
      <c r="AZ212" t="s">
        <v>111</v>
      </c>
      <c r="BA212" t="s">
        <v>111</v>
      </c>
      <c r="BB212" t="s">
        <v>111</v>
      </c>
      <c r="BC212" t="s">
        <v>111</v>
      </c>
      <c r="BD212" t="s">
        <v>111</v>
      </c>
      <c r="BE212" t="s">
        <v>111</v>
      </c>
      <c r="BF212" t="s">
        <v>111</v>
      </c>
      <c r="BG212" t="s">
        <v>111</v>
      </c>
      <c r="BH212" t="s">
        <v>111</v>
      </c>
      <c r="BI212" t="s">
        <v>111</v>
      </c>
      <c r="BJ212" t="s">
        <v>111</v>
      </c>
      <c r="BK212" t="s">
        <v>111</v>
      </c>
      <c r="BL212" t="s">
        <v>111</v>
      </c>
      <c r="BM212" t="s">
        <v>111</v>
      </c>
      <c r="BN212" t="s">
        <v>111</v>
      </c>
      <c r="BO212" t="s">
        <v>111</v>
      </c>
      <c r="BP212" t="s">
        <v>111</v>
      </c>
      <c r="BQ212" t="s">
        <v>111</v>
      </c>
      <c r="BR212" t="s">
        <v>111</v>
      </c>
      <c r="BS212" t="s">
        <v>111</v>
      </c>
      <c r="BT212" t="s">
        <v>111</v>
      </c>
      <c r="BU212" t="s">
        <v>111</v>
      </c>
      <c r="BV212" t="s">
        <v>111</v>
      </c>
      <c r="BW212" t="s">
        <v>111</v>
      </c>
      <c r="BX212" t="s">
        <v>111</v>
      </c>
      <c r="BY212" t="s">
        <v>111</v>
      </c>
      <c r="BZ212" t="s">
        <v>111</v>
      </c>
      <c r="CA212" t="s">
        <v>111</v>
      </c>
      <c r="CB212" t="s">
        <v>111</v>
      </c>
      <c r="CC212" t="s">
        <v>111</v>
      </c>
      <c r="CD212" t="s">
        <v>111</v>
      </c>
      <c r="CE212" t="s">
        <v>111</v>
      </c>
      <c r="CF212" t="s">
        <v>111</v>
      </c>
      <c r="CG212" t="s">
        <v>111</v>
      </c>
      <c r="CH212" t="s">
        <v>111</v>
      </c>
      <c r="CI212" t="s">
        <v>111</v>
      </c>
      <c r="CJ212" t="s">
        <v>111</v>
      </c>
      <c r="CK212" t="s">
        <v>111</v>
      </c>
      <c r="CL212" t="s">
        <v>111</v>
      </c>
      <c r="CM212" t="s">
        <v>198</v>
      </c>
      <c r="CN212" t="s">
        <v>128</v>
      </c>
      <c r="CO212" t="s">
        <v>222</v>
      </c>
      <c r="CP212" t="s">
        <v>111</v>
      </c>
      <c r="CQ212">
        <v>34</v>
      </c>
      <c r="CR212">
        <v>500</v>
      </c>
      <c r="CS212">
        <v>50</v>
      </c>
      <c r="CT212" t="s">
        <v>111</v>
      </c>
      <c r="CU212">
        <v>0</v>
      </c>
      <c r="CV212" t="s">
        <v>111</v>
      </c>
      <c r="CW212" t="s">
        <v>111</v>
      </c>
      <c r="CX212" t="s">
        <v>111</v>
      </c>
      <c r="CY212">
        <v>0</v>
      </c>
      <c r="CZ212" t="s">
        <v>111</v>
      </c>
      <c r="DA212" t="s">
        <v>111</v>
      </c>
      <c r="DB212" t="s">
        <v>111</v>
      </c>
      <c r="DC212" t="s">
        <v>111</v>
      </c>
    </row>
    <row r="213" spans="1:107">
      <c r="A213">
        <v>1546</v>
      </c>
      <c r="B213" t="s">
        <v>107</v>
      </c>
      <c r="C213" t="s">
        <v>801</v>
      </c>
      <c r="D213" t="s">
        <v>863</v>
      </c>
      <c r="E213" t="s">
        <v>864</v>
      </c>
      <c r="F213" t="s">
        <v>370</v>
      </c>
      <c r="G213" t="s">
        <v>469</v>
      </c>
      <c r="H213">
        <v>1.5</v>
      </c>
      <c r="I213">
        <v>47</v>
      </c>
      <c r="J213">
        <v>0</v>
      </c>
      <c r="K213">
        <v>0</v>
      </c>
      <c r="L213" t="s">
        <v>112</v>
      </c>
      <c r="M213" t="s">
        <v>118</v>
      </c>
      <c r="N213">
        <v>39</v>
      </c>
      <c r="O213">
        <v>2</v>
      </c>
      <c r="P213" t="s">
        <v>111</v>
      </c>
      <c r="Q213">
        <v>49.2</v>
      </c>
      <c r="R213">
        <v>0</v>
      </c>
      <c r="S213">
        <v>0</v>
      </c>
      <c r="T213">
        <v>5</v>
      </c>
      <c r="U213" s="1" t="s">
        <v>865</v>
      </c>
      <c r="V213">
        <v>25</v>
      </c>
      <c r="W213">
        <v>0</v>
      </c>
      <c r="X213">
        <v>8</v>
      </c>
      <c r="Y213">
        <v>0</v>
      </c>
      <c r="Z213" t="s">
        <v>288</v>
      </c>
      <c r="AA213">
        <v>1.5</v>
      </c>
      <c r="AB213" t="s">
        <v>111</v>
      </c>
      <c r="AC213">
        <v>0</v>
      </c>
      <c r="AD213" t="s">
        <v>416</v>
      </c>
      <c r="AE213">
        <v>0</v>
      </c>
      <c r="AF213">
        <v>0</v>
      </c>
      <c r="AG213" t="s">
        <v>111</v>
      </c>
      <c r="AH213" t="s">
        <v>128</v>
      </c>
      <c r="AI213" t="s">
        <v>111</v>
      </c>
      <c r="AJ213" t="s">
        <v>111</v>
      </c>
      <c r="AK213" t="s">
        <v>111</v>
      </c>
      <c r="AL213" t="s">
        <v>111</v>
      </c>
      <c r="AM213">
        <v>0</v>
      </c>
      <c r="AN213">
        <v>0</v>
      </c>
      <c r="AO213">
        <v>0</v>
      </c>
      <c r="AP213" t="s">
        <v>111</v>
      </c>
      <c r="AQ213" t="s">
        <v>111</v>
      </c>
      <c r="AR213" t="s">
        <v>111</v>
      </c>
      <c r="AS213" t="s">
        <v>111</v>
      </c>
      <c r="AT213" t="s">
        <v>111</v>
      </c>
      <c r="AU213" t="s">
        <v>111</v>
      </c>
      <c r="AV213" t="s">
        <v>111</v>
      </c>
      <c r="AW213" t="s">
        <v>111</v>
      </c>
      <c r="AX213" t="s">
        <v>111</v>
      </c>
      <c r="AY213" t="s">
        <v>111</v>
      </c>
      <c r="AZ213" t="s">
        <v>111</v>
      </c>
      <c r="BA213" t="s">
        <v>111</v>
      </c>
      <c r="BB213" t="s">
        <v>111</v>
      </c>
      <c r="BC213" t="s">
        <v>111</v>
      </c>
      <c r="BD213" t="s">
        <v>111</v>
      </c>
      <c r="BE213" t="s">
        <v>111</v>
      </c>
      <c r="BF213" t="s">
        <v>111</v>
      </c>
      <c r="BG213" t="s">
        <v>111</v>
      </c>
      <c r="BH213" t="s">
        <v>111</v>
      </c>
      <c r="BI213" t="s">
        <v>111</v>
      </c>
      <c r="BJ213" t="s">
        <v>111</v>
      </c>
      <c r="BK213" t="s">
        <v>111</v>
      </c>
      <c r="BL213" t="s">
        <v>111</v>
      </c>
      <c r="BM213" t="s">
        <v>111</v>
      </c>
      <c r="BN213" t="s">
        <v>111</v>
      </c>
      <c r="BO213" t="s">
        <v>111</v>
      </c>
      <c r="BP213" t="s">
        <v>111</v>
      </c>
      <c r="BQ213" t="s">
        <v>111</v>
      </c>
      <c r="BR213" t="s">
        <v>111</v>
      </c>
      <c r="BS213" t="s">
        <v>111</v>
      </c>
      <c r="BT213" t="s">
        <v>111</v>
      </c>
      <c r="BU213" t="s">
        <v>111</v>
      </c>
      <c r="BV213" t="s">
        <v>111</v>
      </c>
      <c r="BW213" t="s">
        <v>111</v>
      </c>
      <c r="BX213" t="s">
        <v>111</v>
      </c>
      <c r="BY213" t="s">
        <v>111</v>
      </c>
      <c r="BZ213" t="s">
        <v>111</v>
      </c>
      <c r="CA213" t="s">
        <v>111</v>
      </c>
      <c r="CB213" t="s">
        <v>111</v>
      </c>
      <c r="CC213" t="s">
        <v>111</v>
      </c>
      <c r="CD213" t="s">
        <v>111</v>
      </c>
      <c r="CE213" t="s">
        <v>111</v>
      </c>
      <c r="CF213" t="s">
        <v>111</v>
      </c>
      <c r="CG213" t="s">
        <v>111</v>
      </c>
      <c r="CH213" t="s">
        <v>111</v>
      </c>
      <c r="CI213" t="s">
        <v>111</v>
      </c>
      <c r="CJ213" t="s">
        <v>111</v>
      </c>
      <c r="CK213" t="s">
        <v>111</v>
      </c>
      <c r="CL213" t="s">
        <v>111</v>
      </c>
      <c r="CM213" t="s">
        <v>360</v>
      </c>
      <c r="CN213" t="s">
        <v>113</v>
      </c>
      <c r="CO213" t="s">
        <v>367</v>
      </c>
      <c r="CP213" t="e">
        <f>-MUESTRA</f>
        <v>#NAME?</v>
      </c>
      <c r="CQ213">
        <v>0</v>
      </c>
      <c r="CR213">
        <v>2000</v>
      </c>
      <c r="CS213">
        <v>50</v>
      </c>
      <c r="CT213" s="1" t="s">
        <v>866</v>
      </c>
      <c r="CU213">
        <v>0</v>
      </c>
      <c r="CV213" t="s">
        <v>111</v>
      </c>
      <c r="CW213" t="s">
        <v>111</v>
      </c>
      <c r="CX213" t="s">
        <v>111</v>
      </c>
      <c r="CY213">
        <v>0</v>
      </c>
      <c r="CZ213" t="s">
        <v>111</v>
      </c>
      <c r="DA213" t="s">
        <v>111</v>
      </c>
      <c r="DB213" t="e">
        <f>-INTERNO</f>
        <v>#NAME?</v>
      </c>
      <c r="DC213" t="e">
        <f>-TROQUEL RIÑON</f>
        <v>#NAME?</v>
      </c>
    </row>
    <row r="214" spans="1:107">
      <c r="A214">
        <v>1446</v>
      </c>
      <c r="B214" t="s">
        <v>107</v>
      </c>
      <c r="C214" t="s">
        <v>405</v>
      </c>
      <c r="D214" t="s">
        <v>867</v>
      </c>
      <c r="E214" t="s">
        <v>868</v>
      </c>
      <c r="F214" t="s">
        <v>382</v>
      </c>
      <c r="G214" t="s">
        <v>469</v>
      </c>
      <c r="H214">
        <v>1.9</v>
      </c>
      <c r="I214">
        <v>50</v>
      </c>
      <c r="J214">
        <v>0</v>
      </c>
      <c r="K214">
        <v>0</v>
      </c>
      <c r="L214" t="s">
        <v>112</v>
      </c>
      <c r="M214" t="s">
        <v>118</v>
      </c>
      <c r="N214">
        <v>0</v>
      </c>
      <c r="O214">
        <v>2</v>
      </c>
      <c r="P214" t="s">
        <v>111</v>
      </c>
      <c r="Q214">
        <v>50.9</v>
      </c>
      <c r="R214">
        <v>0</v>
      </c>
      <c r="S214">
        <v>0</v>
      </c>
      <c r="T214">
        <v>0</v>
      </c>
      <c r="U214" s="1" t="s">
        <v>869</v>
      </c>
      <c r="V214">
        <v>0</v>
      </c>
      <c r="W214">
        <v>25</v>
      </c>
      <c r="X214">
        <v>5</v>
      </c>
      <c r="Y214">
        <v>0</v>
      </c>
      <c r="Z214" t="s">
        <v>288</v>
      </c>
      <c r="AA214">
        <v>1.5</v>
      </c>
      <c r="AB214" t="s">
        <v>111</v>
      </c>
      <c r="AC214">
        <v>0</v>
      </c>
      <c r="AD214" t="s">
        <v>111</v>
      </c>
      <c r="AE214">
        <v>0</v>
      </c>
      <c r="AF214">
        <v>0</v>
      </c>
      <c r="AG214" t="s">
        <v>111</v>
      </c>
      <c r="AH214" t="s">
        <v>111</v>
      </c>
      <c r="AI214" t="s">
        <v>111</v>
      </c>
      <c r="AJ214" t="s">
        <v>111</v>
      </c>
      <c r="AK214" t="s">
        <v>111</v>
      </c>
      <c r="AL214" t="s">
        <v>111</v>
      </c>
      <c r="AM214">
        <v>0</v>
      </c>
      <c r="AN214">
        <v>0</v>
      </c>
      <c r="AO214">
        <v>0</v>
      </c>
      <c r="AP214" t="s">
        <v>111</v>
      </c>
      <c r="AQ214" t="s">
        <v>111</v>
      </c>
      <c r="AR214" t="s">
        <v>111</v>
      </c>
      <c r="AS214" t="s">
        <v>111</v>
      </c>
      <c r="AT214" t="s">
        <v>111</v>
      </c>
      <c r="AU214" t="s">
        <v>111</v>
      </c>
      <c r="AV214" t="s">
        <v>111</v>
      </c>
      <c r="AW214" t="s">
        <v>111</v>
      </c>
      <c r="AX214" t="s">
        <v>111</v>
      </c>
      <c r="AY214" t="s">
        <v>111</v>
      </c>
      <c r="AZ214" t="s">
        <v>111</v>
      </c>
      <c r="BA214" t="s">
        <v>111</v>
      </c>
      <c r="BB214" t="s">
        <v>111</v>
      </c>
      <c r="BC214" t="s">
        <v>111</v>
      </c>
      <c r="BD214" t="s">
        <v>111</v>
      </c>
      <c r="BE214" t="s">
        <v>111</v>
      </c>
      <c r="BF214" t="s">
        <v>111</v>
      </c>
      <c r="BG214" t="s">
        <v>111</v>
      </c>
      <c r="BH214" t="s">
        <v>111</v>
      </c>
      <c r="BI214" t="s">
        <v>111</v>
      </c>
      <c r="BJ214" t="s">
        <v>111</v>
      </c>
      <c r="BK214" t="s">
        <v>111</v>
      </c>
      <c r="BL214" t="s">
        <v>111</v>
      </c>
      <c r="BM214" t="s">
        <v>111</v>
      </c>
      <c r="BN214" t="s">
        <v>111</v>
      </c>
      <c r="BO214" t="s">
        <v>111</v>
      </c>
      <c r="BP214" t="s">
        <v>111</v>
      </c>
      <c r="BQ214" t="s">
        <v>111</v>
      </c>
      <c r="BR214" t="s">
        <v>111</v>
      </c>
      <c r="BS214" t="s">
        <v>111</v>
      </c>
      <c r="BT214" t="s">
        <v>111</v>
      </c>
      <c r="BU214" t="s">
        <v>111</v>
      </c>
      <c r="BV214" t="s">
        <v>111</v>
      </c>
      <c r="BW214" t="s">
        <v>111</v>
      </c>
      <c r="BX214" t="s">
        <v>111</v>
      </c>
      <c r="BY214" t="s">
        <v>111</v>
      </c>
      <c r="BZ214" t="s">
        <v>111</v>
      </c>
      <c r="CA214" t="s">
        <v>111</v>
      </c>
      <c r="CB214" t="s">
        <v>111</v>
      </c>
      <c r="CC214" t="s">
        <v>111</v>
      </c>
      <c r="CD214" t="s">
        <v>111</v>
      </c>
      <c r="CE214" t="s">
        <v>111</v>
      </c>
      <c r="CF214" t="s">
        <v>111</v>
      </c>
      <c r="CG214" t="s">
        <v>111</v>
      </c>
      <c r="CH214" t="s">
        <v>111</v>
      </c>
      <c r="CI214" t="s">
        <v>111</v>
      </c>
      <c r="CJ214" t="s">
        <v>111</v>
      </c>
      <c r="CK214" t="s">
        <v>111</v>
      </c>
      <c r="CL214" t="s">
        <v>111</v>
      </c>
      <c r="CM214" t="s">
        <v>111</v>
      </c>
      <c r="CN214" t="s">
        <v>111</v>
      </c>
      <c r="CO214" t="s">
        <v>111</v>
      </c>
      <c r="CP214" t="s">
        <v>111</v>
      </c>
      <c r="CQ214">
        <v>0</v>
      </c>
      <c r="CR214">
        <v>0</v>
      </c>
      <c r="CS214">
        <v>0</v>
      </c>
      <c r="CT214" t="s">
        <v>111</v>
      </c>
      <c r="CU214">
        <v>0</v>
      </c>
      <c r="CV214" t="s">
        <v>111</v>
      </c>
      <c r="CW214" t="s">
        <v>111</v>
      </c>
      <c r="CX214" t="s">
        <v>111</v>
      </c>
      <c r="CY214">
        <v>0</v>
      </c>
      <c r="CZ214" t="s">
        <v>111</v>
      </c>
      <c r="DA214" t="s">
        <v>111</v>
      </c>
      <c r="DB214" t="s">
        <v>111</v>
      </c>
      <c r="DC214" t="s">
        <v>111</v>
      </c>
    </row>
    <row r="215" spans="1:107">
      <c r="A215">
        <v>1537</v>
      </c>
      <c r="B215" t="s">
        <v>107</v>
      </c>
      <c r="C215" t="s">
        <v>114</v>
      </c>
      <c r="D215" t="s">
        <v>489</v>
      </c>
      <c r="E215" t="s">
        <v>870</v>
      </c>
      <c r="F215" t="s">
        <v>431</v>
      </c>
      <c r="G215" t="s">
        <v>469</v>
      </c>
      <c r="H215">
        <v>2.9</v>
      </c>
      <c r="I215">
        <v>70</v>
      </c>
      <c r="J215">
        <v>0</v>
      </c>
      <c r="K215">
        <v>0</v>
      </c>
      <c r="L215" t="s">
        <v>117</v>
      </c>
      <c r="M215" t="s">
        <v>118</v>
      </c>
      <c r="N215">
        <v>39</v>
      </c>
      <c r="O215">
        <v>1</v>
      </c>
      <c r="P215" t="s">
        <v>111</v>
      </c>
      <c r="Q215">
        <v>40.9</v>
      </c>
      <c r="R215">
        <v>0</v>
      </c>
      <c r="S215">
        <v>0</v>
      </c>
      <c r="T215">
        <v>8</v>
      </c>
      <c r="U215" s="1" t="s">
        <v>871</v>
      </c>
      <c r="V215">
        <v>0</v>
      </c>
      <c r="W215">
        <v>25</v>
      </c>
      <c r="X215">
        <v>8</v>
      </c>
      <c r="Y215">
        <v>0</v>
      </c>
      <c r="Z215" t="s">
        <v>111</v>
      </c>
      <c r="AA215">
        <v>0</v>
      </c>
      <c r="AB215" t="s">
        <v>872</v>
      </c>
      <c r="AC215">
        <v>8</v>
      </c>
      <c r="AD215" t="s">
        <v>493</v>
      </c>
      <c r="AE215">
        <v>0</v>
      </c>
      <c r="AF215">
        <v>0</v>
      </c>
      <c r="AG215" t="s">
        <v>111</v>
      </c>
      <c r="AH215" t="s">
        <v>113</v>
      </c>
      <c r="AI215" t="s">
        <v>111</v>
      </c>
      <c r="AJ215" t="s">
        <v>111</v>
      </c>
      <c r="AK215" t="s">
        <v>111</v>
      </c>
      <c r="AL215" t="s">
        <v>111</v>
      </c>
      <c r="AM215">
        <v>0</v>
      </c>
      <c r="AN215">
        <v>0</v>
      </c>
      <c r="AO215">
        <v>0</v>
      </c>
      <c r="AP215" t="s">
        <v>111</v>
      </c>
      <c r="AQ215" t="s">
        <v>111</v>
      </c>
      <c r="AR215" t="s">
        <v>111</v>
      </c>
      <c r="AS215" t="s">
        <v>111</v>
      </c>
      <c r="AT215" t="s">
        <v>111</v>
      </c>
      <c r="AU215" t="s">
        <v>111</v>
      </c>
      <c r="AV215" t="s">
        <v>111</v>
      </c>
      <c r="AW215" t="s">
        <v>111</v>
      </c>
      <c r="AX215" t="s">
        <v>111</v>
      </c>
      <c r="AY215" t="s">
        <v>111</v>
      </c>
      <c r="AZ215" t="s">
        <v>111</v>
      </c>
      <c r="BA215" t="s">
        <v>111</v>
      </c>
      <c r="BB215" t="s">
        <v>111</v>
      </c>
      <c r="BC215" t="s">
        <v>111</v>
      </c>
      <c r="BD215" t="s">
        <v>111</v>
      </c>
      <c r="BE215" t="s">
        <v>111</v>
      </c>
      <c r="BF215" t="s">
        <v>111</v>
      </c>
      <c r="BG215" t="s">
        <v>111</v>
      </c>
      <c r="BH215" t="s">
        <v>111</v>
      </c>
      <c r="BI215" t="s">
        <v>111</v>
      </c>
      <c r="BJ215" t="s">
        <v>111</v>
      </c>
      <c r="BK215" t="s">
        <v>111</v>
      </c>
      <c r="BL215" t="s">
        <v>111</v>
      </c>
      <c r="BM215" t="s">
        <v>111</v>
      </c>
      <c r="BN215" t="s">
        <v>111</v>
      </c>
      <c r="BO215" t="s">
        <v>111</v>
      </c>
      <c r="BP215" t="s">
        <v>111</v>
      </c>
      <c r="BQ215" t="s">
        <v>111</v>
      </c>
      <c r="BR215" t="s">
        <v>111</v>
      </c>
      <c r="BS215" t="s">
        <v>111</v>
      </c>
      <c r="BT215" t="s">
        <v>111</v>
      </c>
      <c r="BU215" t="s">
        <v>111</v>
      </c>
      <c r="BV215" t="s">
        <v>111</v>
      </c>
      <c r="BW215" t="s">
        <v>111</v>
      </c>
      <c r="BX215" t="s">
        <v>111</v>
      </c>
      <c r="BY215" t="s">
        <v>111</v>
      </c>
      <c r="BZ215" t="s">
        <v>111</v>
      </c>
      <c r="CA215" t="s">
        <v>111</v>
      </c>
      <c r="CB215" t="s">
        <v>111</v>
      </c>
      <c r="CC215" t="s">
        <v>111</v>
      </c>
      <c r="CD215" t="s">
        <v>111</v>
      </c>
      <c r="CE215" t="s">
        <v>111</v>
      </c>
      <c r="CF215" t="s">
        <v>111</v>
      </c>
      <c r="CG215" t="s">
        <v>111</v>
      </c>
      <c r="CH215" t="s">
        <v>111</v>
      </c>
      <c r="CI215" t="s">
        <v>111</v>
      </c>
      <c r="CJ215" t="s">
        <v>111</v>
      </c>
      <c r="CK215" t="s">
        <v>111</v>
      </c>
      <c r="CL215" t="s">
        <v>111</v>
      </c>
      <c r="CM215" t="s">
        <v>135</v>
      </c>
      <c r="CN215" t="s">
        <v>113</v>
      </c>
      <c r="CO215" t="s">
        <v>111</v>
      </c>
      <c r="CP215" t="s">
        <v>111</v>
      </c>
      <c r="CQ215">
        <v>48</v>
      </c>
      <c r="CR215">
        <v>3000</v>
      </c>
      <c r="CS215">
        <v>100</v>
      </c>
      <c r="CT215" t="e">
        <f>-ALMACEN</f>
        <v>#NAME?</v>
      </c>
      <c r="CU215">
        <v>0</v>
      </c>
      <c r="CV215" t="s">
        <v>111</v>
      </c>
      <c r="CW215" t="s">
        <v>111</v>
      </c>
      <c r="CX215" t="s">
        <v>111</v>
      </c>
      <c r="CY215">
        <v>0</v>
      </c>
      <c r="CZ215" t="s">
        <v>111</v>
      </c>
      <c r="DA215" t="s">
        <v>111</v>
      </c>
      <c r="DB215" t="s">
        <v>111</v>
      </c>
      <c r="DC215" t="s">
        <v>111</v>
      </c>
    </row>
    <row r="216" spans="1:107">
      <c r="A216">
        <v>1536</v>
      </c>
      <c r="B216" t="s">
        <v>107</v>
      </c>
      <c r="C216" t="s">
        <v>379</v>
      </c>
      <c r="D216" t="s">
        <v>873</v>
      </c>
      <c r="E216" t="s">
        <v>874</v>
      </c>
      <c r="F216" t="s">
        <v>875</v>
      </c>
      <c r="G216" t="s">
        <v>469</v>
      </c>
      <c r="H216">
        <v>1</v>
      </c>
      <c r="I216">
        <v>60</v>
      </c>
      <c r="J216">
        <v>0</v>
      </c>
      <c r="K216">
        <v>0</v>
      </c>
      <c r="L216" t="s">
        <v>112</v>
      </c>
      <c r="M216" t="s">
        <v>118</v>
      </c>
      <c r="N216">
        <v>39</v>
      </c>
      <c r="O216">
        <v>1</v>
      </c>
      <c r="P216" t="s">
        <v>111</v>
      </c>
      <c r="Q216">
        <v>30</v>
      </c>
      <c r="R216">
        <v>0</v>
      </c>
      <c r="S216">
        <v>0</v>
      </c>
      <c r="T216">
        <v>5</v>
      </c>
      <c r="U216" t="e">
        <f>-IMPRESION DARMA</f>
        <v>#NAME?</v>
      </c>
      <c r="V216">
        <v>0</v>
      </c>
      <c r="W216">
        <v>25</v>
      </c>
      <c r="X216">
        <v>5</v>
      </c>
      <c r="Y216">
        <v>0</v>
      </c>
      <c r="Z216" t="s">
        <v>288</v>
      </c>
      <c r="AA216">
        <v>1.5</v>
      </c>
      <c r="AB216" t="s">
        <v>111</v>
      </c>
      <c r="AC216">
        <v>0</v>
      </c>
      <c r="AD216" t="s">
        <v>416</v>
      </c>
      <c r="AE216">
        <v>0</v>
      </c>
      <c r="AF216">
        <v>0</v>
      </c>
      <c r="AG216" t="s">
        <v>111</v>
      </c>
      <c r="AH216" t="s">
        <v>113</v>
      </c>
      <c r="AI216" t="s">
        <v>111</v>
      </c>
      <c r="AJ216" t="s">
        <v>111</v>
      </c>
      <c r="AK216" t="s">
        <v>111</v>
      </c>
      <c r="AL216" t="s">
        <v>111</v>
      </c>
      <c r="AM216">
        <v>0</v>
      </c>
      <c r="AN216">
        <v>0</v>
      </c>
      <c r="AO216">
        <v>0</v>
      </c>
      <c r="AP216" t="s">
        <v>111</v>
      </c>
      <c r="AQ216" t="s">
        <v>111</v>
      </c>
      <c r="AR216" t="s">
        <v>111</v>
      </c>
      <c r="AS216" t="s">
        <v>111</v>
      </c>
      <c r="AT216" t="s">
        <v>111</v>
      </c>
      <c r="AU216" t="s">
        <v>111</v>
      </c>
      <c r="AV216" t="s">
        <v>111</v>
      </c>
      <c r="AW216" t="s">
        <v>111</v>
      </c>
      <c r="AX216" t="s">
        <v>111</v>
      </c>
      <c r="AY216" t="s">
        <v>111</v>
      </c>
      <c r="AZ216" t="s">
        <v>111</v>
      </c>
      <c r="BA216" t="s">
        <v>111</v>
      </c>
      <c r="BB216" t="s">
        <v>111</v>
      </c>
      <c r="BC216" t="s">
        <v>111</v>
      </c>
      <c r="BD216" t="s">
        <v>111</v>
      </c>
      <c r="BE216" t="s">
        <v>111</v>
      </c>
      <c r="BF216" t="s">
        <v>111</v>
      </c>
      <c r="BG216" t="s">
        <v>111</v>
      </c>
      <c r="BH216" t="s">
        <v>111</v>
      </c>
      <c r="BI216" t="s">
        <v>111</v>
      </c>
      <c r="BJ216" t="s">
        <v>111</v>
      </c>
      <c r="BK216" t="s">
        <v>111</v>
      </c>
      <c r="BL216" t="s">
        <v>111</v>
      </c>
      <c r="BM216" t="s">
        <v>111</v>
      </c>
      <c r="BN216" t="s">
        <v>111</v>
      </c>
      <c r="BO216" t="s">
        <v>111</v>
      </c>
      <c r="BP216" t="s">
        <v>111</v>
      </c>
      <c r="BQ216" t="s">
        <v>111</v>
      </c>
      <c r="BR216" t="s">
        <v>111</v>
      </c>
      <c r="BS216" t="s">
        <v>111</v>
      </c>
      <c r="BT216" t="s">
        <v>111</v>
      </c>
      <c r="BU216" t="s">
        <v>111</v>
      </c>
      <c r="BV216" t="s">
        <v>111</v>
      </c>
      <c r="BW216" t="s">
        <v>111</v>
      </c>
      <c r="BX216" t="s">
        <v>111</v>
      </c>
      <c r="BY216" t="s">
        <v>111</v>
      </c>
      <c r="BZ216" t="s">
        <v>111</v>
      </c>
      <c r="CA216" t="s">
        <v>111</v>
      </c>
      <c r="CB216" t="s">
        <v>111</v>
      </c>
      <c r="CC216" t="s">
        <v>111</v>
      </c>
      <c r="CD216" t="s">
        <v>111</v>
      </c>
      <c r="CE216" t="s">
        <v>111</v>
      </c>
      <c r="CF216" t="s">
        <v>111</v>
      </c>
      <c r="CG216" t="s">
        <v>111</v>
      </c>
      <c r="CH216" t="s">
        <v>111</v>
      </c>
      <c r="CI216" t="s">
        <v>111</v>
      </c>
      <c r="CJ216" t="s">
        <v>111</v>
      </c>
      <c r="CK216" t="s">
        <v>111</v>
      </c>
      <c r="CL216" t="s">
        <v>111</v>
      </c>
      <c r="CM216" t="s">
        <v>438</v>
      </c>
      <c r="CN216" t="s">
        <v>113</v>
      </c>
      <c r="CO216" t="s">
        <v>111</v>
      </c>
      <c r="CP216" t="s">
        <v>111</v>
      </c>
      <c r="CQ216">
        <v>0</v>
      </c>
      <c r="CR216">
        <v>6000</v>
      </c>
      <c r="CS216">
        <v>250</v>
      </c>
      <c r="CT216" t="e">
        <f>-ALMACEN</f>
        <v>#NAME?</v>
      </c>
      <c r="CU216">
        <v>0</v>
      </c>
      <c r="CV216" t="s">
        <v>111</v>
      </c>
      <c r="CW216" t="s">
        <v>111</v>
      </c>
      <c r="CX216" t="s">
        <v>111</v>
      </c>
      <c r="CY216">
        <v>0</v>
      </c>
      <c r="CZ216" t="s">
        <v>111</v>
      </c>
      <c r="DA216" t="s">
        <v>111</v>
      </c>
      <c r="DB216" t="s">
        <v>111</v>
      </c>
      <c r="DC216" t="s">
        <v>111</v>
      </c>
    </row>
    <row r="217" spans="1:107">
      <c r="A217">
        <v>1543</v>
      </c>
      <c r="B217" t="s">
        <v>107</v>
      </c>
      <c r="C217" t="s">
        <v>876</v>
      </c>
      <c r="D217" t="s">
        <v>877</v>
      </c>
      <c r="E217" t="s">
        <v>878</v>
      </c>
      <c r="F217" t="s">
        <v>192</v>
      </c>
      <c r="G217" t="s">
        <v>469</v>
      </c>
      <c r="H217">
        <v>4</v>
      </c>
      <c r="I217">
        <v>20</v>
      </c>
      <c r="J217">
        <v>6</v>
      </c>
      <c r="K217">
        <v>6</v>
      </c>
      <c r="L217" t="s">
        <v>112</v>
      </c>
      <c r="M217" t="s">
        <v>138</v>
      </c>
      <c r="N217">
        <v>0</v>
      </c>
      <c r="O217">
        <v>0</v>
      </c>
      <c r="P217" t="s">
        <v>111</v>
      </c>
      <c r="Q217">
        <v>35</v>
      </c>
      <c r="R217">
        <v>0</v>
      </c>
      <c r="S217">
        <v>0</v>
      </c>
      <c r="T217">
        <v>5</v>
      </c>
      <c r="U217" t="e">
        <f>-SELLADO</f>
        <v>#NAME?</v>
      </c>
      <c r="V217">
        <v>0</v>
      </c>
      <c r="W217">
        <v>25</v>
      </c>
      <c r="X217">
        <v>8</v>
      </c>
      <c r="Y217">
        <v>0</v>
      </c>
      <c r="Z217" t="s">
        <v>288</v>
      </c>
      <c r="AA217">
        <v>0.8</v>
      </c>
      <c r="AB217" t="s">
        <v>259</v>
      </c>
      <c r="AC217">
        <v>0.8</v>
      </c>
      <c r="AD217" t="s">
        <v>111</v>
      </c>
      <c r="AE217">
        <v>0</v>
      </c>
      <c r="AF217">
        <v>0</v>
      </c>
      <c r="AG217" t="s">
        <v>111</v>
      </c>
      <c r="AH217" t="s">
        <v>111</v>
      </c>
      <c r="AI217" t="s">
        <v>111</v>
      </c>
      <c r="AJ217" t="s">
        <v>111</v>
      </c>
      <c r="AK217" t="s">
        <v>111</v>
      </c>
      <c r="AL217" t="s">
        <v>111</v>
      </c>
      <c r="AM217">
        <v>0</v>
      </c>
      <c r="AN217">
        <v>0</v>
      </c>
      <c r="AO217">
        <v>0</v>
      </c>
      <c r="AP217" t="s">
        <v>111</v>
      </c>
      <c r="AQ217" t="s">
        <v>111</v>
      </c>
      <c r="AR217" t="s">
        <v>111</v>
      </c>
      <c r="AS217" t="s">
        <v>111</v>
      </c>
      <c r="AT217" t="s">
        <v>111</v>
      </c>
      <c r="AU217" t="s">
        <v>111</v>
      </c>
      <c r="AV217" t="s">
        <v>111</v>
      </c>
      <c r="AW217" t="s">
        <v>111</v>
      </c>
      <c r="AX217" t="s">
        <v>111</v>
      </c>
      <c r="AY217" t="s">
        <v>111</v>
      </c>
      <c r="AZ217" t="s">
        <v>111</v>
      </c>
      <c r="BA217" t="s">
        <v>111</v>
      </c>
      <c r="BB217" t="s">
        <v>111</v>
      </c>
      <c r="BC217" t="s">
        <v>111</v>
      </c>
      <c r="BD217" t="s">
        <v>111</v>
      </c>
      <c r="BE217" t="s">
        <v>111</v>
      </c>
      <c r="BF217" t="s">
        <v>111</v>
      </c>
      <c r="BG217" t="s">
        <v>111</v>
      </c>
      <c r="BH217" t="s">
        <v>111</v>
      </c>
      <c r="BI217" t="s">
        <v>111</v>
      </c>
      <c r="BJ217" t="s">
        <v>111</v>
      </c>
      <c r="BK217" t="s">
        <v>111</v>
      </c>
      <c r="BL217" t="s">
        <v>111</v>
      </c>
      <c r="BM217" t="s">
        <v>111</v>
      </c>
      <c r="BN217" t="s">
        <v>111</v>
      </c>
      <c r="BO217" t="s">
        <v>111</v>
      </c>
      <c r="BP217" t="s">
        <v>111</v>
      </c>
      <c r="BQ217" t="s">
        <v>111</v>
      </c>
      <c r="BR217" t="s">
        <v>111</v>
      </c>
      <c r="BS217" t="s">
        <v>111</v>
      </c>
      <c r="BT217" t="s">
        <v>111</v>
      </c>
      <c r="BU217" t="s">
        <v>111</v>
      </c>
      <c r="BV217" t="s">
        <v>111</v>
      </c>
      <c r="BW217" t="s">
        <v>111</v>
      </c>
      <c r="BX217" t="s">
        <v>111</v>
      </c>
      <c r="BY217" t="s">
        <v>111</v>
      </c>
      <c r="BZ217" t="s">
        <v>111</v>
      </c>
      <c r="CA217" t="s">
        <v>111</v>
      </c>
      <c r="CB217" t="s">
        <v>111</v>
      </c>
      <c r="CC217" t="s">
        <v>111</v>
      </c>
      <c r="CD217" t="s">
        <v>111</v>
      </c>
      <c r="CE217" t="s">
        <v>111</v>
      </c>
      <c r="CF217" t="s">
        <v>111</v>
      </c>
      <c r="CG217" t="s">
        <v>111</v>
      </c>
      <c r="CH217" t="s">
        <v>111</v>
      </c>
      <c r="CI217" t="s">
        <v>111</v>
      </c>
      <c r="CJ217" t="s">
        <v>111</v>
      </c>
      <c r="CK217" t="s">
        <v>111</v>
      </c>
      <c r="CL217" t="s">
        <v>111</v>
      </c>
      <c r="CM217" t="s">
        <v>135</v>
      </c>
      <c r="CN217" t="s">
        <v>128</v>
      </c>
      <c r="CO217" t="s">
        <v>111</v>
      </c>
      <c r="CP217" t="s">
        <v>111</v>
      </c>
      <c r="CQ217">
        <v>0</v>
      </c>
      <c r="CR217">
        <v>0</v>
      </c>
      <c r="CS217">
        <v>20</v>
      </c>
      <c r="CT217" t="e">
        <f>-ALMACEN</f>
        <v>#NAME?</v>
      </c>
      <c r="CU217">
        <v>0</v>
      </c>
      <c r="CV217" t="s">
        <v>111</v>
      </c>
      <c r="CW217" t="s">
        <v>111</v>
      </c>
      <c r="CX217" t="s">
        <v>111</v>
      </c>
      <c r="CY217">
        <v>0</v>
      </c>
      <c r="CZ217" t="s">
        <v>111</v>
      </c>
      <c r="DA217" t="s">
        <v>111</v>
      </c>
      <c r="DB217" t="s">
        <v>111</v>
      </c>
      <c r="DC217" t="s">
        <v>111</v>
      </c>
    </row>
    <row r="218" spans="1:107">
      <c r="A218">
        <v>1542</v>
      </c>
      <c r="B218" t="s">
        <v>107</v>
      </c>
      <c r="C218" t="s">
        <v>399</v>
      </c>
      <c r="D218" t="s">
        <v>879</v>
      </c>
      <c r="E218" t="s">
        <v>880</v>
      </c>
      <c r="F218" t="s">
        <v>293</v>
      </c>
      <c r="G218" t="s">
        <v>469</v>
      </c>
      <c r="H218">
        <v>0.75</v>
      </c>
      <c r="I218">
        <v>70</v>
      </c>
      <c r="J218">
        <v>0</v>
      </c>
      <c r="K218">
        <v>0</v>
      </c>
      <c r="L218" t="s">
        <v>178</v>
      </c>
      <c r="M218" t="s">
        <v>111</v>
      </c>
      <c r="N218">
        <v>0</v>
      </c>
      <c r="O218">
        <v>0</v>
      </c>
      <c r="P218" t="s">
        <v>111</v>
      </c>
      <c r="Q218">
        <v>46</v>
      </c>
      <c r="R218">
        <v>0</v>
      </c>
      <c r="S218">
        <v>0</v>
      </c>
      <c r="T218">
        <v>5</v>
      </c>
      <c r="U218" t="e">
        <f>-SELLADO</f>
        <v>#NAME?</v>
      </c>
      <c r="V218">
        <v>25</v>
      </c>
      <c r="W218">
        <v>0</v>
      </c>
      <c r="X218">
        <v>7</v>
      </c>
      <c r="Y218">
        <v>0</v>
      </c>
      <c r="Z218" t="s">
        <v>184</v>
      </c>
      <c r="AA218">
        <v>1.5</v>
      </c>
      <c r="AB218" t="s">
        <v>111</v>
      </c>
      <c r="AC218">
        <v>0</v>
      </c>
      <c r="AD218" t="s">
        <v>111</v>
      </c>
      <c r="AE218">
        <v>0</v>
      </c>
      <c r="AF218">
        <v>0</v>
      </c>
      <c r="AG218" t="s">
        <v>111</v>
      </c>
      <c r="AH218" t="s">
        <v>111</v>
      </c>
      <c r="AI218" t="s">
        <v>111</v>
      </c>
      <c r="AJ218" t="s">
        <v>111</v>
      </c>
      <c r="AK218" t="s">
        <v>111</v>
      </c>
      <c r="AL218" t="s">
        <v>111</v>
      </c>
      <c r="AM218">
        <v>0</v>
      </c>
      <c r="AN218">
        <v>0</v>
      </c>
      <c r="AO218">
        <v>0</v>
      </c>
      <c r="AP218" t="s">
        <v>111</v>
      </c>
      <c r="AQ218" t="s">
        <v>111</v>
      </c>
      <c r="AR218" t="s">
        <v>111</v>
      </c>
      <c r="AS218" t="s">
        <v>111</v>
      </c>
      <c r="AT218" t="s">
        <v>111</v>
      </c>
      <c r="AU218" t="s">
        <v>111</v>
      </c>
      <c r="AV218" t="s">
        <v>111</v>
      </c>
      <c r="AW218" t="s">
        <v>111</v>
      </c>
      <c r="AX218" t="s">
        <v>111</v>
      </c>
      <c r="AY218" t="s">
        <v>111</v>
      </c>
      <c r="AZ218" t="s">
        <v>111</v>
      </c>
      <c r="BA218" t="s">
        <v>111</v>
      </c>
      <c r="BB218" t="s">
        <v>111</v>
      </c>
      <c r="BC218" t="s">
        <v>111</v>
      </c>
      <c r="BD218" t="s">
        <v>111</v>
      </c>
      <c r="BE218" t="s">
        <v>111</v>
      </c>
      <c r="BF218" t="s">
        <v>111</v>
      </c>
      <c r="BG218" t="s">
        <v>111</v>
      </c>
      <c r="BH218" t="s">
        <v>111</v>
      </c>
      <c r="BI218" t="s">
        <v>111</v>
      </c>
      <c r="BJ218" t="s">
        <v>111</v>
      </c>
      <c r="BK218" t="s">
        <v>111</v>
      </c>
      <c r="BL218" t="s">
        <v>111</v>
      </c>
      <c r="BM218" t="s">
        <v>111</v>
      </c>
      <c r="BN218" t="s">
        <v>111</v>
      </c>
      <c r="BO218" t="s">
        <v>111</v>
      </c>
      <c r="BP218" t="s">
        <v>111</v>
      </c>
      <c r="BQ218" t="s">
        <v>111</v>
      </c>
      <c r="BR218" t="s">
        <v>111</v>
      </c>
      <c r="BS218" t="s">
        <v>111</v>
      </c>
      <c r="BT218" t="s">
        <v>111</v>
      </c>
      <c r="BU218" t="s">
        <v>111</v>
      </c>
      <c r="BV218" t="s">
        <v>111</v>
      </c>
      <c r="BW218" t="s">
        <v>111</v>
      </c>
      <c r="BX218" t="s">
        <v>111</v>
      </c>
      <c r="BY218" t="s">
        <v>111</v>
      </c>
      <c r="BZ218" t="s">
        <v>111</v>
      </c>
      <c r="CA218" t="s">
        <v>111</v>
      </c>
      <c r="CB218" t="s">
        <v>111</v>
      </c>
      <c r="CC218" t="s">
        <v>111</v>
      </c>
      <c r="CD218" t="s">
        <v>111</v>
      </c>
      <c r="CE218" t="s">
        <v>111</v>
      </c>
      <c r="CF218" t="s">
        <v>111</v>
      </c>
      <c r="CG218" t="s">
        <v>111</v>
      </c>
      <c r="CH218" t="s">
        <v>111</v>
      </c>
      <c r="CI218" t="s">
        <v>111</v>
      </c>
      <c r="CJ218" t="s">
        <v>111</v>
      </c>
      <c r="CK218" t="s">
        <v>111</v>
      </c>
      <c r="CL218" t="s">
        <v>111</v>
      </c>
      <c r="CM218" t="s">
        <v>135</v>
      </c>
      <c r="CN218" t="s">
        <v>113</v>
      </c>
      <c r="CO218" t="s">
        <v>111</v>
      </c>
      <c r="CP218" t="s">
        <v>111</v>
      </c>
      <c r="CQ218">
        <v>0</v>
      </c>
      <c r="CR218">
        <v>1000</v>
      </c>
      <c r="CS218">
        <v>50</v>
      </c>
      <c r="CT218" s="1" t="s">
        <v>881</v>
      </c>
      <c r="CU218">
        <v>0</v>
      </c>
      <c r="CV218" t="s">
        <v>111</v>
      </c>
      <c r="CW218" t="s">
        <v>111</v>
      </c>
      <c r="CX218" t="s">
        <v>111</v>
      </c>
      <c r="CY218">
        <v>0</v>
      </c>
      <c r="CZ218" t="s">
        <v>111</v>
      </c>
      <c r="DA218" t="s">
        <v>111</v>
      </c>
      <c r="DB218" t="s">
        <v>111</v>
      </c>
      <c r="DC218" t="s">
        <v>111</v>
      </c>
    </row>
    <row r="219" spans="1:107">
      <c r="A219">
        <v>1534</v>
      </c>
      <c r="B219" t="s">
        <v>107</v>
      </c>
      <c r="C219" t="s">
        <v>180</v>
      </c>
      <c r="D219" t="s">
        <v>882</v>
      </c>
      <c r="E219" t="s">
        <v>883</v>
      </c>
      <c r="F219" t="s">
        <v>192</v>
      </c>
      <c r="G219" t="s">
        <v>469</v>
      </c>
      <c r="H219">
        <v>0.8</v>
      </c>
      <c r="I219">
        <v>80</v>
      </c>
      <c r="J219">
        <v>0</v>
      </c>
      <c r="K219">
        <v>0</v>
      </c>
      <c r="L219" t="s">
        <v>111</v>
      </c>
      <c r="M219" t="s">
        <v>111</v>
      </c>
      <c r="N219">
        <v>0</v>
      </c>
      <c r="O219">
        <v>0</v>
      </c>
      <c r="P219" t="s">
        <v>118</v>
      </c>
      <c r="Q219">
        <v>41.8</v>
      </c>
      <c r="R219">
        <v>0</v>
      </c>
      <c r="S219">
        <v>0</v>
      </c>
      <c r="T219">
        <v>5</v>
      </c>
      <c r="U219" s="1" t="s">
        <v>884</v>
      </c>
      <c r="V219">
        <v>0</v>
      </c>
      <c r="W219">
        <v>25</v>
      </c>
      <c r="X219">
        <v>2.5</v>
      </c>
      <c r="Y219">
        <v>0</v>
      </c>
      <c r="Z219" t="s">
        <v>111</v>
      </c>
      <c r="AA219">
        <v>0</v>
      </c>
      <c r="AB219" t="s">
        <v>111</v>
      </c>
      <c r="AC219">
        <v>0</v>
      </c>
      <c r="AD219" t="s">
        <v>111</v>
      </c>
      <c r="AE219">
        <v>0</v>
      </c>
      <c r="AF219">
        <v>0</v>
      </c>
      <c r="AG219" t="s">
        <v>111</v>
      </c>
      <c r="AH219" t="s">
        <v>111</v>
      </c>
      <c r="AI219" t="s">
        <v>111</v>
      </c>
      <c r="AJ219" t="s">
        <v>111</v>
      </c>
      <c r="AK219" t="s">
        <v>111</v>
      </c>
      <c r="AL219" t="s">
        <v>111</v>
      </c>
      <c r="AM219">
        <v>0</v>
      </c>
      <c r="AN219">
        <v>0</v>
      </c>
      <c r="AO219">
        <v>0</v>
      </c>
      <c r="AP219" t="s">
        <v>111</v>
      </c>
      <c r="AQ219" t="s">
        <v>111</v>
      </c>
      <c r="AR219" t="s">
        <v>111</v>
      </c>
      <c r="AS219" t="s">
        <v>111</v>
      </c>
      <c r="AT219" t="s">
        <v>111</v>
      </c>
      <c r="AU219" t="s">
        <v>111</v>
      </c>
      <c r="AV219" t="s">
        <v>111</v>
      </c>
      <c r="AW219" t="s">
        <v>111</v>
      </c>
      <c r="AX219" t="s">
        <v>111</v>
      </c>
      <c r="AY219" t="s">
        <v>111</v>
      </c>
      <c r="AZ219" t="s">
        <v>111</v>
      </c>
      <c r="BA219" t="s">
        <v>111</v>
      </c>
      <c r="BB219" t="s">
        <v>111</v>
      </c>
      <c r="BC219" t="s">
        <v>111</v>
      </c>
      <c r="BD219" t="s">
        <v>111</v>
      </c>
      <c r="BE219" t="s">
        <v>111</v>
      </c>
      <c r="BF219" t="s">
        <v>111</v>
      </c>
      <c r="BG219" t="s">
        <v>111</v>
      </c>
      <c r="BH219" t="s">
        <v>111</v>
      </c>
      <c r="BI219" t="s">
        <v>111</v>
      </c>
      <c r="BJ219" t="s">
        <v>111</v>
      </c>
      <c r="BK219" t="s">
        <v>111</v>
      </c>
      <c r="BL219" t="s">
        <v>111</v>
      </c>
      <c r="BM219" t="s">
        <v>111</v>
      </c>
      <c r="BN219" t="s">
        <v>111</v>
      </c>
      <c r="BO219" t="s">
        <v>111</v>
      </c>
      <c r="BP219" t="s">
        <v>111</v>
      </c>
      <c r="BQ219" t="s">
        <v>111</v>
      </c>
      <c r="BR219" t="s">
        <v>111</v>
      </c>
      <c r="BS219" t="s">
        <v>111</v>
      </c>
      <c r="BT219" t="s">
        <v>111</v>
      </c>
      <c r="BU219" t="s">
        <v>111</v>
      </c>
      <c r="BV219" t="s">
        <v>111</v>
      </c>
      <c r="BW219" t="s">
        <v>111</v>
      </c>
      <c r="BX219" t="s">
        <v>111</v>
      </c>
      <c r="BY219" t="s">
        <v>111</v>
      </c>
      <c r="BZ219" t="s">
        <v>111</v>
      </c>
      <c r="CA219" t="s">
        <v>111</v>
      </c>
      <c r="CB219" t="s">
        <v>111</v>
      </c>
      <c r="CC219" t="s">
        <v>111</v>
      </c>
      <c r="CD219" t="s">
        <v>111</v>
      </c>
      <c r="CE219" t="s">
        <v>111</v>
      </c>
      <c r="CF219" t="s">
        <v>111</v>
      </c>
      <c r="CG219" t="s">
        <v>111</v>
      </c>
      <c r="CH219" t="s">
        <v>111</v>
      </c>
      <c r="CI219" t="s">
        <v>111</v>
      </c>
      <c r="CJ219" t="s">
        <v>111</v>
      </c>
      <c r="CK219" t="s">
        <v>111</v>
      </c>
      <c r="CL219" t="s">
        <v>111</v>
      </c>
      <c r="CM219" t="s">
        <v>438</v>
      </c>
      <c r="CN219" t="s">
        <v>113</v>
      </c>
      <c r="CO219" t="s">
        <v>885</v>
      </c>
      <c r="CP219" t="s">
        <v>111</v>
      </c>
      <c r="CQ219">
        <v>0</v>
      </c>
      <c r="CR219">
        <v>2000</v>
      </c>
      <c r="CS219">
        <v>200</v>
      </c>
      <c r="CT219" t="e">
        <f>-ALAMCEN</f>
        <v>#NAME?</v>
      </c>
      <c r="CU219">
        <v>0</v>
      </c>
      <c r="CV219" t="s">
        <v>111</v>
      </c>
      <c r="CW219" t="s">
        <v>111</v>
      </c>
      <c r="CX219" t="s">
        <v>111</v>
      </c>
      <c r="CY219">
        <v>0</v>
      </c>
      <c r="CZ219" t="s">
        <v>111</v>
      </c>
      <c r="DA219" t="s">
        <v>111</v>
      </c>
      <c r="DB219" t="s">
        <v>111</v>
      </c>
      <c r="DC219" t="s">
        <v>111</v>
      </c>
    </row>
    <row r="220" spans="1:107">
      <c r="A220">
        <v>1533</v>
      </c>
      <c r="B220" t="s">
        <v>107</v>
      </c>
      <c r="C220" t="s">
        <v>180</v>
      </c>
      <c r="D220" t="s">
        <v>886</v>
      </c>
      <c r="E220" t="s">
        <v>887</v>
      </c>
      <c r="F220" t="s">
        <v>192</v>
      </c>
      <c r="G220" t="s">
        <v>469</v>
      </c>
      <c r="H220">
        <v>0.8</v>
      </c>
      <c r="I220">
        <v>52</v>
      </c>
      <c r="J220">
        <v>0</v>
      </c>
      <c r="K220">
        <v>0</v>
      </c>
      <c r="L220" t="s">
        <v>112</v>
      </c>
      <c r="M220" t="s">
        <v>111</v>
      </c>
      <c r="N220">
        <v>0</v>
      </c>
      <c r="O220">
        <v>0</v>
      </c>
      <c r="P220" t="s">
        <v>111</v>
      </c>
      <c r="Q220">
        <v>53.3</v>
      </c>
      <c r="R220">
        <v>0</v>
      </c>
      <c r="S220">
        <v>0</v>
      </c>
      <c r="T220">
        <v>5</v>
      </c>
      <c r="U220" s="1" t="s">
        <v>888</v>
      </c>
      <c r="V220">
        <v>0</v>
      </c>
      <c r="W220">
        <v>25</v>
      </c>
      <c r="X220">
        <v>2.5</v>
      </c>
      <c r="Y220">
        <v>0</v>
      </c>
      <c r="Z220" t="s">
        <v>111</v>
      </c>
      <c r="AA220">
        <v>0</v>
      </c>
      <c r="AB220" t="s">
        <v>111</v>
      </c>
      <c r="AC220">
        <v>0</v>
      </c>
      <c r="AD220" t="s">
        <v>111</v>
      </c>
      <c r="AE220">
        <v>0</v>
      </c>
      <c r="AF220">
        <v>0</v>
      </c>
      <c r="AG220" t="s">
        <v>111</v>
      </c>
      <c r="AH220" t="s">
        <v>111</v>
      </c>
      <c r="AI220" t="s">
        <v>111</v>
      </c>
      <c r="AJ220" t="s">
        <v>111</v>
      </c>
      <c r="AK220" t="s">
        <v>111</v>
      </c>
      <c r="AL220" t="s">
        <v>111</v>
      </c>
      <c r="AM220">
        <v>0</v>
      </c>
      <c r="AN220">
        <v>0</v>
      </c>
      <c r="AO220">
        <v>0</v>
      </c>
      <c r="AP220" t="s">
        <v>111</v>
      </c>
      <c r="AQ220" t="s">
        <v>111</v>
      </c>
      <c r="AR220" t="s">
        <v>111</v>
      </c>
      <c r="AS220" t="s">
        <v>111</v>
      </c>
      <c r="AT220" t="s">
        <v>111</v>
      </c>
      <c r="AU220" t="s">
        <v>111</v>
      </c>
      <c r="AV220" t="s">
        <v>111</v>
      </c>
      <c r="AW220" t="s">
        <v>111</v>
      </c>
      <c r="AX220" t="s">
        <v>111</v>
      </c>
      <c r="AY220" t="s">
        <v>111</v>
      </c>
      <c r="AZ220" t="s">
        <v>111</v>
      </c>
      <c r="BA220" t="s">
        <v>111</v>
      </c>
      <c r="BB220" t="s">
        <v>111</v>
      </c>
      <c r="BC220" t="s">
        <v>111</v>
      </c>
      <c r="BD220" t="s">
        <v>111</v>
      </c>
      <c r="BE220" t="s">
        <v>111</v>
      </c>
      <c r="BF220" t="s">
        <v>111</v>
      </c>
      <c r="BG220" t="s">
        <v>111</v>
      </c>
      <c r="BH220" t="s">
        <v>111</v>
      </c>
      <c r="BI220" t="s">
        <v>111</v>
      </c>
      <c r="BJ220" t="s">
        <v>111</v>
      </c>
      <c r="BK220" t="s">
        <v>111</v>
      </c>
      <c r="BL220" t="s">
        <v>111</v>
      </c>
      <c r="BM220" t="s">
        <v>111</v>
      </c>
      <c r="BN220" t="s">
        <v>111</v>
      </c>
      <c r="BO220" t="s">
        <v>111</v>
      </c>
      <c r="BP220" t="s">
        <v>111</v>
      </c>
      <c r="BQ220" t="s">
        <v>111</v>
      </c>
      <c r="BR220" t="s">
        <v>111</v>
      </c>
      <c r="BS220" t="s">
        <v>111</v>
      </c>
      <c r="BT220" t="s">
        <v>111</v>
      </c>
      <c r="BU220" t="s">
        <v>111</v>
      </c>
      <c r="BV220" t="s">
        <v>111</v>
      </c>
      <c r="BW220" t="s">
        <v>111</v>
      </c>
      <c r="BX220" t="s">
        <v>111</v>
      </c>
      <c r="BY220" t="s">
        <v>111</v>
      </c>
      <c r="BZ220" t="s">
        <v>111</v>
      </c>
      <c r="CA220" t="s">
        <v>111</v>
      </c>
      <c r="CB220" t="s">
        <v>111</v>
      </c>
      <c r="CC220" t="s">
        <v>111</v>
      </c>
      <c r="CD220" t="s">
        <v>111</v>
      </c>
      <c r="CE220" t="s">
        <v>111</v>
      </c>
      <c r="CF220" t="s">
        <v>111</v>
      </c>
      <c r="CG220" t="s">
        <v>111</v>
      </c>
      <c r="CH220" t="s">
        <v>111</v>
      </c>
      <c r="CI220" t="s">
        <v>111</v>
      </c>
      <c r="CJ220" t="s">
        <v>111</v>
      </c>
      <c r="CK220" t="s">
        <v>111</v>
      </c>
      <c r="CL220" t="s">
        <v>111</v>
      </c>
      <c r="CM220" t="s">
        <v>135</v>
      </c>
      <c r="CN220" t="s">
        <v>113</v>
      </c>
      <c r="CO220" t="s">
        <v>885</v>
      </c>
      <c r="CP220" t="s">
        <v>111</v>
      </c>
      <c r="CQ220">
        <v>0</v>
      </c>
      <c r="CR220">
        <v>4000</v>
      </c>
      <c r="CS220">
        <v>250</v>
      </c>
      <c r="CT220" t="e">
        <f>-ALMACEN</f>
        <v>#NAME?</v>
      </c>
      <c r="CU220">
        <v>0</v>
      </c>
      <c r="CV220" t="s">
        <v>111</v>
      </c>
      <c r="CW220" t="s">
        <v>111</v>
      </c>
      <c r="CX220" t="s">
        <v>111</v>
      </c>
      <c r="CY220">
        <v>0</v>
      </c>
      <c r="CZ220" t="s">
        <v>111</v>
      </c>
      <c r="DA220" t="s">
        <v>111</v>
      </c>
      <c r="DB220" t="s">
        <v>111</v>
      </c>
      <c r="DC220" t="s">
        <v>111</v>
      </c>
    </row>
    <row r="221" spans="1:107">
      <c r="A221">
        <v>1532</v>
      </c>
      <c r="B221" t="s">
        <v>107</v>
      </c>
      <c r="C221" t="s">
        <v>180</v>
      </c>
      <c r="D221" t="s">
        <v>889</v>
      </c>
      <c r="E221" t="s">
        <v>890</v>
      </c>
      <c r="F221" t="s">
        <v>192</v>
      </c>
      <c r="G221" t="s">
        <v>469</v>
      </c>
      <c r="H221">
        <v>0.8</v>
      </c>
      <c r="I221">
        <v>58</v>
      </c>
      <c r="J221">
        <v>0</v>
      </c>
      <c r="K221">
        <v>0</v>
      </c>
      <c r="L221" t="s">
        <v>112</v>
      </c>
      <c r="M221" t="s">
        <v>138</v>
      </c>
      <c r="N221">
        <v>0</v>
      </c>
      <c r="O221">
        <v>0</v>
      </c>
      <c r="P221" t="s">
        <v>111</v>
      </c>
      <c r="Q221">
        <v>60.5</v>
      </c>
      <c r="R221">
        <v>0</v>
      </c>
      <c r="S221">
        <v>0</v>
      </c>
      <c r="T221">
        <v>5</v>
      </c>
      <c r="U221" t="e">
        <f>-DESTINO SELLADO</f>
        <v>#NAME?</v>
      </c>
      <c r="V221">
        <v>0</v>
      </c>
      <c r="W221">
        <v>25</v>
      </c>
      <c r="X221">
        <v>2.5</v>
      </c>
      <c r="Y221">
        <v>0</v>
      </c>
      <c r="Z221" t="s">
        <v>111</v>
      </c>
      <c r="AA221">
        <v>0</v>
      </c>
      <c r="AB221" t="s">
        <v>111</v>
      </c>
      <c r="AC221">
        <v>0</v>
      </c>
      <c r="AD221" t="s">
        <v>111</v>
      </c>
      <c r="AE221">
        <v>0</v>
      </c>
      <c r="AF221">
        <v>0</v>
      </c>
      <c r="AG221" t="s">
        <v>111</v>
      </c>
      <c r="AH221" t="s">
        <v>111</v>
      </c>
      <c r="AI221" t="s">
        <v>111</v>
      </c>
      <c r="AJ221" t="s">
        <v>111</v>
      </c>
      <c r="AK221" t="s">
        <v>111</v>
      </c>
      <c r="AL221" t="s">
        <v>111</v>
      </c>
      <c r="AM221">
        <v>0</v>
      </c>
      <c r="AN221">
        <v>0</v>
      </c>
      <c r="AO221">
        <v>0</v>
      </c>
      <c r="AP221" t="s">
        <v>111</v>
      </c>
      <c r="AQ221" t="s">
        <v>111</v>
      </c>
      <c r="AR221" t="s">
        <v>111</v>
      </c>
      <c r="AS221" t="s">
        <v>111</v>
      </c>
      <c r="AT221" t="s">
        <v>111</v>
      </c>
      <c r="AU221" t="s">
        <v>111</v>
      </c>
      <c r="AV221" t="s">
        <v>111</v>
      </c>
      <c r="AW221" t="s">
        <v>111</v>
      </c>
      <c r="AX221" t="s">
        <v>111</v>
      </c>
      <c r="AY221" t="s">
        <v>111</v>
      </c>
      <c r="AZ221" t="s">
        <v>111</v>
      </c>
      <c r="BA221" t="s">
        <v>111</v>
      </c>
      <c r="BB221" t="s">
        <v>111</v>
      </c>
      <c r="BC221" t="s">
        <v>111</v>
      </c>
      <c r="BD221" t="s">
        <v>111</v>
      </c>
      <c r="BE221" t="s">
        <v>111</v>
      </c>
      <c r="BF221" t="s">
        <v>111</v>
      </c>
      <c r="BG221" t="s">
        <v>111</v>
      </c>
      <c r="BH221" t="s">
        <v>111</v>
      </c>
      <c r="BI221" t="s">
        <v>111</v>
      </c>
      <c r="BJ221" t="s">
        <v>111</v>
      </c>
      <c r="BK221" t="s">
        <v>111</v>
      </c>
      <c r="BL221" t="s">
        <v>111</v>
      </c>
      <c r="BM221" t="s">
        <v>111</v>
      </c>
      <c r="BN221" t="s">
        <v>111</v>
      </c>
      <c r="BO221" t="s">
        <v>111</v>
      </c>
      <c r="BP221" t="s">
        <v>111</v>
      </c>
      <c r="BQ221" t="s">
        <v>111</v>
      </c>
      <c r="BR221" t="s">
        <v>111</v>
      </c>
      <c r="BS221" t="s">
        <v>111</v>
      </c>
      <c r="BT221" t="s">
        <v>111</v>
      </c>
      <c r="BU221" t="s">
        <v>111</v>
      </c>
      <c r="BV221" t="s">
        <v>111</v>
      </c>
      <c r="BW221" t="s">
        <v>111</v>
      </c>
      <c r="BX221" t="s">
        <v>111</v>
      </c>
      <c r="BY221" t="s">
        <v>111</v>
      </c>
      <c r="BZ221" t="s">
        <v>111</v>
      </c>
      <c r="CA221" t="s">
        <v>111</v>
      </c>
      <c r="CB221" t="s">
        <v>111</v>
      </c>
      <c r="CC221" t="s">
        <v>111</v>
      </c>
      <c r="CD221" t="s">
        <v>111</v>
      </c>
      <c r="CE221" t="s">
        <v>111</v>
      </c>
      <c r="CF221" t="s">
        <v>111</v>
      </c>
      <c r="CG221" t="s">
        <v>111</v>
      </c>
      <c r="CH221" t="s">
        <v>111</v>
      </c>
      <c r="CI221" t="s">
        <v>111</v>
      </c>
      <c r="CJ221" t="s">
        <v>111</v>
      </c>
      <c r="CK221" t="s">
        <v>111</v>
      </c>
      <c r="CL221" t="s">
        <v>111</v>
      </c>
      <c r="CM221" t="s">
        <v>360</v>
      </c>
      <c r="CN221" t="s">
        <v>113</v>
      </c>
      <c r="CO221" t="s">
        <v>891</v>
      </c>
      <c r="CP221" t="s">
        <v>111</v>
      </c>
      <c r="CQ221">
        <v>60</v>
      </c>
      <c r="CR221">
        <v>8000</v>
      </c>
      <c r="CS221">
        <v>250</v>
      </c>
      <c r="CT221" t="e">
        <f>-ALMACEN</f>
        <v>#NAME?</v>
      </c>
      <c r="CU221">
        <v>0</v>
      </c>
      <c r="CV221" t="s">
        <v>111</v>
      </c>
      <c r="CW221" t="s">
        <v>111</v>
      </c>
      <c r="CX221" t="s">
        <v>111</v>
      </c>
      <c r="CY221">
        <v>0</v>
      </c>
      <c r="CZ221" t="s">
        <v>111</v>
      </c>
      <c r="DA221" t="s">
        <v>111</v>
      </c>
      <c r="DB221" t="s">
        <v>111</v>
      </c>
      <c r="DC221" t="s">
        <v>111</v>
      </c>
    </row>
    <row r="222" spans="1:107">
      <c r="A222">
        <v>1528</v>
      </c>
      <c r="B222" t="s">
        <v>107</v>
      </c>
      <c r="C222" t="s">
        <v>892</v>
      </c>
      <c r="D222" t="s">
        <v>893</v>
      </c>
      <c r="E222" t="s">
        <v>894</v>
      </c>
      <c r="F222" t="s">
        <v>431</v>
      </c>
      <c r="G222" t="s">
        <v>469</v>
      </c>
      <c r="H222">
        <v>1.9</v>
      </c>
      <c r="I222">
        <v>60</v>
      </c>
      <c r="J222">
        <v>0</v>
      </c>
      <c r="K222">
        <v>0</v>
      </c>
      <c r="L222" t="s">
        <v>117</v>
      </c>
      <c r="M222" t="s">
        <v>118</v>
      </c>
      <c r="N222">
        <v>39</v>
      </c>
      <c r="O222">
        <v>1</v>
      </c>
      <c r="P222" t="s">
        <v>111</v>
      </c>
      <c r="Q222">
        <v>29.3</v>
      </c>
      <c r="R222">
        <v>0</v>
      </c>
      <c r="S222">
        <v>0</v>
      </c>
      <c r="T222">
        <v>5</v>
      </c>
      <c r="U222" s="1" t="s">
        <v>895</v>
      </c>
      <c r="V222">
        <v>0</v>
      </c>
      <c r="W222">
        <v>25</v>
      </c>
      <c r="X222">
        <v>8</v>
      </c>
      <c r="Y222">
        <v>0</v>
      </c>
      <c r="Z222" t="s">
        <v>111</v>
      </c>
      <c r="AA222">
        <v>0</v>
      </c>
      <c r="AB222" t="s">
        <v>111</v>
      </c>
      <c r="AC222">
        <v>0</v>
      </c>
      <c r="AD222" t="s">
        <v>416</v>
      </c>
      <c r="AE222">
        <v>0</v>
      </c>
      <c r="AF222">
        <v>0</v>
      </c>
      <c r="AG222" t="s">
        <v>111</v>
      </c>
      <c r="AH222" t="s">
        <v>113</v>
      </c>
      <c r="AI222" t="s">
        <v>111</v>
      </c>
      <c r="AJ222" t="s">
        <v>111</v>
      </c>
      <c r="AK222" t="s">
        <v>111</v>
      </c>
      <c r="AL222" t="s">
        <v>111</v>
      </c>
      <c r="AM222">
        <v>0</v>
      </c>
      <c r="AN222">
        <v>0</v>
      </c>
      <c r="AO222">
        <v>0</v>
      </c>
      <c r="AP222" t="s">
        <v>111</v>
      </c>
      <c r="AQ222" t="s">
        <v>111</v>
      </c>
      <c r="AR222" t="s">
        <v>111</v>
      </c>
      <c r="AS222" t="s">
        <v>111</v>
      </c>
      <c r="AT222" t="s">
        <v>111</v>
      </c>
      <c r="AU222" t="s">
        <v>111</v>
      </c>
      <c r="AV222" t="s">
        <v>111</v>
      </c>
      <c r="AW222" t="s">
        <v>111</v>
      </c>
      <c r="AX222" t="s">
        <v>111</v>
      </c>
      <c r="AY222" t="s">
        <v>111</v>
      </c>
      <c r="AZ222" t="s">
        <v>111</v>
      </c>
      <c r="BA222" t="s">
        <v>111</v>
      </c>
      <c r="BB222" t="s">
        <v>111</v>
      </c>
      <c r="BC222" t="s">
        <v>111</v>
      </c>
      <c r="BD222" t="s">
        <v>111</v>
      </c>
      <c r="BE222" t="s">
        <v>111</v>
      </c>
      <c r="BF222" t="s">
        <v>111</v>
      </c>
      <c r="BG222" t="s">
        <v>111</v>
      </c>
      <c r="BH222" t="s">
        <v>111</v>
      </c>
      <c r="BI222" t="s">
        <v>111</v>
      </c>
      <c r="BJ222" t="s">
        <v>111</v>
      </c>
      <c r="BK222" t="s">
        <v>111</v>
      </c>
      <c r="BL222" t="s">
        <v>111</v>
      </c>
      <c r="BM222" t="s">
        <v>111</v>
      </c>
      <c r="BN222" t="s">
        <v>111</v>
      </c>
      <c r="BO222" t="s">
        <v>111</v>
      </c>
      <c r="BP222" t="s">
        <v>111</v>
      </c>
      <c r="BQ222" t="s">
        <v>111</v>
      </c>
      <c r="BR222" t="s">
        <v>111</v>
      </c>
      <c r="BS222" t="s">
        <v>111</v>
      </c>
      <c r="BT222" t="s">
        <v>111</v>
      </c>
      <c r="BU222" t="s">
        <v>111</v>
      </c>
      <c r="BV222" t="s">
        <v>111</v>
      </c>
      <c r="BW222" t="s">
        <v>111</v>
      </c>
      <c r="BX222" t="s">
        <v>111</v>
      </c>
      <c r="BY222" t="s">
        <v>111</v>
      </c>
      <c r="BZ222" t="s">
        <v>111</v>
      </c>
      <c r="CA222" t="s">
        <v>111</v>
      </c>
      <c r="CB222" t="s">
        <v>111</v>
      </c>
      <c r="CC222" t="s">
        <v>111</v>
      </c>
      <c r="CD222" t="s">
        <v>111</v>
      </c>
      <c r="CE222" t="s">
        <v>111</v>
      </c>
      <c r="CF222" t="s">
        <v>111</v>
      </c>
      <c r="CG222" t="s">
        <v>111</v>
      </c>
      <c r="CH222" t="s">
        <v>111</v>
      </c>
      <c r="CI222" t="s">
        <v>111</v>
      </c>
      <c r="CJ222" t="s">
        <v>111</v>
      </c>
      <c r="CK222" t="s">
        <v>111</v>
      </c>
      <c r="CL222" t="s">
        <v>111</v>
      </c>
      <c r="CM222">
        <v>450</v>
      </c>
      <c r="CN222" t="s">
        <v>113</v>
      </c>
      <c r="CO222" t="s">
        <v>111</v>
      </c>
      <c r="CP222" t="s">
        <v>111</v>
      </c>
      <c r="CQ222">
        <v>0</v>
      </c>
      <c r="CR222">
        <v>5000</v>
      </c>
      <c r="CS222">
        <v>200</v>
      </c>
      <c r="CT222" t="e">
        <f>-ALMACEN</f>
        <v>#NAME?</v>
      </c>
      <c r="CU222">
        <v>0</v>
      </c>
      <c r="CV222" t="s">
        <v>111</v>
      </c>
      <c r="CW222" t="s">
        <v>111</v>
      </c>
      <c r="CX222" t="s">
        <v>111</v>
      </c>
      <c r="CY222">
        <v>0</v>
      </c>
      <c r="CZ222" t="s">
        <v>111</v>
      </c>
      <c r="DA222" t="s">
        <v>111</v>
      </c>
      <c r="DB222" t="s">
        <v>111</v>
      </c>
      <c r="DC222" t="s">
        <v>111</v>
      </c>
    </row>
    <row r="223" spans="1:107">
      <c r="A223">
        <v>110</v>
      </c>
      <c r="B223" t="s">
        <v>107</v>
      </c>
      <c r="C223" t="s">
        <v>226</v>
      </c>
      <c r="D223" t="s">
        <v>896</v>
      </c>
      <c r="E223" t="s">
        <v>897</v>
      </c>
      <c r="F223" t="s">
        <v>192</v>
      </c>
      <c r="G223" t="s">
        <v>469</v>
      </c>
      <c r="H223">
        <v>1.25</v>
      </c>
      <c r="I223">
        <v>54</v>
      </c>
      <c r="J223">
        <v>0</v>
      </c>
      <c r="K223">
        <v>0</v>
      </c>
      <c r="L223" t="s">
        <v>112</v>
      </c>
      <c r="M223" t="s">
        <v>138</v>
      </c>
      <c r="N223">
        <v>0</v>
      </c>
      <c r="O223">
        <v>0</v>
      </c>
      <c r="P223" t="s">
        <v>138</v>
      </c>
      <c r="Q223">
        <v>43</v>
      </c>
      <c r="R223">
        <v>0</v>
      </c>
      <c r="S223">
        <v>0</v>
      </c>
      <c r="T223">
        <v>0</v>
      </c>
      <c r="U223" s="1" t="s">
        <v>898</v>
      </c>
      <c r="V223">
        <v>0</v>
      </c>
      <c r="W223">
        <v>25</v>
      </c>
      <c r="X223">
        <v>6</v>
      </c>
      <c r="Y223">
        <v>0</v>
      </c>
      <c r="Z223" t="s">
        <v>111</v>
      </c>
      <c r="AA223">
        <v>0</v>
      </c>
      <c r="AB223" t="s">
        <v>111</v>
      </c>
      <c r="AC223">
        <v>0</v>
      </c>
      <c r="AD223" t="s">
        <v>111</v>
      </c>
      <c r="AE223">
        <v>0</v>
      </c>
      <c r="AF223">
        <v>0</v>
      </c>
      <c r="AG223" t="s">
        <v>111</v>
      </c>
      <c r="AH223" t="s">
        <v>111</v>
      </c>
      <c r="AI223" t="s">
        <v>111</v>
      </c>
      <c r="AJ223" t="s">
        <v>111</v>
      </c>
      <c r="AK223" t="s">
        <v>111</v>
      </c>
      <c r="AL223" t="s">
        <v>111</v>
      </c>
      <c r="AM223">
        <v>0</v>
      </c>
      <c r="AN223">
        <v>0</v>
      </c>
      <c r="AO223">
        <v>0</v>
      </c>
      <c r="AP223" t="s">
        <v>111</v>
      </c>
      <c r="AQ223" t="s">
        <v>111</v>
      </c>
      <c r="AR223" t="s">
        <v>111</v>
      </c>
      <c r="AS223" t="s">
        <v>111</v>
      </c>
      <c r="AT223" t="s">
        <v>111</v>
      </c>
      <c r="AU223" t="s">
        <v>111</v>
      </c>
      <c r="AV223" t="s">
        <v>111</v>
      </c>
      <c r="AW223" t="s">
        <v>111</v>
      </c>
      <c r="AX223" t="s">
        <v>111</v>
      </c>
      <c r="AY223" t="s">
        <v>111</v>
      </c>
      <c r="AZ223" t="s">
        <v>111</v>
      </c>
      <c r="BA223" t="s">
        <v>111</v>
      </c>
      <c r="BB223" t="s">
        <v>111</v>
      </c>
      <c r="BC223" t="s">
        <v>111</v>
      </c>
      <c r="BD223" t="s">
        <v>111</v>
      </c>
      <c r="BE223" t="s">
        <v>111</v>
      </c>
      <c r="BF223" t="s">
        <v>111</v>
      </c>
      <c r="BG223" t="s">
        <v>111</v>
      </c>
      <c r="BH223" t="s">
        <v>111</v>
      </c>
      <c r="BI223" t="s">
        <v>111</v>
      </c>
      <c r="BJ223" t="s">
        <v>111</v>
      </c>
      <c r="BK223" t="s">
        <v>111</v>
      </c>
      <c r="BL223" t="s">
        <v>111</v>
      </c>
      <c r="BM223" t="s">
        <v>111</v>
      </c>
      <c r="BN223" t="s">
        <v>111</v>
      </c>
      <c r="BO223" t="s">
        <v>111</v>
      </c>
      <c r="BP223" t="s">
        <v>111</v>
      </c>
      <c r="BQ223" t="s">
        <v>111</v>
      </c>
      <c r="BR223" t="s">
        <v>111</v>
      </c>
      <c r="BS223" t="s">
        <v>111</v>
      </c>
      <c r="BT223" t="s">
        <v>111</v>
      </c>
      <c r="BU223" t="s">
        <v>111</v>
      </c>
      <c r="BV223" t="s">
        <v>111</v>
      </c>
      <c r="BW223" t="s">
        <v>111</v>
      </c>
      <c r="BX223" t="s">
        <v>111</v>
      </c>
      <c r="BY223" t="s">
        <v>111</v>
      </c>
      <c r="BZ223" t="s">
        <v>111</v>
      </c>
      <c r="CA223" t="s">
        <v>111</v>
      </c>
      <c r="CB223" t="s">
        <v>111</v>
      </c>
      <c r="CC223" t="s">
        <v>111</v>
      </c>
      <c r="CD223" t="s">
        <v>111</v>
      </c>
      <c r="CE223" t="s">
        <v>111</v>
      </c>
      <c r="CF223" t="s">
        <v>111</v>
      </c>
      <c r="CG223" t="s">
        <v>111</v>
      </c>
      <c r="CH223" t="s">
        <v>111</v>
      </c>
      <c r="CI223" t="s">
        <v>111</v>
      </c>
      <c r="CJ223" t="s">
        <v>111</v>
      </c>
      <c r="CK223" t="s">
        <v>111</v>
      </c>
      <c r="CL223" t="s">
        <v>111</v>
      </c>
      <c r="CM223" t="s">
        <v>198</v>
      </c>
      <c r="CN223" t="s">
        <v>113</v>
      </c>
      <c r="CO223" t="s">
        <v>111</v>
      </c>
      <c r="CP223" t="s">
        <v>111</v>
      </c>
      <c r="CQ223">
        <v>84</v>
      </c>
      <c r="CR223">
        <v>8000</v>
      </c>
      <c r="CS223">
        <v>200</v>
      </c>
      <c r="CT223" t="s">
        <v>168</v>
      </c>
      <c r="CU223">
        <v>0</v>
      </c>
      <c r="CV223" t="s">
        <v>111</v>
      </c>
      <c r="CW223" t="s">
        <v>111</v>
      </c>
      <c r="CX223" t="s">
        <v>111</v>
      </c>
      <c r="CY223">
        <v>0</v>
      </c>
      <c r="CZ223" t="s">
        <v>111</v>
      </c>
      <c r="DA223" t="s">
        <v>111</v>
      </c>
      <c r="DB223" t="s">
        <v>111</v>
      </c>
      <c r="DC223" t="s">
        <v>111</v>
      </c>
    </row>
    <row r="224" spans="1:107">
      <c r="A224">
        <v>1521</v>
      </c>
      <c r="B224" t="s">
        <v>107</v>
      </c>
      <c r="C224" t="s">
        <v>899</v>
      </c>
      <c r="D224" t="s">
        <v>900</v>
      </c>
      <c r="E224" t="s">
        <v>901</v>
      </c>
      <c r="F224" t="s">
        <v>370</v>
      </c>
      <c r="G224" t="s">
        <v>469</v>
      </c>
      <c r="H224">
        <v>1.9</v>
      </c>
      <c r="I224">
        <v>51</v>
      </c>
      <c r="J224">
        <v>0</v>
      </c>
      <c r="K224">
        <v>0</v>
      </c>
      <c r="L224" t="s">
        <v>117</v>
      </c>
      <c r="M224" t="s">
        <v>118</v>
      </c>
      <c r="N224">
        <v>40</v>
      </c>
      <c r="O224">
        <v>1</v>
      </c>
      <c r="P224" t="s">
        <v>111</v>
      </c>
      <c r="Q224">
        <v>50</v>
      </c>
      <c r="R224">
        <v>0</v>
      </c>
      <c r="S224">
        <v>0</v>
      </c>
      <c r="T224">
        <v>8</v>
      </c>
      <c r="U224" s="1" t="s">
        <v>902</v>
      </c>
      <c r="V224">
        <v>25</v>
      </c>
      <c r="W224">
        <v>0</v>
      </c>
      <c r="X224">
        <v>8</v>
      </c>
      <c r="Y224">
        <v>0</v>
      </c>
      <c r="Z224" t="s">
        <v>288</v>
      </c>
      <c r="AA224">
        <v>1.5</v>
      </c>
      <c r="AB224" t="s">
        <v>903</v>
      </c>
      <c r="AC224">
        <v>8</v>
      </c>
      <c r="AD224" t="s">
        <v>416</v>
      </c>
      <c r="AE224">
        <v>0</v>
      </c>
      <c r="AF224">
        <v>0</v>
      </c>
      <c r="AG224" t="s">
        <v>111</v>
      </c>
      <c r="AH224" t="s">
        <v>113</v>
      </c>
      <c r="AI224" t="s">
        <v>111</v>
      </c>
      <c r="AJ224" t="s">
        <v>111</v>
      </c>
      <c r="AK224" t="s">
        <v>111</v>
      </c>
      <c r="AL224" t="s">
        <v>111</v>
      </c>
      <c r="AM224">
        <v>0</v>
      </c>
      <c r="AN224">
        <v>0</v>
      </c>
      <c r="AO224">
        <v>0</v>
      </c>
      <c r="AP224" t="s">
        <v>111</v>
      </c>
      <c r="AQ224" t="s">
        <v>111</v>
      </c>
      <c r="AR224" t="s">
        <v>111</v>
      </c>
      <c r="AS224" t="s">
        <v>111</v>
      </c>
      <c r="AT224" t="s">
        <v>111</v>
      </c>
      <c r="AU224" t="s">
        <v>111</v>
      </c>
      <c r="AV224" t="s">
        <v>111</v>
      </c>
      <c r="AW224" t="s">
        <v>111</v>
      </c>
      <c r="AX224" t="s">
        <v>111</v>
      </c>
      <c r="AY224" t="s">
        <v>111</v>
      </c>
      <c r="AZ224" t="s">
        <v>111</v>
      </c>
      <c r="BA224" t="s">
        <v>111</v>
      </c>
      <c r="BB224" t="s">
        <v>111</v>
      </c>
      <c r="BC224" t="s">
        <v>111</v>
      </c>
      <c r="BD224" t="s">
        <v>111</v>
      </c>
      <c r="BE224" t="s">
        <v>111</v>
      </c>
      <c r="BF224" t="s">
        <v>111</v>
      </c>
      <c r="BG224" t="s">
        <v>111</v>
      </c>
      <c r="BH224" t="s">
        <v>111</v>
      </c>
      <c r="BI224" t="s">
        <v>111</v>
      </c>
      <c r="BJ224" t="s">
        <v>111</v>
      </c>
      <c r="BK224" t="s">
        <v>111</v>
      </c>
      <c r="BL224" t="s">
        <v>111</v>
      </c>
      <c r="BM224" t="s">
        <v>111</v>
      </c>
      <c r="BN224" t="s">
        <v>111</v>
      </c>
      <c r="BO224" t="s">
        <v>111</v>
      </c>
      <c r="BP224" t="s">
        <v>111</v>
      </c>
      <c r="BQ224" t="s">
        <v>111</v>
      </c>
      <c r="BR224" t="s">
        <v>111</v>
      </c>
      <c r="BS224" t="s">
        <v>111</v>
      </c>
      <c r="BT224" t="s">
        <v>111</v>
      </c>
      <c r="BU224" t="s">
        <v>111</v>
      </c>
      <c r="BV224" t="s">
        <v>111</v>
      </c>
      <c r="BW224" t="s">
        <v>111</v>
      </c>
      <c r="BX224" t="s">
        <v>111</v>
      </c>
      <c r="BY224" t="s">
        <v>111</v>
      </c>
      <c r="BZ224" t="s">
        <v>111</v>
      </c>
      <c r="CA224" t="s">
        <v>111</v>
      </c>
      <c r="CB224" t="s">
        <v>111</v>
      </c>
      <c r="CC224" t="s">
        <v>111</v>
      </c>
      <c r="CD224" t="s">
        <v>111</v>
      </c>
      <c r="CE224" t="s">
        <v>111</v>
      </c>
      <c r="CF224" t="s">
        <v>111</v>
      </c>
      <c r="CG224" t="s">
        <v>111</v>
      </c>
      <c r="CH224" t="s">
        <v>111</v>
      </c>
      <c r="CI224" t="s">
        <v>111</v>
      </c>
      <c r="CJ224" t="s">
        <v>111</v>
      </c>
      <c r="CK224" t="s">
        <v>111</v>
      </c>
      <c r="CL224" t="s">
        <v>111</v>
      </c>
      <c r="CM224" t="s">
        <v>360</v>
      </c>
      <c r="CN224" t="s">
        <v>113</v>
      </c>
      <c r="CO224" t="s">
        <v>367</v>
      </c>
      <c r="CP224" t="s">
        <v>111</v>
      </c>
      <c r="CQ224">
        <v>0</v>
      </c>
      <c r="CR224">
        <v>5000</v>
      </c>
      <c r="CS224">
        <v>100</v>
      </c>
      <c r="CT224" s="1" t="s">
        <v>904</v>
      </c>
      <c r="CU224">
        <v>0</v>
      </c>
      <c r="CV224" t="s">
        <v>111</v>
      </c>
      <c r="CW224" t="s">
        <v>111</v>
      </c>
      <c r="CX224" t="s">
        <v>111</v>
      </c>
      <c r="CY224">
        <v>0</v>
      </c>
      <c r="CZ224" t="s">
        <v>111</v>
      </c>
      <c r="DA224" t="s">
        <v>111</v>
      </c>
      <c r="DB224" t="e">
        <f>-INTERNO</f>
        <v>#NAME?</v>
      </c>
      <c r="DC224" t="e">
        <f>-TROQUEL RIÑON</f>
        <v>#NAME?</v>
      </c>
    </row>
    <row r="225" spans="1:107">
      <c r="A225">
        <v>1517</v>
      </c>
      <c r="B225" t="s">
        <v>107</v>
      </c>
      <c r="C225" t="s">
        <v>428</v>
      </c>
      <c r="D225" t="s">
        <v>818</v>
      </c>
      <c r="E225" t="s">
        <v>905</v>
      </c>
      <c r="F225" t="s">
        <v>370</v>
      </c>
      <c r="G225" t="s">
        <v>469</v>
      </c>
      <c r="H225">
        <v>1.5</v>
      </c>
      <c r="I225">
        <v>57</v>
      </c>
      <c r="J225">
        <v>0</v>
      </c>
      <c r="K225">
        <v>0</v>
      </c>
      <c r="L225" t="s">
        <v>112</v>
      </c>
      <c r="M225" t="s">
        <v>118</v>
      </c>
      <c r="N225">
        <v>39</v>
      </c>
      <c r="O225">
        <v>2</v>
      </c>
      <c r="P225" t="s">
        <v>111</v>
      </c>
      <c r="Q225">
        <v>50.1</v>
      </c>
      <c r="R225">
        <v>0</v>
      </c>
      <c r="S225">
        <v>0</v>
      </c>
      <c r="T225">
        <v>5</v>
      </c>
      <c r="U225" s="1" t="s">
        <v>906</v>
      </c>
      <c r="V225">
        <v>25</v>
      </c>
      <c r="W225">
        <v>0</v>
      </c>
      <c r="X225">
        <v>8</v>
      </c>
      <c r="Y225">
        <v>0</v>
      </c>
      <c r="Z225" t="s">
        <v>288</v>
      </c>
      <c r="AA225">
        <v>1.5</v>
      </c>
      <c r="AB225" t="s">
        <v>111</v>
      </c>
      <c r="AC225">
        <v>0</v>
      </c>
      <c r="AD225" t="s">
        <v>416</v>
      </c>
      <c r="AE225">
        <v>0</v>
      </c>
      <c r="AF225">
        <v>0</v>
      </c>
      <c r="AG225" t="s">
        <v>111</v>
      </c>
      <c r="AH225" t="s">
        <v>113</v>
      </c>
      <c r="AI225" t="s">
        <v>111</v>
      </c>
      <c r="AJ225" t="s">
        <v>111</v>
      </c>
      <c r="AK225" t="s">
        <v>111</v>
      </c>
      <c r="AL225" t="s">
        <v>111</v>
      </c>
      <c r="AM225">
        <v>0</v>
      </c>
      <c r="AN225">
        <v>0</v>
      </c>
      <c r="AO225">
        <v>0</v>
      </c>
      <c r="AP225" t="s">
        <v>111</v>
      </c>
      <c r="AQ225" t="s">
        <v>111</v>
      </c>
      <c r="AR225" t="s">
        <v>111</v>
      </c>
      <c r="AS225" t="s">
        <v>111</v>
      </c>
      <c r="AT225" t="s">
        <v>111</v>
      </c>
      <c r="AU225" t="s">
        <v>111</v>
      </c>
      <c r="AV225" t="s">
        <v>111</v>
      </c>
      <c r="AW225" t="s">
        <v>111</v>
      </c>
      <c r="AX225" t="s">
        <v>111</v>
      </c>
      <c r="AY225" t="s">
        <v>111</v>
      </c>
      <c r="AZ225" t="s">
        <v>111</v>
      </c>
      <c r="BA225" t="s">
        <v>111</v>
      </c>
      <c r="BB225" t="s">
        <v>111</v>
      </c>
      <c r="BC225" t="s">
        <v>111</v>
      </c>
      <c r="BD225" t="s">
        <v>111</v>
      </c>
      <c r="BE225" t="s">
        <v>111</v>
      </c>
      <c r="BF225" t="s">
        <v>111</v>
      </c>
      <c r="BG225" t="s">
        <v>111</v>
      </c>
      <c r="BH225" t="s">
        <v>111</v>
      </c>
      <c r="BI225" t="s">
        <v>111</v>
      </c>
      <c r="BJ225" t="s">
        <v>111</v>
      </c>
      <c r="BK225" t="s">
        <v>111</v>
      </c>
      <c r="BL225" t="s">
        <v>111</v>
      </c>
      <c r="BM225" t="s">
        <v>111</v>
      </c>
      <c r="BN225" t="s">
        <v>111</v>
      </c>
      <c r="BO225" t="s">
        <v>111</v>
      </c>
      <c r="BP225" t="s">
        <v>111</v>
      </c>
      <c r="BQ225" t="s">
        <v>111</v>
      </c>
      <c r="BR225" t="s">
        <v>111</v>
      </c>
      <c r="BS225" t="s">
        <v>111</v>
      </c>
      <c r="BT225" t="s">
        <v>111</v>
      </c>
      <c r="BU225" t="s">
        <v>111</v>
      </c>
      <c r="BV225" t="s">
        <v>111</v>
      </c>
      <c r="BW225" t="s">
        <v>111</v>
      </c>
      <c r="BX225" t="s">
        <v>111</v>
      </c>
      <c r="BY225" t="s">
        <v>111</v>
      </c>
      <c r="BZ225" t="s">
        <v>111</v>
      </c>
      <c r="CA225" t="s">
        <v>111</v>
      </c>
      <c r="CB225" t="s">
        <v>111</v>
      </c>
      <c r="CC225" t="s">
        <v>111</v>
      </c>
      <c r="CD225" t="s">
        <v>111</v>
      </c>
      <c r="CE225" t="s">
        <v>111</v>
      </c>
      <c r="CF225" t="s">
        <v>111</v>
      </c>
      <c r="CG225" t="s">
        <v>111</v>
      </c>
      <c r="CH225" t="s">
        <v>111</v>
      </c>
      <c r="CI225" t="s">
        <v>111</v>
      </c>
      <c r="CJ225" t="s">
        <v>111</v>
      </c>
      <c r="CK225" t="s">
        <v>111</v>
      </c>
      <c r="CL225" t="s">
        <v>111</v>
      </c>
      <c r="CM225" t="s">
        <v>360</v>
      </c>
      <c r="CN225" t="s">
        <v>113</v>
      </c>
      <c r="CO225" t="s">
        <v>367</v>
      </c>
      <c r="CP225" t="s">
        <v>111</v>
      </c>
      <c r="CQ225">
        <v>0</v>
      </c>
      <c r="CR225">
        <v>2000</v>
      </c>
      <c r="CS225">
        <v>50</v>
      </c>
      <c r="CT225" t="e">
        <f>-BIEN EMPACADO PARA TROQUELAR</f>
        <v>#NAME?</v>
      </c>
      <c r="CU225">
        <v>0</v>
      </c>
      <c r="CV225" t="s">
        <v>111</v>
      </c>
      <c r="CW225" t="s">
        <v>111</v>
      </c>
      <c r="CX225" t="s">
        <v>111</v>
      </c>
      <c r="CY225">
        <v>0</v>
      </c>
      <c r="CZ225" t="s">
        <v>111</v>
      </c>
      <c r="DA225" t="s">
        <v>111</v>
      </c>
      <c r="DB225" t="e">
        <f>-INTERNO</f>
        <v>#NAME?</v>
      </c>
      <c r="DC225" t="e">
        <f>-TROQUEL RIÑON</f>
        <v>#NAME?</v>
      </c>
    </row>
    <row r="226" spans="1:107">
      <c r="A226">
        <v>1508</v>
      </c>
      <c r="B226" t="s">
        <v>107</v>
      </c>
      <c r="C226" t="s">
        <v>144</v>
      </c>
      <c r="D226" t="s">
        <v>907</v>
      </c>
      <c r="E226" t="s">
        <v>908</v>
      </c>
      <c r="F226" t="s">
        <v>270</v>
      </c>
      <c r="G226" t="s">
        <v>469</v>
      </c>
      <c r="H226">
        <v>0.8</v>
      </c>
      <c r="I226">
        <v>65</v>
      </c>
      <c r="J226">
        <v>0</v>
      </c>
      <c r="K226">
        <v>0</v>
      </c>
      <c r="L226" t="s">
        <v>112</v>
      </c>
      <c r="M226" t="s">
        <v>111</v>
      </c>
      <c r="N226">
        <v>0</v>
      </c>
      <c r="O226">
        <v>0</v>
      </c>
      <c r="P226" t="s">
        <v>111</v>
      </c>
      <c r="Q226">
        <v>15</v>
      </c>
      <c r="R226">
        <v>0</v>
      </c>
      <c r="S226">
        <v>0</v>
      </c>
      <c r="T226">
        <v>5</v>
      </c>
      <c r="U226" t="e">
        <f>-SELLADO</f>
        <v>#NAME?</v>
      </c>
      <c r="V226">
        <v>0</v>
      </c>
      <c r="W226">
        <v>25</v>
      </c>
      <c r="X226">
        <v>5</v>
      </c>
      <c r="Y226">
        <v>0</v>
      </c>
      <c r="Z226" t="s">
        <v>271</v>
      </c>
      <c r="AA226">
        <v>2</v>
      </c>
      <c r="AB226" t="s">
        <v>111</v>
      </c>
      <c r="AC226">
        <v>0</v>
      </c>
      <c r="AD226" t="s">
        <v>111</v>
      </c>
      <c r="AE226">
        <v>0</v>
      </c>
      <c r="AF226">
        <v>0</v>
      </c>
      <c r="AG226" t="s">
        <v>111</v>
      </c>
      <c r="AH226" t="s">
        <v>111</v>
      </c>
      <c r="AI226" t="s">
        <v>111</v>
      </c>
      <c r="AJ226" t="s">
        <v>111</v>
      </c>
      <c r="AK226" t="s">
        <v>111</v>
      </c>
      <c r="AL226" t="s">
        <v>111</v>
      </c>
      <c r="AM226">
        <v>0</v>
      </c>
      <c r="AN226">
        <v>0</v>
      </c>
      <c r="AO226">
        <v>0</v>
      </c>
      <c r="AP226" t="s">
        <v>111</v>
      </c>
      <c r="AQ226" t="s">
        <v>111</v>
      </c>
      <c r="AR226" t="s">
        <v>111</v>
      </c>
      <c r="AS226" t="s">
        <v>111</v>
      </c>
      <c r="AT226" t="s">
        <v>111</v>
      </c>
      <c r="AU226" t="s">
        <v>111</v>
      </c>
      <c r="AV226" t="s">
        <v>111</v>
      </c>
      <c r="AW226" t="s">
        <v>111</v>
      </c>
      <c r="AX226" t="s">
        <v>111</v>
      </c>
      <c r="AY226" t="s">
        <v>111</v>
      </c>
      <c r="AZ226" t="s">
        <v>111</v>
      </c>
      <c r="BA226" t="s">
        <v>111</v>
      </c>
      <c r="BB226" t="s">
        <v>111</v>
      </c>
      <c r="BC226" t="s">
        <v>111</v>
      </c>
      <c r="BD226" t="s">
        <v>111</v>
      </c>
      <c r="BE226" t="s">
        <v>111</v>
      </c>
      <c r="BF226" t="s">
        <v>111</v>
      </c>
      <c r="BG226" t="s">
        <v>111</v>
      </c>
      <c r="BH226" t="s">
        <v>111</v>
      </c>
      <c r="BI226" t="s">
        <v>111</v>
      </c>
      <c r="BJ226" t="s">
        <v>111</v>
      </c>
      <c r="BK226" t="s">
        <v>111</v>
      </c>
      <c r="BL226" t="s">
        <v>111</v>
      </c>
      <c r="BM226" t="s">
        <v>111</v>
      </c>
      <c r="BN226" t="s">
        <v>111</v>
      </c>
      <c r="BO226" t="s">
        <v>111</v>
      </c>
      <c r="BP226" t="s">
        <v>111</v>
      </c>
      <c r="BQ226" t="s">
        <v>111</v>
      </c>
      <c r="BR226" t="s">
        <v>111</v>
      </c>
      <c r="BS226" t="s">
        <v>111</v>
      </c>
      <c r="BT226" t="s">
        <v>111</v>
      </c>
      <c r="BU226" t="s">
        <v>111</v>
      </c>
      <c r="BV226" t="s">
        <v>111</v>
      </c>
      <c r="BW226" t="s">
        <v>111</v>
      </c>
      <c r="BX226" t="s">
        <v>111</v>
      </c>
      <c r="BY226" t="s">
        <v>111</v>
      </c>
      <c r="BZ226" t="s">
        <v>111</v>
      </c>
      <c r="CA226" t="s">
        <v>111</v>
      </c>
      <c r="CB226" t="s">
        <v>111</v>
      </c>
      <c r="CC226" t="s">
        <v>111</v>
      </c>
      <c r="CD226" t="s">
        <v>111</v>
      </c>
      <c r="CE226" t="s">
        <v>111</v>
      </c>
      <c r="CF226" t="s">
        <v>111</v>
      </c>
      <c r="CG226" t="s">
        <v>111</v>
      </c>
      <c r="CH226" t="s">
        <v>111</v>
      </c>
      <c r="CI226" t="s">
        <v>111</v>
      </c>
      <c r="CJ226" t="s">
        <v>111</v>
      </c>
      <c r="CK226" t="s">
        <v>111</v>
      </c>
      <c r="CL226" t="s">
        <v>111</v>
      </c>
      <c r="CM226" t="s">
        <v>135</v>
      </c>
      <c r="CN226" t="s">
        <v>113</v>
      </c>
      <c r="CO226" t="s">
        <v>111</v>
      </c>
      <c r="CP226" t="s">
        <v>111</v>
      </c>
      <c r="CQ226">
        <v>0</v>
      </c>
      <c r="CR226">
        <v>700</v>
      </c>
      <c r="CS226">
        <v>50</v>
      </c>
      <c r="CT226" t="e">
        <f>-ALMACEN</f>
        <v>#NAME?</v>
      </c>
      <c r="CU226">
        <v>0</v>
      </c>
      <c r="CV226" t="s">
        <v>111</v>
      </c>
      <c r="CW226" t="s">
        <v>111</v>
      </c>
      <c r="CX226" t="s">
        <v>111</v>
      </c>
      <c r="CY226">
        <v>0</v>
      </c>
      <c r="CZ226" t="s">
        <v>111</v>
      </c>
      <c r="DA226" t="s">
        <v>111</v>
      </c>
      <c r="DB226" t="s">
        <v>111</v>
      </c>
      <c r="DC226" t="s">
        <v>111</v>
      </c>
    </row>
    <row r="227" spans="1:107">
      <c r="A227">
        <v>1547</v>
      </c>
      <c r="B227" t="s">
        <v>162</v>
      </c>
      <c r="C227" t="s">
        <v>876</v>
      </c>
      <c r="D227" t="s">
        <v>909</v>
      </c>
      <c r="E227" t="s">
        <v>910</v>
      </c>
      <c r="F227" t="s">
        <v>431</v>
      </c>
      <c r="G227" t="s">
        <v>469</v>
      </c>
      <c r="H227">
        <v>4</v>
      </c>
      <c r="I227">
        <v>20</v>
      </c>
      <c r="J227">
        <v>6</v>
      </c>
      <c r="K227">
        <v>6</v>
      </c>
      <c r="L227" t="s">
        <v>112</v>
      </c>
      <c r="M227" t="s">
        <v>118</v>
      </c>
      <c r="N227">
        <v>39</v>
      </c>
      <c r="O227">
        <v>2</v>
      </c>
      <c r="P227" t="s">
        <v>111</v>
      </c>
      <c r="Q227">
        <v>36.6</v>
      </c>
      <c r="R227">
        <v>0</v>
      </c>
      <c r="S227">
        <v>0</v>
      </c>
      <c r="T227">
        <v>5</v>
      </c>
      <c r="U227" t="e">
        <f>-IMPRESION DARMA</f>
        <v>#NAME?</v>
      </c>
      <c r="V227">
        <v>0</v>
      </c>
      <c r="W227">
        <v>25</v>
      </c>
      <c r="X227">
        <v>8</v>
      </c>
      <c r="Y227">
        <v>0</v>
      </c>
      <c r="Z227" t="s">
        <v>288</v>
      </c>
      <c r="AA227">
        <v>0.8</v>
      </c>
      <c r="AB227" t="s">
        <v>259</v>
      </c>
      <c r="AC227">
        <v>0.08</v>
      </c>
      <c r="AD227" t="s">
        <v>416</v>
      </c>
      <c r="AE227">
        <v>0</v>
      </c>
      <c r="AF227">
        <v>0</v>
      </c>
      <c r="AG227" t="s">
        <v>111</v>
      </c>
      <c r="AH227" t="s">
        <v>128</v>
      </c>
      <c r="AI227" t="s">
        <v>111</v>
      </c>
      <c r="AJ227" t="s">
        <v>111</v>
      </c>
      <c r="AK227" t="s">
        <v>111</v>
      </c>
      <c r="AL227" t="s">
        <v>111</v>
      </c>
      <c r="AM227">
        <v>0</v>
      </c>
      <c r="AN227">
        <v>0</v>
      </c>
      <c r="AO227">
        <v>0</v>
      </c>
      <c r="AP227" t="s">
        <v>111</v>
      </c>
      <c r="AQ227" t="s">
        <v>111</v>
      </c>
      <c r="AR227" t="s">
        <v>111</v>
      </c>
      <c r="AS227" t="s">
        <v>111</v>
      </c>
      <c r="AT227" t="s">
        <v>111</v>
      </c>
      <c r="AU227" t="s">
        <v>111</v>
      </c>
      <c r="AV227" t="s">
        <v>111</v>
      </c>
      <c r="AW227" t="s">
        <v>111</v>
      </c>
      <c r="AX227" t="s">
        <v>111</v>
      </c>
      <c r="AY227" t="s">
        <v>111</v>
      </c>
      <c r="AZ227" t="s">
        <v>111</v>
      </c>
      <c r="BA227" t="s">
        <v>111</v>
      </c>
      <c r="BB227" t="s">
        <v>111</v>
      </c>
      <c r="BC227" t="s">
        <v>111</v>
      </c>
      <c r="BD227" t="s">
        <v>111</v>
      </c>
      <c r="BE227" t="s">
        <v>111</v>
      </c>
      <c r="BF227" t="s">
        <v>111</v>
      </c>
      <c r="BG227" t="s">
        <v>111</v>
      </c>
      <c r="BH227" t="s">
        <v>111</v>
      </c>
      <c r="BI227" t="s">
        <v>111</v>
      </c>
      <c r="BJ227" t="s">
        <v>111</v>
      </c>
      <c r="BK227" t="s">
        <v>111</v>
      </c>
      <c r="BL227" t="s">
        <v>111</v>
      </c>
      <c r="BM227" t="s">
        <v>111</v>
      </c>
      <c r="BN227" t="s">
        <v>111</v>
      </c>
      <c r="BO227" t="s">
        <v>111</v>
      </c>
      <c r="BP227" t="s">
        <v>111</v>
      </c>
      <c r="BQ227" t="s">
        <v>111</v>
      </c>
      <c r="BR227" t="s">
        <v>111</v>
      </c>
      <c r="BS227" t="s">
        <v>111</v>
      </c>
      <c r="BT227" t="s">
        <v>111</v>
      </c>
      <c r="BU227" t="s">
        <v>111</v>
      </c>
      <c r="BV227" t="s">
        <v>111</v>
      </c>
      <c r="BW227" t="s">
        <v>111</v>
      </c>
      <c r="BX227" t="s">
        <v>111</v>
      </c>
      <c r="BY227" t="s">
        <v>111</v>
      </c>
      <c r="BZ227" t="s">
        <v>111</v>
      </c>
      <c r="CA227" t="s">
        <v>111</v>
      </c>
      <c r="CB227" t="s">
        <v>111</v>
      </c>
      <c r="CC227" t="s">
        <v>111</v>
      </c>
      <c r="CD227" t="s">
        <v>111</v>
      </c>
      <c r="CE227" t="s">
        <v>111</v>
      </c>
      <c r="CF227" t="s">
        <v>111</v>
      </c>
      <c r="CG227" t="s">
        <v>111</v>
      </c>
      <c r="CH227" t="s">
        <v>111</v>
      </c>
      <c r="CI227" t="s">
        <v>111</v>
      </c>
      <c r="CJ227" t="s">
        <v>111</v>
      </c>
      <c r="CK227" t="s">
        <v>111</v>
      </c>
      <c r="CL227" t="s">
        <v>111</v>
      </c>
      <c r="CM227" t="s">
        <v>135</v>
      </c>
      <c r="CN227" t="s">
        <v>128</v>
      </c>
      <c r="CO227" t="s">
        <v>111</v>
      </c>
      <c r="CP227" t="s">
        <v>111</v>
      </c>
      <c r="CQ227">
        <v>0</v>
      </c>
      <c r="CR227">
        <v>0</v>
      </c>
      <c r="CS227">
        <v>20</v>
      </c>
      <c r="CT227" t="e">
        <f>-ALMACEN</f>
        <v>#NAME?</v>
      </c>
      <c r="CU227">
        <v>0</v>
      </c>
      <c r="CV227" t="s">
        <v>111</v>
      </c>
      <c r="CW227" t="s">
        <v>111</v>
      </c>
      <c r="CX227" t="s">
        <v>111</v>
      </c>
      <c r="CY227">
        <v>0</v>
      </c>
      <c r="CZ227" t="s">
        <v>111</v>
      </c>
      <c r="DA227" t="s">
        <v>111</v>
      </c>
      <c r="DB227" t="s">
        <v>111</v>
      </c>
      <c r="DC227" t="s">
        <v>111</v>
      </c>
    </row>
    <row r="228" spans="1:107">
      <c r="A228">
        <v>115</v>
      </c>
      <c r="B228" t="s">
        <v>107</v>
      </c>
      <c r="C228" t="s">
        <v>713</v>
      </c>
      <c r="D228" t="s">
        <v>911</v>
      </c>
      <c r="E228" t="s">
        <v>912</v>
      </c>
      <c r="F228" t="s">
        <v>125</v>
      </c>
      <c r="G228" t="s">
        <v>469</v>
      </c>
      <c r="H228">
        <v>0.9</v>
      </c>
      <c r="I228">
        <v>65</v>
      </c>
      <c r="J228">
        <v>0</v>
      </c>
      <c r="K228">
        <v>0</v>
      </c>
      <c r="L228" t="s">
        <v>112</v>
      </c>
      <c r="M228" t="s">
        <v>138</v>
      </c>
      <c r="N228">
        <v>0</v>
      </c>
      <c r="O228">
        <v>0</v>
      </c>
      <c r="P228" t="s">
        <v>138</v>
      </c>
      <c r="Q228">
        <v>49.2</v>
      </c>
      <c r="R228">
        <v>0</v>
      </c>
      <c r="S228">
        <v>0</v>
      </c>
      <c r="T228">
        <v>5</v>
      </c>
      <c r="U228" s="1" t="s">
        <v>913</v>
      </c>
      <c r="V228">
        <v>250</v>
      </c>
      <c r="W228">
        <v>0</v>
      </c>
      <c r="X228">
        <v>6</v>
      </c>
      <c r="Y228">
        <v>0</v>
      </c>
      <c r="Z228" t="s">
        <v>111</v>
      </c>
      <c r="AA228">
        <v>0</v>
      </c>
      <c r="AB228" t="s">
        <v>111</v>
      </c>
      <c r="AC228">
        <v>0</v>
      </c>
      <c r="AD228" t="s">
        <v>111</v>
      </c>
      <c r="AE228">
        <v>0</v>
      </c>
      <c r="AF228">
        <v>0</v>
      </c>
      <c r="AG228" t="s">
        <v>111</v>
      </c>
      <c r="AH228" t="s">
        <v>111</v>
      </c>
      <c r="AI228" t="s">
        <v>111</v>
      </c>
      <c r="AJ228" t="s">
        <v>111</v>
      </c>
      <c r="AK228" t="s">
        <v>111</v>
      </c>
      <c r="AL228" t="s">
        <v>111</v>
      </c>
      <c r="AM228">
        <v>0</v>
      </c>
      <c r="AN228">
        <v>0</v>
      </c>
      <c r="AO228">
        <v>0</v>
      </c>
      <c r="AP228" t="s">
        <v>111</v>
      </c>
      <c r="AQ228" t="s">
        <v>111</v>
      </c>
      <c r="AR228" t="s">
        <v>111</v>
      </c>
      <c r="AS228" t="s">
        <v>111</v>
      </c>
      <c r="AT228" t="s">
        <v>111</v>
      </c>
      <c r="AU228" t="s">
        <v>111</v>
      </c>
      <c r="AV228" t="s">
        <v>111</v>
      </c>
      <c r="AW228" t="s">
        <v>111</v>
      </c>
      <c r="AX228" t="s">
        <v>111</v>
      </c>
      <c r="AY228" t="s">
        <v>111</v>
      </c>
      <c r="AZ228" t="s">
        <v>111</v>
      </c>
      <c r="BA228" t="s">
        <v>111</v>
      </c>
      <c r="BB228" t="s">
        <v>111</v>
      </c>
      <c r="BC228" t="s">
        <v>111</v>
      </c>
      <c r="BD228" t="s">
        <v>111</v>
      </c>
      <c r="BE228" t="s">
        <v>111</v>
      </c>
      <c r="BF228" t="s">
        <v>111</v>
      </c>
      <c r="BG228" t="s">
        <v>111</v>
      </c>
      <c r="BH228" t="s">
        <v>111</v>
      </c>
      <c r="BI228" t="s">
        <v>111</v>
      </c>
      <c r="BJ228" t="s">
        <v>111</v>
      </c>
      <c r="BK228" t="s">
        <v>111</v>
      </c>
      <c r="BL228" t="s">
        <v>111</v>
      </c>
      <c r="BM228" t="s">
        <v>111</v>
      </c>
      <c r="BN228" t="s">
        <v>111</v>
      </c>
      <c r="BO228" t="s">
        <v>111</v>
      </c>
      <c r="BP228" t="s">
        <v>111</v>
      </c>
      <c r="BQ228" t="s">
        <v>111</v>
      </c>
      <c r="BR228" t="s">
        <v>111</v>
      </c>
      <c r="BS228" t="s">
        <v>111</v>
      </c>
      <c r="BT228" t="s">
        <v>111</v>
      </c>
      <c r="BU228" t="s">
        <v>111</v>
      </c>
      <c r="BV228" t="s">
        <v>111</v>
      </c>
      <c r="BW228" t="s">
        <v>111</v>
      </c>
      <c r="BX228" t="s">
        <v>111</v>
      </c>
      <c r="BY228" t="s">
        <v>111</v>
      </c>
      <c r="BZ228" t="s">
        <v>111</v>
      </c>
      <c r="CA228" t="s">
        <v>111</v>
      </c>
      <c r="CB228" t="s">
        <v>111</v>
      </c>
      <c r="CC228" t="s">
        <v>111</v>
      </c>
      <c r="CD228" t="s">
        <v>111</v>
      </c>
      <c r="CE228" t="s">
        <v>111</v>
      </c>
      <c r="CF228" t="s">
        <v>111</v>
      </c>
      <c r="CG228" t="s">
        <v>111</v>
      </c>
      <c r="CH228" t="s">
        <v>111</v>
      </c>
      <c r="CI228" t="s">
        <v>111</v>
      </c>
      <c r="CJ228" t="s">
        <v>111</v>
      </c>
      <c r="CK228" t="s">
        <v>111</v>
      </c>
      <c r="CL228" t="s">
        <v>111</v>
      </c>
      <c r="CM228" t="s">
        <v>127</v>
      </c>
      <c r="CN228" t="s">
        <v>128</v>
      </c>
      <c r="CO228" t="s">
        <v>111</v>
      </c>
      <c r="CP228" t="s">
        <v>111</v>
      </c>
      <c r="CQ228">
        <v>0</v>
      </c>
      <c r="CR228">
        <v>800</v>
      </c>
      <c r="CS228">
        <v>100</v>
      </c>
      <c r="CT228" t="s">
        <v>168</v>
      </c>
      <c r="CU228">
        <v>0</v>
      </c>
      <c r="CV228" t="s">
        <v>111</v>
      </c>
      <c r="CW228" t="s">
        <v>111</v>
      </c>
      <c r="CX228" t="s">
        <v>111</v>
      </c>
      <c r="CY228">
        <v>0</v>
      </c>
      <c r="CZ228" t="s">
        <v>111</v>
      </c>
      <c r="DA228" t="s">
        <v>111</v>
      </c>
      <c r="DB228" t="s">
        <v>111</v>
      </c>
      <c r="DC228" t="s">
        <v>111</v>
      </c>
    </row>
    <row r="229" spans="1:107">
      <c r="A229">
        <v>1465</v>
      </c>
      <c r="B229" t="s">
        <v>107</v>
      </c>
      <c r="C229" t="s">
        <v>412</v>
      </c>
      <c r="D229" t="s">
        <v>914</v>
      </c>
      <c r="E229" t="s">
        <v>915</v>
      </c>
      <c r="F229" t="s">
        <v>370</v>
      </c>
      <c r="G229" t="s">
        <v>469</v>
      </c>
      <c r="H229">
        <v>1.5</v>
      </c>
      <c r="I229">
        <v>20</v>
      </c>
      <c r="J229">
        <v>6</v>
      </c>
      <c r="K229">
        <v>6</v>
      </c>
      <c r="L229" t="s">
        <v>112</v>
      </c>
      <c r="M229" t="s">
        <v>118</v>
      </c>
      <c r="N229">
        <v>39</v>
      </c>
      <c r="O229">
        <v>2</v>
      </c>
      <c r="P229" t="s">
        <v>111</v>
      </c>
      <c r="Q229">
        <v>26.1</v>
      </c>
      <c r="R229">
        <v>0</v>
      </c>
      <c r="S229">
        <v>0</v>
      </c>
      <c r="T229">
        <v>5</v>
      </c>
      <c r="U229" s="1" t="s">
        <v>784</v>
      </c>
      <c r="V229">
        <v>12.5</v>
      </c>
      <c r="W229">
        <v>0</v>
      </c>
      <c r="X229">
        <v>12.5</v>
      </c>
      <c r="Y229">
        <v>0</v>
      </c>
      <c r="Z229" t="s">
        <v>288</v>
      </c>
      <c r="AA229">
        <v>1.5</v>
      </c>
      <c r="AB229" t="s">
        <v>916</v>
      </c>
      <c r="AC229">
        <v>0</v>
      </c>
      <c r="AD229" t="s">
        <v>416</v>
      </c>
      <c r="AE229">
        <v>0</v>
      </c>
      <c r="AF229">
        <v>0</v>
      </c>
      <c r="AG229" t="s">
        <v>111</v>
      </c>
      <c r="AH229" t="s">
        <v>111</v>
      </c>
      <c r="AI229" t="s">
        <v>111</v>
      </c>
      <c r="AJ229" t="s">
        <v>111</v>
      </c>
      <c r="AK229" t="s">
        <v>111</v>
      </c>
      <c r="AL229" t="s">
        <v>111</v>
      </c>
      <c r="AM229">
        <v>0</v>
      </c>
      <c r="AN229">
        <v>0</v>
      </c>
      <c r="AO229">
        <v>0</v>
      </c>
      <c r="AP229" t="s">
        <v>111</v>
      </c>
      <c r="AQ229" t="s">
        <v>111</v>
      </c>
      <c r="AR229" t="s">
        <v>111</v>
      </c>
      <c r="AS229" t="s">
        <v>111</v>
      </c>
      <c r="AT229" t="s">
        <v>111</v>
      </c>
      <c r="AU229" t="s">
        <v>111</v>
      </c>
      <c r="AV229" t="s">
        <v>111</v>
      </c>
      <c r="AW229" t="s">
        <v>111</v>
      </c>
      <c r="AX229" t="s">
        <v>111</v>
      </c>
      <c r="AY229" t="s">
        <v>111</v>
      </c>
      <c r="AZ229" t="s">
        <v>111</v>
      </c>
      <c r="BA229" t="s">
        <v>111</v>
      </c>
      <c r="BB229" t="s">
        <v>111</v>
      </c>
      <c r="BC229" t="s">
        <v>111</v>
      </c>
      <c r="BD229" t="s">
        <v>111</v>
      </c>
      <c r="BE229" t="s">
        <v>111</v>
      </c>
      <c r="BF229" t="s">
        <v>111</v>
      </c>
      <c r="BG229" t="s">
        <v>111</v>
      </c>
      <c r="BH229" t="s">
        <v>111</v>
      </c>
      <c r="BI229" t="s">
        <v>111</v>
      </c>
      <c r="BJ229" t="s">
        <v>111</v>
      </c>
      <c r="BK229" t="s">
        <v>111</v>
      </c>
      <c r="BL229" t="s">
        <v>111</v>
      </c>
      <c r="BM229" t="s">
        <v>111</v>
      </c>
      <c r="BN229" t="s">
        <v>111</v>
      </c>
      <c r="BO229" t="s">
        <v>111</v>
      </c>
      <c r="BP229" t="s">
        <v>111</v>
      </c>
      <c r="BQ229" t="s">
        <v>111</v>
      </c>
      <c r="BR229" t="s">
        <v>111</v>
      </c>
      <c r="BS229" t="s">
        <v>111</v>
      </c>
      <c r="BT229" t="s">
        <v>111</v>
      </c>
      <c r="BU229" t="s">
        <v>111</v>
      </c>
      <c r="BV229" t="s">
        <v>111</v>
      </c>
      <c r="BW229" t="s">
        <v>111</v>
      </c>
      <c r="BX229" t="s">
        <v>111</v>
      </c>
      <c r="BY229" t="s">
        <v>111</v>
      </c>
      <c r="BZ229" t="s">
        <v>111</v>
      </c>
      <c r="CA229" t="s">
        <v>111</v>
      </c>
      <c r="CB229" t="s">
        <v>111</v>
      </c>
      <c r="CC229" t="s">
        <v>111</v>
      </c>
      <c r="CD229" t="s">
        <v>111</v>
      </c>
      <c r="CE229" t="s">
        <v>111</v>
      </c>
      <c r="CF229" t="s">
        <v>111</v>
      </c>
      <c r="CG229" t="s">
        <v>111</v>
      </c>
      <c r="CH229" t="s">
        <v>111</v>
      </c>
      <c r="CI229" t="s">
        <v>111</v>
      </c>
      <c r="CJ229" t="s">
        <v>111</v>
      </c>
      <c r="CK229" t="s">
        <v>111</v>
      </c>
      <c r="CL229" t="s">
        <v>111</v>
      </c>
      <c r="CM229" t="s">
        <v>135</v>
      </c>
      <c r="CN229" t="s">
        <v>128</v>
      </c>
      <c r="CO229" t="s">
        <v>111</v>
      </c>
      <c r="CP229" t="s">
        <v>111</v>
      </c>
      <c r="CQ229">
        <v>0</v>
      </c>
      <c r="CR229">
        <v>3000</v>
      </c>
      <c r="CS229">
        <v>50</v>
      </c>
      <c r="CT229" t="e">
        <f>-BIEN EMPACADO EN BOLSAS PARA TROQUELAR</f>
        <v>#NAME?</v>
      </c>
      <c r="CU229">
        <v>0</v>
      </c>
      <c r="CV229" t="s">
        <v>111</v>
      </c>
      <c r="CW229" t="s">
        <v>111</v>
      </c>
      <c r="CX229" t="s">
        <v>111</v>
      </c>
      <c r="CY229">
        <v>0</v>
      </c>
      <c r="CZ229" t="s">
        <v>111</v>
      </c>
      <c r="DA229" t="s">
        <v>111</v>
      </c>
      <c r="DB229" t="e">
        <f>-INTERNO</f>
        <v>#NAME?</v>
      </c>
      <c r="DC229" t="e">
        <f>-TROQUEL CAMISETA</f>
        <v>#NAME?</v>
      </c>
    </row>
    <row r="230" spans="1:107">
      <c r="A230">
        <v>1383</v>
      </c>
      <c r="B230" t="s">
        <v>107</v>
      </c>
      <c r="C230" t="s">
        <v>454</v>
      </c>
      <c r="D230" t="s">
        <v>917</v>
      </c>
      <c r="E230" t="s">
        <v>918</v>
      </c>
      <c r="F230" t="s">
        <v>431</v>
      </c>
      <c r="G230" t="s">
        <v>469</v>
      </c>
      <c r="H230">
        <v>1.9</v>
      </c>
      <c r="I230">
        <v>76</v>
      </c>
      <c r="J230">
        <v>0</v>
      </c>
      <c r="K230">
        <v>0</v>
      </c>
      <c r="L230" t="s">
        <v>112</v>
      </c>
      <c r="M230" t="s">
        <v>118</v>
      </c>
      <c r="N230">
        <v>39</v>
      </c>
      <c r="O230">
        <v>2</v>
      </c>
      <c r="P230" t="s">
        <v>118</v>
      </c>
      <c r="Q230">
        <v>53.1</v>
      </c>
      <c r="R230">
        <v>0</v>
      </c>
      <c r="S230">
        <v>0</v>
      </c>
      <c r="T230">
        <v>5</v>
      </c>
      <c r="U230" s="1" t="s">
        <v>919</v>
      </c>
      <c r="V230">
        <v>0</v>
      </c>
      <c r="W230">
        <v>25</v>
      </c>
      <c r="X230">
        <v>6</v>
      </c>
      <c r="Y230">
        <v>0</v>
      </c>
      <c r="Z230" t="s">
        <v>288</v>
      </c>
      <c r="AA230">
        <v>1.5</v>
      </c>
      <c r="AB230" t="s">
        <v>111</v>
      </c>
      <c r="AC230">
        <v>0</v>
      </c>
      <c r="AD230" t="s">
        <v>416</v>
      </c>
      <c r="AE230">
        <v>0</v>
      </c>
      <c r="AF230">
        <v>0</v>
      </c>
      <c r="AG230" t="s">
        <v>111</v>
      </c>
      <c r="AH230" t="s">
        <v>113</v>
      </c>
      <c r="AI230" t="s">
        <v>111</v>
      </c>
      <c r="AJ230" t="s">
        <v>111</v>
      </c>
      <c r="AK230" t="s">
        <v>111</v>
      </c>
      <c r="AL230" t="s">
        <v>111</v>
      </c>
      <c r="AM230">
        <v>0</v>
      </c>
      <c r="AN230">
        <v>0</v>
      </c>
      <c r="AO230">
        <v>0</v>
      </c>
      <c r="AP230" t="s">
        <v>111</v>
      </c>
      <c r="AQ230" t="s">
        <v>111</v>
      </c>
      <c r="AR230" t="s">
        <v>111</v>
      </c>
      <c r="AS230" t="s">
        <v>111</v>
      </c>
      <c r="AT230" t="s">
        <v>111</v>
      </c>
      <c r="AU230" t="s">
        <v>111</v>
      </c>
      <c r="AV230" t="s">
        <v>111</v>
      </c>
      <c r="AW230" t="s">
        <v>111</v>
      </c>
      <c r="AX230" t="s">
        <v>111</v>
      </c>
      <c r="AY230" t="s">
        <v>111</v>
      </c>
      <c r="AZ230" t="s">
        <v>111</v>
      </c>
      <c r="BA230" t="s">
        <v>111</v>
      </c>
      <c r="BB230" t="s">
        <v>111</v>
      </c>
      <c r="BC230" t="s">
        <v>111</v>
      </c>
      <c r="BD230" t="s">
        <v>111</v>
      </c>
      <c r="BE230" t="s">
        <v>111</v>
      </c>
      <c r="BF230" t="s">
        <v>111</v>
      </c>
      <c r="BG230" t="s">
        <v>111</v>
      </c>
      <c r="BH230" t="s">
        <v>111</v>
      </c>
      <c r="BI230" t="s">
        <v>111</v>
      </c>
      <c r="BJ230" t="s">
        <v>111</v>
      </c>
      <c r="BK230" t="s">
        <v>111</v>
      </c>
      <c r="BL230" t="s">
        <v>111</v>
      </c>
      <c r="BM230" t="s">
        <v>111</v>
      </c>
      <c r="BN230" t="s">
        <v>111</v>
      </c>
      <c r="BO230" t="s">
        <v>111</v>
      </c>
      <c r="BP230" t="s">
        <v>111</v>
      </c>
      <c r="BQ230" t="s">
        <v>111</v>
      </c>
      <c r="BR230" t="s">
        <v>111</v>
      </c>
      <c r="BS230" t="s">
        <v>111</v>
      </c>
      <c r="BT230" t="s">
        <v>111</v>
      </c>
      <c r="BU230" t="s">
        <v>111</v>
      </c>
      <c r="BV230" t="s">
        <v>111</v>
      </c>
      <c r="BW230" t="s">
        <v>111</v>
      </c>
      <c r="BX230" t="s">
        <v>111</v>
      </c>
      <c r="BY230" t="s">
        <v>111</v>
      </c>
      <c r="BZ230" t="s">
        <v>111</v>
      </c>
      <c r="CA230" t="s">
        <v>111</v>
      </c>
      <c r="CB230" t="s">
        <v>111</v>
      </c>
      <c r="CC230" t="s">
        <v>111</v>
      </c>
      <c r="CD230" t="s">
        <v>111</v>
      </c>
      <c r="CE230" t="s">
        <v>111</v>
      </c>
      <c r="CF230" t="s">
        <v>111</v>
      </c>
      <c r="CG230" t="s">
        <v>111</v>
      </c>
      <c r="CH230" t="s">
        <v>111</v>
      </c>
      <c r="CI230" t="s">
        <v>111</v>
      </c>
      <c r="CJ230" t="s">
        <v>111</v>
      </c>
      <c r="CK230" t="s">
        <v>111</v>
      </c>
      <c r="CL230" t="s">
        <v>111</v>
      </c>
      <c r="CM230" t="s">
        <v>438</v>
      </c>
      <c r="CN230" t="s">
        <v>113</v>
      </c>
      <c r="CO230" t="s">
        <v>367</v>
      </c>
      <c r="CP230" t="e">
        <f>-MUESTRA</f>
        <v>#NAME?</v>
      </c>
      <c r="CQ230">
        <v>74</v>
      </c>
      <c r="CR230">
        <v>3000</v>
      </c>
      <c r="CS230">
        <v>100</v>
      </c>
      <c r="CT230" s="1" t="s">
        <v>920</v>
      </c>
      <c r="CU230">
        <v>0</v>
      </c>
      <c r="CV230" t="s">
        <v>111</v>
      </c>
      <c r="CW230" t="s">
        <v>111</v>
      </c>
      <c r="CX230" t="s">
        <v>111</v>
      </c>
      <c r="CY230">
        <v>0</v>
      </c>
      <c r="CZ230" t="s">
        <v>111</v>
      </c>
      <c r="DA230" t="s">
        <v>111</v>
      </c>
      <c r="DB230" t="e">
        <f>-INTERNO</f>
        <v>#NAME?</v>
      </c>
      <c r="DC230" t="e">
        <f>-TROQUEL RIÑON PEQUEÑO</f>
        <v>#NAME?</v>
      </c>
    </row>
    <row r="231" spans="1:107">
      <c r="A231">
        <v>280</v>
      </c>
      <c r="B231" t="s">
        <v>107</v>
      </c>
      <c r="C231" t="s">
        <v>921</v>
      </c>
      <c r="D231" t="s">
        <v>922</v>
      </c>
      <c r="E231" t="s">
        <v>923</v>
      </c>
      <c r="F231" t="s">
        <v>125</v>
      </c>
      <c r="G231" t="s">
        <v>469</v>
      </c>
      <c r="H231">
        <v>1.3</v>
      </c>
      <c r="I231">
        <v>60</v>
      </c>
      <c r="J231">
        <v>0</v>
      </c>
      <c r="K231">
        <v>0</v>
      </c>
      <c r="L231" t="s">
        <v>112</v>
      </c>
      <c r="M231" t="s">
        <v>138</v>
      </c>
      <c r="N231">
        <v>0</v>
      </c>
      <c r="O231">
        <v>0</v>
      </c>
      <c r="P231" t="s">
        <v>138</v>
      </c>
      <c r="Q231">
        <v>53.3</v>
      </c>
      <c r="R231">
        <v>0</v>
      </c>
      <c r="S231">
        <v>0</v>
      </c>
      <c r="T231">
        <v>0</v>
      </c>
      <c r="U231" t="s">
        <v>153</v>
      </c>
      <c r="V231">
        <v>25</v>
      </c>
      <c r="W231">
        <v>0</v>
      </c>
      <c r="X231">
        <v>8</v>
      </c>
      <c r="Y231">
        <v>0</v>
      </c>
      <c r="Z231" t="s">
        <v>111</v>
      </c>
      <c r="AA231">
        <v>0</v>
      </c>
      <c r="AB231" t="s">
        <v>111</v>
      </c>
      <c r="AC231">
        <v>0</v>
      </c>
      <c r="AD231" t="s">
        <v>111</v>
      </c>
      <c r="AE231">
        <v>0</v>
      </c>
      <c r="AF231">
        <v>0</v>
      </c>
      <c r="AG231" t="s">
        <v>111</v>
      </c>
      <c r="AH231" t="s">
        <v>111</v>
      </c>
      <c r="AI231" t="s">
        <v>111</v>
      </c>
      <c r="AJ231" t="s">
        <v>111</v>
      </c>
      <c r="AK231" t="s">
        <v>111</v>
      </c>
      <c r="AL231" t="s">
        <v>111</v>
      </c>
      <c r="AM231">
        <v>0</v>
      </c>
      <c r="AN231">
        <v>0</v>
      </c>
      <c r="AO231">
        <v>0</v>
      </c>
      <c r="AP231" t="s">
        <v>111</v>
      </c>
      <c r="AQ231" t="s">
        <v>111</v>
      </c>
      <c r="AR231" t="s">
        <v>111</v>
      </c>
      <c r="AS231" t="s">
        <v>111</v>
      </c>
      <c r="AT231" t="s">
        <v>111</v>
      </c>
      <c r="AU231" t="s">
        <v>111</v>
      </c>
      <c r="AV231" t="s">
        <v>111</v>
      </c>
      <c r="AW231" t="s">
        <v>111</v>
      </c>
      <c r="AX231" t="s">
        <v>111</v>
      </c>
      <c r="AY231" t="s">
        <v>111</v>
      </c>
      <c r="AZ231" t="s">
        <v>111</v>
      </c>
      <c r="BA231" t="s">
        <v>111</v>
      </c>
      <c r="BB231" t="s">
        <v>111</v>
      </c>
      <c r="BC231" t="s">
        <v>111</v>
      </c>
      <c r="BD231" t="s">
        <v>111</v>
      </c>
      <c r="BE231" t="s">
        <v>111</v>
      </c>
      <c r="BF231" t="s">
        <v>111</v>
      </c>
      <c r="BG231" t="s">
        <v>111</v>
      </c>
      <c r="BH231" t="s">
        <v>111</v>
      </c>
      <c r="BI231" t="s">
        <v>111</v>
      </c>
      <c r="BJ231" t="s">
        <v>111</v>
      </c>
      <c r="BK231" t="s">
        <v>111</v>
      </c>
      <c r="BL231" t="s">
        <v>111</v>
      </c>
      <c r="BM231" t="s">
        <v>111</v>
      </c>
      <c r="BN231" t="s">
        <v>111</v>
      </c>
      <c r="BO231" t="s">
        <v>111</v>
      </c>
      <c r="BP231" t="s">
        <v>111</v>
      </c>
      <c r="BQ231" t="s">
        <v>111</v>
      </c>
      <c r="BR231" t="s">
        <v>111</v>
      </c>
      <c r="BS231" t="s">
        <v>111</v>
      </c>
      <c r="BT231" t="s">
        <v>111</v>
      </c>
      <c r="BU231" t="s">
        <v>111</v>
      </c>
      <c r="BV231" t="s">
        <v>111</v>
      </c>
      <c r="BW231" t="s">
        <v>111</v>
      </c>
      <c r="BX231" t="s">
        <v>111</v>
      </c>
      <c r="BY231" t="s">
        <v>111</v>
      </c>
      <c r="BZ231" t="s">
        <v>111</v>
      </c>
      <c r="CA231" t="s">
        <v>111</v>
      </c>
      <c r="CB231" t="s">
        <v>111</v>
      </c>
      <c r="CC231" t="s">
        <v>111</v>
      </c>
      <c r="CD231" t="s">
        <v>111</v>
      </c>
      <c r="CE231" t="s">
        <v>111</v>
      </c>
      <c r="CF231" t="s">
        <v>111</v>
      </c>
      <c r="CG231" t="s">
        <v>111</v>
      </c>
      <c r="CH231" t="s">
        <v>111</v>
      </c>
      <c r="CI231" t="s">
        <v>111</v>
      </c>
      <c r="CJ231" t="s">
        <v>111</v>
      </c>
      <c r="CK231" t="s">
        <v>111</v>
      </c>
      <c r="CL231" t="s">
        <v>111</v>
      </c>
      <c r="CM231" t="s">
        <v>127</v>
      </c>
      <c r="CN231" t="s">
        <v>128</v>
      </c>
      <c r="CO231" t="s">
        <v>111</v>
      </c>
      <c r="CP231" t="s">
        <v>111</v>
      </c>
      <c r="CQ231">
        <v>0</v>
      </c>
      <c r="CR231">
        <v>500</v>
      </c>
      <c r="CS231">
        <v>50</v>
      </c>
      <c r="CT231" s="1" t="s">
        <v>924</v>
      </c>
      <c r="CU231">
        <v>0</v>
      </c>
      <c r="CV231" t="s">
        <v>111</v>
      </c>
      <c r="CW231" t="s">
        <v>111</v>
      </c>
      <c r="CX231" t="s">
        <v>111</v>
      </c>
      <c r="CY231">
        <v>0</v>
      </c>
      <c r="CZ231" t="s">
        <v>111</v>
      </c>
      <c r="DA231" t="s">
        <v>111</v>
      </c>
      <c r="DB231" t="s">
        <v>111</v>
      </c>
      <c r="DC231" t="s">
        <v>111</v>
      </c>
    </row>
    <row r="232" spans="1:107">
      <c r="A232">
        <v>1357</v>
      </c>
      <c r="B232" t="s">
        <v>107</v>
      </c>
      <c r="C232" t="s">
        <v>267</v>
      </c>
      <c r="D232" t="s">
        <v>925</v>
      </c>
      <c r="E232" t="s">
        <v>926</v>
      </c>
      <c r="F232" t="s">
        <v>166</v>
      </c>
      <c r="G232" t="s">
        <v>469</v>
      </c>
      <c r="H232">
        <v>1.5</v>
      </c>
      <c r="I232">
        <v>100</v>
      </c>
      <c r="J232">
        <v>0</v>
      </c>
      <c r="K232">
        <v>0</v>
      </c>
      <c r="L232" t="s">
        <v>112</v>
      </c>
      <c r="M232" t="s">
        <v>111</v>
      </c>
      <c r="N232">
        <v>0</v>
      </c>
      <c r="O232">
        <v>0</v>
      </c>
      <c r="P232" t="s">
        <v>111</v>
      </c>
      <c r="Q232">
        <v>49</v>
      </c>
      <c r="R232">
        <v>0</v>
      </c>
      <c r="S232">
        <v>0</v>
      </c>
      <c r="T232">
        <v>0</v>
      </c>
      <c r="U232" s="1" t="s">
        <v>927</v>
      </c>
      <c r="V232">
        <v>25</v>
      </c>
      <c r="W232">
        <v>0</v>
      </c>
      <c r="X232">
        <v>5</v>
      </c>
      <c r="Y232">
        <v>0</v>
      </c>
      <c r="Z232" t="s">
        <v>111</v>
      </c>
      <c r="AA232">
        <v>0</v>
      </c>
      <c r="AB232" t="s">
        <v>111</v>
      </c>
      <c r="AC232">
        <v>0</v>
      </c>
      <c r="AD232" t="s">
        <v>111</v>
      </c>
      <c r="AE232">
        <v>0</v>
      </c>
      <c r="AF232">
        <v>0</v>
      </c>
      <c r="AG232" t="s">
        <v>111</v>
      </c>
      <c r="AH232" t="s">
        <v>111</v>
      </c>
      <c r="AI232" t="s">
        <v>111</v>
      </c>
      <c r="AJ232" t="s">
        <v>111</v>
      </c>
      <c r="AK232" t="s">
        <v>111</v>
      </c>
      <c r="AL232" t="s">
        <v>111</v>
      </c>
      <c r="AM232">
        <v>0</v>
      </c>
      <c r="AN232">
        <v>0</v>
      </c>
      <c r="AO232">
        <v>0</v>
      </c>
      <c r="AP232" t="s">
        <v>111</v>
      </c>
      <c r="AQ232" t="s">
        <v>111</v>
      </c>
      <c r="AR232" t="s">
        <v>111</v>
      </c>
      <c r="AS232" t="s">
        <v>111</v>
      </c>
      <c r="AT232" t="s">
        <v>111</v>
      </c>
      <c r="AU232" t="s">
        <v>111</v>
      </c>
      <c r="AV232" t="s">
        <v>111</v>
      </c>
      <c r="AW232" t="s">
        <v>111</v>
      </c>
      <c r="AX232" t="s">
        <v>111</v>
      </c>
      <c r="AY232" t="s">
        <v>111</v>
      </c>
      <c r="AZ232" t="s">
        <v>111</v>
      </c>
      <c r="BA232" t="s">
        <v>111</v>
      </c>
      <c r="BB232" t="s">
        <v>111</v>
      </c>
      <c r="BC232" t="s">
        <v>111</v>
      </c>
      <c r="BD232" t="s">
        <v>111</v>
      </c>
      <c r="BE232" t="s">
        <v>111</v>
      </c>
      <c r="BF232" t="s">
        <v>111</v>
      </c>
      <c r="BG232" t="s">
        <v>111</v>
      </c>
      <c r="BH232" t="s">
        <v>111</v>
      </c>
      <c r="BI232" t="s">
        <v>111</v>
      </c>
      <c r="BJ232" t="s">
        <v>111</v>
      </c>
      <c r="BK232" t="s">
        <v>111</v>
      </c>
      <c r="BL232" t="s">
        <v>111</v>
      </c>
      <c r="BM232" t="s">
        <v>111</v>
      </c>
      <c r="BN232" t="s">
        <v>111</v>
      </c>
      <c r="BO232" t="s">
        <v>111</v>
      </c>
      <c r="BP232" t="s">
        <v>111</v>
      </c>
      <c r="BQ232" t="s">
        <v>111</v>
      </c>
      <c r="BR232" t="s">
        <v>111</v>
      </c>
      <c r="BS232" t="s">
        <v>111</v>
      </c>
      <c r="BT232" t="s">
        <v>111</v>
      </c>
      <c r="BU232" t="s">
        <v>111</v>
      </c>
      <c r="BV232" t="s">
        <v>111</v>
      </c>
      <c r="BW232" t="s">
        <v>111</v>
      </c>
      <c r="BX232" t="s">
        <v>111</v>
      </c>
      <c r="BY232" t="s">
        <v>111</v>
      </c>
      <c r="BZ232" t="s">
        <v>111</v>
      </c>
      <c r="CA232" t="s">
        <v>111</v>
      </c>
      <c r="CB232" t="s">
        <v>111</v>
      </c>
      <c r="CC232" t="s">
        <v>111</v>
      </c>
      <c r="CD232" t="s">
        <v>111</v>
      </c>
      <c r="CE232" t="s">
        <v>111</v>
      </c>
      <c r="CF232" t="s">
        <v>111</v>
      </c>
      <c r="CG232" t="s">
        <v>111</v>
      </c>
      <c r="CH232" t="s">
        <v>111</v>
      </c>
      <c r="CI232" t="s">
        <v>111</v>
      </c>
      <c r="CJ232" t="s">
        <v>111</v>
      </c>
      <c r="CK232" t="s">
        <v>111</v>
      </c>
      <c r="CL232" t="s">
        <v>111</v>
      </c>
      <c r="CM232" t="s">
        <v>111</v>
      </c>
      <c r="CN232" t="s">
        <v>111</v>
      </c>
      <c r="CO232" t="s">
        <v>111</v>
      </c>
      <c r="CP232" t="s">
        <v>111</v>
      </c>
      <c r="CQ232">
        <v>0</v>
      </c>
      <c r="CR232">
        <v>0</v>
      </c>
      <c r="CS232">
        <v>0</v>
      </c>
      <c r="CT232" t="s">
        <v>111</v>
      </c>
      <c r="CU232">
        <v>0</v>
      </c>
      <c r="CV232" t="s">
        <v>111</v>
      </c>
      <c r="CW232" t="s">
        <v>111</v>
      </c>
      <c r="CX232" t="s">
        <v>111</v>
      </c>
      <c r="CY232">
        <v>0</v>
      </c>
      <c r="CZ232" t="s">
        <v>111</v>
      </c>
      <c r="DA232" t="s">
        <v>111</v>
      </c>
      <c r="DB232" t="s">
        <v>111</v>
      </c>
      <c r="DC232" t="s">
        <v>111</v>
      </c>
    </row>
    <row r="233" spans="1:107">
      <c r="A233">
        <v>1356</v>
      </c>
      <c r="B233" t="s">
        <v>107</v>
      </c>
      <c r="C233" t="s">
        <v>928</v>
      </c>
      <c r="D233" t="s">
        <v>929</v>
      </c>
      <c r="E233" t="s">
        <v>930</v>
      </c>
      <c r="F233" t="s">
        <v>431</v>
      </c>
      <c r="G233" t="s">
        <v>469</v>
      </c>
      <c r="H233">
        <v>1.08</v>
      </c>
      <c r="I233">
        <v>81</v>
      </c>
      <c r="J233">
        <v>0</v>
      </c>
      <c r="K233">
        <v>0</v>
      </c>
      <c r="L233" t="s">
        <v>117</v>
      </c>
      <c r="M233" t="s">
        <v>118</v>
      </c>
      <c r="N233">
        <v>40</v>
      </c>
      <c r="O233">
        <v>1</v>
      </c>
      <c r="P233" t="s">
        <v>111</v>
      </c>
      <c r="Q233">
        <v>49.1</v>
      </c>
      <c r="R233">
        <v>0</v>
      </c>
      <c r="S233">
        <v>0</v>
      </c>
      <c r="T233">
        <v>8</v>
      </c>
      <c r="U233" s="1" t="s">
        <v>931</v>
      </c>
      <c r="V233">
        <v>0</v>
      </c>
      <c r="W233">
        <v>25</v>
      </c>
      <c r="X233">
        <v>6</v>
      </c>
      <c r="Y233">
        <v>0</v>
      </c>
      <c r="Z233" t="s">
        <v>111</v>
      </c>
      <c r="AA233">
        <v>0</v>
      </c>
      <c r="AB233" t="s">
        <v>111</v>
      </c>
      <c r="AC233">
        <v>0</v>
      </c>
      <c r="AD233" t="s">
        <v>416</v>
      </c>
      <c r="AE233">
        <v>0</v>
      </c>
      <c r="AF233">
        <v>0</v>
      </c>
      <c r="AG233" t="s">
        <v>111</v>
      </c>
      <c r="AH233" t="s">
        <v>113</v>
      </c>
      <c r="AI233" t="s">
        <v>111</v>
      </c>
      <c r="AJ233" t="s">
        <v>111</v>
      </c>
      <c r="AK233" t="s">
        <v>111</v>
      </c>
      <c r="AL233" t="s">
        <v>111</v>
      </c>
      <c r="AM233">
        <v>0</v>
      </c>
      <c r="AN233">
        <v>0</v>
      </c>
      <c r="AO233">
        <v>0</v>
      </c>
      <c r="AP233" t="s">
        <v>111</v>
      </c>
      <c r="AQ233" t="s">
        <v>111</v>
      </c>
      <c r="AR233" t="s">
        <v>111</v>
      </c>
      <c r="AS233" t="s">
        <v>111</v>
      </c>
      <c r="AT233" t="s">
        <v>111</v>
      </c>
      <c r="AU233" t="s">
        <v>111</v>
      </c>
      <c r="AV233" t="s">
        <v>111</v>
      </c>
      <c r="AW233" t="s">
        <v>111</v>
      </c>
      <c r="AX233" t="s">
        <v>111</v>
      </c>
      <c r="AY233" t="s">
        <v>111</v>
      </c>
      <c r="AZ233" t="s">
        <v>111</v>
      </c>
      <c r="BA233" t="s">
        <v>111</v>
      </c>
      <c r="BB233" t="s">
        <v>111</v>
      </c>
      <c r="BC233" t="s">
        <v>111</v>
      </c>
      <c r="BD233" t="s">
        <v>111</v>
      </c>
      <c r="BE233" t="s">
        <v>111</v>
      </c>
      <c r="BF233" t="s">
        <v>111</v>
      </c>
      <c r="BG233" t="s">
        <v>111</v>
      </c>
      <c r="BH233" t="s">
        <v>111</v>
      </c>
      <c r="BI233" t="s">
        <v>111</v>
      </c>
      <c r="BJ233" t="s">
        <v>111</v>
      </c>
      <c r="BK233" t="s">
        <v>111</v>
      </c>
      <c r="BL233" t="s">
        <v>111</v>
      </c>
      <c r="BM233" t="s">
        <v>111</v>
      </c>
      <c r="BN233" t="s">
        <v>111</v>
      </c>
      <c r="BO233" t="s">
        <v>111</v>
      </c>
      <c r="BP233" t="s">
        <v>111</v>
      </c>
      <c r="BQ233" t="s">
        <v>111</v>
      </c>
      <c r="BR233" t="s">
        <v>111</v>
      </c>
      <c r="BS233" t="s">
        <v>111</v>
      </c>
      <c r="BT233" t="s">
        <v>111</v>
      </c>
      <c r="BU233" t="s">
        <v>111</v>
      </c>
      <c r="BV233" t="s">
        <v>111</v>
      </c>
      <c r="BW233" t="s">
        <v>111</v>
      </c>
      <c r="BX233" t="s">
        <v>111</v>
      </c>
      <c r="BY233" t="s">
        <v>111</v>
      </c>
      <c r="BZ233" t="s">
        <v>111</v>
      </c>
      <c r="CA233" t="s">
        <v>111</v>
      </c>
      <c r="CB233" t="s">
        <v>111</v>
      </c>
      <c r="CC233" t="s">
        <v>111</v>
      </c>
      <c r="CD233" t="s">
        <v>111</v>
      </c>
      <c r="CE233" t="s">
        <v>111</v>
      </c>
      <c r="CF233" t="s">
        <v>111</v>
      </c>
      <c r="CG233" t="s">
        <v>111</v>
      </c>
      <c r="CH233" t="s">
        <v>111</v>
      </c>
      <c r="CI233" t="s">
        <v>111</v>
      </c>
      <c r="CJ233" t="s">
        <v>111</v>
      </c>
      <c r="CK233" t="s">
        <v>111</v>
      </c>
      <c r="CL233" t="s">
        <v>111</v>
      </c>
      <c r="CM233" t="s">
        <v>438</v>
      </c>
      <c r="CN233" t="s">
        <v>113</v>
      </c>
      <c r="CO233" t="s">
        <v>637</v>
      </c>
      <c r="CP233" t="e">
        <f>-MUESTRA</f>
        <v>#NAME?</v>
      </c>
      <c r="CQ233">
        <v>0</v>
      </c>
      <c r="CR233">
        <v>400</v>
      </c>
      <c r="CS233">
        <v>100</v>
      </c>
      <c r="CT233" s="1" t="s">
        <v>932</v>
      </c>
      <c r="CU233">
        <v>0</v>
      </c>
      <c r="CV233" t="s">
        <v>111</v>
      </c>
      <c r="CW233" t="s">
        <v>111</v>
      </c>
      <c r="CX233" t="s">
        <v>111</v>
      </c>
      <c r="CY233">
        <v>0</v>
      </c>
      <c r="CZ233" t="s">
        <v>111</v>
      </c>
      <c r="DA233" t="s">
        <v>111</v>
      </c>
      <c r="DB233" t="s">
        <v>111</v>
      </c>
      <c r="DC233" t="s">
        <v>111</v>
      </c>
    </row>
    <row r="234" spans="1:107">
      <c r="A234">
        <v>1353</v>
      </c>
      <c r="B234" t="s">
        <v>107</v>
      </c>
      <c r="C234" t="s">
        <v>509</v>
      </c>
      <c r="D234" t="s">
        <v>933</v>
      </c>
      <c r="E234" t="s">
        <v>934</v>
      </c>
      <c r="F234" t="s">
        <v>192</v>
      </c>
      <c r="G234" t="s">
        <v>469</v>
      </c>
      <c r="H234">
        <v>2.5</v>
      </c>
      <c r="I234">
        <v>36</v>
      </c>
      <c r="J234">
        <v>0</v>
      </c>
      <c r="K234">
        <v>0</v>
      </c>
      <c r="L234" t="s">
        <v>112</v>
      </c>
      <c r="M234" t="s">
        <v>111</v>
      </c>
      <c r="N234">
        <v>0</v>
      </c>
      <c r="O234">
        <v>0</v>
      </c>
      <c r="P234" t="s">
        <v>111</v>
      </c>
      <c r="Q234">
        <v>55</v>
      </c>
      <c r="R234">
        <v>0</v>
      </c>
      <c r="S234">
        <v>0</v>
      </c>
      <c r="T234">
        <v>5</v>
      </c>
      <c r="U234" s="1" t="s">
        <v>935</v>
      </c>
      <c r="V234">
        <v>0</v>
      </c>
      <c r="W234">
        <v>25</v>
      </c>
      <c r="X234">
        <v>8</v>
      </c>
      <c r="Y234">
        <v>0</v>
      </c>
      <c r="Z234" t="s">
        <v>259</v>
      </c>
      <c r="AA234">
        <v>0.8</v>
      </c>
      <c r="AB234" t="s">
        <v>111</v>
      </c>
      <c r="AC234">
        <v>0</v>
      </c>
      <c r="AD234" t="s">
        <v>111</v>
      </c>
      <c r="AE234">
        <v>0</v>
      </c>
      <c r="AF234">
        <v>0</v>
      </c>
      <c r="AG234" t="s">
        <v>111</v>
      </c>
      <c r="AH234" t="s">
        <v>111</v>
      </c>
      <c r="AI234" t="s">
        <v>111</v>
      </c>
      <c r="AJ234" t="s">
        <v>111</v>
      </c>
      <c r="AK234" t="s">
        <v>111</v>
      </c>
      <c r="AL234" t="s">
        <v>111</v>
      </c>
      <c r="AM234">
        <v>0</v>
      </c>
      <c r="AN234">
        <v>0</v>
      </c>
      <c r="AO234">
        <v>0</v>
      </c>
      <c r="AP234" t="s">
        <v>111</v>
      </c>
      <c r="AQ234" t="s">
        <v>111</v>
      </c>
      <c r="AR234" t="s">
        <v>111</v>
      </c>
      <c r="AS234" t="s">
        <v>111</v>
      </c>
      <c r="AT234" t="s">
        <v>111</v>
      </c>
      <c r="AU234" t="s">
        <v>111</v>
      </c>
      <c r="AV234" t="s">
        <v>111</v>
      </c>
      <c r="AW234" t="s">
        <v>111</v>
      </c>
      <c r="AX234" t="s">
        <v>111</v>
      </c>
      <c r="AY234" t="s">
        <v>111</v>
      </c>
      <c r="AZ234" t="s">
        <v>111</v>
      </c>
      <c r="BA234" t="s">
        <v>111</v>
      </c>
      <c r="BB234" t="s">
        <v>111</v>
      </c>
      <c r="BC234" t="s">
        <v>111</v>
      </c>
      <c r="BD234" t="s">
        <v>111</v>
      </c>
      <c r="BE234" t="s">
        <v>111</v>
      </c>
      <c r="BF234" t="s">
        <v>111</v>
      </c>
      <c r="BG234" t="s">
        <v>111</v>
      </c>
      <c r="BH234" t="s">
        <v>111</v>
      </c>
      <c r="BI234" t="s">
        <v>111</v>
      </c>
      <c r="BJ234" t="s">
        <v>111</v>
      </c>
      <c r="BK234" t="s">
        <v>111</v>
      </c>
      <c r="BL234" t="s">
        <v>111</v>
      </c>
      <c r="BM234" t="s">
        <v>111</v>
      </c>
      <c r="BN234" t="s">
        <v>111</v>
      </c>
      <c r="BO234" t="s">
        <v>111</v>
      </c>
      <c r="BP234" t="s">
        <v>111</v>
      </c>
      <c r="BQ234" t="s">
        <v>111</v>
      </c>
      <c r="BR234" t="s">
        <v>111</v>
      </c>
      <c r="BS234" t="s">
        <v>111</v>
      </c>
      <c r="BT234" t="s">
        <v>111</v>
      </c>
      <c r="BU234" t="s">
        <v>111</v>
      </c>
      <c r="BV234" t="s">
        <v>111</v>
      </c>
      <c r="BW234" t="s">
        <v>111</v>
      </c>
      <c r="BX234" t="s">
        <v>111</v>
      </c>
      <c r="BY234" t="s">
        <v>111</v>
      </c>
      <c r="BZ234" t="s">
        <v>111</v>
      </c>
      <c r="CA234" t="s">
        <v>111</v>
      </c>
      <c r="CB234" t="s">
        <v>111</v>
      </c>
      <c r="CC234" t="s">
        <v>111</v>
      </c>
      <c r="CD234" t="s">
        <v>111</v>
      </c>
      <c r="CE234" t="s">
        <v>111</v>
      </c>
      <c r="CF234" t="s">
        <v>111</v>
      </c>
      <c r="CG234" t="s">
        <v>111</v>
      </c>
      <c r="CH234" t="s">
        <v>111</v>
      </c>
      <c r="CI234" t="s">
        <v>111</v>
      </c>
      <c r="CJ234" t="s">
        <v>111</v>
      </c>
      <c r="CK234" t="s">
        <v>111</v>
      </c>
      <c r="CL234" t="s">
        <v>111</v>
      </c>
      <c r="CM234" t="s">
        <v>135</v>
      </c>
      <c r="CN234" t="s">
        <v>128</v>
      </c>
      <c r="CO234" t="s">
        <v>111</v>
      </c>
      <c r="CP234" t="s">
        <v>111</v>
      </c>
      <c r="CQ234">
        <v>0</v>
      </c>
      <c r="CR234">
        <v>1000</v>
      </c>
      <c r="CS234">
        <v>25</v>
      </c>
      <c r="CT234" s="1" t="s">
        <v>936</v>
      </c>
      <c r="CU234">
        <v>0</v>
      </c>
      <c r="CV234" t="s">
        <v>111</v>
      </c>
      <c r="CW234" t="s">
        <v>111</v>
      </c>
      <c r="CX234" t="s">
        <v>111</v>
      </c>
      <c r="CY234">
        <v>0</v>
      </c>
      <c r="CZ234" t="s">
        <v>111</v>
      </c>
      <c r="DA234" t="s">
        <v>111</v>
      </c>
      <c r="DB234" t="s">
        <v>111</v>
      </c>
      <c r="DC234" t="s">
        <v>111</v>
      </c>
    </row>
    <row r="235" spans="1:107">
      <c r="A235">
        <v>1389</v>
      </c>
      <c r="B235" t="s">
        <v>107</v>
      </c>
      <c r="C235" t="s">
        <v>937</v>
      </c>
      <c r="D235" t="s">
        <v>938</v>
      </c>
      <c r="E235" t="s">
        <v>939</v>
      </c>
      <c r="F235" t="s">
        <v>431</v>
      </c>
      <c r="G235" t="s">
        <v>469</v>
      </c>
      <c r="H235">
        <v>3</v>
      </c>
      <c r="I235">
        <v>54</v>
      </c>
      <c r="J235">
        <v>0</v>
      </c>
      <c r="K235">
        <v>0</v>
      </c>
      <c r="L235" t="s">
        <v>117</v>
      </c>
      <c r="M235" t="s">
        <v>118</v>
      </c>
      <c r="N235">
        <v>39</v>
      </c>
      <c r="O235">
        <v>1</v>
      </c>
      <c r="P235" t="s">
        <v>111</v>
      </c>
      <c r="Q235">
        <v>27</v>
      </c>
      <c r="R235">
        <v>0</v>
      </c>
      <c r="S235">
        <v>0</v>
      </c>
      <c r="T235">
        <v>5</v>
      </c>
      <c r="U235" t="e">
        <f>-DARMA</f>
        <v>#NAME?</v>
      </c>
      <c r="V235">
        <v>0</v>
      </c>
      <c r="W235">
        <v>25</v>
      </c>
      <c r="X235">
        <v>8</v>
      </c>
      <c r="Y235">
        <v>0</v>
      </c>
      <c r="Z235" t="s">
        <v>111</v>
      </c>
      <c r="AA235">
        <v>0</v>
      </c>
      <c r="AB235" t="s">
        <v>940</v>
      </c>
      <c r="AC235">
        <v>8</v>
      </c>
      <c r="AD235" t="s">
        <v>416</v>
      </c>
      <c r="AE235">
        <v>0</v>
      </c>
      <c r="AF235">
        <v>0</v>
      </c>
      <c r="AG235" t="s">
        <v>111</v>
      </c>
      <c r="AH235" t="s">
        <v>113</v>
      </c>
      <c r="AI235" t="s">
        <v>111</v>
      </c>
      <c r="AJ235" t="s">
        <v>111</v>
      </c>
      <c r="AK235" t="s">
        <v>111</v>
      </c>
      <c r="AL235" t="s">
        <v>111</v>
      </c>
      <c r="AM235">
        <v>0</v>
      </c>
      <c r="AN235">
        <v>0</v>
      </c>
      <c r="AO235">
        <v>0</v>
      </c>
      <c r="AP235" t="s">
        <v>111</v>
      </c>
      <c r="AQ235" t="s">
        <v>111</v>
      </c>
      <c r="AR235" t="s">
        <v>111</v>
      </c>
      <c r="AS235" t="s">
        <v>111</v>
      </c>
      <c r="AT235" t="s">
        <v>111</v>
      </c>
      <c r="AU235" t="s">
        <v>111</v>
      </c>
      <c r="AV235" t="s">
        <v>111</v>
      </c>
      <c r="AW235" t="s">
        <v>111</v>
      </c>
      <c r="AX235" t="s">
        <v>111</v>
      </c>
      <c r="AY235" t="s">
        <v>111</v>
      </c>
      <c r="AZ235" t="s">
        <v>111</v>
      </c>
      <c r="BA235" t="s">
        <v>111</v>
      </c>
      <c r="BB235" t="s">
        <v>111</v>
      </c>
      <c r="BC235" t="s">
        <v>111</v>
      </c>
      <c r="BD235" t="s">
        <v>111</v>
      </c>
      <c r="BE235" t="s">
        <v>111</v>
      </c>
      <c r="BF235" t="s">
        <v>111</v>
      </c>
      <c r="BG235" t="s">
        <v>111</v>
      </c>
      <c r="BH235" t="s">
        <v>111</v>
      </c>
      <c r="BI235" t="s">
        <v>111</v>
      </c>
      <c r="BJ235" t="s">
        <v>111</v>
      </c>
      <c r="BK235" t="s">
        <v>111</v>
      </c>
      <c r="BL235" t="s">
        <v>111</v>
      </c>
      <c r="BM235" t="s">
        <v>111</v>
      </c>
      <c r="BN235" t="s">
        <v>111</v>
      </c>
      <c r="BO235" t="s">
        <v>111</v>
      </c>
      <c r="BP235" t="s">
        <v>111</v>
      </c>
      <c r="BQ235" t="s">
        <v>111</v>
      </c>
      <c r="BR235" t="s">
        <v>111</v>
      </c>
      <c r="BS235" t="s">
        <v>111</v>
      </c>
      <c r="BT235" t="s">
        <v>111</v>
      </c>
      <c r="BU235" t="s">
        <v>111</v>
      </c>
      <c r="BV235" t="s">
        <v>111</v>
      </c>
      <c r="BW235" t="s">
        <v>111</v>
      </c>
      <c r="BX235" t="s">
        <v>111</v>
      </c>
      <c r="BY235" t="s">
        <v>111</v>
      </c>
      <c r="BZ235" t="s">
        <v>111</v>
      </c>
      <c r="CA235" t="s">
        <v>111</v>
      </c>
      <c r="CB235" t="s">
        <v>111</v>
      </c>
      <c r="CC235" t="s">
        <v>111</v>
      </c>
      <c r="CD235" t="s">
        <v>111</v>
      </c>
      <c r="CE235" t="s">
        <v>111</v>
      </c>
      <c r="CF235" t="s">
        <v>111</v>
      </c>
      <c r="CG235" t="s">
        <v>111</v>
      </c>
      <c r="CH235" t="s">
        <v>111</v>
      </c>
      <c r="CI235" t="s">
        <v>111</v>
      </c>
      <c r="CJ235" t="s">
        <v>111</v>
      </c>
      <c r="CK235" t="s">
        <v>111</v>
      </c>
      <c r="CL235" t="s">
        <v>111</v>
      </c>
      <c r="CM235" t="s">
        <v>135</v>
      </c>
      <c r="CN235" t="s">
        <v>941</v>
      </c>
      <c r="CO235" t="s">
        <v>111</v>
      </c>
      <c r="CP235" t="s">
        <v>111</v>
      </c>
      <c r="CQ235">
        <v>40</v>
      </c>
      <c r="CR235">
        <v>4000</v>
      </c>
      <c r="CS235">
        <v>100</v>
      </c>
      <c r="CT235" t="e">
        <f>-ALMACEN</f>
        <v>#NAME?</v>
      </c>
      <c r="CU235">
        <v>0</v>
      </c>
      <c r="CV235" t="s">
        <v>111</v>
      </c>
      <c r="CW235" t="s">
        <v>111</v>
      </c>
      <c r="CX235" t="s">
        <v>111</v>
      </c>
      <c r="CY235">
        <v>0</v>
      </c>
      <c r="CZ235" t="s">
        <v>111</v>
      </c>
      <c r="DA235" t="s">
        <v>111</v>
      </c>
      <c r="DB235" t="s">
        <v>111</v>
      </c>
      <c r="DC235" t="s">
        <v>111</v>
      </c>
    </row>
    <row r="236" spans="1:107">
      <c r="A236">
        <v>218</v>
      </c>
      <c r="B236" t="s">
        <v>162</v>
      </c>
      <c r="C236" t="s">
        <v>312</v>
      </c>
      <c r="D236" t="s">
        <v>942</v>
      </c>
      <c r="E236" t="s">
        <v>943</v>
      </c>
      <c r="F236" t="s">
        <v>125</v>
      </c>
      <c r="G236" t="s">
        <v>469</v>
      </c>
      <c r="H236">
        <v>2.2000000000000002</v>
      </c>
      <c r="I236">
        <v>62</v>
      </c>
      <c r="J236">
        <v>0</v>
      </c>
      <c r="K236">
        <v>0</v>
      </c>
      <c r="L236" t="s">
        <v>112</v>
      </c>
      <c r="M236" t="s">
        <v>138</v>
      </c>
      <c r="N236">
        <v>0</v>
      </c>
      <c r="O236">
        <v>0</v>
      </c>
      <c r="P236" t="s">
        <v>138</v>
      </c>
      <c r="Q236">
        <v>50</v>
      </c>
      <c r="R236">
        <v>0</v>
      </c>
      <c r="S236">
        <v>0</v>
      </c>
      <c r="T236">
        <v>0</v>
      </c>
      <c r="U236" t="s">
        <v>203</v>
      </c>
      <c r="V236">
        <v>0</v>
      </c>
      <c r="W236">
        <v>0</v>
      </c>
      <c r="X236">
        <v>1</v>
      </c>
      <c r="Y236">
        <v>0</v>
      </c>
      <c r="Z236" t="s">
        <v>327</v>
      </c>
      <c r="AA236">
        <v>2.5</v>
      </c>
      <c r="AB236" t="s">
        <v>339</v>
      </c>
      <c r="AC236">
        <v>25</v>
      </c>
      <c r="AD236" t="s">
        <v>111</v>
      </c>
      <c r="AE236">
        <v>0</v>
      </c>
      <c r="AF236">
        <v>0</v>
      </c>
      <c r="AG236" t="s">
        <v>111</v>
      </c>
      <c r="AH236" t="s">
        <v>111</v>
      </c>
      <c r="AI236" t="s">
        <v>111</v>
      </c>
      <c r="AJ236" t="s">
        <v>111</v>
      </c>
      <c r="AK236" t="s">
        <v>111</v>
      </c>
      <c r="AL236" t="s">
        <v>111</v>
      </c>
      <c r="AM236">
        <v>0</v>
      </c>
      <c r="AN236">
        <v>0</v>
      </c>
      <c r="AO236">
        <v>0</v>
      </c>
      <c r="AP236" t="s">
        <v>111</v>
      </c>
      <c r="AQ236" t="s">
        <v>111</v>
      </c>
      <c r="AR236" t="s">
        <v>111</v>
      </c>
      <c r="AS236" t="s">
        <v>111</v>
      </c>
      <c r="AT236" t="s">
        <v>111</v>
      </c>
      <c r="AU236" t="s">
        <v>111</v>
      </c>
      <c r="AV236" t="s">
        <v>111</v>
      </c>
      <c r="AW236" t="s">
        <v>111</v>
      </c>
      <c r="AX236" t="s">
        <v>111</v>
      </c>
      <c r="AY236" t="s">
        <v>111</v>
      </c>
      <c r="AZ236" t="s">
        <v>111</v>
      </c>
      <c r="BA236" t="s">
        <v>111</v>
      </c>
      <c r="BB236" t="s">
        <v>111</v>
      </c>
      <c r="BC236" t="s">
        <v>111</v>
      </c>
      <c r="BD236" t="s">
        <v>111</v>
      </c>
      <c r="BE236" t="s">
        <v>111</v>
      </c>
      <c r="BF236" t="s">
        <v>111</v>
      </c>
      <c r="BG236" t="s">
        <v>111</v>
      </c>
      <c r="BH236" t="s">
        <v>111</v>
      </c>
      <c r="BI236" t="s">
        <v>111</v>
      </c>
      <c r="BJ236" t="s">
        <v>111</v>
      </c>
      <c r="BK236" t="s">
        <v>111</v>
      </c>
      <c r="BL236" t="s">
        <v>111</v>
      </c>
      <c r="BM236" t="s">
        <v>111</v>
      </c>
      <c r="BN236" t="s">
        <v>111</v>
      </c>
      <c r="BO236" t="s">
        <v>111</v>
      </c>
      <c r="BP236" t="s">
        <v>111</v>
      </c>
      <c r="BQ236" t="s">
        <v>111</v>
      </c>
      <c r="BR236" t="s">
        <v>111</v>
      </c>
      <c r="BS236" t="s">
        <v>111</v>
      </c>
      <c r="BT236" t="s">
        <v>111</v>
      </c>
      <c r="BU236" t="s">
        <v>111</v>
      </c>
      <c r="BV236" t="s">
        <v>111</v>
      </c>
      <c r="BW236" t="s">
        <v>111</v>
      </c>
      <c r="BX236" t="s">
        <v>111</v>
      </c>
      <c r="BY236" t="s">
        <v>111</v>
      </c>
      <c r="BZ236" t="s">
        <v>111</v>
      </c>
      <c r="CA236" t="s">
        <v>111</v>
      </c>
      <c r="CB236" t="s">
        <v>111</v>
      </c>
      <c r="CC236" t="s">
        <v>111</v>
      </c>
      <c r="CD236" t="s">
        <v>111</v>
      </c>
      <c r="CE236" t="s">
        <v>111</v>
      </c>
      <c r="CF236" t="s">
        <v>111</v>
      </c>
      <c r="CG236" t="s">
        <v>111</v>
      </c>
      <c r="CH236" t="s">
        <v>111</v>
      </c>
      <c r="CI236" t="s">
        <v>111</v>
      </c>
      <c r="CJ236" t="s">
        <v>111</v>
      </c>
      <c r="CK236" t="s">
        <v>111</v>
      </c>
      <c r="CL236" t="s">
        <v>111</v>
      </c>
      <c r="CM236" t="s">
        <v>111</v>
      </c>
      <c r="CN236" t="s">
        <v>111</v>
      </c>
      <c r="CO236" t="s">
        <v>111</v>
      </c>
      <c r="CP236" t="s">
        <v>111</v>
      </c>
      <c r="CQ236">
        <v>0</v>
      </c>
      <c r="CR236">
        <v>0</v>
      </c>
      <c r="CS236">
        <v>0</v>
      </c>
      <c r="CT236" t="s">
        <v>111</v>
      </c>
      <c r="CU236">
        <v>0</v>
      </c>
      <c r="CV236" t="s">
        <v>111</v>
      </c>
      <c r="CW236" t="s">
        <v>111</v>
      </c>
      <c r="CX236" t="s">
        <v>111</v>
      </c>
      <c r="CY236">
        <v>0</v>
      </c>
      <c r="CZ236" t="s">
        <v>111</v>
      </c>
      <c r="DA236" t="s">
        <v>111</v>
      </c>
      <c r="DB236" t="s">
        <v>204</v>
      </c>
      <c r="DC236" s="1" t="s">
        <v>205</v>
      </c>
    </row>
    <row r="237" spans="1:107">
      <c r="A237">
        <v>1189</v>
      </c>
      <c r="B237" t="s">
        <v>107</v>
      </c>
      <c r="C237" t="s">
        <v>498</v>
      </c>
      <c r="D237" t="s">
        <v>499</v>
      </c>
      <c r="E237" t="s">
        <v>944</v>
      </c>
      <c r="F237" t="s">
        <v>431</v>
      </c>
      <c r="G237" t="s">
        <v>469</v>
      </c>
      <c r="H237">
        <v>2.4</v>
      </c>
      <c r="I237">
        <v>62</v>
      </c>
      <c r="J237">
        <v>0</v>
      </c>
      <c r="K237">
        <v>0</v>
      </c>
      <c r="L237" t="s">
        <v>117</v>
      </c>
      <c r="M237" t="s">
        <v>118</v>
      </c>
      <c r="N237">
        <v>39</v>
      </c>
      <c r="O237">
        <v>1</v>
      </c>
      <c r="P237" t="s">
        <v>111</v>
      </c>
      <c r="Q237">
        <v>26</v>
      </c>
      <c r="R237">
        <v>0</v>
      </c>
      <c r="S237">
        <v>0</v>
      </c>
      <c r="T237">
        <v>5</v>
      </c>
      <c r="U237" t="s">
        <v>501</v>
      </c>
      <c r="V237">
        <v>0</v>
      </c>
      <c r="W237">
        <v>25</v>
      </c>
      <c r="X237">
        <v>8</v>
      </c>
      <c r="Y237">
        <v>0</v>
      </c>
      <c r="Z237" t="s">
        <v>111</v>
      </c>
      <c r="AA237">
        <v>0</v>
      </c>
      <c r="AB237" t="s">
        <v>940</v>
      </c>
      <c r="AC237">
        <v>8</v>
      </c>
      <c r="AD237" t="s">
        <v>416</v>
      </c>
      <c r="AE237">
        <v>0</v>
      </c>
      <c r="AF237">
        <v>0</v>
      </c>
      <c r="AG237" t="s">
        <v>111</v>
      </c>
      <c r="AH237" t="s">
        <v>113</v>
      </c>
      <c r="AI237" t="s">
        <v>111</v>
      </c>
      <c r="AJ237" t="s">
        <v>111</v>
      </c>
      <c r="AK237" t="s">
        <v>111</v>
      </c>
      <c r="AL237" t="s">
        <v>111</v>
      </c>
      <c r="AM237">
        <v>0</v>
      </c>
      <c r="AN237">
        <v>0</v>
      </c>
      <c r="AO237">
        <v>0</v>
      </c>
      <c r="AP237" t="s">
        <v>111</v>
      </c>
      <c r="AQ237" t="s">
        <v>111</v>
      </c>
      <c r="AR237" t="s">
        <v>111</v>
      </c>
      <c r="AS237" t="s">
        <v>111</v>
      </c>
      <c r="AT237" t="s">
        <v>111</v>
      </c>
      <c r="AU237" t="s">
        <v>111</v>
      </c>
      <c r="AV237" t="s">
        <v>111</v>
      </c>
      <c r="AW237" t="s">
        <v>111</v>
      </c>
      <c r="AX237" t="s">
        <v>111</v>
      </c>
      <c r="AY237" t="s">
        <v>111</v>
      </c>
      <c r="AZ237" t="s">
        <v>111</v>
      </c>
      <c r="BA237" t="s">
        <v>111</v>
      </c>
      <c r="BB237" t="s">
        <v>111</v>
      </c>
      <c r="BC237" t="s">
        <v>111</v>
      </c>
      <c r="BD237" t="s">
        <v>111</v>
      </c>
      <c r="BE237" t="s">
        <v>111</v>
      </c>
      <c r="BF237" t="s">
        <v>111</v>
      </c>
      <c r="BG237" t="s">
        <v>111</v>
      </c>
      <c r="BH237" t="s">
        <v>111</v>
      </c>
      <c r="BI237" t="s">
        <v>111</v>
      </c>
      <c r="BJ237" t="s">
        <v>111</v>
      </c>
      <c r="BK237" t="s">
        <v>111</v>
      </c>
      <c r="BL237" t="s">
        <v>111</v>
      </c>
      <c r="BM237" t="s">
        <v>111</v>
      </c>
      <c r="BN237" t="s">
        <v>111</v>
      </c>
      <c r="BO237" t="s">
        <v>111</v>
      </c>
      <c r="BP237" t="s">
        <v>111</v>
      </c>
      <c r="BQ237" t="s">
        <v>111</v>
      </c>
      <c r="BR237" t="s">
        <v>111</v>
      </c>
      <c r="BS237" t="s">
        <v>111</v>
      </c>
      <c r="BT237" t="s">
        <v>111</v>
      </c>
      <c r="BU237" t="s">
        <v>111</v>
      </c>
      <c r="BV237" t="s">
        <v>111</v>
      </c>
      <c r="BW237" t="s">
        <v>111</v>
      </c>
      <c r="BX237" t="s">
        <v>111</v>
      </c>
      <c r="BY237" t="s">
        <v>111</v>
      </c>
      <c r="BZ237" t="s">
        <v>111</v>
      </c>
      <c r="CA237" t="s">
        <v>111</v>
      </c>
      <c r="CB237" t="s">
        <v>111</v>
      </c>
      <c r="CC237" t="s">
        <v>111</v>
      </c>
      <c r="CD237" t="s">
        <v>111</v>
      </c>
      <c r="CE237" t="s">
        <v>111</v>
      </c>
      <c r="CF237" t="s">
        <v>111</v>
      </c>
      <c r="CG237" t="s">
        <v>111</v>
      </c>
      <c r="CH237" t="s">
        <v>111</v>
      </c>
      <c r="CI237" t="s">
        <v>111</v>
      </c>
      <c r="CJ237" t="s">
        <v>111</v>
      </c>
      <c r="CK237" t="s">
        <v>111</v>
      </c>
      <c r="CL237" t="s">
        <v>111</v>
      </c>
      <c r="CM237" t="s">
        <v>135</v>
      </c>
      <c r="CN237" t="s">
        <v>113</v>
      </c>
      <c r="CO237" t="s">
        <v>111</v>
      </c>
      <c r="CP237" t="e">
        <f>-MUESTRA</f>
        <v>#NAME?</v>
      </c>
      <c r="CQ237">
        <v>0</v>
      </c>
      <c r="CR237">
        <v>5000</v>
      </c>
      <c r="CS237">
        <v>200</v>
      </c>
      <c r="CT237" s="1" t="s">
        <v>503</v>
      </c>
      <c r="CU237">
        <v>0</v>
      </c>
      <c r="CV237" t="s">
        <v>111</v>
      </c>
      <c r="CW237" t="s">
        <v>111</v>
      </c>
      <c r="CX237" t="s">
        <v>111</v>
      </c>
      <c r="CY237">
        <v>0</v>
      </c>
      <c r="CZ237" t="s">
        <v>111</v>
      </c>
      <c r="DA237" t="s">
        <v>111</v>
      </c>
      <c r="DB237" t="s">
        <v>111</v>
      </c>
      <c r="DC237" t="s">
        <v>111</v>
      </c>
    </row>
    <row r="238" spans="1:107">
      <c r="A238">
        <v>219</v>
      </c>
      <c r="B238" t="s">
        <v>162</v>
      </c>
      <c r="C238" t="s">
        <v>312</v>
      </c>
      <c r="D238" t="s">
        <v>742</v>
      </c>
      <c r="E238" t="s">
        <v>945</v>
      </c>
      <c r="F238" t="s">
        <v>125</v>
      </c>
      <c r="G238" t="s">
        <v>469</v>
      </c>
      <c r="H238">
        <v>2.2000000000000002</v>
      </c>
      <c r="I238">
        <v>52</v>
      </c>
      <c r="J238">
        <v>0</v>
      </c>
      <c r="K238">
        <v>0</v>
      </c>
      <c r="L238" t="s">
        <v>112</v>
      </c>
      <c r="M238" t="s">
        <v>138</v>
      </c>
      <c r="N238">
        <v>0</v>
      </c>
      <c r="O238">
        <v>0</v>
      </c>
      <c r="P238" t="s">
        <v>138</v>
      </c>
      <c r="Q238">
        <v>40</v>
      </c>
      <c r="R238">
        <v>0</v>
      </c>
      <c r="S238">
        <v>0</v>
      </c>
      <c r="T238">
        <v>5</v>
      </c>
      <c r="U238" s="1" t="s">
        <v>946</v>
      </c>
      <c r="V238">
        <v>15.5</v>
      </c>
      <c r="W238">
        <v>12.5</v>
      </c>
      <c r="X238">
        <v>0</v>
      </c>
      <c r="Y238">
        <v>0</v>
      </c>
      <c r="Z238" t="s">
        <v>111</v>
      </c>
      <c r="AA238">
        <v>0</v>
      </c>
      <c r="AB238" t="s">
        <v>193</v>
      </c>
      <c r="AC238">
        <v>25</v>
      </c>
      <c r="AD238" t="s">
        <v>111</v>
      </c>
      <c r="AE238">
        <v>0</v>
      </c>
      <c r="AF238">
        <v>0</v>
      </c>
      <c r="AG238" t="s">
        <v>111</v>
      </c>
      <c r="AH238" t="s">
        <v>111</v>
      </c>
      <c r="AI238" t="s">
        <v>111</v>
      </c>
      <c r="AJ238" t="s">
        <v>111</v>
      </c>
      <c r="AK238" t="s">
        <v>111</v>
      </c>
      <c r="AL238" t="s">
        <v>111</v>
      </c>
      <c r="AM238">
        <v>0</v>
      </c>
      <c r="AN238">
        <v>0</v>
      </c>
      <c r="AO238">
        <v>0</v>
      </c>
      <c r="AP238" t="s">
        <v>111</v>
      </c>
      <c r="AQ238" t="s">
        <v>111</v>
      </c>
      <c r="AR238" t="s">
        <v>111</v>
      </c>
      <c r="AS238" t="s">
        <v>111</v>
      </c>
      <c r="AT238" t="s">
        <v>111</v>
      </c>
      <c r="AU238" t="s">
        <v>111</v>
      </c>
      <c r="AV238" t="s">
        <v>111</v>
      </c>
      <c r="AW238" t="s">
        <v>111</v>
      </c>
      <c r="AX238" t="s">
        <v>111</v>
      </c>
      <c r="AY238" t="s">
        <v>111</v>
      </c>
      <c r="AZ238" t="s">
        <v>111</v>
      </c>
      <c r="BA238" t="s">
        <v>111</v>
      </c>
      <c r="BB238" t="s">
        <v>111</v>
      </c>
      <c r="BC238" t="s">
        <v>111</v>
      </c>
      <c r="BD238" t="s">
        <v>111</v>
      </c>
      <c r="BE238" t="s">
        <v>111</v>
      </c>
      <c r="BF238" t="s">
        <v>111</v>
      </c>
      <c r="BG238" t="s">
        <v>111</v>
      </c>
      <c r="BH238" t="s">
        <v>111</v>
      </c>
      <c r="BI238" t="s">
        <v>111</v>
      </c>
      <c r="BJ238" t="s">
        <v>111</v>
      </c>
      <c r="BK238" t="s">
        <v>111</v>
      </c>
      <c r="BL238" t="s">
        <v>111</v>
      </c>
      <c r="BM238" t="s">
        <v>111</v>
      </c>
      <c r="BN238" t="s">
        <v>111</v>
      </c>
      <c r="BO238" t="s">
        <v>111</v>
      </c>
      <c r="BP238" t="s">
        <v>111</v>
      </c>
      <c r="BQ238" t="s">
        <v>111</v>
      </c>
      <c r="BR238" t="s">
        <v>111</v>
      </c>
      <c r="BS238" t="s">
        <v>111</v>
      </c>
      <c r="BT238" t="s">
        <v>111</v>
      </c>
      <c r="BU238" t="s">
        <v>111</v>
      </c>
      <c r="BV238" t="s">
        <v>111</v>
      </c>
      <c r="BW238" t="s">
        <v>111</v>
      </c>
      <c r="BX238" t="s">
        <v>111</v>
      </c>
      <c r="BY238" t="s">
        <v>111</v>
      </c>
      <c r="BZ238" t="s">
        <v>111</v>
      </c>
      <c r="CA238" t="s">
        <v>111</v>
      </c>
      <c r="CB238" t="s">
        <v>111</v>
      </c>
      <c r="CC238" t="s">
        <v>111</v>
      </c>
      <c r="CD238" t="s">
        <v>111</v>
      </c>
      <c r="CE238" t="s">
        <v>111</v>
      </c>
      <c r="CF238" t="s">
        <v>111</v>
      </c>
      <c r="CG238" t="s">
        <v>111</v>
      </c>
      <c r="CH238" t="s">
        <v>111</v>
      </c>
      <c r="CI238" t="s">
        <v>111</v>
      </c>
      <c r="CJ238" t="s">
        <v>111</v>
      </c>
      <c r="CK238" t="s">
        <v>111</v>
      </c>
      <c r="CL238" t="s">
        <v>111</v>
      </c>
      <c r="CM238" t="s">
        <v>135</v>
      </c>
      <c r="CN238" t="s">
        <v>128</v>
      </c>
      <c r="CO238" t="s">
        <v>111</v>
      </c>
      <c r="CP238" t="s">
        <v>111</v>
      </c>
      <c r="CQ238">
        <v>0</v>
      </c>
      <c r="CR238">
        <v>500</v>
      </c>
      <c r="CS238">
        <v>50</v>
      </c>
      <c r="CT238" t="s">
        <v>947</v>
      </c>
      <c r="CU238">
        <v>0</v>
      </c>
      <c r="CV238" t="s">
        <v>111</v>
      </c>
      <c r="CW238" t="s">
        <v>111</v>
      </c>
      <c r="CX238" t="s">
        <v>111</v>
      </c>
      <c r="CY238">
        <v>0</v>
      </c>
      <c r="CZ238" t="s">
        <v>111</v>
      </c>
      <c r="DA238" t="s">
        <v>111</v>
      </c>
      <c r="DB238" t="s">
        <v>111</v>
      </c>
      <c r="DC238" s="1" t="s">
        <v>948</v>
      </c>
    </row>
    <row r="239" spans="1:107">
      <c r="A239">
        <v>1351</v>
      </c>
      <c r="B239" t="s">
        <v>107</v>
      </c>
      <c r="C239" t="s">
        <v>509</v>
      </c>
      <c r="D239" t="s">
        <v>949</v>
      </c>
      <c r="E239" t="s">
        <v>950</v>
      </c>
      <c r="F239" t="s">
        <v>192</v>
      </c>
      <c r="G239" t="s">
        <v>469</v>
      </c>
      <c r="H239">
        <v>2.5</v>
      </c>
      <c r="I239">
        <v>66</v>
      </c>
      <c r="J239">
        <v>0</v>
      </c>
      <c r="K239">
        <v>0</v>
      </c>
      <c r="L239" t="s">
        <v>111</v>
      </c>
      <c r="M239" t="s">
        <v>111</v>
      </c>
      <c r="N239">
        <v>0</v>
      </c>
      <c r="O239">
        <v>0</v>
      </c>
      <c r="P239" t="s">
        <v>118</v>
      </c>
      <c r="Q239">
        <v>23</v>
      </c>
      <c r="R239">
        <v>0</v>
      </c>
      <c r="S239">
        <v>0</v>
      </c>
      <c r="T239">
        <v>5</v>
      </c>
      <c r="U239" s="1" t="s">
        <v>951</v>
      </c>
      <c r="V239">
        <v>0</v>
      </c>
      <c r="W239">
        <v>25</v>
      </c>
      <c r="X239">
        <v>8</v>
      </c>
      <c r="Y239">
        <v>0</v>
      </c>
      <c r="Z239" t="s">
        <v>288</v>
      </c>
      <c r="AA239">
        <v>0.8</v>
      </c>
      <c r="AB239" t="s">
        <v>111</v>
      </c>
      <c r="AC239">
        <v>0</v>
      </c>
      <c r="AD239" t="s">
        <v>111</v>
      </c>
      <c r="AE239">
        <v>0</v>
      </c>
      <c r="AF239">
        <v>0</v>
      </c>
      <c r="AG239" t="s">
        <v>111</v>
      </c>
      <c r="AH239" t="s">
        <v>111</v>
      </c>
      <c r="AI239" t="s">
        <v>111</v>
      </c>
      <c r="AJ239" t="s">
        <v>111</v>
      </c>
      <c r="AK239" t="s">
        <v>111</v>
      </c>
      <c r="AL239" t="s">
        <v>111</v>
      </c>
      <c r="AM239">
        <v>0</v>
      </c>
      <c r="AN239">
        <v>0</v>
      </c>
      <c r="AO239">
        <v>0</v>
      </c>
      <c r="AP239" t="s">
        <v>111</v>
      </c>
      <c r="AQ239" t="s">
        <v>111</v>
      </c>
      <c r="AR239" t="s">
        <v>111</v>
      </c>
      <c r="AS239" t="s">
        <v>111</v>
      </c>
      <c r="AT239" t="s">
        <v>111</v>
      </c>
      <c r="AU239" t="s">
        <v>111</v>
      </c>
      <c r="AV239" t="s">
        <v>111</v>
      </c>
      <c r="AW239" t="s">
        <v>111</v>
      </c>
      <c r="AX239" t="s">
        <v>111</v>
      </c>
      <c r="AY239" t="s">
        <v>111</v>
      </c>
      <c r="AZ239" t="s">
        <v>111</v>
      </c>
      <c r="BA239" t="s">
        <v>111</v>
      </c>
      <c r="BB239" t="s">
        <v>111</v>
      </c>
      <c r="BC239" t="s">
        <v>111</v>
      </c>
      <c r="BD239" t="s">
        <v>111</v>
      </c>
      <c r="BE239" t="s">
        <v>111</v>
      </c>
      <c r="BF239" t="s">
        <v>111</v>
      </c>
      <c r="BG239" t="s">
        <v>111</v>
      </c>
      <c r="BH239" t="s">
        <v>111</v>
      </c>
      <c r="BI239" t="s">
        <v>111</v>
      </c>
      <c r="BJ239" t="s">
        <v>111</v>
      </c>
      <c r="BK239" t="s">
        <v>111</v>
      </c>
      <c r="BL239" t="s">
        <v>111</v>
      </c>
      <c r="BM239" t="s">
        <v>111</v>
      </c>
      <c r="BN239" t="s">
        <v>111</v>
      </c>
      <c r="BO239" t="s">
        <v>111</v>
      </c>
      <c r="BP239" t="s">
        <v>111</v>
      </c>
      <c r="BQ239" t="s">
        <v>111</v>
      </c>
      <c r="BR239" t="s">
        <v>111</v>
      </c>
      <c r="BS239" t="s">
        <v>111</v>
      </c>
      <c r="BT239" t="s">
        <v>111</v>
      </c>
      <c r="BU239" t="s">
        <v>111</v>
      </c>
      <c r="BV239" t="s">
        <v>111</v>
      </c>
      <c r="BW239" t="s">
        <v>111</v>
      </c>
      <c r="BX239" t="s">
        <v>111</v>
      </c>
      <c r="BY239" t="s">
        <v>111</v>
      </c>
      <c r="BZ239" t="s">
        <v>111</v>
      </c>
      <c r="CA239" t="s">
        <v>111</v>
      </c>
      <c r="CB239" t="s">
        <v>111</v>
      </c>
      <c r="CC239" t="s">
        <v>111</v>
      </c>
      <c r="CD239" t="s">
        <v>111</v>
      </c>
      <c r="CE239" t="s">
        <v>111</v>
      </c>
      <c r="CF239" t="s">
        <v>111</v>
      </c>
      <c r="CG239" t="s">
        <v>111</v>
      </c>
      <c r="CH239" t="s">
        <v>111</v>
      </c>
      <c r="CI239" t="s">
        <v>111</v>
      </c>
      <c r="CJ239" t="s">
        <v>111</v>
      </c>
      <c r="CK239" t="s">
        <v>111</v>
      </c>
      <c r="CL239" t="s">
        <v>111</v>
      </c>
      <c r="CM239">
        <v>450</v>
      </c>
      <c r="CN239" t="s">
        <v>113</v>
      </c>
      <c r="CO239" t="s">
        <v>111</v>
      </c>
      <c r="CP239" t="s">
        <v>111</v>
      </c>
      <c r="CQ239">
        <v>0</v>
      </c>
      <c r="CR239">
        <v>1000</v>
      </c>
      <c r="CS239">
        <v>250</v>
      </c>
      <c r="CT239" s="1" t="s">
        <v>952</v>
      </c>
      <c r="CU239">
        <v>0</v>
      </c>
      <c r="CV239" t="s">
        <v>111</v>
      </c>
      <c r="CW239" t="s">
        <v>111</v>
      </c>
      <c r="CX239" t="s">
        <v>111</v>
      </c>
      <c r="CY239">
        <v>0</v>
      </c>
      <c r="CZ239" t="s">
        <v>111</v>
      </c>
      <c r="DA239" t="s">
        <v>111</v>
      </c>
      <c r="DB239" t="s">
        <v>111</v>
      </c>
      <c r="DC239" t="s">
        <v>111</v>
      </c>
    </row>
    <row r="240" spans="1:107">
      <c r="A240">
        <v>1391</v>
      </c>
      <c r="B240" t="s">
        <v>107</v>
      </c>
      <c r="C240" t="s">
        <v>351</v>
      </c>
      <c r="D240" t="s">
        <v>953</v>
      </c>
      <c r="E240" t="s">
        <v>954</v>
      </c>
      <c r="F240" t="s">
        <v>739</v>
      </c>
      <c r="G240" t="s">
        <v>469</v>
      </c>
      <c r="H240">
        <v>4.5</v>
      </c>
      <c r="I240">
        <v>27</v>
      </c>
      <c r="J240">
        <v>0</v>
      </c>
      <c r="K240">
        <v>0</v>
      </c>
      <c r="L240" t="s">
        <v>112</v>
      </c>
      <c r="M240" t="s">
        <v>118</v>
      </c>
      <c r="N240">
        <v>39</v>
      </c>
      <c r="O240">
        <v>2</v>
      </c>
      <c r="P240" t="s">
        <v>111</v>
      </c>
      <c r="Q240">
        <v>28.2</v>
      </c>
      <c r="R240">
        <v>0</v>
      </c>
      <c r="S240">
        <v>0</v>
      </c>
      <c r="T240">
        <v>5</v>
      </c>
      <c r="U240" t="e">
        <f>-DARMA</f>
        <v>#NAME?</v>
      </c>
      <c r="V240">
        <v>0</v>
      </c>
      <c r="W240">
        <v>25</v>
      </c>
      <c r="X240">
        <v>8</v>
      </c>
      <c r="Y240">
        <v>0</v>
      </c>
      <c r="Z240" t="s">
        <v>288</v>
      </c>
      <c r="AA240">
        <v>1</v>
      </c>
      <c r="AB240" t="s">
        <v>523</v>
      </c>
      <c r="AC240">
        <v>0</v>
      </c>
      <c r="AD240" t="s">
        <v>416</v>
      </c>
      <c r="AE240">
        <v>0</v>
      </c>
      <c r="AF240">
        <v>0</v>
      </c>
      <c r="AG240" t="s">
        <v>111</v>
      </c>
      <c r="AH240" t="s">
        <v>128</v>
      </c>
      <c r="AI240" t="s">
        <v>111</v>
      </c>
      <c r="AJ240" t="s">
        <v>111</v>
      </c>
      <c r="AK240" t="s">
        <v>111</v>
      </c>
      <c r="AL240" t="s">
        <v>111</v>
      </c>
      <c r="AM240">
        <v>0</v>
      </c>
      <c r="AN240">
        <v>0</v>
      </c>
      <c r="AO240">
        <v>0</v>
      </c>
      <c r="AP240" t="s">
        <v>111</v>
      </c>
      <c r="AQ240" t="s">
        <v>111</v>
      </c>
      <c r="AR240" t="s">
        <v>111</v>
      </c>
      <c r="AS240" t="s">
        <v>111</v>
      </c>
      <c r="AT240" t="s">
        <v>111</v>
      </c>
      <c r="AU240" t="s">
        <v>111</v>
      </c>
      <c r="AV240" t="s">
        <v>111</v>
      </c>
      <c r="AW240" t="s">
        <v>111</v>
      </c>
      <c r="AX240" t="s">
        <v>111</v>
      </c>
      <c r="AY240" t="s">
        <v>111</v>
      </c>
      <c r="AZ240" t="s">
        <v>111</v>
      </c>
      <c r="BA240" t="s">
        <v>111</v>
      </c>
      <c r="BB240" t="s">
        <v>111</v>
      </c>
      <c r="BC240" t="s">
        <v>111</v>
      </c>
      <c r="BD240" t="s">
        <v>111</v>
      </c>
      <c r="BE240" t="s">
        <v>111</v>
      </c>
      <c r="BF240" t="s">
        <v>111</v>
      </c>
      <c r="BG240" t="s">
        <v>111</v>
      </c>
      <c r="BH240" t="s">
        <v>111</v>
      </c>
      <c r="BI240" t="s">
        <v>111</v>
      </c>
      <c r="BJ240" t="s">
        <v>111</v>
      </c>
      <c r="BK240" t="s">
        <v>111</v>
      </c>
      <c r="BL240" t="s">
        <v>111</v>
      </c>
      <c r="BM240" t="s">
        <v>111</v>
      </c>
      <c r="BN240" t="s">
        <v>111</v>
      </c>
      <c r="BO240" t="s">
        <v>111</v>
      </c>
      <c r="BP240" t="s">
        <v>111</v>
      </c>
      <c r="BQ240" t="s">
        <v>111</v>
      </c>
      <c r="BR240" t="s">
        <v>111</v>
      </c>
      <c r="BS240" t="s">
        <v>111</v>
      </c>
      <c r="BT240" t="s">
        <v>111</v>
      </c>
      <c r="BU240" t="s">
        <v>111</v>
      </c>
      <c r="BV240" t="s">
        <v>111</v>
      </c>
      <c r="BW240" t="s">
        <v>111</v>
      </c>
      <c r="BX240" t="s">
        <v>111</v>
      </c>
      <c r="BY240" t="s">
        <v>111</v>
      </c>
      <c r="BZ240" t="s">
        <v>111</v>
      </c>
      <c r="CA240" t="s">
        <v>111</v>
      </c>
      <c r="CB240" t="s">
        <v>111</v>
      </c>
      <c r="CC240" t="s">
        <v>111</v>
      </c>
      <c r="CD240" t="s">
        <v>111</v>
      </c>
      <c r="CE240" t="s">
        <v>111</v>
      </c>
      <c r="CF240" t="s">
        <v>111</v>
      </c>
      <c r="CG240" t="s">
        <v>111</v>
      </c>
      <c r="CH240" t="s">
        <v>111</v>
      </c>
      <c r="CI240" t="s">
        <v>111</v>
      </c>
      <c r="CJ240" t="s">
        <v>111</v>
      </c>
      <c r="CK240" t="s">
        <v>111</v>
      </c>
      <c r="CL240" t="s">
        <v>111</v>
      </c>
      <c r="CM240" t="s">
        <v>135</v>
      </c>
      <c r="CN240" t="s">
        <v>128</v>
      </c>
      <c r="CO240" t="s">
        <v>111</v>
      </c>
      <c r="CP240" t="s">
        <v>111</v>
      </c>
      <c r="CQ240">
        <v>0</v>
      </c>
      <c r="CR240">
        <v>2500</v>
      </c>
      <c r="CS240">
        <v>50</v>
      </c>
      <c r="CT240" t="e">
        <f>-ALMACEN</f>
        <v>#NAME?</v>
      </c>
      <c r="CU240">
        <v>0</v>
      </c>
      <c r="CV240" t="s">
        <v>111</v>
      </c>
      <c r="CW240" t="s">
        <v>111</v>
      </c>
      <c r="CX240" t="s">
        <v>111</v>
      </c>
      <c r="CY240">
        <v>0</v>
      </c>
      <c r="CZ240" t="s">
        <v>111</v>
      </c>
      <c r="DA240" t="s">
        <v>111</v>
      </c>
      <c r="DB240" t="s">
        <v>111</v>
      </c>
      <c r="DC240" t="s">
        <v>111</v>
      </c>
    </row>
    <row r="241" spans="1:107">
      <c r="A241">
        <v>1349</v>
      </c>
      <c r="B241" t="s">
        <v>107</v>
      </c>
      <c r="C241" t="s">
        <v>466</v>
      </c>
      <c r="D241" t="s">
        <v>642</v>
      </c>
      <c r="E241" t="s">
        <v>955</v>
      </c>
      <c r="F241" t="s">
        <v>166</v>
      </c>
      <c r="G241" t="s">
        <v>469</v>
      </c>
      <c r="H241">
        <v>1.65</v>
      </c>
      <c r="I241">
        <v>35.5</v>
      </c>
      <c r="J241">
        <v>10</v>
      </c>
      <c r="K241">
        <v>10</v>
      </c>
      <c r="L241" t="s">
        <v>112</v>
      </c>
      <c r="M241" t="s">
        <v>111</v>
      </c>
      <c r="N241">
        <v>0</v>
      </c>
      <c r="O241">
        <v>0</v>
      </c>
      <c r="P241" t="s">
        <v>111</v>
      </c>
      <c r="Q241">
        <v>39.200000000000003</v>
      </c>
      <c r="R241">
        <v>0</v>
      </c>
      <c r="S241">
        <v>0</v>
      </c>
      <c r="T241">
        <v>0</v>
      </c>
      <c r="U241" s="1" t="s">
        <v>956</v>
      </c>
      <c r="V241">
        <v>25</v>
      </c>
      <c r="W241">
        <v>0</v>
      </c>
      <c r="X241">
        <v>8</v>
      </c>
      <c r="Y241">
        <v>0</v>
      </c>
      <c r="Z241" t="s">
        <v>111</v>
      </c>
      <c r="AA241">
        <v>0</v>
      </c>
      <c r="AB241" t="s">
        <v>111</v>
      </c>
      <c r="AC241">
        <v>0</v>
      </c>
      <c r="AD241" t="s">
        <v>111</v>
      </c>
      <c r="AE241">
        <v>0</v>
      </c>
      <c r="AF241">
        <v>0</v>
      </c>
      <c r="AG241" t="s">
        <v>111</v>
      </c>
      <c r="AH241" t="s">
        <v>111</v>
      </c>
      <c r="AI241" t="s">
        <v>111</v>
      </c>
      <c r="AJ241" t="s">
        <v>111</v>
      </c>
      <c r="AK241" t="s">
        <v>111</v>
      </c>
      <c r="AL241" t="s">
        <v>111</v>
      </c>
      <c r="AM241">
        <v>0</v>
      </c>
      <c r="AN241">
        <v>0</v>
      </c>
      <c r="AO241">
        <v>0</v>
      </c>
      <c r="AP241" t="s">
        <v>111</v>
      </c>
      <c r="AQ241" t="s">
        <v>111</v>
      </c>
      <c r="AR241" t="s">
        <v>111</v>
      </c>
      <c r="AS241" t="s">
        <v>111</v>
      </c>
      <c r="AT241" t="s">
        <v>111</v>
      </c>
      <c r="AU241" t="s">
        <v>111</v>
      </c>
      <c r="AV241" t="s">
        <v>111</v>
      </c>
      <c r="AW241" t="s">
        <v>111</v>
      </c>
      <c r="AX241" t="s">
        <v>111</v>
      </c>
      <c r="AY241" t="s">
        <v>111</v>
      </c>
      <c r="AZ241" t="s">
        <v>111</v>
      </c>
      <c r="BA241" t="s">
        <v>111</v>
      </c>
      <c r="BB241" t="s">
        <v>111</v>
      </c>
      <c r="BC241" t="s">
        <v>111</v>
      </c>
      <c r="BD241" t="s">
        <v>111</v>
      </c>
      <c r="BE241" t="s">
        <v>111</v>
      </c>
      <c r="BF241" t="s">
        <v>111</v>
      </c>
      <c r="BG241" t="s">
        <v>111</v>
      </c>
      <c r="BH241" t="s">
        <v>111</v>
      </c>
      <c r="BI241" t="s">
        <v>111</v>
      </c>
      <c r="BJ241" t="s">
        <v>111</v>
      </c>
      <c r="BK241" t="s">
        <v>111</v>
      </c>
      <c r="BL241" t="s">
        <v>111</v>
      </c>
      <c r="BM241" t="s">
        <v>111</v>
      </c>
      <c r="BN241" t="s">
        <v>111</v>
      </c>
      <c r="BO241" t="s">
        <v>111</v>
      </c>
      <c r="BP241" t="s">
        <v>111</v>
      </c>
      <c r="BQ241" t="s">
        <v>111</v>
      </c>
      <c r="BR241" t="s">
        <v>111</v>
      </c>
      <c r="BS241" t="s">
        <v>111</v>
      </c>
      <c r="BT241" t="s">
        <v>111</v>
      </c>
      <c r="BU241" t="s">
        <v>111</v>
      </c>
      <c r="BV241" t="s">
        <v>111</v>
      </c>
      <c r="BW241" t="s">
        <v>111</v>
      </c>
      <c r="BX241" t="s">
        <v>111</v>
      </c>
      <c r="BY241" t="s">
        <v>111</v>
      </c>
      <c r="BZ241" t="s">
        <v>111</v>
      </c>
      <c r="CA241" t="s">
        <v>111</v>
      </c>
      <c r="CB241" t="s">
        <v>111</v>
      </c>
      <c r="CC241" t="s">
        <v>111</v>
      </c>
      <c r="CD241" t="s">
        <v>111</v>
      </c>
      <c r="CE241" t="s">
        <v>111</v>
      </c>
      <c r="CF241" t="s">
        <v>111</v>
      </c>
      <c r="CG241" t="s">
        <v>111</v>
      </c>
      <c r="CH241" t="s">
        <v>111</v>
      </c>
      <c r="CI241" t="s">
        <v>111</v>
      </c>
      <c r="CJ241" t="s">
        <v>111</v>
      </c>
      <c r="CK241" t="s">
        <v>111</v>
      </c>
      <c r="CL241" t="s">
        <v>111</v>
      </c>
      <c r="CM241" t="s">
        <v>111</v>
      </c>
      <c r="CN241" t="s">
        <v>111</v>
      </c>
      <c r="CO241" t="s">
        <v>111</v>
      </c>
      <c r="CP241" t="s">
        <v>111</v>
      </c>
      <c r="CQ241">
        <v>0</v>
      </c>
      <c r="CR241">
        <v>0</v>
      </c>
      <c r="CS241">
        <v>0</v>
      </c>
      <c r="CT241" t="s">
        <v>111</v>
      </c>
      <c r="CU241">
        <v>0</v>
      </c>
      <c r="CV241" t="s">
        <v>111</v>
      </c>
      <c r="CW241" t="s">
        <v>111</v>
      </c>
      <c r="CX241" t="s">
        <v>111</v>
      </c>
      <c r="CY241">
        <v>0</v>
      </c>
      <c r="CZ241" t="s">
        <v>111</v>
      </c>
      <c r="DA241" t="s">
        <v>111</v>
      </c>
      <c r="DB241" t="s">
        <v>111</v>
      </c>
      <c r="DC241" t="s">
        <v>111</v>
      </c>
    </row>
    <row r="242" spans="1:107">
      <c r="A242">
        <v>1392</v>
      </c>
      <c r="B242" t="s">
        <v>107</v>
      </c>
      <c r="C242" t="s">
        <v>351</v>
      </c>
      <c r="D242" t="s">
        <v>957</v>
      </c>
      <c r="E242" t="s">
        <v>958</v>
      </c>
      <c r="F242" t="s">
        <v>431</v>
      </c>
      <c r="G242" t="s">
        <v>469</v>
      </c>
      <c r="H242">
        <v>4.5</v>
      </c>
      <c r="I242">
        <v>27</v>
      </c>
      <c r="J242">
        <v>0</v>
      </c>
      <c r="K242">
        <v>0</v>
      </c>
      <c r="L242" t="s">
        <v>112</v>
      </c>
      <c r="M242" t="s">
        <v>118</v>
      </c>
      <c r="N242">
        <v>39</v>
      </c>
      <c r="O242">
        <v>2</v>
      </c>
      <c r="P242" t="s">
        <v>111</v>
      </c>
      <c r="Q242">
        <v>28.2</v>
      </c>
      <c r="R242">
        <v>0</v>
      </c>
      <c r="S242">
        <v>0</v>
      </c>
      <c r="T242">
        <v>5</v>
      </c>
      <c r="U242" s="1" t="s">
        <v>959</v>
      </c>
      <c r="V242">
        <v>0</v>
      </c>
      <c r="W242">
        <v>25</v>
      </c>
      <c r="X242">
        <v>8</v>
      </c>
      <c r="Y242">
        <v>0</v>
      </c>
      <c r="Z242" t="s">
        <v>288</v>
      </c>
      <c r="AA242">
        <v>1</v>
      </c>
      <c r="AB242" t="s">
        <v>523</v>
      </c>
      <c r="AC242">
        <v>1</v>
      </c>
      <c r="AD242" t="s">
        <v>416</v>
      </c>
      <c r="AE242">
        <v>0</v>
      </c>
      <c r="AF242">
        <v>0</v>
      </c>
      <c r="AG242" t="s">
        <v>111</v>
      </c>
      <c r="AH242" t="s">
        <v>128</v>
      </c>
      <c r="AI242" t="s">
        <v>111</v>
      </c>
      <c r="AJ242" t="s">
        <v>111</v>
      </c>
      <c r="AK242" t="s">
        <v>111</v>
      </c>
      <c r="AL242" t="s">
        <v>111</v>
      </c>
      <c r="AM242">
        <v>0</v>
      </c>
      <c r="AN242">
        <v>0</v>
      </c>
      <c r="AO242">
        <v>0</v>
      </c>
      <c r="AP242" t="s">
        <v>111</v>
      </c>
      <c r="AQ242" t="s">
        <v>111</v>
      </c>
      <c r="AR242" t="s">
        <v>111</v>
      </c>
      <c r="AS242" t="s">
        <v>111</v>
      </c>
      <c r="AT242" t="s">
        <v>111</v>
      </c>
      <c r="AU242" t="s">
        <v>111</v>
      </c>
      <c r="AV242" t="s">
        <v>111</v>
      </c>
      <c r="AW242" t="s">
        <v>111</v>
      </c>
      <c r="AX242" t="s">
        <v>111</v>
      </c>
      <c r="AY242" t="s">
        <v>111</v>
      </c>
      <c r="AZ242" t="s">
        <v>111</v>
      </c>
      <c r="BA242" t="s">
        <v>111</v>
      </c>
      <c r="BB242" t="s">
        <v>111</v>
      </c>
      <c r="BC242" t="s">
        <v>111</v>
      </c>
      <c r="BD242" t="s">
        <v>111</v>
      </c>
      <c r="BE242" t="s">
        <v>111</v>
      </c>
      <c r="BF242" t="s">
        <v>111</v>
      </c>
      <c r="BG242" t="s">
        <v>111</v>
      </c>
      <c r="BH242" t="s">
        <v>111</v>
      </c>
      <c r="BI242" t="s">
        <v>111</v>
      </c>
      <c r="BJ242" t="s">
        <v>111</v>
      </c>
      <c r="BK242" t="s">
        <v>111</v>
      </c>
      <c r="BL242" t="s">
        <v>111</v>
      </c>
      <c r="BM242" t="s">
        <v>111</v>
      </c>
      <c r="BN242" t="s">
        <v>111</v>
      </c>
      <c r="BO242" t="s">
        <v>111</v>
      </c>
      <c r="BP242" t="s">
        <v>111</v>
      </c>
      <c r="BQ242" t="s">
        <v>111</v>
      </c>
      <c r="BR242" t="s">
        <v>111</v>
      </c>
      <c r="BS242" t="s">
        <v>111</v>
      </c>
      <c r="BT242" t="s">
        <v>111</v>
      </c>
      <c r="BU242" t="s">
        <v>111</v>
      </c>
      <c r="BV242" t="s">
        <v>111</v>
      </c>
      <c r="BW242" t="s">
        <v>111</v>
      </c>
      <c r="BX242" t="s">
        <v>111</v>
      </c>
      <c r="BY242" t="s">
        <v>111</v>
      </c>
      <c r="BZ242" t="s">
        <v>111</v>
      </c>
      <c r="CA242" t="s">
        <v>111</v>
      </c>
      <c r="CB242" t="s">
        <v>111</v>
      </c>
      <c r="CC242" t="s">
        <v>111</v>
      </c>
      <c r="CD242" t="s">
        <v>111</v>
      </c>
      <c r="CE242" t="s">
        <v>111</v>
      </c>
      <c r="CF242" t="s">
        <v>111</v>
      </c>
      <c r="CG242" t="s">
        <v>111</v>
      </c>
      <c r="CH242" t="s">
        <v>111</v>
      </c>
      <c r="CI242" t="s">
        <v>111</v>
      </c>
      <c r="CJ242" t="s">
        <v>111</v>
      </c>
      <c r="CK242" t="s">
        <v>111</v>
      </c>
      <c r="CL242" t="s">
        <v>111</v>
      </c>
      <c r="CM242" t="s">
        <v>135</v>
      </c>
      <c r="CN242" t="s">
        <v>128</v>
      </c>
      <c r="CO242" t="s">
        <v>111</v>
      </c>
      <c r="CP242" t="s">
        <v>111</v>
      </c>
      <c r="CQ242">
        <v>0</v>
      </c>
      <c r="CR242">
        <v>2500</v>
      </c>
      <c r="CS242">
        <v>50</v>
      </c>
      <c r="CT242" t="e">
        <f>-ALMACEN</f>
        <v>#NAME?</v>
      </c>
      <c r="CU242">
        <v>0</v>
      </c>
      <c r="CV242" t="s">
        <v>111</v>
      </c>
      <c r="CW242" t="s">
        <v>111</v>
      </c>
      <c r="CX242" t="s">
        <v>111</v>
      </c>
      <c r="CY242">
        <v>0</v>
      </c>
      <c r="CZ242" t="s">
        <v>111</v>
      </c>
      <c r="DA242" t="s">
        <v>111</v>
      </c>
      <c r="DB242" t="s">
        <v>111</v>
      </c>
      <c r="DC242" t="s">
        <v>111</v>
      </c>
    </row>
    <row r="243" spans="1:107">
      <c r="A243">
        <v>1336</v>
      </c>
      <c r="B243" t="s">
        <v>107</v>
      </c>
      <c r="C243" t="s">
        <v>960</v>
      </c>
      <c r="D243" t="s">
        <v>961</v>
      </c>
      <c r="E243" t="s">
        <v>962</v>
      </c>
      <c r="F243" t="s">
        <v>431</v>
      </c>
      <c r="G243" t="s">
        <v>469</v>
      </c>
      <c r="H243">
        <v>1.5</v>
      </c>
      <c r="I243">
        <v>88</v>
      </c>
      <c r="J243">
        <v>0</v>
      </c>
      <c r="K243">
        <v>0</v>
      </c>
      <c r="L243" t="s">
        <v>117</v>
      </c>
      <c r="M243" t="s">
        <v>118</v>
      </c>
      <c r="N243">
        <v>40</v>
      </c>
      <c r="O243">
        <v>1</v>
      </c>
      <c r="P243" t="s">
        <v>111</v>
      </c>
      <c r="Q243">
        <v>34</v>
      </c>
      <c r="R243">
        <v>0</v>
      </c>
      <c r="S243">
        <v>0</v>
      </c>
      <c r="T243">
        <v>5</v>
      </c>
      <c r="U243" t="e">
        <f>-IMPRESION DARMA</f>
        <v>#NAME?</v>
      </c>
      <c r="V243">
        <v>0</v>
      </c>
      <c r="W243">
        <v>25</v>
      </c>
      <c r="X243">
        <v>8</v>
      </c>
      <c r="Y243">
        <v>0</v>
      </c>
      <c r="Z243" t="s">
        <v>111</v>
      </c>
      <c r="AA243">
        <v>0</v>
      </c>
      <c r="AB243" t="s">
        <v>111</v>
      </c>
      <c r="AC243">
        <v>0</v>
      </c>
      <c r="AD243" t="s">
        <v>416</v>
      </c>
      <c r="AE243">
        <v>0</v>
      </c>
      <c r="AF243">
        <v>0</v>
      </c>
      <c r="AG243" t="s">
        <v>111</v>
      </c>
      <c r="AH243" t="s">
        <v>113</v>
      </c>
      <c r="AI243" t="s">
        <v>111</v>
      </c>
      <c r="AJ243" t="s">
        <v>111</v>
      </c>
      <c r="AK243" t="s">
        <v>111</v>
      </c>
      <c r="AL243" t="s">
        <v>111</v>
      </c>
      <c r="AM243">
        <v>0</v>
      </c>
      <c r="AN243">
        <v>0</v>
      </c>
      <c r="AO243">
        <v>0</v>
      </c>
      <c r="AP243" t="s">
        <v>111</v>
      </c>
      <c r="AQ243" t="s">
        <v>111</v>
      </c>
      <c r="AR243" t="s">
        <v>111</v>
      </c>
      <c r="AS243" t="s">
        <v>111</v>
      </c>
      <c r="AT243" t="s">
        <v>111</v>
      </c>
      <c r="AU243" t="s">
        <v>111</v>
      </c>
      <c r="AV243" t="s">
        <v>111</v>
      </c>
      <c r="AW243" t="s">
        <v>111</v>
      </c>
      <c r="AX243" t="s">
        <v>111</v>
      </c>
      <c r="AY243" t="s">
        <v>111</v>
      </c>
      <c r="AZ243" t="s">
        <v>111</v>
      </c>
      <c r="BA243" t="s">
        <v>111</v>
      </c>
      <c r="BB243" t="s">
        <v>111</v>
      </c>
      <c r="BC243" t="s">
        <v>111</v>
      </c>
      <c r="BD243" t="s">
        <v>111</v>
      </c>
      <c r="BE243" t="s">
        <v>111</v>
      </c>
      <c r="BF243" t="s">
        <v>111</v>
      </c>
      <c r="BG243" t="s">
        <v>111</v>
      </c>
      <c r="BH243" t="s">
        <v>111</v>
      </c>
      <c r="BI243" t="s">
        <v>111</v>
      </c>
      <c r="BJ243" t="s">
        <v>111</v>
      </c>
      <c r="BK243" t="s">
        <v>111</v>
      </c>
      <c r="BL243" t="s">
        <v>111</v>
      </c>
      <c r="BM243" t="s">
        <v>111</v>
      </c>
      <c r="BN243" t="s">
        <v>111</v>
      </c>
      <c r="BO243" t="s">
        <v>111</v>
      </c>
      <c r="BP243" t="s">
        <v>111</v>
      </c>
      <c r="BQ243" t="s">
        <v>111</v>
      </c>
      <c r="BR243" t="s">
        <v>111</v>
      </c>
      <c r="BS243" t="s">
        <v>111</v>
      </c>
      <c r="BT243" t="s">
        <v>111</v>
      </c>
      <c r="BU243" t="s">
        <v>111</v>
      </c>
      <c r="BV243" t="s">
        <v>111</v>
      </c>
      <c r="BW243" t="s">
        <v>111</v>
      </c>
      <c r="BX243" t="s">
        <v>111</v>
      </c>
      <c r="BY243" t="s">
        <v>111</v>
      </c>
      <c r="BZ243" t="s">
        <v>111</v>
      </c>
      <c r="CA243" t="s">
        <v>111</v>
      </c>
      <c r="CB243" t="s">
        <v>111</v>
      </c>
      <c r="CC243" t="s">
        <v>111</v>
      </c>
      <c r="CD243" t="s">
        <v>111</v>
      </c>
      <c r="CE243" t="s">
        <v>111</v>
      </c>
      <c r="CF243" t="s">
        <v>111</v>
      </c>
      <c r="CG243" t="s">
        <v>111</v>
      </c>
      <c r="CH243" t="s">
        <v>111</v>
      </c>
      <c r="CI243" t="s">
        <v>111</v>
      </c>
      <c r="CJ243" t="s">
        <v>111</v>
      </c>
      <c r="CK243" t="s">
        <v>111</v>
      </c>
      <c r="CL243" t="s">
        <v>111</v>
      </c>
      <c r="CM243" t="s">
        <v>135</v>
      </c>
      <c r="CN243" t="s">
        <v>113</v>
      </c>
      <c r="CO243" t="s">
        <v>111</v>
      </c>
      <c r="CP243" t="s">
        <v>563</v>
      </c>
      <c r="CQ243">
        <v>0</v>
      </c>
      <c r="CR243">
        <v>5000</v>
      </c>
      <c r="CS243">
        <v>2500</v>
      </c>
      <c r="CT243" t="e">
        <f>-ALMACEN</f>
        <v>#NAME?</v>
      </c>
      <c r="CU243">
        <v>0</v>
      </c>
      <c r="CV243" t="s">
        <v>111</v>
      </c>
      <c r="CW243" t="s">
        <v>111</v>
      </c>
      <c r="CX243" t="s">
        <v>111</v>
      </c>
      <c r="CY243">
        <v>0</v>
      </c>
      <c r="CZ243" t="s">
        <v>111</v>
      </c>
      <c r="DA243" t="s">
        <v>111</v>
      </c>
      <c r="DB243" t="s">
        <v>111</v>
      </c>
      <c r="DC243" t="s">
        <v>111</v>
      </c>
    </row>
    <row r="244" spans="1:107">
      <c r="A244">
        <v>1335</v>
      </c>
      <c r="B244" t="s">
        <v>107</v>
      </c>
      <c r="C244" t="s">
        <v>960</v>
      </c>
      <c r="D244" t="s">
        <v>961</v>
      </c>
      <c r="E244" t="s">
        <v>963</v>
      </c>
      <c r="F244" t="s">
        <v>431</v>
      </c>
      <c r="G244" t="s">
        <v>469</v>
      </c>
      <c r="H244">
        <v>1.5</v>
      </c>
      <c r="I244">
        <v>88</v>
      </c>
      <c r="J244">
        <v>0</v>
      </c>
      <c r="K244">
        <v>0</v>
      </c>
      <c r="L244" t="s">
        <v>117</v>
      </c>
      <c r="M244" t="s">
        <v>118</v>
      </c>
      <c r="N244">
        <v>40</v>
      </c>
      <c r="O244">
        <v>1</v>
      </c>
      <c r="P244" t="s">
        <v>111</v>
      </c>
      <c r="Q244">
        <v>34</v>
      </c>
      <c r="R244">
        <v>0</v>
      </c>
      <c r="S244">
        <v>0</v>
      </c>
      <c r="T244">
        <v>5</v>
      </c>
      <c r="U244" t="e">
        <f>-DESTINO DARMA</f>
        <v>#NAME?</v>
      </c>
      <c r="V244">
        <v>0</v>
      </c>
      <c r="W244">
        <v>25</v>
      </c>
      <c r="X244">
        <v>8</v>
      </c>
      <c r="Y244">
        <v>0</v>
      </c>
      <c r="Z244" t="s">
        <v>111</v>
      </c>
      <c r="AA244">
        <v>0</v>
      </c>
      <c r="AB244" t="s">
        <v>111</v>
      </c>
      <c r="AC244">
        <v>0</v>
      </c>
      <c r="AD244" t="s">
        <v>416</v>
      </c>
      <c r="AE244">
        <v>0</v>
      </c>
      <c r="AF244">
        <v>0</v>
      </c>
      <c r="AG244" t="s">
        <v>111</v>
      </c>
      <c r="AH244" t="s">
        <v>113</v>
      </c>
      <c r="AI244" t="s">
        <v>111</v>
      </c>
      <c r="AJ244" t="s">
        <v>111</v>
      </c>
      <c r="AK244" t="s">
        <v>111</v>
      </c>
      <c r="AL244" t="s">
        <v>111</v>
      </c>
      <c r="AM244">
        <v>0</v>
      </c>
      <c r="AN244">
        <v>0</v>
      </c>
      <c r="AO244">
        <v>0</v>
      </c>
      <c r="AP244" t="s">
        <v>111</v>
      </c>
      <c r="AQ244" t="s">
        <v>111</v>
      </c>
      <c r="AR244" t="s">
        <v>111</v>
      </c>
      <c r="AS244" t="s">
        <v>111</v>
      </c>
      <c r="AT244" t="s">
        <v>111</v>
      </c>
      <c r="AU244" t="s">
        <v>111</v>
      </c>
      <c r="AV244" t="s">
        <v>111</v>
      </c>
      <c r="AW244" t="s">
        <v>111</v>
      </c>
      <c r="AX244" t="s">
        <v>111</v>
      </c>
      <c r="AY244" t="s">
        <v>111</v>
      </c>
      <c r="AZ244" t="s">
        <v>111</v>
      </c>
      <c r="BA244" t="s">
        <v>111</v>
      </c>
      <c r="BB244" t="s">
        <v>111</v>
      </c>
      <c r="BC244" t="s">
        <v>111</v>
      </c>
      <c r="BD244" t="s">
        <v>111</v>
      </c>
      <c r="BE244" t="s">
        <v>111</v>
      </c>
      <c r="BF244" t="s">
        <v>111</v>
      </c>
      <c r="BG244" t="s">
        <v>111</v>
      </c>
      <c r="BH244" t="s">
        <v>111</v>
      </c>
      <c r="BI244" t="s">
        <v>111</v>
      </c>
      <c r="BJ244" t="s">
        <v>111</v>
      </c>
      <c r="BK244" t="s">
        <v>111</v>
      </c>
      <c r="BL244" t="s">
        <v>111</v>
      </c>
      <c r="BM244" t="s">
        <v>111</v>
      </c>
      <c r="BN244" t="s">
        <v>111</v>
      </c>
      <c r="BO244" t="s">
        <v>111</v>
      </c>
      <c r="BP244" t="s">
        <v>111</v>
      </c>
      <c r="BQ244" t="s">
        <v>111</v>
      </c>
      <c r="BR244" t="s">
        <v>111</v>
      </c>
      <c r="BS244" t="s">
        <v>111</v>
      </c>
      <c r="BT244" t="s">
        <v>111</v>
      </c>
      <c r="BU244" t="s">
        <v>111</v>
      </c>
      <c r="BV244" t="s">
        <v>111</v>
      </c>
      <c r="BW244" t="s">
        <v>111</v>
      </c>
      <c r="BX244" t="s">
        <v>111</v>
      </c>
      <c r="BY244" t="s">
        <v>111</v>
      </c>
      <c r="BZ244" t="s">
        <v>111</v>
      </c>
      <c r="CA244" t="s">
        <v>111</v>
      </c>
      <c r="CB244" t="s">
        <v>111</v>
      </c>
      <c r="CC244" t="s">
        <v>111</v>
      </c>
      <c r="CD244" t="s">
        <v>111</v>
      </c>
      <c r="CE244" t="s">
        <v>111</v>
      </c>
      <c r="CF244" t="s">
        <v>111</v>
      </c>
      <c r="CG244" t="s">
        <v>111</v>
      </c>
      <c r="CH244" t="s">
        <v>111</v>
      </c>
      <c r="CI244" t="s">
        <v>111</v>
      </c>
      <c r="CJ244" t="s">
        <v>111</v>
      </c>
      <c r="CK244" t="s">
        <v>111</v>
      </c>
      <c r="CL244" t="s">
        <v>111</v>
      </c>
      <c r="CM244" t="s">
        <v>135</v>
      </c>
      <c r="CN244" t="s">
        <v>113</v>
      </c>
      <c r="CO244" t="s">
        <v>111</v>
      </c>
      <c r="CP244" t="s">
        <v>563</v>
      </c>
      <c r="CQ244">
        <v>0</v>
      </c>
      <c r="CR244">
        <v>5000</v>
      </c>
      <c r="CS244">
        <v>200</v>
      </c>
      <c r="CT244" t="s">
        <v>964</v>
      </c>
      <c r="CU244">
        <v>0</v>
      </c>
      <c r="CV244" t="s">
        <v>111</v>
      </c>
      <c r="CW244" t="s">
        <v>111</v>
      </c>
      <c r="CX244" t="s">
        <v>111</v>
      </c>
      <c r="CY244">
        <v>0</v>
      </c>
      <c r="CZ244" t="s">
        <v>111</v>
      </c>
      <c r="DA244" t="s">
        <v>111</v>
      </c>
      <c r="DB244" t="s">
        <v>111</v>
      </c>
      <c r="DC244" t="s">
        <v>111</v>
      </c>
    </row>
    <row r="245" spans="1:107">
      <c r="A245">
        <v>1334</v>
      </c>
      <c r="B245" t="s">
        <v>107</v>
      </c>
      <c r="C245" t="s">
        <v>960</v>
      </c>
      <c r="D245" t="s">
        <v>961</v>
      </c>
      <c r="E245" t="s">
        <v>965</v>
      </c>
      <c r="F245" t="s">
        <v>431</v>
      </c>
      <c r="G245" t="s">
        <v>469</v>
      </c>
      <c r="H245">
        <v>1.5</v>
      </c>
      <c r="I245">
        <v>88</v>
      </c>
      <c r="J245">
        <v>0</v>
      </c>
      <c r="K245">
        <v>0</v>
      </c>
      <c r="L245" t="s">
        <v>117</v>
      </c>
      <c r="M245" t="s">
        <v>118</v>
      </c>
      <c r="N245">
        <v>39</v>
      </c>
      <c r="O245">
        <v>1</v>
      </c>
      <c r="P245" t="s">
        <v>111</v>
      </c>
      <c r="Q245">
        <v>33.1</v>
      </c>
      <c r="R245">
        <v>0</v>
      </c>
      <c r="S245">
        <v>0</v>
      </c>
      <c r="T245">
        <v>5</v>
      </c>
      <c r="U245" t="e">
        <f>-IMPRESION DARMA</f>
        <v>#NAME?</v>
      </c>
      <c r="V245">
        <v>0</v>
      </c>
      <c r="W245">
        <v>25</v>
      </c>
      <c r="X245">
        <v>8</v>
      </c>
      <c r="Y245">
        <v>0</v>
      </c>
      <c r="Z245" t="s">
        <v>111</v>
      </c>
      <c r="AA245">
        <v>0</v>
      </c>
      <c r="AB245" t="s">
        <v>111</v>
      </c>
      <c r="AC245">
        <v>0</v>
      </c>
      <c r="AD245" t="s">
        <v>416</v>
      </c>
      <c r="AE245">
        <v>0</v>
      </c>
      <c r="AF245">
        <v>0</v>
      </c>
      <c r="AG245" t="s">
        <v>111</v>
      </c>
      <c r="AH245" t="s">
        <v>113</v>
      </c>
      <c r="AI245" t="s">
        <v>111</v>
      </c>
      <c r="AJ245" t="s">
        <v>111</v>
      </c>
      <c r="AK245" t="s">
        <v>111</v>
      </c>
      <c r="AL245" t="s">
        <v>111</v>
      </c>
      <c r="AM245">
        <v>0</v>
      </c>
      <c r="AN245">
        <v>0</v>
      </c>
      <c r="AO245">
        <v>0</v>
      </c>
      <c r="AP245" t="s">
        <v>111</v>
      </c>
      <c r="AQ245" t="s">
        <v>111</v>
      </c>
      <c r="AR245" t="s">
        <v>111</v>
      </c>
      <c r="AS245" t="s">
        <v>111</v>
      </c>
      <c r="AT245" t="s">
        <v>111</v>
      </c>
      <c r="AU245" t="s">
        <v>111</v>
      </c>
      <c r="AV245" t="s">
        <v>111</v>
      </c>
      <c r="AW245" t="s">
        <v>111</v>
      </c>
      <c r="AX245" t="s">
        <v>111</v>
      </c>
      <c r="AY245" t="s">
        <v>111</v>
      </c>
      <c r="AZ245" t="s">
        <v>111</v>
      </c>
      <c r="BA245" t="s">
        <v>111</v>
      </c>
      <c r="BB245" t="s">
        <v>111</v>
      </c>
      <c r="BC245" t="s">
        <v>111</v>
      </c>
      <c r="BD245" t="s">
        <v>111</v>
      </c>
      <c r="BE245" t="s">
        <v>111</v>
      </c>
      <c r="BF245" t="s">
        <v>111</v>
      </c>
      <c r="BG245" t="s">
        <v>111</v>
      </c>
      <c r="BH245" t="s">
        <v>111</v>
      </c>
      <c r="BI245" t="s">
        <v>111</v>
      </c>
      <c r="BJ245" t="s">
        <v>111</v>
      </c>
      <c r="BK245" t="s">
        <v>111</v>
      </c>
      <c r="BL245" t="s">
        <v>111</v>
      </c>
      <c r="BM245" t="s">
        <v>111</v>
      </c>
      <c r="BN245" t="s">
        <v>111</v>
      </c>
      <c r="BO245" t="s">
        <v>111</v>
      </c>
      <c r="BP245" t="s">
        <v>111</v>
      </c>
      <c r="BQ245" t="s">
        <v>111</v>
      </c>
      <c r="BR245" t="s">
        <v>111</v>
      </c>
      <c r="BS245" t="s">
        <v>111</v>
      </c>
      <c r="BT245" t="s">
        <v>111</v>
      </c>
      <c r="BU245" t="s">
        <v>111</v>
      </c>
      <c r="BV245" t="s">
        <v>111</v>
      </c>
      <c r="BW245" t="s">
        <v>111</v>
      </c>
      <c r="BX245" t="s">
        <v>111</v>
      </c>
      <c r="BY245" t="s">
        <v>111</v>
      </c>
      <c r="BZ245" t="s">
        <v>111</v>
      </c>
      <c r="CA245" t="s">
        <v>111</v>
      </c>
      <c r="CB245" t="s">
        <v>111</v>
      </c>
      <c r="CC245" t="s">
        <v>111</v>
      </c>
      <c r="CD245" t="s">
        <v>111</v>
      </c>
      <c r="CE245" t="s">
        <v>111</v>
      </c>
      <c r="CF245" t="s">
        <v>111</v>
      </c>
      <c r="CG245" t="s">
        <v>111</v>
      </c>
      <c r="CH245" t="s">
        <v>111</v>
      </c>
      <c r="CI245" t="s">
        <v>111</v>
      </c>
      <c r="CJ245" t="s">
        <v>111</v>
      </c>
      <c r="CK245" t="s">
        <v>111</v>
      </c>
      <c r="CL245" t="s">
        <v>111</v>
      </c>
      <c r="CM245" t="s">
        <v>135</v>
      </c>
      <c r="CN245" t="s">
        <v>113</v>
      </c>
      <c r="CO245" t="s">
        <v>111</v>
      </c>
      <c r="CP245" t="s">
        <v>563</v>
      </c>
      <c r="CQ245">
        <v>0</v>
      </c>
      <c r="CR245">
        <v>5000</v>
      </c>
      <c r="CS245">
        <v>2000</v>
      </c>
      <c r="CT245" t="e">
        <f>-DESTINO DARMA</f>
        <v>#NAME?</v>
      </c>
      <c r="CU245">
        <v>0</v>
      </c>
      <c r="CV245" t="s">
        <v>111</v>
      </c>
      <c r="CW245" t="s">
        <v>111</v>
      </c>
      <c r="CX245" t="s">
        <v>111</v>
      </c>
      <c r="CY245">
        <v>0</v>
      </c>
      <c r="CZ245" t="s">
        <v>111</v>
      </c>
      <c r="DA245" t="s">
        <v>111</v>
      </c>
      <c r="DB245" t="s">
        <v>111</v>
      </c>
      <c r="DC245" t="s">
        <v>111</v>
      </c>
    </row>
    <row r="246" spans="1:107">
      <c r="A246">
        <v>1332</v>
      </c>
      <c r="B246" t="s">
        <v>107</v>
      </c>
      <c r="C246" t="s">
        <v>960</v>
      </c>
      <c r="D246" t="s">
        <v>961</v>
      </c>
      <c r="E246" t="s">
        <v>966</v>
      </c>
      <c r="F246" t="s">
        <v>431</v>
      </c>
      <c r="G246" t="s">
        <v>469</v>
      </c>
      <c r="H246">
        <v>1.5</v>
      </c>
      <c r="I246">
        <v>88</v>
      </c>
      <c r="J246">
        <v>0</v>
      </c>
      <c r="K246">
        <v>0</v>
      </c>
      <c r="L246" t="s">
        <v>117</v>
      </c>
      <c r="M246" t="s">
        <v>118</v>
      </c>
      <c r="N246">
        <v>39</v>
      </c>
      <c r="O246">
        <v>1</v>
      </c>
      <c r="P246" t="s">
        <v>138</v>
      </c>
      <c r="Q246">
        <v>33.1</v>
      </c>
      <c r="R246">
        <v>0</v>
      </c>
      <c r="S246">
        <v>0</v>
      </c>
      <c r="T246">
        <v>5</v>
      </c>
      <c r="U246" t="e">
        <f>-IMPRESION DARMA</f>
        <v>#NAME?</v>
      </c>
      <c r="V246">
        <v>0</v>
      </c>
      <c r="W246">
        <v>25</v>
      </c>
      <c r="X246">
        <v>8</v>
      </c>
      <c r="Y246">
        <v>0</v>
      </c>
      <c r="Z246" t="s">
        <v>111</v>
      </c>
      <c r="AA246">
        <v>0</v>
      </c>
      <c r="AB246" t="s">
        <v>619</v>
      </c>
      <c r="AC246">
        <v>8</v>
      </c>
      <c r="AD246" t="s">
        <v>416</v>
      </c>
      <c r="AE246">
        <v>0</v>
      </c>
      <c r="AF246">
        <v>0</v>
      </c>
      <c r="AG246" t="s">
        <v>111</v>
      </c>
      <c r="AH246" t="s">
        <v>113</v>
      </c>
      <c r="AI246" t="s">
        <v>111</v>
      </c>
      <c r="AJ246" t="s">
        <v>111</v>
      </c>
      <c r="AK246" t="s">
        <v>111</v>
      </c>
      <c r="AL246" t="s">
        <v>111</v>
      </c>
      <c r="AM246">
        <v>0</v>
      </c>
      <c r="AN246">
        <v>0</v>
      </c>
      <c r="AO246">
        <v>0</v>
      </c>
      <c r="AP246" t="s">
        <v>111</v>
      </c>
      <c r="AQ246" t="s">
        <v>111</v>
      </c>
      <c r="AR246" t="s">
        <v>111</v>
      </c>
      <c r="AS246" t="s">
        <v>111</v>
      </c>
      <c r="AT246" t="s">
        <v>111</v>
      </c>
      <c r="AU246" t="s">
        <v>111</v>
      </c>
      <c r="AV246" t="s">
        <v>111</v>
      </c>
      <c r="AW246" t="s">
        <v>111</v>
      </c>
      <c r="AX246" t="s">
        <v>111</v>
      </c>
      <c r="AY246" t="s">
        <v>111</v>
      </c>
      <c r="AZ246" t="s">
        <v>111</v>
      </c>
      <c r="BA246" t="s">
        <v>111</v>
      </c>
      <c r="BB246" t="s">
        <v>111</v>
      </c>
      <c r="BC246" t="s">
        <v>111</v>
      </c>
      <c r="BD246" t="s">
        <v>111</v>
      </c>
      <c r="BE246" t="s">
        <v>111</v>
      </c>
      <c r="BF246" t="s">
        <v>111</v>
      </c>
      <c r="BG246" t="s">
        <v>111</v>
      </c>
      <c r="BH246" t="s">
        <v>111</v>
      </c>
      <c r="BI246" t="s">
        <v>111</v>
      </c>
      <c r="BJ246" t="s">
        <v>111</v>
      </c>
      <c r="BK246" t="s">
        <v>111</v>
      </c>
      <c r="BL246" t="s">
        <v>111</v>
      </c>
      <c r="BM246" t="s">
        <v>111</v>
      </c>
      <c r="BN246" t="s">
        <v>111</v>
      </c>
      <c r="BO246" t="s">
        <v>111</v>
      </c>
      <c r="BP246" t="s">
        <v>111</v>
      </c>
      <c r="BQ246" t="s">
        <v>111</v>
      </c>
      <c r="BR246" t="s">
        <v>111</v>
      </c>
      <c r="BS246" t="s">
        <v>111</v>
      </c>
      <c r="BT246" t="s">
        <v>111</v>
      </c>
      <c r="BU246" t="s">
        <v>111</v>
      </c>
      <c r="BV246" t="s">
        <v>111</v>
      </c>
      <c r="BW246" t="s">
        <v>111</v>
      </c>
      <c r="BX246" t="s">
        <v>111</v>
      </c>
      <c r="BY246" t="s">
        <v>111</v>
      </c>
      <c r="BZ246" t="s">
        <v>111</v>
      </c>
      <c r="CA246" t="s">
        <v>111</v>
      </c>
      <c r="CB246" t="s">
        <v>111</v>
      </c>
      <c r="CC246" t="s">
        <v>111</v>
      </c>
      <c r="CD246" t="s">
        <v>111</v>
      </c>
      <c r="CE246" t="s">
        <v>111</v>
      </c>
      <c r="CF246" t="s">
        <v>111</v>
      </c>
      <c r="CG246" t="s">
        <v>111</v>
      </c>
      <c r="CH246" t="s">
        <v>111</v>
      </c>
      <c r="CI246" t="s">
        <v>111</v>
      </c>
      <c r="CJ246" t="s">
        <v>111</v>
      </c>
      <c r="CK246" t="s">
        <v>111</v>
      </c>
      <c r="CL246" t="s">
        <v>111</v>
      </c>
      <c r="CM246" t="s">
        <v>135</v>
      </c>
      <c r="CN246" t="s">
        <v>113</v>
      </c>
      <c r="CO246" t="s">
        <v>111</v>
      </c>
      <c r="CP246" t="s">
        <v>563</v>
      </c>
      <c r="CQ246">
        <v>0</v>
      </c>
      <c r="CR246">
        <v>5000</v>
      </c>
      <c r="CS246">
        <v>200</v>
      </c>
      <c r="CT246" t="e">
        <f>-ALMACEN</f>
        <v>#NAME?</v>
      </c>
      <c r="CU246">
        <v>0</v>
      </c>
      <c r="CV246" t="s">
        <v>111</v>
      </c>
      <c r="CW246" t="s">
        <v>111</v>
      </c>
      <c r="CX246" t="s">
        <v>111</v>
      </c>
      <c r="CY246">
        <v>0</v>
      </c>
      <c r="CZ246" t="s">
        <v>111</v>
      </c>
      <c r="DA246" t="s">
        <v>111</v>
      </c>
      <c r="DB246" t="s">
        <v>111</v>
      </c>
      <c r="DC246" t="s">
        <v>111</v>
      </c>
    </row>
    <row r="247" spans="1:107">
      <c r="A247">
        <v>1331</v>
      </c>
      <c r="B247" t="s">
        <v>107</v>
      </c>
      <c r="C247" t="s">
        <v>960</v>
      </c>
      <c r="D247" t="s">
        <v>967</v>
      </c>
      <c r="E247" t="s">
        <v>968</v>
      </c>
      <c r="F247" t="s">
        <v>431</v>
      </c>
      <c r="G247" t="s">
        <v>469</v>
      </c>
      <c r="H247">
        <v>1.5</v>
      </c>
      <c r="I247">
        <v>88</v>
      </c>
      <c r="J247">
        <v>0</v>
      </c>
      <c r="K247">
        <v>0</v>
      </c>
      <c r="L247" t="s">
        <v>117</v>
      </c>
      <c r="M247" t="s">
        <v>118</v>
      </c>
      <c r="N247">
        <v>40</v>
      </c>
      <c r="O247">
        <v>1</v>
      </c>
      <c r="P247" t="s">
        <v>111</v>
      </c>
      <c r="Q247">
        <v>33.1</v>
      </c>
      <c r="R247">
        <v>0</v>
      </c>
      <c r="S247">
        <v>0</v>
      </c>
      <c r="T247">
        <v>5</v>
      </c>
      <c r="U247" t="e">
        <f>-IMPRESION DARMA</f>
        <v>#NAME?</v>
      </c>
      <c r="V247">
        <v>0</v>
      </c>
      <c r="W247">
        <v>25</v>
      </c>
      <c r="X247">
        <v>8</v>
      </c>
      <c r="Y247">
        <v>0</v>
      </c>
      <c r="Z247" t="s">
        <v>111</v>
      </c>
      <c r="AA247">
        <v>0</v>
      </c>
      <c r="AB247" t="s">
        <v>619</v>
      </c>
      <c r="AC247">
        <v>8</v>
      </c>
      <c r="AD247" t="s">
        <v>416</v>
      </c>
      <c r="AE247">
        <v>0</v>
      </c>
      <c r="AF247">
        <v>0</v>
      </c>
      <c r="AG247" t="s">
        <v>111</v>
      </c>
      <c r="AH247" t="s">
        <v>113</v>
      </c>
      <c r="AI247" t="s">
        <v>111</v>
      </c>
      <c r="AJ247" t="s">
        <v>111</v>
      </c>
      <c r="AK247" t="s">
        <v>111</v>
      </c>
      <c r="AL247" t="s">
        <v>111</v>
      </c>
      <c r="AM247">
        <v>0</v>
      </c>
      <c r="AN247">
        <v>0</v>
      </c>
      <c r="AO247">
        <v>0</v>
      </c>
      <c r="AP247" t="s">
        <v>111</v>
      </c>
      <c r="AQ247" t="s">
        <v>111</v>
      </c>
      <c r="AR247" t="s">
        <v>111</v>
      </c>
      <c r="AS247" t="s">
        <v>111</v>
      </c>
      <c r="AT247" t="s">
        <v>111</v>
      </c>
      <c r="AU247" t="s">
        <v>111</v>
      </c>
      <c r="AV247" t="s">
        <v>111</v>
      </c>
      <c r="AW247" t="s">
        <v>111</v>
      </c>
      <c r="AX247" t="s">
        <v>111</v>
      </c>
      <c r="AY247" t="s">
        <v>111</v>
      </c>
      <c r="AZ247" t="s">
        <v>111</v>
      </c>
      <c r="BA247" t="s">
        <v>111</v>
      </c>
      <c r="BB247" t="s">
        <v>111</v>
      </c>
      <c r="BC247" t="s">
        <v>111</v>
      </c>
      <c r="BD247" t="s">
        <v>111</v>
      </c>
      <c r="BE247" t="s">
        <v>111</v>
      </c>
      <c r="BF247" t="s">
        <v>111</v>
      </c>
      <c r="BG247" t="s">
        <v>111</v>
      </c>
      <c r="BH247" t="s">
        <v>111</v>
      </c>
      <c r="BI247" t="s">
        <v>111</v>
      </c>
      <c r="BJ247" t="s">
        <v>111</v>
      </c>
      <c r="BK247" t="s">
        <v>111</v>
      </c>
      <c r="BL247" t="s">
        <v>111</v>
      </c>
      <c r="BM247" t="s">
        <v>111</v>
      </c>
      <c r="BN247" t="s">
        <v>111</v>
      </c>
      <c r="BO247" t="s">
        <v>111</v>
      </c>
      <c r="BP247" t="s">
        <v>111</v>
      </c>
      <c r="BQ247" t="s">
        <v>111</v>
      </c>
      <c r="BR247" t="s">
        <v>111</v>
      </c>
      <c r="BS247" t="s">
        <v>111</v>
      </c>
      <c r="BT247" t="s">
        <v>111</v>
      </c>
      <c r="BU247" t="s">
        <v>111</v>
      </c>
      <c r="BV247" t="s">
        <v>111</v>
      </c>
      <c r="BW247" t="s">
        <v>111</v>
      </c>
      <c r="BX247" t="s">
        <v>111</v>
      </c>
      <c r="BY247" t="s">
        <v>111</v>
      </c>
      <c r="BZ247" t="s">
        <v>111</v>
      </c>
      <c r="CA247" t="s">
        <v>111</v>
      </c>
      <c r="CB247" t="s">
        <v>111</v>
      </c>
      <c r="CC247" t="s">
        <v>111</v>
      </c>
      <c r="CD247" t="s">
        <v>111</v>
      </c>
      <c r="CE247" t="s">
        <v>111</v>
      </c>
      <c r="CF247" t="s">
        <v>111</v>
      </c>
      <c r="CG247" t="s">
        <v>111</v>
      </c>
      <c r="CH247" t="s">
        <v>111</v>
      </c>
      <c r="CI247" t="s">
        <v>111</v>
      </c>
      <c r="CJ247" t="s">
        <v>111</v>
      </c>
      <c r="CK247" t="s">
        <v>111</v>
      </c>
      <c r="CL247" t="s">
        <v>111</v>
      </c>
      <c r="CM247" t="s">
        <v>135</v>
      </c>
      <c r="CN247" t="s">
        <v>113</v>
      </c>
      <c r="CO247" t="s">
        <v>111</v>
      </c>
      <c r="CP247" t="s">
        <v>563</v>
      </c>
      <c r="CQ247">
        <v>0</v>
      </c>
      <c r="CR247">
        <v>4000</v>
      </c>
      <c r="CS247">
        <v>200</v>
      </c>
      <c r="CT247" t="e">
        <f>-ALMACEN</f>
        <v>#NAME?</v>
      </c>
      <c r="CU247">
        <v>0</v>
      </c>
      <c r="CV247" t="s">
        <v>111</v>
      </c>
      <c r="CW247" t="s">
        <v>111</v>
      </c>
      <c r="CX247" t="s">
        <v>111</v>
      </c>
      <c r="CY247">
        <v>0</v>
      </c>
      <c r="CZ247" t="s">
        <v>111</v>
      </c>
      <c r="DA247" t="s">
        <v>111</v>
      </c>
      <c r="DB247" t="s">
        <v>111</v>
      </c>
      <c r="DC247" t="s">
        <v>111</v>
      </c>
    </row>
    <row r="248" spans="1:107">
      <c r="A248">
        <v>1368</v>
      </c>
      <c r="B248" t="s">
        <v>107</v>
      </c>
      <c r="C248" t="s">
        <v>428</v>
      </c>
      <c r="D248" t="s">
        <v>969</v>
      </c>
      <c r="E248" t="s">
        <v>970</v>
      </c>
      <c r="F248" t="s">
        <v>192</v>
      </c>
      <c r="G248" t="s">
        <v>469</v>
      </c>
      <c r="H248">
        <v>1.25</v>
      </c>
      <c r="I248">
        <v>41.7</v>
      </c>
      <c r="J248">
        <v>0</v>
      </c>
      <c r="K248">
        <v>0</v>
      </c>
      <c r="L248" t="s">
        <v>112</v>
      </c>
      <c r="M248" t="s">
        <v>111</v>
      </c>
      <c r="N248">
        <v>0</v>
      </c>
      <c r="O248">
        <v>0</v>
      </c>
      <c r="P248" t="s">
        <v>138</v>
      </c>
      <c r="Q248">
        <v>36.799999999999997</v>
      </c>
      <c r="R248">
        <v>0</v>
      </c>
      <c r="S248">
        <v>0</v>
      </c>
      <c r="T248">
        <v>5</v>
      </c>
      <c r="U248" t="e">
        <f>-DESTINO SELLADO</f>
        <v>#NAME?</v>
      </c>
      <c r="V248">
        <v>0</v>
      </c>
      <c r="W248">
        <v>0</v>
      </c>
      <c r="X248">
        <v>6</v>
      </c>
      <c r="Y248">
        <v>25</v>
      </c>
      <c r="Z248" t="s">
        <v>111</v>
      </c>
      <c r="AA248">
        <v>0</v>
      </c>
      <c r="AB248" t="s">
        <v>111</v>
      </c>
      <c r="AC248">
        <v>0</v>
      </c>
      <c r="AD248" t="s">
        <v>111</v>
      </c>
      <c r="AE248">
        <v>0</v>
      </c>
      <c r="AF248">
        <v>0</v>
      </c>
      <c r="AG248" t="s">
        <v>111</v>
      </c>
      <c r="AH248" t="s">
        <v>111</v>
      </c>
      <c r="AI248" t="s">
        <v>111</v>
      </c>
      <c r="AJ248" t="s">
        <v>111</v>
      </c>
      <c r="AK248" t="s">
        <v>111</v>
      </c>
      <c r="AL248" t="s">
        <v>111</v>
      </c>
      <c r="AM248">
        <v>0</v>
      </c>
      <c r="AN248">
        <v>0</v>
      </c>
      <c r="AO248">
        <v>0</v>
      </c>
      <c r="AP248" t="s">
        <v>111</v>
      </c>
      <c r="AQ248" t="s">
        <v>111</v>
      </c>
      <c r="AR248" t="s">
        <v>111</v>
      </c>
      <c r="AS248" t="s">
        <v>111</v>
      </c>
      <c r="AT248" t="s">
        <v>111</v>
      </c>
      <c r="AU248" t="s">
        <v>111</v>
      </c>
      <c r="AV248" t="s">
        <v>111</v>
      </c>
      <c r="AW248" t="s">
        <v>111</v>
      </c>
      <c r="AX248" t="s">
        <v>111</v>
      </c>
      <c r="AY248" t="s">
        <v>111</v>
      </c>
      <c r="AZ248" t="s">
        <v>111</v>
      </c>
      <c r="BA248" t="s">
        <v>111</v>
      </c>
      <c r="BB248" t="s">
        <v>111</v>
      </c>
      <c r="BC248" t="s">
        <v>111</v>
      </c>
      <c r="BD248" t="s">
        <v>111</v>
      </c>
      <c r="BE248" t="s">
        <v>111</v>
      </c>
      <c r="BF248" t="s">
        <v>111</v>
      </c>
      <c r="BG248" t="s">
        <v>111</v>
      </c>
      <c r="BH248" t="s">
        <v>111</v>
      </c>
      <c r="BI248" t="s">
        <v>111</v>
      </c>
      <c r="BJ248" t="s">
        <v>111</v>
      </c>
      <c r="BK248" t="s">
        <v>111</v>
      </c>
      <c r="BL248" t="s">
        <v>111</v>
      </c>
      <c r="BM248" t="s">
        <v>111</v>
      </c>
      <c r="BN248" t="s">
        <v>111</v>
      </c>
      <c r="BO248" t="s">
        <v>111</v>
      </c>
      <c r="BP248" t="s">
        <v>111</v>
      </c>
      <c r="BQ248" t="s">
        <v>111</v>
      </c>
      <c r="BR248" t="s">
        <v>111</v>
      </c>
      <c r="BS248" t="s">
        <v>111</v>
      </c>
      <c r="BT248" t="s">
        <v>111</v>
      </c>
      <c r="BU248" t="s">
        <v>111</v>
      </c>
      <c r="BV248" t="s">
        <v>111</v>
      </c>
      <c r="BW248" t="s">
        <v>111</v>
      </c>
      <c r="BX248" t="s">
        <v>111</v>
      </c>
      <c r="BY248" t="s">
        <v>111</v>
      </c>
      <c r="BZ248" t="s">
        <v>111</v>
      </c>
      <c r="CA248" t="s">
        <v>111</v>
      </c>
      <c r="CB248" t="s">
        <v>111</v>
      </c>
      <c r="CC248" t="s">
        <v>111</v>
      </c>
      <c r="CD248" t="s">
        <v>111</v>
      </c>
      <c r="CE248" t="s">
        <v>111</v>
      </c>
      <c r="CF248" t="s">
        <v>111</v>
      </c>
      <c r="CG248" t="s">
        <v>111</v>
      </c>
      <c r="CH248" t="s">
        <v>111</v>
      </c>
      <c r="CI248" t="s">
        <v>111</v>
      </c>
      <c r="CJ248" t="s">
        <v>111</v>
      </c>
      <c r="CK248" t="s">
        <v>111</v>
      </c>
      <c r="CL248" t="s">
        <v>111</v>
      </c>
      <c r="CM248" t="s">
        <v>135</v>
      </c>
      <c r="CN248" t="s">
        <v>113</v>
      </c>
      <c r="CO248" t="s">
        <v>111</v>
      </c>
      <c r="CP248" t="s">
        <v>111</v>
      </c>
      <c r="CQ248">
        <v>70</v>
      </c>
      <c r="CR248">
        <v>6000</v>
      </c>
      <c r="CS248">
        <v>2500</v>
      </c>
      <c r="CT248" t="s">
        <v>964</v>
      </c>
      <c r="CU248">
        <v>0</v>
      </c>
      <c r="CV248" t="s">
        <v>111</v>
      </c>
      <c r="CW248" t="s">
        <v>111</v>
      </c>
      <c r="CX248" t="s">
        <v>111</v>
      </c>
      <c r="CY248">
        <v>0</v>
      </c>
      <c r="CZ248" t="s">
        <v>111</v>
      </c>
      <c r="DA248" t="s">
        <v>111</v>
      </c>
      <c r="DB248" t="s">
        <v>111</v>
      </c>
      <c r="DC248" t="s">
        <v>111</v>
      </c>
    </row>
    <row r="249" spans="1:107">
      <c r="A249">
        <v>1363</v>
      </c>
      <c r="B249" t="s">
        <v>107</v>
      </c>
      <c r="C249" t="s">
        <v>154</v>
      </c>
      <c r="D249" t="s">
        <v>971</v>
      </c>
      <c r="E249" t="s">
        <v>972</v>
      </c>
      <c r="F249" t="s">
        <v>287</v>
      </c>
      <c r="G249" t="s">
        <v>469</v>
      </c>
      <c r="H249">
        <v>1.5</v>
      </c>
      <c r="I249">
        <v>20</v>
      </c>
      <c r="J249">
        <v>6</v>
      </c>
      <c r="K249">
        <v>6</v>
      </c>
      <c r="L249" t="s">
        <v>112</v>
      </c>
      <c r="M249" t="s">
        <v>111</v>
      </c>
      <c r="N249">
        <v>0</v>
      </c>
      <c r="O249">
        <v>0</v>
      </c>
      <c r="P249" t="s">
        <v>111</v>
      </c>
      <c r="Q249">
        <v>27.6</v>
      </c>
      <c r="R249">
        <v>0</v>
      </c>
      <c r="S249">
        <v>0</v>
      </c>
      <c r="T249">
        <v>5</v>
      </c>
      <c r="U249" s="1" t="s">
        <v>851</v>
      </c>
      <c r="V249">
        <v>25</v>
      </c>
      <c r="W249">
        <v>0</v>
      </c>
      <c r="X249">
        <v>8</v>
      </c>
      <c r="Y249">
        <v>0</v>
      </c>
      <c r="Z249" t="s">
        <v>973</v>
      </c>
      <c r="AA249">
        <v>1.5</v>
      </c>
      <c r="AB249" t="s">
        <v>111</v>
      </c>
      <c r="AC249">
        <v>0</v>
      </c>
      <c r="AD249" t="s">
        <v>111</v>
      </c>
      <c r="AE249">
        <v>0</v>
      </c>
      <c r="AF249">
        <v>0</v>
      </c>
      <c r="AG249" t="s">
        <v>111</v>
      </c>
      <c r="AH249" t="s">
        <v>111</v>
      </c>
      <c r="AI249" t="s">
        <v>111</v>
      </c>
      <c r="AJ249" t="s">
        <v>111</v>
      </c>
      <c r="AK249" t="s">
        <v>111</v>
      </c>
      <c r="AL249" t="s">
        <v>111</v>
      </c>
      <c r="AM249">
        <v>0</v>
      </c>
      <c r="AN249">
        <v>0</v>
      </c>
      <c r="AO249">
        <v>0</v>
      </c>
      <c r="AP249" t="s">
        <v>111</v>
      </c>
      <c r="AQ249" t="s">
        <v>111</v>
      </c>
      <c r="AR249" t="s">
        <v>111</v>
      </c>
      <c r="AS249" t="s">
        <v>111</v>
      </c>
      <c r="AT249" t="s">
        <v>111</v>
      </c>
      <c r="AU249" t="s">
        <v>111</v>
      </c>
      <c r="AV249" t="s">
        <v>111</v>
      </c>
      <c r="AW249" t="s">
        <v>111</v>
      </c>
      <c r="AX249" t="s">
        <v>111</v>
      </c>
      <c r="AY249" t="s">
        <v>111</v>
      </c>
      <c r="AZ249" t="s">
        <v>111</v>
      </c>
      <c r="BA249" t="s">
        <v>111</v>
      </c>
      <c r="BB249" t="s">
        <v>111</v>
      </c>
      <c r="BC249" t="s">
        <v>111</v>
      </c>
      <c r="BD249" t="s">
        <v>111</v>
      </c>
      <c r="BE249" t="s">
        <v>111</v>
      </c>
      <c r="BF249" t="s">
        <v>111</v>
      </c>
      <c r="BG249" t="s">
        <v>111</v>
      </c>
      <c r="BH249" t="s">
        <v>111</v>
      </c>
      <c r="BI249" t="s">
        <v>111</v>
      </c>
      <c r="BJ249" t="s">
        <v>111</v>
      </c>
      <c r="BK249" t="s">
        <v>111</v>
      </c>
      <c r="BL249" t="s">
        <v>111</v>
      </c>
      <c r="BM249" t="s">
        <v>111</v>
      </c>
      <c r="BN249" t="s">
        <v>111</v>
      </c>
      <c r="BO249" t="s">
        <v>111</v>
      </c>
      <c r="BP249" t="s">
        <v>111</v>
      </c>
      <c r="BQ249" t="s">
        <v>111</v>
      </c>
      <c r="BR249" t="s">
        <v>111</v>
      </c>
      <c r="BS249" t="s">
        <v>111</v>
      </c>
      <c r="BT249" t="s">
        <v>111</v>
      </c>
      <c r="BU249" t="s">
        <v>111</v>
      </c>
      <c r="BV249" t="s">
        <v>111</v>
      </c>
      <c r="BW249" t="s">
        <v>111</v>
      </c>
      <c r="BX249" t="s">
        <v>111</v>
      </c>
      <c r="BY249" t="s">
        <v>111</v>
      </c>
      <c r="BZ249" t="s">
        <v>111</v>
      </c>
      <c r="CA249" t="s">
        <v>111</v>
      </c>
      <c r="CB249" t="s">
        <v>111</v>
      </c>
      <c r="CC249" t="s">
        <v>111</v>
      </c>
      <c r="CD249" t="s">
        <v>111</v>
      </c>
      <c r="CE249" t="s">
        <v>111</v>
      </c>
      <c r="CF249" t="s">
        <v>111</v>
      </c>
      <c r="CG249" t="s">
        <v>111</v>
      </c>
      <c r="CH249" t="s">
        <v>111</v>
      </c>
      <c r="CI249" t="s">
        <v>111</v>
      </c>
      <c r="CJ249" t="s">
        <v>111</v>
      </c>
      <c r="CK249" t="s">
        <v>111</v>
      </c>
      <c r="CL249" t="s">
        <v>111</v>
      </c>
      <c r="CM249" t="s">
        <v>135</v>
      </c>
      <c r="CN249" t="s">
        <v>128</v>
      </c>
      <c r="CO249" t="s">
        <v>974</v>
      </c>
      <c r="CP249" t="s">
        <v>111</v>
      </c>
      <c r="CQ249">
        <v>40</v>
      </c>
      <c r="CR249">
        <v>3000</v>
      </c>
      <c r="CS249">
        <v>500</v>
      </c>
      <c r="CT249" t="e">
        <f>-BIEN EMPADO PARA TROQUELAR</f>
        <v>#NAME?</v>
      </c>
      <c r="CU249">
        <v>0</v>
      </c>
      <c r="CV249" t="s">
        <v>111</v>
      </c>
      <c r="CW249" t="s">
        <v>111</v>
      </c>
      <c r="CX249" t="s">
        <v>111</v>
      </c>
      <c r="CY249">
        <v>0</v>
      </c>
      <c r="CZ249" t="s">
        <v>111</v>
      </c>
      <c r="DA249" t="s">
        <v>111</v>
      </c>
      <c r="DB249" t="e">
        <f>-INTERNO</f>
        <v>#NAME?</v>
      </c>
      <c r="DC249" t="e">
        <f>-TROQUEL CAMISETA</f>
        <v>#NAME?</v>
      </c>
    </row>
    <row r="250" spans="1:107">
      <c r="A250">
        <v>1361</v>
      </c>
      <c r="B250" t="s">
        <v>107</v>
      </c>
      <c r="C250" t="s">
        <v>713</v>
      </c>
      <c r="D250" t="s">
        <v>911</v>
      </c>
      <c r="E250" t="s">
        <v>975</v>
      </c>
      <c r="F250" t="s">
        <v>125</v>
      </c>
      <c r="G250" t="s">
        <v>469</v>
      </c>
      <c r="H250">
        <v>1</v>
      </c>
      <c r="I250">
        <v>65</v>
      </c>
      <c r="J250">
        <v>0</v>
      </c>
      <c r="K250">
        <v>0</v>
      </c>
      <c r="L250" t="s">
        <v>112</v>
      </c>
      <c r="M250" t="s">
        <v>118</v>
      </c>
      <c r="N250">
        <v>0</v>
      </c>
      <c r="O250">
        <v>0</v>
      </c>
      <c r="P250" t="s">
        <v>111</v>
      </c>
      <c r="Q250">
        <v>42.9</v>
      </c>
      <c r="R250">
        <v>0</v>
      </c>
      <c r="S250">
        <v>0</v>
      </c>
      <c r="T250">
        <v>5</v>
      </c>
      <c r="U250" t="e">
        <f>-SELLADO</f>
        <v>#NAME?</v>
      </c>
      <c r="V250">
        <v>25</v>
      </c>
      <c r="W250">
        <v>0</v>
      </c>
      <c r="X250">
        <v>6</v>
      </c>
      <c r="Y250">
        <v>0</v>
      </c>
      <c r="Z250" t="s">
        <v>111</v>
      </c>
      <c r="AA250">
        <v>0</v>
      </c>
      <c r="AB250" t="s">
        <v>111</v>
      </c>
      <c r="AC250">
        <v>0</v>
      </c>
      <c r="AD250" t="s">
        <v>111</v>
      </c>
      <c r="AE250">
        <v>0</v>
      </c>
      <c r="AF250">
        <v>0</v>
      </c>
      <c r="AG250" t="s">
        <v>111</v>
      </c>
      <c r="AH250" t="s">
        <v>111</v>
      </c>
      <c r="AI250" t="s">
        <v>111</v>
      </c>
      <c r="AJ250" t="s">
        <v>111</v>
      </c>
      <c r="AK250" t="s">
        <v>111</v>
      </c>
      <c r="AL250" t="s">
        <v>111</v>
      </c>
      <c r="AM250">
        <v>0</v>
      </c>
      <c r="AN250">
        <v>0</v>
      </c>
      <c r="AO250">
        <v>0</v>
      </c>
      <c r="AP250" t="s">
        <v>111</v>
      </c>
      <c r="AQ250" t="s">
        <v>111</v>
      </c>
      <c r="AR250" t="s">
        <v>111</v>
      </c>
      <c r="AS250" t="s">
        <v>111</v>
      </c>
      <c r="AT250" t="s">
        <v>111</v>
      </c>
      <c r="AU250" t="s">
        <v>111</v>
      </c>
      <c r="AV250" t="s">
        <v>111</v>
      </c>
      <c r="AW250" t="s">
        <v>111</v>
      </c>
      <c r="AX250" t="s">
        <v>111</v>
      </c>
      <c r="AY250" t="s">
        <v>111</v>
      </c>
      <c r="AZ250" t="s">
        <v>111</v>
      </c>
      <c r="BA250" t="s">
        <v>111</v>
      </c>
      <c r="BB250" t="s">
        <v>111</v>
      </c>
      <c r="BC250" t="s">
        <v>111</v>
      </c>
      <c r="BD250" t="s">
        <v>111</v>
      </c>
      <c r="BE250" t="s">
        <v>111</v>
      </c>
      <c r="BF250" t="s">
        <v>111</v>
      </c>
      <c r="BG250" t="s">
        <v>111</v>
      </c>
      <c r="BH250" t="s">
        <v>111</v>
      </c>
      <c r="BI250" t="s">
        <v>111</v>
      </c>
      <c r="BJ250" t="s">
        <v>111</v>
      </c>
      <c r="BK250" t="s">
        <v>111</v>
      </c>
      <c r="BL250" t="s">
        <v>111</v>
      </c>
      <c r="BM250" t="s">
        <v>111</v>
      </c>
      <c r="BN250" t="s">
        <v>111</v>
      </c>
      <c r="BO250" t="s">
        <v>111</v>
      </c>
      <c r="BP250" t="s">
        <v>111</v>
      </c>
      <c r="BQ250" t="s">
        <v>111</v>
      </c>
      <c r="BR250" t="s">
        <v>111</v>
      </c>
      <c r="BS250" t="s">
        <v>111</v>
      </c>
      <c r="BT250" t="s">
        <v>111</v>
      </c>
      <c r="BU250" t="s">
        <v>111</v>
      </c>
      <c r="BV250" t="s">
        <v>111</v>
      </c>
      <c r="BW250" t="s">
        <v>111</v>
      </c>
      <c r="BX250" t="s">
        <v>111</v>
      </c>
      <c r="BY250" t="s">
        <v>111</v>
      </c>
      <c r="BZ250" t="s">
        <v>111</v>
      </c>
      <c r="CA250" t="s">
        <v>111</v>
      </c>
      <c r="CB250" t="s">
        <v>111</v>
      </c>
      <c r="CC250" t="s">
        <v>111</v>
      </c>
      <c r="CD250" t="s">
        <v>111</v>
      </c>
      <c r="CE250" t="s">
        <v>111</v>
      </c>
      <c r="CF250" t="s">
        <v>111</v>
      </c>
      <c r="CG250" t="s">
        <v>111</v>
      </c>
      <c r="CH250" t="s">
        <v>111</v>
      </c>
      <c r="CI250" t="s">
        <v>111</v>
      </c>
      <c r="CJ250" t="s">
        <v>111</v>
      </c>
      <c r="CK250" t="s">
        <v>111</v>
      </c>
      <c r="CL250" t="s">
        <v>111</v>
      </c>
      <c r="CM250" t="s">
        <v>127</v>
      </c>
      <c r="CN250" t="s">
        <v>128</v>
      </c>
      <c r="CO250" t="s">
        <v>111</v>
      </c>
      <c r="CP250" t="s">
        <v>111</v>
      </c>
      <c r="CQ250">
        <v>35</v>
      </c>
      <c r="CR250">
        <v>15000</v>
      </c>
      <c r="CS250">
        <v>50</v>
      </c>
      <c r="CT250" t="e">
        <f>-ALMACEM</f>
        <v>#NAME?</v>
      </c>
      <c r="CU250">
        <v>0</v>
      </c>
      <c r="CV250" t="s">
        <v>111</v>
      </c>
      <c r="CW250" t="s">
        <v>111</v>
      </c>
      <c r="CX250" t="s">
        <v>111</v>
      </c>
      <c r="CY250">
        <v>0</v>
      </c>
      <c r="CZ250" t="s">
        <v>111</v>
      </c>
      <c r="DA250" t="s">
        <v>111</v>
      </c>
      <c r="DB250" t="s">
        <v>111</v>
      </c>
      <c r="DC250" t="s">
        <v>111</v>
      </c>
    </row>
    <row r="251" spans="1:107">
      <c r="A251">
        <v>1359</v>
      </c>
      <c r="B251" t="s">
        <v>107</v>
      </c>
      <c r="C251" t="s">
        <v>498</v>
      </c>
      <c r="D251" t="s">
        <v>499</v>
      </c>
      <c r="E251" t="s">
        <v>976</v>
      </c>
      <c r="F251" t="s">
        <v>431</v>
      </c>
      <c r="G251" t="s">
        <v>469</v>
      </c>
      <c r="H251">
        <v>2.4</v>
      </c>
      <c r="I251">
        <v>62</v>
      </c>
      <c r="J251">
        <v>0</v>
      </c>
      <c r="K251">
        <v>0</v>
      </c>
      <c r="L251" t="s">
        <v>117</v>
      </c>
      <c r="M251" t="s">
        <v>118</v>
      </c>
      <c r="N251">
        <v>40</v>
      </c>
      <c r="O251">
        <v>1</v>
      </c>
      <c r="P251" t="s">
        <v>111</v>
      </c>
      <c r="Q251">
        <v>27</v>
      </c>
      <c r="R251">
        <v>0</v>
      </c>
      <c r="S251">
        <v>0</v>
      </c>
      <c r="T251">
        <v>5</v>
      </c>
      <c r="U251" s="1" t="s">
        <v>784</v>
      </c>
      <c r="V251">
        <v>0</v>
      </c>
      <c r="W251">
        <v>25</v>
      </c>
      <c r="X251">
        <v>80</v>
      </c>
      <c r="Y251">
        <v>0</v>
      </c>
      <c r="Z251" t="s">
        <v>111</v>
      </c>
      <c r="AA251">
        <v>0</v>
      </c>
      <c r="AB251" t="s">
        <v>111</v>
      </c>
      <c r="AC251">
        <v>0</v>
      </c>
      <c r="AD251" t="s">
        <v>416</v>
      </c>
      <c r="AE251">
        <v>0</v>
      </c>
      <c r="AF251">
        <v>0</v>
      </c>
      <c r="AG251" t="s">
        <v>111</v>
      </c>
      <c r="AH251" t="s">
        <v>113</v>
      </c>
      <c r="AI251" t="s">
        <v>111</v>
      </c>
      <c r="AJ251" t="s">
        <v>111</v>
      </c>
      <c r="AK251" t="s">
        <v>111</v>
      </c>
      <c r="AL251" t="s">
        <v>111</v>
      </c>
      <c r="AM251">
        <v>0</v>
      </c>
      <c r="AN251">
        <v>0</v>
      </c>
      <c r="AO251">
        <v>0</v>
      </c>
      <c r="AP251" t="s">
        <v>111</v>
      </c>
      <c r="AQ251" t="s">
        <v>111</v>
      </c>
      <c r="AR251" t="s">
        <v>111</v>
      </c>
      <c r="AS251" t="s">
        <v>111</v>
      </c>
      <c r="AT251" t="s">
        <v>111</v>
      </c>
      <c r="AU251" t="s">
        <v>111</v>
      </c>
      <c r="AV251" t="s">
        <v>111</v>
      </c>
      <c r="AW251" t="s">
        <v>111</v>
      </c>
      <c r="AX251" t="s">
        <v>111</v>
      </c>
      <c r="AY251" t="s">
        <v>111</v>
      </c>
      <c r="AZ251" t="s">
        <v>111</v>
      </c>
      <c r="BA251" t="s">
        <v>111</v>
      </c>
      <c r="BB251" t="s">
        <v>111</v>
      </c>
      <c r="BC251" t="s">
        <v>111</v>
      </c>
      <c r="BD251" t="s">
        <v>111</v>
      </c>
      <c r="BE251" t="s">
        <v>111</v>
      </c>
      <c r="BF251" t="s">
        <v>111</v>
      </c>
      <c r="BG251" t="s">
        <v>111</v>
      </c>
      <c r="BH251" t="s">
        <v>111</v>
      </c>
      <c r="BI251" t="s">
        <v>111</v>
      </c>
      <c r="BJ251" t="s">
        <v>111</v>
      </c>
      <c r="BK251" t="s">
        <v>111</v>
      </c>
      <c r="BL251" t="s">
        <v>111</v>
      </c>
      <c r="BM251" t="s">
        <v>111</v>
      </c>
      <c r="BN251" t="s">
        <v>111</v>
      </c>
      <c r="BO251" t="s">
        <v>111</v>
      </c>
      <c r="BP251" t="s">
        <v>111</v>
      </c>
      <c r="BQ251" t="s">
        <v>111</v>
      </c>
      <c r="BR251" t="s">
        <v>111</v>
      </c>
      <c r="BS251" t="s">
        <v>111</v>
      </c>
      <c r="BT251" t="s">
        <v>111</v>
      </c>
      <c r="BU251" t="s">
        <v>111</v>
      </c>
      <c r="BV251" t="s">
        <v>111</v>
      </c>
      <c r="BW251" t="s">
        <v>111</v>
      </c>
      <c r="BX251" t="s">
        <v>111</v>
      </c>
      <c r="BY251" t="s">
        <v>111</v>
      </c>
      <c r="BZ251" t="s">
        <v>111</v>
      </c>
      <c r="CA251" t="s">
        <v>111</v>
      </c>
      <c r="CB251" t="s">
        <v>111</v>
      </c>
      <c r="CC251" t="s">
        <v>111</v>
      </c>
      <c r="CD251" t="s">
        <v>111</v>
      </c>
      <c r="CE251" t="s">
        <v>111</v>
      </c>
      <c r="CF251" t="s">
        <v>111</v>
      </c>
      <c r="CG251" t="s">
        <v>111</v>
      </c>
      <c r="CH251" t="s">
        <v>111</v>
      </c>
      <c r="CI251" t="s">
        <v>111</v>
      </c>
      <c r="CJ251" t="s">
        <v>111</v>
      </c>
      <c r="CK251" t="s">
        <v>111</v>
      </c>
      <c r="CL251" t="s">
        <v>111</v>
      </c>
      <c r="CM251">
        <v>450</v>
      </c>
      <c r="CN251" t="s">
        <v>113</v>
      </c>
      <c r="CO251" t="s">
        <v>111</v>
      </c>
      <c r="CP251" t="s">
        <v>111</v>
      </c>
      <c r="CQ251">
        <v>0</v>
      </c>
      <c r="CR251">
        <v>5000</v>
      </c>
      <c r="CS251">
        <v>200</v>
      </c>
      <c r="CT251" s="1" t="s">
        <v>977</v>
      </c>
      <c r="CU251">
        <v>0</v>
      </c>
      <c r="CV251" t="s">
        <v>111</v>
      </c>
      <c r="CW251" t="s">
        <v>111</v>
      </c>
      <c r="CX251" t="s">
        <v>111</v>
      </c>
      <c r="CY251">
        <v>0</v>
      </c>
      <c r="CZ251" t="s">
        <v>111</v>
      </c>
      <c r="DA251" t="s">
        <v>111</v>
      </c>
      <c r="DB251" t="s">
        <v>111</v>
      </c>
      <c r="DC251" t="s">
        <v>111</v>
      </c>
    </row>
    <row r="252" spans="1:107">
      <c r="A252">
        <v>1347</v>
      </c>
      <c r="B252" t="s">
        <v>107</v>
      </c>
      <c r="C252" t="s">
        <v>504</v>
      </c>
      <c r="D252" t="s">
        <v>169</v>
      </c>
      <c r="E252" t="s">
        <v>170</v>
      </c>
      <c r="F252" t="s">
        <v>166</v>
      </c>
      <c r="G252" t="s">
        <v>469</v>
      </c>
      <c r="H252">
        <v>0.7</v>
      </c>
      <c r="I252">
        <v>80</v>
      </c>
      <c r="J252">
        <v>0</v>
      </c>
      <c r="K252">
        <v>0</v>
      </c>
      <c r="L252" t="s">
        <v>117</v>
      </c>
      <c r="M252" t="s">
        <v>138</v>
      </c>
      <c r="N252">
        <v>0</v>
      </c>
      <c r="O252">
        <v>0</v>
      </c>
      <c r="P252" t="s">
        <v>118</v>
      </c>
      <c r="Q252">
        <v>25</v>
      </c>
      <c r="R252">
        <v>0</v>
      </c>
      <c r="S252">
        <v>0</v>
      </c>
      <c r="T252">
        <v>0</v>
      </c>
      <c r="U252" s="1" t="s">
        <v>978</v>
      </c>
      <c r="V252">
        <v>25</v>
      </c>
      <c r="W252">
        <v>0</v>
      </c>
      <c r="X252">
        <v>5</v>
      </c>
      <c r="Y252">
        <v>0</v>
      </c>
      <c r="Z252" t="s">
        <v>259</v>
      </c>
      <c r="AA252">
        <v>1.8</v>
      </c>
      <c r="AB252" t="s">
        <v>111</v>
      </c>
      <c r="AC252">
        <v>0</v>
      </c>
      <c r="AD252" t="s">
        <v>111</v>
      </c>
      <c r="AE252">
        <v>0</v>
      </c>
      <c r="AF252">
        <v>0</v>
      </c>
      <c r="AG252" t="s">
        <v>111</v>
      </c>
      <c r="AH252" t="s">
        <v>111</v>
      </c>
      <c r="AI252" t="s">
        <v>111</v>
      </c>
      <c r="AJ252" t="s">
        <v>111</v>
      </c>
      <c r="AK252" t="s">
        <v>111</v>
      </c>
      <c r="AL252" t="s">
        <v>111</v>
      </c>
      <c r="AM252">
        <v>0</v>
      </c>
      <c r="AN252">
        <v>0</v>
      </c>
      <c r="AO252">
        <v>0</v>
      </c>
      <c r="AP252" t="s">
        <v>111</v>
      </c>
      <c r="AQ252" t="s">
        <v>111</v>
      </c>
      <c r="AR252" t="s">
        <v>111</v>
      </c>
      <c r="AS252" t="s">
        <v>111</v>
      </c>
      <c r="AT252" t="s">
        <v>111</v>
      </c>
      <c r="AU252" t="s">
        <v>111</v>
      </c>
      <c r="AV252" t="s">
        <v>111</v>
      </c>
      <c r="AW252" t="s">
        <v>111</v>
      </c>
      <c r="AX252" t="s">
        <v>111</v>
      </c>
      <c r="AY252" t="s">
        <v>111</v>
      </c>
      <c r="AZ252" t="s">
        <v>111</v>
      </c>
      <c r="BA252" t="s">
        <v>111</v>
      </c>
      <c r="BB252" t="s">
        <v>111</v>
      </c>
      <c r="BC252" t="s">
        <v>111</v>
      </c>
      <c r="BD252" t="s">
        <v>111</v>
      </c>
      <c r="BE252" t="s">
        <v>111</v>
      </c>
      <c r="BF252" t="s">
        <v>111</v>
      </c>
      <c r="BG252" t="s">
        <v>111</v>
      </c>
      <c r="BH252" t="s">
        <v>111</v>
      </c>
      <c r="BI252" t="s">
        <v>111</v>
      </c>
      <c r="BJ252" t="s">
        <v>111</v>
      </c>
      <c r="BK252" t="s">
        <v>111</v>
      </c>
      <c r="BL252" t="s">
        <v>111</v>
      </c>
      <c r="BM252" t="s">
        <v>111</v>
      </c>
      <c r="BN252" t="s">
        <v>111</v>
      </c>
      <c r="BO252" t="s">
        <v>111</v>
      </c>
      <c r="BP252" t="s">
        <v>111</v>
      </c>
      <c r="BQ252" t="s">
        <v>111</v>
      </c>
      <c r="BR252" t="s">
        <v>111</v>
      </c>
      <c r="BS252" t="s">
        <v>111</v>
      </c>
      <c r="BT252" t="s">
        <v>111</v>
      </c>
      <c r="BU252" t="s">
        <v>111</v>
      </c>
      <c r="BV252" t="s">
        <v>111</v>
      </c>
      <c r="BW252" t="s">
        <v>111</v>
      </c>
      <c r="BX252" t="s">
        <v>111</v>
      </c>
      <c r="BY252" t="s">
        <v>111</v>
      </c>
      <c r="BZ252" t="s">
        <v>111</v>
      </c>
      <c r="CA252" t="s">
        <v>111</v>
      </c>
      <c r="CB252" t="s">
        <v>111</v>
      </c>
      <c r="CC252" t="s">
        <v>111</v>
      </c>
      <c r="CD252" t="s">
        <v>111</v>
      </c>
      <c r="CE252" t="s">
        <v>111</v>
      </c>
      <c r="CF252" t="s">
        <v>111</v>
      </c>
      <c r="CG252" t="s">
        <v>111</v>
      </c>
      <c r="CH252" t="s">
        <v>111</v>
      </c>
      <c r="CI252" t="s">
        <v>111</v>
      </c>
      <c r="CJ252" t="s">
        <v>111</v>
      </c>
      <c r="CK252" t="s">
        <v>111</v>
      </c>
      <c r="CL252" t="s">
        <v>111</v>
      </c>
      <c r="CM252" t="s">
        <v>127</v>
      </c>
      <c r="CN252" t="s">
        <v>128</v>
      </c>
      <c r="CO252" t="s">
        <v>508</v>
      </c>
      <c r="CP252" t="s">
        <v>111</v>
      </c>
      <c r="CQ252">
        <v>0</v>
      </c>
      <c r="CR252">
        <v>1200</v>
      </c>
      <c r="CS252">
        <v>0</v>
      </c>
      <c r="CT252" t="e">
        <f>-ALMACEN</f>
        <v>#NAME?</v>
      </c>
      <c r="CU252">
        <v>0</v>
      </c>
      <c r="CV252" t="s">
        <v>111</v>
      </c>
      <c r="CW252" t="s">
        <v>111</v>
      </c>
      <c r="CX252" t="s">
        <v>111</v>
      </c>
      <c r="CY252">
        <v>0</v>
      </c>
      <c r="CZ252" t="s">
        <v>111</v>
      </c>
      <c r="DA252" t="s">
        <v>111</v>
      </c>
      <c r="DB252" t="s">
        <v>111</v>
      </c>
      <c r="DC252" t="s">
        <v>111</v>
      </c>
    </row>
    <row r="253" spans="1:107">
      <c r="A253">
        <v>1340</v>
      </c>
      <c r="B253" t="s">
        <v>107</v>
      </c>
      <c r="C253" t="s">
        <v>509</v>
      </c>
      <c r="D253" t="s">
        <v>979</v>
      </c>
      <c r="E253" t="s">
        <v>980</v>
      </c>
      <c r="F253" t="s">
        <v>192</v>
      </c>
      <c r="G253" t="s">
        <v>469</v>
      </c>
      <c r="H253">
        <v>1.5</v>
      </c>
      <c r="I253">
        <v>38</v>
      </c>
      <c r="J253">
        <v>14.5</v>
      </c>
      <c r="K253">
        <v>14.5</v>
      </c>
      <c r="L253" t="s">
        <v>112</v>
      </c>
      <c r="M253" t="s">
        <v>111</v>
      </c>
      <c r="N253">
        <v>0</v>
      </c>
      <c r="O253">
        <v>0</v>
      </c>
      <c r="P253" t="s">
        <v>111</v>
      </c>
      <c r="Q253">
        <v>38.4</v>
      </c>
      <c r="R253">
        <v>0</v>
      </c>
      <c r="S253">
        <v>0</v>
      </c>
      <c r="T253">
        <v>5</v>
      </c>
      <c r="U253" s="1" t="s">
        <v>981</v>
      </c>
      <c r="V253">
        <v>0</v>
      </c>
      <c r="W253">
        <v>25</v>
      </c>
      <c r="X253">
        <v>8</v>
      </c>
      <c r="Y253">
        <v>0</v>
      </c>
      <c r="Z253" t="s">
        <v>111</v>
      </c>
      <c r="AA253">
        <v>0</v>
      </c>
      <c r="AB253" t="s">
        <v>619</v>
      </c>
      <c r="AC253">
        <v>8</v>
      </c>
      <c r="AD253" t="s">
        <v>111</v>
      </c>
      <c r="AE253">
        <v>0</v>
      </c>
      <c r="AF253">
        <v>0</v>
      </c>
      <c r="AG253" t="s">
        <v>111</v>
      </c>
      <c r="AH253" t="s">
        <v>111</v>
      </c>
      <c r="AI253" t="s">
        <v>111</v>
      </c>
      <c r="AJ253" t="s">
        <v>111</v>
      </c>
      <c r="AK253" t="s">
        <v>111</v>
      </c>
      <c r="AL253" t="s">
        <v>111</v>
      </c>
      <c r="AM253">
        <v>0</v>
      </c>
      <c r="AN253">
        <v>0</v>
      </c>
      <c r="AO253">
        <v>0</v>
      </c>
      <c r="AP253" t="s">
        <v>111</v>
      </c>
      <c r="AQ253" t="s">
        <v>111</v>
      </c>
      <c r="AR253" t="s">
        <v>111</v>
      </c>
      <c r="AS253" t="s">
        <v>111</v>
      </c>
      <c r="AT253" t="s">
        <v>111</v>
      </c>
      <c r="AU253" t="s">
        <v>111</v>
      </c>
      <c r="AV253" t="s">
        <v>111</v>
      </c>
      <c r="AW253" t="s">
        <v>111</v>
      </c>
      <c r="AX253" t="s">
        <v>111</v>
      </c>
      <c r="AY253" t="s">
        <v>111</v>
      </c>
      <c r="AZ253" t="s">
        <v>111</v>
      </c>
      <c r="BA253" t="s">
        <v>111</v>
      </c>
      <c r="BB253" t="s">
        <v>111</v>
      </c>
      <c r="BC253" t="s">
        <v>111</v>
      </c>
      <c r="BD253" t="s">
        <v>111</v>
      </c>
      <c r="BE253" t="s">
        <v>111</v>
      </c>
      <c r="BF253" t="s">
        <v>111</v>
      </c>
      <c r="BG253" t="s">
        <v>111</v>
      </c>
      <c r="BH253" t="s">
        <v>111</v>
      </c>
      <c r="BI253" t="s">
        <v>111</v>
      </c>
      <c r="BJ253" t="s">
        <v>111</v>
      </c>
      <c r="BK253" t="s">
        <v>111</v>
      </c>
      <c r="BL253" t="s">
        <v>111</v>
      </c>
      <c r="BM253" t="s">
        <v>111</v>
      </c>
      <c r="BN253" t="s">
        <v>111</v>
      </c>
      <c r="BO253" t="s">
        <v>111</v>
      </c>
      <c r="BP253" t="s">
        <v>111</v>
      </c>
      <c r="BQ253" t="s">
        <v>111</v>
      </c>
      <c r="BR253" t="s">
        <v>111</v>
      </c>
      <c r="BS253" t="s">
        <v>111</v>
      </c>
      <c r="BT253" t="s">
        <v>111</v>
      </c>
      <c r="BU253" t="s">
        <v>111</v>
      </c>
      <c r="BV253" t="s">
        <v>111</v>
      </c>
      <c r="BW253" t="s">
        <v>111</v>
      </c>
      <c r="BX253" t="s">
        <v>111</v>
      </c>
      <c r="BY253" t="s">
        <v>111</v>
      </c>
      <c r="BZ253" t="s">
        <v>111</v>
      </c>
      <c r="CA253" t="s">
        <v>111</v>
      </c>
      <c r="CB253" t="s">
        <v>111</v>
      </c>
      <c r="CC253" t="s">
        <v>111</v>
      </c>
      <c r="CD253" t="s">
        <v>111</v>
      </c>
      <c r="CE253" t="s">
        <v>111</v>
      </c>
      <c r="CF253" t="s">
        <v>111</v>
      </c>
      <c r="CG253" t="s">
        <v>111</v>
      </c>
      <c r="CH253" t="s">
        <v>111</v>
      </c>
      <c r="CI253" t="s">
        <v>111</v>
      </c>
      <c r="CJ253" t="s">
        <v>111</v>
      </c>
      <c r="CK253" t="s">
        <v>111</v>
      </c>
      <c r="CL253" t="s">
        <v>111</v>
      </c>
      <c r="CM253" t="s">
        <v>135</v>
      </c>
      <c r="CN253" t="s">
        <v>128</v>
      </c>
      <c r="CO253" t="s">
        <v>111</v>
      </c>
      <c r="CP253" t="s">
        <v>111</v>
      </c>
      <c r="CQ253">
        <v>0</v>
      </c>
      <c r="CR253">
        <v>0</v>
      </c>
      <c r="CS253">
        <v>0</v>
      </c>
      <c r="CT253" s="1" t="s">
        <v>982</v>
      </c>
      <c r="CU253">
        <v>0</v>
      </c>
      <c r="CV253" t="s">
        <v>111</v>
      </c>
      <c r="CW253" t="s">
        <v>111</v>
      </c>
      <c r="CX253" t="s">
        <v>111</v>
      </c>
      <c r="CY253">
        <v>0</v>
      </c>
      <c r="CZ253" t="s">
        <v>111</v>
      </c>
      <c r="DA253" t="s">
        <v>111</v>
      </c>
      <c r="DB253" t="s">
        <v>111</v>
      </c>
      <c r="DC253" t="s">
        <v>111</v>
      </c>
    </row>
    <row r="254" spans="1:107">
      <c r="A254">
        <v>1339</v>
      </c>
      <c r="B254" t="s">
        <v>107</v>
      </c>
      <c r="C254" t="s">
        <v>509</v>
      </c>
      <c r="D254" t="s">
        <v>983</v>
      </c>
      <c r="E254" t="s">
        <v>984</v>
      </c>
      <c r="F254" t="s">
        <v>192</v>
      </c>
      <c r="G254" t="s">
        <v>469</v>
      </c>
      <c r="H254">
        <v>2</v>
      </c>
      <c r="I254">
        <v>63</v>
      </c>
      <c r="J254">
        <v>0</v>
      </c>
      <c r="K254">
        <v>0</v>
      </c>
      <c r="L254" t="s">
        <v>112</v>
      </c>
      <c r="M254" t="s">
        <v>111</v>
      </c>
      <c r="N254">
        <v>0</v>
      </c>
      <c r="O254">
        <v>0</v>
      </c>
      <c r="P254" t="s">
        <v>111</v>
      </c>
      <c r="Q254">
        <v>55</v>
      </c>
      <c r="R254">
        <v>0</v>
      </c>
      <c r="S254">
        <v>0</v>
      </c>
      <c r="T254">
        <v>3</v>
      </c>
      <c r="U254" s="1" t="s">
        <v>985</v>
      </c>
      <c r="V254">
        <v>0</v>
      </c>
      <c r="W254">
        <v>25</v>
      </c>
      <c r="X254">
        <v>8</v>
      </c>
      <c r="Y254">
        <v>0</v>
      </c>
      <c r="Z254" t="s">
        <v>111</v>
      </c>
      <c r="AA254">
        <v>0</v>
      </c>
      <c r="AB254" t="s">
        <v>619</v>
      </c>
      <c r="AC254">
        <v>8</v>
      </c>
      <c r="AD254" t="s">
        <v>111</v>
      </c>
      <c r="AE254">
        <v>0</v>
      </c>
      <c r="AF254">
        <v>0</v>
      </c>
      <c r="AG254" t="s">
        <v>111</v>
      </c>
      <c r="AH254" t="s">
        <v>111</v>
      </c>
      <c r="AI254" t="s">
        <v>111</v>
      </c>
      <c r="AJ254" t="s">
        <v>111</v>
      </c>
      <c r="AK254" t="s">
        <v>111</v>
      </c>
      <c r="AL254" t="s">
        <v>111</v>
      </c>
      <c r="AM254">
        <v>0</v>
      </c>
      <c r="AN254">
        <v>0</v>
      </c>
      <c r="AO254">
        <v>0</v>
      </c>
      <c r="AP254" t="s">
        <v>111</v>
      </c>
      <c r="AQ254" t="s">
        <v>111</v>
      </c>
      <c r="AR254" t="s">
        <v>111</v>
      </c>
      <c r="AS254" t="s">
        <v>111</v>
      </c>
      <c r="AT254" t="s">
        <v>111</v>
      </c>
      <c r="AU254" t="s">
        <v>111</v>
      </c>
      <c r="AV254" t="s">
        <v>111</v>
      </c>
      <c r="AW254" t="s">
        <v>111</v>
      </c>
      <c r="AX254" t="s">
        <v>111</v>
      </c>
      <c r="AY254" t="s">
        <v>111</v>
      </c>
      <c r="AZ254" t="s">
        <v>111</v>
      </c>
      <c r="BA254" t="s">
        <v>111</v>
      </c>
      <c r="BB254" t="s">
        <v>111</v>
      </c>
      <c r="BC254" t="s">
        <v>111</v>
      </c>
      <c r="BD254" t="s">
        <v>111</v>
      </c>
      <c r="BE254" t="s">
        <v>111</v>
      </c>
      <c r="BF254" t="s">
        <v>111</v>
      </c>
      <c r="BG254" t="s">
        <v>111</v>
      </c>
      <c r="BH254" t="s">
        <v>111</v>
      </c>
      <c r="BI254" t="s">
        <v>111</v>
      </c>
      <c r="BJ254" t="s">
        <v>111</v>
      </c>
      <c r="BK254" t="s">
        <v>111</v>
      </c>
      <c r="BL254" t="s">
        <v>111</v>
      </c>
      <c r="BM254" t="s">
        <v>111</v>
      </c>
      <c r="BN254" t="s">
        <v>111</v>
      </c>
      <c r="BO254" t="s">
        <v>111</v>
      </c>
      <c r="BP254" t="s">
        <v>111</v>
      </c>
      <c r="BQ254" t="s">
        <v>111</v>
      </c>
      <c r="BR254" t="s">
        <v>111</v>
      </c>
      <c r="BS254" t="s">
        <v>111</v>
      </c>
      <c r="BT254" t="s">
        <v>111</v>
      </c>
      <c r="BU254" t="s">
        <v>111</v>
      </c>
      <c r="BV254" t="s">
        <v>111</v>
      </c>
      <c r="BW254" t="s">
        <v>111</v>
      </c>
      <c r="BX254" t="s">
        <v>111</v>
      </c>
      <c r="BY254" t="s">
        <v>111</v>
      </c>
      <c r="BZ254" t="s">
        <v>111</v>
      </c>
      <c r="CA254" t="s">
        <v>111</v>
      </c>
      <c r="CB254" t="s">
        <v>111</v>
      </c>
      <c r="CC254" t="s">
        <v>111</v>
      </c>
      <c r="CD254" t="s">
        <v>111</v>
      </c>
      <c r="CE254" t="s">
        <v>111</v>
      </c>
      <c r="CF254" t="s">
        <v>111</v>
      </c>
      <c r="CG254" t="s">
        <v>111</v>
      </c>
      <c r="CH254" t="s">
        <v>111</v>
      </c>
      <c r="CI254" t="s">
        <v>111</v>
      </c>
      <c r="CJ254" t="s">
        <v>111</v>
      </c>
      <c r="CK254" t="s">
        <v>111</v>
      </c>
      <c r="CL254" t="s">
        <v>111</v>
      </c>
      <c r="CM254" t="s">
        <v>135</v>
      </c>
      <c r="CN254" t="s">
        <v>128</v>
      </c>
      <c r="CO254" t="s">
        <v>111</v>
      </c>
      <c r="CP254" t="s">
        <v>111</v>
      </c>
      <c r="CQ254">
        <v>0</v>
      </c>
      <c r="CR254">
        <v>500</v>
      </c>
      <c r="CS254">
        <v>25</v>
      </c>
      <c r="CT254" s="1" t="s">
        <v>986</v>
      </c>
      <c r="CU254">
        <v>0</v>
      </c>
      <c r="CV254" t="s">
        <v>111</v>
      </c>
      <c r="CW254" t="s">
        <v>111</v>
      </c>
      <c r="CX254" t="s">
        <v>111</v>
      </c>
      <c r="CY254">
        <v>0</v>
      </c>
      <c r="CZ254" t="s">
        <v>111</v>
      </c>
      <c r="DA254" t="s">
        <v>111</v>
      </c>
      <c r="DB254" t="s">
        <v>111</v>
      </c>
      <c r="DC254" t="s">
        <v>111</v>
      </c>
    </row>
    <row r="255" spans="1:107">
      <c r="A255">
        <v>1350</v>
      </c>
      <c r="B255" t="s">
        <v>107</v>
      </c>
      <c r="C255" t="s">
        <v>987</v>
      </c>
      <c r="D255" t="s">
        <v>988</v>
      </c>
      <c r="E255" t="s">
        <v>433</v>
      </c>
      <c r="F255" t="s">
        <v>116</v>
      </c>
      <c r="G255" t="s">
        <v>469</v>
      </c>
      <c r="H255">
        <v>1</v>
      </c>
      <c r="I255">
        <v>48</v>
      </c>
      <c r="J255">
        <v>0</v>
      </c>
      <c r="K255">
        <v>0</v>
      </c>
      <c r="L255" t="s">
        <v>117</v>
      </c>
      <c r="M255" t="s">
        <v>111</v>
      </c>
      <c r="N255">
        <v>0</v>
      </c>
      <c r="O255">
        <v>0</v>
      </c>
      <c r="P255" t="s">
        <v>111</v>
      </c>
      <c r="Q255">
        <v>10</v>
      </c>
      <c r="R255">
        <v>0</v>
      </c>
      <c r="S255">
        <v>0</v>
      </c>
      <c r="T255">
        <v>0</v>
      </c>
      <c r="U255" s="1" t="s">
        <v>989</v>
      </c>
      <c r="V255">
        <v>0</v>
      </c>
      <c r="W255">
        <v>25</v>
      </c>
      <c r="X255">
        <v>8</v>
      </c>
      <c r="Y255">
        <v>0</v>
      </c>
      <c r="Z255" t="s">
        <v>990</v>
      </c>
      <c r="AA255">
        <v>1.8</v>
      </c>
      <c r="AB255" t="s">
        <v>111</v>
      </c>
      <c r="AC255">
        <v>0</v>
      </c>
      <c r="AD255" t="s">
        <v>111</v>
      </c>
      <c r="AE255">
        <v>0</v>
      </c>
      <c r="AF255">
        <v>0</v>
      </c>
      <c r="AG255" t="s">
        <v>111</v>
      </c>
      <c r="AH255" t="s">
        <v>111</v>
      </c>
      <c r="AI255" t="s">
        <v>111</v>
      </c>
      <c r="AJ255" t="s">
        <v>111</v>
      </c>
      <c r="AK255" t="s">
        <v>111</v>
      </c>
      <c r="AL255" t="s">
        <v>111</v>
      </c>
      <c r="AM255">
        <v>0</v>
      </c>
      <c r="AN255">
        <v>0</v>
      </c>
      <c r="AO255">
        <v>0</v>
      </c>
      <c r="AP255" t="s">
        <v>111</v>
      </c>
      <c r="AQ255" t="s">
        <v>111</v>
      </c>
      <c r="AR255" t="s">
        <v>111</v>
      </c>
      <c r="AS255" t="s">
        <v>111</v>
      </c>
      <c r="AT255" t="s">
        <v>111</v>
      </c>
      <c r="AU255" t="s">
        <v>111</v>
      </c>
      <c r="AV255" t="s">
        <v>111</v>
      </c>
      <c r="AW255" t="s">
        <v>111</v>
      </c>
      <c r="AX255" t="s">
        <v>111</v>
      </c>
      <c r="AY255" t="s">
        <v>111</v>
      </c>
      <c r="AZ255" t="s">
        <v>111</v>
      </c>
      <c r="BA255" t="s">
        <v>111</v>
      </c>
      <c r="BB255" t="s">
        <v>111</v>
      </c>
      <c r="BC255" t="s">
        <v>111</v>
      </c>
      <c r="BD255" t="s">
        <v>111</v>
      </c>
      <c r="BE255" t="s">
        <v>111</v>
      </c>
      <c r="BF255" t="s">
        <v>111</v>
      </c>
      <c r="BG255" t="s">
        <v>111</v>
      </c>
      <c r="BH255" t="s">
        <v>111</v>
      </c>
      <c r="BI255" t="s">
        <v>111</v>
      </c>
      <c r="BJ255" t="s">
        <v>111</v>
      </c>
      <c r="BK255" t="s">
        <v>111</v>
      </c>
      <c r="BL255" t="s">
        <v>111</v>
      </c>
      <c r="BM255" t="s">
        <v>111</v>
      </c>
      <c r="BN255" t="s">
        <v>111</v>
      </c>
      <c r="BO255" t="s">
        <v>111</v>
      </c>
      <c r="BP255" t="s">
        <v>111</v>
      </c>
      <c r="BQ255" t="s">
        <v>111</v>
      </c>
      <c r="BR255" t="s">
        <v>111</v>
      </c>
      <c r="BS255" t="s">
        <v>111</v>
      </c>
      <c r="BT255" t="s">
        <v>111</v>
      </c>
      <c r="BU255" t="s">
        <v>111</v>
      </c>
      <c r="BV255" t="s">
        <v>111</v>
      </c>
      <c r="BW255" t="s">
        <v>111</v>
      </c>
      <c r="BX255" t="s">
        <v>111</v>
      </c>
      <c r="BY255" t="s">
        <v>111</v>
      </c>
      <c r="BZ255" t="s">
        <v>111</v>
      </c>
      <c r="CA255" t="s">
        <v>111</v>
      </c>
      <c r="CB255" t="s">
        <v>111</v>
      </c>
      <c r="CC255" t="s">
        <v>111</v>
      </c>
      <c r="CD255" t="s">
        <v>111</v>
      </c>
      <c r="CE255" t="s">
        <v>111</v>
      </c>
      <c r="CF255" t="s">
        <v>111</v>
      </c>
      <c r="CG255" t="s">
        <v>111</v>
      </c>
      <c r="CH255" t="s">
        <v>111</v>
      </c>
      <c r="CI255" t="s">
        <v>111</v>
      </c>
      <c r="CJ255" t="s">
        <v>111</v>
      </c>
      <c r="CK255" t="s">
        <v>111</v>
      </c>
      <c r="CL255" t="s">
        <v>111</v>
      </c>
      <c r="CM255" t="s">
        <v>111</v>
      </c>
      <c r="CN255" t="s">
        <v>111</v>
      </c>
      <c r="CO255" t="s">
        <v>111</v>
      </c>
      <c r="CP255" t="s">
        <v>111</v>
      </c>
      <c r="CQ255">
        <v>0</v>
      </c>
      <c r="CR255">
        <v>0</v>
      </c>
      <c r="CS255">
        <v>0</v>
      </c>
      <c r="CT255" t="s">
        <v>111</v>
      </c>
      <c r="CU255">
        <v>0</v>
      </c>
      <c r="CV255" t="s">
        <v>111</v>
      </c>
      <c r="CW255" t="s">
        <v>111</v>
      </c>
      <c r="CX255" t="s">
        <v>111</v>
      </c>
      <c r="CY255">
        <v>0</v>
      </c>
      <c r="CZ255" t="s">
        <v>111</v>
      </c>
      <c r="DA255" t="s">
        <v>111</v>
      </c>
      <c r="DB255" t="s">
        <v>111</v>
      </c>
      <c r="DC255" t="s">
        <v>111</v>
      </c>
    </row>
    <row r="256" spans="1:107">
      <c r="A256">
        <v>1418</v>
      </c>
      <c r="B256" t="s">
        <v>107</v>
      </c>
      <c r="C256" t="s">
        <v>399</v>
      </c>
      <c r="D256" t="s">
        <v>991</v>
      </c>
      <c r="E256" t="s">
        <v>992</v>
      </c>
      <c r="F256" t="s">
        <v>125</v>
      </c>
      <c r="G256" t="s">
        <v>469</v>
      </c>
      <c r="H256">
        <v>0.7</v>
      </c>
      <c r="I256">
        <v>70</v>
      </c>
      <c r="J256">
        <v>0</v>
      </c>
      <c r="K256">
        <v>0</v>
      </c>
      <c r="L256" t="s">
        <v>178</v>
      </c>
      <c r="M256" t="s">
        <v>111</v>
      </c>
      <c r="N256">
        <v>0</v>
      </c>
      <c r="O256">
        <v>0</v>
      </c>
      <c r="P256" t="s">
        <v>111</v>
      </c>
      <c r="Q256">
        <v>50.8</v>
      </c>
      <c r="R256">
        <v>0</v>
      </c>
      <c r="S256">
        <v>0</v>
      </c>
      <c r="T256">
        <v>5</v>
      </c>
      <c r="U256" t="e">
        <f>-DESTINO SELLADO</f>
        <v>#NAME?</v>
      </c>
      <c r="V256">
        <v>25</v>
      </c>
      <c r="W256">
        <v>0</v>
      </c>
      <c r="X256">
        <v>7</v>
      </c>
      <c r="Y256">
        <v>0</v>
      </c>
      <c r="Z256" t="s">
        <v>111</v>
      </c>
      <c r="AA256">
        <v>0</v>
      </c>
      <c r="AB256" t="s">
        <v>111</v>
      </c>
      <c r="AC256">
        <v>0</v>
      </c>
      <c r="AD256" t="s">
        <v>111</v>
      </c>
      <c r="AE256">
        <v>0</v>
      </c>
      <c r="AF256">
        <v>0</v>
      </c>
      <c r="AG256" t="s">
        <v>111</v>
      </c>
      <c r="AH256" t="s">
        <v>111</v>
      </c>
      <c r="AI256" t="s">
        <v>111</v>
      </c>
      <c r="AJ256" t="s">
        <v>111</v>
      </c>
      <c r="AK256" t="s">
        <v>111</v>
      </c>
      <c r="AL256" t="s">
        <v>111</v>
      </c>
      <c r="AM256">
        <v>0</v>
      </c>
      <c r="AN256">
        <v>0</v>
      </c>
      <c r="AO256">
        <v>0</v>
      </c>
      <c r="AP256" t="s">
        <v>111</v>
      </c>
      <c r="AQ256" t="s">
        <v>111</v>
      </c>
      <c r="AR256" t="s">
        <v>111</v>
      </c>
      <c r="AS256" t="s">
        <v>111</v>
      </c>
      <c r="AT256" t="s">
        <v>111</v>
      </c>
      <c r="AU256" t="s">
        <v>111</v>
      </c>
      <c r="AV256" t="s">
        <v>111</v>
      </c>
      <c r="AW256" t="s">
        <v>111</v>
      </c>
      <c r="AX256" t="s">
        <v>111</v>
      </c>
      <c r="AY256" t="s">
        <v>111</v>
      </c>
      <c r="AZ256" t="s">
        <v>111</v>
      </c>
      <c r="BA256" t="s">
        <v>111</v>
      </c>
      <c r="BB256" t="s">
        <v>111</v>
      </c>
      <c r="BC256" t="s">
        <v>111</v>
      </c>
      <c r="BD256" t="s">
        <v>111</v>
      </c>
      <c r="BE256" t="s">
        <v>111</v>
      </c>
      <c r="BF256" t="s">
        <v>111</v>
      </c>
      <c r="BG256" t="s">
        <v>111</v>
      </c>
      <c r="BH256" t="s">
        <v>111</v>
      </c>
      <c r="BI256" t="s">
        <v>111</v>
      </c>
      <c r="BJ256" t="s">
        <v>111</v>
      </c>
      <c r="BK256" t="s">
        <v>111</v>
      </c>
      <c r="BL256" t="s">
        <v>111</v>
      </c>
      <c r="BM256" t="s">
        <v>111</v>
      </c>
      <c r="BN256" t="s">
        <v>111</v>
      </c>
      <c r="BO256" t="s">
        <v>111</v>
      </c>
      <c r="BP256" t="s">
        <v>111</v>
      </c>
      <c r="BQ256" t="s">
        <v>111</v>
      </c>
      <c r="BR256" t="s">
        <v>111</v>
      </c>
      <c r="BS256" t="s">
        <v>111</v>
      </c>
      <c r="BT256" t="s">
        <v>111</v>
      </c>
      <c r="BU256" t="s">
        <v>111</v>
      </c>
      <c r="BV256" t="s">
        <v>111</v>
      </c>
      <c r="BW256" t="s">
        <v>111</v>
      </c>
      <c r="BX256" t="s">
        <v>111</v>
      </c>
      <c r="BY256" t="s">
        <v>111</v>
      </c>
      <c r="BZ256" t="s">
        <v>111</v>
      </c>
      <c r="CA256" t="s">
        <v>111</v>
      </c>
      <c r="CB256" t="s">
        <v>111</v>
      </c>
      <c r="CC256" t="s">
        <v>111</v>
      </c>
      <c r="CD256" t="s">
        <v>111</v>
      </c>
      <c r="CE256" t="s">
        <v>111</v>
      </c>
      <c r="CF256" t="s">
        <v>111</v>
      </c>
      <c r="CG256" t="s">
        <v>111</v>
      </c>
      <c r="CH256" t="s">
        <v>111</v>
      </c>
      <c r="CI256" t="s">
        <v>111</v>
      </c>
      <c r="CJ256" t="s">
        <v>111</v>
      </c>
      <c r="CK256" t="s">
        <v>111</v>
      </c>
      <c r="CL256" t="s">
        <v>111</v>
      </c>
      <c r="CM256" t="s">
        <v>135</v>
      </c>
      <c r="CN256" t="s">
        <v>113</v>
      </c>
      <c r="CO256" t="s">
        <v>111</v>
      </c>
      <c r="CP256" t="s">
        <v>111</v>
      </c>
      <c r="CQ256">
        <v>35</v>
      </c>
      <c r="CR256">
        <v>1000</v>
      </c>
      <c r="CS256">
        <v>100</v>
      </c>
      <c r="CT256" s="1" t="s">
        <v>993</v>
      </c>
      <c r="CU256">
        <v>0</v>
      </c>
      <c r="CV256" t="s">
        <v>111</v>
      </c>
      <c r="CW256" t="s">
        <v>111</v>
      </c>
      <c r="CX256" t="s">
        <v>111</v>
      </c>
      <c r="CY256">
        <v>0</v>
      </c>
      <c r="CZ256" t="s">
        <v>111</v>
      </c>
      <c r="DA256" t="s">
        <v>111</v>
      </c>
      <c r="DB256" t="s">
        <v>111</v>
      </c>
      <c r="DC256" t="s">
        <v>111</v>
      </c>
    </row>
    <row r="257" spans="1:107">
      <c r="A257">
        <v>1445</v>
      </c>
      <c r="B257" t="s">
        <v>107</v>
      </c>
      <c r="C257" t="s">
        <v>405</v>
      </c>
      <c r="D257" t="s">
        <v>994</v>
      </c>
      <c r="E257" t="s">
        <v>995</v>
      </c>
      <c r="F257" t="s">
        <v>996</v>
      </c>
      <c r="G257" t="s">
        <v>469</v>
      </c>
      <c r="H257">
        <v>2.4</v>
      </c>
      <c r="I257">
        <v>90</v>
      </c>
      <c r="J257">
        <v>0</v>
      </c>
      <c r="K257">
        <v>0</v>
      </c>
      <c r="L257" t="s">
        <v>117</v>
      </c>
      <c r="M257" t="s">
        <v>118</v>
      </c>
      <c r="N257">
        <v>40</v>
      </c>
      <c r="O257">
        <v>1</v>
      </c>
      <c r="P257" t="s">
        <v>111</v>
      </c>
      <c r="Q257">
        <v>44.1</v>
      </c>
      <c r="R257">
        <v>0</v>
      </c>
      <c r="S257">
        <v>0</v>
      </c>
      <c r="T257">
        <v>0</v>
      </c>
      <c r="U257" s="1" t="s">
        <v>997</v>
      </c>
      <c r="V257">
        <v>0</v>
      </c>
      <c r="W257">
        <v>25</v>
      </c>
      <c r="X257">
        <v>5</v>
      </c>
      <c r="Y257">
        <v>0</v>
      </c>
      <c r="Z257" t="s">
        <v>288</v>
      </c>
      <c r="AA257">
        <v>1.2</v>
      </c>
      <c r="AB257" t="s">
        <v>111</v>
      </c>
      <c r="AC257">
        <v>0</v>
      </c>
      <c r="AD257" t="s">
        <v>111</v>
      </c>
      <c r="AE257">
        <v>0</v>
      </c>
      <c r="AF257">
        <v>0</v>
      </c>
      <c r="AG257" t="s">
        <v>111</v>
      </c>
      <c r="AH257" t="s">
        <v>111</v>
      </c>
      <c r="AI257" t="s">
        <v>111</v>
      </c>
      <c r="AJ257" t="s">
        <v>111</v>
      </c>
      <c r="AK257" t="s">
        <v>111</v>
      </c>
      <c r="AL257" t="s">
        <v>111</v>
      </c>
      <c r="AM257">
        <v>0</v>
      </c>
      <c r="AN257">
        <v>0</v>
      </c>
      <c r="AO257">
        <v>0</v>
      </c>
      <c r="AP257" t="s">
        <v>111</v>
      </c>
      <c r="AQ257" t="s">
        <v>111</v>
      </c>
      <c r="AR257" t="s">
        <v>111</v>
      </c>
      <c r="AS257" t="s">
        <v>111</v>
      </c>
      <c r="AT257" t="s">
        <v>111</v>
      </c>
      <c r="AU257" t="s">
        <v>111</v>
      </c>
      <c r="AV257" t="s">
        <v>111</v>
      </c>
      <c r="AW257" t="s">
        <v>111</v>
      </c>
      <c r="AX257" t="s">
        <v>111</v>
      </c>
      <c r="AY257" t="s">
        <v>111</v>
      </c>
      <c r="AZ257" t="s">
        <v>111</v>
      </c>
      <c r="BA257" t="s">
        <v>111</v>
      </c>
      <c r="BB257" t="s">
        <v>111</v>
      </c>
      <c r="BC257" t="s">
        <v>111</v>
      </c>
      <c r="BD257" t="s">
        <v>111</v>
      </c>
      <c r="BE257" t="s">
        <v>111</v>
      </c>
      <c r="BF257" t="s">
        <v>111</v>
      </c>
      <c r="BG257" t="s">
        <v>111</v>
      </c>
      <c r="BH257" t="s">
        <v>111</v>
      </c>
      <c r="BI257" t="s">
        <v>111</v>
      </c>
      <c r="BJ257" t="s">
        <v>111</v>
      </c>
      <c r="BK257" t="s">
        <v>111</v>
      </c>
      <c r="BL257" t="s">
        <v>111</v>
      </c>
      <c r="BM257" t="s">
        <v>111</v>
      </c>
      <c r="BN257" t="s">
        <v>111</v>
      </c>
      <c r="BO257" t="s">
        <v>111</v>
      </c>
      <c r="BP257" t="s">
        <v>111</v>
      </c>
      <c r="BQ257" t="s">
        <v>111</v>
      </c>
      <c r="BR257" t="s">
        <v>111</v>
      </c>
      <c r="BS257" t="s">
        <v>111</v>
      </c>
      <c r="BT257" t="s">
        <v>111</v>
      </c>
      <c r="BU257" t="s">
        <v>111</v>
      </c>
      <c r="BV257" t="s">
        <v>111</v>
      </c>
      <c r="BW257" t="s">
        <v>111</v>
      </c>
      <c r="BX257" t="s">
        <v>111</v>
      </c>
      <c r="BY257" t="s">
        <v>111</v>
      </c>
      <c r="BZ257" t="s">
        <v>111</v>
      </c>
      <c r="CA257" t="s">
        <v>111</v>
      </c>
      <c r="CB257" t="s">
        <v>111</v>
      </c>
      <c r="CC257" t="s">
        <v>111</v>
      </c>
      <c r="CD257" t="s">
        <v>111</v>
      </c>
      <c r="CE257" t="s">
        <v>111</v>
      </c>
      <c r="CF257" t="s">
        <v>111</v>
      </c>
      <c r="CG257" t="s">
        <v>111</v>
      </c>
      <c r="CH257" t="s">
        <v>111</v>
      </c>
      <c r="CI257" t="s">
        <v>111</v>
      </c>
      <c r="CJ257" t="s">
        <v>111</v>
      </c>
      <c r="CK257" t="s">
        <v>111</v>
      </c>
      <c r="CL257" t="s">
        <v>111</v>
      </c>
      <c r="CM257" t="s">
        <v>111</v>
      </c>
      <c r="CN257" t="s">
        <v>111</v>
      </c>
      <c r="CO257" t="s">
        <v>111</v>
      </c>
      <c r="CP257" t="s">
        <v>111</v>
      </c>
      <c r="CQ257">
        <v>0</v>
      </c>
      <c r="CR257">
        <v>0</v>
      </c>
      <c r="CS257">
        <v>0</v>
      </c>
      <c r="CT257" t="s">
        <v>111</v>
      </c>
      <c r="CU257">
        <v>0</v>
      </c>
      <c r="CV257" t="s">
        <v>111</v>
      </c>
      <c r="CW257" t="s">
        <v>111</v>
      </c>
      <c r="CX257" t="s">
        <v>111</v>
      </c>
      <c r="CY257">
        <v>0</v>
      </c>
      <c r="CZ257" t="s">
        <v>111</v>
      </c>
      <c r="DA257" t="s">
        <v>111</v>
      </c>
      <c r="DB257" t="s">
        <v>111</v>
      </c>
      <c r="DC257" t="s">
        <v>111</v>
      </c>
    </row>
    <row r="258" spans="1:107">
      <c r="A258">
        <v>1444</v>
      </c>
      <c r="B258" t="s">
        <v>107</v>
      </c>
      <c r="C258" t="s">
        <v>154</v>
      </c>
      <c r="D258" t="s">
        <v>998</v>
      </c>
      <c r="E258" t="s">
        <v>999</v>
      </c>
      <c r="F258" t="s">
        <v>157</v>
      </c>
      <c r="G258" t="s">
        <v>469</v>
      </c>
      <c r="H258">
        <v>1.7</v>
      </c>
      <c r="I258">
        <v>86</v>
      </c>
      <c r="J258">
        <v>0</v>
      </c>
      <c r="K258">
        <v>0</v>
      </c>
      <c r="L258" t="s">
        <v>112</v>
      </c>
      <c r="M258" t="s">
        <v>111</v>
      </c>
      <c r="N258">
        <v>0</v>
      </c>
      <c r="O258">
        <v>0</v>
      </c>
      <c r="P258" t="s">
        <v>111</v>
      </c>
      <c r="Q258">
        <v>50</v>
      </c>
      <c r="R258">
        <v>0</v>
      </c>
      <c r="S258">
        <v>0</v>
      </c>
      <c r="T258">
        <v>0</v>
      </c>
      <c r="U258" t="e">
        <f>-ALMACAEN</f>
        <v>#NAME?</v>
      </c>
      <c r="V258">
        <v>25</v>
      </c>
      <c r="W258">
        <v>0</v>
      </c>
      <c r="X258">
        <v>250</v>
      </c>
      <c r="Y258">
        <v>0</v>
      </c>
      <c r="Z258" t="s">
        <v>111</v>
      </c>
      <c r="AA258">
        <v>0</v>
      </c>
      <c r="AB258" t="s">
        <v>1000</v>
      </c>
      <c r="AC258">
        <v>25</v>
      </c>
      <c r="AD258" t="s">
        <v>111</v>
      </c>
      <c r="AE258">
        <v>0</v>
      </c>
      <c r="AF258">
        <v>0</v>
      </c>
      <c r="AG258" t="s">
        <v>111</v>
      </c>
      <c r="AH258" t="s">
        <v>111</v>
      </c>
      <c r="AI258" t="s">
        <v>111</v>
      </c>
      <c r="AJ258" t="s">
        <v>111</v>
      </c>
      <c r="AK258" t="s">
        <v>111</v>
      </c>
      <c r="AL258" t="s">
        <v>111</v>
      </c>
      <c r="AM258">
        <v>0</v>
      </c>
      <c r="AN258">
        <v>0</v>
      </c>
      <c r="AO258">
        <v>0</v>
      </c>
      <c r="AP258" t="s">
        <v>111</v>
      </c>
      <c r="AQ258" t="s">
        <v>111</v>
      </c>
      <c r="AR258" t="s">
        <v>111</v>
      </c>
      <c r="AS258" t="s">
        <v>111</v>
      </c>
      <c r="AT258" t="s">
        <v>111</v>
      </c>
      <c r="AU258" t="s">
        <v>111</v>
      </c>
      <c r="AV258" t="s">
        <v>111</v>
      </c>
      <c r="AW258" t="s">
        <v>111</v>
      </c>
      <c r="AX258" t="s">
        <v>111</v>
      </c>
      <c r="AY258" t="s">
        <v>111</v>
      </c>
      <c r="AZ258" t="s">
        <v>111</v>
      </c>
      <c r="BA258" t="s">
        <v>111</v>
      </c>
      <c r="BB258" t="s">
        <v>111</v>
      </c>
      <c r="BC258" t="s">
        <v>111</v>
      </c>
      <c r="BD258" t="s">
        <v>111</v>
      </c>
      <c r="BE258" t="s">
        <v>111</v>
      </c>
      <c r="BF258" t="s">
        <v>111</v>
      </c>
      <c r="BG258" t="s">
        <v>111</v>
      </c>
      <c r="BH258" t="s">
        <v>111</v>
      </c>
      <c r="BI258" t="s">
        <v>111</v>
      </c>
      <c r="BJ258" t="s">
        <v>111</v>
      </c>
      <c r="BK258" t="s">
        <v>111</v>
      </c>
      <c r="BL258" t="s">
        <v>111</v>
      </c>
      <c r="BM258" t="s">
        <v>111</v>
      </c>
      <c r="BN258" t="s">
        <v>111</v>
      </c>
      <c r="BO258" t="s">
        <v>111</v>
      </c>
      <c r="BP258" t="s">
        <v>111</v>
      </c>
      <c r="BQ258" t="s">
        <v>111</v>
      </c>
      <c r="BR258" t="s">
        <v>111</v>
      </c>
      <c r="BS258" t="s">
        <v>111</v>
      </c>
      <c r="BT258" t="s">
        <v>111</v>
      </c>
      <c r="BU258" t="s">
        <v>111</v>
      </c>
      <c r="BV258" t="s">
        <v>111</v>
      </c>
      <c r="BW258" t="s">
        <v>111</v>
      </c>
      <c r="BX258" t="s">
        <v>111</v>
      </c>
      <c r="BY258" t="s">
        <v>111</v>
      </c>
      <c r="BZ258" t="s">
        <v>111</v>
      </c>
      <c r="CA258" t="s">
        <v>111</v>
      </c>
      <c r="CB258" t="s">
        <v>111</v>
      </c>
      <c r="CC258" t="s">
        <v>111</v>
      </c>
      <c r="CD258" t="s">
        <v>111</v>
      </c>
      <c r="CE258" t="s">
        <v>111</v>
      </c>
      <c r="CF258" t="s">
        <v>111</v>
      </c>
      <c r="CG258" t="s">
        <v>111</v>
      </c>
      <c r="CH258" t="s">
        <v>111</v>
      </c>
      <c r="CI258" t="s">
        <v>111</v>
      </c>
      <c r="CJ258" t="s">
        <v>111</v>
      </c>
      <c r="CK258" t="s">
        <v>111</v>
      </c>
      <c r="CL258" t="s">
        <v>111</v>
      </c>
      <c r="CM258" t="s">
        <v>111</v>
      </c>
      <c r="CN258" t="s">
        <v>111</v>
      </c>
      <c r="CO258" t="s">
        <v>111</v>
      </c>
      <c r="CP258" t="s">
        <v>111</v>
      </c>
      <c r="CQ258">
        <v>0</v>
      </c>
      <c r="CR258">
        <v>0</v>
      </c>
      <c r="CS258">
        <v>0</v>
      </c>
      <c r="CT258" t="s">
        <v>111</v>
      </c>
      <c r="CU258">
        <v>0</v>
      </c>
      <c r="CV258" t="s">
        <v>111</v>
      </c>
      <c r="CW258" t="s">
        <v>111</v>
      </c>
      <c r="CX258" t="s">
        <v>111</v>
      </c>
      <c r="CY258">
        <v>0</v>
      </c>
      <c r="CZ258" t="s">
        <v>111</v>
      </c>
      <c r="DA258" t="s">
        <v>111</v>
      </c>
      <c r="DB258" t="s">
        <v>111</v>
      </c>
      <c r="DC258" t="s">
        <v>111</v>
      </c>
    </row>
    <row r="259" spans="1:107">
      <c r="A259">
        <v>1516</v>
      </c>
      <c r="B259" t="s">
        <v>107</v>
      </c>
      <c r="C259" t="s">
        <v>428</v>
      </c>
      <c r="D259" t="s">
        <v>1001</v>
      </c>
      <c r="E259" t="s">
        <v>1002</v>
      </c>
      <c r="F259" t="s">
        <v>370</v>
      </c>
      <c r="G259" t="s">
        <v>469</v>
      </c>
      <c r="H259">
        <v>1.5</v>
      </c>
      <c r="I259">
        <v>42</v>
      </c>
      <c r="J259">
        <v>0</v>
      </c>
      <c r="K259">
        <v>0</v>
      </c>
      <c r="L259" t="s">
        <v>112</v>
      </c>
      <c r="M259" t="s">
        <v>118</v>
      </c>
      <c r="N259">
        <v>39</v>
      </c>
      <c r="O259">
        <v>2</v>
      </c>
      <c r="P259" t="s">
        <v>111</v>
      </c>
      <c r="Q259">
        <v>48.5</v>
      </c>
      <c r="R259">
        <v>0</v>
      </c>
      <c r="S259">
        <v>0</v>
      </c>
      <c r="T259">
        <v>5</v>
      </c>
      <c r="U259" s="1" t="s">
        <v>906</v>
      </c>
      <c r="V259">
        <v>25</v>
      </c>
      <c r="W259">
        <v>0</v>
      </c>
      <c r="X259">
        <v>8</v>
      </c>
      <c r="Y259">
        <v>0</v>
      </c>
      <c r="Z259" t="s">
        <v>288</v>
      </c>
      <c r="AA259">
        <v>1.5</v>
      </c>
      <c r="AB259" t="s">
        <v>111</v>
      </c>
      <c r="AC259">
        <v>0</v>
      </c>
      <c r="AD259" t="s">
        <v>416</v>
      </c>
      <c r="AE259">
        <v>0</v>
      </c>
      <c r="AF259">
        <v>0</v>
      </c>
      <c r="AG259" t="s">
        <v>111</v>
      </c>
      <c r="AH259" t="s">
        <v>113</v>
      </c>
      <c r="AI259" t="s">
        <v>111</v>
      </c>
      <c r="AJ259" t="s">
        <v>111</v>
      </c>
      <c r="AK259" t="s">
        <v>111</v>
      </c>
      <c r="AL259" t="s">
        <v>111</v>
      </c>
      <c r="AM259">
        <v>0</v>
      </c>
      <c r="AN259">
        <v>0</v>
      </c>
      <c r="AO259">
        <v>0</v>
      </c>
      <c r="AP259" t="s">
        <v>111</v>
      </c>
      <c r="AQ259" t="s">
        <v>111</v>
      </c>
      <c r="AR259" t="s">
        <v>111</v>
      </c>
      <c r="AS259" t="s">
        <v>111</v>
      </c>
      <c r="AT259" t="s">
        <v>111</v>
      </c>
      <c r="AU259" t="s">
        <v>111</v>
      </c>
      <c r="AV259" t="s">
        <v>111</v>
      </c>
      <c r="AW259" t="s">
        <v>111</v>
      </c>
      <c r="AX259" t="s">
        <v>111</v>
      </c>
      <c r="AY259" t="s">
        <v>111</v>
      </c>
      <c r="AZ259" t="s">
        <v>111</v>
      </c>
      <c r="BA259" t="s">
        <v>111</v>
      </c>
      <c r="BB259" t="s">
        <v>111</v>
      </c>
      <c r="BC259" t="s">
        <v>111</v>
      </c>
      <c r="BD259" t="s">
        <v>111</v>
      </c>
      <c r="BE259" t="s">
        <v>111</v>
      </c>
      <c r="BF259" t="s">
        <v>111</v>
      </c>
      <c r="BG259" t="s">
        <v>111</v>
      </c>
      <c r="BH259" t="s">
        <v>111</v>
      </c>
      <c r="BI259" t="s">
        <v>111</v>
      </c>
      <c r="BJ259" t="s">
        <v>111</v>
      </c>
      <c r="BK259" t="s">
        <v>111</v>
      </c>
      <c r="BL259" t="s">
        <v>111</v>
      </c>
      <c r="BM259" t="s">
        <v>111</v>
      </c>
      <c r="BN259" t="s">
        <v>111</v>
      </c>
      <c r="BO259" t="s">
        <v>111</v>
      </c>
      <c r="BP259" t="s">
        <v>111</v>
      </c>
      <c r="BQ259" t="s">
        <v>111</v>
      </c>
      <c r="BR259" t="s">
        <v>111</v>
      </c>
      <c r="BS259" t="s">
        <v>111</v>
      </c>
      <c r="BT259" t="s">
        <v>111</v>
      </c>
      <c r="BU259" t="s">
        <v>111</v>
      </c>
      <c r="BV259" t="s">
        <v>111</v>
      </c>
      <c r="BW259" t="s">
        <v>111</v>
      </c>
      <c r="BX259" t="s">
        <v>111</v>
      </c>
      <c r="BY259" t="s">
        <v>111</v>
      </c>
      <c r="BZ259" t="s">
        <v>111</v>
      </c>
      <c r="CA259" t="s">
        <v>111</v>
      </c>
      <c r="CB259" t="s">
        <v>111</v>
      </c>
      <c r="CC259" t="s">
        <v>111</v>
      </c>
      <c r="CD259" t="s">
        <v>111</v>
      </c>
      <c r="CE259" t="s">
        <v>111</v>
      </c>
      <c r="CF259" t="s">
        <v>111</v>
      </c>
      <c r="CG259" t="s">
        <v>111</v>
      </c>
      <c r="CH259" t="s">
        <v>111</v>
      </c>
      <c r="CI259" t="s">
        <v>111</v>
      </c>
      <c r="CJ259" t="s">
        <v>111</v>
      </c>
      <c r="CK259" t="s">
        <v>111</v>
      </c>
      <c r="CL259" t="s">
        <v>111</v>
      </c>
      <c r="CM259" t="s">
        <v>360</v>
      </c>
      <c r="CN259" t="s">
        <v>113</v>
      </c>
      <c r="CO259" t="s">
        <v>367</v>
      </c>
      <c r="CP259" t="e">
        <f>-MUESTRA</f>
        <v>#NAME?</v>
      </c>
      <c r="CQ259">
        <v>0</v>
      </c>
      <c r="CR259">
        <v>2000</v>
      </c>
      <c r="CS259">
        <v>50</v>
      </c>
      <c r="CT259" s="1" t="s">
        <v>1003</v>
      </c>
      <c r="CU259">
        <v>0</v>
      </c>
      <c r="CV259" t="s">
        <v>111</v>
      </c>
      <c r="CW259" t="s">
        <v>111</v>
      </c>
      <c r="CX259" t="s">
        <v>111</v>
      </c>
      <c r="CY259">
        <v>0</v>
      </c>
      <c r="CZ259" t="s">
        <v>111</v>
      </c>
      <c r="DA259" t="s">
        <v>111</v>
      </c>
      <c r="DB259" t="e">
        <f>-INTERNO</f>
        <v>#NAME?</v>
      </c>
      <c r="DC259" t="e">
        <f>-TROQEL RIÑON</f>
        <v>#NAME?</v>
      </c>
    </row>
    <row r="260" spans="1:107">
      <c r="A260">
        <v>1514</v>
      </c>
      <c r="B260" t="s">
        <v>107</v>
      </c>
      <c r="C260" t="s">
        <v>899</v>
      </c>
      <c r="D260" t="s">
        <v>1004</v>
      </c>
      <c r="E260" t="s">
        <v>1005</v>
      </c>
      <c r="F260" t="s">
        <v>370</v>
      </c>
      <c r="G260" t="s">
        <v>469</v>
      </c>
      <c r="H260">
        <v>1.9</v>
      </c>
      <c r="I260">
        <v>40</v>
      </c>
      <c r="J260">
        <v>5</v>
      </c>
      <c r="K260">
        <v>7</v>
      </c>
      <c r="L260" t="s">
        <v>112</v>
      </c>
      <c r="M260" t="s">
        <v>118</v>
      </c>
      <c r="N260">
        <v>39</v>
      </c>
      <c r="O260">
        <v>2</v>
      </c>
      <c r="P260" t="s">
        <v>111</v>
      </c>
      <c r="Q260">
        <v>41.3</v>
      </c>
      <c r="R260">
        <v>0</v>
      </c>
      <c r="S260">
        <v>0</v>
      </c>
      <c r="T260">
        <v>5</v>
      </c>
      <c r="U260" s="1" t="s">
        <v>784</v>
      </c>
      <c r="V260">
        <v>25</v>
      </c>
      <c r="W260">
        <v>0</v>
      </c>
      <c r="X260">
        <v>8</v>
      </c>
      <c r="Y260">
        <v>0</v>
      </c>
      <c r="Z260" t="s">
        <v>288</v>
      </c>
      <c r="AA260">
        <v>1.2</v>
      </c>
      <c r="AB260" t="s">
        <v>111</v>
      </c>
      <c r="AC260">
        <v>0</v>
      </c>
      <c r="AD260" t="s">
        <v>416</v>
      </c>
      <c r="AE260">
        <v>0</v>
      </c>
      <c r="AF260">
        <v>0</v>
      </c>
      <c r="AG260" t="s">
        <v>111</v>
      </c>
      <c r="AH260" t="s">
        <v>113</v>
      </c>
      <c r="AI260" t="s">
        <v>111</v>
      </c>
      <c r="AJ260" t="s">
        <v>111</v>
      </c>
      <c r="AK260" t="s">
        <v>111</v>
      </c>
      <c r="AL260" t="s">
        <v>111</v>
      </c>
      <c r="AM260">
        <v>0</v>
      </c>
      <c r="AN260">
        <v>0</v>
      </c>
      <c r="AO260">
        <v>0</v>
      </c>
      <c r="AP260" t="s">
        <v>111</v>
      </c>
      <c r="AQ260" t="s">
        <v>111</v>
      </c>
      <c r="AR260" t="s">
        <v>111</v>
      </c>
      <c r="AS260" t="s">
        <v>111</v>
      </c>
      <c r="AT260" t="s">
        <v>111</v>
      </c>
      <c r="AU260" t="s">
        <v>111</v>
      </c>
      <c r="AV260" t="s">
        <v>111</v>
      </c>
      <c r="AW260" t="s">
        <v>111</v>
      </c>
      <c r="AX260" t="s">
        <v>111</v>
      </c>
      <c r="AY260" t="s">
        <v>111</v>
      </c>
      <c r="AZ260" t="s">
        <v>111</v>
      </c>
      <c r="BA260" t="s">
        <v>111</v>
      </c>
      <c r="BB260" t="s">
        <v>111</v>
      </c>
      <c r="BC260" t="s">
        <v>111</v>
      </c>
      <c r="BD260" t="s">
        <v>111</v>
      </c>
      <c r="BE260" t="s">
        <v>111</v>
      </c>
      <c r="BF260" t="s">
        <v>111</v>
      </c>
      <c r="BG260" t="s">
        <v>111</v>
      </c>
      <c r="BH260" t="s">
        <v>111</v>
      </c>
      <c r="BI260" t="s">
        <v>111</v>
      </c>
      <c r="BJ260" t="s">
        <v>111</v>
      </c>
      <c r="BK260" t="s">
        <v>111</v>
      </c>
      <c r="BL260" t="s">
        <v>111</v>
      </c>
      <c r="BM260" t="s">
        <v>111</v>
      </c>
      <c r="BN260" t="s">
        <v>111</v>
      </c>
      <c r="BO260" t="s">
        <v>111</v>
      </c>
      <c r="BP260" t="s">
        <v>111</v>
      </c>
      <c r="BQ260" t="s">
        <v>111</v>
      </c>
      <c r="BR260" t="s">
        <v>111</v>
      </c>
      <c r="BS260" t="s">
        <v>111</v>
      </c>
      <c r="BT260" t="s">
        <v>111</v>
      </c>
      <c r="BU260" t="s">
        <v>111</v>
      </c>
      <c r="BV260" t="s">
        <v>111</v>
      </c>
      <c r="BW260" t="s">
        <v>111</v>
      </c>
      <c r="BX260" t="s">
        <v>111</v>
      </c>
      <c r="BY260" t="s">
        <v>111</v>
      </c>
      <c r="BZ260" t="s">
        <v>111</v>
      </c>
      <c r="CA260" t="s">
        <v>111</v>
      </c>
      <c r="CB260" t="s">
        <v>111</v>
      </c>
      <c r="CC260" t="s">
        <v>111</v>
      </c>
      <c r="CD260" t="s">
        <v>111</v>
      </c>
      <c r="CE260" t="s">
        <v>111</v>
      </c>
      <c r="CF260" t="s">
        <v>111</v>
      </c>
      <c r="CG260" t="s">
        <v>111</v>
      </c>
      <c r="CH260" t="s">
        <v>111</v>
      </c>
      <c r="CI260" t="s">
        <v>111</v>
      </c>
      <c r="CJ260" t="s">
        <v>111</v>
      </c>
      <c r="CK260" t="s">
        <v>111</v>
      </c>
      <c r="CL260" t="s">
        <v>111</v>
      </c>
      <c r="CM260" t="s">
        <v>360</v>
      </c>
      <c r="CN260" t="s">
        <v>113</v>
      </c>
      <c r="CO260" t="s">
        <v>367</v>
      </c>
      <c r="CP260" t="e">
        <f>-MUESTRA</f>
        <v>#NAME?</v>
      </c>
      <c r="CQ260">
        <v>0</v>
      </c>
      <c r="CR260">
        <v>2000</v>
      </c>
      <c r="CS260">
        <v>50</v>
      </c>
      <c r="CT260" s="1" t="s">
        <v>1006</v>
      </c>
      <c r="CU260">
        <v>0</v>
      </c>
      <c r="CV260" t="s">
        <v>111</v>
      </c>
      <c r="CW260" t="s">
        <v>111</v>
      </c>
      <c r="CX260" t="s">
        <v>111</v>
      </c>
      <c r="CY260">
        <v>0</v>
      </c>
      <c r="CZ260" t="s">
        <v>111</v>
      </c>
      <c r="DA260" t="s">
        <v>111</v>
      </c>
      <c r="DB260" t="e">
        <f>-INTERNA</f>
        <v>#NAME?</v>
      </c>
      <c r="DC260" t="e">
        <f>-TROQUEL RIÑON</f>
        <v>#NAME?</v>
      </c>
    </row>
    <row r="261" spans="1:107">
      <c r="A261">
        <v>1510</v>
      </c>
      <c r="B261" t="s">
        <v>107</v>
      </c>
      <c r="C261" t="s">
        <v>111</v>
      </c>
      <c r="D261" t="s">
        <v>1007</v>
      </c>
      <c r="E261" t="s">
        <v>1008</v>
      </c>
      <c r="F261" t="s">
        <v>858</v>
      </c>
      <c r="G261" t="s">
        <v>469</v>
      </c>
      <c r="H261">
        <v>3.5</v>
      </c>
      <c r="I261">
        <v>37</v>
      </c>
      <c r="J261">
        <v>0</v>
      </c>
      <c r="K261">
        <v>0</v>
      </c>
      <c r="L261" t="s">
        <v>112</v>
      </c>
      <c r="M261" t="s">
        <v>118</v>
      </c>
      <c r="N261">
        <v>39</v>
      </c>
      <c r="O261">
        <v>2</v>
      </c>
      <c r="P261" t="s">
        <v>138</v>
      </c>
      <c r="Q261">
        <v>46.7</v>
      </c>
      <c r="R261">
        <v>0</v>
      </c>
      <c r="S261">
        <v>0</v>
      </c>
      <c r="T261">
        <v>5</v>
      </c>
      <c r="U261" s="1" t="s">
        <v>1009</v>
      </c>
      <c r="V261">
        <v>250</v>
      </c>
      <c r="W261">
        <v>0</v>
      </c>
      <c r="X261">
        <v>8</v>
      </c>
      <c r="Y261">
        <v>0</v>
      </c>
      <c r="Z261" t="s">
        <v>271</v>
      </c>
      <c r="AA261">
        <v>0.8</v>
      </c>
      <c r="AB261" t="s">
        <v>111</v>
      </c>
      <c r="AC261">
        <v>0</v>
      </c>
      <c r="AD261" t="s">
        <v>416</v>
      </c>
      <c r="AE261">
        <v>0</v>
      </c>
      <c r="AF261">
        <v>0</v>
      </c>
      <c r="AG261" t="s">
        <v>111</v>
      </c>
      <c r="AH261" t="s">
        <v>113</v>
      </c>
      <c r="AI261" t="s">
        <v>111</v>
      </c>
      <c r="AJ261" t="s">
        <v>111</v>
      </c>
      <c r="AK261" t="s">
        <v>111</v>
      </c>
      <c r="AL261" t="s">
        <v>111</v>
      </c>
      <c r="AM261">
        <v>0</v>
      </c>
      <c r="AN261">
        <v>0</v>
      </c>
      <c r="AO261">
        <v>0</v>
      </c>
      <c r="AP261" t="s">
        <v>111</v>
      </c>
      <c r="AQ261" t="s">
        <v>111</v>
      </c>
      <c r="AR261" t="s">
        <v>111</v>
      </c>
      <c r="AS261" t="s">
        <v>111</v>
      </c>
      <c r="AT261" t="s">
        <v>111</v>
      </c>
      <c r="AU261" t="s">
        <v>111</v>
      </c>
      <c r="AV261" t="s">
        <v>111</v>
      </c>
      <c r="AW261" t="s">
        <v>111</v>
      </c>
      <c r="AX261" t="s">
        <v>111</v>
      </c>
      <c r="AY261" t="s">
        <v>111</v>
      </c>
      <c r="AZ261" t="s">
        <v>111</v>
      </c>
      <c r="BA261" t="s">
        <v>111</v>
      </c>
      <c r="BB261" t="s">
        <v>111</v>
      </c>
      <c r="BC261" t="s">
        <v>111</v>
      </c>
      <c r="BD261" t="s">
        <v>111</v>
      </c>
      <c r="BE261" t="s">
        <v>111</v>
      </c>
      <c r="BF261" t="s">
        <v>111</v>
      </c>
      <c r="BG261" t="s">
        <v>111</v>
      </c>
      <c r="BH261" t="s">
        <v>111</v>
      </c>
      <c r="BI261" t="s">
        <v>111</v>
      </c>
      <c r="BJ261" t="s">
        <v>111</v>
      </c>
      <c r="BK261" t="s">
        <v>111</v>
      </c>
      <c r="BL261" t="s">
        <v>111</v>
      </c>
      <c r="BM261" t="s">
        <v>111</v>
      </c>
      <c r="BN261" t="s">
        <v>111</v>
      </c>
      <c r="BO261" t="s">
        <v>111</v>
      </c>
      <c r="BP261" t="s">
        <v>111</v>
      </c>
      <c r="BQ261" t="s">
        <v>111</v>
      </c>
      <c r="BR261" t="s">
        <v>111</v>
      </c>
      <c r="BS261" t="s">
        <v>111</v>
      </c>
      <c r="BT261" t="s">
        <v>111</v>
      </c>
      <c r="BU261" t="s">
        <v>111</v>
      </c>
      <c r="BV261" t="s">
        <v>111</v>
      </c>
      <c r="BW261" t="s">
        <v>111</v>
      </c>
      <c r="BX261" t="s">
        <v>111</v>
      </c>
      <c r="BY261" t="s">
        <v>111</v>
      </c>
      <c r="BZ261" t="s">
        <v>111</v>
      </c>
      <c r="CA261" t="s">
        <v>111</v>
      </c>
      <c r="CB261" t="s">
        <v>111</v>
      </c>
      <c r="CC261" t="s">
        <v>111</v>
      </c>
      <c r="CD261" t="s">
        <v>111</v>
      </c>
      <c r="CE261" t="s">
        <v>111</v>
      </c>
      <c r="CF261" t="s">
        <v>111</v>
      </c>
      <c r="CG261" t="s">
        <v>111</v>
      </c>
      <c r="CH261" t="s">
        <v>111</v>
      </c>
      <c r="CI261" t="s">
        <v>111</v>
      </c>
      <c r="CJ261" t="s">
        <v>111</v>
      </c>
      <c r="CK261" t="s">
        <v>111</v>
      </c>
      <c r="CL261" t="s">
        <v>111</v>
      </c>
      <c r="CM261" t="s">
        <v>135</v>
      </c>
      <c r="CN261" t="s">
        <v>113</v>
      </c>
      <c r="CO261" t="s">
        <v>111</v>
      </c>
      <c r="CP261" t="s">
        <v>111</v>
      </c>
      <c r="CQ261">
        <v>0</v>
      </c>
      <c r="CR261">
        <v>1000</v>
      </c>
      <c r="CS261">
        <v>50</v>
      </c>
      <c r="CT261" t="e">
        <f>-MANUALES</f>
        <v>#NAME?</v>
      </c>
      <c r="CU261">
        <v>0</v>
      </c>
      <c r="CV261" t="s">
        <v>111</v>
      </c>
      <c r="CW261" t="s">
        <v>111</v>
      </c>
      <c r="CX261" t="s">
        <v>111</v>
      </c>
      <c r="CY261">
        <v>0</v>
      </c>
      <c r="CZ261" t="s">
        <v>111</v>
      </c>
      <c r="DA261" t="s">
        <v>111</v>
      </c>
      <c r="DB261" t="e">
        <f>-EXTERNO</f>
        <v>#NAME?</v>
      </c>
      <c r="DC261" t="e">
        <f>-TIRA ROJA</f>
        <v>#NAME?</v>
      </c>
    </row>
    <row r="262" spans="1:107">
      <c r="A262">
        <v>1509</v>
      </c>
      <c r="B262" t="s">
        <v>107</v>
      </c>
      <c r="C262" t="s">
        <v>174</v>
      </c>
      <c r="D262" t="s">
        <v>1010</v>
      </c>
      <c r="E262" t="s">
        <v>1011</v>
      </c>
      <c r="F262" t="s">
        <v>192</v>
      </c>
      <c r="G262" t="s">
        <v>469</v>
      </c>
      <c r="H262">
        <v>2.9</v>
      </c>
      <c r="I262">
        <v>37</v>
      </c>
      <c r="J262">
        <v>0</v>
      </c>
      <c r="K262">
        <v>0</v>
      </c>
      <c r="L262" t="s">
        <v>112</v>
      </c>
      <c r="M262" t="s">
        <v>111</v>
      </c>
      <c r="N262">
        <v>0</v>
      </c>
      <c r="O262">
        <v>0</v>
      </c>
      <c r="P262" t="s">
        <v>111</v>
      </c>
      <c r="Q262">
        <v>26.6</v>
      </c>
      <c r="R262">
        <v>0</v>
      </c>
      <c r="S262">
        <v>0</v>
      </c>
      <c r="T262">
        <v>5</v>
      </c>
      <c r="U262" t="e">
        <f>-SELADO</f>
        <v>#NAME?</v>
      </c>
      <c r="V262">
        <v>0</v>
      </c>
      <c r="W262">
        <v>25</v>
      </c>
      <c r="X262">
        <v>8</v>
      </c>
      <c r="Y262">
        <v>0</v>
      </c>
      <c r="Z262" t="s">
        <v>111</v>
      </c>
      <c r="AA262">
        <v>0</v>
      </c>
      <c r="AB262" t="s">
        <v>111</v>
      </c>
      <c r="AC262">
        <v>0</v>
      </c>
      <c r="AD262" t="s">
        <v>111</v>
      </c>
      <c r="AE262">
        <v>0</v>
      </c>
      <c r="AF262">
        <v>0</v>
      </c>
      <c r="AG262" t="s">
        <v>111</v>
      </c>
      <c r="AH262" t="s">
        <v>111</v>
      </c>
      <c r="AI262" t="s">
        <v>111</v>
      </c>
      <c r="AJ262" t="s">
        <v>111</v>
      </c>
      <c r="AK262" t="s">
        <v>111</v>
      </c>
      <c r="AL262" t="s">
        <v>111</v>
      </c>
      <c r="AM262">
        <v>0</v>
      </c>
      <c r="AN262">
        <v>0</v>
      </c>
      <c r="AO262">
        <v>0</v>
      </c>
      <c r="AP262" t="s">
        <v>111</v>
      </c>
      <c r="AQ262" t="s">
        <v>111</v>
      </c>
      <c r="AR262" t="s">
        <v>111</v>
      </c>
      <c r="AS262" t="s">
        <v>111</v>
      </c>
      <c r="AT262" t="s">
        <v>111</v>
      </c>
      <c r="AU262" t="s">
        <v>111</v>
      </c>
      <c r="AV262" t="s">
        <v>111</v>
      </c>
      <c r="AW262" t="s">
        <v>111</v>
      </c>
      <c r="AX262" t="s">
        <v>111</v>
      </c>
      <c r="AY262" t="s">
        <v>111</v>
      </c>
      <c r="AZ262" t="s">
        <v>111</v>
      </c>
      <c r="BA262" t="s">
        <v>111</v>
      </c>
      <c r="BB262" t="s">
        <v>111</v>
      </c>
      <c r="BC262" t="s">
        <v>111</v>
      </c>
      <c r="BD262" t="s">
        <v>111</v>
      </c>
      <c r="BE262" t="s">
        <v>111</v>
      </c>
      <c r="BF262" t="s">
        <v>111</v>
      </c>
      <c r="BG262" t="s">
        <v>111</v>
      </c>
      <c r="BH262" t="s">
        <v>111</v>
      </c>
      <c r="BI262" t="s">
        <v>111</v>
      </c>
      <c r="BJ262" t="s">
        <v>111</v>
      </c>
      <c r="BK262" t="s">
        <v>111</v>
      </c>
      <c r="BL262" t="s">
        <v>111</v>
      </c>
      <c r="BM262" t="s">
        <v>111</v>
      </c>
      <c r="BN262" t="s">
        <v>111</v>
      </c>
      <c r="BO262" t="s">
        <v>111</v>
      </c>
      <c r="BP262" t="s">
        <v>111</v>
      </c>
      <c r="BQ262" t="s">
        <v>111</v>
      </c>
      <c r="BR262" t="s">
        <v>111</v>
      </c>
      <c r="BS262" t="s">
        <v>111</v>
      </c>
      <c r="BT262" t="s">
        <v>111</v>
      </c>
      <c r="BU262" t="s">
        <v>111</v>
      </c>
      <c r="BV262" t="s">
        <v>111</v>
      </c>
      <c r="BW262" t="s">
        <v>111</v>
      </c>
      <c r="BX262" t="s">
        <v>111</v>
      </c>
      <c r="BY262" t="s">
        <v>111</v>
      </c>
      <c r="BZ262" t="s">
        <v>111</v>
      </c>
      <c r="CA262" t="s">
        <v>111</v>
      </c>
      <c r="CB262" t="s">
        <v>111</v>
      </c>
      <c r="CC262" t="s">
        <v>111</v>
      </c>
      <c r="CD262" t="s">
        <v>111</v>
      </c>
      <c r="CE262" t="s">
        <v>111</v>
      </c>
      <c r="CF262" t="s">
        <v>111</v>
      </c>
      <c r="CG262" t="s">
        <v>111</v>
      </c>
      <c r="CH262" t="s">
        <v>111</v>
      </c>
      <c r="CI262" t="s">
        <v>111</v>
      </c>
      <c r="CJ262" t="s">
        <v>111</v>
      </c>
      <c r="CK262" t="s">
        <v>111</v>
      </c>
      <c r="CL262" t="s">
        <v>111</v>
      </c>
      <c r="CM262" t="s">
        <v>438</v>
      </c>
      <c r="CN262" t="s">
        <v>113</v>
      </c>
      <c r="CO262" t="s">
        <v>111</v>
      </c>
      <c r="CP262" t="s">
        <v>111</v>
      </c>
      <c r="CQ262">
        <v>0</v>
      </c>
      <c r="CR262">
        <v>1000</v>
      </c>
      <c r="CS262">
        <v>100</v>
      </c>
      <c r="CT262" t="e">
        <f>-ALMACEN</f>
        <v>#NAME?</v>
      </c>
      <c r="CU262">
        <v>0</v>
      </c>
      <c r="CV262" t="s">
        <v>111</v>
      </c>
      <c r="CW262" t="s">
        <v>111</v>
      </c>
      <c r="CX262" t="s">
        <v>111</v>
      </c>
      <c r="CY262">
        <v>0</v>
      </c>
      <c r="CZ262" t="s">
        <v>111</v>
      </c>
      <c r="DA262" t="s">
        <v>111</v>
      </c>
      <c r="DB262" t="s">
        <v>111</v>
      </c>
      <c r="DC262" t="s">
        <v>111</v>
      </c>
    </row>
    <row r="263" spans="1:107">
      <c r="A263">
        <v>1441</v>
      </c>
      <c r="B263" t="s">
        <v>107</v>
      </c>
      <c r="C263" t="s">
        <v>719</v>
      </c>
      <c r="D263" t="s">
        <v>1012</v>
      </c>
      <c r="E263" t="s">
        <v>1013</v>
      </c>
      <c r="F263" t="s">
        <v>1014</v>
      </c>
      <c r="G263" t="s">
        <v>469</v>
      </c>
      <c r="H263">
        <v>1.6</v>
      </c>
      <c r="I263">
        <v>51</v>
      </c>
      <c r="J263">
        <v>0</v>
      </c>
      <c r="K263">
        <v>0</v>
      </c>
      <c r="L263" t="s">
        <v>112</v>
      </c>
      <c r="M263" t="s">
        <v>118</v>
      </c>
      <c r="N263">
        <v>40</v>
      </c>
      <c r="O263">
        <v>1</v>
      </c>
      <c r="P263" t="s">
        <v>111</v>
      </c>
      <c r="Q263">
        <v>28</v>
      </c>
      <c r="R263">
        <v>0</v>
      </c>
      <c r="S263">
        <v>0</v>
      </c>
      <c r="T263">
        <v>5</v>
      </c>
      <c r="U263" t="e">
        <f>-IMPRESION DARMA</f>
        <v>#NAME?</v>
      </c>
      <c r="V263">
        <v>0</v>
      </c>
      <c r="W263">
        <v>25</v>
      </c>
      <c r="X263">
        <v>5</v>
      </c>
      <c r="Y263">
        <v>0</v>
      </c>
      <c r="Z263" t="s">
        <v>111</v>
      </c>
      <c r="AA263">
        <v>0</v>
      </c>
      <c r="AB263" t="s">
        <v>111</v>
      </c>
      <c r="AC263">
        <v>0</v>
      </c>
      <c r="AD263" t="s">
        <v>416</v>
      </c>
      <c r="AE263">
        <v>0</v>
      </c>
      <c r="AF263">
        <v>0</v>
      </c>
      <c r="AG263" t="s">
        <v>111</v>
      </c>
      <c r="AH263" t="s">
        <v>128</v>
      </c>
      <c r="AI263" t="s">
        <v>111</v>
      </c>
      <c r="AJ263" t="s">
        <v>111</v>
      </c>
      <c r="AK263" t="s">
        <v>111</v>
      </c>
      <c r="AL263" t="s">
        <v>111</v>
      </c>
      <c r="AM263">
        <v>0</v>
      </c>
      <c r="AN263">
        <v>0</v>
      </c>
      <c r="AO263">
        <v>0</v>
      </c>
      <c r="AP263" t="s">
        <v>111</v>
      </c>
      <c r="AQ263" t="s">
        <v>111</v>
      </c>
      <c r="AR263" t="s">
        <v>111</v>
      </c>
      <c r="AS263" t="s">
        <v>111</v>
      </c>
      <c r="AT263" t="s">
        <v>111</v>
      </c>
      <c r="AU263" t="s">
        <v>111</v>
      </c>
      <c r="AV263" t="s">
        <v>111</v>
      </c>
      <c r="AW263" t="s">
        <v>111</v>
      </c>
      <c r="AX263" t="s">
        <v>111</v>
      </c>
      <c r="AY263" t="s">
        <v>111</v>
      </c>
      <c r="AZ263" t="s">
        <v>111</v>
      </c>
      <c r="BA263" t="s">
        <v>111</v>
      </c>
      <c r="BB263" t="s">
        <v>111</v>
      </c>
      <c r="BC263" t="s">
        <v>111</v>
      </c>
      <c r="BD263" t="s">
        <v>111</v>
      </c>
      <c r="BE263" t="s">
        <v>111</v>
      </c>
      <c r="BF263" t="s">
        <v>111</v>
      </c>
      <c r="BG263" t="s">
        <v>111</v>
      </c>
      <c r="BH263" t="s">
        <v>111</v>
      </c>
      <c r="BI263" t="s">
        <v>111</v>
      </c>
      <c r="BJ263" t="s">
        <v>111</v>
      </c>
      <c r="BK263" t="s">
        <v>111</v>
      </c>
      <c r="BL263" t="s">
        <v>111</v>
      </c>
      <c r="BM263" t="s">
        <v>111</v>
      </c>
      <c r="BN263" t="s">
        <v>111</v>
      </c>
      <c r="BO263" t="s">
        <v>111</v>
      </c>
      <c r="BP263" t="s">
        <v>111</v>
      </c>
      <c r="BQ263" t="s">
        <v>111</v>
      </c>
      <c r="BR263" t="s">
        <v>111</v>
      </c>
      <c r="BS263" t="s">
        <v>111</v>
      </c>
      <c r="BT263" t="s">
        <v>111</v>
      </c>
      <c r="BU263" t="s">
        <v>111</v>
      </c>
      <c r="BV263" t="s">
        <v>111</v>
      </c>
      <c r="BW263" t="s">
        <v>111</v>
      </c>
      <c r="BX263" t="s">
        <v>111</v>
      </c>
      <c r="BY263" t="s">
        <v>111</v>
      </c>
      <c r="BZ263" t="s">
        <v>111</v>
      </c>
      <c r="CA263" t="s">
        <v>111</v>
      </c>
      <c r="CB263" t="s">
        <v>111</v>
      </c>
      <c r="CC263" t="s">
        <v>111</v>
      </c>
      <c r="CD263" t="s">
        <v>111</v>
      </c>
      <c r="CE263" t="s">
        <v>111</v>
      </c>
      <c r="CF263" t="s">
        <v>111</v>
      </c>
      <c r="CG263" t="s">
        <v>111</v>
      </c>
      <c r="CH263" t="s">
        <v>111</v>
      </c>
      <c r="CI263" t="s">
        <v>111</v>
      </c>
      <c r="CJ263" t="s">
        <v>111</v>
      </c>
      <c r="CK263" t="s">
        <v>111</v>
      </c>
      <c r="CL263" t="s">
        <v>111</v>
      </c>
      <c r="CM263" t="s">
        <v>135</v>
      </c>
      <c r="CN263" t="s">
        <v>128</v>
      </c>
      <c r="CO263" t="s">
        <v>111</v>
      </c>
      <c r="CP263" t="s">
        <v>111</v>
      </c>
      <c r="CQ263">
        <v>0</v>
      </c>
      <c r="CR263">
        <v>1500</v>
      </c>
      <c r="CS263">
        <v>100</v>
      </c>
      <c r="CT263" t="e">
        <f>-MANUALES</f>
        <v>#NAME?</v>
      </c>
      <c r="CU263">
        <v>0</v>
      </c>
      <c r="CV263" t="s">
        <v>111</v>
      </c>
      <c r="CW263" t="s">
        <v>111</v>
      </c>
      <c r="CX263" t="s">
        <v>111</v>
      </c>
      <c r="CY263">
        <v>0</v>
      </c>
      <c r="CZ263" t="s">
        <v>111</v>
      </c>
      <c r="DA263" t="s">
        <v>111</v>
      </c>
      <c r="DB263" t="e">
        <f>-INTERNO</f>
        <v>#NAME?</v>
      </c>
      <c r="DC263" t="e">
        <f>-CUBREVESTIDO</f>
        <v>#NAME?</v>
      </c>
    </row>
    <row r="264" spans="1:107">
      <c r="A264">
        <v>1439</v>
      </c>
      <c r="B264" t="s">
        <v>107</v>
      </c>
      <c r="C264" t="s">
        <v>1015</v>
      </c>
      <c r="D264" t="s">
        <v>1016</v>
      </c>
      <c r="E264" t="s">
        <v>1017</v>
      </c>
      <c r="F264" t="s">
        <v>192</v>
      </c>
      <c r="G264" t="s">
        <v>469</v>
      </c>
      <c r="H264">
        <v>2</v>
      </c>
      <c r="I264">
        <v>23.1</v>
      </c>
      <c r="J264">
        <v>8</v>
      </c>
      <c r="K264">
        <v>8</v>
      </c>
      <c r="L264" t="s">
        <v>112</v>
      </c>
      <c r="M264" t="s">
        <v>111</v>
      </c>
      <c r="N264">
        <v>0</v>
      </c>
      <c r="O264">
        <v>0</v>
      </c>
      <c r="P264" t="s">
        <v>111</v>
      </c>
      <c r="Q264">
        <v>36.200000000000003</v>
      </c>
      <c r="R264">
        <v>0</v>
      </c>
      <c r="S264">
        <v>0</v>
      </c>
      <c r="T264">
        <v>5</v>
      </c>
      <c r="U264" s="1" t="s">
        <v>1018</v>
      </c>
      <c r="V264">
        <v>0</v>
      </c>
      <c r="W264">
        <v>25</v>
      </c>
      <c r="X264">
        <v>8</v>
      </c>
      <c r="Y264">
        <v>0</v>
      </c>
      <c r="Z264" t="s">
        <v>111</v>
      </c>
      <c r="AA264">
        <v>0</v>
      </c>
      <c r="AB264" t="s">
        <v>702</v>
      </c>
      <c r="AC264">
        <v>8</v>
      </c>
      <c r="AD264" t="s">
        <v>111</v>
      </c>
      <c r="AE264">
        <v>0</v>
      </c>
      <c r="AF264">
        <v>0</v>
      </c>
      <c r="AG264" t="s">
        <v>111</v>
      </c>
      <c r="AH264" t="s">
        <v>111</v>
      </c>
      <c r="AI264" t="s">
        <v>111</v>
      </c>
      <c r="AJ264" t="s">
        <v>111</v>
      </c>
      <c r="AK264" t="s">
        <v>111</v>
      </c>
      <c r="AL264" t="s">
        <v>111</v>
      </c>
      <c r="AM264">
        <v>0</v>
      </c>
      <c r="AN264">
        <v>0</v>
      </c>
      <c r="AO264">
        <v>0</v>
      </c>
      <c r="AP264" t="s">
        <v>111</v>
      </c>
      <c r="AQ264" t="s">
        <v>111</v>
      </c>
      <c r="AR264" t="s">
        <v>111</v>
      </c>
      <c r="AS264" t="s">
        <v>111</v>
      </c>
      <c r="AT264" t="s">
        <v>111</v>
      </c>
      <c r="AU264" t="s">
        <v>111</v>
      </c>
      <c r="AV264" t="s">
        <v>111</v>
      </c>
      <c r="AW264" t="s">
        <v>111</v>
      </c>
      <c r="AX264" t="s">
        <v>111</v>
      </c>
      <c r="AY264" t="s">
        <v>111</v>
      </c>
      <c r="AZ264" t="s">
        <v>111</v>
      </c>
      <c r="BA264" t="s">
        <v>111</v>
      </c>
      <c r="BB264" t="s">
        <v>111</v>
      </c>
      <c r="BC264" t="s">
        <v>111</v>
      </c>
      <c r="BD264" t="s">
        <v>111</v>
      </c>
      <c r="BE264" t="s">
        <v>111</v>
      </c>
      <c r="BF264" t="s">
        <v>111</v>
      </c>
      <c r="BG264" t="s">
        <v>111</v>
      </c>
      <c r="BH264" t="s">
        <v>111</v>
      </c>
      <c r="BI264" t="s">
        <v>111</v>
      </c>
      <c r="BJ264" t="s">
        <v>111</v>
      </c>
      <c r="BK264" t="s">
        <v>111</v>
      </c>
      <c r="BL264" t="s">
        <v>111</v>
      </c>
      <c r="BM264" t="s">
        <v>111</v>
      </c>
      <c r="BN264" t="s">
        <v>111</v>
      </c>
      <c r="BO264" t="s">
        <v>111</v>
      </c>
      <c r="BP264" t="s">
        <v>111</v>
      </c>
      <c r="BQ264" t="s">
        <v>111</v>
      </c>
      <c r="BR264" t="s">
        <v>111</v>
      </c>
      <c r="BS264" t="s">
        <v>111</v>
      </c>
      <c r="BT264" t="s">
        <v>111</v>
      </c>
      <c r="BU264" t="s">
        <v>111</v>
      </c>
      <c r="BV264" t="s">
        <v>111</v>
      </c>
      <c r="BW264" t="s">
        <v>111</v>
      </c>
      <c r="BX264" t="s">
        <v>111</v>
      </c>
      <c r="BY264" t="s">
        <v>111</v>
      </c>
      <c r="BZ264" t="s">
        <v>111</v>
      </c>
      <c r="CA264" t="s">
        <v>111</v>
      </c>
      <c r="CB264" t="s">
        <v>111</v>
      </c>
      <c r="CC264" t="s">
        <v>111</v>
      </c>
      <c r="CD264" t="s">
        <v>111</v>
      </c>
      <c r="CE264" t="s">
        <v>111</v>
      </c>
      <c r="CF264" t="s">
        <v>111</v>
      </c>
      <c r="CG264" t="s">
        <v>111</v>
      </c>
      <c r="CH264" t="s">
        <v>111</v>
      </c>
      <c r="CI264" t="s">
        <v>111</v>
      </c>
      <c r="CJ264" t="s">
        <v>111</v>
      </c>
      <c r="CK264" t="s">
        <v>111</v>
      </c>
      <c r="CL264" t="s">
        <v>111</v>
      </c>
      <c r="CM264" t="s">
        <v>135</v>
      </c>
      <c r="CN264" t="s">
        <v>128</v>
      </c>
      <c r="CO264" t="s">
        <v>111</v>
      </c>
      <c r="CP264" t="s">
        <v>111</v>
      </c>
      <c r="CQ264">
        <v>0</v>
      </c>
      <c r="CR264">
        <v>1000</v>
      </c>
      <c r="CS264">
        <v>50</v>
      </c>
      <c r="CT264" t="e">
        <f>-AMACEN</f>
        <v>#NAME?</v>
      </c>
      <c r="CU264">
        <v>0</v>
      </c>
      <c r="CV264" t="s">
        <v>111</v>
      </c>
      <c r="CW264" t="s">
        <v>111</v>
      </c>
      <c r="CX264" t="s">
        <v>111</v>
      </c>
      <c r="CY264">
        <v>0</v>
      </c>
      <c r="CZ264" t="s">
        <v>111</v>
      </c>
      <c r="DA264" t="s">
        <v>111</v>
      </c>
      <c r="DB264" t="s">
        <v>111</v>
      </c>
      <c r="DC264" t="s">
        <v>111</v>
      </c>
    </row>
    <row r="265" spans="1:107">
      <c r="A265">
        <v>1438</v>
      </c>
      <c r="B265" t="s">
        <v>107</v>
      </c>
      <c r="C265" t="s">
        <v>1015</v>
      </c>
      <c r="D265" t="s">
        <v>136</v>
      </c>
      <c r="E265" t="s">
        <v>137</v>
      </c>
      <c r="F265" t="s">
        <v>125</v>
      </c>
      <c r="G265" t="s">
        <v>469</v>
      </c>
      <c r="H265">
        <v>2</v>
      </c>
      <c r="I265">
        <v>23.1</v>
      </c>
      <c r="J265">
        <v>8</v>
      </c>
      <c r="K265">
        <v>8</v>
      </c>
      <c r="L265" t="s">
        <v>112</v>
      </c>
      <c r="M265" t="s">
        <v>111</v>
      </c>
      <c r="N265">
        <v>0</v>
      </c>
      <c r="O265">
        <v>0</v>
      </c>
      <c r="P265" t="s">
        <v>111</v>
      </c>
      <c r="Q265">
        <v>36.200000000000003</v>
      </c>
      <c r="R265">
        <v>0</v>
      </c>
      <c r="S265">
        <v>0</v>
      </c>
      <c r="T265">
        <v>5</v>
      </c>
      <c r="U265" s="1" t="s">
        <v>1019</v>
      </c>
      <c r="V265">
        <v>0</v>
      </c>
      <c r="W265">
        <v>25</v>
      </c>
      <c r="X265">
        <v>8</v>
      </c>
      <c r="Y265">
        <v>0</v>
      </c>
      <c r="Z265" t="s">
        <v>111</v>
      </c>
      <c r="AA265">
        <v>0</v>
      </c>
      <c r="AB265" t="s">
        <v>702</v>
      </c>
      <c r="AC265">
        <v>8</v>
      </c>
      <c r="AD265" t="s">
        <v>111</v>
      </c>
      <c r="AE265">
        <v>0</v>
      </c>
      <c r="AF265">
        <v>0</v>
      </c>
      <c r="AG265" t="s">
        <v>111</v>
      </c>
      <c r="AH265" t="s">
        <v>111</v>
      </c>
      <c r="AI265" t="s">
        <v>111</v>
      </c>
      <c r="AJ265" t="s">
        <v>111</v>
      </c>
      <c r="AK265" t="s">
        <v>111</v>
      </c>
      <c r="AL265" t="s">
        <v>111</v>
      </c>
      <c r="AM265">
        <v>0</v>
      </c>
      <c r="AN265">
        <v>0</v>
      </c>
      <c r="AO265">
        <v>0</v>
      </c>
      <c r="AP265" t="s">
        <v>111</v>
      </c>
      <c r="AQ265" t="s">
        <v>111</v>
      </c>
      <c r="AR265" t="s">
        <v>111</v>
      </c>
      <c r="AS265" t="s">
        <v>111</v>
      </c>
      <c r="AT265" t="s">
        <v>111</v>
      </c>
      <c r="AU265" t="s">
        <v>111</v>
      </c>
      <c r="AV265" t="s">
        <v>111</v>
      </c>
      <c r="AW265" t="s">
        <v>111</v>
      </c>
      <c r="AX265" t="s">
        <v>111</v>
      </c>
      <c r="AY265" t="s">
        <v>111</v>
      </c>
      <c r="AZ265" t="s">
        <v>111</v>
      </c>
      <c r="BA265" t="s">
        <v>111</v>
      </c>
      <c r="BB265" t="s">
        <v>111</v>
      </c>
      <c r="BC265" t="s">
        <v>111</v>
      </c>
      <c r="BD265" t="s">
        <v>111</v>
      </c>
      <c r="BE265" t="s">
        <v>111</v>
      </c>
      <c r="BF265" t="s">
        <v>111</v>
      </c>
      <c r="BG265" t="s">
        <v>111</v>
      </c>
      <c r="BH265" t="s">
        <v>111</v>
      </c>
      <c r="BI265" t="s">
        <v>111</v>
      </c>
      <c r="BJ265" t="s">
        <v>111</v>
      </c>
      <c r="BK265" t="s">
        <v>111</v>
      </c>
      <c r="BL265" t="s">
        <v>111</v>
      </c>
      <c r="BM265" t="s">
        <v>111</v>
      </c>
      <c r="BN265" t="s">
        <v>111</v>
      </c>
      <c r="BO265" t="s">
        <v>111</v>
      </c>
      <c r="BP265" t="s">
        <v>111</v>
      </c>
      <c r="BQ265" t="s">
        <v>111</v>
      </c>
      <c r="BR265" t="s">
        <v>111</v>
      </c>
      <c r="BS265" t="s">
        <v>111</v>
      </c>
      <c r="BT265" t="s">
        <v>111</v>
      </c>
      <c r="BU265" t="s">
        <v>111</v>
      </c>
      <c r="BV265" t="s">
        <v>111</v>
      </c>
      <c r="BW265" t="s">
        <v>111</v>
      </c>
      <c r="BX265" t="s">
        <v>111</v>
      </c>
      <c r="BY265" t="s">
        <v>111</v>
      </c>
      <c r="BZ265" t="s">
        <v>111</v>
      </c>
      <c r="CA265" t="s">
        <v>111</v>
      </c>
      <c r="CB265" t="s">
        <v>111</v>
      </c>
      <c r="CC265" t="s">
        <v>111</v>
      </c>
      <c r="CD265" t="s">
        <v>111</v>
      </c>
      <c r="CE265" t="s">
        <v>111</v>
      </c>
      <c r="CF265" t="s">
        <v>111</v>
      </c>
      <c r="CG265" t="s">
        <v>111</v>
      </c>
      <c r="CH265" t="s">
        <v>111</v>
      </c>
      <c r="CI265" t="s">
        <v>111</v>
      </c>
      <c r="CJ265" t="s">
        <v>111</v>
      </c>
      <c r="CK265" t="s">
        <v>111</v>
      </c>
      <c r="CL265" t="s">
        <v>111</v>
      </c>
      <c r="CM265" t="s">
        <v>135</v>
      </c>
      <c r="CN265" t="s">
        <v>128</v>
      </c>
      <c r="CO265" t="s">
        <v>111</v>
      </c>
      <c r="CP265" t="s">
        <v>111</v>
      </c>
      <c r="CQ265">
        <v>0</v>
      </c>
      <c r="CR265">
        <v>1000</v>
      </c>
      <c r="CS265">
        <v>50</v>
      </c>
      <c r="CT265" t="e">
        <f>-ALMACEN</f>
        <v>#NAME?</v>
      </c>
      <c r="CU265">
        <v>0</v>
      </c>
      <c r="CV265" t="s">
        <v>111</v>
      </c>
      <c r="CW265" t="s">
        <v>111</v>
      </c>
      <c r="CX265" t="s">
        <v>111</v>
      </c>
      <c r="CY265">
        <v>0</v>
      </c>
      <c r="CZ265" t="s">
        <v>111</v>
      </c>
      <c r="DA265" t="s">
        <v>111</v>
      </c>
      <c r="DB265" t="s">
        <v>111</v>
      </c>
      <c r="DC265" t="s">
        <v>111</v>
      </c>
    </row>
    <row r="266" spans="1:107">
      <c r="A266">
        <v>1437</v>
      </c>
      <c r="B266" t="s">
        <v>107</v>
      </c>
      <c r="C266" t="s">
        <v>1015</v>
      </c>
      <c r="D266" t="s">
        <v>158</v>
      </c>
      <c r="E266" t="s">
        <v>1020</v>
      </c>
      <c r="F266" t="s">
        <v>125</v>
      </c>
      <c r="G266" t="s">
        <v>469</v>
      </c>
      <c r="H266">
        <v>1.4</v>
      </c>
      <c r="I266">
        <v>21.1</v>
      </c>
      <c r="J266">
        <v>7</v>
      </c>
      <c r="K266">
        <v>7</v>
      </c>
      <c r="L266" t="s">
        <v>112</v>
      </c>
      <c r="M266" t="s">
        <v>111</v>
      </c>
      <c r="N266">
        <v>0</v>
      </c>
      <c r="O266">
        <v>0</v>
      </c>
      <c r="P266" t="s">
        <v>111</v>
      </c>
      <c r="Q266">
        <v>31.4</v>
      </c>
      <c r="R266">
        <v>0</v>
      </c>
      <c r="S266">
        <v>0</v>
      </c>
      <c r="T266">
        <v>5</v>
      </c>
      <c r="U266" s="1" t="s">
        <v>1021</v>
      </c>
      <c r="V266">
        <v>25</v>
      </c>
      <c r="W266">
        <v>0</v>
      </c>
      <c r="X266">
        <v>15</v>
      </c>
      <c r="Y266">
        <v>0</v>
      </c>
      <c r="Z266" t="s">
        <v>1022</v>
      </c>
      <c r="AA266">
        <v>10</v>
      </c>
      <c r="AB266" t="s">
        <v>134</v>
      </c>
      <c r="AC266">
        <v>5</v>
      </c>
      <c r="AD266" t="s">
        <v>111</v>
      </c>
      <c r="AE266">
        <v>0</v>
      </c>
      <c r="AF266">
        <v>0</v>
      </c>
      <c r="AG266" t="s">
        <v>111</v>
      </c>
      <c r="AH266" t="s">
        <v>111</v>
      </c>
      <c r="AI266" t="s">
        <v>111</v>
      </c>
      <c r="AJ266" t="s">
        <v>111</v>
      </c>
      <c r="AK266" t="s">
        <v>111</v>
      </c>
      <c r="AL266" t="s">
        <v>111</v>
      </c>
      <c r="AM266">
        <v>0</v>
      </c>
      <c r="AN266">
        <v>0</v>
      </c>
      <c r="AO266">
        <v>0</v>
      </c>
      <c r="AP266" t="s">
        <v>111</v>
      </c>
      <c r="AQ266" t="s">
        <v>111</v>
      </c>
      <c r="AR266" t="s">
        <v>111</v>
      </c>
      <c r="AS266" t="s">
        <v>111</v>
      </c>
      <c r="AT266" t="s">
        <v>111</v>
      </c>
      <c r="AU266" t="s">
        <v>111</v>
      </c>
      <c r="AV266" t="s">
        <v>111</v>
      </c>
      <c r="AW266" t="s">
        <v>111</v>
      </c>
      <c r="AX266" t="s">
        <v>111</v>
      </c>
      <c r="AY266" t="s">
        <v>111</v>
      </c>
      <c r="AZ266" t="s">
        <v>111</v>
      </c>
      <c r="BA266" t="s">
        <v>111</v>
      </c>
      <c r="BB266" t="s">
        <v>111</v>
      </c>
      <c r="BC266" t="s">
        <v>111</v>
      </c>
      <c r="BD266" t="s">
        <v>111</v>
      </c>
      <c r="BE266" t="s">
        <v>111</v>
      </c>
      <c r="BF266" t="s">
        <v>111</v>
      </c>
      <c r="BG266" t="s">
        <v>111</v>
      </c>
      <c r="BH266" t="s">
        <v>111</v>
      </c>
      <c r="BI266" t="s">
        <v>111</v>
      </c>
      <c r="BJ266" t="s">
        <v>111</v>
      </c>
      <c r="BK266" t="s">
        <v>111</v>
      </c>
      <c r="BL266" t="s">
        <v>111</v>
      </c>
      <c r="BM266" t="s">
        <v>111</v>
      </c>
      <c r="BN266" t="s">
        <v>111</v>
      </c>
      <c r="BO266" t="s">
        <v>111</v>
      </c>
      <c r="BP266" t="s">
        <v>111</v>
      </c>
      <c r="BQ266" t="s">
        <v>111</v>
      </c>
      <c r="BR266" t="s">
        <v>111</v>
      </c>
      <c r="BS266" t="s">
        <v>111</v>
      </c>
      <c r="BT266" t="s">
        <v>111</v>
      </c>
      <c r="BU266" t="s">
        <v>111</v>
      </c>
      <c r="BV266" t="s">
        <v>111</v>
      </c>
      <c r="BW266" t="s">
        <v>111</v>
      </c>
      <c r="BX266" t="s">
        <v>111</v>
      </c>
      <c r="BY266" t="s">
        <v>111</v>
      </c>
      <c r="BZ266" t="s">
        <v>111</v>
      </c>
      <c r="CA266" t="s">
        <v>111</v>
      </c>
      <c r="CB266" t="s">
        <v>111</v>
      </c>
      <c r="CC266" t="s">
        <v>111</v>
      </c>
      <c r="CD266" t="s">
        <v>111</v>
      </c>
      <c r="CE266" t="s">
        <v>111</v>
      </c>
      <c r="CF266" t="s">
        <v>111</v>
      </c>
      <c r="CG266" t="s">
        <v>111</v>
      </c>
      <c r="CH266" t="s">
        <v>111</v>
      </c>
      <c r="CI266" t="s">
        <v>111</v>
      </c>
      <c r="CJ266" t="s">
        <v>111</v>
      </c>
      <c r="CK266" t="s">
        <v>111</v>
      </c>
      <c r="CL266" t="s">
        <v>111</v>
      </c>
      <c r="CM266" t="s">
        <v>135</v>
      </c>
      <c r="CN266" t="s">
        <v>128</v>
      </c>
      <c r="CO266" t="s">
        <v>111</v>
      </c>
      <c r="CP266" t="s">
        <v>111</v>
      </c>
      <c r="CQ266">
        <v>0</v>
      </c>
      <c r="CR266">
        <v>1000</v>
      </c>
      <c r="CS266">
        <v>50</v>
      </c>
      <c r="CT266" t="e">
        <f>-ALMACEN</f>
        <v>#NAME?</v>
      </c>
      <c r="CU266">
        <v>0</v>
      </c>
      <c r="CV266" t="s">
        <v>111</v>
      </c>
      <c r="CW266" t="s">
        <v>111</v>
      </c>
      <c r="CX266" t="s">
        <v>111</v>
      </c>
      <c r="CY266">
        <v>0</v>
      </c>
      <c r="CZ266" t="s">
        <v>111</v>
      </c>
      <c r="DA266" t="s">
        <v>111</v>
      </c>
      <c r="DB266" t="s">
        <v>111</v>
      </c>
      <c r="DC266" t="s">
        <v>111</v>
      </c>
    </row>
    <row r="267" spans="1:107">
      <c r="A267">
        <v>1425</v>
      </c>
      <c r="B267" t="s">
        <v>107</v>
      </c>
      <c r="C267" t="s">
        <v>814</v>
      </c>
      <c r="D267" t="s">
        <v>1023</v>
      </c>
      <c r="E267" t="s">
        <v>1024</v>
      </c>
      <c r="F267" t="s">
        <v>192</v>
      </c>
      <c r="G267" t="s">
        <v>469</v>
      </c>
      <c r="H267">
        <v>2</v>
      </c>
      <c r="I267">
        <v>40</v>
      </c>
      <c r="J267">
        <v>0</v>
      </c>
      <c r="K267">
        <v>0</v>
      </c>
      <c r="L267" t="s">
        <v>112</v>
      </c>
      <c r="M267" t="s">
        <v>111</v>
      </c>
      <c r="N267">
        <v>0</v>
      </c>
      <c r="O267">
        <v>0</v>
      </c>
      <c r="P267" t="s">
        <v>138</v>
      </c>
      <c r="Q267">
        <v>26</v>
      </c>
      <c r="R267">
        <v>0</v>
      </c>
      <c r="S267">
        <v>0</v>
      </c>
      <c r="T267">
        <v>5</v>
      </c>
      <c r="U267" s="1" t="s">
        <v>132</v>
      </c>
      <c r="V267">
        <v>0</v>
      </c>
      <c r="W267">
        <v>25</v>
      </c>
      <c r="X267">
        <v>8</v>
      </c>
      <c r="Y267">
        <v>0</v>
      </c>
      <c r="Z267" t="s">
        <v>111</v>
      </c>
      <c r="AA267">
        <v>0</v>
      </c>
      <c r="AB267" t="s">
        <v>111</v>
      </c>
      <c r="AC267">
        <v>0</v>
      </c>
      <c r="AD267" t="s">
        <v>111</v>
      </c>
      <c r="AE267">
        <v>0</v>
      </c>
      <c r="AF267">
        <v>0</v>
      </c>
      <c r="AG267" t="s">
        <v>111</v>
      </c>
      <c r="AH267" t="s">
        <v>111</v>
      </c>
      <c r="AI267" t="s">
        <v>111</v>
      </c>
      <c r="AJ267" t="s">
        <v>111</v>
      </c>
      <c r="AK267" t="s">
        <v>111</v>
      </c>
      <c r="AL267" t="s">
        <v>111</v>
      </c>
      <c r="AM267">
        <v>0</v>
      </c>
      <c r="AN267">
        <v>0</v>
      </c>
      <c r="AO267">
        <v>0</v>
      </c>
      <c r="AP267" t="s">
        <v>111</v>
      </c>
      <c r="AQ267" t="s">
        <v>111</v>
      </c>
      <c r="AR267" t="s">
        <v>111</v>
      </c>
      <c r="AS267" t="s">
        <v>111</v>
      </c>
      <c r="AT267" t="s">
        <v>111</v>
      </c>
      <c r="AU267" t="s">
        <v>111</v>
      </c>
      <c r="AV267" t="s">
        <v>111</v>
      </c>
      <c r="AW267" t="s">
        <v>111</v>
      </c>
      <c r="AX267" t="s">
        <v>111</v>
      </c>
      <c r="AY267" t="s">
        <v>111</v>
      </c>
      <c r="AZ267" t="s">
        <v>111</v>
      </c>
      <c r="BA267" t="s">
        <v>111</v>
      </c>
      <c r="BB267" t="s">
        <v>111</v>
      </c>
      <c r="BC267" t="s">
        <v>111</v>
      </c>
      <c r="BD267" t="s">
        <v>111</v>
      </c>
      <c r="BE267" t="s">
        <v>111</v>
      </c>
      <c r="BF267" t="s">
        <v>111</v>
      </c>
      <c r="BG267" t="s">
        <v>111</v>
      </c>
      <c r="BH267" t="s">
        <v>111</v>
      </c>
      <c r="BI267" t="s">
        <v>111</v>
      </c>
      <c r="BJ267" t="s">
        <v>111</v>
      </c>
      <c r="BK267" t="s">
        <v>111</v>
      </c>
      <c r="BL267" t="s">
        <v>111</v>
      </c>
      <c r="BM267" t="s">
        <v>111</v>
      </c>
      <c r="BN267" t="s">
        <v>111</v>
      </c>
      <c r="BO267" t="s">
        <v>111</v>
      </c>
      <c r="BP267" t="s">
        <v>111</v>
      </c>
      <c r="BQ267" t="s">
        <v>111</v>
      </c>
      <c r="BR267" t="s">
        <v>111</v>
      </c>
      <c r="BS267" t="s">
        <v>111</v>
      </c>
      <c r="BT267" t="s">
        <v>111</v>
      </c>
      <c r="BU267" t="s">
        <v>111</v>
      </c>
      <c r="BV267" t="s">
        <v>111</v>
      </c>
      <c r="BW267" t="s">
        <v>111</v>
      </c>
      <c r="BX267" t="s">
        <v>111</v>
      </c>
      <c r="BY267" t="s">
        <v>111</v>
      </c>
      <c r="BZ267" t="s">
        <v>111</v>
      </c>
      <c r="CA267" t="s">
        <v>111</v>
      </c>
      <c r="CB267" t="s">
        <v>111</v>
      </c>
      <c r="CC267" t="s">
        <v>111</v>
      </c>
      <c r="CD267" t="s">
        <v>111</v>
      </c>
      <c r="CE267" t="s">
        <v>111</v>
      </c>
      <c r="CF267" t="s">
        <v>111</v>
      </c>
      <c r="CG267" t="s">
        <v>111</v>
      </c>
      <c r="CH267" t="s">
        <v>111</v>
      </c>
      <c r="CI267" t="s">
        <v>111</v>
      </c>
      <c r="CJ267" t="s">
        <v>111</v>
      </c>
      <c r="CK267" t="s">
        <v>111</v>
      </c>
      <c r="CL267" t="s">
        <v>111</v>
      </c>
      <c r="CM267" t="s">
        <v>438</v>
      </c>
      <c r="CN267" t="s">
        <v>113</v>
      </c>
      <c r="CO267" t="s">
        <v>111</v>
      </c>
      <c r="CP267" t="s">
        <v>111</v>
      </c>
      <c r="CQ267">
        <v>50</v>
      </c>
      <c r="CR267">
        <v>3000</v>
      </c>
      <c r="CS267">
        <v>100</v>
      </c>
      <c r="CT267" t="e">
        <f>-ALMACEN</f>
        <v>#NAME?</v>
      </c>
      <c r="CU267">
        <v>0</v>
      </c>
      <c r="CV267" t="s">
        <v>111</v>
      </c>
      <c r="CW267" t="s">
        <v>111</v>
      </c>
      <c r="CX267" t="s">
        <v>111</v>
      </c>
      <c r="CY267">
        <v>0</v>
      </c>
      <c r="CZ267" t="s">
        <v>111</v>
      </c>
      <c r="DA267" t="s">
        <v>111</v>
      </c>
      <c r="DB267" t="s">
        <v>111</v>
      </c>
      <c r="DC267" t="s">
        <v>111</v>
      </c>
    </row>
    <row r="268" spans="1:107">
      <c r="A268">
        <v>1390</v>
      </c>
      <c r="B268" t="s">
        <v>107</v>
      </c>
      <c r="C268" t="s">
        <v>1025</v>
      </c>
      <c r="D268" t="s">
        <v>1026</v>
      </c>
      <c r="E268" t="s">
        <v>1027</v>
      </c>
      <c r="F268" t="s">
        <v>411</v>
      </c>
      <c r="G268" t="s">
        <v>469</v>
      </c>
      <c r="H268">
        <v>1.6</v>
      </c>
      <c r="I268">
        <v>33</v>
      </c>
      <c r="J268">
        <v>0</v>
      </c>
      <c r="K268">
        <v>0</v>
      </c>
      <c r="L268" t="s">
        <v>178</v>
      </c>
      <c r="M268" t="s">
        <v>111</v>
      </c>
      <c r="N268">
        <v>0</v>
      </c>
      <c r="O268">
        <v>0</v>
      </c>
      <c r="P268" t="s">
        <v>111</v>
      </c>
      <c r="Q268">
        <v>15</v>
      </c>
      <c r="R268">
        <v>0</v>
      </c>
      <c r="S268">
        <v>0</v>
      </c>
      <c r="T268">
        <v>0</v>
      </c>
      <c r="U268" s="1" t="s">
        <v>1028</v>
      </c>
      <c r="V268">
        <v>0</v>
      </c>
      <c r="W268">
        <v>25</v>
      </c>
      <c r="X268">
        <v>0</v>
      </c>
      <c r="Y268">
        <v>0</v>
      </c>
      <c r="Z268" t="s">
        <v>111</v>
      </c>
      <c r="AA268">
        <v>0</v>
      </c>
      <c r="AB268" t="s">
        <v>111</v>
      </c>
      <c r="AC268">
        <v>0</v>
      </c>
      <c r="AD268" t="s">
        <v>111</v>
      </c>
      <c r="AE268">
        <v>0</v>
      </c>
      <c r="AF268">
        <v>0</v>
      </c>
      <c r="AG268" t="s">
        <v>111</v>
      </c>
      <c r="AH268" t="s">
        <v>111</v>
      </c>
      <c r="AI268" t="s">
        <v>111</v>
      </c>
      <c r="AJ268" t="s">
        <v>111</v>
      </c>
      <c r="AK268" t="s">
        <v>111</v>
      </c>
      <c r="AL268" t="s">
        <v>111</v>
      </c>
      <c r="AM268">
        <v>0</v>
      </c>
      <c r="AN268">
        <v>0</v>
      </c>
      <c r="AO268">
        <v>0</v>
      </c>
      <c r="AP268" t="s">
        <v>111</v>
      </c>
      <c r="AQ268" t="s">
        <v>111</v>
      </c>
      <c r="AR268" t="s">
        <v>111</v>
      </c>
      <c r="AS268" t="s">
        <v>111</v>
      </c>
      <c r="AT268" t="s">
        <v>111</v>
      </c>
      <c r="AU268" t="s">
        <v>111</v>
      </c>
      <c r="AV268" t="s">
        <v>111</v>
      </c>
      <c r="AW268" t="s">
        <v>111</v>
      </c>
      <c r="AX268" t="s">
        <v>111</v>
      </c>
      <c r="AY268" t="s">
        <v>111</v>
      </c>
      <c r="AZ268" t="s">
        <v>111</v>
      </c>
      <c r="BA268" t="s">
        <v>111</v>
      </c>
      <c r="BB268" t="s">
        <v>111</v>
      </c>
      <c r="BC268" t="s">
        <v>111</v>
      </c>
      <c r="BD268" t="s">
        <v>111</v>
      </c>
      <c r="BE268" t="s">
        <v>111</v>
      </c>
      <c r="BF268" t="s">
        <v>111</v>
      </c>
      <c r="BG268" t="s">
        <v>111</v>
      </c>
      <c r="BH268" t="s">
        <v>111</v>
      </c>
      <c r="BI268" t="s">
        <v>111</v>
      </c>
      <c r="BJ268" t="s">
        <v>111</v>
      </c>
      <c r="BK268" t="s">
        <v>111</v>
      </c>
      <c r="BL268" t="s">
        <v>111</v>
      </c>
      <c r="BM268" t="s">
        <v>111</v>
      </c>
      <c r="BN268" t="s">
        <v>111</v>
      </c>
      <c r="BO268" t="s">
        <v>111</v>
      </c>
      <c r="BP268" t="s">
        <v>111</v>
      </c>
      <c r="BQ268" t="s">
        <v>111</v>
      </c>
      <c r="BR268" t="s">
        <v>111</v>
      </c>
      <c r="BS268" t="s">
        <v>111</v>
      </c>
      <c r="BT268" t="s">
        <v>111</v>
      </c>
      <c r="BU268" t="s">
        <v>111</v>
      </c>
      <c r="BV268" t="s">
        <v>111</v>
      </c>
      <c r="BW268" t="s">
        <v>111</v>
      </c>
      <c r="BX268" t="s">
        <v>111</v>
      </c>
      <c r="BY268" t="s">
        <v>111</v>
      </c>
      <c r="BZ268" t="s">
        <v>111</v>
      </c>
      <c r="CA268" t="s">
        <v>111</v>
      </c>
      <c r="CB268" t="s">
        <v>111</v>
      </c>
      <c r="CC268" t="s">
        <v>111</v>
      </c>
      <c r="CD268" t="s">
        <v>111</v>
      </c>
      <c r="CE268" t="s">
        <v>111</v>
      </c>
      <c r="CF268" t="s">
        <v>111</v>
      </c>
      <c r="CG268" t="s">
        <v>111</v>
      </c>
      <c r="CH268" t="s">
        <v>111</v>
      </c>
      <c r="CI268" t="s">
        <v>111</v>
      </c>
      <c r="CJ268" t="s">
        <v>111</v>
      </c>
      <c r="CK268" t="s">
        <v>111</v>
      </c>
      <c r="CL268" t="s">
        <v>111</v>
      </c>
      <c r="CM268" t="s">
        <v>111</v>
      </c>
      <c r="CN268" t="s">
        <v>111</v>
      </c>
      <c r="CO268" t="s">
        <v>111</v>
      </c>
      <c r="CP268" t="s">
        <v>111</v>
      </c>
      <c r="CQ268">
        <v>0</v>
      </c>
      <c r="CR268">
        <v>0</v>
      </c>
      <c r="CS268">
        <v>0</v>
      </c>
      <c r="CT268" t="s">
        <v>111</v>
      </c>
      <c r="CU268">
        <v>0</v>
      </c>
      <c r="CV268" t="s">
        <v>111</v>
      </c>
      <c r="CW268" t="s">
        <v>111</v>
      </c>
      <c r="CX268" t="s">
        <v>111</v>
      </c>
      <c r="CY268">
        <v>0</v>
      </c>
      <c r="CZ268" t="s">
        <v>111</v>
      </c>
      <c r="DA268" t="s">
        <v>111</v>
      </c>
      <c r="DB268" t="s">
        <v>111</v>
      </c>
      <c r="DC268" t="s">
        <v>111</v>
      </c>
    </row>
    <row r="269" spans="1:107">
      <c r="A269">
        <v>1419</v>
      </c>
      <c r="B269" t="s">
        <v>107</v>
      </c>
      <c r="C269" t="s">
        <v>1029</v>
      </c>
      <c r="D269" t="s">
        <v>1030</v>
      </c>
      <c r="E269" t="s">
        <v>1031</v>
      </c>
      <c r="F269" t="s">
        <v>370</v>
      </c>
      <c r="G269" t="s">
        <v>469</v>
      </c>
      <c r="H269">
        <v>1.1000000000000001</v>
      </c>
      <c r="I269">
        <v>35.5</v>
      </c>
      <c r="J269">
        <v>0</v>
      </c>
      <c r="K269">
        <v>0</v>
      </c>
      <c r="L269" t="s">
        <v>178</v>
      </c>
      <c r="M269" t="s">
        <v>111</v>
      </c>
      <c r="N269">
        <v>38</v>
      </c>
      <c r="O269">
        <v>2</v>
      </c>
      <c r="P269" t="s">
        <v>138</v>
      </c>
      <c r="Q269">
        <v>34.700000000000003</v>
      </c>
      <c r="R269">
        <v>0</v>
      </c>
      <c r="S269">
        <v>0</v>
      </c>
      <c r="T269">
        <v>5</v>
      </c>
      <c r="U269" s="1" t="s">
        <v>1032</v>
      </c>
      <c r="V269">
        <v>25</v>
      </c>
      <c r="W269">
        <v>0</v>
      </c>
      <c r="X269">
        <v>8</v>
      </c>
      <c r="Y269">
        <v>0</v>
      </c>
      <c r="Z269" t="s">
        <v>288</v>
      </c>
      <c r="AA269">
        <v>1.7</v>
      </c>
      <c r="AB269" t="s">
        <v>111</v>
      </c>
      <c r="AC269">
        <v>0</v>
      </c>
      <c r="AD269" t="s">
        <v>416</v>
      </c>
      <c r="AE269">
        <v>0</v>
      </c>
      <c r="AF269">
        <v>0</v>
      </c>
      <c r="AG269" t="s">
        <v>111</v>
      </c>
      <c r="AH269" t="s">
        <v>113</v>
      </c>
      <c r="AI269" t="s">
        <v>111</v>
      </c>
      <c r="AJ269" t="s">
        <v>111</v>
      </c>
      <c r="AK269" t="s">
        <v>111</v>
      </c>
      <c r="AL269" t="s">
        <v>111</v>
      </c>
      <c r="AM269">
        <v>0</v>
      </c>
      <c r="AN269">
        <v>0</v>
      </c>
      <c r="AO269">
        <v>0</v>
      </c>
      <c r="AP269" t="s">
        <v>111</v>
      </c>
      <c r="AQ269" t="s">
        <v>111</v>
      </c>
      <c r="AR269" t="s">
        <v>111</v>
      </c>
      <c r="AS269" t="s">
        <v>111</v>
      </c>
      <c r="AT269" t="s">
        <v>111</v>
      </c>
      <c r="AU269" t="s">
        <v>111</v>
      </c>
      <c r="AV269" t="s">
        <v>111</v>
      </c>
      <c r="AW269" t="s">
        <v>111</v>
      </c>
      <c r="AX269" t="s">
        <v>111</v>
      </c>
      <c r="AY269" t="s">
        <v>111</v>
      </c>
      <c r="AZ269" t="s">
        <v>111</v>
      </c>
      <c r="BA269" t="s">
        <v>111</v>
      </c>
      <c r="BB269" t="s">
        <v>111</v>
      </c>
      <c r="BC269" t="s">
        <v>111</v>
      </c>
      <c r="BD269" t="s">
        <v>111</v>
      </c>
      <c r="BE269" t="s">
        <v>111</v>
      </c>
      <c r="BF269" t="s">
        <v>111</v>
      </c>
      <c r="BG269" t="s">
        <v>111</v>
      </c>
      <c r="BH269" t="s">
        <v>111</v>
      </c>
      <c r="BI269" t="s">
        <v>111</v>
      </c>
      <c r="BJ269" t="s">
        <v>111</v>
      </c>
      <c r="BK269" t="s">
        <v>111</v>
      </c>
      <c r="BL269" t="s">
        <v>111</v>
      </c>
      <c r="BM269" t="s">
        <v>111</v>
      </c>
      <c r="BN269" t="s">
        <v>111</v>
      </c>
      <c r="BO269" t="s">
        <v>111</v>
      </c>
      <c r="BP269" t="s">
        <v>111</v>
      </c>
      <c r="BQ269" t="s">
        <v>111</v>
      </c>
      <c r="BR269" t="s">
        <v>111</v>
      </c>
      <c r="BS269" t="s">
        <v>111</v>
      </c>
      <c r="BT269" t="s">
        <v>111</v>
      </c>
      <c r="BU269" t="s">
        <v>111</v>
      </c>
      <c r="BV269" t="s">
        <v>111</v>
      </c>
      <c r="BW269" t="s">
        <v>111</v>
      </c>
      <c r="BX269" t="s">
        <v>111</v>
      </c>
      <c r="BY269" t="s">
        <v>111</v>
      </c>
      <c r="BZ269" t="s">
        <v>111</v>
      </c>
      <c r="CA269" t="s">
        <v>111</v>
      </c>
      <c r="CB269" t="s">
        <v>111</v>
      </c>
      <c r="CC269" t="s">
        <v>111</v>
      </c>
      <c r="CD269" t="s">
        <v>111</v>
      </c>
      <c r="CE269" t="s">
        <v>111</v>
      </c>
      <c r="CF269" t="s">
        <v>111</v>
      </c>
      <c r="CG269" t="s">
        <v>111</v>
      </c>
      <c r="CH269" t="s">
        <v>111</v>
      </c>
      <c r="CI269" t="s">
        <v>111</v>
      </c>
      <c r="CJ269" t="s">
        <v>111</v>
      </c>
      <c r="CK269" t="s">
        <v>111</v>
      </c>
      <c r="CL269" t="s">
        <v>111</v>
      </c>
      <c r="CM269" t="s">
        <v>360</v>
      </c>
      <c r="CN269" t="s">
        <v>113</v>
      </c>
      <c r="CO269" t="s">
        <v>111</v>
      </c>
      <c r="CP269" t="s">
        <v>111</v>
      </c>
      <c r="CQ269">
        <v>75</v>
      </c>
      <c r="CR269">
        <v>4000</v>
      </c>
      <c r="CS269">
        <v>100</v>
      </c>
      <c r="CT269" t="e">
        <f>-BIEN EMPACADO EN BOLSAS PARA TROQUELAR</f>
        <v>#NAME?</v>
      </c>
      <c r="CU269">
        <v>0</v>
      </c>
      <c r="CV269" t="s">
        <v>111</v>
      </c>
      <c r="CW269" t="s">
        <v>111</v>
      </c>
      <c r="CX269" t="s">
        <v>111</v>
      </c>
      <c r="CY269">
        <v>0</v>
      </c>
      <c r="CZ269" t="s">
        <v>111</v>
      </c>
      <c r="DA269" t="s">
        <v>111</v>
      </c>
      <c r="DB269" t="e">
        <f>-INTERNO</f>
        <v>#NAME?</v>
      </c>
      <c r="DC269" t="e">
        <f>-TROQUEL RIÑON</f>
        <v>#NAME?</v>
      </c>
    </row>
    <row r="270" spans="1:107">
      <c r="A270">
        <v>1330</v>
      </c>
      <c r="B270" t="s">
        <v>107</v>
      </c>
      <c r="C270" t="s">
        <v>509</v>
      </c>
      <c r="D270" t="s">
        <v>1033</v>
      </c>
      <c r="E270" t="s">
        <v>1034</v>
      </c>
      <c r="F270" t="s">
        <v>192</v>
      </c>
      <c r="G270" t="s">
        <v>469</v>
      </c>
      <c r="H270">
        <v>2</v>
      </c>
      <c r="I270">
        <v>44</v>
      </c>
      <c r="J270">
        <v>0</v>
      </c>
      <c r="K270">
        <v>0</v>
      </c>
      <c r="L270" t="s">
        <v>112</v>
      </c>
      <c r="M270" t="s">
        <v>111</v>
      </c>
      <c r="N270">
        <v>0</v>
      </c>
      <c r="O270">
        <v>0</v>
      </c>
      <c r="P270" t="s">
        <v>111</v>
      </c>
      <c r="Q270">
        <v>5</v>
      </c>
      <c r="R270">
        <v>0</v>
      </c>
      <c r="S270">
        <v>0</v>
      </c>
      <c r="T270">
        <v>5</v>
      </c>
      <c r="U270" t="e">
        <f>-DESTINO SELLDO</f>
        <v>#NAME?</v>
      </c>
      <c r="V270">
        <v>0</v>
      </c>
      <c r="W270">
        <v>25</v>
      </c>
      <c r="X270">
        <v>8</v>
      </c>
      <c r="Y270">
        <v>0</v>
      </c>
      <c r="Z270" t="s">
        <v>111</v>
      </c>
      <c r="AA270">
        <v>0</v>
      </c>
      <c r="AB270" t="s">
        <v>111</v>
      </c>
      <c r="AC270">
        <v>0</v>
      </c>
      <c r="AD270" t="s">
        <v>111</v>
      </c>
      <c r="AE270">
        <v>0</v>
      </c>
      <c r="AF270">
        <v>0</v>
      </c>
      <c r="AG270" t="s">
        <v>111</v>
      </c>
      <c r="AH270" t="s">
        <v>111</v>
      </c>
      <c r="AI270" t="s">
        <v>111</v>
      </c>
      <c r="AJ270" t="s">
        <v>111</v>
      </c>
      <c r="AK270" t="s">
        <v>111</v>
      </c>
      <c r="AL270" t="s">
        <v>111</v>
      </c>
      <c r="AM270">
        <v>0</v>
      </c>
      <c r="AN270">
        <v>0</v>
      </c>
      <c r="AO270">
        <v>0</v>
      </c>
      <c r="AP270" t="s">
        <v>111</v>
      </c>
      <c r="AQ270" t="s">
        <v>111</v>
      </c>
      <c r="AR270" t="s">
        <v>111</v>
      </c>
      <c r="AS270" t="s">
        <v>111</v>
      </c>
      <c r="AT270" t="s">
        <v>111</v>
      </c>
      <c r="AU270" t="s">
        <v>111</v>
      </c>
      <c r="AV270" t="s">
        <v>111</v>
      </c>
      <c r="AW270" t="s">
        <v>111</v>
      </c>
      <c r="AX270" t="s">
        <v>111</v>
      </c>
      <c r="AY270" t="s">
        <v>111</v>
      </c>
      <c r="AZ270" t="s">
        <v>111</v>
      </c>
      <c r="BA270" t="s">
        <v>111</v>
      </c>
      <c r="BB270" t="s">
        <v>111</v>
      </c>
      <c r="BC270" t="s">
        <v>111</v>
      </c>
      <c r="BD270" t="s">
        <v>111</v>
      </c>
      <c r="BE270" t="s">
        <v>111</v>
      </c>
      <c r="BF270" t="s">
        <v>111</v>
      </c>
      <c r="BG270" t="s">
        <v>111</v>
      </c>
      <c r="BH270" t="s">
        <v>111</v>
      </c>
      <c r="BI270" t="s">
        <v>111</v>
      </c>
      <c r="BJ270" t="s">
        <v>111</v>
      </c>
      <c r="BK270" t="s">
        <v>111</v>
      </c>
      <c r="BL270" t="s">
        <v>111</v>
      </c>
      <c r="BM270" t="s">
        <v>111</v>
      </c>
      <c r="BN270" t="s">
        <v>111</v>
      </c>
      <c r="BO270" t="s">
        <v>111</v>
      </c>
      <c r="BP270" t="s">
        <v>111</v>
      </c>
      <c r="BQ270" t="s">
        <v>111</v>
      </c>
      <c r="BR270" t="s">
        <v>111</v>
      </c>
      <c r="BS270" t="s">
        <v>111</v>
      </c>
      <c r="BT270" t="s">
        <v>111</v>
      </c>
      <c r="BU270" t="s">
        <v>111</v>
      </c>
      <c r="BV270" t="s">
        <v>111</v>
      </c>
      <c r="BW270" t="s">
        <v>111</v>
      </c>
      <c r="BX270" t="s">
        <v>111</v>
      </c>
      <c r="BY270" t="s">
        <v>111</v>
      </c>
      <c r="BZ270" t="s">
        <v>111</v>
      </c>
      <c r="CA270" t="s">
        <v>111</v>
      </c>
      <c r="CB270" t="s">
        <v>111</v>
      </c>
      <c r="CC270" t="s">
        <v>111</v>
      </c>
      <c r="CD270" t="s">
        <v>111</v>
      </c>
      <c r="CE270" t="s">
        <v>111</v>
      </c>
      <c r="CF270" t="s">
        <v>111</v>
      </c>
      <c r="CG270" t="s">
        <v>111</v>
      </c>
      <c r="CH270" t="s">
        <v>111</v>
      </c>
      <c r="CI270" t="s">
        <v>111</v>
      </c>
      <c r="CJ270" t="s">
        <v>111</v>
      </c>
      <c r="CK270" t="s">
        <v>111</v>
      </c>
      <c r="CL270" t="s">
        <v>111</v>
      </c>
      <c r="CM270">
        <v>450</v>
      </c>
      <c r="CN270" t="s">
        <v>113</v>
      </c>
      <c r="CO270" t="s">
        <v>111</v>
      </c>
      <c r="CP270" t="s">
        <v>111</v>
      </c>
      <c r="CQ270">
        <v>0</v>
      </c>
      <c r="CR270">
        <v>5000</v>
      </c>
      <c r="CS270">
        <v>200</v>
      </c>
      <c r="CT270" s="1" t="s">
        <v>1035</v>
      </c>
      <c r="CU270">
        <v>0</v>
      </c>
      <c r="CV270" t="s">
        <v>111</v>
      </c>
      <c r="CW270" t="s">
        <v>111</v>
      </c>
      <c r="CX270" t="s">
        <v>111</v>
      </c>
      <c r="CY270">
        <v>0</v>
      </c>
      <c r="CZ270" t="s">
        <v>111</v>
      </c>
      <c r="DA270" t="s">
        <v>111</v>
      </c>
      <c r="DB270" t="s">
        <v>111</v>
      </c>
      <c r="DC270" t="s">
        <v>111</v>
      </c>
    </row>
    <row r="271" spans="1:107">
      <c r="A271">
        <v>1417</v>
      </c>
      <c r="B271" t="s">
        <v>107</v>
      </c>
      <c r="C271" t="s">
        <v>399</v>
      </c>
      <c r="D271" t="s">
        <v>1036</v>
      </c>
      <c r="E271" t="s">
        <v>1037</v>
      </c>
      <c r="F271" t="s">
        <v>239</v>
      </c>
      <c r="G271" t="s">
        <v>469</v>
      </c>
      <c r="H271">
        <v>0.7</v>
      </c>
      <c r="I271">
        <v>70</v>
      </c>
      <c r="J271">
        <v>0</v>
      </c>
      <c r="K271">
        <v>0</v>
      </c>
      <c r="L271" t="s">
        <v>112</v>
      </c>
      <c r="M271" t="s">
        <v>111</v>
      </c>
      <c r="N271">
        <v>0</v>
      </c>
      <c r="O271">
        <v>0</v>
      </c>
      <c r="P271" t="s">
        <v>111</v>
      </c>
      <c r="Q271">
        <v>35</v>
      </c>
      <c r="R271">
        <v>0</v>
      </c>
      <c r="S271">
        <v>0</v>
      </c>
      <c r="T271">
        <v>5</v>
      </c>
      <c r="U271" t="e">
        <f>-SELLADO</f>
        <v>#NAME?</v>
      </c>
      <c r="V271">
        <v>25</v>
      </c>
      <c r="W271">
        <v>0</v>
      </c>
      <c r="X271">
        <v>7</v>
      </c>
      <c r="Y271">
        <v>0</v>
      </c>
      <c r="Z271" t="s">
        <v>147</v>
      </c>
      <c r="AA271">
        <v>1600</v>
      </c>
      <c r="AB271" t="s">
        <v>111</v>
      </c>
      <c r="AC271">
        <v>0</v>
      </c>
      <c r="AD271" t="s">
        <v>111</v>
      </c>
      <c r="AE271">
        <v>0</v>
      </c>
      <c r="AF271">
        <v>0</v>
      </c>
      <c r="AG271" t="s">
        <v>111</v>
      </c>
      <c r="AH271" t="s">
        <v>111</v>
      </c>
      <c r="AI271" t="s">
        <v>111</v>
      </c>
      <c r="AJ271" t="s">
        <v>111</v>
      </c>
      <c r="AK271" t="s">
        <v>111</v>
      </c>
      <c r="AL271" t="s">
        <v>111</v>
      </c>
      <c r="AM271">
        <v>0</v>
      </c>
      <c r="AN271">
        <v>0</v>
      </c>
      <c r="AO271">
        <v>0</v>
      </c>
      <c r="AP271" t="s">
        <v>111</v>
      </c>
      <c r="AQ271" t="s">
        <v>111</v>
      </c>
      <c r="AR271" t="s">
        <v>111</v>
      </c>
      <c r="AS271" t="s">
        <v>111</v>
      </c>
      <c r="AT271" t="s">
        <v>111</v>
      </c>
      <c r="AU271" t="s">
        <v>111</v>
      </c>
      <c r="AV271" t="s">
        <v>111</v>
      </c>
      <c r="AW271" t="s">
        <v>111</v>
      </c>
      <c r="AX271" t="s">
        <v>111</v>
      </c>
      <c r="AY271" t="s">
        <v>111</v>
      </c>
      <c r="AZ271" t="s">
        <v>111</v>
      </c>
      <c r="BA271" t="s">
        <v>111</v>
      </c>
      <c r="BB271" t="s">
        <v>111</v>
      </c>
      <c r="BC271" t="s">
        <v>111</v>
      </c>
      <c r="BD271" t="s">
        <v>111</v>
      </c>
      <c r="BE271" t="s">
        <v>111</v>
      </c>
      <c r="BF271" t="s">
        <v>111</v>
      </c>
      <c r="BG271" t="s">
        <v>111</v>
      </c>
      <c r="BH271" t="s">
        <v>111</v>
      </c>
      <c r="BI271" t="s">
        <v>111</v>
      </c>
      <c r="BJ271" t="s">
        <v>111</v>
      </c>
      <c r="BK271" t="s">
        <v>111</v>
      </c>
      <c r="BL271" t="s">
        <v>111</v>
      </c>
      <c r="BM271" t="s">
        <v>111</v>
      </c>
      <c r="BN271" t="s">
        <v>111</v>
      </c>
      <c r="BO271" t="s">
        <v>111</v>
      </c>
      <c r="BP271" t="s">
        <v>111</v>
      </c>
      <c r="BQ271" t="s">
        <v>111</v>
      </c>
      <c r="BR271" t="s">
        <v>111</v>
      </c>
      <c r="BS271" t="s">
        <v>111</v>
      </c>
      <c r="BT271" t="s">
        <v>111</v>
      </c>
      <c r="BU271" t="s">
        <v>111</v>
      </c>
      <c r="BV271" t="s">
        <v>111</v>
      </c>
      <c r="BW271" t="s">
        <v>111</v>
      </c>
      <c r="BX271" t="s">
        <v>111</v>
      </c>
      <c r="BY271" t="s">
        <v>111</v>
      </c>
      <c r="BZ271" t="s">
        <v>111</v>
      </c>
      <c r="CA271" t="s">
        <v>111</v>
      </c>
      <c r="CB271" t="s">
        <v>111</v>
      </c>
      <c r="CC271" t="s">
        <v>111</v>
      </c>
      <c r="CD271" t="s">
        <v>111</v>
      </c>
      <c r="CE271" t="s">
        <v>111</v>
      </c>
      <c r="CF271" t="s">
        <v>111</v>
      </c>
      <c r="CG271" t="s">
        <v>111</v>
      </c>
      <c r="CH271" t="s">
        <v>111</v>
      </c>
      <c r="CI271" t="s">
        <v>111</v>
      </c>
      <c r="CJ271" t="s">
        <v>111</v>
      </c>
      <c r="CK271" t="s">
        <v>111</v>
      </c>
      <c r="CL271" t="s">
        <v>111</v>
      </c>
      <c r="CM271" t="s">
        <v>135</v>
      </c>
      <c r="CN271" t="s">
        <v>113</v>
      </c>
      <c r="CO271" t="s">
        <v>111</v>
      </c>
      <c r="CP271" t="s">
        <v>111</v>
      </c>
      <c r="CQ271">
        <v>35</v>
      </c>
      <c r="CR271">
        <v>500</v>
      </c>
      <c r="CS271">
        <v>50</v>
      </c>
      <c r="CT271" s="1" t="s">
        <v>1038</v>
      </c>
      <c r="CU271">
        <v>0</v>
      </c>
      <c r="CV271" t="s">
        <v>111</v>
      </c>
      <c r="CW271" t="s">
        <v>111</v>
      </c>
      <c r="CX271" t="s">
        <v>111</v>
      </c>
      <c r="CY271">
        <v>0</v>
      </c>
      <c r="CZ271" t="s">
        <v>111</v>
      </c>
      <c r="DA271" t="s">
        <v>111</v>
      </c>
      <c r="DB271" t="s">
        <v>111</v>
      </c>
      <c r="DC271" t="s">
        <v>111</v>
      </c>
    </row>
    <row r="272" spans="1:107">
      <c r="A272">
        <v>1416</v>
      </c>
      <c r="B272" t="s">
        <v>107</v>
      </c>
      <c r="C272" t="s">
        <v>399</v>
      </c>
      <c r="D272" t="s">
        <v>1039</v>
      </c>
      <c r="E272" t="s">
        <v>1040</v>
      </c>
      <c r="F272" t="s">
        <v>1041</v>
      </c>
      <c r="G272" t="s">
        <v>469</v>
      </c>
      <c r="H272">
        <v>0.7</v>
      </c>
      <c r="I272">
        <v>70</v>
      </c>
      <c r="J272">
        <v>0</v>
      </c>
      <c r="K272">
        <v>0</v>
      </c>
      <c r="L272" t="s">
        <v>178</v>
      </c>
      <c r="M272" t="s">
        <v>111</v>
      </c>
      <c r="N272">
        <v>0</v>
      </c>
      <c r="O272">
        <v>0</v>
      </c>
      <c r="P272" t="s">
        <v>111</v>
      </c>
      <c r="Q272">
        <v>65</v>
      </c>
      <c r="R272">
        <v>0</v>
      </c>
      <c r="S272">
        <v>0</v>
      </c>
      <c r="T272">
        <v>5</v>
      </c>
      <c r="U272" s="1" t="s">
        <v>1042</v>
      </c>
      <c r="V272">
        <v>250</v>
      </c>
      <c r="W272">
        <v>0</v>
      </c>
      <c r="X272">
        <v>7</v>
      </c>
      <c r="Y272">
        <v>0</v>
      </c>
      <c r="Z272" t="s">
        <v>1043</v>
      </c>
      <c r="AA272">
        <v>1600</v>
      </c>
      <c r="AB272" t="s">
        <v>111</v>
      </c>
      <c r="AC272">
        <v>0</v>
      </c>
      <c r="AD272" t="s">
        <v>111</v>
      </c>
      <c r="AE272">
        <v>0</v>
      </c>
      <c r="AF272">
        <v>0</v>
      </c>
      <c r="AG272" t="s">
        <v>111</v>
      </c>
      <c r="AH272" t="s">
        <v>111</v>
      </c>
      <c r="AI272" t="s">
        <v>111</v>
      </c>
      <c r="AJ272" t="s">
        <v>111</v>
      </c>
      <c r="AK272" t="s">
        <v>111</v>
      </c>
      <c r="AL272" t="s">
        <v>111</v>
      </c>
      <c r="AM272">
        <v>0</v>
      </c>
      <c r="AN272">
        <v>0</v>
      </c>
      <c r="AO272">
        <v>0</v>
      </c>
      <c r="AP272" t="s">
        <v>111</v>
      </c>
      <c r="AQ272" t="s">
        <v>111</v>
      </c>
      <c r="AR272" t="s">
        <v>111</v>
      </c>
      <c r="AS272" t="s">
        <v>111</v>
      </c>
      <c r="AT272" t="s">
        <v>111</v>
      </c>
      <c r="AU272" t="s">
        <v>111</v>
      </c>
      <c r="AV272" t="s">
        <v>111</v>
      </c>
      <c r="AW272" t="s">
        <v>111</v>
      </c>
      <c r="AX272" t="s">
        <v>111</v>
      </c>
      <c r="AY272" t="s">
        <v>111</v>
      </c>
      <c r="AZ272" t="s">
        <v>111</v>
      </c>
      <c r="BA272" t="s">
        <v>111</v>
      </c>
      <c r="BB272" t="s">
        <v>111</v>
      </c>
      <c r="BC272" t="s">
        <v>111</v>
      </c>
      <c r="BD272" t="s">
        <v>111</v>
      </c>
      <c r="BE272" t="s">
        <v>111</v>
      </c>
      <c r="BF272" t="s">
        <v>111</v>
      </c>
      <c r="BG272" t="s">
        <v>111</v>
      </c>
      <c r="BH272" t="s">
        <v>111</v>
      </c>
      <c r="BI272" t="s">
        <v>111</v>
      </c>
      <c r="BJ272" t="s">
        <v>111</v>
      </c>
      <c r="BK272" t="s">
        <v>111</v>
      </c>
      <c r="BL272" t="s">
        <v>111</v>
      </c>
      <c r="BM272" t="s">
        <v>111</v>
      </c>
      <c r="BN272" t="s">
        <v>111</v>
      </c>
      <c r="BO272" t="s">
        <v>111</v>
      </c>
      <c r="BP272" t="s">
        <v>111</v>
      </c>
      <c r="BQ272" t="s">
        <v>111</v>
      </c>
      <c r="BR272" t="s">
        <v>111</v>
      </c>
      <c r="BS272" t="s">
        <v>111</v>
      </c>
      <c r="BT272" t="s">
        <v>111</v>
      </c>
      <c r="BU272" t="s">
        <v>111</v>
      </c>
      <c r="BV272" t="s">
        <v>111</v>
      </c>
      <c r="BW272" t="s">
        <v>111</v>
      </c>
      <c r="BX272" t="s">
        <v>111</v>
      </c>
      <c r="BY272" t="s">
        <v>111</v>
      </c>
      <c r="BZ272" t="s">
        <v>111</v>
      </c>
      <c r="CA272" t="s">
        <v>111</v>
      </c>
      <c r="CB272" t="s">
        <v>111</v>
      </c>
      <c r="CC272" t="s">
        <v>111</v>
      </c>
      <c r="CD272" t="s">
        <v>111</v>
      </c>
      <c r="CE272" t="s">
        <v>111</v>
      </c>
      <c r="CF272" t="s">
        <v>111</v>
      </c>
      <c r="CG272" t="s">
        <v>111</v>
      </c>
      <c r="CH272" t="s">
        <v>111</v>
      </c>
      <c r="CI272" t="s">
        <v>111</v>
      </c>
      <c r="CJ272" t="s">
        <v>111</v>
      </c>
      <c r="CK272" t="s">
        <v>111</v>
      </c>
      <c r="CL272" t="s">
        <v>111</v>
      </c>
      <c r="CM272" t="s">
        <v>135</v>
      </c>
      <c r="CN272" t="s">
        <v>113</v>
      </c>
      <c r="CO272" t="s">
        <v>111</v>
      </c>
      <c r="CP272" t="s">
        <v>111</v>
      </c>
      <c r="CQ272">
        <v>35</v>
      </c>
      <c r="CR272">
        <v>500</v>
      </c>
      <c r="CS272">
        <v>50</v>
      </c>
      <c r="CT272" t="e">
        <f>-EMPACAR EN COSTAL NUEVO CON BOLSA LAINER</f>
        <v>#NAME?</v>
      </c>
      <c r="CU272">
        <v>0</v>
      </c>
      <c r="CV272" t="s">
        <v>111</v>
      </c>
      <c r="CW272" t="s">
        <v>111</v>
      </c>
      <c r="CX272" t="s">
        <v>111</v>
      </c>
      <c r="CY272">
        <v>0</v>
      </c>
      <c r="CZ272" t="s">
        <v>111</v>
      </c>
      <c r="DA272" t="s">
        <v>111</v>
      </c>
      <c r="DB272" t="s">
        <v>111</v>
      </c>
      <c r="DC272" t="s">
        <v>111</v>
      </c>
    </row>
    <row r="273" spans="1:107">
      <c r="A273">
        <v>1415</v>
      </c>
      <c r="B273" t="s">
        <v>107</v>
      </c>
      <c r="C273" t="s">
        <v>180</v>
      </c>
      <c r="D273" t="s">
        <v>1044</v>
      </c>
      <c r="E273" t="s">
        <v>1045</v>
      </c>
      <c r="F273" t="s">
        <v>1046</v>
      </c>
      <c r="G273" t="s">
        <v>469</v>
      </c>
      <c r="H273">
        <v>3</v>
      </c>
      <c r="I273">
        <v>74</v>
      </c>
      <c r="J273">
        <v>0</v>
      </c>
      <c r="K273">
        <v>0</v>
      </c>
      <c r="L273" t="s">
        <v>112</v>
      </c>
      <c r="M273" t="s">
        <v>111</v>
      </c>
      <c r="N273">
        <v>0</v>
      </c>
      <c r="O273">
        <v>0</v>
      </c>
      <c r="P273" t="s">
        <v>111</v>
      </c>
      <c r="Q273">
        <v>50</v>
      </c>
      <c r="R273">
        <v>0</v>
      </c>
      <c r="S273">
        <v>0</v>
      </c>
      <c r="T273">
        <v>3</v>
      </c>
      <c r="U273" t="e">
        <f>-DESTINO SELLADO</f>
        <v>#NAME?</v>
      </c>
      <c r="V273">
        <v>25</v>
      </c>
      <c r="W273">
        <v>0</v>
      </c>
      <c r="X273">
        <v>8</v>
      </c>
      <c r="Y273">
        <v>0</v>
      </c>
      <c r="Z273" t="s">
        <v>366</v>
      </c>
      <c r="AA273">
        <v>0.8</v>
      </c>
      <c r="AB273" t="s">
        <v>111</v>
      </c>
      <c r="AC273">
        <v>0</v>
      </c>
      <c r="AD273" t="s">
        <v>111</v>
      </c>
      <c r="AE273">
        <v>0</v>
      </c>
      <c r="AF273">
        <v>0</v>
      </c>
      <c r="AG273" t="s">
        <v>111</v>
      </c>
      <c r="AH273" t="s">
        <v>111</v>
      </c>
      <c r="AI273" t="s">
        <v>111</v>
      </c>
      <c r="AJ273" t="s">
        <v>111</v>
      </c>
      <c r="AK273" t="s">
        <v>111</v>
      </c>
      <c r="AL273" t="s">
        <v>111</v>
      </c>
      <c r="AM273">
        <v>0</v>
      </c>
      <c r="AN273">
        <v>0</v>
      </c>
      <c r="AO273">
        <v>0</v>
      </c>
      <c r="AP273" t="s">
        <v>111</v>
      </c>
      <c r="AQ273" t="s">
        <v>111</v>
      </c>
      <c r="AR273" t="s">
        <v>111</v>
      </c>
      <c r="AS273" t="s">
        <v>111</v>
      </c>
      <c r="AT273" t="s">
        <v>111</v>
      </c>
      <c r="AU273" t="s">
        <v>111</v>
      </c>
      <c r="AV273" t="s">
        <v>111</v>
      </c>
      <c r="AW273" t="s">
        <v>111</v>
      </c>
      <c r="AX273" t="s">
        <v>111</v>
      </c>
      <c r="AY273" t="s">
        <v>111</v>
      </c>
      <c r="AZ273" t="s">
        <v>111</v>
      </c>
      <c r="BA273" t="s">
        <v>111</v>
      </c>
      <c r="BB273" t="s">
        <v>111</v>
      </c>
      <c r="BC273" t="s">
        <v>111</v>
      </c>
      <c r="BD273" t="s">
        <v>111</v>
      </c>
      <c r="BE273" t="s">
        <v>111</v>
      </c>
      <c r="BF273" t="s">
        <v>111</v>
      </c>
      <c r="BG273" t="s">
        <v>111</v>
      </c>
      <c r="BH273" t="s">
        <v>111</v>
      </c>
      <c r="BI273" t="s">
        <v>111</v>
      </c>
      <c r="BJ273" t="s">
        <v>111</v>
      </c>
      <c r="BK273" t="s">
        <v>111</v>
      </c>
      <c r="BL273" t="s">
        <v>111</v>
      </c>
      <c r="BM273" t="s">
        <v>111</v>
      </c>
      <c r="BN273" t="s">
        <v>111</v>
      </c>
      <c r="BO273" t="s">
        <v>111</v>
      </c>
      <c r="BP273" t="s">
        <v>111</v>
      </c>
      <c r="BQ273" t="s">
        <v>111</v>
      </c>
      <c r="BR273" t="s">
        <v>111</v>
      </c>
      <c r="BS273" t="s">
        <v>111</v>
      </c>
      <c r="BT273" t="s">
        <v>111</v>
      </c>
      <c r="BU273" t="s">
        <v>111</v>
      </c>
      <c r="BV273" t="s">
        <v>111</v>
      </c>
      <c r="BW273" t="s">
        <v>111</v>
      </c>
      <c r="BX273" t="s">
        <v>111</v>
      </c>
      <c r="BY273" t="s">
        <v>111</v>
      </c>
      <c r="BZ273" t="s">
        <v>111</v>
      </c>
      <c r="CA273" t="s">
        <v>111</v>
      </c>
      <c r="CB273" t="s">
        <v>111</v>
      </c>
      <c r="CC273" t="s">
        <v>111</v>
      </c>
      <c r="CD273" t="s">
        <v>111</v>
      </c>
      <c r="CE273" t="s">
        <v>111</v>
      </c>
      <c r="CF273" t="s">
        <v>111</v>
      </c>
      <c r="CG273" t="s">
        <v>111</v>
      </c>
      <c r="CH273" t="s">
        <v>111</v>
      </c>
      <c r="CI273" t="s">
        <v>111</v>
      </c>
      <c r="CJ273" t="s">
        <v>111</v>
      </c>
      <c r="CK273" t="s">
        <v>111</v>
      </c>
      <c r="CL273" t="s">
        <v>111</v>
      </c>
      <c r="CM273" t="s">
        <v>135</v>
      </c>
      <c r="CN273" t="s">
        <v>128</v>
      </c>
      <c r="CO273" t="s">
        <v>111</v>
      </c>
      <c r="CP273" t="s">
        <v>111</v>
      </c>
      <c r="CQ273">
        <v>30</v>
      </c>
      <c r="CR273">
        <v>200</v>
      </c>
      <c r="CS273">
        <v>20</v>
      </c>
      <c r="CT273" t="e">
        <f>-ALMACEN</f>
        <v>#NAME?</v>
      </c>
      <c r="CU273">
        <v>0</v>
      </c>
      <c r="CV273" t="s">
        <v>111</v>
      </c>
      <c r="CW273" t="s">
        <v>111</v>
      </c>
      <c r="CX273" t="s">
        <v>111</v>
      </c>
      <c r="CY273">
        <v>0</v>
      </c>
      <c r="CZ273" t="s">
        <v>111</v>
      </c>
      <c r="DA273" t="s">
        <v>111</v>
      </c>
      <c r="DB273" t="s">
        <v>111</v>
      </c>
      <c r="DC273" t="s">
        <v>111</v>
      </c>
    </row>
    <row r="274" spans="1:107">
      <c r="A274">
        <v>252</v>
      </c>
      <c r="B274" t="s">
        <v>162</v>
      </c>
      <c r="C274" t="s">
        <v>428</v>
      </c>
      <c r="D274" t="s">
        <v>1047</v>
      </c>
      <c r="E274" t="s">
        <v>1048</v>
      </c>
      <c r="F274" t="s">
        <v>684</v>
      </c>
      <c r="G274" t="s">
        <v>469</v>
      </c>
      <c r="H274">
        <v>0.45</v>
      </c>
      <c r="I274">
        <v>50</v>
      </c>
      <c r="J274">
        <v>0</v>
      </c>
      <c r="K274">
        <v>0</v>
      </c>
      <c r="L274" t="s">
        <v>112</v>
      </c>
      <c r="M274" t="s">
        <v>138</v>
      </c>
      <c r="N274">
        <v>0</v>
      </c>
      <c r="O274">
        <v>0</v>
      </c>
      <c r="P274" t="s">
        <v>138</v>
      </c>
      <c r="Q274">
        <v>50.2</v>
      </c>
      <c r="R274">
        <v>0</v>
      </c>
      <c r="S274">
        <v>0</v>
      </c>
      <c r="T274">
        <v>0</v>
      </c>
      <c r="U274" t="s">
        <v>1049</v>
      </c>
      <c r="V274">
        <v>25</v>
      </c>
      <c r="W274">
        <v>0</v>
      </c>
      <c r="X274">
        <v>6</v>
      </c>
      <c r="Y274">
        <v>0</v>
      </c>
      <c r="Z274" t="s">
        <v>111</v>
      </c>
      <c r="AA274">
        <v>0</v>
      </c>
      <c r="AB274" t="s">
        <v>111</v>
      </c>
      <c r="AC274">
        <v>0</v>
      </c>
      <c r="AD274" t="s">
        <v>111</v>
      </c>
      <c r="AE274">
        <v>0</v>
      </c>
      <c r="AF274">
        <v>0</v>
      </c>
      <c r="AG274" t="s">
        <v>111</v>
      </c>
      <c r="AH274" t="s">
        <v>111</v>
      </c>
      <c r="AI274" t="s">
        <v>111</v>
      </c>
      <c r="AJ274" t="s">
        <v>111</v>
      </c>
      <c r="AK274" t="s">
        <v>111</v>
      </c>
      <c r="AL274" t="s">
        <v>111</v>
      </c>
      <c r="AM274">
        <v>0</v>
      </c>
      <c r="AN274">
        <v>0</v>
      </c>
      <c r="AO274">
        <v>0</v>
      </c>
      <c r="AP274" t="s">
        <v>111</v>
      </c>
      <c r="AQ274" t="s">
        <v>111</v>
      </c>
      <c r="AR274" t="s">
        <v>111</v>
      </c>
      <c r="AS274" t="s">
        <v>111</v>
      </c>
      <c r="AT274" t="s">
        <v>111</v>
      </c>
      <c r="AU274" t="s">
        <v>111</v>
      </c>
      <c r="AV274" t="s">
        <v>111</v>
      </c>
      <c r="AW274" t="s">
        <v>111</v>
      </c>
      <c r="AX274" t="s">
        <v>111</v>
      </c>
      <c r="AY274" t="s">
        <v>111</v>
      </c>
      <c r="AZ274" t="s">
        <v>111</v>
      </c>
      <c r="BA274" t="s">
        <v>111</v>
      </c>
      <c r="BB274" t="s">
        <v>111</v>
      </c>
      <c r="BC274" t="s">
        <v>111</v>
      </c>
      <c r="BD274" t="s">
        <v>111</v>
      </c>
      <c r="BE274" t="s">
        <v>111</v>
      </c>
      <c r="BF274" t="s">
        <v>111</v>
      </c>
      <c r="BG274" t="s">
        <v>111</v>
      </c>
      <c r="BH274" t="s">
        <v>111</v>
      </c>
      <c r="BI274" t="s">
        <v>111</v>
      </c>
      <c r="BJ274" t="s">
        <v>111</v>
      </c>
      <c r="BK274" t="s">
        <v>111</v>
      </c>
      <c r="BL274" t="s">
        <v>111</v>
      </c>
      <c r="BM274" t="s">
        <v>111</v>
      </c>
      <c r="BN274" t="s">
        <v>111</v>
      </c>
      <c r="BO274" t="s">
        <v>111</v>
      </c>
      <c r="BP274" t="s">
        <v>111</v>
      </c>
      <c r="BQ274" t="s">
        <v>111</v>
      </c>
      <c r="BR274" t="s">
        <v>111</v>
      </c>
      <c r="BS274" t="s">
        <v>111</v>
      </c>
      <c r="BT274" t="s">
        <v>111</v>
      </c>
      <c r="BU274" t="s">
        <v>111</v>
      </c>
      <c r="BV274" t="s">
        <v>111</v>
      </c>
      <c r="BW274" t="s">
        <v>111</v>
      </c>
      <c r="BX274" t="s">
        <v>111</v>
      </c>
      <c r="BY274" t="s">
        <v>111</v>
      </c>
      <c r="BZ274" t="s">
        <v>111</v>
      </c>
      <c r="CA274" t="s">
        <v>111</v>
      </c>
      <c r="CB274" t="s">
        <v>111</v>
      </c>
      <c r="CC274" t="s">
        <v>111</v>
      </c>
      <c r="CD274" t="s">
        <v>111</v>
      </c>
      <c r="CE274" t="s">
        <v>111</v>
      </c>
      <c r="CF274" t="s">
        <v>111</v>
      </c>
      <c r="CG274" t="s">
        <v>111</v>
      </c>
      <c r="CH274" t="s">
        <v>111</v>
      </c>
      <c r="CI274" t="s">
        <v>111</v>
      </c>
      <c r="CJ274" t="s">
        <v>111</v>
      </c>
      <c r="CK274" t="s">
        <v>111</v>
      </c>
      <c r="CL274" t="s">
        <v>111</v>
      </c>
      <c r="CM274" t="s">
        <v>127</v>
      </c>
      <c r="CN274" t="s">
        <v>111</v>
      </c>
      <c r="CO274" t="s">
        <v>111</v>
      </c>
      <c r="CP274" t="s">
        <v>111</v>
      </c>
      <c r="CQ274">
        <v>0</v>
      </c>
      <c r="CR274">
        <v>2000</v>
      </c>
      <c r="CS274">
        <v>100</v>
      </c>
      <c r="CT274" t="s">
        <v>111</v>
      </c>
      <c r="CU274">
        <v>0</v>
      </c>
      <c r="CV274" t="s">
        <v>111</v>
      </c>
      <c r="CW274" t="s">
        <v>111</v>
      </c>
      <c r="CX274" t="s">
        <v>111</v>
      </c>
      <c r="CY274">
        <v>0</v>
      </c>
      <c r="CZ274" t="s">
        <v>111</v>
      </c>
      <c r="DA274" t="s">
        <v>111</v>
      </c>
      <c r="DB274" t="s">
        <v>204</v>
      </c>
      <c r="DC274" s="1" t="s">
        <v>1050</v>
      </c>
    </row>
    <row r="275" spans="1:107">
      <c r="A275">
        <v>1413</v>
      </c>
      <c r="B275" t="s">
        <v>107</v>
      </c>
      <c r="C275" t="s">
        <v>114</v>
      </c>
      <c r="D275" t="s">
        <v>1051</v>
      </c>
      <c r="E275" t="s">
        <v>1052</v>
      </c>
      <c r="F275" t="s">
        <v>125</v>
      </c>
      <c r="G275" t="s">
        <v>469</v>
      </c>
      <c r="H275">
        <v>3</v>
      </c>
      <c r="I275">
        <v>98</v>
      </c>
      <c r="J275">
        <v>0</v>
      </c>
      <c r="K275">
        <v>0</v>
      </c>
      <c r="L275" t="s">
        <v>112</v>
      </c>
      <c r="M275" t="s">
        <v>111</v>
      </c>
      <c r="N275">
        <v>0</v>
      </c>
      <c r="O275">
        <v>0</v>
      </c>
      <c r="P275" t="s">
        <v>111</v>
      </c>
      <c r="Q275">
        <v>10</v>
      </c>
      <c r="R275">
        <v>0</v>
      </c>
      <c r="S275">
        <v>0</v>
      </c>
      <c r="T275">
        <v>5</v>
      </c>
      <c r="U275" t="s">
        <v>1053</v>
      </c>
      <c r="V275">
        <v>25</v>
      </c>
      <c r="W275">
        <v>13</v>
      </c>
      <c r="X275">
        <v>0</v>
      </c>
      <c r="Y275">
        <v>0</v>
      </c>
      <c r="Z275" t="s">
        <v>188</v>
      </c>
      <c r="AA275">
        <v>0.3</v>
      </c>
      <c r="AB275" t="s">
        <v>111</v>
      </c>
      <c r="AC275">
        <v>0</v>
      </c>
      <c r="AD275" t="s">
        <v>111</v>
      </c>
      <c r="AE275">
        <v>0</v>
      </c>
      <c r="AF275">
        <v>0</v>
      </c>
      <c r="AG275" t="s">
        <v>111</v>
      </c>
      <c r="AH275" t="s">
        <v>111</v>
      </c>
      <c r="AI275" t="s">
        <v>111</v>
      </c>
      <c r="AJ275" t="s">
        <v>111</v>
      </c>
      <c r="AK275" t="s">
        <v>111</v>
      </c>
      <c r="AL275" t="s">
        <v>111</v>
      </c>
      <c r="AM275">
        <v>0</v>
      </c>
      <c r="AN275">
        <v>0</v>
      </c>
      <c r="AO275">
        <v>0</v>
      </c>
      <c r="AP275" t="s">
        <v>111</v>
      </c>
      <c r="AQ275" t="s">
        <v>111</v>
      </c>
      <c r="AR275" t="s">
        <v>111</v>
      </c>
      <c r="AS275" t="s">
        <v>111</v>
      </c>
      <c r="AT275" t="s">
        <v>111</v>
      </c>
      <c r="AU275" t="s">
        <v>111</v>
      </c>
      <c r="AV275" t="s">
        <v>111</v>
      </c>
      <c r="AW275" t="s">
        <v>111</v>
      </c>
      <c r="AX275" t="s">
        <v>111</v>
      </c>
      <c r="AY275" t="s">
        <v>111</v>
      </c>
      <c r="AZ275" t="s">
        <v>111</v>
      </c>
      <c r="BA275" t="s">
        <v>111</v>
      </c>
      <c r="BB275" t="s">
        <v>111</v>
      </c>
      <c r="BC275" t="s">
        <v>111</v>
      </c>
      <c r="BD275" t="s">
        <v>111</v>
      </c>
      <c r="BE275" t="s">
        <v>111</v>
      </c>
      <c r="BF275" t="s">
        <v>111</v>
      </c>
      <c r="BG275" t="s">
        <v>111</v>
      </c>
      <c r="BH275" t="s">
        <v>111</v>
      </c>
      <c r="BI275" t="s">
        <v>111</v>
      </c>
      <c r="BJ275" t="s">
        <v>111</v>
      </c>
      <c r="BK275" t="s">
        <v>111</v>
      </c>
      <c r="BL275" t="s">
        <v>111</v>
      </c>
      <c r="BM275" t="s">
        <v>111</v>
      </c>
      <c r="BN275" t="s">
        <v>111</v>
      </c>
      <c r="BO275" t="s">
        <v>111</v>
      </c>
      <c r="BP275" t="s">
        <v>111</v>
      </c>
      <c r="BQ275" t="s">
        <v>111</v>
      </c>
      <c r="BR275" t="s">
        <v>111</v>
      </c>
      <c r="BS275" t="s">
        <v>111</v>
      </c>
      <c r="BT275" t="s">
        <v>111</v>
      </c>
      <c r="BU275" t="s">
        <v>111</v>
      </c>
      <c r="BV275" t="s">
        <v>111</v>
      </c>
      <c r="BW275" t="s">
        <v>111</v>
      </c>
      <c r="BX275" t="s">
        <v>111</v>
      </c>
      <c r="BY275" t="s">
        <v>111</v>
      </c>
      <c r="BZ275" t="s">
        <v>111</v>
      </c>
      <c r="CA275" t="s">
        <v>111</v>
      </c>
      <c r="CB275" t="s">
        <v>111</v>
      </c>
      <c r="CC275" t="s">
        <v>111</v>
      </c>
      <c r="CD275" t="s">
        <v>111</v>
      </c>
      <c r="CE275" t="s">
        <v>111</v>
      </c>
      <c r="CF275" t="s">
        <v>111</v>
      </c>
      <c r="CG275" t="s">
        <v>111</v>
      </c>
      <c r="CH275" t="s">
        <v>111</v>
      </c>
      <c r="CI275" t="s">
        <v>111</v>
      </c>
      <c r="CJ275" t="s">
        <v>111</v>
      </c>
      <c r="CK275" t="s">
        <v>111</v>
      </c>
      <c r="CL275" t="s">
        <v>111</v>
      </c>
      <c r="CM275" t="s">
        <v>1054</v>
      </c>
      <c r="CN275" t="s">
        <v>128</v>
      </c>
      <c r="CO275" t="s">
        <v>111</v>
      </c>
      <c r="CP275" t="s">
        <v>111</v>
      </c>
      <c r="CQ275">
        <v>0</v>
      </c>
      <c r="CR275">
        <v>0</v>
      </c>
      <c r="CS275">
        <v>0</v>
      </c>
      <c r="CT275" t="s">
        <v>111</v>
      </c>
      <c r="CU275">
        <v>0</v>
      </c>
      <c r="CV275" t="s">
        <v>111</v>
      </c>
      <c r="CW275" t="s">
        <v>111</v>
      </c>
      <c r="CX275" t="s">
        <v>111</v>
      </c>
      <c r="CY275">
        <v>0</v>
      </c>
      <c r="CZ275" t="s">
        <v>111</v>
      </c>
      <c r="DA275" t="s">
        <v>111</v>
      </c>
      <c r="DB275" t="e">
        <f>-INTERNO</f>
        <v>#NAME?</v>
      </c>
      <c r="DC275" t="e">
        <f>-CORTE Y SELLE</f>
        <v>#NAME?</v>
      </c>
    </row>
    <row r="276" spans="1:107">
      <c r="A276">
        <v>1412</v>
      </c>
      <c r="B276" t="s">
        <v>107</v>
      </c>
      <c r="C276" t="s">
        <v>114</v>
      </c>
      <c r="D276" t="s">
        <v>1055</v>
      </c>
      <c r="E276" t="s">
        <v>1056</v>
      </c>
      <c r="F276" t="s">
        <v>125</v>
      </c>
      <c r="G276" t="s">
        <v>469</v>
      </c>
      <c r="H276">
        <v>2</v>
      </c>
      <c r="I276">
        <v>60</v>
      </c>
      <c r="J276">
        <v>0</v>
      </c>
      <c r="K276">
        <v>0</v>
      </c>
      <c r="L276" t="s">
        <v>117</v>
      </c>
      <c r="M276" t="s">
        <v>111</v>
      </c>
      <c r="N276">
        <v>0</v>
      </c>
      <c r="O276">
        <v>0</v>
      </c>
      <c r="P276" t="s">
        <v>138</v>
      </c>
      <c r="Q276">
        <v>10</v>
      </c>
      <c r="R276">
        <v>0</v>
      </c>
      <c r="S276">
        <v>0</v>
      </c>
      <c r="T276">
        <v>0</v>
      </c>
      <c r="U276" s="1" t="s">
        <v>1057</v>
      </c>
      <c r="V276">
        <v>25</v>
      </c>
      <c r="W276">
        <v>35</v>
      </c>
      <c r="X276">
        <v>0</v>
      </c>
      <c r="Y276">
        <v>0</v>
      </c>
      <c r="Z276" t="s">
        <v>111</v>
      </c>
      <c r="AA276">
        <v>0</v>
      </c>
      <c r="AB276" t="s">
        <v>111</v>
      </c>
      <c r="AC276">
        <v>0</v>
      </c>
      <c r="AD276" t="s">
        <v>111</v>
      </c>
      <c r="AE276">
        <v>0</v>
      </c>
      <c r="AF276">
        <v>0</v>
      </c>
      <c r="AG276" t="s">
        <v>111</v>
      </c>
      <c r="AH276" t="s">
        <v>111</v>
      </c>
      <c r="AI276" t="s">
        <v>111</v>
      </c>
      <c r="AJ276" t="s">
        <v>111</v>
      </c>
      <c r="AK276" t="s">
        <v>111</v>
      </c>
      <c r="AL276" t="s">
        <v>111</v>
      </c>
      <c r="AM276">
        <v>0</v>
      </c>
      <c r="AN276">
        <v>0</v>
      </c>
      <c r="AO276">
        <v>0</v>
      </c>
      <c r="AP276" t="s">
        <v>111</v>
      </c>
      <c r="AQ276" t="s">
        <v>111</v>
      </c>
      <c r="AR276" t="s">
        <v>111</v>
      </c>
      <c r="AS276" t="s">
        <v>111</v>
      </c>
      <c r="AT276" t="s">
        <v>111</v>
      </c>
      <c r="AU276" t="s">
        <v>111</v>
      </c>
      <c r="AV276" t="s">
        <v>111</v>
      </c>
      <c r="AW276" t="s">
        <v>111</v>
      </c>
      <c r="AX276" t="s">
        <v>111</v>
      </c>
      <c r="AY276" t="s">
        <v>111</v>
      </c>
      <c r="AZ276" t="s">
        <v>111</v>
      </c>
      <c r="BA276" t="s">
        <v>111</v>
      </c>
      <c r="BB276" t="s">
        <v>111</v>
      </c>
      <c r="BC276" t="s">
        <v>111</v>
      </c>
      <c r="BD276" t="s">
        <v>111</v>
      </c>
      <c r="BE276" t="s">
        <v>111</v>
      </c>
      <c r="BF276" t="s">
        <v>111</v>
      </c>
      <c r="BG276" t="s">
        <v>111</v>
      </c>
      <c r="BH276" t="s">
        <v>111</v>
      </c>
      <c r="BI276" t="s">
        <v>111</v>
      </c>
      <c r="BJ276" t="s">
        <v>111</v>
      </c>
      <c r="BK276" t="s">
        <v>111</v>
      </c>
      <c r="BL276" t="s">
        <v>111</v>
      </c>
      <c r="BM276" t="s">
        <v>111</v>
      </c>
      <c r="BN276" t="s">
        <v>111</v>
      </c>
      <c r="BO276" t="s">
        <v>111</v>
      </c>
      <c r="BP276" t="s">
        <v>111</v>
      </c>
      <c r="BQ276" t="s">
        <v>111</v>
      </c>
      <c r="BR276" t="s">
        <v>111</v>
      </c>
      <c r="BS276" t="s">
        <v>111</v>
      </c>
      <c r="BT276" t="s">
        <v>111</v>
      </c>
      <c r="BU276" t="s">
        <v>111</v>
      </c>
      <c r="BV276" t="s">
        <v>111</v>
      </c>
      <c r="BW276" t="s">
        <v>111</v>
      </c>
      <c r="BX276" t="s">
        <v>111</v>
      </c>
      <c r="BY276" t="s">
        <v>111</v>
      </c>
      <c r="BZ276" t="s">
        <v>111</v>
      </c>
      <c r="CA276" t="s">
        <v>111</v>
      </c>
      <c r="CB276" t="s">
        <v>111</v>
      </c>
      <c r="CC276" t="s">
        <v>111</v>
      </c>
      <c r="CD276" t="s">
        <v>111</v>
      </c>
      <c r="CE276" t="s">
        <v>111</v>
      </c>
      <c r="CF276" t="s">
        <v>111</v>
      </c>
      <c r="CG276" t="s">
        <v>111</v>
      </c>
      <c r="CH276" t="s">
        <v>111</v>
      </c>
      <c r="CI276" t="s">
        <v>111</v>
      </c>
      <c r="CJ276" t="s">
        <v>111</v>
      </c>
      <c r="CK276" t="s">
        <v>111</v>
      </c>
      <c r="CL276" t="s">
        <v>111</v>
      </c>
      <c r="CM276" t="s">
        <v>135</v>
      </c>
      <c r="CN276" t="s">
        <v>128</v>
      </c>
      <c r="CO276" t="s">
        <v>111</v>
      </c>
      <c r="CP276" t="s">
        <v>111</v>
      </c>
      <c r="CQ276">
        <v>0</v>
      </c>
      <c r="CR276">
        <v>500</v>
      </c>
      <c r="CS276">
        <v>25</v>
      </c>
      <c r="CT276" t="e">
        <f>-MANUALES</f>
        <v>#NAME?</v>
      </c>
      <c r="CU276">
        <v>0</v>
      </c>
      <c r="CV276" t="s">
        <v>111</v>
      </c>
      <c r="CW276" t="s">
        <v>111</v>
      </c>
      <c r="CX276" t="s">
        <v>111</v>
      </c>
      <c r="CY276">
        <v>0</v>
      </c>
      <c r="CZ276" t="s">
        <v>111</v>
      </c>
      <c r="DA276" t="s">
        <v>111</v>
      </c>
      <c r="DB276" t="e">
        <f>-INTERNO</f>
        <v>#NAME?</v>
      </c>
      <c r="DC276" t="e">
        <f>-DOBLE SELLE</f>
        <v>#NAME?</v>
      </c>
    </row>
    <row r="277" spans="1:107">
      <c r="A277">
        <v>1411</v>
      </c>
      <c r="B277" t="s">
        <v>107</v>
      </c>
      <c r="C277" t="s">
        <v>412</v>
      </c>
      <c r="D277" t="s">
        <v>1058</v>
      </c>
      <c r="E277" t="s">
        <v>1059</v>
      </c>
      <c r="F277" t="s">
        <v>192</v>
      </c>
      <c r="G277" t="s">
        <v>469</v>
      </c>
      <c r="H277">
        <v>1.5</v>
      </c>
      <c r="I277">
        <v>45</v>
      </c>
      <c r="J277">
        <v>2.5</v>
      </c>
      <c r="K277">
        <v>2.5</v>
      </c>
      <c r="L277" t="s">
        <v>112</v>
      </c>
      <c r="M277" t="s">
        <v>138</v>
      </c>
      <c r="N277">
        <v>0</v>
      </c>
      <c r="O277">
        <v>0</v>
      </c>
      <c r="P277" t="s">
        <v>111</v>
      </c>
      <c r="Q277">
        <v>31.1</v>
      </c>
      <c r="R277">
        <v>0</v>
      </c>
      <c r="S277">
        <v>0</v>
      </c>
      <c r="T277">
        <v>5</v>
      </c>
      <c r="U277" s="1" t="s">
        <v>1060</v>
      </c>
      <c r="V277">
        <v>0</v>
      </c>
      <c r="W277">
        <v>25</v>
      </c>
      <c r="X277">
        <v>8</v>
      </c>
      <c r="Y277">
        <v>0</v>
      </c>
      <c r="Z277" t="s">
        <v>111</v>
      </c>
      <c r="AA277">
        <v>0</v>
      </c>
      <c r="AB277" t="s">
        <v>619</v>
      </c>
      <c r="AC277">
        <v>8</v>
      </c>
      <c r="AD277" t="s">
        <v>111</v>
      </c>
      <c r="AE277">
        <v>0</v>
      </c>
      <c r="AF277">
        <v>0</v>
      </c>
      <c r="AG277" t="s">
        <v>111</v>
      </c>
      <c r="AH277" t="s">
        <v>111</v>
      </c>
      <c r="AI277" t="s">
        <v>111</v>
      </c>
      <c r="AJ277" t="s">
        <v>111</v>
      </c>
      <c r="AK277" t="s">
        <v>111</v>
      </c>
      <c r="AL277" t="s">
        <v>111</v>
      </c>
      <c r="AM277">
        <v>0</v>
      </c>
      <c r="AN277">
        <v>0</v>
      </c>
      <c r="AO277">
        <v>0</v>
      </c>
      <c r="AP277" t="s">
        <v>111</v>
      </c>
      <c r="AQ277" t="s">
        <v>111</v>
      </c>
      <c r="AR277" t="s">
        <v>111</v>
      </c>
      <c r="AS277" t="s">
        <v>111</v>
      </c>
      <c r="AT277" t="s">
        <v>111</v>
      </c>
      <c r="AU277" t="s">
        <v>111</v>
      </c>
      <c r="AV277" t="s">
        <v>111</v>
      </c>
      <c r="AW277" t="s">
        <v>111</v>
      </c>
      <c r="AX277" t="s">
        <v>111</v>
      </c>
      <c r="AY277" t="s">
        <v>111</v>
      </c>
      <c r="AZ277" t="s">
        <v>111</v>
      </c>
      <c r="BA277" t="s">
        <v>111</v>
      </c>
      <c r="BB277" t="s">
        <v>111</v>
      </c>
      <c r="BC277" t="s">
        <v>111</v>
      </c>
      <c r="BD277" t="s">
        <v>111</v>
      </c>
      <c r="BE277" t="s">
        <v>111</v>
      </c>
      <c r="BF277" t="s">
        <v>111</v>
      </c>
      <c r="BG277" t="s">
        <v>111</v>
      </c>
      <c r="BH277" t="s">
        <v>111</v>
      </c>
      <c r="BI277" t="s">
        <v>111</v>
      </c>
      <c r="BJ277" t="s">
        <v>111</v>
      </c>
      <c r="BK277" t="s">
        <v>111</v>
      </c>
      <c r="BL277" t="s">
        <v>111</v>
      </c>
      <c r="BM277" t="s">
        <v>111</v>
      </c>
      <c r="BN277" t="s">
        <v>111</v>
      </c>
      <c r="BO277" t="s">
        <v>111</v>
      </c>
      <c r="BP277" t="s">
        <v>111</v>
      </c>
      <c r="BQ277" t="s">
        <v>111</v>
      </c>
      <c r="BR277" t="s">
        <v>111</v>
      </c>
      <c r="BS277" t="s">
        <v>111</v>
      </c>
      <c r="BT277" t="s">
        <v>111</v>
      </c>
      <c r="BU277" t="s">
        <v>111</v>
      </c>
      <c r="BV277" t="s">
        <v>111</v>
      </c>
      <c r="BW277" t="s">
        <v>111</v>
      </c>
      <c r="BX277" t="s">
        <v>111</v>
      </c>
      <c r="BY277" t="s">
        <v>111</v>
      </c>
      <c r="BZ277" t="s">
        <v>111</v>
      </c>
      <c r="CA277" t="s">
        <v>111</v>
      </c>
      <c r="CB277" t="s">
        <v>111</v>
      </c>
      <c r="CC277" t="s">
        <v>111</v>
      </c>
      <c r="CD277" t="s">
        <v>111</v>
      </c>
      <c r="CE277" t="s">
        <v>111</v>
      </c>
      <c r="CF277" t="s">
        <v>111</v>
      </c>
      <c r="CG277" t="s">
        <v>111</v>
      </c>
      <c r="CH277" t="s">
        <v>111</v>
      </c>
      <c r="CI277" t="s">
        <v>111</v>
      </c>
      <c r="CJ277" t="s">
        <v>111</v>
      </c>
      <c r="CK277" t="s">
        <v>111</v>
      </c>
      <c r="CL277" t="s">
        <v>111</v>
      </c>
      <c r="CM277" t="s">
        <v>438</v>
      </c>
      <c r="CN277" t="s">
        <v>113</v>
      </c>
      <c r="CO277" t="s">
        <v>111</v>
      </c>
      <c r="CP277" t="s">
        <v>111</v>
      </c>
      <c r="CQ277">
        <v>82</v>
      </c>
      <c r="CR277">
        <v>10000</v>
      </c>
      <c r="CS277">
        <v>200</v>
      </c>
      <c r="CT277" t="e">
        <f>-ALMACEN</f>
        <v>#NAME?</v>
      </c>
      <c r="CU277">
        <v>0</v>
      </c>
      <c r="CV277" t="s">
        <v>111</v>
      </c>
      <c r="CW277" t="s">
        <v>111</v>
      </c>
      <c r="CX277" t="s">
        <v>111</v>
      </c>
      <c r="CY277">
        <v>0</v>
      </c>
      <c r="CZ277" t="s">
        <v>111</v>
      </c>
      <c r="DA277" t="s">
        <v>111</v>
      </c>
      <c r="DB277" t="s">
        <v>111</v>
      </c>
      <c r="DC277" t="s">
        <v>111</v>
      </c>
    </row>
    <row r="278" spans="1:107">
      <c r="A278">
        <v>1410</v>
      </c>
      <c r="B278" t="s">
        <v>107</v>
      </c>
      <c r="C278" t="s">
        <v>412</v>
      </c>
      <c r="D278" t="s">
        <v>778</v>
      </c>
      <c r="E278" t="s">
        <v>1061</v>
      </c>
      <c r="F278" t="s">
        <v>431</v>
      </c>
      <c r="G278" t="s">
        <v>469</v>
      </c>
      <c r="H278">
        <v>2</v>
      </c>
      <c r="I278">
        <v>37</v>
      </c>
      <c r="J278">
        <v>0</v>
      </c>
      <c r="K278">
        <v>0</v>
      </c>
      <c r="L278" t="s">
        <v>112</v>
      </c>
      <c r="M278" t="s">
        <v>118</v>
      </c>
      <c r="N278">
        <v>39</v>
      </c>
      <c r="O278">
        <v>1</v>
      </c>
      <c r="P278" t="s">
        <v>111</v>
      </c>
      <c r="Q278">
        <v>33.5</v>
      </c>
      <c r="R278">
        <v>0</v>
      </c>
      <c r="S278">
        <v>0</v>
      </c>
      <c r="T278">
        <v>5</v>
      </c>
      <c r="U278" s="1" t="s">
        <v>1062</v>
      </c>
      <c r="V278">
        <v>0</v>
      </c>
      <c r="W278">
        <v>25</v>
      </c>
      <c r="X278">
        <v>8</v>
      </c>
      <c r="Y278">
        <v>0</v>
      </c>
      <c r="Z278" t="s">
        <v>111</v>
      </c>
      <c r="AA278">
        <v>0</v>
      </c>
      <c r="AB278" t="s">
        <v>111</v>
      </c>
      <c r="AC278">
        <v>0</v>
      </c>
      <c r="AD278" t="s">
        <v>416</v>
      </c>
      <c r="AE278">
        <v>0</v>
      </c>
      <c r="AF278">
        <v>0</v>
      </c>
      <c r="AG278" t="s">
        <v>111</v>
      </c>
      <c r="AH278" t="s">
        <v>113</v>
      </c>
      <c r="AI278" t="s">
        <v>111</v>
      </c>
      <c r="AJ278" t="s">
        <v>111</v>
      </c>
      <c r="AK278" t="s">
        <v>111</v>
      </c>
      <c r="AL278" t="s">
        <v>111</v>
      </c>
      <c r="AM278">
        <v>0</v>
      </c>
      <c r="AN278">
        <v>0</v>
      </c>
      <c r="AO278">
        <v>0</v>
      </c>
      <c r="AP278" t="s">
        <v>111</v>
      </c>
      <c r="AQ278" t="s">
        <v>111</v>
      </c>
      <c r="AR278" t="s">
        <v>111</v>
      </c>
      <c r="AS278" t="s">
        <v>111</v>
      </c>
      <c r="AT278" t="s">
        <v>111</v>
      </c>
      <c r="AU278" t="s">
        <v>111</v>
      </c>
      <c r="AV278" t="s">
        <v>111</v>
      </c>
      <c r="AW278" t="s">
        <v>111</v>
      </c>
      <c r="AX278" t="s">
        <v>111</v>
      </c>
      <c r="AY278" t="s">
        <v>111</v>
      </c>
      <c r="AZ278" t="s">
        <v>111</v>
      </c>
      <c r="BA278" t="s">
        <v>111</v>
      </c>
      <c r="BB278" t="s">
        <v>111</v>
      </c>
      <c r="BC278" t="s">
        <v>111</v>
      </c>
      <c r="BD278" t="s">
        <v>111</v>
      </c>
      <c r="BE278" t="s">
        <v>111</v>
      </c>
      <c r="BF278" t="s">
        <v>111</v>
      </c>
      <c r="BG278" t="s">
        <v>111</v>
      </c>
      <c r="BH278" t="s">
        <v>111</v>
      </c>
      <c r="BI278" t="s">
        <v>111</v>
      </c>
      <c r="BJ278" t="s">
        <v>111</v>
      </c>
      <c r="BK278" t="s">
        <v>111</v>
      </c>
      <c r="BL278" t="s">
        <v>111</v>
      </c>
      <c r="BM278" t="s">
        <v>111</v>
      </c>
      <c r="BN278" t="s">
        <v>111</v>
      </c>
      <c r="BO278" t="s">
        <v>111</v>
      </c>
      <c r="BP278" t="s">
        <v>111</v>
      </c>
      <c r="BQ278" t="s">
        <v>111</v>
      </c>
      <c r="BR278" t="s">
        <v>111</v>
      </c>
      <c r="BS278" t="s">
        <v>111</v>
      </c>
      <c r="BT278" t="s">
        <v>111</v>
      </c>
      <c r="BU278" t="s">
        <v>111</v>
      </c>
      <c r="BV278" t="s">
        <v>111</v>
      </c>
      <c r="BW278" t="s">
        <v>111</v>
      </c>
      <c r="BX278" t="s">
        <v>111</v>
      </c>
      <c r="BY278" t="s">
        <v>111</v>
      </c>
      <c r="BZ278" t="s">
        <v>111</v>
      </c>
      <c r="CA278" t="s">
        <v>111</v>
      </c>
      <c r="CB278" t="s">
        <v>111</v>
      </c>
      <c r="CC278" t="s">
        <v>111</v>
      </c>
      <c r="CD278" t="s">
        <v>111</v>
      </c>
      <c r="CE278" t="s">
        <v>111</v>
      </c>
      <c r="CF278" t="s">
        <v>111</v>
      </c>
      <c r="CG278" t="s">
        <v>111</v>
      </c>
      <c r="CH278" t="s">
        <v>111</v>
      </c>
      <c r="CI278" t="s">
        <v>111</v>
      </c>
      <c r="CJ278" t="s">
        <v>111</v>
      </c>
      <c r="CK278" t="s">
        <v>111</v>
      </c>
      <c r="CL278" t="s">
        <v>111</v>
      </c>
      <c r="CM278" t="s">
        <v>135</v>
      </c>
      <c r="CN278" t="s">
        <v>113</v>
      </c>
      <c r="CO278" t="s">
        <v>1063</v>
      </c>
      <c r="CP278" t="s">
        <v>111</v>
      </c>
      <c r="CQ278">
        <v>50</v>
      </c>
      <c r="CR278">
        <v>3000</v>
      </c>
      <c r="CS278">
        <v>50</v>
      </c>
      <c r="CT278" t="e">
        <f>-BIEN EMPACADO EN BOLSA PARA TROQUELAR</f>
        <v>#NAME?</v>
      </c>
      <c r="CU278">
        <v>0</v>
      </c>
      <c r="CV278" t="s">
        <v>111</v>
      </c>
      <c r="CW278" t="s">
        <v>111</v>
      </c>
      <c r="CX278" t="s">
        <v>111</v>
      </c>
      <c r="CY278">
        <v>0</v>
      </c>
      <c r="CZ278" t="s">
        <v>111</v>
      </c>
      <c r="DA278" t="s">
        <v>111</v>
      </c>
      <c r="DB278" t="e">
        <f>-INTERNO</f>
        <v>#NAME?</v>
      </c>
      <c r="DC278" t="e">
        <f>-TROQUEL</f>
        <v>#NAME?</v>
      </c>
    </row>
    <row r="279" spans="1:107">
      <c r="A279">
        <v>1409</v>
      </c>
      <c r="B279" t="s">
        <v>107</v>
      </c>
      <c r="C279" t="s">
        <v>412</v>
      </c>
      <c r="D279" t="s">
        <v>1064</v>
      </c>
      <c r="E279" t="s">
        <v>1065</v>
      </c>
      <c r="F279" t="s">
        <v>358</v>
      </c>
      <c r="G279" t="s">
        <v>469</v>
      </c>
      <c r="H279">
        <v>1.5</v>
      </c>
      <c r="I279">
        <v>67</v>
      </c>
      <c r="J279">
        <v>0</v>
      </c>
      <c r="K279">
        <v>0</v>
      </c>
      <c r="L279" t="s">
        <v>117</v>
      </c>
      <c r="M279" t="s">
        <v>111</v>
      </c>
      <c r="N279">
        <v>0</v>
      </c>
      <c r="O279">
        <v>0</v>
      </c>
      <c r="P279" t="s">
        <v>111</v>
      </c>
      <c r="Q279">
        <v>32</v>
      </c>
      <c r="R279">
        <v>0</v>
      </c>
      <c r="S279">
        <v>0</v>
      </c>
      <c r="T279">
        <v>5</v>
      </c>
      <c r="U279" t="e">
        <f>-DESTINO SELLADO</f>
        <v>#NAME?</v>
      </c>
      <c r="V279">
        <v>0</v>
      </c>
      <c r="W279">
        <v>25</v>
      </c>
      <c r="X279">
        <v>0</v>
      </c>
      <c r="Y279">
        <v>0</v>
      </c>
      <c r="Z279" t="s">
        <v>111</v>
      </c>
      <c r="AA279">
        <v>0</v>
      </c>
      <c r="AB279" t="s">
        <v>111</v>
      </c>
      <c r="AC279">
        <v>0</v>
      </c>
      <c r="AD279" t="s">
        <v>111</v>
      </c>
      <c r="AE279">
        <v>0</v>
      </c>
      <c r="AF279">
        <v>0</v>
      </c>
      <c r="AG279" t="s">
        <v>111</v>
      </c>
      <c r="AH279" t="s">
        <v>111</v>
      </c>
      <c r="AI279" t="s">
        <v>111</v>
      </c>
      <c r="AJ279" t="s">
        <v>111</v>
      </c>
      <c r="AK279" t="s">
        <v>111</v>
      </c>
      <c r="AL279" t="s">
        <v>111</v>
      </c>
      <c r="AM279">
        <v>0</v>
      </c>
      <c r="AN279">
        <v>0</v>
      </c>
      <c r="AO279">
        <v>0</v>
      </c>
      <c r="AP279" t="s">
        <v>111</v>
      </c>
      <c r="AQ279" t="s">
        <v>111</v>
      </c>
      <c r="AR279" t="s">
        <v>111</v>
      </c>
      <c r="AS279" t="s">
        <v>111</v>
      </c>
      <c r="AT279" t="s">
        <v>111</v>
      </c>
      <c r="AU279" t="s">
        <v>111</v>
      </c>
      <c r="AV279" t="s">
        <v>111</v>
      </c>
      <c r="AW279" t="s">
        <v>111</v>
      </c>
      <c r="AX279" t="s">
        <v>111</v>
      </c>
      <c r="AY279" t="s">
        <v>111</v>
      </c>
      <c r="AZ279" t="s">
        <v>111</v>
      </c>
      <c r="BA279" t="s">
        <v>111</v>
      </c>
      <c r="BB279" t="s">
        <v>111</v>
      </c>
      <c r="BC279" t="s">
        <v>111</v>
      </c>
      <c r="BD279" t="s">
        <v>111</v>
      </c>
      <c r="BE279" t="s">
        <v>111</v>
      </c>
      <c r="BF279" t="s">
        <v>111</v>
      </c>
      <c r="BG279" t="s">
        <v>111</v>
      </c>
      <c r="BH279" t="s">
        <v>111</v>
      </c>
      <c r="BI279" t="s">
        <v>111</v>
      </c>
      <c r="BJ279" t="s">
        <v>111</v>
      </c>
      <c r="BK279" t="s">
        <v>111</v>
      </c>
      <c r="BL279" t="s">
        <v>111</v>
      </c>
      <c r="BM279" t="s">
        <v>111</v>
      </c>
      <c r="BN279" t="s">
        <v>111</v>
      </c>
      <c r="BO279" t="s">
        <v>111</v>
      </c>
      <c r="BP279" t="s">
        <v>111</v>
      </c>
      <c r="BQ279" t="s">
        <v>111</v>
      </c>
      <c r="BR279" t="s">
        <v>111</v>
      </c>
      <c r="BS279" t="s">
        <v>111</v>
      </c>
      <c r="BT279" t="s">
        <v>111</v>
      </c>
      <c r="BU279" t="s">
        <v>111</v>
      </c>
      <c r="BV279" t="s">
        <v>111</v>
      </c>
      <c r="BW279" t="s">
        <v>111</v>
      </c>
      <c r="BX279" t="s">
        <v>111</v>
      </c>
      <c r="BY279" t="s">
        <v>111</v>
      </c>
      <c r="BZ279" t="s">
        <v>111</v>
      </c>
      <c r="CA279" t="s">
        <v>111</v>
      </c>
      <c r="CB279" t="s">
        <v>111</v>
      </c>
      <c r="CC279" t="s">
        <v>111</v>
      </c>
      <c r="CD279" t="s">
        <v>111</v>
      </c>
      <c r="CE279" t="s">
        <v>111</v>
      </c>
      <c r="CF279" t="s">
        <v>111</v>
      </c>
      <c r="CG279" t="s">
        <v>111</v>
      </c>
      <c r="CH279" t="s">
        <v>111</v>
      </c>
      <c r="CI279" t="s">
        <v>111</v>
      </c>
      <c r="CJ279" t="s">
        <v>111</v>
      </c>
      <c r="CK279" t="s">
        <v>111</v>
      </c>
      <c r="CL279" t="s">
        <v>111</v>
      </c>
      <c r="CM279" t="s">
        <v>135</v>
      </c>
      <c r="CN279">
        <v>20</v>
      </c>
      <c r="CO279" t="s">
        <v>111</v>
      </c>
      <c r="CP279" t="s">
        <v>111</v>
      </c>
      <c r="CQ279">
        <v>75</v>
      </c>
      <c r="CR279">
        <v>5000</v>
      </c>
      <c r="CS279">
        <v>200</v>
      </c>
      <c r="CT279" t="e">
        <f>-ALMACEN</f>
        <v>#NAME?</v>
      </c>
      <c r="CU279">
        <v>0</v>
      </c>
      <c r="CV279" t="s">
        <v>111</v>
      </c>
      <c r="CW279" t="s">
        <v>111</v>
      </c>
      <c r="CX279" t="s">
        <v>111</v>
      </c>
      <c r="CY279">
        <v>0</v>
      </c>
      <c r="CZ279" t="s">
        <v>111</v>
      </c>
      <c r="DA279" t="s">
        <v>111</v>
      </c>
      <c r="DB279" t="s">
        <v>111</v>
      </c>
      <c r="DC279" t="s">
        <v>111</v>
      </c>
    </row>
    <row r="280" spans="1:107">
      <c r="A280">
        <v>1402</v>
      </c>
      <c r="B280" t="s">
        <v>107</v>
      </c>
      <c r="C280" t="s">
        <v>504</v>
      </c>
      <c r="D280" t="s">
        <v>1066</v>
      </c>
      <c r="E280" t="s">
        <v>1067</v>
      </c>
      <c r="F280" t="s">
        <v>125</v>
      </c>
      <c r="G280" t="s">
        <v>469</v>
      </c>
      <c r="H280">
        <v>7</v>
      </c>
      <c r="I280">
        <v>62</v>
      </c>
      <c r="J280">
        <v>0</v>
      </c>
      <c r="K280">
        <v>0</v>
      </c>
      <c r="L280" t="s">
        <v>112</v>
      </c>
      <c r="M280" t="s">
        <v>111</v>
      </c>
      <c r="N280">
        <v>0</v>
      </c>
      <c r="O280">
        <v>0</v>
      </c>
      <c r="P280" t="s">
        <v>111</v>
      </c>
      <c r="Q280">
        <v>10</v>
      </c>
      <c r="R280">
        <v>0</v>
      </c>
      <c r="S280">
        <v>0</v>
      </c>
      <c r="T280">
        <v>0</v>
      </c>
      <c r="U280" t="e">
        <f>-ALMACEN</f>
        <v>#NAME?</v>
      </c>
      <c r="V280">
        <v>250</v>
      </c>
      <c r="W280">
        <v>0</v>
      </c>
      <c r="X280">
        <v>0</v>
      </c>
      <c r="Y280">
        <v>0</v>
      </c>
      <c r="Z280" t="s">
        <v>111</v>
      </c>
      <c r="AA280">
        <v>0</v>
      </c>
      <c r="AB280" t="s">
        <v>111</v>
      </c>
      <c r="AC280">
        <v>0</v>
      </c>
      <c r="AD280" t="s">
        <v>111</v>
      </c>
      <c r="AE280">
        <v>0</v>
      </c>
      <c r="AF280">
        <v>0</v>
      </c>
      <c r="AG280" t="s">
        <v>111</v>
      </c>
      <c r="AH280" t="s">
        <v>111</v>
      </c>
      <c r="AI280" t="s">
        <v>111</v>
      </c>
      <c r="AJ280" t="s">
        <v>111</v>
      </c>
      <c r="AK280" t="s">
        <v>111</v>
      </c>
      <c r="AL280" t="s">
        <v>111</v>
      </c>
      <c r="AM280">
        <v>0</v>
      </c>
      <c r="AN280">
        <v>0</v>
      </c>
      <c r="AO280">
        <v>0</v>
      </c>
      <c r="AP280" t="s">
        <v>111</v>
      </c>
      <c r="AQ280" t="s">
        <v>111</v>
      </c>
      <c r="AR280" t="s">
        <v>111</v>
      </c>
      <c r="AS280" t="s">
        <v>111</v>
      </c>
      <c r="AT280" t="s">
        <v>111</v>
      </c>
      <c r="AU280" t="s">
        <v>111</v>
      </c>
      <c r="AV280" t="s">
        <v>111</v>
      </c>
      <c r="AW280" t="s">
        <v>111</v>
      </c>
      <c r="AX280" t="s">
        <v>111</v>
      </c>
      <c r="AY280" t="s">
        <v>111</v>
      </c>
      <c r="AZ280" t="s">
        <v>111</v>
      </c>
      <c r="BA280" t="s">
        <v>111</v>
      </c>
      <c r="BB280" t="s">
        <v>111</v>
      </c>
      <c r="BC280" t="s">
        <v>111</v>
      </c>
      <c r="BD280" t="s">
        <v>111</v>
      </c>
      <c r="BE280" t="s">
        <v>111</v>
      </c>
      <c r="BF280" t="s">
        <v>111</v>
      </c>
      <c r="BG280" t="s">
        <v>111</v>
      </c>
      <c r="BH280" t="s">
        <v>111</v>
      </c>
      <c r="BI280" t="s">
        <v>111</v>
      </c>
      <c r="BJ280" t="s">
        <v>111</v>
      </c>
      <c r="BK280" t="s">
        <v>111</v>
      </c>
      <c r="BL280" t="s">
        <v>111</v>
      </c>
      <c r="BM280" t="s">
        <v>111</v>
      </c>
      <c r="BN280" t="s">
        <v>111</v>
      </c>
      <c r="BO280" t="s">
        <v>111</v>
      </c>
      <c r="BP280" t="s">
        <v>111</v>
      </c>
      <c r="BQ280" t="s">
        <v>111</v>
      </c>
      <c r="BR280" t="s">
        <v>111</v>
      </c>
      <c r="BS280" t="s">
        <v>111</v>
      </c>
      <c r="BT280" t="s">
        <v>111</v>
      </c>
      <c r="BU280" t="s">
        <v>111</v>
      </c>
      <c r="BV280" t="s">
        <v>111</v>
      </c>
      <c r="BW280" t="s">
        <v>111</v>
      </c>
      <c r="BX280" t="s">
        <v>111</v>
      </c>
      <c r="BY280" t="s">
        <v>111</v>
      </c>
      <c r="BZ280" t="s">
        <v>111</v>
      </c>
      <c r="CA280" t="s">
        <v>111</v>
      </c>
      <c r="CB280" t="s">
        <v>111</v>
      </c>
      <c r="CC280" t="s">
        <v>111</v>
      </c>
      <c r="CD280" t="s">
        <v>111</v>
      </c>
      <c r="CE280" t="s">
        <v>111</v>
      </c>
      <c r="CF280" t="s">
        <v>111</v>
      </c>
      <c r="CG280" t="s">
        <v>111</v>
      </c>
      <c r="CH280" t="s">
        <v>111</v>
      </c>
      <c r="CI280" t="s">
        <v>111</v>
      </c>
      <c r="CJ280" t="s">
        <v>111</v>
      </c>
      <c r="CK280" t="s">
        <v>111</v>
      </c>
      <c r="CL280" t="s">
        <v>111</v>
      </c>
      <c r="CM280" t="s">
        <v>127</v>
      </c>
      <c r="CN280" t="s">
        <v>128</v>
      </c>
      <c r="CO280" t="s">
        <v>111</v>
      </c>
      <c r="CP280" t="s">
        <v>111</v>
      </c>
      <c r="CQ280">
        <v>0</v>
      </c>
      <c r="CR280">
        <v>500</v>
      </c>
      <c r="CS280">
        <v>500</v>
      </c>
      <c r="CT280" t="e">
        <f>-ALMACEN</f>
        <v>#NAME?</v>
      </c>
      <c r="CU280">
        <v>0</v>
      </c>
      <c r="CV280" t="s">
        <v>111</v>
      </c>
      <c r="CW280" t="s">
        <v>111</v>
      </c>
      <c r="CX280" t="s">
        <v>111</v>
      </c>
      <c r="CY280">
        <v>0</v>
      </c>
      <c r="CZ280" t="s">
        <v>111</v>
      </c>
      <c r="DA280" t="s">
        <v>111</v>
      </c>
      <c r="DB280" t="s">
        <v>111</v>
      </c>
      <c r="DC280" t="s">
        <v>111</v>
      </c>
    </row>
    <row r="281" spans="1:107">
      <c r="A281">
        <v>1401</v>
      </c>
      <c r="B281" t="s">
        <v>107</v>
      </c>
      <c r="C281" t="s">
        <v>1068</v>
      </c>
      <c r="D281" t="s">
        <v>1069</v>
      </c>
      <c r="E281" t="s">
        <v>1070</v>
      </c>
      <c r="F281" t="s">
        <v>1071</v>
      </c>
      <c r="G281" t="s">
        <v>469</v>
      </c>
      <c r="H281">
        <v>1.9</v>
      </c>
      <c r="I281">
        <v>55</v>
      </c>
      <c r="J281">
        <v>0</v>
      </c>
      <c r="K281">
        <v>0</v>
      </c>
      <c r="L281" t="s">
        <v>112</v>
      </c>
      <c r="M281" t="s">
        <v>118</v>
      </c>
      <c r="N281">
        <v>39</v>
      </c>
      <c r="O281">
        <v>1</v>
      </c>
      <c r="P281" t="s">
        <v>111</v>
      </c>
      <c r="Q281">
        <v>47.5</v>
      </c>
      <c r="R281">
        <v>0</v>
      </c>
      <c r="S281">
        <v>0</v>
      </c>
      <c r="T281">
        <v>5</v>
      </c>
      <c r="U281" s="1" t="s">
        <v>132</v>
      </c>
      <c r="V281">
        <v>0</v>
      </c>
      <c r="W281">
        <v>25</v>
      </c>
      <c r="X281">
        <v>8</v>
      </c>
      <c r="Y281">
        <v>0</v>
      </c>
      <c r="Z281" t="s">
        <v>111</v>
      </c>
      <c r="AA281">
        <v>0</v>
      </c>
      <c r="AB281" t="s">
        <v>111</v>
      </c>
      <c r="AC281">
        <v>0</v>
      </c>
      <c r="AD281" t="s">
        <v>111</v>
      </c>
      <c r="AE281">
        <v>0</v>
      </c>
      <c r="AF281">
        <v>0</v>
      </c>
      <c r="AG281" t="s">
        <v>111</v>
      </c>
      <c r="AH281" t="s">
        <v>111</v>
      </c>
      <c r="AI281" t="s">
        <v>111</v>
      </c>
      <c r="AJ281" t="s">
        <v>111</v>
      </c>
      <c r="AK281" t="s">
        <v>111</v>
      </c>
      <c r="AL281" t="s">
        <v>111</v>
      </c>
      <c r="AM281">
        <v>0</v>
      </c>
      <c r="AN281">
        <v>0</v>
      </c>
      <c r="AO281">
        <v>0</v>
      </c>
      <c r="AP281" t="s">
        <v>111</v>
      </c>
      <c r="AQ281" t="s">
        <v>111</v>
      </c>
      <c r="AR281" t="s">
        <v>111</v>
      </c>
      <c r="AS281" t="s">
        <v>111</v>
      </c>
      <c r="AT281" t="s">
        <v>111</v>
      </c>
      <c r="AU281" t="s">
        <v>111</v>
      </c>
      <c r="AV281" t="s">
        <v>111</v>
      </c>
      <c r="AW281" t="s">
        <v>111</v>
      </c>
      <c r="AX281" t="s">
        <v>111</v>
      </c>
      <c r="AY281" t="s">
        <v>111</v>
      </c>
      <c r="AZ281" t="s">
        <v>111</v>
      </c>
      <c r="BA281" t="s">
        <v>111</v>
      </c>
      <c r="BB281" t="s">
        <v>111</v>
      </c>
      <c r="BC281" t="s">
        <v>111</v>
      </c>
      <c r="BD281" t="s">
        <v>111</v>
      </c>
      <c r="BE281" t="s">
        <v>111</v>
      </c>
      <c r="BF281" t="s">
        <v>111</v>
      </c>
      <c r="BG281" t="s">
        <v>111</v>
      </c>
      <c r="BH281" t="s">
        <v>111</v>
      </c>
      <c r="BI281" t="s">
        <v>111</v>
      </c>
      <c r="BJ281" t="s">
        <v>111</v>
      </c>
      <c r="BK281" t="s">
        <v>111</v>
      </c>
      <c r="BL281" t="s">
        <v>111</v>
      </c>
      <c r="BM281" t="s">
        <v>111</v>
      </c>
      <c r="BN281" t="s">
        <v>111</v>
      </c>
      <c r="BO281" t="s">
        <v>111</v>
      </c>
      <c r="BP281" t="s">
        <v>111</v>
      </c>
      <c r="BQ281" t="s">
        <v>111</v>
      </c>
      <c r="BR281" t="s">
        <v>111</v>
      </c>
      <c r="BS281" t="s">
        <v>111</v>
      </c>
      <c r="BT281" t="s">
        <v>111</v>
      </c>
      <c r="BU281" t="s">
        <v>111</v>
      </c>
      <c r="BV281" t="s">
        <v>111</v>
      </c>
      <c r="BW281" t="s">
        <v>111</v>
      </c>
      <c r="BX281" t="s">
        <v>111</v>
      </c>
      <c r="BY281" t="s">
        <v>111</v>
      </c>
      <c r="BZ281" t="s">
        <v>111</v>
      </c>
      <c r="CA281" t="s">
        <v>111</v>
      </c>
      <c r="CB281" t="s">
        <v>111</v>
      </c>
      <c r="CC281" t="s">
        <v>111</v>
      </c>
      <c r="CD281" t="s">
        <v>111</v>
      </c>
      <c r="CE281" t="s">
        <v>111</v>
      </c>
      <c r="CF281" t="s">
        <v>111</v>
      </c>
      <c r="CG281" t="s">
        <v>111</v>
      </c>
      <c r="CH281" t="s">
        <v>111</v>
      </c>
      <c r="CI281" t="s">
        <v>111</v>
      </c>
      <c r="CJ281" t="s">
        <v>111</v>
      </c>
      <c r="CK281" t="s">
        <v>111</v>
      </c>
      <c r="CL281" t="s">
        <v>111</v>
      </c>
      <c r="CM281" t="s">
        <v>135</v>
      </c>
      <c r="CN281" t="s">
        <v>113</v>
      </c>
      <c r="CO281" t="s">
        <v>1072</v>
      </c>
      <c r="CP281" t="s">
        <v>111</v>
      </c>
      <c r="CQ281">
        <v>62</v>
      </c>
      <c r="CR281">
        <v>2000</v>
      </c>
      <c r="CS281">
        <v>100</v>
      </c>
      <c r="CT281" t="e">
        <f>-ALMACEN</f>
        <v>#NAME?</v>
      </c>
      <c r="CU281">
        <v>0</v>
      </c>
      <c r="CV281" t="s">
        <v>111</v>
      </c>
      <c r="CW281" t="s">
        <v>111</v>
      </c>
      <c r="CX281" t="s">
        <v>111</v>
      </c>
      <c r="CY281">
        <v>0</v>
      </c>
      <c r="CZ281" t="s">
        <v>111</v>
      </c>
      <c r="DA281" t="s">
        <v>111</v>
      </c>
      <c r="DB281" t="s">
        <v>111</v>
      </c>
      <c r="DC281" t="s">
        <v>111</v>
      </c>
    </row>
    <row r="282" spans="1:107">
      <c r="A282">
        <v>273</v>
      </c>
      <c r="B282" t="s">
        <v>107</v>
      </c>
      <c r="C282" t="s">
        <v>328</v>
      </c>
      <c r="D282" t="s">
        <v>1073</v>
      </c>
      <c r="E282" t="s">
        <v>1074</v>
      </c>
      <c r="F282" t="s">
        <v>739</v>
      </c>
      <c r="G282" t="s">
        <v>469</v>
      </c>
      <c r="H282">
        <v>4.8</v>
      </c>
      <c r="I282">
        <v>35</v>
      </c>
      <c r="J282">
        <v>0</v>
      </c>
      <c r="K282">
        <v>0</v>
      </c>
      <c r="L282" t="s">
        <v>112</v>
      </c>
      <c r="M282" t="s">
        <v>118</v>
      </c>
      <c r="N282">
        <v>40</v>
      </c>
      <c r="O282">
        <v>1</v>
      </c>
      <c r="P282" t="s">
        <v>138</v>
      </c>
      <c r="Q282">
        <v>30</v>
      </c>
      <c r="R282">
        <v>0</v>
      </c>
      <c r="S282">
        <v>0</v>
      </c>
      <c r="T282">
        <v>5</v>
      </c>
      <c r="U282" t="s">
        <v>1075</v>
      </c>
      <c r="V282">
        <v>0</v>
      </c>
      <c r="W282">
        <v>25</v>
      </c>
      <c r="X282">
        <v>8</v>
      </c>
      <c r="Y282">
        <v>0</v>
      </c>
      <c r="Z282" t="s">
        <v>288</v>
      </c>
      <c r="AA282">
        <v>1.87</v>
      </c>
      <c r="AB282" t="s">
        <v>1076</v>
      </c>
      <c r="AC282">
        <v>8</v>
      </c>
      <c r="AD282" t="s">
        <v>416</v>
      </c>
      <c r="AE282">
        <v>2</v>
      </c>
      <c r="AF282">
        <v>1</v>
      </c>
      <c r="AG282">
        <v>60</v>
      </c>
      <c r="AH282" t="s">
        <v>188</v>
      </c>
      <c r="AI282">
        <v>60</v>
      </c>
      <c r="AJ282" t="s">
        <v>111</v>
      </c>
      <c r="AK282" t="s">
        <v>111</v>
      </c>
      <c r="AL282" t="s">
        <v>111</v>
      </c>
      <c r="AM282">
        <v>0</v>
      </c>
      <c r="AN282">
        <v>0</v>
      </c>
      <c r="AO282">
        <v>0</v>
      </c>
      <c r="AP282" t="s">
        <v>188</v>
      </c>
      <c r="AQ282" t="s">
        <v>111</v>
      </c>
      <c r="AR282" t="s">
        <v>111</v>
      </c>
      <c r="AS282" t="s">
        <v>111</v>
      </c>
      <c r="AT282" t="s">
        <v>188</v>
      </c>
      <c r="AU282" t="s">
        <v>111</v>
      </c>
      <c r="AV282" t="s">
        <v>111</v>
      </c>
      <c r="AW282" t="s">
        <v>111</v>
      </c>
      <c r="AX282" t="s">
        <v>111</v>
      </c>
      <c r="AY282" t="s">
        <v>111</v>
      </c>
      <c r="AZ282" t="s">
        <v>111</v>
      </c>
      <c r="BA282" t="s">
        <v>111</v>
      </c>
      <c r="BB282" t="s">
        <v>111</v>
      </c>
      <c r="BC282" t="s">
        <v>111</v>
      </c>
      <c r="BD282" t="s">
        <v>111</v>
      </c>
      <c r="BE282" t="s">
        <v>111</v>
      </c>
      <c r="BF282" t="s">
        <v>111</v>
      </c>
      <c r="BG282" t="s">
        <v>111</v>
      </c>
      <c r="BH282" t="s">
        <v>111</v>
      </c>
      <c r="BI282" t="s">
        <v>111</v>
      </c>
      <c r="BJ282" t="s">
        <v>111</v>
      </c>
      <c r="BK282" t="s">
        <v>111</v>
      </c>
      <c r="BL282" t="s">
        <v>111</v>
      </c>
      <c r="BM282" t="s">
        <v>111</v>
      </c>
      <c r="BN282" t="s">
        <v>188</v>
      </c>
      <c r="BO282" t="s">
        <v>111</v>
      </c>
      <c r="BP282" t="s">
        <v>111</v>
      </c>
      <c r="BQ282" t="s">
        <v>111</v>
      </c>
      <c r="BR282" t="s">
        <v>111</v>
      </c>
      <c r="BS282" t="s">
        <v>111</v>
      </c>
      <c r="BT282" t="s">
        <v>111</v>
      </c>
      <c r="BU282" t="s">
        <v>111</v>
      </c>
      <c r="BV282" t="s">
        <v>111</v>
      </c>
      <c r="BW282" t="s">
        <v>111</v>
      </c>
      <c r="BX282" t="s">
        <v>111</v>
      </c>
      <c r="BY282" t="s">
        <v>111</v>
      </c>
      <c r="BZ282" t="s">
        <v>111</v>
      </c>
      <c r="CA282" t="s">
        <v>111</v>
      </c>
      <c r="CB282" t="s">
        <v>111</v>
      </c>
      <c r="CC282" t="s">
        <v>111</v>
      </c>
      <c r="CD282" t="s">
        <v>111</v>
      </c>
      <c r="CE282" t="s">
        <v>111</v>
      </c>
      <c r="CF282" t="s">
        <v>111</v>
      </c>
      <c r="CG282" t="s">
        <v>111</v>
      </c>
      <c r="CH282" t="s">
        <v>111</v>
      </c>
      <c r="CI282" t="s">
        <v>111</v>
      </c>
      <c r="CJ282" t="s">
        <v>111</v>
      </c>
      <c r="CK282" t="s">
        <v>111</v>
      </c>
      <c r="CL282" t="s">
        <v>153</v>
      </c>
      <c r="CM282" t="s">
        <v>198</v>
      </c>
      <c r="CN282" t="s">
        <v>128</v>
      </c>
      <c r="CO282" t="s">
        <v>111</v>
      </c>
      <c r="CP282" t="s">
        <v>433</v>
      </c>
      <c r="CQ282">
        <v>28</v>
      </c>
      <c r="CR282">
        <v>500</v>
      </c>
      <c r="CS282">
        <v>50</v>
      </c>
      <c r="CT282" t="e">
        <f>-SELLAR EN NAQUINA</f>
        <v>#NAME?</v>
      </c>
      <c r="CU282">
        <v>0</v>
      </c>
      <c r="CV282" t="s">
        <v>111</v>
      </c>
      <c r="CW282" t="s">
        <v>111</v>
      </c>
      <c r="CX282" t="s">
        <v>111</v>
      </c>
      <c r="CY282">
        <v>0</v>
      </c>
      <c r="CZ282" t="s">
        <v>111</v>
      </c>
      <c r="DA282" t="s">
        <v>111</v>
      </c>
      <c r="DB282" t="s">
        <v>111</v>
      </c>
      <c r="DC282" t="s">
        <v>111</v>
      </c>
    </row>
    <row r="283" spans="1:107">
      <c r="A283">
        <v>1420</v>
      </c>
      <c r="B283" t="s">
        <v>107</v>
      </c>
      <c r="C283" t="s">
        <v>399</v>
      </c>
      <c r="D283" t="s">
        <v>991</v>
      </c>
      <c r="E283" t="s">
        <v>1077</v>
      </c>
      <c r="F283" t="s">
        <v>125</v>
      </c>
      <c r="G283" t="s">
        <v>469</v>
      </c>
      <c r="H283">
        <v>0.75</v>
      </c>
      <c r="I283">
        <v>70</v>
      </c>
      <c r="J283">
        <v>0</v>
      </c>
      <c r="K283">
        <v>0</v>
      </c>
      <c r="L283" t="s">
        <v>112</v>
      </c>
      <c r="M283" t="s">
        <v>111</v>
      </c>
      <c r="N283">
        <v>0</v>
      </c>
      <c r="O283">
        <v>0</v>
      </c>
      <c r="P283" t="s">
        <v>111</v>
      </c>
      <c r="Q283">
        <v>50.8</v>
      </c>
      <c r="R283">
        <v>0</v>
      </c>
      <c r="S283">
        <v>0</v>
      </c>
      <c r="T283">
        <v>5</v>
      </c>
      <c r="U283" s="1" t="s">
        <v>132</v>
      </c>
      <c r="V283">
        <v>25</v>
      </c>
      <c r="W283">
        <v>0</v>
      </c>
      <c r="X283">
        <v>7</v>
      </c>
      <c r="Y283">
        <v>0</v>
      </c>
      <c r="Z283" t="s">
        <v>111</v>
      </c>
      <c r="AA283">
        <v>0</v>
      </c>
      <c r="AB283" t="s">
        <v>111</v>
      </c>
      <c r="AC283">
        <v>0</v>
      </c>
      <c r="AD283" t="s">
        <v>111</v>
      </c>
      <c r="AE283">
        <v>0</v>
      </c>
      <c r="AF283">
        <v>0</v>
      </c>
      <c r="AG283" t="s">
        <v>111</v>
      </c>
      <c r="AH283" t="s">
        <v>111</v>
      </c>
      <c r="AI283" t="s">
        <v>111</v>
      </c>
      <c r="AJ283" t="s">
        <v>111</v>
      </c>
      <c r="AK283" t="s">
        <v>111</v>
      </c>
      <c r="AL283" t="s">
        <v>111</v>
      </c>
      <c r="AM283">
        <v>0</v>
      </c>
      <c r="AN283">
        <v>0</v>
      </c>
      <c r="AO283">
        <v>0</v>
      </c>
      <c r="AP283" t="s">
        <v>111</v>
      </c>
      <c r="AQ283" t="s">
        <v>111</v>
      </c>
      <c r="AR283" t="s">
        <v>111</v>
      </c>
      <c r="AS283" t="s">
        <v>111</v>
      </c>
      <c r="AT283" t="s">
        <v>111</v>
      </c>
      <c r="AU283" t="s">
        <v>111</v>
      </c>
      <c r="AV283" t="s">
        <v>111</v>
      </c>
      <c r="AW283" t="s">
        <v>111</v>
      </c>
      <c r="AX283" t="s">
        <v>111</v>
      </c>
      <c r="AY283" t="s">
        <v>111</v>
      </c>
      <c r="AZ283" t="s">
        <v>111</v>
      </c>
      <c r="BA283" t="s">
        <v>111</v>
      </c>
      <c r="BB283" t="s">
        <v>111</v>
      </c>
      <c r="BC283" t="s">
        <v>111</v>
      </c>
      <c r="BD283" t="s">
        <v>111</v>
      </c>
      <c r="BE283" t="s">
        <v>111</v>
      </c>
      <c r="BF283" t="s">
        <v>111</v>
      </c>
      <c r="BG283" t="s">
        <v>111</v>
      </c>
      <c r="BH283" t="s">
        <v>111</v>
      </c>
      <c r="BI283" t="s">
        <v>111</v>
      </c>
      <c r="BJ283" t="s">
        <v>111</v>
      </c>
      <c r="BK283" t="s">
        <v>111</v>
      </c>
      <c r="BL283" t="s">
        <v>111</v>
      </c>
      <c r="BM283" t="s">
        <v>111</v>
      </c>
      <c r="BN283" t="s">
        <v>111</v>
      </c>
      <c r="BO283" t="s">
        <v>111</v>
      </c>
      <c r="BP283" t="s">
        <v>111</v>
      </c>
      <c r="BQ283" t="s">
        <v>111</v>
      </c>
      <c r="BR283" t="s">
        <v>111</v>
      </c>
      <c r="BS283" t="s">
        <v>111</v>
      </c>
      <c r="BT283" t="s">
        <v>111</v>
      </c>
      <c r="BU283" t="s">
        <v>111</v>
      </c>
      <c r="BV283" t="s">
        <v>111</v>
      </c>
      <c r="BW283" t="s">
        <v>111</v>
      </c>
      <c r="BX283" t="s">
        <v>111</v>
      </c>
      <c r="BY283" t="s">
        <v>111</v>
      </c>
      <c r="BZ283" t="s">
        <v>111</v>
      </c>
      <c r="CA283" t="s">
        <v>111</v>
      </c>
      <c r="CB283" t="s">
        <v>111</v>
      </c>
      <c r="CC283" t="s">
        <v>111</v>
      </c>
      <c r="CD283" t="s">
        <v>111</v>
      </c>
      <c r="CE283" t="s">
        <v>111</v>
      </c>
      <c r="CF283" t="s">
        <v>111</v>
      </c>
      <c r="CG283" t="s">
        <v>111</v>
      </c>
      <c r="CH283" t="s">
        <v>111</v>
      </c>
      <c r="CI283" t="s">
        <v>111</v>
      </c>
      <c r="CJ283" t="s">
        <v>111</v>
      </c>
      <c r="CK283" t="s">
        <v>111</v>
      </c>
      <c r="CL283" t="s">
        <v>111</v>
      </c>
      <c r="CM283" t="s">
        <v>135</v>
      </c>
      <c r="CN283" t="s">
        <v>113</v>
      </c>
      <c r="CO283" t="s">
        <v>111</v>
      </c>
      <c r="CP283" t="s">
        <v>111</v>
      </c>
      <c r="CQ283">
        <v>35</v>
      </c>
      <c r="CR283">
        <v>1000</v>
      </c>
      <c r="CS283">
        <v>100</v>
      </c>
      <c r="CT283" s="1" t="s">
        <v>1038</v>
      </c>
      <c r="CU283">
        <v>0</v>
      </c>
      <c r="CV283" t="s">
        <v>111</v>
      </c>
      <c r="CW283" t="s">
        <v>111</v>
      </c>
      <c r="CX283" t="s">
        <v>111</v>
      </c>
      <c r="CY283">
        <v>0</v>
      </c>
      <c r="CZ283" t="s">
        <v>111</v>
      </c>
      <c r="DA283" t="s">
        <v>111</v>
      </c>
      <c r="DB283" t="s">
        <v>111</v>
      </c>
      <c r="DC283" t="s">
        <v>111</v>
      </c>
    </row>
    <row r="284" spans="1:107">
      <c r="A284">
        <v>414</v>
      </c>
      <c r="B284" t="s">
        <v>162</v>
      </c>
      <c r="C284" t="s">
        <v>336</v>
      </c>
      <c r="D284" t="s">
        <v>1078</v>
      </c>
      <c r="E284" t="s">
        <v>1079</v>
      </c>
      <c r="F284" t="s">
        <v>125</v>
      </c>
      <c r="G284" t="s">
        <v>469</v>
      </c>
      <c r="H284">
        <v>1.9</v>
      </c>
      <c r="I284">
        <v>51</v>
      </c>
      <c r="J284">
        <v>0</v>
      </c>
      <c r="K284">
        <v>0</v>
      </c>
      <c r="L284" t="s">
        <v>112</v>
      </c>
      <c r="M284" t="s">
        <v>138</v>
      </c>
      <c r="N284">
        <v>0</v>
      </c>
      <c r="O284">
        <v>0</v>
      </c>
      <c r="P284" t="s">
        <v>138</v>
      </c>
      <c r="Q284">
        <v>40</v>
      </c>
      <c r="R284">
        <v>0</v>
      </c>
      <c r="S284">
        <v>0</v>
      </c>
      <c r="T284">
        <v>0</v>
      </c>
      <c r="U284" s="1" t="s">
        <v>1080</v>
      </c>
      <c r="V284">
        <v>25</v>
      </c>
      <c r="W284">
        <v>0</v>
      </c>
      <c r="X284">
        <v>8</v>
      </c>
      <c r="Y284">
        <v>0</v>
      </c>
      <c r="Z284" t="s">
        <v>111</v>
      </c>
      <c r="AA284">
        <v>0</v>
      </c>
      <c r="AB284" t="s">
        <v>111</v>
      </c>
      <c r="AC284">
        <v>0</v>
      </c>
      <c r="AD284" t="s">
        <v>111</v>
      </c>
      <c r="AE284">
        <v>0</v>
      </c>
      <c r="AF284">
        <v>0</v>
      </c>
      <c r="AG284" t="s">
        <v>111</v>
      </c>
      <c r="AH284" t="s">
        <v>111</v>
      </c>
      <c r="AI284" t="s">
        <v>111</v>
      </c>
      <c r="AJ284" t="s">
        <v>111</v>
      </c>
      <c r="AK284" t="s">
        <v>111</v>
      </c>
      <c r="AL284" t="s">
        <v>111</v>
      </c>
      <c r="AM284">
        <v>0</v>
      </c>
      <c r="AN284">
        <v>0</v>
      </c>
      <c r="AO284">
        <v>0</v>
      </c>
      <c r="AP284" t="s">
        <v>111</v>
      </c>
      <c r="AQ284" t="s">
        <v>111</v>
      </c>
      <c r="AR284" t="s">
        <v>111</v>
      </c>
      <c r="AS284" t="s">
        <v>111</v>
      </c>
      <c r="AT284" t="s">
        <v>111</v>
      </c>
      <c r="AU284" t="s">
        <v>111</v>
      </c>
      <c r="AV284" t="s">
        <v>111</v>
      </c>
      <c r="AW284" t="s">
        <v>111</v>
      </c>
      <c r="AX284" t="s">
        <v>111</v>
      </c>
      <c r="AY284" t="s">
        <v>111</v>
      </c>
      <c r="AZ284" t="s">
        <v>111</v>
      </c>
      <c r="BA284" t="s">
        <v>111</v>
      </c>
      <c r="BB284" t="s">
        <v>111</v>
      </c>
      <c r="BC284" t="s">
        <v>111</v>
      </c>
      <c r="BD284" t="s">
        <v>111</v>
      </c>
      <c r="BE284" t="s">
        <v>111</v>
      </c>
      <c r="BF284" t="s">
        <v>111</v>
      </c>
      <c r="BG284" t="s">
        <v>111</v>
      </c>
      <c r="BH284" t="s">
        <v>111</v>
      </c>
      <c r="BI284" t="s">
        <v>111</v>
      </c>
      <c r="BJ284" t="s">
        <v>111</v>
      </c>
      <c r="BK284" t="s">
        <v>111</v>
      </c>
      <c r="BL284" t="s">
        <v>111</v>
      </c>
      <c r="BM284" t="s">
        <v>111</v>
      </c>
      <c r="BN284" t="s">
        <v>111</v>
      </c>
      <c r="BO284" t="s">
        <v>111</v>
      </c>
      <c r="BP284" t="s">
        <v>111</v>
      </c>
      <c r="BQ284" t="s">
        <v>111</v>
      </c>
      <c r="BR284" t="s">
        <v>111</v>
      </c>
      <c r="BS284" t="s">
        <v>111</v>
      </c>
      <c r="BT284" t="s">
        <v>111</v>
      </c>
      <c r="BU284" t="s">
        <v>111</v>
      </c>
      <c r="BV284" t="s">
        <v>111</v>
      </c>
      <c r="BW284" t="s">
        <v>111</v>
      </c>
      <c r="BX284" t="s">
        <v>111</v>
      </c>
      <c r="BY284" t="s">
        <v>111</v>
      </c>
      <c r="BZ284" t="s">
        <v>111</v>
      </c>
      <c r="CA284" t="s">
        <v>111</v>
      </c>
      <c r="CB284" t="s">
        <v>111</v>
      </c>
      <c r="CC284" t="s">
        <v>111</v>
      </c>
      <c r="CD284" t="s">
        <v>111</v>
      </c>
      <c r="CE284" t="s">
        <v>111</v>
      </c>
      <c r="CF284" t="s">
        <v>111</v>
      </c>
      <c r="CG284" t="s">
        <v>111</v>
      </c>
      <c r="CH284" t="s">
        <v>111</v>
      </c>
      <c r="CI284" t="s">
        <v>111</v>
      </c>
      <c r="CJ284" t="s">
        <v>111</v>
      </c>
      <c r="CK284" t="s">
        <v>111</v>
      </c>
      <c r="CL284" t="s">
        <v>111</v>
      </c>
      <c r="CM284" t="s">
        <v>135</v>
      </c>
      <c r="CN284" t="s">
        <v>128</v>
      </c>
      <c r="CO284" t="s">
        <v>111</v>
      </c>
      <c r="CP284" t="s">
        <v>111</v>
      </c>
      <c r="CQ284">
        <v>0</v>
      </c>
      <c r="CR284">
        <v>400</v>
      </c>
      <c r="CS284">
        <v>50</v>
      </c>
      <c r="CT284" t="s">
        <v>168</v>
      </c>
      <c r="CU284">
        <v>0</v>
      </c>
      <c r="CV284" t="s">
        <v>111</v>
      </c>
      <c r="CW284" t="s">
        <v>111</v>
      </c>
      <c r="CX284" t="s">
        <v>111</v>
      </c>
      <c r="CY284">
        <v>0</v>
      </c>
      <c r="CZ284" t="s">
        <v>111</v>
      </c>
      <c r="DA284" t="s">
        <v>111</v>
      </c>
      <c r="DB284" t="s">
        <v>111</v>
      </c>
      <c r="DC284" t="s">
        <v>111</v>
      </c>
    </row>
    <row r="285" spans="1:107">
      <c r="A285">
        <v>873</v>
      </c>
      <c r="B285" t="s">
        <v>107</v>
      </c>
      <c r="C285" t="s">
        <v>428</v>
      </c>
      <c r="D285" t="s">
        <v>1081</v>
      </c>
      <c r="E285" t="s">
        <v>1082</v>
      </c>
      <c r="F285" t="s">
        <v>192</v>
      </c>
      <c r="G285" t="s">
        <v>469</v>
      </c>
      <c r="H285">
        <v>1.25</v>
      </c>
      <c r="I285">
        <v>39.5</v>
      </c>
      <c r="J285">
        <v>0</v>
      </c>
      <c r="K285">
        <v>0</v>
      </c>
      <c r="L285" t="s">
        <v>112</v>
      </c>
      <c r="M285" t="s">
        <v>138</v>
      </c>
      <c r="N285">
        <v>0</v>
      </c>
      <c r="O285">
        <v>0</v>
      </c>
      <c r="P285" t="s">
        <v>138</v>
      </c>
      <c r="Q285">
        <v>30</v>
      </c>
      <c r="R285">
        <v>0</v>
      </c>
      <c r="S285">
        <v>0</v>
      </c>
      <c r="T285">
        <v>0</v>
      </c>
      <c r="U285" t="s">
        <v>296</v>
      </c>
      <c r="V285">
        <v>0</v>
      </c>
      <c r="W285">
        <v>25</v>
      </c>
      <c r="X285">
        <v>5</v>
      </c>
      <c r="Y285">
        <v>0</v>
      </c>
      <c r="Z285" t="s">
        <v>111</v>
      </c>
      <c r="AA285">
        <v>0</v>
      </c>
      <c r="AB285" t="s">
        <v>111</v>
      </c>
      <c r="AC285">
        <v>0</v>
      </c>
      <c r="AD285" t="s">
        <v>111</v>
      </c>
      <c r="AE285">
        <v>0</v>
      </c>
      <c r="AF285">
        <v>0</v>
      </c>
      <c r="AG285" t="s">
        <v>111</v>
      </c>
      <c r="AH285" t="s">
        <v>111</v>
      </c>
      <c r="AI285" t="s">
        <v>111</v>
      </c>
      <c r="AJ285" t="s">
        <v>111</v>
      </c>
      <c r="AK285" t="s">
        <v>111</v>
      </c>
      <c r="AL285" t="s">
        <v>111</v>
      </c>
      <c r="AM285">
        <v>0</v>
      </c>
      <c r="AN285">
        <v>0</v>
      </c>
      <c r="AO285">
        <v>0</v>
      </c>
      <c r="AP285" t="s">
        <v>111</v>
      </c>
      <c r="AQ285" t="s">
        <v>111</v>
      </c>
      <c r="AR285" t="s">
        <v>111</v>
      </c>
      <c r="AS285" t="s">
        <v>111</v>
      </c>
      <c r="AT285" t="s">
        <v>111</v>
      </c>
      <c r="AU285" t="s">
        <v>111</v>
      </c>
      <c r="AV285" t="s">
        <v>111</v>
      </c>
      <c r="AW285" t="s">
        <v>111</v>
      </c>
      <c r="AX285" t="s">
        <v>111</v>
      </c>
      <c r="AY285" t="s">
        <v>111</v>
      </c>
      <c r="AZ285" t="s">
        <v>111</v>
      </c>
      <c r="BA285" t="s">
        <v>111</v>
      </c>
      <c r="BB285" t="s">
        <v>111</v>
      </c>
      <c r="BC285" t="s">
        <v>111</v>
      </c>
      <c r="BD285" t="s">
        <v>111</v>
      </c>
      <c r="BE285" t="s">
        <v>111</v>
      </c>
      <c r="BF285" t="s">
        <v>111</v>
      </c>
      <c r="BG285" t="s">
        <v>111</v>
      </c>
      <c r="BH285" t="s">
        <v>111</v>
      </c>
      <c r="BI285" t="s">
        <v>111</v>
      </c>
      <c r="BJ285" t="s">
        <v>111</v>
      </c>
      <c r="BK285" t="s">
        <v>111</v>
      </c>
      <c r="BL285" t="s">
        <v>111</v>
      </c>
      <c r="BM285" t="s">
        <v>111</v>
      </c>
      <c r="BN285" t="s">
        <v>111</v>
      </c>
      <c r="BO285" t="s">
        <v>111</v>
      </c>
      <c r="BP285" t="s">
        <v>111</v>
      </c>
      <c r="BQ285" t="s">
        <v>111</v>
      </c>
      <c r="BR285" t="s">
        <v>111</v>
      </c>
      <c r="BS285" t="s">
        <v>111</v>
      </c>
      <c r="BT285" t="s">
        <v>111</v>
      </c>
      <c r="BU285" t="s">
        <v>111</v>
      </c>
      <c r="BV285" t="s">
        <v>111</v>
      </c>
      <c r="BW285" t="s">
        <v>111</v>
      </c>
      <c r="BX285" t="s">
        <v>111</v>
      </c>
      <c r="BY285" t="s">
        <v>111</v>
      </c>
      <c r="BZ285" t="s">
        <v>111</v>
      </c>
      <c r="CA285" t="s">
        <v>111</v>
      </c>
      <c r="CB285" t="s">
        <v>111</v>
      </c>
      <c r="CC285" t="s">
        <v>111</v>
      </c>
      <c r="CD285" t="s">
        <v>111</v>
      </c>
      <c r="CE285" t="s">
        <v>111</v>
      </c>
      <c r="CF285" t="s">
        <v>111</v>
      </c>
      <c r="CG285" t="s">
        <v>111</v>
      </c>
      <c r="CH285" t="s">
        <v>111</v>
      </c>
      <c r="CI285" t="s">
        <v>111</v>
      </c>
      <c r="CJ285" t="s">
        <v>111</v>
      </c>
      <c r="CK285" t="s">
        <v>111</v>
      </c>
      <c r="CL285" t="s">
        <v>111</v>
      </c>
      <c r="CM285" t="s">
        <v>135</v>
      </c>
      <c r="CN285" t="s">
        <v>113</v>
      </c>
      <c r="CO285" t="s">
        <v>111</v>
      </c>
      <c r="CP285" t="s">
        <v>111</v>
      </c>
      <c r="CQ285">
        <v>0</v>
      </c>
      <c r="CR285">
        <v>4000</v>
      </c>
      <c r="CS285">
        <v>200</v>
      </c>
      <c r="CT285" t="s">
        <v>394</v>
      </c>
      <c r="CU285">
        <v>0</v>
      </c>
      <c r="CV285" t="s">
        <v>111</v>
      </c>
      <c r="CW285" t="s">
        <v>111</v>
      </c>
      <c r="CX285" t="s">
        <v>111</v>
      </c>
      <c r="CY285">
        <v>0</v>
      </c>
      <c r="CZ285" t="s">
        <v>111</v>
      </c>
      <c r="DA285" t="s">
        <v>111</v>
      </c>
      <c r="DB285" t="s">
        <v>111</v>
      </c>
      <c r="DC285" t="s">
        <v>111</v>
      </c>
    </row>
    <row r="286" spans="1:107">
      <c r="A286">
        <v>872</v>
      </c>
      <c r="B286" t="s">
        <v>107</v>
      </c>
      <c r="C286" t="s">
        <v>801</v>
      </c>
      <c r="D286" t="s">
        <v>802</v>
      </c>
      <c r="E286" t="s">
        <v>1083</v>
      </c>
      <c r="F286" t="s">
        <v>722</v>
      </c>
      <c r="G286" t="s">
        <v>469</v>
      </c>
      <c r="H286">
        <v>0.8</v>
      </c>
      <c r="I286">
        <v>46</v>
      </c>
      <c r="J286">
        <v>0</v>
      </c>
      <c r="K286">
        <v>0</v>
      </c>
      <c r="L286" t="s">
        <v>112</v>
      </c>
      <c r="M286" t="s">
        <v>138</v>
      </c>
      <c r="N286">
        <v>0</v>
      </c>
      <c r="O286">
        <v>0</v>
      </c>
      <c r="P286" t="s">
        <v>138</v>
      </c>
      <c r="Q286">
        <v>36.799999999999997</v>
      </c>
      <c r="R286">
        <v>0</v>
      </c>
      <c r="S286">
        <v>0</v>
      </c>
      <c r="T286">
        <v>0</v>
      </c>
      <c r="U286" t="s">
        <v>1049</v>
      </c>
      <c r="V286">
        <v>0</v>
      </c>
      <c r="W286">
        <v>25</v>
      </c>
      <c r="X286">
        <v>6</v>
      </c>
      <c r="Y286">
        <v>0</v>
      </c>
      <c r="Z286" t="s">
        <v>111</v>
      </c>
      <c r="AA286">
        <v>0</v>
      </c>
      <c r="AB286" t="s">
        <v>111</v>
      </c>
      <c r="AC286">
        <v>0</v>
      </c>
      <c r="AD286" t="s">
        <v>111</v>
      </c>
      <c r="AE286">
        <v>0</v>
      </c>
      <c r="AF286">
        <v>0</v>
      </c>
      <c r="AG286" t="s">
        <v>111</v>
      </c>
      <c r="AH286" t="s">
        <v>111</v>
      </c>
      <c r="AI286" t="s">
        <v>111</v>
      </c>
      <c r="AJ286" t="s">
        <v>111</v>
      </c>
      <c r="AK286" t="s">
        <v>111</v>
      </c>
      <c r="AL286" t="s">
        <v>111</v>
      </c>
      <c r="AM286">
        <v>0</v>
      </c>
      <c r="AN286">
        <v>0</v>
      </c>
      <c r="AO286">
        <v>0</v>
      </c>
      <c r="AP286" t="s">
        <v>111</v>
      </c>
      <c r="AQ286" t="s">
        <v>111</v>
      </c>
      <c r="AR286" t="s">
        <v>111</v>
      </c>
      <c r="AS286" t="s">
        <v>111</v>
      </c>
      <c r="AT286" t="s">
        <v>111</v>
      </c>
      <c r="AU286" t="s">
        <v>111</v>
      </c>
      <c r="AV286" t="s">
        <v>111</v>
      </c>
      <c r="AW286" t="s">
        <v>111</v>
      </c>
      <c r="AX286" t="s">
        <v>111</v>
      </c>
      <c r="AY286" t="s">
        <v>111</v>
      </c>
      <c r="AZ286" t="s">
        <v>111</v>
      </c>
      <c r="BA286" t="s">
        <v>111</v>
      </c>
      <c r="BB286" t="s">
        <v>111</v>
      </c>
      <c r="BC286" t="s">
        <v>111</v>
      </c>
      <c r="BD286" t="s">
        <v>111</v>
      </c>
      <c r="BE286" t="s">
        <v>111</v>
      </c>
      <c r="BF286" t="s">
        <v>111</v>
      </c>
      <c r="BG286" t="s">
        <v>111</v>
      </c>
      <c r="BH286" t="s">
        <v>111</v>
      </c>
      <c r="BI286" t="s">
        <v>111</v>
      </c>
      <c r="BJ286" t="s">
        <v>111</v>
      </c>
      <c r="BK286" t="s">
        <v>111</v>
      </c>
      <c r="BL286" t="s">
        <v>111</v>
      </c>
      <c r="BM286" t="s">
        <v>111</v>
      </c>
      <c r="BN286" t="s">
        <v>111</v>
      </c>
      <c r="BO286" t="s">
        <v>111</v>
      </c>
      <c r="BP286" t="s">
        <v>111</v>
      </c>
      <c r="BQ286" t="s">
        <v>111</v>
      </c>
      <c r="BR286" t="s">
        <v>111</v>
      </c>
      <c r="BS286" t="s">
        <v>111</v>
      </c>
      <c r="BT286" t="s">
        <v>111</v>
      </c>
      <c r="BU286" t="s">
        <v>111</v>
      </c>
      <c r="BV286" t="s">
        <v>111</v>
      </c>
      <c r="BW286" t="s">
        <v>111</v>
      </c>
      <c r="BX286" t="s">
        <v>111</v>
      </c>
      <c r="BY286" t="s">
        <v>111</v>
      </c>
      <c r="BZ286" t="s">
        <v>111</v>
      </c>
      <c r="CA286" t="s">
        <v>111</v>
      </c>
      <c r="CB286" t="s">
        <v>111</v>
      </c>
      <c r="CC286" t="s">
        <v>111</v>
      </c>
      <c r="CD286" t="s">
        <v>111</v>
      </c>
      <c r="CE286" t="s">
        <v>111</v>
      </c>
      <c r="CF286" t="s">
        <v>111</v>
      </c>
      <c r="CG286" t="s">
        <v>111</v>
      </c>
      <c r="CH286" t="s">
        <v>111</v>
      </c>
      <c r="CI286" t="s">
        <v>111</v>
      </c>
      <c r="CJ286" t="s">
        <v>111</v>
      </c>
      <c r="CK286" t="s">
        <v>111</v>
      </c>
      <c r="CL286" t="s">
        <v>111</v>
      </c>
      <c r="CM286" t="s">
        <v>127</v>
      </c>
      <c r="CN286" t="s">
        <v>128</v>
      </c>
      <c r="CO286" t="s">
        <v>111</v>
      </c>
      <c r="CP286" t="s">
        <v>111</v>
      </c>
      <c r="CQ286">
        <v>0</v>
      </c>
      <c r="CR286">
        <v>1500</v>
      </c>
      <c r="CS286">
        <v>100</v>
      </c>
      <c r="CT286" t="s">
        <v>111</v>
      </c>
      <c r="CU286">
        <v>0</v>
      </c>
      <c r="CV286" t="s">
        <v>111</v>
      </c>
      <c r="CW286" t="s">
        <v>111</v>
      </c>
      <c r="CX286" t="s">
        <v>111</v>
      </c>
      <c r="CY286">
        <v>0</v>
      </c>
      <c r="CZ286" t="s">
        <v>111</v>
      </c>
      <c r="DA286" t="s">
        <v>111</v>
      </c>
      <c r="DB286" t="s">
        <v>204</v>
      </c>
      <c r="DC286" t="s">
        <v>1084</v>
      </c>
    </row>
    <row r="287" spans="1:107">
      <c r="A287">
        <v>882</v>
      </c>
      <c r="B287" t="s">
        <v>107</v>
      </c>
      <c r="C287" t="s">
        <v>1085</v>
      </c>
      <c r="D287" t="s">
        <v>1086</v>
      </c>
      <c r="E287" t="s">
        <v>1087</v>
      </c>
      <c r="F287" t="s">
        <v>370</v>
      </c>
      <c r="G287" t="s">
        <v>469</v>
      </c>
      <c r="H287">
        <v>1.5</v>
      </c>
      <c r="I287">
        <v>45</v>
      </c>
      <c r="J287">
        <v>0</v>
      </c>
      <c r="K287">
        <v>0</v>
      </c>
      <c r="L287" t="s">
        <v>112</v>
      </c>
      <c r="M287" t="s">
        <v>118</v>
      </c>
      <c r="N287">
        <v>39</v>
      </c>
      <c r="O287">
        <v>2</v>
      </c>
      <c r="P287" t="s">
        <v>138</v>
      </c>
      <c r="Q287">
        <v>33</v>
      </c>
      <c r="R287">
        <v>0</v>
      </c>
      <c r="S287">
        <v>0</v>
      </c>
      <c r="T287">
        <v>0</v>
      </c>
      <c r="U287" s="1" t="s">
        <v>1088</v>
      </c>
      <c r="V287">
        <v>25</v>
      </c>
      <c r="W287">
        <v>0</v>
      </c>
      <c r="X287">
        <v>8</v>
      </c>
      <c r="Y287">
        <v>0</v>
      </c>
      <c r="Z287" t="s">
        <v>288</v>
      </c>
      <c r="AA287">
        <v>0.5</v>
      </c>
      <c r="AB287" t="s">
        <v>111</v>
      </c>
      <c r="AC287">
        <v>0</v>
      </c>
      <c r="AD287" t="s">
        <v>416</v>
      </c>
      <c r="AE287">
        <v>1</v>
      </c>
      <c r="AF287">
        <v>2</v>
      </c>
      <c r="AG287" t="s">
        <v>1089</v>
      </c>
      <c r="AH287" t="s">
        <v>113</v>
      </c>
      <c r="AI287" t="s">
        <v>1090</v>
      </c>
      <c r="AJ287" t="s">
        <v>111</v>
      </c>
      <c r="AK287" t="s">
        <v>111</v>
      </c>
      <c r="AL287" t="s">
        <v>111</v>
      </c>
      <c r="AM287">
        <v>0</v>
      </c>
      <c r="AN287">
        <v>0</v>
      </c>
      <c r="AO287">
        <v>0</v>
      </c>
      <c r="AP287" t="s">
        <v>1091</v>
      </c>
      <c r="AQ287" t="s">
        <v>111</v>
      </c>
      <c r="AR287" t="s">
        <v>111</v>
      </c>
      <c r="AS287" t="s">
        <v>111</v>
      </c>
      <c r="AT287" t="s">
        <v>111</v>
      </c>
      <c r="AU287" t="s">
        <v>111</v>
      </c>
      <c r="AV287" t="s">
        <v>111</v>
      </c>
      <c r="AW287" t="s">
        <v>111</v>
      </c>
      <c r="AX287" t="s">
        <v>111</v>
      </c>
      <c r="AY287" t="s">
        <v>111</v>
      </c>
      <c r="AZ287" t="s">
        <v>111</v>
      </c>
      <c r="BA287" t="s">
        <v>111</v>
      </c>
      <c r="BB287" t="s">
        <v>111</v>
      </c>
      <c r="BC287" t="s">
        <v>111</v>
      </c>
      <c r="BD287" t="s">
        <v>111</v>
      </c>
      <c r="BE287" t="s">
        <v>111</v>
      </c>
      <c r="BF287" t="s">
        <v>111</v>
      </c>
      <c r="BG287" t="s">
        <v>111</v>
      </c>
      <c r="BH287" t="s">
        <v>111</v>
      </c>
      <c r="BI287" t="s">
        <v>111</v>
      </c>
      <c r="BJ287" t="s">
        <v>111</v>
      </c>
      <c r="BK287" t="s">
        <v>111</v>
      </c>
      <c r="BL287" t="s">
        <v>111</v>
      </c>
      <c r="BM287" t="s">
        <v>111</v>
      </c>
      <c r="BN287" t="s">
        <v>1091</v>
      </c>
      <c r="BO287" t="s">
        <v>111</v>
      </c>
      <c r="BP287" t="s">
        <v>111</v>
      </c>
      <c r="BQ287" t="s">
        <v>111</v>
      </c>
      <c r="BR287" t="s">
        <v>111</v>
      </c>
      <c r="BS287" t="s">
        <v>111</v>
      </c>
      <c r="BT287" t="s">
        <v>111</v>
      </c>
      <c r="BU287" t="s">
        <v>111</v>
      </c>
      <c r="BV287" t="s">
        <v>111</v>
      </c>
      <c r="BW287" t="s">
        <v>111</v>
      </c>
      <c r="BX287" t="s">
        <v>111</v>
      </c>
      <c r="BY287" t="s">
        <v>111</v>
      </c>
      <c r="BZ287" t="s">
        <v>111</v>
      </c>
      <c r="CA287" t="s">
        <v>111</v>
      </c>
      <c r="CB287" t="s">
        <v>111</v>
      </c>
      <c r="CC287" t="s">
        <v>111</v>
      </c>
      <c r="CD287" t="s">
        <v>111</v>
      </c>
      <c r="CE287" t="s">
        <v>111</v>
      </c>
      <c r="CF287" t="s">
        <v>111</v>
      </c>
      <c r="CG287" t="s">
        <v>111</v>
      </c>
      <c r="CH287" t="s">
        <v>111</v>
      </c>
      <c r="CI287" t="s">
        <v>111</v>
      </c>
      <c r="CJ287" t="s">
        <v>111</v>
      </c>
      <c r="CK287" t="s">
        <v>111</v>
      </c>
      <c r="CL287" s="1" t="s">
        <v>1092</v>
      </c>
      <c r="CM287" t="s">
        <v>198</v>
      </c>
      <c r="CN287" t="s">
        <v>113</v>
      </c>
      <c r="CO287" t="s">
        <v>111</v>
      </c>
      <c r="CP287" t="s">
        <v>111</v>
      </c>
      <c r="CQ287">
        <v>0</v>
      </c>
      <c r="CR287">
        <v>3000</v>
      </c>
      <c r="CS287">
        <v>100</v>
      </c>
      <c r="CT287" t="s">
        <v>459</v>
      </c>
      <c r="CU287">
        <v>0</v>
      </c>
      <c r="CV287" t="s">
        <v>111</v>
      </c>
      <c r="CW287" t="s">
        <v>111</v>
      </c>
      <c r="CX287" t="s">
        <v>111</v>
      </c>
      <c r="CY287">
        <v>0</v>
      </c>
      <c r="CZ287" t="s">
        <v>111</v>
      </c>
      <c r="DA287" t="s">
        <v>111</v>
      </c>
      <c r="DB287" t="s">
        <v>204</v>
      </c>
      <c r="DC287" t="s">
        <v>1093</v>
      </c>
    </row>
    <row r="288" spans="1:107">
      <c r="A288">
        <v>881</v>
      </c>
      <c r="B288" t="s">
        <v>107</v>
      </c>
      <c r="C288" t="s">
        <v>1085</v>
      </c>
      <c r="D288" t="s">
        <v>1094</v>
      </c>
      <c r="E288" t="s">
        <v>1095</v>
      </c>
      <c r="F288" t="s">
        <v>125</v>
      </c>
      <c r="G288" t="s">
        <v>469</v>
      </c>
      <c r="H288">
        <v>2</v>
      </c>
      <c r="I288">
        <v>90</v>
      </c>
      <c r="J288">
        <v>0</v>
      </c>
      <c r="K288">
        <v>0</v>
      </c>
      <c r="L288" t="s">
        <v>117</v>
      </c>
      <c r="M288" t="s">
        <v>118</v>
      </c>
      <c r="N288">
        <v>39</v>
      </c>
      <c r="O288">
        <v>1</v>
      </c>
      <c r="P288" t="s">
        <v>138</v>
      </c>
      <c r="Q288">
        <v>43.5</v>
      </c>
      <c r="R288">
        <v>0</v>
      </c>
      <c r="S288">
        <v>0</v>
      </c>
      <c r="T288">
        <v>0</v>
      </c>
      <c r="U288" s="1" t="s">
        <v>1096</v>
      </c>
      <c r="V288">
        <v>250</v>
      </c>
      <c r="W288">
        <v>0</v>
      </c>
      <c r="X288">
        <v>8</v>
      </c>
      <c r="Y288">
        <v>0</v>
      </c>
      <c r="Z288" t="s">
        <v>111</v>
      </c>
      <c r="AA288">
        <v>0</v>
      </c>
      <c r="AB288" t="s">
        <v>111</v>
      </c>
      <c r="AC288">
        <v>0</v>
      </c>
      <c r="AD288" t="s">
        <v>416</v>
      </c>
      <c r="AE288">
        <v>3</v>
      </c>
      <c r="AF288">
        <v>1</v>
      </c>
      <c r="AG288" t="s">
        <v>1097</v>
      </c>
      <c r="AH288" t="s">
        <v>113</v>
      </c>
      <c r="AI288" t="s">
        <v>1098</v>
      </c>
      <c r="AJ288" t="s">
        <v>111</v>
      </c>
      <c r="AK288" t="s">
        <v>111</v>
      </c>
      <c r="AL288" t="s">
        <v>111</v>
      </c>
      <c r="AM288">
        <v>0</v>
      </c>
      <c r="AN288">
        <v>0</v>
      </c>
      <c r="AO288">
        <v>0</v>
      </c>
      <c r="AP288" t="s">
        <v>679</v>
      </c>
      <c r="AQ288" t="s">
        <v>111</v>
      </c>
      <c r="AR288" t="s">
        <v>111</v>
      </c>
      <c r="AS288" t="s">
        <v>111</v>
      </c>
      <c r="AT288" t="s">
        <v>184</v>
      </c>
      <c r="AU288" t="s">
        <v>111</v>
      </c>
      <c r="AV288" t="s">
        <v>111</v>
      </c>
      <c r="AW288" t="s">
        <v>111</v>
      </c>
      <c r="AX288" t="s">
        <v>259</v>
      </c>
      <c r="AY288" t="s">
        <v>111</v>
      </c>
      <c r="AZ288" t="s">
        <v>111</v>
      </c>
      <c r="BA288" t="s">
        <v>111</v>
      </c>
      <c r="BB288" t="s">
        <v>111</v>
      </c>
      <c r="BC288" t="s">
        <v>111</v>
      </c>
      <c r="BD288" t="s">
        <v>111</v>
      </c>
      <c r="BE288" t="s">
        <v>111</v>
      </c>
      <c r="BF288" t="s">
        <v>111</v>
      </c>
      <c r="BG288" t="s">
        <v>111</v>
      </c>
      <c r="BH288" t="s">
        <v>111</v>
      </c>
      <c r="BI288" t="s">
        <v>111</v>
      </c>
      <c r="BJ288" t="s">
        <v>111</v>
      </c>
      <c r="BK288" t="s">
        <v>111</v>
      </c>
      <c r="BL288" t="s">
        <v>111</v>
      </c>
      <c r="BM288" t="s">
        <v>111</v>
      </c>
      <c r="BN288" t="s">
        <v>111</v>
      </c>
      <c r="BO288" t="s">
        <v>111</v>
      </c>
      <c r="BP288" t="s">
        <v>111</v>
      </c>
      <c r="BQ288" t="s">
        <v>111</v>
      </c>
      <c r="BR288" t="s">
        <v>111</v>
      </c>
      <c r="BS288" t="s">
        <v>111</v>
      </c>
      <c r="BT288" t="s">
        <v>111</v>
      </c>
      <c r="BU288" t="s">
        <v>111</v>
      </c>
      <c r="BV288" t="s">
        <v>111</v>
      </c>
      <c r="BW288" t="s">
        <v>111</v>
      </c>
      <c r="BX288" t="s">
        <v>111</v>
      </c>
      <c r="BY288" t="s">
        <v>111</v>
      </c>
      <c r="BZ288" t="s">
        <v>111</v>
      </c>
      <c r="CA288" t="s">
        <v>111</v>
      </c>
      <c r="CB288" t="s">
        <v>111</v>
      </c>
      <c r="CC288" t="s">
        <v>111</v>
      </c>
      <c r="CD288" t="s">
        <v>111</v>
      </c>
      <c r="CE288" t="s">
        <v>111</v>
      </c>
      <c r="CF288" t="s">
        <v>111</v>
      </c>
      <c r="CG288" t="s">
        <v>111</v>
      </c>
      <c r="CH288" t="s">
        <v>111</v>
      </c>
      <c r="CI288" t="s">
        <v>111</v>
      </c>
      <c r="CJ288" t="s">
        <v>111</v>
      </c>
      <c r="CK288" t="s">
        <v>111</v>
      </c>
      <c r="CL288" t="e">
        <f>-DESTINO SELLADO</f>
        <v>#NAME?</v>
      </c>
      <c r="CM288" t="s">
        <v>198</v>
      </c>
      <c r="CN288" t="s">
        <v>113</v>
      </c>
      <c r="CO288" t="s">
        <v>111</v>
      </c>
      <c r="CP288" t="s">
        <v>111</v>
      </c>
      <c r="CQ288">
        <v>0</v>
      </c>
      <c r="CR288">
        <v>3000</v>
      </c>
      <c r="CS288">
        <v>100</v>
      </c>
      <c r="CT288" s="1" t="s">
        <v>1099</v>
      </c>
      <c r="CU288">
        <v>0</v>
      </c>
      <c r="CV288" t="s">
        <v>111</v>
      </c>
      <c r="CW288" t="s">
        <v>111</v>
      </c>
      <c r="CX288" t="s">
        <v>111</v>
      </c>
      <c r="CY288">
        <v>0</v>
      </c>
      <c r="CZ288" t="s">
        <v>111</v>
      </c>
      <c r="DA288" t="s">
        <v>111</v>
      </c>
      <c r="DB288" t="s">
        <v>204</v>
      </c>
      <c r="DC288" t="s">
        <v>1100</v>
      </c>
    </row>
    <row r="289" spans="1:107">
      <c r="A289">
        <v>942</v>
      </c>
      <c r="B289" t="s">
        <v>107</v>
      </c>
      <c r="C289" t="s">
        <v>773</v>
      </c>
      <c r="D289" t="s">
        <v>1101</v>
      </c>
      <c r="E289" t="s">
        <v>1102</v>
      </c>
      <c r="F289" t="s">
        <v>431</v>
      </c>
      <c r="G289" t="s">
        <v>469</v>
      </c>
      <c r="H289">
        <v>1.5</v>
      </c>
      <c r="I289">
        <v>70</v>
      </c>
      <c r="J289">
        <v>0</v>
      </c>
      <c r="K289">
        <v>0</v>
      </c>
      <c r="L289" t="s">
        <v>112</v>
      </c>
      <c r="M289" t="s">
        <v>118</v>
      </c>
      <c r="N289">
        <v>38</v>
      </c>
      <c r="O289">
        <v>1</v>
      </c>
      <c r="P289" t="s">
        <v>111</v>
      </c>
      <c r="Q289">
        <v>41</v>
      </c>
      <c r="R289">
        <v>0</v>
      </c>
      <c r="S289">
        <v>0</v>
      </c>
      <c r="T289">
        <v>0</v>
      </c>
      <c r="U289" t="s">
        <v>501</v>
      </c>
      <c r="V289">
        <v>0</v>
      </c>
      <c r="W289">
        <v>250</v>
      </c>
      <c r="X289">
        <v>7</v>
      </c>
      <c r="Y289">
        <v>0</v>
      </c>
      <c r="Z289" t="s">
        <v>111</v>
      </c>
      <c r="AA289">
        <v>0</v>
      </c>
      <c r="AB289" t="s">
        <v>111</v>
      </c>
      <c r="AC289">
        <v>0</v>
      </c>
      <c r="AD289" t="s">
        <v>416</v>
      </c>
      <c r="AE289">
        <v>1</v>
      </c>
      <c r="AF289">
        <v>1</v>
      </c>
      <c r="AG289" t="s">
        <v>1103</v>
      </c>
      <c r="AH289" t="s">
        <v>113</v>
      </c>
      <c r="AI289" t="s">
        <v>1103</v>
      </c>
      <c r="AJ289" t="s">
        <v>111</v>
      </c>
      <c r="AK289" t="s">
        <v>111</v>
      </c>
      <c r="AL289" t="s">
        <v>111</v>
      </c>
      <c r="AM289">
        <v>0</v>
      </c>
      <c r="AN289">
        <v>0</v>
      </c>
      <c r="AO289">
        <v>0</v>
      </c>
      <c r="AP289" t="s">
        <v>111</v>
      </c>
      <c r="AQ289" t="s">
        <v>111</v>
      </c>
      <c r="AR289" t="s">
        <v>111</v>
      </c>
      <c r="AS289" t="s">
        <v>111</v>
      </c>
      <c r="AT289" t="s">
        <v>111</v>
      </c>
      <c r="AU289" t="s">
        <v>111</v>
      </c>
      <c r="AV289" t="s">
        <v>111</v>
      </c>
      <c r="AW289" t="s">
        <v>111</v>
      </c>
      <c r="AX289" t="s">
        <v>111</v>
      </c>
      <c r="AY289" t="s">
        <v>111</v>
      </c>
      <c r="AZ289" t="s">
        <v>111</v>
      </c>
      <c r="BA289" t="s">
        <v>111</v>
      </c>
      <c r="BB289" t="s">
        <v>111</v>
      </c>
      <c r="BC289" t="s">
        <v>111</v>
      </c>
      <c r="BD289" t="s">
        <v>111</v>
      </c>
      <c r="BE289" t="s">
        <v>111</v>
      </c>
      <c r="BF289" t="s">
        <v>111</v>
      </c>
      <c r="BG289" t="s">
        <v>111</v>
      </c>
      <c r="BH289" t="s">
        <v>111</v>
      </c>
      <c r="BI289" t="s">
        <v>111</v>
      </c>
      <c r="BJ289" t="s">
        <v>111</v>
      </c>
      <c r="BK289" t="s">
        <v>111</v>
      </c>
      <c r="BL289" t="s">
        <v>111</v>
      </c>
      <c r="BM289" t="s">
        <v>111</v>
      </c>
      <c r="BN289" t="s">
        <v>111</v>
      </c>
      <c r="BO289" t="s">
        <v>111</v>
      </c>
      <c r="BP289" t="s">
        <v>111</v>
      </c>
      <c r="BQ289" t="s">
        <v>111</v>
      </c>
      <c r="BR289" t="s">
        <v>111</v>
      </c>
      <c r="BS289" t="s">
        <v>111</v>
      </c>
      <c r="BT289" t="s">
        <v>111</v>
      </c>
      <c r="BU289" t="s">
        <v>111</v>
      </c>
      <c r="BV289" t="s">
        <v>111</v>
      </c>
      <c r="BW289" t="s">
        <v>111</v>
      </c>
      <c r="BX289" t="s">
        <v>111</v>
      </c>
      <c r="BY289" t="s">
        <v>111</v>
      </c>
      <c r="BZ289" t="s">
        <v>111</v>
      </c>
      <c r="CA289" t="s">
        <v>111</v>
      </c>
      <c r="CB289" t="s">
        <v>111</v>
      </c>
      <c r="CC289" t="s">
        <v>111</v>
      </c>
      <c r="CD289" t="s">
        <v>111</v>
      </c>
      <c r="CE289" t="s">
        <v>111</v>
      </c>
      <c r="CF289" t="s">
        <v>111</v>
      </c>
      <c r="CG289" t="s">
        <v>111</v>
      </c>
      <c r="CH289" t="s">
        <v>111</v>
      </c>
      <c r="CI289" t="s">
        <v>111</v>
      </c>
      <c r="CJ289" t="s">
        <v>111</v>
      </c>
      <c r="CK289" t="s">
        <v>111</v>
      </c>
      <c r="CL289" t="e">
        <f>-DESTINO SELLADO</f>
        <v>#NAME?</v>
      </c>
      <c r="CM289" t="s">
        <v>198</v>
      </c>
      <c r="CN289" t="s">
        <v>113</v>
      </c>
      <c r="CO289" t="s">
        <v>111</v>
      </c>
      <c r="CP289" t="e">
        <f>-MUESTRA</f>
        <v>#NAME?</v>
      </c>
      <c r="CQ289">
        <v>0</v>
      </c>
      <c r="CR289">
        <v>1000</v>
      </c>
      <c r="CS289">
        <v>100</v>
      </c>
      <c r="CT289" s="1" t="s">
        <v>1104</v>
      </c>
      <c r="CU289">
        <v>0</v>
      </c>
      <c r="CV289" t="s">
        <v>111</v>
      </c>
      <c r="CW289" t="s">
        <v>111</v>
      </c>
      <c r="CX289" t="s">
        <v>111</v>
      </c>
      <c r="CY289">
        <v>0</v>
      </c>
      <c r="CZ289" t="s">
        <v>111</v>
      </c>
      <c r="DA289" t="s">
        <v>111</v>
      </c>
      <c r="DB289" t="s">
        <v>111</v>
      </c>
      <c r="DC289" t="s">
        <v>111</v>
      </c>
    </row>
    <row r="290" spans="1:107">
      <c r="A290">
        <v>941</v>
      </c>
      <c r="B290" t="s">
        <v>107</v>
      </c>
      <c r="C290" t="s">
        <v>773</v>
      </c>
      <c r="D290" t="s">
        <v>1101</v>
      </c>
      <c r="E290" t="s">
        <v>1105</v>
      </c>
      <c r="F290" t="s">
        <v>431</v>
      </c>
      <c r="G290" t="s">
        <v>469</v>
      </c>
      <c r="H290">
        <v>1.5</v>
      </c>
      <c r="I290">
        <v>70</v>
      </c>
      <c r="J290">
        <v>0</v>
      </c>
      <c r="K290">
        <v>0</v>
      </c>
      <c r="L290" t="s">
        <v>112</v>
      </c>
      <c r="M290" t="s">
        <v>118</v>
      </c>
      <c r="N290">
        <v>39</v>
      </c>
      <c r="O290">
        <v>1</v>
      </c>
      <c r="P290" t="s">
        <v>111</v>
      </c>
      <c r="Q290">
        <v>51</v>
      </c>
      <c r="R290">
        <v>0</v>
      </c>
      <c r="S290">
        <v>0</v>
      </c>
      <c r="T290">
        <v>0</v>
      </c>
      <c r="U290" t="s">
        <v>501</v>
      </c>
      <c r="V290">
        <v>0</v>
      </c>
      <c r="W290">
        <v>25</v>
      </c>
      <c r="X290">
        <v>7</v>
      </c>
      <c r="Y290">
        <v>0</v>
      </c>
      <c r="Z290" t="s">
        <v>111</v>
      </c>
      <c r="AA290">
        <v>0</v>
      </c>
      <c r="AB290" t="s">
        <v>111</v>
      </c>
      <c r="AC290">
        <v>0</v>
      </c>
      <c r="AD290" t="s">
        <v>416</v>
      </c>
      <c r="AE290">
        <v>1</v>
      </c>
      <c r="AF290">
        <v>1</v>
      </c>
      <c r="AG290" t="s">
        <v>1103</v>
      </c>
      <c r="AH290" t="s">
        <v>113</v>
      </c>
      <c r="AI290" t="s">
        <v>1103</v>
      </c>
      <c r="AJ290" t="s">
        <v>111</v>
      </c>
      <c r="AK290" t="s">
        <v>111</v>
      </c>
      <c r="AL290" t="s">
        <v>111</v>
      </c>
      <c r="AM290">
        <v>0</v>
      </c>
      <c r="AN290">
        <v>0</v>
      </c>
      <c r="AO290">
        <v>0</v>
      </c>
      <c r="AP290" t="s">
        <v>188</v>
      </c>
      <c r="AQ290" t="s">
        <v>111</v>
      </c>
      <c r="AR290" t="s">
        <v>111</v>
      </c>
      <c r="AS290" t="s">
        <v>111</v>
      </c>
      <c r="AT290" t="s">
        <v>111</v>
      </c>
      <c r="AU290" t="s">
        <v>111</v>
      </c>
      <c r="AV290" t="s">
        <v>111</v>
      </c>
      <c r="AW290" t="s">
        <v>111</v>
      </c>
      <c r="AX290" t="s">
        <v>111</v>
      </c>
      <c r="AY290" t="s">
        <v>111</v>
      </c>
      <c r="AZ290" t="s">
        <v>111</v>
      </c>
      <c r="BA290" t="s">
        <v>111</v>
      </c>
      <c r="BB290" t="s">
        <v>111</v>
      </c>
      <c r="BC290" t="s">
        <v>111</v>
      </c>
      <c r="BD290" t="s">
        <v>111</v>
      </c>
      <c r="BE290" t="s">
        <v>111</v>
      </c>
      <c r="BF290" t="s">
        <v>111</v>
      </c>
      <c r="BG290" t="s">
        <v>111</v>
      </c>
      <c r="BH290" t="s">
        <v>111</v>
      </c>
      <c r="BI290" t="s">
        <v>111</v>
      </c>
      <c r="BJ290" t="s">
        <v>111</v>
      </c>
      <c r="BK290" t="s">
        <v>111</v>
      </c>
      <c r="BL290" t="s">
        <v>111</v>
      </c>
      <c r="BM290" t="s">
        <v>111</v>
      </c>
      <c r="BN290" t="s">
        <v>111</v>
      </c>
      <c r="BO290" t="s">
        <v>111</v>
      </c>
      <c r="BP290" t="s">
        <v>111</v>
      </c>
      <c r="BQ290" t="s">
        <v>111</v>
      </c>
      <c r="BR290" t="s">
        <v>111</v>
      </c>
      <c r="BS290" t="s">
        <v>111</v>
      </c>
      <c r="BT290" t="s">
        <v>111</v>
      </c>
      <c r="BU290" t="s">
        <v>111</v>
      </c>
      <c r="BV290" t="s">
        <v>111</v>
      </c>
      <c r="BW290" t="s">
        <v>111</v>
      </c>
      <c r="BX290" t="s">
        <v>111</v>
      </c>
      <c r="BY290" t="s">
        <v>111</v>
      </c>
      <c r="BZ290" t="s">
        <v>111</v>
      </c>
      <c r="CA290" t="s">
        <v>111</v>
      </c>
      <c r="CB290" t="s">
        <v>111</v>
      </c>
      <c r="CC290" t="s">
        <v>111</v>
      </c>
      <c r="CD290" t="s">
        <v>111</v>
      </c>
      <c r="CE290" t="s">
        <v>111</v>
      </c>
      <c r="CF290" t="s">
        <v>111</v>
      </c>
      <c r="CG290" t="s">
        <v>111</v>
      </c>
      <c r="CH290" t="s">
        <v>111</v>
      </c>
      <c r="CI290" t="s">
        <v>111</v>
      </c>
      <c r="CJ290" t="s">
        <v>111</v>
      </c>
      <c r="CK290" t="s">
        <v>111</v>
      </c>
      <c r="CL290" t="e">
        <f>-DESTINO SELLADO</f>
        <v>#NAME?</v>
      </c>
      <c r="CM290" t="s">
        <v>198</v>
      </c>
      <c r="CN290" t="s">
        <v>113</v>
      </c>
      <c r="CO290" t="s">
        <v>111</v>
      </c>
      <c r="CP290" t="e">
        <f>-MUESTRA</f>
        <v>#NAME?</v>
      </c>
      <c r="CQ290">
        <v>0</v>
      </c>
      <c r="CR290">
        <v>1000</v>
      </c>
      <c r="CS290">
        <v>100</v>
      </c>
      <c r="CT290" s="1" t="s">
        <v>1104</v>
      </c>
      <c r="CU290">
        <v>0</v>
      </c>
      <c r="CV290" t="s">
        <v>111</v>
      </c>
      <c r="CW290" t="s">
        <v>111</v>
      </c>
      <c r="CX290" t="s">
        <v>111</v>
      </c>
      <c r="CY290">
        <v>0</v>
      </c>
      <c r="CZ290" t="s">
        <v>111</v>
      </c>
      <c r="DA290" t="s">
        <v>111</v>
      </c>
      <c r="DB290" t="s">
        <v>111</v>
      </c>
      <c r="DC290" t="s">
        <v>111</v>
      </c>
    </row>
    <row r="291" spans="1:107">
      <c r="A291">
        <v>940</v>
      </c>
      <c r="B291" t="s">
        <v>107</v>
      </c>
      <c r="C291" t="s">
        <v>1106</v>
      </c>
      <c r="D291" t="s">
        <v>1107</v>
      </c>
      <c r="E291" t="s">
        <v>1108</v>
      </c>
      <c r="F291" t="s">
        <v>166</v>
      </c>
      <c r="G291" t="s">
        <v>469</v>
      </c>
      <c r="H291">
        <v>2</v>
      </c>
      <c r="I291">
        <v>70</v>
      </c>
      <c r="J291">
        <v>0</v>
      </c>
      <c r="K291">
        <v>0</v>
      </c>
      <c r="L291" t="s">
        <v>112</v>
      </c>
      <c r="M291" t="s">
        <v>111</v>
      </c>
      <c r="N291">
        <v>0</v>
      </c>
      <c r="O291">
        <v>0</v>
      </c>
      <c r="P291" t="s">
        <v>111</v>
      </c>
      <c r="Q291">
        <v>35</v>
      </c>
      <c r="R291">
        <v>0</v>
      </c>
      <c r="S291">
        <v>0</v>
      </c>
      <c r="T291">
        <v>0</v>
      </c>
      <c r="U291" s="1" t="s">
        <v>344</v>
      </c>
      <c r="V291">
        <v>25</v>
      </c>
      <c r="W291">
        <v>0</v>
      </c>
      <c r="X291">
        <v>8</v>
      </c>
      <c r="Y291">
        <v>0</v>
      </c>
      <c r="Z291" t="s">
        <v>111</v>
      </c>
      <c r="AA291">
        <v>0</v>
      </c>
      <c r="AB291" t="s">
        <v>111</v>
      </c>
      <c r="AC291">
        <v>0</v>
      </c>
      <c r="AD291" t="s">
        <v>111</v>
      </c>
      <c r="AE291">
        <v>0</v>
      </c>
      <c r="AF291">
        <v>0</v>
      </c>
      <c r="AG291" t="s">
        <v>111</v>
      </c>
      <c r="AH291" t="s">
        <v>111</v>
      </c>
      <c r="AI291" t="s">
        <v>111</v>
      </c>
      <c r="AJ291" t="s">
        <v>111</v>
      </c>
      <c r="AK291" t="s">
        <v>111</v>
      </c>
      <c r="AL291" t="s">
        <v>111</v>
      </c>
      <c r="AM291">
        <v>0</v>
      </c>
      <c r="AN291">
        <v>0</v>
      </c>
      <c r="AO291">
        <v>0</v>
      </c>
      <c r="AP291" t="s">
        <v>111</v>
      </c>
      <c r="AQ291" t="s">
        <v>111</v>
      </c>
      <c r="AR291" t="s">
        <v>111</v>
      </c>
      <c r="AS291" t="s">
        <v>111</v>
      </c>
      <c r="AT291" t="s">
        <v>111</v>
      </c>
      <c r="AU291" t="s">
        <v>111</v>
      </c>
      <c r="AV291" t="s">
        <v>111</v>
      </c>
      <c r="AW291" t="s">
        <v>111</v>
      </c>
      <c r="AX291" t="s">
        <v>111</v>
      </c>
      <c r="AY291" t="s">
        <v>111</v>
      </c>
      <c r="AZ291" t="s">
        <v>111</v>
      </c>
      <c r="BA291" t="s">
        <v>111</v>
      </c>
      <c r="BB291" t="s">
        <v>111</v>
      </c>
      <c r="BC291" t="s">
        <v>111</v>
      </c>
      <c r="BD291" t="s">
        <v>111</v>
      </c>
      <c r="BE291" t="s">
        <v>111</v>
      </c>
      <c r="BF291" t="s">
        <v>111</v>
      </c>
      <c r="BG291" t="s">
        <v>111</v>
      </c>
      <c r="BH291" t="s">
        <v>111</v>
      </c>
      <c r="BI291" t="s">
        <v>111</v>
      </c>
      <c r="BJ291" t="s">
        <v>111</v>
      </c>
      <c r="BK291" t="s">
        <v>111</v>
      </c>
      <c r="BL291" t="s">
        <v>111</v>
      </c>
      <c r="BM291" t="s">
        <v>111</v>
      </c>
      <c r="BN291" t="s">
        <v>111</v>
      </c>
      <c r="BO291" t="s">
        <v>111</v>
      </c>
      <c r="BP291" t="s">
        <v>111</v>
      </c>
      <c r="BQ291" t="s">
        <v>111</v>
      </c>
      <c r="BR291" t="s">
        <v>111</v>
      </c>
      <c r="BS291" t="s">
        <v>111</v>
      </c>
      <c r="BT291" t="s">
        <v>111</v>
      </c>
      <c r="BU291" t="s">
        <v>111</v>
      </c>
      <c r="BV291" t="s">
        <v>111</v>
      </c>
      <c r="BW291" t="s">
        <v>111</v>
      </c>
      <c r="BX291" t="s">
        <v>111</v>
      </c>
      <c r="BY291" t="s">
        <v>111</v>
      </c>
      <c r="BZ291" t="s">
        <v>111</v>
      </c>
      <c r="CA291" t="s">
        <v>111</v>
      </c>
      <c r="CB291" t="s">
        <v>111</v>
      </c>
      <c r="CC291" t="s">
        <v>111</v>
      </c>
      <c r="CD291" t="s">
        <v>111</v>
      </c>
      <c r="CE291" t="s">
        <v>111</v>
      </c>
      <c r="CF291" t="s">
        <v>111</v>
      </c>
      <c r="CG291" t="s">
        <v>111</v>
      </c>
      <c r="CH291" t="s">
        <v>111</v>
      </c>
      <c r="CI291" t="s">
        <v>111</v>
      </c>
      <c r="CJ291" t="s">
        <v>111</v>
      </c>
      <c r="CK291" t="s">
        <v>111</v>
      </c>
      <c r="CL291" t="s">
        <v>111</v>
      </c>
      <c r="CM291" t="s">
        <v>111</v>
      </c>
      <c r="CN291" t="s">
        <v>111</v>
      </c>
      <c r="CO291" t="s">
        <v>111</v>
      </c>
      <c r="CP291" t="s">
        <v>111</v>
      </c>
      <c r="CQ291">
        <v>0</v>
      </c>
      <c r="CR291">
        <v>0</v>
      </c>
      <c r="CS291">
        <v>0</v>
      </c>
      <c r="CT291" t="s">
        <v>111</v>
      </c>
      <c r="CU291">
        <v>0</v>
      </c>
      <c r="CV291" t="s">
        <v>111</v>
      </c>
      <c r="CW291" t="s">
        <v>111</v>
      </c>
      <c r="CX291" t="s">
        <v>111</v>
      </c>
      <c r="CY291">
        <v>0</v>
      </c>
      <c r="CZ291" t="s">
        <v>111</v>
      </c>
      <c r="DA291" t="s">
        <v>111</v>
      </c>
      <c r="DB291" t="s">
        <v>111</v>
      </c>
      <c r="DC291" t="s">
        <v>111</v>
      </c>
    </row>
    <row r="292" spans="1:107">
      <c r="A292">
        <v>938</v>
      </c>
      <c r="B292" t="s">
        <v>107</v>
      </c>
      <c r="C292" t="s">
        <v>1109</v>
      </c>
      <c r="D292" t="s">
        <v>1110</v>
      </c>
      <c r="E292" t="s">
        <v>1111</v>
      </c>
      <c r="F292" t="s">
        <v>1112</v>
      </c>
      <c r="G292" t="s">
        <v>469</v>
      </c>
      <c r="H292">
        <v>1</v>
      </c>
      <c r="I292">
        <v>60</v>
      </c>
      <c r="J292">
        <v>10</v>
      </c>
      <c r="K292">
        <v>10</v>
      </c>
      <c r="L292" t="s">
        <v>112</v>
      </c>
      <c r="M292" t="s">
        <v>111</v>
      </c>
      <c r="N292">
        <v>0</v>
      </c>
      <c r="O292">
        <v>0</v>
      </c>
      <c r="P292" t="s">
        <v>111</v>
      </c>
      <c r="Q292">
        <v>10</v>
      </c>
      <c r="R292">
        <v>0</v>
      </c>
      <c r="S292">
        <v>0</v>
      </c>
      <c r="T292">
        <v>0</v>
      </c>
      <c r="U292" s="1" t="s">
        <v>1113</v>
      </c>
      <c r="V292">
        <v>25</v>
      </c>
      <c r="W292">
        <v>0</v>
      </c>
      <c r="X292">
        <v>7</v>
      </c>
      <c r="Y292">
        <v>0</v>
      </c>
      <c r="Z292" t="s">
        <v>772</v>
      </c>
      <c r="AA292">
        <v>1.3</v>
      </c>
      <c r="AB292" t="s">
        <v>111</v>
      </c>
      <c r="AC292">
        <v>0</v>
      </c>
      <c r="AD292" t="s">
        <v>111</v>
      </c>
      <c r="AE292">
        <v>0</v>
      </c>
      <c r="AF292">
        <v>0</v>
      </c>
      <c r="AG292" t="s">
        <v>111</v>
      </c>
      <c r="AH292" t="s">
        <v>111</v>
      </c>
      <c r="AI292" t="s">
        <v>111</v>
      </c>
      <c r="AJ292" t="s">
        <v>111</v>
      </c>
      <c r="AK292" t="s">
        <v>111</v>
      </c>
      <c r="AL292" t="s">
        <v>111</v>
      </c>
      <c r="AM292">
        <v>0</v>
      </c>
      <c r="AN292">
        <v>0</v>
      </c>
      <c r="AO292">
        <v>0</v>
      </c>
      <c r="AP292" t="s">
        <v>111</v>
      </c>
      <c r="AQ292" t="s">
        <v>111</v>
      </c>
      <c r="AR292" t="s">
        <v>111</v>
      </c>
      <c r="AS292" t="s">
        <v>111</v>
      </c>
      <c r="AT292" t="s">
        <v>111</v>
      </c>
      <c r="AU292" t="s">
        <v>111</v>
      </c>
      <c r="AV292" t="s">
        <v>111</v>
      </c>
      <c r="AW292" t="s">
        <v>111</v>
      </c>
      <c r="AX292" t="s">
        <v>111</v>
      </c>
      <c r="AY292" t="s">
        <v>111</v>
      </c>
      <c r="AZ292" t="s">
        <v>111</v>
      </c>
      <c r="BA292" t="s">
        <v>111</v>
      </c>
      <c r="BB292" t="s">
        <v>111</v>
      </c>
      <c r="BC292" t="s">
        <v>111</v>
      </c>
      <c r="BD292" t="s">
        <v>111</v>
      </c>
      <c r="BE292" t="s">
        <v>111</v>
      </c>
      <c r="BF292" t="s">
        <v>111</v>
      </c>
      <c r="BG292" t="s">
        <v>111</v>
      </c>
      <c r="BH292" t="s">
        <v>111</v>
      </c>
      <c r="BI292" t="s">
        <v>111</v>
      </c>
      <c r="BJ292" t="s">
        <v>111</v>
      </c>
      <c r="BK292" t="s">
        <v>111</v>
      </c>
      <c r="BL292" t="s">
        <v>111</v>
      </c>
      <c r="BM292" t="s">
        <v>111</v>
      </c>
      <c r="BN292" t="s">
        <v>111</v>
      </c>
      <c r="BO292" t="s">
        <v>111</v>
      </c>
      <c r="BP292" t="s">
        <v>111</v>
      </c>
      <c r="BQ292" t="s">
        <v>111</v>
      </c>
      <c r="BR292" t="s">
        <v>111</v>
      </c>
      <c r="BS292" t="s">
        <v>111</v>
      </c>
      <c r="BT292" t="s">
        <v>111</v>
      </c>
      <c r="BU292" t="s">
        <v>111</v>
      </c>
      <c r="BV292" t="s">
        <v>111</v>
      </c>
      <c r="BW292" t="s">
        <v>111</v>
      </c>
      <c r="BX292" t="s">
        <v>111</v>
      </c>
      <c r="BY292" t="s">
        <v>111</v>
      </c>
      <c r="BZ292" t="s">
        <v>111</v>
      </c>
      <c r="CA292" t="s">
        <v>111</v>
      </c>
      <c r="CB292" t="s">
        <v>111</v>
      </c>
      <c r="CC292" t="s">
        <v>111</v>
      </c>
      <c r="CD292" t="s">
        <v>111</v>
      </c>
      <c r="CE292" t="s">
        <v>111</v>
      </c>
      <c r="CF292" t="s">
        <v>111</v>
      </c>
      <c r="CG292" t="s">
        <v>111</v>
      </c>
      <c r="CH292" t="s">
        <v>111</v>
      </c>
      <c r="CI292" t="s">
        <v>111</v>
      </c>
      <c r="CJ292" t="s">
        <v>111</v>
      </c>
      <c r="CK292" t="s">
        <v>111</v>
      </c>
      <c r="CL292" t="s">
        <v>111</v>
      </c>
      <c r="CM292" t="s">
        <v>127</v>
      </c>
      <c r="CN292" t="s">
        <v>128</v>
      </c>
      <c r="CO292" t="s">
        <v>111</v>
      </c>
      <c r="CP292" t="s">
        <v>111</v>
      </c>
      <c r="CQ292">
        <v>0</v>
      </c>
      <c r="CR292">
        <v>1000</v>
      </c>
      <c r="CS292">
        <v>50</v>
      </c>
      <c r="CT292" s="1" t="s">
        <v>1114</v>
      </c>
      <c r="CU292">
        <v>0</v>
      </c>
      <c r="CV292" t="s">
        <v>111</v>
      </c>
      <c r="CW292" t="s">
        <v>111</v>
      </c>
      <c r="CX292" t="s">
        <v>111</v>
      </c>
      <c r="CY292">
        <v>0</v>
      </c>
      <c r="CZ292" t="s">
        <v>111</v>
      </c>
      <c r="DA292" t="s">
        <v>111</v>
      </c>
      <c r="DB292" t="s">
        <v>111</v>
      </c>
      <c r="DC292" t="s">
        <v>111</v>
      </c>
    </row>
    <row r="293" spans="1:107">
      <c r="A293">
        <v>936</v>
      </c>
      <c r="B293" t="s">
        <v>107</v>
      </c>
      <c r="C293" t="s">
        <v>171</v>
      </c>
      <c r="D293" t="s">
        <v>573</v>
      </c>
      <c r="E293" t="s">
        <v>1115</v>
      </c>
      <c r="F293" t="s">
        <v>431</v>
      </c>
      <c r="G293" t="s">
        <v>469</v>
      </c>
      <c r="H293">
        <v>2.4</v>
      </c>
      <c r="I293">
        <v>56</v>
      </c>
      <c r="J293">
        <v>0</v>
      </c>
      <c r="K293">
        <v>0</v>
      </c>
      <c r="L293" t="s">
        <v>117</v>
      </c>
      <c r="M293" t="s">
        <v>118</v>
      </c>
      <c r="N293">
        <v>38</v>
      </c>
      <c r="O293">
        <v>1</v>
      </c>
      <c r="P293" t="s">
        <v>111</v>
      </c>
      <c r="Q293">
        <v>38.4</v>
      </c>
      <c r="R293">
        <v>0</v>
      </c>
      <c r="S293">
        <v>0</v>
      </c>
      <c r="T293">
        <v>5</v>
      </c>
      <c r="U293" s="1" t="s">
        <v>1116</v>
      </c>
      <c r="V293">
        <v>0</v>
      </c>
      <c r="W293">
        <v>25</v>
      </c>
      <c r="X293">
        <v>8</v>
      </c>
      <c r="Y293">
        <v>0</v>
      </c>
      <c r="Z293" t="s">
        <v>111</v>
      </c>
      <c r="AA293">
        <v>0</v>
      </c>
      <c r="AB293" t="s">
        <v>523</v>
      </c>
      <c r="AC293">
        <v>8</v>
      </c>
      <c r="AD293" t="s">
        <v>416</v>
      </c>
      <c r="AE293">
        <v>4</v>
      </c>
      <c r="AF293">
        <v>1</v>
      </c>
      <c r="AG293" t="s">
        <v>1117</v>
      </c>
      <c r="AH293" t="s">
        <v>113</v>
      </c>
      <c r="AI293" t="s">
        <v>1118</v>
      </c>
      <c r="AJ293" t="s">
        <v>111</v>
      </c>
      <c r="AK293" t="s">
        <v>111</v>
      </c>
      <c r="AL293" t="s">
        <v>111</v>
      </c>
      <c r="AM293">
        <v>0</v>
      </c>
      <c r="AN293">
        <v>0</v>
      </c>
      <c r="AO293">
        <v>0</v>
      </c>
      <c r="AP293" t="s">
        <v>288</v>
      </c>
      <c r="AQ293" t="s">
        <v>111</v>
      </c>
      <c r="AR293" t="s">
        <v>111</v>
      </c>
      <c r="AS293" t="s">
        <v>111</v>
      </c>
      <c r="AT293" t="s">
        <v>188</v>
      </c>
      <c r="AU293" t="s">
        <v>111</v>
      </c>
      <c r="AV293" t="s">
        <v>111</v>
      </c>
      <c r="AW293" t="s">
        <v>111</v>
      </c>
      <c r="AX293" t="s">
        <v>147</v>
      </c>
      <c r="AY293" t="s">
        <v>111</v>
      </c>
      <c r="AZ293" t="s">
        <v>111</v>
      </c>
      <c r="BA293" t="s">
        <v>111</v>
      </c>
      <c r="BB293" t="s">
        <v>271</v>
      </c>
      <c r="BC293" t="s">
        <v>111</v>
      </c>
      <c r="BD293" t="s">
        <v>111</v>
      </c>
      <c r="BE293" t="s">
        <v>111</v>
      </c>
      <c r="BF293" t="s">
        <v>111</v>
      </c>
      <c r="BG293" t="s">
        <v>111</v>
      </c>
      <c r="BH293" t="s">
        <v>111</v>
      </c>
      <c r="BI293" t="s">
        <v>111</v>
      </c>
      <c r="BJ293" t="s">
        <v>111</v>
      </c>
      <c r="BK293" t="s">
        <v>111</v>
      </c>
      <c r="BL293" t="s">
        <v>111</v>
      </c>
      <c r="BM293" t="s">
        <v>111</v>
      </c>
      <c r="BN293" t="s">
        <v>111</v>
      </c>
      <c r="BO293" t="s">
        <v>111</v>
      </c>
      <c r="BP293" t="s">
        <v>111</v>
      </c>
      <c r="BQ293" t="s">
        <v>111</v>
      </c>
      <c r="BR293" t="s">
        <v>111</v>
      </c>
      <c r="BS293" t="s">
        <v>111</v>
      </c>
      <c r="BT293" t="s">
        <v>111</v>
      </c>
      <c r="BU293" t="s">
        <v>111</v>
      </c>
      <c r="BV293" t="s">
        <v>111</v>
      </c>
      <c r="BW293" t="s">
        <v>111</v>
      </c>
      <c r="BX293" t="s">
        <v>111</v>
      </c>
      <c r="BY293" t="s">
        <v>111</v>
      </c>
      <c r="BZ293" t="s">
        <v>111</v>
      </c>
      <c r="CA293" t="s">
        <v>111</v>
      </c>
      <c r="CB293" t="s">
        <v>111</v>
      </c>
      <c r="CC293" t="s">
        <v>111</v>
      </c>
      <c r="CD293" t="s">
        <v>111</v>
      </c>
      <c r="CE293" t="s">
        <v>111</v>
      </c>
      <c r="CF293" t="s">
        <v>111</v>
      </c>
      <c r="CG293" t="s">
        <v>111</v>
      </c>
      <c r="CH293" t="s">
        <v>111</v>
      </c>
      <c r="CI293" t="s">
        <v>111</v>
      </c>
      <c r="CJ293" t="s">
        <v>111</v>
      </c>
      <c r="CK293" t="s">
        <v>111</v>
      </c>
      <c r="CL293" t="e">
        <f>-DESTINO SELLADO</f>
        <v>#NAME?</v>
      </c>
      <c r="CM293" t="s">
        <v>198</v>
      </c>
      <c r="CN293" t="s">
        <v>113</v>
      </c>
      <c r="CO293" t="s">
        <v>111</v>
      </c>
      <c r="CP293" t="e">
        <f>-MUESTRA</f>
        <v>#NAME?</v>
      </c>
      <c r="CQ293">
        <v>76</v>
      </c>
      <c r="CR293">
        <v>10000</v>
      </c>
      <c r="CS293">
        <v>200</v>
      </c>
      <c r="CT293" s="1" t="s">
        <v>1119</v>
      </c>
      <c r="CU293">
        <v>0</v>
      </c>
      <c r="CV293" t="s">
        <v>111</v>
      </c>
      <c r="CW293" t="s">
        <v>111</v>
      </c>
      <c r="CX293" t="s">
        <v>111</v>
      </c>
      <c r="CY293">
        <v>0</v>
      </c>
      <c r="CZ293" t="s">
        <v>111</v>
      </c>
      <c r="DA293" t="s">
        <v>111</v>
      </c>
      <c r="DB293" t="s">
        <v>111</v>
      </c>
      <c r="DC293" t="s">
        <v>111</v>
      </c>
    </row>
    <row r="294" spans="1:107">
      <c r="A294">
        <v>864</v>
      </c>
      <c r="B294" t="s">
        <v>107</v>
      </c>
      <c r="C294" t="s">
        <v>549</v>
      </c>
      <c r="D294" t="s">
        <v>1120</v>
      </c>
      <c r="E294" t="s">
        <v>1121</v>
      </c>
      <c r="F294" t="s">
        <v>192</v>
      </c>
      <c r="G294" t="s">
        <v>469</v>
      </c>
      <c r="H294">
        <v>2</v>
      </c>
      <c r="I294">
        <v>21</v>
      </c>
      <c r="J294">
        <v>8</v>
      </c>
      <c r="K294">
        <v>8</v>
      </c>
      <c r="L294" t="s">
        <v>112</v>
      </c>
      <c r="M294" t="s">
        <v>118</v>
      </c>
      <c r="N294">
        <v>38</v>
      </c>
      <c r="O294">
        <v>2</v>
      </c>
      <c r="P294" t="s">
        <v>138</v>
      </c>
      <c r="Q294">
        <v>8</v>
      </c>
      <c r="R294">
        <v>0</v>
      </c>
      <c r="S294">
        <v>0</v>
      </c>
      <c r="T294">
        <v>0</v>
      </c>
      <c r="U294" s="1" t="s">
        <v>1122</v>
      </c>
      <c r="V294">
        <v>0</v>
      </c>
      <c r="W294">
        <v>25</v>
      </c>
      <c r="X294">
        <v>7.5</v>
      </c>
      <c r="Y294">
        <v>0</v>
      </c>
      <c r="Z294" t="s">
        <v>111</v>
      </c>
      <c r="AA294">
        <v>0</v>
      </c>
      <c r="AB294" t="s">
        <v>940</v>
      </c>
      <c r="AC294">
        <v>7.5</v>
      </c>
      <c r="AD294" t="s">
        <v>111</v>
      </c>
      <c r="AE294">
        <v>0</v>
      </c>
      <c r="AF294">
        <v>0</v>
      </c>
      <c r="AG294" t="s">
        <v>111</v>
      </c>
      <c r="AH294" t="s">
        <v>111</v>
      </c>
      <c r="AI294" t="s">
        <v>111</v>
      </c>
      <c r="AJ294" t="s">
        <v>111</v>
      </c>
      <c r="AK294" t="s">
        <v>111</v>
      </c>
      <c r="AL294" t="s">
        <v>111</v>
      </c>
      <c r="AM294">
        <v>0</v>
      </c>
      <c r="AN294">
        <v>0</v>
      </c>
      <c r="AO294">
        <v>0</v>
      </c>
      <c r="AP294" t="s">
        <v>111</v>
      </c>
      <c r="AQ294" t="s">
        <v>111</v>
      </c>
      <c r="AR294" t="s">
        <v>111</v>
      </c>
      <c r="AS294" t="s">
        <v>111</v>
      </c>
      <c r="AT294" t="s">
        <v>111</v>
      </c>
      <c r="AU294" t="s">
        <v>111</v>
      </c>
      <c r="AV294" t="s">
        <v>111</v>
      </c>
      <c r="AW294" t="s">
        <v>111</v>
      </c>
      <c r="AX294" t="s">
        <v>111</v>
      </c>
      <c r="AY294" t="s">
        <v>111</v>
      </c>
      <c r="AZ294" t="s">
        <v>111</v>
      </c>
      <c r="BA294" t="s">
        <v>111</v>
      </c>
      <c r="BB294" t="s">
        <v>111</v>
      </c>
      <c r="BC294" t="s">
        <v>111</v>
      </c>
      <c r="BD294" t="s">
        <v>111</v>
      </c>
      <c r="BE294" t="s">
        <v>111</v>
      </c>
      <c r="BF294" t="s">
        <v>111</v>
      </c>
      <c r="BG294" t="s">
        <v>111</v>
      </c>
      <c r="BH294" t="s">
        <v>111</v>
      </c>
      <c r="BI294" t="s">
        <v>111</v>
      </c>
      <c r="BJ294" t="s">
        <v>111</v>
      </c>
      <c r="BK294" t="s">
        <v>111</v>
      </c>
      <c r="BL294" t="s">
        <v>111</v>
      </c>
      <c r="BM294" t="s">
        <v>111</v>
      </c>
      <c r="BN294" t="s">
        <v>111</v>
      </c>
      <c r="BO294" t="s">
        <v>111</v>
      </c>
      <c r="BP294" t="s">
        <v>111</v>
      </c>
      <c r="BQ294" t="s">
        <v>111</v>
      </c>
      <c r="BR294" t="s">
        <v>111</v>
      </c>
      <c r="BS294" t="s">
        <v>111</v>
      </c>
      <c r="BT294" t="s">
        <v>111</v>
      </c>
      <c r="BU294" t="s">
        <v>111</v>
      </c>
      <c r="BV294" t="s">
        <v>111</v>
      </c>
      <c r="BW294" t="s">
        <v>111</v>
      </c>
      <c r="BX294" t="s">
        <v>111</v>
      </c>
      <c r="BY294" t="s">
        <v>111</v>
      </c>
      <c r="BZ294" t="s">
        <v>111</v>
      </c>
      <c r="CA294" t="s">
        <v>111</v>
      </c>
      <c r="CB294" t="s">
        <v>111</v>
      </c>
      <c r="CC294" t="s">
        <v>111</v>
      </c>
      <c r="CD294" t="s">
        <v>111</v>
      </c>
      <c r="CE294" t="s">
        <v>111</v>
      </c>
      <c r="CF294" t="s">
        <v>111</v>
      </c>
      <c r="CG294" t="s">
        <v>111</v>
      </c>
      <c r="CH294" t="s">
        <v>111</v>
      </c>
      <c r="CI294" t="s">
        <v>111</v>
      </c>
      <c r="CJ294" t="s">
        <v>111</v>
      </c>
      <c r="CK294" t="s">
        <v>111</v>
      </c>
      <c r="CL294" t="s">
        <v>111</v>
      </c>
      <c r="CM294" t="s">
        <v>135</v>
      </c>
      <c r="CN294" t="s">
        <v>128</v>
      </c>
      <c r="CO294" t="s">
        <v>637</v>
      </c>
      <c r="CP294" t="s">
        <v>111</v>
      </c>
      <c r="CQ294">
        <v>0</v>
      </c>
      <c r="CR294">
        <v>200</v>
      </c>
      <c r="CS294">
        <v>50</v>
      </c>
      <c r="CT294" s="1" t="s">
        <v>1123</v>
      </c>
      <c r="CU294">
        <v>0</v>
      </c>
      <c r="CV294" t="s">
        <v>111</v>
      </c>
      <c r="CW294" t="s">
        <v>111</v>
      </c>
      <c r="CX294" t="s">
        <v>111</v>
      </c>
      <c r="CY294">
        <v>0</v>
      </c>
      <c r="CZ294" t="s">
        <v>111</v>
      </c>
      <c r="DA294" t="s">
        <v>111</v>
      </c>
      <c r="DB294" t="s">
        <v>111</v>
      </c>
      <c r="DC294" t="s">
        <v>111</v>
      </c>
    </row>
    <row r="295" spans="1:107">
      <c r="A295">
        <v>861</v>
      </c>
      <c r="B295" t="s">
        <v>107</v>
      </c>
      <c r="C295" t="s">
        <v>226</v>
      </c>
      <c r="D295" t="s">
        <v>1124</v>
      </c>
      <c r="E295" t="s">
        <v>1125</v>
      </c>
      <c r="F295" t="s">
        <v>125</v>
      </c>
      <c r="G295" t="s">
        <v>469</v>
      </c>
      <c r="H295">
        <v>0.6</v>
      </c>
      <c r="I295">
        <v>42</v>
      </c>
      <c r="J295">
        <v>0</v>
      </c>
      <c r="K295">
        <v>0</v>
      </c>
      <c r="L295" t="s">
        <v>112</v>
      </c>
      <c r="M295" t="s">
        <v>138</v>
      </c>
      <c r="N295">
        <v>0</v>
      </c>
      <c r="O295">
        <v>0</v>
      </c>
      <c r="P295" t="s">
        <v>118</v>
      </c>
      <c r="Q295">
        <v>45.9</v>
      </c>
      <c r="R295">
        <v>0</v>
      </c>
      <c r="S295">
        <v>0</v>
      </c>
      <c r="T295">
        <v>5</v>
      </c>
      <c r="U295" s="1" t="s">
        <v>1126</v>
      </c>
      <c r="V295">
        <v>25</v>
      </c>
      <c r="W295">
        <v>0</v>
      </c>
      <c r="X295">
        <v>6</v>
      </c>
      <c r="Y295">
        <v>0</v>
      </c>
      <c r="Z295" t="s">
        <v>111</v>
      </c>
      <c r="AA295">
        <v>0</v>
      </c>
      <c r="AB295" t="s">
        <v>111</v>
      </c>
      <c r="AC295">
        <v>0</v>
      </c>
      <c r="AD295" t="s">
        <v>111</v>
      </c>
      <c r="AE295">
        <v>0</v>
      </c>
      <c r="AF295">
        <v>0</v>
      </c>
      <c r="AG295" t="s">
        <v>111</v>
      </c>
      <c r="AH295" t="s">
        <v>111</v>
      </c>
      <c r="AI295" t="s">
        <v>111</v>
      </c>
      <c r="AJ295" t="s">
        <v>111</v>
      </c>
      <c r="AK295" t="s">
        <v>111</v>
      </c>
      <c r="AL295" t="s">
        <v>111</v>
      </c>
      <c r="AM295">
        <v>0</v>
      </c>
      <c r="AN295">
        <v>0</v>
      </c>
      <c r="AO295">
        <v>0</v>
      </c>
      <c r="AP295" t="s">
        <v>111</v>
      </c>
      <c r="AQ295" t="s">
        <v>111</v>
      </c>
      <c r="AR295" t="s">
        <v>111</v>
      </c>
      <c r="AS295" t="s">
        <v>111</v>
      </c>
      <c r="AT295" t="s">
        <v>111</v>
      </c>
      <c r="AU295" t="s">
        <v>111</v>
      </c>
      <c r="AV295" t="s">
        <v>111</v>
      </c>
      <c r="AW295" t="s">
        <v>111</v>
      </c>
      <c r="AX295" t="s">
        <v>111</v>
      </c>
      <c r="AY295" t="s">
        <v>111</v>
      </c>
      <c r="AZ295" t="s">
        <v>111</v>
      </c>
      <c r="BA295" t="s">
        <v>111</v>
      </c>
      <c r="BB295" t="s">
        <v>111</v>
      </c>
      <c r="BC295" t="s">
        <v>111</v>
      </c>
      <c r="BD295" t="s">
        <v>111</v>
      </c>
      <c r="BE295" t="s">
        <v>111</v>
      </c>
      <c r="BF295" t="s">
        <v>111</v>
      </c>
      <c r="BG295" t="s">
        <v>111</v>
      </c>
      <c r="BH295" t="s">
        <v>111</v>
      </c>
      <c r="BI295" t="s">
        <v>111</v>
      </c>
      <c r="BJ295" t="s">
        <v>111</v>
      </c>
      <c r="BK295" t="s">
        <v>111</v>
      </c>
      <c r="BL295" t="s">
        <v>111</v>
      </c>
      <c r="BM295" t="s">
        <v>111</v>
      </c>
      <c r="BN295" t="s">
        <v>111</v>
      </c>
      <c r="BO295" t="s">
        <v>111</v>
      </c>
      <c r="BP295" t="s">
        <v>111</v>
      </c>
      <c r="BQ295" t="s">
        <v>111</v>
      </c>
      <c r="BR295" t="s">
        <v>111</v>
      </c>
      <c r="BS295" t="s">
        <v>111</v>
      </c>
      <c r="BT295" t="s">
        <v>111</v>
      </c>
      <c r="BU295" t="s">
        <v>111</v>
      </c>
      <c r="BV295" t="s">
        <v>111</v>
      </c>
      <c r="BW295" t="s">
        <v>111</v>
      </c>
      <c r="BX295" t="s">
        <v>111</v>
      </c>
      <c r="BY295" t="s">
        <v>111</v>
      </c>
      <c r="BZ295" t="s">
        <v>111</v>
      </c>
      <c r="CA295" t="s">
        <v>111</v>
      </c>
      <c r="CB295" t="s">
        <v>111</v>
      </c>
      <c r="CC295" t="s">
        <v>111</v>
      </c>
      <c r="CD295" t="s">
        <v>111</v>
      </c>
      <c r="CE295" t="s">
        <v>111</v>
      </c>
      <c r="CF295" t="s">
        <v>111</v>
      </c>
      <c r="CG295" t="s">
        <v>111</v>
      </c>
      <c r="CH295" t="s">
        <v>111</v>
      </c>
      <c r="CI295" t="s">
        <v>111</v>
      </c>
      <c r="CJ295" t="s">
        <v>111</v>
      </c>
      <c r="CK295" t="s">
        <v>111</v>
      </c>
      <c r="CL295" t="s">
        <v>111</v>
      </c>
      <c r="CM295" t="s">
        <v>127</v>
      </c>
      <c r="CN295" t="s">
        <v>128</v>
      </c>
      <c r="CO295" t="s">
        <v>637</v>
      </c>
      <c r="CP295" t="s">
        <v>111</v>
      </c>
      <c r="CQ295">
        <v>0</v>
      </c>
      <c r="CR295">
        <v>1500</v>
      </c>
      <c r="CS295">
        <v>100</v>
      </c>
      <c r="CT295" s="1" t="s">
        <v>1127</v>
      </c>
      <c r="CU295">
        <v>0</v>
      </c>
      <c r="CV295" t="s">
        <v>111</v>
      </c>
      <c r="CW295" t="s">
        <v>111</v>
      </c>
      <c r="CX295" t="s">
        <v>111</v>
      </c>
      <c r="CY295">
        <v>0</v>
      </c>
      <c r="CZ295" t="s">
        <v>111</v>
      </c>
      <c r="DA295" t="s">
        <v>111</v>
      </c>
      <c r="DB295" t="s">
        <v>111</v>
      </c>
      <c r="DC295" t="s">
        <v>111</v>
      </c>
    </row>
    <row r="296" spans="1:107">
      <c r="A296">
        <v>838</v>
      </c>
      <c r="B296" t="s">
        <v>107</v>
      </c>
      <c r="C296" t="s">
        <v>267</v>
      </c>
      <c r="D296" t="s">
        <v>1128</v>
      </c>
      <c r="E296" t="s">
        <v>1129</v>
      </c>
      <c r="F296" t="s">
        <v>239</v>
      </c>
      <c r="G296" t="s">
        <v>469</v>
      </c>
      <c r="H296">
        <v>0.8</v>
      </c>
      <c r="I296">
        <v>50</v>
      </c>
      <c r="J296">
        <v>0</v>
      </c>
      <c r="K296">
        <v>0</v>
      </c>
      <c r="L296" t="s">
        <v>112</v>
      </c>
      <c r="M296" t="s">
        <v>138</v>
      </c>
      <c r="N296">
        <v>0</v>
      </c>
      <c r="O296">
        <v>0</v>
      </c>
      <c r="P296" t="s">
        <v>138</v>
      </c>
      <c r="Q296">
        <v>15.6</v>
      </c>
      <c r="R296">
        <v>0</v>
      </c>
      <c r="S296">
        <v>0</v>
      </c>
      <c r="T296">
        <v>0</v>
      </c>
      <c r="U296" s="1" t="s">
        <v>1130</v>
      </c>
      <c r="V296">
        <v>0</v>
      </c>
      <c r="W296">
        <v>0</v>
      </c>
      <c r="X296">
        <v>1</v>
      </c>
      <c r="Y296">
        <v>0</v>
      </c>
      <c r="Z296" t="s">
        <v>147</v>
      </c>
      <c r="AA296">
        <v>1.2</v>
      </c>
      <c r="AB296" t="s">
        <v>1131</v>
      </c>
      <c r="AC296">
        <v>25</v>
      </c>
      <c r="AD296" t="s">
        <v>111</v>
      </c>
      <c r="AE296">
        <v>0</v>
      </c>
      <c r="AF296">
        <v>0</v>
      </c>
      <c r="AG296" t="s">
        <v>111</v>
      </c>
      <c r="AH296" t="s">
        <v>111</v>
      </c>
      <c r="AI296" t="s">
        <v>111</v>
      </c>
      <c r="AJ296" t="s">
        <v>111</v>
      </c>
      <c r="AK296" t="s">
        <v>111</v>
      </c>
      <c r="AL296" t="s">
        <v>111</v>
      </c>
      <c r="AM296">
        <v>0</v>
      </c>
      <c r="AN296">
        <v>0</v>
      </c>
      <c r="AO296">
        <v>0</v>
      </c>
      <c r="AP296" t="s">
        <v>111</v>
      </c>
      <c r="AQ296" t="s">
        <v>111</v>
      </c>
      <c r="AR296" t="s">
        <v>111</v>
      </c>
      <c r="AS296" t="s">
        <v>111</v>
      </c>
      <c r="AT296" t="s">
        <v>111</v>
      </c>
      <c r="AU296" t="s">
        <v>111</v>
      </c>
      <c r="AV296" t="s">
        <v>111</v>
      </c>
      <c r="AW296" t="s">
        <v>111</v>
      </c>
      <c r="AX296" t="s">
        <v>111</v>
      </c>
      <c r="AY296" t="s">
        <v>111</v>
      </c>
      <c r="AZ296" t="s">
        <v>111</v>
      </c>
      <c r="BA296" t="s">
        <v>111</v>
      </c>
      <c r="BB296" t="s">
        <v>111</v>
      </c>
      <c r="BC296" t="s">
        <v>111</v>
      </c>
      <c r="BD296" t="s">
        <v>111</v>
      </c>
      <c r="BE296" t="s">
        <v>111</v>
      </c>
      <c r="BF296" t="s">
        <v>111</v>
      </c>
      <c r="BG296" t="s">
        <v>111</v>
      </c>
      <c r="BH296" t="s">
        <v>111</v>
      </c>
      <c r="BI296" t="s">
        <v>111</v>
      </c>
      <c r="BJ296" t="s">
        <v>111</v>
      </c>
      <c r="BK296" t="s">
        <v>111</v>
      </c>
      <c r="BL296" t="s">
        <v>111</v>
      </c>
      <c r="BM296" t="s">
        <v>111</v>
      </c>
      <c r="BN296" t="s">
        <v>111</v>
      </c>
      <c r="BO296" t="s">
        <v>111</v>
      </c>
      <c r="BP296" t="s">
        <v>111</v>
      </c>
      <c r="BQ296" t="s">
        <v>111</v>
      </c>
      <c r="BR296" t="s">
        <v>111</v>
      </c>
      <c r="BS296" t="s">
        <v>111</v>
      </c>
      <c r="BT296" t="s">
        <v>111</v>
      </c>
      <c r="BU296" t="s">
        <v>111</v>
      </c>
      <c r="BV296" t="s">
        <v>111</v>
      </c>
      <c r="BW296" t="s">
        <v>111</v>
      </c>
      <c r="BX296" t="s">
        <v>111</v>
      </c>
      <c r="BY296" t="s">
        <v>111</v>
      </c>
      <c r="BZ296" t="s">
        <v>111</v>
      </c>
      <c r="CA296" t="s">
        <v>111</v>
      </c>
      <c r="CB296" t="s">
        <v>111</v>
      </c>
      <c r="CC296" t="s">
        <v>111</v>
      </c>
      <c r="CD296" t="s">
        <v>111</v>
      </c>
      <c r="CE296" t="s">
        <v>111</v>
      </c>
      <c r="CF296" t="s">
        <v>111</v>
      </c>
      <c r="CG296" t="s">
        <v>111</v>
      </c>
      <c r="CH296" t="s">
        <v>111</v>
      </c>
      <c r="CI296" t="s">
        <v>111</v>
      </c>
      <c r="CJ296" t="s">
        <v>111</v>
      </c>
      <c r="CK296" t="s">
        <v>111</v>
      </c>
      <c r="CL296" t="s">
        <v>111</v>
      </c>
      <c r="CM296" t="s">
        <v>198</v>
      </c>
      <c r="CN296" t="s">
        <v>113</v>
      </c>
      <c r="CO296" t="s">
        <v>111</v>
      </c>
      <c r="CP296" t="s">
        <v>111</v>
      </c>
      <c r="CQ296">
        <v>0</v>
      </c>
      <c r="CR296">
        <v>2000</v>
      </c>
      <c r="CS296">
        <v>100</v>
      </c>
      <c r="CT296" t="s">
        <v>168</v>
      </c>
      <c r="CU296">
        <v>0</v>
      </c>
      <c r="CV296" t="s">
        <v>111</v>
      </c>
      <c r="CW296" t="s">
        <v>111</v>
      </c>
      <c r="CX296" t="s">
        <v>111</v>
      </c>
      <c r="CY296">
        <v>0</v>
      </c>
      <c r="CZ296" t="s">
        <v>111</v>
      </c>
      <c r="DA296" t="s">
        <v>111</v>
      </c>
      <c r="DB296" t="s">
        <v>111</v>
      </c>
      <c r="DC296" t="s">
        <v>111</v>
      </c>
    </row>
    <row r="297" spans="1:107">
      <c r="A297">
        <v>409</v>
      </c>
      <c r="B297" t="s">
        <v>107</v>
      </c>
      <c r="C297" t="s">
        <v>1132</v>
      </c>
      <c r="D297" t="s">
        <v>1133</v>
      </c>
      <c r="E297" t="s">
        <v>1134</v>
      </c>
      <c r="F297" t="s">
        <v>1135</v>
      </c>
      <c r="G297" t="s">
        <v>469</v>
      </c>
      <c r="H297">
        <v>2.5</v>
      </c>
      <c r="I297">
        <v>45</v>
      </c>
      <c r="J297">
        <v>0</v>
      </c>
      <c r="K297">
        <v>0</v>
      </c>
      <c r="L297" t="s">
        <v>112</v>
      </c>
      <c r="M297" t="s">
        <v>118</v>
      </c>
      <c r="N297">
        <v>40</v>
      </c>
      <c r="O297">
        <v>2</v>
      </c>
      <c r="P297" t="s">
        <v>138</v>
      </c>
      <c r="Q297">
        <v>35</v>
      </c>
      <c r="R297">
        <v>0</v>
      </c>
      <c r="S297">
        <v>0</v>
      </c>
      <c r="T297">
        <v>5</v>
      </c>
      <c r="U297" t="s">
        <v>419</v>
      </c>
      <c r="V297">
        <v>25</v>
      </c>
      <c r="W297">
        <v>0</v>
      </c>
      <c r="X297">
        <v>8</v>
      </c>
      <c r="Y297">
        <v>0</v>
      </c>
      <c r="Z297" t="s">
        <v>1091</v>
      </c>
      <c r="AA297">
        <v>1.65</v>
      </c>
      <c r="AB297" t="s">
        <v>111</v>
      </c>
      <c r="AC297">
        <v>0</v>
      </c>
      <c r="AD297" t="s">
        <v>416</v>
      </c>
      <c r="AE297">
        <v>0</v>
      </c>
      <c r="AF297">
        <v>0</v>
      </c>
      <c r="AG297">
        <v>40</v>
      </c>
      <c r="AH297" t="s">
        <v>111</v>
      </c>
      <c r="AI297">
        <v>40</v>
      </c>
      <c r="AJ297" t="s">
        <v>111</v>
      </c>
      <c r="AK297" t="s">
        <v>111</v>
      </c>
      <c r="AL297" t="s">
        <v>111</v>
      </c>
      <c r="AM297">
        <v>0</v>
      </c>
      <c r="AN297">
        <v>0</v>
      </c>
      <c r="AO297">
        <v>0</v>
      </c>
      <c r="AP297" t="s">
        <v>111</v>
      </c>
      <c r="AQ297" t="s">
        <v>111</v>
      </c>
      <c r="AR297" t="s">
        <v>111</v>
      </c>
      <c r="AS297" t="s">
        <v>111</v>
      </c>
      <c r="AT297" t="s">
        <v>111</v>
      </c>
      <c r="AU297" t="s">
        <v>111</v>
      </c>
      <c r="AV297" t="s">
        <v>111</v>
      </c>
      <c r="AW297" t="s">
        <v>111</v>
      </c>
      <c r="AX297" t="s">
        <v>111</v>
      </c>
      <c r="AY297" t="s">
        <v>111</v>
      </c>
      <c r="AZ297" t="s">
        <v>111</v>
      </c>
      <c r="BA297" t="s">
        <v>111</v>
      </c>
      <c r="BB297" t="s">
        <v>111</v>
      </c>
      <c r="BC297" t="s">
        <v>111</v>
      </c>
      <c r="BD297" t="s">
        <v>111</v>
      </c>
      <c r="BE297" t="s">
        <v>111</v>
      </c>
      <c r="BF297" t="s">
        <v>111</v>
      </c>
      <c r="BG297" t="s">
        <v>111</v>
      </c>
      <c r="BH297" t="s">
        <v>111</v>
      </c>
      <c r="BI297" t="s">
        <v>111</v>
      </c>
      <c r="BJ297" t="s">
        <v>111</v>
      </c>
      <c r="BK297" t="s">
        <v>111</v>
      </c>
      <c r="BL297" t="s">
        <v>111</v>
      </c>
      <c r="BM297" t="s">
        <v>111</v>
      </c>
      <c r="BN297" t="s">
        <v>111</v>
      </c>
      <c r="BO297" t="s">
        <v>111</v>
      </c>
      <c r="BP297" t="s">
        <v>111</v>
      </c>
      <c r="BQ297" t="s">
        <v>111</v>
      </c>
      <c r="BR297" t="s">
        <v>111</v>
      </c>
      <c r="BS297" t="s">
        <v>111</v>
      </c>
      <c r="BT297" t="s">
        <v>111</v>
      </c>
      <c r="BU297" t="s">
        <v>111</v>
      </c>
      <c r="BV297" t="s">
        <v>111</v>
      </c>
      <c r="BW297" t="s">
        <v>111</v>
      </c>
      <c r="BX297" t="s">
        <v>111</v>
      </c>
      <c r="BY297" t="s">
        <v>111</v>
      </c>
      <c r="BZ297" t="s">
        <v>111</v>
      </c>
      <c r="CA297" t="s">
        <v>111</v>
      </c>
      <c r="CB297" t="s">
        <v>111</v>
      </c>
      <c r="CC297" t="s">
        <v>111</v>
      </c>
      <c r="CD297" t="s">
        <v>111</v>
      </c>
      <c r="CE297" t="s">
        <v>111</v>
      </c>
      <c r="CF297" t="s">
        <v>111</v>
      </c>
      <c r="CG297" t="s">
        <v>111</v>
      </c>
      <c r="CH297" t="s">
        <v>111</v>
      </c>
      <c r="CI297" t="s">
        <v>111</v>
      </c>
      <c r="CJ297" t="s">
        <v>111</v>
      </c>
      <c r="CK297" t="s">
        <v>111</v>
      </c>
      <c r="CL297" t="s">
        <v>153</v>
      </c>
      <c r="CM297" t="s">
        <v>198</v>
      </c>
      <c r="CN297" t="s">
        <v>113</v>
      </c>
      <c r="CO297" t="s">
        <v>111</v>
      </c>
      <c r="CP297" t="s">
        <v>433</v>
      </c>
      <c r="CQ297">
        <v>0</v>
      </c>
      <c r="CR297">
        <v>0</v>
      </c>
      <c r="CS297">
        <v>0</v>
      </c>
      <c r="CT297" t="s">
        <v>111</v>
      </c>
      <c r="CU297">
        <v>0</v>
      </c>
      <c r="CV297" t="s">
        <v>111</v>
      </c>
      <c r="CW297" t="s">
        <v>111</v>
      </c>
      <c r="CX297" t="s">
        <v>111</v>
      </c>
      <c r="CY297">
        <v>0</v>
      </c>
      <c r="CZ297" t="s">
        <v>111</v>
      </c>
      <c r="DA297" t="s">
        <v>111</v>
      </c>
      <c r="DB297" t="e">
        <f>-EXTERNO</f>
        <v>#NAME?</v>
      </c>
      <c r="DC297" t="e">
        <f>-TIRA GRIS</f>
        <v>#NAME?</v>
      </c>
    </row>
    <row r="298" spans="1:107">
      <c r="A298">
        <v>884</v>
      </c>
      <c r="B298" t="s">
        <v>107</v>
      </c>
      <c r="C298" t="s">
        <v>215</v>
      </c>
      <c r="D298" t="s">
        <v>1136</v>
      </c>
      <c r="E298" t="s">
        <v>1137</v>
      </c>
      <c r="F298" t="s">
        <v>431</v>
      </c>
      <c r="G298" t="s">
        <v>469</v>
      </c>
      <c r="H298">
        <v>3.9</v>
      </c>
      <c r="I298">
        <v>30</v>
      </c>
      <c r="J298">
        <v>0</v>
      </c>
      <c r="K298">
        <v>0</v>
      </c>
      <c r="L298" t="s">
        <v>112</v>
      </c>
      <c r="M298" t="s">
        <v>118</v>
      </c>
      <c r="N298">
        <v>39</v>
      </c>
      <c r="O298">
        <v>1</v>
      </c>
      <c r="P298" t="s">
        <v>138</v>
      </c>
      <c r="Q298">
        <v>30</v>
      </c>
      <c r="R298">
        <v>0</v>
      </c>
      <c r="S298">
        <v>0</v>
      </c>
      <c r="T298">
        <v>0</v>
      </c>
      <c r="U298" s="1" t="s">
        <v>1138</v>
      </c>
      <c r="V298">
        <v>0</v>
      </c>
      <c r="W298">
        <v>25</v>
      </c>
      <c r="X298">
        <v>7</v>
      </c>
      <c r="Y298">
        <v>0</v>
      </c>
      <c r="Z298" t="s">
        <v>111</v>
      </c>
      <c r="AA298">
        <v>0</v>
      </c>
      <c r="AB298" t="s">
        <v>111</v>
      </c>
      <c r="AC298">
        <v>0</v>
      </c>
      <c r="AD298" t="s">
        <v>416</v>
      </c>
      <c r="AE298">
        <v>2</v>
      </c>
      <c r="AF298">
        <v>1</v>
      </c>
      <c r="AG298" t="s">
        <v>1139</v>
      </c>
      <c r="AH298" t="s">
        <v>128</v>
      </c>
      <c r="AI298" t="s">
        <v>1118</v>
      </c>
      <c r="AJ298" t="s">
        <v>111</v>
      </c>
      <c r="AK298" t="s">
        <v>111</v>
      </c>
      <c r="AL298" t="s">
        <v>111</v>
      </c>
      <c r="AM298">
        <v>0</v>
      </c>
      <c r="AN298">
        <v>0</v>
      </c>
      <c r="AO298">
        <v>0</v>
      </c>
      <c r="AP298" t="s">
        <v>271</v>
      </c>
      <c r="AQ298" t="s">
        <v>111</v>
      </c>
      <c r="AR298" t="s">
        <v>111</v>
      </c>
      <c r="AS298" t="s">
        <v>111</v>
      </c>
      <c r="AT298" t="s">
        <v>259</v>
      </c>
      <c r="AU298" t="s">
        <v>111</v>
      </c>
      <c r="AV298" t="s">
        <v>111</v>
      </c>
      <c r="AW298" t="s">
        <v>111</v>
      </c>
      <c r="AX298" t="s">
        <v>111</v>
      </c>
      <c r="AY298" t="s">
        <v>111</v>
      </c>
      <c r="AZ298" t="s">
        <v>111</v>
      </c>
      <c r="BA298" t="s">
        <v>111</v>
      </c>
      <c r="BB298" t="s">
        <v>111</v>
      </c>
      <c r="BC298" t="s">
        <v>111</v>
      </c>
      <c r="BD298" t="s">
        <v>111</v>
      </c>
      <c r="BE298" t="s">
        <v>111</v>
      </c>
      <c r="BF298" t="s">
        <v>111</v>
      </c>
      <c r="BG298" t="s">
        <v>111</v>
      </c>
      <c r="BH298" t="s">
        <v>111</v>
      </c>
      <c r="BI298" t="s">
        <v>111</v>
      </c>
      <c r="BJ298" t="s">
        <v>111</v>
      </c>
      <c r="BK298" t="s">
        <v>111</v>
      </c>
      <c r="BL298" t="s">
        <v>111</v>
      </c>
      <c r="BM298" t="s">
        <v>111</v>
      </c>
      <c r="BN298" t="s">
        <v>111</v>
      </c>
      <c r="BO298" t="s">
        <v>111</v>
      </c>
      <c r="BP298" t="s">
        <v>111</v>
      </c>
      <c r="BQ298" t="s">
        <v>111</v>
      </c>
      <c r="BR298" t="s">
        <v>111</v>
      </c>
      <c r="BS298" t="s">
        <v>111</v>
      </c>
      <c r="BT298" t="s">
        <v>111</v>
      </c>
      <c r="BU298" t="s">
        <v>111</v>
      </c>
      <c r="BV298" t="s">
        <v>111</v>
      </c>
      <c r="BW298" t="s">
        <v>111</v>
      </c>
      <c r="BX298" t="s">
        <v>111</v>
      </c>
      <c r="BY298" t="s">
        <v>111</v>
      </c>
      <c r="BZ298" t="s">
        <v>111</v>
      </c>
      <c r="CA298" t="s">
        <v>111</v>
      </c>
      <c r="CB298" t="s">
        <v>111</v>
      </c>
      <c r="CC298" t="s">
        <v>111</v>
      </c>
      <c r="CD298" t="s">
        <v>111</v>
      </c>
      <c r="CE298" t="s">
        <v>111</v>
      </c>
      <c r="CF298" t="s">
        <v>111</v>
      </c>
      <c r="CG298" t="s">
        <v>111</v>
      </c>
      <c r="CH298" t="s">
        <v>111</v>
      </c>
      <c r="CI298" t="s">
        <v>111</v>
      </c>
      <c r="CJ298" t="s">
        <v>111</v>
      </c>
      <c r="CK298" t="s">
        <v>111</v>
      </c>
      <c r="CL298" s="1" t="s">
        <v>1140</v>
      </c>
      <c r="CM298" t="s">
        <v>135</v>
      </c>
      <c r="CN298" t="s">
        <v>128</v>
      </c>
      <c r="CO298" t="s">
        <v>111</v>
      </c>
      <c r="CP298" t="e">
        <f>-MUESTRA</f>
        <v>#NAME?</v>
      </c>
      <c r="CQ298">
        <v>0</v>
      </c>
      <c r="CR298">
        <v>1000</v>
      </c>
      <c r="CS298">
        <v>50</v>
      </c>
      <c r="CT298" s="1" t="s">
        <v>1141</v>
      </c>
      <c r="CU298">
        <v>0</v>
      </c>
      <c r="CV298" t="s">
        <v>111</v>
      </c>
      <c r="CW298" t="s">
        <v>111</v>
      </c>
      <c r="CX298" t="s">
        <v>111</v>
      </c>
      <c r="CY298">
        <v>0</v>
      </c>
      <c r="CZ298" t="s">
        <v>111</v>
      </c>
      <c r="DA298" t="s">
        <v>111</v>
      </c>
      <c r="DB298" t="s">
        <v>111</v>
      </c>
      <c r="DC298" t="s">
        <v>111</v>
      </c>
    </row>
    <row r="299" spans="1:107">
      <c r="A299">
        <v>853</v>
      </c>
      <c r="B299" t="s">
        <v>107</v>
      </c>
      <c r="C299" t="s">
        <v>336</v>
      </c>
      <c r="D299" t="s">
        <v>337</v>
      </c>
      <c r="E299" t="s">
        <v>1142</v>
      </c>
      <c r="F299" t="s">
        <v>166</v>
      </c>
      <c r="G299" t="s">
        <v>469</v>
      </c>
      <c r="H299">
        <v>2.9</v>
      </c>
      <c r="I299">
        <v>91</v>
      </c>
      <c r="J299">
        <v>0</v>
      </c>
      <c r="K299">
        <v>0</v>
      </c>
      <c r="L299" t="s">
        <v>112</v>
      </c>
      <c r="M299" t="s">
        <v>138</v>
      </c>
      <c r="N299">
        <v>0</v>
      </c>
      <c r="O299">
        <v>0</v>
      </c>
      <c r="P299" t="s">
        <v>138</v>
      </c>
      <c r="Q299">
        <v>36.6</v>
      </c>
      <c r="R299">
        <v>0</v>
      </c>
      <c r="S299">
        <v>0</v>
      </c>
      <c r="T299">
        <v>0</v>
      </c>
      <c r="U299" s="1" t="s">
        <v>1143</v>
      </c>
      <c r="V299">
        <v>12.5</v>
      </c>
      <c r="W299">
        <v>12.5</v>
      </c>
      <c r="X299">
        <v>0</v>
      </c>
      <c r="Y299">
        <v>0</v>
      </c>
      <c r="Z299">
        <v>0</v>
      </c>
      <c r="AA299">
        <v>2.5</v>
      </c>
      <c r="AB299" t="s">
        <v>1144</v>
      </c>
      <c r="AC299">
        <v>25</v>
      </c>
      <c r="AD299" t="s">
        <v>111</v>
      </c>
      <c r="AE299">
        <v>0</v>
      </c>
      <c r="AF299">
        <v>0</v>
      </c>
      <c r="AG299" t="s">
        <v>111</v>
      </c>
      <c r="AH299" t="s">
        <v>111</v>
      </c>
      <c r="AI299" t="s">
        <v>111</v>
      </c>
      <c r="AJ299" t="s">
        <v>111</v>
      </c>
      <c r="AK299" t="s">
        <v>111</v>
      </c>
      <c r="AL299" t="s">
        <v>111</v>
      </c>
      <c r="AM299">
        <v>0</v>
      </c>
      <c r="AN299">
        <v>0</v>
      </c>
      <c r="AO299">
        <v>0</v>
      </c>
      <c r="AP299" t="s">
        <v>111</v>
      </c>
      <c r="AQ299" t="s">
        <v>111</v>
      </c>
      <c r="AR299" t="s">
        <v>111</v>
      </c>
      <c r="AS299" t="s">
        <v>111</v>
      </c>
      <c r="AT299" t="s">
        <v>111</v>
      </c>
      <c r="AU299" t="s">
        <v>111</v>
      </c>
      <c r="AV299" t="s">
        <v>111</v>
      </c>
      <c r="AW299" t="s">
        <v>111</v>
      </c>
      <c r="AX299" t="s">
        <v>111</v>
      </c>
      <c r="AY299" t="s">
        <v>111</v>
      </c>
      <c r="AZ299" t="s">
        <v>111</v>
      </c>
      <c r="BA299" t="s">
        <v>111</v>
      </c>
      <c r="BB299" t="s">
        <v>111</v>
      </c>
      <c r="BC299" t="s">
        <v>111</v>
      </c>
      <c r="BD299" t="s">
        <v>111</v>
      </c>
      <c r="BE299" t="s">
        <v>111</v>
      </c>
      <c r="BF299" t="s">
        <v>111</v>
      </c>
      <c r="BG299" t="s">
        <v>111</v>
      </c>
      <c r="BH299" t="s">
        <v>111</v>
      </c>
      <c r="BI299" t="s">
        <v>111</v>
      </c>
      <c r="BJ299" t="s">
        <v>111</v>
      </c>
      <c r="BK299" t="s">
        <v>111</v>
      </c>
      <c r="BL299" t="s">
        <v>111</v>
      </c>
      <c r="BM299" t="s">
        <v>111</v>
      </c>
      <c r="BN299" t="s">
        <v>111</v>
      </c>
      <c r="BO299" t="s">
        <v>111</v>
      </c>
      <c r="BP299" t="s">
        <v>111</v>
      </c>
      <c r="BQ299" t="s">
        <v>111</v>
      </c>
      <c r="BR299" t="s">
        <v>111</v>
      </c>
      <c r="BS299" t="s">
        <v>111</v>
      </c>
      <c r="BT299" t="s">
        <v>111</v>
      </c>
      <c r="BU299" t="s">
        <v>111</v>
      </c>
      <c r="BV299" t="s">
        <v>111</v>
      </c>
      <c r="BW299" t="s">
        <v>111</v>
      </c>
      <c r="BX299" t="s">
        <v>111</v>
      </c>
      <c r="BY299" t="s">
        <v>111</v>
      </c>
      <c r="BZ299" t="s">
        <v>111</v>
      </c>
      <c r="CA299" t="s">
        <v>111</v>
      </c>
      <c r="CB299" t="s">
        <v>111</v>
      </c>
      <c r="CC299" t="s">
        <v>111</v>
      </c>
      <c r="CD299" t="s">
        <v>111</v>
      </c>
      <c r="CE299" t="s">
        <v>111</v>
      </c>
      <c r="CF299" t="s">
        <v>111</v>
      </c>
      <c r="CG299" t="s">
        <v>111</v>
      </c>
      <c r="CH299" t="s">
        <v>111</v>
      </c>
      <c r="CI299" t="s">
        <v>111</v>
      </c>
      <c r="CJ299" t="s">
        <v>111</v>
      </c>
      <c r="CK299" t="s">
        <v>111</v>
      </c>
      <c r="CL299" t="s">
        <v>111</v>
      </c>
      <c r="CM299" t="s">
        <v>111</v>
      </c>
      <c r="CN299" t="s">
        <v>111</v>
      </c>
      <c r="CO299" t="s">
        <v>111</v>
      </c>
      <c r="CP299" t="s">
        <v>111</v>
      </c>
      <c r="CQ299">
        <v>0</v>
      </c>
      <c r="CR299">
        <v>0</v>
      </c>
      <c r="CS299">
        <v>0</v>
      </c>
      <c r="CT299" t="s">
        <v>111</v>
      </c>
      <c r="CU299">
        <v>0</v>
      </c>
      <c r="CV299" t="s">
        <v>111</v>
      </c>
      <c r="CW299" t="s">
        <v>111</v>
      </c>
      <c r="CX299" t="s">
        <v>111</v>
      </c>
      <c r="CY299">
        <v>0</v>
      </c>
      <c r="CZ299" t="s">
        <v>111</v>
      </c>
      <c r="DA299" t="s">
        <v>111</v>
      </c>
      <c r="DB299" t="s">
        <v>111</v>
      </c>
      <c r="DC299" t="s">
        <v>111</v>
      </c>
    </row>
    <row r="300" spans="1:107">
      <c r="A300">
        <v>852</v>
      </c>
      <c r="B300" t="s">
        <v>107</v>
      </c>
      <c r="C300" t="s">
        <v>336</v>
      </c>
      <c r="D300" t="s">
        <v>1145</v>
      </c>
      <c r="E300" t="s">
        <v>1146</v>
      </c>
      <c r="F300" t="s">
        <v>166</v>
      </c>
      <c r="G300" t="s">
        <v>469</v>
      </c>
      <c r="H300">
        <v>4</v>
      </c>
      <c r="I300">
        <v>60</v>
      </c>
      <c r="J300">
        <v>0</v>
      </c>
      <c r="K300">
        <v>0</v>
      </c>
      <c r="L300" t="s">
        <v>112</v>
      </c>
      <c r="M300" t="s">
        <v>138</v>
      </c>
      <c r="N300">
        <v>0</v>
      </c>
      <c r="O300">
        <v>0</v>
      </c>
      <c r="P300" t="s">
        <v>138</v>
      </c>
      <c r="Q300">
        <v>52</v>
      </c>
      <c r="R300">
        <v>0</v>
      </c>
      <c r="S300">
        <v>0</v>
      </c>
      <c r="T300">
        <v>0</v>
      </c>
      <c r="U300" t="s">
        <v>1147</v>
      </c>
      <c r="V300">
        <v>12.5</v>
      </c>
      <c r="W300">
        <v>12.5</v>
      </c>
      <c r="X300">
        <v>0</v>
      </c>
      <c r="Y300">
        <v>0</v>
      </c>
      <c r="Z300" t="s">
        <v>327</v>
      </c>
      <c r="AA300">
        <v>2.5</v>
      </c>
      <c r="AB300" t="s">
        <v>1148</v>
      </c>
      <c r="AC300">
        <v>25</v>
      </c>
      <c r="AD300" t="s">
        <v>111</v>
      </c>
      <c r="AE300">
        <v>0</v>
      </c>
      <c r="AF300">
        <v>0</v>
      </c>
      <c r="AG300" t="s">
        <v>111</v>
      </c>
      <c r="AH300" t="s">
        <v>111</v>
      </c>
      <c r="AI300" t="s">
        <v>111</v>
      </c>
      <c r="AJ300" t="s">
        <v>111</v>
      </c>
      <c r="AK300" t="s">
        <v>111</v>
      </c>
      <c r="AL300" t="s">
        <v>111</v>
      </c>
      <c r="AM300">
        <v>0</v>
      </c>
      <c r="AN300">
        <v>0</v>
      </c>
      <c r="AO300">
        <v>0</v>
      </c>
      <c r="AP300" t="s">
        <v>111</v>
      </c>
      <c r="AQ300" t="s">
        <v>111</v>
      </c>
      <c r="AR300" t="s">
        <v>111</v>
      </c>
      <c r="AS300" t="s">
        <v>111</v>
      </c>
      <c r="AT300" t="s">
        <v>111</v>
      </c>
      <c r="AU300" t="s">
        <v>111</v>
      </c>
      <c r="AV300" t="s">
        <v>111</v>
      </c>
      <c r="AW300" t="s">
        <v>111</v>
      </c>
      <c r="AX300" t="s">
        <v>111</v>
      </c>
      <c r="AY300" t="s">
        <v>111</v>
      </c>
      <c r="AZ300" t="s">
        <v>111</v>
      </c>
      <c r="BA300" t="s">
        <v>111</v>
      </c>
      <c r="BB300" t="s">
        <v>111</v>
      </c>
      <c r="BC300" t="s">
        <v>111</v>
      </c>
      <c r="BD300" t="s">
        <v>111</v>
      </c>
      <c r="BE300" t="s">
        <v>111</v>
      </c>
      <c r="BF300" t="s">
        <v>111</v>
      </c>
      <c r="BG300" t="s">
        <v>111</v>
      </c>
      <c r="BH300" t="s">
        <v>111</v>
      </c>
      <c r="BI300" t="s">
        <v>111</v>
      </c>
      <c r="BJ300" t="s">
        <v>111</v>
      </c>
      <c r="BK300" t="s">
        <v>111</v>
      </c>
      <c r="BL300" t="s">
        <v>111</v>
      </c>
      <c r="BM300" t="s">
        <v>111</v>
      </c>
      <c r="BN300" t="s">
        <v>111</v>
      </c>
      <c r="BO300" t="s">
        <v>111</v>
      </c>
      <c r="BP300" t="s">
        <v>111</v>
      </c>
      <c r="BQ300" t="s">
        <v>111</v>
      </c>
      <c r="BR300" t="s">
        <v>111</v>
      </c>
      <c r="BS300" t="s">
        <v>111</v>
      </c>
      <c r="BT300" t="s">
        <v>111</v>
      </c>
      <c r="BU300" t="s">
        <v>111</v>
      </c>
      <c r="BV300" t="s">
        <v>111</v>
      </c>
      <c r="BW300" t="s">
        <v>111</v>
      </c>
      <c r="BX300" t="s">
        <v>111</v>
      </c>
      <c r="BY300" t="s">
        <v>111</v>
      </c>
      <c r="BZ300" t="s">
        <v>111</v>
      </c>
      <c r="CA300" t="s">
        <v>111</v>
      </c>
      <c r="CB300" t="s">
        <v>111</v>
      </c>
      <c r="CC300" t="s">
        <v>111</v>
      </c>
      <c r="CD300" t="s">
        <v>111</v>
      </c>
      <c r="CE300" t="s">
        <v>111</v>
      </c>
      <c r="CF300" t="s">
        <v>111</v>
      </c>
      <c r="CG300" t="s">
        <v>111</v>
      </c>
      <c r="CH300" t="s">
        <v>111</v>
      </c>
      <c r="CI300" t="s">
        <v>111</v>
      </c>
      <c r="CJ300" t="s">
        <v>111</v>
      </c>
      <c r="CK300" t="s">
        <v>111</v>
      </c>
      <c r="CL300" t="s">
        <v>111</v>
      </c>
      <c r="CM300" t="s">
        <v>111</v>
      </c>
      <c r="CN300" t="s">
        <v>111</v>
      </c>
      <c r="CO300" t="s">
        <v>111</v>
      </c>
      <c r="CP300" t="s">
        <v>111</v>
      </c>
      <c r="CQ300">
        <v>0</v>
      </c>
      <c r="CR300">
        <v>0</v>
      </c>
      <c r="CS300">
        <v>0</v>
      </c>
      <c r="CT300" t="s">
        <v>111</v>
      </c>
      <c r="CU300">
        <v>0</v>
      </c>
      <c r="CV300" t="s">
        <v>111</v>
      </c>
      <c r="CW300" t="s">
        <v>111</v>
      </c>
      <c r="CX300" t="s">
        <v>111</v>
      </c>
      <c r="CY300">
        <v>0</v>
      </c>
      <c r="CZ300" t="s">
        <v>111</v>
      </c>
      <c r="DA300" t="s">
        <v>111</v>
      </c>
      <c r="DB300" t="s">
        <v>111</v>
      </c>
      <c r="DC300" t="s">
        <v>111</v>
      </c>
    </row>
    <row r="301" spans="1:107">
      <c r="A301">
        <v>851</v>
      </c>
      <c r="B301" t="s">
        <v>107</v>
      </c>
      <c r="C301" t="s">
        <v>336</v>
      </c>
      <c r="D301" t="s">
        <v>1149</v>
      </c>
      <c r="E301" t="s">
        <v>1150</v>
      </c>
      <c r="F301" t="s">
        <v>125</v>
      </c>
      <c r="G301" t="s">
        <v>469</v>
      </c>
      <c r="H301">
        <v>2</v>
      </c>
      <c r="I301">
        <v>51</v>
      </c>
      <c r="J301">
        <v>0</v>
      </c>
      <c r="K301">
        <v>0</v>
      </c>
      <c r="L301" t="s">
        <v>112</v>
      </c>
      <c r="M301" t="s">
        <v>138</v>
      </c>
      <c r="N301">
        <v>0</v>
      </c>
      <c r="O301">
        <v>0</v>
      </c>
      <c r="P301" t="s">
        <v>138</v>
      </c>
      <c r="Q301">
        <v>47.4</v>
      </c>
      <c r="R301">
        <v>0</v>
      </c>
      <c r="S301">
        <v>0</v>
      </c>
      <c r="T301">
        <v>5</v>
      </c>
      <c r="U301" s="1" t="s">
        <v>1151</v>
      </c>
      <c r="V301">
        <v>12.5</v>
      </c>
      <c r="W301">
        <v>12.5</v>
      </c>
      <c r="X301">
        <v>0</v>
      </c>
      <c r="Y301">
        <v>0</v>
      </c>
      <c r="Z301">
        <v>0</v>
      </c>
      <c r="AA301">
        <v>0</v>
      </c>
      <c r="AB301" t="s">
        <v>189</v>
      </c>
      <c r="AC301">
        <v>25</v>
      </c>
      <c r="AD301" t="s">
        <v>111</v>
      </c>
      <c r="AE301">
        <v>0</v>
      </c>
      <c r="AF301">
        <v>0</v>
      </c>
      <c r="AG301" t="s">
        <v>111</v>
      </c>
      <c r="AH301" t="s">
        <v>111</v>
      </c>
      <c r="AI301" t="s">
        <v>111</v>
      </c>
      <c r="AJ301" t="s">
        <v>111</v>
      </c>
      <c r="AK301" t="s">
        <v>111</v>
      </c>
      <c r="AL301" t="s">
        <v>111</v>
      </c>
      <c r="AM301">
        <v>0</v>
      </c>
      <c r="AN301">
        <v>0</v>
      </c>
      <c r="AO301">
        <v>0</v>
      </c>
      <c r="AP301" t="s">
        <v>111</v>
      </c>
      <c r="AQ301" t="s">
        <v>111</v>
      </c>
      <c r="AR301" t="s">
        <v>111</v>
      </c>
      <c r="AS301" t="s">
        <v>111</v>
      </c>
      <c r="AT301" t="s">
        <v>111</v>
      </c>
      <c r="AU301" t="s">
        <v>111</v>
      </c>
      <c r="AV301" t="s">
        <v>111</v>
      </c>
      <c r="AW301" t="s">
        <v>111</v>
      </c>
      <c r="AX301" t="s">
        <v>111</v>
      </c>
      <c r="AY301" t="s">
        <v>111</v>
      </c>
      <c r="AZ301" t="s">
        <v>111</v>
      </c>
      <c r="BA301" t="s">
        <v>111</v>
      </c>
      <c r="BB301" t="s">
        <v>111</v>
      </c>
      <c r="BC301" t="s">
        <v>111</v>
      </c>
      <c r="BD301" t="s">
        <v>111</v>
      </c>
      <c r="BE301" t="s">
        <v>111</v>
      </c>
      <c r="BF301" t="s">
        <v>111</v>
      </c>
      <c r="BG301" t="s">
        <v>111</v>
      </c>
      <c r="BH301" t="s">
        <v>111</v>
      </c>
      <c r="BI301" t="s">
        <v>111</v>
      </c>
      <c r="BJ301" t="s">
        <v>111</v>
      </c>
      <c r="BK301" t="s">
        <v>111</v>
      </c>
      <c r="BL301" t="s">
        <v>111</v>
      </c>
      <c r="BM301" t="s">
        <v>111</v>
      </c>
      <c r="BN301" t="s">
        <v>111</v>
      </c>
      <c r="BO301" t="s">
        <v>111</v>
      </c>
      <c r="BP301" t="s">
        <v>111</v>
      </c>
      <c r="BQ301" t="s">
        <v>111</v>
      </c>
      <c r="BR301" t="s">
        <v>111</v>
      </c>
      <c r="BS301" t="s">
        <v>111</v>
      </c>
      <c r="BT301" t="s">
        <v>111</v>
      </c>
      <c r="BU301" t="s">
        <v>111</v>
      </c>
      <c r="BV301" t="s">
        <v>111</v>
      </c>
      <c r="BW301" t="s">
        <v>111</v>
      </c>
      <c r="BX301" t="s">
        <v>111</v>
      </c>
      <c r="BY301" t="s">
        <v>111</v>
      </c>
      <c r="BZ301" t="s">
        <v>111</v>
      </c>
      <c r="CA301" t="s">
        <v>111</v>
      </c>
      <c r="CB301" t="s">
        <v>111</v>
      </c>
      <c r="CC301" t="s">
        <v>111</v>
      </c>
      <c r="CD301" t="s">
        <v>111</v>
      </c>
      <c r="CE301" t="s">
        <v>111</v>
      </c>
      <c r="CF301" t="s">
        <v>111</v>
      </c>
      <c r="CG301" t="s">
        <v>111</v>
      </c>
      <c r="CH301" t="s">
        <v>111</v>
      </c>
      <c r="CI301" t="s">
        <v>111</v>
      </c>
      <c r="CJ301" t="s">
        <v>111</v>
      </c>
      <c r="CK301" t="s">
        <v>111</v>
      </c>
      <c r="CL301" t="s">
        <v>111</v>
      </c>
      <c r="CM301" t="s">
        <v>1054</v>
      </c>
      <c r="CN301" t="s">
        <v>111</v>
      </c>
      <c r="CO301" t="s">
        <v>111</v>
      </c>
      <c r="CP301" t="s">
        <v>111</v>
      </c>
      <c r="CQ301">
        <v>0</v>
      </c>
      <c r="CR301">
        <v>300</v>
      </c>
      <c r="CS301">
        <v>25</v>
      </c>
      <c r="CT301" t="s">
        <v>111</v>
      </c>
      <c r="CU301">
        <v>0</v>
      </c>
      <c r="CV301" t="s">
        <v>111</v>
      </c>
      <c r="CW301" t="s">
        <v>111</v>
      </c>
      <c r="CX301" t="s">
        <v>111</v>
      </c>
      <c r="CY301">
        <v>0</v>
      </c>
      <c r="CZ301" t="s">
        <v>111</v>
      </c>
      <c r="DA301" t="s">
        <v>111</v>
      </c>
      <c r="DB301" t="s">
        <v>204</v>
      </c>
      <c r="DC301" t="s">
        <v>1152</v>
      </c>
    </row>
    <row r="302" spans="1:107">
      <c r="A302">
        <v>850</v>
      </c>
      <c r="B302" t="s">
        <v>107</v>
      </c>
      <c r="C302" t="s">
        <v>336</v>
      </c>
      <c r="D302" t="s">
        <v>1153</v>
      </c>
      <c r="E302" t="s">
        <v>1154</v>
      </c>
      <c r="F302" t="s">
        <v>125</v>
      </c>
      <c r="G302" t="s">
        <v>469</v>
      </c>
      <c r="H302">
        <v>2</v>
      </c>
      <c r="I302">
        <v>60</v>
      </c>
      <c r="J302">
        <v>0</v>
      </c>
      <c r="K302">
        <v>0</v>
      </c>
      <c r="L302" t="s">
        <v>112</v>
      </c>
      <c r="M302" t="s">
        <v>138</v>
      </c>
      <c r="N302">
        <v>0</v>
      </c>
      <c r="O302">
        <v>0</v>
      </c>
      <c r="P302" t="s">
        <v>138</v>
      </c>
      <c r="Q302">
        <v>48.5</v>
      </c>
      <c r="R302">
        <v>0</v>
      </c>
      <c r="S302">
        <v>0</v>
      </c>
      <c r="T302">
        <v>5</v>
      </c>
      <c r="U302" s="1" t="s">
        <v>1155</v>
      </c>
      <c r="V302">
        <v>12.5</v>
      </c>
      <c r="W302">
        <v>12.5</v>
      </c>
      <c r="X302">
        <v>0</v>
      </c>
      <c r="Y302">
        <v>0</v>
      </c>
      <c r="Z302">
        <v>0</v>
      </c>
      <c r="AA302">
        <v>0</v>
      </c>
      <c r="AB302" t="s">
        <v>189</v>
      </c>
      <c r="AC302">
        <v>25</v>
      </c>
      <c r="AD302" t="s">
        <v>111</v>
      </c>
      <c r="AE302">
        <v>0</v>
      </c>
      <c r="AF302">
        <v>0</v>
      </c>
      <c r="AG302" t="s">
        <v>111</v>
      </c>
      <c r="AH302" t="s">
        <v>111</v>
      </c>
      <c r="AI302" t="s">
        <v>111</v>
      </c>
      <c r="AJ302" t="s">
        <v>111</v>
      </c>
      <c r="AK302" t="s">
        <v>111</v>
      </c>
      <c r="AL302" t="s">
        <v>111</v>
      </c>
      <c r="AM302">
        <v>0</v>
      </c>
      <c r="AN302">
        <v>0</v>
      </c>
      <c r="AO302">
        <v>0</v>
      </c>
      <c r="AP302" t="s">
        <v>111</v>
      </c>
      <c r="AQ302" t="s">
        <v>111</v>
      </c>
      <c r="AR302" t="s">
        <v>111</v>
      </c>
      <c r="AS302" t="s">
        <v>111</v>
      </c>
      <c r="AT302" t="s">
        <v>111</v>
      </c>
      <c r="AU302" t="s">
        <v>111</v>
      </c>
      <c r="AV302" t="s">
        <v>111</v>
      </c>
      <c r="AW302" t="s">
        <v>111</v>
      </c>
      <c r="AX302" t="s">
        <v>111</v>
      </c>
      <c r="AY302" t="s">
        <v>111</v>
      </c>
      <c r="AZ302" t="s">
        <v>111</v>
      </c>
      <c r="BA302" t="s">
        <v>111</v>
      </c>
      <c r="BB302" t="s">
        <v>111</v>
      </c>
      <c r="BC302" t="s">
        <v>111</v>
      </c>
      <c r="BD302" t="s">
        <v>111</v>
      </c>
      <c r="BE302" t="s">
        <v>111</v>
      </c>
      <c r="BF302" t="s">
        <v>111</v>
      </c>
      <c r="BG302" t="s">
        <v>111</v>
      </c>
      <c r="BH302" t="s">
        <v>111</v>
      </c>
      <c r="BI302" t="s">
        <v>111</v>
      </c>
      <c r="BJ302" t="s">
        <v>111</v>
      </c>
      <c r="BK302" t="s">
        <v>111</v>
      </c>
      <c r="BL302" t="s">
        <v>111</v>
      </c>
      <c r="BM302" t="s">
        <v>111</v>
      </c>
      <c r="BN302" t="s">
        <v>111</v>
      </c>
      <c r="BO302" t="s">
        <v>111</v>
      </c>
      <c r="BP302" t="s">
        <v>111</v>
      </c>
      <c r="BQ302" t="s">
        <v>111</v>
      </c>
      <c r="BR302" t="s">
        <v>111</v>
      </c>
      <c r="BS302" t="s">
        <v>111</v>
      </c>
      <c r="BT302" t="s">
        <v>111</v>
      </c>
      <c r="BU302" t="s">
        <v>111</v>
      </c>
      <c r="BV302" t="s">
        <v>111</v>
      </c>
      <c r="BW302" t="s">
        <v>111</v>
      </c>
      <c r="BX302" t="s">
        <v>111</v>
      </c>
      <c r="BY302" t="s">
        <v>111</v>
      </c>
      <c r="BZ302" t="s">
        <v>111</v>
      </c>
      <c r="CA302" t="s">
        <v>111</v>
      </c>
      <c r="CB302" t="s">
        <v>111</v>
      </c>
      <c r="CC302" t="s">
        <v>111</v>
      </c>
      <c r="CD302" t="s">
        <v>111</v>
      </c>
      <c r="CE302" t="s">
        <v>111</v>
      </c>
      <c r="CF302" t="s">
        <v>111</v>
      </c>
      <c r="CG302" t="s">
        <v>111</v>
      </c>
      <c r="CH302" t="s">
        <v>111</v>
      </c>
      <c r="CI302" t="s">
        <v>111</v>
      </c>
      <c r="CJ302" t="s">
        <v>111</v>
      </c>
      <c r="CK302" t="s">
        <v>111</v>
      </c>
      <c r="CL302" t="s">
        <v>111</v>
      </c>
      <c r="CM302" t="s">
        <v>1054</v>
      </c>
      <c r="CN302" t="s">
        <v>128</v>
      </c>
      <c r="CO302" t="s">
        <v>111</v>
      </c>
      <c r="CP302" t="s">
        <v>111</v>
      </c>
      <c r="CQ302">
        <v>0</v>
      </c>
      <c r="CR302">
        <v>200</v>
      </c>
      <c r="CS302">
        <v>25</v>
      </c>
      <c r="CT302" t="s">
        <v>111</v>
      </c>
      <c r="CU302">
        <v>0</v>
      </c>
      <c r="CV302" t="s">
        <v>111</v>
      </c>
      <c r="CW302" t="s">
        <v>111</v>
      </c>
      <c r="CX302" t="s">
        <v>111</v>
      </c>
      <c r="CY302">
        <v>0</v>
      </c>
      <c r="CZ302" t="s">
        <v>111</v>
      </c>
      <c r="DA302" t="s">
        <v>111</v>
      </c>
      <c r="DB302" t="s">
        <v>204</v>
      </c>
      <c r="DC302" t="s">
        <v>319</v>
      </c>
    </row>
    <row r="303" spans="1:107">
      <c r="A303">
        <v>848</v>
      </c>
      <c r="B303" t="s">
        <v>107</v>
      </c>
      <c r="C303" t="s">
        <v>1156</v>
      </c>
      <c r="D303" t="s">
        <v>1157</v>
      </c>
      <c r="E303" t="s">
        <v>1158</v>
      </c>
      <c r="F303" t="s">
        <v>739</v>
      </c>
      <c r="G303" t="s">
        <v>469</v>
      </c>
      <c r="H303">
        <v>2.9</v>
      </c>
      <c r="I303">
        <v>102</v>
      </c>
      <c r="J303">
        <v>0</v>
      </c>
      <c r="K303">
        <v>0</v>
      </c>
      <c r="L303" t="s">
        <v>117</v>
      </c>
      <c r="M303" t="s">
        <v>118</v>
      </c>
      <c r="N303">
        <v>38</v>
      </c>
      <c r="O303">
        <v>1</v>
      </c>
      <c r="P303" t="s">
        <v>138</v>
      </c>
      <c r="Q303">
        <v>50</v>
      </c>
      <c r="R303">
        <v>0</v>
      </c>
      <c r="S303">
        <v>0</v>
      </c>
      <c r="T303">
        <v>5</v>
      </c>
      <c r="U303" s="1" t="s">
        <v>1159</v>
      </c>
      <c r="V303">
        <v>0</v>
      </c>
      <c r="W303">
        <v>25</v>
      </c>
      <c r="X303">
        <v>8</v>
      </c>
      <c r="Y303">
        <v>0</v>
      </c>
      <c r="Z303" t="s">
        <v>288</v>
      </c>
      <c r="AA303">
        <v>1.6</v>
      </c>
      <c r="AB303" t="s">
        <v>792</v>
      </c>
      <c r="AC303">
        <v>8</v>
      </c>
      <c r="AD303" t="s">
        <v>427</v>
      </c>
      <c r="AE303">
        <v>0</v>
      </c>
      <c r="AF303">
        <v>1</v>
      </c>
      <c r="AG303" t="s">
        <v>1160</v>
      </c>
      <c r="AH303" t="s">
        <v>113</v>
      </c>
      <c r="AI303" t="s">
        <v>1160</v>
      </c>
      <c r="AJ303" t="s">
        <v>111</v>
      </c>
      <c r="AK303" t="s">
        <v>111</v>
      </c>
      <c r="AL303" t="s">
        <v>111</v>
      </c>
      <c r="AM303">
        <v>0</v>
      </c>
      <c r="AN303">
        <v>0</v>
      </c>
      <c r="AO303">
        <v>0</v>
      </c>
      <c r="AP303" t="s">
        <v>1161</v>
      </c>
      <c r="AQ303" t="s">
        <v>111</v>
      </c>
      <c r="AR303" t="s">
        <v>111</v>
      </c>
      <c r="AS303" t="s">
        <v>111</v>
      </c>
      <c r="AT303" t="s">
        <v>111</v>
      </c>
      <c r="AU303" t="s">
        <v>111</v>
      </c>
      <c r="AV303" t="s">
        <v>111</v>
      </c>
      <c r="AW303" t="s">
        <v>111</v>
      </c>
      <c r="AX303" t="s">
        <v>111</v>
      </c>
      <c r="AY303" t="s">
        <v>111</v>
      </c>
      <c r="AZ303" t="s">
        <v>111</v>
      </c>
      <c r="BA303" t="s">
        <v>111</v>
      </c>
      <c r="BB303" t="s">
        <v>111</v>
      </c>
      <c r="BC303" t="s">
        <v>111</v>
      </c>
      <c r="BD303" t="s">
        <v>111</v>
      </c>
      <c r="BE303" t="s">
        <v>111</v>
      </c>
      <c r="BF303" t="s">
        <v>111</v>
      </c>
      <c r="BG303" t="s">
        <v>111</v>
      </c>
      <c r="BH303" t="s">
        <v>111</v>
      </c>
      <c r="BI303" t="s">
        <v>111</v>
      </c>
      <c r="BJ303" t="s">
        <v>111</v>
      </c>
      <c r="BK303" t="s">
        <v>111</v>
      </c>
      <c r="BL303" t="s">
        <v>111</v>
      </c>
      <c r="BM303" t="s">
        <v>111</v>
      </c>
      <c r="BN303" t="s">
        <v>111</v>
      </c>
      <c r="BO303" t="s">
        <v>111</v>
      </c>
      <c r="BP303" t="s">
        <v>111</v>
      </c>
      <c r="BQ303" t="s">
        <v>111</v>
      </c>
      <c r="BR303" t="s">
        <v>111</v>
      </c>
      <c r="BS303" t="s">
        <v>111</v>
      </c>
      <c r="BT303" t="s">
        <v>111</v>
      </c>
      <c r="BU303" t="s">
        <v>111</v>
      </c>
      <c r="BV303" t="s">
        <v>111</v>
      </c>
      <c r="BW303" t="s">
        <v>111</v>
      </c>
      <c r="BX303" t="s">
        <v>111</v>
      </c>
      <c r="BY303" t="s">
        <v>111</v>
      </c>
      <c r="BZ303" t="s">
        <v>111</v>
      </c>
      <c r="CA303" t="s">
        <v>111</v>
      </c>
      <c r="CB303" t="s">
        <v>111</v>
      </c>
      <c r="CC303" t="s">
        <v>111</v>
      </c>
      <c r="CD303" t="s">
        <v>111</v>
      </c>
      <c r="CE303" t="s">
        <v>111</v>
      </c>
      <c r="CF303" t="s">
        <v>111</v>
      </c>
      <c r="CG303" t="s">
        <v>111</v>
      </c>
      <c r="CH303" t="s">
        <v>111</v>
      </c>
      <c r="CI303" t="s">
        <v>111</v>
      </c>
      <c r="CJ303" t="s">
        <v>111</v>
      </c>
      <c r="CK303" t="s">
        <v>111</v>
      </c>
      <c r="CL303" t="e">
        <f>-DESTINO SELLADO</f>
        <v>#NAME?</v>
      </c>
      <c r="CM303" t="s">
        <v>198</v>
      </c>
      <c r="CN303" t="s">
        <v>113</v>
      </c>
      <c r="CO303" t="s">
        <v>367</v>
      </c>
      <c r="CP303" t="e">
        <f>-MUESTRA</f>
        <v>#NAME?</v>
      </c>
      <c r="CQ303">
        <v>0</v>
      </c>
      <c r="CR303">
        <v>0</v>
      </c>
      <c r="CS303">
        <v>50</v>
      </c>
      <c r="CT303" s="1" t="s">
        <v>1162</v>
      </c>
      <c r="CU303">
        <v>0</v>
      </c>
      <c r="CV303" t="s">
        <v>111</v>
      </c>
      <c r="CW303" t="s">
        <v>111</v>
      </c>
      <c r="CX303" t="s">
        <v>111</v>
      </c>
      <c r="CY303">
        <v>0</v>
      </c>
      <c r="CZ303" t="s">
        <v>111</v>
      </c>
      <c r="DA303" t="s">
        <v>111</v>
      </c>
      <c r="DB303" t="s">
        <v>204</v>
      </c>
      <c r="DC303" t="s">
        <v>589</v>
      </c>
    </row>
    <row r="304" spans="1:107">
      <c r="A304">
        <v>847</v>
      </c>
      <c r="B304" t="s">
        <v>107</v>
      </c>
      <c r="C304" t="s">
        <v>1156</v>
      </c>
      <c r="D304" t="s">
        <v>1163</v>
      </c>
      <c r="E304" t="s">
        <v>1164</v>
      </c>
      <c r="F304" t="s">
        <v>739</v>
      </c>
      <c r="G304" t="s">
        <v>469</v>
      </c>
      <c r="H304">
        <v>2.9</v>
      </c>
      <c r="I304">
        <v>70</v>
      </c>
      <c r="J304">
        <v>0</v>
      </c>
      <c r="K304">
        <v>0</v>
      </c>
      <c r="L304" t="s">
        <v>117</v>
      </c>
      <c r="M304" t="s">
        <v>118</v>
      </c>
      <c r="N304">
        <v>38</v>
      </c>
      <c r="O304">
        <v>1</v>
      </c>
      <c r="P304" t="s">
        <v>138</v>
      </c>
      <c r="Q304">
        <v>50</v>
      </c>
      <c r="R304">
        <v>0</v>
      </c>
      <c r="S304">
        <v>0</v>
      </c>
      <c r="T304">
        <v>0</v>
      </c>
      <c r="U304" s="1" t="s">
        <v>1165</v>
      </c>
      <c r="V304">
        <v>0</v>
      </c>
      <c r="W304">
        <v>25</v>
      </c>
      <c r="X304">
        <v>8</v>
      </c>
      <c r="Y304">
        <v>0</v>
      </c>
      <c r="Z304" t="s">
        <v>288</v>
      </c>
      <c r="AA304">
        <v>1.6</v>
      </c>
      <c r="AB304" t="s">
        <v>111</v>
      </c>
      <c r="AC304">
        <v>0</v>
      </c>
      <c r="AD304" t="s">
        <v>427</v>
      </c>
      <c r="AE304">
        <v>0</v>
      </c>
      <c r="AF304">
        <v>1</v>
      </c>
      <c r="AG304">
        <v>25</v>
      </c>
      <c r="AH304" t="s">
        <v>113</v>
      </c>
      <c r="AI304">
        <v>50</v>
      </c>
      <c r="AJ304" t="s">
        <v>111</v>
      </c>
      <c r="AK304" t="s">
        <v>111</v>
      </c>
      <c r="AL304" t="s">
        <v>111</v>
      </c>
      <c r="AM304">
        <v>0</v>
      </c>
      <c r="AN304">
        <v>0</v>
      </c>
      <c r="AO304">
        <v>0</v>
      </c>
      <c r="AP304" t="s">
        <v>1161</v>
      </c>
      <c r="AQ304" t="s">
        <v>111</v>
      </c>
      <c r="AR304" t="s">
        <v>111</v>
      </c>
      <c r="AS304" t="s">
        <v>111</v>
      </c>
      <c r="AT304" t="s">
        <v>111</v>
      </c>
      <c r="AU304" t="s">
        <v>111</v>
      </c>
      <c r="AV304" t="s">
        <v>111</v>
      </c>
      <c r="AW304" t="s">
        <v>111</v>
      </c>
      <c r="AX304" t="s">
        <v>111</v>
      </c>
      <c r="AY304" t="s">
        <v>111</v>
      </c>
      <c r="AZ304" t="s">
        <v>111</v>
      </c>
      <c r="BA304" t="s">
        <v>111</v>
      </c>
      <c r="BB304" t="s">
        <v>111</v>
      </c>
      <c r="BC304" t="s">
        <v>111</v>
      </c>
      <c r="BD304" t="s">
        <v>111</v>
      </c>
      <c r="BE304" t="s">
        <v>111</v>
      </c>
      <c r="BF304" t="s">
        <v>111</v>
      </c>
      <c r="BG304" t="s">
        <v>111</v>
      </c>
      <c r="BH304" t="s">
        <v>111</v>
      </c>
      <c r="BI304" t="s">
        <v>111</v>
      </c>
      <c r="BJ304" t="s">
        <v>111</v>
      </c>
      <c r="BK304" t="s">
        <v>111</v>
      </c>
      <c r="BL304" t="s">
        <v>111</v>
      </c>
      <c r="BM304" t="s">
        <v>111</v>
      </c>
      <c r="BN304" t="s">
        <v>111</v>
      </c>
      <c r="BO304" t="s">
        <v>111</v>
      </c>
      <c r="BP304" t="s">
        <v>111</v>
      </c>
      <c r="BQ304" t="s">
        <v>111</v>
      </c>
      <c r="BR304" t="s">
        <v>111</v>
      </c>
      <c r="BS304" t="s">
        <v>111</v>
      </c>
      <c r="BT304" t="s">
        <v>111</v>
      </c>
      <c r="BU304" t="s">
        <v>111</v>
      </c>
      <c r="BV304" t="s">
        <v>111</v>
      </c>
      <c r="BW304" t="s">
        <v>111</v>
      </c>
      <c r="BX304" t="s">
        <v>111</v>
      </c>
      <c r="BY304" t="s">
        <v>111</v>
      </c>
      <c r="BZ304" t="s">
        <v>111</v>
      </c>
      <c r="CA304" t="s">
        <v>111</v>
      </c>
      <c r="CB304" t="s">
        <v>111</v>
      </c>
      <c r="CC304" t="s">
        <v>111</v>
      </c>
      <c r="CD304" t="s">
        <v>111</v>
      </c>
      <c r="CE304" t="s">
        <v>111</v>
      </c>
      <c r="CF304" t="s">
        <v>111</v>
      </c>
      <c r="CG304" t="s">
        <v>111</v>
      </c>
      <c r="CH304" t="s">
        <v>111</v>
      </c>
      <c r="CI304" t="s">
        <v>111</v>
      </c>
      <c r="CJ304" t="s">
        <v>111</v>
      </c>
      <c r="CK304" t="s">
        <v>111</v>
      </c>
      <c r="CL304" t="s">
        <v>111</v>
      </c>
      <c r="CM304" t="s">
        <v>198</v>
      </c>
      <c r="CN304" t="s">
        <v>113</v>
      </c>
      <c r="CO304" t="s">
        <v>111</v>
      </c>
      <c r="CP304" t="s">
        <v>1166</v>
      </c>
      <c r="CQ304">
        <v>0</v>
      </c>
      <c r="CR304">
        <v>2500</v>
      </c>
      <c r="CS304">
        <v>100</v>
      </c>
      <c r="CT304" s="1" t="s">
        <v>1167</v>
      </c>
      <c r="CU304">
        <v>0</v>
      </c>
      <c r="CV304" t="s">
        <v>111</v>
      </c>
      <c r="CW304" t="s">
        <v>111</v>
      </c>
      <c r="CX304" t="s">
        <v>111</v>
      </c>
      <c r="CY304">
        <v>0</v>
      </c>
      <c r="CZ304" t="s">
        <v>111</v>
      </c>
      <c r="DA304" t="s">
        <v>111</v>
      </c>
      <c r="DB304" t="s">
        <v>204</v>
      </c>
      <c r="DC304" t="e">
        <f>-TROQUEL RIÑON</f>
        <v>#NAME?</v>
      </c>
    </row>
    <row r="305" spans="1:107">
      <c r="A305">
        <v>858</v>
      </c>
      <c r="B305" t="s">
        <v>107</v>
      </c>
      <c r="C305" t="s">
        <v>226</v>
      </c>
      <c r="D305" t="s">
        <v>1168</v>
      </c>
      <c r="E305" t="s">
        <v>1169</v>
      </c>
      <c r="F305" t="s">
        <v>125</v>
      </c>
      <c r="G305" t="s">
        <v>469</v>
      </c>
      <c r="H305">
        <v>0.9</v>
      </c>
      <c r="I305">
        <v>60</v>
      </c>
      <c r="J305">
        <v>0</v>
      </c>
      <c r="K305">
        <v>0</v>
      </c>
      <c r="L305" t="s">
        <v>112</v>
      </c>
      <c r="M305" t="s">
        <v>138</v>
      </c>
      <c r="N305">
        <v>0</v>
      </c>
      <c r="O305">
        <v>0</v>
      </c>
      <c r="P305" t="s">
        <v>118</v>
      </c>
      <c r="Q305">
        <v>50</v>
      </c>
      <c r="R305">
        <v>0</v>
      </c>
      <c r="S305">
        <v>0</v>
      </c>
      <c r="T305">
        <v>5</v>
      </c>
      <c r="U305" s="1" t="s">
        <v>1170</v>
      </c>
      <c r="V305">
        <v>12.5</v>
      </c>
      <c r="W305">
        <v>12.5</v>
      </c>
      <c r="X305">
        <v>0</v>
      </c>
      <c r="Y305">
        <v>0</v>
      </c>
      <c r="Z305" t="s">
        <v>327</v>
      </c>
      <c r="AA305">
        <v>2.5</v>
      </c>
      <c r="AB305" t="s">
        <v>1171</v>
      </c>
      <c r="AC305">
        <v>25</v>
      </c>
      <c r="AD305" t="s">
        <v>111</v>
      </c>
      <c r="AE305">
        <v>0</v>
      </c>
      <c r="AF305">
        <v>0</v>
      </c>
      <c r="AG305" t="s">
        <v>111</v>
      </c>
      <c r="AH305" t="s">
        <v>111</v>
      </c>
      <c r="AI305" t="s">
        <v>111</v>
      </c>
      <c r="AJ305" t="s">
        <v>111</v>
      </c>
      <c r="AK305" t="s">
        <v>111</v>
      </c>
      <c r="AL305" t="s">
        <v>111</v>
      </c>
      <c r="AM305">
        <v>0</v>
      </c>
      <c r="AN305">
        <v>0</v>
      </c>
      <c r="AO305">
        <v>0</v>
      </c>
      <c r="AP305" t="s">
        <v>111</v>
      </c>
      <c r="AQ305" t="s">
        <v>111</v>
      </c>
      <c r="AR305" t="s">
        <v>111</v>
      </c>
      <c r="AS305" t="s">
        <v>111</v>
      </c>
      <c r="AT305" t="s">
        <v>111</v>
      </c>
      <c r="AU305" t="s">
        <v>111</v>
      </c>
      <c r="AV305" t="s">
        <v>111</v>
      </c>
      <c r="AW305" t="s">
        <v>111</v>
      </c>
      <c r="AX305" t="s">
        <v>111</v>
      </c>
      <c r="AY305" t="s">
        <v>111</v>
      </c>
      <c r="AZ305" t="s">
        <v>111</v>
      </c>
      <c r="BA305" t="s">
        <v>111</v>
      </c>
      <c r="BB305" t="s">
        <v>111</v>
      </c>
      <c r="BC305" t="s">
        <v>111</v>
      </c>
      <c r="BD305" t="s">
        <v>111</v>
      </c>
      <c r="BE305" t="s">
        <v>111</v>
      </c>
      <c r="BF305" t="s">
        <v>111</v>
      </c>
      <c r="BG305" t="s">
        <v>111</v>
      </c>
      <c r="BH305" t="s">
        <v>111</v>
      </c>
      <c r="BI305" t="s">
        <v>111</v>
      </c>
      <c r="BJ305" t="s">
        <v>111</v>
      </c>
      <c r="BK305" t="s">
        <v>111</v>
      </c>
      <c r="BL305" t="s">
        <v>111</v>
      </c>
      <c r="BM305" t="s">
        <v>111</v>
      </c>
      <c r="BN305" t="s">
        <v>111</v>
      </c>
      <c r="BO305" t="s">
        <v>111</v>
      </c>
      <c r="BP305" t="s">
        <v>111</v>
      </c>
      <c r="BQ305" t="s">
        <v>111</v>
      </c>
      <c r="BR305" t="s">
        <v>111</v>
      </c>
      <c r="BS305" t="s">
        <v>111</v>
      </c>
      <c r="BT305" t="s">
        <v>111</v>
      </c>
      <c r="BU305" t="s">
        <v>111</v>
      </c>
      <c r="BV305" t="s">
        <v>111</v>
      </c>
      <c r="BW305" t="s">
        <v>111</v>
      </c>
      <c r="BX305" t="s">
        <v>111</v>
      </c>
      <c r="BY305" t="s">
        <v>111</v>
      </c>
      <c r="BZ305" t="s">
        <v>111</v>
      </c>
      <c r="CA305" t="s">
        <v>111</v>
      </c>
      <c r="CB305" t="s">
        <v>111</v>
      </c>
      <c r="CC305" t="s">
        <v>111</v>
      </c>
      <c r="CD305" t="s">
        <v>111</v>
      </c>
      <c r="CE305" t="s">
        <v>111</v>
      </c>
      <c r="CF305" t="s">
        <v>111</v>
      </c>
      <c r="CG305" t="s">
        <v>111</v>
      </c>
      <c r="CH305" t="s">
        <v>111</v>
      </c>
      <c r="CI305" t="s">
        <v>111</v>
      </c>
      <c r="CJ305" t="s">
        <v>111</v>
      </c>
      <c r="CK305" t="s">
        <v>111</v>
      </c>
      <c r="CL305" t="s">
        <v>111</v>
      </c>
      <c r="CM305" t="s">
        <v>127</v>
      </c>
      <c r="CN305" t="s">
        <v>128</v>
      </c>
      <c r="CO305" t="s">
        <v>138</v>
      </c>
      <c r="CP305" t="s">
        <v>111</v>
      </c>
      <c r="CQ305">
        <v>0</v>
      </c>
      <c r="CR305">
        <v>1000</v>
      </c>
      <c r="CS305">
        <v>50</v>
      </c>
      <c r="CT305" s="1" t="s">
        <v>1172</v>
      </c>
      <c r="CU305">
        <v>0</v>
      </c>
      <c r="CV305" t="s">
        <v>111</v>
      </c>
      <c r="CW305" t="s">
        <v>111</v>
      </c>
      <c r="CX305" t="s">
        <v>111</v>
      </c>
      <c r="CY305">
        <v>0</v>
      </c>
      <c r="CZ305" t="s">
        <v>111</v>
      </c>
      <c r="DA305" t="s">
        <v>111</v>
      </c>
      <c r="DB305" t="s">
        <v>111</v>
      </c>
      <c r="DC305" t="s">
        <v>111</v>
      </c>
    </row>
    <row r="306" spans="1:107">
      <c r="A306">
        <v>849</v>
      </c>
      <c r="B306" t="s">
        <v>107</v>
      </c>
      <c r="C306" t="s">
        <v>336</v>
      </c>
      <c r="D306" t="s">
        <v>1078</v>
      </c>
      <c r="E306" t="s">
        <v>1173</v>
      </c>
      <c r="F306" t="s">
        <v>125</v>
      </c>
      <c r="G306" t="s">
        <v>469</v>
      </c>
      <c r="H306">
        <v>2</v>
      </c>
      <c r="I306">
        <v>51</v>
      </c>
      <c r="J306">
        <v>0</v>
      </c>
      <c r="K306">
        <v>0</v>
      </c>
      <c r="L306" t="s">
        <v>112</v>
      </c>
      <c r="M306" t="s">
        <v>138</v>
      </c>
      <c r="N306">
        <v>0</v>
      </c>
      <c r="O306">
        <v>0</v>
      </c>
      <c r="P306" t="s">
        <v>138</v>
      </c>
      <c r="Q306">
        <v>39.799999999999997</v>
      </c>
      <c r="R306">
        <v>0</v>
      </c>
      <c r="S306">
        <v>0</v>
      </c>
      <c r="T306">
        <v>5</v>
      </c>
      <c r="U306" s="1" t="s">
        <v>1174</v>
      </c>
      <c r="V306">
        <v>12.5</v>
      </c>
      <c r="W306">
        <v>12.5</v>
      </c>
      <c r="X306">
        <v>0</v>
      </c>
      <c r="Y306">
        <v>0</v>
      </c>
      <c r="Z306">
        <v>0</v>
      </c>
      <c r="AA306">
        <v>0</v>
      </c>
      <c r="AB306" t="s">
        <v>189</v>
      </c>
      <c r="AC306">
        <v>25</v>
      </c>
      <c r="AD306" t="s">
        <v>111</v>
      </c>
      <c r="AE306">
        <v>0</v>
      </c>
      <c r="AF306">
        <v>0</v>
      </c>
      <c r="AG306" t="s">
        <v>111</v>
      </c>
      <c r="AH306" t="s">
        <v>111</v>
      </c>
      <c r="AI306" t="s">
        <v>111</v>
      </c>
      <c r="AJ306" t="s">
        <v>111</v>
      </c>
      <c r="AK306" t="s">
        <v>111</v>
      </c>
      <c r="AL306" t="s">
        <v>111</v>
      </c>
      <c r="AM306">
        <v>0</v>
      </c>
      <c r="AN306">
        <v>0</v>
      </c>
      <c r="AO306">
        <v>0</v>
      </c>
      <c r="AP306" t="s">
        <v>111</v>
      </c>
      <c r="AQ306" t="s">
        <v>111</v>
      </c>
      <c r="AR306" t="s">
        <v>111</v>
      </c>
      <c r="AS306" t="s">
        <v>111</v>
      </c>
      <c r="AT306" t="s">
        <v>111</v>
      </c>
      <c r="AU306" t="s">
        <v>111</v>
      </c>
      <c r="AV306" t="s">
        <v>111</v>
      </c>
      <c r="AW306" t="s">
        <v>111</v>
      </c>
      <c r="AX306" t="s">
        <v>111</v>
      </c>
      <c r="AY306" t="s">
        <v>111</v>
      </c>
      <c r="AZ306" t="s">
        <v>111</v>
      </c>
      <c r="BA306" t="s">
        <v>111</v>
      </c>
      <c r="BB306" t="s">
        <v>111</v>
      </c>
      <c r="BC306" t="s">
        <v>111</v>
      </c>
      <c r="BD306" t="s">
        <v>111</v>
      </c>
      <c r="BE306" t="s">
        <v>111</v>
      </c>
      <c r="BF306" t="s">
        <v>111</v>
      </c>
      <c r="BG306" t="s">
        <v>111</v>
      </c>
      <c r="BH306" t="s">
        <v>111</v>
      </c>
      <c r="BI306" t="s">
        <v>111</v>
      </c>
      <c r="BJ306" t="s">
        <v>111</v>
      </c>
      <c r="BK306" t="s">
        <v>111</v>
      </c>
      <c r="BL306" t="s">
        <v>111</v>
      </c>
      <c r="BM306" t="s">
        <v>111</v>
      </c>
      <c r="BN306" t="s">
        <v>111</v>
      </c>
      <c r="BO306" t="s">
        <v>111</v>
      </c>
      <c r="BP306" t="s">
        <v>111</v>
      </c>
      <c r="BQ306" t="s">
        <v>111</v>
      </c>
      <c r="BR306" t="s">
        <v>111</v>
      </c>
      <c r="BS306" t="s">
        <v>111</v>
      </c>
      <c r="BT306" t="s">
        <v>111</v>
      </c>
      <c r="BU306" t="s">
        <v>111</v>
      </c>
      <c r="BV306" t="s">
        <v>111</v>
      </c>
      <c r="BW306" t="s">
        <v>111</v>
      </c>
      <c r="BX306" t="s">
        <v>111</v>
      </c>
      <c r="BY306" t="s">
        <v>111</v>
      </c>
      <c r="BZ306" t="s">
        <v>111</v>
      </c>
      <c r="CA306" t="s">
        <v>111</v>
      </c>
      <c r="CB306" t="s">
        <v>111</v>
      </c>
      <c r="CC306" t="s">
        <v>111</v>
      </c>
      <c r="CD306" t="s">
        <v>111</v>
      </c>
      <c r="CE306" t="s">
        <v>111</v>
      </c>
      <c r="CF306" t="s">
        <v>111</v>
      </c>
      <c r="CG306" t="s">
        <v>111</v>
      </c>
      <c r="CH306" t="s">
        <v>111</v>
      </c>
      <c r="CI306" t="s">
        <v>111</v>
      </c>
      <c r="CJ306" t="s">
        <v>111</v>
      </c>
      <c r="CK306" t="s">
        <v>111</v>
      </c>
      <c r="CL306" t="s">
        <v>111</v>
      </c>
      <c r="CM306" t="s">
        <v>135</v>
      </c>
      <c r="CN306" t="s">
        <v>128</v>
      </c>
      <c r="CO306" t="s">
        <v>111</v>
      </c>
      <c r="CP306" t="s">
        <v>111</v>
      </c>
      <c r="CQ306">
        <v>35</v>
      </c>
      <c r="CR306">
        <v>500</v>
      </c>
      <c r="CS306">
        <v>25</v>
      </c>
      <c r="CT306" t="s">
        <v>394</v>
      </c>
      <c r="CU306">
        <v>0</v>
      </c>
      <c r="CV306" t="s">
        <v>111</v>
      </c>
      <c r="CW306" t="s">
        <v>111</v>
      </c>
      <c r="CX306" t="s">
        <v>111</v>
      </c>
      <c r="CY306">
        <v>0</v>
      </c>
      <c r="CZ306" t="s">
        <v>111</v>
      </c>
      <c r="DA306" t="s">
        <v>111</v>
      </c>
      <c r="DB306" t="s">
        <v>1175</v>
      </c>
      <c r="DC306" t="s">
        <v>111</v>
      </c>
    </row>
    <row r="307" spans="1:107">
      <c r="A307">
        <v>841</v>
      </c>
      <c r="B307" t="s">
        <v>107</v>
      </c>
      <c r="C307" t="s">
        <v>1176</v>
      </c>
      <c r="D307" t="s">
        <v>1177</v>
      </c>
      <c r="E307" t="s">
        <v>1178</v>
      </c>
      <c r="F307" t="s">
        <v>192</v>
      </c>
      <c r="G307" t="s">
        <v>469</v>
      </c>
      <c r="H307">
        <v>1.9</v>
      </c>
      <c r="I307">
        <v>90</v>
      </c>
      <c r="J307">
        <v>7.5</v>
      </c>
      <c r="K307">
        <v>7.5</v>
      </c>
      <c r="L307" t="s">
        <v>112</v>
      </c>
      <c r="M307" t="s">
        <v>138</v>
      </c>
      <c r="N307">
        <v>0</v>
      </c>
      <c r="O307">
        <v>0</v>
      </c>
      <c r="P307" t="s">
        <v>138</v>
      </c>
      <c r="Q307">
        <v>40</v>
      </c>
      <c r="R307">
        <v>0</v>
      </c>
      <c r="S307">
        <v>0</v>
      </c>
      <c r="T307">
        <v>0</v>
      </c>
      <c r="U307" s="1" t="s">
        <v>1179</v>
      </c>
      <c r="V307">
        <v>0</v>
      </c>
      <c r="W307">
        <v>12.5</v>
      </c>
      <c r="X307">
        <v>5</v>
      </c>
      <c r="Y307">
        <v>0</v>
      </c>
      <c r="Z307" t="s">
        <v>111</v>
      </c>
      <c r="AA307">
        <v>0</v>
      </c>
      <c r="AB307" t="s">
        <v>1180</v>
      </c>
      <c r="AC307">
        <v>12.5</v>
      </c>
      <c r="AD307" t="s">
        <v>111</v>
      </c>
      <c r="AE307">
        <v>0</v>
      </c>
      <c r="AF307">
        <v>0</v>
      </c>
      <c r="AG307" t="s">
        <v>111</v>
      </c>
      <c r="AH307" t="s">
        <v>111</v>
      </c>
      <c r="AI307" t="s">
        <v>111</v>
      </c>
      <c r="AJ307" t="s">
        <v>111</v>
      </c>
      <c r="AK307" t="s">
        <v>111</v>
      </c>
      <c r="AL307" t="s">
        <v>111</v>
      </c>
      <c r="AM307">
        <v>0</v>
      </c>
      <c r="AN307">
        <v>0</v>
      </c>
      <c r="AO307">
        <v>0</v>
      </c>
      <c r="AP307" t="s">
        <v>111</v>
      </c>
      <c r="AQ307" t="s">
        <v>111</v>
      </c>
      <c r="AR307" t="s">
        <v>111</v>
      </c>
      <c r="AS307" t="s">
        <v>111</v>
      </c>
      <c r="AT307" t="s">
        <v>111</v>
      </c>
      <c r="AU307" t="s">
        <v>111</v>
      </c>
      <c r="AV307" t="s">
        <v>111</v>
      </c>
      <c r="AW307" t="s">
        <v>111</v>
      </c>
      <c r="AX307" t="s">
        <v>111</v>
      </c>
      <c r="AY307" t="s">
        <v>111</v>
      </c>
      <c r="AZ307" t="s">
        <v>111</v>
      </c>
      <c r="BA307" t="s">
        <v>111</v>
      </c>
      <c r="BB307" t="s">
        <v>111</v>
      </c>
      <c r="BC307" t="s">
        <v>111</v>
      </c>
      <c r="BD307" t="s">
        <v>111</v>
      </c>
      <c r="BE307" t="s">
        <v>111</v>
      </c>
      <c r="BF307" t="s">
        <v>111</v>
      </c>
      <c r="BG307" t="s">
        <v>111</v>
      </c>
      <c r="BH307" t="s">
        <v>111</v>
      </c>
      <c r="BI307" t="s">
        <v>111</v>
      </c>
      <c r="BJ307" t="s">
        <v>111</v>
      </c>
      <c r="BK307" t="s">
        <v>111</v>
      </c>
      <c r="BL307" t="s">
        <v>111</v>
      </c>
      <c r="BM307" t="s">
        <v>111</v>
      </c>
      <c r="BN307" t="s">
        <v>111</v>
      </c>
      <c r="BO307" t="s">
        <v>111</v>
      </c>
      <c r="BP307" t="s">
        <v>111</v>
      </c>
      <c r="BQ307" t="s">
        <v>111</v>
      </c>
      <c r="BR307" t="s">
        <v>111</v>
      </c>
      <c r="BS307" t="s">
        <v>111</v>
      </c>
      <c r="BT307" t="s">
        <v>111</v>
      </c>
      <c r="BU307" t="s">
        <v>111</v>
      </c>
      <c r="BV307" t="s">
        <v>111</v>
      </c>
      <c r="BW307" t="s">
        <v>111</v>
      </c>
      <c r="BX307" t="s">
        <v>111</v>
      </c>
      <c r="BY307" t="s">
        <v>111</v>
      </c>
      <c r="BZ307" t="s">
        <v>111</v>
      </c>
      <c r="CA307" t="s">
        <v>111</v>
      </c>
      <c r="CB307" t="s">
        <v>111</v>
      </c>
      <c r="CC307" t="s">
        <v>111</v>
      </c>
      <c r="CD307" t="s">
        <v>111</v>
      </c>
      <c r="CE307" t="s">
        <v>111</v>
      </c>
      <c r="CF307" t="s">
        <v>111</v>
      </c>
      <c r="CG307" t="s">
        <v>111</v>
      </c>
      <c r="CH307" t="s">
        <v>111</v>
      </c>
      <c r="CI307" t="s">
        <v>111</v>
      </c>
      <c r="CJ307" t="s">
        <v>111</v>
      </c>
      <c r="CK307" t="s">
        <v>111</v>
      </c>
      <c r="CL307" t="s">
        <v>111</v>
      </c>
      <c r="CM307" t="s">
        <v>1054</v>
      </c>
      <c r="CN307" t="s">
        <v>128</v>
      </c>
      <c r="CO307" t="s">
        <v>111</v>
      </c>
      <c r="CP307" t="s">
        <v>111</v>
      </c>
      <c r="CQ307">
        <v>0</v>
      </c>
      <c r="CR307">
        <v>200</v>
      </c>
      <c r="CS307">
        <v>20</v>
      </c>
      <c r="CT307" t="s">
        <v>111</v>
      </c>
      <c r="CU307">
        <v>0</v>
      </c>
      <c r="CV307" t="s">
        <v>111</v>
      </c>
      <c r="CW307" t="s">
        <v>111</v>
      </c>
      <c r="CX307" t="s">
        <v>111</v>
      </c>
      <c r="CY307">
        <v>0</v>
      </c>
      <c r="CZ307" t="s">
        <v>111</v>
      </c>
      <c r="DA307" t="s">
        <v>111</v>
      </c>
      <c r="DB307" t="s">
        <v>204</v>
      </c>
      <c r="DC307" t="s">
        <v>319</v>
      </c>
    </row>
    <row r="308" spans="1:107">
      <c r="A308">
        <v>840</v>
      </c>
      <c r="B308" t="s">
        <v>107</v>
      </c>
      <c r="C308" t="s">
        <v>1176</v>
      </c>
      <c r="D308" t="s">
        <v>1181</v>
      </c>
      <c r="E308" t="s">
        <v>1182</v>
      </c>
      <c r="F308" t="s">
        <v>192</v>
      </c>
      <c r="G308" t="s">
        <v>469</v>
      </c>
      <c r="H308">
        <v>1.9</v>
      </c>
      <c r="I308">
        <v>41</v>
      </c>
      <c r="J308">
        <v>0</v>
      </c>
      <c r="K308">
        <v>0</v>
      </c>
      <c r="L308" t="s">
        <v>112</v>
      </c>
      <c r="M308" t="s">
        <v>138</v>
      </c>
      <c r="N308">
        <v>0</v>
      </c>
      <c r="O308">
        <v>0</v>
      </c>
      <c r="P308" t="s">
        <v>138</v>
      </c>
      <c r="Q308">
        <v>43.3</v>
      </c>
      <c r="R308">
        <v>0</v>
      </c>
      <c r="S308">
        <v>0</v>
      </c>
      <c r="T308">
        <v>0</v>
      </c>
      <c r="U308" s="1" t="s">
        <v>1183</v>
      </c>
      <c r="V308">
        <v>0</v>
      </c>
      <c r="W308">
        <v>12.5</v>
      </c>
      <c r="X308">
        <v>5</v>
      </c>
      <c r="Y308">
        <v>0</v>
      </c>
      <c r="Z308" t="s">
        <v>111</v>
      </c>
      <c r="AA308">
        <v>0</v>
      </c>
      <c r="AB308" t="s">
        <v>1184</v>
      </c>
      <c r="AC308">
        <v>12.5</v>
      </c>
      <c r="AD308" t="s">
        <v>111</v>
      </c>
      <c r="AE308">
        <v>0</v>
      </c>
      <c r="AF308">
        <v>0</v>
      </c>
      <c r="AG308" t="s">
        <v>111</v>
      </c>
      <c r="AH308" t="s">
        <v>111</v>
      </c>
      <c r="AI308" t="s">
        <v>111</v>
      </c>
      <c r="AJ308" t="s">
        <v>111</v>
      </c>
      <c r="AK308" t="s">
        <v>111</v>
      </c>
      <c r="AL308" t="s">
        <v>111</v>
      </c>
      <c r="AM308">
        <v>0</v>
      </c>
      <c r="AN308">
        <v>0</v>
      </c>
      <c r="AO308">
        <v>0</v>
      </c>
      <c r="AP308" t="s">
        <v>111</v>
      </c>
      <c r="AQ308" t="s">
        <v>111</v>
      </c>
      <c r="AR308" t="s">
        <v>111</v>
      </c>
      <c r="AS308" t="s">
        <v>111</v>
      </c>
      <c r="AT308" t="s">
        <v>111</v>
      </c>
      <c r="AU308" t="s">
        <v>111</v>
      </c>
      <c r="AV308" t="s">
        <v>111</v>
      </c>
      <c r="AW308" t="s">
        <v>111</v>
      </c>
      <c r="AX308" t="s">
        <v>111</v>
      </c>
      <c r="AY308" t="s">
        <v>111</v>
      </c>
      <c r="AZ308" t="s">
        <v>111</v>
      </c>
      <c r="BA308" t="s">
        <v>111</v>
      </c>
      <c r="BB308" t="s">
        <v>111</v>
      </c>
      <c r="BC308" t="s">
        <v>111</v>
      </c>
      <c r="BD308" t="s">
        <v>111</v>
      </c>
      <c r="BE308" t="s">
        <v>111</v>
      </c>
      <c r="BF308" t="s">
        <v>111</v>
      </c>
      <c r="BG308" t="s">
        <v>111</v>
      </c>
      <c r="BH308" t="s">
        <v>111</v>
      </c>
      <c r="BI308" t="s">
        <v>111</v>
      </c>
      <c r="BJ308" t="s">
        <v>111</v>
      </c>
      <c r="BK308" t="s">
        <v>111</v>
      </c>
      <c r="BL308" t="s">
        <v>111</v>
      </c>
      <c r="BM308" t="s">
        <v>111</v>
      </c>
      <c r="BN308" t="s">
        <v>111</v>
      </c>
      <c r="BO308" t="s">
        <v>111</v>
      </c>
      <c r="BP308" t="s">
        <v>111</v>
      </c>
      <c r="BQ308" t="s">
        <v>111</v>
      </c>
      <c r="BR308" t="s">
        <v>111</v>
      </c>
      <c r="BS308" t="s">
        <v>111</v>
      </c>
      <c r="BT308" t="s">
        <v>111</v>
      </c>
      <c r="BU308" t="s">
        <v>111</v>
      </c>
      <c r="BV308" t="s">
        <v>111</v>
      </c>
      <c r="BW308" t="s">
        <v>111</v>
      </c>
      <c r="BX308" t="s">
        <v>111</v>
      </c>
      <c r="BY308" t="s">
        <v>111</v>
      </c>
      <c r="BZ308" t="s">
        <v>111</v>
      </c>
      <c r="CA308" t="s">
        <v>111</v>
      </c>
      <c r="CB308" t="s">
        <v>111</v>
      </c>
      <c r="CC308" t="s">
        <v>111</v>
      </c>
      <c r="CD308" t="s">
        <v>111</v>
      </c>
      <c r="CE308" t="s">
        <v>111</v>
      </c>
      <c r="CF308" t="s">
        <v>111</v>
      </c>
      <c r="CG308" t="s">
        <v>111</v>
      </c>
      <c r="CH308" t="s">
        <v>111</v>
      </c>
      <c r="CI308" t="s">
        <v>111</v>
      </c>
      <c r="CJ308" t="s">
        <v>111</v>
      </c>
      <c r="CK308" t="s">
        <v>111</v>
      </c>
      <c r="CL308" t="s">
        <v>111</v>
      </c>
      <c r="CM308" t="s">
        <v>198</v>
      </c>
      <c r="CN308" t="s">
        <v>128</v>
      </c>
      <c r="CO308" t="s">
        <v>111</v>
      </c>
      <c r="CP308" t="s">
        <v>111</v>
      </c>
      <c r="CQ308">
        <v>0</v>
      </c>
      <c r="CR308">
        <v>2000</v>
      </c>
      <c r="CS308">
        <v>50</v>
      </c>
      <c r="CT308" t="s">
        <v>394</v>
      </c>
      <c r="CU308">
        <v>0</v>
      </c>
      <c r="CV308" t="s">
        <v>111</v>
      </c>
      <c r="CW308" t="s">
        <v>111</v>
      </c>
      <c r="CX308" t="s">
        <v>111</v>
      </c>
      <c r="CY308">
        <v>0</v>
      </c>
      <c r="CZ308" t="s">
        <v>111</v>
      </c>
      <c r="DA308" t="s">
        <v>111</v>
      </c>
      <c r="DB308" t="s">
        <v>111</v>
      </c>
      <c r="DC308" t="s">
        <v>111</v>
      </c>
    </row>
    <row r="309" spans="1:107">
      <c r="A309">
        <v>1133</v>
      </c>
      <c r="B309" t="s">
        <v>107</v>
      </c>
      <c r="C309" t="s">
        <v>1185</v>
      </c>
      <c r="D309" t="s">
        <v>1186</v>
      </c>
      <c r="E309" t="s">
        <v>1187</v>
      </c>
      <c r="F309" t="s">
        <v>370</v>
      </c>
      <c r="G309" t="s">
        <v>469</v>
      </c>
      <c r="H309">
        <v>2.9</v>
      </c>
      <c r="I309">
        <v>400</v>
      </c>
      <c r="J309">
        <v>0</v>
      </c>
      <c r="K309">
        <v>0</v>
      </c>
      <c r="L309" t="s">
        <v>112</v>
      </c>
      <c r="M309" t="s">
        <v>118</v>
      </c>
      <c r="N309">
        <v>40</v>
      </c>
      <c r="O309">
        <v>2</v>
      </c>
      <c r="P309" t="s">
        <v>138</v>
      </c>
      <c r="Q309">
        <v>38</v>
      </c>
      <c r="R309">
        <v>0</v>
      </c>
      <c r="S309">
        <v>0</v>
      </c>
      <c r="T309">
        <v>5</v>
      </c>
      <c r="U309" t="s">
        <v>501</v>
      </c>
      <c r="V309">
        <v>25</v>
      </c>
      <c r="W309">
        <v>0</v>
      </c>
      <c r="X309">
        <v>8</v>
      </c>
      <c r="Y309">
        <v>0</v>
      </c>
      <c r="Z309" t="s">
        <v>288</v>
      </c>
      <c r="AA309">
        <v>1.6</v>
      </c>
      <c r="AB309" t="s">
        <v>111</v>
      </c>
      <c r="AC309">
        <v>0</v>
      </c>
      <c r="AD309" t="s">
        <v>416</v>
      </c>
      <c r="AE309">
        <v>0</v>
      </c>
      <c r="AF309">
        <v>0</v>
      </c>
      <c r="AG309" t="s">
        <v>111</v>
      </c>
      <c r="AH309" t="s">
        <v>111</v>
      </c>
      <c r="AI309" t="s">
        <v>111</v>
      </c>
      <c r="AJ309" t="s">
        <v>111</v>
      </c>
      <c r="AK309" t="s">
        <v>111</v>
      </c>
      <c r="AL309" t="s">
        <v>111</v>
      </c>
      <c r="AM309">
        <v>0</v>
      </c>
      <c r="AN309">
        <v>0</v>
      </c>
      <c r="AO309">
        <v>0</v>
      </c>
      <c r="AP309" t="s">
        <v>111</v>
      </c>
      <c r="AQ309" t="s">
        <v>111</v>
      </c>
      <c r="AR309" t="s">
        <v>111</v>
      </c>
      <c r="AS309" t="s">
        <v>111</v>
      </c>
      <c r="AT309" t="s">
        <v>111</v>
      </c>
      <c r="AU309" t="s">
        <v>111</v>
      </c>
      <c r="AV309" t="s">
        <v>111</v>
      </c>
      <c r="AW309" t="s">
        <v>111</v>
      </c>
      <c r="AX309" t="s">
        <v>111</v>
      </c>
      <c r="AY309" t="s">
        <v>111</v>
      </c>
      <c r="AZ309" t="s">
        <v>111</v>
      </c>
      <c r="BA309" t="s">
        <v>111</v>
      </c>
      <c r="BB309" t="s">
        <v>111</v>
      </c>
      <c r="BC309" t="s">
        <v>111</v>
      </c>
      <c r="BD309" t="s">
        <v>111</v>
      </c>
      <c r="BE309" t="s">
        <v>111</v>
      </c>
      <c r="BF309" t="s">
        <v>111</v>
      </c>
      <c r="BG309" t="s">
        <v>111</v>
      </c>
      <c r="BH309" t="s">
        <v>111</v>
      </c>
      <c r="BI309" t="s">
        <v>111</v>
      </c>
      <c r="BJ309" t="s">
        <v>111</v>
      </c>
      <c r="BK309" t="s">
        <v>111</v>
      </c>
      <c r="BL309" t="s">
        <v>111</v>
      </c>
      <c r="BM309" t="s">
        <v>111</v>
      </c>
      <c r="BN309" t="s">
        <v>111</v>
      </c>
      <c r="BO309" t="s">
        <v>111</v>
      </c>
      <c r="BP309" t="s">
        <v>111</v>
      </c>
      <c r="BQ309" t="s">
        <v>111</v>
      </c>
      <c r="BR309" t="s">
        <v>111</v>
      </c>
      <c r="BS309" t="s">
        <v>111</v>
      </c>
      <c r="BT309" t="s">
        <v>111</v>
      </c>
      <c r="BU309" t="s">
        <v>111</v>
      </c>
      <c r="BV309" t="s">
        <v>111</v>
      </c>
      <c r="BW309" t="s">
        <v>111</v>
      </c>
      <c r="BX309" t="s">
        <v>111</v>
      </c>
      <c r="BY309" t="s">
        <v>111</v>
      </c>
      <c r="BZ309" t="s">
        <v>111</v>
      </c>
      <c r="CA309" t="s">
        <v>111</v>
      </c>
      <c r="CB309" t="s">
        <v>111</v>
      </c>
      <c r="CC309" t="s">
        <v>111</v>
      </c>
      <c r="CD309" t="s">
        <v>111</v>
      </c>
      <c r="CE309" t="s">
        <v>111</v>
      </c>
      <c r="CF309" t="s">
        <v>111</v>
      </c>
      <c r="CG309" t="s">
        <v>111</v>
      </c>
      <c r="CH309" t="s">
        <v>111</v>
      </c>
      <c r="CI309" t="s">
        <v>111</v>
      </c>
      <c r="CJ309" t="s">
        <v>111</v>
      </c>
      <c r="CK309" t="s">
        <v>111</v>
      </c>
      <c r="CL309" t="e">
        <f>-DESTINO SELLADO</f>
        <v>#NAME?</v>
      </c>
      <c r="CM309" t="s">
        <v>438</v>
      </c>
      <c r="CN309" t="s">
        <v>113</v>
      </c>
      <c r="CO309" t="s">
        <v>111</v>
      </c>
      <c r="CP309" t="s">
        <v>111</v>
      </c>
      <c r="CQ309">
        <v>0</v>
      </c>
      <c r="CR309">
        <v>3000</v>
      </c>
      <c r="CS309">
        <v>100</v>
      </c>
      <c r="CT309" t="s">
        <v>1188</v>
      </c>
      <c r="CU309">
        <v>0</v>
      </c>
      <c r="CV309" t="s">
        <v>111</v>
      </c>
      <c r="CW309" t="s">
        <v>111</v>
      </c>
      <c r="CX309" t="s">
        <v>111</v>
      </c>
      <c r="CY309">
        <v>0</v>
      </c>
      <c r="CZ309" t="s">
        <v>111</v>
      </c>
      <c r="DA309" t="s">
        <v>111</v>
      </c>
      <c r="DB309" t="e">
        <f>-INTERNO</f>
        <v>#NAME?</v>
      </c>
      <c r="DC309" t="s">
        <v>589</v>
      </c>
    </row>
    <row r="310" spans="1:107">
      <c r="A310">
        <v>865</v>
      </c>
      <c r="B310" t="s">
        <v>107</v>
      </c>
      <c r="C310" t="s">
        <v>549</v>
      </c>
      <c r="D310" t="s">
        <v>1189</v>
      </c>
      <c r="E310" t="s">
        <v>1190</v>
      </c>
      <c r="F310" t="s">
        <v>192</v>
      </c>
      <c r="G310" t="s">
        <v>469</v>
      </c>
      <c r="H310">
        <v>2</v>
      </c>
      <c r="I310">
        <v>18</v>
      </c>
      <c r="J310">
        <v>6</v>
      </c>
      <c r="K310">
        <v>6</v>
      </c>
      <c r="L310" t="s">
        <v>112</v>
      </c>
      <c r="M310" t="s">
        <v>118</v>
      </c>
      <c r="N310">
        <v>38</v>
      </c>
      <c r="O310">
        <v>2</v>
      </c>
      <c r="P310" t="s">
        <v>138</v>
      </c>
      <c r="Q310">
        <v>26.9</v>
      </c>
      <c r="R310">
        <v>0</v>
      </c>
      <c r="S310">
        <v>0</v>
      </c>
      <c r="T310">
        <v>0</v>
      </c>
      <c r="U310" s="1" t="s">
        <v>1191</v>
      </c>
      <c r="V310">
        <v>0</v>
      </c>
      <c r="W310">
        <v>250</v>
      </c>
      <c r="X310">
        <v>7.5</v>
      </c>
      <c r="Y310">
        <v>0</v>
      </c>
      <c r="Z310" t="s">
        <v>111</v>
      </c>
      <c r="AA310">
        <v>0</v>
      </c>
      <c r="AB310" t="s">
        <v>940</v>
      </c>
      <c r="AC310">
        <v>7.5</v>
      </c>
      <c r="AD310" t="s">
        <v>111</v>
      </c>
      <c r="AE310">
        <v>0</v>
      </c>
      <c r="AF310">
        <v>0</v>
      </c>
      <c r="AG310" t="s">
        <v>111</v>
      </c>
      <c r="AH310" t="s">
        <v>111</v>
      </c>
      <c r="AI310" t="s">
        <v>111</v>
      </c>
      <c r="AJ310" t="s">
        <v>111</v>
      </c>
      <c r="AK310" t="s">
        <v>111</v>
      </c>
      <c r="AL310" t="s">
        <v>111</v>
      </c>
      <c r="AM310">
        <v>0</v>
      </c>
      <c r="AN310">
        <v>0</v>
      </c>
      <c r="AO310">
        <v>0</v>
      </c>
      <c r="AP310" t="s">
        <v>111</v>
      </c>
      <c r="AQ310" t="s">
        <v>111</v>
      </c>
      <c r="AR310" t="s">
        <v>111</v>
      </c>
      <c r="AS310" t="s">
        <v>111</v>
      </c>
      <c r="AT310" t="s">
        <v>111</v>
      </c>
      <c r="AU310" t="s">
        <v>111</v>
      </c>
      <c r="AV310" t="s">
        <v>111</v>
      </c>
      <c r="AW310" t="s">
        <v>111</v>
      </c>
      <c r="AX310" t="s">
        <v>111</v>
      </c>
      <c r="AY310" t="s">
        <v>111</v>
      </c>
      <c r="AZ310" t="s">
        <v>111</v>
      </c>
      <c r="BA310" t="s">
        <v>111</v>
      </c>
      <c r="BB310" t="s">
        <v>111</v>
      </c>
      <c r="BC310" t="s">
        <v>111</v>
      </c>
      <c r="BD310" t="s">
        <v>111</v>
      </c>
      <c r="BE310" t="s">
        <v>111</v>
      </c>
      <c r="BF310" t="s">
        <v>111</v>
      </c>
      <c r="BG310" t="s">
        <v>111</v>
      </c>
      <c r="BH310" t="s">
        <v>111</v>
      </c>
      <c r="BI310" t="s">
        <v>111</v>
      </c>
      <c r="BJ310" t="s">
        <v>111</v>
      </c>
      <c r="BK310" t="s">
        <v>111</v>
      </c>
      <c r="BL310" t="s">
        <v>111</v>
      </c>
      <c r="BM310" t="s">
        <v>111</v>
      </c>
      <c r="BN310" t="s">
        <v>111</v>
      </c>
      <c r="BO310" t="s">
        <v>111</v>
      </c>
      <c r="BP310" t="s">
        <v>111</v>
      </c>
      <c r="BQ310" t="s">
        <v>111</v>
      </c>
      <c r="BR310" t="s">
        <v>111</v>
      </c>
      <c r="BS310" t="s">
        <v>111</v>
      </c>
      <c r="BT310" t="s">
        <v>111</v>
      </c>
      <c r="BU310" t="s">
        <v>111</v>
      </c>
      <c r="BV310" t="s">
        <v>111</v>
      </c>
      <c r="BW310" t="s">
        <v>111</v>
      </c>
      <c r="BX310" t="s">
        <v>111</v>
      </c>
      <c r="BY310" t="s">
        <v>111</v>
      </c>
      <c r="BZ310" t="s">
        <v>111</v>
      </c>
      <c r="CA310" t="s">
        <v>111</v>
      </c>
      <c r="CB310" t="s">
        <v>111</v>
      </c>
      <c r="CC310" t="s">
        <v>111</v>
      </c>
      <c r="CD310" t="s">
        <v>111</v>
      </c>
      <c r="CE310" t="s">
        <v>111</v>
      </c>
      <c r="CF310" t="s">
        <v>111</v>
      </c>
      <c r="CG310" t="s">
        <v>111</v>
      </c>
      <c r="CH310" t="s">
        <v>111</v>
      </c>
      <c r="CI310" t="s">
        <v>111</v>
      </c>
      <c r="CJ310" t="s">
        <v>111</v>
      </c>
      <c r="CK310" t="s">
        <v>111</v>
      </c>
      <c r="CL310" t="s">
        <v>111</v>
      </c>
      <c r="CM310" t="s">
        <v>135</v>
      </c>
      <c r="CN310" t="s">
        <v>128</v>
      </c>
      <c r="CO310" t="s">
        <v>111</v>
      </c>
      <c r="CP310" t="s">
        <v>111</v>
      </c>
      <c r="CQ310">
        <v>0</v>
      </c>
      <c r="CR310">
        <v>1000</v>
      </c>
      <c r="CS310">
        <v>50</v>
      </c>
      <c r="CT310" s="1" t="s">
        <v>1192</v>
      </c>
      <c r="CU310">
        <v>0</v>
      </c>
      <c r="CV310" t="s">
        <v>111</v>
      </c>
      <c r="CW310" t="s">
        <v>111</v>
      </c>
      <c r="CX310" t="s">
        <v>111</v>
      </c>
      <c r="CY310">
        <v>0</v>
      </c>
      <c r="CZ310" t="s">
        <v>111</v>
      </c>
      <c r="DA310" t="s">
        <v>111</v>
      </c>
      <c r="DB310" t="s">
        <v>111</v>
      </c>
      <c r="DC310" t="s">
        <v>111</v>
      </c>
    </row>
    <row r="311" spans="1:107">
      <c r="A311">
        <v>933</v>
      </c>
      <c r="B311" t="s">
        <v>107</v>
      </c>
      <c r="C311" t="s">
        <v>122</v>
      </c>
      <c r="D311" t="s">
        <v>1193</v>
      </c>
      <c r="E311" t="s">
        <v>1194</v>
      </c>
      <c r="F311" t="s">
        <v>125</v>
      </c>
      <c r="G311" t="s">
        <v>469</v>
      </c>
      <c r="H311">
        <v>2.2000000000000002</v>
      </c>
      <c r="I311">
        <v>37</v>
      </c>
      <c r="J311">
        <v>9</v>
      </c>
      <c r="K311">
        <v>9</v>
      </c>
      <c r="L311" t="s">
        <v>112</v>
      </c>
      <c r="M311" t="s">
        <v>111</v>
      </c>
      <c r="N311">
        <v>0</v>
      </c>
      <c r="O311">
        <v>0</v>
      </c>
      <c r="P311" t="s">
        <v>138</v>
      </c>
      <c r="Q311">
        <v>29.3</v>
      </c>
      <c r="R311">
        <v>0</v>
      </c>
      <c r="S311">
        <v>0</v>
      </c>
      <c r="T311">
        <v>5</v>
      </c>
      <c r="U311" s="1" t="s">
        <v>1195</v>
      </c>
      <c r="V311">
        <v>25</v>
      </c>
      <c r="W311">
        <v>0</v>
      </c>
      <c r="X311">
        <v>10</v>
      </c>
      <c r="Y311">
        <v>0</v>
      </c>
      <c r="Z311" t="s">
        <v>111</v>
      </c>
      <c r="AA311">
        <v>0</v>
      </c>
      <c r="AB311" t="s">
        <v>111</v>
      </c>
      <c r="AC311">
        <v>0</v>
      </c>
      <c r="AD311" t="s">
        <v>111</v>
      </c>
      <c r="AE311">
        <v>0</v>
      </c>
      <c r="AF311">
        <v>0</v>
      </c>
      <c r="AG311" t="s">
        <v>111</v>
      </c>
      <c r="AH311" t="s">
        <v>111</v>
      </c>
      <c r="AI311" t="s">
        <v>111</v>
      </c>
      <c r="AJ311" t="s">
        <v>111</v>
      </c>
      <c r="AK311" t="s">
        <v>111</v>
      </c>
      <c r="AL311" t="s">
        <v>111</v>
      </c>
      <c r="AM311">
        <v>0</v>
      </c>
      <c r="AN311">
        <v>0</v>
      </c>
      <c r="AO311">
        <v>0</v>
      </c>
      <c r="AP311" t="s">
        <v>111</v>
      </c>
      <c r="AQ311" t="s">
        <v>111</v>
      </c>
      <c r="AR311" t="s">
        <v>111</v>
      </c>
      <c r="AS311" t="s">
        <v>111</v>
      </c>
      <c r="AT311" t="s">
        <v>111</v>
      </c>
      <c r="AU311" t="s">
        <v>111</v>
      </c>
      <c r="AV311" t="s">
        <v>111</v>
      </c>
      <c r="AW311" t="s">
        <v>111</v>
      </c>
      <c r="AX311" t="s">
        <v>111</v>
      </c>
      <c r="AY311" t="s">
        <v>111</v>
      </c>
      <c r="AZ311" t="s">
        <v>111</v>
      </c>
      <c r="BA311" t="s">
        <v>111</v>
      </c>
      <c r="BB311" t="s">
        <v>111</v>
      </c>
      <c r="BC311" t="s">
        <v>111</v>
      </c>
      <c r="BD311" t="s">
        <v>111</v>
      </c>
      <c r="BE311" t="s">
        <v>111</v>
      </c>
      <c r="BF311" t="s">
        <v>111</v>
      </c>
      <c r="BG311" t="s">
        <v>111</v>
      </c>
      <c r="BH311" t="s">
        <v>111</v>
      </c>
      <c r="BI311" t="s">
        <v>111</v>
      </c>
      <c r="BJ311" t="s">
        <v>111</v>
      </c>
      <c r="BK311" t="s">
        <v>111</v>
      </c>
      <c r="BL311" t="s">
        <v>111</v>
      </c>
      <c r="BM311" t="s">
        <v>111</v>
      </c>
      <c r="BN311" t="s">
        <v>111</v>
      </c>
      <c r="BO311" t="s">
        <v>111</v>
      </c>
      <c r="BP311" t="s">
        <v>111</v>
      </c>
      <c r="BQ311" t="s">
        <v>111</v>
      </c>
      <c r="BR311" t="s">
        <v>111</v>
      </c>
      <c r="BS311" t="s">
        <v>111</v>
      </c>
      <c r="BT311" t="s">
        <v>111</v>
      </c>
      <c r="BU311" t="s">
        <v>111</v>
      </c>
      <c r="BV311" t="s">
        <v>111</v>
      </c>
      <c r="BW311" t="s">
        <v>111</v>
      </c>
      <c r="BX311" t="s">
        <v>111</v>
      </c>
      <c r="BY311" t="s">
        <v>111</v>
      </c>
      <c r="BZ311" t="s">
        <v>111</v>
      </c>
      <c r="CA311" t="s">
        <v>111</v>
      </c>
      <c r="CB311" t="s">
        <v>111</v>
      </c>
      <c r="CC311" t="s">
        <v>111</v>
      </c>
      <c r="CD311" t="s">
        <v>111</v>
      </c>
      <c r="CE311" t="s">
        <v>111</v>
      </c>
      <c r="CF311" t="s">
        <v>111</v>
      </c>
      <c r="CG311" t="s">
        <v>111</v>
      </c>
      <c r="CH311" t="s">
        <v>111</v>
      </c>
      <c r="CI311" t="s">
        <v>111</v>
      </c>
      <c r="CJ311" t="s">
        <v>111</v>
      </c>
      <c r="CK311" t="s">
        <v>111</v>
      </c>
      <c r="CL311" t="s">
        <v>111</v>
      </c>
      <c r="CM311" t="s">
        <v>127</v>
      </c>
      <c r="CN311" t="s">
        <v>128</v>
      </c>
      <c r="CO311" t="s">
        <v>111</v>
      </c>
      <c r="CP311" t="s">
        <v>111</v>
      </c>
      <c r="CQ311">
        <v>0</v>
      </c>
      <c r="CR311">
        <v>500</v>
      </c>
      <c r="CS311">
        <v>50</v>
      </c>
      <c r="CT311" t="s">
        <v>394</v>
      </c>
      <c r="CU311">
        <v>0</v>
      </c>
      <c r="CV311" t="s">
        <v>111</v>
      </c>
      <c r="CW311" t="s">
        <v>111</v>
      </c>
      <c r="CX311" t="s">
        <v>111</v>
      </c>
      <c r="CY311">
        <v>0</v>
      </c>
      <c r="CZ311" t="s">
        <v>111</v>
      </c>
      <c r="DA311" t="s">
        <v>111</v>
      </c>
      <c r="DB311" t="s">
        <v>111</v>
      </c>
      <c r="DC311" t="s">
        <v>111</v>
      </c>
    </row>
    <row r="312" spans="1:107">
      <c r="A312">
        <v>952</v>
      </c>
      <c r="B312" t="s">
        <v>107</v>
      </c>
      <c r="C312" t="s">
        <v>171</v>
      </c>
      <c r="D312" t="s">
        <v>573</v>
      </c>
      <c r="E312" t="s">
        <v>1196</v>
      </c>
      <c r="F312" t="s">
        <v>431</v>
      </c>
      <c r="G312" t="s">
        <v>469</v>
      </c>
      <c r="H312">
        <v>2.5</v>
      </c>
      <c r="I312">
        <v>56</v>
      </c>
      <c r="J312">
        <v>0</v>
      </c>
      <c r="K312">
        <v>0</v>
      </c>
      <c r="L312" t="s">
        <v>117</v>
      </c>
      <c r="M312" t="s">
        <v>118</v>
      </c>
      <c r="N312">
        <v>39</v>
      </c>
      <c r="O312">
        <v>1</v>
      </c>
      <c r="P312" t="s">
        <v>138</v>
      </c>
      <c r="Q312">
        <v>45</v>
      </c>
      <c r="R312">
        <v>0</v>
      </c>
      <c r="S312">
        <v>0</v>
      </c>
      <c r="T312">
        <v>5</v>
      </c>
      <c r="U312" s="1" t="s">
        <v>1197</v>
      </c>
      <c r="V312">
        <v>0</v>
      </c>
      <c r="W312">
        <v>25</v>
      </c>
      <c r="X312">
        <v>8</v>
      </c>
      <c r="Y312">
        <v>0</v>
      </c>
      <c r="Z312" t="s">
        <v>111</v>
      </c>
      <c r="AA312">
        <v>0</v>
      </c>
      <c r="AB312" t="s">
        <v>523</v>
      </c>
      <c r="AC312">
        <v>0</v>
      </c>
      <c r="AD312" t="s">
        <v>416</v>
      </c>
      <c r="AE312">
        <v>4</v>
      </c>
      <c r="AF312">
        <v>1</v>
      </c>
      <c r="AG312" t="s">
        <v>1117</v>
      </c>
      <c r="AH312" t="s">
        <v>113</v>
      </c>
      <c r="AI312" t="s">
        <v>1118</v>
      </c>
      <c r="AJ312" t="s">
        <v>111</v>
      </c>
      <c r="AK312" t="s">
        <v>111</v>
      </c>
      <c r="AL312" t="s">
        <v>111</v>
      </c>
      <c r="AM312">
        <v>0</v>
      </c>
      <c r="AN312">
        <v>0</v>
      </c>
      <c r="AO312">
        <v>0</v>
      </c>
      <c r="AP312" t="s">
        <v>188</v>
      </c>
      <c r="AQ312" t="s">
        <v>111</v>
      </c>
      <c r="AR312" t="s">
        <v>111</v>
      </c>
      <c r="AS312" t="s">
        <v>111</v>
      </c>
      <c r="AT312" t="s">
        <v>147</v>
      </c>
      <c r="AU312" t="s">
        <v>111</v>
      </c>
      <c r="AV312" t="s">
        <v>111</v>
      </c>
      <c r="AW312" t="s">
        <v>111</v>
      </c>
      <c r="AX312" t="s">
        <v>973</v>
      </c>
      <c r="AY312" t="s">
        <v>111</v>
      </c>
      <c r="AZ312" t="s">
        <v>111</v>
      </c>
      <c r="BA312" t="s">
        <v>111</v>
      </c>
      <c r="BB312" t="s">
        <v>271</v>
      </c>
      <c r="BC312" t="s">
        <v>111</v>
      </c>
      <c r="BD312" t="s">
        <v>111</v>
      </c>
      <c r="BE312" t="s">
        <v>111</v>
      </c>
      <c r="BF312" t="s">
        <v>111</v>
      </c>
      <c r="BG312" t="s">
        <v>111</v>
      </c>
      <c r="BH312" t="s">
        <v>111</v>
      </c>
      <c r="BI312" t="s">
        <v>111</v>
      </c>
      <c r="BJ312" t="s">
        <v>111</v>
      </c>
      <c r="BK312" t="s">
        <v>111</v>
      </c>
      <c r="BL312" t="s">
        <v>111</v>
      </c>
      <c r="BM312" t="s">
        <v>111</v>
      </c>
      <c r="BN312" t="s">
        <v>111</v>
      </c>
      <c r="BO312" t="s">
        <v>111</v>
      </c>
      <c r="BP312" t="s">
        <v>111</v>
      </c>
      <c r="BQ312" t="s">
        <v>111</v>
      </c>
      <c r="BR312" t="s">
        <v>111</v>
      </c>
      <c r="BS312" t="s">
        <v>111</v>
      </c>
      <c r="BT312" t="s">
        <v>111</v>
      </c>
      <c r="BU312" t="s">
        <v>111</v>
      </c>
      <c r="BV312" t="s">
        <v>111</v>
      </c>
      <c r="BW312" t="s">
        <v>111</v>
      </c>
      <c r="BX312" t="s">
        <v>111</v>
      </c>
      <c r="BY312" t="s">
        <v>111</v>
      </c>
      <c r="BZ312" t="s">
        <v>111</v>
      </c>
      <c r="CA312" t="s">
        <v>111</v>
      </c>
      <c r="CB312" t="s">
        <v>111</v>
      </c>
      <c r="CC312" t="s">
        <v>111</v>
      </c>
      <c r="CD312" t="s">
        <v>111</v>
      </c>
      <c r="CE312" t="s">
        <v>111</v>
      </c>
      <c r="CF312" t="s">
        <v>111</v>
      </c>
      <c r="CG312" t="s">
        <v>111</v>
      </c>
      <c r="CH312" t="s">
        <v>111</v>
      </c>
      <c r="CI312" t="s">
        <v>111</v>
      </c>
      <c r="CJ312" t="s">
        <v>111</v>
      </c>
      <c r="CK312" t="s">
        <v>111</v>
      </c>
      <c r="CL312" s="1" t="s">
        <v>494</v>
      </c>
      <c r="CM312" t="s">
        <v>198</v>
      </c>
      <c r="CN312" t="s">
        <v>113</v>
      </c>
      <c r="CO312" t="s">
        <v>111</v>
      </c>
      <c r="CP312" t="e">
        <f>-MUESTRA</f>
        <v>#NAME?</v>
      </c>
      <c r="CQ312">
        <v>70</v>
      </c>
      <c r="CR312">
        <v>5000</v>
      </c>
      <c r="CS312">
        <v>200</v>
      </c>
      <c r="CT312" s="1" t="s">
        <v>1104</v>
      </c>
      <c r="CU312">
        <v>0</v>
      </c>
      <c r="CV312" t="s">
        <v>111</v>
      </c>
      <c r="CW312" t="s">
        <v>111</v>
      </c>
      <c r="CX312" t="s">
        <v>111</v>
      </c>
      <c r="CY312">
        <v>0</v>
      </c>
      <c r="CZ312" t="s">
        <v>111</v>
      </c>
      <c r="DA312" t="s">
        <v>111</v>
      </c>
      <c r="DB312" t="s">
        <v>111</v>
      </c>
      <c r="DC312" t="s">
        <v>111</v>
      </c>
    </row>
    <row r="313" spans="1:107">
      <c r="A313">
        <v>896</v>
      </c>
      <c r="B313" t="s">
        <v>107</v>
      </c>
      <c r="C313" t="s">
        <v>154</v>
      </c>
      <c r="D313" t="s">
        <v>1198</v>
      </c>
      <c r="E313" t="s">
        <v>1199</v>
      </c>
      <c r="F313" t="s">
        <v>287</v>
      </c>
      <c r="G313" t="s">
        <v>469</v>
      </c>
      <c r="H313">
        <v>1.5</v>
      </c>
      <c r="I313">
        <v>35.5</v>
      </c>
      <c r="J313">
        <v>6</v>
      </c>
      <c r="K313">
        <v>6</v>
      </c>
      <c r="L313" t="s">
        <v>112</v>
      </c>
      <c r="M313" t="s">
        <v>138</v>
      </c>
      <c r="N313">
        <v>0</v>
      </c>
      <c r="O313">
        <v>0</v>
      </c>
      <c r="P313" t="s">
        <v>138</v>
      </c>
      <c r="Q313">
        <v>28</v>
      </c>
      <c r="R313">
        <v>0</v>
      </c>
      <c r="S313">
        <v>0</v>
      </c>
      <c r="T313">
        <v>0</v>
      </c>
      <c r="U313" s="1" t="s">
        <v>1200</v>
      </c>
      <c r="V313">
        <v>25</v>
      </c>
      <c r="W313">
        <v>0</v>
      </c>
      <c r="X313">
        <v>6</v>
      </c>
      <c r="Y313">
        <v>0</v>
      </c>
      <c r="Z313" t="s">
        <v>288</v>
      </c>
      <c r="AA313">
        <v>1.5</v>
      </c>
      <c r="AB313" t="s">
        <v>111</v>
      </c>
      <c r="AC313">
        <v>0</v>
      </c>
      <c r="AD313" t="s">
        <v>111</v>
      </c>
      <c r="AE313">
        <v>0</v>
      </c>
      <c r="AF313">
        <v>0</v>
      </c>
      <c r="AG313" t="s">
        <v>111</v>
      </c>
      <c r="AH313" t="s">
        <v>111</v>
      </c>
      <c r="AI313" t="s">
        <v>111</v>
      </c>
      <c r="AJ313" t="s">
        <v>111</v>
      </c>
      <c r="AK313" t="s">
        <v>111</v>
      </c>
      <c r="AL313" t="s">
        <v>111</v>
      </c>
      <c r="AM313">
        <v>0</v>
      </c>
      <c r="AN313">
        <v>0</v>
      </c>
      <c r="AO313">
        <v>0</v>
      </c>
      <c r="AP313" t="s">
        <v>111</v>
      </c>
      <c r="AQ313" t="s">
        <v>111</v>
      </c>
      <c r="AR313" t="s">
        <v>111</v>
      </c>
      <c r="AS313" t="s">
        <v>111</v>
      </c>
      <c r="AT313" t="s">
        <v>111</v>
      </c>
      <c r="AU313" t="s">
        <v>111</v>
      </c>
      <c r="AV313" t="s">
        <v>111</v>
      </c>
      <c r="AW313" t="s">
        <v>111</v>
      </c>
      <c r="AX313" t="s">
        <v>111</v>
      </c>
      <c r="AY313" t="s">
        <v>111</v>
      </c>
      <c r="AZ313" t="s">
        <v>111</v>
      </c>
      <c r="BA313" t="s">
        <v>111</v>
      </c>
      <c r="BB313" t="s">
        <v>111</v>
      </c>
      <c r="BC313" t="s">
        <v>111</v>
      </c>
      <c r="BD313" t="s">
        <v>111</v>
      </c>
      <c r="BE313" t="s">
        <v>111</v>
      </c>
      <c r="BF313" t="s">
        <v>111</v>
      </c>
      <c r="BG313" t="s">
        <v>111</v>
      </c>
      <c r="BH313" t="s">
        <v>111</v>
      </c>
      <c r="BI313" t="s">
        <v>111</v>
      </c>
      <c r="BJ313" t="s">
        <v>111</v>
      </c>
      <c r="BK313" t="s">
        <v>111</v>
      </c>
      <c r="BL313" t="s">
        <v>111</v>
      </c>
      <c r="BM313" t="s">
        <v>111</v>
      </c>
      <c r="BN313" t="s">
        <v>111</v>
      </c>
      <c r="BO313" t="s">
        <v>111</v>
      </c>
      <c r="BP313" t="s">
        <v>111</v>
      </c>
      <c r="BQ313" t="s">
        <v>111</v>
      </c>
      <c r="BR313" t="s">
        <v>111</v>
      </c>
      <c r="BS313" t="s">
        <v>111</v>
      </c>
      <c r="BT313" t="s">
        <v>111</v>
      </c>
      <c r="BU313" t="s">
        <v>111</v>
      </c>
      <c r="BV313" t="s">
        <v>111</v>
      </c>
      <c r="BW313" t="s">
        <v>111</v>
      </c>
      <c r="BX313" t="s">
        <v>111</v>
      </c>
      <c r="BY313" t="s">
        <v>111</v>
      </c>
      <c r="BZ313" t="s">
        <v>111</v>
      </c>
      <c r="CA313" t="s">
        <v>111</v>
      </c>
      <c r="CB313" t="s">
        <v>111</v>
      </c>
      <c r="CC313" t="s">
        <v>111</v>
      </c>
      <c r="CD313" t="s">
        <v>111</v>
      </c>
      <c r="CE313" t="s">
        <v>111</v>
      </c>
      <c r="CF313" t="s">
        <v>111</v>
      </c>
      <c r="CG313" t="s">
        <v>111</v>
      </c>
      <c r="CH313" t="s">
        <v>111</v>
      </c>
      <c r="CI313" t="s">
        <v>111</v>
      </c>
      <c r="CJ313" t="s">
        <v>111</v>
      </c>
      <c r="CK313" t="s">
        <v>111</v>
      </c>
      <c r="CL313" t="s">
        <v>111</v>
      </c>
      <c r="CM313" t="s">
        <v>198</v>
      </c>
      <c r="CN313" t="s">
        <v>113</v>
      </c>
      <c r="CO313" t="s">
        <v>974</v>
      </c>
      <c r="CP313" t="s">
        <v>111</v>
      </c>
      <c r="CQ313">
        <v>35</v>
      </c>
      <c r="CR313">
        <v>1000</v>
      </c>
      <c r="CS313">
        <v>50</v>
      </c>
      <c r="CT313" s="1" t="s">
        <v>1201</v>
      </c>
      <c r="CU313">
        <v>0</v>
      </c>
      <c r="CV313" t="s">
        <v>111</v>
      </c>
      <c r="CW313" t="s">
        <v>111</v>
      </c>
      <c r="CX313" t="s">
        <v>111</v>
      </c>
      <c r="CY313">
        <v>0</v>
      </c>
      <c r="CZ313" t="s">
        <v>111</v>
      </c>
      <c r="DA313" t="s">
        <v>111</v>
      </c>
      <c r="DB313" t="s">
        <v>204</v>
      </c>
      <c r="DC313" t="s">
        <v>1202</v>
      </c>
    </row>
    <row r="314" spans="1:107">
      <c r="A314">
        <v>894</v>
      </c>
      <c r="B314" t="s">
        <v>107</v>
      </c>
      <c r="C314" t="s">
        <v>154</v>
      </c>
      <c r="D314" t="s">
        <v>1203</v>
      </c>
      <c r="E314" t="s">
        <v>1204</v>
      </c>
      <c r="F314" t="s">
        <v>166</v>
      </c>
      <c r="G314" t="s">
        <v>469</v>
      </c>
      <c r="H314">
        <v>0.7</v>
      </c>
      <c r="I314">
        <v>38</v>
      </c>
      <c r="J314">
        <v>0</v>
      </c>
      <c r="K314">
        <v>0</v>
      </c>
      <c r="L314" t="s">
        <v>112</v>
      </c>
      <c r="M314" t="s">
        <v>138</v>
      </c>
      <c r="N314">
        <v>0</v>
      </c>
      <c r="O314">
        <v>0</v>
      </c>
      <c r="P314" t="s">
        <v>138</v>
      </c>
      <c r="Q314">
        <v>63</v>
      </c>
      <c r="R314">
        <v>0</v>
      </c>
      <c r="S314">
        <v>0</v>
      </c>
      <c r="T314">
        <v>5</v>
      </c>
      <c r="U314" s="1" t="s">
        <v>1205</v>
      </c>
      <c r="V314">
        <v>25</v>
      </c>
      <c r="W314">
        <v>0</v>
      </c>
      <c r="X314">
        <v>5</v>
      </c>
      <c r="Y314">
        <v>0</v>
      </c>
      <c r="Z314" t="s">
        <v>288</v>
      </c>
      <c r="AA314">
        <v>1.5</v>
      </c>
      <c r="AB314" t="s">
        <v>111</v>
      </c>
      <c r="AC314">
        <v>0</v>
      </c>
      <c r="AD314" t="s">
        <v>111</v>
      </c>
      <c r="AE314">
        <v>0</v>
      </c>
      <c r="AF314">
        <v>0</v>
      </c>
      <c r="AG314" t="s">
        <v>111</v>
      </c>
      <c r="AH314" t="s">
        <v>111</v>
      </c>
      <c r="AI314" t="s">
        <v>111</v>
      </c>
      <c r="AJ314" t="s">
        <v>111</v>
      </c>
      <c r="AK314" t="s">
        <v>111</v>
      </c>
      <c r="AL314" t="s">
        <v>111</v>
      </c>
      <c r="AM314">
        <v>0</v>
      </c>
      <c r="AN314">
        <v>0</v>
      </c>
      <c r="AO314">
        <v>0</v>
      </c>
      <c r="AP314" t="s">
        <v>111</v>
      </c>
      <c r="AQ314" t="s">
        <v>111</v>
      </c>
      <c r="AR314" t="s">
        <v>111</v>
      </c>
      <c r="AS314" t="s">
        <v>111</v>
      </c>
      <c r="AT314" t="s">
        <v>111</v>
      </c>
      <c r="AU314" t="s">
        <v>111</v>
      </c>
      <c r="AV314" t="s">
        <v>111</v>
      </c>
      <c r="AW314" t="s">
        <v>111</v>
      </c>
      <c r="AX314" t="s">
        <v>111</v>
      </c>
      <c r="AY314" t="s">
        <v>111</v>
      </c>
      <c r="AZ314" t="s">
        <v>111</v>
      </c>
      <c r="BA314" t="s">
        <v>111</v>
      </c>
      <c r="BB314" t="s">
        <v>111</v>
      </c>
      <c r="BC314" t="s">
        <v>111</v>
      </c>
      <c r="BD314" t="s">
        <v>111</v>
      </c>
      <c r="BE314" t="s">
        <v>111</v>
      </c>
      <c r="BF314" t="s">
        <v>111</v>
      </c>
      <c r="BG314" t="s">
        <v>111</v>
      </c>
      <c r="BH314" t="s">
        <v>111</v>
      </c>
      <c r="BI314" t="s">
        <v>111</v>
      </c>
      <c r="BJ314" t="s">
        <v>111</v>
      </c>
      <c r="BK314" t="s">
        <v>111</v>
      </c>
      <c r="BL314" t="s">
        <v>111</v>
      </c>
      <c r="BM314" t="s">
        <v>111</v>
      </c>
      <c r="BN314" t="s">
        <v>111</v>
      </c>
      <c r="BO314" t="s">
        <v>111</v>
      </c>
      <c r="BP314" t="s">
        <v>111</v>
      </c>
      <c r="BQ314" t="s">
        <v>111</v>
      </c>
      <c r="BR314" t="s">
        <v>111</v>
      </c>
      <c r="BS314" t="s">
        <v>111</v>
      </c>
      <c r="BT314" t="s">
        <v>111</v>
      </c>
      <c r="BU314" t="s">
        <v>111</v>
      </c>
      <c r="BV314" t="s">
        <v>111</v>
      </c>
      <c r="BW314" t="s">
        <v>111</v>
      </c>
      <c r="BX314" t="s">
        <v>111</v>
      </c>
      <c r="BY314" t="s">
        <v>111</v>
      </c>
      <c r="BZ314" t="s">
        <v>111</v>
      </c>
      <c r="CA314" t="s">
        <v>111</v>
      </c>
      <c r="CB314" t="s">
        <v>111</v>
      </c>
      <c r="CC314" t="s">
        <v>111</v>
      </c>
      <c r="CD314" t="s">
        <v>111</v>
      </c>
      <c r="CE314" t="s">
        <v>111</v>
      </c>
      <c r="CF314" t="s">
        <v>111</v>
      </c>
      <c r="CG314" t="s">
        <v>111</v>
      </c>
      <c r="CH314" t="s">
        <v>111</v>
      </c>
      <c r="CI314" t="s">
        <v>111</v>
      </c>
      <c r="CJ314" t="s">
        <v>111</v>
      </c>
      <c r="CK314" t="s">
        <v>111</v>
      </c>
      <c r="CL314" t="s">
        <v>111</v>
      </c>
      <c r="CM314" t="s">
        <v>111</v>
      </c>
      <c r="CN314" t="s">
        <v>111</v>
      </c>
      <c r="CO314" t="s">
        <v>111</v>
      </c>
      <c r="CP314" t="s">
        <v>111</v>
      </c>
      <c r="CQ314">
        <v>0</v>
      </c>
      <c r="CR314">
        <v>0</v>
      </c>
      <c r="CS314">
        <v>0</v>
      </c>
      <c r="CT314" t="s">
        <v>1206</v>
      </c>
      <c r="CU314">
        <v>0</v>
      </c>
      <c r="CV314" t="s">
        <v>111</v>
      </c>
      <c r="CW314" t="s">
        <v>111</v>
      </c>
      <c r="CX314" t="s">
        <v>111</v>
      </c>
      <c r="CY314">
        <v>0</v>
      </c>
      <c r="CZ314" t="s">
        <v>111</v>
      </c>
      <c r="DA314" t="s">
        <v>111</v>
      </c>
      <c r="DB314" t="s">
        <v>240</v>
      </c>
      <c r="DC314" t="s">
        <v>1207</v>
      </c>
    </row>
    <row r="315" spans="1:107">
      <c r="A315">
        <v>893</v>
      </c>
      <c r="B315" t="s">
        <v>107</v>
      </c>
      <c r="C315" t="s">
        <v>405</v>
      </c>
      <c r="D315" t="s">
        <v>1208</v>
      </c>
      <c r="E315" t="s">
        <v>1209</v>
      </c>
      <c r="F315" t="s">
        <v>116</v>
      </c>
      <c r="G315" t="s">
        <v>469</v>
      </c>
      <c r="H315">
        <v>1.2</v>
      </c>
      <c r="I315">
        <v>105</v>
      </c>
      <c r="J315">
        <v>0</v>
      </c>
      <c r="K315">
        <v>0</v>
      </c>
      <c r="L315" t="s">
        <v>117</v>
      </c>
      <c r="M315" t="s">
        <v>138</v>
      </c>
      <c r="N315">
        <v>0</v>
      </c>
      <c r="O315">
        <v>0</v>
      </c>
      <c r="P315" t="s">
        <v>138</v>
      </c>
      <c r="Q315">
        <v>30</v>
      </c>
      <c r="R315">
        <v>0</v>
      </c>
      <c r="S315">
        <v>0</v>
      </c>
      <c r="T315">
        <v>0</v>
      </c>
      <c r="U315" t="s">
        <v>394</v>
      </c>
      <c r="V315">
        <v>0</v>
      </c>
      <c r="W315">
        <v>25</v>
      </c>
      <c r="X315">
        <v>0</v>
      </c>
      <c r="Y315">
        <v>0</v>
      </c>
      <c r="Z315" t="s">
        <v>111</v>
      </c>
      <c r="AA315">
        <v>0</v>
      </c>
      <c r="AB315" t="s">
        <v>111</v>
      </c>
      <c r="AC315">
        <v>0</v>
      </c>
      <c r="AD315" t="s">
        <v>111</v>
      </c>
      <c r="AE315">
        <v>0</v>
      </c>
      <c r="AF315">
        <v>0</v>
      </c>
      <c r="AG315" t="s">
        <v>111</v>
      </c>
      <c r="AH315" t="s">
        <v>111</v>
      </c>
      <c r="AI315" t="s">
        <v>111</v>
      </c>
      <c r="AJ315" t="s">
        <v>111</v>
      </c>
      <c r="AK315" t="s">
        <v>111</v>
      </c>
      <c r="AL315" t="s">
        <v>111</v>
      </c>
      <c r="AM315">
        <v>0</v>
      </c>
      <c r="AN315">
        <v>0</v>
      </c>
      <c r="AO315">
        <v>0</v>
      </c>
      <c r="AP315" t="s">
        <v>111</v>
      </c>
      <c r="AQ315" t="s">
        <v>111</v>
      </c>
      <c r="AR315" t="s">
        <v>111</v>
      </c>
      <c r="AS315" t="s">
        <v>111</v>
      </c>
      <c r="AT315" t="s">
        <v>111</v>
      </c>
      <c r="AU315" t="s">
        <v>111</v>
      </c>
      <c r="AV315" t="s">
        <v>111</v>
      </c>
      <c r="AW315" t="s">
        <v>111</v>
      </c>
      <c r="AX315" t="s">
        <v>111</v>
      </c>
      <c r="AY315" t="s">
        <v>111</v>
      </c>
      <c r="AZ315" t="s">
        <v>111</v>
      </c>
      <c r="BA315" t="s">
        <v>111</v>
      </c>
      <c r="BB315" t="s">
        <v>111</v>
      </c>
      <c r="BC315" t="s">
        <v>111</v>
      </c>
      <c r="BD315" t="s">
        <v>111</v>
      </c>
      <c r="BE315" t="s">
        <v>111</v>
      </c>
      <c r="BF315" t="s">
        <v>111</v>
      </c>
      <c r="BG315" t="s">
        <v>111</v>
      </c>
      <c r="BH315" t="s">
        <v>111</v>
      </c>
      <c r="BI315" t="s">
        <v>111</v>
      </c>
      <c r="BJ315" t="s">
        <v>111</v>
      </c>
      <c r="BK315" t="s">
        <v>111</v>
      </c>
      <c r="BL315" t="s">
        <v>111</v>
      </c>
      <c r="BM315" t="s">
        <v>111</v>
      </c>
      <c r="BN315" t="s">
        <v>111</v>
      </c>
      <c r="BO315" t="s">
        <v>111</v>
      </c>
      <c r="BP315" t="s">
        <v>111</v>
      </c>
      <c r="BQ315" t="s">
        <v>111</v>
      </c>
      <c r="BR315" t="s">
        <v>111</v>
      </c>
      <c r="BS315" t="s">
        <v>111</v>
      </c>
      <c r="BT315" t="s">
        <v>111</v>
      </c>
      <c r="BU315" t="s">
        <v>111</v>
      </c>
      <c r="BV315" t="s">
        <v>111</v>
      </c>
      <c r="BW315" t="s">
        <v>111</v>
      </c>
      <c r="BX315" t="s">
        <v>111</v>
      </c>
      <c r="BY315" t="s">
        <v>111</v>
      </c>
      <c r="BZ315" t="s">
        <v>111</v>
      </c>
      <c r="CA315" t="s">
        <v>111</v>
      </c>
      <c r="CB315" t="s">
        <v>111</v>
      </c>
      <c r="CC315" t="s">
        <v>111</v>
      </c>
      <c r="CD315" t="s">
        <v>111</v>
      </c>
      <c r="CE315" t="s">
        <v>111</v>
      </c>
      <c r="CF315" t="s">
        <v>111</v>
      </c>
      <c r="CG315" t="s">
        <v>111</v>
      </c>
      <c r="CH315" t="s">
        <v>111</v>
      </c>
      <c r="CI315" t="s">
        <v>111</v>
      </c>
      <c r="CJ315" t="s">
        <v>111</v>
      </c>
      <c r="CK315" t="s">
        <v>111</v>
      </c>
      <c r="CL315" t="s">
        <v>111</v>
      </c>
      <c r="CM315" t="s">
        <v>111</v>
      </c>
      <c r="CN315" t="s">
        <v>111</v>
      </c>
      <c r="CO315" t="s">
        <v>111</v>
      </c>
      <c r="CP315" t="s">
        <v>111</v>
      </c>
      <c r="CQ315">
        <v>0</v>
      </c>
      <c r="CR315">
        <v>0</v>
      </c>
      <c r="CS315">
        <v>0</v>
      </c>
      <c r="CT315" t="s">
        <v>111</v>
      </c>
      <c r="CU315">
        <v>0</v>
      </c>
      <c r="CV315" t="s">
        <v>111</v>
      </c>
      <c r="CW315" t="s">
        <v>111</v>
      </c>
      <c r="CX315" t="s">
        <v>111</v>
      </c>
      <c r="CY315">
        <v>0</v>
      </c>
      <c r="CZ315" t="s">
        <v>111</v>
      </c>
      <c r="DA315" t="s">
        <v>111</v>
      </c>
      <c r="DB315" t="s">
        <v>111</v>
      </c>
      <c r="DC315" t="s">
        <v>111</v>
      </c>
    </row>
    <row r="316" spans="1:107">
      <c r="A316">
        <v>892</v>
      </c>
      <c r="B316" t="s">
        <v>107</v>
      </c>
      <c r="C316" t="s">
        <v>405</v>
      </c>
      <c r="D316" t="s">
        <v>1210</v>
      </c>
      <c r="E316" t="s">
        <v>1211</v>
      </c>
      <c r="F316" t="s">
        <v>116</v>
      </c>
      <c r="G316" t="s">
        <v>469</v>
      </c>
      <c r="H316">
        <v>0.9</v>
      </c>
      <c r="I316">
        <v>104.5</v>
      </c>
      <c r="J316">
        <v>0</v>
      </c>
      <c r="K316">
        <v>0</v>
      </c>
      <c r="L316" t="s">
        <v>117</v>
      </c>
      <c r="M316" t="s">
        <v>138</v>
      </c>
      <c r="N316">
        <v>0</v>
      </c>
      <c r="O316">
        <v>0</v>
      </c>
      <c r="P316" t="s">
        <v>138</v>
      </c>
      <c r="Q316">
        <v>52.5</v>
      </c>
      <c r="R316">
        <v>0</v>
      </c>
      <c r="S316">
        <v>0</v>
      </c>
      <c r="T316">
        <v>0</v>
      </c>
      <c r="U316" s="1" t="s">
        <v>1212</v>
      </c>
      <c r="V316">
        <v>0</v>
      </c>
      <c r="W316">
        <v>25</v>
      </c>
      <c r="X316">
        <v>0</v>
      </c>
      <c r="Y316">
        <v>0</v>
      </c>
      <c r="Z316" t="s">
        <v>111</v>
      </c>
      <c r="AA316">
        <v>0</v>
      </c>
      <c r="AB316" t="s">
        <v>111</v>
      </c>
      <c r="AC316">
        <v>0</v>
      </c>
      <c r="AD316" t="s">
        <v>111</v>
      </c>
      <c r="AE316">
        <v>0</v>
      </c>
      <c r="AF316">
        <v>0</v>
      </c>
      <c r="AG316" t="s">
        <v>111</v>
      </c>
      <c r="AH316" t="s">
        <v>111</v>
      </c>
      <c r="AI316" t="s">
        <v>111</v>
      </c>
      <c r="AJ316" t="s">
        <v>111</v>
      </c>
      <c r="AK316" t="s">
        <v>111</v>
      </c>
      <c r="AL316" t="s">
        <v>111</v>
      </c>
      <c r="AM316">
        <v>0</v>
      </c>
      <c r="AN316">
        <v>0</v>
      </c>
      <c r="AO316">
        <v>0</v>
      </c>
      <c r="AP316" t="s">
        <v>111</v>
      </c>
      <c r="AQ316" t="s">
        <v>111</v>
      </c>
      <c r="AR316" t="s">
        <v>111</v>
      </c>
      <c r="AS316" t="s">
        <v>111</v>
      </c>
      <c r="AT316" t="s">
        <v>111</v>
      </c>
      <c r="AU316" t="s">
        <v>111</v>
      </c>
      <c r="AV316" t="s">
        <v>111</v>
      </c>
      <c r="AW316" t="s">
        <v>111</v>
      </c>
      <c r="AX316" t="s">
        <v>111</v>
      </c>
      <c r="AY316" t="s">
        <v>111</v>
      </c>
      <c r="AZ316" t="s">
        <v>111</v>
      </c>
      <c r="BA316" t="s">
        <v>111</v>
      </c>
      <c r="BB316" t="s">
        <v>111</v>
      </c>
      <c r="BC316" t="s">
        <v>111</v>
      </c>
      <c r="BD316" t="s">
        <v>111</v>
      </c>
      <c r="BE316" t="s">
        <v>111</v>
      </c>
      <c r="BF316" t="s">
        <v>111</v>
      </c>
      <c r="BG316" t="s">
        <v>111</v>
      </c>
      <c r="BH316" t="s">
        <v>111</v>
      </c>
      <c r="BI316" t="s">
        <v>111</v>
      </c>
      <c r="BJ316" t="s">
        <v>111</v>
      </c>
      <c r="BK316" t="s">
        <v>111</v>
      </c>
      <c r="BL316" t="s">
        <v>111</v>
      </c>
      <c r="BM316" t="s">
        <v>111</v>
      </c>
      <c r="BN316" t="s">
        <v>111</v>
      </c>
      <c r="BO316" t="s">
        <v>111</v>
      </c>
      <c r="BP316" t="s">
        <v>111</v>
      </c>
      <c r="BQ316" t="s">
        <v>111</v>
      </c>
      <c r="BR316" t="s">
        <v>111</v>
      </c>
      <c r="BS316" t="s">
        <v>111</v>
      </c>
      <c r="BT316" t="s">
        <v>111</v>
      </c>
      <c r="BU316" t="s">
        <v>111</v>
      </c>
      <c r="BV316" t="s">
        <v>111</v>
      </c>
      <c r="BW316" t="s">
        <v>111</v>
      </c>
      <c r="BX316" t="s">
        <v>111</v>
      </c>
      <c r="BY316" t="s">
        <v>111</v>
      </c>
      <c r="BZ316" t="s">
        <v>111</v>
      </c>
      <c r="CA316" t="s">
        <v>111</v>
      </c>
      <c r="CB316" t="s">
        <v>111</v>
      </c>
      <c r="CC316" t="s">
        <v>111</v>
      </c>
      <c r="CD316" t="s">
        <v>111</v>
      </c>
      <c r="CE316" t="s">
        <v>111</v>
      </c>
      <c r="CF316" t="s">
        <v>111</v>
      </c>
      <c r="CG316" t="s">
        <v>111</v>
      </c>
      <c r="CH316" t="s">
        <v>111</v>
      </c>
      <c r="CI316" t="s">
        <v>111</v>
      </c>
      <c r="CJ316" t="s">
        <v>111</v>
      </c>
      <c r="CK316" t="s">
        <v>111</v>
      </c>
      <c r="CL316" t="s">
        <v>111</v>
      </c>
      <c r="CM316" t="s">
        <v>111</v>
      </c>
      <c r="CN316" t="s">
        <v>111</v>
      </c>
      <c r="CO316" t="s">
        <v>111</v>
      </c>
      <c r="CP316" t="s">
        <v>111</v>
      </c>
      <c r="CQ316">
        <v>0</v>
      </c>
      <c r="CR316">
        <v>0</v>
      </c>
      <c r="CS316">
        <v>0</v>
      </c>
      <c r="CT316" t="s">
        <v>111</v>
      </c>
      <c r="CU316">
        <v>0</v>
      </c>
      <c r="CV316" t="s">
        <v>111</v>
      </c>
      <c r="CW316" t="s">
        <v>111</v>
      </c>
      <c r="CX316" t="s">
        <v>111</v>
      </c>
      <c r="CY316">
        <v>0</v>
      </c>
      <c r="CZ316" t="s">
        <v>111</v>
      </c>
      <c r="DA316" t="s">
        <v>111</v>
      </c>
      <c r="DB316" t="s">
        <v>111</v>
      </c>
      <c r="DC316" t="s">
        <v>111</v>
      </c>
    </row>
    <row r="317" spans="1:107">
      <c r="A317">
        <v>909</v>
      </c>
      <c r="B317" t="s">
        <v>107</v>
      </c>
      <c r="C317" t="s">
        <v>267</v>
      </c>
      <c r="D317" t="s">
        <v>1213</v>
      </c>
      <c r="E317" t="s">
        <v>1214</v>
      </c>
      <c r="F317" t="s">
        <v>759</v>
      </c>
      <c r="G317" t="s">
        <v>469</v>
      </c>
      <c r="H317">
        <v>2</v>
      </c>
      <c r="I317">
        <v>60</v>
      </c>
      <c r="J317">
        <v>0</v>
      </c>
      <c r="K317">
        <v>0</v>
      </c>
      <c r="L317" t="s">
        <v>112</v>
      </c>
      <c r="M317" t="s">
        <v>138</v>
      </c>
      <c r="N317">
        <v>0</v>
      </c>
      <c r="O317">
        <v>0</v>
      </c>
      <c r="P317" t="s">
        <v>138</v>
      </c>
      <c r="Q317">
        <v>55</v>
      </c>
      <c r="R317">
        <v>0</v>
      </c>
      <c r="S317">
        <v>0</v>
      </c>
      <c r="T317">
        <v>0</v>
      </c>
      <c r="U317" t="s">
        <v>296</v>
      </c>
      <c r="V317">
        <v>12.5</v>
      </c>
      <c r="W317">
        <v>12.5</v>
      </c>
      <c r="X317">
        <v>0</v>
      </c>
      <c r="Y317">
        <v>0</v>
      </c>
      <c r="Z317" t="s">
        <v>188</v>
      </c>
      <c r="AA317">
        <v>1.2</v>
      </c>
      <c r="AB317" t="s">
        <v>339</v>
      </c>
      <c r="AC317">
        <v>25</v>
      </c>
      <c r="AD317" t="s">
        <v>111</v>
      </c>
      <c r="AE317">
        <v>0</v>
      </c>
      <c r="AF317">
        <v>0</v>
      </c>
      <c r="AG317" t="s">
        <v>111</v>
      </c>
      <c r="AH317" t="s">
        <v>111</v>
      </c>
      <c r="AI317" t="s">
        <v>111</v>
      </c>
      <c r="AJ317" t="s">
        <v>111</v>
      </c>
      <c r="AK317" t="s">
        <v>111</v>
      </c>
      <c r="AL317" t="s">
        <v>111</v>
      </c>
      <c r="AM317">
        <v>0</v>
      </c>
      <c r="AN317">
        <v>0</v>
      </c>
      <c r="AO317">
        <v>0</v>
      </c>
      <c r="AP317" t="s">
        <v>111</v>
      </c>
      <c r="AQ317" t="s">
        <v>111</v>
      </c>
      <c r="AR317" t="s">
        <v>111</v>
      </c>
      <c r="AS317" t="s">
        <v>111</v>
      </c>
      <c r="AT317" t="s">
        <v>111</v>
      </c>
      <c r="AU317" t="s">
        <v>111</v>
      </c>
      <c r="AV317" t="s">
        <v>111</v>
      </c>
      <c r="AW317" t="s">
        <v>111</v>
      </c>
      <c r="AX317" t="s">
        <v>111</v>
      </c>
      <c r="AY317" t="s">
        <v>111</v>
      </c>
      <c r="AZ317" t="s">
        <v>111</v>
      </c>
      <c r="BA317" t="s">
        <v>111</v>
      </c>
      <c r="BB317" t="s">
        <v>111</v>
      </c>
      <c r="BC317" t="s">
        <v>111</v>
      </c>
      <c r="BD317" t="s">
        <v>111</v>
      </c>
      <c r="BE317" t="s">
        <v>111</v>
      </c>
      <c r="BF317" t="s">
        <v>111</v>
      </c>
      <c r="BG317" t="s">
        <v>111</v>
      </c>
      <c r="BH317" t="s">
        <v>111</v>
      </c>
      <c r="BI317" t="s">
        <v>111</v>
      </c>
      <c r="BJ317" t="s">
        <v>111</v>
      </c>
      <c r="BK317" t="s">
        <v>111</v>
      </c>
      <c r="BL317" t="s">
        <v>111</v>
      </c>
      <c r="BM317" t="s">
        <v>111</v>
      </c>
      <c r="BN317" t="s">
        <v>111</v>
      </c>
      <c r="BO317" t="s">
        <v>111</v>
      </c>
      <c r="BP317" t="s">
        <v>111</v>
      </c>
      <c r="BQ317" t="s">
        <v>111</v>
      </c>
      <c r="BR317" t="s">
        <v>111</v>
      </c>
      <c r="BS317" t="s">
        <v>111</v>
      </c>
      <c r="BT317" t="s">
        <v>111</v>
      </c>
      <c r="BU317" t="s">
        <v>111</v>
      </c>
      <c r="BV317" t="s">
        <v>111</v>
      </c>
      <c r="BW317" t="s">
        <v>111</v>
      </c>
      <c r="BX317" t="s">
        <v>111</v>
      </c>
      <c r="BY317" t="s">
        <v>111</v>
      </c>
      <c r="BZ317" t="s">
        <v>111</v>
      </c>
      <c r="CA317" t="s">
        <v>111</v>
      </c>
      <c r="CB317" t="s">
        <v>111</v>
      </c>
      <c r="CC317" t="s">
        <v>111</v>
      </c>
      <c r="CD317" t="s">
        <v>111</v>
      </c>
      <c r="CE317" t="s">
        <v>111</v>
      </c>
      <c r="CF317" t="s">
        <v>111</v>
      </c>
      <c r="CG317" t="s">
        <v>111</v>
      </c>
      <c r="CH317" t="s">
        <v>111</v>
      </c>
      <c r="CI317" t="s">
        <v>111</v>
      </c>
      <c r="CJ317" t="s">
        <v>111</v>
      </c>
      <c r="CK317" t="s">
        <v>111</v>
      </c>
      <c r="CL317" t="s">
        <v>111</v>
      </c>
      <c r="CM317" t="s">
        <v>127</v>
      </c>
      <c r="CN317" t="s">
        <v>128</v>
      </c>
      <c r="CO317" t="s">
        <v>111</v>
      </c>
      <c r="CP317" t="s">
        <v>111</v>
      </c>
      <c r="CQ317">
        <v>0</v>
      </c>
      <c r="CR317">
        <v>1000</v>
      </c>
      <c r="CS317">
        <v>50</v>
      </c>
      <c r="CT317" s="1" t="s">
        <v>1215</v>
      </c>
      <c r="CU317">
        <v>0</v>
      </c>
      <c r="CV317" t="s">
        <v>111</v>
      </c>
      <c r="CW317" t="s">
        <v>111</v>
      </c>
      <c r="CX317" t="s">
        <v>111</v>
      </c>
      <c r="CY317">
        <v>0</v>
      </c>
      <c r="CZ317" t="s">
        <v>111</v>
      </c>
      <c r="DA317" t="s">
        <v>111</v>
      </c>
      <c r="DB317" t="s">
        <v>111</v>
      </c>
      <c r="DC317" t="s">
        <v>111</v>
      </c>
    </row>
    <row r="318" spans="1:107">
      <c r="A318">
        <v>908</v>
      </c>
      <c r="B318" t="s">
        <v>107</v>
      </c>
      <c r="C318" t="s">
        <v>267</v>
      </c>
      <c r="D318" t="s">
        <v>1216</v>
      </c>
      <c r="E318" t="s">
        <v>1217</v>
      </c>
      <c r="F318" t="s">
        <v>125</v>
      </c>
      <c r="G318" t="s">
        <v>469</v>
      </c>
      <c r="H318">
        <v>2</v>
      </c>
      <c r="I318">
        <v>60</v>
      </c>
      <c r="J318">
        <v>0</v>
      </c>
      <c r="K318">
        <v>0</v>
      </c>
      <c r="L318" t="s">
        <v>112</v>
      </c>
      <c r="M318" t="s">
        <v>138</v>
      </c>
      <c r="N318">
        <v>0</v>
      </c>
      <c r="O318">
        <v>0</v>
      </c>
      <c r="P318" t="s">
        <v>138</v>
      </c>
      <c r="Q318">
        <v>55</v>
      </c>
      <c r="R318">
        <v>0</v>
      </c>
      <c r="S318">
        <v>0</v>
      </c>
      <c r="T318">
        <v>0</v>
      </c>
      <c r="U318" t="s">
        <v>296</v>
      </c>
      <c r="V318">
        <v>12.5</v>
      </c>
      <c r="W318">
        <v>12.5</v>
      </c>
      <c r="X318">
        <v>0</v>
      </c>
      <c r="Y318">
        <v>0</v>
      </c>
      <c r="Z318" t="s">
        <v>147</v>
      </c>
      <c r="AA318">
        <v>1.2</v>
      </c>
      <c r="AB318" t="s">
        <v>339</v>
      </c>
      <c r="AC318">
        <v>25</v>
      </c>
      <c r="AD318" t="s">
        <v>111</v>
      </c>
      <c r="AE318">
        <v>0</v>
      </c>
      <c r="AF318">
        <v>0</v>
      </c>
      <c r="AG318" t="s">
        <v>111</v>
      </c>
      <c r="AH318" t="s">
        <v>111</v>
      </c>
      <c r="AI318" t="s">
        <v>111</v>
      </c>
      <c r="AJ318" t="s">
        <v>111</v>
      </c>
      <c r="AK318" t="s">
        <v>111</v>
      </c>
      <c r="AL318" t="s">
        <v>111</v>
      </c>
      <c r="AM318">
        <v>0</v>
      </c>
      <c r="AN318">
        <v>0</v>
      </c>
      <c r="AO318">
        <v>0</v>
      </c>
      <c r="AP318" t="s">
        <v>111</v>
      </c>
      <c r="AQ318" t="s">
        <v>111</v>
      </c>
      <c r="AR318" t="s">
        <v>111</v>
      </c>
      <c r="AS318" t="s">
        <v>111</v>
      </c>
      <c r="AT318" t="s">
        <v>111</v>
      </c>
      <c r="AU318" t="s">
        <v>111</v>
      </c>
      <c r="AV318" t="s">
        <v>111</v>
      </c>
      <c r="AW318" t="s">
        <v>111</v>
      </c>
      <c r="AX318" t="s">
        <v>111</v>
      </c>
      <c r="AY318" t="s">
        <v>111</v>
      </c>
      <c r="AZ318" t="s">
        <v>111</v>
      </c>
      <c r="BA318" t="s">
        <v>111</v>
      </c>
      <c r="BB318" t="s">
        <v>111</v>
      </c>
      <c r="BC318" t="s">
        <v>111</v>
      </c>
      <c r="BD318" t="s">
        <v>111</v>
      </c>
      <c r="BE318" t="s">
        <v>111</v>
      </c>
      <c r="BF318" t="s">
        <v>111</v>
      </c>
      <c r="BG318" t="s">
        <v>111</v>
      </c>
      <c r="BH318" t="s">
        <v>111</v>
      </c>
      <c r="BI318" t="s">
        <v>111</v>
      </c>
      <c r="BJ318" t="s">
        <v>111</v>
      </c>
      <c r="BK318" t="s">
        <v>111</v>
      </c>
      <c r="BL318" t="s">
        <v>111</v>
      </c>
      <c r="BM318" t="s">
        <v>111</v>
      </c>
      <c r="BN318" t="s">
        <v>111</v>
      </c>
      <c r="BO318" t="s">
        <v>111</v>
      </c>
      <c r="BP318" t="s">
        <v>111</v>
      </c>
      <c r="BQ318" t="s">
        <v>111</v>
      </c>
      <c r="BR318" t="s">
        <v>111</v>
      </c>
      <c r="BS318" t="s">
        <v>111</v>
      </c>
      <c r="BT318" t="s">
        <v>111</v>
      </c>
      <c r="BU318" t="s">
        <v>111</v>
      </c>
      <c r="BV318" t="s">
        <v>111</v>
      </c>
      <c r="BW318" t="s">
        <v>111</v>
      </c>
      <c r="BX318" t="s">
        <v>111</v>
      </c>
      <c r="BY318" t="s">
        <v>111</v>
      </c>
      <c r="BZ318" t="s">
        <v>111</v>
      </c>
      <c r="CA318" t="s">
        <v>111</v>
      </c>
      <c r="CB318" t="s">
        <v>111</v>
      </c>
      <c r="CC318" t="s">
        <v>111</v>
      </c>
      <c r="CD318" t="s">
        <v>111</v>
      </c>
      <c r="CE318" t="s">
        <v>111</v>
      </c>
      <c r="CF318" t="s">
        <v>111</v>
      </c>
      <c r="CG318" t="s">
        <v>111</v>
      </c>
      <c r="CH318" t="s">
        <v>111</v>
      </c>
      <c r="CI318" t="s">
        <v>111</v>
      </c>
      <c r="CJ318" t="s">
        <v>111</v>
      </c>
      <c r="CK318" t="s">
        <v>111</v>
      </c>
      <c r="CL318" t="s">
        <v>111</v>
      </c>
      <c r="CM318" t="s">
        <v>127</v>
      </c>
      <c r="CN318" t="s">
        <v>128</v>
      </c>
      <c r="CO318" t="s">
        <v>111</v>
      </c>
      <c r="CP318" t="s">
        <v>111</v>
      </c>
      <c r="CQ318">
        <v>27</v>
      </c>
      <c r="CR318">
        <v>1000</v>
      </c>
      <c r="CS318">
        <v>50</v>
      </c>
      <c r="CT318" s="1" t="s">
        <v>1218</v>
      </c>
      <c r="CU318">
        <v>0</v>
      </c>
      <c r="CV318" t="s">
        <v>111</v>
      </c>
      <c r="CW318" t="s">
        <v>111</v>
      </c>
      <c r="CX318" t="s">
        <v>111</v>
      </c>
      <c r="CY318">
        <v>0</v>
      </c>
      <c r="CZ318" t="s">
        <v>111</v>
      </c>
      <c r="DA318" t="s">
        <v>111</v>
      </c>
      <c r="DB318" t="s">
        <v>111</v>
      </c>
      <c r="DC318" t="s">
        <v>111</v>
      </c>
    </row>
    <row r="319" spans="1:107">
      <c r="A319">
        <v>907</v>
      </c>
      <c r="B319" t="s">
        <v>107</v>
      </c>
      <c r="C319" t="s">
        <v>1015</v>
      </c>
      <c r="D319" t="s">
        <v>1120</v>
      </c>
      <c r="E319" t="s">
        <v>861</v>
      </c>
      <c r="F319" t="s">
        <v>192</v>
      </c>
      <c r="G319" t="s">
        <v>469</v>
      </c>
      <c r="H319">
        <v>2</v>
      </c>
      <c r="I319">
        <v>21</v>
      </c>
      <c r="J319">
        <v>8</v>
      </c>
      <c r="K319">
        <v>8</v>
      </c>
      <c r="L319" t="s">
        <v>112</v>
      </c>
      <c r="M319" t="s">
        <v>118</v>
      </c>
      <c r="N319">
        <v>38</v>
      </c>
      <c r="O319">
        <v>2</v>
      </c>
      <c r="P319" t="s">
        <v>138</v>
      </c>
      <c r="Q319">
        <v>22.8</v>
      </c>
      <c r="R319">
        <v>0</v>
      </c>
      <c r="S319">
        <v>0</v>
      </c>
      <c r="T319">
        <v>5</v>
      </c>
      <c r="U319" t="s">
        <v>394</v>
      </c>
      <c r="V319">
        <v>0</v>
      </c>
      <c r="W319">
        <v>25</v>
      </c>
      <c r="X319">
        <v>7.5</v>
      </c>
      <c r="Y319">
        <v>0</v>
      </c>
      <c r="Z319" t="s">
        <v>111</v>
      </c>
      <c r="AA319">
        <v>0</v>
      </c>
      <c r="AB319" t="s">
        <v>1219</v>
      </c>
      <c r="AC319">
        <v>7.5</v>
      </c>
      <c r="AD319" t="s">
        <v>111</v>
      </c>
      <c r="AE319">
        <v>0</v>
      </c>
      <c r="AF319">
        <v>0</v>
      </c>
      <c r="AG319" t="s">
        <v>111</v>
      </c>
      <c r="AH319" t="s">
        <v>111</v>
      </c>
      <c r="AI319" t="s">
        <v>111</v>
      </c>
      <c r="AJ319" t="s">
        <v>111</v>
      </c>
      <c r="AK319" t="s">
        <v>111</v>
      </c>
      <c r="AL319" t="s">
        <v>111</v>
      </c>
      <c r="AM319">
        <v>0</v>
      </c>
      <c r="AN319">
        <v>0</v>
      </c>
      <c r="AO319">
        <v>0</v>
      </c>
      <c r="AP319" t="s">
        <v>111</v>
      </c>
      <c r="AQ319" t="s">
        <v>111</v>
      </c>
      <c r="AR319" t="s">
        <v>111</v>
      </c>
      <c r="AS319" t="s">
        <v>111</v>
      </c>
      <c r="AT319" t="s">
        <v>111</v>
      </c>
      <c r="AU319" t="s">
        <v>111</v>
      </c>
      <c r="AV319" t="s">
        <v>111</v>
      </c>
      <c r="AW319" t="s">
        <v>111</v>
      </c>
      <c r="AX319" t="s">
        <v>111</v>
      </c>
      <c r="AY319" t="s">
        <v>111</v>
      </c>
      <c r="AZ319" t="s">
        <v>111</v>
      </c>
      <c r="BA319" t="s">
        <v>111</v>
      </c>
      <c r="BB319" t="s">
        <v>111</v>
      </c>
      <c r="BC319" t="s">
        <v>111</v>
      </c>
      <c r="BD319" t="s">
        <v>111</v>
      </c>
      <c r="BE319" t="s">
        <v>111</v>
      </c>
      <c r="BF319" t="s">
        <v>111</v>
      </c>
      <c r="BG319" t="s">
        <v>111</v>
      </c>
      <c r="BH319" t="s">
        <v>111</v>
      </c>
      <c r="BI319" t="s">
        <v>111</v>
      </c>
      <c r="BJ319" t="s">
        <v>111</v>
      </c>
      <c r="BK319" t="s">
        <v>111</v>
      </c>
      <c r="BL319" t="s">
        <v>111</v>
      </c>
      <c r="BM319" t="s">
        <v>111</v>
      </c>
      <c r="BN319" t="s">
        <v>111</v>
      </c>
      <c r="BO319" t="s">
        <v>111</v>
      </c>
      <c r="BP319" t="s">
        <v>111</v>
      </c>
      <c r="BQ319" t="s">
        <v>111</v>
      </c>
      <c r="BR319" t="s">
        <v>111</v>
      </c>
      <c r="BS319" t="s">
        <v>111</v>
      </c>
      <c r="BT319" t="s">
        <v>111</v>
      </c>
      <c r="BU319" t="s">
        <v>111</v>
      </c>
      <c r="BV319" t="s">
        <v>111</v>
      </c>
      <c r="BW319" t="s">
        <v>111</v>
      </c>
      <c r="BX319" t="s">
        <v>111</v>
      </c>
      <c r="BY319" t="s">
        <v>111</v>
      </c>
      <c r="BZ319" t="s">
        <v>111</v>
      </c>
      <c r="CA319" t="s">
        <v>111</v>
      </c>
      <c r="CB319" t="s">
        <v>111</v>
      </c>
      <c r="CC319" t="s">
        <v>111</v>
      </c>
      <c r="CD319" t="s">
        <v>111</v>
      </c>
      <c r="CE319" t="s">
        <v>111</v>
      </c>
      <c r="CF319" t="s">
        <v>111</v>
      </c>
      <c r="CG319" t="s">
        <v>111</v>
      </c>
      <c r="CH319" t="s">
        <v>111</v>
      </c>
      <c r="CI319" t="s">
        <v>111</v>
      </c>
      <c r="CJ319" t="s">
        <v>111</v>
      </c>
      <c r="CK319" t="s">
        <v>111</v>
      </c>
      <c r="CL319" t="s">
        <v>111</v>
      </c>
      <c r="CM319" t="s">
        <v>135</v>
      </c>
      <c r="CN319" t="s">
        <v>128</v>
      </c>
      <c r="CO319" t="s">
        <v>111</v>
      </c>
      <c r="CP319" t="s">
        <v>111</v>
      </c>
      <c r="CQ319">
        <v>0</v>
      </c>
      <c r="CR319">
        <v>1000</v>
      </c>
      <c r="CS319">
        <v>50</v>
      </c>
      <c r="CT319" t="s">
        <v>111</v>
      </c>
      <c r="CU319">
        <v>0</v>
      </c>
      <c r="CV319" t="s">
        <v>111</v>
      </c>
      <c r="CW319" t="s">
        <v>111</v>
      </c>
      <c r="CX319" t="s">
        <v>111</v>
      </c>
      <c r="CY319">
        <v>0</v>
      </c>
      <c r="CZ319" t="s">
        <v>111</v>
      </c>
      <c r="DA319" t="s">
        <v>111</v>
      </c>
      <c r="DB319" t="s">
        <v>111</v>
      </c>
      <c r="DC319" t="s">
        <v>111</v>
      </c>
    </row>
    <row r="320" spans="1:107">
      <c r="A320">
        <v>891</v>
      </c>
      <c r="B320" t="s">
        <v>107</v>
      </c>
      <c r="C320" t="s">
        <v>405</v>
      </c>
      <c r="D320" t="s">
        <v>1220</v>
      </c>
      <c r="E320" t="s">
        <v>1221</v>
      </c>
      <c r="F320" t="s">
        <v>116</v>
      </c>
      <c r="G320" t="s">
        <v>469</v>
      </c>
      <c r="H320">
        <v>1.9</v>
      </c>
      <c r="I320">
        <v>85</v>
      </c>
      <c r="J320">
        <v>0</v>
      </c>
      <c r="K320">
        <v>0</v>
      </c>
      <c r="L320" t="s">
        <v>117</v>
      </c>
      <c r="M320" t="s">
        <v>118</v>
      </c>
      <c r="N320">
        <v>39</v>
      </c>
      <c r="O320">
        <v>1</v>
      </c>
      <c r="P320" t="s">
        <v>138</v>
      </c>
      <c r="Q320">
        <v>47.5</v>
      </c>
      <c r="R320">
        <v>0</v>
      </c>
      <c r="S320">
        <v>0</v>
      </c>
      <c r="T320">
        <v>0</v>
      </c>
      <c r="U320" s="1" t="s">
        <v>1222</v>
      </c>
      <c r="V320">
        <v>0</v>
      </c>
      <c r="W320">
        <v>25</v>
      </c>
      <c r="X320">
        <v>5</v>
      </c>
      <c r="Y320">
        <v>0</v>
      </c>
      <c r="Z320" t="s">
        <v>111</v>
      </c>
      <c r="AA320">
        <v>0</v>
      </c>
      <c r="AB320" t="s">
        <v>111</v>
      </c>
      <c r="AC320">
        <v>0</v>
      </c>
      <c r="AD320" t="s">
        <v>1175</v>
      </c>
      <c r="AE320">
        <v>0</v>
      </c>
      <c r="AF320">
        <v>0</v>
      </c>
      <c r="AG320" t="s">
        <v>111</v>
      </c>
      <c r="AH320" t="s">
        <v>111</v>
      </c>
      <c r="AI320" t="s">
        <v>111</v>
      </c>
      <c r="AJ320" t="s">
        <v>111</v>
      </c>
      <c r="AK320" t="s">
        <v>111</v>
      </c>
      <c r="AL320" t="s">
        <v>111</v>
      </c>
      <c r="AM320">
        <v>0</v>
      </c>
      <c r="AN320">
        <v>0</v>
      </c>
      <c r="AO320">
        <v>0</v>
      </c>
      <c r="AP320" t="s">
        <v>111</v>
      </c>
      <c r="AQ320" t="s">
        <v>111</v>
      </c>
      <c r="AR320" t="s">
        <v>111</v>
      </c>
      <c r="AS320" t="s">
        <v>111</v>
      </c>
      <c r="AT320" t="s">
        <v>111</v>
      </c>
      <c r="AU320" t="s">
        <v>111</v>
      </c>
      <c r="AV320" t="s">
        <v>111</v>
      </c>
      <c r="AW320" t="s">
        <v>111</v>
      </c>
      <c r="AX320" t="s">
        <v>111</v>
      </c>
      <c r="AY320" t="s">
        <v>111</v>
      </c>
      <c r="AZ320" t="s">
        <v>111</v>
      </c>
      <c r="BA320" t="s">
        <v>111</v>
      </c>
      <c r="BB320" t="s">
        <v>111</v>
      </c>
      <c r="BC320" t="s">
        <v>111</v>
      </c>
      <c r="BD320" t="s">
        <v>111</v>
      </c>
      <c r="BE320" t="s">
        <v>111</v>
      </c>
      <c r="BF320" t="s">
        <v>111</v>
      </c>
      <c r="BG320" t="s">
        <v>111</v>
      </c>
      <c r="BH320" t="s">
        <v>111</v>
      </c>
      <c r="BI320" t="s">
        <v>111</v>
      </c>
      <c r="BJ320" t="s">
        <v>111</v>
      </c>
      <c r="BK320" t="s">
        <v>111</v>
      </c>
      <c r="BL320" t="s">
        <v>111</v>
      </c>
      <c r="BM320" t="s">
        <v>111</v>
      </c>
      <c r="BN320" t="s">
        <v>111</v>
      </c>
      <c r="BO320" t="s">
        <v>111</v>
      </c>
      <c r="BP320" t="s">
        <v>111</v>
      </c>
      <c r="BQ320" t="s">
        <v>111</v>
      </c>
      <c r="BR320" t="s">
        <v>111</v>
      </c>
      <c r="BS320" t="s">
        <v>111</v>
      </c>
      <c r="BT320" t="s">
        <v>111</v>
      </c>
      <c r="BU320" t="s">
        <v>111</v>
      </c>
      <c r="BV320" t="s">
        <v>111</v>
      </c>
      <c r="BW320" t="s">
        <v>111</v>
      </c>
      <c r="BX320" t="s">
        <v>111</v>
      </c>
      <c r="BY320" t="s">
        <v>111</v>
      </c>
      <c r="BZ320" t="s">
        <v>111</v>
      </c>
      <c r="CA320" t="s">
        <v>111</v>
      </c>
      <c r="CB320" t="s">
        <v>111</v>
      </c>
      <c r="CC320" t="s">
        <v>111</v>
      </c>
      <c r="CD320" t="s">
        <v>111</v>
      </c>
      <c r="CE320" t="s">
        <v>111</v>
      </c>
      <c r="CF320" t="s">
        <v>111</v>
      </c>
      <c r="CG320" t="s">
        <v>111</v>
      </c>
      <c r="CH320" t="s">
        <v>111</v>
      </c>
      <c r="CI320" t="s">
        <v>111</v>
      </c>
      <c r="CJ320" t="s">
        <v>111</v>
      </c>
      <c r="CK320" t="s">
        <v>111</v>
      </c>
      <c r="CL320" t="s">
        <v>111</v>
      </c>
      <c r="CM320" t="s">
        <v>111</v>
      </c>
      <c r="CN320" t="s">
        <v>111</v>
      </c>
      <c r="CO320" t="s">
        <v>111</v>
      </c>
      <c r="CP320" t="s">
        <v>111</v>
      </c>
      <c r="CQ320">
        <v>0</v>
      </c>
      <c r="CR320">
        <v>0</v>
      </c>
      <c r="CS320">
        <v>0</v>
      </c>
      <c r="CT320" t="s">
        <v>111</v>
      </c>
      <c r="CU320">
        <v>0</v>
      </c>
      <c r="CV320" t="s">
        <v>111</v>
      </c>
      <c r="CW320" t="s">
        <v>111</v>
      </c>
      <c r="CX320" t="s">
        <v>111</v>
      </c>
      <c r="CY320">
        <v>0</v>
      </c>
      <c r="CZ320" t="s">
        <v>111</v>
      </c>
      <c r="DA320" t="s">
        <v>111</v>
      </c>
      <c r="DB320" t="s">
        <v>111</v>
      </c>
      <c r="DC320" t="s">
        <v>111</v>
      </c>
    </row>
    <row r="321" spans="1:107">
      <c r="A321">
        <v>890</v>
      </c>
      <c r="B321" t="s">
        <v>107</v>
      </c>
      <c r="C321" t="s">
        <v>405</v>
      </c>
      <c r="D321" t="s">
        <v>1223</v>
      </c>
      <c r="E321" t="s">
        <v>1224</v>
      </c>
      <c r="F321" t="s">
        <v>116</v>
      </c>
      <c r="G321" t="s">
        <v>469</v>
      </c>
      <c r="H321">
        <v>1.9</v>
      </c>
      <c r="I321">
        <v>50</v>
      </c>
      <c r="J321">
        <v>0</v>
      </c>
      <c r="K321">
        <v>0</v>
      </c>
      <c r="L321" t="s">
        <v>117</v>
      </c>
      <c r="M321" t="s">
        <v>138</v>
      </c>
      <c r="N321">
        <v>0</v>
      </c>
      <c r="O321">
        <v>0</v>
      </c>
      <c r="P321" t="s">
        <v>138</v>
      </c>
      <c r="Q321">
        <v>46.5</v>
      </c>
      <c r="R321">
        <v>0</v>
      </c>
      <c r="S321">
        <v>0</v>
      </c>
      <c r="T321">
        <v>0</v>
      </c>
      <c r="U321" s="1" t="s">
        <v>1225</v>
      </c>
      <c r="V321">
        <v>0</v>
      </c>
      <c r="W321">
        <v>25</v>
      </c>
      <c r="X321">
        <v>5</v>
      </c>
      <c r="Y321">
        <v>0</v>
      </c>
      <c r="Z321" t="s">
        <v>111</v>
      </c>
      <c r="AA321">
        <v>0</v>
      </c>
      <c r="AB321" t="s">
        <v>111</v>
      </c>
      <c r="AC321">
        <v>0</v>
      </c>
      <c r="AD321" t="s">
        <v>111</v>
      </c>
      <c r="AE321">
        <v>0</v>
      </c>
      <c r="AF321">
        <v>0</v>
      </c>
      <c r="AG321" t="s">
        <v>111</v>
      </c>
      <c r="AH321" t="s">
        <v>111</v>
      </c>
      <c r="AI321" t="s">
        <v>111</v>
      </c>
      <c r="AJ321" t="s">
        <v>111</v>
      </c>
      <c r="AK321" t="s">
        <v>111</v>
      </c>
      <c r="AL321" t="s">
        <v>111</v>
      </c>
      <c r="AM321">
        <v>0</v>
      </c>
      <c r="AN321">
        <v>0</v>
      </c>
      <c r="AO321">
        <v>0</v>
      </c>
      <c r="AP321" t="s">
        <v>111</v>
      </c>
      <c r="AQ321" t="s">
        <v>111</v>
      </c>
      <c r="AR321" t="s">
        <v>111</v>
      </c>
      <c r="AS321" t="s">
        <v>111</v>
      </c>
      <c r="AT321" t="s">
        <v>111</v>
      </c>
      <c r="AU321" t="s">
        <v>111</v>
      </c>
      <c r="AV321" t="s">
        <v>111</v>
      </c>
      <c r="AW321" t="s">
        <v>111</v>
      </c>
      <c r="AX321" t="s">
        <v>111</v>
      </c>
      <c r="AY321" t="s">
        <v>111</v>
      </c>
      <c r="AZ321" t="s">
        <v>111</v>
      </c>
      <c r="BA321" t="s">
        <v>111</v>
      </c>
      <c r="BB321" t="s">
        <v>111</v>
      </c>
      <c r="BC321" t="s">
        <v>111</v>
      </c>
      <c r="BD321" t="s">
        <v>111</v>
      </c>
      <c r="BE321" t="s">
        <v>111</v>
      </c>
      <c r="BF321" t="s">
        <v>111</v>
      </c>
      <c r="BG321" t="s">
        <v>111</v>
      </c>
      <c r="BH321" t="s">
        <v>111</v>
      </c>
      <c r="BI321" t="s">
        <v>111</v>
      </c>
      <c r="BJ321" t="s">
        <v>111</v>
      </c>
      <c r="BK321" t="s">
        <v>111</v>
      </c>
      <c r="BL321" t="s">
        <v>111</v>
      </c>
      <c r="BM321" t="s">
        <v>111</v>
      </c>
      <c r="BN321" t="s">
        <v>111</v>
      </c>
      <c r="BO321" t="s">
        <v>111</v>
      </c>
      <c r="BP321" t="s">
        <v>111</v>
      </c>
      <c r="BQ321" t="s">
        <v>111</v>
      </c>
      <c r="BR321" t="s">
        <v>111</v>
      </c>
      <c r="BS321" t="s">
        <v>111</v>
      </c>
      <c r="BT321" t="s">
        <v>111</v>
      </c>
      <c r="BU321" t="s">
        <v>111</v>
      </c>
      <c r="BV321" t="s">
        <v>111</v>
      </c>
      <c r="BW321" t="s">
        <v>111</v>
      </c>
      <c r="BX321" t="s">
        <v>111</v>
      </c>
      <c r="BY321" t="s">
        <v>111</v>
      </c>
      <c r="BZ321" t="s">
        <v>111</v>
      </c>
      <c r="CA321" t="s">
        <v>111</v>
      </c>
      <c r="CB321" t="s">
        <v>111</v>
      </c>
      <c r="CC321" t="s">
        <v>111</v>
      </c>
      <c r="CD321" t="s">
        <v>111</v>
      </c>
      <c r="CE321" t="s">
        <v>111</v>
      </c>
      <c r="CF321" t="s">
        <v>111</v>
      </c>
      <c r="CG321" t="s">
        <v>111</v>
      </c>
      <c r="CH321" t="s">
        <v>111</v>
      </c>
      <c r="CI321" t="s">
        <v>111</v>
      </c>
      <c r="CJ321" t="s">
        <v>111</v>
      </c>
      <c r="CK321" t="s">
        <v>111</v>
      </c>
      <c r="CL321" t="s">
        <v>111</v>
      </c>
      <c r="CM321" t="s">
        <v>111</v>
      </c>
      <c r="CN321" t="s">
        <v>111</v>
      </c>
      <c r="CO321" t="s">
        <v>111</v>
      </c>
      <c r="CP321" t="s">
        <v>111</v>
      </c>
      <c r="CQ321">
        <v>0</v>
      </c>
      <c r="CR321">
        <v>0</v>
      </c>
      <c r="CS321">
        <v>0</v>
      </c>
      <c r="CT321" t="s">
        <v>111</v>
      </c>
      <c r="CU321">
        <v>0</v>
      </c>
      <c r="CV321" t="s">
        <v>111</v>
      </c>
      <c r="CW321" t="s">
        <v>111</v>
      </c>
      <c r="CX321" t="s">
        <v>111</v>
      </c>
      <c r="CY321">
        <v>0</v>
      </c>
      <c r="CZ321" t="s">
        <v>111</v>
      </c>
      <c r="DA321" t="s">
        <v>111</v>
      </c>
      <c r="DB321" t="s">
        <v>111</v>
      </c>
      <c r="DC321" t="s">
        <v>111</v>
      </c>
    </row>
    <row r="322" spans="1:107">
      <c r="A322">
        <v>889</v>
      </c>
      <c r="B322" t="s">
        <v>107</v>
      </c>
      <c r="C322" t="s">
        <v>405</v>
      </c>
      <c r="D322" t="s">
        <v>1226</v>
      </c>
      <c r="E322" t="s">
        <v>1227</v>
      </c>
      <c r="F322" t="s">
        <v>116</v>
      </c>
      <c r="G322" t="s">
        <v>469</v>
      </c>
      <c r="H322">
        <v>1.4</v>
      </c>
      <c r="I322">
        <v>85</v>
      </c>
      <c r="J322">
        <v>0</v>
      </c>
      <c r="K322">
        <v>0</v>
      </c>
      <c r="L322" t="s">
        <v>117</v>
      </c>
      <c r="M322" t="s">
        <v>138</v>
      </c>
      <c r="N322">
        <v>0</v>
      </c>
      <c r="O322">
        <v>0</v>
      </c>
      <c r="P322" t="s">
        <v>138</v>
      </c>
      <c r="Q322">
        <v>22.5</v>
      </c>
      <c r="R322">
        <v>0</v>
      </c>
      <c r="S322">
        <v>0</v>
      </c>
      <c r="T322">
        <v>0</v>
      </c>
      <c r="U322" t="s">
        <v>394</v>
      </c>
      <c r="V322">
        <v>0</v>
      </c>
      <c r="W322">
        <v>25</v>
      </c>
      <c r="X322">
        <v>0</v>
      </c>
      <c r="Y322">
        <v>0</v>
      </c>
      <c r="Z322" t="s">
        <v>111</v>
      </c>
      <c r="AA322">
        <v>0</v>
      </c>
      <c r="AB322" t="s">
        <v>111</v>
      </c>
      <c r="AC322">
        <v>0</v>
      </c>
      <c r="AD322" t="s">
        <v>111</v>
      </c>
      <c r="AE322">
        <v>0</v>
      </c>
      <c r="AF322">
        <v>0</v>
      </c>
      <c r="AG322" t="s">
        <v>111</v>
      </c>
      <c r="AH322" t="s">
        <v>111</v>
      </c>
      <c r="AI322" t="s">
        <v>111</v>
      </c>
      <c r="AJ322" t="s">
        <v>111</v>
      </c>
      <c r="AK322" t="s">
        <v>111</v>
      </c>
      <c r="AL322" t="s">
        <v>111</v>
      </c>
      <c r="AM322">
        <v>0</v>
      </c>
      <c r="AN322">
        <v>0</v>
      </c>
      <c r="AO322">
        <v>0</v>
      </c>
      <c r="AP322" t="s">
        <v>111</v>
      </c>
      <c r="AQ322" t="s">
        <v>111</v>
      </c>
      <c r="AR322" t="s">
        <v>111</v>
      </c>
      <c r="AS322" t="s">
        <v>111</v>
      </c>
      <c r="AT322" t="s">
        <v>111</v>
      </c>
      <c r="AU322" t="s">
        <v>111</v>
      </c>
      <c r="AV322" t="s">
        <v>111</v>
      </c>
      <c r="AW322" t="s">
        <v>111</v>
      </c>
      <c r="AX322" t="s">
        <v>111</v>
      </c>
      <c r="AY322" t="s">
        <v>111</v>
      </c>
      <c r="AZ322" t="s">
        <v>111</v>
      </c>
      <c r="BA322" t="s">
        <v>111</v>
      </c>
      <c r="BB322" t="s">
        <v>111</v>
      </c>
      <c r="BC322" t="s">
        <v>111</v>
      </c>
      <c r="BD322" t="s">
        <v>111</v>
      </c>
      <c r="BE322" t="s">
        <v>111</v>
      </c>
      <c r="BF322" t="s">
        <v>111</v>
      </c>
      <c r="BG322" t="s">
        <v>111</v>
      </c>
      <c r="BH322" t="s">
        <v>111</v>
      </c>
      <c r="BI322" t="s">
        <v>111</v>
      </c>
      <c r="BJ322" t="s">
        <v>111</v>
      </c>
      <c r="BK322" t="s">
        <v>111</v>
      </c>
      <c r="BL322" t="s">
        <v>111</v>
      </c>
      <c r="BM322" t="s">
        <v>111</v>
      </c>
      <c r="BN322" t="s">
        <v>111</v>
      </c>
      <c r="BO322" t="s">
        <v>111</v>
      </c>
      <c r="BP322" t="s">
        <v>111</v>
      </c>
      <c r="BQ322" t="s">
        <v>111</v>
      </c>
      <c r="BR322" t="s">
        <v>111</v>
      </c>
      <c r="BS322" t="s">
        <v>111</v>
      </c>
      <c r="BT322" t="s">
        <v>111</v>
      </c>
      <c r="BU322" t="s">
        <v>111</v>
      </c>
      <c r="BV322" t="s">
        <v>111</v>
      </c>
      <c r="BW322" t="s">
        <v>111</v>
      </c>
      <c r="BX322" t="s">
        <v>111</v>
      </c>
      <c r="BY322" t="s">
        <v>111</v>
      </c>
      <c r="BZ322" t="s">
        <v>111</v>
      </c>
      <c r="CA322" t="s">
        <v>111</v>
      </c>
      <c r="CB322" t="s">
        <v>111</v>
      </c>
      <c r="CC322" t="s">
        <v>111</v>
      </c>
      <c r="CD322" t="s">
        <v>111</v>
      </c>
      <c r="CE322" t="s">
        <v>111</v>
      </c>
      <c r="CF322" t="s">
        <v>111</v>
      </c>
      <c r="CG322" t="s">
        <v>111</v>
      </c>
      <c r="CH322" t="s">
        <v>111</v>
      </c>
      <c r="CI322" t="s">
        <v>111</v>
      </c>
      <c r="CJ322" t="s">
        <v>111</v>
      </c>
      <c r="CK322" t="s">
        <v>111</v>
      </c>
      <c r="CL322" t="s">
        <v>111</v>
      </c>
      <c r="CM322" t="s">
        <v>111</v>
      </c>
      <c r="CN322" t="s">
        <v>111</v>
      </c>
      <c r="CO322" t="s">
        <v>111</v>
      </c>
      <c r="CP322" t="s">
        <v>111</v>
      </c>
      <c r="CQ322">
        <v>0</v>
      </c>
      <c r="CR322">
        <v>0</v>
      </c>
      <c r="CS322">
        <v>0</v>
      </c>
      <c r="CT322" t="s">
        <v>111</v>
      </c>
      <c r="CU322">
        <v>0</v>
      </c>
      <c r="CV322" t="s">
        <v>111</v>
      </c>
      <c r="CW322" t="s">
        <v>111</v>
      </c>
      <c r="CX322" t="s">
        <v>111</v>
      </c>
      <c r="CY322">
        <v>0</v>
      </c>
      <c r="CZ322" t="s">
        <v>111</v>
      </c>
      <c r="DA322" t="s">
        <v>111</v>
      </c>
      <c r="DB322" t="s">
        <v>111</v>
      </c>
      <c r="DC322" t="s">
        <v>111</v>
      </c>
    </row>
    <row r="323" spans="1:107">
      <c r="A323">
        <v>876</v>
      </c>
      <c r="B323" t="s">
        <v>107</v>
      </c>
      <c r="C323" t="s">
        <v>549</v>
      </c>
      <c r="D323" t="s">
        <v>1120</v>
      </c>
      <c r="E323" t="s">
        <v>861</v>
      </c>
      <c r="F323" t="s">
        <v>192</v>
      </c>
      <c r="G323" t="s">
        <v>469</v>
      </c>
      <c r="H323">
        <v>2</v>
      </c>
      <c r="I323">
        <v>21</v>
      </c>
      <c r="J323">
        <v>8</v>
      </c>
      <c r="K323">
        <v>8</v>
      </c>
      <c r="L323" t="s">
        <v>112</v>
      </c>
      <c r="M323" t="s">
        <v>138</v>
      </c>
      <c r="N323">
        <v>380</v>
      </c>
      <c r="O323">
        <v>2</v>
      </c>
      <c r="P323" t="s">
        <v>138</v>
      </c>
      <c r="Q323">
        <v>30</v>
      </c>
      <c r="R323">
        <v>0</v>
      </c>
      <c r="S323">
        <v>0</v>
      </c>
      <c r="T323">
        <v>0</v>
      </c>
      <c r="U323" s="1" t="s">
        <v>1228</v>
      </c>
      <c r="V323">
        <v>0</v>
      </c>
      <c r="W323">
        <v>250</v>
      </c>
      <c r="X323">
        <v>7.5</v>
      </c>
      <c r="Y323">
        <v>0</v>
      </c>
      <c r="Z323" t="s">
        <v>111</v>
      </c>
      <c r="AA323">
        <v>0</v>
      </c>
      <c r="AB323" t="s">
        <v>940</v>
      </c>
      <c r="AC323">
        <v>7.5</v>
      </c>
      <c r="AD323" t="s">
        <v>111</v>
      </c>
      <c r="AE323">
        <v>0</v>
      </c>
      <c r="AF323">
        <v>0</v>
      </c>
      <c r="AG323" t="s">
        <v>111</v>
      </c>
      <c r="AH323" t="s">
        <v>111</v>
      </c>
      <c r="AI323" t="s">
        <v>111</v>
      </c>
      <c r="AJ323" t="s">
        <v>111</v>
      </c>
      <c r="AK323" t="s">
        <v>111</v>
      </c>
      <c r="AL323" t="s">
        <v>111</v>
      </c>
      <c r="AM323">
        <v>0</v>
      </c>
      <c r="AN323">
        <v>0</v>
      </c>
      <c r="AO323">
        <v>0</v>
      </c>
      <c r="AP323" t="s">
        <v>111</v>
      </c>
      <c r="AQ323" t="s">
        <v>111</v>
      </c>
      <c r="AR323" t="s">
        <v>111</v>
      </c>
      <c r="AS323" t="s">
        <v>111</v>
      </c>
      <c r="AT323" t="s">
        <v>111</v>
      </c>
      <c r="AU323" t="s">
        <v>111</v>
      </c>
      <c r="AV323" t="s">
        <v>111</v>
      </c>
      <c r="AW323" t="s">
        <v>111</v>
      </c>
      <c r="AX323" t="s">
        <v>111</v>
      </c>
      <c r="AY323" t="s">
        <v>111</v>
      </c>
      <c r="AZ323" t="s">
        <v>111</v>
      </c>
      <c r="BA323" t="s">
        <v>111</v>
      </c>
      <c r="BB323" t="s">
        <v>111</v>
      </c>
      <c r="BC323" t="s">
        <v>111</v>
      </c>
      <c r="BD323" t="s">
        <v>111</v>
      </c>
      <c r="BE323" t="s">
        <v>111</v>
      </c>
      <c r="BF323" t="s">
        <v>111</v>
      </c>
      <c r="BG323" t="s">
        <v>111</v>
      </c>
      <c r="BH323" t="s">
        <v>111</v>
      </c>
      <c r="BI323" t="s">
        <v>111</v>
      </c>
      <c r="BJ323" t="s">
        <v>111</v>
      </c>
      <c r="BK323" t="s">
        <v>111</v>
      </c>
      <c r="BL323" t="s">
        <v>111</v>
      </c>
      <c r="BM323" t="s">
        <v>111</v>
      </c>
      <c r="BN323" t="s">
        <v>111</v>
      </c>
      <c r="BO323" t="s">
        <v>111</v>
      </c>
      <c r="BP323" t="s">
        <v>111</v>
      </c>
      <c r="BQ323" t="s">
        <v>111</v>
      </c>
      <c r="BR323" t="s">
        <v>111</v>
      </c>
      <c r="BS323" t="s">
        <v>111</v>
      </c>
      <c r="BT323" t="s">
        <v>111</v>
      </c>
      <c r="BU323" t="s">
        <v>111</v>
      </c>
      <c r="BV323" t="s">
        <v>111</v>
      </c>
      <c r="BW323" t="s">
        <v>111</v>
      </c>
      <c r="BX323" t="s">
        <v>111</v>
      </c>
      <c r="BY323" t="s">
        <v>111</v>
      </c>
      <c r="BZ323" t="s">
        <v>111</v>
      </c>
      <c r="CA323" t="s">
        <v>111</v>
      </c>
      <c r="CB323" t="s">
        <v>111</v>
      </c>
      <c r="CC323" t="s">
        <v>111</v>
      </c>
      <c r="CD323" t="s">
        <v>111</v>
      </c>
      <c r="CE323" t="s">
        <v>111</v>
      </c>
      <c r="CF323" t="s">
        <v>111</v>
      </c>
      <c r="CG323" t="s">
        <v>111</v>
      </c>
      <c r="CH323" t="s">
        <v>111</v>
      </c>
      <c r="CI323" t="s">
        <v>111</v>
      </c>
      <c r="CJ323" t="s">
        <v>111</v>
      </c>
      <c r="CK323" t="s">
        <v>111</v>
      </c>
      <c r="CL323" t="s">
        <v>111</v>
      </c>
      <c r="CM323" t="s">
        <v>135</v>
      </c>
      <c r="CN323" t="s">
        <v>128</v>
      </c>
      <c r="CO323" t="s">
        <v>111</v>
      </c>
      <c r="CP323" t="s">
        <v>111</v>
      </c>
      <c r="CQ323">
        <v>0</v>
      </c>
      <c r="CR323">
        <v>1000</v>
      </c>
      <c r="CS323">
        <v>50</v>
      </c>
      <c r="CT323" s="1" t="s">
        <v>1229</v>
      </c>
      <c r="CU323">
        <v>0</v>
      </c>
      <c r="CV323" t="s">
        <v>111</v>
      </c>
      <c r="CW323" t="s">
        <v>111</v>
      </c>
      <c r="CX323" t="s">
        <v>111</v>
      </c>
      <c r="CY323">
        <v>0</v>
      </c>
      <c r="CZ323" t="s">
        <v>111</v>
      </c>
      <c r="DA323" t="s">
        <v>111</v>
      </c>
      <c r="DB323" t="s">
        <v>111</v>
      </c>
      <c r="DC323" t="s">
        <v>111</v>
      </c>
    </row>
    <row r="324" spans="1:107">
      <c r="A324">
        <v>935</v>
      </c>
      <c r="B324" t="s">
        <v>107</v>
      </c>
      <c r="C324" t="s">
        <v>1230</v>
      </c>
      <c r="D324" t="s">
        <v>1231</v>
      </c>
      <c r="E324" t="s">
        <v>1232</v>
      </c>
      <c r="F324" t="s">
        <v>739</v>
      </c>
      <c r="G324" t="s">
        <v>469</v>
      </c>
      <c r="H324">
        <v>1.8</v>
      </c>
      <c r="I324">
        <v>43</v>
      </c>
      <c r="J324">
        <v>0</v>
      </c>
      <c r="K324">
        <v>0</v>
      </c>
      <c r="L324" t="s">
        <v>112</v>
      </c>
      <c r="M324" t="s">
        <v>118</v>
      </c>
      <c r="N324">
        <v>38</v>
      </c>
      <c r="O324">
        <v>2</v>
      </c>
      <c r="P324" t="s">
        <v>111</v>
      </c>
      <c r="Q324">
        <v>35</v>
      </c>
      <c r="R324">
        <v>0</v>
      </c>
      <c r="S324">
        <v>0</v>
      </c>
      <c r="T324">
        <v>0</v>
      </c>
      <c r="U324" s="1" t="s">
        <v>525</v>
      </c>
      <c r="V324">
        <v>0</v>
      </c>
      <c r="W324">
        <v>250</v>
      </c>
      <c r="X324">
        <v>8</v>
      </c>
      <c r="Y324">
        <v>0</v>
      </c>
      <c r="Z324" t="s">
        <v>288</v>
      </c>
      <c r="AA324">
        <v>1.6</v>
      </c>
      <c r="AB324" t="s">
        <v>111</v>
      </c>
      <c r="AC324">
        <v>0</v>
      </c>
      <c r="AD324" t="s">
        <v>416</v>
      </c>
      <c r="AE324">
        <v>2</v>
      </c>
      <c r="AF324">
        <v>2</v>
      </c>
      <c r="AG324" t="s">
        <v>1233</v>
      </c>
      <c r="AH324" t="s">
        <v>113</v>
      </c>
      <c r="AI324" t="s">
        <v>1234</v>
      </c>
      <c r="AJ324" t="s">
        <v>111</v>
      </c>
      <c r="AK324" t="s">
        <v>111</v>
      </c>
      <c r="AL324" t="s">
        <v>111</v>
      </c>
      <c r="AM324">
        <v>0</v>
      </c>
      <c r="AN324">
        <v>0</v>
      </c>
      <c r="AO324">
        <v>0</v>
      </c>
      <c r="AP324" t="s">
        <v>271</v>
      </c>
      <c r="AQ324" t="s">
        <v>111</v>
      </c>
      <c r="AR324" t="s">
        <v>111</v>
      </c>
      <c r="AS324" t="s">
        <v>111</v>
      </c>
      <c r="AT324" t="s">
        <v>188</v>
      </c>
      <c r="AU324" t="s">
        <v>111</v>
      </c>
      <c r="AV324" t="s">
        <v>111</v>
      </c>
      <c r="AW324" t="s">
        <v>111</v>
      </c>
      <c r="AX324" t="s">
        <v>111</v>
      </c>
      <c r="AY324" t="s">
        <v>111</v>
      </c>
      <c r="AZ324" t="s">
        <v>111</v>
      </c>
      <c r="BA324" t="s">
        <v>111</v>
      </c>
      <c r="BB324" t="s">
        <v>111</v>
      </c>
      <c r="BC324" t="s">
        <v>111</v>
      </c>
      <c r="BD324" t="s">
        <v>111</v>
      </c>
      <c r="BE324" t="s">
        <v>111</v>
      </c>
      <c r="BF324" t="s">
        <v>111</v>
      </c>
      <c r="BG324" t="s">
        <v>111</v>
      </c>
      <c r="BH324" t="s">
        <v>111</v>
      </c>
      <c r="BI324" t="s">
        <v>111</v>
      </c>
      <c r="BJ324" t="s">
        <v>111</v>
      </c>
      <c r="BK324" t="s">
        <v>111</v>
      </c>
      <c r="BL324" t="s">
        <v>111</v>
      </c>
      <c r="BM324" t="s">
        <v>111</v>
      </c>
      <c r="BN324" t="s">
        <v>1235</v>
      </c>
      <c r="BO324" t="s">
        <v>111</v>
      </c>
      <c r="BP324" t="s">
        <v>111</v>
      </c>
      <c r="BQ324" t="s">
        <v>111</v>
      </c>
      <c r="BR324" t="s">
        <v>188</v>
      </c>
      <c r="BS324" t="s">
        <v>111</v>
      </c>
      <c r="BT324" t="s">
        <v>111</v>
      </c>
      <c r="BU324" t="s">
        <v>111</v>
      </c>
      <c r="BV324" t="s">
        <v>111</v>
      </c>
      <c r="BW324" t="s">
        <v>111</v>
      </c>
      <c r="BX324" t="s">
        <v>111</v>
      </c>
      <c r="BY324" t="s">
        <v>111</v>
      </c>
      <c r="BZ324" t="s">
        <v>111</v>
      </c>
      <c r="CA324" t="s">
        <v>111</v>
      </c>
      <c r="CB324" t="s">
        <v>111</v>
      </c>
      <c r="CC324" t="s">
        <v>111</v>
      </c>
      <c r="CD324" t="s">
        <v>111</v>
      </c>
      <c r="CE324" t="s">
        <v>111</v>
      </c>
      <c r="CF324" t="s">
        <v>111</v>
      </c>
      <c r="CG324" t="s">
        <v>111</v>
      </c>
      <c r="CH324" t="s">
        <v>111</v>
      </c>
      <c r="CI324" t="s">
        <v>111</v>
      </c>
      <c r="CJ324" t="s">
        <v>111</v>
      </c>
      <c r="CK324" t="s">
        <v>111</v>
      </c>
      <c r="CL324" t="e">
        <f>-DESTINO SELLADO</f>
        <v>#NAME?</v>
      </c>
      <c r="CM324" t="s">
        <v>198</v>
      </c>
      <c r="CN324" t="s">
        <v>113</v>
      </c>
      <c r="CO324" t="s">
        <v>367</v>
      </c>
      <c r="CP324" t="s">
        <v>563</v>
      </c>
      <c r="CQ324">
        <v>56</v>
      </c>
      <c r="CR324">
        <v>3000</v>
      </c>
      <c r="CS324">
        <v>100</v>
      </c>
      <c r="CT324" s="1" t="s">
        <v>1236</v>
      </c>
      <c r="CU324">
        <v>0</v>
      </c>
      <c r="CV324" t="s">
        <v>111</v>
      </c>
      <c r="CW324" t="s">
        <v>111</v>
      </c>
      <c r="CX324" t="s">
        <v>111</v>
      </c>
      <c r="CY324">
        <v>0</v>
      </c>
      <c r="CZ324" t="s">
        <v>111</v>
      </c>
      <c r="DA324" t="s">
        <v>111</v>
      </c>
      <c r="DB324" t="s">
        <v>204</v>
      </c>
      <c r="DC324" t="e">
        <f>-TROQUEL RIÑON</f>
        <v>#NAME?</v>
      </c>
    </row>
    <row r="325" spans="1:107">
      <c r="A325">
        <v>877</v>
      </c>
      <c r="B325" t="s">
        <v>107</v>
      </c>
      <c r="C325" t="s">
        <v>549</v>
      </c>
      <c r="D325" t="s">
        <v>1237</v>
      </c>
      <c r="E325" t="s">
        <v>1238</v>
      </c>
      <c r="F325" t="s">
        <v>431</v>
      </c>
      <c r="G325" t="s">
        <v>469</v>
      </c>
      <c r="H325">
        <v>2</v>
      </c>
      <c r="I325">
        <v>21</v>
      </c>
      <c r="J325">
        <v>8</v>
      </c>
      <c r="K325">
        <v>8</v>
      </c>
      <c r="L325" t="s">
        <v>112</v>
      </c>
      <c r="M325" t="s">
        <v>118</v>
      </c>
      <c r="N325">
        <v>38</v>
      </c>
      <c r="O325">
        <v>2</v>
      </c>
      <c r="P325" t="s">
        <v>138</v>
      </c>
      <c r="Q325">
        <v>31</v>
      </c>
      <c r="R325">
        <v>0</v>
      </c>
      <c r="S325">
        <v>0</v>
      </c>
      <c r="T325">
        <v>5</v>
      </c>
      <c r="U325" s="1" t="s">
        <v>1239</v>
      </c>
      <c r="V325">
        <v>0</v>
      </c>
      <c r="W325">
        <v>25</v>
      </c>
      <c r="X325">
        <v>8</v>
      </c>
      <c r="Y325">
        <v>0</v>
      </c>
      <c r="Z325" t="s">
        <v>111</v>
      </c>
      <c r="AA325">
        <v>0</v>
      </c>
      <c r="AB325" t="s">
        <v>1240</v>
      </c>
      <c r="AC325">
        <v>8</v>
      </c>
      <c r="AD325" t="s">
        <v>416</v>
      </c>
      <c r="AE325">
        <v>2</v>
      </c>
      <c r="AF325" t="s">
        <v>1241</v>
      </c>
      <c r="AG325" t="s">
        <v>1242</v>
      </c>
      <c r="AH325" t="s">
        <v>128</v>
      </c>
      <c r="AI325" t="s">
        <v>1242</v>
      </c>
      <c r="AJ325" t="s">
        <v>111</v>
      </c>
      <c r="AK325" t="s">
        <v>111</v>
      </c>
      <c r="AL325" t="s">
        <v>111</v>
      </c>
      <c r="AM325">
        <v>0</v>
      </c>
      <c r="AN325">
        <v>0</v>
      </c>
      <c r="AO325">
        <v>0</v>
      </c>
      <c r="AP325" t="s">
        <v>288</v>
      </c>
      <c r="AQ325" t="s">
        <v>111</v>
      </c>
      <c r="AR325" t="s">
        <v>111</v>
      </c>
      <c r="AS325" t="s">
        <v>111</v>
      </c>
      <c r="AT325" t="s">
        <v>271</v>
      </c>
      <c r="AU325" t="s">
        <v>111</v>
      </c>
      <c r="AV325" t="s">
        <v>111</v>
      </c>
      <c r="AW325" t="s">
        <v>111</v>
      </c>
      <c r="AX325" t="s">
        <v>111</v>
      </c>
      <c r="AY325" t="s">
        <v>111</v>
      </c>
      <c r="AZ325" t="s">
        <v>111</v>
      </c>
      <c r="BA325" t="s">
        <v>111</v>
      </c>
      <c r="BB325" t="s">
        <v>111</v>
      </c>
      <c r="BC325" t="s">
        <v>111</v>
      </c>
      <c r="BD325" t="s">
        <v>111</v>
      </c>
      <c r="BE325" t="s">
        <v>111</v>
      </c>
      <c r="BF325" t="s">
        <v>111</v>
      </c>
      <c r="BG325" t="s">
        <v>111</v>
      </c>
      <c r="BH325" t="s">
        <v>111</v>
      </c>
      <c r="BI325" t="s">
        <v>111</v>
      </c>
      <c r="BJ325" t="s">
        <v>111</v>
      </c>
      <c r="BK325" t="s">
        <v>111</v>
      </c>
      <c r="BL325" t="s">
        <v>111</v>
      </c>
      <c r="BM325" t="s">
        <v>111</v>
      </c>
      <c r="BN325" t="s">
        <v>288</v>
      </c>
      <c r="BO325" t="s">
        <v>111</v>
      </c>
      <c r="BP325" t="s">
        <v>111</v>
      </c>
      <c r="BQ325" t="s">
        <v>111</v>
      </c>
      <c r="BR325" t="s">
        <v>271</v>
      </c>
      <c r="BS325" t="s">
        <v>111</v>
      </c>
      <c r="BT325" t="s">
        <v>111</v>
      </c>
      <c r="BU325" t="s">
        <v>111</v>
      </c>
      <c r="BV325" t="s">
        <v>111</v>
      </c>
      <c r="BW325" t="s">
        <v>111</v>
      </c>
      <c r="BX325" t="s">
        <v>111</v>
      </c>
      <c r="BY325" t="s">
        <v>111</v>
      </c>
      <c r="BZ325" t="s">
        <v>111</v>
      </c>
      <c r="CA325" t="s">
        <v>111</v>
      </c>
      <c r="CB325" t="s">
        <v>111</v>
      </c>
      <c r="CC325" t="s">
        <v>111</v>
      </c>
      <c r="CD325" t="s">
        <v>111</v>
      </c>
      <c r="CE325" t="s">
        <v>111</v>
      </c>
      <c r="CF325" t="s">
        <v>111</v>
      </c>
      <c r="CG325" t="s">
        <v>111</v>
      </c>
      <c r="CH325" t="s">
        <v>111</v>
      </c>
      <c r="CI325" t="s">
        <v>111</v>
      </c>
      <c r="CJ325" t="s">
        <v>111</v>
      </c>
      <c r="CK325" t="s">
        <v>111</v>
      </c>
      <c r="CL325" t="e">
        <f>-DESTINO SELLADO</f>
        <v>#NAME?</v>
      </c>
      <c r="CM325" t="s">
        <v>135</v>
      </c>
      <c r="CN325" t="s">
        <v>128</v>
      </c>
      <c r="CO325" t="s">
        <v>111</v>
      </c>
      <c r="CP325" t="e">
        <f>-MUESTRA</f>
        <v>#NAME?</v>
      </c>
      <c r="CQ325">
        <v>42</v>
      </c>
      <c r="CR325">
        <v>1000</v>
      </c>
      <c r="CS325">
        <v>50</v>
      </c>
      <c r="CT325" s="1" t="s">
        <v>1243</v>
      </c>
      <c r="CU325">
        <v>0</v>
      </c>
      <c r="CV325" t="s">
        <v>111</v>
      </c>
      <c r="CW325" t="s">
        <v>111</v>
      </c>
      <c r="CX325" t="s">
        <v>111</v>
      </c>
      <c r="CY325">
        <v>0</v>
      </c>
      <c r="CZ325" t="s">
        <v>111</v>
      </c>
      <c r="DA325" t="s">
        <v>111</v>
      </c>
      <c r="DB325" t="s">
        <v>111</v>
      </c>
      <c r="DC325" t="s">
        <v>111</v>
      </c>
    </row>
    <row r="326" spans="1:107">
      <c r="A326">
        <v>932</v>
      </c>
      <c r="B326" t="s">
        <v>107</v>
      </c>
      <c r="C326" t="s">
        <v>793</v>
      </c>
      <c r="D326" t="s">
        <v>1244</v>
      </c>
      <c r="E326" t="s">
        <v>1245</v>
      </c>
      <c r="F326" t="s">
        <v>157</v>
      </c>
      <c r="G326" t="s">
        <v>469</v>
      </c>
      <c r="H326">
        <v>2</v>
      </c>
      <c r="I326">
        <v>19.5</v>
      </c>
      <c r="J326">
        <v>7</v>
      </c>
      <c r="K326">
        <v>7</v>
      </c>
      <c r="L326" t="s">
        <v>112</v>
      </c>
      <c r="M326" t="s">
        <v>111</v>
      </c>
      <c r="N326">
        <v>0</v>
      </c>
      <c r="O326">
        <v>0</v>
      </c>
      <c r="P326" t="s">
        <v>111</v>
      </c>
      <c r="Q326">
        <v>27.5</v>
      </c>
      <c r="R326">
        <v>0</v>
      </c>
      <c r="S326">
        <v>0</v>
      </c>
      <c r="T326">
        <v>0</v>
      </c>
      <c r="U326" s="1" t="s">
        <v>1246</v>
      </c>
      <c r="V326">
        <v>0</v>
      </c>
      <c r="W326">
        <v>25</v>
      </c>
      <c r="X326">
        <v>8</v>
      </c>
      <c r="Y326">
        <v>0</v>
      </c>
      <c r="Z326" t="s">
        <v>111</v>
      </c>
      <c r="AA326">
        <v>0</v>
      </c>
      <c r="AB326" t="s">
        <v>111</v>
      </c>
      <c r="AC326">
        <v>0</v>
      </c>
      <c r="AD326" t="s">
        <v>111</v>
      </c>
      <c r="AE326">
        <v>0</v>
      </c>
      <c r="AF326">
        <v>0</v>
      </c>
      <c r="AG326" t="s">
        <v>111</v>
      </c>
      <c r="AH326" t="s">
        <v>111</v>
      </c>
      <c r="AI326" t="s">
        <v>111</v>
      </c>
      <c r="AJ326" t="s">
        <v>111</v>
      </c>
      <c r="AK326" t="s">
        <v>111</v>
      </c>
      <c r="AL326" t="s">
        <v>111</v>
      </c>
      <c r="AM326">
        <v>0</v>
      </c>
      <c r="AN326">
        <v>0</v>
      </c>
      <c r="AO326">
        <v>0</v>
      </c>
      <c r="AP326" t="s">
        <v>111</v>
      </c>
      <c r="AQ326" t="s">
        <v>111</v>
      </c>
      <c r="AR326" t="s">
        <v>111</v>
      </c>
      <c r="AS326" t="s">
        <v>111</v>
      </c>
      <c r="AT326" t="s">
        <v>111</v>
      </c>
      <c r="AU326" t="s">
        <v>111</v>
      </c>
      <c r="AV326" t="s">
        <v>111</v>
      </c>
      <c r="AW326" t="s">
        <v>111</v>
      </c>
      <c r="AX326" t="s">
        <v>111</v>
      </c>
      <c r="AY326" t="s">
        <v>111</v>
      </c>
      <c r="AZ326" t="s">
        <v>111</v>
      </c>
      <c r="BA326" t="s">
        <v>111</v>
      </c>
      <c r="BB326" t="s">
        <v>111</v>
      </c>
      <c r="BC326" t="s">
        <v>111</v>
      </c>
      <c r="BD326" t="s">
        <v>111</v>
      </c>
      <c r="BE326" t="s">
        <v>111</v>
      </c>
      <c r="BF326" t="s">
        <v>111</v>
      </c>
      <c r="BG326" t="s">
        <v>111</v>
      </c>
      <c r="BH326" t="s">
        <v>111</v>
      </c>
      <c r="BI326" t="s">
        <v>111</v>
      </c>
      <c r="BJ326" t="s">
        <v>111</v>
      </c>
      <c r="BK326" t="s">
        <v>111</v>
      </c>
      <c r="BL326" t="s">
        <v>111</v>
      </c>
      <c r="BM326" t="s">
        <v>111</v>
      </c>
      <c r="BN326" t="s">
        <v>111</v>
      </c>
      <c r="BO326" t="s">
        <v>111</v>
      </c>
      <c r="BP326" t="s">
        <v>111</v>
      </c>
      <c r="BQ326" t="s">
        <v>111</v>
      </c>
      <c r="BR326" t="s">
        <v>111</v>
      </c>
      <c r="BS326" t="s">
        <v>111</v>
      </c>
      <c r="BT326" t="s">
        <v>111</v>
      </c>
      <c r="BU326" t="s">
        <v>111</v>
      </c>
      <c r="BV326" t="s">
        <v>111</v>
      </c>
      <c r="BW326" t="s">
        <v>111</v>
      </c>
      <c r="BX326" t="s">
        <v>111</v>
      </c>
      <c r="BY326" t="s">
        <v>111</v>
      </c>
      <c r="BZ326" t="s">
        <v>111</v>
      </c>
      <c r="CA326" t="s">
        <v>111</v>
      </c>
      <c r="CB326" t="s">
        <v>111</v>
      </c>
      <c r="CC326" t="s">
        <v>111</v>
      </c>
      <c r="CD326" t="s">
        <v>111</v>
      </c>
      <c r="CE326" t="s">
        <v>111</v>
      </c>
      <c r="CF326" t="s">
        <v>111</v>
      </c>
      <c r="CG326" t="s">
        <v>111</v>
      </c>
      <c r="CH326" t="s">
        <v>111</v>
      </c>
      <c r="CI326" t="s">
        <v>111</v>
      </c>
      <c r="CJ326" t="s">
        <v>111</v>
      </c>
      <c r="CK326" t="s">
        <v>111</v>
      </c>
      <c r="CL326" t="s">
        <v>111</v>
      </c>
      <c r="CM326" t="s">
        <v>135</v>
      </c>
      <c r="CN326" t="s">
        <v>128</v>
      </c>
      <c r="CO326" t="s">
        <v>111</v>
      </c>
      <c r="CP326" t="s">
        <v>111</v>
      </c>
      <c r="CQ326">
        <v>0</v>
      </c>
      <c r="CR326">
        <v>1000</v>
      </c>
      <c r="CS326">
        <v>100</v>
      </c>
      <c r="CT326" s="1" t="s">
        <v>344</v>
      </c>
      <c r="CU326">
        <v>0</v>
      </c>
      <c r="CV326" t="s">
        <v>111</v>
      </c>
      <c r="CW326" t="s">
        <v>111</v>
      </c>
      <c r="CX326" t="s">
        <v>111</v>
      </c>
      <c r="CY326">
        <v>0</v>
      </c>
      <c r="CZ326" t="s">
        <v>111</v>
      </c>
      <c r="DA326" t="s">
        <v>111</v>
      </c>
      <c r="DB326" t="s">
        <v>111</v>
      </c>
      <c r="DC326" t="s">
        <v>111</v>
      </c>
    </row>
    <row r="327" spans="1:107">
      <c r="A327">
        <v>931</v>
      </c>
      <c r="B327" t="s">
        <v>107</v>
      </c>
      <c r="C327" t="s">
        <v>1176</v>
      </c>
      <c r="D327" t="s">
        <v>1247</v>
      </c>
      <c r="E327" t="s">
        <v>1248</v>
      </c>
      <c r="F327" t="s">
        <v>192</v>
      </c>
      <c r="G327" t="s">
        <v>469</v>
      </c>
      <c r="H327">
        <v>1.5</v>
      </c>
      <c r="I327">
        <v>68</v>
      </c>
      <c r="J327">
        <v>0</v>
      </c>
      <c r="K327">
        <v>0</v>
      </c>
      <c r="L327" t="s">
        <v>112</v>
      </c>
      <c r="M327" t="s">
        <v>111</v>
      </c>
      <c r="N327">
        <v>0</v>
      </c>
      <c r="O327">
        <v>0</v>
      </c>
      <c r="P327" t="s">
        <v>111</v>
      </c>
      <c r="Q327">
        <v>42</v>
      </c>
      <c r="R327">
        <v>0</v>
      </c>
      <c r="S327">
        <v>0</v>
      </c>
      <c r="T327">
        <v>3</v>
      </c>
      <c r="U327" t="s">
        <v>296</v>
      </c>
      <c r="V327">
        <v>0</v>
      </c>
      <c r="W327">
        <v>25</v>
      </c>
      <c r="X327">
        <v>7</v>
      </c>
      <c r="Y327">
        <v>0</v>
      </c>
      <c r="Z327" t="s">
        <v>111</v>
      </c>
      <c r="AA327">
        <v>0</v>
      </c>
      <c r="AB327" t="s">
        <v>111</v>
      </c>
      <c r="AC327">
        <v>0</v>
      </c>
      <c r="AD327" t="s">
        <v>111</v>
      </c>
      <c r="AE327">
        <v>0</v>
      </c>
      <c r="AF327">
        <v>0</v>
      </c>
      <c r="AG327" t="s">
        <v>111</v>
      </c>
      <c r="AH327" t="s">
        <v>111</v>
      </c>
      <c r="AI327" t="s">
        <v>111</v>
      </c>
      <c r="AJ327" t="s">
        <v>111</v>
      </c>
      <c r="AK327" t="s">
        <v>111</v>
      </c>
      <c r="AL327" t="s">
        <v>111</v>
      </c>
      <c r="AM327">
        <v>0</v>
      </c>
      <c r="AN327">
        <v>0</v>
      </c>
      <c r="AO327">
        <v>0</v>
      </c>
      <c r="AP327" t="s">
        <v>111</v>
      </c>
      <c r="AQ327" t="s">
        <v>111</v>
      </c>
      <c r="AR327" t="s">
        <v>111</v>
      </c>
      <c r="AS327" t="s">
        <v>111</v>
      </c>
      <c r="AT327" t="s">
        <v>111</v>
      </c>
      <c r="AU327" t="s">
        <v>111</v>
      </c>
      <c r="AV327" t="s">
        <v>111</v>
      </c>
      <c r="AW327" t="s">
        <v>111</v>
      </c>
      <c r="AX327" t="s">
        <v>111</v>
      </c>
      <c r="AY327" t="s">
        <v>111</v>
      </c>
      <c r="AZ327" t="s">
        <v>111</v>
      </c>
      <c r="BA327" t="s">
        <v>111</v>
      </c>
      <c r="BB327" t="s">
        <v>111</v>
      </c>
      <c r="BC327" t="s">
        <v>111</v>
      </c>
      <c r="BD327" t="s">
        <v>111</v>
      </c>
      <c r="BE327" t="s">
        <v>111</v>
      </c>
      <c r="BF327" t="s">
        <v>111</v>
      </c>
      <c r="BG327" t="s">
        <v>111</v>
      </c>
      <c r="BH327" t="s">
        <v>111</v>
      </c>
      <c r="BI327" t="s">
        <v>111</v>
      </c>
      <c r="BJ327" t="s">
        <v>111</v>
      </c>
      <c r="BK327" t="s">
        <v>111</v>
      </c>
      <c r="BL327" t="s">
        <v>111</v>
      </c>
      <c r="BM327" t="s">
        <v>111</v>
      </c>
      <c r="BN327" t="s">
        <v>111</v>
      </c>
      <c r="BO327" t="s">
        <v>111</v>
      </c>
      <c r="BP327" t="s">
        <v>111</v>
      </c>
      <c r="BQ327" t="s">
        <v>111</v>
      </c>
      <c r="BR327" t="s">
        <v>111</v>
      </c>
      <c r="BS327" t="s">
        <v>111</v>
      </c>
      <c r="BT327" t="s">
        <v>111</v>
      </c>
      <c r="BU327" t="s">
        <v>111</v>
      </c>
      <c r="BV327" t="s">
        <v>111</v>
      </c>
      <c r="BW327" t="s">
        <v>111</v>
      </c>
      <c r="BX327" t="s">
        <v>111</v>
      </c>
      <c r="BY327" t="s">
        <v>111</v>
      </c>
      <c r="BZ327" t="s">
        <v>111</v>
      </c>
      <c r="CA327" t="s">
        <v>111</v>
      </c>
      <c r="CB327" t="s">
        <v>111</v>
      </c>
      <c r="CC327" t="s">
        <v>111</v>
      </c>
      <c r="CD327" t="s">
        <v>111</v>
      </c>
      <c r="CE327" t="s">
        <v>111</v>
      </c>
      <c r="CF327" t="s">
        <v>111</v>
      </c>
      <c r="CG327" t="s">
        <v>111</v>
      </c>
      <c r="CH327" t="s">
        <v>111</v>
      </c>
      <c r="CI327" t="s">
        <v>111</v>
      </c>
      <c r="CJ327" t="s">
        <v>111</v>
      </c>
      <c r="CK327" t="s">
        <v>111</v>
      </c>
      <c r="CL327" t="s">
        <v>111</v>
      </c>
      <c r="CM327" t="s">
        <v>135</v>
      </c>
      <c r="CN327" t="s">
        <v>128</v>
      </c>
      <c r="CO327" t="s">
        <v>111</v>
      </c>
      <c r="CP327" t="s">
        <v>111</v>
      </c>
      <c r="CQ327">
        <v>0</v>
      </c>
      <c r="CR327">
        <v>1000</v>
      </c>
      <c r="CS327">
        <v>100</v>
      </c>
      <c r="CT327" s="1" t="s">
        <v>1249</v>
      </c>
      <c r="CU327">
        <v>0</v>
      </c>
      <c r="CV327" t="s">
        <v>111</v>
      </c>
      <c r="CW327" t="s">
        <v>111</v>
      </c>
      <c r="CX327" t="s">
        <v>111</v>
      </c>
      <c r="CY327">
        <v>0</v>
      </c>
      <c r="CZ327" t="s">
        <v>111</v>
      </c>
      <c r="DA327" t="s">
        <v>111</v>
      </c>
      <c r="DB327" t="s">
        <v>204</v>
      </c>
      <c r="DC327" s="1" t="s">
        <v>1250</v>
      </c>
    </row>
    <row r="328" spans="1:107">
      <c r="A328">
        <v>930</v>
      </c>
      <c r="B328" t="s">
        <v>107</v>
      </c>
      <c r="C328" t="s">
        <v>1251</v>
      </c>
      <c r="D328" t="s">
        <v>1252</v>
      </c>
      <c r="E328" t="s">
        <v>1253</v>
      </c>
      <c r="F328" t="s">
        <v>561</v>
      </c>
      <c r="G328" t="s">
        <v>469</v>
      </c>
      <c r="H328">
        <v>3.4</v>
      </c>
      <c r="I328">
        <v>53</v>
      </c>
      <c r="J328">
        <v>0</v>
      </c>
      <c r="K328">
        <v>0</v>
      </c>
      <c r="L328" t="s">
        <v>112</v>
      </c>
      <c r="M328" t="s">
        <v>118</v>
      </c>
      <c r="N328">
        <v>40</v>
      </c>
      <c r="O328">
        <v>1</v>
      </c>
      <c r="P328" t="s">
        <v>138</v>
      </c>
      <c r="Q328">
        <v>52.4</v>
      </c>
      <c r="R328">
        <v>0</v>
      </c>
      <c r="S328">
        <v>0</v>
      </c>
      <c r="T328">
        <v>8</v>
      </c>
      <c r="U328" s="1" t="s">
        <v>1254</v>
      </c>
      <c r="V328">
        <v>25</v>
      </c>
      <c r="W328">
        <v>0</v>
      </c>
      <c r="X328">
        <v>5</v>
      </c>
      <c r="Y328">
        <v>0</v>
      </c>
      <c r="Z328" t="s">
        <v>134</v>
      </c>
      <c r="AA328">
        <v>3</v>
      </c>
      <c r="AB328" t="s">
        <v>1255</v>
      </c>
      <c r="AC328">
        <v>5</v>
      </c>
      <c r="AD328" t="s">
        <v>416</v>
      </c>
      <c r="AE328">
        <v>1</v>
      </c>
      <c r="AF328">
        <v>1</v>
      </c>
      <c r="AG328" t="s">
        <v>1256</v>
      </c>
      <c r="AH328" t="s">
        <v>128</v>
      </c>
      <c r="AI328" t="s">
        <v>1098</v>
      </c>
      <c r="AJ328" t="s">
        <v>111</v>
      </c>
      <c r="AK328" t="s">
        <v>111</v>
      </c>
      <c r="AL328" t="s">
        <v>111</v>
      </c>
      <c r="AM328">
        <v>0</v>
      </c>
      <c r="AN328">
        <v>0</v>
      </c>
      <c r="AO328">
        <v>0</v>
      </c>
      <c r="AP328" t="s">
        <v>188</v>
      </c>
      <c r="AQ328" t="s">
        <v>111</v>
      </c>
      <c r="AR328" t="s">
        <v>111</v>
      </c>
      <c r="AS328" t="s">
        <v>111</v>
      </c>
      <c r="AT328" t="s">
        <v>111</v>
      </c>
      <c r="AU328" t="s">
        <v>111</v>
      </c>
      <c r="AV328" t="s">
        <v>111</v>
      </c>
      <c r="AW328" t="s">
        <v>111</v>
      </c>
      <c r="AX328" t="s">
        <v>111</v>
      </c>
      <c r="AY328" t="s">
        <v>111</v>
      </c>
      <c r="AZ328" t="s">
        <v>111</v>
      </c>
      <c r="BA328" t="s">
        <v>111</v>
      </c>
      <c r="BB328" t="s">
        <v>111</v>
      </c>
      <c r="BC328" t="s">
        <v>111</v>
      </c>
      <c r="BD328" t="s">
        <v>111</v>
      </c>
      <c r="BE328" t="s">
        <v>111</v>
      </c>
      <c r="BF328" t="s">
        <v>111</v>
      </c>
      <c r="BG328" t="s">
        <v>111</v>
      </c>
      <c r="BH328" t="s">
        <v>111</v>
      </c>
      <c r="BI328" t="s">
        <v>111</v>
      </c>
      <c r="BJ328" t="s">
        <v>111</v>
      </c>
      <c r="BK328" t="s">
        <v>111</v>
      </c>
      <c r="BL328" t="s">
        <v>111</v>
      </c>
      <c r="BM328" t="s">
        <v>111</v>
      </c>
      <c r="BN328" t="s">
        <v>111</v>
      </c>
      <c r="BO328" t="s">
        <v>111</v>
      </c>
      <c r="BP328" t="s">
        <v>111</v>
      </c>
      <c r="BQ328" t="s">
        <v>111</v>
      </c>
      <c r="BR328" t="s">
        <v>111</v>
      </c>
      <c r="BS328" t="s">
        <v>111</v>
      </c>
      <c r="BT328" t="s">
        <v>111</v>
      </c>
      <c r="BU328" t="s">
        <v>111</v>
      </c>
      <c r="BV328" t="s">
        <v>111</v>
      </c>
      <c r="BW328" t="s">
        <v>111</v>
      </c>
      <c r="BX328" t="s">
        <v>111</v>
      </c>
      <c r="BY328" t="s">
        <v>111</v>
      </c>
      <c r="BZ328" t="s">
        <v>111</v>
      </c>
      <c r="CA328" t="s">
        <v>111</v>
      </c>
      <c r="CB328" t="s">
        <v>111</v>
      </c>
      <c r="CC328" t="s">
        <v>111</v>
      </c>
      <c r="CD328" t="s">
        <v>111</v>
      </c>
      <c r="CE328" t="s">
        <v>111</v>
      </c>
      <c r="CF328" t="s">
        <v>111</v>
      </c>
      <c r="CG328" t="s">
        <v>111</v>
      </c>
      <c r="CH328" t="s">
        <v>111</v>
      </c>
      <c r="CI328" t="s">
        <v>111</v>
      </c>
      <c r="CJ328" t="s">
        <v>111</v>
      </c>
      <c r="CK328" t="s">
        <v>111</v>
      </c>
      <c r="CL328" t="e">
        <f>-DESTINO SELLADO</f>
        <v>#NAME?</v>
      </c>
      <c r="CM328" t="s">
        <v>135</v>
      </c>
      <c r="CN328" t="s">
        <v>128</v>
      </c>
      <c r="CO328" t="s">
        <v>111</v>
      </c>
      <c r="CP328" t="s">
        <v>563</v>
      </c>
      <c r="CQ328">
        <v>22</v>
      </c>
      <c r="CR328">
        <v>300</v>
      </c>
      <c r="CS328">
        <v>25</v>
      </c>
      <c r="CT328" s="1" t="s">
        <v>1104</v>
      </c>
      <c r="CU328">
        <v>0</v>
      </c>
      <c r="CV328" t="s">
        <v>111</v>
      </c>
      <c r="CW328" t="s">
        <v>111</v>
      </c>
      <c r="CX328" t="s">
        <v>111</v>
      </c>
      <c r="CY328">
        <v>0</v>
      </c>
      <c r="CZ328" t="s">
        <v>111</v>
      </c>
      <c r="DA328" t="s">
        <v>111</v>
      </c>
      <c r="DB328" t="s">
        <v>111</v>
      </c>
      <c r="DC328" t="s">
        <v>111</v>
      </c>
    </row>
    <row r="329" spans="1:107">
      <c r="A329">
        <v>906</v>
      </c>
      <c r="B329" t="s">
        <v>107</v>
      </c>
      <c r="C329" t="s">
        <v>1257</v>
      </c>
      <c r="D329" t="s">
        <v>1258</v>
      </c>
      <c r="E329" t="s">
        <v>1259</v>
      </c>
      <c r="F329" t="s">
        <v>1260</v>
      </c>
      <c r="G329" t="s">
        <v>469</v>
      </c>
      <c r="H329">
        <v>2</v>
      </c>
      <c r="I329">
        <v>40</v>
      </c>
      <c r="J329">
        <v>0</v>
      </c>
      <c r="K329">
        <v>0</v>
      </c>
      <c r="L329" t="s">
        <v>117</v>
      </c>
      <c r="M329" t="s">
        <v>118</v>
      </c>
      <c r="N329">
        <v>39</v>
      </c>
      <c r="O329">
        <v>1</v>
      </c>
      <c r="P329" t="s">
        <v>138</v>
      </c>
      <c r="Q329">
        <v>35</v>
      </c>
      <c r="R329">
        <v>0</v>
      </c>
      <c r="S329">
        <v>0</v>
      </c>
      <c r="T329">
        <v>0</v>
      </c>
      <c r="U329" s="1" t="s">
        <v>1261</v>
      </c>
      <c r="V329">
        <v>0</v>
      </c>
      <c r="W329">
        <v>0</v>
      </c>
      <c r="X329">
        <v>0</v>
      </c>
      <c r="Y329">
        <v>25</v>
      </c>
      <c r="Z329" t="s">
        <v>111</v>
      </c>
      <c r="AA329">
        <v>0</v>
      </c>
      <c r="AB329" t="s">
        <v>111</v>
      </c>
      <c r="AC329">
        <v>0</v>
      </c>
      <c r="AD329" t="s">
        <v>416</v>
      </c>
      <c r="AE329">
        <v>0</v>
      </c>
      <c r="AF329">
        <v>0</v>
      </c>
      <c r="AG329" t="s">
        <v>1262</v>
      </c>
      <c r="AH329" t="s">
        <v>113</v>
      </c>
      <c r="AI329" t="s">
        <v>1263</v>
      </c>
      <c r="AJ329" t="s">
        <v>111</v>
      </c>
      <c r="AK329" t="s">
        <v>111</v>
      </c>
      <c r="AL329" t="s">
        <v>111</v>
      </c>
      <c r="AM329">
        <v>0</v>
      </c>
      <c r="AN329">
        <v>0</v>
      </c>
      <c r="AO329">
        <v>0</v>
      </c>
      <c r="AP329" t="s">
        <v>111</v>
      </c>
      <c r="AQ329" t="s">
        <v>111</v>
      </c>
      <c r="AR329" t="s">
        <v>111</v>
      </c>
      <c r="AS329" t="s">
        <v>111</v>
      </c>
      <c r="AT329" t="s">
        <v>111</v>
      </c>
      <c r="AU329" t="s">
        <v>111</v>
      </c>
      <c r="AV329" t="s">
        <v>111</v>
      </c>
      <c r="AW329" t="s">
        <v>111</v>
      </c>
      <c r="AX329" t="s">
        <v>111</v>
      </c>
      <c r="AY329" t="s">
        <v>111</v>
      </c>
      <c r="AZ329" t="s">
        <v>111</v>
      </c>
      <c r="BA329" t="s">
        <v>111</v>
      </c>
      <c r="BB329" t="s">
        <v>111</v>
      </c>
      <c r="BC329" t="s">
        <v>111</v>
      </c>
      <c r="BD329" t="s">
        <v>111</v>
      </c>
      <c r="BE329" t="s">
        <v>111</v>
      </c>
      <c r="BF329" t="s">
        <v>111</v>
      </c>
      <c r="BG329" t="s">
        <v>111</v>
      </c>
      <c r="BH329" t="s">
        <v>111</v>
      </c>
      <c r="BI329" t="s">
        <v>111</v>
      </c>
      <c r="BJ329" t="s">
        <v>111</v>
      </c>
      <c r="BK329" t="s">
        <v>111</v>
      </c>
      <c r="BL329" t="s">
        <v>111</v>
      </c>
      <c r="BM329" t="s">
        <v>111</v>
      </c>
      <c r="BN329" t="s">
        <v>111</v>
      </c>
      <c r="BO329" t="s">
        <v>111</v>
      </c>
      <c r="BP329" t="s">
        <v>111</v>
      </c>
      <c r="BQ329" t="s">
        <v>111</v>
      </c>
      <c r="BR329" t="s">
        <v>111</v>
      </c>
      <c r="BS329" t="s">
        <v>111</v>
      </c>
      <c r="BT329" t="s">
        <v>111</v>
      </c>
      <c r="BU329" t="s">
        <v>111</v>
      </c>
      <c r="BV329" t="s">
        <v>111</v>
      </c>
      <c r="BW329" t="s">
        <v>111</v>
      </c>
      <c r="BX329" t="s">
        <v>111</v>
      </c>
      <c r="BY329" t="s">
        <v>111</v>
      </c>
      <c r="BZ329" t="s">
        <v>111</v>
      </c>
      <c r="CA329" t="s">
        <v>111</v>
      </c>
      <c r="CB329" t="s">
        <v>111</v>
      </c>
      <c r="CC329" t="s">
        <v>111</v>
      </c>
      <c r="CD329" t="s">
        <v>111</v>
      </c>
      <c r="CE329" t="s">
        <v>111</v>
      </c>
      <c r="CF329" t="s">
        <v>111</v>
      </c>
      <c r="CG329" t="s">
        <v>111</v>
      </c>
      <c r="CH329" t="s">
        <v>111</v>
      </c>
      <c r="CI329" t="s">
        <v>111</v>
      </c>
      <c r="CJ329" t="s">
        <v>111</v>
      </c>
      <c r="CK329" t="s">
        <v>111</v>
      </c>
      <c r="CL329" t="e">
        <f>-DESTINO SELLADO</f>
        <v>#NAME?</v>
      </c>
      <c r="CM329" t="s">
        <v>135</v>
      </c>
      <c r="CN329" t="s">
        <v>113</v>
      </c>
      <c r="CO329" t="s">
        <v>637</v>
      </c>
      <c r="CP329" t="s">
        <v>111</v>
      </c>
      <c r="CQ329">
        <v>0</v>
      </c>
      <c r="CR329">
        <v>12000</v>
      </c>
      <c r="CS329">
        <v>500</v>
      </c>
      <c r="CT329" s="1" t="s">
        <v>1264</v>
      </c>
      <c r="CU329">
        <v>0</v>
      </c>
      <c r="CV329" t="s">
        <v>111</v>
      </c>
      <c r="CW329" t="s">
        <v>111</v>
      </c>
      <c r="CX329" t="s">
        <v>111</v>
      </c>
      <c r="CY329">
        <v>0</v>
      </c>
      <c r="CZ329" t="s">
        <v>111</v>
      </c>
      <c r="DA329" t="s">
        <v>111</v>
      </c>
      <c r="DB329" t="s">
        <v>111</v>
      </c>
      <c r="DC329" t="s">
        <v>111</v>
      </c>
    </row>
    <row r="330" spans="1:107">
      <c r="A330">
        <v>905</v>
      </c>
      <c r="B330" t="s">
        <v>107</v>
      </c>
      <c r="C330" t="s">
        <v>428</v>
      </c>
      <c r="D330" t="s">
        <v>1265</v>
      </c>
      <c r="E330" t="s">
        <v>1266</v>
      </c>
      <c r="F330" t="s">
        <v>431</v>
      </c>
      <c r="G330" t="s">
        <v>469</v>
      </c>
      <c r="H330">
        <v>0.9</v>
      </c>
      <c r="I330">
        <v>30.5</v>
      </c>
      <c r="J330">
        <v>0</v>
      </c>
      <c r="K330">
        <v>0</v>
      </c>
      <c r="L330" t="s">
        <v>112</v>
      </c>
      <c r="M330" t="s">
        <v>118</v>
      </c>
      <c r="N330">
        <v>38</v>
      </c>
      <c r="O330">
        <v>2</v>
      </c>
      <c r="P330" t="s">
        <v>138</v>
      </c>
      <c r="Q330">
        <v>27.5</v>
      </c>
      <c r="R330">
        <v>0</v>
      </c>
      <c r="S330">
        <v>0</v>
      </c>
      <c r="T330">
        <v>0</v>
      </c>
      <c r="U330" t="s">
        <v>501</v>
      </c>
      <c r="V330">
        <v>0</v>
      </c>
      <c r="W330">
        <v>25</v>
      </c>
      <c r="X330">
        <v>5</v>
      </c>
      <c r="Y330">
        <v>0</v>
      </c>
      <c r="Z330" t="s">
        <v>111</v>
      </c>
      <c r="AA330">
        <v>0</v>
      </c>
      <c r="AB330" t="s">
        <v>111</v>
      </c>
      <c r="AC330">
        <v>0</v>
      </c>
      <c r="AD330" t="s">
        <v>416</v>
      </c>
      <c r="AE330">
        <v>2</v>
      </c>
      <c r="AF330">
        <v>2</v>
      </c>
      <c r="AG330" t="s">
        <v>1267</v>
      </c>
      <c r="AH330" t="s">
        <v>113</v>
      </c>
      <c r="AI330" t="s">
        <v>1268</v>
      </c>
      <c r="AJ330" t="s">
        <v>111</v>
      </c>
      <c r="AK330" t="s">
        <v>111</v>
      </c>
      <c r="AL330" t="s">
        <v>111</v>
      </c>
      <c r="AM330">
        <v>0</v>
      </c>
      <c r="AN330">
        <v>0</v>
      </c>
      <c r="AO330">
        <v>0</v>
      </c>
      <c r="AP330" t="s">
        <v>288</v>
      </c>
      <c r="AQ330" t="s">
        <v>111</v>
      </c>
      <c r="AR330" t="s">
        <v>111</v>
      </c>
      <c r="AS330" t="s">
        <v>111</v>
      </c>
      <c r="AT330" t="s">
        <v>259</v>
      </c>
      <c r="AU330" t="s">
        <v>111</v>
      </c>
      <c r="AV330" t="s">
        <v>111</v>
      </c>
      <c r="AW330" t="s">
        <v>111</v>
      </c>
      <c r="AX330" t="s">
        <v>111</v>
      </c>
      <c r="AY330" t="s">
        <v>111</v>
      </c>
      <c r="AZ330" t="s">
        <v>111</v>
      </c>
      <c r="BA330" t="s">
        <v>111</v>
      </c>
      <c r="BB330" t="s">
        <v>111</v>
      </c>
      <c r="BC330" t="s">
        <v>111</v>
      </c>
      <c r="BD330" t="s">
        <v>111</v>
      </c>
      <c r="BE330" t="s">
        <v>111</v>
      </c>
      <c r="BF330" t="s">
        <v>111</v>
      </c>
      <c r="BG330" t="s">
        <v>111</v>
      </c>
      <c r="BH330" t="s">
        <v>111</v>
      </c>
      <c r="BI330" t="s">
        <v>111</v>
      </c>
      <c r="BJ330" t="s">
        <v>111</v>
      </c>
      <c r="BK330" t="s">
        <v>111</v>
      </c>
      <c r="BL330" t="s">
        <v>111</v>
      </c>
      <c r="BM330" t="s">
        <v>111</v>
      </c>
      <c r="BN330" t="s">
        <v>259</v>
      </c>
      <c r="BO330" t="s">
        <v>111</v>
      </c>
      <c r="BP330" t="s">
        <v>111</v>
      </c>
      <c r="BQ330" t="s">
        <v>111</v>
      </c>
      <c r="BR330" t="s">
        <v>111</v>
      </c>
      <c r="BS330" t="s">
        <v>111</v>
      </c>
      <c r="BT330" t="s">
        <v>111</v>
      </c>
      <c r="BU330" t="s">
        <v>111</v>
      </c>
      <c r="BV330" t="s">
        <v>111</v>
      </c>
      <c r="BW330" t="s">
        <v>111</v>
      </c>
      <c r="BX330" t="s">
        <v>111</v>
      </c>
      <c r="BY330" t="s">
        <v>111</v>
      </c>
      <c r="BZ330" t="s">
        <v>111</v>
      </c>
      <c r="CA330" t="s">
        <v>111</v>
      </c>
      <c r="CB330" t="s">
        <v>111</v>
      </c>
      <c r="CC330" t="s">
        <v>111</v>
      </c>
      <c r="CD330" t="s">
        <v>111</v>
      </c>
      <c r="CE330" t="s">
        <v>111</v>
      </c>
      <c r="CF330" t="s">
        <v>111</v>
      </c>
      <c r="CG330" t="s">
        <v>111</v>
      </c>
      <c r="CH330" t="s">
        <v>111</v>
      </c>
      <c r="CI330" t="s">
        <v>111</v>
      </c>
      <c r="CJ330" t="s">
        <v>111</v>
      </c>
      <c r="CK330" t="s">
        <v>111</v>
      </c>
      <c r="CL330" s="1" t="s">
        <v>494</v>
      </c>
      <c r="CM330" t="s">
        <v>438</v>
      </c>
      <c r="CN330" t="s">
        <v>113</v>
      </c>
      <c r="CO330" t="s">
        <v>111</v>
      </c>
      <c r="CP330" t="e">
        <f>-MUESTRA</f>
        <v>#NAME?</v>
      </c>
      <c r="CQ330">
        <v>77</v>
      </c>
      <c r="CR330">
        <v>3000</v>
      </c>
      <c r="CS330">
        <v>200</v>
      </c>
      <c r="CT330" t="s">
        <v>1269</v>
      </c>
      <c r="CU330">
        <v>0</v>
      </c>
      <c r="CV330" t="s">
        <v>111</v>
      </c>
      <c r="CW330" t="s">
        <v>111</v>
      </c>
      <c r="CX330" t="s">
        <v>111</v>
      </c>
      <c r="CY330">
        <v>0</v>
      </c>
      <c r="CZ330" t="s">
        <v>111</v>
      </c>
      <c r="DA330" t="s">
        <v>111</v>
      </c>
      <c r="DB330" t="s">
        <v>111</v>
      </c>
      <c r="DC330" t="s">
        <v>111</v>
      </c>
    </row>
    <row r="331" spans="1:107">
      <c r="A331">
        <v>904</v>
      </c>
      <c r="B331" t="s">
        <v>107</v>
      </c>
      <c r="C331" t="s">
        <v>428</v>
      </c>
      <c r="D331" t="s">
        <v>1270</v>
      </c>
      <c r="E331" t="s">
        <v>1271</v>
      </c>
      <c r="F331" t="s">
        <v>192</v>
      </c>
      <c r="G331" t="s">
        <v>469</v>
      </c>
      <c r="H331">
        <v>1</v>
      </c>
      <c r="I331">
        <v>56</v>
      </c>
      <c r="J331">
        <v>0</v>
      </c>
      <c r="K331">
        <v>0</v>
      </c>
      <c r="L331" t="s">
        <v>112</v>
      </c>
      <c r="M331" t="s">
        <v>138</v>
      </c>
      <c r="N331">
        <v>0</v>
      </c>
      <c r="O331">
        <v>0</v>
      </c>
      <c r="P331" t="s">
        <v>138</v>
      </c>
      <c r="Q331">
        <v>50</v>
      </c>
      <c r="R331">
        <v>0</v>
      </c>
      <c r="S331">
        <v>0</v>
      </c>
      <c r="T331">
        <v>0</v>
      </c>
      <c r="U331" s="1" t="s">
        <v>1272</v>
      </c>
      <c r="V331">
        <v>0</v>
      </c>
      <c r="W331">
        <v>25</v>
      </c>
      <c r="X331">
        <v>5</v>
      </c>
      <c r="Y331">
        <v>0</v>
      </c>
      <c r="Z331" t="s">
        <v>111</v>
      </c>
      <c r="AA331">
        <v>0</v>
      </c>
      <c r="AB331" t="s">
        <v>111</v>
      </c>
      <c r="AC331">
        <v>0</v>
      </c>
      <c r="AD331" t="s">
        <v>111</v>
      </c>
      <c r="AE331">
        <v>0</v>
      </c>
      <c r="AF331">
        <v>0</v>
      </c>
      <c r="AG331" t="s">
        <v>111</v>
      </c>
      <c r="AH331" t="s">
        <v>111</v>
      </c>
      <c r="AI331" t="s">
        <v>111</v>
      </c>
      <c r="AJ331" t="s">
        <v>111</v>
      </c>
      <c r="AK331" t="s">
        <v>111</v>
      </c>
      <c r="AL331" t="s">
        <v>111</v>
      </c>
      <c r="AM331">
        <v>0</v>
      </c>
      <c r="AN331">
        <v>0</v>
      </c>
      <c r="AO331">
        <v>0</v>
      </c>
      <c r="AP331" t="s">
        <v>111</v>
      </c>
      <c r="AQ331" t="s">
        <v>111</v>
      </c>
      <c r="AR331" t="s">
        <v>111</v>
      </c>
      <c r="AS331" t="s">
        <v>111</v>
      </c>
      <c r="AT331" t="s">
        <v>111</v>
      </c>
      <c r="AU331" t="s">
        <v>111</v>
      </c>
      <c r="AV331" t="s">
        <v>111</v>
      </c>
      <c r="AW331" t="s">
        <v>111</v>
      </c>
      <c r="AX331" t="s">
        <v>111</v>
      </c>
      <c r="AY331" t="s">
        <v>111</v>
      </c>
      <c r="AZ331" t="s">
        <v>111</v>
      </c>
      <c r="BA331" t="s">
        <v>111</v>
      </c>
      <c r="BB331" t="s">
        <v>111</v>
      </c>
      <c r="BC331" t="s">
        <v>111</v>
      </c>
      <c r="BD331" t="s">
        <v>111</v>
      </c>
      <c r="BE331" t="s">
        <v>111</v>
      </c>
      <c r="BF331" t="s">
        <v>111</v>
      </c>
      <c r="BG331" t="s">
        <v>111</v>
      </c>
      <c r="BH331" t="s">
        <v>111</v>
      </c>
      <c r="BI331" t="s">
        <v>111</v>
      </c>
      <c r="BJ331" t="s">
        <v>111</v>
      </c>
      <c r="BK331" t="s">
        <v>111</v>
      </c>
      <c r="BL331" t="s">
        <v>111</v>
      </c>
      <c r="BM331" t="s">
        <v>111</v>
      </c>
      <c r="BN331" t="s">
        <v>111</v>
      </c>
      <c r="BO331" t="s">
        <v>111</v>
      </c>
      <c r="BP331" t="s">
        <v>111</v>
      </c>
      <c r="BQ331" t="s">
        <v>111</v>
      </c>
      <c r="BR331" t="s">
        <v>111</v>
      </c>
      <c r="BS331" t="s">
        <v>111</v>
      </c>
      <c r="BT331" t="s">
        <v>111</v>
      </c>
      <c r="BU331" t="s">
        <v>111</v>
      </c>
      <c r="BV331" t="s">
        <v>111</v>
      </c>
      <c r="BW331" t="s">
        <v>111</v>
      </c>
      <c r="BX331" t="s">
        <v>111</v>
      </c>
      <c r="BY331" t="s">
        <v>111</v>
      </c>
      <c r="BZ331" t="s">
        <v>111</v>
      </c>
      <c r="CA331" t="s">
        <v>111</v>
      </c>
      <c r="CB331" t="s">
        <v>111</v>
      </c>
      <c r="CC331" t="s">
        <v>111</v>
      </c>
      <c r="CD331" t="s">
        <v>111</v>
      </c>
      <c r="CE331" t="s">
        <v>111</v>
      </c>
      <c r="CF331" t="s">
        <v>111</v>
      </c>
      <c r="CG331" t="s">
        <v>111</v>
      </c>
      <c r="CH331" t="s">
        <v>111</v>
      </c>
      <c r="CI331" t="s">
        <v>111</v>
      </c>
      <c r="CJ331" t="s">
        <v>111</v>
      </c>
      <c r="CK331" t="s">
        <v>111</v>
      </c>
      <c r="CL331" t="s">
        <v>111</v>
      </c>
      <c r="CM331" t="s">
        <v>135</v>
      </c>
      <c r="CN331" t="s">
        <v>113</v>
      </c>
      <c r="CO331" t="s">
        <v>111</v>
      </c>
      <c r="CP331" t="s">
        <v>111</v>
      </c>
      <c r="CQ331">
        <v>0</v>
      </c>
      <c r="CR331">
        <v>2000</v>
      </c>
      <c r="CS331">
        <v>100</v>
      </c>
      <c r="CT331" t="s">
        <v>394</v>
      </c>
      <c r="CU331">
        <v>0</v>
      </c>
      <c r="CV331" t="s">
        <v>111</v>
      </c>
      <c r="CW331" t="s">
        <v>111</v>
      </c>
      <c r="CX331" t="s">
        <v>111</v>
      </c>
      <c r="CY331">
        <v>0</v>
      </c>
      <c r="CZ331" t="s">
        <v>111</v>
      </c>
      <c r="DA331" t="s">
        <v>111</v>
      </c>
      <c r="DB331" t="s">
        <v>111</v>
      </c>
      <c r="DC331" t="s">
        <v>111</v>
      </c>
    </row>
    <row r="332" spans="1:107">
      <c r="A332">
        <v>903</v>
      </c>
      <c r="B332" t="s">
        <v>107</v>
      </c>
      <c r="C332" t="s">
        <v>1106</v>
      </c>
      <c r="D332" t="s">
        <v>1273</v>
      </c>
      <c r="E332" t="s">
        <v>210</v>
      </c>
      <c r="F332" t="s">
        <v>166</v>
      </c>
      <c r="G332" t="s">
        <v>469</v>
      </c>
      <c r="H332">
        <v>2</v>
      </c>
      <c r="I332">
        <v>77</v>
      </c>
      <c r="J332">
        <v>0</v>
      </c>
      <c r="K332">
        <v>0</v>
      </c>
      <c r="L332" t="s">
        <v>112</v>
      </c>
      <c r="M332" t="s">
        <v>138</v>
      </c>
      <c r="N332">
        <v>0</v>
      </c>
      <c r="O332">
        <v>0</v>
      </c>
      <c r="P332" t="s">
        <v>138</v>
      </c>
      <c r="Q332">
        <v>40</v>
      </c>
      <c r="R332">
        <v>0</v>
      </c>
      <c r="S332">
        <v>0</v>
      </c>
      <c r="T332">
        <v>0</v>
      </c>
      <c r="U332" t="s">
        <v>394</v>
      </c>
      <c r="V332">
        <v>0</v>
      </c>
      <c r="W332">
        <v>0</v>
      </c>
      <c r="X332">
        <v>1</v>
      </c>
      <c r="Y332">
        <v>0</v>
      </c>
      <c r="Z332" t="s">
        <v>327</v>
      </c>
      <c r="AA332">
        <v>2.5</v>
      </c>
      <c r="AB332" t="s">
        <v>265</v>
      </c>
      <c r="AC332">
        <v>250</v>
      </c>
      <c r="AD332" t="s">
        <v>111</v>
      </c>
      <c r="AE332">
        <v>0</v>
      </c>
      <c r="AF332">
        <v>0</v>
      </c>
      <c r="AG332" t="s">
        <v>111</v>
      </c>
      <c r="AH332" t="s">
        <v>111</v>
      </c>
      <c r="AI332" t="s">
        <v>111</v>
      </c>
      <c r="AJ332" t="s">
        <v>111</v>
      </c>
      <c r="AK332" t="s">
        <v>111</v>
      </c>
      <c r="AL332" t="s">
        <v>111</v>
      </c>
      <c r="AM332">
        <v>0</v>
      </c>
      <c r="AN332">
        <v>0</v>
      </c>
      <c r="AO332">
        <v>0</v>
      </c>
      <c r="AP332" t="s">
        <v>111</v>
      </c>
      <c r="AQ332" t="s">
        <v>111</v>
      </c>
      <c r="AR332" t="s">
        <v>111</v>
      </c>
      <c r="AS332" t="s">
        <v>111</v>
      </c>
      <c r="AT332" t="s">
        <v>111</v>
      </c>
      <c r="AU332" t="s">
        <v>111</v>
      </c>
      <c r="AV332" t="s">
        <v>111</v>
      </c>
      <c r="AW332" t="s">
        <v>111</v>
      </c>
      <c r="AX332" t="s">
        <v>111</v>
      </c>
      <c r="AY332" t="s">
        <v>111</v>
      </c>
      <c r="AZ332" t="s">
        <v>111</v>
      </c>
      <c r="BA332" t="s">
        <v>111</v>
      </c>
      <c r="BB332" t="s">
        <v>111</v>
      </c>
      <c r="BC332" t="s">
        <v>111</v>
      </c>
      <c r="BD332" t="s">
        <v>111</v>
      </c>
      <c r="BE332" t="s">
        <v>111</v>
      </c>
      <c r="BF332" t="s">
        <v>111</v>
      </c>
      <c r="BG332" t="s">
        <v>111</v>
      </c>
      <c r="BH332" t="s">
        <v>111</v>
      </c>
      <c r="BI332" t="s">
        <v>111</v>
      </c>
      <c r="BJ332" t="s">
        <v>111</v>
      </c>
      <c r="BK332" t="s">
        <v>111</v>
      </c>
      <c r="BL332" t="s">
        <v>111</v>
      </c>
      <c r="BM332" t="s">
        <v>111</v>
      </c>
      <c r="BN332" t="s">
        <v>111</v>
      </c>
      <c r="BO332" t="s">
        <v>111</v>
      </c>
      <c r="BP332" t="s">
        <v>111</v>
      </c>
      <c r="BQ332" t="s">
        <v>111</v>
      </c>
      <c r="BR332" t="s">
        <v>111</v>
      </c>
      <c r="BS332" t="s">
        <v>111</v>
      </c>
      <c r="BT332" t="s">
        <v>111</v>
      </c>
      <c r="BU332" t="s">
        <v>111</v>
      </c>
      <c r="BV332" t="s">
        <v>111</v>
      </c>
      <c r="BW332" t="s">
        <v>111</v>
      </c>
      <c r="BX332" t="s">
        <v>111</v>
      </c>
      <c r="BY332" t="s">
        <v>111</v>
      </c>
      <c r="BZ332" t="s">
        <v>111</v>
      </c>
      <c r="CA332" t="s">
        <v>111</v>
      </c>
      <c r="CB332" t="s">
        <v>111</v>
      </c>
      <c r="CC332" t="s">
        <v>111</v>
      </c>
      <c r="CD332" t="s">
        <v>111</v>
      </c>
      <c r="CE332" t="s">
        <v>111</v>
      </c>
      <c r="CF332" t="s">
        <v>111</v>
      </c>
      <c r="CG332" t="s">
        <v>111</v>
      </c>
      <c r="CH332" t="s">
        <v>111</v>
      </c>
      <c r="CI332" t="s">
        <v>111</v>
      </c>
      <c r="CJ332" t="s">
        <v>111</v>
      </c>
      <c r="CK332" t="s">
        <v>111</v>
      </c>
      <c r="CL332" t="s">
        <v>111</v>
      </c>
      <c r="CM332" t="s">
        <v>111</v>
      </c>
      <c r="CN332" t="s">
        <v>111</v>
      </c>
      <c r="CO332" t="s">
        <v>111</v>
      </c>
      <c r="CP332" t="s">
        <v>111</v>
      </c>
      <c r="CQ332">
        <v>0</v>
      </c>
      <c r="CR332">
        <v>0</v>
      </c>
      <c r="CS332">
        <v>0</v>
      </c>
      <c r="CT332" t="s">
        <v>111</v>
      </c>
      <c r="CU332">
        <v>0</v>
      </c>
      <c r="CV332" t="s">
        <v>111</v>
      </c>
      <c r="CW332" t="s">
        <v>111</v>
      </c>
      <c r="CX332" t="s">
        <v>111</v>
      </c>
      <c r="CY332">
        <v>0</v>
      </c>
      <c r="CZ332" t="s">
        <v>111</v>
      </c>
      <c r="DA332" t="s">
        <v>111</v>
      </c>
      <c r="DB332" t="s">
        <v>111</v>
      </c>
      <c r="DC332" t="s">
        <v>111</v>
      </c>
    </row>
    <row r="333" spans="1:107">
      <c r="A333">
        <v>902</v>
      </c>
      <c r="B333" t="s">
        <v>107</v>
      </c>
      <c r="C333" t="s">
        <v>194</v>
      </c>
      <c r="D333" t="s">
        <v>1274</v>
      </c>
      <c r="E333" t="s">
        <v>1275</v>
      </c>
      <c r="F333" t="s">
        <v>125</v>
      </c>
      <c r="G333" t="s">
        <v>469</v>
      </c>
      <c r="H333">
        <v>1.4</v>
      </c>
      <c r="I333">
        <v>48</v>
      </c>
      <c r="J333">
        <v>0</v>
      </c>
      <c r="K333">
        <v>0</v>
      </c>
      <c r="L333" t="s">
        <v>112</v>
      </c>
      <c r="M333" t="s">
        <v>138</v>
      </c>
      <c r="N333">
        <v>0</v>
      </c>
      <c r="O333">
        <v>0</v>
      </c>
      <c r="P333" t="s">
        <v>138</v>
      </c>
      <c r="Q333">
        <v>68</v>
      </c>
      <c r="R333">
        <v>0</v>
      </c>
      <c r="S333">
        <v>0</v>
      </c>
      <c r="T333">
        <v>0</v>
      </c>
      <c r="U333" t="s">
        <v>1276</v>
      </c>
      <c r="V333">
        <v>25</v>
      </c>
      <c r="W333">
        <v>0</v>
      </c>
      <c r="X333">
        <v>6</v>
      </c>
      <c r="Y333">
        <v>0</v>
      </c>
      <c r="Z333" t="s">
        <v>111</v>
      </c>
      <c r="AA333">
        <v>0</v>
      </c>
      <c r="AB333" t="s">
        <v>111</v>
      </c>
      <c r="AC333">
        <v>0</v>
      </c>
      <c r="AD333" t="s">
        <v>111</v>
      </c>
      <c r="AE333">
        <v>0</v>
      </c>
      <c r="AF333">
        <v>0</v>
      </c>
      <c r="AG333" t="s">
        <v>111</v>
      </c>
      <c r="AH333" t="s">
        <v>111</v>
      </c>
      <c r="AI333" t="s">
        <v>111</v>
      </c>
      <c r="AJ333" t="s">
        <v>111</v>
      </c>
      <c r="AK333" t="s">
        <v>111</v>
      </c>
      <c r="AL333" t="s">
        <v>111</v>
      </c>
      <c r="AM333">
        <v>0</v>
      </c>
      <c r="AN333">
        <v>0</v>
      </c>
      <c r="AO333">
        <v>0</v>
      </c>
      <c r="AP333" t="s">
        <v>111</v>
      </c>
      <c r="AQ333" t="s">
        <v>111</v>
      </c>
      <c r="AR333" t="s">
        <v>111</v>
      </c>
      <c r="AS333" t="s">
        <v>111</v>
      </c>
      <c r="AT333" t="s">
        <v>111</v>
      </c>
      <c r="AU333" t="s">
        <v>111</v>
      </c>
      <c r="AV333" t="s">
        <v>111</v>
      </c>
      <c r="AW333" t="s">
        <v>111</v>
      </c>
      <c r="AX333" t="s">
        <v>111</v>
      </c>
      <c r="AY333" t="s">
        <v>111</v>
      </c>
      <c r="AZ333" t="s">
        <v>111</v>
      </c>
      <c r="BA333" t="s">
        <v>111</v>
      </c>
      <c r="BB333" t="s">
        <v>111</v>
      </c>
      <c r="BC333" t="s">
        <v>111</v>
      </c>
      <c r="BD333" t="s">
        <v>111</v>
      </c>
      <c r="BE333" t="s">
        <v>111</v>
      </c>
      <c r="BF333" t="s">
        <v>111</v>
      </c>
      <c r="BG333" t="s">
        <v>111</v>
      </c>
      <c r="BH333" t="s">
        <v>111</v>
      </c>
      <c r="BI333" t="s">
        <v>111</v>
      </c>
      <c r="BJ333" t="s">
        <v>111</v>
      </c>
      <c r="BK333" t="s">
        <v>111</v>
      </c>
      <c r="BL333" t="s">
        <v>111</v>
      </c>
      <c r="BM333" t="s">
        <v>111</v>
      </c>
      <c r="BN333" t="s">
        <v>111</v>
      </c>
      <c r="BO333" t="s">
        <v>111</v>
      </c>
      <c r="BP333" t="s">
        <v>111</v>
      </c>
      <c r="BQ333" t="s">
        <v>111</v>
      </c>
      <c r="BR333" t="s">
        <v>111</v>
      </c>
      <c r="BS333" t="s">
        <v>111</v>
      </c>
      <c r="BT333" t="s">
        <v>111</v>
      </c>
      <c r="BU333" t="s">
        <v>111</v>
      </c>
      <c r="BV333" t="s">
        <v>111</v>
      </c>
      <c r="BW333" t="s">
        <v>111</v>
      </c>
      <c r="BX333" t="s">
        <v>111</v>
      </c>
      <c r="BY333" t="s">
        <v>111</v>
      </c>
      <c r="BZ333" t="s">
        <v>111</v>
      </c>
      <c r="CA333" t="s">
        <v>111</v>
      </c>
      <c r="CB333" t="s">
        <v>111</v>
      </c>
      <c r="CC333" t="s">
        <v>111</v>
      </c>
      <c r="CD333" t="s">
        <v>111</v>
      </c>
      <c r="CE333" t="s">
        <v>111</v>
      </c>
      <c r="CF333" t="s">
        <v>111</v>
      </c>
      <c r="CG333" t="s">
        <v>111</v>
      </c>
      <c r="CH333" t="s">
        <v>111</v>
      </c>
      <c r="CI333" t="s">
        <v>111</v>
      </c>
      <c r="CJ333" t="s">
        <v>111</v>
      </c>
      <c r="CK333" t="s">
        <v>111</v>
      </c>
      <c r="CL333" t="s">
        <v>111</v>
      </c>
      <c r="CM333" t="s">
        <v>135</v>
      </c>
      <c r="CN333" t="s">
        <v>128</v>
      </c>
      <c r="CO333" t="s">
        <v>111</v>
      </c>
      <c r="CP333" t="s">
        <v>111</v>
      </c>
      <c r="CQ333">
        <v>0</v>
      </c>
      <c r="CR333">
        <v>1000</v>
      </c>
      <c r="CS333">
        <v>50</v>
      </c>
      <c r="CT333" t="s">
        <v>394</v>
      </c>
      <c r="CU333">
        <v>0</v>
      </c>
      <c r="CV333" t="s">
        <v>111</v>
      </c>
      <c r="CW333" t="s">
        <v>111</v>
      </c>
      <c r="CX333" t="s">
        <v>111</v>
      </c>
      <c r="CY333">
        <v>0</v>
      </c>
      <c r="CZ333" t="s">
        <v>111</v>
      </c>
      <c r="DA333" t="s">
        <v>111</v>
      </c>
      <c r="DB333" t="s">
        <v>111</v>
      </c>
      <c r="DC333" t="s">
        <v>111</v>
      </c>
    </row>
    <row r="334" spans="1:107">
      <c r="A334">
        <v>901</v>
      </c>
      <c r="B334" t="s">
        <v>107</v>
      </c>
      <c r="C334" t="s">
        <v>405</v>
      </c>
      <c r="D334" t="s">
        <v>1277</v>
      </c>
      <c r="E334" t="s">
        <v>1278</v>
      </c>
      <c r="F334" t="s">
        <v>157</v>
      </c>
      <c r="G334" t="s">
        <v>469</v>
      </c>
      <c r="H334">
        <v>0.9</v>
      </c>
      <c r="I334">
        <v>32</v>
      </c>
      <c r="J334">
        <v>0</v>
      </c>
      <c r="K334">
        <v>0</v>
      </c>
      <c r="L334" t="s">
        <v>112</v>
      </c>
      <c r="M334" t="s">
        <v>118</v>
      </c>
      <c r="N334">
        <v>39</v>
      </c>
      <c r="O334">
        <v>1</v>
      </c>
      <c r="P334" t="s">
        <v>138</v>
      </c>
      <c r="Q334">
        <v>36.200000000000003</v>
      </c>
      <c r="R334">
        <v>0</v>
      </c>
      <c r="S334">
        <v>0</v>
      </c>
      <c r="T334">
        <v>0</v>
      </c>
      <c r="U334" t="s">
        <v>394</v>
      </c>
      <c r="V334">
        <v>0</v>
      </c>
      <c r="W334">
        <v>25</v>
      </c>
      <c r="X334">
        <v>5</v>
      </c>
      <c r="Y334">
        <v>0</v>
      </c>
      <c r="Z334" t="s">
        <v>111</v>
      </c>
      <c r="AA334">
        <v>0</v>
      </c>
      <c r="AB334" t="s">
        <v>111</v>
      </c>
      <c r="AC334">
        <v>0</v>
      </c>
      <c r="AD334" t="s">
        <v>111</v>
      </c>
      <c r="AE334">
        <v>0</v>
      </c>
      <c r="AF334">
        <v>0</v>
      </c>
      <c r="AG334" t="s">
        <v>111</v>
      </c>
      <c r="AH334" t="s">
        <v>111</v>
      </c>
      <c r="AI334" t="s">
        <v>111</v>
      </c>
      <c r="AJ334" t="s">
        <v>111</v>
      </c>
      <c r="AK334" t="s">
        <v>111</v>
      </c>
      <c r="AL334" t="s">
        <v>111</v>
      </c>
      <c r="AM334">
        <v>0</v>
      </c>
      <c r="AN334">
        <v>0</v>
      </c>
      <c r="AO334">
        <v>0</v>
      </c>
      <c r="AP334" t="s">
        <v>111</v>
      </c>
      <c r="AQ334" t="s">
        <v>111</v>
      </c>
      <c r="AR334" t="s">
        <v>111</v>
      </c>
      <c r="AS334" t="s">
        <v>111</v>
      </c>
      <c r="AT334" t="s">
        <v>111</v>
      </c>
      <c r="AU334" t="s">
        <v>111</v>
      </c>
      <c r="AV334" t="s">
        <v>111</v>
      </c>
      <c r="AW334" t="s">
        <v>111</v>
      </c>
      <c r="AX334" t="s">
        <v>111</v>
      </c>
      <c r="AY334" t="s">
        <v>111</v>
      </c>
      <c r="AZ334" t="s">
        <v>111</v>
      </c>
      <c r="BA334" t="s">
        <v>111</v>
      </c>
      <c r="BB334" t="s">
        <v>111</v>
      </c>
      <c r="BC334" t="s">
        <v>111</v>
      </c>
      <c r="BD334" t="s">
        <v>111</v>
      </c>
      <c r="BE334" t="s">
        <v>111</v>
      </c>
      <c r="BF334" t="s">
        <v>111</v>
      </c>
      <c r="BG334" t="s">
        <v>111</v>
      </c>
      <c r="BH334" t="s">
        <v>111</v>
      </c>
      <c r="BI334" t="s">
        <v>111</v>
      </c>
      <c r="BJ334" t="s">
        <v>111</v>
      </c>
      <c r="BK334" t="s">
        <v>111</v>
      </c>
      <c r="BL334" t="s">
        <v>111</v>
      </c>
      <c r="BM334" t="s">
        <v>111</v>
      </c>
      <c r="BN334" t="s">
        <v>111</v>
      </c>
      <c r="BO334" t="s">
        <v>111</v>
      </c>
      <c r="BP334" t="s">
        <v>111</v>
      </c>
      <c r="BQ334" t="s">
        <v>111</v>
      </c>
      <c r="BR334" t="s">
        <v>111</v>
      </c>
      <c r="BS334" t="s">
        <v>111</v>
      </c>
      <c r="BT334" t="s">
        <v>111</v>
      </c>
      <c r="BU334" t="s">
        <v>111</v>
      </c>
      <c r="BV334" t="s">
        <v>111</v>
      </c>
      <c r="BW334" t="s">
        <v>111</v>
      </c>
      <c r="BX334" t="s">
        <v>111</v>
      </c>
      <c r="BY334" t="s">
        <v>111</v>
      </c>
      <c r="BZ334" t="s">
        <v>111</v>
      </c>
      <c r="CA334" t="s">
        <v>111</v>
      </c>
      <c r="CB334" t="s">
        <v>111</v>
      </c>
      <c r="CC334" t="s">
        <v>111</v>
      </c>
      <c r="CD334" t="s">
        <v>111</v>
      </c>
      <c r="CE334" t="s">
        <v>111</v>
      </c>
      <c r="CF334" t="s">
        <v>111</v>
      </c>
      <c r="CG334" t="s">
        <v>111</v>
      </c>
      <c r="CH334" t="s">
        <v>111</v>
      </c>
      <c r="CI334" t="s">
        <v>111</v>
      </c>
      <c r="CJ334" t="s">
        <v>111</v>
      </c>
      <c r="CK334" t="s">
        <v>111</v>
      </c>
      <c r="CL334" t="s">
        <v>111</v>
      </c>
      <c r="CM334" t="s">
        <v>111</v>
      </c>
      <c r="CN334" t="s">
        <v>111</v>
      </c>
      <c r="CO334" t="s">
        <v>111</v>
      </c>
      <c r="CP334" t="s">
        <v>111</v>
      </c>
      <c r="CQ334">
        <v>0</v>
      </c>
      <c r="CR334">
        <v>0</v>
      </c>
      <c r="CS334">
        <v>0</v>
      </c>
      <c r="CT334" t="s">
        <v>111</v>
      </c>
      <c r="CU334">
        <v>0</v>
      </c>
      <c r="CV334" t="s">
        <v>111</v>
      </c>
      <c r="CW334" t="s">
        <v>111</v>
      </c>
      <c r="CX334" t="s">
        <v>111</v>
      </c>
      <c r="CY334">
        <v>0</v>
      </c>
      <c r="CZ334" t="s">
        <v>111</v>
      </c>
      <c r="DA334" t="s">
        <v>111</v>
      </c>
      <c r="DB334" t="s">
        <v>111</v>
      </c>
      <c r="DC334" t="s">
        <v>111</v>
      </c>
    </row>
    <row r="335" spans="1:107">
      <c r="A335">
        <v>900</v>
      </c>
      <c r="B335" t="s">
        <v>107</v>
      </c>
      <c r="C335" t="s">
        <v>405</v>
      </c>
      <c r="D335" t="s">
        <v>1279</v>
      </c>
      <c r="E335" t="s">
        <v>1280</v>
      </c>
      <c r="F335" t="s">
        <v>116</v>
      </c>
      <c r="G335" t="s">
        <v>469</v>
      </c>
      <c r="H335">
        <v>1.2</v>
      </c>
      <c r="I335">
        <v>64</v>
      </c>
      <c r="J335">
        <v>0</v>
      </c>
      <c r="K335">
        <v>0</v>
      </c>
      <c r="L335" t="s">
        <v>117</v>
      </c>
      <c r="M335" t="s">
        <v>118</v>
      </c>
      <c r="N335">
        <v>39</v>
      </c>
      <c r="O335">
        <v>1</v>
      </c>
      <c r="P335" t="s">
        <v>138</v>
      </c>
      <c r="Q335">
        <v>50</v>
      </c>
      <c r="R335">
        <v>0</v>
      </c>
      <c r="S335">
        <v>0</v>
      </c>
      <c r="T335">
        <v>0</v>
      </c>
      <c r="U335" t="s">
        <v>1281</v>
      </c>
      <c r="V335">
        <v>0</v>
      </c>
      <c r="W335">
        <v>25</v>
      </c>
      <c r="X335">
        <v>5</v>
      </c>
      <c r="Y335">
        <v>0</v>
      </c>
      <c r="Z335" t="s">
        <v>111</v>
      </c>
      <c r="AA335">
        <v>0</v>
      </c>
      <c r="AB335" t="s">
        <v>111</v>
      </c>
      <c r="AC335">
        <v>0</v>
      </c>
      <c r="AD335" t="s">
        <v>111</v>
      </c>
      <c r="AE335">
        <v>0</v>
      </c>
      <c r="AF335">
        <v>0</v>
      </c>
      <c r="AG335" t="s">
        <v>111</v>
      </c>
      <c r="AH335" t="s">
        <v>111</v>
      </c>
      <c r="AI335" t="s">
        <v>111</v>
      </c>
      <c r="AJ335" t="s">
        <v>111</v>
      </c>
      <c r="AK335" t="s">
        <v>111</v>
      </c>
      <c r="AL335" t="s">
        <v>111</v>
      </c>
      <c r="AM335">
        <v>0</v>
      </c>
      <c r="AN335">
        <v>0</v>
      </c>
      <c r="AO335">
        <v>0</v>
      </c>
      <c r="AP335" t="s">
        <v>111</v>
      </c>
      <c r="AQ335" t="s">
        <v>111</v>
      </c>
      <c r="AR335" t="s">
        <v>111</v>
      </c>
      <c r="AS335" t="s">
        <v>111</v>
      </c>
      <c r="AT335" t="s">
        <v>111</v>
      </c>
      <c r="AU335" t="s">
        <v>111</v>
      </c>
      <c r="AV335" t="s">
        <v>111</v>
      </c>
      <c r="AW335" t="s">
        <v>111</v>
      </c>
      <c r="AX335" t="s">
        <v>111</v>
      </c>
      <c r="AY335" t="s">
        <v>111</v>
      </c>
      <c r="AZ335" t="s">
        <v>111</v>
      </c>
      <c r="BA335" t="s">
        <v>111</v>
      </c>
      <c r="BB335" t="s">
        <v>111</v>
      </c>
      <c r="BC335" t="s">
        <v>111</v>
      </c>
      <c r="BD335" t="s">
        <v>111</v>
      </c>
      <c r="BE335" t="s">
        <v>111</v>
      </c>
      <c r="BF335" t="s">
        <v>111</v>
      </c>
      <c r="BG335" t="s">
        <v>111</v>
      </c>
      <c r="BH335" t="s">
        <v>111</v>
      </c>
      <c r="BI335" t="s">
        <v>111</v>
      </c>
      <c r="BJ335" t="s">
        <v>111</v>
      </c>
      <c r="BK335" t="s">
        <v>111</v>
      </c>
      <c r="BL335" t="s">
        <v>111</v>
      </c>
      <c r="BM335" t="s">
        <v>111</v>
      </c>
      <c r="BN335" t="s">
        <v>111</v>
      </c>
      <c r="BO335" t="s">
        <v>111</v>
      </c>
      <c r="BP335" t="s">
        <v>111</v>
      </c>
      <c r="BQ335" t="s">
        <v>111</v>
      </c>
      <c r="BR335" t="s">
        <v>111</v>
      </c>
      <c r="BS335" t="s">
        <v>111</v>
      </c>
      <c r="BT335" t="s">
        <v>111</v>
      </c>
      <c r="BU335" t="s">
        <v>111</v>
      </c>
      <c r="BV335" t="s">
        <v>111</v>
      </c>
      <c r="BW335" t="s">
        <v>111</v>
      </c>
      <c r="BX335" t="s">
        <v>111</v>
      </c>
      <c r="BY335" t="s">
        <v>111</v>
      </c>
      <c r="BZ335" t="s">
        <v>111</v>
      </c>
      <c r="CA335" t="s">
        <v>111</v>
      </c>
      <c r="CB335" t="s">
        <v>111</v>
      </c>
      <c r="CC335" t="s">
        <v>111</v>
      </c>
      <c r="CD335" t="s">
        <v>111</v>
      </c>
      <c r="CE335" t="s">
        <v>111</v>
      </c>
      <c r="CF335" t="s">
        <v>111</v>
      </c>
      <c r="CG335" t="s">
        <v>111</v>
      </c>
      <c r="CH335" t="s">
        <v>111</v>
      </c>
      <c r="CI335" t="s">
        <v>111</v>
      </c>
      <c r="CJ335" t="s">
        <v>111</v>
      </c>
      <c r="CK335" t="s">
        <v>111</v>
      </c>
      <c r="CL335" t="s">
        <v>111</v>
      </c>
      <c r="CM335" t="s">
        <v>111</v>
      </c>
      <c r="CN335" t="s">
        <v>111</v>
      </c>
      <c r="CO335" t="s">
        <v>111</v>
      </c>
      <c r="CP335" t="s">
        <v>111</v>
      </c>
      <c r="CQ335">
        <v>0</v>
      </c>
      <c r="CR335">
        <v>0</v>
      </c>
      <c r="CS335">
        <v>0</v>
      </c>
      <c r="CT335" t="s">
        <v>111</v>
      </c>
      <c r="CU335">
        <v>0</v>
      </c>
      <c r="CV335" t="s">
        <v>111</v>
      </c>
      <c r="CW335" t="s">
        <v>111</v>
      </c>
      <c r="CX335" t="s">
        <v>111</v>
      </c>
      <c r="CY335">
        <v>0</v>
      </c>
      <c r="CZ335" t="s">
        <v>111</v>
      </c>
      <c r="DA335" t="s">
        <v>111</v>
      </c>
      <c r="DB335" t="s">
        <v>111</v>
      </c>
      <c r="DC335" t="s">
        <v>111</v>
      </c>
    </row>
    <row r="336" spans="1:107">
      <c r="A336">
        <v>899</v>
      </c>
      <c r="B336" t="s">
        <v>107</v>
      </c>
      <c r="C336" t="s">
        <v>405</v>
      </c>
      <c r="D336" t="s">
        <v>1282</v>
      </c>
      <c r="E336" t="s">
        <v>1283</v>
      </c>
      <c r="F336" t="s">
        <v>116</v>
      </c>
      <c r="G336" t="s">
        <v>469</v>
      </c>
      <c r="H336">
        <v>1.3</v>
      </c>
      <c r="I336">
        <v>102</v>
      </c>
      <c r="J336">
        <v>0</v>
      </c>
      <c r="K336">
        <v>0</v>
      </c>
      <c r="L336" t="s">
        <v>117</v>
      </c>
      <c r="M336" t="s">
        <v>118</v>
      </c>
      <c r="N336">
        <v>39</v>
      </c>
      <c r="O336">
        <v>1</v>
      </c>
      <c r="P336" t="s">
        <v>138</v>
      </c>
      <c r="Q336">
        <v>49</v>
      </c>
      <c r="R336">
        <v>0</v>
      </c>
      <c r="S336">
        <v>0</v>
      </c>
      <c r="T336">
        <v>0</v>
      </c>
      <c r="U336" s="1" t="s">
        <v>1284</v>
      </c>
      <c r="V336">
        <v>0</v>
      </c>
      <c r="W336">
        <v>25</v>
      </c>
      <c r="X336">
        <v>5</v>
      </c>
      <c r="Y336">
        <v>0</v>
      </c>
      <c r="Z336" t="s">
        <v>111</v>
      </c>
      <c r="AA336">
        <v>0</v>
      </c>
      <c r="AB336" t="s">
        <v>111</v>
      </c>
      <c r="AC336">
        <v>0</v>
      </c>
      <c r="AD336" t="s">
        <v>111</v>
      </c>
      <c r="AE336">
        <v>0</v>
      </c>
      <c r="AF336">
        <v>0</v>
      </c>
      <c r="AG336" t="s">
        <v>111</v>
      </c>
      <c r="AH336" t="s">
        <v>111</v>
      </c>
      <c r="AI336" t="s">
        <v>111</v>
      </c>
      <c r="AJ336" t="s">
        <v>111</v>
      </c>
      <c r="AK336" t="s">
        <v>111</v>
      </c>
      <c r="AL336" t="s">
        <v>111</v>
      </c>
      <c r="AM336">
        <v>0</v>
      </c>
      <c r="AN336">
        <v>0</v>
      </c>
      <c r="AO336">
        <v>0</v>
      </c>
      <c r="AP336" t="s">
        <v>111</v>
      </c>
      <c r="AQ336" t="s">
        <v>111</v>
      </c>
      <c r="AR336" t="s">
        <v>111</v>
      </c>
      <c r="AS336" t="s">
        <v>111</v>
      </c>
      <c r="AT336" t="s">
        <v>111</v>
      </c>
      <c r="AU336" t="s">
        <v>111</v>
      </c>
      <c r="AV336" t="s">
        <v>111</v>
      </c>
      <c r="AW336" t="s">
        <v>111</v>
      </c>
      <c r="AX336" t="s">
        <v>111</v>
      </c>
      <c r="AY336" t="s">
        <v>111</v>
      </c>
      <c r="AZ336" t="s">
        <v>111</v>
      </c>
      <c r="BA336" t="s">
        <v>111</v>
      </c>
      <c r="BB336" t="s">
        <v>111</v>
      </c>
      <c r="BC336" t="s">
        <v>111</v>
      </c>
      <c r="BD336" t="s">
        <v>111</v>
      </c>
      <c r="BE336" t="s">
        <v>111</v>
      </c>
      <c r="BF336" t="s">
        <v>111</v>
      </c>
      <c r="BG336" t="s">
        <v>111</v>
      </c>
      <c r="BH336" t="s">
        <v>111</v>
      </c>
      <c r="BI336" t="s">
        <v>111</v>
      </c>
      <c r="BJ336" t="s">
        <v>111</v>
      </c>
      <c r="BK336" t="s">
        <v>111</v>
      </c>
      <c r="BL336" t="s">
        <v>111</v>
      </c>
      <c r="BM336" t="s">
        <v>111</v>
      </c>
      <c r="BN336" t="s">
        <v>111</v>
      </c>
      <c r="BO336" t="s">
        <v>111</v>
      </c>
      <c r="BP336" t="s">
        <v>111</v>
      </c>
      <c r="BQ336" t="s">
        <v>111</v>
      </c>
      <c r="BR336" t="s">
        <v>111</v>
      </c>
      <c r="BS336" t="s">
        <v>111</v>
      </c>
      <c r="BT336" t="s">
        <v>111</v>
      </c>
      <c r="BU336" t="s">
        <v>111</v>
      </c>
      <c r="BV336" t="s">
        <v>111</v>
      </c>
      <c r="BW336" t="s">
        <v>111</v>
      </c>
      <c r="BX336" t="s">
        <v>111</v>
      </c>
      <c r="BY336" t="s">
        <v>111</v>
      </c>
      <c r="BZ336" t="s">
        <v>111</v>
      </c>
      <c r="CA336" t="s">
        <v>111</v>
      </c>
      <c r="CB336" t="s">
        <v>111</v>
      </c>
      <c r="CC336" t="s">
        <v>111</v>
      </c>
      <c r="CD336" t="s">
        <v>111</v>
      </c>
      <c r="CE336" t="s">
        <v>111</v>
      </c>
      <c r="CF336" t="s">
        <v>111</v>
      </c>
      <c r="CG336" t="s">
        <v>111</v>
      </c>
      <c r="CH336" t="s">
        <v>111</v>
      </c>
      <c r="CI336" t="s">
        <v>111</v>
      </c>
      <c r="CJ336" t="s">
        <v>111</v>
      </c>
      <c r="CK336" t="s">
        <v>111</v>
      </c>
      <c r="CL336" t="s">
        <v>111</v>
      </c>
      <c r="CM336" t="s">
        <v>111</v>
      </c>
      <c r="CN336" t="s">
        <v>111</v>
      </c>
      <c r="CO336" t="s">
        <v>111</v>
      </c>
      <c r="CP336" t="s">
        <v>111</v>
      </c>
      <c r="CQ336">
        <v>0</v>
      </c>
      <c r="CR336">
        <v>0</v>
      </c>
      <c r="CS336">
        <v>0</v>
      </c>
      <c r="CT336" t="s">
        <v>111</v>
      </c>
      <c r="CU336">
        <v>0</v>
      </c>
      <c r="CV336" t="s">
        <v>111</v>
      </c>
      <c r="CW336" t="s">
        <v>111</v>
      </c>
      <c r="CX336" t="s">
        <v>111</v>
      </c>
      <c r="CY336">
        <v>0</v>
      </c>
      <c r="CZ336" t="s">
        <v>111</v>
      </c>
      <c r="DA336" t="s">
        <v>111</v>
      </c>
      <c r="DB336" t="s">
        <v>111</v>
      </c>
      <c r="DC336" t="s">
        <v>111</v>
      </c>
    </row>
    <row r="337" spans="1:107">
      <c r="A337">
        <v>419</v>
      </c>
      <c r="B337" t="s">
        <v>107</v>
      </c>
      <c r="C337" t="s">
        <v>223</v>
      </c>
      <c r="D337" t="s">
        <v>1285</v>
      </c>
      <c r="E337" t="s">
        <v>1286</v>
      </c>
      <c r="F337" t="s">
        <v>287</v>
      </c>
      <c r="G337" t="s">
        <v>469</v>
      </c>
      <c r="H337">
        <v>2.2999999999999998</v>
      </c>
      <c r="I337">
        <v>43</v>
      </c>
      <c r="J337">
        <v>0</v>
      </c>
      <c r="K337">
        <v>0</v>
      </c>
      <c r="L337" t="s">
        <v>112</v>
      </c>
      <c r="M337" t="s">
        <v>138</v>
      </c>
      <c r="N337">
        <v>0</v>
      </c>
      <c r="O337">
        <v>0</v>
      </c>
      <c r="P337" t="s">
        <v>138</v>
      </c>
      <c r="Q337">
        <v>43.7</v>
      </c>
      <c r="R337">
        <v>0</v>
      </c>
      <c r="S337">
        <v>0</v>
      </c>
      <c r="T337">
        <v>2</v>
      </c>
      <c r="U337" s="1" t="s">
        <v>1287</v>
      </c>
      <c r="V337">
        <v>25</v>
      </c>
      <c r="W337">
        <v>0</v>
      </c>
      <c r="X337">
        <v>10</v>
      </c>
      <c r="Y337">
        <v>0</v>
      </c>
      <c r="Z337" t="s">
        <v>288</v>
      </c>
      <c r="AA337">
        <v>1.3</v>
      </c>
      <c r="AB337" t="s">
        <v>327</v>
      </c>
      <c r="AC337">
        <v>3</v>
      </c>
      <c r="AD337" t="s">
        <v>111</v>
      </c>
      <c r="AE337">
        <v>0</v>
      </c>
      <c r="AF337">
        <v>0</v>
      </c>
      <c r="AG337" t="s">
        <v>111</v>
      </c>
      <c r="AH337" t="s">
        <v>111</v>
      </c>
      <c r="AI337" t="s">
        <v>111</v>
      </c>
      <c r="AJ337" t="s">
        <v>111</v>
      </c>
      <c r="AK337" t="s">
        <v>111</v>
      </c>
      <c r="AL337" t="s">
        <v>111</v>
      </c>
      <c r="AM337">
        <v>0</v>
      </c>
      <c r="AN337">
        <v>0</v>
      </c>
      <c r="AO337">
        <v>0</v>
      </c>
      <c r="AP337" t="s">
        <v>111</v>
      </c>
      <c r="AQ337" t="s">
        <v>111</v>
      </c>
      <c r="AR337" t="s">
        <v>111</v>
      </c>
      <c r="AS337" t="s">
        <v>111</v>
      </c>
      <c r="AT337" t="s">
        <v>111</v>
      </c>
      <c r="AU337" t="s">
        <v>111</v>
      </c>
      <c r="AV337" t="s">
        <v>111</v>
      </c>
      <c r="AW337" t="s">
        <v>111</v>
      </c>
      <c r="AX337" t="s">
        <v>111</v>
      </c>
      <c r="AY337" t="s">
        <v>111</v>
      </c>
      <c r="AZ337" t="s">
        <v>111</v>
      </c>
      <c r="BA337" t="s">
        <v>111</v>
      </c>
      <c r="BB337" t="s">
        <v>111</v>
      </c>
      <c r="BC337" t="s">
        <v>111</v>
      </c>
      <c r="BD337" t="s">
        <v>111</v>
      </c>
      <c r="BE337" t="s">
        <v>111</v>
      </c>
      <c r="BF337" t="s">
        <v>111</v>
      </c>
      <c r="BG337" t="s">
        <v>111</v>
      </c>
      <c r="BH337" t="s">
        <v>111</v>
      </c>
      <c r="BI337" t="s">
        <v>111</v>
      </c>
      <c r="BJ337" t="s">
        <v>111</v>
      </c>
      <c r="BK337" t="s">
        <v>111</v>
      </c>
      <c r="BL337" t="s">
        <v>111</v>
      </c>
      <c r="BM337" t="s">
        <v>111</v>
      </c>
      <c r="BN337" t="s">
        <v>111</v>
      </c>
      <c r="BO337" t="s">
        <v>111</v>
      </c>
      <c r="BP337" t="s">
        <v>111</v>
      </c>
      <c r="BQ337" t="s">
        <v>111</v>
      </c>
      <c r="BR337" t="s">
        <v>111</v>
      </c>
      <c r="BS337" t="s">
        <v>111</v>
      </c>
      <c r="BT337" t="s">
        <v>111</v>
      </c>
      <c r="BU337" t="s">
        <v>111</v>
      </c>
      <c r="BV337" t="s">
        <v>111</v>
      </c>
      <c r="BW337" t="s">
        <v>111</v>
      </c>
      <c r="BX337" t="s">
        <v>111</v>
      </c>
      <c r="BY337" t="s">
        <v>111</v>
      </c>
      <c r="BZ337" t="s">
        <v>111</v>
      </c>
      <c r="CA337" t="s">
        <v>111</v>
      </c>
      <c r="CB337" t="s">
        <v>111</v>
      </c>
      <c r="CC337" t="s">
        <v>111</v>
      </c>
      <c r="CD337" t="s">
        <v>111</v>
      </c>
      <c r="CE337" t="s">
        <v>111</v>
      </c>
      <c r="CF337" t="s">
        <v>111</v>
      </c>
      <c r="CG337" t="s">
        <v>111</v>
      </c>
      <c r="CH337" t="s">
        <v>111</v>
      </c>
      <c r="CI337" t="s">
        <v>111</v>
      </c>
      <c r="CJ337" t="s">
        <v>111</v>
      </c>
      <c r="CK337" t="s">
        <v>111</v>
      </c>
      <c r="CL337" t="s">
        <v>111</v>
      </c>
      <c r="CM337" t="s">
        <v>462</v>
      </c>
      <c r="CN337" t="s">
        <v>128</v>
      </c>
      <c r="CO337" t="s">
        <v>111</v>
      </c>
      <c r="CP337" t="s">
        <v>111</v>
      </c>
      <c r="CQ337">
        <v>0</v>
      </c>
      <c r="CR337">
        <v>240</v>
      </c>
      <c r="CS337">
        <v>20</v>
      </c>
      <c r="CT337" s="1" t="s">
        <v>1288</v>
      </c>
      <c r="CU337">
        <v>0</v>
      </c>
      <c r="CV337" t="s">
        <v>111</v>
      </c>
      <c r="CW337" t="s">
        <v>111</v>
      </c>
      <c r="CX337" t="s">
        <v>111</v>
      </c>
      <c r="CY337">
        <v>0</v>
      </c>
      <c r="CZ337" t="s">
        <v>111</v>
      </c>
      <c r="DA337" t="s">
        <v>111</v>
      </c>
      <c r="DB337" t="s">
        <v>240</v>
      </c>
      <c r="DC337" s="1" t="s">
        <v>306</v>
      </c>
    </row>
    <row r="338" spans="1:107">
      <c r="A338">
        <v>888</v>
      </c>
      <c r="B338" t="s">
        <v>107</v>
      </c>
      <c r="C338" t="s">
        <v>405</v>
      </c>
      <c r="D338" t="s">
        <v>1289</v>
      </c>
      <c r="E338" t="s">
        <v>1290</v>
      </c>
      <c r="F338" t="s">
        <v>157</v>
      </c>
      <c r="G338" t="s">
        <v>469</v>
      </c>
      <c r="H338">
        <v>1.2</v>
      </c>
      <c r="I338">
        <v>53</v>
      </c>
      <c r="J338">
        <v>0</v>
      </c>
      <c r="K338">
        <v>0</v>
      </c>
      <c r="L338" t="s">
        <v>112</v>
      </c>
      <c r="M338" t="s">
        <v>138</v>
      </c>
      <c r="N338">
        <v>0</v>
      </c>
      <c r="O338">
        <v>0</v>
      </c>
      <c r="P338" t="s">
        <v>138</v>
      </c>
      <c r="Q338">
        <v>40</v>
      </c>
      <c r="R338">
        <v>0</v>
      </c>
      <c r="S338">
        <v>0</v>
      </c>
      <c r="T338">
        <v>0</v>
      </c>
      <c r="U338" s="1" t="s">
        <v>1291</v>
      </c>
      <c r="V338">
        <v>0</v>
      </c>
      <c r="W338">
        <v>25</v>
      </c>
      <c r="X338">
        <v>5</v>
      </c>
      <c r="Y338">
        <v>0</v>
      </c>
      <c r="Z338" t="s">
        <v>111</v>
      </c>
      <c r="AA338">
        <v>0</v>
      </c>
      <c r="AB338" t="s">
        <v>111</v>
      </c>
      <c r="AC338">
        <v>0</v>
      </c>
      <c r="AD338" t="s">
        <v>111</v>
      </c>
      <c r="AE338">
        <v>0</v>
      </c>
      <c r="AF338">
        <v>0</v>
      </c>
      <c r="AG338" t="s">
        <v>111</v>
      </c>
      <c r="AH338" t="s">
        <v>111</v>
      </c>
      <c r="AI338" t="s">
        <v>111</v>
      </c>
      <c r="AJ338" t="s">
        <v>111</v>
      </c>
      <c r="AK338" t="s">
        <v>111</v>
      </c>
      <c r="AL338" t="s">
        <v>111</v>
      </c>
      <c r="AM338">
        <v>0</v>
      </c>
      <c r="AN338">
        <v>0</v>
      </c>
      <c r="AO338">
        <v>0</v>
      </c>
      <c r="AP338" t="s">
        <v>111</v>
      </c>
      <c r="AQ338" t="s">
        <v>111</v>
      </c>
      <c r="AR338" t="s">
        <v>111</v>
      </c>
      <c r="AS338" t="s">
        <v>111</v>
      </c>
      <c r="AT338" t="s">
        <v>111</v>
      </c>
      <c r="AU338" t="s">
        <v>111</v>
      </c>
      <c r="AV338" t="s">
        <v>111</v>
      </c>
      <c r="AW338" t="s">
        <v>111</v>
      </c>
      <c r="AX338" t="s">
        <v>111</v>
      </c>
      <c r="AY338" t="s">
        <v>111</v>
      </c>
      <c r="AZ338" t="s">
        <v>111</v>
      </c>
      <c r="BA338" t="s">
        <v>111</v>
      </c>
      <c r="BB338" t="s">
        <v>111</v>
      </c>
      <c r="BC338" t="s">
        <v>111</v>
      </c>
      <c r="BD338" t="s">
        <v>111</v>
      </c>
      <c r="BE338" t="s">
        <v>111</v>
      </c>
      <c r="BF338" t="s">
        <v>111</v>
      </c>
      <c r="BG338" t="s">
        <v>111</v>
      </c>
      <c r="BH338" t="s">
        <v>111</v>
      </c>
      <c r="BI338" t="s">
        <v>111</v>
      </c>
      <c r="BJ338" t="s">
        <v>111</v>
      </c>
      <c r="BK338" t="s">
        <v>111</v>
      </c>
      <c r="BL338" t="s">
        <v>111</v>
      </c>
      <c r="BM338" t="s">
        <v>111</v>
      </c>
      <c r="BN338" t="s">
        <v>111</v>
      </c>
      <c r="BO338" t="s">
        <v>111</v>
      </c>
      <c r="BP338" t="s">
        <v>111</v>
      </c>
      <c r="BQ338" t="s">
        <v>111</v>
      </c>
      <c r="BR338" t="s">
        <v>111</v>
      </c>
      <c r="BS338" t="s">
        <v>111</v>
      </c>
      <c r="BT338" t="s">
        <v>111</v>
      </c>
      <c r="BU338" t="s">
        <v>111</v>
      </c>
      <c r="BV338" t="s">
        <v>111</v>
      </c>
      <c r="BW338" t="s">
        <v>111</v>
      </c>
      <c r="BX338" t="s">
        <v>111</v>
      </c>
      <c r="BY338" t="s">
        <v>111</v>
      </c>
      <c r="BZ338" t="s">
        <v>111</v>
      </c>
      <c r="CA338" t="s">
        <v>111</v>
      </c>
      <c r="CB338" t="s">
        <v>111</v>
      </c>
      <c r="CC338" t="s">
        <v>111</v>
      </c>
      <c r="CD338" t="s">
        <v>111</v>
      </c>
      <c r="CE338" t="s">
        <v>111</v>
      </c>
      <c r="CF338" t="s">
        <v>111</v>
      </c>
      <c r="CG338" t="s">
        <v>111</v>
      </c>
      <c r="CH338" t="s">
        <v>111</v>
      </c>
      <c r="CI338" t="s">
        <v>111</v>
      </c>
      <c r="CJ338" t="s">
        <v>111</v>
      </c>
      <c r="CK338" t="s">
        <v>111</v>
      </c>
      <c r="CL338" t="s">
        <v>111</v>
      </c>
      <c r="CM338" t="s">
        <v>111</v>
      </c>
      <c r="CN338" t="s">
        <v>111</v>
      </c>
      <c r="CO338" t="s">
        <v>111</v>
      </c>
      <c r="CP338" t="s">
        <v>111</v>
      </c>
      <c r="CQ338">
        <v>0</v>
      </c>
      <c r="CR338">
        <v>0</v>
      </c>
      <c r="CS338">
        <v>0</v>
      </c>
      <c r="CT338" t="s">
        <v>111</v>
      </c>
      <c r="CU338">
        <v>0</v>
      </c>
      <c r="CV338" t="s">
        <v>111</v>
      </c>
      <c r="CW338" t="s">
        <v>111</v>
      </c>
      <c r="CX338" t="s">
        <v>111</v>
      </c>
      <c r="CY338">
        <v>0</v>
      </c>
      <c r="CZ338" t="s">
        <v>111</v>
      </c>
      <c r="DA338" t="s">
        <v>111</v>
      </c>
      <c r="DB338" t="s">
        <v>111</v>
      </c>
      <c r="DC338" t="s">
        <v>111</v>
      </c>
    </row>
    <row r="339" spans="1:107">
      <c r="A339">
        <v>491</v>
      </c>
      <c r="B339" t="s">
        <v>162</v>
      </c>
      <c r="C339" t="s">
        <v>226</v>
      </c>
      <c r="D339" t="s">
        <v>1292</v>
      </c>
      <c r="E339" t="s">
        <v>1293</v>
      </c>
      <c r="F339" t="s">
        <v>192</v>
      </c>
      <c r="G339" t="s">
        <v>469</v>
      </c>
      <c r="H339">
        <v>2.9</v>
      </c>
      <c r="I339">
        <v>40</v>
      </c>
      <c r="J339">
        <v>0</v>
      </c>
      <c r="K339">
        <v>0</v>
      </c>
      <c r="L339" t="s">
        <v>112</v>
      </c>
      <c r="M339" t="s">
        <v>138</v>
      </c>
      <c r="N339">
        <v>0</v>
      </c>
      <c r="O339">
        <v>0</v>
      </c>
      <c r="P339" t="s">
        <v>138</v>
      </c>
      <c r="Q339">
        <v>40</v>
      </c>
      <c r="R339">
        <v>0</v>
      </c>
      <c r="S339">
        <v>0</v>
      </c>
      <c r="T339">
        <v>5</v>
      </c>
      <c r="U339" t="s">
        <v>153</v>
      </c>
      <c r="V339">
        <v>0</v>
      </c>
      <c r="W339">
        <v>25</v>
      </c>
      <c r="X339">
        <v>8</v>
      </c>
      <c r="Y339">
        <v>0</v>
      </c>
      <c r="Z339" t="s">
        <v>111</v>
      </c>
      <c r="AA339">
        <v>0</v>
      </c>
      <c r="AB339" t="s">
        <v>111</v>
      </c>
      <c r="AC339">
        <v>0</v>
      </c>
      <c r="AD339" t="s">
        <v>111</v>
      </c>
      <c r="AE339">
        <v>0</v>
      </c>
      <c r="AF339">
        <v>0</v>
      </c>
      <c r="AG339" t="s">
        <v>111</v>
      </c>
      <c r="AH339" t="s">
        <v>111</v>
      </c>
      <c r="AI339" t="s">
        <v>111</v>
      </c>
      <c r="AJ339" t="s">
        <v>111</v>
      </c>
      <c r="AK339" t="s">
        <v>111</v>
      </c>
      <c r="AL339" t="s">
        <v>111</v>
      </c>
      <c r="AM339">
        <v>0</v>
      </c>
      <c r="AN339">
        <v>0</v>
      </c>
      <c r="AO339">
        <v>0</v>
      </c>
      <c r="AP339" t="s">
        <v>111</v>
      </c>
      <c r="AQ339" t="s">
        <v>111</v>
      </c>
      <c r="AR339" t="s">
        <v>111</v>
      </c>
      <c r="AS339" t="s">
        <v>111</v>
      </c>
      <c r="AT339" t="s">
        <v>111</v>
      </c>
      <c r="AU339" t="s">
        <v>111</v>
      </c>
      <c r="AV339" t="s">
        <v>111</v>
      </c>
      <c r="AW339" t="s">
        <v>111</v>
      </c>
      <c r="AX339" t="s">
        <v>111</v>
      </c>
      <c r="AY339" t="s">
        <v>111</v>
      </c>
      <c r="AZ339" t="s">
        <v>111</v>
      </c>
      <c r="BA339" t="s">
        <v>111</v>
      </c>
      <c r="BB339" t="s">
        <v>111</v>
      </c>
      <c r="BC339" t="s">
        <v>111</v>
      </c>
      <c r="BD339" t="s">
        <v>111</v>
      </c>
      <c r="BE339" t="s">
        <v>111</v>
      </c>
      <c r="BF339" t="s">
        <v>111</v>
      </c>
      <c r="BG339" t="s">
        <v>111</v>
      </c>
      <c r="BH339" t="s">
        <v>111</v>
      </c>
      <c r="BI339" t="s">
        <v>111</v>
      </c>
      <c r="BJ339" t="s">
        <v>111</v>
      </c>
      <c r="BK339" t="s">
        <v>111</v>
      </c>
      <c r="BL339" t="s">
        <v>111</v>
      </c>
      <c r="BM339" t="s">
        <v>111</v>
      </c>
      <c r="BN339" t="s">
        <v>111</v>
      </c>
      <c r="BO339" t="s">
        <v>111</v>
      </c>
      <c r="BP339" t="s">
        <v>111</v>
      </c>
      <c r="BQ339" t="s">
        <v>111</v>
      </c>
      <c r="BR339" t="s">
        <v>111</v>
      </c>
      <c r="BS339" t="s">
        <v>111</v>
      </c>
      <c r="BT339" t="s">
        <v>111</v>
      </c>
      <c r="BU339" t="s">
        <v>111</v>
      </c>
      <c r="BV339" t="s">
        <v>111</v>
      </c>
      <c r="BW339" t="s">
        <v>111</v>
      </c>
      <c r="BX339" t="s">
        <v>111</v>
      </c>
      <c r="BY339" t="s">
        <v>111</v>
      </c>
      <c r="BZ339" t="s">
        <v>111</v>
      </c>
      <c r="CA339" t="s">
        <v>111</v>
      </c>
      <c r="CB339" t="s">
        <v>111</v>
      </c>
      <c r="CC339" t="s">
        <v>111</v>
      </c>
      <c r="CD339" t="s">
        <v>111</v>
      </c>
      <c r="CE339" t="s">
        <v>111</v>
      </c>
      <c r="CF339" t="s">
        <v>111</v>
      </c>
      <c r="CG339" t="s">
        <v>111</v>
      </c>
      <c r="CH339" t="s">
        <v>111</v>
      </c>
      <c r="CI339" t="s">
        <v>111</v>
      </c>
      <c r="CJ339" t="s">
        <v>111</v>
      </c>
      <c r="CK339" t="s">
        <v>111</v>
      </c>
      <c r="CL339" t="s">
        <v>111</v>
      </c>
      <c r="CM339" t="s">
        <v>198</v>
      </c>
      <c r="CN339" t="s">
        <v>128</v>
      </c>
      <c r="CO339" t="s">
        <v>111</v>
      </c>
      <c r="CP339" t="s">
        <v>111</v>
      </c>
      <c r="CQ339">
        <v>0</v>
      </c>
      <c r="CR339">
        <v>600</v>
      </c>
      <c r="CS339">
        <v>50</v>
      </c>
      <c r="CT339" s="1" t="s">
        <v>1294</v>
      </c>
      <c r="CU339">
        <v>0</v>
      </c>
      <c r="CV339" t="s">
        <v>111</v>
      </c>
      <c r="CW339" t="s">
        <v>111</v>
      </c>
      <c r="CX339" t="s">
        <v>111</v>
      </c>
      <c r="CY339">
        <v>0</v>
      </c>
      <c r="CZ339" t="s">
        <v>111</v>
      </c>
      <c r="DA339" t="s">
        <v>111</v>
      </c>
      <c r="DB339" t="s">
        <v>111</v>
      </c>
      <c r="DC339" t="s">
        <v>111</v>
      </c>
    </row>
    <row r="340" spans="1:107">
      <c r="A340">
        <v>427</v>
      </c>
      <c r="B340" t="s">
        <v>162</v>
      </c>
      <c r="C340" t="s">
        <v>1295</v>
      </c>
      <c r="D340" t="s">
        <v>1296</v>
      </c>
      <c r="E340" t="s">
        <v>1297</v>
      </c>
      <c r="F340" t="s">
        <v>561</v>
      </c>
      <c r="G340" t="s">
        <v>469</v>
      </c>
      <c r="H340">
        <v>2.9</v>
      </c>
      <c r="I340">
        <v>66</v>
      </c>
      <c r="J340">
        <v>6</v>
      </c>
      <c r="K340">
        <v>6</v>
      </c>
      <c r="L340" t="s">
        <v>112</v>
      </c>
      <c r="M340" t="s">
        <v>118</v>
      </c>
      <c r="N340">
        <v>40</v>
      </c>
      <c r="O340">
        <v>2</v>
      </c>
      <c r="P340" t="s">
        <v>138</v>
      </c>
      <c r="Q340">
        <v>53</v>
      </c>
      <c r="R340">
        <v>0</v>
      </c>
      <c r="S340">
        <v>0</v>
      </c>
      <c r="T340">
        <v>0</v>
      </c>
      <c r="U340" s="1" t="s">
        <v>1298</v>
      </c>
      <c r="V340">
        <v>25</v>
      </c>
      <c r="W340">
        <v>0</v>
      </c>
      <c r="X340">
        <v>8</v>
      </c>
      <c r="Y340">
        <v>0</v>
      </c>
      <c r="Z340" t="s">
        <v>111</v>
      </c>
      <c r="AA340">
        <v>0</v>
      </c>
      <c r="AB340" t="s">
        <v>111</v>
      </c>
      <c r="AC340">
        <v>0</v>
      </c>
      <c r="AD340" t="s">
        <v>416</v>
      </c>
      <c r="AE340">
        <v>2</v>
      </c>
      <c r="AF340">
        <v>2</v>
      </c>
      <c r="AG340">
        <v>50</v>
      </c>
      <c r="AH340" t="s">
        <v>111</v>
      </c>
      <c r="AI340">
        <v>50</v>
      </c>
      <c r="AJ340" t="s">
        <v>111</v>
      </c>
      <c r="AK340" t="s">
        <v>111</v>
      </c>
      <c r="AL340" t="s">
        <v>111</v>
      </c>
      <c r="AM340">
        <v>0</v>
      </c>
      <c r="AN340">
        <v>0</v>
      </c>
      <c r="AO340">
        <v>0</v>
      </c>
      <c r="AP340" t="s">
        <v>366</v>
      </c>
      <c r="AQ340" t="s">
        <v>111</v>
      </c>
      <c r="AR340" t="s">
        <v>111</v>
      </c>
      <c r="AS340" t="s">
        <v>111</v>
      </c>
      <c r="AT340" t="s">
        <v>184</v>
      </c>
      <c r="AU340" t="s">
        <v>111</v>
      </c>
      <c r="AV340" t="s">
        <v>111</v>
      </c>
      <c r="AW340" t="s">
        <v>111</v>
      </c>
      <c r="AX340" t="s">
        <v>111</v>
      </c>
      <c r="AY340" t="s">
        <v>111</v>
      </c>
      <c r="AZ340" t="s">
        <v>111</v>
      </c>
      <c r="BA340" t="s">
        <v>111</v>
      </c>
      <c r="BB340" t="s">
        <v>111</v>
      </c>
      <c r="BC340" t="s">
        <v>111</v>
      </c>
      <c r="BD340" t="s">
        <v>111</v>
      </c>
      <c r="BE340" t="s">
        <v>111</v>
      </c>
      <c r="BF340" t="s">
        <v>111</v>
      </c>
      <c r="BG340" t="s">
        <v>111</v>
      </c>
      <c r="BH340" t="s">
        <v>111</v>
      </c>
      <c r="BI340" t="s">
        <v>111</v>
      </c>
      <c r="BJ340" t="s">
        <v>111</v>
      </c>
      <c r="BK340" t="s">
        <v>111</v>
      </c>
      <c r="BL340" t="s">
        <v>111</v>
      </c>
      <c r="BM340" t="s">
        <v>111</v>
      </c>
      <c r="BN340" t="s">
        <v>111</v>
      </c>
      <c r="BO340" t="s">
        <v>111</v>
      </c>
      <c r="BP340" t="s">
        <v>111</v>
      </c>
      <c r="BQ340" t="s">
        <v>111</v>
      </c>
      <c r="BR340" t="s">
        <v>366</v>
      </c>
      <c r="BS340" t="s">
        <v>111</v>
      </c>
      <c r="BT340" t="s">
        <v>111</v>
      </c>
      <c r="BU340" t="s">
        <v>111</v>
      </c>
      <c r="BV340" t="s">
        <v>184</v>
      </c>
      <c r="BW340" t="s">
        <v>111</v>
      </c>
      <c r="BX340" t="s">
        <v>111</v>
      </c>
      <c r="BY340" t="s">
        <v>111</v>
      </c>
      <c r="BZ340" t="s">
        <v>111</v>
      </c>
      <c r="CA340" t="s">
        <v>111</v>
      </c>
      <c r="CB340" t="s">
        <v>111</v>
      </c>
      <c r="CC340" t="s">
        <v>111</v>
      </c>
      <c r="CD340" t="s">
        <v>111</v>
      </c>
      <c r="CE340" t="s">
        <v>111</v>
      </c>
      <c r="CF340" t="s">
        <v>111</v>
      </c>
      <c r="CG340" t="s">
        <v>111</v>
      </c>
      <c r="CH340" t="s">
        <v>111</v>
      </c>
      <c r="CI340" t="s">
        <v>111</v>
      </c>
      <c r="CJ340" t="s">
        <v>111</v>
      </c>
      <c r="CK340" t="s">
        <v>111</v>
      </c>
      <c r="CL340" t="s">
        <v>153</v>
      </c>
      <c r="CM340" t="s">
        <v>198</v>
      </c>
      <c r="CN340" t="s">
        <v>113</v>
      </c>
      <c r="CO340" t="s">
        <v>111</v>
      </c>
      <c r="CP340" t="s">
        <v>433</v>
      </c>
      <c r="CQ340">
        <v>0</v>
      </c>
      <c r="CR340">
        <v>0</v>
      </c>
      <c r="CS340">
        <v>0</v>
      </c>
      <c r="CT340" t="s">
        <v>419</v>
      </c>
      <c r="CU340">
        <v>0</v>
      </c>
      <c r="CV340" t="s">
        <v>111</v>
      </c>
      <c r="CW340" t="s">
        <v>111</v>
      </c>
      <c r="CX340" t="s">
        <v>111</v>
      </c>
      <c r="CY340">
        <v>0</v>
      </c>
      <c r="CZ340" t="s">
        <v>111</v>
      </c>
      <c r="DA340" t="s">
        <v>111</v>
      </c>
      <c r="DB340" t="s">
        <v>240</v>
      </c>
      <c r="DC340" s="1" t="s">
        <v>1299</v>
      </c>
    </row>
    <row r="341" spans="1:107">
      <c r="A341">
        <v>735</v>
      </c>
      <c r="B341" t="s">
        <v>107</v>
      </c>
      <c r="C341" t="s">
        <v>801</v>
      </c>
      <c r="D341" t="s">
        <v>1300</v>
      </c>
      <c r="E341" t="s">
        <v>1301</v>
      </c>
      <c r="F341" t="s">
        <v>722</v>
      </c>
      <c r="G341" t="s">
        <v>469</v>
      </c>
      <c r="H341">
        <v>0.8</v>
      </c>
      <c r="I341">
        <v>46</v>
      </c>
      <c r="J341">
        <v>0</v>
      </c>
      <c r="K341">
        <v>0</v>
      </c>
      <c r="L341" t="s">
        <v>112</v>
      </c>
      <c r="M341" t="s">
        <v>138</v>
      </c>
      <c r="N341">
        <v>0</v>
      </c>
      <c r="O341">
        <v>0</v>
      </c>
      <c r="P341" t="s">
        <v>138</v>
      </c>
      <c r="Q341">
        <v>38.4</v>
      </c>
      <c r="R341">
        <v>0</v>
      </c>
      <c r="S341">
        <v>0</v>
      </c>
      <c r="T341">
        <v>5</v>
      </c>
      <c r="U341" t="e">
        <f>-DESTINO SELLADO</f>
        <v>#NAME?</v>
      </c>
      <c r="V341">
        <v>0</v>
      </c>
      <c r="W341">
        <v>25</v>
      </c>
      <c r="X341">
        <v>5</v>
      </c>
      <c r="Y341">
        <v>0</v>
      </c>
      <c r="Z341" t="s">
        <v>111</v>
      </c>
      <c r="AA341">
        <v>0</v>
      </c>
      <c r="AB341" t="s">
        <v>111</v>
      </c>
      <c r="AC341">
        <v>0</v>
      </c>
      <c r="AD341" t="s">
        <v>111</v>
      </c>
      <c r="AE341">
        <v>0</v>
      </c>
      <c r="AF341">
        <v>0</v>
      </c>
      <c r="AG341" t="s">
        <v>111</v>
      </c>
      <c r="AH341" t="s">
        <v>111</v>
      </c>
      <c r="AI341" t="s">
        <v>111</v>
      </c>
      <c r="AJ341" t="s">
        <v>111</v>
      </c>
      <c r="AK341" t="s">
        <v>111</v>
      </c>
      <c r="AL341" t="s">
        <v>111</v>
      </c>
      <c r="AM341">
        <v>0</v>
      </c>
      <c r="AN341">
        <v>0</v>
      </c>
      <c r="AO341">
        <v>0</v>
      </c>
      <c r="AP341" t="s">
        <v>111</v>
      </c>
      <c r="AQ341" t="s">
        <v>111</v>
      </c>
      <c r="AR341" t="s">
        <v>111</v>
      </c>
      <c r="AS341" t="s">
        <v>111</v>
      </c>
      <c r="AT341" t="s">
        <v>111</v>
      </c>
      <c r="AU341" t="s">
        <v>111</v>
      </c>
      <c r="AV341" t="s">
        <v>111</v>
      </c>
      <c r="AW341" t="s">
        <v>111</v>
      </c>
      <c r="AX341" t="s">
        <v>111</v>
      </c>
      <c r="AY341" t="s">
        <v>111</v>
      </c>
      <c r="AZ341" t="s">
        <v>111</v>
      </c>
      <c r="BA341" t="s">
        <v>111</v>
      </c>
      <c r="BB341" t="s">
        <v>111</v>
      </c>
      <c r="BC341" t="s">
        <v>111</v>
      </c>
      <c r="BD341" t="s">
        <v>111</v>
      </c>
      <c r="BE341" t="s">
        <v>111</v>
      </c>
      <c r="BF341" t="s">
        <v>111</v>
      </c>
      <c r="BG341" t="s">
        <v>111</v>
      </c>
      <c r="BH341" t="s">
        <v>111</v>
      </c>
      <c r="BI341" t="s">
        <v>111</v>
      </c>
      <c r="BJ341" t="s">
        <v>111</v>
      </c>
      <c r="BK341" t="s">
        <v>111</v>
      </c>
      <c r="BL341" t="s">
        <v>111</v>
      </c>
      <c r="BM341" t="s">
        <v>111</v>
      </c>
      <c r="BN341" t="s">
        <v>111</v>
      </c>
      <c r="BO341" t="s">
        <v>111</v>
      </c>
      <c r="BP341" t="s">
        <v>111</v>
      </c>
      <c r="BQ341" t="s">
        <v>111</v>
      </c>
      <c r="BR341" t="s">
        <v>111</v>
      </c>
      <c r="BS341" t="s">
        <v>111</v>
      </c>
      <c r="BT341" t="s">
        <v>111</v>
      </c>
      <c r="BU341" t="s">
        <v>111</v>
      </c>
      <c r="BV341" t="s">
        <v>111</v>
      </c>
      <c r="BW341" t="s">
        <v>111</v>
      </c>
      <c r="BX341" t="s">
        <v>111</v>
      </c>
      <c r="BY341" t="s">
        <v>111</v>
      </c>
      <c r="BZ341" t="s">
        <v>111</v>
      </c>
      <c r="CA341" t="s">
        <v>111</v>
      </c>
      <c r="CB341" t="s">
        <v>111</v>
      </c>
      <c r="CC341" t="s">
        <v>111</v>
      </c>
      <c r="CD341" t="s">
        <v>111</v>
      </c>
      <c r="CE341" t="s">
        <v>111</v>
      </c>
      <c r="CF341" t="s">
        <v>111</v>
      </c>
      <c r="CG341" t="s">
        <v>111</v>
      </c>
      <c r="CH341" t="s">
        <v>111</v>
      </c>
      <c r="CI341" t="s">
        <v>111</v>
      </c>
      <c r="CJ341" t="s">
        <v>111</v>
      </c>
      <c r="CK341" t="s">
        <v>111</v>
      </c>
      <c r="CL341" t="s">
        <v>111</v>
      </c>
      <c r="CM341" t="s">
        <v>111</v>
      </c>
      <c r="CN341" t="s">
        <v>111</v>
      </c>
      <c r="CO341" t="s">
        <v>111</v>
      </c>
      <c r="CP341" t="s">
        <v>111</v>
      </c>
      <c r="CQ341">
        <v>0</v>
      </c>
      <c r="CR341">
        <v>1500</v>
      </c>
      <c r="CS341">
        <v>100</v>
      </c>
      <c r="CT341" t="s">
        <v>111</v>
      </c>
      <c r="CU341">
        <v>0</v>
      </c>
      <c r="CV341" t="s">
        <v>111</v>
      </c>
      <c r="CW341" t="s">
        <v>111</v>
      </c>
      <c r="CX341" t="s">
        <v>111</v>
      </c>
      <c r="CY341">
        <v>0</v>
      </c>
      <c r="CZ341" t="s">
        <v>111</v>
      </c>
      <c r="DA341" t="s">
        <v>111</v>
      </c>
      <c r="DB341" t="s">
        <v>204</v>
      </c>
      <c r="DC341" s="1" t="s">
        <v>1302</v>
      </c>
    </row>
    <row r="342" spans="1:107">
      <c r="A342">
        <v>734</v>
      </c>
      <c r="B342" t="s">
        <v>107</v>
      </c>
      <c r="C342" t="s">
        <v>801</v>
      </c>
      <c r="D342" t="s">
        <v>1303</v>
      </c>
      <c r="E342" t="s">
        <v>1304</v>
      </c>
      <c r="F342" t="s">
        <v>125</v>
      </c>
      <c r="G342" t="s">
        <v>469</v>
      </c>
      <c r="H342">
        <v>0.5</v>
      </c>
      <c r="I342">
        <v>47</v>
      </c>
      <c r="J342">
        <v>0</v>
      </c>
      <c r="K342">
        <v>0</v>
      </c>
      <c r="L342" t="s">
        <v>112</v>
      </c>
      <c r="M342" t="s">
        <v>138</v>
      </c>
      <c r="N342">
        <v>0</v>
      </c>
      <c r="O342">
        <v>0</v>
      </c>
      <c r="P342" t="s">
        <v>138</v>
      </c>
      <c r="Q342">
        <v>39</v>
      </c>
      <c r="R342">
        <v>0</v>
      </c>
      <c r="S342">
        <v>0</v>
      </c>
      <c r="T342">
        <v>5</v>
      </c>
      <c r="U342" t="s">
        <v>153</v>
      </c>
      <c r="V342">
        <v>25</v>
      </c>
      <c r="W342">
        <v>0</v>
      </c>
      <c r="X342">
        <v>8</v>
      </c>
      <c r="Y342">
        <v>0</v>
      </c>
      <c r="Z342" t="s">
        <v>111</v>
      </c>
      <c r="AA342">
        <v>0</v>
      </c>
      <c r="AB342" t="s">
        <v>111</v>
      </c>
      <c r="AC342">
        <v>0</v>
      </c>
      <c r="AD342" t="s">
        <v>111</v>
      </c>
      <c r="AE342">
        <v>0</v>
      </c>
      <c r="AF342">
        <v>0</v>
      </c>
      <c r="AG342" t="s">
        <v>111</v>
      </c>
      <c r="AH342" t="s">
        <v>111</v>
      </c>
      <c r="AI342" t="s">
        <v>111</v>
      </c>
      <c r="AJ342" t="s">
        <v>111</v>
      </c>
      <c r="AK342" t="s">
        <v>111</v>
      </c>
      <c r="AL342" t="s">
        <v>111</v>
      </c>
      <c r="AM342">
        <v>0</v>
      </c>
      <c r="AN342">
        <v>0</v>
      </c>
      <c r="AO342">
        <v>0</v>
      </c>
      <c r="AP342" t="s">
        <v>111</v>
      </c>
      <c r="AQ342" t="s">
        <v>111</v>
      </c>
      <c r="AR342" t="s">
        <v>111</v>
      </c>
      <c r="AS342" t="s">
        <v>111</v>
      </c>
      <c r="AT342" t="s">
        <v>111</v>
      </c>
      <c r="AU342" t="s">
        <v>111</v>
      </c>
      <c r="AV342" t="s">
        <v>111</v>
      </c>
      <c r="AW342" t="s">
        <v>111</v>
      </c>
      <c r="AX342" t="s">
        <v>111</v>
      </c>
      <c r="AY342" t="s">
        <v>111</v>
      </c>
      <c r="AZ342" t="s">
        <v>111</v>
      </c>
      <c r="BA342" t="s">
        <v>111</v>
      </c>
      <c r="BB342" t="s">
        <v>111</v>
      </c>
      <c r="BC342" t="s">
        <v>111</v>
      </c>
      <c r="BD342" t="s">
        <v>111</v>
      </c>
      <c r="BE342" t="s">
        <v>111</v>
      </c>
      <c r="BF342" t="s">
        <v>111</v>
      </c>
      <c r="BG342" t="s">
        <v>111</v>
      </c>
      <c r="BH342" t="s">
        <v>111</v>
      </c>
      <c r="BI342" t="s">
        <v>111</v>
      </c>
      <c r="BJ342" t="s">
        <v>111</v>
      </c>
      <c r="BK342" t="s">
        <v>111</v>
      </c>
      <c r="BL342" t="s">
        <v>111</v>
      </c>
      <c r="BM342" t="s">
        <v>111</v>
      </c>
      <c r="BN342" t="s">
        <v>111</v>
      </c>
      <c r="BO342" t="s">
        <v>111</v>
      </c>
      <c r="BP342" t="s">
        <v>111</v>
      </c>
      <c r="BQ342" t="s">
        <v>111</v>
      </c>
      <c r="BR342" t="s">
        <v>111</v>
      </c>
      <c r="BS342" t="s">
        <v>111</v>
      </c>
      <c r="BT342" t="s">
        <v>111</v>
      </c>
      <c r="BU342" t="s">
        <v>111</v>
      </c>
      <c r="BV342" t="s">
        <v>111</v>
      </c>
      <c r="BW342" t="s">
        <v>111</v>
      </c>
      <c r="BX342" t="s">
        <v>111</v>
      </c>
      <c r="BY342" t="s">
        <v>111</v>
      </c>
      <c r="BZ342" t="s">
        <v>111</v>
      </c>
      <c r="CA342" t="s">
        <v>111</v>
      </c>
      <c r="CB342" t="s">
        <v>111</v>
      </c>
      <c r="CC342" t="s">
        <v>111</v>
      </c>
      <c r="CD342" t="s">
        <v>111</v>
      </c>
      <c r="CE342" t="s">
        <v>111</v>
      </c>
      <c r="CF342" t="s">
        <v>111</v>
      </c>
      <c r="CG342" t="s">
        <v>111</v>
      </c>
      <c r="CH342" t="s">
        <v>111</v>
      </c>
      <c r="CI342" t="s">
        <v>111</v>
      </c>
      <c r="CJ342" t="s">
        <v>111</v>
      </c>
      <c r="CK342" t="s">
        <v>111</v>
      </c>
      <c r="CL342" t="s">
        <v>111</v>
      </c>
      <c r="CM342" t="s">
        <v>127</v>
      </c>
      <c r="CN342" t="s">
        <v>128</v>
      </c>
      <c r="CO342" t="s">
        <v>111</v>
      </c>
      <c r="CP342" t="s">
        <v>111</v>
      </c>
      <c r="CQ342">
        <v>0</v>
      </c>
      <c r="CR342">
        <v>1500</v>
      </c>
      <c r="CS342">
        <v>100</v>
      </c>
      <c r="CT342" t="e">
        <f>-ALMACEN</f>
        <v>#NAME?</v>
      </c>
      <c r="CU342">
        <v>0</v>
      </c>
      <c r="CV342" t="s">
        <v>111</v>
      </c>
      <c r="CW342" t="s">
        <v>111</v>
      </c>
      <c r="CX342" t="s">
        <v>111</v>
      </c>
      <c r="CY342">
        <v>0</v>
      </c>
      <c r="CZ342" t="s">
        <v>111</v>
      </c>
      <c r="DA342" t="s">
        <v>111</v>
      </c>
      <c r="DB342" t="s">
        <v>111</v>
      </c>
      <c r="DC342" t="s">
        <v>111</v>
      </c>
    </row>
    <row r="343" spans="1:107">
      <c r="A343">
        <v>455</v>
      </c>
      <c r="B343" t="s">
        <v>162</v>
      </c>
      <c r="C343" t="s">
        <v>336</v>
      </c>
      <c r="D343" t="s">
        <v>1149</v>
      </c>
      <c r="E343" t="s">
        <v>1305</v>
      </c>
      <c r="F343" t="s">
        <v>125</v>
      </c>
      <c r="G343" t="s">
        <v>469</v>
      </c>
      <c r="H343">
        <v>1.9</v>
      </c>
      <c r="I343">
        <v>51</v>
      </c>
      <c r="J343">
        <v>0</v>
      </c>
      <c r="K343">
        <v>0</v>
      </c>
      <c r="L343" t="s">
        <v>112</v>
      </c>
      <c r="M343" t="s">
        <v>138</v>
      </c>
      <c r="N343">
        <v>0</v>
      </c>
      <c r="O343">
        <v>0</v>
      </c>
      <c r="P343" t="s">
        <v>138</v>
      </c>
      <c r="Q343">
        <v>40</v>
      </c>
      <c r="R343">
        <v>0</v>
      </c>
      <c r="S343">
        <v>0</v>
      </c>
      <c r="T343">
        <v>0</v>
      </c>
      <c r="U343" s="1" t="s">
        <v>1306</v>
      </c>
      <c r="V343">
        <v>25</v>
      </c>
      <c r="W343">
        <v>0</v>
      </c>
      <c r="X343">
        <v>8</v>
      </c>
      <c r="Y343">
        <v>0</v>
      </c>
      <c r="Z343" t="s">
        <v>111</v>
      </c>
      <c r="AA343">
        <v>0</v>
      </c>
      <c r="AB343" t="s">
        <v>111</v>
      </c>
      <c r="AC343">
        <v>0</v>
      </c>
      <c r="AD343" t="s">
        <v>111</v>
      </c>
      <c r="AE343">
        <v>0</v>
      </c>
      <c r="AF343">
        <v>0</v>
      </c>
      <c r="AG343" t="s">
        <v>111</v>
      </c>
      <c r="AH343" t="s">
        <v>111</v>
      </c>
      <c r="AI343" t="s">
        <v>111</v>
      </c>
      <c r="AJ343" t="s">
        <v>111</v>
      </c>
      <c r="AK343" t="s">
        <v>111</v>
      </c>
      <c r="AL343" t="s">
        <v>111</v>
      </c>
      <c r="AM343">
        <v>0</v>
      </c>
      <c r="AN343">
        <v>0</v>
      </c>
      <c r="AO343">
        <v>0</v>
      </c>
      <c r="AP343" t="s">
        <v>111</v>
      </c>
      <c r="AQ343" t="s">
        <v>111</v>
      </c>
      <c r="AR343" t="s">
        <v>111</v>
      </c>
      <c r="AS343" t="s">
        <v>111</v>
      </c>
      <c r="AT343" t="s">
        <v>111</v>
      </c>
      <c r="AU343" t="s">
        <v>111</v>
      </c>
      <c r="AV343" t="s">
        <v>111</v>
      </c>
      <c r="AW343" t="s">
        <v>111</v>
      </c>
      <c r="AX343" t="s">
        <v>111</v>
      </c>
      <c r="AY343" t="s">
        <v>111</v>
      </c>
      <c r="AZ343" t="s">
        <v>111</v>
      </c>
      <c r="BA343" t="s">
        <v>111</v>
      </c>
      <c r="BB343" t="s">
        <v>111</v>
      </c>
      <c r="BC343" t="s">
        <v>111</v>
      </c>
      <c r="BD343" t="s">
        <v>111</v>
      </c>
      <c r="BE343" t="s">
        <v>111</v>
      </c>
      <c r="BF343" t="s">
        <v>111</v>
      </c>
      <c r="BG343" t="s">
        <v>111</v>
      </c>
      <c r="BH343" t="s">
        <v>111</v>
      </c>
      <c r="BI343" t="s">
        <v>111</v>
      </c>
      <c r="BJ343" t="s">
        <v>111</v>
      </c>
      <c r="BK343" t="s">
        <v>111</v>
      </c>
      <c r="BL343" t="s">
        <v>111</v>
      </c>
      <c r="BM343" t="s">
        <v>111</v>
      </c>
      <c r="BN343" t="s">
        <v>111</v>
      </c>
      <c r="BO343" t="s">
        <v>111</v>
      </c>
      <c r="BP343" t="s">
        <v>111</v>
      </c>
      <c r="BQ343" t="s">
        <v>111</v>
      </c>
      <c r="BR343" t="s">
        <v>111</v>
      </c>
      <c r="BS343" t="s">
        <v>111</v>
      </c>
      <c r="BT343" t="s">
        <v>111</v>
      </c>
      <c r="BU343" t="s">
        <v>111</v>
      </c>
      <c r="BV343" t="s">
        <v>111</v>
      </c>
      <c r="BW343" t="s">
        <v>111</v>
      </c>
      <c r="BX343" t="s">
        <v>111</v>
      </c>
      <c r="BY343" t="s">
        <v>111</v>
      </c>
      <c r="BZ343" t="s">
        <v>111</v>
      </c>
      <c r="CA343" t="s">
        <v>111</v>
      </c>
      <c r="CB343" t="s">
        <v>111</v>
      </c>
      <c r="CC343" t="s">
        <v>111</v>
      </c>
      <c r="CD343" t="s">
        <v>111</v>
      </c>
      <c r="CE343" t="s">
        <v>111</v>
      </c>
      <c r="CF343" t="s">
        <v>111</v>
      </c>
      <c r="CG343" t="s">
        <v>111</v>
      </c>
      <c r="CH343" t="s">
        <v>111</v>
      </c>
      <c r="CI343" t="s">
        <v>111</v>
      </c>
      <c r="CJ343" t="s">
        <v>111</v>
      </c>
      <c r="CK343" t="s">
        <v>111</v>
      </c>
      <c r="CL343" t="s">
        <v>111</v>
      </c>
      <c r="CM343" t="s">
        <v>111</v>
      </c>
      <c r="CN343" t="s">
        <v>111</v>
      </c>
      <c r="CO343" t="s">
        <v>111</v>
      </c>
      <c r="CP343" t="s">
        <v>111</v>
      </c>
      <c r="CQ343">
        <v>0</v>
      </c>
      <c r="CR343">
        <v>200</v>
      </c>
      <c r="CS343">
        <v>20</v>
      </c>
      <c r="CT343" t="s">
        <v>111</v>
      </c>
      <c r="CU343">
        <v>0</v>
      </c>
      <c r="CV343" t="s">
        <v>111</v>
      </c>
      <c r="CW343" t="s">
        <v>111</v>
      </c>
      <c r="CX343" t="s">
        <v>111</v>
      </c>
      <c r="CY343">
        <v>0</v>
      </c>
      <c r="CZ343" t="s">
        <v>111</v>
      </c>
      <c r="DA343" t="s">
        <v>111</v>
      </c>
      <c r="DB343" t="s">
        <v>204</v>
      </c>
      <c r="DC343" s="1" t="s">
        <v>205</v>
      </c>
    </row>
    <row r="344" spans="1:107">
      <c r="A344">
        <v>457</v>
      </c>
      <c r="B344" t="s">
        <v>107</v>
      </c>
      <c r="C344" t="s">
        <v>1085</v>
      </c>
      <c r="D344" t="s">
        <v>1307</v>
      </c>
      <c r="E344" t="s">
        <v>1308</v>
      </c>
      <c r="F344" t="s">
        <v>431</v>
      </c>
      <c r="G344" t="s">
        <v>469</v>
      </c>
      <c r="H344">
        <v>3</v>
      </c>
      <c r="I344">
        <v>88</v>
      </c>
      <c r="J344">
        <v>0</v>
      </c>
      <c r="K344">
        <v>0</v>
      </c>
      <c r="L344" t="s">
        <v>117</v>
      </c>
      <c r="M344" t="s">
        <v>118</v>
      </c>
      <c r="N344">
        <v>42</v>
      </c>
      <c r="O344">
        <v>1</v>
      </c>
      <c r="P344" t="s">
        <v>138</v>
      </c>
      <c r="Q344">
        <v>50</v>
      </c>
      <c r="R344">
        <v>0</v>
      </c>
      <c r="S344">
        <v>0</v>
      </c>
      <c r="T344">
        <v>0</v>
      </c>
      <c r="U344" s="1" t="s">
        <v>1309</v>
      </c>
      <c r="V344">
        <v>0</v>
      </c>
      <c r="W344">
        <v>25</v>
      </c>
      <c r="X344">
        <v>0</v>
      </c>
      <c r="Y344">
        <v>0</v>
      </c>
      <c r="Z344" t="s">
        <v>111</v>
      </c>
      <c r="AA344">
        <v>0</v>
      </c>
      <c r="AB344">
        <v>640</v>
      </c>
      <c r="AC344">
        <v>25</v>
      </c>
      <c r="AD344" t="s">
        <v>416</v>
      </c>
      <c r="AE344">
        <v>2</v>
      </c>
      <c r="AF344">
        <v>1</v>
      </c>
      <c r="AG344" t="s">
        <v>1098</v>
      </c>
      <c r="AH344" t="s">
        <v>113</v>
      </c>
      <c r="AI344" t="s">
        <v>1098</v>
      </c>
      <c r="AJ344" t="s">
        <v>111</v>
      </c>
      <c r="AK344" t="s">
        <v>111</v>
      </c>
      <c r="AL344" t="s">
        <v>111</v>
      </c>
      <c r="AM344">
        <v>0</v>
      </c>
      <c r="AN344">
        <v>0</v>
      </c>
      <c r="AO344">
        <v>0</v>
      </c>
      <c r="AP344" t="s">
        <v>1310</v>
      </c>
      <c r="AQ344" t="s">
        <v>111</v>
      </c>
      <c r="AR344" t="s">
        <v>111</v>
      </c>
      <c r="AS344" t="s">
        <v>111</v>
      </c>
      <c r="AT344" t="s">
        <v>772</v>
      </c>
      <c r="AU344" t="s">
        <v>111</v>
      </c>
      <c r="AV344" t="s">
        <v>111</v>
      </c>
      <c r="AW344" t="s">
        <v>111</v>
      </c>
      <c r="AX344" t="s">
        <v>111</v>
      </c>
      <c r="AY344" t="s">
        <v>111</v>
      </c>
      <c r="AZ344" t="s">
        <v>111</v>
      </c>
      <c r="BA344" t="s">
        <v>111</v>
      </c>
      <c r="BB344" t="s">
        <v>111</v>
      </c>
      <c r="BC344" t="s">
        <v>111</v>
      </c>
      <c r="BD344" t="s">
        <v>111</v>
      </c>
      <c r="BE344" t="s">
        <v>111</v>
      </c>
      <c r="BF344" t="s">
        <v>111</v>
      </c>
      <c r="BG344" t="s">
        <v>111</v>
      </c>
      <c r="BH344" t="s">
        <v>111</v>
      </c>
      <c r="BI344" t="s">
        <v>111</v>
      </c>
      <c r="BJ344" t="s">
        <v>111</v>
      </c>
      <c r="BK344" t="s">
        <v>111</v>
      </c>
      <c r="BL344" t="s">
        <v>111</v>
      </c>
      <c r="BM344" t="s">
        <v>111</v>
      </c>
      <c r="BN344" t="s">
        <v>111</v>
      </c>
      <c r="BO344" t="s">
        <v>111</v>
      </c>
      <c r="BP344" t="s">
        <v>111</v>
      </c>
      <c r="BQ344" t="s">
        <v>111</v>
      </c>
      <c r="BR344" t="s">
        <v>111</v>
      </c>
      <c r="BS344" t="s">
        <v>111</v>
      </c>
      <c r="BT344" t="s">
        <v>111</v>
      </c>
      <c r="BU344" t="s">
        <v>111</v>
      </c>
      <c r="BV344" t="s">
        <v>111</v>
      </c>
      <c r="BW344" t="s">
        <v>111</v>
      </c>
      <c r="BX344" t="s">
        <v>111</v>
      </c>
      <c r="BY344" t="s">
        <v>111</v>
      </c>
      <c r="BZ344" t="s">
        <v>111</v>
      </c>
      <c r="CA344" t="s">
        <v>111</v>
      </c>
      <c r="CB344" t="s">
        <v>111</v>
      </c>
      <c r="CC344" t="s">
        <v>111</v>
      </c>
      <c r="CD344" t="s">
        <v>111</v>
      </c>
      <c r="CE344" t="s">
        <v>111</v>
      </c>
      <c r="CF344" t="s">
        <v>111</v>
      </c>
      <c r="CG344" t="s">
        <v>111</v>
      </c>
      <c r="CH344" t="s">
        <v>111</v>
      </c>
      <c r="CI344" t="s">
        <v>111</v>
      </c>
      <c r="CJ344" t="s">
        <v>111</v>
      </c>
      <c r="CK344" t="s">
        <v>111</v>
      </c>
      <c r="CL344" t="e">
        <f>-DESTINO SELLADO</f>
        <v>#NAME?</v>
      </c>
      <c r="CM344" t="s">
        <v>198</v>
      </c>
      <c r="CN344" t="s">
        <v>113</v>
      </c>
      <c r="CO344" t="s">
        <v>111</v>
      </c>
      <c r="CP344" t="s">
        <v>111</v>
      </c>
      <c r="CQ344">
        <v>0</v>
      </c>
      <c r="CR344">
        <v>3000</v>
      </c>
      <c r="CS344">
        <v>100</v>
      </c>
      <c r="CT344" s="1" t="s">
        <v>1311</v>
      </c>
      <c r="CU344">
        <v>0</v>
      </c>
      <c r="CV344" t="s">
        <v>111</v>
      </c>
      <c r="CW344" t="s">
        <v>111</v>
      </c>
      <c r="CX344" t="s">
        <v>111</v>
      </c>
      <c r="CY344">
        <v>0</v>
      </c>
      <c r="CZ344" t="s">
        <v>111</v>
      </c>
      <c r="DA344" t="s">
        <v>111</v>
      </c>
      <c r="DB344" t="s">
        <v>1312</v>
      </c>
      <c r="DC344" s="1" t="s">
        <v>1313</v>
      </c>
    </row>
    <row r="345" spans="1:107">
      <c r="A345">
        <v>705</v>
      </c>
      <c r="B345" t="s">
        <v>1314</v>
      </c>
      <c r="C345" t="s">
        <v>226</v>
      </c>
      <c r="D345" t="s">
        <v>1168</v>
      </c>
      <c r="E345" t="s">
        <v>1315</v>
      </c>
      <c r="F345" t="s">
        <v>125</v>
      </c>
      <c r="G345" t="s">
        <v>469</v>
      </c>
      <c r="H345">
        <v>0.95</v>
      </c>
      <c r="I345">
        <v>60</v>
      </c>
      <c r="J345">
        <v>0</v>
      </c>
      <c r="K345">
        <v>0</v>
      </c>
      <c r="L345" t="s">
        <v>112</v>
      </c>
      <c r="M345" t="s">
        <v>138</v>
      </c>
      <c r="N345">
        <v>0</v>
      </c>
      <c r="O345">
        <v>0</v>
      </c>
      <c r="P345" t="s">
        <v>138</v>
      </c>
      <c r="Q345">
        <v>50</v>
      </c>
      <c r="R345">
        <v>0</v>
      </c>
      <c r="S345">
        <v>0</v>
      </c>
      <c r="T345">
        <v>0</v>
      </c>
      <c r="U345" s="1" t="s">
        <v>1316</v>
      </c>
      <c r="V345">
        <v>25</v>
      </c>
      <c r="W345">
        <v>0</v>
      </c>
      <c r="X345">
        <v>8</v>
      </c>
      <c r="Y345">
        <v>0</v>
      </c>
      <c r="Z345" t="s">
        <v>111</v>
      </c>
      <c r="AA345">
        <v>0</v>
      </c>
      <c r="AB345" t="s">
        <v>111</v>
      </c>
      <c r="AC345">
        <v>0</v>
      </c>
      <c r="AD345" t="s">
        <v>111</v>
      </c>
      <c r="AE345">
        <v>0</v>
      </c>
      <c r="AF345">
        <v>0</v>
      </c>
      <c r="AG345" t="s">
        <v>111</v>
      </c>
      <c r="AH345" t="s">
        <v>111</v>
      </c>
      <c r="AI345" t="s">
        <v>111</v>
      </c>
      <c r="AJ345" t="s">
        <v>111</v>
      </c>
      <c r="AK345" t="s">
        <v>111</v>
      </c>
      <c r="AL345" t="s">
        <v>111</v>
      </c>
      <c r="AM345">
        <v>0</v>
      </c>
      <c r="AN345">
        <v>0</v>
      </c>
      <c r="AO345">
        <v>0</v>
      </c>
      <c r="AP345" t="s">
        <v>111</v>
      </c>
      <c r="AQ345" t="s">
        <v>111</v>
      </c>
      <c r="AR345" t="s">
        <v>111</v>
      </c>
      <c r="AS345" t="s">
        <v>111</v>
      </c>
      <c r="AT345" t="s">
        <v>111</v>
      </c>
      <c r="AU345" t="s">
        <v>111</v>
      </c>
      <c r="AV345" t="s">
        <v>111</v>
      </c>
      <c r="AW345" t="s">
        <v>111</v>
      </c>
      <c r="AX345" t="s">
        <v>111</v>
      </c>
      <c r="AY345" t="s">
        <v>111</v>
      </c>
      <c r="AZ345" t="s">
        <v>111</v>
      </c>
      <c r="BA345" t="s">
        <v>111</v>
      </c>
      <c r="BB345" t="s">
        <v>111</v>
      </c>
      <c r="BC345" t="s">
        <v>111</v>
      </c>
      <c r="BD345" t="s">
        <v>111</v>
      </c>
      <c r="BE345" t="s">
        <v>111</v>
      </c>
      <c r="BF345" t="s">
        <v>111</v>
      </c>
      <c r="BG345" t="s">
        <v>111</v>
      </c>
      <c r="BH345" t="s">
        <v>111</v>
      </c>
      <c r="BI345" t="s">
        <v>111</v>
      </c>
      <c r="BJ345" t="s">
        <v>111</v>
      </c>
      <c r="BK345" t="s">
        <v>111</v>
      </c>
      <c r="BL345" t="s">
        <v>111</v>
      </c>
      <c r="BM345" t="s">
        <v>111</v>
      </c>
      <c r="BN345" t="s">
        <v>111</v>
      </c>
      <c r="BO345" t="s">
        <v>111</v>
      </c>
      <c r="BP345" t="s">
        <v>111</v>
      </c>
      <c r="BQ345" t="s">
        <v>111</v>
      </c>
      <c r="BR345" t="s">
        <v>111</v>
      </c>
      <c r="BS345" t="s">
        <v>111</v>
      </c>
      <c r="BT345" t="s">
        <v>111</v>
      </c>
      <c r="BU345" t="s">
        <v>111</v>
      </c>
      <c r="BV345" t="s">
        <v>111</v>
      </c>
      <c r="BW345" t="s">
        <v>111</v>
      </c>
      <c r="BX345" t="s">
        <v>111</v>
      </c>
      <c r="BY345" t="s">
        <v>111</v>
      </c>
      <c r="BZ345" t="s">
        <v>111</v>
      </c>
      <c r="CA345" t="s">
        <v>111</v>
      </c>
      <c r="CB345" t="s">
        <v>111</v>
      </c>
      <c r="CC345" t="s">
        <v>111</v>
      </c>
      <c r="CD345" t="s">
        <v>111</v>
      </c>
      <c r="CE345" t="s">
        <v>111</v>
      </c>
      <c r="CF345" t="s">
        <v>111</v>
      </c>
      <c r="CG345" t="s">
        <v>111</v>
      </c>
      <c r="CH345" t="s">
        <v>111</v>
      </c>
      <c r="CI345" t="s">
        <v>111</v>
      </c>
      <c r="CJ345" t="s">
        <v>111</v>
      </c>
      <c r="CK345" t="s">
        <v>111</v>
      </c>
      <c r="CL345" t="s">
        <v>111</v>
      </c>
      <c r="CM345" t="s">
        <v>127</v>
      </c>
      <c r="CN345" t="s">
        <v>128</v>
      </c>
      <c r="CO345" t="s">
        <v>111</v>
      </c>
      <c r="CP345" t="s">
        <v>111</v>
      </c>
      <c r="CQ345">
        <v>0</v>
      </c>
      <c r="CR345">
        <v>100</v>
      </c>
      <c r="CS345">
        <v>1000</v>
      </c>
      <c r="CT345" s="1" t="s">
        <v>1317</v>
      </c>
      <c r="CU345">
        <v>0</v>
      </c>
      <c r="CV345" t="s">
        <v>111</v>
      </c>
      <c r="CW345" t="s">
        <v>111</v>
      </c>
      <c r="CX345" t="s">
        <v>111</v>
      </c>
      <c r="CY345">
        <v>0</v>
      </c>
      <c r="CZ345" t="s">
        <v>111</v>
      </c>
      <c r="DA345" t="s">
        <v>111</v>
      </c>
      <c r="DB345" t="s">
        <v>111</v>
      </c>
      <c r="DC345" t="s">
        <v>111</v>
      </c>
    </row>
    <row r="346" spans="1:107">
      <c r="A346">
        <v>686</v>
      </c>
      <c r="B346" t="s">
        <v>162</v>
      </c>
      <c r="C346" t="s">
        <v>154</v>
      </c>
      <c r="D346" t="s">
        <v>998</v>
      </c>
      <c r="E346" t="s">
        <v>1318</v>
      </c>
      <c r="F346" t="s">
        <v>157</v>
      </c>
      <c r="G346" t="s">
        <v>469</v>
      </c>
      <c r="H346">
        <v>1.7</v>
      </c>
      <c r="I346">
        <v>86</v>
      </c>
      <c r="J346">
        <v>0</v>
      </c>
      <c r="K346">
        <v>0</v>
      </c>
      <c r="L346" t="s">
        <v>112</v>
      </c>
      <c r="M346" t="s">
        <v>138</v>
      </c>
      <c r="N346">
        <v>0</v>
      </c>
      <c r="O346">
        <v>0</v>
      </c>
      <c r="P346" t="s">
        <v>138</v>
      </c>
      <c r="Q346">
        <v>50</v>
      </c>
      <c r="R346">
        <v>0</v>
      </c>
      <c r="S346">
        <v>0</v>
      </c>
      <c r="T346">
        <v>0</v>
      </c>
      <c r="U346" t="s">
        <v>168</v>
      </c>
      <c r="V346">
        <v>12.5</v>
      </c>
      <c r="W346">
        <v>12.5</v>
      </c>
      <c r="X346">
        <v>0</v>
      </c>
      <c r="Y346">
        <v>0</v>
      </c>
      <c r="Z346" t="s">
        <v>111</v>
      </c>
      <c r="AA346">
        <v>0</v>
      </c>
      <c r="AB346" t="s">
        <v>1319</v>
      </c>
      <c r="AC346">
        <v>0</v>
      </c>
      <c r="AD346" t="s">
        <v>111</v>
      </c>
      <c r="AE346">
        <v>0</v>
      </c>
      <c r="AF346">
        <v>0</v>
      </c>
      <c r="AG346" t="s">
        <v>111</v>
      </c>
      <c r="AH346" t="s">
        <v>111</v>
      </c>
      <c r="AI346" t="s">
        <v>111</v>
      </c>
      <c r="AJ346" t="s">
        <v>111</v>
      </c>
      <c r="AK346" t="s">
        <v>111</v>
      </c>
      <c r="AL346" t="s">
        <v>111</v>
      </c>
      <c r="AM346">
        <v>0</v>
      </c>
      <c r="AN346">
        <v>0</v>
      </c>
      <c r="AO346">
        <v>0</v>
      </c>
      <c r="AP346" t="s">
        <v>111</v>
      </c>
      <c r="AQ346" t="s">
        <v>111</v>
      </c>
      <c r="AR346" t="s">
        <v>111</v>
      </c>
      <c r="AS346" t="s">
        <v>111</v>
      </c>
      <c r="AT346" t="s">
        <v>111</v>
      </c>
      <c r="AU346" t="s">
        <v>111</v>
      </c>
      <c r="AV346" t="s">
        <v>111</v>
      </c>
      <c r="AW346" t="s">
        <v>111</v>
      </c>
      <c r="AX346" t="s">
        <v>111</v>
      </c>
      <c r="AY346" t="s">
        <v>111</v>
      </c>
      <c r="AZ346" t="s">
        <v>111</v>
      </c>
      <c r="BA346" t="s">
        <v>111</v>
      </c>
      <c r="BB346" t="s">
        <v>111</v>
      </c>
      <c r="BC346" t="s">
        <v>111</v>
      </c>
      <c r="BD346" t="s">
        <v>111</v>
      </c>
      <c r="BE346" t="s">
        <v>111</v>
      </c>
      <c r="BF346" t="s">
        <v>111</v>
      </c>
      <c r="BG346" t="s">
        <v>111</v>
      </c>
      <c r="BH346" t="s">
        <v>111</v>
      </c>
      <c r="BI346" t="s">
        <v>111</v>
      </c>
      <c r="BJ346" t="s">
        <v>111</v>
      </c>
      <c r="BK346" t="s">
        <v>111</v>
      </c>
      <c r="BL346" t="s">
        <v>111</v>
      </c>
      <c r="BM346" t="s">
        <v>111</v>
      </c>
      <c r="BN346" t="s">
        <v>111</v>
      </c>
      <c r="BO346" t="s">
        <v>111</v>
      </c>
      <c r="BP346" t="s">
        <v>111</v>
      </c>
      <c r="BQ346" t="s">
        <v>111</v>
      </c>
      <c r="BR346" t="s">
        <v>111</v>
      </c>
      <c r="BS346" t="s">
        <v>111</v>
      </c>
      <c r="BT346" t="s">
        <v>111</v>
      </c>
      <c r="BU346" t="s">
        <v>111</v>
      </c>
      <c r="BV346" t="s">
        <v>111</v>
      </c>
      <c r="BW346" t="s">
        <v>111</v>
      </c>
      <c r="BX346" t="s">
        <v>111</v>
      </c>
      <c r="BY346" t="s">
        <v>111</v>
      </c>
      <c r="BZ346" t="s">
        <v>111</v>
      </c>
      <c r="CA346" t="s">
        <v>111</v>
      </c>
      <c r="CB346" t="s">
        <v>111</v>
      </c>
      <c r="CC346" t="s">
        <v>111</v>
      </c>
      <c r="CD346" t="s">
        <v>111</v>
      </c>
      <c r="CE346" t="s">
        <v>111</v>
      </c>
      <c r="CF346" t="s">
        <v>111</v>
      </c>
      <c r="CG346" t="s">
        <v>111</v>
      </c>
      <c r="CH346" t="s">
        <v>111</v>
      </c>
      <c r="CI346" t="s">
        <v>111</v>
      </c>
      <c r="CJ346" t="s">
        <v>111</v>
      </c>
      <c r="CK346" t="s">
        <v>111</v>
      </c>
      <c r="CL346" t="s">
        <v>111</v>
      </c>
      <c r="CM346" t="s">
        <v>111</v>
      </c>
      <c r="CN346" t="s">
        <v>111</v>
      </c>
      <c r="CO346" t="s">
        <v>111</v>
      </c>
      <c r="CP346" t="s">
        <v>111</v>
      </c>
      <c r="CQ346">
        <v>0</v>
      </c>
      <c r="CR346">
        <v>0</v>
      </c>
      <c r="CS346">
        <v>0</v>
      </c>
      <c r="CT346" t="s">
        <v>111</v>
      </c>
      <c r="CU346">
        <v>0</v>
      </c>
      <c r="CV346" t="s">
        <v>111</v>
      </c>
      <c r="CW346" t="s">
        <v>111</v>
      </c>
      <c r="CX346" t="s">
        <v>111</v>
      </c>
      <c r="CY346">
        <v>0</v>
      </c>
      <c r="CZ346" t="s">
        <v>111</v>
      </c>
      <c r="DA346" t="s">
        <v>111</v>
      </c>
      <c r="DB346" t="s">
        <v>111</v>
      </c>
      <c r="DC346" t="s">
        <v>111</v>
      </c>
    </row>
    <row r="347" spans="1:107">
      <c r="A347">
        <v>685</v>
      </c>
      <c r="B347" t="s">
        <v>107</v>
      </c>
      <c r="C347" t="s">
        <v>154</v>
      </c>
      <c r="D347" t="s">
        <v>1320</v>
      </c>
      <c r="E347" t="s">
        <v>1321</v>
      </c>
      <c r="F347" t="s">
        <v>192</v>
      </c>
      <c r="G347" t="s">
        <v>469</v>
      </c>
      <c r="H347">
        <v>1.6</v>
      </c>
      <c r="I347">
        <v>86</v>
      </c>
      <c r="J347">
        <v>0</v>
      </c>
      <c r="K347">
        <v>0</v>
      </c>
      <c r="L347" t="s">
        <v>112</v>
      </c>
      <c r="M347" t="s">
        <v>138</v>
      </c>
      <c r="N347">
        <v>0</v>
      </c>
      <c r="O347">
        <v>0</v>
      </c>
      <c r="P347" t="s">
        <v>138</v>
      </c>
      <c r="Q347">
        <v>50</v>
      </c>
      <c r="R347">
        <v>0</v>
      </c>
      <c r="S347">
        <v>0</v>
      </c>
      <c r="T347">
        <v>5</v>
      </c>
      <c r="U347" t="s">
        <v>203</v>
      </c>
      <c r="V347">
        <v>12.5</v>
      </c>
      <c r="W347">
        <v>12.5</v>
      </c>
      <c r="X347">
        <v>0</v>
      </c>
      <c r="Y347">
        <v>0</v>
      </c>
      <c r="Z347" t="s">
        <v>327</v>
      </c>
      <c r="AA347">
        <v>2.5</v>
      </c>
      <c r="AB347" t="s">
        <v>339</v>
      </c>
      <c r="AC347">
        <v>25</v>
      </c>
      <c r="AD347" t="s">
        <v>111</v>
      </c>
      <c r="AE347">
        <v>0</v>
      </c>
      <c r="AF347">
        <v>0</v>
      </c>
      <c r="AG347" t="s">
        <v>111</v>
      </c>
      <c r="AH347" t="s">
        <v>111</v>
      </c>
      <c r="AI347" t="s">
        <v>111</v>
      </c>
      <c r="AJ347" t="s">
        <v>111</v>
      </c>
      <c r="AK347" t="s">
        <v>111</v>
      </c>
      <c r="AL347" t="s">
        <v>111</v>
      </c>
      <c r="AM347">
        <v>0</v>
      </c>
      <c r="AN347">
        <v>0</v>
      </c>
      <c r="AO347">
        <v>0</v>
      </c>
      <c r="AP347" t="s">
        <v>111</v>
      </c>
      <c r="AQ347" t="s">
        <v>111</v>
      </c>
      <c r="AR347" t="s">
        <v>111</v>
      </c>
      <c r="AS347" t="s">
        <v>111</v>
      </c>
      <c r="AT347" t="s">
        <v>111</v>
      </c>
      <c r="AU347" t="s">
        <v>111</v>
      </c>
      <c r="AV347" t="s">
        <v>111</v>
      </c>
      <c r="AW347" t="s">
        <v>111</v>
      </c>
      <c r="AX347" t="s">
        <v>111</v>
      </c>
      <c r="AY347" t="s">
        <v>111</v>
      </c>
      <c r="AZ347" t="s">
        <v>111</v>
      </c>
      <c r="BA347" t="s">
        <v>111</v>
      </c>
      <c r="BB347" t="s">
        <v>111</v>
      </c>
      <c r="BC347" t="s">
        <v>111</v>
      </c>
      <c r="BD347" t="s">
        <v>111</v>
      </c>
      <c r="BE347" t="s">
        <v>111</v>
      </c>
      <c r="BF347" t="s">
        <v>111</v>
      </c>
      <c r="BG347" t="s">
        <v>111</v>
      </c>
      <c r="BH347" t="s">
        <v>111</v>
      </c>
      <c r="BI347" t="s">
        <v>111</v>
      </c>
      <c r="BJ347" t="s">
        <v>111</v>
      </c>
      <c r="BK347" t="s">
        <v>111</v>
      </c>
      <c r="BL347" t="s">
        <v>111</v>
      </c>
      <c r="BM347" t="s">
        <v>111</v>
      </c>
      <c r="BN347" t="s">
        <v>111</v>
      </c>
      <c r="BO347" t="s">
        <v>111</v>
      </c>
      <c r="BP347" t="s">
        <v>111</v>
      </c>
      <c r="BQ347" t="s">
        <v>111</v>
      </c>
      <c r="BR347" t="s">
        <v>111</v>
      </c>
      <c r="BS347" t="s">
        <v>111</v>
      </c>
      <c r="BT347" t="s">
        <v>111</v>
      </c>
      <c r="BU347" t="s">
        <v>111</v>
      </c>
      <c r="BV347" t="s">
        <v>111</v>
      </c>
      <c r="BW347" t="s">
        <v>111</v>
      </c>
      <c r="BX347" t="s">
        <v>111</v>
      </c>
      <c r="BY347" t="s">
        <v>111</v>
      </c>
      <c r="BZ347" t="s">
        <v>111</v>
      </c>
      <c r="CA347" t="s">
        <v>111</v>
      </c>
      <c r="CB347" t="s">
        <v>111</v>
      </c>
      <c r="CC347" t="s">
        <v>111</v>
      </c>
      <c r="CD347" t="s">
        <v>111</v>
      </c>
      <c r="CE347" t="s">
        <v>111</v>
      </c>
      <c r="CF347" t="s">
        <v>111</v>
      </c>
      <c r="CG347" t="s">
        <v>111</v>
      </c>
      <c r="CH347" t="s">
        <v>111</v>
      </c>
      <c r="CI347" t="s">
        <v>111</v>
      </c>
      <c r="CJ347" t="s">
        <v>111</v>
      </c>
      <c r="CK347" t="s">
        <v>111</v>
      </c>
      <c r="CL347" t="s">
        <v>111</v>
      </c>
      <c r="CM347" t="s">
        <v>111</v>
      </c>
      <c r="CN347" t="s">
        <v>111</v>
      </c>
      <c r="CO347" t="s">
        <v>111</v>
      </c>
      <c r="CP347" t="s">
        <v>111</v>
      </c>
      <c r="CQ347">
        <v>0</v>
      </c>
      <c r="CR347">
        <v>200</v>
      </c>
      <c r="CS347">
        <v>20</v>
      </c>
      <c r="CT347" t="s">
        <v>111</v>
      </c>
      <c r="CU347">
        <v>0</v>
      </c>
      <c r="CV347" t="s">
        <v>111</v>
      </c>
      <c r="CW347" t="s">
        <v>111</v>
      </c>
      <c r="CX347" t="s">
        <v>111</v>
      </c>
      <c r="CY347">
        <v>0</v>
      </c>
      <c r="CZ347" t="s">
        <v>111</v>
      </c>
      <c r="DA347" t="s">
        <v>111</v>
      </c>
      <c r="DB347" t="s">
        <v>204</v>
      </c>
      <c r="DC347" s="1" t="s">
        <v>205</v>
      </c>
    </row>
    <row r="348" spans="1:107">
      <c r="A348">
        <v>683</v>
      </c>
      <c r="B348" t="s">
        <v>162</v>
      </c>
      <c r="C348" t="s">
        <v>1322</v>
      </c>
      <c r="D348" t="s">
        <v>1323</v>
      </c>
      <c r="E348" t="s">
        <v>829</v>
      </c>
      <c r="F348" t="s">
        <v>125</v>
      </c>
      <c r="G348" t="s">
        <v>469</v>
      </c>
      <c r="H348">
        <v>0.57999999999999996</v>
      </c>
      <c r="I348">
        <v>58</v>
      </c>
      <c r="J348">
        <v>0</v>
      </c>
      <c r="K348">
        <v>0</v>
      </c>
      <c r="L348" t="s">
        <v>112</v>
      </c>
      <c r="M348" t="s">
        <v>138</v>
      </c>
      <c r="N348">
        <v>0</v>
      </c>
      <c r="O348">
        <v>0</v>
      </c>
      <c r="P348" t="s">
        <v>138</v>
      </c>
      <c r="Q348">
        <v>41.5</v>
      </c>
      <c r="R348">
        <v>0</v>
      </c>
      <c r="S348">
        <v>0</v>
      </c>
      <c r="T348">
        <v>0</v>
      </c>
      <c r="U348" s="1" t="s">
        <v>1324</v>
      </c>
      <c r="V348">
        <v>25</v>
      </c>
      <c r="W348">
        <v>0</v>
      </c>
      <c r="X348">
        <v>8</v>
      </c>
      <c r="Y348">
        <v>0</v>
      </c>
      <c r="Z348" t="s">
        <v>111</v>
      </c>
      <c r="AA348">
        <v>0</v>
      </c>
      <c r="AB348" t="s">
        <v>111</v>
      </c>
      <c r="AC348">
        <v>0</v>
      </c>
      <c r="AD348" t="s">
        <v>111</v>
      </c>
      <c r="AE348">
        <v>0</v>
      </c>
      <c r="AF348">
        <v>0</v>
      </c>
      <c r="AG348" t="s">
        <v>111</v>
      </c>
      <c r="AH348" t="s">
        <v>111</v>
      </c>
      <c r="AI348" t="s">
        <v>111</v>
      </c>
      <c r="AJ348" t="s">
        <v>111</v>
      </c>
      <c r="AK348" t="s">
        <v>111</v>
      </c>
      <c r="AL348" t="s">
        <v>111</v>
      </c>
      <c r="AM348">
        <v>0</v>
      </c>
      <c r="AN348">
        <v>0</v>
      </c>
      <c r="AO348">
        <v>0</v>
      </c>
      <c r="AP348" t="s">
        <v>111</v>
      </c>
      <c r="AQ348" t="s">
        <v>111</v>
      </c>
      <c r="AR348" t="s">
        <v>111</v>
      </c>
      <c r="AS348" t="s">
        <v>111</v>
      </c>
      <c r="AT348" t="s">
        <v>111</v>
      </c>
      <c r="AU348" t="s">
        <v>111</v>
      </c>
      <c r="AV348" t="s">
        <v>111</v>
      </c>
      <c r="AW348" t="s">
        <v>111</v>
      </c>
      <c r="AX348" t="s">
        <v>111</v>
      </c>
      <c r="AY348" t="s">
        <v>111</v>
      </c>
      <c r="AZ348" t="s">
        <v>111</v>
      </c>
      <c r="BA348" t="s">
        <v>111</v>
      </c>
      <c r="BB348" t="s">
        <v>111</v>
      </c>
      <c r="BC348" t="s">
        <v>111</v>
      </c>
      <c r="BD348" t="s">
        <v>111</v>
      </c>
      <c r="BE348" t="s">
        <v>111</v>
      </c>
      <c r="BF348" t="s">
        <v>111</v>
      </c>
      <c r="BG348" t="s">
        <v>111</v>
      </c>
      <c r="BH348" t="s">
        <v>111</v>
      </c>
      <c r="BI348" t="s">
        <v>111</v>
      </c>
      <c r="BJ348" t="s">
        <v>111</v>
      </c>
      <c r="BK348" t="s">
        <v>111</v>
      </c>
      <c r="BL348" t="s">
        <v>111</v>
      </c>
      <c r="BM348" t="s">
        <v>111</v>
      </c>
      <c r="BN348" t="s">
        <v>111</v>
      </c>
      <c r="BO348" t="s">
        <v>111</v>
      </c>
      <c r="BP348" t="s">
        <v>111</v>
      </c>
      <c r="BQ348" t="s">
        <v>111</v>
      </c>
      <c r="BR348" t="s">
        <v>111</v>
      </c>
      <c r="BS348" t="s">
        <v>111</v>
      </c>
      <c r="BT348" t="s">
        <v>111</v>
      </c>
      <c r="BU348" t="s">
        <v>111</v>
      </c>
      <c r="BV348" t="s">
        <v>111</v>
      </c>
      <c r="BW348" t="s">
        <v>111</v>
      </c>
      <c r="BX348" t="s">
        <v>111</v>
      </c>
      <c r="BY348" t="s">
        <v>111</v>
      </c>
      <c r="BZ348" t="s">
        <v>111</v>
      </c>
      <c r="CA348" t="s">
        <v>111</v>
      </c>
      <c r="CB348" t="s">
        <v>111</v>
      </c>
      <c r="CC348" t="s">
        <v>111</v>
      </c>
      <c r="CD348" t="s">
        <v>111</v>
      </c>
      <c r="CE348" t="s">
        <v>111</v>
      </c>
      <c r="CF348" t="s">
        <v>111</v>
      </c>
      <c r="CG348" t="s">
        <v>111</v>
      </c>
      <c r="CH348" t="s">
        <v>111</v>
      </c>
      <c r="CI348" t="s">
        <v>111</v>
      </c>
      <c r="CJ348" t="s">
        <v>111</v>
      </c>
      <c r="CK348" t="s">
        <v>111</v>
      </c>
      <c r="CL348" t="s">
        <v>111</v>
      </c>
      <c r="CM348" t="s">
        <v>127</v>
      </c>
      <c r="CN348" t="s">
        <v>128</v>
      </c>
      <c r="CO348" t="s">
        <v>111</v>
      </c>
      <c r="CP348" t="s">
        <v>111</v>
      </c>
      <c r="CQ348">
        <v>0</v>
      </c>
      <c r="CR348">
        <v>0</v>
      </c>
      <c r="CS348">
        <v>0</v>
      </c>
      <c r="CT348" t="s">
        <v>168</v>
      </c>
      <c r="CU348">
        <v>0</v>
      </c>
      <c r="CV348" t="s">
        <v>111</v>
      </c>
      <c r="CW348" t="s">
        <v>111</v>
      </c>
      <c r="CX348" t="s">
        <v>111</v>
      </c>
      <c r="CY348">
        <v>0</v>
      </c>
      <c r="CZ348" t="s">
        <v>111</v>
      </c>
      <c r="DA348" t="s">
        <v>111</v>
      </c>
      <c r="DB348" t="s">
        <v>111</v>
      </c>
      <c r="DC348" t="s">
        <v>111</v>
      </c>
    </row>
    <row r="349" spans="1:107">
      <c r="A349">
        <v>962</v>
      </c>
      <c r="B349" t="s">
        <v>107</v>
      </c>
      <c r="C349" t="s">
        <v>1325</v>
      </c>
      <c r="D349" t="s">
        <v>1326</v>
      </c>
      <c r="E349" t="s">
        <v>1327</v>
      </c>
      <c r="F349" t="s">
        <v>125</v>
      </c>
      <c r="G349" t="s">
        <v>469</v>
      </c>
      <c r="H349">
        <v>1.9</v>
      </c>
      <c r="I349">
        <v>68</v>
      </c>
      <c r="J349">
        <v>0</v>
      </c>
      <c r="K349">
        <v>0</v>
      </c>
      <c r="L349" t="s">
        <v>112</v>
      </c>
      <c r="M349" t="s">
        <v>111</v>
      </c>
      <c r="N349">
        <v>0</v>
      </c>
      <c r="O349">
        <v>0</v>
      </c>
      <c r="P349" t="s">
        <v>111</v>
      </c>
      <c r="Q349">
        <v>53.3</v>
      </c>
      <c r="R349">
        <v>0</v>
      </c>
      <c r="S349">
        <v>0</v>
      </c>
      <c r="T349">
        <v>5</v>
      </c>
      <c r="U349" t="s">
        <v>459</v>
      </c>
      <c r="V349">
        <v>12.5</v>
      </c>
      <c r="W349">
        <v>12.5</v>
      </c>
      <c r="X349">
        <v>0</v>
      </c>
      <c r="Y349">
        <v>0</v>
      </c>
      <c r="Z349" t="s">
        <v>327</v>
      </c>
      <c r="AA349">
        <v>2.5</v>
      </c>
      <c r="AB349" t="s">
        <v>265</v>
      </c>
      <c r="AC349">
        <v>25</v>
      </c>
      <c r="AD349" t="s">
        <v>111</v>
      </c>
      <c r="AE349">
        <v>0</v>
      </c>
      <c r="AF349">
        <v>0</v>
      </c>
      <c r="AG349" t="s">
        <v>111</v>
      </c>
      <c r="AH349" t="s">
        <v>111</v>
      </c>
      <c r="AI349" t="s">
        <v>111</v>
      </c>
      <c r="AJ349" t="s">
        <v>111</v>
      </c>
      <c r="AK349" t="s">
        <v>111</v>
      </c>
      <c r="AL349" t="s">
        <v>111</v>
      </c>
      <c r="AM349">
        <v>0</v>
      </c>
      <c r="AN349">
        <v>0</v>
      </c>
      <c r="AO349">
        <v>0</v>
      </c>
      <c r="AP349" t="s">
        <v>111</v>
      </c>
      <c r="AQ349" t="s">
        <v>111</v>
      </c>
      <c r="AR349" t="s">
        <v>111</v>
      </c>
      <c r="AS349" t="s">
        <v>111</v>
      </c>
      <c r="AT349" t="s">
        <v>111</v>
      </c>
      <c r="AU349" t="s">
        <v>111</v>
      </c>
      <c r="AV349" t="s">
        <v>111</v>
      </c>
      <c r="AW349" t="s">
        <v>111</v>
      </c>
      <c r="AX349" t="s">
        <v>111</v>
      </c>
      <c r="AY349" t="s">
        <v>111</v>
      </c>
      <c r="AZ349" t="s">
        <v>111</v>
      </c>
      <c r="BA349" t="s">
        <v>111</v>
      </c>
      <c r="BB349" t="s">
        <v>111</v>
      </c>
      <c r="BC349" t="s">
        <v>111</v>
      </c>
      <c r="BD349" t="s">
        <v>111</v>
      </c>
      <c r="BE349" t="s">
        <v>111</v>
      </c>
      <c r="BF349" t="s">
        <v>111</v>
      </c>
      <c r="BG349" t="s">
        <v>111</v>
      </c>
      <c r="BH349" t="s">
        <v>111</v>
      </c>
      <c r="BI349" t="s">
        <v>111</v>
      </c>
      <c r="BJ349" t="s">
        <v>111</v>
      </c>
      <c r="BK349" t="s">
        <v>111</v>
      </c>
      <c r="BL349" t="s">
        <v>111</v>
      </c>
      <c r="BM349" t="s">
        <v>111</v>
      </c>
      <c r="BN349" t="s">
        <v>111</v>
      </c>
      <c r="BO349" t="s">
        <v>111</v>
      </c>
      <c r="BP349" t="s">
        <v>111</v>
      </c>
      <c r="BQ349" t="s">
        <v>111</v>
      </c>
      <c r="BR349" t="s">
        <v>111</v>
      </c>
      <c r="BS349" t="s">
        <v>111</v>
      </c>
      <c r="BT349" t="s">
        <v>111</v>
      </c>
      <c r="BU349" t="s">
        <v>111</v>
      </c>
      <c r="BV349" t="s">
        <v>111</v>
      </c>
      <c r="BW349" t="s">
        <v>111</v>
      </c>
      <c r="BX349" t="s">
        <v>111</v>
      </c>
      <c r="BY349" t="s">
        <v>111</v>
      </c>
      <c r="BZ349" t="s">
        <v>111</v>
      </c>
      <c r="CA349" t="s">
        <v>111</v>
      </c>
      <c r="CB349" t="s">
        <v>111</v>
      </c>
      <c r="CC349" t="s">
        <v>111</v>
      </c>
      <c r="CD349" t="s">
        <v>111</v>
      </c>
      <c r="CE349" t="s">
        <v>111</v>
      </c>
      <c r="CF349" t="s">
        <v>111</v>
      </c>
      <c r="CG349" t="s">
        <v>111</v>
      </c>
      <c r="CH349" t="s">
        <v>111</v>
      </c>
      <c r="CI349" t="s">
        <v>111</v>
      </c>
      <c r="CJ349" t="s">
        <v>111</v>
      </c>
      <c r="CK349" t="s">
        <v>111</v>
      </c>
      <c r="CL349" t="s">
        <v>111</v>
      </c>
      <c r="CM349" t="s">
        <v>111</v>
      </c>
      <c r="CN349" t="s">
        <v>111</v>
      </c>
      <c r="CO349" t="s">
        <v>111</v>
      </c>
      <c r="CP349" t="s">
        <v>111</v>
      </c>
      <c r="CQ349">
        <v>0</v>
      </c>
      <c r="CR349">
        <v>300</v>
      </c>
      <c r="CS349">
        <v>20</v>
      </c>
      <c r="CT349" t="s">
        <v>111</v>
      </c>
      <c r="CU349">
        <v>0</v>
      </c>
      <c r="CV349" t="s">
        <v>111</v>
      </c>
      <c r="CW349" t="s">
        <v>111</v>
      </c>
      <c r="CX349" t="s">
        <v>111</v>
      </c>
      <c r="CY349">
        <v>0</v>
      </c>
      <c r="CZ349" t="s">
        <v>111</v>
      </c>
      <c r="DA349" t="s">
        <v>111</v>
      </c>
      <c r="DB349" t="s">
        <v>204</v>
      </c>
      <c r="DC349" t="s">
        <v>281</v>
      </c>
    </row>
    <row r="350" spans="1:107">
      <c r="A350">
        <v>486</v>
      </c>
      <c r="B350" t="s">
        <v>162</v>
      </c>
      <c r="C350" t="s">
        <v>336</v>
      </c>
      <c r="D350" t="s">
        <v>1328</v>
      </c>
      <c r="E350" t="s">
        <v>1329</v>
      </c>
      <c r="F350" t="s">
        <v>166</v>
      </c>
      <c r="G350" t="s">
        <v>469</v>
      </c>
      <c r="H350">
        <v>3</v>
      </c>
      <c r="I350">
        <v>61</v>
      </c>
      <c r="J350">
        <v>0</v>
      </c>
      <c r="K350">
        <v>0</v>
      </c>
      <c r="L350" t="s">
        <v>112</v>
      </c>
      <c r="M350" t="s">
        <v>138</v>
      </c>
      <c r="N350">
        <v>0</v>
      </c>
      <c r="O350">
        <v>0</v>
      </c>
      <c r="P350" t="s">
        <v>138</v>
      </c>
      <c r="Q350">
        <v>40</v>
      </c>
      <c r="R350">
        <v>0</v>
      </c>
      <c r="S350">
        <v>0</v>
      </c>
      <c r="T350">
        <v>0</v>
      </c>
      <c r="U350" s="1" t="s">
        <v>1330</v>
      </c>
      <c r="V350">
        <v>25</v>
      </c>
      <c r="W350">
        <v>25</v>
      </c>
      <c r="X350">
        <v>0</v>
      </c>
      <c r="Y350">
        <v>0</v>
      </c>
      <c r="Z350" t="s">
        <v>111</v>
      </c>
      <c r="AA350">
        <v>0</v>
      </c>
      <c r="AB350" t="s">
        <v>189</v>
      </c>
      <c r="AC350">
        <v>25</v>
      </c>
      <c r="AD350" t="s">
        <v>111</v>
      </c>
      <c r="AE350">
        <v>0</v>
      </c>
      <c r="AF350">
        <v>0</v>
      </c>
      <c r="AG350" t="s">
        <v>111</v>
      </c>
      <c r="AH350" t="s">
        <v>111</v>
      </c>
      <c r="AI350" t="s">
        <v>111</v>
      </c>
      <c r="AJ350" t="s">
        <v>111</v>
      </c>
      <c r="AK350" t="s">
        <v>111</v>
      </c>
      <c r="AL350" t="s">
        <v>111</v>
      </c>
      <c r="AM350">
        <v>0</v>
      </c>
      <c r="AN350">
        <v>0</v>
      </c>
      <c r="AO350">
        <v>0</v>
      </c>
      <c r="AP350" t="s">
        <v>111</v>
      </c>
      <c r="AQ350" t="s">
        <v>111</v>
      </c>
      <c r="AR350" t="s">
        <v>111</v>
      </c>
      <c r="AS350" t="s">
        <v>111</v>
      </c>
      <c r="AT350" t="s">
        <v>111</v>
      </c>
      <c r="AU350" t="s">
        <v>111</v>
      </c>
      <c r="AV350" t="s">
        <v>111</v>
      </c>
      <c r="AW350" t="s">
        <v>111</v>
      </c>
      <c r="AX350" t="s">
        <v>111</v>
      </c>
      <c r="AY350" t="s">
        <v>111</v>
      </c>
      <c r="AZ350" t="s">
        <v>111</v>
      </c>
      <c r="BA350" t="s">
        <v>111</v>
      </c>
      <c r="BB350" t="s">
        <v>111</v>
      </c>
      <c r="BC350" t="s">
        <v>111</v>
      </c>
      <c r="BD350" t="s">
        <v>111</v>
      </c>
      <c r="BE350" t="s">
        <v>111</v>
      </c>
      <c r="BF350" t="s">
        <v>111</v>
      </c>
      <c r="BG350" t="s">
        <v>111</v>
      </c>
      <c r="BH350" t="s">
        <v>111</v>
      </c>
      <c r="BI350" t="s">
        <v>111</v>
      </c>
      <c r="BJ350" t="s">
        <v>111</v>
      </c>
      <c r="BK350" t="s">
        <v>111</v>
      </c>
      <c r="BL350" t="s">
        <v>111</v>
      </c>
      <c r="BM350" t="s">
        <v>111</v>
      </c>
      <c r="BN350" t="s">
        <v>111</v>
      </c>
      <c r="BO350" t="s">
        <v>111</v>
      </c>
      <c r="BP350" t="s">
        <v>111</v>
      </c>
      <c r="BQ350" t="s">
        <v>111</v>
      </c>
      <c r="BR350" t="s">
        <v>111</v>
      </c>
      <c r="BS350" t="s">
        <v>111</v>
      </c>
      <c r="BT350" t="s">
        <v>111</v>
      </c>
      <c r="BU350" t="s">
        <v>111</v>
      </c>
      <c r="BV350" t="s">
        <v>111</v>
      </c>
      <c r="BW350" t="s">
        <v>111</v>
      </c>
      <c r="BX350" t="s">
        <v>111</v>
      </c>
      <c r="BY350" t="s">
        <v>111</v>
      </c>
      <c r="BZ350" t="s">
        <v>111</v>
      </c>
      <c r="CA350" t="s">
        <v>111</v>
      </c>
      <c r="CB350" t="s">
        <v>111</v>
      </c>
      <c r="CC350" t="s">
        <v>111</v>
      </c>
      <c r="CD350" t="s">
        <v>111</v>
      </c>
      <c r="CE350" t="s">
        <v>111</v>
      </c>
      <c r="CF350" t="s">
        <v>111</v>
      </c>
      <c r="CG350" t="s">
        <v>111</v>
      </c>
      <c r="CH350" t="s">
        <v>111</v>
      </c>
      <c r="CI350" t="s">
        <v>111</v>
      </c>
      <c r="CJ350" t="s">
        <v>111</v>
      </c>
      <c r="CK350" t="s">
        <v>111</v>
      </c>
      <c r="CL350" t="s">
        <v>111</v>
      </c>
      <c r="CM350" t="s">
        <v>111</v>
      </c>
      <c r="CN350" t="s">
        <v>111</v>
      </c>
      <c r="CO350" t="s">
        <v>111</v>
      </c>
      <c r="CP350" t="s">
        <v>111</v>
      </c>
      <c r="CQ350">
        <v>0</v>
      </c>
      <c r="CR350">
        <v>0</v>
      </c>
      <c r="CS350">
        <v>0</v>
      </c>
      <c r="CT350" t="s">
        <v>111</v>
      </c>
      <c r="CU350">
        <v>0</v>
      </c>
      <c r="CV350" t="s">
        <v>111</v>
      </c>
      <c r="CW350" t="s">
        <v>111</v>
      </c>
      <c r="CX350" t="s">
        <v>111</v>
      </c>
      <c r="CY350">
        <v>0</v>
      </c>
      <c r="CZ350" t="s">
        <v>111</v>
      </c>
      <c r="DA350" t="s">
        <v>111</v>
      </c>
      <c r="DB350" t="s">
        <v>111</v>
      </c>
      <c r="DC350" t="s">
        <v>111</v>
      </c>
    </row>
    <row r="351" spans="1:107">
      <c r="A351">
        <v>839</v>
      </c>
      <c r="B351" t="s">
        <v>107</v>
      </c>
      <c r="C351" t="s">
        <v>267</v>
      </c>
      <c r="D351" t="s">
        <v>1331</v>
      </c>
      <c r="E351" t="s">
        <v>1332</v>
      </c>
      <c r="F351" t="s">
        <v>239</v>
      </c>
      <c r="G351" t="s">
        <v>469</v>
      </c>
      <c r="H351">
        <v>1</v>
      </c>
      <c r="I351">
        <v>60</v>
      </c>
      <c r="J351">
        <v>0</v>
      </c>
      <c r="K351">
        <v>0</v>
      </c>
      <c r="L351" t="s">
        <v>112</v>
      </c>
      <c r="M351" t="s">
        <v>138</v>
      </c>
      <c r="N351">
        <v>0</v>
      </c>
      <c r="O351">
        <v>0</v>
      </c>
      <c r="P351" t="s">
        <v>138</v>
      </c>
      <c r="Q351">
        <v>35</v>
      </c>
      <c r="R351">
        <v>0</v>
      </c>
      <c r="S351">
        <v>0</v>
      </c>
      <c r="T351">
        <v>0</v>
      </c>
      <c r="U351" s="1" t="s">
        <v>1333</v>
      </c>
      <c r="V351">
        <v>0</v>
      </c>
      <c r="W351">
        <v>0</v>
      </c>
      <c r="X351">
        <v>1</v>
      </c>
      <c r="Y351">
        <v>0</v>
      </c>
      <c r="Z351" t="s">
        <v>147</v>
      </c>
      <c r="AA351">
        <v>1.2</v>
      </c>
      <c r="AB351" t="s">
        <v>1334</v>
      </c>
      <c r="AC351">
        <v>25</v>
      </c>
      <c r="AD351" t="s">
        <v>111</v>
      </c>
      <c r="AE351">
        <v>0</v>
      </c>
      <c r="AF351">
        <v>0</v>
      </c>
      <c r="AG351" t="s">
        <v>111</v>
      </c>
      <c r="AH351" t="s">
        <v>111</v>
      </c>
      <c r="AI351" t="s">
        <v>111</v>
      </c>
      <c r="AJ351" t="s">
        <v>111</v>
      </c>
      <c r="AK351" t="s">
        <v>111</v>
      </c>
      <c r="AL351" t="s">
        <v>111</v>
      </c>
      <c r="AM351">
        <v>0</v>
      </c>
      <c r="AN351">
        <v>0</v>
      </c>
      <c r="AO351">
        <v>0</v>
      </c>
      <c r="AP351" t="s">
        <v>111</v>
      </c>
      <c r="AQ351" t="s">
        <v>111</v>
      </c>
      <c r="AR351" t="s">
        <v>111</v>
      </c>
      <c r="AS351" t="s">
        <v>111</v>
      </c>
      <c r="AT351" t="s">
        <v>111</v>
      </c>
      <c r="AU351" t="s">
        <v>111</v>
      </c>
      <c r="AV351" t="s">
        <v>111</v>
      </c>
      <c r="AW351" t="s">
        <v>111</v>
      </c>
      <c r="AX351" t="s">
        <v>111</v>
      </c>
      <c r="AY351" t="s">
        <v>111</v>
      </c>
      <c r="AZ351" t="s">
        <v>111</v>
      </c>
      <c r="BA351" t="s">
        <v>111</v>
      </c>
      <c r="BB351" t="s">
        <v>111</v>
      </c>
      <c r="BC351" t="s">
        <v>111</v>
      </c>
      <c r="BD351" t="s">
        <v>111</v>
      </c>
      <c r="BE351" t="s">
        <v>111</v>
      </c>
      <c r="BF351" t="s">
        <v>111</v>
      </c>
      <c r="BG351" t="s">
        <v>111</v>
      </c>
      <c r="BH351" t="s">
        <v>111</v>
      </c>
      <c r="BI351" t="s">
        <v>111</v>
      </c>
      <c r="BJ351" t="s">
        <v>111</v>
      </c>
      <c r="BK351" t="s">
        <v>111</v>
      </c>
      <c r="BL351" t="s">
        <v>111</v>
      </c>
      <c r="BM351" t="s">
        <v>111</v>
      </c>
      <c r="BN351" t="s">
        <v>111</v>
      </c>
      <c r="BO351" t="s">
        <v>111</v>
      </c>
      <c r="BP351" t="s">
        <v>111</v>
      </c>
      <c r="BQ351" t="s">
        <v>111</v>
      </c>
      <c r="BR351" t="s">
        <v>111</v>
      </c>
      <c r="BS351" t="s">
        <v>111</v>
      </c>
      <c r="BT351" t="s">
        <v>111</v>
      </c>
      <c r="BU351" t="s">
        <v>111</v>
      </c>
      <c r="BV351" t="s">
        <v>111</v>
      </c>
      <c r="BW351" t="s">
        <v>111</v>
      </c>
      <c r="BX351" t="s">
        <v>111</v>
      </c>
      <c r="BY351" t="s">
        <v>111</v>
      </c>
      <c r="BZ351" t="s">
        <v>111</v>
      </c>
      <c r="CA351" t="s">
        <v>111</v>
      </c>
      <c r="CB351" t="s">
        <v>111</v>
      </c>
      <c r="CC351" t="s">
        <v>111</v>
      </c>
      <c r="CD351" t="s">
        <v>111</v>
      </c>
      <c r="CE351" t="s">
        <v>111</v>
      </c>
      <c r="CF351" t="s">
        <v>111</v>
      </c>
      <c r="CG351" t="s">
        <v>111</v>
      </c>
      <c r="CH351" t="s">
        <v>111</v>
      </c>
      <c r="CI351" t="s">
        <v>111</v>
      </c>
      <c r="CJ351" t="s">
        <v>111</v>
      </c>
      <c r="CK351" t="s">
        <v>111</v>
      </c>
      <c r="CL351" t="s">
        <v>111</v>
      </c>
      <c r="CM351" t="s">
        <v>127</v>
      </c>
      <c r="CN351" t="s">
        <v>128</v>
      </c>
      <c r="CO351" t="s">
        <v>111</v>
      </c>
      <c r="CP351" t="s">
        <v>111</v>
      </c>
      <c r="CQ351">
        <v>0</v>
      </c>
      <c r="CR351">
        <v>1000</v>
      </c>
      <c r="CS351">
        <v>100</v>
      </c>
      <c r="CT351" t="s">
        <v>394</v>
      </c>
      <c r="CU351">
        <v>0</v>
      </c>
      <c r="CV351" t="s">
        <v>111</v>
      </c>
      <c r="CW351" t="s">
        <v>111</v>
      </c>
      <c r="CX351" t="s">
        <v>111</v>
      </c>
      <c r="CY351">
        <v>0</v>
      </c>
      <c r="CZ351" t="s">
        <v>111</v>
      </c>
      <c r="DA351" t="s">
        <v>111</v>
      </c>
      <c r="DB351" t="s">
        <v>111</v>
      </c>
      <c r="DC351" t="s">
        <v>111</v>
      </c>
    </row>
    <row r="352" spans="1:107">
      <c r="A352">
        <v>672</v>
      </c>
      <c r="B352" t="s">
        <v>107</v>
      </c>
      <c r="C352" t="s">
        <v>171</v>
      </c>
      <c r="D352" t="s">
        <v>1335</v>
      </c>
      <c r="E352" t="s">
        <v>1336</v>
      </c>
      <c r="F352" t="s">
        <v>125</v>
      </c>
      <c r="G352" t="s">
        <v>469</v>
      </c>
      <c r="H352">
        <v>0.7</v>
      </c>
      <c r="I352">
        <v>49</v>
      </c>
      <c r="J352">
        <v>0</v>
      </c>
      <c r="K352">
        <v>0</v>
      </c>
      <c r="L352" t="s">
        <v>809</v>
      </c>
      <c r="M352" t="s">
        <v>138</v>
      </c>
      <c r="N352">
        <v>0</v>
      </c>
      <c r="O352">
        <v>0</v>
      </c>
      <c r="P352" t="s">
        <v>138</v>
      </c>
      <c r="Q352">
        <v>333</v>
      </c>
      <c r="R352">
        <v>0</v>
      </c>
      <c r="S352">
        <v>0</v>
      </c>
      <c r="T352">
        <v>0</v>
      </c>
      <c r="U352" t="s">
        <v>168</v>
      </c>
      <c r="V352">
        <v>25</v>
      </c>
      <c r="W352">
        <v>0</v>
      </c>
      <c r="X352">
        <v>6</v>
      </c>
      <c r="Y352">
        <v>0</v>
      </c>
      <c r="Z352" t="s">
        <v>111</v>
      </c>
      <c r="AA352">
        <v>0</v>
      </c>
      <c r="AB352" t="s">
        <v>111</v>
      </c>
      <c r="AC352">
        <v>0</v>
      </c>
      <c r="AD352" t="s">
        <v>111</v>
      </c>
      <c r="AE352">
        <v>0</v>
      </c>
      <c r="AF352">
        <v>0</v>
      </c>
      <c r="AG352" t="s">
        <v>111</v>
      </c>
      <c r="AH352" t="s">
        <v>111</v>
      </c>
      <c r="AI352" t="s">
        <v>111</v>
      </c>
      <c r="AJ352" t="s">
        <v>111</v>
      </c>
      <c r="AK352" t="s">
        <v>111</v>
      </c>
      <c r="AL352" t="s">
        <v>111</v>
      </c>
      <c r="AM352">
        <v>0</v>
      </c>
      <c r="AN352">
        <v>0</v>
      </c>
      <c r="AO352">
        <v>0</v>
      </c>
      <c r="AP352" t="s">
        <v>111</v>
      </c>
      <c r="AQ352" t="s">
        <v>111</v>
      </c>
      <c r="AR352" t="s">
        <v>111</v>
      </c>
      <c r="AS352" t="s">
        <v>111</v>
      </c>
      <c r="AT352" t="s">
        <v>111</v>
      </c>
      <c r="AU352" t="s">
        <v>111</v>
      </c>
      <c r="AV352" t="s">
        <v>111</v>
      </c>
      <c r="AW352" t="s">
        <v>111</v>
      </c>
      <c r="AX352" t="s">
        <v>111</v>
      </c>
      <c r="AY352" t="s">
        <v>111</v>
      </c>
      <c r="AZ352" t="s">
        <v>111</v>
      </c>
      <c r="BA352" t="s">
        <v>111</v>
      </c>
      <c r="BB352" t="s">
        <v>111</v>
      </c>
      <c r="BC352" t="s">
        <v>111</v>
      </c>
      <c r="BD352" t="s">
        <v>111</v>
      </c>
      <c r="BE352" t="s">
        <v>111</v>
      </c>
      <c r="BF352" t="s">
        <v>111</v>
      </c>
      <c r="BG352" t="s">
        <v>111</v>
      </c>
      <c r="BH352" t="s">
        <v>111</v>
      </c>
      <c r="BI352" t="s">
        <v>111</v>
      </c>
      <c r="BJ352" t="s">
        <v>111</v>
      </c>
      <c r="BK352" t="s">
        <v>111</v>
      </c>
      <c r="BL352" t="s">
        <v>111</v>
      </c>
      <c r="BM352" t="s">
        <v>111</v>
      </c>
      <c r="BN352" t="s">
        <v>111</v>
      </c>
      <c r="BO352" t="s">
        <v>111</v>
      </c>
      <c r="BP352" t="s">
        <v>111</v>
      </c>
      <c r="BQ352" t="s">
        <v>111</v>
      </c>
      <c r="BR352" t="s">
        <v>111</v>
      </c>
      <c r="BS352" t="s">
        <v>111</v>
      </c>
      <c r="BT352" t="s">
        <v>111</v>
      </c>
      <c r="BU352" t="s">
        <v>111</v>
      </c>
      <c r="BV352" t="s">
        <v>111</v>
      </c>
      <c r="BW352" t="s">
        <v>111</v>
      </c>
      <c r="BX352" t="s">
        <v>111</v>
      </c>
      <c r="BY352" t="s">
        <v>111</v>
      </c>
      <c r="BZ352" t="s">
        <v>111</v>
      </c>
      <c r="CA352" t="s">
        <v>111</v>
      </c>
      <c r="CB352" t="s">
        <v>111</v>
      </c>
      <c r="CC352" t="s">
        <v>111</v>
      </c>
      <c r="CD352" t="s">
        <v>111</v>
      </c>
      <c r="CE352" t="s">
        <v>111</v>
      </c>
      <c r="CF352" t="s">
        <v>111</v>
      </c>
      <c r="CG352" t="s">
        <v>111</v>
      </c>
      <c r="CH352" t="s">
        <v>111</v>
      </c>
      <c r="CI352" t="s">
        <v>111</v>
      </c>
      <c r="CJ352" t="s">
        <v>111</v>
      </c>
      <c r="CK352" t="s">
        <v>111</v>
      </c>
      <c r="CL352" t="s">
        <v>111</v>
      </c>
      <c r="CM352" t="s">
        <v>127</v>
      </c>
      <c r="CN352" t="s">
        <v>111</v>
      </c>
      <c r="CO352" t="s">
        <v>111</v>
      </c>
      <c r="CP352" t="s">
        <v>111</v>
      </c>
      <c r="CQ352">
        <v>0</v>
      </c>
      <c r="CR352">
        <v>0</v>
      </c>
      <c r="CS352">
        <v>0</v>
      </c>
      <c r="CT352" t="s">
        <v>1337</v>
      </c>
      <c r="CU352">
        <v>0</v>
      </c>
      <c r="CV352" t="s">
        <v>111</v>
      </c>
      <c r="CW352" t="s">
        <v>111</v>
      </c>
      <c r="CX352" t="s">
        <v>111</v>
      </c>
      <c r="CY352">
        <v>0</v>
      </c>
      <c r="CZ352" t="s">
        <v>111</v>
      </c>
      <c r="DA352" t="s">
        <v>111</v>
      </c>
      <c r="DB352" t="s">
        <v>111</v>
      </c>
      <c r="DC352" t="s">
        <v>111</v>
      </c>
    </row>
    <row r="353" spans="1:107">
      <c r="A353">
        <v>739</v>
      </c>
      <c r="B353" t="s">
        <v>107</v>
      </c>
      <c r="C353" t="s">
        <v>1338</v>
      </c>
      <c r="D353" t="s">
        <v>1339</v>
      </c>
      <c r="E353" t="s">
        <v>1340</v>
      </c>
      <c r="F353" t="s">
        <v>431</v>
      </c>
      <c r="G353" t="s">
        <v>469</v>
      </c>
      <c r="H353">
        <v>1.5</v>
      </c>
      <c r="I353">
        <v>100</v>
      </c>
      <c r="J353">
        <v>0</v>
      </c>
      <c r="K353">
        <v>0</v>
      </c>
      <c r="L353" t="s">
        <v>117</v>
      </c>
      <c r="M353" t="s">
        <v>118</v>
      </c>
      <c r="N353">
        <v>40</v>
      </c>
      <c r="O353">
        <v>1</v>
      </c>
      <c r="P353" t="s">
        <v>138</v>
      </c>
      <c r="Q353">
        <v>50.2</v>
      </c>
      <c r="R353">
        <v>0</v>
      </c>
      <c r="S353">
        <v>0</v>
      </c>
      <c r="T353">
        <v>5</v>
      </c>
      <c r="U353" s="1" t="s">
        <v>1341</v>
      </c>
      <c r="V353">
        <v>0</v>
      </c>
      <c r="W353">
        <v>250</v>
      </c>
      <c r="X353">
        <v>8</v>
      </c>
      <c r="Y353">
        <v>0</v>
      </c>
      <c r="Z353" t="s">
        <v>111</v>
      </c>
      <c r="AA353">
        <v>0</v>
      </c>
      <c r="AB353" t="s">
        <v>792</v>
      </c>
      <c r="AC353">
        <v>8</v>
      </c>
      <c r="AD353" t="s">
        <v>427</v>
      </c>
      <c r="AE353">
        <v>0</v>
      </c>
      <c r="AF353">
        <v>1</v>
      </c>
      <c r="AG353" t="s">
        <v>678</v>
      </c>
      <c r="AH353" t="s">
        <v>113</v>
      </c>
      <c r="AI353">
        <v>41</v>
      </c>
      <c r="AJ353" t="s">
        <v>111</v>
      </c>
      <c r="AK353" t="s">
        <v>111</v>
      </c>
      <c r="AL353" t="s">
        <v>111</v>
      </c>
      <c r="AM353">
        <v>0</v>
      </c>
      <c r="AN353">
        <v>0</v>
      </c>
      <c r="AO353">
        <v>0</v>
      </c>
      <c r="AP353" t="s">
        <v>288</v>
      </c>
      <c r="AQ353" t="s">
        <v>111</v>
      </c>
      <c r="AR353" t="s">
        <v>111</v>
      </c>
      <c r="AS353" t="s">
        <v>111</v>
      </c>
      <c r="AT353" t="s">
        <v>184</v>
      </c>
      <c r="AU353" t="s">
        <v>111</v>
      </c>
      <c r="AV353" t="s">
        <v>111</v>
      </c>
      <c r="AW353" t="s">
        <v>111</v>
      </c>
      <c r="AX353" t="s">
        <v>188</v>
      </c>
      <c r="AY353" t="s">
        <v>111</v>
      </c>
      <c r="AZ353" t="s">
        <v>111</v>
      </c>
      <c r="BA353" t="s">
        <v>111</v>
      </c>
      <c r="BB353" t="s">
        <v>271</v>
      </c>
      <c r="BC353" t="s">
        <v>111</v>
      </c>
      <c r="BD353" t="s">
        <v>111</v>
      </c>
      <c r="BE353" t="s">
        <v>111</v>
      </c>
      <c r="BF353" t="s">
        <v>111</v>
      </c>
      <c r="BG353" t="s">
        <v>111</v>
      </c>
      <c r="BH353" t="s">
        <v>111</v>
      </c>
      <c r="BI353" t="s">
        <v>111</v>
      </c>
      <c r="BJ353" t="s">
        <v>111</v>
      </c>
      <c r="BK353" t="s">
        <v>111</v>
      </c>
      <c r="BL353" t="s">
        <v>111</v>
      </c>
      <c r="BM353" t="s">
        <v>111</v>
      </c>
      <c r="BN353" t="s">
        <v>111</v>
      </c>
      <c r="BO353" t="s">
        <v>111</v>
      </c>
      <c r="BP353" t="s">
        <v>111</v>
      </c>
      <c r="BQ353" t="s">
        <v>111</v>
      </c>
      <c r="BR353" t="s">
        <v>111</v>
      </c>
      <c r="BS353" t="s">
        <v>111</v>
      </c>
      <c r="BT353" t="s">
        <v>111</v>
      </c>
      <c r="BU353" t="s">
        <v>111</v>
      </c>
      <c r="BV353" t="s">
        <v>111</v>
      </c>
      <c r="BW353" t="s">
        <v>111</v>
      </c>
      <c r="BX353" t="s">
        <v>111</v>
      </c>
      <c r="BY353" t="s">
        <v>111</v>
      </c>
      <c r="BZ353" t="s">
        <v>111</v>
      </c>
      <c r="CA353" t="s">
        <v>111</v>
      </c>
      <c r="CB353" t="s">
        <v>111</v>
      </c>
      <c r="CC353" t="s">
        <v>111</v>
      </c>
      <c r="CD353" t="s">
        <v>111</v>
      </c>
      <c r="CE353" t="s">
        <v>111</v>
      </c>
      <c r="CF353" t="s">
        <v>111</v>
      </c>
      <c r="CG353" t="s">
        <v>111</v>
      </c>
      <c r="CH353" t="s">
        <v>111</v>
      </c>
      <c r="CI353" t="s">
        <v>111</v>
      </c>
      <c r="CJ353" t="s">
        <v>111</v>
      </c>
      <c r="CK353" t="s">
        <v>111</v>
      </c>
      <c r="CL353" t="s">
        <v>153</v>
      </c>
      <c r="CM353" t="s">
        <v>198</v>
      </c>
      <c r="CN353" t="s">
        <v>113</v>
      </c>
      <c r="CO353" t="s">
        <v>111</v>
      </c>
      <c r="CP353" t="s">
        <v>433</v>
      </c>
      <c r="CQ353">
        <v>0</v>
      </c>
      <c r="CR353">
        <v>4000</v>
      </c>
      <c r="CS353">
        <v>200</v>
      </c>
      <c r="CT353" s="1" t="s">
        <v>199</v>
      </c>
      <c r="CU353">
        <v>0</v>
      </c>
      <c r="CV353" t="s">
        <v>111</v>
      </c>
      <c r="CW353" t="s">
        <v>111</v>
      </c>
      <c r="CX353" t="s">
        <v>111</v>
      </c>
      <c r="CY353">
        <v>0</v>
      </c>
      <c r="CZ353" t="s">
        <v>111</v>
      </c>
      <c r="DA353" t="s">
        <v>111</v>
      </c>
      <c r="DB353" t="s">
        <v>111</v>
      </c>
      <c r="DC353" t="s">
        <v>111</v>
      </c>
    </row>
    <row r="354" spans="1:107">
      <c r="A354">
        <v>648</v>
      </c>
      <c r="B354" t="s">
        <v>162</v>
      </c>
      <c r="C354" t="s">
        <v>1342</v>
      </c>
      <c r="D354" t="s">
        <v>1343</v>
      </c>
      <c r="E354" t="s">
        <v>1344</v>
      </c>
      <c r="F354" t="s">
        <v>370</v>
      </c>
      <c r="G354" t="s">
        <v>469</v>
      </c>
      <c r="H354">
        <v>0.9</v>
      </c>
      <c r="I354">
        <v>24</v>
      </c>
      <c r="J354">
        <v>5</v>
      </c>
      <c r="K354">
        <v>5</v>
      </c>
      <c r="L354" t="s">
        <v>112</v>
      </c>
      <c r="M354" t="s">
        <v>118</v>
      </c>
      <c r="N354">
        <v>40</v>
      </c>
      <c r="O354">
        <v>2</v>
      </c>
      <c r="P354" t="s">
        <v>138</v>
      </c>
      <c r="Q354">
        <v>34</v>
      </c>
      <c r="R354">
        <v>0</v>
      </c>
      <c r="S354">
        <v>0</v>
      </c>
      <c r="T354">
        <v>0</v>
      </c>
      <c r="U354" s="1" t="s">
        <v>1345</v>
      </c>
      <c r="V354">
        <v>25</v>
      </c>
      <c r="W354">
        <v>0</v>
      </c>
      <c r="X354">
        <v>12.5</v>
      </c>
      <c r="Y354">
        <v>0</v>
      </c>
      <c r="Z354" t="s">
        <v>679</v>
      </c>
      <c r="AA354">
        <v>1.87</v>
      </c>
      <c r="AB354" t="s">
        <v>1346</v>
      </c>
      <c r="AC354">
        <v>0.7</v>
      </c>
      <c r="AD354" t="s">
        <v>1347</v>
      </c>
      <c r="AE354">
        <v>5</v>
      </c>
      <c r="AF354">
        <v>2</v>
      </c>
      <c r="AG354">
        <v>35</v>
      </c>
      <c r="AH354" t="s">
        <v>111</v>
      </c>
      <c r="AI354">
        <v>35</v>
      </c>
      <c r="AJ354" t="s">
        <v>111</v>
      </c>
      <c r="AK354" t="s">
        <v>111</v>
      </c>
      <c r="AL354" t="s">
        <v>111</v>
      </c>
      <c r="AM354">
        <v>0</v>
      </c>
      <c r="AN354">
        <v>0</v>
      </c>
      <c r="AO354">
        <v>0</v>
      </c>
      <c r="AP354" t="s">
        <v>111</v>
      </c>
      <c r="AQ354" t="s">
        <v>111</v>
      </c>
      <c r="AR354" t="s">
        <v>111</v>
      </c>
      <c r="AS354" t="s">
        <v>111</v>
      </c>
      <c r="AT354" t="s">
        <v>111</v>
      </c>
      <c r="AU354" t="s">
        <v>111</v>
      </c>
      <c r="AV354" t="s">
        <v>111</v>
      </c>
      <c r="AW354" t="s">
        <v>111</v>
      </c>
      <c r="AX354" t="s">
        <v>111</v>
      </c>
      <c r="AY354" t="s">
        <v>111</v>
      </c>
      <c r="AZ354" t="s">
        <v>111</v>
      </c>
      <c r="BA354" t="s">
        <v>111</v>
      </c>
      <c r="BB354" t="s">
        <v>111</v>
      </c>
      <c r="BC354" t="s">
        <v>111</v>
      </c>
      <c r="BD354" t="s">
        <v>111</v>
      </c>
      <c r="BE354" t="s">
        <v>111</v>
      </c>
      <c r="BF354" t="s">
        <v>111</v>
      </c>
      <c r="BG354" t="s">
        <v>111</v>
      </c>
      <c r="BH354" t="s">
        <v>111</v>
      </c>
      <c r="BI354" t="s">
        <v>111</v>
      </c>
      <c r="BJ354" t="s">
        <v>111</v>
      </c>
      <c r="BK354" t="s">
        <v>111</v>
      </c>
      <c r="BL354" t="s">
        <v>111</v>
      </c>
      <c r="BM354" t="s">
        <v>111</v>
      </c>
      <c r="BN354" t="s">
        <v>111</v>
      </c>
      <c r="BO354" t="s">
        <v>111</v>
      </c>
      <c r="BP354" t="s">
        <v>111</v>
      </c>
      <c r="BQ354" t="s">
        <v>111</v>
      </c>
      <c r="BR354" t="s">
        <v>111</v>
      </c>
      <c r="BS354" t="s">
        <v>111</v>
      </c>
      <c r="BT354" t="s">
        <v>111</v>
      </c>
      <c r="BU354" t="s">
        <v>111</v>
      </c>
      <c r="BV354" t="s">
        <v>111</v>
      </c>
      <c r="BW354" t="s">
        <v>111</v>
      </c>
      <c r="BX354" t="s">
        <v>111</v>
      </c>
      <c r="BY354" t="s">
        <v>111</v>
      </c>
      <c r="BZ354" t="s">
        <v>111</v>
      </c>
      <c r="CA354" t="s">
        <v>111</v>
      </c>
      <c r="CB354" t="s">
        <v>111</v>
      </c>
      <c r="CC354" t="s">
        <v>111</v>
      </c>
      <c r="CD354" t="s">
        <v>111</v>
      </c>
      <c r="CE354" t="s">
        <v>111</v>
      </c>
      <c r="CF354" t="s">
        <v>111</v>
      </c>
      <c r="CG354" t="s">
        <v>111</v>
      </c>
      <c r="CH354" t="s">
        <v>111</v>
      </c>
      <c r="CI354" t="s">
        <v>111</v>
      </c>
      <c r="CJ354" t="s">
        <v>111</v>
      </c>
      <c r="CK354" t="s">
        <v>111</v>
      </c>
      <c r="CL354" t="s">
        <v>153</v>
      </c>
      <c r="CM354" t="s">
        <v>198</v>
      </c>
      <c r="CN354" t="s">
        <v>128</v>
      </c>
      <c r="CO354" t="s">
        <v>1348</v>
      </c>
      <c r="CP354" t="s">
        <v>433</v>
      </c>
      <c r="CQ354">
        <v>0</v>
      </c>
      <c r="CR354">
        <v>0</v>
      </c>
      <c r="CS354">
        <v>0</v>
      </c>
      <c r="CT354" s="1" t="s">
        <v>1349</v>
      </c>
      <c r="CU354">
        <v>0</v>
      </c>
      <c r="CV354" t="s">
        <v>111</v>
      </c>
      <c r="CW354" t="s">
        <v>111</v>
      </c>
      <c r="CX354" t="s">
        <v>111</v>
      </c>
      <c r="CY354">
        <v>0</v>
      </c>
      <c r="CZ354" t="s">
        <v>111</v>
      </c>
      <c r="DA354" t="s">
        <v>111</v>
      </c>
      <c r="DB354" t="s">
        <v>204</v>
      </c>
      <c r="DC354" s="1" t="s">
        <v>1350</v>
      </c>
    </row>
    <row r="355" spans="1:107">
      <c r="A355">
        <v>646</v>
      </c>
      <c r="B355" t="s">
        <v>107</v>
      </c>
      <c r="C355" t="s">
        <v>215</v>
      </c>
      <c r="D355" t="s">
        <v>1351</v>
      </c>
      <c r="E355" t="s">
        <v>1352</v>
      </c>
      <c r="F355" t="s">
        <v>431</v>
      </c>
      <c r="G355" t="s">
        <v>469</v>
      </c>
      <c r="H355">
        <v>4</v>
      </c>
      <c r="I355">
        <v>20</v>
      </c>
      <c r="J355">
        <v>0</v>
      </c>
      <c r="K355">
        <v>0</v>
      </c>
      <c r="L355" t="s">
        <v>112</v>
      </c>
      <c r="M355" t="s">
        <v>118</v>
      </c>
      <c r="N355">
        <v>40</v>
      </c>
      <c r="O355">
        <v>1</v>
      </c>
      <c r="P355" t="s">
        <v>138</v>
      </c>
      <c r="Q355">
        <v>25</v>
      </c>
      <c r="R355">
        <v>0</v>
      </c>
      <c r="S355">
        <v>0</v>
      </c>
      <c r="T355">
        <v>0</v>
      </c>
      <c r="U355" t="s">
        <v>1353</v>
      </c>
      <c r="V355">
        <v>0</v>
      </c>
      <c r="W355">
        <v>25</v>
      </c>
      <c r="X355">
        <v>10</v>
      </c>
      <c r="Y355">
        <v>0</v>
      </c>
      <c r="Z355" t="s">
        <v>111</v>
      </c>
      <c r="AA355">
        <v>0</v>
      </c>
      <c r="AB355" t="s">
        <v>111</v>
      </c>
      <c r="AC355">
        <v>0</v>
      </c>
      <c r="AD355" t="s">
        <v>416</v>
      </c>
      <c r="AE355">
        <v>20</v>
      </c>
      <c r="AF355">
        <v>1</v>
      </c>
      <c r="AG355">
        <v>40</v>
      </c>
      <c r="AH355" t="s">
        <v>111</v>
      </c>
      <c r="AI355">
        <v>40</v>
      </c>
      <c r="AJ355" t="s">
        <v>111</v>
      </c>
      <c r="AK355" t="s">
        <v>111</v>
      </c>
      <c r="AL355" t="s">
        <v>111</v>
      </c>
      <c r="AM355">
        <v>0</v>
      </c>
      <c r="AN355">
        <v>0</v>
      </c>
      <c r="AO355">
        <v>0</v>
      </c>
      <c r="AP355" t="s">
        <v>259</v>
      </c>
      <c r="AQ355" t="s">
        <v>111</v>
      </c>
      <c r="AR355" t="s">
        <v>111</v>
      </c>
      <c r="AS355" t="s">
        <v>111</v>
      </c>
      <c r="AT355" t="s">
        <v>271</v>
      </c>
      <c r="AU355" t="s">
        <v>111</v>
      </c>
      <c r="AV355" t="s">
        <v>111</v>
      </c>
      <c r="AW355" t="s">
        <v>111</v>
      </c>
      <c r="AX355" t="s">
        <v>111</v>
      </c>
      <c r="AY355" t="s">
        <v>111</v>
      </c>
      <c r="AZ355" t="s">
        <v>111</v>
      </c>
      <c r="BA355" t="s">
        <v>111</v>
      </c>
      <c r="BB355" t="s">
        <v>111</v>
      </c>
      <c r="BC355" t="s">
        <v>111</v>
      </c>
      <c r="BD355" t="s">
        <v>111</v>
      </c>
      <c r="BE355" t="s">
        <v>111</v>
      </c>
      <c r="BF355" t="s">
        <v>111</v>
      </c>
      <c r="BG355" t="s">
        <v>111</v>
      </c>
      <c r="BH355" t="s">
        <v>111</v>
      </c>
      <c r="BI355" t="s">
        <v>111</v>
      </c>
      <c r="BJ355" t="s">
        <v>111</v>
      </c>
      <c r="BK355" t="s">
        <v>111</v>
      </c>
      <c r="BL355" t="s">
        <v>111</v>
      </c>
      <c r="BM355" t="s">
        <v>111</v>
      </c>
      <c r="BN355" t="s">
        <v>111</v>
      </c>
      <c r="BO355" t="s">
        <v>111</v>
      </c>
      <c r="BP355" t="s">
        <v>111</v>
      </c>
      <c r="BQ355" t="s">
        <v>111</v>
      </c>
      <c r="BR355" t="s">
        <v>111</v>
      </c>
      <c r="BS355" t="s">
        <v>111</v>
      </c>
      <c r="BT355" t="s">
        <v>111</v>
      </c>
      <c r="BU355" t="s">
        <v>111</v>
      </c>
      <c r="BV355" t="s">
        <v>111</v>
      </c>
      <c r="BW355" t="s">
        <v>111</v>
      </c>
      <c r="BX355" t="s">
        <v>111</v>
      </c>
      <c r="BY355" t="s">
        <v>111</v>
      </c>
      <c r="BZ355" t="s">
        <v>111</v>
      </c>
      <c r="CA355" t="s">
        <v>111</v>
      </c>
      <c r="CB355" t="s">
        <v>111</v>
      </c>
      <c r="CC355" t="s">
        <v>111</v>
      </c>
      <c r="CD355" t="s">
        <v>111</v>
      </c>
      <c r="CE355" t="s">
        <v>111</v>
      </c>
      <c r="CF355" t="s">
        <v>111</v>
      </c>
      <c r="CG355" t="s">
        <v>111</v>
      </c>
      <c r="CH355" t="s">
        <v>111</v>
      </c>
      <c r="CI355" t="s">
        <v>111</v>
      </c>
      <c r="CJ355" t="s">
        <v>111</v>
      </c>
      <c r="CK355" t="s">
        <v>111</v>
      </c>
      <c r="CL355" t="s">
        <v>153</v>
      </c>
      <c r="CM355" t="s">
        <v>438</v>
      </c>
      <c r="CN355" t="s">
        <v>128</v>
      </c>
      <c r="CO355" t="s">
        <v>111</v>
      </c>
      <c r="CP355" t="s">
        <v>433</v>
      </c>
      <c r="CQ355">
        <v>0</v>
      </c>
      <c r="CR355">
        <v>2000</v>
      </c>
      <c r="CS355">
        <v>50</v>
      </c>
      <c r="CT355" s="1" t="s">
        <v>1354</v>
      </c>
      <c r="CU355">
        <v>0</v>
      </c>
      <c r="CV355" t="s">
        <v>111</v>
      </c>
      <c r="CW355" t="s">
        <v>111</v>
      </c>
      <c r="CX355" t="s">
        <v>111</v>
      </c>
      <c r="CY355">
        <v>0</v>
      </c>
      <c r="CZ355" t="s">
        <v>111</v>
      </c>
      <c r="DA355" t="s">
        <v>111</v>
      </c>
      <c r="DB355" t="s">
        <v>111</v>
      </c>
      <c r="DC355" t="s">
        <v>111</v>
      </c>
    </row>
    <row r="356" spans="1:107">
      <c r="A356">
        <v>639</v>
      </c>
      <c r="B356" t="s">
        <v>162</v>
      </c>
      <c r="C356" t="s">
        <v>1338</v>
      </c>
      <c r="D356" t="s">
        <v>1355</v>
      </c>
      <c r="E356" t="s">
        <v>1356</v>
      </c>
      <c r="F356" t="s">
        <v>431</v>
      </c>
      <c r="G356" t="s">
        <v>469</v>
      </c>
      <c r="H356">
        <v>1.5</v>
      </c>
      <c r="I356">
        <v>100</v>
      </c>
      <c r="J356">
        <v>0</v>
      </c>
      <c r="K356">
        <v>0</v>
      </c>
      <c r="L356" t="s">
        <v>117</v>
      </c>
      <c r="M356" t="s">
        <v>118</v>
      </c>
      <c r="N356">
        <v>40</v>
      </c>
      <c r="O356">
        <v>1</v>
      </c>
      <c r="P356" t="s">
        <v>138</v>
      </c>
      <c r="Q356">
        <v>50</v>
      </c>
      <c r="R356">
        <v>0</v>
      </c>
      <c r="S356">
        <v>0</v>
      </c>
      <c r="T356">
        <v>5</v>
      </c>
      <c r="U356" s="1" t="s">
        <v>1357</v>
      </c>
      <c r="V356">
        <v>0</v>
      </c>
      <c r="W356">
        <v>25</v>
      </c>
      <c r="X356">
        <v>8</v>
      </c>
      <c r="Y356">
        <v>0</v>
      </c>
      <c r="Z356" t="s">
        <v>111</v>
      </c>
      <c r="AA356">
        <v>0</v>
      </c>
      <c r="AB356" t="s">
        <v>111</v>
      </c>
      <c r="AC356">
        <v>0</v>
      </c>
      <c r="AD356" t="s">
        <v>427</v>
      </c>
      <c r="AE356">
        <v>4</v>
      </c>
      <c r="AF356">
        <v>1</v>
      </c>
      <c r="AG356" t="s">
        <v>678</v>
      </c>
      <c r="AH356" t="s">
        <v>113</v>
      </c>
      <c r="AI356">
        <v>41</v>
      </c>
      <c r="AJ356" t="s">
        <v>111</v>
      </c>
      <c r="AK356" t="s">
        <v>111</v>
      </c>
      <c r="AL356" t="s">
        <v>111</v>
      </c>
      <c r="AM356">
        <v>0</v>
      </c>
      <c r="AN356">
        <v>0</v>
      </c>
      <c r="AO356">
        <v>0</v>
      </c>
      <c r="AP356" t="s">
        <v>288</v>
      </c>
      <c r="AQ356" t="s">
        <v>111</v>
      </c>
      <c r="AR356" t="s">
        <v>111</v>
      </c>
      <c r="AS356" t="s">
        <v>111</v>
      </c>
      <c r="AT356" t="s">
        <v>188</v>
      </c>
      <c r="AU356" t="s">
        <v>111</v>
      </c>
      <c r="AV356" t="s">
        <v>111</v>
      </c>
      <c r="AW356" t="s">
        <v>111</v>
      </c>
      <c r="AX356" t="s">
        <v>271</v>
      </c>
      <c r="AY356" t="s">
        <v>111</v>
      </c>
      <c r="AZ356" t="s">
        <v>111</v>
      </c>
      <c r="BA356" t="s">
        <v>111</v>
      </c>
      <c r="BB356" t="s">
        <v>184</v>
      </c>
      <c r="BC356" t="s">
        <v>111</v>
      </c>
      <c r="BD356" t="s">
        <v>111</v>
      </c>
      <c r="BE356" t="s">
        <v>111</v>
      </c>
      <c r="BF356" t="s">
        <v>111</v>
      </c>
      <c r="BG356" t="s">
        <v>111</v>
      </c>
      <c r="BH356" t="s">
        <v>111</v>
      </c>
      <c r="BI356" t="s">
        <v>111</v>
      </c>
      <c r="BJ356" t="s">
        <v>111</v>
      </c>
      <c r="BK356" t="s">
        <v>111</v>
      </c>
      <c r="BL356" t="s">
        <v>111</v>
      </c>
      <c r="BM356" t="s">
        <v>111</v>
      </c>
      <c r="BN356" t="s">
        <v>111</v>
      </c>
      <c r="BO356" t="s">
        <v>111</v>
      </c>
      <c r="BP356" t="s">
        <v>111</v>
      </c>
      <c r="BQ356" t="s">
        <v>111</v>
      </c>
      <c r="BR356" t="s">
        <v>111</v>
      </c>
      <c r="BS356" t="s">
        <v>111</v>
      </c>
      <c r="BT356" t="s">
        <v>111</v>
      </c>
      <c r="BU356" t="s">
        <v>111</v>
      </c>
      <c r="BV356" t="s">
        <v>111</v>
      </c>
      <c r="BW356" t="s">
        <v>111</v>
      </c>
      <c r="BX356" t="s">
        <v>111</v>
      </c>
      <c r="BY356" t="s">
        <v>111</v>
      </c>
      <c r="BZ356" t="s">
        <v>111</v>
      </c>
      <c r="CA356" t="s">
        <v>111</v>
      </c>
      <c r="CB356" t="s">
        <v>111</v>
      </c>
      <c r="CC356" t="s">
        <v>111</v>
      </c>
      <c r="CD356" t="s">
        <v>111</v>
      </c>
      <c r="CE356" t="s">
        <v>111</v>
      </c>
      <c r="CF356" t="s">
        <v>111</v>
      </c>
      <c r="CG356" t="s">
        <v>111</v>
      </c>
      <c r="CH356" t="s">
        <v>111</v>
      </c>
      <c r="CI356" t="s">
        <v>111</v>
      </c>
      <c r="CJ356" t="s">
        <v>111</v>
      </c>
      <c r="CK356" t="s">
        <v>111</v>
      </c>
      <c r="CL356" s="1" t="s">
        <v>835</v>
      </c>
      <c r="CM356" t="s">
        <v>198</v>
      </c>
      <c r="CN356" t="s">
        <v>113</v>
      </c>
      <c r="CO356" t="s">
        <v>111</v>
      </c>
      <c r="CP356" t="s">
        <v>433</v>
      </c>
      <c r="CQ356">
        <v>74</v>
      </c>
      <c r="CR356">
        <v>4000</v>
      </c>
      <c r="CS356">
        <v>200</v>
      </c>
      <c r="CT356" s="1" t="s">
        <v>1358</v>
      </c>
      <c r="CU356">
        <v>0</v>
      </c>
      <c r="CV356" t="s">
        <v>111</v>
      </c>
      <c r="CW356" t="s">
        <v>111</v>
      </c>
      <c r="CX356" t="s">
        <v>111</v>
      </c>
      <c r="CY356">
        <v>0</v>
      </c>
      <c r="CZ356" t="s">
        <v>111</v>
      </c>
      <c r="DA356" t="s">
        <v>111</v>
      </c>
      <c r="DB356" t="s">
        <v>111</v>
      </c>
      <c r="DC356" t="s">
        <v>111</v>
      </c>
    </row>
    <row r="357" spans="1:107">
      <c r="A357">
        <v>493</v>
      </c>
      <c r="B357" t="s">
        <v>162</v>
      </c>
      <c r="C357" t="s">
        <v>328</v>
      </c>
      <c r="D357" t="s">
        <v>1359</v>
      </c>
      <c r="E357" t="s">
        <v>1360</v>
      </c>
      <c r="F357" t="s">
        <v>370</v>
      </c>
      <c r="G357" t="s">
        <v>469</v>
      </c>
      <c r="H357">
        <v>1.3</v>
      </c>
      <c r="I357">
        <v>30</v>
      </c>
      <c r="J357">
        <v>7</v>
      </c>
      <c r="K357">
        <v>7</v>
      </c>
      <c r="L357" t="s">
        <v>112</v>
      </c>
      <c r="M357" t="s">
        <v>118</v>
      </c>
      <c r="N357">
        <v>40</v>
      </c>
      <c r="O357">
        <v>1</v>
      </c>
      <c r="P357" t="s">
        <v>138</v>
      </c>
      <c r="Q357">
        <v>40</v>
      </c>
      <c r="R357">
        <v>0</v>
      </c>
      <c r="S357">
        <v>0</v>
      </c>
      <c r="T357">
        <v>5</v>
      </c>
      <c r="U357" s="1" t="s">
        <v>1361</v>
      </c>
      <c r="V357">
        <v>25</v>
      </c>
      <c r="W357">
        <v>0</v>
      </c>
      <c r="X357">
        <v>8</v>
      </c>
      <c r="Y357">
        <v>0</v>
      </c>
      <c r="Z357" t="s">
        <v>288</v>
      </c>
      <c r="AA357">
        <v>1.65</v>
      </c>
      <c r="AB357" t="s">
        <v>327</v>
      </c>
      <c r="AC357">
        <v>2.5</v>
      </c>
      <c r="AD357" t="s">
        <v>416</v>
      </c>
      <c r="AE357">
        <v>1</v>
      </c>
      <c r="AF357">
        <v>1</v>
      </c>
      <c r="AG357">
        <v>55</v>
      </c>
      <c r="AH357" t="s">
        <v>111</v>
      </c>
      <c r="AI357">
        <v>55</v>
      </c>
      <c r="AJ357" t="s">
        <v>111</v>
      </c>
      <c r="AK357" t="s">
        <v>111</v>
      </c>
      <c r="AL357" t="s">
        <v>111</v>
      </c>
      <c r="AM357">
        <v>0</v>
      </c>
      <c r="AN357">
        <v>0</v>
      </c>
      <c r="AO357">
        <v>0</v>
      </c>
      <c r="AP357" t="s">
        <v>188</v>
      </c>
      <c r="AQ357" t="s">
        <v>111</v>
      </c>
      <c r="AR357" t="s">
        <v>111</v>
      </c>
      <c r="AS357" t="s">
        <v>111</v>
      </c>
      <c r="AT357" t="s">
        <v>111</v>
      </c>
      <c r="AU357" t="s">
        <v>111</v>
      </c>
      <c r="AV357" t="s">
        <v>111</v>
      </c>
      <c r="AW357" t="s">
        <v>111</v>
      </c>
      <c r="AX357" t="s">
        <v>111</v>
      </c>
      <c r="AY357" t="s">
        <v>111</v>
      </c>
      <c r="AZ357" t="s">
        <v>111</v>
      </c>
      <c r="BA357" t="s">
        <v>111</v>
      </c>
      <c r="BB357" t="s">
        <v>111</v>
      </c>
      <c r="BC357" t="s">
        <v>111</v>
      </c>
      <c r="BD357" t="s">
        <v>111</v>
      </c>
      <c r="BE357" t="s">
        <v>111</v>
      </c>
      <c r="BF357" t="s">
        <v>111</v>
      </c>
      <c r="BG357" t="s">
        <v>111</v>
      </c>
      <c r="BH357" t="s">
        <v>111</v>
      </c>
      <c r="BI357" t="s">
        <v>111</v>
      </c>
      <c r="BJ357" t="s">
        <v>111</v>
      </c>
      <c r="BK357" t="s">
        <v>111</v>
      </c>
      <c r="BL357" t="s">
        <v>111</v>
      </c>
      <c r="BM357" t="s">
        <v>111</v>
      </c>
      <c r="BN357" t="s">
        <v>111</v>
      </c>
      <c r="BO357" t="s">
        <v>111</v>
      </c>
      <c r="BP357" t="s">
        <v>111</v>
      </c>
      <c r="BQ357" t="s">
        <v>111</v>
      </c>
      <c r="BR357" t="s">
        <v>111</v>
      </c>
      <c r="BS357" t="s">
        <v>111</v>
      </c>
      <c r="BT357" t="s">
        <v>111</v>
      </c>
      <c r="BU357" t="s">
        <v>111</v>
      </c>
      <c r="BV357" t="s">
        <v>111</v>
      </c>
      <c r="BW357" t="s">
        <v>111</v>
      </c>
      <c r="BX357" t="s">
        <v>111</v>
      </c>
      <c r="BY357" t="s">
        <v>111</v>
      </c>
      <c r="BZ357" t="s">
        <v>111</v>
      </c>
      <c r="CA357" t="s">
        <v>111</v>
      </c>
      <c r="CB357" t="s">
        <v>111</v>
      </c>
      <c r="CC357" t="s">
        <v>111</v>
      </c>
      <c r="CD357" t="s">
        <v>111</v>
      </c>
      <c r="CE357" t="s">
        <v>111</v>
      </c>
      <c r="CF357" t="s">
        <v>111</v>
      </c>
      <c r="CG357" t="s">
        <v>111</v>
      </c>
      <c r="CH357" t="s">
        <v>111</v>
      </c>
      <c r="CI357" t="s">
        <v>111</v>
      </c>
      <c r="CJ357" t="s">
        <v>111</v>
      </c>
      <c r="CK357" t="s">
        <v>111</v>
      </c>
      <c r="CL357" t="s">
        <v>153</v>
      </c>
      <c r="CM357" t="s">
        <v>198</v>
      </c>
      <c r="CN357" t="s">
        <v>128</v>
      </c>
      <c r="CO357" t="s">
        <v>974</v>
      </c>
      <c r="CP357" t="s">
        <v>433</v>
      </c>
      <c r="CQ357">
        <v>35</v>
      </c>
      <c r="CR357">
        <v>1500</v>
      </c>
      <c r="CS357">
        <v>50</v>
      </c>
      <c r="CT357" s="1" t="s">
        <v>1362</v>
      </c>
      <c r="CU357">
        <v>0</v>
      </c>
      <c r="CV357" t="s">
        <v>111</v>
      </c>
      <c r="CW357" t="s">
        <v>111</v>
      </c>
      <c r="CX357" t="s">
        <v>111</v>
      </c>
      <c r="CY357">
        <v>0</v>
      </c>
      <c r="CZ357" t="s">
        <v>111</v>
      </c>
      <c r="DA357" t="s">
        <v>111</v>
      </c>
      <c r="DB357" t="s">
        <v>204</v>
      </c>
      <c r="DC357" s="1" t="s">
        <v>1363</v>
      </c>
    </row>
    <row r="358" spans="1:107">
      <c r="A358">
        <v>584</v>
      </c>
      <c r="B358" t="s">
        <v>162</v>
      </c>
      <c r="C358" t="s">
        <v>428</v>
      </c>
      <c r="D358" t="s">
        <v>1364</v>
      </c>
      <c r="E358" t="s">
        <v>1365</v>
      </c>
      <c r="F358" t="s">
        <v>192</v>
      </c>
      <c r="G358" t="s">
        <v>469</v>
      </c>
      <c r="H358">
        <v>2</v>
      </c>
      <c r="I358">
        <v>36</v>
      </c>
      <c r="J358">
        <v>1.8</v>
      </c>
      <c r="K358">
        <v>0</v>
      </c>
      <c r="L358" t="s">
        <v>112</v>
      </c>
      <c r="M358" t="s">
        <v>138</v>
      </c>
      <c r="N358">
        <v>0</v>
      </c>
      <c r="O358">
        <v>0</v>
      </c>
      <c r="P358" t="s">
        <v>138</v>
      </c>
      <c r="Q358">
        <v>29</v>
      </c>
      <c r="R358">
        <v>0</v>
      </c>
      <c r="S358">
        <v>0</v>
      </c>
      <c r="T358">
        <v>5</v>
      </c>
      <c r="U358" s="1" t="s">
        <v>1366</v>
      </c>
      <c r="V358">
        <v>0</v>
      </c>
      <c r="W358">
        <v>25</v>
      </c>
      <c r="X358">
        <v>8</v>
      </c>
      <c r="Y358">
        <v>0</v>
      </c>
      <c r="Z358" t="s">
        <v>111</v>
      </c>
      <c r="AA358">
        <v>0</v>
      </c>
      <c r="AB358" t="s">
        <v>111</v>
      </c>
      <c r="AC358">
        <v>0</v>
      </c>
      <c r="AD358" t="s">
        <v>111</v>
      </c>
      <c r="AE358">
        <v>0</v>
      </c>
      <c r="AF358">
        <v>0</v>
      </c>
      <c r="AG358" t="s">
        <v>111</v>
      </c>
      <c r="AH358" t="s">
        <v>111</v>
      </c>
      <c r="AI358" t="s">
        <v>111</v>
      </c>
      <c r="AJ358" t="s">
        <v>111</v>
      </c>
      <c r="AK358" t="s">
        <v>111</v>
      </c>
      <c r="AL358" t="s">
        <v>111</v>
      </c>
      <c r="AM358">
        <v>0</v>
      </c>
      <c r="AN358">
        <v>0</v>
      </c>
      <c r="AO358">
        <v>0</v>
      </c>
      <c r="AP358" t="s">
        <v>111</v>
      </c>
      <c r="AQ358" t="s">
        <v>111</v>
      </c>
      <c r="AR358" t="s">
        <v>111</v>
      </c>
      <c r="AS358" t="s">
        <v>111</v>
      </c>
      <c r="AT358" t="s">
        <v>111</v>
      </c>
      <c r="AU358" t="s">
        <v>111</v>
      </c>
      <c r="AV358" t="s">
        <v>111</v>
      </c>
      <c r="AW358" t="s">
        <v>111</v>
      </c>
      <c r="AX358" t="s">
        <v>111</v>
      </c>
      <c r="AY358" t="s">
        <v>111</v>
      </c>
      <c r="AZ358" t="s">
        <v>111</v>
      </c>
      <c r="BA358" t="s">
        <v>111</v>
      </c>
      <c r="BB358" t="s">
        <v>111</v>
      </c>
      <c r="BC358" t="s">
        <v>111</v>
      </c>
      <c r="BD358" t="s">
        <v>111</v>
      </c>
      <c r="BE358" t="s">
        <v>111</v>
      </c>
      <c r="BF358" t="s">
        <v>111</v>
      </c>
      <c r="BG358" t="s">
        <v>111</v>
      </c>
      <c r="BH358" t="s">
        <v>111</v>
      </c>
      <c r="BI358" t="s">
        <v>111</v>
      </c>
      <c r="BJ358" t="s">
        <v>111</v>
      </c>
      <c r="BK358" t="s">
        <v>111</v>
      </c>
      <c r="BL358" t="s">
        <v>111</v>
      </c>
      <c r="BM358" t="s">
        <v>111</v>
      </c>
      <c r="BN358" t="s">
        <v>111</v>
      </c>
      <c r="BO358" t="s">
        <v>111</v>
      </c>
      <c r="BP358" t="s">
        <v>111</v>
      </c>
      <c r="BQ358" t="s">
        <v>111</v>
      </c>
      <c r="BR358" t="s">
        <v>111</v>
      </c>
      <c r="BS358" t="s">
        <v>111</v>
      </c>
      <c r="BT358" t="s">
        <v>111</v>
      </c>
      <c r="BU358" t="s">
        <v>111</v>
      </c>
      <c r="BV358" t="s">
        <v>111</v>
      </c>
      <c r="BW358" t="s">
        <v>111</v>
      </c>
      <c r="BX358" t="s">
        <v>111</v>
      </c>
      <c r="BY358" t="s">
        <v>111</v>
      </c>
      <c r="BZ358" t="s">
        <v>111</v>
      </c>
      <c r="CA358" t="s">
        <v>111</v>
      </c>
      <c r="CB358" t="s">
        <v>111</v>
      </c>
      <c r="CC358" t="s">
        <v>111</v>
      </c>
      <c r="CD358" t="s">
        <v>111</v>
      </c>
      <c r="CE358" t="s">
        <v>111</v>
      </c>
      <c r="CF358" t="s">
        <v>111</v>
      </c>
      <c r="CG358" t="s">
        <v>111</v>
      </c>
      <c r="CH358" t="s">
        <v>111</v>
      </c>
      <c r="CI358" t="s">
        <v>111</v>
      </c>
      <c r="CJ358" t="s">
        <v>111</v>
      </c>
      <c r="CK358" t="s">
        <v>111</v>
      </c>
      <c r="CL358" t="s">
        <v>111</v>
      </c>
      <c r="CM358" t="s">
        <v>198</v>
      </c>
      <c r="CN358" t="s">
        <v>113</v>
      </c>
      <c r="CO358" t="s">
        <v>111</v>
      </c>
      <c r="CP358" t="s">
        <v>111</v>
      </c>
      <c r="CQ358">
        <v>0</v>
      </c>
      <c r="CR358">
        <v>5000</v>
      </c>
      <c r="CS358">
        <v>200</v>
      </c>
      <c r="CT358" t="s">
        <v>168</v>
      </c>
      <c r="CU358">
        <v>0</v>
      </c>
      <c r="CV358" t="s">
        <v>111</v>
      </c>
      <c r="CW358" t="s">
        <v>111</v>
      </c>
      <c r="CX358" t="s">
        <v>111</v>
      </c>
      <c r="CY358">
        <v>0</v>
      </c>
      <c r="CZ358" t="s">
        <v>111</v>
      </c>
      <c r="DA358" t="s">
        <v>111</v>
      </c>
      <c r="DB358" t="s">
        <v>111</v>
      </c>
      <c r="DC358" t="s">
        <v>111</v>
      </c>
    </row>
    <row r="359" spans="1:107">
      <c r="A359">
        <v>578</v>
      </c>
      <c r="B359" t="s">
        <v>162</v>
      </c>
      <c r="C359" t="s">
        <v>1367</v>
      </c>
      <c r="D359" t="s">
        <v>1368</v>
      </c>
      <c r="E359" t="s">
        <v>1369</v>
      </c>
      <c r="F359" t="s">
        <v>370</v>
      </c>
      <c r="G359" t="s">
        <v>469</v>
      </c>
      <c r="H359">
        <v>2.2000000000000002</v>
      </c>
      <c r="I359">
        <v>57</v>
      </c>
      <c r="J359">
        <v>0</v>
      </c>
      <c r="K359">
        <v>0</v>
      </c>
      <c r="L359" t="s">
        <v>112</v>
      </c>
      <c r="M359" t="s">
        <v>118</v>
      </c>
      <c r="N359">
        <v>40</v>
      </c>
      <c r="O359">
        <v>2</v>
      </c>
      <c r="P359" t="s">
        <v>138</v>
      </c>
      <c r="Q359">
        <v>52</v>
      </c>
      <c r="R359">
        <v>0</v>
      </c>
      <c r="S359">
        <v>0</v>
      </c>
      <c r="T359">
        <v>5</v>
      </c>
      <c r="U359" s="1" t="s">
        <v>1370</v>
      </c>
      <c r="V359">
        <v>25</v>
      </c>
      <c r="W359">
        <v>0</v>
      </c>
      <c r="X359">
        <v>8</v>
      </c>
      <c r="Y359">
        <v>0</v>
      </c>
      <c r="Z359" t="s">
        <v>288</v>
      </c>
      <c r="AA359">
        <v>1.5</v>
      </c>
      <c r="AB359" t="s">
        <v>111</v>
      </c>
      <c r="AC359">
        <v>0</v>
      </c>
      <c r="AD359" t="s">
        <v>427</v>
      </c>
      <c r="AE359">
        <v>4</v>
      </c>
      <c r="AF359">
        <v>2</v>
      </c>
      <c r="AG359">
        <v>40</v>
      </c>
      <c r="AH359" t="s">
        <v>111</v>
      </c>
      <c r="AI359">
        <v>40</v>
      </c>
      <c r="AJ359" t="s">
        <v>111</v>
      </c>
      <c r="AK359" t="s">
        <v>111</v>
      </c>
      <c r="AL359" t="s">
        <v>111</v>
      </c>
      <c r="AM359">
        <v>0</v>
      </c>
      <c r="AN359">
        <v>0</v>
      </c>
      <c r="AO359">
        <v>0</v>
      </c>
      <c r="AP359" t="s">
        <v>111</v>
      </c>
      <c r="AQ359" t="s">
        <v>111</v>
      </c>
      <c r="AR359" t="s">
        <v>111</v>
      </c>
      <c r="AS359" t="s">
        <v>111</v>
      </c>
      <c r="AT359" t="s">
        <v>111</v>
      </c>
      <c r="AU359" t="s">
        <v>111</v>
      </c>
      <c r="AV359" t="s">
        <v>111</v>
      </c>
      <c r="AW359" t="s">
        <v>111</v>
      </c>
      <c r="AX359" t="s">
        <v>111</v>
      </c>
      <c r="AY359" t="s">
        <v>111</v>
      </c>
      <c r="AZ359" t="s">
        <v>111</v>
      </c>
      <c r="BA359" t="s">
        <v>111</v>
      </c>
      <c r="BB359" t="s">
        <v>111</v>
      </c>
      <c r="BC359" t="s">
        <v>111</v>
      </c>
      <c r="BD359" t="s">
        <v>111</v>
      </c>
      <c r="BE359" t="s">
        <v>111</v>
      </c>
      <c r="BF359" t="s">
        <v>111</v>
      </c>
      <c r="BG359" t="s">
        <v>111</v>
      </c>
      <c r="BH359" t="s">
        <v>111</v>
      </c>
      <c r="BI359" t="s">
        <v>111</v>
      </c>
      <c r="BJ359" t="s">
        <v>111</v>
      </c>
      <c r="BK359" t="s">
        <v>111</v>
      </c>
      <c r="BL359" t="s">
        <v>111</v>
      </c>
      <c r="BM359" t="s">
        <v>111</v>
      </c>
      <c r="BN359" t="s">
        <v>111</v>
      </c>
      <c r="BO359" t="s">
        <v>111</v>
      </c>
      <c r="BP359" t="s">
        <v>111</v>
      </c>
      <c r="BQ359" t="s">
        <v>111</v>
      </c>
      <c r="BR359" t="s">
        <v>111</v>
      </c>
      <c r="BS359" t="s">
        <v>111</v>
      </c>
      <c r="BT359" t="s">
        <v>111</v>
      </c>
      <c r="BU359" t="s">
        <v>111</v>
      </c>
      <c r="BV359" t="s">
        <v>111</v>
      </c>
      <c r="BW359" t="s">
        <v>111</v>
      </c>
      <c r="BX359" t="s">
        <v>111</v>
      </c>
      <c r="BY359" t="s">
        <v>111</v>
      </c>
      <c r="BZ359" t="s">
        <v>111</v>
      </c>
      <c r="CA359" t="s">
        <v>111</v>
      </c>
      <c r="CB359" t="s">
        <v>111</v>
      </c>
      <c r="CC359" t="s">
        <v>111</v>
      </c>
      <c r="CD359" t="s">
        <v>111</v>
      </c>
      <c r="CE359" t="s">
        <v>111</v>
      </c>
      <c r="CF359" t="s">
        <v>111</v>
      </c>
      <c r="CG359" t="s">
        <v>111</v>
      </c>
      <c r="CH359" t="s">
        <v>111</v>
      </c>
      <c r="CI359" t="s">
        <v>111</v>
      </c>
      <c r="CJ359" t="s">
        <v>111</v>
      </c>
      <c r="CK359" t="s">
        <v>111</v>
      </c>
      <c r="CL359" t="s">
        <v>153</v>
      </c>
      <c r="CM359" t="s">
        <v>198</v>
      </c>
      <c r="CN359" t="s">
        <v>113</v>
      </c>
      <c r="CO359" t="s">
        <v>1371</v>
      </c>
      <c r="CP359" t="s">
        <v>433</v>
      </c>
      <c r="CQ359">
        <v>0</v>
      </c>
      <c r="CR359">
        <v>0</v>
      </c>
      <c r="CS359">
        <v>0</v>
      </c>
      <c r="CT359" s="1" t="s">
        <v>1372</v>
      </c>
      <c r="CU359">
        <v>0</v>
      </c>
      <c r="CV359" t="s">
        <v>111</v>
      </c>
      <c r="CW359" t="s">
        <v>111</v>
      </c>
      <c r="CX359" t="s">
        <v>111</v>
      </c>
      <c r="CY359">
        <v>0</v>
      </c>
      <c r="CZ359" t="s">
        <v>111</v>
      </c>
      <c r="DA359" t="s">
        <v>111</v>
      </c>
      <c r="DB359" t="s">
        <v>204</v>
      </c>
      <c r="DC359" t="s">
        <v>1373</v>
      </c>
    </row>
    <row r="360" spans="1:107">
      <c r="A360">
        <v>499</v>
      </c>
      <c r="B360" t="s">
        <v>107</v>
      </c>
      <c r="C360" t="s">
        <v>223</v>
      </c>
      <c r="D360" t="s">
        <v>1374</v>
      </c>
      <c r="E360" t="s">
        <v>1375</v>
      </c>
      <c r="F360" t="s">
        <v>192</v>
      </c>
      <c r="G360" t="s">
        <v>469</v>
      </c>
      <c r="H360">
        <v>1.9</v>
      </c>
      <c r="I360">
        <v>80</v>
      </c>
      <c r="J360">
        <v>0</v>
      </c>
      <c r="K360">
        <v>0</v>
      </c>
      <c r="L360" t="s">
        <v>112</v>
      </c>
      <c r="M360" t="s">
        <v>138</v>
      </c>
      <c r="N360">
        <v>0</v>
      </c>
      <c r="O360">
        <v>0</v>
      </c>
      <c r="P360" t="s">
        <v>138</v>
      </c>
      <c r="Q360">
        <v>58</v>
      </c>
      <c r="R360">
        <v>0</v>
      </c>
      <c r="S360">
        <v>0</v>
      </c>
      <c r="T360">
        <v>5</v>
      </c>
      <c r="U360" t="s">
        <v>153</v>
      </c>
      <c r="V360">
        <v>12.5</v>
      </c>
      <c r="W360">
        <v>12.5</v>
      </c>
      <c r="X360">
        <v>0</v>
      </c>
      <c r="Y360">
        <v>0</v>
      </c>
      <c r="Z360" t="s">
        <v>327</v>
      </c>
      <c r="AA360">
        <v>2.5</v>
      </c>
      <c r="AB360" t="s">
        <v>265</v>
      </c>
      <c r="AC360">
        <v>25</v>
      </c>
      <c r="AD360" t="s">
        <v>111</v>
      </c>
      <c r="AE360">
        <v>0</v>
      </c>
      <c r="AF360">
        <v>0</v>
      </c>
      <c r="AG360" t="s">
        <v>111</v>
      </c>
      <c r="AH360" t="s">
        <v>111</v>
      </c>
      <c r="AI360" t="s">
        <v>111</v>
      </c>
      <c r="AJ360" t="s">
        <v>111</v>
      </c>
      <c r="AK360" t="s">
        <v>111</v>
      </c>
      <c r="AL360" t="s">
        <v>111</v>
      </c>
      <c r="AM360">
        <v>0</v>
      </c>
      <c r="AN360">
        <v>0</v>
      </c>
      <c r="AO360">
        <v>0</v>
      </c>
      <c r="AP360" t="s">
        <v>111</v>
      </c>
      <c r="AQ360" t="s">
        <v>111</v>
      </c>
      <c r="AR360" t="s">
        <v>111</v>
      </c>
      <c r="AS360" t="s">
        <v>111</v>
      </c>
      <c r="AT360" t="s">
        <v>111</v>
      </c>
      <c r="AU360" t="s">
        <v>111</v>
      </c>
      <c r="AV360" t="s">
        <v>111</v>
      </c>
      <c r="AW360" t="s">
        <v>111</v>
      </c>
      <c r="AX360" t="s">
        <v>111</v>
      </c>
      <c r="AY360" t="s">
        <v>111</v>
      </c>
      <c r="AZ360" t="s">
        <v>111</v>
      </c>
      <c r="BA360" t="s">
        <v>111</v>
      </c>
      <c r="BB360" t="s">
        <v>111</v>
      </c>
      <c r="BC360" t="s">
        <v>111</v>
      </c>
      <c r="BD360" t="s">
        <v>111</v>
      </c>
      <c r="BE360" t="s">
        <v>111</v>
      </c>
      <c r="BF360" t="s">
        <v>111</v>
      </c>
      <c r="BG360" t="s">
        <v>111</v>
      </c>
      <c r="BH360" t="s">
        <v>111</v>
      </c>
      <c r="BI360" t="s">
        <v>111</v>
      </c>
      <c r="BJ360" t="s">
        <v>111</v>
      </c>
      <c r="BK360" t="s">
        <v>111</v>
      </c>
      <c r="BL360" t="s">
        <v>111</v>
      </c>
      <c r="BM360" t="s">
        <v>111</v>
      </c>
      <c r="BN360" t="s">
        <v>111</v>
      </c>
      <c r="BO360" t="s">
        <v>111</v>
      </c>
      <c r="BP360" t="s">
        <v>111</v>
      </c>
      <c r="BQ360" t="s">
        <v>111</v>
      </c>
      <c r="BR360" t="s">
        <v>111</v>
      </c>
      <c r="BS360" t="s">
        <v>111</v>
      </c>
      <c r="BT360" t="s">
        <v>111</v>
      </c>
      <c r="BU360" t="s">
        <v>111</v>
      </c>
      <c r="BV360" t="s">
        <v>111</v>
      </c>
      <c r="BW360" t="s">
        <v>111</v>
      </c>
      <c r="BX360" t="s">
        <v>111</v>
      </c>
      <c r="BY360" t="s">
        <v>111</v>
      </c>
      <c r="BZ360" t="s">
        <v>111</v>
      </c>
      <c r="CA360" t="s">
        <v>111</v>
      </c>
      <c r="CB360" t="s">
        <v>111</v>
      </c>
      <c r="CC360" t="s">
        <v>111</v>
      </c>
      <c r="CD360" t="s">
        <v>111</v>
      </c>
      <c r="CE360" t="s">
        <v>111</v>
      </c>
      <c r="CF360" t="s">
        <v>111</v>
      </c>
      <c r="CG360" t="s">
        <v>111</v>
      </c>
      <c r="CH360" t="s">
        <v>111</v>
      </c>
      <c r="CI360" t="s">
        <v>111</v>
      </c>
      <c r="CJ360" t="s">
        <v>111</v>
      </c>
      <c r="CK360" t="s">
        <v>111</v>
      </c>
      <c r="CL360" t="s">
        <v>111</v>
      </c>
      <c r="CM360" t="s">
        <v>198</v>
      </c>
      <c r="CN360" t="s">
        <v>128</v>
      </c>
      <c r="CO360" t="s">
        <v>111</v>
      </c>
      <c r="CP360" t="s">
        <v>111</v>
      </c>
      <c r="CQ360">
        <v>25</v>
      </c>
      <c r="CR360">
        <v>500</v>
      </c>
      <c r="CS360">
        <v>50</v>
      </c>
      <c r="CT360" t="s">
        <v>168</v>
      </c>
      <c r="CU360">
        <v>0</v>
      </c>
      <c r="CV360" t="s">
        <v>111</v>
      </c>
      <c r="CW360" t="s">
        <v>111</v>
      </c>
      <c r="CX360" t="s">
        <v>111</v>
      </c>
      <c r="CY360">
        <v>0</v>
      </c>
      <c r="CZ360" t="s">
        <v>111</v>
      </c>
      <c r="DA360" t="s">
        <v>111</v>
      </c>
      <c r="DB360" t="s">
        <v>111</v>
      </c>
      <c r="DC360" t="s">
        <v>111</v>
      </c>
    </row>
    <row r="361" spans="1:107">
      <c r="A361">
        <v>568</v>
      </c>
      <c r="B361" t="s">
        <v>162</v>
      </c>
      <c r="C361" t="s">
        <v>1295</v>
      </c>
      <c r="D361" t="s">
        <v>1376</v>
      </c>
      <c r="E361" t="s">
        <v>1377</v>
      </c>
      <c r="F361" t="s">
        <v>561</v>
      </c>
      <c r="G361" t="s">
        <v>469</v>
      </c>
      <c r="H361">
        <v>2.9</v>
      </c>
      <c r="I361">
        <v>50</v>
      </c>
      <c r="J361">
        <v>6</v>
      </c>
      <c r="K361">
        <v>6</v>
      </c>
      <c r="L361" t="s">
        <v>112</v>
      </c>
      <c r="M361" t="s">
        <v>118</v>
      </c>
      <c r="N361">
        <v>40</v>
      </c>
      <c r="O361">
        <v>2</v>
      </c>
      <c r="P361" t="s">
        <v>138</v>
      </c>
      <c r="Q361">
        <v>47</v>
      </c>
      <c r="R361">
        <v>0</v>
      </c>
      <c r="S361">
        <v>0</v>
      </c>
      <c r="T361">
        <v>0</v>
      </c>
      <c r="U361" s="1" t="s">
        <v>1378</v>
      </c>
      <c r="V361">
        <v>25</v>
      </c>
      <c r="W361">
        <v>0</v>
      </c>
      <c r="X361">
        <v>8</v>
      </c>
      <c r="Y361">
        <v>0</v>
      </c>
      <c r="Z361" t="s">
        <v>111</v>
      </c>
      <c r="AA361">
        <v>0</v>
      </c>
      <c r="AB361" t="s">
        <v>111</v>
      </c>
      <c r="AC361">
        <v>0</v>
      </c>
      <c r="AD361" t="s">
        <v>416</v>
      </c>
      <c r="AE361">
        <v>2</v>
      </c>
      <c r="AF361">
        <v>2</v>
      </c>
      <c r="AG361">
        <v>50</v>
      </c>
      <c r="AH361" t="s">
        <v>113</v>
      </c>
      <c r="AI361">
        <v>50</v>
      </c>
      <c r="AJ361" t="s">
        <v>111</v>
      </c>
      <c r="AK361" t="s">
        <v>111</v>
      </c>
      <c r="AL361" t="s">
        <v>111</v>
      </c>
      <c r="AM361">
        <v>0</v>
      </c>
      <c r="AN361">
        <v>0</v>
      </c>
      <c r="AO361">
        <v>0</v>
      </c>
      <c r="AP361" t="s">
        <v>366</v>
      </c>
      <c r="AQ361" t="s">
        <v>111</v>
      </c>
      <c r="AR361" t="s">
        <v>111</v>
      </c>
      <c r="AS361" t="s">
        <v>111</v>
      </c>
      <c r="AT361" t="s">
        <v>184</v>
      </c>
      <c r="AU361" t="s">
        <v>111</v>
      </c>
      <c r="AV361" t="s">
        <v>111</v>
      </c>
      <c r="AW361" t="s">
        <v>111</v>
      </c>
      <c r="AX361" t="s">
        <v>111</v>
      </c>
      <c r="AY361" t="s">
        <v>111</v>
      </c>
      <c r="AZ361" t="s">
        <v>111</v>
      </c>
      <c r="BA361" t="s">
        <v>111</v>
      </c>
      <c r="BB361" t="s">
        <v>111</v>
      </c>
      <c r="BC361" t="s">
        <v>111</v>
      </c>
      <c r="BD361" t="s">
        <v>111</v>
      </c>
      <c r="BE361" t="s">
        <v>111</v>
      </c>
      <c r="BF361" t="s">
        <v>111</v>
      </c>
      <c r="BG361" t="s">
        <v>111</v>
      </c>
      <c r="BH361" t="s">
        <v>111</v>
      </c>
      <c r="BI361" t="s">
        <v>111</v>
      </c>
      <c r="BJ361" t="s">
        <v>111</v>
      </c>
      <c r="BK361" t="s">
        <v>111</v>
      </c>
      <c r="BL361" t="s">
        <v>111</v>
      </c>
      <c r="BM361" t="s">
        <v>111</v>
      </c>
      <c r="BN361" t="s">
        <v>366</v>
      </c>
      <c r="BO361" t="s">
        <v>111</v>
      </c>
      <c r="BP361" t="s">
        <v>111</v>
      </c>
      <c r="BQ361" t="s">
        <v>111</v>
      </c>
      <c r="BR361" t="s">
        <v>184</v>
      </c>
      <c r="BS361" t="s">
        <v>111</v>
      </c>
      <c r="BT361" t="s">
        <v>111</v>
      </c>
      <c r="BU361" t="s">
        <v>111</v>
      </c>
      <c r="BV361" t="s">
        <v>111</v>
      </c>
      <c r="BW361" t="s">
        <v>111</v>
      </c>
      <c r="BX361" t="s">
        <v>111</v>
      </c>
      <c r="BY361" t="s">
        <v>111</v>
      </c>
      <c r="BZ361" t="s">
        <v>111</v>
      </c>
      <c r="CA361" t="s">
        <v>111</v>
      </c>
      <c r="CB361" t="s">
        <v>111</v>
      </c>
      <c r="CC361" t="s">
        <v>111</v>
      </c>
      <c r="CD361" t="s">
        <v>111</v>
      </c>
      <c r="CE361" t="s">
        <v>111</v>
      </c>
      <c r="CF361" t="s">
        <v>111</v>
      </c>
      <c r="CG361" t="s">
        <v>111</v>
      </c>
      <c r="CH361" t="s">
        <v>111</v>
      </c>
      <c r="CI361" t="s">
        <v>111</v>
      </c>
      <c r="CJ361" t="s">
        <v>111</v>
      </c>
      <c r="CK361" t="s">
        <v>111</v>
      </c>
      <c r="CL361" t="s">
        <v>153</v>
      </c>
      <c r="CM361" t="s">
        <v>198</v>
      </c>
      <c r="CN361" t="s">
        <v>113</v>
      </c>
      <c r="CO361" t="s">
        <v>111</v>
      </c>
      <c r="CP361" t="s">
        <v>433</v>
      </c>
      <c r="CQ361">
        <v>0</v>
      </c>
      <c r="CR361">
        <v>0</v>
      </c>
      <c r="CS361">
        <v>0</v>
      </c>
      <c r="CT361" t="s">
        <v>419</v>
      </c>
      <c r="CU361">
        <v>0</v>
      </c>
      <c r="CV361" t="s">
        <v>111</v>
      </c>
      <c r="CW361" t="s">
        <v>111</v>
      </c>
      <c r="CX361" t="s">
        <v>111</v>
      </c>
      <c r="CY361">
        <v>0</v>
      </c>
      <c r="CZ361" t="s">
        <v>111</v>
      </c>
      <c r="DA361" t="s">
        <v>111</v>
      </c>
      <c r="DB361" t="s">
        <v>204</v>
      </c>
      <c r="DC361" s="1" t="s">
        <v>1299</v>
      </c>
    </row>
    <row r="362" spans="1:107">
      <c r="A362">
        <v>566</v>
      </c>
      <c r="B362" t="s">
        <v>162</v>
      </c>
      <c r="C362" t="s">
        <v>428</v>
      </c>
      <c r="D362" t="s">
        <v>1379</v>
      </c>
      <c r="E362" t="s">
        <v>1380</v>
      </c>
      <c r="F362" t="s">
        <v>431</v>
      </c>
      <c r="G362" t="s">
        <v>469</v>
      </c>
      <c r="H362">
        <v>1.2</v>
      </c>
      <c r="I362">
        <v>32</v>
      </c>
      <c r="J362">
        <v>2.5</v>
      </c>
      <c r="K362">
        <v>0</v>
      </c>
      <c r="L362" t="s">
        <v>112</v>
      </c>
      <c r="M362" t="s">
        <v>118</v>
      </c>
      <c r="N362">
        <v>38</v>
      </c>
      <c r="O362">
        <v>1</v>
      </c>
      <c r="P362" t="s">
        <v>138</v>
      </c>
      <c r="Q362">
        <v>36.6</v>
      </c>
      <c r="R362">
        <v>0</v>
      </c>
      <c r="S362">
        <v>0</v>
      </c>
      <c r="T362">
        <v>3</v>
      </c>
      <c r="U362" s="1" t="s">
        <v>1381</v>
      </c>
      <c r="V362">
        <v>0</v>
      </c>
      <c r="W362">
        <v>25</v>
      </c>
      <c r="X362">
        <v>5</v>
      </c>
      <c r="Y362">
        <v>0</v>
      </c>
      <c r="Z362" t="s">
        <v>111</v>
      </c>
      <c r="AA362">
        <v>0</v>
      </c>
      <c r="AB362" t="s">
        <v>111</v>
      </c>
      <c r="AC362">
        <v>0</v>
      </c>
      <c r="AD362" t="s">
        <v>416</v>
      </c>
      <c r="AE362">
        <v>1</v>
      </c>
      <c r="AF362">
        <v>1</v>
      </c>
      <c r="AG362">
        <v>27</v>
      </c>
      <c r="AH362" t="s">
        <v>113</v>
      </c>
      <c r="AI362">
        <v>54</v>
      </c>
      <c r="AJ362" t="s">
        <v>111</v>
      </c>
      <c r="AK362" t="s">
        <v>111</v>
      </c>
      <c r="AL362" t="s">
        <v>111</v>
      </c>
      <c r="AM362">
        <v>0</v>
      </c>
      <c r="AN362">
        <v>0</v>
      </c>
      <c r="AO362">
        <v>0</v>
      </c>
      <c r="AP362" t="s">
        <v>259</v>
      </c>
      <c r="AQ362" t="s">
        <v>111</v>
      </c>
      <c r="AR362" t="s">
        <v>111</v>
      </c>
      <c r="AS362" t="s">
        <v>111</v>
      </c>
      <c r="AT362" t="s">
        <v>111</v>
      </c>
      <c r="AU362" t="s">
        <v>111</v>
      </c>
      <c r="AV362" t="s">
        <v>111</v>
      </c>
      <c r="AW362" t="s">
        <v>111</v>
      </c>
      <c r="AX362" t="s">
        <v>111</v>
      </c>
      <c r="AY362" t="s">
        <v>111</v>
      </c>
      <c r="AZ362" t="s">
        <v>111</v>
      </c>
      <c r="BA362" t="s">
        <v>111</v>
      </c>
      <c r="BB362" t="s">
        <v>111</v>
      </c>
      <c r="BC362" t="s">
        <v>111</v>
      </c>
      <c r="BD362" t="s">
        <v>111</v>
      </c>
      <c r="BE362" t="s">
        <v>111</v>
      </c>
      <c r="BF362" t="s">
        <v>111</v>
      </c>
      <c r="BG362" t="s">
        <v>111</v>
      </c>
      <c r="BH362" t="s">
        <v>111</v>
      </c>
      <c r="BI362" t="s">
        <v>111</v>
      </c>
      <c r="BJ362" t="s">
        <v>111</v>
      </c>
      <c r="BK362" t="s">
        <v>111</v>
      </c>
      <c r="BL362" t="s">
        <v>111</v>
      </c>
      <c r="BM362" t="s">
        <v>111</v>
      </c>
      <c r="BN362" t="s">
        <v>111</v>
      </c>
      <c r="BO362" t="s">
        <v>111</v>
      </c>
      <c r="BP362" t="s">
        <v>111</v>
      </c>
      <c r="BQ362" t="s">
        <v>111</v>
      </c>
      <c r="BR362" t="s">
        <v>111</v>
      </c>
      <c r="BS362" t="s">
        <v>111</v>
      </c>
      <c r="BT362" t="s">
        <v>111</v>
      </c>
      <c r="BU362" t="s">
        <v>111</v>
      </c>
      <c r="BV362" t="s">
        <v>111</v>
      </c>
      <c r="BW362" t="s">
        <v>111</v>
      </c>
      <c r="BX362" t="s">
        <v>111</v>
      </c>
      <c r="BY362" t="s">
        <v>111</v>
      </c>
      <c r="BZ362" t="s">
        <v>111</v>
      </c>
      <c r="CA362" t="s">
        <v>111</v>
      </c>
      <c r="CB362" t="s">
        <v>111</v>
      </c>
      <c r="CC362" t="s">
        <v>111</v>
      </c>
      <c r="CD362" t="s">
        <v>111</v>
      </c>
      <c r="CE362" t="s">
        <v>111</v>
      </c>
      <c r="CF362" t="s">
        <v>111</v>
      </c>
      <c r="CG362" t="s">
        <v>111</v>
      </c>
      <c r="CH362" t="s">
        <v>111</v>
      </c>
      <c r="CI362" t="s">
        <v>111</v>
      </c>
      <c r="CJ362" t="s">
        <v>111</v>
      </c>
      <c r="CK362" t="s">
        <v>111</v>
      </c>
      <c r="CL362" t="s">
        <v>153</v>
      </c>
      <c r="CM362" t="s">
        <v>198</v>
      </c>
      <c r="CN362" t="s">
        <v>113</v>
      </c>
      <c r="CO362" t="s">
        <v>111</v>
      </c>
      <c r="CP362" t="s">
        <v>433</v>
      </c>
      <c r="CQ362">
        <v>86</v>
      </c>
      <c r="CR362">
        <v>5000</v>
      </c>
      <c r="CS362">
        <v>200</v>
      </c>
      <c r="CT362" t="e">
        <f>-DESTINO ALMACEN</f>
        <v>#NAME?</v>
      </c>
      <c r="CU362">
        <v>0</v>
      </c>
      <c r="CV362" t="s">
        <v>111</v>
      </c>
      <c r="CW362" t="s">
        <v>111</v>
      </c>
      <c r="CX362" t="s">
        <v>111</v>
      </c>
      <c r="CY362">
        <v>0</v>
      </c>
      <c r="CZ362" t="s">
        <v>111</v>
      </c>
      <c r="DA362" t="s">
        <v>111</v>
      </c>
      <c r="DB362" t="s">
        <v>111</v>
      </c>
      <c r="DC362" t="s">
        <v>111</v>
      </c>
    </row>
    <row r="363" spans="1:107">
      <c r="A363">
        <v>565</v>
      </c>
      <c r="B363" t="s">
        <v>107</v>
      </c>
      <c r="C363" t="s">
        <v>1382</v>
      </c>
      <c r="D363" t="s">
        <v>1133</v>
      </c>
      <c r="E363" t="s">
        <v>1383</v>
      </c>
      <c r="F363" t="s">
        <v>1135</v>
      </c>
      <c r="G363" t="s">
        <v>469</v>
      </c>
      <c r="H363">
        <v>2.5</v>
      </c>
      <c r="I363">
        <v>89</v>
      </c>
      <c r="J363">
        <v>0</v>
      </c>
      <c r="K363">
        <v>0</v>
      </c>
      <c r="L363" t="s">
        <v>117</v>
      </c>
      <c r="M363" t="s">
        <v>118</v>
      </c>
      <c r="N363">
        <v>40</v>
      </c>
      <c r="O363">
        <v>1</v>
      </c>
      <c r="P363" t="s">
        <v>138</v>
      </c>
      <c r="Q363">
        <v>46.5</v>
      </c>
      <c r="R363">
        <v>0</v>
      </c>
      <c r="S363">
        <v>0</v>
      </c>
      <c r="T363">
        <v>5</v>
      </c>
      <c r="U363" t="s">
        <v>1384</v>
      </c>
      <c r="V363">
        <v>25</v>
      </c>
      <c r="W363">
        <v>0</v>
      </c>
      <c r="X363">
        <v>8</v>
      </c>
      <c r="Y363">
        <v>0</v>
      </c>
      <c r="Z363" t="s">
        <v>1091</v>
      </c>
      <c r="AA363">
        <v>1.65</v>
      </c>
      <c r="AB363" t="s">
        <v>111</v>
      </c>
      <c r="AC363">
        <v>0</v>
      </c>
      <c r="AD363" t="s">
        <v>416</v>
      </c>
      <c r="AE363">
        <v>0</v>
      </c>
      <c r="AF363">
        <v>0</v>
      </c>
      <c r="AG363">
        <v>40</v>
      </c>
      <c r="AH363" t="s">
        <v>111</v>
      </c>
      <c r="AI363">
        <v>40</v>
      </c>
      <c r="AJ363" t="s">
        <v>111</v>
      </c>
      <c r="AK363" t="s">
        <v>111</v>
      </c>
      <c r="AL363" t="s">
        <v>111</v>
      </c>
      <c r="AM363">
        <v>0</v>
      </c>
      <c r="AN363">
        <v>0</v>
      </c>
      <c r="AO363">
        <v>0</v>
      </c>
      <c r="AP363" t="s">
        <v>111</v>
      </c>
      <c r="AQ363" t="s">
        <v>111</v>
      </c>
      <c r="AR363" t="s">
        <v>111</v>
      </c>
      <c r="AS363" t="s">
        <v>111</v>
      </c>
      <c r="AT363" t="s">
        <v>111</v>
      </c>
      <c r="AU363" t="s">
        <v>111</v>
      </c>
      <c r="AV363" t="s">
        <v>111</v>
      </c>
      <c r="AW363" t="s">
        <v>111</v>
      </c>
      <c r="AX363" t="s">
        <v>111</v>
      </c>
      <c r="AY363" t="s">
        <v>111</v>
      </c>
      <c r="AZ363" t="s">
        <v>111</v>
      </c>
      <c r="BA363" t="s">
        <v>111</v>
      </c>
      <c r="BB363" t="s">
        <v>111</v>
      </c>
      <c r="BC363" t="s">
        <v>111</v>
      </c>
      <c r="BD363" t="s">
        <v>111</v>
      </c>
      <c r="BE363" t="s">
        <v>111</v>
      </c>
      <c r="BF363" t="s">
        <v>111</v>
      </c>
      <c r="BG363" t="s">
        <v>111</v>
      </c>
      <c r="BH363" t="s">
        <v>111</v>
      </c>
      <c r="BI363" t="s">
        <v>111</v>
      </c>
      <c r="BJ363" t="s">
        <v>111</v>
      </c>
      <c r="BK363" t="s">
        <v>111</v>
      </c>
      <c r="BL363" t="s">
        <v>111</v>
      </c>
      <c r="BM363" t="s">
        <v>111</v>
      </c>
      <c r="BN363" t="s">
        <v>111</v>
      </c>
      <c r="BO363" t="s">
        <v>111</v>
      </c>
      <c r="BP363" t="s">
        <v>111</v>
      </c>
      <c r="BQ363" t="s">
        <v>111</v>
      </c>
      <c r="BR363" t="s">
        <v>111</v>
      </c>
      <c r="BS363" t="s">
        <v>111</v>
      </c>
      <c r="BT363" t="s">
        <v>111</v>
      </c>
      <c r="BU363" t="s">
        <v>111</v>
      </c>
      <c r="BV363" t="s">
        <v>111</v>
      </c>
      <c r="BW363" t="s">
        <v>111</v>
      </c>
      <c r="BX363" t="s">
        <v>111</v>
      </c>
      <c r="BY363" t="s">
        <v>111</v>
      </c>
      <c r="BZ363" t="s">
        <v>111</v>
      </c>
      <c r="CA363" t="s">
        <v>111</v>
      </c>
      <c r="CB363" t="s">
        <v>111</v>
      </c>
      <c r="CC363" t="s">
        <v>111</v>
      </c>
      <c r="CD363" t="s">
        <v>111</v>
      </c>
      <c r="CE363" t="s">
        <v>111</v>
      </c>
      <c r="CF363" t="s">
        <v>111</v>
      </c>
      <c r="CG363" t="s">
        <v>111</v>
      </c>
      <c r="CH363" t="s">
        <v>111</v>
      </c>
      <c r="CI363" t="s">
        <v>111</v>
      </c>
      <c r="CJ363" t="s">
        <v>111</v>
      </c>
      <c r="CK363" t="s">
        <v>111</v>
      </c>
      <c r="CL363" t="s">
        <v>153</v>
      </c>
      <c r="CM363" t="s">
        <v>198</v>
      </c>
      <c r="CN363" t="s">
        <v>113</v>
      </c>
      <c r="CO363" t="s">
        <v>111</v>
      </c>
      <c r="CP363" t="s">
        <v>433</v>
      </c>
      <c r="CQ363">
        <v>0</v>
      </c>
      <c r="CR363">
        <v>0</v>
      </c>
      <c r="CS363">
        <v>0</v>
      </c>
      <c r="CT363" s="1" t="s">
        <v>1385</v>
      </c>
      <c r="CU363">
        <v>0</v>
      </c>
      <c r="CV363" t="s">
        <v>111</v>
      </c>
      <c r="CW363" t="s">
        <v>111</v>
      </c>
      <c r="CX363" t="s">
        <v>111</v>
      </c>
      <c r="CY363">
        <v>0</v>
      </c>
      <c r="CZ363" t="s">
        <v>111</v>
      </c>
      <c r="DA363" t="s">
        <v>111</v>
      </c>
      <c r="DB363" t="e">
        <f>-INTERNO</f>
        <v>#NAME?</v>
      </c>
      <c r="DC363" t="s">
        <v>1386</v>
      </c>
    </row>
    <row r="364" spans="1:107">
      <c r="A364">
        <v>535</v>
      </c>
      <c r="B364" t="s">
        <v>162</v>
      </c>
      <c r="C364" t="s">
        <v>928</v>
      </c>
      <c r="D364" t="s">
        <v>1387</v>
      </c>
      <c r="E364" t="s">
        <v>1388</v>
      </c>
      <c r="F364" t="s">
        <v>431</v>
      </c>
      <c r="G364" t="s">
        <v>469</v>
      </c>
      <c r="H364">
        <v>1</v>
      </c>
      <c r="I364">
        <v>70</v>
      </c>
      <c r="J364">
        <v>0</v>
      </c>
      <c r="K364">
        <v>0</v>
      </c>
      <c r="L364" t="s">
        <v>117</v>
      </c>
      <c r="M364" t="s">
        <v>118</v>
      </c>
      <c r="N364">
        <v>40</v>
      </c>
      <c r="O364">
        <v>1</v>
      </c>
      <c r="P364" t="s">
        <v>138</v>
      </c>
      <c r="Q364">
        <v>50</v>
      </c>
      <c r="R364">
        <v>0</v>
      </c>
      <c r="S364">
        <v>0</v>
      </c>
      <c r="T364">
        <v>10</v>
      </c>
      <c r="U364" s="1" t="s">
        <v>1389</v>
      </c>
      <c r="V364">
        <v>0</v>
      </c>
      <c r="W364">
        <v>25</v>
      </c>
      <c r="X364">
        <v>7</v>
      </c>
      <c r="Y364">
        <v>0</v>
      </c>
      <c r="Z364" t="s">
        <v>111</v>
      </c>
      <c r="AA364">
        <v>0</v>
      </c>
      <c r="AB364" t="s">
        <v>111</v>
      </c>
      <c r="AC364">
        <v>0</v>
      </c>
      <c r="AD364" t="s">
        <v>427</v>
      </c>
      <c r="AE364">
        <v>2</v>
      </c>
      <c r="AF364">
        <v>0</v>
      </c>
      <c r="AG364">
        <v>26</v>
      </c>
      <c r="AH364" t="s">
        <v>113</v>
      </c>
      <c r="AI364">
        <v>52</v>
      </c>
      <c r="AJ364" t="s">
        <v>111</v>
      </c>
      <c r="AK364" t="s">
        <v>111</v>
      </c>
      <c r="AL364" t="s">
        <v>111</v>
      </c>
      <c r="AM364">
        <v>0</v>
      </c>
      <c r="AN364">
        <v>0</v>
      </c>
      <c r="AO364">
        <v>0</v>
      </c>
      <c r="AP364" t="s">
        <v>111</v>
      </c>
      <c r="AQ364" t="s">
        <v>111</v>
      </c>
      <c r="AR364" t="s">
        <v>111</v>
      </c>
      <c r="AS364" t="s">
        <v>111</v>
      </c>
      <c r="AT364" t="s">
        <v>111</v>
      </c>
      <c r="AU364" t="s">
        <v>111</v>
      </c>
      <c r="AV364" t="s">
        <v>111</v>
      </c>
      <c r="AW364" t="s">
        <v>111</v>
      </c>
      <c r="AX364" t="s">
        <v>111</v>
      </c>
      <c r="AY364" t="s">
        <v>111</v>
      </c>
      <c r="AZ364" t="s">
        <v>111</v>
      </c>
      <c r="BA364" t="s">
        <v>111</v>
      </c>
      <c r="BB364" t="s">
        <v>111</v>
      </c>
      <c r="BC364" t="s">
        <v>111</v>
      </c>
      <c r="BD364" t="s">
        <v>111</v>
      </c>
      <c r="BE364" t="s">
        <v>111</v>
      </c>
      <c r="BF364" t="s">
        <v>111</v>
      </c>
      <c r="BG364" t="s">
        <v>111</v>
      </c>
      <c r="BH364" t="s">
        <v>111</v>
      </c>
      <c r="BI364" t="s">
        <v>111</v>
      </c>
      <c r="BJ364" t="s">
        <v>111</v>
      </c>
      <c r="BK364" t="s">
        <v>111</v>
      </c>
      <c r="BL364" t="s">
        <v>111</v>
      </c>
      <c r="BM364" t="s">
        <v>111</v>
      </c>
      <c r="BN364" t="s">
        <v>111</v>
      </c>
      <c r="BO364" t="s">
        <v>111</v>
      </c>
      <c r="BP364" t="s">
        <v>111</v>
      </c>
      <c r="BQ364" t="s">
        <v>111</v>
      </c>
      <c r="BR364" t="s">
        <v>111</v>
      </c>
      <c r="BS364" t="s">
        <v>111</v>
      </c>
      <c r="BT364" t="s">
        <v>111</v>
      </c>
      <c r="BU364" t="s">
        <v>111</v>
      </c>
      <c r="BV364" t="s">
        <v>111</v>
      </c>
      <c r="BW364" t="s">
        <v>111</v>
      </c>
      <c r="BX364" t="s">
        <v>111</v>
      </c>
      <c r="BY364" t="s">
        <v>111</v>
      </c>
      <c r="BZ364" t="s">
        <v>111</v>
      </c>
      <c r="CA364" t="s">
        <v>111</v>
      </c>
      <c r="CB364" t="s">
        <v>111</v>
      </c>
      <c r="CC364" t="s">
        <v>111</v>
      </c>
      <c r="CD364" t="s">
        <v>111</v>
      </c>
      <c r="CE364" t="s">
        <v>111</v>
      </c>
      <c r="CF364" t="s">
        <v>111</v>
      </c>
      <c r="CG364" t="s">
        <v>111</v>
      </c>
      <c r="CH364" t="s">
        <v>111</v>
      </c>
      <c r="CI364" t="s">
        <v>111</v>
      </c>
      <c r="CJ364" t="s">
        <v>111</v>
      </c>
      <c r="CK364" t="s">
        <v>111</v>
      </c>
      <c r="CL364" t="s">
        <v>153</v>
      </c>
      <c r="CM364" t="s">
        <v>198</v>
      </c>
      <c r="CN364" t="s">
        <v>113</v>
      </c>
      <c r="CO364" t="s">
        <v>222</v>
      </c>
      <c r="CP364" t="s">
        <v>433</v>
      </c>
      <c r="CQ364">
        <v>98</v>
      </c>
      <c r="CR364">
        <v>5000</v>
      </c>
      <c r="CS364">
        <v>100</v>
      </c>
      <c r="CT364" s="1" t="s">
        <v>1390</v>
      </c>
      <c r="CU364">
        <v>0</v>
      </c>
      <c r="CV364" t="s">
        <v>111</v>
      </c>
      <c r="CW364" t="s">
        <v>111</v>
      </c>
      <c r="CX364" t="s">
        <v>111</v>
      </c>
      <c r="CY364">
        <v>0</v>
      </c>
      <c r="CZ364" t="s">
        <v>111</v>
      </c>
      <c r="DA364" t="s">
        <v>111</v>
      </c>
      <c r="DB364" t="s">
        <v>111</v>
      </c>
      <c r="DC364" t="s">
        <v>111</v>
      </c>
    </row>
    <row r="365" spans="1:107">
      <c r="A365">
        <v>948</v>
      </c>
      <c r="B365" t="s">
        <v>107</v>
      </c>
      <c r="C365" s="2">
        <v>3436738</v>
      </c>
      <c r="D365" t="s">
        <v>1391</v>
      </c>
      <c r="E365" t="s">
        <v>829</v>
      </c>
      <c r="F365" t="s">
        <v>125</v>
      </c>
      <c r="G365" t="s">
        <v>469</v>
      </c>
      <c r="H365">
        <v>0.6</v>
      </c>
      <c r="I365">
        <v>60</v>
      </c>
      <c r="J365">
        <v>0</v>
      </c>
      <c r="K365">
        <v>0</v>
      </c>
      <c r="L365" t="s">
        <v>111</v>
      </c>
      <c r="M365" t="s">
        <v>111</v>
      </c>
      <c r="N365">
        <v>0</v>
      </c>
      <c r="O365">
        <v>0</v>
      </c>
      <c r="P365" t="s">
        <v>111</v>
      </c>
      <c r="Q365">
        <v>36.700000000000003</v>
      </c>
      <c r="R365">
        <v>0</v>
      </c>
      <c r="S365">
        <v>0</v>
      </c>
      <c r="T365">
        <v>0</v>
      </c>
      <c r="U365" s="1" t="s">
        <v>1392</v>
      </c>
      <c r="V365">
        <v>25</v>
      </c>
      <c r="W365">
        <v>0</v>
      </c>
      <c r="X365">
        <v>6</v>
      </c>
      <c r="Y365">
        <v>0</v>
      </c>
      <c r="Z365" t="s">
        <v>111</v>
      </c>
      <c r="AA365">
        <v>0</v>
      </c>
      <c r="AB365" t="s">
        <v>111</v>
      </c>
      <c r="AC365">
        <v>0</v>
      </c>
      <c r="AD365" t="s">
        <v>111</v>
      </c>
      <c r="AE365">
        <v>0</v>
      </c>
      <c r="AF365">
        <v>0</v>
      </c>
      <c r="AG365" t="s">
        <v>111</v>
      </c>
      <c r="AH365" t="s">
        <v>111</v>
      </c>
      <c r="AI365" t="s">
        <v>111</v>
      </c>
      <c r="AJ365" t="s">
        <v>111</v>
      </c>
      <c r="AK365" t="s">
        <v>111</v>
      </c>
      <c r="AL365" t="s">
        <v>111</v>
      </c>
      <c r="AM365">
        <v>0</v>
      </c>
      <c r="AN365">
        <v>0</v>
      </c>
      <c r="AO365">
        <v>0</v>
      </c>
      <c r="AP365" t="s">
        <v>111</v>
      </c>
      <c r="AQ365" t="s">
        <v>111</v>
      </c>
      <c r="AR365" t="s">
        <v>111</v>
      </c>
      <c r="AS365" t="s">
        <v>111</v>
      </c>
      <c r="AT365" t="s">
        <v>111</v>
      </c>
      <c r="AU365" t="s">
        <v>111</v>
      </c>
      <c r="AV365" t="s">
        <v>111</v>
      </c>
      <c r="AW365" t="s">
        <v>111</v>
      </c>
      <c r="AX365" t="s">
        <v>111</v>
      </c>
      <c r="AY365" t="s">
        <v>111</v>
      </c>
      <c r="AZ365" t="s">
        <v>111</v>
      </c>
      <c r="BA365" t="s">
        <v>111</v>
      </c>
      <c r="BB365" t="s">
        <v>111</v>
      </c>
      <c r="BC365" t="s">
        <v>111</v>
      </c>
      <c r="BD365" t="s">
        <v>111</v>
      </c>
      <c r="BE365" t="s">
        <v>111</v>
      </c>
      <c r="BF365" t="s">
        <v>111</v>
      </c>
      <c r="BG365" t="s">
        <v>111</v>
      </c>
      <c r="BH365" t="s">
        <v>111</v>
      </c>
      <c r="BI365" t="s">
        <v>111</v>
      </c>
      <c r="BJ365" t="s">
        <v>111</v>
      </c>
      <c r="BK365" t="s">
        <v>111</v>
      </c>
      <c r="BL365" t="s">
        <v>111</v>
      </c>
      <c r="BM365" t="s">
        <v>111</v>
      </c>
      <c r="BN365" t="s">
        <v>111</v>
      </c>
      <c r="BO365" t="s">
        <v>111</v>
      </c>
      <c r="BP365" t="s">
        <v>111</v>
      </c>
      <c r="BQ365" t="s">
        <v>111</v>
      </c>
      <c r="BR365" t="s">
        <v>111</v>
      </c>
      <c r="BS365" t="s">
        <v>111</v>
      </c>
      <c r="BT365" t="s">
        <v>111</v>
      </c>
      <c r="BU365" t="s">
        <v>111</v>
      </c>
      <c r="BV365" t="s">
        <v>111</v>
      </c>
      <c r="BW365" t="s">
        <v>111</v>
      </c>
      <c r="BX365" t="s">
        <v>111</v>
      </c>
      <c r="BY365" t="s">
        <v>111</v>
      </c>
      <c r="BZ365" t="s">
        <v>111</v>
      </c>
      <c r="CA365" t="s">
        <v>111</v>
      </c>
      <c r="CB365" t="s">
        <v>111</v>
      </c>
      <c r="CC365" t="s">
        <v>111</v>
      </c>
      <c r="CD365" t="s">
        <v>111</v>
      </c>
      <c r="CE365" t="s">
        <v>111</v>
      </c>
      <c r="CF365" t="s">
        <v>111</v>
      </c>
      <c r="CG365" t="s">
        <v>111</v>
      </c>
      <c r="CH365" t="s">
        <v>111</v>
      </c>
      <c r="CI365" t="s">
        <v>111</v>
      </c>
      <c r="CJ365" t="s">
        <v>111</v>
      </c>
      <c r="CK365" t="s">
        <v>111</v>
      </c>
      <c r="CL365" t="s">
        <v>111</v>
      </c>
      <c r="CM365" t="s">
        <v>127</v>
      </c>
      <c r="CN365" t="s">
        <v>128</v>
      </c>
      <c r="CO365" t="s">
        <v>111</v>
      </c>
      <c r="CP365" t="s">
        <v>111</v>
      </c>
      <c r="CQ365">
        <v>0</v>
      </c>
      <c r="CR365">
        <v>1500</v>
      </c>
      <c r="CS365">
        <v>100</v>
      </c>
      <c r="CT365" t="s">
        <v>394</v>
      </c>
      <c r="CU365">
        <v>0</v>
      </c>
      <c r="CV365" t="s">
        <v>111</v>
      </c>
      <c r="CW365" t="s">
        <v>111</v>
      </c>
      <c r="CX365" t="s">
        <v>111</v>
      </c>
      <c r="CY365">
        <v>0</v>
      </c>
      <c r="CZ365" t="s">
        <v>111</v>
      </c>
      <c r="DA365" t="s">
        <v>111</v>
      </c>
      <c r="DB365" t="s">
        <v>111</v>
      </c>
      <c r="DC365" t="s">
        <v>111</v>
      </c>
    </row>
    <row r="366" spans="1:107">
      <c r="A366">
        <v>822</v>
      </c>
      <c r="B366" t="s">
        <v>107</v>
      </c>
      <c r="C366" t="s">
        <v>674</v>
      </c>
      <c r="D366" t="s">
        <v>1393</v>
      </c>
      <c r="E366" t="s">
        <v>1394</v>
      </c>
      <c r="F366" t="s">
        <v>370</v>
      </c>
      <c r="G366" t="s">
        <v>469</v>
      </c>
      <c r="H366">
        <v>1</v>
      </c>
      <c r="I366">
        <v>25</v>
      </c>
      <c r="J366">
        <v>5</v>
      </c>
      <c r="K366">
        <v>5</v>
      </c>
      <c r="L366" t="s">
        <v>112</v>
      </c>
      <c r="M366" t="s">
        <v>118</v>
      </c>
      <c r="N366">
        <v>38</v>
      </c>
      <c r="O366">
        <v>1</v>
      </c>
      <c r="P366" t="s">
        <v>138</v>
      </c>
      <c r="Q366">
        <v>20</v>
      </c>
      <c r="R366">
        <v>0</v>
      </c>
      <c r="S366">
        <v>0</v>
      </c>
      <c r="T366">
        <v>0</v>
      </c>
      <c r="U366" s="1" t="s">
        <v>1395</v>
      </c>
      <c r="V366">
        <v>25</v>
      </c>
      <c r="W366">
        <v>0</v>
      </c>
      <c r="X366">
        <v>6</v>
      </c>
      <c r="Y366">
        <v>0</v>
      </c>
      <c r="Z366" t="s">
        <v>288</v>
      </c>
      <c r="AA366">
        <v>1.5</v>
      </c>
      <c r="AB366" t="s">
        <v>111</v>
      </c>
      <c r="AC366">
        <v>0</v>
      </c>
      <c r="AD366" t="s">
        <v>416</v>
      </c>
      <c r="AE366">
        <v>0</v>
      </c>
      <c r="AF366">
        <v>1</v>
      </c>
      <c r="AG366">
        <v>35</v>
      </c>
      <c r="AH366" t="s">
        <v>128</v>
      </c>
      <c r="AI366">
        <v>35</v>
      </c>
      <c r="AJ366" t="s">
        <v>111</v>
      </c>
      <c r="AK366" t="s">
        <v>111</v>
      </c>
      <c r="AL366" t="s">
        <v>111</v>
      </c>
      <c r="AM366">
        <v>0</v>
      </c>
      <c r="AN366">
        <v>0</v>
      </c>
      <c r="AO366">
        <v>0</v>
      </c>
      <c r="AP366" t="s">
        <v>111</v>
      </c>
      <c r="AQ366" t="s">
        <v>111</v>
      </c>
      <c r="AR366" t="s">
        <v>111</v>
      </c>
      <c r="AS366" t="s">
        <v>111</v>
      </c>
      <c r="AT366" t="s">
        <v>111</v>
      </c>
      <c r="AU366" t="s">
        <v>111</v>
      </c>
      <c r="AV366" t="s">
        <v>111</v>
      </c>
      <c r="AW366" t="s">
        <v>111</v>
      </c>
      <c r="AX366" t="s">
        <v>111</v>
      </c>
      <c r="AY366" t="s">
        <v>111</v>
      </c>
      <c r="AZ366" t="s">
        <v>111</v>
      </c>
      <c r="BA366" t="s">
        <v>111</v>
      </c>
      <c r="BB366" t="s">
        <v>111</v>
      </c>
      <c r="BC366" t="s">
        <v>111</v>
      </c>
      <c r="BD366" t="s">
        <v>111</v>
      </c>
      <c r="BE366" t="s">
        <v>111</v>
      </c>
      <c r="BF366" t="s">
        <v>111</v>
      </c>
      <c r="BG366" t="s">
        <v>111</v>
      </c>
      <c r="BH366" t="s">
        <v>111</v>
      </c>
      <c r="BI366" t="s">
        <v>111</v>
      </c>
      <c r="BJ366" t="s">
        <v>111</v>
      </c>
      <c r="BK366" t="s">
        <v>111</v>
      </c>
      <c r="BL366" t="s">
        <v>111</v>
      </c>
      <c r="BM366" t="s">
        <v>111</v>
      </c>
      <c r="BN366" t="s">
        <v>111</v>
      </c>
      <c r="BO366" t="s">
        <v>111</v>
      </c>
      <c r="BP366" t="s">
        <v>111</v>
      </c>
      <c r="BQ366" t="s">
        <v>111</v>
      </c>
      <c r="BR366" t="s">
        <v>111</v>
      </c>
      <c r="BS366" t="s">
        <v>111</v>
      </c>
      <c r="BT366" t="s">
        <v>111</v>
      </c>
      <c r="BU366" t="s">
        <v>111</v>
      </c>
      <c r="BV366" t="s">
        <v>111</v>
      </c>
      <c r="BW366" t="s">
        <v>111</v>
      </c>
      <c r="BX366" t="s">
        <v>111</v>
      </c>
      <c r="BY366" t="s">
        <v>111</v>
      </c>
      <c r="BZ366" t="s">
        <v>111</v>
      </c>
      <c r="CA366" t="s">
        <v>111</v>
      </c>
      <c r="CB366" t="s">
        <v>111</v>
      </c>
      <c r="CC366" t="s">
        <v>111</v>
      </c>
      <c r="CD366" t="s">
        <v>111</v>
      </c>
      <c r="CE366" t="s">
        <v>111</v>
      </c>
      <c r="CF366" t="s">
        <v>111</v>
      </c>
      <c r="CG366" t="s">
        <v>111</v>
      </c>
      <c r="CH366" t="s">
        <v>111</v>
      </c>
      <c r="CI366" t="s">
        <v>111</v>
      </c>
      <c r="CJ366" t="s">
        <v>111</v>
      </c>
      <c r="CK366" t="s">
        <v>111</v>
      </c>
      <c r="CL366" t="e">
        <f>-DESTINO SELLADO</f>
        <v>#NAME?</v>
      </c>
      <c r="CM366" t="s">
        <v>438</v>
      </c>
      <c r="CN366" t="s">
        <v>113</v>
      </c>
      <c r="CO366" t="s">
        <v>974</v>
      </c>
      <c r="CP366" t="e">
        <f>-MUESTRA</f>
        <v>#NAME?</v>
      </c>
      <c r="CQ366">
        <v>0</v>
      </c>
      <c r="CR366">
        <v>0</v>
      </c>
      <c r="CS366">
        <v>50</v>
      </c>
      <c r="CT366" s="1" t="s">
        <v>1396</v>
      </c>
      <c r="CU366">
        <v>0</v>
      </c>
      <c r="CV366" t="s">
        <v>111</v>
      </c>
      <c r="CW366" t="s">
        <v>111</v>
      </c>
      <c r="CX366" t="s">
        <v>111</v>
      </c>
      <c r="CY366">
        <v>0</v>
      </c>
      <c r="CZ366" t="s">
        <v>111</v>
      </c>
      <c r="DA366" t="s">
        <v>111</v>
      </c>
      <c r="DB366" t="s">
        <v>204</v>
      </c>
      <c r="DC366" s="1" t="s">
        <v>1397</v>
      </c>
    </row>
    <row r="367" spans="1:107">
      <c r="A367">
        <v>821</v>
      </c>
      <c r="B367" t="s">
        <v>107</v>
      </c>
      <c r="C367" t="s">
        <v>674</v>
      </c>
      <c r="D367" t="s">
        <v>1398</v>
      </c>
      <c r="E367" t="s">
        <v>1399</v>
      </c>
      <c r="F367" t="s">
        <v>370</v>
      </c>
      <c r="G367" t="s">
        <v>469</v>
      </c>
      <c r="H367">
        <v>1</v>
      </c>
      <c r="I367">
        <v>30</v>
      </c>
      <c r="J367">
        <v>7</v>
      </c>
      <c r="K367">
        <v>7</v>
      </c>
      <c r="L367" t="s">
        <v>112</v>
      </c>
      <c r="M367" t="s">
        <v>118</v>
      </c>
      <c r="N367">
        <v>38</v>
      </c>
      <c r="O367">
        <v>1</v>
      </c>
      <c r="P367" t="s">
        <v>138</v>
      </c>
      <c r="Q367">
        <v>25</v>
      </c>
      <c r="R367">
        <v>0</v>
      </c>
      <c r="S367">
        <v>0</v>
      </c>
      <c r="T367">
        <v>0</v>
      </c>
      <c r="U367" s="1" t="s">
        <v>1400</v>
      </c>
      <c r="V367">
        <v>25</v>
      </c>
      <c r="W367">
        <v>0</v>
      </c>
      <c r="X367">
        <v>6</v>
      </c>
      <c r="Y367">
        <v>0</v>
      </c>
      <c r="Z367" t="s">
        <v>288</v>
      </c>
      <c r="AA367">
        <v>1.5</v>
      </c>
      <c r="AB367" t="s">
        <v>111</v>
      </c>
      <c r="AC367">
        <v>0</v>
      </c>
      <c r="AD367" t="s">
        <v>416</v>
      </c>
      <c r="AE367">
        <v>0</v>
      </c>
      <c r="AF367">
        <v>1</v>
      </c>
      <c r="AG367">
        <v>50</v>
      </c>
      <c r="AH367" t="s">
        <v>128</v>
      </c>
      <c r="AI367">
        <v>50</v>
      </c>
      <c r="AJ367" t="s">
        <v>111</v>
      </c>
      <c r="AK367" t="s">
        <v>111</v>
      </c>
      <c r="AL367" t="s">
        <v>111</v>
      </c>
      <c r="AM367">
        <v>0</v>
      </c>
      <c r="AN367">
        <v>0</v>
      </c>
      <c r="AO367">
        <v>0</v>
      </c>
      <c r="AP367" t="s">
        <v>111</v>
      </c>
      <c r="AQ367" t="s">
        <v>111</v>
      </c>
      <c r="AR367" t="s">
        <v>111</v>
      </c>
      <c r="AS367" t="s">
        <v>111</v>
      </c>
      <c r="AT367" t="s">
        <v>111</v>
      </c>
      <c r="AU367" t="s">
        <v>111</v>
      </c>
      <c r="AV367" t="s">
        <v>111</v>
      </c>
      <c r="AW367" t="s">
        <v>111</v>
      </c>
      <c r="AX367" t="s">
        <v>111</v>
      </c>
      <c r="AY367" t="s">
        <v>111</v>
      </c>
      <c r="AZ367" t="s">
        <v>111</v>
      </c>
      <c r="BA367" t="s">
        <v>111</v>
      </c>
      <c r="BB367" t="s">
        <v>111</v>
      </c>
      <c r="BC367" t="s">
        <v>111</v>
      </c>
      <c r="BD367" t="s">
        <v>111</v>
      </c>
      <c r="BE367" t="s">
        <v>111</v>
      </c>
      <c r="BF367" t="s">
        <v>111</v>
      </c>
      <c r="BG367" t="s">
        <v>111</v>
      </c>
      <c r="BH367" t="s">
        <v>111</v>
      </c>
      <c r="BI367" t="s">
        <v>111</v>
      </c>
      <c r="BJ367" t="s">
        <v>111</v>
      </c>
      <c r="BK367" t="s">
        <v>111</v>
      </c>
      <c r="BL367" t="s">
        <v>111</v>
      </c>
      <c r="BM367" t="s">
        <v>111</v>
      </c>
      <c r="BN367" t="s">
        <v>111</v>
      </c>
      <c r="BO367" t="s">
        <v>111</v>
      </c>
      <c r="BP367" t="s">
        <v>111</v>
      </c>
      <c r="BQ367" t="s">
        <v>111</v>
      </c>
      <c r="BR367" t="s">
        <v>111</v>
      </c>
      <c r="BS367" t="s">
        <v>111</v>
      </c>
      <c r="BT367" t="s">
        <v>111</v>
      </c>
      <c r="BU367" t="s">
        <v>111</v>
      </c>
      <c r="BV367" t="s">
        <v>111</v>
      </c>
      <c r="BW367" t="s">
        <v>111</v>
      </c>
      <c r="BX367" t="s">
        <v>111</v>
      </c>
      <c r="BY367" t="s">
        <v>111</v>
      </c>
      <c r="BZ367" t="s">
        <v>111</v>
      </c>
      <c r="CA367" t="s">
        <v>111</v>
      </c>
      <c r="CB367" t="s">
        <v>111</v>
      </c>
      <c r="CC367" t="s">
        <v>111</v>
      </c>
      <c r="CD367" t="s">
        <v>111</v>
      </c>
      <c r="CE367" t="s">
        <v>111</v>
      </c>
      <c r="CF367" t="s">
        <v>111</v>
      </c>
      <c r="CG367" t="s">
        <v>111</v>
      </c>
      <c r="CH367" t="s">
        <v>111</v>
      </c>
      <c r="CI367" t="s">
        <v>111</v>
      </c>
      <c r="CJ367" t="s">
        <v>111</v>
      </c>
      <c r="CK367" t="s">
        <v>111</v>
      </c>
      <c r="CL367" t="e">
        <f>-DESTINO SELLADO</f>
        <v>#NAME?</v>
      </c>
      <c r="CM367" t="s">
        <v>438</v>
      </c>
      <c r="CN367" t="s">
        <v>113</v>
      </c>
      <c r="CO367" t="s">
        <v>974</v>
      </c>
      <c r="CP367" t="s">
        <v>1166</v>
      </c>
      <c r="CQ367">
        <v>0</v>
      </c>
      <c r="CR367">
        <v>0</v>
      </c>
      <c r="CS367">
        <v>50</v>
      </c>
      <c r="CT367" s="1" t="s">
        <v>1401</v>
      </c>
      <c r="CU367">
        <v>0</v>
      </c>
      <c r="CV367" t="s">
        <v>111</v>
      </c>
      <c r="CW367" t="s">
        <v>111</v>
      </c>
      <c r="CX367" t="s">
        <v>111</v>
      </c>
      <c r="CY367">
        <v>0</v>
      </c>
      <c r="CZ367" t="s">
        <v>111</v>
      </c>
      <c r="DA367" t="s">
        <v>111</v>
      </c>
      <c r="DB367" t="s">
        <v>204</v>
      </c>
      <c r="DC367" s="1" t="s">
        <v>1402</v>
      </c>
    </row>
    <row r="368" spans="1:107">
      <c r="A368">
        <v>820</v>
      </c>
      <c r="B368" t="s">
        <v>107</v>
      </c>
      <c r="C368" t="s">
        <v>1176</v>
      </c>
      <c r="D368" t="s">
        <v>1403</v>
      </c>
      <c r="E368" t="s">
        <v>1404</v>
      </c>
      <c r="F368" t="s">
        <v>192</v>
      </c>
      <c r="G368" t="s">
        <v>469</v>
      </c>
      <c r="H368">
        <v>1.9</v>
      </c>
      <c r="I368">
        <v>90</v>
      </c>
      <c r="J368">
        <v>0</v>
      </c>
      <c r="K368">
        <v>0</v>
      </c>
      <c r="L368" t="s">
        <v>112</v>
      </c>
      <c r="M368" t="s">
        <v>138</v>
      </c>
      <c r="N368">
        <v>0</v>
      </c>
      <c r="O368">
        <v>0</v>
      </c>
      <c r="P368" t="s">
        <v>138</v>
      </c>
      <c r="Q368">
        <v>40</v>
      </c>
      <c r="R368">
        <v>0</v>
      </c>
      <c r="S368">
        <v>0</v>
      </c>
      <c r="T368">
        <v>0</v>
      </c>
      <c r="U368" t="s">
        <v>1405</v>
      </c>
      <c r="V368">
        <v>0</v>
      </c>
      <c r="W368">
        <v>11</v>
      </c>
      <c r="X368">
        <v>1.5</v>
      </c>
      <c r="Y368">
        <v>0</v>
      </c>
      <c r="Z368" t="s">
        <v>111</v>
      </c>
      <c r="AA368">
        <v>0</v>
      </c>
      <c r="AB368" t="s">
        <v>1406</v>
      </c>
      <c r="AC368">
        <v>0</v>
      </c>
      <c r="AD368" t="s">
        <v>111</v>
      </c>
      <c r="AE368">
        <v>0</v>
      </c>
      <c r="AF368">
        <v>0</v>
      </c>
      <c r="AG368" t="s">
        <v>111</v>
      </c>
      <c r="AH368" t="s">
        <v>111</v>
      </c>
      <c r="AI368" t="s">
        <v>111</v>
      </c>
      <c r="AJ368" t="s">
        <v>111</v>
      </c>
      <c r="AK368" t="s">
        <v>111</v>
      </c>
      <c r="AL368" t="s">
        <v>111</v>
      </c>
      <c r="AM368">
        <v>0</v>
      </c>
      <c r="AN368">
        <v>0</v>
      </c>
      <c r="AO368">
        <v>0</v>
      </c>
      <c r="AP368" t="s">
        <v>111</v>
      </c>
      <c r="AQ368" t="s">
        <v>111</v>
      </c>
      <c r="AR368" t="s">
        <v>111</v>
      </c>
      <c r="AS368" t="s">
        <v>111</v>
      </c>
      <c r="AT368" t="s">
        <v>111</v>
      </c>
      <c r="AU368" t="s">
        <v>111</v>
      </c>
      <c r="AV368" t="s">
        <v>111</v>
      </c>
      <c r="AW368" t="s">
        <v>111</v>
      </c>
      <c r="AX368" t="s">
        <v>111</v>
      </c>
      <c r="AY368" t="s">
        <v>111</v>
      </c>
      <c r="AZ368" t="s">
        <v>111</v>
      </c>
      <c r="BA368" t="s">
        <v>111</v>
      </c>
      <c r="BB368" t="s">
        <v>111</v>
      </c>
      <c r="BC368" t="s">
        <v>111</v>
      </c>
      <c r="BD368" t="s">
        <v>111</v>
      </c>
      <c r="BE368" t="s">
        <v>111</v>
      </c>
      <c r="BF368" t="s">
        <v>111</v>
      </c>
      <c r="BG368" t="s">
        <v>111</v>
      </c>
      <c r="BH368" t="s">
        <v>111</v>
      </c>
      <c r="BI368" t="s">
        <v>111</v>
      </c>
      <c r="BJ368" t="s">
        <v>111</v>
      </c>
      <c r="BK368" t="s">
        <v>111</v>
      </c>
      <c r="BL368" t="s">
        <v>111</v>
      </c>
      <c r="BM368" t="s">
        <v>111</v>
      </c>
      <c r="BN368" t="s">
        <v>111</v>
      </c>
      <c r="BO368" t="s">
        <v>111</v>
      </c>
      <c r="BP368" t="s">
        <v>111</v>
      </c>
      <c r="BQ368" t="s">
        <v>111</v>
      </c>
      <c r="BR368" t="s">
        <v>111</v>
      </c>
      <c r="BS368" t="s">
        <v>111</v>
      </c>
      <c r="BT368" t="s">
        <v>111</v>
      </c>
      <c r="BU368" t="s">
        <v>111</v>
      </c>
      <c r="BV368" t="s">
        <v>111</v>
      </c>
      <c r="BW368" t="s">
        <v>111</v>
      </c>
      <c r="BX368" t="s">
        <v>111</v>
      </c>
      <c r="BY368" t="s">
        <v>111</v>
      </c>
      <c r="BZ368" t="s">
        <v>111</v>
      </c>
      <c r="CA368" t="s">
        <v>111</v>
      </c>
      <c r="CB368" t="s">
        <v>111</v>
      </c>
      <c r="CC368" t="s">
        <v>111</v>
      </c>
      <c r="CD368" t="s">
        <v>111</v>
      </c>
      <c r="CE368" t="s">
        <v>111</v>
      </c>
      <c r="CF368" t="s">
        <v>111</v>
      </c>
      <c r="CG368" t="s">
        <v>111</v>
      </c>
      <c r="CH368" t="s">
        <v>111</v>
      </c>
      <c r="CI368" t="s">
        <v>111</v>
      </c>
      <c r="CJ368" t="s">
        <v>111</v>
      </c>
      <c r="CK368" t="s">
        <v>111</v>
      </c>
      <c r="CL368" t="s">
        <v>111</v>
      </c>
      <c r="CM368" t="s">
        <v>462</v>
      </c>
      <c r="CN368" t="s">
        <v>111</v>
      </c>
      <c r="CO368" t="s">
        <v>111</v>
      </c>
      <c r="CP368" t="s">
        <v>111</v>
      </c>
      <c r="CQ368">
        <v>0</v>
      </c>
      <c r="CR368">
        <v>200</v>
      </c>
      <c r="CS368">
        <v>20</v>
      </c>
      <c r="CT368" t="s">
        <v>111</v>
      </c>
      <c r="CU368">
        <v>0</v>
      </c>
      <c r="CV368" t="s">
        <v>111</v>
      </c>
      <c r="CW368" t="s">
        <v>111</v>
      </c>
      <c r="CX368" t="s">
        <v>111</v>
      </c>
      <c r="CY368">
        <v>0</v>
      </c>
      <c r="CZ368" t="s">
        <v>111</v>
      </c>
      <c r="DA368" t="s">
        <v>111</v>
      </c>
      <c r="DB368" t="s">
        <v>204</v>
      </c>
      <c r="DC368" t="s">
        <v>319</v>
      </c>
    </row>
    <row r="369" spans="1:107">
      <c r="A369">
        <v>819</v>
      </c>
      <c r="B369" t="s">
        <v>107</v>
      </c>
      <c r="C369" t="s">
        <v>454</v>
      </c>
      <c r="D369" t="s">
        <v>1407</v>
      </c>
      <c r="E369" t="s">
        <v>1408</v>
      </c>
      <c r="F369" t="s">
        <v>1409</v>
      </c>
      <c r="G369" t="s">
        <v>469</v>
      </c>
      <c r="H369">
        <v>2</v>
      </c>
      <c r="I369">
        <v>50</v>
      </c>
      <c r="J369">
        <v>0</v>
      </c>
      <c r="K369">
        <v>0</v>
      </c>
      <c r="L369" t="s">
        <v>178</v>
      </c>
      <c r="M369" t="s">
        <v>118</v>
      </c>
      <c r="N369">
        <v>38</v>
      </c>
      <c r="O369">
        <v>1</v>
      </c>
      <c r="P369" t="s">
        <v>138</v>
      </c>
      <c r="Q369">
        <v>43.5</v>
      </c>
      <c r="R369">
        <v>0</v>
      </c>
      <c r="S369">
        <v>0</v>
      </c>
      <c r="T369">
        <v>5</v>
      </c>
      <c r="U369" s="1" t="s">
        <v>1410</v>
      </c>
      <c r="V369">
        <v>0</v>
      </c>
      <c r="W369">
        <v>25</v>
      </c>
      <c r="X369">
        <v>10</v>
      </c>
      <c r="Y369">
        <v>0</v>
      </c>
      <c r="Z369" t="s">
        <v>147</v>
      </c>
      <c r="AA369">
        <v>1.5</v>
      </c>
      <c r="AB369" t="s">
        <v>1411</v>
      </c>
      <c r="AC369">
        <v>0</v>
      </c>
      <c r="AD369" t="s">
        <v>416</v>
      </c>
      <c r="AE369">
        <v>1</v>
      </c>
      <c r="AF369">
        <v>1</v>
      </c>
      <c r="AG369">
        <v>40</v>
      </c>
      <c r="AH369" t="s">
        <v>113</v>
      </c>
      <c r="AI369">
        <v>40</v>
      </c>
      <c r="AJ369" t="s">
        <v>111</v>
      </c>
      <c r="AK369" t="s">
        <v>111</v>
      </c>
      <c r="AL369" t="s">
        <v>111</v>
      </c>
      <c r="AM369">
        <v>0</v>
      </c>
      <c r="AN369">
        <v>0</v>
      </c>
      <c r="AO369">
        <v>0</v>
      </c>
      <c r="AP369" t="s">
        <v>1091</v>
      </c>
      <c r="AQ369" t="s">
        <v>111</v>
      </c>
      <c r="AR369" t="s">
        <v>111</v>
      </c>
      <c r="AS369" t="s">
        <v>111</v>
      </c>
      <c r="AT369" t="s">
        <v>111</v>
      </c>
      <c r="AU369" t="s">
        <v>111</v>
      </c>
      <c r="AV369" t="s">
        <v>111</v>
      </c>
      <c r="AW369" t="s">
        <v>111</v>
      </c>
      <c r="AX369" t="s">
        <v>111</v>
      </c>
      <c r="AY369" t="s">
        <v>111</v>
      </c>
      <c r="AZ369" t="s">
        <v>111</v>
      </c>
      <c r="BA369" t="s">
        <v>111</v>
      </c>
      <c r="BB369" t="s">
        <v>111</v>
      </c>
      <c r="BC369" t="s">
        <v>111</v>
      </c>
      <c r="BD369" t="s">
        <v>111</v>
      </c>
      <c r="BE369" t="s">
        <v>111</v>
      </c>
      <c r="BF369" t="s">
        <v>111</v>
      </c>
      <c r="BG369" t="s">
        <v>111</v>
      </c>
      <c r="BH369" t="s">
        <v>111</v>
      </c>
      <c r="BI369" t="s">
        <v>111</v>
      </c>
      <c r="BJ369" t="s">
        <v>111</v>
      </c>
      <c r="BK369" t="s">
        <v>111</v>
      </c>
      <c r="BL369" t="s">
        <v>111</v>
      </c>
      <c r="BM369" t="s">
        <v>111</v>
      </c>
      <c r="BN369" t="s">
        <v>111</v>
      </c>
      <c r="BO369" t="s">
        <v>111</v>
      </c>
      <c r="BP369" t="s">
        <v>111</v>
      </c>
      <c r="BQ369" t="s">
        <v>111</v>
      </c>
      <c r="BR369" t="s">
        <v>111</v>
      </c>
      <c r="BS369" t="s">
        <v>111</v>
      </c>
      <c r="BT369" t="s">
        <v>111</v>
      </c>
      <c r="BU369" t="s">
        <v>111</v>
      </c>
      <c r="BV369" t="s">
        <v>111</v>
      </c>
      <c r="BW369" t="s">
        <v>111</v>
      </c>
      <c r="BX369" t="s">
        <v>111</v>
      </c>
      <c r="BY369" t="s">
        <v>111</v>
      </c>
      <c r="BZ369" t="s">
        <v>111</v>
      </c>
      <c r="CA369" t="s">
        <v>111</v>
      </c>
      <c r="CB369" t="s">
        <v>111</v>
      </c>
      <c r="CC369" t="s">
        <v>111</v>
      </c>
      <c r="CD369" t="s">
        <v>111</v>
      </c>
      <c r="CE369" t="s">
        <v>111</v>
      </c>
      <c r="CF369" t="s">
        <v>111</v>
      </c>
      <c r="CG369" t="s">
        <v>111</v>
      </c>
      <c r="CH369" t="s">
        <v>111</v>
      </c>
      <c r="CI369" t="s">
        <v>111</v>
      </c>
      <c r="CJ369" t="s">
        <v>111</v>
      </c>
      <c r="CK369" t="s">
        <v>111</v>
      </c>
      <c r="CL369" s="1" t="s">
        <v>1392</v>
      </c>
      <c r="CM369" t="s">
        <v>198</v>
      </c>
      <c r="CN369" t="s">
        <v>113</v>
      </c>
      <c r="CO369" t="s">
        <v>111</v>
      </c>
      <c r="CP369" t="s">
        <v>433</v>
      </c>
      <c r="CQ369">
        <v>0</v>
      </c>
      <c r="CR369">
        <v>1500</v>
      </c>
      <c r="CS369">
        <v>100</v>
      </c>
      <c r="CT369" s="1" t="s">
        <v>1412</v>
      </c>
      <c r="CU369">
        <v>0</v>
      </c>
      <c r="CV369" t="s">
        <v>111</v>
      </c>
      <c r="CW369" t="s">
        <v>111</v>
      </c>
      <c r="CX369" t="s">
        <v>111</v>
      </c>
      <c r="CY369">
        <v>0</v>
      </c>
      <c r="CZ369" t="s">
        <v>111</v>
      </c>
      <c r="DA369" t="s">
        <v>111</v>
      </c>
      <c r="DB369" t="s">
        <v>111</v>
      </c>
      <c r="DC369" t="s">
        <v>111</v>
      </c>
    </row>
    <row r="370" spans="1:107">
      <c r="A370">
        <v>818</v>
      </c>
      <c r="B370" t="s">
        <v>107</v>
      </c>
      <c r="C370" t="s">
        <v>1413</v>
      </c>
      <c r="D370" t="s">
        <v>617</v>
      </c>
      <c r="E370" t="s">
        <v>1414</v>
      </c>
      <c r="F370" t="s">
        <v>431</v>
      </c>
      <c r="G370" t="s">
        <v>469</v>
      </c>
      <c r="H370">
        <v>2.4</v>
      </c>
      <c r="I370">
        <v>62</v>
      </c>
      <c r="J370">
        <v>0</v>
      </c>
      <c r="K370">
        <v>0</v>
      </c>
      <c r="L370" t="s">
        <v>117</v>
      </c>
      <c r="M370" t="s">
        <v>118</v>
      </c>
      <c r="N370">
        <v>38</v>
      </c>
      <c r="O370">
        <v>1</v>
      </c>
      <c r="P370" t="s">
        <v>138</v>
      </c>
      <c r="Q370">
        <v>40</v>
      </c>
      <c r="R370">
        <v>0</v>
      </c>
      <c r="S370">
        <v>0</v>
      </c>
      <c r="T370">
        <v>0</v>
      </c>
      <c r="U370" s="1" t="s">
        <v>1415</v>
      </c>
      <c r="V370">
        <v>0</v>
      </c>
      <c r="W370">
        <v>25</v>
      </c>
      <c r="X370">
        <v>6</v>
      </c>
      <c r="Y370">
        <v>0</v>
      </c>
      <c r="Z370" t="s">
        <v>111</v>
      </c>
      <c r="AA370">
        <v>0</v>
      </c>
      <c r="AB370" t="s">
        <v>111</v>
      </c>
      <c r="AC370">
        <v>0</v>
      </c>
      <c r="AD370" t="s">
        <v>416</v>
      </c>
      <c r="AE370">
        <v>3</v>
      </c>
      <c r="AF370">
        <v>1</v>
      </c>
      <c r="AG370">
        <v>14</v>
      </c>
      <c r="AH370" t="s">
        <v>113</v>
      </c>
      <c r="AI370">
        <v>28</v>
      </c>
      <c r="AJ370" t="s">
        <v>111</v>
      </c>
      <c r="AK370" t="s">
        <v>111</v>
      </c>
      <c r="AL370" t="s">
        <v>111</v>
      </c>
      <c r="AM370">
        <v>0</v>
      </c>
      <c r="AN370">
        <v>0</v>
      </c>
      <c r="AO370">
        <v>0</v>
      </c>
      <c r="AP370" t="s">
        <v>1416</v>
      </c>
      <c r="AQ370" t="s">
        <v>111</v>
      </c>
      <c r="AR370" t="s">
        <v>111</v>
      </c>
      <c r="AS370" t="s">
        <v>111</v>
      </c>
      <c r="AT370" t="s">
        <v>188</v>
      </c>
      <c r="AU370" t="s">
        <v>111</v>
      </c>
      <c r="AV370" t="s">
        <v>111</v>
      </c>
      <c r="AW370" t="s">
        <v>111</v>
      </c>
      <c r="AX370" t="s">
        <v>271</v>
      </c>
      <c r="AY370" t="s">
        <v>111</v>
      </c>
      <c r="AZ370" t="s">
        <v>111</v>
      </c>
      <c r="BA370" t="s">
        <v>111</v>
      </c>
      <c r="BB370" t="s">
        <v>111</v>
      </c>
      <c r="BC370" t="s">
        <v>111</v>
      </c>
      <c r="BD370" t="s">
        <v>111</v>
      </c>
      <c r="BE370" t="s">
        <v>111</v>
      </c>
      <c r="BF370" t="s">
        <v>111</v>
      </c>
      <c r="BG370" t="s">
        <v>111</v>
      </c>
      <c r="BH370" t="s">
        <v>111</v>
      </c>
      <c r="BI370" t="s">
        <v>111</v>
      </c>
      <c r="BJ370" t="s">
        <v>111</v>
      </c>
      <c r="BK370" t="s">
        <v>111</v>
      </c>
      <c r="BL370" t="s">
        <v>111</v>
      </c>
      <c r="BM370" t="s">
        <v>111</v>
      </c>
      <c r="BN370" t="s">
        <v>111</v>
      </c>
      <c r="BO370" t="s">
        <v>111</v>
      </c>
      <c r="BP370" t="s">
        <v>111</v>
      </c>
      <c r="BQ370" t="s">
        <v>111</v>
      </c>
      <c r="BR370" t="s">
        <v>111</v>
      </c>
      <c r="BS370" t="s">
        <v>111</v>
      </c>
      <c r="BT370" t="s">
        <v>111</v>
      </c>
      <c r="BU370" t="s">
        <v>111</v>
      </c>
      <c r="BV370" t="s">
        <v>111</v>
      </c>
      <c r="BW370" t="s">
        <v>111</v>
      </c>
      <c r="BX370" t="s">
        <v>111</v>
      </c>
      <c r="BY370" t="s">
        <v>111</v>
      </c>
      <c r="BZ370" t="s">
        <v>111</v>
      </c>
      <c r="CA370" t="s">
        <v>111</v>
      </c>
      <c r="CB370" t="s">
        <v>111</v>
      </c>
      <c r="CC370" t="s">
        <v>111</v>
      </c>
      <c r="CD370" t="s">
        <v>111</v>
      </c>
      <c r="CE370" t="s">
        <v>111</v>
      </c>
      <c r="CF370" t="s">
        <v>111</v>
      </c>
      <c r="CG370" t="s">
        <v>111</v>
      </c>
      <c r="CH370" t="s">
        <v>111</v>
      </c>
      <c r="CI370" t="s">
        <v>111</v>
      </c>
      <c r="CJ370" t="s">
        <v>111</v>
      </c>
      <c r="CK370" t="s">
        <v>111</v>
      </c>
      <c r="CL370" t="s">
        <v>1417</v>
      </c>
      <c r="CM370" t="s">
        <v>198</v>
      </c>
      <c r="CN370" t="s">
        <v>113</v>
      </c>
      <c r="CO370" t="s">
        <v>111</v>
      </c>
      <c r="CP370" t="s">
        <v>1166</v>
      </c>
      <c r="CQ370">
        <v>0</v>
      </c>
      <c r="CR370">
        <v>5000</v>
      </c>
      <c r="CS370">
        <v>200</v>
      </c>
      <c r="CT370" s="1" t="s">
        <v>1418</v>
      </c>
      <c r="CU370">
        <v>0</v>
      </c>
      <c r="CV370" t="s">
        <v>111</v>
      </c>
      <c r="CW370" t="s">
        <v>111</v>
      </c>
      <c r="CX370" t="s">
        <v>111</v>
      </c>
      <c r="CY370">
        <v>0</v>
      </c>
      <c r="CZ370" t="s">
        <v>111</v>
      </c>
      <c r="DA370" t="s">
        <v>111</v>
      </c>
      <c r="DB370" t="s">
        <v>111</v>
      </c>
      <c r="DC370" t="s">
        <v>111</v>
      </c>
    </row>
    <row r="371" spans="1:107">
      <c r="A371">
        <v>817</v>
      </c>
      <c r="B371" t="s">
        <v>107</v>
      </c>
      <c r="C371" t="s">
        <v>1413</v>
      </c>
      <c r="D371" t="s">
        <v>617</v>
      </c>
      <c r="E371" t="s">
        <v>618</v>
      </c>
      <c r="F371" t="s">
        <v>431</v>
      </c>
      <c r="G371" t="s">
        <v>469</v>
      </c>
      <c r="H371">
        <v>2.4</v>
      </c>
      <c r="I371">
        <v>62</v>
      </c>
      <c r="J371">
        <v>0</v>
      </c>
      <c r="K371">
        <v>0</v>
      </c>
      <c r="L371" t="s">
        <v>117</v>
      </c>
      <c r="M371" t="s">
        <v>138</v>
      </c>
      <c r="N371">
        <v>38</v>
      </c>
      <c r="O371">
        <v>1</v>
      </c>
      <c r="P371" t="s">
        <v>138</v>
      </c>
      <c r="Q371">
        <v>40</v>
      </c>
      <c r="R371">
        <v>0</v>
      </c>
      <c r="S371">
        <v>0</v>
      </c>
      <c r="T371">
        <v>0</v>
      </c>
      <c r="U371" s="1" t="s">
        <v>1419</v>
      </c>
      <c r="V371">
        <v>0</v>
      </c>
      <c r="W371">
        <v>25</v>
      </c>
      <c r="X371">
        <v>6</v>
      </c>
      <c r="Y371">
        <v>0</v>
      </c>
      <c r="Z371" t="s">
        <v>111</v>
      </c>
      <c r="AA371">
        <v>0</v>
      </c>
      <c r="AB371" t="s">
        <v>111</v>
      </c>
      <c r="AC371">
        <v>0</v>
      </c>
      <c r="AD371" t="s">
        <v>416</v>
      </c>
      <c r="AE371">
        <v>3</v>
      </c>
      <c r="AF371">
        <v>1</v>
      </c>
      <c r="AG371">
        <v>14</v>
      </c>
      <c r="AH371" t="s">
        <v>113</v>
      </c>
      <c r="AI371">
        <v>28</v>
      </c>
      <c r="AJ371" t="s">
        <v>111</v>
      </c>
      <c r="AK371" t="s">
        <v>111</v>
      </c>
      <c r="AL371" t="s">
        <v>111</v>
      </c>
      <c r="AM371">
        <v>0</v>
      </c>
      <c r="AN371">
        <v>0</v>
      </c>
      <c r="AO371">
        <v>0</v>
      </c>
      <c r="AP371" t="s">
        <v>288</v>
      </c>
      <c r="AQ371" t="s">
        <v>111</v>
      </c>
      <c r="AR371" t="s">
        <v>111</v>
      </c>
      <c r="AS371" t="s">
        <v>111</v>
      </c>
      <c r="AT371" t="s">
        <v>188</v>
      </c>
      <c r="AU371" t="s">
        <v>111</v>
      </c>
      <c r="AV371" t="s">
        <v>111</v>
      </c>
      <c r="AW371" t="s">
        <v>111</v>
      </c>
      <c r="AX371" t="s">
        <v>271</v>
      </c>
      <c r="AY371" t="s">
        <v>111</v>
      </c>
      <c r="AZ371" t="s">
        <v>111</v>
      </c>
      <c r="BA371" t="s">
        <v>111</v>
      </c>
      <c r="BB371" t="s">
        <v>111</v>
      </c>
      <c r="BC371" t="s">
        <v>111</v>
      </c>
      <c r="BD371" t="s">
        <v>111</v>
      </c>
      <c r="BE371" t="s">
        <v>111</v>
      </c>
      <c r="BF371" t="s">
        <v>111</v>
      </c>
      <c r="BG371" t="s">
        <v>111</v>
      </c>
      <c r="BH371" t="s">
        <v>111</v>
      </c>
      <c r="BI371" t="s">
        <v>111</v>
      </c>
      <c r="BJ371" t="s">
        <v>111</v>
      </c>
      <c r="BK371" t="s">
        <v>111</v>
      </c>
      <c r="BL371" t="s">
        <v>111</v>
      </c>
      <c r="BM371" t="s">
        <v>111</v>
      </c>
      <c r="BN371" t="s">
        <v>111</v>
      </c>
      <c r="BO371" t="s">
        <v>111</v>
      </c>
      <c r="BP371" t="s">
        <v>111</v>
      </c>
      <c r="BQ371" t="s">
        <v>111</v>
      </c>
      <c r="BR371" t="s">
        <v>111</v>
      </c>
      <c r="BS371" t="s">
        <v>111</v>
      </c>
      <c r="BT371" t="s">
        <v>111</v>
      </c>
      <c r="BU371" t="s">
        <v>111</v>
      </c>
      <c r="BV371" t="s">
        <v>111</v>
      </c>
      <c r="BW371" t="s">
        <v>111</v>
      </c>
      <c r="BX371" t="s">
        <v>111</v>
      </c>
      <c r="BY371" t="s">
        <v>111</v>
      </c>
      <c r="BZ371" t="s">
        <v>111</v>
      </c>
      <c r="CA371" t="s">
        <v>111</v>
      </c>
      <c r="CB371" t="s">
        <v>111</v>
      </c>
      <c r="CC371" t="s">
        <v>111</v>
      </c>
      <c r="CD371" t="s">
        <v>111</v>
      </c>
      <c r="CE371" t="s">
        <v>111</v>
      </c>
      <c r="CF371" t="s">
        <v>111</v>
      </c>
      <c r="CG371" t="s">
        <v>111</v>
      </c>
      <c r="CH371" t="s">
        <v>111</v>
      </c>
      <c r="CI371" t="s">
        <v>111</v>
      </c>
      <c r="CJ371" t="s">
        <v>111</v>
      </c>
      <c r="CK371" t="s">
        <v>111</v>
      </c>
      <c r="CL371" t="e">
        <f>-DESTINO SELLADO</f>
        <v>#NAME?</v>
      </c>
      <c r="CM371" t="s">
        <v>198</v>
      </c>
      <c r="CN371" t="s">
        <v>113</v>
      </c>
      <c r="CO371" t="s">
        <v>111</v>
      </c>
      <c r="CP371" t="e">
        <f>-MUESTRA</f>
        <v>#NAME?</v>
      </c>
      <c r="CQ371">
        <v>0</v>
      </c>
      <c r="CR371">
        <v>4000</v>
      </c>
      <c r="CS371">
        <v>200</v>
      </c>
      <c r="CT371" s="1" t="s">
        <v>1420</v>
      </c>
      <c r="CU371">
        <v>0</v>
      </c>
      <c r="CV371" t="s">
        <v>111</v>
      </c>
      <c r="CW371" t="s">
        <v>111</v>
      </c>
      <c r="CX371" t="s">
        <v>111</v>
      </c>
      <c r="CY371">
        <v>0</v>
      </c>
      <c r="CZ371" t="s">
        <v>111</v>
      </c>
      <c r="DA371" t="s">
        <v>111</v>
      </c>
      <c r="DB371" t="s">
        <v>111</v>
      </c>
      <c r="DC371" t="s">
        <v>111</v>
      </c>
    </row>
    <row r="372" spans="1:107">
      <c r="A372">
        <v>816</v>
      </c>
      <c r="B372" t="s">
        <v>107</v>
      </c>
      <c r="C372" t="s">
        <v>1413</v>
      </c>
      <c r="D372" t="s">
        <v>617</v>
      </c>
      <c r="E372" t="s">
        <v>1421</v>
      </c>
      <c r="F372" t="s">
        <v>431</v>
      </c>
      <c r="G372" t="s">
        <v>469</v>
      </c>
      <c r="H372">
        <v>2.4</v>
      </c>
      <c r="I372">
        <v>62</v>
      </c>
      <c r="J372">
        <v>0</v>
      </c>
      <c r="K372">
        <v>0</v>
      </c>
      <c r="L372" t="s">
        <v>117</v>
      </c>
      <c r="M372" t="s">
        <v>118</v>
      </c>
      <c r="N372">
        <v>38</v>
      </c>
      <c r="O372">
        <v>1</v>
      </c>
      <c r="P372" t="s">
        <v>138</v>
      </c>
      <c r="Q372">
        <v>40</v>
      </c>
      <c r="R372">
        <v>0</v>
      </c>
      <c r="S372">
        <v>0</v>
      </c>
      <c r="T372">
        <v>0</v>
      </c>
      <c r="U372" s="1" t="s">
        <v>1422</v>
      </c>
      <c r="V372">
        <v>0</v>
      </c>
      <c r="W372">
        <v>25</v>
      </c>
      <c r="X372">
        <v>6</v>
      </c>
      <c r="Y372">
        <v>0</v>
      </c>
      <c r="Z372" t="s">
        <v>111</v>
      </c>
      <c r="AA372">
        <v>0</v>
      </c>
      <c r="AB372" t="s">
        <v>111</v>
      </c>
      <c r="AC372">
        <v>0</v>
      </c>
      <c r="AD372" t="s">
        <v>416</v>
      </c>
      <c r="AE372">
        <v>3</v>
      </c>
      <c r="AF372">
        <v>1</v>
      </c>
      <c r="AG372">
        <v>14</v>
      </c>
      <c r="AH372" t="s">
        <v>113</v>
      </c>
      <c r="AI372">
        <v>28</v>
      </c>
      <c r="AJ372" t="s">
        <v>111</v>
      </c>
      <c r="AK372" t="s">
        <v>111</v>
      </c>
      <c r="AL372" t="s">
        <v>111</v>
      </c>
      <c r="AM372">
        <v>0</v>
      </c>
      <c r="AN372">
        <v>0</v>
      </c>
      <c r="AO372">
        <v>0</v>
      </c>
      <c r="AP372" t="s">
        <v>973</v>
      </c>
      <c r="AQ372" t="s">
        <v>111</v>
      </c>
      <c r="AR372" t="s">
        <v>111</v>
      </c>
      <c r="AS372" t="s">
        <v>111</v>
      </c>
      <c r="AT372" t="s">
        <v>188</v>
      </c>
      <c r="AU372" t="s">
        <v>111</v>
      </c>
      <c r="AV372" t="s">
        <v>111</v>
      </c>
      <c r="AW372" t="s">
        <v>111</v>
      </c>
      <c r="AX372" t="s">
        <v>271</v>
      </c>
      <c r="AY372" t="s">
        <v>111</v>
      </c>
      <c r="AZ372" t="s">
        <v>111</v>
      </c>
      <c r="BA372" t="s">
        <v>111</v>
      </c>
      <c r="BB372" t="s">
        <v>111</v>
      </c>
      <c r="BC372" t="s">
        <v>111</v>
      </c>
      <c r="BD372" t="s">
        <v>111</v>
      </c>
      <c r="BE372" t="s">
        <v>111</v>
      </c>
      <c r="BF372" t="s">
        <v>111</v>
      </c>
      <c r="BG372" t="s">
        <v>111</v>
      </c>
      <c r="BH372" t="s">
        <v>111</v>
      </c>
      <c r="BI372" t="s">
        <v>111</v>
      </c>
      <c r="BJ372" t="s">
        <v>111</v>
      </c>
      <c r="BK372" t="s">
        <v>111</v>
      </c>
      <c r="BL372" t="s">
        <v>111</v>
      </c>
      <c r="BM372" t="s">
        <v>111</v>
      </c>
      <c r="BN372" t="s">
        <v>111</v>
      </c>
      <c r="BO372" t="s">
        <v>111</v>
      </c>
      <c r="BP372" t="s">
        <v>111</v>
      </c>
      <c r="BQ372" t="s">
        <v>111</v>
      </c>
      <c r="BR372" t="s">
        <v>111</v>
      </c>
      <c r="BS372" t="s">
        <v>111</v>
      </c>
      <c r="BT372" t="s">
        <v>111</v>
      </c>
      <c r="BU372" t="s">
        <v>111</v>
      </c>
      <c r="BV372" t="s">
        <v>111</v>
      </c>
      <c r="BW372" t="s">
        <v>111</v>
      </c>
      <c r="BX372" t="s">
        <v>111</v>
      </c>
      <c r="BY372" t="s">
        <v>111</v>
      </c>
      <c r="BZ372" t="s">
        <v>111</v>
      </c>
      <c r="CA372" t="s">
        <v>111</v>
      </c>
      <c r="CB372" t="s">
        <v>111</v>
      </c>
      <c r="CC372" t="s">
        <v>111</v>
      </c>
      <c r="CD372" t="s">
        <v>111</v>
      </c>
      <c r="CE372" t="s">
        <v>111</v>
      </c>
      <c r="CF372" t="s">
        <v>111</v>
      </c>
      <c r="CG372" t="s">
        <v>111</v>
      </c>
      <c r="CH372" t="s">
        <v>111</v>
      </c>
      <c r="CI372" t="s">
        <v>111</v>
      </c>
      <c r="CJ372" t="s">
        <v>111</v>
      </c>
      <c r="CK372" t="s">
        <v>111</v>
      </c>
      <c r="CL372" t="e">
        <f>-DESTINO SELLADO</f>
        <v>#NAME?</v>
      </c>
      <c r="CM372" t="s">
        <v>198</v>
      </c>
      <c r="CN372" t="s">
        <v>113</v>
      </c>
      <c r="CO372" t="s">
        <v>111</v>
      </c>
      <c r="CP372" t="s">
        <v>1166</v>
      </c>
      <c r="CQ372">
        <v>0</v>
      </c>
      <c r="CR372">
        <v>4000</v>
      </c>
      <c r="CS372">
        <v>200</v>
      </c>
      <c r="CT372" s="1" t="s">
        <v>1423</v>
      </c>
      <c r="CU372">
        <v>0</v>
      </c>
      <c r="CV372" t="s">
        <v>111</v>
      </c>
      <c r="CW372" t="s">
        <v>111</v>
      </c>
      <c r="CX372" t="s">
        <v>111</v>
      </c>
      <c r="CY372">
        <v>0</v>
      </c>
      <c r="CZ372" t="s">
        <v>111</v>
      </c>
      <c r="DA372" t="s">
        <v>111</v>
      </c>
      <c r="DB372" t="s">
        <v>111</v>
      </c>
      <c r="DC372" t="s">
        <v>111</v>
      </c>
    </row>
    <row r="373" spans="1:107">
      <c r="A373">
        <v>815</v>
      </c>
      <c r="B373" t="s">
        <v>107</v>
      </c>
      <c r="C373" t="s">
        <v>1413</v>
      </c>
      <c r="D373" t="s">
        <v>499</v>
      </c>
      <c r="E373" t="s">
        <v>1424</v>
      </c>
      <c r="F373" t="s">
        <v>431</v>
      </c>
      <c r="G373" t="s">
        <v>469</v>
      </c>
      <c r="H373">
        <v>2.5</v>
      </c>
      <c r="I373">
        <v>62</v>
      </c>
      <c r="J373">
        <v>0</v>
      </c>
      <c r="K373">
        <v>0</v>
      </c>
      <c r="L373" t="s">
        <v>117</v>
      </c>
      <c r="M373" t="s">
        <v>118</v>
      </c>
      <c r="N373">
        <v>40</v>
      </c>
      <c r="O373">
        <v>1</v>
      </c>
      <c r="P373" t="s">
        <v>138</v>
      </c>
      <c r="Q373">
        <v>40</v>
      </c>
      <c r="R373">
        <v>0</v>
      </c>
      <c r="S373">
        <v>0</v>
      </c>
      <c r="T373">
        <v>0</v>
      </c>
      <c r="U373" s="1" t="s">
        <v>1425</v>
      </c>
      <c r="V373">
        <v>0</v>
      </c>
      <c r="W373">
        <v>25</v>
      </c>
      <c r="X373">
        <v>6</v>
      </c>
      <c r="Y373">
        <v>0</v>
      </c>
      <c r="Z373" t="s">
        <v>111</v>
      </c>
      <c r="AA373">
        <v>0</v>
      </c>
      <c r="AB373" t="s">
        <v>111</v>
      </c>
      <c r="AC373">
        <v>0</v>
      </c>
      <c r="AD373" t="s">
        <v>416</v>
      </c>
      <c r="AE373">
        <v>3</v>
      </c>
      <c r="AF373">
        <v>1</v>
      </c>
      <c r="AG373">
        <v>18</v>
      </c>
      <c r="AH373" t="s">
        <v>113</v>
      </c>
      <c r="AI373">
        <v>36</v>
      </c>
      <c r="AJ373" t="s">
        <v>111</v>
      </c>
      <c r="AK373" t="s">
        <v>111</v>
      </c>
      <c r="AL373" t="s">
        <v>111</v>
      </c>
      <c r="AM373">
        <v>0</v>
      </c>
      <c r="AN373">
        <v>0</v>
      </c>
      <c r="AO373">
        <v>0</v>
      </c>
      <c r="AP373" t="s">
        <v>288</v>
      </c>
      <c r="AQ373" t="s">
        <v>111</v>
      </c>
      <c r="AR373" t="s">
        <v>111</v>
      </c>
      <c r="AS373" t="s">
        <v>111</v>
      </c>
      <c r="AT373" t="s">
        <v>188</v>
      </c>
      <c r="AU373" t="s">
        <v>111</v>
      </c>
      <c r="AV373" t="s">
        <v>111</v>
      </c>
      <c r="AW373" t="s">
        <v>111</v>
      </c>
      <c r="AX373" t="s">
        <v>271</v>
      </c>
      <c r="AY373" t="s">
        <v>111</v>
      </c>
      <c r="AZ373" t="s">
        <v>111</v>
      </c>
      <c r="BA373" t="s">
        <v>111</v>
      </c>
      <c r="BB373" t="s">
        <v>111</v>
      </c>
      <c r="BC373" t="s">
        <v>111</v>
      </c>
      <c r="BD373" t="s">
        <v>111</v>
      </c>
      <c r="BE373" t="s">
        <v>111</v>
      </c>
      <c r="BF373" t="s">
        <v>111</v>
      </c>
      <c r="BG373" t="s">
        <v>111</v>
      </c>
      <c r="BH373" t="s">
        <v>111</v>
      </c>
      <c r="BI373" t="s">
        <v>111</v>
      </c>
      <c r="BJ373" t="s">
        <v>111</v>
      </c>
      <c r="BK373" t="s">
        <v>111</v>
      </c>
      <c r="BL373" t="s">
        <v>111</v>
      </c>
      <c r="BM373" t="s">
        <v>111</v>
      </c>
      <c r="BN373" t="s">
        <v>111</v>
      </c>
      <c r="BO373" t="s">
        <v>111</v>
      </c>
      <c r="BP373" t="s">
        <v>111</v>
      </c>
      <c r="BQ373" t="s">
        <v>111</v>
      </c>
      <c r="BR373" t="s">
        <v>111</v>
      </c>
      <c r="BS373" t="s">
        <v>111</v>
      </c>
      <c r="BT373" t="s">
        <v>111</v>
      </c>
      <c r="BU373" t="s">
        <v>111</v>
      </c>
      <c r="BV373" t="s">
        <v>111</v>
      </c>
      <c r="BW373" t="s">
        <v>111</v>
      </c>
      <c r="BX373" t="s">
        <v>111</v>
      </c>
      <c r="BY373" t="s">
        <v>111</v>
      </c>
      <c r="BZ373" t="s">
        <v>111</v>
      </c>
      <c r="CA373" t="s">
        <v>111</v>
      </c>
      <c r="CB373" t="s">
        <v>111</v>
      </c>
      <c r="CC373" t="s">
        <v>111</v>
      </c>
      <c r="CD373" t="s">
        <v>111</v>
      </c>
      <c r="CE373" t="s">
        <v>111</v>
      </c>
      <c r="CF373" t="s">
        <v>111</v>
      </c>
      <c r="CG373" t="s">
        <v>111</v>
      </c>
      <c r="CH373" t="s">
        <v>111</v>
      </c>
      <c r="CI373" t="s">
        <v>111</v>
      </c>
      <c r="CJ373" t="s">
        <v>111</v>
      </c>
      <c r="CK373" t="s">
        <v>111</v>
      </c>
      <c r="CL373" t="e">
        <f>-DESTINO SELLADO</f>
        <v>#NAME?</v>
      </c>
      <c r="CM373" t="s">
        <v>198</v>
      </c>
      <c r="CN373" t="s">
        <v>113</v>
      </c>
      <c r="CO373" t="s">
        <v>111</v>
      </c>
      <c r="CP373" t="s">
        <v>433</v>
      </c>
      <c r="CQ373">
        <v>0</v>
      </c>
      <c r="CR373">
        <v>4000</v>
      </c>
      <c r="CS373">
        <v>200</v>
      </c>
      <c r="CT373" s="1" t="s">
        <v>1426</v>
      </c>
      <c r="CU373">
        <v>0</v>
      </c>
      <c r="CV373" t="s">
        <v>111</v>
      </c>
      <c r="CW373" t="s">
        <v>111</v>
      </c>
      <c r="CX373" t="s">
        <v>111</v>
      </c>
      <c r="CY373">
        <v>0</v>
      </c>
      <c r="CZ373" t="s">
        <v>111</v>
      </c>
      <c r="DA373" t="s">
        <v>111</v>
      </c>
      <c r="DB373" t="s">
        <v>111</v>
      </c>
      <c r="DC373" t="s">
        <v>111</v>
      </c>
    </row>
    <row r="374" spans="1:107">
      <c r="A374">
        <v>814</v>
      </c>
      <c r="B374" t="s">
        <v>107</v>
      </c>
      <c r="C374" t="s">
        <v>1413</v>
      </c>
      <c r="D374" t="s">
        <v>499</v>
      </c>
      <c r="E374" t="s">
        <v>944</v>
      </c>
      <c r="F374" t="s">
        <v>431</v>
      </c>
      <c r="G374" t="s">
        <v>469</v>
      </c>
      <c r="H374">
        <v>2.5</v>
      </c>
      <c r="I374">
        <v>62</v>
      </c>
      <c r="J374">
        <v>0</v>
      </c>
      <c r="K374">
        <v>0</v>
      </c>
      <c r="L374" t="s">
        <v>117</v>
      </c>
      <c r="M374" t="s">
        <v>118</v>
      </c>
      <c r="N374">
        <v>38</v>
      </c>
      <c r="O374">
        <v>1</v>
      </c>
      <c r="P374" t="s">
        <v>138</v>
      </c>
      <c r="Q374">
        <v>40</v>
      </c>
      <c r="R374">
        <v>0</v>
      </c>
      <c r="S374">
        <v>0</v>
      </c>
      <c r="T374">
        <v>0</v>
      </c>
      <c r="U374" s="1" t="s">
        <v>1427</v>
      </c>
      <c r="V374">
        <v>0</v>
      </c>
      <c r="W374">
        <v>25</v>
      </c>
      <c r="X374">
        <v>6</v>
      </c>
      <c r="Y374">
        <v>0</v>
      </c>
      <c r="Z374" t="s">
        <v>111</v>
      </c>
      <c r="AA374">
        <v>0</v>
      </c>
      <c r="AB374" t="s">
        <v>111</v>
      </c>
      <c r="AC374">
        <v>0</v>
      </c>
      <c r="AD374" t="s">
        <v>416</v>
      </c>
      <c r="AE374">
        <v>3</v>
      </c>
      <c r="AF374">
        <v>1</v>
      </c>
      <c r="AG374">
        <v>18</v>
      </c>
      <c r="AH374" t="s">
        <v>113</v>
      </c>
      <c r="AI374">
        <v>36</v>
      </c>
      <c r="AJ374" t="s">
        <v>111</v>
      </c>
      <c r="AK374" t="s">
        <v>111</v>
      </c>
      <c r="AL374" t="s">
        <v>111</v>
      </c>
      <c r="AM374">
        <v>0</v>
      </c>
      <c r="AN374">
        <v>0</v>
      </c>
      <c r="AO374">
        <v>0</v>
      </c>
      <c r="AP374" t="s">
        <v>288</v>
      </c>
      <c r="AQ374" t="s">
        <v>111</v>
      </c>
      <c r="AR374" t="s">
        <v>111</v>
      </c>
      <c r="AS374" t="s">
        <v>111</v>
      </c>
      <c r="AT374" t="s">
        <v>188</v>
      </c>
      <c r="AU374" t="s">
        <v>111</v>
      </c>
      <c r="AV374" t="s">
        <v>111</v>
      </c>
      <c r="AW374" t="s">
        <v>111</v>
      </c>
      <c r="AX374" t="s">
        <v>271</v>
      </c>
      <c r="AY374" t="s">
        <v>111</v>
      </c>
      <c r="AZ374" t="s">
        <v>111</v>
      </c>
      <c r="BA374" t="s">
        <v>111</v>
      </c>
      <c r="BB374" t="s">
        <v>111</v>
      </c>
      <c r="BC374" t="s">
        <v>111</v>
      </c>
      <c r="BD374" t="s">
        <v>111</v>
      </c>
      <c r="BE374" t="s">
        <v>111</v>
      </c>
      <c r="BF374" t="s">
        <v>111</v>
      </c>
      <c r="BG374" t="s">
        <v>111</v>
      </c>
      <c r="BH374" t="s">
        <v>111</v>
      </c>
      <c r="BI374" t="s">
        <v>111</v>
      </c>
      <c r="BJ374" t="s">
        <v>111</v>
      </c>
      <c r="BK374" t="s">
        <v>111</v>
      </c>
      <c r="BL374" t="s">
        <v>111</v>
      </c>
      <c r="BM374" t="s">
        <v>111</v>
      </c>
      <c r="BN374" t="s">
        <v>111</v>
      </c>
      <c r="BO374" t="s">
        <v>111</v>
      </c>
      <c r="BP374" t="s">
        <v>111</v>
      </c>
      <c r="BQ374" t="s">
        <v>111</v>
      </c>
      <c r="BR374" t="s">
        <v>111</v>
      </c>
      <c r="BS374" t="s">
        <v>111</v>
      </c>
      <c r="BT374" t="s">
        <v>111</v>
      </c>
      <c r="BU374" t="s">
        <v>111</v>
      </c>
      <c r="BV374" t="s">
        <v>111</v>
      </c>
      <c r="BW374" t="s">
        <v>111</v>
      </c>
      <c r="BX374" t="s">
        <v>111</v>
      </c>
      <c r="BY374" t="s">
        <v>111</v>
      </c>
      <c r="BZ374" t="s">
        <v>111</v>
      </c>
      <c r="CA374" t="s">
        <v>111</v>
      </c>
      <c r="CB374" t="s">
        <v>111</v>
      </c>
      <c r="CC374" t="s">
        <v>111</v>
      </c>
      <c r="CD374" t="s">
        <v>111</v>
      </c>
      <c r="CE374" t="s">
        <v>111</v>
      </c>
      <c r="CF374" t="s">
        <v>111</v>
      </c>
      <c r="CG374" t="s">
        <v>111</v>
      </c>
      <c r="CH374" t="s">
        <v>111</v>
      </c>
      <c r="CI374" t="s">
        <v>111</v>
      </c>
      <c r="CJ374" t="s">
        <v>111</v>
      </c>
      <c r="CK374" t="s">
        <v>111</v>
      </c>
      <c r="CL374" t="e">
        <f>-DESTINO SELLADO</f>
        <v>#NAME?</v>
      </c>
      <c r="CM374" t="s">
        <v>198</v>
      </c>
      <c r="CN374" t="s">
        <v>113</v>
      </c>
      <c r="CO374" t="s">
        <v>111</v>
      </c>
      <c r="CP374" t="s">
        <v>1166</v>
      </c>
      <c r="CQ374">
        <v>0</v>
      </c>
      <c r="CR374">
        <v>4000</v>
      </c>
      <c r="CS374">
        <v>200</v>
      </c>
      <c r="CT374" s="1" t="s">
        <v>1428</v>
      </c>
      <c r="CU374">
        <v>0</v>
      </c>
      <c r="CV374" t="s">
        <v>111</v>
      </c>
      <c r="CW374" t="s">
        <v>111</v>
      </c>
      <c r="CX374" t="s">
        <v>111</v>
      </c>
      <c r="CY374">
        <v>0</v>
      </c>
      <c r="CZ374" t="s">
        <v>111</v>
      </c>
      <c r="DA374" t="s">
        <v>111</v>
      </c>
      <c r="DB374" t="s">
        <v>111</v>
      </c>
      <c r="DC374" t="s">
        <v>111</v>
      </c>
    </row>
    <row r="375" spans="1:107">
      <c r="A375">
        <v>813</v>
      </c>
      <c r="B375" t="s">
        <v>107</v>
      </c>
      <c r="C375" t="s">
        <v>1413</v>
      </c>
      <c r="D375" t="s">
        <v>499</v>
      </c>
      <c r="E375" t="s">
        <v>522</v>
      </c>
      <c r="F375" t="s">
        <v>431</v>
      </c>
      <c r="G375" t="s">
        <v>469</v>
      </c>
      <c r="H375">
        <v>2.5</v>
      </c>
      <c r="I375">
        <v>62</v>
      </c>
      <c r="J375">
        <v>0</v>
      </c>
      <c r="K375">
        <v>0</v>
      </c>
      <c r="L375" t="s">
        <v>117</v>
      </c>
      <c r="M375" t="s">
        <v>118</v>
      </c>
      <c r="N375">
        <v>38</v>
      </c>
      <c r="O375">
        <v>1</v>
      </c>
      <c r="P375" t="s">
        <v>138</v>
      </c>
      <c r="Q375">
        <v>40</v>
      </c>
      <c r="R375">
        <v>0</v>
      </c>
      <c r="S375">
        <v>0</v>
      </c>
      <c r="T375">
        <v>0</v>
      </c>
      <c r="U375" s="1" t="s">
        <v>1429</v>
      </c>
      <c r="V375">
        <v>0</v>
      </c>
      <c r="W375">
        <v>25</v>
      </c>
      <c r="X375">
        <v>6</v>
      </c>
      <c r="Y375">
        <v>0</v>
      </c>
      <c r="Z375" t="s">
        <v>111</v>
      </c>
      <c r="AA375">
        <v>0</v>
      </c>
      <c r="AB375" t="s">
        <v>111</v>
      </c>
      <c r="AC375">
        <v>0</v>
      </c>
      <c r="AD375" t="s">
        <v>416</v>
      </c>
      <c r="AE375">
        <v>3</v>
      </c>
      <c r="AF375">
        <v>1</v>
      </c>
      <c r="AG375" t="s">
        <v>1430</v>
      </c>
      <c r="AH375" t="s">
        <v>113</v>
      </c>
      <c r="AI375">
        <v>36</v>
      </c>
      <c r="AJ375" t="s">
        <v>111</v>
      </c>
      <c r="AK375" t="s">
        <v>111</v>
      </c>
      <c r="AL375" t="s">
        <v>111</v>
      </c>
      <c r="AM375">
        <v>0</v>
      </c>
      <c r="AN375">
        <v>0</v>
      </c>
      <c r="AO375">
        <v>0</v>
      </c>
      <c r="AP375" t="s">
        <v>1431</v>
      </c>
      <c r="AQ375" t="s">
        <v>111</v>
      </c>
      <c r="AR375" t="s">
        <v>111</v>
      </c>
      <c r="AS375" t="s">
        <v>111</v>
      </c>
      <c r="AT375" t="s">
        <v>1310</v>
      </c>
      <c r="AU375" t="s">
        <v>111</v>
      </c>
      <c r="AV375" t="s">
        <v>111</v>
      </c>
      <c r="AW375" t="s">
        <v>111</v>
      </c>
      <c r="AX375" t="s">
        <v>271</v>
      </c>
      <c r="AY375" t="s">
        <v>111</v>
      </c>
      <c r="AZ375" t="s">
        <v>111</v>
      </c>
      <c r="BA375" t="s">
        <v>111</v>
      </c>
      <c r="BB375" t="s">
        <v>111</v>
      </c>
      <c r="BC375" t="s">
        <v>111</v>
      </c>
      <c r="BD375" t="s">
        <v>111</v>
      </c>
      <c r="BE375" t="s">
        <v>111</v>
      </c>
      <c r="BF375" t="s">
        <v>111</v>
      </c>
      <c r="BG375" t="s">
        <v>111</v>
      </c>
      <c r="BH375" t="s">
        <v>111</v>
      </c>
      <c r="BI375" t="s">
        <v>111</v>
      </c>
      <c r="BJ375" t="s">
        <v>111</v>
      </c>
      <c r="BK375" t="s">
        <v>111</v>
      </c>
      <c r="BL375" t="s">
        <v>111</v>
      </c>
      <c r="BM375" t="s">
        <v>111</v>
      </c>
      <c r="BN375" t="s">
        <v>111</v>
      </c>
      <c r="BO375" t="s">
        <v>111</v>
      </c>
      <c r="BP375" t="s">
        <v>111</v>
      </c>
      <c r="BQ375" t="s">
        <v>111</v>
      </c>
      <c r="BR375" t="s">
        <v>111</v>
      </c>
      <c r="BS375" t="s">
        <v>111</v>
      </c>
      <c r="BT375" t="s">
        <v>111</v>
      </c>
      <c r="BU375" t="s">
        <v>111</v>
      </c>
      <c r="BV375" t="s">
        <v>111</v>
      </c>
      <c r="BW375" t="s">
        <v>111</v>
      </c>
      <c r="BX375" t="s">
        <v>111</v>
      </c>
      <c r="BY375" t="s">
        <v>111</v>
      </c>
      <c r="BZ375" t="s">
        <v>111</v>
      </c>
      <c r="CA375" t="s">
        <v>111</v>
      </c>
      <c r="CB375" t="s">
        <v>111</v>
      </c>
      <c r="CC375" t="s">
        <v>111</v>
      </c>
      <c r="CD375" t="s">
        <v>111</v>
      </c>
      <c r="CE375" t="s">
        <v>111</v>
      </c>
      <c r="CF375" t="s">
        <v>111</v>
      </c>
      <c r="CG375" t="s">
        <v>111</v>
      </c>
      <c r="CH375" t="s">
        <v>111</v>
      </c>
      <c r="CI375" t="s">
        <v>111</v>
      </c>
      <c r="CJ375" t="s">
        <v>111</v>
      </c>
      <c r="CK375" t="s">
        <v>111</v>
      </c>
      <c r="CL375" t="e">
        <f>-DEWSTINO SSELLADO</f>
        <v>#NAME?</v>
      </c>
      <c r="CM375" t="s">
        <v>198</v>
      </c>
      <c r="CN375" t="s">
        <v>113</v>
      </c>
      <c r="CO375" t="s">
        <v>111</v>
      </c>
      <c r="CP375" t="s">
        <v>433</v>
      </c>
      <c r="CQ375">
        <v>0</v>
      </c>
      <c r="CR375">
        <v>4000</v>
      </c>
      <c r="CS375">
        <v>200</v>
      </c>
      <c r="CT375" s="1" t="s">
        <v>1432</v>
      </c>
      <c r="CU375">
        <v>0</v>
      </c>
      <c r="CV375" t="s">
        <v>111</v>
      </c>
      <c r="CW375" t="s">
        <v>111</v>
      </c>
      <c r="CX375" t="s">
        <v>111</v>
      </c>
      <c r="CY375">
        <v>0</v>
      </c>
      <c r="CZ375" t="s">
        <v>111</v>
      </c>
      <c r="DA375" t="s">
        <v>111</v>
      </c>
      <c r="DB375" t="s">
        <v>111</v>
      </c>
      <c r="DC375" t="s">
        <v>111</v>
      </c>
    </row>
    <row r="376" spans="1:107">
      <c r="A376">
        <v>812</v>
      </c>
      <c r="B376" t="s">
        <v>107</v>
      </c>
      <c r="C376" t="s">
        <v>1413</v>
      </c>
      <c r="D376" t="s">
        <v>499</v>
      </c>
      <c r="E376" t="s">
        <v>976</v>
      </c>
      <c r="F376" t="s">
        <v>431</v>
      </c>
      <c r="G376" t="s">
        <v>469</v>
      </c>
      <c r="H376">
        <v>2.5</v>
      </c>
      <c r="I376">
        <v>62</v>
      </c>
      <c r="J376">
        <v>0</v>
      </c>
      <c r="K376">
        <v>0</v>
      </c>
      <c r="L376" t="s">
        <v>117</v>
      </c>
      <c r="M376" t="s">
        <v>118</v>
      </c>
      <c r="N376">
        <v>38</v>
      </c>
      <c r="O376">
        <v>1</v>
      </c>
      <c r="P376" t="s">
        <v>138</v>
      </c>
      <c r="Q376">
        <v>40</v>
      </c>
      <c r="R376">
        <v>0</v>
      </c>
      <c r="S376">
        <v>0</v>
      </c>
      <c r="T376">
        <v>0</v>
      </c>
      <c r="U376" s="1" t="s">
        <v>1433</v>
      </c>
      <c r="V376">
        <v>0</v>
      </c>
      <c r="W376">
        <v>25</v>
      </c>
      <c r="X376">
        <v>6</v>
      </c>
      <c r="Y376">
        <v>0</v>
      </c>
      <c r="Z376" t="s">
        <v>111</v>
      </c>
      <c r="AA376">
        <v>0</v>
      </c>
      <c r="AB376" t="s">
        <v>111</v>
      </c>
      <c r="AC376">
        <v>0</v>
      </c>
      <c r="AD376" t="s">
        <v>416</v>
      </c>
      <c r="AE376">
        <v>3</v>
      </c>
      <c r="AF376">
        <v>1</v>
      </c>
      <c r="AG376">
        <v>18</v>
      </c>
      <c r="AH376" t="s">
        <v>113</v>
      </c>
      <c r="AI376">
        <v>36</v>
      </c>
      <c r="AJ376" t="s">
        <v>111</v>
      </c>
      <c r="AK376" t="s">
        <v>111</v>
      </c>
      <c r="AL376" t="s">
        <v>111</v>
      </c>
      <c r="AM376">
        <v>0</v>
      </c>
      <c r="AN376">
        <v>0</v>
      </c>
      <c r="AO376">
        <v>0</v>
      </c>
      <c r="AP376" t="s">
        <v>679</v>
      </c>
      <c r="AQ376" t="s">
        <v>111</v>
      </c>
      <c r="AR376" t="s">
        <v>111</v>
      </c>
      <c r="AS376" t="s">
        <v>111</v>
      </c>
      <c r="AT376" t="s">
        <v>1310</v>
      </c>
      <c r="AU376" t="s">
        <v>111</v>
      </c>
      <c r="AV376" t="s">
        <v>111</v>
      </c>
      <c r="AW376" t="s">
        <v>111</v>
      </c>
      <c r="AX376" t="s">
        <v>271</v>
      </c>
      <c r="AY376" t="s">
        <v>111</v>
      </c>
      <c r="AZ376" t="s">
        <v>111</v>
      </c>
      <c r="BA376" t="s">
        <v>111</v>
      </c>
      <c r="BB376" t="s">
        <v>111</v>
      </c>
      <c r="BC376" t="s">
        <v>111</v>
      </c>
      <c r="BD376" t="s">
        <v>111</v>
      </c>
      <c r="BE376" t="s">
        <v>111</v>
      </c>
      <c r="BF376" t="s">
        <v>111</v>
      </c>
      <c r="BG376" t="s">
        <v>111</v>
      </c>
      <c r="BH376" t="s">
        <v>111</v>
      </c>
      <c r="BI376" t="s">
        <v>111</v>
      </c>
      <c r="BJ376" t="s">
        <v>111</v>
      </c>
      <c r="BK376" t="s">
        <v>111</v>
      </c>
      <c r="BL376" t="s">
        <v>111</v>
      </c>
      <c r="BM376" t="s">
        <v>111</v>
      </c>
      <c r="BN376" t="s">
        <v>111</v>
      </c>
      <c r="BO376" t="s">
        <v>111</v>
      </c>
      <c r="BP376" t="s">
        <v>111</v>
      </c>
      <c r="BQ376" t="s">
        <v>111</v>
      </c>
      <c r="BR376" t="s">
        <v>111</v>
      </c>
      <c r="BS376" t="s">
        <v>111</v>
      </c>
      <c r="BT376" t="s">
        <v>111</v>
      </c>
      <c r="BU376" t="s">
        <v>111</v>
      </c>
      <c r="BV376" t="s">
        <v>111</v>
      </c>
      <c r="BW376" t="s">
        <v>111</v>
      </c>
      <c r="BX376" t="s">
        <v>111</v>
      </c>
      <c r="BY376" t="s">
        <v>111</v>
      </c>
      <c r="BZ376" t="s">
        <v>111</v>
      </c>
      <c r="CA376" t="s">
        <v>111</v>
      </c>
      <c r="CB376" t="s">
        <v>111</v>
      </c>
      <c r="CC376" t="s">
        <v>111</v>
      </c>
      <c r="CD376" t="s">
        <v>111</v>
      </c>
      <c r="CE376" t="s">
        <v>111</v>
      </c>
      <c r="CF376" t="s">
        <v>111</v>
      </c>
      <c r="CG376" t="s">
        <v>111</v>
      </c>
      <c r="CH376" t="s">
        <v>111</v>
      </c>
      <c r="CI376" t="s">
        <v>111</v>
      </c>
      <c r="CJ376" t="s">
        <v>111</v>
      </c>
      <c r="CK376" t="s">
        <v>111</v>
      </c>
      <c r="CL376" t="s">
        <v>153</v>
      </c>
      <c r="CM376" t="s">
        <v>198</v>
      </c>
      <c r="CN376" t="s">
        <v>113</v>
      </c>
      <c r="CO376" t="s">
        <v>111</v>
      </c>
      <c r="CP376" t="s">
        <v>433</v>
      </c>
      <c r="CQ376">
        <v>0</v>
      </c>
      <c r="CR376">
        <v>4000</v>
      </c>
      <c r="CS376">
        <v>200</v>
      </c>
      <c r="CT376" s="1" t="s">
        <v>1418</v>
      </c>
      <c r="CU376">
        <v>0</v>
      </c>
      <c r="CV376" t="s">
        <v>111</v>
      </c>
      <c r="CW376" t="s">
        <v>111</v>
      </c>
      <c r="CX376" t="s">
        <v>111</v>
      </c>
      <c r="CY376">
        <v>0</v>
      </c>
      <c r="CZ376" t="s">
        <v>111</v>
      </c>
      <c r="DA376" t="s">
        <v>111</v>
      </c>
      <c r="DB376" t="s">
        <v>111</v>
      </c>
      <c r="DC376" t="s">
        <v>111</v>
      </c>
    </row>
    <row r="377" spans="1:107">
      <c r="A377">
        <v>837</v>
      </c>
      <c r="B377" t="s">
        <v>107</v>
      </c>
      <c r="C377" t="s">
        <v>144</v>
      </c>
      <c r="D377" t="s">
        <v>1434</v>
      </c>
      <c r="E377" t="s">
        <v>1435</v>
      </c>
      <c r="F377" t="s">
        <v>239</v>
      </c>
      <c r="G377" t="s">
        <v>469</v>
      </c>
      <c r="H377">
        <v>0.8</v>
      </c>
      <c r="I377">
        <v>65</v>
      </c>
      <c r="J377">
        <v>0</v>
      </c>
      <c r="K377">
        <v>0</v>
      </c>
      <c r="L377" t="s">
        <v>112</v>
      </c>
      <c r="M377" t="s">
        <v>138</v>
      </c>
      <c r="N377">
        <v>0</v>
      </c>
      <c r="O377">
        <v>0</v>
      </c>
      <c r="P377" t="s">
        <v>138</v>
      </c>
      <c r="Q377">
        <v>30</v>
      </c>
      <c r="R377">
        <v>0</v>
      </c>
      <c r="S377">
        <v>0</v>
      </c>
      <c r="T377">
        <v>0</v>
      </c>
      <c r="U377" s="1" t="s">
        <v>1436</v>
      </c>
      <c r="V377">
        <v>250</v>
      </c>
      <c r="W377">
        <v>0</v>
      </c>
      <c r="X377">
        <v>6</v>
      </c>
      <c r="Y377">
        <v>0</v>
      </c>
      <c r="Z377" t="s">
        <v>1437</v>
      </c>
      <c r="AA377">
        <v>1.5</v>
      </c>
      <c r="AB377" t="s">
        <v>111</v>
      </c>
      <c r="AC377">
        <v>0</v>
      </c>
      <c r="AD377" t="s">
        <v>111</v>
      </c>
      <c r="AE377">
        <v>0</v>
      </c>
      <c r="AF377">
        <v>0</v>
      </c>
      <c r="AG377" t="s">
        <v>111</v>
      </c>
      <c r="AH377" t="s">
        <v>111</v>
      </c>
      <c r="AI377" t="s">
        <v>111</v>
      </c>
      <c r="AJ377" t="s">
        <v>111</v>
      </c>
      <c r="AK377" t="s">
        <v>111</v>
      </c>
      <c r="AL377" t="s">
        <v>111</v>
      </c>
      <c r="AM377">
        <v>0</v>
      </c>
      <c r="AN377">
        <v>0</v>
      </c>
      <c r="AO377">
        <v>0</v>
      </c>
      <c r="AP377" t="s">
        <v>111</v>
      </c>
      <c r="AQ377" t="s">
        <v>111</v>
      </c>
      <c r="AR377" t="s">
        <v>111</v>
      </c>
      <c r="AS377" t="s">
        <v>111</v>
      </c>
      <c r="AT377" t="s">
        <v>111</v>
      </c>
      <c r="AU377" t="s">
        <v>111</v>
      </c>
      <c r="AV377" t="s">
        <v>111</v>
      </c>
      <c r="AW377" t="s">
        <v>111</v>
      </c>
      <c r="AX377" t="s">
        <v>111</v>
      </c>
      <c r="AY377" t="s">
        <v>111</v>
      </c>
      <c r="AZ377" t="s">
        <v>111</v>
      </c>
      <c r="BA377" t="s">
        <v>111</v>
      </c>
      <c r="BB377" t="s">
        <v>111</v>
      </c>
      <c r="BC377" t="s">
        <v>111</v>
      </c>
      <c r="BD377" t="s">
        <v>111</v>
      </c>
      <c r="BE377" t="s">
        <v>111</v>
      </c>
      <c r="BF377" t="s">
        <v>111</v>
      </c>
      <c r="BG377" t="s">
        <v>111</v>
      </c>
      <c r="BH377" t="s">
        <v>111</v>
      </c>
      <c r="BI377" t="s">
        <v>111</v>
      </c>
      <c r="BJ377" t="s">
        <v>111</v>
      </c>
      <c r="BK377" t="s">
        <v>111</v>
      </c>
      <c r="BL377" t="s">
        <v>111</v>
      </c>
      <c r="BM377" t="s">
        <v>111</v>
      </c>
      <c r="BN377" t="s">
        <v>111</v>
      </c>
      <c r="BO377" t="s">
        <v>111</v>
      </c>
      <c r="BP377" t="s">
        <v>111</v>
      </c>
      <c r="BQ377" t="s">
        <v>111</v>
      </c>
      <c r="BR377" t="s">
        <v>111</v>
      </c>
      <c r="BS377" t="s">
        <v>111</v>
      </c>
      <c r="BT377" t="s">
        <v>111</v>
      </c>
      <c r="BU377" t="s">
        <v>111</v>
      </c>
      <c r="BV377" t="s">
        <v>111</v>
      </c>
      <c r="BW377" t="s">
        <v>111</v>
      </c>
      <c r="BX377" t="s">
        <v>111</v>
      </c>
      <c r="BY377" t="s">
        <v>111</v>
      </c>
      <c r="BZ377" t="s">
        <v>111</v>
      </c>
      <c r="CA377" t="s">
        <v>111</v>
      </c>
      <c r="CB377" t="s">
        <v>111</v>
      </c>
      <c r="CC377" t="s">
        <v>111</v>
      </c>
      <c r="CD377" t="s">
        <v>111</v>
      </c>
      <c r="CE377" t="s">
        <v>111</v>
      </c>
      <c r="CF377" t="s">
        <v>111</v>
      </c>
      <c r="CG377" t="s">
        <v>111</v>
      </c>
      <c r="CH377" t="s">
        <v>111</v>
      </c>
      <c r="CI377" t="s">
        <v>111</v>
      </c>
      <c r="CJ377" t="s">
        <v>111</v>
      </c>
      <c r="CK377" t="s">
        <v>111</v>
      </c>
      <c r="CL377" t="s">
        <v>111</v>
      </c>
      <c r="CM377" t="s">
        <v>127</v>
      </c>
      <c r="CN377" t="s">
        <v>128</v>
      </c>
      <c r="CO377" t="s">
        <v>111</v>
      </c>
      <c r="CP377" t="s">
        <v>111</v>
      </c>
      <c r="CQ377">
        <v>0</v>
      </c>
      <c r="CR377">
        <v>1000</v>
      </c>
      <c r="CS377">
        <v>100</v>
      </c>
      <c r="CT377" t="s">
        <v>168</v>
      </c>
      <c r="CU377">
        <v>0</v>
      </c>
      <c r="CV377" t="s">
        <v>111</v>
      </c>
      <c r="CW377" t="s">
        <v>111</v>
      </c>
      <c r="CX377" t="s">
        <v>111</v>
      </c>
      <c r="CY377">
        <v>0</v>
      </c>
      <c r="CZ377" t="s">
        <v>111</v>
      </c>
      <c r="DA377" t="s">
        <v>111</v>
      </c>
      <c r="DB377" t="s">
        <v>111</v>
      </c>
      <c r="DC377" t="s">
        <v>111</v>
      </c>
    </row>
    <row r="378" spans="1:107">
      <c r="A378">
        <v>803</v>
      </c>
      <c r="B378" t="s">
        <v>107</v>
      </c>
      <c r="C378" t="s">
        <v>219</v>
      </c>
      <c r="D378" t="s">
        <v>1438</v>
      </c>
      <c r="E378" t="s">
        <v>1439</v>
      </c>
      <c r="F378" t="s">
        <v>125</v>
      </c>
      <c r="G378" t="s">
        <v>469</v>
      </c>
      <c r="H378">
        <v>0.5</v>
      </c>
      <c r="I378">
        <v>38</v>
      </c>
      <c r="J378">
        <v>0</v>
      </c>
      <c r="K378">
        <v>0</v>
      </c>
      <c r="L378" t="s">
        <v>178</v>
      </c>
      <c r="M378" t="s">
        <v>138</v>
      </c>
      <c r="N378">
        <v>0</v>
      </c>
      <c r="O378">
        <v>0</v>
      </c>
      <c r="P378" t="s">
        <v>138</v>
      </c>
      <c r="Q378">
        <v>53.8</v>
      </c>
      <c r="R378">
        <v>0</v>
      </c>
      <c r="S378">
        <v>0</v>
      </c>
      <c r="T378">
        <v>5</v>
      </c>
      <c r="U378" s="1" t="s">
        <v>1440</v>
      </c>
      <c r="V378">
        <v>12.5</v>
      </c>
      <c r="W378">
        <v>12.5</v>
      </c>
      <c r="X378">
        <v>0</v>
      </c>
      <c r="Y378">
        <v>0</v>
      </c>
      <c r="Z378" t="s">
        <v>327</v>
      </c>
      <c r="AA378">
        <v>0.3</v>
      </c>
      <c r="AB378" t="s">
        <v>1441</v>
      </c>
      <c r="AC378">
        <v>25</v>
      </c>
      <c r="AD378" t="s">
        <v>111</v>
      </c>
      <c r="AE378">
        <v>0</v>
      </c>
      <c r="AF378">
        <v>0</v>
      </c>
      <c r="AG378" t="s">
        <v>111</v>
      </c>
      <c r="AH378" t="s">
        <v>111</v>
      </c>
      <c r="AI378" t="s">
        <v>111</v>
      </c>
      <c r="AJ378" t="s">
        <v>111</v>
      </c>
      <c r="AK378" t="s">
        <v>111</v>
      </c>
      <c r="AL378" t="s">
        <v>111</v>
      </c>
      <c r="AM378">
        <v>0</v>
      </c>
      <c r="AN378">
        <v>0</v>
      </c>
      <c r="AO378">
        <v>0</v>
      </c>
      <c r="AP378" t="s">
        <v>111</v>
      </c>
      <c r="AQ378" t="s">
        <v>111</v>
      </c>
      <c r="AR378" t="s">
        <v>111</v>
      </c>
      <c r="AS378" t="s">
        <v>111</v>
      </c>
      <c r="AT378" t="s">
        <v>111</v>
      </c>
      <c r="AU378" t="s">
        <v>111</v>
      </c>
      <c r="AV378" t="s">
        <v>111</v>
      </c>
      <c r="AW378" t="s">
        <v>111</v>
      </c>
      <c r="AX378" t="s">
        <v>111</v>
      </c>
      <c r="AY378" t="s">
        <v>111</v>
      </c>
      <c r="AZ378" t="s">
        <v>111</v>
      </c>
      <c r="BA378" t="s">
        <v>111</v>
      </c>
      <c r="BB378" t="s">
        <v>111</v>
      </c>
      <c r="BC378" t="s">
        <v>111</v>
      </c>
      <c r="BD378" t="s">
        <v>111</v>
      </c>
      <c r="BE378" t="s">
        <v>111</v>
      </c>
      <c r="BF378" t="s">
        <v>111</v>
      </c>
      <c r="BG378" t="s">
        <v>111</v>
      </c>
      <c r="BH378" t="s">
        <v>111</v>
      </c>
      <c r="BI378" t="s">
        <v>111</v>
      </c>
      <c r="BJ378" t="s">
        <v>111</v>
      </c>
      <c r="BK378" t="s">
        <v>111</v>
      </c>
      <c r="BL378" t="s">
        <v>111</v>
      </c>
      <c r="BM378" t="s">
        <v>111</v>
      </c>
      <c r="BN378" t="s">
        <v>111</v>
      </c>
      <c r="BO378" t="s">
        <v>111</v>
      </c>
      <c r="BP378" t="s">
        <v>111</v>
      </c>
      <c r="BQ378" t="s">
        <v>111</v>
      </c>
      <c r="BR378" t="s">
        <v>111</v>
      </c>
      <c r="BS378" t="s">
        <v>111</v>
      </c>
      <c r="BT378" t="s">
        <v>111</v>
      </c>
      <c r="BU378" t="s">
        <v>111</v>
      </c>
      <c r="BV378" t="s">
        <v>111</v>
      </c>
      <c r="BW378" t="s">
        <v>111</v>
      </c>
      <c r="BX378" t="s">
        <v>111</v>
      </c>
      <c r="BY378" t="s">
        <v>111</v>
      </c>
      <c r="BZ378" t="s">
        <v>111</v>
      </c>
      <c r="CA378" t="s">
        <v>111</v>
      </c>
      <c r="CB378" t="s">
        <v>111</v>
      </c>
      <c r="CC378" t="s">
        <v>111</v>
      </c>
      <c r="CD378" t="s">
        <v>111</v>
      </c>
      <c r="CE378" t="s">
        <v>111</v>
      </c>
      <c r="CF378" t="s">
        <v>111</v>
      </c>
      <c r="CG378" t="s">
        <v>111</v>
      </c>
      <c r="CH378" t="s">
        <v>111</v>
      </c>
      <c r="CI378" t="s">
        <v>111</v>
      </c>
      <c r="CJ378" t="s">
        <v>111</v>
      </c>
      <c r="CK378" t="s">
        <v>111</v>
      </c>
      <c r="CL378" t="s">
        <v>111</v>
      </c>
      <c r="CM378" t="s">
        <v>438</v>
      </c>
      <c r="CN378" t="s">
        <v>113</v>
      </c>
      <c r="CO378" t="s">
        <v>637</v>
      </c>
      <c r="CP378" t="s">
        <v>111</v>
      </c>
      <c r="CQ378">
        <v>95</v>
      </c>
      <c r="CR378">
        <v>5000</v>
      </c>
      <c r="CS378">
        <v>200</v>
      </c>
      <c r="CT378" s="1" t="s">
        <v>1442</v>
      </c>
      <c r="CU378">
        <v>0</v>
      </c>
      <c r="CV378" t="s">
        <v>111</v>
      </c>
      <c r="CW378" t="s">
        <v>111</v>
      </c>
      <c r="CX378" t="s">
        <v>111</v>
      </c>
      <c r="CY378">
        <v>0</v>
      </c>
      <c r="CZ378" t="s">
        <v>111</v>
      </c>
      <c r="DA378" t="s">
        <v>111</v>
      </c>
      <c r="DB378" t="s">
        <v>111</v>
      </c>
      <c r="DC378" t="s">
        <v>111</v>
      </c>
    </row>
    <row r="379" spans="1:107">
      <c r="A379">
        <v>824</v>
      </c>
      <c r="B379" t="s">
        <v>107</v>
      </c>
      <c r="C379" t="s">
        <v>328</v>
      </c>
      <c r="D379" t="s">
        <v>1443</v>
      </c>
      <c r="E379" t="s">
        <v>1444</v>
      </c>
      <c r="F379" t="s">
        <v>431</v>
      </c>
      <c r="G379" t="s">
        <v>469</v>
      </c>
      <c r="H379">
        <v>4.8</v>
      </c>
      <c r="I379">
        <v>30</v>
      </c>
      <c r="J379">
        <v>0</v>
      </c>
      <c r="K379">
        <v>0</v>
      </c>
      <c r="L379" t="s">
        <v>112</v>
      </c>
      <c r="M379" t="s">
        <v>118</v>
      </c>
      <c r="N379">
        <v>38</v>
      </c>
      <c r="O379">
        <v>1</v>
      </c>
      <c r="P379" t="s">
        <v>138</v>
      </c>
      <c r="Q379">
        <v>35</v>
      </c>
      <c r="R379">
        <v>0</v>
      </c>
      <c r="S379">
        <v>0</v>
      </c>
      <c r="T379">
        <v>0</v>
      </c>
      <c r="U379" s="1" t="s">
        <v>1445</v>
      </c>
      <c r="V379">
        <v>0</v>
      </c>
      <c r="W379">
        <v>25</v>
      </c>
      <c r="X379">
        <v>8</v>
      </c>
      <c r="Y379">
        <v>0</v>
      </c>
      <c r="Z379" t="s">
        <v>288</v>
      </c>
      <c r="AA379">
        <v>1.6</v>
      </c>
      <c r="AB379" t="s">
        <v>111</v>
      </c>
      <c r="AC379">
        <v>0</v>
      </c>
      <c r="AD379" t="s">
        <v>416</v>
      </c>
      <c r="AE379">
        <v>2</v>
      </c>
      <c r="AF379">
        <v>1</v>
      </c>
      <c r="AG379" t="s">
        <v>1098</v>
      </c>
      <c r="AH379" t="s">
        <v>128</v>
      </c>
      <c r="AI379" t="s">
        <v>1098</v>
      </c>
      <c r="AJ379" t="s">
        <v>111</v>
      </c>
      <c r="AK379" t="s">
        <v>111</v>
      </c>
      <c r="AL379" t="s">
        <v>111</v>
      </c>
      <c r="AM379">
        <v>0</v>
      </c>
      <c r="AN379">
        <v>0</v>
      </c>
      <c r="AO379">
        <v>0</v>
      </c>
      <c r="AP379" t="s">
        <v>188</v>
      </c>
      <c r="AQ379" t="s">
        <v>111</v>
      </c>
      <c r="AR379" t="s">
        <v>111</v>
      </c>
      <c r="AS379" t="s">
        <v>111</v>
      </c>
      <c r="AT379" t="s">
        <v>188</v>
      </c>
      <c r="AU379" t="s">
        <v>111</v>
      </c>
      <c r="AV379" t="s">
        <v>111</v>
      </c>
      <c r="AW379" t="s">
        <v>111</v>
      </c>
      <c r="AX379" t="s">
        <v>111</v>
      </c>
      <c r="AY379" t="s">
        <v>111</v>
      </c>
      <c r="AZ379" t="s">
        <v>111</v>
      </c>
      <c r="BA379" t="s">
        <v>111</v>
      </c>
      <c r="BB379" t="s">
        <v>111</v>
      </c>
      <c r="BC379" t="s">
        <v>111</v>
      </c>
      <c r="BD379" t="s">
        <v>111</v>
      </c>
      <c r="BE379" t="s">
        <v>111</v>
      </c>
      <c r="BF379" t="s">
        <v>111</v>
      </c>
      <c r="BG379" t="s">
        <v>111</v>
      </c>
      <c r="BH379" t="s">
        <v>111</v>
      </c>
      <c r="BI379" t="s">
        <v>111</v>
      </c>
      <c r="BJ379" t="s">
        <v>111</v>
      </c>
      <c r="BK379" t="s">
        <v>111</v>
      </c>
      <c r="BL379" t="s">
        <v>111</v>
      </c>
      <c r="BM379" t="s">
        <v>111</v>
      </c>
      <c r="BN379" t="s">
        <v>111</v>
      </c>
      <c r="BO379" t="s">
        <v>111</v>
      </c>
      <c r="BP379" t="s">
        <v>111</v>
      </c>
      <c r="BQ379" t="s">
        <v>111</v>
      </c>
      <c r="BR379" t="s">
        <v>111</v>
      </c>
      <c r="BS379" t="s">
        <v>111</v>
      </c>
      <c r="BT379" t="s">
        <v>111</v>
      </c>
      <c r="BU379" t="s">
        <v>111</v>
      </c>
      <c r="BV379" t="s">
        <v>111</v>
      </c>
      <c r="BW379" t="s">
        <v>111</v>
      </c>
      <c r="BX379" t="s">
        <v>111</v>
      </c>
      <c r="BY379" t="s">
        <v>111</v>
      </c>
      <c r="BZ379" t="s">
        <v>111</v>
      </c>
      <c r="CA379" t="s">
        <v>111</v>
      </c>
      <c r="CB379" t="s">
        <v>111</v>
      </c>
      <c r="CC379" t="s">
        <v>111</v>
      </c>
      <c r="CD379" t="s">
        <v>111</v>
      </c>
      <c r="CE379" t="s">
        <v>111</v>
      </c>
      <c r="CF379" t="s">
        <v>111</v>
      </c>
      <c r="CG379" t="s">
        <v>111</v>
      </c>
      <c r="CH379" t="s">
        <v>111</v>
      </c>
      <c r="CI379" t="s">
        <v>111</v>
      </c>
      <c r="CJ379" t="s">
        <v>111</v>
      </c>
      <c r="CK379" t="s">
        <v>111</v>
      </c>
      <c r="CL379" t="e">
        <f>-DESTINO SELLADO</f>
        <v>#NAME?</v>
      </c>
      <c r="CM379" t="s">
        <v>198</v>
      </c>
      <c r="CN379" t="s">
        <v>128</v>
      </c>
      <c r="CO379" t="s">
        <v>111</v>
      </c>
      <c r="CP379" t="s">
        <v>1166</v>
      </c>
      <c r="CQ379">
        <v>0</v>
      </c>
      <c r="CR379">
        <v>0</v>
      </c>
      <c r="CS379">
        <v>100</v>
      </c>
      <c r="CT379" s="1" t="s">
        <v>1446</v>
      </c>
      <c r="CU379">
        <v>0</v>
      </c>
      <c r="CV379" t="s">
        <v>111</v>
      </c>
      <c r="CW379" t="s">
        <v>111</v>
      </c>
      <c r="CX379" t="s">
        <v>111</v>
      </c>
      <c r="CY379">
        <v>0</v>
      </c>
      <c r="CZ379" t="s">
        <v>111</v>
      </c>
      <c r="DA379" t="s">
        <v>111</v>
      </c>
      <c r="DB379" t="s">
        <v>204</v>
      </c>
      <c r="DC379" s="1" t="s">
        <v>1447</v>
      </c>
    </row>
    <row r="380" spans="1:107">
      <c r="A380">
        <v>737</v>
      </c>
      <c r="B380" t="s">
        <v>107</v>
      </c>
      <c r="C380" t="s">
        <v>194</v>
      </c>
      <c r="D380" t="s">
        <v>1448</v>
      </c>
      <c r="E380" t="s">
        <v>1449</v>
      </c>
      <c r="F380" t="s">
        <v>125</v>
      </c>
      <c r="G380" t="s">
        <v>469</v>
      </c>
      <c r="H380">
        <v>1.5</v>
      </c>
      <c r="I380">
        <v>51</v>
      </c>
      <c r="J380">
        <v>0</v>
      </c>
      <c r="K380">
        <v>0</v>
      </c>
      <c r="L380" t="s">
        <v>112</v>
      </c>
      <c r="M380" t="s">
        <v>138</v>
      </c>
      <c r="N380">
        <v>0</v>
      </c>
      <c r="O380">
        <v>0</v>
      </c>
      <c r="P380" t="s">
        <v>138</v>
      </c>
      <c r="Q380">
        <v>42</v>
      </c>
      <c r="R380">
        <v>0</v>
      </c>
      <c r="S380">
        <v>0</v>
      </c>
      <c r="T380">
        <v>5</v>
      </c>
      <c r="U380" t="e">
        <f>-DESTINO SELLADO</f>
        <v>#NAME?</v>
      </c>
      <c r="V380">
        <v>25</v>
      </c>
      <c r="W380">
        <v>0</v>
      </c>
      <c r="X380">
        <v>8</v>
      </c>
      <c r="Y380">
        <v>0</v>
      </c>
      <c r="Z380" t="s">
        <v>111</v>
      </c>
      <c r="AA380">
        <v>0</v>
      </c>
      <c r="AB380" t="s">
        <v>111</v>
      </c>
      <c r="AC380">
        <v>0</v>
      </c>
      <c r="AD380" t="s">
        <v>111</v>
      </c>
      <c r="AE380">
        <v>0</v>
      </c>
      <c r="AF380">
        <v>0</v>
      </c>
      <c r="AG380" t="s">
        <v>111</v>
      </c>
      <c r="AH380" t="s">
        <v>111</v>
      </c>
      <c r="AI380" t="s">
        <v>111</v>
      </c>
      <c r="AJ380" t="s">
        <v>111</v>
      </c>
      <c r="AK380" t="s">
        <v>111</v>
      </c>
      <c r="AL380" t="s">
        <v>111</v>
      </c>
      <c r="AM380">
        <v>0</v>
      </c>
      <c r="AN380">
        <v>0</v>
      </c>
      <c r="AO380">
        <v>0</v>
      </c>
      <c r="AP380" t="s">
        <v>111</v>
      </c>
      <c r="AQ380" t="s">
        <v>111</v>
      </c>
      <c r="AR380" t="s">
        <v>111</v>
      </c>
      <c r="AS380" t="s">
        <v>111</v>
      </c>
      <c r="AT380" t="s">
        <v>111</v>
      </c>
      <c r="AU380" t="s">
        <v>111</v>
      </c>
      <c r="AV380" t="s">
        <v>111</v>
      </c>
      <c r="AW380" t="s">
        <v>111</v>
      </c>
      <c r="AX380" t="s">
        <v>111</v>
      </c>
      <c r="AY380" t="s">
        <v>111</v>
      </c>
      <c r="AZ380" t="s">
        <v>111</v>
      </c>
      <c r="BA380" t="s">
        <v>111</v>
      </c>
      <c r="BB380" t="s">
        <v>111</v>
      </c>
      <c r="BC380" t="s">
        <v>111</v>
      </c>
      <c r="BD380" t="s">
        <v>111</v>
      </c>
      <c r="BE380" t="s">
        <v>111</v>
      </c>
      <c r="BF380" t="s">
        <v>111</v>
      </c>
      <c r="BG380" t="s">
        <v>111</v>
      </c>
      <c r="BH380" t="s">
        <v>111</v>
      </c>
      <c r="BI380" t="s">
        <v>111</v>
      </c>
      <c r="BJ380" t="s">
        <v>111</v>
      </c>
      <c r="BK380" t="s">
        <v>111</v>
      </c>
      <c r="BL380" t="s">
        <v>111</v>
      </c>
      <c r="BM380" t="s">
        <v>111</v>
      </c>
      <c r="BN380" t="s">
        <v>111</v>
      </c>
      <c r="BO380" t="s">
        <v>111</v>
      </c>
      <c r="BP380" t="s">
        <v>111</v>
      </c>
      <c r="BQ380" t="s">
        <v>111</v>
      </c>
      <c r="BR380" t="s">
        <v>111</v>
      </c>
      <c r="BS380" t="s">
        <v>111</v>
      </c>
      <c r="BT380" t="s">
        <v>111</v>
      </c>
      <c r="BU380" t="s">
        <v>111</v>
      </c>
      <c r="BV380" t="s">
        <v>111</v>
      </c>
      <c r="BW380" t="s">
        <v>111</v>
      </c>
      <c r="BX380" t="s">
        <v>111</v>
      </c>
      <c r="BY380" t="s">
        <v>111</v>
      </c>
      <c r="BZ380" t="s">
        <v>111</v>
      </c>
      <c r="CA380" t="s">
        <v>111</v>
      </c>
      <c r="CB380" t="s">
        <v>111</v>
      </c>
      <c r="CC380" t="s">
        <v>111</v>
      </c>
      <c r="CD380" t="s">
        <v>111</v>
      </c>
      <c r="CE380" t="s">
        <v>111</v>
      </c>
      <c r="CF380" t="s">
        <v>111</v>
      </c>
      <c r="CG380" t="s">
        <v>111</v>
      </c>
      <c r="CH380" t="s">
        <v>111</v>
      </c>
      <c r="CI380" t="s">
        <v>111</v>
      </c>
      <c r="CJ380" t="s">
        <v>111</v>
      </c>
      <c r="CK380" t="s">
        <v>111</v>
      </c>
      <c r="CL380" t="s">
        <v>111</v>
      </c>
      <c r="CM380" t="s">
        <v>135</v>
      </c>
      <c r="CN380" t="s">
        <v>128</v>
      </c>
      <c r="CO380" t="s">
        <v>111</v>
      </c>
      <c r="CP380" t="s">
        <v>111</v>
      </c>
      <c r="CQ380">
        <v>0</v>
      </c>
      <c r="CR380">
        <v>1000</v>
      </c>
      <c r="CS380">
        <v>50</v>
      </c>
      <c r="CT380" t="e">
        <f>-DESTINO ALMACEN</f>
        <v>#NAME?</v>
      </c>
      <c r="CU380">
        <v>0</v>
      </c>
      <c r="CV380" t="s">
        <v>111</v>
      </c>
      <c r="CW380" t="s">
        <v>111</v>
      </c>
      <c r="CX380" t="s">
        <v>111</v>
      </c>
      <c r="CY380">
        <v>0</v>
      </c>
      <c r="CZ380" t="s">
        <v>111</v>
      </c>
      <c r="DA380" t="s">
        <v>111</v>
      </c>
      <c r="DB380" t="s">
        <v>111</v>
      </c>
      <c r="DC380" t="s">
        <v>111</v>
      </c>
    </row>
    <row r="381" spans="1:107">
      <c r="A381">
        <v>809</v>
      </c>
      <c r="B381" t="s">
        <v>107</v>
      </c>
      <c r="C381" t="s">
        <v>122</v>
      </c>
      <c r="D381" t="s">
        <v>1450</v>
      </c>
      <c r="E381" t="s">
        <v>1451</v>
      </c>
      <c r="F381" t="s">
        <v>125</v>
      </c>
      <c r="G381" t="s">
        <v>469</v>
      </c>
      <c r="H381">
        <v>0.9</v>
      </c>
      <c r="I381">
        <v>61</v>
      </c>
      <c r="J381">
        <v>0</v>
      </c>
      <c r="K381">
        <v>0</v>
      </c>
      <c r="L381" t="s">
        <v>112</v>
      </c>
      <c r="M381" t="s">
        <v>138</v>
      </c>
      <c r="N381">
        <v>0</v>
      </c>
      <c r="O381">
        <v>0</v>
      </c>
      <c r="P381" t="s">
        <v>138</v>
      </c>
      <c r="Q381">
        <v>50</v>
      </c>
      <c r="R381">
        <v>0</v>
      </c>
      <c r="S381">
        <v>0</v>
      </c>
      <c r="T381">
        <v>0</v>
      </c>
      <c r="U381" s="1" t="s">
        <v>835</v>
      </c>
      <c r="V381">
        <v>12.5</v>
      </c>
      <c r="W381">
        <v>12.5</v>
      </c>
      <c r="X381">
        <v>0</v>
      </c>
      <c r="Y381">
        <v>0</v>
      </c>
      <c r="Z381" t="s">
        <v>327</v>
      </c>
      <c r="AA381">
        <v>3</v>
      </c>
      <c r="AB381" t="s">
        <v>1452</v>
      </c>
      <c r="AC381">
        <v>25</v>
      </c>
      <c r="AD381" t="s">
        <v>111</v>
      </c>
      <c r="AE381">
        <v>0</v>
      </c>
      <c r="AF381">
        <v>0</v>
      </c>
      <c r="AG381" t="s">
        <v>111</v>
      </c>
      <c r="AH381" t="s">
        <v>111</v>
      </c>
      <c r="AI381" t="s">
        <v>111</v>
      </c>
      <c r="AJ381" t="s">
        <v>111</v>
      </c>
      <c r="AK381" t="s">
        <v>111</v>
      </c>
      <c r="AL381" t="s">
        <v>111</v>
      </c>
      <c r="AM381">
        <v>0</v>
      </c>
      <c r="AN381">
        <v>0</v>
      </c>
      <c r="AO381">
        <v>0</v>
      </c>
      <c r="AP381" t="s">
        <v>111</v>
      </c>
      <c r="AQ381" t="s">
        <v>111</v>
      </c>
      <c r="AR381" t="s">
        <v>111</v>
      </c>
      <c r="AS381" t="s">
        <v>111</v>
      </c>
      <c r="AT381" t="s">
        <v>111</v>
      </c>
      <c r="AU381" t="s">
        <v>111</v>
      </c>
      <c r="AV381" t="s">
        <v>111</v>
      </c>
      <c r="AW381" t="s">
        <v>111</v>
      </c>
      <c r="AX381" t="s">
        <v>111</v>
      </c>
      <c r="AY381" t="s">
        <v>111</v>
      </c>
      <c r="AZ381" t="s">
        <v>111</v>
      </c>
      <c r="BA381" t="s">
        <v>111</v>
      </c>
      <c r="BB381" t="s">
        <v>111</v>
      </c>
      <c r="BC381" t="s">
        <v>111</v>
      </c>
      <c r="BD381" t="s">
        <v>111</v>
      </c>
      <c r="BE381" t="s">
        <v>111</v>
      </c>
      <c r="BF381" t="s">
        <v>111</v>
      </c>
      <c r="BG381" t="s">
        <v>111</v>
      </c>
      <c r="BH381" t="s">
        <v>111</v>
      </c>
      <c r="BI381" t="s">
        <v>111</v>
      </c>
      <c r="BJ381" t="s">
        <v>111</v>
      </c>
      <c r="BK381" t="s">
        <v>111</v>
      </c>
      <c r="BL381" t="s">
        <v>111</v>
      </c>
      <c r="BM381" t="s">
        <v>111</v>
      </c>
      <c r="BN381" t="s">
        <v>111</v>
      </c>
      <c r="BO381" t="s">
        <v>111</v>
      </c>
      <c r="BP381" t="s">
        <v>111</v>
      </c>
      <c r="BQ381" t="s">
        <v>111</v>
      </c>
      <c r="BR381" t="s">
        <v>111</v>
      </c>
      <c r="BS381" t="s">
        <v>111</v>
      </c>
      <c r="BT381" t="s">
        <v>111</v>
      </c>
      <c r="BU381" t="s">
        <v>111</v>
      </c>
      <c r="BV381" t="s">
        <v>111</v>
      </c>
      <c r="BW381" t="s">
        <v>111</v>
      </c>
      <c r="BX381" t="s">
        <v>111</v>
      </c>
      <c r="BY381" t="s">
        <v>111</v>
      </c>
      <c r="BZ381" t="s">
        <v>111</v>
      </c>
      <c r="CA381" t="s">
        <v>111</v>
      </c>
      <c r="CB381" t="s">
        <v>111</v>
      </c>
      <c r="CC381" t="s">
        <v>111</v>
      </c>
      <c r="CD381" t="s">
        <v>111</v>
      </c>
      <c r="CE381" t="s">
        <v>111</v>
      </c>
      <c r="CF381" t="s">
        <v>111</v>
      </c>
      <c r="CG381" t="s">
        <v>111</v>
      </c>
      <c r="CH381" t="s">
        <v>111</v>
      </c>
      <c r="CI381" t="s">
        <v>111</v>
      </c>
      <c r="CJ381" t="s">
        <v>111</v>
      </c>
      <c r="CK381" t="s">
        <v>111</v>
      </c>
      <c r="CL381" t="s">
        <v>111</v>
      </c>
      <c r="CM381" t="s">
        <v>127</v>
      </c>
      <c r="CN381" t="s">
        <v>128</v>
      </c>
      <c r="CO381" t="s">
        <v>111</v>
      </c>
      <c r="CP381" t="s">
        <v>111</v>
      </c>
      <c r="CQ381">
        <v>0</v>
      </c>
      <c r="CR381">
        <v>1000</v>
      </c>
      <c r="CS381">
        <v>100</v>
      </c>
      <c r="CT381" s="1" t="s">
        <v>1453</v>
      </c>
      <c r="CU381">
        <v>0</v>
      </c>
      <c r="CV381" t="s">
        <v>111</v>
      </c>
      <c r="CW381" t="s">
        <v>111</v>
      </c>
      <c r="CX381" t="s">
        <v>111</v>
      </c>
      <c r="CY381">
        <v>0</v>
      </c>
      <c r="CZ381" t="s">
        <v>111</v>
      </c>
      <c r="DA381" t="s">
        <v>111</v>
      </c>
      <c r="DB381" t="s">
        <v>111</v>
      </c>
      <c r="DC381" t="s">
        <v>111</v>
      </c>
    </row>
    <row r="382" spans="1:107">
      <c r="A382">
        <v>804</v>
      </c>
      <c r="B382" t="s">
        <v>107</v>
      </c>
      <c r="C382" t="s">
        <v>272</v>
      </c>
      <c r="D382" t="s">
        <v>1454</v>
      </c>
      <c r="E382" t="s">
        <v>1455</v>
      </c>
      <c r="F382" t="s">
        <v>192</v>
      </c>
      <c r="G382" t="s">
        <v>469</v>
      </c>
      <c r="H382">
        <v>1.3</v>
      </c>
      <c r="I382">
        <v>43</v>
      </c>
      <c r="J382">
        <v>13</v>
      </c>
      <c r="K382">
        <v>13</v>
      </c>
      <c r="L382" t="s">
        <v>112</v>
      </c>
      <c r="M382" t="s">
        <v>138</v>
      </c>
      <c r="N382">
        <v>0</v>
      </c>
      <c r="O382">
        <v>0</v>
      </c>
      <c r="P382" t="s">
        <v>138</v>
      </c>
      <c r="Q382">
        <v>28.3</v>
      </c>
      <c r="R382">
        <v>0</v>
      </c>
      <c r="S382">
        <v>0</v>
      </c>
      <c r="T382">
        <v>0</v>
      </c>
      <c r="U382" s="1" t="s">
        <v>1456</v>
      </c>
      <c r="V382">
        <v>0</v>
      </c>
      <c r="W382">
        <v>25</v>
      </c>
      <c r="X382">
        <v>12.5</v>
      </c>
      <c r="Y382">
        <v>0</v>
      </c>
      <c r="Z382" t="s">
        <v>111</v>
      </c>
      <c r="AA382">
        <v>0</v>
      </c>
      <c r="AB382" t="s">
        <v>111</v>
      </c>
      <c r="AC382">
        <v>0</v>
      </c>
      <c r="AD382" t="s">
        <v>111</v>
      </c>
      <c r="AE382">
        <v>0</v>
      </c>
      <c r="AF382">
        <v>0</v>
      </c>
      <c r="AG382" t="s">
        <v>111</v>
      </c>
      <c r="AH382" t="s">
        <v>111</v>
      </c>
      <c r="AI382" t="s">
        <v>111</v>
      </c>
      <c r="AJ382" t="s">
        <v>111</v>
      </c>
      <c r="AK382" t="s">
        <v>111</v>
      </c>
      <c r="AL382" t="s">
        <v>111</v>
      </c>
      <c r="AM382">
        <v>0</v>
      </c>
      <c r="AN382">
        <v>0</v>
      </c>
      <c r="AO382">
        <v>0</v>
      </c>
      <c r="AP382" t="s">
        <v>111</v>
      </c>
      <c r="AQ382" t="s">
        <v>111</v>
      </c>
      <c r="AR382" t="s">
        <v>111</v>
      </c>
      <c r="AS382" t="s">
        <v>111</v>
      </c>
      <c r="AT382" t="s">
        <v>111</v>
      </c>
      <c r="AU382" t="s">
        <v>111</v>
      </c>
      <c r="AV382" t="s">
        <v>111</v>
      </c>
      <c r="AW382" t="s">
        <v>111</v>
      </c>
      <c r="AX382" t="s">
        <v>111</v>
      </c>
      <c r="AY382" t="s">
        <v>111</v>
      </c>
      <c r="AZ382" t="s">
        <v>111</v>
      </c>
      <c r="BA382" t="s">
        <v>111</v>
      </c>
      <c r="BB382" t="s">
        <v>111</v>
      </c>
      <c r="BC382" t="s">
        <v>111</v>
      </c>
      <c r="BD382" t="s">
        <v>111</v>
      </c>
      <c r="BE382" t="s">
        <v>111</v>
      </c>
      <c r="BF382" t="s">
        <v>111</v>
      </c>
      <c r="BG382" t="s">
        <v>111</v>
      </c>
      <c r="BH382" t="s">
        <v>111</v>
      </c>
      <c r="BI382" t="s">
        <v>111</v>
      </c>
      <c r="BJ382" t="s">
        <v>111</v>
      </c>
      <c r="BK382" t="s">
        <v>111</v>
      </c>
      <c r="BL382" t="s">
        <v>111</v>
      </c>
      <c r="BM382" t="s">
        <v>111</v>
      </c>
      <c r="BN382" t="s">
        <v>111</v>
      </c>
      <c r="BO382" t="s">
        <v>111</v>
      </c>
      <c r="BP382" t="s">
        <v>111</v>
      </c>
      <c r="BQ382" t="s">
        <v>111</v>
      </c>
      <c r="BR382" t="s">
        <v>111</v>
      </c>
      <c r="BS382" t="s">
        <v>111</v>
      </c>
      <c r="BT382" t="s">
        <v>111</v>
      </c>
      <c r="BU382" t="s">
        <v>111</v>
      </c>
      <c r="BV382" t="s">
        <v>111</v>
      </c>
      <c r="BW382" t="s">
        <v>111</v>
      </c>
      <c r="BX382" t="s">
        <v>111</v>
      </c>
      <c r="BY382" t="s">
        <v>111</v>
      </c>
      <c r="BZ382" t="s">
        <v>111</v>
      </c>
      <c r="CA382" t="s">
        <v>111</v>
      </c>
      <c r="CB382" t="s">
        <v>111</v>
      </c>
      <c r="CC382" t="s">
        <v>111</v>
      </c>
      <c r="CD382" t="s">
        <v>111</v>
      </c>
      <c r="CE382" t="s">
        <v>111</v>
      </c>
      <c r="CF382" t="s">
        <v>111</v>
      </c>
      <c r="CG382" t="s">
        <v>111</v>
      </c>
      <c r="CH382" t="s">
        <v>111</v>
      </c>
      <c r="CI382" t="s">
        <v>111</v>
      </c>
      <c r="CJ382" t="s">
        <v>111</v>
      </c>
      <c r="CK382" t="s">
        <v>111</v>
      </c>
      <c r="CL382" t="s">
        <v>111</v>
      </c>
      <c r="CM382" t="s">
        <v>135</v>
      </c>
      <c r="CN382" t="s">
        <v>128</v>
      </c>
      <c r="CO382" t="s">
        <v>111</v>
      </c>
      <c r="CP382" t="s">
        <v>111</v>
      </c>
      <c r="CQ382">
        <v>30</v>
      </c>
      <c r="CR382">
        <v>500</v>
      </c>
      <c r="CS382">
        <v>50</v>
      </c>
      <c r="CT382" t="e">
        <f>-OJO BUEN SELLE</f>
        <v>#NAME?</v>
      </c>
      <c r="CU382">
        <v>0</v>
      </c>
      <c r="CV382" t="s">
        <v>111</v>
      </c>
      <c r="CW382" t="s">
        <v>111</v>
      </c>
      <c r="CX382" t="s">
        <v>111</v>
      </c>
      <c r="CY382">
        <v>0</v>
      </c>
      <c r="CZ382" t="s">
        <v>111</v>
      </c>
      <c r="DA382" t="s">
        <v>111</v>
      </c>
      <c r="DB382" t="s">
        <v>111</v>
      </c>
      <c r="DC382" t="s">
        <v>111</v>
      </c>
    </row>
    <row r="383" spans="1:107">
      <c r="A383">
        <v>799</v>
      </c>
      <c r="B383" t="s">
        <v>107</v>
      </c>
      <c r="C383" t="s">
        <v>1457</v>
      </c>
      <c r="D383" t="s">
        <v>1458</v>
      </c>
      <c r="E383" t="s">
        <v>1459</v>
      </c>
      <c r="F383" t="s">
        <v>192</v>
      </c>
      <c r="G383" t="s">
        <v>469</v>
      </c>
      <c r="H383">
        <v>2.9</v>
      </c>
      <c r="I383">
        <v>45</v>
      </c>
      <c r="J383">
        <v>12.5</v>
      </c>
      <c r="K383">
        <v>12.5</v>
      </c>
      <c r="L383" t="s">
        <v>112</v>
      </c>
      <c r="M383" t="s">
        <v>118</v>
      </c>
      <c r="N383">
        <v>36</v>
      </c>
      <c r="O383">
        <v>2</v>
      </c>
      <c r="P383" t="s">
        <v>138</v>
      </c>
      <c r="Q383">
        <v>43.5</v>
      </c>
      <c r="R383">
        <v>0</v>
      </c>
      <c r="S383">
        <v>0</v>
      </c>
      <c r="T383">
        <v>5</v>
      </c>
      <c r="U383" s="1" t="s">
        <v>1460</v>
      </c>
      <c r="V383">
        <v>0</v>
      </c>
      <c r="W383">
        <v>25</v>
      </c>
      <c r="X383">
        <v>10</v>
      </c>
      <c r="Y383">
        <v>0</v>
      </c>
      <c r="Z383" t="s">
        <v>111</v>
      </c>
      <c r="AA383">
        <v>0</v>
      </c>
      <c r="AB383" t="s">
        <v>940</v>
      </c>
      <c r="AC383">
        <v>10</v>
      </c>
      <c r="AD383" t="s">
        <v>111</v>
      </c>
      <c r="AE383">
        <v>0</v>
      </c>
      <c r="AF383">
        <v>0</v>
      </c>
      <c r="AG383" t="s">
        <v>111</v>
      </c>
      <c r="AH383" t="s">
        <v>111</v>
      </c>
      <c r="AI383" t="s">
        <v>111</v>
      </c>
      <c r="AJ383" t="s">
        <v>111</v>
      </c>
      <c r="AK383" t="s">
        <v>111</v>
      </c>
      <c r="AL383" t="s">
        <v>111</v>
      </c>
      <c r="AM383">
        <v>0</v>
      </c>
      <c r="AN383">
        <v>0</v>
      </c>
      <c r="AO383">
        <v>0</v>
      </c>
      <c r="AP383" t="s">
        <v>111</v>
      </c>
      <c r="AQ383" t="s">
        <v>111</v>
      </c>
      <c r="AR383" t="s">
        <v>111</v>
      </c>
      <c r="AS383" t="s">
        <v>111</v>
      </c>
      <c r="AT383" t="s">
        <v>111</v>
      </c>
      <c r="AU383" t="s">
        <v>111</v>
      </c>
      <c r="AV383" t="s">
        <v>111</v>
      </c>
      <c r="AW383" t="s">
        <v>111</v>
      </c>
      <c r="AX383" t="s">
        <v>111</v>
      </c>
      <c r="AY383" t="s">
        <v>111</v>
      </c>
      <c r="AZ383" t="s">
        <v>111</v>
      </c>
      <c r="BA383" t="s">
        <v>111</v>
      </c>
      <c r="BB383" t="s">
        <v>111</v>
      </c>
      <c r="BC383" t="s">
        <v>111</v>
      </c>
      <c r="BD383" t="s">
        <v>111</v>
      </c>
      <c r="BE383" t="s">
        <v>111</v>
      </c>
      <c r="BF383" t="s">
        <v>111</v>
      </c>
      <c r="BG383" t="s">
        <v>111</v>
      </c>
      <c r="BH383" t="s">
        <v>111</v>
      </c>
      <c r="BI383" t="s">
        <v>111</v>
      </c>
      <c r="BJ383" t="s">
        <v>111</v>
      </c>
      <c r="BK383" t="s">
        <v>111</v>
      </c>
      <c r="BL383" t="s">
        <v>111</v>
      </c>
      <c r="BM383" t="s">
        <v>111</v>
      </c>
      <c r="BN383" t="s">
        <v>111</v>
      </c>
      <c r="BO383" t="s">
        <v>111</v>
      </c>
      <c r="BP383" t="s">
        <v>111</v>
      </c>
      <c r="BQ383" t="s">
        <v>111</v>
      </c>
      <c r="BR383" t="s">
        <v>111</v>
      </c>
      <c r="BS383" t="s">
        <v>111</v>
      </c>
      <c r="BT383" t="s">
        <v>111</v>
      </c>
      <c r="BU383" t="s">
        <v>111</v>
      </c>
      <c r="BV383" t="s">
        <v>111</v>
      </c>
      <c r="BW383" t="s">
        <v>111</v>
      </c>
      <c r="BX383" t="s">
        <v>111</v>
      </c>
      <c r="BY383" t="s">
        <v>111</v>
      </c>
      <c r="BZ383" t="s">
        <v>111</v>
      </c>
      <c r="CA383" t="s">
        <v>111</v>
      </c>
      <c r="CB383" t="s">
        <v>111</v>
      </c>
      <c r="CC383" t="s">
        <v>111</v>
      </c>
      <c r="CD383" t="s">
        <v>111</v>
      </c>
      <c r="CE383" t="s">
        <v>111</v>
      </c>
      <c r="CF383" t="s">
        <v>111</v>
      </c>
      <c r="CG383" t="s">
        <v>111</v>
      </c>
      <c r="CH383" t="s">
        <v>111</v>
      </c>
      <c r="CI383" t="s">
        <v>111</v>
      </c>
      <c r="CJ383" t="s">
        <v>111</v>
      </c>
      <c r="CK383" t="s">
        <v>111</v>
      </c>
      <c r="CL383" t="s">
        <v>111</v>
      </c>
      <c r="CM383" t="s">
        <v>135</v>
      </c>
      <c r="CN383" t="s">
        <v>128</v>
      </c>
      <c r="CO383" t="s">
        <v>111</v>
      </c>
      <c r="CP383" t="s">
        <v>111</v>
      </c>
      <c r="CQ383">
        <v>28</v>
      </c>
      <c r="CR383">
        <v>300</v>
      </c>
      <c r="CS383">
        <v>25</v>
      </c>
      <c r="CT383" s="1" t="s">
        <v>1461</v>
      </c>
      <c r="CU383">
        <v>0</v>
      </c>
      <c r="CV383" t="s">
        <v>111</v>
      </c>
      <c r="CW383" t="s">
        <v>111</v>
      </c>
      <c r="CX383" t="s">
        <v>111</v>
      </c>
      <c r="CY383">
        <v>0</v>
      </c>
      <c r="CZ383" t="s">
        <v>111</v>
      </c>
      <c r="DA383" t="s">
        <v>111</v>
      </c>
      <c r="DB383" t="s">
        <v>111</v>
      </c>
      <c r="DC383" t="s">
        <v>111</v>
      </c>
    </row>
    <row r="384" spans="1:107">
      <c r="A384">
        <v>798</v>
      </c>
      <c r="B384" t="s">
        <v>107</v>
      </c>
      <c r="C384" t="s">
        <v>638</v>
      </c>
      <c r="D384" t="s">
        <v>1462</v>
      </c>
      <c r="E384" t="s">
        <v>1463</v>
      </c>
      <c r="F384" t="s">
        <v>192</v>
      </c>
      <c r="G384" t="s">
        <v>469</v>
      </c>
      <c r="H384">
        <v>2</v>
      </c>
      <c r="I384">
        <v>40</v>
      </c>
      <c r="J384">
        <v>0</v>
      </c>
      <c r="K384">
        <v>0</v>
      </c>
      <c r="L384" t="s">
        <v>112</v>
      </c>
      <c r="M384" t="s">
        <v>138</v>
      </c>
      <c r="N384">
        <v>0</v>
      </c>
      <c r="O384">
        <v>0</v>
      </c>
      <c r="P384" t="s">
        <v>138</v>
      </c>
      <c r="Q384">
        <v>20</v>
      </c>
      <c r="R384">
        <v>0</v>
      </c>
      <c r="S384">
        <v>0</v>
      </c>
      <c r="T384">
        <v>5</v>
      </c>
      <c r="U384" t="e">
        <f>-DESTINO SELLADO</f>
        <v>#NAME?</v>
      </c>
      <c r="V384">
        <v>0</v>
      </c>
      <c r="W384">
        <v>25</v>
      </c>
      <c r="X384">
        <v>8</v>
      </c>
      <c r="Y384">
        <v>0</v>
      </c>
      <c r="Z384" t="s">
        <v>111</v>
      </c>
      <c r="AA384">
        <v>0</v>
      </c>
      <c r="AB384" t="s">
        <v>111</v>
      </c>
      <c r="AC384">
        <v>0</v>
      </c>
      <c r="AD384" t="s">
        <v>111</v>
      </c>
      <c r="AE384">
        <v>0</v>
      </c>
      <c r="AF384">
        <v>0</v>
      </c>
      <c r="AG384" t="s">
        <v>111</v>
      </c>
      <c r="AH384" t="s">
        <v>111</v>
      </c>
      <c r="AI384" t="s">
        <v>111</v>
      </c>
      <c r="AJ384" t="s">
        <v>111</v>
      </c>
      <c r="AK384" t="s">
        <v>111</v>
      </c>
      <c r="AL384" t="s">
        <v>111</v>
      </c>
      <c r="AM384">
        <v>0</v>
      </c>
      <c r="AN384">
        <v>0</v>
      </c>
      <c r="AO384">
        <v>0</v>
      </c>
      <c r="AP384" t="s">
        <v>111</v>
      </c>
      <c r="AQ384" t="s">
        <v>111</v>
      </c>
      <c r="AR384" t="s">
        <v>111</v>
      </c>
      <c r="AS384" t="s">
        <v>111</v>
      </c>
      <c r="AT384" t="s">
        <v>111</v>
      </c>
      <c r="AU384" t="s">
        <v>111</v>
      </c>
      <c r="AV384" t="s">
        <v>111</v>
      </c>
      <c r="AW384" t="s">
        <v>111</v>
      </c>
      <c r="AX384" t="s">
        <v>111</v>
      </c>
      <c r="AY384" t="s">
        <v>111</v>
      </c>
      <c r="AZ384" t="s">
        <v>111</v>
      </c>
      <c r="BA384" t="s">
        <v>111</v>
      </c>
      <c r="BB384" t="s">
        <v>111</v>
      </c>
      <c r="BC384" t="s">
        <v>111</v>
      </c>
      <c r="BD384" t="s">
        <v>111</v>
      </c>
      <c r="BE384" t="s">
        <v>111</v>
      </c>
      <c r="BF384" t="s">
        <v>111</v>
      </c>
      <c r="BG384" t="s">
        <v>111</v>
      </c>
      <c r="BH384" t="s">
        <v>111</v>
      </c>
      <c r="BI384" t="s">
        <v>111</v>
      </c>
      <c r="BJ384" t="s">
        <v>111</v>
      </c>
      <c r="BK384" t="s">
        <v>111</v>
      </c>
      <c r="BL384" t="s">
        <v>111</v>
      </c>
      <c r="BM384" t="s">
        <v>111</v>
      </c>
      <c r="BN384" t="s">
        <v>111</v>
      </c>
      <c r="BO384" t="s">
        <v>111</v>
      </c>
      <c r="BP384" t="s">
        <v>111</v>
      </c>
      <c r="BQ384" t="s">
        <v>111</v>
      </c>
      <c r="BR384" t="s">
        <v>111</v>
      </c>
      <c r="BS384" t="s">
        <v>111</v>
      </c>
      <c r="BT384" t="s">
        <v>111</v>
      </c>
      <c r="BU384" t="s">
        <v>111</v>
      </c>
      <c r="BV384" t="s">
        <v>111</v>
      </c>
      <c r="BW384" t="s">
        <v>111</v>
      </c>
      <c r="BX384" t="s">
        <v>111</v>
      </c>
      <c r="BY384" t="s">
        <v>111</v>
      </c>
      <c r="BZ384" t="s">
        <v>111</v>
      </c>
      <c r="CA384" t="s">
        <v>111</v>
      </c>
      <c r="CB384" t="s">
        <v>111</v>
      </c>
      <c r="CC384" t="s">
        <v>111</v>
      </c>
      <c r="CD384" t="s">
        <v>111</v>
      </c>
      <c r="CE384" t="s">
        <v>111</v>
      </c>
      <c r="CF384" t="s">
        <v>111</v>
      </c>
      <c r="CG384" t="s">
        <v>111</v>
      </c>
      <c r="CH384" t="s">
        <v>111</v>
      </c>
      <c r="CI384" t="s">
        <v>111</v>
      </c>
      <c r="CJ384" t="s">
        <v>111</v>
      </c>
      <c r="CK384" t="s">
        <v>111</v>
      </c>
      <c r="CL384" t="s">
        <v>111</v>
      </c>
      <c r="CM384" t="s">
        <v>360</v>
      </c>
      <c r="CN384" t="s">
        <v>113</v>
      </c>
      <c r="CO384" t="s">
        <v>111</v>
      </c>
      <c r="CP384" t="s">
        <v>111</v>
      </c>
      <c r="CQ384">
        <v>0</v>
      </c>
      <c r="CR384">
        <v>1700</v>
      </c>
      <c r="CS384">
        <v>100</v>
      </c>
      <c r="CT384" t="s">
        <v>394</v>
      </c>
      <c r="CU384">
        <v>0</v>
      </c>
      <c r="CV384" t="s">
        <v>111</v>
      </c>
      <c r="CW384" t="s">
        <v>111</v>
      </c>
      <c r="CX384" t="s">
        <v>111</v>
      </c>
      <c r="CY384">
        <v>0</v>
      </c>
      <c r="CZ384" t="s">
        <v>111</v>
      </c>
      <c r="DA384" t="s">
        <v>111</v>
      </c>
      <c r="DB384" t="s">
        <v>111</v>
      </c>
      <c r="DC384" t="s">
        <v>111</v>
      </c>
    </row>
    <row r="385" spans="1:107">
      <c r="A385">
        <v>792</v>
      </c>
      <c r="B385" t="s">
        <v>107</v>
      </c>
      <c r="C385" t="s">
        <v>928</v>
      </c>
      <c r="D385" t="s">
        <v>1464</v>
      </c>
      <c r="E385" t="s">
        <v>1465</v>
      </c>
      <c r="F385" t="s">
        <v>431</v>
      </c>
      <c r="G385" t="s">
        <v>469</v>
      </c>
      <c r="H385">
        <v>1</v>
      </c>
      <c r="I385">
        <v>88</v>
      </c>
      <c r="J385">
        <v>0</v>
      </c>
      <c r="K385">
        <v>0</v>
      </c>
      <c r="L385" t="s">
        <v>112</v>
      </c>
      <c r="M385" t="s">
        <v>118</v>
      </c>
      <c r="N385">
        <v>40</v>
      </c>
      <c r="O385">
        <v>1</v>
      </c>
      <c r="P385" t="s">
        <v>118</v>
      </c>
      <c r="Q385">
        <v>40</v>
      </c>
      <c r="R385">
        <v>0</v>
      </c>
      <c r="S385">
        <v>0</v>
      </c>
      <c r="T385">
        <v>8</v>
      </c>
      <c r="U385" s="1" t="s">
        <v>1466</v>
      </c>
      <c r="V385">
        <v>0</v>
      </c>
      <c r="W385">
        <v>25</v>
      </c>
      <c r="X385">
        <v>6</v>
      </c>
      <c r="Y385">
        <v>0</v>
      </c>
      <c r="Z385" t="s">
        <v>111</v>
      </c>
      <c r="AA385">
        <v>0</v>
      </c>
      <c r="AB385" t="s">
        <v>111</v>
      </c>
      <c r="AC385">
        <v>0</v>
      </c>
      <c r="AD385" t="s">
        <v>416</v>
      </c>
      <c r="AE385">
        <v>1</v>
      </c>
      <c r="AF385">
        <v>1</v>
      </c>
      <c r="AG385">
        <v>26</v>
      </c>
      <c r="AH385" t="s">
        <v>113</v>
      </c>
      <c r="AI385">
        <v>52</v>
      </c>
      <c r="AJ385" t="s">
        <v>111</v>
      </c>
      <c r="AK385" t="s">
        <v>111</v>
      </c>
      <c r="AL385" t="s">
        <v>111</v>
      </c>
      <c r="AM385">
        <v>0</v>
      </c>
      <c r="AN385">
        <v>0</v>
      </c>
      <c r="AO385">
        <v>0</v>
      </c>
      <c r="AP385" t="s">
        <v>188</v>
      </c>
      <c r="AQ385" t="s">
        <v>111</v>
      </c>
      <c r="AR385" t="s">
        <v>111</v>
      </c>
      <c r="AS385" t="s">
        <v>111</v>
      </c>
      <c r="AT385" t="s">
        <v>111</v>
      </c>
      <c r="AU385" t="s">
        <v>111</v>
      </c>
      <c r="AV385" t="s">
        <v>111</v>
      </c>
      <c r="AW385" t="s">
        <v>111</v>
      </c>
      <c r="AX385" t="s">
        <v>111</v>
      </c>
      <c r="AY385" t="s">
        <v>111</v>
      </c>
      <c r="AZ385" t="s">
        <v>111</v>
      </c>
      <c r="BA385" t="s">
        <v>111</v>
      </c>
      <c r="BB385" t="s">
        <v>111</v>
      </c>
      <c r="BC385" t="s">
        <v>111</v>
      </c>
      <c r="BD385" t="s">
        <v>111</v>
      </c>
      <c r="BE385" t="s">
        <v>111</v>
      </c>
      <c r="BF385" t="s">
        <v>111</v>
      </c>
      <c r="BG385" t="s">
        <v>111</v>
      </c>
      <c r="BH385" t="s">
        <v>111</v>
      </c>
      <c r="BI385" t="s">
        <v>111</v>
      </c>
      <c r="BJ385" t="s">
        <v>111</v>
      </c>
      <c r="BK385" t="s">
        <v>111</v>
      </c>
      <c r="BL385" t="s">
        <v>111</v>
      </c>
      <c r="BM385" t="s">
        <v>111</v>
      </c>
      <c r="BN385" t="s">
        <v>111</v>
      </c>
      <c r="BO385" t="s">
        <v>111</v>
      </c>
      <c r="BP385" t="s">
        <v>111</v>
      </c>
      <c r="BQ385" t="s">
        <v>111</v>
      </c>
      <c r="BR385" t="s">
        <v>111</v>
      </c>
      <c r="BS385" t="s">
        <v>111</v>
      </c>
      <c r="BT385" t="s">
        <v>111</v>
      </c>
      <c r="BU385" t="s">
        <v>111</v>
      </c>
      <c r="BV385" t="s">
        <v>111</v>
      </c>
      <c r="BW385" t="s">
        <v>111</v>
      </c>
      <c r="BX385" t="s">
        <v>111</v>
      </c>
      <c r="BY385" t="s">
        <v>111</v>
      </c>
      <c r="BZ385" t="s">
        <v>111</v>
      </c>
      <c r="CA385" t="s">
        <v>111</v>
      </c>
      <c r="CB385" t="s">
        <v>111</v>
      </c>
      <c r="CC385" t="s">
        <v>111</v>
      </c>
      <c r="CD385" t="s">
        <v>111</v>
      </c>
      <c r="CE385" t="s">
        <v>111</v>
      </c>
      <c r="CF385" t="s">
        <v>111</v>
      </c>
      <c r="CG385" t="s">
        <v>111</v>
      </c>
      <c r="CH385" t="s">
        <v>111</v>
      </c>
      <c r="CI385" t="s">
        <v>111</v>
      </c>
      <c r="CJ385" t="s">
        <v>111</v>
      </c>
      <c r="CK385" t="s">
        <v>111</v>
      </c>
      <c r="CL385" t="e">
        <f>-DESTINO SELLADO</f>
        <v>#NAME?</v>
      </c>
      <c r="CM385" t="s">
        <v>438</v>
      </c>
      <c r="CN385" t="s">
        <v>113</v>
      </c>
      <c r="CO385" t="s">
        <v>637</v>
      </c>
      <c r="CP385" t="s">
        <v>433</v>
      </c>
      <c r="CQ385">
        <v>108</v>
      </c>
      <c r="CR385">
        <v>4000</v>
      </c>
      <c r="CS385">
        <v>100</v>
      </c>
      <c r="CT385" s="1" t="s">
        <v>1467</v>
      </c>
      <c r="CU385">
        <v>0</v>
      </c>
      <c r="CV385" t="s">
        <v>111</v>
      </c>
      <c r="CW385" t="s">
        <v>111</v>
      </c>
      <c r="CX385" t="s">
        <v>111</v>
      </c>
      <c r="CY385">
        <v>0</v>
      </c>
      <c r="CZ385" t="s">
        <v>111</v>
      </c>
      <c r="DA385" t="s">
        <v>111</v>
      </c>
      <c r="DB385" t="s">
        <v>111</v>
      </c>
      <c r="DC385" t="s">
        <v>111</v>
      </c>
    </row>
    <row r="386" spans="1:107">
      <c r="A386">
        <v>790</v>
      </c>
      <c r="B386" t="s">
        <v>107</v>
      </c>
      <c r="C386" t="s">
        <v>428</v>
      </c>
      <c r="D386" t="s">
        <v>1468</v>
      </c>
      <c r="E386" t="s">
        <v>1469</v>
      </c>
      <c r="F386" t="s">
        <v>431</v>
      </c>
      <c r="G386" t="s">
        <v>469</v>
      </c>
      <c r="H386">
        <v>1.25</v>
      </c>
      <c r="I386">
        <v>60</v>
      </c>
      <c r="J386">
        <v>0</v>
      </c>
      <c r="K386">
        <v>0</v>
      </c>
      <c r="L386" t="s">
        <v>112</v>
      </c>
      <c r="M386" t="s">
        <v>118</v>
      </c>
      <c r="N386">
        <v>40</v>
      </c>
      <c r="O386">
        <v>1</v>
      </c>
      <c r="P386" t="s">
        <v>138</v>
      </c>
      <c r="Q386">
        <v>33</v>
      </c>
      <c r="R386">
        <v>0</v>
      </c>
      <c r="S386">
        <v>0</v>
      </c>
      <c r="T386">
        <v>3</v>
      </c>
      <c r="U386" s="1" t="s">
        <v>1470</v>
      </c>
      <c r="V386">
        <v>0</v>
      </c>
      <c r="W386">
        <v>25</v>
      </c>
      <c r="X386">
        <v>8</v>
      </c>
      <c r="Y386">
        <v>0</v>
      </c>
      <c r="Z386" t="s">
        <v>111</v>
      </c>
      <c r="AA386">
        <v>0</v>
      </c>
      <c r="AB386" t="s">
        <v>111</v>
      </c>
      <c r="AC386">
        <v>0</v>
      </c>
      <c r="AD386" t="s">
        <v>416</v>
      </c>
      <c r="AE386">
        <v>1</v>
      </c>
      <c r="AF386">
        <v>1</v>
      </c>
      <c r="AG386">
        <v>60</v>
      </c>
      <c r="AH386" t="s">
        <v>113</v>
      </c>
      <c r="AI386">
        <v>30</v>
      </c>
      <c r="AJ386" t="s">
        <v>111</v>
      </c>
      <c r="AK386" t="s">
        <v>111</v>
      </c>
      <c r="AL386" t="s">
        <v>111</v>
      </c>
      <c r="AM386">
        <v>0</v>
      </c>
      <c r="AN386">
        <v>0</v>
      </c>
      <c r="AO386">
        <v>0</v>
      </c>
      <c r="AP386" t="s">
        <v>259</v>
      </c>
      <c r="AQ386" t="s">
        <v>111</v>
      </c>
      <c r="AR386" t="s">
        <v>111</v>
      </c>
      <c r="AS386" t="s">
        <v>111</v>
      </c>
      <c r="AT386" t="s">
        <v>111</v>
      </c>
      <c r="AU386" t="s">
        <v>111</v>
      </c>
      <c r="AV386" t="s">
        <v>111</v>
      </c>
      <c r="AW386" t="s">
        <v>111</v>
      </c>
      <c r="AX386" t="s">
        <v>111</v>
      </c>
      <c r="AY386" t="s">
        <v>111</v>
      </c>
      <c r="AZ386" t="s">
        <v>111</v>
      </c>
      <c r="BA386" t="s">
        <v>111</v>
      </c>
      <c r="BB386" t="s">
        <v>111</v>
      </c>
      <c r="BC386" t="s">
        <v>111</v>
      </c>
      <c r="BD386" t="s">
        <v>111</v>
      </c>
      <c r="BE386" t="s">
        <v>111</v>
      </c>
      <c r="BF386" t="s">
        <v>111</v>
      </c>
      <c r="BG386" t="s">
        <v>111</v>
      </c>
      <c r="BH386" t="s">
        <v>111</v>
      </c>
      <c r="BI386" t="s">
        <v>111</v>
      </c>
      <c r="BJ386" t="s">
        <v>111</v>
      </c>
      <c r="BK386" t="s">
        <v>111</v>
      </c>
      <c r="BL386" t="s">
        <v>111</v>
      </c>
      <c r="BM386" t="s">
        <v>111</v>
      </c>
      <c r="BN386" t="s">
        <v>111</v>
      </c>
      <c r="BO386" t="s">
        <v>111</v>
      </c>
      <c r="BP386" t="s">
        <v>111</v>
      </c>
      <c r="BQ386" t="s">
        <v>111</v>
      </c>
      <c r="BR386" t="s">
        <v>111</v>
      </c>
      <c r="BS386" t="s">
        <v>111</v>
      </c>
      <c r="BT386" t="s">
        <v>111</v>
      </c>
      <c r="BU386" t="s">
        <v>111</v>
      </c>
      <c r="BV386" t="s">
        <v>111</v>
      </c>
      <c r="BW386" t="s">
        <v>111</v>
      </c>
      <c r="BX386" t="s">
        <v>111</v>
      </c>
      <c r="BY386" t="s">
        <v>111</v>
      </c>
      <c r="BZ386" t="s">
        <v>111</v>
      </c>
      <c r="CA386" t="s">
        <v>111</v>
      </c>
      <c r="CB386" t="s">
        <v>111</v>
      </c>
      <c r="CC386" t="s">
        <v>111</v>
      </c>
      <c r="CD386" t="s">
        <v>111</v>
      </c>
      <c r="CE386" t="s">
        <v>111</v>
      </c>
      <c r="CF386" t="s">
        <v>111</v>
      </c>
      <c r="CG386" t="s">
        <v>111</v>
      </c>
      <c r="CH386" t="s">
        <v>111</v>
      </c>
      <c r="CI386" t="s">
        <v>111</v>
      </c>
      <c r="CJ386" t="s">
        <v>111</v>
      </c>
      <c r="CK386" t="s">
        <v>111</v>
      </c>
      <c r="CL386" t="e">
        <f>-DESTINO :SELLADO</f>
        <v>#NAME?</v>
      </c>
      <c r="CM386" t="s">
        <v>198</v>
      </c>
      <c r="CN386" t="s">
        <v>113</v>
      </c>
      <c r="CO386" t="s">
        <v>111</v>
      </c>
      <c r="CP386" t="s">
        <v>433</v>
      </c>
      <c r="CQ386">
        <v>50</v>
      </c>
      <c r="CR386">
        <v>1500</v>
      </c>
      <c r="CS386">
        <v>100</v>
      </c>
      <c r="CT386" s="1" t="s">
        <v>1471</v>
      </c>
      <c r="CU386">
        <v>0</v>
      </c>
      <c r="CV386" t="s">
        <v>111</v>
      </c>
      <c r="CW386" t="s">
        <v>111</v>
      </c>
      <c r="CX386" t="s">
        <v>111</v>
      </c>
      <c r="CY386">
        <v>0</v>
      </c>
      <c r="CZ386" t="s">
        <v>111</v>
      </c>
      <c r="DA386" t="s">
        <v>111</v>
      </c>
      <c r="DB386" t="s">
        <v>111</v>
      </c>
      <c r="DC386" t="s">
        <v>111</v>
      </c>
    </row>
    <row r="387" spans="1:107">
      <c r="A387">
        <v>789</v>
      </c>
      <c r="B387" t="s">
        <v>107</v>
      </c>
      <c r="C387" t="s">
        <v>827</v>
      </c>
      <c r="D387" t="s">
        <v>1472</v>
      </c>
      <c r="E387" t="s">
        <v>1473</v>
      </c>
      <c r="F387" t="s">
        <v>125</v>
      </c>
      <c r="G387" t="s">
        <v>469</v>
      </c>
      <c r="H387">
        <v>6.2E-2</v>
      </c>
      <c r="I387">
        <v>45</v>
      </c>
      <c r="J387">
        <v>0</v>
      </c>
      <c r="K387">
        <v>0</v>
      </c>
      <c r="L387" t="s">
        <v>112</v>
      </c>
      <c r="M387" t="s">
        <v>138</v>
      </c>
      <c r="N387">
        <v>0</v>
      </c>
      <c r="O387">
        <v>0</v>
      </c>
      <c r="P387" t="s">
        <v>138</v>
      </c>
      <c r="Q387">
        <v>34</v>
      </c>
      <c r="R387">
        <v>0</v>
      </c>
      <c r="S387">
        <v>0</v>
      </c>
      <c r="T387">
        <v>0</v>
      </c>
      <c r="U387" s="1" t="s">
        <v>1474</v>
      </c>
      <c r="V387">
        <v>25</v>
      </c>
      <c r="W387">
        <v>0</v>
      </c>
      <c r="X387">
        <v>8</v>
      </c>
      <c r="Y387">
        <v>0</v>
      </c>
      <c r="Z387" t="s">
        <v>111</v>
      </c>
      <c r="AA387">
        <v>0</v>
      </c>
      <c r="AB387" t="s">
        <v>111</v>
      </c>
      <c r="AC387">
        <v>0</v>
      </c>
      <c r="AD387" t="s">
        <v>111</v>
      </c>
      <c r="AE387">
        <v>0</v>
      </c>
      <c r="AF387">
        <v>0</v>
      </c>
      <c r="AG387" t="s">
        <v>111</v>
      </c>
      <c r="AH387" t="s">
        <v>111</v>
      </c>
      <c r="AI387" t="s">
        <v>111</v>
      </c>
      <c r="AJ387" t="s">
        <v>111</v>
      </c>
      <c r="AK387" t="s">
        <v>111</v>
      </c>
      <c r="AL387" t="s">
        <v>111</v>
      </c>
      <c r="AM387">
        <v>0</v>
      </c>
      <c r="AN387">
        <v>0</v>
      </c>
      <c r="AO387">
        <v>0</v>
      </c>
      <c r="AP387" t="s">
        <v>111</v>
      </c>
      <c r="AQ387" t="s">
        <v>111</v>
      </c>
      <c r="AR387" t="s">
        <v>111</v>
      </c>
      <c r="AS387" t="s">
        <v>111</v>
      </c>
      <c r="AT387" t="s">
        <v>111</v>
      </c>
      <c r="AU387" t="s">
        <v>111</v>
      </c>
      <c r="AV387" t="s">
        <v>111</v>
      </c>
      <c r="AW387" t="s">
        <v>111</v>
      </c>
      <c r="AX387" t="s">
        <v>111</v>
      </c>
      <c r="AY387" t="s">
        <v>111</v>
      </c>
      <c r="AZ387" t="s">
        <v>111</v>
      </c>
      <c r="BA387" t="s">
        <v>111</v>
      </c>
      <c r="BB387" t="s">
        <v>111</v>
      </c>
      <c r="BC387" t="s">
        <v>111</v>
      </c>
      <c r="BD387" t="s">
        <v>111</v>
      </c>
      <c r="BE387" t="s">
        <v>111</v>
      </c>
      <c r="BF387" t="s">
        <v>111</v>
      </c>
      <c r="BG387" t="s">
        <v>111</v>
      </c>
      <c r="BH387" t="s">
        <v>111</v>
      </c>
      <c r="BI387" t="s">
        <v>111</v>
      </c>
      <c r="BJ387" t="s">
        <v>111</v>
      </c>
      <c r="BK387" t="s">
        <v>111</v>
      </c>
      <c r="BL387" t="s">
        <v>111</v>
      </c>
      <c r="BM387" t="s">
        <v>111</v>
      </c>
      <c r="BN387" t="s">
        <v>111</v>
      </c>
      <c r="BO387" t="s">
        <v>111</v>
      </c>
      <c r="BP387" t="s">
        <v>111</v>
      </c>
      <c r="BQ387" t="s">
        <v>111</v>
      </c>
      <c r="BR387" t="s">
        <v>111</v>
      </c>
      <c r="BS387" t="s">
        <v>111</v>
      </c>
      <c r="BT387" t="s">
        <v>111</v>
      </c>
      <c r="BU387" t="s">
        <v>111</v>
      </c>
      <c r="BV387" t="s">
        <v>111</v>
      </c>
      <c r="BW387" t="s">
        <v>111</v>
      </c>
      <c r="BX387" t="s">
        <v>111</v>
      </c>
      <c r="BY387" t="s">
        <v>111</v>
      </c>
      <c r="BZ387" t="s">
        <v>111</v>
      </c>
      <c r="CA387" t="s">
        <v>111</v>
      </c>
      <c r="CB387" t="s">
        <v>111</v>
      </c>
      <c r="CC387" t="s">
        <v>111</v>
      </c>
      <c r="CD387" t="s">
        <v>111</v>
      </c>
      <c r="CE387" t="s">
        <v>111</v>
      </c>
      <c r="CF387" t="s">
        <v>111</v>
      </c>
      <c r="CG387" t="s">
        <v>111</v>
      </c>
      <c r="CH387" t="s">
        <v>111</v>
      </c>
      <c r="CI387" t="s">
        <v>111</v>
      </c>
      <c r="CJ387" t="s">
        <v>111</v>
      </c>
      <c r="CK387" t="s">
        <v>111</v>
      </c>
      <c r="CL387" t="s">
        <v>111</v>
      </c>
      <c r="CM387" t="s">
        <v>127</v>
      </c>
      <c r="CN387" t="s">
        <v>128</v>
      </c>
      <c r="CO387" t="s">
        <v>111</v>
      </c>
      <c r="CP387" t="s">
        <v>111</v>
      </c>
      <c r="CQ387">
        <v>0</v>
      </c>
      <c r="CR387">
        <v>1500</v>
      </c>
      <c r="CS387">
        <v>100</v>
      </c>
      <c r="CT387" s="1" t="s">
        <v>1475</v>
      </c>
      <c r="CU387">
        <v>0</v>
      </c>
      <c r="CV387" t="s">
        <v>111</v>
      </c>
      <c r="CW387" t="s">
        <v>111</v>
      </c>
      <c r="CX387" t="s">
        <v>111</v>
      </c>
      <c r="CY387">
        <v>0</v>
      </c>
      <c r="CZ387" t="s">
        <v>111</v>
      </c>
      <c r="DA387" t="s">
        <v>111</v>
      </c>
      <c r="DB387" t="s">
        <v>111</v>
      </c>
      <c r="DC387" t="s">
        <v>111</v>
      </c>
    </row>
    <row r="388" spans="1:107">
      <c r="A388">
        <v>785</v>
      </c>
      <c r="B388" t="s">
        <v>107</v>
      </c>
      <c r="C388" t="s">
        <v>428</v>
      </c>
      <c r="D388" t="s">
        <v>1476</v>
      </c>
      <c r="E388" t="s">
        <v>1477</v>
      </c>
      <c r="F388" t="s">
        <v>431</v>
      </c>
      <c r="G388" t="s">
        <v>469</v>
      </c>
      <c r="H388">
        <v>1.5</v>
      </c>
      <c r="I388">
        <v>63.5</v>
      </c>
      <c r="J388">
        <v>0</v>
      </c>
      <c r="K388">
        <v>0</v>
      </c>
      <c r="L388" t="s">
        <v>112</v>
      </c>
      <c r="M388" t="s">
        <v>118</v>
      </c>
      <c r="N388">
        <v>40</v>
      </c>
      <c r="O388">
        <v>1</v>
      </c>
      <c r="P388" t="s">
        <v>138</v>
      </c>
      <c r="Q388">
        <v>35</v>
      </c>
      <c r="R388">
        <v>0</v>
      </c>
      <c r="S388">
        <v>0</v>
      </c>
      <c r="T388">
        <v>0</v>
      </c>
      <c r="U388" s="1" t="s">
        <v>1478</v>
      </c>
      <c r="V388">
        <v>0</v>
      </c>
      <c r="W388">
        <v>25</v>
      </c>
      <c r="X388">
        <v>8</v>
      </c>
      <c r="Y388">
        <v>0</v>
      </c>
      <c r="Z388" t="s">
        <v>111</v>
      </c>
      <c r="AA388">
        <v>0</v>
      </c>
      <c r="AB388" t="s">
        <v>111</v>
      </c>
      <c r="AC388">
        <v>0</v>
      </c>
      <c r="AD388" t="s">
        <v>416</v>
      </c>
      <c r="AE388">
        <v>10</v>
      </c>
      <c r="AF388">
        <v>2</v>
      </c>
      <c r="AG388" t="s">
        <v>1479</v>
      </c>
      <c r="AH388" t="s">
        <v>113</v>
      </c>
      <c r="AI388">
        <v>50</v>
      </c>
      <c r="AJ388" t="s">
        <v>111</v>
      </c>
      <c r="AK388" t="s">
        <v>111</v>
      </c>
      <c r="AL388" t="s">
        <v>111</v>
      </c>
      <c r="AM388">
        <v>0</v>
      </c>
      <c r="AN388">
        <v>0</v>
      </c>
      <c r="AO388">
        <v>0</v>
      </c>
      <c r="AP388" t="s">
        <v>259</v>
      </c>
      <c r="AQ388" t="s">
        <v>111</v>
      </c>
      <c r="AR388" t="s">
        <v>111</v>
      </c>
      <c r="AS388" t="s">
        <v>111</v>
      </c>
      <c r="AT388" t="s">
        <v>111</v>
      </c>
      <c r="AU388" t="s">
        <v>111</v>
      </c>
      <c r="AV388" t="s">
        <v>111</v>
      </c>
      <c r="AW388" t="s">
        <v>111</v>
      </c>
      <c r="AX388" t="s">
        <v>111</v>
      </c>
      <c r="AY388" t="s">
        <v>111</v>
      </c>
      <c r="AZ388" t="s">
        <v>111</v>
      </c>
      <c r="BA388" t="s">
        <v>111</v>
      </c>
      <c r="BB388" t="s">
        <v>111</v>
      </c>
      <c r="BC388" t="s">
        <v>111</v>
      </c>
      <c r="BD388" t="s">
        <v>111</v>
      </c>
      <c r="BE388" t="s">
        <v>111</v>
      </c>
      <c r="BF388" t="s">
        <v>111</v>
      </c>
      <c r="BG388" t="s">
        <v>111</v>
      </c>
      <c r="BH388" t="s">
        <v>111</v>
      </c>
      <c r="BI388" t="s">
        <v>111</v>
      </c>
      <c r="BJ388" t="s">
        <v>111</v>
      </c>
      <c r="BK388" t="s">
        <v>111</v>
      </c>
      <c r="BL388" t="s">
        <v>111</v>
      </c>
      <c r="BM388" t="s">
        <v>111</v>
      </c>
      <c r="BN388" t="s">
        <v>259</v>
      </c>
      <c r="BO388" t="s">
        <v>111</v>
      </c>
      <c r="BP388" t="s">
        <v>111</v>
      </c>
      <c r="BQ388" t="s">
        <v>111</v>
      </c>
      <c r="BR388" t="s">
        <v>111</v>
      </c>
      <c r="BS388" t="s">
        <v>111</v>
      </c>
      <c r="BT388" t="s">
        <v>111</v>
      </c>
      <c r="BU388" t="s">
        <v>111</v>
      </c>
      <c r="BV388" t="s">
        <v>111</v>
      </c>
      <c r="BW388" t="s">
        <v>111</v>
      </c>
      <c r="BX388" t="s">
        <v>111</v>
      </c>
      <c r="BY388" t="s">
        <v>111</v>
      </c>
      <c r="BZ388" t="s">
        <v>111</v>
      </c>
      <c r="CA388" t="s">
        <v>111</v>
      </c>
      <c r="CB388" t="s">
        <v>111</v>
      </c>
      <c r="CC388" t="s">
        <v>111</v>
      </c>
      <c r="CD388" t="s">
        <v>111</v>
      </c>
      <c r="CE388" t="s">
        <v>111</v>
      </c>
      <c r="CF388" t="s">
        <v>111</v>
      </c>
      <c r="CG388" t="s">
        <v>111</v>
      </c>
      <c r="CH388" t="s">
        <v>111</v>
      </c>
      <c r="CI388" t="s">
        <v>111</v>
      </c>
      <c r="CJ388" t="s">
        <v>111</v>
      </c>
      <c r="CK388" t="s">
        <v>111</v>
      </c>
      <c r="CL388" t="e">
        <f>-DESTINO SELLADDO</f>
        <v>#NAME?</v>
      </c>
      <c r="CM388" t="s">
        <v>198</v>
      </c>
      <c r="CN388" t="s">
        <v>113</v>
      </c>
      <c r="CO388" t="s">
        <v>111</v>
      </c>
      <c r="CP388" t="s">
        <v>563</v>
      </c>
      <c r="CQ388">
        <v>0</v>
      </c>
      <c r="CR388">
        <v>5000</v>
      </c>
      <c r="CS388">
        <v>200</v>
      </c>
      <c r="CT388" s="1" t="s">
        <v>1480</v>
      </c>
      <c r="CU388">
        <v>0</v>
      </c>
      <c r="CV388" t="s">
        <v>111</v>
      </c>
      <c r="CW388" t="s">
        <v>111</v>
      </c>
      <c r="CX388" t="s">
        <v>111</v>
      </c>
      <c r="CY388">
        <v>0</v>
      </c>
      <c r="CZ388" t="s">
        <v>111</v>
      </c>
      <c r="DA388" t="s">
        <v>111</v>
      </c>
      <c r="DB388" t="s">
        <v>111</v>
      </c>
      <c r="DC388" t="s">
        <v>111</v>
      </c>
    </row>
    <row r="389" spans="1:107">
      <c r="A389">
        <v>743</v>
      </c>
      <c r="B389" t="s">
        <v>107</v>
      </c>
      <c r="C389" t="s">
        <v>1481</v>
      </c>
      <c r="D389" t="s">
        <v>1326</v>
      </c>
      <c r="E389" t="s">
        <v>1327</v>
      </c>
      <c r="F389" t="s">
        <v>125</v>
      </c>
      <c r="G389" t="s">
        <v>469</v>
      </c>
      <c r="H389">
        <v>1.9</v>
      </c>
      <c r="I389">
        <v>68</v>
      </c>
      <c r="J389">
        <v>0</v>
      </c>
      <c r="K389">
        <v>0</v>
      </c>
      <c r="L389" t="s">
        <v>112</v>
      </c>
      <c r="M389" t="s">
        <v>138</v>
      </c>
      <c r="N389">
        <v>0</v>
      </c>
      <c r="O389">
        <v>0</v>
      </c>
      <c r="P389" t="s">
        <v>138</v>
      </c>
      <c r="Q389">
        <v>50</v>
      </c>
      <c r="R389">
        <v>0</v>
      </c>
      <c r="S389">
        <v>0</v>
      </c>
      <c r="T389">
        <v>0</v>
      </c>
      <c r="U389" t="s">
        <v>280</v>
      </c>
      <c r="V389">
        <v>12.5</v>
      </c>
      <c r="W389">
        <v>12.5</v>
      </c>
      <c r="X389">
        <v>0</v>
      </c>
      <c r="Y389">
        <v>0</v>
      </c>
      <c r="Z389" t="s">
        <v>111</v>
      </c>
      <c r="AA389">
        <v>0</v>
      </c>
      <c r="AB389" t="s">
        <v>1482</v>
      </c>
      <c r="AC389">
        <v>25</v>
      </c>
      <c r="AD389" t="s">
        <v>111</v>
      </c>
      <c r="AE389">
        <v>0</v>
      </c>
      <c r="AF389">
        <v>0</v>
      </c>
      <c r="AG389" t="s">
        <v>111</v>
      </c>
      <c r="AH389" t="s">
        <v>111</v>
      </c>
      <c r="AI389" t="s">
        <v>111</v>
      </c>
      <c r="AJ389" t="s">
        <v>111</v>
      </c>
      <c r="AK389" t="s">
        <v>111</v>
      </c>
      <c r="AL389" t="s">
        <v>111</v>
      </c>
      <c r="AM389">
        <v>0</v>
      </c>
      <c r="AN389">
        <v>0</v>
      </c>
      <c r="AO389">
        <v>0</v>
      </c>
      <c r="AP389" t="s">
        <v>111</v>
      </c>
      <c r="AQ389" t="s">
        <v>111</v>
      </c>
      <c r="AR389" t="s">
        <v>111</v>
      </c>
      <c r="AS389" t="s">
        <v>111</v>
      </c>
      <c r="AT389" t="s">
        <v>111</v>
      </c>
      <c r="AU389" t="s">
        <v>111</v>
      </c>
      <c r="AV389" t="s">
        <v>111</v>
      </c>
      <c r="AW389" t="s">
        <v>111</v>
      </c>
      <c r="AX389" t="s">
        <v>111</v>
      </c>
      <c r="AY389" t="s">
        <v>111</v>
      </c>
      <c r="AZ389" t="s">
        <v>111</v>
      </c>
      <c r="BA389" t="s">
        <v>111</v>
      </c>
      <c r="BB389" t="s">
        <v>111</v>
      </c>
      <c r="BC389" t="s">
        <v>111</v>
      </c>
      <c r="BD389" t="s">
        <v>111</v>
      </c>
      <c r="BE389" t="s">
        <v>111</v>
      </c>
      <c r="BF389" t="s">
        <v>111</v>
      </c>
      <c r="BG389" t="s">
        <v>111</v>
      </c>
      <c r="BH389" t="s">
        <v>111</v>
      </c>
      <c r="BI389" t="s">
        <v>111</v>
      </c>
      <c r="BJ389" t="s">
        <v>111</v>
      </c>
      <c r="BK389" t="s">
        <v>111</v>
      </c>
      <c r="BL389" t="s">
        <v>111</v>
      </c>
      <c r="BM389" t="s">
        <v>111</v>
      </c>
      <c r="BN389" t="s">
        <v>111</v>
      </c>
      <c r="BO389" t="s">
        <v>111</v>
      </c>
      <c r="BP389" t="s">
        <v>111</v>
      </c>
      <c r="BQ389" t="s">
        <v>111</v>
      </c>
      <c r="BR389" t="s">
        <v>111</v>
      </c>
      <c r="BS389" t="s">
        <v>111</v>
      </c>
      <c r="BT389" t="s">
        <v>111</v>
      </c>
      <c r="BU389" t="s">
        <v>111</v>
      </c>
      <c r="BV389" t="s">
        <v>111</v>
      </c>
      <c r="BW389" t="s">
        <v>111</v>
      </c>
      <c r="BX389" t="s">
        <v>111</v>
      </c>
      <c r="BY389" t="s">
        <v>111</v>
      </c>
      <c r="BZ389" t="s">
        <v>111</v>
      </c>
      <c r="CA389" t="s">
        <v>111</v>
      </c>
      <c r="CB389" t="s">
        <v>111</v>
      </c>
      <c r="CC389" t="s">
        <v>111</v>
      </c>
      <c r="CD389" t="s">
        <v>111</v>
      </c>
      <c r="CE389" t="s">
        <v>111</v>
      </c>
      <c r="CF389" t="s">
        <v>111</v>
      </c>
      <c r="CG389" t="s">
        <v>111</v>
      </c>
      <c r="CH389" t="s">
        <v>111</v>
      </c>
      <c r="CI389" t="s">
        <v>111</v>
      </c>
      <c r="CJ389" t="s">
        <v>111</v>
      </c>
      <c r="CK389" t="s">
        <v>111</v>
      </c>
      <c r="CL389" t="s">
        <v>111</v>
      </c>
      <c r="CM389" t="s">
        <v>111</v>
      </c>
      <c r="CN389" t="s">
        <v>111</v>
      </c>
      <c r="CO389" t="s">
        <v>111</v>
      </c>
      <c r="CP389" t="s">
        <v>111</v>
      </c>
      <c r="CQ389">
        <v>0</v>
      </c>
      <c r="CR389">
        <v>200</v>
      </c>
      <c r="CS389">
        <v>20</v>
      </c>
      <c r="CT389" t="s">
        <v>111</v>
      </c>
      <c r="CU389">
        <v>0</v>
      </c>
      <c r="CV389" t="s">
        <v>111</v>
      </c>
      <c r="CW389" t="s">
        <v>111</v>
      </c>
      <c r="CX389" t="s">
        <v>111</v>
      </c>
      <c r="CY389">
        <v>0</v>
      </c>
      <c r="CZ389" t="s">
        <v>111</v>
      </c>
      <c r="DA389" t="s">
        <v>111</v>
      </c>
      <c r="DB389" t="s">
        <v>240</v>
      </c>
      <c r="DC389" s="1" t="s">
        <v>306</v>
      </c>
    </row>
    <row r="390" spans="1:107">
      <c r="A390">
        <v>773</v>
      </c>
      <c r="B390" t="s">
        <v>107</v>
      </c>
      <c r="C390" t="s">
        <v>454</v>
      </c>
      <c r="D390" t="s">
        <v>1483</v>
      </c>
      <c r="E390" t="s">
        <v>1484</v>
      </c>
      <c r="F390" t="s">
        <v>192</v>
      </c>
      <c r="G390" t="s">
        <v>469</v>
      </c>
      <c r="H390">
        <v>1</v>
      </c>
      <c r="I390">
        <v>40</v>
      </c>
      <c r="J390">
        <v>0</v>
      </c>
      <c r="K390">
        <v>0</v>
      </c>
      <c r="L390" t="s">
        <v>112</v>
      </c>
      <c r="M390" t="s">
        <v>138</v>
      </c>
      <c r="N390">
        <v>0</v>
      </c>
      <c r="O390">
        <v>0</v>
      </c>
      <c r="P390" t="s">
        <v>138</v>
      </c>
      <c r="Q390">
        <v>40</v>
      </c>
      <c r="R390">
        <v>0</v>
      </c>
      <c r="S390">
        <v>0</v>
      </c>
      <c r="T390">
        <v>5</v>
      </c>
      <c r="U390" t="e">
        <f>-DESTINO SELLADO</f>
        <v>#NAME?</v>
      </c>
      <c r="V390">
        <v>0</v>
      </c>
      <c r="W390">
        <v>25</v>
      </c>
      <c r="X390">
        <v>6</v>
      </c>
      <c r="Y390">
        <v>0</v>
      </c>
      <c r="Z390" t="s">
        <v>111</v>
      </c>
      <c r="AA390">
        <v>0</v>
      </c>
      <c r="AB390" t="s">
        <v>111</v>
      </c>
      <c r="AC390">
        <v>0</v>
      </c>
      <c r="AD390" t="s">
        <v>111</v>
      </c>
      <c r="AE390">
        <v>0</v>
      </c>
      <c r="AF390">
        <v>0</v>
      </c>
      <c r="AG390" t="s">
        <v>111</v>
      </c>
      <c r="AH390" t="s">
        <v>111</v>
      </c>
      <c r="AI390" t="s">
        <v>111</v>
      </c>
      <c r="AJ390" t="s">
        <v>111</v>
      </c>
      <c r="AK390" t="s">
        <v>111</v>
      </c>
      <c r="AL390" t="s">
        <v>111</v>
      </c>
      <c r="AM390">
        <v>0</v>
      </c>
      <c r="AN390">
        <v>0</v>
      </c>
      <c r="AO390">
        <v>0</v>
      </c>
      <c r="AP390" t="s">
        <v>111</v>
      </c>
      <c r="AQ390" t="s">
        <v>111</v>
      </c>
      <c r="AR390" t="s">
        <v>111</v>
      </c>
      <c r="AS390" t="s">
        <v>111</v>
      </c>
      <c r="AT390" t="s">
        <v>111</v>
      </c>
      <c r="AU390" t="s">
        <v>111</v>
      </c>
      <c r="AV390" t="s">
        <v>111</v>
      </c>
      <c r="AW390" t="s">
        <v>111</v>
      </c>
      <c r="AX390" t="s">
        <v>111</v>
      </c>
      <c r="AY390" t="s">
        <v>111</v>
      </c>
      <c r="AZ390" t="s">
        <v>111</v>
      </c>
      <c r="BA390" t="s">
        <v>111</v>
      </c>
      <c r="BB390" t="s">
        <v>111</v>
      </c>
      <c r="BC390" t="s">
        <v>111</v>
      </c>
      <c r="BD390" t="s">
        <v>111</v>
      </c>
      <c r="BE390" t="s">
        <v>111</v>
      </c>
      <c r="BF390" t="s">
        <v>111</v>
      </c>
      <c r="BG390" t="s">
        <v>111</v>
      </c>
      <c r="BH390" t="s">
        <v>111</v>
      </c>
      <c r="BI390" t="s">
        <v>111</v>
      </c>
      <c r="BJ390" t="s">
        <v>111</v>
      </c>
      <c r="BK390" t="s">
        <v>111</v>
      </c>
      <c r="BL390" t="s">
        <v>111</v>
      </c>
      <c r="BM390" t="s">
        <v>111</v>
      </c>
      <c r="BN390" t="s">
        <v>111</v>
      </c>
      <c r="BO390" t="s">
        <v>111</v>
      </c>
      <c r="BP390" t="s">
        <v>111</v>
      </c>
      <c r="BQ390" t="s">
        <v>111</v>
      </c>
      <c r="BR390" t="s">
        <v>111</v>
      </c>
      <c r="BS390" t="s">
        <v>111</v>
      </c>
      <c r="BT390" t="s">
        <v>111</v>
      </c>
      <c r="BU390" t="s">
        <v>111</v>
      </c>
      <c r="BV390" t="s">
        <v>111</v>
      </c>
      <c r="BW390" t="s">
        <v>111</v>
      </c>
      <c r="BX390" t="s">
        <v>111</v>
      </c>
      <c r="BY390" t="s">
        <v>111</v>
      </c>
      <c r="BZ390" t="s">
        <v>111</v>
      </c>
      <c r="CA390" t="s">
        <v>111</v>
      </c>
      <c r="CB390" t="s">
        <v>111</v>
      </c>
      <c r="CC390" t="s">
        <v>111</v>
      </c>
      <c r="CD390" t="s">
        <v>111</v>
      </c>
      <c r="CE390" t="s">
        <v>111</v>
      </c>
      <c r="CF390" t="s">
        <v>111</v>
      </c>
      <c r="CG390" t="s">
        <v>111</v>
      </c>
      <c r="CH390" t="s">
        <v>111</v>
      </c>
      <c r="CI390" t="s">
        <v>111</v>
      </c>
      <c r="CJ390" t="s">
        <v>111</v>
      </c>
      <c r="CK390" t="s">
        <v>111</v>
      </c>
      <c r="CL390" t="s">
        <v>111</v>
      </c>
      <c r="CM390" t="s">
        <v>438</v>
      </c>
      <c r="CN390" t="s">
        <v>113</v>
      </c>
      <c r="CO390" t="s">
        <v>111</v>
      </c>
      <c r="CP390" t="s">
        <v>111</v>
      </c>
      <c r="CQ390">
        <v>0</v>
      </c>
      <c r="CR390">
        <v>0</v>
      </c>
      <c r="CS390">
        <v>100</v>
      </c>
      <c r="CT390" t="s">
        <v>111</v>
      </c>
      <c r="CU390">
        <v>0</v>
      </c>
      <c r="CV390" t="s">
        <v>111</v>
      </c>
      <c r="CW390" t="s">
        <v>111</v>
      </c>
      <c r="CX390" t="s">
        <v>111</v>
      </c>
      <c r="CY390">
        <v>0</v>
      </c>
      <c r="CZ390" t="s">
        <v>111</v>
      </c>
      <c r="DA390" t="s">
        <v>111</v>
      </c>
      <c r="DB390" t="s">
        <v>111</v>
      </c>
      <c r="DC390" t="s">
        <v>111</v>
      </c>
    </row>
    <row r="391" spans="1:107">
      <c r="A391">
        <v>741</v>
      </c>
      <c r="B391" t="s">
        <v>107</v>
      </c>
      <c r="C391" t="s">
        <v>226</v>
      </c>
      <c r="D391" t="s">
        <v>1168</v>
      </c>
      <c r="E391" t="s">
        <v>1485</v>
      </c>
      <c r="F391" t="s">
        <v>125</v>
      </c>
      <c r="G391" t="s">
        <v>469</v>
      </c>
      <c r="H391">
        <v>0.9</v>
      </c>
      <c r="I391">
        <v>60</v>
      </c>
      <c r="J391">
        <v>0</v>
      </c>
      <c r="K391">
        <v>0</v>
      </c>
      <c r="L391" t="s">
        <v>112</v>
      </c>
      <c r="M391" t="s">
        <v>138</v>
      </c>
      <c r="N391">
        <v>0</v>
      </c>
      <c r="O391">
        <v>0</v>
      </c>
      <c r="P391" t="s">
        <v>138</v>
      </c>
      <c r="Q391">
        <v>40.5</v>
      </c>
      <c r="R391">
        <v>0</v>
      </c>
      <c r="S391">
        <v>0</v>
      </c>
      <c r="T391">
        <v>5</v>
      </c>
      <c r="U391" s="1" t="s">
        <v>1486</v>
      </c>
      <c r="V391">
        <v>12.5</v>
      </c>
      <c r="W391">
        <v>12.5</v>
      </c>
      <c r="X391">
        <v>0</v>
      </c>
      <c r="Y391">
        <v>0</v>
      </c>
      <c r="Z391" t="s">
        <v>111</v>
      </c>
      <c r="AA391">
        <v>0</v>
      </c>
      <c r="AB391" t="s">
        <v>1487</v>
      </c>
      <c r="AC391">
        <v>25</v>
      </c>
      <c r="AD391" t="s">
        <v>111</v>
      </c>
      <c r="AE391">
        <v>0</v>
      </c>
      <c r="AF391">
        <v>0</v>
      </c>
      <c r="AG391" t="s">
        <v>111</v>
      </c>
      <c r="AH391" t="s">
        <v>111</v>
      </c>
      <c r="AI391" t="s">
        <v>111</v>
      </c>
      <c r="AJ391" t="s">
        <v>111</v>
      </c>
      <c r="AK391" t="s">
        <v>111</v>
      </c>
      <c r="AL391" t="s">
        <v>111</v>
      </c>
      <c r="AM391">
        <v>0</v>
      </c>
      <c r="AN391">
        <v>0</v>
      </c>
      <c r="AO391">
        <v>0</v>
      </c>
      <c r="AP391" t="s">
        <v>111</v>
      </c>
      <c r="AQ391" t="s">
        <v>111</v>
      </c>
      <c r="AR391" t="s">
        <v>111</v>
      </c>
      <c r="AS391" t="s">
        <v>111</v>
      </c>
      <c r="AT391" t="s">
        <v>111</v>
      </c>
      <c r="AU391" t="s">
        <v>111</v>
      </c>
      <c r="AV391" t="s">
        <v>111</v>
      </c>
      <c r="AW391" t="s">
        <v>111</v>
      </c>
      <c r="AX391" t="s">
        <v>111</v>
      </c>
      <c r="AY391" t="s">
        <v>111</v>
      </c>
      <c r="AZ391" t="s">
        <v>111</v>
      </c>
      <c r="BA391" t="s">
        <v>111</v>
      </c>
      <c r="BB391" t="s">
        <v>111</v>
      </c>
      <c r="BC391" t="s">
        <v>111</v>
      </c>
      <c r="BD391" t="s">
        <v>111</v>
      </c>
      <c r="BE391" t="s">
        <v>111</v>
      </c>
      <c r="BF391" t="s">
        <v>111</v>
      </c>
      <c r="BG391" t="s">
        <v>111</v>
      </c>
      <c r="BH391" t="s">
        <v>111</v>
      </c>
      <c r="BI391" t="s">
        <v>111</v>
      </c>
      <c r="BJ391" t="s">
        <v>111</v>
      </c>
      <c r="BK391" t="s">
        <v>111</v>
      </c>
      <c r="BL391" t="s">
        <v>111</v>
      </c>
      <c r="BM391" t="s">
        <v>111</v>
      </c>
      <c r="BN391" t="s">
        <v>111</v>
      </c>
      <c r="BO391" t="s">
        <v>111</v>
      </c>
      <c r="BP391" t="s">
        <v>111</v>
      </c>
      <c r="BQ391" t="s">
        <v>111</v>
      </c>
      <c r="BR391" t="s">
        <v>111</v>
      </c>
      <c r="BS391" t="s">
        <v>111</v>
      </c>
      <c r="BT391" t="s">
        <v>111</v>
      </c>
      <c r="BU391" t="s">
        <v>111</v>
      </c>
      <c r="BV391" t="s">
        <v>111</v>
      </c>
      <c r="BW391" t="s">
        <v>111</v>
      </c>
      <c r="BX391" t="s">
        <v>111</v>
      </c>
      <c r="BY391" t="s">
        <v>111</v>
      </c>
      <c r="BZ391" t="s">
        <v>111</v>
      </c>
      <c r="CA391" t="s">
        <v>111</v>
      </c>
      <c r="CB391" t="s">
        <v>111</v>
      </c>
      <c r="CC391" t="s">
        <v>111</v>
      </c>
      <c r="CD391" t="s">
        <v>111</v>
      </c>
      <c r="CE391" t="s">
        <v>111</v>
      </c>
      <c r="CF391" t="s">
        <v>111</v>
      </c>
      <c r="CG391" t="s">
        <v>111</v>
      </c>
      <c r="CH391" t="s">
        <v>111</v>
      </c>
      <c r="CI391" t="s">
        <v>111</v>
      </c>
      <c r="CJ391" t="s">
        <v>111</v>
      </c>
      <c r="CK391" t="s">
        <v>111</v>
      </c>
      <c r="CL391" t="s">
        <v>111</v>
      </c>
      <c r="CM391" t="s">
        <v>127</v>
      </c>
      <c r="CN391" t="s">
        <v>128</v>
      </c>
      <c r="CO391" t="s">
        <v>111</v>
      </c>
      <c r="CP391" t="s">
        <v>111</v>
      </c>
      <c r="CQ391">
        <v>0</v>
      </c>
      <c r="CR391">
        <v>1000</v>
      </c>
      <c r="CS391">
        <v>50</v>
      </c>
      <c r="CT391" s="1" t="s">
        <v>1488</v>
      </c>
      <c r="CU391">
        <v>0</v>
      </c>
      <c r="CV391" t="s">
        <v>111</v>
      </c>
      <c r="CW391" t="s">
        <v>111</v>
      </c>
      <c r="CX391" t="s">
        <v>111</v>
      </c>
      <c r="CY391">
        <v>0</v>
      </c>
      <c r="CZ391" t="s">
        <v>111</v>
      </c>
      <c r="DA391" t="s">
        <v>111</v>
      </c>
      <c r="DB391" t="s">
        <v>111</v>
      </c>
      <c r="DC391" t="s">
        <v>111</v>
      </c>
    </row>
    <row r="392" spans="1:107">
      <c r="A392">
        <v>954</v>
      </c>
      <c r="B392" t="s">
        <v>107</v>
      </c>
      <c r="C392" t="s">
        <v>768</v>
      </c>
      <c r="D392" t="s">
        <v>1489</v>
      </c>
      <c r="E392" t="s">
        <v>1490</v>
      </c>
      <c r="F392" t="s">
        <v>431</v>
      </c>
      <c r="G392" t="s">
        <v>469</v>
      </c>
      <c r="H392">
        <v>1.45</v>
      </c>
      <c r="I392">
        <v>55</v>
      </c>
      <c r="J392">
        <v>0</v>
      </c>
      <c r="K392">
        <v>0</v>
      </c>
      <c r="L392" t="s">
        <v>112</v>
      </c>
      <c r="M392" t="s">
        <v>118</v>
      </c>
      <c r="N392">
        <v>38</v>
      </c>
      <c r="O392">
        <v>2</v>
      </c>
      <c r="P392" t="s">
        <v>111</v>
      </c>
      <c r="Q392">
        <v>45.8</v>
      </c>
      <c r="R392">
        <v>0</v>
      </c>
      <c r="S392">
        <v>0</v>
      </c>
      <c r="T392">
        <v>0</v>
      </c>
      <c r="U392" s="1" t="s">
        <v>1491</v>
      </c>
      <c r="V392">
        <v>0</v>
      </c>
      <c r="W392">
        <v>25</v>
      </c>
      <c r="X392">
        <v>6</v>
      </c>
      <c r="Y392">
        <v>0</v>
      </c>
      <c r="Z392" t="s">
        <v>111</v>
      </c>
      <c r="AA392">
        <v>0</v>
      </c>
      <c r="AB392" t="s">
        <v>111</v>
      </c>
      <c r="AC392">
        <v>0</v>
      </c>
      <c r="AD392" t="s">
        <v>416</v>
      </c>
      <c r="AE392">
        <v>2</v>
      </c>
      <c r="AF392">
        <v>2</v>
      </c>
      <c r="AG392" t="s">
        <v>1492</v>
      </c>
      <c r="AH392" t="s">
        <v>113</v>
      </c>
      <c r="AI392" t="s">
        <v>1492</v>
      </c>
      <c r="AJ392" t="s">
        <v>111</v>
      </c>
      <c r="AK392" t="s">
        <v>111</v>
      </c>
      <c r="AL392" t="s">
        <v>111</v>
      </c>
      <c r="AM392">
        <v>0</v>
      </c>
      <c r="AN392">
        <v>0</v>
      </c>
      <c r="AO392">
        <v>0</v>
      </c>
      <c r="AP392" t="s">
        <v>1493</v>
      </c>
      <c r="AQ392" t="s">
        <v>111</v>
      </c>
      <c r="AR392" t="s">
        <v>111</v>
      </c>
      <c r="AS392" t="s">
        <v>111</v>
      </c>
      <c r="AT392" t="s">
        <v>259</v>
      </c>
      <c r="AU392" t="s">
        <v>111</v>
      </c>
      <c r="AV392" t="s">
        <v>111</v>
      </c>
      <c r="AW392" t="s">
        <v>111</v>
      </c>
      <c r="AX392" t="s">
        <v>111</v>
      </c>
      <c r="AY392" t="s">
        <v>111</v>
      </c>
      <c r="AZ392" t="s">
        <v>111</v>
      </c>
      <c r="BA392" t="s">
        <v>111</v>
      </c>
      <c r="BB392" t="s">
        <v>111</v>
      </c>
      <c r="BC392" t="s">
        <v>111</v>
      </c>
      <c r="BD392" t="s">
        <v>111</v>
      </c>
      <c r="BE392" t="s">
        <v>111</v>
      </c>
      <c r="BF392" t="s">
        <v>111</v>
      </c>
      <c r="BG392" t="s">
        <v>111</v>
      </c>
      <c r="BH392" t="s">
        <v>111</v>
      </c>
      <c r="BI392" t="s">
        <v>111</v>
      </c>
      <c r="BJ392" t="s">
        <v>111</v>
      </c>
      <c r="BK392" t="s">
        <v>111</v>
      </c>
      <c r="BL392" t="s">
        <v>111</v>
      </c>
      <c r="BM392" t="s">
        <v>111</v>
      </c>
      <c r="BN392" t="s">
        <v>772</v>
      </c>
      <c r="BO392" t="s">
        <v>111</v>
      </c>
      <c r="BP392" t="s">
        <v>111</v>
      </c>
      <c r="BQ392" t="s">
        <v>111</v>
      </c>
      <c r="BR392" t="s">
        <v>259</v>
      </c>
      <c r="BS392" t="s">
        <v>111</v>
      </c>
      <c r="BT392" t="s">
        <v>111</v>
      </c>
      <c r="BU392" t="s">
        <v>111</v>
      </c>
      <c r="BV392" t="s">
        <v>111</v>
      </c>
      <c r="BW392" t="s">
        <v>111</v>
      </c>
      <c r="BX392" t="s">
        <v>111</v>
      </c>
      <c r="BY392" t="s">
        <v>111</v>
      </c>
      <c r="BZ392" t="s">
        <v>111</v>
      </c>
      <c r="CA392" t="s">
        <v>111</v>
      </c>
      <c r="CB392" t="s">
        <v>111</v>
      </c>
      <c r="CC392" t="s">
        <v>111</v>
      </c>
      <c r="CD392" t="s">
        <v>111</v>
      </c>
      <c r="CE392" t="s">
        <v>111</v>
      </c>
      <c r="CF392" t="s">
        <v>111</v>
      </c>
      <c r="CG392" t="s">
        <v>111</v>
      </c>
      <c r="CH392" t="s">
        <v>111</v>
      </c>
      <c r="CI392" t="s">
        <v>111</v>
      </c>
      <c r="CJ392" t="s">
        <v>111</v>
      </c>
      <c r="CK392" t="s">
        <v>111</v>
      </c>
      <c r="CL392" s="1" t="s">
        <v>494</v>
      </c>
      <c r="CM392" t="s">
        <v>198</v>
      </c>
      <c r="CN392" t="s">
        <v>113</v>
      </c>
      <c r="CO392" t="s">
        <v>111</v>
      </c>
      <c r="CP392" t="s">
        <v>111</v>
      </c>
      <c r="CQ392">
        <v>0</v>
      </c>
      <c r="CR392">
        <v>3000</v>
      </c>
      <c r="CS392">
        <v>100</v>
      </c>
      <c r="CT392" s="1" t="s">
        <v>1494</v>
      </c>
      <c r="CU392">
        <v>0</v>
      </c>
      <c r="CV392" t="s">
        <v>111</v>
      </c>
      <c r="CW392" t="s">
        <v>111</v>
      </c>
      <c r="CX392" t="s">
        <v>111</v>
      </c>
      <c r="CY392">
        <v>0</v>
      </c>
      <c r="CZ392" t="s">
        <v>111</v>
      </c>
      <c r="DA392" t="s">
        <v>111</v>
      </c>
      <c r="DB392" t="s">
        <v>111</v>
      </c>
      <c r="DC392" t="s">
        <v>111</v>
      </c>
    </row>
    <row r="393" spans="1:107">
      <c r="A393">
        <v>431</v>
      </c>
      <c r="B393" t="s">
        <v>162</v>
      </c>
      <c r="C393" t="s">
        <v>336</v>
      </c>
      <c r="D393" t="s">
        <v>1153</v>
      </c>
      <c r="E393" t="s">
        <v>1495</v>
      </c>
      <c r="F393" t="s">
        <v>125</v>
      </c>
      <c r="G393" t="s">
        <v>469</v>
      </c>
      <c r="H393">
        <v>2</v>
      </c>
      <c r="I393">
        <v>60</v>
      </c>
      <c r="J393">
        <v>0</v>
      </c>
      <c r="K393">
        <v>0</v>
      </c>
      <c r="L393" t="s">
        <v>112</v>
      </c>
      <c r="M393" t="s">
        <v>138</v>
      </c>
      <c r="N393">
        <v>0</v>
      </c>
      <c r="O393">
        <v>0</v>
      </c>
      <c r="P393" t="s">
        <v>138</v>
      </c>
      <c r="Q393">
        <v>40</v>
      </c>
      <c r="R393">
        <v>0</v>
      </c>
      <c r="S393">
        <v>0</v>
      </c>
      <c r="T393">
        <v>0</v>
      </c>
      <c r="U393" s="1" t="s">
        <v>1496</v>
      </c>
      <c r="V393">
        <v>25</v>
      </c>
      <c r="W393">
        <v>0</v>
      </c>
      <c r="X393">
        <v>8</v>
      </c>
      <c r="Y393">
        <v>0</v>
      </c>
      <c r="Z393" t="s">
        <v>111</v>
      </c>
      <c r="AA393">
        <v>0</v>
      </c>
      <c r="AB393" t="s">
        <v>111</v>
      </c>
      <c r="AC393">
        <v>0</v>
      </c>
      <c r="AD393" t="s">
        <v>111</v>
      </c>
      <c r="AE393">
        <v>0</v>
      </c>
      <c r="AF393">
        <v>0</v>
      </c>
      <c r="AG393" t="s">
        <v>111</v>
      </c>
      <c r="AH393" t="s">
        <v>111</v>
      </c>
      <c r="AI393" t="s">
        <v>111</v>
      </c>
      <c r="AJ393" t="s">
        <v>111</v>
      </c>
      <c r="AK393" t="s">
        <v>111</v>
      </c>
      <c r="AL393" t="s">
        <v>111</v>
      </c>
      <c r="AM393">
        <v>0</v>
      </c>
      <c r="AN393">
        <v>0</v>
      </c>
      <c r="AO393">
        <v>0</v>
      </c>
      <c r="AP393" t="s">
        <v>111</v>
      </c>
      <c r="AQ393" t="s">
        <v>111</v>
      </c>
      <c r="AR393" t="s">
        <v>111</v>
      </c>
      <c r="AS393" t="s">
        <v>111</v>
      </c>
      <c r="AT393" t="s">
        <v>111</v>
      </c>
      <c r="AU393" t="s">
        <v>111</v>
      </c>
      <c r="AV393" t="s">
        <v>111</v>
      </c>
      <c r="AW393" t="s">
        <v>111</v>
      </c>
      <c r="AX393" t="s">
        <v>111</v>
      </c>
      <c r="AY393" t="s">
        <v>111</v>
      </c>
      <c r="AZ393" t="s">
        <v>111</v>
      </c>
      <c r="BA393" t="s">
        <v>111</v>
      </c>
      <c r="BB393" t="s">
        <v>111</v>
      </c>
      <c r="BC393" t="s">
        <v>111</v>
      </c>
      <c r="BD393" t="s">
        <v>111</v>
      </c>
      <c r="BE393" t="s">
        <v>111</v>
      </c>
      <c r="BF393" t="s">
        <v>111</v>
      </c>
      <c r="BG393" t="s">
        <v>111</v>
      </c>
      <c r="BH393" t="s">
        <v>111</v>
      </c>
      <c r="BI393" t="s">
        <v>111</v>
      </c>
      <c r="BJ393" t="s">
        <v>111</v>
      </c>
      <c r="BK393" t="s">
        <v>111</v>
      </c>
      <c r="BL393" t="s">
        <v>111</v>
      </c>
      <c r="BM393" t="s">
        <v>111</v>
      </c>
      <c r="BN393" t="s">
        <v>111</v>
      </c>
      <c r="BO393" t="s">
        <v>111</v>
      </c>
      <c r="BP393" t="s">
        <v>111</v>
      </c>
      <c r="BQ393" t="s">
        <v>111</v>
      </c>
      <c r="BR393" t="s">
        <v>111</v>
      </c>
      <c r="BS393" t="s">
        <v>111</v>
      </c>
      <c r="BT393" t="s">
        <v>111</v>
      </c>
      <c r="BU393" t="s">
        <v>111</v>
      </c>
      <c r="BV393" t="s">
        <v>111</v>
      </c>
      <c r="BW393" t="s">
        <v>111</v>
      </c>
      <c r="BX393" t="s">
        <v>111</v>
      </c>
      <c r="BY393" t="s">
        <v>111</v>
      </c>
      <c r="BZ393" t="s">
        <v>111</v>
      </c>
      <c r="CA393" t="s">
        <v>111</v>
      </c>
      <c r="CB393" t="s">
        <v>111</v>
      </c>
      <c r="CC393" t="s">
        <v>111</v>
      </c>
      <c r="CD393" t="s">
        <v>111</v>
      </c>
      <c r="CE393" t="s">
        <v>111</v>
      </c>
      <c r="CF393" t="s">
        <v>111</v>
      </c>
      <c r="CG393" t="s">
        <v>111</v>
      </c>
      <c r="CH393" t="s">
        <v>111</v>
      </c>
      <c r="CI393" t="s">
        <v>111</v>
      </c>
      <c r="CJ393" t="s">
        <v>111</v>
      </c>
      <c r="CK393" t="s">
        <v>111</v>
      </c>
      <c r="CL393" t="s">
        <v>111</v>
      </c>
      <c r="CM393" t="s">
        <v>462</v>
      </c>
      <c r="CN393" t="s">
        <v>111</v>
      </c>
      <c r="CO393" t="s">
        <v>111</v>
      </c>
      <c r="CP393" t="s">
        <v>111</v>
      </c>
      <c r="CQ393">
        <v>0</v>
      </c>
      <c r="CR393">
        <v>240</v>
      </c>
      <c r="CS393">
        <v>20</v>
      </c>
      <c r="CT393" t="s">
        <v>111</v>
      </c>
      <c r="CU393">
        <v>0</v>
      </c>
      <c r="CV393" t="s">
        <v>111</v>
      </c>
      <c r="CW393" t="s">
        <v>111</v>
      </c>
      <c r="CX393" t="s">
        <v>111</v>
      </c>
      <c r="CY393">
        <v>0</v>
      </c>
      <c r="CZ393" t="s">
        <v>111</v>
      </c>
      <c r="DA393" t="s">
        <v>111</v>
      </c>
      <c r="DB393" t="s">
        <v>204</v>
      </c>
      <c r="DC393" s="1" t="s">
        <v>306</v>
      </c>
    </row>
    <row r="394" spans="1:107">
      <c r="A394">
        <v>1103</v>
      </c>
      <c r="B394" t="s">
        <v>107</v>
      </c>
      <c r="C394" t="s">
        <v>434</v>
      </c>
      <c r="D394" t="s">
        <v>1497</v>
      </c>
      <c r="E394" t="s">
        <v>1498</v>
      </c>
      <c r="F394" t="s">
        <v>192</v>
      </c>
      <c r="G394" t="s">
        <v>469</v>
      </c>
      <c r="H394">
        <v>0.9</v>
      </c>
      <c r="I394">
        <v>35.5</v>
      </c>
      <c r="J394">
        <v>0</v>
      </c>
      <c r="K394">
        <v>0</v>
      </c>
      <c r="L394" t="s">
        <v>112</v>
      </c>
      <c r="M394" t="s">
        <v>111</v>
      </c>
      <c r="N394">
        <v>0</v>
      </c>
      <c r="O394">
        <v>0</v>
      </c>
      <c r="P394" t="s">
        <v>111</v>
      </c>
      <c r="Q394">
        <v>31.3</v>
      </c>
      <c r="R394">
        <v>0</v>
      </c>
      <c r="S394">
        <v>0</v>
      </c>
      <c r="T394">
        <v>5</v>
      </c>
      <c r="U394" t="s">
        <v>1499</v>
      </c>
      <c r="V394">
        <v>0</v>
      </c>
      <c r="W394">
        <v>25</v>
      </c>
      <c r="X394">
        <v>5</v>
      </c>
      <c r="Y394">
        <v>0</v>
      </c>
      <c r="Z394" t="s">
        <v>111</v>
      </c>
      <c r="AA394">
        <v>0</v>
      </c>
      <c r="AB394" t="s">
        <v>111</v>
      </c>
      <c r="AC394">
        <v>0</v>
      </c>
      <c r="AD394" t="s">
        <v>111</v>
      </c>
      <c r="AE394">
        <v>0</v>
      </c>
      <c r="AF394">
        <v>0</v>
      </c>
      <c r="AG394" t="s">
        <v>111</v>
      </c>
      <c r="AH394" t="s">
        <v>111</v>
      </c>
      <c r="AI394" t="s">
        <v>111</v>
      </c>
      <c r="AJ394" t="s">
        <v>111</v>
      </c>
      <c r="AK394" t="s">
        <v>111</v>
      </c>
      <c r="AL394" t="s">
        <v>111</v>
      </c>
      <c r="AM394">
        <v>0</v>
      </c>
      <c r="AN394">
        <v>0</v>
      </c>
      <c r="AO394">
        <v>0</v>
      </c>
      <c r="AP394" t="s">
        <v>111</v>
      </c>
      <c r="AQ394" t="s">
        <v>111</v>
      </c>
      <c r="AR394" t="s">
        <v>111</v>
      </c>
      <c r="AS394" t="s">
        <v>111</v>
      </c>
      <c r="AT394" t="s">
        <v>111</v>
      </c>
      <c r="AU394" t="s">
        <v>111</v>
      </c>
      <c r="AV394" t="s">
        <v>111</v>
      </c>
      <c r="AW394" t="s">
        <v>111</v>
      </c>
      <c r="AX394" t="s">
        <v>111</v>
      </c>
      <c r="AY394" t="s">
        <v>111</v>
      </c>
      <c r="AZ394" t="s">
        <v>111</v>
      </c>
      <c r="BA394" t="s">
        <v>111</v>
      </c>
      <c r="BB394" t="s">
        <v>111</v>
      </c>
      <c r="BC394" t="s">
        <v>111</v>
      </c>
      <c r="BD394" t="s">
        <v>111</v>
      </c>
      <c r="BE394" t="s">
        <v>111</v>
      </c>
      <c r="BF394" t="s">
        <v>111</v>
      </c>
      <c r="BG394" t="s">
        <v>111</v>
      </c>
      <c r="BH394" t="s">
        <v>111</v>
      </c>
      <c r="BI394" t="s">
        <v>111</v>
      </c>
      <c r="BJ394" t="s">
        <v>111</v>
      </c>
      <c r="BK394" t="s">
        <v>111</v>
      </c>
      <c r="BL394" t="s">
        <v>111</v>
      </c>
      <c r="BM394" t="s">
        <v>111</v>
      </c>
      <c r="BN394" t="s">
        <v>111</v>
      </c>
      <c r="BO394" t="s">
        <v>111</v>
      </c>
      <c r="BP394" t="s">
        <v>111</v>
      </c>
      <c r="BQ394" t="s">
        <v>111</v>
      </c>
      <c r="BR394" t="s">
        <v>111</v>
      </c>
      <c r="BS394" t="s">
        <v>111</v>
      </c>
      <c r="BT394" t="s">
        <v>111</v>
      </c>
      <c r="BU394" t="s">
        <v>111</v>
      </c>
      <c r="BV394" t="s">
        <v>111</v>
      </c>
      <c r="BW394" t="s">
        <v>111</v>
      </c>
      <c r="BX394" t="s">
        <v>111</v>
      </c>
      <c r="BY394" t="s">
        <v>111</v>
      </c>
      <c r="BZ394" t="s">
        <v>111</v>
      </c>
      <c r="CA394" t="s">
        <v>111</v>
      </c>
      <c r="CB394" t="s">
        <v>111</v>
      </c>
      <c r="CC394" t="s">
        <v>111</v>
      </c>
      <c r="CD394" t="s">
        <v>111</v>
      </c>
      <c r="CE394" t="s">
        <v>111</v>
      </c>
      <c r="CF394" t="s">
        <v>111</v>
      </c>
      <c r="CG394" t="s">
        <v>111</v>
      </c>
      <c r="CH394" t="s">
        <v>111</v>
      </c>
      <c r="CI394" t="s">
        <v>111</v>
      </c>
      <c r="CJ394" t="s">
        <v>111</v>
      </c>
      <c r="CK394" t="s">
        <v>111</v>
      </c>
      <c r="CL394" t="s">
        <v>111</v>
      </c>
      <c r="CM394" t="s">
        <v>438</v>
      </c>
      <c r="CN394" t="s">
        <v>113</v>
      </c>
      <c r="CO394" t="s">
        <v>111</v>
      </c>
      <c r="CP394" t="s">
        <v>111</v>
      </c>
      <c r="CQ394">
        <v>62</v>
      </c>
      <c r="CR394">
        <v>5000</v>
      </c>
      <c r="CS394">
        <v>100</v>
      </c>
      <c r="CT394" s="1" t="s">
        <v>1500</v>
      </c>
      <c r="CU394">
        <v>0</v>
      </c>
      <c r="CV394" t="s">
        <v>111</v>
      </c>
      <c r="CW394" t="s">
        <v>111</v>
      </c>
      <c r="CX394" t="s">
        <v>111</v>
      </c>
      <c r="CY394">
        <v>0</v>
      </c>
      <c r="CZ394" t="s">
        <v>111</v>
      </c>
      <c r="DA394" t="s">
        <v>111</v>
      </c>
      <c r="DB394" t="s">
        <v>111</v>
      </c>
      <c r="DC394" t="s">
        <v>111</v>
      </c>
    </row>
    <row r="395" spans="1:107">
      <c r="A395">
        <v>1092</v>
      </c>
      <c r="B395" t="s">
        <v>107</v>
      </c>
      <c r="C395" t="s">
        <v>454</v>
      </c>
      <c r="D395" t="s">
        <v>1501</v>
      </c>
      <c r="E395" t="s">
        <v>1502</v>
      </c>
      <c r="F395" t="s">
        <v>875</v>
      </c>
      <c r="G395" t="s">
        <v>469</v>
      </c>
      <c r="H395">
        <v>2.5</v>
      </c>
      <c r="I395">
        <v>58</v>
      </c>
      <c r="J395">
        <v>0</v>
      </c>
      <c r="K395">
        <v>0</v>
      </c>
      <c r="L395" t="s">
        <v>112</v>
      </c>
      <c r="M395" t="s">
        <v>111</v>
      </c>
      <c r="N395">
        <v>0</v>
      </c>
      <c r="O395">
        <v>0</v>
      </c>
      <c r="P395" t="s">
        <v>138</v>
      </c>
      <c r="Q395">
        <v>50</v>
      </c>
      <c r="R395">
        <v>0</v>
      </c>
      <c r="S395">
        <v>0</v>
      </c>
      <c r="T395">
        <v>5</v>
      </c>
      <c r="U395" t="s">
        <v>1503</v>
      </c>
      <c r="V395">
        <v>0</v>
      </c>
      <c r="W395">
        <v>25</v>
      </c>
      <c r="X395">
        <v>8</v>
      </c>
      <c r="Y395">
        <v>0</v>
      </c>
      <c r="Z395" t="s">
        <v>288</v>
      </c>
      <c r="AA395">
        <v>1.8</v>
      </c>
      <c r="AB395" t="s">
        <v>111</v>
      </c>
      <c r="AC395">
        <v>0</v>
      </c>
      <c r="AD395" t="s">
        <v>111</v>
      </c>
      <c r="AE395">
        <v>0</v>
      </c>
      <c r="AF395">
        <v>0</v>
      </c>
      <c r="AG395" t="s">
        <v>111</v>
      </c>
      <c r="AH395" t="s">
        <v>111</v>
      </c>
      <c r="AI395" t="s">
        <v>111</v>
      </c>
      <c r="AJ395" t="s">
        <v>111</v>
      </c>
      <c r="AK395" t="s">
        <v>111</v>
      </c>
      <c r="AL395" t="s">
        <v>111</v>
      </c>
      <c r="AM395">
        <v>0</v>
      </c>
      <c r="AN395">
        <v>0</v>
      </c>
      <c r="AO395">
        <v>0</v>
      </c>
      <c r="AP395" t="s">
        <v>111</v>
      </c>
      <c r="AQ395" t="s">
        <v>111</v>
      </c>
      <c r="AR395" t="s">
        <v>111</v>
      </c>
      <c r="AS395" t="s">
        <v>111</v>
      </c>
      <c r="AT395" t="s">
        <v>111</v>
      </c>
      <c r="AU395" t="s">
        <v>111</v>
      </c>
      <c r="AV395" t="s">
        <v>111</v>
      </c>
      <c r="AW395" t="s">
        <v>111</v>
      </c>
      <c r="AX395" t="s">
        <v>111</v>
      </c>
      <c r="AY395" t="s">
        <v>111</v>
      </c>
      <c r="AZ395" t="s">
        <v>111</v>
      </c>
      <c r="BA395" t="s">
        <v>111</v>
      </c>
      <c r="BB395" t="s">
        <v>111</v>
      </c>
      <c r="BC395" t="s">
        <v>111</v>
      </c>
      <c r="BD395" t="s">
        <v>111</v>
      </c>
      <c r="BE395" t="s">
        <v>111</v>
      </c>
      <c r="BF395" t="s">
        <v>111</v>
      </c>
      <c r="BG395" t="s">
        <v>111</v>
      </c>
      <c r="BH395" t="s">
        <v>111</v>
      </c>
      <c r="BI395" t="s">
        <v>111</v>
      </c>
      <c r="BJ395" t="s">
        <v>111</v>
      </c>
      <c r="BK395" t="s">
        <v>111</v>
      </c>
      <c r="BL395" t="s">
        <v>111</v>
      </c>
      <c r="BM395" t="s">
        <v>111</v>
      </c>
      <c r="BN395" t="s">
        <v>111</v>
      </c>
      <c r="BO395" t="s">
        <v>111</v>
      </c>
      <c r="BP395" t="s">
        <v>111</v>
      </c>
      <c r="BQ395" t="s">
        <v>111</v>
      </c>
      <c r="BR395" t="s">
        <v>111</v>
      </c>
      <c r="BS395" t="s">
        <v>111</v>
      </c>
      <c r="BT395" t="s">
        <v>111</v>
      </c>
      <c r="BU395" t="s">
        <v>111</v>
      </c>
      <c r="BV395" t="s">
        <v>111</v>
      </c>
      <c r="BW395" t="s">
        <v>111</v>
      </c>
      <c r="BX395" t="s">
        <v>111</v>
      </c>
      <c r="BY395" t="s">
        <v>111</v>
      </c>
      <c r="BZ395" t="s">
        <v>111</v>
      </c>
      <c r="CA395" t="s">
        <v>111</v>
      </c>
      <c r="CB395" t="s">
        <v>111</v>
      </c>
      <c r="CC395" t="s">
        <v>111</v>
      </c>
      <c r="CD395" t="s">
        <v>111</v>
      </c>
      <c r="CE395" t="s">
        <v>111</v>
      </c>
      <c r="CF395" t="s">
        <v>111</v>
      </c>
      <c r="CG395" t="s">
        <v>111</v>
      </c>
      <c r="CH395" t="s">
        <v>111</v>
      </c>
      <c r="CI395" t="s">
        <v>111</v>
      </c>
      <c r="CJ395" t="s">
        <v>111</v>
      </c>
      <c r="CK395" t="s">
        <v>111</v>
      </c>
      <c r="CL395" t="s">
        <v>111</v>
      </c>
      <c r="CM395" t="s">
        <v>135</v>
      </c>
      <c r="CN395" t="s">
        <v>113</v>
      </c>
      <c r="CO395" t="s">
        <v>111</v>
      </c>
      <c r="CP395" t="s">
        <v>111</v>
      </c>
      <c r="CQ395">
        <v>50</v>
      </c>
      <c r="CR395">
        <v>600</v>
      </c>
      <c r="CS395">
        <v>50</v>
      </c>
      <c r="CT395" t="s">
        <v>394</v>
      </c>
      <c r="CU395">
        <v>0</v>
      </c>
      <c r="CV395" t="s">
        <v>111</v>
      </c>
      <c r="CW395" t="s">
        <v>111</v>
      </c>
      <c r="CX395" t="s">
        <v>111</v>
      </c>
      <c r="CY395">
        <v>0</v>
      </c>
      <c r="CZ395" t="s">
        <v>111</v>
      </c>
      <c r="DA395" t="s">
        <v>111</v>
      </c>
      <c r="DB395" t="s">
        <v>111</v>
      </c>
      <c r="DC395" t="s">
        <v>111</v>
      </c>
    </row>
    <row r="396" spans="1:107">
      <c r="A396">
        <v>1091</v>
      </c>
      <c r="B396" t="s">
        <v>107</v>
      </c>
      <c r="C396" t="s">
        <v>454</v>
      </c>
      <c r="D396" t="s">
        <v>1504</v>
      </c>
      <c r="E396" t="s">
        <v>1505</v>
      </c>
      <c r="F396" t="s">
        <v>192</v>
      </c>
      <c r="G396" t="s">
        <v>469</v>
      </c>
      <c r="H396">
        <v>1</v>
      </c>
      <c r="I396">
        <v>46</v>
      </c>
      <c r="J396">
        <v>0</v>
      </c>
      <c r="K396">
        <v>0</v>
      </c>
      <c r="L396" t="s">
        <v>112</v>
      </c>
      <c r="M396" t="s">
        <v>111</v>
      </c>
      <c r="N396">
        <v>0</v>
      </c>
      <c r="O396">
        <v>0</v>
      </c>
      <c r="P396" t="s">
        <v>138</v>
      </c>
      <c r="Q396">
        <v>20</v>
      </c>
      <c r="R396">
        <v>0</v>
      </c>
      <c r="S396">
        <v>0</v>
      </c>
      <c r="T396">
        <v>5</v>
      </c>
      <c r="U396" t="s">
        <v>296</v>
      </c>
      <c r="V396">
        <v>0</v>
      </c>
      <c r="W396">
        <v>25</v>
      </c>
      <c r="X396">
        <v>6</v>
      </c>
      <c r="Y396">
        <v>0</v>
      </c>
      <c r="Z396" t="s">
        <v>111</v>
      </c>
      <c r="AA396">
        <v>0</v>
      </c>
      <c r="AB396" t="s">
        <v>111</v>
      </c>
      <c r="AC396">
        <v>0</v>
      </c>
      <c r="AD396" t="s">
        <v>111</v>
      </c>
      <c r="AE396">
        <v>0</v>
      </c>
      <c r="AF396">
        <v>0</v>
      </c>
      <c r="AG396" t="s">
        <v>111</v>
      </c>
      <c r="AH396" t="s">
        <v>111</v>
      </c>
      <c r="AI396" t="s">
        <v>111</v>
      </c>
      <c r="AJ396" t="s">
        <v>111</v>
      </c>
      <c r="AK396" t="s">
        <v>111</v>
      </c>
      <c r="AL396" t="s">
        <v>111</v>
      </c>
      <c r="AM396">
        <v>0</v>
      </c>
      <c r="AN396">
        <v>0</v>
      </c>
      <c r="AO396">
        <v>0</v>
      </c>
      <c r="AP396" t="s">
        <v>111</v>
      </c>
      <c r="AQ396" t="s">
        <v>111</v>
      </c>
      <c r="AR396" t="s">
        <v>111</v>
      </c>
      <c r="AS396" t="s">
        <v>111</v>
      </c>
      <c r="AT396" t="s">
        <v>111</v>
      </c>
      <c r="AU396" t="s">
        <v>111</v>
      </c>
      <c r="AV396" t="s">
        <v>111</v>
      </c>
      <c r="AW396" t="s">
        <v>111</v>
      </c>
      <c r="AX396" t="s">
        <v>111</v>
      </c>
      <c r="AY396" t="s">
        <v>111</v>
      </c>
      <c r="AZ396" t="s">
        <v>111</v>
      </c>
      <c r="BA396" t="s">
        <v>111</v>
      </c>
      <c r="BB396" t="s">
        <v>111</v>
      </c>
      <c r="BC396" t="s">
        <v>111</v>
      </c>
      <c r="BD396" t="s">
        <v>111</v>
      </c>
      <c r="BE396" t="s">
        <v>111</v>
      </c>
      <c r="BF396" t="s">
        <v>111</v>
      </c>
      <c r="BG396" t="s">
        <v>111</v>
      </c>
      <c r="BH396" t="s">
        <v>111</v>
      </c>
      <c r="BI396" t="s">
        <v>111</v>
      </c>
      <c r="BJ396" t="s">
        <v>111</v>
      </c>
      <c r="BK396" t="s">
        <v>111</v>
      </c>
      <c r="BL396" t="s">
        <v>111</v>
      </c>
      <c r="BM396" t="s">
        <v>111</v>
      </c>
      <c r="BN396" t="s">
        <v>111</v>
      </c>
      <c r="BO396" t="s">
        <v>111</v>
      </c>
      <c r="BP396" t="s">
        <v>111</v>
      </c>
      <c r="BQ396" t="s">
        <v>111</v>
      </c>
      <c r="BR396" t="s">
        <v>111</v>
      </c>
      <c r="BS396" t="s">
        <v>111</v>
      </c>
      <c r="BT396" t="s">
        <v>111</v>
      </c>
      <c r="BU396" t="s">
        <v>111</v>
      </c>
      <c r="BV396" t="s">
        <v>111</v>
      </c>
      <c r="BW396" t="s">
        <v>111</v>
      </c>
      <c r="BX396" t="s">
        <v>111</v>
      </c>
      <c r="BY396" t="s">
        <v>111</v>
      </c>
      <c r="BZ396" t="s">
        <v>111</v>
      </c>
      <c r="CA396" t="s">
        <v>111</v>
      </c>
      <c r="CB396" t="s">
        <v>111</v>
      </c>
      <c r="CC396" t="s">
        <v>111</v>
      </c>
      <c r="CD396" t="s">
        <v>111</v>
      </c>
      <c r="CE396" t="s">
        <v>111</v>
      </c>
      <c r="CF396" t="s">
        <v>111</v>
      </c>
      <c r="CG396" t="s">
        <v>111</v>
      </c>
      <c r="CH396" t="s">
        <v>111</v>
      </c>
      <c r="CI396" t="s">
        <v>111</v>
      </c>
      <c r="CJ396" t="s">
        <v>111</v>
      </c>
      <c r="CK396" t="s">
        <v>111</v>
      </c>
      <c r="CL396" t="s">
        <v>111</v>
      </c>
      <c r="CM396" t="s">
        <v>135</v>
      </c>
      <c r="CN396" t="s">
        <v>113</v>
      </c>
      <c r="CO396" t="s">
        <v>111</v>
      </c>
      <c r="CP396" t="s">
        <v>111</v>
      </c>
      <c r="CQ396">
        <v>0</v>
      </c>
      <c r="CR396">
        <v>5000</v>
      </c>
      <c r="CS396">
        <v>200</v>
      </c>
      <c r="CT396" t="s">
        <v>394</v>
      </c>
      <c r="CU396">
        <v>0</v>
      </c>
      <c r="CV396" t="s">
        <v>111</v>
      </c>
      <c r="CW396" t="s">
        <v>111</v>
      </c>
      <c r="CX396" t="s">
        <v>111</v>
      </c>
      <c r="CY396">
        <v>0</v>
      </c>
      <c r="CZ396" t="s">
        <v>111</v>
      </c>
      <c r="DA396" t="s">
        <v>111</v>
      </c>
      <c r="DB396" t="s">
        <v>111</v>
      </c>
      <c r="DC396" t="s">
        <v>111</v>
      </c>
    </row>
    <row r="397" spans="1:107">
      <c r="A397">
        <v>1090</v>
      </c>
      <c r="B397" t="s">
        <v>107</v>
      </c>
      <c r="C397" t="s">
        <v>454</v>
      </c>
      <c r="D397" t="s">
        <v>1506</v>
      </c>
      <c r="E397" t="s">
        <v>1507</v>
      </c>
      <c r="F397" t="s">
        <v>192</v>
      </c>
      <c r="G397" t="s">
        <v>469</v>
      </c>
      <c r="H397">
        <v>1</v>
      </c>
      <c r="I397">
        <v>46</v>
      </c>
      <c r="J397">
        <v>0</v>
      </c>
      <c r="K397">
        <v>0</v>
      </c>
      <c r="L397" t="s">
        <v>112</v>
      </c>
      <c r="M397" t="s">
        <v>111</v>
      </c>
      <c r="N397">
        <v>0</v>
      </c>
      <c r="O397">
        <v>0</v>
      </c>
      <c r="P397" t="s">
        <v>138</v>
      </c>
      <c r="Q397">
        <v>20</v>
      </c>
      <c r="R397">
        <v>0</v>
      </c>
      <c r="S397">
        <v>0</v>
      </c>
      <c r="T397">
        <v>5</v>
      </c>
      <c r="U397" t="s">
        <v>296</v>
      </c>
      <c r="V397">
        <v>0</v>
      </c>
      <c r="W397">
        <v>250</v>
      </c>
      <c r="X397">
        <v>6</v>
      </c>
      <c r="Y397">
        <v>0</v>
      </c>
      <c r="Z397" t="s">
        <v>111</v>
      </c>
      <c r="AA397">
        <v>0</v>
      </c>
      <c r="AB397" t="s">
        <v>111</v>
      </c>
      <c r="AC397">
        <v>0</v>
      </c>
      <c r="AD397" t="s">
        <v>111</v>
      </c>
      <c r="AE397">
        <v>0</v>
      </c>
      <c r="AF397">
        <v>0</v>
      </c>
      <c r="AG397" t="s">
        <v>111</v>
      </c>
      <c r="AH397" t="s">
        <v>111</v>
      </c>
      <c r="AI397" t="s">
        <v>111</v>
      </c>
      <c r="AJ397" t="s">
        <v>111</v>
      </c>
      <c r="AK397" t="s">
        <v>111</v>
      </c>
      <c r="AL397" t="s">
        <v>111</v>
      </c>
      <c r="AM397">
        <v>0</v>
      </c>
      <c r="AN397">
        <v>0</v>
      </c>
      <c r="AO397">
        <v>0</v>
      </c>
      <c r="AP397" t="s">
        <v>111</v>
      </c>
      <c r="AQ397" t="s">
        <v>111</v>
      </c>
      <c r="AR397" t="s">
        <v>111</v>
      </c>
      <c r="AS397" t="s">
        <v>111</v>
      </c>
      <c r="AT397" t="s">
        <v>111</v>
      </c>
      <c r="AU397" t="s">
        <v>111</v>
      </c>
      <c r="AV397" t="s">
        <v>111</v>
      </c>
      <c r="AW397" t="s">
        <v>111</v>
      </c>
      <c r="AX397" t="s">
        <v>111</v>
      </c>
      <c r="AY397" t="s">
        <v>111</v>
      </c>
      <c r="AZ397" t="s">
        <v>111</v>
      </c>
      <c r="BA397" t="s">
        <v>111</v>
      </c>
      <c r="BB397" t="s">
        <v>111</v>
      </c>
      <c r="BC397" t="s">
        <v>111</v>
      </c>
      <c r="BD397" t="s">
        <v>111</v>
      </c>
      <c r="BE397" t="s">
        <v>111</v>
      </c>
      <c r="BF397" t="s">
        <v>111</v>
      </c>
      <c r="BG397" t="s">
        <v>111</v>
      </c>
      <c r="BH397" t="s">
        <v>111</v>
      </c>
      <c r="BI397" t="s">
        <v>111</v>
      </c>
      <c r="BJ397" t="s">
        <v>111</v>
      </c>
      <c r="BK397" t="s">
        <v>111</v>
      </c>
      <c r="BL397" t="s">
        <v>111</v>
      </c>
      <c r="BM397" t="s">
        <v>111</v>
      </c>
      <c r="BN397" t="s">
        <v>111</v>
      </c>
      <c r="BO397" t="s">
        <v>111</v>
      </c>
      <c r="BP397" t="s">
        <v>111</v>
      </c>
      <c r="BQ397" t="s">
        <v>111</v>
      </c>
      <c r="BR397" t="s">
        <v>111</v>
      </c>
      <c r="BS397" t="s">
        <v>111</v>
      </c>
      <c r="BT397" t="s">
        <v>111</v>
      </c>
      <c r="BU397" t="s">
        <v>111</v>
      </c>
      <c r="BV397" t="s">
        <v>111</v>
      </c>
      <c r="BW397" t="s">
        <v>111</v>
      </c>
      <c r="BX397" t="s">
        <v>111</v>
      </c>
      <c r="BY397" t="s">
        <v>111</v>
      </c>
      <c r="BZ397" t="s">
        <v>111</v>
      </c>
      <c r="CA397" t="s">
        <v>111</v>
      </c>
      <c r="CB397" t="s">
        <v>111</v>
      </c>
      <c r="CC397" t="s">
        <v>111</v>
      </c>
      <c r="CD397" t="s">
        <v>111</v>
      </c>
      <c r="CE397" t="s">
        <v>111</v>
      </c>
      <c r="CF397" t="s">
        <v>111</v>
      </c>
      <c r="CG397" t="s">
        <v>111</v>
      </c>
      <c r="CH397" t="s">
        <v>111</v>
      </c>
      <c r="CI397" t="s">
        <v>111</v>
      </c>
      <c r="CJ397" t="s">
        <v>111</v>
      </c>
      <c r="CK397" t="s">
        <v>111</v>
      </c>
      <c r="CL397" t="s">
        <v>111</v>
      </c>
      <c r="CM397" t="s">
        <v>438</v>
      </c>
      <c r="CN397" t="s">
        <v>113</v>
      </c>
      <c r="CO397" t="s">
        <v>111</v>
      </c>
      <c r="CP397" t="s">
        <v>111</v>
      </c>
      <c r="CQ397">
        <v>0</v>
      </c>
      <c r="CR397">
        <v>5000</v>
      </c>
      <c r="CS397">
        <v>200</v>
      </c>
      <c r="CT397" t="s">
        <v>394</v>
      </c>
      <c r="CU397">
        <v>0</v>
      </c>
      <c r="CV397" t="s">
        <v>111</v>
      </c>
      <c r="CW397" t="s">
        <v>111</v>
      </c>
      <c r="CX397" t="s">
        <v>111</v>
      </c>
      <c r="CY397">
        <v>0</v>
      </c>
      <c r="CZ397" t="s">
        <v>111</v>
      </c>
      <c r="DA397" t="s">
        <v>111</v>
      </c>
      <c r="DB397" t="s">
        <v>111</v>
      </c>
      <c r="DC397" t="s">
        <v>111</v>
      </c>
    </row>
    <row r="398" spans="1:107">
      <c r="A398">
        <v>1085</v>
      </c>
      <c r="B398" t="s">
        <v>107</v>
      </c>
      <c r="C398" t="s">
        <v>1508</v>
      </c>
      <c r="D398" t="s">
        <v>1509</v>
      </c>
      <c r="E398" t="s">
        <v>1510</v>
      </c>
      <c r="F398" t="s">
        <v>415</v>
      </c>
      <c r="G398" t="s">
        <v>469</v>
      </c>
      <c r="H398">
        <v>4.9000000000000004</v>
      </c>
      <c r="I398">
        <v>85</v>
      </c>
      <c r="J398">
        <v>0</v>
      </c>
      <c r="K398">
        <v>0</v>
      </c>
      <c r="L398" t="s">
        <v>117</v>
      </c>
      <c r="M398" t="s">
        <v>118</v>
      </c>
      <c r="N398">
        <v>40</v>
      </c>
      <c r="O398">
        <v>1</v>
      </c>
      <c r="P398" t="s">
        <v>138</v>
      </c>
      <c r="Q398">
        <v>55</v>
      </c>
      <c r="R398">
        <v>0</v>
      </c>
      <c r="S398">
        <v>0</v>
      </c>
      <c r="T398">
        <v>5</v>
      </c>
      <c r="U398" t="s">
        <v>1511</v>
      </c>
      <c r="V398">
        <v>0</v>
      </c>
      <c r="W398">
        <v>25</v>
      </c>
      <c r="X398">
        <v>5</v>
      </c>
      <c r="Y398">
        <v>0</v>
      </c>
      <c r="Z398" t="s">
        <v>288</v>
      </c>
      <c r="AA398">
        <v>1.2</v>
      </c>
      <c r="AB398" t="s">
        <v>111</v>
      </c>
      <c r="AC398">
        <v>0</v>
      </c>
      <c r="AD398" t="s">
        <v>416</v>
      </c>
      <c r="AE398">
        <v>0</v>
      </c>
      <c r="AF398">
        <v>0</v>
      </c>
      <c r="AG398" t="s">
        <v>111</v>
      </c>
      <c r="AH398" t="s">
        <v>111</v>
      </c>
      <c r="AI398" t="s">
        <v>111</v>
      </c>
      <c r="AJ398" t="s">
        <v>111</v>
      </c>
      <c r="AK398" t="s">
        <v>111</v>
      </c>
      <c r="AL398" t="s">
        <v>111</v>
      </c>
      <c r="AM398">
        <v>0</v>
      </c>
      <c r="AN398">
        <v>0</v>
      </c>
      <c r="AO398">
        <v>0</v>
      </c>
      <c r="AP398" t="s">
        <v>111</v>
      </c>
      <c r="AQ398" t="s">
        <v>111</v>
      </c>
      <c r="AR398" t="s">
        <v>111</v>
      </c>
      <c r="AS398" t="s">
        <v>111</v>
      </c>
      <c r="AT398" t="s">
        <v>111</v>
      </c>
      <c r="AU398" t="s">
        <v>111</v>
      </c>
      <c r="AV398" t="s">
        <v>111</v>
      </c>
      <c r="AW398" t="s">
        <v>111</v>
      </c>
      <c r="AX398" t="s">
        <v>111</v>
      </c>
      <c r="AY398" t="s">
        <v>111</v>
      </c>
      <c r="AZ398" t="s">
        <v>111</v>
      </c>
      <c r="BA398" t="s">
        <v>111</v>
      </c>
      <c r="BB398" t="s">
        <v>111</v>
      </c>
      <c r="BC398" t="s">
        <v>111</v>
      </c>
      <c r="BD398" t="s">
        <v>111</v>
      </c>
      <c r="BE398" t="s">
        <v>111</v>
      </c>
      <c r="BF398" t="s">
        <v>111</v>
      </c>
      <c r="BG398" t="s">
        <v>111</v>
      </c>
      <c r="BH398" t="s">
        <v>111</v>
      </c>
      <c r="BI398" t="s">
        <v>111</v>
      </c>
      <c r="BJ398" t="s">
        <v>111</v>
      </c>
      <c r="BK398" t="s">
        <v>111</v>
      </c>
      <c r="BL398" t="s">
        <v>111</v>
      </c>
      <c r="BM398" t="s">
        <v>111</v>
      </c>
      <c r="BN398" t="s">
        <v>111</v>
      </c>
      <c r="BO398" t="s">
        <v>111</v>
      </c>
      <c r="BP398" t="s">
        <v>111</v>
      </c>
      <c r="BQ398" t="s">
        <v>111</v>
      </c>
      <c r="BR398" t="s">
        <v>111</v>
      </c>
      <c r="BS398" t="s">
        <v>111</v>
      </c>
      <c r="BT398" t="s">
        <v>111</v>
      </c>
      <c r="BU398" t="s">
        <v>111</v>
      </c>
      <c r="BV398" t="s">
        <v>111</v>
      </c>
      <c r="BW398" t="s">
        <v>111</v>
      </c>
      <c r="BX398" t="s">
        <v>111</v>
      </c>
      <c r="BY398" t="s">
        <v>111</v>
      </c>
      <c r="BZ398" t="s">
        <v>111</v>
      </c>
      <c r="CA398" t="s">
        <v>111</v>
      </c>
      <c r="CB398" t="s">
        <v>111</v>
      </c>
      <c r="CC398" t="s">
        <v>111</v>
      </c>
      <c r="CD398" t="s">
        <v>111</v>
      </c>
      <c r="CE398" t="s">
        <v>111</v>
      </c>
      <c r="CF398" t="s">
        <v>111</v>
      </c>
      <c r="CG398" t="s">
        <v>111</v>
      </c>
      <c r="CH398" t="s">
        <v>111</v>
      </c>
      <c r="CI398" t="s">
        <v>111</v>
      </c>
      <c r="CJ398" t="s">
        <v>111</v>
      </c>
      <c r="CK398" t="s">
        <v>111</v>
      </c>
      <c r="CL398" t="e">
        <f>-DESTINO SELLADO</f>
        <v>#NAME?</v>
      </c>
      <c r="CM398" t="s">
        <v>135</v>
      </c>
      <c r="CN398" t="s">
        <v>113</v>
      </c>
      <c r="CO398" t="s">
        <v>111</v>
      </c>
      <c r="CP398" t="s">
        <v>111</v>
      </c>
      <c r="CQ398">
        <v>0</v>
      </c>
      <c r="CR398">
        <v>0</v>
      </c>
      <c r="CS398">
        <v>0</v>
      </c>
      <c r="CT398" t="s">
        <v>394</v>
      </c>
      <c r="CU398">
        <v>0</v>
      </c>
      <c r="CV398" t="s">
        <v>111</v>
      </c>
      <c r="CW398" t="s">
        <v>111</v>
      </c>
      <c r="CX398" t="s">
        <v>111</v>
      </c>
      <c r="CY398">
        <v>0</v>
      </c>
      <c r="CZ398" t="s">
        <v>111</v>
      </c>
      <c r="DA398" t="s">
        <v>111</v>
      </c>
      <c r="DB398" t="s">
        <v>111</v>
      </c>
      <c r="DC398" t="s">
        <v>111</v>
      </c>
    </row>
    <row r="399" spans="1:107">
      <c r="A399">
        <v>1083</v>
      </c>
      <c r="B399" t="s">
        <v>107</v>
      </c>
      <c r="C399" t="s">
        <v>768</v>
      </c>
      <c r="D399" t="s">
        <v>1512</v>
      </c>
      <c r="E399" t="s">
        <v>1513</v>
      </c>
      <c r="F399" t="s">
        <v>370</v>
      </c>
      <c r="G399" t="s">
        <v>469</v>
      </c>
      <c r="H399">
        <v>3</v>
      </c>
      <c r="I399">
        <v>40</v>
      </c>
      <c r="J399">
        <v>0</v>
      </c>
      <c r="K399">
        <v>0</v>
      </c>
      <c r="L399" t="s">
        <v>112</v>
      </c>
      <c r="M399" t="s">
        <v>118</v>
      </c>
      <c r="N399">
        <v>40</v>
      </c>
      <c r="O399">
        <v>2</v>
      </c>
      <c r="P399" t="s">
        <v>138</v>
      </c>
      <c r="Q399">
        <v>37.299999999999997</v>
      </c>
      <c r="R399">
        <v>0</v>
      </c>
      <c r="S399">
        <v>0</v>
      </c>
      <c r="T399">
        <v>5</v>
      </c>
      <c r="U399" t="s">
        <v>501</v>
      </c>
      <c r="V399">
        <v>250</v>
      </c>
      <c r="W399">
        <v>0</v>
      </c>
      <c r="X399">
        <v>8</v>
      </c>
      <c r="Y399">
        <v>0</v>
      </c>
      <c r="Z399" t="s">
        <v>973</v>
      </c>
      <c r="AA399">
        <v>300</v>
      </c>
      <c r="AB399" t="s">
        <v>111</v>
      </c>
      <c r="AC399">
        <v>0</v>
      </c>
      <c r="AD399" t="s">
        <v>416</v>
      </c>
      <c r="AE399">
        <v>0</v>
      </c>
      <c r="AF399">
        <v>0</v>
      </c>
      <c r="AG399" t="s">
        <v>111</v>
      </c>
      <c r="AH399" t="s">
        <v>113</v>
      </c>
      <c r="AI399" t="s">
        <v>111</v>
      </c>
      <c r="AJ399" t="s">
        <v>111</v>
      </c>
      <c r="AK399" t="s">
        <v>111</v>
      </c>
      <c r="AL399" t="s">
        <v>111</v>
      </c>
      <c r="AM399">
        <v>0</v>
      </c>
      <c r="AN399">
        <v>0</v>
      </c>
      <c r="AO399">
        <v>0</v>
      </c>
      <c r="AP399" t="s">
        <v>111</v>
      </c>
      <c r="AQ399" t="s">
        <v>111</v>
      </c>
      <c r="AR399" t="s">
        <v>111</v>
      </c>
      <c r="AS399" t="s">
        <v>111</v>
      </c>
      <c r="AT399" t="s">
        <v>111</v>
      </c>
      <c r="AU399" t="s">
        <v>111</v>
      </c>
      <c r="AV399" t="s">
        <v>111</v>
      </c>
      <c r="AW399" t="s">
        <v>111</v>
      </c>
      <c r="AX399" t="s">
        <v>111</v>
      </c>
      <c r="AY399" t="s">
        <v>111</v>
      </c>
      <c r="AZ399" t="s">
        <v>111</v>
      </c>
      <c r="BA399" t="s">
        <v>111</v>
      </c>
      <c r="BB399" t="s">
        <v>111</v>
      </c>
      <c r="BC399" t="s">
        <v>111</v>
      </c>
      <c r="BD399" t="s">
        <v>111</v>
      </c>
      <c r="BE399" t="s">
        <v>111</v>
      </c>
      <c r="BF399" t="s">
        <v>111</v>
      </c>
      <c r="BG399" t="s">
        <v>111</v>
      </c>
      <c r="BH399" t="s">
        <v>111</v>
      </c>
      <c r="BI399" t="s">
        <v>111</v>
      </c>
      <c r="BJ399" t="s">
        <v>111</v>
      </c>
      <c r="BK399" t="s">
        <v>111</v>
      </c>
      <c r="BL399" t="s">
        <v>111</v>
      </c>
      <c r="BM399" t="s">
        <v>111</v>
      </c>
      <c r="BN399" t="s">
        <v>111</v>
      </c>
      <c r="BO399" t="s">
        <v>111</v>
      </c>
      <c r="BP399" t="s">
        <v>111</v>
      </c>
      <c r="BQ399" t="s">
        <v>111</v>
      </c>
      <c r="BR399" t="s">
        <v>111</v>
      </c>
      <c r="BS399" t="s">
        <v>111</v>
      </c>
      <c r="BT399" t="s">
        <v>111</v>
      </c>
      <c r="BU399" t="s">
        <v>111</v>
      </c>
      <c r="BV399" t="s">
        <v>111</v>
      </c>
      <c r="BW399" t="s">
        <v>111</v>
      </c>
      <c r="BX399" t="s">
        <v>111</v>
      </c>
      <c r="BY399" t="s">
        <v>111</v>
      </c>
      <c r="BZ399" t="s">
        <v>111</v>
      </c>
      <c r="CA399" t="s">
        <v>111</v>
      </c>
      <c r="CB399" t="s">
        <v>111</v>
      </c>
      <c r="CC399" t="s">
        <v>111</v>
      </c>
      <c r="CD399" t="s">
        <v>111</v>
      </c>
      <c r="CE399" t="s">
        <v>111</v>
      </c>
      <c r="CF399" t="s">
        <v>111</v>
      </c>
      <c r="CG399" t="s">
        <v>111</v>
      </c>
      <c r="CH399" t="s">
        <v>111</v>
      </c>
      <c r="CI399" t="s">
        <v>111</v>
      </c>
      <c r="CJ399" t="s">
        <v>111</v>
      </c>
      <c r="CK399" t="s">
        <v>111</v>
      </c>
      <c r="CL399" t="e">
        <f>-DFESTINO SELLADO</f>
        <v>#NAME?</v>
      </c>
      <c r="CM399" t="s">
        <v>198</v>
      </c>
      <c r="CN399" t="s">
        <v>113</v>
      </c>
      <c r="CO399" t="s">
        <v>111</v>
      </c>
      <c r="CP399" t="e">
        <f>-MUESTRA</f>
        <v>#NAME?</v>
      </c>
      <c r="CQ399">
        <v>0</v>
      </c>
      <c r="CR399">
        <v>0</v>
      </c>
      <c r="CS399">
        <v>100</v>
      </c>
      <c r="CT399" s="1" t="s">
        <v>1514</v>
      </c>
      <c r="CU399">
        <v>0</v>
      </c>
      <c r="CV399" t="s">
        <v>111</v>
      </c>
      <c r="CW399" t="s">
        <v>111</v>
      </c>
      <c r="CX399" t="s">
        <v>111</v>
      </c>
      <c r="CY399">
        <v>0</v>
      </c>
      <c r="CZ399" t="s">
        <v>111</v>
      </c>
      <c r="DA399" t="s">
        <v>111</v>
      </c>
      <c r="DB399" t="e">
        <f>-INTERNO</f>
        <v>#NAME?</v>
      </c>
      <c r="DC399" t="e">
        <f>-COLOCAR TIRA NEGRA</f>
        <v>#NAME?</v>
      </c>
    </row>
    <row r="400" spans="1:107">
      <c r="A400">
        <v>1120</v>
      </c>
      <c r="B400" t="s">
        <v>107</v>
      </c>
      <c r="C400" t="s">
        <v>1457</v>
      </c>
      <c r="D400" t="s">
        <v>1515</v>
      </c>
      <c r="E400" t="s">
        <v>1516</v>
      </c>
      <c r="F400" t="s">
        <v>192</v>
      </c>
      <c r="G400" t="s">
        <v>469</v>
      </c>
      <c r="H400">
        <v>1.4</v>
      </c>
      <c r="I400">
        <v>26.5</v>
      </c>
      <c r="J400">
        <v>0</v>
      </c>
      <c r="K400">
        <v>0</v>
      </c>
      <c r="L400" t="s">
        <v>178</v>
      </c>
      <c r="M400" t="s">
        <v>111</v>
      </c>
      <c r="N400">
        <v>0</v>
      </c>
      <c r="O400">
        <v>0</v>
      </c>
      <c r="P400" t="s">
        <v>118</v>
      </c>
      <c r="Q400">
        <v>45.8</v>
      </c>
      <c r="R400">
        <v>0</v>
      </c>
      <c r="S400">
        <v>0</v>
      </c>
      <c r="T400">
        <v>5</v>
      </c>
      <c r="U400" s="1" t="s">
        <v>1517</v>
      </c>
      <c r="V400">
        <v>0</v>
      </c>
      <c r="W400">
        <v>25</v>
      </c>
      <c r="X400">
        <v>6</v>
      </c>
      <c r="Y400">
        <v>0</v>
      </c>
      <c r="Z400" t="s">
        <v>111</v>
      </c>
      <c r="AA400">
        <v>0</v>
      </c>
      <c r="AB400" t="s">
        <v>111</v>
      </c>
      <c r="AC400">
        <v>0</v>
      </c>
      <c r="AD400" t="s">
        <v>111</v>
      </c>
      <c r="AE400">
        <v>0</v>
      </c>
      <c r="AF400">
        <v>0</v>
      </c>
      <c r="AG400" t="s">
        <v>111</v>
      </c>
      <c r="AH400" t="s">
        <v>111</v>
      </c>
      <c r="AI400" t="s">
        <v>111</v>
      </c>
      <c r="AJ400" t="s">
        <v>111</v>
      </c>
      <c r="AK400" t="s">
        <v>111</v>
      </c>
      <c r="AL400" t="s">
        <v>111</v>
      </c>
      <c r="AM400">
        <v>0</v>
      </c>
      <c r="AN400">
        <v>0</v>
      </c>
      <c r="AO400">
        <v>0</v>
      </c>
      <c r="AP400" t="s">
        <v>111</v>
      </c>
      <c r="AQ400" t="s">
        <v>111</v>
      </c>
      <c r="AR400" t="s">
        <v>111</v>
      </c>
      <c r="AS400" t="s">
        <v>111</v>
      </c>
      <c r="AT400" t="s">
        <v>111</v>
      </c>
      <c r="AU400" t="s">
        <v>111</v>
      </c>
      <c r="AV400" t="s">
        <v>111</v>
      </c>
      <c r="AW400" t="s">
        <v>111</v>
      </c>
      <c r="AX400" t="s">
        <v>111</v>
      </c>
      <c r="AY400" t="s">
        <v>111</v>
      </c>
      <c r="AZ400" t="s">
        <v>111</v>
      </c>
      <c r="BA400" t="s">
        <v>111</v>
      </c>
      <c r="BB400" t="s">
        <v>111</v>
      </c>
      <c r="BC400" t="s">
        <v>111</v>
      </c>
      <c r="BD400" t="s">
        <v>111</v>
      </c>
      <c r="BE400" t="s">
        <v>111</v>
      </c>
      <c r="BF400" t="s">
        <v>111</v>
      </c>
      <c r="BG400" t="s">
        <v>111</v>
      </c>
      <c r="BH400" t="s">
        <v>111</v>
      </c>
      <c r="BI400" t="s">
        <v>111</v>
      </c>
      <c r="BJ400" t="s">
        <v>111</v>
      </c>
      <c r="BK400" t="s">
        <v>111</v>
      </c>
      <c r="BL400" t="s">
        <v>111</v>
      </c>
      <c r="BM400" t="s">
        <v>111</v>
      </c>
      <c r="BN400" t="s">
        <v>111</v>
      </c>
      <c r="BO400" t="s">
        <v>111</v>
      </c>
      <c r="BP400" t="s">
        <v>111</v>
      </c>
      <c r="BQ400" t="s">
        <v>111</v>
      </c>
      <c r="BR400" t="s">
        <v>111</v>
      </c>
      <c r="BS400" t="s">
        <v>111</v>
      </c>
      <c r="BT400" t="s">
        <v>111</v>
      </c>
      <c r="BU400" t="s">
        <v>111</v>
      </c>
      <c r="BV400" t="s">
        <v>111</v>
      </c>
      <c r="BW400" t="s">
        <v>111</v>
      </c>
      <c r="BX400" t="s">
        <v>111</v>
      </c>
      <c r="BY400" t="s">
        <v>111</v>
      </c>
      <c r="BZ400" t="s">
        <v>111</v>
      </c>
      <c r="CA400" t="s">
        <v>111</v>
      </c>
      <c r="CB400" t="s">
        <v>111</v>
      </c>
      <c r="CC400" t="s">
        <v>111</v>
      </c>
      <c r="CD400" t="s">
        <v>111</v>
      </c>
      <c r="CE400" t="s">
        <v>111</v>
      </c>
      <c r="CF400" t="s">
        <v>111</v>
      </c>
      <c r="CG400" t="s">
        <v>111</v>
      </c>
      <c r="CH400" t="s">
        <v>111</v>
      </c>
      <c r="CI400" t="s">
        <v>111</v>
      </c>
      <c r="CJ400" t="s">
        <v>111</v>
      </c>
      <c r="CK400" t="s">
        <v>111</v>
      </c>
      <c r="CL400" t="s">
        <v>111</v>
      </c>
      <c r="CM400" t="s">
        <v>438</v>
      </c>
      <c r="CN400" t="s">
        <v>113</v>
      </c>
      <c r="CO400" t="s">
        <v>637</v>
      </c>
      <c r="CP400" t="s">
        <v>111</v>
      </c>
      <c r="CQ400">
        <v>90</v>
      </c>
      <c r="CR400">
        <v>5000</v>
      </c>
      <c r="CS400">
        <v>200</v>
      </c>
      <c r="CT400" t="s">
        <v>296</v>
      </c>
      <c r="CU400">
        <v>0</v>
      </c>
      <c r="CV400" t="s">
        <v>111</v>
      </c>
      <c r="CW400" t="s">
        <v>111</v>
      </c>
      <c r="CX400" t="s">
        <v>111</v>
      </c>
      <c r="CY400">
        <v>0</v>
      </c>
      <c r="CZ400" t="s">
        <v>111</v>
      </c>
      <c r="DA400" t="s">
        <v>111</v>
      </c>
      <c r="DB400" t="s">
        <v>111</v>
      </c>
      <c r="DC400" t="s">
        <v>111</v>
      </c>
    </row>
    <row r="401" spans="1:107">
      <c r="A401">
        <v>1119</v>
      </c>
      <c r="B401" t="s">
        <v>107</v>
      </c>
      <c r="C401" t="s">
        <v>498</v>
      </c>
      <c r="D401" t="s">
        <v>1518</v>
      </c>
      <c r="E401" t="s">
        <v>1519</v>
      </c>
      <c r="F401" t="s">
        <v>431</v>
      </c>
      <c r="G401" t="s">
        <v>469</v>
      </c>
      <c r="H401">
        <v>2.5</v>
      </c>
      <c r="I401">
        <v>72</v>
      </c>
      <c r="J401">
        <v>0</v>
      </c>
      <c r="K401">
        <v>0</v>
      </c>
      <c r="L401" t="s">
        <v>117</v>
      </c>
      <c r="M401" t="s">
        <v>118</v>
      </c>
      <c r="N401">
        <v>39</v>
      </c>
      <c r="O401">
        <v>1</v>
      </c>
      <c r="P401" t="s">
        <v>118</v>
      </c>
      <c r="Q401">
        <v>55.5</v>
      </c>
      <c r="R401">
        <v>0</v>
      </c>
      <c r="S401">
        <v>0</v>
      </c>
      <c r="T401">
        <v>5</v>
      </c>
      <c r="U401" t="s">
        <v>394</v>
      </c>
      <c r="V401">
        <v>0</v>
      </c>
      <c r="W401">
        <v>25</v>
      </c>
      <c r="X401">
        <v>8</v>
      </c>
      <c r="Y401">
        <v>0</v>
      </c>
      <c r="Z401" t="s">
        <v>111</v>
      </c>
      <c r="AA401">
        <v>0</v>
      </c>
      <c r="AB401" t="s">
        <v>940</v>
      </c>
      <c r="AC401">
        <v>8</v>
      </c>
      <c r="AD401" t="s">
        <v>1520</v>
      </c>
      <c r="AE401">
        <v>0</v>
      </c>
      <c r="AF401">
        <v>0</v>
      </c>
      <c r="AG401" t="s">
        <v>111</v>
      </c>
      <c r="AH401" t="s">
        <v>111</v>
      </c>
      <c r="AI401" t="s">
        <v>111</v>
      </c>
      <c r="AJ401" t="s">
        <v>111</v>
      </c>
      <c r="AK401" t="s">
        <v>111</v>
      </c>
      <c r="AL401" t="s">
        <v>111</v>
      </c>
      <c r="AM401">
        <v>0</v>
      </c>
      <c r="AN401">
        <v>0</v>
      </c>
      <c r="AO401">
        <v>0</v>
      </c>
      <c r="AP401" t="s">
        <v>111</v>
      </c>
      <c r="AQ401" t="s">
        <v>111</v>
      </c>
      <c r="AR401" t="s">
        <v>111</v>
      </c>
      <c r="AS401" t="s">
        <v>111</v>
      </c>
      <c r="AT401" t="s">
        <v>111</v>
      </c>
      <c r="AU401" t="s">
        <v>111</v>
      </c>
      <c r="AV401" t="s">
        <v>111</v>
      </c>
      <c r="AW401" t="s">
        <v>111</v>
      </c>
      <c r="AX401" t="s">
        <v>111</v>
      </c>
      <c r="AY401" t="s">
        <v>111</v>
      </c>
      <c r="AZ401" t="s">
        <v>111</v>
      </c>
      <c r="BA401" t="s">
        <v>111</v>
      </c>
      <c r="BB401" t="s">
        <v>111</v>
      </c>
      <c r="BC401" t="s">
        <v>111</v>
      </c>
      <c r="BD401" t="s">
        <v>111</v>
      </c>
      <c r="BE401" t="s">
        <v>111</v>
      </c>
      <c r="BF401" t="s">
        <v>111</v>
      </c>
      <c r="BG401" t="s">
        <v>111</v>
      </c>
      <c r="BH401" t="s">
        <v>111</v>
      </c>
      <c r="BI401" t="s">
        <v>111</v>
      </c>
      <c r="BJ401" t="s">
        <v>111</v>
      </c>
      <c r="BK401" t="s">
        <v>111</v>
      </c>
      <c r="BL401" t="s">
        <v>111</v>
      </c>
      <c r="BM401" t="s">
        <v>111</v>
      </c>
      <c r="BN401" t="s">
        <v>111</v>
      </c>
      <c r="BO401" t="s">
        <v>111</v>
      </c>
      <c r="BP401" t="s">
        <v>111</v>
      </c>
      <c r="BQ401" t="s">
        <v>111</v>
      </c>
      <c r="BR401" t="s">
        <v>111</v>
      </c>
      <c r="BS401" t="s">
        <v>111</v>
      </c>
      <c r="BT401" t="s">
        <v>111</v>
      </c>
      <c r="BU401" t="s">
        <v>111</v>
      </c>
      <c r="BV401" t="s">
        <v>111</v>
      </c>
      <c r="BW401" t="s">
        <v>111</v>
      </c>
      <c r="BX401" t="s">
        <v>111</v>
      </c>
      <c r="BY401" t="s">
        <v>111</v>
      </c>
      <c r="BZ401" t="s">
        <v>111</v>
      </c>
      <c r="CA401" t="s">
        <v>111</v>
      </c>
      <c r="CB401" t="s">
        <v>111</v>
      </c>
      <c r="CC401" t="s">
        <v>111</v>
      </c>
      <c r="CD401" t="s">
        <v>111</v>
      </c>
      <c r="CE401" t="s">
        <v>111</v>
      </c>
      <c r="CF401" t="s">
        <v>111</v>
      </c>
      <c r="CG401" t="s">
        <v>111</v>
      </c>
      <c r="CH401" t="s">
        <v>111</v>
      </c>
      <c r="CI401" t="s">
        <v>111</v>
      </c>
      <c r="CJ401" t="s">
        <v>111</v>
      </c>
      <c r="CK401" t="s">
        <v>111</v>
      </c>
      <c r="CL401" t="e">
        <f>-DESTNO SELLADO</f>
        <v>#NAME?</v>
      </c>
      <c r="CM401" t="s">
        <v>438</v>
      </c>
      <c r="CN401" t="s">
        <v>113</v>
      </c>
      <c r="CO401" t="s">
        <v>111</v>
      </c>
      <c r="CP401" t="s">
        <v>111</v>
      </c>
      <c r="CQ401">
        <v>0</v>
      </c>
      <c r="CR401">
        <v>5000</v>
      </c>
      <c r="CS401">
        <v>100</v>
      </c>
      <c r="CT401" t="s">
        <v>111</v>
      </c>
      <c r="CU401">
        <v>0</v>
      </c>
      <c r="CV401" t="s">
        <v>111</v>
      </c>
      <c r="CW401" t="s">
        <v>111</v>
      </c>
      <c r="CX401" t="s">
        <v>111</v>
      </c>
      <c r="CY401">
        <v>0</v>
      </c>
      <c r="CZ401" t="s">
        <v>111</v>
      </c>
      <c r="DA401" t="s">
        <v>111</v>
      </c>
      <c r="DB401" t="s">
        <v>111</v>
      </c>
      <c r="DC401" t="s">
        <v>111</v>
      </c>
    </row>
    <row r="402" spans="1:107">
      <c r="A402">
        <v>1118</v>
      </c>
      <c r="B402" t="s">
        <v>107</v>
      </c>
      <c r="C402" t="s">
        <v>267</v>
      </c>
      <c r="D402" t="s">
        <v>1521</v>
      </c>
      <c r="E402" t="s">
        <v>1522</v>
      </c>
      <c r="F402" t="s">
        <v>157</v>
      </c>
      <c r="G402" t="s">
        <v>469</v>
      </c>
      <c r="H402">
        <v>1.5</v>
      </c>
      <c r="I402">
        <v>70</v>
      </c>
      <c r="J402">
        <v>0</v>
      </c>
      <c r="K402">
        <v>0</v>
      </c>
      <c r="L402" t="s">
        <v>112</v>
      </c>
      <c r="M402" t="s">
        <v>111</v>
      </c>
      <c r="N402">
        <v>0</v>
      </c>
      <c r="O402">
        <v>0</v>
      </c>
      <c r="P402" t="s">
        <v>138</v>
      </c>
      <c r="Q402">
        <v>50</v>
      </c>
      <c r="R402">
        <v>0</v>
      </c>
      <c r="S402">
        <v>0</v>
      </c>
      <c r="T402">
        <v>0</v>
      </c>
      <c r="U402" s="1" t="s">
        <v>1523</v>
      </c>
      <c r="V402">
        <v>0</v>
      </c>
      <c r="W402">
        <v>25</v>
      </c>
      <c r="X402">
        <v>0</v>
      </c>
      <c r="Y402">
        <v>0</v>
      </c>
      <c r="Z402" t="s">
        <v>111</v>
      </c>
      <c r="AA402">
        <v>0</v>
      </c>
      <c r="AB402" t="s">
        <v>111</v>
      </c>
      <c r="AC402">
        <v>0</v>
      </c>
      <c r="AD402" t="s">
        <v>111</v>
      </c>
      <c r="AE402">
        <v>0</v>
      </c>
      <c r="AF402">
        <v>0</v>
      </c>
      <c r="AG402" t="s">
        <v>111</v>
      </c>
      <c r="AH402" t="s">
        <v>111</v>
      </c>
      <c r="AI402" t="s">
        <v>111</v>
      </c>
      <c r="AJ402" t="s">
        <v>111</v>
      </c>
      <c r="AK402" t="s">
        <v>111</v>
      </c>
      <c r="AL402" t="s">
        <v>111</v>
      </c>
      <c r="AM402">
        <v>0</v>
      </c>
      <c r="AN402">
        <v>0</v>
      </c>
      <c r="AO402">
        <v>0</v>
      </c>
      <c r="AP402" t="s">
        <v>111</v>
      </c>
      <c r="AQ402" t="s">
        <v>111</v>
      </c>
      <c r="AR402" t="s">
        <v>111</v>
      </c>
      <c r="AS402" t="s">
        <v>111</v>
      </c>
      <c r="AT402" t="s">
        <v>111</v>
      </c>
      <c r="AU402" t="s">
        <v>111</v>
      </c>
      <c r="AV402" t="s">
        <v>111</v>
      </c>
      <c r="AW402" t="s">
        <v>111</v>
      </c>
      <c r="AX402" t="s">
        <v>111</v>
      </c>
      <c r="AY402" t="s">
        <v>111</v>
      </c>
      <c r="AZ402" t="s">
        <v>111</v>
      </c>
      <c r="BA402" t="s">
        <v>111</v>
      </c>
      <c r="BB402" t="s">
        <v>111</v>
      </c>
      <c r="BC402" t="s">
        <v>111</v>
      </c>
      <c r="BD402" t="s">
        <v>111</v>
      </c>
      <c r="BE402" t="s">
        <v>111</v>
      </c>
      <c r="BF402" t="s">
        <v>111</v>
      </c>
      <c r="BG402" t="s">
        <v>111</v>
      </c>
      <c r="BH402" t="s">
        <v>111</v>
      </c>
      <c r="BI402" t="s">
        <v>111</v>
      </c>
      <c r="BJ402" t="s">
        <v>111</v>
      </c>
      <c r="BK402" t="s">
        <v>111</v>
      </c>
      <c r="BL402" t="s">
        <v>111</v>
      </c>
      <c r="BM402" t="s">
        <v>111</v>
      </c>
      <c r="BN402" t="s">
        <v>111</v>
      </c>
      <c r="BO402" t="s">
        <v>111</v>
      </c>
      <c r="BP402" t="s">
        <v>111</v>
      </c>
      <c r="BQ402" t="s">
        <v>111</v>
      </c>
      <c r="BR402" t="s">
        <v>111</v>
      </c>
      <c r="BS402" t="s">
        <v>111</v>
      </c>
      <c r="BT402" t="s">
        <v>111</v>
      </c>
      <c r="BU402" t="s">
        <v>111</v>
      </c>
      <c r="BV402" t="s">
        <v>111</v>
      </c>
      <c r="BW402" t="s">
        <v>111</v>
      </c>
      <c r="BX402" t="s">
        <v>111</v>
      </c>
      <c r="BY402" t="s">
        <v>111</v>
      </c>
      <c r="BZ402" t="s">
        <v>111</v>
      </c>
      <c r="CA402" t="s">
        <v>111</v>
      </c>
      <c r="CB402" t="s">
        <v>111</v>
      </c>
      <c r="CC402" t="s">
        <v>111</v>
      </c>
      <c r="CD402" t="s">
        <v>111</v>
      </c>
      <c r="CE402" t="s">
        <v>111</v>
      </c>
      <c r="CF402" t="s">
        <v>111</v>
      </c>
      <c r="CG402" t="s">
        <v>111</v>
      </c>
      <c r="CH402" t="s">
        <v>111</v>
      </c>
      <c r="CI402" t="s">
        <v>111</v>
      </c>
      <c r="CJ402" t="s">
        <v>111</v>
      </c>
      <c r="CK402" t="s">
        <v>111</v>
      </c>
      <c r="CL402" t="s">
        <v>111</v>
      </c>
      <c r="CM402" t="s">
        <v>111</v>
      </c>
      <c r="CN402" t="s">
        <v>111</v>
      </c>
      <c r="CO402" t="s">
        <v>111</v>
      </c>
      <c r="CP402" t="s">
        <v>111</v>
      </c>
      <c r="CQ402">
        <v>0</v>
      </c>
      <c r="CR402">
        <v>0</v>
      </c>
      <c r="CS402">
        <v>0</v>
      </c>
      <c r="CT402" t="s">
        <v>111</v>
      </c>
      <c r="CU402">
        <v>0</v>
      </c>
      <c r="CV402" t="s">
        <v>111</v>
      </c>
      <c r="CW402" t="s">
        <v>111</v>
      </c>
      <c r="CX402" t="s">
        <v>111</v>
      </c>
      <c r="CY402">
        <v>0</v>
      </c>
      <c r="CZ402" t="s">
        <v>111</v>
      </c>
      <c r="DA402" t="s">
        <v>111</v>
      </c>
      <c r="DB402" t="s">
        <v>111</v>
      </c>
      <c r="DC402" t="s">
        <v>111</v>
      </c>
    </row>
    <row r="403" spans="1:107">
      <c r="A403">
        <v>1115</v>
      </c>
      <c r="B403" t="s">
        <v>107</v>
      </c>
      <c r="C403" t="s">
        <v>428</v>
      </c>
      <c r="D403" t="s">
        <v>1524</v>
      </c>
      <c r="E403" t="s">
        <v>1525</v>
      </c>
      <c r="F403" t="s">
        <v>125</v>
      </c>
      <c r="G403" t="s">
        <v>469</v>
      </c>
      <c r="H403">
        <v>0.8</v>
      </c>
      <c r="I403">
        <v>45</v>
      </c>
      <c r="J403">
        <v>0</v>
      </c>
      <c r="K403">
        <v>0</v>
      </c>
      <c r="L403" t="s">
        <v>112</v>
      </c>
      <c r="M403" t="s">
        <v>111</v>
      </c>
      <c r="N403">
        <v>0</v>
      </c>
      <c r="O403">
        <v>0</v>
      </c>
      <c r="P403" t="s">
        <v>111</v>
      </c>
      <c r="Q403">
        <v>44.4</v>
      </c>
      <c r="R403">
        <v>0</v>
      </c>
      <c r="S403">
        <v>0</v>
      </c>
      <c r="T403">
        <v>0</v>
      </c>
      <c r="U403" t="s">
        <v>394</v>
      </c>
      <c r="V403">
        <v>0</v>
      </c>
      <c r="W403">
        <v>25</v>
      </c>
      <c r="X403">
        <v>5</v>
      </c>
      <c r="Y403">
        <v>0</v>
      </c>
      <c r="Z403" t="s">
        <v>111</v>
      </c>
      <c r="AA403">
        <v>0</v>
      </c>
      <c r="AB403" t="s">
        <v>111</v>
      </c>
      <c r="AC403">
        <v>0</v>
      </c>
      <c r="AD403" t="s">
        <v>111</v>
      </c>
      <c r="AE403">
        <v>0</v>
      </c>
      <c r="AF403">
        <v>0</v>
      </c>
      <c r="AG403" t="s">
        <v>111</v>
      </c>
      <c r="AH403" t="s">
        <v>111</v>
      </c>
      <c r="AI403" t="s">
        <v>111</v>
      </c>
      <c r="AJ403" t="s">
        <v>111</v>
      </c>
      <c r="AK403" t="s">
        <v>111</v>
      </c>
      <c r="AL403" t="s">
        <v>111</v>
      </c>
      <c r="AM403">
        <v>0</v>
      </c>
      <c r="AN403">
        <v>0</v>
      </c>
      <c r="AO403">
        <v>0</v>
      </c>
      <c r="AP403" t="s">
        <v>111</v>
      </c>
      <c r="AQ403" t="s">
        <v>111</v>
      </c>
      <c r="AR403" t="s">
        <v>111</v>
      </c>
      <c r="AS403" t="s">
        <v>111</v>
      </c>
      <c r="AT403" t="s">
        <v>111</v>
      </c>
      <c r="AU403" t="s">
        <v>111</v>
      </c>
      <c r="AV403" t="s">
        <v>111</v>
      </c>
      <c r="AW403" t="s">
        <v>111</v>
      </c>
      <c r="AX403" t="s">
        <v>111</v>
      </c>
      <c r="AY403" t="s">
        <v>111</v>
      </c>
      <c r="AZ403" t="s">
        <v>111</v>
      </c>
      <c r="BA403" t="s">
        <v>111</v>
      </c>
      <c r="BB403" t="s">
        <v>111</v>
      </c>
      <c r="BC403" t="s">
        <v>111</v>
      </c>
      <c r="BD403" t="s">
        <v>111</v>
      </c>
      <c r="BE403" t="s">
        <v>111</v>
      </c>
      <c r="BF403" t="s">
        <v>111</v>
      </c>
      <c r="BG403" t="s">
        <v>111</v>
      </c>
      <c r="BH403" t="s">
        <v>111</v>
      </c>
      <c r="BI403" t="s">
        <v>111</v>
      </c>
      <c r="BJ403" t="s">
        <v>111</v>
      </c>
      <c r="BK403" t="s">
        <v>111</v>
      </c>
      <c r="BL403" t="s">
        <v>111</v>
      </c>
      <c r="BM403" t="s">
        <v>111</v>
      </c>
      <c r="BN403" t="s">
        <v>111</v>
      </c>
      <c r="BO403" t="s">
        <v>111</v>
      </c>
      <c r="BP403" t="s">
        <v>111</v>
      </c>
      <c r="BQ403" t="s">
        <v>111</v>
      </c>
      <c r="BR403" t="s">
        <v>111</v>
      </c>
      <c r="BS403" t="s">
        <v>111</v>
      </c>
      <c r="BT403" t="s">
        <v>111</v>
      </c>
      <c r="BU403" t="s">
        <v>111</v>
      </c>
      <c r="BV403" t="s">
        <v>111</v>
      </c>
      <c r="BW403" t="s">
        <v>111</v>
      </c>
      <c r="BX403" t="s">
        <v>111</v>
      </c>
      <c r="BY403" t="s">
        <v>111</v>
      </c>
      <c r="BZ403" t="s">
        <v>111</v>
      </c>
      <c r="CA403" t="s">
        <v>111</v>
      </c>
      <c r="CB403" t="s">
        <v>111</v>
      </c>
      <c r="CC403" t="s">
        <v>111</v>
      </c>
      <c r="CD403" t="s">
        <v>111</v>
      </c>
      <c r="CE403" t="s">
        <v>111</v>
      </c>
      <c r="CF403" t="s">
        <v>111</v>
      </c>
      <c r="CG403" t="s">
        <v>111</v>
      </c>
      <c r="CH403" t="s">
        <v>111</v>
      </c>
      <c r="CI403" t="s">
        <v>111</v>
      </c>
      <c r="CJ403" t="s">
        <v>111</v>
      </c>
      <c r="CK403" t="s">
        <v>111</v>
      </c>
      <c r="CL403" t="s">
        <v>111</v>
      </c>
      <c r="CM403" t="s">
        <v>127</v>
      </c>
      <c r="CN403" t="s">
        <v>128</v>
      </c>
      <c r="CO403" t="s">
        <v>111</v>
      </c>
      <c r="CP403" t="s">
        <v>111</v>
      </c>
      <c r="CQ403">
        <v>0</v>
      </c>
      <c r="CR403">
        <v>2000</v>
      </c>
      <c r="CS403">
        <v>100</v>
      </c>
      <c r="CT403" t="s">
        <v>111</v>
      </c>
      <c r="CU403">
        <v>0</v>
      </c>
      <c r="CV403" t="s">
        <v>111</v>
      </c>
      <c r="CW403" t="s">
        <v>111</v>
      </c>
      <c r="CX403" t="s">
        <v>111</v>
      </c>
      <c r="CY403">
        <v>0</v>
      </c>
      <c r="CZ403" t="s">
        <v>111</v>
      </c>
      <c r="DA403" t="s">
        <v>111</v>
      </c>
      <c r="DB403" t="s">
        <v>111</v>
      </c>
      <c r="DC403" t="s">
        <v>111</v>
      </c>
    </row>
    <row r="404" spans="1:107">
      <c r="A404">
        <v>1132</v>
      </c>
      <c r="B404" t="s">
        <v>107</v>
      </c>
      <c r="C404" t="s">
        <v>1185</v>
      </c>
      <c r="D404" t="s">
        <v>1186</v>
      </c>
      <c r="E404" t="s">
        <v>1526</v>
      </c>
      <c r="F404" t="s">
        <v>370</v>
      </c>
      <c r="G404" t="s">
        <v>469</v>
      </c>
      <c r="H404">
        <v>2.9</v>
      </c>
      <c r="I404">
        <v>40</v>
      </c>
      <c r="J404">
        <v>0</v>
      </c>
      <c r="K404">
        <v>0</v>
      </c>
      <c r="L404" t="s">
        <v>112</v>
      </c>
      <c r="M404" t="s">
        <v>118</v>
      </c>
      <c r="N404">
        <v>40</v>
      </c>
      <c r="O404">
        <v>2</v>
      </c>
      <c r="P404" t="s">
        <v>138</v>
      </c>
      <c r="Q404">
        <v>34</v>
      </c>
      <c r="R404">
        <v>0</v>
      </c>
      <c r="S404">
        <v>0</v>
      </c>
      <c r="T404">
        <v>5</v>
      </c>
      <c r="U404" t="s">
        <v>501</v>
      </c>
      <c r="V404">
        <v>25</v>
      </c>
      <c r="W404">
        <v>0</v>
      </c>
      <c r="X404">
        <v>8</v>
      </c>
      <c r="Y404">
        <v>0</v>
      </c>
      <c r="Z404" t="s">
        <v>288</v>
      </c>
      <c r="AA404">
        <v>0</v>
      </c>
      <c r="AB404" t="s">
        <v>111</v>
      </c>
      <c r="AC404">
        <v>0</v>
      </c>
      <c r="AD404" t="s">
        <v>416</v>
      </c>
      <c r="AE404">
        <v>0</v>
      </c>
      <c r="AF404">
        <v>0</v>
      </c>
      <c r="AG404" t="s">
        <v>111</v>
      </c>
      <c r="AH404" t="s">
        <v>111</v>
      </c>
      <c r="AI404" t="s">
        <v>111</v>
      </c>
      <c r="AJ404" t="s">
        <v>111</v>
      </c>
      <c r="AK404" t="s">
        <v>111</v>
      </c>
      <c r="AL404" t="s">
        <v>111</v>
      </c>
      <c r="AM404">
        <v>0</v>
      </c>
      <c r="AN404">
        <v>0</v>
      </c>
      <c r="AO404">
        <v>0</v>
      </c>
      <c r="AP404" t="s">
        <v>111</v>
      </c>
      <c r="AQ404" t="s">
        <v>111</v>
      </c>
      <c r="AR404" t="s">
        <v>111</v>
      </c>
      <c r="AS404" t="s">
        <v>111</v>
      </c>
      <c r="AT404" t="s">
        <v>111</v>
      </c>
      <c r="AU404" t="s">
        <v>111</v>
      </c>
      <c r="AV404" t="s">
        <v>111</v>
      </c>
      <c r="AW404" t="s">
        <v>111</v>
      </c>
      <c r="AX404" t="s">
        <v>111</v>
      </c>
      <c r="AY404" t="s">
        <v>111</v>
      </c>
      <c r="AZ404" t="s">
        <v>111</v>
      </c>
      <c r="BA404" t="s">
        <v>111</v>
      </c>
      <c r="BB404" t="s">
        <v>111</v>
      </c>
      <c r="BC404" t="s">
        <v>111</v>
      </c>
      <c r="BD404" t="s">
        <v>111</v>
      </c>
      <c r="BE404" t="s">
        <v>111</v>
      </c>
      <c r="BF404" t="s">
        <v>111</v>
      </c>
      <c r="BG404" t="s">
        <v>111</v>
      </c>
      <c r="BH404" t="s">
        <v>111</v>
      </c>
      <c r="BI404" t="s">
        <v>111</v>
      </c>
      <c r="BJ404" t="s">
        <v>111</v>
      </c>
      <c r="BK404" t="s">
        <v>111</v>
      </c>
      <c r="BL404" t="s">
        <v>111</v>
      </c>
      <c r="BM404" t="s">
        <v>111</v>
      </c>
      <c r="BN404" t="s">
        <v>111</v>
      </c>
      <c r="BO404" t="s">
        <v>111</v>
      </c>
      <c r="BP404" t="s">
        <v>111</v>
      </c>
      <c r="BQ404" t="s">
        <v>111</v>
      </c>
      <c r="BR404" t="s">
        <v>111</v>
      </c>
      <c r="BS404" t="s">
        <v>111</v>
      </c>
      <c r="BT404" t="s">
        <v>111</v>
      </c>
      <c r="BU404" t="s">
        <v>111</v>
      </c>
      <c r="BV404" t="s">
        <v>111</v>
      </c>
      <c r="BW404" t="s">
        <v>111</v>
      </c>
      <c r="BX404" t="s">
        <v>111</v>
      </c>
      <c r="BY404" t="s">
        <v>111</v>
      </c>
      <c r="BZ404" t="s">
        <v>111</v>
      </c>
      <c r="CA404" t="s">
        <v>111</v>
      </c>
      <c r="CB404" t="s">
        <v>111</v>
      </c>
      <c r="CC404" t="s">
        <v>111</v>
      </c>
      <c r="CD404" t="s">
        <v>111</v>
      </c>
      <c r="CE404" t="s">
        <v>111</v>
      </c>
      <c r="CF404" t="s">
        <v>111</v>
      </c>
      <c r="CG404" t="s">
        <v>111</v>
      </c>
      <c r="CH404" t="s">
        <v>111</v>
      </c>
      <c r="CI404" t="s">
        <v>111</v>
      </c>
      <c r="CJ404" t="s">
        <v>111</v>
      </c>
      <c r="CK404" t="s">
        <v>111</v>
      </c>
      <c r="CL404" t="e">
        <f>-DESTINO SELLADO</f>
        <v>#NAME?</v>
      </c>
      <c r="CM404" t="s">
        <v>438</v>
      </c>
      <c r="CN404" t="s">
        <v>113</v>
      </c>
      <c r="CO404" t="s">
        <v>111</v>
      </c>
      <c r="CP404" t="s">
        <v>111</v>
      </c>
      <c r="CQ404">
        <v>0</v>
      </c>
      <c r="CR404">
        <v>3000</v>
      </c>
      <c r="CS404">
        <v>100</v>
      </c>
      <c r="CT404" t="s">
        <v>1527</v>
      </c>
      <c r="CU404">
        <v>0</v>
      </c>
      <c r="CV404" t="s">
        <v>111</v>
      </c>
      <c r="CW404" t="s">
        <v>111</v>
      </c>
      <c r="CX404" t="s">
        <v>111</v>
      </c>
      <c r="CY404">
        <v>0</v>
      </c>
      <c r="CZ404" t="s">
        <v>111</v>
      </c>
      <c r="DA404" t="s">
        <v>111</v>
      </c>
      <c r="DB404" t="e">
        <f>-INTERNO</f>
        <v>#NAME?</v>
      </c>
      <c r="DC404" t="e">
        <f>-TROQUE RIÑON</f>
        <v>#NAME?</v>
      </c>
    </row>
    <row r="405" spans="1:107">
      <c r="A405">
        <v>1131</v>
      </c>
      <c r="B405" t="s">
        <v>107</v>
      </c>
      <c r="C405" t="s">
        <v>1185</v>
      </c>
      <c r="D405" t="s">
        <v>1186</v>
      </c>
      <c r="E405" t="s">
        <v>1528</v>
      </c>
      <c r="F405" t="s">
        <v>370</v>
      </c>
      <c r="G405" t="s">
        <v>469</v>
      </c>
      <c r="H405">
        <v>2.9</v>
      </c>
      <c r="I405">
        <v>40</v>
      </c>
      <c r="J405">
        <v>0</v>
      </c>
      <c r="K405">
        <v>0</v>
      </c>
      <c r="L405" t="s">
        <v>112</v>
      </c>
      <c r="M405" t="s">
        <v>118</v>
      </c>
      <c r="N405">
        <v>40</v>
      </c>
      <c r="O405">
        <v>2</v>
      </c>
      <c r="P405" t="s">
        <v>138</v>
      </c>
      <c r="Q405">
        <v>34</v>
      </c>
      <c r="R405">
        <v>0</v>
      </c>
      <c r="S405">
        <v>0</v>
      </c>
      <c r="T405">
        <v>5</v>
      </c>
      <c r="U405" t="s">
        <v>501</v>
      </c>
      <c r="V405">
        <v>25</v>
      </c>
      <c r="W405">
        <v>0</v>
      </c>
      <c r="X405">
        <v>8</v>
      </c>
      <c r="Y405">
        <v>0</v>
      </c>
      <c r="Z405" t="s">
        <v>288</v>
      </c>
      <c r="AA405">
        <v>1.6</v>
      </c>
      <c r="AB405" t="s">
        <v>111</v>
      </c>
      <c r="AC405">
        <v>0</v>
      </c>
      <c r="AD405" t="s">
        <v>416</v>
      </c>
      <c r="AE405">
        <v>0</v>
      </c>
      <c r="AF405">
        <v>0</v>
      </c>
      <c r="AG405" t="s">
        <v>111</v>
      </c>
      <c r="AH405" t="s">
        <v>111</v>
      </c>
      <c r="AI405" t="s">
        <v>111</v>
      </c>
      <c r="AJ405" t="s">
        <v>111</v>
      </c>
      <c r="AK405" t="s">
        <v>111</v>
      </c>
      <c r="AL405" t="s">
        <v>111</v>
      </c>
      <c r="AM405">
        <v>0</v>
      </c>
      <c r="AN405">
        <v>0</v>
      </c>
      <c r="AO405">
        <v>0</v>
      </c>
      <c r="AP405" t="s">
        <v>111</v>
      </c>
      <c r="AQ405" t="s">
        <v>111</v>
      </c>
      <c r="AR405" t="s">
        <v>111</v>
      </c>
      <c r="AS405" t="s">
        <v>111</v>
      </c>
      <c r="AT405" t="s">
        <v>111</v>
      </c>
      <c r="AU405" t="s">
        <v>111</v>
      </c>
      <c r="AV405" t="s">
        <v>111</v>
      </c>
      <c r="AW405" t="s">
        <v>111</v>
      </c>
      <c r="AX405" t="s">
        <v>111</v>
      </c>
      <c r="AY405" t="s">
        <v>111</v>
      </c>
      <c r="AZ405" t="s">
        <v>111</v>
      </c>
      <c r="BA405" t="s">
        <v>111</v>
      </c>
      <c r="BB405" t="s">
        <v>111</v>
      </c>
      <c r="BC405" t="s">
        <v>111</v>
      </c>
      <c r="BD405" t="s">
        <v>111</v>
      </c>
      <c r="BE405" t="s">
        <v>111</v>
      </c>
      <c r="BF405" t="s">
        <v>111</v>
      </c>
      <c r="BG405" t="s">
        <v>111</v>
      </c>
      <c r="BH405" t="s">
        <v>111</v>
      </c>
      <c r="BI405" t="s">
        <v>111</v>
      </c>
      <c r="BJ405" t="s">
        <v>111</v>
      </c>
      <c r="BK405" t="s">
        <v>111</v>
      </c>
      <c r="BL405" t="s">
        <v>111</v>
      </c>
      <c r="BM405" t="s">
        <v>111</v>
      </c>
      <c r="BN405" t="s">
        <v>111</v>
      </c>
      <c r="BO405" t="s">
        <v>111</v>
      </c>
      <c r="BP405" t="s">
        <v>111</v>
      </c>
      <c r="BQ405" t="s">
        <v>111</v>
      </c>
      <c r="BR405" t="s">
        <v>111</v>
      </c>
      <c r="BS405" t="s">
        <v>111</v>
      </c>
      <c r="BT405" t="s">
        <v>111</v>
      </c>
      <c r="BU405" t="s">
        <v>111</v>
      </c>
      <c r="BV405" t="s">
        <v>111</v>
      </c>
      <c r="BW405" t="s">
        <v>111</v>
      </c>
      <c r="BX405" t="s">
        <v>111</v>
      </c>
      <c r="BY405" t="s">
        <v>111</v>
      </c>
      <c r="BZ405" t="s">
        <v>111</v>
      </c>
      <c r="CA405" t="s">
        <v>111</v>
      </c>
      <c r="CB405" t="s">
        <v>111</v>
      </c>
      <c r="CC405" t="s">
        <v>111</v>
      </c>
      <c r="CD405" t="s">
        <v>111</v>
      </c>
      <c r="CE405" t="s">
        <v>111</v>
      </c>
      <c r="CF405" t="s">
        <v>111</v>
      </c>
      <c r="CG405" t="s">
        <v>111</v>
      </c>
      <c r="CH405" t="s">
        <v>111</v>
      </c>
      <c r="CI405" t="s">
        <v>111</v>
      </c>
      <c r="CJ405" t="s">
        <v>111</v>
      </c>
      <c r="CK405" t="s">
        <v>111</v>
      </c>
      <c r="CL405" t="s">
        <v>111</v>
      </c>
      <c r="CM405" t="s">
        <v>438</v>
      </c>
      <c r="CN405" t="s">
        <v>113</v>
      </c>
      <c r="CO405" t="s">
        <v>111</v>
      </c>
      <c r="CP405" t="s">
        <v>111</v>
      </c>
      <c r="CQ405">
        <v>0</v>
      </c>
      <c r="CR405">
        <v>3000</v>
      </c>
      <c r="CS405">
        <v>100</v>
      </c>
      <c r="CT405" s="1" t="s">
        <v>1529</v>
      </c>
      <c r="CU405">
        <v>0</v>
      </c>
      <c r="CV405" t="s">
        <v>111</v>
      </c>
      <c r="CW405" t="s">
        <v>111</v>
      </c>
      <c r="CX405" t="s">
        <v>111</v>
      </c>
      <c r="CY405">
        <v>0</v>
      </c>
      <c r="CZ405" t="s">
        <v>111</v>
      </c>
      <c r="DA405" t="s">
        <v>111</v>
      </c>
      <c r="DB405" t="e">
        <f>-INTERNO</f>
        <v>#NAME?</v>
      </c>
      <c r="DC405" t="s">
        <v>589</v>
      </c>
    </row>
    <row r="406" spans="1:107">
      <c r="A406">
        <v>957</v>
      </c>
      <c r="B406" t="s">
        <v>107</v>
      </c>
      <c r="C406" t="s">
        <v>1508</v>
      </c>
      <c r="D406" t="s">
        <v>1530</v>
      </c>
      <c r="E406" t="s">
        <v>1531</v>
      </c>
      <c r="F406" t="s">
        <v>431</v>
      </c>
      <c r="G406" t="s">
        <v>469</v>
      </c>
      <c r="H406">
        <v>4</v>
      </c>
      <c r="I406">
        <v>48</v>
      </c>
      <c r="J406">
        <v>0</v>
      </c>
      <c r="K406">
        <v>0</v>
      </c>
      <c r="L406" t="s">
        <v>117</v>
      </c>
      <c r="M406" t="s">
        <v>118</v>
      </c>
      <c r="N406">
        <v>39</v>
      </c>
      <c r="O406">
        <v>1</v>
      </c>
      <c r="P406" t="s">
        <v>111</v>
      </c>
      <c r="Q406">
        <v>50</v>
      </c>
      <c r="R406">
        <v>0</v>
      </c>
      <c r="S406">
        <v>0</v>
      </c>
      <c r="T406">
        <v>0</v>
      </c>
      <c r="U406" t="s">
        <v>501</v>
      </c>
      <c r="V406">
        <v>0</v>
      </c>
      <c r="W406">
        <v>250</v>
      </c>
      <c r="X406">
        <v>8</v>
      </c>
      <c r="Y406">
        <v>0</v>
      </c>
      <c r="Z406" t="s">
        <v>288</v>
      </c>
      <c r="AA406">
        <v>1.5</v>
      </c>
      <c r="AB406" t="s">
        <v>111</v>
      </c>
      <c r="AC406">
        <v>0</v>
      </c>
      <c r="AD406" t="s">
        <v>416</v>
      </c>
      <c r="AE406">
        <v>4</v>
      </c>
      <c r="AF406">
        <v>1</v>
      </c>
      <c r="AG406" t="s">
        <v>1532</v>
      </c>
      <c r="AH406" t="s">
        <v>113</v>
      </c>
      <c r="AI406" t="s">
        <v>1098</v>
      </c>
      <c r="AJ406" t="s">
        <v>111</v>
      </c>
      <c r="AK406" t="s">
        <v>111</v>
      </c>
      <c r="AL406" t="s">
        <v>111</v>
      </c>
      <c r="AM406">
        <v>0</v>
      </c>
      <c r="AN406">
        <v>0</v>
      </c>
      <c r="AO406">
        <v>0</v>
      </c>
      <c r="AP406" t="s">
        <v>111</v>
      </c>
      <c r="AQ406" t="s">
        <v>111</v>
      </c>
      <c r="AR406" t="s">
        <v>111</v>
      </c>
      <c r="AS406" t="s">
        <v>111</v>
      </c>
      <c r="AT406" t="s">
        <v>111</v>
      </c>
      <c r="AU406" t="s">
        <v>111</v>
      </c>
      <c r="AV406" t="s">
        <v>111</v>
      </c>
      <c r="AW406" t="s">
        <v>111</v>
      </c>
      <c r="AX406" t="s">
        <v>111</v>
      </c>
      <c r="AY406" t="s">
        <v>111</v>
      </c>
      <c r="AZ406" t="s">
        <v>111</v>
      </c>
      <c r="BA406" t="s">
        <v>111</v>
      </c>
      <c r="BB406" t="s">
        <v>111</v>
      </c>
      <c r="BC406" t="s">
        <v>111</v>
      </c>
      <c r="BD406" t="s">
        <v>111</v>
      </c>
      <c r="BE406" t="s">
        <v>111</v>
      </c>
      <c r="BF406" t="s">
        <v>111</v>
      </c>
      <c r="BG406" t="s">
        <v>111</v>
      </c>
      <c r="BH406" t="s">
        <v>111</v>
      </c>
      <c r="BI406" t="s">
        <v>111</v>
      </c>
      <c r="BJ406" t="s">
        <v>111</v>
      </c>
      <c r="BK406" t="s">
        <v>111</v>
      </c>
      <c r="BL406" t="s">
        <v>111</v>
      </c>
      <c r="BM406" t="s">
        <v>111</v>
      </c>
      <c r="BN406" t="s">
        <v>111</v>
      </c>
      <c r="BO406" t="s">
        <v>111</v>
      </c>
      <c r="BP406" t="s">
        <v>111</v>
      </c>
      <c r="BQ406" t="s">
        <v>111</v>
      </c>
      <c r="BR406" t="s">
        <v>111</v>
      </c>
      <c r="BS406" t="s">
        <v>111</v>
      </c>
      <c r="BT406" t="s">
        <v>111</v>
      </c>
      <c r="BU406" t="s">
        <v>111</v>
      </c>
      <c r="BV406" t="s">
        <v>111</v>
      </c>
      <c r="BW406" t="s">
        <v>111</v>
      </c>
      <c r="BX406" t="s">
        <v>111</v>
      </c>
      <c r="BY406" t="s">
        <v>111</v>
      </c>
      <c r="BZ406" t="s">
        <v>111</v>
      </c>
      <c r="CA406" t="s">
        <v>111</v>
      </c>
      <c r="CB406" t="s">
        <v>111</v>
      </c>
      <c r="CC406" t="s">
        <v>111</v>
      </c>
      <c r="CD406" t="s">
        <v>111</v>
      </c>
      <c r="CE406" t="s">
        <v>111</v>
      </c>
      <c r="CF406" t="s">
        <v>111</v>
      </c>
      <c r="CG406" t="s">
        <v>111</v>
      </c>
      <c r="CH406" t="s">
        <v>111</v>
      </c>
      <c r="CI406" t="s">
        <v>111</v>
      </c>
      <c r="CJ406" t="s">
        <v>111</v>
      </c>
      <c r="CK406" t="s">
        <v>111</v>
      </c>
      <c r="CL406" t="e">
        <f>-DESTINO SELLADO</f>
        <v>#NAME?</v>
      </c>
      <c r="CM406" t="s">
        <v>198</v>
      </c>
      <c r="CN406" t="s">
        <v>113</v>
      </c>
      <c r="CO406" t="s">
        <v>1533</v>
      </c>
      <c r="CP406" t="s">
        <v>111</v>
      </c>
      <c r="CQ406">
        <v>0</v>
      </c>
      <c r="CR406">
        <v>0</v>
      </c>
      <c r="CS406">
        <v>50</v>
      </c>
      <c r="CT406" t="s">
        <v>1534</v>
      </c>
      <c r="CU406">
        <v>0</v>
      </c>
      <c r="CV406" t="s">
        <v>111</v>
      </c>
      <c r="CW406" t="s">
        <v>111</v>
      </c>
      <c r="CX406" t="s">
        <v>111</v>
      </c>
      <c r="CY406">
        <v>0</v>
      </c>
      <c r="CZ406" t="s">
        <v>111</v>
      </c>
      <c r="DA406" t="s">
        <v>111</v>
      </c>
      <c r="DB406" t="s">
        <v>204</v>
      </c>
      <c r="DC406" t="e">
        <f>-TROQUEL</f>
        <v>#NAME?</v>
      </c>
    </row>
    <row r="407" spans="1:107">
      <c r="A407">
        <v>313</v>
      </c>
      <c r="B407" t="s">
        <v>162</v>
      </c>
      <c r="C407" t="s">
        <v>328</v>
      </c>
      <c r="D407" t="s">
        <v>1535</v>
      </c>
      <c r="E407" t="s">
        <v>1536</v>
      </c>
      <c r="F407" t="s">
        <v>125</v>
      </c>
      <c r="G407" t="s">
        <v>469</v>
      </c>
      <c r="H407">
        <v>1.8</v>
      </c>
      <c r="I407">
        <v>60</v>
      </c>
      <c r="J407">
        <v>0</v>
      </c>
      <c r="K407">
        <v>0</v>
      </c>
      <c r="L407" t="s">
        <v>178</v>
      </c>
      <c r="M407" t="s">
        <v>138</v>
      </c>
      <c r="N407">
        <v>0</v>
      </c>
      <c r="O407">
        <v>0</v>
      </c>
      <c r="P407" t="s">
        <v>138</v>
      </c>
      <c r="Q407">
        <v>49.2</v>
      </c>
      <c r="R407">
        <v>0</v>
      </c>
      <c r="S407">
        <v>0</v>
      </c>
      <c r="T407">
        <v>5</v>
      </c>
      <c r="U407" s="1" t="s">
        <v>1537</v>
      </c>
      <c r="V407">
        <v>25</v>
      </c>
      <c r="W407">
        <v>0</v>
      </c>
      <c r="X407">
        <v>6</v>
      </c>
      <c r="Y407">
        <v>0</v>
      </c>
      <c r="Z407" t="s">
        <v>111</v>
      </c>
      <c r="AA407">
        <v>0</v>
      </c>
      <c r="AB407" t="s">
        <v>111</v>
      </c>
      <c r="AC407">
        <v>0</v>
      </c>
      <c r="AD407" t="s">
        <v>111</v>
      </c>
      <c r="AE407">
        <v>0</v>
      </c>
      <c r="AF407">
        <v>0</v>
      </c>
      <c r="AG407" t="s">
        <v>111</v>
      </c>
      <c r="AH407" t="s">
        <v>111</v>
      </c>
      <c r="AI407" t="s">
        <v>111</v>
      </c>
      <c r="AJ407" t="s">
        <v>111</v>
      </c>
      <c r="AK407" t="s">
        <v>111</v>
      </c>
      <c r="AL407" t="s">
        <v>111</v>
      </c>
      <c r="AM407">
        <v>0</v>
      </c>
      <c r="AN407">
        <v>0</v>
      </c>
      <c r="AO407">
        <v>0</v>
      </c>
      <c r="AP407" t="s">
        <v>111</v>
      </c>
      <c r="AQ407" t="s">
        <v>111</v>
      </c>
      <c r="AR407" t="s">
        <v>111</v>
      </c>
      <c r="AS407" t="s">
        <v>111</v>
      </c>
      <c r="AT407" t="s">
        <v>111</v>
      </c>
      <c r="AU407" t="s">
        <v>111</v>
      </c>
      <c r="AV407" t="s">
        <v>111</v>
      </c>
      <c r="AW407" t="s">
        <v>111</v>
      </c>
      <c r="AX407" t="s">
        <v>111</v>
      </c>
      <c r="AY407" t="s">
        <v>111</v>
      </c>
      <c r="AZ407" t="s">
        <v>111</v>
      </c>
      <c r="BA407" t="s">
        <v>111</v>
      </c>
      <c r="BB407" t="s">
        <v>111</v>
      </c>
      <c r="BC407" t="s">
        <v>111</v>
      </c>
      <c r="BD407" t="s">
        <v>111</v>
      </c>
      <c r="BE407" t="s">
        <v>111</v>
      </c>
      <c r="BF407" t="s">
        <v>111</v>
      </c>
      <c r="BG407" t="s">
        <v>111</v>
      </c>
      <c r="BH407" t="s">
        <v>111</v>
      </c>
      <c r="BI407" t="s">
        <v>111</v>
      </c>
      <c r="BJ407" t="s">
        <v>111</v>
      </c>
      <c r="BK407" t="s">
        <v>111</v>
      </c>
      <c r="BL407" t="s">
        <v>111</v>
      </c>
      <c r="BM407" t="s">
        <v>111</v>
      </c>
      <c r="BN407" t="s">
        <v>111</v>
      </c>
      <c r="BO407" t="s">
        <v>111</v>
      </c>
      <c r="BP407" t="s">
        <v>111</v>
      </c>
      <c r="BQ407" t="s">
        <v>111</v>
      </c>
      <c r="BR407" t="s">
        <v>111</v>
      </c>
      <c r="BS407" t="s">
        <v>111</v>
      </c>
      <c r="BT407" t="s">
        <v>111</v>
      </c>
      <c r="BU407" t="s">
        <v>111</v>
      </c>
      <c r="BV407" t="s">
        <v>111</v>
      </c>
      <c r="BW407" t="s">
        <v>111</v>
      </c>
      <c r="BX407" t="s">
        <v>111</v>
      </c>
      <c r="BY407" t="s">
        <v>111</v>
      </c>
      <c r="BZ407" t="s">
        <v>111</v>
      </c>
      <c r="CA407" t="s">
        <v>111</v>
      </c>
      <c r="CB407" t="s">
        <v>111</v>
      </c>
      <c r="CC407" t="s">
        <v>111</v>
      </c>
      <c r="CD407" t="s">
        <v>111</v>
      </c>
      <c r="CE407" t="s">
        <v>111</v>
      </c>
      <c r="CF407" t="s">
        <v>111</v>
      </c>
      <c r="CG407" t="s">
        <v>111</v>
      </c>
      <c r="CH407" t="s">
        <v>111</v>
      </c>
      <c r="CI407" t="s">
        <v>111</v>
      </c>
      <c r="CJ407" t="s">
        <v>111</v>
      </c>
      <c r="CK407" t="s">
        <v>111</v>
      </c>
      <c r="CL407" t="s">
        <v>111</v>
      </c>
      <c r="CM407" t="s">
        <v>135</v>
      </c>
      <c r="CN407" t="s">
        <v>113</v>
      </c>
      <c r="CO407" t="s">
        <v>111</v>
      </c>
      <c r="CP407" t="s">
        <v>111</v>
      </c>
      <c r="CQ407">
        <v>65</v>
      </c>
      <c r="CR407">
        <v>1500</v>
      </c>
      <c r="CS407">
        <v>100</v>
      </c>
      <c r="CT407" s="1" t="s">
        <v>1538</v>
      </c>
      <c r="CU407">
        <v>0</v>
      </c>
      <c r="CV407" t="s">
        <v>111</v>
      </c>
      <c r="CW407" t="s">
        <v>111</v>
      </c>
      <c r="CX407" t="s">
        <v>111</v>
      </c>
      <c r="CY407">
        <v>0</v>
      </c>
      <c r="CZ407" t="s">
        <v>111</v>
      </c>
      <c r="DA407" t="s">
        <v>111</v>
      </c>
      <c r="DB407" t="s">
        <v>111</v>
      </c>
      <c r="DC407" s="1" t="s">
        <v>1539</v>
      </c>
    </row>
    <row r="408" spans="1:107">
      <c r="A408">
        <v>1105</v>
      </c>
      <c r="B408" t="s">
        <v>107</v>
      </c>
      <c r="C408" t="s">
        <v>434</v>
      </c>
      <c r="D408" t="s">
        <v>1540</v>
      </c>
      <c r="E408" t="s">
        <v>1541</v>
      </c>
      <c r="F408" t="s">
        <v>192</v>
      </c>
      <c r="G408" t="s">
        <v>469</v>
      </c>
      <c r="H408">
        <v>0.9</v>
      </c>
      <c r="I408">
        <v>56</v>
      </c>
      <c r="J408">
        <v>0</v>
      </c>
      <c r="K408">
        <v>0</v>
      </c>
      <c r="L408" t="s">
        <v>112</v>
      </c>
      <c r="M408" t="s">
        <v>111</v>
      </c>
      <c r="N408">
        <v>0</v>
      </c>
      <c r="O408">
        <v>0</v>
      </c>
      <c r="P408" t="s">
        <v>111</v>
      </c>
      <c r="Q408">
        <v>43.8</v>
      </c>
      <c r="R408">
        <v>0</v>
      </c>
      <c r="S408">
        <v>0</v>
      </c>
      <c r="T408">
        <v>5</v>
      </c>
      <c r="U408" t="s">
        <v>296</v>
      </c>
      <c r="V408">
        <v>0</v>
      </c>
      <c r="W408">
        <v>25</v>
      </c>
      <c r="X408">
        <v>5</v>
      </c>
      <c r="Y408">
        <v>0</v>
      </c>
      <c r="Z408" t="s">
        <v>111</v>
      </c>
      <c r="AA408">
        <v>0</v>
      </c>
      <c r="AB408" t="s">
        <v>111</v>
      </c>
      <c r="AC408">
        <v>0</v>
      </c>
      <c r="AD408" t="s">
        <v>111</v>
      </c>
      <c r="AE408">
        <v>0</v>
      </c>
      <c r="AF408">
        <v>0</v>
      </c>
      <c r="AG408" t="s">
        <v>111</v>
      </c>
      <c r="AH408" t="s">
        <v>111</v>
      </c>
      <c r="AI408" t="s">
        <v>111</v>
      </c>
      <c r="AJ408" t="s">
        <v>111</v>
      </c>
      <c r="AK408" t="s">
        <v>111</v>
      </c>
      <c r="AL408" t="s">
        <v>111</v>
      </c>
      <c r="AM408">
        <v>0</v>
      </c>
      <c r="AN408">
        <v>0</v>
      </c>
      <c r="AO408">
        <v>0</v>
      </c>
      <c r="AP408" t="s">
        <v>111</v>
      </c>
      <c r="AQ408" t="s">
        <v>111</v>
      </c>
      <c r="AR408" t="s">
        <v>111</v>
      </c>
      <c r="AS408" t="s">
        <v>111</v>
      </c>
      <c r="AT408" t="s">
        <v>111</v>
      </c>
      <c r="AU408" t="s">
        <v>111</v>
      </c>
      <c r="AV408" t="s">
        <v>111</v>
      </c>
      <c r="AW408" t="s">
        <v>111</v>
      </c>
      <c r="AX408" t="s">
        <v>111</v>
      </c>
      <c r="AY408" t="s">
        <v>111</v>
      </c>
      <c r="AZ408" t="s">
        <v>111</v>
      </c>
      <c r="BA408" t="s">
        <v>111</v>
      </c>
      <c r="BB408" t="s">
        <v>111</v>
      </c>
      <c r="BC408" t="s">
        <v>111</v>
      </c>
      <c r="BD408" t="s">
        <v>111</v>
      </c>
      <c r="BE408" t="s">
        <v>111</v>
      </c>
      <c r="BF408" t="s">
        <v>111</v>
      </c>
      <c r="BG408" t="s">
        <v>111</v>
      </c>
      <c r="BH408" t="s">
        <v>111</v>
      </c>
      <c r="BI408" t="s">
        <v>111</v>
      </c>
      <c r="BJ408" t="s">
        <v>111</v>
      </c>
      <c r="BK408" t="s">
        <v>111</v>
      </c>
      <c r="BL408" t="s">
        <v>111</v>
      </c>
      <c r="BM408" t="s">
        <v>111</v>
      </c>
      <c r="BN408" t="s">
        <v>111</v>
      </c>
      <c r="BO408" t="s">
        <v>111</v>
      </c>
      <c r="BP408" t="s">
        <v>111</v>
      </c>
      <c r="BQ408" t="s">
        <v>111</v>
      </c>
      <c r="BR408" t="s">
        <v>111</v>
      </c>
      <c r="BS408" t="s">
        <v>111</v>
      </c>
      <c r="BT408" t="s">
        <v>111</v>
      </c>
      <c r="BU408" t="s">
        <v>111</v>
      </c>
      <c r="BV408" t="s">
        <v>111</v>
      </c>
      <c r="BW408" t="s">
        <v>111</v>
      </c>
      <c r="BX408" t="s">
        <v>111</v>
      </c>
      <c r="BY408" t="s">
        <v>111</v>
      </c>
      <c r="BZ408" t="s">
        <v>111</v>
      </c>
      <c r="CA408" t="s">
        <v>111</v>
      </c>
      <c r="CB408" t="s">
        <v>111</v>
      </c>
      <c r="CC408" t="s">
        <v>111</v>
      </c>
      <c r="CD408" t="s">
        <v>111</v>
      </c>
      <c r="CE408" t="s">
        <v>111</v>
      </c>
      <c r="CF408" t="s">
        <v>111</v>
      </c>
      <c r="CG408" t="s">
        <v>111</v>
      </c>
      <c r="CH408" t="s">
        <v>111</v>
      </c>
      <c r="CI408" t="s">
        <v>111</v>
      </c>
      <c r="CJ408" t="s">
        <v>111</v>
      </c>
      <c r="CK408" t="s">
        <v>111</v>
      </c>
      <c r="CL408" t="s">
        <v>111</v>
      </c>
      <c r="CM408" t="s">
        <v>438</v>
      </c>
      <c r="CN408" t="s">
        <v>113</v>
      </c>
      <c r="CO408" t="s">
        <v>111</v>
      </c>
      <c r="CP408" t="s">
        <v>111</v>
      </c>
      <c r="CQ408">
        <v>60</v>
      </c>
      <c r="CR408">
        <v>4000</v>
      </c>
      <c r="CS408">
        <v>100</v>
      </c>
      <c r="CT408" s="1" t="s">
        <v>1542</v>
      </c>
      <c r="CU408">
        <v>0</v>
      </c>
      <c r="CV408" t="s">
        <v>111</v>
      </c>
      <c r="CW408" t="s">
        <v>111</v>
      </c>
      <c r="CX408" t="s">
        <v>111</v>
      </c>
      <c r="CY408">
        <v>0</v>
      </c>
      <c r="CZ408" t="s">
        <v>111</v>
      </c>
      <c r="DA408" t="s">
        <v>111</v>
      </c>
      <c r="DB408" t="s">
        <v>111</v>
      </c>
      <c r="DC408" t="s">
        <v>111</v>
      </c>
    </row>
    <row r="409" spans="1:107">
      <c r="A409">
        <v>1102</v>
      </c>
      <c r="B409" t="s">
        <v>107</v>
      </c>
      <c r="C409" t="s">
        <v>434</v>
      </c>
      <c r="D409" t="s">
        <v>1543</v>
      </c>
      <c r="E409" t="s">
        <v>1544</v>
      </c>
      <c r="F409" t="s">
        <v>192</v>
      </c>
      <c r="G409" t="s">
        <v>469</v>
      </c>
      <c r="H409">
        <v>0.9</v>
      </c>
      <c r="I409">
        <v>76</v>
      </c>
      <c r="J409">
        <v>0</v>
      </c>
      <c r="K409">
        <v>0</v>
      </c>
      <c r="L409" t="s">
        <v>112</v>
      </c>
      <c r="M409" t="s">
        <v>111</v>
      </c>
      <c r="N409">
        <v>0</v>
      </c>
      <c r="O409">
        <v>0</v>
      </c>
      <c r="P409" t="s">
        <v>111</v>
      </c>
      <c r="Q409">
        <v>43</v>
      </c>
      <c r="R409">
        <v>0</v>
      </c>
      <c r="S409">
        <v>0</v>
      </c>
      <c r="T409">
        <v>5</v>
      </c>
      <c r="U409" s="1" t="s">
        <v>1545</v>
      </c>
      <c r="V409">
        <v>0</v>
      </c>
      <c r="W409">
        <v>25</v>
      </c>
      <c r="X409">
        <v>5</v>
      </c>
      <c r="Y409">
        <v>0</v>
      </c>
      <c r="Z409" t="s">
        <v>111</v>
      </c>
      <c r="AA409">
        <v>0</v>
      </c>
      <c r="AB409" t="s">
        <v>111</v>
      </c>
      <c r="AC409">
        <v>0</v>
      </c>
      <c r="AD409" t="s">
        <v>111</v>
      </c>
      <c r="AE409">
        <v>0</v>
      </c>
      <c r="AF409">
        <v>0</v>
      </c>
      <c r="AG409" t="s">
        <v>111</v>
      </c>
      <c r="AH409" t="s">
        <v>111</v>
      </c>
      <c r="AI409" t="s">
        <v>111</v>
      </c>
      <c r="AJ409" t="s">
        <v>111</v>
      </c>
      <c r="AK409" t="s">
        <v>111</v>
      </c>
      <c r="AL409" t="s">
        <v>111</v>
      </c>
      <c r="AM409">
        <v>0</v>
      </c>
      <c r="AN409">
        <v>0</v>
      </c>
      <c r="AO409">
        <v>0</v>
      </c>
      <c r="AP409" t="s">
        <v>111</v>
      </c>
      <c r="AQ409" t="s">
        <v>111</v>
      </c>
      <c r="AR409" t="s">
        <v>111</v>
      </c>
      <c r="AS409" t="s">
        <v>111</v>
      </c>
      <c r="AT409" t="s">
        <v>111</v>
      </c>
      <c r="AU409" t="s">
        <v>111</v>
      </c>
      <c r="AV409" t="s">
        <v>111</v>
      </c>
      <c r="AW409" t="s">
        <v>111</v>
      </c>
      <c r="AX409" t="s">
        <v>111</v>
      </c>
      <c r="AY409" t="s">
        <v>111</v>
      </c>
      <c r="AZ409" t="s">
        <v>111</v>
      </c>
      <c r="BA409" t="s">
        <v>111</v>
      </c>
      <c r="BB409" t="s">
        <v>111</v>
      </c>
      <c r="BC409" t="s">
        <v>111</v>
      </c>
      <c r="BD409" t="s">
        <v>111</v>
      </c>
      <c r="BE409" t="s">
        <v>111</v>
      </c>
      <c r="BF409" t="s">
        <v>111</v>
      </c>
      <c r="BG409" t="s">
        <v>111</v>
      </c>
      <c r="BH409" t="s">
        <v>111</v>
      </c>
      <c r="BI409" t="s">
        <v>111</v>
      </c>
      <c r="BJ409" t="s">
        <v>111</v>
      </c>
      <c r="BK409" t="s">
        <v>111</v>
      </c>
      <c r="BL409" t="s">
        <v>111</v>
      </c>
      <c r="BM409" t="s">
        <v>111</v>
      </c>
      <c r="BN409" t="s">
        <v>111</v>
      </c>
      <c r="BO409" t="s">
        <v>111</v>
      </c>
      <c r="BP409" t="s">
        <v>111</v>
      </c>
      <c r="BQ409" t="s">
        <v>111</v>
      </c>
      <c r="BR409" t="s">
        <v>111</v>
      </c>
      <c r="BS409" t="s">
        <v>111</v>
      </c>
      <c r="BT409" t="s">
        <v>111</v>
      </c>
      <c r="BU409" t="s">
        <v>111</v>
      </c>
      <c r="BV409" t="s">
        <v>111</v>
      </c>
      <c r="BW409" t="s">
        <v>111</v>
      </c>
      <c r="BX409" t="s">
        <v>111</v>
      </c>
      <c r="BY409" t="s">
        <v>111</v>
      </c>
      <c r="BZ409" t="s">
        <v>111</v>
      </c>
      <c r="CA409" t="s">
        <v>111</v>
      </c>
      <c r="CB409" t="s">
        <v>111</v>
      </c>
      <c r="CC409" t="s">
        <v>111</v>
      </c>
      <c r="CD409" t="s">
        <v>111</v>
      </c>
      <c r="CE409" t="s">
        <v>111</v>
      </c>
      <c r="CF409" t="s">
        <v>111</v>
      </c>
      <c r="CG409" t="s">
        <v>111</v>
      </c>
      <c r="CH409" t="s">
        <v>111</v>
      </c>
      <c r="CI409" t="s">
        <v>111</v>
      </c>
      <c r="CJ409" t="s">
        <v>111</v>
      </c>
      <c r="CK409" t="s">
        <v>111</v>
      </c>
      <c r="CL409" t="s">
        <v>111</v>
      </c>
      <c r="CM409" t="s">
        <v>438</v>
      </c>
      <c r="CN409" t="s">
        <v>113</v>
      </c>
      <c r="CO409" t="s">
        <v>111</v>
      </c>
      <c r="CP409" t="s">
        <v>111</v>
      </c>
      <c r="CQ409">
        <v>62</v>
      </c>
      <c r="CR409">
        <v>5000</v>
      </c>
      <c r="CS409">
        <v>100</v>
      </c>
      <c r="CT409" s="1" t="s">
        <v>1546</v>
      </c>
      <c r="CU409">
        <v>0</v>
      </c>
      <c r="CV409" t="s">
        <v>111</v>
      </c>
      <c r="CW409" t="s">
        <v>111</v>
      </c>
      <c r="CX409" t="s">
        <v>111</v>
      </c>
      <c r="CY409">
        <v>0</v>
      </c>
      <c r="CZ409" t="s">
        <v>111</v>
      </c>
      <c r="DA409" t="s">
        <v>111</v>
      </c>
      <c r="DB409" t="s">
        <v>111</v>
      </c>
      <c r="DC409" t="s">
        <v>111</v>
      </c>
    </row>
    <row r="410" spans="1:107">
      <c r="A410">
        <v>1101</v>
      </c>
      <c r="B410" t="s">
        <v>107</v>
      </c>
      <c r="C410" t="s">
        <v>1176</v>
      </c>
      <c r="D410" t="s">
        <v>1547</v>
      </c>
      <c r="E410" t="s">
        <v>1548</v>
      </c>
      <c r="F410" t="s">
        <v>431</v>
      </c>
      <c r="G410" t="s">
        <v>469</v>
      </c>
      <c r="H410">
        <v>1.5</v>
      </c>
      <c r="I410">
        <v>71</v>
      </c>
      <c r="J410">
        <v>0</v>
      </c>
      <c r="K410">
        <v>0</v>
      </c>
      <c r="L410" t="s">
        <v>112</v>
      </c>
      <c r="M410" t="s">
        <v>118</v>
      </c>
      <c r="N410">
        <v>39</v>
      </c>
      <c r="O410">
        <v>1</v>
      </c>
      <c r="P410" t="s">
        <v>138</v>
      </c>
      <c r="Q410">
        <v>54</v>
      </c>
      <c r="R410">
        <v>0</v>
      </c>
      <c r="S410">
        <v>0</v>
      </c>
      <c r="T410">
        <v>5</v>
      </c>
      <c r="U410" t="s">
        <v>501</v>
      </c>
      <c r="V410">
        <v>0</v>
      </c>
      <c r="W410">
        <v>25</v>
      </c>
      <c r="X410">
        <v>6</v>
      </c>
      <c r="Y410">
        <v>0</v>
      </c>
      <c r="Z410" t="s">
        <v>111</v>
      </c>
      <c r="AA410">
        <v>0</v>
      </c>
      <c r="AB410" t="s">
        <v>111</v>
      </c>
      <c r="AC410">
        <v>0</v>
      </c>
      <c r="AD410" t="s">
        <v>416</v>
      </c>
      <c r="AE410">
        <v>0</v>
      </c>
      <c r="AF410">
        <v>0</v>
      </c>
      <c r="AG410" t="s">
        <v>111</v>
      </c>
      <c r="AH410" t="s">
        <v>111</v>
      </c>
      <c r="AI410" t="s">
        <v>111</v>
      </c>
      <c r="AJ410" t="s">
        <v>111</v>
      </c>
      <c r="AK410" t="s">
        <v>111</v>
      </c>
      <c r="AL410" t="s">
        <v>111</v>
      </c>
      <c r="AM410">
        <v>0</v>
      </c>
      <c r="AN410">
        <v>0</v>
      </c>
      <c r="AO410">
        <v>0</v>
      </c>
      <c r="AP410" t="s">
        <v>111</v>
      </c>
      <c r="AQ410" t="s">
        <v>111</v>
      </c>
      <c r="AR410" t="s">
        <v>111</v>
      </c>
      <c r="AS410" t="s">
        <v>111</v>
      </c>
      <c r="AT410" t="s">
        <v>111</v>
      </c>
      <c r="AU410" t="s">
        <v>111</v>
      </c>
      <c r="AV410" t="s">
        <v>111</v>
      </c>
      <c r="AW410" t="s">
        <v>111</v>
      </c>
      <c r="AX410" t="s">
        <v>111</v>
      </c>
      <c r="AY410" t="s">
        <v>111</v>
      </c>
      <c r="AZ410" t="s">
        <v>111</v>
      </c>
      <c r="BA410" t="s">
        <v>111</v>
      </c>
      <c r="BB410" t="s">
        <v>111</v>
      </c>
      <c r="BC410" t="s">
        <v>111</v>
      </c>
      <c r="BD410" t="s">
        <v>111</v>
      </c>
      <c r="BE410" t="s">
        <v>111</v>
      </c>
      <c r="BF410" t="s">
        <v>111</v>
      </c>
      <c r="BG410" t="s">
        <v>111</v>
      </c>
      <c r="BH410" t="s">
        <v>111</v>
      </c>
      <c r="BI410" t="s">
        <v>111</v>
      </c>
      <c r="BJ410" t="s">
        <v>111</v>
      </c>
      <c r="BK410" t="s">
        <v>111</v>
      </c>
      <c r="BL410" t="s">
        <v>111</v>
      </c>
      <c r="BM410" t="s">
        <v>111</v>
      </c>
      <c r="BN410" t="s">
        <v>111</v>
      </c>
      <c r="BO410" t="s">
        <v>111</v>
      </c>
      <c r="BP410" t="s">
        <v>111</v>
      </c>
      <c r="BQ410" t="s">
        <v>111</v>
      </c>
      <c r="BR410" t="s">
        <v>111</v>
      </c>
      <c r="BS410" t="s">
        <v>111</v>
      </c>
      <c r="BT410" t="s">
        <v>111</v>
      </c>
      <c r="BU410" t="s">
        <v>111</v>
      </c>
      <c r="BV410" t="s">
        <v>111</v>
      </c>
      <c r="BW410" t="s">
        <v>111</v>
      </c>
      <c r="BX410" t="s">
        <v>111</v>
      </c>
      <c r="BY410" t="s">
        <v>111</v>
      </c>
      <c r="BZ410" t="s">
        <v>111</v>
      </c>
      <c r="CA410" t="s">
        <v>111</v>
      </c>
      <c r="CB410" t="s">
        <v>111</v>
      </c>
      <c r="CC410" t="s">
        <v>111</v>
      </c>
      <c r="CD410" t="s">
        <v>111</v>
      </c>
      <c r="CE410" t="s">
        <v>111</v>
      </c>
      <c r="CF410" t="s">
        <v>111</v>
      </c>
      <c r="CG410" t="s">
        <v>111</v>
      </c>
      <c r="CH410" t="s">
        <v>111</v>
      </c>
      <c r="CI410" t="s">
        <v>111</v>
      </c>
      <c r="CJ410" t="s">
        <v>111</v>
      </c>
      <c r="CK410" t="s">
        <v>111</v>
      </c>
      <c r="CL410" t="e">
        <f>-DESTINOM SELLADO</f>
        <v>#NAME?</v>
      </c>
      <c r="CM410" t="s">
        <v>135</v>
      </c>
      <c r="CN410" t="s">
        <v>113</v>
      </c>
      <c r="CO410" t="s">
        <v>111</v>
      </c>
      <c r="CP410" t="e">
        <f>-MUESTRA</f>
        <v>#NAME?</v>
      </c>
      <c r="CQ410">
        <v>0</v>
      </c>
      <c r="CR410">
        <v>1000</v>
      </c>
      <c r="CS410">
        <v>50</v>
      </c>
      <c r="CT410" t="s">
        <v>1549</v>
      </c>
      <c r="CU410">
        <v>0</v>
      </c>
      <c r="CV410" t="s">
        <v>111</v>
      </c>
      <c r="CW410" t="s">
        <v>111</v>
      </c>
      <c r="CX410" t="s">
        <v>111</v>
      </c>
      <c r="CY410">
        <v>0</v>
      </c>
      <c r="CZ410" t="s">
        <v>111</v>
      </c>
      <c r="DA410" t="s">
        <v>111</v>
      </c>
      <c r="DB410" t="s">
        <v>111</v>
      </c>
      <c r="DC410" t="s">
        <v>111</v>
      </c>
    </row>
    <row r="411" spans="1:107">
      <c r="A411">
        <v>1097</v>
      </c>
      <c r="B411" t="s">
        <v>107</v>
      </c>
      <c r="C411" t="s">
        <v>549</v>
      </c>
      <c r="D411" t="s">
        <v>1550</v>
      </c>
      <c r="E411" t="s">
        <v>1551</v>
      </c>
      <c r="F411" t="s">
        <v>192</v>
      </c>
      <c r="G411" t="s">
        <v>469</v>
      </c>
      <c r="H411">
        <v>2</v>
      </c>
      <c r="I411">
        <v>21.3</v>
      </c>
      <c r="J411">
        <v>8</v>
      </c>
      <c r="K411">
        <v>8</v>
      </c>
      <c r="L411" t="s">
        <v>112</v>
      </c>
      <c r="M411" t="s">
        <v>118</v>
      </c>
      <c r="N411">
        <v>37</v>
      </c>
      <c r="O411">
        <v>2</v>
      </c>
      <c r="P411" t="s">
        <v>138</v>
      </c>
      <c r="Q411">
        <v>30</v>
      </c>
      <c r="R411">
        <v>0</v>
      </c>
      <c r="S411">
        <v>0</v>
      </c>
      <c r="T411">
        <v>5</v>
      </c>
      <c r="U411" s="1" t="s">
        <v>1552</v>
      </c>
      <c r="V411">
        <v>0</v>
      </c>
      <c r="W411">
        <v>25</v>
      </c>
      <c r="X411">
        <v>8</v>
      </c>
      <c r="Y411">
        <v>0</v>
      </c>
      <c r="Z411" t="s">
        <v>111</v>
      </c>
      <c r="AA411">
        <v>0</v>
      </c>
      <c r="AB411" t="s">
        <v>1553</v>
      </c>
      <c r="AC411">
        <v>8</v>
      </c>
      <c r="AD411" t="s">
        <v>111</v>
      </c>
      <c r="AE411">
        <v>0</v>
      </c>
      <c r="AF411">
        <v>0</v>
      </c>
      <c r="AG411" t="s">
        <v>111</v>
      </c>
      <c r="AH411" t="s">
        <v>111</v>
      </c>
      <c r="AI411" t="s">
        <v>111</v>
      </c>
      <c r="AJ411" t="s">
        <v>111</v>
      </c>
      <c r="AK411" t="s">
        <v>111</v>
      </c>
      <c r="AL411" t="s">
        <v>111</v>
      </c>
      <c r="AM411">
        <v>0</v>
      </c>
      <c r="AN411">
        <v>0</v>
      </c>
      <c r="AO411">
        <v>0</v>
      </c>
      <c r="AP411" t="s">
        <v>111</v>
      </c>
      <c r="AQ411" t="s">
        <v>111</v>
      </c>
      <c r="AR411" t="s">
        <v>111</v>
      </c>
      <c r="AS411" t="s">
        <v>111</v>
      </c>
      <c r="AT411" t="s">
        <v>111</v>
      </c>
      <c r="AU411" t="s">
        <v>111</v>
      </c>
      <c r="AV411" t="s">
        <v>111</v>
      </c>
      <c r="AW411" t="s">
        <v>111</v>
      </c>
      <c r="AX411" t="s">
        <v>111</v>
      </c>
      <c r="AY411" t="s">
        <v>111</v>
      </c>
      <c r="AZ411" t="s">
        <v>111</v>
      </c>
      <c r="BA411" t="s">
        <v>111</v>
      </c>
      <c r="BB411" t="s">
        <v>111</v>
      </c>
      <c r="BC411" t="s">
        <v>111</v>
      </c>
      <c r="BD411" t="s">
        <v>111</v>
      </c>
      <c r="BE411" t="s">
        <v>111</v>
      </c>
      <c r="BF411" t="s">
        <v>111</v>
      </c>
      <c r="BG411" t="s">
        <v>111</v>
      </c>
      <c r="BH411" t="s">
        <v>111</v>
      </c>
      <c r="BI411" t="s">
        <v>111</v>
      </c>
      <c r="BJ411" t="s">
        <v>111</v>
      </c>
      <c r="BK411" t="s">
        <v>111</v>
      </c>
      <c r="BL411" t="s">
        <v>111</v>
      </c>
      <c r="BM411" t="s">
        <v>111</v>
      </c>
      <c r="BN411" t="s">
        <v>111</v>
      </c>
      <c r="BO411" t="s">
        <v>111</v>
      </c>
      <c r="BP411" t="s">
        <v>111</v>
      </c>
      <c r="BQ411" t="s">
        <v>111</v>
      </c>
      <c r="BR411" t="s">
        <v>111</v>
      </c>
      <c r="BS411" t="s">
        <v>111</v>
      </c>
      <c r="BT411" t="s">
        <v>111</v>
      </c>
      <c r="BU411" t="s">
        <v>111</v>
      </c>
      <c r="BV411" t="s">
        <v>111</v>
      </c>
      <c r="BW411" t="s">
        <v>111</v>
      </c>
      <c r="BX411" t="s">
        <v>111</v>
      </c>
      <c r="BY411" t="s">
        <v>111</v>
      </c>
      <c r="BZ411" t="s">
        <v>111</v>
      </c>
      <c r="CA411" t="s">
        <v>111</v>
      </c>
      <c r="CB411" t="s">
        <v>111</v>
      </c>
      <c r="CC411" t="s">
        <v>111</v>
      </c>
      <c r="CD411" t="s">
        <v>111</v>
      </c>
      <c r="CE411" t="s">
        <v>111</v>
      </c>
      <c r="CF411" t="s">
        <v>111</v>
      </c>
      <c r="CG411" t="s">
        <v>111</v>
      </c>
      <c r="CH411" t="s">
        <v>111</v>
      </c>
      <c r="CI411" t="s">
        <v>111</v>
      </c>
      <c r="CJ411" t="s">
        <v>111</v>
      </c>
      <c r="CK411" t="s">
        <v>111</v>
      </c>
      <c r="CL411" t="s">
        <v>111</v>
      </c>
      <c r="CM411" t="s">
        <v>135</v>
      </c>
      <c r="CN411" t="s">
        <v>128</v>
      </c>
      <c r="CO411" t="s">
        <v>111</v>
      </c>
      <c r="CP411" t="s">
        <v>111</v>
      </c>
      <c r="CQ411">
        <v>48</v>
      </c>
      <c r="CR411">
        <v>1000</v>
      </c>
      <c r="CS411">
        <v>50</v>
      </c>
      <c r="CT411" s="1" t="s">
        <v>1554</v>
      </c>
      <c r="CU411">
        <v>0</v>
      </c>
      <c r="CV411" t="s">
        <v>111</v>
      </c>
      <c r="CW411" t="s">
        <v>111</v>
      </c>
      <c r="CX411" t="s">
        <v>111</v>
      </c>
      <c r="CY411">
        <v>0</v>
      </c>
      <c r="CZ411" t="s">
        <v>111</v>
      </c>
      <c r="DA411" t="s">
        <v>111</v>
      </c>
      <c r="DB411" t="s">
        <v>111</v>
      </c>
      <c r="DC411" t="s">
        <v>111</v>
      </c>
    </row>
    <row r="412" spans="1:107">
      <c r="A412">
        <v>1082</v>
      </c>
      <c r="B412" t="s">
        <v>162</v>
      </c>
      <c r="C412" t="s">
        <v>768</v>
      </c>
      <c r="D412" t="s">
        <v>1555</v>
      </c>
      <c r="E412" t="s">
        <v>1556</v>
      </c>
      <c r="F412" t="s">
        <v>561</v>
      </c>
      <c r="G412" t="s">
        <v>469</v>
      </c>
      <c r="H412">
        <v>3</v>
      </c>
      <c r="I412">
        <v>45</v>
      </c>
      <c r="J412">
        <v>0</v>
      </c>
      <c r="K412">
        <v>0</v>
      </c>
      <c r="L412" t="s">
        <v>112</v>
      </c>
      <c r="M412" t="s">
        <v>118</v>
      </c>
      <c r="N412">
        <v>39</v>
      </c>
      <c r="O412">
        <v>2</v>
      </c>
      <c r="P412" t="s">
        <v>138</v>
      </c>
      <c r="Q412">
        <v>36.6</v>
      </c>
      <c r="R412">
        <v>0</v>
      </c>
      <c r="S412">
        <v>0</v>
      </c>
      <c r="T412">
        <v>5</v>
      </c>
      <c r="U412" s="1" t="s">
        <v>1557</v>
      </c>
      <c r="V412">
        <v>25</v>
      </c>
      <c r="W412">
        <v>0</v>
      </c>
      <c r="X412">
        <v>8</v>
      </c>
      <c r="Y412">
        <v>0</v>
      </c>
      <c r="Z412" t="s">
        <v>288</v>
      </c>
      <c r="AA412">
        <v>0.3</v>
      </c>
      <c r="AB412" t="s">
        <v>111</v>
      </c>
      <c r="AC412">
        <v>0</v>
      </c>
      <c r="AD412" t="s">
        <v>416</v>
      </c>
      <c r="AE412">
        <v>0</v>
      </c>
      <c r="AF412">
        <v>1</v>
      </c>
      <c r="AG412" t="s">
        <v>111</v>
      </c>
      <c r="AH412" t="s">
        <v>113</v>
      </c>
      <c r="AI412" t="s">
        <v>111</v>
      </c>
      <c r="AJ412" t="s">
        <v>111</v>
      </c>
      <c r="AK412" t="s">
        <v>111</v>
      </c>
      <c r="AL412" t="s">
        <v>111</v>
      </c>
      <c r="AM412">
        <v>0</v>
      </c>
      <c r="AN412">
        <v>0</v>
      </c>
      <c r="AO412">
        <v>0</v>
      </c>
      <c r="AP412" t="s">
        <v>111</v>
      </c>
      <c r="AQ412" t="s">
        <v>111</v>
      </c>
      <c r="AR412" t="s">
        <v>111</v>
      </c>
      <c r="AS412" t="s">
        <v>111</v>
      </c>
      <c r="AT412" t="s">
        <v>111</v>
      </c>
      <c r="AU412" t="s">
        <v>111</v>
      </c>
      <c r="AV412" t="s">
        <v>111</v>
      </c>
      <c r="AW412" t="s">
        <v>111</v>
      </c>
      <c r="AX412" t="s">
        <v>111</v>
      </c>
      <c r="AY412" t="s">
        <v>111</v>
      </c>
      <c r="AZ412" t="s">
        <v>111</v>
      </c>
      <c r="BA412" t="s">
        <v>111</v>
      </c>
      <c r="BB412" t="s">
        <v>111</v>
      </c>
      <c r="BC412" t="s">
        <v>111</v>
      </c>
      <c r="BD412" t="s">
        <v>111</v>
      </c>
      <c r="BE412" t="s">
        <v>111</v>
      </c>
      <c r="BF412" t="s">
        <v>111</v>
      </c>
      <c r="BG412" t="s">
        <v>111</v>
      </c>
      <c r="BH412" t="s">
        <v>111</v>
      </c>
      <c r="BI412" t="s">
        <v>111</v>
      </c>
      <c r="BJ412" t="s">
        <v>111</v>
      </c>
      <c r="BK412" t="s">
        <v>111</v>
      </c>
      <c r="BL412" t="s">
        <v>111</v>
      </c>
      <c r="BM412" t="s">
        <v>111</v>
      </c>
      <c r="BN412" t="s">
        <v>111</v>
      </c>
      <c r="BO412" t="s">
        <v>111</v>
      </c>
      <c r="BP412" t="s">
        <v>111</v>
      </c>
      <c r="BQ412" t="s">
        <v>111</v>
      </c>
      <c r="BR412" t="s">
        <v>111</v>
      </c>
      <c r="BS412" t="s">
        <v>111</v>
      </c>
      <c r="BT412" t="s">
        <v>111</v>
      </c>
      <c r="BU412" t="s">
        <v>111</v>
      </c>
      <c r="BV412" t="s">
        <v>111</v>
      </c>
      <c r="BW412" t="s">
        <v>111</v>
      </c>
      <c r="BX412" t="s">
        <v>111</v>
      </c>
      <c r="BY412" t="s">
        <v>111</v>
      </c>
      <c r="BZ412" t="s">
        <v>111</v>
      </c>
      <c r="CA412" t="s">
        <v>111</v>
      </c>
      <c r="CB412" t="s">
        <v>111</v>
      </c>
      <c r="CC412" t="s">
        <v>111</v>
      </c>
      <c r="CD412" t="s">
        <v>111</v>
      </c>
      <c r="CE412" t="s">
        <v>111</v>
      </c>
      <c r="CF412" t="s">
        <v>111</v>
      </c>
      <c r="CG412" t="s">
        <v>111</v>
      </c>
      <c r="CH412" t="s">
        <v>111</v>
      </c>
      <c r="CI412" t="s">
        <v>111</v>
      </c>
      <c r="CJ412" t="s">
        <v>111</v>
      </c>
      <c r="CK412" t="s">
        <v>111</v>
      </c>
      <c r="CL412" t="e">
        <f>-DESTINO SELLDO</f>
        <v>#NAME?</v>
      </c>
      <c r="CM412" t="s">
        <v>135</v>
      </c>
      <c r="CN412" t="s">
        <v>113</v>
      </c>
      <c r="CO412" t="s">
        <v>111</v>
      </c>
      <c r="CP412" t="e">
        <f>-MUESTRA</f>
        <v>#NAME?</v>
      </c>
      <c r="CQ412">
        <v>0</v>
      </c>
      <c r="CR412">
        <v>0</v>
      </c>
      <c r="CS412">
        <v>100</v>
      </c>
      <c r="CT412" s="1" t="s">
        <v>1558</v>
      </c>
      <c r="CU412">
        <v>0</v>
      </c>
      <c r="CV412" t="s">
        <v>111</v>
      </c>
      <c r="CW412" t="s">
        <v>111</v>
      </c>
      <c r="CX412" t="s">
        <v>111</v>
      </c>
      <c r="CY412">
        <v>0</v>
      </c>
      <c r="CZ412" t="s">
        <v>111</v>
      </c>
      <c r="DA412" t="s">
        <v>111</v>
      </c>
      <c r="DB412" t="e">
        <f>-INTERNO</f>
        <v>#NAME?</v>
      </c>
      <c r="DC412" t="e">
        <f>-COLOCAR TIRA NEGRA</f>
        <v>#NAME?</v>
      </c>
    </row>
    <row r="413" spans="1:107">
      <c r="A413">
        <v>1081</v>
      </c>
      <c r="B413" t="s">
        <v>107</v>
      </c>
      <c r="C413" t="s">
        <v>454</v>
      </c>
      <c r="D413" t="s">
        <v>1559</v>
      </c>
      <c r="E413" t="s">
        <v>1560</v>
      </c>
      <c r="F413" t="s">
        <v>739</v>
      </c>
      <c r="G413" t="s">
        <v>469</v>
      </c>
      <c r="H413">
        <v>2.2999999999999998</v>
      </c>
      <c r="I413">
        <v>55</v>
      </c>
      <c r="J413">
        <v>0</v>
      </c>
      <c r="K413">
        <v>0</v>
      </c>
      <c r="L413" t="s">
        <v>112</v>
      </c>
      <c r="M413" t="s">
        <v>118</v>
      </c>
      <c r="N413">
        <v>40</v>
      </c>
      <c r="O413">
        <v>1</v>
      </c>
      <c r="P413" t="s">
        <v>138</v>
      </c>
      <c r="Q413">
        <v>55</v>
      </c>
      <c r="R413">
        <v>0</v>
      </c>
      <c r="S413">
        <v>0</v>
      </c>
      <c r="T413">
        <v>8</v>
      </c>
      <c r="U413" t="s">
        <v>501</v>
      </c>
      <c r="V413">
        <v>0</v>
      </c>
      <c r="W413">
        <v>25</v>
      </c>
      <c r="X413">
        <v>8</v>
      </c>
      <c r="Y413">
        <v>0</v>
      </c>
      <c r="Z413" t="s">
        <v>288</v>
      </c>
      <c r="AA413">
        <v>1.6</v>
      </c>
      <c r="AB413" t="s">
        <v>111</v>
      </c>
      <c r="AC413">
        <v>0</v>
      </c>
      <c r="AD413" t="s">
        <v>416</v>
      </c>
      <c r="AE413">
        <v>0</v>
      </c>
      <c r="AF413">
        <v>0</v>
      </c>
      <c r="AG413" t="s">
        <v>111</v>
      </c>
      <c r="AH413" t="s">
        <v>113</v>
      </c>
      <c r="AI413" t="s">
        <v>111</v>
      </c>
      <c r="AJ413" t="s">
        <v>111</v>
      </c>
      <c r="AK413" t="s">
        <v>111</v>
      </c>
      <c r="AL413" t="s">
        <v>111</v>
      </c>
      <c r="AM413">
        <v>0</v>
      </c>
      <c r="AN413">
        <v>0</v>
      </c>
      <c r="AO413">
        <v>0</v>
      </c>
      <c r="AP413" t="s">
        <v>111</v>
      </c>
      <c r="AQ413" t="s">
        <v>111</v>
      </c>
      <c r="AR413" t="s">
        <v>111</v>
      </c>
      <c r="AS413" t="s">
        <v>111</v>
      </c>
      <c r="AT413" t="s">
        <v>111</v>
      </c>
      <c r="AU413" t="s">
        <v>111</v>
      </c>
      <c r="AV413" t="s">
        <v>111</v>
      </c>
      <c r="AW413" t="s">
        <v>111</v>
      </c>
      <c r="AX413" t="s">
        <v>111</v>
      </c>
      <c r="AY413" t="s">
        <v>111</v>
      </c>
      <c r="AZ413" t="s">
        <v>111</v>
      </c>
      <c r="BA413" t="s">
        <v>111</v>
      </c>
      <c r="BB413" t="s">
        <v>111</v>
      </c>
      <c r="BC413" t="s">
        <v>111</v>
      </c>
      <c r="BD413" t="s">
        <v>111</v>
      </c>
      <c r="BE413" t="s">
        <v>111</v>
      </c>
      <c r="BF413" t="s">
        <v>111</v>
      </c>
      <c r="BG413" t="s">
        <v>111</v>
      </c>
      <c r="BH413" t="s">
        <v>111</v>
      </c>
      <c r="BI413" t="s">
        <v>111</v>
      </c>
      <c r="BJ413" t="s">
        <v>111</v>
      </c>
      <c r="BK413" t="s">
        <v>111</v>
      </c>
      <c r="BL413" t="s">
        <v>111</v>
      </c>
      <c r="BM413" t="s">
        <v>111</v>
      </c>
      <c r="BN413" t="s">
        <v>111</v>
      </c>
      <c r="BO413" t="s">
        <v>111</v>
      </c>
      <c r="BP413" t="s">
        <v>111</v>
      </c>
      <c r="BQ413" t="s">
        <v>111</v>
      </c>
      <c r="BR413" t="s">
        <v>111</v>
      </c>
      <c r="BS413" t="s">
        <v>111</v>
      </c>
      <c r="BT413" t="s">
        <v>111</v>
      </c>
      <c r="BU413" t="s">
        <v>111</v>
      </c>
      <c r="BV413" t="s">
        <v>111</v>
      </c>
      <c r="BW413" t="s">
        <v>111</v>
      </c>
      <c r="BX413" t="s">
        <v>111</v>
      </c>
      <c r="BY413" t="s">
        <v>111</v>
      </c>
      <c r="BZ413" t="s">
        <v>111</v>
      </c>
      <c r="CA413" t="s">
        <v>111</v>
      </c>
      <c r="CB413" t="s">
        <v>111</v>
      </c>
      <c r="CC413" t="s">
        <v>111</v>
      </c>
      <c r="CD413" t="s">
        <v>111</v>
      </c>
      <c r="CE413" t="s">
        <v>111</v>
      </c>
      <c r="CF413" t="s">
        <v>111</v>
      </c>
      <c r="CG413" t="s">
        <v>111</v>
      </c>
      <c r="CH413" t="s">
        <v>111</v>
      </c>
      <c r="CI413" t="s">
        <v>111</v>
      </c>
      <c r="CJ413" t="s">
        <v>111</v>
      </c>
      <c r="CK413" t="s">
        <v>111</v>
      </c>
      <c r="CL413" t="e">
        <f>-DESTINO SELLADO</f>
        <v>#NAME?</v>
      </c>
      <c r="CM413" t="s">
        <v>135</v>
      </c>
      <c r="CN413" t="s">
        <v>113</v>
      </c>
      <c r="CO413" t="s">
        <v>1561</v>
      </c>
      <c r="CP413" t="e">
        <f>-MUESTRA</f>
        <v>#NAME?</v>
      </c>
      <c r="CQ413">
        <v>0</v>
      </c>
      <c r="CR413">
        <v>0</v>
      </c>
      <c r="CS413">
        <v>100</v>
      </c>
      <c r="CT413" s="1" t="s">
        <v>344</v>
      </c>
      <c r="CU413">
        <v>0</v>
      </c>
      <c r="CV413" t="s">
        <v>111</v>
      </c>
      <c r="CW413" t="s">
        <v>111</v>
      </c>
      <c r="CX413" t="s">
        <v>111</v>
      </c>
      <c r="CY413">
        <v>0</v>
      </c>
      <c r="CZ413" t="s">
        <v>111</v>
      </c>
      <c r="DA413" t="s">
        <v>111</v>
      </c>
      <c r="DB413" t="s">
        <v>111</v>
      </c>
      <c r="DC413" t="s">
        <v>111</v>
      </c>
    </row>
    <row r="414" spans="1:107">
      <c r="A414">
        <v>1080</v>
      </c>
      <c r="B414" t="s">
        <v>107</v>
      </c>
      <c r="C414" t="s">
        <v>223</v>
      </c>
      <c r="D414" t="s">
        <v>1562</v>
      </c>
      <c r="E414" t="s">
        <v>1563</v>
      </c>
      <c r="F414" t="s">
        <v>287</v>
      </c>
      <c r="G414" t="s">
        <v>469</v>
      </c>
      <c r="H414">
        <v>2.2999999999999998</v>
      </c>
      <c r="I414">
        <v>35</v>
      </c>
      <c r="J414">
        <v>0</v>
      </c>
      <c r="K414">
        <v>0</v>
      </c>
      <c r="L414" t="s">
        <v>112</v>
      </c>
      <c r="M414" t="s">
        <v>138</v>
      </c>
      <c r="N414">
        <v>0</v>
      </c>
      <c r="O414">
        <v>0</v>
      </c>
      <c r="P414" t="s">
        <v>138</v>
      </c>
      <c r="Q414">
        <v>20</v>
      </c>
      <c r="R414">
        <v>0</v>
      </c>
      <c r="S414">
        <v>0</v>
      </c>
      <c r="T414">
        <v>1</v>
      </c>
      <c r="U414" s="1" t="s">
        <v>1564</v>
      </c>
      <c r="V414">
        <v>25</v>
      </c>
      <c r="W414">
        <v>0</v>
      </c>
      <c r="X414">
        <v>10</v>
      </c>
      <c r="Y414">
        <v>0</v>
      </c>
      <c r="Z414" t="s">
        <v>288</v>
      </c>
      <c r="AA414">
        <v>1.75</v>
      </c>
      <c r="AB414" t="s">
        <v>327</v>
      </c>
      <c r="AC414">
        <v>3</v>
      </c>
      <c r="AD414" t="s">
        <v>111</v>
      </c>
      <c r="AE414">
        <v>0</v>
      </c>
      <c r="AF414">
        <v>0</v>
      </c>
      <c r="AG414" t="s">
        <v>111</v>
      </c>
      <c r="AH414" t="s">
        <v>111</v>
      </c>
      <c r="AI414" t="s">
        <v>111</v>
      </c>
      <c r="AJ414" t="s">
        <v>111</v>
      </c>
      <c r="AK414" t="s">
        <v>111</v>
      </c>
      <c r="AL414" t="s">
        <v>111</v>
      </c>
      <c r="AM414">
        <v>0</v>
      </c>
      <c r="AN414">
        <v>0</v>
      </c>
      <c r="AO414">
        <v>0</v>
      </c>
      <c r="AP414" t="s">
        <v>111</v>
      </c>
      <c r="AQ414" t="s">
        <v>111</v>
      </c>
      <c r="AR414" t="s">
        <v>111</v>
      </c>
      <c r="AS414" t="s">
        <v>111</v>
      </c>
      <c r="AT414" t="s">
        <v>111</v>
      </c>
      <c r="AU414" t="s">
        <v>111</v>
      </c>
      <c r="AV414" t="s">
        <v>111</v>
      </c>
      <c r="AW414" t="s">
        <v>111</v>
      </c>
      <c r="AX414" t="s">
        <v>111</v>
      </c>
      <c r="AY414" t="s">
        <v>111</v>
      </c>
      <c r="AZ414" t="s">
        <v>111</v>
      </c>
      <c r="BA414" t="s">
        <v>111</v>
      </c>
      <c r="BB414" t="s">
        <v>111</v>
      </c>
      <c r="BC414" t="s">
        <v>111</v>
      </c>
      <c r="BD414" t="s">
        <v>111</v>
      </c>
      <c r="BE414" t="s">
        <v>111</v>
      </c>
      <c r="BF414" t="s">
        <v>111</v>
      </c>
      <c r="BG414" t="s">
        <v>111</v>
      </c>
      <c r="BH414" t="s">
        <v>111</v>
      </c>
      <c r="BI414" t="s">
        <v>111</v>
      </c>
      <c r="BJ414" t="s">
        <v>111</v>
      </c>
      <c r="BK414" t="s">
        <v>111</v>
      </c>
      <c r="BL414" t="s">
        <v>111</v>
      </c>
      <c r="BM414" t="s">
        <v>111</v>
      </c>
      <c r="BN414" t="s">
        <v>111</v>
      </c>
      <c r="BO414" t="s">
        <v>111</v>
      </c>
      <c r="BP414" t="s">
        <v>111</v>
      </c>
      <c r="BQ414" t="s">
        <v>111</v>
      </c>
      <c r="BR414" t="s">
        <v>111</v>
      </c>
      <c r="BS414" t="s">
        <v>111</v>
      </c>
      <c r="BT414" t="s">
        <v>111</v>
      </c>
      <c r="BU414" t="s">
        <v>111</v>
      </c>
      <c r="BV414" t="s">
        <v>111</v>
      </c>
      <c r="BW414" t="s">
        <v>111</v>
      </c>
      <c r="BX414" t="s">
        <v>111</v>
      </c>
      <c r="BY414" t="s">
        <v>111</v>
      </c>
      <c r="BZ414" t="s">
        <v>111</v>
      </c>
      <c r="CA414" t="s">
        <v>111</v>
      </c>
      <c r="CB414" t="s">
        <v>111</v>
      </c>
      <c r="CC414" t="s">
        <v>111</v>
      </c>
      <c r="CD414" t="s">
        <v>111</v>
      </c>
      <c r="CE414" t="s">
        <v>111</v>
      </c>
      <c r="CF414" t="s">
        <v>111</v>
      </c>
      <c r="CG414" t="s">
        <v>111</v>
      </c>
      <c r="CH414" t="s">
        <v>111</v>
      </c>
      <c r="CI414" t="s">
        <v>111</v>
      </c>
      <c r="CJ414" t="s">
        <v>111</v>
      </c>
      <c r="CK414" t="s">
        <v>111</v>
      </c>
      <c r="CL414" t="s">
        <v>111</v>
      </c>
      <c r="CM414" t="s">
        <v>111</v>
      </c>
      <c r="CN414" t="s">
        <v>111</v>
      </c>
      <c r="CO414" t="s">
        <v>111</v>
      </c>
      <c r="CP414" t="s">
        <v>111</v>
      </c>
      <c r="CQ414">
        <v>0</v>
      </c>
      <c r="CR414">
        <v>300</v>
      </c>
      <c r="CS414">
        <v>20</v>
      </c>
      <c r="CT414" t="e">
        <f>-SELLAR CANTIDAD EXACTA</f>
        <v>#NAME?</v>
      </c>
      <c r="CU414">
        <v>0</v>
      </c>
      <c r="CV414" t="s">
        <v>111</v>
      </c>
      <c r="CW414" t="s">
        <v>111</v>
      </c>
      <c r="CX414" t="s">
        <v>111</v>
      </c>
      <c r="CY414">
        <v>0</v>
      </c>
      <c r="CZ414" t="s">
        <v>111</v>
      </c>
      <c r="DA414" t="s">
        <v>111</v>
      </c>
      <c r="DB414" t="e">
        <f>-INTERNO</f>
        <v>#NAME?</v>
      </c>
      <c r="DC414" t="s">
        <v>281</v>
      </c>
    </row>
    <row r="415" spans="1:107">
      <c r="A415">
        <v>1173</v>
      </c>
      <c r="B415" t="s">
        <v>107</v>
      </c>
      <c r="C415" t="s">
        <v>114</v>
      </c>
      <c r="D415" t="s">
        <v>480</v>
      </c>
      <c r="E415" t="s">
        <v>1565</v>
      </c>
      <c r="F415" t="s">
        <v>358</v>
      </c>
      <c r="G415" t="s">
        <v>469</v>
      </c>
      <c r="H415">
        <v>2.7</v>
      </c>
      <c r="I415">
        <v>63.5</v>
      </c>
      <c r="J415">
        <v>0</v>
      </c>
      <c r="K415">
        <v>0</v>
      </c>
      <c r="L415" t="s">
        <v>117</v>
      </c>
      <c r="M415" t="s">
        <v>118</v>
      </c>
      <c r="N415">
        <v>40</v>
      </c>
      <c r="O415">
        <v>1</v>
      </c>
      <c r="P415" t="s">
        <v>138</v>
      </c>
      <c r="Q415">
        <v>5</v>
      </c>
      <c r="R415">
        <v>0</v>
      </c>
      <c r="S415">
        <v>0</v>
      </c>
      <c r="T415">
        <v>5</v>
      </c>
      <c r="U415" t="e">
        <f>-DESTINO DARMA</f>
        <v>#NAME?</v>
      </c>
      <c r="V415">
        <v>0</v>
      </c>
      <c r="W415">
        <v>25</v>
      </c>
      <c r="X415">
        <v>8</v>
      </c>
      <c r="Y415">
        <v>0</v>
      </c>
      <c r="Z415" t="s">
        <v>111</v>
      </c>
      <c r="AA415">
        <v>0</v>
      </c>
      <c r="AB415" t="s">
        <v>111</v>
      </c>
      <c r="AC415">
        <v>0</v>
      </c>
      <c r="AD415" t="s">
        <v>416</v>
      </c>
      <c r="AE415">
        <v>0</v>
      </c>
      <c r="AF415">
        <v>0</v>
      </c>
      <c r="AG415" t="s">
        <v>111</v>
      </c>
      <c r="AH415" t="s">
        <v>111</v>
      </c>
      <c r="AI415" t="s">
        <v>111</v>
      </c>
      <c r="AJ415" t="s">
        <v>111</v>
      </c>
      <c r="AK415" t="s">
        <v>111</v>
      </c>
      <c r="AL415" t="s">
        <v>111</v>
      </c>
      <c r="AM415">
        <v>0</v>
      </c>
      <c r="AN415">
        <v>0</v>
      </c>
      <c r="AO415">
        <v>0</v>
      </c>
      <c r="AP415" t="s">
        <v>111</v>
      </c>
      <c r="AQ415" t="s">
        <v>111</v>
      </c>
      <c r="AR415" t="s">
        <v>111</v>
      </c>
      <c r="AS415" t="s">
        <v>111</v>
      </c>
      <c r="AT415" t="s">
        <v>111</v>
      </c>
      <c r="AU415" t="s">
        <v>111</v>
      </c>
      <c r="AV415" t="s">
        <v>111</v>
      </c>
      <c r="AW415" t="s">
        <v>111</v>
      </c>
      <c r="AX415" t="s">
        <v>111</v>
      </c>
      <c r="AY415" t="s">
        <v>111</v>
      </c>
      <c r="AZ415" t="s">
        <v>111</v>
      </c>
      <c r="BA415" t="s">
        <v>111</v>
      </c>
      <c r="BB415" t="s">
        <v>111</v>
      </c>
      <c r="BC415" t="s">
        <v>111</v>
      </c>
      <c r="BD415" t="s">
        <v>111</v>
      </c>
      <c r="BE415" t="s">
        <v>111</v>
      </c>
      <c r="BF415" t="s">
        <v>111</v>
      </c>
      <c r="BG415" t="s">
        <v>111</v>
      </c>
      <c r="BH415" t="s">
        <v>111</v>
      </c>
      <c r="BI415" t="s">
        <v>111</v>
      </c>
      <c r="BJ415" t="s">
        <v>111</v>
      </c>
      <c r="BK415" t="s">
        <v>111</v>
      </c>
      <c r="BL415" t="s">
        <v>111</v>
      </c>
      <c r="BM415" t="s">
        <v>111</v>
      </c>
      <c r="BN415" t="s">
        <v>111</v>
      </c>
      <c r="BO415" t="s">
        <v>111</v>
      </c>
      <c r="BP415" t="s">
        <v>111</v>
      </c>
      <c r="BQ415" t="s">
        <v>111</v>
      </c>
      <c r="BR415" t="s">
        <v>111</v>
      </c>
      <c r="BS415" t="s">
        <v>111</v>
      </c>
      <c r="BT415" t="s">
        <v>111</v>
      </c>
      <c r="BU415" t="s">
        <v>111</v>
      </c>
      <c r="BV415" t="s">
        <v>111</v>
      </c>
      <c r="BW415" t="s">
        <v>111</v>
      </c>
      <c r="BX415" t="s">
        <v>111</v>
      </c>
      <c r="BY415" t="s">
        <v>111</v>
      </c>
      <c r="BZ415" t="s">
        <v>111</v>
      </c>
      <c r="CA415" t="s">
        <v>111</v>
      </c>
      <c r="CB415" t="s">
        <v>111</v>
      </c>
      <c r="CC415" t="s">
        <v>111</v>
      </c>
      <c r="CD415" t="s">
        <v>111</v>
      </c>
      <c r="CE415" t="s">
        <v>111</v>
      </c>
      <c r="CF415" t="s">
        <v>111</v>
      </c>
      <c r="CG415" t="s">
        <v>111</v>
      </c>
      <c r="CH415" t="s">
        <v>111</v>
      </c>
      <c r="CI415" t="s">
        <v>111</v>
      </c>
      <c r="CJ415" t="s">
        <v>111</v>
      </c>
      <c r="CK415" t="s">
        <v>111</v>
      </c>
      <c r="CL415" t="e">
        <f>-DESTINO ALMACEN</f>
        <v>#NAME?</v>
      </c>
      <c r="CM415" t="s">
        <v>111</v>
      </c>
      <c r="CN415" t="s">
        <v>111</v>
      </c>
      <c r="CO415" t="s">
        <v>111</v>
      </c>
      <c r="CP415" t="s">
        <v>111</v>
      </c>
      <c r="CQ415">
        <v>0</v>
      </c>
      <c r="CR415">
        <v>0</v>
      </c>
      <c r="CS415">
        <v>0</v>
      </c>
      <c r="CT415" t="s">
        <v>111</v>
      </c>
      <c r="CU415">
        <v>0</v>
      </c>
      <c r="CV415" t="s">
        <v>111</v>
      </c>
      <c r="CW415" t="s">
        <v>111</v>
      </c>
      <c r="CX415" t="s">
        <v>111</v>
      </c>
      <c r="CY415">
        <v>0</v>
      </c>
      <c r="CZ415" t="s">
        <v>111</v>
      </c>
      <c r="DA415" t="s">
        <v>111</v>
      </c>
      <c r="DB415" t="s">
        <v>111</v>
      </c>
      <c r="DC415" t="s">
        <v>111</v>
      </c>
    </row>
    <row r="416" spans="1:107">
      <c r="A416">
        <v>1122</v>
      </c>
      <c r="B416" t="s">
        <v>107</v>
      </c>
      <c r="C416" t="s">
        <v>498</v>
      </c>
      <c r="D416" t="s">
        <v>617</v>
      </c>
      <c r="E416" t="s">
        <v>1421</v>
      </c>
      <c r="F416" t="s">
        <v>431</v>
      </c>
      <c r="G416" t="s">
        <v>469</v>
      </c>
      <c r="H416">
        <v>2.4</v>
      </c>
      <c r="I416">
        <v>62</v>
      </c>
      <c r="J416">
        <v>0</v>
      </c>
      <c r="K416">
        <v>0</v>
      </c>
      <c r="L416" t="s">
        <v>117</v>
      </c>
      <c r="M416" t="s">
        <v>118</v>
      </c>
      <c r="N416">
        <v>39</v>
      </c>
      <c r="O416">
        <v>1</v>
      </c>
      <c r="P416" t="s">
        <v>138</v>
      </c>
      <c r="Q416">
        <v>25.5</v>
      </c>
      <c r="R416">
        <v>0</v>
      </c>
      <c r="S416">
        <v>0</v>
      </c>
      <c r="T416">
        <v>5</v>
      </c>
      <c r="U416" s="1" t="s">
        <v>525</v>
      </c>
      <c r="V416">
        <v>0</v>
      </c>
      <c r="W416">
        <v>25</v>
      </c>
      <c r="X416">
        <v>8</v>
      </c>
      <c r="Y416">
        <v>0</v>
      </c>
      <c r="Z416" t="s">
        <v>111</v>
      </c>
      <c r="AA416">
        <v>0</v>
      </c>
      <c r="AB416" t="s">
        <v>1566</v>
      </c>
      <c r="AC416">
        <v>8</v>
      </c>
      <c r="AD416" t="s">
        <v>416</v>
      </c>
      <c r="AE416">
        <v>0</v>
      </c>
      <c r="AF416">
        <v>0</v>
      </c>
      <c r="AG416" t="s">
        <v>111</v>
      </c>
      <c r="AH416" t="s">
        <v>111</v>
      </c>
      <c r="AI416" t="s">
        <v>111</v>
      </c>
      <c r="AJ416" t="s">
        <v>111</v>
      </c>
      <c r="AK416" t="s">
        <v>111</v>
      </c>
      <c r="AL416" t="s">
        <v>111</v>
      </c>
      <c r="AM416">
        <v>0</v>
      </c>
      <c r="AN416">
        <v>0</v>
      </c>
      <c r="AO416">
        <v>0</v>
      </c>
      <c r="AP416" t="s">
        <v>111</v>
      </c>
      <c r="AQ416" t="s">
        <v>111</v>
      </c>
      <c r="AR416" t="s">
        <v>111</v>
      </c>
      <c r="AS416" t="s">
        <v>111</v>
      </c>
      <c r="AT416" t="s">
        <v>111</v>
      </c>
      <c r="AU416" t="s">
        <v>111</v>
      </c>
      <c r="AV416" t="s">
        <v>111</v>
      </c>
      <c r="AW416" t="s">
        <v>111</v>
      </c>
      <c r="AX416" t="s">
        <v>111</v>
      </c>
      <c r="AY416" t="s">
        <v>111</v>
      </c>
      <c r="AZ416" t="s">
        <v>111</v>
      </c>
      <c r="BA416" t="s">
        <v>111</v>
      </c>
      <c r="BB416" t="s">
        <v>111</v>
      </c>
      <c r="BC416" t="s">
        <v>111</v>
      </c>
      <c r="BD416" t="s">
        <v>111</v>
      </c>
      <c r="BE416" t="s">
        <v>111</v>
      </c>
      <c r="BF416" t="s">
        <v>111</v>
      </c>
      <c r="BG416" t="s">
        <v>111</v>
      </c>
      <c r="BH416" t="s">
        <v>111</v>
      </c>
      <c r="BI416" t="s">
        <v>111</v>
      </c>
      <c r="BJ416" t="s">
        <v>111</v>
      </c>
      <c r="BK416" t="s">
        <v>111</v>
      </c>
      <c r="BL416" t="s">
        <v>111</v>
      </c>
      <c r="BM416" t="s">
        <v>111</v>
      </c>
      <c r="BN416" t="s">
        <v>111</v>
      </c>
      <c r="BO416" t="s">
        <v>111</v>
      </c>
      <c r="BP416" t="s">
        <v>111</v>
      </c>
      <c r="BQ416" t="s">
        <v>111</v>
      </c>
      <c r="BR416" t="s">
        <v>111</v>
      </c>
      <c r="BS416" t="s">
        <v>111</v>
      </c>
      <c r="BT416" t="s">
        <v>111</v>
      </c>
      <c r="BU416" t="s">
        <v>111</v>
      </c>
      <c r="BV416" t="s">
        <v>111</v>
      </c>
      <c r="BW416" t="s">
        <v>111</v>
      </c>
      <c r="BX416" t="s">
        <v>111</v>
      </c>
      <c r="BY416" t="s">
        <v>111</v>
      </c>
      <c r="BZ416" t="s">
        <v>111</v>
      </c>
      <c r="CA416" t="s">
        <v>111</v>
      </c>
      <c r="CB416" t="s">
        <v>111</v>
      </c>
      <c r="CC416" t="s">
        <v>111</v>
      </c>
      <c r="CD416" t="s">
        <v>111</v>
      </c>
      <c r="CE416" t="s">
        <v>111</v>
      </c>
      <c r="CF416" t="s">
        <v>111</v>
      </c>
      <c r="CG416" t="s">
        <v>111</v>
      </c>
      <c r="CH416" t="s">
        <v>111</v>
      </c>
      <c r="CI416" t="s">
        <v>111</v>
      </c>
      <c r="CJ416" t="s">
        <v>111</v>
      </c>
      <c r="CK416" t="s">
        <v>111</v>
      </c>
      <c r="CL416" t="e">
        <f>-DESTINO SELLADO</f>
        <v>#NAME?</v>
      </c>
      <c r="CM416" t="s">
        <v>438</v>
      </c>
      <c r="CN416" t="s">
        <v>113</v>
      </c>
      <c r="CO416" t="s">
        <v>111</v>
      </c>
      <c r="CP416" t="s">
        <v>111</v>
      </c>
      <c r="CQ416">
        <v>0</v>
      </c>
      <c r="CR416">
        <v>4000</v>
      </c>
      <c r="CS416">
        <v>100</v>
      </c>
      <c r="CT416" t="s">
        <v>394</v>
      </c>
      <c r="CU416">
        <v>0</v>
      </c>
      <c r="CV416" t="s">
        <v>111</v>
      </c>
      <c r="CW416" t="s">
        <v>111</v>
      </c>
      <c r="CX416" t="s">
        <v>111</v>
      </c>
      <c r="CY416">
        <v>0</v>
      </c>
      <c r="CZ416" t="s">
        <v>111</v>
      </c>
      <c r="DA416" t="s">
        <v>111</v>
      </c>
      <c r="DB416" t="s">
        <v>111</v>
      </c>
      <c r="DC416" t="s">
        <v>111</v>
      </c>
    </row>
    <row r="417" spans="1:107">
      <c r="A417">
        <v>1089</v>
      </c>
      <c r="B417" t="s">
        <v>107</v>
      </c>
      <c r="C417" t="s">
        <v>1567</v>
      </c>
      <c r="D417" t="s">
        <v>580</v>
      </c>
      <c r="E417" t="s">
        <v>581</v>
      </c>
      <c r="F417" t="s">
        <v>192</v>
      </c>
      <c r="G417" t="s">
        <v>469</v>
      </c>
      <c r="H417">
        <v>1.5</v>
      </c>
      <c r="I417">
        <v>12</v>
      </c>
      <c r="J417">
        <v>0</v>
      </c>
      <c r="K417">
        <v>1.25</v>
      </c>
      <c r="L417" t="s">
        <v>178</v>
      </c>
      <c r="M417" t="s">
        <v>111</v>
      </c>
      <c r="N417">
        <v>0</v>
      </c>
      <c r="O417">
        <v>0</v>
      </c>
      <c r="P417" t="s">
        <v>138</v>
      </c>
      <c r="Q417">
        <v>15</v>
      </c>
      <c r="R417">
        <v>0</v>
      </c>
      <c r="S417">
        <v>0</v>
      </c>
      <c r="T417">
        <v>5</v>
      </c>
      <c r="U417" s="1" t="s">
        <v>1568</v>
      </c>
      <c r="V417">
        <v>0</v>
      </c>
      <c r="W417">
        <v>25</v>
      </c>
      <c r="X417">
        <v>6</v>
      </c>
      <c r="Y417">
        <v>0</v>
      </c>
      <c r="Z417" t="s">
        <v>111</v>
      </c>
      <c r="AA417">
        <v>0</v>
      </c>
      <c r="AB417" t="s">
        <v>111</v>
      </c>
      <c r="AC417">
        <v>0</v>
      </c>
      <c r="AD417" t="s">
        <v>111</v>
      </c>
      <c r="AE417">
        <v>0</v>
      </c>
      <c r="AF417">
        <v>0</v>
      </c>
      <c r="AG417" t="s">
        <v>111</v>
      </c>
      <c r="AH417" t="s">
        <v>111</v>
      </c>
      <c r="AI417" t="s">
        <v>111</v>
      </c>
      <c r="AJ417" t="s">
        <v>111</v>
      </c>
      <c r="AK417" t="s">
        <v>111</v>
      </c>
      <c r="AL417" t="s">
        <v>111</v>
      </c>
      <c r="AM417">
        <v>0</v>
      </c>
      <c r="AN417">
        <v>0</v>
      </c>
      <c r="AO417">
        <v>0</v>
      </c>
      <c r="AP417" t="s">
        <v>111</v>
      </c>
      <c r="AQ417" t="s">
        <v>111</v>
      </c>
      <c r="AR417" t="s">
        <v>111</v>
      </c>
      <c r="AS417" t="s">
        <v>111</v>
      </c>
      <c r="AT417" t="s">
        <v>111</v>
      </c>
      <c r="AU417" t="s">
        <v>111</v>
      </c>
      <c r="AV417" t="s">
        <v>111</v>
      </c>
      <c r="AW417" t="s">
        <v>111</v>
      </c>
      <c r="AX417" t="s">
        <v>111</v>
      </c>
      <c r="AY417" t="s">
        <v>111</v>
      </c>
      <c r="AZ417" t="s">
        <v>111</v>
      </c>
      <c r="BA417" t="s">
        <v>111</v>
      </c>
      <c r="BB417" t="s">
        <v>111</v>
      </c>
      <c r="BC417" t="s">
        <v>111</v>
      </c>
      <c r="BD417" t="s">
        <v>111</v>
      </c>
      <c r="BE417" t="s">
        <v>111</v>
      </c>
      <c r="BF417" t="s">
        <v>111</v>
      </c>
      <c r="BG417" t="s">
        <v>111</v>
      </c>
      <c r="BH417" t="s">
        <v>111</v>
      </c>
      <c r="BI417" t="s">
        <v>111</v>
      </c>
      <c r="BJ417" t="s">
        <v>111</v>
      </c>
      <c r="BK417" t="s">
        <v>111</v>
      </c>
      <c r="BL417" t="s">
        <v>111</v>
      </c>
      <c r="BM417" t="s">
        <v>111</v>
      </c>
      <c r="BN417" t="s">
        <v>111</v>
      </c>
      <c r="BO417" t="s">
        <v>111</v>
      </c>
      <c r="BP417" t="s">
        <v>111</v>
      </c>
      <c r="BQ417" t="s">
        <v>111</v>
      </c>
      <c r="BR417" t="s">
        <v>111</v>
      </c>
      <c r="BS417" t="s">
        <v>111</v>
      </c>
      <c r="BT417" t="s">
        <v>111</v>
      </c>
      <c r="BU417" t="s">
        <v>111</v>
      </c>
      <c r="BV417" t="s">
        <v>111</v>
      </c>
      <c r="BW417" t="s">
        <v>111</v>
      </c>
      <c r="BX417" t="s">
        <v>111</v>
      </c>
      <c r="BY417" t="s">
        <v>111</v>
      </c>
      <c r="BZ417" t="s">
        <v>111</v>
      </c>
      <c r="CA417" t="s">
        <v>111</v>
      </c>
      <c r="CB417" t="s">
        <v>111</v>
      </c>
      <c r="CC417" t="s">
        <v>111</v>
      </c>
      <c r="CD417" t="s">
        <v>111</v>
      </c>
      <c r="CE417" t="s">
        <v>111</v>
      </c>
      <c r="CF417" t="s">
        <v>111</v>
      </c>
      <c r="CG417" t="s">
        <v>111</v>
      </c>
      <c r="CH417" t="s">
        <v>111</v>
      </c>
      <c r="CI417" t="s">
        <v>111</v>
      </c>
      <c r="CJ417" t="s">
        <v>111</v>
      </c>
      <c r="CK417" t="s">
        <v>111</v>
      </c>
      <c r="CL417" t="s">
        <v>111</v>
      </c>
      <c r="CM417" t="s">
        <v>135</v>
      </c>
      <c r="CN417" t="s">
        <v>113</v>
      </c>
      <c r="CO417" t="s">
        <v>111</v>
      </c>
      <c r="CP417" t="s">
        <v>111</v>
      </c>
      <c r="CQ417">
        <v>0</v>
      </c>
      <c r="CR417">
        <v>6000</v>
      </c>
      <c r="CS417">
        <v>200</v>
      </c>
      <c r="CT417" t="s">
        <v>394</v>
      </c>
      <c r="CU417">
        <v>0</v>
      </c>
      <c r="CV417" t="s">
        <v>111</v>
      </c>
      <c r="CW417" t="s">
        <v>111</v>
      </c>
      <c r="CX417" t="s">
        <v>111</v>
      </c>
      <c r="CY417">
        <v>0</v>
      </c>
      <c r="CZ417" t="s">
        <v>111</v>
      </c>
      <c r="DA417" t="s">
        <v>111</v>
      </c>
      <c r="DB417" t="s">
        <v>111</v>
      </c>
      <c r="DC417" t="s">
        <v>111</v>
      </c>
    </row>
    <row r="418" spans="1:107">
      <c r="A418">
        <v>1088</v>
      </c>
      <c r="B418" t="s">
        <v>107</v>
      </c>
      <c r="C418" t="s">
        <v>1567</v>
      </c>
      <c r="D418" t="s">
        <v>598</v>
      </c>
      <c r="E418" t="s">
        <v>599</v>
      </c>
      <c r="F418" t="s">
        <v>192</v>
      </c>
      <c r="G418" t="s">
        <v>469</v>
      </c>
      <c r="H418">
        <v>1.5</v>
      </c>
      <c r="I418">
        <v>17</v>
      </c>
      <c r="J418">
        <v>1.25</v>
      </c>
      <c r="K418">
        <v>0</v>
      </c>
      <c r="L418" t="s">
        <v>112</v>
      </c>
      <c r="M418" t="s">
        <v>111</v>
      </c>
      <c r="N418">
        <v>0</v>
      </c>
      <c r="O418">
        <v>0</v>
      </c>
      <c r="P418" t="s">
        <v>138</v>
      </c>
      <c r="Q418">
        <v>20</v>
      </c>
      <c r="R418">
        <v>0</v>
      </c>
      <c r="S418">
        <v>0</v>
      </c>
      <c r="T418">
        <v>5</v>
      </c>
      <c r="U418" s="1" t="s">
        <v>1569</v>
      </c>
      <c r="V418">
        <v>0</v>
      </c>
      <c r="W418">
        <v>25</v>
      </c>
      <c r="X418">
        <v>6</v>
      </c>
      <c r="Y418">
        <v>0</v>
      </c>
      <c r="Z418" t="s">
        <v>111</v>
      </c>
      <c r="AA418">
        <v>0</v>
      </c>
      <c r="AB418" t="s">
        <v>111</v>
      </c>
      <c r="AC418">
        <v>0</v>
      </c>
      <c r="AD418" t="s">
        <v>111</v>
      </c>
      <c r="AE418">
        <v>0</v>
      </c>
      <c r="AF418">
        <v>0</v>
      </c>
      <c r="AG418" t="s">
        <v>111</v>
      </c>
      <c r="AH418" t="s">
        <v>111</v>
      </c>
      <c r="AI418" t="s">
        <v>111</v>
      </c>
      <c r="AJ418" t="s">
        <v>111</v>
      </c>
      <c r="AK418" t="s">
        <v>111</v>
      </c>
      <c r="AL418" t="s">
        <v>111</v>
      </c>
      <c r="AM418">
        <v>0</v>
      </c>
      <c r="AN418">
        <v>0</v>
      </c>
      <c r="AO418">
        <v>0</v>
      </c>
      <c r="AP418" t="s">
        <v>111</v>
      </c>
      <c r="AQ418" t="s">
        <v>111</v>
      </c>
      <c r="AR418" t="s">
        <v>111</v>
      </c>
      <c r="AS418" t="s">
        <v>111</v>
      </c>
      <c r="AT418" t="s">
        <v>111</v>
      </c>
      <c r="AU418" t="s">
        <v>111</v>
      </c>
      <c r="AV418" t="s">
        <v>111</v>
      </c>
      <c r="AW418" t="s">
        <v>111</v>
      </c>
      <c r="AX418" t="s">
        <v>111</v>
      </c>
      <c r="AY418" t="s">
        <v>111</v>
      </c>
      <c r="AZ418" t="s">
        <v>111</v>
      </c>
      <c r="BA418" t="s">
        <v>111</v>
      </c>
      <c r="BB418" t="s">
        <v>111</v>
      </c>
      <c r="BC418" t="s">
        <v>111</v>
      </c>
      <c r="BD418" t="s">
        <v>111</v>
      </c>
      <c r="BE418" t="s">
        <v>111</v>
      </c>
      <c r="BF418" t="s">
        <v>111</v>
      </c>
      <c r="BG418" t="s">
        <v>111</v>
      </c>
      <c r="BH418" t="s">
        <v>111</v>
      </c>
      <c r="BI418" t="s">
        <v>111</v>
      </c>
      <c r="BJ418" t="s">
        <v>111</v>
      </c>
      <c r="BK418" t="s">
        <v>111</v>
      </c>
      <c r="BL418" t="s">
        <v>111</v>
      </c>
      <c r="BM418" t="s">
        <v>111</v>
      </c>
      <c r="BN418" t="s">
        <v>111</v>
      </c>
      <c r="BO418" t="s">
        <v>111</v>
      </c>
      <c r="BP418" t="s">
        <v>111</v>
      </c>
      <c r="BQ418" t="s">
        <v>111</v>
      </c>
      <c r="BR418" t="s">
        <v>111</v>
      </c>
      <c r="BS418" t="s">
        <v>111</v>
      </c>
      <c r="BT418" t="s">
        <v>111</v>
      </c>
      <c r="BU418" t="s">
        <v>111</v>
      </c>
      <c r="BV418" t="s">
        <v>111</v>
      </c>
      <c r="BW418" t="s">
        <v>111</v>
      </c>
      <c r="BX418" t="s">
        <v>111</v>
      </c>
      <c r="BY418" t="s">
        <v>111</v>
      </c>
      <c r="BZ418" t="s">
        <v>111</v>
      </c>
      <c r="CA418" t="s">
        <v>111</v>
      </c>
      <c r="CB418" t="s">
        <v>111</v>
      </c>
      <c r="CC418" t="s">
        <v>111</v>
      </c>
      <c r="CD418" t="s">
        <v>111</v>
      </c>
      <c r="CE418" t="s">
        <v>111</v>
      </c>
      <c r="CF418" t="s">
        <v>111</v>
      </c>
      <c r="CG418" t="s">
        <v>111</v>
      </c>
      <c r="CH418" t="s">
        <v>111</v>
      </c>
      <c r="CI418" t="s">
        <v>111</v>
      </c>
      <c r="CJ418" t="s">
        <v>111</v>
      </c>
      <c r="CK418" t="s">
        <v>111</v>
      </c>
      <c r="CL418" t="s">
        <v>111</v>
      </c>
      <c r="CM418" t="s">
        <v>135</v>
      </c>
      <c r="CN418" t="s">
        <v>113</v>
      </c>
      <c r="CO418" t="s">
        <v>111</v>
      </c>
      <c r="CP418" t="s">
        <v>111</v>
      </c>
      <c r="CQ418">
        <v>73</v>
      </c>
      <c r="CR418">
        <v>10000</v>
      </c>
      <c r="CS418">
        <v>200</v>
      </c>
      <c r="CT418" t="s">
        <v>1570</v>
      </c>
      <c r="CU418">
        <v>0</v>
      </c>
      <c r="CV418" t="s">
        <v>111</v>
      </c>
      <c r="CW418" t="s">
        <v>111</v>
      </c>
      <c r="CX418" t="s">
        <v>111</v>
      </c>
      <c r="CY418">
        <v>0</v>
      </c>
      <c r="CZ418" t="s">
        <v>111</v>
      </c>
      <c r="DA418" t="s">
        <v>111</v>
      </c>
      <c r="DB418" t="s">
        <v>111</v>
      </c>
      <c r="DC418" t="s">
        <v>111</v>
      </c>
    </row>
    <row r="419" spans="1:107">
      <c r="A419">
        <v>1087</v>
      </c>
      <c r="B419" t="s">
        <v>107</v>
      </c>
      <c r="C419" t="s">
        <v>1567</v>
      </c>
      <c r="D419" t="s">
        <v>696</v>
      </c>
      <c r="E419" t="s">
        <v>697</v>
      </c>
      <c r="F419" t="s">
        <v>192</v>
      </c>
      <c r="G419" t="s">
        <v>469</v>
      </c>
      <c r="H419">
        <v>1.5</v>
      </c>
      <c r="I419">
        <v>43</v>
      </c>
      <c r="J419">
        <v>0</v>
      </c>
      <c r="K419">
        <v>0</v>
      </c>
      <c r="L419" t="s">
        <v>112</v>
      </c>
      <c r="M419" t="s">
        <v>111</v>
      </c>
      <c r="N419">
        <v>0</v>
      </c>
      <c r="O419">
        <v>0</v>
      </c>
      <c r="P419" t="s">
        <v>111</v>
      </c>
      <c r="Q419">
        <v>45</v>
      </c>
      <c r="R419">
        <v>0</v>
      </c>
      <c r="S419">
        <v>0</v>
      </c>
      <c r="T419">
        <v>5</v>
      </c>
      <c r="U419" t="s">
        <v>296</v>
      </c>
      <c r="V419">
        <v>25</v>
      </c>
      <c r="W419">
        <v>0</v>
      </c>
      <c r="X419">
        <v>6</v>
      </c>
      <c r="Y419">
        <v>0</v>
      </c>
      <c r="Z419" t="s">
        <v>111</v>
      </c>
      <c r="AA419">
        <v>0</v>
      </c>
      <c r="AB419" t="s">
        <v>111</v>
      </c>
      <c r="AC419">
        <v>0</v>
      </c>
      <c r="AD419" t="s">
        <v>111</v>
      </c>
      <c r="AE419">
        <v>0</v>
      </c>
      <c r="AF419">
        <v>0</v>
      </c>
      <c r="AG419" t="s">
        <v>111</v>
      </c>
      <c r="AH419" t="s">
        <v>111</v>
      </c>
      <c r="AI419" t="s">
        <v>111</v>
      </c>
      <c r="AJ419" t="s">
        <v>111</v>
      </c>
      <c r="AK419" t="s">
        <v>111</v>
      </c>
      <c r="AL419" t="s">
        <v>111</v>
      </c>
      <c r="AM419">
        <v>0</v>
      </c>
      <c r="AN419">
        <v>0</v>
      </c>
      <c r="AO419">
        <v>0</v>
      </c>
      <c r="AP419" t="s">
        <v>111</v>
      </c>
      <c r="AQ419" t="s">
        <v>111</v>
      </c>
      <c r="AR419" t="s">
        <v>111</v>
      </c>
      <c r="AS419" t="s">
        <v>111</v>
      </c>
      <c r="AT419" t="s">
        <v>111</v>
      </c>
      <c r="AU419" t="s">
        <v>111</v>
      </c>
      <c r="AV419" t="s">
        <v>111</v>
      </c>
      <c r="AW419" t="s">
        <v>111</v>
      </c>
      <c r="AX419" t="s">
        <v>111</v>
      </c>
      <c r="AY419" t="s">
        <v>111</v>
      </c>
      <c r="AZ419" t="s">
        <v>111</v>
      </c>
      <c r="BA419" t="s">
        <v>111</v>
      </c>
      <c r="BB419" t="s">
        <v>111</v>
      </c>
      <c r="BC419" t="s">
        <v>111</v>
      </c>
      <c r="BD419" t="s">
        <v>111</v>
      </c>
      <c r="BE419" t="s">
        <v>111</v>
      </c>
      <c r="BF419" t="s">
        <v>111</v>
      </c>
      <c r="BG419" t="s">
        <v>111</v>
      </c>
      <c r="BH419" t="s">
        <v>111</v>
      </c>
      <c r="BI419" t="s">
        <v>111</v>
      </c>
      <c r="BJ419" t="s">
        <v>111</v>
      </c>
      <c r="BK419" t="s">
        <v>111</v>
      </c>
      <c r="BL419" t="s">
        <v>111</v>
      </c>
      <c r="BM419" t="s">
        <v>111</v>
      </c>
      <c r="BN419" t="s">
        <v>111</v>
      </c>
      <c r="BO419" t="s">
        <v>111</v>
      </c>
      <c r="BP419" t="s">
        <v>111</v>
      </c>
      <c r="BQ419" t="s">
        <v>111</v>
      </c>
      <c r="BR419" t="s">
        <v>111</v>
      </c>
      <c r="BS419" t="s">
        <v>111</v>
      </c>
      <c r="BT419" t="s">
        <v>111</v>
      </c>
      <c r="BU419" t="s">
        <v>111</v>
      </c>
      <c r="BV419" t="s">
        <v>111</v>
      </c>
      <c r="BW419" t="s">
        <v>111</v>
      </c>
      <c r="BX419" t="s">
        <v>111</v>
      </c>
      <c r="BY419" t="s">
        <v>111</v>
      </c>
      <c r="BZ419" t="s">
        <v>111</v>
      </c>
      <c r="CA419" t="s">
        <v>111</v>
      </c>
      <c r="CB419" t="s">
        <v>111</v>
      </c>
      <c r="CC419" t="s">
        <v>111</v>
      </c>
      <c r="CD419" t="s">
        <v>111</v>
      </c>
      <c r="CE419" t="s">
        <v>111</v>
      </c>
      <c r="CF419" t="s">
        <v>111</v>
      </c>
      <c r="CG419" t="s">
        <v>111</v>
      </c>
      <c r="CH419" t="s">
        <v>111</v>
      </c>
      <c r="CI419" t="s">
        <v>111</v>
      </c>
      <c r="CJ419" t="s">
        <v>111</v>
      </c>
      <c r="CK419" t="s">
        <v>111</v>
      </c>
      <c r="CL419" t="s">
        <v>111</v>
      </c>
      <c r="CM419" t="s">
        <v>438</v>
      </c>
      <c r="CN419" t="s">
        <v>113</v>
      </c>
      <c r="CO419" t="s">
        <v>111</v>
      </c>
      <c r="CP419" t="s">
        <v>111</v>
      </c>
      <c r="CQ419">
        <v>0</v>
      </c>
      <c r="CR419">
        <v>300</v>
      </c>
      <c r="CS419">
        <v>200</v>
      </c>
      <c r="CT419" t="s">
        <v>1571</v>
      </c>
      <c r="CU419">
        <v>0</v>
      </c>
      <c r="CV419" t="s">
        <v>111</v>
      </c>
      <c r="CW419" t="s">
        <v>111</v>
      </c>
      <c r="CX419" t="s">
        <v>111</v>
      </c>
      <c r="CY419">
        <v>0</v>
      </c>
      <c r="CZ419" t="s">
        <v>111</v>
      </c>
      <c r="DA419" t="s">
        <v>111</v>
      </c>
      <c r="DB419" t="s">
        <v>111</v>
      </c>
      <c r="DC419" t="s">
        <v>111</v>
      </c>
    </row>
    <row r="420" spans="1:107">
      <c r="A420">
        <v>1130</v>
      </c>
      <c r="B420" t="s">
        <v>107</v>
      </c>
      <c r="C420" t="s">
        <v>498</v>
      </c>
      <c r="D420" t="s">
        <v>617</v>
      </c>
      <c r="E420" t="s">
        <v>1414</v>
      </c>
      <c r="F420" t="s">
        <v>431</v>
      </c>
      <c r="G420" t="s">
        <v>469</v>
      </c>
      <c r="H420">
        <v>2.4</v>
      </c>
      <c r="I420">
        <v>62</v>
      </c>
      <c r="J420">
        <v>0</v>
      </c>
      <c r="K420">
        <v>0</v>
      </c>
      <c r="L420" t="s">
        <v>117</v>
      </c>
      <c r="M420" t="s">
        <v>118</v>
      </c>
      <c r="N420">
        <v>39</v>
      </c>
      <c r="O420">
        <v>1</v>
      </c>
      <c r="P420" t="s">
        <v>111</v>
      </c>
      <c r="Q420">
        <v>22.9</v>
      </c>
      <c r="R420">
        <v>0</v>
      </c>
      <c r="S420">
        <v>0</v>
      </c>
      <c r="T420">
        <v>5</v>
      </c>
      <c r="U420" t="s">
        <v>501</v>
      </c>
      <c r="V420">
        <v>0</v>
      </c>
      <c r="W420">
        <v>25</v>
      </c>
      <c r="X420">
        <v>8</v>
      </c>
      <c r="Y420">
        <v>0</v>
      </c>
      <c r="Z420" t="s">
        <v>111</v>
      </c>
      <c r="AA420">
        <v>0</v>
      </c>
      <c r="AB420" t="s">
        <v>111</v>
      </c>
      <c r="AC420">
        <v>0</v>
      </c>
      <c r="AD420" t="s">
        <v>1520</v>
      </c>
      <c r="AE420">
        <v>0</v>
      </c>
      <c r="AF420">
        <v>0</v>
      </c>
      <c r="AG420" t="s">
        <v>111</v>
      </c>
      <c r="AH420" t="s">
        <v>111</v>
      </c>
      <c r="AI420" t="s">
        <v>111</v>
      </c>
      <c r="AJ420" t="s">
        <v>111</v>
      </c>
      <c r="AK420" t="s">
        <v>111</v>
      </c>
      <c r="AL420" t="s">
        <v>111</v>
      </c>
      <c r="AM420">
        <v>0</v>
      </c>
      <c r="AN420">
        <v>0</v>
      </c>
      <c r="AO420">
        <v>0</v>
      </c>
      <c r="AP420" t="s">
        <v>111</v>
      </c>
      <c r="AQ420" t="s">
        <v>111</v>
      </c>
      <c r="AR420" t="s">
        <v>111</v>
      </c>
      <c r="AS420" t="s">
        <v>111</v>
      </c>
      <c r="AT420" t="s">
        <v>111</v>
      </c>
      <c r="AU420" t="s">
        <v>111</v>
      </c>
      <c r="AV420" t="s">
        <v>111</v>
      </c>
      <c r="AW420" t="s">
        <v>111</v>
      </c>
      <c r="AX420" t="s">
        <v>111</v>
      </c>
      <c r="AY420" t="s">
        <v>111</v>
      </c>
      <c r="AZ420" t="s">
        <v>111</v>
      </c>
      <c r="BA420" t="s">
        <v>111</v>
      </c>
      <c r="BB420" t="s">
        <v>111</v>
      </c>
      <c r="BC420" t="s">
        <v>111</v>
      </c>
      <c r="BD420" t="s">
        <v>111</v>
      </c>
      <c r="BE420" t="s">
        <v>111</v>
      </c>
      <c r="BF420" t="s">
        <v>111</v>
      </c>
      <c r="BG420" t="s">
        <v>111</v>
      </c>
      <c r="BH420" t="s">
        <v>111</v>
      </c>
      <c r="BI420" t="s">
        <v>111</v>
      </c>
      <c r="BJ420" t="s">
        <v>111</v>
      </c>
      <c r="BK420" t="s">
        <v>111</v>
      </c>
      <c r="BL420" t="s">
        <v>111</v>
      </c>
      <c r="BM420" t="s">
        <v>111</v>
      </c>
      <c r="BN420" t="s">
        <v>111</v>
      </c>
      <c r="BO420" t="s">
        <v>111</v>
      </c>
      <c r="BP420" t="s">
        <v>111</v>
      </c>
      <c r="BQ420" t="s">
        <v>111</v>
      </c>
      <c r="BR420" t="s">
        <v>111</v>
      </c>
      <c r="BS420" t="s">
        <v>111</v>
      </c>
      <c r="BT420" t="s">
        <v>111</v>
      </c>
      <c r="BU420" t="s">
        <v>111</v>
      </c>
      <c r="BV420" t="s">
        <v>111</v>
      </c>
      <c r="BW420" t="s">
        <v>111</v>
      </c>
      <c r="BX420" t="s">
        <v>111</v>
      </c>
      <c r="BY420" t="s">
        <v>111</v>
      </c>
      <c r="BZ420" t="s">
        <v>111</v>
      </c>
      <c r="CA420" t="s">
        <v>111</v>
      </c>
      <c r="CB420" t="s">
        <v>111</v>
      </c>
      <c r="CC420" t="s">
        <v>111</v>
      </c>
      <c r="CD420" t="s">
        <v>111</v>
      </c>
      <c r="CE420" t="s">
        <v>111</v>
      </c>
      <c r="CF420" t="s">
        <v>111</v>
      </c>
      <c r="CG420" t="s">
        <v>111</v>
      </c>
      <c r="CH420" t="s">
        <v>111</v>
      </c>
      <c r="CI420" t="s">
        <v>111</v>
      </c>
      <c r="CJ420" t="s">
        <v>111</v>
      </c>
      <c r="CK420" t="s">
        <v>111</v>
      </c>
      <c r="CL420" t="s">
        <v>111</v>
      </c>
      <c r="CM420" t="s">
        <v>438</v>
      </c>
      <c r="CN420" t="s">
        <v>113</v>
      </c>
      <c r="CO420" t="s">
        <v>111</v>
      </c>
      <c r="CP420" t="s">
        <v>111</v>
      </c>
      <c r="CQ420">
        <v>0</v>
      </c>
      <c r="CR420">
        <v>4500</v>
      </c>
      <c r="CS420">
        <v>200</v>
      </c>
      <c r="CT420" t="s">
        <v>394</v>
      </c>
      <c r="CU420">
        <v>0</v>
      </c>
      <c r="CV420" t="s">
        <v>111</v>
      </c>
      <c r="CW420" t="s">
        <v>111</v>
      </c>
      <c r="CX420" t="s">
        <v>111</v>
      </c>
      <c r="CY420">
        <v>0</v>
      </c>
      <c r="CZ420" t="s">
        <v>111</v>
      </c>
      <c r="DA420" t="s">
        <v>111</v>
      </c>
      <c r="DB420" t="s">
        <v>111</v>
      </c>
      <c r="DC420" t="s">
        <v>111</v>
      </c>
    </row>
    <row r="421" spans="1:107">
      <c r="A421">
        <v>1166</v>
      </c>
      <c r="B421" t="s">
        <v>107</v>
      </c>
      <c r="C421" t="s">
        <v>114</v>
      </c>
      <c r="D421" t="s">
        <v>1572</v>
      </c>
      <c r="E421" t="s">
        <v>1573</v>
      </c>
      <c r="F421" t="s">
        <v>431</v>
      </c>
      <c r="G421" t="s">
        <v>469</v>
      </c>
      <c r="H421">
        <v>3</v>
      </c>
      <c r="I421">
        <v>56</v>
      </c>
      <c r="J421">
        <v>0</v>
      </c>
      <c r="K421">
        <v>0</v>
      </c>
      <c r="L421" t="s">
        <v>117</v>
      </c>
      <c r="M421" t="s">
        <v>118</v>
      </c>
      <c r="N421">
        <v>40</v>
      </c>
      <c r="O421">
        <v>1</v>
      </c>
      <c r="P421" t="s">
        <v>118</v>
      </c>
      <c r="Q421">
        <v>41.1</v>
      </c>
      <c r="R421">
        <v>0</v>
      </c>
      <c r="S421">
        <v>0</v>
      </c>
      <c r="T421">
        <v>5</v>
      </c>
      <c r="U421" t="s">
        <v>1511</v>
      </c>
      <c r="V421">
        <v>0</v>
      </c>
      <c r="W421">
        <v>25</v>
      </c>
      <c r="X421">
        <v>10</v>
      </c>
      <c r="Y421">
        <v>0</v>
      </c>
      <c r="Z421" t="s">
        <v>111</v>
      </c>
      <c r="AA421">
        <v>0</v>
      </c>
      <c r="AB421" t="s">
        <v>1574</v>
      </c>
      <c r="AC421">
        <v>10</v>
      </c>
      <c r="AD421" t="s">
        <v>416</v>
      </c>
      <c r="AE421">
        <v>0</v>
      </c>
      <c r="AF421">
        <v>0</v>
      </c>
      <c r="AG421" t="s">
        <v>111</v>
      </c>
      <c r="AH421" t="s">
        <v>113</v>
      </c>
      <c r="AI421" t="s">
        <v>111</v>
      </c>
      <c r="AJ421" t="s">
        <v>111</v>
      </c>
      <c r="AK421" t="s">
        <v>111</v>
      </c>
      <c r="AL421" t="s">
        <v>111</v>
      </c>
      <c r="AM421">
        <v>0</v>
      </c>
      <c r="AN421">
        <v>0</v>
      </c>
      <c r="AO421">
        <v>0</v>
      </c>
      <c r="AP421" t="s">
        <v>111</v>
      </c>
      <c r="AQ421" t="s">
        <v>111</v>
      </c>
      <c r="AR421" t="s">
        <v>111</v>
      </c>
      <c r="AS421" t="s">
        <v>111</v>
      </c>
      <c r="AT421" t="s">
        <v>111</v>
      </c>
      <c r="AU421" t="s">
        <v>111</v>
      </c>
      <c r="AV421" t="s">
        <v>111</v>
      </c>
      <c r="AW421" t="s">
        <v>111</v>
      </c>
      <c r="AX421" t="s">
        <v>111</v>
      </c>
      <c r="AY421" t="s">
        <v>111</v>
      </c>
      <c r="AZ421" t="s">
        <v>111</v>
      </c>
      <c r="BA421" t="s">
        <v>111</v>
      </c>
      <c r="BB421" t="s">
        <v>111</v>
      </c>
      <c r="BC421" t="s">
        <v>111</v>
      </c>
      <c r="BD421" t="s">
        <v>111</v>
      </c>
      <c r="BE421" t="s">
        <v>111</v>
      </c>
      <c r="BF421" t="s">
        <v>111</v>
      </c>
      <c r="BG421" t="s">
        <v>111</v>
      </c>
      <c r="BH421" t="s">
        <v>111</v>
      </c>
      <c r="BI421" t="s">
        <v>111</v>
      </c>
      <c r="BJ421" t="s">
        <v>111</v>
      </c>
      <c r="BK421" t="s">
        <v>111</v>
      </c>
      <c r="BL421" t="s">
        <v>111</v>
      </c>
      <c r="BM421" t="s">
        <v>111</v>
      </c>
      <c r="BN421" t="s">
        <v>111</v>
      </c>
      <c r="BO421" t="s">
        <v>111</v>
      </c>
      <c r="BP421" t="s">
        <v>111</v>
      </c>
      <c r="BQ421" t="s">
        <v>111</v>
      </c>
      <c r="BR421" t="s">
        <v>111</v>
      </c>
      <c r="BS421" t="s">
        <v>111</v>
      </c>
      <c r="BT421" t="s">
        <v>111</v>
      </c>
      <c r="BU421" t="s">
        <v>111</v>
      </c>
      <c r="BV421" t="s">
        <v>111</v>
      </c>
      <c r="BW421" t="s">
        <v>111</v>
      </c>
      <c r="BX421" t="s">
        <v>111</v>
      </c>
      <c r="BY421" t="s">
        <v>111</v>
      </c>
      <c r="BZ421" t="s">
        <v>111</v>
      </c>
      <c r="CA421" t="s">
        <v>111</v>
      </c>
      <c r="CB421" t="s">
        <v>111</v>
      </c>
      <c r="CC421" t="s">
        <v>111</v>
      </c>
      <c r="CD421" t="s">
        <v>111</v>
      </c>
      <c r="CE421" t="s">
        <v>111</v>
      </c>
      <c r="CF421" t="s">
        <v>111</v>
      </c>
      <c r="CG421" t="s">
        <v>111</v>
      </c>
      <c r="CH421" t="s">
        <v>111</v>
      </c>
      <c r="CI421" t="s">
        <v>111</v>
      </c>
      <c r="CJ421" t="s">
        <v>111</v>
      </c>
      <c r="CK421" t="s">
        <v>111</v>
      </c>
      <c r="CL421" t="s">
        <v>111</v>
      </c>
      <c r="CM421" t="s">
        <v>135</v>
      </c>
      <c r="CN421" t="s">
        <v>113</v>
      </c>
      <c r="CO421" t="s">
        <v>111</v>
      </c>
      <c r="CP421" t="s">
        <v>111</v>
      </c>
      <c r="CQ421">
        <v>0</v>
      </c>
      <c r="CR421">
        <v>5000</v>
      </c>
      <c r="CS421">
        <v>200</v>
      </c>
      <c r="CT421" t="s">
        <v>296</v>
      </c>
      <c r="CU421">
        <v>0</v>
      </c>
      <c r="CV421" t="s">
        <v>111</v>
      </c>
      <c r="CW421" t="s">
        <v>111</v>
      </c>
      <c r="CX421" t="s">
        <v>111</v>
      </c>
      <c r="CY421">
        <v>0</v>
      </c>
      <c r="CZ421" t="s">
        <v>111</v>
      </c>
      <c r="DA421" t="s">
        <v>111</v>
      </c>
      <c r="DB421" t="s">
        <v>111</v>
      </c>
      <c r="DC421" t="s">
        <v>111</v>
      </c>
    </row>
    <row r="422" spans="1:107">
      <c r="A422">
        <v>1182</v>
      </c>
      <c r="B422" t="s">
        <v>162</v>
      </c>
      <c r="C422" t="s">
        <v>428</v>
      </c>
      <c r="D422" t="s">
        <v>1575</v>
      </c>
      <c r="E422" t="s">
        <v>1576</v>
      </c>
      <c r="F422" t="s">
        <v>739</v>
      </c>
      <c r="G422" t="s">
        <v>469</v>
      </c>
      <c r="H422">
        <v>2</v>
      </c>
      <c r="I422">
        <v>34</v>
      </c>
      <c r="J422">
        <v>0</v>
      </c>
      <c r="K422">
        <v>0</v>
      </c>
      <c r="L422" t="s">
        <v>112</v>
      </c>
      <c r="M422" t="s">
        <v>118</v>
      </c>
      <c r="N422">
        <v>39</v>
      </c>
      <c r="O422">
        <v>2</v>
      </c>
      <c r="P422" t="s">
        <v>138</v>
      </c>
      <c r="Q422">
        <v>40</v>
      </c>
      <c r="R422">
        <v>0</v>
      </c>
      <c r="S422">
        <v>0</v>
      </c>
      <c r="T422">
        <v>5</v>
      </c>
      <c r="U422" s="1" t="s">
        <v>1577</v>
      </c>
      <c r="V422">
        <v>0</v>
      </c>
      <c r="W422">
        <v>25</v>
      </c>
      <c r="X422">
        <v>8</v>
      </c>
      <c r="Y422">
        <v>0</v>
      </c>
      <c r="Z422" t="s">
        <v>288</v>
      </c>
      <c r="AA422">
        <v>1.7</v>
      </c>
      <c r="AB422" t="s">
        <v>940</v>
      </c>
      <c r="AC422">
        <v>8</v>
      </c>
      <c r="AD422" t="s">
        <v>416</v>
      </c>
      <c r="AE422">
        <v>0</v>
      </c>
      <c r="AF422">
        <v>0</v>
      </c>
      <c r="AG422" t="s">
        <v>111</v>
      </c>
      <c r="AH422" t="s">
        <v>113</v>
      </c>
      <c r="AI422" t="s">
        <v>111</v>
      </c>
      <c r="AJ422" t="s">
        <v>111</v>
      </c>
      <c r="AK422" t="s">
        <v>111</v>
      </c>
      <c r="AL422" t="s">
        <v>111</v>
      </c>
      <c r="AM422">
        <v>0</v>
      </c>
      <c r="AN422">
        <v>0</v>
      </c>
      <c r="AO422">
        <v>0</v>
      </c>
      <c r="AP422" t="s">
        <v>111</v>
      </c>
      <c r="AQ422" t="s">
        <v>111</v>
      </c>
      <c r="AR422" t="s">
        <v>111</v>
      </c>
      <c r="AS422" t="s">
        <v>111</v>
      </c>
      <c r="AT422" t="s">
        <v>111</v>
      </c>
      <c r="AU422" t="s">
        <v>111</v>
      </c>
      <c r="AV422" t="s">
        <v>111</v>
      </c>
      <c r="AW422" t="s">
        <v>111</v>
      </c>
      <c r="AX422" t="s">
        <v>111</v>
      </c>
      <c r="AY422" t="s">
        <v>111</v>
      </c>
      <c r="AZ422" t="s">
        <v>111</v>
      </c>
      <c r="BA422" t="s">
        <v>111</v>
      </c>
      <c r="BB422" t="s">
        <v>111</v>
      </c>
      <c r="BC422" t="s">
        <v>111</v>
      </c>
      <c r="BD422" t="s">
        <v>111</v>
      </c>
      <c r="BE422" t="s">
        <v>111</v>
      </c>
      <c r="BF422" t="s">
        <v>111</v>
      </c>
      <c r="BG422" t="s">
        <v>111</v>
      </c>
      <c r="BH422" t="s">
        <v>111</v>
      </c>
      <c r="BI422" t="s">
        <v>111</v>
      </c>
      <c r="BJ422" t="s">
        <v>111</v>
      </c>
      <c r="BK422" t="s">
        <v>111</v>
      </c>
      <c r="BL422" t="s">
        <v>111</v>
      </c>
      <c r="BM422" t="s">
        <v>111</v>
      </c>
      <c r="BN422" t="s">
        <v>111</v>
      </c>
      <c r="BO422" t="s">
        <v>111</v>
      </c>
      <c r="BP422" t="s">
        <v>111</v>
      </c>
      <c r="BQ422" t="s">
        <v>111</v>
      </c>
      <c r="BR422" t="s">
        <v>111</v>
      </c>
      <c r="BS422" t="s">
        <v>111</v>
      </c>
      <c r="BT422" t="s">
        <v>111</v>
      </c>
      <c r="BU422" t="s">
        <v>111</v>
      </c>
      <c r="BV422" t="s">
        <v>111</v>
      </c>
      <c r="BW422" t="s">
        <v>111</v>
      </c>
      <c r="BX422" t="s">
        <v>111</v>
      </c>
      <c r="BY422" t="s">
        <v>111</v>
      </c>
      <c r="BZ422" t="s">
        <v>111</v>
      </c>
      <c r="CA422" t="s">
        <v>111</v>
      </c>
      <c r="CB422" t="s">
        <v>111</v>
      </c>
      <c r="CC422" t="s">
        <v>111</v>
      </c>
      <c r="CD422" t="s">
        <v>111</v>
      </c>
      <c r="CE422" t="s">
        <v>111</v>
      </c>
      <c r="CF422" t="s">
        <v>111</v>
      </c>
      <c r="CG422" t="s">
        <v>111</v>
      </c>
      <c r="CH422" t="s">
        <v>111</v>
      </c>
      <c r="CI422" t="s">
        <v>111</v>
      </c>
      <c r="CJ422" t="s">
        <v>111</v>
      </c>
      <c r="CK422" t="s">
        <v>111</v>
      </c>
      <c r="CL422" t="s">
        <v>111</v>
      </c>
      <c r="CM422" t="s">
        <v>135</v>
      </c>
      <c r="CN422" t="s">
        <v>113</v>
      </c>
      <c r="CO422" t="s">
        <v>367</v>
      </c>
      <c r="CP422" t="s">
        <v>563</v>
      </c>
      <c r="CQ422">
        <v>0</v>
      </c>
      <c r="CR422">
        <v>0</v>
      </c>
      <c r="CS422">
        <v>50</v>
      </c>
      <c r="CT422" t="e">
        <f>-BIEN EMPACADO PARA TROQUELAR</f>
        <v>#NAME?</v>
      </c>
      <c r="CU422">
        <v>0</v>
      </c>
      <c r="CV422" t="s">
        <v>111</v>
      </c>
      <c r="CW422" t="s">
        <v>111</v>
      </c>
      <c r="CX422" t="s">
        <v>111</v>
      </c>
      <c r="CY422">
        <v>0</v>
      </c>
      <c r="CZ422" t="s">
        <v>111</v>
      </c>
      <c r="DA422" t="s">
        <v>111</v>
      </c>
      <c r="DB422" t="e">
        <f>-INTERNO</f>
        <v>#NAME?</v>
      </c>
      <c r="DC422" t="s">
        <v>589</v>
      </c>
    </row>
    <row r="423" spans="1:107">
      <c r="A423">
        <v>1177</v>
      </c>
      <c r="B423" t="s">
        <v>107</v>
      </c>
      <c r="C423" t="s">
        <v>801</v>
      </c>
      <c r="D423" t="s">
        <v>1578</v>
      </c>
      <c r="E423" t="s">
        <v>1579</v>
      </c>
      <c r="F423" t="s">
        <v>722</v>
      </c>
      <c r="G423" t="s">
        <v>469</v>
      </c>
      <c r="H423">
        <v>0.8</v>
      </c>
      <c r="I423">
        <v>46</v>
      </c>
      <c r="J423">
        <v>0</v>
      </c>
      <c r="K423">
        <v>0</v>
      </c>
      <c r="L423" t="s">
        <v>112</v>
      </c>
      <c r="M423" t="s">
        <v>111</v>
      </c>
      <c r="N423">
        <v>0</v>
      </c>
      <c r="O423">
        <v>0</v>
      </c>
      <c r="P423" t="s">
        <v>111</v>
      </c>
      <c r="Q423">
        <v>53</v>
      </c>
      <c r="R423">
        <v>0</v>
      </c>
      <c r="S423">
        <v>0</v>
      </c>
      <c r="T423">
        <v>5</v>
      </c>
      <c r="U423" t="s">
        <v>296</v>
      </c>
      <c r="V423">
        <v>25</v>
      </c>
      <c r="W423">
        <v>0</v>
      </c>
      <c r="X423">
        <v>8</v>
      </c>
      <c r="Y423">
        <v>0</v>
      </c>
      <c r="Z423" t="s">
        <v>111</v>
      </c>
      <c r="AA423">
        <v>0</v>
      </c>
      <c r="AB423" t="s">
        <v>111</v>
      </c>
      <c r="AC423">
        <v>0</v>
      </c>
      <c r="AD423" t="s">
        <v>111</v>
      </c>
      <c r="AE423">
        <v>0</v>
      </c>
      <c r="AF423">
        <v>0</v>
      </c>
      <c r="AG423" t="s">
        <v>111</v>
      </c>
      <c r="AH423" t="s">
        <v>111</v>
      </c>
      <c r="AI423" t="s">
        <v>111</v>
      </c>
      <c r="AJ423" t="s">
        <v>111</v>
      </c>
      <c r="AK423" t="s">
        <v>111</v>
      </c>
      <c r="AL423" t="s">
        <v>111</v>
      </c>
      <c r="AM423">
        <v>0</v>
      </c>
      <c r="AN423">
        <v>0</v>
      </c>
      <c r="AO423">
        <v>0</v>
      </c>
      <c r="AP423" t="s">
        <v>111</v>
      </c>
      <c r="AQ423" t="s">
        <v>111</v>
      </c>
      <c r="AR423" t="s">
        <v>111</v>
      </c>
      <c r="AS423" t="s">
        <v>111</v>
      </c>
      <c r="AT423" t="s">
        <v>111</v>
      </c>
      <c r="AU423" t="s">
        <v>111</v>
      </c>
      <c r="AV423" t="s">
        <v>111</v>
      </c>
      <c r="AW423" t="s">
        <v>111</v>
      </c>
      <c r="AX423" t="s">
        <v>111</v>
      </c>
      <c r="AY423" t="s">
        <v>111</v>
      </c>
      <c r="AZ423" t="s">
        <v>111</v>
      </c>
      <c r="BA423" t="s">
        <v>111</v>
      </c>
      <c r="BB423" t="s">
        <v>111</v>
      </c>
      <c r="BC423" t="s">
        <v>111</v>
      </c>
      <c r="BD423" t="s">
        <v>111</v>
      </c>
      <c r="BE423" t="s">
        <v>111</v>
      </c>
      <c r="BF423" t="s">
        <v>111</v>
      </c>
      <c r="BG423" t="s">
        <v>111</v>
      </c>
      <c r="BH423" t="s">
        <v>111</v>
      </c>
      <c r="BI423" t="s">
        <v>111</v>
      </c>
      <c r="BJ423" t="s">
        <v>111</v>
      </c>
      <c r="BK423" t="s">
        <v>111</v>
      </c>
      <c r="BL423" t="s">
        <v>111</v>
      </c>
      <c r="BM423" t="s">
        <v>111</v>
      </c>
      <c r="BN423" t="s">
        <v>111</v>
      </c>
      <c r="BO423" t="s">
        <v>111</v>
      </c>
      <c r="BP423" t="s">
        <v>111</v>
      </c>
      <c r="BQ423" t="s">
        <v>111</v>
      </c>
      <c r="BR423" t="s">
        <v>111</v>
      </c>
      <c r="BS423" t="s">
        <v>111</v>
      </c>
      <c r="BT423" t="s">
        <v>111</v>
      </c>
      <c r="BU423" t="s">
        <v>111</v>
      </c>
      <c r="BV423" t="s">
        <v>111</v>
      </c>
      <c r="BW423" t="s">
        <v>111</v>
      </c>
      <c r="BX423" t="s">
        <v>111</v>
      </c>
      <c r="BY423" t="s">
        <v>111</v>
      </c>
      <c r="BZ423" t="s">
        <v>111</v>
      </c>
      <c r="CA423" t="s">
        <v>111</v>
      </c>
      <c r="CB423" t="s">
        <v>111</v>
      </c>
      <c r="CC423" t="s">
        <v>111</v>
      </c>
      <c r="CD423" t="s">
        <v>111</v>
      </c>
      <c r="CE423" t="s">
        <v>111</v>
      </c>
      <c r="CF423" t="s">
        <v>111</v>
      </c>
      <c r="CG423" t="s">
        <v>111</v>
      </c>
      <c r="CH423" t="s">
        <v>111</v>
      </c>
      <c r="CI423" t="s">
        <v>111</v>
      </c>
      <c r="CJ423" t="s">
        <v>111</v>
      </c>
      <c r="CK423" t="s">
        <v>111</v>
      </c>
      <c r="CL423" t="s">
        <v>111</v>
      </c>
      <c r="CM423" t="s">
        <v>127</v>
      </c>
      <c r="CN423" t="s">
        <v>128</v>
      </c>
      <c r="CO423" t="s">
        <v>111</v>
      </c>
      <c r="CP423" t="s">
        <v>111</v>
      </c>
      <c r="CQ423">
        <v>0</v>
      </c>
      <c r="CR423">
        <v>1500</v>
      </c>
      <c r="CS423">
        <v>100</v>
      </c>
      <c r="CT423" s="1" t="s">
        <v>1580</v>
      </c>
      <c r="CU423">
        <v>0</v>
      </c>
      <c r="CV423" t="s">
        <v>111</v>
      </c>
      <c r="CW423" t="s">
        <v>111</v>
      </c>
      <c r="CX423" t="s">
        <v>111</v>
      </c>
      <c r="CY423">
        <v>0</v>
      </c>
      <c r="CZ423" t="s">
        <v>111</v>
      </c>
      <c r="DA423" t="s">
        <v>111</v>
      </c>
      <c r="DB423" t="e">
        <f>-INTERNO</f>
        <v>#NAME?</v>
      </c>
      <c r="DC423" t="e">
        <f>-CUBREVESTIDO</f>
        <v>#NAME?</v>
      </c>
    </row>
    <row r="424" spans="1:107">
      <c r="A424">
        <v>1176</v>
      </c>
      <c r="B424" t="s">
        <v>107</v>
      </c>
      <c r="C424" t="s">
        <v>223</v>
      </c>
      <c r="D424" t="s">
        <v>1581</v>
      </c>
      <c r="E424" t="s">
        <v>1582</v>
      </c>
      <c r="F424" t="s">
        <v>192</v>
      </c>
      <c r="G424" t="s">
        <v>469</v>
      </c>
      <c r="H424">
        <v>1</v>
      </c>
      <c r="I424">
        <v>39</v>
      </c>
      <c r="J424">
        <v>0</v>
      </c>
      <c r="K424">
        <v>0</v>
      </c>
      <c r="L424" t="s">
        <v>112</v>
      </c>
      <c r="M424" t="s">
        <v>111</v>
      </c>
      <c r="N424">
        <v>0</v>
      </c>
      <c r="O424">
        <v>0</v>
      </c>
      <c r="P424" t="s">
        <v>111</v>
      </c>
      <c r="Q424">
        <v>32</v>
      </c>
      <c r="R424">
        <v>0</v>
      </c>
      <c r="S424">
        <v>0</v>
      </c>
      <c r="T424">
        <v>25</v>
      </c>
      <c r="U424" t="s">
        <v>296</v>
      </c>
      <c r="V424">
        <v>12.5</v>
      </c>
      <c r="W424">
        <v>12.5</v>
      </c>
      <c r="X424">
        <v>0</v>
      </c>
      <c r="Y424">
        <v>0</v>
      </c>
      <c r="Z424" t="s">
        <v>327</v>
      </c>
      <c r="AA424">
        <v>2.5</v>
      </c>
      <c r="AB424" t="s">
        <v>1583</v>
      </c>
      <c r="AC424">
        <v>25</v>
      </c>
      <c r="AD424" t="s">
        <v>111</v>
      </c>
      <c r="AE424">
        <v>0</v>
      </c>
      <c r="AF424">
        <v>0</v>
      </c>
      <c r="AG424" t="s">
        <v>111</v>
      </c>
      <c r="AH424" t="s">
        <v>111</v>
      </c>
      <c r="AI424" t="s">
        <v>111</v>
      </c>
      <c r="AJ424" t="s">
        <v>111</v>
      </c>
      <c r="AK424" t="s">
        <v>111</v>
      </c>
      <c r="AL424" t="s">
        <v>111</v>
      </c>
      <c r="AM424">
        <v>0</v>
      </c>
      <c r="AN424">
        <v>0</v>
      </c>
      <c r="AO424">
        <v>0</v>
      </c>
      <c r="AP424" t="s">
        <v>111</v>
      </c>
      <c r="AQ424" t="s">
        <v>111</v>
      </c>
      <c r="AR424" t="s">
        <v>111</v>
      </c>
      <c r="AS424" t="s">
        <v>111</v>
      </c>
      <c r="AT424" t="s">
        <v>111</v>
      </c>
      <c r="AU424" t="s">
        <v>111</v>
      </c>
      <c r="AV424" t="s">
        <v>111</v>
      </c>
      <c r="AW424" t="s">
        <v>111</v>
      </c>
      <c r="AX424" t="s">
        <v>111</v>
      </c>
      <c r="AY424" t="s">
        <v>111</v>
      </c>
      <c r="AZ424" t="s">
        <v>111</v>
      </c>
      <c r="BA424" t="s">
        <v>111</v>
      </c>
      <c r="BB424" t="s">
        <v>111</v>
      </c>
      <c r="BC424" t="s">
        <v>111</v>
      </c>
      <c r="BD424" t="s">
        <v>111</v>
      </c>
      <c r="BE424" t="s">
        <v>111</v>
      </c>
      <c r="BF424" t="s">
        <v>111</v>
      </c>
      <c r="BG424" t="s">
        <v>111</v>
      </c>
      <c r="BH424" t="s">
        <v>111</v>
      </c>
      <c r="BI424" t="s">
        <v>111</v>
      </c>
      <c r="BJ424" t="s">
        <v>111</v>
      </c>
      <c r="BK424" t="s">
        <v>111</v>
      </c>
      <c r="BL424" t="s">
        <v>111</v>
      </c>
      <c r="BM424" t="s">
        <v>111</v>
      </c>
      <c r="BN424" t="s">
        <v>111</v>
      </c>
      <c r="BO424" t="s">
        <v>111</v>
      </c>
      <c r="BP424" t="s">
        <v>111</v>
      </c>
      <c r="BQ424" t="s">
        <v>111</v>
      </c>
      <c r="BR424" t="s">
        <v>111</v>
      </c>
      <c r="BS424" t="s">
        <v>111</v>
      </c>
      <c r="BT424" t="s">
        <v>111</v>
      </c>
      <c r="BU424" t="s">
        <v>111</v>
      </c>
      <c r="BV424" t="s">
        <v>111</v>
      </c>
      <c r="BW424" t="s">
        <v>111</v>
      </c>
      <c r="BX424" t="s">
        <v>111</v>
      </c>
      <c r="BY424" t="s">
        <v>111</v>
      </c>
      <c r="BZ424" t="s">
        <v>111</v>
      </c>
      <c r="CA424" t="s">
        <v>111</v>
      </c>
      <c r="CB424" t="s">
        <v>111</v>
      </c>
      <c r="CC424" t="s">
        <v>111</v>
      </c>
      <c r="CD424" t="s">
        <v>111</v>
      </c>
      <c r="CE424" t="s">
        <v>111</v>
      </c>
      <c r="CF424" t="s">
        <v>111</v>
      </c>
      <c r="CG424" t="s">
        <v>111</v>
      </c>
      <c r="CH424" t="s">
        <v>111</v>
      </c>
      <c r="CI424" t="s">
        <v>111</v>
      </c>
      <c r="CJ424" t="s">
        <v>111</v>
      </c>
      <c r="CK424" t="s">
        <v>111</v>
      </c>
      <c r="CL424" t="s">
        <v>111</v>
      </c>
      <c r="CM424" t="s">
        <v>438</v>
      </c>
      <c r="CN424" t="s">
        <v>113</v>
      </c>
      <c r="CO424" t="s">
        <v>111</v>
      </c>
      <c r="CP424" t="s">
        <v>111</v>
      </c>
      <c r="CQ424">
        <v>0</v>
      </c>
      <c r="CR424">
        <v>3000</v>
      </c>
      <c r="CS424">
        <v>200</v>
      </c>
      <c r="CT424" t="s">
        <v>296</v>
      </c>
      <c r="CU424">
        <v>0</v>
      </c>
      <c r="CV424" t="s">
        <v>111</v>
      </c>
      <c r="CW424" t="s">
        <v>111</v>
      </c>
      <c r="CX424" t="s">
        <v>111</v>
      </c>
      <c r="CY424">
        <v>0</v>
      </c>
      <c r="CZ424" t="s">
        <v>111</v>
      </c>
      <c r="DA424" t="s">
        <v>111</v>
      </c>
      <c r="DB424" t="s">
        <v>111</v>
      </c>
      <c r="DC424" t="s">
        <v>111</v>
      </c>
    </row>
    <row r="425" spans="1:107">
      <c r="A425">
        <v>290</v>
      </c>
      <c r="B425" t="s">
        <v>162</v>
      </c>
      <c r="C425" t="s">
        <v>226</v>
      </c>
      <c r="D425" t="s">
        <v>1584</v>
      </c>
      <c r="E425" t="s">
        <v>1585</v>
      </c>
      <c r="F425" t="s">
        <v>125</v>
      </c>
      <c r="G425" t="s">
        <v>469</v>
      </c>
      <c r="H425">
        <v>3</v>
      </c>
      <c r="I425">
        <v>50</v>
      </c>
      <c r="J425">
        <v>0</v>
      </c>
      <c r="K425">
        <v>0</v>
      </c>
      <c r="L425" t="s">
        <v>112</v>
      </c>
      <c r="M425" t="s">
        <v>138</v>
      </c>
      <c r="N425">
        <v>0</v>
      </c>
      <c r="O425">
        <v>0</v>
      </c>
      <c r="P425" t="s">
        <v>138</v>
      </c>
      <c r="Q425">
        <v>54.4</v>
      </c>
      <c r="R425">
        <v>0</v>
      </c>
      <c r="S425">
        <v>0</v>
      </c>
      <c r="T425">
        <v>0</v>
      </c>
      <c r="U425" t="s">
        <v>153</v>
      </c>
      <c r="V425">
        <v>25</v>
      </c>
      <c r="W425">
        <v>0</v>
      </c>
      <c r="X425">
        <v>10</v>
      </c>
      <c r="Y425">
        <v>0</v>
      </c>
      <c r="Z425" t="s">
        <v>111</v>
      </c>
      <c r="AA425">
        <v>0</v>
      </c>
      <c r="AB425" t="s">
        <v>111</v>
      </c>
      <c r="AC425">
        <v>0</v>
      </c>
      <c r="AD425" t="s">
        <v>111</v>
      </c>
      <c r="AE425">
        <v>0</v>
      </c>
      <c r="AF425">
        <v>0</v>
      </c>
      <c r="AG425" t="s">
        <v>111</v>
      </c>
      <c r="AH425" t="s">
        <v>111</v>
      </c>
      <c r="AI425" t="s">
        <v>111</v>
      </c>
      <c r="AJ425" t="s">
        <v>111</v>
      </c>
      <c r="AK425" t="s">
        <v>111</v>
      </c>
      <c r="AL425" t="s">
        <v>111</v>
      </c>
      <c r="AM425">
        <v>0</v>
      </c>
      <c r="AN425">
        <v>0</v>
      </c>
      <c r="AO425">
        <v>0</v>
      </c>
      <c r="AP425" t="s">
        <v>111</v>
      </c>
      <c r="AQ425" t="s">
        <v>111</v>
      </c>
      <c r="AR425" t="s">
        <v>111</v>
      </c>
      <c r="AS425" t="s">
        <v>111</v>
      </c>
      <c r="AT425" t="s">
        <v>111</v>
      </c>
      <c r="AU425" t="s">
        <v>111</v>
      </c>
      <c r="AV425" t="s">
        <v>111</v>
      </c>
      <c r="AW425" t="s">
        <v>111</v>
      </c>
      <c r="AX425" t="s">
        <v>111</v>
      </c>
      <c r="AY425" t="s">
        <v>111</v>
      </c>
      <c r="AZ425" t="s">
        <v>111</v>
      </c>
      <c r="BA425" t="s">
        <v>111</v>
      </c>
      <c r="BB425" t="s">
        <v>111</v>
      </c>
      <c r="BC425" t="s">
        <v>111</v>
      </c>
      <c r="BD425" t="s">
        <v>111</v>
      </c>
      <c r="BE425" t="s">
        <v>111</v>
      </c>
      <c r="BF425" t="s">
        <v>111</v>
      </c>
      <c r="BG425" t="s">
        <v>111</v>
      </c>
      <c r="BH425" t="s">
        <v>111</v>
      </c>
      <c r="BI425" t="s">
        <v>111</v>
      </c>
      <c r="BJ425" t="s">
        <v>111</v>
      </c>
      <c r="BK425" t="s">
        <v>111</v>
      </c>
      <c r="BL425" t="s">
        <v>111</v>
      </c>
      <c r="BM425" t="s">
        <v>111</v>
      </c>
      <c r="BN425" t="s">
        <v>111</v>
      </c>
      <c r="BO425" t="s">
        <v>111</v>
      </c>
      <c r="BP425" t="s">
        <v>111</v>
      </c>
      <c r="BQ425" t="s">
        <v>111</v>
      </c>
      <c r="BR425" t="s">
        <v>111</v>
      </c>
      <c r="BS425" t="s">
        <v>111</v>
      </c>
      <c r="BT425" t="s">
        <v>111</v>
      </c>
      <c r="BU425" t="s">
        <v>111</v>
      </c>
      <c r="BV425" t="s">
        <v>111</v>
      </c>
      <c r="BW425" t="s">
        <v>111</v>
      </c>
      <c r="BX425" t="s">
        <v>111</v>
      </c>
      <c r="BY425" t="s">
        <v>111</v>
      </c>
      <c r="BZ425" t="s">
        <v>111</v>
      </c>
      <c r="CA425" t="s">
        <v>111</v>
      </c>
      <c r="CB425" t="s">
        <v>111</v>
      </c>
      <c r="CC425" t="s">
        <v>111</v>
      </c>
      <c r="CD425" t="s">
        <v>111</v>
      </c>
      <c r="CE425" t="s">
        <v>111</v>
      </c>
      <c r="CF425" t="s">
        <v>111</v>
      </c>
      <c r="CG425" t="s">
        <v>111</v>
      </c>
      <c r="CH425" t="s">
        <v>111</v>
      </c>
      <c r="CI425" t="s">
        <v>111</v>
      </c>
      <c r="CJ425" t="s">
        <v>111</v>
      </c>
      <c r="CK425" t="s">
        <v>111</v>
      </c>
      <c r="CL425" t="s">
        <v>111</v>
      </c>
      <c r="CM425" t="s">
        <v>135</v>
      </c>
      <c r="CN425" t="s">
        <v>128</v>
      </c>
      <c r="CO425" t="s">
        <v>111</v>
      </c>
      <c r="CP425" t="s">
        <v>111</v>
      </c>
      <c r="CQ425">
        <v>34</v>
      </c>
      <c r="CR425">
        <v>500</v>
      </c>
      <c r="CS425">
        <v>50</v>
      </c>
      <c r="CT425" s="1" t="s">
        <v>1294</v>
      </c>
      <c r="CU425">
        <v>0</v>
      </c>
      <c r="CV425" t="s">
        <v>111</v>
      </c>
      <c r="CW425" t="s">
        <v>111</v>
      </c>
      <c r="CX425" t="s">
        <v>111</v>
      </c>
      <c r="CY425">
        <v>0</v>
      </c>
      <c r="CZ425" t="s">
        <v>111</v>
      </c>
      <c r="DA425" t="s">
        <v>111</v>
      </c>
      <c r="DB425" t="s">
        <v>111</v>
      </c>
      <c r="DC425" t="s">
        <v>111</v>
      </c>
    </row>
    <row r="426" spans="1:107">
      <c r="A426">
        <v>1181</v>
      </c>
      <c r="B426" t="s">
        <v>107</v>
      </c>
      <c r="C426" t="s">
        <v>428</v>
      </c>
      <c r="D426" t="s">
        <v>1586</v>
      </c>
      <c r="E426" t="s">
        <v>1587</v>
      </c>
      <c r="F426" t="s">
        <v>739</v>
      </c>
      <c r="G426" t="s">
        <v>469</v>
      </c>
      <c r="H426">
        <v>2</v>
      </c>
      <c r="I426">
        <v>53</v>
      </c>
      <c r="J426">
        <v>0</v>
      </c>
      <c r="K426">
        <v>0</v>
      </c>
      <c r="L426" t="s">
        <v>112</v>
      </c>
      <c r="M426" t="s">
        <v>118</v>
      </c>
      <c r="N426">
        <v>40</v>
      </c>
      <c r="O426">
        <v>2</v>
      </c>
      <c r="P426" t="s">
        <v>138</v>
      </c>
      <c r="Q426">
        <v>46.7</v>
      </c>
      <c r="R426">
        <v>0</v>
      </c>
      <c r="S426">
        <v>0</v>
      </c>
      <c r="T426">
        <v>5</v>
      </c>
      <c r="U426" s="1" t="s">
        <v>1588</v>
      </c>
      <c r="V426">
        <v>0</v>
      </c>
      <c r="W426">
        <v>25</v>
      </c>
      <c r="X426">
        <v>8</v>
      </c>
      <c r="Y426">
        <v>0</v>
      </c>
      <c r="Z426" t="s">
        <v>288</v>
      </c>
      <c r="AA426">
        <v>1.7</v>
      </c>
      <c r="AB426" t="s">
        <v>940</v>
      </c>
      <c r="AC426">
        <v>8</v>
      </c>
      <c r="AD426" t="s">
        <v>416</v>
      </c>
      <c r="AE426">
        <v>0</v>
      </c>
      <c r="AF426">
        <v>0</v>
      </c>
      <c r="AG426" t="s">
        <v>111</v>
      </c>
      <c r="AH426" t="s">
        <v>113</v>
      </c>
      <c r="AI426" t="s">
        <v>111</v>
      </c>
      <c r="AJ426" t="s">
        <v>111</v>
      </c>
      <c r="AK426" t="s">
        <v>111</v>
      </c>
      <c r="AL426" t="s">
        <v>111</v>
      </c>
      <c r="AM426">
        <v>0</v>
      </c>
      <c r="AN426">
        <v>0</v>
      </c>
      <c r="AO426">
        <v>0</v>
      </c>
      <c r="AP426" t="s">
        <v>111</v>
      </c>
      <c r="AQ426" t="s">
        <v>111</v>
      </c>
      <c r="AR426" t="s">
        <v>111</v>
      </c>
      <c r="AS426" t="s">
        <v>111</v>
      </c>
      <c r="AT426" t="s">
        <v>111</v>
      </c>
      <c r="AU426" t="s">
        <v>111</v>
      </c>
      <c r="AV426" t="s">
        <v>111</v>
      </c>
      <c r="AW426" t="s">
        <v>111</v>
      </c>
      <c r="AX426" t="s">
        <v>111</v>
      </c>
      <c r="AY426" t="s">
        <v>111</v>
      </c>
      <c r="AZ426" t="s">
        <v>111</v>
      </c>
      <c r="BA426" t="s">
        <v>111</v>
      </c>
      <c r="BB426" t="s">
        <v>111</v>
      </c>
      <c r="BC426" t="s">
        <v>111</v>
      </c>
      <c r="BD426" t="s">
        <v>111</v>
      </c>
      <c r="BE426" t="s">
        <v>111</v>
      </c>
      <c r="BF426" t="s">
        <v>111</v>
      </c>
      <c r="BG426" t="s">
        <v>111</v>
      </c>
      <c r="BH426" t="s">
        <v>111</v>
      </c>
      <c r="BI426" t="s">
        <v>111</v>
      </c>
      <c r="BJ426" t="s">
        <v>111</v>
      </c>
      <c r="BK426" t="s">
        <v>111</v>
      </c>
      <c r="BL426" t="s">
        <v>111</v>
      </c>
      <c r="BM426" t="s">
        <v>111</v>
      </c>
      <c r="BN426" t="s">
        <v>111</v>
      </c>
      <c r="BO426" t="s">
        <v>111</v>
      </c>
      <c r="BP426" t="s">
        <v>111</v>
      </c>
      <c r="BQ426" t="s">
        <v>111</v>
      </c>
      <c r="BR426" t="s">
        <v>111</v>
      </c>
      <c r="BS426" t="s">
        <v>111</v>
      </c>
      <c r="BT426" t="s">
        <v>111</v>
      </c>
      <c r="BU426" t="s">
        <v>111</v>
      </c>
      <c r="BV426" t="s">
        <v>111</v>
      </c>
      <c r="BW426" t="s">
        <v>111</v>
      </c>
      <c r="BX426" t="s">
        <v>111</v>
      </c>
      <c r="BY426" t="s">
        <v>111</v>
      </c>
      <c r="BZ426" t="s">
        <v>111</v>
      </c>
      <c r="CA426" t="s">
        <v>111</v>
      </c>
      <c r="CB426" t="s">
        <v>111</v>
      </c>
      <c r="CC426" t="s">
        <v>111</v>
      </c>
      <c r="CD426" t="s">
        <v>111</v>
      </c>
      <c r="CE426" t="s">
        <v>111</v>
      </c>
      <c r="CF426" t="s">
        <v>111</v>
      </c>
      <c r="CG426" t="s">
        <v>111</v>
      </c>
      <c r="CH426" t="s">
        <v>111</v>
      </c>
      <c r="CI426" t="s">
        <v>111</v>
      </c>
      <c r="CJ426" t="s">
        <v>111</v>
      </c>
      <c r="CK426" t="s">
        <v>111</v>
      </c>
      <c r="CL426" t="s">
        <v>111</v>
      </c>
      <c r="CM426" t="s">
        <v>135</v>
      </c>
      <c r="CN426" t="s">
        <v>113</v>
      </c>
      <c r="CO426" t="s">
        <v>367</v>
      </c>
      <c r="CP426" t="s">
        <v>563</v>
      </c>
      <c r="CQ426">
        <v>0</v>
      </c>
      <c r="CR426">
        <v>0</v>
      </c>
      <c r="CS426">
        <v>50</v>
      </c>
      <c r="CT426" t="e">
        <f>-BIEM EMPADO PARA TROQUELAR</f>
        <v>#NAME?</v>
      </c>
      <c r="CU426">
        <v>0</v>
      </c>
      <c r="CV426" t="s">
        <v>111</v>
      </c>
      <c r="CW426" t="s">
        <v>111</v>
      </c>
      <c r="CX426" t="s">
        <v>111</v>
      </c>
      <c r="CY426">
        <v>0</v>
      </c>
      <c r="CZ426" t="s">
        <v>111</v>
      </c>
      <c r="DA426" t="s">
        <v>111</v>
      </c>
      <c r="DB426" t="e">
        <f>-INTERNO</f>
        <v>#NAME?</v>
      </c>
      <c r="DC426" t="s">
        <v>1589</v>
      </c>
    </row>
    <row r="427" spans="1:107">
      <c r="A427">
        <v>1162</v>
      </c>
      <c r="B427" t="s">
        <v>107</v>
      </c>
      <c r="C427" t="s">
        <v>1590</v>
      </c>
      <c r="D427" t="s">
        <v>1591</v>
      </c>
      <c r="E427" t="s">
        <v>1592</v>
      </c>
      <c r="F427" t="s">
        <v>192</v>
      </c>
      <c r="G427" t="s">
        <v>469</v>
      </c>
      <c r="H427">
        <v>3.9</v>
      </c>
      <c r="I427">
        <v>61</v>
      </c>
      <c r="J427">
        <v>0</v>
      </c>
      <c r="K427">
        <v>0</v>
      </c>
      <c r="L427" t="s">
        <v>112</v>
      </c>
      <c r="M427" t="s">
        <v>111</v>
      </c>
      <c r="N427">
        <v>0</v>
      </c>
      <c r="O427">
        <v>0</v>
      </c>
      <c r="P427" t="s">
        <v>111</v>
      </c>
      <c r="Q427">
        <v>51.2</v>
      </c>
      <c r="R427">
        <v>0</v>
      </c>
      <c r="S427">
        <v>0</v>
      </c>
      <c r="T427">
        <v>5</v>
      </c>
      <c r="U427" s="1" t="s">
        <v>1392</v>
      </c>
      <c r="V427">
        <v>0</v>
      </c>
      <c r="W427">
        <v>25</v>
      </c>
      <c r="X427">
        <v>10</v>
      </c>
      <c r="Y427">
        <v>0</v>
      </c>
      <c r="Z427" t="s">
        <v>111</v>
      </c>
      <c r="AA427">
        <v>0</v>
      </c>
      <c r="AB427" t="s">
        <v>111</v>
      </c>
      <c r="AC427">
        <v>0</v>
      </c>
      <c r="AD427" t="s">
        <v>111</v>
      </c>
      <c r="AE427">
        <v>0</v>
      </c>
      <c r="AF427">
        <v>0</v>
      </c>
      <c r="AG427" t="s">
        <v>111</v>
      </c>
      <c r="AH427" t="s">
        <v>111</v>
      </c>
      <c r="AI427" t="s">
        <v>111</v>
      </c>
      <c r="AJ427" t="s">
        <v>111</v>
      </c>
      <c r="AK427" t="s">
        <v>111</v>
      </c>
      <c r="AL427" t="s">
        <v>111</v>
      </c>
      <c r="AM427">
        <v>0</v>
      </c>
      <c r="AN427">
        <v>0</v>
      </c>
      <c r="AO427">
        <v>0</v>
      </c>
      <c r="AP427" t="s">
        <v>111</v>
      </c>
      <c r="AQ427" t="s">
        <v>111</v>
      </c>
      <c r="AR427" t="s">
        <v>111</v>
      </c>
      <c r="AS427" t="s">
        <v>111</v>
      </c>
      <c r="AT427" t="s">
        <v>111</v>
      </c>
      <c r="AU427" t="s">
        <v>111</v>
      </c>
      <c r="AV427" t="s">
        <v>111</v>
      </c>
      <c r="AW427" t="s">
        <v>111</v>
      </c>
      <c r="AX427" t="s">
        <v>111</v>
      </c>
      <c r="AY427" t="s">
        <v>111</v>
      </c>
      <c r="AZ427" t="s">
        <v>111</v>
      </c>
      <c r="BA427" t="s">
        <v>111</v>
      </c>
      <c r="BB427" t="s">
        <v>111</v>
      </c>
      <c r="BC427" t="s">
        <v>111</v>
      </c>
      <c r="BD427" t="s">
        <v>111</v>
      </c>
      <c r="BE427" t="s">
        <v>111</v>
      </c>
      <c r="BF427" t="s">
        <v>111</v>
      </c>
      <c r="BG427" t="s">
        <v>111</v>
      </c>
      <c r="BH427" t="s">
        <v>111</v>
      </c>
      <c r="BI427" t="s">
        <v>111</v>
      </c>
      <c r="BJ427" t="s">
        <v>111</v>
      </c>
      <c r="BK427" t="s">
        <v>111</v>
      </c>
      <c r="BL427" t="s">
        <v>111</v>
      </c>
      <c r="BM427" t="s">
        <v>111</v>
      </c>
      <c r="BN427" t="s">
        <v>111</v>
      </c>
      <c r="BO427" t="s">
        <v>111</v>
      </c>
      <c r="BP427" t="s">
        <v>111</v>
      </c>
      <c r="BQ427" t="s">
        <v>111</v>
      </c>
      <c r="BR427" t="s">
        <v>111</v>
      </c>
      <c r="BS427" t="s">
        <v>111</v>
      </c>
      <c r="BT427" t="s">
        <v>111</v>
      </c>
      <c r="BU427" t="s">
        <v>111</v>
      </c>
      <c r="BV427" t="s">
        <v>111</v>
      </c>
      <c r="BW427" t="s">
        <v>111</v>
      </c>
      <c r="BX427" t="s">
        <v>111</v>
      </c>
      <c r="BY427" t="s">
        <v>111</v>
      </c>
      <c r="BZ427" t="s">
        <v>111</v>
      </c>
      <c r="CA427" t="s">
        <v>111</v>
      </c>
      <c r="CB427" t="s">
        <v>111</v>
      </c>
      <c r="CC427" t="s">
        <v>111</v>
      </c>
      <c r="CD427" t="s">
        <v>111</v>
      </c>
      <c r="CE427" t="s">
        <v>111</v>
      </c>
      <c r="CF427" t="s">
        <v>111</v>
      </c>
      <c r="CG427" t="s">
        <v>111</v>
      </c>
      <c r="CH427" t="s">
        <v>111</v>
      </c>
      <c r="CI427" t="s">
        <v>111</v>
      </c>
      <c r="CJ427" t="s">
        <v>111</v>
      </c>
      <c r="CK427" t="s">
        <v>111</v>
      </c>
      <c r="CL427" t="s">
        <v>111</v>
      </c>
      <c r="CM427" t="s">
        <v>135</v>
      </c>
      <c r="CN427" t="s">
        <v>128</v>
      </c>
      <c r="CO427" t="s">
        <v>111</v>
      </c>
      <c r="CP427" t="s">
        <v>111</v>
      </c>
      <c r="CQ427">
        <v>28</v>
      </c>
      <c r="CR427">
        <v>200</v>
      </c>
      <c r="CS427">
        <v>25</v>
      </c>
      <c r="CT427" s="1" t="s">
        <v>1593</v>
      </c>
      <c r="CU427">
        <v>0</v>
      </c>
      <c r="CV427" t="s">
        <v>111</v>
      </c>
      <c r="CW427" t="s">
        <v>111</v>
      </c>
      <c r="CX427" t="s">
        <v>111</v>
      </c>
      <c r="CY427">
        <v>0</v>
      </c>
      <c r="CZ427" t="s">
        <v>111</v>
      </c>
      <c r="DA427" t="s">
        <v>111</v>
      </c>
      <c r="DB427" t="s">
        <v>111</v>
      </c>
      <c r="DC427" t="s">
        <v>111</v>
      </c>
    </row>
    <row r="428" spans="1:107">
      <c r="A428">
        <v>1188</v>
      </c>
      <c r="B428" t="s">
        <v>107</v>
      </c>
      <c r="C428" t="s">
        <v>498</v>
      </c>
      <c r="D428" t="s">
        <v>499</v>
      </c>
      <c r="E428" t="s">
        <v>1424</v>
      </c>
      <c r="F428" t="s">
        <v>431</v>
      </c>
      <c r="G428" t="s">
        <v>469</v>
      </c>
      <c r="H428">
        <v>2.5</v>
      </c>
      <c r="I428">
        <v>62</v>
      </c>
      <c r="J428">
        <v>0</v>
      </c>
      <c r="K428">
        <v>0</v>
      </c>
      <c r="L428" t="s">
        <v>117</v>
      </c>
      <c r="M428" t="s">
        <v>118</v>
      </c>
      <c r="N428">
        <v>40</v>
      </c>
      <c r="O428">
        <v>1</v>
      </c>
      <c r="P428" t="s">
        <v>111</v>
      </c>
      <c r="Q428">
        <v>53</v>
      </c>
      <c r="R428">
        <v>0</v>
      </c>
      <c r="S428">
        <v>0</v>
      </c>
      <c r="T428">
        <v>5</v>
      </c>
      <c r="U428" s="1" t="s">
        <v>1594</v>
      </c>
      <c r="V428">
        <v>0</v>
      </c>
      <c r="W428">
        <v>25</v>
      </c>
      <c r="X428">
        <v>8</v>
      </c>
      <c r="Y428">
        <v>0</v>
      </c>
      <c r="Z428" t="s">
        <v>111</v>
      </c>
      <c r="AA428">
        <v>0</v>
      </c>
      <c r="AB428" t="s">
        <v>523</v>
      </c>
      <c r="AC428">
        <v>8</v>
      </c>
      <c r="AD428" t="s">
        <v>416</v>
      </c>
      <c r="AE428">
        <v>0</v>
      </c>
      <c r="AF428">
        <v>0</v>
      </c>
      <c r="AG428" t="s">
        <v>111</v>
      </c>
      <c r="AH428" t="s">
        <v>113</v>
      </c>
      <c r="AI428" t="s">
        <v>111</v>
      </c>
      <c r="AJ428" t="s">
        <v>111</v>
      </c>
      <c r="AK428" t="s">
        <v>111</v>
      </c>
      <c r="AL428" t="s">
        <v>111</v>
      </c>
      <c r="AM428">
        <v>0</v>
      </c>
      <c r="AN428">
        <v>0</v>
      </c>
      <c r="AO428">
        <v>0</v>
      </c>
      <c r="AP428" t="s">
        <v>111</v>
      </c>
      <c r="AQ428" t="s">
        <v>111</v>
      </c>
      <c r="AR428" t="s">
        <v>111</v>
      </c>
      <c r="AS428" t="s">
        <v>111</v>
      </c>
      <c r="AT428" t="s">
        <v>111</v>
      </c>
      <c r="AU428" t="s">
        <v>111</v>
      </c>
      <c r="AV428" t="s">
        <v>111</v>
      </c>
      <c r="AW428" t="s">
        <v>111</v>
      </c>
      <c r="AX428" t="s">
        <v>111</v>
      </c>
      <c r="AY428" t="s">
        <v>111</v>
      </c>
      <c r="AZ428" t="s">
        <v>111</v>
      </c>
      <c r="BA428" t="s">
        <v>111</v>
      </c>
      <c r="BB428" t="s">
        <v>111</v>
      </c>
      <c r="BC428" t="s">
        <v>111</v>
      </c>
      <c r="BD428" t="s">
        <v>111</v>
      </c>
      <c r="BE428" t="s">
        <v>111</v>
      </c>
      <c r="BF428" t="s">
        <v>111</v>
      </c>
      <c r="BG428" t="s">
        <v>111</v>
      </c>
      <c r="BH428" t="s">
        <v>111</v>
      </c>
      <c r="BI428" t="s">
        <v>111</v>
      </c>
      <c r="BJ428" t="s">
        <v>111</v>
      </c>
      <c r="BK428" t="s">
        <v>111</v>
      </c>
      <c r="BL428" t="s">
        <v>111</v>
      </c>
      <c r="BM428" t="s">
        <v>111</v>
      </c>
      <c r="BN428" t="s">
        <v>111</v>
      </c>
      <c r="BO428" t="s">
        <v>111</v>
      </c>
      <c r="BP428" t="s">
        <v>111</v>
      </c>
      <c r="BQ428" t="s">
        <v>111</v>
      </c>
      <c r="BR428" t="s">
        <v>111</v>
      </c>
      <c r="BS428" t="s">
        <v>111</v>
      </c>
      <c r="BT428" t="s">
        <v>111</v>
      </c>
      <c r="BU428" t="s">
        <v>111</v>
      </c>
      <c r="BV428" t="s">
        <v>111</v>
      </c>
      <c r="BW428" t="s">
        <v>111</v>
      </c>
      <c r="BX428" t="s">
        <v>111</v>
      </c>
      <c r="BY428" t="s">
        <v>111</v>
      </c>
      <c r="BZ428" t="s">
        <v>111</v>
      </c>
      <c r="CA428" t="s">
        <v>111</v>
      </c>
      <c r="CB428" t="s">
        <v>111</v>
      </c>
      <c r="CC428" t="s">
        <v>111</v>
      </c>
      <c r="CD428" t="s">
        <v>111</v>
      </c>
      <c r="CE428" t="s">
        <v>111</v>
      </c>
      <c r="CF428" t="s">
        <v>111</v>
      </c>
      <c r="CG428" t="s">
        <v>111</v>
      </c>
      <c r="CH428" t="s">
        <v>111</v>
      </c>
      <c r="CI428" t="s">
        <v>111</v>
      </c>
      <c r="CJ428" t="s">
        <v>111</v>
      </c>
      <c r="CK428" t="s">
        <v>111</v>
      </c>
      <c r="CL428" t="s">
        <v>111</v>
      </c>
      <c r="CM428" t="s">
        <v>438</v>
      </c>
      <c r="CN428" t="s">
        <v>113</v>
      </c>
      <c r="CO428" t="s">
        <v>111</v>
      </c>
      <c r="CP428" t="e">
        <f>-MUESTRA</f>
        <v>#NAME?</v>
      </c>
      <c r="CQ428">
        <v>0</v>
      </c>
      <c r="CR428">
        <v>5000</v>
      </c>
      <c r="CS428">
        <v>200</v>
      </c>
      <c r="CT428" s="1" t="s">
        <v>1595</v>
      </c>
      <c r="CU428">
        <v>0</v>
      </c>
      <c r="CV428" t="s">
        <v>111</v>
      </c>
      <c r="CW428" t="s">
        <v>111</v>
      </c>
      <c r="CX428" t="s">
        <v>111</v>
      </c>
      <c r="CY428">
        <v>0</v>
      </c>
      <c r="CZ428" t="s">
        <v>111</v>
      </c>
      <c r="DA428" t="s">
        <v>111</v>
      </c>
      <c r="DB428" t="s">
        <v>111</v>
      </c>
      <c r="DC428" t="s">
        <v>111</v>
      </c>
    </row>
    <row r="429" spans="1:107">
      <c r="A429">
        <v>1170</v>
      </c>
      <c r="B429" t="s">
        <v>107</v>
      </c>
      <c r="C429" t="s">
        <v>336</v>
      </c>
      <c r="D429" t="s">
        <v>1328</v>
      </c>
      <c r="E429" t="s">
        <v>1596</v>
      </c>
      <c r="F429" t="s">
        <v>166</v>
      </c>
      <c r="G429" t="s">
        <v>469</v>
      </c>
      <c r="H429">
        <v>3</v>
      </c>
      <c r="I429">
        <v>61</v>
      </c>
      <c r="J429">
        <v>0</v>
      </c>
      <c r="K429">
        <v>0</v>
      </c>
      <c r="L429" t="s">
        <v>112</v>
      </c>
      <c r="M429" t="s">
        <v>138</v>
      </c>
      <c r="N429">
        <v>0</v>
      </c>
      <c r="O429">
        <v>0</v>
      </c>
      <c r="P429" t="s">
        <v>111</v>
      </c>
      <c r="Q429">
        <v>40</v>
      </c>
      <c r="R429">
        <v>0</v>
      </c>
      <c r="S429">
        <v>0</v>
      </c>
      <c r="T429">
        <v>0</v>
      </c>
      <c r="U429" t="s">
        <v>394</v>
      </c>
      <c r="V429">
        <v>12.5</v>
      </c>
      <c r="W429">
        <v>12.5</v>
      </c>
      <c r="X429">
        <v>0</v>
      </c>
      <c r="Y429">
        <v>0</v>
      </c>
      <c r="Z429" t="s">
        <v>111</v>
      </c>
      <c r="AA429">
        <v>0</v>
      </c>
      <c r="AB429" t="s">
        <v>327</v>
      </c>
      <c r="AC429">
        <v>2.5</v>
      </c>
      <c r="AD429" t="s">
        <v>111</v>
      </c>
      <c r="AE429">
        <v>0</v>
      </c>
      <c r="AF429">
        <v>0</v>
      </c>
      <c r="AG429" t="s">
        <v>111</v>
      </c>
      <c r="AH429" t="s">
        <v>111</v>
      </c>
      <c r="AI429" t="s">
        <v>111</v>
      </c>
      <c r="AJ429" t="s">
        <v>111</v>
      </c>
      <c r="AK429" t="s">
        <v>111</v>
      </c>
      <c r="AL429" t="s">
        <v>111</v>
      </c>
      <c r="AM429">
        <v>0</v>
      </c>
      <c r="AN429">
        <v>0</v>
      </c>
      <c r="AO429">
        <v>0</v>
      </c>
      <c r="AP429" t="s">
        <v>111</v>
      </c>
      <c r="AQ429" t="s">
        <v>111</v>
      </c>
      <c r="AR429" t="s">
        <v>111</v>
      </c>
      <c r="AS429" t="s">
        <v>111</v>
      </c>
      <c r="AT429" t="s">
        <v>111</v>
      </c>
      <c r="AU429" t="s">
        <v>111</v>
      </c>
      <c r="AV429" t="s">
        <v>111</v>
      </c>
      <c r="AW429" t="s">
        <v>111</v>
      </c>
      <c r="AX429" t="s">
        <v>111</v>
      </c>
      <c r="AY429" t="s">
        <v>111</v>
      </c>
      <c r="AZ429" t="s">
        <v>111</v>
      </c>
      <c r="BA429" t="s">
        <v>111</v>
      </c>
      <c r="BB429" t="s">
        <v>111</v>
      </c>
      <c r="BC429" t="s">
        <v>111</v>
      </c>
      <c r="BD429" t="s">
        <v>111</v>
      </c>
      <c r="BE429" t="s">
        <v>111</v>
      </c>
      <c r="BF429" t="s">
        <v>111</v>
      </c>
      <c r="BG429" t="s">
        <v>111</v>
      </c>
      <c r="BH429" t="s">
        <v>111</v>
      </c>
      <c r="BI429" t="s">
        <v>111</v>
      </c>
      <c r="BJ429" t="s">
        <v>111</v>
      </c>
      <c r="BK429" t="s">
        <v>111</v>
      </c>
      <c r="BL429" t="s">
        <v>111</v>
      </c>
      <c r="BM429" t="s">
        <v>111</v>
      </c>
      <c r="BN429" t="s">
        <v>111</v>
      </c>
      <c r="BO429" t="s">
        <v>111</v>
      </c>
      <c r="BP429" t="s">
        <v>111</v>
      </c>
      <c r="BQ429" t="s">
        <v>111</v>
      </c>
      <c r="BR429" t="s">
        <v>111</v>
      </c>
      <c r="BS429" t="s">
        <v>111</v>
      </c>
      <c r="BT429" t="s">
        <v>111</v>
      </c>
      <c r="BU429" t="s">
        <v>111</v>
      </c>
      <c r="BV429" t="s">
        <v>111</v>
      </c>
      <c r="BW429" t="s">
        <v>111</v>
      </c>
      <c r="BX429" t="s">
        <v>111</v>
      </c>
      <c r="BY429" t="s">
        <v>111</v>
      </c>
      <c r="BZ429" t="s">
        <v>111</v>
      </c>
      <c r="CA429" t="s">
        <v>111</v>
      </c>
      <c r="CB429" t="s">
        <v>111</v>
      </c>
      <c r="CC429" t="s">
        <v>111</v>
      </c>
      <c r="CD429" t="s">
        <v>111</v>
      </c>
      <c r="CE429" t="s">
        <v>111</v>
      </c>
      <c r="CF429" t="s">
        <v>111</v>
      </c>
      <c r="CG429" t="s">
        <v>111</v>
      </c>
      <c r="CH429" t="s">
        <v>111</v>
      </c>
      <c r="CI429" t="s">
        <v>111</v>
      </c>
      <c r="CJ429" t="s">
        <v>111</v>
      </c>
      <c r="CK429" t="s">
        <v>111</v>
      </c>
      <c r="CL429" t="s">
        <v>111</v>
      </c>
      <c r="CM429" t="s">
        <v>111</v>
      </c>
      <c r="CN429" t="s">
        <v>111</v>
      </c>
      <c r="CO429" t="s">
        <v>111</v>
      </c>
      <c r="CP429" t="s">
        <v>111</v>
      </c>
      <c r="CQ429">
        <v>0</v>
      </c>
      <c r="CR429">
        <v>0</v>
      </c>
      <c r="CS429">
        <v>0</v>
      </c>
      <c r="CT429" t="s">
        <v>111</v>
      </c>
      <c r="CU429">
        <v>0</v>
      </c>
      <c r="CV429" t="s">
        <v>111</v>
      </c>
      <c r="CW429" t="s">
        <v>111</v>
      </c>
      <c r="CX429" t="s">
        <v>111</v>
      </c>
      <c r="CY429">
        <v>0</v>
      </c>
      <c r="CZ429" t="s">
        <v>111</v>
      </c>
      <c r="DA429" t="s">
        <v>111</v>
      </c>
      <c r="DB429" t="s">
        <v>111</v>
      </c>
      <c r="DC429" t="s">
        <v>111</v>
      </c>
    </row>
    <row r="430" spans="1:107">
      <c r="A430">
        <v>1169</v>
      </c>
      <c r="B430" t="s">
        <v>107</v>
      </c>
      <c r="C430" t="s">
        <v>171</v>
      </c>
      <c r="D430" t="s">
        <v>1597</v>
      </c>
      <c r="E430" t="s">
        <v>1598</v>
      </c>
      <c r="F430" t="s">
        <v>431</v>
      </c>
      <c r="G430" t="s">
        <v>469</v>
      </c>
      <c r="H430">
        <v>3.4</v>
      </c>
      <c r="I430">
        <v>61</v>
      </c>
      <c r="J430">
        <v>0</v>
      </c>
      <c r="K430">
        <v>0</v>
      </c>
      <c r="L430" t="s">
        <v>117</v>
      </c>
      <c r="M430" t="s">
        <v>118</v>
      </c>
      <c r="N430">
        <v>40</v>
      </c>
      <c r="O430">
        <v>1</v>
      </c>
      <c r="P430" t="s">
        <v>111</v>
      </c>
      <c r="Q430">
        <v>10</v>
      </c>
      <c r="R430">
        <v>0</v>
      </c>
      <c r="S430">
        <v>0</v>
      </c>
      <c r="T430">
        <v>5</v>
      </c>
      <c r="U430" t="s">
        <v>1599</v>
      </c>
      <c r="V430">
        <v>0</v>
      </c>
      <c r="W430">
        <v>25</v>
      </c>
      <c r="X430">
        <v>8</v>
      </c>
      <c r="Y430">
        <v>0</v>
      </c>
      <c r="Z430" t="s">
        <v>111</v>
      </c>
      <c r="AA430">
        <v>0</v>
      </c>
      <c r="AB430" t="s">
        <v>111</v>
      </c>
      <c r="AC430">
        <v>0</v>
      </c>
      <c r="AD430" t="s">
        <v>416</v>
      </c>
      <c r="AE430">
        <v>0</v>
      </c>
      <c r="AF430">
        <v>0</v>
      </c>
      <c r="AG430" t="s">
        <v>111</v>
      </c>
      <c r="AH430" t="s">
        <v>113</v>
      </c>
      <c r="AI430" t="s">
        <v>111</v>
      </c>
      <c r="AJ430" t="s">
        <v>111</v>
      </c>
      <c r="AK430" t="s">
        <v>111</v>
      </c>
      <c r="AL430" t="s">
        <v>111</v>
      </c>
      <c r="AM430">
        <v>0</v>
      </c>
      <c r="AN430">
        <v>0</v>
      </c>
      <c r="AO430">
        <v>0</v>
      </c>
      <c r="AP430" t="s">
        <v>111</v>
      </c>
      <c r="AQ430" t="s">
        <v>111</v>
      </c>
      <c r="AR430" t="s">
        <v>111</v>
      </c>
      <c r="AS430" t="s">
        <v>111</v>
      </c>
      <c r="AT430" t="s">
        <v>111</v>
      </c>
      <c r="AU430" t="s">
        <v>111</v>
      </c>
      <c r="AV430" t="s">
        <v>111</v>
      </c>
      <c r="AW430" t="s">
        <v>111</v>
      </c>
      <c r="AX430" t="s">
        <v>111</v>
      </c>
      <c r="AY430" t="s">
        <v>111</v>
      </c>
      <c r="AZ430" t="s">
        <v>111</v>
      </c>
      <c r="BA430" t="s">
        <v>111</v>
      </c>
      <c r="BB430" t="s">
        <v>111</v>
      </c>
      <c r="BC430" t="s">
        <v>111</v>
      </c>
      <c r="BD430" t="s">
        <v>111</v>
      </c>
      <c r="BE430" t="s">
        <v>111</v>
      </c>
      <c r="BF430" t="s">
        <v>111</v>
      </c>
      <c r="BG430" t="s">
        <v>111</v>
      </c>
      <c r="BH430" t="s">
        <v>111</v>
      </c>
      <c r="BI430" t="s">
        <v>111</v>
      </c>
      <c r="BJ430" t="s">
        <v>111</v>
      </c>
      <c r="BK430" t="s">
        <v>111</v>
      </c>
      <c r="BL430" t="s">
        <v>111</v>
      </c>
      <c r="BM430" t="s">
        <v>111</v>
      </c>
      <c r="BN430" t="s">
        <v>111</v>
      </c>
      <c r="BO430" t="s">
        <v>111</v>
      </c>
      <c r="BP430" t="s">
        <v>111</v>
      </c>
      <c r="BQ430" t="s">
        <v>111</v>
      </c>
      <c r="BR430" t="s">
        <v>111</v>
      </c>
      <c r="BS430" t="s">
        <v>111</v>
      </c>
      <c r="BT430" t="s">
        <v>111</v>
      </c>
      <c r="BU430" t="s">
        <v>111</v>
      </c>
      <c r="BV430" t="s">
        <v>111</v>
      </c>
      <c r="BW430" t="s">
        <v>111</v>
      </c>
      <c r="BX430" t="s">
        <v>111</v>
      </c>
      <c r="BY430" t="s">
        <v>111</v>
      </c>
      <c r="BZ430" t="s">
        <v>111</v>
      </c>
      <c r="CA430" t="s">
        <v>111</v>
      </c>
      <c r="CB430" t="s">
        <v>111</v>
      </c>
      <c r="CC430" t="s">
        <v>111</v>
      </c>
      <c r="CD430" t="s">
        <v>111</v>
      </c>
      <c r="CE430" t="s">
        <v>111</v>
      </c>
      <c r="CF430" t="s">
        <v>111</v>
      </c>
      <c r="CG430" t="s">
        <v>111</v>
      </c>
      <c r="CH430" t="s">
        <v>111</v>
      </c>
      <c r="CI430" t="s">
        <v>111</v>
      </c>
      <c r="CJ430" t="s">
        <v>111</v>
      </c>
      <c r="CK430" t="s">
        <v>111</v>
      </c>
      <c r="CL430" t="e">
        <f>-DESTINO SELLADO</f>
        <v>#NAME?</v>
      </c>
      <c r="CM430" t="s">
        <v>135</v>
      </c>
      <c r="CN430" t="s">
        <v>113</v>
      </c>
      <c r="CO430" t="s">
        <v>111</v>
      </c>
      <c r="CP430" t="e">
        <f>-MUESTRA</f>
        <v>#NAME?</v>
      </c>
      <c r="CQ430">
        <v>0</v>
      </c>
      <c r="CR430">
        <v>5000</v>
      </c>
      <c r="CS430">
        <v>200</v>
      </c>
      <c r="CT430" t="s">
        <v>394</v>
      </c>
      <c r="CU430">
        <v>0</v>
      </c>
      <c r="CV430" t="s">
        <v>111</v>
      </c>
      <c r="CW430" t="s">
        <v>111</v>
      </c>
      <c r="CX430" t="s">
        <v>111</v>
      </c>
      <c r="CY430">
        <v>0</v>
      </c>
      <c r="CZ430" t="s">
        <v>111</v>
      </c>
      <c r="DA430" t="s">
        <v>111</v>
      </c>
      <c r="DB430" t="s">
        <v>111</v>
      </c>
      <c r="DC430" t="s">
        <v>111</v>
      </c>
    </row>
    <row r="431" spans="1:107">
      <c r="A431">
        <v>1160</v>
      </c>
      <c r="B431" t="s">
        <v>107</v>
      </c>
      <c r="C431" t="s">
        <v>194</v>
      </c>
      <c r="D431" t="s">
        <v>1600</v>
      </c>
      <c r="E431" t="s">
        <v>1601</v>
      </c>
      <c r="F431" t="s">
        <v>125</v>
      </c>
      <c r="G431" t="s">
        <v>469</v>
      </c>
      <c r="H431">
        <v>1.9</v>
      </c>
      <c r="I431">
        <v>54</v>
      </c>
      <c r="J431">
        <v>0</v>
      </c>
      <c r="K431">
        <v>0</v>
      </c>
      <c r="L431" t="s">
        <v>112</v>
      </c>
      <c r="M431" t="s">
        <v>111</v>
      </c>
      <c r="N431">
        <v>0</v>
      </c>
      <c r="O431">
        <v>0</v>
      </c>
      <c r="P431" t="s">
        <v>111</v>
      </c>
      <c r="Q431">
        <v>50.5</v>
      </c>
      <c r="R431">
        <v>0</v>
      </c>
      <c r="S431">
        <v>0</v>
      </c>
      <c r="T431">
        <v>5</v>
      </c>
      <c r="U431" t="s">
        <v>280</v>
      </c>
      <c r="V431">
        <v>12.5</v>
      </c>
      <c r="W431">
        <v>12.5</v>
      </c>
      <c r="X431">
        <v>0</v>
      </c>
      <c r="Y431">
        <v>0</v>
      </c>
      <c r="Z431" t="s">
        <v>327</v>
      </c>
      <c r="AA431">
        <v>2.5</v>
      </c>
      <c r="AB431" t="s">
        <v>339</v>
      </c>
      <c r="AC431">
        <v>25</v>
      </c>
      <c r="AD431" t="s">
        <v>111</v>
      </c>
      <c r="AE431">
        <v>0</v>
      </c>
      <c r="AF431">
        <v>0</v>
      </c>
      <c r="AG431" t="s">
        <v>111</v>
      </c>
      <c r="AH431" t="s">
        <v>111</v>
      </c>
      <c r="AI431" t="s">
        <v>111</v>
      </c>
      <c r="AJ431" t="s">
        <v>111</v>
      </c>
      <c r="AK431" t="s">
        <v>111</v>
      </c>
      <c r="AL431" t="s">
        <v>111</v>
      </c>
      <c r="AM431">
        <v>0</v>
      </c>
      <c r="AN431">
        <v>0</v>
      </c>
      <c r="AO431">
        <v>0</v>
      </c>
      <c r="AP431" t="s">
        <v>111</v>
      </c>
      <c r="AQ431" t="s">
        <v>111</v>
      </c>
      <c r="AR431" t="s">
        <v>111</v>
      </c>
      <c r="AS431" t="s">
        <v>111</v>
      </c>
      <c r="AT431" t="s">
        <v>111</v>
      </c>
      <c r="AU431" t="s">
        <v>111</v>
      </c>
      <c r="AV431" t="s">
        <v>111</v>
      </c>
      <c r="AW431" t="s">
        <v>111</v>
      </c>
      <c r="AX431" t="s">
        <v>111</v>
      </c>
      <c r="AY431" t="s">
        <v>111</v>
      </c>
      <c r="AZ431" t="s">
        <v>111</v>
      </c>
      <c r="BA431" t="s">
        <v>111</v>
      </c>
      <c r="BB431" t="s">
        <v>111</v>
      </c>
      <c r="BC431" t="s">
        <v>111</v>
      </c>
      <c r="BD431" t="s">
        <v>111</v>
      </c>
      <c r="BE431" t="s">
        <v>111</v>
      </c>
      <c r="BF431" t="s">
        <v>111</v>
      </c>
      <c r="BG431" t="s">
        <v>111</v>
      </c>
      <c r="BH431" t="s">
        <v>111</v>
      </c>
      <c r="BI431" t="s">
        <v>111</v>
      </c>
      <c r="BJ431" t="s">
        <v>111</v>
      </c>
      <c r="BK431" t="s">
        <v>111</v>
      </c>
      <c r="BL431" t="s">
        <v>111</v>
      </c>
      <c r="BM431" t="s">
        <v>111</v>
      </c>
      <c r="BN431" t="s">
        <v>111</v>
      </c>
      <c r="BO431" t="s">
        <v>111</v>
      </c>
      <c r="BP431" t="s">
        <v>111</v>
      </c>
      <c r="BQ431" t="s">
        <v>111</v>
      </c>
      <c r="BR431" t="s">
        <v>111</v>
      </c>
      <c r="BS431" t="s">
        <v>111</v>
      </c>
      <c r="BT431" t="s">
        <v>111</v>
      </c>
      <c r="BU431" t="s">
        <v>111</v>
      </c>
      <c r="BV431" t="s">
        <v>111</v>
      </c>
      <c r="BW431" t="s">
        <v>111</v>
      </c>
      <c r="BX431" t="s">
        <v>111</v>
      </c>
      <c r="BY431" t="s">
        <v>111</v>
      </c>
      <c r="BZ431" t="s">
        <v>111</v>
      </c>
      <c r="CA431" t="s">
        <v>111</v>
      </c>
      <c r="CB431" t="s">
        <v>111</v>
      </c>
      <c r="CC431" t="s">
        <v>111</v>
      </c>
      <c r="CD431" t="s">
        <v>111</v>
      </c>
      <c r="CE431" t="s">
        <v>111</v>
      </c>
      <c r="CF431" t="s">
        <v>111</v>
      </c>
      <c r="CG431" t="s">
        <v>111</v>
      </c>
      <c r="CH431" t="s">
        <v>111</v>
      </c>
      <c r="CI431" t="s">
        <v>111</v>
      </c>
      <c r="CJ431" t="s">
        <v>111</v>
      </c>
      <c r="CK431" t="s">
        <v>111</v>
      </c>
      <c r="CL431" t="s">
        <v>111</v>
      </c>
      <c r="CM431" t="s">
        <v>111</v>
      </c>
      <c r="CN431" t="s">
        <v>111</v>
      </c>
      <c r="CO431" t="s">
        <v>111</v>
      </c>
      <c r="CP431" t="s">
        <v>111</v>
      </c>
      <c r="CQ431">
        <v>0</v>
      </c>
      <c r="CR431">
        <v>0</v>
      </c>
      <c r="CS431">
        <v>0</v>
      </c>
      <c r="CT431" t="s">
        <v>111</v>
      </c>
      <c r="CU431">
        <v>0</v>
      </c>
      <c r="CV431" t="s">
        <v>111</v>
      </c>
      <c r="CW431" t="s">
        <v>111</v>
      </c>
      <c r="CX431" t="s">
        <v>111</v>
      </c>
      <c r="CY431">
        <v>0</v>
      </c>
      <c r="CZ431" t="s">
        <v>111</v>
      </c>
      <c r="DA431" t="s">
        <v>111</v>
      </c>
      <c r="DB431" t="e">
        <f>-INTERNO</f>
        <v>#NAME?</v>
      </c>
      <c r="DC431" t="s">
        <v>281</v>
      </c>
    </row>
    <row r="432" spans="1:107">
      <c r="A432">
        <v>1157</v>
      </c>
      <c r="B432" t="s">
        <v>107</v>
      </c>
      <c r="C432" t="s">
        <v>1602</v>
      </c>
      <c r="D432" t="s">
        <v>1603</v>
      </c>
      <c r="E432" t="s">
        <v>1604</v>
      </c>
      <c r="F432" t="s">
        <v>739</v>
      </c>
      <c r="G432" t="s">
        <v>469</v>
      </c>
      <c r="H432">
        <v>2.9</v>
      </c>
      <c r="I432">
        <v>40</v>
      </c>
      <c r="J432">
        <v>5</v>
      </c>
      <c r="K432">
        <v>5</v>
      </c>
      <c r="L432" t="s">
        <v>112</v>
      </c>
      <c r="M432" t="s">
        <v>118</v>
      </c>
      <c r="N432">
        <v>38</v>
      </c>
      <c r="O432">
        <v>2</v>
      </c>
      <c r="P432" t="s">
        <v>111</v>
      </c>
      <c r="Q432">
        <v>30.4</v>
      </c>
      <c r="R432">
        <v>0</v>
      </c>
      <c r="S432">
        <v>0</v>
      </c>
      <c r="T432">
        <v>5</v>
      </c>
      <c r="U432" t="s">
        <v>501</v>
      </c>
      <c r="V432">
        <v>0</v>
      </c>
      <c r="W432">
        <v>25</v>
      </c>
      <c r="X432">
        <v>8</v>
      </c>
      <c r="Y432">
        <v>0</v>
      </c>
      <c r="Z432" t="s">
        <v>288</v>
      </c>
      <c r="AA432">
        <v>1.6</v>
      </c>
      <c r="AB432" t="s">
        <v>111</v>
      </c>
      <c r="AC432">
        <v>0</v>
      </c>
      <c r="AD432" t="s">
        <v>416</v>
      </c>
      <c r="AE432">
        <v>0</v>
      </c>
      <c r="AF432">
        <v>0</v>
      </c>
      <c r="AG432" t="s">
        <v>111</v>
      </c>
      <c r="AH432" t="s">
        <v>128</v>
      </c>
      <c r="AI432" t="s">
        <v>111</v>
      </c>
      <c r="AJ432" t="s">
        <v>111</v>
      </c>
      <c r="AK432" t="s">
        <v>111</v>
      </c>
      <c r="AL432" t="s">
        <v>111</v>
      </c>
      <c r="AM432">
        <v>0</v>
      </c>
      <c r="AN432">
        <v>0</v>
      </c>
      <c r="AO432">
        <v>0</v>
      </c>
      <c r="AP432" t="s">
        <v>111</v>
      </c>
      <c r="AQ432" t="s">
        <v>111</v>
      </c>
      <c r="AR432" t="s">
        <v>111</v>
      </c>
      <c r="AS432" t="s">
        <v>111</v>
      </c>
      <c r="AT432" t="s">
        <v>111</v>
      </c>
      <c r="AU432" t="s">
        <v>111</v>
      </c>
      <c r="AV432" t="s">
        <v>111</v>
      </c>
      <c r="AW432" t="s">
        <v>111</v>
      </c>
      <c r="AX432" t="s">
        <v>111</v>
      </c>
      <c r="AY432" t="s">
        <v>111</v>
      </c>
      <c r="AZ432" t="s">
        <v>111</v>
      </c>
      <c r="BA432" t="s">
        <v>111</v>
      </c>
      <c r="BB432" t="s">
        <v>111</v>
      </c>
      <c r="BC432" t="s">
        <v>111</v>
      </c>
      <c r="BD432" t="s">
        <v>111</v>
      </c>
      <c r="BE432" t="s">
        <v>111</v>
      </c>
      <c r="BF432" t="s">
        <v>111</v>
      </c>
      <c r="BG432" t="s">
        <v>111</v>
      </c>
      <c r="BH432" t="s">
        <v>111</v>
      </c>
      <c r="BI432" t="s">
        <v>111</v>
      </c>
      <c r="BJ432" t="s">
        <v>111</v>
      </c>
      <c r="BK432" t="s">
        <v>111</v>
      </c>
      <c r="BL432" t="s">
        <v>111</v>
      </c>
      <c r="BM432" t="s">
        <v>111</v>
      </c>
      <c r="BN432" t="s">
        <v>111</v>
      </c>
      <c r="BO432" t="s">
        <v>111</v>
      </c>
      <c r="BP432" t="s">
        <v>111</v>
      </c>
      <c r="BQ432" t="s">
        <v>111</v>
      </c>
      <c r="BR432" t="s">
        <v>111</v>
      </c>
      <c r="BS432" t="s">
        <v>111</v>
      </c>
      <c r="BT432" t="s">
        <v>111</v>
      </c>
      <c r="BU432" t="s">
        <v>111</v>
      </c>
      <c r="BV432" t="s">
        <v>111</v>
      </c>
      <c r="BW432" t="s">
        <v>111</v>
      </c>
      <c r="BX432" t="s">
        <v>111</v>
      </c>
      <c r="BY432" t="s">
        <v>111</v>
      </c>
      <c r="BZ432" t="s">
        <v>111</v>
      </c>
      <c r="CA432" t="s">
        <v>111</v>
      </c>
      <c r="CB432" t="s">
        <v>111</v>
      </c>
      <c r="CC432" t="s">
        <v>111</v>
      </c>
      <c r="CD432" t="s">
        <v>111</v>
      </c>
      <c r="CE432" t="s">
        <v>111</v>
      </c>
      <c r="CF432" t="s">
        <v>111</v>
      </c>
      <c r="CG432" t="s">
        <v>111</v>
      </c>
      <c r="CH432" t="s">
        <v>111</v>
      </c>
      <c r="CI432" t="s">
        <v>111</v>
      </c>
      <c r="CJ432" t="s">
        <v>111</v>
      </c>
      <c r="CK432" t="s">
        <v>111</v>
      </c>
      <c r="CL432" t="e">
        <f>-DESTINO SELLADO</f>
        <v>#NAME?</v>
      </c>
      <c r="CM432" t="s">
        <v>198</v>
      </c>
      <c r="CN432" t="s">
        <v>128</v>
      </c>
      <c r="CO432" t="s">
        <v>367</v>
      </c>
      <c r="CP432" t="e">
        <f>-MUESTRA</f>
        <v>#NAME?</v>
      </c>
      <c r="CQ432">
        <v>0</v>
      </c>
      <c r="CR432">
        <v>2000</v>
      </c>
      <c r="CS432">
        <v>25</v>
      </c>
      <c r="CT432" t="s">
        <v>1188</v>
      </c>
      <c r="CU432">
        <v>0</v>
      </c>
      <c r="CV432" t="s">
        <v>111</v>
      </c>
      <c r="CW432" t="s">
        <v>111</v>
      </c>
      <c r="CX432" t="s">
        <v>111</v>
      </c>
      <c r="CY432">
        <v>0</v>
      </c>
      <c r="CZ432" t="s">
        <v>111</v>
      </c>
      <c r="DA432" t="s">
        <v>111</v>
      </c>
      <c r="DB432" t="e">
        <f>-INTERNO</f>
        <v>#NAME?</v>
      </c>
      <c r="DC432" t="s">
        <v>1605</v>
      </c>
    </row>
    <row r="433" spans="1:107">
      <c r="A433">
        <v>1093</v>
      </c>
      <c r="B433" t="s">
        <v>107</v>
      </c>
      <c r="C433" t="s">
        <v>399</v>
      </c>
      <c r="D433" t="s">
        <v>1530</v>
      </c>
      <c r="E433" t="s">
        <v>1606</v>
      </c>
      <c r="F433" t="s">
        <v>431</v>
      </c>
      <c r="G433" t="s">
        <v>469</v>
      </c>
      <c r="H433">
        <v>3.9</v>
      </c>
      <c r="I433">
        <v>48</v>
      </c>
      <c r="J433">
        <v>0</v>
      </c>
      <c r="K433">
        <v>0</v>
      </c>
      <c r="L433" t="s">
        <v>112</v>
      </c>
      <c r="M433" t="s">
        <v>138</v>
      </c>
      <c r="N433">
        <v>0</v>
      </c>
      <c r="O433">
        <v>1</v>
      </c>
      <c r="P433" t="s">
        <v>118</v>
      </c>
      <c r="Q433">
        <v>37.700000000000003</v>
      </c>
      <c r="R433">
        <v>0</v>
      </c>
      <c r="S433">
        <v>0</v>
      </c>
      <c r="T433">
        <v>5</v>
      </c>
      <c r="U433" t="s">
        <v>501</v>
      </c>
      <c r="V433">
        <v>0</v>
      </c>
      <c r="W433">
        <v>25</v>
      </c>
      <c r="X433">
        <v>10</v>
      </c>
      <c r="Y433">
        <v>0</v>
      </c>
      <c r="Z433" t="s">
        <v>288</v>
      </c>
      <c r="AA433">
        <v>1.5</v>
      </c>
      <c r="AB433" t="s">
        <v>111</v>
      </c>
      <c r="AC433">
        <v>0</v>
      </c>
      <c r="AD433" t="s">
        <v>416</v>
      </c>
      <c r="AE433">
        <v>0</v>
      </c>
      <c r="AF433">
        <v>0</v>
      </c>
      <c r="AG433" t="s">
        <v>111</v>
      </c>
      <c r="AH433" t="s">
        <v>111</v>
      </c>
      <c r="AI433" t="s">
        <v>111</v>
      </c>
      <c r="AJ433" t="s">
        <v>111</v>
      </c>
      <c r="AK433" t="s">
        <v>111</v>
      </c>
      <c r="AL433" t="s">
        <v>111</v>
      </c>
      <c r="AM433">
        <v>0</v>
      </c>
      <c r="AN433">
        <v>0</v>
      </c>
      <c r="AO433">
        <v>0</v>
      </c>
      <c r="AP433" t="s">
        <v>111</v>
      </c>
      <c r="AQ433" t="s">
        <v>111</v>
      </c>
      <c r="AR433" t="s">
        <v>111</v>
      </c>
      <c r="AS433" t="s">
        <v>111</v>
      </c>
      <c r="AT433" t="s">
        <v>111</v>
      </c>
      <c r="AU433" t="s">
        <v>111</v>
      </c>
      <c r="AV433" t="s">
        <v>111</v>
      </c>
      <c r="AW433" t="s">
        <v>111</v>
      </c>
      <c r="AX433" t="s">
        <v>111</v>
      </c>
      <c r="AY433" t="s">
        <v>111</v>
      </c>
      <c r="AZ433" t="s">
        <v>111</v>
      </c>
      <c r="BA433" t="s">
        <v>111</v>
      </c>
      <c r="BB433" t="s">
        <v>111</v>
      </c>
      <c r="BC433" t="s">
        <v>111</v>
      </c>
      <c r="BD433" t="s">
        <v>111</v>
      </c>
      <c r="BE433" t="s">
        <v>111</v>
      </c>
      <c r="BF433" t="s">
        <v>111</v>
      </c>
      <c r="BG433" t="s">
        <v>111</v>
      </c>
      <c r="BH433" t="s">
        <v>111</v>
      </c>
      <c r="BI433" t="s">
        <v>111</v>
      </c>
      <c r="BJ433" t="s">
        <v>111</v>
      </c>
      <c r="BK433" t="s">
        <v>111</v>
      </c>
      <c r="BL433" t="s">
        <v>111</v>
      </c>
      <c r="BM433" t="s">
        <v>111</v>
      </c>
      <c r="BN433" t="s">
        <v>111</v>
      </c>
      <c r="BO433" t="s">
        <v>111</v>
      </c>
      <c r="BP433" t="s">
        <v>111</v>
      </c>
      <c r="BQ433" t="s">
        <v>111</v>
      </c>
      <c r="BR433" t="s">
        <v>111</v>
      </c>
      <c r="BS433" t="s">
        <v>111</v>
      </c>
      <c r="BT433" t="s">
        <v>111</v>
      </c>
      <c r="BU433" t="s">
        <v>111</v>
      </c>
      <c r="BV433" t="s">
        <v>111</v>
      </c>
      <c r="BW433" t="s">
        <v>111</v>
      </c>
      <c r="BX433" t="s">
        <v>111</v>
      </c>
      <c r="BY433" t="s">
        <v>111</v>
      </c>
      <c r="BZ433" t="s">
        <v>111</v>
      </c>
      <c r="CA433" t="s">
        <v>111</v>
      </c>
      <c r="CB433" t="s">
        <v>111</v>
      </c>
      <c r="CC433" t="s">
        <v>111</v>
      </c>
      <c r="CD433" t="s">
        <v>111</v>
      </c>
      <c r="CE433" t="s">
        <v>111</v>
      </c>
      <c r="CF433" t="s">
        <v>111</v>
      </c>
      <c r="CG433" t="s">
        <v>111</v>
      </c>
      <c r="CH433" t="s">
        <v>111</v>
      </c>
      <c r="CI433" t="s">
        <v>111</v>
      </c>
      <c r="CJ433" t="s">
        <v>111</v>
      </c>
      <c r="CK433" t="s">
        <v>111</v>
      </c>
      <c r="CL433" t="e">
        <f>-DESTINO SELLADO</f>
        <v>#NAME?</v>
      </c>
      <c r="CM433" t="s">
        <v>135</v>
      </c>
      <c r="CN433" t="s">
        <v>111</v>
      </c>
      <c r="CO433" t="s">
        <v>1607</v>
      </c>
      <c r="CP433" t="s">
        <v>111</v>
      </c>
      <c r="CQ433">
        <v>0</v>
      </c>
      <c r="CR433">
        <v>0</v>
      </c>
      <c r="CS433">
        <v>45</v>
      </c>
      <c r="CT433" s="1" t="s">
        <v>1608</v>
      </c>
      <c r="CU433">
        <v>0</v>
      </c>
      <c r="CV433" t="s">
        <v>111</v>
      </c>
      <c r="CW433" t="s">
        <v>111</v>
      </c>
      <c r="CX433" t="s">
        <v>111</v>
      </c>
      <c r="CY433">
        <v>0</v>
      </c>
      <c r="CZ433" t="s">
        <v>111</v>
      </c>
      <c r="DA433" t="s">
        <v>111</v>
      </c>
      <c r="DB433" t="s">
        <v>111</v>
      </c>
      <c r="DC433" t="s">
        <v>111</v>
      </c>
    </row>
    <row r="434" spans="1:107">
      <c r="A434">
        <v>1167</v>
      </c>
      <c r="B434" t="s">
        <v>107</v>
      </c>
      <c r="C434" t="s">
        <v>1609</v>
      </c>
      <c r="D434" t="s">
        <v>1610</v>
      </c>
      <c r="E434" t="s">
        <v>1611</v>
      </c>
      <c r="F434" t="s">
        <v>739</v>
      </c>
      <c r="G434" t="s">
        <v>469</v>
      </c>
      <c r="H434">
        <v>1.5</v>
      </c>
      <c r="I434">
        <v>54</v>
      </c>
      <c r="J434">
        <v>0</v>
      </c>
      <c r="K434">
        <v>0</v>
      </c>
      <c r="L434" t="s">
        <v>117</v>
      </c>
      <c r="M434" t="s">
        <v>118</v>
      </c>
      <c r="N434">
        <v>40</v>
      </c>
      <c r="O434">
        <v>1</v>
      </c>
      <c r="P434" t="s">
        <v>111</v>
      </c>
      <c r="Q434">
        <v>450</v>
      </c>
      <c r="R434">
        <v>0</v>
      </c>
      <c r="S434">
        <v>0</v>
      </c>
      <c r="T434">
        <v>5</v>
      </c>
      <c r="U434" t="s">
        <v>501</v>
      </c>
      <c r="V434">
        <v>0</v>
      </c>
      <c r="W434">
        <v>25</v>
      </c>
      <c r="X434">
        <v>8</v>
      </c>
      <c r="Y434">
        <v>0</v>
      </c>
      <c r="Z434" t="s">
        <v>288</v>
      </c>
      <c r="AA434">
        <v>2</v>
      </c>
      <c r="AB434" t="s">
        <v>111</v>
      </c>
      <c r="AC434">
        <v>0</v>
      </c>
      <c r="AD434" t="s">
        <v>416</v>
      </c>
      <c r="AE434">
        <v>0</v>
      </c>
      <c r="AF434">
        <v>0</v>
      </c>
      <c r="AG434" t="s">
        <v>111</v>
      </c>
      <c r="AH434" t="s">
        <v>113</v>
      </c>
      <c r="AI434" t="s">
        <v>111</v>
      </c>
      <c r="AJ434" t="s">
        <v>111</v>
      </c>
      <c r="AK434" t="s">
        <v>111</v>
      </c>
      <c r="AL434" t="s">
        <v>111</v>
      </c>
      <c r="AM434">
        <v>0</v>
      </c>
      <c r="AN434">
        <v>0</v>
      </c>
      <c r="AO434">
        <v>0</v>
      </c>
      <c r="AP434" t="s">
        <v>111</v>
      </c>
      <c r="AQ434" t="s">
        <v>111</v>
      </c>
      <c r="AR434" t="s">
        <v>111</v>
      </c>
      <c r="AS434" t="s">
        <v>111</v>
      </c>
      <c r="AT434" t="s">
        <v>111</v>
      </c>
      <c r="AU434" t="s">
        <v>111</v>
      </c>
      <c r="AV434" t="s">
        <v>111</v>
      </c>
      <c r="AW434" t="s">
        <v>111</v>
      </c>
      <c r="AX434" t="s">
        <v>111</v>
      </c>
      <c r="AY434" t="s">
        <v>111</v>
      </c>
      <c r="AZ434" t="s">
        <v>111</v>
      </c>
      <c r="BA434" t="s">
        <v>111</v>
      </c>
      <c r="BB434" t="s">
        <v>111</v>
      </c>
      <c r="BC434" t="s">
        <v>111</v>
      </c>
      <c r="BD434" t="s">
        <v>111</v>
      </c>
      <c r="BE434" t="s">
        <v>111</v>
      </c>
      <c r="BF434" t="s">
        <v>111</v>
      </c>
      <c r="BG434" t="s">
        <v>111</v>
      </c>
      <c r="BH434" t="s">
        <v>111</v>
      </c>
      <c r="BI434" t="s">
        <v>111</v>
      </c>
      <c r="BJ434" t="s">
        <v>111</v>
      </c>
      <c r="BK434" t="s">
        <v>111</v>
      </c>
      <c r="BL434" t="s">
        <v>111</v>
      </c>
      <c r="BM434" t="s">
        <v>111</v>
      </c>
      <c r="BN434" t="s">
        <v>111</v>
      </c>
      <c r="BO434" t="s">
        <v>111</v>
      </c>
      <c r="BP434" t="s">
        <v>111</v>
      </c>
      <c r="BQ434" t="s">
        <v>111</v>
      </c>
      <c r="BR434" t="s">
        <v>111</v>
      </c>
      <c r="BS434" t="s">
        <v>111</v>
      </c>
      <c r="BT434" t="s">
        <v>111</v>
      </c>
      <c r="BU434" t="s">
        <v>111</v>
      </c>
      <c r="BV434" t="s">
        <v>111</v>
      </c>
      <c r="BW434" t="s">
        <v>111</v>
      </c>
      <c r="BX434" t="s">
        <v>111</v>
      </c>
      <c r="BY434" t="s">
        <v>111</v>
      </c>
      <c r="BZ434" t="s">
        <v>111</v>
      </c>
      <c r="CA434" t="s">
        <v>111</v>
      </c>
      <c r="CB434" t="s">
        <v>111</v>
      </c>
      <c r="CC434" t="s">
        <v>111</v>
      </c>
      <c r="CD434" t="s">
        <v>111</v>
      </c>
      <c r="CE434" t="s">
        <v>111</v>
      </c>
      <c r="CF434" t="s">
        <v>111</v>
      </c>
      <c r="CG434" t="s">
        <v>111</v>
      </c>
      <c r="CH434" t="s">
        <v>111</v>
      </c>
      <c r="CI434" t="s">
        <v>111</v>
      </c>
      <c r="CJ434" t="s">
        <v>111</v>
      </c>
      <c r="CK434" t="s">
        <v>111</v>
      </c>
      <c r="CL434" t="e">
        <f>-DESTINO SELLADO</f>
        <v>#NAME?</v>
      </c>
      <c r="CM434" t="s">
        <v>438</v>
      </c>
      <c r="CN434" t="s">
        <v>113</v>
      </c>
      <c r="CO434" t="s">
        <v>111</v>
      </c>
      <c r="CP434" t="s">
        <v>111</v>
      </c>
      <c r="CQ434">
        <v>0</v>
      </c>
      <c r="CR434">
        <v>6000</v>
      </c>
      <c r="CS434">
        <v>250</v>
      </c>
      <c r="CT434" t="s">
        <v>394</v>
      </c>
      <c r="CU434">
        <v>0</v>
      </c>
      <c r="CV434" t="s">
        <v>111</v>
      </c>
      <c r="CW434" t="s">
        <v>111</v>
      </c>
      <c r="CX434" t="s">
        <v>111</v>
      </c>
      <c r="CY434">
        <v>0</v>
      </c>
      <c r="CZ434" t="s">
        <v>111</v>
      </c>
      <c r="DA434" t="s">
        <v>111</v>
      </c>
      <c r="DB434" t="s">
        <v>111</v>
      </c>
      <c r="DC434" t="s">
        <v>111</v>
      </c>
    </row>
    <row r="435" spans="1:107">
      <c r="A435">
        <v>1317</v>
      </c>
      <c r="B435" t="s">
        <v>107</v>
      </c>
      <c r="C435" s="2">
        <v>8275881</v>
      </c>
      <c r="D435" t="s">
        <v>1612</v>
      </c>
      <c r="E435" t="s">
        <v>1613</v>
      </c>
      <c r="F435" t="s">
        <v>157</v>
      </c>
      <c r="G435" t="s">
        <v>469</v>
      </c>
      <c r="H435">
        <v>3.2</v>
      </c>
      <c r="I435">
        <v>50</v>
      </c>
      <c r="J435">
        <v>0</v>
      </c>
      <c r="K435">
        <v>0</v>
      </c>
      <c r="L435" t="s">
        <v>112</v>
      </c>
      <c r="M435" t="s">
        <v>118</v>
      </c>
      <c r="N435">
        <v>40</v>
      </c>
      <c r="O435">
        <v>2</v>
      </c>
      <c r="P435" t="s">
        <v>111</v>
      </c>
      <c r="Q435">
        <v>49</v>
      </c>
      <c r="R435">
        <v>0</v>
      </c>
      <c r="S435">
        <v>0</v>
      </c>
      <c r="T435">
        <v>0</v>
      </c>
      <c r="U435" s="1" t="s">
        <v>1614</v>
      </c>
      <c r="V435">
        <v>0</v>
      </c>
      <c r="W435">
        <v>25</v>
      </c>
      <c r="X435">
        <v>10</v>
      </c>
      <c r="Y435">
        <v>0</v>
      </c>
      <c r="Z435" t="s">
        <v>111</v>
      </c>
      <c r="AA435">
        <v>0</v>
      </c>
      <c r="AB435" t="s">
        <v>111</v>
      </c>
      <c r="AC435">
        <v>0</v>
      </c>
      <c r="AD435" t="s">
        <v>111</v>
      </c>
      <c r="AE435">
        <v>0</v>
      </c>
      <c r="AF435">
        <v>0</v>
      </c>
      <c r="AG435" t="s">
        <v>111</v>
      </c>
      <c r="AH435" t="s">
        <v>111</v>
      </c>
      <c r="AI435" t="s">
        <v>111</v>
      </c>
      <c r="AJ435" t="s">
        <v>111</v>
      </c>
      <c r="AK435" t="s">
        <v>111</v>
      </c>
      <c r="AL435" t="s">
        <v>111</v>
      </c>
      <c r="AM435">
        <v>0</v>
      </c>
      <c r="AN435">
        <v>0</v>
      </c>
      <c r="AO435">
        <v>0</v>
      </c>
      <c r="AP435" t="s">
        <v>111</v>
      </c>
      <c r="AQ435" t="s">
        <v>111</v>
      </c>
      <c r="AR435" t="s">
        <v>111</v>
      </c>
      <c r="AS435" t="s">
        <v>111</v>
      </c>
      <c r="AT435" t="s">
        <v>111</v>
      </c>
      <c r="AU435" t="s">
        <v>111</v>
      </c>
      <c r="AV435" t="s">
        <v>111</v>
      </c>
      <c r="AW435" t="s">
        <v>111</v>
      </c>
      <c r="AX435" t="s">
        <v>111</v>
      </c>
      <c r="AY435" t="s">
        <v>111</v>
      </c>
      <c r="AZ435" t="s">
        <v>111</v>
      </c>
      <c r="BA435" t="s">
        <v>111</v>
      </c>
      <c r="BB435" t="s">
        <v>111</v>
      </c>
      <c r="BC435" t="s">
        <v>111</v>
      </c>
      <c r="BD435" t="s">
        <v>111</v>
      </c>
      <c r="BE435" t="s">
        <v>111</v>
      </c>
      <c r="BF435" t="s">
        <v>111</v>
      </c>
      <c r="BG435" t="s">
        <v>111</v>
      </c>
      <c r="BH435" t="s">
        <v>111</v>
      </c>
      <c r="BI435" t="s">
        <v>111</v>
      </c>
      <c r="BJ435" t="s">
        <v>111</v>
      </c>
      <c r="BK435" t="s">
        <v>111</v>
      </c>
      <c r="BL435" t="s">
        <v>111</v>
      </c>
      <c r="BM435" t="s">
        <v>111</v>
      </c>
      <c r="BN435" t="s">
        <v>111</v>
      </c>
      <c r="BO435" t="s">
        <v>111</v>
      </c>
      <c r="BP435" t="s">
        <v>111</v>
      </c>
      <c r="BQ435" t="s">
        <v>111</v>
      </c>
      <c r="BR435" t="s">
        <v>111</v>
      </c>
      <c r="BS435" t="s">
        <v>111</v>
      </c>
      <c r="BT435" t="s">
        <v>111</v>
      </c>
      <c r="BU435" t="s">
        <v>111</v>
      </c>
      <c r="BV435" t="s">
        <v>111</v>
      </c>
      <c r="BW435" t="s">
        <v>111</v>
      </c>
      <c r="BX435" t="s">
        <v>111</v>
      </c>
      <c r="BY435" t="s">
        <v>111</v>
      </c>
      <c r="BZ435" t="s">
        <v>111</v>
      </c>
      <c r="CA435" t="s">
        <v>111</v>
      </c>
      <c r="CB435" t="s">
        <v>111</v>
      </c>
      <c r="CC435" t="s">
        <v>111</v>
      </c>
      <c r="CD435" t="s">
        <v>111</v>
      </c>
      <c r="CE435" t="s">
        <v>111</v>
      </c>
      <c r="CF435" t="s">
        <v>111</v>
      </c>
      <c r="CG435" t="s">
        <v>111</v>
      </c>
      <c r="CH435" t="s">
        <v>111</v>
      </c>
      <c r="CI435" t="s">
        <v>111</v>
      </c>
      <c r="CJ435" t="s">
        <v>111</v>
      </c>
      <c r="CK435" t="s">
        <v>111</v>
      </c>
      <c r="CL435" t="s">
        <v>111</v>
      </c>
      <c r="CM435" t="s">
        <v>111</v>
      </c>
      <c r="CN435" t="s">
        <v>111</v>
      </c>
      <c r="CO435" t="s">
        <v>111</v>
      </c>
      <c r="CP435" t="s">
        <v>111</v>
      </c>
      <c r="CQ435">
        <v>0</v>
      </c>
      <c r="CR435">
        <v>0</v>
      </c>
      <c r="CS435">
        <v>0</v>
      </c>
      <c r="CT435" t="s">
        <v>111</v>
      </c>
      <c r="CU435">
        <v>0</v>
      </c>
      <c r="CV435" t="s">
        <v>111</v>
      </c>
      <c r="CW435" t="s">
        <v>111</v>
      </c>
      <c r="CX435" t="s">
        <v>111</v>
      </c>
      <c r="CY435">
        <v>0</v>
      </c>
      <c r="CZ435" t="s">
        <v>111</v>
      </c>
      <c r="DA435" t="s">
        <v>111</v>
      </c>
      <c r="DB435" t="s">
        <v>111</v>
      </c>
      <c r="DC435" t="s">
        <v>111</v>
      </c>
    </row>
    <row r="436" spans="1:107">
      <c r="A436">
        <v>1156</v>
      </c>
      <c r="B436" t="s">
        <v>107</v>
      </c>
      <c r="C436" t="s">
        <v>1602</v>
      </c>
      <c r="D436" t="s">
        <v>1615</v>
      </c>
      <c r="E436" t="s">
        <v>1616</v>
      </c>
      <c r="F436" t="s">
        <v>739</v>
      </c>
      <c r="G436" t="s">
        <v>469</v>
      </c>
      <c r="H436">
        <v>2.9</v>
      </c>
      <c r="I436">
        <v>48</v>
      </c>
      <c r="J436">
        <v>0</v>
      </c>
      <c r="K436">
        <v>0</v>
      </c>
      <c r="L436" t="s">
        <v>112</v>
      </c>
      <c r="M436" t="s">
        <v>118</v>
      </c>
      <c r="N436">
        <v>38</v>
      </c>
      <c r="O436">
        <v>2</v>
      </c>
      <c r="P436" t="s">
        <v>111</v>
      </c>
      <c r="Q436">
        <v>51.1</v>
      </c>
      <c r="R436">
        <v>0</v>
      </c>
      <c r="S436">
        <v>0</v>
      </c>
      <c r="T436">
        <v>5</v>
      </c>
      <c r="U436" t="s">
        <v>1511</v>
      </c>
      <c r="V436">
        <v>0</v>
      </c>
      <c r="W436">
        <v>25</v>
      </c>
      <c r="X436">
        <v>8</v>
      </c>
      <c r="Y436">
        <v>0</v>
      </c>
      <c r="Z436" t="s">
        <v>288</v>
      </c>
      <c r="AA436">
        <v>1.5</v>
      </c>
      <c r="AB436" t="s">
        <v>111</v>
      </c>
      <c r="AC436">
        <v>0</v>
      </c>
      <c r="AD436" t="s">
        <v>416</v>
      </c>
      <c r="AE436">
        <v>0</v>
      </c>
      <c r="AF436">
        <v>0</v>
      </c>
      <c r="AG436" t="s">
        <v>111</v>
      </c>
      <c r="AH436" t="s">
        <v>113</v>
      </c>
      <c r="AI436" t="s">
        <v>111</v>
      </c>
      <c r="AJ436" t="s">
        <v>111</v>
      </c>
      <c r="AK436" t="s">
        <v>111</v>
      </c>
      <c r="AL436" t="s">
        <v>111</v>
      </c>
      <c r="AM436">
        <v>0</v>
      </c>
      <c r="AN436">
        <v>0</v>
      </c>
      <c r="AO436">
        <v>0</v>
      </c>
      <c r="AP436" t="s">
        <v>111</v>
      </c>
      <c r="AQ436" t="s">
        <v>111</v>
      </c>
      <c r="AR436" t="s">
        <v>111</v>
      </c>
      <c r="AS436" t="s">
        <v>111</v>
      </c>
      <c r="AT436" t="s">
        <v>111</v>
      </c>
      <c r="AU436" t="s">
        <v>111</v>
      </c>
      <c r="AV436" t="s">
        <v>111</v>
      </c>
      <c r="AW436" t="s">
        <v>111</v>
      </c>
      <c r="AX436" t="s">
        <v>111</v>
      </c>
      <c r="AY436" t="s">
        <v>111</v>
      </c>
      <c r="AZ436" t="s">
        <v>111</v>
      </c>
      <c r="BA436" t="s">
        <v>111</v>
      </c>
      <c r="BB436" t="s">
        <v>111</v>
      </c>
      <c r="BC436" t="s">
        <v>111</v>
      </c>
      <c r="BD436" t="s">
        <v>111</v>
      </c>
      <c r="BE436" t="s">
        <v>111</v>
      </c>
      <c r="BF436" t="s">
        <v>111</v>
      </c>
      <c r="BG436" t="s">
        <v>111</v>
      </c>
      <c r="BH436" t="s">
        <v>111</v>
      </c>
      <c r="BI436" t="s">
        <v>111</v>
      </c>
      <c r="BJ436" t="s">
        <v>111</v>
      </c>
      <c r="BK436" t="s">
        <v>111</v>
      </c>
      <c r="BL436" t="s">
        <v>111</v>
      </c>
      <c r="BM436" t="s">
        <v>111</v>
      </c>
      <c r="BN436" t="s">
        <v>111</v>
      </c>
      <c r="BO436" t="s">
        <v>111</v>
      </c>
      <c r="BP436" t="s">
        <v>111</v>
      </c>
      <c r="BQ436" t="s">
        <v>111</v>
      </c>
      <c r="BR436" t="s">
        <v>111</v>
      </c>
      <c r="BS436" t="s">
        <v>111</v>
      </c>
      <c r="BT436" t="s">
        <v>111</v>
      </c>
      <c r="BU436" t="s">
        <v>111</v>
      </c>
      <c r="BV436" t="s">
        <v>111</v>
      </c>
      <c r="BW436" t="s">
        <v>111</v>
      </c>
      <c r="BX436" t="s">
        <v>111</v>
      </c>
      <c r="BY436" t="s">
        <v>111</v>
      </c>
      <c r="BZ436" t="s">
        <v>111</v>
      </c>
      <c r="CA436" t="s">
        <v>111</v>
      </c>
      <c r="CB436" t="s">
        <v>111</v>
      </c>
      <c r="CC436" t="s">
        <v>111</v>
      </c>
      <c r="CD436" t="s">
        <v>111</v>
      </c>
      <c r="CE436" t="s">
        <v>111</v>
      </c>
      <c r="CF436" t="s">
        <v>111</v>
      </c>
      <c r="CG436" t="s">
        <v>111</v>
      </c>
      <c r="CH436" t="s">
        <v>111</v>
      </c>
      <c r="CI436" t="s">
        <v>111</v>
      </c>
      <c r="CJ436" t="s">
        <v>111</v>
      </c>
      <c r="CK436" t="s">
        <v>111</v>
      </c>
      <c r="CL436" t="e">
        <f>-DESTINO SELLADO</f>
        <v>#NAME?</v>
      </c>
      <c r="CM436" t="s">
        <v>135</v>
      </c>
      <c r="CN436" t="s">
        <v>113</v>
      </c>
      <c r="CO436" t="s">
        <v>367</v>
      </c>
      <c r="CP436" t="e">
        <f>-MUESTRA</f>
        <v>#NAME?</v>
      </c>
      <c r="CQ436">
        <v>44</v>
      </c>
      <c r="CR436">
        <v>3000</v>
      </c>
      <c r="CS436">
        <v>500</v>
      </c>
      <c r="CT436" t="s">
        <v>1188</v>
      </c>
      <c r="CU436">
        <v>0</v>
      </c>
      <c r="CV436" t="s">
        <v>111</v>
      </c>
      <c r="CW436" t="s">
        <v>111</v>
      </c>
      <c r="CX436" t="s">
        <v>111</v>
      </c>
      <c r="CY436">
        <v>0</v>
      </c>
      <c r="CZ436" t="s">
        <v>111</v>
      </c>
      <c r="DA436" t="s">
        <v>111</v>
      </c>
      <c r="DB436" t="e">
        <f>-INTERNO</f>
        <v>#NAME?</v>
      </c>
      <c r="DC436" t="s">
        <v>641</v>
      </c>
    </row>
    <row r="437" spans="1:107">
      <c r="A437">
        <v>315</v>
      </c>
      <c r="B437" t="s">
        <v>107</v>
      </c>
      <c r="C437" t="s">
        <v>171</v>
      </c>
      <c r="D437" t="s">
        <v>1617</v>
      </c>
      <c r="E437" t="s">
        <v>1618</v>
      </c>
      <c r="F437" t="s">
        <v>166</v>
      </c>
      <c r="G437" t="s">
        <v>469</v>
      </c>
      <c r="H437">
        <v>0.7</v>
      </c>
      <c r="I437">
        <v>35.5</v>
      </c>
      <c r="J437">
        <v>0</v>
      </c>
      <c r="K437">
        <v>0</v>
      </c>
      <c r="L437" t="s">
        <v>117</v>
      </c>
      <c r="M437" t="s">
        <v>138</v>
      </c>
      <c r="N437">
        <v>0</v>
      </c>
      <c r="O437">
        <v>0</v>
      </c>
      <c r="P437" t="s">
        <v>138</v>
      </c>
      <c r="Q437">
        <v>50</v>
      </c>
      <c r="R437">
        <v>0</v>
      </c>
      <c r="S437">
        <v>0</v>
      </c>
      <c r="T437">
        <v>0</v>
      </c>
      <c r="U437" s="1" t="s">
        <v>1619</v>
      </c>
      <c r="V437">
        <v>25</v>
      </c>
      <c r="W437">
        <v>0</v>
      </c>
      <c r="X437">
        <v>6</v>
      </c>
      <c r="Y437">
        <v>0</v>
      </c>
      <c r="Z437" t="s">
        <v>111</v>
      </c>
      <c r="AA437">
        <v>0</v>
      </c>
      <c r="AB437" t="s">
        <v>111</v>
      </c>
      <c r="AC437">
        <v>0</v>
      </c>
      <c r="AD437" t="s">
        <v>111</v>
      </c>
      <c r="AE437">
        <v>0</v>
      </c>
      <c r="AF437">
        <v>0</v>
      </c>
      <c r="AG437" t="s">
        <v>111</v>
      </c>
      <c r="AH437" t="s">
        <v>111</v>
      </c>
      <c r="AI437" t="s">
        <v>111</v>
      </c>
      <c r="AJ437" t="s">
        <v>111</v>
      </c>
      <c r="AK437" t="s">
        <v>111</v>
      </c>
      <c r="AL437" t="s">
        <v>111</v>
      </c>
      <c r="AM437">
        <v>0</v>
      </c>
      <c r="AN437">
        <v>0</v>
      </c>
      <c r="AO437">
        <v>0</v>
      </c>
      <c r="AP437" t="s">
        <v>111</v>
      </c>
      <c r="AQ437" t="s">
        <v>111</v>
      </c>
      <c r="AR437" t="s">
        <v>111</v>
      </c>
      <c r="AS437" t="s">
        <v>111</v>
      </c>
      <c r="AT437" t="s">
        <v>111</v>
      </c>
      <c r="AU437" t="s">
        <v>111</v>
      </c>
      <c r="AV437" t="s">
        <v>111</v>
      </c>
      <c r="AW437" t="s">
        <v>111</v>
      </c>
      <c r="AX437" t="s">
        <v>111</v>
      </c>
      <c r="AY437" t="s">
        <v>111</v>
      </c>
      <c r="AZ437" t="s">
        <v>111</v>
      </c>
      <c r="BA437" t="s">
        <v>111</v>
      </c>
      <c r="BB437" t="s">
        <v>111</v>
      </c>
      <c r="BC437" t="s">
        <v>111</v>
      </c>
      <c r="BD437" t="s">
        <v>111</v>
      </c>
      <c r="BE437" t="s">
        <v>111</v>
      </c>
      <c r="BF437" t="s">
        <v>111</v>
      </c>
      <c r="BG437" t="s">
        <v>111</v>
      </c>
      <c r="BH437" t="s">
        <v>111</v>
      </c>
      <c r="BI437" t="s">
        <v>111</v>
      </c>
      <c r="BJ437" t="s">
        <v>111</v>
      </c>
      <c r="BK437" t="s">
        <v>111</v>
      </c>
      <c r="BL437" t="s">
        <v>111</v>
      </c>
      <c r="BM437" t="s">
        <v>111</v>
      </c>
      <c r="BN437" t="s">
        <v>111</v>
      </c>
      <c r="BO437" t="s">
        <v>111</v>
      </c>
      <c r="BP437" t="s">
        <v>111</v>
      </c>
      <c r="BQ437" t="s">
        <v>111</v>
      </c>
      <c r="BR437" t="s">
        <v>111</v>
      </c>
      <c r="BS437" t="s">
        <v>111</v>
      </c>
      <c r="BT437" t="s">
        <v>111</v>
      </c>
      <c r="BU437" t="s">
        <v>111</v>
      </c>
      <c r="BV437" t="s">
        <v>111</v>
      </c>
      <c r="BW437" t="s">
        <v>111</v>
      </c>
      <c r="BX437" t="s">
        <v>111</v>
      </c>
      <c r="BY437" t="s">
        <v>111</v>
      </c>
      <c r="BZ437" t="s">
        <v>111</v>
      </c>
      <c r="CA437" t="s">
        <v>111</v>
      </c>
      <c r="CB437" t="s">
        <v>111</v>
      </c>
      <c r="CC437" t="s">
        <v>111</v>
      </c>
      <c r="CD437" t="s">
        <v>111</v>
      </c>
      <c r="CE437" t="s">
        <v>111</v>
      </c>
      <c r="CF437" t="s">
        <v>111</v>
      </c>
      <c r="CG437" t="s">
        <v>111</v>
      </c>
      <c r="CH437" t="s">
        <v>111</v>
      </c>
      <c r="CI437" t="s">
        <v>111</v>
      </c>
      <c r="CJ437" t="s">
        <v>111</v>
      </c>
      <c r="CK437" t="s">
        <v>111</v>
      </c>
      <c r="CL437" t="s">
        <v>111</v>
      </c>
      <c r="CM437" t="s">
        <v>127</v>
      </c>
      <c r="CN437" t="s">
        <v>111</v>
      </c>
      <c r="CO437" t="s">
        <v>111</v>
      </c>
      <c r="CP437" t="s">
        <v>111</v>
      </c>
      <c r="CQ437">
        <v>0</v>
      </c>
      <c r="CR437">
        <v>0</v>
      </c>
      <c r="CS437">
        <v>0</v>
      </c>
      <c r="CT437" t="s">
        <v>111</v>
      </c>
      <c r="CU437">
        <v>0</v>
      </c>
      <c r="CV437" t="s">
        <v>111</v>
      </c>
      <c r="CW437" t="s">
        <v>111</v>
      </c>
      <c r="CX437" t="s">
        <v>111</v>
      </c>
      <c r="CY437">
        <v>0</v>
      </c>
      <c r="CZ437" t="s">
        <v>111</v>
      </c>
      <c r="DA437" t="s">
        <v>111</v>
      </c>
      <c r="DB437" t="s">
        <v>240</v>
      </c>
      <c r="DC437" t="s">
        <v>1207</v>
      </c>
    </row>
    <row r="438" spans="1:107">
      <c r="A438">
        <v>1151</v>
      </c>
      <c r="B438" t="s">
        <v>107</v>
      </c>
      <c r="C438" t="s">
        <v>1029</v>
      </c>
      <c r="D438" t="s">
        <v>1620</v>
      </c>
      <c r="E438" t="s">
        <v>1621</v>
      </c>
      <c r="F438" t="s">
        <v>739</v>
      </c>
      <c r="G438" t="s">
        <v>469</v>
      </c>
      <c r="H438">
        <v>1.7</v>
      </c>
      <c r="I438">
        <v>33</v>
      </c>
      <c r="J438">
        <v>7.5</v>
      </c>
      <c r="K438">
        <v>7.5</v>
      </c>
      <c r="L438" t="s">
        <v>112</v>
      </c>
      <c r="M438" t="s">
        <v>118</v>
      </c>
      <c r="N438">
        <v>40</v>
      </c>
      <c r="O438">
        <v>2</v>
      </c>
      <c r="P438" t="s">
        <v>138</v>
      </c>
      <c r="Q438">
        <v>30</v>
      </c>
      <c r="R438">
        <v>0</v>
      </c>
      <c r="S438">
        <v>0</v>
      </c>
      <c r="T438">
        <v>5</v>
      </c>
      <c r="U438" s="1" t="s">
        <v>1622</v>
      </c>
      <c r="V438">
        <v>0</v>
      </c>
      <c r="W438">
        <v>25</v>
      </c>
      <c r="X438">
        <v>8</v>
      </c>
      <c r="Y438">
        <v>0</v>
      </c>
      <c r="Z438" t="s">
        <v>288</v>
      </c>
      <c r="AA438">
        <v>2</v>
      </c>
      <c r="AB438" t="s">
        <v>940</v>
      </c>
      <c r="AC438">
        <v>8</v>
      </c>
      <c r="AD438" t="s">
        <v>1520</v>
      </c>
      <c r="AE438">
        <v>0</v>
      </c>
      <c r="AF438">
        <v>0</v>
      </c>
      <c r="AG438" t="s">
        <v>111</v>
      </c>
      <c r="AH438" t="s">
        <v>113</v>
      </c>
      <c r="AI438" t="s">
        <v>111</v>
      </c>
      <c r="AJ438" t="s">
        <v>111</v>
      </c>
      <c r="AK438" t="s">
        <v>111</v>
      </c>
      <c r="AL438" t="s">
        <v>111</v>
      </c>
      <c r="AM438">
        <v>0</v>
      </c>
      <c r="AN438">
        <v>0</v>
      </c>
      <c r="AO438">
        <v>0</v>
      </c>
      <c r="AP438" t="s">
        <v>111</v>
      </c>
      <c r="AQ438" t="s">
        <v>111</v>
      </c>
      <c r="AR438" t="s">
        <v>111</v>
      </c>
      <c r="AS438" t="s">
        <v>111</v>
      </c>
      <c r="AT438" t="s">
        <v>111</v>
      </c>
      <c r="AU438" t="s">
        <v>111</v>
      </c>
      <c r="AV438" t="s">
        <v>111</v>
      </c>
      <c r="AW438" t="s">
        <v>111</v>
      </c>
      <c r="AX438" t="s">
        <v>111</v>
      </c>
      <c r="AY438" t="s">
        <v>111</v>
      </c>
      <c r="AZ438" t="s">
        <v>111</v>
      </c>
      <c r="BA438" t="s">
        <v>111</v>
      </c>
      <c r="BB438" t="s">
        <v>111</v>
      </c>
      <c r="BC438" t="s">
        <v>111</v>
      </c>
      <c r="BD438" t="s">
        <v>111</v>
      </c>
      <c r="BE438" t="s">
        <v>111</v>
      </c>
      <c r="BF438" t="s">
        <v>111</v>
      </c>
      <c r="BG438" t="s">
        <v>111</v>
      </c>
      <c r="BH438" t="s">
        <v>111</v>
      </c>
      <c r="BI438" t="s">
        <v>111</v>
      </c>
      <c r="BJ438" t="s">
        <v>111</v>
      </c>
      <c r="BK438" t="s">
        <v>111</v>
      </c>
      <c r="BL438" t="s">
        <v>111</v>
      </c>
      <c r="BM438" t="s">
        <v>111</v>
      </c>
      <c r="BN438" t="s">
        <v>111</v>
      </c>
      <c r="BO438" t="s">
        <v>111</v>
      </c>
      <c r="BP438" t="s">
        <v>111</v>
      </c>
      <c r="BQ438" t="s">
        <v>111</v>
      </c>
      <c r="BR438" t="s">
        <v>111</v>
      </c>
      <c r="BS438" t="s">
        <v>111</v>
      </c>
      <c r="BT438" t="s">
        <v>111</v>
      </c>
      <c r="BU438" t="s">
        <v>111</v>
      </c>
      <c r="BV438" t="s">
        <v>111</v>
      </c>
      <c r="BW438" t="s">
        <v>111</v>
      </c>
      <c r="BX438" t="s">
        <v>111</v>
      </c>
      <c r="BY438" t="s">
        <v>111</v>
      </c>
      <c r="BZ438" t="s">
        <v>111</v>
      </c>
      <c r="CA438" t="s">
        <v>111</v>
      </c>
      <c r="CB438" t="s">
        <v>111</v>
      </c>
      <c r="CC438" t="s">
        <v>111</v>
      </c>
      <c r="CD438" t="s">
        <v>111</v>
      </c>
      <c r="CE438" t="s">
        <v>111</v>
      </c>
      <c r="CF438" t="s">
        <v>111</v>
      </c>
      <c r="CG438" t="s">
        <v>111</v>
      </c>
      <c r="CH438" t="s">
        <v>111</v>
      </c>
      <c r="CI438" t="s">
        <v>111</v>
      </c>
      <c r="CJ438" t="s">
        <v>111</v>
      </c>
      <c r="CK438" t="s">
        <v>111</v>
      </c>
      <c r="CL438" s="1" t="s">
        <v>494</v>
      </c>
      <c r="CM438" t="s">
        <v>135</v>
      </c>
      <c r="CN438" t="s">
        <v>113</v>
      </c>
      <c r="CO438" t="s">
        <v>974</v>
      </c>
      <c r="CP438" t="s">
        <v>111</v>
      </c>
      <c r="CQ438">
        <v>0</v>
      </c>
      <c r="CR438">
        <v>3000</v>
      </c>
      <c r="CS438">
        <v>50</v>
      </c>
      <c r="CT438" s="1" t="s">
        <v>1623</v>
      </c>
      <c r="CU438">
        <v>0</v>
      </c>
      <c r="CV438" t="s">
        <v>111</v>
      </c>
      <c r="CW438" t="s">
        <v>111</v>
      </c>
      <c r="CX438" t="s">
        <v>111</v>
      </c>
      <c r="CY438">
        <v>0</v>
      </c>
      <c r="CZ438" t="s">
        <v>111</v>
      </c>
      <c r="DA438" t="s">
        <v>111</v>
      </c>
      <c r="DB438" t="e">
        <f>-INTERNO</f>
        <v>#NAME?</v>
      </c>
      <c r="DC438" t="e">
        <f>-TROQUEL CAMISETA</f>
        <v>#NAME?</v>
      </c>
    </row>
    <row r="439" spans="1:107">
      <c r="A439">
        <v>1150</v>
      </c>
      <c r="B439" t="s">
        <v>107</v>
      </c>
      <c r="C439" t="s">
        <v>1029</v>
      </c>
      <c r="D439" t="s">
        <v>1624</v>
      </c>
      <c r="E439" t="s">
        <v>1625</v>
      </c>
      <c r="F439" t="s">
        <v>739</v>
      </c>
      <c r="G439" t="s">
        <v>469</v>
      </c>
      <c r="H439">
        <v>1.3</v>
      </c>
      <c r="I439">
        <v>28</v>
      </c>
      <c r="J439">
        <v>6</v>
      </c>
      <c r="K439">
        <v>6</v>
      </c>
      <c r="L439" t="s">
        <v>112</v>
      </c>
      <c r="M439" t="s">
        <v>118</v>
      </c>
      <c r="N439">
        <v>39</v>
      </c>
      <c r="O439">
        <v>2</v>
      </c>
      <c r="P439" t="s">
        <v>138</v>
      </c>
      <c r="Q439">
        <v>30.5</v>
      </c>
      <c r="R439">
        <v>0</v>
      </c>
      <c r="S439">
        <v>0</v>
      </c>
      <c r="T439">
        <v>5</v>
      </c>
      <c r="U439" s="1" t="s">
        <v>1626</v>
      </c>
      <c r="V439">
        <v>0</v>
      </c>
      <c r="W439">
        <v>25</v>
      </c>
      <c r="X439">
        <v>8</v>
      </c>
      <c r="Y439">
        <v>0</v>
      </c>
      <c r="Z439" t="s">
        <v>288</v>
      </c>
      <c r="AA439">
        <v>2</v>
      </c>
      <c r="AB439" t="s">
        <v>940</v>
      </c>
      <c r="AC439">
        <v>8</v>
      </c>
      <c r="AD439" t="s">
        <v>1520</v>
      </c>
      <c r="AE439">
        <v>0</v>
      </c>
      <c r="AF439">
        <v>0</v>
      </c>
      <c r="AG439" t="s">
        <v>111</v>
      </c>
      <c r="AH439" t="s">
        <v>128</v>
      </c>
      <c r="AI439" t="s">
        <v>111</v>
      </c>
      <c r="AJ439" t="s">
        <v>111</v>
      </c>
      <c r="AK439" t="s">
        <v>111</v>
      </c>
      <c r="AL439" t="s">
        <v>111</v>
      </c>
      <c r="AM439">
        <v>0</v>
      </c>
      <c r="AN439">
        <v>0</v>
      </c>
      <c r="AO439">
        <v>0</v>
      </c>
      <c r="AP439" t="s">
        <v>111</v>
      </c>
      <c r="AQ439" t="s">
        <v>111</v>
      </c>
      <c r="AR439" t="s">
        <v>111</v>
      </c>
      <c r="AS439" t="s">
        <v>111</v>
      </c>
      <c r="AT439" t="s">
        <v>111</v>
      </c>
      <c r="AU439" t="s">
        <v>111</v>
      </c>
      <c r="AV439" t="s">
        <v>111</v>
      </c>
      <c r="AW439" t="s">
        <v>111</v>
      </c>
      <c r="AX439" t="s">
        <v>111</v>
      </c>
      <c r="AY439" t="s">
        <v>111</v>
      </c>
      <c r="AZ439" t="s">
        <v>111</v>
      </c>
      <c r="BA439" t="s">
        <v>111</v>
      </c>
      <c r="BB439" t="s">
        <v>111</v>
      </c>
      <c r="BC439" t="s">
        <v>111</v>
      </c>
      <c r="BD439" t="s">
        <v>111</v>
      </c>
      <c r="BE439" t="s">
        <v>111</v>
      </c>
      <c r="BF439" t="s">
        <v>111</v>
      </c>
      <c r="BG439" t="s">
        <v>111</v>
      </c>
      <c r="BH439" t="s">
        <v>111</v>
      </c>
      <c r="BI439" t="s">
        <v>111</v>
      </c>
      <c r="BJ439" t="s">
        <v>111</v>
      </c>
      <c r="BK439" t="s">
        <v>111</v>
      </c>
      <c r="BL439" t="s">
        <v>111</v>
      </c>
      <c r="BM439" t="s">
        <v>111</v>
      </c>
      <c r="BN439" t="s">
        <v>111</v>
      </c>
      <c r="BO439" t="s">
        <v>111</v>
      </c>
      <c r="BP439" t="s">
        <v>111</v>
      </c>
      <c r="BQ439" t="s">
        <v>111</v>
      </c>
      <c r="BR439" t="s">
        <v>111</v>
      </c>
      <c r="BS439" t="s">
        <v>111</v>
      </c>
      <c r="BT439" t="s">
        <v>111</v>
      </c>
      <c r="BU439" t="s">
        <v>111</v>
      </c>
      <c r="BV439" t="s">
        <v>111</v>
      </c>
      <c r="BW439" t="s">
        <v>111</v>
      </c>
      <c r="BX439" t="s">
        <v>111</v>
      </c>
      <c r="BY439" t="s">
        <v>111</v>
      </c>
      <c r="BZ439" t="s">
        <v>111</v>
      </c>
      <c r="CA439" t="s">
        <v>111</v>
      </c>
      <c r="CB439" t="s">
        <v>111</v>
      </c>
      <c r="CC439" t="s">
        <v>111</v>
      </c>
      <c r="CD439" t="s">
        <v>111</v>
      </c>
      <c r="CE439" t="s">
        <v>111</v>
      </c>
      <c r="CF439" t="s">
        <v>111</v>
      </c>
      <c r="CG439" t="s">
        <v>111</v>
      </c>
      <c r="CH439" t="s">
        <v>111</v>
      </c>
      <c r="CI439" t="s">
        <v>111</v>
      </c>
      <c r="CJ439" t="s">
        <v>111</v>
      </c>
      <c r="CK439" t="s">
        <v>111</v>
      </c>
      <c r="CL439" t="e">
        <f>-DESTINO SELLDO</f>
        <v>#NAME?</v>
      </c>
      <c r="CM439" t="s">
        <v>135</v>
      </c>
      <c r="CN439" t="s">
        <v>128</v>
      </c>
      <c r="CO439" t="s">
        <v>111</v>
      </c>
      <c r="CP439" t="s">
        <v>1627</v>
      </c>
      <c r="CQ439">
        <v>34</v>
      </c>
      <c r="CR439">
        <v>2000</v>
      </c>
      <c r="CS439">
        <v>50</v>
      </c>
      <c r="CT439" s="1" t="s">
        <v>1628</v>
      </c>
      <c r="CU439">
        <v>0</v>
      </c>
      <c r="CV439" t="s">
        <v>111</v>
      </c>
      <c r="CW439" t="s">
        <v>111</v>
      </c>
      <c r="CX439" t="s">
        <v>111</v>
      </c>
      <c r="CY439">
        <v>0</v>
      </c>
      <c r="CZ439" t="s">
        <v>111</v>
      </c>
      <c r="DA439" t="s">
        <v>111</v>
      </c>
      <c r="DB439" t="e">
        <f>-INTERNO</f>
        <v>#NAME?</v>
      </c>
      <c r="DC439" t="e">
        <f>-TROQUEL CAMISETA</f>
        <v>#NAME?</v>
      </c>
    </row>
    <row r="440" spans="1:107">
      <c r="A440">
        <v>1145</v>
      </c>
      <c r="B440" t="s">
        <v>107</v>
      </c>
      <c r="C440" t="s">
        <v>801</v>
      </c>
      <c r="D440" t="s">
        <v>1629</v>
      </c>
      <c r="E440" t="s">
        <v>1630</v>
      </c>
      <c r="F440" t="s">
        <v>166</v>
      </c>
      <c r="G440" t="s">
        <v>469</v>
      </c>
      <c r="H440">
        <v>2.5</v>
      </c>
      <c r="I440">
        <v>81</v>
      </c>
      <c r="J440">
        <v>0</v>
      </c>
      <c r="K440">
        <v>0</v>
      </c>
      <c r="L440" t="s">
        <v>178</v>
      </c>
      <c r="M440" t="s">
        <v>111</v>
      </c>
      <c r="N440">
        <v>0</v>
      </c>
      <c r="O440">
        <v>0</v>
      </c>
      <c r="P440" t="s">
        <v>111</v>
      </c>
      <c r="Q440">
        <v>50</v>
      </c>
      <c r="R440">
        <v>0</v>
      </c>
      <c r="S440">
        <v>0</v>
      </c>
      <c r="T440">
        <v>0</v>
      </c>
      <c r="U440" s="1" t="s">
        <v>1631</v>
      </c>
      <c r="V440">
        <v>25</v>
      </c>
      <c r="W440">
        <v>25</v>
      </c>
      <c r="X440">
        <v>0</v>
      </c>
      <c r="Y440">
        <v>0</v>
      </c>
      <c r="Z440" t="s">
        <v>111</v>
      </c>
      <c r="AA440">
        <v>0</v>
      </c>
      <c r="AB440" t="s">
        <v>1632</v>
      </c>
      <c r="AC440">
        <v>25</v>
      </c>
      <c r="AD440" t="s">
        <v>111</v>
      </c>
      <c r="AE440">
        <v>0</v>
      </c>
      <c r="AF440">
        <v>0</v>
      </c>
      <c r="AG440" t="s">
        <v>111</v>
      </c>
      <c r="AH440" t="s">
        <v>111</v>
      </c>
      <c r="AI440" t="s">
        <v>111</v>
      </c>
      <c r="AJ440" t="s">
        <v>111</v>
      </c>
      <c r="AK440" t="s">
        <v>111</v>
      </c>
      <c r="AL440" t="s">
        <v>111</v>
      </c>
      <c r="AM440">
        <v>0</v>
      </c>
      <c r="AN440">
        <v>0</v>
      </c>
      <c r="AO440">
        <v>0</v>
      </c>
      <c r="AP440" t="s">
        <v>111</v>
      </c>
      <c r="AQ440" t="s">
        <v>111</v>
      </c>
      <c r="AR440" t="s">
        <v>111</v>
      </c>
      <c r="AS440" t="s">
        <v>111</v>
      </c>
      <c r="AT440" t="s">
        <v>111</v>
      </c>
      <c r="AU440" t="s">
        <v>111</v>
      </c>
      <c r="AV440" t="s">
        <v>111</v>
      </c>
      <c r="AW440" t="s">
        <v>111</v>
      </c>
      <c r="AX440" t="s">
        <v>111</v>
      </c>
      <c r="AY440" t="s">
        <v>111</v>
      </c>
      <c r="AZ440" t="s">
        <v>111</v>
      </c>
      <c r="BA440" t="s">
        <v>111</v>
      </c>
      <c r="BB440" t="s">
        <v>111</v>
      </c>
      <c r="BC440" t="s">
        <v>111</v>
      </c>
      <c r="BD440" t="s">
        <v>111</v>
      </c>
      <c r="BE440" t="s">
        <v>111</v>
      </c>
      <c r="BF440" t="s">
        <v>111</v>
      </c>
      <c r="BG440" t="s">
        <v>111</v>
      </c>
      <c r="BH440" t="s">
        <v>111</v>
      </c>
      <c r="BI440" t="s">
        <v>111</v>
      </c>
      <c r="BJ440" t="s">
        <v>111</v>
      </c>
      <c r="BK440" t="s">
        <v>111</v>
      </c>
      <c r="BL440" t="s">
        <v>111</v>
      </c>
      <c r="BM440" t="s">
        <v>111</v>
      </c>
      <c r="BN440" t="s">
        <v>111</v>
      </c>
      <c r="BO440" t="s">
        <v>111</v>
      </c>
      <c r="BP440" t="s">
        <v>111</v>
      </c>
      <c r="BQ440" t="s">
        <v>111</v>
      </c>
      <c r="BR440" t="s">
        <v>111</v>
      </c>
      <c r="BS440" t="s">
        <v>111</v>
      </c>
      <c r="BT440" t="s">
        <v>111</v>
      </c>
      <c r="BU440" t="s">
        <v>111</v>
      </c>
      <c r="BV440" t="s">
        <v>111</v>
      </c>
      <c r="BW440" t="s">
        <v>111</v>
      </c>
      <c r="BX440" t="s">
        <v>111</v>
      </c>
      <c r="BY440" t="s">
        <v>111</v>
      </c>
      <c r="BZ440" t="s">
        <v>111</v>
      </c>
      <c r="CA440" t="s">
        <v>111</v>
      </c>
      <c r="CB440" t="s">
        <v>111</v>
      </c>
      <c r="CC440" t="s">
        <v>111</v>
      </c>
      <c r="CD440" t="s">
        <v>111</v>
      </c>
      <c r="CE440" t="s">
        <v>111</v>
      </c>
      <c r="CF440" t="s">
        <v>111</v>
      </c>
      <c r="CG440" t="s">
        <v>111</v>
      </c>
      <c r="CH440" t="s">
        <v>111</v>
      </c>
      <c r="CI440" t="s">
        <v>111</v>
      </c>
      <c r="CJ440" t="s">
        <v>111</v>
      </c>
      <c r="CK440" t="s">
        <v>111</v>
      </c>
      <c r="CL440" t="s">
        <v>111</v>
      </c>
      <c r="CM440" t="s">
        <v>111</v>
      </c>
      <c r="CN440" t="s">
        <v>111</v>
      </c>
      <c r="CO440" t="s">
        <v>111</v>
      </c>
      <c r="CP440" t="s">
        <v>111</v>
      </c>
      <c r="CQ440">
        <v>82</v>
      </c>
      <c r="CR440">
        <v>0</v>
      </c>
      <c r="CS440">
        <v>0</v>
      </c>
      <c r="CT440" t="s">
        <v>111</v>
      </c>
      <c r="CU440">
        <v>0</v>
      </c>
      <c r="CV440" t="s">
        <v>111</v>
      </c>
      <c r="CW440" t="s">
        <v>111</v>
      </c>
      <c r="CX440" t="s">
        <v>111</v>
      </c>
      <c r="CY440">
        <v>0</v>
      </c>
      <c r="CZ440" t="s">
        <v>111</v>
      </c>
      <c r="DA440" t="s">
        <v>111</v>
      </c>
      <c r="DB440" t="s">
        <v>111</v>
      </c>
      <c r="DC440" t="s">
        <v>111</v>
      </c>
    </row>
    <row r="441" spans="1:107">
      <c r="A441">
        <v>1144</v>
      </c>
      <c r="B441" t="s">
        <v>107</v>
      </c>
      <c r="C441" t="s">
        <v>1068</v>
      </c>
      <c r="D441" t="s">
        <v>1633</v>
      </c>
      <c r="E441" t="s">
        <v>1634</v>
      </c>
      <c r="F441" t="s">
        <v>431</v>
      </c>
      <c r="G441" t="s">
        <v>469</v>
      </c>
      <c r="H441">
        <v>2</v>
      </c>
      <c r="I441">
        <v>40</v>
      </c>
      <c r="J441">
        <v>10</v>
      </c>
      <c r="K441">
        <v>10</v>
      </c>
      <c r="L441" t="s">
        <v>112</v>
      </c>
      <c r="M441" t="s">
        <v>118</v>
      </c>
      <c r="N441">
        <v>39</v>
      </c>
      <c r="O441">
        <v>1</v>
      </c>
      <c r="P441" t="s">
        <v>138</v>
      </c>
      <c r="Q441">
        <v>30.5</v>
      </c>
      <c r="R441">
        <v>0</v>
      </c>
      <c r="S441">
        <v>0</v>
      </c>
      <c r="T441">
        <v>5</v>
      </c>
      <c r="U441" t="s">
        <v>501</v>
      </c>
      <c r="V441">
        <v>0</v>
      </c>
      <c r="W441">
        <v>25</v>
      </c>
      <c r="X441">
        <v>8</v>
      </c>
      <c r="Y441">
        <v>0</v>
      </c>
      <c r="Z441" t="s">
        <v>111</v>
      </c>
      <c r="AA441">
        <v>0</v>
      </c>
      <c r="AB441" t="s">
        <v>111</v>
      </c>
      <c r="AC441">
        <v>0</v>
      </c>
      <c r="AD441" t="s">
        <v>416</v>
      </c>
      <c r="AE441">
        <v>0</v>
      </c>
      <c r="AF441">
        <v>0</v>
      </c>
      <c r="AG441" t="s">
        <v>111</v>
      </c>
      <c r="AH441" t="s">
        <v>128</v>
      </c>
      <c r="AI441" t="s">
        <v>111</v>
      </c>
      <c r="AJ441" t="s">
        <v>111</v>
      </c>
      <c r="AK441" t="s">
        <v>111</v>
      </c>
      <c r="AL441" t="s">
        <v>111</v>
      </c>
      <c r="AM441">
        <v>0</v>
      </c>
      <c r="AN441">
        <v>0</v>
      </c>
      <c r="AO441">
        <v>0</v>
      </c>
      <c r="AP441" t="s">
        <v>111</v>
      </c>
      <c r="AQ441" t="s">
        <v>111</v>
      </c>
      <c r="AR441" t="s">
        <v>111</v>
      </c>
      <c r="AS441" t="s">
        <v>111</v>
      </c>
      <c r="AT441" t="s">
        <v>111</v>
      </c>
      <c r="AU441" t="s">
        <v>111</v>
      </c>
      <c r="AV441" t="s">
        <v>111</v>
      </c>
      <c r="AW441" t="s">
        <v>111</v>
      </c>
      <c r="AX441" t="s">
        <v>111</v>
      </c>
      <c r="AY441" t="s">
        <v>111</v>
      </c>
      <c r="AZ441" t="s">
        <v>111</v>
      </c>
      <c r="BA441" t="s">
        <v>111</v>
      </c>
      <c r="BB441" t="s">
        <v>111</v>
      </c>
      <c r="BC441" t="s">
        <v>111</v>
      </c>
      <c r="BD441" t="s">
        <v>111</v>
      </c>
      <c r="BE441" t="s">
        <v>111</v>
      </c>
      <c r="BF441" t="s">
        <v>111</v>
      </c>
      <c r="BG441" t="s">
        <v>111</v>
      </c>
      <c r="BH441" t="s">
        <v>111</v>
      </c>
      <c r="BI441" t="s">
        <v>111</v>
      </c>
      <c r="BJ441" t="s">
        <v>111</v>
      </c>
      <c r="BK441" t="s">
        <v>111</v>
      </c>
      <c r="BL441" t="s">
        <v>111</v>
      </c>
      <c r="BM441" t="s">
        <v>111</v>
      </c>
      <c r="BN441" t="s">
        <v>111</v>
      </c>
      <c r="BO441" t="s">
        <v>111</v>
      </c>
      <c r="BP441" t="s">
        <v>111</v>
      </c>
      <c r="BQ441" t="s">
        <v>111</v>
      </c>
      <c r="BR441" t="s">
        <v>111</v>
      </c>
      <c r="BS441" t="s">
        <v>111</v>
      </c>
      <c r="BT441" t="s">
        <v>111</v>
      </c>
      <c r="BU441" t="s">
        <v>111</v>
      </c>
      <c r="BV441" t="s">
        <v>111</v>
      </c>
      <c r="BW441" t="s">
        <v>111</v>
      </c>
      <c r="BX441" t="s">
        <v>111</v>
      </c>
      <c r="BY441" t="s">
        <v>111</v>
      </c>
      <c r="BZ441" t="s">
        <v>111</v>
      </c>
      <c r="CA441" t="s">
        <v>111</v>
      </c>
      <c r="CB441" t="s">
        <v>111</v>
      </c>
      <c r="CC441" t="s">
        <v>111</v>
      </c>
      <c r="CD441" t="s">
        <v>111</v>
      </c>
      <c r="CE441" t="s">
        <v>111</v>
      </c>
      <c r="CF441" t="s">
        <v>111</v>
      </c>
      <c r="CG441" t="s">
        <v>111</v>
      </c>
      <c r="CH441" t="s">
        <v>111</v>
      </c>
      <c r="CI441" t="s">
        <v>111</v>
      </c>
      <c r="CJ441" t="s">
        <v>111</v>
      </c>
      <c r="CK441" t="s">
        <v>111</v>
      </c>
      <c r="CL441" t="e">
        <f>-DESTINO SELLADO</f>
        <v>#NAME?</v>
      </c>
      <c r="CM441" t="s">
        <v>135</v>
      </c>
      <c r="CN441" t="s">
        <v>111</v>
      </c>
      <c r="CO441" t="s">
        <v>111</v>
      </c>
      <c r="CP441" t="s">
        <v>111</v>
      </c>
      <c r="CQ441">
        <v>0</v>
      </c>
      <c r="CR441">
        <v>500</v>
      </c>
      <c r="CS441">
        <v>50</v>
      </c>
      <c r="CT441" t="s">
        <v>1635</v>
      </c>
      <c r="CU441">
        <v>0</v>
      </c>
      <c r="CV441" t="s">
        <v>111</v>
      </c>
      <c r="CW441" t="s">
        <v>111</v>
      </c>
      <c r="CX441" t="s">
        <v>111</v>
      </c>
      <c r="CY441">
        <v>0</v>
      </c>
      <c r="CZ441" t="s">
        <v>111</v>
      </c>
      <c r="DA441" t="s">
        <v>111</v>
      </c>
      <c r="DB441" t="s">
        <v>111</v>
      </c>
      <c r="DC441" t="s">
        <v>111</v>
      </c>
    </row>
    <row r="442" spans="1:107">
      <c r="A442">
        <v>1143</v>
      </c>
      <c r="B442" t="s">
        <v>107</v>
      </c>
      <c r="C442" t="s">
        <v>421</v>
      </c>
      <c r="D442" t="s">
        <v>422</v>
      </c>
      <c r="E442" t="s">
        <v>1636</v>
      </c>
      <c r="F442" t="s">
        <v>370</v>
      </c>
      <c r="G442" t="s">
        <v>469</v>
      </c>
      <c r="H442">
        <v>2.9</v>
      </c>
      <c r="I442">
        <v>55</v>
      </c>
      <c r="J442">
        <v>0</v>
      </c>
      <c r="K442">
        <v>0</v>
      </c>
      <c r="L442" t="s">
        <v>112</v>
      </c>
      <c r="M442" t="s">
        <v>118</v>
      </c>
      <c r="N442">
        <v>39</v>
      </c>
      <c r="O442">
        <v>2</v>
      </c>
      <c r="P442" t="s">
        <v>138</v>
      </c>
      <c r="Q442">
        <v>47.4</v>
      </c>
      <c r="R442">
        <v>0</v>
      </c>
      <c r="S442">
        <v>0</v>
      </c>
      <c r="T442">
        <v>10</v>
      </c>
      <c r="U442" s="1" t="s">
        <v>1637</v>
      </c>
      <c r="V442">
        <v>250</v>
      </c>
      <c r="W442">
        <v>0</v>
      </c>
      <c r="X442">
        <v>8</v>
      </c>
      <c r="Y442">
        <v>0</v>
      </c>
      <c r="Z442" t="s">
        <v>288</v>
      </c>
      <c r="AA442">
        <v>0.3</v>
      </c>
      <c r="AB442" t="s">
        <v>111</v>
      </c>
      <c r="AC442">
        <v>0</v>
      </c>
      <c r="AD442" t="s">
        <v>427</v>
      </c>
      <c r="AE442">
        <v>0</v>
      </c>
      <c r="AF442">
        <v>0</v>
      </c>
      <c r="AG442" t="s">
        <v>111</v>
      </c>
      <c r="AH442" t="s">
        <v>111</v>
      </c>
      <c r="AI442" t="s">
        <v>111</v>
      </c>
      <c r="AJ442" t="s">
        <v>111</v>
      </c>
      <c r="AK442" t="s">
        <v>111</v>
      </c>
      <c r="AL442" t="s">
        <v>111</v>
      </c>
      <c r="AM442">
        <v>0</v>
      </c>
      <c r="AN442">
        <v>0</v>
      </c>
      <c r="AO442">
        <v>0</v>
      </c>
      <c r="AP442" t="s">
        <v>111</v>
      </c>
      <c r="AQ442" t="s">
        <v>111</v>
      </c>
      <c r="AR442" t="s">
        <v>111</v>
      </c>
      <c r="AS442" t="s">
        <v>111</v>
      </c>
      <c r="AT442" t="s">
        <v>111</v>
      </c>
      <c r="AU442" t="s">
        <v>111</v>
      </c>
      <c r="AV442" t="s">
        <v>111</v>
      </c>
      <c r="AW442" t="s">
        <v>111</v>
      </c>
      <c r="AX442" t="s">
        <v>111</v>
      </c>
      <c r="AY442" t="s">
        <v>111</v>
      </c>
      <c r="AZ442" t="s">
        <v>111</v>
      </c>
      <c r="BA442" t="s">
        <v>111</v>
      </c>
      <c r="BB442" t="s">
        <v>111</v>
      </c>
      <c r="BC442" t="s">
        <v>111</v>
      </c>
      <c r="BD442" t="s">
        <v>111</v>
      </c>
      <c r="BE442" t="s">
        <v>111</v>
      </c>
      <c r="BF442" t="s">
        <v>111</v>
      </c>
      <c r="BG442" t="s">
        <v>111</v>
      </c>
      <c r="BH442" t="s">
        <v>111</v>
      </c>
      <c r="BI442" t="s">
        <v>111</v>
      </c>
      <c r="BJ442" t="s">
        <v>111</v>
      </c>
      <c r="BK442" t="s">
        <v>111</v>
      </c>
      <c r="BL442" t="s">
        <v>111</v>
      </c>
      <c r="BM442" t="s">
        <v>111</v>
      </c>
      <c r="BN442" t="s">
        <v>111</v>
      </c>
      <c r="BO442" t="s">
        <v>111</v>
      </c>
      <c r="BP442" t="s">
        <v>111</v>
      </c>
      <c r="BQ442" t="s">
        <v>111</v>
      </c>
      <c r="BR442" t="s">
        <v>111</v>
      </c>
      <c r="BS442" t="s">
        <v>111</v>
      </c>
      <c r="BT442" t="s">
        <v>111</v>
      </c>
      <c r="BU442" t="s">
        <v>111</v>
      </c>
      <c r="BV442" t="s">
        <v>111</v>
      </c>
      <c r="BW442" t="s">
        <v>111</v>
      </c>
      <c r="BX442" t="s">
        <v>111</v>
      </c>
      <c r="BY442" t="s">
        <v>111</v>
      </c>
      <c r="BZ442" t="s">
        <v>111</v>
      </c>
      <c r="CA442" t="s">
        <v>111</v>
      </c>
      <c r="CB442" t="s">
        <v>111</v>
      </c>
      <c r="CC442" t="s">
        <v>111</v>
      </c>
      <c r="CD442" t="s">
        <v>111</v>
      </c>
      <c r="CE442" t="s">
        <v>111</v>
      </c>
      <c r="CF442" t="s">
        <v>111</v>
      </c>
      <c r="CG442" t="s">
        <v>111</v>
      </c>
      <c r="CH442" t="s">
        <v>111</v>
      </c>
      <c r="CI442" t="s">
        <v>111</v>
      </c>
      <c r="CJ442" t="s">
        <v>111</v>
      </c>
      <c r="CK442" t="s">
        <v>111</v>
      </c>
      <c r="CL442" t="e">
        <f>-DESTINO SELLADO</f>
        <v>#NAME?</v>
      </c>
      <c r="CM442" t="s">
        <v>135</v>
      </c>
      <c r="CN442" t="s">
        <v>113</v>
      </c>
      <c r="CO442" t="s">
        <v>885</v>
      </c>
      <c r="CP442" t="s">
        <v>111</v>
      </c>
      <c r="CQ442">
        <v>35</v>
      </c>
      <c r="CR442">
        <v>750</v>
      </c>
      <c r="CS442">
        <v>50</v>
      </c>
      <c r="CT442" t="s">
        <v>1638</v>
      </c>
      <c r="CU442">
        <v>0</v>
      </c>
      <c r="CV442" t="s">
        <v>111</v>
      </c>
      <c r="CW442" t="s">
        <v>111</v>
      </c>
      <c r="CX442" t="s">
        <v>111</v>
      </c>
      <c r="CY442">
        <v>0</v>
      </c>
      <c r="CZ442" t="s">
        <v>111</v>
      </c>
      <c r="DA442" t="s">
        <v>111</v>
      </c>
      <c r="DB442" t="e">
        <f>-INTERNO</f>
        <v>#NAME?</v>
      </c>
      <c r="DC442" t="s">
        <v>1639</v>
      </c>
    </row>
    <row r="443" spans="1:107">
      <c r="A443">
        <v>1142</v>
      </c>
      <c r="B443" t="s">
        <v>107</v>
      </c>
      <c r="C443" t="s">
        <v>421</v>
      </c>
      <c r="D443" t="s">
        <v>1640</v>
      </c>
      <c r="E443" t="s">
        <v>1641</v>
      </c>
      <c r="F443" t="s">
        <v>370</v>
      </c>
      <c r="G443" t="s">
        <v>469</v>
      </c>
      <c r="H443">
        <v>2.9</v>
      </c>
      <c r="I443">
        <v>45</v>
      </c>
      <c r="J443">
        <v>0</v>
      </c>
      <c r="K443">
        <v>0</v>
      </c>
      <c r="L443" t="s">
        <v>112</v>
      </c>
      <c r="M443" t="s">
        <v>118</v>
      </c>
      <c r="N443">
        <v>39</v>
      </c>
      <c r="O443">
        <v>2</v>
      </c>
      <c r="P443" t="s">
        <v>138</v>
      </c>
      <c r="Q443">
        <v>45.6</v>
      </c>
      <c r="R443">
        <v>0</v>
      </c>
      <c r="S443">
        <v>0</v>
      </c>
      <c r="T443">
        <v>10</v>
      </c>
      <c r="U443" s="1" t="s">
        <v>1642</v>
      </c>
      <c r="V443">
        <v>25</v>
      </c>
      <c r="W443">
        <v>0</v>
      </c>
      <c r="X443">
        <v>8</v>
      </c>
      <c r="Y443">
        <v>0</v>
      </c>
      <c r="Z443" t="s">
        <v>288</v>
      </c>
      <c r="AA443">
        <v>0.3</v>
      </c>
      <c r="AB443" t="s">
        <v>111</v>
      </c>
      <c r="AC443">
        <v>0</v>
      </c>
      <c r="AD443" t="s">
        <v>427</v>
      </c>
      <c r="AE443">
        <v>0</v>
      </c>
      <c r="AF443">
        <v>0</v>
      </c>
      <c r="AG443" t="s">
        <v>111</v>
      </c>
      <c r="AH443" t="s">
        <v>111</v>
      </c>
      <c r="AI443" t="s">
        <v>111</v>
      </c>
      <c r="AJ443" t="s">
        <v>111</v>
      </c>
      <c r="AK443" t="s">
        <v>111</v>
      </c>
      <c r="AL443" t="s">
        <v>111</v>
      </c>
      <c r="AM443">
        <v>0</v>
      </c>
      <c r="AN443">
        <v>0</v>
      </c>
      <c r="AO443">
        <v>0</v>
      </c>
      <c r="AP443" t="s">
        <v>111</v>
      </c>
      <c r="AQ443" t="s">
        <v>111</v>
      </c>
      <c r="AR443" t="s">
        <v>111</v>
      </c>
      <c r="AS443" t="s">
        <v>111</v>
      </c>
      <c r="AT443" t="s">
        <v>111</v>
      </c>
      <c r="AU443" t="s">
        <v>111</v>
      </c>
      <c r="AV443" t="s">
        <v>111</v>
      </c>
      <c r="AW443" t="s">
        <v>111</v>
      </c>
      <c r="AX443" t="s">
        <v>111</v>
      </c>
      <c r="AY443" t="s">
        <v>111</v>
      </c>
      <c r="AZ443" t="s">
        <v>111</v>
      </c>
      <c r="BA443" t="s">
        <v>111</v>
      </c>
      <c r="BB443" t="s">
        <v>111</v>
      </c>
      <c r="BC443" t="s">
        <v>111</v>
      </c>
      <c r="BD443" t="s">
        <v>111</v>
      </c>
      <c r="BE443" t="s">
        <v>111</v>
      </c>
      <c r="BF443" t="s">
        <v>111</v>
      </c>
      <c r="BG443" t="s">
        <v>111</v>
      </c>
      <c r="BH443" t="s">
        <v>111</v>
      </c>
      <c r="BI443" t="s">
        <v>111</v>
      </c>
      <c r="BJ443" t="s">
        <v>111</v>
      </c>
      <c r="BK443" t="s">
        <v>111</v>
      </c>
      <c r="BL443" t="s">
        <v>111</v>
      </c>
      <c r="BM443" t="s">
        <v>111</v>
      </c>
      <c r="BN443" t="s">
        <v>111</v>
      </c>
      <c r="BO443" t="s">
        <v>111</v>
      </c>
      <c r="BP443" t="s">
        <v>111</v>
      </c>
      <c r="BQ443" t="s">
        <v>111</v>
      </c>
      <c r="BR443" t="s">
        <v>111</v>
      </c>
      <c r="BS443" t="s">
        <v>111</v>
      </c>
      <c r="BT443" t="s">
        <v>111</v>
      </c>
      <c r="BU443" t="s">
        <v>111</v>
      </c>
      <c r="BV443" t="s">
        <v>111</v>
      </c>
      <c r="BW443" t="s">
        <v>111</v>
      </c>
      <c r="BX443" t="s">
        <v>111</v>
      </c>
      <c r="BY443" t="s">
        <v>111</v>
      </c>
      <c r="BZ443" t="s">
        <v>111</v>
      </c>
      <c r="CA443" t="s">
        <v>111</v>
      </c>
      <c r="CB443" t="s">
        <v>111</v>
      </c>
      <c r="CC443" t="s">
        <v>111</v>
      </c>
      <c r="CD443" t="s">
        <v>111</v>
      </c>
      <c r="CE443" t="s">
        <v>111</v>
      </c>
      <c r="CF443" t="s">
        <v>111</v>
      </c>
      <c r="CG443" t="s">
        <v>111</v>
      </c>
      <c r="CH443" t="s">
        <v>111</v>
      </c>
      <c r="CI443" t="s">
        <v>111</v>
      </c>
      <c r="CJ443" t="s">
        <v>111</v>
      </c>
      <c r="CK443" t="s">
        <v>111</v>
      </c>
      <c r="CL443" t="e">
        <f>-DESTINO DELLADO</f>
        <v>#NAME?</v>
      </c>
      <c r="CM443" t="s">
        <v>135</v>
      </c>
      <c r="CN443" t="s">
        <v>113</v>
      </c>
      <c r="CO443" t="s">
        <v>885</v>
      </c>
      <c r="CP443" t="s">
        <v>111</v>
      </c>
      <c r="CQ443">
        <v>35</v>
      </c>
      <c r="CR443">
        <v>1000</v>
      </c>
      <c r="CS443">
        <v>50</v>
      </c>
      <c r="CT443" t="s">
        <v>1188</v>
      </c>
      <c r="CU443">
        <v>0</v>
      </c>
      <c r="CV443" t="s">
        <v>111</v>
      </c>
      <c r="CW443" t="s">
        <v>111</v>
      </c>
      <c r="CX443" t="s">
        <v>111</v>
      </c>
      <c r="CY443">
        <v>0</v>
      </c>
      <c r="CZ443" t="s">
        <v>111</v>
      </c>
      <c r="DA443" t="s">
        <v>111</v>
      </c>
      <c r="DB443" t="e">
        <f>-INTERNO</f>
        <v>#NAME?</v>
      </c>
      <c r="DC443" t="e">
        <f>-TROQUEL</f>
        <v>#NAME?</v>
      </c>
    </row>
    <row r="444" spans="1:107">
      <c r="A444">
        <v>1137</v>
      </c>
      <c r="B444" t="s">
        <v>107</v>
      </c>
      <c r="C444" t="s">
        <v>1643</v>
      </c>
      <c r="D444" t="s">
        <v>1644</v>
      </c>
      <c r="E444" t="s">
        <v>1645</v>
      </c>
      <c r="F444" t="s">
        <v>192</v>
      </c>
      <c r="G444" t="s">
        <v>469</v>
      </c>
      <c r="H444">
        <v>2</v>
      </c>
      <c r="I444">
        <v>60</v>
      </c>
      <c r="J444">
        <v>0</v>
      </c>
      <c r="K444">
        <v>0</v>
      </c>
      <c r="L444" t="s">
        <v>112</v>
      </c>
      <c r="M444" t="s">
        <v>111</v>
      </c>
      <c r="N444">
        <v>0</v>
      </c>
      <c r="O444">
        <v>0</v>
      </c>
      <c r="P444" t="s">
        <v>111</v>
      </c>
      <c r="Q444">
        <v>5</v>
      </c>
      <c r="R444">
        <v>0</v>
      </c>
      <c r="S444">
        <v>0</v>
      </c>
      <c r="T444">
        <v>0</v>
      </c>
      <c r="U444" t="s">
        <v>296</v>
      </c>
      <c r="V444">
        <v>0</v>
      </c>
      <c r="W444">
        <v>25</v>
      </c>
      <c r="X444">
        <v>6</v>
      </c>
      <c r="Y444">
        <v>0</v>
      </c>
      <c r="Z444" t="s">
        <v>111</v>
      </c>
      <c r="AA444">
        <v>0</v>
      </c>
      <c r="AB444" t="s">
        <v>111</v>
      </c>
      <c r="AC444">
        <v>0</v>
      </c>
      <c r="AD444" t="s">
        <v>111</v>
      </c>
      <c r="AE444">
        <v>0</v>
      </c>
      <c r="AF444">
        <v>0</v>
      </c>
      <c r="AG444" t="s">
        <v>111</v>
      </c>
      <c r="AH444" t="s">
        <v>111</v>
      </c>
      <c r="AI444" t="s">
        <v>111</v>
      </c>
      <c r="AJ444" t="s">
        <v>111</v>
      </c>
      <c r="AK444" t="s">
        <v>111</v>
      </c>
      <c r="AL444" t="s">
        <v>111</v>
      </c>
      <c r="AM444">
        <v>0</v>
      </c>
      <c r="AN444">
        <v>0</v>
      </c>
      <c r="AO444">
        <v>0</v>
      </c>
      <c r="AP444" t="s">
        <v>111</v>
      </c>
      <c r="AQ444" t="s">
        <v>111</v>
      </c>
      <c r="AR444" t="s">
        <v>111</v>
      </c>
      <c r="AS444" t="s">
        <v>111</v>
      </c>
      <c r="AT444" t="s">
        <v>111</v>
      </c>
      <c r="AU444" t="s">
        <v>111</v>
      </c>
      <c r="AV444" t="s">
        <v>111</v>
      </c>
      <c r="AW444" t="s">
        <v>111</v>
      </c>
      <c r="AX444" t="s">
        <v>111</v>
      </c>
      <c r="AY444" t="s">
        <v>111</v>
      </c>
      <c r="AZ444" t="s">
        <v>111</v>
      </c>
      <c r="BA444" t="s">
        <v>111</v>
      </c>
      <c r="BB444" t="s">
        <v>111</v>
      </c>
      <c r="BC444" t="s">
        <v>111</v>
      </c>
      <c r="BD444" t="s">
        <v>111</v>
      </c>
      <c r="BE444" t="s">
        <v>111</v>
      </c>
      <c r="BF444" t="s">
        <v>111</v>
      </c>
      <c r="BG444" t="s">
        <v>111</v>
      </c>
      <c r="BH444" t="s">
        <v>111</v>
      </c>
      <c r="BI444" t="s">
        <v>111</v>
      </c>
      <c r="BJ444" t="s">
        <v>111</v>
      </c>
      <c r="BK444" t="s">
        <v>111</v>
      </c>
      <c r="BL444" t="s">
        <v>111</v>
      </c>
      <c r="BM444" t="s">
        <v>111</v>
      </c>
      <c r="BN444" t="s">
        <v>111</v>
      </c>
      <c r="BO444" t="s">
        <v>111</v>
      </c>
      <c r="BP444" t="s">
        <v>111</v>
      </c>
      <c r="BQ444" t="s">
        <v>111</v>
      </c>
      <c r="BR444" t="s">
        <v>111</v>
      </c>
      <c r="BS444" t="s">
        <v>111</v>
      </c>
      <c r="BT444" t="s">
        <v>111</v>
      </c>
      <c r="BU444" t="s">
        <v>111</v>
      </c>
      <c r="BV444" t="s">
        <v>111</v>
      </c>
      <c r="BW444" t="s">
        <v>111</v>
      </c>
      <c r="BX444" t="s">
        <v>111</v>
      </c>
      <c r="BY444" t="s">
        <v>111</v>
      </c>
      <c r="BZ444" t="s">
        <v>111</v>
      </c>
      <c r="CA444" t="s">
        <v>111</v>
      </c>
      <c r="CB444" t="s">
        <v>111</v>
      </c>
      <c r="CC444" t="s">
        <v>111</v>
      </c>
      <c r="CD444" t="s">
        <v>111</v>
      </c>
      <c r="CE444" t="s">
        <v>111</v>
      </c>
      <c r="CF444" t="s">
        <v>111</v>
      </c>
      <c r="CG444" t="s">
        <v>111</v>
      </c>
      <c r="CH444" t="s">
        <v>111</v>
      </c>
      <c r="CI444" t="s">
        <v>111</v>
      </c>
      <c r="CJ444" t="s">
        <v>111</v>
      </c>
      <c r="CK444" t="s">
        <v>111</v>
      </c>
      <c r="CL444" t="s">
        <v>111</v>
      </c>
      <c r="CM444" t="s">
        <v>360</v>
      </c>
      <c r="CN444" t="s">
        <v>113</v>
      </c>
      <c r="CO444" t="s">
        <v>111</v>
      </c>
      <c r="CP444" t="s">
        <v>111</v>
      </c>
      <c r="CQ444">
        <v>0</v>
      </c>
      <c r="CR444">
        <v>20</v>
      </c>
      <c r="CS444">
        <v>20</v>
      </c>
      <c r="CT444" s="1" t="s">
        <v>1646</v>
      </c>
      <c r="CU444">
        <v>0</v>
      </c>
      <c r="CV444" t="s">
        <v>111</v>
      </c>
      <c r="CW444" t="s">
        <v>111</v>
      </c>
      <c r="CX444" t="s">
        <v>111</v>
      </c>
      <c r="CY444">
        <v>0</v>
      </c>
      <c r="CZ444" t="s">
        <v>111</v>
      </c>
      <c r="DA444" t="s">
        <v>111</v>
      </c>
      <c r="DB444" t="e">
        <f>-INTERNO</f>
        <v>#NAME?</v>
      </c>
      <c r="DC444" t="s">
        <v>589</v>
      </c>
    </row>
    <row r="445" spans="1:107">
      <c r="A445">
        <v>1134</v>
      </c>
      <c r="B445" t="s">
        <v>107</v>
      </c>
      <c r="C445" t="s">
        <v>793</v>
      </c>
      <c r="D445" t="s">
        <v>1647</v>
      </c>
      <c r="E445" t="s">
        <v>1648</v>
      </c>
      <c r="F445" t="s">
        <v>157</v>
      </c>
      <c r="G445" t="s">
        <v>469</v>
      </c>
      <c r="H445">
        <v>5</v>
      </c>
      <c r="I445">
        <v>27</v>
      </c>
      <c r="J445">
        <v>0</v>
      </c>
      <c r="K445">
        <v>0</v>
      </c>
      <c r="L445" t="s">
        <v>112</v>
      </c>
      <c r="M445" t="s">
        <v>118</v>
      </c>
      <c r="N445">
        <v>38</v>
      </c>
      <c r="O445">
        <v>2</v>
      </c>
      <c r="P445" t="s">
        <v>118</v>
      </c>
      <c r="Q445">
        <v>25</v>
      </c>
      <c r="R445">
        <v>0</v>
      </c>
      <c r="S445">
        <v>0</v>
      </c>
      <c r="T445">
        <v>0</v>
      </c>
      <c r="U445" t="s">
        <v>394</v>
      </c>
      <c r="V445">
        <v>0</v>
      </c>
      <c r="W445">
        <v>25</v>
      </c>
      <c r="X445">
        <v>10</v>
      </c>
      <c r="Y445">
        <v>0</v>
      </c>
      <c r="Z445" t="s">
        <v>111</v>
      </c>
      <c r="AA445">
        <v>0</v>
      </c>
      <c r="AB445" t="s">
        <v>111</v>
      </c>
      <c r="AC445">
        <v>0</v>
      </c>
      <c r="AD445" t="s">
        <v>111</v>
      </c>
      <c r="AE445">
        <v>0</v>
      </c>
      <c r="AF445">
        <v>0</v>
      </c>
      <c r="AG445" t="s">
        <v>111</v>
      </c>
      <c r="AH445" t="s">
        <v>111</v>
      </c>
      <c r="AI445" t="s">
        <v>111</v>
      </c>
      <c r="AJ445" t="s">
        <v>111</v>
      </c>
      <c r="AK445" t="s">
        <v>111</v>
      </c>
      <c r="AL445" t="s">
        <v>111</v>
      </c>
      <c r="AM445">
        <v>0</v>
      </c>
      <c r="AN445">
        <v>0</v>
      </c>
      <c r="AO445">
        <v>0</v>
      </c>
      <c r="AP445" t="s">
        <v>111</v>
      </c>
      <c r="AQ445" t="s">
        <v>111</v>
      </c>
      <c r="AR445" t="s">
        <v>111</v>
      </c>
      <c r="AS445" t="s">
        <v>111</v>
      </c>
      <c r="AT445" t="s">
        <v>111</v>
      </c>
      <c r="AU445" t="s">
        <v>111</v>
      </c>
      <c r="AV445" t="s">
        <v>111</v>
      </c>
      <c r="AW445" t="s">
        <v>111</v>
      </c>
      <c r="AX445" t="s">
        <v>111</v>
      </c>
      <c r="AY445" t="s">
        <v>111</v>
      </c>
      <c r="AZ445" t="s">
        <v>111</v>
      </c>
      <c r="BA445" t="s">
        <v>111</v>
      </c>
      <c r="BB445" t="s">
        <v>111</v>
      </c>
      <c r="BC445" t="s">
        <v>111</v>
      </c>
      <c r="BD445" t="s">
        <v>111</v>
      </c>
      <c r="BE445" t="s">
        <v>111</v>
      </c>
      <c r="BF445" t="s">
        <v>111</v>
      </c>
      <c r="BG445" t="s">
        <v>111</v>
      </c>
      <c r="BH445" t="s">
        <v>111</v>
      </c>
      <c r="BI445" t="s">
        <v>111</v>
      </c>
      <c r="BJ445" t="s">
        <v>111</v>
      </c>
      <c r="BK445" t="s">
        <v>111</v>
      </c>
      <c r="BL445" t="s">
        <v>111</v>
      </c>
      <c r="BM445" t="s">
        <v>111</v>
      </c>
      <c r="BN445" t="s">
        <v>111</v>
      </c>
      <c r="BO445" t="s">
        <v>111</v>
      </c>
      <c r="BP445" t="s">
        <v>111</v>
      </c>
      <c r="BQ445" t="s">
        <v>111</v>
      </c>
      <c r="BR445" t="s">
        <v>111</v>
      </c>
      <c r="BS445" t="s">
        <v>111</v>
      </c>
      <c r="BT445" t="s">
        <v>111</v>
      </c>
      <c r="BU445" t="s">
        <v>111</v>
      </c>
      <c r="BV445" t="s">
        <v>111</v>
      </c>
      <c r="BW445" t="s">
        <v>111</v>
      </c>
      <c r="BX445" t="s">
        <v>111</v>
      </c>
      <c r="BY445" t="s">
        <v>111</v>
      </c>
      <c r="BZ445" t="s">
        <v>111</v>
      </c>
      <c r="CA445" t="s">
        <v>111</v>
      </c>
      <c r="CB445" t="s">
        <v>111</v>
      </c>
      <c r="CC445" t="s">
        <v>111</v>
      </c>
      <c r="CD445" t="s">
        <v>111</v>
      </c>
      <c r="CE445" t="s">
        <v>111</v>
      </c>
      <c r="CF445" t="s">
        <v>111</v>
      </c>
      <c r="CG445" t="s">
        <v>111</v>
      </c>
      <c r="CH445" t="s">
        <v>111</v>
      </c>
      <c r="CI445" t="s">
        <v>111</v>
      </c>
      <c r="CJ445" t="s">
        <v>111</v>
      </c>
      <c r="CK445" t="s">
        <v>111</v>
      </c>
      <c r="CL445" t="s">
        <v>111</v>
      </c>
      <c r="CM445" t="s">
        <v>111</v>
      </c>
      <c r="CN445" t="s">
        <v>111</v>
      </c>
      <c r="CO445" t="s">
        <v>111</v>
      </c>
      <c r="CP445" t="s">
        <v>111</v>
      </c>
      <c r="CQ445">
        <v>0</v>
      </c>
      <c r="CR445">
        <v>0</v>
      </c>
      <c r="CS445">
        <v>0</v>
      </c>
      <c r="CT445" t="s">
        <v>111</v>
      </c>
      <c r="CU445">
        <v>0</v>
      </c>
      <c r="CV445" t="s">
        <v>111</v>
      </c>
      <c r="CW445" t="s">
        <v>111</v>
      </c>
      <c r="CX445" t="s">
        <v>111</v>
      </c>
      <c r="CY445">
        <v>0</v>
      </c>
      <c r="CZ445" t="s">
        <v>111</v>
      </c>
      <c r="DA445" t="s">
        <v>111</v>
      </c>
      <c r="DB445" t="s">
        <v>111</v>
      </c>
      <c r="DC445" t="s">
        <v>111</v>
      </c>
    </row>
    <row r="446" spans="1:107">
      <c r="A446">
        <v>1572</v>
      </c>
      <c r="B446" t="s">
        <v>107</v>
      </c>
      <c r="C446" t="s">
        <v>719</v>
      </c>
      <c r="D446" t="s">
        <v>1649</v>
      </c>
      <c r="E446" t="s">
        <v>1650</v>
      </c>
      <c r="F446" t="s">
        <v>1651</v>
      </c>
      <c r="G446" t="s">
        <v>469</v>
      </c>
      <c r="H446">
        <v>2.4</v>
      </c>
      <c r="I446">
        <v>40</v>
      </c>
      <c r="J446">
        <v>0</v>
      </c>
      <c r="K446">
        <v>0</v>
      </c>
      <c r="L446" t="s">
        <v>112</v>
      </c>
      <c r="M446" t="s">
        <v>118</v>
      </c>
      <c r="N446">
        <v>39</v>
      </c>
      <c r="O446">
        <v>2</v>
      </c>
      <c r="P446" t="s">
        <v>111</v>
      </c>
      <c r="Q446">
        <v>33.299999999999997</v>
      </c>
      <c r="R446">
        <v>0</v>
      </c>
      <c r="S446">
        <v>0</v>
      </c>
      <c r="T446">
        <v>5</v>
      </c>
      <c r="U446" t="e">
        <f>-IMPRESION DARMA</f>
        <v>#NAME?</v>
      </c>
      <c r="V446">
        <v>0</v>
      </c>
      <c r="W446">
        <v>0</v>
      </c>
      <c r="X446">
        <v>0</v>
      </c>
      <c r="Y446">
        <v>250</v>
      </c>
      <c r="Z446" t="s">
        <v>111</v>
      </c>
      <c r="AA446">
        <v>0</v>
      </c>
      <c r="AB446" t="s">
        <v>111</v>
      </c>
      <c r="AC446">
        <v>0</v>
      </c>
      <c r="AD446" t="s">
        <v>416</v>
      </c>
      <c r="AE446">
        <v>0</v>
      </c>
      <c r="AF446">
        <v>0</v>
      </c>
      <c r="AG446" t="s">
        <v>111</v>
      </c>
      <c r="AH446" t="s">
        <v>113</v>
      </c>
      <c r="AI446" t="s">
        <v>111</v>
      </c>
      <c r="AJ446" t="s">
        <v>111</v>
      </c>
      <c r="AK446" t="s">
        <v>111</v>
      </c>
      <c r="AL446" t="s">
        <v>111</v>
      </c>
      <c r="AM446">
        <v>0</v>
      </c>
      <c r="AN446">
        <v>0</v>
      </c>
      <c r="AO446">
        <v>0</v>
      </c>
      <c r="AP446" t="s">
        <v>111</v>
      </c>
      <c r="AQ446" t="s">
        <v>111</v>
      </c>
      <c r="AR446" t="s">
        <v>111</v>
      </c>
      <c r="AS446" t="s">
        <v>111</v>
      </c>
      <c r="AT446" t="s">
        <v>111</v>
      </c>
      <c r="AU446" t="s">
        <v>111</v>
      </c>
      <c r="AV446" t="s">
        <v>111</v>
      </c>
      <c r="AW446" t="s">
        <v>111</v>
      </c>
      <c r="AX446" t="s">
        <v>111</v>
      </c>
      <c r="AY446" t="s">
        <v>111</v>
      </c>
      <c r="AZ446" t="s">
        <v>111</v>
      </c>
      <c r="BA446" t="s">
        <v>111</v>
      </c>
      <c r="BB446" t="s">
        <v>111</v>
      </c>
      <c r="BC446" t="s">
        <v>111</v>
      </c>
      <c r="BD446" t="s">
        <v>111</v>
      </c>
      <c r="BE446" t="s">
        <v>111</v>
      </c>
      <c r="BF446" t="s">
        <v>111</v>
      </c>
      <c r="BG446" t="s">
        <v>111</v>
      </c>
      <c r="BH446" t="s">
        <v>111</v>
      </c>
      <c r="BI446" t="s">
        <v>111</v>
      </c>
      <c r="BJ446" t="s">
        <v>111</v>
      </c>
      <c r="BK446" t="s">
        <v>111</v>
      </c>
      <c r="BL446" t="s">
        <v>111</v>
      </c>
      <c r="BM446" t="s">
        <v>111</v>
      </c>
      <c r="BN446" t="s">
        <v>111</v>
      </c>
      <c r="BO446" t="s">
        <v>111</v>
      </c>
      <c r="BP446" t="s">
        <v>111</v>
      </c>
      <c r="BQ446" t="s">
        <v>111</v>
      </c>
      <c r="BR446" t="s">
        <v>111</v>
      </c>
      <c r="BS446" t="s">
        <v>111</v>
      </c>
      <c r="BT446" t="s">
        <v>111</v>
      </c>
      <c r="BU446" t="s">
        <v>111</v>
      </c>
      <c r="BV446" t="s">
        <v>111</v>
      </c>
      <c r="BW446" t="s">
        <v>111</v>
      </c>
      <c r="BX446" t="s">
        <v>111</v>
      </c>
      <c r="BY446" t="s">
        <v>111</v>
      </c>
      <c r="BZ446" t="s">
        <v>111</v>
      </c>
      <c r="CA446" t="s">
        <v>111</v>
      </c>
      <c r="CB446" t="s">
        <v>111</v>
      </c>
      <c r="CC446" t="s">
        <v>111</v>
      </c>
      <c r="CD446" t="s">
        <v>111</v>
      </c>
      <c r="CE446" t="s">
        <v>111</v>
      </c>
      <c r="CF446" t="s">
        <v>111</v>
      </c>
      <c r="CG446" t="s">
        <v>111</v>
      </c>
      <c r="CH446" t="s">
        <v>111</v>
      </c>
      <c r="CI446" t="s">
        <v>111</v>
      </c>
      <c r="CJ446" t="s">
        <v>111</v>
      </c>
      <c r="CK446" t="s">
        <v>111</v>
      </c>
      <c r="CL446" t="s">
        <v>111</v>
      </c>
      <c r="CM446" t="s">
        <v>135</v>
      </c>
      <c r="CN446" t="s">
        <v>113</v>
      </c>
      <c r="CO446" t="s">
        <v>111</v>
      </c>
      <c r="CP446" t="e">
        <f>-MUESTRA</f>
        <v>#NAME?</v>
      </c>
      <c r="CQ446">
        <v>39</v>
      </c>
      <c r="CR446">
        <v>2000</v>
      </c>
      <c r="CS446">
        <v>100</v>
      </c>
      <c r="CT446" t="e">
        <f>-ALMACEN</f>
        <v>#NAME?</v>
      </c>
      <c r="CU446">
        <v>0</v>
      </c>
      <c r="CV446" t="s">
        <v>111</v>
      </c>
      <c r="CW446" t="s">
        <v>111</v>
      </c>
      <c r="CX446" t="s">
        <v>111</v>
      </c>
      <c r="CY446">
        <v>0</v>
      </c>
      <c r="CZ446" t="s">
        <v>111</v>
      </c>
      <c r="DA446" t="s">
        <v>111</v>
      </c>
      <c r="DB446" t="s">
        <v>111</v>
      </c>
      <c r="DC446" t="s">
        <v>111</v>
      </c>
    </row>
    <row r="447" spans="1:107">
      <c r="A447">
        <v>1076</v>
      </c>
      <c r="B447" t="s">
        <v>107</v>
      </c>
      <c r="C447" t="s">
        <v>144</v>
      </c>
      <c r="D447" t="s">
        <v>1652</v>
      </c>
      <c r="E447" t="s">
        <v>1653</v>
      </c>
      <c r="F447" t="s">
        <v>125</v>
      </c>
      <c r="G447" t="s">
        <v>469</v>
      </c>
      <c r="H447">
        <v>0.9</v>
      </c>
      <c r="I447">
        <v>58</v>
      </c>
      <c r="J447">
        <v>0</v>
      </c>
      <c r="K447">
        <v>0</v>
      </c>
      <c r="L447" t="s">
        <v>112</v>
      </c>
      <c r="M447" t="s">
        <v>111</v>
      </c>
      <c r="N447">
        <v>0</v>
      </c>
      <c r="O447">
        <v>0</v>
      </c>
      <c r="P447" t="s">
        <v>138</v>
      </c>
      <c r="Q447">
        <v>16</v>
      </c>
      <c r="R447">
        <v>0</v>
      </c>
      <c r="S447">
        <v>0</v>
      </c>
      <c r="T447">
        <v>2</v>
      </c>
      <c r="U447" t="s">
        <v>296</v>
      </c>
      <c r="V447">
        <v>25</v>
      </c>
      <c r="W447">
        <v>0</v>
      </c>
      <c r="X447">
        <v>5</v>
      </c>
      <c r="Y447">
        <v>0</v>
      </c>
      <c r="Z447" t="s">
        <v>288</v>
      </c>
      <c r="AA447">
        <v>1.8</v>
      </c>
      <c r="AB447" t="s">
        <v>111</v>
      </c>
      <c r="AC447">
        <v>0</v>
      </c>
      <c r="AD447" t="s">
        <v>111</v>
      </c>
      <c r="AE447">
        <v>0</v>
      </c>
      <c r="AF447">
        <v>0</v>
      </c>
      <c r="AG447" t="s">
        <v>111</v>
      </c>
      <c r="AH447" t="s">
        <v>111</v>
      </c>
      <c r="AI447" t="s">
        <v>111</v>
      </c>
      <c r="AJ447" t="s">
        <v>111</v>
      </c>
      <c r="AK447" t="s">
        <v>111</v>
      </c>
      <c r="AL447" t="s">
        <v>111</v>
      </c>
      <c r="AM447">
        <v>0</v>
      </c>
      <c r="AN447">
        <v>0</v>
      </c>
      <c r="AO447">
        <v>0</v>
      </c>
      <c r="AP447" t="s">
        <v>111</v>
      </c>
      <c r="AQ447" t="s">
        <v>111</v>
      </c>
      <c r="AR447" t="s">
        <v>111</v>
      </c>
      <c r="AS447" t="s">
        <v>111</v>
      </c>
      <c r="AT447" t="s">
        <v>111</v>
      </c>
      <c r="AU447" t="s">
        <v>111</v>
      </c>
      <c r="AV447" t="s">
        <v>111</v>
      </c>
      <c r="AW447" t="s">
        <v>111</v>
      </c>
      <c r="AX447" t="s">
        <v>111</v>
      </c>
      <c r="AY447" t="s">
        <v>111</v>
      </c>
      <c r="AZ447" t="s">
        <v>111</v>
      </c>
      <c r="BA447" t="s">
        <v>111</v>
      </c>
      <c r="BB447" t="s">
        <v>111</v>
      </c>
      <c r="BC447" t="s">
        <v>111</v>
      </c>
      <c r="BD447" t="s">
        <v>111</v>
      </c>
      <c r="BE447" t="s">
        <v>111</v>
      </c>
      <c r="BF447" t="s">
        <v>111</v>
      </c>
      <c r="BG447" t="s">
        <v>111</v>
      </c>
      <c r="BH447" t="s">
        <v>111</v>
      </c>
      <c r="BI447" t="s">
        <v>111</v>
      </c>
      <c r="BJ447" t="s">
        <v>111</v>
      </c>
      <c r="BK447" t="s">
        <v>111</v>
      </c>
      <c r="BL447" t="s">
        <v>111</v>
      </c>
      <c r="BM447" t="s">
        <v>111</v>
      </c>
      <c r="BN447" t="s">
        <v>111</v>
      </c>
      <c r="BO447" t="s">
        <v>111</v>
      </c>
      <c r="BP447" t="s">
        <v>111</v>
      </c>
      <c r="BQ447" t="s">
        <v>111</v>
      </c>
      <c r="BR447" t="s">
        <v>111</v>
      </c>
      <c r="BS447" t="s">
        <v>111</v>
      </c>
      <c r="BT447" t="s">
        <v>111</v>
      </c>
      <c r="BU447" t="s">
        <v>111</v>
      </c>
      <c r="BV447" t="s">
        <v>111</v>
      </c>
      <c r="BW447" t="s">
        <v>111</v>
      </c>
      <c r="BX447" t="s">
        <v>111</v>
      </c>
      <c r="BY447" t="s">
        <v>111</v>
      </c>
      <c r="BZ447" t="s">
        <v>111</v>
      </c>
      <c r="CA447" t="s">
        <v>111</v>
      </c>
      <c r="CB447" t="s">
        <v>111</v>
      </c>
      <c r="CC447" t="s">
        <v>111</v>
      </c>
      <c r="CD447" t="s">
        <v>111</v>
      </c>
      <c r="CE447" t="s">
        <v>111</v>
      </c>
      <c r="CF447" t="s">
        <v>111</v>
      </c>
      <c r="CG447" t="s">
        <v>111</v>
      </c>
      <c r="CH447" t="s">
        <v>111</v>
      </c>
      <c r="CI447" t="s">
        <v>111</v>
      </c>
      <c r="CJ447" t="s">
        <v>111</v>
      </c>
      <c r="CK447" t="s">
        <v>111</v>
      </c>
      <c r="CL447" t="s">
        <v>111</v>
      </c>
      <c r="CM447" t="s">
        <v>438</v>
      </c>
      <c r="CN447" t="s">
        <v>113</v>
      </c>
      <c r="CO447" t="s">
        <v>111</v>
      </c>
      <c r="CP447" t="s">
        <v>111</v>
      </c>
      <c r="CQ447">
        <v>0</v>
      </c>
      <c r="CR447">
        <v>1200</v>
      </c>
      <c r="CS447">
        <v>100</v>
      </c>
      <c r="CT447" t="s">
        <v>394</v>
      </c>
      <c r="CU447">
        <v>0</v>
      </c>
      <c r="CV447" t="s">
        <v>111</v>
      </c>
      <c r="CW447" t="s">
        <v>111</v>
      </c>
      <c r="CX447" t="s">
        <v>111</v>
      </c>
      <c r="CY447">
        <v>0</v>
      </c>
      <c r="CZ447" t="s">
        <v>111</v>
      </c>
      <c r="DA447" t="s">
        <v>111</v>
      </c>
      <c r="DB447" t="s">
        <v>111</v>
      </c>
      <c r="DC447" t="s">
        <v>111</v>
      </c>
    </row>
    <row r="448" spans="1:107">
      <c r="A448">
        <v>1168</v>
      </c>
      <c r="B448" t="s">
        <v>107</v>
      </c>
      <c r="C448" t="s">
        <v>1609</v>
      </c>
      <c r="D448" t="s">
        <v>1654</v>
      </c>
      <c r="E448" t="s">
        <v>1655</v>
      </c>
      <c r="F448" t="s">
        <v>739</v>
      </c>
      <c r="G448" t="s">
        <v>469</v>
      </c>
      <c r="H448">
        <v>2</v>
      </c>
      <c r="I448">
        <v>64</v>
      </c>
      <c r="J448">
        <v>0</v>
      </c>
      <c r="K448">
        <v>0</v>
      </c>
      <c r="L448" t="s">
        <v>117</v>
      </c>
      <c r="M448" t="s">
        <v>118</v>
      </c>
      <c r="N448">
        <v>40</v>
      </c>
      <c r="O448">
        <v>1</v>
      </c>
      <c r="P448" t="s">
        <v>111</v>
      </c>
      <c r="Q448">
        <v>45</v>
      </c>
      <c r="R448">
        <v>0</v>
      </c>
      <c r="S448">
        <v>0</v>
      </c>
      <c r="T448">
        <v>5</v>
      </c>
      <c r="U448" t="s">
        <v>501</v>
      </c>
      <c r="V448">
        <v>0</v>
      </c>
      <c r="W448">
        <v>25</v>
      </c>
      <c r="X448">
        <v>8</v>
      </c>
      <c r="Y448">
        <v>0</v>
      </c>
      <c r="Z448" t="s">
        <v>288</v>
      </c>
      <c r="AA448">
        <v>2</v>
      </c>
      <c r="AB448" t="s">
        <v>111</v>
      </c>
      <c r="AC448">
        <v>0</v>
      </c>
      <c r="AD448" t="s">
        <v>416</v>
      </c>
      <c r="AE448">
        <v>0</v>
      </c>
      <c r="AF448">
        <v>0</v>
      </c>
      <c r="AG448" t="s">
        <v>111</v>
      </c>
      <c r="AH448" t="s">
        <v>113</v>
      </c>
      <c r="AI448" t="s">
        <v>111</v>
      </c>
      <c r="AJ448" t="s">
        <v>111</v>
      </c>
      <c r="AK448" t="s">
        <v>111</v>
      </c>
      <c r="AL448" t="s">
        <v>111</v>
      </c>
      <c r="AM448">
        <v>0</v>
      </c>
      <c r="AN448">
        <v>0</v>
      </c>
      <c r="AO448">
        <v>0</v>
      </c>
      <c r="AP448" t="s">
        <v>111</v>
      </c>
      <c r="AQ448" t="s">
        <v>111</v>
      </c>
      <c r="AR448" t="s">
        <v>111</v>
      </c>
      <c r="AS448" t="s">
        <v>111</v>
      </c>
      <c r="AT448" t="s">
        <v>111</v>
      </c>
      <c r="AU448" t="s">
        <v>111</v>
      </c>
      <c r="AV448" t="s">
        <v>111</v>
      </c>
      <c r="AW448" t="s">
        <v>111</v>
      </c>
      <c r="AX448" t="s">
        <v>111</v>
      </c>
      <c r="AY448" t="s">
        <v>111</v>
      </c>
      <c r="AZ448" t="s">
        <v>111</v>
      </c>
      <c r="BA448" t="s">
        <v>111</v>
      </c>
      <c r="BB448" t="s">
        <v>111</v>
      </c>
      <c r="BC448" t="s">
        <v>111</v>
      </c>
      <c r="BD448" t="s">
        <v>111</v>
      </c>
      <c r="BE448" t="s">
        <v>111</v>
      </c>
      <c r="BF448" t="s">
        <v>111</v>
      </c>
      <c r="BG448" t="s">
        <v>111</v>
      </c>
      <c r="BH448" t="s">
        <v>111</v>
      </c>
      <c r="BI448" t="s">
        <v>111</v>
      </c>
      <c r="BJ448" t="s">
        <v>111</v>
      </c>
      <c r="BK448" t="s">
        <v>111</v>
      </c>
      <c r="BL448" t="s">
        <v>111</v>
      </c>
      <c r="BM448" t="s">
        <v>111</v>
      </c>
      <c r="BN448" t="s">
        <v>111</v>
      </c>
      <c r="BO448" t="s">
        <v>111</v>
      </c>
      <c r="BP448" t="s">
        <v>111</v>
      </c>
      <c r="BQ448" t="s">
        <v>111</v>
      </c>
      <c r="BR448" t="s">
        <v>111</v>
      </c>
      <c r="BS448" t="s">
        <v>111</v>
      </c>
      <c r="BT448" t="s">
        <v>111</v>
      </c>
      <c r="BU448" t="s">
        <v>111</v>
      </c>
      <c r="BV448" t="s">
        <v>111</v>
      </c>
      <c r="BW448" t="s">
        <v>111</v>
      </c>
      <c r="BX448" t="s">
        <v>111</v>
      </c>
      <c r="BY448" t="s">
        <v>111</v>
      </c>
      <c r="BZ448" t="s">
        <v>111</v>
      </c>
      <c r="CA448" t="s">
        <v>111</v>
      </c>
      <c r="CB448" t="s">
        <v>111</v>
      </c>
      <c r="CC448" t="s">
        <v>111</v>
      </c>
      <c r="CD448" t="s">
        <v>111</v>
      </c>
      <c r="CE448" t="s">
        <v>111</v>
      </c>
      <c r="CF448" t="s">
        <v>111</v>
      </c>
      <c r="CG448" t="s">
        <v>111</v>
      </c>
      <c r="CH448" t="s">
        <v>111</v>
      </c>
      <c r="CI448" t="s">
        <v>111</v>
      </c>
      <c r="CJ448" t="s">
        <v>111</v>
      </c>
      <c r="CK448" t="s">
        <v>111</v>
      </c>
      <c r="CL448" t="e">
        <f>-DESTINO SELLADO</f>
        <v>#NAME?</v>
      </c>
      <c r="CM448" t="s">
        <v>438</v>
      </c>
      <c r="CN448" t="s">
        <v>113</v>
      </c>
      <c r="CO448" t="s">
        <v>111</v>
      </c>
      <c r="CP448" t="s">
        <v>111</v>
      </c>
      <c r="CQ448">
        <v>0</v>
      </c>
      <c r="CR448">
        <v>5000</v>
      </c>
      <c r="CS448">
        <v>200</v>
      </c>
      <c r="CT448" t="s">
        <v>394</v>
      </c>
      <c r="CU448">
        <v>0</v>
      </c>
      <c r="CV448" t="s">
        <v>111</v>
      </c>
      <c r="CW448" t="s">
        <v>111</v>
      </c>
      <c r="CX448" t="s">
        <v>111</v>
      </c>
      <c r="CY448">
        <v>0</v>
      </c>
      <c r="CZ448" t="s">
        <v>111</v>
      </c>
      <c r="DA448" t="s">
        <v>111</v>
      </c>
      <c r="DB448" t="s">
        <v>111</v>
      </c>
      <c r="DC448" t="s">
        <v>111</v>
      </c>
    </row>
    <row r="449" spans="1:107">
      <c r="A449">
        <v>918</v>
      </c>
      <c r="B449" t="s">
        <v>107</v>
      </c>
      <c r="C449" t="s">
        <v>1656</v>
      </c>
      <c r="D449" t="s">
        <v>1657</v>
      </c>
      <c r="E449" t="s">
        <v>1658</v>
      </c>
      <c r="F449" t="s">
        <v>1659</v>
      </c>
      <c r="G449" t="s">
        <v>469</v>
      </c>
      <c r="H449">
        <v>3</v>
      </c>
      <c r="I449">
        <v>78</v>
      </c>
      <c r="J449">
        <v>0</v>
      </c>
      <c r="K449">
        <v>0</v>
      </c>
      <c r="L449" t="s">
        <v>117</v>
      </c>
      <c r="M449" t="s">
        <v>118</v>
      </c>
      <c r="N449">
        <v>42</v>
      </c>
      <c r="O449">
        <v>1</v>
      </c>
      <c r="P449" t="s">
        <v>111</v>
      </c>
      <c r="Q449">
        <v>35</v>
      </c>
      <c r="R449">
        <v>0</v>
      </c>
      <c r="S449">
        <v>0</v>
      </c>
      <c r="T449">
        <v>0</v>
      </c>
      <c r="U449" s="1" t="s">
        <v>1660</v>
      </c>
      <c r="V449">
        <v>0</v>
      </c>
      <c r="W449">
        <v>12.5</v>
      </c>
      <c r="X449">
        <v>0</v>
      </c>
      <c r="Y449">
        <v>0</v>
      </c>
      <c r="Z449" t="s">
        <v>111</v>
      </c>
      <c r="AA449">
        <v>0</v>
      </c>
      <c r="AB449">
        <v>640</v>
      </c>
      <c r="AC449">
        <v>12.5</v>
      </c>
      <c r="AD449" t="s">
        <v>416</v>
      </c>
      <c r="AE449">
        <v>0</v>
      </c>
      <c r="AF449">
        <v>0</v>
      </c>
      <c r="AG449">
        <v>-37</v>
      </c>
      <c r="AH449" t="s">
        <v>113</v>
      </c>
      <c r="AI449" t="s">
        <v>1492</v>
      </c>
      <c r="AJ449" t="s">
        <v>111</v>
      </c>
      <c r="AK449" t="s">
        <v>111</v>
      </c>
      <c r="AL449" t="s">
        <v>111</v>
      </c>
      <c r="AM449">
        <v>0</v>
      </c>
      <c r="AN449">
        <v>0</v>
      </c>
      <c r="AO449">
        <v>0</v>
      </c>
      <c r="AP449" t="s">
        <v>111</v>
      </c>
      <c r="AQ449" t="s">
        <v>111</v>
      </c>
      <c r="AR449" t="s">
        <v>111</v>
      </c>
      <c r="AS449" t="s">
        <v>111</v>
      </c>
      <c r="AT449" t="s">
        <v>111</v>
      </c>
      <c r="AU449" t="s">
        <v>111</v>
      </c>
      <c r="AV449" t="s">
        <v>111</v>
      </c>
      <c r="AW449" t="s">
        <v>111</v>
      </c>
      <c r="AX449" t="s">
        <v>111</v>
      </c>
      <c r="AY449" t="s">
        <v>111</v>
      </c>
      <c r="AZ449" t="s">
        <v>111</v>
      </c>
      <c r="BA449" t="s">
        <v>111</v>
      </c>
      <c r="BB449" t="s">
        <v>111</v>
      </c>
      <c r="BC449" t="s">
        <v>111</v>
      </c>
      <c r="BD449" t="s">
        <v>111</v>
      </c>
      <c r="BE449" t="s">
        <v>111</v>
      </c>
      <c r="BF449" t="s">
        <v>111</v>
      </c>
      <c r="BG449" t="s">
        <v>111</v>
      </c>
      <c r="BH449" t="s">
        <v>111</v>
      </c>
      <c r="BI449" t="s">
        <v>111</v>
      </c>
      <c r="BJ449" t="s">
        <v>111</v>
      </c>
      <c r="BK449" t="s">
        <v>111</v>
      </c>
      <c r="BL449" t="s">
        <v>111</v>
      </c>
      <c r="BM449" t="s">
        <v>111</v>
      </c>
      <c r="BN449" t="s">
        <v>111</v>
      </c>
      <c r="BO449" t="s">
        <v>111</v>
      </c>
      <c r="BP449" t="s">
        <v>111</v>
      </c>
      <c r="BQ449" t="s">
        <v>111</v>
      </c>
      <c r="BR449" t="s">
        <v>111</v>
      </c>
      <c r="BS449" t="s">
        <v>111</v>
      </c>
      <c r="BT449" t="s">
        <v>111</v>
      </c>
      <c r="BU449" t="s">
        <v>111</v>
      </c>
      <c r="BV449" t="s">
        <v>111</v>
      </c>
      <c r="BW449" t="s">
        <v>111</v>
      </c>
      <c r="BX449" t="s">
        <v>111</v>
      </c>
      <c r="BY449" t="s">
        <v>111</v>
      </c>
      <c r="BZ449" t="s">
        <v>111</v>
      </c>
      <c r="CA449" t="s">
        <v>111</v>
      </c>
      <c r="CB449" t="s">
        <v>111</v>
      </c>
      <c r="CC449" t="s">
        <v>111</v>
      </c>
      <c r="CD449" t="s">
        <v>111</v>
      </c>
      <c r="CE449" t="s">
        <v>111</v>
      </c>
      <c r="CF449" t="s">
        <v>111</v>
      </c>
      <c r="CG449" t="s">
        <v>111</v>
      </c>
      <c r="CH449" t="s">
        <v>111</v>
      </c>
      <c r="CI449" t="s">
        <v>111</v>
      </c>
      <c r="CJ449" t="s">
        <v>111</v>
      </c>
      <c r="CK449" t="s">
        <v>111</v>
      </c>
      <c r="CL449" t="e">
        <f>-DESTINO SELLADO</f>
        <v>#NAME?</v>
      </c>
      <c r="CM449" t="s">
        <v>135</v>
      </c>
      <c r="CN449" t="s">
        <v>113</v>
      </c>
      <c r="CO449" t="s">
        <v>111</v>
      </c>
      <c r="CP449" t="s">
        <v>111</v>
      </c>
      <c r="CQ449">
        <v>0</v>
      </c>
      <c r="CR449">
        <v>3000</v>
      </c>
      <c r="CS449">
        <v>100</v>
      </c>
      <c r="CT449" s="1" t="s">
        <v>1661</v>
      </c>
      <c r="CU449">
        <v>0</v>
      </c>
      <c r="CV449" t="s">
        <v>111</v>
      </c>
      <c r="CW449" t="s">
        <v>111</v>
      </c>
      <c r="CX449" t="s">
        <v>111</v>
      </c>
      <c r="CY449">
        <v>0</v>
      </c>
      <c r="CZ449" t="s">
        <v>111</v>
      </c>
      <c r="DA449" t="s">
        <v>111</v>
      </c>
      <c r="DB449" t="s">
        <v>204</v>
      </c>
      <c r="DC449" t="e">
        <f>-PEGADA DE TIRA</f>
        <v>#NAME?</v>
      </c>
    </row>
    <row r="450" spans="1:107">
      <c r="A450">
        <v>1079</v>
      </c>
      <c r="B450" t="s">
        <v>107</v>
      </c>
      <c r="C450" t="s">
        <v>223</v>
      </c>
      <c r="D450" t="s">
        <v>1562</v>
      </c>
      <c r="E450" t="s">
        <v>1662</v>
      </c>
      <c r="F450" t="s">
        <v>287</v>
      </c>
      <c r="G450" t="s">
        <v>469</v>
      </c>
      <c r="H450">
        <v>2.5</v>
      </c>
      <c r="I450">
        <v>35</v>
      </c>
      <c r="J450">
        <v>0</v>
      </c>
      <c r="K450">
        <v>0</v>
      </c>
      <c r="L450" t="s">
        <v>112</v>
      </c>
      <c r="M450" t="s">
        <v>138</v>
      </c>
      <c r="N450">
        <v>0</v>
      </c>
      <c r="O450">
        <v>0</v>
      </c>
      <c r="P450" t="s">
        <v>138</v>
      </c>
      <c r="Q450">
        <v>14</v>
      </c>
      <c r="R450">
        <v>0</v>
      </c>
      <c r="S450">
        <v>0</v>
      </c>
      <c r="T450">
        <v>5</v>
      </c>
      <c r="U450" t="s">
        <v>459</v>
      </c>
      <c r="V450">
        <v>25</v>
      </c>
      <c r="W450">
        <v>0</v>
      </c>
      <c r="X450">
        <v>10</v>
      </c>
      <c r="Y450">
        <v>0</v>
      </c>
      <c r="Z450" t="s">
        <v>288</v>
      </c>
      <c r="AA450">
        <v>1.75</v>
      </c>
      <c r="AB450" t="s">
        <v>111</v>
      </c>
      <c r="AC450">
        <v>0</v>
      </c>
      <c r="AD450" t="s">
        <v>111</v>
      </c>
      <c r="AE450">
        <v>0</v>
      </c>
      <c r="AF450">
        <v>0</v>
      </c>
      <c r="AG450" t="s">
        <v>111</v>
      </c>
      <c r="AH450" t="s">
        <v>111</v>
      </c>
      <c r="AI450" t="s">
        <v>111</v>
      </c>
      <c r="AJ450" t="s">
        <v>111</v>
      </c>
      <c r="AK450" t="s">
        <v>111</v>
      </c>
      <c r="AL450" t="s">
        <v>111</v>
      </c>
      <c r="AM450">
        <v>0</v>
      </c>
      <c r="AN450">
        <v>0</v>
      </c>
      <c r="AO450">
        <v>0</v>
      </c>
      <c r="AP450" t="s">
        <v>111</v>
      </c>
      <c r="AQ450" t="s">
        <v>111</v>
      </c>
      <c r="AR450" t="s">
        <v>111</v>
      </c>
      <c r="AS450" t="s">
        <v>111</v>
      </c>
      <c r="AT450" t="s">
        <v>111</v>
      </c>
      <c r="AU450" t="s">
        <v>111</v>
      </c>
      <c r="AV450" t="s">
        <v>111</v>
      </c>
      <c r="AW450" t="s">
        <v>111</v>
      </c>
      <c r="AX450" t="s">
        <v>111</v>
      </c>
      <c r="AY450" t="s">
        <v>111</v>
      </c>
      <c r="AZ450" t="s">
        <v>111</v>
      </c>
      <c r="BA450" t="s">
        <v>111</v>
      </c>
      <c r="BB450" t="s">
        <v>111</v>
      </c>
      <c r="BC450" t="s">
        <v>111</v>
      </c>
      <c r="BD450" t="s">
        <v>111</v>
      </c>
      <c r="BE450" t="s">
        <v>111</v>
      </c>
      <c r="BF450" t="s">
        <v>111</v>
      </c>
      <c r="BG450" t="s">
        <v>111</v>
      </c>
      <c r="BH450" t="s">
        <v>111</v>
      </c>
      <c r="BI450" t="s">
        <v>111</v>
      </c>
      <c r="BJ450" t="s">
        <v>111</v>
      </c>
      <c r="BK450" t="s">
        <v>111</v>
      </c>
      <c r="BL450" t="s">
        <v>111</v>
      </c>
      <c r="BM450" t="s">
        <v>111</v>
      </c>
      <c r="BN450" t="s">
        <v>111</v>
      </c>
      <c r="BO450" t="s">
        <v>111</v>
      </c>
      <c r="BP450" t="s">
        <v>111</v>
      </c>
      <c r="BQ450" t="s">
        <v>111</v>
      </c>
      <c r="BR450" t="s">
        <v>111</v>
      </c>
      <c r="BS450" t="s">
        <v>111</v>
      </c>
      <c r="BT450" t="s">
        <v>111</v>
      </c>
      <c r="BU450" t="s">
        <v>111</v>
      </c>
      <c r="BV450" t="s">
        <v>111</v>
      </c>
      <c r="BW450" t="s">
        <v>111</v>
      </c>
      <c r="BX450" t="s">
        <v>111</v>
      </c>
      <c r="BY450" t="s">
        <v>111</v>
      </c>
      <c r="BZ450" t="s">
        <v>111</v>
      </c>
      <c r="CA450" t="s">
        <v>111</v>
      </c>
      <c r="CB450" t="s">
        <v>111</v>
      </c>
      <c r="CC450" t="s">
        <v>111</v>
      </c>
      <c r="CD450" t="s">
        <v>111</v>
      </c>
      <c r="CE450" t="s">
        <v>111</v>
      </c>
      <c r="CF450" t="s">
        <v>111</v>
      </c>
      <c r="CG450" t="s">
        <v>111</v>
      </c>
      <c r="CH450" t="s">
        <v>111</v>
      </c>
      <c r="CI450" t="s">
        <v>111</v>
      </c>
      <c r="CJ450" t="s">
        <v>111</v>
      </c>
      <c r="CK450" t="s">
        <v>111</v>
      </c>
      <c r="CL450" t="s">
        <v>111</v>
      </c>
      <c r="CM450" t="s">
        <v>111</v>
      </c>
      <c r="CN450" t="s">
        <v>111</v>
      </c>
      <c r="CO450" t="s">
        <v>111</v>
      </c>
      <c r="CP450" t="s">
        <v>111</v>
      </c>
      <c r="CQ450">
        <v>0</v>
      </c>
      <c r="CR450">
        <v>300</v>
      </c>
      <c r="CS450">
        <v>20</v>
      </c>
      <c r="CT450" t="s">
        <v>111</v>
      </c>
      <c r="CU450">
        <v>0</v>
      </c>
      <c r="CV450" t="s">
        <v>111</v>
      </c>
      <c r="CW450" t="s">
        <v>111</v>
      </c>
      <c r="CX450" t="s">
        <v>111</v>
      </c>
      <c r="CY450">
        <v>0</v>
      </c>
      <c r="CZ450" t="s">
        <v>111</v>
      </c>
      <c r="DA450" t="s">
        <v>111</v>
      </c>
      <c r="DB450" t="e">
        <f>-INTERNO</f>
        <v>#NAME?</v>
      </c>
      <c r="DC450" t="s">
        <v>281</v>
      </c>
    </row>
    <row r="451" spans="1:107">
      <c r="A451">
        <v>991</v>
      </c>
      <c r="B451" t="s">
        <v>107</v>
      </c>
      <c r="C451" t="s">
        <v>1106</v>
      </c>
      <c r="D451" t="s">
        <v>1663</v>
      </c>
      <c r="E451" t="s">
        <v>1664</v>
      </c>
      <c r="F451" t="s">
        <v>157</v>
      </c>
      <c r="G451" t="s">
        <v>469</v>
      </c>
      <c r="H451">
        <v>2</v>
      </c>
      <c r="I451">
        <v>40</v>
      </c>
      <c r="J451">
        <v>0</v>
      </c>
      <c r="K451">
        <v>0</v>
      </c>
      <c r="L451" t="s">
        <v>112</v>
      </c>
      <c r="M451" t="s">
        <v>138</v>
      </c>
      <c r="N451">
        <v>0</v>
      </c>
      <c r="O451">
        <v>0</v>
      </c>
      <c r="P451" t="s">
        <v>138</v>
      </c>
      <c r="Q451">
        <v>60</v>
      </c>
      <c r="R451">
        <v>0</v>
      </c>
      <c r="S451">
        <v>0</v>
      </c>
      <c r="T451">
        <v>0</v>
      </c>
      <c r="U451" s="1" t="s">
        <v>1665</v>
      </c>
      <c r="V451">
        <v>0</v>
      </c>
      <c r="W451">
        <v>25</v>
      </c>
      <c r="X451">
        <v>5</v>
      </c>
      <c r="Y451">
        <v>0</v>
      </c>
      <c r="Z451" t="s">
        <v>111</v>
      </c>
      <c r="AA451">
        <v>0</v>
      </c>
      <c r="AB451" t="s">
        <v>111</v>
      </c>
      <c r="AC451">
        <v>0</v>
      </c>
      <c r="AD451" t="s">
        <v>111</v>
      </c>
      <c r="AE451">
        <v>0</v>
      </c>
      <c r="AF451">
        <v>0</v>
      </c>
      <c r="AG451" t="s">
        <v>111</v>
      </c>
      <c r="AH451" t="s">
        <v>111</v>
      </c>
      <c r="AI451" t="s">
        <v>111</v>
      </c>
      <c r="AJ451" t="s">
        <v>111</v>
      </c>
      <c r="AK451" t="s">
        <v>111</v>
      </c>
      <c r="AL451" t="s">
        <v>111</v>
      </c>
      <c r="AM451">
        <v>0</v>
      </c>
      <c r="AN451">
        <v>0</v>
      </c>
      <c r="AO451">
        <v>0</v>
      </c>
      <c r="AP451" t="s">
        <v>111</v>
      </c>
      <c r="AQ451" t="s">
        <v>111</v>
      </c>
      <c r="AR451" t="s">
        <v>111</v>
      </c>
      <c r="AS451" t="s">
        <v>111</v>
      </c>
      <c r="AT451" t="s">
        <v>111</v>
      </c>
      <c r="AU451" t="s">
        <v>111</v>
      </c>
      <c r="AV451" t="s">
        <v>111</v>
      </c>
      <c r="AW451" t="s">
        <v>111</v>
      </c>
      <c r="AX451" t="s">
        <v>111</v>
      </c>
      <c r="AY451" t="s">
        <v>111</v>
      </c>
      <c r="AZ451" t="s">
        <v>111</v>
      </c>
      <c r="BA451" t="s">
        <v>111</v>
      </c>
      <c r="BB451" t="s">
        <v>111</v>
      </c>
      <c r="BC451" t="s">
        <v>111</v>
      </c>
      <c r="BD451" t="s">
        <v>111</v>
      </c>
      <c r="BE451" t="s">
        <v>111</v>
      </c>
      <c r="BF451" t="s">
        <v>111</v>
      </c>
      <c r="BG451" t="s">
        <v>111</v>
      </c>
      <c r="BH451" t="s">
        <v>111</v>
      </c>
      <c r="BI451" t="s">
        <v>111</v>
      </c>
      <c r="BJ451" t="s">
        <v>111</v>
      </c>
      <c r="BK451" t="s">
        <v>111</v>
      </c>
      <c r="BL451" t="s">
        <v>111</v>
      </c>
      <c r="BM451" t="s">
        <v>111</v>
      </c>
      <c r="BN451" t="s">
        <v>111</v>
      </c>
      <c r="BO451" t="s">
        <v>111</v>
      </c>
      <c r="BP451" t="s">
        <v>111</v>
      </c>
      <c r="BQ451" t="s">
        <v>111</v>
      </c>
      <c r="BR451" t="s">
        <v>111</v>
      </c>
      <c r="BS451" t="s">
        <v>111</v>
      </c>
      <c r="BT451" t="s">
        <v>111</v>
      </c>
      <c r="BU451" t="s">
        <v>111</v>
      </c>
      <c r="BV451" t="s">
        <v>111</v>
      </c>
      <c r="BW451" t="s">
        <v>111</v>
      </c>
      <c r="BX451" t="s">
        <v>111</v>
      </c>
      <c r="BY451" t="s">
        <v>111</v>
      </c>
      <c r="BZ451" t="s">
        <v>111</v>
      </c>
      <c r="CA451" t="s">
        <v>111</v>
      </c>
      <c r="CB451" t="s">
        <v>111</v>
      </c>
      <c r="CC451" t="s">
        <v>111</v>
      </c>
      <c r="CD451" t="s">
        <v>111</v>
      </c>
      <c r="CE451" t="s">
        <v>111</v>
      </c>
      <c r="CF451" t="s">
        <v>111</v>
      </c>
      <c r="CG451" t="s">
        <v>111</v>
      </c>
      <c r="CH451" t="s">
        <v>111</v>
      </c>
      <c r="CI451" t="s">
        <v>111</v>
      </c>
      <c r="CJ451" t="s">
        <v>111</v>
      </c>
      <c r="CK451" t="s">
        <v>111</v>
      </c>
      <c r="CL451" t="s">
        <v>111</v>
      </c>
      <c r="CM451" t="s">
        <v>111</v>
      </c>
      <c r="CN451" t="s">
        <v>111</v>
      </c>
      <c r="CO451" t="s">
        <v>111</v>
      </c>
      <c r="CP451" t="s">
        <v>111</v>
      </c>
      <c r="CQ451">
        <v>0</v>
      </c>
      <c r="CR451">
        <v>0</v>
      </c>
      <c r="CS451">
        <v>0</v>
      </c>
      <c r="CT451" t="s">
        <v>111</v>
      </c>
      <c r="CU451">
        <v>0</v>
      </c>
      <c r="CV451" t="s">
        <v>111</v>
      </c>
      <c r="CW451" t="s">
        <v>111</v>
      </c>
      <c r="CX451" t="s">
        <v>111</v>
      </c>
      <c r="CY451">
        <v>0</v>
      </c>
      <c r="CZ451" t="s">
        <v>111</v>
      </c>
      <c r="DA451" t="s">
        <v>111</v>
      </c>
      <c r="DB451" t="s">
        <v>111</v>
      </c>
      <c r="DC451" t="s">
        <v>111</v>
      </c>
    </row>
    <row r="452" spans="1:107">
      <c r="A452">
        <v>990</v>
      </c>
      <c r="B452" t="s">
        <v>107</v>
      </c>
      <c r="C452" t="s">
        <v>1176</v>
      </c>
      <c r="D452" t="s">
        <v>1666</v>
      </c>
      <c r="E452" t="s">
        <v>1667</v>
      </c>
      <c r="F452" t="s">
        <v>431</v>
      </c>
      <c r="G452" t="s">
        <v>469</v>
      </c>
      <c r="H452">
        <v>1.5</v>
      </c>
      <c r="I452">
        <v>75</v>
      </c>
      <c r="J452">
        <v>0</v>
      </c>
      <c r="K452">
        <v>0</v>
      </c>
      <c r="L452" t="s">
        <v>112</v>
      </c>
      <c r="M452" t="s">
        <v>118</v>
      </c>
      <c r="N452">
        <v>39</v>
      </c>
      <c r="O452">
        <v>1</v>
      </c>
      <c r="P452" t="s">
        <v>138</v>
      </c>
      <c r="Q452">
        <v>45</v>
      </c>
      <c r="R452">
        <v>0</v>
      </c>
      <c r="S452">
        <v>0</v>
      </c>
      <c r="T452">
        <v>3</v>
      </c>
      <c r="U452" s="1" t="s">
        <v>525</v>
      </c>
      <c r="V452">
        <v>0</v>
      </c>
      <c r="W452">
        <v>25</v>
      </c>
      <c r="X452">
        <v>6</v>
      </c>
      <c r="Y452">
        <v>0</v>
      </c>
      <c r="Z452" t="s">
        <v>111</v>
      </c>
      <c r="AA452">
        <v>0</v>
      </c>
      <c r="AB452" t="s">
        <v>111</v>
      </c>
      <c r="AC452">
        <v>0</v>
      </c>
      <c r="AD452" t="s">
        <v>416</v>
      </c>
      <c r="AE452">
        <v>0</v>
      </c>
      <c r="AF452">
        <v>0</v>
      </c>
      <c r="AG452" t="s">
        <v>111</v>
      </c>
      <c r="AH452" t="s">
        <v>111</v>
      </c>
      <c r="AI452" t="s">
        <v>111</v>
      </c>
      <c r="AJ452" t="s">
        <v>111</v>
      </c>
      <c r="AK452" t="s">
        <v>111</v>
      </c>
      <c r="AL452" t="s">
        <v>111</v>
      </c>
      <c r="AM452">
        <v>0</v>
      </c>
      <c r="AN452">
        <v>0</v>
      </c>
      <c r="AO452">
        <v>0</v>
      </c>
      <c r="AP452" t="s">
        <v>111</v>
      </c>
      <c r="AQ452" t="s">
        <v>111</v>
      </c>
      <c r="AR452" t="s">
        <v>111</v>
      </c>
      <c r="AS452" t="s">
        <v>111</v>
      </c>
      <c r="AT452" t="s">
        <v>111</v>
      </c>
      <c r="AU452" t="s">
        <v>111</v>
      </c>
      <c r="AV452" t="s">
        <v>111</v>
      </c>
      <c r="AW452" t="s">
        <v>111</v>
      </c>
      <c r="AX452" t="s">
        <v>111</v>
      </c>
      <c r="AY452" t="s">
        <v>111</v>
      </c>
      <c r="AZ452" t="s">
        <v>111</v>
      </c>
      <c r="BA452" t="s">
        <v>111</v>
      </c>
      <c r="BB452" t="s">
        <v>111</v>
      </c>
      <c r="BC452" t="s">
        <v>111</v>
      </c>
      <c r="BD452" t="s">
        <v>111</v>
      </c>
      <c r="BE452" t="s">
        <v>111</v>
      </c>
      <c r="BF452" t="s">
        <v>111</v>
      </c>
      <c r="BG452" t="s">
        <v>111</v>
      </c>
      <c r="BH452" t="s">
        <v>111</v>
      </c>
      <c r="BI452" t="s">
        <v>111</v>
      </c>
      <c r="BJ452" t="s">
        <v>111</v>
      </c>
      <c r="BK452" t="s">
        <v>111</v>
      </c>
      <c r="BL452" t="s">
        <v>111</v>
      </c>
      <c r="BM452" t="s">
        <v>111</v>
      </c>
      <c r="BN452" t="s">
        <v>111</v>
      </c>
      <c r="BO452" t="s">
        <v>111</v>
      </c>
      <c r="BP452" t="s">
        <v>111</v>
      </c>
      <c r="BQ452" t="s">
        <v>111</v>
      </c>
      <c r="BR452" t="s">
        <v>111</v>
      </c>
      <c r="BS452" t="s">
        <v>111</v>
      </c>
      <c r="BT452" t="s">
        <v>111</v>
      </c>
      <c r="BU452" t="s">
        <v>111</v>
      </c>
      <c r="BV452" t="s">
        <v>111</v>
      </c>
      <c r="BW452" t="s">
        <v>111</v>
      </c>
      <c r="BX452" t="s">
        <v>111</v>
      </c>
      <c r="BY452" t="s">
        <v>111</v>
      </c>
      <c r="BZ452" t="s">
        <v>111</v>
      </c>
      <c r="CA452" t="s">
        <v>111</v>
      </c>
      <c r="CB452" t="s">
        <v>111</v>
      </c>
      <c r="CC452" t="s">
        <v>111</v>
      </c>
      <c r="CD452" t="s">
        <v>111</v>
      </c>
      <c r="CE452" t="s">
        <v>111</v>
      </c>
      <c r="CF452" t="s">
        <v>111</v>
      </c>
      <c r="CG452" t="s">
        <v>111</v>
      </c>
      <c r="CH452" t="s">
        <v>111</v>
      </c>
      <c r="CI452" t="s">
        <v>111</v>
      </c>
      <c r="CJ452" t="s">
        <v>111</v>
      </c>
      <c r="CK452" t="s">
        <v>111</v>
      </c>
      <c r="CL452" t="e">
        <f>-DESTINO SELLADO</f>
        <v>#NAME?</v>
      </c>
      <c r="CM452" t="s">
        <v>135</v>
      </c>
      <c r="CN452" t="s">
        <v>113</v>
      </c>
      <c r="CO452" t="s">
        <v>111</v>
      </c>
      <c r="CP452" t="s">
        <v>563</v>
      </c>
      <c r="CQ452">
        <v>45</v>
      </c>
      <c r="CR452">
        <v>1000</v>
      </c>
      <c r="CS452">
        <v>100</v>
      </c>
      <c r="CT452" s="1" t="s">
        <v>1668</v>
      </c>
      <c r="CU452">
        <v>0</v>
      </c>
      <c r="CV452" t="s">
        <v>111</v>
      </c>
      <c r="CW452" t="s">
        <v>111</v>
      </c>
      <c r="CX452" t="s">
        <v>111</v>
      </c>
      <c r="CY452">
        <v>0</v>
      </c>
      <c r="CZ452" t="s">
        <v>111</v>
      </c>
      <c r="DA452" t="s">
        <v>111</v>
      </c>
      <c r="DB452" t="s">
        <v>111</v>
      </c>
      <c r="DC452" t="s">
        <v>111</v>
      </c>
    </row>
    <row r="453" spans="1:107">
      <c r="A453">
        <v>985</v>
      </c>
      <c r="B453" t="s">
        <v>107</v>
      </c>
      <c r="C453" t="s">
        <v>405</v>
      </c>
      <c r="D453" t="s">
        <v>1669</v>
      </c>
      <c r="E453" t="s">
        <v>1670</v>
      </c>
      <c r="F453" t="s">
        <v>157</v>
      </c>
      <c r="G453" t="s">
        <v>469</v>
      </c>
      <c r="H453">
        <v>0.85</v>
      </c>
      <c r="I453">
        <v>60</v>
      </c>
      <c r="J453">
        <v>0</v>
      </c>
      <c r="K453">
        <v>0</v>
      </c>
      <c r="L453" t="s">
        <v>112</v>
      </c>
      <c r="M453" t="s">
        <v>138</v>
      </c>
      <c r="N453">
        <v>0</v>
      </c>
      <c r="O453">
        <v>0</v>
      </c>
      <c r="P453" t="s">
        <v>138</v>
      </c>
      <c r="Q453">
        <v>43</v>
      </c>
      <c r="R453">
        <v>0</v>
      </c>
      <c r="S453">
        <v>0</v>
      </c>
      <c r="T453">
        <v>0</v>
      </c>
      <c r="U453" s="1" t="s">
        <v>1671</v>
      </c>
      <c r="V453">
        <v>0</v>
      </c>
      <c r="W453">
        <v>25</v>
      </c>
      <c r="X453">
        <v>5</v>
      </c>
      <c r="Y453">
        <v>0</v>
      </c>
      <c r="Z453" t="s">
        <v>111</v>
      </c>
      <c r="AA453">
        <v>0</v>
      </c>
      <c r="AB453" t="s">
        <v>111</v>
      </c>
      <c r="AC453">
        <v>0</v>
      </c>
      <c r="AD453" t="s">
        <v>111</v>
      </c>
      <c r="AE453">
        <v>0</v>
      </c>
      <c r="AF453">
        <v>0</v>
      </c>
      <c r="AG453" t="s">
        <v>111</v>
      </c>
      <c r="AH453" t="s">
        <v>111</v>
      </c>
      <c r="AI453" t="s">
        <v>111</v>
      </c>
      <c r="AJ453" t="s">
        <v>111</v>
      </c>
      <c r="AK453" t="s">
        <v>111</v>
      </c>
      <c r="AL453" t="s">
        <v>111</v>
      </c>
      <c r="AM453">
        <v>0</v>
      </c>
      <c r="AN453">
        <v>0</v>
      </c>
      <c r="AO453">
        <v>0</v>
      </c>
      <c r="AP453" t="s">
        <v>111</v>
      </c>
      <c r="AQ453" t="s">
        <v>111</v>
      </c>
      <c r="AR453" t="s">
        <v>111</v>
      </c>
      <c r="AS453" t="s">
        <v>111</v>
      </c>
      <c r="AT453" t="s">
        <v>111</v>
      </c>
      <c r="AU453" t="s">
        <v>111</v>
      </c>
      <c r="AV453" t="s">
        <v>111</v>
      </c>
      <c r="AW453" t="s">
        <v>111</v>
      </c>
      <c r="AX453" t="s">
        <v>111</v>
      </c>
      <c r="AY453" t="s">
        <v>111</v>
      </c>
      <c r="AZ453" t="s">
        <v>111</v>
      </c>
      <c r="BA453" t="s">
        <v>111</v>
      </c>
      <c r="BB453" t="s">
        <v>111</v>
      </c>
      <c r="BC453" t="s">
        <v>111</v>
      </c>
      <c r="BD453" t="s">
        <v>111</v>
      </c>
      <c r="BE453" t="s">
        <v>111</v>
      </c>
      <c r="BF453" t="s">
        <v>111</v>
      </c>
      <c r="BG453" t="s">
        <v>111</v>
      </c>
      <c r="BH453" t="s">
        <v>111</v>
      </c>
      <c r="BI453" t="s">
        <v>111</v>
      </c>
      <c r="BJ453" t="s">
        <v>111</v>
      </c>
      <c r="BK453" t="s">
        <v>111</v>
      </c>
      <c r="BL453" t="s">
        <v>111</v>
      </c>
      <c r="BM453" t="s">
        <v>111</v>
      </c>
      <c r="BN453" t="s">
        <v>111</v>
      </c>
      <c r="BO453" t="s">
        <v>111</v>
      </c>
      <c r="BP453" t="s">
        <v>111</v>
      </c>
      <c r="BQ453" t="s">
        <v>111</v>
      </c>
      <c r="BR453" t="s">
        <v>111</v>
      </c>
      <c r="BS453" t="s">
        <v>111</v>
      </c>
      <c r="BT453" t="s">
        <v>111</v>
      </c>
      <c r="BU453" t="s">
        <v>111</v>
      </c>
      <c r="BV453" t="s">
        <v>111</v>
      </c>
      <c r="BW453" t="s">
        <v>111</v>
      </c>
      <c r="BX453" t="s">
        <v>111</v>
      </c>
      <c r="BY453" t="s">
        <v>111</v>
      </c>
      <c r="BZ453" t="s">
        <v>111</v>
      </c>
      <c r="CA453" t="s">
        <v>111</v>
      </c>
      <c r="CB453" t="s">
        <v>111</v>
      </c>
      <c r="CC453" t="s">
        <v>111</v>
      </c>
      <c r="CD453" t="s">
        <v>111</v>
      </c>
      <c r="CE453" t="s">
        <v>111</v>
      </c>
      <c r="CF453" t="s">
        <v>111</v>
      </c>
      <c r="CG453" t="s">
        <v>111</v>
      </c>
      <c r="CH453" t="s">
        <v>111</v>
      </c>
      <c r="CI453" t="s">
        <v>111</v>
      </c>
      <c r="CJ453" t="s">
        <v>111</v>
      </c>
      <c r="CK453" t="s">
        <v>111</v>
      </c>
      <c r="CL453" t="s">
        <v>111</v>
      </c>
      <c r="CM453" t="s">
        <v>111</v>
      </c>
      <c r="CN453" t="s">
        <v>111</v>
      </c>
      <c r="CO453" t="s">
        <v>111</v>
      </c>
      <c r="CP453" t="s">
        <v>111</v>
      </c>
      <c r="CQ453">
        <v>0</v>
      </c>
      <c r="CR453">
        <v>0</v>
      </c>
      <c r="CS453">
        <v>0</v>
      </c>
      <c r="CT453" t="s">
        <v>111</v>
      </c>
      <c r="CU453">
        <v>0</v>
      </c>
      <c r="CV453" t="s">
        <v>111</v>
      </c>
      <c r="CW453" t="s">
        <v>111</v>
      </c>
      <c r="CX453" t="s">
        <v>111</v>
      </c>
      <c r="CY453">
        <v>0</v>
      </c>
      <c r="CZ453" t="s">
        <v>111</v>
      </c>
      <c r="DA453" t="s">
        <v>111</v>
      </c>
      <c r="DB453" t="s">
        <v>111</v>
      </c>
      <c r="DC453" t="s">
        <v>111</v>
      </c>
    </row>
    <row r="454" spans="1:107">
      <c r="A454">
        <v>984</v>
      </c>
      <c r="B454" t="s">
        <v>107</v>
      </c>
      <c r="C454" t="s">
        <v>405</v>
      </c>
      <c r="D454" t="s">
        <v>1672</v>
      </c>
      <c r="E454" t="s">
        <v>1673</v>
      </c>
      <c r="F454" t="s">
        <v>157</v>
      </c>
      <c r="G454" t="s">
        <v>469</v>
      </c>
      <c r="H454">
        <v>1</v>
      </c>
      <c r="I454">
        <v>58</v>
      </c>
      <c r="J454">
        <v>0</v>
      </c>
      <c r="K454">
        <v>0</v>
      </c>
      <c r="L454" t="s">
        <v>112</v>
      </c>
      <c r="M454" t="s">
        <v>118</v>
      </c>
      <c r="N454">
        <v>39</v>
      </c>
      <c r="O454">
        <v>1</v>
      </c>
      <c r="P454" t="s">
        <v>138</v>
      </c>
      <c r="Q454">
        <v>58.8</v>
      </c>
      <c r="R454">
        <v>0</v>
      </c>
      <c r="S454">
        <v>0</v>
      </c>
      <c r="T454">
        <v>0</v>
      </c>
      <c r="U454" s="1" t="s">
        <v>1674</v>
      </c>
      <c r="V454">
        <v>0</v>
      </c>
      <c r="W454">
        <v>25</v>
      </c>
      <c r="X454">
        <v>5</v>
      </c>
      <c r="Y454">
        <v>0</v>
      </c>
      <c r="Z454" t="s">
        <v>111</v>
      </c>
      <c r="AA454">
        <v>0</v>
      </c>
      <c r="AB454" t="s">
        <v>111</v>
      </c>
      <c r="AC454">
        <v>0</v>
      </c>
      <c r="AD454" t="s">
        <v>111</v>
      </c>
      <c r="AE454">
        <v>0</v>
      </c>
      <c r="AF454">
        <v>0</v>
      </c>
      <c r="AG454" t="s">
        <v>111</v>
      </c>
      <c r="AH454" t="s">
        <v>111</v>
      </c>
      <c r="AI454" t="s">
        <v>111</v>
      </c>
      <c r="AJ454" t="s">
        <v>111</v>
      </c>
      <c r="AK454" t="s">
        <v>111</v>
      </c>
      <c r="AL454" t="s">
        <v>111</v>
      </c>
      <c r="AM454">
        <v>0</v>
      </c>
      <c r="AN454">
        <v>0</v>
      </c>
      <c r="AO454">
        <v>0</v>
      </c>
      <c r="AP454" t="s">
        <v>111</v>
      </c>
      <c r="AQ454" t="s">
        <v>111</v>
      </c>
      <c r="AR454" t="s">
        <v>111</v>
      </c>
      <c r="AS454" t="s">
        <v>111</v>
      </c>
      <c r="AT454" t="s">
        <v>111</v>
      </c>
      <c r="AU454" t="s">
        <v>111</v>
      </c>
      <c r="AV454" t="s">
        <v>111</v>
      </c>
      <c r="AW454" t="s">
        <v>111</v>
      </c>
      <c r="AX454" t="s">
        <v>111</v>
      </c>
      <c r="AY454" t="s">
        <v>111</v>
      </c>
      <c r="AZ454" t="s">
        <v>111</v>
      </c>
      <c r="BA454" t="s">
        <v>111</v>
      </c>
      <c r="BB454" t="s">
        <v>111</v>
      </c>
      <c r="BC454" t="s">
        <v>111</v>
      </c>
      <c r="BD454" t="s">
        <v>111</v>
      </c>
      <c r="BE454" t="s">
        <v>111</v>
      </c>
      <c r="BF454" t="s">
        <v>111</v>
      </c>
      <c r="BG454" t="s">
        <v>111</v>
      </c>
      <c r="BH454" t="s">
        <v>111</v>
      </c>
      <c r="BI454" t="s">
        <v>111</v>
      </c>
      <c r="BJ454" t="s">
        <v>111</v>
      </c>
      <c r="BK454" t="s">
        <v>111</v>
      </c>
      <c r="BL454" t="s">
        <v>111</v>
      </c>
      <c r="BM454" t="s">
        <v>111</v>
      </c>
      <c r="BN454" t="s">
        <v>111</v>
      </c>
      <c r="BO454" t="s">
        <v>111</v>
      </c>
      <c r="BP454" t="s">
        <v>111</v>
      </c>
      <c r="BQ454" t="s">
        <v>111</v>
      </c>
      <c r="BR454" t="s">
        <v>111</v>
      </c>
      <c r="BS454" t="s">
        <v>111</v>
      </c>
      <c r="BT454" t="s">
        <v>111</v>
      </c>
      <c r="BU454" t="s">
        <v>111</v>
      </c>
      <c r="BV454" t="s">
        <v>111</v>
      </c>
      <c r="BW454" t="s">
        <v>111</v>
      </c>
      <c r="BX454" t="s">
        <v>111</v>
      </c>
      <c r="BY454" t="s">
        <v>111</v>
      </c>
      <c r="BZ454" t="s">
        <v>111</v>
      </c>
      <c r="CA454" t="s">
        <v>111</v>
      </c>
      <c r="CB454" t="s">
        <v>111</v>
      </c>
      <c r="CC454" t="s">
        <v>111</v>
      </c>
      <c r="CD454" t="s">
        <v>111</v>
      </c>
      <c r="CE454" t="s">
        <v>111</v>
      </c>
      <c r="CF454" t="s">
        <v>111</v>
      </c>
      <c r="CG454" t="s">
        <v>111</v>
      </c>
      <c r="CH454" t="s">
        <v>111</v>
      </c>
      <c r="CI454" t="s">
        <v>111</v>
      </c>
      <c r="CJ454" t="s">
        <v>111</v>
      </c>
      <c r="CK454" t="s">
        <v>111</v>
      </c>
      <c r="CL454" t="s">
        <v>111</v>
      </c>
      <c r="CM454" t="s">
        <v>111</v>
      </c>
      <c r="CN454" t="s">
        <v>111</v>
      </c>
      <c r="CO454" t="s">
        <v>111</v>
      </c>
      <c r="CP454" t="s">
        <v>111</v>
      </c>
      <c r="CQ454">
        <v>0</v>
      </c>
      <c r="CR454">
        <v>0</v>
      </c>
      <c r="CS454">
        <v>0</v>
      </c>
      <c r="CT454" t="s">
        <v>111</v>
      </c>
      <c r="CU454">
        <v>0</v>
      </c>
      <c r="CV454" t="s">
        <v>111</v>
      </c>
      <c r="CW454" t="s">
        <v>111</v>
      </c>
      <c r="CX454" t="s">
        <v>111</v>
      </c>
      <c r="CY454">
        <v>0</v>
      </c>
      <c r="CZ454" t="s">
        <v>111</v>
      </c>
      <c r="DA454" t="s">
        <v>111</v>
      </c>
      <c r="DB454" t="s">
        <v>111</v>
      </c>
      <c r="DC454" t="s">
        <v>111</v>
      </c>
    </row>
    <row r="455" spans="1:107">
      <c r="A455">
        <v>983</v>
      </c>
      <c r="B455" t="s">
        <v>107</v>
      </c>
      <c r="C455" t="s">
        <v>405</v>
      </c>
      <c r="D455" t="s">
        <v>1675</v>
      </c>
      <c r="E455" t="s">
        <v>1676</v>
      </c>
      <c r="F455" t="s">
        <v>157</v>
      </c>
      <c r="G455" t="s">
        <v>469</v>
      </c>
      <c r="H455">
        <v>0.85</v>
      </c>
      <c r="I455">
        <v>58</v>
      </c>
      <c r="J455">
        <v>0</v>
      </c>
      <c r="K455">
        <v>0</v>
      </c>
      <c r="L455" t="s">
        <v>112</v>
      </c>
      <c r="M455" t="s">
        <v>118</v>
      </c>
      <c r="N455">
        <v>39</v>
      </c>
      <c r="O455">
        <v>1</v>
      </c>
      <c r="P455" t="s">
        <v>138</v>
      </c>
      <c r="Q455">
        <v>58.8</v>
      </c>
      <c r="R455">
        <v>0</v>
      </c>
      <c r="S455">
        <v>0</v>
      </c>
      <c r="T455">
        <v>0</v>
      </c>
      <c r="U455" s="1" t="s">
        <v>1677</v>
      </c>
      <c r="V455">
        <v>0</v>
      </c>
      <c r="W455">
        <v>25</v>
      </c>
      <c r="X455">
        <v>5</v>
      </c>
      <c r="Y455">
        <v>0</v>
      </c>
      <c r="Z455" t="s">
        <v>111</v>
      </c>
      <c r="AA455">
        <v>0</v>
      </c>
      <c r="AB455" t="s">
        <v>111</v>
      </c>
      <c r="AC455">
        <v>0</v>
      </c>
      <c r="AD455" t="s">
        <v>111</v>
      </c>
      <c r="AE455">
        <v>0</v>
      </c>
      <c r="AF455">
        <v>0</v>
      </c>
      <c r="AG455" t="s">
        <v>111</v>
      </c>
      <c r="AH455" t="s">
        <v>111</v>
      </c>
      <c r="AI455" t="s">
        <v>111</v>
      </c>
      <c r="AJ455" t="s">
        <v>111</v>
      </c>
      <c r="AK455" t="s">
        <v>111</v>
      </c>
      <c r="AL455" t="s">
        <v>111</v>
      </c>
      <c r="AM455">
        <v>0</v>
      </c>
      <c r="AN455">
        <v>0</v>
      </c>
      <c r="AO455">
        <v>0</v>
      </c>
      <c r="AP455" t="s">
        <v>111</v>
      </c>
      <c r="AQ455" t="s">
        <v>111</v>
      </c>
      <c r="AR455" t="s">
        <v>111</v>
      </c>
      <c r="AS455" t="s">
        <v>111</v>
      </c>
      <c r="AT455" t="s">
        <v>111</v>
      </c>
      <c r="AU455" t="s">
        <v>111</v>
      </c>
      <c r="AV455" t="s">
        <v>111</v>
      </c>
      <c r="AW455" t="s">
        <v>111</v>
      </c>
      <c r="AX455" t="s">
        <v>111</v>
      </c>
      <c r="AY455" t="s">
        <v>111</v>
      </c>
      <c r="AZ455" t="s">
        <v>111</v>
      </c>
      <c r="BA455" t="s">
        <v>111</v>
      </c>
      <c r="BB455" t="s">
        <v>111</v>
      </c>
      <c r="BC455" t="s">
        <v>111</v>
      </c>
      <c r="BD455" t="s">
        <v>111</v>
      </c>
      <c r="BE455" t="s">
        <v>111</v>
      </c>
      <c r="BF455" t="s">
        <v>111</v>
      </c>
      <c r="BG455" t="s">
        <v>111</v>
      </c>
      <c r="BH455" t="s">
        <v>111</v>
      </c>
      <c r="BI455" t="s">
        <v>111</v>
      </c>
      <c r="BJ455" t="s">
        <v>111</v>
      </c>
      <c r="BK455" t="s">
        <v>111</v>
      </c>
      <c r="BL455" t="s">
        <v>111</v>
      </c>
      <c r="BM455" t="s">
        <v>111</v>
      </c>
      <c r="BN455" t="s">
        <v>111</v>
      </c>
      <c r="BO455" t="s">
        <v>111</v>
      </c>
      <c r="BP455" t="s">
        <v>111</v>
      </c>
      <c r="BQ455" t="s">
        <v>111</v>
      </c>
      <c r="BR455" t="s">
        <v>111</v>
      </c>
      <c r="BS455" t="s">
        <v>111</v>
      </c>
      <c r="BT455" t="s">
        <v>111</v>
      </c>
      <c r="BU455" t="s">
        <v>111</v>
      </c>
      <c r="BV455" t="s">
        <v>111</v>
      </c>
      <c r="BW455" t="s">
        <v>111</v>
      </c>
      <c r="BX455" t="s">
        <v>111</v>
      </c>
      <c r="BY455" t="s">
        <v>111</v>
      </c>
      <c r="BZ455" t="s">
        <v>111</v>
      </c>
      <c r="CA455" t="s">
        <v>111</v>
      </c>
      <c r="CB455" t="s">
        <v>111</v>
      </c>
      <c r="CC455" t="s">
        <v>111</v>
      </c>
      <c r="CD455" t="s">
        <v>111</v>
      </c>
      <c r="CE455" t="s">
        <v>111</v>
      </c>
      <c r="CF455" t="s">
        <v>111</v>
      </c>
      <c r="CG455" t="s">
        <v>111</v>
      </c>
      <c r="CH455" t="s">
        <v>111</v>
      </c>
      <c r="CI455" t="s">
        <v>111</v>
      </c>
      <c r="CJ455" t="s">
        <v>111</v>
      </c>
      <c r="CK455" t="s">
        <v>111</v>
      </c>
      <c r="CL455" t="s">
        <v>111</v>
      </c>
      <c r="CM455" t="s">
        <v>111</v>
      </c>
      <c r="CN455" t="s">
        <v>111</v>
      </c>
      <c r="CO455" t="s">
        <v>111</v>
      </c>
      <c r="CP455" t="s">
        <v>111</v>
      </c>
      <c r="CQ455">
        <v>0</v>
      </c>
      <c r="CR455">
        <v>0</v>
      </c>
      <c r="CS455">
        <v>0</v>
      </c>
      <c r="CT455" t="s">
        <v>111</v>
      </c>
      <c r="CU455">
        <v>0</v>
      </c>
      <c r="CV455" t="s">
        <v>111</v>
      </c>
      <c r="CW455" t="s">
        <v>111</v>
      </c>
      <c r="CX455" t="s">
        <v>111</v>
      </c>
      <c r="CY455">
        <v>0</v>
      </c>
      <c r="CZ455" t="s">
        <v>111</v>
      </c>
      <c r="DA455" t="s">
        <v>111</v>
      </c>
      <c r="DB455" t="s">
        <v>111</v>
      </c>
      <c r="DC455" t="s">
        <v>111</v>
      </c>
    </row>
    <row r="456" spans="1:107">
      <c r="A456">
        <v>973</v>
      </c>
      <c r="B456" t="s">
        <v>107</v>
      </c>
      <c r="C456" t="s">
        <v>1176</v>
      </c>
      <c r="D456" t="s">
        <v>1678</v>
      </c>
      <c r="E456" t="s">
        <v>1679</v>
      </c>
      <c r="F456" t="s">
        <v>431</v>
      </c>
      <c r="G456" t="s">
        <v>469</v>
      </c>
      <c r="H456">
        <v>2</v>
      </c>
      <c r="I456">
        <v>71</v>
      </c>
      <c r="J456">
        <v>0</v>
      </c>
      <c r="K456">
        <v>0</v>
      </c>
      <c r="L456" t="s">
        <v>112</v>
      </c>
      <c r="M456" t="s">
        <v>118</v>
      </c>
      <c r="N456">
        <v>39</v>
      </c>
      <c r="O456">
        <v>1</v>
      </c>
      <c r="P456" t="s">
        <v>111</v>
      </c>
      <c r="Q456">
        <v>47.5</v>
      </c>
      <c r="R456">
        <v>0</v>
      </c>
      <c r="S456">
        <v>0</v>
      </c>
      <c r="T456">
        <v>0</v>
      </c>
      <c r="U456" t="s">
        <v>501</v>
      </c>
      <c r="V456">
        <v>0</v>
      </c>
      <c r="W456">
        <v>25</v>
      </c>
      <c r="X456">
        <v>8</v>
      </c>
      <c r="Y456">
        <v>0</v>
      </c>
      <c r="Z456" t="s">
        <v>111</v>
      </c>
      <c r="AA456">
        <v>0</v>
      </c>
      <c r="AB456" t="s">
        <v>111</v>
      </c>
      <c r="AC456">
        <v>0</v>
      </c>
      <c r="AD456" t="s">
        <v>416</v>
      </c>
      <c r="AE456">
        <v>3</v>
      </c>
      <c r="AF456">
        <v>1</v>
      </c>
      <c r="AG456" t="s">
        <v>1680</v>
      </c>
      <c r="AH456" t="s">
        <v>113</v>
      </c>
      <c r="AI456" t="s">
        <v>1680</v>
      </c>
      <c r="AJ456" t="s">
        <v>111</v>
      </c>
      <c r="AK456" t="s">
        <v>111</v>
      </c>
      <c r="AL456" t="s">
        <v>111</v>
      </c>
      <c r="AM456">
        <v>0</v>
      </c>
      <c r="AN456">
        <v>0</v>
      </c>
      <c r="AO456">
        <v>0</v>
      </c>
      <c r="AP456" t="s">
        <v>288</v>
      </c>
      <c r="AQ456" t="s">
        <v>111</v>
      </c>
      <c r="AR456" t="s">
        <v>111</v>
      </c>
      <c r="AS456" t="s">
        <v>111</v>
      </c>
      <c r="AT456" t="s">
        <v>188</v>
      </c>
      <c r="AU456" t="s">
        <v>111</v>
      </c>
      <c r="AV456" t="s">
        <v>111</v>
      </c>
      <c r="AW456" t="s">
        <v>111</v>
      </c>
      <c r="AX456" t="s">
        <v>188</v>
      </c>
      <c r="AY456" t="s">
        <v>111</v>
      </c>
      <c r="AZ456" t="s">
        <v>111</v>
      </c>
      <c r="BA456" t="s">
        <v>111</v>
      </c>
      <c r="BB456" t="s">
        <v>111</v>
      </c>
      <c r="BC456" t="s">
        <v>111</v>
      </c>
      <c r="BD456" t="s">
        <v>111</v>
      </c>
      <c r="BE456" t="s">
        <v>111</v>
      </c>
      <c r="BF456" t="s">
        <v>111</v>
      </c>
      <c r="BG456" t="s">
        <v>111</v>
      </c>
      <c r="BH456" t="s">
        <v>111</v>
      </c>
      <c r="BI456" t="s">
        <v>111</v>
      </c>
      <c r="BJ456" t="s">
        <v>111</v>
      </c>
      <c r="BK456" t="s">
        <v>111</v>
      </c>
      <c r="BL456" t="s">
        <v>111</v>
      </c>
      <c r="BM456" t="s">
        <v>111</v>
      </c>
      <c r="BN456" t="s">
        <v>111</v>
      </c>
      <c r="BO456" t="s">
        <v>111</v>
      </c>
      <c r="BP456" t="s">
        <v>111</v>
      </c>
      <c r="BQ456" t="s">
        <v>111</v>
      </c>
      <c r="BR456" t="s">
        <v>111</v>
      </c>
      <c r="BS456" t="s">
        <v>111</v>
      </c>
      <c r="BT456" t="s">
        <v>111</v>
      </c>
      <c r="BU456" t="s">
        <v>111</v>
      </c>
      <c r="BV456" t="s">
        <v>111</v>
      </c>
      <c r="BW456" t="s">
        <v>111</v>
      </c>
      <c r="BX456" t="s">
        <v>111</v>
      </c>
      <c r="BY456" t="s">
        <v>111</v>
      </c>
      <c r="BZ456" t="s">
        <v>111</v>
      </c>
      <c r="CA456" t="s">
        <v>111</v>
      </c>
      <c r="CB456" t="s">
        <v>111</v>
      </c>
      <c r="CC456" t="s">
        <v>111</v>
      </c>
      <c r="CD456" t="s">
        <v>111</v>
      </c>
      <c r="CE456" t="s">
        <v>111</v>
      </c>
      <c r="CF456" t="s">
        <v>111</v>
      </c>
      <c r="CG456" t="s">
        <v>111</v>
      </c>
      <c r="CH456" t="s">
        <v>111</v>
      </c>
      <c r="CI456" t="s">
        <v>111</v>
      </c>
      <c r="CJ456" t="s">
        <v>111</v>
      </c>
      <c r="CK456" t="s">
        <v>111</v>
      </c>
      <c r="CL456" t="e">
        <f>-DESTINO SELLADO</f>
        <v>#NAME?</v>
      </c>
      <c r="CM456" t="s">
        <v>135</v>
      </c>
      <c r="CN456" t="s">
        <v>113</v>
      </c>
      <c r="CO456" t="s">
        <v>111</v>
      </c>
      <c r="CP456" t="s">
        <v>563</v>
      </c>
      <c r="CQ456">
        <v>0</v>
      </c>
      <c r="CR456">
        <v>1000</v>
      </c>
      <c r="CS456">
        <v>100</v>
      </c>
      <c r="CT456" s="1" t="s">
        <v>1681</v>
      </c>
      <c r="CU456">
        <v>0</v>
      </c>
      <c r="CV456" t="s">
        <v>111</v>
      </c>
      <c r="CW456" t="s">
        <v>111</v>
      </c>
      <c r="CX456" t="s">
        <v>111</v>
      </c>
      <c r="CY456">
        <v>0</v>
      </c>
      <c r="CZ456" t="s">
        <v>111</v>
      </c>
      <c r="DA456" t="s">
        <v>111</v>
      </c>
      <c r="DB456" t="s">
        <v>111</v>
      </c>
      <c r="DC456" t="s">
        <v>111</v>
      </c>
    </row>
    <row r="457" spans="1:107">
      <c r="A457">
        <v>972</v>
      </c>
      <c r="B457" t="s">
        <v>107</v>
      </c>
      <c r="C457" t="s">
        <v>226</v>
      </c>
      <c r="D457" t="s">
        <v>1682</v>
      </c>
      <c r="E457" t="s">
        <v>1683</v>
      </c>
      <c r="F457" t="s">
        <v>192</v>
      </c>
      <c r="G457" t="s">
        <v>469</v>
      </c>
      <c r="H457">
        <v>1.5</v>
      </c>
      <c r="I457">
        <v>106</v>
      </c>
      <c r="J457">
        <v>0</v>
      </c>
      <c r="K457">
        <v>0</v>
      </c>
      <c r="L457" t="s">
        <v>117</v>
      </c>
      <c r="M457" t="s">
        <v>111</v>
      </c>
      <c r="N457">
        <v>0</v>
      </c>
      <c r="O457">
        <v>0</v>
      </c>
      <c r="P457" t="s">
        <v>111</v>
      </c>
      <c r="Q457">
        <v>10</v>
      </c>
      <c r="R457">
        <v>0</v>
      </c>
      <c r="S457">
        <v>0</v>
      </c>
      <c r="T457">
        <v>0</v>
      </c>
      <c r="U457" t="s">
        <v>296</v>
      </c>
      <c r="V457">
        <v>0</v>
      </c>
      <c r="W457">
        <v>250</v>
      </c>
      <c r="X457">
        <v>8</v>
      </c>
      <c r="Y457">
        <v>0</v>
      </c>
      <c r="Z457" t="s">
        <v>111</v>
      </c>
      <c r="AA457">
        <v>0</v>
      </c>
      <c r="AB457" t="s">
        <v>111</v>
      </c>
      <c r="AC457">
        <v>0</v>
      </c>
      <c r="AD457" t="s">
        <v>111</v>
      </c>
      <c r="AE457">
        <v>0</v>
      </c>
      <c r="AF457">
        <v>0</v>
      </c>
      <c r="AG457" t="s">
        <v>111</v>
      </c>
      <c r="AH457" t="s">
        <v>111</v>
      </c>
      <c r="AI457" t="s">
        <v>111</v>
      </c>
      <c r="AJ457" t="s">
        <v>111</v>
      </c>
      <c r="AK457" t="s">
        <v>111</v>
      </c>
      <c r="AL457" t="s">
        <v>111</v>
      </c>
      <c r="AM457">
        <v>0</v>
      </c>
      <c r="AN457">
        <v>0</v>
      </c>
      <c r="AO457">
        <v>0</v>
      </c>
      <c r="AP457" t="s">
        <v>111</v>
      </c>
      <c r="AQ457" t="s">
        <v>111</v>
      </c>
      <c r="AR457" t="s">
        <v>111</v>
      </c>
      <c r="AS457" t="s">
        <v>111</v>
      </c>
      <c r="AT457" t="s">
        <v>111</v>
      </c>
      <c r="AU457" t="s">
        <v>111</v>
      </c>
      <c r="AV457" t="s">
        <v>111</v>
      </c>
      <c r="AW457" t="s">
        <v>111</v>
      </c>
      <c r="AX457" t="s">
        <v>111</v>
      </c>
      <c r="AY457" t="s">
        <v>111</v>
      </c>
      <c r="AZ457" t="s">
        <v>111</v>
      </c>
      <c r="BA457" t="s">
        <v>111</v>
      </c>
      <c r="BB457" t="s">
        <v>111</v>
      </c>
      <c r="BC457" t="s">
        <v>111</v>
      </c>
      <c r="BD457" t="s">
        <v>111</v>
      </c>
      <c r="BE457" t="s">
        <v>111</v>
      </c>
      <c r="BF457" t="s">
        <v>111</v>
      </c>
      <c r="BG457" t="s">
        <v>111</v>
      </c>
      <c r="BH457" t="s">
        <v>111</v>
      </c>
      <c r="BI457" t="s">
        <v>111</v>
      </c>
      <c r="BJ457" t="s">
        <v>111</v>
      </c>
      <c r="BK457" t="s">
        <v>111</v>
      </c>
      <c r="BL457" t="s">
        <v>111</v>
      </c>
      <c r="BM457" t="s">
        <v>111</v>
      </c>
      <c r="BN457" t="s">
        <v>111</v>
      </c>
      <c r="BO457" t="s">
        <v>111</v>
      </c>
      <c r="BP457" t="s">
        <v>111</v>
      </c>
      <c r="BQ457" t="s">
        <v>111</v>
      </c>
      <c r="BR457" t="s">
        <v>111</v>
      </c>
      <c r="BS457" t="s">
        <v>111</v>
      </c>
      <c r="BT457" t="s">
        <v>111</v>
      </c>
      <c r="BU457" t="s">
        <v>111</v>
      </c>
      <c r="BV457" t="s">
        <v>111</v>
      </c>
      <c r="BW457" t="s">
        <v>111</v>
      </c>
      <c r="BX457" t="s">
        <v>111</v>
      </c>
      <c r="BY457" t="s">
        <v>111</v>
      </c>
      <c r="BZ457" t="s">
        <v>111</v>
      </c>
      <c r="CA457" t="s">
        <v>111</v>
      </c>
      <c r="CB457" t="s">
        <v>111</v>
      </c>
      <c r="CC457" t="s">
        <v>111</v>
      </c>
      <c r="CD457" t="s">
        <v>111</v>
      </c>
      <c r="CE457" t="s">
        <v>111</v>
      </c>
      <c r="CF457" t="s">
        <v>111</v>
      </c>
      <c r="CG457" t="s">
        <v>111</v>
      </c>
      <c r="CH457" t="s">
        <v>111</v>
      </c>
      <c r="CI457" t="s">
        <v>111</v>
      </c>
      <c r="CJ457" t="s">
        <v>111</v>
      </c>
      <c r="CK457" t="s">
        <v>111</v>
      </c>
      <c r="CL457" t="s">
        <v>111</v>
      </c>
      <c r="CM457" t="s">
        <v>360</v>
      </c>
      <c r="CN457" t="s">
        <v>113</v>
      </c>
      <c r="CO457" t="s">
        <v>111</v>
      </c>
      <c r="CP457" t="s">
        <v>563</v>
      </c>
      <c r="CQ457">
        <v>0</v>
      </c>
      <c r="CR457">
        <v>100</v>
      </c>
      <c r="CS457">
        <v>100</v>
      </c>
      <c r="CT457" t="s">
        <v>394</v>
      </c>
      <c r="CU457">
        <v>0</v>
      </c>
      <c r="CV457" t="s">
        <v>111</v>
      </c>
      <c r="CW457" t="s">
        <v>111</v>
      </c>
      <c r="CX457" t="s">
        <v>111</v>
      </c>
      <c r="CY457">
        <v>0</v>
      </c>
      <c r="CZ457" t="s">
        <v>111</v>
      </c>
      <c r="DA457" t="s">
        <v>111</v>
      </c>
      <c r="DB457" t="s">
        <v>111</v>
      </c>
      <c r="DC457" t="s">
        <v>111</v>
      </c>
    </row>
    <row r="458" spans="1:107">
      <c r="A458">
        <v>971</v>
      </c>
      <c r="B458" t="s">
        <v>107</v>
      </c>
      <c r="C458" t="s">
        <v>1367</v>
      </c>
      <c r="D458" t="s">
        <v>863</v>
      </c>
      <c r="E458" t="s">
        <v>1684</v>
      </c>
      <c r="F458" t="s">
        <v>370</v>
      </c>
      <c r="G458" t="s">
        <v>469</v>
      </c>
      <c r="H458">
        <v>1.5</v>
      </c>
      <c r="I458">
        <v>47</v>
      </c>
      <c r="J458">
        <v>0</v>
      </c>
      <c r="K458">
        <v>0</v>
      </c>
      <c r="L458" t="s">
        <v>112</v>
      </c>
      <c r="M458" t="s">
        <v>118</v>
      </c>
      <c r="N458">
        <v>390</v>
      </c>
      <c r="O458">
        <v>2</v>
      </c>
      <c r="P458" t="s">
        <v>111</v>
      </c>
      <c r="Q458">
        <v>40</v>
      </c>
      <c r="R458">
        <v>0</v>
      </c>
      <c r="S458">
        <v>0</v>
      </c>
      <c r="T458">
        <v>0</v>
      </c>
      <c r="U458" t="s">
        <v>501</v>
      </c>
      <c r="V458">
        <v>25</v>
      </c>
      <c r="W458">
        <v>0</v>
      </c>
      <c r="X458">
        <v>8</v>
      </c>
      <c r="Y458">
        <v>0</v>
      </c>
      <c r="Z458" t="s">
        <v>288</v>
      </c>
      <c r="AA458">
        <v>1.6</v>
      </c>
      <c r="AB458" t="s">
        <v>111</v>
      </c>
      <c r="AC458">
        <v>0</v>
      </c>
      <c r="AD458" t="s">
        <v>416</v>
      </c>
      <c r="AE458">
        <v>0</v>
      </c>
      <c r="AF458">
        <v>0</v>
      </c>
      <c r="AG458" t="s">
        <v>111</v>
      </c>
      <c r="AH458" t="s">
        <v>111</v>
      </c>
      <c r="AI458" t="s">
        <v>111</v>
      </c>
      <c r="AJ458" t="s">
        <v>111</v>
      </c>
      <c r="AK458" t="s">
        <v>111</v>
      </c>
      <c r="AL458" t="s">
        <v>111</v>
      </c>
      <c r="AM458">
        <v>0</v>
      </c>
      <c r="AN458">
        <v>0</v>
      </c>
      <c r="AO458">
        <v>0</v>
      </c>
      <c r="AP458" t="s">
        <v>111</v>
      </c>
      <c r="AQ458" t="s">
        <v>111</v>
      </c>
      <c r="AR458" t="s">
        <v>111</v>
      </c>
      <c r="AS458" t="s">
        <v>111</v>
      </c>
      <c r="AT458" t="s">
        <v>111</v>
      </c>
      <c r="AU458" t="s">
        <v>111</v>
      </c>
      <c r="AV458" t="s">
        <v>111</v>
      </c>
      <c r="AW458" t="s">
        <v>111</v>
      </c>
      <c r="AX458" t="s">
        <v>111</v>
      </c>
      <c r="AY458" t="s">
        <v>111</v>
      </c>
      <c r="AZ458" t="s">
        <v>111</v>
      </c>
      <c r="BA458" t="s">
        <v>111</v>
      </c>
      <c r="BB458" t="s">
        <v>111</v>
      </c>
      <c r="BC458" t="s">
        <v>111</v>
      </c>
      <c r="BD458" t="s">
        <v>111</v>
      </c>
      <c r="BE458" t="s">
        <v>111</v>
      </c>
      <c r="BF458" t="s">
        <v>111</v>
      </c>
      <c r="BG458" t="s">
        <v>111</v>
      </c>
      <c r="BH458" t="s">
        <v>111</v>
      </c>
      <c r="BI458" t="s">
        <v>111</v>
      </c>
      <c r="BJ458" t="s">
        <v>111</v>
      </c>
      <c r="BK458" t="s">
        <v>111</v>
      </c>
      <c r="BL458" t="s">
        <v>111</v>
      </c>
      <c r="BM458" t="s">
        <v>111</v>
      </c>
      <c r="BN458" t="s">
        <v>111</v>
      </c>
      <c r="BO458" t="s">
        <v>111</v>
      </c>
      <c r="BP458" t="s">
        <v>111</v>
      </c>
      <c r="BQ458" t="s">
        <v>111</v>
      </c>
      <c r="BR458" t="s">
        <v>111</v>
      </c>
      <c r="BS458" t="s">
        <v>111</v>
      </c>
      <c r="BT458" t="s">
        <v>111</v>
      </c>
      <c r="BU458" t="s">
        <v>111</v>
      </c>
      <c r="BV458" t="s">
        <v>111</v>
      </c>
      <c r="BW458" t="s">
        <v>111</v>
      </c>
      <c r="BX458" t="s">
        <v>111</v>
      </c>
      <c r="BY458" t="s">
        <v>111</v>
      </c>
      <c r="BZ458" t="s">
        <v>111</v>
      </c>
      <c r="CA458" t="s">
        <v>111</v>
      </c>
      <c r="CB458" t="s">
        <v>111</v>
      </c>
      <c r="CC458" t="s">
        <v>111</v>
      </c>
      <c r="CD458" t="s">
        <v>111</v>
      </c>
      <c r="CE458" t="s">
        <v>111</v>
      </c>
      <c r="CF458" t="s">
        <v>111</v>
      </c>
      <c r="CG458" t="s">
        <v>111</v>
      </c>
      <c r="CH458" t="s">
        <v>111</v>
      </c>
      <c r="CI458" t="s">
        <v>111</v>
      </c>
      <c r="CJ458" t="s">
        <v>111</v>
      </c>
      <c r="CK458" t="s">
        <v>111</v>
      </c>
      <c r="CL458" t="e">
        <f>-DESTINO SELLADO</f>
        <v>#NAME?</v>
      </c>
      <c r="CM458" t="s">
        <v>198</v>
      </c>
      <c r="CN458" t="s">
        <v>113</v>
      </c>
      <c r="CO458" t="s">
        <v>367</v>
      </c>
      <c r="CP458" t="e">
        <f>-MUESTRA</f>
        <v>#NAME?</v>
      </c>
      <c r="CQ458">
        <v>25</v>
      </c>
      <c r="CR458">
        <v>0</v>
      </c>
      <c r="CS458">
        <v>50</v>
      </c>
      <c r="CT458" s="1" t="s">
        <v>1685</v>
      </c>
      <c r="CU458">
        <v>0</v>
      </c>
      <c r="CV458" t="s">
        <v>111</v>
      </c>
      <c r="CW458" t="s">
        <v>111</v>
      </c>
      <c r="CX458" t="s">
        <v>111</v>
      </c>
      <c r="CY458">
        <v>0</v>
      </c>
      <c r="CZ458" t="s">
        <v>111</v>
      </c>
      <c r="DA458" t="s">
        <v>111</v>
      </c>
      <c r="DB458" t="s">
        <v>204</v>
      </c>
      <c r="DC458" t="s">
        <v>589</v>
      </c>
    </row>
    <row r="459" spans="1:107">
      <c r="A459">
        <v>968</v>
      </c>
      <c r="B459" t="s">
        <v>107</v>
      </c>
      <c r="C459" t="s">
        <v>428</v>
      </c>
      <c r="D459" t="s">
        <v>1686</v>
      </c>
      <c r="E459" t="s">
        <v>1687</v>
      </c>
      <c r="F459" t="s">
        <v>192</v>
      </c>
      <c r="G459" t="s">
        <v>469</v>
      </c>
      <c r="H459">
        <v>1.25</v>
      </c>
      <c r="I459">
        <v>30.5</v>
      </c>
      <c r="J459">
        <v>1.75</v>
      </c>
      <c r="K459">
        <v>0</v>
      </c>
      <c r="L459" t="s">
        <v>178</v>
      </c>
      <c r="M459" t="s">
        <v>111</v>
      </c>
      <c r="N459">
        <v>0</v>
      </c>
      <c r="O459">
        <v>0</v>
      </c>
      <c r="P459" t="s">
        <v>111</v>
      </c>
      <c r="Q459">
        <v>34.799999999999997</v>
      </c>
      <c r="R459">
        <v>0</v>
      </c>
      <c r="S459">
        <v>0</v>
      </c>
      <c r="T459">
        <v>3</v>
      </c>
      <c r="U459" s="1" t="s">
        <v>1688</v>
      </c>
      <c r="V459">
        <v>0</v>
      </c>
      <c r="W459">
        <v>25</v>
      </c>
      <c r="X459">
        <v>6</v>
      </c>
      <c r="Y459">
        <v>0</v>
      </c>
      <c r="Z459" t="s">
        <v>111</v>
      </c>
      <c r="AA459">
        <v>0</v>
      </c>
      <c r="AB459" t="s">
        <v>111</v>
      </c>
      <c r="AC459">
        <v>0</v>
      </c>
      <c r="AD459" t="s">
        <v>111</v>
      </c>
      <c r="AE459">
        <v>0</v>
      </c>
      <c r="AF459">
        <v>0</v>
      </c>
      <c r="AG459" t="s">
        <v>111</v>
      </c>
      <c r="AH459" t="s">
        <v>111</v>
      </c>
      <c r="AI459" t="s">
        <v>111</v>
      </c>
      <c r="AJ459" t="s">
        <v>111</v>
      </c>
      <c r="AK459" t="s">
        <v>111</v>
      </c>
      <c r="AL459" t="s">
        <v>111</v>
      </c>
      <c r="AM459">
        <v>0</v>
      </c>
      <c r="AN459">
        <v>0</v>
      </c>
      <c r="AO459">
        <v>0</v>
      </c>
      <c r="AP459" t="s">
        <v>111</v>
      </c>
      <c r="AQ459" t="s">
        <v>111</v>
      </c>
      <c r="AR459" t="s">
        <v>111</v>
      </c>
      <c r="AS459" t="s">
        <v>111</v>
      </c>
      <c r="AT459" t="s">
        <v>111</v>
      </c>
      <c r="AU459" t="s">
        <v>111</v>
      </c>
      <c r="AV459" t="s">
        <v>111</v>
      </c>
      <c r="AW459" t="s">
        <v>111</v>
      </c>
      <c r="AX459" t="s">
        <v>111</v>
      </c>
      <c r="AY459" t="s">
        <v>111</v>
      </c>
      <c r="AZ459" t="s">
        <v>111</v>
      </c>
      <c r="BA459" t="s">
        <v>111</v>
      </c>
      <c r="BB459" t="s">
        <v>111</v>
      </c>
      <c r="BC459" t="s">
        <v>111</v>
      </c>
      <c r="BD459" t="s">
        <v>111</v>
      </c>
      <c r="BE459" t="s">
        <v>111</v>
      </c>
      <c r="BF459" t="s">
        <v>111</v>
      </c>
      <c r="BG459" t="s">
        <v>111</v>
      </c>
      <c r="BH459" t="s">
        <v>111</v>
      </c>
      <c r="BI459" t="s">
        <v>111</v>
      </c>
      <c r="BJ459" t="s">
        <v>111</v>
      </c>
      <c r="BK459" t="s">
        <v>111</v>
      </c>
      <c r="BL459" t="s">
        <v>111</v>
      </c>
      <c r="BM459" t="s">
        <v>111</v>
      </c>
      <c r="BN459" t="s">
        <v>111</v>
      </c>
      <c r="BO459" t="s">
        <v>111</v>
      </c>
      <c r="BP459" t="s">
        <v>111</v>
      </c>
      <c r="BQ459" t="s">
        <v>111</v>
      </c>
      <c r="BR459" t="s">
        <v>111</v>
      </c>
      <c r="BS459" t="s">
        <v>111</v>
      </c>
      <c r="BT459" t="s">
        <v>111</v>
      </c>
      <c r="BU459" t="s">
        <v>111</v>
      </c>
      <c r="BV459" t="s">
        <v>111</v>
      </c>
      <c r="BW459" t="s">
        <v>111</v>
      </c>
      <c r="BX459" t="s">
        <v>111</v>
      </c>
      <c r="BY459" t="s">
        <v>111</v>
      </c>
      <c r="BZ459" t="s">
        <v>111</v>
      </c>
      <c r="CA459" t="s">
        <v>111</v>
      </c>
      <c r="CB459" t="s">
        <v>111</v>
      </c>
      <c r="CC459" t="s">
        <v>111</v>
      </c>
      <c r="CD459" t="s">
        <v>111</v>
      </c>
      <c r="CE459" t="s">
        <v>111</v>
      </c>
      <c r="CF459" t="s">
        <v>111</v>
      </c>
      <c r="CG459" t="s">
        <v>111</v>
      </c>
      <c r="CH459" t="s">
        <v>111</v>
      </c>
      <c r="CI459" t="s">
        <v>111</v>
      </c>
      <c r="CJ459" t="s">
        <v>111</v>
      </c>
      <c r="CK459" t="s">
        <v>111</v>
      </c>
      <c r="CL459" t="s">
        <v>111</v>
      </c>
      <c r="CM459" t="s">
        <v>135</v>
      </c>
      <c r="CN459" t="s">
        <v>113</v>
      </c>
      <c r="CO459" t="s">
        <v>111</v>
      </c>
      <c r="CP459" t="s">
        <v>111</v>
      </c>
      <c r="CQ459">
        <v>80</v>
      </c>
      <c r="CR459">
        <v>7000</v>
      </c>
      <c r="CS459">
        <v>200</v>
      </c>
      <c r="CT459" t="s">
        <v>394</v>
      </c>
      <c r="CU459">
        <v>0</v>
      </c>
      <c r="CV459" t="s">
        <v>111</v>
      </c>
      <c r="CW459" t="s">
        <v>111</v>
      </c>
      <c r="CX459" t="s">
        <v>111</v>
      </c>
      <c r="CY459">
        <v>0</v>
      </c>
      <c r="CZ459" t="s">
        <v>111</v>
      </c>
      <c r="DA459" t="s">
        <v>111</v>
      </c>
      <c r="DB459" t="s">
        <v>111</v>
      </c>
      <c r="DC459" t="s">
        <v>111</v>
      </c>
    </row>
    <row r="460" spans="1:107">
      <c r="A460">
        <v>966</v>
      </c>
      <c r="B460" t="s">
        <v>107</v>
      </c>
      <c r="C460" t="s">
        <v>277</v>
      </c>
      <c r="D460" t="s">
        <v>1689</v>
      </c>
      <c r="E460" t="s">
        <v>1690</v>
      </c>
      <c r="F460" t="s">
        <v>125</v>
      </c>
      <c r="G460" t="s">
        <v>469</v>
      </c>
      <c r="H460">
        <v>0.68</v>
      </c>
      <c r="I460">
        <v>58</v>
      </c>
      <c r="J460">
        <v>0</v>
      </c>
      <c r="K460">
        <v>0</v>
      </c>
      <c r="L460" t="s">
        <v>112</v>
      </c>
      <c r="M460" t="s">
        <v>111</v>
      </c>
      <c r="N460">
        <v>0</v>
      </c>
      <c r="O460">
        <v>0</v>
      </c>
      <c r="P460" t="s">
        <v>138</v>
      </c>
      <c r="Q460">
        <v>41.2</v>
      </c>
      <c r="R460">
        <v>0</v>
      </c>
      <c r="S460">
        <v>0</v>
      </c>
      <c r="T460">
        <v>5</v>
      </c>
      <c r="U460" s="1" t="s">
        <v>1691</v>
      </c>
      <c r="V460">
        <v>25</v>
      </c>
      <c r="W460">
        <v>0</v>
      </c>
      <c r="X460">
        <v>6</v>
      </c>
      <c r="Y460">
        <v>0</v>
      </c>
      <c r="Z460" t="s">
        <v>111</v>
      </c>
      <c r="AA460">
        <v>0</v>
      </c>
      <c r="AB460" t="s">
        <v>111</v>
      </c>
      <c r="AC460">
        <v>0</v>
      </c>
      <c r="AD460" t="s">
        <v>111</v>
      </c>
      <c r="AE460">
        <v>0</v>
      </c>
      <c r="AF460">
        <v>0</v>
      </c>
      <c r="AG460" t="s">
        <v>111</v>
      </c>
      <c r="AH460" t="s">
        <v>111</v>
      </c>
      <c r="AI460" t="s">
        <v>111</v>
      </c>
      <c r="AJ460" t="s">
        <v>111</v>
      </c>
      <c r="AK460" t="s">
        <v>111</v>
      </c>
      <c r="AL460" t="s">
        <v>111</v>
      </c>
      <c r="AM460">
        <v>0</v>
      </c>
      <c r="AN460">
        <v>0</v>
      </c>
      <c r="AO460">
        <v>0</v>
      </c>
      <c r="AP460" t="s">
        <v>111</v>
      </c>
      <c r="AQ460" t="s">
        <v>111</v>
      </c>
      <c r="AR460" t="s">
        <v>111</v>
      </c>
      <c r="AS460" t="s">
        <v>111</v>
      </c>
      <c r="AT460" t="s">
        <v>111</v>
      </c>
      <c r="AU460" t="s">
        <v>111</v>
      </c>
      <c r="AV460" t="s">
        <v>111</v>
      </c>
      <c r="AW460" t="s">
        <v>111</v>
      </c>
      <c r="AX460" t="s">
        <v>111</v>
      </c>
      <c r="AY460" t="s">
        <v>111</v>
      </c>
      <c r="AZ460" t="s">
        <v>111</v>
      </c>
      <c r="BA460" t="s">
        <v>111</v>
      </c>
      <c r="BB460" t="s">
        <v>111</v>
      </c>
      <c r="BC460" t="s">
        <v>111</v>
      </c>
      <c r="BD460" t="s">
        <v>111</v>
      </c>
      <c r="BE460" t="s">
        <v>111</v>
      </c>
      <c r="BF460" t="s">
        <v>111</v>
      </c>
      <c r="BG460" t="s">
        <v>111</v>
      </c>
      <c r="BH460" t="s">
        <v>111</v>
      </c>
      <c r="BI460" t="s">
        <v>111</v>
      </c>
      <c r="BJ460" t="s">
        <v>111</v>
      </c>
      <c r="BK460" t="s">
        <v>111</v>
      </c>
      <c r="BL460" t="s">
        <v>111</v>
      </c>
      <c r="BM460" t="s">
        <v>111</v>
      </c>
      <c r="BN460" t="s">
        <v>111</v>
      </c>
      <c r="BO460" t="s">
        <v>111</v>
      </c>
      <c r="BP460" t="s">
        <v>111</v>
      </c>
      <c r="BQ460" t="s">
        <v>111</v>
      </c>
      <c r="BR460" t="s">
        <v>111</v>
      </c>
      <c r="BS460" t="s">
        <v>111</v>
      </c>
      <c r="BT460" t="s">
        <v>111</v>
      </c>
      <c r="BU460" t="s">
        <v>111</v>
      </c>
      <c r="BV460" t="s">
        <v>111</v>
      </c>
      <c r="BW460" t="s">
        <v>111</v>
      </c>
      <c r="BX460" t="s">
        <v>111</v>
      </c>
      <c r="BY460" t="s">
        <v>111</v>
      </c>
      <c r="BZ460" t="s">
        <v>111</v>
      </c>
      <c r="CA460" t="s">
        <v>111</v>
      </c>
      <c r="CB460" t="s">
        <v>111</v>
      </c>
      <c r="CC460" t="s">
        <v>111</v>
      </c>
      <c r="CD460" t="s">
        <v>111</v>
      </c>
      <c r="CE460" t="s">
        <v>111</v>
      </c>
      <c r="CF460" t="s">
        <v>111</v>
      </c>
      <c r="CG460" t="s">
        <v>111</v>
      </c>
      <c r="CH460" t="s">
        <v>111</v>
      </c>
      <c r="CI460" t="s">
        <v>111</v>
      </c>
      <c r="CJ460" t="s">
        <v>111</v>
      </c>
      <c r="CK460" t="s">
        <v>111</v>
      </c>
      <c r="CL460" t="s">
        <v>111</v>
      </c>
      <c r="CM460" t="s">
        <v>127</v>
      </c>
      <c r="CN460" t="s">
        <v>128</v>
      </c>
      <c r="CO460" t="s">
        <v>111</v>
      </c>
      <c r="CP460" t="s">
        <v>111</v>
      </c>
      <c r="CQ460">
        <v>0</v>
      </c>
      <c r="CR460">
        <v>1500</v>
      </c>
      <c r="CS460">
        <v>100</v>
      </c>
      <c r="CT460" t="s">
        <v>394</v>
      </c>
      <c r="CU460">
        <v>0</v>
      </c>
      <c r="CV460" t="s">
        <v>111</v>
      </c>
      <c r="CW460" t="s">
        <v>111</v>
      </c>
      <c r="CX460" t="s">
        <v>111</v>
      </c>
      <c r="CY460">
        <v>0</v>
      </c>
      <c r="CZ460" t="s">
        <v>111</v>
      </c>
      <c r="DA460" t="s">
        <v>111</v>
      </c>
      <c r="DB460" t="s">
        <v>111</v>
      </c>
      <c r="DC460" t="s">
        <v>111</v>
      </c>
    </row>
    <row r="461" spans="1:107">
      <c r="A461">
        <v>1003</v>
      </c>
      <c r="B461" t="s">
        <v>107</v>
      </c>
      <c r="C461" t="s">
        <v>261</v>
      </c>
      <c r="D461" t="s">
        <v>1692</v>
      </c>
      <c r="E461" t="s">
        <v>1693</v>
      </c>
      <c r="F461" t="s">
        <v>157</v>
      </c>
      <c r="G461" t="s">
        <v>469</v>
      </c>
      <c r="H461">
        <v>2.5</v>
      </c>
      <c r="I461">
        <v>40.6</v>
      </c>
      <c r="J461">
        <v>0</v>
      </c>
      <c r="K461">
        <v>0</v>
      </c>
      <c r="L461" t="s">
        <v>178</v>
      </c>
      <c r="M461" t="s">
        <v>138</v>
      </c>
      <c r="N461">
        <v>0</v>
      </c>
      <c r="O461">
        <v>0</v>
      </c>
      <c r="P461" t="s">
        <v>138</v>
      </c>
      <c r="Q461">
        <v>25</v>
      </c>
      <c r="R461">
        <v>0</v>
      </c>
      <c r="S461">
        <v>0</v>
      </c>
      <c r="T461">
        <v>1</v>
      </c>
      <c r="U461" t="s">
        <v>394</v>
      </c>
      <c r="V461">
        <v>0</v>
      </c>
      <c r="W461">
        <v>25</v>
      </c>
      <c r="X461">
        <v>6</v>
      </c>
      <c r="Y461">
        <v>0</v>
      </c>
      <c r="Z461" t="s">
        <v>111</v>
      </c>
      <c r="AA461">
        <v>0</v>
      </c>
      <c r="AB461" t="s">
        <v>111</v>
      </c>
      <c r="AC461">
        <v>0</v>
      </c>
      <c r="AD461" t="s">
        <v>111</v>
      </c>
      <c r="AE461">
        <v>0</v>
      </c>
      <c r="AF461">
        <v>0</v>
      </c>
      <c r="AG461" t="s">
        <v>111</v>
      </c>
      <c r="AH461" t="s">
        <v>111</v>
      </c>
      <c r="AI461" t="s">
        <v>111</v>
      </c>
      <c r="AJ461" t="s">
        <v>111</v>
      </c>
      <c r="AK461" t="s">
        <v>111</v>
      </c>
      <c r="AL461" t="s">
        <v>111</v>
      </c>
      <c r="AM461">
        <v>0</v>
      </c>
      <c r="AN461">
        <v>0</v>
      </c>
      <c r="AO461">
        <v>0</v>
      </c>
      <c r="AP461" t="s">
        <v>111</v>
      </c>
      <c r="AQ461" t="s">
        <v>111</v>
      </c>
      <c r="AR461" t="s">
        <v>111</v>
      </c>
      <c r="AS461" t="s">
        <v>111</v>
      </c>
      <c r="AT461" t="s">
        <v>111</v>
      </c>
      <c r="AU461" t="s">
        <v>111</v>
      </c>
      <c r="AV461" t="s">
        <v>111</v>
      </c>
      <c r="AW461" t="s">
        <v>111</v>
      </c>
      <c r="AX461" t="s">
        <v>111</v>
      </c>
      <c r="AY461" t="s">
        <v>111</v>
      </c>
      <c r="AZ461" t="s">
        <v>111</v>
      </c>
      <c r="BA461" t="s">
        <v>111</v>
      </c>
      <c r="BB461" t="s">
        <v>111</v>
      </c>
      <c r="BC461" t="s">
        <v>111</v>
      </c>
      <c r="BD461" t="s">
        <v>111</v>
      </c>
      <c r="BE461" t="s">
        <v>111</v>
      </c>
      <c r="BF461" t="s">
        <v>111</v>
      </c>
      <c r="BG461" t="s">
        <v>111</v>
      </c>
      <c r="BH461" t="s">
        <v>111</v>
      </c>
      <c r="BI461" t="s">
        <v>111</v>
      </c>
      <c r="BJ461" t="s">
        <v>111</v>
      </c>
      <c r="BK461" t="s">
        <v>111</v>
      </c>
      <c r="BL461" t="s">
        <v>111</v>
      </c>
      <c r="BM461" t="s">
        <v>111</v>
      </c>
      <c r="BN461" t="s">
        <v>111</v>
      </c>
      <c r="BO461" t="s">
        <v>111</v>
      </c>
      <c r="BP461" t="s">
        <v>111</v>
      </c>
      <c r="BQ461" t="s">
        <v>111</v>
      </c>
      <c r="BR461" t="s">
        <v>111</v>
      </c>
      <c r="BS461" t="s">
        <v>111</v>
      </c>
      <c r="BT461" t="s">
        <v>111</v>
      </c>
      <c r="BU461" t="s">
        <v>111</v>
      </c>
      <c r="BV461" t="s">
        <v>111</v>
      </c>
      <c r="BW461" t="s">
        <v>111</v>
      </c>
      <c r="BX461" t="s">
        <v>111</v>
      </c>
      <c r="BY461" t="s">
        <v>111</v>
      </c>
      <c r="BZ461" t="s">
        <v>111</v>
      </c>
      <c r="CA461" t="s">
        <v>111</v>
      </c>
      <c r="CB461" t="s">
        <v>111</v>
      </c>
      <c r="CC461" t="s">
        <v>111</v>
      </c>
      <c r="CD461" t="s">
        <v>111</v>
      </c>
      <c r="CE461" t="s">
        <v>111</v>
      </c>
      <c r="CF461" t="s">
        <v>111</v>
      </c>
      <c r="CG461" t="s">
        <v>111</v>
      </c>
      <c r="CH461" t="s">
        <v>111</v>
      </c>
      <c r="CI461" t="s">
        <v>111</v>
      </c>
      <c r="CJ461" t="s">
        <v>111</v>
      </c>
      <c r="CK461" t="s">
        <v>111</v>
      </c>
      <c r="CL461" t="s">
        <v>111</v>
      </c>
      <c r="CM461" t="s">
        <v>111</v>
      </c>
      <c r="CN461" t="s">
        <v>111</v>
      </c>
      <c r="CO461" t="s">
        <v>111</v>
      </c>
      <c r="CP461" t="s">
        <v>111</v>
      </c>
      <c r="CQ461">
        <v>0</v>
      </c>
      <c r="CR461">
        <v>0</v>
      </c>
      <c r="CS461">
        <v>0</v>
      </c>
      <c r="CT461" t="s">
        <v>111</v>
      </c>
      <c r="CU461">
        <v>0</v>
      </c>
      <c r="CV461" t="s">
        <v>111</v>
      </c>
      <c r="CW461" t="s">
        <v>111</v>
      </c>
      <c r="CX461" t="s">
        <v>111</v>
      </c>
      <c r="CY461">
        <v>0</v>
      </c>
      <c r="CZ461" t="s">
        <v>111</v>
      </c>
      <c r="DA461" t="s">
        <v>111</v>
      </c>
      <c r="DB461" t="s">
        <v>111</v>
      </c>
      <c r="DC461" t="s">
        <v>111</v>
      </c>
    </row>
    <row r="462" spans="1:107">
      <c r="A462">
        <v>927</v>
      </c>
      <c r="B462" t="s">
        <v>107</v>
      </c>
      <c r="C462" s="2">
        <v>3436738</v>
      </c>
      <c r="D462" t="s">
        <v>1694</v>
      </c>
      <c r="E462" t="s">
        <v>1695</v>
      </c>
      <c r="F462" t="s">
        <v>1651</v>
      </c>
      <c r="G462" t="s">
        <v>469</v>
      </c>
      <c r="H462">
        <v>1.5</v>
      </c>
      <c r="I462">
        <v>45</v>
      </c>
      <c r="J462">
        <v>0</v>
      </c>
      <c r="K462">
        <v>0</v>
      </c>
      <c r="L462" t="s">
        <v>112</v>
      </c>
      <c r="M462" t="s">
        <v>118</v>
      </c>
      <c r="N462">
        <v>39</v>
      </c>
      <c r="O462">
        <v>2</v>
      </c>
      <c r="P462" t="s">
        <v>111</v>
      </c>
      <c r="Q462">
        <v>41</v>
      </c>
      <c r="R462">
        <v>0</v>
      </c>
      <c r="S462">
        <v>0</v>
      </c>
      <c r="T462">
        <v>0</v>
      </c>
      <c r="U462" t="s">
        <v>501</v>
      </c>
      <c r="V462">
        <v>0</v>
      </c>
      <c r="W462">
        <v>0</v>
      </c>
      <c r="X462">
        <v>0</v>
      </c>
      <c r="Y462">
        <v>25</v>
      </c>
      <c r="Z462" t="s">
        <v>111</v>
      </c>
      <c r="AA462">
        <v>0</v>
      </c>
      <c r="AB462" t="s">
        <v>111</v>
      </c>
      <c r="AC462">
        <v>0</v>
      </c>
      <c r="AD462" t="s">
        <v>416</v>
      </c>
      <c r="AE462">
        <v>4</v>
      </c>
      <c r="AF462">
        <v>2</v>
      </c>
      <c r="AG462" t="s">
        <v>1696</v>
      </c>
      <c r="AH462" t="s">
        <v>113</v>
      </c>
      <c r="AI462" t="s">
        <v>1098</v>
      </c>
      <c r="AJ462" t="s">
        <v>111</v>
      </c>
      <c r="AK462" t="s">
        <v>111</v>
      </c>
      <c r="AL462" t="s">
        <v>111</v>
      </c>
      <c r="AM462">
        <v>0</v>
      </c>
      <c r="AN462">
        <v>0</v>
      </c>
      <c r="AO462">
        <v>0</v>
      </c>
      <c r="AP462" t="s">
        <v>111</v>
      </c>
      <c r="AQ462" t="s">
        <v>111</v>
      </c>
      <c r="AR462" t="s">
        <v>111</v>
      </c>
      <c r="AS462" t="s">
        <v>111</v>
      </c>
      <c r="AT462" t="s">
        <v>111</v>
      </c>
      <c r="AU462" t="s">
        <v>111</v>
      </c>
      <c r="AV462" t="s">
        <v>111</v>
      </c>
      <c r="AW462" t="s">
        <v>111</v>
      </c>
      <c r="AX462" t="s">
        <v>111</v>
      </c>
      <c r="AY462" t="s">
        <v>111</v>
      </c>
      <c r="AZ462" t="s">
        <v>111</v>
      </c>
      <c r="BA462" t="s">
        <v>111</v>
      </c>
      <c r="BB462" t="s">
        <v>111</v>
      </c>
      <c r="BC462" t="s">
        <v>111</v>
      </c>
      <c r="BD462" t="s">
        <v>111</v>
      </c>
      <c r="BE462" t="s">
        <v>111</v>
      </c>
      <c r="BF462" t="s">
        <v>111</v>
      </c>
      <c r="BG462" t="s">
        <v>111</v>
      </c>
      <c r="BH462" t="s">
        <v>111</v>
      </c>
      <c r="BI462" t="s">
        <v>111</v>
      </c>
      <c r="BJ462" t="s">
        <v>111</v>
      </c>
      <c r="BK462" t="s">
        <v>111</v>
      </c>
      <c r="BL462" t="s">
        <v>111</v>
      </c>
      <c r="BM462" t="s">
        <v>111</v>
      </c>
      <c r="BN462" t="s">
        <v>111</v>
      </c>
      <c r="BO462" t="s">
        <v>111</v>
      </c>
      <c r="BP462" t="s">
        <v>111</v>
      </c>
      <c r="BQ462" t="s">
        <v>111</v>
      </c>
      <c r="BR462" t="s">
        <v>111</v>
      </c>
      <c r="BS462" t="s">
        <v>111</v>
      </c>
      <c r="BT462" t="s">
        <v>111</v>
      </c>
      <c r="BU462" t="s">
        <v>111</v>
      </c>
      <c r="BV462" t="s">
        <v>111</v>
      </c>
      <c r="BW462" t="s">
        <v>111</v>
      </c>
      <c r="BX462" t="s">
        <v>111</v>
      </c>
      <c r="BY462" t="s">
        <v>111</v>
      </c>
      <c r="BZ462" t="s">
        <v>111</v>
      </c>
      <c r="CA462" t="s">
        <v>111</v>
      </c>
      <c r="CB462" t="s">
        <v>111</v>
      </c>
      <c r="CC462" t="s">
        <v>111</v>
      </c>
      <c r="CD462" t="s">
        <v>111</v>
      </c>
      <c r="CE462" t="s">
        <v>111</v>
      </c>
      <c r="CF462" t="s">
        <v>111</v>
      </c>
      <c r="CG462" t="s">
        <v>111</v>
      </c>
      <c r="CH462" t="s">
        <v>111</v>
      </c>
      <c r="CI462" t="s">
        <v>111</v>
      </c>
      <c r="CJ462" t="s">
        <v>111</v>
      </c>
      <c r="CK462" t="s">
        <v>111</v>
      </c>
      <c r="CL462" t="e">
        <f>-DESTINO ALMACEN</f>
        <v>#NAME?</v>
      </c>
      <c r="CM462" t="s">
        <v>198</v>
      </c>
      <c r="CN462" t="s">
        <v>113</v>
      </c>
      <c r="CO462" t="s">
        <v>111</v>
      </c>
      <c r="CP462" t="e">
        <f>-MUESTRA</f>
        <v>#NAME?</v>
      </c>
      <c r="CQ462">
        <v>0</v>
      </c>
      <c r="CR462">
        <v>4000</v>
      </c>
      <c r="CS462">
        <v>200</v>
      </c>
      <c r="CT462" s="1" t="s">
        <v>1104</v>
      </c>
      <c r="CU462">
        <v>0</v>
      </c>
      <c r="CV462" t="s">
        <v>111</v>
      </c>
      <c r="CW462" t="s">
        <v>111</v>
      </c>
      <c r="CX462" t="s">
        <v>111</v>
      </c>
      <c r="CY462">
        <v>0</v>
      </c>
      <c r="CZ462" t="s">
        <v>111</v>
      </c>
      <c r="DA462" t="s">
        <v>111</v>
      </c>
      <c r="DB462" t="s">
        <v>111</v>
      </c>
      <c r="DC462" t="s">
        <v>111</v>
      </c>
    </row>
    <row r="463" spans="1:107">
      <c r="A463">
        <v>1004</v>
      </c>
      <c r="B463" t="s">
        <v>107</v>
      </c>
      <c r="C463" t="s">
        <v>261</v>
      </c>
      <c r="D463" t="s">
        <v>1697</v>
      </c>
      <c r="E463" t="s">
        <v>1698</v>
      </c>
      <c r="F463" t="s">
        <v>157</v>
      </c>
      <c r="G463" t="s">
        <v>469</v>
      </c>
      <c r="H463">
        <v>2.5</v>
      </c>
      <c r="I463">
        <v>45.6</v>
      </c>
      <c r="J463">
        <v>0</v>
      </c>
      <c r="K463">
        <v>0</v>
      </c>
      <c r="L463" t="s">
        <v>178</v>
      </c>
      <c r="M463" t="s">
        <v>138</v>
      </c>
      <c r="N463">
        <v>0</v>
      </c>
      <c r="O463">
        <v>0</v>
      </c>
      <c r="P463" t="s">
        <v>138</v>
      </c>
      <c r="Q463">
        <v>25</v>
      </c>
      <c r="R463">
        <v>0</v>
      </c>
      <c r="S463">
        <v>0</v>
      </c>
      <c r="T463">
        <v>0</v>
      </c>
      <c r="U463" t="s">
        <v>394</v>
      </c>
      <c r="V463">
        <v>0</v>
      </c>
      <c r="W463">
        <v>25</v>
      </c>
      <c r="X463">
        <v>6</v>
      </c>
      <c r="Y463">
        <v>0</v>
      </c>
      <c r="Z463" t="s">
        <v>111</v>
      </c>
      <c r="AA463">
        <v>0</v>
      </c>
      <c r="AB463" t="s">
        <v>111</v>
      </c>
      <c r="AC463">
        <v>0</v>
      </c>
      <c r="AD463" t="s">
        <v>111</v>
      </c>
      <c r="AE463">
        <v>0</v>
      </c>
      <c r="AF463">
        <v>0</v>
      </c>
      <c r="AG463" t="s">
        <v>111</v>
      </c>
      <c r="AH463" t="s">
        <v>111</v>
      </c>
      <c r="AI463" t="s">
        <v>111</v>
      </c>
      <c r="AJ463" t="s">
        <v>111</v>
      </c>
      <c r="AK463" t="s">
        <v>111</v>
      </c>
      <c r="AL463" t="s">
        <v>111</v>
      </c>
      <c r="AM463">
        <v>0</v>
      </c>
      <c r="AN463">
        <v>0</v>
      </c>
      <c r="AO463">
        <v>0</v>
      </c>
      <c r="AP463" t="s">
        <v>111</v>
      </c>
      <c r="AQ463" t="s">
        <v>111</v>
      </c>
      <c r="AR463" t="s">
        <v>111</v>
      </c>
      <c r="AS463" t="s">
        <v>111</v>
      </c>
      <c r="AT463" t="s">
        <v>111</v>
      </c>
      <c r="AU463" t="s">
        <v>111</v>
      </c>
      <c r="AV463" t="s">
        <v>111</v>
      </c>
      <c r="AW463" t="s">
        <v>111</v>
      </c>
      <c r="AX463" t="s">
        <v>111</v>
      </c>
      <c r="AY463" t="s">
        <v>111</v>
      </c>
      <c r="AZ463" t="s">
        <v>111</v>
      </c>
      <c r="BA463" t="s">
        <v>111</v>
      </c>
      <c r="BB463" t="s">
        <v>111</v>
      </c>
      <c r="BC463" t="s">
        <v>111</v>
      </c>
      <c r="BD463" t="s">
        <v>111</v>
      </c>
      <c r="BE463" t="s">
        <v>111</v>
      </c>
      <c r="BF463" t="s">
        <v>111</v>
      </c>
      <c r="BG463" t="s">
        <v>111</v>
      </c>
      <c r="BH463" t="s">
        <v>111</v>
      </c>
      <c r="BI463" t="s">
        <v>111</v>
      </c>
      <c r="BJ463" t="s">
        <v>111</v>
      </c>
      <c r="BK463" t="s">
        <v>111</v>
      </c>
      <c r="BL463" t="s">
        <v>111</v>
      </c>
      <c r="BM463" t="s">
        <v>111</v>
      </c>
      <c r="BN463" t="s">
        <v>111</v>
      </c>
      <c r="BO463" t="s">
        <v>111</v>
      </c>
      <c r="BP463" t="s">
        <v>111</v>
      </c>
      <c r="BQ463" t="s">
        <v>111</v>
      </c>
      <c r="BR463" t="s">
        <v>111</v>
      </c>
      <c r="BS463" t="s">
        <v>111</v>
      </c>
      <c r="BT463" t="s">
        <v>111</v>
      </c>
      <c r="BU463" t="s">
        <v>111</v>
      </c>
      <c r="BV463" t="s">
        <v>111</v>
      </c>
      <c r="BW463" t="s">
        <v>111</v>
      </c>
      <c r="BX463" t="s">
        <v>111</v>
      </c>
      <c r="BY463" t="s">
        <v>111</v>
      </c>
      <c r="BZ463" t="s">
        <v>111</v>
      </c>
      <c r="CA463" t="s">
        <v>111</v>
      </c>
      <c r="CB463" t="s">
        <v>111</v>
      </c>
      <c r="CC463" t="s">
        <v>111</v>
      </c>
      <c r="CD463" t="s">
        <v>111</v>
      </c>
      <c r="CE463" t="s">
        <v>111</v>
      </c>
      <c r="CF463" t="s">
        <v>111</v>
      </c>
      <c r="CG463" t="s">
        <v>111</v>
      </c>
      <c r="CH463" t="s">
        <v>111</v>
      </c>
      <c r="CI463" t="s">
        <v>111</v>
      </c>
      <c r="CJ463" t="s">
        <v>111</v>
      </c>
      <c r="CK463" t="s">
        <v>111</v>
      </c>
      <c r="CL463" t="s">
        <v>111</v>
      </c>
      <c r="CM463" t="s">
        <v>111</v>
      </c>
      <c r="CN463" t="s">
        <v>111</v>
      </c>
      <c r="CO463" t="s">
        <v>111</v>
      </c>
      <c r="CP463" t="s">
        <v>111</v>
      </c>
      <c r="CQ463">
        <v>0</v>
      </c>
      <c r="CR463">
        <v>0</v>
      </c>
      <c r="CS463">
        <v>0</v>
      </c>
      <c r="CT463" t="s">
        <v>111</v>
      </c>
      <c r="CU463">
        <v>0</v>
      </c>
      <c r="CV463" t="s">
        <v>111</v>
      </c>
      <c r="CW463" t="s">
        <v>111</v>
      </c>
      <c r="CX463" t="s">
        <v>111</v>
      </c>
      <c r="CY463">
        <v>0</v>
      </c>
      <c r="CZ463" t="s">
        <v>111</v>
      </c>
      <c r="DA463" t="s">
        <v>111</v>
      </c>
      <c r="DB463" t="s">
        <v>111</v>
      </c>
      <c r="DC463" t="s">
        <v>111</v>
      </c>
    </row>
    <row r="464" spans="1:107">
      <c r="A464">
        <v>917</v>
      </c>
      <c r="B464" t="s">
        <v>107</v>
      </c>
      <c r="C464" t="s">
        <v>405</v>
      </c>
      <c r="D464" t="s">
        <v>1699</v>
      </c>
      <c r="E464" t="s">
        <v>1700</v>
      </c>
      <c r="F464" t="s">
        <v>166</v>
      </c>
      <c r="G464" t="s">
        <v>469</v>
      </c>
      <c r="H464">
        <v>2.4</v>
      </c>
      <c r="I464">
        <v>32</v>
      </c>
      <c r="J464">
        <v>5</v>
      </c>
      <c r="K464">
        <v>5</v>
      </c>
      <c r="L464" t="s">
        <v>112</v>
      </c>
      <c r="M464" t="s">
        <v>118</v>
      </c>
      <c r="N464">
        <v>39</v>
      </c>
      <c r="O464">
        <v>2</v>
      </c>
      <c r="P464" t="s">
        <v>111</v>
      </c>
      <c r="Q464">
        <v>25.5</v>
      </c>
      <c r="R464">
        <v>0</v>
      </c>
      <c r="S464">
        <v>0</v>
      </c>
      <c r="T464">
        <v>0</v>
      </c>
      <c r="U464" s="1" t="s">
        <v>1701</v>
      </c>
      <c r="V464">
        <v>250</v>
      </c>
      <c r="W464">
        <v>0</v>
      </c>
      <c r="X464">
        <v>5</v>
      </c>
      <c r="Y464">
        <v>0</v>
      </c>
      <c r="Z464" t="s">
        <v>111</v>
      </c>
      <c r="AA464">
        <v>0</v>
      </c>
      <c r="AB464" t="s">
        <v>111</v>
      </c>
      <c r="AC464">
        <v>0</v>
      </c>
      <c r="AD464" t="s">
        <v>111</v>
      </c>
      <c r="AE464">
        <v>0</v>
      </c>
      <c r="AF464">
        <v>0</v>
      </c>
      <c r="AG464" t="s">
        <v>111</v>
      </c>
      <c r="AH464" t="s">
        <v>111</v>
      </c>
      <c r="AI464" t="s">
        <v>111</v>
      </c>
      <c r="AJ464" t="s">
        <v>111</v>
      </c>
      <c r="AK464" t="s">
        <v>111</v>
      </c>
      <c r="AL464" t="s">
        <v>111</v>
      </c>
      <c r="AM464">
        <v>0</v>
      </c>
      <c r="AN464">
        <v>0</v>
      </c>
      <c r="AO464">
        <v>0</v>
      </c>
      <c r="AP464" t="s">
        <v>111</v>
      </c>
      <c r="AQ464" t="s">
        <v>111</v>
      </c>
      <c r="AR464" t="s">
        <v>111</v>
      </c>
      <c r="AS464" t="s">
        <v>111</v>
      </c>
      <c r="AT464" t="s">
        <v>111</v>
      </c>
      <c r="AU464" t="s">
        <v>111</v>
      </c>
      <c r="AV464" t="s">
        <v>111</v>
      </c>
      <c r="AW464" t="s">
        <v>111</v>
      </c>
      <c r="AX464" t="s">
        <v>111</v>
      </c>
      <c r="AY464" t="s">
        <v>111</v>
      </c>
      <c r="AZ464" t="s">
        <v>111</v>
      </c>
      <c r="BA464" t="s">
        <v>111</v>
      </c>
      <c r="BB464" t="s">
        <v>111</v>
      </c>
      <c r="BC464" t="s">
        <v>111</v>
      </c>
      <c r="BD464" t="s">
        <v>111</v>
      </c>
      <c r="BE464" t="s">
        <v>111</v>
      </c>
      <c r="BF464" t="s">
        <v>111</v>
      </c>
      <c r="BG464" t="s">
        <v>111</v>
      </c>
      <c r="BH464" t="s">
        <v>111</v>
      </c>
      <c r="BI464" t="s">
        <v>111</v>
      </c>
      <c r="BJ464" t="s">
        <v>111</v>
      </c>
      <c r="BK464" t="s">
        <v>111</v>
      </c>
      <c r="BL464" t="s">
        <v>111</v>
      </c>
      <c r="BM464" t="s">
        <v>111</v>
      </c>
      <c r="BN464" t="s">
        <v>111</v>
      </c>
      <c r="BO464" t="s">
        <v>111</v>
      </c>
      <c r="BP464" t="s">
        <v>111</v>
      </c>
      <c r="BQ464" t="s">
        <v>111</v>
      </c>
      <c r="BR464" t="s">
        <v>111</v>
      </c>
      <c r="BS464" t="s">
        <v>111</v>
      </c>
      <c r="BT464" t="s">
        <v>111</v>
      </c>
      <c r="BU464" t="s">
        <v>111</v>
      </c>
      <c r="BV464" t="s">
        <v>111</v>
      </c>
      <c r="BW464" t="s">
        <v>111</v>
      </c>
      <c r="BX464" t="s">
        <v>111</v>
      </c>
      <c r="BY464" t="s">
        <v>111</v>
      </c>
      <c r="BZ464" t="s">
        <v>111</v>
      </c>
      <c r="CA464" t="s">
        <v>111</v>
      </c>
      <c r="CB464" t="s">
        <v>111</v>
      </c>
      <c r="CC464" t="s">
        <v>111</v>
      </c>
      <c r="CD464" t="s">
        <v>111</v>
      </c>
      <c r="CE464" t="s">
        <v>111</v>
      </c>
      <c r="CF464" t="s">
        <v>111</v>
      </c>
      <c r="CG464" t="s">
        <v>111</v>
      </c>
      <c r="CH464" t="s">
        <v>111</v>
      </c>
      <c r="CI464" t="s">
        <v>111</v>
      </c>
      <c r="CJ464" t="s">
        <v>111</v>
      </c>
      <c r="CK464" t="s">
        <v>111</v>
      </c>
      <c r="CL464" t="s">
        <v>111</v>
      </c>
      <c r="CM464" t="s">
        <v>111</v>
      </c>
      <c r="CN464" t="s">
        <v>111</v>
      </c>
      <c r="CO464" t="s">
        <v>111</v>
      </c>
      <c r="CP464" t="s">
        <v>111</v>
      </c>
      <c r="CQ464">
        <v>0</v>
      </c>
      <c r="CR464">
        <v>0</v>
      </c>
      <c r="CS464">
        <v>0</v>
      </c>
      <c r="CT464" t="s">
        <v>111</v>
      </c>
      <c r="CU464">
        <v>0</v>
      </c>
      <c r="CV464" t="s">
        <v>111</v>
      </c>
      <c r="CW464" t="s">
        <v>111</v>
      </c>
      <c r="CX464" t="s">
        <v>111</v>
      </c>
      <c r="CY464">
        <v>0</v>
      </c>
      <c r="CZ464" t="s">
        <v>111</v>
      </c>
      <c r="DA464" t="s">
        <v>111</v>
      </c>
      <c r="DB464" t="s">
        <v>111</v>
      </c>
      <c r="DC464" t="s">
        <v>111</v>
      </c>
    </row>
    <row r="465" spans="1:107">
      <c r="A465">
        <v>916</v>
      </c>
      <c r="B465" t="s">
        <v>107</v>
      </c>
      <c r="C465" t="s">
        <v>405</v>
      </c>
      <c r="D465" t="s">
        <v>1702</v>
      </c>
      <c r="E465" t="s">
        <v>1703</v>
      </c>
      <c r="F465" t="s">
        <v>1704</v>
      </c>
      <c r="G465" t="s">
        <v>469</v>
      </c>
      <c r="H465">
        <v>2</v>
      </c>
      <c r="I465">
        <v>76</v>
      </c>
      <c r="J465">
        <v>0</v>
      </c>
      <c r="K465">
        <v>0</v>
      </c>
      <c r="L465" t="s">
        <v>178</v>
      </c>
      <c r="M465" t="s">
        <v>138</v>
      </c>
      <c r="N465">
        <v>0</v>
      </c>
      <c r="O465">
        <v>0</v>
      </c>
      <c r="P465" t="s">
        <v>111</v>
      </c>
      <c r="Q465">
        <v>30</v>
      </c>
      <c r="R465">
        <v>0</v>
      </c>
      <c r="S465">
        <v>0</v>
      </c>
      <c r="T465">
        <v>0</v>
      </c>
      <c r="U465" s="1" t="s">
        <v>1705</v>
      </c>
      <c r="V465">
        <v>25</v>
      </c>
      <c r="W465">
        <v>0</v>
      </c>
      <c r="X465">
        <v>50</v>
      </c>
      <c r="Y465">
        <v>0</v>
      </c>
      <c r="Z465" t="s">
        <v>111</v>
      </c>
      <c r="AA465">
        <v>0</v>
      </c>
      <c r="AB465" t="s">
        <v>111</v>
      </c>
      <c r="AC465">
        <v>0</v>
      </c>
      <c r="AD465" t="s">
        <v>111</v>
      </c>
      <c r="AE465">
        <v>0</v>
      </c>
      <c r="AF465">
        <v>0</v>
      </c>
      <c r="AG465" t="s">
        <v>111</v>
      </c>
      <c r="AH465" t="s">
        <v>111</v>
      </c>
      <c r="AI465" t="s">
        <v>111</v>
      </c>
      <c r="AJ465" t="s">
        <v>111</v>
      </c>
      <c r="AK465" t="s">
        <v>111</v>
      </c>
      <c r="AL465" t="s">
        <v>111</v>
      </c>
      <c r="AM465">
        <v>0</v>
      </c>
      <c r="AN465">
        <v>0</v>
      </c>
      <c r="AO465">
        <v>0</v>
      </c>
      <c r="AP465" t="s">
        <v>111</v>
      </c>
      <c r="AQ465" t="s">
        <v>111</v>
      </c>
      <c r="AR465" t="s">
        <v>111</v>
      </c>
      <c r="AS465" t="s">
        <v>111</v>
      </c>
      <c r="AT465" t="s">
        <v>111</v>
      </c>
      <c r="AU465" t="s">
        <v>111</v>
      </c>
      <c r="AV465" t="s">
        <v>111</v>
      </c>
      <c r="AW465" t="s">
        <v>111</v>
      </c>
      <c r="AX465" t="s">
        <v>111</v>
      </c>
      <c r="AY465" t="s">
        <v>111</v>
      </c>
      <c r="AZ465" t="s">
        <v>111</v>
      </c>
      <c r="BA465" t="s">
        <v>111</v>
      </c>
      <c r="BB465" t="s">
        <v>111</v>
      </c>
      <c r="BC465" t="s">
        <v>111</v>
      </c>
      <c r="BD465" t="s">
        <v>111</v>
      </c>
      <c r="BE465" t="s">
        <v>111</v>
      </c>
      <c r="BF465" t="s">
        <v>111</v>
      </c>
      <c r="BG465" t="s">
        <v>111</v>
      </c>
      <c r="BH465" t="s">
        <v>111</v>
      </c>
      <c r="BI465" t="s">
        <v>111</v>
      </c>
      <c r="BJ465" t="s">
        <v>111</v>
      </c>
      <c r="BK465" t="s">
        <v>111</v>
      </c>
      <c r="BL465" t="s">
        <v>111</v>
      </c>
      <c r="BM465" t="s">
        <v>111</v>
      </c>
      <c r="BN465" t="s">
        <v>111</v>
      </c>
      <c r="BO465" t="s">
        <v>111</v>
      </c>
      <c r="BP465" t="s">
        <v>111</v>
      </c>
      <c r="BQ465" t="s">
        <v>111</v>
      </c>
      <c r="BR465" t="s">
        <v>111</v>
      </c>
      <c r="BS465" t="s">
        <v>111</v>
      </c>
      <c r="BT465" t="s">
        <v>111</v>
      </c>
      <c r="BU465" t="s">
        <v>111</v>
      </c>
      <c r="BV465" t="s">
        <v>111</v>
      </c>
      <c r="BW465" t="s">
        <v>111</v>
      </c>
      <c r="BX465" t="s">
        <v>111</v>
      </c>
      <c r="BY465" t="s">
        <v>111</v>
      </c>
      <c r="BZ465" t="s">
        <v>111</v>
      </c>
      <c r="CA465" t="s">
        <v>111</v>
      </c>
      <c r="CB465" t="s">
        <v>111</v>
      </c>
      <c r="CC465" t="s">
        <v>111</v>
      </c>
      <c r="CD465" t="s">
        <v>111</v>
      </c>
      <c r="CE465" t="s">
        <v>111</v>
      </c>
      <c r="CF465" t="s">
        <v>111</v>
      </c>
      <c r="CG465" t="s">
        <v>111</v>
      </c>
      <c r="CH465" t="s">
        <v>111</v>
      </c>
      <c r="CI465" t="s">
        <v>111</v>
      </c>
      <c r="CJ465" t="s">
        <v>111</v>
      </c>
      <c r="CK465" t="s">
        <v>111</v>
      </c>
      <c r="CL465" t="s">
        <v>111</v>
      </c>
      <c r="CM465" t="s">
        <v>111</v>
      </c>
      <c r="CN465" t="s">
        <v>111</v>
      </c>
      <c r="CO465" t="s">
        <v>111</v>
      </c>
      <c r="CP465" t="s">
        <v>111</v>
      </c>
      <c r="CQ465">
        <v>0</v>
      </c>
      <c r="CR465">
        <v>0</v>
      </c>
      <c r="CS465">
        <v>0</v>
      </c>
      <c r="CT465" t="s">
        <v>111</v>
      </c>
      <c r="CU465">
        <v>0</v>
      </c>
      <c r="CV465" t="s">
        <v>111</v>
      </c>
      <c r="CW465" t="s">
        <v>111</v>
      </c>
      <c r="CX465" t="s">
        <v>111</v>
      </c>
      <c r="CY465">
        <v>0</v>
      </c>
      <c r="CZ465" t="s">
        <v>111</v>
      </c>
      <c r="DA465" t="s">
        <v>111</v>
      </c>
      <c r="DB465" t="s">
        <v>111</v>
      </c>
      <c r="DC465" t="s">
        <v>111</v>
      </c>
    </row>
    <row r="466" spans="1:107">
      <c r="A466">
        <v>915</v>
      </c>
      <c r="B466" t="s">
        <v>107</v>
      </c>
      <c r="C466" t="s">
        <v>405</v>
      </c>
      <c r="D466" t="s">
        <v>1706</v>
      </c>
      <c r="E466" t="s">
        <v>1707</v>
      </c>
      <c r="F466" t="s">
        <v>1708</v>
      </c>
      <c r="G466" t="s">
        <v>469</v>
      </c>
      <c r="H466">
        <v>2.9</v>
      </c>
      <c r="I466">
        <v>50</v>
      </c>
      <c r="J466">
        <v>0</v>
      </c>
      <c r="K466">
        <v>0</v>
      </c>
      <c r="L466" t="s">
        <v>112</v>
      </c>
      <c r="M466" t="s">
        <v>118</v>
      </c>
      <c r="N466">
        <v>39</v>
      </c>
      <c r="O466">
        <v>2</v>
      </c>
      <c r="P466" t="s">
        <v>111</v>
      </c>
      <c r="Q466">
        <v>40</v>
      </c>
      <c r="R466">
        <v>0</v>
      </c>
      <c r="S466">
        <v>0</v>
      </c>
      <c r="T466">
        <v>0</v>
      </c>
      <c r="U466" s="1" t="s">
        <v>1709</v>
      </c>
      <c r="V466">
        <v>25</v>
      </c>
      <c r="W466">
        <v>0</v>
      </c>
      <c r="X466">
        <v>5</v>
      </c>
      <c r="Y466">
        <v>0</v>
      </c>
      <c r="Z466" t="s">
        <v>288</v>
      </c>
      <c r="AA466">
        <v>1.5</v>
      </c>
      <c r="AB466" t="s">
        <v>111</v>
      </c>
      <c r="AC466">
        <v>0</v>
      </c>
      <c r="AD466" t="s">
        <v>111</v>
      </c>
      <c r="AE466">
        <v>0</v>
      </c>
      <c r="AF466">
        <v>0</v>
      </c>
      <c r="AG466" t="s">
        <v>111</v>
      </c>
      <c r="AH466" t="s">
        <v>111</v>
      </c>
      <c r="AI466" t="s">
        <v>111</v>
      </c>
      <c r="AJ466" t="s">
        <v>111</v>
      </c>
      <c r="AK466" t="s">
        <v>111</v>
      </c>
      <c r="AL466" t="s">
        <v>111</v>
      </c>
      <c r="AM466">
        <v>0</v>
      </c>
      <c r="AN466">
        <v>0</v>
      </c>
      <c r="AO466">
        <v>0</v>
      </c>
      <c r="AP466" t="s">
        <v>111</v>
      </c>
      <c r="AQ466" t="s">
        <v>111</v>
      </c>
      <c r="AR466" t="s">
        <v>111</v>
      </c>
      <c r="AS466" t="s">
        <v>111</v>
      </c>
      <c r="AT466" t="s">
        <v>111</v>
      </c>
      <c r="AU466" t="s">
        <v>111</v>
      </c>
      <c r="AV466" t="s">
        <v>111</v>
      </c>
      <c r="AW466" t="s">
        <v>111</v>
      </c>
      <c r="AX466" t="s">
        <v>111</v>
      </c>
      <c r="AY466" t="s">
        <v>111</v>
      </c>
      <c r="AZ466" t="s">
        <v>111</v>
      </c>
      <c r="BA466" t="s">
        <v>111</v>
      </c>
      <c r="BB466" t="s">
        <v>111</v>
      </c>
      <c r="BC466" t="s">
        <v>111</v>
      </c>
      <c r="BD466" t="s">
        <v>111</v>
      </c>
      <c r="BE466" t="s">
        <v>111</v>
      </c>
      <c r="BF466" t="s">
        <v>111</v>
      </c>
      <c r="BG466" t="s">
        <v>111</v>
      </c>
      <c r="BH466" t="s">
        <v>111</v>
      </c>
      <c r="BI466" t="s">
        <v>111</v>
      </c>
      <c r="BJ466" t="s">
        <v>111</v>
      </c>
      <c r="BK466" t="s">
        <v>111</v>
      </c>
      <c r="BL466" t="s">
        <v>111</v>
      </c>
      <c r="BM466" t="s">
        <v>111</v>
      </c>
      <c r="BN466" t="s">
        <v>111</v>
      </c>
      <c r="BO466" t="s">
        <v>111</v>
      </c>
      <c r="BP466" t="s">
        <v>111</v>
      </c>
      <c r="BQ466" t="s">
        <v>111</v>
      </c>
      <c r="BR466" t="s">
        <v>111</v>
      </c>
      <c r="BS466" t="s">
        <v>111</v>
      </c>
      <c r="BT466" t="s">
        <v>111</v>
      </c>
      <c r="BU466" t="s">
        <v>111</v>
      </c>
      <c r="BV466" t="s">
        <v>111</v>
      </c>
      <c r="BW466" t="s">
        <v>111</v>
      </c>
      <c r="BX466" t="s">
        <v>111</v>
      </c>
      <c r="BY466" t="s">
        <v>111</v>
      </c>
      <c r="BZ466" t="s">
        <v>111</v>
      </c>
      <c r="CA466" t="s">
        <v>111</v>
      </c>
      <c r="CB466" t="s">
        <v>111</v>
      </c>
      <c r="CC466" t="s">
        <v>111</v>
      </c>
      <c r="CD466" t="s">
        <v>111</v>
      </c>
      <c r="CE466" t="s">
        <v>111</v>
      </c>
      <c r="CF466" t="s">
        <v>111</v>
      </c>
      <c r="CG466" t="s">
        <v>111</v>
      </c>
      <c r="CH466" t="s">
        <v>111</v>
      </c>
      <c r="CI466" t="s">
        <v>111</v>
      </c>
      <c r="CJ466" t="s">
        <v>111</v>
      </c>
      <c r="CK466" t="s">
        <v>111</v>
      </c>
      <c r="CL466" t="s">
        <v>111</v>
      </c>
      <c r="CM466" t="s">
        <v>111</v>
      </c>
      <c r="CN466" t="s">
        <v>111</v>
      </c>
      <c r="CO466" t="s">
        <v>111</v>
      </c>
      <c r="CP466" t="s">
        <v>111</v>
      </c>
      <c r="CQ466">
        <v>0</v>
      </c>
      <c r="CR466">
        <v>0</v>
      </c>
      <c r="CS466">
        <v>0</v>
      </c>
      <c r="CT466" t="s">
        <v>111</v>
      </c>
      <c r="CU466">
        <v>0</v>
      </c>
      <c r="CV466" t="s">
        <v>111</v>
      </c>
      <c r="CW466" t="s">
        <v>111</v>
      </c>
      <c r="CX466" t="s">
        <v>111</v>
      </c>
      <c r="CY466">
        <v>0</v>
      </c>
      <c r="CZ466" t="s">
        <v>111</v>
      </c>
      <c r="DA466" t="s">
        <v>111</v>
      </c>
      <c r="DB466" t="s">
        <v>111</v>
      </c>
      <c r="DC466" t="s">
        <v>111</v>
      </c>
    </row>
    <row r="467" spans="1:107">
      <c r="A467">
        <v>924</v>
      </c>
      <c r="B467" t="s">
        <v>1314</v>
      </c>
      <c r="C467" t="s">
        <v>428</v>
      </c>
      <c r="D467" t="s">
        <v>1379</v>
      </c>
      <c r="E467" t="s">
        <v>1710</v>
      </c>
      <c r="F467" t="s">
        <v>431</v>
      </c>
      <c r="G467" t="s">
        <v>469</v>
      </c>
      <c r="H467">
        <v>1.2</v>
      </c>
      <c r="I467">
        <v>34.5</v>
      </c>
      <c r="J467">
        <v>2.5</v>
      </c>
      <c r="K467">
        <v>0</v>
      </c>
      <c r="L467" t="s">
        <v>178</v>
      </c>
      <c r="M467" t="s">
        <v>118</v>
      </c>
      <c r="N467">
        <v>39</v>
      </c>
      <c r="O467">
        <v>2</v>
      </c>
      <c r="P467" t="s">
        <v>111</v>
      </c>
      <c r="Q467">
        <v>37</v>
      </c>
      <c r="R467">
        <v>0</v>
      </c>
      <c r="S467">
        <v>0</v>
      </c>
      <c r="T467">
        <v>0</v>
      </c>
      <c r="U467" s="1" t="s">
        <v>1711</v>
      </c>
      <c r="V467">
        <v>0</v>
      </c>
      <c r="W467">
        <v>25</v>
      </c>
      <c r="X467">
        <v>5</v>
      </c>
      <c r="Y467">
        <v>0</v>
      </c>
      <c r="Z467" t="s">
        <v>111</v>
      </c>
      <c r="AA467">
        <v>0</v>
      </c>
      <c r="AB467" t="s">
        <v>111</v>
      </c>
      <c r="AC467">
        <v>0</v>
      </c>
      <c r="AD467" t="s">
        <v>416</v>
      </c>
      <c r="AE467">
        <v>1</v>
      </c>
      <c r="AF467">
        <v>2</v>
      </c>
      <c r="AG467" t="s">
        <v>1712</v>
      </c>
      <c r="AH467" t="s">
        <v>113</v>
      </c>
      <c r="AI467" t="s">
        <v>1713</v>
      </c>
      <c r="AJ467" t="s">
        <v>111</v>
      </c>
      <c r="AK467" t="s">
        <v>111</v>
      </c>
      <c r="AL467" t="s">
        <v>111</v>
      </c>
      <c r="AM467">
        <v>0</v>
      </c>
      <c r="AN467">
        <v>0</v>
      </c>
      <c r="AO467">
        <v>0</v>
      </c>
      <c r="AP467" t="s">
        <v>259</v>
      </c>
      <c r="AQ467" t="s">
        <v>111</v>
      </c>
      <c r="AR467" t="s">
        <v>111</v>
      </c>
      <c r="AS467" t="s">
        <v>111</v>
      </c>
      <c r="AT467" t="s">
        <v>111</v>
      </c>
      <c r="AU467" t="s">
        <v>111</v>
      </c>
      <c r="AV467" t="s">
        <v>111</v>
      </c>
      <c r="AW467" t="s">
        <v>111</v>
      </c>
      <c r="AX467" t="s">
        <v>111</v>
      </c>
      <c r="AY467" t="s">
        <v>111</v>
      </c>
      <c r="AZ467" t="s">
        <v>111</v>
      </c>
      <c r="BA467" t="s">
        <v>111</v>
      </c>
      <c r="BB467" t="s">
        <v>111</v>
      </c>
      <c r="BC467" t="s">
        <v>111</v>
      </c>
      <c r="BD467" t="s">
        <v>111</v>
      </c>
      <c r="BE467" t="s">
        <v>111</v>
      </c>
      <c r="BF467" t="s">
        <v>111</v>
      </c>
      <c r="BG467" t="s">
        <v>111</v>
      </c>
      <c r="BH467" t="s">
        <v>111</v>
      </c>
      <c r="BI467" t="s">
        <v>111</v>
      </c>
      <c r="BJ467" t="s">
        <v>111</v>
      </c>
      <c r="BK467" t="s">
        <v>111</v>
      </c>
      <c r="BL467" t="s">
        <v>111</v>
      </c>
      <c r="BM467" t="s">
        <v>111</v>
      </c>
      <c r="BN467" t="s">
        <v>259</v>
      </c>
      <c r="BO467" t="s">
        <v>111</v>
      </c>
      <c r="BP467" t="s">
        <v>111</v>
      </c>
      <c r="BQ467" t="s">
        <v>111</v>
      </c>
      <c r="BR467" t="s">
        <v>111</v>
      </c>
      <c r="BS467" t="s">
        <v>111</v>
      </c>
      <c r="BT467" t="s">
        <v>111</v>
      </c>
      <c r="BU467" t="s">
        <v>111</v>
      </c>
      <c r="BV467" t="s">
        <v>111</v>
      </c>
      <c r="BW467" t="s">
        <v>111</v>
      </c>
      <c r="BX467" t="s">
        <v>111</v>
      </c>
      <c r="BY467" t="s">
        <v>111</v>
      </c>
      <c r="BZ467" t="s">
        <v>111</v>
      </c>
      <c r="CA467" t="s">
        <v>111</v>
      </c>
      <c r="CB467" t="s">
        <v>111</v>
      </c>
      <c r="CC467" t="s">
        <v>111</v>
      </c>
      <c r="CD467" t="s">
        <v>111</v>
      </c>
      <c r="CE467" t="s">
        <v>111</v>
      </c>
      <c r="CF467" t="s">
        <v>111</v>
      </c>
      <c r="CG467" t="s">
        <v>111</v>
      </c>
      <c r="CH467" t="s">
        <v>111</v>
      </c>
      <c r="CI467" t="s">
        <v>111</v>
      </c>
      <c r="CJ467" t="s">
        <v>111</v>
      </c>
      <c r="CK467" t="s">
        <v>111</v>
      </c>
      <c r="CL467" t="e">
        <f>-DESTINO SELLADO</f>
        <v>#NAME?</v>
      </c>
      <c r="CM467" t="s">
        <v>198</v>
      </c>
      <c r="CN467" t="s">
        <v>113</v>
      </c>
      <c r="CO467" t="s">
        <v>111</v>
      </c>
      <c r="CP467" t="e">
        <f>-MUESTRA</f>
        <v>#NAME?</v>
      </c>
      <c r="CQ467">
        <v>68</v>
      </c>
      <c r="CR467">
        <v>4000</v>
      </c>
      <c r="CS467">
        <v>200</v>
      </c>
      <c r="CT467" s="1" t="s">
        <v>1714</v>
      </c>
      <c r="CU467">
        <v>0</v>
      </c>
      <c r="CV467" t="s">
        <v>111</v>
      </c>
      <c r="CW467" t="s">
        <v>111</v>
      </c>
      <c r="CX467" t="s">
        <v>111</v>
      </c>
      <c r="CY467">
        <v>0</v>
      </c>
      <c r="CZ467" t="s">
        <v>111</v>
      </c>
      <c r="DA467" t="s">
        <v>111</v>
      </c>
      <c r="DB467" t="s">
        <v>111</v>
      </c>
      <c r="DC467" t="s">
        <v>111</v>
      </c>
    </row>
    <row r="468" spans="1:107">
      <c r="A468">
        <v>914</v>
      </c>
      <c r="B468" t="s">
        <v>107</v>
      </c>
      <c r="C468" t="s">
        <v>405</v>
      </c>
      <c r="D468" t="s">
        <v>1715</v>
      </c>
      <c r="E468" t="s">
        <v>1716</v>
      </c>
      <c r="F468" t="s">
        <v>1708</v>
      </c>
      <c r="G468" t="s">
        <v>469</v>
      </c>
      <c r="H468">
        <v>2.9</v>
      </c>
      <c r="I468">
        <v>44</v>
      </c>
      <c r="J468">
        <v>6.5</v>
      </c>
      <c r="K468">
        <v>6.5</v>
      </c>
      <c r="L468" t="s">
        <v>112</v>
      </c>
      <c r="M468" t="s">
        <v>118</v>
      </c>
      <c r="N468">
        <v>39</v>
      </c>
      <c r="O468">
        <v>2</v>
      </c>
      <c r="P468" t="s">
        <v>111</v>
      </c>
      <c r="Q468">
        <v>30</v>
      </c>
      <c r="R468">
        <v>0</v>
      </c>
      <c r="S468">
        <v>0</v>
      </c>
      <c r="T468">
        <v>0</v>
      </c>
      <c r="U468" s="1" t="s">
        <v>1717</v>
      </c>
      <c r="V468">
        <v>25</v>
      </c>
      <c r="W468">
        <v>0</v>
      </c>
      <c r="X468">
        <v>5</v>
      </c>
      <c r="Y468">
        <v>0</v>
      </c>
      <c r="Z468" t="s">
        <v>288</v>
      </c>
      <c r="AA468">
        <v>1.5</v>
      </c>
      <c r="AB468" t="s">
        <v>111</v>
      </c>
      <c r="AC468">
        <v>0</v>
      </c>
      <c r="AD468" t="s">
        <v>111</v>
      </c>
      <c r="AE468">
        <v>0</v>
      </c>
      <c r="AF468">
        <v>0</v>
      </c>
      <c r="AG468" t="s">
        <v>111</v>
      </c>
      <c r="AH468" t="s">
        <v>111</v>
      </c>
      <c r="AI468" t="s">
        <v>111</v>
      </c>
      <c r="AJ468" t="s">
        <v>111</v>
      </c>
      <c r="AK468" t="s">
        <v>111</v>
      </c>
      <c r="AL468" t="s">
        <v>111</v>
      </c>
      <c r="AM468">
        <v>0</v>
      </c>
      <c r="AN468">
        <v>0</v>
      </c>
      <c r="AO468">
        <v>0</v>
      </c>
      <c r="AP468" t="s">
        <v>111</v>
      </c>
      <c r="AQ468" t="s">
        <v>111</v>
      </c>
      <c r="AR468" t="s">
        <v>111</v>
      </c>
      <c r="AS468" t="s">
        <v>111</v>
      </c>
      <c r="AT468" t="s">
        <v>111</v>
      </c>
      <c r="AU468" t="s">
        <v>111</v>
      </c>
      <c r="AV468" t="s">
        <v>111</v>
      </c>
      <c r="AW468" t="s">
        <v>111</v>
      </c>
      <c r="AX468" t="s">
        <v>111</v>
      </c>
      <c r="AY468" t="s">
        <v>111</v>
      </c>
      <c r="AZ468" t="s">
        <v>111</v>
      </c>
      <c r="BA468" t="s">
        <v>111</v>
      </c>
      <c r="BB468" t="s">
        <v>111</v>
      </c>
      <c r="BC468" t="s">
        <v>111</v>
      </c>
      <c r="BD468" t="s">
        <v>111</v>
      </c>
      <c r="BE468" t="s">
        <v>111</v>
      </c>
      <c r="BF468" t="s">
        <v>111</v>
      </c>
      <c r="BG468" t="s">
        <v>111</v>
      </c>
      <c r="BH468" t="s">
        <v>111</v>
      </c>
      <c r="BI468" t="s">
        <v>111</v>
      </c>
      <c r="BJ468" t="s">
        <v>111</v>
      </c>
      <c r="BK468" t="s">
        <v>111</v>
      </c>
      <c r="BL468" t="s">
        <v>111</v>
      </c>
      <c r="BM468" t="s">
        <v>111</v>
      </c>
      <c r="BN468" t="s">
        <v>111</v>
      </c>
      <c r="BO468" t="s">
        <v>111</v>
      </c>
      <c r="BP468" t="s">
        <v>111</v>
      </c>
      <c r="BQ468" t="s">
        <v>111</v>
      </c>
      <c r="BR468" t="s">
        <v>111</v>
      </c>
      <c r="BS468" t="s">
        <v>111</v>
      </c>
      <c r="BT468" t="s">
        <v>111</v>
      </c>
      <c r="BU468" t="s">
        <v>111</v>
      </c>
      <c r="BV468" t="s">
        <v>111</v>
      </c>
      <c r="BW468" t="s">
        <v>111</v>
      </c>
      <c r="BX468" t="s">
        <v>111</v>
      </c>
      <c r="BY468" t="s">
        <v>111</v>
      </c>
      <c r="BZ468" t="s">
        <v>111</v>
      </c>
      <c r="CA468" t="s">
        <v>111</v>
      </c>
      <c r="CB468" t="s">
        <v>111</v>
      </c>
      <c r="CC468" t="s">
        <v>111</v>
      </c>
      <c r="CD468" t="s">
        <v>111</v>
      </c>
      <c r="CE468" t="s">
        <v>111</v>
      </c>
      <c r="CF468" t="s">
        <v>111</v>
      </c>
      <c r="CG468" t="s">
        <v>111</v>
      </c>
      <c r="CH468" t="s">
        <v>111</v>
      </c>
      <c r="CI468" t="s">
        <v>111</v>
      </c>
      <c r="CJ468" t="s">
        <v>111</v>
      </c>
      <c r="CK468" t="s">
        <v>111</v>
      </c>
      <c r="CL468" t="s">
        <v>111</v>
      </c>
      <c r="CM468" t="s">
        <v>111</v>
      </c>
      <c r="CN468" t="s">
        <v>111</v>
      </c>
      <c r="CO468" t="s">
        <v>111</v>
      </c>
      <c r="CP468" t="s">
        <v>111</v>
      </c>
      <c r="CQ468">
        <v>0</v>
      </c>
      <c r="CR468">
        <v>0</v>
      </c>
      <c r="CS468">
        <v>0</v>
      </c>
      <c r="CT468" t="s">
        <v>111</v>
      </c>
      <c r="CU468">
        <v>0</v>
      </c>
      <c r="CV468" t="s">
        <v>111</v>
      </c>
      <c r="CW468" t="s">
        <v>111</v>
      </c>
      <c r="CX468" t="s">
        <v>111</v>
      </c>
      <c r="CY468">
        <v>0</v>
      </c>
      <c r="CZ468" t="s">
        <v>111</v>
      </c>
      <c r="DA468" t="s">
        <v>111</v>
      </c>
      <c r="DB468" t="s">
        <v>111</v>
      </c>
      <c r="DC468" t="s">
        <v>111</v>
      </c>
    </row>
    <row r="469" spans="1:107">
      <c r="A469">
        <v>387</v>
      </c>
      <c r="B469" t="s">
        <v>107</v>
      </c>
      <c r="C469" t="s">
        <v>351</v>
      </c>
      <c r="D469" t="s">
        <v>1718</v>
      </c>
      <c r="E469" t="s">
        <v>1719</v>
      </c>
      <c r="F469" t="s">
        <v>739</v>
      </c>
      <c r="G469" t="s">
        <v>469</v>
      </c>
      <c r="H469">
        <v>4.5</v>
      </c>
      <c r="I469">
        <v>32</v>
      </c>
      <c r="J469">
        <v>0</v>
      </c>
      <c r="K469">
        <v>0</v>
      </c>
      <c r="L469" t="s">
        <v>112</v>
      </c>
      <c r="M469" t="s">
        <v>118</v>
      </c>
      <c r="N469">
        <v>40</v>
      </c>
      <c r="O469">
        <v>2</v>
      </c>
      <c r="P469" t="s">
        <v>138</v>
      </c>
      <c r="Q469">
        <v>31.6</v>
      </c>
      <c r="R469">
        <v>0</v>
      </c>
      <c r="S469">
        <v>0</v>
      </c>
      <c r="T469">
        <v>5</v>
      </c>
      <c r="U469" s="1" t="s">
        <v>1720</v>
      </c>
      <c r="V469">
        <v>0</v>
      </c>
      <c r="W469">
        <v>25</v>
      </c>
      <c r="X469">
        <v>10</v>
      </c>
      <c r="Y469">
        <v>0</v>
      </c>
      <c r="Z469" t="s">
        <v>288</v>
      </c>
      <c r="AA469">
        <v>1.75</v>
      </c>
      <c r="AB469" t="s">
        <v>111</v>
      </c>
      <c r="AC469">
        <v>0</v>
      </c>
      <c r="AD469" t="s">
        <v>416</v>
      </c>
      <c r="AE469">
        <v>2</v>
      </c>
      <c r="AF469">
        <v>1</v>
      </c>
      <c r="AG469">
        <v>45</v>
      </c>
      <c r="AH469" t="s">
        <v>113</v>
      </c>
      <c r="AI469" t="s">
        <v>111</v>
      </c>
      <c r="AJ469" t="s">
        <v>111</v>
      </c>
      <c r="AK469" t="s">
        <v>111</v>
      </c>
      <c r="AL469" t="s">
        <v>111</v>
      </c>
      <c r="AM469">
        <v>0</v>
      </c>
      <c r="AN469">
        <v>0</v>
      </c>
      <c r="AO469">
        <v>0</v>
      </c>
      <c r="AP469" t="s">
        <v>271</v>
      </c>
      <c r="AQ469" t="s">
        <v>111</v>
      </c>
      <c r="AR469" t="s">
        <v>111</v>
      </c>
      <c r="AS469" t="s">
        <v>111</v>
      </c>
      <c r="AT469" t="s">
        <v>366</v>
      </c>
      <c r="AU469" t="s">
        <v>111</v>
      </c>
      <c r="AV469" t="s">
        <v>111</v>
      </c>
      <c r="AW469" t="s">
        <v>111</v>
      </c>
      <c r="AX469" t="s">
        <v>111</v>
      </c>
      <c r="AY469" t="s">
        <v>111</v>
      </c>
      <c r="AZ469" t="s">
        <v>111</v>
      </c>
      <c r="BA469" t="s">
        <v>111</v>
      </c>
      <c r="BB469" t="s">
        <v>111</v>
      </c>
      <c r="BC469" t="s">
        <v>111</v>
      </c>
      <c r="BD469" t="s">
        <v>111</v>
      </c>
      <c r="BE469" t="s">
        <v>111</v>
      </c>
      <c r="BF469" t="s">
        <v>111</v>
      </c>
      <c r="BG469" t="s">
        <v>111</v>
      </c>
      <c r="BH469" t="s">
        <v>111</v>
      </c>
      <c r="BI469" t="s">
        <v>111</v>
      </c>
      <c r="BJ469" t="s">
        <v>111</v>
      </c>
      <c r="BK469" t="s">
        <v>111</v>
      </c>
      <c r="BL469" t="s">
        <v>111</v>
      </c>
      <c r="BM469" t="s">
        <v>111</v>
      </c>
      <c r="BN469" t="s">
        <v>111</v>
      </c>
      <c r="BO469" t="s">
        <v>111</v>
      </c>
      <c r="BP469" t="s">
        <v>111</v>
      </c>
      <c r="BQ469" t="s">
        <v>111</v>
      </c>
      <c r="BR469" t="s">
        <v>111</v>
      </c>
      <c r="BS469" t="s">
        <v>111</v>
      </c>
      <c r="BT469" t="s">
        <v>111</v>
      </c>
      <c r="BU469" t="s">
        <v>111</v>
      </c>
      <c r="BV469" t="s">
        <v>111</v>
      </c>
      <c r="BW469" t="s">
        <v>111</v>
      </c>
      <c r="BX469" t="s">
        <v>111</v>
      </c>
      <c r="BY469" t="s">
        <v>111</v>
      </c>
      <c r="BZ469" t="s">
        <v>111</v>
      </c>
      <c r="CA469" t="s">
        <v>111</v>
      </c>
      <c r="CB469" t="s">
        <v>111</v>
      </c>
      <c r="CC469" t="s">
        <v>111</v>
      </c>
      <c r="CD469" t="s">
        <v>111</v>
      </c>
      <c r="CE469" t="s">
        <v>111</v>
      </c>
      <c r="CF469" t="s">
        <v>111</v>
      </c>
      <c r="CG469" t="s">
        <v>111</v>
      </c>
      <c r="CH469" t="s">
        <v>111</v>
      </c>
      <c r="CI469" t="s">
        <v>111</v>
      </c>
      <c r="CJ469" t="s">
        <v>111</v>
      </c>
      <c r="CK469" t="s">
        <v>111</v>
      </c>
      <c r="CL469" t="s">
        <v>153</v>
      </c>
      <c r="CM469" t="s">
        <v>198</v>
      </c>
      <c r="CN469" t="s">
        <v>128</v>
      </c>
      <c r="CO469" t="s">
        <v>111</v>
      </c>
      <c r="CP469" t="s">
        <v>433</v>
      </c>
      <c r="CQ469">
        <v>0</v>
      </c>
      <c r="CR469">
        <v>1000</v>
      </c>
      <c r="CS469">
        <v>50</v>
      </c>
      <c r="CT469" t="s">
        <v>1721</v>
      </c>
      <c r="CU469">
        <v>0</v>
      </c>
      <c r="CV469" t="s">
        <v>111</v>
      </c>
      <c r="CW469" t="s">
        <v>111</v>
      </c>
      <c r="CX469" t="s">
        <v>111</v>
      </c>
      <c r="CY469">
        <v>0</v>
      </c>
      <c r="CZ469" t="s">
        <v>111</v>
      </c>
      <c r="DA469" t="s">
        <v>111</v>
      </c>
      <c r="DB469" t="s">
        <v>111</v>
      </c>
      <c r="DC469" t="s">
        <v>111</v>
      </c>
    </row>
    <row r="470" spans="1:107">
      <c r="A470">
        <v>897</v>
      </c>
      <c r="B470" t="s">
        <v>107</v>
      </c>
      <c r="C470" t="s">
        <v>154</v>
      </c>
      <c r="D470" t="s">
        <v>1722</v>
      </c>
      <c r="E470" t="s">
        <v>1723</v>
      </c>
      <c r="F470" t="s">
        <v>287</v>
      </c>
      <c r="G470" t="s">
        <v>469</v>
      </c>
      <c r="H470">
        <v>1.5</v>
      </c>
      <c r="I470">
        <v>28</v>
      </c>
      <c r="J470">
        <v>6</v>
      </c>
      <c r="K470">
        <v>6</v>
      </c>
      <c r="L470" t="s">
        <v>112</v>
      </c>
      <c r="M470" t="s">
        <v>138</v>
      </c>
      <c r="N470">
        <v>0</v>
      </c>
      <c r="O470">
        <v>0</v>
      </c>
      <c r="P470" t="s">
        <v>138</v>
      </c>
      <c r="Q470">
        <v>33</v>
      </c>
      <c r="R470">
        <v>0</v>
      </c>
      <c r="S470">
        <v>0</v>
      </c>
      <c r="T470">
        <v>5</v>
      </c>
      <c r="U470" s="1" t="s">
        <v>1724</v>
      </c>
      <c r="V470">
        <v>250</v>
      </c>
      <c r="W470">
        <v>0</v>
      </c>
      <c r="X470">
        <v>6</v>
      </c>
      <c r="Y470">
        <v>0</v>
      </c>
      <c r="Z470" t="s">
        <v>288</v>
      </c>
      <c r="AA470">
        <v>1.5</v>
      </c>
      <c r="AB470" t="s">
        <v>111</v>
      </c>
      <c r="AC470">
        <v>0</v>
      </c>
      <c r="AD470" t="s">
        <v>111</v>
      </c>
      <c r="AE470">
        <v>0</v>
      </c>
      <c r="AF470">
        <v>0</v>
      </c>
      <c r="AG470" t="s">
        <v>111</v>
      </c>
      <c r="AH470" t="s">
        <v>111</v>
      </c>
      <c r="AI470" t="s">
        <v>111</v>
      </c>
      <c r="AJ470" t="s">
        <v>111</v>
      </c>
      <c r="AK470" t="s">
        <v>111</v>
      </c>
      <c r="AL470" t="s">
        <v>111</v>
      </c>
      <c r="AM470">
        <v>0</v>
      </c>
      <c r="AN470">
        <v>0</v>
      </c>
      <c r="AO470">
        <v>0</v>
      </c>
      <c r="AP470" t="s">
        <v>111</v>
      </c>
      <c r="AQ470" t="s">
        <v>111</v>
      </c>
      <c r="AR470" t="s">
        <v>111</v>
      </c>
      <c r="AS470" t="s">
        <v>111</v>
      </c>
      <c r="AT470" t="s">
        <v>111</v>
      </c>
      <c r="AU470" t="s">
        <v>111</v>
      </c>
      <c r="AV470" t="s">
        <v>111</v>
      </c>
      <c r="AW470" t="s">
        <v>111</v>
      </c>
      <c r="AX470" t="s">
        <v>111</v>
      </c>
      <c r="AY470" t="s">
        <v>111</v>
      </c>
      <c r="AZ470" t="s">
        <v>111</v>
      </c>
      <c r="BA470" t="s">
        <v>111</v>
      </c>
      <c r="BB470" t="s">
        <v>111</v>
      </c>
      <c r="BC470" t="s">
        <v>111</v>
      </c>
      <c r="BD470" t="s">
        <v>111</v>
      </c>
      <c r="BE470" t="s">
        <v>111</v>
      </c>
      <c r="BF470" t="s">
        <v>111</v>
      </c>
      <c r="BG470" t="s">
        <v>111</v>
      </c>
      <c r="BH470" t="s">
        <v>111</v>
      </c>
      <c r="BI470" t="s">
        <v>111</v>
      </c>
      <c r="BJ470" t="s">
        <v>111</v>
      </c>
      <c r="BK470" t="s">
        <v>111</v>
      </c>
      <c r="BL470" t="s">
        <v>111</v>
      </c>
      <c r="BM470" t="s">
        <v>111</v>
      </c>
      <c r="BN470" t="s">
        <v>111</v>
      </c>
      <c r="BO470" t="s">
        <v>111</v>
      </c>
      <c r="BP470" t="s">
        <v>111</v>
      </c>
      <c r="BQ470" t="s">
        <v>111</v>
      </c>
      <c r="BR470" t="s">
        <v>111</v>
      </c>
      <c r="BS470" t="s">
        <v>111</v>
      </c>
      <c r="BT470" t="s">
        <v>111</v>
      </c>
      <c r="BU470" t="s">
        <v>111</v>
      </c>
      <c r="BV470" t="s">
        <v>111</v>
      </c>
      <c r="BW470" t="s">
        <v>111</v>
      </c>
      <c r="BX470" t="s">
        <v>111</v>
      </c>
      <c r="BY470" t="s">
        <v>111</v>
      </c>
      <c r="BZ470" t="s">
        <v>111</v>
      </c>
      <c r="CA470" t="s">
        <v>111</v>
      </c>
      <c r="CB470" t="s">
        <v>111</v>
      </c>
      <c r="CC470" t="s">
        <v>111</v>
      </c>
      <c r="CD470" t="s">
        <v>111</v>
      </c>
      <c r="CE470" t="s">
        <v>111</v>
      </c>
      <c r="CF470" t="s">
        <v>111</v>
      </c>
      <c r="CG470" t="s">
        <v>111</v>
      </c>
      <c r="CH470" t="s">
        <v>111</v>
      </c>
      <c r="CI470" t="s">
        <v>111</v>
      </c>
      <c r="CJ470" t="s">
        <v>111</v>
      </c>
      <c r="CK470" t="s">
        <v>111</v>
      </c>
      <c r="CL470" t="s">
        <v>111</v>
      </c>
      <c r="CM470" t="s">
        <v>198</v>
      </c>
      <c r="CN470" t="s">
        <v>128</v>
      </c>
      <c r="CO470" t="s">
        <v>111</v>
      </c>
      <c r="CP470" t="s">
        <v>111</v>
      </c>
      <c r="CQ470">
        <v>45</v>
      </c>
      <c r="CR470">
        <v>1500</v>
      </c>
      <c r="CS470">
        <v>50</v>
      </c>
      <c r="CT470" s="1" t="s">
        <v>1725</v>
      </c>
      <c r="CU470">
        <v>0</v>
      </c>
      <c r="CV470" t="s">
        <v>111</v>
      </c>
      <c r="CW470" t="s">
        <v>111</v>
      </c>
      <c r="CX470" t="s">
        <v>111</v>
      </c>
      <c r="CY470">
        <v>0</v>
      </c>
      <c r="CZ470" t="s">
        <v>111</v>
      </c>
      <c r="DA470" t="s">
        <v>111</v>
      </c>
      <c r="DB470" t="s">
        <v>204</v>
      </c>
      <c r="DC470" t="s">
        <v>1202</v>
      </c>
    </row>
    <row r="471" spans="1:107">
      <c r="A471">
        <v>944</v>
      </c>
      <c r="B471" t="s">
        <v>107</v>
      </c>
      <c r="C471" t="s">
        <v>454</v>
      </c>
      <c r="D471" t="s">
        <v>1726</v>
      </c>
      <c r="E471" t="s">
        <v>1727</v>
      </c>
      <c r="F471" t="s">
        <v>739</v>
      </c>
      <c r="G471" t="s">
        <v>469</v>
      </c>
      <c r="H471">
        <v>1.9</v>
      </c>
      <c r="I471">
        <v>50</v>
      </c>
      <c r="J471">
        <v>0</v>
      </c>
      <c r="K471">
        <v>0</v>
      </c>
      <c r="L471" t="s">
        <v>112</v>
      </c>
      <c r="M471" t="s">
        <v>118</v>
      </c>
      <c r="N471">
        <v>39</v>
      </c>
      <c r="O471">
        <v>1</v>
      </c>
      <c r="P471" t="s">
        <v>111</v>
      </c>
      <c r="Q471">
        <v>45.5</v>
      </c>
      <c r="R471">
        <v>0</v>
      </c>
      <c r="S471">
        <v>0</v>
      </c>
      <c r="T471">
        <v>5</v>
      </c>
      <c r="U471" t="s">
        <v>501</v>
      </c>
      <c r="V471">
        <v>0</v>
      </c>
      <c r="W471">
        <v>250</v>
      </c>
      <c r="X471">
        <v>8</v>
      </c>
      <c r="Y471">
        <v>0</v>
      </c>
      <c r="Z471" t="s">
        <v>288</v>
      </c>
      <c r="AA471">
        <v>1.5</v>
      </c>
      <c r="AB471" t="s">
        <v>111</v>
      </c>
      <c r="AC471">
        <v>0</v>
      </c>
      <c r="AD471" t="s">
        <v>416</v>
      </c>
      <c r="AE471">
        <v>1</v>
      </c>
      <c r="AF471">
        <v>1</v>
      </c>
      <c r="AG471" t="s">
        <v>1098</v>
      </c>
      <c r="AH471" t="s">
        <v>113</v>
      </c>
      <c r="AI471" t="s">
        <v>1098</v>
      </c>
      <c r="AJ471" t="s">
        <v>111</v>
      </c>
      <c r="AK471" t="s">
        <v>111</v>
      </c>
      <c r="AL471" t="s">
        <v>111</v>
      </c>
      <c r="AM471">
        <v>0</v>
      </c>
      <c r="AN471">
        <v>0</v>
      </c>
      <c r="AO471">
        <v>0</v>
      </c>
      <c r="AP471" t="s">
        <v>1728</v>
      </c>
      <c r="AQ471" t="s">
        <v>111</v>
      </c>
      <c r="AR471" t="s">
        <v>111</v>
      </c>
      <c r="AS471" t="s">
        <v>111</v>
      </c>
      <c r="AT471" t="s">
        <v>111</v>
      </c>
      <c r="AU471" t="s">
        <v>111</v>
      </c>
      <c r="AV471" t="s">
        <v>111</v>
      </c>
      <c r="AW471" t="s">
        <v>111</v>
      </c>
      <c r="AX471" t="s">
        <v>111</v>
      </c>
      <c r="AY471" t="s">
        <v>111</v>
      </c>
      <c r="AZ471" t="s">
        <v>111</v>
      </c>
      <c r="BA471" t="s">
        <v>111</v>
      </c>
      <c r="BB471" t="s">
        <v>111</v>
      </c>
      <c r="BC471" t="s">
        <v>111</v>
      </c>
      <c r="BD471" t="s">
        <v>111</v>
      </c>
      <c r="BE471" t="s">
        <v>111</v>
      </c>
      <c r="BF471" t="s">
        <v>111</v>
      </c>
      <c r="BG471" t="s">
        <v>111</v>
      </c>
      <c r="BH471" t="s">
        <v>111</v>
      </c>
      <c r="BI471" t="s">
        <v>111</v>
      </c>
      <c r="BJ471" t="s">
        <v>111</v>
      </c>
      <c r="BK471" t="s">
        <v>111</v>
      </c>
      <c r="BL471" t="s">
        <v>111</v>
      </c>
      <c r="BM471" t="s">
        <v>111</v>
      </c>
      <c r="BN471" t="s">
        <v>111</v>
      </c>
      <c r="BO471" t="s">
        <v>111</v>
      </c>
      <c r="BP471" t="s">
        <v>111</v>
      </c>
      <c r="BQ471" t="s">
        <v>111</v>
      </c>
      <c r="BR471" t="s">
        <v>111</v>
      </c>
      <c r="BS471" t="s">
        <v>111</v>
      </c>
      <c r="BT471" t="s">
        <v>111</v>
      </c>
      <c r="BU471" t="s">
        <v>111</v>
      </c>
      <c r="BV471" t="s">
        <v>111</v>
      </c>
      <c r="BW471" t="s">
        <v>111</v>
      </c>
      <c r="BX471" t="s">
        <v>111</v>
      </c>
      <c r="BY471" t="s">
        <v>111</v>
      </c>
      <c r="BZ471" t="s">
        <v>111</v>
      </c>
      <c r="CA471" t="s">
        <v>111</v>
      </c>
      <c r="CB471" t="s">
        <v>111</v>
      </c>
      <c r="CC471" t="s">
        <v>111</v>
      </c>
      <c r="CD471" t="s">
        <v>111</v>
      </c>
      <c r="CE471" t="s">
        <v>111</v>
      </c>
      <c r="CF471" t="s">
        <v>111</v>
      </c>
      <c r="CG471" t="s">
        <v>111</v>
      </c>
      <c r="CH471" t="s">
        <v>111</v>
      </c>
      <c r="CI471" t="s">
        <v>111</v>
      </c>
      <c r="CJ471" t="s">
        <v>111</v>
      </c>
      <c r="CK471" t="s">
        <v>111</v>
      </c>
      <c r="CL471" t="e">
        <f>-DESTINO SELLADO</f>
        <v>#NAME?</v>
      </c>
      <c r="CM471" t="s">
        <v>198</v>
      </c>
      <c r="CN471" t="s">
        <v>113</v>
      </c>
      <c r="CO471" t="s">
        <v>367</v>
      </c>
      <c r="CP471" t="e">
        <f>-MUESTRA</f>
        <v>#NAME?</v>
      </c>
      <c r="CQ471">
        <v>0</v>
      </c>
      <c r="CR471">
        <v>1500</v>
      </c>
      <c r="CS471">
        <v>50</v>
      </c>
      <c r="CT471" s="1" t="s">
        <v>1729</v>
      </c>
      <c r="CU471">
        <v>0</v>
      </c>
      <c r="CV471" t="s">
        <v>111</v>
      </c>
      <c r="CW471" t="s">
        <v>111</v>
      </c>
      <c r="CX471" t="s">
        <v>111</v>
      </c>
      <c r="CY471">
        <v>0</v>
      </c>
      <c r="CZ471" t="s">
        <v>111</v>
      </c>
      <c r="DA471" t="s">
        <v>111</v>
      </c>
      <c r="DB471" t="s">
        <v>204</v>
      </c>
      <c r="DC471" t="s">
        <v>1730</v>
      </c>
    </row>
    <row r="472" spans="1:107">
      <c r="A472">
        <v>943</v>
      </c>
      <c r="B472" t="s">
        <v>107</v>
      </c>
      <c r="C472" t="s">
        <v>454</v>
      </c>
      <c r="D472" t="s">
        <v>1731</v>
      </c>
      <c r="E472" t="s">
        <v>560</v>
      </c>
      <c r="F472" t="s">
        <v>739</v>
      </c>
      <c r="G472" t="s">
        <v>469</v>
      </c>
      <c r="H472">
        <v>1.9</v>
      </c>
      <c r="I472">
        <v>60</v>
      </c>
      <c r="J472">
        <v>0</v>
      </c>
      <c r="K472">
        <v>0</v>
      </c>
      <c r="L472" t="s">
        <v>112</v>
      </c>
      <c r="M472" t="s">
        <v>118</v>
      </c>
      <c r="N472">
        <v>38</v>
      </c>
      <c r="O472">
        <v>1</v>
      </c>
      <c r="P472" t="s">
        <v>111</v>
      </c>
      <c r="Q472">
        <v>55</v>
      </c>
      <c r="R472">
        <v>0</v>
      </c>
      <c r="S472">
        <v>0</v>
      </c>
      <c r="T472">
        <v>0</v>
      </c>
      <c r="U472" t="s">
        <v>1732</v>
      </c>
      <c r="V472">
        <v>0</v>
      </c>
      <c r="W472">
        <v>250</v>
      </c>
      <c r="X472">
        <v>8</v>
      </c>
      <c r="Y472">
        <v>0</v>
      </c>
      <c r="Z472" t="s">
        <v>288</v>
      </c>
      <c r="AA472">
        <v>1.5</v>
      </c>
      <c r="AB472" t="s">
        <v>111</v>
      </c>
      <c r="AC472">
        <v>0</v>
      </c>
      <c r="AD472" t="s">
        <v>416</v>
      </c>
      <c r="AE472">
        <v>1</v>
      </c>
      <c r="AF472">
        <v>1</v>
      </c>
      <c r="AG472" t="s">
        <v>1103</v>
      </c>
      <c r="AH472" t="s">
        <v>113</v>
      </c>
      <c r="AI472" t="s">
        <v>1103</v>
      </c>
      <c r="AJ472" t="s">
        <v>111</v>
      </c>
      <c r="AK472" t="s">
        <v>111</v>
      </c>
      <c r="AL472" t="s">
        <v>111</v>
      </c>
      <c r="AM472">
        <v>0</v>
      </c>
      <c r="AN472">
        <v>0</v>
      </c>
      <c r="AO472">
        <v>0</v>
      </c>
      <c r="AP472" t="s">
        <v>1728</v>
      </c>
      <c r="AQ472" t="s">
        <v>111</v>
      </c>
      <c r="AR472" t="s">
        <v>111</v>
      </c>
      <c r="AS472" t="s">
        <v>111</v>
      </c>
      <c r="AT472" t="s">
        <v>111</v>
      </c>
      <c r="AU472" t="s">
        <v>111</v>
      </c>
      <c r="AV472" t="s">
        <v>111</v>
      </c>
      <c r="AW472" t="s">
        <v>111</v>
      </c>
      <c r="AX472" t="s">
        <v>111</v>
      </c>
      <c r="AY472" t="s">
        <v>111</v>
      </c>
      <c r="AZ472" t="s">
        <v>111</v>
      </c>
      <c r="BA472" t="s">
        <v>111</v>
      </c>
      <c r="BB472" t="s">
        <v>111</v>
      </c>
      <c r="BC472" t="s">
        <v>111</v>
      </c>
      <c r="BD472" t="s">
        <v>111</v>
      </c>
      <c r="BE472" t="s">
        <v>111</v>
      </c>
      <c r="BF472" t="s">
        <v>111</v>
      </c>
      <c r="BG472" t="s">
        <v>111</v>
      </c>
      <c r="BH472" t="s">
        <v>111</v>
      </c>
      <c r="BI472" t="s">
        <v>111</v>
      </c>
      <c r="BJ472" t="s">
        <v>111</v>
      </c>
      <c r="BK472" t="s">
        <v>111</v>
      </c>
      <c r="BL472" t="s">
        <v>111</v>
      </c>
      <c r="BM472" t="s">
        <v>111</v>
      </c>
      <c r="BN472" t="s">
        <v>111</v>
      </c>
      <c r="BO472" t="s">
        <v>111</v>
      </c>
      <c r="BP472" t="s">
        <v>111</v>
      </c>
      <c r="BQ472" t="s">
        <v>111</v>
      </c>
      <c r="BR472" t="s">
        <v>111</v>
      </c>
      <c r="BS472" t="s">
        <v>111</v>
      </c>
      <c r="BT472" t="s">
        <v>111</v>
      </c>
      <c r="BU472" t="s">
        <v>111</v>
      </c>
      <c r="BV472" t="s">
        <v>111</v>
      </c>
      <c r="BW472" t="s">
        <v>111</v>
      </c>
      <c r="BX472" t="s">
        <v>111</v>
      </c>
      <c r="BY472" t="s">
        <v>111</v>
      </c>
      <c r="BZ472" t="s">
        <v>111</v>
      </c>
      <c r="CA472" t="s">
        <v>111</v>
      </c>
      <c r="CB472" t="s">
        <v>111</v>
      </c>
      <c r="CC472" t="s">
        <v>111</v>
      </c>
      <c r="CD472" t="s">
        <v>111</v>
      </c>
      <c r="CE472" t="s">
        <v>111</v>
      </c>
      <c r="CF472" t="s">
        <v>111</v>
      </c>
      <c r="CG472" t="s">
        <v>111</v>
      </c>
      <c r="CH472" t="s">
        <v>111</v>
      </c>
      <c r="CI472" t="s">
        <v>111</v>
      </c>
      <c r="CJ472" t="s">
        <v>111</v>
      </c>
      <c r="CK472" t="s">
        <v>111</v>
      </c>
      <c r="CL472" t="e">
        <f>-DESTINO SELLADO</f>
        <v>#NAME?</v>
      </c>
      <c r="CM472" t="s">
        <v>198</v>
      </c>
      <c r="CN472" t="s">
        <v>113</v>
      </c>
      <c r="CO472" t="s">
        <v>367</v>
      </c>
      <c r="CP472" t="e">
        <f>-MUESTRA</f>
        <v>#NAME?</v>
      </c>
      <c r="CQ472">
        <v>0</v>
      </c>
      <c r="CR472">
        <v>1000</v>
      </c>
      <c r="CS472">
        <v>50</v>
      </c>
      <c r="CT472" s="1" t="s">
        <v>1729</v>
      </c>
      <c r="CU472">
        <v>0</v>
      </c>
      <c r="CV472" t="s">
        <v>111</v>
      </c>
      <c r="CW472" t="s">
        <v>111</v>
      </c>
      <c r="CX472" t="s">
        <v>111</v>
      </c>
      <c r="CY472">
        <v>0</v>
      </c>
      <c r="CZ472" t="s">
        <v>111</v>
      </c>
      <c r="DA472" t="s">
        <v>111</v>
      </c>
      <c r="DB472" t="s">
        <v>204</v>
      </c>
      <c r="DC472" t="s">
        <v>589</v>
      </c>
    </row>
    <row r="473" spans="1:107">
      <c r="A473">
        <v>956</v>
      </c>
      <c r="B473" t="s">
        <v>107</v>
      </c>
      <c r="C473" t="s">
        <v>1508</v>
      </c>
      <c r="D473" t="s">
        <v>1509</v>
      </c>
      <c r="E473" t="s">
        <v>1733</v>
      </c>
      <c r="F473" t="s">
        <v>415</v>
      </c>
      <c r="G473" t="s">
        <v>469</v>
      </c>
      <c r="H473">
        <v>5</v>
      </c>
      <c r="I473">
        <v>85</v>
      </c>
      <c r="J473">
        <v>0</v>
      </c>
      <c r="K473">
        <v>0</v>
      </c>
      <c r="L473" t="s">
        <v>117</v>
      </c>
      <c r="M473" t="s">
        <v>118</v>
      </c>
      <c r="N473">
        <v>39</v>
      </c>
      <c r="O473">
        <v>1</v>
      </c>
      <c r="P473" t="s">
        <v>111</v>
      </c>
      <c r="Q473">
        <v>52.5</v>
      </c>
      <c r="R473">
        <v>0</v>
      </c>
      <c r="S473">
        <v>0</v>
      </c>
      <c r="T473">
        <v>0</v>
      </c>
      <c r="U473" t="s">
        <v>501</v>
      </c>
      <c r="V473">
        <v>0</v>
      </c>
      <c r="W473">
        <v>250</v>
      </c>
      <c r="X473">
        <v>8</v>
      </c>
      <c r="Y473">
        <v>0</v>
      </c>
      <c r="Z473" t="s">
        <v>288</v>
      </c>
      <c r="AA473">
        <v>1.5</v>
      </c>
      <c r="AB473" t="s">
        <v>111</v>
      </c>
      <c r="AC473">
        <v>0</v>
      </c>
      <c r="AD473" t="s">
        <v>416</v>
      </c>
      <c r="AE473">
        <v>4</v>
      </c>
      <c r="AF473">
        <v>1</v>
      </c>
      <c r="AG473" t="s">
        <v>1734</v>
      </c>
      <c r="AH473" t="s">
        <v>113</v>
      </c>
      <c r="AI473" t="s">
        <v>1734</v>
      </c>
      <c r="AJ473" t="s">
        <v>111</v>
      </c>
      <c r="AK473" t="s">
        <v>111</v>
      </c>
      <c r="AL473" t="s">
        <v>111</v>
      </c>
      <c r="AM473">
        <v>0</v>
      </c>
      <c r="AN473">
        <v>0</v>
      </c>
      <c r="AO473">
        <v>0</v>
      </c>
      <c r="AP473" t="s">
        <v>111</v>
      </c>
      <c r="AQ473" t="s">
        <v>111</v>
      </c>
      <c r="AR473" t="s">
        <v>111</v>
      </c>
      <c r="AS473" t="s">
        <v>111</v>
      </c>
      <c r="AT473" t="s">
        <v>111</v>
      </c>
      <c r="AU473" t="s">
        <v>111</v>
      </c>
      <c r="AV473" t="s">
        <v>111</v>
      </c>
      <c r="AW473" t="s">
        <v>111</v>
      </c>
      <c r="AX473" t="s">
        <v>111</v>
      </c>
      <c r="AY473" t="s">
        <v>111</v>
      </c>
      <c r="AZ473" t="s">
        <v>111</v>
      </c>
      <c r="BA473" t="s">
        <v>111</v>
      </c>
      <c r="BB473" t="s">
        <v>111</v>
      </c>
      <c r="BC473" t="s">
        <v>111</v>
      </c>
      <c r="BD473" t="s">
        <v>111</v>
      </c>
      <c r="BE473" t="s">
        <v>111</v>
      </c>
      <c r="BF473" t="s">
        <v>111</v>
      </c>
      <c r="BG473" t="s">
        <v>111</v>
      </c>
      <c r="BH473" t="s">
        <v>111</v>
      </c>
      <c r="BI473" t="s">
        <v>111</v>
      </c>
      <c r="BJ473" t="s">
        <v>111</v>
      </c>
      <c r="BK473" t="s">
        <v>111</v>
      </c>
      <c r="BL473" t="s">
        <v>111</v>
      </c>
      <c r="BM473" t="s">
        <v>111</v>
      </c>
      <c r="BN473" t="s">
        <v>111</v>
      </c>
      <c r="BO473" t="s">
        <v>111</v>
      </c>
      <c r="BP473" t="s">
        <v>111</v>
      </c>
      <c r="BQ473" t="s">
        <v>111</v>
      </c>
      <c r="BR473" t="s">
        <v>111</v>
      </c>
      <c r="BS473" t="s">
        <v>111</v>
      </c>
      <c r="BT473" t="s">
        <v>111</v>
      </c>
      <c r="BU473" t="s">
        <v>111</v>
      </c>
      <c r="BV473" t="s">
        <v>111</v>
      </c>
      <c r="BW473" t="s">
        <v>111</v>
      </c>
      <c r="BX473" t="s">
        <v>111</v>
      </c>
      <c r="BY473" t="s">
        <v>111</v>
      </c>
      <c r="BZ473" t="s">
        <v>111</v>
      </c>
      <c r="CA473" t="s">
        <v>111</v>
      </c>
      <c r="CB473" t="s">
        <v>111</v>
      </c>
      <c r="CC473" t="s">
        <v>111</v>
      </c>
      <c r="CD473" t="s">
        <v>111</v>
      </c>
      <c r="CE473" t="s">
        <v>111</v>
      </c>
      <c r="CF473" t="s">
        <v>111</v>
      </c>
      <c r="CG473" t="s">
        <v>111</v>
      </c>
      <c r="CH473" t="s">
        <v>111</v>
      </c>
      <c r="CI473" t="s">
        <v>111</v>
      </c>
      <c r="CJ473" t="s">
        <v>111</v>
      </c>
      <c r="CK473" t="s">
        <v>111</v>
      </c>
      <c r="CL473" t="e">
        <f>-DESTINO MANUALAES</f>
        <v>#NAME?</v>
      </c>
      <c r="CM473" t="s">
        <v>198</v>
      </c>
      <c r="CN473" t="s">
        <v>113</v>
      </c>
      <c r="CO473" t="s">
        <v>111</v>
      </c>
      <c r="CP473" t="s">
        <v>111</v>
      </c>
      <c r="CQ473">
        <v>0</v>
      </c>
      <c r="CR473">
        <v>0</v>
      </c>
      <c r="CS473">
        <v>20</v>
      </c>
      <c r="CT473" t="s">
        <v>459</v>
      </c>
      <c r="CU473">
        <v>0</v>
      </c>
      <c r="CV473" t="s">
        <v>111</v>
      </c>
      <c r="CW473" t="s">
        <v>111</v>
      </c>
      <c r="CX473" t="s">
        <v>111</v>
      </c>
      <c r="CY473">
        <v>0</v>
      </c>
      <c r="CZ473" t="s">
        <v>111</v>
      </c>
      <c r="DA473" t="s">
        <v>111</v>
      </c>
      <c r="DB473" t="s">
        <v>204</v>
      </c>
      <c r="DC473" t="s">
        <v>1735</v>
      </c>
    </row>
    <row r="474" spans="1:107">
      <c r="A474">
        <v>955</v>
      </c>
      <c r="B474" t="s">
        <v>107</v>
      </c>
      <c r="C474" t="s">
        <v>122</v>
      </c>
      <c r="D474" t="s">
        <v>1736</v>
      </c>
      <c r="E474" t="s">
        <v>1737</v>
      </c>
      <c r="F474" t="s">
        <v>125</v>
      </c>
      <c r="G474" t="s">
        <v>469</v>
      </c>
      <c r="H474">
        <v>2.2999999999999998</v>
      </c>
      <c r="I474">
        <v>37</v>
      </c>
      <c r="J474">
        <v>9</v>
      </c>
      <c r="K474">
        <v>9</v>
      </c>
      <c r="L474" t="s">
        <v>112</v>
      </c>
      <c r="M474" t="s">
        <v>111</v>
      </c>
      <c r="N474">
        <v>0</v>
      </c>
      <c r="O474">
        <v>0</v>
      </c>
      <c r="P474" t="s">
        <v>111</v>
      </c>
      <c r="Q474">
        <v>10</v>
      </c>
      <c r="R474">
        <v>0</v>
      </c>
      <c r="S474">
        <v>0</v>
      </c>
      <c r="T474">
        <v>0</v>
      </c>
      <c r="U474" s="1" t="s">
        <v>1738</v>
      </c>
      <c r="V474">
        <v>12.5</v>
      </c>
      <c r="W474">
        <v>12.5</v>
      </c>
      <c r="X474">
        <v>0</v>
      </c>
      <c r="Y474">
        <v>0</v>
      </c>
      <c r="Z474" t="s">
        <v>111</v>
      </c>
      <c r="AA474">
        <v>0</v>
      </c>
      <c r="AB474" t="s">
        <v>193</v>
      </c>
      <c r="AC474">
        <v>25</v>
      </c>
      <c r="AD474" t="s">
        <v>111</v>
      </c>
      <c r="AE474">
        <v>0</v>
      </c>
      <c r="AF474">
        <v>0</v>
      </c>
      <c r="AG474" t="s">
        <v>111</v>
      </c>
      <c r="AH474" t="s">
        <v>111</v>
      </c>
      <c r="AI474" t="s">
        <v>111</v>
      </c>
      <c r="AJ474" t="s">
        <v>111</v>
      </c>
      <c r="AK474" t="s">
        <v>111</v>
      </c>
      <c r="AL474" t="s">
        <v>111</v>
      </c>
      <c r="AM474">
        <v>0</v>
      </c>
      <c r="AN474">
        <v>0</v>
      </c>
      <c r="AO474">
        <v>0</v>
      </c>
      <c r="AP474" t="s">
        <v>111</v>
      </c>
      <c r="AQ474" t="s">
        <v>111</v>
      </c>
      <c r="AR474" t="s">
        <v>111</v>
      </c>
      <c r="AS474" t="s">
        <v>111</v>
      </c>
      <c r="AT474" t="s">
        <v>111</v>
      </c>
      <c r="AU474" t="s">
        <v>111</v>
      </c>
      <c r="AV474" t="s">
        <v>111</v>
      </c>
      <c r="AW474" t="s">
        <v>111</v>
      </c>
      <c r="AX474" t="s">
        <v>111</v>
      </c>
      <c r="AY474" t="s">
        <v>111</v>
      </c>
      <c r="AZ474" t="s">
        <v>111</v>
      </c>
      <c r="BA474" t="s">
        <v>111</v>
      </c>
      <c r="BB474" t="s">
        <v>111</v>
      </c>
      <c r="BC474" t="s">
        <v>111</v>
      </c>
      <c r="BD474" t="s">
        <v>111</v>
      </c>
      <c r="BE474" t="s">
        <v>111</v>
      </c>
      <c r="BF474" t="s">
        <v>111</v>
      </c>
      <c r="BG474" t="s">
        <v>111</v>
      </c>
      <c r="BH474" t="s">
        <v>111</v>
      </c>
      <c r="BI474" t="s">
        <v>111</v>
      </c>
      <c r="BJ474" t="s">
        <v>111</v>
      </c>
      <c r="BK474" t="s">
        <v>111</v>
      </c>
      <c r="BL474" t="s">
        <v>111</v>
      </c>
      <c r="BM474" t="s">
        <v>111</v>
      </c>
      <c r="BN474" t="s">
        <v>111</v>
      </c>
      <c r="BO474" t="s">
        <v>111</v>
      </c>
      <c r="BP474" t="s">
        <v>111</v>
      </c>
      <c r="BQ474" t="s">
        <v>111</v>
      </c>
      <c r="BR474" t="s">
        <v>111</v>
      </c>
      <c r="BS474" t="s">
        <v>111</v>
      </c>
      <c r="BT474" t="s">
        <v>111</v>
      </c>
      <c r="BU474" t="s">
        <v>111</v>
      </c>
      <c r="BV474" t="s">
        <v>111</v>
      </c>
      <c r="BW474" t="s">
        <v>111</v>
      </c>
      <c r="BX474" t="s">
        <v>111</v>
      </c>
      <c r="BY474" t="s">
        <v>111</v>
      </c>
      <c r="BZ474" t="s">
        <v>111</v>
      </c>
      <c r="CA474" t="s">
        <v>111</v>
      </c>
      <c r="CB474" t="s">
        <v>111</v>
      </c>
      <c r="CC474" t="s">
        <v>111</v>
      </c>
      <c r="CD474" t="s">
        <v>111</v>
      </c>
      <c r="CE474" t="s">
        <v>111</v>
      </c>
      <c r="CF474" t="s">
        <v>111</v>
      </c>
      <c r="CG474" t="s">
        <v>111</v>
      </c>
      <c r="CH474" t="s">
        <v>111</v>
      </c>
      <c r="CI474" t="s">
        <v>111</v>
      </c>
      <c r="CJ474" t="s">
        <v>111</v>
      </c>
      <c r="CK474" t="s">
        <v>111</v>
      </c>
      <c r="CL474" t="s">
        <v>111</v>
      </c>
      <c r="CM474" t="s">
        <v>135</v>
      </c>
      <c r="CN474" t="s">
        <v>128</v>
      </c>
      <c r="CO474" t="s">
        <v>111</v>
      </c>
      <c r="CP474" t="s">
        <v>111</v>
      </c>
      <c r="CQ474">
        <v>0</v>
      </c>
      <c r="CR474">
        <v>100</v>
      </c>
      <c r="CS474">
        <v>50</v>
      </c>
      <c r="CT474" t="s">
        <v>394</v>
      </c>
      <c r="CU474">
        <v>0</v>
      </c>
      <c r="CV474" t="s">
        <v>111</v>
      </c>
      <c r="CW474" t="s">
        <v>111</v>
      </c>
      <c r="CX474" t="s">
        <v>111</v>
      </c>
      <c r="CY474">
        <v>0</v>
      </c>
      <c r="CZ474" t="s">
        <v>111</v>
      </c>
      <c r="DA474" t="s">
        <v>111</v>
      </c>
      <c r="DB474" t="s">
        <v>111</v>
      </c>
      <c r="DC474" t="s">
        <v>111</v>
      </c>
    </row>
    <row r="475" spans="1:107">
      <c r="A475">
        <v>1184</v>
      </c>
      <c r="B475" t="s">
        <v>107</v>
      </c>
      <c r="C475" t="s">
        <v>328</v>
      </c>
      <c r="D475" t="s">
        <v>1739</v>
      </c>
      <c r="E475" t="s">
        <v>1740</v>
      </c>
      <c r="F475" t="s">
        <v>192</v>
      </c>
      <c r="G475" t="s">
        <v>469</v>
      </c>
      <c r="H475">
        <v>2</v>
      </c>
      <c r="I475">
        <v>60</v>
      </c>
      <c r="J475">
        <v>0</v>
      </c>
      <c r="K475">
        <v>0</v>
      </c>
      <c r="L475" t="s">
        <v>112</v>
      </c>
      <c r="M475" t="s">
        <v>111</v>
      </c>
      <c r="N475">
        <v>0</v>
      </c>
      <c r="O475">
        <v>0</v>
      </c>
      <c r="P475" t="s">
        <v>111</v>
      </c>
      <c r="Q475">
        <v>58.8</v>
      </c>
      <c r="R475">
        <v>0</v>
      </c>
      <c r="S475">
        <v>0</v>
      </c>
      <c r="T475">
        <v>5</v>
      </c>
      <c r="U475" t="s">
        <v>296</v>
      </c>
      <c r="V475">
        <v>0</v>
      </c>
      <c r="W475">
        <v>25</v>
      </c>
      <c r="X475">
        <v>6</v>
      </c>
      <c r="Y475">
        <v>0</v>
      </c>
      <c r="Z475" t="s">
        <v>111</v>
      </c>
      <c r="AA475">
        <v>0</v>
      </c>
      <c r="AB475" t="s">
        <v>111</v>
      </c>
      <c r="AC475">
        <v>0</v>
      </c>
      <c r="AD475" t="s">
        <v>111</v>
      </c>
      <c r="AE475">
        <v>0</v>
      </c>
      <c r="AF475">
        <v>0</v>
      </c>
      <c r="AG475" t="s">
        <v>111</v>
      </c>
      <c r="AH475" t="s">
        <v>111</v>
      </c>
      <c r="AI475" t="s">
        <v>111</v>
      </c>
      <c r="AJ475" t="s">
        <v>111</v>
      </c>
      <c r="AK475" t="s">
        <v>111</v>
      </c>
      <c r="AL475" t="s">
        <v>111</v>
      </c>
      <c r="AM475">
        <v>0</v>
      </c>
      <c r="AN475">
        <v>0</v>
      </c>
      <c r="AO475">
        <v>0</v>
      </c>
      <c r="AP475" t="s">
        <v>111</v>
      </c>
      <c r="AQ475" t="s">
        <v>111</v>
      </c>
      <c r="AR475" t="s">
        <v>111</v>
      </c>
      <c r="AS475" t="s">
        <v>111</v>
      </c>
      <c r="AT475" t="s">
        <v>111</v>
      </c>
      <c r="AU475" t="s">
        <v>111</v>
      </c>
      <c r="AV475" t="s">
        <v>111</v>
      </c>
      <c r="AW475" t="s">
        <v>111</v>
      </c>
      <c r="AX475" t="s">
        <v>111</v>
      </c>
      <c r="AY475" t="s">
        <v>111</v>
      </c>
      <c r="AZ475" t="s">
        <v>111</v>
      </c>
      <c r="BA475" t="s">
        <v>111</v>
      </c>
      <c r="BB475" t="s">
        <v>111</v>
      </c>
      <c r="BC475" t="s">
        <v>111</v>
      </c>
      <c r="BD475" t="s">
        <v>111</v>
      </c>
      <c r="BE475" t="s">
        <v>111</v>
      </c>
      <c r="BF475" t="s">
        <v>111</v>
      </c>
      <c r="BG475" t="s">
        <v>111</v>
      </c>
      <c r="BH475" t="s">
        <v>111</v>
      </c>
      <c r="BI475" t="s">
        <v>111</v>
      </c>
      <c r="BJ475" t="s">
        <v>111</v>
      </c>
      <c r="BK475" t="s">
        <v>111</v>
      </c>
      <c r="BL475" t="s">
        <v>111</v>
      </c>
      <c r="BM475" t="s">
        <v>111</v>
      </c>
      <c r="BN475" t="s">
        <v>111</v>
      </c>
      <c r="BO475" t="s">
        <v>111</v>
      </c>
      <c r="BP475" t="s">
        <v>111</v>
      </c>
      <c r="BQ475" t="s">
        <v>111</v>
      </c>
      <c r="BR475" t="s">
        <v>111</v>
      </c>
      <c r="BS475" t="s">
        <v>111</v>
      </c>
      <c r="BT475" t="s">
        <v>111</v>
      </c>
      <c r="BU475" t="s">
        <v>111</v>
      </c>
      <c r="BV475" t="s">
        <v>111</v>
      </c>
      <c r="BW475" t="s">
        <v>111</v>
      </c>
      <c r="BX475" t="s">
        <v>111</v>
      </c>
      <c r="BY475" t="s">
        <v>111</v>
      </c>
      <c r="BZ475" t="s">
        <v>111</v>
      </c>
      <c r="CA475" t="s">
        <v>111</v>
      </c>
      <c r="CB475" t="s">
        <v>111</v>
      </c>
      <c r="CC475" t="s">
        <v>111</v>
      </c>
      <c r="CD475" t="s">
        <v>111</v>
      </c>
      <c r="CE475" t="s">
        <v>111</v>
      </c>
      <c r="CF475" t="s">
        <v>111</v>
      </c>
      <c r="CG475" t="s">
        <v>111</v>
      </c>
      <c r="CH475" t="s">
        <v>111</v>
      </c>
      <c r="CI475" t="s">
        <v>111</v>
      </c>
      <c r="CJ475" t="s">
        <v>111</v>
      </c>
      <c r="CK475" t="s">
        <v>111</v>
      </c>
      <c r="CL475" t="s">
        <v>111</v>
      </c>
      <c r="CM475" t="s">
        <v>135</v>
      </c>
      <c r="CN475" t="s">
        <v>113</v>
      </c>
      <c r="CO475" t="s">
        <v>111</v>
      </c>
      <c r="CP475" t="s">
        <v>111</v>
      </c>
      <c r="CQ475">
        <v>0</v>
      </c>
      <c r="CR475">
        <v>6000</v>
      </c>
      <c r="CS475">
        <v>200</v>
      </c>
      <c r="CT475" t="s">
        <v>641</v>
      </c>
      <c r="CU475">
        <v>0</v>
      </c>
      <c r="CV475" t="s">
        <v>111</v>
      </c>
      <c r="CW475" t="s">
        <v>111</v>
      </c>
      <c r="CX475" t="s">
        <v>111</v>
      </c>
      <c r="CY475">
        <v>0</v>
      </c>
      <c r="CZ475" t="s">
        <v>111</v>
      </c>
      <c r="DA475" t="s">
        <v>111</v>
      </c>
      <c r="DB475" t="s">
        <v>111</v>
      </c>
      <c r="DC475" t="s">
        <v>111</v>
      </c>
    </row>
    <row r="476" spans="1:107">
      <c r="A476">
        <v>964</v>
      </c>
      <c r="B476" t="s">
        <v>107</v>
      </c>
      <c r="C476" t="s">
        <v>171</v>
      </c>
      <c r="D476" t="s">
        <v>1741</v>
      </c>
      <c r="E476" t="s">
        <v>1742</v>
      </c>
      <c r="F476" t="s">
        <v>431</v>
      </c>
      <c r="G476" t="s">
        <v>469</v>
      </c>
      <c r="H476">
        <v>2</v>
      </c>
      <c r="I476">
        <v>48</v>
      </c>
      <c r="J476">
        <v>0</v>
      </c>
      <c r="K476">
        <v>0</v>
      </c>
      <c r="L476" t="s">
        <v>117</v>
      </c>
      <c r="M476" t="s">
        <v>118</v>
      </c>
      <c r="N476">
        <v>39</v>
      </c>
      <c r="O476">
        <v>1</v>
      </c>
      <c r="P476" t="s">
        <v>111</v>
      </c>
      <c r="Q476">
        <v>30</v>
      </c>
      <c r="R476">
        <v>0</v>
      </c>
      <c r="S476">
        <v>0</v>
      </c>
      <c r="T476">
        <v>0</v>
      </c>
      <c r="U476" t="s">
        <v>1511</v>
      </c>
      <c r="V476">
        <v>0</v>
      </c>
      <c r="W476">
        <v>25</v>
      </c>
      <c r="X476">
        <v>8</v>
      </c>
      <c r="Y476">
        <v>0</v>
      </c>
      <c r="Z476" t="s">
        <v>111</v>
      </c>
      <c r="AA476">
        <v>0</v>
      </c>
      <c r="AB476" t="s">
        <v>111</v>
      </c>
      <c r="AC476">
        <v>0</v>
      </c>
      <c r="AD476" t="s">
        <v>416</v>
      </c>
      <c r="AE476">
        <v>4</v>
      </c>
      <c r="AF476">
        <v>1</v>
      </c>
      <c r="AG476" t="s">
        <v>1743</v>
      </c>
      <c r="AH476" t="s">
        <v>113</v>
      </c>
      <c r="AI476" t="s">
        <v>1743</v>
      </c>
      <c r="AJ476" t="s">
        <v>111</v>
      </c>
      <c r="AK476" t="s">
        <v>111</v>
      </c>
      <c r="AL476" t="s">
        <v>111</v>
      </c>
      <c r="AM476">
        <v>0</v>
      </c>
      <c r="AN476">
        <v>0</v>
      </c>
      <c r="AO476">
        <v>0</v>
      </c>
      <c r="AP476" t="s">
        <v>288</v>
      </c>
      <c r="AQ476" t="s">
        <v>111</v>
      </c>
      <c r="AR476" t="s">
        <v>111</v>
      </c>
      <c r="AS476" t="s">
        <v>111</v>
      </c>
      <c r="AT476" t="s">
        <v>188</v>
      </c>
      <c r="AU476" t="s">
        <v>111</v>
      </c>
      <c r="AV476" t="s">
        <v>111</v>
      </c>
      <c r="AW476" t="s">
        <v>111</v>
      </c>
      <c r="AX476" t="s">
        <v>271</v>
      </c>
      <c r="AY476" t="s">
        <v>111</v>
      </c>
      <c r="AZ476" t="s">
        <v>111</v>
      </c>
      <c r="BA476" t="s">
        <v>111</v>
      </c>
      <c r="BB476" t="s">
        <v>147</v>
      </c>
      <c r="BC476" t="s">
        <v>111</v>
      </c>
      <c r="BD476" t="s">
        <v>111</v>
      </c>
      <c r="BE476" t="s">
        <v>111</v>
      </c>
      <c r="BF476" t="s">
        <v>111</v>
      </c>
      <c r="BG476" t="s">
        <v>111</v>
      </c>
      <c r="BH476" t="s">
        <v>111</v>
      </c>
      <c r="BI476" t="s">
        <v>111</v>
      </c>
      <c r="BJ476" t="s">
        <v>111</v>
      </c>
      <c r="BK476" t="s">
        <v>111</v>
      </c>
      <c r="BL476" t="s">
        <v>111</v>
      </c>
      <c r="BM476" t="s">
        <v>111</v>
      </c>
      <c r="BN476" t="s">
        <v>111</v>
      </c>
      <c r="BO476" t="s">
        <v>111</v>
      </c>
      <c r="BP476" t="s">
        <v>111</v>
      </c>
      <c r="BQ476" t="s">
        <v>111</v>
      </c>
      <c r="BR476" t="s">
        <v>111</v>
      </c>
      <c r="BS476" t="s">
        <v>111</v>
      </c>
      <c r="BT476" t="s">
        <v>111</v>
      </c>
      <c r="BU476" t="s">
        <v>111</v>
      </c>
      <c r="BV476" t="s">
        <v>111</v>
      </c>
      <c r="BW476" t="s">
        <v>111</v>
      </c>
      <c r="BX476" t="s">
        <v>111</v>
      </c>
      <c r="BY476" t="s">
        <v>111</v>
      </c>
      <c r="BZ476" t="s">
        <v>111</v>
      </c>
      <c r="CA476" t="s">
        <v>111</v>
      </c>
      <c r="CB476" t="s">
        <v>111</v>
      </c>
      <c r="CC476" t="s">
        <v>111</v>
      </c>
      <c r="CD476" t="s">
        <v>111</v>
      </c>
      <c r="CE476" t="s">
        <v>111</v>
      </c>
      <c r="CF476" t="s">
        <v>111</v>
      </c>
      <c r="CG476" t="s">
        <v>111</v>
      </c>
      <c r="CH476" t="s">
        <v>111</v>
      </c>
      <c r="CI476" t="s">
        <v>111</v>
      </c>
      <c r="CJ476" t="s">
        <v>111</v>
      </c>
      <c r="CK476" t="s">
        <v>111</v>
      </c>
      <c r="CL476" t="e">
        <f>-DESTINO SELLADO</f>
        <v>#NAME?</v>
      </c>
      <c r="CM476" t="s">
        <v>198</v>
      </c>
      <c r="CN476" t="s">
        <v>113</v>
      </c>
      <c r="CO476" t="s">
        <v>111</v>
      </c>
      <c r="CP476" t="e">
        <f>-MUESTRA</f>
        <v>#NAME?</v>
      </c>
      <c r="CQ476">
        <v>0</v>
      </c>
      <c r="CR476">
        <v>8000</v>
      </c>
      <c r="CS476">
        <v>2000</v>
      </c>
      <c r="CT476" s="1" t="s">
        <v>1744</v>
      </c>
      <c r="CU476">
        <v>0</v>
      </c>
      <c r="CV476" t="s">
        <v>111</v>
      </c>
      <c r="CW476" t="s">
        <v>111</v>
      </c>
      <c r="CX476" t="s">
        <v>111</v>
      </c>
      <c r="CY476">
        <v>0</v>
      </c>
      <c r="CZ476" t="s">
        <v>111</v>
      </c>
      <c r="DA476" t="s">
        <v>111</v>
      </c>
      <c r="DB476" t="s">
        <v>111</v>
      </c>
      <c r="DC476" t="s">
        <v>111</v>
      </c>
    </row>
    <row r="477" spans="1:107">
      <c r="A477">
        <v>1033</v>
      </c>
      <c r="B477" t="s">
        <v>107</v>
      </c>
      <c r="C477" t="s">
        <v>549</v>
      </c>
      <c r="D477" t="s">
        <v>1745</v>
      </c>
      <c r="E477" t="s">
        <v>1746</v>
      </c>
      <c r="F477" t="s">
        <v>192</v>
      </c>
      <c r="G477" t="s">
        <v>469</v>
      </c>
      <c r="H477">
        <v>3</v>
      </c>
      <c r="I477">
        <v>35</v>
      </c>
      <c r="J477">
        <v>8</v>
      </c>
      <c r="K477">
        <v>80</v>
      </c>
      <c r="L477" t="s">
        <v>112</v>
      </c>
      <c r="M477" t="s">
        <v>118</v>
      </c>
      <c r="N477">
        <v>37</v>
      </c>
      <c r="O477">
        <v>2</v>
      </c>
      <c r="P477" t="s">
        <v>138</v>
      </c>
      <c r="Q477">
        <v>35</v>
      </c>
      <c r="R477">
        <v>0</v>
      </c>
      <c r="S477">
        <v>0</v>
      </c>
      <c r="T477">
        <v>3</v>
      </c>
      <c r="U477" s="1" t="s">
        <v>1747</v>
      </c>
      <c r="V477">
        <v>0</v>
      </c>
      <c r="W477">
        <v>25</v>
      </c>
      <c r="X477">
        <v>7.5</v>
      </c>
      <c r="Y477">
        <v>0</v>
      </c>
      <c r="Z477" t="s">
        <v>111</v>
      </c>
      <c r="AA477">
        <v>0</v>
      </c>
      <c r="AB477" t="s">
        <v>940</v>
      </c>
      <c r="AC477">
        <v>7.5</v>
      </c>
      <c r="AD477" t="s">
        <v>111</v>
      </c>
      <c r="AE477">
        <v>0</v>
      </c>
      <c r="AF477">
        <v>0</v>
      </c>
      <c r="AG477" t="s">
        <v>111</v>
      </c>
      <c r="AH477" t="s">
        <v>111</v>
      </c>
      <c r="AI477" t="s">
        <v>111</v>
      </c>
      <c r="AJ477" t="s">
        <v>111</v>
      </c>
      <c r="AK477" t="s">
        <v>111</v>
      </c>
      <c r="AL477" t="s">
        <v>111</v>
      </c>
      <c r="AM477">
        <v>0</v>
      </c>
      <c r="AN477">
        <v>0</v>
      </c>
      <c r="AO477">
        <v>0</v>
      </c>
      <c r="AP477" t="s">
        <v>111</v>
      </c>
      <c r="AQ477" t="s">
        <v>111</v>
      </c>
      <c r="AR477" t="s">
        <v>111</v>
      </c>
      <c r="AS477" t="s">
        <v>111</v>
      </c>
      <c r="AT477" t="s">
        <v>111</v>
      </c>
      <c r="AU477" t="s">
        <v>111</v>
      </c>
      <c r="AV477" t="s">
        <v>111</v>
      </c>
      <c r="AW477" t="s">
        <v>111</v>
      </c>
      <c r="AX477" t="s">
        <v>111</v>
      </c>
      <c r="AY477" t="s">
        <v>111</v>
      </c>
      <c r="AZ477" t="s">
        <v>111</v>
      </c>
      <c r="BA477" t="s">
        <v>111</v>
      </c>
      <c r="BB477" t="s">
        <v>111</v>
      </c>
      <c r="BC477" t="s">
        <v>111</v>
      </c>
      <c r="BD477" t="s">
        <v>111</v>
      </c>
      <c r="BE477" t="s">
        <v>111</v>
      </c>
      <c r="BF477" t="s">
        <v>111</v>
      </c>
      <c r="BG477" t="s">
        <v>111</v>
      </c>
      <c r="BH477" t="s">
        <v>111</v>
      </c>
      <c r="BI477" t="s">
        <v>111</v>
      </c>
      <c r="BJ477" t="s">
        <v>111</v>
      </c>
      <c r="BK477" t="s">
        <v>111</v>
      </c>
      <c r="BL477" t="s">
        <v>111</v>
      </c>
      <c r="BM477" t="s">
        <v>111</v>
      </c>
      <c r="BN477" t="s">
        <v>111</v>
      </c>
      <c r="BO477" t="s">
        <v>111</v>
      </c>
      <c r="BP477" t="s">
        <v>111</v>
      </c>
      <c r="BQ477" t="s">
        <v>111</v>
      </c>
      <c r="BR477" t="s">
        <v>111</v>
      </c>
      <c r="BS477" t="s">
        <v>111</v>
      </c>
      <c r="BT477" t="s">
        <v>111</v>
      </c>
      <c r="BU477" t="s">
        <v>111</v>
      </c>
      <c r="BV477" t="s">
        <v>111</v>
      </c>
      <c r="BW477" t="s">
        <v>111</v>
      </c>
      <c r="BX477" t="s">
        <v>111</v>
      </c>
      <c r="BY477" t="s">
        <v>111</v>
      </c>
      <c r="BZ477" t="s">
        <v>111</v>
      </c>
      <c r="CA477" t="s">
        <v>111</v>
      </c>
      <c r="CB477" t="s">
        <v>111</v>
      </c>
      <c r="CC477" t="s">
        <v>111</v>
      </c>
      <c r="CD477" t="s">
        <v>111</v>
      </c>
      <c r="CE477" t="s">
        <v>111</v>
      </c>
      <c r="CF477" t="s">
        <v>111</v>
      </c>
      <c r="CG477" t="s">
        <v>111</v>
      </c>
      <c r="CH477" t="s">
        <v>111</v>
      </c>
      <c r="CI477" t="s">
        <v>111</v>
      </c>
      <c r="CJ477" t="s">
        <v>111</v>
      </c>
      <c r="CK477" t="s">
        <v>111</v>
      </c>
      <c r="CL477" t="s">
        <v>111</v>
      </c>
      <c r="CM477" t="s">
        <v>135</v>
      </c>
      <c r="CN477" t="s">
        <v>128</v>
      </c>
      <c r="CO477" t="s">
        <v>111</v>
      </c>
      <c r="CP477" t="s">
        <v>111</v>
      </c>
      <c r="CQ477">
        <v>0</v>
      </c>
      <c r="CR477">
        <v>5000</v>
      </c>
      <c r="CS477">
        <v>25</v>
      </c>
      <c r="CT477" s="1" t="s">
        <v>1748</v>
      </c>
      <c r="CU477">
        <v>0</v>
      </c>
      <c r="CV477" t="s">
        <v>111</v>
      </c>
      <c r="CW477" t="s">
        <v>111</v>
      </c>
      <c r="CX477" t="s">
        <v>111</v>
      </c>
      <c r="CY477">
        <v>0</v>
      </c>
      <c r="CZ477" t="s">
        <v>111</v>
      </c>
      <c r="DA477" t="s">
        <v>111</v>
      </c>
      <c r="DB477" t="s">
        <v>111</v>
      </c>
      <c r="DC477" t="s">
        <v>111</v>
      </c>
    </row>
    <row r="478" spans="1:107">
      <c r="A478">
        <v>391</v>
      </c>
      <c r="B478" t="s">
        <v>107</v>
      </c>
      <c r="C478" t="s">
        <v>328</v>
      </c>
      <c r="D478" t="s">
        <v>1739</v>
      </c>
      <c r="E478" t="s">
        <v>1749</v>
      </c>
      <c r="F478" t="s">
        <v>192</v>
      </c>
      <c r="G478" t="s">
        <v>469</v>
      </c>
      <c r="H478">
        <v>1.9</v>
      </c>
      <c r="I478">
        <v>60</v>
      </c>
      <c r="J478">
        <v>0</v>
      </c>
      <c r="K478">
        <v>0</v>
      </c>
      <c r="L478" t="s">
        <v>112</v>
      </c>
      <c r="M478" t="s">
        <v>138</v>
      </c>
      <c r="N478">
        <v>0</v>
      </c>
      <c r="O478">
        <v>0</v>
      </c>
      <c r="P478" t="s">
        <v>138</v>
      </c>
      <c r="Q478">
        <v>55</v>
      </c>
      <c r="R478">
        <v>0</v>
      </c>
      <c r="S478">
        <v>0</v>
      </c>
      <c r="T478">
        <v>5</v>
      </c>
      <c r="U478" s="1" t="s">
        <v>1750</v>
      </c>
      <c r="V478">
        <v>0</v>
      </c>
      <c r="W478">
        <v>25</v>
      </c>
      <c r="X478">
        <v>6</v>
      </c>
      <c r="Y478">
        <v>0</v>
      </c>
      <c r="Z478" t="s">
        <v>111</v>
      </c>
      <c r="AA478">
        <v>0</v>
      </c>
      <c r="AB478" t="s">
        <v>111</v>
      </c>
      <c r="AC478">
        <v>0</v>
      </c>
      <c r="AD478" t="s">
        <v>111</v>
      </c>
      <c r="AE478">
        <v>0</v>
      </c>
      <c r="AF478">
        <v>0</v>
      </c>
      <c r="AG478" t="s">
        <v>111</v>
      </c>
      <c r="AH478" t="s">
        <v>111</v>
      </c>
      <c r="AI478" t="s">
        <v>111</v>
      </c>
      <c r="AJ478" t="s">
        <v>111</v>
      </c>
      <c r="AK478" t="s">
        <v>111</v>
      </c>
      <c r="AL478" t="s">
        <v>111</v>
      </c>
      <c r="AM478">
        <v>0</v>
      </c>
      <c r="AN478">
        <v>0</v>
      </c>
      <c r="AO478">
        <v>0</v>
      </c>
      <c r="AP478" t="s">
        <v>111</v>
      </c>
      <c r="AQ478" t="s">
        <v>111</v>
      </c>
      <c r="AR478" t="s">
        <v>111</v>
      </c>
      <c r="AS478" t="s">
        <v>111</v>
      </c>
      <c r="AT478" t="s">
        <v>111</v>
      </c>
      <c r="AU478" t="s">
        <v>111</v>
      </c>
      <c r="AV478" t="s">
        <v>111</v>
      </c>
      <c r="AW478" t="s">
        <v>111</v>
      </c>
      <c r="AX478" t="s">
        <v>111</v>
      </c>
      <c r="AY478" t="s">
        <v>111</v>
      </c>
      <c r="AZ478" t="s">
        <v>111</v>
      </c>
      <c r="BA478" t="s">
        <v>111</v>
      </c>
      <c r="BB478" t="s">
        <v>111</v>
      </c>
      <c r="BC478" t="s">
        <v>111</v>
      </c>
      <c r="BD478" t="s">
        <v>111</v>
      </c>
      <c r="BE478" t="s">
        <v>111</v>
      </c>
      <c r="BF478" t="s">
        <v>111</v>
      </c>
      <c r="BG478" t="s">
        <v>111</v>
      </c>
      <c r="BH478" t="s">
        <v>111</v>
      </c>
      <c r="BI478" t="s">
        <v>111</v>
      </c>
      <c r="BJ478" t="s">
        <v>111</v>
      </c>
      <c r="BK478" t="s">
        <v>111</v>
      </c>
      <c r="BL478" t="s">
        <v>111</v>
      </c>
      <c r="BM478" t="s">
        <v>111</v>
      </c>
      <c r="BN478" t="s">
        <v>111</v>
      </c>
      <c r="BO478" t="s">
        <v>111</v>
      </c>
      <c r="BP478" t="s">
        <v>111</v>
      </c>
      <c r="BQ478" t="s">
        <v>111</v>
      </c>
      <c r="BR478" t="s">
        <v>111</v>
      </c>
      <c r="BS478" t="s">
        <v>111</v>
      </c>
      <c r="BT478" t="s">
        <v>111</v>
      </c>
      <c r="BU478" t="s">
        <v>111</v>
      </c>
      <c r="BV478" t="s">
        <v>111</v>
      </c>
      <c r="BW478" t="s">
        <v>111</v>
      </c>
      <c r="BX478" t="s">
        <v>111</v>
      </c>
      <c r="BY478" t="s">
        <v>111</v>
      </c>
      <c r="BZ478" t="s">
        <v>111</v>
      </c>
      <c r="CA478" t="s">
        <v>111</v>
      </c>
      <c r="CB478" t="s">
        <v>111</v>
      </c>
      <c r="CC478" t="s">
        <v>111</v>
      </c>
      <c r="CD478" t="s">
        <v>111</v>
      </c>
      <c r="CE478" t="s">
        <v>111</v>
      </c>
      <c r="CF478" t="s">
        <v>111</v>
      </c>
      <c r="CG478" t="s">
        <v>111</v>
      </c>
      <c r="CH478" t="s">
        <v>111</v>
      </c>
      <c r="CI478" t="s">
        <v>111</v>
      </c>
      <c r="CJ478" t="s">
        <v>111</v>
      </c>
      <c r="CK478" t="s">
        <v>111</v>
      </c>
      <c r="CL478" t="s">
        <v>111</v>
      </c>
      <c r="CM478" t="s">
        <v>198</v>
      </c>
      <c r="CN478" t="s">
        <v>113</v>
      </c>
      <c r="CO478" t="s">
        <v>111</v>
      </c>
      <c r="CP478" t="s">
        <v>111</v>
      </c>
      <c r="CQ478">
        <v>78</v>
      </c>
      <c r="CR478">
        <v>5000</v>
      </c>
      <c r="CS478">
        <v>200</v>
      </c>
      <c r="CT478" t="s">
        <v>168</v>
      </c>
      <c r="CU478">
        <v>0</v>
      </c>
      <c r="CV478" t="s">
        <v>111</v>
      </c>
      <c r="CW478" t="s">
        <v>111</v>
      </c>
      <c r="CX478" t="s">
        <v>111</v>
      </c>
      <c r="CY478">
        <v>0</v>
      </c>
      <c r="CZ478" t="s">
        <v>111</v>
      </c>
      <c r="DA478" t="s">
        <v>111</v>
      </c>
      <c r="DB478" t="s">
        <v>111</v>
      </c>
      <c r="DC478" t="s">
        <v>111</v>
      </c>
    </row>
    <row r="479" spans="1:107">
      <c r="A479">
        <v>1074</v>
      </c>
      <c r="B479" t="s">
        <v>107</v>
      </c>
      <c r="C479" t="s">
        <v>1751</v>
      </c>
      <c r="D479" t="s">
        <v>1752</v>
      </c>
      <c r="E479" t="s">
        <v>1753</v>
      </c>
      <c r="F479" t="s">
        <v>1754</v>
      </c>
      <c r="G479" t="s">
        <v>469</v>
      </c>
      <c r="H479">
        <v>2.9</v>
      </c>
      <c r="I479">
        <v>60</v>
      </c>
      <c r="J479">
        <v>0</v>
      </c>
      <c r="K479">
        <v>0</v>
      </c>
      <c r="L479" t="s">
        <v>178</v>
      </c>
      <c r="M479" t="s">
        <v>118</v>
      </c>
      <c r="N479">
        <v>39</v>
      </c>
      <c r="O479">
        <v>2</v>
      </c>
      <c r="P479" t="s">
        <v>118</v>
      </c>
      <c r="Q479">
        <v>40</v>
      </c>
      <c r="R479">
        <v>0</v>
      </c>
      <c r="S479">
        <v>0</v>
      </c>
      <c r="T479">
        <v>5</v>
      </c>
      <c r="U479" t="s">
        <v>501</v>
      </c>
      <c r="V479">
        <v>25</v>
      </c>
      <c r="W479">
        <v>0</v>
      </c>
      <c r="X479">
        <v>8</v>
      </c>
      <c r="Y479">
        <v>0</v>
      </c>
      <c r="Z479" t="s">
        <v>259</v>
      </c>
      <c r="AA479">
        <v>1</v>
      </c>
      <c r="AB479" t="s">
        <v>111</v>
      </c>
      <c r="AC479">
        <v>0</v>
      </c>
      <c r="AD479" t="s">
        <v>416</v>
      </c>
      <c r="AE479">
        <v>0</v>
      </c>
      <c r="AF479">
        <v>0</v>
      </c>
      <c r="AG479" t="s">
        <v>111</v>
      </c>
      <c r="AH479" t="s">
        <v>111</v>
      </c>
      <c r="AI479" t="s">
        <v>111</v>
      </c>
      <c r="AJ479" t="s">
        <v>111</v>
      </c>
      <c r="AK479" t="s">
        <v>111</v>
      </c>
      <c r="AL479" t="s">
        <v>111</v>
      </c>
      <c r="AM479">
        <v>0</v>
      </c>
      <c r="AN479">
        <v>0</v>
      </c>
      <c r="AO479">
        <v>0</v>
      </c>
      <c r="AP479" t="s">
        <v>111</v>
      </c>
      <c r="AQ479" t="s">
        <v>111</v>
      </c>
      <c r="AR479" t="s">
        <v>111</v>
      </c>
      <c r="AS479" t="s">
        <v>111</v>
      </c>
      <c r="AT479" t="s">
        <v>111</v>
      </c>
      <c r="AU479" t="s">
        <v>111</v>
      </c>
      <c r="AV479" t="s">
        <v>111</v>
      </c>
      <c r="AW479" t="s">
        <v>111</v>
      </c>
      <c r="AX479" t="s">
        <v>111</v>
      </c>
      <c r="AY479" t="s">
        <v>111</v>
      </c>
      <c r="AZ479" t="s">
        <v>111</v>
      </c>
      <c r="BA479" t="s">
        <v>111</v>
      </c>
      <c r="BB479" t="s">
        <v>111</v>
      </c>
      <c r="BC479" t="s">
        <v>111</v>
      </c>
      <c r="BD479" t="s">
        <v>111</v>
      </c>
      <c r="BE479" t="s">
        <v>111</v>
      </c>
      <c r="BF479" t="s">
        <v>111</v>
      </c>
      <c r="BG479" t="s">
        <v>111</v>
      </c>
      <c r="BH479" t="s">
        <v>111</v>
      </c>
      <c r="BI479" t="s">
        <v>111</v>
      </c>
      <c r="BJ479" t="s">
        <v>111</v>
      </c>
      <c r="BK479" t="s">
        <v>111</v>
      </c>
      <c r="BL479" t="s">
        <v>111</v>
      </c>
      <c r="BM479" t="s">
        <v>111</v>
      </c>
      <c r="BN479" t="s">
        <v>111</v>
      </c>
      <c r="BO479" t="s">
        <v>111</v>
      </c>
      <c r="BP479" t="s">
        <v>111</v>
      </c>
      <c r="BQ479" t="s">
        <v>111</v>
      </c>
      <c r="BR479" t="s">
        <v>111</v>
      </c>
      <c r="BS479" t="s">
        <v>111</v>
      </c>
      <c r="BT479" t="s">
        <v>111</v>
      </c>
      <c r="BU479" t="s">
        <v>111</v>
      </c>
      <c r="BV479" t="s">
        <v>111</v>
      </c>
      <c r="BW479" t="s">
        <v>111</v>
      </c>
      <c r="BX479" t="s">
        <v>111</v>
      </c>
      <c r="BY479" t="s">
        <v>111</v>
      </c>
      <c r="BZ479" t="s">
        <v>111</v>
      </c>
      <c r="CA479" t="s">
        <v>111</v>
      </c>
      <c r="CB479" t="s">
        <v>111</v>
      </c>
      <c r="CC479" t="s">
        <v>111</v>
      </c>
      <c r="CD479" t="s">
        <v>111</v>
      </c>
      <c r="CE479" t="s">
        <v>111</v>
      </c>
      <c r="CF479" t="s">
        <v>111</v>
      </c>
      <c r="CG479" t="s">
        <v>111</v>
      </c>
      <c r="CH479" t="s">
        <v>111</v>
      </c>
      <c r="CI479" t="s">
        <v>111</v>
      </c>
      <c r="CJ479" t="s">
        <v>111</v>
      </c>
      <c r="CK479" t="s">
        <v>111</v>
      </c>
      <c r="CL479" t="e">
        <f>-DESTINO SELLADO</f>
        <v>#NAME?</v>
      </c>
      <c r="CM479" t="s">
        <v>135</v>
      </c>
      <c r="CN479" t="s">
        <v>113</v>
      </c>
      <c r="CO479" t="s">
        <v>111</v>
      </c>
      <c r="CP479" t="s">
        <v>111</v>
      </c>
      <c r="CQ479">
        <v>55</v>
      </c>
      <c r="CR479">
        <v>3000</v>
      </c>
      <c r="CS479">
        <v>50</v>
      </c>
      <c r="CT479" s="1" t="s">
        <v>1755</v>
      </c>
      <c r="CU479">
        <v>0</v>
      </c>
      <c r="CV479" t="s">
        <v>111</v>
      </c>
      <c r="CW479" t="s">
        <v>111</v>
      </c>
      <c r="CX479" t="s">
        <v>111</v>
      </c>
      <c r="CY479">
        <v>0</v>
      </c>
      <c r="CZ479" t="s">
        <v>111</v>
      </c>
      <c r="DA479" t="s">
        <v>111</v>
      </c>
      <c r="DB479" t="e">
        <f>-INTERNO</f>
        <v>#NAME?</v>
      </c>
      <c r="DC479" t="e">
        <f>-TROQUE RIÑON</f>
        <v>#NAME?</v>
      </c>
    </row>
    <row r="480" spans="1:107">
      <c r="A480">
        <v>356</v>
      </c>
      <c r="B480" t="s">
        <v>162</v>
      </c>
      <c r="C480" t="s">
        <v>1756</v>
      </c>
      <c r="D480" t="s">
        <v>1757</v>
      </c>
      <c r="E480" t="s">
        <v>1758</v>
      </c>
      <c r="F480" t="s">
        <v>166</v>
      </c>
      <c r="G480" t="s">
        <v>469</v>
      </c>
      <c r="H480">
        <v>2</v>
      </c>
      <c r="I480">
        <v>60</v>
      </c>
      <c r="J480">
        <v>0</v>
      </c>
      <c r="K480">
        <v>0</v>
      </c>
      <c r="L480" t="s">
        <v>112</v>
      </c>
      <c r="M480" t="s">
        <v>138</v>
      </c>
      <c r="N480">
        <v>0</v>
      </c>
      <c r="O480">
        <v>0</v>
      </c>
      <c r="P480" t="s">
        <v>138</v>
      </c>
      <c r="Q480">
        <v>40</v>
      </c>
      <c r="R480">
        <v>0</v>
      </c>
      <c r="S480">
        <v>0</v>
      </c>
      <c r="T480">
        <v>0</v>
      </c>
      <c r="U480" s="1" t="s">
        <v>1759</v>
      </c>
      <c r="V480">
        <v>25</v>
      </c>
      <c r="W480">
        <v>0</v>
      </c>
      <c r="X480">
        <v>8</v>
      </c>
      <c r="Y480">
        <v>0</v>
      </c>
      <c r="Z480" t="s">
        <v>111</v>
      </c>
      <c r="AA480">
        <v>0</v>
      </c>
      <c r="AB480" t="s">
        <v>111</v>
      </c>
      <c r="AC480">
        <v>0</v>
      </c>
      <c r="AD480" t="s">
        <v>111</v>
      </c>
      <c r="AE480">
        <v>0</v>
      </c>
      <c r="AF480">
        <v>0</v>
      </c>
      <c r="AG480" t="s">
        <v>111</v>
      </c>
      <c r="AH480" t="s">
        <v>111</v>
      </c>
      <c r="AI480" t="s">
        <v>111</v>
      </c>
      <c r="AJ480" t="s">
        <v>111</v>
      </c>
      <c r="AK480" t="s">
        <v>111</v>
      </c>
      <c r="AL480" t="s">
        <v>111</v>
      </c>
      <c r="AM480">
        <v>0</v>
      </c>
      <c r="AN480">
        <v>0</v>
      </c>
      <c r="AO480">
        <v>0</v>
      </c>
      <c r="AP480" t="s">
        <v>111</v>
      </c>
      <c r="AQ480" t="s">
        <v>111</v>
      </c>
      <c r="AR480" t="s">
        <v>111</v>
      </c>
      <c r="AS480" t="s">
        <v>111</v>
      </c>
      <c r="AT480" t="s">
        <v>111</v>
      </c>
      <c r="AU480" t="s">
        <v>111</v>
      </c>
      <c r="AV480" t="s">
        <v>111</v>
      </c>
      <c r="AW480" t="s">
        <v>111</v>
      </c>
      <c r="AX480" t="s">
        <v>111</v>
      </c>
      <c r="AY480" t="s">
        <v>111</v>
      </c>
      <c r="AZ480" t="s">
        <v>111</v>
      </c>
      <c r="BA480" t="s">
        <v>111</v>
      </c>
      <c r="BB480" t="s">
        <v>111</v>
      </c>
      <c r="BC480" t="s">
        <v>111</v>
      </c>
      <c r="BD480" t="s">
        <v>111</v>
      </c>
      <c r="BE480" t="s">
        <v>111</v>
      </c>
      <c r="BF480" t="s">
        <v>111</v>
      </c>
      <c r="BG480" t="s">
        <v>111</v>
      </c>
      <c r="BH480" t="s">
        <v>111</v>
      </c>
      <c r="BI480" t="s">
        <v>111</v>
      </c>
      <c r="BJ480" t="s">
        <v>111</v>
      </c>
      <c r="BK480" t="s">
        <v>111</v>
      </c>
      <c r="BL480" t="s">
        <v>111</v>
      </c>
      <c r="BM480" t="s">
        <v>111</v>
      </c>
      <c r="BN480" t="s">
        <v>111</v>
      </c>
      <c r="BO480" t="s">
        <v>111</v>
      </c>
      <c r="BP480" t="s">
        <v>111</v>
      </c>
      <c r="BQ480" t="s">
        <v>111</v>
      </c>
      <c r="BR480" t="s">
        <v>111</v>
      </c>
      <c r="BS480" t="s">
        <v>111</v>
      </c>
      <c r="BT480" t="s">
        <v>111</v>
      </c>
      <c r="BU480" t="s">
        <v>111</v>
      </c>
      <c r="BV480" t="s">
        <v>111</v>
      </c>
      <c r="BW480" t="s">
        <v>111</v>
      </c>
      <c r="BX480" t="s">
        <v>111</v>
      </c>
      <c r="BY480" t="s">
        <v>111</v>
      </c>
      <c r="BZ480" t="s">
        <v>111</v>
      </c>
      <c r="CA480" t="s">
        <v>111</v>
      </c>
      <c r="CB480" t="s">
        <v>111</v>
      </c>
      <c r="CC480" t="s">
        <v>111</v>
      </c>
      <c r="CD480" t="s">
        <v>111</v>
      </c>
      <c r="CE480" t="s">
        <v>111</v>
      </c>
      <c r="CF480" t="s">
        <v>111</v>
      </c>
      <c r="CG480" t="s">
        <v>111</v>
      </c>
      <c r="CH480" t="s">
        <v>111</v>
      </c>
      <c r="CI480" t="s">
        <v>111</v>
      </c>
      <c r="CJ480" t="s">
        <v>111</v>
      </c>
      <c r="CK480" t="s">
        <v>111</v>
      </c>
      <c r="CL480" t="s">
        <v>111</v>
      </c>
      <c r="CM480" t="s">
        <v>111</v>
      </c>
      <c r="CN480" t="s">
        <v>111</v>
      </c>
      <c r="CO480" t="s">
        <v>111</v>
      </c>
      <c r="CP480" t="s">
        <v>111</v>
      </c>
      <c r="CQ480">
        <v>0</v>
      </c>
      <c r="CR480">
        <v>0</v>
      </c>
      <c r="CS480">
        <v>0</v>
      </c>
      <c r="CT480" t="s">
        <v>111</v>
      </c>
      <c r="CU480">
        <v>0</v>
      </c>
      <c r="CV480" t="s">
        <v>111</v>
      </c>
      <c r="CW480" t="s">
        <v>111</v>
      </c>
      <c r="CX480" t="s">
        <v>111</v>
      </c>
      <c r="CY480">
        <v>0</v>
      </c>
      <c r="CZ480" t="s">
        <v>111</v>
      </c>
      <c r="DA480" t="s">
        <v>111</v>
      </c>
      <c r="DB480" t="s">
        <v>111</v>
      </c>
      <c r="DC480" t="s">
        <v>111</v>
      </c>
    </row>
    <row r="481" spans="1:107">
      <c r="A481">
        <v>357</v>
      </c>
      <c r="B481" t="s">
        <v>162</v>
      </c>
      <c r="C481" t="s">
        <v>328</v>
      </c>
      <c r="D481" t="s">
        <v>1760</v>
      </c>
      <c r="E481" t="s">
        <v>1761</v>
      </c>
      <c r="F481" t="s">
        <v>739</v>
      </c>
      <c r="G481" t="s">
        <v>469</v>
      </c>
      <c r="H481">
        <v>4.8</v>
      </c>
      <c r="I481">
        <v>30</v>
      </c>
      <c r="J481">
        <v>0</v>
      </c>
      <c r="K481">
        <v>0</v>
      </c>
      <c r="L481" t="s">
        <v>112</v>
      </c>
      <c r="M481" t="s">
        <v>118</v>
      </c>
      <c r="N481">
        <v>40</v>
      </c>
      <c r="O481">
        <v>1</v>
      </c>
      <c r="P481" t="s">
        <v>138</v>
      </c>
      <c r="Q481">
        <v>35</v>
      </c>
      <c r="R481">
        <v>0</v>
      </c>
      <c r="S481">
        <v>0</v>
      </c>
      <c r="T481">
        <v>5</v>
      </c>
      <c r="U481" t="s">
        <v>1384</v>
      </c>
      <c r="V481">
        <v>0</v>
      </c>
      <c r="W481">
        <v>25</v>
      </c>
      <c r="X481">
        <v>8</v>
      </c>
      <c r="Y481">
        <v>0</v>
      </c>
      <c r="Z481" t="s">
        <v>288</v>
      </c>
      <c r="AA481">
        <v>1.87</v>
      </c>
      <c r="AB481" t="s">
        <v>1219</v>
      </c>
      <c r="AC481">
        <v>8</v>
      </c>
      <c r="AD481" t="s">
        <v>416</v>
      </c>
      <c r="AE481">
        <v>2</v>
      </c>
      <c r="AF481">
        <v>2</v>
      </c>
      <c r="AG481">
        <v>40</v>
      </c>
      <c r="AH481" t="s">
        <v>111</v>
      </c>
      <c r="AI481">
        <v>40</v>
      </c>
      <c r="AJ481" t="s">
        <v>111</v>
      </c>
      <c r="AK481" t="s">
        <v>111</v>
      </c>
      <c r="AL481" t="s">
        <v>111</v>
      </c>
      <c r="AM481">
        <v>0</v>
      </c>
      <c r="AN481">
        <v>0</v>
      </c>
      <c r="AO481">
        <v>0</v>
      </c>
      <c r="AP481" t="s">
        <v>111</v>
      </c>
      <c r="AQ481" t="s">
        <v>111</v>
      </c>
      <c r="AR481" t="s">
        <v>111</v>
      </c>
      <c r="AS481" t="s">
        <v>111</v>
      </c>
      <c r="AT481" t="s">
        <v>111</v>
      </c>
      <c r="AU481" t="s">
        <v>111</v>
      </c>
      <c r="AV481" t="s">
        <v>111</v>
      </c>
      <c r="AW481" t="s">
        <v>111</v>
      </c>
      <c r="AX481" t="s">
        <v>111</v>
      </c>
      <c r="AY481" t="s">
        <v>111</v>
      </c>
      <c r="AZ481" t="s">
        <v>111</v>
      </c>
      <c r="BA481" t="s">
        <v>111</v>
      </c>
      <c r="BB481" t="s">
        <v>111</v>
      </c>
      <c r="BC481" t="s">
        <v>111</v>
      </c>
      <c r="BD481" t="s">
        <v>111</v>
      </c>
      <c r="BE481" t="s">
        <v>111</v>
      </c>
      <c r="BF481" t="s">
        <v>111</v>
      </c>
      <c r="BG481" t="s">
        <v>111</v>
      </c>
      <c r="BH481" t="s">
        <v>111</v>
      </c>
      <c r="BI481" t="s">
        <v>111</v>
      </c>
      <c r="BJ481" t="s">
        <v>111</v>
      </c>
      <c r="BK481" t="s">
        <v>111</v>
      </c>
      <c r="BL481" t="s">
        <v>111</v>
      </c>
      <c r="BM481" t="s">
        <v>111</v>
      </c>
      <c r="BN481" t="s">
        <v>111</v>
      </c>
      <c r="BO481" t="s">
        <v>111</v>
      </c>
      <c r="BP481" t="s">
        <v>111</v>
      </c>
      <c r="BQ481" t="s">
        <v>111</v>
      </c>
      <c r="BR481" t="s">
        <v>111</v>
      </c>
      <c r="BS481" t="s">
        <v>111</v>
      </c>
      <c r="BT481" t="s">
        <v>111</v>
      </c>
      <c r="BU481" t="s">
        <v>111</v>
      </c>
      <c r="BV481" t="s">
        <v>111</v>
      </c>
      <c r="BW481" t="s">
        <v>111</v>
      </c>
      <c r="BX481" t="s">
        <v>111</v>
      </c>
      <c r="BY481" t="s">
        <v>111</v>
      </c>
      <c r="BZ481" t="s">
        <v>111</v>
      </c>
      <c r="CA481" t="s">
        <v>111</v>
      </c>
      <c r="CB481" t="s">
        <v>111</v>
      </c>
      <c r="CC481" t="s">
        <v>111</v>
      </c>
      <c r="CD481" t="s">
        <v>111</v>
      </c>
      <c r="CE481" t="s">
        <v>111</v>
      </c>
      <c r="CF481" t="s">
        <v>111</v>
      </c>
      <c r="CG481" t="s">
        <v>111</v>
      </c>
      <c r="CH481" t="s">
        <v>111</v>
      </c>
      <c r="CI481" t="s">
        <v>111</v>
      </c>
      <c r="CJ481" t="s">
        <v>111</v>
      </c>
      <c r="CK481" t="s">
        <v>111</v>
      </c>
      <c r="CL481" t="s">
        <v>153</v>
      </c>
      <c r="CM481" t="s">
        <v>198</v>
      </c>
      <c r="CN481" t="s">
        <v>128</v>
      </c>
      <c r="CO481" t="s">
        <v>111</v>
      </c>
      <c r="CP481" t="s">
        <v>433</v>
      </c>
      <c r="CQ481">
        <v>0</v>
      </c>
      <c r="CR481">
        <v>1000</v>
      </c>
      <c r="CS481">
        <v>500</v>
      </c>
      <c r="CT481" s="1" t="s">
        <v>1762</v>
      </c>
      <c r="CU481">
        <v>0</v>
      </c>
      <c r="CV481" t="s">
        <v>111</v>
      </c>
      <c r="CW481" t="s">
        <v>111</v>
      </c>
      <c r="CX481" t="s">
        <v>111</v>
      </c>
      <c r="CY481">
        <v>0</v>
      </c>
      <c r="CZ481" t="s">
        <v>111</v>
      </c>
      <c r="DA481" t="s">
        <v>111</v>
      </c>
      <c r="DB481" t="s">
        <v>111</v>
      </c>
      <c r="DC481" t="s">
        <v>111</v>
      </c>
    </row>
    <row r="482" spans="1:107">
      <c r="A482">
        <v>1055</v>
      </c>
      <c r="B482" t="s">
        <v>107</v>
      </c>
      <c r="C482" t="s">
        <v>114</v>
      </c>
      <c r="D482" t="s">
        <v>489</v>
      </c>
      <c r="E482" t="s">
        <v>1763</v>
      </c>
      <c r="F482" t="s">
        <v>431</v>
      </c>
      <c r="G482" t="s">
        <v>469</v>
      </c>
      <c r="H482">
        <v>2.9</v>
      </c>
      <c r="I482">
        <v>70</v>
      </c>
      <c r="J482">
        <v>0</v>
      </c>
      <c r="K482">
        <v>0</v>
      </c>
      <c r="L482" t="s">
        <v>117</v>
      </c>
      <c r="M482" t="s">
        <v>118</v>
      </c>
      <c r="N482">
        <v>39</v>
      </c>
      <c r="O482">
        <v>1</v>
      </c>
      <c r="P482" t="s">
        <v>138</v>
      </c>
      <c r="Q482">
        <v>41.7</v>
      </c>
      <c r="R482">
        <v>0</v>
      </c>
      <c r="S482">
        <v>0</v>
      </c>
      <c r="T482">
        <v>5</v>
      </c>
      <c r="U482" s="1" t="s">
        <v>1764</v>
      </c>
      <c r="V482">
        <v>0</v>
      </c>
      <c r="W482">
        <v>25</v>
      </c>
      <c r="X482">
        <v>7.5</v>
      </c>
      <c r="Y482">
        <v>0</v>
      </c>
      <c r="Z482" t="s">
        <v>111</v>
      </c>
      <c r="AA482">
        <v>0</v>
      </c>
      <c r="AB482" t="s">
        <v>940</v>
      </c>
      <c r="AC482">
        <v>7.5</v>
      </c>
      <c r="AD482" t="s">
        <v>493</v>
      </c>
      <c r="AE482">
        <v>0</v>
      </c>
      <c r="AF482">
        <v>2</v>
      </c>
      <c r="AG482" t="s">
        <v>111</v>
      </c>
      <c r="AH482" t="s">
        <v>113</v>
      </c>
      <c r="AI482" t="s">
        <v>111</v>
      </c>
      <c r="AJ482" t="s">
        <v>111</v>
      </c>
      <c r="AK482" t="s">
        <v>111</v>
      </c>
      <c r="AL482" t="s">
        <v>111</v>
      </c>
      <c r="AM482">
        <v>0</v>
      </c>
      <c r="AN482">
        <v>0</v>
      </c>
      <c r="AO482">
        <v>0</v>
      </c>
      <c r="AP482" t="s">
        <v>111</v>
      </c>
      <c r="AQ482" t="s">
        <v>111</v>
      </c>
      <c r="AR482" t="s">
        <v>111</v>
      </c>
      <c r="AS482" t="s">
        <v>111</v>
      </c>
      <c r="AT482" t="s">
        <v>111</v>
      </c>
      <c r="AU482" t="s">
        <v>111</v>
      </c>
      <c r="AV482" t="s">
        <v>111</v>
      </c>
      <c r="AW482" t="s">
        <v>111</v>
      </c>
      <c r="AX482" t="s">
        <v>111</v>
      </c>
      <c r="AY482" t="s">
        <v>111</v>
      </c>
      <c r="AZ482" t="s">
        <v>111</v>
      </c>
      <c r="BA482" t="s">
        <v>111</v>
      </c>
      <c r="BB482" t="s">
        <v>111</v>
      </c>
      <c r="BC482" t="s">
        <v>111</v>
      </c>
      <c r="BD482" t="s">
        <v>111</v>
      </c>
      <c r="BE482" t="s">
        <v>111</v>
      </c>
      <c r="BF482" t="s">
        <v>111</v>
      </c>
      <c r="BG482" t="s">
        <v>111</v>
      </c>
      <c r="BH482" t="s">
        <v>111</v>
      </c>
      <c r="BI482" t="s">
        <v>111</v>
      </c>
      <c r="BJ482" t="s">
        <v>111</v>
      </c>
      <c r="BK482" t="s">
        <v>111</v>
      </c>
      <c r="BL482" t="s">
        <v>111</v>
      </c>
      <c r="BM482" t="s">
        <v>111</v>
      </c>
      <c r="BN482" t="s">
        <v>111</v>
      </c>
      <c r="BO482" t="s">
        <v>111</v>
      </c>
      <c r="BP482" t="s">
        <v>111</v>
      </c>
      <c r="BQ482" t="s">
        <v>111</v>
      </c>
      <c r="BR482" t="s">
        <v>111</v>
      </c>
      <c r="BS482" t="s">
        <v>111</v>
      </c>
      <c r="BT482" t="s">
        <v>111</v>
      </c>
      <c r="BU482" t="s">
        <v>111</v>
      </c>
      <c r="BV482" t="s">
        <v>111</v>
      </c>
      <c r="BW482" t="s">
        <v>111</v>
      </c>
      <c r="BX482" t="s">
        <v>111</v>
      </c>
      <c r="BY482" t="s">
        <v>111</v>
      </c>
      <c r="BZ482" t="s">
        <v>111</v>
      </c>
      <c r="CA482" t="s">
        <v>111</v>
      </c>
      <c r="CB482" t="s">
        <v>111</v>
      </c>
      <c r="CC482" t="s">
        <v>111</v>
      </c>
      <c r="CD482" t="s">
        <v>111</v>
      </c>
      <c r="CE482" t="s">
        <v>111</v>
      </c>
      <c r="CF482" t="s">
        <v>111</v>
      </c>
      <c r="CG482" t="s">
        <v>111</v>
      </c>
      <c r="CH482" t="s">
        <v>111</v>
      </c>
      <c r="CI482" t="s">
        <v>111</v>
      </c>
      <c r="CJ482" t="s">
        <v>111</v>
      </c>
      <c r="CK482" t="s">
        <v>111</v>
      </c>
      <c r="CL482" t="s">
        <v>111</v>
      </c>
      <c r="CM482" t="s">
        <v>135</v>
      </c>
      <c r="CN482" t="s">
        <v>113</v>
      </c>
      <c r="CO482" t="s">
        <v>111</v>
      </c>
      <c r="CP482" t="e">
        <f>-MUESTRA</f>
        <v>#NAME?</v>
      </c>
      <c r="CQ482">
        <v>0</v>
      </c>
      <c r="CR482">
        <v>3000</v>
      </c>
      <c r="CS482">
        <v>100</v>
      </c>
      <c r="CT482" s="1" t="s">
        <v>1765</v>
      </c>
      <c r="CU482">
        <v>0</v>
      </c>
      <c r="CV482" t="s">
        <v>111</v>
      </c>
      <c r="CW482" t="s">
        <v>111</v>
      </c>
      <c r="CX482" t="s">
        <v>111</v>
      </c>
      <c r="CY482">
        <v>0</v>
      </c>
      <c r="CZ482" t="s">
        <v>111</v>
      </c>
      <c r="DA482" t="s">
        <v>111</v>
      </c>
      <c r="DB482" t="s">
        <v>111</v>
      </c>
      <c r="DC482" t="s">
        <v>111</v>
      </c>
    </row>
    <row r="483" spans="1:107">
      <c r="A483">
        <v>1052</v>
      </c>
      <c r="B483" t="s">
        <v>107</v>
      </c>
      <c r="C483" t="s">
        <v>1766</v>
      </c>
      <c r="D483" t="s">
        <v>1231</v>
      </c>
      <c r="E483" t="s">
        <v>1232</v>
      </c>
      <c r="F483" t="s">
        <v>739</v>
      </c>
      <c r="G483" t="s">
        <v>469</v>
      </c>
      <c r="H483">
        <v>1.8</v>
      </c>
      <c r="I483">
        <v>43</v>
      </c>
      <c r="J483">
        <v>0</v>
      </c>
      <c r="K483">
        <v>0</v>
      </c>
      <c r="L483" t="s">
        <v>112</v>
      </c>
      <c r="M483" t="s">
        <v>118</v>
      </c>
      <c r="N483">
        <v>38</v>
      </c>
      <c r="O483">
        <v>2</v>
      </c>
      <c r="P483" t="s">
        <v>118</v>
      </c>
      <c r="Q483">
        <v>45</v>
      </c>
      <c r="R483">
        <v>0</v>
      </c>
      <c r="S483">
        <v>0</v>
      </c>
      <c r="T483">
        <v>5</v>
      </c>
      <c r="U483" t="s">
        <v>501</v>
      </c>
      <c r="V483">
        <v>0</v>
      </c>
      <c r="W483">
        <v>25</v>
      </c>
      <c r="X483">
        <v>8</v>
      </c>
      <c r="Y483">
        <v>0</v>
      </c>
      <c r="Z483" t="s">
        <v>288</v>
      </c>
      <c r="AA483">
        <v>1.8</v>
      </c>
      <c r="AB483" t="s">
        <v>111</v>
      </c>
      <c r="AC483">
        <v>0</v>
      </c>
      <c r="AD483" t="s">
        <v>416</v>
      </c>
      <c r="AE483">
        <v>0</v>
      </c>
      <c r="AF483">
        <v>0</v>
      </c>
      <c r="AG483" t="s">
        <v>111</v>
      </c>
      <c r="AH483" t="s">
        <v>111</v>
      </c>
      <c r="AI483" t="s">
        <v>111</v>
      </c>
      <c r="AJ483" t="s">
        <v>111</v>
      </c>
      <c r="AK483" t="s">
        <v>111</v>
      </c>
      <c r="AL483" t="s">
        <v>111</v>
      </c>
      <c r="AM483">
        <v>0</v>
      </c>
      <c r="AN483">
        <v>0</v>
      </c>
      <c r="AO483">
        <v>0</v>
      </c>
      <c r="AP483" t="s">
        <v>111</v>
      </c>
      <c r="AQ483" t="s">
        <v>111</v>
      </c>
      <c r="AR483" t="s">
        <v>111</v>
      </c>
      <c r="AS483" t="s">
        <v>111</v>
      </c>
      <c r="AT483" t="s">
        <v>111</v>
      </c>
      <c r="AU483" t="s">
        <v>111</v>
      </c>
      <c r="AV483" t="s">
        <v>111</v>
      </c>
      <c r="AW483" t="s">
        <v>111</v>
      </c>
      <c r="AX483" t="s">
        <v>111</v>
      </c>
      <c r="AY483" t="s">
        <v>111</v>
      </c>
      <c r="AZ483" t="s">
        <v>111</v>
      </c>
      <c r="BA483" t="s">
        <v>111</v>
      </c>
      <c r="BB483" t="s">
        <v>111</v>
      </c>
      <c r="BC483" t="s">
        <v>111</v>
      </c>
      <c r="BD483" t="s">
        <v>111</v>
      </c>
      <c r="BE483" t="s">
        <v>111</v>
      </c>
      <c r="BF483" t="s">
        <v>111</v>
      </c>
      <c r="BG483" t="s">
        <v>111</v>
      </c>
      <c r="BH483" t="s">
        <v>111</v>
      </c>
      <c r="BI483" t="s">
        <v>111</v>
      </c>
      <c r="BJ483" t="s">
        <v>111</v>
      </c>
      <c r="BK483" t="s">
        <v>111</v>
      </c>
      <c r="BL483" t="s">
        <v>111</v>
      </c>
      <c r="BM483" t="s">
        <v>111</v>
      </c>
      <c r="BN483" t="s">
        <v>111</v>
      </c>
      <c r="BO483" t="s">
        <v>111</v>
      </c>
      <c r="BP483" t="s">
        <v>111</v>
      </c>
      <c r="BQ483" t="s">
        <v>111</v>
      </c>
      <c r="BR483" t="s">
        <v>111</v>
      </c>
      <c r="BS483" t="s">
        <v>111</v>
      </c>
      <c r="BT483" t="s">
        <v>111</v>
      </c>
      <c r="BU483" t="s">
        <v>111</v>
      </c>
      <c r="BV483" t="s">
        <v>111</v>
      </c>
      <c r="BW483" t="s">
        <v>111</v>
      </c>
      <c r="BX483" t="s">
        <v>111</v>
      </c>
      <c r="BY483" t="s">
        <v>111</v>
      </c>
      <c r="BZ483" t="s">
        <v>111</v>
      </c>
      <c r="CA483" t="s">
        <v>111</v>
      </c>
      <c r="CB483" t="s">
        <v>111</v>
      </c>
      <c r="CC483" t="s">
        <v>111</v>
      </c>
      <c r="CD483" t="s">
        <v>111</v>
      </c>
      <c r="CE483" t="s">
        <v>111</v>
      </c>
      <c r="CF483" t="s">
        <v>111</v>
      </c>
      <c r="CG483" t="s">
        <v>111</v>
      </c>
      <c r="CH483" t="s">
        <v>111</v>
      </c>
      <c r="CI483" t="s">
        <v>111</v>
      </c>
      <c r="CJ483" t="s">
        <v>111</v>
      </c>
      <c r="CK483" t="s">
        <v>111</v>
      </c>
      <c r="CL483" t="e">
        <f>-DESTINO SELLADO</f>
        <v>#NAME?</v>
      </c>
      <c r="CM483" t="s">
        <v>135</v>
      </c>
      <c r="CN483" t="s">
        <v>113</v>
      </c>
      <c r="CO483" t="s">
        <v>367</v>
      </c>
      <c r="CP483" t="s">
        <v>111</v>
      </c>
      <c r="CQ483">
        <v>0</v>
      </c>
      <c r="CR483">
        <v>3000</v>
      </c>
      <c r="CS483">
        <v>50</v>
      </c>
      <c r="CT483" t="s">
        <v>459</v>
      </c>
      <c r="CU483">
        <v>0</v>
      </c>
      <c r="CV483" t="s">
        <v>111</v>
      </c>
      <c r="CW483" t="s">
        <v>111</v>
      </c>
      <c r="CX483" t="s">
        <v>111</v>
      </c>
      <c r="CY483">
        <v>0</v>
      </c>
      <c r="CZ483" t="s">
        <v>111</v>
      </c>
      <c r="DA483" t="s">
        <v>111</v>
      </c>
      <c r="DB483" t="e">
        <f>-INTERNO</f>
        <v>#NAME?</v>
      </c>
      <c r="DC483" t="s">
        <v>589</v>
      </c>
    </row>
    <row r="484" spans="1:107">
      <c r="A484">
        <v>1051</v>
      </c>
      <c r="B484" t="s">
        <v>107</v>
      </c>
      <c r="C484" t="s">
        <v>114</v>
      </c>
      <c r="D484" t="s">
        <v>651</v>
      </c>
      <c r="E484" t="s">
        <v>1767</v>
      </c>
      <c r="F484" t="s">
        <v>431</v>
      </c>
      <c r="G484" t="s">
        <v>469</v>
      </c>
      <c r="H484">
        <v>3</v>
      </c>
      <c r="I484">
        <v>46</v>
      </c>
      <c r="J484">
        <v>0</v>
      </c>
      <c r="K484">
        <v>0</v>
      </c>
      <c r="L484" t="s">
        <v>117</v>
      </c>
      <c r="M484" t="s">
        <v>118</v>
      </c>
      <c r="N484">
        <v>40</v>
      </c>
      <c r="O484">
        <v>1</v>
      </c>
      <c r="P484" t="s">
        <v>138</v>
      </c>
      <c r="Q484">
        <v>23</v>
      </c>
      <c r="R484">
        <v>0</v>
      </c>
      <c r="S484">
        <v>0</v>
      </c>
      <c r="T484">
        <v>5</v>
      </c>
      <c r="U484" t="s">
        <v>501</v>
      </c>
      <c r="V484">
        <v>0</v>
      </c>
      <c r="W484">
        <v>25</v>
      </c>
      <c r="X484">
        <v>8</v>
      </c>
      <c r="Y484">
        <v>0</v>
      </c>
      <c r="Z484" t="s">
        <v>111</v>
      </c>
      <c r="AA484">
        <v>0</v>
      </c>
      <c r="AB484" t="s">
        <v>1768</v>
      </c>
      <c r="AC484">
        <v>8</v>
      </c>
      <c r="AD484" t="s">
        <v>1520</v>
      </c>
      <c r="AE484">
        <v>0</v>
      </c>
      <c r="AF484">
        <v>0</v>
      </c>
      <c r="AG484" t="s">
        <v>111</v>
      </c>
      <c r="AH484" t="s">
        <v>111</v>
      </c>
      <c r="AI484" t="s">
        <v>111</v>
      </c>
      <c r="AJ484" t="s">
        <v>111</v>
      </c>
      <c r="AK484" t="s">
        <v>111</v>
      </c>
      <c r="AL484" t="s">
        <v>111</v>
      </c>
      <c r="AM484">
        <v>0</v>
      </c>
      <c r="AN484">
        <v>0</v>
      </c>
      <c r="AO484">
        <v>0</v>
      </c>
      <c r="AP484" t="s">
        <v>111</v>
      </c>
      <c r="AQ484" t="s">
        <v>111</v>
      </c>
      <c r="AR484" t="s">
        <v>111</v>
      </c>
      <c r="AS484" t="s">
        <v>111</v>
      </c>
      <c r="AT484" t="s">
        <v>111</v>
      </c>
      <c r="AU484" t="s">
        <v>111</v>
      </c>
      <c r="AV484" t="s">
        <v>111</v>
      </c>
      <c r="AW484" t="s">
        <v>111</v>
      </c>
      <c r="AX484" t="s">
        <v>111</v>
      </c>
      <c r="AY484" t="s">
        <v>111</v>
      </c>
      <c r="AZ484" t="s">
        <v>111</v>
      </c>
      <c r="BA484" t="s">
        <v>111</v>
      </c>
      <c r="BB484" t="s">
        <v>111</v>
      </c>
      <c r="BC484" t="s">
        <v>111</v>
      </c>
      <c r="BD484" t="s">
        <v>111</v>
      </c>
      <c r="BE484" t="s">
        <v>111</v>
      </c>
      <c r="BF484" t="s">
        <v>111</v>
      </c>
      <c r="BG484" t="s">
        <v>111</v>
      </c>
      <c r="BH484" t="s">
        <v>111</v>
      </c>
      <c r="BI484" t="s">
        <v>111</v>
      </c>
      <c r="BJ484" t="s">
        <v>111</v>
      </c>
      <c r="BK484" t="s">
        <v>111</v>
      </c>
      <c r="BL484" t="s">
        <v>111</v>
      </c>
      <c r="BM484" t="s">
        <v>111</v>
      </c>
      <c r="BN484" t="s">
        <v>111</v>
      </c>
      <c r="BO484" t="s">
        <v>111</v>
      </c>
      <c r="BP484" t="s">
        <v>111</v>
      </c>
      <c r="BQ484" t="s">
        <v>111</v>
      </c>
      <c r="BR484" t="s">
        <v>111</v>
      </c>
      <c r="BS484" t="s">
        <v>111</v>
      </c>
      <c r="BT484" t="s">
        <v>111</v>
      </c>
      <c r="BU484" t="s">
        <v>111</v>
      </c>
      <c r="BV484" t="s">
        <v>111</v>
      </c>
      <c r="BW484" t="s">
        <v>111</v>
      </c>
      <c r="BX484" t="s">
        <v>111</v>
      </c>
      <c r="BY484" t="s">
        <v>111</v>
      </c>
      <c r="BZ484" t="s">
        <v>111</v>
      </c>
      <c r="CA484" t="s">
        <v>111</v>
      </c>
      <c r="CB484" t="s">
        <v>111</v>
      </c>
      <c r="CC484" t="s">
        <v>111</v>
      </c>
      <c r="CD484" t="s">
        <v>111</v>
      </c>
      <c r="CE484" t="s">
        <v>111</v>
      </c>
      <c r="CF484" t="s">
        <v>111</v>
      </c>
      <c r="CG484" t="s">
        <v>111</v>
      </c>
      <c r="CH484" t="s">
        <v>111</v>
      </c>
      <c r="CI484" t="s">
        <v>111</v>
      </c>
      <c r="CJ484" t="s">
        <v>111</v>
      </c>
      <c r="CK484" t="s">
        <v>111</v>
      </c>
      <c r="CL484" t="e">
        <f>-DESTINO SELLADO</f>
        <v>#NAME?</v>
      </c>
      <c r="CM484" t="s">
        <v>135</v>
      </c>
      <c r="CN484" t="s">
        <v>113</v>
      </c>
      <c r="CO484" t="s">
        <v>111</v>
      </c>
      <c r="CP484" t="s">
        <v>111</v>
      </c>
      <c r="CQ484">
        <v>0</v>
      </c>
      <c r="CR484">
        <v>4000</v>
      </c>
      <c r="CS484">
        <v>100</v>
      </c>
      <c r="CT484" s="1" t="s">
        <v>1769</v>
      </c>
      <c r="CU484">
        <v>0</v>
      </c>
      <c r="CV484" t="s">
        <v>111</v>
      </c>
      <c r="CW484" t="s">
        <v>111</v>
      </c>
      <c r="CX484" t="s">
        <v>111</v>
      </c>
      <c r="CY484">
        <v>0</v>
      </c>
      <c r="CZ484" t="s">
        <v>111</v>
      </c>
      <c r="DA484" t="s">
        <v>111</v>
      </c>
      <c r="DB484" t="s">
        <v>111</v>
      </c>
      <c r="DC484" t="s">
        <v>111</v>
      </c>
    </row>
    <row r="485" spans="1:107">
      <c r="A485">
        <v>1050</v>
      </c>
      <c r="B485" t="s">
        <v>107</v>
      </c>
      <c r="C485" t="s">
        <v>114</v>
      </c>
      <c r="D485" t="s">
        <v>651</v>
      </c>
      <c r="E485" t="s">
        <v>1770</v>
      </c>
      <c r="F485" t="s">
        <v>431</v>
      </c>
      <c r="G485" t="s">
        <v>469</v>
      </c>
      <c r="H485">
        <v>3</v>
      </c>
      <c r="I485">
        <v>46</v>
      </c>
      <c r="J485">
        <v>0</v>
      </c>
      <c r="K485">
        <v>0</v>
      </c>
      <c r="L485" t="s">
        <v>117</v>
      </c>
      <c r="M485" t="s">
        <v>118</v>
      </c>
      <c r="N485">
        <v>39</v>
      </c>
      <c r="O485">
        <v>1</v>
      </c>
      <c r="P485" t="s">
        <v>138</v>
      </c>
      <c r="Q485">
        <v>23</v>
      </c>
      <c r="R485">
        <v>0</v>
      </c>
      <c r="S485">
        <v>0</v>
      </c>
      <c r="T485">
        <v>5</v>
      </c>
      <c r="U485" t="e">
        <f>-DESTINO DARMA</f>
        <v>#NAME?</v>
      </c>
      <c r="V485">
        <v>0</v>
      </c>
      <c r="W485">
        <v>25</v>
      </c>
      <c r="X485">
        <v>8</v>
      </c>
      <c r="Y485">
        <v>0</v>
      </c>
      <c r="Z485" t="s">
        <v>111</v>
      </c>
      <c r="AA485">
        <v>0</v>
      </c>
      <c r="AB485" t="s">
        <v>940</v>
      </c>
      <c r="AC485">
        <v>8</v>
      </c>
      <c r="AD485" t="s">
        <v>416</v>
      </c>
      <c r="AE485">
        <v>0</v>
      </c>
      <c r="AF485">
        <v>0</v>
      </c>
      <c r="AG485" t="s">
        <v>111</v>
      </c>
      <c r="AH485" t="s">
        <v>111</v>
      </c>
      <c r="AI485" t="s">
        <v>111</v>
      </c>
      <c r="AJ485" t="s">
        <v>111</v>
      </c>
      <c r="AK485" t="s">
        <v>111</v>
      </c>
      <c r="AL485" t="s">
        <v>111</v>
      </c>
      <c r="AM485">
        <v>0</v>
      </c>
      <c r="AN485">
        <v>0</v>
      </c>
      <c r="AO485">
        <v>0</v>
      </c>
      <c r="AP485" t="s">
        <v>111</v>
      </c>
      <c r="AQ485" t="s">
        <v>111</v>
      </c>
      <c r="AR485" t="s">
        <v>111</v>
      </c>
      <c r="AS485" t="s">
        <v>111</v>
      </c>
      <c r="AT485" t="s">
        <v>111</v>
      </c>
      <c r="AU485" t="s">
        <v>111</v>
      </c>
      <c r="AV485" t="s">
        <v>111</v>
      </c>
      <c r="AW485" t="s">
        <v>111</v>
      </c>
      <c r="AX485" t="s">
        <v>111</v>
      </c>
      <c r="AY485" t="s">
        <v>111</v>
      </c>
      <c r="AZ485" t="s">
        <v>111</v>
      </c>
      <c r="BA485" t="s">
        <v>111</v>
      </c>
      <c r="BB485" t="s">
        <v>111</v>
      </c>
      <c r="BC485" t="s">
        <v>111</v>
      </c>
      <c r="BD485" t="s">
        <v>111</v>
      </c>
      <c r="BE485" t="s">
        <v>111</v>
      </c>
      <c r="BF485" t="s">
        <v>111</v>
      </c>
      <c r="BG485" t="s">
        <v>111</v>
      </c>
      <c r="BH485" t="s">
        <v>111</v>
      </c>
      <c r="BI485" t="s">
        <v>111</v>
      </c>
      <c r="BJ485" t="s">
        <v>111</v>
      </c>
      <c r="BK485" t="s">
        <v>111</v>
      </c>
      <c r="BL485" t="s">
        <v>111</v>
      </c>
      <c r="BM485" t="s">
        <v>111</v>
      </c>
      <c r="BN485" t="s">
        <v>111</v>
      </c>
      <c r="BO485" t="s">
        <v>111</v>
      </c>
      <c r="BP485" t="s">
        <v>111</v>
      </c>
      <c r="BQ485" t="s">
        <v>111</v>
      </c>
      <c r="BR485" t="s">
        <v>111</v>
      </c>
      <c r="BS485" t="s">
        <v>111</v>
      </c>
      <c r="BT485" t="s">
        <v>111</v>
      </c>
      <c r="BU485" t="s">
        <v>111</v>
      </c>
      <c r="BV485" t="s">
        <v>111</v>
      </c>
      <c r="BW485" t="s">
        <v>111</v>
      </c>
      <c r="BX485" t="s">
        <v>111</v>
      </c>
      <c r="BY485" t="s">
        <v>111</v>
      </c>
      <c r="BZ485" t="s">
        <v>111</v>
      </c>
      <c r="CA485" t="s">
        <v>111</v>
      </c>
      <c r="CB485" t="s">
        <v>111</v>
      </c>
      <c r="CC485" t="s">
        <v>111</v>
      </c>
      <c r="CD485" t="s">
        <v>111</v>
      </c>
      <c r="CE485" t="s">
        <v>111</v>
      </c>
      <c r="CF485" t="s">
        <v>111</v>
      </c>
      <c r="CG485" t="s">
        <v>111</v>
      </c>
      <c r="CH485" t="s">
        <v>111</v>
      </c>
      <c r="CI485" t="s">
        <v>111</v>
      </c>
      <c r="CJ485" t="s">
        <v>111</v>
      </c>
      <c r="CK485" t="s">
        <v>111</v>
      </c>
      <c r="CL485" t="e">
        <f>-DESTINO SELLADO</f>
        <v>#NAME?</v>
      </c>
      <c r="CM485" t="s">
        <v>135</v>
      </c>
      <c r="CN485" t="s">
        <v>113</v>
      </c>
      <c r="CO485" t="s">
        <v>111</v>
      </c>
      <c r="CP485" t="s">
        <v>111</v>
      </c>
      <c r="CQ485">
        <v>0</v>
      </c>
      <c r="CR485">
        <v>4000</v>
      </c>
      <c r="CS485">
        <v>100</v>
      </c>
      <c r="CT485" s="1" t="s">
        <v>1771</v>
      </c>
      <c r="CU485">
        <v>0</v>
      </c>
      <c r="CV485" t="s">
        <v>111</v>
      </c>
      <c r="CW485" t="s">
        <v>111</v>
      </c>
      <c r="CX485" t="s">
        <v>111</v>
      </c>
      <c r="CY485">
        <v>0</v>
      </c>
      <c r="CZ485" t="s">
        <v>111</v>
      </c>
      <c r="DA485" t="s">
        <v>111</v>
      </c>
      <c r="DB485" t="s">
        <v>111</v>
      </c>
      <c r="DC485" t="s">
        <v>111</v>
      </c>
    </row>
    <row r="486" spans="1:107">
      <c r="A486">
        <v>1049</v>
      </c>
      <c r="B486" t="s">
        <v>107</v>
      </c>
      <c r="C486" t="s">
        <v>114</v>
      </c>
      <c r="D486" t="s">
        <v>651</v>
      </c>
      <c r="E486" t="s">
        <v>1772</v>
      </c>
      <c r="F486" t="s">
        <v>431</v>
      </c>
      <c r="G486" t="s">
        <v>469</v>
      </c>
      <c r="H486">
        <v>3</v>
      </c>
      <c r="I486">
        <v>46</v>
      </c>
      <c r="J486">
        <v>0</v>
      </c>
      <c r="K486">
        <v>0</v>
      </c>
      <c r="L486" t="s">
        <v>117</v>
      </c>
      <c r="M486" t="s">
        <v>118</v>
      </c>
      <c r="N486">
        <v>39</v>
      </c>
      <c r="O486">
        <v>1</v>
      </c>
      <c r="P486" t="s">
        <v>138</v>
      </c>
      <c r="Q486">
        <v>23</v>
      </c>
      <c r="R486">
        <v>0</v>
      </c>
      <c r="S486">
        <v>0</v>
      </c>
      <c r="T486">
        <v>5</v>
      </c>
      <c r="U486" t="s">
        <v>501</v>
      </c>
      <c r="V486">
        <v>0</v>
      </c>
      <c r="W486">
        <v>25</v>
      </c>
      <c r="X486">
        <v>8</v>
      </c>
      <c r="Y486">
        <v>0</v>
      </c>
      <c r="Z486" t="s">
        <v>111</v>
      </c>
      <c r="AA486">
        <v>0</v>
      </c>
      <c r="AB486" t="s">
        <v>1773</v>
      </c>
      <c r="AC486">
        <v>8</v>
      </c>
      <c r="AD486" t="s">
        <v>416</v>
      </c>
      <c r="AE486">
        <v>0</v>
      </c>
      <c r="AF486">
        <v>0</v>
      </c>
      <c r="AG486" t="s">
        <v>111</v>
      </c>
      <c r="AH486" t="s">
        <v>111</v>
      </c>
      <c r="AI486" t="s">
        <v>111</v>
      </c>
      <c r="AJ486" t="s">
        <v>111</v>
      </c>
      <c r="AK486" t="s">
        <v>111</v>
      </c>
      <c r="AL486" t="s">
        <v>111</v>
      </c>
      <c r="AM486">
        <v>0</v>
      </c>
      <c r="AN486">
        <v>0</v>
      </c>
      <c r="AO486">
        <v>0</v>
      </c>
      <c r="AP486" t="s">
        <v>111</v>
      </c>
      <c r="AQ486" t="s">
        <v>111</v>
      </c>
      <c r="AR486" t="s">
        <v>111</v>
      </c>
      <c r="AS486" t="s">
        <v>111</v>
      </c>
      <c r="AT486" t="s">
        <v>111</v>
      </c>
      <c r="AU486" t="s">
        <v>111</v>
      </c>
      <c r="AV486" t="s">
        <v>111</v>
      </c>
      <c r="AW486" t="s">
        <v>111</v>
      </c>
      <c r="AX486" t="s">
        <v>111</v>
      </c>
      <c r="AY486" t="s">
        <v>111</v>
      </c>
      <c r="AZ486" t="s">
        <v>111</v>
      </c>
      <c r="BA486" t="s">
        <v>111</v>
      </c>
      <c r="BB486" t="s">
        <v>111</v>
      </c>
      <c r="BC486" t="s">
        <v>111</v>
      </c>
      <c r="BD486" t="s">
        <v>111</v>
      </c>
      <c r="BE486" t="s">
        <v>111</v>
      </c>
      <c r="BF486" t="s">
        <v>111</v>
      </c>
      <c r="BG486" t="s">
        <v>111</v>
      </c>
      <c r="BH486" t="s">
        <v>111</v>
      </c>
      <c r="BI486" t="s">
        <v>111</v>
      </c>
      <c r="BJ486" t="s">
        <v>111</v>
      </c>
      <c r="BK486" t="s">
        <v>111</v>
      </c>
      <c r="BL486" t="s">
        <v>111</v>
      </c>
      <c r="BM486" t="s">
        <v>111</v>
      </c>
      <c r="BN486" t="s">
        <v>111</v>
      </c>
      <c r="BO486" t="s">
        <v>111</v>
      </c>
      <c r="BP486" t="s">
        <v>111</v>
      </c>
      <c r="BQ486" t="s">
        <v>111</v>
      </c>
      <c r="BR486" t="s">
        <v>111</v>
      </c>
      <c r="BS486" t="s">
        <v>111</v>
      </c>
      <c r="BT486" t="s">
        <v>111</v>
      </c>
      <c r="BU486" t="s">
        <v>111</v>
      </c>
      <c r="BV486" t="s">
        <v>111</v>
      </c>
      <c r="BW486" t="s">
        <v>111</v>
      </c>
      <c r="BX486" t="s">
        <v>111</v>
      </c>
      <c r="BY486" t="s">
        <v>111</v>
      </c>
      <c r="BZ486" t="s">
        <v>111</v>
      </c>
      <c r="CA486" t="s">
        <v>111</v>
      </c>
      <c r="CB486" t="s">
        <v>111</v>
      </c>
      <c r="CC486" t="s">
        <v>111</v>
      </c>
      <c r="CD486" t="s">
        <v>111</v>
      </c>
      <c r="CE486" t="s">
        <v>111</v>
      </c>
      <c r="CF486" t="s">
        <v>111</v>
      </c>
      <c r="CG486" t="s">
        <v>111</v>
      </c>
      <c r="CH486" t="s">
        <v>111</v>
      </c>
      <c r="CI486" t="s">
        <v>111</v>
      </c>
      <c r="CJ486" t="s">
        <v>111</v>
      </c>
      <c r="CK486" t="s">
        <v>111</v>
      </c>
      <c r="CL486" t="e">
        <f>-DESTINO SELLADO</f>
        <v>#NAME?</v>
      </c>
      <c r="CM486" t="s">
        <v>135</v>
      </c>
      <c r="CN486" t="s">
        <v>113</v>
      </c>
      <c r="CO486" t="s">
        <v>111</v>
      </c>
      <c r="CP486" t="s">
        <v>433</v>
      </c>
      <c r="CQ486">
        <v>0</v>
      </c>
      <c r="CR486">
        <v>4000</v>
      </c>
      <c r="CS486">
        <v>100</v>
      </c>
      <c r="CT486" s="1" t="s">
        <v>1774</v>
      </c>
      <c r="CU486">
        <v>0</v>
      </c>
      <c r="CV486" t="s">
        <v>111</v>
      </c>
      <c r="CW486" t="s">
        <v>111</v>
      </c>
      <c r="CX486" t="s">
        <v>111</v>
      </c>
      <c r="CY486">
        <v>0</v>
      </c>
      <c r="CZ486" t="s">
        <v>111</v>
      </c>
      <c r="DA486" t="s">
        <v>111</v>
      </c>
      <c r="DB486" t="s">
        <v>111</v>
      </c>
      <c r="DC486" t="s">
        <v>111</v>
      </c>
    </row>
    <row r="487" spans="1:107">
      <c r="A487">
        <v>1071</v>
      </c>
      <c r="B487" t="s">
        <v>107</v>
      </c>
      <c r="C487" t="s">
        <v>793</v>
      </c>
      <c r="D487" t="s">
        <v>1775</v>
      </c>
      <c r="E487" t="s">
        <v>1776</v>
      </c>
      <c r="F487" t="s">
        <v>1708</v>
      </c>
      <c r="G487" t="s">
        <v>469</v>
      </c>
      <c r="H487">
        <v>0.7</v>
      </c>
      <c r="I487">
        <v>18</v>
      </c>
      <c r="J487">
        <v>5</v>
      </c>
      <c r="K487">
        <v>5</v>
      </c>
      <c r="L487" t="s">
        <v>112</v>
      </c>
      <c r="M487" t="s">
        <v>118</v>
      </c>
      <c r="N487">
        <v>39</v>
      </c>
      <c r="O487">
        <v>2</v>
      </c>
      <c r="P487" t="s">
        <v>138</v>
      </c>
      <c r="Q487">
        <v>16.600000000000001</v>
      </c>
      <c r="R487">
        <v>0</v>
      </c>
      <c r="S487">
        <v>0</v>
      </c>
      <c r="T487">
        <v>0</v>
      </c>
      <c r="U487" s="1" t="s">
        <v>1777</v>
      </c>
      <c r="V487">
        <v>25</v>
      </c>
      <c r="W487">
        <v>0</v>
      </c>
      <c r="X487">
        <v>5</v>
      </c>
      <c r="Y487">
        <v>0</v>
      </c>
      <c r="Z487" t="s">
        <v>288</v>
      </c>
      <c r="AA487">
        <v>1.8</v>
      </c>
      <c r="AB487" t="s">
        <v>111</v>
      </c>
      <c r="AC487">
        <v>0</v>
      </c>
      <c r="AD487" t="s">
        <v>111</v>
      </c>
      <c r="AE487">
        <v>0</v>
      </c>
      <c r="AF487">
        <v>0</v>
      </c>
      <c r="AG487" t="s">
        <v>111</v>
      </c>
      <c r="AH487" t="s">
        <v>111</v>
      </c>
      <c r="AI487" t="s">
        <v>111</v>
      </c>
      <c r="AJ487" t="s">
        <v>111</v>
      </c>
      <c r="AK487" t="s">
        <v>111</v>
      </c>
      <c r="AL487" t="s">
        <v>111</v>
      </c>
      <c r="AM487">
        <v>0</v>
      </c>
      <c r="AN487">
        <v>0</v>
      </c>
      <c r="AO487">
        <v>0</v>
      </c>
      <c r="AP487" t="s">
        <v>111</v>
      </c>
      <c r="AQ487" t="s">
        <v>111</v>
      </c>
      <c r="AR487" t="s">
        <v>111</v>
      </c>
      <c r="AS487" t="s">
        <v>111</v>
      </c>
      <c r="AT487" t="s">
        <v>111</v>
      </c>
      <c r="AU487" t="s">
        <v>111</v>
      </c>
      <c r="AV487" t="s">
        <v>111</v>
      </c>
      <c r="AW487" t="s">
        <v>111</v>
      </c>
      <c r="AX487" t="s">
        <v>111</v>
      </c>
      <c r="AY487" t="s">
        <v>111</v>
      </c>
      <c r="AZ487" t="s">
        <v>111</v>
      </c>
      <c r="BA487" t="s">
        <v>111</v>
      </c>
      <c r="BB487" t="s">
        <v>111</v>
      </c>
      <c r="BC487" t="s">
        <v>111</v>
      </c>
      <c r="BD487" t="s">
        <v>111</v>
      </c>
      <c r="BE487" t="s">
        <v>111</v>
      </c>
      <c r="BF487" t="s">
        <v>111</v>
      </c>
      <c r="BG487" t="s">
        <v>111</v>
      </c>
      <c r="BH487" t="s">
        <v>111</v>
      </c>
      <c r="BI487" t="s">
        <v>111</v>
      </c>
      <c r="BJ487" t="s">
        <v>111</v>
      </c>
      <c r="BK487" t="s">
        <v>111</v>
      </c>
      <c r="BL487" t="s">
        <v>111</v>
      </c>
      <c r="BM487" t="s">
        <v>111</v>
      </c>
      <c r="BN487" t="s">
        <v>111</v>
      </c>
      <c r="BO487" t="s">
        <v>111</v>
      </c>
      <c r="BP487" t="s">
        <v>111</v>
      </c>
      <c r="BQ487" t="s">
        <v>111</v>
      </c>
      <c r="BR487" t="s">
        <v>111</v>
      </c>
      <c r="BS487" t="s">
        <v>111</v>
      </c>
      <c r="BT487" t="s">
        <v>111</v>
      </c>
      <c r="BU487" t="s">
        <v>111</v>
      </c>
      <c r="BV487" t="s">
        <v>111</v>
      </c>
      <c r="BW487" t="s">
        <v>111</v>
      </c>
      <c r="BX487" t="s">
        <v>111</v>
      </c>
      <c r="BY487" t="s">
        <v>111</v>
      </c>
      <c r="BZ487" t="s">
        <v>111</v>
      </c>
      <c r="CA487" t="s">
        <v>111</v>
      </c>
      <c r="CB487" t="s">
        <v>111</v>
      </c>
      <c r="CC487" t="s">
        <v>111</v>
      </c>
      <c r="CD487" t="s">
        <v>111</v>
      </c>
      <c r="CE487" t="s">
        <v>111</v>
      </c>
      <c r="CF487" t="s">
        <v>111</v>
      </c>
      <c r="CG487" t="s">
        <v>111</v>
      </c>
      <c r="CH487" t="s">
        <v>111</v>
      </c>
      <c r="CI487" t="s">
        <v>111</v>
      </c>
      <c r="CJ487" t="s">
        <v>111</v>
      </c>
      <c r="CK487" t="s">
        <v>111</v>
      </c>
      <c r="CL487" t="s">
        <v>111</v>
      </c>
      <c r="CM487" t="s">
        <v>111</v>
      </c>
      <c r="CN487" t="s">
        <v>111</v>
      </c>
      <c r="CO487" t="s">
        <v>111</v>
      </c>
      <c r="CP487" t="s">
        <v>111</v>
      </c>
      <c r="CQ487">
        <v>0</v>
      </c>
      <c r="CR487">
        <v>0</v>
      </c>
      <c r="CS487">
        <v>0</v>
      </c>
      <c r="CT487" t="s">
        <v>111</v>
      </c>
      <c r="CU487">
        <v>0</v>
      </c>
      <c r="CV487" t="s">
        <v>111</v>
      </c>
      <c r="CW487" t="s">
        <v>111</v>
      </c>
      <c r="CX487" t="s">
        <v>111</v>
      </c>
      <c r="CY487">
        <v>0</v>
      </c>
      <c r="CZ487" t="s">
        <v>111</v>
      </c>
      <c r="DA487" t="s">
        <v>111</v>
      </c>
      <c r="DB487" t="s">
        <v>111</v>
      </c>
      <c r="DC487" t="s">
        <v>111</v>
      </c>
    </row>
    <row r="488" spans="1:107">
      <c r="A488">
        <v>1063</v>
      </c>
      <c r="B488" t="s">
        <v>107</v>
      </c>
      <c r="C488" t="s">
        <v>267</v>
      </c>
      <c r="D488" t="s">
        <v>1778</v>
      </c>
      <c r="E488" t="s">
        <v>1779</v>
      </c>
      <c r="F488" t="s">
        <v>125</v>
      </c>
      <c r="G488" t="s">
        <v>469</v>
      </c>
      <c r="H488">
        <v>2</v>
      </c>
      <c r="I488">
        <v>60</v>
      </c>
      <c r="J488">
        <v>0</v>
      </c>
      <c r="K488">
        <v>0</v>
      </c>
      <c r="L488" t="s">
        <v>112</v>
      </c>
      <c r="M488" t="s">
        <v>111</v>
      </c>
      <c r="N488">
        <v>0</v>
      </c>
      <c r="O488">
        <v>0</v>
      </c>
      <c r="P488" t="s">
        <v>138</v>
      </c>
      <c r="Q488">
        <v>51</v>
      </c>
      <c r="R488">
        <v>0</v>
      </c>
      <c r="S488">
        <v>0</v>
      </c>
      <c r="T488">
        <v>3</v>
      </c>
      <c r="U488" t="e">
        <f>-DESTINO SELLADO</f>
        <v>#NAME?</v>
      </c>
      <c r="V488">
        <v>12.5</v>
      </c>
      <c r="W488">
        <v>12.5</v>
      </c>
      <c r="X488">
        <v>0</v>
      </c>
      <c r="Y488">
        <v>0</v>
      </c>
      <c r="Z488" t="s">
        <v>327</v>
      </c>
      <c r="AA488">
        <v>0.3</v>
      </c>
      <c r="AB488" t="s">
        <v>1780</v>
      </c>
      <c r="AC488">
        <v>25</v>
      </c>
      <c r="AD488" t="s">
        <v>111</v>
      </c>
      <c r="AE488">
        <v>0</v>
      </c>
      <c r="AF488">
        <v>0</v>
      </c>
      <c r="AG488" t="s">
        <v>111</v>
      </c>
      <c r="AH488" t="s">
        <v>111</v>
      </c>
      <c r="AI488" t="s">
        <v>111</v>
      </c>
      <c r="AJ488" t="s">
        <v>111</v>
      </c>
      <c r="AK488" t="s">
        <v>111</v>
      </c>
      <c r="AL488" t="s">
        <v>111</v>
      </c>
      <c r="AM488">
        <v>0</v>
      </c>
      <c r="AN488">
        <v>0</v>
      </c>
      <c r="AO488">
        <v>0</v>
      </c>
      <c r="AP488" t="s">
        <v>111</v>
      </c>
      <c r="AQ488" t="s">
        <v>111</v>
      </c>
      <c r="AR488" t="s">
        <v>111</v>
      </c>
      <c r="AS488" t="s">
        <v>111</v>
      </c>
      <c r="AT488" t="s">
        <v>111</v>
      </c>
      <c r="AU488" t="s">
        <v>111</v>
      </c>
      <c r="AV488" t="s">
        <v>111</v>
      </c>
      <c r="AW488" t="s">
        <v>111</v>
      </c>
      <c r="AX488" t="s">
        <v>111</v>
      </c>
      <c r="AY488" t="s">
        <v>111</v>
      </c>
      <c r="AZ488" t="s">
        <v>111</v>
      </c>
      <c r="BA488" t="s">
        <v>111</v>
      </c>
      <c r="BB488" t="s">
        <v>111</v>
      </c>
      <c r="BC488" t="s">
        <v>111</v>
      </c>
      <c r="BD488" t="s">
        <v>111</v>
      </c>
      <c r="BE488" t="s">
        <v>111</v>
      </c>
      <c r="BF488" t="s">
        <v>111</v>
      </c>
      <c r="BG488" t="s">
        <v>111</v>
      </c>
      <c r="BH488" t="s">
        <v>111</v>
      </c>
      <c r="BI488" t="s">
        <v>111</v>
      </c>
      <c r="BJ488" t="s">
        <v>111</v>
      </c>
      <c r="BK488" t="s">
        <v>111</v>
      </c>
      <c r="BL488" t="s">
        <v>111</v>
      </c>
      <c r="BM488" t="s">
        <v>111</v>
      </c>
      <c r="BN488" t="s">
        <v>111</v>
      </c>
      <c r="BO488" t="s">
        <v>111</v>
      </c>
      <c r="BP488" t="s">
        <v>111</v>
      </c>
      <c r="BQ488" t="s">
        <v>111</v>
      </c>
      <c r="BR488" t="s">
        <v>111</v>
      </c>
      <c r="BS488" t="s">
        <v>111</v>
      </c>
      <c r="BT488" t="s">
        <v>111</v>
      </c>
      <c r="BU488" t="s">
        <v>111</v>
      </c>
      <c r="BV488" t="s">
        <v>111</v>
      </c>
      <c r="BW488" t="s">
        <v>111</v>
      </c>
      <c r="BX488" t="s">
        <v>111</v>
      </c>
      <c r="BY488" t="s">
        <v>111</v>
      </c>
      <c r="BZ488" t="s">
        <v>111</v>
      </c>
      <c r="CA488" t="s">
        <v>111</v>
      </c>
      <c r="CB488" t="s">
        <v>111</v>
      </c>
      <c r="CC488" t="s">
        <v>111</v>
      </c>
      <c r="CD488" t="s">
        <v>111</v>
      </c>
      <c r="CE488" t="s">
        <v>111</v>
      </c>
      <c r="CF488" t="s">
        <v>111</v>
      </c>
      <c r="CG488" t="s">
        <v>111</v>
      </c>
      <c r="CH488" t="s">
        <v>111</v>
      </c>
      <c r="CI488" t="s">
        <v>111</v>
      </c>
      <c r="CJ488" t="s">
        <v>111</v>
      </c>
      <c r="CK488" t="s">
        <v>111</v>
      </c>
      <c r="CL488" t="s">
        <v>111</v>
      </c>
      <c r="CM488" t="s">
        <v>135</v>
      </c>
      <c r="CN488" t="s">
        <v>128</v>
      </c>
      <c r="CO488" t="s">
        <v>111</v>
      </c>
      <c r="CP488" t="s">
        <v>111</v>
      </c>
      <c r="CQ488">
        <v>0</v>
      </c>
      <c r="CR488">
        <v>400</v>
      </c>
      <c r="CS488">
        <v>25</v>
      </c>
      <c r="CT488" t="s">
        <v>394</v>
      </c>
      <c r="CU488">
        <v>0</v>
      </c>
      <c r="CV488" t="s">
        <v>111</v>
      </c>
      <c r="CW488" t="s">
        <v>111</v>
      </c>
      <c r="CX488" t="s">
        <v>111</v>
      </c>
      <c r="CY488">
        <v>0</v>
      </c>
      <c r="CZ488" t="s">
        <v>111</v>
      </c>
      <c r="DA488" t="s">
        <v>111</v>
      </c>
      <c r="DB488" t="s">
        <v>111</v>
      </c>
      <c r="DC488" t="s">
        <v>111</v>
      </c>
    </row>
    <row r="489" spans="1:107">
      <c r="A489">
        <v>1001</v>
      </c>
      <c r="B489" t="s">
        <v>107</v>
      </c>
      <c r="C489" t="s">
        <v>336</v>
      </c>
      <c r="D489" t="s">
        <v>1781</v>
      </c>
      <c r="E489" t="s">
        <v>1782</v>
      </c>
      <c r="F489" t="s">
        <v>125</v>
      </c>
      <c r="G489" t="s">
        <v>469</v>
      </c>
      <c r="H489">
        <v>2</v>
      </c>
      <c r="I489">
        <v>30</v>
      </c>
      <c r="J489">
        <v>0</v>
      </c>
      <c r="K489">
        <v>0</v>
      </c>
      <c r="L489" t="s">
        <v>112</v>
      </c>
      <c r="M489" t="s">
        <v>138</v>
      </c>
      <c r="N489">
        <v>0</v>
      </c>
      <c r="O489">
        <v>0</v>
      </c>
      <c r="P489" t="s">
        <v>138</v>
      </c>
      <c r="Q489">
        <v>40</v>
      </c>
      <c r="R489">
        <v>0</v>
      </c>
      <c r="S489">
        <v>0</v>
      </c>
      <c r="T489">
        <v>5</v>
      </c>
      <c r="U489" t="s">
        <v>1783</v>
      </c>
      <c r="V489">
        <v>12.5</v>
      </c>
      <c r="W489">
        <v>12.5</v>
      </c>
      <c r="X489">
        <v>0</v>
      </c>
      <c r="Y489">
        <v>0</v>
      </c>
      <c r="Z489" t="s">
        <v>111</v>
      </c>
      <c r="AA489">
        <v>0</v>
      </c>
      <c r="AB489" t="s">
        <v>1144</v>
      </c>
      <c r="AC489">
        <v>25</v>
      </c>
      <c r="AD489" t="s">
        <v>111</v>
      </c>
      <c r="AE489">
        <v>0</v>
      </c>
      <c r="AF489">
        <v>0</v>
      </c>
      <c r="AG489" t="s">
        <v>111</v>
      </c>
      <c r="AH489" t="s">
        <v>111</v>
      </c>
      <c r="AI489" t="s">
        <v>111</v>
      </c>
      <c r="AJ489" t="s">
        <v>111</v>
      </c>
      <c r="AK489" t="s">
        <v>111</v>
      </c>
      <c r="AL489" t="s">
        <v>111</v>
      </c>
      <c r="AM489">
        <v>0</v>
      </c>
      <c r="AN489">
        <v>0</v>
      </c>
      <c r="AO489">
        <v>0</v>
      </c>
      <c r="AP489" t="s">
        <v>111</v>
      </c>
      <c r="AQ489" t="s">
        <v>111</v>
      </c>
      <c r="AR489" t="s">
        <v>111</v>
      </c>
      <c r="AS489" t="s">
        <v>111</v>
      </c>
      <c r="AT489" t="s">
        <v>111</v>
      </c>
      <c r="AU489" t="s">
        <v>111</v>
      </c>
      <c r="AV489" t="s">
        <v>111</v>
      </c>
      <c r="AW489" t="s">
        <v>111</v>
      </c>
      <c r="AX489" t="s">
        <v>111</v>
      </c>
      <c r="AY489" t="s">
        <v>111</v>
      </c>
      <c r="AZ489" t="s">
        <v>111</v>
      </c>
      <c r="BA489" t="s">
        <v>111</v>
      </c>
      <c r="BB489" t="s">
        <v>111</v>
      </c>
      <c r="BC489" t="s">
        <v>111</v>
      </c>
      <c r="BD489" t="s">
        <v>111</v>
      </c>
      <c r="BE489" t="s">
        <v>111</v>
      </c>
      <c r="BF489" t="s">
        <v>111</v>
      </c>
      <c r="BG489" t="s">
        <v>111</v>
      </c>
      <c r="BH489" t="s">
        <v>111</v>
      </c>
      <c r="BI489" t="s">
        <v>111</v>
      </c>
      <c r="BJ489" t="s">
        <v>111</v>
      </c>
      <c r="BK489" t="s">
        <v>111</v>
      </c>
      <c r="BL489" t="s">
        <v>111</v>
      </c>
      <c r="BM489" t="s">
        <v>111</v>
      </c>
      <c r="BN489" t="s">
        <v>111</v>
      </c>
      <c r="BO489" t="s">
        <v>111</v>
      </c>
      <c r="BP489" t="s">
        <v>111</v>
      </c>
      <c r="BQ489" t="s">
        <v>111</v>
      </c>
      <c r="BR489" t="s">
        <v>111</v>
      </c>
      <c r="BS489" t="s">
        <v>111</v>
      </c>
      <c r="BT489" t="s">
        <v>111</v>
      </c>
      <c r="BU489" t="s">
        <v>111</v>
      </c>
      <c r="BV489" t="s">
        <v>111</v>
      </c>
      <c r="BW489" t="s">
        <v>111</v>
      </c>
      <c r="BX489" t="s">
        <v>111</v>
      </c>
      <c r="BY489" t="s">
        <v>111</v>
      </c>
      <c r="BZ489" t="s">
        <v>111</v>
      </c>
      <c r="CA489" t="s">
        <v>111</v>
      </c>
      <c r="CB489" t="s">
        <v>111</v>
      </c>
      <c r="CC489" t="s">
        <v>111</v>
      </c>
      <c r="CD489" t="s">
        <v>111</v>
      </c>
      <c r="CE489" t="s">
        <v>111</v>
      </c>
      <c r="CF489" t="s">
        <v>111</v>
      </c>
      <c r="CG489" t="s">
        <v>111</v>
      </c>
      <c r="CH489" t="s">
        <v>111</v>
      </c>
      <c r="CI489" t="s">
        <v>111</v>
      </c>
      <c r="CJ489" t="s">
        <v>111</v>
      </c>
      <c r="CK489" t="s">
        <v>111</v>
      </c>
      <c r="CL489" t="s">
        <v>111</v>
      </c>
      <c r="CM489" t="s">
        <v>111</v>
      </c>
      <c r="CN489" t="s">
        <v>111</v>
      </c>
      <c r="CO489" t="s">
        <v>111</v>
      </c>
      <c r="CP489" t="s">
        <v>111</v>
      </c>
      <c r="CQ489">
        <v>0</v>
      </c>
      <c r="CR489">
        <v>500</v>
      </c>
      <c r="CS489">
        <v>20</v>
      </c>
      <c r="CT489" t="s">
        <v>111</v>
      </c>
      <c r="CU489">
        <v>0</v>
      </c>
      <c r="CV489" t="s">
        <v>111</v>
      </c>
      <c r="CW489" t="s">
        <v>111</v>
      </c>
      <c r="CX489" t="s">
        <v>111</v>
      </c>
      <c r="CY489">
        <v>0</v>
      </c>
      <c r="CZ489" t="s">
        <v>111</v>
      </c>
      <c r="DA489" t="s">
        <v>111</v>
      </c>
      <c r="DB489" t="e">
        <f>-INTERNO</f>
        <v>#NAME?</v>
      </c>
      <c r="DC489" t="s">
        <v>281</v>
      </c>
    </row>
    <row r="490" spans="1:107">
      <c r="A490">
        <v>1046</v>
      </c>
      <c r="B490" t="s">
        <v>107</v>
      </c>
      <c r="C490" t="s">
        <v>122</v>
      </c>
      <c r="D490" t="s">
        <v>1784</v>
      </c>
      <c r="E490" t="s">
        <v>1785</v>
      </c>
      <c r="F490" t="s">
        <v>125</v>
      </c>
      <c r="G490" t="s">
        <v>469</v>
      </c>
      <c r="H490">
        <v>2.2000000000000002</v>
      </c>
      <c r="I490">
        <v>38</v>
      </c>
      <c r="J490">
        <v>9</v>
      </c>
      <c r="K490">
        <v>9</v>
      </c>
      <c r="L490" t="s">
        <v>112</v>
      </c>
      <c r="M490" t="s">
        <v>111</v>
      </c>
      <c r="N490">
        <v>0</v>
      </c>
      <c r="O490">
        <v>0</v>
      </c>
      <c r="P490" t="s">
        <v>138</v>
      </c>
      <c r="Q490">
        <v>31.2</v>
      </c>
      <c r="R490">
        <v>0</v>
      </c>
      <c r="S490">
        <v>0</v>
      </c>
      <c r="T490">
        <v>5</v>
      </c>
      <c r="U490" s="1" t="s">
        <v>1786</v>
      </c>
      <c r="V490">
        <v>25</v>
      </c>
      <c r="W490">
        <v>0</v>
      </c>
      <c r="X490">
        <v>10</v>
      </c>
      <c r="Y490">
        <v>0</v>
      </c>
      <c r="Z490" t="s">
        <v>111</v>
      </c>
      <c r="AA490">
        <v>0</v>
      </c>
      <c r="AB490" t="s">
        <v>1787</v>
      </c>
      <c r="AC490">
        <v>10</v>
      </c>
      <c r="AD490" t="s">
        <v>111</v>
      </c>
      <c r="AE490">
        <v>0</v>
      </c>
      <c r="AF490">
        <v>0</v>
      </c>
      <c r="AG490" t="s">
        <v>111</v>
      </c>
      <c r="AH490" t="s">
        <v>111</v>
      </c>
      <c r="AI490" t="s">
        <v>111</v>
      </c>
      <c r="AJ490" t="s">
        <v>111</v>
      </c>
      <c r="AK490" t="s">
        <v>111</v>
      </c>
      <c r="AL490" t="s">
        <v>111</v>
      </c>
      <c r="AM490">
        <v>0</v>
      </c>
      <c r="AN490">
        <v>0</v>
      </c>
      <c r="AO490">
        <v>0</v>
      </c>
      <c r="AP490" t="s">
        <v>111</v>
      </c>
      <c r="AQ490" t="s">
        <v>111</v>
      </c>
      <c r="AR490" t="s">
        <v>111</v>
      </c>
      <c r="AS490" t="s">
        <v>111</v>
      </c>
      <c r="AT490" t="s">
        <v>111</v>
      </c>
      <c r="AU490" t="s">
        <v>111</v>
      </c>
      <c r="AV490" t="s">
        <v>111</v>
      </c>
      <c r="AW490" t="s">
        <v>111</v>
      </c>
      <c r="AX490" t="s">
        <v>111</v>
      </c>
      <c r="AY490" t="s">
        <v>111</v>
      </c>
      <c r="AZ490" t="s">
        <v>111</v>
      </c>
      <c r="BA490" t="s">
        <v>111</v>
      </c>
      <c r="BB490" t="s">
        <v>111</v>
      </c>
      <c r="BC490" t="s">
        <v>111</v>
      </c>
      <c r="BD490" t="s">
        <v>111</v>
      </c>
      <c r="BE490" t="s">
        <v>111</v>
      </c>
      <c r="BF490" t="s">
        <v>111</v>
      </c>
      <c r="BG490" t="s">
        <v>111</v>
      </c>
      <c r="BH490" t="s">
        <v>111</v>
      </c>
      <c r="BI490" t="s">
        <v>111</v>
      </c>
      <c r="BJ490" t="s">
        <v>111</v>
      </c>
      <c r="BK490" t="s">
        <v>111</v>
      </c>
      <c r="BL490" t="s">
        <v>111</v>
      </c>
      <c r="BM490" t="s">
        <v>111</v>
      </c>
      <c r="BN490" t="s">
        <v>111</v>
      </c>
      <c r="BO490" t="s">
        <v>111</v>
      </c>
      <c r="BP490" t="s">
        <v>111</v>
      </c>
      <c r="BQ490" t="s">
        <v>111</v>
      </c>
      <c r="BR490" t="s">
        <v>111</v>
      </c>
      <c r="BS490" t="s">
        <v>111</v>
      </c>
      <c r="BT490" t="s">
        <v>111</v>
      </c>
      <c r="BU490" t="s">
        <v>111</v>
      </c>
      <c r="BV490" t="s">
        <v>111</v>
      </c>
      <c r="BW490" t="s">
        <v>111</v>
      </c>
      <c r="BX490" t="s">
        <v>111</v>
      </c>
      <c r="BY490" t="s">
        <v>111</v>
      </c>
      <c r="BZ490" t="s">
        <v>111</v>
      </c>
      <c r="CA490" t="s">
        <v>111</v>
      </c>
      <c r="CB490" t="s">
        <v>111</v>
      </c>
      <c r="CC490" t="s">
        <v>111</v>
      </c>
      <c r="CD490" t="s">
        <v>111</v>
      </c>
      <c r="CE490" t="s">
        <v>111</v>
      </c>
      <c r="CF490" t="s">
        <v>111</v>
      </c>
      <c r="CG490" t="s">
        <v>111</v>
      </c>
      <c r="CH490" t="s">
        <v>111</v>
      </c>
      <c r="CI490" t="s">
        <v>111</v>
      </c>
      <c r="CJ490" t="s">
        <v>111</v>
      </c>
      <c r="CK490" t="s">
        <v>111</v>
      </c>
      <c r="CL490" t="s">
        <v>111</v>
      </c>
      <c r="CM490" t="s">
        <v>135</v>
      </c>
      <c r="CN490" t="s">
        <v>128</v>
      </c>
      <c r="CO490" t="s">
        <v>637</v>
      </c>
      <c r="CP490" t="s">
        <v>111</v>
      </c>
      <c r="CQ490">
        <v>0</v>
      </c>
      <c r="CR490">
        <v>500</v>
      </c>
      <c r="CS490">
        <v>50</v>
      </c>
      <c r="CT490" s="1" t="s">
        <v>1788</v>
      </c>
      <c r="CU490">
        <v>0</v>
      </c>
      <c r="CV490" t="s">
        <v>111</v>
      </c>
      <c r="CW490" t="s">
        <v>111</v>
      </c>
      <c r="CX490" t="s">
        <v>111</v>
      </c>
      <c r="CY490">
        <v>0</v>
      </c>
      <c r="CZ490" t="s">
        <v>111</v>
      </c>
      <c r="DA490" t="s">
        <v>111</v>
      </c>
      <c r="DB490" t="s">
        <v>111</v>
      </c>
      <c r="DC490" t="s">
        <v>111</v>
      </c>
    </row>
    <row r="491" spans="1:107">
      <c r="A491">
        <v>1077</v>
      </c>
      <c r="B491" t="s">
        <v>107</v>
      </c>
      <c r="C491" t="s">
        <v>703</v>
      </c>
      <c r="D491" t="s">
        <v>1789</v>
      </c>
      <c r="E491" t="s">
        <v>1790</v>
      </c>
      <c r="F491" t="s">
        <v>125</v>
      </c>
      <c r="G491" t="s">
        <v>469</v>
      </c>
      <c r="H491">
        <v>0.7</v>
      </c>
      <c r="I491">
        <v>80</v>
      </c>
      <c r="J491">
        <v>0</v>
      </c>
      <c r="K491">
        <v>0</v>
      </c>
      <c r="L491" t="s">
        <v>178</v>
      </c>
      <c r="M491" t="s">
        <v>138</v>
      </c>
      <c r="N491">
        <v>0</v>
      </c>
      <c r="O491">
        <v>0</v>
      </c>
      <c r="P491" t="s">
        <v>111</v>
      </c>
      <c r="Q491">
        <v>49</v>
      </c>
      <c r="R491">
        <v>0</v>
      </c>
      <c r="S491">
        <v>0</v>
      </c>
      <c r="T491">
        <v>5</v>
      </c>
      <c r="U491" t="s">
        <v>296</v>
      </c>
      <c r="V491">
        <v>25</v>
      </c>
      <c r="W491">
        <v>0</v>
      </c>
      <c r="X491">
        <v>5</v>
      </c>
      <c r="Y491">
        <v>0</v>
      </c>
      <c r="Z491" t="s">
        <v>111</v>
      </c>
      <c r="AA491">
        <v>0</v>
      </c>
      <c r="AB491" t="s">
        <v>111</v>
      </c>
      <c r="AC491">
        <v>0</v>
      </c>
      <c r="AD491" t="s">
        <v>111</v>
      </c>
      <c r="AE491">
        <v>0</v>
      </c>
      <c r="AF491">
        <v>0</v>
      </c>
      <c r="AG491" t="s">
        <v>111</v>
      </c>
      <c r="AH491" t="s">
        <v>111</v>
      </c>
      <c r="AI491" t="s">
        <v>111</v>
      </c>
      <c r="AJ491" t="s">
        <v>111</v>
      </c>
      <c r="AK491" t="s">
        <v>111</v>
      </c>
      <c r="AL491" t="s">
        <v>111</v>
      </c>
      <c r="AM491">
        <v>0</v>
      </c>
      <c r="AN491">
        <v>0</v>
      </c>
      <c r="AO491">
        <v>0</v>
      </c>
      <c r="AP491" t="s">
        <v>111</v>
      </c>
      <c r="AQ491" t="s">
        <v>111</v>
      </c>
      <c r="AR491" t="s">
        <v>111</v>
      </c>
      <c r="AS491" t="s">
        <v>111</v>
      </c>
      <c r="AT491" t="s">
        <v>111</v>
      </c>
      <c r="AU491" t="s">
        <v>111</v>
      </c>
      <c r="AV491" t="s">
        <v>111</v>
      </c>
      <c r="AW491" t="s">
        <v>111</v>
      </c>
      <c r="AX491" t="s">
        <v>111</v>
      </c>
      <c r="AY491" t="s">
        <v>111</v>
      </c>
      <c r="AZ491" t="s">
        <v>111</v>
      </c>
      <c r="BA491" t="s">
        <v>111</v>
      </c>
      <c r="BB491" t="s">
        <v>111</v>
      </c>
      <c r="BC491" t="s">
        <v>111</v>
      </c>
      <c r="BD491" t="s">
        <v>111</v>
      </c>
      <c r="BE491" t="s">
        <v>111</v>
      </c>
      <c r="BF491" t="s">
        <v>111</v>
      </c>
      <c r="BG491" t="s">
        <v>111</v>
      </c>
      <c r="BH491" t="s">
        <v>111</v>
      </c>
      <c r="BI491" t="s">
        <v>111</v>
      </c>
      <c r="BJ491" t="s">
        <v>111</v>
      </c>
      <c r="BK491" t="s">
        <v>111</v>
      </c>
      <c r="BL491" t="s">
        <v>111</v>
      </c>
      <c r="BM491" t="s">
        <v>111</v>
      </c>
      <c r="BN491" t="s">
        <v>111</v>
      </c>
      <c r="BO491" t="s">
        <v>111</v>
      </c>
      <c r="BP491" t="s">
        <v>111</v>
      </c>
      <c r="BQ491" t="s">
        <v>111</v>
      </c>
      <c r="BR491" t="s">
        <v>111</v>
      </c>
      <c r="BS491" t="s">
        <v>111</v>
      </c>
      <c r="BT491" t="s">
        <v>111</v>
      </c>
      <c r="BU491" t="s">
        <v>111</v>
      </c>
      <c r="BV491" t="s">
        <v>111</v>
      </c>
      <c r="BW491" t="s">
        <v>111</v>
      </c>
      <c r="BX491" t="s">
        <v>111</v>
      </c>
      <c r="BY491" t="s">
        <v>111</v>
      </c>
      <c r="BZ491" t="s">
        <v>111</v>
      </c>
      <c r="CA491" t="s">
        <v>111</v>
      </c>
      <c r="CB491" t="s">
        <v>111</v>
      </c>
      <c r="CC491" t="s">
        <v>111</v>
      </c>
      <c r="CD491" t="s">
        <v>111</v>
      </c>
      <c r="CE491" t="s">
        <v>111</v>
      </c>
      <c r="CF491" t="s">
        <v>111</v>
      </c>
      <c r="CG491" t="s">
        <v>111</v>
      </c>
      <c r="CH491" t="s">
        <v>111</v>
      </c>
      <c r="CI491" t="s">
        <v>111</v>
      </c>
      <c r="CJ491" t="s">
        <v>111</v>
      </c>
      <c r="CK491" t="s">
        <v>111</v>
      </c>
      <c r="CL491" t="s">
        <v>111</v>
      </c>
      <c r="CM491" t="s">
        <v>135</v>
      </c>
      <c r="CN491" t="s">
        <v>113</v>
      </c>
      <c r="CO491" t="s">
        <v>111</v>
      </c>
      <c r="CP491" t="s">
        <v>111</v>
      </c>
      <c r="CQ491">
        <v>0</v>
      </c>
      <c r="CR491">
        <v>500</v>
      </c>
      <c r="CS491">
        <v>50</v>
      </c>
      <c r="CT491" t="s">
        <v>394</v>
      </c>
      <c r="CU491">
        <v>0</v>
      </c>
      <c r="CV491" t="s">
        <v>111</v>
      </c>
      <c r="CW491" t="s">
        <v>111</v>
      </c>
      <c r="CX491" t="s">
        <v>111</v>
      </c>
      <c r="CY491">
        <v>0</v>
      </c>
      <c r="CZ491" t="s">
        <v>111</v>
      </c>
      <c r="DA491" t="s">
        <v>111</v>
      </c>
      <c r="DB491" t="s">
        <v>111</v>
      </c>
      <c r="DC491" t="s">
        <v>111</v>
      </c>
    </row>
    <row r="492" spans="1:107">
      <c r="A492">
        <v>1032</v>
      </c>
      <c r="B492" t="s">
        <v>107</v>
      </c>
      <c r="C492" t="s">
        <v>1367</v>
      </c>
      <c r="D492" t="s">
        <v>818</v>
      </c>
      <c r="E492" t="s">
        <v>1791</v>
      </c>
      <c r="F492" t="s">
        <v>370</v>
      </c>
      <c r="G492" t="s">
        <v>469</v>
      </c>
      <c r="H492">
        <v>1.5</v>
      </c>
      <c r="I492">
        <v>57</v>
      </c>
      <c r="J492">
        <v>0</v>
      </c>
      <c r="K492">
        <v>0</v>
      </c>
      <c r="L492" t="s">
        <v>112</v>
      </c>
      <c r="M492" t="s">
        <v>118</v>
      </c>
      <c r="N492">
        <v>39</v>
      </c>
      <c r="O492">
        <v>2</v>
      </c>
      <c r="P492" t="s">
        <v>138</v>
      </c>
      <c r="Q492">
        <v>43.7</v>
      </c>
      <c r="R492">
        <v>0</v>
      </c>
      <c r="S492">
        <v>0</v>
      </c>
      <c r="T492">
        <v>5</v>
      </c>
      <c r="U492" t="s">
        <v>501</v>
      </c>
      <c r="V492">
        <v>25</v>
      </c>
      <c r="W492">
        <v>0</v>
      </c>
      <c r="X492">
        <v>5</v>
      </c>
      <c r="Y492">
        <v>0</v>
      </c>
      <c r="Z492" t="s">
        <v>288</v>
      </c>
      <c r="AA492">
        <v>1.7</v>
      </c>
      <c r="AB492" t="s">
        <v>111</v>
      </c>
      <c r="AC492">
        <v>0</v>
      </c>
      <c r="AD492" t="s">
        <v>416</v>
      </c>
      <c r="AE492">
        <v>0</v>
      </c>
      <c r="AF492">
        <v>0</v>
      </c>
      <c r="AG492" t="s">
        <v>111</v>
      </c>
      <c r="AH492" t="s">
        <v>111</v>
      </c>
      <c r="AI492" t="s">
        <v>111</v>
      </c>
      <c r="AJ492" t="s">
        <v>111</v>
      </c>
      <c r="AK492" t="s">
        <v>111</v>
      </c>
      <c r="AL492" t="s">
        <v>111</v>
      </c>
      <c r="AM492">
        <v>0</v>
      </c>
      <c r="AN492">
        <v>0</v>
      </c>
      <c r="AO492">
        <v>0</v>
      </c>
      <c r="AP492" t="s">
        <v>111</v>
      </c>
      <c r="AQ492" t="s">
        <v>111</v>
      </c>
      <c r="AR492" t="s">
        <v>111</v>
      </c>
      <c r="AS492" t="s">
        <v>111</v>
      </c>
      <c r="AT492" t="s">
        <v>111</v>
      </c>
      <c r="AU492" t="s">
        <v>111</v>
      </c>
      <c r="AV492" t="s">
        <v>111</v>
      </c>
      <c r="AW492" t="s">
        <v>111</v>
      </c>
      <c r="AX492" t="s">
        <v>111</v>
      </c>
      <c r="AY492" t="s">
        <v>111</v>
      </c>
      <c r="AZ492" t="s">
        <v>111</v>
      </c>
      <c r="BA492" t="s">
        <v>111</v>
      </c>
      <c r="BB492" t="s">
        <v>111</v>
      </c>
      <c r="BC492" t="s">
        <v>111</v>
      </c>
      <c r="BD492" t="s">
        <v>111</v>
      </c>
      <c r="BE492" t="s">
        <v>111</v>
      </c>
      <c r="BF492" t="s">
        <v>111</v>
      </c>
      <c r="BG492" t="s">
        <v>111</v>
      </c>
      <c r="BH492" t="s">
        <v>111</v>
      </c>
      <c r="BI492" t="s">
        <v>111</v>
      </c>
      <c r="BJ492" t="s">
        <v>111</v>
      </c>
      <c r="BK492" t="s">
        <v>111</v>
      </c>
      <c r="BL492" t="s">
        <v>111</v>
      </c>
      <c r="BM492" t="s">
        <v>111</v>
      </c>
      <c r="BN492" t="s">
        <v>111</v>
      </c>
      <c r="BO492" t="s">
        <v>111</v>
      </c>
      <c r="BP492" t="s">
        <v>111</v>
      </c>
      <c r="BQ492" t="s">
        <v>111</v>
      </c>
      <c r="BR492" t="s">
        <v>111</v>
      </c>
      <c r="BS492" t="s">
        <v>111</v>
      </c>
      <c r="BT492" t="s">
        <v>111</v>
      </c>
      <c r="BU492" t="s">
        <v>111</v>
      </c>
      <c r="BV492" t="s">
        <v>111</v>
      </c>
      <c r="BW492" t="s">
        <v>111</v>
      </c>
      <c r="BX492" t="s">
        <v>111</v>
      </c>
      <c r="BY492" t="s">
        <v>111</v>
      </c>
      <c r="BZ492" t="s">
        <v>111</v>
      </c>
      <c r="CA492" t="s">
        <v>111</v>
      </c>
      <c r="CB492" t="s">
        <v>111</v>
      </c>
      <c r="CC492" t="s">
        <v>111</v>
      </c>
      <c r="CD492" t="s">
        <v>111</v>
      </c>
      <c r="CE492" t="s">
        <v>111</v>
      </c>
      <c r="CF492" t="s">
        <v>111</v>
      </c>
      <c r="CG492" t="s">
        <v>111</v>
      </c>
      <c r="CH492" t="s">
        <v>111</v>
      </c>
      <c r="CI492" t="s">
        <v>111</v>
      </c>
      <c r="CJ492" t="s">
        <v>111</v>
      </c>
      <c r="CK492" t="s">
        <v>111</v>
      </c>
      <c r="CL492" t="e">
        <f>-DESTINO SELLADO</f>
        <v>#NAME?</v>
      </c>
      <c r="CM492" t="s">
        <v>135</v>
      </c>
      <c r="CN492" t="s">
        <v>113</v>
      </c>
      <c r="CO492" t="s">
        <v>367</v>
      </c>
      <c r="CP492" t="e">
        <f>-MUESTRA</f>
        <v>#NAME?</v>
      </c>
      <c r="CQ492">
        <v>0</v>
      </c>
      <c r="CR492">
        <v>1500</v>
      </c>
      <c r="CS492">
        <v>50</v>
      </c>
      <c r="CT492" s="1" t="s">
        <v>1792</v>
      </c>
      <c r="CU492">
        <v>0</v>
      </c>
      <c r="CV492" t="s">
        <v>111</v>
      </c>
      <c r="CW492" t="s">
        <v>111</v>
      </c>
      <c r="CX492" t="s">
        <v>111</v>
      </c>
      <c r="CY492">
        <v>0</v>
      </c>
      <c r="CZ492" t="s">
        <v>111</v>
      </c>
      <c r="DA492" t="s">
        <v>111</v>
      </c>
      <c r="DB492" t="e">
        <f>-INTERNO</f>
        <v>#NAME?</v>
      </c>
      <c r="DC492" t="e">
        <f>-TROQUEL</f>
        <v>#NAME?</v>
      </c>
    </row>
    <row r="493" spans="1:107">
      <c r="A493">
        <v>1019</v>
      </c>
      <c r="B493" t="s">
        <v>107</v>
      </c>
      <c r="C493" t="s">
        <v>405</v>
      </c>
      <c r="D493" t="s">
        <v>1793</v>
      </c>
      <c r="E493" t="s">
        <v>1794</v>
      </c>
      <c r="F493" t="s">
        <v>157</v>
      </c>
      <c r="G493" t="s">
        <v>469</v>
      </c>
      <c r="H493">
        <v>0.9</v>
      </c>
      <c r="I493">
        <v>52.25</v>
      </c>
      <c r="J493">
        <v>0</v>
      </c>
      <c r="K493">
        <v>0</v>
      </c>
      <c r="L493" t="s">
        <v>112</v>
      </c>
      <c r="M493" t="s">
        <v>138</v>
      </c>
      <c r="N493">
        <v>0</v>
      </c>
      <c r="O493">
        <v>0</v>
      </c>
      <c r="P493" t="s">
        <v>138</v>
      </c>
      <c r="Q493">
        <v>52.1</v>
      </c>
      <c r="R493">
        <v>0</v>
      </c>
      <c r="S493">
        <v>0</v>
      </c>
      <c r="T493">
        <v>0</v>
      </c>
      <c r="U493" s="1" t="s">
        <v>1795</v>
      </c>
      <c r="V493">
        <v>0</v>
      </c>
      <c r="W493">
        <v>25</v>
      </c>
      <c r="X493">
        <v>5</v>
      </c>
      <c r="Y493">
        <v>0</v>
      </c>
      <c r="Z493" t="s">
        <v>111</v>
      </c>
      <c r="AA493">
        <v>0</v>
      </c>
      <c r="AB493" t="s">
        <v>111</v>
      </c>
      <c r="AC493">
        <v>0</v>
      </c>
      <c r="AD493" t="s">
        <v>111</v>
      </c>
      <c r="AE493">
        <v>0</v>
      </c>
      <c r="AF493">
        <v>0</v>
      </c>
      <c r="AG493" t="s">
        <v>111</v>
      </c>
      <c r="AH493" t="s">
        <v>111</v>
      </c>
      <c r="AI493" t="s">
        <v>111</v>
      </c>
      <c r="AJ493" t="s">
        <v>111</v>
      </c>
      <c r="AK493" t="s">
        <v>111</v>
      </c>
      <c r="AL493" t="s">
        <v>111</v>
      </c>
      <c r="AM493">
        <v>0</v>
      </c>
      <c r="AN493">
        <v>0</v>
      </c>
      <c r="AO493">
        <v>0</v>
      </c>
      <c r="AP493" t="s">
        <v>111</v>
      </c>
      <c r="AQ493" t="s">
        <v>111</v>
      </c>
      <c r="AR493" t="s">
        <v>111</v>
      </c>
      <c r="AS493" t="s">
        <v>111</v>
      </c>
      <c r="AT493" t="s">
        <v>111</v>
      </c>
      <c r="AU493" t="s">
        <v>111</v>
      </c>
      <c r="AV493" t="s">
        <v>111</v>
      </c>
      <c r="AW493" t="s">
        <v>111</v>
      </c>
      <c r="AX493" t="s">
        <v>111</v>
      </c>
      <c r="AY493" t="s">
        <v>111</v>
      </c>
      <c r="AZ493" t="s">
        <v>111</v>
      </c>
      <c r="BA493" t="s">
        <v>111</v>
      </c>
      <c r="BB493" t="s">
        <v>111</v>
      </c>
      <c r="BC493" t="s">
        <v>111</v>
      </c>
      <c r="BD493" t="s">
        <v>111</v>
      </c>
      <c r="BE493" t="s">
        <v>111</v>
      </c>
      <c r="BF493" t="s">
        <v>111</v>
      </c>
      <c r="BG493" t="s">
        <v>111</v>
      </c>
      <c r="BH493" t="s">
        <v>111</v>
      </c>
      <c r="BI493" t="s">
        <v>111</v>
      </c>
      <c r="BJ493" t="s">
        <v>111</v>
      </c>
      <c r="BK493" t="s">
        <v>111</v>
      </c>
      <c r="BL493" t="s">
        <v>111</v>
      </c>
      <c r="BM493" t="s">
        <v>111</v>
      </c>
      <c r="BN493" t="s">
        <v>111</v>
      </c>
      <c r="BO493" t="s">
        <v>111</v>
      </c>
      <c r="BP493" t="s">
        <v>111</v>
      </c>
      <c r="BQ493" t="s">
        <v>111</v>
      </c>
      <c r="BR493" t="s">
        <v>111</v>
      </c>
      <c r="BS493" t="s">
        <v>111</v>
      </c>
      <c r="BT493" t="s">
        <v>111</v>
      </c>
      <c r="BU493" t="s">
        <v>111</v>
      </c>
      <c r="BV493" t="s">
        <v>111</v>
      </c>
      <c r="BW493" t="s">
        <v>111</v>
      </c>
      <c r="BX493" t="s">
        <v>111</v>
      </c>
      <c r="BY493" t="s">
        <v>111</v>
      </c>
      <c r="BZ493" t="s">
        <v>111</v>
      </c>
      <c r="CA493" t="s">
        <v>111</v>
      </c>
      <c r="CB493" t="s">
        <v>111</v>
      </c>
      <c r="CC493" t="s">
        <v>111</v>
      </c>
      <c r="CD493" t="s">
        <v>111</v>
      </c>
      <c r="CE493" t="s">
        <v>111</v>
      </c>
      <c r="CF493" t="s">
        <v>111</v>
      </c>
      <c r="CG493" t="s">
        <v>111</v>
      </c>
      <c r="CH493" t="s">
        <v>111</v>
      </c>
      <c r="CI493" t="s">
        <v>111</v>
      </c>
      <c r="CJ493" t="s">
        <v>111</v>
      </c>
      <c r="CK493" t="s">
        <v>111</v>
      </c>
      <c r="CL493" t="s">
        <v>111</v>
      </c>
      <c r="CM493" t="s">
        <v>111</v>
      </c>
      <c r="CN493" t="s">
        <v>111</v>
      </c>
      <c r="CO493" t="s">
        <v>111</v>
      </c>
      <c r="CP493" t="s">
        <v>111</v>
      </c>
      <c r="CQ493">
        <v>0</v>
      </c>
      <c r="CR493">
        <v>0</v>
      </c>
      <c r="CS493">
        <v>0</v>
      </c>
      <c r="CT493" t="s">
        <v>111</v>
      </c>
      <c r="CU493">
        <v>0</v>
      </c>
      <c r="CV493" t="s">
        <v>111</v>
      </c>
      <c r="CW493" t="s">
        <v>111</v>
      </c>
      <c r="CX493" t="s">
        <v>111</v>
      </c>
      <c r="CY493">
        <v>0</v>
      </c>
      <c r="CZ493" t="s">
        <v>111</v>
      </c>
      <c r="DA493" t="s">
        <v>111</v>
      </c>
      <c r="DB493" t="s">
        <v>111</v>
      </c>
      <c r="DC493" t="s">
        <v>111</v>
      </c>
    </row>
    <row r="494" spans="1:107">
      <c r="A494">
        <v>1015</v>
      </c>
      <c r="B494" t="s">
        <v>107</v>
      </c>
      <c r="C494" t="s">
        <v>108</v>
      </c>
      <c r="D494" t="s">
        <v>334</v>
      </c>
      <c r="E494" t="s">
        <v>1796</v>
      </c>
      <c r="F494" t="s">
        <v>166</v>
      </c>
      <c r="G494" t="s">
        <v>469</v>
      </c>
      <c r="H494">
        <v>3</v>
      </c>
      <c r="I494">
        <v>50</v>
      </c>
      <c r="J494">
        <v>0</v>
      </c>
      <c r="K494">
        <v>0</v>
      </c>
      <c r="L494" t="s">
        <v>112</v>
      </c>
      <c r="M494" t="s">
        <v>138</v>
      </c>
      <c r="N494">
        <v>0</v>
      </c>
      <c r="O494">
        <v>0</v>
      </c>
      <c r="P494" t="s">
        <v>138</v>
      </c>
      <c r="Q494">
        <v>41.6</v>
      </c>
      <c r="R494">
        <v>0</v>
      </c>
      <c r="S494">
        <v>0</v>
      </c>
      <c r="T494">
        <v>0</v>
      </c>
      <c r="U494" s="1" t="s">
        <v>1797</v>
      </c>
      <c r="V494">
        <v>250</v>
      </c>
      <c r="W494">
        <v>41</v>
      </c>
      <c r="X494">
        <v>4</v>
      </c>
      <c r="Y494">
        <v>0</v>
      </c>
      <c r="Z494" t="s">
        <v>111</v>
      </c>
      <c r="AA494">
        <v>0</v>
      </c>
      <c r="AB494" t="s">
        <v>111</v>
      </c>
      <c r="AC494">
        <v>0</v>
      </c>
      <c r="AD494" t="s">
        <v>111</v>
      </c>
      <c r="AE494">
        <v>0</v>
      </c>
      <c r="AF494">
        <v>0</v>
      </c>
      <c r="AG494" t="s">
        <v>111</v>
      </c>
      <c r="AH494" t="s">
        <v>111</v>
      </c>
      <c r="AI494" t="s">
        <v>111</v>
      </c>
      <c r="AJ494" t="s">
        <v>111</v>
      </c>
      <c r="AK494" t="s">
        <v>111</v>
      </c>
      <c r="AL494" t="s">
        <v>111</v>
      </c>
      <c r="AM494">
        <v>0</v>
      </c>
      <c r="AN494">
        <v>0</v>
      </c>
      <c r="AO494">
        <v>0</v>
      </c>
      <c r="AP494" t="s">
        <v>111</v>
      </c>
      <c r="AQ494" t="s">
        <v>111</v>
      </c>
      <c r="AR494" t="s">
        <v>111</v>
      </c>
      <c r="AS494" t="s">
        <v>111</v>
      </c>
      <c r="AT494" t="s">
        <v>111</v>
      </c>
      <c r="AU494" t="s">
        <v>111</v>
      </c>
      <c r="AV494" t="s">
        <v>111</v>
      </c>
      <c r="AW494" t="s">
        <v>111</v>
      </c>
      <c r="AX494" t="s">
        <v>111</v>
      </c>
      <c r="AY494" t="s">
        <v>111</v>
      </c>
      <c r="AZ494" t="s">
        <v>111</v>
      </c>
      <c r="BA494" t="s">
        <v>111</v>
      </c>
      <c r="BB494" t="s">
        <v>111</v>
      </c>
      <c r="BC494" t="s">
        <v>111</v>
      </c>
      <c r="BD494" t="s">
        <v>111</v>
      </c>
      <c r="BE494" t="s">
        <v>111</v>
      </c>
      <c r="BF494" t="s">
        <v>111</v>
      </c>
      <c r="BG494" t="s">
        <v>111</v>
      </c>
      <c r="BH494" t="s">
        <v>111</v>
      </c>
      <c r="BI494" t="s">
        <v>111</v>
      </c>
      <c r="BJ494" t="s">
        <v>111</v>
      </c>
      <c r="BK494" t="s">
        <v>111</v>
      </c>
      <c r="BL494" t="s">
        <v>111</v>
      </c>
      <c r="BM494" t="s">
        <v>111</v>
      </c>
      <c r="BN494" t="s">
        <v>111</v>
      </c>
      <c r="BO494" t="s">
        <v>111</v>
      </c>
      <c r="BP494" t="s">
        <v>111</v>
      </c>
      <c r="BQ494" t="s">
        <v>111</v>
      </c>
      <c r="BR494" t="s">
        <v>111</v>
      </c>
      <c r="BS494" t="s">
        <v>111</v>
      </c>
      <c r="BT494" t="s">
        <v>111</v>
      </c>
      <c r="BU494" t="s">
        <v>111</v>
      </c>
      <c r="BV494" t="s">
        <v>111</v>
      </c>
      <c r="BW494" t="s">
        <v>111</v>
      </c>
      <c r="BX494" t="s">
        <v>111</v>
      </c>
      <c r="BY494" t="s">
        <v>111</v>
      </c>
      <c r="BZ494" t="s">
        <v>111</v>
      </c>
      <c r="CA494" t="s">
        <v>111</v>
      </c>
      <c r="CB494" t="s">
        <v>111</v>
      </c>
      <c r="CC494" t="s">
        <v>111</v>
      </c>
      <c r="CD494" t="s">
        <v>111</v>
      </c>
      <c r="CE494" t="s">
        <v>111</v>
      </c>
      <c r="CF494" t="s">
        <v>111</v>
      </c>
      <c r="CG494" t="s">
        <v>111</v>
      </c>
      <c r="CH494" t="s">
        <v>111</v>
      </c>
      <c r="CI494" t="s">
        <v>111</v>
      </c>
      <c r="CJ494" t="s">
        <v>111</v>
      </c>
      <c r="CK494" t="s">
        <v>111</v>
      </c>
      <c r="CL494" t="s">
        <v>111</v>
      </c>
      <c r="CM494" t="s">
        <v>111</v>
      </c>
      <c r="CN494" t="s">
        <v>111</v>
      </c>
      <c r="CO494" t="s">
        <v>111</v>
      </c>
      <c r="CP494" t="s">
        <v>111</v>
      </c>
      <c r="CQ494">
        <v>0</v>
      </c>
      <c r="CR494">
        <v>0</v>
      </c>
      <c r="CS494">
        <v>0</v>
      </c>
      <c r="CT494" t="s">
        <v>111</v>
      </c>
      <c r="CU494">
        <v>0</v>
      </c>
      <c r="CV494" t="s">
        <v>111</v>
      </c>
      <c r="CW494" t="s">
        <v>111</v>
      </c>
      <c r="CX494" t="s">
        <v>111</v>
      </c>
      <c r="CY494">
        <v>0</v>
      </c>
      <c r="CZ494" t="s">
        <v>111</v>
      </c>
      <c r="DA494" t="s">
        <v>111</v>
      </c>
      <c r="DB494" t="s">
        <v>111</v>
      </c>
      <c r="DC494" t="s">
        <v>111</v>
      </c>
    </row>
    <row r="495" spans="1:107">
      <c r="A495">
        <v>1044</v>
      </c>
      <c r="B495" t="s">
        <v>107</v>
      </c>
      <c r="C495" t="s">
        <v>194</v>
      </c>
      <c r="D495" t="s">
        <v>1798</v>
      </c>
      <c r="E495" t="s">
        <v>1799</v>
      </c>
      <c r="F495" t="s">
        <v>125</v>
      </c>
      <c r="G495" t="s">
        <v>469</v>
      </c>
      <c r="H495">
        <v>0.5</v>
      </c>
      <c r="I495">
        <v>45</v>
      </c>
      <c r="J495">
        <v>0</v>
      </c>
      <c r="K495">
        <v>0</v>
      </c>
      <c r="L495" t="s">
        <v>112</v>
      </c>
      <c r="M495" t="s">
        <v>138</v>
      </c>
      <c r="N495">
        <v>0</v>
      </c>
      <c r="O495">
        <v>0</v>
      </c>
      <c r="P495" t="s">
        <v>138</v>
      </c>
      <c r="Q495">
        <v>40</v>
      </c>
      <c r="R495">
        <v>0</v>
      </c>
      <c r="S495">
        <v>0</v>
      </c>
      <c r="T495">
        <v>5</v>
      </c>
      <c r="U495" t="s">
        <v>296</v>
      </c>
      <c r="V495">
        <v>25</v>
      </c>
      <c r="W495">
        <v>0</v>
      </c>
      <c r="X495">
        <v>5</v>
      </c>
      <c r="Y495">
        <v>0</v>
      </c>
      <c r="Z495" t="s">
        <v>111</v>
      </c>
      <c r="AA495">
        <v>0</v>
      </c>
      <c r="AB495" t="s">
        <v>111</v>
      </c>
      <c r="AC495">
        <v>0</v>
      </c>
      <c r="AD495" t="s">
        <v>111</v>
      </c>
      <c r="AE495">
        <v>0</v>
      </c>
      <c r="AF495">
        <v>0</v>
      </c>
      <c r="AG495" t="s">
        <v>111</v>
      </c>
      <c r="AH495" t="s">
        <v>111</v>
      </c>
      <c r="AI495" t="s">
        <v>111</v>
      </c>
      <c r="AJ495" t="s">
        <v>111</v>
      </c>
      <c r="AK495" t="s">
        <v>111</v>
      </c>
      <c r="AL495" t="s">
        <v>111</v>
      </c>
      <c r="AM495">
        <v>0</v>
      </c>
      <c r="AN495">
        <v>0</v>
      </c>
      <c r="AO495">
        <v>0</v>
      </c>
      <c r="AP495" t="s">
        <v>111</v>
      </c>
      <c r="AQ495" t="s">
        <v>111</v>
      </c>
      <c r="AR495" t="s">
        <v>111</v>
      </c>
      <c r="AS495" t="s">
        <v>111</v>
      </c>
      <c r="AT495" t="s">
        <v>111</v>
      </c>
      <c r="AU495" t="s">
        <v>111</v>
      </c>
      <c r="AV495" t="s">
        <v>111</v>
      </c>
      <c r="AW495" t="s">
        <v>111</v>
      </c>
      <c r="AX495" t="s">
        <v>111</v>
      </c>
      <c r="AY495" t="s">
        <v>111</v>
      </c>
      <c r="AZ495" t="s">
        <v>111</v>
      </c>
      <c r="BA495" t="s">
        <v>111</v>
      </c>
      <c r="BB495" t="s">
        <v>111</v>
      </c>
      <c r="BC495" t="s">
        <v>111</v>
      </c>
      <c r="BD495" t="s">
        <v>111</v>
      </c>
      <c r="BE495" t="s">
        <v>111</v>
      </c>
      <c r="BF495" t="s">
        <v>111</v>
      </c>
      <c r="BG495" t="s">
        <v>111</v>
      </c>
      <c r="BH495" t="s">
        <v>111</v>
      </c>
      <c r="BI495" t="s">
        <v>111</v>
      </c>
      <c r="BJ495" t="s">
        <v>111</v>
      </c>
      <c r="BK495" t="s">
        <v>111</v>
      </c>
      <c r="BL495" t="s">
        <v>111</v>
      </c>
      <c r="BM495" t="s">
        <v>111</v>
      </c>
      <c r="BN495" t="s">
        <v>111</v>
      </c>
      <c r="BO495" t="s">
        <v>111</v>
      </c>
      <c r="BP495" t="s">
        <v>111</v>
      </c>
      <c r="BQ495" t="s">
        <v>111</v>
      </c>
      <c r="BR495" t="s">
        <v>111</v>
      </c>
      <c r="BS495" t="s">
        <v>111</v>
      </c>
      <c r="BT495" t="s">
        <v>111</v>
      </c>
      <c r="BU495" t="s">
        <v>111</v>
      </c>
      <c r="BV495" t="s">
        <v>111</v>
      </c>
      <c r="BW495" t="s">
        <v>111</v>
      </c>
      <c r="BX495" t="s">
        <v>111</v>
      </c>
      <c r="BY495" t="s">
        <v>111</v>
      </c>
      <c r="BZ495" t="s">
        <v>111</v>
      </c>
      <c r="CA495" t="s">
        <v>111</v>
      </c>
      <c r="CB495" t="s">
        <v>111</v>
      </c>
      <c r="CC495" t="s">
        <v>111</v>
      </c>
      <c r="CD495" t="s">
        <v>111</v>
      </c>
      <c r="CE495" t="s">
        <v>111</v>
      </c>
      <c r="CF495" t="s">
        <v>111</v>
      </c>
      <c r="CG495" t="s">
        <v>111</v>
      </c>
      <c r="CH495" t="s">
        <v>111</v>
      </c>
      <c r="CI495" t="s">
        <v>111</v>
      </c>
      <c r="CJ495" t="s">
        <v>111</v>
      </c>
      <c r="CK495" t="s">
        <v>111</v>
      </c>
      <c r="CL495" t="s">
        <v>111</v>
      </c>
      <c r="CM495" t="s">
        <v>127</v>
      </c>
      <c r="CN495" t="s">
        <v>128</v>
      </c>
      <c r="CO495" t="s">
        <v>111</v>
      </c>
      <c r="CP495" t="s">
        <v>111</v>
      </c>
      <c r="CQ495">
        <v>0</v>
      </c>
      <c r="CR495">
        <v>2000</v>
      </c>
      <c r="CS495">
        <v>100</v>
      </c>
      <c r="CT495" t="s">
        <v>394</v>
      </c>
      <c r="CU495">
        <v>0</v>
      </c>
      <c r="CV495" t="s">
        <v>111</v>
      </c>
      <c r="CW495" t="s">
        <v>111</v>
      </c>
      <c r="CX495" t="s">
        <v>111</v>
      </c>
      <c r="CY495">
        <v>0</v>
      </c>
      <c r="CZ495" t="s">
        <v>111</v>
      </c>
      <c r="DA495" t="s">
        <v>111</v>
      </c>
      <c r="DB495" t="s">
        <v>111</v>
      </c>
      <c r="DC495" t="s">
        <v>111</v>
      </c>
    </row>
    <row r="496" spans="1:107">
      <c r="A496">
        <v>1043</v>
      </c>
      <c r="B496" t="s">
        <v>107</v>
      </c>
      <c r="C496" t="s">
        <v>1800</v>
      </c>
      <c r="D496" t="s">
        <v>1801</v>
      </c>
      <c r="E496" t="s">
        <v>1802</v>
      </c>
      <c r="F496" t="s">
        <v>125</v>
      </c>
      <c r="G496" t="s">
        <v>469</v>
      </c>
      <c r="H496">
        <v>2.5</v>
      </c>
      <c r="I496">
        <v>34</v>
      </c>
      <c r="J496">
        <v>10</v>
      </c>
      <c r="K496">
        <v>10</v>
      </c>
      <c r="L496" t="s">
        <v>112</v>
      </c>
      <c r="M496" t="s">
        <v>111</v>
      </c>
      <c r="N496">
        <v>0</v>
      </c>
      <c r="O496">
        <v>0</v>
      </c>
      <c r="P496" t="s">
        <v>138</v>
      </c>
      <c r="Q496">
        <v>5</v>
      </c>
      <c r="R496">
        <v>0</v>
      </c>
      <c r="S496">
        <v>0</v>
      </c>
      <c r="T496">
        <v>0</v>
      </c>
      <c r="U496" s="1" t="s">
        <v>1803</v>
      </c>
      <c r="V496">
        <v>12.5</v>
      </c>
      <c r="W496">
        <v>0</v>
      </c>
      <c r="X496">
        <v>12.5</v>
      </c>
      <c r="Y496">
        <v>0</v>
      </c>
      <c r="Z496" t="s">
        <v>111</v>
      </c>
      <c r="AA496">
        <v>0</v>
      </c>
      <c r="AB496" t="s">
        <v>903</v>
      </c>
      <c r="AC496">
        <v>12.5</v>
      </c>
      <c r="AD496" t="s">
        <v>111</v>
      </c>
      <c r="AE496">
        <v>0</v>
      </c>
      <c r="AF496">
        <v>0</v>
      </c>
      <c r="AG496" t="s">
        <v>111</v>
      </c>
      <c r="AH496" t="s">
        <v>111</v>
      </c>
      <c r="AI496" t="s">
        <v>111</v>
      </c>
      <c r="AJ496" t="s">
        <v>111</v>
      </c>
      <c r="AK496" t="s">
        <v>111</v>
      </c>
      <c r="AL496" t="s">
        <v>111</v>
      </c>
      <c r="AM496">
        <v>0</v>
      </c>
      <c r="AN496">
        <v>0</v>
      </c>
      <c r="AO496">
        <v>0</v>
      </c>
      <c r="AP496" t="s">
        <v>111</v>
      </c>
      <c r="AQ496" t="s">
        <v>111</v>
      </c>
      <c r="AR496" t="s">
        <v>111</v>
      </c>
      <c r="AS496" t="s">
        <v>111</v>
      </c>
      <c r="AT496" t="s">
        <v>111</v>
      </c>
      <c r="AU496" t="s">
        <v>111</v>
      </c>
      <c r="AV496" t="s">
        <v>111</v>
      </c>
      <c r="AW496" t="s">
        <v>111</v>
      </c>
      <c r="AX496" t="s">
        <v>111</v>
      </c>
      <c r="AY496" t="s">
        <v>111</v>
      </c>
      <c r="AZ496" t="s">
        <v>111</v>
      </c>
      <c r="BA496" t="s">
        <v>111</v>
      </c>
      <c r="BB496" t="s">
        <v>111</v>
      </c>
      <c r="BC496" t="s">
        <v>111</v>
      </c>
      <c r="BD496" t="s">
        <v>111</v>
      </c>
      <c r="BE496" t="s">
        <v>111</v>
      </c>
      <c r="BF496" t="s">
        <v>111</v>
      </c>
      <c r="BG496" t="s">
        <v>111</v>
      </c>
      <c r="BH496" t="s">
        <v>111</v>
      </c>
      <c r="BI496" t="s">
        <v>111</v>
      </c>
      <c r="BJ496" t="s">
        <v>111</v>
      </c>
      <c r="BK496" t="s">
        <v>111</v>
      </c>
      <c r="BL496" t="s">
        <v>111</v>
      </c>
      <c r="BM496" t="s">
        <v>111</v>
      </c>
      <c r="BN496" t="s">
        <v>111</v>
      </c>
      <c r="BO496" t="s">
        <v>111</v>
      </c>
      <c r="BP496" t="s">
        <v>111</v>
      </c>
      <c r="BQ496" t="s">
        <v>111</v>
      </c>
      <c r="BR496" t="s">
        <v>111</v>
      </c>
      <c r="BS496" t="s">
        <v>111</v>
      </c>
      <c r="BT496" t="s">
        <v>111</v>
      </c>
      <c r="BU496" t="s">
        <v>111</v>
      </c>
      <c r="BV496" t="s">
        <v>111</v>
      </c>
      <c r="BW496" t="s">
        <v>111</v>
      </c>
      <c r="BX496" t="s">
        <v>111</v>
      </c>
      <c r="BY496" t="s">
        <v>111</v>
      </c>
      <c r="BZ496" t="s">
        <v>111</v>
      </c>
      <c r="CA496" t="s">
        <v>111</v>
      </c>
      <c r="CB496" t="s">
        <v>111</v>
      </c>
      <c r="CC496" t="s">
        <v>111</v>
      </c>
      <c r="CD496" t="s">
        <v>111</v>
      </c>
      <c r="CE496" t="s">
        <v>111</v>
      </c>
      <c r="CF496" t="s">
        <v>111</v>
      </c>
      <c r="CG496" t="s">
        <v>111</v>
      </c>
      <c r="CH496" t="s">
        <v>111</v>
      </c>
      <c r="CI496" t="s">
        <v>111</v>
      </c>
      <c r="CJ496" t="s">
        <v>111</v>
      </c>
      <c r="CK496" t="s">
        <v>111</v>
      </c>
      <c r="CL496" t="s">
        <v>111</v>
      </c>
      <c r="CM496" t="s">
        <v>135</v>
      </c>
      <c r="CN496" t="s">
        <v>128</v>
      </c>
      <c r="CO496" t="s">
        <v>637</v>
      </c>
      <c r="CP496" t="s">
        <v>111</v>
      </c>
      <c r="CQ496">
        <v>0</v>
      </c>
      <c r="CR496">
        <v>50</v>
      </c>
      <c r="CS496">
        <v>50</v>
      </c>
      <c r="CT496" t="s">
        <v>168</v>
      </c>
      <c r="CU496">
        <v>0</v>
      </c>
      <c r="CV496" t="s">
        <v>111</v>
      </c>
      <c r="CW496" t="s">
        <v>111</v>
      </c>
      <c r="CX496" t="s">
        <v>111</v>
      </c>
      <c r="CY496">
        <v>0</v>
      </c>
      <c r="CZ496" t="s">
        <v>111</v>
      </c>
      <c r="DA496" t="s">
        <v>111</v>
      </c>
      <c r="DB496" t="s">
        <v>111</v>
      </c>
      <c r="DC496" t="s">
        <v>111</v>
      </c>
    </row>
    <row r="497" spans="1:107">
      <c r="A497">
        <v>1042</v>
      </c>
      <c r="B497" t="s">
        <v>107</v>
      </c>
      <c r="C497" t="s">
        <v>1800</v>
      </c>
      <c r="D497" t="s">
        <v>1804</v>
      </c>
      <c r="E497" t="s">
        <v>1805</v>
      </c>
      <c r="F497" t="s">
        <v>125</v>
      </c>
      <c r="G497" t="s">
        <v>469</v>
      </c>
      <c r="H497">
        <v>2.5</v>
      </c>
      <c r="I497">
        <v>42</v>
      </c>
      <c r="J497">
        <v>9</v>
      </c>
      <c r="K497">
        <v>9</v>
      </c>
      <c r="L497" t="s">
        <v>112</v>
      </c>
      <c r="M497" t="s">
        <v>111</v>
      </c>
      <c r="N497">
        <v>0</v>
      </c>
      <c r="O497">
        <v>0</v>
      </c>
      <c r="P497" t="s">
        <v>138</v>
      </c>
      <c r="Q497">
        <v>5</v>
      </c>
      <c r="R497">
        <v>0</v>
      </c>
      <c r="S497">
        <v>0</v>
      </c>
      <c r="T497">
        <v>0</v>
      </c>
      <c r="U497" s="1" t="s">
        <v>1806</v>
      </c>
      <c r="V497">
        <v>12.5</v>
      </c>
      <c r="W497">
        <v>0</v>
      </c>
      <c r="X497">
        <v>12.5</v>
      </c>
      <c r="Y497">
        <v>0</v>
      </c>
      <c r="Z497" t="s">
        <v>111</v>
      </c>
      <c r="AA497">
        <v>0</v>
      </c>
      <c r="AB497" t="s">
        <v>903</v>
      </c>
      <c r="AC497">
        <v>12.5</v>
      </c>
      <c r="AD497" t="s">
        <v>111</v>
      </c>
      <c r="AE497">
        <v>0</v>
      </c>
      <c r="AF497">
        <v>0</v>
      </c>
      <c r="AG497" t="s">
        <v>111</v>
      </c>
      <c r="AH497" t="s">
        <v>111</v>
      </c>
      <c r="AI497" t="s">
        <v>111</v>
      </c>
      <c r="AJ497" t="s">
        <v>111</v>
      </c>
      <c r="AK497" t="s">
        <v>111</v>
      </c>
      <c r="AL497" t="s">
        <v>111</v>
      </c>
      <c r="AM497">
        <v>0</v>
      </c>
      <c r="AN497">
        <v>0</v>
      </c>
      <c r="AO497">
        <v>0</v>
      </c>
      <c r="AP497" t="s">
        <v>111</v>
      </c>
      <c r="AQ497" t="s">
        <v>111</v>
      </c>
      <c r="AR497" t="s">
        <v>111</v>
      </c>
      <c r="AS497" t="s">
        <v>111</v>
      </c>
      <c r="AT497" t="s">
        <v>111</v>
      </c>
      <c r="AU497" t="s">
        <v>111</v>
      </c>
      <c r="AV497" t="s">
        <v>111</v>
      </c>
      <c r="AW497" t="s">
        <v>111</v>
      </c>
      <c r="AX497" t="s">
        <v>111</v>
      </c>
      <c r="AY497" t="s">
        <v>111</v>
      </c>
      <c r="AZ497" t="s">
        <v>111</v>
      </c>
      <c r="BA497" t="s">
        <v>111</v>
      </c>
      <c r="BB497" t="s">
        <v>111</v>
      </c>
      <c r="BC497" t="s">
        <v>111</v>
      </c>
      <c r="BD497" t="s">
        <v>111</v>
      </c>
      <c r="BE497" t="s">
        <v>111</v>
      </c>
      <c r="BF497" t="s">
        <v>111</v>
      </c>
      <c r="BG497" t="s">
        <v>111</v>
      </c>
      <c r="BH497" t="s">
        <v>111</v>
      </c>
      <c r="BI497" t="s">
        <v>111</v>
      </c>
      <c r="BJ497" t="s">
        <v>111</v>
      </c>
      <c r="BK497" t="s">
        <v>111</v>
      </c>
      <c r="BL497" t="s">
        <v>111</v>
      </c>
      <c r="BM497" t="s">
        <v>111</v>
      </c>
      <c r="BN497" t="s">
        <v>111</v>
      </c>
      <c r="BO497" t="s">
        <v>111</v>
      </c>
      <c r="BP497" t="s">
        <v>111</v>
      </c>
      <c r="BQ497" t="s">
        <v>111</v>
      </c>
      <c r="BR497" t="s">
        <v>111</v>
      </c>
      <c r="BS497" t="s">
        <v>111</v>
      </c>
      <c r="BT497" t="s">
        <v>111</v>
      </c>
      <c r="BU497" t="s">
        <v>111</v>
      </c>
      <c r="BV497" t="s">
        <v>111</v>
      </c>
      <c r="BW497" t="s">
        <v>111</v>
      </c>
      <c r="BX497" t="s">
        <v>111</v>
      </c>
      <c r="BY497" t="s">
        <v>111</v>
      </c>
      <c r="BZ497" t="s">
        <v>111</v>
      </c>
      <c r="CA497" t="s">
        <v>111</v>
      </c>
      <c r="CB497" t="s">
        <v>111</v>
      </c>
      <c r="CC497" t="s">
        <v>111</v>
      </c>
      <c r="CD497" t="s">
        <v>111</v>
      </c>
      <c r="CE497" t="s">
        <v>111</v>
      </c>
      <c r="CF497" t="s">
        <v>111</v>
      </c>
      <c r="CG497" t="s">
        <v>111</v>
      </c>
      <c r="CH497" t="s">
        <v>111</v>
      </c>
      <c r="CI497" t="s">
        <v>111</v>
      </c>
      <c r="CJ497" t="s">
        <v>111</v>
      </c>
      <c r="CK497" t="s">
        <v>111</v>
      </c>
      <c r="CL497" t="s">
        <v>111</v>
      </c>
      <c r="CM497" t="s">
        <v>135</v>
      </c>
      <c r="CN497" t="s">
        <v>128</v>
      </c>
      <c r="CO497" t="s">
        <v>637</v>
      </c>
      <c r="CP497" t="s">
        <v>111</v>
      </c>
      <c r="CQ497">
        <v>0</v>
      </c>
      <c r="CR497">
        <v>10</v>
      </c>
      <c r="CS497">
        <v>10</v>
      </c>
      <c r="CT497" s="1" t="s">
        <v>344</v>
      </c>
      <c r="CU497">
        <v>0</v>
      </c>
      <c r="CV497" t="s">
        <v>111</v>
      </c>
      <c r="CW497" t="s">
        <v>111</v>
      </c>
      <c r="CX497" t="s">
        <v>111</v>
      </c>
      <c r="CY497">
        <v>0</v>
      </c>
      <c r="CZ497" t="s">
        <v>111</v>
      </c>
      <c r="DA497" t="s">
        <v>111</v>
      </c>
      <c r="DB497" t="s">
        <v>111</v>
      </c>
      <c r="DC497" t="s">
        <v>111</v>
      </c>
    </row>
    <row r="498" spans="1:107">
      <c r="A498">
        <v>337</v>
      </c>
      <c r="B498" t="s">
        <v>107</v>
      </c>
      <c r="C498" t="s">
        <v>250</v>
      </c>
      <c r="D498" t="s">
        <v>1807</v>
      </c>
      <c r="E498" t="s">
        <v>1808</v>
      </c>
      <c r="F498" t="s">
        <v>157</v>
      </c>
      <c r="G498" t="s">
        <v>469</v>
      </c>
      <c r="H498">
        <v>1.8</v>
      </c>
      <c r="I498">
        <v>30</v>
      </c>
      <c r="J498">
        <v>0</v>
      </c>
      <c r="K498">
        <v>0</v>
      </c>
      <c r="L498" t="s">
        <v>112</v>
      </c>
      <c r="M498" t="s">
        <v>138</v>
      </c>
      <c r="N498">
        <v>0</v>
      </c>
      <c r="O498">
        <v>0</v>
      </c>
      <c r="P498" t="s">
        <v>138</v>
      </c>
      <c r="Q498">
        <v>33</v>
      </c>
      <c r="R498">
        <v>0</v>
      </c>
      <c r="S498">
        <v>0</v>
      </c>
      <c r="T498">
        <v>0</v>
      </c>
      <c r="U498" s="1" t="s">
        <v>1809</v>
      </c>
      <c r="V498">
        <v>12.5</v>
      </c>
      <c r="W498">
        <v>12.5</v>
      </c>
      <c r="X498">
        <v>0</v>
      </c>
      <c r="Y498">
        <v>0</v>
      </c>
      <c r="Z498" t="s">
        <v>111</v>
      </c>
      <c r="AA498">
        <v>0</v>
      </c>
      <c r="AB498" t="s">
        <v>1810</v>
      </c>
      <c r="AC498">
        <v>25</v>
      </c>
      <c r="AD498" t="s">
        <v>111</v>
      </c>
      <c r="AE498">
        <v>0</v>
      </c>
      <c r="AF498">
        <v>0</v>
      </c>
      <c r="AG498" t="s">
        <v>111</v>
      </c>
      <c r="AH498" t="s">
        <v>111</v>
      </c>
      <c r="AI498" t="s">
        <v>111</v>
      </c>
      <c r="AJ498" t="s">
        <v>111</v>
      </c>
      <c r="AK498" t="s">
        <v>111</v>
      </c>
      <c r="AL498" t="s">
        <v>111</v>
      </c>
      <c r="AM498">
        <v>0</v>
      </c>
      <c r="AN498">
        <v>0</v>
      </c>
      <c r="AO498">
        <v>0</v>
      </c>
      <c r="AP498" t="s">
        <v>111</v>
      </c>
      <c r="AQ498" t="s">
        <v>111</v>
      </c>
      <c r="AR498" t="s">
        <v>111</v>
      </c>
      <c r="AS498" t="s">
        <v>111</v>
      </c>
      <c r="AT498" t="s">
        <v>111</v>
      </c>
      <c r="AU498" t="s">
        <v>111</v>
      </c>
      <c r="AV498" t="s">
        <v>111</v>
      </c>
      <c r="AW498" t="s">
        <v>111</v>
      </c>
      <c r="AX498" t="s">
        <v>111</v>
      </c>
      <c r="AY498" t="s">
        <v>111</v>
      </c>
      <c r="AZ498" t="s">
        <v>111</v>
      </c>
      <c r="BA498" t="s">
        <v>111</v>
      </c>
      <c r="BB498" t="s">
        <v>111</v>
      </c>
      <c r="BC498" t="s">
        <v>111</v>
      </c>
      <c r="BD498" t="s">
        <v>111</v>
      </c>
      <c r="BE498" t="s">
        <v>111</v>
      </c>
      <c r="BF498" t="s">
        <v>111</v>
      </c>
      <c r="BG498" t="s">
        <v>111</v>
      </c>
      <c r="BH498" t="s">
        <v>111</v>
      </c>
      <c r="BI498" t="s">
        <v>111</v>
      </c>
      <c r="BJ498" t="s">
        <v>111</v>
      </c>
      <c r="BK498" t="s">
        <v>111</v>
      </c>
      <c r="BL498" t="s">
        <v>111</v>
      </c>
      <c r="BM498" t="s">
        <v>111</v>
      </c>
      <c r="BN498" t="s">
        <v>111</v>
      </c>
      <c r="BO498" t="s">
        <v>111</v>
      </c>
      <c r="BP498" t="s">
        <v>111</v>
      </c>
      <c r="BQ498" t="s">
        <v>111</v>
      </c>
      <c r="BR498" t="s">
        <v>111</v>
      </c>
      <c r="BS498" t="s">
        <v>111</v>
      </c>
      <c r="BT498" t="s">
        <v>111</v>
      </c>
      <c r="BU498" t="s">
        <v>111</v>
      </c>
      <c r="BV498" t="s">
        <v>111</v>
      </c>
      <c r="BW498" t="s">
        <v>111</v>
      </c>
      <c r="BX498" t="s">
        <v>111</v>
      </c>
      <c r="BY498" t="s">
        <v>111</v>
      </c>
      <c r="BZ498" t="s">
        <v>111</v>
      </c>
      <c r="CA498" t="s">
        <v>111</v>
      </c>
      <c r="CB498" t="s">
        <v>111</v>
      </c>
      <c r="CC498" t="s">
        <v>111</v>
      </c>
      <c r="CD498" t="s">
        <v>111</v>
      </c>
      <c r="CE498" t="s">
        <v>111</v>
      </c>
      <c r="CF498" t="s">
        <v>111</v>
      </c>
      <c r="CG498" t="s">
        <v>111</v>
      </c>
      <c r="CH498" t="s">
        <v>111</v>
      </c>
      <c r="CI498" t="s">
        <v>111</v>
      </c>
      <c r="CJ498" t="s">
        <v>111</v>
      </c>
      <c r="CK498" t="s">
        <v>111</v>
      </c>
      <c r="CL498" t="s">
        <v>111</v>
      </c>
      <c r="CM498" t="s">
        <v>111</v>
      </c>
      <c r="CN498" t="s">
        <v>111</v>
      </c>
      <c r="CO498" t="s">
        <v>111</v>
      </c>
      <c r="CP498" t="s">
        <v>111</v>
      </c>
      <c r="CQ498">
        <v>0</v>
      </c>
      <c r="CR498">
        <v>0</v>
      </c>
      <c r="CS498">
        <v>0</v>
      </c>
      <c r="CT498" t="s">
        <v>111</v>
      </c>
      <c r="CU498">
        <v>0</v>
      </c>
      <c r="CV498" t="s">
        <v>111</v>
      </c>
      <c r="CW498" t="s">
        <v>111</v>
      </c>
      <c r="CX498" t="s">
        <v>111</v>
      </c>
      <c r="CY498">
        <v>0</v>
      </c>
      <c r="CZ498" t="s">
        <v>111</v>
      </c>
      <c r="DA498" t="s">
        <v>111</v>
      </c>
      <c r="DB498" t="s">
        <v>111</v>
      </c>
      <c r="DC498" t="s">
        <v>111</v>
      </c>
    </row>
    <row r="499" spans="1:107">
      <c r="A499">
        <v>338</v>
      </c>
      <c r="B499" t="s">
        <v>107</v>
      </c>
      <c r="C499" t="s">
        <v>250</v>
      </c>
      <c r="D499" t="s">
        <v>1811</v>
      </c>
      <c r="E499" t="s">
        <v>1812</v>
      </c>
      <c r="F499" t="s">
        <v>157</v>
      </c>
      <c r="G499" t="s">
        <v>469</v>
      </c>
      <c r="H499">
        <v>1.8</v>
      </c>
      <c r="I499">
        <v>45</v>
      </c>
      <c r="J499">
        <v>0</v>
      </c>
      <c r="K499">
        <v>0</v>
      </c>
      <c r="L499" t="s">
        <v>112</v>
      </c>
      <c r="M499" t="s">
        <v>138</v>
      </c>
      <c r="N499">
        <v>0</v>
      </c>
      <c r="O499">
        <v>0</v>
      </c>
      <c r="P499" t="s">
        <v>138</v>
      </c>
      <c r="Q499">
        <v>33</v>
      </c>
      <c r="R499">
        <v>0</v>
      </c>
      <c r="S499">
        <v>0</v>
      </c>
      <c r="T499">
        <v>0</v>
      </c>
      <c r="U499" s="1" t="s">
        <v>1809</v>
      </c>
      <c r="V499">
        <v>12.5</v>
      </c>
      <c r="W499">
        <v>12.5</v>
      </c>
      <c r="X499">
        <v>0</v>
      </c>
      <c r="Y499">
        <v>0</v>
      </c>
      <c r="Z499" t="s">
        <v>111</v>
      </c>
      <c r="AA499">
        <v>0</v>
      </c>
      <c r="AB499" t="s">
        <v>1780</v>
      </c>
      <c r="AC499">
        <v>250</v>
      </c>
      <c r="AD499" t="s">
        <v>111</v>
      </c>
      <c r="AE499">
        <v>0</v>
      </c>
      <c r="AF499">
        <v>0</v>
      </c>
      <c r="AG499" t="s">
        <v>111</v>
      </c>
      <c r="AH499" t="s">
        <v>111</v>
      </c>
      <c r="AI499" t="s">
        <v>111</v>
      </c>
      <c r="AJ499" t="s">
        <v>111</v>
      </c>
      <c r="AK499" t="s">
        <v>111</v>
      </c>
      <c r="AL499" t="s">
        <v>111</v>
      </c>
      <c r="AM499">
        <v>0</v>
      </c>
      <c r="AN499">
        <v>0</v>
      </c>
      <c r="AO499">
        <v>0</v>
      </c>
      <c r="AP499" t="s">
        <v>111</v>
      </c>
      <c r="AQ499" t="s">
        <v>111</v>
      </c>
      <c r="AR499" t="s">
        <v>111</v>
      </c>
      <c r="AS499" t="s">
        <v>111</v>
      </c>
      <c r="AT499" t="s">
        <v>111</v>
      </c>
      <c r="AU499" t="s">
        <v>111</v>
      </c>
      <c r="AV499" t="s">
        <v>111</v>
      </c>
      <c r="AW499" t="s">
        <v>111</v>
      </c>
      <c r="AX499" t="s">
        <v>111</v>
      </c>
      <c r="AY499" t="s">
        <v>111</v>
      </c>
      <c r="AZ499" t="s">
        <v>111</v>
      </c>
      <c r="BA499" t="s">
        <v>111</v>
      </c>
      <c r="BB499" t="s">
        <v>111</v>
      </c>
      <c r="BC499" t="s">
        <v>111</v>
      </c>
      <c r="BD499" t="s">
        <v>111</v>
      </c>
      <c r="BE499" t="s">
        <v>111</v>
      </c>
      <c r="BF499" t="s">
        <v>111</v>
      </c>
      <c r="BG499" t="s">
        <v>111</v>
      </c>
      <c r="BH499" t="s">
        <v>111</v>
      </c>
      <c r="BI499" t="s">
        <v>111</v>
      </c>
      <c r="BJ499" t="s">
        <v>111</v>
      </c>
      <c r="BK499" t="s">
        <v>111</v>
      </c>
      <c r="BL499" t="s">
        <v>111</v>
      </c>
      <c r="BM499" t="s">
        <v>111</v>
      </c>
      <c r="BN499" t="s">
        <v>111</v>
      </c>
      <c r="BO499" t="s">
        <v>111</v>
      </c>
      <c r="BP499" t="s">
        <v>111</v>
      </c>
      <c r="BQ499" t="s">
        <v>111</v>
      </c>
      <c r="BR499" t="s">
        <v>111</v>
      </c>
      <c r="BS499" t="s">
        <v>111</v>
      </c>
      <c r="BT499" t="s">
        <v>111</v>
      </c>
      <c r="BU499" t="s">
        <v>111</v>
      </c>
      <c r="BV499" t="s">
        <v>111</v>
      </c>
      <c r="BW499" t="s">
        <v>111</v>
      </c>
      <c r="BX499" t="s">
        <v>111</v>
      </c>
      <c r="BY499" t="s">
        <v>111</v>
      </c>
      <c r="BZ499" t="s">
        <v>111</v>
      </c>
      <c r="CA499" t="s">
        <v>111</v>
      </c>
      <c r="CB499" t="s">
        <v>111</v>
      </c>
      <c r="CC499" t="s">
        <v>111</v>
      </c>
      <c r="CD499" t="s">
        <v>111</v>
      </c>
      <c r="CE499" t="s">
        <v>111</v>
      </c>
      <c r="CF499" t="s">
        <v>111</v>
      </c>
      <c r="CG499" t="s">
        <v>111</v>
      </c>
      <c r="CH499" t="s">
        <v>111</v>
      </c>
      <c r="CI499" t="s">
        <v>111</v>
      </c>
      <c r="CJ499" t="s">
        <v>111</v>
      </c>
      <c r="CK499" t="s">
        <v>111</v>
      </c>
      <c r="CL499" t="s">
        <v>111</v>
      </c>
      <c r="CM499" t="s">
        <v>111</v>
      </c>
      <c r="CN499" t="s">
        <v>111</v>
      </c>
      <c r="CO499" t="s">
        <v>111</v>
      </c>
      <c r="CP499" t="s">
        <v>111</v>
      </c>
      <c r="CQ499">
        <v>0</v>
      </c>
      <c r="CR499">
        <v>0</v>
      </c>
      <c r="CS499">
        <v>0</v>
      </c>
      <c r="CT499" t="s">
        <v>111</v>
      </c>
      <c r="CU499">
        <v>0</v>
      </c>
      <c r="CV499" t="s">
        <v>111</v>
      </c>
      <c r="CW499" t="s">
        <v>111</v>
      </c>
      <c r="CX499" t="s">
        <v>111</v>
      </c>
      <c r="CY499">
        <v>0</v>
      </c>
      <c r="CZ499" t="s">
        <v>111</v>
      </c>
      <c r="DA499" t="s">
        <v>111</v>
      </c>
      <c r="DB499" t="s">
        <v>111</v>
      </c>
      <c r="DC499" t="s">
        <v>111</v>
      </c>
    </row>
    <row r="500" spans="1:107">
      <c r="A500">
        <v>1041</v>
      </c>
      <c r="B500" t="s">
        <v>107</v>
      </c>
      <c r="C500" t="s">
        <v>114</v>
      </c>
      <c r="D500" t="s">
        <v>1813</v>
      </c>
      <c r="E500" t="s">
        <v>330</v>
      </c>
      <c r="F500" t="s">
        <v>125</v>
      </c>
      <c r="G500" t="s">
        <v>469</v>
      </c>
      <c r="H500">
        <v>1.8</v>
      </c>
      <c r="I500">
        <v>60</v>
      </c>
      <c r="J500">
        <v>0</v>
      </c>
      <c r="K500">
        <v>0</v>
      </c>
      <c r="L500" t="s">
        <v>112</v>
      </c>
      <c r="M500" t="s">
        <v>111</v>
      </c>
      <c r="N500">
        <v>0</v>
      </c>
      <c r="O500">
        <v>0</v>
      </c>
      <c r="P500" t="s">
        <v>138</v>
      </c>
      <c r="Q500">
        <v>40</v>
      </c>
      <c r="R500">
        <v>0</v>
      </c>
      <c r="S500">
        <v>0</v>
      </c>
      <c r="T500">
        <v>0</v>
      </c>
      <c r="U500" s="1" t="s">
        <v>1814</v>
      </c>
      <c r="V500">
        <v>25</v>
      </c>
      <c r="W500">
        <v>0</v>
      </c>
      <c r="X500">
        <v>6</v>
      </c>
      <c r="Y500">
        <v>0</v>
      </c>
      <c r="Z500" t="s">
        <v>111</v>
      </c>
      <c r="AA500">
        <v>0</v>
      </c>
      <c r="AB500" t="s">
        <v>111</v>
      </c>
      <c r="AC500">
        <v>0</v>
      </c>
      <c r="AD500" t="s">
        <v>111</v>
      </c>
      <c r="AE500">
        <v>0</v>
      </c>
      <c r="AF500">
        <v>0</v>
      </c>
      <c r="AG500" t="s">
        <v>111</v>
      </c>
      <c r="AH500" t="s">
        <v>111</v>
      </c>
      <c r="AI500" t="s">
        <v>111</v>
      </c>
      <c r="AJ500" t="s">
        <v>111</v>
      </c>
      <c r="AK500" t="s">
        <v>111</v>
      </c>
      <c r="AL500" t="s">
        <v>111</v>
      </c>
      <c r="AM500">
        <v>0</v>
      </c>
      <c r="AN500">
        <v>0</v>
      </c>
      <c r="AO500">
        <v>0</v>
      </c>
      <c r="AP500" t="s">
        <v>111</v>
      </c>
      <c r="AQ500" t="s">
        <v>111</v>
      </c>
      <c r="AR500" t="s">
        <v>111</v>
      </c>
      <c r="AS500" t="s">
        <v>111</v>
      </c>
      <c r="AT500" t="s">
        <v>111</v>
      </c>
      <c r="AU500" t="s">
        <v>111</v>
      </c>
      <c r="AV500" t="s">
        <v>111</v>
      </c>
      <c r="AW500" t="s">
        <v>111</v>
      </c>
      <c r="AX500" t="s">
        <v>111</v>
      </c>
      <c r="AY500" t="s">
        <v>111</v>
      </c>
      <c r="AZ500" t="s">
        <v>111</v>
      </c>
      <c r="BA500" t="s">
        <v>111</v>
      </c>
      <c r="BB500" t="s">
        <v>111</v>
      </c>
      <c r="BC500" t="s">
        <v>111</v>
      </c>
      <c r="BD500" t="s">
        <v>111</v>
      </c>
      <c r="BE500" t="s">
        <v>111</v>
      </c>
      <c r="BF500" t="s">
        <v>111</v>
      </c>
      <c r="BG500" t="s">
        <v>111</v>
      </c>
      <c r="BH500" t="s">
        <v>111</v>
      </c>
      <c r="BI500" t="s">
        <v>111</v>
      </c>
      <c r="BJ500" t="s">
        <v>111</v>
      </c>
      <c r="BK500" t="s">
        <v>111</v>
      </c>
      <c r="BL500" t="s">
        <v>111</v>
      </c>
      <c r="BM500" t="s">
        <v>111</v>
      </c>
      <c r="BN500" t="s">
        <v>111</v>
      </c>
      <c r="BO500" t="s">
        <v>111</v>
      </c>
      <c r="BP500" t="s">
        <v>111</v>
      </c>
      <c r="BQ500" t="s">
        <v>111</v>
      </c>
      <c r="BR500" t="s">
        <v>111</v>
      </c>
      <c r="BS500" t="s">
        <v>111</v>
      </c>
      <c r="BT500" t="s">
        <v>111</v>
      </c>
      <c r="BU500" t="s">
        <v>111</v>
      </c>
      <c r="BV500" t="s">
        <v>111</v>
      </c>
      <c r="BW500" t="s">
        <v>111</v>
      </c>
      <c r="BX500" t="s">
        <v>111</v>
      </c>
      <c r="BY500" t="s">
        <v>111</v>
      </c>
      <c r="BZ500" t="s">
        <v>111</v>
      </c>
      <c r="CA500" t="s">
        <v>111</v>
      </c>
      <c r="CB500" t="s">
        <v>111</v>
      </c>
      <c r="CC500" t="s">
        <v>111</v>
      </c>
      <c r="CD500" t="s">
        <v>111</v>
      </c>
      <c r="CE500" t="s">
        <v>111</v>
      </c>
      <c r="CF500" t="s">
        <v>111</v>
      </c>
      <c r="CG500" t="s">
        <v>111</v>
      </c>
      <c r="CH500" t="s">
        <v>111</v>
      </c>
      <c r="CI500" t="s">
        <v>111</v>
      </c>
      <c r="CJ500" t="s">
        <v>111</v>
      </c>
      <c r="CK500" t="s">
        <v>111</v>
      </c>
      <c r="CL500" t="s">
        <v>111</v>
      </c>
      <c r="CM500" t="s">
        <v>135</v>
      </c>
      <c r="CN500" t="s">
        <v>113</v>
      </c>
      <c r="CO500" t="s">
        <v>111</v>
      </c>
      <c r="CP500" t="s">
        <v>111</v>
      </c>
      <c r="CQ500">
        <v>0</v>
      </c>
      <c r="CR500">
        <v>1000</v>
      </c>
      <c r="CS500">
        <v>25</v>
      </c>
      <c r="CT500" s="1" t="s">
        <v>1815</v>
      </c>
      <c r="CU500">
        <v>0</v>
      </c>
      <c r="CV500" t="s">
        <v>111</v>
      </c>
      <c r="CW500" t="s">
        <v>111</v>
      </c>
      <c r="CX500" t="s">
        <v>111</v>
      </c>
      <c r="CY500">
        <v>0</v>
      </c>
      <c r="CZ500" t="s">
        <v>111</v>
      </c>
      <c r="DA500" t="s">
        <v>111</v>
      </c>
      <c r="DB500" t="s">
        <v>111</v>
      </c>
      <c r="DC500" t="s">
        <v>111</v>
      </c>
    </row>
    <row r="501" spans="1:107">
      <c r="A501">
        <v>1034</v>
      </c>
      <c r="B501" t="s">
        <v>107</v>
      </c>
      <c r="C501" t="s">
        <v>1176</v>
      </c>
      <c r="D501" t="s">
        <v>1816</v>
      </c>
      <c r="E501" t="s">
        <v>1817</v>
      </c>
      <c r="F501" t="s">
        <v>431</v>
      </c>
      <c r="G501" t="s">
        <v>469</v>
      </c>
      <c r="H501">
        <v>1.5</v>
      </c>
      <c r="I501">
        <v>43</v>
      </c>
      <c r="J501">
        <v>0</v>
      </c>
      <c r="K501">
        <v>0</v>
      </c>
      <c r="L501" t="s">
        <v>112</v>
      </c>
      <c r="M501" t="s">
        <v>118</v>
      </c>
      <c r="N501">
        <v>390</v>
      </c>
      <c r="O501">
        <v>1</v>
      </c>
      <c r="P501" t="s">
        <v>138</v>
      </c>
      <c r="Q501">
        <v>38.4</v>
      </c>
      <c r="R501">
        <v>0</v>
      </c>
      <c r="S501">
        <v>0</v>
      </c>
      <c r="T501">
        <v>5</v>
      </c>
      <c r="U501" s="1" t="s">
        <v>1818</v>
      </c>
      <c r="V501">
        <v>0</v>
      </c>
      <c r="W501">
        <v>250</v>
      </c>
      <c r="X501">
        <v>6</v>
      </c>
      <c r="Y501">
        <v>0</v>
      </c>
      <c r="Z501" t="s">
        <v>111</v>
      </c>
      <c r="AA501">
        <v>0</v>
      </c>
      <c r="AB501" t="s">
        <v>111</v>
      </c>
      <c r="AC501">
        <v>0</v>
      </c>
      <c r="AD501" t="s">
        <v>416</v>
      </c>
      <c r="AE501">
        <v>0</v>
      </c>
      <c r="AF501">
        <v>0</v>
      </c>
      <c r="AG501" t="s">
        <v>111</v>
      </c>
      <c r="AH501" t="s">
        <v>111</v>
      </c>
      <c r="AI501" t="s">
        <v>111</v>
      </c>
      <c r="AJ501" t="s">
        <v>111</v>
      </c>
      <c r="AK501" t="s">
        <v>111</v>
      </c>
      <c r="AL501" t="s">
        <v>111</v>
      </c>
      <c r="AM501">
        <v>0</v>
      </c>
      <c r="AN501">
        <v>0</v>
      </c>
      <c r="AO501">
        <v>0</v>
      </c>
      <c r="AP501" t="s">
        <v>111</v>
      </c>
      <c r="AQ501" t="s">
        <v>111</v>
      </c>
      <c r="AR501" t="s">
        <v>111</v>
      </c>
      <c r="AS501" t="s">
        <v>111</v>
      </c>
      <c r="AT501" t="s">
        <v>111</v>
      </c>
      <c r="AU501" t="s">
        <v>111</v>
      </c>
      <c r="AV501" t="s">
        <v>111</v>
      </c>
      <c r="AW501" t="s">
        <v>111</v>
      </c>
      <c r="AX501" t="s">
        <v>111</v>
      </c>
      <c r="AY501" t="s">
        <v>111</v>
      </c>
      <c r="AZ501" t="s">
        <v>111</v>
      </c>
      <c r="BA501" t="s">
        <v>111</v>
      </c>
      <c r="BB501" t="s">
        <v>111</v>
      </c>
      <c r="BC501" t="s">
        <v>111</v>
      </c>
      <c r="BD501" t="s">
        <v>111</v>
      </c>
      <c r="BE501" t="s">
        <v>111</v>
      </c>
      <c r="BF501" t="s">
        <v>111</v>
      </c>
      <c r="BG501" t="s">
        <v>111</v>
      </c>
      <c r="BH501" t="s">
        <v>111</v>
      </c>
      <c r="BI501" t="s">
        <v>111</v>
      </c>
      <c r="BJ501" t="s">
        <v>111</v>
      </c>
      <c r="BK501" t="s">
        <v>111</v>
      </c>
      <c r="BL501" t="s">
        <v>111</v>
      </c>
      <c r="BM501" t="s">
        <v>111</v>
      </c>
      <c r="BN501" t="s">
        <v>111</v>
      </c>
      <c r="BO501" t="s">
        <v>111</v>
      </c>
      <c r="BP501" t="s">
        <v>111</v>
      </c>
      <c r="BQ501" t="s">
        <v>111</v>
      </c>
      <c r="BR501" t="s">
        <v>111</v>
      </c>
      <c r="BS501" t="s">
        <v>111</v>
      </c>
      <c r="BT501" t="s">
        <v>111</v>
      </c>
      <c r="BU501" t="s">
        <v>111</v>
      </c>
      <c r="BV501" t="s">
        <v>111</v>
      </c>
      <c r="BW501" t="s">
        <v>111</v>
      </c>
      <c r="BX501" t="s">
        <v>111</v>
      </c>
      <c r="BY501" t="s">
        <v>111</v>
      </c>
      <c r="BZ501" t="s">
        <v>111</v>
      </c>
      <c r="CA501" t="s">
        <v>111</v>
      </c>
      <c r="CB501" t="s">
        <v>111</v>
      </c>
      <c r="CC501" t="s">
        <v>111</v>
      </c>
      <c r="CD501" t="s">
        <v>111</v>
      </c>
      <c r="CE501" t="s">
        <v>111</v>
      </c>
      <c r="CF501" t="s">
        <v>111</v>
      </c>
      <c r="CG501" t="s">
        <v>111</v>
      </c>
      <c r="CH501" t="s">
        <v>111</v>
      </c>
      <c r="CI501" t="s">
        <v>111</v>
      </c>
      <c r="CJ501" t="s">
        <v>111</v>
      </c>
      <c r="CK501" t="s">
        <v>111</v>
      </c>
      <c r="CL501" t="e">
        <f>-DESTINO SELLADO</f>
        <v>#NAME?</v>
      </c>
      <c r="CM501" t="s">
        <v>438</v>
      </c>
      <c r="CN501" t="s">
        <v>113</v>
      </c>
      <c r="CO501" t="s">
        <v>111</v>
      </c>
      <c r="CP501" t="e">
        <f>-MUESTRA</f>
        <v>#NAME?</v>
      </c>
      <c r="CQ501">
        <v>0</v>
      </c>
      <c r="CR501">
        <v>3000</v>
      </c>
      <c r="CS501">
        <v>100</v>
      </c>
      <c r="CT501" s="1" t="s">
        <v>1819</v>
      </c>
      <c r="CU501">
        <v>0</v>
      </c>
      <c r="CV501" t="s">
        <v>111</v>
      </c>
      <c r="CW501" t="s">
        <v>111</v>
      </c>
      <c r="CX501" t="s">
        <v>111</v>
      </c>
      <c r="CY501">
        <v>0</v>
      </c>
      <c r="CZ501" t="s">
        <v>111</v>
      </c>
      <c r="DA501" t="s">
        <v>111</v>
      </c>
      <c r="DB501" t="s">
        <v>111</v>
      </c>
      <c r="DC501" t="s">
        <v>111</v>
      </c>
    </row>
    <row r="502" spans="1:107">
      <c r="A502">
        <v>1006</v>
      </c>
      <c r="B502" t="s">
        <v>107</v>
      </c>
      <c r="C502" t="s">
        <v>1820</v>
      </c>
      <c r="D502" t="s">
        <v>1376</v>
      </c>
      <c r="E502" t="s">
        <v>1821</v>
      </c>
      <c r="F502" t="s">
        <v>561</v>
      </c>
      <c r="G502" t="s">
        <v>469</v>
      </c>
      <c r="H502">
        <v>3</v>
      </c>
      <c r="I502">
        <v>50</v>
      </c>
      <c r="J502">
        <v>6</v>
      </c>
      <c r="K502">
        <v>6</v>
      </c>
      <c r="L502" t="s">
        <v>112</v>
      </c>
      <c r="M502" t="s">
        <v>118</v>
      </c>
      <c r="N502">
        <v>39</v>
      </c>
      <c r="O502">
        <v>2</v>
      </c>
      <c r="P502" t="s">
        <v>138</v>
      </c>
      <c r="Q502">
        <v>33.299999999999997</v>
      </c>
      <c r="R502">
        <v>0</v>
      </c>
      <c r="S502">
        <v>0</v>
      </c>
      <c r="T502">
        <v>8</v>
      </c>
      <c r="U502" s="1" t="s">
        <v>1822</v>
      </c>
      <c r="V502">
        <v>25</v>
      </c>
      <c r="W502">
        <v>0</v>
      </c>
      <c r="X502">
        <v>8</v>
      </c>
      <c r="Y502">
        <v>0</v>
      </c>
      <c r="Z502" t="s">
        <v>111</v>
      </c>
      <c r="AA502">
        <v>0</v>
      </c>
      <c r="AB502" t="s">
        <v>111</v>
      </c>
      <c r="AC502">
        <v>0</v>
      </c>
      <c r="AD502" t="s">
        <v>416</v>
      </c>
      <c r="AE502">
        <v>0</v>
      </c>
      <c r="AF502">
        <v>0</v>
      </c>
      <c r="AG502" t="s">
        <v>111</v>
      </c>
      <c r="AH502" t="s">
        <v>111</v>
      </c>
      <c r="AI502" t="s">
        <v>111</v>
      </c>
      <c r="AJ502" t="s">
        <v>111</v>
      </c>
      <c r="AK502" t="s">
        <v>111</v>
      </c>
      <c r="AL502" t="s">
        <v>111</v>
      </c>
      <c r="AM502">
        <v>0</v>
      </c>
      <c r="AN502">
        <v>0</v>
      </c>
      <c r="AO502">
        <v>0</v>
      </c>
      <c r="AP502" t="s">
        <v>111</v>
      </c>
      <c r="AQ502" t="s">
        <v>111</v>
      </c>
      <c r="AR502" t="s">
        <v>111</v>
      </c>
      <c r="AS502" t="s">
        <v>111</v>
      </c>
      <c r="AT502" t="s">
        <v>111</v>
      </c>
      <c r="AU502" t="s">
        <v>111</v>
      </c>
      <c r="AV502" t="s">
        <v>111</v>
      </c>
      <c r="AW502" t="s">
        <v>111</v>
      </c>
      <c r="AX502" t="s">
        <v>111</v>
      </c>
      <c r="AY502" t="s">
        <v>111</v>
      </c>
      <c r="AZ502" t="s">
        <v>111</v>
      </c>
      <c r="BA502" t="s">
        <v>111</v>
      </c>
      <c r="BB502" t="s">
        <v>111</v>
      </c>
      <c r="BC502" t="s">
        <v>111</v>
      </c>
      <c r="BD502" t="s">
        <v>111</v>
      </c>
      <c r="BE502" t="s">
        <v>111</v>
      </c>
      <c r="BF502" t="s">
        <v>111</v>
      </c>
      <c r="BG502" t="s">
        <v>111</v>
      </c>
      <c r="BH502" t="s">
        <v>111</v>
      </c>
      <c r="BI502" t="s">
        <v>111</v>
      </c>
      <c r="BJ502" t="s">
        <v>111</v>
      </c>
      <c r="BK502" t="s">
        <v>111</v>
      </c>
      <c r="BL502" t="s">
        <v>111</v>
      </c>
      <c r="BM502" t="s">
        <v>111</v>
      </c>
      <c r="BN502" t="s">
        <v>111</v>
      </c>
      <c r="BO502" t="s">
        <v>111</v>
      </c>
      <c r="BP502" t="s">
        <v>111</v>
      </c>
      <c r="BQ502" t="s">
        <v>111</v>
      </c>
      <c r="BR502" t="s">
        <v>111</v>
      </c>
      <c r="BS502" t="s">
        <v>111</v>
      </c>
      <c r="BT502" t="s">
        <v>111</v>
      </c>
      <c r="BU502" t="s">
        <v>111</v>
      </c>
      <c r="BV502" t="s">
        <v>111</v>
      </c>
      <c r="BW502" t="s">
        <v>111</v>
      </c>
      <c r="BX502" t="s">
        <v>111</v>
      </c>
      <c r="BY502" t="s">
        <v>111</v>
      </c>
      <c r="BZ502" t="s">
        <v>111</v>
      </c>
      <c r="CA502" t="s">
        <v>111</v>
      </c>
      <c r="CB502" t="s">
        <v>111</v>
      </c>
      <c r="CC502" t="s">
        <v>111</v>
      </c>
      <c r="CD502" t="s">
        <v>111</v>
      </c>
      <c r="CE502" t="s">
        <v>111</v>
      </c>
      <c r="CF502" t="s">
        <v>111</v>
      </c>
      <c r="CG502" t="s">
        <v>111</v>
      </c>
      <c r="CH502" t="s">
        <v>111</v>
      </c>
      <c r="CI502" t="s">
        <v>111</v>
      </c>
      <c r="CJ502" t="s">
        <v>111</v>
      </c>
      <c r="CK502" t="s">
        <v>111</v>
      </c>
      <c r="CL502" t="e">
        <f>-DESTINO SELLADO</f>
        <v>#NAME?</v>
      </c>
      <c r="CM502" t="s">
        <v>135</v>
      </c>
      <c r="CN502" t="s">
        <v>113</v>
      </c>
      <c r="CO502" t="s">
        <v>111</v>
      </c>
      <c r="CP502" t="e">
        <f>-MUESTRA</f>
        <v>#NAME?</v>
      </c>
      <c r="CQ502">
        <v>0</v>
      </c>
      <c r="CR502">
        <v>1000</v>
      </c>
      <c r="CS502">
        <v>50</v>
      </c>
      <c r="CT502" t="s">
        <v>459</v>
      </c>
      <c r="CU502">
        <v>0</v>
      </c>
      <c r="CV502" t="s">
        <v>111</v>
      </c>
      <c r="CW502" t="s">
        <v>111</v>
      </c>
      <c r="CX502" t="s">
        <v>111</v>
      </c>
      <c r="CY502">
        <v>0</v>
      </c>
      <c r="CZ502" t="s">
        <v>111</v>
      </c>
      <c r="DA502" t="s">
        <v>111</v>
      </c>
      <c r="DB502" t="e">
        <f>-EXTERNO</f>
        <v>#NAME?</v>
      </c>
      <c r="DC502" t="s">
        <v>1823</v>
      </c>
    </row>
    <row r="503" spans="1:107">
      <c r="A503">
        <v>1005</v>
      </c>
      <c r="B503" t="s">
        <v>107</v>
      </c>
      <c r="C503" t="s">
        <v>336</v>
      </c>
      <c r="D503" t="s">
        <v>1824</v>
      </c>
      <c r="E503" t="s">
        <v>1825</v>
      </c>
      <c r="F503" t="s">
        <v>125</v>
      </c>
      <c r="G503" t="s">
        <v>469</v>
      </c>
      <c r="H503">
        <v>2</v>
      </c>
      <c r="I503">
        <v>51</v>
      </c>
      <c r="J503">
        <v>0</v>
      </c>
      <c r="K503">
        <v>0</v>
      </c>
      <c r="L503" t="s">
        <v>112</v>
      </c>
      <c r="M503" t="s">
        <v>111</v>
      </c>
      <c r="N503">
        <v>0</v>
      </c>
      <c r="O503">
        <v>0</v>
      </c>
      <c r="P503" t="s">
        <v>138</v>
      </c>
      <c r="Q503">
        <v>39.5</v>
      </c>
      <c r="R503">
        <v>0</v>
      </c>
      <c r="S503">
        <v>0</v>
      </c>
      <c r="T503">
        <v>5</v>
      </c>
      <c r="U503" t="s">
        <v>1826</v>
      </c>
      <c r="V503">
        <v>12.5</v>
      </c>
      <c r="W503">
        <v>12.5</v>
      </c>
      <c r="X503">
        <v>0</v>
      </c>
      <c r="Y503">
        <v>0</v>
      </c>
      <c r="Z503" t="s">
        <v>111</v>
      </c>
      <c r="AA503">
        <v>0</v>
      </c>
      <c r="AB503" t="s">
        <v>1780</v>
      </c>
      <c r="AC503">
        <v>250</v>
      </c>
      <c r="AD503" t="s">
        <v>111</v>
      </c>
      <c r="AE503">
        <v>0</v>
      </c>
      <c r="AF503">
        <v>0</v>
      </c>
      <c r="AG503" t="s">
        <v>111</v>
      </c>
      <c r="AH503" t="s">
        <v>111</v>
      </c>
      <c r="AI503" t="s">
        <v>111</v>
      </c>
      <c r="AJ503" t="s">
        <v>111</v>
      </c>
      <c r="AK503" t="s">
        <v>111</v>
      </c>
      <c r="AL503" t="s">
        <v>111</v>
      </c>
      <c r="AM503">
        <v>0</v>
      </c>
      <c r="AN503">
        <v>0</v>
      </c>
      <c r="AO503">
        <v>0</v>
      </c>
      <c r="AP503" t="s">
        <v>111</v>
      </c>
      <c r="AQ503" t="s">
        <v>111</v>
      </c>
      <c r="AR503" t="s">
        <v>111</v>
      </c>
      <c r="AS503" t="s">
        <v>111</v>
      </c>
      <c r="AT503" t="s">
        <v>111</v>
      </c>
      <c r="AU503" t="s">
        <v>111</v>
      </c>
      <c r="AV503" t="s">
        <v>111</v>
      </c>
      <c r="AW503" t="s">
        <v>111</v>
      </c>
      <c r="AX503" t="s">
        <v>111</v>
      </c>
      <c r="AY503" t="s">
        <v>111</v>
      </c>
      <c r="AZ503" t="s">
        <v>111</v>
      </c>
      <c r="BA503" t="s">
        <v>111</v>
      </c>
      <c r="BB503" t="s">
        <v>111</v>
      </c>
      <c r="BC503" t="s">
        <v>111</v>
      </c>
      <c r="BD503" t="s">
        <v>111</v>
      </c>
      <c r="BE503" t="s">
        <v>111</v>
      </c>
      <c r="BF503" t="s">
        <v>111</v>
      </c>
      <c r="BG503" t="s">
        <v>111</v>
      </c>
      <c r="BH503" t="s">
        <v>111</v>
      </c>
      <c r="BI503" t="s">
        <v>111</v>
      </c>
      <c r="BJ503" t="s">
        <v>111</v>
      </c>
      <c r="BK503" t="s">
        <v>111</v>
      </c>
      <c r="BL503" t="s">
        <v>111</v>
      </c>
      <c r="BM503" t="s">
        <v>111</v>
      </c>
      <c r="BN503" t="s">
        <v>111</v>
      </c>
      <c r="BO503" t="s">
        <v>111</v>
      </c>
      <c r="BP503" t="s">
        <v>111</v>
      </c>
      <c r="BQ503" t="s">
        <v>111</v>
      </c>
      <c r="BR503" t="s">
        <v>111</v>
      </c>
      <c r="BS503" t="s">
        <v>111</v>
      </c>
      <c r="BT503" t="s">
        <v>111</v>
      </c>
      <c r="BU503" t="s">
        <v>111</v>
      </c>
      <c r="BV503" t="s">
        <v>111</v>
      </c>
      <c r="BW503" t="s">
        <v>111</v>
      </c>
      <c r="BX503" t="s">
        <v>111</v>
      </c>
      <c r="BY503" t="s">
        <v>111</v>
      </c>
      <c r="BZ503" t="s">
        <v>111</v>
      </c>
      <c r="CA503" t="s">
        <v>111</v>
      </c>
      <c r="CB503" t="s">
        <v>111</v>
      </c>
      <c r="CC503" t="s">
        <v>111</v>
      </c>
      <c r="CD503" t="s">
        <v>111</v>
      </c>
      <c r="CE503" t="s">
        <v>111</v>
      </c>
      <c r="CF503" t="s">
        <v>111</v>
      </c>
      <c r="CG503" t="s">
        <v>111</v>
      </c>
      <c r="CH503" t="s">
        <v>111</v>
      </c>
      <c r="CI503" t="s">
        <v>111</v>
      </c>
      <c r="CJ503" t="s">
        <v>111</v>
      </c>
      <c r="CK503" t="s">
        <v>111</v>
      </c>
      <c r="CL503" t="s">
        <v>111</v>
      </c>
      <c r="CM503" t="s">
        <v>111</v>
      </c>
      <c r="CN503" t="s">
        <v>111</v>
      </c>
      <c r="CO503" t="s">
        <v>111</v>
      </c>
      <c r="CP503" t="s">
        <v>111</v>
      </c>
      <c r="CQ503">
        <v>0</v>
      </c>
      <c r="CR503">
        <v>300</v>
      </c>
      <c r="CS503">
        <v>20</v>
      </c>
      <c r="CT503" t="s">
        <v>111</v>
      </c>
      <c r="CU503">
        <v>0</v>
      </c>
      <c r="CV503" t="s">
        <v>111</v>
      </c>
      <c r="CW503" t="s">
        <v>111</v>
      </c>
      <c r="CX503" t="s">
        <v>111</v>
      </c>
      <c r="CY503">
        <v>0</v>
      </c>
      <c r="CZ503" t="s">
        <v>111</v>
      </c>
      <c r="DA503" t="s">
        <v>111</v>
      </c>
      <c r="DB503" t="s">
        <v>204</v>
      </c>
      <c r="DC503" s="1" t="s">
        <v>1827</v>
      </c>
    </row>
    <row r="504" spans="1:107">
      <c r="A504">
        <v>1062</v>
      </c>
      <c r="B504" t="s">
        <v>107</v>
      </c>
      <c r="C504" t="s">
        <v>1828</v>
      </c>
      <c r="D504" t="s">
        <v>1829</v>
      </c>
      <c r="E504" t="s">
        <v>1830</v>
      </c>
      <c r="F504" t="s">
        <v>1831</v>
      </c>
      <c r="G504" t="s">
        <v>469</v>
      </c>
      <c r="H504">
        <v>1.25</v>
      </c>
      <c r="I504">
        <v>46</v>
      </c>
      <c r="J504">
        <v>2.5</v>
      </c>
      <c r="K504">
        <v>2.5</v>
      </c>
      <c r="L504" t="s">
        <v>112</v>
      </c>
      <c r="M504">
        <v>0</v>
      </c>
      <c r="N504">
        <v>0</v>
      </c>
      <c r="O504">
        <v>0</v>
      </c>
      <c r="P504" t="s">
        <v>138</v>
      </c>
      <c r="Q504">
        <v>25</v>
      </c>
      <c r="R504">
        <v>0</v>
      </c>
      <c r="S504">
        <v>0</v>
      </c>
      <c r="T504">
        <v>0</v>
      </c>
      <c r="U504" t="s">
        <v>296</v>
      </c>
      <c r="V504">
        <v>0</v>
      </c>
      <c r="W504">
        <v>250</v>
      </c>
      <c r="X504">
        <v>0</v>
      </c>
      <c r="Y504">
        <v>0</v>
      </c>
      <c r="Z504" t="s">
        <v>259</v>
      </c>
      <c r="AA504">
        <v>1.5</v>
      </c>
      <c r="AB504" t="s">
        <v>1832</v>
      </c>
      <c r="AC504">
        <v>25</v>
      </c>
      <c r="AD504" t="s">
        <v>111</v>
      </c>
      <c r="AE504">
        <v>0</v>
      </c>
      <c r="AF504">
        <v>0</v>
      </c>
      <c r="AG504" t="s">
        <v>111</v>
      </c>
      <c r="AH504" t="s">
        <v>111</v>
      </c>
      <c r="AI504" t="s">
        <v>111</v>
      </c>
      <c r="AJ504" t="s">
        <v>111</v>
      </c>
      <c r="AK504" t="s">
        <v>111</v>
      </c>
      <c r="AL504" t="s">
        <v>111</v>
      </c>
      <c r="AM504">
        <v>0</v>
      </c>
      <c r="AN504">
        <v>0</v>
      </c>
      <c r="AO504">
        <v>0</v>
      </c>
      <c r="AP504" t="s">
        <v>111</v>
      </c>
      <c r="AQ504" t="s">
        <v>111</v>
      </c>
      <c r="AR504" t="s">
        <v>111</v>
      </c>
      <c r="AS504" t="s">
        <v>111</v>
      </c>
      <c r="AT504" t="s">
        <v>111</v>
      </c>
      <c r="AU504" t="s">
        <v>111</v>
      </c>
      <c r="AV504" t="s">
        <v>111</v>
      </c>
      <c r="AW504" t="s">
        <v>111</v>
      </c>
      <c r="AX504" t="s">
        <v>111</v>
      </c>
      <c r="AY504" t="s">
        <v>111</v>
      </c>
      <c r="AZ504" t="s">
        <v>111</v>
      </c>
      <c r="BA504" t="s">
        <v>111</v>
      </c>
      <c r="BB504" t="s">
        <v>111</v>
      </c>
      <c r="BC504" t="s">
        <v>111</v>
      </c>
      <c r="BD504" t="s">
        <v>111</v>
      </c>
      <c r="BE504" t="s">
        <v>111</v>
      </c>
      <c r="BF504" t="s">
        <v>111</v>
      </c>
      <c r="BG504" t="s">
        <v>111</v>
      </c>
      <c r="BH504" t="s">
        <v>111</v>
      </c>
      <c r="BI504" t="s">
        <v>111</v>
      </c>
      <c r="BJ504" t="s">
        <v>111</v>
      </c>
      <c r="BK504" t="s">
        <v>111</v>
      </c>
      <c r="BL504" t="s">
        <v>111</v>
      </c>
      <c r="BM504" t="s">
        <v>111</v>
      </c>
      <c r="BN504" t="s">
        <v>111</v>
      </c>
      <c r="BO504" t="s">
        <v>111</v>
      </c>
      <c r="BP504" t="s">
        <v>111</v>
      </c>
      <c r="BQ504" t="s">
        <v>111</v>
      </c>
      <c r="BR504" t="s">
        <v>111</v>
      </c>
      <c r="BS504" t="s">
        <v>111</v>
      </c>
      <c r="BT504" t="s">
        <v>111</v>
      </c>
      <c r="BU504" t="s">
        <v>111</v>
      </c>
      <c r="BV504" t="s">
        <v>111</v>
      </c>
      <c r="BW504" t="s">
        <v>111</v>
      </c>
      <c r="BX504" t="s">
        <v>111</v>
      </c>
      <c r="BY504" t="s">
        <v>111</v>
      </c>
      <c r="BZ504" t="s">
        <v>111</v>
      </c>
      <c r="CA504" t="s">
        <v>111</v>
      </c>
      <c r="CB504" t="s">
        <v>111</v>
      </c>
      <c r="CC504" t="s">
        <v>111</v>
      </c>
      <c r="CD504" t="s">
        <v>111</v>
      </c>
      <c r="CE504" t="s">
        <v>111</v>
      </c>
      <c r="CF504" t="s">
        <v>111</v>
      </c>
      <c r="CG504" t="s">
        <v>111</v>
      </c>
      <c r="CH504" t="s">
        <v>111</v>
      </c>
      <c r="CI504" t="s">
        <v>111</v>
      </c>
      <c r="CJ504" t="s">
        <v>111</v>
      </c>
      <c r="CK504" t="s">
        <v>111</v>
      </c>
      <c r="CL504" t="s">
        <v>111</v>
      </c>
      <c r="CM504" t="s">
        <v>438</v>
      </c>
      <c r="CN504" t="s">
        <v>113</v>
      </c>
      <c r="CO504" t="s">
        <v>637</v>
      </c>
      <c r="CP504" t="s">
        <v>111</v>
      </c>
      <c r="CQ504">
        <v>128</v>
      </c>
      <c r="CR504">
        <v>15000</v>
      </c>
      <c r="CS504">
        <v>200</v>
      </c>
      <c r="CT504" t="s">
        <v>394</v>
      </c>
      <c r="CU504">
        <v>0</v>
      </c>
      <c r="CV504" t="s">
        <v>111</v>
      </c>
      <c r="CW504" t="s">
        <v>111</v>
      </c>
      <c r="CX504" t="s">
        <v>111</v>
      </c>
      <c r="CY504">
        <v>0</v>
      </c>
      <c r="CZ504" t="s">
        <v>111</v>
      </c>
      <c r="DA504" t="s">
        <v>111</v>
      </c>
      <c r="DB504" t="s">
        <v>111</v>
      </c>
      <c r="DC504" t="s">
        <v>111</v>
      </c>
    </row>
    <row r="505" spans="1:107">
      <c r="A505">
        <v>1811</v>
      </c>
      <c r="B505" t="s">
        <v>107</v>
      </c>
      <c r="C505" t="s">
        <v>412</v>
      </c>
      <c r="D505" t="s">
        <v>1833</v>
      </c>
      <c r="E505" t="s">
        <v>1834</v>
      </c>
      <c r="F505" t="s">
        <v>431</v>
      </c>
      <c r="G505" t="s">
        <v>469</v>
      </c>
      <c r="H505">
        <v>1.4</v>
      </c>
      <c r="I505">
        <v>51</v>
      </c>
      <c r="J505">
        <v>0</v>
      </c>
      <c r="K505">
        <v>0</v>
      </c>
      <c r="L505" t="s">
        <v>117</v>
      </c>
      <c r="M505" t="s">
        <v>118</v>
      </c>
      <c r="N505">
        <v>39</v>
      </c>
      <c r="O505">
        <v>1</v>
      </c>
      <c r="P505" t="s">
        <v>111</v>
      </c>
      <c r="Q505">
        <v>49.9</v>
      </c>
      <c r="R505">
        <v>0</v>
      </c>
      <c r="S505">
        <v>0</v>
      </c>
      <c r="T505">
        <v>5</v>
      </c>
      <c r="U505" s="1" t="s">
        <v>1835</v>
      </c>
      <c r="V505">
        <v>0</v>
      </c>
      <c r="W505">
        <v>25</v>
      </c>
      <c r="X505">
        <v>8</v>
      </c>
      <c r="Y505">
        <v>0</v>
      </c>
      <c r="Z505" t="s">
        <v>111</v>
      </c>
      <c r="AA505">
        <v>0</v>
      </c>
      <c r="AB505" t="s">
        <v>817</v>
      </c>
      <c r="AC505">
        <v>8</v>
      </c>
      <c r="AD505" t="s">
        <v>416</v>
      </c>
      <c r="AE505">
        <v>0</v>
      </c>
      <c r="AF505">
        <v>0</v>
      </c>
      <c r="AG505" t="s">
        <v>111</v>
      </c>
      <c r="AH505" t="s">
        <v>111</v>
      </c>
      <c r="AI505" t="s">
        <v>111</v>
      </c>
      <c r="AJ505" t="s">
        <v>111</v>
      </c>
      <c r="AK505" t="s">
        <v>111</v>
      </c>
      <c r="AL505" t="s">
        <v>111</v>
      </c>
      <c r="AM505">
        <v>0</v>
      </c>
      <c r="AN505">
        <v>0</v>
      </c>
      <c r="AO505">
        <v>0</v>
      </c>
      <c r="AP505" t="s">
        <v>111</v>
      </c>
      <c r="AQ505" t="s">
        <v>111</v>
      </c>
      <c r="AR505" t="s">
        <v>111</v>
      </c>
      <c r="AS505" t="s">
        <v>111</v>
      </c>
      <c r="AT505" t="s">
        <v>111</v>
      </c>
      <c r="AU505" t="s">
        <v>111</v>
      </c>
      <c r="AV505" t="s">
        <v>111</v>
      </c>
      <c r="AW505" t="s">
        <v>111</v>
      </c>
      <c r="AX505" t="s">
        <v>111</v>
      </c>
      <c r="AY505" t="s">
        <v>111</v>
      </c>
      <c r="AZ505" t="s">
        <v>111</v>
      </c>
      <c r="BA505" t="s">
        <v>111</v>
      </c>
      <c r="BB505" t="s">
        <v>111</v>
      </c>
      <c r="BC505" t="s">
        <v>111</v>
      </c>
      <c r="BD505" t="s">
        <v>111</v>
      </c>
      <c r="BE505" t="s">
        <v>111</v>
      </c>
      <c r="BF505" t="s">
        <v>111</v>
      </c>
      <c r="BG505" t="s">
        <v>111</v>
      </c>
      <c r="BH505" t="s">
        <v>111</v>
      </c>
      <c r="BI505" t="s">
        <v>111</v>
      </c>
      <c r="BJ505" t="s">
        <v>111</v>
      </c>
      <c r="BK505" t="s">
        <v>111</v>
      </c>
      <c r="BL505" t="s">
        <v>111</v>
      </c>
      <c r="BM505" t="s">
        <v>111</v>
      </c>
      <c r="BN505" t="s">
        <v>111</v>
      </c>
      <c r="BO505" t="s">
        <v>111</v>
      </c>
      <c r="BP505" t="s">
        <v>111</v>
      </c>
      <c r="BQ505" t="s">
        <v>111</v>
      </c>
      <c r="BR505" t="s">
        <v>111</v>
      </c>
      <c r="BS505" t="s">
        <v>111</v>
      </c>
      <c r="BT505" t="s">
        <v>111</v>
      </c>
      <c r="BU505" t="s">
        <v>111</v>
      </c>
      <c r="BV505" t="s">
        <v>111</v>
      </c>
      <c r="BW505" t="s">
        <v>111</v>
      </c>
      <c r="BX505" t="s">
        <v>111</v>
      </c>
      <c r="BY505" t="s">
        <v>111</v>
      </c>
      <c r="BZ505" t="s">
        <v>111</v>
      </c>
      <c r="CA505" t="s">
        <v>111</v>
      </c>
      <c r="CB505" t="s">
        <v>111</v>
      </c>
      <c r="CC505" t="s">
        <v>111</v>
      </c>
      <c r="CD505" t="s">
        <v>111</v>
      </c>
      <c r="CE505" t="s">
        <v>111</v>
      </c>
      <c r="CF505" t="s">
        <v>111</v>
      </c>
      <c r="CG505" t="s">
        <v>111</v>
      </c>
      <c r="CH505" t="s">
        <v>111</v>
      </c>
      <c r="CI505" t="s">
        <v>111</v>
      </c>
      <c r="CJ505" t="s">
        <v>111</v>
      </c>
      <c r="CK505" t="s">
        <v>111</v>
      </c>
      <c r="CL505" t="s">
        <v>111</v>
      </c>
      <c r="CM505" t="s">
        <v>360</v>
      </c>
      <c r="CN505" t="s">
        <v>113</v>
      </c>
      <c r="CO505" t="s">
        <v>111</v>
      </c>
      <c r="CP505" t="s">
        <v>1836</v>
      </c>
      <c r="CQ505">
        <v>0</v>
      </c>
      <c r="CR505">
        <v>8000</v>
      </c>
      <c r="CS505">
        <v>100</v>
      </c>
      <c r="CT505" t="e">
        <f>-ALAMACEN</f>
        <v>#NAME?</v>
      </c>
      <c r="CU505">
        <v>0</v>
      </c>
      <c r="CV505" t="s">
        <v>111</v>
      </c>
      <c r="CX505" t="s">
        <v>111</v>
      </c>
      <c r="CY505">
        <v>0</v>
      </c>
      <c r="CZ505" t="s">
        <v>111</v>
      </c>
      <c r="DA505" t="s">
        <v>111</v>
      </c>
      <c r="DB505" t="s">
        <v>111</v>
      </c>
      <c r="DC505" t="s">
        <v>111</v>
      </c>
    </row>
    <row r="506" spans="1:107">
      <c r="A506">
        <v>1987</v>
      </c>
      <c r="B506" t="s">
        <v>107</v>
      </c>
      <c r="C506" t="s">
        <v>1837</v>
      </c>
      <c r="D506" t="s">
        <v>1838</v>
      </c>
      <c r="E506" t="s">
        <v>1839</v>
      </c>
      <c r="F506" t="s">
        <v>125</v>
      </c>
      <c r="G506" t="s">
        <v>469</v>
      </c>
      <c r="H506">
        <v>2.4</v>
      </c>
      <c r="I506">
        <v>64</v>
      </c>
      <c r="J506">
        <v>0</v>
      </c>
      <c r="K506">
        <v>0</v>
      </c>
      <c r="L506" t="s">
        <v>112</v>
      </c>
      <c r="M506" t="s">
        <v>111</v>
      </c>
      <c r="N506">
        <v>0</v>
      </c>
      <c r="O506">
        <v>0</v>
      </c>
      <c r="P506" t="s">
        <v>111</v>
      </c>
      <c r="Q506">
        <v>35</v>
      </c>
      <c r="R506">
        <v>0</v>
      </c>
      <c r="S506">
        <v>0</v>
      </c>
      <c r="T506">
        <v>3</v>
      </c>
      <c r="U506" t="e">
        <f>-SELLADO</f>
        <v>#NAME?</v>
      </c>
      <c r="V506">
        <v>0</v>
      </c>
      <c r="W506">
        <v>25</v>
      </c>
      <c r="X506">
        <v>8</v>
      </c>
      <c r="Y506">
        <v>0</v>
      </c>
      <c r="Z506" t="s">
        <v>111</v>
      </c>
      <c r="AA506">
        <v>0</v>
      </c>
      <c r="AB506" t="s">
        <v>1840</v>
      </c>
      <c r="AC506">
        <v>8</v>
      </c>
      <c r="AD506" t="s">
        <v>111</v>
      </c>
      <c r="AE506">
        <v>0</v>
      </c>
      <c r="AF506">
        <v>0</v>
      </c>
      <c r="AG506" t="s">
        <v>111</v>
      </c>
      <c r="AH506" t="s">
        <v>111</v>
      </c>
      <c r="AI506" t="s">
        <v>111</v>
      </c>
      <c r="AJ506" t="s">
        <v>111</v>
      </c>
      <c r="AK506" t="s">
        <v>111</v>
      </c>
      <c r="AL506" t="s">
        <v>111</v>
      </c>
      <c r="AM506">
        <v>0</v>
      </c>
      <c r="AN506">
        <v>0</v>
      </c>
      <c r="AO506">
        <v>0</v>
      </c>
      <c r="AP506" t="s">
        <v>111</v>
      </c>
      <c r="AQ506" t="s">
        <v>111</v>
      </c>
      <c r="AR506" t="s">
        <v>111</v>
      </c>
      <c r="AS506" t="s">
        <v>111</v>
      </c>
      <c r="AT506" t="s">
        <v>111</v>
      </c>
      <c r="AU506" t="s">
        <v>111</v>
      </c>
      <c r="AV506" t="s">
        <v>111</v>
      </c>
      <c r="AW506" t="s">
        <v>111</v>
      </c>
      <c r="AX506" t="s">
        <v>111</v>
      </c>
      <c r="AY506" t="s">
        <v>111</v>
      </c>
      <c r="AZ506" t="s">
        <v>111</v>
      </c>
      <c r="BA506" t="s">
        <v>111</v>
      </c>
      <c r="BB506" t="s">
        <v>111</v>
      </c>
      <c r="BC506" t="s">
        <v>111</v>
      </c>
      <c r="BD506" t="s">
        <v>111</v>
      </c>
      <c r="BE506" t="s">
        <v>111</v>
      </c>
      <c r="BF506" t="s">
        <v>111</v>
      </c>
      <c r="BG506" t="s">
        <v>111</v>
      </c>
      <c r="BH506" t="s">
        <v>111</v>
      </c>
      <c r="BI506" t="s">
        <v>111</v>
      </c>
      <c r="BJ506" t="s">
        <v>111</v>
      </c>
      <c r="BK506" t="s">
        <v>111</v>
      </c>
      <c r="BL506" t="s">
        <v>111</v>
      </c>
      <c r="BM506" t="s">
        <v>111</v>
      </c>
      <c r="BN506" t="s">
        <v>111</v>
      </c>
      <c r="BO506" t="s">
        <v>111</v>
      </c>
      <c r="BP506" t="s">
        <v>111</v>
      </c>
      <c r="BQ506" t="s">
        <v>111</v>
      </c>
      <c r="BR506" t="s">
        <v>111</v>
      </c>
      <c r="BS506" t="s">
        <v>111</v>
      </c>
      <c r="BT506" t="s">
        <v>111</v>
      </c>
      <c r="BU506" t="s">
        <v>111</v>
      </c>
      <c r="BV506" t="s">
        <v>111</v>
      </c>
      <c r="BW506" t="s">
        <v>111</v>
      </c>
      <c r="BX506" t="s">
        <v>111</v>
      </c>
      <c r="BY506" t="s">
        <v>111</v>
      </c>
      <c r="BZ506" t="s">
        <v>111</v>
      </c>
      <c r="CA506" t="s">
        <v>111</v>
      </c>
      <c r="CB506" t="s">
        <v>111</v>
      </c>
      <c r="CC506" t="s">
        <v>111</v>
      </c>
      <c r="CD506" t="s">
        <v>111</v>
      </c>
      <c r="CE506" t="s">
        <v>111</v>
      </c>
      <c r="CF506" t="s">
        <v>111</v>
      </c>
      <c r="CG506" t="s">
        <v>111</v>
      </c>
      <c r="CH506" t="s">
        <v>111</v>
      </c>
      <c r="CI506" t="s">
        <v>111</v>
      </c>
      <c r="CJ506" t="s">
        <v>111</v>
      </c>
      <c r="CK506" t="s">
        <v>111</v>
      </c>
      <c r="CL506" t="s">
        <v>111</v>
      </c>
      <c r="CM506" t="s">
        <v>135</v>
      </c>
      <c r="CN506" t="s">
        <v>128</v>
      </c>
      <c r="CO506" t="s">
        <v>111</v>
      </c>
      <c r="CP506" t="s">
        <v>111</v>
      </c>
      <c r="CQ506">
        <v>0</v>
      </c>
      <c r="CR506">
        <v>500</v>
      </c>
      <c r="CS506">
        <v>20</v>
      </c>
      <c r="CT506" t="s">
        <v>1841</v>
      </c>
      <c r="CU506">
        <v>0</v>
      </c>
      <c r="CV506" t="s">
        <v>111</v>
      </c>
      <c r="CX506" t="s">
        <v>111</v>
      </c>
      <c r="CY506">
        <v>0</v>
      </c>
      <c r="CZ506" t="s">
        <v>111</v>
      </c>
      <c r="DA506" t="s">
        <v>111</v>
      </c>
      <c r="DB506" t="e">
        <f>-INTERNO</f>
        <v>#NAME?</v>
      </c>
      <c r="DC506" t="e">
        <f>-SELLE</f>
        <v>#NAME?</v>
      </c>
    </row>
    <row r="507" spans="1:107">
      <c r="A507">
        <v>1752</v>
      </c>
      <c r="B507" t="s">
        <v>107</v>
      </c>
      <c r="C507" t="s">
        <v>405</v>
      </c>
      <c r="D507" t="s">
        <v>798</v>
      </c>
      <c r="E507" t="s">
        <v>1842</v>
      </c>
      <c r="F507" t="s">
        <v>157</v>
      </c>
      <c r="G507" t="s">
        <v>469</v>
      </c>
      <c r="H507">
        <v>1.4</v>
      </c>
      <c r="I507">
        <v>37</v>
      </c>
      <c r="J507">
        <v>8</v>
      </c>
      <c r="K507">
        <v>8</v>
      </c>
      <c r="L507" t="s">
        <v>112</v>
      </c>
      <c r="M507" t="s">
        <v>138</v>
      </c>
      <c r="N507">
        <v>0</v>
      </c>
      <c r="O507">
        <v>0</v>
      </c>
      <c r="P507" t="s">
        <v>138</v>
      </c>
      <c r="Q507">
        <v>35</v>
      </c>
      <c r="R507">
        <v>0</v>
      </c>
      <c r="S507">
        <v>0</v>
      </c>
      <c r="T507">
        <v>0</v>
      </c>
      <c r="U507" s="1" t="s">
        <v>1843</v>
      </c>
      <c r="V507">
        <v>0</v>
      </c>
      <c r="W507">
        <v>25</v>
      </c>
      <c r="X507">
        <v>8</v>
      </c>
      <c r="Y507">
        <v>0</v>
      </c>
      <c r="Z507" t="s">
        <v>111</v>
      </c>
      <c r="AA507">
        <v>0</v>
      </c>
      <c r="AB507" t="s">
        <v>111</v>
      </c>
      <c r="AC507">
        <v>0</v>
      </c>
      <c r="AD507" t="s">
        <v>111</v>
      </c>
      <c r="AE507">
        <v>0</v>
      </c>
      <c r="AF507">
        <v>0</v>
      </c>
      <c r="AG507" t="s">
        <v>111</v>
      </c>
      <c r="AH507" t="s">
        <v>111</v>
      </c>
      <c r="AI507" t="s">
        <v>111</v>
      </c>
      <c r="AJ507" t="s">
        <v>111</v>
      </c>
      <c r="AK507" t="s">
        <v>111</v>
      </c>
      <c r="AL507" t="s">
        <v>111</v>
      </c>
      <c r="AM507">
        <v>0</v>
      </c>
      <c r="AN507">
        <v>0</v>
      </c>
      <c r="AO507">
        <v>0</v>
      </c>
      <c r="AP507" t="s">
        <v>111</v>
      </c>
      <c r="AQ507" t="s">
        <v>111</v>
      </c>
      <c r="AR507" t="s">
        <v>111</v>
      </c>
      <c r="AS507" t="s">
        <v>111</v>
      </c>
      <c r="AT507" t="s">
        <v>111</v>
      </c>
      <c r="AU507" t="s">
        <v>111</v>
      </c>
      <c r="AV507" t="s">
        <v>111</v>
      </c>
      <c r="AW507" t="s">
        <v>111</v>
      </c>
      <c r="AX507" t="s">
        <v>111</v>
      </c>
      <c r="AY507" t="s">
        <v>111</v>
      </c>
      <c r="AZ507" t="s">
        <v>111</v>
      </c>
      <c r="BA507" t="s">
        <v>111</v>
      </c>
      <c r="BB507" t="s">
        <v>111</v>
      </c>
      <c r="BC507" t="s">
        <v>111</v>
      </c>
      <c r="BD507" t="s">
        <v>111</v>
      </c>
      <c r="BE507" t="s">
        <v>111</v>
      </c>
      <c r="BF507" t="s">
        <v>111</v>
      </c>
      <c r="BG507" t="s">
        <v>111</v>
      </c>
      <c r="BH507" t="s">
        <v>111</v>
      </c>
      <c r="BI507" t="s">
        <v>111</v>
      </c>
      <c r="BJ507" t="s">
        <v>111</v>
      </c>
      <c r="BK507" t="s">
        <v>111</v>
      </c>
      <c r="BL507" t="s">
        <v>111</v>
      </c>
      <c r="BM507" t="s">
        <v>111</v>
      </c>
      <c r="BN507" t="s">
        <v>111</v>
      </c>
      <c r="BO507" t="s">
        <v>111</v>
      </c>
      <c r="BP507" t="s">
        <v>111</v>
      </c>
      <c r="BQ507" t="s">
        <v>111</v>
      </c>
      <c r="BR507" t="s">
        <v>111</v>
      </c>
      <c r="BS507" t="s">
        <v>111</v>
      </c>
      <c r="BT507" t="s">
        <v>111</v>
      </c>
      <c r="BU507" t="s">
        <v>111</v>
      </c>
      <c r="BV507" t="s">
        <v>111</v>
      </c>
      <c r="BW507" t="s">
        <v>111</v>
      </c>
      <c r="BX507" t="s">
        <v>111</v>
      </c>
      <c r="BY507" t="s">
        <v>111</v>
      </c>
      <c r="BZ507" t="s">
        <v>111</v>
      </c>
      <c r="CA507" t="s">
        <v>111</v>
      </c>
      <c r="CB507" t="s">
        <v>111</v>
      </c>
      <c r="CC507" t="s">
        <v>111</v>
      </c>
      <c r="CD507" t="s">
        <v>111</v>
      </c>
      <c r="CE507" t="s">
        <v>111</v>
      </c>
      <c r="CF507" t="s">
        <v>111</v>
      </c>
      <c r="CG507" t="s">
        <v>111</v>
      </c>
      <c r="CH507" t="s">
        <v>111</v>
      </c>
      <c r="CI507" t="s">
        <v>111</v>
      </c>
      <c r="CJ507" t="s">
        <v>111</v>
      </c>
      <c r="CK507" t="s">
        <v>111</v>
      </c>
      <c r="CL507" t="s">
        <v>111</v>
      </c>
      <c r="CM507" t="s">
        <v>111</v>
      </c>
      <c r="CN507" t="s">
        <v>111</v>
      </c>
      <c r="CO507" t="s">
        <v>111</v>
      </c>
      <c r="CP507" t="s">
        <v>111</v>
      </c>
      <c r="CQ507">
        <v>0</v>
      </c>
      <c r="CR507">
        <v>0</v>
      </c>
      <c r="CS507">
        <v>0</v>
      </c>
      <c r="CT507" t="s">
        <v>111</v>
      </c>
      <c r="CU507">
        <v>0</v>
      </c>
      <c r="CV507" t="s">
        <v>111</v>
      </c>
      <c r="CX507" t="s">
        <v>111</v>
      </c>
      <c r="CY507">
        <v>0</v>
      </c>
      <c r="CZ507" t="s">
        <v>111</v>
      </c>
      <c r="DA507" t="s">
        <v>111</v>
      </c>
      <c r="DB507" t="s">
        <v>111</v>
      </c>
      <c r="DC507" t="s">
        <v>111</v>
      </c>
    </row>
    <row r="508" spans="1:107">
      <c r="A508">
        <v>1751</v>
      </c>
      <c r="B508" t="s">
        <v>107</v>
      </c>
      <c r="C508" t="s">
        <v>405</v>
      </c>
      <c r="D508" t="s">
        <v>1844</v>
      </c>
      <c r="E508" t="s">
        <v>1845</v>
      </c>
      <c r="F508" t="s">
        <v>157</v>
      </c>
      <c r="G508" t="s">
        <v>469</v>
      </c>
      <c r="H508">
        <v>0.9</v>
      </c>
      <c r="I508">
        <v>70</v>
      </c>
      <c r="J508">
        <v>0</v>
      </c>
      <c r="K508">
        <v>0</v>
      </c>
      <c r="L508" t="s">
        <v>112</v>
      </c>
      <c r="M508" t="s">
        <v>138</v>
      </c>
      <c r="N508">
        <v>0</v>
      </c>
      <c r="O508">
        <v>0</v>
      </c>
      <c r="P508" t="s">
        <v>138</v>
      </c>
      <c r="Q508">
        <v>35</v>
      </c>
      <c r="R508">
        <v>0</v>
      </c>
      <c r="S508">
        <v>0</v>
      </c>
      <c r="T508">
        <v>0</v>
      </c>
      <c r="U508" s="1" t="s">
        <v>1846</v>
      </c>
      <c r="V508">
        <v>0</v>
      </c>
      <c r="W508">
        <v>25</v>
      </c>
      <c r="X508">
        <v>5</v>
      </c>
      <c r="Y508">
        <v>0</v>
      </c>
      <c r="Z508" t="s">
        <v>111</v>
      </c>
      <c r="AA508">
        <v>0</v>
      </c>
      <c r="AB508" t="s">
        <v>111</v>
      </c>
      <c r="AC508">
        <v>0</v>
      </c>
      <c r="AD508" t="s">
        <v>111</v>
      </c>
      <c r="AE508">
        <v>0</v>
      </c>
      <c r="AF508">
        <v>0</v>
      </c>
      <c r="AG508" t="s">
        <v>111</v>
      </c>
      <c r="AH508" t="s">
        <v>111</v>
      </c>
      <c r="AI508" t="s">
        <v>111</v>
      </c>
      <c r="AJ508" t="s">
        <v>111</v>
      </c>
      <c r="AK508" t="s">
        <v>111</v>
      </c>
      <c r="AL508" t="s">
        <v>111</v>
      </c>
      <c r="AM508">
        <v>0</v>
      </c>
      <c r="AN508">
        <v>0</v>
      </c>
      <c r="AO508">
        <v>0</v>
      </c>
      <c r="AP508" t="s">
        <v>111</v>
      </c>
      <c r="AQ508" t="s">
        <v>111</v>
      </c>
      <c r="AR508" t="s">
        <v>111</v>
      </c>
      <c r="AS508" t="s">
        <v>111</v>
      </c>
      <c r="AT508" t="s">
        <v>111</v>
      </c>
      <c r="AU508" t="s">
        <v>111</v>
      </c>
      <c r="AV508" t="s">
        <v>111</v>
      </c>
      <c r="AW508" t="s">
        <v>111</v>
      </c>
      <c r="AX508" t="s">
        <v>111</v>
      </c>
      <c r="AY508" t="s">
        <v>111</v>
      </c>
      <c r="AZ508" t="s">
        <v>111</v>
      </c>
      <c r="BA508" t="s">
        <v>111</v>
      </c>
      <c r="BB508" t="s">
        <v>111</v>
      </c>
      <c r="BC508" t="s">
        <v>111</v>
      </c>
      <c r="BD508" t="s">
        <v>111</v>
      </c>
      <c r="BE508" t="s">
        <v>111</v>
      </c>
      <c r="BF508" t="s">
        <v>111</v>
      </c>
      <c r="BG508" t="s">
        <v>111</v>
      </c>
      <c r="BH508" t="s">
        <v>111</v>
      </c>
      <c r="BI508" t="s">
        <v>111</v>
      </c>
      <c r="BJ508" t="s">
        <v>111</v>
      </c>
      <c r="BK508" t="s">
        <v>111</v>
      </c>
      <c r="BL508" t="s">
        <v>111</v>
      </c>
      <c r="BM508" t="s">
        <v>111</v>
      </c>
      <c r="BN508" t="s">
        <v>111</v>
      </c>
      <c r="BO508" t="s">
        <v>111</v>
      </c>
      <c r="BP508" t="s">
        <v>111</v>
      </c>
      <c r="BQ508" t="s">
        <v>111</v>
      </c>
      <c r="BR508" t="s">
        <v>111</v>
      </c>
      <c r="BS508" t="s">
        <v>111</v>
      </c>
      <c r="BT508" t="s">
        <v>111</v>
      </c>
      <c r="BU508" t="s">
        <v>111</v>
      </c>
      <c r="BV508" t="s">
        <v>111</v>
      </c>
      <c r="BW508" t="s">
        <v>111</v>
      </c>
      <c r="BX508" t="s">
        <v>111</v>
      </c>
      <c r="BY508" t="s">
        <v>111</v>
      </c>
      <c r="BZ508" t="s">
        <v>111</v>
      </c>
      <c r="CA508" t="s">
        <v>111</v>
      </c>
      <c r="CB508" t="s">
        <v>111</v>
      </c>
      <c r="CC508" t="s">
        <v>111</v>
      </c>
      <c r="CD508" t="s">
        <v>111</v>
      </c>
      <c r="CE508" t="s">
        <v>111</v>
      </c>
      <c r="CF508" t="s">
        <v>111</v>
      </c>
      <c r="CG508" t="s">
        <v>111</v>
      </c>
      <c r="CH508" t="s">
        <v>111</v>
      </c>
      <c r="CI508" t="s">
        <v>111</v>
      </c>
      <c r="CJ508" t="s">
        <v>111</v>
      </c>
      <c r="CK508" t="s">
        <v>111</v>
      </c>
      <c r="CL508" t="s">
        <v>111</v>
      </c>
      <c r="CM508" t="s">
        <v>111</v>
      </c>
      <c r="CN508" t="s">
        <v>111</v>
      </c>
      <c r="CO508" t="s">
        <v>111</v>
      </c>
      <c r="CP508" t="s">
        <v>111</v>
      </c>
      <c r="CQ508">
        <v>0</v>
      </c>
      <c r="CR508">
        <v>0</v>
      </c>
      <c r="CS508">
        <v>0</v>
      </c>
      <c r="CT508" t="s">
        <v>111</v>
      </c>
      <c r="CU508">
        <v>0</v>
      </c>
      <c r="CV508" t="s">
        <v>111</v>
      </c>
      <c r="CX508" t="s">
        <v>111</v>
      </c>
      <c r="CY508">
        <v>0</v>
      </c>
      <c r="CZ508" t="s">
        <v>111</v>
      </c>
      <c r="DA508" t="s">
        <v>111</v>
      </c>
      <c r="DB508" t="s">
        <v>111</v>
      </c>
      <c r="DC508" t="s">
        <v>111</v>
      </c>
    </row>
    <row r="509" spans="1:107">
      <c r="A509">
        <v>2015</v>
      </c>
      <c r="B509" t="s">
        <v>107</v>
      </c>
      <c r="C509" t="s">
        <v>154</v>
      </c>
      <c r="D509" t="s">
        <v>1847</v>
      </c>
      <c r="E509" t="s">
        <v>1848</v>
      </c>
      <c r="F509" t="s">
        <v>192</v>
      </c>
      <c r="G509" t="s">
        <v>469</v>
      </c>
      <c r="H509">
        <v>1.7</v>
      </c>
      <c r="I509">
        <v>86</v>
      </c>
      <c r="J509">
        <v>0</v>
      </c>
      <c r="K509">
        <v>0</v>
      </c>
      <c r="L509" t="s">
        <v>112</v>
      </c>
      <c r="M509" t="s">
        <v>111</v>
      </c>
      <c r="N509">
        <v>0</v>
      </c>
      <c r="O509">
        <v>0</v>
      </c>
      <c r="P509" t="s">
        <v>111</v>
      </c>
      <c r="Q509">
        <v>40</v>
      </c>
      <c r="R509">
        <v>0</v>
      </c>
      <c r="S509">
        <v>0</v>
      </c>
      <c r="T509">
        <v>5</v>
      </c>
      <c r="U509" s="1" t="s">
        <v>1849</v>
      </c>
      <c r="V509">
        <v>12.5</v>
      </c>
      <c r="W509">
        <v>0</v>
      </c>
      <c r="X509">
        <v>12.5</v>
      </c>
      <c r="Y509">
        <v>0</v>
      </c>
      <c r="Z509" t="s">
        <v>111</v>
      </c>
      <c r="AA509">
        <v>0</v>
      </c>
      <c r="AB509" t="s">
        <v>265</v>
      </c>
      <c r="AC509">
        <v>25</v>
      </c>
      <c r="AD509" t="s">
        <v>111</v>
      </c>
      <c r="AE509">
        <v>0</v>
      </c>
      <c r="AF509">
        <v>0</v>
      </c>
      <c r="AG509" t="s">
        <v>111</v>
      </c>
      <c r="AH509" t="s">
        <v>111</v>
      </c>
      <c r="AI509" t="s">
        <v>111</v>
      </c>
      <c r="AJ509" t="s">
        <v>111</v>
      </c>
      <c r="AK509" t="s">
        <v>111</v>
      </c>
      <c r="AL509" t="s">
        <v>111</v>
      </c>
      <c r="AM509">
        <v>0</v>
      </c>
      <c r="AN509">
        <v>0</v>
      </c>
      <c r="AO509">
        <v>0</v>
      </c>
      <c r="AP509" t="s">
        <v>111</v>
      </c>
      <c r="AQ509" t="s">
        <v>111</v>
      </c>
      <c r="AR509" t="s">
        <v>111</v>
      </c>
      <c r="AS509" t="s">
        <v>111</v>
      </c>
      <c r="AT509" t="s">
        <v>111</v>
      </c>
      <c r="AU509" t="s">
        <v>111</v>
      </c>
      <c r="AV509" t="s">
        <v>111</v>
      </c>
      <c r="AW509" t="s">
        <v>111</v>
      </c>
      <c r="AX509" t="s">
        <v>111</v>
      </c>
      <c r="AY509" t="s">
        <v>111</v>
      </c>
      <c r="AZ509" t="s">
        <v>111</v>
      </c>
      <c r="BA509" t="s">
        <v>111</v>
      </c>
      <c r="BB509" t="s">
        <v>111</v>
      </c>
      <c r="BC509" t="s">
        <v>111</v>
      </c>
      <c r="BD509" t="s">
        <v>111</v>
      </c>
      <c r="BE509" t="s">
        <v>111</v>
      </c>
      <c r="BF509" t="s">
        <v>111</v>
      </c>
      <c r="BG509" t="s">
        <v>111</v>
      </c>
      <c r="BH509" t="s">
        <v>111</v>
      </c>
      <c r="BI509" t="s">
        <v>111</v>
      </c>
      <c r="BJ509" t="s">
        <v>111</v>
      </c>
      <c r="BK509" t="s">
        <v>111</v>
      </c>
      <c r="BL509" t="s">
        <v>111</v>
      </c>
      <c r="BM509" t="s">
        <v>111</v>
      </c>
      <c r="BN509" t="s">
        <v>111</v>
      </c>
      <c r="BO509" t="s">
        <v>111</v>
      </c>
      <c r="BP509" t="s">
        <v>111</v>
      </c>
      <c r="BQ509" t="s">
        <v>111</v>
      </c>
      <c r="BR509" t="s">
        <v>111</v>
      </c>
      <c r="BS509" t="s">
        <v>111</v>
      </c>
      <c r="BT509" t="s">
        <v>111</v>
      </c>
      <c r="BU509" t="s">
        <v>111</v>
      </c>
      <c r="BV509" t="s">
        <v>111</v>
      </c>
      <c r="BW509" t="s">
        <v>111</v>
      </c>
      <c r="BX509" t="s">
        <v>111</v>
      </c>
      <c r="BY509" t="s">
        <v>111</v>
      </c>
      <c r="BZ509" t="s">
        <v>111</v>
      </c>
      <c r="CA509" t="s">
        <v>111</v>
      </c>
      <c r="CB509" t="s">
        <v>111</v>
      </c>
      <c r="CC509" t="s">
        <v>111</v>
      </c>
      <c r="CD509" t="s">
        <v>111</v>
      </c>
      <c r="CE509" t="s">
        <v>111</v>
      </c>
      <c r="CF509" t="s">
        <v>111</v>
      </c>
      <c r="CG509" t="s">
        <v>111</v>
      </c>
      <c r="CH509" t="s">
        <v>111</v>
      </c>
      <c r="CI509" t="s">
        <v>111</v>
      </c>
      <c r="CJ509" t="s">
        <v>111</v>
      </c>
      <c r="CK509" t="s">
        <v>111</v>
      </c>
      <c r="CL509" t="s">
        <v>111</v>
      </c>
      <c r="CM509" t="s">
        <v>111</v>
      </c>
      <c r="CN509" t="s">
        <v>111</v>
      </c>
      <c r="CO509" t="s">
        <v>111</v>
      </c>
      <c r="CP509" t="s">
        <v>111</v>
      </c>
      <c r="CQ509">
        <v>0</v>
      </c>
      <c r="CR509">
        <v>200</v>
      </c>
      <c r="CS509">
        <v>200</v>
      </c>
      <c r="CT509" t="s">
        <v>111</v>
      </c>
      <c r="CU509">
        <v>0</v>
      </c>
      <c r="CV509" t="s">
        <v>111</v>
      </c>
      <c r="CX509" t="s">
        <v>111</v>
      </c>
      <c r="CY509">
        <v>0</v>
      </c>
      <c r="CZ509" t="s">
        <v>111</v>
      </c>
      <c r="DA509" t="s">
        <v>111</v>
      </c>
      <c r="DB509" t="e">
        <f>-INTERNO</f>
        <v>#NAME?</v>
      </c>
      <c r="DC509" t="e">
        <f>-CORTE Y SELLE</f>
        <v>#NAME?</v>
      </c>
    </row>
    <row r="510" spans="1:107">
      <c r="A510">
        <v>1745</v>
      </c>
      <c r="B510" t="s">
        <v>107</v>
      </c>
      <c r="C510" t="s">
        <v>1029</v>
      </c>
      <c r="D510" t="s">
        <v>1850</v>
      </c>
      <c r="E510" t="s">
        <v>1851</v>
      </c>
      <c r="F510" t="s">
        <v>739</v>
      </c>
      <c r="G510" t="s">
        <v>469</v>
      </c>
      <c r="H510">
        <v>1.25</v>
      </c>
      <c r="I510">
        <v>28</v>
      </c>
      <c r="J510">
        <v>6</v>
      </c>
      <c r="K510">
        <v>6</v>
      </c>
      <c r="L510" t="s">
        <v>112</v>
      </c>
      <c r="M510" t="s">
        <v>118</v>
      </c>
      <c r="N510">
        <v>39</v>
      </c>
      <c r="O510">
        <v>2</v>
      </c>
      <c r="P510" t="s">
        <v>138</v>
      </c>
      <c r="Q510">
        <v>30.5</v>
      </c>
      <c r="R510">
        <v>0</v>
      </c>
      <c r="S510">
        <v>0</v>
      </c>
      <c r="T510">
        <v>5</v>
      </c>
      <c r="U510" s="1" t="s">
        <v>1852</v>
      </c>
      <c r="V510">
        <v>0</v>
      </c>
      <c r="W510">
        <v>25</v>
      </c>
      <c r="X510">
        <v>8</v>
      </c>
      <c r="Y510">
        <v>0</v>
      </c>
      <c r="Z510" t="s">
        <v>288</v>
      </c>
      <c r="AA510">
        <v>2</v>
      </c>
      <c r="AB510" t="s">
        <v>940</v>
      </c>
      <c r="AC510">
        <v>8</v>
      </c>
      <c r="AD510" t="s">
        <v>416</v>
      </c>
      <c r="AE510">
        <v>0</v>
      </c>
      <c r="AF510">
        <v>0</v>
      </c>
      <c r="AG510" t="s">
        <v>111</v>
      </c>
      <c r="AH510" t="s">
        <v>111</v>
      </c>
      <c r="AI510" t="s">
        <v>111</v>
      </c>
      <c r="AJ510" t="s">
        <v>111</v>
      </c>
      <c r="AK510" t="s">
        <v>111</v>
      </c>
      <c r="AL510" t="s">
        <v>111</v>
      </c>
      <c r="AM510">
        <v>0</v>
      </c>
      <c r="AN510">
        <v>0</v>
      </c>
      <c r="AO510">
        <v>0</v>
      </c>
      <c r="AP510" t="s">
        <v>111</v>
      </c>
      <c r="AQ510" t="s">
        <v>111</v>
      </c>
      <c r="AR510" t="s">
        <v>111</v>
      </c>
      <c r="AS510" t="s">
        <v>111</v>
      </c>
      <c r="AT510" t="s">
        <v>111</v>
      </c>
      <c r="AU510" t="s">
        <v>111</v>
      </c>
      <c r="AV510" t="s">
        <v>111</v>
      </c>
      <c r="AW510" t="s">
        <v>111</v>
      </c>
      <c r="AX510" t="s">
        <v>111</v>
      </c>
      <c r="AY510" t="s">
        <v>111</v>
      </c>
      <c r="AZ510" t="s">
        <v>111</v>
      </c>
      <c r="BA510" t="s">
        <v>111</v>
      </c>
      <c r="BB510" t="s">
        <v>111</v>
      </c>
      <c r="BC510" t="s">
        <v>111</v>
      </c>
      <c r="BD510" t="s">
        <v>111</v>
      </c>
      <c r="BE510" t="s">
        <v>111</v>
      </c>
      <c r="BF510" t="s">
        <v>111</v>
      </c>
      <c r="BG510" t="s">
        <v>111</v>
      </c>
      <c r="BH510" t="s">
        <v>111</v>
      </c>
      <c r="BI510" t="s">
        <v>111</v>
      </c>
      <c r="BJ510" t="s">
        <v>111</v>
      </c>
      <c r="BK510" t="s">
        <v>111</v>
      </c>
      <c r="BL510" t="s">
        <v>111</v>
      </c>
      <c r="BM510" t="s">
        <v>111</v>
      </c>
      <c r="BN510" t="s">
        <v>111</v>
      </c>
      <c r="BO510" t="s">
        <v>111</v>
      </c>
      <c r="BP510" t="s">
        <v>111</v>
      </c>
      <c r="BQ510" t="s">
        <v>111</v>
      </c>
      <c r="BR510" t="s">
        <v>111</v>
      </c>
      <c r="BS510" t="s">
        <v>111</v>
      </c>
      <c r="BT510" t="s">
        <v>111</v>
      </c>
      <c r="BU510" t="s">
        <v>111</v>
      </c>
      <c r="BV510" t="s">
        <v>111</v>
      </c>
      <c r="BW510" t="s">
        <v>111</v>
      </c>
      <c r="BX510" t="s">
        <v>111</v>
      </c>
      <c r="BY510" t="s">
        <v>111</v>
      </c>
      <c r="BZ510" t="s">
        <v>111</v>
      </c>
      <c r="CA510" t="s">
        <v>111</v>
      </c>
      <c r="CB510" t="s">
        <v>111</v>
      </c>
      <c r="CC510" t="s">
        <v>111</v>
      </c>
      <c r="CD510" t="s">
        <v>111</v>
      </c>
      <c r="CE510" t="s">
        <v>111</v>
      </c>
      <c r="CF510" t="s">
        <v>111</v>
      </c>
      <c r="CG510" t="s">
        <v>111</v>
      </c>
      <c r="CH510" t="s">
        <v>111</v>
      </c>
      <c r="CI510" t="s">
        <v>111</v>
      </c>
      <c r="CJ510" t="s">
        <v>111</v>
      </c>
      <c r="CK510" t="s">
        <v>111</v>
      </c>
      <c r="CL510" t="s">
        <v>111</v>
      </c>
      <c r="CM510" t="s">
        <v>135</v>
      </c>
      <c r="CN510" t="s">
        <v>128</v>
      </c>
      <c r="CO510" t="s">
        <v>974</v>
      </c>
      <c r="CP510" t="s">
        <v>1627</v>
      </c>
      <c r="CQ510">
        <v>34</v>
      </c>
      <c r="CR510">
        <v>2000</v>
      </c>
      <c r="CS510">
        <v>50</v>
      </c>
      <c r="CT510" s="1" t="s">
        <v>1853</v>
      </c>
      <c r="CU510">
        <v>0</v>
      </c>
      <c r="CV510" t="s">
        <v>111</v>
      </c>
      <c r="CX510" t="s">
        <v>111</v>
      </c>
      <c r="CY510">
        <v>0</v>
      </c>
      <c r="CZ510" t="s">
        <v>111</v>
      </c>
      <c r="DA510" t="s">
        <v>111</v>
      </c>
      <c r="DB510" t="e">
        <f>-INTERNO</f>
        <v>#NAME?</v>
      </c>
      <c r="DC510" t="e">
        <f>-TROQUE CAMISETA</f>
        <v>#NAME?</v>
      </c>
    </row>
    <row r="511" spans="1:107">
      <c r="A511">
        <v>2016</v>
      </c>
      <c r="B511" t="s">
        <v>107</v>
      </c>
      <c r="C511" t="s">
        <v>154</v>
      </c>
      <c r="D511" t="s">
        <v>1854</v>
      </c>
      <c r="E511" t="s">
        <v>1855</v>
      </c>
      <c r="F511" t="s">
        <v>192</v>
      </c>
      <c r="G511" t="s">
        <v>469</v>
      </c>
      <c r="H511">
        <v>1.7</v>
      </c>
      <c r="I511">
        <v>105</v>
      </c>
      <c r="J511">
        <v>0</v>
      </c>
      <c r="K511">
        <v>0</v>
      </c>
      <c r="L511" t="s">
        <v>112</v>
      </c>
      <c r="M511" t="s">
        <v>111</v>
      </c>
      <c r="N511">
        <v>0</v>
      </c>
      <c r="O511">
        <v>0</v>
      </c>
      <c r="P511" t="s">
        <v>111</v>
      </c>
      <c r="Q511">
        <v>40</v>
      </c>
      <c r="R511">
        <v>0</v>
      </c>
      <c r="S511">
        <v>0</v>
      </c>
      <c r="T511">
        <v>5</v>
      </c>
      <c r="U511" s="1" t="s">
        <v>1856</v>
      </c>
      <c r="V511">
        <v>12.5</v>
      </c>
      <c r="W511">
        <v>0</v>
      </c>
      <c r="X511">
        <v>12.5</v>
      </c>
      <c r="Y511">
        <v>0</v>
      </c>
      <c r="Z511" t="s">
        <v>111</v>
      </c>
      <c r="AA511">
        <v>0</v>
      </c>
      <c r="AB511" t="s">
        <v>265</v>
      </c>
      <c r="AC511">
        <v>0</v>
      </c>
      <c r="AD511" t="s">
        <v>111</v>
      </c>
      <c r="AE511">
        <v>0</v>
      </c>
      <c r="AF511">
        <v>0</v>
      </c>
      <c r="AG511" t="s">
        <v>111</v>
      </c>
      <c r="AH511" t="s">
        <v>111</v>
      </c>
      <c r="AI511" t="s">
        <v>111</v>
      </c>
      <c r="AJ511" t="s">
        <v>111</v>
      </c>
      <c r="AK511" t="s">
        <v>111</v>
      </c>
      <c r="AL511" t="s">
        <v>111</v>
      </c>
      <c r="AM511">
        <v>0</v>
      </c>
      <c r="AN511">
        <v>0</v>
      </c>
      <c r="AO511">
        <v>0</v>
      </c>
      <c r="AP511" t="s">
        <v>111</v>
      </c>
      <c r="AQ511" t="s">
        <v>111</v>
      </c>
      <c r="AR511" t="s">
        <v>111</v>
      </c>
      <c r="AS511" t="s">
        <v>111</v>
      </c>
      <c r="AT511" t="s">
        <v>111</v>
      </c>
      <c r="AU511" t="s">
        <v>111</v>
      </c>
      <c r="AV511" t="s">
        <v>111</v>
      </c>
      <c r="AW511" t="s">
        <v>111</v>
      </c>
      <c r="AX511" t="s">
        <v>111</v>
      </c>
      <c r="AY511" t="s">
        <v>111</v>
      </c>
      <c r="AZ511" t="s">
        <v>111</v>
      </c>
      <c r="BA511" t="s">
        <v>111</v>
      </c>
      <c r="BB511" t="s">
        <v>111</v>
      </c>
      <c r="BC511" t="s">
        <v>111</v>
      </c>
      <c r="BD511" t="s">
        <v>111</v>
      </c>
      <c r="BE511" t="s">
        <v>111</v>
      </c>
      <c r="BF511" t="s">
        <v>111</v>
      </c>
      <c r="BG511" t="s">
        <v>111</v>
      </c>
      <c r="BH511" t="s">
        <v>111</v>
      </c>
      <c r="BI511" t="s">
        <v>111</v>
      </c>
      <c r="BJ511" t="s">
        <v>111</v>
      </c>
      <c r="BK511" t="s">
        <v>111</v>
      </c>
      <c r="BL511" t="s">
        <v>111</v>
      </c>
      <c r="BM511" t="s">
        <v>111</v>
      </c>
      <c r="BN511" t="s">
        <v>111</v>
      </c>
      <c r="BO511" t="s">
        <v>111</v>
      </c>
      <c r="BP511" t="s">
        <v>111</v>
      </c>
      <c r="BQ511" t="s">
        <v>111</v>
      </c>
      <c r="BR511" t="s">
        <v>111</v>
      </c>
      <c r="BS511" t="s">
        <v>111</v>
      </c>
      <c r="BT511" t="s">
        <v>111</v>
      </c>
      <c r="BU511" t="s">
        <v>111</v>
      </c>
      <c r="BV511" t="s">
        <v>111</v>
      </c>
      <c r="BW511" t="s">
        <v>111</v>
      </c>
      <c r="BX511" t="s">
        <v>111</v>
      </c>
      <c r="BY511" t="s">
        <v>111</v>
      </c>
      <c r="BZ511" t="s">
        <v>111</v>
      </c>
      <c r="CA511" t="s">
        <v>111</v>
      </c>
      <c r="CB511" t="s">
        <v>111</v>
      </c>
      <c r="CC511" t="s">
        <v>111</v>
      </c>
      <c r="CD511" t="s">
        <v>111</v>
      </c>
      <c r="CE511" t="s">
        <v>111</v>
      </c>
      <c r="CF511" t="s">
        <v>111</v>
      </c>
      <c r="CG511" t="s">
        <v>111</v>
      </c>
      <c r="CH511" t="s">
        <v>111</v>
      </c>
      <c r="CI511" t="s">
        <v>111</v>
      </c>
      <c r="CJ511" t="s">
        <v>111</v>
      </c>
      <c r="CK511" t="s">
        <v>111</v>
      </c>
      <c r="CL511" t="s">
        <v>111</v>
      </c>
      <c r="CM511" t="s">
        <v>111</v>
      </c>
      <c r="CN511" t="s">
        <v>111</v>
      </c>
      <c r="CO511" t="s">
        <v>111</v>
      </c>
      <c r="CP511" t="s">
        <v>111</v>
      </c>
      <c r="CQ511">
        <v>0</v>
      </c>
      <c r="CR511">
        <v>200</v>
      </c>
      <c r="CS511">
        <v>20</v>
      </c>
      <c r="CT511" t="s">
        <v>111</v>
      </c>
      <c r="CU511">
        <v>0</v>
      </c>
      <c r="CV511" t="s">
        <v>111</v>
      </c>
      <c r="CX511" t="s">
        <v>111</v>
      </c>
      <c r="CY511">
        <v>0</v>
      </c>
      <c r="CZ511" t="s">
        <v>111</v>
      </c>
      <c r="DA511" t="s">
        <v>111</v>
      </c>
      <c r="DB511" t="e">
        <f>-INTERNO</f>
        <v>#NAME?</v>
      </c>
      <c r="DC511" t="e">
        <f>-CORTE Y SELLE</f>
        <v>#NAME?</v>
      </c>
    </row>
    <row r="512" spans="1:107">
      <c r="A512">
        <v>2017</v>
      </c>
      <c r="B512" t="s">
        <v>107</v>
      </c>
      <c r="C512" t="s">
        <v>1156</v>
      </c>
      <c r="D512" t="s">
        <v>1857</v>
      </c>
      <c r="E512" t="s">
        <v>1858</v>
      </c>
      <c r="F512" t="s">
        <v>370</v>
      </c>
      <c r="G512" t="s">
        <v>469</v>
      </c>
      <c r="H512">
        <v>2.5</v>
      </c>
      <c r="I512">
        <v>44</v>
      </c>
      <c r="J512">
        <v>0</v>
      </c>
      <c r="K512">
        <v>0</v>
      </c>
      <c r="L512" t="s">
        <v>117</v>
      </c>
      <c r="M512" t="s">
        <v>118</v>
      </c>
      <c r="N512">
        <v>0</v>
      </c>
      <c r="O512">
        <v>1</v>
      </c>
      <c r="P512" t="s">
        <v>111</v>
      </c>
      <c r="Q512">
        <v>48</v>
      </c>
      <c r="R512">
        <v>0</v>
      </c>
      <c r="S512">
        <v>0</v>
      </c>
      <c r="T512">
        <v>5</v>
      </c>
      <c r="U512" s="1" t="s">
        <v>1859</v>
      </c>
      <c r="V512">
        <v>25</v>
      </c>
      <c r="W512">
        <v>0</v>
      </c>
      <c r="X512">
        <v>8</v>
      </c>
      <c r="Y512">
        <v>0</v>
      </c>
      <c r="Z512" t="s">
        <v>288</v>
      </c>
      <c r="AA512">
        <v>1.5</v>
      </c>
      <c r="AB512" t="s">
        <v>1346</v>
      </c>
      <c r="AC512">
        <v>0.7</v>
      </c>
      <c r="AD512" t="s">
        <v>416</v>
      </c>
      <c r="AE512">
        <v>0</v>
      </c>
      <c r="AF512">
        <v>0</v>
      </c>
      <c r="AG512" t="s">
        <v>111</v>
      </c>
      <c r="AH512" t="s">
        <v>111</v>
      </c>
      <c r="AI512" t="s">
        <v>111</v>
      </c>
      <c r="AJ512" t="s">
        <v>111</v>
      </c>
      <c r="AK512" t="s">
        <v>111</v>
      </c>
      <c r="AL512" t="s">
        <v>111</v>
      </c>
      <c r="AM512">
        <v>0</v>
      </c>
      <c r="AN512">
        <v>0</v>
      </c>
      <c r="AO512">
        <v>0</v>
      </c>
      <c r="AP512" t="s">
        <v>111</v>
      </c>
      <c r="AQ512" t="s">
        <v>111</v>
      </c>
      <c r="AR512" t="s">
        <v>111</v>
      </c>
      <c r="AS512" t="s">
        <v>111</v>
      </c>
      <c r="AT512" t="s">
        <v>111</v>
      </c>
      <c r="AU512" t="s">
        <v>111</v>
      </c>
      <c r="AV512" t="s">
        <v>111</v>
      </c>
      <c r="AW512" t="s">
        <v>111</v>
      </c>
      <c r="AX512" t="s">
        <v>111</v>
      </c>
      <c r="AY512" t="s">
        <v>111</v>
      </c>
      <c r="AZ512" t="s">
        <v>111</v>
      </c>
      <c r="BA512" t="s">
        <v>111</v>
      </c>
      <c r="BB512" t="s">
        <v>111</v>
      </c>
      <c r="BC512" t="s">
        <v>111</v>
      </c>
      <c r="BD512" t="s">
        <v>111</v>
      </c>
      <c r="BE512" t="s">
        <v>111</v>
      </c>
      <c r="BF512" t="s">
        <v>111</v>
      </c>
      <c r="BG512" t="s">
        <v>111</v>
      </c>
      <c r="BH512" t="s">
        <v>111</v>
      </c>
      <c r="BI512" t="s">
        <v>111</v>
      </c>
      <c r="BJ512" t="s">
        <v>111</v>
      </c>
      <c r="BK512" t="s">
        <v>111</v>
      </c>
      <c r="BL512" t="s">
        <v>111</v>
      </c>
      <c r="BM512" t="s">
        <v>111</v>
      </c>
      <c r="BN512" t="s">
        <v>111</v>
      </c>
      <c r="BO512" t="s">
        <v>111</v>
      </c>
      <c r="BP512" t="s">
        <v>111</v>
      </c>
      <c r="BQ512" t="s">
        <v>111</v>
      </c>
      <c r="BR512" t="s">
        <v>111</v>
      </c>
      <c r="BS512" t="s">
        <v>111</v>
      </c>
      <c r="BT512" t="s">
        <v>111</v>
      </c>
      <c r="BU512" t="s">
        <v>111</v>
      </c>
      <c r="BV512" t="s">
        <v>111</v>
      </c>
      <c r="BW512" t="s">
        <v>111</v>
      </c>
      <c r="BX512" t="s">
        <v>111</v>
      </c>
      <c r="BY512" t="s">
        <v>111</v>
      </c>
      <c r="BZ512" t="s">
        <v>111</v>
      </c>
      <c r="CA512" t="s">
        <v>111</v>
      </c>
      <c r="CB512" t="s">
        <v>111</v>
      </c>
      <c r="CC512" t="s">
        <v>111</v>
      </c>
      <c r="CD512" t="s">
        <v>111</v>
      </c>
      <c r="CE512" t="s">
        <v>111</v>
      </c>
      <c r="CF512" t="s">
        <v>111</v>
      </c>
      <c r="CG512" t="s">
        <v>111</v>
      </c>
      <c r="CH512" t="s">
        <v>111</v>
      </c>
      <c r="CI512" t="s">
        <v>111</v>
      </c>
      <c r="CJ512" t="s">
        <v>111</v>
      </c>
      <c r="CK512" t="s">
        <v>111</v>
      </c>
      <c r="CL512" t="s">
        <v>111</v>
      </c>
      <c r="CM512" t="s">
        <v>438</v>
      </c>
      <c r="CN512" t="s">
        <v>113</v>
      </c>
      <c r="CO512" t="s">
        <v>111</v>
      </c>
      <c r="CP512" t="s">
        <v>111</v>
      </c>
      <c r="CQ512">
        <v>0</v>
      </c>
      <c r="CR512">
        <v>2000</v>
      </c>
      <c r="CS512">
        <v>100</v>
      </c>
      <c r="CT512" s="1" t="s">
        <v>1860</v>
      </c>
      <c r="CU512">
        <v>0</v>
      </c>
      <c r="CV512" t="s">
        <v>111</v>
      </c>
      <c r="CX512" t="s">
        <v>111</v>
      </c>
      <c r="CY512">
        <v>0</v>
      </c>
      <c r="CZ512" t="s">
        <v>111</v>
      </c>
      <c r="DA512" t="s">
        <v>111</v>
      </c>
      <c r="DB512" t="e">
        <f>- INTERNO</f>
        <v>#NAME?</v>
      </c>
      <c r="DC512" t="e">
        <f>-TROQUEL RIÑON</f>
        <v>#NAME?</v>
      </c>
    </row>
    <row r="513" spans="1:107">
      <c r="A513">
        <v>1741</v>
      </c>
      <c r="B513" t="s">
        <v>107</v>
      </c>
      <c r="C513" t="s">
        <v>1367</v>
      </c>
      <c r="D513" t="s">
        <v>863</v>
      </c>
      <c r="E513" t="s">
        <v>864</v>
      </c>
      <c r="F513" t="s">
        <v>370</v>
      </c>
      <c r="G513" t="s">
        <v>469</v>
      </c>
      <c r="H513">
        <v>1.5</v>
      </c>
      <c r="I513">
        <v>47</v>
      </c>
      <c r="J513">
        <v>0</v>
      </c>
      <c r="K513">
        <v>0</v>
      </c>
      <c r="L513" t="s">
        <v>112</v>
      </c>
      <c r="M513" t="s">
        <v>118</v>
      </c>
      <c r="N513">
        <v>39</v>
      </c>
      <c r="O513">
        <v>2</v>
      </c>
      <c r="P513" t="s">
        <v>111</v>
      </c>
      <c r="Q513">
        <v>49.2</v>
      </c>
      <c r="R513">
        <v>0</v>
      </c>
      <c r="S513">
        <v>0</v>
      </c>
      <c r="T513">
        <v>5</v>
      </c>
      <c r="U513" s="1" t="s">
        <v>1861</v>
      </c>
      <c r="V513">
        <v>25</v>
      </c>
      <c r="W513">
        <v>0</v>
      </c>
      <c r="X513">
        <v>8</v>
      </c>
      <c r="Y513">
        <v>0</v>
      </c>
      <c r="Z513" t="s">
        <v>288</v>
      </c>
      <c r="AA513">
        <v>1.5</v>
      </c>
      <c r="AB513" t="s">
        <v>111</v>
      </c>
      <c r="AC513">
        <v>0</v>
      </c>
      <c r="AD513" t="s">
        <v>416</v>
      </c>
      <c r="AE513">
        <v>0</v>
      </c>
      <c r="AF513">
        <v>0</v>
      </c>
      <c r="AG513" t="s">
        <v>111</v>
      </c>
      <c r="AH513" t="s">
        <v>128</v>
      </c>
      <c r="AI513" t="s">
        <v>111</v>
      </c>
      <c r="AJ513" t="s">
        <v>111</v>
      </c>
      <c r="AK513" t="s">
        <v>111</v>
      </c>
      <c r="AL513" t="s">
        <v>111</v>
      </c>
      <c r="AM513">
        <v>0</v>
      </c>
      <c r="AN513">
        <v>0</v>
      </c>
      <c r="AO513">
        <v>0</v>
      </c>
      <c r="AP513" t="s">
        <v>111</v>
      </c>
      <c r="AQ513" t="s">
        <v>111</v>
      </c>
      <c r="AR513" t="s">
        <v>111</v>
      </c>
      <c r="AS513" t="s">
        <v>111</v>
      </c>
      <c r="AT513" t="s">
        <v>111</v>
      </c>
      <c r="AU513" t="s">
        <v>111</v>
      </c>
      <c r="AV513" t="s">
        <v>111</v>
      </c>
      <c r="AW513" t="s">
        <v>111</v>
      </c>
      <c r="AX513" t="s">
        <v>111</v>
      </c>
      <c r="AY513" t="s">
        <v>111</v>
      </c>
      <c r="AZ513" t="s">
        <v>111</v>
      </c>
      <c r="BA513" t="s">
        <v>111</v>
      </c>
      <c r="BB513" t="s">
        <v>111</v>
      </c>
      <c r="BC513" t="s">
        <v>111</v>
      </c>
      <c r="BD513" t="s">
        <v>111</v>
      </c>
      <c r="BE513" t="s">
        <v>111</v>
      </c>
      <c r="BF513" t="s">
        <v>111</v>
      </c>
      <c r="BG513" t="s">
        <v>111</v>
      </c>
      <c r="BH513" t="s">
        <v>111</v>
      </c>
      <c r="BI513" t="s">
        <v>111</v>
      </c>
      <c r="BJ513" t="s">
        <v>111</v>
      </c>
      <c r="BK513" t="s">
        <v>111</v>
      </c>
      <c r="BL513" t="s">
        <v>111</v>
      </c>
      <c r="BM513" t="s">
        <v>111</v>
      </c>
      <c r="BN513" t="s">
        <v>111</v>
      </c>
      <c r="BO513" t="s">
        <v>111</v>
      </c>
      <c r="BP513" t="s">
        <v>111</v>
      </c>
      <c r="BQ513" t="s">
        <v>111</v>
      </c>
      <c r="BR513" t="s">
        <v>111</v>
      </c>
      <c r="BS513" t="s">
        <v>111</v>
      </c>
      <c r="BT513" t="s">
        <v>111</v>
      </c>
      <c r="BU513" t="s">
        <v>111</v>
      </c>
      <c r="BV513" t="s">
        <v>111</v>
      </c>
      <c r="BW513" t="s">
        <v>111</v>
      </c>
      <c r="BX513" t="s">
        <v>111</v>
      </c>
      <c r="BY513" t="s">
        <v>111</v>
      </c>
      <c r="BZ513" t="s">
        <v>111</v>
      </c>
      <c r="CA513" t="s">
        <v>111</v>
      </c>
      <c r="CB513" t="s">
        <v>111</v>
      </c>
      <c r="CC513" t="s">
        <v>111</v>
      </c>
      <c r="CD513" t="s">
        <v>111</v>
      </c>
      <c r="CE513" t="s">
        <v>111</v>
      </c>
      <c r="CF513" t="s">
        <v>111</v>
      </c>
      <c r="CG513" t="s">
        <v>111</v>
      </c>
      <c r="CH513" t="s">
        <v>111</v>
      </c>
      <c r="CI513" t="s">
        <v>111</v>
      </c>
      <c r="CJ513" t="s">
        <v>111</v>
      </c>
      <c r="CK513" t="s">
        <v>111</v>
      </c>
      <c r="CL513" t="s">
        <v>111</v>
      </c>
      <c r="CM513" t="s">
        <v>360</v>
      </c>
      <c r="CN513" t="s">
        <v>113</v>
      </c>
      <c r="CO513" t="s">
        <v>367</v>
      </c>
      <c r="CP513" t="s">
        <v>433</v>
      </c>
      <c r="CQ513">
        <v>0</v>
      </c>
      <c r="CR513">
        <v>2000</v>
      </c>
      <c r="CS513">
        <v>50</v>
      </c>
      <c r="CT513" s="1" t="s">
        <v>1862</v>
      </c>
      <c r="CU513">
        <v>0</v>
      </c>
      <c r="CV513" t="s">
        <v>111</v>
      </c>
      <c r="CX513" t="s">
        <v>111</v>
      </c>
      <c r="CY513">
        <v>0</v>
      </c>
      <c r="CZ513" t="s">
        <v>111</v>
      </c>
      <c r="DA513" t="s">
        <v>111</v>
      </c>
      <c r="DB513" t="s">
        <v>204</v>
      </c>
      <c r="DC513" t="e">
        <f>-TROQUEL RIÑON</f>
        <v>#NAME?</v>
      </c>
    </row>
    <row r="514" spans="1:107">
      <c r="A514">
        <v>2023</v>
      </c>
      <c r="B514" t="s">
        <v>376</v>
      </c>
      <c r="C514" t="s">
        <v>428</v>
      </c>
      <c r="D514" t="s">
        <v>1863</v>
      </c>
      <c r="E514" t="s">
        <v>1864</v>
      </c>
      <c r="F514" t="s">
        <v>431</v>
      </c>
      <c r="G514" t="s">
        <v>469</v>
      </c>
      <c r="H514">
        <v>2.5</v>
      </c>
      <c r="I514">
        <v>21.5</v>
      </c>
      <c r="J514">
        <v>3</v>
      </c>
      <c r="K514">
        <v>0</v>
      </c>
      <c r="L514" t="s">
        <v>178</v>
      </c>
      <c r="M514" t="s">
        <v>118</v>
      </c>
      <c r="N514">
        <v>0</v>
      </c>
      <c r="O514">
        <v>1</v>
      </c>
      <c r="P514" t="s">
        <v>111</v>
      </c>
      <c r="Q514">
        <v>40.5</v>
      </c>
      <c r="R514">
        <v>0</v>
      </c>
      <c r="S514">
        <v>0</v>
      </c>
      <c r="T514">
        <v>5</v>
      </c>
      <c r="U514" s="1" t="s">
        <v>1865</v>
      </c>
      <c r="V514">
        <v>0</v>
      </c>
      <c r="W514">
        <v>25</v>
      </c>
      <c r="X514">
        <v>8</v>
      </c>
      <c r="Y514">
        <v>0</v>
      </c>
      <c r="Z514" t="s">
        <v>111</v>
      </c>
      <c r="AA514">
        <v>0</v>
      </c>
      <c r="AB514" t="s">
        <v>111</v>
      </c>
      <c r="AC514">
        <v>0</v>
      </c>
      <c r="AD514" t="s">
        <v>416</v>
      </c>
      <c r="AE514">
        <v>0</v>
      </c>
      <c r="AF514">
        <v>0</v>
      </c>
      <c r="AG514" t="s">
        <v>111</v>
      </c>
      <c r="AH514" t="s">
        <v>111</v>
      </c>
      <c r="AI514" t="s">
        <v>111</v>
      </c>
      <c r="AJ514" t="s">
        <v>111</v>
      </c>
      <c r="AK514" t="s">
        <v>111</v>
      </c>
      <c r="AL514" t="s">
        <v>111</v>
      </c>
      <c r="AM514">
        <v>0</v>
      </c>
      <c r="AN514">
        <v>0</v>
      </c>
      <c r="AO514">
        <v>0</v>
      </c>
      <c r="AP514" t="s">
        <v>111</v>
      </c>
      <c r="AQ514" t="s">
        <v>111</v>
      </c>
      <c r="AR514" t="s">
        <v>111</v>
      </c>
      <c r="AS514" t="s">
        <v>111</v>
      </c>
      <c r="AT514" t="s">
        <v>111</v>
      </c>
      <c r="AU514" t="s">
        <v>111</v>
      </c>
      <c r="AV514" t="s">
        <v>111</v>
      </c>
      <c r="AW514" t="s">
        <v>111</v>
      </c>
      <c r="AX514" t="s">
        <v>111</v>
      </c>
      <c r="AY514" t="s">
        <v>111</v>
      </c>
      <c r="AZ514" t="s">
        <v>111</v>
      </c>
      <c r="BA514" t="s">
        <v>111</v>
      </c>
      <c r="BB514" t="s">
        <v>111</v>
      </c>
      <c r="BC514" t="s">
        <v>111</v>
      </c>
      <c r="BD514" t="s">
        <v>111</v>
      </c>
      <c r="BE514" t="s">
        <v>111</v>
      </c>
      <c r="BF514" t="s">
        <v>111</v>
      </c>
      <c r="BG514" t="s">
        <v>111</v>
      </c>
      <c r="BH514" t="s">
        <v>111</v>
      </c>
      <c r="BI514" t="s">
        <v>111</v>
      </c>
      <c r="BJ514" t="s">
        <v>111</v>
      </c>
      <c r="BK514" t="s">
        <v>111</v>
      </c>
      <c r="BL514" t="s">
        <v>111</v>
      </c>
      <c r="BM514" t="s">
        <v>111</v>
      </c>
      <c r="BN514" t="s">
        <v>111</v>
      </c>
      <c r="BO514" t="s">
        <v>111</v>
      </c>
      <c r="BP514" t="s">
        <v>111</v>
      </c>
      <c r="BQ514" t="s">
        <v>111</v>
      </c>
      <c r="BR514" t="s">
        <v>111</v>
      </c>
      <c r="BS514" t="s">
        <v>111</v>
      </c>
      <c r="BT514" t="s">
        <v>111</v>
      </c>
      <c r="BU514" t="s">
        <v>111</v>
      </c>
      <c r="BV514" t="s">
        <v>111</v>
      </c>
      <c r="BW514" t="s">
        <v>111</v>
      </c>
      <c r="BX514" t="s">
        <v>111</v>
      </c>
      <c r="BY514" t="s">
        <v>111</v>
      </c>
      <c r="BZ514" t="s">
        <v>111</v>
      </c>
      <c r="CA514" t="s">
        <v>111</v>
      </c>
      <c r="CB514" t="s">
        <v>111</v>
      </c>
      <c r="CC514" t="s">
        <v>111</v>
      </c>
      <c r="CD514" t="s">
        <v>111</v>
      </c>
      <c r="CE514" t="s">
        <v>111</v>
      </c>
      <c r="CF514" t="s">
        <v>111</v>
      </c>
      <c r="CG514" t="s">
        <v>111</v>
      </c>
      <c r="CH514" t="s">
        <v>111</v>
      </c>
      <c r="CI514" t="s">
        <v>111</v>
      </c>
      <c r="CJ514" t="s">
        <v>111</v>
      </c>
      <c r="CK514" t="s">
        <v>111</v>
      </c>
      <c r="CL514" t="s">
        <v>111</v>
      </c>
      <c r="CM514" t="s">
        <v>135</v>
      </c>
      <c r="CN514" t="s">
        <v>113</v>
      </c>
      <c r="CO514" t="s">
        <v>367</v>
      </c>
      <c r="CP514" t="s">
        <v>111</v>
      </c>
      <c r="CQ514">
        <v>0</v>
      </c>
      <c r="CR514">
        <v>3000</v>
      </c>
      <c r="CS514">
        <v>50</v>
      </c>
      <c r="CT514" s="1" t="s">
        <v>1866</v>
      </c>
      <c r="CU514">
        <v>0</v>
      </c>
      <c r="CV514" t="s">
        <v>111</v>
      </c>
      <c r="CX514" t="s">
        <v>111</v>
      </c>
      <c r="CY514">
        <v>0</v>
      </c>
      <c r="CZ514" t="s">
        <v>111</v>
      </c>
      <c r="DA514" t="s">
        <v>111</v>
      </c>
      <c r="DB514" t="e">
        <f>-EXTERNO PEGADA DE GANCHO</f>
        <v>#NAME?</v>
      </c>
      <c r="DC514" t="s">
        <v>111</v>
      </c>
    </row>
    <row r="515" spans="1:107">
      <c r="A515">
        <v>1740</v>
      </c>
      <c r="B515" t="s">
        <v>107</v>
      </c>
      <c r="C515" t="s">
        <v>1367</v>
      </c>
      <c r="D515" t="s">
        <v>818</v>
      </c>
      <c r="E515" t="s">
        <v>819</v>
      </c>
      <c r="F515" t="s">
        <v>370</v>
      </c>
      <c r="G515" t="s">
        <v>469</v>
      </c>
      <c r="H515">
        <v>1.5</v>
      </c>
      <c r="I515">
        <v>57</v>
      </c>
      <c r="J515">
        <v>0</v>
      </c>
      <c r="K515">
        <v>0</v>
      </c>
      <c r="L515" t="s">
        <v>112</v>
      </c>
      <c r="M515" t="s">
        <v>118</v>
      </c>
      <c r="N515">
        <v>39</v>
      </c>
      <c r="O515">
        <v>2</v>
      </c>
      <c r="P515" t="s">
        <v>111</v>
      </c>
      <c r="Q515">
        <v>43.7</v>
      </c>
      <c r="R515">
        <v>0</v>
      </c>
      <c r="S515">
        <v>0</v>
      </c>
      <c r="T515">
        <v>5</v>
      </c>
      <c r="U515" s="1" t="s">
        <v>1867</v>
      </c>
      <c r="V515">
        <v>25</v>
      </c>
      <c r="W515">
        <v>0</v>
      </c>
      <c r="X515">
        <v>8</v>
      </c>
      <c r="Y515">
        <v>0</v>
      </c>
      <c r="Z515" t="s">
        <v>288</v>
      </c>
      <c r="AA515">
        <v>1.5</v>
      </c>
      <c r="AB515" t="s">
        <v>111</v>
      </c>
      <c r="AC515">
        <v>0</v>
      </c>
      <c r="AD515" t="s">
        <v>416</v>
      </c>
      <c r="AE515">
        <v>0</v>
      </c>
      <c r="AF515">
        <v>0</v>
      </c>
      <c r="AG515" t="s">
        <v>111</v>
      </c>
      <c r="AH515" t="s">
        <v>113</v>
      </c>
      <c r="AI515" t="s">
        <v>111</v>
      </c>
      <c r="AJ515" t="s">
        <v>111</v>
      </c>
      <c r="AK515" t="s">
        <v>111</v>
      </c>
      <c r="AL515" t="s">
        <v>111</v>
      </c>
      <c r="AM515">
        <v>0</v>
      </c>
      <c r="AN515">
        <v>0</v>
      </c>
      <c r="AO515">
        <v>0</v>
      </c>
      <c r="AP515" t="s">
        <v>111</v>
      </c>
      <c r="AQ515" t="s">
        <v>111</v>
      </c>
      <c r="AR515" t="s">
        <v>111</v>
      </c>
      <c r="AS515" t="s">
        <v>111</v>
      </c>
      <c r="AT515" t="s">
        <v>111</v>
      </c>
      <c r="AU515" t="s">
        <v>111</v>
      </c>
      <c r="AV515" t="s">
        <v>111</v>
      </c>
      <c r="AW515" t="s">
        <v>111</v>
      </c>
      <c r="AX515" t="s">
        <v>111</v>
      </c>
      <c r="AY515" t="s">
        <v>111</v>
      </c>
      <c r="AZ515" t="s">
        <v>111</v>
      </c>
      <c r="BA515" t="s">
        <v>111</v>
      </c>
      <c r="BB515" t="s">
        <v>111</v>
      </c>
      <c r="BC515" t="s">
        <v>111</v>
      </c>
      <c r="BD515" t="s">
        <v>111</v>
      </c>
      <c r="BE515" t="s">
        <v>111</v>
      </c>
      <c r="BF515" t="s">
        <v>111</v>
      </c>
      <c r="BG515" t="s">
        <v>111</v>
      </c>
      <c r="BH515" t="s">
        <v>111</v>
      </c>
      <c r="BI515" t="s">
        <v>111</v>
      </c>
      <c r="BJ515" t="s">
        <v>111</v>
      </c>
      <c r="BK515" t="s">
        <v>111</v>
      </c>
      <c r="BL515" t="s">
        <v>111</v>
      </c>
      <c r="BM515" t="s">
        <v>111</v>
      </c>
      <c r="BN515" t="s">
        <v>111</v>
      </c>
      <c r="BO515" t="s">
        <v>111</v>
      </c>
      <c r="BP515" t="s">
        <v>111</v>
      </c>
      <c r="BQ515" t="s">
        <v>111</v>
      </c>
      <c r="BR515" t="s">
        <v>111</v>
      </c>
      <c r="BS515" t="s">
        <v>111</v>
      </c>
      <c r="BT515" t="s">
        <v>111</v>
      </c>
      <c r="BU515" t="s">
        <v>111</v>
      </c>
      <c r="BV515" t="s">
        <v>111</v>
      </c>
      <c r="BW515" t="s">
        <v>111</v>
      </c>
      <c r="BX515" t="s">
        <v>111</v>
      </c>
      <c r="BY515" t="s">
        <v>111</v>
      </c>
      <c r="BZ515" t="s">
        <v>111</v>
      </c>
      <c r="CA515" t="s">
        <v>111</v>
      </c>
      <c r="CB515" t="s">
        <v>111</v>
      </c>
      <c r="CC515" t="s">
        <v>111</v>
      </c>
      <c r="CD515" t="s">
        <v>111</v>
      </c>
      <c r="CE515" t="s">
        <v>111</v>
      </c>
      <c r="CF515" t="s">
        <v>111</v>
      </c>
      <c r="CG515" t="s">
        <v>111</v>
      </c>
      <c r="CH515" t="s">
        <v>111</v>
      </c>
      <c r="CI515" t="s">
        <v>111</v>
      </c>
      <c r="CJ515" t="s">
        <v>111</v>
      </c>
      <c r="CK515" t="s">
        <v>111</v>
      </c>
      <c r="CL515" t="s">
        <v>111</v>
      </c>
      <c r="CM515" t="s">
        <v>360</v>
      </c>
      <c r="CN515" t="s">
        <v>113</v>
      </c>
      <c r="CO515" t="s">
        <v>367</v>
      </c>
      <c r="CP515" t="s">
        <v>433</v>
      </c>
      <c r="CQ515">
        <v>0</v>
      </c>
      <c r="CR515">
        <v>2000</v>
      </c>
      <c r="CS515">
        <v>50</v>
      </c>
      <c r="CT515" s="1" t="s">
        <v>1862</v>
      </c>
      <c r="CU515">
        <v>0</v>
      </c>
      <c r="CV515" t="s">
        <v>111</v>
      </c>
      <c r="CX515" t="s">
        <v>111</v>
      </c>
      <c r="CY515">
        <v>0</v>
      </c>
      <c r="CZ515" t="s">
        <v>111</v>
      </c>
      <c r="DA515" t="s">
        <v>111</v>
      </c>
      <c r="DB515" t="s">
        <v>204</v>
      </c>
      <c r="DC515" t="s">
        <v>1868</v>
      </c>
    </row>
    <row r="516" spans="1:107">
      <c r="A516">
        <v>78</v>
      </c>
      <c r="B516" t="s">
        <v>162</v>
      </c>
      <c r="C516" t="s">
        <v>831</v>
      </c>
      <c r="D516" t="s">
        <v>1869</v>
      </c>
      <c r="E516" t="s">
        <v>1870</v>
      </c>
      <c r="F516" t="s">
        <v>125</v>
      </c>
      <c r="G516" t="s">
        <v>469</v>
      </c>
      <c r="H516">
        <v>1.5</v>
      </c>
      <c r="I516">
        <v>28</v>
      </c>
      <c r="J516">
        <v>6.5</v>
      </c>
      <c r="K516">
        <v>6.5</v>
      </c>
      <c r="L516" t="s">
        <v>112</v>
      </c>
      <c r="M516" t="s">
        <v>118</v>
      </c>
      <c r="N516">
        <v>0</v>
      </c>
      <c r="O516">
        <v>2</v>
      </c>
      <c r="P516" t="s">
        <v>138</v>
      </c>
      <c r="Q516">
        <v>33.299999999999997</v>
      </c>
      <c r="R516">
        <v>0</v>
      </c>
      <c r="S516">
        <v>0</v>
      </c>
      <c r="T516">
        <v>10</v>
      </c>
      <c r="U516" s="1" t="s">
        <v>1871</v>
      </c>
      <c r="V516">
        <v>250</v>
      </c>
      <c r="W516">
        <v>25</v>
      </c>
      <c r="X516">
        <v>8</v>
      </c>
      <c r="Y516">
        <v>0</v>
      </c>
      <c r="Z516" t="s">
        <v>111</v>
      </c>
      <c r="AA516">
        <v>0</v>
      </c>
      <c r="AB516" t="s">
        <v>111</v>
      </c>
      <c r="AC516">
        <v>0</v>
      </c>
      <c r="AD516" t="s">
        <v>111</v>
      </c>
      <c r="AE516">
        <v>0</v>
      </c>
      <c r="AF516">
        <v>0</v>
      </c>
      <c r="AG516" t="s">
        <v>111</v>
      </c>
      <c r="AH516" t="s">
        <v>111</v>
      </c>
      <c r="AI516" t="s">
        <v>111</v>
      </c>
      <c r="AJ516" t="s">
        <v>111</v>
      </c>
      <c r="AK516" t="s">
        <v>111</v>
      </c>
      <c r="AL516" t="s">
        <v>111</v>
      </c>
      <c r="AM516">
        <v>0</v>
      </c>
      <c r="AN516">
        <v>0</v>
      </c>
      <c r="AO516">
        <v>0</v>
      </c>
      <c r="AP516" t="s">
        <v>111</v>
      </c>
      <c r="AQ516" t="s">
        <v>111</v>
      </c>
      <c r="AR516" t="s">
        <v>111</v>
      </c>
      <c r="AS516" t="s">
        <v>111</v>
      </c>
      <c r="AT516" t="s">
        <v>111</v>
      </c>
      <c r="AU516" t="s">
        <v>111</v>
      </c>
      <c r="AV516" t="s">
        <v>111</v>
      </c>
      <c r="AW516" t="s">
        <v>111</v>
      </c>
      <c r="AX516" t="s">
        <v>111</v>
      </c>
      <c r="AY516" t="s">
        <v>111</v>
      </c>
      <c r="AZ516" t="s">
        <v>111</v>
      </c>
      <c r="BA516" t="s">
        <v>111</v>
      </c>
      <c r="BB516" t="s">
        <v>111</v>
      </c>
      <c r="BC516" t="s">
        <v>111</v>
      </c>
      <c r="BD516" t="s">
        <v>111</v>
      </c>
      <c r="BE516" t="s">
        <v>111</v>
      </c>
      <c r="BF516" t="s">
        <v>111</v>
      </c>
      <c r="BG516" t="s">
        <v>111</v>
      </c>
      <c r="BH516" t="s">
        <v>111</v>
      </c>
      <c r="BI516" t="s">
        <v>111</v>
      </c>
      <c r="BJ516" t="s">
        <v>111</v>
      </c>
      <c r="BK516" t="s">
        <v>111</v>
      </c>
      <c r="BL516" t="s">
        <v>111</v>
      </c>
      <c r="BM516" t="s">
        <v>111</v>
      </c>
      <c r="BN516" t="s">
        <v>111</v>
      </c>
      <c r="BO516" t="s">
        <v>111</v>
      </c>
      <c r="BP516" t="s">
        <v>111</v>
      </c>
      <c r="BQ516" t="s">
        <v>111</v>
      </c>
      <c r="BR516" t="s">
        <v>111</v>
      </c>
      <c r="BS516" t="s">
        <v>111</v>
      </c>
      <c r="BT516" t="s">
        <v>111</v>
      </c>
      <c r="BU516" t="s">
        <v>111</v>
      </c>
      <c r="BV516" t="s">
        <v>111</v>
      </c>
      <c r="BW516" t="s">
        <v>111</v>
      </c>
      <c r="BX516" t="s">
        <v>111</v>
      </c>
      <c r="BY516" t="s">
        <v>111</v>
      </c>
      <c r="BZ516" t="s">
        <v>111</v>
      </c>
      <c r="CA516" t="s">
        <v>111</v>
      </c>
      <c r="CB516" t="s">
        <v>111</v>
      </c>
      <c r="CC516" t="s">
        <v>111</v>
      </c>
      <c r="CD516" t="s">
        <v>111</v>
      </c>
      <c r="CE516" t="s">
        <v>111</v>
      </c>
      <c r="CF516" t="s">
        <v>111</v>
      </c>
      <c r="CG516" t="s">
        <v>111</v>
      </c>
      <c r="CH516" t="s">
        <v>111</v>
      </c>
      <c r="CI516" t="s">
        <v>111</v>
      </c>
      <c r="CJ516" t="s">
        <v>111</v>
      </c>
      <c r="CK516" t="s">
        <v>111</v>
      </c>
      <c r="CL516" t="s">
        <v>111</v>
      </c>
      <c r="CM516" t="s">
        <v>198</v>
      </c>
      <c r="CN516" t="s">
        <v>128</v>
      </c>
      <c r="CO516" t="s">
        <v>222</v>
      </c>
      <c r="CP516" t="s">
        <v>111</v>
      </c>
      <c r="CQ516">
        <v>34</v>
      </c>
      <c r="CR516">
        <v>500</v>
      </c>
      <c r="CS516">
        <v>50</v>
      </c>
      <c r="CT516" s="1" t="s">
        <v>1872</v>
      </c>
      <c r="CU516">
        <v>0</v>
      </c>
      <c r="CV516" t="s">
        <v>111</v>
      </c>
      <c r="CW516" t="s">
        <v>111</v>
      </c>
      <c r="CX516" t="s">
        <v>111</v>
      </c>
      <c r="CY516">
        <v>0</v>
      </c>
      <c r="CZ516" t="s">
        <v>111</v>
      </c>
      <c r="DA516" t="s">
        <v>111</v>
      </c>
      <c r="DB516" t="s">
        <v>111</v>
      </c>
      <c r="DC516" t="s">
        <v>111</v>
      </c>
    </row>
    <row r="517" spans="1:107">
      <c r="A517">
        <v>1812</v>
      </c>
      <c r="B517" t="s">
        <v>107</v>
      </c>
      <c r="C517" t="s">
        <v>412</v>
      </c>
      <c r="D517" t="s">
        <v>1833</v>
      </c>
      <c r="E517" t="s">
        <v>1873</v>
      </c>
      <c r="F517" t="s">
        <v>431</v>
      </c>
      <c r="G517" t="s">
        <v>469</v>
      </c>
      <c r="H517">
        <v>1.4</v>
      </c>
      <c r="I517">
        <v>51</v>
      </c>
      <c r="J517">
        <v>0</v>
      </c>
      <c r="K517">
        <v>0</v>
      </c>
      <c r="L517" t="s">
        <v>117</v>
      </c>
      <c r="M517" t="s">
        <v>118</v>
      </c>
      <c r="N517">
        <v>39</v>
      </c>
      <c r="O517">
        <v>1</v>
      </c>
      <c r="P517" t="s">
        <v>111</v>
      </c>
      <c r="Q517">
        <v>49.4</v>
      </c>
      <c r="R517">
        <v>0</v>
      </c>
      <c r="S517">
        <v>0</v>
      </c>
      <c r="T517">
        <v>5</v>
      </c>
      <c r="U517" s="1" t="s">
        <v>1874</v>
      </c>
      <c r="V517">
        <v>0</v>
      </c>
      <c r="W517">
        <v>250</v>
      </c>
      <c r="X517">
        <v>8</v>
      </c>
      <c r="Y517">
        <v>0</v>
      </c>
      <c r="Z517" t="s">
        <v>111</v>
      </c>
      <c r="AA517">
        <v>0</v>
      </c>
      <c r="AB517" t="s">
        <v>1875</v>
      </c>
      <c r="AC517">
        <v>83</v>
      </c>
      <c r="AD517" t="s">
        <v>416</v>
      </c>
      <c r="AE517">
        <v>0</v>
      </c>
      <c r="AF517">
        <v>0</v>
      </c>
      <c r="AG517" t="s">
        <v>111</v>
      </c>
      <c r="AH517" t="s">
        <v>128</v>
      </c>
      <c r="AI517" t="s">
        <v>111</v>
      </c>
      <c r="AJ517" t="s">
        <v>111</v>
      </c>
      <c r="AK517" t="s">
        <v>111</v>
      </c>
      <c r="AL517" t="s">
        <v>111</v>
      </c>
      <c r="AM517">
        <v>0</v>
      </c>
      <c r="AN517">
        <v>0</v>
      </c>
      <c r="AO517">
        <v>0</v>
      </c>
      <c r="AP517" t="s">
        <v>111</v>
      </c>
      <c r="AQ517" t="s">
        <v>111</v>
      </c>
      <c r="AR517" t="s">
        <v>111</v>
      </c>
      <c r="AS517" t="s">
        <v>111</v>
      </c>
      <c r="AT517" t="s">
        <v>111</v>
      </c>
      <c r="AU517" t="s">
        <v>111</v>
      </c>
      <c r="AV517" t="s">
        <v>111</v>
      </c>
      <c r="AW517" t="s">
        <v>111</v>
      </c>
      <c r="AX517" t="s">
        <v>111</v>
      </c>
      <c r="AY517" t="s">
        <v>111</v>
      </c>
      <c r="AZ517" t="s">
        <v>111</v>
      </c>
      <c r="BA517" t="s">
        <v>111</v>
      </c>
      <c r="BB517" t="s">
        <v>111</v>
      </c>
      <c r="BC517" t="s">
        <v>111</v>
      </c>
      <c r="BD517" t="s">
        <v>111</v>
      </c>
      <c r="BE517" t="s">
        <v>111</v>
      </c>
      <c r="BF517" t="s">
        <v>111</v>
      </c>
      <c r="BG517" t="s">
        <v>111</v>
      </c>
      <c r="BH517" t="s">
        <v>111</v>
      </c>
      <c r="BI517" t="s">
        <v>111</v>
      </c>
      <c r="BJ517" t="s">
        <v>111</v>
      </c>
      <c r="BK517" t="s">
        <v>111</v>
      </c>
      <c r="BL517" t="s">
        <v>111</v>
      </c>
      <c r="BM517" t="s">
        <v>111</v>
      </c>
      <c r="BN517" t="s">
        <v>111</v>
      </c>
      <c r="BO517" t="s">
        <v>111</v>
      </c>
      <c r="BP517" t="s">
        <v>111</v>
      </c>
      <c r="BQ517" t="s">
        <v>111</v>
      </c>
      <c r="BR517" t="s">
        <v>111</v>
      </c>
      <c r="BS517" t="s">
        <v>111</v>
      </c>
      <c r="BT517" t="s">
        <v>111</v>
      </c>
      <c r="BU517" t="s">
        <v>111</v>
      </c>
      <c r="BV517" t="s">
        <v>111</v>
      </c>
      <c r="BW517" t="s">
        <v>111</v>
      </c>
      <c r="BX517" t="s">
        <v>111</v>
      </c>
      <c r="BY517" t="s">
        <v>111</v>
      </c>
      <c r="BZ517" t="s">
        <v>111</v>
      </c>
      <c r="CA517" t="s">
        <v>111</v>
      </c>
      <c r="CB517" t="s">
        <v>111</v>
      </c>
      <c r="CC517" t="s">
        <v>111</v>
      </c>
      <c r="CD517" t="s">
        <v>111</v>
      </c>
      <c r="CE517" t="s">
        <v>111</v>
      </c>
      <c r="CF517" t="s">
        <v>111</v>
      </c>
      <c r="CG517" t="s">
        <v>111</v>
      </c>
      <c r="CH517" t="s">
        <v>111</v>
      </c>
      <c r="CI517" t="s">
        <v>111</v>
      </c>
      <c r="CJ517" t="s">
        <v>111</v>
      </c>
      <c r="CK517" t="s">
        <v>111</v>
      </c>
      <c r="CL517" t="s">
        <v>111</v>
      </c>
      <c r="CM517" t="s">
        <v>360</v>
      </c>
      <c r="CN517" t="s">
        <v>113</v>
      </c>
      <c r="CO517" t="s">
        <v>111</v>
      </c>
      <c r="CP517" t="e">
        <f>-MUESTRA</f>
        <v>#NAME?</v>
      </c>
      <c r="CQ517">
        <v>0</v>
      </c>
      <c r="CR517">
        <v>8000</v>
      </c>
      <c r="CS517">
        <v>100</v>
      </c>
      <c r="CT517" t="e">
        <f>-ALMACEN</f>
        <v>#NAME?</v>
      </c>
      <c r="CU517">
        <v>0</v>
      </c>
      <c r="CV517" t="s">
        <v>111</v>
      </c>
      <c r="CX517" t="s">
        <v>111</v>
      </c>
      <c r="CY517">
        <v>0</v>
      </c>
      <c r="CZ517" t="s">
        <v>111</v>
      </c>
      <c r="DA517" t="s">
        <v>111</v>
      </c>
      <c r="DB517" t="s">
        <v>111</v>
      </c>
      <c r="DC517" t="s">
        <v>111</v>
      </c>
    </row>
    <row r="518" spans="1:107">
      <c r="A518">
        <v>1997</v>
      </c>
      <c r="B518" t="s">
        <v>107</v>
      </c>
      <c r="C518" t="s">
        <v>114</v>
      </c>
      <c r="D518" t="s">
        <v>1876</v>
      </c>
      <c r="E518" t="s">
        <v>1877</v>
      </c>
      <c r="F518" t="s">
        <v>431</v>
      </c>
      <c r="G518" t="s">
        <v>469</v>
      </c>
      <c r="H518">
        <v>2.4</v>
      </c>
      <c r="I518">
        <v>70</v>
      </c>
      <c r="J518">
        <v>0</v>
      </c>
      <c r="K518">
        <v>0</v>
      </c>
      <c r="L518" t="s">
        <v>117</v>
      </c>
      <c r="M518" t="s">
        <v>118</v>
      </c>
      <c r="N518">
        <v>39</v>
      </c>
      <c r="O518">
        <v>1</v>
      </c>
      <c r="P518" t="s">
        <v>111</v>
      </c>
      <c r="Q518">
        <v>43.4</v>
      </c>
      <c r="R518">
        <v>0</v>
      </c>
      <c r="S518">
        <v>0</v>
      </c>
      <c r="T518">
        <v>5</v>
      </c>
      <c r="U518" s="1" t="s">
        <v>1878</v>
      </c>
      <c r="V518">
        <v>0</v>
      </c>
      <c r="W518">
        <v>25</v>
      </c>
      <c r="X518">
        <v>8</v>
      </c>
      <c r="Y518">
        <v>0</v>
      </c>
      <c r="Z518" t="s">
        <v>111</v>
      </c>
      <c r="AA518">
        <v>0</v>
      </c>
      <c r="AB518" t="s">
        <v>1879</v>
      </c>
      <c r="AC518">
        <v>8</v>
      </c>
      <c r="AD518" t="s">
        <v>493</v>
      </c>
      <c r="AE518">
        <v>0</v>
      </c>
      <c r="AF518">
        <v>0</v>
      </c>
      <c r="AG518" t="s">
        <v>111</v>
      </c>
      <c r="AH518" t="s">
        <v>111</v>
      </c>
      <c r="AI518" t="s">
        <v>111</v>
      </c>
      <c r="AJ518" t="s">
        <v>111</v>
      </c>
      <c r="AK518" t="s">
        <v>111</v>
      </c>
      <c r="AL518" t="s">
        <v>111</v>
      </c>
      <c r="AM518">
        <v>0</v>
      </c>
      <c r="AN518">
        <v>0</v>
      </c>
      <c r="AO518">
        <v>0</v>
      </c>
      <c r="AP518" t="s">
        <v>111</v>
      </c>
      <c r="AQ518" t="s">
        <v>111</v>
      </c>
      <c r="AR518" t="s">
        <v>111</v>
      </c>
      <c r="AS518" t="s">
        <v>111</v>
      </c>
      <c r="AT518" t="s">
        <v>111</v>
      </c>
      <c r="AU518" t="s">
        <v>111</v>
      </c>
      <c r="AV518" t="s">
        <v>111</v>
      </c>
      <c r="AW518" t="s">
        <v>111</v>
      </c>
      <c r="AX518" t="s">
        <v>111</v>
      </c>
      <c r="AY518" t="s">
        <v>111</v>
      </c>
      <c r="AZ518" t="s">
        <v>111</v>
      </c>
      <c r="BA518" t="s">
        <v>111</v>
      </c>
      <c r="BB518" t="s">
        <v>111</v>
      </c>
      <c r="BC518" t="s">
        <v>111</v>
      </c>
      <c r="BD518" t="s">
        <v>111</v>
      </c>
      <c r="BE518" t="s">
        <v>111</v>
      </c>
      <c r="BF518" t="s">
        <v>111</v>
      </c>
      <c r="BG518" t="s">
        <v>111</v>
      </c>
      <c r="BH518" t="s">
        <v>111</v>
      </c>
      <c r="BI518" t="s">
        <v>111</v>
      </c>
      <c r="BJ518" t="s">
        <v>111</v>
      </c>
      <c r="BK518" t="s">
        <v>111</v>
      </c>
      <c r="BL518" t="s">
        <v>111</v>
      </c>
      <c r="BM518" t="s">
        <v>111</v>
      </c>
      <c r="BN518" t="s">
        <v>111</v>
      </c>
      <c r="BO518" t="s">
        <v>111</v>
      </c>
      <c r="BP518" t="s">
        <v>111</v>
      </c>
      <c r="BQ518" t="s">
        <v>111</v>
      </c>
      <c r="BR518" t="s">
        <v>111</v>
      </c>
      <c r="BS518" t="s">
        <v>111</v>
      </c>
      <c r="BT518" t="s">
        <v>111</v>
      </c>
      <c r="BU518" t="s">
        <v>111</v>
      </c>
      <c r="BV518" t="s">
        <v>111</v>
      </c>
      <c r="BW518" t="s">
        <v>111</v>
      </c>
      <c r="BX518" t="s">
        <v>111</v>
      </c>
      <c r="BY518" t="s">
        <v>111</v>
      </c>
      <c r="BZ518" t="s">
        <v>111</v>
      </c>
      <c r="CA518" t="s">
        <v>111</v>
      </c>
      <c r="CB518" t="s">
        <v>111</v>
      </c>
      <c r="CC518" t="s">
        <v>111</v>
      </c>
      <c r="CD518" t="s">
        <v>111</v>
      </c>
      <c r="CE518" t="s">
        <v>111</v>
      </c>
      <c r="CF518" t="s">
        <v>111</v>
      </c>
      <c r="CG518" t="s">
        <v>111</v>
      </c>
      <c r="CH518" t="s">
        <v>111</v>
      </c>
      <c r="CI518" t="s">
        <v>111</v>
      </c>
      <c r="CJ518" t="s">
        <v>111</v>
      </c>
      <c r="CK518" t="s">
        <v>111</v>
      </c>
      <c r="CL518" t="s">
        <v>111</v>
      </c>
      <c r="CM518" t="s">
        <v>360</v>
      </c>
      <c r="CN518" t="s">
        <v>113</v>
      </c>
      <c r="CO518" t="s">
        <v>111</v>
      </c>
      <c r="CP518" t="e">
        <f>-MUESTRA</f>
        <v>#NAME?</v>
      </c>
      <c r="CQ518">
        <v>0</v>
      </c>
      <c r="CR518">
        <v>3000</v>
      </c>
      <c r="CS518">
        <v>100</v>
      </c>
      <c r="CT518" t="e">
        <f>-ALMACEN</f>
        <v>#NAME?</v>
      </c>
      <c r="CU518">
        <v>0</v>
      </c>
      <c r="CV518" t="s">
        <v>111</v>
      </c>
      <c r="CX518" t="s">
        <v>111</v>
      </c>
      <c r="CY518">
        <v>0</v>
      </c>
      <c r="CZ518" t="s">
        <v>111</v>
      </c>
      <c r="DA518" t="s">
        <v>111</v>
      </c>
      <c r="DB518" t="s">
        <v>111</v>
      </c>
      <c r="DC518" t="s">
        <v>111</v>
      </c>
    </row>
    <row r="519" spans="1:107">
      <c r="A519">
        <v>2024</v>
      </c>
      <c r="B519" t="s">
        <v>376</v>
      </c>
      <c r="C519" t="s">
        <v>351</v>
      </c>
      <c r="D519" t="s">
        <v>1880</v>
      </c>
      <c r="E519" t="s">
        <v>1881</v>
      </c>
      <c r="F519" t="s">
        <v>875</v>
      </c>
      <c r="G519" t="s">
        <v>469</v>
      </c>
      <c r="H519">
        <v>1.9</v>
      </c>
      <c r="I519">
        <v>35</v>
      </c>
      <c r="J519">
        <v>7</v>
      </c>
      <c r="K519">
        <v>7</v>
      </c>
      <c r="L519" t="s">
        <v>112</v>
      </c>
      <c r="M519" t="s">
        <v>138</v>
      </c>
      <c r="N519">
        <v>0</v>
      </c>
      <c r="O519">
        <v>0</v>
      </c>
      <c r="P519" t="s">
        <v>111</v>
      </c>
      <c r="Q519">
        <v>5</v>
      </c>
      <c r="R519">
        <v>0</v>
      </c>
      <c r="S519">
        <v>0</v>
      </c>
      <c r="T519">
        <v>0</v>
      </c>
      <c r="U519" t="e">
        <f>- SELLADO</f>
        <v>#NAME?</v>
      </c>
      <c r="V519">
        <v>0</v>
      </c>
      <c r="W519">
        <v>25</v>
      </c>
      <c r="X519">
        <v>6</v>
      </c>
      <c r="Y519">
        <v>0</v>
      </c>
      <c r="Z519" t="s">
        <v>288</v>
      </c>
      <c r="AA519">
        <v>1.6</v>
      </c>
      <c r="AB519" t="s">
        <v>111</v>
      </c>
      <c r="AC519">
        <v>0</v>
      </c>
      <c r="AD519" t="s">
        <v>111</v>
      </c>
      <c r="AE519">
        <v>0</v>
      </c>
      <c r="AF519">
        <v>0</v>
      </c>
      <c r="AG519" t="s">
        <v>111</v>
      </c>
      <c r="AH519" t="s">
        <v>111</v>
      </c>
      <c r="AI519" t="s">
        <v>111</v>
      </c>
      <c r="AJ519" t="s">
        <v>111</v>
      </c>
      <c r="AK519" t="s">
        <v>111</v>
      </c>
      <c r="AL519" t="s">
        <v>111</v>
      </c>
      <c r="AM519">
        <v>0</v>
      </c>
      <c r="AN519">
        <v>0</v>
      </c>
      <c r="AO519">
        <v>0</v>
      </c>
      <c r="AP519" t="s">
        <v>111</v>
      </c>
      <c r="AQ519" t="s">
        <v>111</v>
      </c>
      <c r="AR519" t="s">
        <v>111</v>
      </c>
      <c r="AS519" t="s">
        <v>111</v>
      </c>
      <c r="AT519" t="s">
        <v>111</v>
      </c>
      <c r="AU519" t="s">
        <v>111</v>
      </c>
      <c r="AV519" t="s">
        <v>111</v>
      </c>
      <c r="AW519" t="s">
        <v>111</v>
      </c>
      <c r="AX519" t="s">
        <v>111</v>
      </c>
      <c r="AY519" t="s">
        <v>111</v>
      </c>
      <c r="AZ519" t="s">
        <v>111</v>
      </c>
      <c r="BA519" t="s">
        <v>111</v>
      </c>
      <c r="BB519" t="s">
        <v>111</v>
      </c>
      <c r="BC519" t="s">
        <v>111</v>
      </c>
      <c r="BD519" t="s">
        <v>111</v>
      </c>
      <c r="BE519" t="s">
        <v>111</v>
      </c>
      <c r="BF519" t="s">
        <v>111</v>
      </c>
      <c r="BG519" t="s">
        <v>111</v>
      </c>
      <c r="BH519" t="s">
        <v>111</v>
      </c>
      <c r="BI519" t="s">
        <v>111</v>
      </c>
      <c r="BJ519" t="s">
        <v>111</v>
      </c>
      <c r="BK519" t="s">
        <v>111</v>
      </c>
      <c r="BL519" t="s">
        <v>111</v>
      </c>
      <c r="BM519" t="s">
        <v>111</v>
      </c>
      <c r="BN519" t="s">
        <v>111</v>
      </c>
      <c r="BO519" t="s">
        <v>111</v>
      </c>
      <c r="BP519" t="s">
        <v>111</v>
      </c>
      <c r="BQ519" t="s">
        <v>111</v>
      </c>
      <c r="BR519" t="s">
        <v>111</v>
      </c>
      <c r="BS519" t="s">
        <v>111</v>
      </c>
      <c r="BT519" t="s">
        <v>111</v>
      </c>
      <c r="BU519" t="s">
        <v>111</v>
      </c>
      <c r="BV519" t="s">
        <v>111</v>
      </c>
      <c r="BW519" t="s">
        <v>111</v>
      </c>
      <c r="BX519" t="s">
        <v>111</v>
      </c>
      <c r="BY519" t="s">
        <v>111</v>
      </c>
      <c r="BZ519" t="s">
        <v>111</v>
      </c>
      <c r="CA519" t="s">
        <v>111</v>
      </c>
      <c r="CB519" t="s">
        <v>111</v>
      </c>
      <c r="CC519" t="s">
        <v>111</v>
      </c>
      <c r="CD519" t="s">
        <v>111</v>
      </c>
      <c r="CE519" t="s">
        <v>111</v>
      </c>
      <c r="CF519" t="s">
        <v>111</v>
      </c>
      <c r="CG519" t="s">
        <v>111</v>
      </c>
      <c r="CH519" t="s">
        <v>111</v>
      </c>
      <c r="CI519" t="s">
        <v>111</v>
      </c>
      <c r="CJ519" t="s">
        <v>111</v>
      </c>
      <c r="CK519" t="s">
        <v>111</v>
      </c>
      <c r="CL519" t="s">
        <v>111</v>
      </c>
      <c r="CM519" t="s">
        <v>135</v>
      </c>
      <c r="CN519" t="s">
        <v>128</v>
      </c>
      <c r="CO519" t="s">
        <v>974</v>
      </c>
      <c r="CP519" t="s">
        <v>111</v>
      </c>
      <c r="CQ519">
        <v>0</v>
      </c>
      <c r="CR519">
        <v>186</v>
      </c>
      <c r="CS519">
        <v>25</v>
      </c>
      <c r="CT519" t="s">
        <v>111</v>
      </c>
      <c r="CU519">
        <v>0</v>
      </c>
      <c r="CV519" t="s">
        <v>111</v>
      </c>
      <c r="CX519" t="s">
        <v>111</v>
      </c>
      <c r="CY519">
        <v>0</v>
      </c>
      <c r="CZ519" t="s">
        <v>111</v>
      </c>
      <c r="DA519" t="s">
        <v>111</v>
      </c>
      <c r="DB519" t="e">
        <f>-INTERNO</f>
        <v>#NAME?</v>
      </c>
      <c r="DC519" t="s">
        <v>111</v>
      </c>
    </row>
    <row r="520" spans="1:107">
      <c r="A520">
        <v>1795</v>
      </c>
      <c r="B520" t="s">
        <v>107</v>
      </c>
      <c r="C520" t="s">
        <v>638</v>
      </c>
      <c r="D520" t="s">
        <v>1882</v>
      </c>
      <c r="E520" t="s">
        <v>1883</v>
      </c>
      <c r="F520" t="s">
        <v>404</v>
      </c>
      <c r="G520" t="s">
        <v>469</v>
      </c>
      <c r="H520">
        <v>0.9</v>
      </c>
      <c r="I520">
        <v>65</v>
      </c>
      <c r="J520">
        <v>0</v>
      </c>
      <c r="K520">
        <v>0</v>
      </c>
      <c r="L520" t="s">
        <v>112</v>
      </c>
      <c r="M520" t="s">
        <v>138</v>
      </c>
      <c r="N520">
        <v>0</v>
      </c>
      <c r="O520">
        <v>0</v>
      </c>
      <c r="P520" t="s">
        <v>138</v>
      </c>
      <c r="Q520">
        <v>40</v>
      </c>
      <c r="R520">
        <v>0</v>
      </c>
      <c r="S520">
        <v>0</v>
      </c>
      <c r="T520">
        <v>10</v>
      </c>
      <c r="U520" t="e">
        <f>-SELLADO</f>
        <v>#NAME?</v>
      </c>
      <c r="V520">
        <v>25</v>
      </c>
      <c r="W520">
        <v>0</v>
      </c>
      <c r="X520">
        <v>6</v>
      </c>
      <c r="Y520">
        <v>0</v>
      </c>
      <c r="Z520" t="s">
        <v>366</v>
      </c>
      <c r="AA520">
        <v>1.2</v>
      </c>
      <c r="AB520" t="s">
        <v>111</v>
      </c>
      <c r="AC520">
        <v>0</v>
      </c>
      <c r="AD520" t="s">
        <v>111</v>
      </c>
      <c r="AE520">
        <v>0</v>
      </c>
      <c r="AF520">
        <v>0</v>
      </c>
      <c r="AG520" t="s">
        <v>111</v>
      </c>
      <c r="AH520" t="s">
        <v>111</v>
      </c>
      <c r="AI520" t="s">
        <v>111</v>
      </c>
      <c r="AJ520" t="s">
        <v>111</v>
      </c>
      <c r="AK520" t="s">
        <v>111</v>
      </c>
      <c r="AL520" t="s">
        <v>111</v>
      </c>
      <c r="AM520">
        <v>0</v>
      </c>
      <c r="AN520">
        <v>0</v>
      </c>
      <c r="AO520">
        <v>0</v>
      </c>
      <c r="AP520" t="s">
        <v>111</v>
      </c>
      <c r="AQ520" t="s">
        <v>111</v>
      </c>
      <c r="AR520" t="s">
        <v>111</v>
      </c>
      <c r="AS520" t="s">
        <v>111</v>
      </c>
      <c r="AT520" t="s">
        <v>111</v>
      </c>
      <c r="AU520" t="s">
        <v>111</v>
      </c>
      <c r="AV520" t="s">
        <v>111</v>
      </c>
      <c r="AW520" t="s">
        <v>111</v>
      </c>
      <c r="AX520" t="s">
        <v>111</v>
      </c>
      <c r="AY520" t="s">
        <v>111</v>
      </c>
      <c r="AZ520" t="s">
        <v>111</v>
      </c>
      <c r="BA520" t="s">
        <v>111</v>
      </c>
      <c r="BB520" t="s">
        <v>111</v>
      </c>
      <c r="BC520" t="s">
        <v>111</v>
      </c>
      <c r="BD520" t="s">
        <v>111</v>
      </c>
      <c r="BE520" t="s">
        <v>111</v>
      </c>
      <c r="BF520" t="s">
        <v>111</v>
      </c>
      <c r="BG520" t="s">
        <v>111</v>
      </c>
      <c r="BH520" t="s">
        <v>111</v>
      </c>
      <c r="BI520" t="s">
        <v>111</v>
      </c>
      <c r="BJ520" t="s">
        <v>111</v>
      </c>
      <c r="BK520" t="s">
        <v>111</v>
      </c>
      <c r="BL520" t="s">
        <v>111</v>
      </c>
      <c r="BM520" t="s">
        <v>111</v>
      </c>
      <c r="BN520" t="s">
        <v>111</v>
      </c>
      <c r="BO520" t="s">
        <v>111</v>
      </c>
      <c r="BP520" t="s">
        <v>111</v>
      </c>
      <c r="BQ520" t="s">
        <v>111</v>
      </c>
      <c r="BR520" t="s">
        <v>111</v>
      </c>
      <c r="BS520" t="s">
        <v>111</v>
      </c>
      <c r="BT520" t="s">
        <v>111</v>
      </c>
      <c r="BU520" t="s">
        <v>111</v>
      </c>
      <c r="BV520" t="s">
        <v>111</v>
      </c>
      <c r="BW520" t="s">
        <v>111</v>
      </c>
      <c r="BX520" t="s">
        <v>111</v>
      </c>
      <c r="BY520" t="s">
        <v>111</v>
      </c>
      <c r="BZ520" t="s">
        <v>111</v>
      </c>
      <c r="CA520" t="s">
        <v>111</v>
      </c>
      <c r="CB520" t="s">
        <v>111</v>
      </c>
      <c r="CC520" t="s">
        <v>111</v>
      </c>
      <c r="CD520" t="s">
        <v>111</v>
      </c>
      <c r="CE520" t="s">
        <v>111</v>
      </c>
      <c r="CF520" t="s">
        <v>111</v>
      </c>
      <c r="CG520" t="s">
        <v>111</v>
      </c>
      <c r="CH520" t="s">
        <v>111</v>
      </c>
      <c r="CI520" t="s">
        <v>111</v>
      </c>
      <c r="CJ520" t="s">
        <v>111</v>
      </c>
      <c r="CK520" t="s">
        <v>111</v>
      </c>
      <c r="CL520" t="s">
        <v>111</v>
      </c>
      <c r="CM520" t="s">
        <v>438</v>
      </c>
      <c r="CN520" t="s">
        <v>128</v>
      </c>
      <c r="CO520" t="s">
        <v>111</v>
      </c>
      <c r="CP520" t="s">
        <v>111</v>
      </c>
      <c r="CQ520">
        <v>0</v>
      </c>
      <c r="CR520">
        <v>0</v>
      </c>
      <c r="CS520">
        <v>0</v>
      </c>
      <c r="CT520" t="e">
        <f>-ALMACEN</f>
        <v>#NAME?</v>
      </c>
      <c r="CU520">
        <v>0</v>
      </c>
      <c r="CV520" t="s">
        <v>111</v>
      </c>
      <c r="CX520" t="s">
        <v>111</v>
      </c>
      <c r="CY520">
        <v>0</v>
      </c>
      <c r="CZ520" t="s">
        <v>111</v>
      </c>
      <c r="DA520" t="s">
        <v>111</v>
      </c>
      <c r="DB520" t="s">
        <v>111</v>
      </c>
      <c r="DC520" t="s">
        <v>111</v>
      </c>
    </row>
    <row r="521" spans="1:107">
      <c r="A521">
        <v>1794</v>
      </c>
      <c r="B521" t="s">
        <v>107</v>
      </c>
      <c r="C521" t="s">
        <v>638</v>
      </c>
      <c r="D521" t="s">
        <v>1884</v>
      </c>
      <c r="E521" t="s">
        <v>1885</v>
      </c>
      <c r="F521" t="s">
        <v>239</v>
      </c>
      <c r="G521" t="s">
        <v>469</v>
      </c>
      <c r="H521">
        <v>0.9</v>
      </c>
      <c r="I521">
        <v>65</v>
      </c>
      <c r="J521">
        <v>0</v>
      </c>
      <c r="K521">
        <v>0</v>
      </c>
      <c r="L521" t="s">
        <v>112</v>
      </c>
      <c r="M521" t="s">
        <v>138</v>
      </c>
      <c r="N521">
        <v>0</v>
      </c>
      <c r="O521">
        <v>0</v>
      </c>
      <c r="P521" t="s">
        <v>138</v>
      </c>
      <c r="Q521">
        <v>40</v>
      </c>
      <c r="R521">
        <v>0</v>
      </c>
      <c r="S521">
        <v>0</v>
      </c>
      <c r="T521">
        <v>10</v>
      </c>
      <c r="U521" t="e">
        <f>-SELLADO</f>
        <v>#NAME?</v>
      </c>
      <c r="V521">
        <v>25</v>
      </c>
      <c r="W521">
        <v>0</v>
      </c>
      <c r="X521">
        <v>6</v>
      </c>
      <c r="Y521">
        <v>0</v>
      </c>
      <c r="Z521" t="s">
        <v>147</v>
      </c>
      <c r="AA521">
        <v>1.2</v>
      </c>
      <c r="AB521" t="s">
        <v>111</v>
      </c>
      <c r="AC521">
        <v>0</v>
      </c>
      <c r="AD521" t="s">
        <v>111</v>
      </c>
      <c r="AE521">
        <v>0</v>
      </c>
      <c r="AF521">
        <v>0</v>
      </c>
      <c r="AG521" t="s">
        <v>111</v>
      </c>
      <c r="AH521" t="s">
        <v>111</v>
      </c>
      <c r="AI521" t="s">
        <v>111</v>
      </c>
      <c r="AJ521" t="s">
        <v>111</v>
      </c>
      <c r="AK521" t="s">
        <v>111</v>
      </c>
      <c r="AL521" t="s">
        <v>111</v>
      </c>
      <c r="AM521">
        <v>0</v>
      </c>
      <c r="AN521">
        <v>0</v>
      </c>
      <c r="AO521">
        <v>0</v>
      </c>
      <c r="AP521" t="s">
        <v>111</v>
      </c>
      <c r="AQ521" t="s">
        <v>111</v>
      </c>
      <c r="AR521" t="s">
        <v>111</v>
      </c>
      <c r="AS521" t="s">
        <v>111</v>
      </c>
      <c r="AT521" t="s">
        <v>111</v>
      </c>
      <c r="AU521" t="s">
        <v>111</v>
      </c>
      <c r="AV521" t="s">
        <v>111</v>
      </c>
      <c r="AW521" t="s">
        <v>111</v>
      </c>
      <c r="AX521" t="s">
        <v>111</v>
      </c>
      <c r="AY521" t="s">
        <v>111</v>
      </c>
      <c r="AZ521" t="s">
        <v>111</v>
      </c>
      <c r="BA521" t="s">
        <v>111</v>
      </c>
      <c r="BB521" t="s">
        <v>111</v>
      </c>
      <c r="BC521" t="s">
        <v>111</v>
      </c>
      <c r="BD521" t="s">
        <v>111</v>
      </c>
      <c r="BE521" t="s">
        <v>111</v>
      </c>
      <c r="BF521" t="s">
        <v>111</v>
      </c>
      <c r="BG521" t="s">
        <v>111</v>
      </c>
      <c r="BH521" t="s">
        <v>111</v>
      </c>
      <c r="BI521" t="s">
        <v>111</v>
      </c>
      <c r="BJ521" t="s">
        <v>111</v>
      </c>
      <c r="BK521" t="s">
        <v>111</v>
      </c>
      <c r="BL521" t="s">
        <v>111</v>
      </c>
      <c r="BM521" t="s">
        <v>111</v>
      </c>
      <c r="BN521" t="s">
        <v>111</v>
      </c>
      <c r="BO521" t="s">
        <v>111</v>
      </c>
      <c r="BP521" t="s">
        <v>111</v>
      </c>
      <c r="BQ521" t="s">
        <v>111</v>
      </c>
      <c r="BR521" t="s">
        <v>111</v>
      </c>
      <c r="BS521" t="s">
        <v>111</v>
      </c>
      <c r="BT521" t="s">
        <v>111</v>
      </c>
      <c r="BU521" t="s">
        <v>111</v>
      </c>
      <c r="BV521" t="s">
        <v>111</v>
      </c>
      <c r="BW521" t="s">
        <v>111</v>
      </c>
      <c r="BX521" t="s">
        <v>111</v>
      </c>
      <c r="BY521" t="s">
        <v>111</v>
      </c>
      <c r="BZ521" t="s">
        <v>111</v>
      </c>
      <c r="CA521" t="s">
        <v>111</v>
      </c>
      <c r="CB521" t="s">
        <v>111</v>
      </c>
      <c r="CC521" t="s">
        <v>111</v>
      </c>
      <c r="CD521" t="s">
        <v>111</v>
      </c>
      <c r="CE521" t="s">
        <v>111</v>
      </c>
      <c r="CF521" t="s">
        <v>111</v>
      </c>
      <c r="CG521" t="s">
        <v>111</v>
      </c>
      <c r="CH521" t="s">
        <v>111</v>
      </c>
      <c r="CI521" t="s">
        <v>111</v>
      </c>
      <c r="CJ521" t="s">
        <v>111</v>
      </c>
      <c r="CK521" t="s">
        <v>111</v>
      </c>
      <c r="CL521" t="s">
        <v>111</v>
      </c>
      <c r="CM521" t="s">
        <v>438</v>
      </c>
      <c r="CN521" t="s">
        <v>128</v>
      </c>
      <c r="CO521" t="s">
        <v>111</v>
      </c>
      <c r="CP521" t="s">
        <v>111</v>
      </c>
      <c r="CQ521">
        <v>0</v>
      </c>
      <c r="CR521">
        <v>0</v>
      </c>
      <c r="CS521">
        <v>0</v>
      </c>
      <c r="CT521" t="s">
        <v>111</v>
      </c>
      <c r="CU521">
        <v>0</v>
      </c>
      <c r="CV521" t="s">
        <v>111</v>
      </c>
      <c r="CX521" t="s">
        <v>111</v>
      </c>
      <c r="CY521">
        <v>0</v>
      </c>
      <c r="CZ521" t="s">
        <v>111</v>
      </c>
      <c r="DA521" t="s">
        <v>111</v>
      </c>
      <c r="DB521" t="s">
        <v>111</v>
      </c>
      <c r="DC521" t="s">
        <v>111</v>
      </c>
    </row>
    <row r="522" spans="1:107">
      <c r="A522">
        <v>2025</v>
      </c>
      <c r="B522" t="s">
        <v>376</v>
      </c>
      <c r="C522" t="s">
        <v>336</v>
      </c>
      <c r="D522" t="s">
        <v>1153</v>
      </c>
      <c r="E522" t="s">
        <v>1886</v>
      </c>
      <c r="F522" t="s">
        <v>125</v>
      </c>
      <c r="G522" t="s">
        <v>469</v>
      </c>
      <c r="H522">
        <v>2</v>
      </c>
      <c r="I522">
        <v>60</v>
      </c>
      <c r="J522">
        <v>0</v>
      </c>
      <c r="K522">
        <v>0</v>
      </c>
      <c r="L522" t="s">
        <v>112</v>
      </c>
      <c r="M522" t="s">
        <v>138</v>
      </c>
      <c r="N522">
        <v>0</v>
      </c>
      <c r="O522">
        <v>0</v>
      </c>
      <c r="P522" t="s">
        <v>111</v>
      </c>
      <c r="Q522">
        <v>30</v>
      </c>
      <c r="R522">
        <v>0</v>
      </c>
      <c r="S522">
        <v>0</v>
      </c>
      <c r="T522">
        <v>0</v>
      </c>
      <c r="U522" s="1" t="s">
        <v>1887</v>
      </c>
      <c r="V522">
        <v>25</v>
      </c>
      <c r="W522">
        <v>29</v>
      </c>
      <c r="X522">
        <v>10</v>
      </c>
      <c r="Y522">
        <v>0</v>
      </c>
      <c r="Z522" t="s">
        <v>111</v>
      </c>
      <c r="AA522">
        <v>0</v>
      </c>
      <c r="AB522" t="s">
        <v>111</v>
      </c>
      <c r="AC522">
        <v>0</v>
      </c>
      <c r="AD522" t="s">
        <v>111</v>
      </c>
      <c r="AE522">
        <v>0</v>
      </c>
      <c r="AF522">
        <v>0</v>
      </c>
      <c r="AG522" t="s">
        <v>111</v>
      </c>
      <c r="AH522" t="s">
        <v>111</v>
      </c>
      <c r="AI522" t="s">
        <v>111</v>
      </c>
      <c r="AJ522" t="s">
        <v>111</v>
      </c>
      <c r="AK522" t="s">
        <v>111</v>
      </c>
      <c r="AL522" t="s">
        <v>111</v>
      </c>
      <c r="AM522">
        <v>0</v>
      </c>
      <c r="AN522">
        <v>0</v>
      </c>
      <c r="AO522">
        <v>0</v>
      </c>
      <c r="AP522" t="s">
        <v>111</v>
      </c>
      <c r="AQ522" t="s">
        <v>111</v>
      </c>
      <c r="AR522" t="s">
        <v>111</v>
      </c>
      <c r="AS522" t="s">
        <v>111</v>
      </c>
      <c r="AT522" t="s">
        <v>111</v>
      </c>
      <c r="AU522" t="s">
        <v>111</v>
      </c>
      <c r="AV522" t="s">
        <v>111</v>
      </c>
      <c r="AW522" t="s">
        <v>111</v>
      </c>
      <c r="AX522" t="s">
        <v>111</v>
      </c>
      <c r="AY522" t="s">
        <v>111</v>
      </c>
      <c r="AZ522" t="s">
        <v>111</v>
      </c>
      <c r="BA522" t="s">
        <v>111</v>
      </c>
      <c r="BB522" t="s">
        <v>111</v>
      </c>
      <c r="BC522" t="s">
        <v>111</v>
      </c>
      <c r="BD522" t="s">
        <v>111</v>
      </c>
      <c r="BE522" t="s">
        <v>111</v>
      </c>
      <c r="BF522" t="s">
        <v>111</v>
      </c>
      <c r="BG522" t="s">
        <v>111</v>
      </c>
      <c r="BH522" t="s">
        <v>111</v>
      </c>
      <c r="BI522" t="s">
        <v>111</v>
      </c>
      <c r="BJ522" t="s">
        <v>111</v>
      </c>
      <c r="BK522" t="s">
        <v>111</v>
      </c>
      <c r="BL522" t="s">
        <v>111</v>
      </c>
      <c r="BM522" t="s">
        <v>111</v>
      </c>
      <c r="BN522" t="s">
        <v>111</v>
      </c>
      <c r="BO522" t="s">
        <v>111</v>
      </c>
      <c r="BP522" t="s">
        <v>111</v>
      </c>
      <c r="BQ522" t="s">
        <v>111</v>
      </c>
      <c r="BR522" t="s">
        <v>111</v>
      </c>
      <c r="BS522" t="s">
        <v>111</v>
      </c>
      <c r="BT522" t="s">
        <v>111</v>
      </c>
      <c r="BU522" t="s">
        <v>111</v>
      </c>
      <c r="BV522" t="s">
        <v>111</v>
      </c>
      <c r="BW522" t="s">
        <v>111</v>
      </c>
      <c r="BX522" t="s">
        <v>111</v>
      </c>
      <c r="BY522" t="s">
        <v>111</v>
      </c>
      <c r="BZ522" t="s">
        <v>111</v>
      </c>
      <c r="CA522" t="s">
        <v>111</v>
      </c>
      <c r="CB522" t="s">
        <v>111</v>
      </c>
      <c r="CC522" t="s">
        <v>111</v>
      </c>
      <c r="CD522" t="s">
        <v>111</v>
      </c>
      <c r="CE522" t="s">
        <v>111</v>
      </c>
      <c r="CF522" t="s">
        <v>111</v>
      </c>
      <c r="CG522" t="s">
        <v>111</v>
      </c>
      <c r="CH522" t="s">
        <v>111</v>
      </c>
      <c r="CI522" t="s">
        <v>111</v>
      </c>
      <c r="CJ522" t="s">
        <v>111</v>
      </c>
      <c r="CK522" t="s">
        <v>111</v>
      </c>
      <c r="CL522" t="s">
        <v>111</v>
      </c>
      <c r="CM522" t="s">
        <v>111</v>
      </c>
      <c r="CN522" t="s">
        <v>111</v>
      </c>
      <c r="CO522" t="s">
        <v>111</v>
      </c>
      <c r="CP522" t="s">
        <v>111</v>
      </c>
      <c r="CQ522">
        <v>0</v>
      </c>
      <c r="CR522">
        <v>200</v>
      </c>
      <c r="CS522">
        <v>25</v>
      </c>
      <c r="CT522" t="s">
        <v>111</v>
      </c>
      <c r="CU522">
        <v>0</v>
      </c>
      <c r="CV522" t="s">
        <v>111</v>
      </c>
      <c r="CX522" t="s">
        <v>111</v>
      </c>
      <c r="CY522">
        <v>0</v>
      </c>
      <c r="CZ522" t="s">
        <v>111</v>
      </c>
      <c r="DA522" t="s">
        <v>111</v>
      </c>
      <c r="DB522" t="e">
        <f>- INTERNO</f>
        <v>#NAME?</v>
      </c>
      <c r="DC522" t="e">
        <f>-CORTE Y SELLE</f>
        <v>#NAME?</v>
      </c>
    </row>
    <row r="523" spans="1:107">
      <c r="A523">
        <v>2026</v>
      </c>
      <c r="B523" t="s">
        <v>376</v>
      </c>
      <c r="C523" t="s">
        <v>180</v>
      </c>
      <c r="D523" t="s">
        <v>1888</v>
      </c>
      <c r="E523" t="s">
        <v>1889</v>
      </c>
      <c r="F523" t="s">
        <v>1754</v>
      </c>
      <c r="G523" t="s">
        <v>469</v>
      </c>
      <c r="H523">
        <v>2.2000000000000002</v>
      </c>
      <c r="I523">
        <v>30</v>
      </c>
      <c r="J523">
        <v>0</v>
      </c>
      <c r="K523">
        <v>0</v>
      </c>
      <c r="L523" t="s">
        <v>178</v>
      </c>
      <c r="M523" t="s">
        <v>118</v>
      </c>
      <c r="N523">
        <v>39</v>
      </c>
      <c r="O523">
        <v>2</v>
      </c>
      <c r="P523" t="s">
        <v>118</v>
      </c>
      <c r="Q523">
        <v>38.1</v>
      </c>
      <c r="R523">
        <v>0</v>
      </c>
      <c r="S523">
        <v>0</v>
      </c>
      <c r="T523">
        <v>5</v>
      </c>
      <c r="U523" s="1" t="s">
        <v>1890</v>
      </c>
      <c r="V523">
        <v>25</v>
      </c>
      <c r="W523">
        <v>0</v>
      </c>
      <c r="X523">
        <v>8</v>
      </c>
      <c r="Y523">
        <v>0</v>
      </c>
      <c r="Z523" t="s">
        <v>259</v>
      </c>
      <c r="AA523">
        <v>1.5</v>
      </c>
      <c r="AB523" t="s">
        <v>1346</v>
      </c>
      <c r="AC523">
        <v>0.7</v>
      </c>
      <c r="AD523" t="s">
        <v>416</v>
      </c>
      <c r="AE523">
        <v>0</v>
      </c>
      <c r="AF523">
        <v>0</v>
      </c>
      <c r="AG523" t="s">
        <v>111</v>
      </c>
      <c r="AH523" t="s">
        <v>111</v>
      </c>
      <c r="AI523" t="s">
        <v>111</v>
      </c>
      <c r="AJ523" t="s">
        <v>111</v>
      </c>
      <c r="AK523" t="s">
        <v>111</v>
      </c>
      <c r="AL523" t="s">
        <v>111</v>
      </c>
      <c r="AM523">
        <v>0</v>
      </c>
      <c r="AN523">
        <v>0</v>
      </c>
      <c r="AO523">
        <v>0</v>
      </c>
      <c r="AP523" t="s">
        <v>111</v>
      </c>
      <c r="AQ523" t="s">
        <v>111</v>
      </c>
      <c r="AR523" t="s">
        <v>111</v>
      </c>
      <c r="AS523" t="s">
        <v>111</v>
      </c>
      <c r="AT523" t="s">
        <v>111</v>
      </c>
      <c r="AU523" t="s">
        <v>111</v>
      </c>
      <c r="AV523" t="s">
        <v>111</v>
      </c>
      <c r="AW523" t="s">
        <v>111</v>
      </c>
      <c r="AX523" t="s">
        <v>111</v>
      </c>
      <c r="AY523" t="s">
        <v>111</v>
      </c>
      <c r="AZ523" t="s">
        <v>111</v>
      </c>
      <c r="BA523" t="s">
        <v>111</v>
      </c>
      <c r="BB523" t="s">
        <v>111</v>
      </c>
      <c r="BC523" t="s">
        <v>111</v>
      </c>
      <c r="BD523" t="s">
        <v>111</v>
      </c>
      <c r="BE523" t="s">
        <v>111</v>
      </c>
      <c r="BF523" t="s">
        <v>111</v>
      </c>
      <c r="BG523" t="s">
        <v>111</v>
      </c>
      <c r="BH523" t="s">
        <v>111</v>
      </c>
      <c r="BI523" t="s">
        <v>111</v>
      </c>
      <c r="BJ523" t="s">
        <v>111</v>
      </c>
      <c r="BK523" t="s">
        <v>111</v>
      </c>
      <c r="BL523" t="s">
        <v>111</v>
      </c>
      <c r="BM523" t="s">
        <v>111</v>
      </c>
      <c r="BN523" t="s">
        <v>111</v>
      </c>
      <c r="BO523" t="s">
        <v>111</v>
      </c>
      <c r="BP523" t="s">
        <v>111</v>
      </c>
      <c r="BQ523" t="s">
        <v>111</v>
      </c>
      <c r="BR523" t="s">
        <v>111</v>
      </c>
      <c r="BS523" t="s">
        <v>111</v>
      </c>
      <c r="BT523" t="s">
        <v>111</v>
      </c>
      <c r="BU523" t="s">
        <v>111</v>
      </c>
      <c r="BV523" t="s">
        <v>111</v>
      </c>
      <c r="BW523" t="s">
        <v>111</v>
      </c>
      <c r="BX523" t="s">
        <v>111</v>
      </c>
      <c r="BY523" t="s">
        <v>111</v>
      </c>
      <c r="BZ523" t="s">
        <v>111</v>
      </c>
      <c r="CA523" t="s">
        <v>111</v>
      </c>
      <c r="CB523" t="s">
        <v>111</v>
      </c>
      <c r="CC523" t="s">
        <v>111</v>
      </c>
      <c r="CD523" t="s">
        <v>111</v>
      </c>
      <c r="CE523" t="s">
        <v>111</v>
      </c>
      <c r="CF523" t="s">
        <v>111</v>
      </c>
      <c r="CG523" t="s">
        <v>111</v>
      </c>
      <c r="CH523" t="s">
        <v>111</v>
      </c>
      <c r="CI523" t="s">
        <v>111</v>
      </c>
      <c r="CJ523" t="s">
        <v>111</v>
      </c>
      <c r="CK523" t="s">
        <v>111</v>
      </c>
      <c r="CL523" t="s">
        <v>111</v>
      </c>
      <c r="CM523" t="s">
        <v>438</v>
      </c>
      <c r="CN523" t="s">
        <v>113</v>
      </c>
      <c r="CO523" t="s">
        <v>367</v>
      </c>
      <c r="CP523" t="s">
        <v>111</v>
      </c>
      <c r="CQ523">
        <v>0</v>
      </c>
      <c r="CR523">
        <v>3000</v>
      </c>
      <c r="CS523">
        <v>50</v>
      </c>
      <c r="CT523" s="1" t="s">
        <v>1891</v>
      </c>
      <c r="CU523">
        <v>0</v>
      </c>
      <c r="CV523" t="s">
        <v>111</v>
      </c>
      <c r="CX523" t="s">
        <v>111</v>
      </c>
      <c r="CY523">
        <v>0</v>
      </c>
      <c r="CZ523" t="s">
        <v>111</v>
      </c>
      <c r="DA523" t="s">
        <v>111</v>
      </c>
      <c r="DB523" t="e">
        <f>-INTERNO</f>
        <v>#NAME?</v>
      </c>
      <c r="DC523" t="e">
        <f>- TROQUEL RIÑON</f>
        <v>#NAME?</v>
      </c>
    </row>
    <row r="524" spans="1:107">
      <c r="A524">
        <v>2027</v>
      </c>
      <c r="B524" t="s">
        <v>376</v>
      </c>
      <c r="C524" t="s">
        <v>1892</v>
      </c>
      <c r="D524" t="s">
        <v>1893</v>
      </c>
      <c r="E524" t="s">
        <v>1894</v>
      </c>
      <c r="F524" t="s">
        <v>431</v>
      </c>
      <c r="G524" t="s">
        <v>469</v>
      </c>
      <c r="H524">
        <v>1</v>
      </c>
      <c r="I524">
        <v>46</v>
      </c>
      <c r="J524">
        <v>0</v>
      </c>
      <c r="K524">
        <v>0</v>
      </c>
      <c r="L524" t="s">
        <v>112</v>
      </c>
      <c r="M524" t="s">
        <v>118</v>
      </c>
      <c r="N524">
        <v>39</v>
      </c>
      <c r="O524">
        <v>1</v>
      </c>
      <c r="P524" t="s">
        <v>111</v>
      </c>
      <c r="Q524">
        <v>49</v>
      </c>
      <c r="R524">
        <v>0</v>
      </c>
      <c r="S524">
        <v>0</v>
      </c>
      <c r="T524">
        <v>5</v>
      </c>
      <c r="U524" s="1" t="s">
        <v>1895</v>
      </c>
      <c r="V524">
        <v>0</v>
      </c>
      <c r="W524">
        <v>25</v>
      </c>
      <c r="X524">
        <v>6</v>
      </c>
      <c r="Y524">
        <v>0</v>
      </c>
      <c r="Z524" t="s">
        <v>111</v>
      </c>
      <c r="AA524">
        <v>0</v>
      </c>
      <c r="AB524" t="s">
        <v>111</v>
      </c>
      <c r="AC524">
        <v>0</v>
      </c>
      <c r="AD524" t="s">
        <v>416</v>
      </c>
      <c r="AE524">
        <v>0</v>
      </c>
      <c r="AF524">
        <v>0</v>
      </c>
      <c r="AG524" t="s">
        <v>111</v>
      </c>
      <c r="AH524" t="s">
        <v>111</v>
      </c>
      <c r="AI524" t="s">
        <v>111</v>
      </c>
      <c r="AJ524" t="s">
        <v>111</v>
      </c>
      <c r="AK524" t="s">
        <v>111</v>
      </c>
      <c r="AL524" t="s">
        <v>111</v>
      </c>
      <c r="AM524">
        <v>0</v>
      </c>
      <c r="AN524">
        <v>0</v>
      </c>
      <c r="AO524">
        <v>0</v>
      </c>
      <c r="AP524" t="s">
        <v>111</v>
      </c>
      <c r="AQ524" t="s">
        <v>111</v>
      </c>
      <c r="AR524" t="s">
        <v>111</v>
      </c>
      <c r="AS524" t="s">
        <v>111</v>
      </c>
      <c r="AT524" t="s">
        <v>111</v>
      </c>
      <c r="AU524" t="s">
        <v>111</v>
      </c>
      <c r="AV524" t="s">
        <v>111</v>
      </c>
      <c r="AW524" t="s">
        <v>111</v>
      </c>
      <c r="AX524" t="s">
        <v>111</v>
      </c>
      <c r="AY524" t="s">
        <v>111</v>
      </c>
      <c r="AZ524" t="s">
        <v>111</v>
      </c>
      <c r="BA524" t="s">
        <v>111</v>
      </c>
      <c r="BB524" t="s">
        <v>111</v>
      </c>
      <c r="BC524" t="s">
        <v>111</v>
      </c>
      <c r="BD524" t="s">
        <v>111</v>
      </c>
      <c r="BE524" t="s">
        <v>111</v>
      </c>
      <c r="BF524" t="s">
        <v>111</v>
      </c>
      <c r="BG524" t="s">
        <v>111</v>
      </c>
      <c r="BH524" t="s">
        <v>111</v>
      </c>
      <c r="BI524" t="s">
        <v>111</v>
      </c>
      <c r="BJ524" t="s">
        <v>111</v>
      </c>
      <c r="BK524" t="s">
        <v>111</v>
      </c>
      <c r="BL524" t="s">
        <v>111</v>
      </c>
      <c r="BM524" t="s">
        <v>111</v>
      </c>
      <c r="BN524" t="s">
        <v>111</v>
      </c>
      <c r="BO524" t="s">
        <v>111</v>
      </c>
      <c r="BP524" t="s">
        <v>111</v>
      </c>
      <c r="BQ524" t="s">
        <v>111</v>
      </c>
      <c r="BR524" t="s">
        <v>111</v>
      </c>
      <c r="BS524" t="s">
        <v>111</v>
      </c>
      <c r="BT524" t="s">
        <v>111</v>
      </c>
      <c r="BU524" t="s">
        <v>111</v>
      </c>
      <c r="BV524" t="s">
        <v>111</v>
      </c>
      <c r="BW524" t="s">
        <v>111</v>
      </c>
      <c r="BX524" t="s">
        <v>111</v>
      </c>
      <c r="BY524" t="s">
        <v>111</v>
      </c>
      <c r="BZ524" t="s">
        <v>111</v>
      </c>
      <c r="CA524" t="s">
        <v>111</v>
      </c>
      <c r="CB524" t="s">
        <v>111</v>
      </c>
      <c r="CC524" t="s">
        <v>111</v>
      </c>
      <c r="CD524" t="s">
        <v>111</v>
      </c>
      <c r="CE524" t="s">
        <v>111</v>
      </c>
      <c r="CF524" t="s">
        <v>111</v>
      </c>
      <c r="CG524" t="s">
        <v>111</v>
      </c>
      <c r="CH524" t="s">
        <v>111</v>
      </c>
      <c r="CI524" t="s">
        <v>111</v>
      </c>
      <c r="CJ524" t="s">
        <v>111</v>
      </c>
      <c r="CK524" t="s">
        <v>111</v>
      </c>
      <c r="CL524" t="s">
        <v>111</v>
      </c>
      <c r="CM524" t="s">
        <v>438</v>
      </c>
      <c r="CN524" t="s">
        <v>113</v>
      </c>
      <c r="CO524" t="s">
        <v>111</v>
      </c>
      <c r="CP524" t="s">
        <v>111</v>
      </c>
      <c r="CQ524">
        <v>0</v>
      </c>
      <c r="CR524">
        <v>10000</v>
      </c>
      <c r="CS524">
        <v>500</v>
      </c>
      <c r="CT524" t="e">
        <f>- ALMACEN</f>
        <v>#NAME?</v>
      </c>
      <c r="CU524">
        <v>0</v>
      </c>
      <c r="CV524" t="s">
        <v>111</v>
      </c>
      <c r="CX524" t="s">
        <v>111</v>
      </c>
      <c r="CY524">
        <v>0</v>
      </c>
      <c r="CZ524" t="s">
        <v>111</v>
      </c>
      <c r="DA524" t="s">
        <v>111</v>
      </c>
      <c r="DB524" t="s">
        <v>111</v>
      </c>
      <c r="DC524" t="s">
        <v>111</v>
      </c>
    </row>
    <row r="525" spans="1:107">
      <c r="A525">
        <v>1792</v>
      </c>
      <c r="B525" t="s">
        <v>107</v>
      </c>
      <c r="C525" t="s">
        <v>1896</v>
      </c>
      <c r="D525" t="s">
        <v>1897</v>
      </c>
      <c r="E525" t="s">
        <v>1898</v>
      </c>
      <c r="F525" t="s">
        <v>1409</v>
      </c>
      <c r="G525" t="s">
        <v>469</v>
      </c>
      <c r="H525">
        <v>3</v>
      </c>
      <c r="I525">
        <v>65</v>
      </c>
      <c r="J525">
        <v>0</v>
      </c>
      <c r="K525">
        <v>0</v>
      </c>
      <c r="L525" t="s">
        <v>112</v>
      </c>
      <c r="M525" t="s">
        <v>118</v>
      </c>
      <c r="N525">
        <v>39</v>
      </c>
      <c r="O525">
        <v>2</v>
      </c>
      <c r="P525" t="s">
        <v>138</v>
      </c>
      <c r="Q525">
        <v>42.3</v>
      </c>
      <c r="R525">
        <v>0</v>
      </c>
      <c r="S525">
        <v>0</v>
      </c>
      <c r="T525">
        <v>5</v>
      </c>
      <c r="U525" t="s">
        <v>1899</v>
      </c>
      <c r="V525">
        <v>0</v>
      </c>
      <c r="W525">
        <v>25</v>
      </c>
      <c r="X525">
        <v>6</v>
      </c>
      <c r="Y525">
        <v>0</v>
      </c>
      <c r="Z525" t="s">
        <v>1900</v>
      </c>
      <c r="AA525">
        <v>1.2</v>
      </c>
      <c r="AB525" t="s">
        <v>111</v>
      </c>
      <c r="AC525">
        <v>0</v>
      </c>
      <c r="AD525" t="s">
        <v>111</v>
      </c>
      <c r="AE525">
        <v>0</v>
      </c>
      <c r="AF525">
        <v>0</v>
      </c>
      <c r="AG525" t="s">
        <v>111</v>
      </c>
      <c r="AH525" t="s">
        <v>111</v>
      </c>
      <c r="AI525" t="s">
        <v>111</v>
      </c>
      <c r="AJ525" t="s">
        <v>111</v>
      </c>
      <c r="AK525" t="s">
        <v>111</v>
      </c>
      <c r="AL525" t="s">
        <v>111</v>
      </c>
      <c r="AM525">
        <v>0</v>
      </c>
      <c r="AN525">
        <v>0</v>
      </c>
      <c r="AO525">
        <v>0</v>
      </c>
      <c r="AP525" t="s">
        <v>111</v>
      </c>
      <c r="AQ525" t="s">
        <v>111</v>
      </c>
      <c r="AR525" t="s">
        <v>111</v>
      </c>
      <c r="AS525" t="s">
        <v>111</v>
      </c>
      <c r="AT525" t="s">
        <v>111</v>
      </c>
      <c r="AU525" t="s">
        <v>111</v>
      </c>
      <c r="AV525" t="s">
        <v>111</v>
      </c>
      <c r="AW525" t="s">
        <v>111</v>
      </c>
      <c r="AX525" t="s">
        <v>111</v>
      </c>
      <c r="AY525" t="s">
        <v>111</v>
      </c>
      <c r="AZ525" t="s">
        <v>111</v>
      </c>
      <c r="BA525" t="s">
        <v>111</v>
      </c>
      <c r="BB525" t="s">
        <v>111</v>
      </c>
      <c r="BC525" t="s">
        <v>111</v>
      </c>
      <c r="BD525" t="s">
        <v>111</v>
      </c>
      <c r="BE525" t="s">
        <v>111</v>
      </c>
      <c r="BF525" t="s">
        <v>111</v>
      </c>
      <c r="BG525" t="s">
        <v>111</v>
      </c>
      <c r="BH525" t="s">
        <v>111</v>
      </c>
      <c r="BI525" t="s">
        <v>111</v>
      </c>
      <c r="BJ525" t="s">
        <v>111</v>
      </c>
      <c r="BK525" t="s">
        <v>111</v>
      </c>
      <c r="BL525" t="s">
        <v>111</v>
      </c>
      <c r="BM525" t="s">
        <v>111</v>
      </c>
      <c r="BN525" t="s">
        <v>111</v>
      </c>
      <c r="BO525" t="s">
        <v>111</v>
      </c>
      <c r="BP525" t="s">
        <v>111</v>
      </c>
      <c r="BQ525" t="s">
        <v>111</v>
      </c>
      <c r="BR525" t="s">
        <v>111</v>
      </c>
      <c r="BS525" t="s">
        <v>111</v>
      </c>
      <c r="BT525" t="s">
        <v>111</v>
      </c>
      <c r="BU525" t="s">
        <v>111</v>
      </c>
      <c r="BV525" t="s">
        <v>111</v>
      </c>
      <c r="BW525" t="s">
        <v>111</v>
      </c>
      <c r="BX525" t="s">
        <v>111</v>
      </c>
      <c r="BY525" t="s">
        <v>111</v>
      </c>
      <c r="BZ525" t="s">
        <v>111</v>
      </c>
      <c r="CA525" t="s">
        <v>111</v>
      </c>
      <c r="CB525" t="s">
        <v>111</v>
      </c>
      <c r="CC525" t="s">
        <v>111</v>
      </c>
      <c r="CD525" t="s">
        <v>111</v>
      </c>
      <c r="CE525" t="s">
        <v>111</v>
      </c>
      <c r="CF525" t="s">
        <v>111</v>
      </c>
      <c r="CG525" t="s">
        <v>111</v>
      </c>
      <c r="CH525" t="s">
        <v>111</v>
      </c>
      <c r="CI525" t="s">
        <v>111</v>
      </c>
      <c r="CJ525" t="s">
        <v>111</v>
      </c>
      <c r="CK525" t="s">
        <v>111</v>
      </c>
      <c r="CL525" t="s">
        <v>111</v>
      </c>
      <c r="CM525" t="s">
        <v>135</v>
      </c>
      <c r="CN525" t="s">
        <v>128</v>
      </c>
      <c r="CO525" t="s">
        <v>111</v>
      </c>
      <c r="CP525" t="s">
        <v>111</v>
      </c>
      <c r="CQ525">
        <v>0</v>
      </c>
      <c r="CR525">
        <v>0</v>
      </c>
      <c r="CS525">
        <v>0</v>
      </c>
      <c r="CT525" t="s">
        <v>111</v>
      </c>
      <c r="CU525">
        <v>0</v>
      </c>
      <c r="CV525" t="s">
        <v>111</v>
      </c>
      <c r="CX525" t="s">
        <v>111</v>
      </c>
      <c r="CY525">
        <v>0</v>
      </c>
      <c r="CZ525" t="s">
        <v>111</v>
      </c>
      <c r="DA525" t="s">
        <v>111</v>
      </c>
      <c r="DB525" t="e">
        <f>-EXTERNO</f>
        <v>#NAME?</v>
      </c>
      <c r="DC525" t="e">
        <f>-IMPRESION</f>
        <v>#NAME?</v>
      </c>
    </row>
    <row r="526" spans="1:107">
      <c r="A526">
        <v>168</v>
      </c>
      <c r="B526" t="s">
        <v>107</v>
      </c>
      <c r="C526" t="s">
        <v>674</v>
      </c>
      <c r="D526" t="s">
        <v>675</v>
      </c>
      <c r="E526" t="s">
        <v>1901</v>
      </c>
      <c r="F526" t="s">
        <v>431</v>
      </c>
      <c r="G526" t="s">
        <v>469</v>
      </c>
      <c r="H526">
        <v>0.9</v>
      </c>
      <c r="I526">
        <v>52</v>
      </c>
      <c r="J526">
        <v>0</v>
      </c>
      <c r="K526">
        <v>0</v>
      </c>
      <c r="L526" t="s">
        <v>112</v>
      </c>
      <c r="M526" t="s">
        <v>118</v>
      </c>
      <c r="N526">
        <v>40</v>
      </c>
      <c r="O526">
        <v>1</v>
      </c>
      <c r="P526" t="s">
        <v>138</v>
      </c>
      <c r="Q526">
        <v>40</v>
      </c>
      <c r="R526">
        <v>0</v>
      </c>
      <c r="S526">
        <v>0</v>
      </c>
      <c r="T526">
        <v>0</v>
      </c>
      <c r="U526" s="1" t="s">
        <v>1902</v>
      </c>
      <c r="V526">
        <v>0</v>
      </c>
      <c r="W526">
        <v>25</v>
      </c>
      <c r="X526">
        <v>8</v>
      </c>
      <c r="Y526">
        <v>0</v>
      </c>
      <c r="Z526" t="s">
        <v>111</v>
      </c>
      <c r="AA526">
        <v>0</v>
      </c>
      <c r="AB526" t="s">
        <v>111</v>
      </c>
      <c r="AC526">
        <v>0</v>
      </c>
      <c r="AD526" t="s">
        <v>416</v>
      </c>
      <c r="AE526">
        <v>4</v>
      </c>
      <c r="AF526">
        <v>1</v>
      </c>
      <c r="AG526" t="s">
        <v>678</v>
      </c>
      <c r="AH526" t="s">
        <v>113</v>
      </c>
      <c r="AI526">
        <v>42</v>
      </c>
      <c r="AJ526" t="s">
        <v>111</v>
      </c>
      <c r="AK526" t="s">
        <v>111</v>
      </c>
      <c r="AL526" t="s">
        <v>111</v>
      </c>
      <c r="AM526">
        <v>0</v>
      </c>
      <c r="AN526">
        <v>0</v>
      </c>
      <c r="AO526">
        <v>0</v>
      </c>
      <c r="AP526" t="s">
        <v>679</v>
      </c>
      <c r="AQ526" t="s">
        <v>111</v>
      </c>
      <c r="AR526" t="s">
        <v>111</v>
      </c>
      <c r="AS526" t="s">
        <v>111</v>
      </c>
      <c r="AT526" t="s">
        <v>184</v>
      </c>
      <c r="AU526" t="s">
        <v>111</v>
      </c>
      <c r="AV526" t="s">
        <v>111</v>
      </c>
      <c r="AW526" t="s">
        <v>111</v>
      </c>
      <c r="AX526" t="s">
        <v>259</v>
      </c>
      <c r="AY526" t="s">
        <v>111</v>
      </c>
      <c r="AZ526" t="s">
        <v>111</v>
      </c>
      <c r="BA526" t="s">
        <v>111</v>
      </c>
      <c r="BB526" t="s">
        <v>147</v>
      </c>
      <c r="BC526" t="s">
        <v>111</v>
      </c>
      <c r="BD526" t="s">
        <v>111</v>
      </c>
      <c r="BE526" t="s">
        <v>111</v>
      </c>
      <c r="BF526" t="s">
        <v>111</v>
      </c>
      <c r="BG526" t="s">
        <v>111</v>
      </c>
      <c r="BH526" t="s">
        <v>111</v>
      </c>
      <c r="BI526" t="s">
        <v>111</v>
      </c>
      <c r="BJ526" t="s">
        <v>111</v>
      </c>
      <c r="BK526" t="s">
        <v>111</v>
      </c>
      <c r="BL526" t="s">
        <v>111</v>
      </c>
      <c r="BM526" t="s">
        <v>111</v>
      </c>
      <c r="BN526" t="s">
        <v>111</v>
      </c>
      <c r="BO526" t="s">
        <v>111</v>
      </c>
      <c r="BP526" t="s">
        <v>111</v>
      </c>
      <c r="BQ526" t="s">
        <v>111</v>
      </c>
      <c r="BR526" t="s">
        <v>111</v>
      </c>
      <c r="BS526" t="s">
        <v>111</v>
      </c>
      <c r="BT526" t="s">
        <v>111</v>
      </c>
      <c r="BU526" t="s">
        <v>111</v>
      </c>
      <c r="BV526" t="s">
        <v>111</v>
      </c>
      <c r="BW526" t="s">
        <v>111</v>
      </c>
      <c r="BX526" t="s">
        <v>111</v>
      </c>
      <c r="BY526" t="s">
        <v>111</v>
      </c>
      <c r="BZ526" t="s">
        <v>111</v>
      </c>
      <c r="CA526" t="s">
        <v>111</v>
      </c>
      <c r="CB526" t="s">
        <v>111</v>
      </c>
      <c r="CC526" t="s">
        <v>111</v>
      </c>
      <c r="CD526" t="s">
        <v>111</v>
      </c>
      <c r="CE526" t="s">
        <v>111</v>
      </c>
      <c r="CF526" t="s">
        <v>111</v>
      </c>
      <c r="CG526" t="s">
        <v>111</v>
      </c>
      <c r="CH526" t="s">
        <v>111</v>
      </c>
      <c r="CI526" t="s">
        <v>111</v>
      </c>
      <c r="CJ526" t="s">
        <v>111</v>
      </c>
      <c r="CK526" t="s">
        <v>111</v>
      </c>
      <c r="CL526" t="s">
        <v>153</v>
      </c>
      <c r="CM526" t="s">
        <v>198</v>
      </c>
      <c r="CN526" t="s">
        <v>113</v>
      </c>
      <c r="CO526" t="s">
        <v>111</v>
      </c>
      <c r="CP526" t="s">
        <v>433</v>
      </c>
      <c r="CQ526">
        <v>0</v>
      </c>
      <c r="CR526">
        <v>12000</v>
      </c>
      <c r="CS526">
        <v>500</v>
      </c>
      <c r="CT526" t="s">
        <v>111</v>
      </c>
      <c r="CU526">
        <v>0</v>
      </c>
      <c r="CV526" t="s">
        <v>111</v>
      </c>
      <c r="CW526" t="s">
        <v>111</v>
      </c>
      <c r="CX526" t="s">
        <v>111</v>
      </c>
      <c r="CY526">
        <v>0</v>
      </c>
      <c r="CZ526" t="s">
        <v>111</v>
      </c>
      <c r="DA526" t="s">
        <v>111</v>
      </c>
      <c r="DB526" t="s">
        <v>111</v>
      </c>
      <c r="DC526" t="s">
        <v>111</v>
      </c>
    </row>
    <row r="527" spans="1:107">
      <c r="A527">
        <v>1789</v>
      </c>
      <c r="B527" t="s">
        <v>107</v>
      </c>
      <c r="C527" t="s">
        <v>399</v>
      </c>
      <c r="D527" t="s">
        <v>1903</v>
      </c>
      <c r="E527" t="s">
        <v>1904</v>
      </c>
      <c r="F527" t="s">
        <v>125</v>
      </c>
      <c r="G527" t="s">
        <v>469</v>
      </c>
      <c r="H527">
        <v>0.4</v>
      </c>
      <c r="I527">
        <v>49</v>
      </c>
      <c r="J527">
        <v>0</v>
      </c>
      <c r="K527">
        <v>0</v>
      </c>
      <c r="L527" t="s">
        <v>112</v>
      </c>
      <c r="M527" t="s">
        <v>138</v>
      </c>
      <c r="N527">
        <v>0</v>
      </c>
      <c r="O527">
        <v>0</v>
      </c>
      <c r="P527" t="s">
        <v>138</v>
      </c>
      <c r="Q527">
        <v>35</v>
      </c>
      <c r="R527">
        <v>0</v>
      </c>
      <c r="S527">
        <v>0</v>
      </c>
      <c r="T527">
        <v>5</v>
      </c>
      <c r="U527" t="s">
        <v>111</v>
      </c>
      <c r="V527">
        <v>25</v>
      </c>
      <c r="W527">
        <v>0</v>
      </c>
      <c r="X527">
        <v>6</v>
      </c>
      <c r="Y527">
        <v>0</v>
      </c>
      <c r="Z527" t="s">
        <v>111</v>
      </c>
      <c r="AA527">
        <v>0</v>
      </c>
      <c r="AB527" t="s">
        <v>111</v>
      </c>
      <c r="AC527">
        <v>0</v>
      </c>
      <c r="AD527" t="s">
        <v>111</v>
      </c>
      <c r="AE527">
        <v>0</v>
      </c>
      <c r="AF527">
        <v>0</v>
      </c>
      <c r="AG527" t="s">
        <v>111</v>
      </c>
      <c r="AH527" t="s">
        <v>111</v>
      </c>
      <c r="AI527" t="s">
        <v>111</v>
      </c>
      <c r="AJ527" t="s">
        <v>111</v>
      </c>
      <c r="AK527" t="s">
        <v>111</v>
      </c>
      <c r="AL527" t="s">
        <v>111</v>
      </c>
      <c r="AM527">
        <v>0</v>
      </c>
      <c r="AN527">
        <v>0</v>
      </c>
      <c r="AO527">
        <v>0</v>
      </c>
      <c r="AP527" t="s">
        <v>111</v>
      </c>
      <c r="AQ527" t="s">
        <v>111</v>
      </c>
      <c r="AR527" t="s">
        <v>111</v>
      </c>
      <c r="AS527" t="s">
        <v>111</v>
      </c>
      <c r="AT527" t="s">
        <v>111</v>
      </c>
      <c r="AU527" t="s">
        <v>111</v>
      </c>
      <c r="AV527" t="s">
        <v>111</v>
      </c>
      <c r="AW527" t="s">
        <v>111</v>
      </c>
      <c r="AX527" t="s">
        <v>111</v>
      </c>
      <c r="AY527" t="s">
        <v>111</v>
      </c>
      <c r="AZ527" t="s">
        <v>111</v>
      </c>
      <c r="BA527" t="s">
        <v>111</v>
      </c>
      <c r="BB527" t="s">
        <v>111</v>
      </c>
      <c r="BC527" t="s">
        <v>111</v>
      </c>
      <c r="BD527" t="s">
        <v>111</v>
      </c>
      <c r="BE527" t="s">
        <v>111</v>
      </c>
      <c r="BF527" t="s">
        <v>111</v>
      </c>
      <c r="BG527" t="s">
        <v>111</v>
      </c>
      <c r="BH527" t="s">
        <v>111</v>
      </c>
      <c r="BI527" t="s">
        <v>111</v>
      </c>
      <c r="BJ527" t="s">
        <v>111</v>
      </c>
      <c r="BK527" t="s">
        <v>111</v>
      </c>
      <c r="BL527" t="s">
        <v>111</v>
      </c>
      <c r="BM527" t="s">
        <v>111</v>
      </c>
      <c r="BN527" t="s">
        <v>111</v>
      </c>
      <c r="BO527" t="s">
        <v>111</v>
      </c>
      <c r="BP527" t="s">
        <v>111</v>
      </c>
      <c r="BQ527" t="s">
        <v>111</v>
      </c>
      <c r="BR527" t="s">
        <v>111</v>
      </c>
      <c r="BS527" t="s">
        <v>111</v>
      </c>
      <c r="BT527" t="s">
        <v>111</v>
      </c>
      <c r="BU527" t="s">
        <v>111</v>
      </c>
      <c r="BV527" t="s">
        <v>111</v>
      </c>
      <c r="BW527" t="s">
        <v>111</v>
      </c>
      <c r="BX527" t="s">
        <v>111</v>
      </c>
      <c r="BY527" t="s">
        <v>111</v>
      </c>
      <c r="BZ527" t="s">
        <v>111</v>
      </c>
      <c r="CA527" t="s">
        <v>111</v>
      </c>
      <c r="CB527" t="s">
        <v>111</v>
      </c>
      <c r="CC527" t="s">
        <v>111</v>
      </c>
      <c r="CD527" t="s">
        <v>111</v>
      </c>
      <c r="CE527" t="s">
        <v>111</v>
      </c>
      <c r="CF527" t="s">
        <v>111</v>
      </c>
      <c r="CG527" t="s">
        <v>111</v>
      </c>
      <c r="CH527" t="s">
        <v>111</v>
      </c>
      <c r="CI527" t="s">
        <v>111</v>
      </c>
      <c r="CJ527" t="s">
        <v>111</v>
      </c>
      <c r="CK527" t="s">
        <v>111</v>
      </c>
      <c r="CL527" t="s">
        <v>111</v>
      </c>
      <c r="CM527" t="s">
        <v>438</v>
      </c>
      <c r="CN527" t="s">
        <v>113</v>
      </c>
      <c r="CO527" t="s">
        <v>111</v>
      </c>
      <c r="CP527" t="s">
        <v>111</v>
      </c>
      <c r="CQ527">
        <v>0</v>
      </c>
      <c r="CR527">
        <v>4000</v>
      </c>
      <c r="CS527">
        <v>200</v>
      </c>
      <c r="CT527" t="s">
        <v>111</v>
      </c>
      <c r="CU527">
        <v>0</v>
      </c>
      <c r="CV527" t="s">
        <v>111</v>
      </c>
      <c r="CX527" t="s">
        <v>111</v>
      </c>
      <c r="CY527">
        <v>0</v>
      </c>
      <c r="CZ527" t="s">
        <v>111</v>
      </c>
      <c r="DA527" t="s">
        <v>111</v>
      </c>
      <c r="DB527" t="s">
        <v>111</v>
      </c>
      <c r="DC527" t="s">
        <v>111</v>
      </c>
    </row>
    <row r="528" spans="1:107">
      <c r="A528">
        <v>186</v>
      </c>
      <c r="B528" t="s">
        <v>162</v>
      </c>
      <c r="C528" t="s">
        <v>226</v>
      </c>
      <c r="D528" t="s">
        <v>1905</v>
      </c>
      <c r="E528" t="s">
        <v>1906</v>
      </c>
      <c r="F528" t="s">
        <v>192</v>
      </c>
      <c r="G528" t="s">
        <v>469</v>
      </c>
      <c r="H528">
        <v>1.45</v>
      </c>
      <c r="I528">
        <v>70</v>
      </c>
      <c r="J528">
        <v>0</v>
      </c>
      <c r="K528">
        <v>0</v>
      </c>
      <c r="L528" t="s">
        <v>112</v>
      </c>
      <c r="M528" t="s">
        <v>138</v>
      </c>
      <c r="N528">
        <v>0</v>
      </c>
      <c r="O528">
        <v>0</v>
      </c>
      <c r="P528" t="s">
        <v>138</v>
      </c>
      <c r="Q528">
        <v>43</v>
      </c>
      <c r="R528">
        <v>0</v>
      </c>
      <c r="S528">
        <v>0</v>
      </c>
      <c r="T528">
        <v>5</v>
      </c>
      <c r="U528" s="1" t="s">
        <v>1907</v>
      </c>
      <c r="V528">
        <v>0</v>
      </c>
      <c r="W528">
        <v>25</v>
      </c>
      <c r="X528">
        <v>6</v>
      </c>
      <c r="Y528">
        <v>0</v>
      </c>
      <c r="Z528" t="s">
        <v>111</v>
      </c>
      <c r="AA528">
        <v>0</v>
      </c>
      <c r="AB528" t="s">
        <v>111</v>
      </c>
      <c r="AC528">
        <v>0</v>
      </c>
      <c r="AD528" t="s">
        <v>111</v>
      </c>
      <c r="AE528">
        <v>0</v>
      </c>
      <c r="AF528">
        <v>0</v>
      </c>
      <c r="AG528" t="s">
        <v>111</v>
      </c>
      <c r="AH528" t="s">
        <v>111</v>
      </c>
      <c r="AI528" t="s">
        <v>111</v>
      </c>
      <c r="AJ528" t="s">
        <v>111</v>
      </c>
      <c r="AK528" t="s">
        <v>111</v>
      </c>
      <c r="AL528" t="s">
        <v>111</v>
      </c>
      <c r="AM528">
        <v>0</v>
      </c>
      <c r="AN528">
        <v>0</v>
      </c>
      <c r="AO528">
        <v>0</v>
      </c>
      <c r="AP528" t="s">
        <v>111</v>
      </c>
      <c r="AQ528" t="s">
        <v>111</v>
      </c>
      <c r="AR528" t="s">
        <v>111</v>
      </c>
      <c r="AS528" t="s">
        <v>111</v>
      </c>
      <c r="AT528" t="s">
        <v>111</v>
      </c>
      <c r="AU528" t="s">
        <v>111</v>
      </c>
      <c r="AV528" t="s">
        <v>111</v>
      </c>
      <c r="AW528" t="s">
        <v>111</v>
      </c>
      <c r="AX528" t="s">
        <v>111</v>
      </c>
      <c r="AY528" t="s">
        <v>111</v>
      </c>
      <c r="AZ528" t="s">
        <v>111</v>
      </c>
      <c r="BA528" t="s">
        <v>111</v>
      </c>
      <c r="BB528" t="s">
        <v>111</v>
      </c>
      <c r="BC528" t="s">
        <v>111</v>
      </c>
      <c r="BD528" t="s">
        <v>111</v>
      </c>
      <c r="BE528" t="s">
        <v>111</v>
      </c>
      <c r="BF528" t="s">
        <v>111</v>
      </c>
      <c r="BG528" t="s">
        <v>111</v>
      </c>
      <c r="BH528" t="s">
        <v>111</v>
      </c>
      <c r="BI528" t="s">
        <v>111</v>
      </c>
      <c r="BJ528" t="s">
        <v>111</v>
      </c>
      <c r="BK528" t="s">
        <v>111</v>
      </c>
      <c r="BL528" t="s">
        <v>111</v>
      </c>
      <c r="BM528" t="s">
        <v>111</v>
      </c>
      <c r="BN528" t="s">
        <v>111</v>
      </c>
      <c r="BO528" t="s">
        <v>111</v>
      </c>
      <c r="BP528" t="s">
        <v>111</v>
      </c>
      <c r="BQ528" t="s">
        <v>111</v>
      </c>
      <c r="BR528" t="s">
        <v>111</v>
      </c>
      <c r="BS528" t="s">
        <v>111</v>
      </c>
      <c r="BT528" t="s">
        <v>111</v>
      </c>
      <c r="BU528" t="s">
        <v>111</v>
      </c>
      <c r="BV528" t="s">
        <v>111</v>
      </c>
      <c r="BW528" t="s">
        <v>111</v>
      </c>
      <c r="BX528" t="s">
        <v>111</v>
      </c>
      <c r="BY528" t="s">
        <v>111</v>
      </c>
      <c r="BZ528" t="s">
        <v>111</v>
      </c>
      <c r="CA528" t="s">
        <v>111</v>
      </c>
      <c r="CB528" t="s">
        <v>111</v>
      </c>
      <c r="CC528" t="s">
        <v>111</v>
      </c>
      <c r="CD528" t="s">
        <v>111</v>
      </c>
      <c r="CE528" t="s">
        <v>111</v>
      </c>
      <c r="CF528" t="s">
        <v>111</v>
      </c>
      <c r="CG528" t="s">
        <v>111</v>
      </c>
      <c r="CH528" t="s">
        <v>111</v>
      </c>
      <c r="CI528" t="s">
        <v>111</v>
      </c>
      <c r="CJ528" t="s">
        <v>111</v>
      </c>
      <c r="CK528" t="s">
        <v>111</v>
      </c>
      <c r="CL528" t="s">
        <v>111</v>
      </c>
      <c r="CM528" t="s">
        <v>198</v>
      </c>
      <c r="CN528" t="s">
        <v>113</v>
      </c>
      <c r="CO528" t="s">
        <v>111</v>
      </c>
      <c r="CP528" t="s">
        <v>111</v>
      </c>
      <c r="CQ528">
        <v>0</v>
      </c>
      <c r="CR528">
        <v>5000</v>
      </c>
      <c r="CS528">
        <v>200</v>
      </c>
      <c r="CT528" t="s">
        <v>1908</v>
      </c>
      <c r="CU528">
        <v>0</v>
      </c>
      <c r="CV528" t="s">
        <v>111</v>
      </c>
      <c r="CW528" t="s">
        <v>111</v>
      </c>
      <c r="CX528" t="s">
        <v>111</v>
      </c>
      <c r="CY528">
        <v>0</v>
      </c>
      <c r="CZ528" t="s">
        <v>111</v>
      </c>
      <c r="DA528" t="s">
        <v>111</v>
      </c>
      <c r="DB528" t="s">
        <v>111</v>
      </c>
      <c r="DC528" t="s">
        <v>111</v>
      </c>
    </row>
    <row r="529" spans="1:107">
      <c r="A529">
        <v>1813</v>
      </c>
      <c r="B529" t="s">
        <v>107</v>
      </c>
      <c r="C529" t="s">
        <v>336</v>
      </c>
      <c r="D529" t="s">
        <v>1824</v>
      </c>
      <c r="E529" t="s">
        <v>1909</v>
      </c>
      <c r="F529" t="s">
        <v>125</v>
      </c>
      <c r="G529" t="s">
        <v>469</v>
      </c>
      <c r="H529">
        <v>2</v>
      </c>
      <c r="I529">
        <v>51</v>
      </c>
      <c r="J529">
        <v>0</v>
      </c>
      <c r="K529">
        <v>0</v>
      </c>
      <c r="L529" t="s">
        <v>112</v>
      </c>
      <c r="M529" t="s">
        <v>138</v>
      </c>
      <c r="N529">
        <v>0</v>
      </c>
      <c r="O529">
        <v>0</v>
      </c>
      <c r="P529" t="s">
        <v>111</v>
      </c>
      <c r="Q529">
        <v>40</v>
      </c>
      <c r="R529">
        <v>0</v>
      </c>
      <c r="S529">
        <v>0</v>
      </c>
      <c r="T529">
        <v>5</v>
      </c>
      <c r="U529" t="e">
        <f>-SELLADO</f>
        <v>#NAME?</v>
      </c>
      <c r="V529">
        <v>12.5</v>
      </c>
      <c r="W529">
        <v>12.5</v>
      </c>
      <c r="X529">
        <v>0</v>
      </c>
      <c r="Y529">
        <v>0</v>
      </c>
      <c r="Z529" t="s">
        <v>111</v>
      </c>
      <c r="AA529">
        <v>0</v>
      </c>
      <c r="AB529" t="s">
        <v>1910</v>
      </c>
      <c r="AC529">
        <v>25</v>
      </c>
      <c r="AD529" t="s">
        <v>111</v>
      </c>
      <c r="AE529">
        <v>0</v>
      </c>
      <c r="AF529">
        <v>0</v>
      </c>
      <c r="AG529" t="s">
        <v>111</v>
      </c>
      <c r="AH529" t="s">
        <v>111</v>
      </c>
      <c r="AI529" t="s">
        <v>111</v>
      </c>
      <c r="AJ529" t="s">
        <v>111</v>
      </c>
      <c r="AK529" t="s">
        <v>111</v>
      </c>
      <c r="AL529" t="s">
        <v>111</v>
      </c>
      <c r="AM529">
        <v>0</v>
      </c>
      <c r="AN529">
        <v>0</v>
      </c>
      <c r="AO529">
        <v>0</v>
      </c>
      <c r="AP529" t="s">
        <v>111</v>
      </c>
      <c r="AQ529" t="s">
        <v>111</v>
      </c>
      <c r="AR529" t="s">
        <v>111</v>
      </c>
      <c r="AS529" t="s">
        <v>111</v>
      </c>
      <c r="AT529" t="s">
        <v>111</v>
      </c>
      <c r="AU529" t="s">
        <v>111</v>
      </c>
      <c r="AV529" t="s">
        <v>111</v>
      </c>
      <c r="AW529" t="s">
        <v>111</v>
      </c>
      <c r="AX529" t="s">
        <v>111</v>
      </c>
      <c r="AY529" t="s">
        <v>111</v>
      </c>
      <c r="AZ529" t="s">
        <v>111</v>
      </c>
      <c r="BA529" t="s">
        <v>111</v>
      </c>
      <c r="BB529" t="s">
        <v>111</v>
      </c>
      <c r="BC529" t="s">
        <v>111</v>
      </c>
      <c r="BD529" t="s">
        <v>111</v>
      </c>
      <c r="BE529" t="s">
        <v>111</v>
      </c>
      <c r="BF529" t="s">
        <v>111</v>
      </c>
      <c r="BG529" t="s">
        <v>111</v>
      </c>
      <c r="BH529" t="s">
        <v>111</v>
      </c>
      <c r="BI529" t="s">
        <v>111</v>
      </c>
      <c r="BJ529" t="s">
        <v>111</v>
      </c>
      <c r="BK529" t="s">
        <v>111</v>
      </c>
      <c r="BL529" t="s">
        <v>111</v>
      </c>
      <c r="BM529" t="s">
        <v>111</v>
      </c>
      <c r="BN529" t="s">
        <v>111</v>
      </c>
      <c r="BO529" t="s">
        <v>111</v>
      </c>
      <c r="BP529" t="s">
        <v>111</v>
      </c>
      <c r="BQ529" t="s">
        <v>111</v>
      </c>
      <c r="BR529" t="s">
        <v>111</v>
      </c>
      <c r="BS529" t="s">
        <v>111</v>
      </c>
      <c r="BT529" t="s">
        <v>111</v>
      </c>
      <c r="BU529" t="s">
        <v>111</v>
      </c>
      <c r="BV529" t="s">
        <v>111</v>
      </c>
      <c r="BW529" t="s">
        <v>111</v>
      </c>
      <c r="BX529" t="s">
        <v>111</v>
      </c>
      <c r="BY529" t="s">
        <v>111</v>
      </c>
      <c r="BZ529" t="s">
        <v>111</v>
      </c>
      <c r="CA529" t="s">
        <v>111</v>
      </c>
      <c r="CB529" t="s">
        <v>111</v>
      </c>
      <c r="CC529" t="s">
        <v>111</v>
      </c>
      <c r="CD529" t="s">
        <v>111</v>
      </c>
      <c r="CE529" t="s">
        <v>111</v>
      </c>
      <c r="CF529" t="s">
        <v>111</v>
      </c>
      <c r="CG529" t="s">
        <v>111</v>
      </c>
      <c r="CH529" t="s">
        <v>111</v>
      </c>
      <c r="CI529" t="s">
        <v>111</v>
      </c>
      <c r="CJ529" t="s">
        <v>111</v>
      </c>
      <c r="CK529" t="s">
        <v>111</v>
      </c>
      <c r="CL529" t="s">
        <v>111</v>
      </c>
      <c r="CM529" t="s">
        <v>111</v>
      </c>
      <c r="CN529" t="s">
        <v>111</v>
      </c>
      <c r="CO529" t="s">
        <v>111</v>
      </c>
      <c r="CP529" t="s">
        <v>111</v>
      </c>
      <c r="CQ529">
        <v>0</v>
      </c>
      <c r="CR529">
        <v>0</v>
      </c>
      <c r="CS529">
        <v>0</v>
      </c>
      <c r="CT529" t="s">
        <v>111</v>
      </c>
      <c r="CU529">
        <v>0</v>
      </c>
      <c r="CV529" t="s">
        <v>111</v>
      </c>
      <c r="CX529" t="s">
        <v>111</v>
      </c>
      <c r="CY529">
        <v>0</v>
      </c>
      <c r="CZ529" t="s">
        <v>111</v>
      </c>
      <c r="DA529" t="s">
        <v>111</v>
      </c>
      <c r="DB529" t="e">
        <f>-INTERNO</f>
        <v>#NAME?</v>
      </c>
      <c r="DC529" t="e">
        <f>-CORTE Y SELLE</f>
        <v>#NAME?</v>
      </c>
    </row>
    <row r="530" spans="1:107">
      <c r="A530">
        <v>2000</v>
      </c>
      <c r="B530" t="s">
        <v>107</v>
      </c>
      <c r="C530" t="s">
        <v>114</v>
      </c>
      <c r="D530" t="s">
        <v>1876</v>
      </c>
      <c r="E530" t="s">
        <v>1911</v>
      </c>
      <c r="F530" t="s">
        <v>431</v>
      </c>
      <c r="G530" t="s">
        <v>469</v>
      </c>
      <c r="H530">
        <v>2.4</v>
      </c>
      <c r="I530">
        <v>70</v>
      </c>
      <c r="J530">
        <v>0</v>
      </c>
      <c r="K530">
        <v>0</v>
      </c>
      <c r="L530" t="s">
        <v>117</v>
      </c>
      <c r="M530" t="s">
        <v>118</v>
      </c>
      <c r="N530">
        <v>39</v>
      </c>
      <c r="O530">
        <v>1</v>
      </c>
      <c r="P530" t="s">
        <v>111</v>
      </c>
      <c r="Q530">
        <v>34.299999999999997</v>
      </c>
      <c r="R530">
        <v>0</v>
      </c>
      <c r="S530">
        <v>0</v>
      </c>
      <c r="T530">
        <v>5</v>
      </c>
      <c r="U530" s="1" t="s">
        <v>1912</v>
      </c>
      <c r="V530">
        <v>0</v>
      </c>
      <c r="W530">
        <v>25</v>
      </c>
      <c r="X530">
        <v>80</v>
      </c>
      <c r="Y530">
        <v>0</v>
      </c>
      <c r="Z530" t="s">
        <v>111</v>
      </c>
      <c r="AA530">
        <v>0</v>
      </c>
      <c r="AB530" t="s">
        <v>1913</v>
      </c>
      <c r="AC530">
        <v>8</v>
      </c>
      <c r="AD530" t="s">
        <v>493</v>
      </c>
      <c r="AE530">
        <v>0</v>
      </c>
      <c r="AF530">
        <v>0</v>
      </c>
      <c r="AG530" t="s">
        <v>111</v>
      </c>
      <c r="AH530" t="s">
        <v>111</v>
      </c>
      <c r="AI530" t="s">
        <v>111</v>
      </c>
      <c r="AJ530" t="s">
        <v>111</v>
      </c>
      <c r="AK530" t="s">
        <v>111</v>
      </c>
      <c r="AL530" t="s">
        <v>111</v>
      </c>
      <c r="AM530">
        <v>0</v>
      </c>
      <c r="AN530">
        <v>0</v>
      </c>
      <c r="AO530">
        <v>0</v>
      </c>
      <c r="AP530" t="s">
        <v>111</v>
      </c>
      <c r="AQ530" t="s">
        <v>111</v>
      </c>
      <c r="AR530" t="s">
        <v>111</v>
      </c>
      <c r="AS530" t="s">
        <v>111</v>
      </c>
      <c r="AT530" t="s">
        <v>111</v>
      </c>
      <c r="AU530" t="s">
        <v>111</v>
      </c>
      <c r="AV530" t="s">
        <v>111</v>
      </c>
      <c r="AW530" t="s">
        <v>111</v>
      </c>
      <c r="AX530" t="s">
        <v>111</v>
      </c>
      <c r="AY530" t="s">
        <v>111</v>
      </c>
      <c r="AZ530" t="s">
        <v>111</v>
      </c>
      <c r="BA530" t="s">
        <v>111</v>
      </c>
      <c r="BB530" t="s">
        <v>111</v>
      </c>
      <c r="BC530" t="s">
        <v>111</v>
      </c>
      <c r="BD530" t="s">
        <v>111</v>
      </c>
      <c r="BE530" t="s">
        <v>111</v>
      </c>
      <c r="BF530" t="s">
        <v>111</v>
      </c>
      <c r="BG530" t="s">
        <v>111</v>
      </c>
      <c r="BH530" t="s">
        <v>111</v>
      </c>
      <c r="BI530" t="s">
        <v>111</v>
      </c>
      <c r="BJ530" t="s">
        <v>111</v>
      </c>
      <c r="BK530" t="s">
        <v>111</v>
      </c>
      <c r="BL530" t="s">
        <v>111</v>
      </c>
      <c r="BM530" t="s">
        <v>111</v>
      </c>
      <c r="BN530" t="s">
        <v>111</v>
      </c>
      <c r="BO530" t="s">
        <v>111</v>
      </c>
      <c r="BP530" t="s">
        <v>111</v>
      </c>
      <c r="BQ530" t="s">
        <v>111</v>
      </c>
      <c r="BR530" t="s">
        <v>111</v>
      </c>
      <c r="BS530" t="s">
        <v>111</v>
      </c>
      <c r="BT530" t="s">
        <v>111</v>
      </c>
      <c r="BU530" t="s">
        <v>111</v>
      </c>
      <c r="BV530" t="s">
        <v>111</v>
      </c>
      <c r="BW530" t="s">
        <v>111</v>
      </c>
      <c r="BX530" t="s">
        <v>111</v>
      </c>
      <c r="BY530" t="s">
        <v>111</v>
      </c>
      <c r="BZ530" t="s">
        <v>111</v>
      </c>
      <c r="CA530" t="s">
        <v>111</v>
      </c>
      <c r="CB530" t="s">
        <v>111</v>
      </c>
      <c r="CC530" t="s">
        <v>111</v>
      </c>
      <c r="CD530" t="s">
        <v>111</v>
      </c>
      <c r="CE530" t="s">
        <v>111</v>
      </c>
      <c r="CF530" t="s">
        <v>111</v>
      </c>
      <c r="CG530" t="s">
        <v>111</v>
      </c>
      <c r="CH530" t="s">
        <v>111</v>
      </c>
      <c r="CI530" t="s">
        <v>111</v>
      </c>
      <c r="CJ530" t="s">
        <v>111</v>
      </c>
      <c r="CK530" t="s">
        <v>111</v>
      </c>
      <c r="CL530" t="s">
        <v>111</v>
      </c>
      <c r="CM530" t="s">
        <v>360</v>
      </c>
      <c r="CN530" t="s">
        <v>113</v>
      </c>
      <c r="CO530" t="s">
        <v>111</v>
      </c>
      <c r="CP530" t="s">
        <v>111</v>
      </c>
      <c r="CQ530">
        <v>0</v>
      </c>
      <c r="CR530">
        <v>3000</v>
      </c>
      <c r="CS530">
        <v>100</v>
      </c>
      <c r="CT530" t="e">
        <f>-ALMACEN</f>
        <v>#NAME?</v>
      </c>
      <c r="CU530">
        <v>0</v>
      </c>
      <c r="CV530" t="s">
        <v>111</v>
      </c>
      <c r="CX530" t="s">
        <v>111</v>
      </c>
      <c r="CY530">
        <v>0</v>
      </c>
      <c r="CZ530" t="s">
        <v>111</v>
      </c>
      <c r="DA530" t="s">
        <v>111</v>
      </c>
      <c r="DB530" t="s">
        <v>111</v>
      </c>
      <c r="DC530" t="s">
        <v>111</v>
      </c>
    </row>
    <row r="531" spans="1:107">
      <c r="A531">
        <v>1700</v>
      </c>
      <c r="B531" t="s">
        <v>107</v>
      </c>
      <c r="C531" t="s">
        <v>405</v>
      </c>
      <c r="D531" t="s">
        <v>1914</v>
      </c>
      <c r="E531" t="s">
        <v>1915</v>
      </c>
      <c r="F531" t="s">
        <v>116</v>
      </c>
      <c r="G531" t="s">
        <v>469</v>
      </c>
      <c r="H531">
        <v>1.9</v>
      </c>
      <c r="I531">
        <v>45</v>
      </c>
      <c r="J531">
        <v>0</v>
      </c>
      <c r="K531">
        <v>0</v>
      </c>
      <c r="L531" t="s">
        <v>117</v>
      </c>
      <c r="M531" t="s">
        <v>138</v>
      </c>
      <c r="N531">
        <v>0</v>
      </c>
      <c r="O531">
        <v>0</v>
      </c>
      <c r="P531" t="s">
        <v>111</v>
      </c>
      <c r="Q531">
        <v>29.4</v>
      </c>
      <c r="R531">
        <v>0</v>
      </c>
      <c r="S531">
        <v>0</v>
      </c>
      <c r="T531">
        <v>0</v>
      </c>
      <c r="U531" s="1" t="s">
        <v>1916</v>
      </c>
      <c r="V531">
        <v>0</v>
      </c>
      <c r="W531">
        <v>25</v>
      </c>
      <c r="X531">
        <v>5</v>
      </c>
      <c r="Y531">
        <v>0</v>
      </c>
      <c r="Z531" t="s">
        <v>111</v>
      </c>
      <c r="AA531">
        <v>0</v>
      </c>
      <c r="AB531" t="s">
        <v>111</v>
      </c>
      <c r="AC531">
        <v>0</v>
      </c>
      <c r="AD531" t="s">
        <v>111</v>
      </c>
      <c r="AE531">
        <v>0</v>
      </c>
      <c r="AF531">
        <v>0</v>
      </c>
      <c r="AG531" t="s">
        <v>111</v>
      </c>
      <c r="AH531" t="s">
        <v>111</v>
      </c>
      <c r="AI531" t="s">
        <v>111</v>
      </c>
      <c r="AJ531" t="s">
        <v>111</v>
      </c>
      <c r="AK531" t="s">
        <v>111</v>
      </c>
      <c r="AL531" t="s">
        <v>111</v>
      </c>
      <c r="AM531">
        <v>0</v>
      </c>
      <c r="AN531">
        <v>0</v>
      </c>
      <c r="AO531">
        <v>0</v>
      </c>
      <c r="AP531" t="s">
        <v>111</v>
      </c>
      <c r="AQ531" t="s">
        <v>111</v>
      </c>
      <c r="AR531" t="s">
        <v>111</v>
      </c>
      <c r="AS531" t="s">
        <v>111</v>
      </c>
      <c r="AT531" t="s">
        <v>111</v>
      </c>
      <c r="AU531" t="s">
        <v>111</v>
      </c>
      <c r="AV531" t="s">
        <v>111</v>
      </c>
      <c r="AW531" t="s">
        <v>111</v>
      </c>
      <c r="AX531" t="s">
        <v>111</v>
      </c>
      <c r="AY531" t="s">
        <v>111</v>
      </c>
      <c r="AZ531" t="s">
        <v>111</v>
      </c>
      <c r="BA531" t="s">
        <v>111</v>
      </c>
      <c r="BB531" t="s">
        <v>111</v>
      </c>
      <c r="BC531" t="s">
        <v>111</v>
      </c>
      <c r="BD531" t="s">
        <v>111</v>
      </c>
      <c r="BE531" t="s">
        <v>111</v>
      </c>
      <c r="BF531" t="s">
        <v>111</v>
      </c>
      <c r="BG531" t="s">
        <v>111</v>
      </c>
      <c r="BH531" t="s">
        <v>111</v>
      </c>
      <c r="BI531" t="s">
        <v>111</v>
      </c>
      <c r="BJ531" t="s">
        <v>111</v>
      </c>
      <c r="BK531" t="s">
        <v>111</v>
      </c>
      <c r="BL531" t="s">
        <v>111</v>
      </c>
      <c r="BM531" t="s">
        <v>111</v>
      </c>
      <c r="BN531" t="s">
        <v>111</v>
      </c>
      <c r="BO531" t="s">
        <v>111</v>
      </c>
      <c r="BP531" t="s">
        <v>111</v>
      </c>
      <c r="BQ531" t="s">
        <v>111</v>
      </c>
      <c r="BR531" t="s">
        <v>111</v>
      </c>
      <c r="BS531" t="s">
        <v>111</v>
      </c>
      <c r="BT531" t="s">
        <v>111</v>
      </c>
      <c r="BU531" t="s">
        <v>111</v>
      </c>
      <c r="BV531" t="s">
        <v>111</v>
      </c>
      <c r="BW531" t="s">
        <v>111</v>
      </c>
      <c r="BX531" t="s">
        <v>111</v>
      </c>
      <c r="BY531" t="s">
        <v>111</v>
      </c>
      <c r="BZ531" t="s">
        <v>111</v>
      </c>
      <c r="CA531" t="s">
        <v>111</v>
      </c>
      <c r="CB531" t="s">
        <v>111</v>
      </c>
      <c r="CC531" t="s">
        <v>111</v>
      </c>
      <c r="CD531" t="s">
        <v>111</v>
      </c>
      <c r="CE531" t="s">
        <v>111</v>
      </c>
      <c r="CF531" t="s">
        <v>111</v>
      </c>
      <c r="CG531" t="s">
        <v>111</v>
      </c>
      <c r="CH531" t="s">
        <v>111</v>
      </c>
      <c r="CI531" t="s">
        <v>111</v>
      </c>
      <c r="CJ531" t="s">
        <v>111</v>
      </c>
      <c r="CK531" t="s">
        <v>111</v>
      </c>
      <c r="CL531" t="s">
        <v>111</v>
      </c>
      <c r="CM531" t="s">
        <v>111</v>
      </c>
      <c r="CN531" t="s">
        <v>111</v>
      </c>
      <c r="CO531" t="s">
        <v>111</v>
      </c>
      <c r="CP531" t="s">
        <v>111</v>
      </c>
      <c r="CQ531">
        <v>0</v>
      </c>
      <c r="CR531">
        <v>0</v>
      </c>
      <c r="CS531">
        <v>0</v>
      </c>
      <c r="CT531" t="s">
        <v>111</v>
      </c>
      <c r="CU531">
        <v>0</v>
      </c>
      <c r="CV531" t="s">
        <v>111</v>
      </c>
      <c r="CX531" t="s">
        <v>111</v>
      </c>
      <c r="CY531">
        <v>0</v>
      </c>
      <c r="CZ531" t="s">
        <v>111</v>
      </c>
      <c r="DA531" t="s">
        <v>111</v>
      </c>
      <c r="DB531" t="s">
        <v>111</v>
      </c>
      <c r="DC531" t="s">
        <v>111</v>
      </c>
    </row>
    <row r="532" spans="1:107">
      <c r="A532">
        <v>1785</v>
      </c>
      <c r="B532" t="s">
        <v>107</v>
      </c>
      <c r="C532" t="s">
        <v>399</v>
      </c>
      <c r="D532" t="s">
        <v>1917</v>
      </c>
      <c r="E532" t="s">
        <v>1918</v>
      </c>
      <c r="F532" t="s">
        <v>1112</v>
      </c>
      <c r="G532" t="s">
        <v>469</v>
      </c>
      <c r="H532">
        <v>0.7</v>
      </c>
      <c r="I532">
        <v>70</v>
      </c>
      <c r="J532">
        <v>0</v>
      </c>
      <c r="K532">
        <v>0</v>
      </c>
      <c r="L532" t="s">
        <v>178</v>
      </c>
      <c r="M532" t="s">
        <v>138</v>
      </c>
      <c r="N532">
        <v>0</v>
      </c>
      <c r="O532">
        <v>0</v>
      </c>
      <c r="P532" t="s">
        <v>138</v>
      </c>
      <c r="Q532">
        <v>46</v>
      </c>
      <c r="R532">
        <v>0</v>
      </c>
      <c r="S532">
        <v>0</v>
      </c>
      <c r="T532">
        <v>5</v>
      </c>
      <c r="U532" t="e">
        <f>-SELLADO</f>
        <v>#NAME?</v>
      </c>
      <c r="V532">
        <v>25</v>
      </c>
      <c r="W532">
        <v>0</v>
      </c>
      <c r="X532">
        <v>7</v>
      </c>
      <c r="Y532">
        <v>0</v>
      </c>
      <c r="Z532" t="s">
        <v>772</v>
      </c>
      <c r="AA532">
        <v>1.5</v>
      </c>
      <c r="AB532" t="s">
        <v>111</v>
      </c>
      <c r="AC532">
        <v>0</v>
      </c>
      <c r="AD532" t="s">
        <v>111</v>
      </c>
      <c r="AE532">
        <v>0</v>
      </c>
      <c r="AF532">
        <v>0</v>
      </c>
      <c r="AG532" t="s">
        <v>111</v>
      </c>
      <c r="AH532" t="s">
        <v>111</v>
      </c>
      <c r="AI532" t="s">
        <v>111</v>
      </c>
      <c r="AJ532" t="s">
        <v>111</v>
      </c>
      <c r="AK532" t="s">
        <v>111</v>
      </c>
      <c r="AL532" t="s">
        <v>111</v>
      </c>
      <c r="AM532">
        <v>0</v>
      </c>
      <c r="AN532">
        <v>0</v>
      </c>
      <c r="AO532">
        <v>0</v>
      </c>
      <c r="AP532" t="s">
        <v>111</v>
      </c>
      <c r="AQ532" t="s">
        <v>111</v>
      </c>
      <c r="AR532" t="s">
        <v>111</v>
      </c>
      <c r="AS532" t="s">
        <v>111</v>
      </c>
      <c r="AT532" t="s">
        <v>111</v>
      </c>
      <c r="AU532" t="s">
        <v>111</v>
      </c>
      <c r="AV532" t="s">
        <v>111</v>
      </c>
      <c r="AW532" t="s">
        <v>111</v>
      </c>
      <c r="AX532" t="s">
        <v>111</v>
      </c>
      <c r="AY532" t="s">
        <v>111</v>
      </c>
      <c r="AZ532" t="s">
        <v>111</v>
      </c>
      <c r="BA532" t="s">
        <v>111</v>
      </c>
      <c r="BB532" t="s">
        <v>111</v>
      </c>
      <c r="BC532" t="s">
        <v>111</v>
      </c>
      <c r="BD532" t="s">
        <v>111</v>
      </c>
      <c r="BE532" t="s">
        <v>111</v>
      </c>
      <c r="BF532" t="s">
        <v>111</v>
      </c>
      <c r="BG532" t="s">
        <v>111</v>
      </c>
      <c r="BH532" t="s">
        <v>111</v>
      </c>
      <c r="BI532" t="s">
        <v>111</v>
      </c>
      <c r="BJ532" t="s">
        <v>111</v>
      </c>
      <c r="BK532" t="s">
        <v>111</v>
      </c>
      <c r="BL532" t="s">
        <v>111</v>
      </c>
      <c r="BM532" t="s">
        <v>111</v>
      </c>
      <c r="BN532" t="s">
        <v>111</v>
      </c>
      <c r="BO532" t="s">
        <v>111</v>
      </c>
      <c r="BP532" t="s">
        <v>111</v>
      </c>
      <c r="BQ532" t="s">
        <v>111</v>
      </c>
      <c r="BR532" t="s">
        <v>111</v>
      </c>
      <c r="BS532" t="s">
        <v>111</v>
      </c>
      <c r="BT532" t="s">
        <v>111</v>
      </c>
      <c r="BU532" t="s">
        <v>111</v>
      </c>
      <c r="BV532" t="s">
        <v>111</v>
      </c>
      <c r="BW532" t="s">
        <v>111</v>
      </c>
      <c r="BX532" t="s">
        <v>111</v>
      </c>
      <c r="BY532" t="s">
        <v>111</v>
      </c>
      <c r="BZ532" t="s">
        <v>111</v>
      </c>
      <c r="CA532" t="s">
        <v>111</v>
      </c>
      <c r="CB532" t="s">
        <v>111</v>
      </c>
      <c r="CC532" t="s">
        <v>111</v>
      </c>
      <c r="CD532" t="s">
        <v>111</v>
      </c>
      <c r="CE532" t="s">
        <v>111</v>
      </c>
      <c r="CF532" t="s">
        <v>111</v>
      </c>
      <c r="CG532" t="s">
        <v>111</v>
      </c>
      <c r="CH532" t="s">
        <v>111</v>
      </c>
      <c r="CI532" t="s">
        <v>111</v>
      </c>
      <c r="CJ532" t="s">
        <v>111</v>
      </c>
      <c r="CK532" t="s">
        <v>111</v>
      </c>
      <c r="CL532" t="s">
        <v>111</v>
      </c>
      <c r="CM532" t="s">
        <v>438</v>
      </c>
      <c r="CN532" t="s">
        <v>113</v>
      </c>
      <c r="CO532" t="s">
        <v>111</v>
      </c>
      <c r="CP532" t="s">
        <v>111</v>
      </c>
      <c r="CQ532">
        <v>0</v>
      </c>
      <c r="CR532">
        <v>500</v>
      </c>
      <c r="CS532">
        <v>50</v>
      </c>
      <c r="CT532" t="e">
        <f>-EMPACAR SEGUN NORMA DEL CLIENTE</f>
        <v>#NAME?</v>
      </c>
      <c r="CU532">
        <v>0</v>
      </c>
      <c r="CV532" t="s">
        <v>111</v>
      </c>
      <c r="CX532" t="s">
        <v>111</v>
      </c>
      <c r="CY532">
        <v>0</v>
      </c>
      <c r="CZ532" t="s">
        <v>111</v>
      </c>
      <c r="DA532" t="s">
        <v>111</v>
      </c>
      <c r="DB532" t="s">
        <v>111</v>
      </c>
      <c r="DC532" t="s">
        <v>111</v>
      </c>
    </row>
    <row r="533" spans="1:107">
      <c r="A533">
        <v>1784</v>
      </c>
      <c r="B533" t="s">
        <v>107</v>
      </c>
      <c r="C533" t="s">
        <v>399</v>
      </c>
      <c r="D533" t="s">
        <v>1919</v>
      </c>
      <c r="E533" t="s">
        <v>1920</v>
      </c>
      <c r="F533" t="s">
        <v>287</v>
      </c>
      <c r="G533" t="s">
        <v>469</v>
      </c>
      <c r="H533">
        <v>0.7</v>
      </c>
      <c r="I533">
        <v>70</v>
      </c>
      <c r="J533">
        <v>0</v>
      </c>
      <c r="K533">
        <v>0</v>
      </c>
      <c r="L533" t="s">
        <v>178</v>
      </c>
      <c r="M533" t="s">
        <v>138</v>
      </c>
      <c r="N533">
        <v>0</v>
      </c>
      <c r="O533">
        <v>0</v>
      </c>
      <c r="P533" t="s">
        <v>138</v>
      </c>
      <c r="Q533">
        <v>46</v>
      </c>
      <c r="R533">
        <v>0</v>
      </c>
      <c r="S533">
        <v>0</v>
      </c>
      <c r="T533">
        <v>5</v>
      </c>
      <c r="U533" t="e">
        <f>-SELLADO</f>
        <v>#NAME?</v>
      </c>
      <c r="V533">
        <v>25</v>
      </c>
      <c r="W533">
        <v>0</v>
      </c>
      <c r="X533">
        <v>7</v>
      </c>
      <c r="Y533">
        <v>0</v>
      </c>
      <c r="Z533" t="s">
        <v>288</v>
      </c>
      <c r="AA533">
        <v>1.2</v>
      </c>
      <c r="AB533" t="s">
        <v>111</v>
      </c>
      <c r="AC533">
        <v>0</v>
      </c>
      <c r="AD533" t="s">
        <v>111</v>
      </c>
      <c r="AE533">
        <v>0</v>
      </c>
      <c r="AF533">
        <v>0</v>
      </c>
      <c r="AG533" t="s">
        <v>111</v>
      </c>
      <c r="AH533" t="s">
        <v>111</v>
      </c>
      <c r="AI533" t="s">
        <v>111</v>
      </c>
      <c r="AJ533" t="s">
        <v>111</v>
      </c>
      <c r="AK533" t="s">
        <v>111</v>
      </c>
      <c r="AL533" t="s">
        <v>111</v>
      </c>
      <c r="AM533">
        <v>0</v>
      </c>
      <c r="AN533">
        <v>0</v>
      </c>
      <c r="AO533">
        <v>0</v>
      </c>
      <c r="AP533" t="s">
        <v>111</v>
      </c>
      <c r="AQ533" t="s">
        <v>111</v>
      </c>
      <c r="AR533" t="s">
        <v>111</v>
      </c>
      <c r="AS533" t="s">
        <v>111</v>
      </c>
      <c r="AT533" t="s">
        <v>111</v>
      </c>
      <c r="AU533" t="s">
        <v>111</v>
      </c>
      <c r="AV533" t="s">
        <v>111</v>
      </c>
      <c r="AW533" t="s">
        <v>111</v>
      </c>
      <c r="AX533" t="s">
        <v>111</v>
      </c>
      <c r="AY533" t="s">
        <v>111</v>
      </c>
      <c r="AZ533" t="s">
        <v>111</v>
      </c>
      <c r="BA533" t="s">
        <v>111</v>
      </c>
      <c r="BB533" t="s">
        <v>111</v>
      </c>
      <c r="BC533" t="s">
        <v>111</v>
      </c>
      <c r="BD533" t="s">
        <v>111</v>
      </c>
      <c r="BE533" t="s">
        <v>111</v>
      </c>
      <c r="BF533" t="s">
        <v>111</v>
      </c>
      <c r="BG533" t="s">
        <v>111</v>
      </c>
      <c r="BH533" t="s">
        <v>111</v>
      </c>
      <c r="BI533" t="s">
        <v>111</v>
      </c>
      <c r="BJ533" t="s">
        <v>111</v>
      </c>
      <c r="BK533" t="s">
        <v>111</v>
      </c>
      <c r="BL533" t="s">
        <v>111</v>
      </c>
      <c r="BM533" t="s">
        <v>111</v>
      </c>
      <c r="BN533" t="s">
        <v>111</v>
      </c>
      <c r="BO533" t="s">
        <v>111</v>
      </c>
      <c r="BP533" t="s">
        <v>111</v>
      </c>
      <c r="BQ533" t="s">
        <v>111</v>
      </c>
      <c r="BR533" t="s">
        <v>111</v>
      </c>
      <c r="BS533" t="s">
        <v>111</v>
      </c>
      <c r="BT533" t="s">
        <v>111</v>
      </c>
      <c r="BU533" t="s">
        <v>111</v>
      </c>
      <c r="BV533" t="s">
        <v>111</v>
      </c>
      <c r="BW533" t="s">
        <v>111</v>
      </c>
      <c r="BX533" t="s">
        <v>111</v>
      </c>
      <c r="BY533" t="s">
        <v>111</v>
      </c>
      <c r="BZ533" t="s">
        <v>111</v>
      </c>
      <c r="CA533" t="s">
        <v>111</v>
      </c>
      <c r="CB533" t="s">
        <v>111</v>
      </c>
      <c r="CC533" t="s">
        <v>111</v>
      </c>
      <c r="CD533" t="s">
        <v>111</v>
      </c>
      <c r="CE533" t="s">
        <v>111</v>
      </c>
      <c r="CF533" t="s">
        <v>111</v>
      </c>
      <c r="CG533" t="s">
        <v>111</v>
      </c>
      <c r="CH533" t="s">
        <v>111</v>
      </c>
      <c r="CI533" t="s">
        <v>111</v>
      </c>
      <c r="CJ533" t="s">
        <v>111</v>
      </c>
      <c r="CK533" t="s">
        <v>111</v>
      </c>
      <c r="CL533" t="s">
        <v>111</v>
      </c>
      <c r="CM533" t="s">
        <v>438</v>
      </c>
      <c r="CN533" t="s">
        <v>113</v>
      </c>
      <c r="CO533" t="s">
        <v>111</v>
      </c>
      <c r="CP533" t="s">
        <v>111</v>
      </c>
      <c r="CQ533">
        <v>0</v>
      </c>
      <c r="CR533">
        <v>500</v>
      </c>
      <c r="CS533">
        <v>50</v>
      </c>
      <c r="CT533" t="e">
        <f>-EMPACAR SEGUN NORMA DEL CLIENTE</f>
        <v>#NAME?</v>
      </c>
      <c r="CU533">
        <v>0</v>
      </c>
      <c r="CV533" t="s">
        <v>111</v>
      </c>
      <c r="CX533" t="s">
        <v>111</v>
      </c>
      <c r="CY533">
        <v>0</v>
      </c>
      <c r="CZ533" t="s">
        <v>111</v>
      </c>
      <c r="DA533" t="s">
        <v>111</v>
      </c>
      <c r="DB533" t="s">
        <v>111</v>
      </c>
      <c r="DC533" t="s">
        <v>111</v>
      </c>
    </row>
    <row r="534" spans="1:107">
      <c r="A534">
        <v>1783</v>
      </c>
      <c r="B534" t="s">
        <v>107</v>
      </c>
      <c r="C534" t="s">
        <v>399</v>
      </c>
      <c r="D534" t="s">
        <v>1921</v>
      </c>
      <c r="E534" t="s">
        <v>1922</v>
      </c>
      <c r="F534" t="s">
        <v>1923</v>
      </c>
      <c r="G534" t="s">
        <v>469</v>
      </c>
      <c r="H534">
        <v>0.7</v>
      </c>
      <c r="I534">
        <v>70</v>
      </c>
      <c r="J534">
        <v>0</v>
      </c>
      <c r="K534">
        <v>0</v>
      </c>
      <c r="L534" t="s">
        <v>178</v>
      </c>
      <c r="M534" t="s">
        <v>138</v>
      </c>
      <c r="N534">
        <v>0</v>
      </c>
      <c r="O534">
        <v>0</v>
      </c>
      <c r="P534" t="s">
        <v>138</v>
      </c>
      <c r="Q534">
        <v>46</v>
      </c>
      <c r="R534">
        <v>0</v>
      </c>
      <c r="S534">
        <v>0</v>
      </c>
      <c r="T534">
        <v>5</v>
      </c>
      <c r="U534" t="e">
        <f>-SELLADO</f>
        <v>#NAME?</v>
      </c>
      <c r="V534">
        <v>25</v>
      </c>
      <c r="W534">
        <v>0</v>
      </c>
      <c r="X534">
        <v>7</v>
      </c>
      <c r="Y534">
        <v>0</v>
      </c>
      <c r="Z534" t="s">
        <v>1924</v>
      </c>
      <c r="AA534">
        <v>1.5</v>
      </c>
      <c r="AB534" t="s">
        <v>111</v>
      </c>
      <c r="AC534">
        <v>0</v>
      </c>
      <c r="AD534" t="s">
        <v>111</v>
      </c>
      <c r="AE534">
        <v>0</v>
      </c>
      <c r="AF534">
        <v>0</v>
      </c>
      <c r="AG534" t="s">
        <v>111</v>
      </c>
      <c r="AH534" t="s">
        <v>111</v>
      </c>
      <c r="AI534" t="s">
        <v>111</v>
      </c>
      <c r="AJ534" t="s">
        <v>111</v>
      </c>
      <c r="AK534" t="s">
        <v>111</v>
      </c>
      <c r="AL534" t="s">
        <v>111</v>
      </c>
      <c r="AM534">
        <v>0</v>
      </c>
      <c r="AN534">
        <v>0</v>
      </c>
      <c r="AO534">
        <v>0</v>
      </c>
      <c r="AP534" t="s">
        <v>111</v>
      </c>
      <c r="AQ534" t="s">
        <v>111</v>
      </c>
      <c r="AR534" t="s">
        <v>111</v>
      </c>
      <c r="AS534" t="s">
        <v>111</v>
      </c>
      <c r="AT534" t="s">
        <v>111</v>
      </c>
      <c r="AU534" t="s">
        <v>111</v>
      </c>
      <c r="AV534" t="s">
        <v>111</v>
      </c>
      <c r="AW534" t="s">
        <v>111</v>
      </c>
      <c r="AX534" t="s">
        <v>111</v>
      </c>
      <c r="AY534" t="s">
        <v>111</v>
      </c>
      <c r="AZ534" t="s">
        <v>111</v>
      </c>
      <c r="BA534" t="s">
        <v>111</v>
      </c>
      <c r="BB534" t="s">
        <v>111</v>
      </c>
      <c r="BC534" t="s">
        <v>111</v>
      </c>
      <c r="BD534" t="s">
        <v>111</v>
      </c>
      <c r="BE534" t="s">
        <v>111</v>
      </c>
      <c r="BF534" t="s">
        <v>111</v>
      </c>
      <c r="BG534" t="s">
        <v>111</v>
      </c>
      <c r="BH534" t="s">
        <v>111</v>
      </c>
      <c r="BI534" t="s">
        <v>111</v>
      </c>
      <c r="BJ534" t="s">
        <v>111</v>
      </c>
      <c r="BK534" t="s">
        <v>111</v>
      </c>
      <c r="BL534" t="s">
        <v>111</v>
      </c>
      <c r="BM534" t="s">
        <v>111</v>
      </c>
      <c r="BN534" t="s">
        <v>111</v>
      </c>
      <c r="BO534" t="s">
        <v>111</v>
      </c>
      <c r="BP534" t="s">
        <v>111</v>
      </c>
      <c r="BQ534" t="s">
        <v>111</v>
      </c>
      <c r="BR534" t="s">
        <v>111</v>
      </c>
      <c r="BS534" t="s">
        <v>111</v>
      </c>
      <c r="BT534" t="s">
        <v>111</v>
      </c>
      <c r="BU534" t="s">
        <v>111</v>
      </c>
      <c r="BV534" t="s">
        <v>111</v>
      </c>
      <c r="BW534" t="s">
        <v>111</v>
      </c>
      <c r="BX534" t="s">
        <v>111</v>
      </c>
      <c r="BY534" t="s">
        <v>111</v>
      </c>
      <c r="BZ534" t="s">
        <v>111</v>
      </c>
      <c r="CA534" t="s">
        <v>111</v>
      </c>
      <c r="CB534" t="s">
        <v>111</v>
      </c>
      <c r="CC534" t="s">
        <v>111</v>
      </c>
      <c r="CD534" t="s">
        <v>111</v>
      </c>
      <c r="CE534" t="s">
        <v>111</v>
      </c>
      <c r="CF534" t="s">
        <v>111</v>
      </c>
      <c r="CG534" t="s">
        <v>111</v>
      </c>
      <c r="CH534" t="s">
        <v>111</v>
      </c>
      <c r="CI534" t="s">
        <v>111</v>
      </c>
      <c r="CJ534" t="s">
        <v>111</v>
      </c>
      <c r="CK534" t="s">
        <v>111</v>
      </c>
      <c r="CL534" t="s">
        <v>111</v>
      </c>
      <c r="CM534" t="s">
        <v>438</v>
      </c>
      <c r="CN534" t="s">
        <v>113</v>
      </c>
      <c r="CO534" t="s">
        <v>111</v>
      </c>
      <c r="CP534" t="s">
        <v>111</v>
      </c>
      <c r="CQ534">
        <v>0</v>
      </c>
      <c r="CR534">
        <v>500</v>
      </c>
      <c r="CS534">
        <v>50</v>
      </c>
      <c r="CT534" t="e">
        <f>-EMPACAR SEGUN NORMA DEL CLIENTE</f>
        <v>#NAME?</v>
      </c>
      <c r="CU534">
        <v>0</v>
      </c>
      <c r="CV534" t="s">
        <v>111</v>
      </c>
      <c r="CX534" t="s">
        <v>111</v>
      </c>
      <c r="CY534">
        <v>0</v>
      </c>
      <c r="CZ534" t="s">
        <v>111</v>
      </c>
      <c r="DA534" t="s">
        <v>111</v>
      </c>
      <c r="DB534" t="s">
        <v>111</v>
      </c>
      <c r="DC534" t="s">
        <v>111</v>
      </c>
    </row>
    <row r="535" spans="1:107">
      <c r="A535">
        <v>1782</v>
      </c>
      <c r="B535" t="s">
        <v>107</v>
      </c>
      <c r="C535" t="s">
        <v>399</v>
      </c>
      <c r="D535" t="s">
        <v>1925</v>
      </c>
      <c r="E535" t="s">
        <v>1926</v>
      </c>
      <c r="F535" t="s">
        <v>125</v>
      </c>
      <c r="G535" t="s">
        <v>469</v>
      </c>
      <c r="H535">
        <v>1</v>
      </c>
      <c r="I535">
        <v>28</v>
      </c>
      <c r="J535">
        <v>0</v>
      </c>
      <c r="K535">
        <v>0</v>
      </c>
      <c r="L535" t="s">
        <v>112</v>
      </c>
      <c r="M535" t="s">
        <v>138</v>
      </c>
      <c r="N535">
        <v>0</v>
      </c>
      <c r="O535">
        <v>0</v>
      </c>
      <c r="P535" t="s">
        <v>138</v>
      </c>
      <c r="Q535">
        <v>30</v>
      </c>
      <c r="R535">
        <v>0</v>
      </c>
      <c r="S535">
        <v>0</v>
      </c>
      <c r="T535">
        <v>5</v>
      </c>
      <c r="U535" t="s">
        <v>111</v>
      </c>
      <c r="V535">
        <v>25</v>
      </c>
      <c r="W535">
        <v>0</v>
      </c>
      <c r="X535">
        <v>7</v>
      </c>
      <c r="Y535">
        <v>0</v>
      </c>
      <c r="Z535" t="s">
        <v>111</v>
      </c>
      <c r="AA535">
        <v>0</v>
      </c>
      <c r="AB535" t="s">
        <v>111</v>
      </c>
      <c r="AC535">
        <v>0</v>
      </c>
      <c r="AD535" t="s">
        <v>111</v>
      </c>
      <c r="AE535">
        <v>0</v>
      </c>
      <c r="AF535">
        <v>0</v>
      </c>
      <c r="AG535" t="s">
        <v>111</v>
      </c>
      <c r="AH535" t="s">
        <v>111</v>
      </c>
      <c r="AI535" t="s">
        <v>111</v>
      </c>
      <c r="AJ535" t="s">
        <v>111</v>
      </c>
      <c r="AK535" t="s">
        <v>111</v>
      </c>
      <c r="AL535" t="s">
        <v>111</v>
      </c>
      <c r="AM535">
        <v>0</v>
      </c>
      <c r="AN535">
        <v>0</v>
      </c>
      <c r="AO535">
        <v>0</v>
      </c>
      <c r="AP535" t="s">
        <v>111</v>
      </c>
      <c r="AQ535" t="s">
        <v>111</v>
      </c>
      <c r="AR535" t="s">
        <v>111</v>
      </c>
      <c r="AS535" t="s">
        <v>111</v>
      </c>
      <c r="AT535" t="s">
        <v>111</v>
      </c>
      <c r="AU535" t="s">
        <v>111</v>
      </c>
      <c r="AV535" t="s">
        <v>111</v>
      </c>
      <c r="AW535" t="s">
        <v>111</v>
      </c>
      <c r="AX535" t="s">
        <v>111</v>
      </c>
      <c r="AY535" t="s">
        <v>111</v>
      </c>
      <c r="AZ535" t="s">
        <v>111</v>
      </c>
      <c r="BA535" t="s">
        <v>111</v>
      </c>
      <c r="BB535" t="s">
        <v>111</v>
      </c>
      <c r="BC535" t="s">
        <v>111</v>
      </c>
      <c r="BD535" t="s">
        <v>111</v>
      </c>
      <c r="BE535" t="s">
        <v>111</v>
      </c>
      <c r="BF535" t="s">
        <v>111</v>
      </c>
      <c r="BG535" t="s">
        <v>111</v>
      </c>
      <c r="BH535" t="s">
        <v>111</v>
      </c>
      <c r="BI535" t="s">
        <v>111</v>
      </c>
      <c r="BJ535" t="s">
        <v>111</v>
      </c>
      <c r="BK535" t="s">
        <v>111</v>
      </c>
      <c r="BL535" t="s">
        <v>111</v>
      </c>
      <c r="BM535" t="s">
        <v>111</v>
      </c>
      <c r="BN535" t="s">
        <v>111</v>
      </c>
      <c r="BO535" t="s">
        <v>111</v>
      </c>
      <c r="BP535" t="s">
        <v>111</v>
      </c>
      <c r="BQ535" t="s">
        <v>111</v>
      </c>
      <c r="BR535" t="s">
        <v>111</v>
      </c>
      <c r="BS535" t="s">
        <v>111</v>
      </c>
      <c r="BT535" t="s">
        <v>111</v>
      </c>
      <c r="BU535" t="s">
        <v>111</v>
      </c>
      <c r="BV535" t="s">
        <v>111</v>
      </c>
      <c r="BW535" t="s">
        <v>111</v>
      </c>
      <c r="BX535" t="s">
        <v>111</v>
      </c>
      <c r="BY535" t="s">
        <v>111</v>
      </c>
      <c r="BZ535" t="s">
        <v>111</v>
      </c>
      <c r="CA535" t="s">
        <v>111</v>
      </c>
      <c r="CB535" t="s">
        <v>111</v>
      </c>
      <c r="CC535" t="s">
        <v>111</v>
      </c>
      <c r="CD535" t="s">
        <v>111</v>
      </c>
      <c r="CE535" t="s">
        <v>111</v>
      </c>
      <c r="CF535" t="s">
        <v>111</v>
      </c>
      <c r="CG535" t="s">
        <v>111</v>
      </c>
      <c r="CH535" t="s">
        <v>111</v>
      </c>
      <c r="CI535" t="s">
        <v>111</v>
      </c>
      <c r="CJ535" t="s">
        <v>111</v>
      </c>
      <c r="CK535" t="s">
        <v>111</v>
      </c>
      <c r="CL535" t="s">
        <v>111</v>
      </c>
      <c r="CM535" t="s">
        <v>198</v>
      </c>
      <c r="CN535" t="s">
        <v>128</v>
      </c>
      <c r="CO535" t="s">
        <v>111</v>
      </c>
      <c r="CP535" t="s">
        <v>111</v>
      </c>
      <c r="CQ535">
        <v>0</v>
      </c>
      <c r="CR535">
        <v>0</v>
      </c>
      <c r="CS535">
        <v>0</v>
      </c>
      <c r="CT535" t="s">
        <v>111</v>
      </c>
      <c r="CU535">
        <v>0</v>
      </c>
      <c r="CV535" t="s">
        <v>111</v>
      </c>
      <c r="CX535" t="s">
        <v>111</v>
      </c>
      <c r="CY535">
        <v>0</v>
      </c>
      <c r="CZ535" t="s">
        <v>111</v>
      </c>
      <c r="DA535" t="s">
        <v>111</v>
      </c>
      <c r="DB535" t="s">
        <v>111</v>
      </c>
      <c r="DC535" t="s">
        <v>111</v>
      </c>
    </row>
    <row r="536" spans="1:107">
      <c r="A536">
        <v>1781</v>
      </c>
      <c r="B536" t="s">
        <v>107</v>
      </c>
      <c r="C536" t="s">
        <v>226</v>
      </c>
      <c r="D536" t="s">
        <v>1927</v>
      </c>
      <c r="E536" t="s">
        <v>1928</v>
      </c>
      <c r="F536" t="s">
        <v>192</v>
      </c>
      <c r="G536" t="s">
        <v>469</v>
      </c>
      <c r="H536">
        <v>1.5</v>
      </c>
      <c r="I536">
        <v>93</v>
      </c>
      <c r="J536">
        <v>0</v>
      </c>
      <c r="K536">
        <v>0</v>
      </c>
      <c r="L536" t="s">
        <v>117</v>
      </c>
      <c r="M536" t="s">
        <v>118</v>
      </c>
      <c r="N536">
        <v>40</v>
      </c>
      <c r="O536">
        <v>1</v>
      </c>
      <c r="P536" t="s">
        <v>138</v>
      </c>
      <c r="Q536">
        <v>40</v>
      </c>
      <c r="R536">
        <v>0</v>
      </c>
      <c r="S536">
        <v>0</v>
      </c>
      <c r="T536">
        <v>5</v>
      </c>
      <c r="U536" t="e">
        <f>-DESTINO ALMACEN</f>
        <v>#NAME?</v>
      </c>
      <c r="V536">
        <v>0</v>
      </c>
      <c r="W536">
        <v>25</v>
      </c>
      <c r="X536">
        <v>8</v>
      </c>
      <c r="Y536">
        <v>0</v>
      </c>
      <c r="Z536" t="s">
        <v>111</v>
      </c>
      <c r="AA536">
        <v>0</v>
      </c>
      <c r="AB536" t="s">
        <v>111</v>
      </c>
      <c r="AC536">
        <v>0</v>
      </c>
      <c r="AD536" t="s">
        <v>111</v>
      </c>
      <c r="AE536">
        <v>0</v>
      </c>
      <c r="AF536">
        <v>0</v>
      </c>
      <c r="AG536" t="s">
        <v>111</v>
      </c>
      <c r="AH536" t="s">
        <v>111</v>
      </c>
      <c r="AI536" t="s">
        <v>111</v>
      </c>
      <c r="AJ536" t="s">
        <v>111</v>
      </c>
      <c r="AK536" t="s">
        <v>111</v>
      </c>
      <c r="AL536" t="s">
        <v>111</v>
      </c>
      <c r="AM536">
        <v>0</v>
      </c>
      <c r="AN536">
        <v>0</v>
      </c>
      <c r="AO536">
        <v>0</v>
      </c>
      <c r="AP536" t="s">
        <v>111</v>
      </c>
      <c r="AQ536" t="s">
        <v>111</v>
      </c>
      <c r="AR536" t="s">
        <v>111</v>
      </c>
      <c r="AS536" t="s">
        <v>111</v>
      </c>
      <c r="AT536" t="s">
        <v>111</v>
      </c>
      <c r="AU536" t="s">
        <v>111</v>
      </c>
      <c r="AV536" t="s">
        <v>111</v>
      </c>
      <c r="AW536" t="s">
        <v>111</v>
      </c>
      <c r="AX536" t="s">
        <v>111</v>
      </c>
      <c r="AY536" t="s">
        <v>111</v>
      </c>
      <c r="AZ536" t="s">
        <v>111</v>
      </c>
      <c r="BA536" t="s">
        <v>111</v>
      </c>
      <c r="BB536" t="s">
        <v>111</v>
      </c>
      <c r="BC536" t="s">
        <v>111</v>
      </c>
      <c r="BD536" t="s">
        <v>111</v>
      </c>
      <c r="BE536" t="s">
        <v>111</v>
      </c>
      <c r="BF536" t="s">
        <v>111</v>
      </c>
      <c r="BG536" t="s">
        <v>111</v>
      </c>
      <c r="BH536" t="s">
        <v>111</v>
      </c>
      <c r="BI536" t="s">
        <v>111</v>
      </c>
      <c r="BJ536" t="s">
        <v>111</v>
      </c>
      <c r="BK536" t="s">
        <v>111</v>
      </c>
      <c r="BL536" t="s">
        <v>111</v>
      </c>
      <c r="BM536" t="s">
        <v>111</v>
      </c>
      <c r="BN536" t="s">
        <v>111</v>
      </c>
      <c r="BO536" t="s">
        <v>111</v>
      </c>
      <c r="BP536" t="s">
        <v>111</v>
      </c>
      <c r="BQ536" t="s">
        <v>111</v>
      </c>
      <c r="BR536" t="s">
        <v>111</v>
      </c>
      <c r="BS536" t="s">
        <v>111</v>
      </c>
      <c r="BT536" t="s">
        <v>111</v>
      </c>
      <c r="BU536" t="s">
        <v>111</v>
      </c>
      <c r="BV536" t="s">
        <v>111</v>
      </c>
      <c r="BW536" t="s">
        <v>111</v>
      </c>
      <c r="BX536" t="s">
        <v>111</v>
      </c>
      <c r="BY536" t="s">
        <v>111</v>
      </c>
      <c r="BZ536" t="s">
        <v>111</v>
      </c>
      <c r="CA536" t="s">
        <v>111</v>
      </c>
      <c r="CB536" t="s">
        <v>111</v>
      </c>
      <c r="CC536" t="s">
        <v>111</v>
      </c>
      <c r="CD536" t="s">
        <v>111</v>
      </c>
      <c r="CE536" t="s">
        <v>111</v>
      </c>
      <c r="CF536" t="s">
        <v>111</v>
      </c>
      <c r="CG536" t="s">
        <v>111</v>
      </c>
      <c r="CH536" t="s">
        <v>111</v>
      </c>
      <c r="CI536" t="s">
        <v>111</v>
      </c>
      <c r="CJ536" t="s">
        <v>111</v>
      </c>
      <c r="CK536" t="s">
        <v>111</v>
      </c>
      <c r="CL536" t="s">
        <v>111</v>
      </c>
      <c r="CM536" t="s">
        <v>360</v>
      </c>
      <c r="CN536" t="s">
        <v>113</v>
      </c>
      <c r="CO536" t="s">
        <v>1929</v>
      </c>
      <c r="CP536" t="s">
        <v>111</v>
      </c>
      <c r="CQ536">
        <v>0</v>
      </c>
      <c r="CR536">
        <v>2100</v>
      </c>
      <c r="CS536">
        <v>300</v>
      </c>
      <c r="CT536" t="e">
        <f>-ALMACEN</f>
        <v>#NAME?</v>
      </c>
      <c r="CU536">
        <v>0</v>
      </c>
      <c r="CV536" t="s">
        <v>111</v>
      </c>
      <c r="CX536" t="s">
        <v>111</v>
      </c>
      <c r="CY536">
        <v>0</v>
      </c>
      <c r="CZ536" t="s">
        <v>111</v>
      </c>
      <c r="DA536" t="s">
        <v>111</v>
      </c>
      <c r="DB536" t="s">
        <v>111</v>
      </c>
      <c r="DC536" t="s">
        <v>111</v>
      </c>
    </row>
    <row r="537" spans="1:107">
      <c r="A537">
        <v>1991</v>
      </c>
      <c r="B537" t="s">
        <v>107</v>
      </c>
      <c r="C537" t="s">
        <v>171</v>
      </c>
      <c r="D537" t="s">
        <v>1930</v>
      </c>
      <c r="E537" t="s">
        <v>1931</v>
      </c>
      <c r="F537" t="s">
        <v>431</v>
      </c>
      <c r="G537" t="s">
        <v>469</v>
      </c>
      <c r="H537">
        <v>3.4</v>
      </c>
      <c r="I537">
        <v>59</v>
      </c>
      <c r="J537">
        <v>0</v>
      </c>
      <c r="K537">
        <v>0</v>
      </c>
      <c r="L537" t="s">
        <v>117</v>
      </c>
      <c r="M537" t="s">
        <v>118</v>
      </c>
      <c r="N537">
        <v>40</v>
      </c>
      <c r="O537">
        <v>1</v>
      </c>
      <c r="P537" t="s">
        <v>111</v>
      </c>
      <c r="Q537">
        <v>50.9</v>
      </c>
      <c r="R537">
        <v>0</v>
      </c>
      <c r="S537">
        <v>0</v>
      </c>
      <c r="T537">
        <v>5</v>
      </c>
      <c r="U537" s="1" t="s">
        <v>1932</v>
      </c>
      <c r="V537">
        <v>0</v>
      </c>
      <c r="W537">
        <v>25</v>
      </c>
      <c r="X537">
        <v>8</v>
      </c>
      <c r="Y537">
        <v>0</v>
      </c>
      <c r="Z537" t="s">
        <v>111</v>
      </c>
      <c r="AA537">
        <v>0</v>
      </c>
      <c r="AB537" t="s">
        <v>717</v>
      </c>
      <c r="AC537">
        <v>8</v>
      </c>
      <c r="AD537" t="s">
        <v>416</v>
      </c>
      <c r="AE537">
        <v>0</v>
      </c>
      <c r="AF537">
        <v>0</v>
      </c>
      <c r="AG537" t="s">
        <v>111</v>
      </c>
      <c r="AH537" t="s">
        <v>111</v>
      </c>
      <c r="AI537" t="s">
        <v>111</v>
      </c>
      <c r="AJ537" t="s">
        <v>111</v>
      </c>
      <c r="AK537" t="s">
        <v>111</v>
      </c>
      <c r="AL537" t="s">
        <v>111</v>
      </c>
      <c r="AM537">
        <v>0</v>
      </c>
      <c r="AN537">
        <v>0</v>
      </c>
      <c r="AO537">
        <v>0</v>
      </c>
      <c r="AP537" t="s">
        <v>111</v>
      </c>
      <c r="AQ537" t="s">
        <v>111</v>
      </c>
      <c r="AR537" t="s">
        <v>111</v>
      </c>
      <c r="AS537" t="s">
        <v>111</v>
      </c>
      <c r="AT537" t="s">
        <v>111</v>
      </c>
      <c r="AU537" t="s">
        <v>111</v>
      </c>
      <c r="AV537" t="s">
        <v>111</v>
      </c>
      <c r="AW537" t="s">
        <v>111</v>
      </c>
      <c r="AX537" t="s">
        <v>111</v>
      </c>
      <c r="AY537" t="s">
        <v>111</v>
      </c>
      <c r="AZ537" t="s">
        <v>111</v>
      </c>
      <c r="BA537" t="s">
        <v>111</v>
      </c>
      <c r="BB537" t="s">
        <v>111</v>
      </c>
      <c r="BC537" t="s">
        <v>111</v>
      </c>
      <c r="BD537" t="s">
        <v>111</v>
      </c>
      <c r="BE537" t="s">
        <v>111</v>
      </c>
      <c r="BF537" t="s">
        <v>111</v>
      </c>
      <c r="BG537" t="s">
        <v>111</v>
      </c>
      <c r="BH537" t="s">
        <v>111</v>
      </c>
      <c r="BI537" t="s">
        <v>111</v>
      </c>
      <c r="BJ537" t="s">
        <v>111</v>
      </c>
      <c r="BK537" t="s">
        <v>111</v>
      </c>
      <c r="BL537" t="s">
        <v>111</v>
      </c>
      <c r="BM537" t="s">
        <v>111</v>
      </c>
      <c r="BN537" t="s">
        <v>111</v>
      </c>
      <c r="BO537" t="s">
        <v>111</v>
      </c>
      <c r="BP537" t="s">
        <v>111</v>
      </c>
      <c r="BQ537" t="s">
        <v>111</v>
      </c>
      <c r="BR537" t="s">
        <v>111</v>
      </c>
      <c r="BS537" t="s">
        <v>111</v>
      </c>
      <c r="BT537" t="s">
        <v>111</v>
      </c>
      <c r="BU537" t="s">
        <v>111</v>
      </c>
      <c r="BV537" t="s">
        <v>111</v>
      </c>
      <c r="BW537" t="s">
        <v>111</v>
      </c>
      <c r="BX537" t="s">
        <v>111</v>
      </c>
      <c r="BY537" t="s">
        <v>111</v>
      </c>
      <c r="BZ537" t="s">
        <v>111</v>
      </c>
      <c r="CA537" t="s">
        <v>111</v>
      </c>
      <c r="CB537" t="s">
        <v>111</v>
      </c>
      <c r="CC537" t="s">
        <v>111</v>
      </c>
      <c r="CD537" t="s">
        <v>111</v>
      </c>
      <c r="CE537" t="s">
        <v>111</v>
      </c>
      <c r="CF537" t="s">
        <v>111</v>
      </c>
      <c r="CG537" t="s">
        <v>111</v>
      </c>
      <c r="CH537" t="s">
        <v>111</v>
      </c>
      <c r="CI537" t="s">
        <v>111</v>
      </c>
      <c r="CJ537" t="s">
        <v>111</v>
      </c>
      <c r="CK537" t="s">
        <v>111</v>
      </c>
      <c r="CL537" t="s">
        <v>111</v>
      </c>
      <c r="CM537" t="s">
        <v>135</v>
      </c>
      <c r="CN537" t="s">
        <v>113</v>
      </c>
      <c r="CO537" t="s">
        <v>111</v>
      </c>
      <c r="CP537" t="s">
        <v>111</v>
      </c>
      <c r="CQ537">
        <v>0</v>
      </c>
      <c r="CR537">
        <v>5000</v>
      </c>
      <c r="CS537">
        <v>200</v>
      </c>
      <c r="CT537" t="e">
        <f>-ALMACEN</f>
        <v>#NAME?</v>
      </c>
      <c r="CU537">
        <v>0</v>
      </c>
      <c r="CV537" t="s">
        <v>111</v>
      </c>
      <c r="CX537" t="s">
        <v>111</v>
      </c>
      <c r="CY537">
        <v>0</v>
      </c>
      <c r="CZ537" t="s">
        <v>111</v>
      </c>
      <c r="DA537" t="s">
        <v>111</v>
      </c>
      <c r="DB537" t="s">
        <v>111</v>
      </c>
      <c r="DC537" t="s">
        <v>111</v>
      </c>
    </row>
    <row r="538" spans="1:107">
      <c r="A538">
        <v>1776</v>
      </c>
      <c r="B538" t="s">
        <v>107</v>
      </c>
      <c r="C538" t="s">
        <v>328</v>
      </c>
      <c r="D538" t="s">
        <v>1933</v>
      </c>
      <c r="E538" t="s">
        <v>1934</v>
      </c>
      <c r="F538" t="s">
        <v>166</v>
      </c>
      <c r="G538" t="s">
        <v>469</v>
      </c>
      <c r="H538">
        <v>2</v>
      </c>
      <c r="I538">
        <v>20</v>
      </c>
      <c r="J538">
        <v>0</v>
      </c>
      <c r="K538">
        <v>0</v>
      </c>
      <c r="L538" t="s">
        <v>112</v>
      </c>
      <c r="M538" t="s">
        <v>138</v>
      </c>
      <c r="N538">
        <v>0</v>
      </c>
      <c r="O538">
        <v>0</v>
      </c>
      <c r="P538" t="s">
        <v>111</v>
      </c>
      <c r="Q538">
        <v>50</v>
      </c>
      <c r="R538">
        <v>0</v>
      </c>
      <c r="S538">
        <v>0</v>
      </c>
      <c r="T538">
        <v>5</v>
      </c>
      <c r="U538" t="e">
        <f>-DESTINO ALMACEN</f>
        <v>#NAME?</v>
      </c>
      <c r="V538">
        <v>25</v>
      </c>
      <c r="W538">
        <v>0</v>
      </c>
      <c r="X538">
        <v>8</v>
      </c>
      <c r="Y538">
        <v>0</v>
      </c>
      <c r="Z538" t="s">
        <v>111</v>
      </c>
      <c r="AA538">
        <v>0</v>
      </c>
      <c r="AB538" t="s">
        <v>111</v>
      </c>
      <c r="AC538">
        <v>0</v>
      </c>
      <c r="AD538" t="s">
        <v>111</v>
      </c>
      <c r="AE538">
        <v>0</v>
      </c>
      <c r="AF538">
        <v>0</v>
      </c>
      <c r="AG538" t="s">
        <v>111</v>
      </c>
      <c r="AH538" t="s">
        <v>111</v>
      </c>
      <c r="AI538" t="s">
        <v>111</v>
      </c>
      <c r="AJ538" t="s">
        <v>111</v>
      </c>
      <c r="AK538" t="s">
        <v>111</v>
      </c>
      <c r="AL538" t="s">
        <v>111</v>
      </c>
      <c r="AM538">
        <v>0</v>
      </c>
      <c r="AN538">
        <v>0</v>
      </c>
      <c r="AO538">
        <v>0</v>
      </c>
      <c r="AP538" t="s">
        <v>111</v>
      </c>
      <c r="AQ538" t="s">
        <v>111</v>
      </c>
      <c r="AR538" t="s">
        <v>111</v>
      </c>
      <c r="AS538" t="s">
        <v>111</v>
      </c>
      <c r="AT538" t="s">
        <v>111</v>
      </c>
      <c r="AU538" t="s">
        <v>111</v>
      </c>
      <c r="AV538" t="s">
        <v>111</v>
      </c>
      <c r="AW538" t="s">
        <v>111</v>
      </c>
      <c r="AX538" t="s">
        <v>111</v>
      </c>
      <c r="AY538" t="s">
        <v>111</v>
      </c>
      <c r="AZ538" t="s">
        <v>111</v>
      </c>
      <c r="BA538" t="s">
        <v>111</v>
      </c>
      <c r="BB538" t="s">
        <v>111</v>
      </c>
      <c r="BC538" t="s">
        <v>111</v>
      </c>
      <c r="BD538" t="s">
        <v>111</v>
      </c>
      <c r="BE538" t="s">
        <v>111</v>
      </c>
      <c r="BF538" t="s">
        <v>111</v>
      </c>
      <c r="BG538" t="s">
        <v>111</v>
      </c>
      <c r="BH538" t="s">
        <v>111</v>
      </c>
      <c r="BI538" t="s">
        <v>111</v>
      </c>
      <c r="BJ538" t="s">
        <v>111</v>
      </c>
      <c r="BK538" t="s">
        <v>111</v>
      </c>
      <c r="BL538" t="s">
        <v>111</v>
      </c>
      <c r="BM538" t="s">
        <v>111</v>
      </c>
      <c r="BN538" t="s">
        <v>111</v>
      </c>
      <c r="BO538" t="s">
        <v>111</v>
      </c>
      <c r="BP538" t="s">
        <v>111</v>
      </c>
      <c r="BQ538" t="s">
        <v>111</v>
      </c>
      <c r="BR538" t="s">
        <v>111</v>
      </c>
      <c r="BS538" t="s">
        <v>111</v>
      </c>
      <c r="BT538" t="s">
        <v>111</v>
      </c>
      <c r="BU538" t="s">
        <v>111</v>
      </c>
      <c r="BV538" t="s">
        <v>111</v>
      </c>
      <c r="BW538" t="s">
        <v>111</v>
      </c>
      <c r="BX538" t="s">
        <v>111</v>
      </c>
      <c r="BY538" t="s">
        <v>111</v>
      </c>
      <c r="BZ538" t="s">
        <v>111</v>
      </c>
      <c r="CA538" t="s">
        <v>111</v>
      </c>
      <c r="CB538" t="s">
        <v>111</v>
      </c>
      <c r="CC538" t="s">
        <v>111</v>
      </c>
      <c r="CD538" t="s">
        <v>111</v>
      </c>
      <c r="CE538" t="s">
        <v>111</v>
      </c>
      <c r="CF538" t="s">
        <v>111</v>
      </c>
      <c r="CG538" t="s">
        <v>111</v>
      </c>
      <c r="CH538" t="s">
        <v>111</v>
      </c>
      <c r="CI538" t="s">
        <v>111</v>
      </c>
      <c r="CJ538" t="s">
        <v>111</v>
      </c>
      <c r="CK538" t="s">
        <v>111</v>
      </c>
      <c r="CL538" t="s">
        <v>111</v>
      </c>
      <c r="CM538" t="s">
        <v>111</v>
      </c>
      <c r="CN538" t="s">
        <v>111</v>
      </c>
      <c r="CO538" t="s">
        <v>111</v>
      </c>
      <c r="CP538" t="s">
        <v>111</v>
      </c>
      <c r="CQ538">
        <v>0</v>
      </c>
      <c r="CR538">
        <v>0</v>
      </c>
      <c r="CS538">
        <v>0</v>
      </c>
      <c r="CT538" t="s">
        <v>111</v>
      </c>
      <c r="CU538">
        <v>0</v>
      </c>
      <c r="CV538" t="s">
        <v>111</v>
      </c>
      <c r="CX538" t="s">
        <v>111</v>
      </c>
      <c r="CY538">
        <v>0</v>
      </c>
      <c r="CZ538" t="s">
        <v>111</v>
      </c>
      <c r="DA538" t="s">
        <v>111</v>
      </c>
      <c r="DB538" t="s">
        <v>111</v>
      </c>
      <c r="DC538" t="s">
        <v>111</v>
      </c>
    </row>
    <row r="539" spans="1:107">
      <c r="A539">
        <v>1775</v>
      </c>
      <c r="B539" t="s">
        <v>107</v>
      </c>
      <c r="C539" t="s">
        <v>421</v>
      </c>
      <c r="D539" t="s">
        <v>1640</v>
      </c>
      <c r="E539" t="s">
        <v>1935</v>
      </c>
      <c r="F539" t="s">
        <v>370</v>
      </c>
      <c r="G539" t="s">
        <v>469</v>
      </c>
      <c r="H539">
        <v>2.9</v>
      </c>
      <c r="I539">
        <v>45</v>
      </c>
      <c r="J539">
        <v>0</v>
      </c>
      <c r="K539">
        <v>0</v>
      </c>
      <c r="L539" t="s">
        <v>112</v>
      </c>
      <c r="M539" t="s">
        <v>118</v>
      </c>
      <c r="N539">
        <v>39</v>
      </c>
      <c r="O539">
        <v>2</v>
      </c>
      <c r="P539" t="s">
        <v>138</v>
      </c>
      <c r="Q539">
        <v>45.6</v>
      </c>
      <c r="R539">
        <v>0</v>
      </c>
      <c r="S539">
        <v>0</v>
      </c>
      <c r="T539">
        <v>10</v>
      </c>
      <c r="U539" s="1" t="s">
        <v>1936</v>
      </c>
      <c r="V539">
        <v>25</v>
      </c>
      <c r="W539">
        <v>0</v>
      </c>
      <c r="X539">
        <v>8</v>
      </c>
      <c r="Y539">
        <v>0</v>
      </c>
      <c r="Z539" t="s">
        <v>288</v>
      </c>
      <c r="AA539">
        <v>0.3</v>
      </c>
      <c r="AB539" t="s">
        <v>111</v>
      </c>
      <c r="AC539">
        <v>0</v>
      </c>
      <c r="AD539" t="s">
        <v>427</v>
      </c>
      <c r="AE539">
        <v>0</v>
      </c>
      <c r="AF539">
        <v>0</v>
      </c>
      <c r="AG539" t="s">
        <v>111</v>
      </c>
      <c r="AH539" t="s">
        <v>111</v>
      </c>
      <c r="AI539" t="s">
        <v>111</v>
      </c>
      <c r="AJ539" t="s">
        <v>111</v>
      </c>
      <c r="AK539" t="s">
        <v>111</v>
      </c>
      <c r="AL539" t="s">
        <v>111</v>
      </c>
      <c r="AM539">
        <v>0</v>
      </c>
      <c r="AN539">
        <v>0</v>
      </c>
      <c r="AO539">
        <v>0</v>
      </c>
      <c r="AP539" t="s">
        <v>111</v>
      </c>
      <c r="AQ539" t="s">
        <v>111</v>
      </c>
      <c r="AR539" t="s">
        <v>111</v>
      </c>
      <c r="AS539" t="s">
        <v>111</v>
      </c>
      <c r="AT539" t="s">
        <v>111</v>
      </c>
      <c r="AU539" t="s">
        <v>111</v>
      </c>
      <c r="AV539" t="s">
        <v>111</v>
      </c>
      <c r="AW539" t="s">
        <v>111</v>
      </c>
      <c r="AX539" t="s">
        <v>111</v>
      </c>
      <c r="AY539" t="s">
        <v>111</v>
      </c>
      <c r="AZ539" t="s">
        <v>111</v>
      </c>
      <c r="BA539" t="s">
        <v>111</v>
      </c>
      <c r="BB539" t="s">
        <v>111</v>
      </c>
      <c r="BC539" t="s">
        <v>111</v>
      </c>
      <c r="BD539" t="s">
        <v>111</v>
      </c>
      <c r="BE539" t="s">
        <v>111</v>
      </c>
      <c r="BF539" t="s">
        <v>111</v>
      </c>
      <c r="BG539" t="s">
        <v>111</v>
      </c>
      <c r="BH539" t="s">
        <v>111</v>
      </c>
      <c r="BI539" t="s">
        <v>111</v>
      </c>
      <c r="BJ539" t="s">
        <v>111</v>
      </c>
      <c r="BK539" t="s">
        <v>111</v>
      </c>
      <c r="BL539" t="s">
        <v>111</v>
      </c>
      <c r="BM539" t="s">
        <v>111</v>
      </c>
      <c r="BN539" t="s">
        <v>111</v>
      </c>
      <c r="BO539" t="s">
        <v>111</v>
      </c>
      <c r="BP539" t="s">
        <v>111</v>
      </c>
      <c r="BQ539" t="s">
        <v>111</v>
      </c>
      <c r="BR539" t="s">
        <v>111</v>
      </c>
      <c r="BS539" t="s">
        <v>111</v>
      </c>
      <c r="BT539" t="s">
        <v>111</v>
      </c>
      <c r="BU539" t="s">
        <v>111</v>
      </c>
      <c r="BV539" t="s">
        <v>111</v>
      </c>
      <c r="BW539" t="s">
        <v>111</v>
      </c>
      <c r="BX539" t="s">
        <v>111</v>
      </c>
      <c r="BY539" t="s">
        <v>111</v>
      </c>
      <c r="BZ539" t="s">
        <v>111</v>
      </c>
      <c r="CA539" t="s">
        <v>111</v>
      </c>
      <c r="CB539" t="s">
        <v>111</v>
      </c>
      <c r="CC539" t="s">
        <v>111</v>
      </c>
      <c r="CD539" t="s">
        <v>111</v>
      </c>
      <c r="CE539" t="s">
        <v>111</v>
      </c>
      <c r="CF539" t="s">
        <v>111</v>
      </c>
      <c r="CG539" t="s">
        <v>111</v>
      </c>
      <c r="CH539" t="s">
        <v>111</v>
      </c>
      <c r="CI539" t="s">
        <v>111</v>
      </c>
      <c r="CJ539" t="s">
        <v>111</v>
      </c>
      <c r="CK539" t="s">
        <v>111</v>
      </c>
      <c r="CL539" t="s">
        <v>111</v>
      </c>
      <c r="CM539" t="s">
        <v>135</v>
      </c>
      <c r="CN539" t="s">
        <v>113</v>
      </c>
      <c r="CO539" t="s">
        <v>885</v>
      </c>
      <c r="CP539" t="s">
        <v>111</v>
      </c>
      <c r="CQ539">
        <v>35</v>
      </c>
      <c r="CR539">
        <v>1000</v>
      </c>
      <c r="CS539">
        <v>50</v>
      </c>
      <c r="CT539" t="e">
        <f>-BIEN EMPACADO PARA TROQUELAR</f>
        <v>#NAME?</v>
      </c>
      <c r="CU539">
        <v>0</v>
      </c>
      <c r="CV539" t="s">
        <v>111</v>
      </c>
      <c r="CX539" t="s">
        <v>111</v>
      </c>
      <c r="CY539">
        <v>0</v>
      </c>
      <c r="CZ539" t="s">
        <v>111</v>
      </c>
      <c r="DA539" t="s">
        <v>111</v>
      </c>
      <c r="DB539" t="e">
        <f>-EXTERNO</f>
        <v>#NAME?</v>
      </c>
      <c r="DC539" t="e">
        <f>-COLOCAR CORDON</f>
        <v>#NAME?</v>
      </c>
    </row>
    <row r="540" spans="1:107">
      <c r="A540">
        <v>1992</v>
      </c>
      <c r="B540" t="s">
        <v>107</v>
      </c>
      <c r="C540" t="s">
        <v>1251</v>
      </c>
      <c r="D540" t="s">
        <v>1937</v>
      </c>
      <c r="E540" t="s">
        <v>1938</v>
      </c>
      <c r="F540" t="s">
        <v>125</v>
      </c>
      <c r="G540" t="s">
        <v>469</v>
      </c>
      <c r="H540">
        <v>3.4</v>
      </c>
      <c r="I540">
        <v>53</v>
      </c>
      <c r="J540">
        <v>0</v>
      </c>
      <c r="K540">
        <v>0</v>
      </c>
      <c r="L540" t="s">
        <v>112</v>
      </c>
      <c r="M540" t="s">
        <v>111</v>
      </c>
      <c r="N540">
        <v>0</v>
      </c>
      <c r="O540">
        <v>0</v>
      </c>
      <c r="P540" t="s">
        <v>111</v>
      </c>
      <c r="Q540">
        <v>37.5</v>
      </c>
      <c r="R540">
        <v>0</v>
      </c>
      <c r="S540">
        <v>0</v>
      </c>
      <c r="T540">
        <v>5</v>
      </c>
      <c r="U540" s="1" t="s">
        <v>1939</v>
      </c>
      <c r="V540">
        <v>25</v>
      </c>
      <c r="W540">
        <v>0</v>
      </c>
      <c r="X540">
        <v>8</v>
      </c>
      <c r="Y540">
        <v>0</v>
      </c>
      <c r="Z540" t="s">
        <v>134</v>
      </c>
      <c r="AA540">
        <v>3</v>
      </c>
      <c r="AB540" t="s">
        <v>1940</v>
      </c>
      <c r="AC540">
        <v>5</v>
      </c>
      <c r="AD540" t="s">
        <v>111</v>
      </c>
      <c r="AE540">
        <v>0</v>
      </c>
      <c r="AF540">
        <v>0</v>
      </c>
      <c r="AG540" t="s">
        <v>111</v>
      </c>
      <c r="AH540" t="s">
        <v>111</v>
      </c>
      <c r="AI540" t="s">
        <v>111</v>
      </c>
      <c r="AJ540" t="s">
        <v>111</v>
      </c>
      <c r="AK540" t="s">
        <v>111</v>
      </c>
      <c r="AL540" t="s">
        <v>111</v>
      </c>
      <c r="AM540">
        <v>0</v>
      </c>
      <c r="AN540">
        <v>0</v>
      </c>
      <c r="AO540">
        <v>0</v>
      </c>
      <c r="AP540" t="s">
        <v>111</v>
      </c>
      <c r="AQ540" t="s">
        <v>111</v>
      </c>
      <c r="AR540" t="s">
        <v>111</v>
      </c>
      <c r="AS540" t="s">
        <v>111</v>
      </c>
      <c r="AT540" t="s">
        <v>111</v>
      </c>
      <c r="AU540" t="s">
        <v>111</v>
      </c>
      <c r="AV540" t="s">
        <v>111</v>
      </c>
      <c r="AW540" t="s">
        <v>111</v>
      </c>
      <c r="AX540" t="s">
        <v>111</v>
      </c>
      <c r="AY540" t="s">
        <v>111</v>
      </c>
      <c r="AZ540" t="s">
        <v>111</v>
      </c>
      <c r="BA540" t="s">
        <v>111</v>
      </c>
      <c r="BB540" t="s">
        <v>111</v>
      </c>
      <c r="BC540" t="s">
        <v>111</v>
      </c>
      <c r="BD540" t="s">
        <v>111</v>
      </c>
      <c r="BE540" t="s">
        <v>111</v>
      </c>
      <c r="BF540" t="s">
        <v>111</v>
      </c>
      <c r="BG540" t="s">
        <v>111</v>
      </c>
      <c r="BH540" t="s">
        <v>111</v>
      </c>
      <c r="BI540" t="s">
        <v>111</v>
      </c>
      <c r="BJ540" t="s">
        <v>111</v>
      </c>
      <c r="BK540" t="s">
        <v>111</v>
      </c>
      <c r="BL540" t="s">
        <v>111</v>
      </c>
      <c r="BM540" t="s">
        <v>111</v>
      </c>
      <c r="BN540" t="s">
        <v>111</v>
      </c>
      <c r="BO540" t="s">
        <v>111</v>
      </c>
      <c r="BP540" t="s">
        <v>111</v>
      </c>
      <c r="BQ540" t="s">
        <v>111</v>
      </c>
      <c r="BR540" t="s">
        <v>111</v>
      </c>
      <c r="BS540" t="s">
        <v>111</v>
      </c>
      <c r="BT540" t="s">
        <v>111</v>
      </c>
      <c r="BU540" t="s">
        <v>111</v>
      </c>
      <c r="BV540" t="s">
        <v>111</v>
      </c>
      <c r="BW540" t="s">
        <v>111</v>
      </c>
      <c r="BX540" t="s">
        <v>111</v>
      </c>
      <c r="BY540" t="s">
        <v>111</v>
      </c>
      <c r="BZ540" t="s">
        <v>111</v>
      </c>
      <c r="CA540" t="s">
        <v>111</v>
      </c>
      <c r="CB540" t="s">
        <v>111</v>
      </c>
      <c r="CC540" t="s">
        <v>111</v>
      </c>
      <c r="CD540" t="s">
        <v>111</v>
      </c>
      <c r="CE540" t="s">
        <v>111</v>
      </c>
      <c r="CF540" t="s">
        <v>111</v>
      </c>
      <c r="CG540" t="s">
        <v>111</v>
      </c>
      <c r="CH540" t="s">
        <v>111</v>
      </c>
      <c r="CI540" t="s">
        <v>111</v>
      </c>
      <c r="CJ540" t="s">
        <v>111</v>
      </c>
      <c r="CK540" t="s">
        <v>111</v>
      </c>
      <c r="CL540" t="s">
        <v>111</v>
      </c>
      <c r="CM540" t="s">
        <v>135</v>
      </c>
      <c r="CN540" t="s">
        <v>128</v>
      </c>
      <c r="CO540" t="s">
        <v>111</v>
      </c>
      <c r="CP540" t="s">
        <v>111</v>
      </c>
      <c r="CQ540">
        <v>0</v>
      </c>
      <c r="CR540">
        <v>300</v>
      </c>
      <c r="CS540">
        <v>25</v>
      </c>
      <c r="CT540" t="e">
        <f>-ALMACEN</f>
        <v>#NAME?</v>
      </c>
      <c r="CU540">
        <v>0</v>
      </c>
      <c r="CV540" t="s">
        <v>111</v>
      </c>
      <c r="CX540" t="s">
        <v>111</v>
      </c>
      <c r="CY540">
        <v>0</v>
      </c>
      <c r="CZ540" t="s">
        <v>111</v>
      </c>
      <c r="DA540" t="s">
        <v>111</v>
      </c>
      <c r="DB540" t="s">
        <v>111</v>
      </c>
      <c r="DC540" t="s">
        <v>111</v>
      </c>
    </row>
    <row r="541" spans="1:107">
      <c r="A541">
        <v>2010</v>
      </c>
      <c r="B541" t="s">
        <v>107</v>
      </c>
      <c r="C541" t="s">
        <v>928</v>
      </c>
      <c r="D541" t="s">
        <v>1464</v>
      </c>
      <c r="E541" t="s">
        <v>1941</v>
      </c>
      <c r="F541" t="s">
        <v>431</v>
      </c>
      <c r="G541" t="s">
        <v>469</v>
      </c>
      <c r="H541">
        <v>1</v>
      </c>
      <c r="I541">
        <v>88</v>
      </c>
      <c r="J541">
        <v>0</v>
      </c>
      <c r="K541">
        <v>0</v>
      </c>
      <c r="L541" t="s">
        <v>112</v>
      </c>
      <c r="M541" t="s">
        <v>118</v>
      </c>
      <c r="N541">
        <v>39</v>
      </c>
      <c r="O541">
        <v>1</v>
      </c>
      <c r="P541" t="s">
        <v>111</v>
      </c>
      <c r="Q541">
        <v>50</v>
      </c>
      <c r="R541">
        <v>0</v>
      </c>
      <c r="S541">
        <v>0</v>
      </c>
      <c r="T541">
        <v>5</v>
      </c>
      <c r="U541" s="1" t="s">
        <v>662</v>
      </c>
      <c r="V541">
        <v>0</v>
      </c>
      <c r="W541">
        <v>25</v>
      </c>
      <c r="X541">
        <v>6</v>
      </c>
      <c r="Y541">
        <v>0</v>
      </c>
      <c r="Z541" t="s">
        <v>111</v>
      </c>
      <c r="AA541">
        <v>0</v>
      </c>
      <c r="AB541" t="s">
        <v>111</v>
      </c>
      <c r="AC541">
        <v>0</v>
      </c>
      <c r="AD541" t="s">
        <v>416</v>
      </c>
      <c r="AE541">
        <v>0</v>
      </c>
      <c r="AF541">
        <v>0</v>
      </c>
      <c r="AG541" t="s">
        <v>111</v>
      </c>
      <c r="AH541" t="s">
        <v>111</v>
      </c>
      <c r="AI541" t="s">
        <v>111</v>
      </c>
      <c r="AJ541" t="s">
        <v>111</v>
      </c>
      <c r="AK541" t="s">
        <v>111</v>
      </c>
      <c r="AL541" t="s">
        <v>111</v>
      </c>
      <c r="AM541">
        <v>0</v>
      </c>
      <c r="AN541">
        <v>0</v>
      </c>
      <c r="AO541">
        <v>0</v>
      </c>
      <c r="AP541" t="s">
        <v>111</v>
      </c>
      <c r="AQ541" t="s">
        <v>111</v>
      </c>
      <c r="AR541" t="s">
        <v>111</v>
      </c>
      <c r="AS541" t="s">
        <v>111</v>
      </c>
      <c r="AT541" t="s">
        <v>111</v>
      </c>
      <c r="AU541" t="s">
        <v>111</v>
      </c>
      <c r="AV541" t="s">
        <v>111</v>
      </c>
      <c r="AW541" t="s">
        <v>111</v>
      </c>
      <c r="AX541" t="s">
        <v>111</v>
      </c>
      <c r="AY541" t="s">
        <v>111</v>
      </c>
      <c r="AZ541" t="s">
        <v>111</v>
      </c>
      <c r="BA541" t="s">
        <v>111</v>
      </c>
      <c r="BB541" t="s">
        <v>111</v>
      </c>
      <c r="BC541" t="s">
        <v>111</v>
      </c>
      <c r="BD541" t="s">
        <v>111</v>
      </c>
      <c r="BE541" t="s">
        <v>111</v>
      </c>
      <c r="BF541" t="s">
        <v>111</v>
      </c>
      <c r="BG541" t="s">
        <v>111</v>
      </c>
      <c r="BH541" t="s">
        <v>111</v>
      </c>
      <c r="BI541" t="s">
        <v>111</v>
      </c>
      <c r="BJ541" t="s">
        <v>111</v>
      </c>
      <c r="BK541" t="s">
        <v>111</v>
      </c>
      <c r="BL541" t="s">
        <v>111</v>
      </c>
      <c r="BM541" t="s">
        <v>111</v>
      </c>
      <c r="BN541" t="s">
        <v>111</v>
      </c>
      <c r="BO541" t="s">
        <v>111</v>
      </c>
      <c r="BP541" t="s">
        <v>111</v>
      </c>
      <c r="BQ541" t="s">
        <v>111</v>
      </c>
      <c r="BR541" t="s">
        <v>111</v>
      </c>
      <c r="BS541" t="s">
        <v>111</v>
      </c>
      <c r="BT541" t="s">
        <v>111</v>
      </c>
      <c r="BU541" t="s">
        <v>111</v>
      </c>
      <c r="BV541" t="s">
        <v>111</v>
      </c>
      <c r="BW541" t="s">
        <v>111</v>
      </c>
      <c r="BX541" t="s">
        <v>111</v>
      </c>
      <c r="BY541" t="s">
        <v>111</v>
      </c>
      <c r="BZ541" t="s">
        <v>111</v>
      </c>
      <c r="CA541" t="s">
        <v>111</v>
      </c>
      <c r="CB541" t="s">
        <v>111</v>
      </c>
      <c r="CC541" t="s">
        <v>111</v>
      </c>
      <c r="CD541" t="s">
        <v>111</v>
      </c>
      <c r="CE541" t="s">
        <v>111</v>
      </c>
      <c r="CF541" t="s">
        <v>111</v>
      </c>
      <c r="CG541" t="s">
        <v>111</v>
      </c>
      <c r="CH541" t="s">
        <v>111</v>
      </c>
      <c r="CI541" t="s">
        <v>111</v>
      </c>
      <c r="CJ541" t="s">
        <v>111</v>
      </c>
      <c r="CK541" t="s">
        <v>111</v>
      </c>
      <c r="CL541" t="s">
        <v>111</v>
      </c>
      <c r="CM541" t="s">
        <v>438</v>
      </c>
      <c r="CN541" t="s">
        <v>113</v>
      </c>
      <c r="CO541" t="s">
        <v>637</v>
      </c>
      <c r="CP541" t="e">
        <f>-MUESTRA</f>
        <v>#NAME?</v>
      </c>
      <c r="CQ541">
        <v>0</v>
      </c>
      <c r="CR541">
        <v>5000</v>
      </c>
      <c r="CS541">
        <v>100</v>
      </c>
      <c r="CT541" s="1" t="s">
        <v>1942</v>
      </c>
      <c r="CU541">
        <v>0</v>
      </c>
      <c r="CV541" t="s">
        <v>111</v>
      </c>
      <c r="CX541" t="s">
        <v>111</v>
      </c>
      <c r="CY541">
        <v>0</v>
      </c>
      <c r="CZ541" t="s">
        <v>111</v>
      </c>
      <c r="DA541" t="s">
        <v>111</v>
      </c>
      <c r="DB541" t="s">
        <v>111</v>
      </c>
      <c r="DC541" t="s">
        <v>111</v>
      </c>
    </row>
    <row r="542" spans="1:107">
      <c r="A542">
        <v>1999</v>
      </c>
      <c r="B542" t="s">
        <v>107</v>
      </c>
      <c r="C542" t="s">
        <v>412</v>
      </c>
      <c r="D542" t="s">
        <v>1943</v>
      </c>
      <c r="E542" t="s">
        <v>1944</v>
      </c>
      <c r="F542" t="s">
        <v>431</v>
      </c>
      <c r="G542" t="s">
        <v>469</v>
      </c>
      <c r="H542">
        <v>1.4</v>
      </c>
      <c r="I542">
        <v>44</v>
      </c>
      <c r="J542">
        <v>0</v>
      </c>
      <c r="K542">
        <v>0</v>
      </c>
      <c r="L542" t="s">
        <v>117</v>
      </c>
      <c r="M542" t="s">
        <v>118</v>
      </c>
      <c r="N542">
        <v>39</v>
      </c>
      <c r="O542">
        <v>1</v>
      </c>
      <c r="P542" t="s">
        <v>111</v>
      </c>
      <c r="Q542">
        <v>45.3</v>
      </c>
      <c r="R542">
        <v>0</v>
      </c>
      <c r="S542">
        <v>0</v>
      </c>
      <c r="T542">
        <v>5</v>
      </c>
      <c r="U542" s="1" t="s">
        <v>1945</v>
      </c>
      <c r="V542">
        <v>0</v>
      </c>
      <c r="W542">
        <v>25</v>
      </c>
      <c r="X542">
        <v>8</v>
      </c>
      <c r="Y542">
        <v>0</v>
      </c>
      <c r="Z542" t="s">
        <v>111</v>
      </c>
      <c r="AA542">
        <v>0</v>
      </c>
      <c r="AB542" t="s">
        <v>111</v>
      </c>
      <c r="AC542">
        <v>0</v>
      </c>
      <c r="AD542" t="s">
        <v>416</v>
      </c>
      <c r="AE542">
        <v>0</v>
      </c>
      <c r="AF542">
        <v>0</v>
      </c>
      <c r="AG542" t="s">
        <v>111</v>
      </c>
      <c r="AH542" t="s">
        <v>111</v>
      </c>
      <c r="AI542" t="s">
        <v>111</v>
      </c>
      <c r="AJ542" t="s">
        <v>111</v>
      </c>
      <c r="AK542" t="s">
        <v>111</v>
      </c>
      <c r="AL542" t="s">
        <v>111</v>
      </c>
      <c r="AM542">
        <v>0</v>
      </c>
      <c r="AN542">
        <v>0</v>
      </c>
      <c r="AO542">
        <v>0</v>
      </c>
      <c r="AP542" t="s">
        <v>111</v>
      </c>
      <c r="AQ542" t="s">
        <v>111</v>
      </c>
      <c r="AR542" t="s">
        <v>111</v>
      </c>
      <c r="AS542" t="s">
        <v>111</v>
      </c>
      <c r="AT542" t="s">
        <v>111</v>
      </c>
      <c r="AU542" t="s">
        <v>111</v>
      </c>
      <c r="AV542" t="s">
        <v>111</v>
      </c>
      <c r="AW542" t="s">
        <v>111</v>
      </c>
      <c r="AX542" t="s">
        <v>111</v>
      </c>
      <c r="AY542" t="s">
        <v>111</v>
      </c>
      <c r="AZ542" t="s">
        <v>111</v>
      </c>
      <c r="BA542" t="s">
        <v>111</v>
      </c>
      <c r="BB542" t="s">
        <v>111</v>
      </c>
      <c r="BC542" t="s">
        <v>111</v>
      </c>
      <c r="BD542" t="s">
        <v>111</v>
      </c>
      <c r="BE542" t="s">
        <v>111</v>
      </c>
      <c r="BF542" t="s">
        <v>111</v>
      </c>
      <c r="BG542" t="s">
        <v>111</v>
      </c>
      <c r="BH542" t="s">
        <v>111</v>
      </c>
      <c r="BI542" t="s">
        <v>111</v>
      </c>
      <c r="BJ542" t="s">
        <v>111</v>
      </c>
      <c r="BK542" t="s">
        <v>111</v>
      </c>
      <c r="BL542" t="s">
        <v>111</v>
      </c>
      <c r="BM542" t="s">
        <v>111</v>
      </c>
      <c r="BN542" t="s">
        <v>111</v>
      </c>
      <c r="BO542" t="s">
        <v>111</v>
      </c>
      <c r="BP542" t="s">
        <v>111</v>
      </c>
      <c r="BQ542" t="s">
        <v>111</v>
      </c>
      <c r="BR542" t="s">
        <v>111</v>
      </c>
      <c r="BS542" t="s">
        <v>111</v>
      </c>
      <c r="BT542" t="s">
        <v>111</v>
      </c>
      <c r="BU542" t="s">
        <v>111</v>
      </c>
      <c r="BV542" t="s">
        <v>111</v>
      </c>
      <c r="BW542" t="s">
        <v>111</v>
      </c>
      <c r="BX542" t="s">
        <v>111</v>
      </c>
      <c r="BY542" t="s">
        <v>111</v>
      </c>
      <c r="BZ542" t="s">
        <v>111</v>
      </c>
      <c r="CA542" t="s">
        <v>111</v>
      </c>
      <c r="CB542" t="s">
        <v>111</v>
      </c>
      <c r="CC542" t="s">
        <v>111</v>
      </c>
      <c r="CD542" t="s">
        <v>111</v>
      </c>
      <c r="CE542" t="s">
        <v>111</v>
      </c>
      <c r="CF542" t="s">
        <v>111</v>
      </c>
      <c r="CG542" t="s">
        <v>111</v>
      </c>
      <c r="CH542" t="s">
        <v>111</v>
      </c>
      <c r="CI542" t="s">
        <v>111</v>
      </c>
      <c r="CJ542" t="s">
        <v>111</v>
      </c>
      <c r="CK542" t="s">
        <v>111</v>
      </c>
      <c r="CL542" t="s">
        <v>111</v>
      </c>
      <c r="CM542">
        <v>450</v>
      </c>
      <c r="CN542" t="s">
        <v>113</v>
      </c>
      <c r="CO542" t="s">
        <v>111</v>
      </c>
      <c r="CP542" t="s">
        <v>111</v>
      </c>
      <c r="CQ542">
        <v>0</v>
      </c>
      <c r="CR542">
        <v>15000</v>
      </c>
      <c r="CS542">
        <v>100</v>
      </c>
      <c r="CT542" t="e">
        <f>-ALMACEN</f>
        <v>#NAME?</v>
      </c>
      <c r="CU542">
        <v>0</v>
      </c>
      <c r="CV542" t="s">
        <v>111</v>
      </c>
      <c r="CX542" t="s">
        <v>111</v>
      </c>
      <c r="CY542">
        <v>0</v>
      </c>
      <c r="CZ542" t="s">
        <v>111</v>
      </c>
      <c r="DA542" t="s">
        <v>111</v>
      </c>
      <c r="DB542" t="s">
        <v>111</v>
      </c>
      <c r="DC542" t="s">
        <v>111</v>
      </c>
    </row>
    <row r="543" spans="1:107">
      <c r="A543">
        <v>1786</v>
      </c>
      <c r="B543" t="s">
        <v>107</v>
      </c>
      <c r="C543" t="s">
        <v>504</v>
      </c>
      <c r="D543" t="s">
        <v>1946</v>
      </c>
      <c r="E543" t="s">
        <v>1947</v>
      </c>
      <c r="F543" t="s">
        <v>192</v>
      </c>
      <c r="G543" t="s">
        <v>469</v>
      </c>
      <c r="H543">
        <v>1.9</v>
      </c>
      <c r="I543">
        <v>58</v>
      </c>
      <c r="J543">
        <v>0</v>
      </c>
      <c r="K543">
        <v>0</v>
      </c>
      <c r="L543" t="s">
        <v>112</v>
      </c>
      <c r="M543" t="s">
        <v>111</v>
      </c>
      <c r="N543">
        <v>0</v>
      </c>
      <c r="O543">
        <v>0</v>
      </c>
      <c r="P543" t="s">
        <v>138</v>
      </c>
      <c r="Q543">
        <v>40</v>
      </c>
      <c r="R543">
        <v>0</v>
      </c>
      <c r="S543">
        <v>0</v>
      </c>
      <c r="T543">
        <v>0</v>
      </c>
      <c r="U543" t="e">
        <f>-DESTINO SELLADO</f>
        <v>#NAME?</v>
      </c>
      <c r="V543">
        <v>0</v>
      </c>
      <c r="W543">
        <v>25</v>
      </c>
      <c r="X543">
        <v>8</v>
      </c>
      <c r="Y543">
        <v>0</v>
      </c>
      <c r="Z543" t="s">
        <v>111</v>
      </c>
      <c r="AA543">
        <v>0</v>
      </c>
      <c r="AB543" t="s">
        <v>111</v>
      </c>
      <c r="AC543">
        <v>0</v>
      </c>
      <c r="AD543" t="s">
        <v>111</v>
      </c>
      <c r="AE543">
        <v>0</v>
      </c>
      <c r="AF543">
        <v>0</v>
      </c>
      <c r="AG543" t="s">
        <v>111</v>
      </c>
      <c r="AH543" t="s">
        <v>111</v>
      </c>
      <c r="AI543" t="s">
        <v>111</v>
      </c>
      <c r="AJ543" t="s">
        <v>111</v>
      </c>
      <c r="AK543" t="s">
        <v>111</v>
      </c>
      <c r="AL543" t="s">
        <v>111</v>
      </c>
      <c r="AM543">
        <v>0</v>
      </c>
      <c r="AN543">
        <v>0</v>
      </c>
      <c r="AO543">
        <v>0</v>
      </c>
      <c r="AP543" t="s">
        <v>111</v>
      </c>
      <c r="AQ543" t="s">
        <v>111</v>
      </c>
      <c r="AR543" t="s">
        <v>111</v>
      </c>
      <c r="AS543" t="s">
        <v>111</v>
      </c>
      <c r="AT543" t="s">
        <v>111</v>
      </c>
      <c r="AU543" t="s">
        <v>111</v>
      </c>
      <c r="AV543" t="s">
        <v>111</v>
      </c>
      <c r="AW543" t="s">
        <v>111</v>
      </c>
      <c r="AX543" t="s">
        <v>111</v>
      </c>
      <c r="AY543" t="s">
        <v>111</v>
      </c>
      <c r="AZ543" t="s">
        <v>111</v>
      </c>
      <c r="BA543" t="s">
        <v>111</v>
      </c>
      <c r="BB543" t="s">
        <v>111</v>
      </c>
      <c r="BC543" t="s">
        <v>111</v>
      </c>
      <c r="BD543" t="s">
        <v>111</v>
      </c>
      <c r="BE543" t="s">
        <v>111</v>
      </c>
      <c r="BF543" t="s">
        <v>111</v>
      </c>
      <c r="BG543" t="s">
        <v>111</v>
      </c>
      <c r="BH543" t="s">
        <v>111</v>
      </c>
      <c r="BI543" t="s">
        <v>111</v>
      </c>
      <c r="BJ543" t="s">
        <v>111</v>
      </c>
      <c r="BK543" t="s">
        <v>111</v>
      </c>
      <c r="BL543" t="s">
        <v>111</v>
      </c>
      <c r="BM543" t="s">
        <v>111</v>
      </c>
      <c r="BN543" t="s">
        <v>111</v>
      </c>
      <c r="BO543" t="s">
        <v>111</v>
      </c>
      <c r="BP543" t="s">
        <v>111</v>
      </c>
      <c r="BQ543" t="s">
        <v>111</v>
      </c>
      <c r="BR543" t="s">
        <v>111</v>
      </c>
      <c r="BS543" t="s">
        <v>111</v>
      </c>
      <c r="BT543" t="s">
        <v>111</v>
      </c>
      <c r="BU543" t="s">
        <v>111</v>
      </c>
      <c r="BV543" t="s">
        <v>111</v>
      </c>
      <c r="BW543" t="s">
        <v>111</v>
      </c>
      <c r="BX543" t="s">
        <v>111</v>
      </c>
      <c r="BY543" t="s">
        <v>111</v>
      </c>
      <c r="BZ543" t="s">
        <v>111</v>
      </c>
      <c r="CA543" t="s">
        <v>111</v>
      </c>
      <c r="CB543" t="s">
        <v>111</v>
      </c>
      <c r="CC543" t="s">
        <v>111</v>
      </c>
      <c r="CD543" t="s">
        <v>111</v>
      </c>
      <c r="CE543" t="s">
        <v>111</v>
      </c>
      <c r="CF543" t="s">
        <v>111</v>
      </c>
      <c r="CG543" t="s">
        <v>111</v>
      </c>
      <c r="CH543" t="s">
        <v>111</v>
      </c>
      <c r="CI543" t="s">
        <v>111</v>
      </c>
      <c r="CJ543" t="s">
        <v>111</v>
      </c>
      <c r="CK543" t="s">
        <v>111</v>
      </c>
      <c r="CL543" t="s">
        <v>111</v>
      </c>
      <c r="CM543" t="s">
        <v>198</v>
      </c>
      <c r="CN543" t="s">
        <v>113</v>
      </c>
      <c r="CO543" t="s">
        <v>111</v>
      </c>
      <c r="CP543" t="s">
        <v>111</v>
      </c>
      <c r="CQ543">
        <v>0</v>
      </c>
      <c r="CR543">
        <v>0</v>
      </c>
      <c r="CS543">
        <v>0</v>
      </c>
      <c r="CT543" t="e">
        <f>-DESTINO ALMACEN</f>
        <v>#NAME?</v>
      </c>
      <c r="CU543">
        <v>0</v>
      </c>
      <c r="CV543" t="s">
        <v>111</v>
      </c>
      <c r="CX543" t="s">
        <v>111</v>
      </c>
      <c r="CY543">
        <v>0</v>
      </c>
      <c r="CZ543" t="s">
        <v>111</v>
      </c>
      <c r="DA543" t="s">
        <v>111</v>
      </c>
      <c r="DB543" t="s">
        <v>111</v>
      </c>
      <c r="DC543" t="s">
        <v>111</v>
      </c>
    </row>
    <row r="544" spans="1:107">
      <c r="A544">
        <v>2001</v>
      </c>
      <c r="B544" t="s">
        <v>107</v>
      </c>
      <c r="C544" t="s">
        <v>1948</v>
      </c>
      <c r="D544" t="s">
        <v>1949</v>
      </c>
      <c r="E544" t="s">
        <v>1950</v>
      </c>
      <c r="F544" t="s">
        <v>125</v>
      </c>
      <c r="G544" t="s">
        <v>469</v>
      </c>
      <c r="H544">
        <v>0.37</v>
      </c>
      <c r="I544">
        <v>48</v>
      </c>
      <c r="J544">
        <v>0</v>
      </c>
      <c r="K544">
        <v>0</v>
      </c>
      <c r="L544" t="s">
        <v>178</v>
      </c>
      <c r="M544" t="s">
        <v>138</v>
      </c>
      <c r="N544">
        <v>0</v>
      </c>
      <c r="O544">
        <v>0</v>
      </c>
      <c r="P544" t="s">
        <v>111</v>
      </c>
      <c r="Q544">
        <v>48.4</v>
      </c>
      <c r="R544">
        <v>0</v>
      </c>
      <c r="S544">
        <v>0</v>
      </c>
      <c r="T544">
        <v>3</v>
      </c>
      <c r="U544" t="e">
        <f>-SELLADO</f>
        <v>#NAME?</v>
      </c>
      <c r="V544">
        <v>25</v>
      </c>
      <c r="W544">
        <v>0</v>
      </c>
      <c r="X544">
        <v>5</v>
      </c>
      <c r="Y544">
        <v>0</v>
      </c>
      <c r="Z544" t="s">
        <v>111</v>
      </c>
      <c r="AA544">
        <v>0</v>
      </c>
      <c r="AB544" t="s">
        <v>111</v>
      </c>
      <c r="AC544">
        <v>0</v>
      </c>
      <c r="AD544" t="s">
        <v>111</v>
      </c>
      <c r="AE544">
        <v>0</v>
      </c>
      <c r="AF544">
        <v>0</v>
      </c>
      <c r="AG544" t="s">
        <v>111</v>
      </c>
      <c r="AH544" t="s">
        <v>111</v>
      </c>
      <c r="AI544" t="s">
        <v>111</v>
      </c>
      <c r="AJ544" t="s">
        <v>111</v>
      </c>
      <c r="AK544" t="s">
        <v>111</v>
      </c>
      <c r="AL544" t="s">
        <v>111</v>
      </c>
      <c r="AM544">
        <v>0</v>
      </c>
      <c r="AN544">
        <v>0</v>
      </c>
      <c r="AO544">
        <v>0</v>
      </c>
      <c r="AP544" t="s">
        <v>111</v>
      </c>
      <c r="AQ544" t="s">
        <v>111</v>
      </c>
      <c r="AR544" t="s">
        <v>111</v>
      </c>
      <c r="AS544" t="s">
        <v>111</v>
      </c>
      <c r="AT544" t="s">
        <v>111</v>
      </c>
      <c r="AU544" t="s">
        <v>111</v>
      </c>
      <c r="AV544" t="s">
        <v>111</v>
      </c>
      <c r="AW544" t="s">
        <v>111</v>
      </c>
      <c r="AX544" t="s">
        <v>111</v>
      </c>
      <c r="AY544" t="s">
        <v>111</v>
      </c>
      <c r="AZ544" t="s">
        <v>111</v>
      </c>
      <c r="BA544" t="s">
        <v>111</v>
      </c>
      <c r="BB544" t="s">
        <v>111</v>
      </c>
      <c r="BC544" t="s">
        <v>111</v>
      </c>
      <c r="BD544" t="s">
        <v>111</v>
      </c>
      <c r="BE544" t="s">
        <v>111</v>
      </c>
      <c r="BF544" t="s">
        <v>111</v>
      </c>
      <c r="BG544" t="s">
        <v>111</v>
      </c>
      <c r="BH544" t="s">
        <v>111</v>
      </c>
      <c r="BI544" t="s">
        <v>111</v>
      </c>
      <c r="BJ544" t="s">
        <v>111</v>
      </c>
      <c r="BK544" t="s">
        <v>111</v>
      </c>
      <c r="BL544" t="s">
        <v>111</v>
      </c>
      <c r="BM544" t="s">
        <v>111</v>
      </c>
      <c r="BN544" t="s">
        <v>111</v>
      </c>
      <c r="BO544" t="s">
        <v>111</v>
      </c>
      <c r="BP544" t="s">
        <v>111</v>
      </c>
      <c r="BQ544" t="s">
        <v>111</v>
      </c>
      <c r="BR544" t="s">
        <v>111</v>
      </c>
      <c r="BS544" t="s">
        <v>111</v>
      </c>
      <c r="BT544" t="s">
        <v>111</v>
      </c>
      <c r="BU544" t="s">
        <v>111</v>
      </c>
      <c r="BV544" t="s">
        <v>111</v>
      </c>
      <c r="BW544" t="s">
        <v>111</v>
      </c>
      <c r="BX544" t="s">
        <v>111</v>
      </c>
      <c r="BY544" t="s">
        <v>111</v>
      </c>
      <c r="BZ544" t="s">
        <v>111</v>
      </c>
      <c r="CA544" t="s">
        <v>111</v>
      </c>
      <c r="CB544" t="s">
        <v>111</v>
      </c>
      <c r="CC544" t="s">
        <v>111</v>
      </c>
      <c r="CD544" t="s">
        <v>111</v>
      </c>
      <c r="CE544" t="s">
        <v>111</v>
      </c>
      <c r="CF544" t="s">
        <v>111</v>
      </c>
      <c r="CG544" t="s">
        <v>111</v>
      </c>
      <c r="CH544" t="s">
        <v>111</v>
      </c>
      <c r="CI544" t="s">
        <v>111</v>
      </c>
      <c r="CJ544" t="s">
        <v>111</v>
      </c>
      <c r="CK544" t="s">
        <v>111</v>
      </c>
      <c r="CL544" t="s">
        <v>111</v>
      </c>
      <c r="CM544" t="s">
        <v>438</v>
      </c>
      <c r="CN544" t="s">
        <v>113</v>
      </c>
      <c r="CO544" t="s">
        <v>111</v>
      </c>
      <c r="CP544" t="s">
        <v>111</v>
      </c>
      <c r="CQ544">
        <v>0</v>
      </c>
      <c r="CR544">
        <v>5000</v>
      </c>
      <c r="CS544">
        <v>100</v>
      </c>
      <c r="CT544" t="e">
        <f>-ALMMACEN</f>
        <v>#NAME?</v>
      </c>
      <c r="CU544">
        <v>0</v>
      </c>
      <c r="CV544" t="s">
        <v>111</v>
      </c>
      <c r="CX544" t="s">
        <v>111</v>
      </c>
      <c r="CY544">
        <v>0</v>
      </c>
      <c r="CZ544" t="s">
        <v>111</v>
      </c>
      <c r="DA544" t="s">
        <v>111</v>
      </c>
      <c r="DB544" t="s">
        <v>111</v>
      </c>
      <c r="DC544" t="s">
        <v>111</v>
      </c>
    </row>
    <row r="545" spans="1:107">
      <c r="A545">
        <v>2003</v>
      </c>
      <c r="B545" t="s">
        <v>107</v>
      </c>
      <c r="C545" t="s">
        <v>226</v>
      </c>
      <c r="D545" t="s">
        <v>1951</v>
      </c>
      <c r="E545" t="s">
        <v>1952</v>
      </c>
      <c r="F545" t="s">
        <v>431</v>
      </c>
      <c r="G545" t="s">
        <v>469</v>
      </c>
      <c r="H545">
        <v>1.5</v>
      </c>
      <c r="I545">
        <v>77</v>
      </c>
      <c r="J545">
        <v>0</v>
      </c>
      <c r="K545">
        <v>0</v>
      </c>
      <c r="L545" t="s">
        <v>117</v>
      </c>
      <c r="M545" t="s">
        <v>118</v>
      </c>
      <c r="N545">
        <v>40</v>
      </c>
      <c r="O545">
        <v>1</v>
      </c>
      <c r="P545" t="s">
        <v>118</v>
      </c>
      <c r="Q545">
        <v>53.1</v>
      </c>
      <c r="R545">
        <v>0</v>
      </c>
      <c r="S545">
        <v>0</v>
      </c>
      <c r="T545">
        <v>10</v>
      </c>
      <c r="U545" s="1" t="s">
        <v>1953</v>
      </c>
      <c r="V545">
        <v>0</v>
      </c>
      <c r="W545">
        <v>25</v>
      </c>
      <c r="X545">
        <v>8</v>
      </c>
      <c r="Y545">
        <v>0</v>
      </c>
      <c r="Z545" t="s">
        <v>111</v>
      </c>
      <c r="AA545">
        <v>0</v>
      </c>
      <c r="AB545" t="s">
        <v>111</v>
      </c>
      <c r="AC545">
        <v>0</v>
      </c>
      <c r="AD545" t="s">
        <v>427</v>
      </c>
      <c r="AE545">
        <v>0</v>
      </c>
      <c r="AF545">
        <v>0</v>
      </c>
      <c r="AG545" t="s">
        <v>111</v>
      </c>
      <c r="AH545" t="s">
        <v>111</v>
      </c>
      <c r="AI545" t="s">
        <v>111</v>
      </c>
      <c r="AJ545" t="s">
        <v>111</v>
      </c>
      <c r="AK545" t="s">
        <v>111</v>
      </c>
      <c r="AL545" t="s">
        <v>111</v>
      </c>
      <c r="AM545">
        <v>0</v>
      </c>
      <c r="AN545">
        <v>0</v>
      </c>
      <c r="AO545">
        <v>0</v>
      </c>
      <c r="AP545" t="s">
        <v>111</v>
      </c>
      <c r="AQ545" t="s">
        <v>111</v>
      </c>
      <c r="AR545" t="s">
        <v>111</v>
      </c>
      <c r="AS545" t="s">
        <v>111</v>
      </c>
      <c r="AT545" t="s">
        <v>111</v>
      </c>
      <c r="AU545" t="s">
        <v>111</v>
      </c>
      <c r="AV545" t="s">
        <v>111</v>
      </c>
      <c r="AW545" t="s">
        <v>111</v>
      </c>
      <c r="AX545" t="s">
        <v>111</v>
      </c>
      <c r="AY545" t="s">
        <v>111</v>
      </c>
      <c r="AZ545" t="s">
        <v>111</v>
      </c>
      <c r="BA545" t="s">
        <v>111</v>
      </c>
      <c r="BB545" t="s">
        <v>111</v>
      </c>
      <c r="BC545" t="s">
        <v>111</v>
      </c>
      <c r="BD545" t="s">
        <v>111</v>
      </c>
      <c r="BE545" t="s">
        <v>111</v>
      </c>
      <c r="BF545" t="s">
        <v>111</v>
      </c>
      <c r="BG545" t="s">
        <v>111</v>
      </c>
      <c r="BH545" t="s">
        <v>111</v>
      </c>
      <c r="BI545" t="s">
        <v>111</v>
      </c>
      <c r="BJ545" t="s">
        <v>111</v>
      </c>
      <c r="BK545" t="s">
        <v>111</v>
      </c>
      <c r="BL545" t="s">
        <v>111</v>
      </c>
      <c r="BM545" t="s">
        <v>111</v>
      </c>
      <c r="BN545" t="s">
        <v>111</v>
      </c>
      <c r="BO545" t="s">
        <v>111</v>
      </c>
      <c r="BP545" t="s">
        <v>111</v>
      </c>
      <c r="BQ545" t="s">
        <v>111</v>
      </c>
      <c r="BR545" t="s">
        <v>111</v>
      </c>
      <c r="BS545" t="s">
        <v>111</v>
      </c>
      <c r="BT545" t="s">
        <v>111</v>
      </c>
      <c r="BU545" t="s">
        <v>111</v>
      </c>
      <c r="BV545" t="s">
        <v>111</v>
      </c>
      <c r="BW545" t="s">
        <v>111</v>
      </c>
      <c r="BX545" t="s">
        <v>111</v>
      </c>
      <c r="BY545" t="s">
        <v>111</v>
      </c>
      <c r="BZ545" t="s">
        <v>111</v>
      </c>
      <c r="CA545" t="s">
        <v>111</v>
      </c>
      <c r="CB545" t="s">
        <v>111</v>
      </c>
      <c r="CC545" t="s">
        <v>111</v>
      </c>
      <c r="CD545" t="s">
        <v>111</v>
      </c>
      <c r="CE545" t="s">
        <v>111</v>
      </c>
      <c r="CF545" t="s">
        <v>111</v>
      </c>
      <c r="CG545" t="s">
        <v>111</v>
      </c>
      <c r="CH545" t="s">
        <v>111</v>
      </c>
      <c r="CI545" t="s">
        <v>111</v>
      </c>
      <c r="CJ545" t="s">
        <v>111</v>
      </c>
      <c r="CK545" t="s">
        <v>111</v>
      </c>
      <c r="CL545" t="s">
        <v>111</v>
      </c>
      <c r="CM545" t="s">
        <v>360</v>
      </c>
      <c r="CN545" t="s">
        <v>113</v>
      </c>
      <c r="CO545" t="s">
        <v>1954</v>
      </c>
      <c r="CP545" t="e">
        <f>-MUESTRA</f>
        <v>#NAME?</v>
      </c>
      <c r="CQ545">
        <v>0</v>
      </c>
      <c r="CR545">
        <v>0</v>
      </c>
      <c r="CS545">
        <v>300</v>
      </c>
      <c r="CT545" s="1" t="s">
        <v>1955</v>
      </c>
      <c r="CU545">
        <v>0</v>
      </c>
      <c r="CV545" t="s">
        <v>111</v>
      </c>
      <c r="CX545" t="s">
        <v>111</v>
      </c>
      <c r="CY545">
        <v>0</v>
      </c>
      <c r="CZ545" t="s">
        <v>111</v>
      </c>
      <c r="DA545" t="s">
        <v>111</v>
      </c>
      <c r="DB545" t="s">
        <v>111</v>
      </c>
      <c r="DC545" t="s">
        <v>111</v>
      </c>
    </row>
    <row r="546" spans="1:107">
      <c r="A546">
        <v>2004</v>
      </c>
      <c r="B546" t="s">
        <v>107</v>
      </c>
      <c r="C546" t="s">
        <v>226</v>
      </c>
      <c r="D546" t="s">
        <v>1951</v>
      </c>
      <c r="E546" t="s">
        <v>1956</v>
      </c>
      <c r="F546" t="s">
        <v>431</v>
      </c>
      <c r="G546" t="s">
        <v>469</v>
      </c>
      <c r="H546">
        <v>1.5</v>
      </c>
      <c r="I546">
        <v>77</v>
      </c>
      <c r="J546">
        <v>0</v>
      </c>
      <c r="K546">
        <v>0</v>
      </c>
      <c r="L546" t="s">
        <v>117</v>
      </c>
      <c r="M546" t="s">
        <v>118</v>
      </c>
      <c r="N546">
        <v>40</v>
      </c>
      <c r="O546">
        <v>1</v>
      </c>
      <c r="P546" t="s">
        <v>111</v>
      </c>
      <c r="Q546">
        <v>53.1</v>
      </c>
      <c r="R546">
        <v>0</v>
      </c>
      <c r="S546">
        <v>0</v>
      </c>
      <c r="T546">
        <v>10</v>
      </c>
      <c r="U546" t="e">
        <f>-IMPRESION CORREA</f>
        <v>#NAME?</v>
      </c>
      <c r="V546">
        <v>0</v>
      </c>
      <c r="W546">
        <v>25</v>
      </c>
      <c r="X546">
        <v>8</v>
      </c>
      <c r="Y546">
        <v>0</v>
      </c>
      <c r="Z546" t="s">
        <v>111</v>
      </c>
      <c r="AA546">
        <v>0</v>
      </c>
      <c r="AB546" t="s">
        <v>1957</v>
      </c>
      <c r="AC546">
        <v>8</v>
      </c>
      <c r="AD546" t="s">
        <v>427</v>
      </c>
      <c r="AE546">
        <v>0</v>
      </c>
      <c r="AF546">
        <v>0</v>
      </c>
      <c r="AG546" t="s">
        <v>111</v>
      </c>
      <c r="AH546" t="s">
        <v>111</v>
      </c>
      <c r="AI546" t="s">
        <v>111</v>
      </c>
      <c r="AJ546" t="s">
        <v>111</v>
      </c>
      <c r="AK546" t="s">
        <v>111</v>
      </c>
      <c r="AL546" t="s">
        <v>111</v>
      </c>
      <c r="AM546">
        <v>0</v>
      </c>
      <c r="AN546">
        <v>0</v>
      </c>
      <c r="AO546">
        <v>0</v>
      </c>
      <c r="AP546" t="s">
        <v>111</v>
      </c>
      <c r="AQ546" t="s">
        <v>111</v>
      </c>
      <c r="AR546" t="s">
        <v>111</v>
      </c>
      <c r="AS546" t="s">
        <v>111</v>
      </c>
      <c r="AT546" t="s">
        <v>111</v>
      </c>
      <c r="AU546" t="s">
        <v>111</v>
      </c>
      <c r="AV546" t="s">
        <v>111</v>
      </c>
      <c r="AW546" t="s">
        <v>111</v>
      </c>
      <c r="AX546" t="s">
        <v>111</v>
      </c>
      <c r="AY546" t="s">
        <v>111</v>
      </c>
      <c r="AZ546" t="s">
        <v>111</v>
      </c>
      <c r="BA546" t="s">
        <v>111</v>
      </c>
      <c r="BB546" t="s">
        <v>111</v>
      </c>
      <c r="BC546" t="s">
        <v>111</v>
      </c>
      <c r="BD546" t="s">
        <v>111</v>
      </c>
      <c r="BE546" t="s">
        <v>111</v>
      </c>
      <c r="BF546" t="s">
        <v>111</v>
      </c>
      <c r="BG546" t="s">
        <v>111</v>
      </c>
      <c r="BH546" t="s">
        <v>111</v>
      </c>
      <c r="BI546" t="s">
        <v>111</v>
      </c>
      <c r="BJ546" t="s">
        <v>111</v>
      </c>
      <c r="BK546" t="s">
        <v>111</v>
      </c>
      <c r="BL546" t="s">
        <v>111</v>
      </c>
      <c r="BM546" t="s">
        <v>111</v>
      </c>
      <c r="BN546" t="s">
        <v>111</v>
      </c>
      <c r="BO546" t="s">
        <v>111</v>
      </c>
      <c r="BP546" t="s">
        <v>111</v>
      </c>
      <c r="BQ546" t="s">
        <v>111</v>
      </c>
      <c r="BR546" t="s">
        <v>111</v>
      </c>
      <c r="BS546" t="s">
        <v>111</v>
      </c>
      <c r="BT546" t="s">
        <v>111</v>
      </c>
      <c r="BU546" t="s">
        <v>111</v>
      </c>
      <c r="BV546" t="s">
        <v>111</v>
      </c>
      <c r="BW546" t="s">
        <v>111</v>
      </c>
      <c r="BX546" t="s">
        <v>111</v>
      </c>
      <c r="BY546" t="s">
        <v>111</v>
      </c>
      <c r="BZ546" t="s">
        <v>111</v>
      </c>
      <c r="CA546" t="s">
        <v>111</v>
      </c>
      <c r="CB546" t="s">
        <v>111</v>
      </c>
      <c r="CC546" t="s">
        <v>111</v>
      </c>
      <c r="CD546" t="s">
        <v>111</v>
      </c>
      <c r="CE546" t="s">
        <v>111</v>
      </c>
      <c r="CF546" t="s">
        <v>111</v>
      </c>
      <c r="CG546" t="s">
        <v>111</v>
      </c>
      <c r="CH546" t="s">
        <v>111</v>
      </c>
      <c r="CI546" t="s">
        <v>111</v>
      </c>
      <c r="CJ546" t="s">
        <v>111</v>
      </c>
      <c r="CK546" t="s">
        <v>111</v>
      </c>
      <c r="CL546" t="s">
        <v>111</v>
      </c>
      <c r="CM546" t="s">
        <v>360</v>
      </c>
      <c r="CN546" t="s">
        <v>113</v>
      </c>
      <c r="CO546" t="s">
        <v>1954</v>
      </c>
      <c r="CP546" t="e">
        <f>-MUESTRA</f>
        <v>#NAME?</v>
      </c>
      <c r="CQ546">
        <v>0</v>
      </c>
      <c r="CR546">
        <v>0</v>
      </c>
      <c r="CS546">
        <v>3000</v>
      </c>
      <c r="CT546" s="1" t="s">
        <v>1958</v>
      </c>
      <c r="CU546">
        <v>0</v>
      </c>
      <c r="CV546" t="s">
        <v>111</v>
      </c>
      <c r="CX546" t="s">
        <v>111</v>
      </c>
      <c r="CY546">
        <v>0</v>
      </c>
      <c r="CZ546" t="s">
        <v>111</v>
      </c>
      <c r="DA546" t="s">
        <v>111</v>
      </c>
      <c r="DB546" t="s">
        <v>111</v>
      </c>
      <c r="DC546" t="s">
        <v>111</v>
      </c>
    </row>
    <row r="547" spans="1:107">
      <c r="A547">
        <v>2005</v>
      </c>
      <c r="B547" t="s">
        <v>107</v>
      </c>
      <c r="C547" t="s">
        <v>226</v>
      </c>
      <c r="D547" t="s">
        <v>1951</v>
      </c>
      <c r="E547" t="s">
        <v>1959</v>
      </c>
      <c r="F547" t="s">
        <v>431</v>
      </c>
      <c r="G547" t="s">
        <v>469</v>
      </c>
      <c r="H547">
        <v>1.5</v>
      </c>
      <c r="I547">
        <v>77</v>
      </c>
      <c r="J547">
        <v>0</v>
      </c>
      <c r="K547">
        <v>0</v>
      </c>
      <c r="L547" t="s">
        <v>117</v>
      </c>
      <c r="M547" t="s">
        <v>118</v>
      </c>
      <c r="N547">
        <v>40</v>
      </c>
      <c r="O547">
        <v>1</v>
      </c>
      <c r="P547" t="s">
        <v>111</v>
      </c>
      <c r="Q547">
        <v>56.3</v>
      </c>
      <c r="R547">
        <v>0</v>
      </c>
      <c r="S547">
        <v>0</v>
      </c>
      <c r="T547">
        <v>10</v>
      </c>
      <c r="U547" t="e">
        <f>-IMPRESION DEMES</f>
        <v>#NAME?</v>
      </c>
      <c r="V547">
        <v>0</v>
      </c>
      <c r="W547">
        <v>25</v>
      </c>
      <c r="X547">
        <v>8</v>
      </c>
      <c r="Y547">
        <v>0</v>
      </c>
      <c r="Z547" t="s">
        <v>111</v>
      </c>
      <c r="AA547">
        <v>0</v>
      </c>
      <c r="AB547" t="s">
        <v>1960</v>
      </c>
      <c r="AC547">
        <v>8</v>
      </c>
      <c r="AD547" t="s">
        <v>493</v>
      </c>
      <c r="AE547">
        <v>0</v>
      </c>
      <c r="AF547">
        <v>0</v>
      </c>
      <c r="AG547" t="s">
        <v>111</v>
      </c>
      <c r="AH547" t="s">
        <v>111</v>
      </c>
      <c r="AI547" t="s">
        <v>111</v>
      </c>
      <c r="AJ547" t="s">
        <v>111</v>
      </c>
      <c r="AK547" t="s">
        <v>111</v>
      </c>
      <c r="AL547" t="s">
        <v>111</v>
      </c>
      <c r="AM547">
        <v>0</v>
      </c>
      <c r="AN547">
        <v>0</v>
      </c>
      <c r="AO547">
        <v>0</v>
      </c>
      <c r="AP547" t="s">
        <v>111</v>
      </c>
      <c r="AQ547" t="s">
        <v>111</v>
      </c>
      <c r="AR547" t="s">
        <v>111</v>
      </c>
      <c r="AS547" t="s">
        <v>111</v>
      </c>
      <c r="AT547" t="s">
        <v>111</v>
      </c>
      <c r="AU547" t="s">
        <v>111</v>
      </c>
      <c r="AV547" t="s">
        <v>111</v>
      </c>
      <c r="AW547" t="s">
        <v>111</v>
      </c>
      <c r="AX547" t="s">
        <v>111</v>
      </c>
      <c r="AY547" t="s">
        <v>111</v>
      </c>
      <c r="AZ547" t="s">
        <v>111</v>
      </c>
      <c r="BA547" t="s">
        <v>111</v>
      </c>
      <c r="BB547" t="s">
        <v>111</v>
      </c>
      <c r="BC547" t="s">
        <v>111</v>
      </c>
      <c r="BD547" t="s">
        <v>111</v>
      </c>
      <c r="BE547" t="s">
        <v>111</v>
      </c>
      <c r="BF547" t="s">
        <v>111</v>
      </c>
      <c r="BG547" t="s">
        <v>111</v>
      </c>
      <c r="BH547" t="s">
        <v>111</v>
      </c>
      <c r="BI547" t="s">
        <v>111</v>
      </c>
      <c r="BJ547" t="s">
        <v>111</v>
      </c>
      <c r="BK547" t="s">
        <v>111</v>
      </c>
      <c r="BL547" t="s">
        <v>111</v>
      </c>
      <c r="BM547" t="s">
        <v>111</v>
      </c>
      <c r="BN547" t="s">
        <v>111</v>
      </c>
      <c r="BO547" t="s">
        <v>111</v>
      </c>
      <c r="BP547" t="s">
        <v>111</v>
      </c>
      <c r="BQ547" t="s">
        <v>111</v>
      </c>
      <c r="BR547" t="s">
        <v>111</v>
      </c>
      <c r="BS547" t="s">
        <v>111</v>
      </c>
      <c r="BT547" t="s">
        <v>111</v>
      </c>
      <c r="BU547" t="s">
        <v>111</v>
      </c>
      <c r="BV547" t="s">
        <v>111</v>
      </c>
      <c r="BW547" t="s">
        <v>111</v>
      </c>
      <c r="BX547" t="s">
        <v>111</v>
      </c>
      <c r="BY547" t="s">
        <v>111</v>
      </c>
      <c r="BZ547" t="s">
        <v>111</v>
      </c>
      <c r="CA547" t="s">
        <v>111</v>
      </c>
      <c r="CB547" t="s">
        <v>111</v>
      </c>
      <c r="CC547" t="s">
        <v>111</v>
      </c>
      <c r="CD547" t="s">
        <v>111</v>
      </c>
      <c r="CE547" t="s">
        <v>111</v>
      </c>
      <c r="CF547" t="s">
        <v>111</v>
      </c>
      <c r="CG547" t="s">
        <v>111</v>
      </c>
      <c r="CH547" t="s">
        <v>111</v>
      </c>
      <c r="CI547" t="s">
        <v>111</v>
      </c>
      <c r="CJ547" t="s">
        <v>111</v>
      </c>
      <c r="CK547" t="s">
        <v>111</v>
      </c>
      <c r="CL547" t="s">
        <v>111</v>
      </c>
      <c r="CM547" t="s">
        <v>360</v>
      </c>
      <c r="CN547" t="s">
        <v>113</v>
      </c>
      <c r="CO547" t="s">
        <v>1929</v>
      </c>
      <c r="CP547" t="s">
        <v>111</v>
      </c>
      <c r="CQ547">
        <v>0</v>
      </c>
      <c r="CR547">
        <v>3600</v>
      </c>
      <c r="CS547">
        <v>300</v>
      </c>
      <c r="CT547" s="1" t="s">
        <v>1961</v>
      </c>
      <c r="CU547">
        <v>0</v>
      </c>
      <c r="CV547" t="s">
        <v>111</v>
      </c>
      <c r="CX547" t="s">
        <v>111</v>
      </c>
      <c r="CY547">
        <v>0</v>
      </c>
      <c r="CZ547" t="s">
        <v>111</v>
      </c>
      <c r="DA547" t="s">
        <v>111</v>
      </c>
      <c r="DB547" t="s">
        <v>111</v>
      </c>
      <c r="DC547" t="s">
        <v>111</v>
      </c>
    </row>
    <row r="548" spans="1:107">
      <c r="A548">
        <v>1759</v>
      </c>
      <c r="B548" t="s">
        <v>107</v>
      </c>
      <c r="C548" t="s">
        <v>1029</v>
      </c>
      <c r="D548" t="s">
        <v>1962</v>
      </c>
      <c r="E548" t="s">
        <v>1963</v>
      </c>
      <c r="F548" t="s">
        <v>370</v>
      </c>
      <c r="G548" t="s">
        <v>469</v>
      </c>
      <c r="H548">
        <v>1</v>
      </c>
      <c r="I548">
        <v>30</v>
      </c>
      <c r="J548">
        <v>0</v>
      </c>
      <c r="K548">
        <v>0</v>
      </c>
      <c r="L548" t="s">
        <v>178</v>
      </c>
      <c r="M548" t="s">
        <v>118</v>
      </c>
      <c r="N548">
        <v>39</v>
      </c>
      <c r="O548">
        <v>2</v>
      </c>
      <c r="P548" t="s">
        <v>138</v>
      </c>
      <c r="Q548">
        <v>30</v>
      </c>
      <c r="R548">
        <v>0</v>
      </c>
      <c r="S548">
        <v>0</v>
      </c>
      <c r="T548">
        <v>5</v>
      </c>
      <c r="U548" s="1" t="s">
        <v>1964</v>
      </c>
      <c r="V548">
        <v>25</v>
      </c>
      <c r="W548">
        <v>0</v>
      </c>
      <c r="X548">
        <v>8</v>
      </c>
      <c r="Y548">
        <v>0</v>
      </c>
      <c r="Z548" t="s">
        <v>288</v>
      </c>
      <c r="AA548">
        <v>1.7</v>
      </c>
      <c r="AB548" t="s">
        <v>111</v>
      </c>
      <c r="AC548">
        <v>0</v>
      </c>
      <c r="AD548" t="s">
        <v>416</v>
      </c>
      <c r="AE548">
        <v>0</v>
      </c>
      <c r="AF548">
        <v>0</v>
      </c>
      <c r="AG548" t="s">
        <v>111</v>
      </c>
      <c r="AH548" t="s">
        <v>113</v>
      </c>
      <c r="AI548" t="s">
        <v>111</v>
      </c>
      <c r="AJ548" t="s">
        <v>111</v>
      </c>
      <c r="AK548" t="s">
        <v>111</v>
      </c>
      <c r="AL548" t="s">
        <v>111</v>
      </c>
      <c r="AM548">
        <v>0</v>
      </c>
      <c r="AN548">
        <v>0</v>
      </c>
      <c r="AO548">
        <v>0</v>
      </c>
      <c r="AP548" t="s">
        <v>111</v>
      </c>
      <c r="AQ548" t="s">
        <v>111</v>
      </c>
      <c r="AR548" t="s">
        <v>111</v>
      </c>
      <c r="AS548" t="s">
        <v>111</v>
      </c>
      <c r="AT548" t="s">
        <v>111</v>
      </c>
      <c r="AU548" t="s">
        <v>111</v>
      </c>
      <c r="AV548" t="s">
        <v>111</v>
      </c>
      <c r="AW548" t="s">
        <v>111</v>
      </c>
      <c r="AX548" t="s">
        <v>111</v>
      </c>
      <c r="AY548" t="s">
        <v>111</v>
      </c>
      <c r="AZ548" t="s">
        <v>111</v>
      </c>
      <c r="BA548" t="s">
        <v>111</v>
      </c>
      <c r="BB548" t="s">
        <v>111</v>
      </c>
      <c r="BC548" t="s">
        <v>111</v>
      </c>
      <c r="BD548" t="s">
        <v>111</v>
      </c>
      <c r="BE548" t="s">
        <v>111</v>
      </c>
      <c r="BF548" t="s">
        <v>111</v>
      </c>
      <c r="BG548" t="s">
        <v>111</v>
      </c>
      <c r="BH548" t="s">
        <v>111</v>
      </c>
      <c r="BI548" t="s">
        <v>111</v>
      </c>
      <c r="BJ548" t="s">
        <v>111</v>
      </c>
      <c r="BK548" t="s">
        <v>111</v>
      </c>
      <c r="BL548" t="s">
        <v>111</v>
      </c>
      <c r="BM548" t="s">
        <v>111</v>
      </c>
      <c r="BN548" t="s">
        <v>111</v>
      </c>
      <c r="BO548" t="s">
        <v>111</v>
      </c>
      <c r="BP548" t="s">
        <v>111</v>
      </c>
      <c r="BQ548" t="s">
        <v>111</v>
      </c>
      <c r="BR548" t="s">
        <v>111</v>
      </c>
      <c r="BS548" t="s">
        <v>111</v>
      </c>
      <c r="BT548" t="s">
        <v>111</v>
      </c>
      <c r="BU548" t="s">
        <v>111</v>
      </c>
      <c r="BV548" t="s">
        <v>111</v>
      </c>
      <c r="BW548" t="s">
        <v>111</v>
      </c>
      <c r="BX548" t="s">
        <v>111</v>
      </c>
      <c r="BY548" t="s">
        <v>111</v>
      </c>
      <c r="BZ548" t="s">
        <v>111</v>
      </c>
      <c r="CA548" t="s">
        <v>111</v>
      </c>
      <c r="CB548" t="s">
        <v>111</v>
      </c>
      <c r="CC548" t="s">
        <v>111</v>
      </c>
      <c r="CD548" t="s">
        <v>111</v>
      </c>
      <c r="CE548" t="s">
        <v>111</v>
      </c>
      <c r="CF548" t="s">
        <v>111</v>
      </c>
      <c r="CG548" t="s">
        <v>111</v>
      </c>
      <c r="CH548" t="s">
        <v>111</v>
      </c>
      <c r="CI548" t="s">
        <v>111</v>
      </c>
      <c r="CJ548" t="s">
        <v>111</v>
      </c>
      <c r="CK548" t="s">
        <v>111</v>
      </c>
      <c r="CL548" t="s">
        <v>111</v>
      </c>
      <c r="CM548" t="s">
        <v>135</v>
      </c>
      <c r="CN548" t="s">
        <v>113</v>
      </c>
      <c r="CO548" t="s">
        <v>111</v>
      </c>
      <c r="CP548" t="s">
        <v>111</v>
      </c>
      <c r="CQ548">
        <v>0</v>
      </c>
      <c r="CR548">
        <v>200</v>
      </c>
      <c r="CS548">
        <v>8000</v>
      </c>
      <c r="CT548" t="s">
        <v>111</v>
      </c>
      <c r="CU548">
        <v>0</v>
      </c>
      <c r="CV548" t="s">
        <v>111</v>
      </c>
      <c r="CX548" t="s">
        <v>111</v>
      </c>
      <c r="CY548">
        <v>0</v>
      </c>
      <c r="CZ548" t="s">
        <v>111</v>
      </c>
      <c r="DA548" t="s">
        <v>111</v>
      </c>
      <c r="DB548" t="s">
        <v>111</v>
      </c>
      <c r="DC548" t="s">
        <v>111</v>
      </c>
    </row>
    <row r="549" spans="1:107">
      <c r="A549">
        <v>2012</v>
      </c>
      <c r="B549" t="s">
        <v>107</v>
      </c>
      <c r="C549" t="s">
        <v>119</v>
      </c>
      <c r="D549" t="s">
        <v>1965</v>
      </c>
      <c r="E549" t="s">
        <v>1966</v>
      </c>
      <c r="F549" t="s">
        <v>116</v>
      </c>
      <c r="G549" t="s">
        <v>469</v>
      </c>
      <c r="H549">
        <v>2.1</v>
      </c>
      <c r="I549">
        <v>46</v>
      </c>
      <c r="J549">
        <v>0</v>
      </c>
      <c r="K549">
        <v>0</v>
      </c>
      <c r="L549" t="s">
        <v>117</v>
      </c>
      <c r="M549" t="s">
        <v>118</v>
      </c>
      <c r="N549">
        <v>40</v>
      </c>
      <c r="O549">
        <v>1</v>
      </c>
      <c r="P549" t="s">
        <v>111</v>
      </c>
      <c r="Q549">
        <v>40.6</v>
      </c>
      <c r="R549">
        <v>0</v>
      </c>
      <c r="S549">
        <v>0</v>
      </c>
      <c r="T549">
        <v>0</v>
      </c>
      <c r="U549" s="1" t="s">
        <v>1967</v>
      </c>
      <c r="V549">
        <v>0</v>
      </c>
      <c r="W549">
        <v>25</v>
      </c>
      <c r="X549">
        <v>8</v>
      </c>
      <c r="Y549">
        <v>0</v>
      </c>
      <c r="Z549" t="s">
        <v>111</v>
      </c>
      <c r="AA549">
        <v>0</v>
      </c>
      <c r="AB549" t="s">
        <v>1968</v>
      </c>
      <c r="AC549">
        <v>8</v>
      </c>
      <c r="AD549" t="s">
        <v>111</v>
      </c>
      <c r="AE549">
        <v>0</v>
      </c>
      <c r="AF549">
        <v>0</v>
      </c>
      <c r="AG549" t="s">
        <v>111</v>
      </c>
      <c r="AH549" t="s">
        <v>111</v>
      </c>
      <c r="AI549" t="s">
        <v>111</v>
      </c>
      <c r="AJ549" t="s">
        <v>111</v>
      </c>
      <c r="AK549" t="s">
        <v>111</v>
      </c>
      <c r="AL549" t="s">
        <v>111</v>
      </c>
      <c r="AM549">
        <v>0</v>
      </c>
      <c r="AN549">
        <v>0</v>
      </c>
      <c r="AO549">
        <v>0</v>
      </c>
      <c r="AP549" t="s">
        <v>111</v>
      </c>
      <c r="AQ549" t="s">
        <v>111</v>
      </c>
      <c r="AR549" t="s">
        <v>111</v>
      </c>
      <c r="AS549" t="s">
        <v>111</v>
      </c>
      <c r="AT549" t="s">
        <v>111</v>
      </c>
      <c r="AU549" t="s">
        <v>111</v>
      </c>
      <c r="AV549" t="s">
        <v>111</v>
      </c>
      <c r="AW549" t="s">
        <v>111</v>
      </c>
      <c r="AX549" t="s">
        <v>111</v>
      </c>
      <c r="AY549" t="s">
        <v>111</v>
      </c>
      <c r="AZ549" t="s">
        <v>111</v>
      </c>
      <c r="BA549" t="s">
        <v>111</v>
      </c>
      <c r="BB549" t="s">
        <v>111</v>
      </c>
      <c r="BC549" t="s">
        <v>111</v>
      </c>
      <c r="BD549" t="s">
        <v>111</v>
      </c>
      <c r="BE549" t="s">
        <v>111</v>
      </c>
      <c r="BF549" t="s">
        <v>111</v>
      </c>
      <c r="BG549" t="s">
        <v>111</v>
      </c>
      <c r="BH549" t="s">
        <v>111</v>
      </c>
      <c r="BI549" t="s">
        <v>111</v>
      </c>
      <c r="BJ549" t="s">
        <v>111</v>
      </c>
      <c r="BK549" t="s">
        <v>111</v>
      </c>
      <c r="BL549" t="s">
        <v>111</v>
      </c>
      <c r="BM549" t="s">
        <v>111</v>
      </c>
      <c r="BN549" t="s">
        <v>111</v>
      </c>
      <c r="BO549" t="s">
        <v>111</v>
      </c>
      <c r="BP549" t="s">
        <v>111</v>
      </c>
      <c r="BQ549" t="s">
        <v>111</v>
      </c>
      <c r="BR549" t="s">
        <v>111</v>
      </c>
      <c r="BS549" t="s">
        <v>111</v>
      </c>
      <c r="BT549" t="s">
        <v>111</v>
      </c>
      <c r="BU549" t="s">
        <v>111</v>
      </c>
      <c r="BV549" t="s">
        <v>111</v>
      </c>
      <c r="BW549" t="s">
        <v>111</v>
      </c>
      <c r="BX549" t="s">
        <v>111</v>
      </c>
      <c r="BY549" t="s">
        <v>111</v>
      </c>
      <c r="BZ549" t="s">
        <v>111</v>
      </c>
      <c r="CA549" t="s">
        <v>111</v>
      </c>
      <c r="CB549" t="s">
        <v>111</v>
      </c>
      <c r="CC549" t="s">
        <v>111</v>
      </c>
      <c r="CD549" t="s">
        <v>111</v>
      </c>
      <c r="CE549" t="s">
        <v>111</v>
      </c>
      <c r="CF549" t="s">
        <v>111</v>
      </c>
      <c r="CG549" t="s">
        <v>111</v>
      </c>
      <c r="CH549" t="s">
        <v>111</v>
      </c>
      <c r="CI549" t="s">
        <v>111</v>
      </c>
      <c r="CJ549" t="s">
        <v>111</v>
      </c>
      <c r="CK549" t="s">
        <v>111</v>
      </c>
      <c r="CL549" t="s">
        <v>111</v>
      </c>
      <c r="CM549" t="s">
        <v>111</v>
      </c>
      <c r="CN549" t="s">
        <v>111</v>
      </c>
      <c r="CO549" t="s">
        <v>111</v>
      </c>
      <c r="CP549" t="s">
        <v>111</v>
      </c>
      <c r="CQ549">
        <v>0</v>
      </c>
      <c r="CR549">
        <v>0</v>
      </c>
      <c r="CS549">
        <v>0</v>
      </c>
      <c r="CT549" t="s">
        <v>111</v>
      </c>
      <c r="CU549">
        <v>0</v>
      </c>
      <c r="CV549" t="s">
        <v>111</v>
      </c>
      <c r="CX549" t="s">
        <v>111</v>
      </c>
      <c r="CY549">
        <v>0</v>
      </c>
      <c r="CZ549" t="s">
        <v>111</v>
      </c>
      <c r="DA549" t="s">
        <v>111</v>
      </c>
      <c r="DB549" t="s">
        <v>111</v>
      </c>
      <c r="DC549" t="s">
        <v>111</v>
      </c>
    </row>
    <row r="550" spans="1:107">
      <c r="A550">
        <v>1755</v>
      </c>
      <c r="B550" t="s">
        <v>107</v>
      </c>
      <c r="C550" t="s">
        <v>114</v>
      </c>
      <c r="D550" t="s">
        <v>489</v>
      </c>
      <c r="E550" t="s">
        <v>1969</v>
      </c>
      <c r="F550" t="s">
        <v>431</v>
      </c>
      <c r="G550" t="s">
        <v>469</v>
      </c>
      <c r="H550">
        <v>2.5</v>
      </c>
      <c r="I550">
        <v>70</v>
      </c>
      <c r="J550">
        <v>0</v>
      </c>
      <c r="K550">
        <v>0</v>
      </c>
      <c r="L550" t="s">
        <v>117</v>
      </c>
      <c r="M550" t="s">
        <v>118</v>
      </c>
      <c r="N550">
        <v>40</v>
      </c>
      <c r="O550">
        <v>1</v>
      </c>
      <c r="P550" t="s">
        <v>138</v>
      </c>
      <c r="Q550">
        <v>39.6</v>
      </c>
      <c r="R550">
        <v>0</v>
      </c>
      <c r="S550">
        <v>0</v>
      </c>
      <c r="T550">
        <v>5</v>
      </c>
      <c r="U550" t="s">
        <v>1970</v>
      </c>
      <c r="V550">
        <v>0</v>
      </c>
      <c r="W550">
        <v>25</v>
      </c>
      <c r="X550">
        <v>8</v>
      </c>
      <c r="Y550">
        <v>0</v>
      </c>
      <c r="Z550" t="s">
        <v>111</v>
      </c>
      <c r="AA550">
        <v>0</v>
      </c>
      <c r="AB550" t="s">
        <v>111</v>
      </c>
      <c r="AC550">
        <v>0</v>
      </c>
      <c r="AD550" t="s">
        <v>493</v>
      </c>
      <c r="AE550">
        <v>0</v>
      </c>
      <c r="AF550">
        <v>0</v>
      </c>
      <c r="AG550" t="s">
        <v>111</v>
      </c>
      <c r="AH550" t="s">
        <v>113</v>
      </c>
      <c r="AI550" t="s">
        <v>111</v>
      </c>
      <c r="AJ550" t="s">
        <v>111</v>
      </c>
      <c r="AK550" t="s">
        <v>111</v>
      </c>
      <c r="AL550" t="s">
        <v>111</v>
      </c>
      <c r="AM550">
        <v>0</v>
      </c>
      <c r="AN550">
        <v>0</v>
      </c>
      <c r="AO550">
        <v>0</v>
      </c>
      <c r="AP550" t="s">
        <v>111</v>
      </c>
      <c r="AQ550" t="s">
        <v>111</v>
      </c>
      <c r="AR550" t="s">
        <v>111</v>
      </c>
      <c r="AS550" t="s">
        <v>111</v>
      </c>
      <c r="AT550" t="s">
        <v>111</v>
      </c>
      <c r="AU550" t="s">
        <v>111</v>
      </c>
      <c r="AV550" t="s">
        <v>111</v>
      </c>
      <c r="AW550" t="s">
        <v>111</v>
      </c>
      <c r="AX550" t="s">
        <v>111</v>
      </c>
      <c r="AY550" t="s">
        <v>111</v>
      </c>
      <c r="AZ550" t="s">
        <v>111</v>
      </c>
      <c r="BA550" t="s">
        <v>111</v>
      </c>
      <c r="BB550" t="s">
        <v>111</v>
      </c>
      <c r="BC550" t="s">
        <v>111</v>
      </c>
      <c r="BD550" t="s">
        <v>111</v>
      </c>
      <c r="BE550" t="s">
        <v>111</v>
      </c>
      <c r="BF550" t="s">
        <v>111</v>
      </c>
      <c r="BG550" t="s">
        <v>111</v>
      </c>
      <c r="BH550" t="s">
        <v>111</v>
      </c>
      <c r="BI550" t="s">
        <v>111</v>
      </c>
      <c r="BJ550" t="s">
        <v>111</v>
      </c>
      <c r="BK550" t="s">
        <v>111</v>
      </c>
      <c r="BL550" t="s">
        <v>111</v>
      </c>
      <c r="BM550" t="s">
        <v>111</v>
      </c>
      <c r="BN550" t="s">
        <v>111</v>
      </c>
      <c r="BO550" t="s">
        <v>111</v>
      </c>
      <c r="BP550" t="s">
        <v>111</v>
      </c>
      <c r="BQ550" t="s">
        <v>111</v>
      </c>
      <c r="BR550" t="s">
        <v>111</v>
      </c>
      <c r="BS550" t="s">
        <v>111</v>
      </c>
      <c r="BT550" t="s">
        <v>111</v>
      </c>
      <c r="BU550" t="s">
        <v>111</v>
      </c>
      <c r="BV550" t="s">
        <v>111</v>
      </c>
      <c r="BW550" t="s">
        <v>111</v>
      </c>
      <c r="BX550" t="s">
        <v>111</v>
      </c>
      <c r="BY550" t="s">
        <v>111</v>
      </c>
      <c r="BZ550" t="s">
        <v>111</v>
      </c>
      <c r="CA550" t="s">
        <v>111</v>
      </c>
      <c r="CB550" t="s">
        <v>111</v>
      </c>
      <c r="CC550" t="s">
        <v>111</v>
      </c>
      <c r="CD550" t="s">
        <v>111</v>
      </c>
      <c r="CE550" t="s">
        <v>111</v>
      </c>
      <c r="CF550" t="s">
        <v>111</v>
      </c>
      <c r="CG550" t="s">
        <v>111</v>
      </c>
      <c r="CH550" t="s">
        <v>111</v>
      </c>
      <c r="CI550" t="s">
        <v>111</v>
      </c>
      <c r="CJ550" t="s">
        <v>111</v>
      </c>
      <c r="CK550" t="s">
        <v>111</v>
      </c>
      <c r="CL550" t="s">
        <v>111</v>
      </c>
      <c r="CM550" t="s">
        <v>135</v>
      </c>
      <c r="CN550" t="s">
        <v>113</v>
      </c>
      <c r="CO550" t="s">
        <v>111</v>
      </c>
      <c r="CP550" t="s">
        <v>1971</v>
      </c>
      <c r="CQ550">
        <v>0</v>
      </c>
      <c r="CR550">
        <v>3000</v>
      </c>
      <c r="CS550">
        <v>100</v>
      </c>
      <c r="CT550" t="e">
        <f>-ALMACEN</f>
        <v>#NAME?</v>
      </c>
      <c r="CU550">
        <v>0</v>
      </c>
      <c r="CV550" t="s">
        <v>111</v>
      </c>
      <c r="CX550" t="s">
        <v>111</v>
      </c>
      <c r="CY550">
        <v>0</v>
      </c>
      <c r="CZ550" t="s">
        <v>111</v>
      </c>
      <c r="DA550" t="s">
        <v>111</v>
      </c>
      <c r="DB550" t="s">
        <v>111</v>
      </c>
      <c r="DC550" t="s">
        <v>111</v>
      </c>
    </row>
    <row r="551" spans="1:107">
      <c r="A551">
        <v>1754</v>
      </c>
      <c r="B551" t="s">
        <v>107</v>
      </c>
      <c r="C551" t="s">
        <v>412</v>
      </c>
      <c r="D551" t="s">
        <v>1972</v>
      </c>
      <c r="E551" t="s">
        <v>1973</v>
      </c>
      <c r="F551" t="s">
        <v>116</v>
      </c>
      <c r="G551" t="s">
        <v>469</v>
      </c>
      <c r="H551">
        <v>1.2</v>
      </c>
      <c r="I551">
        <v>22</v>
      </c>
      <c r="J551">
        <v>0</v>
      </c>
      <c r="K551">
        <v>0</v>
      </c>
      <c r="L551" t="s">
        <v>117</v>
      </c>
      <c r="M551" t="s">
        <v>111</v>
      </c>
      <c r="N551">
        <v>0</v>
      </c>
      <c r="O551">
        <v>0</v>
      </c>
      <c r="P551" t="s">
        <v>111</v>
      </c>
      <c r="Q551">
        <v>40</v>
      </c>
      <c r="R551">
        <v>0</v>
      </c>
      <c r="S551">
        <v>0</v>
      </c>
      <c r="T551">
        <v>10</v>
      </c>
      <c r="U551" t="s">
        <v>964</v>
      </c>
      <c r="V551">
        <v>0</v>
      </c>
      <c r="W551">
        <v>25</v>
      </c>
      <c r="X551">
        <v>5</v>
      </c>
      <c r="Y551">
        <v>0</v>
      </c>
      <c r="Z551" t="s">
        <v>111</v>
      </c>
      <c r="AA551">
        <v>0</v>
      </c>
      <c r="AB551" t="s">
        <v>111</v>
      </c>
      <c r="AC551">
        <v>0</v>
      </c>
      <c r="AD551" t="s">
        <v>111</v>
      </c>
      <c r="AE551">
        <v>0</v>
      </c>
      <c r="AF551">
        <v>0</v>
      </c>
      <c r="AG551" t="s">
        <v>111</v>
      </c>
      <c r="AH551" t="s">
        <v>111</v>
      </c>
      <c r="AI551" t="s">
        <v>111</v>
      </c>
      <c r="AJ551" t="s">
        <v>111</v>
      </c>
      <c r="AK551" t="s">
        <v>111</v>
      </c>
      <c r="AL551" t="s">
        <v>111</v>
      </c>
      <c r="AM551">
        <v>0</v>
      </c>
      <c r="AN551">
        <v>0</v>
      </c>
      <c r="AO551">
        <v>0</v>
      </c>
      <c r="AP551" t="s">
        <v>111</v>
      </c>
      <c r="AQ551" t="s">
        <v>111</v>
      </c>
      <c r="AR551" t="s">
        <v>111</v>
      </c>
      <c r="AS551" t="s">
        <v>111</v>
      </c>
      <c r="AT551" t="s">
        <v>111</v>
      </c>
      <c r="AU551" t="s">
        <v>111</v>
      </c>
      <c r="AV551" t="s">
        <v>111</v>
      </c>
      <c r="AW551" t="s">
        <v>111</v>
      </c>
      <c r="AX551" t="s">
        <v>111</v>
      </c>
      <c r="AY551" t="s">
        <v>111</v>
      </c>
      <c r="AZ551" t="s">
        <v>111</v>
      </c>
      <c r="BA551" t="s">
        <v>111</v>
      </c>
      <c r="BB551" t="s">
        <v>111</v>
      </c>
      <c r="BC551" t="s">
        <v>111</v>
      </c>
      <c r="BD551" t="s">
        <v>111</v>
      </c>
      <c r="BE551" t="s">
        <v>111</v>
      </c>
      <c r="BF551" t="s">
        <v>111</v>
      </c>
      <c r="BG551" t="s">
        <v>111</v>
      </c>
      <c r="BH551" t="s">
        <v>111</v>
      </c>
      <c r="BI551" t="s">
        <v>111</v>
      </c>
      <c r="BJ551" t="s">
        <v>111</v>
      </c>
      <c r="BK551" t="s">
        <v>111</v>
      </c>
      <c r="BL551" t="s">
        <v>111</v>
      </c>
      <c r="BM551" t="s">
        <v>111</v>
      </c>
      <c r="BN551" t="s">
        <v>111</v>
      </c>
      <c r="BO551" t="s">
        <v>111</v>
      </c>
      <c r="BP551" t="s">
        <v>111</v>
      </c>
      <c r="BQ551" t="s">
        <v>111</v>
      </c>
      <c r="BR551" t="s">
        <v>111</v>
      </c>
      <c r="BS551" t="s">
        <v>111</v>
      </c>
      <c r="BT551" t="s">
        <v>111</v>
      </c>
      <c r="BU551" t="s">
        <v>111</v>
      </c>
      <c r="BV551" t="s">
        <v>111</v>
      </c>
      <c r="BW551" t="s">
        <v>111</v>
      </c>
      <c r="BX551" t="s">
        <v>111</v>
      </c>
      <c r="BY551" t="s">
        <v>111</v>
      </c>
      <c r="BZ551" t="s">
        <v>111</v>
      </c>
      <c r="CA551" t="s">
        <v>111</v>
      </c>
      <c r="CB551" t="s">
        <v>111</v>
      </c>
      <c r="CC551" t="s">
        <v>111</v>
      </c>
      <c r="CD551" t="s">
        <v>111</v>
      </c>
      <c r="CE551" t="s">
        <v>111</v>
      </c>
      <c r="CF551" t="s">
        <v>111</v>
      </c>
      <c r="CG551" t="s">
        <v>111</v>
      </c>
      <c r="CH551" t="s">
        <v>111</v>
      </c>
      <c r="CI551" t="s">
        <v>111</v>
      </c>
      <c r="CJ551" t="s">
        <v>111</v>
      </c>
      <c r="CK551" t="s">
        <v>111</v>
      </c>
      <c r="CL551" t="s">
        <v>111</v>
      </c>
      <c r="CM551" t="s">
        <v>135</v>
      </c>
      <c r="CN551" t="s">
        <v>113</v>
      </c>
      <c r="CO551" t="s">
        <v>111</v>
      </c>
      <c r="CP551" t="s">
        <v>111</v>
      </c>
      <c r="CQ551">
        <v>0</v>
      </c>
      <c r="CR551">
        <v>500</v>
      </c>
      <c r="CS551">
        <v>15000</v>
      </c>
      <c r="CT551" t="s">
        <v>964</v>
      </c>
      <c r="CU551">
        <v>0</v>
      </c>
      <c r="CV551" t="s">
        <v>111</v>
      </c>
      <c r="CX551" t="s">
        <v>111</v>
      </c>
      <c r="CY551">
        <v>0</v>
      </c>
      <c r="CZ551" t="s">
        <v>111</v>
      </c>
      <c r="DA551" t="s">
        <v>111</v>
      </c>
      <c r="DB551" t="s">
        <v>111</v>
      </c>
      <c r="DC551" t="s">
        <v>111</v>
      </c>
    </row>
    <row r="552" spans="1:107">
      <c r="A552">
        <v>1995</v>
      </c>
      <c r="B552" t="s">
        <v>107</v>
      </c>
      <c r="C552" t="s">
        <v>114</v>
      </c>
      <c r="D552" t="s">
        <v>1876</v>
      </c>
      <c r="E552" t="s">
        <v>1974</v>
      </c>
      <c r="F552" t="s">
        <v>431</v>
      </c>
      <c r="G552" t="s">
        <v>469</v>
      </c>
      <c r="H552">
        <v>2.4</v>
      </c>
      <c r="I552">
        <v>70</v>
      </c>
      <c r="J552">
        <v>0</v>
      </c>
      <c r="K552">
        <v>0</v>
      </c>
      <c r="L552" t="s">
        <v>117</v>
      </c>
      <c r="M552" t="s">
        <v>118</v>
      </c>
      <c r="N552">
        <v>39</v>
      </c>
      <c r="O552">
        <v>1</v>
      </c>
      <c r="P552" t="s">
        <v>111</v>
      </c>
      <c r="Q552">
        <v>31</v>
      </c>
      <c r="R552">
        <v>0</v>
      </c>
      <c r="S552">
        <v>0</v>
      </c>
      <c r="T552">
        <v>5</v>
      </c>
      <c r="U552" s="1" t="s">
        <v>1975</v>
      </c>
      <c r="V552">
        <v>0</v>
      </c>
      <c r="W552">
        <v>25</v>
      </c>
      <c r="X552">
        <v>8</v>
      </c>
      <c r="Y552">
        <v>0</v>
      </c>
      <c r="Z552" t="s">
        <v>111</v>
      </c>
      <c r="AA552">
        <v>0</v>
      </c>
      <c r="AB552" t="s">
        <v>717</v>
      </c>
      <c r="AC552">
        <v>8</v>
      </c>
      <c r="AD552" t="s">
        <v>493</v>
      </c>
      <c r="AE552">
        <v>0</v>
      </c>
      <c r="AF552">
        <v>0</v>
      </c>
      <c r="AG552" t="s">
        <v>111</v>
      </c>
      <c r="AH552" t="s">
        <v>111</v>
      </c>
      <c r="AI552" t="s">
        <v>111</v>
      </c>
      <c r="AJ552" t="s">
        <v>111</v>
      </c>
      <c r="AK552" t="s">
        <v>111</v>
      </c>
      <c r="AL552" t="s">
        <v>111</v>
      </c>
      <c r="AM552">
        <v>0</v>
      </c>
      <c r="AN552">
        <v>0</v>
      </c>
      <c r="AO552">
        <v>0</v>
      </c>
      <c r="AP552" t="s">
        <v>111</v>
      </c>
      <c r="AQ552" t="s">
        <v>111</v>
      </c>
      <c r="AR552" t="s">
        <v>111</v>
      </c>
      <c r="AS552" t="s">
        <v>111</v>
      </c>
      <c r="AT552" t="s">
        <v>111</v>
      </c>
      <c r="AU552" t="s">
        <v>111</v>
      </c>
      <c r="AV552" t="s">
        <v>111</v>
      </c>
      <c r="AW552" t="s">
        <v>111</v>
      </c>
      <c r="AX552" t="s">
        <v>111</v>
      </c>
      <c r="AY552" t="s">
        <v>111</v>
      </c>
      <c r="AZ552" t="s">
        <v>111</v>
      </c>
      <c r="BA552" t="s">
        <v>111</v>
      </c>
      <c r="BB552" t="s">
        <v>111</v>
      </c>
      <c r="BC552" t="s">
        <v>111</v>
      </c>
      <c r="BD552" t="s">
        <v>111</v>
      </c>
      <c r="BE552" t="s">
        <v>111</v>
      </c>
      <c r="BF552" t="s">
        <v>111</v>
      </c>
      <c r="BG552" t="s">
        <v>111</v>
      </c>
      <c r="BH552" t="s">
        <v>111</v>
      </c>
      <c r="BI552" t="s">
        <v>111</v>
      </c>
      <c r="BJ552" t="s">
        <v>111</v>
      </c>
      <c r="BK552" t="s">
        <v>111</v>
      </c>
      <c r="BL552" t="s">
        <v>111</v>
      </c>
      <c r="BM552" t="s">
        <v>111</v>
      </c>
      <c r="BN552" t="s">
        <v>111</v>
      </c>
      <c r="BO552" t="s">
        <v>111</v>
      </c>
      <c r="BP552" t="s">
        <v>111</v>
      </c>
      <c r="BQ552" t="s">
        <v>111</v>
      </c>
      <c r="BR552" t="s">
        <v>111</v>
      </c>
      <c r="BS552" t="s">
        <v>111</v>
      </c>
      <c r="BT552" t="s">
        <v>111</v>
      </c>
      <c r="BU552" t="s">
        <v>111</v>
      </c>
      <c r="BV552" t="s">
        <v>111</v>
      </c>
      <c r="BW552" t="s">
        <v>111</v>
      </c>
      <c r="BX552" t="s">
        <v>111</v>
      </c>
      <c r="BY552" t="s">
        <v>111</v>
      </c>
      <c r="BZ552" t="s">
        <v>111</v>
      </c>
      <c r="CA552" t="s">
        <v>111</v>
      </c>
      <c r="CB552" t="s">
        <v>111</v>
      </c>
      <c r="CC552" t="s">
        <v>111</v>
      </c>
      <c r="CD552" t="s">
        <v>111</v>
      </c>
      <c r="CE552" t="s">
        <v>111</v>
      </c>
      <c r="CF552" t="s">
        <v>111</v>
      </c>
      <c r="CG552" t="s">
        <v>111</v>
      </c>
      <c r="CH552" t="s">
        <v>111</v>
      </c>
      <c r="CI552" t="s">
        <v>111</v>
      </c>
      <c r="CJ552" t="s">
        <v>111</v>
      </c>
      <c r="CK552" t="s">
        <v>111</v>
      </c>
      <c r="CL552" t="s">
        <v>111</v>
      </c>
      <c r="CM552" t="s">
        <v>360</v>
      </c>
      <c r="CN552" t="s">
        <v>113</v>
      </c>
      <c r="CO552" t="s">
        <v>111</v>
      </c>
      <c r="CP552" t="e">
        <f>-MUESTRA</f>
        <v>#NAME?</v>
      </c>
      <c r="CQ552">
        <v>0</v>
      </c>
      <c r="CR552">
        <v>3000</v>
      </c>
      <c r="CS552">
        <v>100</v>
      </c>
      <c r="CT552" t="e">
        <f>-ALMACEN</f>
        <v>#NAME?</v>
      </c>
      <c r="CU552">
        <v>0</v>
      </c>
      <c r="CV552" t="s">
        <v>111</v>
      </c>
      <c r="CX552" t="s">
        <v>111</v>
      </c>
      <c r="CY552">
        <v>0</v>
      </c>
      <c r="CZ552" t="s">
        <v>111</v>
      </c>
      <c r="DA552" t="s">
        <v>111</v>
      </c>
      <c r="DB552" t="s">
        <v>111</v>
      </c>
      <c r="DC552" t="s">
        <v>111</v>
      </c>
    </row>
    <row r="553" spans="1:107">
      <c r="A553">
        <v>1996</v>
      </c>
      <c r="B553" t="s">
        <v>107</v>
      </c>
      <c r="C553" t="s">
        <v>114</v>
      </c>
      <c r="D553" t="s">
        <v>1876</v>
      </c>
      <c r="E553" t="s">
        <v>1976</v>
      </c>
      <c r="F553" t="s">
        <v>431</v>
      </c>
      <c r="G553" t="s">
        <v>469</v>
      </c>
      <c r="H553">
        <v>2.4</v>
      </c>
      <c r="I553">
        <v>70</v>
      </c>
      <c r="J553">
        <v>0</v>
      </c>
      <c r="K553">
        <v>0</v>
      </c>
      <c r="L553" t="s">
        <v>117</v>
      </c>
      <c r="M553" t="s">
        <v>118</v>
      </c>
      <c r="N553">
        <v>39</v>
      </c>
      <c r="O553">
        <v>1</v>
      </c>
      <c r="P553" t="s">
        <v>111</v>
      </c>
      <c r="Q553">
        <v>33.5</v>
      </c>
      <c r="R553">
        <v>0</v>
      </c>
      <c r="S553">
        <v>0</v>
      </c>
      <c r="T553">
        <v>5</v>
      </c>
      <c r="U553" s="1" t="s">
        <v>1975</v>
      </c>
      <c r="V553">
        <v>0</v>
      </c>
      <c r="W553">
        <v>25</v>
      </c>
      <c r="X553">
        <v>8</v>
      </c>
      <c r="Y553">
        <v>0</v>
      </c>
      <c r="Z553" t="s">
        <v>111</v>
      </c>
      <c r="AA553">
        <v>0</v>
      </c>
      <c r="AB553" t="s">
        <v>1913</v>
      </c>
      <c r="AC553">
        <v>8</v>
      </c>
      <c r="AD553" t="s">
        <v>493</v>
      </c>
      <c r="AE553">
        <v>0</v>
      </c>
      <c r="AF553">
        <v>0</v>
      </c>
      <c r="AG553" t="s">
        <v>111</v>
      </c>
      <c r="AH553" t="s">
        <v>111</v>
      </c>
      <c r="AI553" t="s">
        <v>111</v>
      </c>
      <c r="AJ553" t="s">
        <v>111</v>
      </c>
      <c r="AK553" t="s">
        <v>111</v>
      </c>
      <c r="AL553" t="s">
        <v>111</v>
      </c>
      <c r="AM553">
        <v>0</v>
      </c>
      <c r="AN553">
        <v>0</v>
      </c>
      <c r="AO553">
        <v>0</v>
      </c>
      <c r="AP553" t="s">
        <v>111</v>
      </c>
      <c r="AQ553" t="s">
        <v>111</v>
      </c>
      <c r="AR553" t="s">
        <v>111</v>
      </c>
      <c r="AS553" t="s">
        <v>111</v>
      </c>
      <c r="AT553" t="s">
        <v>111</v>
      </c>
      <c r="AU553" t="s">
        <v>111</v>
      </c>
      <c r="AV553" t="s">
        <v>111</v>
      </c>
      <c r="AW553" t="s">
        <v>111</v>
      </c>
      <c r="AX553" t="s">
        <v>111</v>
      </c>
      <c r="AY553" t="s">
        <v>111</v>
      </c>
      <c r="AZ553" t="s">
        <v>111</v>
      </c>
      <c r="BA553" t="s">
        <v>111</v>
      </c>
      <c r="BB553" t="s">
        <v>111</v>
      </c>
      <c r="BC553" t="s">
        <v>111</v>
      </c>
      <c r="BD553" t="s">
        <v>111</v>
      </c>
      <c r="BE553" t="s">
        <v>111</v>
      </c>
      <c r="BF553" t="s">
        <v>111</v>
      </c>
      <c r="BG553" t="s">
        <v>111</v>
      </c>
      <c r="BH553" t="s">
        <v>111</v>
      </c>
      <c r="BI553" t="s">
        <v>111</v>
      </c>
      <c r="BJ553" t="s">
        <v>111</v>
      </c>
      <c r="BK553" t="s">
        <v>111</v>
      </c>
      <c r="BL553" t="s">
        <v>111</v>
      </c>
      <c r="BM553" t="s">
        <v>111</v>
      </c>
      <c r="BN553" t="s">
        <v>111</v>
      </c>
      <c r="BO553" t="s">
        <v>111</v>
      </c>
      <c r="BP553" t="s">
        <v>111</v>
      </c>
      <c r="BQ553" t="s">
        <v>111</v>
      </c>
      <c r="BR553" t="s">
        <v>111</v>
      </c>
      <c r="BS553" t="s">
        <v>111</v>
      </c>
      <c r="BT553" t="s">
        <v>111</v>
      </c>
      <c r="BU553" t="s">
        <v>111</v>
      </c>
      <c r="BV553" t="s">
        <v>111</v>
      </c>
      <c r="BW553" t="s">
        <v>111</v>
      </c>
      <c r="BX553" t="s">
        <v>111</v>
      </c>
      <c r="BY553" t="s">
        <v>111</v>
      </c>
      <c r="BZ553" t="s">
        <v>111</v>
      </c>
      <c r="CA553" t="s">
        <v>111</v>
      </c>
      <c r="CB553" t="s">
        <v>111</v>
      </c>
      <c r="CC553" t="s">
        <v>111</v>
      </c>
      <c r="CD553" t="s">
        <v>111</v>
      </c>
      <c r="CE553" t="s">
        <v>111</v>
      </c>
      <c r="CF553" t="s">
        <v>111</v>
      </c>
      <c r="CG553" t="s">
        <v>111</v>
      </c>
      <c r="CH553" t="s">
        <v>111</v>
      </c>
      <c r="CI553" t="s">
        <v>111</v>
      </c>
      <c r="CJ553" t="s">
        <v>111</v>
      </c>
      <c r="CK553" t="s">
        <v>111</v>
      </c>
      <c r="CL553" t="s">
        <v>111</v>
      </c>
      <c r="CM553" t="s">
        <v>360</v>
      </c>
      <c r="CN553" t="s">
        <v>113</v>
      </c>
      <c r="CO553" t="s">
        <v>111</v>
      </c>
      <c r="CP553" t="e">
        <f>-MUESTRA</f>
        <v>#NAME?</v>
      </c>
      <c r="CQ553">
        <v>0</v>
      </c>
      <c r="CR553">
        <v>3000</v>
      </c>
      <c r="CS553">
        <v>100</v>
      </c>
      <c r="CT553" t="e">
        <f>-ALMACEN</f>
        <v>#NAME?</v>
      </c>
      <c r="CU553">
        <v>0</v>
      </c>
      <c r="CV553" t="s">
        <v>111</v>
      </c>
      <c r="CX553" t="s">
        <v>111</v>
      </c>
      <c r="CY553">
        <v>0</v>
      </c>
      <c r="CZ553" t="s">
        <v>111</v>
      </c>
      <c r="DA553" t="s">
        <v>111</v>
      </c>
      <c r="DB553" t="s">
        <v>111</v>
      </c>
      <c r="DC553" t="s">
        <v>111</v>
      </c>
    </row>
    <row r="554" spans="1:107">
      <c r="A554">
        <v>1998</v>
      </c>
      <c r="B554" t="s">
        <v>107</v>
      </c>
      <c r="C554" t="s">
        <v>114</v>
      </c>
      <c r="D554" t="s">
        <v>1876</v>
      </c>
      <c r="E554" t="s">
        <v>1977</v>
      </c>
      <c r="F554" t="s">
        <v>431</v>
      </c>
      <c r="G554" t="s">
        <v>469</v>
      </c>
      <c r="H554">
        <v>2.4</v>
      </c>
      <c r="I554">
        <v>70</v>
      </c>
      <c r="J554">
        <v>0</v>
      </c>
      <c r="K554">
        <v>0</v>
      </c>
      <c r="L554" t="s">
        <v>117</v>
      </c>
      <c r="M554" t="s">
        <v>118</v>
      </c>
      <c r="N554">
        <v>2.5</v>
      </c>
      <c r="O554">
        <v>1</v>
      </c>
      <c r="P554" t="s">
        <v>111</v>
      </c>
      <c r="Q554">
        <v>47.3</v>
      </c>
      <c r="R554">
        <v>0</v>
      </c>
      <c r="S554">
        <v>0</v>
      </c>
      <c r="T554">
        <v>5</v>
      </c>
      <c r="U554" s="1" t="s">
        <v>1975</v>
      </c>
      <c r="V554">
        <v>0</v>
      </c>
      <c r="W554">
        <v>25</v>
      </c>
      <c r="X554">
        <v>8</v>
      </c>
      <c r="Y554">
        <v>0</v>
      </c>
      <c r="Z554" t="s">
        <v>111</v>
      </c>
      <c r="AA554">
        <v>0</v>
      </c>
      <c r="AB554" t="s">
        <v>1978</v>
      </c>
      <c r="AC554">
        <v>8</v>
      </c>
      <c r="AD554" t="s">
        <v>493</v>
      </c>
      <c r="AE554">
        <v>0</v>
      </c>
      <c r="AF554">
        <v>0</v>
      </c>
      <c r="AG554" t="s">
        <v>111</v>
      </c>
      <c r="AH554" t="s">
        <v>111</v>
      </c>
      <c r="AI554" t="s">
        <v>111</v>
      </c>
      <c r="AJ554" t="s">
        <v>111</v>
      </c>
      <c r="AK554" t="s">
        <v>111</v>
      </c>
      <c r="AL554" t="s">
        <v>111</v>
      </c>
      <c r="AM554">
        <v>0</v>
      </c>
      <c r="AN554">
        <v>0</v>
      </c>
      <c r="AO554">
        <v>0</v>
      </c>
      <c r="AP554" t="s">
        <v>111</v>
      </c>
      <c r="AQ554" t="s">
        <v>111</v>
      </c>
      <c r="AR554" t="s">
        <v>111</v>
      </c>
      <c r="AS554" t="s">
        <v>111</v>
      </c>
      <c r="AT554" t="s">
        <v>111</v>
      </c>
      <c r="AU554" t="s">
        <v>111</v>
      </c>
      <c r="AV554" t="s">
        <v>111</v>
      </c>
      <c r="AW554" t="s">
        <v>111</v>
      </c>
      <c r="AX554" t="s">
        <v>111</v>
      </c>
      <c r="AY554" t="s">
        <v>111</v>
      </c>
      <c r="AZ554" t="s">
        <v>111</v>
      </c>
      <c r="BA554" t="s">
        <v>111</v>
      </c>
      <c r="BB554" t="s">
        <v>111</v>
      </c>
      <c r="BC554" t="s">
        <v>111</v>
      </c>
      <c r="BD554" t="s">
        <v>111</v>
      </c>
      <c r="BE554" t="s">
        <v>111</v>
      </c>
      <c r="BF554" t="s">
        <v>111</v>
      </c>
      <c r="BG554" t="s">
        <v>111</v>
      </c>
      <c r="BH554" t="s">
        <v>111</v>
      </c>
      <c r="BI554" t="s">
        <v>111</v>
      </c>
      <c r="BJ554" t="s">
        <v>111</v>
      </c>
      <c r="BK554" t="s">
        <v>111</v>
      </c>
      <c r="BL554" t="s">
        <v>111</v>
      </c>
      <c r="BM554" t="s">
        <v>111</v>
      </c>
      <c r="BN554" t="s">
        <v>111</v>
      </c>
      <c r="BO554" t="s">
        <v>111</v>
      </c>
      <c r="BP554" t="s">
        <v>111</v>
      </c>
      <c r="BQ554" t="s">
        <v>111</v>
      </c>
      <c r="BR554" t="s">
        <v>111</v>
      </c>
      <c r="BS554" t="s">
        <v>111</v>
      </c>
      <c r="BT554" t="s">
        <v>111</v>
      </c>
      <c r="BU554" t="s">
        <v>111</v>
      </c>
      <c r="BV554" t="s">
        <v>111</v>
      </c>
      <c r="BW554" t="s">
        <v>111</v>
      </c>
      <c r="BX554" t="s">
        <v>111</v>
      </c>
      <c r="BY554" t="s">
        <v>111</v>
      </c>
      <c r="BZ554" t="s">
        <v>111</v>
      </c>
      <c r="CA554" t="s">
        <v>111</v>
      </c>
      <c r="CB554" t="s">
        <v>111</v>
      </c>
      <c r="CC554" t="s">
        <v>111</v>
      </c>
      <c r="CD554" t="s">
        <v>111</v>
      </c>
      <c r="CE554" t="s">
        <v>111</v>
      </c>
      <c r="CF554" t="s">
        <v>111</v>
      </c>
      <c r="CG554" t="s">
        <v>111</v>
      </c>
      <c r="CH554" t="s">
        <v>111</v>
      </c>
      <c r="CI554" t="s">
        <v>111</v>
      </c>
      <c r="CJ554" t="s">
        <v>111</v>
      </c>
      <c r="CK554" t="s">
        <v>111</v>
      </c>
      <c r="CL554" t="s">
        <v>111</v>
      </c>
      <c r="CM554" t="s">
        <v>360</v>
      </c>
      <c r="CN554" t="s">
        <v>113</v>
      </c>
      <c r="CO554" t="s">
        <v>111</v>
      </c>
      <c r="CP554" t="e">
        <f>-MUESTRA</f>
        <v>#NAME?</v>
      </c>
      <c r="CQ554">
        <v>0</v>
      </c>
      <c r="CR554">
        <v>3000</v>
      </c>
      <c r="CS554">
        <v>100</v>
      </c>
      <c r="CT554" t="e">
        <f>-ALMACEN</f>
        <v>#NAME?</v>
      </c>
      <c r="CU554">
        <v>0</v>
      </c>
      <c r="CV554" t="s">
        <v>111</v>
      </c>
      <c r="CX554" t="s">
        <v>111</v>
      </c>
      <c r="CY554">
        <v>0</v>
      </c>
      <c r="CZ554" t="s">
        <v>111</v>
      </c>
      <c r="DA554" t="s">
        <v>111</v>
      </c>
      <c r="DB554" t="s">
        <v>111</v>
      </c>
      <c r="DC554" t="s">
        <v>111</v>
      </c>
    </row>
    <row r="555" spans="1:107">
      <c r="A555">
        <v>1710</v>
      </c>
      <c r="B555" t="s">
        <v>107</v>
      </c>
      <c r="C555" t="s">
        <v>793</v>
      </c>
      <c r="D555" t="s">
        <v>1979</v>
      </c>
      <c r="E555" t="s">
        <v>1980</v>
      </c>
      <c r="F555" t="s">
        <v>1981</v>
      </c>
      <c r="G555" t="s">
        <v>469</v>
      </c>
      <c r="H555">
        <v>1.4</v>
      </c>
      <c r="I555">
        <v>30.5</v>
      </c>
      <c r="J555">
        <v>0</v>
      </c>
      <c r="K555">
        <v>0</v>
      </c>
      <c r="L555" t="s">
        <v>112</v>
      </c>
      <c r="M555" t="s">
        <v>118</v>
      </c>
      <c r="N555">
        <v>40</v>
      </c>
      <c r="O555">
        <v>2</v>
      </c>
      <c r="P555" t="s">
        <v>138</v>
      </c>
      <c r="Q555">
        <v>36.6</v>
      </c>
      <c r="R555">
        <v>0</v>
      </c>
      <c r="S555">
        <v>0</v>
      </c>
      <c r="T555">
        <v>0</v>
      </c>
      <c r="U555" s="1" t="s">
        <v>1982</v>
      </c>
      <c r="V555">
        <v>25</v>
      </c>
      <c r="W555">
        <v>0</v>
      </c>
      <c r="X555">
        <v>5</v>
      </c>
      <c r="Y555">
        <v>0</v>
      </c>
      <c r="Z555" t="s">
        <v>1983</v>
      </c>
      <c r="AA555">
        <v>1.5</v>
      </c>
      <c r="AB555" t="s">
        <v>111</v>
      </c>
      <c r="AC555">
        <v>0</v>
      </c>
      <c r="AD555" t="s">
        <v>111</v>
      </c>
      <c r="AE555">
        <v>0</v>
      </c>
      <c r="AF555">
        <v>0</v>
      </c>
      <c r="AG555" t="s">
        <v>111</v>
      </c>
      <c r="AH555" t="s">
        <v>111</v>
      </c>
      <c r="AI555" t="s">
        <v>111</v>
      </c>
      <c r="AJ555" t="s">
        <v>111</v>
      </c>
      <c r="AK555" t="s">
        <v>111</v>
      </c>
      <c r="AL555" t="s">
        <v>111</v>
      </c>
      <c r="AM555">
        <v>0</v>
      </c>
      <c r="AN555">
        <v>0</v>
      </c>
      <c r="AO555">
        <v>0</v>
      </c>
      <c r="AP555" t="s">
        <v>111</v>
      </c>
      <c r="AQ555" t="s">
        <v>111</v>
      </c>
      <c r="AR555" t="s">
        <v>111</v>
      </c>
      <c r="AS555" t="s">
        <v>111</v>
      </c>
      <c r="AT555" t="s">
        <v>111</v>
      </c>
      <c r="AU555" t="s">
        <v>111</v>
      </c>
      <c r="AV555" t="s">
        <v>111</v>
      </c>
      <c r="AW555" t="s">
        <v>111</v>
      </c>
      <c r="AX555" t="s">
        <v>111</v>
      </c>
      <c r="AY555" t="s">
        <v>111</v>
      </c>
      <c r="AZ555" t="s">
        <v>111</v>
      </c>
      <c r="BA555" t="s">
        <v>111</v>
      </c>
      <c r="BB555" t="s">
        <v>111</v>
      </c>
      <c r="BC555" t="s">
        <v>111</v>
      </c>
      <c r="BD555" t="s">
        <v>111</v>
      </c>
      <c r="BE555" t="s">
        <v>111</v>
      </c>
      <c r="BF555" t="s">
        <v>111</v>
      </c>
      <c r="BG555" t="s">
        <v>111</v>
      </c>
      <c r="BH555" t="s">
        <v>111</v>
      </c>
      <c r="BI555" t="s">
        <v>111</v>
      </c>
      <c r="BJ555" t="s">
        <v>111</v>
      </c>
      <c r="BK555" t="s">
        <v>111</v>
      </c>
      <c r="BL555" t="s">
        <v>111</v>
      </c>
      <c r="BM555" t="s">
        <v>111</v>
      </c>
      <c r="BN555" t="s">
        <v>111</v>
      </c>
      <c r="BO555" t="s">
        <v>111</v>
      </c>
      <c r="BP555" t="s">
        <v>111</v>
      </c>
      <c r="BQ555" t="s">
        <v>111</v>
      </c>
      <c r="BR555" t="s">
        <v>111</v>
      </c>
      <c r="BS555" t="s">
        <v>111</v>
      </c>
      <c r="BT555" t="s">
        <v>111</v>
      </c>
      <c r="BU555" t="s">
        <v>111</v>
      </c>
      <c r="BV555" t="s">
        <v>111</v>
      </c>
      <c r="BW555" t="s">
        <v>111</v>
      </c>
      <c r="BX555" t="s">
        <v>111</v>
      </c>
      <c r="BY555" t="s">
        <v>111</v>
      </c>
      <c r="BZ555" t="s">
        <v>111</v>
      </c>
      <c r="CA555" t="s">
        <v>111</v>
      </c>
      <c r="CB555" t="s">
        <v>111</v>
      </c>
      <c r="CC555" t="s">
        <v>111</v>
      </c>
      <c r="CD555" t="s">
        <v>111</v>
      </c>
      <c r="CE555" t="s">
        <v>111</v>
      </c>
      <c r="CF555" t="s">
        <v>111</v>
      </c>
      <c r="CG555" t="s">
        <v>111</v>
      </c>
      <c r="CH555" t="s">
        <v>111</v>
      </c>
      <c r="CI555" t="s">
        <v>111</v>
      </c>
      <c r="CJ555" t="s">
        <v>111</v>
      </c>
      <c r="CK555" t="s">
        <v>111</v>
      </c>
      <c r="CL555" t="s">
        <v>111</v>
      </c>
      <c r="CM555" t="s">
        <v>111</v>
      </c>
      <c r="CN555" t="s">
        <v>111</v>
      </c>
      <c r="CO555" t="s">
        <v>111</v>
      </c>
      <c r="CP555" t="s">
        <v>111</v>
      </c>
      <c r="CQ555">
        <v>0</v>
      </c>
      <c r="CR555">
        <v>0</v>
      </c>
      <c r="CS555">
        <v>0</v>
      </c>
      <c r="CT555" t="s">
        <v>111</v>
      </c>
      <c r="CU555">
        <v>0</v>
      </c>
      <c r="CV555" t="s">
        <v>111</v>
      </c>
      <c r="CX555" t="s">
        <v>111</v>
      </c>
      <c r="CY555">
        <v>0</v>
      </c>
      <c r="CZ555" t="s">
        <v>111</v>
      </c>
      <c r="DA555" t="s">
        <v>111</v>
      </c>
      <c r="DB555" t="s">
        <v>111</v>
      </c>
      <c r="DC555" t="s">
        <v>111</v>
      </c>
    </row>
    <row r="556" spans="1:107">
      <c r="A556">
        <v>1715</v>
      </c>
      <c r="B556" t="s">
        <v>107</v>
      </c>
      <c r="C556" t="s">
        <v>421</v>
      </c>
      <c r="D556" t="s">
        <v>422</v>
      </c>
      <c r="E556" t="s">
        <v>1984</v>
      </c>
      <c r="F556" t="s">
        <v>370</v>
      </c>
      <c r="G556" t="s">
        <v>469</v>
      </c>
      <c r="H556">
        <v>2.9</v>
      </c>
      <c r="I556">
        <v>55</v>
      </c>
      <c r="J556">
        <v>0</v>
      </c>
      <c r="K556">
        <v>0</v>
      </c>
      <c r="L556" t="s">
        <v>112</v>
      </c>
      <c r="M556" t="s">
        <v>118</v>
      </c>
      <c r="N556">
        <v>39</v>
      </c>
      <c r="O556">
        <v>2</v>
      </c>
      <c r="P556" t="s">
        <v>111</v>
      </c>
      <c r="Q556">
        <v>49</v>
      </c>
      <c r="R556">
        <v>0</v>
      </c>
      <c r="S556">
        <v>0</v>
      </c>
      <c r="T556">
        <v>10</v>
      </c>
      <c r="U556" s="1" t="s">
        <v>1985</v>
      </c>
      <c r="V556">
        <v>25</v>
      </c>
      <c r="W556">
        <v>0</v>
      </c>
      <c r="X556">
        <v>8</v>
      </c>
      <c r="Y556">
        <v>0</v>
      </c>
      <c r="Z556" t="s">
        <v>288</v>
      </c>
      <c r="AA556">
        <v>0.3</v>
      </c>
      <c r="AB556" t="s">
        <v>1986</v>
      </c>
      <c r="AC556">
        <v>0.7</v>
      </c>
      <c r="AD556" t="s">
        <v>427</v>
      </c>
      <c r="AE556">
        <v>0</v>
      </c>
      <c r="AF556">
        <v>0</v>
      </c>
      <c r="AG556" t="s">
        <v>111</v>
      </c>
      <c r="AH556" t="s">
        <v>113</v>
      </c>
      <c r="AI556" t="s">
        <v>111</v>
      </c>
      <c r="AJ556" t="s">
        <v>111</v>
      </c>
      <c r="AK556" t="s">
        <v>111</v>
      </c>
      <c r="AL556" t="s">
        <v>111</v>
      </c>
      <c r="AM556">
        <v>0</v>
      </c>
      <c r="AN556">
        <v>0</v>
      </c>
      <c r="AO556">
        <v>0</v>
      </c>
      <c r="AP556" t="s">
        <v>111</v>
      </c>
      <c r="AQ556" t="s">
        <v>111</v>
      </c>
      <c r="AR556" t="s">
        <v>111</v>
      </c>
      <c r="AS556" t="s">
        <v>111</v>
      </c>
      <c r="AT556" t="s">
        <v>111</v>
      </c>
      <c r="AU556" t="s">
        <v>111</v>
      </c>
      <c r="AV556" t="s">
        <v>111</v>
      </c>
      <c r="AW556" t="s">
        <v>111</v>
      </c>
      <c r="AX556" t="s">
        <v>111</v>
      </c>
      <c r="AY556" t="s">
        <v>111</v>
      </c>
      <c r="AZ556" t="s">
        <v>111</v>
      </c>
      <c r="BA556" t="s">
        <v>111</v>
      </c>
      <c r="BB556" t="s">
        <v>111</v>
      </c>
      <c r="BC556" t="s">
        <v>111</v>
      </c>
      <c r="BD556" t="s">
        <v>111</v>
      </c>
      <c r="BE556" t="s">
        <v>111</v>
      </c>
      <c r="BF556" t="s">
        <v>111</v>
      </c>
      <c r="BG556" t="s">
        <v>111</v>
      </c>
      <c r="BH556" t="s">
        <v>111</v>
      </c>
      <c r="BI556" t="s">
        <v>111</v>
      </c>
      <c r="BJ556" t="s">
        <v>111</v>
      </c>
      <c r="BK556" t="s">
        <v>111</v>
      </c>
      <c r="BL556" t="s">
        <v>111</v>
      </c>
      <c r="BM556" t="s">
        <v>111</v>
      </c>
      <c r="BN556" t="s">
        <v>111</v>
      </c>
      <c r="BO556" t="s">
        <v>111</v>
      </c>
      <c r="BP556" t="s">
        <v>111</v>
      </c>
      <c r="BQ556" t="s">
        <v>111</v>
      </c>
      <c r="BR556" t="s">
        <v>111</v>
      </c>
      <c r="BS556" t="s">
        <v>111</v>
      </c>
      <c r="BT556" t="s">
        <v>111</v>
      </c>
      <c r="BU556" t="s">
        <v>111</v>
      </c>
      <c r="BV556" t="s">
        <v>111</v>
      </c>
      <c r="BW556" t="s">
        <v>111</v>
      </c>
      <c r="BX556" t="s">
        <v>111</v>
      </c>
      <c r="BY556" t="s">
        <v>111</v>
      </c>
      <c r="BZ556" t="s">
        <v>111</v>
      </c>
      <c r="CA556" t="s">
        <v>111</v>
      </c>
      <c r="CB556" t="s">
        <v>111</v>
      </c>
      <c r="CC556" t="s">
        <v>111</v>
      </c>
      <c r="CD556" t="s">
        <v>111</v>
      </c>
      <c r="CE556" t="s">
        <v>111</v>
      </c>
      <c r="CF556" t="s">
        <v>111</v>
      </c>
      <c r="CG556" t="s">
        <v>111</v>
      </c>
      <c r="CH556" t="s">
        <v>111</v>
      </c>
      <c r="CI556" t="s">
        <v>111</v>
      </c>
      <c r="CJ556" t="s">
        <v>111</v>
      </c>
      <c r="CK556" t="s">
        <v>111</v>
      </c>
      <c r="CL556" t="s">
        <v>111</v>
      </c>
      <c r="CM556" t="s">
        <v>135</v>
      </c>
      <c r="CN556" t="s">
        <v>113</v>
      </c>
      <c r="CO556" t="s">
        <v>885</v>
      </c>
      <c r="CP556" t="s">
        <v>111</v>
      </c>
      <c r="CQ556">
        <v>0</v>
      </c>
      <c r="CR556">
        <v>600</v>
      </c>
      <c r="CS556">
        <v>25</v>
      </c>
      <c r="CT556" s="1" t="s">
        <v>1987</v>
      </c>
      <c r="CU556">
        <v>0</v>
      </c>
      <c r="CV556" t="s">
        <v>111</v>
      </c>
      <c r="CX556" t="s">
        <v>111</v>
      </c>
      <c r="CY556">
        <v>0</v>
      </c>
      <c r="CZ556" t="s">
        <v>111</v>
      </c>
      <c r="DA556" t="s">
        <v>111</v>
      </c>
      <c r="DB556" t="e">
        <f>-INTERNO</f>
        <v>#NAME?</v>
      </c>
      <c r="DC556" t="s">
        <v>1988</v>
      </c>
    </row>
    <row r="557" spans="1:107">
      <c r="A557">
        <v>2041</v>
      </c>
      <c r="B557" t="s">
        <v>376</v>
      </c>
      <c r="C557" t="s">
        <v>336</v>
      </c>
      <c r="D557" t="s">
        <v>337</v>
      </c>
      <c r="E557" t="s">
        <v>1989</v>
      </c>
      <c r="F557" t="s">
        <v>166</v>
      </c>
      <c r="G557" t="s">
        <v>469</v>
      </c>
      <c r="H557">
        <v>2.9</v>
      </c>
      <c r="I557">
        <v>91</v>
      </c>
      <c r="J557">
        <v>0</v>
      </c>
      <c r="K557">
        <v>0</v>
      </c>
      <c r="L557" t="s">
        <v>112</v>
      </c>
      <c r="M557" t="s">
        <v>111</v>
      </c>
      <c r="N557">
        <v>0</v>
      </c>
      <c r="O557">
        <v>0</v>
      </c>
      <c r="P557" t="s">
        <v>111</v>
      </c>
      <c r="Q557">
        <v>50</v>
      </c>
      <c r="R557">
        <v>0</v>
      </c>
      <c r="S557">
        <v>0</v>
      </c>
      <c r="T557">
        <v>5</v>
      </c>
      <c r="U557" s="1" t="s">
        <v>1990</v>
      </c>
      <c r="V557">
        <v>25</v>
      </c>
      <c r="W557">
        <v>0</v>
      </c>
      <c r="X557">
        <v>8</v>
      </c>
      <c r="Y557">
        <v>0</v>
      </c>
      <c r="Z557" t="s">
        <v>111</v>
      </c>
      <c r="AA557">
        <v>0</v>
      </c>
      <c r="AB557" t="s">
        <v>111</v>
      </c>
      <c r="AC557">
        <v>0</v>
      </c>
      <c r="AD557" t="s">
        <v>111</v>
      </c>
      <c r="AE557">
        <v>0</v>
      </c>
      <c r="AF557">
        <v>0</v>
      </c>
      <c r="AG557" t="s">
        <v>111</v>
      </c>
      <c r="AH557" t="s">
        <v>111</v>
      </c>
      <c r="AI557" t="s">
        <v>111</v>
      </c>
      <c r="AJ557" t="s">
        <v>111</v>
      </c>
      <c r="AK557" t="s">
        <v>111</v>
      </c>
      <c r="AL557" t="s">
        <v>111</v>
      </c>
      <c r="AM557">
        <v>0</v>
      </c>
      <c r="AN557">
        <v>0</v>
      </c>
      <c r="AO557">
        <v>0</v>
      </c>
      <c r="AP557" t="s">
        <v>111</v>
      </c>
      <c r="AQ557" t="s">
        <v>111</v>
      </c>
      <c r="AR557" t="s">
        <v>111</v>
      </c>
      <c r="AS557" t="s">
        <v>111</v>
      </c>
      <c r="AT557" t="s">
        <v>111</v>
      </c>
      <c r="AU557" t="s">
        <v>111</v>
      </c>
      <c r="AV557" t="s">
        <v>111</v>
      </c>
      <c r="AW557" t="s">
        <v>111</v>
      </c>
      <c r="AX557" t="s">
        <v>111</v>
      </c>
      <c r="AY557" t="s">
        <v>111</v>
      </c>
      <c r="AZ557" t="s">
        <v>111</v>
      </c>
      <c r="BA557" t="s">
        <v>111</v>
      </c>
      <c r="BB557" t="s">
        <v>111</v>
      </c>
      <c r="BC557" t="s">
        <v>111</v>
      </c>
      <c r="BD557" t="s">
        <v>111</v>
      </c>
      <c r="BE557" t="s">
        <v>111</v>
      </c>
      <c r="BF557" t="s">
        <v>111</v>
      </c>
      <c r="BG557" t="s">
        <v>111</v>
      </c>
      <c r="BH557" t="s">
        <v>111</v>
      </c>
      <c r="BI557" t="s">
        <v>111</v>
      </c>
      <c r="BJ557" t="s">
        <v>111</v>
      </c>
      <c r="BK557" t="s">
        <v>111</v>
      </c>
      <c r="BL557" t="s">
        <v>111</v>
      </c>
      <c r="BM557" t="s">
        <v>111</v>
      </c>
      <c r="BN557" t="s">
        <v>111</v>
      </c>
      <c r="BO557" t="s">
        <v>111</v>
      </c>
      <c r="BP557" t="s">
        <v>111</v>
      </c>
      <c r="BQ557" t="s">
        <v>111</v>
      </c>
      <c r="BR557" t="s">
        <v>111</v>
      </c>
      <c r="BS557" t="s">
        <v>111</v>
      </c>
      <c r="BT557" t="s">
        <v>111</v>
      </c>
      <c r="BU557" t="s">
        <v>111</v>
      </c>
      <c r="BV557" t="s">
        <v>111</v>
      </c>
      <c r="BW557" t="s">
        <v>111</v>
      </c>
      <c r="BX557" t="s">
        <v>111</v>
      </c>
      <c r="BY557" t="s">
        <v>111</v>
      </c>
      <c r="BZ557" t="s">
        <v>111</v>
      </c>
      <c r="CA557" t="s">
        <v>111</v>
      </c>
      <c r="CB557" t="s">
        <v>111</v>
      </c>
      <c r="CC557" t="s">
        <v>111</v>
      </c>
      <c r="CD557" t="s">
        <v>111</v>
      </c>
      <c r="CE557" t="s">
        <v>111</v>
      </c>
      <c r="CF557" t="s">
        <v>111</v>
      </c>
      <c r="CG557" t="s">
        <v>111</v>
      </c>
      <c r="CH557" t="s">
        <v>111</v>
      </c>
      <c r="CI557" t="s">
        <v>111</v>
      </c>
      <c r="CJ557" t="s">
        <v>111</v>
      </c>
      <c r="CK557" t="s">
        <v>111</v>
      </c>
      <c r="CL557" t="s">
        <v>111</v>
      </c>
      <c r="CM557" t="s">
        <v>111</v>
      </c>
      <c r="CN557" t="s">
        <v>111</v>
      </c>
      <c r="CO557" t="s">
        <v>111</v>
      </c>
      <c r="CP557" t="s">
        <v>111</v>
      </c>
      <c r="CQ557">
        <v>0</v>
      </c>
      <c r="CR557">
        <v>0</v>
      </c>
      <c r="CS557">
        <v>0</v>
      </c>
      <c r="CT557" t="s">
        <v>111</v>
      </c>
      <c r="CU557">
        <v>0</v>
      </c>
      <c r="CV557" t="s">
        <v>111</v>
      </c>
      <c r="CX557" t="s">
        <v>111</v>
      </c>
      <c r="CY557">
        <v>0</v>
      </c>
      <c r="CZ557" t="s">
        <v>111</v>
      </c>
      <c r="DA557" t="s">
        <v>111</v>
      </c>
      <c r="DB557" t="s">
        <v>111</v>
      </c>
      <c r="DC557" t="s">
        <v>111</v>
      </c>
    </row>
    <row r="558" spans="1:107">
      <c r="A558">
        <v>2042</v>
      </c>
      <c r="B558" t="s">
        <v>376</v>
      </c>
      <c r="C558" t="s">
        <v>336</v>
      </c>
      <c r="D558" t="s">
        <v>1781</v>
      </c>
      <c r="E558" t="s">
        <v>1991</v>
      </c>
      <c r="F558" t="s">
        <v>125</v>
      </c>
      <c r="G558" t="s">
        <v>469</v>
      </c>
      <c r="H558">
        <v>1.9</v>
      </c>
      <c r="I558">
        <v>30</v>
      </c>
      <c r="J558">
        <v>0</v>
      </c>
      <c r="K558">
        <v>0</v>
      </c>
      <c r="L558" t="s">
        <v>112</v>
      </c>
      <c r="M558" t="s">
        <v>111</v>
      </c>
      <c r="N558">
        <v>0</v>
      </c>
      <c r="O558">
        <v>0</v>
      </c>
      <c r="P558" t="s">
        <v>111</v>
      </c>
      <c r="Q558">
        <v>38</v>
      </c>
      <c r="R558">
        <v>0</v>
      </c>
      <c r="S558">
        <v>0</v>
      </c>
      <c r="T558">
        <v>5</v>
      </c>
      <c r="U558" s="1" t="s">
        <v>1992</v>
      </c>
      <c r="V558">
        <v>25</v>
      </c>
      <c r="W558">
        <v>29</v>
      </c>
      <c r="X558">
        <v>10</v>
      </c>
      <c r="Y558">
        <v>0</v>
      </c>
      <c r="Z558" t="s">
        <v>111</v>
      </c>
      <c r="AA558">
        <v>0</v>
      </c>
      <c r="AB558" t="s">
        <v>111</v>
      </c>
      <c r="AC558">
        <v>0</v>
      </c>
      <c r="AD558" t="s">
        <v>111</v>
      </c>
      <c r="AE558">
        <v>0</v>
      </c>
      <c r="AF558">
        <v>0</v>
      </c>
      <c r="AG558" t="s">
        <v>111</v>
      </c>
      <c r="AH558" t="s">
        <v>111</v>
      </c>
      <c r="AI558" t="s">
        <v>111</v>
      </c>
      <c r="AJ558" t="s">
        <v>111</v>
      </c>
      <c r="AK558" t="s">
        <v>111</v>
      </c>
      <c r="AL558" t="s">
        <v>111</v>
      </c>
      <c r="AM558">
        <v>0</v>
      </c>
      <c r="AN558">
        <v>0</v>
      </c>
      <c r="AO558">
        <v>0</v>
      </c>
      <c r="AP558" t="s">
        <v>111</v>
      </c>
      <c r="AQ558" t="s">
        <v>111</v>
      </c>
      <c r="AR558" t="s">
        <v>111</v>
      </c>
      <c r="AS558" t="s">
        <v>111</v>
      </c>
      <c r="AT558" t="s">
        <v>111</v>
      </c>
      <c r="AU558" t="s">
        <v>111</v>
      </c>
      <c r="AV558" t="s">
        <v>111</v>
      </c>
      <c r="AW558" t="s">
        <v>111</v>
      </c>
      <c r="AX558" t="s">
        <v>111</v>
      </c>
      <c r="AY558" t="s">
        <v>111</v>
      </c>
      <c r="AZ558" t="s">
        <v>111</v>
      </c>
      <c r="BA558" t="s">
        <v>111</v>
      </c>
      <c r="BB558" t="s">
        <v>111</v>
      </c>
      <c r="BC558" t="s">
        <v>111</v>
      </c>
      <c r="BD558" t="s">
        <v>111</v>
      </c>
      <c r="BE558" t="s">
        <v>111</v>
      </c>
      <c r="BF558" t="s">
        <v>111</v>
      </c>
      <c r="BG558" t="s">
        <v>111</v>
      </c>
      <c r="BH558" t="s">
        <v>111</v>
      </c>
      <c r="BI558" t="s">
        <v>111</v>
      </c>
      <c r="BJ558" t="s">
        <v>111</v>
      </c>
      <c r="BK558" t="s">
        <v>111</v>
      </c>
      <c r="BL558" t="s">
        <v>111</v>
      </c>
      <c r="BM558" t="s">
        <v>111</v>
      </c>
      <c r="BN558" t="s">
        <v>111</v>
      </c>
      <c r="BO558" t="s">
        <v>111</v>
      </c>
      <c r="BP558" t="s">
        <v>111</v>
      </c>
      <c r="BQ558" t="s">
        <v>111</v>
      </c>
      <c r="BR558" t="s">
        <v>111</v>
      </c>
      <c r="BS558" t="s">
        <v>111</v>
      </c>
      <c r="BT558" t="s">
        <v>111</v>
      </c>
      <c r="BU558" t="s">
        <v>111</v>
      </c>
      <c r="BV558" t="s">
        <v>111</v>
      </c>
      <c r="BW558" t="s">
        <v>111</v>
      </c>
      <c r="BX558" t="s">
        <v>111</v>
      </c>
      <c r="BY558" t="s">
        <v>111</v>
      </c>
      <c r="BZ558" t="s">
        <v>111</v>
      </c>
      <c r="CA558" t="s">
        <v>111</v>
      </c>
      <c r="CB558" t="s">
        <v>111</v>
      </c>
      <c r="CC558" t="s">
        <v>111</v>
      </c>
      <c r="CD558" t="s">
        <v>111</v>
      </c>
      <c r="CE558" t="s">
        <v>111</v>
      </c>
      <c r="CF558" t="s">
        <v>111</v>
      </c>
      <c r="CG558" t="s">
        <v>111</v>
      </c>
      <c r="CH558" t="s">
        <v>111</v>
      </c>
      <c r="CI558" t="s">
        <v>111</v>
      </c>
      <c r="CJ558" t="s">
        <v>111</v>
      </c>
      <c r="CK558" t="s">
        <v>111</v>
      </c>
      <c r="CL558" t="s">
        <v>111</v>
      </c>
      <c r="CM558" t="s">
        <v>111</v>
      </c>
      <c r="CN558" t="s">
        <v>111</v>
      </c>
      <c r="CO558" t="s">
        <v>111</v>
      </c>
      <c r="CP558" t="s">
        <v>111</v>
      </c>
      <c r="CQ558">
        <v>0</v>
      </c>
      <c r="CR558">
        <v>0</v>
      </c>
      <c r="CS558">
        <v>0</v>
      </c>
      <c r="CT558" t="s">
        <v>111</v>
      </c>
      <c r="CU558">
        <v>0</v>
      </c>
      <c r="CV558" t="s">
        <v>111</v>
      </c>
      <c r="CX558" t="s">
        <v>111</v>
      </c>
      <c r="CY558">
        <v>0</v>
      </c>
      <c r="CZ558" t="s">
        <v>111</v>
      </c>
      <c r="DA558" t="s">
        <v>111</v>
      </c>
      <c r="DB558" t="e">
        <f>- INTERNO</f>
        <v>#NAME?</v>
      </c>
      <c r="DC558" t="e">
        <f>- CORTE Y SELLADO</f>
        <v>#NAME?</v>
      </c>
    </row>
    <row r="559" spans="1:107">
      <c r="A559">
        <v>2044</v>
      </c>
      <c r="B559" t="s">
        <v>376</v>
      </c>
      <c r="C559" t="s">
        <v>1993</v>
      </c>
      <c r="D559" t="s">
        <v>1994</v>
      </c>
      <c r="E559" t="s">
        <v>1995</v>
      </c>
      <c r="F559" t="s">
        <v>431</v>
      </c>
      <c r="G559" t="s">
        <v>469</v>
      </c>
      <c r="H559">
        <v>1.7</v>
      </c>
      <c r="I559">
        <v>77.5</v>
      </c>
      <c r="J559">
        <v>0</v>
      </c>
      <c r="K559">
        <v>0</v>
      </c>
      <c r="L559" t="s">
        <v>112</v>
      </c>
      <c r="M559" t="s">
        <v>118</v>
      </c>
      <c r="N559">
        <v>39</v>
      </c>
      <c r="O559">
        <v>2</v>
      </c>
      <c r="P559" t="s">
        <v>111</v>
      </c>
      <c r="Q559">
        <v>40</v>
      </c>
      <c r="R559">
        <v>0</v>
      </c>
      <c r="S559">
        <v>0</v>
      </c>
      <c r="T559">
        <v>5</v>
      </c>
      <c r="U559" s="1" t="s">
        <v>1996</v>
      </c>
      <c r="V559">
        <v>0</v>
      </c>
      <c r="W559">
        <v>25</v>
      </c>
      <c r="X559">
        <v>10</v>
      </c>
      <c r="Y559">
        <v>0</v>
      </c>
      <c r="Z559" t="s">
        <v>111</v>
      </c>
      <c r="AA559">
        <v>0</v>
      </c>
      <c r="AB559" t="s">
        <v>111</v>
      </c>
      <c r="AC559">
        <v>0</v>
      </c>
      <c r="AD559" t="s">
        <v>416</v>
      </c>
      <c r="AE559">
        <v>0</v>
      </c>
      <c r="AF559">
        <v>0</v>
      </c>
      <c r="AG559" t="s">
        <v>111</v>
      </c>
      <c r="AH559" t="s">
        <v>111</v>
      </c>
      <c r="AI559" t="s">
        <v>111</v>
      </c>
      <c r="AJ559" t="s">
        <v>111</v>
      </c>
      <c r="AK559" t="s">
        <v>111</v>
      </c>
      <c r="AL559" t="s">
        <v>111</v>
      </c>
      <c r="AM559">
        <v>0</v>
      </c>
      <c r="AN559">
        <v>0</v>
      </c>
      <c r="AO559">
        <v>0</v>
      </c>
      <c r="AP559" t="s">
        <v>111</v>
      </c>
      <c r="AQ559" t="s">
        <v>111</v>
      </c>
      <c r="AR559" t="s">
        <v>111</v>
      </c>
      <c r="AS559" t="s">
        <v>111</v>
      </c>
      <c r="AT559" t="s">
        <v>111</v>
      </c>
      <c r="AU559" t="s">
        <v>111</v>
      </c>
      <c r="AV559" t="s">
        <v>111</v>
      </c>
      <c r="AW559" t="s">
        <v>111</v>
      </c>
      <c r="AX559" t="s">
        <v>111</v>
      </c>
      <c r="AY559" t="s">
        <v>111</v>
      </c>
      <c r="AZ559" t="s">
        <v>111</v>
      </c>
      <c r="BA559" t="s">
        <v>111</v>
      </c>
      <c r="BB559" t="s">
        <v>111</v>
      </c>
      <c r="BC559" t="s">
        <v>111</v>
      </c>
      <c r="BD559" t="s">
        <v>111</v>
      </c>
      <c r="BE559" t="s">
        <v>111</v>
      </c>
      <c r="BF559" t="s">
        <v>111</v>
      </c>
      <c r="BG559" t="s">
        <v>111</v>
      </c>
      <c r="BH559" t="s">
        <v>111</v>
      </c>
      <c r="BI559" t="s">
        <v>111</v>
      </c>
      <c r="BJ559" t="s">
        <v>111</v>
      </c>
      <c r="BK559" t="s">
        <v>111</v>
      </c>
      <c r="BL559" t="s">
        <v>111</v>
      </c>
      <c r="BM559" t="s">
        <v>111</v>
      </c>
      <c r="BN559" t="s">
        <v>111</v>
      </c>
      <c r="BO559" t="s">
        <v>111</v>
      </c>
      <c r="BP559" t="s">
        <v>111</v>
      </c>
      <c r="BQ559" t="s">
        <v>111</v>
      </c>
      <c r="BR559" t="s">
        <v>111</v>
      </c>
      <c r="BS559" t="s">
        <v>111</v>
      </c>
      <c r="BT559" t="s">
        <v>111</v>
      </c>
      <c r="BU559" t="s">
        <v>111</v>
      </c>
      <c r="BV559" t="s">
        <v>111</v>
      </c>
      <c r="BW559" t="s">
        <v>111</v>
      </c>
      <c r="BX559" t="s">
        <v>111</v>
      </c>
      <c r="BY559" t="s">
        <v>111</v>
      </c>
      <c r="BZ559" t="s">
        <v>111</v>
      </c>
      <c r="CA559" t="s">
        <v>111</v>
      </c>
      <c r="CB559" t="s">
        <v>111</v>
      </c>
      <c r="CC559" t="s">
        <v>111</v>
      </c>
      <c r="CD559" t="s">
        <v>111</v>
      </c>
      <c r="CE559" t="s">
        <v>111</v>
      </c>
      <c r="CF559" t="s">
        <v>111</v>
      </c>
      <c r="CG559" t="s">
        <v>111</v>
      </c>
      <c r="CH559" t="s">
        <v>111</v>
      </c>
      <c r="CI559" t="s">
        <v>111</v>
      </c>
      <c r="CJ559" t="s">
        <v>111</v>
      </c>
      <c r="CK559" t="s">
        <v>111</v>
      </c>
      <c r="CL559" t="s">
        <v>111</v>
      </c>
      <c r="CM559" t="s">
        <v>198</v>
      </c>
      <c r="CN559" t="s">
        <v>113</v>
      </c>
      <c r="CO559" t="s">
        <v>111</v>
      </c>
      <c r="CP559" t="s">
        <v>111</v>
      </c>
      <c r="CQ559">
        <v>0</v>
      </c>
      <c r="CR559">
        <v>5000</v>
      </c>
      <c r="CS559">
        <v>200</v>
      </c>
      <c r="CT559" t="e">
        <f>- SOLAPA EXTERIOR INVERTIDA</f>
        <v>#NAME?</v>
      </c>
      <c r="CU559">
        <v>0</v>
      </c>
      <c r="CV559" t="s">
        <v>111</v>
      </c>
      <c r="CX559" t="s">
        <v>111</v>
      </c>
      <c r="CY559">
        <v>0</v>
      </c>
      <c r="CZ559" t="s">
        <v>111</v>
      </c>
      <c r="DA559" t="s">
        <v>111</v>
      </c>
      <c r="DB559" t="s">
        <v>111</v>
      </c>
      <c r="DC559" t="s">
        <v>111</v>
      </c>
    </row>
    <row r="560" spans="1:107">
      <c r="A560">
        <v>1697</v>
      </c>
      <c r="B560" t="s">
        <v>107</v>
      </c>
      <c r="C560" t="s">
        <v>681</v>
      </c>
      <c r="D560" t="s">
        <v>1997</v>
      </c>
      <c r="E560" t="s">
        <v>1998</v>
      </c>
      <c r="F560" t="s">
        <v>684</v>
      </c>
      <c r="G560" t="s">
        <v>469</v>
      </c>
      <c r="H560">
        <v>0.5</v>
      </c>
      <c r="I560">
        <v>50</v>
      </c>
      <c r="J560">
        <v>0</v>
      </c>
      <c r="K560">
        <v>0</v>
      </c>
      <c r="L560" t="s">
        <v>112</v>
      </c>
      <c r="M560" t="s">
        <v>111</v>
      </c>
      <c r="N560">
        <v>0</v>
      </c>
      <c r="O560">
        <v>0</v>
      </c>
      <c r="P560" t="s">
        <v>111</v>
      </c>
      <c r="Q560">
        <v>41</v>
      </c>
      <c r="R560">
        <v>0</v>
      </c>
      <c r="S560">
        <v>0</v>
      </c>
      <c r="T560">
        <v>5</v>
      </c>
      <c r="U560" s="1" t="s">
        <v>1999</v>
      </c>
      <c r="V560">
        <v>25</v>
      </c>
      <c r="W560">
        <v>0</v>
      </c>
      <c r="X560">
        <v>6</v>
      </c>
      <c r="Y560">
        <v>0</v>
      </c>
      <c r="Z560" t="s">
        <v>111</v>
      </c>
      <c r="AA560">
        <v>0</v>
      </c>
      <c r="AB560" t="s">
        <v>111</v>
      </c>
      <c r="AC560">
        <v>0</v>
      </c>
      <c r="AD560" t="s">
        <v>111</v>
      </c>
      <c r="AE560">
        <v>0</v>
      </c>
      <c r="AF560">
        <v>0</v>
      </c>
      <c r="AG560" t="s">
        <v>111</v>
      </c>
      <c r="AH560" t="s">
        <v>111</v>
      </c>
      <c r="AI560" t="s">
        <v>111</v>
      </c>
      <c r="AJ560" t="s">
        <v>111</v>
      </c>
      <c r="AK560" t="s">
        <v>111</v>
      </c>
      <c r="AL560" t="s">
        <v>111</v>
      </c>
      <c r="AM560">
        <v>0</v>
      </c>
      <c r="AN560">
        <v>0</v>
      </c>
      <c r="AO560">
        <v>0</v>
      </c>
      <c r="AP560" t="s">
        <v>111</v>
      </c>
      <c r="AQ560" t="s">
        <v>111</v>
      </c>
      <c r="AR560" t="s">
        <v>111</v>
      </c>
      <c r="AS560" t="s">
        <v>111</v>
      </c>
      <c r="AT560" t="s">
        <v>111</v>
      </c>
      <c r="AU560" t="s">
        <v>111</v>
      </c>
      <c r="AV560" t="s">
        <v>111</v>
      </c>
      <c r="AW560" t="s">
        <v>111</v>
      </c>
      <c r="AX560" t="s">
        <v>111</v>
      </c>
      <c r="AY560" t="s">
        <v>111</v>
      </c>
      <c r="AZ560" t="s">
        <v>111</v>
      </c>
      <c r="BA560" t="s">
        <v>111</v>
      </c>
      <c r="BB560" t="s">
        <v>111</v>
      </c>
      <c r="BC560" t="s">
        <v>111</v>
      </c>
      <c r="BD560" t="s">
        <v>111</v>
      </c>
      <c r="BE560" t="s">
        <v>111</v>
      </c>
      <c r="BF560" t="s">
        <v>111</v>
      </c>
      <c r="BG560" t="s">
        <v>111</v>
      </c>
      <c r="BH560" t="s">
        <v>111</v>
      </c>
      <c r="BI560" t="s">
        <v>111</v>
      </c>
      <c r="BJ560" t="s">
        <v>111</v>
      </c>
      <c r="BK560" t="s">
        <v>111</v>
      </c>
      <c r="BL560" t="s">
        <v>111</v>
      </c>
      <c r="BM560" t="s">
        <v>111</v>
      </c>
      <c r="BN560" t="s">
        <v>111</v>
      </c>
      <c r="BO560" t="s">
        <v>111</v>
      </c>
      <c r="BP560" t="s">
        <v>111</v>
      </c>
      <c r="BQ560" t="s">
        <v>111</v>
      </c>
      <c r="BR560" t="s">
        <v>111</v>
      </c>
      <c r="BS560" t="s">
        <v>111</v>
      </c>
      <c r="BT560" t="s">
        <v>111</v>
      </c>
      <c r="BU560" t="s">
        <v>111</v>
      </c>
      <c r="BV560" t="s">
        <v>111</v>
      </c>
      <c r="BW560" t="s">
        <v>111</v>
      </c>
      <c r="BX560" t="s">
        <v>111</v>
      </c>
      <c r="BY560" t="s">
        <v>111</v>
      </c>
      <c r="BZ560" t="s">
        <v>111</v>
      </c>
      <c r="CA560" t="s">
        <v>111</v>
      </c>
      <c r="CB560" t="s">
        <v>111</v>
      </c>
      <c r="CC560" t="s">
        <v>111</v>
      </c>
      <c r="CD560" t="s">
        <v>111</v>
      </c>
      <c r="CE560" t="s">
        <v>111</v>
      </c>
      <c r="CF560" t="s">
        <v>111</v>
      </c>
      <c r="CG560" t="s">
        <v>111</v>
      </c>
      <c r="CH560" t="s">
        <v>111</v>
      </c>
      <c r="CI560" t="s">
        <v>111</v>
      </c>
      <c r="CJ560" t="s">
        <v>111</v>
      </c>
      <c r="CK560" t="s">
        <v>111</v>
      </c>
      <c r="CL560" t="s">
        <v>111</v>
      </c>
      <c r="CM560" t="s">
        <v>127</v>
      </c>
      <c r="CN560" t="s">
        <v>128</v>
      </c>
      <c r="CO560" t="s">
        <v>111</v>
      </c>
      <c r="CP560" t="s">
        <v>111</v>
      </c>
      <c r="CQ560">
        <v>0</v>
      </c>
      <c r="CR560">
        <v>2000</v>
      </c>
      <c r="CS560">
        <v>100</v>
      </c>
      <c r="CT560" t="s">
        <v>111</v>
      </c>
      <c r="CU560">
        <v>0</v>
      </c>
      <c r="CV560" t="s">
        <v>111</v>
      </c>
      <c r="CX560" t="s">
        <v>111</v>
      </c>
      <c r="CY560">
        <v>0</v>
      </c>
      <c r="CZ560" t="s">
        <v>111</v>
      </c>
      <c r="DA560" t="s">
        <v>111</v>
      </c>
      <c r="DB560" t="e">
        <f>-INTERNO</f>
        <v>#NAME?</v>
      </c>
      <c r="DC560" t="e">
        <f>-CUBRESTIDO</f>
        <v>#NAME?</v>
      </c>
    </row>
    <row r="561" spans="1:107">
      <c r="A561">
        <v>1696</v>
      </c>
      <c r="B561" t="s">
        <v>107</v>
      </c>
      <c r="C561" t="s">
        <v>793</v>
      </c>
      <c r="D561" t="s">
        <v>2000</v>
      </c>
      <c r="E561" t="s">
        <v>2001</v>
      </c>
      <c r="F561" t="s">
        <v>166</v>
      </c>
      <c r="G561" t="s">
        <v>469</v>
      </c>
      <c r="H561">
        <v>0.5</v>
      </c>
      <c r="I561">
        <v>76</v>
      </c>
      <c r="J561">
        <v>0</v>
      </c>
      <c r="K561">
        <v>0</v>
      </c>
      <c r="L561" t="s">
        <v>112</v>
      </c>
      <c r="M561" t="s">
        <v>138</v>
      </c>
      <c r="N561">
        <v>0</v>
      </c>
      <c r="O561">
        <v>0</v>
      </c>
      <c r="P561" t="s">
        <v>111</v>
      </c>
      <c r="Q561">
        <v>45</v>
      </c>
      <c r="R561">
        <v>0</v>
      </c>
      <c r="S561">
        <v>0</v>
      </c>
      <c r="T561">
        <v>0</v>
      </c>
      <c r="U561" s="1" t="s">
        <v>2002</v>
      </c>
      <c r="V561">
        <v>25</v>
      </c>
      <c r="W561">
        <v>0</v>
      </c>
      <c r="X561">
        <v>6</v>
      </c>
      <c r="Y561">
        <v>0</v>
      </c>
      <c r="Z561" t="s">
        <v>111</v>
      </c>
      <c r="AA561">
        <v>0</v>
      </c>
      <c r="AB561" t="s">
        <v>111</v>
      </c>
      <c r="AC561">
        <v>0</v>
      </c>
      <c r="AD561" t="s">
        <v>111</v>
      </c>
      <c r="AE561">
        <v>0</v>
      </c>
      <c r="AF561">
        <v>0</v>
      </c>
      <c r="AG561" t="s">
        <v>111</v>
      </c>
      <c r="AH561" t="s">
        <v>111</v>
      </c>
      <c r="AI561" t="s">
        <v>111</v>
      </c>
      <c r="AJ561" t="s">
        <v>111</v>
      </c>
      <c r="AK561" t="s">
        <v>111</v>
      </c>
      <c r="AL561" t="s">
        <v>111</v>
      </c>
      <c r="AM561">
        <v>0</v>
      </c>
      <c r="AN561">
        <v>0</v>
      </c>
      <c r="AO561">
        <v>0</v>
      </c>
      <c r="AP561" t="s">
        <v>111</v>
      </c>
      <c r="AQ561" t="s">
        <v>111</v>
      </c>
      <c r="AR561" t="s">
        <v>111</v>
      </c>
      <c r="AS561" t="s">
        <v>111</v>
      </c>
      <c r="AT561" t="s">
        <v>111</v>
      </c>
      <c r="AU561" t="s">
        <v>111</v>
      </c>
      <c r="AV561" t="s">
        <v>111</v>
      </c>
      <c r="AW561" t="s">
        <v>111</v>
      </c>
      <c r="AX561" t="s">
        <v>111</v>
      </c>
      <c r="AY561" t="s">
        <v>111</v>
      </c>
      <c r="AZ561" t="s">
        <v>111</v>
      </c>
      <c r="BA561" t="s">
        <v>111</v>
      </c>
      <c r="BB561" t="s">
        <v>111</v>
      </c>
      <c r="BC561" t="s">
        <v>111</v>
      </c>
      <c r="BD561" t="s">
        <v>111</v>
      </c>
      <c r="BE561" t="s">
        <v>111</v>
      </c>
      <c r="BF561" t="s">
        <v>111</v>
      </c>
      <c r="BG561" t="s">
        <v>111</v>
      </c>
      <c r="BH561" t="s">
        <v>111</v>
      </c>
      <c r="BI561" t="s">
        <v>111</v>
      </c>
      <c r="BJ561" t="s">
        <v>111</v>
      </c>
      <c r="BK561" t="s">
        <v>111</v>
      </c>
      <c r="BL561" t="s">
        <v>111</v>
      </c>
      <c r="BM561" t="s">
        <v>111</v>
      </c>
      <c r="BN561" t="s">
        <v>111</v>
      </c>
      <c r="BO561" t="s">
        <v>111</v>
      </c>
      <c r="BP561" t="s">
        <v>111</v>
      </c>
      <c r="BQ561" t="s">
        <v>111</v>
      </c>
      <c r="BR561" t="s">
        <v>111</v>
      </c>
      <c r="BS561" t="s">
        <v>111</v>
      </c>
      <c r="BT561" t="s">
        <v>111</v>
      </c>
      <c r="BU561" t="s">
        <v>111</v>
      </c>
      <c r="BV561" t="s">
        <v>111</v>
      </c>
      <c r="BW561" t="s">
        <v>111</v>
      </c>
      <c r="BX561" t="s">
        <v>111</v>
      </c>
      <c r="BY561" t="s">
        <v>111</v>
      </c>
      <c r="BZ561" t="s">
        <v>111</v>
      </c>
      <c r="CA561" t="s">
        <v>111</v>
      </c>
      <c r="CB561" t="s">
        <v>111</v>
      </c>
      <c r="CC561" t="s">
        <v>111</v>
      </c>
      <c r="CD561" t="s">
        <v>111</v>
      </c>
      <c r="CE561" t="s">
        <v>111</v>
      </c>
      <c r="CF561" t="s">
        <v>111</v>
      </c>
      <c r="CG561" t="s">
        <v>111</v>
      </c>
      <c r="CH561" t="s">
        <v>111</v>
      </c>
      <c r="CI561" t="s">
        <v>111</v>
      </c>
      <c r="CJ561" t="s">
        <v>111</v>
      </c>
      <c r="CK561" t="s">
        <v>111</v>
      </c>
      <c r="CL561" t="s">
        <v>111</v>
      </c>
      <c r="CM561" t="s">
        <v>111</v>
      </c>
      <c r="CN561" t="s">
        <v>111</v>
      </c>
      <c r="CO561" t="s">
        <v>111</v>
      </c>
      <c r="CP561" t="s">
        <v>111</v>
      </c>
      <c r="CQ561">
        <v>0</v>
      </c>
      <c r="CR561">
        <v>0</v>
      </c>
      <c r="CS561">
        <v>0</v>
      </c>
      <c r="CT561" t="s">
        <v>111</v>
      </c>
      <c r="CU561">
        <v>0</v>
      </c>
      <c r="CV561" t="s">
        <v>111</v>
      </c>
      <c r="CX561" t="s">
        <v>111</v>
      </c>
      <c r="CY561">
        <v>0</v>
      </c>
      <c r="CZ561" t="s">
        <v>111</v>
      </c>
      <c r="DA561" t="s">
        <v>111</v>
      </c>
      <c r="DB561" t="s">
        <v>111</v>
      </c>
      <c r="DC561" t="s">
        <v>111</v>
      </c>
    </row>
    <row r="562" spans="1:107">
      <c r="A562">
        <v>1695</v>
      </c>
      <c r="B562" t="s">
        <v>107</v>
      </c>
      <c r="C562" t="s">
        <v>793</v>
      </c>
      <c r="D562" t="s">
        <v>2003</v>
      </c>
      <c r="E562" t="s">
        <v>2004</v>
      </c>
      <c r="F562" t="s">
        <v>166</v>
      </c>
      <c r="G562" t="s">
        <v>469</v>
      </c>
      <c r="H562">
        <v>0.45</v>
      </c>
      <c r="I562">
        <v>58</v>
      </c>
      <c r="J562">
        <v>0</v>
      </c>
      <c r="K562">
        <v>0</v>
      </c>
      <c r="L562" t="s">
        <v>112</v>
      </c>
      <c r="M562" t="s">
        <v>118</v>
      </c>
      <c r="N562">
        <v>40</v>
      </c>
      <c r="O562">
        <v>1</v>
      </c>
      <c r="P562" t="s">
        <v>111</v>
      </c>
      <c r="Q562">
        <v>36.700000000000003</v>
      </c>
      <c r="R562">
        <v>0</v>
      </c>
      <c r="S562">
        <v>0</v>
      </c>
      <c r="T562">
        <v>0</v>
      </c>
      <c r="U562" s="1" t="s">
        <v>2005</v>
      </c>
      <c r="V562">
        <v>25</v>
      </c>
      <c r="W562">
        <v>0</v>
      </c>
      <c r="X562">
        <v>8</v>
      </c>
      <c r="Y562">
        <v>0</v>
      </c>
      <c r="Z562" t="s">
        <v>111</v>
      </c>
      <c r="AA562">
        <v>0</v>
      </c>
      <c r="AB562" t="s">
        <v>111</v>
      </c>
      <c r="AC562">
        <v>0</v>
      </c>
      <c r="AD562" t="s">
        <v>111</v>
      </c>
      <c r="AE562">
        <v>0</v>
      </c>
      <c r="AF562">
        <v>0</v>
      </c>
      <c r="AG562" t="s">
        <v>111</v>
      </c>
      <c r="AH562" t="s">
        <v>111</v>
      </c>
      <c r="AI562" t="s">
        <v>111</v>
      </c>
      <c r="AJ562" t="s">
        <v>111</v>
      </c>
      <c r="AK562" t="s">
        <v>111</v>
      </c>
      <c r="AL562" t="s">
        <v>111</v>
      </c>
      <c r="AM562">
        <v>0</v>
      </c>
      <c r="AN562">
        <v>0</v>
      </c>
      <c r="AO562">
        <v>0</v>
      </c>
      <c r="AP562" t="s">
        <v>111</v>
      </c>
      <c r="AQ562" t="s">
        <v>111</v>
      </c>
      <c r="AR562" t="s">
        <v>111</v>
      </c>
      <c r="AS562" t="s">
        <v>111</v>
      </c>
      <c r="AT562" t="s">
        <v>111</v>
      </c>
      <c r="AU562" t="s">
        <v>111</v>
      </c>
      <c r="AV562" t="s">
        <v>111</v>
      </c>
      <c r="AW562" t="s">
        <v>111</v>
      </c>
      <c r="AX562" t="s">
        <v>111</v>
      </c>
      <c r="AY562" t="s">
        <v>111</v>
      </c>
      <c r="AZ562" t="s">
        <v>111</v>
      </c>
      <c r="BA562" t="s">
        <v>111</v>
      </c>
      <c r="BB562" t="s">
        <v>111</v>
      </c>
      <c r="BC562" t="s">
        <v>111</v>
      </c>
      <c r="BD562" t="s">
        <v>111</v>
      </c>
      <c r="BE562" t="s">
        <v>111</v>
      </c>
      <c r="BF562" t="s">
        <v>111</v>
      </c>
      <c r="BG562" t="s">
        <v>111</v>
      </c>
      <c r="BH562" t="s">
        <v>111</v>
      </c>
      <c r="BI562" t="s">
        <v>111</v>
      </c>
      <c r="BJ562" t="s">
        <v>111</v>
      </c>
      <c r="BK562" t="s">
        <v>111</v>
      </c>
      <c r="BL562" t="s">
        <v>111</v>
      </c>
      <c r="BM562" t="s">
        <v>111</v>
      </c>
      <c r="BN562" t="s">
        <v>111</v>
      </c>
      <c r="BO562" t="s">
        <v>111</v>
      </c>
      <c r="BP562" t="s">
        <v>111</v>
      </c>
      <c r="BQ562" t="s">
        <v>111</v>
      </c>
      <c r="BR562" t="s">
        <v>111</v>
      </c>
      <c r="BS562" t="s">
        <v>111</v>
      </c>
      <c r="BT562" t="s">
        <v>111</v>
      </c>
      <c r="BU562" t="s">
        <v>111</v>
      </c>
      <c r="BV562" t="s">
        <v>111</v>
      </c>
      <c r="BW562" t="s">
        <v>111</v>
      </c>
      <c r="BX562" t="s">
        <v>111</v>
      </c>
      <c r="BY562" t="s">
        <v>111</v>
      </c>
      <c r="BZ562" t="s">
        <v>111</v>
      </c>
      <c r="CA562" t="s">
        <v>111</v>
      </c>
      <c r="CB562" t="s">
        <v>111</v>
      </c>
      <c r="CC562" t="s">
        <v>111</v>
      </c>
      <c r="CD562" t="s">
        <v>111</v>
      </c>
      <c r="CE562" t="s">
        <v>111</v>
      </c>
      <c r="CF562" t="s">
        <v>111</v>
      </c>
      <c r="CG562" t="s">
        <v>111</v>
      </c>
      <c r="CH562" t="s">
        <v>111</v>
      </c>
      <c r="CI562" t="s">
        <v>111</v>
      </c>
      <c r="CJ562" t="s">
        <v>111</v>
      </c>
      <c r="CK562" t="s">
        <v>111</v>
      </c>
      <c r="CL562" t="s">
        <v>111</v>
      </c>
      <c r="CM562" t="s">
        <v>111</v>
      </c>
      <c r="CN562" t="s">
        <v>111</v>
      </c>
      <c r="CO562" t="s">
        <v>111</v>
      </c>
      <c r="CP562" t="s">
        <v>111</v>
      </c>
      <c r="CQ562">
        <v>0</v>
      </c>
      <c r="CR562">
        <v>0</v>
      </c>
      <c r="CS562">
        <v>0</v>
      </c>
      <c r="CT562" t="s">
        <v>111</v>
      </c>
      <c r="CU562">
        <v>0</v>
      </c>
      <c r="CV562" t="s">
        <v>111</v>
      </c>
      <c r="CX562" t="s">
        <v>111</v>
      </c>
      <c r="CY562">
        <v>0</v>
      </c>
      <c r="CZ562" t="s">
        <v>111</v>
      </c>
      <c r="DA562" t="s">
        <v>111</v>
      </c>
      <c r="DB562" t="s">
        <v>111</v>
      </c>
      <c r="DC562" t="s">
        <v>111</v>
      </c>
    </row>
    <row r="563" spans="1:107">
      <c r="A563">
        <v>1707</v>
      </c>
      <c r="B563" t="s">
        <v>107</v>
      </c>
      <c r="C563" t="s">
        <v>2006</v>
      </c>
      <c r="D563" t="s">
        <v>961</v>
      </c>
      <c r="E563" t="s">
        <v>2007</v>
      </c>
      <c r="F563" t="s">
        <v>431</v>
      </c>
      <c r="G563" t="s">
        <v>469</v>
      </c>
      <c r="H563">
        <v>1.4</v>
      </c>
      <c r="I563">
        <v>88</v>
      </c>
      <c r="J563">
        <v>0</v>
      </c>
      <c r="K563">
        <v>0</v>
      </c>
      <c r="L563" t="s">
        <v>117</v>
      </c>
      <c r="M563" t="s">
        <v>118</v>
      </c>
      <c r="N563">
        <v>39</v>
      </c>
      <c r="O563">
        <v>1</v>
      </c>
      <c r="P563" t="s">
        <v>111</v>
      </c>
      <c r="Q563">
        <v>31</v>
      </c>
      <c r="R563">
        <v>0</v>
      </c>
      <c r="S563">
        <v>0</v>
      </c>
      <c r="T563">
        <v>5</v>
      </c>
      <c r="U563" s="1" t="s">
        <v>2008</v>
      </c>
      <c r="V563">
        <v>0</v>
      </c>
      <c r="W563">
        <v>25</v>
      </c>
      <c r="X563">
        <v>8</v>
      </c>
      <c r="Y563">
        <v>0</v>
      </c>
      <c r="Z563" t="s">
        <v>111</v>
      </c>
      <c r="AA563">
        <v>0</v>
      </c>
      <c r="AB563" t="s">
        <v>111</v>
      </c>
      <c r="AC563">
        <v>0</v>
      </c>
      <c r="AD563" t="s">
        <v>416</v>
      </c>
      <c r="AE563">
        <v>0</v>
      </c>
      <c r="AF563">
        <v>0</v>
      </c>
      <c r="AG563" t="s">
        <v>111</v>
      </c>
      <c r="AH563" t="s">
        <v>111</v>
      </c>
      <c r="AI563" t="s">
        <v>111</v>
      </c>
      <c r="AJ563" t="s">
        <v>111</v>
      </c>
      <c r="AK563" t="s">
        <v>111</v>
      </c>
      <c r="AL563" t="s">
        <v>111</v>
      </c>
      <c r="AM563">
        <v>0</v>
      </c>
      <c r="AN563">
        <v>0</v>
      </c>
      <c r="AO563">
        <v>0</v>
      </c>
      <c r="AP563" t="s">
        <v>111</v>
      </c>
      <c r="AQ563" t="s">
        <v>111</v>
      </c>
      <c r="AR563" t="s">
        <v>111</v>
      </c>
      <c r="AS563" t="s">
        <v>111</v>
      </c>
      <c r="AT563" t="s">
        <v>111</v>
      </c>
      <c r="AU563" t="s">
        <v>111</v>
      </c>
      <c r="AV563" t="s">
        <v>111</v>
      </c>
      <c r="AW563" t="s">
        <v>111</v>
      </c>
      <c r="AX563" t="s">
        <v>111</v>
      </c>
      <c r="AY563" t="s">
        <v>111</v>
      </c>
      <c r="AZ563" t="s">
        <v>111</v>
      </c>
      <c r="BA563" t="s">
        <v>111</v>
      </c>
      <c r="BB563" t="s">
        <v>111</v>
      </c>
      <c r="BC563" t="s">
        <v>111</v>
      </c>
      <c r="BD563" t="s">
        <v>111</v>
      </c>
      <c r="BE563" t="s">
        <v>111</v>
      </c>
      <c r="BF563" t="s">
        <v>111</v>
      </c>
      <c r="BG563" t="s">
        <v>111</v>
      </c>
      <c r="BH563" t="s">
        <v>111</v>
      </c>
      <c r="BI563" t="s">
        <v>111</v>
      </c>
      <c r="BJ563" t="s">
        <v>111</v>
      </c>
      <c r="BK563" t="s">
        <v>111</v>
      </c>
      <c r="BL563" t="s">
        <v>111</v>
      </c>
      <c r="BM563" t="s">
        <v>111</v>
      </c>
      <c r="BN563" t="s">
        <v>111</v>
      </c>
      <c r="BO563" t="s">
        <v>111</v>
      </c>
      <c r="BP563" t="s">
        <v>111</v>
      </c>
      <c r="BQ563" t="s">
        <v>111</v>
      </c>
      <c r="BR563" t="s">
        <v>111</v>
      </c>
      <c r="BS563" t="s">
        <v>111</v>
      </c>
      <c r="BT563" t="s">
        <v>111</v>
      </c>
      <c r="BU563" t="s">
        <v>111</v>
      </c>
      <c r="BV563" t="s">
        <v>111</v>
      </c>
      <c r="BW563" t="s">
        <v>111</v>
      </c>
      <c r="BX563" t="s">
        <v>111</v>
      </c>
      <c r="BY563" t="s">
        <v>111</v>
      </c>
      <c r="BZ563" t="s">
        <v>111</v>
      </c>
      <c r="CA563" t="s">
        <v>111</v>
      </c>
      <c r="CB563" t="s">
        <v>111</v>
      </c>
      <c r="CC563" t="s">
        <v>111</v>
      </c>
      <c r="CD563" t="s">
        <v>111</v>
      </c>
      <c r="CE563" t="s">
        <v>111</v>
      </c>
      <c r="CF563" t="s">
        <v>111</v>
      </c>
      <c r="CG563" t="s">
        <v>111</v>
      </c>
      <c r="CH563" t="s">
        <v>111</v>
      </c>
      <c r="CI563" t="s">
        <v>111</v>
      </c>
      <c r="CJ563" t="s">
        <v>111</v>
      </c>
      <c r="CK563" t="s">
        <v>111</v>
      </c>
      <c r="CL563" t="s">
        <v>111</v>
      </c>
      <c r="CM563" t="s">
        <v>438</v>
      </c>
      <c r="CN563" t="s">
        <v>113</v>
      </c>
      <c r="CO563" t="s">
        <v>111</v>
      </c>
      <c r="CP563" t="s">
        <v>111</v>
      </c>
      <c r="CQ563">
        <v>0</v>
      </c>
      <c r="CR563">
        <v>4000</v>
      </c>
      <c r="CS563">
        <v>200</v>
      </c>
      <c r="CT563" t="e">
        <f>-ALMACEN</f>
        <v>#NAME?</v>
      </c>
      <c r="CU563">
        <v>0</v>
      </c>
      <c r="CV563" t="s">
        <v>111</v>
      </c>
      <c r="CX563" t="s">
        <v>111</v>
      </c>
      <c r="CY563">
        <v>0</v>
      </c>
      <c r="CZ563" t="s">
        <v>111</v>
      </c>
      <c r="DA563" t="s">
        <v>111</v>
      </c>
      <c r="DB563" t="s">
        <v>111</v>
      </c>
      <c r="DC563" t="s">
        <v>111</v>
      </c>
    </row>
    <row r="564" spans="1:107">
      <c r="A564">
        <v>1706</v>
      </c>
      <c r="B564" t="s">
        <v>107</v>
      </c>
      <c r="C564" t="s">
        <v>876</v>
      </c>
      <c r="D564" t="s">
        <v>2009</v>
      </c>
      <c r="E564" t="s">
        <v>2010</v>
      </c>
      <c r="F564" t="s">
        <v>739</v>
      </c>
      <c r="G564" t="s">
        <v>469</v>
      </c>
      <c r="H564">
        <v>4</v>
      </c>
      <c r="I564">
        <v>20</v>
      </c>
      <c r="J564">
        <v>6</v>
      </c>
      <c r="K564">
        <v>6</v>
      </c>
      <c r="L564" t="s">
        <v>112</v>
      </c>
      <c r="M564" t="s">
        <v>118</v>
      </c>
      <c r="N564">
        <v>39</v>
      </c>
      <c r="O564">
        <v>1</v>
      </c>
      <c r="P564" t="s">
        <v>111</v>
      </c>
      <c r="Q564">
        <v>27.7</v>
      </c>
      <c r="R564">
        <v>0</v>
      </c>
      <c r="S564">
        <v>0</v>
      </c>
      <c r="T564">
        <v>8</v>
      </c>
      <c r="U564" s="1" t="s">
        <v>2011</v>
      </c>
      <c r="V564">
        <v>0</v>
      </c>
      <c r="W564">
        <v>25</v>
      </c>
      <c r="X564">
        <v>8</v>
      </c>
      <c r="Y564">
        <v>0</v>
      </c>
      <c r="Z564" t="s">
        <v>288</v>
      </c>
      <c r="AA564">
        <v>1.4</v>
      </c>
      <c r="AB564" t="s">
        <v>259</v>
      </c>
      <c r="AC564">
        <v>0.8</v>
      </c>
      <c r="AD564" t="s">
        <v>416</v>
      </c>
      <c r="AE564">
        <v>0</v>
      </c>
      <c r="AF564">
        <v>0</v>
      </c>
      <c r="AG564" t="s">
        <v>111</v>
      </c>
      <c r="AH564" t="s">
        <v>128</v>
      </c>
      <c r="AI564" t="s">
        <v>111</v>
      </c>
      <c r="AJ564" t="s">
        <v>111</v>
      </c>
      <c r="AK564" t="s">
        <v>111</v>
      </c>
      <c r="AL564" t="s">
        <v>111</v>
      </c>
      <c r="AM564">
        <v>0</v>
      </c>
      <c r="AN564">
        <v>0</v>
      </c>
      <c r="AO564">
        <v>0</v>
      </c>
      <c r="AP564" t="s">
        <v>111</v>
      </c>
      <c r="AQ564" t="s">
        <v>111</v>
      </c>
      <c r="AR564" t="s">
        <v>111</v>
      </c>
      <c r="AS564" t="s">
        <v>111</v>
      </c>
      <c r="AT564" t="s">
        <v>111</v>
      </c>
      <c r="AU564" t="s">
        <v>111</v>
      </c>
      <c r="AV564" t="s">
        <v>111</v>
      </c>
      <c r="AW564" t="s">
        <v>111</v>
      </c>
      <c r="AX564" t="s">
        <v>111</v>
      </c>
      <c r="AY564" t="s">
        <v>111</v>
      </c>
      <c r="AZ564" t="s">
        <v>111</v>
      </c>
      <c r="BA564" t="s">
        <v>111</v>
      </c>
      <c r="BB564" t="s">
        <v>111</v>
      </c>
      <c r="BC564" t="s">
        <v>111</v>
      </c>
      <c r="BD564" t="s">
        <v>111</v>
      </c>
      <c r="BE564" t="s">
        <v>111</v>
      </c>
      <c r="BF564" t="s">
        <v>111</v>
      </c>
      <c r="BG564" t="s">
        <v>111</v>
      </c>
      <c r="BH564" t="s">
        <v>111</v>
      </c>
      <c r="BI564" t="s">
        <v>111</v>
      </c>
      <c r="BJ564" t="s">
        <v>111</v>
      </c>
      <c r="BK564" t="s">
        <v>111</v>
      </c>
      <c r="BL564" t="s">
        <v>111</v>
      </c>
      <c r="BM564" t="s">
        <v>111</v>
      </c>
      <c r="BN564" t="s">
        <v>111</v>
      </c>
      <c r="BO564" t="s">
        <v>111</v>
      </c>
      <c r="BP564" t="s">
        <v>111</v>
      </c>
      <c r="BQ564" t="s">
        <v>111</v>
      </c>
      <c r="BR564" t="s">
        <v>111</v>
      </c>
      <c r="BS564" t="s">
        <v>111</v>
      </c>
      <c r="BT564" t="s">
        <v>111</v>
      </c>
      <c r="BU564" t="s">
        <v>111</v>
      </c>
      <c r="BV564" t="s">
        <v>111</v>
      </c>
      <c r="BW564" t="s">
        <v>111</v>
      </c>
      <c r="BX564" t="s">
        <v>111</v>
      </c>
      <c r="BY564" t="s">
        <v>111</v>
      </c>
      <c r="BZ564" t="s">
        <v>111</v>
      </c>
      <c r="CA564" t="s">
        <v>111</v>
      </c>
      <c r="CB564" t="s">
        <v>111</v>
      </c>
      <c r="CC564" t="s">
        <v>111</v>
      </c>
      <c r="CD564" t="s">
        <v>111</v>
      </c>
      <c r="CE564" t="s">
        <v>111</v>
      </c>
      <c r="CF564" t="s">
        <v>111</v>
      </c>
      <c r="CG564" t="s">
        <v>111</v>
      </c>
      <c r="CH564" t="s">
        <v>111</v>
      </c>
      <c r="CI564" t="s">
        <v>111</v>
      </c>
      <c r="CJ564" t="s">
        <v>111</v>
      </c>
      <c r="CK564" t="s">
        <v>111</v>
      </c>
      <c r="CL564" t="s">
        <v>111</v>
      </c>
      <c r="CM564" t="s">
        <v>135</v>
      </c>
      <c r="CN564" t="s">
        <v>128</v>
      </c>
      <c r="CO564" t="s">
        <v>637</v>
      </c>
      <c r="CP564" t="s">
        <v>1971</v>
      </c>
      <c r="CQ564">
        <v>0</v>
      </c>
      <c r="CR564">
        <v>0</v>
      </c>
      <c r="CS564">
        <v>0</v>
      </c>
      <c r="CT564" s="1" t="s">
        <v>2012</v>
      </c>
      <c r="CU564">
        <v>0</v>
      </c>
      <c r="CV564" t="s">
        <v>111</v>
      </c>
      <c r="CX564" t="s">
        <v>111</v>
      </c>
      <c r="CY564">
        <v>0</v>
      </c>
      <c r="CZ564" t="s">
        <v>111</v>
      </c>
      <c r="DA564" t="s">
        <v>111</v>
      </c>
      <c r="DB564" t="s">
        <v>111</v>
      </c>
      <c r="DC564" t="s">
        <v>111</v>
      </c>
    </row>
    <row r="565" spans="1:107">
      <c r="A565">
        <v>1705</v>
      </c>
      <c r="B565" t="s">
        <v>107</v>
      </c>
      <c r="C565" t="s">
        <v>2013</v>
      </c>
      <c r="D565" t="s">
        <v>2014</v>
      </c>
      <c r="E565" t="s">
        <v>2015</v>
      </c>
      <c r="F565" t="s">
        <v>370</v>
      </c>
      <c r="G565" t="s">
        <v>469</v>
      </c>
      <c r="H565">
        <v>3</v>
      </c>
      <c r="I565">
        <v>35</v>
      </c>
      <c r="J565">
        <v>6</v>
      </c>
      <c r="K565">
        <v>6</v>
      </c>
      <c r="L565" t="s">
        <v>112</v>
      </c>
      <c r="M565" t="s">
        <v>118</v>
      </c>
      <c r="N565">
        <v>0</v>
      </c>
      <c r="O565">
        <v>1</v>
      </c>
      <c r="P565" t="s">
        <v>118</v>
      </c>
      <c r="Q565">
        <v>30</v>
      </c>
      <c r="R565">
        <v>0</v>
      </c>
      <c r="S565">
        <v>0</v>
      </c>
      <c r="T565">
        <v>10</v>
      </c>
      <c r="U565" s="1" t="s">
        <v>2016</v>
      </c>
      <c r="V565">
        <v>25</v>
      </c>
      <c r="W565">
        <v>0</v>
      </c>
      <c r="X565">
        <v>0</v>
      </c>
      <c r="Y565">
        <v>0</v>
      </c>
      <c r="Z565" t="s">
        <v>2017</v>
      </c>
      <c r="AA565">
        <v>1.25</v>
      </c>
      <c r="AB565" t="s">
        <v>2018</v>
      </c>
      <c r="AC565">
        <v>0.5</v>
      </c>
      <c r="AD565" t="s">
        <v>416</v>
      </c>
      <c r="AE565">
        <v>0</v>
      </c>
      <c r="AF565">
        <v>0</v>
      </c>
      <c r="AG565" t="s">
        <v>111</v>
      </c>
      <c r="AH565" t="s">
        <v>128</v>
      </c>
      <c r="AI565" t="s">
        <v>111</v>
      </c>
      <c r="AJ565" t="s">
        <v>111</v>
      </c>
      <c r="AK565" t="s">
        <v>111</v>
      </c>
      <c r="AL565" t="s">
        <v>111</v>
      </c>
      <c r="AM565">
        <v>0</v>
      </c>
      <c r="AN565">
        <v>0</v>
      </c>
      <c r="AO565">
        <v>0</v>
      </c>
      <c r="AP565" t="s">
        <v>111</v>
      </c>
      <c r="AQ565" t="s">
        <v>111</v>
      </c>
      <c r="AR565" t="s">
        <v>111</v>
      </c>
      <c r="AS565" t="s">
        <v>111</v>
      </c>
      <c r="AT565" t="s">
        <v>111</v>
      </c>
      <c r="AU565" t="s">
        <v>111</v>
      </c>
      <c r="AV565" t="s">
        <v>111</v>
      </c>
      <c r="AW565" t="s">
        <v>111</v>
      </c>
      <c r="AX565" t="s">
        <v>111</v>
      </c>
      <c r="AY565" t="s">
        <v>111</v>
      </c>
      <c r="AZ565" t="s">
        <v>111</v>
      </c>
      <c r="BA565" t="s">
        <v>111</v>
      </c>
      <c r="BB565" t="s">
        <v>111</v>
      </c>
      <c r="BC565" t="s">
        <v>111</v>
      </c>
      <c r="BD565" t="s">
        <v>111</v>
      </c>
      <c r="BE565" t="s">
        <v>111</v>
      </c>
      <c r="BF565" t="s">
        <v>111</v>
      </c>
      <c r="BG565" t="s">
        <v>111</v>
      </c>
      <c r="BH565" t="s">
        <v>111</v>
      </c>
      <c r="BI565" t="s">
        <v>111</v>
      </c>
      <c r="BJ565" t="s">
        <v>111</v>
      </c>
      <c r="BK565" t="s">
        <v>111</v>
      </c>
      <c r="BL565" t="s">
        <v>111</v>
      </c>
      <c r="BM565" t="s">
        <v>111</v>
      </c>
      <c r="BN565" t="s">
        <v>111</v>
      </c>
      <c r="BO565" t="s">
        <v>111</v>
      </c>
      <c r="BP565" t="s">
        <v>111</v>
      </c>
      <c r="BQ565" t="s">
        <v>111</v>
      </c>
      <c r="BR565" t="s">
        <v>111</v>
      </c>
      <c r="BS565" t="s">
        <v>111</v>
      </c>
      <c r="BT565" t="s">
        <v>111</v>
      </c>
      <c r="BU565" t="s">
        <v>111</v>
      </c>
      <c r="BV565" t="s">
        <v>111</v>
      </c>
      <c r="BW565" t="s">
        <v>111</v>
      </c>
      <c r="BX565" t="s">
        <v>111</v>
      </c>
      <c r="BY565" t="s">
        <v>111</v>
      </c>
      <c r="BZ565" t="s">
        <v>111</v>
      </c>
      <c r="CA565" t="s">
        <v>111</v>
      </c>
      <c r="CB565" t="s">
        <v>111</v>
      </c>
      <c r="CC565" t="s">
        <v>111</v>
      </c>
      <c r="CD565" t="s">
        <v>111</v>
      </c>
      <c r="CE565" t="s">
        <v>111</v>
      </c>
      <c r="CF565" t="s">
        <v>111</v>
      </c>
      <c r="CG565" t="s">
        <v>111</v>
      </c>
      <c r="CH565" t="s">
        <v>111</v>
      </c>
      <c r="CI565" t="s">
        <v>111</v>
      </c>
      <c r="CJ565" t="s">
        <v>111</v>
      </c>
      <c r="CK565" t="s">
        <v>111</v>
      </c>
      <c r="CL565" t="s">
        <v>111</v>
      </c>
      <c r="CM565" t="s">
        <v>135</v>
      </c>
      <c r="CN565" t="s">
        <v>128</v>
      </c>
      <c r="CO565" t="s">
        <v>111</v>
      </c>
      <c r="CP565" t="s">
        <v>111</v>
      </c>
      <c r="CQ565">
        <v>0</v>
      </c>
      <c r="CR565">
        <v>1000</v>
      </c>
      <c r="CS565">
        <v>50</v>
      </c>
      <c r="CT565" s="1" t="s">
        <v>2019</v>
      </c>
      <c r="CU565">
        <v>0</v>
      </c>
      <c r="CV565" t="s">
        <v>111</v>
      </c>
      <c r="CX565" t="s">
        <v>111</v>
      </c>
      <c r="CY565">
        <v>0</v>
      </c>
      <c r="CZ565" t="s">
        <v>111</v>
      </c>
      <c r="DA565" t="s">
        <v>111</v>
      </c>
      <c r="DB565" t="e">
        <f>-EXTERNO</f>
        <v>#NAME?</v>
      </c>
      <c r="DC565" t="e">
        <f>-PEGAR MANIJA</f>
        <v>#NAME?</v>
      </c>
    </row>
    <row r="566" spans="1:107">
      <c r="A566">
        <v>1787</v>
      </c>
      <c r="B566" t="s">
        <v>107</v>
      </c>
      <c r="C566" t="s">
        <v>171</v>
      </c>
      <c r="D566" t="s">
        <v>1597</v>
      </c>
      <c r="E566" t="s">
        <v>2020</v>
      </c>
      <c r="F566" t="s">
        <v>431</v>
      </c>
      <c r="G566" t="s">
        <v>469</v>
      </c>
      <c r="H566">
        <v>3.4</v>
      </c>
      <c r="I566">
        <v>61</v>
      </c>
      <c r="J566">
        <v>0</v>
      </c>
      <c r="K566">
        <v>0</v>
      </c>
      <c r="L566" t="s">
        <v>117</v>
      </c>
      <c r="M566" t="s">
        <v>118</v>
      </c>
      <c r="N566">
        <v>39</v>
      </c>
      <c r="O566">
        <v>1</v>
      </c>
      <c r="P566" t="s">
        <v>138</v>
      </c>
      <c r="Q566">
        <v>30</v>
      </c>
      <c r="R566">
        <v>0</v>
      </c>
      <c r="S566">
        <v>0</v>
      </c>
      <c r="T566">
        <v>5</v>
      </c>
      <c r="U566" t="s">
        <v>111</v>
      </c>
      <c r="V566">
        <v>0</v>
      </c>
      <c r="W566">
        <v>25</v>
      </c>
      <c r="X566">
        <v>10</v>
      </c>
      <c r="Y566">
        <v>0</v>
      </c>
      <c r="Z566" t="s">
        <v>111</v>
      </c>
      <c r="AA566">
        <v>0</v>
      </c>
      <c r="AB566" t="s">
        <v>111</v>
      </c>
      <c r="AC566">
        <v>0</v>
      </c>
      <c r="AD566" t="s">
        <v>416</v>
      </c>
      <c r="AE566">
        <v>0</v>
      </c>
      <c r="AF566">
        <v>0</v>
      </c>
      <c r="AG566" t="s">
        <v>111</v>
      </c>
      <c r="AH566" t="s">
        <v>111</v>
      </c>
      <c r="AI566" t="s">
        <v>111</v>
      </c>
      <c r="AJ566" t="s">
        <v>111</v>
      </c>
      <c r="AK566" t="s">
        <v>111</v>
      </c>
      <c r="AL566" t="s">
        <v>111</v>
      </c>
      <c r="AM566">
        <v>0</v>
      </c>
      <c r="AN566">
        <v>0</v>
      </c>
      <c r="AO566">
        <v>0</v>
      </c>
      <c r="AP566" t="s">
        <v>111</v>
      </c>
      <c r="AQ566" t="s">
        <v>111</v>
      </c>
      <c r="AR566" t="s">
        <v>111</v>
      </c>
      <c r="AS566" t="s">
        <v>111</v>
      </c>
      <c r="AT566" t="s">
        <v>111</v>
      </c>
      <c r="AU566" t="s">
        <v>111</v>
      </c>
      <c r="AV566" t="s">
        <v>111</v>
      </c>
      <c r="AW566" t="s">
        <v>111</v>
      </c>
      <c r="AX566" t="s">
        <v>111</v>
      </c>
      <c r="AY566" t="s">
        <v>111</v>
      </c>
      <c r="AZ566" t="s">
        <v>111</v>
      </c>
      <c r="BA566" t="s">
        <v>111</v>
      </c>
      <c r="BB566" t="s">
        <v>111</v>
      </c>
      <c r="BC566" t="s">
        <v>111</v>
      </c>
      <c r="BD566" t="s">
        <v>111</v>
      </c>
      <c r="BE566" t="s">
        <v>111</v>
      </c>
      <c r="BF566" t="s">
        <v>111</v>
      </c>
      <c r="BG566" t="s">
        <v>111</v>
      </c>
      <c r="BH566" t="s">
        <v>111</v>
      </c>
      <c r="BI566" t="s">
        <v>111</v>
      </c>
      <c r="BJ566" t="s">
        <v>111</v>
      </c>
      <c r="BK566" t="s">
        <v>111</v>
      </c>
      <c r="BL566" t="s">
        <v>111</v>
      </c>
      <c r="BM566" t="s">
        <v>111</v>
      </c>
      <c r="BN566" t="s">
        <v>111</v>
      </c>
      <c r="BO566" t="s">
        <v>111</v>
      </c>
      <c r="BP566" t="s">
        <v>111</v>
      </c>
      <c r="BQ566" t="s">
        <v>111</v>
      </c>
      <c r="BR566" t="s">
        <v>111</v>
      </c>
      <c r="BS566" t="s">
        <v>111</v>
      </c>
      <c r="BT566" t="s">
        <v>111</v>
      </c>
      <c r="BU566" t="s">
        <v>111</v>
      </c>
      <c r="BV566" t="s">
        <v>111</v>
      </c>
      <c r="BW566" t="s">
        <v>111</v>
      </c>
      <c r="BX566" t="s">
        <v>111</v>
      </c>
      <c r="BY566" t="s">
        <v>111</v>
      </c>
      <c r="BZ566" t="s">
        <v>111</v>
      </c>
      <c r="CA566" t="s">
        <v>111</v>
      </c>
      <c r="CB566" t="s">
        <v>111</v>
      </c>
      <c r="CC566" t="s">
        <v>111</v>
      </c>
      <c r="CD566" t="s">
        <v>111</v>
      </c>
      <c r="CE566" t="s">
        <v>111</v>
      </c>
      <c r="CF566" t="s">
        <v>111</v>
      </c>
      <c r="CG566" t="s">
        <v>111</v>
      </c>
      <c r="CH566" t="s">
        <v>111</v>
      </c>
      <c r="CI566" t="s">
        <v>111</v>
      </c>
      <c r="CJ566" t="s">
        <v>111</v>
      </c>
      <c r="CK566" t="s">
        <v>111</v>
      </c>
      <c r="CL566" t="s">
        <v>111</v>
      </c>
      <c r="CM566">
        <v>450</v>
      </c>
      <c r="CN566" t="s">
        <v>113</v>
      </c>
      <c r="CO566" t="s">
        <v>111</v>
      </c>
      <c r="CP566" t="s">
        <v>111</v>
      </c>
      <c r="CQ566">
        <v>0</v>
      </c>
      <c r="CR566">
        <v>5000</v>
      </c>
      <c r="CS566">
        <v>200</v>
      </c>
      <c r="CT566" s="1" t="s">
        <v>2021</v>
      </c>
      <c r="CU566">
        <v>0</v>
      </c>
      <c r="CV566" t="s">
        <v>111</v>
      </c>
      <c r="CX566" t="s">
        <v>111</v>
      </c>
      <c r="CY566">
        <v>0</v>
      </c>
      <c r="CZ566" t="s">
        <v>111</v>
      </c>
      <c r="DA566" t="s">
        <v>111</v>
      </c>
      <c r="DB566" t="s">
        <v>111</v>
      </c>
      <c r="DC566" t="s">
        <v>111</v>
      </c>
    </row>
    <row r="567" spans="1:107">
      <c r="A567">
        <v>1711</v>
      </c>
      <c r="B567" t="s">
        <v>107</v>
      </c>
      <c r="C567" t="s">
        <v>793</v>
      </c>
      <c r="D567" t="s">
        <v>2022</v>
      </c>
      <c r="E567" t="s">
        <v>2023</v>
      </c>
      <c r="F567" t="s">
        <v>2024</v>
      </c>
      <c r="G567" t="s">
        <v>469</v>
      </c>
      <c r="H567">
        <v>2.2999999999999998</v>
      </c>
      <c r="I567">
        <v>40</v>
      </c>
      <c r="J567">
        <v>0</v>
      </c>
      <c r="K567">
        <v>0</v>
      </c>
      <c r="L567" t="s">
        <v>112</v>
      </c>
      <c r="M567" t="s">
        <v>118</v>
      </c>
      <c r="N567">
        <v>40</v>
      </c>
      <c r="O567">
        <v>2</v>
      </c>
      <c r="P567" t="s">
        <v>111</v>
      </c>
      <c r="Q567">
        <v>41.6</v>
      </c>
      <c r="R567">
        <v>0</v>
      </c>
      <c r="S567">
        <v>0</v>
      </c>
      <c r="T567">
        <v>0</v>
      </c>
      <c r="U567" s="1" t="s">
        <v>2025</v>
      </c>
      <c r="V567">
        <v>25</v>
      </c>
      <c r="W567">
        <v>0</v>
      </c>
      <c r="X567">
        <v>5</v>
      </c>
      <c r="Y567">
        <v>0</v>
      </c>
      <c r="Z567" t="s">
        <v>2026</v>
      </c>
      <c r="AA567">
        <v>1.2</v>
      </c>
      <c r="AB567" t="s">
        <v>111</v>
      </c>
      <c r="AC567">
        <v>0</v>
      </c>
      <c r="AD567" t="s">
        <v>111</v>
      </c>
      <c r="AE567">
        <v>0</v>
      </c>
      <c r="AF567">
        <v>0</v>
      </c>
      <c r="AG567" t="s">
        <v>111</v>
      </c>
      <c r="AH567" t="s">
        <v>111</v>
      </c>
      <c r="AI567" t="s">
        <v>111</v>
      </c>
      <c r="AJ567" t="s">
        <v>111</v>
      </c>
      <c r="AK567" t="s">
        <v>111</v>
      </c>
      <c r="AL567" t="s">
        <v>111</v>
      </c>
      <c r="AM567">
        <v>0</v>
      </c>
      <c r="AN567">
        <v>0</v>
      </c>
      <c r="AO567">
        <v>0</v>
      </c>
      <c r="AP567" t="s">
        <v>111</v>
      </c>
      <c r="AQ567" t="s">
        <v>111</v>
      </c>
      <c r="AR567" t="s">
        <v>111</v>
      </c>
      <c r="AS567" t="s">
        <v>111</v>
      </c>
      <c r="AT567" t="s">
        <v>111</v>
      </c>
      <c r="AU567" t="s">
        <v>111</v>
      </c>
      <c r="AV567" t="s">
        <v>111</v>
      </c>
      <c r="AW567" t="s">
        <v>111</v>
      </c>
      <c r="AX567" t="s">
        <v>111</v>
      </c>
      <c r="AY567" t="s">
        <v>111</v>
      </c>
      <c r="AZ567" t="s">
        <v>111</v>
      </c>
      <c r="BA567" t="s">
        <v>111</v>
      </c>
      <c r="BB567" t="s">
        <v>111</v>
      </c>
      <c r="BC567" t="s">
        <v>111</v>
      </c>
      <c r="BD567" t="s">
        <v>111</v>
      </c>
      <c r="BE567" t="s">
        <v>111</v>
      </c>
      <c r="BF567" t="s">
        <v>111</v>
      </c>
      <c r="BG567" t="s">
        <v>111</v>
      </c>
      <c r="BH567" t="s">
        <v>111</v>
      </c>
      <c r="BI567" t="s">
        <v>111</v>
      </c>
      <c r="BJ567" t="s">
        <v>111</v>
      </c>
      <c r="BK567" t="s">
        <v>111</v>
      </c>
      <c r="BL567" t="s">
        <v>111</v>
      </c>
      <c r="BM567" t="s">
        <v>111</v>
      </c>
      <c r="BN567" t="s">
        <v>111</v>
      </c>
      <c r="BO567" t="s">
        <v>111</v>
      </c>
      <c r="BP567" t="s">
        <v>111</v>
      </c>
      <c r="BQ567" t="s">
        <v>111</v>
      </c>
      <c r="BR567" t="s">
        <v>111</v>
      </c>
      <c r="BS567" t="s">
        <v>111</v>
      </c>
      <c r="BT567" t="s">
        <v>111</v>
      </c>
      <c r="BU567" t="s">
        <v>111</v>
      </c>
      <c r="BV567" t="s">
        <v>111</v>
      </c>
      <c r="BW567" t="s">
        <v>111</v>
      </c>
      <c r="BX567" t="s">
        <v>111</v>
      </c>
      <c r="BY567" t="s">
        <v>111</v>
      </c>
      <c r="BZ567" t="s">
        <v>111</v>
      </c>
      <c r="CA567" t="s">
        <v>111</v>
      </c>
      <c r="CB567" t="s">
        <v>111</v>
      </c>
      <c r="CC567" t="s">
        <v>111</v>
      </c>
      <c r="CD567" t="s">
        <v>111</v>
      </c>
      <c r="CE567" t="s">
        <v>111</v>
      </c>
      <c r="CF567" t="s">
        <v>111</v>
      </c>
      <c r="CG567" t="s">
        <v>111</v>
      </c>
      <c r="CH567" t="s">
        <v>111</v>
      </c>
      <c r="CI567" t="s">
        <v>111</v>
      </c>
      <c r="CJ567" t="s">
        <v>111</v>
      </c>
      <c r="CK567" t="s">
        <v>111</v>
      </c>
      <c r="CL567" t="s">
        <v>111</v>
      </c>
      <c r="CM567" t="s">
        <v>111</v>
      </c>
      <c r="CN567" t="s">
        <v>111</v>
      </c>
      <c r="CO567" t="s">
        <v>111</v>
      </c>
      <c r="CP567" t="s">
        <v>111</v>
      </c>
      <c r="CQ567">
        <v>0</v>
      </c>
      <c r="CR567">
        <v>0</v>
      </c>
      <c r="CS567">
        <v>0</v>
      </c>
      <c r="CT567" t="s">
        <v>111</v>
      </c>
      <c r="CU567">
        <v>0</v>
      </c>
      <c r="CV567" t="s">
        <v>111</v>
      </c>
      <c r="CX567" t="s">
        <v>111</v>
      </c>
      <c r="CY567">
        <v>0</v>
      </c>
      <c r="CZ567" t="s">
        <v>111</v>
      </c>
      <c r="DA567" t="s">
        <v>111</v>
      </c>
      <c r="DB567" t="s">
        <v>111</v>
      </c>
      <c r="DC567" t="s">
        <v>111</v>
      </c>
    </row>
    <row r="568" spans="1:107">
      <c r="A568">
        <v>1718</v>
      </c>
      <c r="B568" t="s">
        <v>107</v>
      </c>
      <c r="C568" t="s">
        <v>405</v>
      </c>
      <c r="D568" t="s">
        <v>2027</v>
      </c>
      <c r="E568" t="s">
        <v>2028</v>
      </c>
      <c r="F568" t="s">
        <v>157</v>
      </c>
      <c r="G568" t="s">
        <v>469</v>
      </c>
      <c r="H568">
        <v>0.9</v>
      </c>
      <c r="I568">
        <v>50</v>
      </c>
      <c r="J568">
        <v>0</v>
      </c>
      <c r="K568">
        <v>0</v>
      </c>
      <c r="L568" t="s">
        <v>112</v>
      </c>
      <c r="M568" t="s">
        <v>111</v>
      </c>
      <c r="N568">
        <v>0</v>
      </c>
      <c r="O568">
        <v>0</v>
      </c>
      <c r="P568" t="s">
        <v>111</v>
      </c>
      <c r="Q568">
        <v>47.2</v>
      </c>
      <c r="R568">
        <v>0</v>
      </c>
      <c r="S568">
        <v>0</v>
      </c>
      <c r="T568">
        <v>0</v>
      </c>
      <c r="U568" s="1" t="s">
        <v>2029</v>
      </c>
      <c r="V568">
        <v>0</v>
      </c>
      <c r="W568">
        <v>25</v>
      </c>
      <c r="X568">
        <v>5</v>
      </c>
      <c r="Y568">
        <v>0</v>
      </c>
      <c r="Z568" t="s">
        <v>111</v>
      </c>
      <c r="AA568">
        <v>0</v>
      </c>
      <c r="AB568" t="s">
        <v>111</v>
      </c>
      <c r="AC568">
        <v>0</v>
      </c>
      <c r="AD568" t="s">
        <v>111</v>
      </c>
      <c r="AE568">
        <v>0</v>
      </c>
      <c r="AF568">
        <v>0</v>
      </c>
      <c r="AG568" t="s">
        <v>111</v>
      </c>
      <c r="AH568" t="s">
        <v>111</v>
      </c>
      <c r="AI568" t="s">
        <v>111</v>
      </c>
      <c r="AJ568" t="s">
        <v>111</v>
      </c>
      <c r="AK568" t="s">
        <v>111</v>
      </c>
      <c r="AL568" t="s">
        <v>111</v>
      </c>
      <c r="AM568">
        <v>0</v>
      </c>
      <c r="AN568">
        <v>0</v>
      </c>
      <c r="AO568">
        <v>0</v>
      </c>
      <c r="AP568" t="s">
        <v>111</v>
      </c>
      <c r="AQ568" t="s">
        <v>111</v>
      </c>
      <c r="AR568" t="s">
        <v>111</v>
      </c>
      <c r="AS568" t="s">
        <v>111</v>
      </c>
      <c r="AT568" t="s">
        <v>111</v>
      </c>
      <c r="AU568" t="s">
        <v>111</v>
      </c>
      <c r="AV568" t="s">
        <v>111</v>
      </c>
      <c r="AW568" t="s">
        <v>111</v>
      </c>
      <c r="AX568" t="s">
        <v>111</v>
      </c>
      <c r="AY568" t="s">
        <v>111</v>
      </c>
      <c r="AZ568" t="s">
        <v>111</v>
      </c>
      <c r="BA568" t="s">
        <v>111</v>
      </c>
      <c r="BB568" t="s">
        <v>111</v>
      </c>
      <c r="BC568" t="s">
        <v>111</v>
      </c>
      <c r="BD568" t="s">
        <v>111</v>
      </c>
      <c r="BE568" t="s">
        <v>111</v>
      </c>
      <c r="BF568" t="s">
        <v>111</v>
      </c>
      <c r="BG568" t="s">
        <v>111</v>
      </c>
      <c r="BH568" t="s">
        <v>111</v>
      </c>
      <c r="BI568" t="s">
        <v>111</v>
      </c>
      <c r="BJ568" t="s">
        <v>111</v>
      </c>
      <c r="BK568" t="s">
        <v>111</v>
      </c>
      <c r="BL568" t="s">
        <v>111</v>
      </c>
      <c r="BM568" t="s">
        <v>111</v>
      </c>
      <c r="BN568" t="s">
        <v>111</v>
      </c>
      <c r="BO568" t="s">
        <v>111</v>
      </c>
      <c r="BP568" t="s">
        <v>111</v>
      </c>
      <c r="BQ568" t="s">
        <v>111</v>
      </c>
      <c r="BR568" t="s">
        <v>111</v>
      </c>
      <c r="BS568" t="s">
        <v>111</v>
      </c>
      <c r="BT568" t="s">
        <v>111</v>
      </c>
      <c r="BU568" t="s">
        <v>111</v>
      </c>
      <c r="BV568" t="s">
        <v>111</v>
      </c>
      <c r="BW568" t="s">
        <v>111</v>
      </c>
      <c r="BX568" t="s">
        <v>111</v>
      </c>
      <c r="BY568" t="s">
        <v>111</v>
      </c>
      <c r="BZ568" t="s">
        <v>111</v>
      </c>
      <c r="CA568" t="s">
        <v>111</v>
      </c>
      <c r="CB568" t="s">
        <v>111</v>
      </c>
      <c r="CC568" t="s">
        <v>111</v>
      </c>
      <c r="CD568" t="s">
        <v>111</v>
      </c>
      <c r="CE568" t="s">
        <v>111</v>
      </c>
      <c r="CF568" t="s">
        <v>111</v>
      </c>
      <c r="CG568" t="s">
        <v>111</v>
      </c>
      <c r="CH568" t="s">
        <v>111</v>
      </c>
      <c r="CI568" t="s">
        <v>111</v>
      </c>
      <c r="CJ568" t="s">
        <v>111</v>
      </c>
      <c r="CK568" t="s">
        <v>111</v>
      </c>
      <c r="CL568" t="s">
        <v>111</v>
      </c>
      <c r="CM568" t="s">
        <v>111</v>
      </c>
      <c r="CN568" t="s">
        <v>111</v>
      </c>
      <c r="CO568" t="s">
        <v>111</v>
      </c>
      <c r="CP568" t="s">
        <v>111</v>
      </c>
      <c r="CQ568">
        <v>0</v>
      </c>
      <c r="CR568">
        <v>0</v>
      </c>
      <c r="CS568">
        <v>0</v>
      </c>
      <c r="CT568" t="s">
        <v>111</v>
      </c>
      <c r="CU568">
        <v>0</v>
      </c>
      <c r="CV568" t="s">
        <v>111</v>
      </c>
      <c r="CX568" t="s">
        <v>111</v>
      </c>
      <c r="CY568">
        <v>0</v>
      </c>
      <c r="CZ568" t="s">
        <v>111</v>
      </c>
      <c r="DA568" t="s">
        <v>111</v>
      </c>
      <c r="DB568" t="s">
        <v>111</v>
      </c>
      <c r="DC568" t="s">
        <v>111</v>
      </c>
    </row>
    <row r="569" spans="1:107">
      <c r="A569">
        <v>1709</v>
      </c>
      <c r="B569" t="s">
        <v>107</v>
      </c>
      <c r="C569" t="s">
        <v>793</v>
      </c>
      <c r="D569" t="s">
        <v>2030</v>
      </c>
      <c r="E569" t="s">
        <v>2031</v>
      </c>
      <c r="F569" t="s">
        <v>1981</v>
      </c>
      <c r="G569" t="s">
        <v>469</v>
      </c>
      <c r="H569">
        <v>1.4</v>
      </c>
      <c r="I569">
        <v>25</v>
      </c>
      <c r="J569">
        <v>0</v>
      </c>
      <c r="K569">
        <v>0</v>
      </c>
      <c r="L569" t="s">
        <v>112</v>
      </c>
      <c r="M569" t="s">
        <v>118</v>
      </c>
      <c r="N569">
        <v>40</v>
      </c>
      <c r="O569">
        <v>2</v>
      </c>
      <c r="P569" t="s">
        <v>111</v>
      </c>
      <c r="Q569">
        <v>36.6</v>
      </c>
      <c r="R569">
        <v>0</v>
      </c>
      <c r="S569">
        <v>0</v>
      </c>
      <c r="T569">
        <v>0</v>
      </c>
      <c r="U569" s="1" t="s">
        <v>2032</v>
      </c>
      <c r="V569">
        <v>25</v>
      </c>
      <c r="W569">
        <v>0</v>
      </c>
      <c r="X569">
        <v>5</v>
      </c>
      <c r="Y569">
        <v>0</v>
      </c>
      <c r="Z569" t="s">
        <v>772</v>
      </c>
      <c r="AA569">
        <v>1.5</v>
      </c>
      <c r="AB569" t="s">
        <v>111</v>
      </c>
      <c r="AC569">
        <v>0</v>
      </c>
      <c r="AD569" t="s">
        <v>111</v>
      </c>
      <c r="AE569">
        <v>0</v>
      </c>
      <c r="AF569">
        <v>0</v>
      </c>
      <c r="AG569" t="s">
        <v>111</v>
      </c>
      <c r="AH569" t="s">
        <v>111</v>
      </c>
      <c r="AI569" t="s">
        <v>111</v>
      </c>
      <c r="AJ569" t="s">
        <v>111</v>
      </c>
      <c r="AK569" t="s">
        <v>111</v>
      </c>
      <c r="AL569" t="s">
        <v>111</v>
      </c>
      <c r="AM569">
        <v>0</v>
      </c>
      <c r="AN569">
        <v>0</v>
      </c>
      <c r="AO569">
        <v>0</v>
      </c>
      <c r="AP569" t="s">
        <v>111</v>
      </c>
      <c r="AQ569" t="s">
        <v>111</v>
      </c>
      <c r="AR569" t="s">
        <v>111</v>
      </c>
      <c r="AS569" t="s">
        <v>111</v>
      </c>
      <c r="AT569" t="s">
        <v>111</v>
      </c>
      <c r="AU569" t="s">
        <v>111</v>
      </c>
      <c r="AV569" t="s">
        <v>111</v>
      </c>
      <c r="AW569" t="s">
        <v>111</v>
      </c>
      <c r="AX569" t="s">
        <v>111</v>
      </c>
      <c r="AY569" t="s">
        <v>111</v>
      </c>
      <c r="AZ569" t="s">
        <v>111</v>
      </c>
      <c r="BA569" t="s">
        <v>111</v>
      </c>
      <c r="BB569" t="s">
        <v>111</v>
      </c>
      <c r="BC569" t="s">
        <v>111</v>
      </c>
      <c r="BD569" t="s">
        <v>111</v>
      </c>
      <c r="BE569" t="s">
        <v>111</v>
      </c>
      <c r="BF569" t="s">
        <v>111</v>
      </c>
      <c r="BG569" t="s">
        <v>111</v>
      </c>
      <c r="BH569" t="s">
        <v>111</v>
      </c>
      <c r="BI569" t="s">
        <v>111</v>
      </c>
      <c r="BJ569" t="s">
        <v>111</v>
      </c>
      <c r="BK569" t="s">
        <v>111</v>
      </c>
      <c r="BL569" t="s">
        <v>111</v>
      </c>
      <c r="BM569" t="s">
        <v>111</v>
      </c>
      <c r="BN569" t="s">
        <v>111</v>
      </c>
      <c r="BO569" t="s">
        <v>111</v>
      </c>
      <c r="BP569" t="s">
        <v>111</v>
      </c>
      <c r="BQ569" t="s">
        <v>111</v>
      </c>
      <c r="BR569" t="s">
        <v>111</v>
      </c>
      <c r="BS569" t="s">
        <v>111</v>
      </c>
      <c r="BT569" t="s">
        <v>111</v>
      </c>
      <c r="BU569" t="s">
        <v>111</v>
      </c>
      <c r="BV569" t="s">
        <v>111</v>
      </c>
      <c r="BW569" t="s">
        <v>111</v>
      </c>
      <c r="BX569" t="s">
        <v>111</v>
      </c>
      <c r="BY569" t="s">
        <v>111</v>
      </c>
      <c r="BZ569" t="s">
        <v>111</v>
      </c>
      <c r="CA569" t="s">
        <v>111</v>
      </c>
      <c r="CB569" t="s">
        <v>111</v>
      </c>
      <c r="CC569" t="s">
        <v>111</v>
      </c>
      <c r="CD569" t="s">
        <v>111</v>
      </c>
      <c r="CE569" t="s">
        <v>111</v>
      </c>
      <c r="CF569" t="s">
        <v>111</v>
      </c>
      <c r="CG569" t="s">
        <v>111</v>
      </c>
      <c r="CH569" t="s">
        <v>111</v>
      </c>
      <c r="CI569" t="s">
        <v>111</v>
      </c>
      <c r="CJ569" t="s">
        <v>111</v>
      </c>
      <c r="CK569" t="s">
        <v>111</v>
      </c>
      <c r="CL569" t="s">
        <v>111</v>
      </c>
      <c r="CM569" t="s">
        <v>111</v>
      </c>
      <c r="CN569" t="s">
        <v>111</v>
      </c>
      <c r="CO569" t="s">
        <v>111</v>
      </c>
      <c r="CP569" t="s">
        <v>111</v>
      </c>
      <c r="CQ569">
        <v>0</v>
      </c>
      <c r="CR569">
        <v>0</v>
      </c>
      <c r="CS569">
        <v>0</v>
      </c>
      <c r="CT569" t="s">
        <v>111</v>
      </c>
      <c r="CU569">
        <v>0</v>
      </c>
      <c r="CV569" t="s">
        <v>111</v>
      </c>
      <c r="CX569" t="s">
        <v>111</v>
      </c>
      <c r="CY569">
        <v>0</v>
      </c>
      <c r="CZ569" t="s">
        <v>111</v>
      </c>
      <c r="DA569" t="s">
        <v>111</v>
      </c>
      <c r="DB569" t="s">
        <v>111</v>
      </c>
      <c r="DC569" t="s">
        <v>111</v>
      </c>
    </row>
    <row r="570" spans="1:107">
      <c r="A570">
        <v>1708</v>
      </c>
      <c r="B570" t="s">
        <v>107</v>
      </c>
      <c r="C570" t="s">
        <v>2006</v>
      </c>
      <c r="D570" t="s">
        <v>967</v>
      </c>
      <c r="E570" t="s">
        <v>2033</v>
      </c>
      <c r="F570" t="s">
        <v>431</v>
      </c>
      <c r="G570" t="s">
        <v>469</v>
      </c>
      <c r="H570">
        <v>1.4</v>
      </c>
      <c r="I570">
        <v>88</v>
      </c>
      <c r="J570">
        <v>0</v>
      </c>
      <c r="K570">
        <v>0</v>
      </c>
      <c r="L570" t="s">
        <v>117</v>
      </c>
      <c r="M570" t="s">
        <v>118</v>
      </c>
      <c r="N570">
        <v>39</v>
      </c>
      <c r="O570">
        <v>1</v>
      </c>
      <c r="P570" t="s">
        <v>111</v>
      </c>
      <c r="Q570">
        <v>19</v>
      </c>
      <c r="R570">
        <v>0</v>
      </c>
      <c r="S570">
        <v>0</v>
      </c>
      <c r="T570">
        <v>5</v>
      </c>
      <c r="U570" s="1" t="s">
        <v>662</v>
      </c>
      <c r="V570">
        <v>0</v>
      </c>
      <c r="W570">
        <v>25</v>
      </c>
      <c r="X570">
        <v>8</v>
      </c>
      <c r="Y570">
        <v>0</v>
      </c>
      <c r="Z570" t="s">
        <v>111</v>
      </c>
      <c r="AA570">
        <v>0</v>
      </c>
      <c r="AB570" t="s">
        <v>111</v>
      </c>
      <c r="AC570">
        <v>0</v>
      </c>
      <c r="AD570" t="s">
        <v>416</v>
      </c>
      <c r="AE570">
        <v>0</v>
      </c>
      <c r="AF570">
        <v>0</v>
      </c>
      <c r="AG570" t="s">
        <v>111</v>
      </c>
      <c r="AH570" t="s">
        <v>113</v>
      </c>
      <c r="AI570" t="s">
        <v>111</v>
      </c>
      <c r="AJ570" t="s">
        <v>111</v>
      </c>
      <c r="AK570" t="s">
        <v>111</v>
      </c>
      <c r="AL570" t="s">
        <v>111</v>
      </c>
      <c r="AM570">
        <v>0</v>
      </c>
      <c r="AN570">
        <v>0</v>
      </c>
      <c r="AO570">
        <v>0</v>
      </c>
      <c r="AP570" t="s">
        <v>111</v>
      </c>
      <c r="AQ570" t="s">
        <v>111</v>
      </c>
      <c r="AR570" t="s">
        <v>111</v>
      </c>
      <c r="AS570" t="s">
        <v>111</v>
      </c>
      <c r="AT570" t="s">
        <v>111</v>
      </c>
      <c r="AU570" t="s">
        <v>111</v>
      </c>
      <c r="AV570" t="s">
        <v>111</v>
      </c>
      <c r="AW570" t="s">
        <v>111</v>
      </c>
      <c r="AX570" t="s">
        <v>111</v>
      </c>
      <c r="AY570" t="s">
        <v>111</v>
      </c>
      <c r="AZ570" t="s">
        <v>111</v>
      </c>
      <c r="BA570" t="s">
        <v>111</v>
      </c>
      <c r="BB570" t="s">
        <v>111</v>
      </c>
      <c r="BC570" t="s">
        <v>111</v>
      </c>
      <c r="BD570" t="s">
        <v>111</v>
      </c>
      <c r="BE570" t="s">
        <v>111</v>
      </c>
      <c r="BF570" t="s">
        <v>111</v>
      </c>
      <c r="BG570" t="s">
        <v>111</v>
      </c>
      <c r="BH570" t="s">
        <v>111</v>
      </c>
      <c r="BI570" t="s">
        <v>111</v>
      </c>
      <c r="BJ570" t="s">
        <v>111</v>
      </c>
      <c r="BK570" t="s">
        <v>111</v>
      </c>
      <c r="BL570" t="s">
        <v>111</v>
      </c>
      <c r="BM570" t="s">
        <v>111</v>
      </c>
      <c r="BN570" t="s">
        <v>111</v>
      </c>
      <c r="BO570" t="s">
        <v>111</v>
      </c>
      <c r="BP570" t="s">
        <v>111</v>
      </c>
      <c r="BQ570" t="s">
        <v>111</v>
      </c>
      <c r="BR570" t="s">
        <v>111</v>
      </c>
      <c r="BS570" t="s">
        <v>111</v>
      </c>
      <c r="BT570" t="s">
        <v>111</v>
      </c>
      <c r="BU570" t="s">
        <v>111</v>
      </c>
      <c r="BV570" t="s">
        <v>111</v>
      </c>
      <c r="BW570" t="s">
        <v>111</v>
      </c>
      <c r="BX570" t="s">
        <v>111</v>
      </c>
      <c r="BY570" t="s">
        <v>111</v>
      </c>
      <c r="BZ570" t="s">
        <v>111</v>
      </c>
      <c r="CA570" t="s">
        <v>111</v>
      </c>
      <c r="CB570" t="s">
        <v>111</v>
      </c>
      <c r="CC570" t="s">
        <v>111</v>
      </c>
      <c r="CD570" t="s">
        <v>111</v>
      </c>
      <c r="CE570" t="s">
        <v>111</v>
      </c>
      <c r="CF570" t="s">
        <v>111</v>
      </c>
      <c r="CG570" t="s">
        <v>111</v>
      </c>
      <c r="CH570" t="s">
        <v>111</v>
      </c>
      <c r="CI570" t="s">
        <v>111</v>
      </c>
      <c r="CJ570" t="s">
        <v>111</v>
      </c>
      <c r="CK570" t="s">
        <v>111</v>
      </c>
      <c r="CL570" t="s">
        <v>111</v>
      </c>
      <c r="CM570" t="s">
        <v>135</v>
      </c>
      <c r="CN570" t="s">
        <v>113</v>
      </c>
      <c r="CO570" t="s">
        <v>111</v>
      </c>
      <c r="CP570" t="s">
        <v>111</v>
      </c>
      <c r="CQ570">
        <v>0</v>
      </c>
      <c r="CR570">
        <v>4000</v>
      </c>
      <c r="CS570">
        <v>200</v>
      </c>
      <c r="CT570" t="e">
        <f>-ALMACEN</f>
        <v>#NAME?</v>
      </c>
      <c r="CU570">
        <v>0</v>
      </c>
      <c r="CV570" t="s">
        <v>111</v>
      </c>
      <c r="CX570" t="s">
        <v>111</v>
      </c>
      <c r="CY570">
        <v>0</v>
      </c>
      <c r="CZ570" t="s">
        <v>111</v>
      </c>
      <c r="DA570" t="s">
        <v>111</v>
      </c>
      <c r="DB570" t="s">
        <v>111</v>
      </c>
      <c r="DC570" t="s">
        <v>111</v>
      </c>
    </row>
    <row r="571" spans="1:107">
      <c r="A571">
        <v>2049</v>
      </c>
      <c r="B571" t="s">
        <v>376</v>
      </c>
      <c r="C571" t="s">
        <v>421</v>
      </c>
      <c r="D571" t="s">
        <v>2034</v>
      </c>
      <c r="E571" t="s">
        <v>2035</v>
      </c>
      <c r="F571" t="s">
        <v>2036</v>
      </c>
      <c r="G571" t="s">
        <v>469</v>
      </c>
      <c r="H571">
        <v>2.9</v>
      </c>
      <c r="I571">
        <v>55</v>
      </c>
      <c r="J571">
        <v>0</v>
      </c>
      <c r="K571">
        <v>0</v>
      </c>
      <c r="L571" t="s">
        <v>112</v>
      </c>
      <c r="M571" t="s">
        <v>118</v>
      </c>
      <c r="N571">
        <v>39</v>
      </c>
      <c r="O571">
        <v>1</v>
      </c>
      <c r="P571" t="s">
        <v>111</v>
      </c>
      <c r="Q571">
        <v>45</v>
      </c>
      <c r="R571">
        <v>0</v>
      </c>
      <c r="S571">
        <v>0</v>
      </c>
      <c r="T571">
        <v>5</v>
      </c>
      <c r="U571" s="1" t="s">
        <v>2037</v>
      </c>
      <c r="V571">
        <v>0</v>
      </c>
      <c r="W571">
        <v>25</v>
      </c>
      <c r="X571">
        <v>8</v>
      </c>
      <c r="Y571">
        <v>0</v>
      </c>
      <c r="Z571" t="s">
        <v>184</v>
      </c>
      <c r="AA571">
        <v>300</v>
      </c>
      <c r="AB571" t="s">
        <v>2038</v>
      </c>
      <c r="AC571">
        <v>0</v>
      </c>
      <c r="AD571" t="s">
        <v>427</v>
      </c>
      <c r="AE571">
        <v>0</v>
      </c>
      <c r="AF571">
        <v>0</v>
      </c>
      <c r="AG571" t="s">
        <v>111</v>
      </c>
      <c r="AH571" t="s">
        <v>111</v>
      </c>
      <c r="AI571" t="s">
        <v>111</v>
      </c>
      <c r="AJ571" t="s">
        <v>111</v>
      </c>
      <c r="AK571" t="s">
        <v>111</v>
      </c>
      <c r="AL571" t="s">
        <v>111</v>
      </c>
      <c r="AM571">
        <v>0</v>
      </c>
      <c r="AN571">
        <v>0</v>
      </c>
      <c r="AO571">
        <v>0</v>
      </c>
      <c r="AP571" t="s">
        <v>111</v>
      </c>
      <c r="AQ571" t="s">
        <v>111</v>
      </c>
      <c r="AR571" t="s">
        <v>111</v>
      </c>
      <c r="AS571" t="s">
        <v>111</v>
      </c>
      <c r="AT571" t="s">
        <v>111</v>
      </c>
      <c r="AU571" t="s">
        <v>111</v>
      </c>
      <c r="AV571" t="s">
        <v>111</v>
      </c>
      <c r="AW571" t="s">
        <v>111</v>
      </c>
      <c r="AX571" t="s">
        <v>111</v>
      </c>
      <c r="AY571" t="s">
        <v>111</v>
      </c>
      <c r="AZ571" t="s">
        <v>111</v>
      </c>
      <c r="BA571" t="s">
        <v>111</v>
      </c>
      <c r="BB571" t="s">
        <v>111</v>
      </c>
      <c r="BC571" t="s">
        <v>111</v>
      </c>
      <c r="BD571" t="s">
        <v>111</v>
      </c>
      <c r="BE571" t="s">
        <v>111</v>
      </c>
      <c r="BF571" t="s">
        <v>111</v>
      </c>
      <c r="BG571" t="s">
        <v>111</v>
      </c>
      <c r="BH571" t="s">
        <v>111</v>
      </c>
      <c r="BI571" t="s">
        <v>111</v>
      </c>
      <c r="BJ571" t="s">
        <v>111</v>
      </c>
      <c r="BK571" t="s">
        <v>111</v>
      </c>
      <c r="BL571" t="s">
        <v>111</v>
      </c>
      <c r="BM571" t="s">
        <v>111</v>
      </c>
      <c r="BN571" t="s">
        <v>111</v>
      </c>
      <c r="BO571" t="s">
        <v>111</v>
      </c>
      <c r="BP571" t="s">
        <v>111</v>
      </c>
      <c r="BQ571" t="s">
        <v>111</v>
      </c>
      <c r="BR571" t="s">
        <v>111</v>
      </c>
      <c r="BS571" t="s">
        <v>111</v>
      </c>
      <c r="BT571" t="s">
        <v>111</v>
      </c>
      <c r="BU571" t="s">
        <v>111</v>
      </c>
      <c r="BV571" t="s">
        <v>111</v>
      </c>
      <c r="BW571" t="s">
        <v>111</v>
      </c>
      <c r="BX571" t="s">
        <v>111</v>
      </c>
      <c r="BY571" t="s">
        <v>111</v>
      </c>
      <c r="BZ571" t="s">
        <v>111</v>
      </c>
      <c r="CA571" t="s">
        <v>111</v>
      </c>
      <c r="CB571" t="s">
        <v>111</v>
      </c>
      <c r="CC571" t="s">
        <v>111</v>
      </c>
      <c r="CD571" t="s">
        <v>111</v>
      </c>
      <c r="CE571" t="s">
        <v>111</v>
      </c>
      <c r="CF571" t="s">
        <v>111</v>
      </c>
      <c r="CG571" t="s">
        <v>111</v>
      </c>
      <c r="CH571" t="s">
        <v>111</v>
      </c>
      <c r="CI571" t="s">
        <v>111</v>
      </c>
      <c r="CJ571" t="s">
        <v>111</v>
      </c>
      <c r="CK571" t="s">
        <v>111</v>
      </c>
      <c r="CL571" t="s">
        <v>111</v>
      </c>
      <c r="CM571" t="s">
        <v>111</v>
      </c>
      <c r="CN571" t="s">
        <v>111</v>
      </c>
      <c r="CO571" t="s">
        <v>111</v>
      </c>
      <c r="CP571" t="s">
        <v>111</v>
      </c>
      <c r="CQ571">
        <v>0</v>
      </c>
      <c r="CR571">
        <v>0</v>
      </c>
      <c r="CS571">
        <v>0</v>
      </c>
      <c r="CT571" t="s">
        <v>111</v>
      </c>
      <c r="CU571">
        <v>0</v>
      </c>
      <c r="CV571" t="s">
        <v>111</v>
      </c>
      <c r="CX571" t="s">
        <v>111</v>
      </c>
      <c r="CY571">
        <v>0</v>
      </c>
      <c r="CZ571" t="s">
        <v>111</v>
      </c>
      <c r="DA571" t="s">
        <v>111</v>
      </c>
      <c r="DB571" t="e">
        <f>- EXTERNO</f>
        <v>#NAME?</v>
      </c>
      <c r="DC571" s="1" t="s">
        <v>2039</v>
      </c>
    </row>
    <row r="572" spans="1:107">
      <c r="A572">
        <v>1703</v>
      </c>
      <c r="B572" t="s">
        <v>107</v>
      </c>
      <c r="C572" t="s">
        <v>405</v>
      </c>
      <c r="D572" t="s">
        <v>2040</v>
      </c>
      <c r="E572" t="s">
        <v>2041</v>
      </c>
      <c r="F572" t="s">
        <v>116</v>
      </c>
      <c r="G572" t="s">
        <v>469</v>
      </c>
      <c r="H572">
        <v>2.4</v>
      </c>
      <c r="I572">
        <v>90</v>
      </c>
      <c r="J572">
        <v>0</v>
      </c>
      <c r="K572">
        <v>0</v>
      </c>
      <c r="L572" t="s">
        <v>117</v>
      </c>
      <c r="M572" t="s">
        <v>118</v>
      </c>
      <c r="N572">
        <v>39</v>
      </c>
      <c r="O572">
        <v>1</v>
      </c>
      <c r="P572" t="s">
        <v>111</v>
      </c>
      <c r="Q572">
        <v>33</v>
      </c>
      <c r="R572">
        <v>0</v>
      </c>
      <c r="S572">
        <v>0</v>
      </c>
      <c r="T572">
        <v>0</v>
      </c>
      <c r="U572" s="1" t="s">
        <v>2042</v>
      </c>
      <c r="V572">
        <v>0</v>
      </c>
      <c r="W572">
        <v>25</v>
      </c>
      <c r="X572">
        <v>5</v>
      </c>
      <c r="Y572">
        <v>0</v>
      </c>
      <c r="Z572" t="s">
        <v>288</v>
      </c>
      <c r="AA572">
        <v>1.5</v>
      </c>
      <c r="AB572" t="s">
        <v>111</v>
      </c>
      <c r="AC572">
        <v>0</v>
      </c>
      <c r="AD572" t="s">
        <v>111</v>
      </c>
      <c r="AE572">
        <v>0</v>
      </c>
      <c r="AF572">
        <v>0</v>
      </c>
      <c r="AG572" t="s">
        <v>111</v>
      </c>
      <c r="AH572" t="s">
        <v>111</v>
      </c>
      <c r="AI572" t="s">
        <v>111</v>
      </c>
      <c r="AJ572" t="s">
        <v>111</v>
      </c>
      <c r="AK572" t="s">
        <v>111</v>
      </c>
      <c r="AL572" t="s">
        <v>111</v>
      </c>
      <c r="AM572">
        <v>0</v>
      </c>
      <c r="AN572">
        <v>0</v>
      </c>
      <c r="AO572">
        <v>0</v>
      </c>
      <c r="AP572" t="s">
        <v>111</v>
      </c>
      <c r="AQ572" t="s">
        <v>111</v>
      </c>
      <c r="AR572" t="s">
        <v>111</v>
      </c>
      <c r="AS572" t="s">
        <v>111</v>
      </c>
      <c r="AT572" t="s">
        <v>111</v>
      </c>
      <c r="AU572" t="s">
        <v>111</v>
      </c>
      <c r="AV572" t="s">
        <v>111</v>
      </c>
      <c r="AW572" t="s">
        <v>111</v>
      </c>
      <c r="AX572" t="s">
        <v>111</v>
      </c>
      <c r="AY572" t="s">
        <v>111</v>
      </c>
      <c r="AZ572" t="s">
        <v>111</v>
      </c>
      <c r="BA572" t="s">
        <v>111</v>
      </c>
      <c r="BB572" t="s">
        <v>111</v>
      </c>
      <c r="BC572" t="s">
        <v>111</v>
      </c>
      <c r="BD572" t="s">
        <v>111</v>
      </c>
      <c r="BE572" t="s">
        <v>111</v>
      </c>
      <c r="BF572" t="s">
        <v>111</v>
      </c>
      <c r="BG572" t="s">
        <v>111</v>
      </c>
      <c r="BH572" t="s">
        <v>111</v>
      </c>
      <c r="BI572" t="s">
        <v>111</v>
      </c>
      <c r="BJ572" t="s">
        <v>111</v>
      </c>
      <c r="BK572" t="s">
        <v>111</v>
      </c>
      <c r="BL572" t="s">
        <v>111</v>
      </c>
      <c r="BM572" t="s">
        <v>111</v>
      </c>
      <c r="BN572" t="s">
        <v>111</v>
      </c>
      <c r="BO572" t="s">
        <v>111</v>
      </c>
      <c r="BP572" t="s">
        <v>111</v>
      </c>
      <c r="BQ572" t="s">
        <v>111</v>
      </c>
      <c r="BR572" t="s">
        <v>111</v>
      </c>
      <c r="BS572" t="s">
        <v>111</v>
      </c>
      <c r="BT572" t="s">
        <v>111</v>
      </c>
      <c r="BU572" t="s">
        <v>111</v>
      </c>
      <c r="BV572" t="s">
        <v>111</v>
      </c>
      <c r="BW572" t="s">
        <v>111</v>
      </c>
      <c r="BX572" t="s">
        <v>111</v>
      </c>
      <c r="BY572" t="s">
        <v>111</v>
      </c>
      <c r="BZ572" t="s">
        <v>111</v>
      </c>
      <c r="CA572" t="s">
        <v>111</v>
      </c>
      <c r="CB572" t="s">
        <v>111</v>
      </c>
      <c r="CC572" t="s">
        <v>111</v>
      </c>
      <c r="CD572" t="s">
        <v>111</v>
      </c>
      <c r="CE572" t="s">
        <v>111</v>
      </c>
      <c r="CF572" t="s">
        <v>111</v>
      </c>
      <c r="CG572" t="s">
        <v>111</v>
      </c>
      <c r="CH572" t="s">
        <v>111</v>
      </c>
      <c r="CI572" t="s">
        <v>111</v>
      </c>
      <c r="CJ572" t="s">
        <v>111</v>
      </c>
      <c r="CK572" t="s">
        <v>111</v>
      </c>
      <c r="CL572" t="s">
        <v>111</v>
      </c>
      <c r="CM572" t="s">
        <v>111</v>
      </c>
      <c r="CN572" t="s">
        <v>111</v>
      </c>
      <c r="CO572" t="s">
        <v>111</v>
      </c>
      <c r="CP572" t="s">
        <v>111</v>
      </c>
      <c r="CQ572">
        <v>0</v>
      </c>
      <c r="CR572">
        <v>0</v>
      </c>
      <c r="CS572">
        <v>0</v>
      </c>
      <c r="CT572" t="s">
        <v>111</v>
      </c>
      <c r="CU572">
        <v>0</v>
      </c>
      <c r="CV572" t="s">
        <v>111</v>
      </c>
      <c r="CX572" t="s">
        <v>111</v>
      </c>
      <c r="CY572">
        <v>0</v>
      </c>
      <c r="CZ572" t="s">
        <v>111</v>
      </c>
      <c r="DA572" t="s">
        <v>111</v>
      </c>
      <c r="DB572" t="s">
        <v>111</v>
      </c>
      <c r="DC572" t="s">
        <v>111</v>
      </c>
    </row>
    <row r="573" spans="1:107">
      <c r="A573">
        <v>1702</v>
      </c>
      <c r="B573" t="s">
        <v>107</v>
      </c>
      <c r="C573" t="s">
        <v>405</v>
      </c>
      <c r="D573" t="s">
        <v>2043</v>
      </c>
      <c r="E573" t="s">
        <v>2044</v>
      </c>
      <c r="F573" t="s">
        <v>996</v>
      </c>
      <c r="G573" t="s">
        <v>469</v>
      </c>
      <c r="H573">
        <v>5</v>
      </c>
      <c r="I573">
        <v>37</v>
      </c>
      <c r="J573">
        <v>0</v>
      </c>
      <c r="K573">
        <v>0</v>
      </c>
      <c r="L573" t="s">
        <v>2045</v>
      </c>
      <c r="M573" t="s">
        <v>138</v>
      </c>
      <c r="N573">
        <v>0</v>
      </c>
      <c r="O573">
        <v>0</v>
      </c>
      <c r="P573" t="s">
        <v>111</v>
      </c>
      <c r="Q573">
        <v>44</v>
      </c>
      <c r="R573">
        <v>0</v>
      </c>
      <c r="S573">
        <v>0</v>
      </c>
      <c r="T573">
        <v>0</v>
      </c>
      <c r="U573" s="1" t="s">
        <v>2046</v>
      </c>
      <c r="V573">
        <v>0</v>
      </c>
      <c r="W573">
        <v>25</v>
      </c>
      <c r="X573">
        <v>5</v>
      </c>
      <c r="Y573">
        <v>0</v>
      </c>
      <c r="Z573" t="s">
        <v>288</v>
      </c>
      <c r="AA573">
        <v>1</v>
      </c>
      <c r="AB573" t="s">
        <v>111</v>
      </c>
      <c r="AC573">
        <v>0</v>
      </c>
      <c r="AD573" t="s">
        <v>111</v>
      </c>
      <c r="AE573">
        <v>0</v>
      </c>
      <c r="AF573">
        <v>0</v>
      </c>
      <c r="AG573" t="s">
        <v>111</v>
      </c>
      <c r="AH573" t="s">
        <v>111</v>
      </c>
      <c r="AI573" t="s">
        <v>111</v>
      </c>
      <c r="AJ573" t="s">
        <v>111</v>
      </c>
      <c r="AK573" t="s">
        <v>111</v>
      </c>
      <c r="AL573" t="s">
        <v>111</v>
      </c>
      <c r="AM573">
        <v>0</v>
      </c>
      <c r="AN573">
        <v>0</v>
      </c>
      <c r="AO573">
        <v>0</v>
      </c>
      <c r="AP573" t="s">
        <v>111</v>
      </c>
      <c r="AQ573" t="s">
        <v>111</v>
      </c>
      <c r="AR573" t="s">
        <v>111</v>
      </c>
      <c r="AS573" t="s">
        <v>111</v>
      </c>
      <c r="AT573" t="s">
        <v>111</v>
      </c>
      <c r="AU573" t="s">
        <v>111</v>
      </c>
      <c r="AV573" t="s">
        <v>111</v>
      </c>
      <c r="AW573" t="s">
        <v>111</v>
      </c>
      <c r="AX573" t="s">
        <v>111</v>
      </c>
      <c r="AY573" t="s">
        <v>111</v>
      </c>
      <c r="AZ573" t="s">
        <v>111</v>
      </c>
      <c r="BA573" t="s">
        <v>111</v>
      </c>
      <c r="BB573" t="s">
        <v>111</v>
      </c>
      <c r="BC573" t="s">
        <v>111</v>
      </c>
      <c r="BD573" t="s">
        <v>111</v>
      </c>
      <c r="BE573" t="s">
        <v>111</v>
      </c>
      <c r="BF573" t="s">
        <v>111</v>
      </c>
      <c r="BG573" t="s">
        <v>111</v>
      </c>
      <c r="BH573" t="s">
        <v>111</v>
      </c>
      <c r="BI573" t="s">
        <v>111</v>
      </c>
      <c r="BJ573" t="s">
        <v>111</v>
      </c>
      <c r="BK573" t="s">
        <v>111</v>
      </c>
      <c r="BL573" t="s">
        <v>111</v>
      </c>
      <c r="BM573" t="s">
        <v>111</v>
      </c>
      <c r="BN573" t="s">
        <v>111</v>
      </c>
      <c r="BO573" t="s">
        <v>111</v>
      </c>
      <c r="BP573" t="s">
        <v>111</v>
      </c>
      <c r="BQ573" t="s">
        <v>111</v>
      </c>
      <c r="BR573" t="s">
        <v>111</v>
      </c>
      <c r="BS573" t="s">
        <v>111</v>
      </c>
      <c r="BT573" t="s">
        <v>111</v>
      </c>
      <c r="BU573" t="s">
        <v>111</v>
      </c>
      <c r="BV573" t="s">
        <v>111</v>
      </c>
      <c r="BW573" t="s">
        <v>111</v>
      </c>
      <c r="BX573" t="s">
        <v>111</v>
      </c>
      <c r="BY573" t="s">
        <v>111</v>
      </c>
      <c r="BZ573" t="s">
        <v>111</v>
      </c>
      <c r="CA573" t="s">
        <v>111</v>
      </c>
      <c r="CB573" t="s">
        <v>111</v>
      </c>
      <c r="CC573" t="s">
        <v>111</v>
      </c>
      <c r="CD573" t="s">
        <v>111</v>
      </c>
      <c r="CE573" t="s">
        <v>111</v>
      </c>
      <c r="CF573" t="s">
        <v>111</v>
      </c>
      <c r="CG573" t="s">
        <v>111</v>
      </c>
      <c r="CH573" t="s">
        <v>111</v>
      </c>
      <c r="CI573" t="s">
        <v>111</v>
      </c>
      <c r="CJ573" t="s">
        <v>111</v>
      </c>
      <c r="CK573" t="s">
        <v>111</v>
      </c>
      <c r="CL573" t="s">
        <v>111</v>
      </c>
      <c r="CM573" t="s">
        <v>111</v>
      </c>
      <c r="CN573" t="s">
        <v>111</v>
      </c>
      <c r="CO573" t="s">
        <v>111</v>
      </c>
      <c r="CP573" t="s">
        <v>111</v>
      </c>
      <c r="CQ573">
        <v>0</v>
      </c>
      <c r="CR573">
        <v>0</v>
      </c>
      <c r="CS573">
        <v>0</v>
      </c>
      <c r="CT573" t="s">
        <v>111</v>
      </c>
      <c r="CU573">
        <v>0</v>
      </c>
      <c r="CV573" t="s">
        <v>111</v>
      </c>
      <c r="CX573" t="s">
        <v>111</v>
      </c>
      <c r="CY573">
        <v>0</v>
      </c>
      <c r="CZ573" t="s">
        <v>111</v>
      </c>
      <c r="DA573" t="s">
        <v>111</v>
      </c>
      <c r="DB573" t="s">
        <v>111</v>
      </c>
      <c r="DC573" t="s">
        <v>111</v>
      </c>
    </row>
    <row r="574" spans="1:107">
      <c r="A574">
        <v>1657</v>
      </c>
      <c r="B574" t="s">
        <v>107</v>
      </c>
      <c r="C574" t="s">
        <v>412</v>
      </c>
      <c r="D574" t="s">
        <v>1064</v>
      </c>
      <c r="E574" t="s">
        <v>2047</v>
      </c>
      <c r="F574" t="s">
        <v>358</v>
      </c>
      <c r="G574" t="s">
        <v>469</v>
      </c>
      <c r="H574">
        <v>1.5</v>
      </c>
      <c r="I574">
        <v>67</v>
      </c>
      <c r="J574">
        <v>0</v>
      </c>
      <c r="K574">
        <v>0</v>
      </c>
      <c r="L574" t="s">
        <v>117</v>
      </c>
      <c r="M574" t="s">
        <v>111</v>
      </c>
      <c r="N574">
        <v>0</v>
      </c>
      <c r="O574">
        <v>0</v>
      </c>
      <c r="P574" t="s">
        <v>111</v>
      </c>
      <c r="Q574">
        <v>32</v>
      </c>
      <c r="R574">
        <v>0</v>
      </c>
      <c r="S574">
        <v>0</v>
      </c>
      <c r="T574">
        <v>5</v>
      </c>
      <c r="U574" s="1" t="s">
        <v>851</v>
      </c>
      <c r="V574">
        <v>0</v>
      </c>
      <c r="W574">
        <v>25</v>
      </c>
      <c r="X574">
        <v>5</v>
      </c>
      <c r="Y574">
        <v>0</v>
      </c>
      <c r="Z574" t="s">
        <v>111</v>
      </c>
      <c r="AA574">
        <v>0</v>
      </c>
      <c r="AB574" t="s">
        <v>111</v>
      </c>
      <c r="AC574">
        <v>0</v>
      </c>
      <c r="AD574" t="s">
        <v>111</v>
      </c>
      <c r="AE574">
        <v>0</v>
      </c>
      <c r="AF574">
        <v>0</v>
      </c>
      <c r="AG574" t="s">
        <v>111</v>
      </c>
      <c r="AH574" t="s">
        <v>111</v>
      </c>
      <c r="AI574" t="s">
        <v>111</v>
      </c>
      <c r="AJ574" t="s">
        <v>111</v>
      </c>
      <c r="AK574" t="s">
        <v>111</v>
      </c>
      <c r="AL574" t="s">
        <v>111</v>
      </c>
      <c r="AM574">
        <v>0</v>
      </c>
      <c r="AN574">
        <v>0</v>
      </c>
      <c r="AO574">
        <v>0</v>
      </c>
      <c r="AP574" t="s">
        <v>111</v>
      </c>
      <c r="AQ574" t="s">
        <v>111</v>
      </c>
      <c r="AR574" t="s">
        <v>111</v>
      </c>
      <c r="AS574" t="s">
        <v>111</v>
      </c>
      <c r="AT574" t="s">
        <v>111</v>
      </c>
      <c r="AU574" t="s">
        <v>111</v>
      </c>
      <c r="AV574" t="s">
        <v>111</v>
      </c>
      <c r="AW574" t="s">
        <v>111</v>
      </c>
      <c r="AX574" t="s">
        <v>111</v>
      </c>
      <c r="AY574" t="s">
        <v>111</v>
      </c>
      <c r="AZ574" t="s">
        <v>111</v>
      </c>
      <c r="BA574" t="s">
        <v>111</v>
      </c>
      <c r="BB574" t="s">
        <v>111</v>
      </c>
      <c r="BC574" t="s">
        <v>111</v>
      </c>
      <c r="BD574" t="s">
        <v>111</v>
      </c>
      <c r="BE574" t="s">
        <v>111</v>
      </c>
      <c r="BF574" t="s">
        <v>111</v>
      </c>
      <c r="BG574" t="s">
        <v>111</v>
      </c>
      <c r="BH574" t="s">
        <v>111</v>
      </c>
      <c r="BI574" t="s">
        <v>111</v>
      </c>
      <c r="BJ574" t="s">
        <v>111</v>
      </c>
      <c r="BK574" t="s">
        <v>111</v>
      </c>
      <c r="BL574" t="s">
        <v>111</v>
      </c>
      <c r="BM574" t="s">
        <v>111</v>
      </c>
      <c r="BN574" t="s">
        <v>111</v>
      </c>
      <c r="BO574" t="s">
        <v>111</v>
      </c>
      <c r="BP574" t="s">
        <v>111</v>
      </c>
      <c r="BQ574" t="s">
        <v>111</v>
      </c>
      <c r="BR574" t="s">
        <v>111</v>
      </c>
      <c r="BS574" t="s">
        <v>111</v>
      </c>
      <c r="BT574" t="s">
        <v>111</v>
      </c>
      <c r="BU574" t="s">
        <v>111</v>
      </c>
      <c r="BV574" t="s">
        <v>111</v>
      </c>
      <c r="BW574" t="s">
        <v>111</v>
      </c>
      <c r="BX574" t="s">
        <v>111</v>
      </c>
      <c r="BY574" t="s">
        <v>111</v>
      </c>
      <c r="BZ574" t="s">
        <v>111</v>
      </c>
      <c r="CA574" t="s">
        <v>111</v>
      </c>
      <c r="CB574" t="s">
        <v>111</v>
      </c>
      <c r="CC574" t="s">
        <v>111</v>
      </c>
      <c r="CD574" t="s">
        <v>111</v>
      </c>
      <c r="CE574" t="s">
        <v>111</v>
      </c>
      <c r="CF574" t="s">
        <v>111</v>
      </c>
      <c r="CG574" t="s">
        <v>111</v>
      </c>
      <c r="CH574" t="s">
        <v>111</v>
      </c>
      <c r="CI574" t="s">
        <v>111</v>
      </c>
      <c r="CJ574" t="s">
        <v>111</v>
      </c>
      <c r="CK574" t="s">
        <v>111</v>
      </c>
      <c r="CL574" t="s">
        <v>111</v>
      </c>
      <c r="CM574" t="s">
        <v>135</v>
      </c>
      <c r="CN574" t="s">
        <v>113</v>
      </c>
      <c r="CO574" t="s">
        <v>111</v>
      </c>
      <c r="CP574" t="s">
        <v>111</v>
      </c>
      <c r="CQ574">
        <v>0</v>
      </c>
      <c r="CR574">
        <v>8000</v>
      </c>
      <c r="CS574">
        <v>500</v>
      </c>
      <c r="CT574" t="e">
        <f>-ALMACEN</f>
        <v>#NAME?</v>
      </c>
      <c r="CU574">
        <v>0</v>
      </c>
      <c r="CV574" t="s">
        <v>111</v>
      </c>
      <c r="CX574" t="s">
        <v>111</v>
      </c>
      <c r="CY574">
        <v>0</v>
      </c>
      <c r="CZ574" t="s">
        <v>111</v>
      </c>
      <c r="DA574" t="s">
        <v>111</v>
      </c>
      <c r="DB574" t="s">
        <v>111</v>
      </c>
      <c r="DC574" t="s">
        <v>111</v>
      </c>
    </row>
    <row r="575" spans="1:107">
      <c r="A575">
        <v>2054</v>
      </c>
      <c r="B575" t="s">
        <v>376</v>
      </c>
      <c r="C575" t="s">
        <v>129</v>
      </c>
      <c r="D575" t="s">
        <v>2048</v>
      </c>
      <c r="E575" t="s">
        <v>2049</v>
      </c>
      <c r="F575" t="s">
        <v>192</v>
      </c>
      <c r="G575" t="s">
        <v>469</v>
      </c>
      <c r="H575">
        <v>1.8</v>
      </c>
      <c r="I575">
        <v>21</v>
      </c>
      <c r="J575">
        <v>8</v>
      </c>
      <c r="K575">
        <v>8</v>
      </c>
      <c r="L575" t="s">
        <v>112</v>
      </c>
      <c r="M575" t="s">
        <v>138</v>
      </c>
      <c r="N575">
        <v>0</v>
      </c>
      <c r="O575">
        <v>0</v>
      </c>
      <c r="P575" t="s">
        <v>111</v>
      </c>
      <c r="Q575">
        <v>15</v>
      </c>
      <c r="R575">
        <v>0</v>
      </c>
      <c r="S575">
        <v>0</v>
      </c>
      <c r="T575">
        <v>5</v>
      </c>
      <c r="U575" s="1" t="s">
        <v>2050</v>
      </c>
      <c r="V575">
        <v>0</v>
      </c>
      <c r="W575">
        <v>25</v>
      </c>
      <c r="X575">
        <v>8</v>
      </c>
      <c r="Y575">
        <v>0</v>
      </c>
      <c r="Z575" t="s">
        <v>111</v>
      </c>
      <c r="AA575">
        <v>0</v>
      </c>
      <c r="AB575" t="s">
        <v>111</v>
      </c>
      <c r="AC575">
        <v>0</v>
      </c>
      <c r="AD575" t="s">
        <v>111</v>
      </c>
      <c r="AE575">
        <v>0</v>
      </c>
      <c r="AF575">
        <v>0</v>
      </c>
      <c r="AG575" t="s">
        <v>111</v>
      </c>
      <c r="AH575" t="s">
        <v>111</v>
      </c>
      <c r="AI575" t="s">
        <v>111</v>
      </c>
      <c r="AJ575" t="s">
        <v>111</v>
      </c>
      <c r="AK575" t="s">
        <v>111</v>
      </c>
      <c r="AL575" t="s">
        <v>111</v>
      </c>
      <c r="AM575">
        <v>0</v>
      </c>
      <c r="AN575">
        <v>0</v>
      </c>
      <c r="AO575">
        <v>0</v>
      </c>
      <c r="AP575" t="s">
        <v>111</v>
      </c>
      <c r="AQ575" t="s">
        <v>111</v>
      </c>
      <c r="AR575" t="s">
        <v>111</v>
      </c>
      <c r="AS575" t="s">
        <v>111</v>
      </c>
      <c r="AT575" t="s">
        <v>111</v>
      </c>
      <c r="AU575" t="s">
        <v>111</v>
      </c>
      <c r="AV575" t="s">
        <v>111</v>
      </c>
      <c r="AW575" t="s">
        <v>111</v>
      </c>
      <c r="AX575" t="s">
        <v>111</v>
      </c>
      <c r="AY575" t="s">
        <v>111</v>
      </c>
      <c r="AZ575" t="s">
        <v>111</v>
      </c>
      <c r="BA575" t="s">
        <v>111</v>
      </c>
      <c r="BB575" t="s">
        <v>111</v>
      </c>
      <c r="BC575" t="s">
        <v>111</v>
      </c>
      <c r="BD575" t="s">
        <v>111</v>
      </c>
      <c r="BE575" t="s">
        <v>111</v>
      </c>
      <c r="BF575" t="s">
        <v>111</v>
      </c>
      <c r="BG575" t="s">
        <v>111</v>
      </c>
      <c r="BH575" t="s">
        <v>111</v>
      </c>
      <c r="BI575" t="s">
        <v>111</v>
      </c>
      <c r="BJ575" t="s">
        <v>111</v>
      </c>
      <c r="BK575" t="s">
        <v>111</v>
      </c>
      <c r="BL575" t="s">
        <v>111</v>
      </c>
      <c r="BM575" t="s">
        <v>111</v>
      </c>
      <c r="BN575" t="s">
        <v>111</v>
      </c>
      <c r="BO575" t="s">
        <v>111</v>
      </c>
      <c r="BP575" t="s">
        <v>111</v>
      </c>
      <c r="BQ575" t="s">
        <v>111</v>
      </c>
      <c r="BR575" t="s">
        <v>111</v>
      </c>
      <c r="BS575" t="s">
        <v>111</v>
      </c>
      <c r="BT575" t="s">
        <v>111</v>
      </c>
      <c r="BU575" t="s">
        <v>111</v>
      </c>
      <c r="BV575" t="s">
        <v>111</v>
      </c>
      <c r="BW575" t="s">
        <v>111</v>
      </c>
      <c r="BX575" t="s">
        <v>111</v>
      </c>
      <c r="BY575" t="s">
        <v>111</v>
      </c>
      <c r="BZ575" t="s">
        <v>111</v>
      </c>
      <c r="CA575" t="s">
        <v>111</v>
      </c>
      <c r="CB575" t="s">
        <v>111</v>
      </c>
      <c r="CC575" t="s">
        <v>111</v>
      </c>
      <c r="CD575" t="s">
        <v>111</v>
      </c>
      <c r="CE575" t="s">
        <v>111</v>
      </c>
      <c r="CF575" t="s">
        <v>111</v>
      </c>
      <c r="CG575" t="s">
        <v>111</v>
      </c>
      <c r="CH575" t="s">
        <v>111</v>
      </c>
      <c r="CI575" t="s">
        <v>111</v>
      </c>
      <c r="CJ575" t="s">
        <v>111</v>
      </c>
      <c r="CK575" t="s">
        <v>111</v>
      </c>
      <c r="CL575" t="s">
        <v>111</v>
      </c>
      <c r="CM575" t="s">
        <v>135</v>
      </c>
      <c r="CN575" t="s">
        <v>128</v>
      </c>
      <c r="CO575" t="s">
        <v>111</v>
      </c>
      <c r="CP575" t="s">
        <v>111</v>
      </c>
      <c r="CQ575">
        <v>0</v>
      </c>
      <c r="CR575">
        <v>200</v>
      </c>
      <c r="CS575">
        <v>200</v>
      </c>
      <c r="CT575" t="s">
        <v>111</v>
      </c>
      <c r="CU575">
        <v>0</v>
      </c>
      <c r="CV575" t="s">
        <v>111</v>
      </c>
      <c r="CX575" t="s">
        <v>111</v>
      </c>
      <c r="CY575">
        <v>0</v>
      </c>
      <c r="CZ575" t="s">
        <v>111</v>
      </c>
      <c r="DA575" t="s">
        <v>111</v>
      </c>
      <c r="DB575" t="s">
        <v>111</v>
      </c>
      <c r="DC575" t="s">
        <v>111</v>
      </c>
    </row>
    <row r="576" spans="1:107">
      <c r="A576">
        <v>1655</v>
      </c>
      <c r="B576" t="s">
        <v>107</v>
      </c>
      <c r="C576" t="s">
        <v>1643</v>
      </c>
      <c r="D576" t="s">
        <v>2051</v>
      </c>
      <c r="E576" t="s">
        <v>2052</v>
      </c>
      <c r="F576" t="s">
        <v>2053</v>
      </c>
      <c r="G576" t="s">
        <v>469</v>
      </c>
      <c r="H576">
        <v>0.38</v>
      </c>
      <c r="I576">
        <v>25</v>
      </c>
      <c r="J576">
        <v>0</v>
      </c>
      <c r="K576">
        <v>0</v>
      </c>
      <c r="L576" t="s">
        <v>2054</v>
      </c>
      <c r="M576" t="s">
        <v>111</v>
      </c>
      <c r="N576">
        <v>0</v>
      </c>
      <c r="O576">
        <v>0</v>
      </c>
      <c r="P576" t="s">
        <v>111</v>
      </c>
      <c r="Q576">
        <v>50</v>
      </c>
      <c r="R576">
        <v>0</v>
      </c>
      <c r="S576">
        <v>0</v>
      </c>
      <c r="T576">
        <v>0</v>
      </c>
      <c r="U576" s="1" t="s">
        <v>2055</v>
      </c>
      <c r="V576">
        <v>25</v>
      </c>
      <c r="W576">
        <v>0</v>
      </c>
      <c r="X576">
        <v>5</v>
      </c>
      <c r="Y576">
        <v>0</v>
      </c>
      <c r="Z576" t="s">
        <v>111</v>
      </c>
      <c r="AA576">
        <v>0</v>
      </c>
      <c r="AB576" t="s">
        <v>111</v>
      </c>
      <c r="AC576">
        <v>0</v>
      </c>
      <c r="AD576" t="s">
        <v>111</v>
      </c>
      <c r="AE576">
        <v>0</v>
      </c>
      <c r="AF576">
        <v>0</v>
      </c>
      <c r="AG576" t="s">
        <v>111</v>
      </c>
      <c r="AH576" t="s">
        <v>111</v>
      </c>
      <c r="AI576" t="s">
        <v>111</v>
      </c>
      <c r="AJ576" t="s">
        <v>111</v>
      </c>
      <c r="AK576" t="s">
        <v>111</v>
      </c>
      <c r="AL576" t="s">
        <v>111</v>
      </c>
      <c r="AM576">
        <v>0</v>
      </c>
      <c r="AN576">
        <v>0</v>
      </c>
      <c r="AO576">
        <v>0</v>
      </c>
      <c r="AP576" t="s">
        <v>111</v>
      </c>
      <c r="AQ576" t="s">
        <v>111</v>
      </c>
      <c r="AR576" t="s">
        <v>111</v>
      </c>
      <c r="AS576" t="s">
        <v>111</v>
      </c>
      <c r="AT576" t="s">
        <v>111</v>
      </c>
      <c r="AU576" t="s">
        <v>111</v>
      </c>
      <c r="AV576" t="s">
        <v>111</v>
      </c>
      <c r="AW576" t="s">
        <v>111</v>
      </c>
      <c r="AX576" t="s">
        <v>111</v>
      </c>
      <c r="AY576" t="s">
        <v>111</v>
      </c>
      <c r="AZ576" t="s">
        <v>111</v>
      </c>
      <c r="BA576" t="s">
        <v>111</v>
      </c>
      <c r="BB576" t="s">
        <v>111</v>
      </c>
      <c r="BC576" t="s">
        <v>111</v>
      </c>
      <c r="BD576" t="s">
        <v>111</v>
      </c>
      <c r="BE576" t="s">
        <v>111</v>
      </c>
      <c r="BF576" t="s">
        <v>111</v>
      </c>
      <c r="BG576" t="s">
        <v>111</v>
      </c>
      <c r="BH576" t="s">
        <v>111</v>
      </c>
      <c r="BI576" t="s">
        <v>111</v>
      </c>
      <c r="BJ576" t="s">
        <v>111</v>
      </c>
      <c r="BK576" t="s">
        <v>111</v>
      </c>
      <c r="BL576" t="s">
        <v>111</v>
      </c>
      <c r="BM576" t="s">
        <v>111</v>
      </c>
      <c r="BN576" t="s">
        <v>111</v>
      </c>
      <c r="BO576" t="s">
        <v>111</v>
      </c>
      <c r="BP576" t="s">
        <v>111</v>
      </c>
      <c r="BQ576" t="s">
        <v>111</v>
      </c>
      <c r="BR576" t="s">
        <v>111</v>
      </c>
      <c r="BS576" t="s">
        <v>111</v>
      </c>
      <c r="BT576" t="s">
        <v>111</v>
      </c>
      <c r="BU576" t="s">
        <v>111</v>
      </c>
      <c r="BV576" t="s">
        <v>111</v>
      </c>
      <c r="BW576" t="s">
        <v>111</v>
      </c>
      <c r="BX576" t="s">
        <v>111</v>
      </c>
      <c r="BY576" t="s">
        <v>111</v>
      </c>
      <c r="BZ576" t="s">
        <v>111</v>
      </c>
      <c r="CA576" t="s">
        <v>111</v>
      </c>
      <c r="CB576" t="s">
        <v>111</v>
      </c>
      <c r="CC576" t="s">
        <v>111</v>
      </c>
      <c r="CD576" t="s">
        <v>111</v>
      </c>
      <c r="CE576" t="s">
        <v>111</v>
      </c>
      <c r="CF576" t="s">
        <v>111</v>
      </c>
      <c r="CG576" t="s">
        <v>111</v>
      </c>
      <c r="CH576" t="s">
        <v>111</v>
      </c>
      <c r="CI576" t="s">
        <v>111</v>
      </c>
      <c r="CJ576" t="s">
        <v>111</v>
      </c>
      <c r="CK576" t="s">
        <v>111</v>
      </c>
      <c r="CL576" t="s">
        <v>111</v>
      </c>
      <c r="CM576" t="s">
        <v>111</v>
      </c>
      <c r="CN576" t="s">
        <v>111</v>
      </c>
      <c r="CO576" t="s">
        <v>111</v>
      </c>
      <c r="CP576" t="s">
        <v>111</v>
      </c>
      <c r="CQ576">
        <v>0</v>
      </c>
      <c r="CR576">
        <v>0</v>
      </c>
      <c r="CS576">
        <v>0</v>
      </c>
      <c r="CT576" t="s">
        <v>111</v>
      </c>
      <c r="CU576">
        <v>0</v>
      </c>
      <c r="CV576" t="s">
        <v>111</v>
      </c>
      <c r="CX576" t="s">
        <v>111</v>
      </c>
      <c r="CY576">
        <v>0</v>
      </c>
      <c r="CZ576" t="s">
        <v>111</v>
      </c>
      <c r="DA576" t="s">
        <v>111</v>
      </c>
      <c r="DB576" t="s">
        <v>111</v>
      </c>
      <c r="DC576" t="s">
        <v>111</v>
      </c>
    </row>
    <row r="577" spans="1:107">
      <c r="A577">
        <v>2055</v>
      </c>
      <c r="B577" t="s">
        <v>376</v>
      </c>
      <c r="C577" t="s">
        <v>2056</v>
      </c>
      <c r="D577" t="s">
        <v>1863</v>
      </c>
      <c r="E577" t="s">
        <v>2057</v>
      </c>
      <c r="F577" t="s">
        <v>431</v>
      </c>
      <c r="G577" t="s">
        <v>469</v>
      </c>
      <c r="H577">
        <v>2.5</v>
      </c>
      <c r="I577">
        <v>21.5</v>
      </c>
      <c r="J577">
        <v>3</v>
      </c>
      <c r="K577">
        <v>0</v>
      </c>
      <c r="L577" t="s">
        <v>178</v>
      </c>
      <c r="M577" t="s">
        <v>118</v>
      </c>
      <c r="N577">
        <v>39</v>
      </c>
      <c r="O577">
        <v>1</v>
      </c>
      <c r="P577" t="s">
        <v>111</v>
      </c>
      <c r="Q577">
        <v>40</v>
      </c>
      <c r="R577">
        <v>0</v>
      </c>
      <c r="S577">
        <v>0</v>
      </c>
      <c r="T577">
        <v>5</v>
      </c>
      <c r="U577" s="1" t="s">
        <v>2058</v>
      </c>
      <c r="V577">
        <v>0</v>
      </c>
      <c r="W577">
        <v>25</v>
      </c>
      <c r="X577">
        <v>8</v>
      </c>
      <c r="Y577">
        <v>0</v>
      </c>
      <c r="Z577" t="s">
        <v>111</v>
      </c>
      <c r="AA577">
        <v>0</v>
      </c>
      <c r="AB577" t="s">
        <v>111</v>
      </c>
      <c r="AC577">
        <v>0</v>
      </c>
      <c r="AD577" t="s">
        <v>416</v>
      </c>
      <c r="AE577">
        <v>0</v>
      </c>
      <c r="AF577">
        <v>0</v>
      </c>
      <c r="AG577" t="s">
        <v>111</v>
      </c>
      <c r="AH577" t="s">
        <v>111</v>
      </c>
      <c r="AI577" t="s">
        <v>111</v>
      </c>
      <c r="AJ577" t="s">
        <v>111</v>
      </c>
      <c r="AK577" t="s">
        <v>111</v>
      </c>
      <c r="AL577" t="s">
        <v>111</v>
      </c>
      <c r="AM577">
        <v>0</v>
      </c>
      <c r="AN577">
        <v>0</v>
      </c>
      <c r="AO577">
        <v>0</v>
      </c>
      <c r="AP577" t="s">
        <v>111</v>
      </c>
      <c r="AQ577" t="s">
        <v>111</v>
      </c>
      <c r="AR577" t="s">
        <v>111</v>
      </c>
      <c r="AS577" t="s">
        <v>111</v>
      </c>
      <c r="AT577" t="s">
        <v>111</v>
      </c>
      <c r="AU577" t="s">
        <v>111</v>
      </c>
      <c r="AV577" t="s">
        <v>111</v>
      </c>
      <c r="AW577" t="s">
        <v>111</v>
      </c>
      <c r="AX577" t="s">
        <v>111</v>
      </c>
      <c r="AY577" t="s">
        <v>111</v>
      </c>
      <c r="AZ577" t="s">
        <v>111</v>
      </c>
      <c r="BA577" t="s">
        <v>111</v>
      </c>
      <c r="BB577" t="s">
        <v>111</v>
      </c>
      <c r="BC577" t="s">
        <v>111</v>
      </c>
      <c r="BD577" t="s">
        <v>111</v>
      </c>
      <c r="BE577" t="s">
        <v>111</v>
      </c>
      <c r="BF577" t="s">
        <v>111</v>
      </c>
      <c r="BG577" t="s">
        <v>111</v>
      </c>
      <c r="BH577" t="s">
        <v>111</v>
      </c>
      <c r="BI577" t="s">
        <v>111</v>
      </c>
      <c r="BJ577" t="s">
        <v>111</v>
      </c>
      <c r="BK577" t="s">
        <v>111</v>
      </c>
      <c r="BL577" t="s">
        <v>111</v>
      </c>
      <c r="BM577" t="s">
        <v>111</v>
      </c>
      <c r="BN577" t="s">
        <v>111</v>
      </c>
      <c r="BO577" t="s">
        <v>111</v>
      </c>
      <c r="BP577" t="s">
        <v>111</v>
      </c>
      <c r="BQ577" t="s">
        <v>111</v>
      </c>
      <c r="BR577" t="s">
        <v>111</v>
      </c>
      <c r="BS577" t="s">
        <v>111</v>
      </c>
      <c r="BT577" t="s">
        <v>111</v>
      </c>
      <c r="BU577" t="s">
        <v>111</v>
      </c>
      <c r="BV577" t="s">
        <v>111</v>
      </c>
      <c r="BW577" t="s">
        <v>111</v>
      </c>
      <c r="BX577" t="s">
        <v>111</v>
      </c>
      <c r="BY577" t="s">
        <v>111</v>
      </c>
      <c r="BZ577" t="s">
        <v>111</v>
      </c>
      <c r="CA577" t="s">
        <v>111</v>
      </c>
      <c r="CB577" t="s">
        <v>111</v>
      </c>
      <c r="CC577" t="s">
        <v>111</v>
      </c>
      <c r="CD577" t="s">
        <v>111</v>
      </c>
      <c r="CE577" t="s">
        <v>111</v>
      </c>
      <c r="CF577" t="s">
        <v>111</v>
      </c>
      <c r="CG577" t="s">
        <v>111</v>
      </c>
      <c r="CH577" t="s">
        <v>111</v>
      </c>
      <c r="CI577" t="s">
        <v>111</v>
      </c>
      <c r="CJ577" t="s">
        <v>111</v>
      </c>
      <c r="CK577" t="s">
        <v>111</v>
      </c>
      <c r="CL577" t="s">
        <v>111</v>
      </c>
      <c r="CM577" t="s">
        <v>135</v>
      </c>
      <c r="CN577" t="s">
        <v>113</v>
      </c>
      <c r="CO577" t="s">
        <v>111</v>
      </c>
      <c r="CP577" t="s">
        <v>111</v>
      </c>
      <c r="CQ577">
        <v>0</v>
      </c>
      <c r="CR577">
        <v>2000</v>
      </c>
      <c r="CS577">
        <v>50</v>
      </c>
      <c r="CT577" t="e">
        <f>- BIEN EMPACADO PARA TROQUELAR</f>
        <v>#NAME?</v>
      </c>
      <c r="CU577">
        <v>0</v>
      </c>
      <c r="CV577" t="s">
        <v>111</v>
      </c>
      <c r="CX577" t="s">
        <v>111</v>
      </c>
      <c r="CY577">
        <v>0</v>
      </c>
      <c r="CZ577" t="s">
        <v>111</v>
      </c>
      <c r="DA577" t="s">
        <v>111</v>
      </c>
      <c r="DB577" t="e">
        <f>- EXTERNO</f>
        <v>#NAME?</v>
      </c>
      <c r="DC577" t="s">
        <v>2059</v>
      </c>
    </row>
    <row r="578" spans="1:107">
      <c r="A578">
        <v>1701</v>
      </c>
      <c r="B578" t="s">
        <v>107</v>
      </c>
      <c r="C578" t="s">
        <v>405</v>
      </c>
      <c r="D578" t="s">
        <v>2060</v>
      </c>
      <c r="E578" t="s">
        <v>2061</v>
      </c>
      <c r="F578" t="s">
        <v>157</v>
      </c>
      <c r="G578" t="s">
        <v>469</v>
      </c>
      <c r="H578">
        <v>1.4</v>
      </c>
      <c r="I578">
        <v>67</v>
      </c>
      <c r="J578">
        <v>0</v>
      </c>
      <c r="K578">
        <v>0</v>
      </c>
      <c r="L578" t="s">
        <v>112</v>
      </c>
      <c r="M578" t="s">
        <v>118</v>
      </c>
      <c r="N578">
        <v>39</v>
      </c>
      <c r="O578">
        <v>2</v>
      </c>
      <c r="P578" t="s">
        <v>111</v>
      </c>
      <c r="Q578">
        <v>44</v>
      </c>
      <c r="R578">
        <v>0</v>
      </c>
      <c r="S578">
        <v>0</v>
      </c>
      <c r="T578">
        <v>0</v>
      </c>
      <c r="U578" s="1" t="s">
        <v>2062</v>
      </c>
      <c r="V578">
        <v>0</v>
      </c>
      <c r="W578">
        <v>25</v>
      </c>
      <c r="X578">
        <v>5</v>
      </c>
      <c r="Y578">
        <v>0</v>
      </c>
      <c r="Z578" t="s">
        <v>288</v>
      </c>
      <c r="AA578">
        <v>1.7</v>
      </c>
      <c r="AB578" t="s">
        <v>111</v>
      </c>
      <c r="AC578">
        <v>0</v>
      </c>
      <c r="AD578" t="s">
        <v>111</v>
      </c>
      <c r="AE578">
        <v>0</v>
      </c>
      <c r="AF578">
        <v>0</v>
      </c>
      <c r="AG578" t="s">
        <v>111</v>
      </c>
      <c r="AH578" t="s">
        <v>111</v>
      </c>
      <c r="AI578" t="s">
        <v>111</v>
      </c>
      <c r="AJ578" t="s">
        <v>111</v>
      </c>
      <c r="AK578" t="s">
        <v>111</v>
      </c>
      <c r="AL578" t="s">
        <v>111</v>
      </c>
      <c r="AM578">
        <v>0</v>
      </c>
      <c r="AN578">
        <v>0</v>
      </c>
      <c r="AO578">
        <v>0</v>
      </c>
      <c r="AP578" t="s">
        <v>111</v>
      </c>
      <c r="AQ578" t="s">
        <v>111</v>
      </c>
      <c r="AR578" t="s">
        <v>111</v>
      </c>
      <c r="AS578" t="s">
        <v>111</v>
      </c>
      <c r="AT578" t="s">
        <v>111</v>
      </c>
      <c r="AU578" t="s">
        <v>111</v>
      </c>
      <c r="AV578" t="s">
        <v>111</v>
      </c>
      <c r="AW578" t="s">
        <v>111</v>
      </c>
      <c r="AX578" t="s">
        <v>111</v>
      </c>
      <c r="AY578" t="s">
        <v>111</v>
      </c>
      <c r="AZ578" t="s">
        <v>111</v>
      </c>
      <c r="BA578" t="s">
        <v>111</v>
      </c>
      <c r="BB578" t="s">
        <v>111</v>
      </c>
      <c r="BC578" t="s">
        <v>111</v>
      </c>
      <c r="BD578" t="s">
        <v>111</v>
      </c>
      <c r="BE578" t="s">
        <v>111</v>
      </c>
      <c r="BF578" t="s">
        <v>111</v>
      </c>
      <c r="BG578" t="s">
        <v>111</v>
      </c>
      <c r="BH578" t="s">
        <v>111</v>
      </c>
      <c r="BI578" t="s">
        <v>111</v>
      </c>
      <c r="BJ578" t="s">
        <v>111</v>
      </c>
      <c r="BK578" t="s">
        <v>111</v>
      </c>
      <c r="BL578" t="s">
        <v>111</v>
      </c>
      <c r="BM578" t="s">
        <v>111</v>
      </c>
      <c r="BN578" t="s">
        <v>111</v>
      </c>
      <c r="BO578" t="s">
        <v>111</v>
      </c>
      <c r="BP578" t="s">
        <v>111</v>
      </c>
      <c r="BQ578" t="s">
        <v>111</v>
      </c>
      <c r="BR578" t="s">
        <v>111</v>
      </c>
      <c r="BS578" t="s">
        <v>111</v>
      </c>
      <c r="BT578" t="s">
        <v>111</v>
      </c>
      <c r="BU578" t="s">
        <v>111</v>
      </c>
      <c r="BV578" t="s">
        <v>111</v>
      </c>
      <c r="BW578" t="s">
        <v>111</v>
      </c>
      <c r="BX578" t="s">
        <v>111</v>
      </c>
      <c r="BY578" t="s">
        <v>111</v>
      </c>
      <c r="BZ578" t="s">
        <v>111</v>
      </c>
      <c r="CA578" t="s">
        <v>111</v>
      </c>
      <c r="CB578" t="s">
        <v>111</v>
      </c>
      <c r="CC578" t="s">
        <v>111</v>
      </c>
      <c r="CD578" t="s">
        <v>111</v>
      </c>
      <c r="CE578" t="s">
        <v>111</v>
      </c>
      <c r="CF578" t="s">
        <v>111</v>
      </c>
      <c r="CG578" t="s">
        <v>111</v>
      </c>
      <c r="CH578" t="s">
        <v>111</v>
      </c>
      <c r="CI578" t="s">
        <v>111</v>
      </c>
      <c r="CJ578" t="s">
        <v>111</v>
      </c>
      <c r="CK578" t="s">
        <v>111</v>
      </c>
      <c r="CL578" t="s">
        <v>111</v>
      </c>
      <c r="CM578" t="s">
        <v>111</v>
      </c>
      <c r="CN578" t="s">
        <v>111</v>
      </c>
      <c r="CO578" t="s">
        <v>111</v>
      </c>
      <c r="CP578" t="s">
        <v>111</v>
      </c>
      <c r="CQ578">
        <v>0</v>
      </c>
      <c r="CR578">
        <v>0</v>
      </c>
      <c r="CS578">
        <v>0</v>
      </c>
      <c r="CT578" t="s">
        <v>111</v>
      </c>
      <c r="CU578">
        <v>0</v>
      </c>
      <c r="CV578" t="s">
        <v>111</v>
      </c>
      <c r="CX578" t="s">
        <v>111</v>
      </c>
      <c r="CY578">
        <v>0</v>
      </c>
      <c r="CZ578" t="s">
        <v>111</v>
      </c>
      <c r="DA578" t="s">
        <v>111</v>
      </c>
      <c r="DB578" t="s">
        <v>111</v>
      </c>
      <c r="DC578" t="s">
        <v>111</v>
      </c>
    </row>
    <row r="579" spans="1:107">
      <c r="A579">
        <v>1681</v>
      </c>
      <c r="B579" t="s">
        <v>107</v>
      </c>
      <c r="C579" t="s">
        <v>1156</v>
      </c>
      <c r="D579" t="s">
        <v>2063</v>
      </c>
      <c r="E579" t="s">
        <v>2064</v>
      </c>
      <c r="F579" t="s">
        <v>370</v>
      </c>
      <c r="G579" t="s">
        <v>469</v>
      </c>
      <c r="H579">
        <v>1.9</v>
      </c>
      <c r="I579">
        <v>84</v>
      </c>
      <c r="J579">
        <v>0</v>
      </c>
      <c r="K579">
        <v>0</v>
      </c>
      <c r="L579" t="s">
        <v>117</v>
      </c>
      <c r="M579" t="s">
        <v>118</v>
      </c>
      <c r="N579">
        <v>39</v>
      </c>
      <c r="O579">
        <v>1</v>
      </c>
      <c r="P579" t="s">
        <v>111</v>
      </c>
      <c r="Q579">
        <v>47.7</v>
      </c>
      <c r="R579">
        <v>0</v>
      </c>
      <c r="S579">
        <v>0</v>
      </c>
      <c r="T579">
        <v>8</v>
      </c>
      <c r="U579" s="1" t="s">
        <v>2065</v>
      </c>
      <c r="V579">
        <v>250</v>
      </c>
      <c r="W579">
        <v>0</v>
      </c>
      <c r="X579">
        <v>8</v>
      </c>
      <c r="Y579">
        <v>0</v>
      </c>
      <c r="Z579" t="s">
        <v>288</v>
      </c>
      <c r="AA579">
        <v>1.5</v>
      </c>
      <c r="AB579" t="s">
        <v>1346</v>
      </c>
      <c r="AC579">
        <v>0.7</v>
      </c>
      <c r="AD579" t="s">
        <v>416</v>
      </c>
      <c r="AE579">
        <v>0</v>
      </c>
      <c r="AF579">
        <v>0</v>
      </c>
      <c r="AG579" t="s">
        <v>111</v>
      </c>
      <c r="AH579" t="s">
        <v>113</v>
      </c>
      <c r="AI579" t="s">
        <v>111</v>
      </c>
      <c r="AJ579" t="s">
        <v>111</v>
      </c>
      <c r="AK579" t="s">
        <v>111</v>
      </c>
      <c r="AL579" t="s">
        <v>111</v>
      </c>
      <c r="AM579">
        <v>0</v>
      </c>
      <c r="AN579">
        <v>0</v>
      </c>
      <c r="AO579">
        <v>0</v>
      </c>
      <c r="AP579" t="s">
        <v>111</v>
      </c>
      <c r="AQ579" t="s">
        <v>111</v>
      </c>
      <c r="AR579" t="s">
        <v>111</v>
      </c>
      <c r="AS579" t="s">
        <v>111</v>
      </c>
      <c r="AT579" t="s">
        <v>111</v>
      </c>
      <c r="AU579" t="s">
        <v>111</v>
      </c>
      <c r="AV579" t="s">
        <v>111</v>
      </c>
      <c r="AW579" t="s">
        <v>111</v>
      </c>
      <c r="AX579" t="s">
        <v>111</v>
      </c>
      <c r="AY579" t="s">
        <v>111</v>
      </c>
      <c r="AZ579" t="s">
        <v>111</v>
      </c>
      <c r="BA579" t="s">
        <v>111</v>
      </c>
      <c r="BB579" t="s">
        <v>111</v>
      </c>
      <c r="BC579" t="s">
        <v>111</v>
      </c>
      <c r="BD579" t="s">
        <v>111</v>
      </c>
      <c r="BE579" t="s">
        <v>111</v>
      </c>
      <c r="BF579" t="s">
        <v>111</v>
      </c>
      <c r="BG579" t="s">
        <v>111</v>
      </c>
      <c r="BH579" t="s">
        <v>111</v>
      </c>
      <c r="BI579" t="s">
        <v>111</v>
      </c>
      <c r="BJ579" t="s">
        <v>111</v>
      </c>
      <c r="BK579" t="s">
        <v>111</v>
      </c>
      <c r="BL579" t="s">
        <v>111</v>
      </c>
      <c r="BM579" t="s">
        <v>111</v>
      </c>
      <c r="BN579" t="s">
        <v>111</v>
      </c>
      <c r="BO579" t="s">
        <v>111</v>
      </c>
      <c r="BP579" t="s">
        <v>111</v>
      </c>
      <c r="BQ579" t="s">
        <v>111</v>
      </c>
      <c r="BR579" t="s">
        <v>111</v>
      </c>
      <c r="BS579" t="s">
        <v>111</v>
      </c>
      <c r="BT579" t="s">
        <v>111</v>
      </c>
      <c r="BU579" t="s">
        <v>111</v>
      </c>
      <c r="BV579" t="s">
        <v>111</v>
      </c>
      <c r="BW579" t="s">
        <v>111</v>
      </c>
      <c r="BX579" t="s">
        <v>111</v>
      </c>
      <c r="BY579" t="s">
        <v>111</v>
      </c>
      <c r="BZ579" t="s">
        <v>111</v>
      </c>
      <c r="CA579" t="s">
        <v>111</v>
      </c>
      <c r="CB579" t="s">
        <v>111</v>
      </c>
      <c r="CC579" t="s">
        <v>111</v>
      </c>
      <c r="CD579" t="s">
        <v>111</v>
      </c>
      <c r="CE579" t="s">
        <v>111</v>
      </c>
      <c r="CF579" t="s">
        <v>111</v>
      </c>
      <c r="CG579" t="s">
        <v>111</v>
      </c>
      <c r="CH579" t="s">
        <v>111</v>
      </c>
      <c r="CI579" t="s">
        <v>111</v>
      </c>
      <c r="CJ579" t="s">
        <v>111</v>
      </c>
      <c r="CK579" t="s">
        <v>111</v>
      </c>
      <c r="CL579" t="s">
        <v>111</v>
      </c>
      <c r="CM579" t="s">
        <v>135</v>
      </c>
      <c r="CN579" t="s">
        <v>113</v>
      </c>
      <c r="CO579" t="s">
        <v>2066</v>
      </c>
      <c r="CP579" t="s">
        <v>111</v>
      </c>
      <c r="CQ579">
        <v>40</v>
      </c>
      <c r="CR579">
        <v>2000</v>
      </c>
      <c r="CS579">
        <v>100</v>
      </c>
      <c r="CT579" t="e">
        <f>-ALMACEN</f>
        <v>#NAME?</v>
      </c>
      <c r="CU579">
        <v>0</v>
      </c>
      <c r="CV579" t="s">
        <v>111</v>
      </c>
      <c r="CX579" t="s">
        <v>111</v>
      </c>
      <c r="CY579">
        <v>0</v>
      </c>
      <c r="CZ579" t="s">
        <v>111</v>
      </c>
      <c r="DA579" t="s">
        <v>111</v>
      </c>
      <c r="DB579" t="s">
        <v>111</v>
      </c>
      <c r="DC579" t="s">
        <v>111</v>
      </c>
    </row>
    <row r="580" spans="1:107">
      <c r="A580">
        <v>2018</v>
      </c>
      <c r="B580" t="s">
        <v>107</v>
      </c>
      <c r="C580" t="s">
        <v>768</v>
      </c>
      <c r="D580" t="s">
        <v>2067</v>
      </c>
      <c r="E580" t="s">
        <v>2068</v>
      </c>
      <c r="F580" t="s">
        <v>431</v>
      </c>
      <c r="G580" t="s">
        <v>469</v>
      </c>
      <c r="H580">
        <v>1.4</v>
      </c>
      <c r="I580">
        <v>38</v>
      </c>
      <c r="J580">
        <v>2.5</v>
      </c>
      <c r="K580">
        <v>0</v>
      </c>
      <c r="L580" t="s">
        <v>178</v>
      </c>
      <c r="M580" t="s">
        <v>118</v>
      </c>
      <c r="N580">
        <v>39</v>
      </c>
      <c r="O580">
        <v>2</v>
      </c>
      <c r="P580" t="s">
        <v>111</v>
      </c>
      <c r="Q580">
        <v>29.1</v>
      </c>
      <c r="R580">
        <v>0</v>
      </c>
      <c r="S580">
        <v>0</v>
      </c>
      <c r="T580">
        <v>5</v>
      </c>
      <c r="U580" s="1" t="s">
        <v>2069</v>
      </c>
      <c r="V580">
        <v>0</v>
      </c>
      <c r="W580">
        <v>25</v>
      </c>
      <c r="X580">
        <v>6</v>
      </c>
      <c r="Y580">
        <v>0</v>
      </c>
      <c r="Z580" t="s">
        <v>111</v>
      </c>
      <c r="AA580">
        <v>0</v>
      </c>
      <c r="AB580" t="s">
        <v>111</v>
      </c>
      <c r="AC580">
        <v>0</v>
      </c>
      <c r="AD580" t="s">
        <v>416</v>
      </c>
      <c r="AE580">
        <v>0</v>
      </c>
      <c r="AF580">
        <v>0</v>
      </c>
      <c r="AG580" t="s">
        <v>111</v>
      </c>
      <c r="AH580" t="s">
        <v>111</v>
      </c>
      <c r="AI580" t="s">
        <v>111</v>
      </c>
      <c r="AJ580" t="s">
        <v>111</v>
      </c>
      <c r="AK580" t="s">
        <v>111</v>
      </c>
      <c r="AL580" t="s">
        <v>111</v>
      </c>
      <c r="AM580">
        <v>0</v>
      </c>
      <c r="AN580">
        <v>0</v>
      </c>
      <c r="AO580">
        <v>0</v>
      </c>
      <c r="AP580" t="s">
        <v>111</v>
      </c>
      <c r="AQ580" t="s">
        <v>111</v>
      </c>
      <c r="AR580" t="s">
        <v>111</v>
      </c>
      <c r="AS580" t="s">
        <v>111</v>
      </c>
      <c r="AT580" t="s">
        <v>111</v>
      </c>
      <c r="AU580" t="s">
        <v>111</v>
      </c>
      <c r="AV580" t="s">
        <v>111</v>
      </c>
      <c r="AW580" t="s">
        <v>111</v>
      </c>
      <c r="AX580" t="s">
        <v>111</v>
      </c>
      <c r="AY580" t="s">
        <v>111</v>
      </c>
      <c r="AZ580" t="s">
        <v>111</v>
      </c>
      <c r="BA580" t="s">
        <v>111</v>
      </c>
      <c r="BB580" t="s">
        <v>111</v>
      </c>
      <c r="BC580" t="s">
        <v>111</v>
      </c>
      <c r="BD580" t="s">
        <v>111</v>
      </c>
      <c r="BE580" t="s">
        <v>111</v>
      </c>
      <c r="BF580" t="s">
        <v>111</v>
      </c>
      <c r="BG580" t="s">
        <v>111</v>
      </c>
      <c r="BH580" t="s">
        <v>111</v>
      </c>
      <c r="BI580" t="s">
        <v>111</v>
      </c>
      <c r="BJ580" t="s">
        <v>111</v>
      </c>
      <c r="BK580" t="s">
        <v>111</v>
      </c>
      <c r="BL580" t="s">
        <v>111</v>
      </c>
      <c r="BM580" t="s">
        <v>111</v>
      </c>
      <c r="BN580" t="s">
        <v>111</v>
      </c>
      <c r="BO580" t="s">
        <v>111</v>
      </c>
      <c r="BP580" t="s">
        <v>111</v>
      </c>
      <c r="BQ580" t="s">
        <v>111</v>
      </c>
      <c r="BR580" t="s">
        <v>111</v>
      </c>
      <c r="BS580" t="s">
        <v>111</v>
      </c>
      <c r="BT580" t="s">
        <v>111</v>
      </c>
      <c r="BU580" t="s">
        <v>111</v>
      </c>
      <c r="BV580" t="s">
        <v>111</v>
      </c>
      <c r="BW580" t="s">
        <v>111</v>
      </c>
      <c r="BX580" t="s">
        <v>111</v>
      </c>
      <c r="BY580" t="s">
        <v>111</v>
      </c>
      <c r="BZ580" t="s">
        <v>111</v>
      </c>
      <c r="CA580" t="s">
        <v>111</v>
      </c>
      <c r="CB580" t="s">
        <v>111</v>
      </c>
      <c r="CC580" t="s">
        <v>111</v>
      </c>
      <c r="CD580" t="s">
        <v>111</v>
      </c>
      <c r="CE580" t="s">
        <v>111</v>
      </c>
      <c r="CF580" t="s">
        <v>111</v>
      </c>
      <c r="CG580" t="s">
        <v>111</v>
      </c>
      <c r="CH580" t="s">
        <v>111</v>
      </c>
      <c r="CI580" t="s">
        <v>111</v>
      </c>
      <c r="CJ580" t="s">
        <v>111</v>
      </c>
      <c r="CK580" t="s">
        <v>111</v>
      </c>
      <c r="CL580" t="s">
        <v>111</v>
      </c>
      <c r="CM580" t="s">
        <v>135</v>
      </c>
      <c r="CN580" t="s">
        <v>113</v>
      </c>
      <c r="CO580" t="s">
        <v>2070</v>
      </c>
      <c r="CP580" t="s">
        <v>111</v>
      </c>
      <c r="CQ580">
        <v>0</v>
      </c>
      <c r="CR580">
        <v>3000</v>
      </c>
      <c r="CS580">
        <v>200</v>
      </c>
      <c r="CT580" t="e">
        <f>-ALMACEN</f>
        <v>#NAME?</v>
      </c>
      <c r="CU580">
        <v>0</v>
      </c>
      <c r="CV580" t="s">
        <v>111</v>
      </c>
      <c r="CX580" t="s">
        <v>111</v>
      </c>
      <c r="CY580">
        <v>0</v>
      </c>
      <c r="CZ580" t="s">
        <v>111</v>
      </c>
      <c r="DA580" t="s">
        <v>111</v>
      </c>
      <c r="DB580" t="s">
        <v>111</v>
      </c>
      <c r="DC580" t="s">
        <v>111</v>
      </c>
    </row>
    <row r="581" spans="1:107">
      <c r="A581">
        <v>1797</v>
      </c>
      <c r="B581" t="s">
        <v>107</v>
      </c>
      <c r="C581" t="s">
        <v>638</v>
      </c>
      <c r="D581" t="s">
        <v>2071</v>
      </c>
      <c r="E581" t="s">
        <v>2072</v>
      </c>
      <c r="F581" t="s">
        <v>270</v>
      </c>
      <c r="G581" t="s">
        <v>469</v>
      </c>
      <c r="H581">
        <v>0.9</v>
      </c>
      <c r="I581">
        <v>35</v>
      </c>
      <c r="J581">
        <v>0</v>
      </c>
      <c r="K581">
        <v>0</v>
      </c>
      <c r="L581" t="s">
        <v>112</v>
      </c>
      <c r="M581" t="s">
        <v>138</v>
      </c>
      <c r="N581">
        <v>0</v>
      </c>
      <c r="O581">
        <v>0</v>
      </c>
      <c r="P581" t="s">
        <v>138</v>
      </c>
      <c r="Q581">
        <v>40</v>
      </c>
      <c r="R581">
        <v>0</v>
      </c>
      <c r="S581">
        <v>0</v>
      </c>
      <c r="T581">
        <v>1</v>
      </c>
      <c r="U581" t="e">
        <f>-SELLADO</f>
        <v>#NAME?</v>
      </c>
      <c r="V581">
        <v>25</v>
      </c>
      <c r="W581">
        <v>0</v>
      </c>
      <c r="X581">
        <v>6</v>
      </c>
      <c r="Y581">
        <v>0</v>
      </c>
      <c r="Z581" t="s">
        <v>271</v>
      </c>
      <c r="AA581">
        <v>1.2</v>
      </c>
      <c r="AB581" t="s">
        <v>111</v>
      </c>
      <c r="AC581">
        <v>0</v>
      </c>
      <c r="AD581" t="s">
        <v>111</v>
      </c>
      <c r="AE581">
        <v>0</v>
      </c>
      <c r="AF581">
        <v>0</v>
      </c>
      <c r="AG581" t="s">
        <v>111</v>
      </c>
      <c r="AH581" t="s">
        <v>111</v>
      </c>
      <c r="AI581" t="s">
        <v>111</v>
      </c>
      <c r="AJ581" t="s">
        <v>111</v>
      </c>
      <c r="AK581" t="s">
        <v>111</v>
      </c>
      <c r="AL581" t="s">
        <v>111</v>
      </c>
      <c r="AM581">
        <v>0</v>
      </c>
      <c r="AN581">
        <v>0</v>
      </c>
      <c r="AO581">
        <v>0</v>
      </c>
      <c r="AP581" t="s">
        <v>111</v>
      </c>
      <c r="AQ581" t="s">
        <v>111</v>
      </c>
      <c r="AR581" t="s">
        <v>111</v>
      </c>
      <c r="AS581" t="s">
        <v>111</v>
      </c>
      <c r="AT581" t="s">
        <v>111</v>
      </c>
      <c r="AU581" t="s">
        <v>111</v>
      </c>
      <c r="AV581" t="s">
        <v>111</v>
      </c>
      <c r="AW581" t="s">
        <v>111</v>
      </c>
      <c r="AX581" t="s">
        <v>111</v>
      </c>
      <c r="AY581" t="s">
        <v>111</v>
      </c>
      <c r="AZ581" t="s">
        <v>111</v>
      </c>
      <c r="BA581" t="s">
        <v>111</v>
      </c>
      <c r="BB581" t="s">
        <v>111</v>
      </c>
      <c r="BC581" t="s">
        <v>111</v>
      </c>
      <c r="BD581" t="s">
        <v>111</v>
      </c>
      <c r="BE581" t="s">
        <v>111</v>
      </c>
      <c r="BF581" t="s">
        <v>111</v>
      </c>
      <c r="BG581" t="s">
        <v>111</v>
      </c>
      <c r="BH581" t="s">
        <v>111</v>
      </c>
      <c r="BI581" t="s">
        <v>111</v>
      </c>
      <c r="BJ581" t="s">
        <v>111</v>
      </c>
      <c r="BK581" t="s">
        <v>111</v>
      </c>
      <c r="BL581" t="s">
        <v>111</v>
      </c>
      <c r="BM581" t="s">
        <v>111</v>
      </c>
      <c r="BN581" t="s">
        <v>111</v>
      </c>
      <c r="BO581" t="s">
        <v>111</v>
      </c>
      <c r="BP581" t="s">
        <v>111</v>
      </c>
      <c r="BQ581" t="s">
        <v>111</v>
      </c>
      <c r="BR581" t="s">
        <v>111</v>
      </c>
      <c r="BS581" t="s">
        <v>111</v>
      </c>
      <c r="BT581" t="s">
        <v>111</v>
      </c>
      <c r="BU581" t="s">
        <v>111</v>
      </c>
      <c r="BV581" t="s">
        <v>111</v>
      </c>
      <c r="BW581" t="s">
        <v>111</v>
      </c>
      <c r="BX581" t="s">
        <v>111</v>
      </c>
      <c r="BY581" t="s">
        <v>111</v>
      </c>
      <c r="BZ581" t="s">
        <v>111</v>
      </c>
      <c r="CA581" t="s">
        <v>111</v>
      </c>
      <c r="CB581" t="s">
        <v>111</v>
      </c>
      <c r="CC581" t="s">
        <v>111</v>
      </c>
      <c r="CD581" t="s">
        <v>111</v>
      </c>
      <c r="CE581" t="s">
        <v>111</v>
      </c>
      <c r="CF581" t="s">
        <v>111</v>
      </c>
      <c r="CG581" t="s">
        <v>111</v>
      </c>
      <c r="CH581" t="s">
        <v>111</v>
      </c>
      <c r="CI581" t="s">
        <v>111</v>
      </c>
      <c r="CJ581" t="s">
        <v>111</v>
      </c>
      <c r="CK581" t="s">
        <v>111</v>
      </c>
      <c r="CL581" t="s">
        <v>111</v>
      </c>
      <c r="CM581" t="s">
        <v>438</v>
      </c>
      <c r="CN581" t="s">
        <v>128</v>
      </c>
      <c r="CO581" t="s">
        <v>111</v>
      </c>
      <c r="CP581" t="s">
        <v>111</v>
      </c>
      <c r="CQ581">
        <v>0</v>
      </c>
      <c r="CR581">
        <v>0</v>
      </c>
      <c r="CS581">
        <v>0</v>
      </c>
      <c r="CT581" t="e">
        <f>-ALMACEN</f>
        <v>#NAME?</v>
      </c>
      <c r="CU581">
        <v>0</v>
      </c>
      <c r="CV581" t="s">
        <v>111</v>
      </c>
      <c r="CX581" t="s">
        <v>111</v>
      </c>
      <c r="CY581">
        <v>0</v>
      </c>
      <c r="CZ581" t="s">
        <v>111</v>
      </c>
      <c r="DA581" t="s">
        <v>111</v>
      </c>
      <c r="DB581" t="s">
        <v>111</v>
      </c>
      <c r="DC581" t="s">
        <v>111</v>
      </c>
    </row>
    <row r="582" spans="1:107">
      <c r="A582">
        <v>1774</v>
      </c>
      <c r="B582" t="s">
        <v>107</v>
      </c>
      <c r="C582" t="s">
        <v>421</v>
      </c>
      <c r="D582" t="s">
        <v>422</v>
      </c>
      <c r="E582" t="s">
        <v>2073</v>
      </c>
      <c r="F582" t="s">
        <v>370</v>
      </c>
      <c r="G582" t="s">
        <v>469</v>
      </c>
      <c r="H582">
        <v>2.9</v>
      </c>
      <c r="I582">
        <v>55</v>
      </c>
      <c r="J582">
        <v>0</v>
      </c>
      <c r="K582">
        <v>0</v>
      </c>
      <c r="L582" t="s">
        <v>111</v>
      </c>
      <c r="M582" t="s">
        <v>118</v>
      </c>
      <c r="N582">
        <v>39</v>
      </c>
      <c r="O582">
        <v>2</v>
      </c>
      <c r="P582" t="s">
        <v>138</v>
      </c>
      <c r="Q582">
        <v>47.4</v>
      </c>
      <c r="R582">
        <v>0</v>
      </c>
      <c r="S582">
        <v>0</v>
      </c>
      <c r="T582">
        <v>10</v>
      </c>
      <c r="U582" s="1" t="s">
        <v>2074</v>
      </c>
      <c r="V582">
        <v>25</v>
      </c>
      <c r="W582">
        <v>0</v>
      </c>
      <c r="X582">
        <v>8</v>
      </c>
      <c r="Y582">
        <v>0</v>
      </c>
      <c r="Z582" t="s">
        <v>288</v>
      </c>
      <c r="AA582">
        <v>0.3</v>
      </c>
      <c r="AB582" t="s">
        <v>111</v>
      </c>
      <c r="AC582">
        <v>0</v>
      </c>
      <c r="AD582" t="s">
        <v>427</v>
      </c>
      <c r="AE582">
        <v>0</v>
      </c>
      <c r="AF582">
        <v>0</v>
      </c>
      <c r="AG582" t="s">
        <v>111</v>
      </c>
      <c r="AH582" t="s">
        <v>111</v>
      </c>
      <c r="AI582" t="s">
        <v>111</v>
      </c>
      <c r="AJ582" t="s">
        <v>111</v>
      </c>
      <c r="AK582" t="s">
        <v>111</v>
      </c>
      <c r="AL582" t="s">
        <v>111</v>
      </c>
      <c r="AM582">
        <v>0</v>
      </c>
      <c r="AN582">
        <v>0</v>
      </c>
      <c r="AO582">
        <v>0</v>
      </c>
      <c r="AP582" t="s">
        <v>111</v>
      </c>
      <c r="AQ582" t="s">
        <v>111</v>
      </c>
      <c r="AR582" t="s">
        <v>111</v>
      </c>
      <c r="AS582" t="s">
        <v>111</v>
      </c>
      <c r="AT582" t="s">
        <v>111</v>
      </c>
      <c r="AU582" t="s">
        <v>111</v>
      </c>
      <c r="AV582" t="s">
        <v>111</v>
      </c>
      <c r="AW582" t="s">
        <v>111</v>
      </c>
      <c r="AX582" t="s">
        <v>111</v>
      </c>
      <c r="AY582" t="s">
        <v>111</v>
      </c>
      <c r="AZ582" t="s">
        <v>111</v>
      </c>
      <c r="BA582" t="s">
        <v>111</v>
      </c>
      <c r="BB582" t="s">
        <v>111</v>
      </c>
      <c r="BC582" t="s">
        <v>111</v>
      </c>
      <c r="BD582" t="s">
        <v>111</v>
      </c>
      <c r="BE582" t="s">
        <v>111</v>
      </c>
      <c r="BF582" t="s">
        <v>111</v>
      </c>
      <c r="BG582" t="s">
        <v>111</v>
      </c>
      <c r="BH582" t="s">
        <v>111</v>
      </c>
      <c r="BI582" t="s">
        <v>111</v>
      </c>
      <c r="BJ582" t="s">
        <v>111</v>
      </c>
      <c r="BK582" t="s">
        <v>111</v>
      </c>
      <c r="BL582" t="s">
        <v>111</v>
      </c>
      <c r="BM582" t="s">
        <v>111</v>
      </c>
      <c r="BN582" t="s">
        <v>111</v>
      </c>
      <c r="BO582" t="s">
        <v>111</v>
      </c>
      <c r="BP582" t="s">
        <v>111</v>
      </c>
      <c r="BQ582" t="s">
        <v>111</v>
      </c>
      <c r="BR582" t="s">
        <v>111</v>
      </c>
      <c r="BS582" t="s">
        <v>111</v>
      </c>
      <c r="BT582" t="s">
        <v>111</v>
      </c>
      <c r="BU582" t="s">
        <v>111</v>
      </c>
      <c r="BV582" t="s">
        <v>111</v>
      </c>
      <c r="BW582" t="s">
        <v>111</v>
      </c>
      <c r="BX582" t="s">
        <v>111</v>
      </c>
      <c r="BY582" t="s">
        <v>111</v>
      </c>
      <c r="BZ582" t="s">
        <v>111</v>
      </c>
      <c r="CA582" t="s">
        <v>111</v>
      </c>
      <c r="CB582" t="s">
        <v>111</v>
      </c>
      <c r="CC582" t="s">
        <v>111</v>
      </c>
      <c r="CD582" t="s">
        <v>111</v>
      </c>
      <c r="CE582" t="s">
        <v>111</v>
      </c>
      <c r="CF582" t="s">
        <v>111</v>
      </c>
      <c r="CG582" t="s">
        <v>111</v>
      </c>
      <c r="CH582" t="s">
        <v>111</v>
      </c>
      <c r="CI582" t="s">
        <v>111</v>
      </c>
      <c r="CJ582" t="s">
        <v>111</v>
      </c>
      <c r="CK582" t="s">
        <v>111</v>
      </c>
      <c r="CL582" t="s">
        <v>111</v>
      </c>
      <c r="CM582" t="s">
        <v>135</v>
      </c>
      <c r="CN582" t="s">
        <v>113</v>
      </c>
      <c r="CO582" t="s">
        <v>885</v>
      </c>
      <c r="CP582" t="s">
        <v>563</v>
      </c>
      <c r="CQ582">
        <v>0</v>
      </c>
      <c r="CR582">
        <v>750</v>
      </c>
      <c r="CS582">
        <v>50</v>
      </c>
      <c r="CT582" t="e">
        <f>-BIEN EMPACADO PARA TROQUELAR</f>
        <v>#NAME?</v>
      </c>
      <c r="CU582">
        <v>0</v>
      </c>
      <c r="CV582" t="s">
        <v>111</v>
      </c>
      <c r="CX582" t="s">
        <v>111</v>
      </c>
      <c r="CY582">
        <v>0</v>
      </c>
      <c r="CZ582" t="s">
        <v>111</v>
      </c>
      <c r="DA582" t="s">
        <v>111</v>
      </c>
      <c r="DB582" t="e">
        <f>-EXTERNO</f>
        <v>#NAME?</v>
      </c>
      <c r="DC582" t="e">
        <f>-COLOCAR CORDON</f>
        <v>#NAME?</v>
      </c>
    </row>
    <row r="583" spans="1:107">
      <c r="A583">
        <v>2035</v>
      </c>
      <c r="B583" t="s">
        <v>376</v>
      </c>
      <c r="C583" t="s">
        <v>428</v>
      </c>
      <c r="D583" t="s">
        <v>2075</v>
      </c>
      <c r="E583" t="s">
        <v>2076</v>
      </c>
      <c r="F583" t="s">
        <v>739</v>
      </c>
      <c r="G583" t="s">
        <v>469</v>
      </c>
      <c r="H583">
        <v>3</v>
      </c>
      <c r="I583">
        <v>55</v>
      </c>
      <c r="J583">
        <v>0</v>
      </c>
      <c r="K583">
        <v>0</v>
      </c>
      <c r="L583" t="s">
        <v>112</v>
      </c>
      <c r="M583" t="s">
        <v>118</v>
      </c>
      <c r="N583">
        <v>39</v>
      </c>
      <c r="O583">
        <v>1</v>
      </c>
      <c r="P583" t="s">
        <v>111</v>
      </c>
      <c r="Q583">
        <v>2.83</v>
      </c>
      <c r="R583">
        <v>0</v>
      </c>
      <c r="S583">
        <v>0</v>
      </c>
      <c r="T583">
        <v>0</v>
      </c>
      <c r="U583" t="e">
        <f>- ALMACEN</f>
        <v>#NAME?</v>
      </c>
      <c r="V583">
        <v>0</v>
      </c>
      <c r="W583">
        <v>25</v>
      </c>
      <c r="X583">
        <v>6</v>
      </c>
      <c r="Y583">
        <v>0</v>
      </c>
      <c r="Z583" t="s">
        <v>288</v>
      </c>
      <c r="AA583">
        <v>1.2</v>
      </c>
      <c r="AB583" t="s">
        <v>111</v>
      </c>
      <c r="AC583">
        <v>0</v>
      </c>
      <c r="AD583" t="s">
        <v>111</v>
      </c>
      <c r="AE583">
        <v>0</v>
      </c>
      <c r="AF583">
        <v>0</v>
      </c>
      <c r="AG583" t="s">
        <v>111</v>
      </c>
      <c r="AH583" t="s">
        <v>111</v>
      </c>
      <c r="AI583" t="s">
        <v>111</v>
      </c>
      <c r="AJ583" t="s">
        <v>111</v>
      </c>
      <c r="AK583" t="s">
        <v>111</v>
      </c>
      <c r="AL583" t="s">
        <v>111</v>
      </c>
      <c r="AM583">
        <v>0</v>
      </c>
      <c r="AN583">
        <v>0</v>
      </c>
      <c r="AO583">
        <v>0</v>
      </c>
      <c r="AP583" t="s">
        <v>111</v>
      </c>
      <c r="AQ583" t="s">
        <v>111</v>
      </c>
      <c r="AR583" t="s">
        <v>111</v>
      </c>
      <c r="AS583" t="s">
        <v>111</v>
      </c>
      <c r="AT583" t="s">
        <v>111</v>
      </c>
      <c r="AU583" t="s">
        <v>111</v>
      </c>
      <c r="AV583" t="s">
        <v>111</v>
      </c>
      <c r="AW583" t="s">
        <v>111</v>
      </c>
      <c r="AX583" t="s">
        <v>111</v>
      </c>
      <c r="AY583" t="s">
        <v>111</v>
      </c>
      <c r="AZ583" t="s">
        <v>111</v>
      </c>
      <c r="BA583" t="s">
        <v>111</v>
      </c>
      <c r="BB583" t="s">
        <v>111</v>
      </c>
      <c r="BC583" t="s">
        <v>111</v>
      </c>
      <c r="BD583" t="s">
        <v>111</v>
      </c>
      <c r="BE583" t="s">
        <v>111</v>
      </c>
      <c r="BF583" t="s">
        <v>111</v>
      </c>
      <c r="BG583" t="s">
        <v>111</v>
      </c>
      <c r="BH583" t="s">
        <v>111</v>
      </c>
      <c r="BI583" t="s">
        <v>111</v>
      </c>
      <c r="BJ583" t="s">
        <v>111</v>
      </c>
      <c r="BK583" t="s">
        <v>111</v>
      </c>
      <c r="BL583" t="s">
        <v>111</v>
      </c>
      <c r="BM583" t="s">
        <v>111</v>
      </c>
      <c r="BN583" t="s">
        <v>111</v>
      </c>
      <c r="BO583" t="s">
        <v>111</v>
      </c>
      <c r="BP583" t="s">
        <v>111</v>
      </c>
      <c r="BQ583" t="s">
        <v>111</v>
      </c>
      <c r="BR583" t="s">
        <v>111</v>
      </c>
      <c r="BS583" t="s">
        <v>111</v>
      </c>
      <c r="BT583" t="s">
        <v>111</v>
      </c>
      <c r="BU583" t="s">
        <v>111</v>
      </c>
      <c r="BV583" t="s">
        <v>111</v>
      </c>
      <c r="BW583" t="s">
        <v>111</v>
      </c>
      <c r="BX583" t="s">
        <v>111</v>
      </c>
      <c r="BY583" t="s">
        <v>111</v>
      </c>
      <c r="BZ583" t="s">
        <v>111</v>
      </c>
      <c r="CA583" t="s">
        <v>111</v>
      </c>
      <c r="CB583" t="s">
        <v>111</v>
      </c>
      <c r="CC583" t="s">
        <v>111</v>
      </c>
      <c r="CD583" t="s">
        <v>111</v>
      </c>
      <c r="CE583" t="s">
        <v>111</v>
      </c>
      <c r="CF583" t="s">
        <v>111</v>
      </c>
      <c r="CG583" t="s">
        <v>111</v>
      </c>
      <c r="CH583" t="s">
        <v>111</v>
      </c>
      <c r="CI583" t="s">
        <v>111</v>
      </c>
      <c r="CJ583" t="s">
        <v>111</v>
      </c>
      <c r="CK583" t="s">
        <v>111</v>
      </c>
      <c r="CL583" t="s">
        <v>111</v>
      </c>
      <c r="CM583" t="s">
        <v>111</v>
      </c>
      <c r="CN583" t="s">
        <v>111</v>
      </c>
      <c r="CO583" t="s">
        <v>111</v>
      </c>
      <c r="CP583" t="s">
        <v>111</v>
      </c>
      <c r="CQ583">
        <v>0</v>
      </c>
      <c r="CR583">
        <v>0</v>
      </c>
      <c r="CS583">
        <v>0</v>
      </c>
      <c r="CT583" t="s">
        <v>111</v>
      </c>
      <c r="CU583">
        <v>0</v>
      </c>
      <c r="CV583" t="s">
        <v>111</v>
      </c>
      <c r="CX583" t="s">
        <v>111</v>
      </c>
      <c r="CY583">
        <v>0</v>
      </c>
      <c r="CZ583" t="s">
        <v>111</v>
      </c>
      <c r="DA583" t="s">
        <v>111</v>
      </c>
      <c r="DB583" t="e">
        <f>- EXTERNO</f>
        <v>#NAME?</v>
      </c>
      <c r="DC583" t="e">
        <f>- SELLE E IMPRESION</f>
        <v>#NAME?</v>
      </c>
    </row>
    <row r="584" spans="1:107">
      <c r="A584">
        <v>2036</v>
      </c>
      <c r="B584" t="s">
        <v>376</v>
      </c>
      <c r="C584" t="s">
        <v>2077</v>
      </c>
      <c r="D584" t="s">
        <v>2078</v>
      </c>
      <c r="E584" t="s">
        <v>2079</v>
      </c>
      <c r="F584" t="s">
        <v>192</v>
      </c>
      <c r="G584" t="s">
        <v>469</v>
      </c>
      <c r="H584">
        <v>7.5</v>
      </c>
      <c r="I584">
        <v>30</v>
      </c>
      <c r="J584">
        <v>0</v>
      </c>
      <c r="K584">
        <v>0</v>
      </c>
      <c r="L584" t="s">
        <v>112</v>
      </c>
      <c r="M584" t="s">
        <v>111</v>
      </c>
      <c r="N584">
        <v>0</v>
      </c>
      <c r="O584">
        <v>0</v>
      </c>
      <c r="P584" t="s">
        <v>111</v>
      </c>
      <c r="Q584">
        <v>40.799999999999997</v>
      </c>
      <c r="R584">
        <v>0</v>
      </c>
      <c r="S584">
        <v>0</v>
      </c>
      <c r="T584">
        <v>5</v>
      </c>
      <c r="U584" s="1" t="s">
        <v>2080</v>
      </c>
      <c r="V584">
        <v>0</v>
      </c>
      <c r="W584">
        <v>25</v>
      </c>
      <c r="X584">
        <v>0</v>
      </c>
      <c r="Y584">
        <v>0</v>
      </c>
      <c r="Z584" t="s">
        <v>111</v>
      </c>
      <c r="AA584">
        <v>0</v>
      </c>
      <c r="AB584" t="s">
        <v>111</v>
      </c>
      <c r="AC584">
        <v>0</v>
      </c>
      <c r="AD584" t="s">
        <v>111</v>
      </c>
      <c r="AE584">
        <v>0</v>
      </c>
      <c r="AF584">
        <v>0</v>
      </c>
      <c r="AG584" t="s">
        <v>111</v>
      </c>
      <c r="AH584" t="s">
        <v>111</v>
      </c>
      <c r="AI584" t="s">
        <v>111</v>
      </c>
      <c r="AJ584" t="s">
        <v>111</v>
      </c>
      <c r="AK584" t="s">
        <v>111</v>
      </c>
      <c r="AL584" t="s">
        <v>111</v>
      </c>
      <c r="AM584">
        <v>0</v>
      </c>
      <c r="AN584">
        <v>0</v>
      </c>
      <c r="AO584">
        <v>0</v>
      </c>
      <c r="AP584" t="s">
        <v>111</v>
      </c>
      <c r="AQ584" t="s">
        <v>111</v>
      </c>
      <c r="AR584" t="s">
        <v>111</v>
      </c>
      <c r="AS584" t="s">
        <v>111</v>
      </c>
      <c r="AT584" t="s">
        <v>111</v>
      </c>
      <c r="AU584" t="s">
        <v>111</v>
      </c>
      <c r="AV584" t="s">
        <v>111</v>
      </c>
      <c r="AW584" t="s">
        <v>111</v>
      </c>
      <c r="AX584" t="s">
        <v>111</v>
      </c>
      <c r="AY584" t="s">
        <v>111</v>
      </c>
      <c r="AZ584" t="s">
        <v>111</v>
      </c>
      <c r="BA584" t="s">
        <v>111</v>
      </c>
      <c r="BB584" t="s">
        <v>111</v>
      </c>
      <c r="BC584" t="s">
        <v>111</v>
      </c>
      <c r="BD584" t="s">
        <v>111</v>
      </c>
      <c r="BE584" t="s">
        <v>111</v>
      </c>
      <c r="BF584" t="s">
        <v>111</v>
      </c>
      <c r="BG584" t="s">
        <v>111</v>
      </c>
      <c r="BH584" t="s">
        <v>111</v>
      </c>
      <c r="BI584" t="s">
        <v>111</v>
      </c>
      <c r="BJ584" t="s">
        <v>111</v>
      </c>
      <c r="BK584" t="s">
        <v>111</v>
      </c>
      <c r="BL584" t="s">
        <v>111</v>
      </c>
      <c r="BM584" t="s">
        <v>111</v>
      </c>
      <c r="BN584" t="s">
        <v>111</v>
      </c>
      <c r="BO584" t="s">
        <v>111</v>
      </c>
      <c r="BP584" t="s">
        <v>111</v>
      </c>
      <c r="BQ584" t="s">
        <v>111</v>
      </c>
      <c r="BR584" t="s">
        <v>111</v>
      </c>
      <c r="BS584" t="s">
        <v>111</v>
      </c>
      <c r="BT584" t="s">
        <v>111</v>
      </c>
      <c r="BU584" t="s">
        <v>111</v>
      </c>
      <c r="BV584" t="s">
        <v>111</v>
      </c>
      <c r="BW584" t="s">
        <v>111</v>
      </c>
      <c r="BX584" t="s">
        <v>111</v>
      </c>
      <c r="BY584" t="s">
        <v>111</v>
      </c>
      <c r="BZ584" t="s">
        <v>111</v>
      </c>
      <c r="CA584" t="s">
        <v>111</v>
      </c>
      <c r="CB584" t="s">
        <v>111</v>
      </c>
      <c r="CC584" t="s">
        <v>111</v>
      </c>
      <c r="CD584" t="s">
        <v>111</v>
      </c>
      <c r="CE584" t="s">
        <v>111</v>
      </c>
      <c r="CF584" t="s">
        <v>111</v>
      </c>
      <c r="CG584" t="s">
        <v>111</v>
      </c>
      <c r="CH584" t="s">
        <v>111</v>
      </c>
      <c r="CI584" t="s">
        <v>111</v>
      </c>
      <c r="CJ584" t="s">
        <v>111</v>
      </c>
      <c r="CK584" t="s">
        <v>111</v>
      </c>
      <c r="CL584" t="s">
        <v>1175</v>
      </c>
      <c r="CM584" t="s">
        <v>198</v>
      </c>
      <c r="CN584" t="s">
        <v>128</v>
      </c>
      <c r="CO584" t="s">
        <v>111</v>
      </c>
      <c r="CP584" t="s">
        <v>111</v>
      </c>
      <c r="CQ584">
        <v>0</v>
      </c>
      <c r="CR584">
        <v>1000</v>
      </c>
      <c r="CS584">
        <v>20</v>
      </c>
      <c r="CT584" t="s">
        <v>111</v>
      </c>
      <c r="CU584">
        <v>0</v>
      </c>
      <c r="CV584" t="s">
        <v>111</v>
      </c>
      <c r="CX584" t="s">
        <v>111</v>
      </c>
      <c r="CY584">
        <v>0</v>
      </c>
      <c r="CZ584" t="s">
        <v>111</v>
      </c>
      <c r="DA584" t="s">
        <v>111</v>
      </c>
      <c r="DB584" t="e">
        <f>- MANUAL INTERNO</f>
        <v>#NAME?</v>
      </c>
      <c r="DC584" t="e">
        <f>- SELLE MANUAL</f>
        <v>#NAME?</v>
      </c>
    </row>
    <row r="585" spans="1:107">
      <c r="A585">
        <v>1750</v>
      </c>
      <c r="B585" t="s">
        <v>107</v>
      </c>
      <c r="C585" t="s">
        <v>405</v>
      </c>
      <c r="D585" t="s">
        <v>2081</v>
      </c>
      <c r="E585" t="s">
        <v>2082</v>
      </c>
      <c r="F585" t="s">
        <v>157</v>
      </c>
      <c r="G585" t="s">
        <v>469</v>
      </c>
      <c r="H585">
        <v>1.9</v>
      </c>
      <c r="I585">
        <v>36</v>
      </c>
      <c r="J585">
        <v>0</v>
      </c>
      <c r="K585">
        <v>0</v>
      </c>
      <c r="L585" t="s">
        <v>112</v>
      </c>
      <c r="M585" t="s">
        <v>118</v>
      </c>
      <c r="N585">
        <v>39</v>
      </c>
      <c r="O585">
        <v>1</v>
      </c>
      <c r="P585" t="s">
        <v>138</v>
      </c>
      <c r="Q585">
        <v>35</v>
      </c>
      <c r="R585">
        <v>0</v>
      </c>
      <c r="S585">
        <v>0</v>
      </c>
      <c r="T585">
        <v>0</v>
      </c>
      <c r="U585" s="1" t="s">
        <v>2083</v>
      </c>
      <c r="V585">
        <v>0</v>
      </c>
      <c r="W585">
        <v>25</v>
      </c>
      <c r="X585">
        <v>5</v>
      </c>
      <c r="Y585">
        <v>0</v>
      </c>
      <c r="Z585" t="s">
        <v>111</v>
      </c>
      <c r="AA585">
        <v>0</v>
      </c>
      <c r="AB585" t="s">
        <v>111</v>
      </c>
      <c r="AC585">
        <v>0</v>
      </c>
      <c r="AD585" t="s">
        <v>111</v>
      </c>
      <c r="AE585">
        <v>0</v>
      </c>
      <c r="AF585">
        <v>0</v>
      </c>
      <c r="AG585" t="s">
        <v>111</v>
      </c>
      <c r="AH585" t="s">
        <v>111</v>
      </c>
      <c r="AI585" t="s">
        <v>111</v>
      </c>
      <c r="AJ585" t="s">
        <v>111</v>
      </c>
      <c r="AK585" t="s">
        <v>111</v>
      </c>
      <c r="AL585" t="s">
        <v>111</v>
      </c>
      <c r="AM585">
        <v>0</v>
      </c>
      <c r="AN585">
        <v>0</v>
      </c>
      <c r="AO585">
        <v>0</v>
      </c>
      <c r="AP585" t="s">
        <v>111</v>
      </c>
      <c r="AQ585" t="s">
        <v>111</v>
      </c>
      <c r="AR585" t="s">
        <v>111</v>
      </c>
      <c r="AS585" t="s">
        <v>111</v>
      </c>
      <c r="AT585" t="s">
        <v>111</v>
      </c>
      <c r="AU585" t="s">
        <v>111</v>
      </c>
      <c r="AV585" t="s">
        <v>111</v>
      </c>
      <c r="AW585" t="s">
        <v>111</v>
      </c>
      <c r="AX585" t="s">
        <v>111</v>
      </c>
      <c r="AY585" t="s">
        <v>111</v>
      </c>
      <c r="AZ585" t="s">
        <v>111</v>
      </c>
      <c r="BA585" t="s">
        <v>111</v>
      </c>
      <c r="BB585" t="s">
        <v>111</v>
      </c>
      <c r="BC585" t="s">
        <v>111</v>
      </c>
      <c r="BD585" t="s">
        <v>111</v>
      </c>
      <c r="BE585" t="s">
        <v>111</v>
      </c>
      <c r="BF585" t="s">
        <v>111</v>
      </c>
      <c r="BG585" t="s">
        <v>111</v>
      </c>
      <c r="BH585" t="s">
        <v>111</v>
      </c>
      <c r="BI585" t="s">
        <v>111</v>
      </c>
      <c r="BJ585" t="s">
        <v>111</v>
      </c>
      <c r="BK585" t="s">
        <v>111</v>
      </c>
      <c r="BL585" t="s">
        <v>111</v>
      </c>
      <c r="BM585" t="s">
        <v>111</v>
      </c>
      <c r="BN585" t="s">
        <v>111</v>
      </c>
      <c r="BO585" t="s">
        <v>111</v>
      </c>
      <c r="BP585" t="s">
        <v>111</v>
      </c>
      <c r="BQ585" t="s">
        <v>111</v>
      </c>
      <c r="BR585" t="s">
        <v>111</v>
      </c>
      <c r="BS585" t="s">
        <v>111</v>
      </c>
      <c r="BT585" t="s">
        <v>111</v>
      </c>
      <c r="BU585" t="s">
        <v>111</v>
      </c>
      <c r="BV585" t="s">
        <v>111</v>
      </c>
      <c r="BW585" t="s">
        <v>111</v>
      </c>
      <c r="BX585" t="s">
        <v>111</v>
      </c>
      <c r="BY585" t="s">
        <v>111</v>
      </c>
      <c r="BZ585" t="s">
        <v>111</v>
      </c>
      <c r="CA585" t="s">
        <v>111</v>
      </c>
      <c r="CB585" t="s">
        <v>111</v>
      </c>
      <c r="CC585" t="s">
        <v>111</v>
      </c>
      <c r="CD585" t="s">
        <v>111</v>
      </c>
      <c r="CE585" t="s">
        <v>111</v>
      </c>
      <c r="CF585" t="s">
        <v>111</v>
      </c>
      <c r="CG585" t="s">
        <v>111</v>
      </c>
      <c r="CH585" t="s">
        <v>111</v>
      </c>
      <c r="CI585" t="s">
        <v>111</v>
      </c>
      <c r="CJ585" t="s">
        <v>111</v>
      </c>
      <c r="CK585" t="s">
        <v>111</v>
      </c>
      <c r="CL585" t="s">
        <v>111</v>
      </c>
      <c r="CM585" t="s">
        <v>111</v>
      </c>
      <c r="CN585" t="s">
        <v>111</v>
      </c>
      <c r="CO585" t="s">
        <v>111</v>
      </c>
      <c r="CP585" t="s">
        <v>111</v>
      </c>
      <c r="CQ585">
        <v>0</v>
      </c>
      <c r="CR585">
        <v>0</v>
      </c>
      <c r="CS585">
        <v>0</v>
      </c>
      <c r="CT585" t="s">
        <v>111</v>
      </c>
      <c r="CU585">
        <v>0</v>
      </c>
      <c r="CV585" t="s">
        <v>111</v>
      </c>
      <c r="CX585" t="s">
        <v>111</v>
      </c>
      <c r="CY585">
        <v>0</v>
      </c>
      <c r="CZ585" t="s">
        <v>111</v>
      </c>
      <c r="DA585" t="s">
        <v>111</v>
      </c>
      <c r="DB585" t="s">
        <v>111</v>
      </c>
      <c r="DC585" t="s">
        <v>111</v>
      </c>
    </row>
    <row r="586" spans="1:107">
      <c r="A586">
        <v>1749</v>
      </c>
      <c r="B586" t="s">
        <v>107</v>
      </c>
      <c r="C586" t="s">
        <v>405</v>
      </c>
      <c r="D586" t="s">
        <v>2084</v>
      </c>
      <c r="E586" t="s">
        <v>2085</v>
      </c>
      <c r="F586" t="s">
        <v>157</v>
      </c>
      <c r="G586" t="s">
        <v>469</v>
      </c>
      <c r="H586">
        <v>0.9</v>
      </c>
      <c r="I586">
        <v>37.5</v>
      </c>
      <c r="J586">
        <v>0</v>
      </c>
      <c r="K586">
        <v>0</v>
      </c>
      <c r="L586" t="s">
        <v>112</v>
      </c>
      <c r="M586" t="s">
        <v>118</v>
      </c>
      <c r="N586">
        <v>39</v>
      </c>
      <c r="O586">
        <v>2</v>
      </c>
      <c r="P586" t="s">
        <v>138</v>
      </c>
      <c r="Q586">
        <v>40</v>
      </c>
      <c r="R586">
        <v>0</v>
      </c>
      <c r="S586">
        <v>0</v>
      </c>
      <c r="T586">
        <v>0</v>
      </c>
      <c r="U586" s="1" t="s">
        <v>2086</v>
      </c>
      <c r="V586">
        <v>0</v>
      </c>
      <c r="W586">
        <v>25</v>
      </c>
      <c r="X586">
        <v>5</v>
      </c>
      <c r="Y586">
        <v>0</v>
      </c>
      <c r="Z586" t="s">
        <v>111</v>
      </c>
      <c r="AA586">
        <v>0</v>
      </c>
      <c r="AB586" t="s">
        <v>111</v>
      </c>
      <c r="AC586">
        <v>0</v>
      </c>
      <c r="AD586" t="s">
        <v>111</v>
      </c>
      <c r="AE586">
        <v>0</v>
      </c>
      <c r="AF586">
        <v>0</v>
      </c>
      <c r="AG586" t="s">
        <v>111</v>
      </c>
      <c r="AH586" t="s">
        <v>111</v>
      </c>
      <c r="AI586" t="s">
        <v>111</v>
      </c>
      <c r="AJ586" t="s">
        <v>111</v>
      </c>
      <c r="AK586" t="s">
        <v>111</v>
      </c>
      <c r="AL586" t="s">
        <v>111</v>
      </c>
      <c r="AM586">
        <v>0</v>
      </c>
      <c r="AN586">
        <v>0</v>
      </c>
      <c r="AO586">
        <v>0</v>
      </c>
      <c r="AP586" t="s">
        <v>111</v>
      </c>
      <c r="AQ586" t="s">
        <v>111</v>
      </c>
      <c r="AR586" t="s">
        <v>111</v>
      </c>
      <c r="AS586" t="s">
        <v>111</v>
      </c>
      <c r="AT586" t="s">
        <v>111</v>
      </c>
      <c r="AU586" t="s">
        <v>111</v>
      </c>
      <c r="AV586" t="s">
        <v>111</v>
      </c>
      <c r="AW586" t="s">
        <v>111</v>
      </c>
      <c r="AX586" t="s">
        <v>111</v>
      </c>
      <c r="AY586" t="s">
        <v>111</v>
      </c>
      <c r="AZ586" t="s">
        <v>111</v>
      </c>
      <c r="BA586" t="s">
        <v>111</v>
      </c>
      <c r="BB586" t="s">
        <v>111</v>
      </c>
      <c r="BC586" t="s">
        <v>111</v>
      </c>
      <c r="BD586" t="s">
        <v>111</v>
      </c>
      <c r="BE586" t="s">
        <v>111</v>
      </c>
      <c r="BF586" t="s">
        <v>111</v>
      </c>
      <c r="BG586" t="s">
        <v>111</v>
      </c>
      <c r="BH586" t="s">
        <v>111</v>
      </c>
      <c r="BI586" t="s">
        <v>111</v>
      </c>
      <c r="BJ586" t="s">
        <v>111</v>
      </c>
      <c r="BK586" t="s">
        <v>111</v>
      </c>
      <c r="BL586" t="s">
        <v>111</v>
      </c>
      <c r="BM586" t="s">
        <v>111</v>
      </c>
      <c r="BN586" t="s">
        <v>111</v>
      </c>
      <c r="BO586" t="s">
        <v>111</v>
      </c>
      <c r="BP586" t="s">
        <v>111</v>
      </c>
      <c r="BQ586" t="s">
        <v>111</v>
      </c>
      <c r="BR586" t="s">
        <v>111</v>
      </c>
      <c r="BS586" t="s">
        <v>111</v>
      </c>
      <c r="BT586" t="s">
        <v>111</v>
      </c>
      <c r="BU586" t="s">
        <v>111</v>
      </c>
      <c r="BV586" t="s">
        <v>111</v>
      </c>
      <c r="BW586" t="s">
        <v>111</v>
      </c>
      <c r="BX586" t="s">
        <v>111</v>
      </c>
      <c r="BY586" t="s">
        <v>111</v>
      </c>
      <c r="BZ586" t="s">
        <v>111</v>
      </c>
      <c r="CA586" t="s">
        <v>111</v>
      </c>
      <c r="CB586" t="s">
        <v>111</v>
      </c>
      <c r="CC586" t="s">
        <v>111</v>
      </c>
      <c r="CD586" t="s">
        <v>111</v>
      </c>
      <c r="CE586" t="s">
        <v>111</v>
      </c>
      <c r="CF586" t="s">
        <v>111</v>
      </c>
      <c r="CG586" t="s">
        <v>111</v>
      </c>
      <c r="CH586" t="s">
        <v>111</v>
      </c>
      <c r="CI586" t="s">
        <v>111</v>
      </c>
      <c r="CJ586" t="s">
        <v>111</v>
      </c>
      <c r="CK586" t="s">
        <v>111</v>
      </c>
      <c r="CL586" t="s">
        <v>111</v>
      </c>
      <c r="CM586" t="s">
        <v>111</v>
      </c>
      <c r="CN586" t="s">
        <v>111</v>
      </c>
      <c r="CO586" t="s">
        <v>111</v>
      </c>
      <c r="CP586" t="s">
        <v>111</v>
      </c>
      <c r="CQ586">
        <v>0</v>
      </c>
      <c r="CR586">
        <v>0</v>
      </c>
      <c r="CS586">
        <v>0</v>
      </c>
      <c r="CT586" t="s">
        <v>111</v>
      </c>
      <c r="CU586">
        <v>0</v>
      </c>
      <c r="CV586" t="s">
        <v>111</v>
      </c>
      <c r="CX586" t="s">
        <v>111</v>
      </c>
      <c r="CY586">
        <v>0</v>
      </c>
      <c r="CZ586" t="s">
        <v>111</v>
      </c>
      <c r="DA586" t="s">
        <v>111</v>
      </c>
      <c r="DB586" t="s">
        <v>111</v>
      </c>
      <c r="DC586" t="s">
        <v>111</v>
      </c>
    </row>
    <row r="587" spans="1:107">
      <c r="A587">
        <v>1748</v>
      </c>
      <c r="B587" t="s">
        <v>107</v>
      </c>
      <c r="C587" t="s">
        <v>405</v>
      </c>
      <c r="D587" t="s">
        <v>2087</v>
      </c>
      <c r="E587" t="s">
        <v>2088</v>
      </c>
      <c r="F587" t="s">
        <v>996</v>
      </c>
      <c r="G587" t="s">
        <v>469</v>
      </c>
      <c r="H587">
        <v>2.4</v>
      </c>
      <c r="I587">
        <v>90</v>
      </c>
      <c r="J587">
        <v>0</v>
      </c>
      <c r="K587">
        <v>0</v>
      </c>
      <c r="L587" t="s">
        <v>117</v>
      </c>
      <c r="M587" t="s">
        <v>118</v>
      </c>
      <c r="N587">
        <v>39</v>
      </c>
      <c r="O587">
        <v>1</v>
      </c>
      <c r="P587" t="s">
        <v>138</v>
      </c>
      <c r="Q587">
        <v>35</v>
      </c>
      <c r="R587">
        <v>0</v>
      </c>
      <c r="S587">
        <v>0</v>
      </c>
      <c r="T587">
        <v>0</v>
      </c>
      <c r="U587" s="1" t="s">
        <v>2089</v>
      </c>
      <c r="V587">
        <v>0</v>
      </c>
      <c r="W587">
        <v>25</v>
      </c>
      <c r="X587">
        <v>5</v>
      </c>
      <c r="Y587">
        <v>0</v>
      </c>
      <c r="Z587" t="s">
        <v>288</v>
      </c>
      <c r="AA587">
        <v>1.2</v>
      </c>
      <c r="AB587" t="s">
        <v>111</v>
      </c>
      <c r="AC587">
        <v>0</v>
      </c>
      <c r="AD587" t="s">
        <v>111</v>
      </c>
      <c r="AE587">
        <v>0</v>
      </c>
      <c r="AF587">
        <v>0</v>
      </c>
      <c r="AG587" t="s">
        <v>111</v>
      </c>
      <c r="AH587" t="s">
        <v>111</v>
      </c>
      <c r="AI587" t="s">
        <v>111</v>
      </c>
      <c r="AJ587" t="s">
        <v>111</v>
      </c>
      <c r="AK587" t="s">
        <v>111</v>
      </c>
      <c r="AL587" t="s">
        <v>111</v>
      </c>
      <c r="AM587">
        <v>0</v>
      </c>
      <c r="AN587">
        <v>0</v>
      </c>
      <c r="AO587">
        <v>0</v>
      </c>
      <c r="AP587" t="s">
        <v>111</v>
      </c>
      <c r="AQ587" t="s">
        <v>111</v>
      </c>
      <c r="AR587" t="s">
        <v>111</v>
      </c>
      <c r="AS587" t="s">
        <v>111</v>
      </c>
      <c r="AT587" t="s">
        <v>111</v>
      </c>
      <c r="AU587" t="s">
        <v>111</v>
      </c>
      <c r="AV587" t="s">
        <v>111</v>
      </c>
      <c r="AW587" t="s">
        <v>111</v>
      </c>
      <c r="AX587" t="s">
        <v>111</v>
      </c>
      <c r="AY587" t="s">
        <v>111</v>
      </c>
      <c r="AZ587" t="s">
        <v>111</v>
      </c>
      <c r="BA587" t="s">
        <v>111</v>
      </c>
      <c r="BB587" t="s">
        <v>111</v>
      </c>
      <c r="BC587" t="s">
        <v>111</v>
      </c>
      <c r="BD587" t="s">
        <v>111</v>
      </c>
      <c r="BE587" t="s">
        <v>111</v>
      </c>
      <c r="BF587" t="s">
        <v>111</v>
      </c>
      <c r="BG587" t="s">
        <v>111</v>
      </c>
      <c r="BH587" t="s">
        <v>111</v>
      </c>
      <c r="BI587" t="s">
        <v>111</v>
      </c>
      <c r="BJ587" t="s">
        <v>111</v>
      </c>
      <c r="BK587" t="s">
        <v>111</v>
      </c>
      <c r="BL587" t="s">
        <v>111</v>
      </c>
      <c r="BM587" t="s">
        <v>111</v>
      </c>
      <c r="BN587" t="s">
        <v>111</v>
      </c>
      <c r="BO587" t="s">
        <v>111</v>
      </c>
      <c r="BP587" t="s">
        <v>111</v>
      </c>
      <c r="BQ587" t="s">
        <v>111</v>
      </c>
      <c r="BR587" t="s">
        <v>111</v>
      </c>
      <c r="BS587" t="s">
        <v>111</v>
      </c>
      <c r="BT587" t="s">
        <v>111</v>
      </c>
      <c r="BU587" t="s">
        <v>111</v>
      </c>
      <c r="BV587" t="s">
        <v>111</v>
      </c>
      <c r="BW587" t="s">
        <v>111</v>
      </c>
      <c r="BX587" t="s">
        <v>111</v>
      </c>
      <c r="BY587" t="s">
        <v>111</v>
      </c>
      <c r="BZ587" t="s">
        <v>111</v>
      </c>
      <c r="CA587" t="s">
        <v>111</v>
      </c>
      <c r="CB587" t="s">
        <v>111</v>
      </c>
      <c r="CC587" t="s">
        <v>111</v>
      </c>
      <c r="CD587" t="s">
        <v>111</v>
      </c>
      <c r="CE587" t="s">
        <v>111</v>
      </c>
      <c r="CF587" t="s">
        <v>111</v>
      </c>
      <c r="CG587" t="s">
        <v>111</v>
      </c>
      <c r="CH587" t="s">
        <v>111</v>
      </c>
      <c r="CI587" t="s">
        <v>111</v>
      </c>
      <c r="CJ587" t="s">
        <v>111</v>
      </c>
      <c r="CK587" t="s">
        <v>111</v>
      </c>
      <c r="CL587" t="s">
        <v>111</v>
      </c>
      <c r="CM587" t="s">
        <v>111</v>
      </c>
      <c r="CN587" t="s">
        <v>111</v>
      </c>
      <c r="CO587" t="s">
        <v>111</v>
      </c>
      <c r="CP587" t="s">
        <v>111</v>
      </c>
      <c r="CQ587">
        <v>0</v>
      </c>
      <c r="CR587">
        <v>0</v>
      </c>
      <c r="CS587">
        <v>0</v>
      </c>
      <c r="CT587" t="s">
        <v>111</v>
      </c>
      <c r="CU587">
        <v>0</v>
      </c>
      <c r="CV587" t="s">
        <v>111</v>
      </c>
      <c r="CX587" t="s">
        <v>111</v>
      </c>
      <c r="CY587">
        <v>0</v>
      </c>
      <c r="CZ587" t="s">
        <v>111</v>
      </c>
      <c r="DA587" t="s">
        <v>111</v>
      </c>
      <c r="DB587" t="s">
        <v>111</v>
      </c>
      <c r="DC587" t="s">
        <v>111</v>
      </c>
    </row>
    <row r="588" spans="1:107">
      <c r="A588">
        <v>2031</v>
      </c>
      <c r="B588" t="s">
        <v>376</v>
      </c>
      <c r="C588" t="s">
        <v>180</v>
      </c>
      <c r="D588" t="s">
        <v>2090</v>
      </c>
      <c r="E588" t="s">
        <v>2091</v>
      </c>
      <c r="F588" t="s">
        <v>1651</v>
      </c>
      <c r="G588" t="s">
        <v>469</v>
      </c>
      <c r="H588">
        <v>2</v>
      </c>
      <c r="I588">
        <v>40</v>
      </c>
      <c r="J588">
        <v>0</v>
      </c>
      <c r="K588">
        <v>0</v>
      </c>
      <c r="L588" t="s">
        <v>117</v>
      </c>
      <c r="M588" t="s">
        <v>118</v>
      </c>
      <c r="N588">
        <v>39</v>
      </c>
      <c r="O588">
        <v>1</v>
      </c>
      <c r="P588" t="s">
        <v>111</v>
      </c>
      <c r="Q588">
        <v>32.6</v>
      </c>
      <c r="R588">
        <v>0</v>
      </c>
      <c r="S588">
        <v>0</v>
      </c>
      <c r="T588">
        <v>5</v>
      </c>
      <c r="U588" s="1" t="s">
        <v>1996</v>
      </c>
      <c r="V588">
        <v>0</v>
      </c>
      <c r="W588">
        <v>0</v>
      </c>
      <c r="X588">
        <v>0</v>
      </c>
      <c r="Y588">
        <v>25</v>
      </c>
      <c r="Z588" t="s">
        <v>111</v>
      </c>
      <c r="AA588">
        <v>0</v>
      </c>
      <c r="AB588" t="s">
        <v>111</v>
      </c>
      <c r="AC588">
        <v>0</v>
      </c>
      <c r="AD588" t="s">
        <v>416</v>
      </c>
      <c r="AE588">
        <v>0</v>
      </c>
      <c r="AF588">
        <v>1</v>
      </c>
      <c r="AG588" t="s">
        <v>111</v>
      </c>
      <c r="AH588" t="s">
        <v>111</v>
      </c>
      <c r="AI588" t="s">
        <v>111</v>
      </c>
      <c r="AJ588" t="s">
        <v>111</v>
      </c>
      <c r="AK588" t="s">
        <v>111</v>
      </c>
      <c r="AL588" t="s">
        <v>111</v>
      </c>
      <c r="AM588">
        <v>0</v>
      </c>
      <c r="AN588">
        <v>0</v>
      </c>
      <c r="AO588">
        <v>0</v>
      </c>
      <c r="AP588" t="s">
        <v>111</v>
      </c>
      <c r="AQ588" t="s">
        <v>111</v>
      </c>
      <c r="AR588" t="s">
        <v>111</v>
      </c>
      <c r="AS588" t="s">
        <v>111</v>
      </c>
      <c r="AT588" t="s">
        <v>111</v>
      </c>
      <c r="AU588" t="s">
        <v>111</v>
      </c>
      <c r="AV588" t="s">
        <v>111</v>
      </c>
      <c r="AW588" t="s">
        <v>111</v>
      </c>
      <c r="AX588" t="s">
        <v>111</v>
      </c>
      <c r="AY588" t="s">
        <v>111</v>
      </c>
      <c r="AZ588" t="s">
        <v>111</v>
      </c>
      <c r="BA588" t="s">
        <v>111</v>
      </c>
      <c r="BB588" t="s">
        <v>111</v>
      </c>
      <c r="BC588" t="s">
        <v>111</v>
      </c>
      <c r="BD588" t="s">
        <v>111</v>
      </c>
      <c r="BE588" t="s">
        <v>111</v>
      </c>
      <c r="BF588" t="s">
        <v>111</v>
      </c>
      <c r="BG588" t="s">
        <v>111</v>
      </c>
      <c r="BH588" t="s">
        <v>111</v>
      </c>
      <c r="BI588" t="s">
        <v>111</v>
      </c>
      <c r="BJ588" t="s">
        <v>111</v>
      </c>
      <c r="BK588" t="s">
        <v>111</v>
      </c>
      <c r="BL588" t="s">
        <v>111</v>
      </c>
      <c r="BM588" t="s">
        <v>111</v>
      </c>
      <c r="BN588" t="s">
        <v>111</v>
      </c>
      <c r="BO588" t="s">
        <v>111</v>
      </c>
      <c r="BP588" t="s">
        <v>111</v>
      </c>
      <c r="BQ588" t="s">
        <v>111</v>
      </c>
      <c r="BR588" t="s">
        <v>111</v>
      </c>
      <c r="BS588" t="s">
        <v>111</v>
      </c>
      <c r="BT588" t="s">
        <v>111</v>
      </c>
      <c r="BU588" t="s">
        <v>111</v>
      </c>
      <c r="BV588" t="s">
        <v>111</v>
      </c>
      <c r="BW588" t="s">
        <v>111</v>
      </c>
      <c r="BX588" t="s">
        <v>111</v>
      </c>
      <c r="BY588" t="s">
        <v>111</v>
      </c>
      <c r="BZ588" t="s">
        <v>111</v>
      </c>
      <c r="CA588" t="s">
        <v>111</v>
      </c>
      <c r="CB588" t="s">
        <v>111</v>
      </c>
      <c r="CC588" t="s">
        <v>111</v>
      </c>
      <c r="CD588" t="s">
        <v>111</v>
      </c>
      <c r="CE588" t="s">
        <v>111</v>
      </c>
      <c r="CF588" t="s">
        <v>111</v>
      </c>
      <c r="CG588" t="s">
        <v>111</v>
      </c>
      <c r="CH588" t="s">
        <v>111</v>
      </c>
      <c r="CI588" t="s">
        <v>111</v>
      </c>
      <c r="CJ588" t="s">
        <v>111</v>
      </c>
      <c r="CK588" t="s">
        <v>111</v>
      </c>
      <c r="CL588" t="s">
        <v>111</v>
      </c>
      <c r="CM588" t="s">
        <v>135</v>
      </c>
      <c r="CN588" t="s">
        <v>113</v>
      </c>
      <c r="CO588" t="s">
        <v>111</v>
      </c>
      <c r="CP588" t="s">
        <v>111</v>
      </c>
      <c r="CQ588">
        <v>0</v>
      </c>
      <c r="CR588">
        <v>5000</v>
      </c>
      <c r="CS588">
        <v>200</v>
      </c>
      <c r="CT588" s="1" t="s">
        <v>2092</v>
      </c>
      <c r="CU588">
        <v>0</v>
      </c>
      <c r="CV588" t="s">
        <v>111</v>
      </c>
      <c r="CX588" t="s">
        <v>111</v>
      </c>
      <c r="CY588">
        <v>0</v>
      </c>
      <c r="CZ588" t="s">
        <v>111</v>
      </c>
      <c r="DA588" t="s">
        <v>111</v>
      </c>
      <c r="DB588" t="s">
        <v>111</v>
      </c>
      <c r="DC588" t="s">
        <v>111</v>
      </c>
    </row>
    <row r="589" spans="1:107">
      <c r="A589">
        <v>1747</v>
      </c>
      <c r="B589" t="s">
        <v>107</v>
      </c>
      <c r="C589" t="s">
        <v>405</v>
      </c>
      <c r="D589" t="s">
        <v>2093</v>
      </c>
      <c r="E589" t="s">
        <v>2094</v>
      </c>
      <c r="F589" t="s">
        <v>157</v>
      </c>
      <c r="G589" t="s">
        <v>469</v>
      </c>
      <c r="H589">
        <v>0.9</v>
      </c>
      <c r="I589">
        <v>335.5</v>
      </c>
      <c r="J589">
        <v>0</v>
      </c>
      <c r="K589">
        <v>0</v>
      </c>
      <c r="L589" t="s">
        <v>112</v>
      </c>
      <c r="M589" t="s">
        <v>118</v>
      </c>
      <c r="N589">
        <v>39</v>
      </c>
      <c r="O589">
        <v>2</v>
      </c>
      <c r="P589" t="s">
        <v>138</v>
      </c>
      <c r="Q589">
        <v>40</v>
      </c>
      <c r="R589">
        <v>0</v>
      </c>
      <c r="S589">
        <v>0</v>
      </c>
      <c r="T589">
        <v>0</v>
      </c>
      <c r="U589" t="s">
        <v>964</v>
      </c>
      <c r="V589">
        <v>0</v>
      </c>
      <c r="W589">
        <v>25</v>
      </c>
      <c r="X589">
        <v>5</v>
      </c>
      <c r="Y589">
        <v>0</v>
      </c>
      <c r="Z589" t="s">
        <v>111</v>
      </c>
      <c r="AA589">
        <v>0</v>
      </c>
      <c r="AB589" t="s">
        <v>111</v>
      </c>
      <c r="AC589">
        <v>0</v>
      </c>
      <c r="AD589" t="s">
        <v>111</v>
      </c>
      <c r="AE589">
        <v>0</v>
      </c>
      <c r="AF589">
        <v>0</v>
      </c>
      <c r="AG589" t="s">
        <v>111</v>
      </c>
      <c r="AH589" t="s">
        <v>111</v>
      </c>
      <c r="AI589" t="s">
        <v>111</v>
      </c>
      <c r="AJ589" t="s">
        <v>111</v>
      </c>
      <c r="AK589" t="s">
        <v>111</v>
      </c>
      <c r="AL589" t="s">
        <v>111</v>
      </c>
      <c r="AM589">
        <v>0</v>
      </c>
      <c r="AN589">
        <v>0</v>
      </c>
      <c r="AO589">
        <v>0</v>
      </c>
      <c r="AP589" t="s">
        <v>111</v>
      </c>
      <c r="AQ589" t="s">
        <v>111</v>
      </c>
      <c r="AR589" t="s">
        <v>111</v>
      </c>
      <c r="AS589" t="s">
        <v>111</v>
      </c>
      <c r="AT589" t="s">
        <v>111</v>
      </c>
      <c r="AU589" t="s">
        <v>111</v>
      </c>
      <c r="AV589" t="s">
        <v>111</v>
      </c>
      <c r="AW589" t="s">
        <v>111</v>
      </c>
      <c r="AX589" t="s">
        <v>111</v>
      </c>
      <c r="AY589" t="s">
        <v>111</v>
      </c>
      <c r="AZ589" t="s">
        <v>111</v>
      </c>
      <c r="BA589" t="s">
        <v>111</v>
      </c>
      <c r="BB589" t="s">
        <v>111</v>
      </c>
      <c r="BC589" t="s">
        <v>111</v>
      </c>
      <c r="BD589" t="s">
        <v>111</v>
      </c>
      <c r="BE589" t="s">
        <v>111</v>
      </c>
      <c r="BF589" t="s">
        <v>111</v>
      </c>
      <c r="BG589" t="s">
        <v>111</v>
      </c>
      <c r="BH589" t="s">
        <v>111</v>
      </c>
      <c r="BI589" t="s">
        <v>111</v>
      </c>
      <c r="BJ589" t="s">
        <v>111</v>
      </c>
      <c r="BK589" t="s">
        <v>111</v>
      </c>
      <c r="BL589" t="s">
        <v>111</v>
      </c>
      <c r="BM589" t="s">
        <v>111</v>
      </c>
      <c r="BN589" t="s">
        <v>111</v>
      </c>
      <c r="BO589" t="s">
        <v>111</v>
      </c>
      <c r="BP589" t="s">
        <v>111</v>
      </c>
      <c r="BQ589" t="s">
        <v>111</v>
      </c>
      <c r="BR589" t="s">
        <v>111</v>
      </c>
      <c r="BS589" t="s">
        <v>111</v>
      </c>
      <c r="BT589" t="s">
        <v>111</v>
      </c>
      <c r="BU589" t="s">
        <v>111</v>
      </c>
      <c r="BV589" t="s">
        <v>111</v>
      </c>
      <c r="BW589" t="s">
        <v>111</v>
      </c>
      <c r="BX589" t="s">
        <v>111</v>
      </c>
      <c r="BY589" t="s">
        <v>111</v>
      </c>
      <c r="BZ589" t="s">
        <v>111</v>
      </c>
      <c r="CA589" t="s">
        <v>111</v>
      </c>
      <c r="CB589" t="s">
        <v>111</v>
      </c>
      <c r="CC589" t="s">
        <v>111</v>
      </c>
      <c r="CD589" t="s">
        <v>111</v>
      </c>
      <c r="CE589" t="s">
        <v>111</v>
      </c>
      <c r="CF589" t="s">
        <v>111</v>
      </c>
      <c r="CG589" t="s">
        <v>111</v>
      </c>
      <c r="CH589" t="s">
        <v>111</v>
      </c>
      <c r="CI589" t="s">
        <v>111</v>
      </c>
      <c r="CJ589" t="s">
        <v>111</v>
      </c>
      <c r="CK589" t="s">
        <v>111</v>
      </c>
      <c r="CL589" t="s">
        <v>111</v>
      </c>
      <c r="CM589" t="s">
        <v>111</v>
      </c>
      <c r="CN589" t="s">
        <v>111</v>
      </c>
      <c r="CO589" t="s">
        <v>111</v>
      </c>
      <c r="CP589" t="s">
        <v>111</v>
      </c>
      <c r="CQ589">
        <v>0</v>
      </c>
      <c r="CR589">
        <v>0</v>
      </c>
      <c r="CS589">
        <v>0</v>
      </c>
      <c r="CT589" t="s">
        <v>111</v>
      </c>
      <c r="CU589">
        <v>0</v>
      </c>
      <c r="CV589" t="s">
        <v>111</v>
      </c>
      <c r="CX589" t="s">
        <v>111</v>
      </c>
      <c r="CY589">
        <v>0</v>
      </c>
      <c r="CZ589" t="s">
        <v>111</v>
      </c>
      <c r="DA589" t="s">
        <v>111</v>
      </c>
      <c r="DB589" t="s">
        <v>111</v>
      </c>
      <c r="DC589" t="s">
        <v>111</v>
      </c>
    </row>
    <row r="590" spans="1:107">
      <c r="A590">
        <v>2032</v>
      </c>
      <c r="B590" t="s">
        <v>376</v>
      </c>
      <c r="C590" t="s">
        <v>899</v>
      </c>
      <c r="D590" t="s">
        <v>2095</v>
      </c>
      <c r="E590" t="s">
        <v>2096</v>
      </c>
      <c r="F590" t="s">
        <v>370</v>
      </c>
      <c r="G590" t="s">
        <v>469</v>
      </c>
      <c r="H590">
        <v>2</v>
      </c>
      <c r="I590">
        <v>42</v>
      </c>
      <c r="J590">
        <v>5</v>
      </c>
      <c r="K590">
        <v>7</v>
      </c>
      <c r="L590" t="s">
        <v>112</v>
      </c>
      <c r="M590" t="s">
        <v>118</v>
      </c>
      <c r="N590">
        <v>39</v>
      </c>
      <c r="O590">
        <v>2</v>
      </c>
      <c r="P590" t="s">
        <v>111</v>
      </c>
      <c r="Q590">
        <v>43.3</v>
      </c>
      <c r="R590">
        <v>0</v>
      </c>
      <c r="S590">
        <v>0</v>
      </c>
      <c r="T590">
        <v>5</v>
      </c>
      <c r="U590" s="1" t="s">
        <v>2097</v>
      </c>
      <c r="V590">
        <v>25</v>
      </c>
      <c r="W590">
        <v>2</v>
      </c>
      <c r="X590">
        <v>6</v>
      </c>
      <c r="Y590">
        <v>0</v>
      </c>
      <c r="Z590" t="s">
        <v>288</v>
      </c>
      <c r="AA590">
        <v>1.7</v>
      </c>
      <c r="AB590" t="s">
        <v>111</v>
      </c>
      <c r="AC590">
        <v>0</v>
      </c>
      <c r="AD590" t="s">
        <v>416</v>
      </c>
      <c r="AE590">
        <v>0</v>
      </c>
      <c r="AF590">
        <v>0</v>
      </c>
      <c r="AG590" t="s">
        <v>111</v>
      </c>
      <c r="AH590" t="s">
        <v>111</v>
      </c>
      <c r="AI590" t="s">
        <v>111</v>
      </c>
      <c r="AJ590" t="s">
        <v>111</v>
      </c>
      <c r="AK590" t="s">
        <v>111</v>
      </c>
      <c r="AL590" t="s">
        <v>111</v>
      </c>
      <c r="AM590">
        <v>0</v>
      </c>
      <c r="AN590">
        <v>0</v>
      </c>
      <c r="AO590">
        <v>0</v>
      </c>
      <c r="AP590" t="s">
        <v>111</v>
      </c>
      <c r="AQ590" t="s">
        <v>111</v>
      </c>
      <c r="AR590" t="s">
        <v>111</v>
      </c>
      <c r="AS590" t="s">
        <v>111</v>
      </c>
      <c r="AT590" t="s">
        <v>111</v>
      </c>
      <c r="AU590" t="s">
        <v>111</v>
      </c>
      <c r="AV590" t="s">
        <v>111</v>
      </c>
      <c r="AW590" t="s">
        <v>111</v>
      </c>
      <c r="AX590" t="s">
        <v>111</v>
      </c>
      <c r="AY590" t="s">
        <v>111</v>
      </c>
      <c r="AZ590" t="s">
        <v>111</v>
      </c>
      <c r="BA590" t="s">
        <v>111</v>
      </c>
      <c r="BB590" t="s">
        <v>111</v>
      </c>
      <c r="BC590" t="s">
        <v>111</v>
      </c>
      <c r="BD590" t="s">
        <v>111</v>
      </c>
      <c r="BE590" t="s">
        <v>111</v>
      </c>
      <c r="BF590" t="s">
        <v>111</v>
      </c>
      <c r="BG590" t="s">
        <v>111</v>
      </c>
      <c r="BH590" t="s">
        <v>111</v>
      </c>
      <c r="BI590" t="s">
        <v>111</v>
      </c>
      <c r="BJ590" t="s">
        <v>111</v>
      </c>
      <c r="BK590" t="s">
        <v>111</v>
      </c>
      <c r="BL590" t="s">
        <v>111</v>
      </c>
      <c r="BM590" t="s">
        <v>111</v>
      </c>
      <c r="BN590" t="s">
        <v>111</v>
      </c>
      <c r="BO590" t="s">
        <v>111</v>
      </c>
      <c r="BP590" t="s">
        <v>111</v>
      </c>
      <c r="BQ590" t="s">
        <v>111</v>
      </c>
      <c r="BR590" t="s">
        <v>111</v>
      </c>
      <c r="BS590" t="s">
        <v>111</v>
      </c>
      <c r="BT590" t="s">
        <v>111</v>
      </c>
      <c r="BU590" t="s">
        <v>111</v>
      </c>
      <c r="BV590" t="s">
        <v>111</v>
      </c>
      <c r="BW590" t="s">
        <v>111</v>
      </c>
      <c r="BX590" t="s">
        <v>111</v>
      </c>
      <c r="BY590" t="s">
        <v>111</v>
      </c>
      <c r="BZ590" t="s">
        <v>111</v>
      </c>
      <c r="CA590" t="s">
        <v>111</v>
      </c>
      <c r="CB590" t="s">
        <v>111</v>
      </c>
      <c r="CC590" t="s">
        <v>111</v>
      </c>
      <c r="CD590" t="s">
        <v>111</v>
      </c>
      <c r="CE590" t="s">
        <v>111</v>
      </c>
      <c r="CF590" t="s">
        <v>111</v>
      </c>
      <c r="CG590" t="s">
        <v>111</v>
      </c>
      <c r="CH590" t="s">
        <v>111</v>
      </c>
      <c r="CI590" t="s">
        <v>111</v>
      </c>
      <c r="CJ590" t="s">
        <v>111</v>
      </c>
      <c r="CK590" t="s">
        <v>111</v>
      </c>
      <c r="CL590" t="s">
        <v>111</v>
      </c>
      <c r="CM590" t="s">
        <v>135</v>
      </c>
      <c r="CN590" t="s">
        <v>113</v>
      </c>
      <c r="CO590" t="s">
        <v>367</v>
      </c>
      <c r="CP590" t="s">
        <v>111</v>
      </c>
      <c r="CQ590">
        <v>0</v>
      </c>
      <c r="CR590">
        <v>2000</v>
      </c>
      <c r="CS590">
        <v>50</v>
      </c>
      <c r="CT590" t="e">
        <f>- BIEN EMPACADO PARA TROQUELAR</f>
        <v>#NAME?</v>
      </c>
      <c r="CU590">
        <v>0</v>
      </c>
      <c r="CV590" t="s">
        <v>111</v>
      </c>
      <c r="CX590" t="s">
        <v>111</v>
      </c>
      <c r="CY590">
        <v>0</v>
      </c>
      <c r="CZ590" t="s">
        <v>111</v>
      </c>
      <c r="DA590" t="s">
        <v>111</v>
      </c>
      <c r="DB590" t="e">
        <f>- INTERNO</f>
        <v>#NAME?</v>
      </c>
      <c r="DC590" t="e">
        <f>- TROQUEL RIÑON</f>
        <v>#NAME?</v>
      </c>
    </row>
    <row r="591" spans="1:107">
      <c r="A591">
        <v>1716</v>
      </c>
      <c r="B591" t="s">
        <v>107</v>
      </c>
      <c r="C591" t="s">
        <v>421</v>
      </c>
      <c r="D591" t="s">
        <v>1640</v>
      </c>
      <c r="E591" t="s">
        <v>2098</v>
      </c>
      <c r="F591" t="s">
        <v>370</v>
      </c>
      <c r="G591" t="s">
        <v>469</v>
      </c>
      <c r="H591">
        <v>2.9</v>
      </c>
      <c r="I591">
        <v>45</v>
      </c>
      <c r="J591">
        <v>0</v>
      </c>
      <c r="K591">
        <v>0</v>
      </c>
      <c r="L591" t="s">
        <v>112</v>
      </c>
      <c r="M591" t="s">
        <v>118</v>
      </c>
      <c r="N591">
        <v>39</v>
      </c>
      <c r="O591">
        <v>2</v>
      </c>
      <c r="P591" t="s">
        <v>111</v>
      </c>
      <c r="Q591">
        <v>46.1</v>
      </c>
      <c r="R591">
        <v>0</v>
      </c>
      <c r="S591">
        <v>0</v>
      </c>
      <c r="T591">
        <v>10</v>
      </c>
      <c r="U591" s="1" t="s">
        <v>2099</v>
      </c>
      <c r="V591">
        <v>25</v>
      </c>
      <c r="W591">
        <v>0</v>
      </c>
      <c r="X591">
        <v>8</v>
      </c>
      <c r="Y591">
        <v>0</v>
      </c>
      <c r="Z591" t="s">
        <v>288</v>
      </c>
      <c r="AA591">
        <v>0.3</v>
      </c>
      <c r="AB591" t="s">
        <v>1346</v>
      </c>
      <c r="AC591">
        <v>0.7</v>
      </c>
      <c r="AD591" t="s">
        <v>427</v>
      </c>
      <c r="AE591">
        <v>0</v>
      </c>
      <c r="AF591">
        <v>0</v>
      </c>
      <c r="AG591" t="s">
        <v>111</v>
      </c>
      <c r="AH591" t="s">
        <v>113</v>
      </c>
      <c r="AI591" t="s">
        <v>111</v>
      </c>
      <c r="AJ591" t="s">
        <v>111</v>
      </c>
      <c r="AK591" t="s">
        <v>111</v>
      </c>
      <c r="AL591" t="s">
        <v>111</v>
      </c>
      <c r="AM591">
        <v>0</v>
      </c>
      <c r="AN591">
        <v>0</v>
      </c>
      <c r="AO591">
        <v>0</v>
      </c>
      <c r="AP591" t="s">
        <v>111</v>
      </c>
      <c r="AQ591" t="s">
        <v>111</v>
      </c>
      <c r="AR591" t="s">
        <v>111</v>
      </c>
      <c r="AS591" t="s">
        <v>111</v>
      </c>
      <c r="AT591" t="s">
        <v>111</v>
      </c>
      <c r="AU591" t="s">
        <v>111</v>
      </c>
      <c r="AV591" t="s">
        <v>111</v>
      </c>
      <c r="AW591" t="s">
        <v>111</v>
      </c>
      <c r="AX591" t="s">
        <v>111</v>
      </c>
      <c r="AY591" t="s">
        <v>111</v>
      </c>
      <c r="AZ591" t="s">
        <v>111</v>
      </c>
      <c r="BA591" t="s">
        <v>111</v>
      </c>
      <c r="BB591" t="s">
        <v>111</v>
      </c>
      <c r="BC591" t="s">
        <v>111</v>
      </c>
      <c r="BD591" t="s">
        <v>111</v>
      </c>
      <c r="BE591" t="s">
        <v>111</v>
      </c>
      <c r="BF591" t="s">
        <v>111</v>
      </c>
      <c r="BG591" t="s">
        <v>111</v>
      </c>
      <c r="BH591" t="s">
        <v>111</v>
      </c>
      <c r="BI591" t="s">
        <v>111</v>
      </c>
      <c r="BJ591" t="s">
        <v>111</v>
      </c>
      <c r="BK591" t="s">
        <v>111</v>
      </c>
      <c r="BL591" t="s">
        <v>111</v>
      </c>
      <c r="BM591" t="s">
        <v>111</v>
      </c>
      <c r="BN591" t="s">
        <v>111</v>
      </c>
      <c r="BO591" t="s">
        <v>111</v>
      </c>
      <c r="BP591" t="s">
        <v>111</v>
      </c>
      <c r="BQ591" t="s">
        <v>111</v>
      </c>
      <c r="BR591" t="s">
        <v>111</v>
      </c>
      <c r="BS591" t="s">
        <v>111</v>
      </c>
      <c r="BT591" t="s">
        <v>111</v>
      </c>
      <c r="BU591" t="s">
        <v>111</v>
      </c>
      <c r="BV591" t="s">
        <v>111</v>
      </c>
      <c r="BW591" t="s">
        <v>111</v>
      </c>
      <c r="BX591" t="s">
        <v>111</v>
      </c>
      <c r="BY591" t="s">
        <v>111</v>
      </c>
      <c r="BZ591" t="s">
        <v>111</v>
      </c>
      <c r="CA591" t="s">
        <v>111</v>
      </c>
      <c r="CB591" t="s">
        <v>111</v>
      </c>
      <c r="CC591" t="s">
        <v>111</v>
      </c>
      <c r="CD591" t="s">
        <v>111</v>
      </c>
      <c r="CE591" t="s">
        <v>111</v>
      </c>
      <c r="CF591" t="s">
        <v>111</v>
      </c>
      <c r="CG591" t="s">
        <v>111</v>
      </c>
      <c r="CH591" t="s">
        <v>111</v>
      </c>
      <c r="CI591" t="s">
        <v>111</v>
      </c>
      <c r="CJ591" t="s">
        <v>111</v>
      </c>
      <c r="CK591" t="s">
        <v>111</v>
      </c>
      <c r="CL591" t="s">
        <v>111</v>
      </c>
      <c r="CM591" t="s">
        <v>135</v>
      </c>
      <c r="CN591" t="s">
        <v>113</v>
      </c>
      <c r="CO591" t="s">
        <v>885</v>
      </c>
      <c r="CP591" t="s">
        <v>111</v>
      </c>
      <c r="CQ591">
        <v>0</v>
      </c>
      <c r="CR591">
        <v>1000</v>
      </c>
      <c r="CS591">
        <v>25</v>
      </c>
      <c r="CT591" t="e">
        <f>-BIEN EMPACADO PARA TROQUELAR AJUSTANDO BIEN LA BOCA DE LA BOLSA</f>
        <v>#NAME?</v>
      </c>
      <c r="CU591">
        <v>0</v>
      </c>
      <c r="CV591" t="s">
        <v>111</v>
      </c>
      <c r="CX591" t="s">
        <v>111</v>
      </c>
      <c r="CY591">
        <v>0</v>
      </c>
      <c r="CZ591" t="s">
        <v>111</v>
      </c>
      <c r="DA591" t="s">
        <v>111</v>
      </c>
      <c r="DB591" t="e">
        <f>-INTERNO</f>
        <v>#NAME?</v>
      </c>
      <c r="DC591" t="s">
        <v>1988</v>
      </c>
    </row>
    <row r="592" spans="1:107">
      <c r="A592">
        <v>1736</v>
      </c>
      <c r="B592" t="s">
        <v>107</v>
      </c>
      <c r="C592" t="s">
        <v>2100</v>
      </c>
      <c r="D592" t="s">
        <v>2101</v>
      </c>
      <c r="E592" t="s">
        <v>2102</v>
      </c>
      <c r="F592" t="s">
        <v>739</v>
      </c>
      <c r="G592" t="s">
        <v>469</v>
      </c>
      <c r="H592">
        <v>2.2999999999999998</v>
      </c>
      <c r="I592">
        <v>55</v>
      </c>
      <c r="J592">
        <v>0</v>
      </c>
      <c r="K592">
        <v>0</v>
      </c>
      <c r="L592" t="s">
        <v>112</v>
      </c>
      <c r="M592" t="s">
        <v>118</v>
      </c>
      <c r="N592">
        <v>39</v>
      </c>
      <c r="O592">
        <v>1</v>
      </c>
      <c r="P592" t="s">
        <v>111</v>
      </c>
      <c r="Q592">
        <v>42.3</v>
      </c>
      <c r="R592">
        <v>0</v>
      </c>
      <c r="S592">
        <v>0</v>
      </c>
      <c r="T592">
        <v>10</v>
      </c>
      <c r="U592" s="1" t="s">
        <v>2103</v>
      </c>
      <c r="V592">
        <v>0</v>
      </c>
      <c r="W592">
        <v>25</v>
      </c>
      <c r="X592">
        <v>8</v>
      </c>
      <c r="Y592">
        <v>0</v>
      </c>
      <c r="Z592" t="s">
        <v>288</v>
      </c>
      <c r="AA592">
        <v>1.5</v>
      </c>
      <c r="AB592" t="s">
        <v>792</v>
      </c>
      <c r="AC592">
        <v>8</v>
      </c>
      <c r="AD592" t="s">
        <v>416</v>
      </c>
      <c r="AE592">
        <v>0</v>
      </c>
      <c r="AF592">
        <v>0</v>
      </c>
      <c r="AG592" t="s">
        <v>111</v>
      </c>
      <c r="AH592" t="s">
        <v>113</v>
      </c>
      <c r="AI592" t="s">
        <v>111</v>
      </c>
      <c r="AJ592" t="s">
        <v>111</v>
      </c>
      <c r="AK592" t="s">
        <v>111</v>
      </c>
      <c r="AL592" t="s">
        <v>111</v>
      </c>
      <c r="AM592">
        <v>0</v>
      </c>
      <c r="AN592">
        <v>0</v>
      </c>
      <c r="AO592">
        <v>0</v>
      </c>
      <c r="AP592" t="s">
        <v>111</v>
      </c>
      <c r="AQ592" t="s">
        <v>111</v>
      </c>
      <c r="AR592" t="s">
        <v>111</v>
      </c>
      <c r="AS592" t="s">
        <v>111</v>
      </c>
      <c r="AT592" t="s">
        <v>111</v>
      </c>
      <c r="AU592" t="s">
        <v>111</v>
      </c>
      <c r="AV592" t="s">
        <v>111</v>
      </c>
      <c r="AW592" t="s">
        <v>111</v>
      </c>
      <c r="AX592" t="s">
        <v>111</v>
      </c>
      <c r="AY592" t="s">
        <v>111</v>
      </c>
      <c r="AZ592" t="s">
        <v>111</v>
      </c>
      <c r="BA592" t="s">
        <v>111</v>
      </c>
      <c r="BB592" t="s">
        <v>111</v>
      </c>
      <c r="BC592" t="s">
        <v>111</v>
      </c>
      <c r="BD592" t="s">
        <v>111</v>
      </c>
      <c r="BE592" t="s">
        <v>111</v>
      </c>
      <c r="BF592" t="s">
        <v>111</v>
      </c>
      <c r="BG592" t="s">
        <v>111</v>
      </c>
      <c r="BH592" t="s">
        <v>111</v>
      </c>
      <c r="BI592" t="s">
        <v>111</v>
      </c>
      <c r="BJ592" t="s">
        <v>111</v>
      </c>
      <c r="BK592" t="s">
        <v>111</v>
      </c>
      <c r="BL592" t="s">
        <v>111</v>
      </c>
      <c r="BM592" t="s">
        <v>111</v>
      </c>
      <c r="BN592" t="s">
        <v>111</v>
      </c>
      <c r="BO592" t="s">
        <v>111</v>
      </c>
      <c r="BP592" t="s">
        <v>111</v>
      </c>
      <c r="BQ592" t="s">
        <v>111</v>
      </c>
      <c r="BR592" t="s">
        <v>111</v>
      </c>
      <c r="BS592" t="s">
        <v>111</v>
      </c>
      <c r="BT592" t="s">
        <v>111</v>
      </c>
      <c r="BU592" t="s">
        <v>111</v>
      </c>
      <c r="BV592" t="s">
        <v>111</v>
      </c>
      <c r="BW592" t="s">
        <v>111</v>
      </c>
      <c r="BX592" t="s">
        <v>111</v>
      </c>
      <c r="BY592" t="s">
        <v>111</v>
      </c>
      <c r="BZ592" t="s">
        <v>111</v>
      </c>
      <c r="CA592" t="s">
        <v>111</v>
      </c>
      <c r="CB592" t="s">
        <v>111</v>
      </c>
      <c r="CC592" t="s">
        <v>111</v>
      </c>
      <c r="CD592" t="s">
        <v>111</v>
      </c>
      <c r="CE592" t="s">
        <v>111</v>
      </c>
      <c r="CF592" t="s">
        <v>111</v>
      </c>
      <c r="CG592" t="s">
        <v>111</v>
      </c>
      <c r="CH592" t="s">
        <v>111</v>
      </c>
      <c r="CI592" t="s">
        <v>111</v>
      </c>
      <c r="CJ592" t="s">
        <v>111</v>
      </c>
      <c r="CK592" t="s">
        <v>111</v>
      </c>
      <c r="CL592" t="s">
        <v>111</v>
      </c>
      <c r="CM592" t="s">
        <v>135</v>
      </c>
      <c r="CN592" t="s">
        <v>113</v>
      </c>
      <c r="CO592" t="s">
        <v>111</v>
      </c>
      <c r="CP592" t="s">
        <v>111</v>
      </c>
      <c r="CQ592">
        <v>0</v>
      </c>
      <c r="CR592">
        <v>1000</v>
      </c>
      <c r="CS592">
        <v>50</v>
      </c>
      <c r="CT592" t="e">
        <f>-NO REQUIERE EMPACAR EN BOLSA</f>
        <v>#NAME?</v>
      </c>
      <c r="CU592">
        <v>0</v>
      </c>
      <c r="CV592" t="s">
        <v>111</v>
      </c>
      <c r="CX592" t="s">
        <v>111</v>
      </c>
      <c r="CY592">
        <v>0</v>
      </c>
      <c r="CZ592" t="s">
        <v>111</v>
      </c>
      <c r="DA592" t="s">
        <v>111</v>
      </c>
      <c r="DB592" t="e">
        <f>-EXTERNO</f>
        <v>#NAME?</v>
      </c>
      <c r="DC592" t="e">
        <f>-TIRA ROJA = TOMATICOS</f>
        <v>#NAME?</v>
      </c>
    </row>
    <row r="593" spans="1:107">
      <c r="A593">
        <v>1717</v>
      </c>
      <c r="B593" t="s">
        <v>107</v>
      </c>
      <c r="C593" t="s">
        <v>405</v>
      </c>
      <c r="D593" t="s">
        <v>2104</v>
      </c>
      <c r="E593" t="s">
        <v>2105</v>
      </c>
      <c r="F593" t="s">
        <v>157</v>
      </c>
      <c r="G593" t="s">
        <v>469</v>
      </c>
      <c r="H593">
        <v>0.85</v>
      </c>
      <c r="I593">
        <v>70</v>
      </c>
      <c r="J593">
        <v>0</v>
      </c>
      <c r="K593">
        <v>0</v>
      </c>
      <c r="L593" t="s">
        <v>112</v>
      </c>
      <c r="M593" t="s">
        <v>111</v>
      </c>
      <c r="N593">
        <v>0</v>
      </c>
      <c r="O593">
        <v>0</v>
      </c>
      <c r="P593" t="s">
        <v>111</v>
      </c>
      <c r="Q593">
        <v>35.5</v>
      </c>
      <c r="R593">
        <v>0</v>
      </c>
      <c r="S593">
        <v>0</v>
      </c>
      <c r="T593">
        <v>0</v>
      </c>
      <c r="U593" s="1" t="s">
        <v>2106</v>
      </c>
      <c r="V593">
        <v>0</v>
      </c>
      <c r="W593">
        <v>25</v>
      </c>
      <c r="X593">
        <v>5</v>
      </c>
      <c r="Y593">
        <v>0</v>
      </c>
      <c r="Z593" t="s">
        <v>111</v>
      </c>
      <c r="AA593">
        <v>0</v>
      </c>
      <c r="AB593" t="s">
        <v>111</v>
      </c>
      <c r="AC593">
        <v>0</v>
      </c>
      <c r="AD593" t="s">
        <v>111</v>
      </c>
      <c r="AE593">
        <v>0</v>
      </c>
      <c r="AF593">
        <v>0</v>
      </c>
      <c r="AG593" t="s">
        <v>111</v>
      </c>
      <c r="AH593" t="s">
        <v>111</v>
      </c>
      <c r="AI593" t="s">
        <v>111</v>
      </c>
      <c r="AJ593" t="s">
        <v>111</v>
      </c>
      <c r="AK593" t="s">
        <v>111</v>
      </c>
      <c r="AL593" t="s">
        <v>111</v>
      </c>
      <c r="AM593">
        <v>0</v>
      </c>
      <c r="AN593">
        <v>0</v>
      </c>
      <c r="AO593">
        <v>0</v>
      </c>
      <c r="AP593" t="s">
        <v>111</v>
      </c>
      <c r="AQ593" t="s">
        <v>111</v>
      </c>
      <c r="AR593" t="s">
        <v>111</v>
      </c>
      <c r="AS593" t="s">
        <v>111</v>
      </c>
      <c r="AT593" t="s">
        <v>111</v>
      </c>
      <c r="AU593" t="s">
        <v>111</v>
      </c>
      <c r="AV593" t="s">
        <v>111</v>
      </c>
      <c r="AW593" t="s">
        <v>111</v>
      </c>
      <c r="AX593" t="s">
        <v>111</v>
      </c>
      <c r="AY593" t="s">
        <v>111</v>
      </c>
      <c r="AZ593" t="s">
        <v>111</v>
      </c>
      <c r="BA593" t="s">
        <v>111</v>
      </c>
      <c r="BB593" t="s">
        <v>111</v>
      </c>
      <c r="BC593" t="s">
        <v>111</v>
      </c>
      <c r="BD593" t="s">
        <v>111</v>
      </c>
      <c r="BE593" t="s">
        <v>111</v>
      </c>
      <c r="BF593" t="s">
        <v>111</v>
      </c>
      <c r="BG593" t="s">
        <v>111</v>
      </c>
      <c r="BH593" t="s">
        <v>111</v>
      </c>
      <c r="BI593" t="s">
        <v>111</v>
      </c>
      <c r="BJ593" t="s">
        <v>111</v>
      </c>
      <c r="BK593" t="s">
        <v>111</v>
      </c>
      <c r="BL593" t="s">
        <v>111</v>
      </c>
      <c r="BM593" t="s">
        <v>111</v>
      </c>
      <c r="BN593" t="s">
        <v>111</v>
      </c>
      <c r="BO593" t="s">
        <v>111</v>
      </c>
      <c r="BP593" t="s">
        <v>111</v>
      </c>
      <c r="BQ593" t="s">
        <v>111</v>
      </c>
      <c r="BR593" t="s">
        <v>111</v>
      </c>
      <c r="BS593" t="s">
        <v>111</v>
      </c>
      <c r="BT593" t="s">
        <v>111</v>
      </c>
      <c r="BU593" t="s">
        <v>111</v>
      </c>
      <c r="BV593" t="s">
        <v>111</v>
      </c>
      <c r="BW593" t="s">
        <v>111</v>
      </c>
      <c r="BX593" t="s">
        <v>111</v>
      </c>
      <c r="BY593" t="s">
        <v>111</v>
      </c>
      <c r="BZ593" t="s">
        <v>111</v>
      </c>
      <c r="CA593" t="s">
        <v>111</v>
      </c>
      <c r="CB593" t="s">
        <v>111</v>
      </c>
      <c r="CC593" t="s">
        <v>111</v>
      </c>
      <c r="CD593" t="s">
        <v>111</v>
      </c>
      <c r="CE593" t="s">
        <v>111</v>
      </c>
      <c r="CF593" t="s">
        <v>111</v>
      </c>
      <c r="CG593" t="s">
        <v>111</v>
      </c>
      <c r="CH593" t="s">
        <v>111</v>
      </c>
      <c r="CI593" t="s">
        <v>111</v>
      </c>
      <c r="CJ593" t="s">
        <v>111</v>
      </c>
      <c r="CK593" t="s">
        <v>111</v>
      </c>
      <c r="CL593" t="s">
        <v>111</v>
      </c>
      <c r="CM593" t="s">
        <v>111</v>
      </c>
      <c r="CN593" t="s">
        <v>111</v>
      </c>
      <c r="CO593" t="s">
        <v>111</v>
      </c>
      <c r="CP593" t="s">
        <v>111</v>
      </c>
      <c r="CQ593">
        <v>0</v>
      </c>
      <c r="CR593">
        <v>0</v>
      </c>
      <c r="CS593">
        <v>0</v>
      </c>
      <c r="CT593" t="s">
        <v>111</v>
      </c>
      <c r="CU593">
        <v>0</v>
      </c>
      <c r="CV593" t="s">
        <v>111</v>
      </c>
      <c r="CX593" t="s">
        <v>111</v>
      </c>
      <c r="CY593">
        <v>0</v>
      </c>
      <c r="CZ593" t="s">
        <v>111</v>
      </c>
      <c r="DA593" t="s">
        <v>111</v>
      </c>
      <c r="DB593" t="s">
        <v>111</v>
      </c>
      <c r="DC593" t="s">
        <v>111</v>
      </c>
    </row>
    <row r="594" spans="1:107">
      <c r="A594">
        <v>1735</v>
      </c>
      <c r="B594" t="s">
        <v>107</v>
      </c>
      <c r="C594" t="s">
        <v>405</v>
      </c>
      <c r="D594" t="s">
        <v>2107</v>
      </c>
      <c r="E594" t="s">
        <v>2108</v>
      </c>
      <c r="F594" t="s">
        <v>157</v>
      </c>
      <c r="G594" t="s">
        <v>469</v>
      </c>
      <c r="H594">
        <v>2.8</v>
      </c>
      <c r="I594">
        <v>38</v>
      </c>
      <c r="J594">
        <v>0</v>
      </c>
      <c r="K594">
        <v>0</v>
      </c>
      <c r="L594" t="s">
        <v>112</v>
      </c>
      <c r="M594" t="s">
        <v>111</v>
      </c>
      <c r="N594">
        <v>0</v>
      </c>
      <c r="O594">
        <v>0</v>
      </c>
      <c r="P594" t="s">
        <v>111</v>
      </c>
      <c r="Q594">
        <v>47</v>
      </c>
      <c r="R594">
        <v>0</v>
      </c>
      <c r="S594">
        <v>0</v>
      </c>
      <c r="T594">
        <v>0</v>
      </c>
      <c r="U594" s="1" t="s">
        <v>2109</v>
      </c>
      <c r="V594">
        <v>0</v>
      </c>
      <c r="W594">
        <v>25</v>
      </c>
      <c r="X594">
        <v>5</v>
      </c>
      <c r="Y594">
        <v>0</v>
      </c>
      <c r="Z594" t="s">
        <v>111</v>
      </c>
      <c r="AA594">
        <v>0</v>
      </c>
      <c r="AB594" t="s">
        <v>111</v>
      </c>
      <c r="AC594">
        <v>0</v>
      </c>
      <c r="AD594" t="s">
        <v>111</v>
      </c>
      <c r="AE594">
        <v>0</v>
      </c>
      <c r="AF594">
        <v>0</v>
      </c>
      <c r="AG594" t="s">
        <v>111</v>
      </c>
      <c r="AH594" t="s">
        <v>111</v>
      </c>
      <c r="AI594" t="s">
        <v>111</v>
      </c>
      <c r="AJ594" t="s">
        <v>111</v>
      </c>
      <c r="AK594" t="s">
        <v>111</v>
      </c>
      <c r="AL594" t="s">
        <v>111</v>
      </c>
      <c r="AM594">
        <v>0</v>
      </c>
      <c r="AN594">
        <v>0</v>
      </c>
      <c r="AO594">
        <v>0</v>
      </c>
      <c r="AP594" t="s">
        <v>111</v>
      </c>
      <c r="AQ594" t="s">
        <v>111</v>
      </c>
      <c r="AR594" t="s">
        <v>111</v>
      </c>
      <c r="AS594" t="s">
        <v>111</v>
      </c>
      <c r="AT594" t="s">
        <v>111</v>
      </c>
      <c r="AU594" t="s">
        <v>111</v>
      </c>
      <c r="AV594" t="s">
        <v>111</v>
      </c>
      <c r="AW594" t="s">
        <v>111</v>
      </c>
      <c r="AX594" t="s">
        <v>111</v>
      </c>
      <c r="AY594" t="s">
        <v>111</v>
      </c>
      <c r="AZ594" t="s">
        <v>111</v>
      </c>
      <c r="BA594" t="s">
        <v>111</v>
      </c>
      <c r="BB594" t="s">
        <v>111</v>
      </c>
      <c r="BC594" t="s">
        <v>111</v>
      </c>
      <c r="BD594" t="s">
        <v>111</v>
      </c>
      <c r="BE594" t="s">
        <v>111</v>
      </c>
      <c r="BF594" t="s">
        <v>111</v>
      </c>
      <c r="BG594" t="s">
        <v>111</v>
      </c>
      <c r="BH594" t="s">
        <v>111</v>
      </c>
      <c r="BI594" t="s">
        <v>111</v>
      </c>
      <c r="BJ594" t="s">
        <v>111</v>
      </c>
      <c r="BK594" t="s">
        <v>111</v>
      </c>
      <c r="BL594" t="s">
        <v>111</v>
      </c>
      <c r="BM594" t="s">
        <v>111</v>
      </c>
      <c r="BN594" t="s">
        <v>111</v>
      </c>
      <c r="BO594" t="s">
        <v>111</v>
      </c>
      <c r="BP594" t="s">
        <v>111</v>
      </c>
      <c r="BQ594" t="s">
        <v>111</v>
      </c>
      <c r="BR594" t="s">
        <v>111</v>
      </c>
      <c r="BS594" t="s">
        <v>111</v>
      </c>
      <c r="BT594" t="s">
        <v>111</v>
      </c>
      <c r="BU594" t="s">
        <v>111</v>
      </c>
      <c r="BV594" t="s">
        <v>111</v>
      </c>
      <c r="BW594" t="s">
        <v>111</v>
      </c>
      <c r="BX594" t="s">
        <v>111</v>
      </c>
      <c r="BY594" t="s">
        <v>111</v>
      </c>
      <c r="BZ594" t="s">
        <v>111</v>
      </c>
      <c r="CA594" t="s">
        <v>111</v>
      </c>
      <c r="CB594" t="s">
        <v>111</v>
      </c>
      <c r="CC594" t="s">
        <v>111</v>
      </c>
      <c r="CD594" t="s">
        <v>111</v>
      </c>
      <c r="CE594" t="s">
        <v>111</v>
      </c>
      <c r="CF594" t="s">
        <v>111</v>
      </c>
      <c r="CG594" t="s">
        <v>111</v>
      </c>
      <c r="CH594" t="s">
        <v>111</v>
      </c>
      <c r="CI594" t="s">
        <v>111</v>
      </c>
      <c r="CJ594" t="s">
        <v>111</v>
      </c>
      <c r="CK594" t="s">
        <v>111</v>
      </c>
      <c r="CL594" t="s">
        <v>111</v>
      </c>
      <c r="CM594" t="s">
        <v>111</v>
      </c>
      <c r="CN594" t="s">
        <v>111</v>
      </c>
      <c r="CO594" t="s">
        <v>111</v>
      </c>
      <c r="CP594" t="s">
        <v>111</v>
      </c>
      <c r="CQ594">
        <v>0</v>
      </c>
      <c r="CR594">
        <v>0</v>
      </c>
      <c r="CS594">
        <v>0</v>
      </c>
      <c r="CT594" t="s">
        <v>111</v>
      </c>
      <c r="CU594">
        <v>0</v>
      </c>
      <c r="CV594" t="s">
        <v>111</v>
      </c>
      <c r="CX594" t="s">
        <v>111</v>
      </c>
      <c r="CY594">
        <v>0</v>
      </c>
      <c r="CZ594" t="s">
        <v>111</v>
      </c>
      <c r="DA594" t="s">
        <v>111</v>
      </c>
      <c r="DB594" t="s">
        <v>111</v>
      </c>
      <c r="DC594" t="s">
        <v>111</v>
      </c>
    </row>
    <row r="595" spans="1:107">
      <c r="A595">
        <v>1734</v>
      </c>
      <c r="B595" t="s">
        <v>107</v>
      </c>
      <c r="C595" t="s">
        <v>405</v>
      </c>
      <c r="D595" t="s">
        <v>2110</v>
      </c>
      <c r="E595" t="s">
        <v>2111</v>
      </c>
      <c r="F595" t="s">
        <v>157</v>
      </c>
      <c r="G595" t="s">
        <v>469</v>
      </c>
      <c r="H595">
        <v>2.8</v>
      </c>
      <c r="I595">
        <v>40</v>
      </c>
      <c r="J595">
        <v>0</v>
      </c>
      <c r="K595">
        <v>0</v>
      </c>
      <c r="L595" t="s">
        <v>112</v>
      </c>
      <c r="M595" t="s">
        <v>138</v>
      </c>
      <c r="N595">
        <v>0</v>
      </c>
      <c r="O595">
        <v>0</v>
      </c>
      <c r="P595" t="s">
        <v>111</v>
      </c>
      <c r="Q595">
        <v>47</v>
      </c>
      <c r="R595">
        <v>0</v>
      </c>
      <c r="S595">
        <v>0</v>
      </c>
      <c r="T595">
        <v>0</v>
      </c>
      <c r="U595" s="1" t="s">
        <v>2112</v>
      </c>
      <c r="V595">
        <v>0</v>
      </c>
      <c r="W595">
        <v>25</v>
      </c>
      <c r="X595">
        <v>5</v>
      </c>
      <c r="Y595">
        <v>0</v>
      </c>
      <c r="Z595" t="s">
        <v>111</v>
      </c>
      <c r="AA595">
        <v>0</v>
      </c>
      <c r="AB595" t="s">
        <v>111</v>
      </c>
      <c r="AC595">
        <v>0</v>
      </c>
      <c r="AD595" t="s">
        <v>111</v>
      </c>
      <c r="AE595">
        <v>0</v>
      </c>
      <c r="AF595">
        <v>0</v>
      </c>
      <c r="AG595" t="s">
        <v>111</v>
      </c>
      <c r="AH595" t="s">
        <v>111</v>
      </c>
      <c r="AI595" t="s">
        <v>111</v>
      </c>
      <c r="AJ595" t="s">
        <v>111</v>
      </c>
      <c r="AK595" t="s">
        <v>111</v>
      </c>
      <c r="AL595" t="s">
        <v>111</v>
      </c>
      <c r="AM595">
        <v>0</v>
      </c>
      <c r="AN595">
        <v>0</v>
      </c>
      <c r="AO595">
        <v>0</v>
      </c>
      <c r="AP595" t="s">
        <v>111</v>
      </c>
      <c r="AQ595" t="s">
        <v>111</v>
      </c>
      <c r="AR595" t="s">
        <v>111</v>
      </c>
      <c r="AS595" t="s">
        <v>111</v>
      </c>
      <c r="AT595" t="s">
        <v>111</v>
      </c>
      <c r="AU595" t="s">
        <v>111</v>
      </c>
      <c r="AV595" t="s">
        <v>111</v>
      </c>
      <c r="AW595" t="s">
        <v>111</v>
      </c>
      <c r="AX595" t="s">
        <v>111</v>
      </c>
      <c r="AY595" t="s">
        <v>111</v>
      </c>
      <c r="AZ595" t="s">
        <v>111</v>
      </c>
      <c r="BA595" t="s">
        <v>111</v>
      </c>
      <c r="BB595" t="s">
        <v>111</v>
      </c>
      <c r="BC595" t="s">
        <v>111</v>
      </c>
      <c r="BD595" t="s">
        <v>111</v>
      </c>
      <c r="BE595" t="s">
        <v>111</v>
      </c>
      <c r="BF595" t="s">
        <v>111</v>
      </c>
      <c r="BG595" t="s">
        <v>111</v>
      </c>
      <c r="BH595" t="s">
        <v>111</v>
      </c>
      <c r="BI595" t="s">
        <v>111</v>
      </c>
      <c r="BJ595" t="s">
        <v>111</v>
      </c>
      <c r="BK595" t="s">
        <v>111</v>
      </c>
      <c r="BL595" t="s">
        <v>111</v>
      </c>
      <c r="BM595" t="s">
        <v>111</v>
      </c>
      <c r="BN595" t="s">
        <v>111</v>
      </c>
      <c r="BO595" t="s">
        <v>111</v>
      </c>
      <c r="BP595" t="s">
        <v>111</v>
      </c>
      <c r="BQ595" t="s">
        <v>111</v>
      </c>
      <c r="BR595" t="s">
        <v>111</v>
      </c>
      <c r="BS595" t="s">
        <v>111</v>
      </c>
      <c r="BT595" t="s">
        <v>111</v>
      </c>
      <c r="BU595" t="s">
        <v>111</v>
      </c>
      <c r="BV595" t="s">
        <v>111</v>
      </c>
      <c r="BW595" t="s">
        <v>111</v>
      </c>
      <c r="BX595" t="s">
        <v>111</v>
      </c>
      <c r="BY595" t="s">
        <v>111</v>
      </c>
      <c r="BZ595" t="s">
        <v>111</v>
      </c>
      <c r="CA595" t="s">
        <v>111</v>
      </c>
      <c r="CB595" t="s">
        <v>111</v>
      </c>
      <c r="CC595" t="s">
        <v>111</v>
      </c>
      <c r="CD595" t="s">
        <v>111</v>
      </c>
      <c r="CE595" t="s">
        <v>111</v>
      </c>
      <c r="CF595" t="s">
        <v>111</v>
      </c>
      <c r="CG595" t="s">
        <v>111</v>
      </c>
      <c r="CH595" t="s">
        <v>111</v>
      </c>
      <c r="CI595" t="s">
        <v>111</v>
      </c>
      <c r="CJ595" t="s">
        <v>111</v>
      </c>
      <c r="CK595" t="s">
        <v>111</v>
      </c>
      <c r="CL595" t="s">
        <v>111</v>
      </c>
      <c r="CM595" t="s">
        <v>111</v>
      </c>
      <c r="CN595" t="s">
        <v>111</v>
      </c>
      <c r="CO595" t="s">
        <v>111</v>
      </c>
      <c r="CP595" t="s">
        <v>111</v>
      </c>
      <c r="CQ595">
        <v>0</v>
      </c>
      <c r="CR595">
        <v>0</v>
      </c>
      <c r="CS595">
        <v>0</v>
      </c>
      <c r="CT595" t="s">
        <v>111</v>
      </c>
      <c r="CU595">
        <v>0</v>
      </c>
      <c r="CV595" t="s">
        <v>111</v>
      </c>
      <c r="CX595" t="s">
        <v>111</v>
      </c>
      <c r="CY595">
        <v>0</v>
      </c>
      <c r="CZ595" t="s">
        <v>111</v>
      </c>
      <c r="DA595" t="s">
        <v>111</v>
      </c>
      <c r="DB595" t="s">
        <v>111</v>
      </c>
      <c r="DC595" t="s">
        <v>111</v>
      </c>
    </row>
    <row r="596" spans="1:107">
      <c r="A596">
        <v>1733</v>
      </c>
      <c r="B596" t="s">
        <v>107</v>
      </c>
      <c r="C596" t="s">
        <v>405</v>
      </c>
      <c r="D596" t="s">
        <v>2113</v>
      </c>
      <c r="E596" t="s">
        <v>2114</v>
      </c>
      <c r="F596" t="s">
        <v>157</v>
      </c>
      <c r="G596" t="s">
        <v>469</v>
      </c>
      <c r="H596">
        <v>0.9</v>
      </c>
      <c r="I596">
        <v>52.5</v>
      </c>
      <c r="J596">
        <v>0</v>
      </c>
      <c r="K596">
        <v>0</v>
      </c>
      <c r="L596" t="s">
        <v>112</v>
      </c>
      <c r="M596" t="s">
        <v>111</v>
      </c>
      <c r="N596">
        <v>0</v>
      </c>
      <c r="O596">
        <v>0</v>
      </c>
      <c r="P596" t="s">
        <v>138</v>
      </c>
      <c r="Q596">
        <v>49</v>
      </c>
      <c r="R596">
        <v>0</v>
      </c>
      <c r="S596">
        <v>0</v>
      </c>
      <c r="T596">
        <v>0</v>
      </c>
      <c r="U596" s="1" t="s">
        <v>2115</v>
      </c>
      <c r="V596">
        <v>0</v>
      </c>
      <c r="W596">
        <v>25</v>
      </c>
      <c r="X596">
        <v>5</v>
      </c>
      <c r="Y596">
        <v>0</v>
      </c>
      <c r="Z596" t="s">
        <v>111</v>
      </c>
      <c r="AA596">
        <v>0</v>
      </c>
      <c r="AB596" t="s">
        <v>111</v>
      </c>
      <c r="AC596">
        <v>0</v>
      </c>
      <c r="AD596" t="s">
        <v>111</v>
      </c>
      <c r="AE596">
        <v>0</v>
      </c>
      <c r="AF596">
        <v>0</v>
      </c>
      <c r="AG596" t="s">
        <v>111</v>
      </c>
      <c r="AH596" t="s">
        <v>111</v>
      </c>
      <c r="AI596" t="s">
        <v>111</v>
      </c>
      <c r="AJ596" t="s">
        <v>111</v>
      </c>
      <c r="AK596" t="s">
        <v>111</v>
      </c>
      <c r="AL596" t="s">
        <v>111</v>
      </c>
      <c r="AM596">
        <v>0</v>
      </c>
      <c r="AN596">
        <v>0</v>
      </c>
      <c r="AO596">
        <v>0</v>
      </c>
      <c r="AP596" t="s">
        <v>111</v>
      </c>
      <c r="AQ596" t="s">
        <v>111</v>
      </c>
      <c r="AR596" t="s">
        <v>111</v>
      </c>
      <c r="AS596" t="s">
        <v>111</v>
      </c>
      <c r="AT596" t="s">
        <v>111</v>
      </c>
      <c r="AU596" t="s">
        <v>111</v>
      </c>
      <c r="AV596" t="s">
        <v>111</v>
      </c>
      <c r="AW596" t="s">
        <v>111</v>
      </c>
      <c r="AX596" t="s">
        <v>111</v>
      </c>
      <c r="AY596" t="s">
        <v>111</v>
      </c>
      <c r="AZ596" t="s">
        <v>111</v>
      </c>
      <c r="BA596" t="s">
        <v>111</v>
      </c>
      <c r="BB596" t="s">
        <v>111</v>
      </c>
      <c r="BC596" t="s">
        <v>111</v>
      </c>
      <c r="BD596" t="s">
        <v>111</v>
      </c>
      <c r="BE596" t="s">
        <v>111</v>
      </c>
      <c r="BF596" t="s">
        <v>111</v>
      </c>
      <c r="BG596" t="s">
        <v>111</v>
      </c>
      <c r="BH596" t="s">
        <v>111</v>
      </c>
      <c r="BI596" t="s">
        <v>111</v>
      </c>
      <c r="BJ596" t="s">
        <v>111</v>
      </c>
      <c r="BK596" t="s">
        <v>111</v>
      </c>
      <c r="BL596" t="s">
        <v>111</v>
      </c>
      <c r="BM596" t="s">
        <v>111</v>
      </c>
      <c r="BN596" t="s">
        <v>111</v>
      </c>
      <c r="BO596" t="s">
        <v>111</v>
      </c>
      <c r="BP596" t="s">
        <v>111</v>
      </c>
      <c r="BQ596" t="s">
        <v>111</v>
      </c>
      <c r="BR596" t="s">
        <v>111</v>
      </c>
      <c r="BS596" t="s">
        <v>111</v>
      </c>
      <c r="BT596" t="s">
        <v>111</v>
      </c>
      <c r="BU596" t="s">
        <v>111</v>
      </c>
      <c r="BV596" t="s">
        <v>111</v>
      </c>
      <c r="BW596" t="s">
        <v>111</v>
      </c>
      <c r="BX596" t="s">
        <v>111</v>
      </c>
      <c r="BY596" t="s">
        <v>111</v>
      </c>
      <c r="BZ596" t="s">
        <v>111</v>
      </c>
      <c r="CA596" t="s">
        <v>111</v>
      </c>
      <c r="CB596" t="s">
        <v>111</v>
      </c>
      <c r="CC596" t="s">
        <v>111</v>
      </c>
      <c r="CD596" t="s">
        <v>111</v>
      </c>
      <c r="CE596" t="s">
        <v>111</v>
      </c>
      <c r="CF596" t="s">
        <v>111</v>
      </c>
      <c r="CG596" t="s">
        <v>111</v>
      </c>
      <c r="CH596" t="s">
        <v>111</v>
      </c>
      <c r="CI596" t="s">
        <v>111</v>
      </c>
      <c r="CJ596" t="s">
        <v>111</v>
      </c>
      <c r="CK596" t="s">
        <v>111</v>
      </c>
      <c r="CL596" t="s">
        <v>111</v>
      </c>
      <c r="CM596" t="s">
        <v>111</v>
      </c>
      <c r="CN596" t="s">
        <v>111</v>
      </c>
      <c r="CO596" t="s">
        <v>111</v>
      </c>
      <c r="CP596" t="s">
        <v>111</v>
      </c>
      <c r="CQ596">
        <v>0</v>
      </c>
      <c r="CR596">
        <v>0</v>
      </c>
      <c r="CS596">
        <v>0</v>
      </c>
      <c r="CT596" t="s">
        <v>111</v>
      </c>
      <c r="CU596">
        <v>0</v>
      </c>
      <c r="CV596" t="s">
        <v>111</v>
      </c>
      <c r="CX596" t="s">
        <v>111</v>
      </c>
      <c r="CY596">
        <v>0</v>
      </c>
      <c r="CZ596" t="s">
        <v>111</v>
      </c>
      <c r="DA596" t="s">
        <v>111</v>
      </c>
      <c r="DB596" t="s">
        <v>111</v>
      </c>
      <c r="DC596" t="s">
        <v>111</v>
      </c>
    </row>
    <row r="597" spans="1:107">
      <c r="A597">
        <v>1729</v>
      </c>
      <c r="B597" t="s">
        <v>107</v>
      </c>
      <c r="C597" t="s">
        <v>736</v>
      </c>
      <c r="D597" t="s">
        <v>2116</v>
      </c>
      <c r="E597" t="s">
        <v>2117</v>
      </c>
      <c r="F597" t="s">
        <v>561</v>
      </c>
      <c r="G597" t="s">
        <v>469</v>
      </c>
      <c r="H597">
        <v>2.9</v>
      </c>
      <c r="I597">
        <v>29.5</v>
      </c>
      <c r="J597">
        <v>0</v>
      </c>
      <c r="K597">
        <v>0</v>
      </c>
      <c r="L597" t="s">
        <v>178</v>
      </c>
      <c r="M597" t="s">
        <v>118</v>
      </c>
      <c r="N597">
        <v>0</v>
      </c>
      <c r="O597">
        <v>1</v>
      </c>
      <c r="P597" t="s">
        <v>111</v>
      </c>
      <c r="Q597">
        <v>27.5</v>
      </c>
      <c r="R597">
        <v>0</v>
      </c>
      <c r="S597">
        <v>0</v>
      </c>
      <c r="T597">
        <v>10</v>
      </c>
      <c r="U597" s="1" t="s">
        <v>2118</v>
      </c>
      <c r="V597">
        <v>25</v>
      </c>
      <c r="W597">
        <v>0</v>
      </c>
      <c r="X597">
        <v>8</v>
      </c>
      <c r="Y597">
        <v>0</v>
      </c>
      <c r="Z597" t="s">
        <v>111</v>
      </c>
      <c r="AA597">
        <v>0</v>
      </c>
      <c r="AB597" t="s">
        <v>111</v>
      </c>
      <c r="AC597">
        <v>0</v>
      </c>
      <c r="AD597" t="s">
        <v>416</v>
      </c>
      <c r="AE597">
        <v>0</v>
      </c>
      <c r="AF597">
        <v>0</v>
      </c>
      <c r="AG597" t="s">
        <v>111</v>
      </c>
      <c r="AH597" t="s">
        <v>113</v>
      </c>
      <c r="AI597" t="s">
        <v>111</v>
      </c>
      <c r="AJ597" t="s">
        <v>111</v>
      </c>
      <c r="AK597" t="s">
        <v>111</v>
      </c>
      <c r="AL597" t="s">
        <v>111</v>
      </c>
      <c r="AM597">
        <v>0</v>
      </c>
      <c r="AN597">
        <v>0</v>
      </c>
      <c r="AO597">
        <v>0</v>
      </c>
      <c r="AP597" t="s">
        <v>111</v>
      </c>
      <c r="AQ597" t="s">
        <v>111</v>
      </c>
      <c r="AR597" t="s">
        <v>111</v>
      </c>
      <c r="AS597" t="s">
        <v>111</v>
      </c>
      <c r="AT597" t="s">
        <v>111</v>
      </c>
      <c r="AU597" t="s">
        <v>111</v>
      </c>
      <c r="AV597" t="s">
        <v>111</v>
      </c>
      <c r="AW597" t="s">
        <v>111</v>
      </c>
      <c r="AX597" t="s">
        <v>111</v>
      </c>
      <c r="AY597" t="s">
        <v>111</v>
      </c>
      <c r="AZ597" t="s">
        <v>111</v>
      </c>
      <c r="BA597" t="s">
        <v>111</v>
      </c>
      <c r="BB597" t="s">
        <v>111</v>
      </c>
      <c r="BC597" t="s">
        <v>111</v>
      </c>
      <c r="BD597" t="s">
        <v>111</v>
      </c>
      <c r="BE597" t="s">
        <v>111</v>
      </c>
      <c r="BF597" t="s">
        <v>111</v>
      </c>
      <c r="BG597" t="s">
        <v>111</v>
      </c>
      <c r="BH597" t="s">
        <v>111</v>
      </c>
      <c r="BI597" t="s">
        <v>111</v>
      </c>
      <c r="BJ597" t="s">
        <v>111</v>
      </c>
      <c r="BK597" t="s">
        <v>111</v>
      </c>
      <c r="BL597" t="s">
        <v>111</v>
      </c>
      <c r="BM597" t="s">
        <v>111</v>
      </c>
      <c r="BN597" t="s">
        <v>111</v>
      </c>
      <c r="BO597" t="s">
        <v>111</v>
      </c>
      <c r="BP597" t="s">
        <v>111</v>
      </c>
      <c r="BQ597" t="s">
        <v>111</v>
      </c>
      <c r="BR597" t="s">
        <v>111</v>
      </c>
      <c r="BS597" t="s">
        <v>111</v>
      </c>
      <c r="BT597" t="s">
        <v>111</v>
      </c>
      <c r="BU597" t="s">
        <v>111</v>
      </c>
      <c r="BV597" t="s">
        <v>111</v>
      </c>
      <c r="BW597" t="s">
        <v>111</v>
      </c>
      <c r="BX597" t="s">
        <v>111</v>
      </c>
      <c r="BY597" t="s">
        <v>111</v>
      </c>
      <c r="BZ597" t="s">
        <v>111</v>
      </c>
      <c r="CA597" t="s">
        <v>111</v>
      </c>
      <c r="CB597" t="s">
        <v>111</v>
      </c>
      <c r="CC597" t="s">
        <v>111</v>
      </c>
      <c r="CD597" t="s">
        <v>111</v>
      </c>
      <c r="CE597" t="s">
        <v>111</v>
      </c>
      <c r="CF597" t="s">
        <v>111</v>
      </c>
      <c r="CG597" t="s">
        <v>111</v>
      </c>
      <c r="CH597" t="s">
        <v>111</v>
      </c>
      <c r="CI597" t="s">
        <v>111</v>
      </c>
      <c r="CJ597" t="s">
        <v>111</v>
      </c>
      <c r="CK597" t="s">
        <v>111</v>
      </c>
      <c r="CL597" t="s">
        <v>111</v>
      </c>
      <c r="CM597" t="s">
        <v>135</v>
      </c>
      <c r="CN597" t="s">
        <v>113</v>
      </c>
      <c r="CO597" t="s">
        <v>367</v>
      </c>
      <c r="CP597" t="s">
        <v>111</v>
      </c>
      <c r="CQ597">
        <v>0</v>
      </c>
      <c r="CR597">
        <v>3000</v>
      </c>
      <c r="CS597">
        <v>50</v>
      </c>
      <c r="CT597" t="e">
        <f>-BIEN EMPACADO EN BOLD¡SAS PARA TROQUELAR AJSTANDO BIEN LA BOCA DE BOLSA</f>
        <v>#NAME?</v>
      </c>
      <c r="CU597">
        <v>0</v>
      </c>
      <c r="CV597" t="s">
        <v>111</v>
      </c>
      <c r="CX597" t="s">
        <v>111</v>
      </c>
      <c r="CY597">
        <v>0</v>
      </c>
      <c r="CZ597" t="s">
        <v>111</v>
      </c>
      <c r="DA597" t="s">
        <v>111</v>
      </c>
      <c r="DB597" t="e">
        <f>-INTERNO</f>
        <v>#NAME?</v>
      </c>
      <c r="DC597" t="e">
        <f>-TROQUEL RIÑON</f>
        <v>#NAME?</v>
      </c>
    </row>
    <row r="598" spans="1:107">
      <c r="A598">
        <v>2021</v>
      </c>
      <c r="B598" t="s">
        <v>376</v>
      </c>
      <c r="C598" t="s">
        <v>119</v>
      </c>
      <c r="D598" t="s">
        <v>2119</v>
      </c>
      <c r="E598" t="s">
        <v>2120</v>
      </c>
      <c r="F598" t="s">
        <v>166</v>
      </c>
      <c r="G598" t="s">
        <v>469</v>
      </c>
      <c r="H598">
        <v>0.6</v>
      </c>
      <c r="I598">
        <v>85</v>
      </c>
      <c r="J598">
        <v>15</v>
      </c>
      <c r="K598">
        <v>15</v>
      </c>
      <c r="L598" t="s">
        <v>112</v>
      </c>
      <c r="M598" t="s">
        <v>138</v>
      </c>
      <c r="N598">
        <v>0</v>
      </c>
      <c r="O598">
        <v>0</v>
      </c>
      <c r="P598" t="s">
        <v>111</v>
      </c>
      <c r="Q598">
        <v>25</v>
      </c>
      <c r="R598">
        <v>0</v>
      </c>
      <c r="S598">
        <v>0</v>
      </c>
      <c r="T598">
        <v>0</v>
      </c>
      <c r="U598" s="1" t="s">
        <v>2121</v>
      </c>
      <c r="V598">
        <v>25</v>
      </c>
      <c r="W598">
        <v>0</v>
      </c>
      <c r="X598">
        <v>6</v>
      </c>
      <c r="Y598">
        <v>0</v>
      </c>
      <c r="Z598" t="s">
        <v>111</v>
      </c>
      <c r="AA598">
        <v>0</v>
      </c>
      <c r="AB598" t="s">
        <v>111</v>
      </c>
      <c r="AC598">
        <v>0</v>
      </c>
      <c r="AD598" t="s">
        <v>111</v>
      </c>
      <c r="AE598">
        <v>0</v>
      </c>
      <c r="AF598">
        <v>0</v>
      </c>
      <c r="AG598" t="s">
        <v>111</v>
      </c>
      <c r="AH598" t="s">
        <v>111</v>
      </c>
      <c r="AI598" t="s">
        <v>111</v>
      </c>
      <c r="AJ598" t="s">
        <v>111</v>
      </c>
      <c r="AK598" t="s">
        <v>111</v>
      </c>
      <c r="AL598" t="s">
        <v>111</v>
      </c>
      <c r="AM598">
        <v>0</v>
      </c>
      <c r="AN598">
        <v>0</v>
      </c>
      <c r="AO598">
        <v>0</v>
      </c>
      <c r="AP598" t="s">
        <v>111</v>
      </c>
      <c r="AQ598" t="s">
        <v>111</v>
      </c>
      <c r="AR598" t="s">
        <v>111</v>
      </c>
      <c r="AS598" t="s">
        <v>111</v>
      </c>
      <c r="AT598" t="s">
        <v>111</v>
      </c>
      <c r="AU598" t="s">
        <v>111</v>
      </c>
      <c r="AV598" t="s">
        <v>111</v>
      </c>
      <c r="AW598" t="s">
        <v>111</v>
      </c>
      <c r="AX598" t="s">
        <v>111</v>
      </c>
      <c r="AY598" t="s">
        <v>111</v>
      </c>
      <c r="AZ598" t="s">
        <v>111</v>
      </c>
      <c r="BA598" t="s">
        <v>111</v>
      </c>
      <c r="BB598" t="s">
        <v>111</v>
      </c>
      <c r="BC598" t="s">
        <v>111</v>
      </c>
      <c r="BD598" t="s">
        <v>111</v>
      </c>
      <c r="BE598" t="s">
        <v>111</v>
      </c>
      <c r="BF598" t="s">
        <v>111</v>
      </c>
      <c r="BG598" t="s">
        <v>111</v>
      </c>
      <c r="BH598" t="s">
        <v>111</v>
      </c>
      <c r="BI598" t="s">
        <v>111</v>
      </c>
      <c r="BJ598" t="s">
        <v>111</v>
      </c>
      <c r="BK598" t="s">
        <v>111</v>
      </c>
      <c r="BL598" t="s">
        <v>111</v>
      </c>
      <c r="BM598" t="s">
        <v>111</v>
      </c>
      <c r="BN598" t="s">
        <v>111</v>
      </c>
      <c r="BO598" t="s">
        <v>111</v>
      </c>
      <c r="BP598" t="s">
        <v>111</v>
      </c>
      <c r="BQ598" t="s">
        <v>111</v>
      </c>
      <c r="BR598" t="s">
        <v>111</v>
      </c>
      <c r="BS598" t="s">
        <v>111</v>
      </c>
      <c r="BT598" t="s">
        <v>111</v>
      </c>
      <c r="BU598" t="s">
        <v>111</v>
      </c>
      <c r="BV598" t="s">
        <v>111</v>
      </c>
      <c r="BW598" t="s">
        <v>111</v>
      </c>
      <c r="BX598" t="s">
        <v>111</v>
      </c>
      <c r="BY598" t="s">
        <v>111</v>
      </c>
      <c r="BZ598" t="s">
        <v>111</v>
      </c>
      <c r="CA598" t="s">
        <v>111</v>
      </c>
      <c r="CB598" t="s">
        <v>111</v>
      </c>
      <c r="CC598" t="s">
        <v>111</v>
      </c>
      <c r="CD598" t="s">
        <v>111</v>
      </c>
      <c r="CE598" t="s">
        <v>111</v>
      </c>
      <c r="CF598" t="s">
        <v>111</v>
      </c>
      <c r="CG598" t="s">
        <v>111</v>
      </c>
      <c r="CH598" t="s">
        <v>111</v>
      </c>
      <c r="CI598" t="s">
        <v>111</v>
      </c>
      <c r="CJ598" t="s">
        <v>111</v>
      </c>
      <c r="CK598" t="s">
        <v>111</v>
      </c>
      <c r="CL598" t="s">
        <v>111</v>
      </c>
      <c r="CM598" t="s">
        <v>111</v>
      </c>
      <c r="CN598" t="s">
        <v>111</v>
      </c>
      <c r="CO598" t="s">
        <v>111</v>
      </c>
      <c r="CP598" t="s">
        <v>111</v>
      </c>
      <c r="CQ598">
        <v>0</v>
      </c>
      <c r="CR598">
        <v>0</v>
      </c>
      <c r="CS598">
        <v>0</v>
      </c>
      <c r="CT598" t="s">
        <v>111</v>
      </c>
      <c r="CU598">
        <v>0</v>
      </c>
      <c r="CV598" t="s">
        <v>111</v>
      </c>
      <c r="CX598" t="s">
        <v>111</v>
      </c>
      <c r="CY598">
        <v>0</v>
      </c>
      <c r="CZ598" t="s">
        <v>111</v>
      </c>
      <c r="DA598" t="s">
        <v>111</v>
      </c>
      <c r="DB598" t="s">
        <v>111</v>
      </c>
      <c r="DC598" t="s">
        <v>111</v>
      </c>
    </row>
    <row r="599" spans="1:107">
      <c r="A599">
        <v>2039</v>
      </c>
      <c r="B599" t="s">
        <v>376</v>
      </c>
      <c r="C599" t="s">
        <v>226</v>
      </c>
      <c r="D599" t="s">
        <v>2122</v>
      </c>
      <c r="E599" t="s">
        <v>2123</v>
      </c>
      <c r="F599" t="s">
        <v>1071</v>
      </c>
      <c r="G599" t="s">
        <v>469</v>
      </c>
      <c r="H599">
        <v>0.9</v>
      </c>
      <c r="I599">
        <v>56</v>
      </c>
      <c r="J599">
        <v>0</v>
      </c>
      <c r="K599">
        <v>0</v>
      </c>
      <c r="L599" t="s">
        <v>112</v>
      </c>
      <c r="M599" t="s">
        <v>118</v>
      </c>
      <c r="N599">
        <v>39</v>
      </c>
      <c r="O599">
        <v>2</v>
      </c>
      <c r="P599" t="s">
        <v>111</v>
      </c>
      <c r="Q599">
        <v>50</v>
      </c>
      <c r="R599">
        <v>0</v>
      </c>
      <c r="S599">
        <v>0</v>
      </c>
      <c r="T599">
        <v>5</v>
      </c>
      <c r="U599" s="1" t="s">
        <v>2124</v>
      </c>
      <c r="V599">
        <v>0</v>
      </c>
      <c r="W599">
        <v>0</v>
      </c>
      <c r="X599">
        <v>0</v>
      </c>
      <c r="Y599">
        <v>25</v>
      </c>
      <c r="Z599" t="s">
        <v>111</v>
      </c>
      <c r="AA599">
        <v>0</v>
      </c>
      <c r="AB599" t="s">
        <v>111</v>
      </c>
      <c r="AC599">
        <v>0</v>
      </c>
      <c r="AD599" t="s">
        <v>111</v>
      </c>
      <c r="AE599">
        <v>0</v>
      </c>
      <c r="AF599">
        <v>0</v>
      </c>
      <c r="AG599" t="s">
        <v>111</v>
      </c>
      <c r="AH599" t="s">
        <v>111</v>
      </c>
      <c r="AI599" t="s">
        <v>111</v>
      </c>
      <c r="AJ599" t="s">
        <v>111</v>
      </c>
      <c r="AK599" t="s">
        <v>111</v>
      </c>
      <c r="AL599" t="s">
        <v>111</v>
      </c>
      <c r="AM599">
        <v>0</v>
      </c>
      <c r="AN599">
        <v>0</v>
      </c>
      <c r="AO599">
        <v>0</v>
      </c>
      <c r="AP599" t="s">
        <v>111</v>
      </c>
      <c r="AQ599" t="s">
        <v>111</v>
      </c>
      <c r="AR599" t="s">
        <v>111</v>
      </c>
      <c r="AS599" t="s">
        <v>111</v>
      </c>
      <c r="AT599" t="s">
        <v>111</v>
      </c>
      <c r="AU599" t="s">
        <v>111</v>
      </c>
      <c r="AV599" t="s">
        <v>111</v>
      </c>
      <c r="AW599" t="s">
        <v>111</v>
      </c>
      <c r="AX599" t="s">
        <v>111</v>
      </c>
      <c r="AY599" t="s">
        <v>111</v>
      </c>
      <c r="AZ599" t="s">
        <v>111</v>
      </c>
      <c r="BA599" t="s">
        <v>111</v>
      </c>
      <c r="BB599" t="s">
        <v>111</v>
      </c>
      <c r="BC599" t="s">
        <v>111</v>
      </c>
      <c r="BD599" t="s">
        <v>111</v>
      </c>
      <c r="BE599" t="s">
        <v>111</v>
      </c>
      <c r="BF599" t="s">
        <v>111</v>
      </c>
      <c r="BG599" t="s">
        <v>111</v>
      </c>
      <c r="BH599" t="s">
        <v>111</v>
      </c>
      <c r="BI599" t="s">
        <v>111</v>
      </c>
      <c r="BJ599" t="s">
        <v>111</v>
      </c>
      <c r="BK599" t="s">
        <v>111</v>
      </c>
      <c r="BL599" t="s">
        <v>111</v>
      </c>
      <c r="BM599" t="s">
        <v>111</v>
      </c>
      <c r="BN599" t="s">
        <v>111</v>
      </c>
      <c r="BO599" t="s">
        <v>111</v>
      </c>
      <c r="BP599" t="s">
        <v>111</v>
      </c>
      <c r="BQ599" t="s">
        <v>111</v>
      </c>
      <c r="BR599" t="s">
        <v>111</v>
      </c>
      <c r="BS599" t="s">
        <v>111</v>
      </c>
      <c r="BT599" t="s">
        <v>111</v>
      </c>
      <c r="BU599" t="s">
        <v>111</v>
      </c>
      <c r="BV599" t="s">
        <v>111</v>
      </c>
      <c r="BW599" t="s">
        <v>111</v>
      </c>
      <c r="BX599" t="s">
        <v>111</v>
      </c>
      <c r="BY599" t="s">
        <v>111</v>
      </c>
      <c r="BZ599" t="s">
        <v>111</v>
      </c>
      <c r="CA599" t="s">
        <v>111</v>
      </c>
      <c r="CB599" t="s">
        <v>111</v>
      </c>
      <c r="CC599" t="s">
        <v>111</v>
      </c>
      <c r="CD599" t="s">
        <v>111</v>
      </c>
      <c r="CE599" t="s">
        <v>111</v>
      </c>
      <c r="CF599" t="s">
        <v>111</v>
      </c>
      <c r="CG599" t="s">
        <v>111</v>
      </c>
      <c r="CH599" t="s">
        <v>111</v>
      </c>
      <c r="CI599" t="s">
        <v>111</v>
      </c>
      <c r="CJ599" t="s">
        <v>111</v>
      </c>
      <c r="CK599" t="s">
        <v>111</v>
      </c>
      <c r="CL599" t="s">
        <v>111</v>
      </c>
      <c r="CM599" t="s">
        <v>135</v>
      </c>
      <c r="CN599" t="s">
        <v>113</v>
      </c>
      <c r="CO599" t="s">
        <v>111</v>
      </c>
      <c r="CP599" t="s">
        <v>111</v>
      </c>
      <c r="CQ599">
        <v>0</v>
      </c>
      <c r="CR599">
        <v>4000</v>
      </c>
      <c r="CS599">
        <v>500</v>
      </c>
      <c r="CT599" s="1" t="s">
        <v>2125</v>
      </c>
      <c r="CU599">
        <v>0</v>
      </c>
      <c r="CV599" t="s">
        <v>111</v>
      </c>
      <c r="CX599" t="s">
        <v>111</v>
      </c>
      <c r="CY599">
        <v>0</v>
      </c>
      <c r="CZ599" t="s">
        <v>111</v>
      </c>
      <c r="DA599" t="s">
        <v>111</v>
      </c>
      <c r="DB599" t="s">
        <v>111</v>
      </c>
      <c r="DC599" t="s">
        <v>111</v>
      </c>
    </row>
    <row r="600" spans="1:107">
      <c r="A600">
        <v>232</v>
      </c>
      <c r="B600" t="s">
        <v>107</v>
      </c>
      <c r="C600" t="s">
        <v>801</v>
      </c>
      <c r="D600" t="s">
        <v>2126</v>
      </c>
      <c r="E600" t="s">
        <v>2127</v>
      </c>
      <c r="F600" t="s">
        <v>722</v>
      </c>
      <c r="G600" t="s">
        <v>469</v>
      </c>
      <c r="H600">
        <v>0.8</v>
      </c>
      <c r="I600">
        <v>43</v>
      </c>
      <c r="J600">
        <v>0</v>
      </c>
      <c r="K600">
        <v>0</v>
      </c>
      <c r="L600" t="s">
        <v>112</v>
      </c>
      <c r="M600" t="s">
        <v>138</v>
      </c>
      <c r="N600">
        <v>0</v>
      </c>
      <c r="O600">
        <v>0</v>
      </c>
      <c r="P600" t="s">
        <v>138</v>
      </c>
      <c r="Q600">
        <v>43.5</v>
      </c>
      <c r="R600">
        <v>0</v>
      </c>
      <c r="S600">
        <v>0</v>
      </c>
      <c r="T600">
        <v>5</v>
      </c>
      <c r="U600" s="1" t="s">
        <v>2128</v>
      </c>
      <c r="V600">
        <v>0</v>
      </c>
      <c r="W600">
        <v>25</v>
      </c>
      <c r="X600">
        <v>6</v>
      </c>
      <c r="Y600">
        <v>0</v>
      </c>
      <c r="Z600" t="s">
        <v>111</v>
      </c>
      <c r="AA600">
        <v>0</v>
      </c>
      <c r="AB600" t="s">
        <v>111</v>
      </c>
      <c r="AC600">
        <v>0</v>
      </c>
      <c r="AD600" t="s">
        <v>111</v>
      </c>
      <c r="AE600">
        <v>0</v>
      </c>
      <c r="AF600">
        <v>0</v>
      </c>
      <c r="AG600" t="s">
        <v>111</v>
      </c>
      <c r="AH600" t="s">
        <v>111</v>
      </c>
      <c r="AI600" t="s">
        <v>111</v>
      </c>
      <c r="AJ600" t="s">
        <v>111</v>
      </c>
      <c r="AK600" t="s">
        <v>111</v>
      </c>
      <c r="AL600" t="s">
        <v>111</v>
      </c>
      <c r="AM600">
        <v>0</v>
      </c>
      <c r="AN600">
        <v>0</v>
      </c>
      <c r="AO600">
        <v>0</v>
      </c>
      <c r="AP600" t="s">
        <v>111</v>
      </c>
      <c r="AQ600" t="s">
        <v>111</v>
      </c>
      <c r="AR600" t="s">
        <v>111</v>
      </c>
      <c r="AS600" t="s">
        <v>111</v>
      </c>
      <c r="AT600" t="s">
        <v>111</v>
      </c>
      <c r="AU600" t="s">
        <v>111</v>
      </c>
      <c r="AV600" t="s">
        <v>111</v>
      </c>
      <c r="AW600" t="s">
        <v>111</v>
      </c>
      <c r="AX600" t="s">
        <v>111</v>
      </c>
      <c r="AY600" t="s">
        <v>111</v>
      </c>
      <c r="AZ600" t="s">
        <v>111</v>
      </c>
      <c r="BA600" t="s">
        <v>111</v>
      </c>
      <c r="BB600" t="s">
        <v>111</v>
      </c>
      <c r="BC600" t="s">
        <v>111</v>
      </c>
      <c r="BD600" t="s">
        <v>111</v>
      </c>
      <c r="BE600" t="s">
        <v>111</v>
      </c>
      <c r="BF600" t="s">
        <v>111</v>
      </c>
      <c r="BG600" t="s">
        <v>111</v>
      </c>
      <c r="BH600" t="s">
        <v>111</v>
      </c>
      <c r="BI600" t="s">
        <v>111</v>
      </c>
      <c r="BJ600" t="s">
        <v>111</v>
      </c>
      <c r="BK600" t="s">
        <v>111</v>
      </c>
      <c r="BL600" t="s">
        <v>111</v>
      </c>
      <c r="BM600" t="s">
        <v>111</v>
      </c>
      <c r="BN600" t="s">
        <v>111</v>
      </c>
      <c r="BO600" t="s">
        <v>111</v>
      </c>
      <c r="BP600" t="s">
        <v>111</v>
      </c>
      <c r="BQ600" t="s">
        <v>111</v>
      </c>
      <c r="BR600" t="s">
        <v>111</v>
      </c>
      <c r="BS600" t="s">
        <v>111</v>
      </c>
      <c r="BT600" t="s">
        <v>111</v>
      </c>
      <c r="BU600" t="s">
        <v>111</v>
      </c>
      <c r="BV600" t="s">
        <v>111</v>
      </c>
      <c r="BW600" t="s">
        <v>111</v>
      </c>
      <c r="BX600" t="s">
        <v>111</v>
      </c>
      <c r="BY600" t="s">
        <v>111</v>
      </c>
      <c r="BZ600" t="s">
        <v>111</v>
      </c>
      <c r="CA600" t="s">
        <v>111</v>
      </c>
      <c r="CB600" t="s">
        <v>111</v>
      </c>
      <c r="CC600" t="s">
        <v>111</v>
      </c>
      <c r="CD600" t="s">
        <v>111</v>
      </c>
      <c r="CE600" t="s">
        <v>111</v>
      </c>
      <c r="CF600" t="s">
        <v>111</v>
      </c>
      <c r="CG600" t="s">
        <v>111</v>
      </c>
      <c r="CH600" t="s">
        <v>111</v>
      </c>
      <c r="CI600" t="s">
        <v>111</v>
      </c>
      <c r="CJ600" t="s">
        <v>111</v>
      </c>
      <c r="CK600" t="s">
        <v>111</v>
      </c>
      <c r="CL600" t="s">
        <v>111</v>
      </c>
      <c r="CM600" t="s">
        <v>127</v>
      </c>
      <c r="CN600" t="s">
        <v>128</v>
      </c>
      <c r="CO600" t="s">
        <v>111</v>
      </c>
      <c r="CP600" t="s">
        <v>111</v>
      </c>
      <c r="CQ600">
        <v>0</v>
      </c>
      <c r="CR600">
        <v>1500</v>
      </c>
      <c r="CS600">
        <v>100</v>
      </c>
      <c r="CT600" t="e">
        <f>-MANUALES</f>
        <v>#NAME?</v>
      </c>
      <c r="CU600">
        <v>0</v>
      </c>
      <c r="CV600" t="s">
        <v>111</v>
      </c>
      <c r="CW600" t="s">
        <v>111</v>
      </c>
      <c r="CX600" t="s">
        <v>111</v>
      </c>
      <c r="CY600">
        <v>0</v>
      </c>
      <c r="CZ600" t="s">
        <v>111</v>
      </c>
      <c r="DA600" t="s">
        <v>111</v>
      </c>
      <c r="DB600" t="s">
        <v>204</v>
      </c>
      <c r="DC600" s="1" t="s">
        <v>804</v>
      </c>
    </row>
    <row r="601" spans="1:107">
      <c r="A601">
        <v>1721</v>
      </c>
      <c r="B601" t="s">
        <v>107</v>
      </c>
      <c r="C601" t="s">
        <v>876</v>
      </c>
      <c r="D601" t="s">
        <v>2129</v>
      </c>
      <c r="E601" t="s">
        <v>2130</v>
      </c>
      <c r="F601" t="s">
        <v>192</v>
      </c>
      <c r="G601" t="s">
        <v>469</v>
      </c>
      <c r="H601">
        <v>2.9</v>
      </c>
      <c r="I601">
        <v>51.5</v>
      </c>
      <c r="J601">
        <v>0</v>
      </c>
      <c r="K601">
        <v>0</v>
      </c>
      <c r="L601" t="s">
        <v>112</v>
      </c>
      <c r="M601" t="s">
        <v>118</v>
      </c>
      <c r="N601">
        <v>39</v>
      </c>
      <c r="O601">
        <v>2</v>
      </c>
      <c r="P601" t="s">
        <v>111</v>
      </c>
      <c r="Q601">
        <v>37.299999999999997</v>
      </c>
      <c r="R601">
        <v>0</v>
      </c>
      <c r="S601">
        <v>0</v>
      </c>
      <c r="T601">
        <v>5</v>
      </c>
      <c r="U601" s="1" t="s">
        <v>2131</v>
      </c>
      <c r="V601">
        <v>0</v>
      </c>
      <c r="W601">
        <v>25</v>
      </c>
      <c r="X601">
        <v>8</v>
      </c>
      <c r="Y601">
        <v>0</v>
      </c>
      <c r="Z601" t="s">
        <v>111</v>
      </c>
      <c r="AA601">
        <v>0</v>
      </c>
      <c r="AB601" t="s">
        <v>111</v>
      </c>
      <c r="AC601">
        <v>0</v>
      </c>
      <c r="AD601" t="s">
        <v>111</v>
      </c>
      <c r="AE601">
        <v>0</v>
      </c>
      <c r="AF601">
        <v>0</v>
      </c>
      <c r="AG601" t="s">
        <v>111</v>
      </c>
      <c r="AH601" t="s">
        <v>111</v>
      </c>
      <c r="AI601" t="s">
        <v>111</v>
      </c>
      <c r="AJ601" t="s">
        <v>111</v>
      </c>
      <c r="AK601" t="s">
        <v>111</v>
      </c>
      <c r="AL601" t="s">
        <v>111</v>
      </c>
      <c r="AM601">
        <v>0</v>
      </c>
      <c r="AN601">
        <v>0</v>
      </c>
      <c r="AO601">
        <v>0</v>
      </c>
      <c r="AP601" t="s">
        <v>111</v>
      </c>
      <c r="AQ601" t="s">
        <v>111</v>
      </c>
      <c r="AR601" t="s">
        <v>111</v>
      </c>
      <c r="AS601" t="s">
        <v>111</v>
      </c>
      <c r="AT601" t="s">
        <v>111</v>
      </c>
      <c r="AU601" t="s">
        <v>111</v>
      </c>
      <c r="AV601" t="s">
        <v>111</v>
      </c>
      <c r="AW601" t="s">
        <v>111</v>
      </c>
      <c r="AX601" t="s">
        <v>111</v>
      </c>
      <c r="AY601" t="s">
        <v>111</v>
      </c>
      <c r="AZ601" t="s">
        <v>111</v>
      </c>
      <c r="BA601" t="s">
        <v>111</v>
      </c>
      <c r="BB601" t="s">
        <v>111</v>
      </c>
      <c r="BC601" t="s">
        <v>111</v>
      </c>
      <c r="BD601" t="s">
        <v>111</v>
      </c>
      <c r="BE601" t="s">
        <v>111</v>
      </c>
      <c r="BF601" t="s">
        <v>111</v>
      </c>
      <c r="BG601" t="s">
        <v>111</v>
      </c>
      <c r="BH601" t="s">
        <v>111</v>
      </c>
      <c r="BI601" t="s">
        <v>111</v>
      </c>
      <c r="BJ601" t="s">
        <v>111</v>
      </c>
      <c r="BK601" t="s">
        <v>111</v>
      </c>
      <c r="BL601" t="s">
        <v>111</v>
      </c>
      <c r="BM601" t="s">
        <v>111</v>
      </c>
      <c r="BN601" t="s">
        <v>111</v>
      </c>
      <c r="BO601" t="s">
        <v>111</v>
      </c>
      <c r="BP601" t="s">
        <v>111</v>
      </c>
      <c r="BQ601" t="s">
        <v>111</v>
      </c>
      <c r="BR601" t="s">
        <v>111</v>
      </c>
      <c r="BS601" t="s">
        <v>111</v>
      </c>
      <c r="BT601" t="s">
        <v>111</v>
      </c>
      <c r="BU601" t="s">
        <v>111</v>
      </c>
      <c r="BV601" t="s">
        <v>111</v>
      </c>
      <c r="BW601" t="s">
        <v>111</v>
      </c>
      <c r="BX601" t="s">
        <v>111</v>
      </c>
      <c r="BY601" t="s">
        <v>111</v>
      </c>
      <c r="BZ601" t="s">
        <v>111</v>
      </c>
      <c r="CA601" t="s">
        <v>111</v>
      </c>
      <c r="CB601" t="s">
        <v>111</v>
      </c>
      <c r="CC601" t="s">
        <v>111</v>
      </c>
      <c r="CD601" t="s">
        <v>111</v>
      </c>
      <c r="CE601" t="s">
        <v>111</v>
      </c>
      <c r="CF601" t="s">
        <v>111</v>
      </c>
      <c r="CG601" t="s">
        <v>111</v>
      </c>
      <c r="CH601" t="s">
        <v>111</v>
      </c>
      <c r="CI601" t="s">
        <v>111</v>
      </c>
      <c r="CJ601" t="s">
        <v>111</v>
      </c>
      <c r="CK601" t="s">
        <v>111</v>
      </c>
      <c r="CL601" t="s">
        <v>111</v>
      </c>
      <c r="CM601" t="s">
        <v>438</v>
      </c>
      <c r="CN601" t="s">
        <v>113</v>
      </c>
      <c r="CO601" t="s">
        <v>111</v>
      </c>
      <c r="CP601" t="s">
        <v>111</v>
      </c>
      <c r="CQ601">
        <v>0</v>
      </c>
      <c r="CR601">
        <v>1000</v>
      </c>
      <c r="CS601">
        <v>100</v>
      </c>
      <c r="CT601" t="e">
        <f>-ALMACEN</f>
        <v>#NAME?</v>
      </c>
      <c r="CU601">
        <v>0</v>
      </c>
      <c r="CV601" t="s">
        <v>111</v>
      </c>
      <c r="CX601" t="s">
        <v>111</v>
      </c>
      <c r="CY601">
        <v>0</v>
      </c>
      <c r="CZ601" t="s">
        <v>111</v>
      </c>
      <c r="DA601" t="s">
        <v>111</v>
      </c>
      <c r="DB601" t="s">
        <v>111</v>
      </c>
      <c r="DC601" t="s">
        <v>111</v>
      </c>
    </row>
    <row r="602" spans="1:107">
      <c r="A602">
        <v>1720</v>
      </c>
      <c r="B602" t="s">
        <v>107</v>
      </c>
      <c r="C602" t="s">
        <v>405</v>
      </c>
      <c r="D602" t="s">
        <v>2132</v>
      </c>
      <c r="E602" t="s">
        <v>2133</v>
      </c>
      <c r="F602" t="s">
        <v>116</v>
      </c>
      <c r="G602" t="s">
        <v>469</v>
      </c>
      <c r="H602">
        <v>1.9</v>
      </c>
      <c r="I602">
        <v>43</v>
      </c>
      <c r="J602">
        <v>0</v>
      </c>
      <c r="K602">
        <v>0</v>
      </c>
      <c r="L602" t="s">
        <v>117</v>
      </c>
      <c r="M602" t="s">
        <v>118</v>
      </c>
      <c r="N602">
        <v>40</v>
      </c>
      <c r="O602">
        <v>1</v>
      </c>
      <c r="P602" t="s">
        <v>111</v>
      </c>
      <c r="Q602">
        <v>45.5</v>
      </c>
      <c r="R602">
        <v>0</v>
      </c>
      <c r="S602">
        <v>0</v>
      </c>
      <c r="T602">
        <v>0</v>
      </c>
      <c r="U602" s="1" t="s">
        <v>2134</v>
      </c>
      <c r="V602">
        <v>0</v>
      </c>
      <c r="W602">
        <v>25</v>
      </c>
      <c r="X602">
        <v>5</v>
      </c>
      <c r="Y602">
        <v>0</v>
      </c>
      <c r="Z602" t="s">
        <v>111</v>
      </c>
      <c r="AA602">
        <v>0</v>
      </c>
      <c r="AB602" t="s">
        <v>111</v>
      </c>
      <c r="AC602">
        <v>0</v>
      </c>
      <c r="AD602" t="s">
        <v>111</v>
      </c>
      <c r="AE602">
        <v>0</v>
      </c>
      <c r="AF602">
        <v>0</v>
      </c>
      <c r="AG602" t="s">
        <v>111</v>
      </c>
      <c r="AH602" t="s">
        <v>111</v>
      </c>
      <c r="AI602" t="s">
        <v>111</v>
      </c>
      <c r="AJ602" t="s">
        <v>111</v>
      </c>
      <c r="AK602" t="s">
        <v>111</v>
      </c>
      <c r="AL602" t="s">
        <v>111</v>
      </c>
      <c r="AM602">
        <v>0</v>
      </c>
      <c r="AN602">
        <v>0</v>
      </c>
      <c r="AO602">
        <v>0</v>
      </c>
      <c r="AP602" t="s">
        <v>111</v>
      </c>
      <c r="AQ602" t="s">
        <v>111</v>
      </c>
      <c r="AR602" t="s">
        <v>111</v>
      </c>
      <c r="AS602" t="s">
        <v>111</v>
      </c>
      <c r="AT602" t="s">
        <v>111</v>
      </c>
      <c r="AU602" t="s">
        <v>111</v>
      </c>
      <c r="AV602" t="s">
        <v>111</v>
      </c>
      <c r="AW602" t="s">
        <v>111</v>
      </c>
      <c r="AX602" t="s">
        <v>111</v>
      </c>
      <c r="AY602" t="s">
        <v>111</v>
      </c>
      <c r="AZ602" t="s">
        <v>111</v>
      </c>
      <c r="BA602" t="s">
        <v>111</v>
      </c>
      <c r="BB602" t="s">
        <v>111</v>
      </c>
      <c r="BC602" t="s">
        <v>111</v>
      </c>
      <c r="BD602" t="s">
        <v>111</v>
      </c>
      <c r="BE602" t="s">
        <v>111</v>
      </c>
      <c r="BF602" t="s">
        <v>111</v>
      </c>
      <c r="BG602" t="s">
        <v>111</v>
      </c>
      <c r="BH602" t="s">
        <v>111</v>
      </c>
      <c r="BI602" t="s">
        <v>111</v>
      </c>
      <c r="BJ602" t="s">
        <v>111</v>
      </c>
      <c r="BK602" t="s">
        <v>111</v>
      </c>
      <c r="BL602" t="s">
        <v>111</v>
      </c>
      <c r="BM602" t="s">
        <v>111</v>
      </c>
      <c r="BN602" t="s">
        <v>111</v>
      </c>
      <c r="BO602" t="s">
        <v>111</v>
      </c>
      <c r="BP602" t="s">
        <v>111</v>
      </c>
      <c r="BQ602" t="s">
        <v>111</v>
      </c>
      <c r="BR602" t="s">
        <v>111</v>
      </c>
      <c r="BS602" t="s">
        <v>111</v>
      </c>
      <c r="BT602" t="s">
        <v>111</v>
      </c>
      <c r="BU602" t="s">
        <v>111</v>
      </c>
      <c r="BV602" t="s">
        <v>111</v>
      </c>
      <c r="BW602" t="s">
        <v>111</v>
      </c>
      <c r="BX602" t="s">
        <v>111</v>
      </c>
      <c r="BY602" t="s">
        <v>111</v>
      </c>
      <c r="BZ602" t="s">
        <v>111</v>
      </c>
      <c r="CA602" t="s">
        <v>111</v>
      </c>
      <c r="CB602" t="s">
        <v>111</v>
      </c>
      <c r="CC602" t="s">
        <v>111</v>
      </c>
      <c r="CD602" t="s">
        <v>111</v>
      </c>
      <c r="CE602" t="s">
        <v>111</v>
      </c>
      <c r="CF602" t="s">
        <v>111</v>
      </c>
      <c r="CG602" t="s">
        <v>111</v>
      </c>
      <c r="CH602" t="s">
        <v>111</v>
      </c>
      <c r="CI602" t="s">
        <v>111</v>
      </c>
      <c r="CJ602" t="s">
        <v>111</v>
      </c>
      <c r="CK602" t="s">
        <v>111</v>
      </c>
      <c r="CL602" t="s">
        <v>111</v>
      </c>
      <c r="CM602" t="s">
        <v>111</v>
      </c>
      <c r="CN602" t="s">
        <v>111</v>
      </c>
      <c r="CO602" t="s">
        <v>111</v>
      </c>
      <c r="CP602" t="s">
        <v>111</v>
      </c>
      <c r="CQ602">
        <v>0</v>
      </c>
      <c r="CR602">
        <v>0</v>
      </c>
      <c r="CS602">
        <v>0</v>
      </c>
      <c r="CT602" t="s">
        <v>111</v>
      </c>
      <c r="CU602">
        <v>0</v>
      </c>
      <c r="CV602" t="s">
        <v>111</v>
      </c>
      <c r="CX602" t="s">
        <v>111</v>
      </c>
      <c r="CY602">
        <v>0</v>
      </c>
      <c r="CZ602" t="s">
        <v>111</v>
      </c>
      <c r="DA602" t="s">
        <v>111</v>
      </c>
      <c r="DB602" t="s">
        <v>111</v>
      </c>
      <c r="DC602" t="s">
        <v>111</v>
      </c>
    </row>
    <row r="603" spans="1:107">
      <c r="A603">
        <v>2040</v>
      </c>
      <c r="B603" t="s">
        <v>376</v>
      </c>
      <c r="C603" t="s">
        <v>336</v>
      </c>
      <c r="D603" t="s">
        <v>1328</v>
      </c>
      <c r="E603" t="s">
        <v>2135</v>
      </c>
      <c r="F603" t="s">
        <v>166</v>
      </c>
      <c r="G603" t="s">
        <v>469</v>
      </c>
      <c r="H603">
        <v>2.9</v>
      </c>
      <c r="I603">
        <v>61</v>
      </c>
      <c r="J603">
        <v>0</v>
      </c>
      <c r="K603">
        <v>0</v>
      </c>
      <c r="L603" t="s">
        <v>112</v>
      </c>
      <c r="M603" t="s">
        <v>111</v>
      </c>
      <c r="N603">
        <v>0</v>
      </c>
      <c r="O603">
        <v>0</v>
      </c>
      <c r="P603" t="s">
        <v>111</v>
      </c>
      <c r="Q603">
        <v>50</v>
      </c>
      <c r="R603">
        <v>0</v>
      </c>
      <c r="S603">
        <v>0</v>
      </c>
      <c r="T603">
        <v>5</v>
      </c>
      <c r="U603" s="1" t="s">
        <v>2136</v>
      </c>
      <c r="V603">
        <v>25</v>
      </c>
      <c r="W603">
        <v>29</v>
      </c>
      <c r="X603">
        <v>10</v>
      </c>
      <c r="Y603">
        <v>0</v>
      </c>
      <c r="Z603" t="s">
        <v>111</v>
      </c>
      <c r="AA603">
        <v>0</v>
      </c>
      <c r="AB603" t="s">
        <v>111</v>
      </c>
      <c r="AC603">
        <v>0</v>
      </c>
      <c r="AD603" t="s">
        <v>111</v>
      </c>
      <c r="AE603">
        <v>0</v>
      </c>
      <c r="AF603">
        <v>0</v>
      </c>
      <c r="AG603" t="s">
        <v>111</v>
      </c>
      <c r="AH603" t="s">
        <v>111</v>
      </c>
      <c r="AI603" t="s">
        <v>111</v>
      </c>
      <c r="AJ603" t="s">
        <v>111</v>
      </c>
      <c r="AK603" t="s">
        <v>111</v>
      </c>
      <c r="AL603" t="s">
        <v>111</v>
      </c>
      <c r="AM603">
        <v>0</v>
      </c>
      <c r="AN603">
        <v>0</v>
      </c>
      <c r="AO603">
        <v>0</v>
      </c>
      <c r="AP603" t="s">
        <v>111</v>
      </c>
      <c r="AQ603" t="s">
        <v>111</v>
      </c>
      <c r="AR603" t="s">
        <v>111</v>
      </c>
      <c r="AS603" t="s">
        <v>111</v>
      </c>
      <c r="AT603" t="s">
        <v>111</v>
      </c>
      <c r="AU603" t="s">
        <v>111</v>
      </c>
      <c r="AV603" t="s">
        <v>111</v>
      </c>
      <c r="AW603" t="s">
        <v>111</v>
      </c>
      <c r="AX603" t="s">
        <v>111</v>
      </c>
      <c r="AY603" t="s">
        <v>111</v>
      </c>
      <c r="AZ603" t="s">
        <v>111</v>
      </c>
      <c r="BA603" t="s">
        <v>111</v>
      </c>
      <c r="BB603" t="s">
        <v>111</v>
      </c>
      <c r="BC603" t="s">
        <v>111</v>
      </c>
      <c r="BD603" t="s">
        <v>111</v>
      </c>
      <c r="BE603" t="s">
        <v>111</v>
      </c>
      <c r="BF603" t="s">
        <v>111</v>
      </c>
      <c r="BG603" t="s">
        <v>111</v>
      </c>
      <c r="BH603" t="s">
        <v>111</v>
      </c>
      <c r="BI603" t="s">
        <v>111</v>
      </c>
      <c r="BJ603" t="s">
        <v>111</v>
      </c>
      <c r="BK603" t="s">
        <v>111</v>
      </c>
      <c r="BL603" t="s">
        <v>111</v>
      </c>
      <c r="BM603" t="s">
        <v>111</v>
      </c>
      <c r="BN603" t="s">
        <v>111</v>
      </c>
      <c r="BO603" t="s">
        <v>111</v>
      </c>
      <c r="BP603" t="s">
        <v>111</v>
      </c>
      <c r="BQ603" t="s">
        <v>111</v>
      </c>
      <c r="BR603" t="s">
        <v>111</v>
      </c>
      <c r="BS603" t="s">
        <v>111</v>
      </c>
      <c r="BT603" t="s">
        <v>111</v>
      </c>
      <c r="BU603" t="s">
        <v>111</v>
      </c>
      <c r="BV603" t="s">
        <v>111</v>
      </c>
      <c r="BW603" t="s">
        <v>111</v>
      </c>
      <c r="BX603" t="s">
        <v>111</v>
      </c>
      <c r="BY603" t="s">
        <v>111</v>
      </c>
      <c r="BZ603" t="s">
        <v>111</v>
      </c>
      <c r="CA603" t="s">
        <v>111</v>
      </c>
      <c r="CB603" t="s">
        <v>111</v>
      </c>
      <c r="CC603" t="s">
        <v>111</v>
      </c>
      <c r="CD603" t="s">
        <v>111</v>
      </c>
      <c r="CE603" t="s">
        <v>111</v>
      </c>
      <c r="CF603" t="s">
        <v>111</v>
      </c>
      <c r="CG603" t="s">
        <v>111</v>
      </c>
      <c r="CH603" t="s">
        <v>111</v>
      </c>
      <c r="CI603" t="s">
        <v>111</v>
      </c>
      <c r="CJ603" t="s">
        <v>111</v>
      </c>
      <c r="CK603" t="s">
        <v>111</v>
      </c>
      <c r="CL603" t="s">
        <v>111</v>
      </c>
      <c r="CM603" t="s">
        <v>111</v>
      </c>
      <c r="CN603" t="s">
        <v>111</v>
      </c>
      <c r="CO603" t="s">
        <v>111</v>
      </c>
      <c r="CP603" t="s">
        <v>111</v>
      </c>
      <c r="CQ603">
        <v>0</v>
      </c>
      <c r="CR603">
        <v>0</v>
      </c>
      <c r="CS603">
        <v>0</v>
      </c>
      <c r="CT603" t="s">
        <v>111</v>
      </c>
      <c r="CU603">
        <v>0</v>
      </c>
      <c r="CV603" t="s">
        <v>111</v>
      </c>
      <c r="CX603" t="s">
        <v>111</v>
      </c>
      <c r="CY603">
        <v>0</v>
      </c>
      <c r="CZ603" t="s">
        <v>111</v>
      </c>
      <c r="DA603" t="s">
        <v>111</v>
      </c>
      <c r="DB603" t="s">
        <v>111</v>
      </c>
      <c r="DC603" t="s">
        <v>111</v>
      </c>
    </row>
    <row r="604" spans="1:107">
      <c r="A604">
        <v>167</v>
      </c>
      <c r="B604" t="s">
        <v>107</v>
      </c>
      <c r="C604" t="s">
        <v>674</v>
      </c>
      <c r="D604" t="s">
        <v>675</v>
      </c>
      <c r="E604" t="s">
        <v>2137</v>
      </c>
      <c r="F604" t="s">
        <v>431</v>
      </c>
      <c r="G604" t="s">
        <v>469</v>
      </c>
      <c r="H604">
        <v>0.9</v>
      </c>
      <c r="I604">
        <v>52</v>
      </c>
      <c r="J604">
        <v>0</v>
      </c>
      <c r="K604">
        <v>0</v>
      </c>
      <c r="L604" t="s">
        <v>112</v>
      </c>
      <c r="M604" t="s">
        <v>118</v>
      </c>
      <c r="N604">
        <v>40</v>
      </c>
      <c r="O604">
        <v>1</v>
      </c>
      <c r="P604" t="s">
        <v>138</v>
      </c>
      <c r="Q604">
        <v>40</v>
      </c>
      <c r="R604">
        <v>0</v>
      </c>
      <c r="S604">
        <v>0</v>
      </c>
      <c r="T604">
        <v>0</v>
      </c>
      <c r="U604" t="s">
        <v>168</v>
      </c>
      <c r="V604">
        <v>0</v>
      </c>
      <c r="W604">
        <v>25</v>
      </c>
      <c r="X604">
        <v>8</v>
      </c>
      <c r="Y604">
        <v>0</v>
      </c>
      <c r="Z604" t="s">
        <v>111</v>
      </c>
      <c r="AA604">
        <v>0</v>
      </c>
      <c r="AB604" t="s">
        <v>111</v>
      </c>
      <c r="AC604">
        <v>0</v>
      </c>
      <c r="AD604" t="s">
        <v>416</v>
      </c>
      <c r="AE604">
        <v>4</v>
      </c>
      <c r="AF604">
        <v>1</v>
      </c>
      <c r="AG604" t="s">
        <v>678</v>
      </c>
      <c r="AH604" t="s">
        <v>111</v>
      </c>
      <c r="AI604">
        <v>42</v>
      </c>
      <c r="AJ604" t="s">
        <v>111</v>
      </c>
      <c r="AK604" t="s">
        <v>111</v>
      </c>
      <c r="AL604" t="s">
        <v>111</v>
      </c>
      <c r="AM604">
        <v>0</v>
      </c>
      <c r="AN604">
        <v>0</v>
      </c>
      <c r="AO604">
        <v>0</v>
      </c>
      <c r="AP604" t="s">
        <v>184</v>
      </c>
      <c r="AQ604" t="s">
        <v>111</v>
      </c>
      <c r="AR604" t="s">
        <v>111</v>
      </c>
      <c r="AS604" t="s">
        <v>111</v>
      </c>
      <c r="AT604" t="s">
        <v>147</v>
      </c>
      <c r="AU604" t="s">
        <v>111</v>
      </c>
      <c r="AV604" t="s">
        <v>111</v>
      </c>
      <c r="AW604" t="s">
        <v>111</v>
      </c>
      <c r="AX604" t="s">
        <v>288</v>
      </c>
      <c r="AY604" t="s">
        <v>111</v>
      </c>
      <c r="AZ604" t="s">
        <v>111</v>
      </c>
      <c r="BA604" t="s">
        <v>111</v>
      </c>
      <c r="BB604" t="s">
        <v>259</v>
      </c>
      <c r="BC604" t="s">
        <v>111</v>
      </c>
      <c r="BD604" t="s">
        <v>111</v>
      </c>
      <c r="BE604" t="s">
        <v>111</v>
      </c>
      <c r="BF604" t="s">
        <v>111</v>
      </c>
      <c r="BG604" t="s">
        <v>111</v>
      </c>
      <c r="BH604" t="s">
        <v>111</v>
      </c>
      <c r="BI604" t="s">
        <v>111</v>
      </c>
      <c r="BJ604" t="s">
        <v>111</v>
      </c>
      <c r="BK604" t="s">
        <v>111</v>
      </c>
      <c r="BL604" t="s">
        <v>111</v>
      </c>
      <c r="BM604" t="s">
        <v>111</v>
      </c>
      <c r="BN604" t="s">
        <v>111</v>
      </c>
      <c r="BO604" t="s">
        <v>111</v>
      </c>
      <c r="BP604" t="s">
        <v>111</v>
      </c>
      <c r="BQ604" t="s">
        <v>111</v>
      </c>
      <c r="BR604" t="s">
        <v>111</v>
      </c>
      <c r="BS604" t="s">
        <v>111</v>
      </c>
      <c r="BT604" t="s">
        <v>111</v>
      </c>
      <c r="BU604" t="s">
        <v>111</v>
      </c>
      <c r="BV604" t="s">
        <v>111</v>
      </c>
      <c r="BW604" t="s">
        <v>111</v>
      </c>
      <c r="BX604" t="s">
        <v>111</v>
      </c>
      <c r="BY604" t="s">
        <v>111</v>
      </c>
      <c r="BZ604" t="s">
        <v>111</v>
      </c>
      <c r="CA604" t="s">
        <v>111</v>
      </c>
      <c r="CB604" t="s">
        <v>111</v>
      </c>
      <c r="CC604" t="s">
        <v>111</v>
      </c>
      <c r="CD604" t="s">
        <v>111</v>
      </c>
      <c r="CE604" t="s">
        <v>111</v>
      </c>
      <c r="CF604" t="s">
        <v>111</v>
      </c>
      <c r="CG604" t="s">
        <v>111</v>
      </c>
      <c r="CH604" t="s">
        <v>111</v>
      </c>
      <c r="CI604" t="s">
        <v>111</v>
      </c>
      <c r="CJ604" t="s">
        <v>111</v>
      </c>
      <c r="CK604" t="s">
        <v>111</v>
      </c>
      <c r="CL604" t="s">
        <v>2138</v>
      </c>
      <c r="CM604" t="s">
        <v>198</v>
      </c>
      <c r="CN604" t="s">
        <v>113</v>
      </c>
      <c r="CO604" t="s">
        <v>111</v>
      </c>
      <c r="CP604" t="s">
        <v>433</v>
      </c>
      <c r="CQ604">
        <v>80</v>
      </c>
      <c r="CR604">
        <v>12000</v>
      </c>
      <c r="CS604">
        <v>500</v>
      </c>
      <c r="CT604" s="1" t="s">
        <v>2139</v>
      </c>
      <c r="CU604">
        <v>0</v>
      </c>
      <c r="CV604" t="s">
        <v>111</v>
      </c>
      <c r="CW604" t="s">
        <v>111</v>
      </c>
      <c r="CX604" t="s">
        <v>111</v>
      </c>
      <c r="CY604">
        <v>0</v>
      </c>
      <c r="CZ604" t="s">
        <v>111</v>
      </c>
      <c r="DA604" t="s">
        <v>111</v>
      </c>
      <c r="DB604" t="s">
        <v>111</v>
      </c>
      <c r="DC604" t="s">
        <v>111</v>
      </c>
    </row>
    <row r="605" spans="1:107">
      <c r="A605">
        <v>1737</v>
      </c>
      <c r="B605" t="s">
        <v>107</v>
      </c>
      <c r="C605" t="s">
        <v>2100</v>
      </c>
      <c r="D605" t="s">
        <v>2140</v>
      </c>
      <c r="E605" t="s">
        <v>2141</v>
      </c>
      <c r="F605" t="s">
        <v>739</v>
      </c>
      <c r="G605" t="s">
        <v>469</v>
      </c>
      <c r="H605">
        <v>2.5</v>
      </c>
      <c r="I605">
        <v>75</v>
      </c>
      <c r="J605">
        <v>0</v>
      </c>
      <c r="K605">
        <v>0</v>
      </c>
      <c r="L605" t="s">
        <v>112</v>
      </c>
      <c r="M605" t="s">
        <v>118</v>
      </c>
      <c r="N605">
        <v>0</v>
      </c>
      <c r="O605">
        <v>1</v>
      </c>
      <c r="P605" t="s">
        <v>111</v>
      </c>
      <c r="Q605">
        <v>42.3</v>
      </c>
      <c r="R605">
        <v>0</v>
      </c>
      <c r="S605">
        <v>0</v>
      </c>
      <c r="T605">
        <v>10</v>
      </c>
      <c r="U605" s="1" t="s">
        <v>2142</v>
      </c>
      <c r="V605">
        <v>0</v>
      </c>
      <c r="W605">
        <v>250</v>
      </c>
      <c r="X605">
        <v>8</v>
      </c>
      <c r="Y605">
        <v>0</v>
      </c>
      <c r="Z605" t="s">
        <v>288</v>
      </c>
      <c r="AA605">
        <v>1.5</v>
      </c>
      <c r="AB605" t="s">
        <v>2143</v>
      </c>
      <c r="AC605">
        <v>8</v>
      </c>
      <c r="AD605" t="s">
        <v>416</v>
      </c>
      <c r="AE605">
        <v>0</v>
      </c>
      <c r="AF605">
        <v>0</v>
      </c>
      <c r="AG605" t="s">
        <v>111</v>
      </c>
      <c r="AH605" t="s">
        <v>113</v>
      </c>
      <c r="AI605" t="s">
        <v>111</v>
      </c>
      <c r="AJ605" t="s">
        <v>111</v>
      </c>
      <c r="AK605" t="s">
        <v>111</v>
      </c>
      <c r="AL605" t="s">
        <v>111</v>
      </c>
      <c r="AM605">
        <v>0</v>
      </c>
      <c r="AN605">
        <v>0</v>
      </c>
      <c r="AO605">
        <v>0</v>
      </c>
      <c r="AP605" t="s">
        <v>111</v>
      </c>
      <c r="AQ605" t="s">
        <v>111</v>
      </c>
      <c r="AR605" t="s">
        <v>111</v>
      </c>
      <c r="AS605" t="s">
        <v>111</v>
      </c>
      <c r="AT605" t="s">
        <v>111</v>
      </c>
      <c r="AU605" t="s">
        <v>111</v>
      </c>
      <c r="AV605" t="s">
        <v>111</v>
      </c>
      <c r="AW605" t="s">
        <v>111</v>
      </c>
      <c r="AX605" t="s">
        <v>111</v>
      </c>
      <c r="AY605" t="s">
        <v>111</v>
      </c>
      <c r="AZ605" t="s">
        <v>111</v>
      </c>
      <c r="BA605" t="s">
        <v>111</v>
      </c>
      <c r="BB605" t="s">
        <v>111</v>
      </c>
      <c r="BC605" t="s">
        <v>111</v>
      </c>
      <c r="BD605" t="s">
        <v>111</v>
      </c>
      <c r="BE605" t="s">
        <v>111</v>
      </c>
      <c r="BF605" t="s">
        <v>111</v>
      </c>
      <c r="BG605" t="s">
        <v>111</v>
      </c>
      <c r="BH605" t="s">
        <v>111</v>
      </c>
      <c r="BI605" t="s">
        <v>111</v>
      </c>
      <c r="BJ605" t="s">
        <v>111</v>
      </c>
      <c r="BK605" t="s">
        <v>111</v>
      </c>
      <c r="BL605" t="s">
        <v>111</v>
      </c>
      <c r="BM605" t="s">
        <v>111</v>
      </c>
      <c r="BN605" t="s">
        <v>111</v>
      </c>
      <c r="BO605" t="s">
        <v>111</v>
      </c>
      <c r="BP605" t="s">
        <v>111</v>
      </c>
      <c r="BQ605" t="s">
        <v>111</v>
      </c>
      <c r="BR605" t="s">
        <v>111</v>
      </c>
      <c r="BS605" t="s">
        <v>111</v>
      </c>
      <c r="BT605" t="s">
        <v>111</v>
      </c>
      <c r="BU605" t="s">
        <v>111</v>
      </c>
      <c r="BV605" t="s">
        <v>111</v>
      </c>
      <c r="BW605" t="s">
        <v>111</v>
      </c>
      <c r="BX605" t="s">
        <v>111</v>
      </c>
      <c r="BY605" t="s">
        <v>111</v>
      </c>
      <c r="BZ605" t="s">
        <v>111</v>
      </c>
      <c r="CA605" t="s">
        <v>111</v>
      </c>
      <c r="CB605" t="s">
        <v>111</v>
      </c>
      <c r="CC605" t="s">
        <v>111</v>
      </c>
      <c r="CD605" t="s">
        <v>111</v>
      </c>
      <c r="CE605" t="s">
        <v>111</v>
      </c>
      <c r="CF605" t="s">
        <v>111</v>
      </c>
      <c r="CG605" t="s">
        <v>111</v>
      </c>
      <c r="CH605" t="s">
        <v>111</v>
      </c>
      <c r="CI605" t="s">
        <v>111</v>
      </c>
      <c r="CJ605" t="s">
        <v>111</v>
      </c>
      <c r="CK605" t="s">
        <v>111</v>
      </c>
      <c r="CL605" t="s">
        <v>111</v>
      </c>
      <c r="CM605" t="s">
        <v>135</v>
      </c>
      <c r="CN605" t="s">
        <v>113</v>
      </c>
      <c r="CO605" t="s">
        <v>111</v>
      </c>
      <c r="CP605" t="s">
        <v>111</v>
      </c>
      <c r="CQ605">
        <v>0</v>
      </c>
      <c r="CR605">
        <v>500</v>
      </c>
      <c r="CS605">
        <v>50</v>
      </c>
      <c r="CT605" s="1" t="s">
        <v>2144</v>
      </c>
      <c r="CU605">
        <v>0</v>
      </c>
      <c r="CV605" t="s">
        <v>111</v>
      </c>
      <c r="CX605" t="s">
        <v>111</v>
      </c>
      <c r="CY605">
        <v>0</v>
      </c>
      <c r="CZ605" t="s">
        <v>111</v>
      </c>
      <c r="DA605" t="s">
        <v>111</v>
      </c>
      <c r="DB605" t="e">
        <f>-EXTERNO</f>
        <v>#NAME?</v>
      </c>
      <c r="DC605" t="s">
        <v>2145</v>
      </c>
    </row>
    <row r="606" spans="1:107">
      <c r="A606">
        <v>1912</v>
      </c>
      <c r="B606" t="s">
        <v>107</v>
      </c>
      <c r="C606" t="s">
        <v>2146</v>
      </c>
      <c r="D606" t="s">
        <v>1464</v>
      </c>
      <c r="E606" t="s">
        <v>1465</v>
      </c>
      <c r="F606" t="s">
        <v>431</v>
      </c>
      <c r="G606" t="s">
        <v>469</v>
      </c>
      <c r="H606">
        <v>1</v>
      </c>
      <c r="I606">
        <v>88</v>
      </c>
      <c r="J606">
        <v>0</v>
      </c>
      <c r="K606">
        <v>0</v>
      </c>
      <c r="L606" t="s">
        <v>112</v>
      </c>
      <c r="M606" t="s">
        <v>118</v>
      </c>
      <c r="N606">
        <v>0</v>
      </c>
      <c r="O606">
        <v>1</v>
      </c>
      <c r="P606" t="s">
        <v>111</v>
      </c>
      <c r="Q606">
        <v>50</v>
      </c>
      <c r="R606">
        <v>0</v>
      </c>
      <c r="S606">
        <v>0</v>
      </c>
      <c r="T606">
        <v>8</v>
      </c>
      <c r="U606" s="1" t="s">
        <v>662</v>
      </c>
      <c r="V606">
        <v>0</v>
      </c>
      <c r="W606">
        <v>25</v>
      </c>
      <c r="X606">
        <v>5</v>
      </c>
      <c r="Y606">
        <v>0</v>
      </c>
      <c r="Z606" t="s">
        <v>111</v>
      </c>
      <c r="AA606">
        <v>0</v>
      </c>
      <c r="AB606" t="s">
        <v>111</v>
      </c>
      <c r="AC606">
        <v>0</v>
      </c>
      <c r="AD606" t="s">
        <v>416</v>
      </c>
      <c r="AE606">
        <v>0</v>
      </c>
      <c r="AF606">
        <v>0</v>
      </c>
      <c r="AG606" t="s">
        <v>111</v>
      </c>
      <c r="AH606" t="s">
        <v>111</v>
      </c>
      <c r="AI606" t="s">
        <v>111</v>
      </c>
      <c r="AJ606" t="s">
        <v>111</v>
      </c>
      <c r="AK606" t="s">
        <v>111</v>
      </c>
      <c r="AL606" t="s">
        <v>111</v>
      </c>
      <c r="AM606">
        <v>0</v>
      </c>
      <c r="AN606">
        <v>0</v>
      </c>
      <c r="AO606">
        <v>0</v>
      </c>
      <c r="AP606" t="s">
        <v>111</v>
      </c>
      <c r="AQ606" t="s">
        <v>111</v>
      </c>
      <c r="AR606" t="s">
        <v>111</v>
      </c>
      <c r="AS606" t="s">
        <v>111</v>
      </c>
      <c r="AT606" t="s">
        <v>111</v>
      </c>
      <c r="AU606" t="s">
        <v>111</v>
      </c>
      <c r="AV606" t="s">
        <v>111</v>
      </c>
      <c r="AW606" t="s">
        <v>111</v>
      </c>
      <c r="AX606" t="s">
        <v>111</v>
      </c>
      <c r="AY606" t="s">
        <v>111</v>
      </c>
      <c r="AZ606" t="s">
        <v>111</v>
      </c>
      <c r="BA606" t="s">
        <v>111</v>
      </c>
      <c r="BB606" t="s">
        <v>111</v>
      </c>
      <c r="BC606" t="s">
        <v>111</v>
      </c>
      <c r="BD606" t="s">
        <v>111</v>
      </c>
      <c r="BE606" t="s">
        <v>111</v>
      </c>
      <c r="BF606" t="s">
        <v>111</v>
      </c>
      <c r="BG606" t="s">
        <v>111</v>
      </c>
      <c r="BH606" t="s">
        <v>111</v>
      </c>
      <c r="BI606" t="s">
        <v>111</v>
      </c>
      <c r="BJ606" t="s">
        <v>111</v>
      </c>
      <c r="BK606" t="s">
        <v>111</v>
      </c>
      <c r="BL606" t="s">
        <v>111</v>
      </c>
      <c r="BM606" t="s">
        <v>111</v>
      </c>
      <c r="BN606" t="s">
        <v>111</v>
      </c>
      <c r="BO606" t="s">
        <v>111</v>
      </c>
      <c r="BP606" t="s">
        <v>111</v>
      </c>
      <c r="BQ606" t="s">
        <v>111</v>
      </c>
      <c r="BR606" t="s">
        <v>111</v>
      </c>
      <c r="BS606" t="s">
        <v>111</v>
      </c>
      <c r="BT606" t="s">
        <v>111</v>
      </c>
      <c r="BU606" t="s">
        <v>111</v>
      </c>
      <c r="BV606" t="s">
        <v>111</v>
      </c>
      <c r="BW606" t="s">
        <v>111</v>
      </c>
      <c r="BX606" t="s">
        <v>111</v>
      </c>
      <c r="BY606" t="s">
        <v>111</v>
      </c>
      <c r="BZ606" t="s">
        <v>111</v>
      </c>
      <c r="CA606" t="s">
        <v>111</v>
      </c>
      <c r="CB606" t="s">
        <v>111</v>
      </c>
      <c r="CC606" t="s">
        <v>111</v>
      </c>
      <c r="CD606" t="s">
        <v>111</v>
      </c>
      <c r="CE606" t="s">
        <v>111</v>
      </c>
      <c r="CF606" t="s">
        <v>111</v>
      </c>
      <c r="CG606" t="s">
        <v>111</v>
      </c>
      <c r="CH606" t="s">
        <v>111</v>
      </c>
      <c r="CI606" t="s">
        <v>111</v>
      </c>
      <c r="CJ606" t="s">
        <v>111</v>
      </c>
      <c r="CK606" t="s">
        <v>111</v>
      </c>
      <c r="CL606" t="s">
        <v>111</v>
      </c>
      <c r="CM606" t="s">
        <v>438</v>
      </c>
      <c r="CN606" t="s">
        <v>113</v>
      </c>
      <c r="CO606" t="s">
        <v>637</v>
      </c>
      <c r="CP606" t="s">
        <v>111</v>
      </c>
      <c r="CQ606">
        <v>0</v>
      </c>
      <c r="CR606">
        <v>5000</v>
      </c>
      <c r="CS606">
        <v>100</v>
      </c>
      <c r="CT606" s="1" t="s">
        <v>2147</v>
      </c>
      <c r="CU606">
        <v>0</v>
      </c>
      <c r="CV606" t="s">
        <v>111</v>
      </c>
      <c r="CX606" t="s">
        <v>111</v>
      </c>
      <c r="CY606">
        <v>0</v>
      </c>
      <c r="CZ606" t="s">
        <v>111</v>
      </c>
      <c r="DA606" t="s">
        <v>111</v>
      </c>
      <c r="DB606" t="s">
        <v>111</v>
      </c>
      <c r="DC606" t="s">
        <v>111</v>
      </c>
    </row>
    <row r="607" spans="1:107">
      <c r="A607">
        <v>1796</v>
      </c>
      <c r="B607" t="s">
        <v>107</v>
      </c>
      <c r="C607" t="s">
        <v>638</v>
      </c>
      <c r="D607" t="s">
        <v>2148</v>
      </c>
      <c r="E607" t="s">
        <v>2149</v>
      </c>
      <c r="F607" t="s">
        <v>759</v>
      </c>
      <c r="G607" t="s">
        <v>469</v>
      </c>
      <c r="H607">
        <v>0.9</v>
      </c>
      <c r="I607">
        <v>65</v>
      </c>
      <c r="J607">
        <v>0</v>
      </c>
      <c r="K607">
        <v>0</v>
      </c>
      <c r="L607" t="s">
        <v>112</v>
      </c>
      <c r="M607" t="s">
        <v>138</v>
      </c>
      <c r="N607">
        <v>0</v>
      </c>
      <c r="O607">
        <v>0</v>
      </c>
      <c r="P607" t="s">
        <v>138</v>
      </c>
      <c r="Q607">
        <v>40</v>
      </c>
      <c r="R607">
        <v>0</v>
      </c>
      <c r="S607">
        <v>0</v>
      </c>
      <c r="T607">
        <v>10</v>
      </c>
      <c r="U607" t="e">
        <f>-SELLADO</f>
        <v>#NAME?</v>
      </c>
      <c r="V607">
        <v>25</v>
      </c>
      <c r="W607">
        <v>0</v>
      </c>
      <c r="X607">
        <v>6</v>
      </c>
      <c r="Y607">
        <v>0</v>
      </c>
      <c r="Z607" t="s">
        <v>188</v>
      </c>
      <c r="AA607">
        <v>1.2</v>
      </c>
      <c r="AB607" t="s">
        <v>111</v>
      </c>
      <c r="AC607">
        <v>0</v>
      </c>
      <c r="AD607" t="s">
        <v>111</v>
      </c>
      <c r="AE607">
        <v>0</v>
      </c>
      <c r="AF607">
        <v>0</v>
      </c>
      <c r="AG607" t="s">
        <v>111</v>
      </c>
      <c r="AH607" t="s">
        <v>111</v>
      </c>
      <c r="AI607" t="s">
        <v>111</v>
      </c>
      <c r="AJ607" t="s">
        <v>111</v>
      </c>
      <c r="AK607" t="s">
        <v>111</v>
      </c>
      <c r="AL607" t="s">
        <v>111</v>
      </c>
      <c r="AM607">
        <v>0</v>
      </c>
      <c r="AN607">
        <v>0</v>
      </c>
      <c r="AO607">
        <v>0</v>
      </c>
      <c r="AP607" t="s">
        <v>111</v>
      </c>
      <c r="AQ607" t="s">
        <v>111</v>
      </c>
      <c r="AR607" t="s">
        <v>111</v>
      </c>
      <c r="AS607" t="s">
        <v>111</v>
      </c>
      <c r="AT607" t="s">
        <v>111</v>
      </c>
      <c r="AU607" t="s">
        <v>111</v>
      </c>
      <c r="AV607" t="s">
        <v>111</v>
      </c>
      <c r="AW607" t="s">
        <v>111</v>
      </c>
      <c r="AX607" t="s">
        <v>111</v>
      </c>
      <c r="AY607" t="s">
        <v>111</v>
      </c>
      <c r="AZ607" t="s">
        <v>111</v>
      </c>
      <c r="BA607" t="s">
        <v>111</v>
      </c>
      <c r="BB607" t="s">
        <v>111</v>
      </c>
      <c r="BC607" t="s">
        <v>111</v>
      </c>
      <c r="BD607" t="s">
        <v>111</v>
      </c>
      <c r="BE607" t="s">
        <v>111</v>
      </c>
      <c r="BF607" t="s">
        <v>111</v>
      </c>
      <c r="BG607" t="s">
        <v>111</v>
      </c>
      <c r="BH607" t="s">
        <v>111</v>
      </c>
      <c r="BI607" t="s">
        <v>111</v>
      </c>
      <c r="BJ607" t="s">
        <v>111</v>
      </c>
      <c r="BK607" t="s">
        <v>111</v>
      </c>
      <c r="BL607" t="s">
        <v>111</v>
      </c>
      <c r="BM607" t="s">
        <v>111</v>
      </c>
      <c r="BN607" t="s">
        <v>111</v>
      </c>
      <c r="BO607" t="s">
        <v>111</v>
      </c>
      <c r="BP607" t="s">
        <v>111</v>
      </c>
      <c r="BQ607" t="s">
        <v>111</v>
      </c>
      <c r="BR607" t="s">
        <v>111</v>
      </c>
      <c r="BS607" t="s">
        <v>111</v>
      </c>
      <c r="BT607" t="s">
        <v>111</v>
      </c>
      <c r="BU607" t="s">
        <v>111</v>
      </c>
      <c r="BV607" t="s">
        <v>111</v>
      </c>
      <c r="BW607" t="s">
        <v>111</v>
      </c>
      <c r="BX607" t="s">
        <v>111</v>
      </c>
      <c r="BY607" t="s">
        <v>111</v>
      </c>
      <c r="BZ607" t="s">
        <v>111</v>
      </c>
      <c r="CA607" t="s">
        <v>111</v>
      </c>
      <c r="CB607" t="s">
        <v>111</v>
      </c>
      <c r="CC607" t="s">
        <v>111</v>
      </c>
      <c r="CD607" t="s">
        <v>111</v>
      </c>
      <c r="CE607" t="s">
        <v>111</v>
      </c>
      <c r="CF607" t="s">
        <v>111</v>
      </c>
      <c r="CG607" t="s">
        <v>111</v>
      </c>
      <c r="CH607" t="s">
        <v>111</v>
      </c>
      <c r="CI607" t="s">
        <v>111</v>
      </c>
      <c r="CJ607" t="s">
        <v>111</v>
      </c>
      <c r="CK607" t="s">
        <v>111</v>
      </c>
      <c r="CL607" t="s">
        <v>111</v>
      </c>
      <c r="CM607" t="s">
        <v>438</v>
      </c>
      <c r="CN607" t="s">
        <v>128</v>
      </c>
      <c r="CO607" t="s">
        <v>111</v>
      </c>
      <c r="CP607" t="s">
        <v>111</v>
      </c>
      <c r="CQ607">
        <v>0</v>
      </c>
      <c r="CR607">
        <v>0</v>
      </c>
      <c r="CS607">
        <v>0</v>
      </c>
      <c r="CT607" t="e">
        <f>-ALMACEN</f>
        <v>#NAME?</v>
      </c>
      <c r="CU607">
        <v>0</v>
      </c>
      <c r="CV607" t="s">
        <v>111</v>
      </c>
      <c r="CX607" t="s">
        <v>111</v>
      </c>
      <c r="CY607">
        <v>0</v>
      </c>
      <c r="CZ607" t="s">
        <v>111</v>
      </c>
      <c r="DA607" t="s">
        <v>111</v>
      </c>
      <c r="DB607" t="s">
        <v>111</v>
      </c>
      <c r="DC607" t="s">
        <v>111</v>
      </c>
    </row>
    <row r="608" spans="1:107">
      <c r="A608">
        <v>1876</v>
      </c>
      <c r="B608" t="s">
        <v>107</v>
      </c>
      <c r="C608" t="s">
        <v>119</v>
      </c>
      <c r="D608" t="s">
        <v>2150</v>
      </c>
      <c r="E608" t="s">
        <v>2151</v>
      </c>
      <c r="F608" t="s">
        <v>116</v>
      </c>
      <c r="G608" t="s">
        <v>469</v>
      </c>
      <c r="H608">
        <v>2</v>
      </c>
      <c r="I608">
        <v>90</v>
      </c>
      <c r="J608">
        <v>0</v>
      </c>
      <c r="K608">
        <v>0</v>
      </c>
      <c r="L608" t="s">
        <v>117</v>
      </c>
      <c r="M608" t="s">
        <v>118</v>
      </c>
      <c r="N608">
        <v>41</v>
      </c>
      <c r="O608">
        <v>1</v>
      </c>
      <c r="P608" t="s">
        <v>111</v>
      </c>
      <c r="Q608">
        <v>50</v>
      </c>
      <c r="R608">
        <v>0</v>
      </c>
      <c r="S608">
        <v>0</v>
      </c>
      <c r="T608">
        <v>0</v>
      </c>
      <c r="U608" s="1" t="s">
        <v>2152</v>
      </c>
      <c r="V608">
        <v>0</v>
      </c>
      <c r="W608">
        <v>25</v>
      </c>
      <c r="X608">
        <v>8</v>
      </c>
      <c r="Y608">
        <v>0</v>
      </c>
      <c r="Z608" t="s">
        <v>111</v>
      </c>
      <c r="AA608">
        <v>0</v>
      </c>
      <c r="AB608" t="s">
        <v>111</v>
      </c>
      <c r="AC608">
        <v>0</v>
      </c>
      <c r="AD608" t="s">
        <v>111</v>
      </c>
      <c r="AE608">
        <v>0</v>
      </c>
      <c r="AF608">
        <v>0</v>
      </c>
      <c r="AG608" t="s">
        <v>111</v>
      </c>
      <c r="AH608" t="s">
        <v>111</v>
      </c>
      <c r="AI608" t="s">
        <v>111</v>
      </c>
      <c r="AJ608" t="s">
        <v>111</v>
      </c>
      <c r="AK608" t="s">
        <v>111</v>
      </c>
      <c r="AL608" t="s">
        <v>111</v>
      </c>
      <c r="AM608">
        <v>0</v>
      </c>
      <c r="AN608">
        <v>0</v>
      </c>
      <c r="AO608">
        <v>0</v>
      </c>
      <c r="AP608" t="s">
        <v>111</v>
      </c>
      <c r="AQ608" t="s">
        <v>111</v>
      </c>
      <c r="AR608" t="s">
        <v>111</v>
      </c>
      <c r="AS608" t="s">
        <v>111</v>
      </c>
      <c r="AT608" t="s">
        <v>111</v>
      </c>
      <c r="AU608" t="s">
        <v>111</v>
      </c>
      <c r="AV608" t="s">
        <v>111</v>
      </c>
      <c r="AW608" t="s">
        <v>111</v>
      </c>
      <c r="AX608" t="s">
        <v>111</v>
      </c>
      <c r="AY608" t="s">
        <v>111</v>
      </c>
      <c r="AZ608" t="s">
        <v>111</v>
      </c>
      <c r="BA608" t="s">
        <v>111</v>
      </c>
      <c r="BB608" t="s">
        <v>111</v>
      </c>
      <c r="BC608" t="s">
        <v>111</v>
      </c>
      <c r="BD608" t="s">
        <v>111</v>
      </c>
      <c r="BE608" t="s">
        <v>111</v>
      </c>
      <c r="BF608" t="s">
        <v>111</v>
      </c>
      <c r="BG608" t="s">
        <v>111</v>
      </c>
      <c r="BH608" t="s">
        <v>111</v>
      </c>
      <c r="BI608" t="s">
        <v>111</v>
      </c>
      <c r="BJ608" t="s">
        <v>111</v>
      </c>
      <c r="BK608" t="s">
        <v>111</v>
      </c>
      <c r="BL608" t="s">
        <v>111</v>
      </c>
      <c r="BM608" t="s">
        <v>111</v>
      </c>
      <c r="BN608" t="s">
        <v>111</v>
      </c>
      <c r="BO608" t="s">
        <v>111</v>
      </c>
      <c r="BP608" t="s">
        <v>111</v>
      </c>
      <c r="BQ608" t="s">
        <v>111</v>
      </c>
      <c r="BR608" t="s">
        <v>111</v>
      </c>
      <c r="BS608" t="s">
        <v>111</v>
      </c>
      <c r="BT608" t="s">
        <v>111</v>
      </c>
      <c r="BU608" t="s">
        <v>111</v>
      </c>
      <c r="BV608" t="s">
        <v>111</v>
      </c>
      <c r="BW608" t="s">
        <v>111</v>
      </c>
      <c r="BX608" t="s">
        <v>111</v>
      </c>
      <c r="BY608" t="s">
        <v>111</v>
      </c>
      <c r="BZ608" t="s">
        <v>111</v>
      </c>
      <c r="CA608" t="s">
        <v>111</v>
      </c>
      <c r="CB608" t="s">
        <v>111</v>
      </c>
      <c r="CC608" t="s">
        <v>111</v>
      </c>
      <c r="CD608" t="s">
        <v>111</v>
      </c>
      <c r="CE608" t="s">
        <v>111</v>
      </c>
      <c r="CF608" t="s">
        <v>111</v>
      </c>
      <c r="CG608" t="s">
        <v>111</v>
      </c>
      <c r="CH608" t="s">
        <v>111</v>
      </c>
      <c r="CI608" t="s">
        <v>111</v>
      </c>
      <c r="CJ608" t="s">
        <v>111</v>
      </c>
      <c r="CK608" t="s">
        <v>111</v>
      </c>
      <c r="CL608" t="s">
        <v>111</v>
      </c>
      <c r="CM608" t="s">
        <v>111</v>
      </c>
      <c r="CN608" t="s">
        <v>111</v>
      </c>
      <c r="CO608" t="s">
        <v>111</v>
      </c>
      <c r="CP608" t="s">
        <v>111</v>
      </c>
      <c r="CQ608">
        <v>0</v>
      </c>
      <c r="CR608">
        <v>0</v>
      </c>
      <c r="CS608">
        <v>0</v>
      </c>
      <c r="CT608" t="s">
        <v>111</v>
      </c>
      <c r="CU608">
        <v>0</v>
      </c>
      <c r="CV608" t="s">
        <v>111</v>
      </c>
      <c r="CX608" t="s">
        <v>111</v>
      </c>
      <c r="CY608">
        <v>0</v>
      </c>
      <c r="CZ608" t="s">
        <v>111</v>
      </c>
      <c r="DA608" t="s">
        <v>111</v>
      </c>
      <c r="DB608" t="s">
        <v>111</v>
      </c>
      <c r="DC608" t="s">
        <v>111</v>
      </c>
    </row>
    <row r="609" spans="1:107">
      <c r="A609">
        <v>1875</v>
      </c>
      <c r="B609" t="s">
        <v>107</v>
      </c>
      <c r="C609" t="s">
        <v>1993</v>
      </c>
      <c r="D609" t="s">
        <v>1666</v>
      </c>
      <c r="E609" t="s">
        <v>1667</v>
      </c>
      <c r="F609" t="s">
        <v>431</v>
      </c>
      <c r="G609" t="s">
        <v>469</v>
      </c>
      <c r="H609">
        <v>1.4</v>
      </c>
      <c r="I609">
        <v>75</v>
      </c>
      <c r="J609">
        <v>0</v>
      </c>
      <c r="K609">
        <v>0</v>
      </c>
      <c r="L609" t="s">
        <v>112</v>
      </c>
      <c r="M609" t="s">
        <v>118</v>
      </c>
      <c r="N609">
        <v>0</v>
      </c>
      <c r="O609">
        <v>1</v>
      </c>
      <c r="P609" t="s">
        <v>111</v>
      </c>
      <c r="Q609">
        <v>38.299999999999997</v>
      </c>
      <c r="R609">
        <v>0</v>
      </c>
      <c r="S609">
        <v>0</v>
      </c>
      <c r="T609">
        <v>5</v>
      </c>
      <c r="U609" t="e">
        <f>-IMPRESION DARMA</f>
        <v>#NAME?</v>
      </c>
      <c r="V609">
        <v>0</v>
      </c>
      <c r="W609">
        <v>25</v>
      </c>
      <c r="X609">
        <v>5</v>
      </c>
      <c r="Y609">
        <v>0</v>
      </c>
      <c r="Z609" t="s">
        <v>111</v>
      </c>
      <c r="AA609">
        <v>0</v>
      </c>
      <c r="AB609" t="s">
        <v>111</v>
      </c>
      <c r="AC609">
        <v>0</v>
      </c>
      <c r="AD609" t="s">
        <v>416</v>
      </c>
      <c r="AE609">
        <v>0</v>
      </c>
      <c r="AF609">
        <v>0</v>
      </c>
      <c r="AG609" t="s">
        <v>111</v>
      </c>
      <c r="AH609" t="s">
        <v>113</v>
      </c>
      <c r="AI609" t="s">
        <v>111</v>
      </c>
      <c r="AJ609" t="s">
        <v>111</v>
      </c>
      <c r="AK609" t="s">
        <v>111</v>
      </c>
      <c r="AL609" t="s">
        <v>111</v>
      </c>
      <c r="AM609">
        <v>0</v>
      </c>
      <c r="AN609">
        <v>0</v>
      </c>
      <c r="AO609">
        <v>0</v>
      </c>
      <c r="AP609" t="s">
        <v>111</v>
      </c>
      <c r="AQ609" t="s">
        <v>111</v>
      </c>
      <c r="AR609" t="s">
        <v>111</v>
      </c>
      <c r="AS609" t="s">
        <v>111</v>
      </c>
      <c r="AT609" t="s">
        <v>111</v>
      </c>
      <c r="AU609" t="s">
        <v>111</v>
      </c>
      <c r="AV609" t="s">
        <v>111</v>
      </c>
      <c r="AW609" t="s">
        <v>111</v>
      </c>
      <c r="AX609" t="s">
        <v>111</v>
      </c>
      <c r="AY609" t="s">
        <v>111</v>
      </c>
      <c r="AZ609" t="s">
        <v>111</v>
      </c>
      <c r="BA609" t="s">
        <v>111</v>
      </c>
      <c r="BB609" t="s">
        <v>111</v>
      </c>
      <c r="BC609" t="s">
        <v>111</v>
      </c>
      <c r="BD609" t="s">
        <v>111</v>
      </c>
      <c r="BE609" t="s">
        <v>111</v>
      </c>
      <c r="BF609" t="s">
        <v>111</v>
      </c>
      <c r="BG609" t="s">
        <v>111</v>
      </c>
      <c r="BH609" t="s">
        <v>111</v>
      </c>
      <c r="BI609" t="s">
        <v>111</v>
      </c>
      <c r="BJ609" t="s">
        <v>111</v>
      </c>
      <c r="BK609" t="s">
        <v>111</v>
      </c>
      <c r="BL609" t="s">
        <v>111</v>
      </c>
      <c r="BM609" t="s">
        <v>111</v>
      </c>
      <c r="BN609" t="s">
        <v>111</v>
      </c>
      <c r="BO609" t="s">
        <v>111</v>
      </c>
      <c r="BP609" t="s">
        <v>111</v>
      </c>
      <c r="BQ609" t="s">
        <v>111</v>
      </c>
      <c r="BR609" t="s">
        <v>111</v>
      </c>
      <c r="BS609" t="s">
        <v>111</v>
      </c>
      <c r="BT609" t="s">
        <v>111</v>
      </c>
      <c r="BU609" t="s">
        <v>111</v>
      </c>
      <c r="BV609" t="s">
        <v>111</v>
      </c>
      <c r="BW609" t="s">
        <v>111</v>
      </c>
      <c r="BX609" t="s">
        <v>111</v>
      </c>
      <c r="BY609" t="s">
        <v>111</v>
      </c>
      <c r="BZ609" t="s">
        <v>111</v>
      </c>
      <c r="CA609" t="s">
        <v>111</v>
      </c>
      <c r="CB609" t="s">
        <v>111</v>
      </c>
      <c r="CC609" t="s">
        <v>111</v>
      </c>
      <c r="CD609" t="s">
        <v>111</v>
      </c>
      <c r="CE609" t="s">
        <v>111</v>
      </c>
      <c r="CF609" t="s">
        <v>111</v>
      </c>
      <c r="CG609" t="s">
        <v>111</v>
      </c>
      <c r="CH609" t="s">
        <v>111</v>
      </c>
      <c r="CI609" t="s">
        <v>111</v>
      </c>
      <c r="CJ609" t="s">
        <v>111</v>
      </c>
      <c r="CK609" t="s">
        <v>111</v>
      </c>
      <c r="CL609" t="s">
        <v>111</v>
      </c>
      <c r="CM609" t="s">
        <v>360</v>
      </c>
      <c r="CN609" t="s">
        <v>113</v>
      </c>
      <c r="CO609" t="s">
        <v>111</v>
      </c>
      <c r="CP609" t="s">
        <v>111</v>
      </c>
      <c r="CQ609">
        <v>0</v>
      </c>
      <c r="CR609">
        <v>1000</v>
      </c>
      <c r="CS609">
        <v>100</v>
      </c>
      <c r="CT609" t="e">
        <f>-ALMACEN</f>
        <v>#NAME?</v>
      </c>
      <c r="CU609">
        <v>0</v>
      </c>
      <c r="CV609" t="s">
        <v>111</v>
      </c>
      <c r="CX609" t="s">
        <v>111</v>
      </c>
      <c r="CY609">
        <v>0</v>
      </c>
      <c r="CZ609" t="s">
        <v>111</v>
      </c>
      <c r="DA609" t="s">
        <v>111</v>
      </c>
      <c r="DB609" t="s">
        <v>111</v>
      </c>
      <c r="DC609" t="s">
        <v>111</v>
      </c>
    </row>
    <row r="610" spans="1:107">
      <c r="A610">
        <v>1858</v>
      </c>
      <c r="B610" t="s">
        <v>107</v>
      </c>
      <c r="C610" t="s">
        <v>1993</v>
      </c>
      <c r="D610" t="s">
        <v>1547</v>
      </c>
      <c r="E610" t="s">
        <v>1548</v>
      </c>
      <c r="F610" t="s">
        <v>431</v>
      </c>
      <c r="G610" t="s">
        <v>469</v>
      </c>
      <c r="H610">
        <v>1.4</v>
      </c>
      <c r="I610">
        <v>71</v>
      </c>
      <c r="J610">
        <v>0</v>
      </c>
      <c r="K610">
        <v>0</v>
      </c>
      <c r="L610" t="s">
        <v>112</v>
      </c>
      <c r="M610" t="s">
        <v>118</v>
      </c>
      <c r="N610">
        <v>0</v>
      </c>
      <c r="O610">
        <v>1</v>
      </c>
      <c r="P610" t="s">
        <v>111</v>
      </c>
      <c r="Q610">
        <v>48.7</v>
      </c>
      <c r="R610">
        <v>0</v>
      </c>
      <c r="S610">
        <v>0</v>
      </c>
      <c r="T610">
        <v>5</v>
      </c>
      <c r="U610" s="1" t="s">
        <v>902</v>
      </c>
      <c r="V610">
        <v>0</v>
      </c>
      <c r="W610">
        <v>25</v>
      </c>
      <c r="X610">
        <v>6</v>
      </c>
      <c r="Y610">
        <v>0</v>
      </c>
      <c r="Z610" t="s">
        <v>111</v>
      </c>
      <c r="AA610">
        <v>0</v>
      </c>
      <c r="AB610" t="s">
        <v>111</v>
      </c>
      <c r="AC610">
        <v>0</v>
      </c>
      <c r="AD610" t="s">
        <v>416</v>
      </c>
      <c r="AE610">
        <v>0</v>
      </c>
      <c r="AF610">
        <v>0</v>
      </c>
      <c r="AG610" t="s">
        <v>111</v>
      </c>
      <c r="AH610" t="s">
        <v>113</v>
      </c>
      <c r="AI610" t="s">
        <v>111</v>
      </c>
      <c r="AJ610" t="s">
        <v>111</v>
      </c>
      <c r="AK610" t="s">
        <v>111</v>
      </c>
      <c r="AL610" t="s">
        <v>111</v>
      </c>
      <c r="AM610">
        <v>0</v>
      </c>
      <c r="AN610">
        <v>0</v>
      </c>
      <c r="AO610">
        <v>0</v>
      </c>
      <c r="AP610" t="s">
        <v>111</v>
      </c>
      <c r="AQ610" t="s">
        <v>111</v>
      </c>
      <c r="AR610" t="s">
        <v>111</v>
      </c>
      <c r="AS610" t="s">
        <v>111</v>
      </c>
      <c r="AT610" t="s">
        <v>111</v>
      </c>
      <c r="AU610" t="s">
        <v>111</v>
      </c>
      <c r="AV610" t="s">
        <v>111</v>
      </c>
      <c r="AW610" t="s">
        <v>111</v>
      </c>
      <c r="AX610" t="s">
        <v>111</v>
      </c>
      <c r="AY610" t="s">
        <v>111</v>
      </c>
      <c r="AZ610" t="s">
        <v>111</v>
      </c>
      <c r="BA610" t="s">
        <v>111</v>
      </c>
      <c r="BB610" t="s">
        <v>111</v>
      </c>
      <c r="BC610" t="s">
        <v>111</v>
      </c>
      <c r="BD610" t="s">
        <v>111</v>
      </c>
      <c r="BE610" t="s">
        <v>111</v>
      </c>
      <c r="BF610" t="s">
        <v>111</v>
      </c>
      <c r="BG610" t="s">
        <v>111</v>
      </c>
      <c r="BH610" t="s">
        <v>111</v>
      </c>
      <c r="BI610" t="s">
        <v>111</v>
      </c>
      <c r="BJ610" t="s">
        <v>111</v>
      </c>
      <c r="BK610" t="s">
        <v>111</v>
      </c>
      <c r="BL610" t="s">
        <v>111</v>
      </c>
      <c r="BM610" t="s">
        <v>111</v>
      </c>
      <c r="BN610" t="s">
        <v>111</v>
      </c>
      <c r="BO610" t="s">
        <v>111</v>
      </c>
      <c r="BP610" t="s">
        <v>111</v>
      </c>
      <c r="BQ610" t="s">
        <v>111</v>
      </c>
      <c r="BR610" t="s">
        <v>111</v>
      </c>
      <c r="BS610" t="s">
        <v>111</v>
      </c>
      <c r="BT610" t="s">
        <v>111</v>
      </c>
      <c r="BU610" t="s">
        <v>111</v>
      </c>
      <c r="BV610" t="s">
        <v>111</v>
      </c>
      <c r="BW610" t="s">
        <v>111</v>
      </c>
      <c r="BX610" t="s">
        <v>111</v>
      </c>
      <c r="BY610" t="s">
        <v>111</v>
      </c>
      <c r="BZ610" t="s">
        <v>111</v>
      </c>
      <c r="CA610" t="s">
        <v>111</v>
      </c>
      <c r="CB610" t="s">
        <v>111</v>
      </c>
      <c r="CC610" t="s">
        <v>111</v>
      </c>
      <c r="CD610" t="s">
        <v>111</v>
      </c>
      <c r="CE610" t="s">
        <v>111</v>
      </c>
      <c r="CF610" t="s">
        <v>111</v>
      </c>
      <c r="CG610" t="s">
        <v>111</v>
      </c>
      <c r="CH610" t="s">
        <v>111</v>
      </c>
      <c r="CI610" t="s">
        <v>111</v>
      </c>
      <c r="CJ610" t="s">
        <v>111</v>
      </c>
      <c r="CK610" t="s">
        <v>111</v>
      </c>
      <c r="CL610" t="s">
        <v>111</v>
      </c>
      <c r="CM610" t="s">
        <v>135</v>
      </c>
      <c r="CN610" t="s">
        <v>113</v>
      </c>
      <c r="CO610" t="s">
        <v>111</v>
      </c>
      <c r="CP610" t="s">
        <v>111</v>
      </c>
      <c r="CQ610">
        <v>0</v>
      </c>
      <c r="CR610">
        <v>1000</v>
      </c>
      <c r="CS610">
        <v>50</v>
      </c>
      <c r="CT610" t="e">
        <f>-ALMACEN</f>
        <v>#NAME?</v>
      </c>
      <c r="CU610">
        <v>0</v>
      </c>
      <c r="CV610" t="s">
        <v>111</v>
      </c>
      <c r="CX610" t="s">
        <v>111</v>
      </c>
      <c r="CY610">
        <v>0</v>
      </c>
      <c r="CZ610" t="s">
        <v>111</v>
      </c>
      <c r="DA610" t="s">
        <v>111</v>
      </c>
      <c r="DB610" t="s">
        <v>111</v>
      </c>
      <c r="DC610" t="s">
        <v>111</v>
      </c>
    </row>
    <row r="611" spans="1:107">
      <c r="A611">
        <v>1946</v>
      </c>
      <c r="B611" t="s">
        <v>107</v>
      </c>
      <c r="C611" t="s">
        <v>114</v>
      </c>
      <c r="D611" t="s">
        <v>1876</v>
      </c>
      <c r="E611" t="s">
        <v>2153</v>
      </c>
      <c r="F611" t="s">
        <v>431</v>
      </c>
      <c r="G611" t="s">
        <v>469</v>
      </c>
      <c r="H611">
        <v>2.4</v>
      </c>
      <c r="I611">
        <v>70</v>
      </c>
      <c r="J611">
        <v>0</v>
      </c>
      <c r="K611">
        <v>0</v>
      </c>
      <c r="L611" t="s">
        <v>117</v>
      </c>
      <c r="M611" t="s">
        <v>118</v>
      </c>
      <c r="N611">
        <v>0</v>
      </c>
      <c r="O611">
        <v>1</v>
      </c>
      <c r="P611" t="s">
        <v>111</v>
      </c>
      <c r="Q611">
        <v>32.9</v>
      </c>
      <c r="R611">
        <v>0</v>
      </c>
      <c r="S611">
        <v>0</v>
      </c>
      <c r="T611">
        <v>5</v>
      </c>
      <c r="U611" s="1" t="s">
        <v>2154</v>
      </c>
      <c r="V611">
        <v>0</v>
      </c>
      <c r="W611">
        <v>250</v>
      </c>
      <c r="X611">
        <v>8</v>
      </c>
      <c r="Y611">
        <v>0</v>
      </c>
      <c r="Z611" t="s">
        <v>111</v>
      </c>
      <c r="AA611">
        <v>0</v>
      </c>
      <c r="AB611" t="s">
        <v>2155</v>
      </c>
      <c r="AC611">
        <v>8</v>
      </c>
      <c r="AD611" t="s">
        <v>493</v>
      </c>
      <c r="AE611">
        <v>0</v>
      </c>
      <c r="AF611">
        <v>0</v>
      </c>
      <c r="AG611" t="s">
        <v>111</v>
      </c>
      <c r="AH611" t="s">
        <v>111</v>
      </c>
      <c r="AI611" t="s">
        <v>111</v>
      </c>
      <c r="AJ611" t="s">
        <v>111</v>
      </c>
      <c r="AK611" t="s">
        <v>111</v>
      </c>
      <c r="AL611" t="s">
        <v>111</v>
      </c>
      <c r="AM611">
        <v>0</v>
      </c>
      <c r="AN611">
        <v>0</v>
      </c>
      <c r="AO611">
        <v>0</v>
      </c>
      <c r="AP611" t="s">
        <v>111</v>
      </c>
      <c r="AQ611" t="s">
        <v>111</v>
      </c>
      <c r="AR611" t="s">
        <v>111</v>
      </c>
      <c r="AS611" t="s">
        <v>111</v>
      </c>
      <c r="AT611" t="s">
        <v>111</v>
      </c>
      <c r="AU611" t="s">
        <v>111</v>
      </c>
      <c r="AV611" t="s">
        <v>111</v>
      </c>
      <c r="AW611" t="s">
        <v>111</v>
      </c>
      <c r="AX611" t="s">
        <v>111</v>
      </c>
      <c r="AY611" t="s">
        <v>111</v>
      </c>
      <c r="AZ611" t="s">
        <v>111</v>
      </c>
      <c r="BA611" t="s">
        <v>111</v>
      </c>
      <c r="BB611" t="s">
        <v>111</v>
      </c>
      <c r="BC611" t="s">
        <v>111</v>
      </c>
      <c r="BD611" t="s">
        <v>111</v>
      </c>
      <c r="BE611" t="s">
        <v>111</v>
      </c>
      <c r="BF611" t="s">
        <v>111</v>
      </c>
      <c r="BG611" t="s">
        <v>111</v>
      </c>
      <c r="BH611" t="s">
        <v>111</v>
      </c>
      <c r="BI611" t="s">
        <v>111</v>
      </c>
      <c r="BJ611" t="s">
        <v>111</v>
      </c>
      <c r="BK611" t="s">
        <v>111</v>
      </c>
      <c r="BL611" t="s">
        <v>111</v>
      </c>
      <c r="BM611" t="s">
        <v>111</v>
      </c>
      <c r="BN611" t="s">
        <v>111</v>
      </c>
      <c r="BO611" t="s">
        <v>111</v>
      </c>
      <c r="BP611" t="s">
        <v>111</v>
      </c>
      <c r="BQ611" t="s">
        <v>111</v>
      </c>
      <c r="BR611" t="s">
        <v>111</v>
      </c>
      <c r="BS611" t="s">
        <v>111</v>
      </c>
      <c r="BT611" t="s">
        <v>111</v>
      </c>
      <c r="BU611" t="s">
        <v>111</v>
      </c>
      <c r="BV611" t="s">
        <v>111</v>
      </c>
      <c r="BW611" t="s">
        <v>111</v>
      </c>
      <c r="BX611" t="s">
        <v>111</v>
      </c>
      <c r="BY611" t="s">
        <v>111</v>
      </c>
      <c r="BZ611" t="s">
        <v>111</v>
      </c>
      <c r="CA611" t="s">
        <v>111</v>
      </c>
      <c r="CB611" t="s">
        <v>111</v>
      </c>
      <c r="CC611" t="s">
        <v>111</v>
      </c>
      <c r="CD611" t="s">
        <v>111</v>
      </c>
      <c r="CE611" t="s">
        <v>111</v>
      </c>
      <c r="CF611" t="s">
        <v>111</v>
      </c>
      <c r="CG611" t="s">
        <v>111</v>
      </c>
      <c r="CH611" t="s">
        <v>111</v>
      </c>
      <c r="CI611" t="s">
        <v>111</v>
      </c>
      <c r="CJ611" t="s">
        <v>111</v>
      </c>
      <c r="CK611" t="s">
        <v>111</v>
      </c>
      <c r="CL611" t="s">
        <v>111</v>
      </c>
      <c r="CM611" t="s">
        <v>135</v>
      </c>
      <c r="CN611" t="s">
        <v>113</v>
      </c>
      <c r="CO611" t="s">
        <v>111</v>
      </c>
      <c r="CP611" t="s">
        <v>111</v>
      </c>
      <c r="CQ611">
        <v>0</v>
      </c>
      <c r="CR611">
        <v>3000</v>
      </c>
      <c r="CS611">
        <v>100</v>
      </c>
      <c r="CT611" t="e">
        <f>-ALMACEN</f>
        <v>#NAME?</v>
      </c>
      <c r="CU611">
        <v>0</v>
      </c>
      <c r="CV611" t="s">
        <v>111</v>
      </c>
      <c r="CX611" t="s">
        <v>111</v>
      </c>
      <c r="CY611">
        <v>0</v>
      </c>
      <c r="CZ611" t="s">
        <v>111</v>
      </c>
      <c r="DA611" t="s">
        <v>111</v>
      </c>
      <c r="DB611" t="s">
        <v>111</v>
      </c>
      <c r="DC611" t="s">
        <v>111</v>
      </c>
    </row>
    <row r="612" spans="1:107">
      <c r="A612">
        <v>1857</v>
      </c>
      <c r="B612" t="s">
        <v>107</v>
      </c>
      <c r="C612" t="s">
        <v>399</v>
      </c>
      <c r="D612" t="s">
        <v>2156</v>
      </c>
      <c r="E612" t="s">
        <v>2157</v>
      </c>
      <c r="F612" t="s">
        <v>125</v>
      </c>
      <c r="G612" t="s">
        <v>469</v>
      </c>
      <c r="H612">
        <v>2.9</v>
      </c>
      <c r="I612">
        <v>65</v>
      </c>
      <c r="J612">
        <v>0</v>
      </c>
      <c r="K612">
        <v>0</v>
      </c>
      <c r="L612" t="s">
        <v>112</v>
      </c>
      <c r="M612" t="s">
        <v>111</v>
      </c>
      <c r="N612">
        <v>0</v>
      </c>
      <c r="O612">
        <v>0</v>
      </c>
      <c r="P612" t="s">
        <v>111</v>
      </c>
      <c r="Q612">
        <v>50</v>
      </c>
      <c r="R612">
        <v>0</v>
      </c>
      <c r="S612">
        <v>0</v>
      </c>
      <c r="T612">
        <v>10</v>
      </c>
      <c r="U612" s="1" t="s">
        <v>2158</v>
      </c>
      <c r="V612">
        <v>25</v>
      </c>
      <c r="W612">
        <v>30</v>
      </c>
      <c r="X612">
        <v>10</v>
      </c>
      <c r="Y612">
        <v>0</v>
      </c>
      <c r="Z612" t="s">
        <v>2159</v>
      </c>
      <c r="AA612">
        <v>6</v>
      </c>
      <c r="AB612" t="s">
        <v>2160</v>
      </c>
      <c r="AC612">
        <v>4</v>
      </c>
      <c r="AD612" t="s">
        <v>111</v>
      </c>
      <c r="AE612">
        <v>0</v>
      </c>
      <c r="AF612">
        <v>0</v>
      </c>
      <c r="AG612" t="s">
        <v>111</v>
      </c>
      <c r="AH612" t="s">
        <v>111</v>
      </c>
      <c r="AI612" t="s">
        <v>111</v>
      </c>
      <c r="AJ612" t="s">
        <v>111</v>
      </c>
      <c r="AK612" t="s">
        <v>111</v>
      </c>
      <c r="AL612" t="s">
        <v>111</v>
      </c>
      <c r="AM612">
        <v>0</v>
      </c>
      <c r="AN612">
        <v>0</v>
      </c>
      <c r="AO612">
        <v>0</v>
      </c>
      <c r="AP612" t="s">
        <v>111</v>
      </c>
      <c r="AQ612" t="s">
        <v>111</v>
      </c>
      <c r="AR612" t="s">
        <v>111</v>
      </c>
      <c r="AS612" t="s">
        <v>111</v>
      </c>
      <c r="AT612" t="s">
        <v>111</v>
      </c>
      <c r="AU612" t="s">
        <v>111</v>
      </c>
      <c r="AV612" t="s">
        <v>111</v>
      </c>
      <c r="AW612" t="s">
        <v>111</v>
      </c>
      <c r="AX612" t="s">
        <v>111</v>
      </c>
      <c r="AY612" t="s">
        <v>111</v>
      </c>
      <c r="AZ612" t="s">
        <v>111</v>
      </c>
      <c r="BA612" t="s">
        <v>111</v>
      </c>
      <c r="BB612" t="s">
        <v>111</v>
      </c>
      <c r="BC612" t="s">
        <v>111</v>
      </c>
      <c r="BD612" t="s">
        <v>111</v>
      </c>
      <c r="BE612" t="s">
        <v>111</v>
      </c>
      <c r="BF612" t="s">
        <v>111</v>
      </c>
      <c r="BG612" t="s">
        <v>111</v>
      </c>
      <c r="BH612" t="s">
        <v>111</v>
      </c>
      <c r="BI612" t="s">
        <v>111</v>
      </c>
      <c r="BJ612" t="s">
        <v>111</v>
      </c>
      <c r="BK612" t="s">
        <v>111</v>
      </c>
      <c r="BL612" t="s">
        <v>111</v>
      </c>
      <c r="BM612" t="s">
        <v>111</v>
      </c>
      <c r="BN612" t="s">
        <v>111</v>
      </c>
      <c r="BO612" t="s">
        <v>111</v>
      </c>
      <c r="BP612" t="s">
        <v>111</v>
      </c>
      <c r="BQ612" t="s">
        <v>111</v>
      </c>
      <c r="BR612" t="s">
        <v>111</v>
      </c>
      <c r="BS612" t="s">
        <v>111</v>
      </c>
      <c r="BT612" t="s">
        <v>111</v>
      </c>
      <c r="BU612" t="s">
        <v>111</v>
      </c>
      <c r="BV612" t="s">
        <v>111</v>
      </c>
      <c r="BW612" t="s">
        <v>111</v>
      </c>
      <c r="BX612" t="s">
        <v>111</v>
      </c>
      <c r="BY612" t="s">
        <v>111</v>
      </c>
      <c r="BZ612" t="s">
        <v>111</v>
      </c>
      <c r="CA612" t="s">
        <v>111</v>
      </c>
      <c r="CB612" t="s">
        <v>111</v>
      </c>
      <c r="CC612" t="s">
        <v>111</v>
      </c>
      <c r="CD612" t="s">
        <v>111</v>
      </c>
      <c r="CE612" t="s">
        <v>111</v>
      </c>
      <c r="CF612" t="s">
        <v>111</v>
      </c>
      <c r="CG612" t="s">
        <v>111</v>
      </c>
      <c r="CH612" t="s">
        <v>111</v>
      </c>
      <c r="CI612" t="s">
        <v>111</v>
      </c>
      <c r="CJ612" t="s">
        <v>111</v>
      </c>
      <c r="CK612" t="s">
        <v>111</v>
      </c>
      <c r="CL612" t="s">
        <v>111</v>
      </c>
      <c r="CM612" t="s">
        <v>135</v>
      </c>
      <c r="CN612" t="s">
        <v>128</v>
      </c>
      <c r="CO612" t="s">
        <v>111</v>
      </c>
      <c r="CP612" t="s">
        <v>111</v>
      </c>
      <c r="CQ612">
        <v>0</v>
      </c>
      <c r="CR612">
        <v>500</v>
      </c>
      <c r="CS612">
        <v>50</v>
      </c>
      <c r="CT612" s="1" t="s">
        <v>2161</v>
      </c>
      <c r="CU612">
        <v>0</v>
      </c>
      <c r="CV612" t="s">
        <v>111</v>
      </c>
      <c r="CX612" t="s">
        <v>111</v>
      </c>
      <c r="CY612">
        <v>0</v>
      </c>
      <c r="CZ612" t="s">
        <v>111</v>
      </c>
      <c r="DA612" t="s">
        <v>111</v>
      </c>
      <c r="DB612" t="s">
        <v>111</v>
      </c>
      <c r="DC612" t="s">
        <v>2162</v>
      </c>
    </row>
    <row r="613" spans="1:107">
      <c r="A613">
        <v>1947</v>
      </c>
      <c r="B613" t="s">
        <v>107</v>
      </c>
      <c r="C613" t="s">
        <v>2163</v>
      </c>
      <c r="D613" t="s">
        <v>2164</v>
      </c>
      <c r="E613" t="s">
        <v>2165</v>
      </c>
      <c r="F613" t="s">
        <v>771</v>
      </c>
      <c r="G613" t="s">
        <v>469</v>
      </c>
      <c r="H613">
        <v>1</v>
      </c>
      <c r="I613">
        <v>70</v>
      </c>
      <c r="J613">
        <v>0</v>
      </c>
      <c r="K613">
        <v>0</v>
      </c>
      <c r="L613" t="s">
        <v>112</v>
      </c>
      <c r="M613" t="s">
        <v>118</v>
      </c>
      <c r="N613">
        <v>0</v>
      </c>
      <c r="O613">
        <v>1</v>
      </c>
      <c r="P613" t="s">
        <v>111</v>
      </c>
      <c r="Q613">
        <v>53.9</v>
      </c>
      <c r="R613">
        <v>0</v>
      </c>
      <c r="S613">
        <v>0</v>
      </c>
      <c r="T613">
        <v>5</v>
      </c>
      <c r="U613" s="1" t="s">
        <v>662</v>
      </c>
      <c r="V613">
        <v>25</v>
      </c>
      <c r="W613">
        <v>0</v>
      </c>
      <c r="X613">
        <v>8</v>
      </c>
      <c r="Y613">
        <v>0</v>
      </c>
      <c r="Z613" t="s">
        <v>2166</v>
      </c>
      <c r="AA613">
        <v>1.6</v>
      </c>
      <c r="AB613" t="s">
        <v>111</v>
      </c>
      <c r="AC613">
        <v>0</v>
      </c>
      <c r="AD613" t="s">
        <v>416</v>
      </c>
      <c r="AE613">
        <v>0</v>
      </c>
      <c r="AF613">
        <v>0</v>
      </c>
      <c r="AG613" t="s">
        <v>111</v>
      </c>
      <c r="AH613" t="s">
        <v>111</v>
      </c>
      <c r="AI613" t="s">
        <v>111</v>
      </c>
      <c r="AJ613" t="s">
        <v>111</v>
      </c>
      <c r="AK613" t="s">
        <v>111</v>
      </c>
      <c r="AL613" t="s">
        <v>111</v>
      </c>
      <c r="AM613">
        <v>0</v>
      </c>
      <c r="AN613">
        <v>0</v>
      </c>
      <c r="AO613">
        <v>0</v>
      </c>
      <c r="AP613" t="s">
        <v>111</v>
      </c>
      <c r="AQ613" t="s">
        <v>111</v>
      </c>
      <c r="AR613" t="s">
        <v>111</v>
      </c>
      <c r="AS613" t="s">
        <v>111</v>
      </c>
      <c r="AT613" t="s">
        <v>111</v>
      </c>
      <c r="AU613" t="s">
        <v>111</v>
      </c>
      <c r="AV613" t="s">
        <v>111</v>
      </c>
      <c r="AW613" t="s">
        <v>111</v>
      </c>
      <c r="AX613" t="s">
        <v>111</v>
      </c>
      <c r="AY613" t="s">
        <v>111</v>
      </c>
      <c r="AZ613" t="s">
        <v>111</v>
      </c>
      <c r="BA613" t="s">
        <v>111</v>
      </c>
      <c r="BB613" t="s">
        <v>111</v>
      </c>
      <c r="BC613" t="s">
        <v>111</v>
      </c>
      <c r="BD613" t="s">
        <v>111</v>
      </c>
      <c r="BE613" t="s">
        <v>111</v>
      </c>
      <c r="BF613" t="s">
        <v>111</v>
      </c>
      <c r="BG613" t="s">
        <v>111</v>
      </c>
      <c r="BH613" t="s">
        <v>111</v>
      </c>
      <c r="BI613" t="s">
        <v>111</v>
      </c>
      <c r="BJ613" t="s">
        <v>111</v>
      </c>
      <c r="BK613" t="s">
        <v>111</v>
      </c>
      <c r="BL613" t="s">
        <v>111</v>
      </c>
      <c r="BM613" t="s">
        <v>111</v>
      </c>
      <c r="BN613" t="s">
        <v>111</v>
      </c>
      <c r="BO613" t="s">
        <v>111</v>
      </c>
      <c r="BP613" t="s">
        <v>111</v>
      </c>
      <c r="BQ613" t="s">
        <v>111</v>
      </c>
      <c r="BR613" t="s">
        <v>111</v>
      </c>
      <c r="BS613" t="s">
        <v>111</v>
      </c>
      <c r="BT613" t="s">
        <v>111</v>
      </c>
      <c r="BU613" t="s">
        <v>111</v>
      </c>
      <c r="BV613" t="s">
        <v>111</v>
      </c>
      <c r="BW613" t="s">
        <v>111</v>
      </c>
      <c r="BX613" t="s">
        <v>111</v>
      </c>
      <c r="BY613" t="s">
        <v>111</v>
      </c>
      <c r="BZ613" t="s">
        <v>111</v>
      </c>
      <c r="CA613" t="s">
        <v>111</v>
      </c>
      <c r="CB613" t="s">
        <v>111</v>
      </c>
      <c r="CC613" t="s">
        <v>111</v>
      </c>
      <c r="CD613" t="s">
        <v>111</v>
      </c>
      <c r="CE613" t="s">
        <v>111</v>
      </c>
      <c r="CF613" t="s">
        <v>111</v>
      </c>
      <c r="CG613" t="s">
        <v>111</v>
      </c>
      <c r="CH613" t="s">
        <v>111</v>
      </c>
      <c r="CI613" t="s">
        <v>111</v>
      </c>
      <c r="CJ613" t="s">
        <v>111</v>
      </c>
      <c r="CK613" t="s">
        <v>111</v>
      </c>
      <c r="CL613" t="s">
        <v>111</v>
      </c>
      <c r="CM613" t="s">
        <v>127</v>
      </c>
      <c r="CN613" t="s">
        <v>128</v>
      </c>
      <c r="CO613" t="s">
        <v>111</v>
      </c>
      <c r="CP613" t="s">
        <v>111</v>
      </c>
      <c r="CQ613">
        <v>0</v>
      </c>
      <c r="CR613">
        <v>1000</v>
      </c>
      <c r="CS613">
        <v>10</v>
      </c>
      <c r="CT613" s="1" t="s">
        <v>2167</v>
      </c>
      <c r="CU613">
        <v>0</v>
      </c>
      <c r="CV613" t="s">
        <v>111</v>
      </c>
      <c r="CX613" t="s">
        <v>111</v>
      </c>
      <c r="CY613">
        <v>0</v>
      </c>
      <c r="CZ613" t="s">
        <v>111</v>
      </c>
      <c r="DA613" t="s">
        <v>111</v>
      </c>
      <c r="DB613" t="s">
        <v>111</v>
      </c>
      <c r="DC613" t="s">
        <v>111</v>
      </c>
    </row>
    <row r="614" spans="1:107">
      <c r="A614">
        <v>1851</v>
      </c>
      <c r="B614" t="s">
        <v>107</v>
      </c>
      <c r="C614" t="s">
        <v>144</v>
      </c>
      <c r="D614" t="s">
        <v>2168</v>
      </c>
      <c r="E614" t="s">
        <v>2169</v>
      </c>
      <c r="F614" t="s">
        <v>287</v>
      </c>
      <c r="G614" t="s">
        <v>469</v>
      </c>
      <c r="H614">
        <v>0.7</v>
      </c>
      <c r="I614">
        <v>65</v>
      </c>
      <c r="J614">
        <v>0</v>
      </c>
      <c r="K614">
        <v>0</v>
      </c>
      <c r="L614" t="s">
        <v>112</v>
      </c>
      <c r="M614" t="s">
        <v>111</v>
      </c>
      <c r="N614">
        <v>0</v>
      </c>
      <c r="O614">
        <v>0</v>
      </c>
      <c r="P614" t="s">
        <v>111</v>
      </c>
      <c r="Q614">
        <v>10</v>
      </c>
      <c r="R614">
        <v>0</v>
      </c>
      <c r="S614">
        <v>0</v>
      </c>
      <c r="T614">
        <v>5</v>
      </c>
      <c r="U614" t="e">
        <f>-SELLADO</f>
        <v>#NAME?</v>
      </c>
      <c r="V614">
        <v>25</v>
      </c>
      <c r="W614">
        <v>0</v>
      </c>
      <c r="X614">
        <v>5</v>
      </c>
      <c r="Y614">
        <v>0</v>
      </c>
      <c r="Z614" t="s">
        <v>288</v>
      </c>
      <c r="AA614">
        <v>1.5</v>
      </c>
      <c r="AB614" t="s">
        <v>111</v>
      </c>
      <c r="AC614">
        <v>0</v>
      </c>
      <c r="AD614" t="s">
        <v>111</v>
      </c>
      <c r="AE614">
        <v>0</v>
      </c>
      <c r="AF614">
        <v>0</v>
      </c>
      <c r="AG614" t="s">
        <v>111</v>
      </c>
      <c r="AH614" t="s">
        <v>111</v>
      </c>
      <c r="AI614" t="s">
        <v>111</v>
      </c>
      <c r="AJ614" t="s">
        <v>111</v>
      </c>
      <c r="AK614" t="s">
        <v>111</v>
      </c>
      <c r="AL614" t="s">
        <v>111</v>
      </c>
      <c r="AM614">
        <v>0</v>
      </c>
      <c r="AN614">
        <v>0</v>
      </c>
      <c r="AO614">
        <v>0</v>
      </c>
      <c r="AP614" t="s">
        <v>111</v>
      </c>
      <c r="AQ614" t="s">
        <v>111</v>
      </c>
      <c r="AR614" t="s">
        <v>111</v>
      </c>
      <c r="AS614" t="s">
        <v>111</v>
      </c>
      <c r="AT614" t="s">
        <v>111</v>
      </c>
      <c r="AU614" t="s">
        <v>111</v>
      </c>
      <c r="AV614" t="s">
        <v>111</v>
      </c>
      <c r="AW614" t="s">
        <v>111</v>
      </c>
      <c r="AX614" t="s">
        <v>111</v>
      </c>
      <c r="AY614" t="s">
        <v>111</v>
      </c>
      <c r="AZ614" t="s">
        <v>111</v>
      </c>
      <c r="BA614" t="s">
        <v>111</v>
      </c>
      <c r="BB614" t="s">
        <v>111</v>
      </c>
      <c r="BC614" t="s">
        <v>111</v>
      </c>
      <c r="BD614" t="s">
        <v>111</v>
      </c>
      <c r="BE614" t="s">
        <v>111</v>
      </c>
      <c r="BF614" t="s">
        <v>111</v>
      </c>
      <c r="BG614" t="s">
        <v>111</v>
      </c>
      <c r="BH614" t="s">
        <v>111</v>
      </c>
      <c r="BI614" t="s">
        <v>111</v>
      </c>
      <c r="BJ614" t="s">
        <v>111</v>
      </c>
      <c r="BK614" t="s">
        <v>111</v>
      </c>
      <c r="BL614" t="s">
        <v>111</v>
      </c>
      <c r="BM614" t="s">
        <v>111</v>
      </c>
      <c r="BN614" t="s">
        <v>111</v>
      </c>
      <c r="BO614" t="s">
        <v>111</v>
      </c>
      <c r="BP614" t="s">
        <v>111</v>
      </c>
      <c r="BQ614" t="s">
        <v>111</v>
      </c>
      <c r="BR614" t="s">
        <v>111</v>
      </c>
      <c r="BS614" t="s">
        <v>111</v>
      </c>
      <c r="BT614" t="s">
        <v>111</v>
      </c>
      <c r="BU614" t="s">
        <v>111</v>
      </c>
      <c r="BV614" t="s">
        <v>111</v>
      </c>
      <c r="BW614" t="s">
        <v>111</v>
      </c>
      <c r="BX614" t="s">
        <v>111</v>
      </c>
      <c r="BY614" t="s">
        <v>111</v>
      </c>
      <c r="BZ614" t="s">
        <v>111</v>
      </c>
      <c r="CA614" t="s">
        <v>111</v>
      </c>
      <c r="CB614" t="s">
        <v>111</v>
      </c>
      <c r="CC614" t="s">
        <v>111</v>
      </c>
      <c r="CD614" t="s">
        <v>111</v>
      </c>
      <c r="CE614" t="s">
        <v>111</v>
      </c>
      <c r="CF614" t="s">
        <v>111</v>
      </c>
      <c r="CG614" t="s">
        <v>111</v>
      </c>
      <c r="CH614" t="s">
        <v>111</v>
      </c>
      <c r="CI614" t="s">
        <v>111</v>
      </c>
      <c r="CJ614" t="s">
        <v>111</v>
      </c>
      <c r="CK614" t="s">
        <v>111</v>
      </c>
      <c r="CL614" t="s">
        <v>111</v>
      </c>
      <c r="CM614" t="s">
        <v>438</v>
      </c>
      <c r="CN614" t="s">
        <v>113</v>
      </c>
      <c r="CO614" t="s">
        <v>111</v>
      </c>
      <c r="CP614" t="s">
        <v>111</v>
      </c>
      <c r="CQ614">
        <v>0</v>
      </c>
      <c r="CR614">
        <v>300</v>
      </c>
      <c r="CS614">
        <v>100</v>
      </c>
      <c r="CT614" t="e">
        <f>-CXANTIDAD EXACTA</f>
        <v>#NAME?</v>
      </c>
      <c r="CU614">
        <v>0</v>
      </c>
      <c r="CV614" t="s">
        <v>111</v>
      </c>
      <c r="CX614" t="s">
        <v>111</v>
      </c>
      <c r="CY614">
        <v>0</v>
      </c>
      <c r="CZ614" t="s">
        <v>111</v>
      </c>
      <c r="DA614" t="s">
        <v>111</v>
      </c>
      <c r="DB614" t="s">
        <v>111</v>
      </c>
      <c r="DC614" t="s">
        <v>111</v>
      </c>
    </row>
    <row r="615" spans="1:107">
      <c r="A615">
        <v>1850</v>
      </c>
      <c r="B615" t="s">
        <v>107</v>
      </c>
      <c r="C615" t="s">
        <v>144</v>
      </c>
      <c r="D615" t="s">
        <v>2170</v>
      </c>
      <c r="E615" t="s">
        <v>2171</v>
      </c>
      <c r="F615" t="s">
        <v>759</v>
      </c>
      <c r="G615" t="s">
        <v>469</v>
      </c>
      <c r="H615">
        <v>0.7</v>
      </c>
      <c r="I615">
        <v>50</v>
      </c>
      <c r="J615">
        <v>0</v>
      </c>
      <c r="K615">
        <v>0</v>
      </c>
      <c r="L615" t="s">
        <v>112</v>
      </c>
      <c r="M615" t="s">
        <v>138</v>
      </c>
      <c r="N615">
        <v>0</v>
      </c>
      <c r="O615">
        <v>0</v>
      </c>
      <c r="P615" t="s">
        <v>111</v>
      </c>
      <c r="Q615">
        <v>10</v>
      </c>
      <c r="R615">
        <v>0</v>
      </c>
      <c r="S615">
        <v>0</v>
      </c>
      <c r="T615">
        <v>5</v>
      </c>
      <c r="U615" t="e">
        <f>-SELLADO</f>
        <v>#NAME?</v>
      </c>
      <c r="V615">
        <v>25</v>
      </c>
      <c r="W615">
        <v>0</v>
      </c>
      <c r="X615">
        <v>5</v>
      </c>
      <c r="Y615">
        <v>0</v>
      </c>
      <c r="Z615" t="s">
        <v>2172</v>
      </c>
      <c r="AA615">
        <v>1.5</v>
      </c>
      <c r="AB615" t="s">
        <v>111</v>
      </c>
      <c r="AC615">
        <v>0</v>
      </c>
      <c r="AD615" t="s">
        <v>111</v>
      </c>
      <c r="AE615">
        <v>0</v>
      </c>
      <c r="AF615">
        <v>0</v>
      </c>
      <c r="AG615" t="s">
        <v>111</v>
      </c>
      <c r="AH615" t="s">
        <v>111</v>
      </c>
      <c r="AI615" t="s">
        <v>111</v>
      </c>
      <c r="AJ615" t="s">
        <v>111</v>
      </c>
      <c r="AK615" t="s">
        <v>111</v>
      </c>
      <c r="AL615" t="s">
        <v>111</v>
      </c>
      <c r="AM615">
        <v>0</v>
      </c>
      <c r="AN615">
        <v>0</v>
      </c>
      <c r="AO615">
        <v>0</v>
      </c>
      <c r="AP615" t="s">
        <v>111</v>
      </c>
      <c r="AQ615" t="s">
        <v>111</v>
      </c>
      <c r="AR615" t="s">
        <v>111</v>
      </c>
      <c r="AS615" t="s">
        <v>111</v>
      </c>
      <c r="AT615" t="s">
        <v>111</v>
      </c>
      <c r="AU615" t="s">
        <v>111</v>
      </c>
      <c r="AV615" t="s">
        <v>111</v>
      </c>
      <c r="AW615" t="s">
        <v>111</v>
      </c>
      <c r="AX615" t="s">
        <v>111</v>
      </c>
      <c r="AY615" t="s">
        <v>111</v>
      </c>
      <c r="AZ615" t="s">
        <v>111</v>
      </c>
      <c r="BA615" t="s">
        <v>111</v>
      </c>
      <c r="BB615" t="s">
        <v>111</v>
      </c>
      <c r="BC615" t="s">
        <v>111</v>
      </c>
      <c r="BD615" t="s">
        <v>111</v>
      </c>
      <c r="BE615" t="s">
        <v>111</v>
      </c>
      <c r="BF615" t="s">
        <v>111</v>
      </c>
      <c r="BG615" t="s">
        <v>111</v>
      </c>
      <c r="BH615" t="s">
        <v>111</v>
      </c>
      <c r="BI615" t="s">
        <v>111</v>
      </c>
      <c r="BJ615" t="s">
        <v>111</v>
      </c>
      <c r="BK615" t="s">
        <v>111</v>
      </c>
      <c r="BL615" t="s">
        <v>111</v>
      </c>
      <c r="BM615" t="s">
        <v>111</v>
      </c>
      <c r="BN615" t="s">
        <v>111</v>
      </c>
      <c r="BO615" t="s">
        <v>111</v>
      </c>
      <c r="BP615" t="s">
        <v>111</v>
      </c>
      <c r="BQ615" t="s">
        <v>111</v>
      </c>
      <c r="BR615" t="s">
        <v>111</v>
      </c>
      <c r="BS615" t="s">
        <v>111</v>
      </c>
      <c r="BT615" t="s">
        <v>111</v>
      </c>
      <c r="BU615" t="s">
        <v>111</v>
      </c>
      <c r="BV615" t="s">
        <v>111</v>
      </c>
      <c r="BW615" t="s">
        <v>111</v>
      </c>
      <c r="BX615" t="s">
        <v>111</v>
      </c>
      <c r="BY615" t="s">
        <v>111</v>
      </c>
      <c r="BZ615" t="s">
        <v>111</v>
      </c>
      <c r="CA615" t="s">
        <v>111</v>
      </c>
      <c r="CB615" t="s">
        <v>111</v>
      </c>
      <c r="CC615" t="s">
        <v>111</v>
      </c>
      <c r="CD615" t="s">
        <v>111</v>
      </c>
      <c r="CE615" t="s">
        <v>111</v>
      </c>
      <c r="CF615" t="s">
        <v>111</v>
      </c>
      <c r="CG615" t="s">
        <v>111</v>
      </c>
      <c r="CH615" t="s">
        <v>111</v>
      </c>
      <c r="CI615" t="s">
        <v>111</v>
      </c>
      <c r="CJ615" t="s">
        <v>111</v>
      </c>
      <c r="CK615" t="s">
        <v>111</v>
      </c>
      <c r="CL615" t="s">
        <v>111</v>
      </c>
      <c r="CM615" t="s">
        <v>438</v>
      </c>
      <c r="CN615" t="s">
        <v>113</v>
      </c>
      <c r="CO615" t="s">
        <v>111</v>
      </c>
      <c r="CP615" t="s">
        <v>111</v>
      </c>
      <c r="CQ615">
        <v>0</v>
      </c>
      <c r="CR615">
        <v>400</v>
      </c>
      <c r="CS615">
        <v>100</v>
      </c>
      <c r="CT615" t="s">
        <v>2173</v>
      </c>
      <c r="CU615">
        <v>0</v>
      </c>
      <c r="CV615" t="s">
        <v>111</v>
      </c>
      <c r="CX615" t="s">
        <v>111</v>
      </c>
      <c r="CY615">
        <v>0</v>
      </c>
      <c r="CZ615" t="s">
        <v>111</v>
      </c>
      <c r="DA615" t="s">
        <v>111</v>
      </c>
      <c r="DB615" t="s">
        <v>111</v>
      </c>
      <c r="DC615" t="s">
        <v>111</v>
      </c>
    </row>
    <row r="616" spans="1:107">
      <c r="A616">
        <v>1948</v>
      </c>
      <c r="B616" t="s">
        <v>107</v>
      </c>
      <c r="C616" t="s">
        <v>2174</v>
      </c>
      <c r="D616" t="s">
        <v>2164</v>
      </c>
      <c r="E616" t="s">
        <v>2175</v>
      </c>
      <c r="F616" t="s">
        <v>771</v>
      </c>
      <c r="G616" t="s">
        <v>469</v>
      </c>
      <c r="H616">
        <v>1</v>
      </c>
      <c r="I616">
        <v>70</v>
      </c>
      <c r="J616">
        <v>0</v>
      </c>
      <c r="K616">
        <v>0</v>
      </c>
      <c r="L616" t="s">
        <v>112</v>
      </c>
      <c r="M616" t="s">
        <v>118</v>
      </c>
      <c r="N616">
        <v>0</v>
      </c>
      <c r="O616">
        <v>1</v>
      </c>
      <c r="P616" t="s">
        <v>111</v>
      </c>
      <c r="Q616">
        <v>53.9</v>
      </c>
      <c r="R616">
        <v>0</v>
      </c>
      <c r="S616">
        <v>0</v>
      </c>
      <c r="T616">
        <v>5</v>
      </c>
      <c r="U616" s="1" t="s">
        <v>662</v>
      </c>
      <c r="V616">
        <v>25</v>
      </c>
      <c r="W616">
        <v>0</v>
      </c>
      <c r="X616">
        <v>8</v>
      </c>
      <c r="Y616">
        <v>0</v>
      </c>
      <c r="Z616" t="s">
        <v>2176</v>
      </c>
      <c r="AA616">
        <v>0</v>
      </c>
      <c r="AB616" t="s">
        <v>111</v>
      </c>
      <c r="AC616">
        <v>0</v>
      </c>
      <c r="AD616" t="s">
        <v>416</v>
      </c>
      <c r="AE616">
        <v>0</v>
      </c>
      <c r="AF616">
        <v>0</v>
      </c>
      <c r="AG616" t="s">
        <v>111</v>
      </c>
      <c r="AH616" t="s">
        <v>111</v>
      </c>
      <c r="AI616" t="s">
        <v>111</v>
      </c>
      <c r="AJ616" t="s">
        <v>111</v>
      </c>
      <c r="AK616" t="s">
        <v>111</v>
      </c>
      <c r="AL616" t="s">
        <v>111</v>
      </c>
      <c r="AM616">
        <v>0</v>
      </c>
      <c r="AN616">
        <v>0</v>
      </c>
      <c r="AO616">
        <v>0</v>
      </c>
      <c r="AP616" t="s">
        <v>111</v>
      </c>
      <c r="AQ616" t="s">
        <v>111</v>
      </c>
      <c r="AR616" t="s">
        <v>111</v>
      </c>
      <c r="AS616" t="s">
        <v>111</v>
      </c>
      <c r="AT616" t="s">
        <v>111</v>
      </c>
      <c r="AU616" t="s">
        <v>111</v>
      </c>
      <c r="AV616" t="s">
        <v>111</v>
      </c>
      <c r="AW616" t="s">
        <v>111</v>
      </c>
      <c r="AX616" t="s">
        <v>111</v>
      </c>
      <c r="AY616" t="s">
        <v>111</v>
      </c>
      <c r="AZ616" t="s">
        <v>111</v>
      </c>
      <c r="BA616" t="s">
        <v>111</v>
      </c>
      <c r="BB616" t="s">
        <v>111</v>
      </c>
      <c r="BC616" t="s">
        <v>111</v>
      </c>
      <c r="BD616" t="s">
        <v>111</v>
      </c>
      <c r="BE616" t="s">
        <v>111</v>
      </c>
      <c r="BF616" t="s">
        <v>111</v>
      </c>
      <c r="BG616" t="s">
        <v>111</v>
      </c>
      <c r="BH616" t="s">
        <v>111</v>
      </c>
      <c r="BI616" t="s">
        <v>111</v>
      </c>
      <c r="BJ616" t="s">
        <v>111</v>
      </c>
      <c r="BK616" t="s">
        <v>111</v>
      </c>
      <c r="BL616" t="s">
        <v>111</v>
      </c>
      <c r="BM616" t="s">
        <v>111</v>
      </c>
      <c r="BN616" t="s">
        <v>111</v>
      </c>
      <c r="BO616" t="s">
        <v>111</v>
      </c>
      <c r="BP616" t="s">
        <v>111</v>
      </c>
      <c r="BQ616" t="s">
        <v>111</v>
      </c>
      <c r="BR616" t="s">
        <v>111</v>
      </c>
      <c r="BS616" t="s">
        <v>111</v>
      </c>
      <c r="BT616" t="s">
        <v>111</v>
      </c>
      <c r="BU616" t="s">
        <v>111</v>
      </c>
      <c r="BV616" t="s">
        <v>111</v>
      </c>
      <c r="BW616" t="s">
        <v>111</v>
      </c>
      <c r="BX616" t="s">
        <v>111</v>
      </c>
      <c r="BY616" t="s">
        <v>111</v>
      </c>
      <c r="BZ616" t="s">
        <v>111</v>
      </c>
      <c r="CA616" t="s">
        <v>111</v>
      </c>
      <c r="CB616" t="s">
        <v>111</v>
      </c>
      <c r="CC616" t="s">
        <v>111</v>
      </c>
      <c r="CD616" t="s">
        <v>111</v>
      </c>
      <c r="CE616" t="s">
        <v>111</v>
      </c>
      <c r="CF616" t="s">
        <v>111</v>
      </c>
      <c r="CG616" t="s">
        <v>111</v>
      </c>
      <c r="CH616" t="s">
        <v>111</v>
      </c>
      <c r="CI616" t="s">
        <v>111</v>
      </c>
      <c r="CJ616" t="s">
        <v>111</v>
      </c>
      <c r="CK616" t="s">
        <v>111</v>
      </c>
      <c r="CL616" t="s">
        <v>111</v>
      </c>
      <c r="CM616" t="s">
        <v>127</v>
      </c>
      <c r="CN616" t="s">
        <v>128</v>
      </c>
      <c r="CO616" t="s">
        <v>111</v>
      </c>
      <c r="CP616" t="s">
        <v>111</v>
      </c>
      <c r="CQ616">
        <v>0</v>
      </c>
      <c r="CR616">
        <v>1000</v>
      </c>
      <c r="CS616">
        <v>10</v>
      </c>
      <c r="CT616" s="1" t="s">
        <v>2167</v>
      </c>
      <c r="CU616">
        <v>0</v>
      </c>
      <c r="CV616" t="s">
        <v>111</v>
      </c>
      <c r="CX616" t="s">
        <v>111</v>
      </c>
      <c r="CY616">
        <v>0</v>
      </c>
      <c r="CZ616" t="s">
        <v>111</v>
      </c>
      <c r="DA616" t="s">
        <v>111</v>
      </c>
      <c r="DB616" t="s">
        <v>111</v>
      </c>
      <c r="DC616" t="s">
        <v>111</v>
      </c>
    </row>
    <row r="617" spans="1:107">
      <c r="A617">
        <v>1878</v>
      </c>
      <c r="B617" t="s">
        <v>107</v>
      </c>
      <c r="C617" t="s">
        <v>1993</v>
      </c>
      <c r="D617" t="s">
        <v>2177</v>
      </c>
      <c r="E617" t="s">
        <v>2178</v>
      </c>
      <c r="F617" t="s">
        <v>192</v>
      </c>
      <c r="G617" t="s">
        <v>469</v>
      </c>
      <c r="H617">
        <v>1.4</v>
      </c>
      <c r="I617">
        <v>43</v>
      </c>
      <c r="J617">
        <v>0</v>
      </c>
      <c r="K617">
        <v>0</v>
      </c>
      <c r="L617" t="s">
        <v>112</v>
      </c>
      <c r="M617" t="s">
        <v>111</v>
      </c>
      <c r="N617">
        <v>0</v>
      </c>
      <c r="O617">
        <v>0</v>
      </c>
      <c r="P617" t="s">
        <v>111</v>
      </c>
      <c r="Q617">
        <v>45</v>
      </c>
      <c r="R617">
        <v>0</v>
      </c>
      <c r="S617">
        <v>0</v>
      </c>
      <c r="T617">
        <v>5</v>
      </c>
      <c r="U617" t="e">
        <f>-SELLADO</f>
        <v>#NAME?</v>
      </c>
      <c r="V617">
        <v>0</v>
      </c>
      <c r="W617">
        <v>25</v>
      </c>
      <c r="X617">
        <v>6</v>
      </c>
      <c r="Y617">
        <v>0</v>
      </c>
      <c r="Z617" t="s">
        <v>111</v>
      </c>
      <c r="AA617">
        <v>0</v>
      </c>
      <c r="AB617" t="s">
        <v>111</v>
      </c>
      <c r="AC617">
        <v>0</v>
      </c>
      <c r="AD617" t="s">
        <v>111</v>
      </c>
      <c r="AE617">
        <v>0</v>
      </c>
      <c r="AF617">
        <v>0</v>
      </c>
      <c r="AG617" t="s">
        <v>111</v>
      </c>
      <c r="AH617" t="s">
        <v>111</v>
      </c>
      <c r="AI617" t="s">
        <v>111</v>
      </c>
      <c r="AJ617" t="s">
        <v>111</v>
      </c>
      <c r="AK617" t="s">
        <v>111</v>
      </c>
      <c r="AL617" t="s">
        <v>111</v>
      </c>
      <c r="AM617">
        <v>0</v>
      </c>
      <c r="AN617">
        <v>0</v>
      </c>
      <c r="AO617">
        <v>0</v>
      </c>
      <c r="AP617" t="s">
        <v>111</v>
      </c>
      <c r="AQ617" t="s">
        <v>111</v>
      </c>
      <c r="AR617" t="s">
        <v>111</v>
      </c>
      <c r="AS617" t="s">
        <v>111</v>
      </c>
      <c r="AT617" t="s">
        <v>111</v>
      </c>
      <c r="AU617" t="s">
        <v>111</v>
      </c>
      <c r="AV617" t="s">
        <v>111</v>
      </c>
      <c r="AW617" t="s">
        <v>111</v>
      </c>
      <c r="AX617" t="s">
        <v>111</v>
      </c>
      <c r="AY617" t="s">
        <v>111</v>
      </c>
      <c r="AZ617" t="s">
        <v>111</v>
      </c>
      <c r="BA617" t="s">
        <v>111</v>
      </c>
      <c r="BB617" t="s">
        <v>111</v>
      </c>
      <c r="BC617" t="s">
        <v>111</v>
      </c>
      <c r="BD617" t="s">
        <v>111</v>
      </c>
      <c r="BE617" t="s">
        <v>111</v>
      </c>
      <c r="BF617" t="s">
        <v>111</v>
      </c>
      <c r="BG617" t="s">
        <v>111</v>
      </c>
      <c r="BH617" t="s">
        <v>111</v>
      </c>
      <c r="BI617" t="s">
        <v>111</v>
      </c>
      <c r="BJ617" t="s">
        <v>111</v>
      </c>
      <c r="BK617" t="s">
        <v>111</v>
      </c>
      <c r="BL617" t="s">
        <v>111</v>
      </c>
      <c r="BM617" t="s">
        <v>111</v>
      </c>
      <c r="BN617" t="s">
        <v>111</v>
      </c>
      <c r="BO617" t="s">
        <v>111</v>
      </c>
      <c r="BP617" t="s">
        <v>111</v>
      </c>
      <c r="BQ617" t="s">
        <v>111</v>
      </c>
      <c r="BR617" t="s">
        <v>111</v>
      </c>
      <c r="BS617" t="s">
        <v>111</v>
      </c>
      <c r="BT617" t="s">
        <v>111</v>
      </c>
      <c r="BU617" t="s">
        <v>111</v>
      </c>
      <c r="BV617" t="s">
        <v>111</v>
      </c>
      <c r="BW617" t="s">
        <v>111</v>
      </c>
      <c r="BX617" t="s">
        <v>111</v>
      </c>
      <c r="BY617" t="s">
        <v>111</v>
      </c>
      <c r="BZ617" t="s">
        <v>111</v>
      </c>
      <c r="CA617" t="s">
        <v>111</v>
      </c>
      <c r="CB617" t="s">
        <v>111</v>
      </c>
      <c r="CC617" t="s">
        <v>111</v>
      </c>
      <c r="CD617" t="s">
        <v>111</v>
      </c>
      <c r="CE617" t="s">
        <v>111</v>
      </c>
      <c r="CF617" t="s">
        <v>111</v>
      </c>
      <c r="CG617" t="s">
        <v>111</v>
      </c>
      <c r="CH617" t="s">
        <v>111</v>
      </c>
      <c r="CI617" t="s">
        <v>111</v>
      </c>
      <c r="CJ617" t="s">
        <v>111</v>
      </c>
      <c r="CK617" t="s">
        <v>111</v>
      </c>
      <c r="CL617" t="s">
        <v>111</v>
      </c>
      <c r="CM617" t="s">
        <v>360</v>
      </c>
      <c r="CN617" t="s">
        <v>113</v>
      </c>
      <c r="CO617" t="s">
        <v>111</v>
      </c>
      <c r="CP617" t="s">
        <v>111</v>
      </c>
      <c r="CQ617">
        <v>0</v>
      </c>
      <c r="CR617">
        <v>3000</v>
      </c>
      <c r="CS617">
        <v>100</v>
      </c>
      <c r="CT617" t="e">
        <f>-ALMACEN</f>
        <v>#NAME?</v>
      </c>
      <c r="CU617">
        <v>0</v>
      </c>
      <c r="CV617" t="s">
        <v>111</v>
      </c>
      <c r="CX617" t="s">
        <v>111</v>
      </c>
      <c r="CY617">
        <v>0</v>
      </c>
      <c r="CZ617" t="s">
        <v>111</v>
      </c>
      <c r="DA617" t="s">
        <v>111</v>
      </c>
      <c r="DB617" t="s">
        <v>111</v>
      </c>
      <c r="DC617" t="s">
        <v>111</v>
      </c>
    </row>
    <row r="618" spans="1:107">
      <c r="A618">
        <v>195</v>
      </c>
      <c r="B618" t="s">
        <v>162</v>
      </c>
      <c r="C618" t="s">
        <v>428</v>
      </c>
      <c r="D618" t="s">
        <v>2179</v>
      </c>
      <c r="E618" t="s">
        <v>2180</v>
      </c>
      <c r="F618" t="s">
        <v>125</v>
      </c>
      <c r="G618" t="s">
        <v>469</v>
      </c>
      <c r="H618">
        <v>0.75</v>
      </c>
      <c r="I618">
        <v>45.5</v>
      </c>
      <c r="J618">
        <v>0</v>
      </c>
      <c r="K618">
        <v>0</v>
      </c>
      <c r="L618" t="s">
        <v>112</v>
      </c>
      <c r="M618" t="s">
        <v>138</v>
      </c>
      <c r="N618">
        <v>0</v>
      </c>
      <c r="O618">
        <v>0</v>
      </c>
      <c r="P618" t="s">
        <v>138</v>
      </c>
      <c r="Q618">
        <v>28</v>
      </c>
      <c r="R618">
        <v>0</v>
      </c>
      <c r="S618">
        <v>0</v>
      </c>
      <c r="T618">
        <v>5</v>
      </c>
      <c r="U618" s="1" t="s">
        <v>2181</v>
      </c>
      <c r="V618">
        <v>25</v>
      </c>
      <c r="W618">
        <v>0</v>
      </c>
      <c r="X618">
        <v>5</v>
      </c>
      <c r="Y618">
        <v>0</v>
      </c>
      <c r="Z618" t="s">
        <v>111</v>
      </c>
      <c r="AA618">
        <v>0</v>
      </c>
      <c r="AB618" t="s">
        <v>111</v>
      </c>
      <c r="AC618">
        <v>0</v>
      </c>
      <c r="AD618" t="s">
        <v>111</v>
      </c>
      <c r="AE618">
        <v>0</v>
      </c>
      <c r="AF618">
        <v>0</v>
      </c>
      <c r="AG618" t="s">
        <v>111</v>
      </c>
      <c r="AH618" t="s">
        <v>111</v>
      </c>
      <c r="AI618" t="s">
        <v>111</v>
      </c>
      <c r="AJ618" t="s">
        <v>111</v>
      </c>
      <c r="AK618" t="s">
        <v>111</v>
      </c>
      <c r="AL618" t="s">
        <v>111</v>
      </c>
      <c r="AM618">
        <v>0</v>
      </c>
      <c r="AN618">
        <v>0</v>
      </c>
      <c r="AO618">
        <v>0</v>
      </c>
      <c r="AP618" t="s">
        <v>111</v>
      </c>
      <c r="AQ618" t="s">
        <v>111</v>
      </c>
      <c r="AR618" t="s">
        <v>111</v>
      </c>
      <c r="AS618" t="s">
        <v>111</v>
      </c>
      <c r="AT618" t="s">
        <v>111</v>
      </c>
      <c r="AU618" t="s">
        <v>111</v>
      </c>
      <c r="AV618" t="s">
        <v>111</v>
      </c>
      <c r="AW618" t="s">
        <v>111</v>
      </c>
      <c r="AX618" t="s">
        <v>111</v>
      </c>
      <c r="AY618" t="s">
        <v>111</v>
      </c>
      <c r="AZ618" t="s">
        <v>111</v>
      </c>
      <c r="BA618" t="s">
        <v>111</v>
      </c>
      <c r="BB618" t="s">
        <v>111</v>
      </c>
      <c r="BC618" t="s">
        <v>111</v>
      </c>
      <c r="BD618" t="s">
        <v>111</v>
      </c>
      <c r="BE618" t="s">
        <v>111</v>
      </c>
      <c r="BF618" t="s">
        <v>111</v>
      </c>
      <c r="BG618" t="s">
        <v>111</v>
      </c>
      <c r="BH618" t="s">
        <v>111</v>
      </c>
      <c r="BI618" t="s">
        <v>111</v>
      </c>
      <c r="BJ618" t="s">
        <v>111</v>
      </c>
      <c r="BK618" t="s">
        <v>111</v>
      </c>
      <c r="BL618" t="s">
        <v>111</v>
      </c>
      <c r="BM618" t="s">
        <v>111</v>
      </c>
      <c r="BN618" t="s">
        <v>111</v>
      </c>
      <c r="BO618" t="s">
        <v>111</v>
      </c>
      <c r="BP618" t="s">
        <v>111</v>
      </c>
      <c r="BQ618" t="s">
        <v>111</v>
      </c>
      <c r="BR618" t="s">
        <v>111</v>
      </c>
      <c r="BS618" t="s">
        <v>111</v>
      </c>
      <c r="BT618" t="s">
        <v>111</v>
      </c>
      <c r="BU618" t="s">
        <v>111</v>
      </c>
      <c r="BV618" t="s">
        <v>111</v>
      </c>
      <c r="BW618" t="s">
        <v>111</v>
      </c>
      <c r="BX618" t="s">
        <v>111</v>
      </c>
      <c r="BY618" t="s">
        <v>111</v>
      </c>
      <c r="BZ618" t="s">
        <v>111</v>
      </c>
      <c r="CA618" t="s">
        <v>111</v>
      </c>
      <c r="CB618" t="s">
        <v>111</v>
      </c>
      <c r="CC618" t="s">
        <v>111</v>
      </c>
      <c r="CD618" t="s">
        <v>111</v>
      </c>
      <c r="CE618" t="s">
        <v>111</v>
      </c>
      <c r="CF618" t="s">
        <v>111</v>
      </c>
      <c r="CG618" t="s">
        <v>111</v>
      </c>
      <c r="CH618" t="s">
        <v>111</v>
      </c>
      <c r="CI618" t="s">
        <v>111</v>
      </c>
      <c r="CJ618" t="s">
        <v>111</v>
      </c>
      <c r="CK618" t="s">
        <v>111</v>
      </c>
      <c r="CL618" t="s">
        <v>111</v>
      </c>
      <c r="CM618" t="s">
        <v>198</v>
      </c>
      <c r="CN618" t="s">
        <v>128</v>
      </c>
      <c r="CO618" t="s">
        <v>111</v>
      </c>
      <c r="CP618" t="s">
        <v>111</v>
      </c>
      <c r="CQ618">
        <v>0</v>
      </c>
      <c r="CR618">
        <v>1500</v>
      </c>
      <c r="CS618">
        <v>100</v>
      </c>
      <c r="CT618" s="1" t="s">
        <v>2182</v>
      </c>
      <c r="CU618">
        <v>0</v>
      </c>
      <c r="CV618" t="s">
        <v>111</v>
      </c>
      <c r="CW618" t="s">
        <v>111</v>
      </c>
      <c r="CX618" t="s">
        <v>111</v>
      </c>
      <c r="CY618">
        <v>0</v>
      </c>
      <c r="CZ618" t="s">
        <v>111</v>
      </c>
      <c r="DA618" t="s">
        <v>111</v>
      </c>
      <c r="DB618" t="s">
        <v>111</v>
      </c>
      <c r="DC618" t="s">
        <v>111</v>
      </c>
    </row>
    <row r="619" spans="1:107">
      <c r="A619">
        <v>1942</v>
      </c>
      <c r="B619" t="s">
        <v>107</v>
      </c>
      <c r="C619" t="s">
        <v>2163</v>
      </c>
      <c r="D619" t="s">
        <v>2183</v>
      </c>
      <c r="E619" t="s">
        <v>2184</v>
      </c>
      <c r="F619" t="s">
        <v>1112</v>
      </c>
      <c r="G619" t="s">
        <v>469</v>
      </c>
      <c r="H619">
        <v>1</v>
      </c>
      <c r="I619">
        <v>70</v>
      </c>
      <c r="J619">
        <v>0</v>
      </c>
      <c r="K619">
        <v>0</v>
      </c>
      <c r="L619" t="s">
        <v>112</v>
      </c>
      <c r="M619" t="s">
        <v>118</v>
      </c>
      <c r="N619">
        <v>0</v>
      </c>
      <c r="O619">
        <v>1</v>
      </c>
      <c r="P619" t="s">
        <v>111</v>
      </c>
      <c r="Q619">
        <v>20</v>
      </c>
      <c r="R619">
        <v>0</v>
      </c>
      <c r="S619">
        <v>0</v>
      </c>
      <c r="T619">
        <v>0</v>
      </c>
      <c r="U619" t="e">
        <f>-SELLADO</f>
        <v>#NAME?</v>
      </c>
      <c r="V619">
        <v>25</v>
      </c>
      <c r="W619">
        <v>0</v>
      </c>
      <c r="X619">
        <v>5</v>
      </c>
      <c r="Y619">
        <v>0</v>
      </c>
      <c r="Z619" t="s">
        <v>772</v>
      </c>
      <c r="AA619">
        <v>1.5</v>
      </c>
      <c r="AB619" t="s">
        <v>288</v>
      </c>
      <c r="AC619">
        <v>0.5</v>
      </c>
      <c r="AD619" t="s">
        <v>111</v>
      </c>
      <c r="AE619">
        <v>0</v>
      </c>
      <c r="AF619">
        <v>0</v>
      </c>
      <c r="AG619" t="s">
        <v>111</v>
      </c>
      <c r="AH619" t="s">
        <v>111</v>
      </c>
      <c r="AI619" t="s">
        <v>111</v>
      </c>
      <c r="AJ619" t="s">
        <v>111</v>
      </c>
      <c r="AK619" t="s">
        <v>111</v>
      </c>
      <c r="AL619" t="s">
        <v>111</v>
      </c>
      <c r="AM619">
        <v>0</v>
      </c>
      <c r="AN619">
        <v>0</v>
      </c>
      <c r="AO619">
        <v>0</v>
      </c>
      <c r="AP619" t="s">
        <v>111</v>
      </c>
      <c r="AQ619" t="s">
        <v>111</v>
      </c>
      <c r="AR619" t="s">
        <v>111</v>
      </c>
      <c r="AS619" t="s">
        <v>111</v>
      </c>
      <c r="AT619" t="s">
        <v>111</v>
      </c>
      <c r="AU619" t="s">
        <v>111</v>
      </c>
      <c r="AV619" t="s">
        <v>111</v>
      </c>
      <c r="AW619" t="s">
        <v>111</v>
      </c>
      <c r="AX619" t="s">
        <v>111</v>
      </c>
      <c r="AY619" t="s">
        <v>111</v>
      </c>
      <c r="AZ619" t="s">
        <v>111</v>
      </c>
      <c r="BA619" t="s">
        <v>111</v>
      </c>
      <c r="BB619" t="s">
        <v>111</v>
      </c>
      <c r="BC619" t="s">
        <v>111</v>
      </c>
      <c r="BD619" t="s">
        <v>111</v>
      </c>
      <c r="BE619" t="s">
        <v>111</v>
      </c>
      <c r="BF619" t="s">
        <v>111</v>
      </c>
      <c r="BG619" t="s">
        <v>111</v>
      </c>
      <c r="BH619" t="s">
        <v>111</v>
      </c>
      <c r="BI619" t="s">
        <v>111</v>
      </c>
      <c r="BJ619" t="s">
        <v>111</v>
      </c>
      <c r="BK619" t="s">
        <v>111</v>
      </c>
      <c r="BL619" t="s">
        <v>111</v>
      </c>
      <c r="BM619" t="s">
        <v>111</v>
      </c>
      <c r="BN619" t="s">
        <v>111</v>
      </c>
      <c r="BO619" t="s">
        <v>111</v>
      </c>
      <c r="BP619" t="s">
        <v>111</v>
      </c>
      <c r="BQ619" t="s">
        <v>111</v>
      </c>
      <c r="BR619" t="s">
        <v>111</v>
      </c>
      <c r="BS619" t="s">
        <v>111</v>
      </c>
      <c r="BT619" t="s">
        <v>111</v>
      </c>
      <c r="BU619" t="s">
        <v>111</v>
      </c>
      <c r="BV619" t="s">
        <v>111</v>
      </c>
      <c r="BW619" t="s">
        <v>111</v>
      </c>
      <c r="BX619" t="s">
        <v>111</v>
      </c>
      <c r="BY619" t="s">
        <v>111</v>
      </c>
      <c r="BZ619" t="s">
        <v>111</v>
      </c>
      <c r="CA619" t="s">
        <v>111</v>
      </c>
      <c r="CB619" t="s">
        <v>111</v>
      </c>
      <c r="CC619" t="s">
        <v>111</v>
      </c>
      <c r="CD619" t="s">
        <v>111</v>
      </c>
      <c r="CE619" t="s">
        <v>111</v>
      </c>
      <c r="CF619" t="s">
        <v>111</v>
      </c>
      <c r="CG619" t="s">
        <v>111</v>
      </c>
      <c r="CH619" t="s">
        <v>111</v>
      </c>
      <c r="CI619" t="s">
        <v>111</v>
      </c>
      <c r="CJ619" t="s">
        <v>111</v>
      </c>
      <c r="CK619" t="s">
        <v>111</v>
      </c>
      <c r="CL619" t="s">
        <v>111</v>
      </c>
      <c r="CM619" t="s">
        <v>127</v>
      </c>
      <c r="CN619" t="s">
        <v>128</v>
      </c>
      <c r="CO619" t="s">
        <v>111</v>
      </c>
      <c r="CP619" t="s">
        <v>111</v>
      </c>
      <c r="CQ619">
        <v>0</v>
      </c>
      <c r="CR619">
        <v>500</v>
      </c>
      <c r="CS619">
        <v>50</v>
      </c>
      <c r="CT619" t="e">
        <f>-ALMACEN</f>
        <v>#NAME?</v>
      </c>
      <c r="CU619">
        <v>0</v>
      </c>
      <c r="CV619" t="s">
        <v>111</v>
      </c>
      <c r="CX619" t="s">
        <v>111</v>
      </c>
      <c r="CY619">
        <v>0</v>
      </c>
      <c r="CZ619" t="s">
        <v>111</v>
      </c>
      <c r="DA619" t="s">
        <v>111</v>
      </c>
      <c r="DB619" t="s">
        <v>111</v>
      </c>
      <c r="DC619" t="s">
        <v>111</v>
      </c>
    </row>
    <row r="620" spans="1:107">
      <c r="A620">
        <v>1914</v>
      </c>
      <c r="B620" t="s">
        <v>107</v>
      </c>
      <c r="C620" t="s">
        <v>1766</v>
      </c>
      <c r="D620" t="s">
        <v>1231</v>
      </c>
      <c r="E620" t="s">
        <v>2185</v>
      </c>
      <c r="F620" t="s">
        <v>739</v>
      </c>
      <c r="G620" t="s">
        <v>469</v>
      </c>
      <c r="H620">
        <v>1.8</v>
      </c>
      <c r="I620">
        <v>43</v>
      </c>
      <c r="J620">
        <v>0</v>
      </c>
      <c r="K620">
        <v>0</v>
      </c>
      <c r="L620" t="s">
        <v>112</v>
      </c>
      <c r="M620" t="s">
        <v>118</v>
      </c>
      <c r="N620">
        <v>39</v>
      </c>
      <c r="O620">
        <v>2</v>
      </c>
      <c r="P620" t="s">
        <v>111</v>
      </c>
      <c r="Q620">
        <v>34.1</v>
      </c>
      <c r="R620">
        <v>0</v>
      </c>
      <c r="S620">
        <v>0</v>
      </c>
      <c r="T620">
        <v>5</v>
      </c>
      <c r="U620" s="1" t="s">
        <v>2186</v>
      </c>
      <c r="V620">
        <v>0</v>
      </c>
      <c r="W620">
        <v>25</v>
      </c>
      <c r="X620">
        <v>8</v>
      </c>
      <c r="Y620">
        <v>0</v>
      </c>
      <c r="Z620" t="s">
        <v>288</v>
      </c>
      <c r="AA620">
        <v>1.5</v>
      </c>
      <c r="AB620" t="s">
        <v>1346</v>
      </c>
      <c r="AC620">
        <v>0.7</v>
      </c>
      <c r="AD620" t="s">
        <v>416</v>
      </c>
      <c r="AE620">
        <v>0</v>
      </c>
      <c r="AF620">
        <v>0</v>
      </c>
      <c r="AG620" t="s">
        <v>111</v>
      </c>
      <c r="AH620" t="s">
        <v>111</v>
      </c>
      <c r="AI620" t="s">
        <v>111</v>
      </c>
      <c r="AJ620" t="s">
        <v>111</v>
      </c>
      <c r="AK620" t="s">
        <v>111</v>
      </c>
      <c r="AL620" t="s">
        <v>111</v>
      </c>
      <c r="AM620">
        <v>0</v>
      </c>
      <c r="AN620">
        <v>0</v>
      </c>
      <c r="AO620">
        <v>0</v>
      </c>
      <c r="AP620" t="s">
        <v>111</v>
      </c>
      <c r="AQ620" t="s">
        <v>111</v>
      </c>
      <c r="AR620" t="s">
        <v>111</v>
      </c>
      <c r="AS620" t="s">
        <v>111</v>
      </c>
      <c r="AT620" t="s">
        <v>111</v>
      </c>
      <c r="AU620" t="s">
        <v>111</v>
      </c>
      <c r="AV620" t="s">
        <v>111</v>
      </c>
      <c r="AW620" t="s">
        <v>111</v>
      </c>
      <c r="AX620" t="s">
        <v>111</v>
      </c>
      <c r="AY620" t="s">
        <v>111</v>
      </c>
      <c r="AZ620" t="s">
        <v>111</v>
      </c>
      <c r="BA620" t="s">
        <v>111</v>
      </c>
      <c r="BB620" t="s">
        <v>111</v>
      </c>
      <c r="BC620" t="s">
        <v>111</v>
      </c>
      <c r="BD620" t="s">
        <v>111</v>
      </c>
      <c r="BE620" t="s">
        <v>111</v>
      </c>
      <c r="BF620" t="s">
        <v>111</v>
      </c>
      <c r="BG620" t="s">
        <v>111</v>
      </c>
      <c r="BH620" t="s">
        <v>111</v>
      </c>
      <c r="BI620" t="s">
        <v>111</v>
      </c>
      <c r="BJ620" t="s">
        <v>111</v>
      </c>
      <c r="BK620" t="s">
        <v>111</v>
      </c>
      <c r="BL620" t="s">
        <v>111</v>
      </c>
      <c r="BM620" t="s">
        <v>111</v>
      </c>
      <c r="BN620" t="s">
        <v>111</v>
      </c>
      <c r="BO620" t="s">
        <v>111</v>
      </c>
      <c r="BP620" t="s">
        <v>111</v>
      </c>
      <c r="BQ620" t="s">
        <v>111</v>
      </c>
      <c r="BR620" t="s">
        <v>111</v>
      </c>
      <c r="BS620" t="s">
        <v>111</v>
      </c>
      <c r="BT620" t="s">
        <v>111</v>
      </c>
      <c r="BU620" t="s">
        <v>111</v>
      </c>
      <c r="BV620" t="s">
        <v>111</v>
      </c>
      <c r="BW620" t="s">
        <v>111</v>
      </c>
      <c r="BX620" t="s">
        <v>111</v>
      </c>
      <c r="BY620" t="s">
        <v>111</v>
      </c>
      <c r="BZ620" t="s">
        <v>111</v>
      </c>
      <c r="CA620" t="s">
        <v>111</v>
      </c>
      <c r="CB620" t="s">
        <v>111</v>
      </c>
      <c r="CC620" t="s">
        <v>111</v>
      </c>
      <c r="CD620" t="s">
        <v>111</v>
      </c>
      <c r="CE620" t="s">
        <v>111</v>
      </c>
      <c r="CF620" t="s">
        <v>111</v>
      </c>
      <c r="CG620" t="s">
        <v>111</v>
      </c>
      <c r="CH620" t="s">
        <v>111</v>
      </c>
      <c r="CI620" t="s">
        <v>111</v>
      </c>
      <c r="CJ620" t="s">
        <v>111</v>
      </c>
      <c r="CK620" t="s">
        <v>111</v>
      </c>
      <c r="CL620" t="s">
        <v>111</v>
      </c>
      <c r="CM620" t="s">
        <v>135</v>
      </c>
      <c r="CN620" t="s">
        <v>113</v>
      </c>
      <c r="CO620" t="s">
        <v>367</v>
      </c>
      <c r="CP620" t="s">
        <v>111</v>
      </c>
      <c r="CQ620">
        <v>0</v>
      </c>
      <c r="CR620">
        <v>1000</v>
      </c>
      <c r="CS620">
        <v>50</v>
      </c>
      <c r="CT620" t="e">
        <f>-BIEN EMPACADAS PARA TROQUELAR</f>
        <v>#NAME?</v>
      </c>
      <c r="CU620">
        <v>0</v>
      </c>
      <c r="CV620" t="s">
        <v>111</v>
      </c>
      <c r="CX620" t="s">
        <v>111</v>
      </c>
      <c r="CY620">
        <v>0</v>
      </c>
      <c r="CZ620" t="s">
        <v>111</v>
      </c>
      <c r="DA620" t="s">
        <v>111</v>
      </c>
      <c r="DB620" t="e">
        <f>-INTERNO</f>
        <v>#NAME?</v>
      </c>
      <c r="DC620" t="e">
        <f>-TROQUEL RIÑON</f>
        <v>#NAME?</v>
      </c>
    </row>
    <row r="621" spans="1:107">
      <c r="A621">
        <v>198</v>
      </c>
      <c r="B621" t="s">
        <v>107</v>
      </c>
      <c r="C621" t="s">
        <v>1176</v>
      </c>
      <c r="D621" t="s">
        <v>2187</v>
      </c>
      <c r="E621" t="s">
        <v>2188</v>
      </c>
      <c r="F621" t="s">
        <v>192</v>
      </c>
      <c r="G621" t="s">
        <v>469</v>
      </c>
      <c r="H621">
        <v>1.5</v>
      </c>
      <c r="I621">
        <v>75</v>
      </c>
      <c r="J621">
        <v>0</v>
      </c>
      <c r="K621">
        <v>0</v>
      </c>
      <c r="L621" t="s">
        <v>112</v>
      </c>
      <c r="M621" t="s">
        <v>138</v>
      </c>
      <c r="N621">
        <v>0</v>
      </c>
      <c r="O621">
        <v>0</v>
      </c>
      <c r="P621" t="s">
        <v>138</v>
      </c>
      <c r="Q621">
        <v>45.8</v>
      </c>
      <c r="R621">
        <v>0</v>
      </c>
      <c r="S621">
        <v>0</v>
      </c>
      <c r="T621">
        <v>5</v>
      </c>
      <c r="U621" t="s">
        <v>153</v>
      </c>
      <c r="V621">
        <v>0</v>
      </c>
      <c r="W621">
        <v>25</v>
      </c>
      <c r="X621">
        <v>6</v>
      </c>
      <c r="Y621">
        <v>0</v>
      </c>
      <c r="Z621" t="s">
        <v>111</v>
      </c>
      <c r="AA621">
        <v>0</v>
      </c>
      <c r="AB621" t="s">
        <v>111</v>
      </c>
      <c r="AC621">
        <v>0</v>
      </c>
      <c r="AD621" t="s">
        <v>111</v>
      </c>
      <c r="AE621">
        <v>0</v>
      </c>
      <c r="AF621">
        <v>0</v>
      </c>
      <c r="AG621" t="s">
        <v>111</v>
      </c>
      <c r="AH621" t="s">
        <v>111</v>
      </c>
      <c r="AI621" t="s">
        <v>111</v>
      </c>
      <c r="AJ621" t="s">
        <v>111</v>
      </c>
      <c r="AK621" t="s">
        <v>111</v>
      </c>
      <c r="AL621" t="s">
        <v>111</v>
      </c>
      <c r="AM621">
        <v>0</v>
      </c>
      <c r="AN621">
        <v>0</v>
      </c>
      <c r="AO621">
        <v>0</v>
      </c>
      <c r="AP621" t="s">
        <v>111</v>
      </c>
      <c r="AQ621" t="s">
        <v>111</v>
      </c>
      <c r="AR621" t="s">
        <v>111</v>
      </c>
      <c r="AS621" t="s">
        <v>111</v>
      </c>
      <c r="AT621" t="s">
        <v>111</v>
      </c>
      <c r="AU621" t="s">
        <v>111</v>
      </c>
      <c r="AV621" t="s">
        <v>111</v>
      </c>
      <c r="AW621" t="s">
        <v>111</v>
      </c>
      <c r="AX621" t="s">
        <v>111</v>
      </c>
      <c r="AY621" t="s">
        <v>111</v>
      </c>
      <c r="AZ621" t="s">
        <v>111</v>
      </c>
      <c r="BA621" t="s">
        <v>111</v>
      </c>
      <c r="BB621" t="s">
        <v>111</v>
      </c>
      <c r="BC621" t="s">
        <v>111</v>
      </c>
      <c r="BD621" t="s">
        <v>111</v>
      </c>
      <c r="BE621" t="s">
        <v>111</v>
      </c>
      <c r="BF621" t="s">
        <v>111</v>
      </c>
      <c r="BG621" t="s">
        <v>111</v>
      </c>
      <c r="BH621" t="s">
        <v>111</v>
      </c>
      <c r="BI621" t="s">
        <v>111</v>
      </c>
      <c r="BJ621" t="s">
        <v>111</v>
      </c>
      <c r="BK621" t="s">
        <v>111</v>
      </c>
      <c r="BL621" t="s">
        <v>111</v>
      </c>
      <c r="BM621" t="s">
        <v>111</v>
      </c>
      <c r="BN621" t="s">
        <v>111</v>
      </c>
      <c r="BO621" t="s">
        <v>111</v>
      </c>
      <c r="BP621" t="s">
        <v>111</v>
      </c>
      <c r="BQ621" t="s">
        <v>111</v>
      </c>
      <c r="BR621" t="s">
        <v>111</v>
      </c>
      <c r="BS621" t="s">
        <v>111</v>
      </c>
      <c r="BT621" t="s">
        <v>111</v>
      </c>
      <c r="BU621" t="s">
        <v>111</v>
      </c>
      <c r="BV621" t="s">
        <v>111</v>
      </c>
      <c r="BW621" t="s">
        <v>111</v>
      </c>
      <c r="BX621" t="s">
        <v>111</v>
      </c>
      <c r="BY621" t="s">
        <v>111</v>
      </c>
      <c r="BZ621" t="s">
        <v>111</v>
      </c>
      <c r="CA621" t="s">
        <v>111</v>
      </c>
      <c r="CB621" t="s">
        <v>111</v>
      </c>
      <c r="CC621" t="s">
        <v>111</v>
      </c>
      <c r="CD621" t="s">
        <v>111</v>
      </c>
      <c r="CE621" t="s">
        <v>111</v>
      </c>
      <c r="CF621" t="s">
        <v>111</v>
      </c>
      <c r="CG621" t="s">
        <v>111</v>
      </c>
      <c r="CH621" t="s">
        <v>111</v>
      </c>
      <c r="CI621" t="s">
        <v>111</v>
      </c>
      <c r="CJ621" t="s">
        <v>111</v>
      </c>
      <c r="CK621" t="s">
        <v>111</v>
      </c>
      <c r="CL621" t="s">
        <v>111</v>
      </c>
      <c r="CM621" t="s">
        <v>198</v>
      </c>
      <c r="CN621" t="s">
        <v>113</v>
      </c>
      <c r="CO621" t="s">
        <v>111</v>
      </c>
      <c r="CP621" t="s">
        <v>111</v>
      </c>
      <c r="CQ621">
        <v>39</v>
      </c>
      <c r="CR621">
        <v>1000</v>
      </c>
      <c r="CS621">
        <v>50</v>
      </c>
      <c r="CT621" t="s">
        <v>168</v>
      </c>
      <c r="CU621">
        <v>0</v>
      </c>
      <c r="CV621" t="s">
        <v>111</v>
      </c>
      <c r="CW621" t="s">
        <v>111</v>
      </c>
      <c r="CX621" t="s">
        <v>111</v>
      </c>
      <c r="CY621">
        <v>0</v>
      </c>
      <c r="CZ621" t="s">
        <v>111</v>
      </c>
      <c r="DA621" t="s">
        <v>111</v>
      </c>
      <c r="DB621" t="s">
        <v>111</v>
      </c>
      <c r="DC621" t="s">
        <v>111</v>
      </c>
    </row>
    <row r="622" spans="1:107">
      <c r="A622">
        <v>212</v>
      </c>
      <c r="B622" t="s">
        <v>107</v>
      </c>
      <c r="C622" t="s">
        <v>428</v>
      </c>
      <c r="D622" t="s">
        <v>2189</v>
      </c>
      <c r="E622" t="s">
        <v>2190</v>
      </c>
      <c r="F622" t="s">
        <v>192</v>
      </c>
      <c r="G622" t="s">
        <v>469</v>
      </c>
      <c r="H622">
        <v>1.2</v>
      </c>
      <c r="I622">
        <v>50</v>
      </c>
      <c r="J622">
        <v>0</v>
      </c>
      <c r="K622">
        <v>0</v>
      </c>
      <c r="L622" t="s">
        <v>112</v>
      </c>
      <c r="M622" t="s">
        <v>138</v>
      </c>
      <c r="N622">
        <v>0</v>
      </c>
      <c r="O622">
        <v>0</v>
      </c>
      <c r="P622" t="s">
        <v>138</v>
      </c>
      <c r="Q622">
        <v>40</v>
      </c>
      <c r="R622">
        <v>0</v>
      </c>
      <c r="S622">
        <v>0</v>
      </c>
      <c r="T622">
        <v>3</v>
      </c>
      <c r="U622" s="1" t="s">
        <v>2191</v>
      </c>
      <c r="V622">
        <v>0</v>
      </c>
      <c r="W622">
        <v>25</v>
      </c>
      <c r="X622">
        <v>6</v>
      </c>
      <c r="Y622">
        <v>0</v>
      </c>
      <c r="Z622" t="s">
        <v>111</v>
      </c>
      <c r="AA622">
        <v>0</v>
      </c>
      <c r="AB622" t="s">
        <v>111</v>
      </c>
      <c r="AC622">
        <v>0</v>
      </c>
      <c r="AD622" t="s">
        <v>111</v>
      </c>
      <c r="AE622">
        <v>0</v>
      </c>
      <c r="AF622">
        <v>0</v>
      </c>
      <c r="AG622" t="s">
        <v>111</v>
      </c>
      <c r="AH622" t="s">
        <v>111</v>
      </c>
      <c r="AI622" t="s">
        <v>111</v>
      </c>
      <c r="AJ622" t="s">
        <v>111</v>
      </c>
      <c r="AK622" t="s">
        <v>111</v>
      </c>
      <c r="AL622" t="s">
        <v>111</v>
      </c>
      <c r="AM622">
        <v>0</v>
      </c>
      <c r="AN622">
        <v>0</v>
      </c>
      <c r="AO622">
        <v>0</v>
      </c>
      <c r="AP622" t="s">
        <v>111</v>
      </c>
      <c r="AQ622" t="s">
        <v>111</v>
      </c>
      <c r="AR622" t="s">
        <v>111</v>
      </c>
      <c r="AS622" t="s">
        <v>111</v>
      </c>
      <c r="AT622" t="s">
        <v>111</v>
      </c>
      <c r="AU622" t="s">
        <v>111</v>
      </c>
      <c r="AV622" t="s">
        <v>111</v>
      </c>
      <c r="AW622" t="s">
        <v>111</v>
      </c>
      <c r="AX622" t="s">
        <v>111</v>
      </c>
      <c r="AY622" t="s">
        <v>111</v>
      </c>
      <c r="AZ622" t="s">
        <v>111</v>
      </c>
      <c r="BA622" t="s">
        <v>111</v>
      </c>
      <c r="BB622" t="s">
        <v>111</v>
      </c>
      <c r="BC622" t="s">
        <v>111</v>
      </c>
      <c r="BD622" t="s">
        <v>111</v>
      </c>
      <c r="BE622" t="s">
        <v>111</v>
      </c>
      <c r="BF622" t="s">
        <v>111</v>
      </c>
      <c r="BG622" t="s">
        <v>111</v>
      </c>
      <c r="BH622" t="s">
        <v>111</v>
      </c>
      <c r="BI622" t="s">
        <v>111</v>
      </c>
      <c r="BJ622" t="s">
        <v>111</v>
      </c>
      <c r="BK622" t="s">
        <v>111</v>
      </c>
      <c r="BL622" t="s">
        <v>111</v>
      </c>
      <c r="BM622" t="s">
        <v>111</v>
      </c>
      <c r="BN622" t="s">
        <v>111</v>
      </c>
      <c r="BO622" t="s">
        <v>111</v>
      </c>
      <c r="BP622" t="s">
        <v>111</v>
      </c>
      <c r="BQ622" t="s">
        <v>111</v>
      </c>
      <c r="BR622" t="s">
        <v>111</v>
      </c>
      <c r="BS622" t="s">
        <v>111</v>
      </c>
      <c r="BT622" t="s">
        <v>111</v>
      </c>
      <c r="BU622" t="s">
        <v>111</v>
      </c>
      <c r="BV622" t="s">
        <v>111</v>
      </c>
      <c r="BW622" t="s">
        <v>111</v>
      </c>
      <c r="BX622" t="s">
        <v>111</v>
      </c>
      <c r="BY622" t="s">
        <v>111</v>
      </c>
      <c r="BZ622" t="s">
        <v>111</v>
      </c>
      <c r="CA622" t="s">
        <v>111</v>
      </c>
      <c r="CB622" t="s">
        <v>111</v>
      </c>
      <c r="CC622" t="s">
        <v>111</v>
      </c>
      <c r="CD622" t="s">
        <v>111</v>
      </c>
      <c r="CE622" t="s">
        <v>111</v>
      </c>
      <c r="CF622" t="s">
        <v>111</v>
      </c>
      <c r="CG622" t="s">
        <v>111</v>
      </c>
      <c r="CH622" t="s">
        <v>111</v>
      </c>
      <c r="CI622" t="s">
        <v>111</v>
      </c>
      <c r="CJ622" t="s">
        <v>111</v>
      </c>
      <c r="CK622" t="s">
        <v>111</v>
      </c>
      <c r="CL622" t="s">
        <v>111</v>
      </c>
      <c r="CM622" t="s">
        <v>198</v>
      </c>
      <c r="CN622" t="s">
        <v>113</v>
      </c>
      <c r="CO622" t="s">
        <v>111</v>
      </c>
      <c r="CP622" t="s">
        <v>111</v>
      </c>
      <c r="CQ622">
        <v>0</v>
      </c>
      <c r="CR622">
        <v>3000</v>
      </c>
      <c r="CS622">
        <v>100</v>
      </c>
      <c r="CT622" t="s">
        <v>168</v>
      </c>
      <c r="CU622">
        <v>0</v>
      </c>
      <c r="CV622" t="s">
        <v>111</v>
      </c>
      <c r="CW622" t="s">
        <v>111</v>
      </c>
      <c r="CX622" t="s">
        <v>111</v>
      </c>
      <c r="CY622">
        <v>0</v>
      </c>
      <c r="CZ622" t="s">
        <v>111</v>
      </c>
      <c r="DA622" t="s">
        <v>111</v>
      </c>
      <c r="DB622" t="s">
        <v>111</v>
      </c>
      <c r="DC622" t="s">
        <v>111</v>
      </c>
    </row>
    <row r="623" spans="1:107">
      <c r="A623">
        <v>1854</v>
      </c>
      <c r="B623" t="s">
        <v>107</v>
      </c>
      <c r="C623" t="s">
        <v>144</v>
      </c>
      <c r="D623" t="s">
        <v>2192</v>
      </c>
      <c r="E623" t="s">
        <v>2193</v>
      </c>
      <c r="F623" t="s">
        <v>287</v>
      </c>
      <c r="G623" t="s">
        <v>469</v>
      </c>
      <c r="H623">
        <v>0.7</v>
      </c>
      <c r="I623">
        <v>50</v>
      </c>
      <c r="J623">
        <v>0</v>
      </c>
      <c r="K623">
        <v>0</v>
      </c>
      <c r="L623" t="s">
        <v>112</v>
      </c>
      <c r="M623" t="s">
        <v>111</v>
      </c>
      <c r="N623">
        <v>0</v>
      </c>
      <c r="O623">
        <v>0</v>
      </c>
      <c r="P623" t="s">
        <v>111</v>
      </c>
      <c r="Q623">
        <v>20</v>
      </c>
      <c r="R623">
        <v>0</v>
      </c>
      <c r="S623">
        <v>0</v>
      </c>
      <c r="T623">
        <v>5</v>
      </c>
      <c r="U623" t="e">
        <f>-SELLADO</f>
        <v>#NAME?</v>
      </c>
      <c r="V623">
        <v>25</v>
      </c>
      <c r="W623">
        <v>0</v>
      </c>
      <c r="X623">
        <v>5</v>
      </c>
      <c r="Y623">
        <v>0</v>
      </c>
      <c r="Z623" t="s">
        <v>288</v>
      </c>
      <c r="AA623">
        <v>1.5</v>
      </c>
      <c r="AB623" t="s">
        <v>111</v>
      </c>
      <c r="AC623">
        <v>0</v>
      </c>
      <c r="AD623" t="s">
        <v>111</v>
      </c>
      <c r="AE623">
        <v>0</v>
      </c>
      <c r="AF623">
        <v>0</v>
      </c>
      <c r="AG623" t="s">
        <v>111</v>
      </c>
      <c r="AH623" t="s">
        <v>111</v>
      </c>
      <c r="AI623" t="s">
        <v>111</v>
      </c>
      <c r="AJ623" t="s">
        <v>111</v>
      </c>
      <c r="AK623" t="s">
        <v>111</v>
      </c>
      <c r="AL623" t="s">
        <v>111</v>
      </c>
      <c r="AM623">
        <v>0</v>
      </c>
      <c r="AN623">
        <v>0</v>
      </c>
      <c r="AO623">
        <v>0</v>
      </c>
      <c r="AP623" t="s">
        <v>111</v>
      </c>
      <c r="AQ623" t="s">
        <v>111</v>
      </c>
      <c r="AR623" t="s">
        <v>111</v>
      </c>
      <c r="AS623" t="s">
        <v>111</v>
      </c>
      <c r="AT623" t="s">
        <v>111</v>
      </c>
      <c r="AU623" t="s">
        <v>111</v>
      </c>
      <c r="AV623" t="s">
        <v>111</v>
      </c>
      <c r="AW623" t="s">
        <v>111</v>
      </c>
      <c r="AX623" t="s">
        <v>111</v>
      </c>
      <c r="AY623" t="s">
        <v>111</v>
      </c>
      <c r="AZ623" t="s">
        <v>111</v>
      </c>
      <c r="BA623" t="s">
        <v>111</v>
      </c>
      <c r="BB623" t="s">
        <v>111</v>
      </c>
      <c r="BC623" t="s">
        <v>111</v>
      </c>
      <c r="BD623" t="s">
        <v>111</v>
      </c>
      <c r="BE623" t="s">
        <v>111</v>
      </c>
      <c r="BF623" t="s">
        <v>111</v>
      </c>
      <c r="BG623" t="s">
        <v>111</v>
      </c>
      <c r="BH623" t="s">
        <v>111</v>
      </c>
      <c r="BI623" t="s">
        <v>111</v>
      </c>
      <c r="BJ623" t="s">
        <v>111</v>
      </c>
      <c r="BK623" t="s">
        <v>111</v>
      </c>
      <c r="BL623" t="s">
        <v>111</v>
      </c>
      <c r="BM623" t="s">
        <v>111</v>
      </c>
      <c r="BN623" t="s">
        <v>111</v>
      </c>
      <c r="BO623" t="s">
        <v>111</v>
      </c>
      <c r="BP623" t="s">
        <v>111</v>
      </c>
      <c r="BQ623" t="s">
        <v>111</v>
      </c>
      <c r="BR623" t="s">
        <v>111</v>
      </c>
      <c r="BS623" t="s">
        <v>111</v>
      </c>
      <c r="BT623" t="s">
        <v>111</v>
      </c>
      <c r="BU623" t="s">
        <v>111</v>
      </c>
      <c r="BV623" t="s">
        <v>111</v>
      </c>
      <c r="BW623" t="s">
        <v>111</v>
      </c>
      <c r="BX623" t="s">
        <v>111</v>
      </c>
      <c r="BY623" t="s">
        <v>111</v>
      </c>
      <c r="BZ623" t="s">
        <v>111</v>
      </c>
      <c r="CA623" t="s">
        <v>111</v>
      </c>
      <c r="CB623" t="s">
        <v>111</v>
      </c>
      <c r="CC623" t="s">
        <v>111</v>
      </c>
      <c r="CD623" t="s">
        <v>111</v>
      </c>
      <c r="CE623" t="s">
        <v>111</v>
      </c>
      <c r="CF623" t="s">
        <v>111</v>
      </c>
      <c r="CG623" t="s">
        <v>111</v>
      </c>
      <c r="CH623" t="s">
        <v>111</v>
      </c>
      <c r="CI623" t="s">
        <v>111</v>
      </c>
      <c r="CJ623" t="s">
        <v>111</v>
      </c>
      <c r="CK623" t="s">
        <v>111</v>
      </c>
      <c r="CL623" t="s">
        <v>111</v>
      </c>
      <c r="CM623" t="s">
        <v>438</v>
      </c>
      <c r="CN623" t="s">
        <v>113</v>
      </c>
      <c r="CO623" t="s">
        <v>111</v>
      </c>
      <c r="CP623" t="s">
        <v>111</v>
      </c>
      <c r="CQ623">
        <v>0</v>
      </c>
      <c r="CR623">
        <v>300</v>
      </c>
      <c r="CS623">
        <v>100</v>
      </c>
      <c r="CT623" t="e">
        <f>-CANTIDAD EXACTA</f>
        <v>#NAME?</v>
      </c>
      <c r="CU623">
        <v>0</v>
      </c>
      <c r="CV623" t="s">
        <v>111</v>
      </c>
      <c r="CX623" t="s">
        <v>111</v>
      </c>
      <c r="CY623">
        <v>0</v>
      </c>
      <c r="CZ623" t="s">
        <v>111</v>
      </c>
      <c r="DA623" t="s">
        <v>111</v>
      </c>
      <c r="DB623" t="s">
        <v>111</v>
      </c>
      <c r="DC623" t="s">
        <v>111</v>
      </c>
    </row>
    <row r="624" spans="1:107">
      <c r="A624">
        <v>1920</v>
      </c>
      <c r="B624" t="s">
        <v>107</v>
      </c>
      <c r="C624" t="s">
        <v>336</v>
      </c>
      <c r="D624" t="s">
        <v>1824</v>
      </c>
      <c r="E624" t="s">
        <v>2194</v>
      </c>
      <c r="F624" t="s">
        <v>125</v>
      </c>
      <c r="G624" t="s">
        <v>469</v>
      </c>
      <c r="H624">
        <v>2</v>
      </c>
      <c r="I624">
        <v>51</v>
      </c>
      <c r="J624">
        <v>0</v>
      </c>
      <c r="K624">
        <v>0</v>
      </c>
      <c r="L624" t="s">
        <v>112</v>
      </c>
      <c r="M624" t="s">
        <v>111</v>
      </c>
      <c r="N624">
        <v>0</v>
      </c>
      <c r="O624">
        <v>0</v>
      </c>
      <c r="P624" t="s">
        <v>111</v>
      </c>
      <c r="Q624">
        <v>36.1</v>
      </c>
      <c r="R624">
        <v>0</v>
      </c>
      <c r="S624">
        <v>0</v>
      </c>
      <c r="T624">
        <v>5</v>
      </c>
      <c r="U624" t="e">
        <f>-MANUALES</f>
        <v>#NAME?</v>
      </c>
      <c r="V624">
        <v>25</v>
      </c>
      <c r="W624">
        <v>0</v>
      </c>
      <c r="X624">
        <v>8</v>
      </c>
      <c r="Y624">
        <v>0</v>
      </c>
      <c r="Z624" t="s">
        <v>2195</v>
      </c>
      <c r="AA624">
        <v>25</v>
      </c>
      <c r="AB624" t="s">
        <v>387</v>
      </c>
      <c r="AC624">
        <v>25</v>
      </c>
      <c r="AD624" t="s">
        <v>111</v>
      </c>
      <c r="AE624">
        <v>0</v>
      </c>
      <c r="AF624">
        <v>0</v>
      </c>
      <c r="AG624" t="s">
        <v>111</v>
      </c>
      <c r="AH624" t="s">
        <v>111</v>
      </c>
      <c r="AI624" t="s">
        <v>111</v>
      </c>
      <c r="AJ624" t="s">
        <v>111</v>
      </c>
      <c r="AK624" t="s">
        <v>111</v>
      </c>
      <c r="AL624" t="s">
        <v>111</v>
      </c>
      <c r="AM624">
        <v>0</v>
      </c>
      <c r="AN624">
        <v>0</v>
      </c>
      <c r="AO624">
        <v>0</v>
      </c>
      <c r="AP624" t="s">
        <v>111</v>
      </c>
      <c r="AQ624" t="s">
        <v>111</v>
      </c>
      <c r="AR624" t="s">
        <v>111</v>
      </c>
      <c r="AS624" t="s">
        <v>111</v>
      </c>
      <c r="AT624" t="s">
        <v>111</v>
      </c>
      <c r="AU624" t="s">
        <v>111</v>
      </c>
      <c r="AV624" t="s">
        <v>111</v>
      </c>
      <c r="AW624" t="s">
        <v>111</v>
      </c>
      <c r="AX624" t="s">
        <v>111</v>
      </c>
      <c r="AY624" t="s">
        <v>111</v>
      </c>
      <c r="AZ624" t="s">
        <v>111</v>
      </c>
      <c r="BA624" t="s">
        <v>111</v>
      </c>
      <c r="BB624" t="s">
        <v>111</v>
      </c>
      <c r="BC624" t="s">
        <v>111</v>
      </c>
      <c r="BD624" t="s">
        <v>111</v>
      </c>
      <c r="BE624" t="s">
        <v>111</v>
      </c>
      <c r="BF624" t="s">
        <v>111</v>
      </c>
      <c r="BG624" t="s">
        <v>111</v>
      </c>
      <c r="BH624" t="s">
        <v>111</v>
      </c>
      <c r="BI624" t="s">
        <v>111</v>
      </c>
      <c r="BJ624" t="s">
        <v>111</v>
      </c>
      <c r="BK624" t="s">
        <v>111</v>
      </c>
      <c r="BL624" t="s">
        <v>111</v>
      </c>
      <c r="BM624" t="s">
        <v>111</v>
      </c>
      <c r="BN624" t="s">
        <v>111</v>
      </c>
      <c r="BO624" t="s">
        <v>111</v>
      </c>
      <c r="BP624" t="s">
        <v>111</v>
      </c>
      <c r="BQ624" t="s">
        <v>111</v>
      </c>
      <c r="BR624" t="s">
        <v>111</v>
      </c>
      <c r="BS624" t="s">
        <v>111</v>
      </c>
      <c r="BT624" t="s">
        <v>111</v>
      </c>
      <c r="BU624" t="s">
        <v>111</v>
      </c>
      <c r="BV624" t="s">
        <v>111</v>
      </c>
      <c r="BW624" t="s">
        <v>111</v>
      </c>
      <c r="BX624" t="s">
        <v>111</v>
      </c>
      <c r="BY624" t="s">
        <v>111</v>
      </c>
      <c r="BZ624" t="s">
        <v>111</v>
      </c>
      <c r="CA624" t="s">
        <v>111</v>
      </c>
      <c r="CB624" t="s">
        <v>111</v>
      </c>
      <c r="CC624" t="s">
        <v>111</v>
      </c>
      <c r="CD624" t="s">
        <v>111</v>
      </c>
      <c r="CE624" t="s">
        <v>111</v>
      </c>
      <c r="CF624" t="s">
        <v>111</v>
      </c>
      <c r="CG624" t="s">
        <v>111</v>
      </c>
      <c r="CH624" t="s">
        <v>111</v>
      </c>
      <c r="CI624" t="s">
        <v>111</v>
      </c>
      <c r="CJ624" t="s">
        <v>111</v>
      </c>
      <c r="CK624" t="s">
        <v>111</v>
      </c>
      <c r="CL624" t="s">
        <v>111</v>
      </c>
      <c r="CM624" t="s">
        <v>111</v>
      </c>
      <c r="CN624" t="s">
        <v>111</v>
      </c>
      <c r="CO624" t="s">
        <v>111</v>
      </c>
      <c r="CP624" t="s">
        <v>111</v>
      </c>
      <c r="CQ624">
        <v>0</v>
      </c>
      <c r="CR624">
        <v>300</v>
      </c>
      <c r="CS624">
        <v>200</v>
      </c>
      <c r="CT624" t="s">
        <v>111</v>
      </c>
      <c r="CU624">
        <v>0</v>
      </c>
      <c r="CV624" t="s">
        <v>111</v>
      </c>
      <c r="CX624" t="s">
        <v>111</v>
      </c>
      <c r="CY624">
        <v>0</v>
      </c>
      <c r="CZ624" t="s">
        <v>111</v>
      </c>
      <c r="DA624" t="s">
        <v>111</v>
      </c>
      <c r="DB624" t="e">
        <f>-INTERNO</f>
        <v>#NAME?</v>
      </c>
      <c r="DC624" t="e">
        <f>-CORTE Y SELLE</f>
        <v>#NAME?</v>
      </c>
    </row>
    <row r="625" spans="1:107">
      <c r="A625">
        <v>1852</v>
      </c>
      <c r="B625" t="s">
        <v>107</v>
      </c>
      <c r="C625" t="s">
        <v>144</v>
      </c>
      <c r="D625" t="s">
        <v>2196</v>
      </c>
      <c r="E625" t="s">
        <v>2197</v>
      </c>
      <c r="F625" t="s">
        <v>759</v>
      </c>
      <c r="G625" t="s">
        <v>469</v>
      </c>
      <c r="H625">
        <v>0.8</v>
      </c>
      <c r="I625">
        <v>65</v>
      </c>
      <c r="J625">
        <v>0</v>
      </c>
      <c r="K625">
        <v>0</v>
      </c>
      <c r="L625" t="s">
        <v>112</v>
      </c>
      <c r="M625" t="s">
        <v>111</v>
      </c>
      <c r="N625">
        <v>0</v>
      </c>
      <c r="O625">
        <v>0</v>
      </c>
      <c r="P625" t="s">
        <v>111</v>
      </c>
      <c r="Q625">
        <v>15</v>
      </c>
      <c r="R625">
        <v>0</v>
      </c>
      <c r="S625">
        <v>0</v>
      </c>
      <c r="T625">
        <v>5</v>
      </c>
      <c r="U625" t="e">
        <f>-SELADO</f>
        <v>#NAME?</v>
      </c>
      <c r="V625">
        <v>25</v>
      </c>
      <c r="W625">
        <v>0</v>
      </c>
      <c r="X625">
        <v>5</v>
      </c>
      <c r="Y625">
        <v>0</v>
      </c>
      <c r="Z625" t="s">
        <v>188</v>
      </c>
      <c r="AA625">
        <v>1.5</v>
      </c>
      <c r="AB625" t="s">
        <v>111</v>
      </c>
      <c r="AC625">
        <v>0</v>
      </c>
      <c r="AD625" t="s">
        <v>111</v>
      </c>
      <c r="AE625">
        <v>0</v>
      </c>
      <c r="AF625">
        <v>0</v>
      </c>
      <c r="AG625" t="s">
        <v>111</v>
      </c>
      <c r="AH625" t="s">
        <v>111</v>
      </c>
      <c r="AI625" t="s">
        <v>111</v>
      </c>
      <c r="AJ625" t="s">
        <v>111</v>
      </c>
      <c r="AK625" t="s">
        <v>111</v>
      </c>
      <c r="AL625" t="s">
        <v>111</v>
      </c>
      <c r="AM625">
        <v>0</v>
      </c>
      <c r="AN625">
        <v>0</v>
      </c>
      <c r="AO625">
        <v>0</v>
      </c>
      <c r="AP625" t="s">
        <v>111</v>
      </c>
      <c r="AQ625" t="s">
        <v>111</v>
      </c>
      <c r="AR625" t="s">
        <v>111</v>
      </c>
      <c r="AS625" t="s">
        <v>111</v>
      </c>
      <c r="AT625" t="s">
        <v>111</v>
      </c>
      <c r="AU625" t="s">
        <v>111</v>
      </c>
      <c r="AV625" t="s">
        <v>111</v>
      </c>
      <c r="AW625" t="s">
        <v>111</v>
      </c>
      <c r="AX625" t="s">
        <v>111</v>
      </c>
      <c r="AY625" t="s">
        <v>111</v>
      </c>
      <c r="AZ625" t="s">
        <v>111</v>
      </c>
      <c r="BA625" t="s">
        <v>111</v>
      </c>
      <c r="BB625" t="s">
        <v>111</v>
      </c>
      <c r="BC625" t="s">
        <v>111</v>
      </c>
      <c r="BD625" t="s">
        <v>111</v>
      </c>
      <c r="BE625" t="s">
        <v>111</v>
      </c>
      <c r="BF625" t="s">
        <v>111</v>
      </c>
      <c r="BG625" t="s">
        <v>111</v>
      </c>
      <c r="BH625" t="s">
        <v>111</v>
      </c>
      <c r="BI625" t="s">
        <v>111</v>
      </c>
      <c r="BJ625" t="s">
        <v>111</v>
      </c>
      <c r="BK625" t="s">
        <v>111</v>
      </c>
      <c r="BL625" t="s">
        <v>111</v>
      </c>
      <c r="BM625" t="s">
        <v>111</v>
      </c>
      <c r="BN625" t="s">
        <v>111</v>
      </c>
      <c r="BO625" t="s">
        <v>111</v>
      </c>
      <c r="BP625" t="s">
        <v>111</v>
      </c>
      <c r="BQ625" t="s">
        <v>111</v>
      </c>
      <c r="BR625" t="s">
        <v>111</v>
      </c>
      <c r="BS625" t="s">
        <v>111</v>
      </c>
      <c r="BT625" t="s">
        <v>111</v>
      </c>
      <c r="BU625" t="s">
        <v>111</v>
      </c>
      <c r="BV625" t="s">
        <v>111</v>
      </c>
      <c r="BW625" t="s">
        <v>111</v>
      </c>
      <c r="BX625" t="s">
        <v>111</v>
      </c>
      <c r="BY625" t="s">
        <v>111</v>
      </c>
      <c r="BZ625" t="s">
        <v>111</v>
      </c>
      <c r="CA625" t="s">
        <v>111</v>
      </c>
      <c r="CB625" t="s">
        <v>111</v>
      </c>
      <c r="CC625" t="s">
        <v>111</v>
      </c>
      <c r="CD625" t="s">
        <v>111</v>
      </c>
      <c r="CE625" t="s">
        <v>111</v>
      </c>
      <c r="CF625" t="s">
        <v>111</v>
      </c>
      <c r="CG625" t="s">
        <v>111</v>
      </c>
      <c r="CH625" t="s">
        <v>111</v>
      </c>
      <c r="CI625" t="s">
        <v>111</v>
      </c>
      <c r="CJ625" t="s">
        <v>111</v>
      </c>
      <c r="CK625" t="s">
        <v>111</v>
      </c>
      <c r="CL625" t="s">
        <v>111</v>
      </c>
      <c r="CM625" t="s">
        <v>135</v>
      </c>
      <c r="CN625" t="s">
        <v>128</v>
      </c>
      <c r="CO625" t="s">
        <v>111</v>
      </c>
      <c r="CP625" t="s">
        <v>111</v>
      </c>
      <c r="CQ625">
        <v>0</v>
      </c>
      <c r="CR625">
        <v>300</v>
      </c>
      <c r="CS625">
        <v>50</v>
      </c>
      <c r="CT625" t="e">
        <f>-CANTIDAD EXACTA</f>
        <v>#NAME?</v>
      </c>
      <c r="CU625">
        <v>0</v>
      </c>
      <c r="CV625" t="s">
        <v>111</v>
      </c>
      <c r="CX625" t="s">
        <v>111</v>
      </c>
      <c r="CY625">
        <v>0</v>
      </c>
      <c r="CZ625" t="s">
        <v>111</v>
      </c>
      <c r="DA625" t="s">
        <v>111</v>
      </c>
      <c r="DB625" t="s">
        <v>111</v>
      </c>
      <c r="DC625" t="s">
        <v>111</v>
      </c>
    </row>
    <row r="626" spans="1:107">
      <c r="A626">
        <v>1874</v>
      </c>
      <c r="B626" t="s">
        <v>107</v>
      </c>
      <c r="C626" t="s">
        <v>399</v>
      </c>
      <c r="D626" t="s">
        <v>2198</v>
      </c>
      <c r="E626" t="s">
        <v>2199</v>
      </c>
      <c r="F626" t="s">
        <v>270</v>
      </c>
      <c r="G626" t="s">
        <v>469</v>
      </c>
      <c r="H626">
        <v>0.75</v>
      </c>
      <c r="I626">
        <v>70</v>
      </c>
      <c r="J626">
        <v>0</v>
      </c>
      <c r="K626">
        <v>0</v>
      </c>
      <c r="L626" t="s">
        <v>178</v>
      </c>
      <c r="M626" t="s">
        <v>111</v>
      </c>
      <c r="N626">
        <v>0</v>
      </c>
      <c r="O626">
        <v>0</v>
      </c>
      <c r="P626" t="s">
        <v>111</v>
      </c>
      <c r="Q626">
        <v>44</v>
      </c>
      <c r="R626">
        <v>0</v>
      </c>
      <c r="S626">
        <v>0</v>
      </c>
      <c r="T626">
        <v>5</v>
      </c>
      <c r="U626" t="e">
        <f>-MANUALES</f>
        <v>#NAME?</v>
      </c>
      <c r="V626">
        <v>250</v>
      </c>
      <c r="W626">
        <v>0</v>
      </c>
      <c r="X626">
        <v>7</v>
      </c>
      <c r="Y626">
        <v>0</v>
      </c>
      <c r="Z626" t="s">
        <v>271</v>
      </c>
      <c r="AA626">
        <v>1.5</v>
      </c>
      <c r="AB626" t="s">
        <v>111</v>
      </c>
      <c r="AC626">
        <v>0</v>
      </c>
      <c r="AD626" t="s">
        <v>111</v>
      </c>
      <c r="AE626">
        <v>0</v>
      </c>
      <c r="AF626">
        <v>0</v>
      </c>
      <c r="AG626" t="s">
        <v>111</v>
      </c>
      <c r="AH626" t="s">
        <v>111</v>
      </c>
      <c r="AI626" t="s">
        <v>111</v>
      </c>
      <c r="AJ626" t="s">
        <v>111</v>
      </c>
      <c r="AK626" t="s">
        <v>111</v>
      </c>
      <c r="AL626" t="s">
        <v>111</v>
      </c>
      <c r="AM626">
        <v>0</v>
      </c>
      <c r="AN626">
        <v>0</v>
      </c>
      <c r="AO626">
        <v>0</v>
      </c>
      <c r="AP626" t="s">
        <v>111</v>
      </c>
      <c r="AQ626" t="s">
        <v>111</v>
      </c>
      <c r="AR626" t="s">
        <v>111</v>
      </c>
      <c r="AS626" t="s">
        <v>111</v>
      </c>
      <c r="AT626" t="s">
        <v>111</v>
      </c>
      <c r="AU626" t="s">
        <v>111</v>
      </c>
      <c r="AV626" t="s">
        <v>111</v>
      </c>
      <c r="AW626" t="s">
        <v>111</v>
      </c>
      <c r="AX626" t="s">
        <v>111</v>
      </c>
      <c r="AY626" t="s">
        <v>111</v>
      </c>
      <c r="AZ626" t="s">
        <v>111</v>
      </c>
      <c r="BA626" t="s">
        <v>111</v>
      </c>
      <c r="BB626" t="s">
        <v>111</v>
      </c>
      <c r="BC626" t="s">
        <v>111</v>
      </c>
      <c r="BD626" t="s">
        <v>111</v>
      </c>
      <c r="BE626" t="s">
        <v>111</v>
      </c>
      <c r="BF626" t="s">
        <v>111</v>
      </c>
      <c r="BG626" t="s">
        <v>111</v>
      </c>
      <c r="BH626" t="s">
        <v>111</v>
      </c>
      <c r="BI626" t="s">
        <v>111</v>
      </c>
      <c r="BJ626" t="s">
        <v>111</v>
      </c>
      <c r="BK626" t="s">
        <v>111</v>
      </c>
      <c r="BL626" t="s">
        <v>111</v>
      </c>
      <c r="BM626" t="s">
        <v>111</v>
      </c>
      <c r="BN626" t="s">
        <v>111</v>
      </c>
      <c r="BO626" t="s">
        <v>111</v>
      </c>
      <c r="BP626" t="s">
        <v>111</v>
      </c>
      <c r="BQ626" t="s">
        <v>111</v>
      </c>
      <c r="BR626" t="s">
        <v>111</v>
      </c>
      <c r="BS626" t="s">
        <v>111</v>
      </c>
      <c r="BT626" t="s">
        <v>111</v>
      </c>
      <c r="BU626" t="s">
        <v>111</v>
      </c>
      <c r="BV626" t="s">
        <v>111</v>
      </c>
      <c r="BW626" t="s">
        <v>111</v>
      </c>
      <c r="BX626" t="s">
        <v>111</v>
      </c>
      <c r="BY626" t="s">
        <v>111</v>
      </c>
      <c r="BZ626" t="s">
        <v>111</v>
      </c>
      <c r="CA626" t="s">
        <v>111</v>
      </c>
      <c r="CB626" t="s">
        <v>111</v>
      </c>
      <c r="CC626" t="s">
        <v>111</v>
      </c>
      <c r="CD626" t="s">
        <v>111</v>
      </c>
      <c r="CE626" t="s">
        <v>111</v>
      </c>
      <c r="CF626" t="s">
        <v>111</v>
      </c>
      <c r="CG626" t="s">
        <v>111</v>
      </c>
      <c r="CH626" t="s">
        <v>111</v>
      </c>
      <c r="CI626" t="s">
        <v>111</v>
      </c>
      <c r="CJ626" t="s">
        <v>111</v>
      </c>
      <c r="CK626" t="s">
        <v>111</v>
      </c>
      <c r="CL626" t="s">
        <v>111</v>
      </c>
      <c r="CM626" t="s">
        <v>111</v>
      </c>
      <c r="CN626" t="s">
        <v>111</v>
      </c>
      <c r="CO626" t="s">
        <v>111</v>
      </c>
      <c r="CP626" t="s">
        <v>111</v>
      </c>
      <c r="CQ626">
        <v>0</v>
      </c>
      <c r="CR626">
        <v>0</v>
      </c>
      <c r="CS626">
        <v>0</v>
      </c>
      <c r="CT626" t="s">
        <v>111</v>
      </c>
      <c r="CU626">
        <v>0</v>
      </c>
      <c r="CV626" t="s">
        <v>111</v>
      </c>
      <c r="CX626" t="s">
        <v>111</v>
      </c>
      <c r="CY626">
        <v>0</v>
      </c>
      <c r="CZ626" t="s">
        <v>111</v>
      </c>
      <c r="DA626" t="s">
        <v>111</v>
      </c>
      <c r="DB626" t="e">
        <f>-INTERNO</f>
        <v>#NAME?</v>
      </c>
      <c r="DC626" t="e">
        <f>-CORTE Y SELLE</f>
        <v>#NAME?</v>
      </c>
    </row>
    <row r="627" spans="1:107">
      <c r="A627">
        <v>211</v>
      </c>
      <c r="B627" t="s">
        <v>107</v>
      </c>
      <c r="C627" t="s">
        <v>428</v>
      </c>
      <c r="D627" t="s">
        <v>1081</v>
      </c>
      <c r="E627" t="s">
        <v>2200</v>
      </c>
      <c r="F627" t="s">
        <v>192</v>
      </c>
      <c r="G627" t="s">
        <v>469</v>
      </c>
      <c r="H627">
        <v>1.25</v>
      </c>
      <c r="I627">
        <v>36</v>
      </c>
      <c r="J627">
        <v>2</v>
      </c>
      <c r="K627">
        <v>0</v>
      </c>
      <c r="L627" t="s">
        <v>112</v>
      </c>
      <c r="M627" t="s">
        <v>138</v>
      </c>
      <c r="N627">
        <v>0</v>
      </c>
      <c r="O627">
        <v>0</v>
      </c>
      <c r="P627" t="s">
        <v>138</v>
      </c>
      <c r="Q627">
        <v>40.5</v>
      </c>
      <c r="R627">
        <v>0</v>
      </c>
      <c r="S627">
        <v>0</v>
      </c>
      <c r="T627">
        <v>0</v>
      </c>
      <c r="U627" s="1" t="s">
        <v>2201</v>
      </c>
      <c r="V627">
        <v>0</v>
      </c>
      <c r="W627">
        <v>25</v>
      </c>
      <c r="X627">
        <v>8</v>
      </c>
      <c r="Y627">
        <v>0</v>
      </c>
      <c r="Z627" t="s">
        <v>111</v>
      </c>
      <c r="AA627">
        <v>0</v>
      </c>
      <c r="AB627" t="s">
        <v>111</v>
      </c>
      <c r="AC627">
        <v>0</v>
      </c>
      <c r="AD627" t="s">
        <v>111</v>
      </c>
      <c r="AE627">
        <v>0</v>
      </c>
      <c r="AF627">
        <v>0</v>
      </c>
      <c r="AG627" t="s">
        <v>111</v>
      </c>
      <c r="AH627" t="s">
        <v>111</v>
      </c>
      <c r="AI627" t="s">
        <v>111</v>
      </c>
      <c r="AJ627" t="s">
        <v>111</v>
      </c>
      <c r="AK627" t="s">
        <v>111</v>
      </c>
      <c r="AL627" t="s">
        <v>111</v>
      </c>
      <c r="AM627">
        <v>0</v>
      </c>
      <c r="AN627">
        <v>0</v>
      </c>
      <c r="AO627">
        <v>0</v>
      </c>
      <c r="AP627" t="s">
        <v>111</v>
      </c>
      <c r="AQ627" t="s">
        <v>111</v>
      </c>
      <c r="AR627" t="s">
        <v>111</v>
      </c>
      <c r="AS627" t="s">
        <v>111</v>
      </c>
      <c r="AT627" t="s">
        <v>111</v>
      </c>
      <c r="AU627" t="s">
        <v>111</v>
      </c>
      <c r="AV627" t="s">
        <v>111</v>
      </c>
      <c r="AW627" t="s">
        <v>111</v>
      </c>
      <c r="AX627" t="s">
        <v>111</v>
      </c>
      <c r="AY627" t="s">
        <v>111</v>
      </c>
      <c r="AZ627" t="s">
        <v>111</v>
      </c>
      <c r="BA627" t="s">
        <v>111</v>
      </c>
      <c r="BB627" t="s">
        <v>111</v>
      </c>
      <c r="BC627" t="s">
        <v>111</v>
      </c>
      <c r="BD627" t="s">
        <v>111</v>
      </c>
      <c r="BE627" t="s">
        <v>111</v>
      </c>
      <c r="BF627" t="s">
        <v>111</v>
      </c>
      <c r="BG627" t="s">
        <v>111</v>
      </c>
      <c r="BH627" t="s">
        <v>111</v>
      </c>
      <c r="BI627" t="s">
        <v>111</v>
      </c>
      <c r="BJ627" t="s">
        <v>111</v>
      </c>
      <c r="BK627" t="s">
        <v>111</v>
      </c>
      <c r="BL627" t="s">
        <v>111</v>
      </c>
      <c r="BM627" t="s">
        <v>111</v>
      </c>
      <c r="BN627" t="s">
        <v>111</v>
      </c>
      <c r="BO627" t="s">
        <v>111</v>
      </c>
      <c r="BP627" t="s">
        <v>111</v>
      </c>
      <c r="BQ627" t="s">
        <v>111</v>
      </c>
      <c r="BR627" t="s">
        <v>111</v>
      </c>
      <c r="BS627" t="s">
        <v>111</v>
      </c>
      <c r="BT627" t="s">
        <v>111</v>
      </c>
      <c r="BU627" t="s">
        <v>111</v>
      </c>
      <c r="BV627" t="s">
        <v>111</v>
      </c>
      <c r="BW627" t="s">
        <v>111</v>
      </c>
      <c r="BX627" t="s">
        <v>111</v>
      </c>
      <c r="BY627" t="s">
        <v>111</v>
      </c>
      <c r="BZ627" t="s">
        <v>111</v>
      </c>
      <c r="CA627" t="s">
        <v>111</v>
      </c>
      <c r="CB627" t="s">
        <v>111</v>
      </c>
      <c r="CC627" t="s">
        <v>111</v>
      </c>
      <c r="CD627" t="s">
        <v>111</v>
      </c>
      <c r="CE627" t="s">
        <v>111</v>
      </c>
      <c r="CF627" t="s">
        <v>111</v>
      </c>
      <c r="CG627" t="s">
        <v>111</v>
      </c>
      <c r="CH627" t="s">
        <v>111</v>
      </c>
      <c r="CI627" t="s">
        <v>111</v>
      </c>
      <c r="CJ627" t="s">
        <v>111</v>
      </c>
      <c r="CK627" t="s">
        <v>111</v>
      </c>
      <c r="CL627" t="s">
        <v>111</v>
      </c>
      <c r="CM627" t="s">
        <v>198</v>
      </c>
      <c r="CN627" t="s">
        <v>113</v>
      </c>
      <c r="CO627" t="s">
        <v>111</v>
      </c>
      <c r="CP627" t="s">
        <v>111</v>
      </c>
      <c r="CQ627">
        <v>72</v>
      </c>
      <c r="CR627">
        <v>4000</v>
      </c>
      <c r="CS627">
        <v>200</v>
      </c>
      <c r="CT627" t="s">
        <v>168</v>
      </c>
      <c r="CU627">
        <v>0</v>
      </c>
      <c r="CV627" t="s">
        <v>111</v>
      </c>
      <c r="CW627" t="s">
        <v>111</v>
      </c>
      <c r="CX627" t="s">
        <v>111</v>
      </c>
      <c r="CY627">
        <v>0</v>
      </c>
      <c r="CZ627" t="s">
        <v>111</v>
      </c>
      <c r="DA627" t="s">
        <v>111</v>
      </c>
      <c r="DB627" t="s">
        <v>111</v>
      </c>
      <c r="DC627" t="s">
        <v>111</v>
      </c>
    </row>
    <row r="628" spans="1:107">
      <c r="A628">
        <v>1872</v>
      </c>
      <c r="B628" t="s">
        <v>107</v>
      </c>
      <c r="C628" t="s">
        <v>399</v>
      </c>
      <c r="D628" t="s">
        <v>2202</v>
      </c>
      <c r="E628" t="s">
        <v>2203</v>
      </c>
      <c r="F628" t="s">
        <v>293</v>
      </c>
      <c r="G628" t="s">
        <v>469</v>
      </c>
      <c r="H628">
        <v>0.75</v>
      </c>
      <c r="I628">
        <v>70</v>
      </c>
      <c r="J628">
        <v>0</v>
      </c>
      <c r="K628">
        <v>0</v>
      </c>
      <c r="L628" t="s">
        <v>178</v>
      </c>
      <c r="M628" t="s">
        <v>111</v>
      </c>
      <c r="N628">
        <v>0</v>
      </c>
      <c r="O628">
        <v>0</v>
      </c>
      <c r="P628" t="s">
        <v>111</v>
      </c>
      <c r="Q628">
        <v>440</v>
      </c>
      <c r="R628">
        <v>0</v>
      </c>
      <c r="S628">
        <v>0</v>
      </c>
      <c r="T628">
        <v>5</v>
      </c>
      <c r="U628" t="e">
        <f>-MANUALES</f>
        <v>#NAME?</v>
      </c>
      <c r="V628">
        <v>25</v>
      </c>
      <c r="W628">
        <v>0</v>
      </c>
      <c r="X628">
        <v>7</v>
      </c>
      <c r="Y628">
        <v>0</v>
      </c>
      <c r="Z628" t="s">
        <v>2204</v>
      </c>
      <c r="AA628">
        <v>1.5</v>
      </c>
      <c r="AB628" t="s">
        <v>111</v>
      </c>
      <c r="AC628">
        <v>0</v>
      </c>
      <c r="AD628" t="s">
        <v>111</v>
      </c>
      <c r="AE628">
        <v>0</v>
      </c>
      <c r="AF628">
        <v>0</v>
      </c>
      <c r="AG628" t="s">
        <v>111</v>
      </c>
      <c r="AH628" t="s">
        <v>111</v>
      </c>
      <c r="AI628" t="s">
        <v>111</v>
      </c>
      <c r="AJ628" t="s">
        <v>111</v>
      </c>
      <c r="AK628" t="s">
        <v>111</v>
      </c>
      <c r="AL628" t="s">
        <v>111</v>
      </c>
      <c r="AM628">
        <v>0</v>
      </c>
      <c r="AN628">
        <v>0</v>
      </c>
      <c r="AO628">
        <v>0</v>
      </c>
      <c r="AP628" t="s">
        <v>111</v>
      </c>
      <c r="AQ628" t="s">
        <v>111</v>
      </c>
      <c r="AR628" t="s">
        <v>111</v>
      </c>
      <c r="AS628" t="s">
        <v>111</v>
      </c>
      <c r="AT628" t="s">
        <v>111</v>
      </c>
      <c r="AU628" t="s">
        <v>111</v>
      </c>
      <c r="AV628" t="s">
        <v>111</v>
      </c>
      <c r="AW628" t="s">
        <v>111</v>
      </c>
      <c r="AX628" t="s">
        <v>111</v>
      </c>
      <c r="AY628" t="s">
        <v>111</v>
      </c>
      <c r="AZ628" t="s">
        <v>111</v>
      </c>
      <c r="BA628" t="s">
        <v>111</v>
      </c>
      <c r="BB628" t="s">
        <v>111</v>
      </c>
      <c r="BC628" t="s">
        <v>111</v>
      </c>
      <c r="BD628" t="s">
        <v>111</v>
      </c>
      <c r="BE628" t="s">
        <v>111</v>
      </c>
      <c r="BF628" t="s">
        <v>111</v>
      </c>
      <c r="BG628" t="s">
        <v>111</v>
      </c>
      <c r="BH628" t="s">
        <v>111</v>
      </c>
      <c r="BI628" t="s">
        <v>111</v>
      </c>
      <c r="BJ628" t="s">
        <v>111</v>
      </c>
      <c r="BK628" t="s">
        <v>111</v>
      </c>
      <c r="BL628" t="s">
        <v>111</v>
      </c>
      <c r="BM628" t="s">
        <v>111</v>
      </c>
      <c r="BN628" t="s">
        <v>111</v>
      </c>
      <c r="BO628" t="s">
        <v>111</v>
      </c>
      <c r="BP628" t="s">
        <v>111</v>
      </c>
      <c r="BQ628" t="s">
        <v>111</v>
      </c>
      <c r="BR628" t="s">
        <v>111</v>
      </c>
      <c r="BS628" t="s">
        <v>111</v>
      </c>
      <c r="BT628" t="s">
        <v>111</v>
      </c>
      <c r="BU628" t="s">
        <v>111</v>
      </c>
      <c r="BV628" t="s">
        <v>111</v>
      </c>
      <c r="BW628" t="s">
        <v>111</v>
      </c>
      <c r="BX628" t="s">
        <v>111</v>
      </c>
      <c r="BY628" t="s">
        <v>111</v>
      </c>
      <c r="BZ628" t="s">
        <v>111</v>
      </c>
      <c r="CA628" t="s">
        <v>111</v>
      </c>
      <c r="CB628" t="s">
        <v>111</v>
      </c>
      <c r="CC628" t="s">
        <v>111</v>
      </c>
      <c r="CD628" t="s">
        <v>111</v>
      </c>
      <c r="CE628" t="s">
        <v>111</v>
      </c>
      <c r="CF628" t="s">
        <v>111</v>
      </c>
      <c r="CG628" t="s">
        <v>111</v>
      </c>
      <c r="CH628" t="s">
        <v>111</v>
      </c>
      <c r="CI628" t="s">
        <v>111</v>
      </c>
      <c r="CJ628" t="s">
        <v>111</v>
      </c>
      <c r="CK628" t="s">
        <v>111</v>
      </c>
      <c r="CL628" t="s">
        <v>111</v>
      </c>
      <c r="CM628" t="s">
        <v>111</v>
      </c>
      <c r="CN628" t="s">
        <v>111</v>
      </c>
      <c r="CO628" t="s">
        <v>111</v>
      </c>
      <c r="CP628" t="s">
        <v>111</v>
      </c>
      <c r="CQ628">
        <v>0</v>
      </c>
      <c r="CR628">
        <v>0</v>
      </c>
      <c r="CS628">
        <v>0</v>
      </c>
      <c r="CT628" t="s">
        <v>111</v>
      </c>
      <c r="CU628">
        <v>0</v>
      </c>
      <c r="CV628" t="s">
        <v>111</v>
      </c>
      <c r="CX628" t="s">
        <v>111</v>
      </c>
      <c r="CY628">
        <v>0</v>
      </c>
      <c r="CZ628" t="s">
        <v>111</v>
      </c>
      <c r="DA628" t="s">
        <v>111</v>
      </c>
      <c r="DB628" t="e">
        <f>-INTERNO</f>
        <v>#NAME?</v>
      </c>
      <c r="DC628" t="e">
        <f>-CORTE Y SELLE</f>
        <v>#NAME?</v>
      </c>
    </row>
    <row r="629" spans="1:107">
      <c r="A629">
        <v>1871</v>
      </c>
      <c r="B629" t="s">
        <v>107</v>
      </c>
      <c r="C629" t="s">
        <v>399</v>
      </c>
      <c r="D629" t="s">
        <v>2205</v>
      </c>
      <c r="E629" t="s">
        <v>2206</v>
      </c>
      <c r="F629" t="s">
        <v>2207</v>
      </c>
      <c r="G629" t="s">
        <v>469</v>
      </c>
      <c r="H629">
        <v>0.75</v>
      </c>
      <c r="I629">
        <v>70</v>
      </c>
      <c r="J629">
        <v>0</v>
      </c>
      <c r="K629">
        <v>0</v>
      </c>
      <c r="L629" t="s">
        <v>178</v>
      </c>
      <c r="M629" t="s">
        <v>111</v>
      </c>
      <c r="N629">
        <v>0</v>
      </c>
      <c r="O629">
        <v>0</v>
      </c>
      <c r="P629" t="s">
        <v>111</v>
      </c>
      <c r="Q629">
        <v>44</v>
      </c>
      <c r="R629">
        <v>0</v>
      </c>
      <c r="S629">
        <v>0</v>
      </c>
      <c r="T629">
        <v>5</v>
      </c>
      <c r="U629" t="e">
        <f>-MANUALES</f>
        <v>#NAME?</v>
      </c>
      <c r="V629">
        <v>25</v>
      </c>
      <c r="W629">
        <v>0</v>
      </c>
      <c r="X629">
        <v>7</v>
      </c>
      <c r="Y629">
        <v>0</v>
      </c>
      <c r="Z629" t="s">
        <v>2208</v>
      </c>
      <c r="AA629">
        <v>300</v>
      </c>
      <c r="AB629" t="s">
        <v>288</v>
      </c>
      <c r="AC629">
        <v>0.5</v>
      </c>
      <c r="AD629" t="s">
        <v>111</v>
      </c>
      <c r="AE629">
        <v>0</v>
      </c>
      <c r="AF629">
        <v>0</v>
      </c>
      <c r="AG629" t="s">
        <v>111</v>
      </c>
      <c r="AH629" t="s">
        <v>111</v>
      </c>
      <c r="AI629" t="s">
        <v>111</v>
      </c>
      <c r="AJ629" t="s">
        <v>111</v>
      </c>
      <c r="AK629" t="s">
        <v>111</v>
      </c>
      <c r="AL629" t="s">
        <v>111</v>
      </c>
      <c r="AM629">
        <v>0</v>
      </c>
      <c r="AN629">
        <v>0</v>
      </c>
      <c r="AO629">
        <v>0</v>
      </c>
      <c r="AP629" t="s">
        <v>111</v>
      </c>
      <c r="AQ629" t="s">
        <v>111</v>
      </c>
      <c r="AR629" t="s">
        <v>111</v>
      </c>
      <c r="AS629" t="s">
        <v>111</v>
      </c>
      <c r="AT629" t="s">
        <v>111</v>
      </c>
      <c r="AU629" t="s">
        <v>111</v>
      </c>
      <c r="AV629" t="s">
        <v>111</v>
      </c>
      <c r="AW629" t="s">
        <v>111</v>
      </c>
      <c r="AX629" t="s">
        <v>111</v>
      </c>
      <c r="AY629" t="s">
        <v>111</v>
      </c>
      <c r="AZ629" t="s">
        <v>111</v>
      </c>
      <c r="BA629" t="s">
        <v>111</v>
      </c>
      <c r="BB629" t="s">
        <v>111</v>
      </c>
      <c r="BC629" t="s">
        <v>111</v>
      </c>
      <c r="BD629" t="s">
        <v>111</v>
      </c>
      <c r="BE629" t="s">
        <v>111</v>
      </c>
      <c r="BF629" t="s">
        <v>111</v>
      </c>
      <c r="BG629" t="s">
        <v>111</v>
      </c>
      <c r="BH629" t="s">
        <v>111</v>
      </c>
      <c r="BI629" t="s">
        <v>111</v>
      </c>
      <c r="BJ629" t="s">
        <v>111</v>
      </c>
      <c r="BK629" t="s">
        <v>111</v>
      </c>
      <c r="BL629" t="s">
        <v>111</v>
      </c>
      <c r="BM629" t="s">
        <v>111</v>
      </c>
      <c r="BN629" t="s">
        <v>111</v>
      </c>
      <c r="BO629" t="s">
        <v>111</v>
      </c>
      <c r="BP629" t="s">
        <v>111</v>
      </c>
      <c r="BQ629" t="s">
        <v>111</v>
      </c>
      <c r="BR629" t="s">
        <v>111</v>
      </c>
      <c r="BS629" t="s">
        <v>111</v>
      </c>
      <c r="BT629" t="s">
        <v>111</v>
      </c>
      <c r="BU629" t="s">
        <v>111</v>
      </c>
      <c r="BV629" t="s">
        <v>111</v>
      </c>
      <c r="BW629" t="s">
        <v>111</v>
      </c>
      <c r="BX629" t="s">
        <v>111</v>
      </c>
      <c r="BY629" t="s">
        <v>111</v>
      </c>
      <c r="BZ629" t="s">
        <v>111</v>
      </c>
      <c r="CA629" t="s">
        <v>111</v>
      </c>
      <c r="CB629" t="s">
        <v>111</v>
      </c>
      <c r="CC629" t="s">
        <v>111</v>
      </c>
      <c r="CD629" t="s">
        <v>111</v>
      </c>
      <c r="CE629" t="s">
        <v>111</v>
      </c>
      <c r="CF629" t="s">
        <v>111</v>
      </c>
      <c r="CG629" t="s">
        <v>111</v>
      </c>
      <c r="CH629" t="s">
        <v>111</v>
      </c>
      <c r="CI629" t="s">
        <v>111</v>
      </c>
      <c r="CJ629" t="s">
        <v>111</v>
      </c>
      <c r="CK629" t="s">
        <v>111</v>
      </c>
      <c r="CL629" t="s">
        <v>111</v>
      </c>
      <c r="CM629" t="s">
        <v>111</v>
      </c>
      <c r="CN629" t="s">
        <v>111</v>
      </c>
      <c r="CO629" t="s">
        <v>111</v>
      </c>
      <c r="CP629" t="s">
        <v>111</v>
      </c>
      <c r="CQ629">
        <v>0</v>
      </c>
      <c r="CR629">
        <v>0</v>
      </c>
      <c r="CS629">
        <v>0</v>
      </c>
      <c r="CT629" t="s">
        <v>111</v>
      </c>
      <c r="CU629">
        <v>0</v>
      </c>
      <c r="CV629" t="s">
        <v>111</v>
      </c>
      <c r="CX629" t="s">
        <v>111</v>
      </c>
      <c r="CY629">
        <v>0</v>
      </c>
      <c r="CZ629" t="s">
        <v>111</v>
      </c>
      <c r="DA629" t="s">
        <v>111</v>
      </c>
      <c r="DB629" t="e">
        <f>-INERNO</f>
        <v>#NAME?</v>
      </c>
      <c r="DC629" t="e">
        <f>-CORTE Y SELLE</f>
        <v>#NAME?</v>
      </c>
    </row>
    <row r="630" spans="1:107">
      <c r="A630">
        <v>1949</v>
      </c>
      <c r="B630" t="s">
        <v>107</v>
      </c>
      <c r="C630" t="s">
        <v>119</v>
      </c>
      <c r="D630" t="s">
        <v>2209</v>
      </c>
      <c r="E630" t="s">
        <v>2210</v>
      </c>
      <c r="F630" t="s">
        <v>2211</v>
      </c>
      <c r="G630" t="s">
        <v>469</v>
      </c>
      <c r="H630">
        <v>1.7</v>
      </c>
      <c r="I630">
        <v>60</v>
      </c>
      <c r="J630">
        <v>0</v>
      </c>
      <c r="K630">
        <v>0</v>
      </c>
      <c r="L630" t="s">
        <v>117</v>
      </c>
      <c r="M630" t="s">
        <v>118</v>
      </c>
      <c r="N630">
        <v>40</v>
      </c>
      <c r="O630">
        <v>1</v>
      </c>
      <c r="P630" t="s">
        <v>111</v>
      </c>
      <c r="Q630">
        <v>50</v>
      </c>
      <c r="R630">
        <v>0</v>
      </c>
      <c r="S630">
        <v>0</v>
      </c>
      <c r="T630">
        <v>0</v>
      </c>
      <c r="U630" s="1" t="s">
        <v>2212</v>
      </c>
      <c r="V630">
        <v>0</v>
      </c>
      <c r="W630">
        <v>0</v>
      </c>
      <c r="X630">
        <v>0</v>
      </c>
      <c r="Y630">
        <v>25</v>
      </c>
      <c r="Z630" t="s">
        <v>111</v>
      </c>
      <c r="AA630">
        <v>0</v>
      </c>
      <c r="AB630" t="s">
        <v>111</v>
      </c>
      <c r="AC630">
        <v>0</v>
      </c>
      <c r="AD630" t="s">
        <v>111</v>
      </c>
      <c r="AE630">
        <v>0</v>
      </c>
      <c r="AF630">
        <v>0</v>
      </c>
      <c r="AG630" t="s">
        <v>111</v>
      </c>
      <c r="AH630" t="s">
        <v>111</v>
      </c>
      <c r="AI630" t="s">
        <v>111</v>
      </c>
      <c r="AJ630" t="s">
        <v>111</v>
      </c>
      <c r="AK630" t="s">
        <v>111</v>
      </c>
      <c r="AL630" t="s">
        <v>111</v>
      </c>
      <c r="AM630">
        <v>0</v>
      </c>
      <c r="AN630">
        <v>0</v>
      </c>
      <c r="AO630">
        <v>0</v>
      </c>
      <c r="AP630" t="s">
        <v>111</v>
      </c>
      <c r="AQ630" t="s">
        <v>111</v>
      </c>
      <c r="AR630" t="s">
        <v>111</v>
      </c>
      <c r="AS630" t="s">
        <v>111</v>
      </c>
      <c r="AT630" t="s">
        <v>111</v>
      </c>
      <c r="AU630" t="s">
        <v>111</v>
      </c>
      <c r="AV630" t="s">
        <v>111</v>
      </c>
      <c r="AW630" t="s">
        <v>111</v>
      </c>
      <c r="AX630" t="s">
        <v>111</v>
      </c>
      <c r="AY630" t="s">
        <v>111</v>
      </c>
      <c r="AZ630" t="s">
        <v>111</v>
      </c>
      <c r="BA630" t="s">
        <v>111</v>
      </c>
      <c r="BB630" t="s">
        <v>111</v>
      </c>
      <c r="BC630" t="s">
        <v>111</v>
      </c>
      <c r="BD630" t="s">
        <v>111</v>
      </c>
      <c r="BE630" t="s">
        <v>111</v>
      </c>
      <c r="BF630" t="s">
        <v>111</v>
      </c>
      <c r="BG630" t="s">
        <v>111</v>
      </c>
      <c r="BH630" t="s">
        <v>111</v>
      </c>
      <c r="BI630" t="s">
        <v>111</v>
      </c>
      <c r="BJ630" t="s">
        <v>111</v>
      </c>
      <c r="BK630" t="s">
        <v>111</v>
      </c>
      <c r="BL630" t="s">
        <v>111</v>
      </c>
      <c r="BM630" t="s">
        <v>111</v>
      </c>
      <c r="BN630" t="s">
        <v>111</v>
      </c>
      <c r="BO630" t="s">
        <v>111</v>
      </c>
      <c r="BP630" t="s">
        <v>111</v>
      </c>
      <c r="BQ630" t="s">
        <v>111</v>
      </c>
      <c r="BR630" t="s">
        <v>111</v>
      </c>
      <c r="BS630" t="s">
        <v>111</v>
      </c>
      <c r="BT630" t="s">
        <v>111</v>
      </c>
      <c r="BU630" t="s">
        <v>111</v>
      </c>
      <c r="BV630" t="s">
        <v>111</v>
      </c>
      <c r="BW630" t="s">
        <v>111</v>
      </c>
      <c r="BX630" t="s">
        <v>111</v>
      </c>
      <c r="BY630" t="s">
        <v>111</v>
      </c>
      <c r="BZ630" t="s">
        <v>111</v>
      </c>
      <c r="CA630" t="s">
        <v>111</v>
      </c>
      <c r="CB630" t="s">
        <v>111</v>
      </c>
      <c r="CC630" t="s">
        <v>111</v>
      </c>
      <c r="CD630" t="s">
        <v>111</v>
      </c>
      <c r="CE630" t="s">
        <v>111</v>
      </c>
      <c r="CF630" t="s">
        <v>111</v>
      </c>
      <c r="CG630" t="s">
        <v>111</v>
      </c>
      <c r="CH630" t="s">
        <v>111</v>
      </c>
      <c r="CI630" t="s">
        <v>111</v>
      </c>
      <c r="CJ630" t="s">
        <v>111</v>
      </c>
      <c r="CK630" t="s">
        <v>111</v>
      </c>
      <c r="CL630" t="s">
        <v>111</v>
      </c>
      <c r="CM630" t="s">
        <v>111</v>
      </c>
      <c r="CN630" t="s">
        <v>111</v>
      </c>
      <c r="CO630" t="s">
        <v>111</v>
      </c>
      <c r="CP630" t="s">
        <v>111</v>
      </c>
      <c r="CQ630">
        <v>0</v>
      </c>
      <c r="CR630">
        <v>0</v>
      </c>
      <c r="CS630">
        <v>0</v>
      </c>
      <c r="CT630" t="s">
        <v>111</v>
      </c>
      <c r="CU630">
        <v>60</v>
      </c>
      <c r="CV630" t="s">
        <v>111</v>
      </c>
      <c r="CX630" t="s">
        <v>111</v>
      </c>
      <c r="CY630">
        <v>50</v>
      </c>
      <c r="CZ630" t="s">
        <v>117</v>
      </c>
      <c r="DA630" t="s">
        <v>2213</v>
      </c>
      <c r="DB630" t="s">
        <v>111</v>
      </c>
      <c r="DC630" t="s">
        <v>111</v>
      </c>
    </row>
    <row r="631" spans="1:107">
      <c r="A631">
        <v>1919</v>
      </c>
      <c r="B631" t="s">
        <v>107</v>
      </c>
      <c r="C631" t="s">
        <v>2214</v>
      </c>
      <c r="D631" t="s">
        <v>2215</v>
      </c>
      <c r="E631" t="s">
        <v>2216</v>
      </c>
      <c r="F631" t="s">
        <v>192</v>
      </c>
      <c r="G631" t="s">
        <v>469</v>
      </c>
      <c r="H631">
        <v>1</v>
      </c>
      <c r="I631">
        <v>38</v>
      </c>
      <c r="J631">
        <v>0</v>
      </c>
      <c r="K631">
        <v>0</v>
      </c>
      <c r="L631" t="s">
        <v>178</v>
      </c>
      <c r="M631" t="s">
        <v>111</v>
      </c>
      <c r="N631">
        <v>0</v>
      </c>
      <c r="O631">
        <v>0</v>
      </c>
      <c r="P631" t="s">
        <v>111</v>
      </c>
      <c r="Q631">
        <v>10</v>
      </c>
      <c r="R631">
        <v>0</v>
      </c>
      <c r="S631">
        <v>0</v>
      </c>
      <c r="T631">
        <v>0</v>
      </c>
      <c r="U631" s="1" t="s">
        <v>2217</v>
      </c>
      <c r="V631">
        <v>0</v>
      </c>
      <c r="W631">
        <v>25</v>
      </c>
      <c r="X631">
        <v>5</v>
      </c>
      <c r="Y631">
        <v>0</v>
      </c>
      <c r="Z631" t="s">
        <v>111</v>
      </c>
      <c r="AA631">
        <v>0</v>
      </c>
      <c r="AB631" t="s">
        <v>111</v>
      </c>
      <c r="AC631">
        <v>0</v>
      </c>
      <c r="AD631" t="s">
        <v>111</v>
      </c>
      <c r="AE631">
        <v>0</v>
      </c>
      <c r="AF631">
        <v>0</v>
      </c>
      <c r="AG631" t="s">
        <v>111</v>
      </c>
      <c r="AH631" t="s">
        <v>111</v>
      </c>
      <c r="AI631" t="s">
        <v>111</v>
      </c>
      <c r="AJ631" t="s">
        <v>111</v>
      </c>
      <c r="AK631" t="s">
        <v>111</v>
      </c>
      <c r="AL631" t="s">
        <v>111</v>
      </c>
      <c r="AM631">
        <v>0</v>
      </c>
      <c r="AN631">
        <v>0</v>
      </c>
      <c r="AO631">
        <v>0</v>
      </c>
      <c r="AP631" t="s">
        <v>111</v>
      </c>
      <c r="AQ631" t="s">
        <v>111</v>
      </c>
      <c r="AR631" t="s">
        <v>111</v>
      </c>
      <c r="AS631" t="s">
        <v>111</v>
      </c>
      <c r="AT631" t="s">
        <v>111</v>
      </c>
      <c r="AU631" t="s">
        <v>111</v>
      </c>
      <c r="AV631" t="s">
        <v>111</v>
      </c>
      <c r="AW631" t="s">
        <v>111</v>
      </c>
      <c r="AX631" t="s">
        <v>111</v>
      </c>
      <c r="AY631" t="s">
        <v>111</v>
      </c>
      <c r="AZ631" t="s">
        <v>111</v>
      </c>
      <c r="BA631" t="s">
        <v>111</v>
      </c>
      <c r="BB631" t="s">
        <v>111</v>
      </c>
      <c r="BC631" t="s">
        <v>111</v>
      </c>
      <c r="BD631" t="s">
        <v>111</v>
      </c>
      <c r="BE631" t="s">
        <v>111</v>
      </c>
      <c r="BF631" t="s">
        <v>111</v>
      </c>
      <c r="BG631" t="s">
        <v>111</v>
      </c>
      <c r="BH631" t="s">
        <v>111</v>
      </c>
      <c r="BI631" t="s">
        <v>111</v>
      </c>
      <c r="BJ631" t="s">
        <v>111</v>
      </c>
      <c r="BK631" t="s">
        <v>111</v>
      </c>
      <c r="BL631" t="s">
        <v>111</v>
      </c>
      <c r="BM631" t="s">
        <v>111</v>
      </c>
      <c r="BN631" t="s">
        <v>111</v>
      </c>
      <c r="BO631" t="s">
        <v>111</v>
      </c>
      <c r="BP631" t="s">
        <v>111</v>
      </c>
      <c r="BQ631" t="s">
        <v>111</v>
      </c>
      <c r="BR631" t="s">
        <v>111</v>
      </c>
      <c r="BS631" t="s">
        <v>111</v>
      </c>
      <c r="BT631" t="s">
        <v>111</v>
      </c>
      <c r="BU631" t="s">
        <v>111</v>
      </c>
      <c r="BV631" t="s">
        <v>111</v>
      </c>
      <c r="BW631" t="s">
        <v>111</v>
      </c>
      <c r="BX631" t="s">
        <v>111</v>
      </c>
      <c r="BY631" t="s">
        <v>111</v>
      </c>
      <c r="BZ631" t="s">
        <v>111</v>
      </c>
      <c r="CA631" t="s">
        <v>111</v>
      </c>
      <c r="CB631" t="s">
        <v>111</v>
      </c>
      <c r="CC631" t="s">
        <v>111</v>
      </c>
      <c r="CD631" t="s">
        <v>111</v>
      </c>
      <c r="CE631" t="s">
        <v>111</v>
      </c>
      <c r="CF631" t="s">
        <v>111</v>
      </c>
      <c r="CG631" t="s">
        <v>111</v>
      </c>
      <c r="CH631" t="s">
        <v>111</v>
      </c>
      <c r="CI631" t="s">
        <v>111</v>
      </c>
      <c r="CJ631" t="s">
        <v>111</v>
      </c>
      <c r="CK631" t="s">
        <v>111</v>
      </c>
      <c r="CL631" t="s">
        <v>111</v>
      </c>
      <c r="CM631" t="s">
        <v>135</v>
      </c>
      <c r="CN631" t="s">
        <v>113</v>
      </c>
      <c r="CO631" t="s">
        <v>637</v>
      </c>
      <c r="CP631" t="s">
        <v>111</v>
      </c>
      <c r="CQ631">
        <v>0</v>
      </c>
      <c r="CR631">
        <v>100</v>
      </c>
      <c r="CS631">
        <v>100</v>
      </c>
      <c r="CT631" t="e">
        <f>-ALTURA PERFORACION SEGUN MUESTRA</f>
        <v>#NAME?</v>
      </c>
      <c r="CU631">
        <v>0</v>
      </c>
      <c r="CV631" t="s">
        <v>111</v>
      </c>
      <c r="CX631" t="s">
        <v>111</v>
      </c>
      <c r="CY631">
        <v>0</v>
      </c>
      <c r="CZ631" t="s">
        <v>111</v>
      </c>
      <c r="DA631" t="s">
        <v>111</v>
      </c>
      <c r="DB631" t="s">
        <v>111</v>
      </c>
      <c r="DC631" t="s">
        <v>111</v>
      </c>
    </row>
    <row r="632" spans="1:107">
      <c r="A632">
        <v>1908</v>
      </c>
      <c r="B632" t="s">
        <v>107</v>
      </c>
      <c r="C632" t="s">
        <v>428</v>
      </c>
      <c r="D632" t="s">
        <v>1863</v>
      </c>
      <c r="E632" t="s">
        <v>2218</v>
      </c>
      <c r="F632" t="s">
        <v>431</v>
      </c>
      <c r="G632" t="s">
        <v>469</v>
      </c>
      <c r="H632">
        <v>2.4</v>
      </c>
      <c r="I632">
        <v>21.5</v>
      </c>
      <c r="J632">
        <v>3</v>
      </c>
      <c r="K632">
        <v>0</v>
      </c>
      <c r="L632" t="s">
        <v>178</v>
      </c>
      <c r="M632" t="s">
        <v>118</v>
      </c>
      <c r="N632">
        <v>39</v>
      </c>
      <c r="O632">
        <v>1</v>
      </c>
      <c r="P632" t="s">
        <v>111</v>
      </c>
      <c r="Q632">
        <v>39.299999999999997</v>
      </c>
      <c r="R632">
        <v>0</v>
      </c>
      <c r="S632">
        <v>0</v>
      </c>
      <c r="T632">
        <v>5</v>
      </c>
      <c r="U632" s="1" t="s">
        <v>2219</v>
      </c>
      <c r="V632">
        <v>0</v>
      </c>
      <c r="W632">
        <v>25</v>
      </c>
      <c r="X632">
        <v>8</v>
      </c>
      <c r="Y632">
        <v>0</v>
      </c>
      <c r="Z632" t="s">
        <v>111</v>
      </c>
      <c r="AA632">
        <v>0</v>
      </c>
      <c r="AB632" t="s">
        <v>111</v>
      </c>
      <c r="AC632">
        <v>0</v>
      </c>
      <c r="AD632" t="s">
        <v>416</v>
      </c>
      <c r="AE632">
        <v>0</v>
      </c>
      <c r="AF632">
        <v>0</v>
      </c>
      <c r="AG632" t="s">
        <v>111</v>
      </c>
      <c r="AH632" t="s">
        <v>111</v>
      </c>
      <c r="AI632" t="s">
        <v>111</v>
      </c>
      <c r="AJ632" t="s">
        <v>111</v>
      </c>
      <c r="AK632" t="s">
        <v>111</v>
      </c>
      <c r="AL632" t="s">
        <v>111</v>
      </c>
      <c r="AM632">
        <v>0</v>
      </c>
      <c r="AN632">
        <v>0</v>
      </c>
      <c r="AO632">
        <v>0</v>
      </c>
      <c r="AP632" t="s">
        <v>111</v>
      </c>
      <c r="AQ632" t="s">
        <v>111</v>
      </c>
      <c r="AR632" t="s">
        <v>111</v>
      </c>
      <c r="AS632" t="s">
        <v>111</v>
      </c>
      <c r="AT632" t="s">
        <v>111</v>
      </c>
      <c r="AU632" t="s">
        <v>111</v>
      </c>
      <c r="AV632" t="s">
        <v>111</v>
      </c>
      <c r="AW632" t="s">
        <v>111</v>
      </c>
      <c r="AX632" t="s">
        <v>111</v>
      </c>
      <c r="AY632" t="s">
        <v>111</v>
      </c>
      <c r="AZ632" t="s">
        <v>111</v>
      </c>
      <c r="BA632" t="s">
        <v>111</v>
      </c>
      <c r="BB632" t="s">
        <v>111</v>
      </c>
      <c r="BC632" t="s">
        <v>111</v>
      </c>
      <c r="BD632" t="s">
        <v>111</v>
      </c>
      <c r="BE632" t="s">
        <v>111</v>
      </c>
      <c r="BF632" t="s">
        <v>111</v>
      </c>
      <c r="BG632" t="s">
        <v>111</v>
      </c>
      <c r="BH632" t="s">
        <v>111</v>
      </c>
      <c r="BI632" t="s">
        <v>111</v>
      </c>
      <c r="BJ632" t="s">
        <v>111</v>
      </c>
      <c r="BK632" t="s">
        <v>111</v>
      </c>
      <c r="BL632" t="s">
        <v>111</v>
      </c>
      <c r="BM632" t="s">
        <v>111</v>
      </c>
      <c r="BN632" t="s">
        <v>111</v>
      </c>
      <c r="BO632" t="s">
        <v>111</v>
      </c>
      <c r="BP632" t="s">
        <v>111</v>
      </c>
      <c r="BQ632" t="s">
        <v>111</v>
      </c>
      <c r="BR632" t="s">
        <v>111</v>
      </c>
      <c r="BS632" t="s">
        <v>111</v>
      </c>
      <c r="BT632" t="s">
        <v>111</v>
      </c>
      <c r="BU632" t="s">
        <v>111</v>
      </c>
      <c r="BV632" t="s">
        <v>111</v>
      </c>
      <c r="BW632" t="s">
        <v>111</v>
      </c>
      <c r="BX632" t="s">
        <v>111</v>
      </c>
      <c r="BY632" t="s">
        <v>111</v>
      </c>
      <c r="BZ632" t="s">
        <v>111</v>
      </c>
      <c r="CA632" t="s">
        <v>111</v>
      </c>
      <c r="CB632" t="s">
        <v>111</v>
      </c>
      <c r="CC632" t="s">
        <v>111</v>
      </c>
      <c r="CD632" t="s">
        <v>111</v>
      </c>
      <c r="CE632" t="s">
        <v>111</v>
      </c>
      <c r="CF632" t="s">
        <v>111</v>
      </c>
      <c r="CG632" t="s">
        <v>111</v>
      </c>
      <c r="CH632" t="s">
        <v>111</v>
      </c>
      <c r="CI632" t="s">
        <v>111</v>
      </c>
      <c r="CJ632" t="s">
        <v>111</v>
      </c>
      <c r="CK632" t="s">
        <v>111</v>
      </c>
      <c r="CL632" t="s">
        <v>111</v>
      </c>
      <c r="CM632" t="s">
        <v>135</v>
      </c>
      <c r="CN632" t="s">
        <v>113</v>
      </c>
      <c r="CO632" t="s">
        <v>433</v>
      </c>
      <c r="CP632" t="s">
        <v>111</v>
      </c>
      <c r="CQ632">
        <v>0</v>
      </c>
      <c r="CR632">
        <v>3000</v>
      </c>
      <c r="CS632">
        <v>50</v>
      </c>
      <c r="CT632" t="e">
        <f>-BIEN EMPADO PARA TROQUELAR</f>
        <v>#NAME?</v>
      </c>
      <c r="CU632">
        <v>0</v>
      </c>
      <c r="CV632" t="s">
        <v>111</v>
      </c>
      <c r="CX632" t="s">
        <v>111</v>
      </c>
      <c r="CY632">
        <v>0</v>
      </c>
      <c r="CZ632" t="s">
        <v>111</v>
      </c>
      <c r="DA632" t="s">
        <v>111</v>
      </c>
      <c r="DB632" t="e">
        <f>-INTERNO</f>
        <v>#NAME?</v>
      </c>
      <c r="DC632" t="e">
        <f>-TROQUEL</f>
        <v>#NAME?</v>
      </c>
    </row>
    <row r="633" spans="1:107">
      <c r="A633">
        <v>1897</v>
      </c>
      <c r="B633" t="s">
        <v>107</v>
      </c>
      <c r="C633" t="s">
        <v>1837</v>
      </c>
      <c r="D633" t="s">
        <v>2220</v>
      </c>
      <c r="E633" t="s">
        <v>2221</v>
      </c>
      <c r="F633" t="s">
        <v>125</v>
      </c>
      <c r="G633" t="s">
        <v>469</v>
      </c>
      <c r="H633">
        <v>2.4</v>
      </c>
      <c r="I633">
        <v>53</v>
      </c>
      <c r="J633">
        <v>0</v>
      </c>
      <c r="K633">
        <v>0</v>
      </c>
      <c r="L633" t="s">
        <v>112</v>
      </c>
      <c r="M633" t="s">
        <v>138</v>
      </c>
      <c r="N633">
        <v>0</v>
      </c>
      <c r="O633">
        <v>0</v>
      </c>
      <c r="P633" t="s">
        <v>111</v>
      </c>
      <c r="Q633">
        <v>32</v>
      </c>
      <c r="R633">
        <v>0</v>
      </c>
      <c r="S633">
        <v>0</v>
      </c>
      <c r="T633">
        <v>5</v>
      </c>
      <c r="U633" s="1" t="s">
        <v>2222</v>
      </c>
      <c r="V633">
        <v>0</v>
      </c>
      <c r="W633">
        <v>25</v>
      </c>
      <c r="X633">
        <v>10</v>
      </c>
      <c r="Y633">
        <v>0</v>
      </c>
      <c r="Z633" t="s">
        <v>111</v>
      </c>
      <c r="AA633">
        <v>0</v>
      </c>
      <c r="AB633" t="s">
        <v>2223</v>
      </c>
      <c r="AC633">
        <v>10</v>
      </c>
      <c r="AD633" t="s">
        <v>111</v>
      </c>
      <c r="AE633">
        <v>0</v>
      </c>
      <c r="AF633">
        <v>0</v>
      </c>
      <c r="AG633" t="s">
        <v>111</v>
      </c>
      <c r="AH633" t="s">
        <v>111</v>
      </c>
      <c r="AI633" t="s">
        <v>111</v>
      </c>
      <c r="AJ633" t="s">
        <v>111</v>
      </c>
      <c r="AK633" t="s">
        <v>111</v>
      </c>
      <c r="AL633" t="s">
        <v>111</v>
      </c>
      <c r="AM633">
        <v>0</v>
      </c>
      <c r="AN633">
        <v>0</v>
      </c>
      <c r="AO633">
        <v>0</v>
      </c>
      <c r="AP633" t="s">
        <v>111</v>
      </c>
      <c r="AQ633" t="s">
        <v>111</v>
      </c>
      <c r="AR633" t="s">
        <v>111</v>
      </c>
      <c r="AS633" t="s">
        <v>111</v>
      </c>
      <c r="AT633" t="s">
        <v>111</v>
      </c>
      <c r="AU633" t="s">
        <v>111</v>
      </c>
      <c r="AV633" t="s">
        <v>111</v>
      </c>
      <c r="AW633" t="s">
        <v>111</v>
      </c>
      <c r="AX633" t="s">
        <v>111</v>
      </c>
      <c r="AY633" t="s">
        <v>111</v>
      </c>
      <c r="AZ633" t="s">
        <v>111</v>
      </c>
      <c r="BA633" t="s">
        <v>111</v>
      </c>
      <c r="BB633" t="s">
        <v>111</v>
      </c>
      <c r="BC633" t="s">
        <v>111</v>
      </c>
      <c r="BD633" t="s">
        <v>111</v>
      </c>
      <c r="BE633" t="s">
        <v>111</v>
      </c>
      <c r="BF633" t="s">
        <v>111</v>
      </c>
      <c r="BG633" t="s">
        <v>111</v>
      </c>
      <c r="BH633" t="s">
        <v>111</v>
      </c>
      <c r="BI633" t="s">
        <v>111</v>
      </c>
      <c r="BJ633" t="s">
        <v>111</v>
      </c>
      <c r="BK633" t="s">
        <v>111</v>
      </c>
      <c r="BL633" t="s">
        <v>111</v>
      </c>
      <c r="BM633" t="s">
        <v>111</v>
      </c>
      <c r="BN633" t="s">
        <v>111</v>
      </c>
      <c r="BO633" t="s">
        <v>111</v>
      </c>
      <c r="BP633" t="s">
        <v>111</v>
      </c>
      <c r="BQ633" t="s">
        <v>111</v>
      </c>
      <c r="BR633" t="s">
        <v>111</v>
      </c>
      <c r="BS633" t="s">
        <v>111</v>
      </c>
      <c r="BT633" t="s">
        <v>111</v>
      </c>
      <c r="BU633" t="s">
        <v>111</v>
      </c>
      <c r="BV633" t="s">
        <v>111</v>
      </c>
      <c r="BW633" t="s">
        <v>111</v>
      </c>
      <c r="BX633" t="s">
        <v>111</v>
      </c>
      <c r="BY633" t="s">
        <v>111</v>
      </c>
      <c r="BZ633" t="s">
        <v>111</v>
      </c>
      <c r="CA633" t="s">
        <v>111</v>
      </c>
      <c r="CB633" t="s">
        <v>111</v>
      </c>
      <c r="CC633" t="s">
        <v>111</v>
      </c>
      <c r="CD633" t="s">
        <v>111</v>
      </c>
      <c r="CE633" t="s">
        <v>111</v>
      </c>
      <c r="CF633" t="s">
        <v>111</v>
      </c>
      <c r="CG633" t="s">
        <v>111</v>
      </c>
      <c r="CH633" t="s">
        <v>111</v>
      </c>
      <c r="CI633" t="s">
        <v>111</v>
      </c>
      <c r="CJ633" t="s">
        <v>111</v>
      </c>
      <c r="CK633" t="s">
        <v>111</v>
      </c>
      <c r="CL633" t="s">
        <v>111</v>
      </c>
      <c r="CM633" t="s">
        <v>135</v>
      </c>
      <c r="CN633" t="s">
        <v>128</v>
      </c>
      <c r="CO633" t="s">
        <v>111</v>
      </c>
      <c r="CP633" t="s">
        <v>111</v>
      </c>
      <c r="CQ633">
        <v>0</v>
      </c>
      <c r="CR633">
        <v>500</v>
      </c>
      <c r="CS633">
        <v>25</v>
      </c>
      <c r="CT633" s="1" t="s">
        <v>2224</v>
      </c>
      <c r="CU633">
        <v>0</v>
      </c>
      <c r="CV633" t="s">
        <v>111</v>
      </c>
      <c r="CX633" t="s">
        <v>111</v>
      </c>
      <c r="CY633">
        <v>0</v>
      </c>
      <c r="CZ633" t="s">
        <v>111</v>
      </c>
      <c r="DA633" t="s">
        <v>111</v>
      </c>
      <c r="DB633" t="e">
        <f>-INTERNO</f>
        <v>#NAME?</v>
      </c>
      <c r="DC633" t="e">
        <f>-SELLE MANUAL PLANO</f>
        <v>#NAME?</v>
      </c>
    </row>
    <row r="634" spans="1:107">
      <c r="A634">
        <v>1910</v>
      </c>
      <c r="B634" t="s">
        <v>107</v>
      </c>
      <c r="C634" t="s">
        <v>226</v>
      </c>
      <c r="D634" t="s">
        <v>2225</v>
      </c>
      <c r="E634" t="s">
        <v>2226</v>
      </c>
      <c r="F634" t="s">
        <v>192</v>
      </c>
      <c r="G634" t="s">
        <v>469</v>
      </c>
      <c r="H634">
        <v>1.5</v>
      </c>
      <c r="I634">
        <v>92</v>
      </c>
      <c r="J634">
        <v>0</v>
      </c>
      <c r="K634">
        <v>0</v>
      </c>
      <c r="L634" t="s">
        <v>117</v>
      </c>
      <c r="M634" t="s">
        <v>138</v>
      </c>
      <c r="N634">
        <v>0</v>
      </c>
      <c r="O634">
        <v>1</v>
      </c>
      <c r="P634" t="s">
        <v>111</v>
      </c>
      <c r="Q634">
        <v>5</v>
      </c>
      <c r="R634">
        <v>0</v>
      </c>
      <c r="S634">
        <v>0</v>
      </c>
      <c r="T634">
        <v>0</v>
      </c>
      <c r="U634" s="1" t="s">
        <v>2227</v>
      </c>
      <c r="V634">
        <v>0</v>
      </c>
      <c r="W634">
        <v>25</v>
      </c>
      <c r="X634">
        <v>8</v>
      </c>
      <c r="Y634">
        <v>0</v>
      </c>
      <c r="Z634" t="s">
        <v>111</v>
      </c>
      <c r="AA634">
        <v>0</v>
      </c>
      <c r="AB634" t="s">
        <v>111</v>
      </c>
      <c r="AC634">
        <v>0</v>
      </c>
      <c r="AD634" t="s">
        <v>111</v>
      </c>
      <c r="AE634">
        <v>0</v>
      </c>
      <c r="AF634">
        <v>0</v>
      </c>
      <c r="AG634" t="s">
        <v>111</v>
      </c>
      <c r="AH634" t="s">
        <v>111</v>
      </c>
      <c r="AI634" t="s">
        <v>111</v>
      </c>
      <c r="AJ634" t="s">
        <v>111</v>
      </c>
      <c r="AK634" t="s">
        <v>111</v>
      </c>
      <c r="AL634" t="s">
        <v>111</v>
      </c>
      <c r="AM634">
        <v>0</v>
      </c>
      <c r="AN634">
        <v>0</v>
      </c>
      <c r="AO634">
        <v>0</v>
      </c>
      <c r="AP634" t="s">
        <v>111</v>
      </c>
      <c r="AQ634" t="s">
        <v>111</v>
      </c>
      <c r="AR634" t="s">
        <v>111</v>
      </c>
      <c r="AS634" t="s">
        <v>111</v>
      </c>
      <c r="AT634" t="s">
        <v>111</v>
      </c>
      <c r="AU634" t="s">
        <v>111</v>
      </c>
      <c r="AV634" t="s">
        <v>111</v>
      </c>
      <c r="AW634" t="s">
        <v>111</v>
      </c>
      <c r="AX634" t="s">
        <v>111</v>
      </c>
      <c r="AY634" t="s">
        <v>111</v>
      </c>
      <c r="AZ634" t="s">
        <v>111</v>
      </c>
      <c r="BA634" t="s">
        <v>111</v>
      </c>
      <c r="BB634" t="s">
        <v>111</v>
      </c>
      <c r="BC634" t="s">
        <v>111</v>
      </c>
      <c r="BD634" t="s">
        <v>111</v>
      </c>
      <c r="BE634" t="s">
        <v>111</v>
      </c>
      <c r="BF634" t="s">
        <v>111</v>
      </c>
      <c r="BG634" t="s">
        <v>111</v>
      </c>
      <c r="BH634" t="s">
        <v>111</v>
      </c>
      <c r="BI634" t="s">
        <v>111</v>
      </c>
      <c r="BJ634" t="s">
        <v>111</v>
      </c>
      <c r="BK634" t="s">
        <v>111</v>
      </c>
      <c r="BL634" t="s">
        <v>111</v>
      </c>
      <c r="BM634" t="s">
        <v>111</v>
      </c>
      <c r="BN634" t="s">
        <v>111</v>
      </c>
      <c r="BO634" t="s">
        <v>111</v>
      </c>
      <c r="BP634" t="s">
        <v>111</v>
      </c>
      <c r="BQ634" t="s">
        <v>111</v>
      </c>
      <c r="BR634" t="s">
        <v>111</v>
      </c>
      <c r="BS634" t="s">
        <v>111</v>
      </c>
      <c r="BT634" t="s">
        <v>111</v>
      </c>
      <c r="BU634" t="s">
        <v>111</v>
      </c>
      <c r="BV634" t="s">
        <v>111</v>
      </c>
      <c r="BW634" t="s">
        <v>111</v>
      </c>
      <c r="BX634" t="s">
        <v>111</v>
      </c>
      <c r="BY634" t="s">
        <v>111</v>
      </c>
      <c r="BZ634" t="s">
        <v>111</v>
      </c>
      <c r="CA634" t="s">
        <v>111</v>
      </c>
      <c r="CB634" t="s">
        <v>111</v>
      </c>
      <c r="CC634" t="s">
        <v>111</v>
      </c>
      <c r="CD634" t="s">
        <v>111</v>
      </c>
      <c r="CE634" t="s">
        <v>111</v>
      </c>
      <c r="CF634" t="s">
        <v>111</v>
      </c>
      <c r="CG634" t="s">
        <v>111</v>
      </c>
      <c r="CH634" t="s">
        <v>111</v>
      </c>
      <c r="CI634" t="s">
        <v>111</v>
      </c>
      <c r="CJ634" t="s">
        <v>111</v>
      </c>
      <c r="CK634" t="s">
        <v>111</v>
      </c>
      <c r="CL634" t="s">
        <v>111</v>
      </c>
      <c r="CM634" t="s">
        <v>360</v>
      </c>
      <c r="CN634" t="s">
        <v>113</v>
      </c>
      <c r="CO634" t="s">
        <v>2228</v>
      </c>
      <c r="CP634" t="s">
        <v>111</v>
      </c>
      <c r="CQ634">
        <v>0</v>
      </c>
      <c r="CR634">
        <v>100</v>
      </c>
      <c r="CS634">
        <v>100</v>
      </c>
      <c r="CT634" t="e">
        <f>-DEJAR MUESTRAS BIEN MARCADAS</f>
        <v>#NAME?</v>
      </c>
      <c r="CU634">
        <v>0</v>
      </c>
      <c r="CV634" t="s">
        <v>111</v>
      </c>
      <c r="CX634" t="s">
        <v>111</v>
      </c>
      <c r="CY634">
        <v>0</v>
      </c>
      <c r="CZ634" t="s">
        <v>111</v>
      </c>
      <c r="DA634" t="s">
        <v>111</v>
      </c>
      <c r="DB634" t="s">
        <v>111</v>
      </c>
      <c r="DC634" t="s">
        <v>111</v>
      </c>
    </row>
    <row r="635" spans="1:107">
      <c r="A635">
        <v>1903</v>
      </c>
      <c r="B635" t="s">
        <v>107</v>
      </c>
      <c r="C635" t="s">
        <v>119</v>
      </c>
      <c r="D635" t="s">
        <v>2229</v>
      </c>
      <c r="E635" t="s">
        <v>2230</v>
      </c>
      <c r="F635" t="s">
        <v>166</v>
      </c>
      <c r="G635" t="s">
        <v>469</v>
      </c>
      <c r="H635">
        <v>0.6</v>
      </c>
      <c r="I635">
        <v>830</v>
      </c>
      <c r="J635">
        <v>16</v>
      </c>
      <c r="K635">
        <v>16</v>
      </c>
      <c r="L635" t="s">
        <v>112</v>
      </c>
      <c r="M635" t="s">
        <v>111</v>
      </c>
      <c r="N635">
        <v>0</v>
      </c>
      <c r="O635">
        <v>0</v>
      </c>
      <c r="P635" t="s">
        <v>111</v>
      </c>
      <c r="Q635">
        <v>20</v>
      </c>
      <c r="R635">
        <v>0</v>
      </c>
      <c r="S635">
        <v>0</v>
      </c>
      <c r="T635">
        <v>0</v>
      </c>
      <c r="U635" t="e">
        <f>-ALMACEN</f>
        <v>#NAME?</v>
      </c>
      <c r="V635">
        <v>25</v>
      </c>
      <c r="W635">
        <v>0</v>
      </c>
      <c r="X635">
        <v>5</v>
      </c>
      <c r="Y635">
        <v>0</v>
      </c>
      <c r="Z635" t="s">
        <v>111</v>
      </c>
      <c r="AA635">
        <v>0</v>
      </c>
      <c r="AB635" t="s">
        <v>111</v>
      </c>
      <c r="AC635">
        <v>0</v>
      </c>
      <c r="AD635" t="s">
        <v>111</v>
      </c>
      <c r="AE635">
        <v>0</v>
      </c>
      <c r="AF635">
        <v>0</v>
      </c>
      <c r="AG635" t="s">
        <v>111</v>
      </c>
      <c r="AH635" t="s">
        <v>111</v>
      </c>
      <c r="AI635" t="s">
        <v>111</v>
      </c>
      <c r="AJ635" t="s">
        <v>111</v>
      </c>
      <c r="AK635" t="s">
        <v>111</v>
      </c>
      <c r="AL635" t="s">
        <v>111</v>
      </c>
      <c r="AM635">
        <v>0</v>
      </c>
      <c r="AN635">
        <v>0</v>
      </c>
      <c r="AO635">
        <v>0</v>
      </c>
      <c r="AP635" t="s">
        <v>111</v>
      </c>
      <c r="AQ635" t="s">
        <v>111</v>
      </c>
      <c r="AR635" t="s">
        <v>111</v>
      </c>
      <c r="AS635" t="s">
        <v>111</v>
      </c>
      <c r="AT635" t="s">
        <v>111</v>
      </c>
      <c r="AU635" t="s">
        <v>111</v>
      </c>
      <c r="AV635" t="s">
        <v>111</v>
      </c>
      <c r="AW635" t="s">
        <v>111</v>
      </c>
      <c r="AX635" t="s">
        <v>111</v>
      </c>
      <c r="AY635" t="s">
        <v>111</v>
      </c>
      <c r="AZ635" t="s">
        <v>111</v>
      </c>
      <c r="BA635" t="s">
        <v>111</v>
      </c>
      <c r="BB635" t="s">
        <v>111</v>
      </c>
      <c r="BC635" t="s">
        <v>111</v>
      </c>
      <c r="BD635" t="s">
        <v>111</v>
      </c>
      <c r="BE635" t="s">
        <v>111</v>
      </c>
      <c r="BF635" t="s">
        <v>111</v>
      </c>
      <c r="BG635" t="s">
        <v>111</v>
      </c>
      <c r="BH635" t="s">
        <v>111</v>
      </c>
      <c r="BI635" t="s">
        <v>111</v>
      </c>
      <c r="BJ635" t="s">
        <v>111</v>
      </c>
      <c r="BK635" t="s">
        <v>111</v>
      </c>
      <c r="BL635" t="s">
        <v>111</v>
      </c>
      <c r="BM635" t="s">
        <v>111</v>
      </c>
      <c r="BN635" t="s">
        <v>111</v>
      </c>
      <c r="BO635" t="s">
        <v>111</v>
      </c>
      <c r="BP635" t="s">
        <v>111</v>
      </c>
      <c r="BQ635" t="s">
        <v>111</v>
      </c>
      <c r="BR635" t="s">
        <v>111</v>
      </c>
      <c r="BS635" t="s">
        <v>111</v>
      </c>
      <c r="BT635" t="s">
        <v>111</v>
      </c>
      <c r="BU635" t="s">
        <v>111</v>
      </c>
      <c r="BV635" t="s">
        <v>111</v>
      </c>
      <c r="BW635" t="s">
        <v>111</v>
      </c>
      <c r="BX635" t="s">
        <v>111</v>
      </c>
      <c r="BY635" t="s">
        <v>111</v>
      </c>
      <c r="BZ635" t="s">
        <v>111</v>
      </c>
      <c r="CA635" t="s">
        <v>111</v>
      </c>
      <c r="CB635" t="s">
        <v>111</v>
      </c>
      <c r="CC635" t="s">
        <v>111</v>
      </c>
      <c r="CD635" t="s">
        <v>111</v>
      </c>
      <c r="CE635" t="s">
        <v>111</v>
      </c>
      <c r="CF635" t="s">
        <v>111</v>
      </c>
      <c r="CG635" t="s">
        <v>111</v>
      </c>
      <c r="CH635" t="s">
        <v>111</v>
      </c>
      <c r="CI635" t="s">
        <v>111</v>
      </c>
      <c r="CJ635" t="s">
        <v>111</v>
      </c>
      <c r="CK635" t="s">
        <v>111</v>
      </c>
      <c r="CL635" t="s">
        <v>111</v>
      </c>
      <c r="CM635" t="s">
        <v>111</v>
      </c>
      <c r="CN635" t="s">
        <v>111</v>
      </c>
      <c r="CO635" t="s">
        <v>111</v>
      </c>
      <c r="CP635" t="s">
        <v>111</v>
      </c>
      <c r="CQ635">
        <v>0</v>
      </c>
      <c r="CR635">
        <v>0</v>
      </c>
      <c r="CS635">
        <v>0</v>
      </c>
      <c r="CT635" t="s">
        <v>111</v>
      </c>
      <c r="CU635">
        <v>0</v>
      </c>
      <c r="CV635" t="s">
        <v>111</v>
      </c>
      <c r="CX635" t="s">
        <v>111</v>
      </c>
      <c r="CY635">
        <v>0</v>
      </c>
      <c r="CZ635" t="s">
        <v>111</v>
      </c>
      <c r="DA635" t="s">
        <v>111</v>
      </c>
      <c r="DB635" t="s">
        <v>111</v>
      </c>
      <c r="DC635" t="s">
        <v>111</v>
      </c>
    </row>
    <row r="636" spans="1:107">
      <c r="A636">
        <v>1907</v>
      </c>
      <c r="B636" t="s">
        <v>107</v>
      </c>
      <c r="C636" t="s">
        <v>428</v>
      </c>
      <c r="D636" t="s">
        <v>1863</v>
      </c>
      <c r="E636" t="s">
        <v>2231</v>
      </c>
      <c r="F636" t="s">
        <v>431</v>
      </c>
      <c r="G636" t="s">
        <v>469</v>
      </c>
      <c r="H636">
        <v>2.4</v>
      </c>
      <c r="I636">
        <v>21.5</v>
      </c>
      <c r="J636">
        <v>3</v>
      </c>
      <c r="K636">
        <v>0</v>
      </c>
      <c r="L636" t="s">
        <v>178</v>
      </c>
      <c r="M636" t="s">
        <v>118</v>
      </c>
      <c r="N636">
        <v>39</v>
      </c>
      <c r="O636">
        <v>1</v>
      </c>
      <c r="P636" t="s">
        <v>111</v>
      </c>
      <c r="Q636">
        <v>39.299999999999997</v>
      </c>
      <c r="R636">
        <v>0</v>
      </c>
      <c r="S636">
        <v>0</v>
      </c>
      <c r="T636">
        <v>5</v>
      </c>
      <c r="U636" s="1" t="s">
        <v>2232</v>
      </c>
      <c r="V636">
        <v>0</v>
      </c>
      <c r="W636">
        <v>25</v>
      </c>
      <c r="X636">
        <v>8</v>
      </c>
      <c r="Y636">
        <v>0</v>
      </c>
      <c r="Z636" t="s">
        <v>111</v>
      </c>
      <c r="AA636">
        <v>0</v>
      </c>
      <c r="AB636" t="s">
        <v>111</v>
      </c>
      <c r="AC636">
        <v>0</v>
      </c>
      <c r="AD636" t="s">
        <v>416</v>
      </c>
      <c r="AE636">
        <v>0</v>
      </c>
      <c r="AF636">
        <v>0</v>
      </c>
      <c r="AG636" t="s">
        <v>111</v>
      </c>
      <c r="AH636" t="s">
        <v>111</v>
      </c>
      <c r="AI636" t="s">
        <v>111</v>
      </c>
      <c r="AJ636" t="s">
        <v>111</v>
      </c>
      <c r="AK636" t="s">
        <v>111</v>
      </c>
      <c r="AL636" t="s">
        <v>111</v>
      </c>
      <c r="AM636">
        <v>0</v>
      </c>
      <c r="AN636">
        <v>0</v>
      </c>
      <c r="AO636">
        <v>0</v>
      </c>
      <c r="AP636" t="s">
        <v>111</v>
      </c>
      <c r="AQ636" t="s">
        <v>111</v>
      </c>
      <c r="AR636" t="s">
        <v>111</v>
      </c>
      <c r="AS636" t="s">
        <v>111</v>
      </c>
      <c r="AT636" t="s">
        <v>111</v>
      </c>
      <c r="AU636" t="s">
        <v>111</v>
      </c>
      <c r="AV636" t="s">
        <v>111</v>
      </c>
      <c r="AW636" t="s">
        <v>111</v>
      </c>
      <c r="AX636" t="s">
        <v>111</v>
      </c>
      <c r="AY636" t="s">
        <v>111</v>
      </c>
      <c r="AZ636" t="s">
        <v>111</v>
      </c>
      <c r="BA636" t="s">
        <v>111</v>
      </c>
      <c r="BB636" t="s">
        <v>111</v>
      </c>
      <c r="BC636" t="s">
        <v>111</v>
      </c>
      <c r="BD636" t="s">
        <v>111</v>
      </c>
      <c r="BE636" t="s">
        <v>111</v>
      </c>
      <c r="BF636" t="s">
        <v>111</v>
      </c>
      <c r="BG636" t="s">
        <v>111</v>
      </c>
      <c r="BH636" t="s">
        <v>111</v>
      </c>
      <c r="BI636" t="s">
        <v>111</v>
      </c>
      <c r="BJ636" t="s">
        <v>111</v>
      </c>
      <c r="BK636" t="s">
        <v>111</v>
      </c>
      <c r="BL636" t="s">
        <v>111</v>
      </c>
      <c r="BM636" t="s">
        <v>111</v>
      </c>
      <c r="BN636" t="s">
        <v>111</v>
      </c>
      <c r="BO636" t="s">
        <v>111</v>
      </c>
      <c r="BP636" t="s">
        <v>111</v>
      </c>
      <c r="BQ636" t="s">
        <v>111</v>
      </c>
      <c r="BR636" t="s">
        <v>111</v>
      </c>
      <c r="BS636" t="s">
        <v>111</v>
      </c>
      <c r="BT636" t="s">
        <v>111</v>
      </c>
      <c r="BU636" t="s">
        <v>111</v>
      </c>
      <c r="BV636" t="s">
        <v>111</v>
      </c>
      <c r="BW636" t="s">
        <v>111</v>
      </c>
      <c r="BX636" t="s">
        <v>111</v>
      </c>
      <c r="BY636" t="s">
        <v>111</v>
      </c>
      <c r="BZ636" t="s">
        <v>111</v>
      </c>
      <c r="CA636" t="s">
        <v>111</v>
      </c>
      <c r="CB636" t="s">
        <v>111</v>
      </c>
      <c r="CC636" t="s">
        <v>111</v>
      </c>
      <c r="CD636" t="s">
        <v>111</v>
      </c>
      <c r="CE636" t="s">
        <v>111</v>
      </c>
      <c r="CF636" t="s">
        <v>111</v>
      </c>
      <c r="CG636" t="s">
        <v>111</v>
      </c>
      <c r="CH636" t="s">
        <v>111</v>
      </c>
      <c r="CI636" t="s">
        <v>111</v>
      </c>
      <c r="CJ636" t="s">
        <v>111</v>
      </c>
      <c r="CK636" t="s">
        <v>111</v>
      </c>
      <c r="CL636" t="s">
        <v>111</v>
      </c>
      <c r="CM636" t="s">
        <v>135</v>
      </c>
      <c r="CN636" t="s">
        <v>113</v>
      </c>
      <c r="CO636" t="s">
        <v>433</v>
      </c>
      <c r="CP636" t="s">
        <v>111</v>
      </c>
      <c r="CQ636">
        <v>0</v>
      </c>
      <c r="CR636">
        <v>3000</v>
      </c>
      <c r="CS636">
        <v>50</v>
      </c>
      <c r="CT636" t="e">
        <f>-BIEN EMPACADO PARA TROQUELAR</f>
        <v>#NAME?</v>
      </c>
      <c r="CU636">
        <v>0</v>
      </c>
      <c r="CV636" t="s">
        <v>111</v>
      </c>
      <c r="CX636" t="s">
        <v>111</v>
      </c>
      <c r="CY636">
        <v>0</v>
      </c>
      <c r="CZ636" t="s">
        <v>111</v>
      </c>
      <c r="DA636" t="s">
        <v>111</v>
      </c>
      <c r="DB636" t="e">
        <f>-INTERNO</f>
        <v>#NAME?</v>
      </c>
      <c r="DC636" t="e">
        <f>-TROQUEL</f>
        <v>#NAME?</v>
      </c>
    </row>
    <row r="637" spans="1:107">
      <c r="A637">
        <v>1917</v>
      </c>
      <c r="B637" t="s">
        <v>107</v>
      </c>
      <c r="C637" t="s">
        <v>119</v>
      </c>
      <c r="D637" t="s">
        <v>2233</v>
      </c>
      <c r="E637" t="s">
        <v>2234</v>
      </c>
      <c r="F637" t="s">
        <v>116</v>
      </c>
      <c r="G637" t="s">
        <v>469</v>
      </c>
      <c r="H637">
        <v>1.4</v>
      </c>
      <c r="I637">
        <v>97</v>
      </c>
      <c r="J637">
        <v>0</v>
      </c>
      <c r="K637">
        <v>0</v>
      </c>
      <c r="L637" t="s">
        <v>117</v>
      </c>
      <c r="M637" t="s">
        <v>118</v>
      </c>
      <c r="N637">
        <v>0</v>
      </c>
      <c r="O637">
        <v>1</v>
      </c>
      <c r="P637" t="s">
        <v>111</v>
      </c>
      <c r="Q637">
        <v>50</v>
      </c>
      <c r="R637">
        <v>0</v>
      </c>
      <c r="S637">
        <v>0</v>
      </c>
      <c r="T637">
        <v>0</v>
      </c>
      <c r="U637" t="e">
        <f>-ALMACEN</f>
        <v>#NAME?</v>
      </c>
      <c r="V637">
        <v>0</v>
      </c>
      <c r="W637">
        <v>6</v>
      </c>
      <c r="X637">
        <v>25</v>
      </c>
      <c r="Y637">
        <v>0</v>
      </c>
      <c r="Z637" t="s">
        <v>111</v>
      </c>
      <c r="AA637">
        <v>0</v>
      </c>
      <c r="AB637" t="s">
        <v>111</v>
      </c>
      <c r="AC637">
        <v>0</v>
      </c>
      <c r="AD637" t="s">
        <v>111</v>
      </c>
      <c r="AE637">
        <v>0</v>
      </c>
      <c r="AF637">
        <v>0</v>
      </c>
      <c r="AG637" t="s">
        <v>111</v>
      </c>
      <c r="AH637" t="s">
        <v>111</v>
      </c>
      <c r="AI637" t="s">
        <v>111</v>
      </c>
      <c r="AJ637" t="s">
        <v>111</v>
      </c>
      <c r="AK637" t="s">
        <v>111</v>
      </c>
      <c r="AL637" t="s">
        <v>111</v>
      </c>
      <c r="AM637">
        <v>0</v>
      </c>
      <c r="AN637">
        <v>0</v>
      </c>
      <c r="AO637">
        <v>0</v>
      </c>
      <c r="AP637" t="s">
        <v>111</v>
      </c>
      <c r="AQ637" t="s">
        <v>111</v>
      </c>
      <c r="AR637" t="s">
        <v>111</v>
      </c>
      <c r="AS637" t="s">
        <v>111</v>
      </c>
      <c r="AT637" t="s">
        <v>111</v>
      </c>
      <c r="AU637" t="s">
        <v>111</v>
      </c>
      <c r="AV637" t="s">
        <v>111</v>
      </c>
      <c r="AW637" t="s">
        <v>111</v>
      </c>
      <c r="AX637" t="s">
        <v>111</v>
      </c>
      <c r="AY637" t="s">
        <v>111</v>
      </c>
      <c r="AZ637" t="s">
        <v>111</v>
      </c>
      <c r="BA637" t="s">
        <v>111</v>
      </c>
      <c r="BB637" t="s">
        <v>111</v>
      </c>
      <c r="BC637" t="s">
        <v>111</v>
      </c>
      <c r="BD637" t="s">
        <v>111</v>
      </c>
      <c r="BE637" t="s">
        <v>111</v>
      </c>
      <c r="BF637" t="s">
        <v>111</v>
      </c>
      <c r="BG637" t="s">
        <v>111</v>
      </c>
      <c r="BH637" t="s">
        <v>111</v>
      </c>
      <c r="BI637" t="s">
        <v>111</v>
      </c>
      <c r="BJ637" t="s">
        <v>111</v>
      </c>
      <c r="BK637" t="s">
        <v>111</v>
      </c>
      <c r="BL637" t="s">
        <v>111</v>
      </c>
      <c r="BM637" t="s">
        <v>111</v>
      </c>
      <c r="BN637" t="s">
        <v>111</v>
      </c>
      <c r="BO637" t="s">
        <v>111</v>
      </c>
      <c r="BP637" t="s">
        <v>111</v>
      </c>
      <c r="BQ637" t="s">
        <v>111</v>
      </c>
      <c r="BR637" t="s">
        <v>111</v>
      </c>
      <c r="BS637" t="s">
        <v>111</v>
      </c>
      <c r="BT637" t="s">
        <v>111</v>
      </c>
      <c r="BU637" t="s">
        <v>111</v>
      </c>
      <c r="BV637" t="s">
        <v>111</v>
      </c>
      <c r="BW637" t="s">
        <v>111</v>
      </c>
      <c r="BX637" t="s">
        <v>111</v>
      </c>
      <c r="BY637" t="s">
        <v>111</v>
      </c>
      <c r="BZ637" t="s">
        <v>111</v>
      </c>
      <c r="CA637" t="s">
        <v>111</v>
      </c>
      <c r="CB637" t="s">
        <v>111</v>
      </c>
      <c r="CC637" t="s">
        <v>111</v>
      </c>
      <c r="CD637" t="s">
        <v>111</v>
      </c>
      <c r="CE637" t="s">
        <v>111</v>
      </c>
      <c r="CF637" t="s">
        <v>111</v>
      </c>
      <c r="CG637" t="s">
        <v>111</v>
      </c>
      <c r="CH637" t="s">
        <v>111</v>
      </c>
      <c r="CI637" t="s">
        <v>111</v>
      </c>
      <c r="CJ637" t="s">
        <v>111</v>
      </c>
      <c r="CK637" t="s">
        <v>111</v>
      </c>
      <c r="CL637" t="s">
        <v>111</v>
      </c>
      <c r="CM637" t="s">
        <v>111</v>
      </c>
      <c r="CN637" t="s">
        <v>111</v>
      </c>
      <c r="CO637" t="s">
        <v>111</v>
      </c>
      <c r="CP637" t="s">
        <v>111</v>
      </c>
      <c r="CQ637">
        <v>0</v>
      </c>
      <c r="CR637">
        <v>0</v>
      </c>
      <c r="CS637">
        <v>0</v>
      </c>
      <c r="CT637" t="s">
        <v>111</v>
      </c>
      <c r="CU637">
        <v>0</v>
      </c>
      <c r="CV637" t="s">
        <v>111</v>
      </c>
      <c r="CX637" t="s">
        <v>111</v>
      </c>
      <c r="CY637">
        <v>0</v>
      </c>
      <c r="CZ637" t="s">
        <v>111</v>
      </c>
      <c r="DA637" t="s">
        <v>111</v>
      </c>
      <c r="DB637" t="s">
        <v>111</v>
      </c>
      <c r="DC637" t="s">
        <v>111</v>
      </c>
    </row>
    <row r="638" spans="1:107">
      <c r="A638">
        <v>1891</v>
      </c>
      <c r="B638" t="s">
        <v>107</v>
      </c>
      <c r="C638" t="s">
        <v>1993</v>
      </c>
      <c r="D638" t="s">
        <v>1697</v>
      </c>
      <c r="E638" t="s">
        <v>2235</v>
      </c>
      <c r="F638" t="s">
        <v>157</v>
      </c>
      <c r="G638" t="s">
        <v>469</v>
      </c>
      <c r="H638">
        <v>2.5</v>
      </c>
      <c r="I638">
        <v>45</v>
      </c>
      <c r="J638">
        <v>0</v>
      </c>
      <c r="K638">
        <v>0</v>
      </c>
      <c r="L638" t="s">
        <v>117</v>
      </c>
      <c r="M638" t="s">
        <v>111</v>
      </c>
      <c r="N638">
        <v>0</v>
      </c>
      <c r="O638">
        <v>0</v>
      </c>
      <c r="P638" t="s">
        <v>111</v>
      </c>
      <c r="Q638">
        <v>50</v>
      </c>
      <c r="R638">
        <v>0</v>
      </c>
      <c r="S638">
        <v>0</v>
      </c>
      <c r="T638">
        <v>0</v>
      </c>
      <c r="U638" t="e">
        <f>-ALMAEN</f>
        <v>#NAME?</v>
      </c>
      <c r="V638">
        <v>0</v>
      </c>
      <c r="W638">
        <v>25</v>
      </c>
      <c r="X638">
        <v>0</v>
      </c>
      <c r="Y638">
        <v>0</v>
      </c>
      <c r="Z638" t="s">
        <v>111</v>
      </c>
      <c r="AA638">
        <v>0</v>
      </c>
      <c r="AB638" t="s">
        <v>111</v>
      </c>
      <c r="AC638">
        <v>0</v>
      </c>
      <c r="AD638" t="s">
        <v>111</v>
      </c>
      <c r="AE638">
        <v>0</v>
      </c>
      <c r="AF638">
        <v>0</v>
      </c>
      <c r="AG638" t="s">
        <v>111</v>
      </c>
      <c r="AH638" t="s">
        <v>111</v>
      </c>
      <c r="AI638" t="s">
        <v>111</v>
      </c>
      <c r="AJ638" t="s">
        <v>111</v>
      </c>
      <c r="AK638" t="s">
        <v>111</v>
      </c>
      <c r="AL638" t="s">
        <v>111</v>
      </c>
      <c r="AM638">
        <v>0</v>
      </c>
      <c r="AN638">
        <v>0</v>
      </c>
      <c r="AO638">
        <v>0</v>
      </c>
      <c r="AP638" t="s">
        <v>111</v>
      </c>
      <c r="AQ638" t="s">
        <v>111</v>
      </c>
      <c r="AR638" t="s">
        <v>111</v>
      </c>
      <c r="AS638" t="s">
        <v>111</v>
      </c>
      <c r="AT638" t="s">
        <v>111</v>
      </c>
      <c r="AU638" t="s">
        <v>111</v>
      </c>
      <c r="AV638" t="s">
        <v>111</v>
      </c>
      <c r="AW638" t="s">
        <v>111</v>
      </c>
      <c r="AX638" t="s">
        <v>111</v>
      </c>
      <c r="AY638" t="s">
        <v>111</v>
      </c>
      <c r="AZ638" t="s">
        <v>111</v>
      </c>
      <c r="BA638" t="s">
        <v>111</v>
      </c>
      <c r="BB638" t="s">
        <v>111</v>
      </c>
      <c r="BC638" t="s">
        <v>111</v>
      </c>
      <c r="BD638" t="s">
        <v>111</v>
      </c>
      <c r="BE638" t="s">
        <v>111</v>
      </c>
      <c r="BF638" t="s">
        <v>111</v>
      </c>
      <c r="BG638" t="s">
        <v>111</v>
      </c>
      <c r="BH638" t="s">
        <v>111</v>
      </c>
      <c r="BI638" t="s">
        <v>111</v>
      </c>
      <c r="BJ638" t="s">
        <v>111</v>
      </c>
      <c r="BK638" t="s">
        <v>111</v>
      </c>
      <c r="BL638" t="s">
        <v>111</v>
      </c>
      <c r="BM638" t="s">
        <v>111</v>
      </c>
      <c r="BN638" t="s">
        <v>111</v>
      </c>
      <c r="BO638" t="s">
        <v>111</v>
      </c>
      <c r="BP638" t="s">
        <v>111</v>
      </c>
      <c r="BQ638" t="s">
        <v>111</v>
      </c>
      <c r="BR638" t="s">
        <v>111</v>
      </c>
      <c r="BS638" t="s">
        <v>111</v>
      </c>
      <c r="BT638" t="s">
        <v>111</v>
      </c>
      <c r="BU638" t="s">
        <v>111</v>
      </c>
      <c r="BV638" t="s">
        <v>111</v>
      </c>
      <c r="BW638" t="s">
        <v>111</v>
      </c>
      <c r="BX638" t="s">
        <v>111</v>
      </c>
      <c r="BY638" t="s">
        <v>111</v>
      </c>
      <c r="BZ638" t="s">
        <v>111</v>
      </c>
      <c r="CA638" t="s">
        <v>111</v>
      </c>
      <c r="CB638" t="s">
        <v>111</v>
      </c>
      <c r="CC638" t="s">
        <v>111</v>
      </c>
      <c r="CD638" t="s">
        <v>111</v>
      </c>
      <c r="CE638" t="s">
        <v>111</v>
      </c>
      <c r="CF638" t="s">
        <v>111</v>
      </c>
      <c r="CG638" t="s">
        <v>111</v>
      </c>
      <c r="CH638" t="s">
        <v>111</v>
      </c>
      <c r="CI638" t="s">
        <v>111</v>
      </c>
      <c r="CJ638" t="s">
        <v>111</v>
      </c>
      <c r="CK638" t="s">
        <v>111</v>
      </c>
      <c r="CL638" t="s">
        <v>111</v>
      </c>
      <c r="CM638" t="s">
        <v>111</v>
      </c>
      <c r="CN638" t="s">
        <v>111</v>
      </c>
      <c r="CO638" t="s">
        <v>111</v>
      </c>
      <c r="CP638" t="s">
        <v>111</v>
      </c>
      <c r="CQ638">
        <v>0</v>
      </c>
      <c r="CR638">
        <v>0</v>
      </c>
      <c r="CS638">
        <v>0</v>
      </c>
      <c r="CT638" t="s">
        <v>111</v>
      </c>
      <c r="CU638">
        <v>0</v>
      </c>
      <c r="CV638" t="s">
        <v>111</v>
      </c>
      <c r="CX638" t="s">
        <v>111</v>
      </c>
      <c r="CY638">
        <v>0</v>
      </c>
      <c r="CZ638" t="s">
        <v>111</v>
      </c>
      <c r="DA638" t="s">
        <v>111</v>
      </c>
      <c r="DB638" t="s">
        <v>111</v>
      </c>
      <c r="DC638" t="s">
        <v>111</v>
      </c>
    </row>
    <row r="639" spans="1:107">
      <c r="A639">
        <v>1890</v>
      </c>
      <c r="B639" t="s">
        <v>107</v>
      </c>
      <c r="C639" t="s">
        <v>171</v>
      </c>
      <c r="D639" t="s">
        <v>2236</v>
      </c>
      <c r="E639" t="s">
        <v>2237</v>
      </c>
      <c r="F639" t="s">
        <v>192</v>
      </c>
      <c r="G639" t="s">
        <v>469</v>
      </c>
      <c r="H639">
        <v>1.9</v>
      </c>
      <c r="I639">
        <v>33</v>
      </c>
      <c r="J639">
        <v>0</v>
      </c>
      <c r="K639">
        <v>0</v>
      </c>
      <c r="L639" t="s">
        <v>178</v>
      </c>
      <c r="M639" t="s">
        <v>111</v>
      </c>
      <c r="N639">
        <v>0</v>
      </c>
      <c r="O639">
        <v>0</v>
      </c>
      <c r="P639" t="s">
        <v>111</v>
      </c>
      <c r="Q639">
        <v>38.4</v>
      </c>
      <c r="R639">
        <v>0</v>
      </c>
      <c r="S639">
        <v>0</v>
      </c>
      <c r="T639">
        <v>5</v>
      </c>
      <c r="U639" s="1" t="s">
        <v>2238</v>
      </c>
      <c r="V639">
        <v>0</v>
      </c>
      <c r="W639">
        <v>25</v>
      </c>
      <c r="X639">
        <v>8</v>
      </c>
      <c r="Y639">
        <v>0</v>
      </c>
      <c r="Z639" t="s">
        <v>111</v>
      </c>
      <c r="AA639">
        <v>0</v>
      </c>
      <c r="AB639" t="s">
        <v>717</v>
      </c>
      <c r="AC639">
        <v>8</v>
      </c>
      <c r="AD639" t="s">
        <v>111</v>
      </c>
      <c r="AE639">
        <v>0</v>
      </c>
      <c r="AF639">
        <v>0</v>
      </c>
      <c r="AG639" t="s">
        <v>111</v>
      </c>
      <c r="AH639" t="s">
        <v>111</v>
      </c>
      <c r="AI639" t="s">
        <v>111</v>
      </c>
      <c r="AJ639" t="s">
        <v>111</v>
      </c>
      <c r="AK639" t="s">
        <v>111</v>
      </c>
      <c r="AL639" t="s">
        <v>111</v>
      </c>
      <c r="AM639">
        <v>0</v>
      </c>
      <c r="AN639">
        <v>0</v>
      </c>
      <c r="AO639">
        <v>0</v>
      </c>
      <c r="AP639" t="s">
        <v>111</v>
      </c>
      <c r="AQ639" t="s">
        <v>111</v>
      </c>
      <c r="AR639" t="s">
        <v>111</v>
      </c>
      <c r="AS639" t="s">
        <v>111</v>
      </c>
      <c r="AT639" t="s">
        <v>111</v>
      </c>
      <c r="AU639" t="s">
        <v>111</v>
      </c>
      <c r="AV639" t="s">
        <v>111</v>
      </c>
      <c r="AW639" t="s">
        <v>111</v>
      </c>
      <c r="AX639" t="s">
        <v>111</v>
      </c>
      <c r="AY639" t="s">
        <v>111</v>
      </c>
      <c r="AZ639" t="s">
        <v>111</v>
      </c>
      <c r="BA639" t="s">
        <v>111</v>
      </c>
      <c r="BB639" t="s">
        <v>111</v>
      </c>
      <c r="BC639" t="s">
        <v>111</v>
      </c>
      <c r="BD639" t="s">
        <v>111</v>
      </c>
      <c r="BE639" t="s">
        <v>111</v>
      </c>
      <c r="BF639" t="s">
        <v>111</v>
      </c>
      <c r="BG639" t="s">
        <v>111</v>
      </c>
      <c r="BH639" t="s">
        <v>111</v>
      </c>
      <c r="BI639" t="s">
        <v>111</v>
      </c>
      <c r="BJ639" t="s">
        <v>111</v>
      </c>
      <c r="BK639" t="s">
        <v>111</v>
      </c>
      <c r="BL639" t="s">
        <v>111</v>
      </c>
      <c r="BM639" t="s">
        <v>111</v>
      </c>
      <c r="BN639" t="s">
        <v>111</v>
      </c>
      <c r="BO639" t="s">
        <v>111</v>
      </c>
      <c r="BP639" t="s">
        <v>111</v>
      </c>
      <c r="BQ639" t="s">
        <v>111</v>
      </c>
      <c r="BR639" t="s">
        <v>111</v>
      </c>
      <c r="BS639" t="s">
        <v>111</v>
      </c>
      <c r="BT639" t="s">
        <v>111</v>
      </c>
      <c r="BU639" t="s">
        <v>111</v>
      </c>
      <c r="BV639" t="s">
        <v>111</v>
      </c>
      <c r="BW639" t="s">
        <v>111</v>
      </c>
      <c r="BX639" t="s">
        <v>111</v>
      </c>
      <c r="BY639" t="s">
        <v>111</v>
      </c>
      <c r="BZ639" t="s">
        <v>111</v>
      </c>
      <c r="CA639" t="s">
        <v>111</v>
      </c>
      <c r="CB639" t="s">
        <v>111</v>
      </c>
      <c r="CC639" t="s">
        <v>111</v>
      </c>
      <c r="CD639" t="s">
        <v>111</v>
      </c>
      <c r="CE639" t="s">
        <v>111</v>
      </c>
      <c r="CF639" t="s">
        <v>111</v>
      </c>
      <c r="CG639" t="s">
        <v>111</v>
      </c>
      <c r="CH639" t="s">
        <v>111</v>
      </c>
      <c r="CI639" t="s">
        <v>111</v>
      </c>
      <c r="CJ639" t="s">
        <v>111</v>
      </c>
      <c r="CK639" t="s">
        <v>111</v>
      </c>
      <c r="CL639" t="s">
        <v>111</v>
      </c>
      <c r="CM639">
        <v>450</v>
      </c>
      <c r="CN639" t="s">
        <v>113</v>
      </c>
      <c r="CO639" t="s">
        <v>111</v>
      </c>
      <c r="CP639" t="s">
        <v>111</v>
      </c>
      <c r="CQ639">
        <v>0</v>
      </c>
      <c r="CR639">
        <v>8000</v>
      </c>
      <c r="CS639">
        <v>200</v>
      </c>
      <c r="CT639" t="e">
        <f>-ALMAACEN</f>
        <v>#NAME?</v>
      </c>
      <c r="CU639">
        <v>0</v>
      </c>
      <c r="CV639" t="s">
        <v>111</v>
      </c>
      <c r="CX639" t="s">
        <v>111</v>
      </c>
      <c r="CY639">
        <v>0</v>
      </c>
      <c r="CZ639" t="s">
        <v>111</v>
      </c>
      <c r="DA639" t="s">
        <v>111</v>
      </c>
      <c r="DB639" t="s">
        <v>111</v>
      </c>
      <c r="DC639" t="s">
        <v>111</v>
      </c>
    </row>
    <row r="640" spans="1:107">
      <c r="A640">
        <v>1893</v>
      </c>
      <c r="B640" t="s">
        <v>107</v>
      </c>
      <c r="C640" s="2">
        <v>91226680</v>
      </c>
      <c r="D640" t="s">
        <v>2239</v>
      </c>
      <c r="E640" t="s">
        <v>2240</v>
      </c>
      <c r="F640" t="s">
        <v>110</v>
      </c>
      <c r="G640" t="s">
        <v>469</v>
      </c>
      <c r="H640">
        <v>1.5</v>
      </c>
      <c r="I640">
        <v>18</v>
      </c>
      <c r="J640">
        <v>0</v>
      </c>
      <c r="K640">
        <v>0</v>
      </c>
      <c r="L640" t="s">
        <v>178</v>
      </c>
      <c r="M640" t="s">
        <v>111</v>
      </c>
      <c r="N640">
        <v>0</v>
      </c>
      <c r="O640">
        <v>0</v>
      </c>
      <c r="P640" t="s">
        <v>111</v>
      </c>
      <c r="Q640">
        <v>25</v>
      </c>
      <c r="R640">
        <v>0</v>
      </c>
      <c r="S640">
        <v>0</v>
      </c>
      <c r="T640">
        <v>0</v>
      </c>
      <c r="U640" s="1" t="s">
        <v>2241</v>
      </c>
      <c r="V640">
        <v>0</v>
      </c>
      <c r="W640">
        <v>0</v>
      </c>
      <c r="X640">
        <v>0</v>
      </c>
      <c r="Y640">
        <v>25</v>
      </c>
      <c r="Z640" t="s">
        <v>111</v>
      </c>
      <c r="AA640">
        <v>0</v>
      </c>
      <c r="AB640" t="s">
        <v>111</v>
      </c>
      <c r="AC640">
        <v>0</v>
      </c>
      <c r="AD640" t="s">
        <v>111</v>
      </c>
      <c r="AE640">
        <v>0</v>
      </c>
      <c r="AF640">
        <v>0</v>
      </c>
      <c r="AG640" t="s">
        <v>111</v>
      </c>
      <c r="AH640" t="s">
        <v>111</v>
      </c>
      <c r="AI640" t="s">
        <v>111</v>
      </c>
      <c r="AJ640" t="s">
        <v>111</v>
      </c>
      <c r="AK640" t="s">
        <v>111</v>
      </c>
      <c r="AL640" t="s">
        <v>111</v>
      </c>
      <c r="AM640">
        <v>0</v>
      </c>
      <c r="AN640">
        <v>0</v>
      </c>
      <c r="AO640">
        <v>0</v>
      </c>
      <c r="AP640" t="s">
        <v>111</v>
      </c>
      <c r="AQ640" t="s">
        <v>111</v>
      </c>
      <c r="AR640" t="s">
        <v>111</v>
      </c>
      <c r="AS640" t="s">
        <v>111</v>
      </c>
      <c r="AT640" t="s">
        <v>111</v>
      </c>
      <c r="AU640" t="s">
        <v>111</v>
      </c>
      <c r="AV640" t="s">
        <v>111</v>
      </c>
      <c r="AW640" t="s">
        <v>111</v>
      </c>
      <c r="AX640" t="s">
        <v>111</v>
      </c>
      <c r="AY640" t="s">
        <v>111</v>
      </c>
      <c r="AZ640" t="s">
        <v>111</v>
      </c>
      <c r="BA640" t="s">
        <v>111</v>
      </c>
      <c r="BB640" t="s">
        <v>111</v>
      </c>
      <c r="BC640" t="s">
        <v>111</v>
      </c>
      <c r="BD640" t="s">
        <v>111</v>
      </c>
      <c r="BE640" t="s">
        <v>111</v>
      </c>
      <c r="BF640" t="s">
        <v>111</v>
      </c>
      <c r="BG640" t="s">
        <v>111</v>
      </c>
      <c r="BH640" t="s">
        <v>111</v>
      </c>
      <c r="BI640" t="s">
        <v>111</v>
      </c>
      <c r="BJ640" t="s">
        <v>111</v>
      </c>
      <c r="BK640" t="s">
        <v>111</v>
      </c>
      <c r="BL640" t="s">
        <v>111</v>
      </c>
      <c r="BM640" t="s">
        <v>111</v>
      </c>
      <c r="BN640" t="s">
        <v>111</v>
      </c>
      <c r="BO640" t="s">
        <v>111</v>
      </c>
      <c r="BP640" t="s">
        <v>111</v>
      </c>
      <c r="BQ640" t="s">
        <v>111</v>
      </c>
      <c r="BR640" t="s">
        <v>111</v>
      </c>
      <c r="BS640" t="s">
        <v>111</v>
      </c>
      <c r="BT640" t="s">
        <v>111</v>
      </c>
      <c r="BU640" t="s">
        <v>111</v>
      </c>
      <c r="BV640" t="s">
        <v>111</v>
      </c>
      <c r="BW640" t="s">
        <v>111</v>
      </c>
      <c r="BX640" t="s">
        <v>111</v>
      </c>
      <c r="BY640" t="s">
        <v>111</v>
      </c>
      <c r="BZ640" t="s">
        <v>111</v>
      </c>
      <c r="CA640" t="s">
        <v>111</v>
      </c>
      <c r="CB640" t="s">
        <v>111</v>
      </c>
      <c r="CC640" t="s">
        <v>111</v>
      </c>
      <c r="CD640" t="s">
        <v>111</v>
      </c>
      <c r="CE640" t="s">
        <v>111</v>
      </c>
      <c r="CF640" t="s">
        <v>111</v>
      </c>
      <c r="CG640" t="s">
        <v>111</v>
      </c>
      <c r="CH640" t="s">
        <v>111</v>
      </c>
      <c r="CI640" t="s">
        <v>111</v>
      </c>
      <c r="CJ640" t="s">
        <v>111</v>
      </c>
      <c r="CK640" t="s">
        <v>111</v>
      </c>
      <c r="CL640" t="s">
        <v>111</v>
      </c>
      <c r="CM640" t="s">
        <v>111</v>
      </c>
      <c r="CN640" t="s">
        <v>111</v>
      </c>
      <c r="CO640" t="s">
        <v>111</v>
      </c>
      <c r="CP640" t="s">
        <v>111</v>
      </c>
      <c r="CQ640">
        <v>0</v>
      </c>
      <c r="CR640">
        <v>0</v>
      </c>
      <c r="CS640">
        <v>0</v>
      </c>
      <c r="CT640" t="s">
        <v>111</v>
      </c>
      <c r="CU640">
        <v>0</v>
      </c>
      <c r="CV640" t="s">
        <v>111</v>
      </c>
      <c r="CX640" t="s">
        <v>111</v>
      </c>
      <c r="CY640">
        <v>0</v>
      </c>
      <c r="CZ640" t="s">
        <v>111</v>
      </c>
      <c r="DA640" t="s">
        <v>111</v>
      </c>
      <c r="DB640" t="s">
        <v>111</v>
      </c>
      <c r="DC640" t="s">
        <v>111</v>
      </c>
    </row>
    <row r="641" spans="1:107">
      <c r="A641">
        <v>1887</v>
      </c>
      <c r="B641" t="s">
        <v>107</v>
      </c>
      <c r="C641" t="s">
        <v>454</v>
      </c>
      <c r="D641" t="s">
        <v>455</v>
      </c>
      <c r="E641" t="s">
        <v>2242</v>
      </c>
      <c r="F641" t="s">
        <v>431</v>
      </c>
      <c r="G641" t="s">
        <v>469</v>
      </c>
      <c r="H641">
        <v>1.9</v>
      </c>
      <c r="I641">
        <v>50</v>
      </c>
      <c r="J641">
        <v>0</v>
      </c>
      <c r="K641">
        <v>0</v>
      </c>
      <c r="L641" t="s">
        <v>112</v>
      </c>
      <c r="M641" t="s">
        <v>118</v>
      </c>
      <c r="N641">
        <v>0</v>
      </c>
      <c r="O641">
        <v>2</v>
      </c>
      <c r="P641" t="s">
        <v>111</v>
      </c>
      <c r="Q641">
        <v>46.5</v>
      </c>
      <c r="R641">
        <v>0</v>
      </c>
      <c r="S641">
        <v>0</v>
      </c>
      <c r="T641">
        <v>5</v>
      </c>
      <c r="U641" t="e">
        <f>-DARMA</f>
        <v>#NAME?</v>
      </c>
      <c r="V641">
        <v>0</v>
      </c>
      <c r="W641">
        <v>25</v>
      </c>
      <c r="X641">
        <v>6</v>
      </c>
      <c r="Y641">
        <v>0</v>
      </c>
      <c r="Z641" t="s">
        <v>111</v>
      </c>
      <c r="AA641">
        <v>0</v>
      </c>
      <c r="AB641" t="s">
        <v>111</v>
      </c>
      <c r="AC641">
        <v>0</v>
      </c>
      <c r="AD641" t="s">
        <v>416</v>
      </c>
      <c r="AE641">
        <v>0</v>
      </c>
      <c r="AF641">
        <v>0</v>
      </c>
      <c r="AG641" t="s">
        <v>111</v>
      </c>
      <c r="AH641" t="s">
        <v>111</v>
      </c>
      <c r="AI641" t="s">
        <v>111</v>
      </c>
      <c r="AJ641" t="s">
        <v>111</v>
      </c>
      <c r="AK641" t="s">
        <v>111</v>
      </c>
      <c r="AL641" t="s">
        <v>111</v>
      </c>
      <c r="AM641">
        <v>0</v>
      </c>
      <c r="AN641">
        <v>0</v>
      </c>
      <c r="AO641">
        <v>0</v>
      </c>
      <c r="AP641" t="s">
        <v>111</v>
      </c>
      <c r="AQ641" t="s">
        <v>111</v>
      </c>
      <c r="AR641" t="s">
        <v>111</v>
      </c>
      <c r="AS641" t="s">
        <v>111</v>
      </c>
      <c r="AT641" t="s">
        <v>111</v>
      </c>
      <c r="AU641" t="s">
        <v>111</v>
      </c>
      <c r="AV641" t="s">
        <v>111</v>
      </c>
      <c r="AW641" t="s">
        <v>111</v>
      </c>
      <c r="AX641" t="s">
        <v>111</v>
      </c>
      <c r="AY641" t="s">
        <v>111</v>
      </c>
      <c r="AZ641" t="s">
        <v>111</v>
      </c>
      <c r="BA641" t="s">
        <v>111</v>
      </c>
      <c r="BB641" t="s">
        <v>111</v>
      </c>
      <c r="BC641" t="s">
        <v>111</v>
      </c>
      <c r="BD641" t="s">
        <v>111</v>
      </c>
      <c r="BE641" t="s">
        <v>111</v>
      </c>
      <c r="BF641" t="s">
        <v>111</v>
      </c>
      <c r="BG641" t="s">
        <v>111</v>
      </c>
      <c r="BH641" t="s">
        <v>111</v>
      </c>
      <c r="BI641" t="s">
        <v>111</v>
      </c>
      <c r="BJ641" t="s">
        <v>111</v>
      </c>
      <c r="BK641" t="s">
        <v>111</v>
      </c>
      <c r="BL641" t="s">
        <v>111</v>
      </c>
      <c r="BM641" t="s">
        <v>111</v>
      </c>
      <c r="BN641" t="s">
        <v>111</v>
      </c>
      <c r="BO641" t="s">
        <v>111</v>
      </c>
      <c r="BP641" t="s">
        <v>111</v>
      </c>
      <c r="BQ641" t="s">
        <v>111</v>
      </c>
      <c r="BR641" t="s">
        <v>111</v>
      </c>
      <c r="BS641" t="s">
        <v>111</v>
      </c>
      <c r="BT641" t="s">
        <v>111</v>
      </c>
      <c r="BU641" t="s">
        <v>111</v>
      </c>
      <c r="BV641" t="s">
        <v>111</v>
      </c>
      <c r="BW641" t="s">
        <v>111</v>
      </c>
      <c r="BX641" t="s">
        <v>111</v>
      </c>
      <c r="BY641" t="s">
        <v>111</v>
      </c>
      <c r="BZ641" t="s">
        <v>111</v>
      </c>
      <c r="CA641" t="s">
        <v>111</v>
      </c>
      <c r="CB641" t="s">
        <v>111</v>
      </c>
      <c r="CC641" t="s">
        <v>111</v>
      </c>
      <c r="CD641" t="s">
        <v>111</v>
      </c>
      <c r="CE641" t="s">
        <v>111</v>
      </c>
      <c r="CF641" t="s">
        <v>111</v>
      </c>
      <c r="CG641" t="s">
        <v>111</v>
      </c>
      <c r="CH641" t="s">
        <v>111</v>
      </c>
      <c r="CI641" t="s">
        <v>111</v>
      </c>
      <c r="CJ641" t="s">
        <v>111</v>
      </c>
      <c r="CK641" t="s">
        <v>111</v>
      </c>
      <c r="CL641" t="s">
        <v>111</v>
      </c>
      <c r="CM641" t="s">
        <v>135</v>
      </c>
      <c r="CN641" t="s">
        <v>113</v>
      </c>
      <c r="CO641" t="s">
        <v>111</v>
      </c>
      <c r="CP641" t="s">
        <v>111</v>
      </c>
      <c r="CQ641">
        <v>0</v>
      </c>
      <c r="CR641">
        <v>3000</v>
      </c>
      <c r="CS641">
        <v>100</v>
      </c>
      <c r="CT641" t="e">
        <f>-ALMACEN</f>
        <v>#NAME?</v>
      </c>
      <c r="CU641">
        <v>0</v>
      </c>
      <c r="CV641" t="s">
        <v>111</v>
      </c>
      <c r="CX641" t="s">
        <v>111</v>
      </c>
      <c r="CY641">
        <v>0</v>
      </c>
      <c r="CZ641" t="s">
        <v>111</v>
      </c>
      <c r="DA641" t="s">
        <v>111</v>
      </c>
      <c r="DB641" t="s">
        <v>111</v>
      </c>
      <c r="DC641" t="s">
        <v>111</v>
      </c>
    </row>
    <row r="642" spans="1:107">
      <c r="A642">
        <v>1877</v>
      </c>
      <c r="B642" t="s">
        <v>107</v>
      </c>
      <c r="C642" t="s">
        <v>119</v>
      </c>
      <c r="D642" t="s">
        <v>2243</v>
      </c>
      <c r="E642" t="s">
        <v>2244</v>
      </c>
      <c r="F642" t="s">
        <v>116</v>
      </c>
      <c r="G642" t="s">
        <v>469</v>
      </c>
      <c r="H642">
        <v>2.2000000000000002</v>
      </c>
      <c r="I642">
        <v>68</v>
      </c>
      <c r="J642">
        <v>0</v>
      </c>
      <c r="K642">
        <v>0</v>
      </c>
      <c r="L642" t="s">
        <v>117</v>
      </c>
      <c r="M642" t="s">
        <v>118</v>
      </c>
      <c r="N642">
        <v>0</v>
      </c>
      <c r="O642">
        <v>1</v>
      </c>
      <c r="P642" t="s">
        <v>111</v>
      </c>
      <c r="Q642">
        <v>50</v>
      </c>
      <c r="R642">
        <v>0</v>
      </c>
      <c r="S642">
        <v>0</v>
      </c>
      <c r="T642">
        <v>0</v>
      </c>
      <c r="U642" s="1" t="s">
        <v>2245</v>
      </c>
      <c r="V642">
        <v>0</v>
      </c>
      <c r="W642">
        <v>0</v>
      </c>
      <c r="X642">
        <v>8</v>
      </c>
      <c r="Y642">
        <v>0</v>
      </c>
      <c r="Z642" t="s">
        <v>111</v>
      </c>
      <c r="AA642">
        <v>0</v>
      </c>
      <c r="AB642" t="s">
        <v>111</v>
      </c>
      <c r="AC642">
        <v>0</v>
      </c>
      <c r="AD642" t="s">
        <v>111</v>
      </c>
      <c r="AE642">
        <v>0</v>
      </c>
      <c r="AF642">
        <v>0</v>
      </c>
      <c r="AG642" t="s">
        <v>111</v>
      </c>
      <c r="AH642" t="s">
        <v>111</v>
      </c>
      <c r="AI642" t="s">
        <v>111</v>
      </c>
      <c r="AJ642" t="s">
        <v>111</v>
      </c>
      <c r="AK642" t="s">
        <v>111</v>
      </c>
      <c r="AL642" t="s">
        <v>111</v>
      </c>
      <c r="AM642">
        <v>0</v>
      </c>
      <c r="AN642">
        <v>0</v>
      </c>
      <c r="AO642">
        <v>0</v>
      </c>
      <c r="AP642" t="s">
        <v>111</v>
      </c>
      <c r="AQ642" t="s">
        <v>111</v>
      </c>
      <c r="AR642" t="s">
        <v>111</v>
      </c>
      <c r="AS642" t="s">
        <v>111</v>
      </c>
      <c r="AT642" t="s">
        <v>111</v>
      </c>
      <c r="AU642" t="s">
        <v>111</v>
      </c>
      <c r="AV642" t="s">
        <v>111</v>
      </c>
      <c r="AW642" t="s">
        <v>111</v>
      </c>
      <c r="AX642" t="s">
        <v>111</v>
      </c>
      <c r="AY642" t="s">
        <v>111</v>
      </c>
      <c r="AZ642" t="s">
        <v>111</v>
      </c>
      <c r="BA642" t="s">
        <v>111</v>
      </c>
      <c r="BB642" t="s">
        <v>111</v>
      </c>
      <c r="BC642" t="s">
        <v>111</v>
      </c>
      <c r="BD642" t="s">
        <v>111</v>
      </c>
      <c r="BE642" t="s">
        <v>111</v>
      </c>
      <c r="BF642" t="s">
        <v>111</v>
      </c>
      <c r="BG642" t="s">
        <v>111</v>
      </c>
      <c r="BH642" t="s">
        <v>111</v>
      </c>
      <c r="BI642" t="s">
        <v>111</v>
      </c>
      <c r="BJ642" t="s">
        <v>111</v>
      </c>
      <c r="BK642" t="s">
        <v>111</v>
      </c>
      <c r="BL642" t="s">
        <v>111</v>
      </c>
      <c r="BM642" t="s">
        <v>111</v>
      </c>
      <c r="BN642" t="s">
        <v>111</v>
      </c>
      <c r="BO642" t="s">
        <v>111</v>
      </c>
      <c r="BP642" t="s">
        <v>111</v>
      </c>
      <c r="BQ642" t="s">
        <v>111</v>
      </c>
      <c r="BR642" t="s">
        <v>111</v>
      </c>
      <c r="BS642" t="s">
        <v>111</v>
      </c>
      <c r="BT642" t="s">
        <v>111</v>
      </c>
      <c r="BU642" t="s">
        <v>111</v>
      </c>
      <c r="BV642" t="s">
        <v>111</v>
      </c>
      <c r="BW642" t="s">
        <v>111</v>
      </c>
      <c r="BX642" t="s">
        <v>111</v>
      </c>
      <c r="BY642" t="s">
        <v>111</v>
      </c>
      <c r="BZ642" t="s">
        <v>111</v>
      </c>
      <c r="CA642" t="s">
        <v>111</v>
      </c>
      <c r="CB642" t="s">
        <v>111</v>
      </c>
      <c r="CC642" t="s">
        <v>111</v>
      </c>
      <c r="CD642" t="s">
        <v>111</v>
      </c>
      <c r="CE642" t="s">
        <v>111</v>
      </c>
      <c r="CF642" t="s">
        <v>111</v>
      </c>
      <c r="CG642" t="s">
        <v>111</v>
      </c>
      <c r="CH642" t="s">
        <v>111</v>
      </c>
      <c r="CI642" t="s">
        <v>111</v>
      </c>
      <c r="CJ642" t="s">
        <v>111</v>
      </c>
      <c r="CK642" t="s">
        <v>111</v>
      </c>
      <c r="CL642" t="s">
        <v>111</v>
      </c>
      <c r="CM642" t="s">
        <v>111</v>
      </c>
      <c r="CN642" t="s">
        <v>111</v>
      </c>
      <c r="CO642" t="s">
        <v>111</v>
      </c>
      <c r="CP642" t="s">
        <v>111</v>
      </c>
      <c r="CQ642">
        <v>0</v>
      </c>
      <c r="CR642">
        <v>0</v>
      </c>
      <c r="CS642">
        <v>0</v>
      </c>
      <c r="CT642" t="s">
        <v>111</v>
      </c>
      <c r="CU642">
        <v>0</v>
      </c>
      <c r="CV642" t="s">
        <v>111</v>
      </c>
      <c r="CX642" t="s">
        <v>111</v>
      </c>
      <c r="CY642">
        <v>0</v>
      </c>
      <c r="CZ642" t="s">
        <v>111</v>
      </c>
      <c r="DA642" t="s">
        <v>111</v>
      </c>
      <c r="DB642" t="s">
        <v>111</v>
      </c>
      <c r="DC642" t="s">
        <v>111</v>
      </c>
    </row>
    <row r="643" spans="1:107">
      <c r="A643">
        <v>1884</v>
      </c>
      <c r="B643" t="s">
        <v>107</v>
      </c>
      <c r="C643" t="s">
        <v>726</v>
      </c>
      <c r="D643" t="s">
        <v>573</v>
      </c>
      <c r="E643" t="s">
        <v>2246</v>
      </c>
      <c r="F643" t="s">
        <v>431</v>
      </c>
      <c r="G643" t="s">
        <v>469</v>
      </c>
      <c r="H643">
        <v>2.4</v>
      </c>
      <c r="I643">
        <v>56</v>
      </c>
      <c r="J643">
        <v>0</v>
      </c>
      <c r="K643">
        <v>0</v>
      </c>
      <c r="L643" t="s">
        <v>117</v>
      </c>
      <c r="M643" t="s">
        <v>118</v>
      </c>
      <c r="N643">
        <v>0</v>
      </c>
      <c r="O643">
        <v>1</v>
      </c>
      <c r="P643" t="s">
        <v>111</v>
      </c>
      <c r="Q643">
        <v>38.4</v>
      </c>
      <c r="R643">
        <v>0</v>
      </c>
      <c r="S643">
        <v>0</v>
      </c>
      <c r="T643">
        <v>5</v>
      </c>
      <c r="U643" s="1" t="s">
        <v>662</v>
      </c>
      <c r="V643">
        <v>0</v>
      </c>
      <c r="W643">
        <v>25</v>
      </c>
      <c r="X643">
        <v>8</v>
      </c>
      <c r="Y643">
        <v>0</v>
      </c>
      <c r="Z643" t="s">
        <v>111</v>
      </c>
      <c r="AA643">
        <v>0</v>
      </c>
      <c r="AB643" t="s">
        <v>111</v>
      </c>
      <c r="AC643">
        <v>0</v>
      </c>
      <c r="AD643" t="s">
        <v>416</v>
      </c>
      <c r="AE643">
        <v>0</v>
      </c>
      <c r="AF643">
        <v>0</v>
      </c>
      <c r="AG643" t="s">
        <v>111</v>
      </c>
      <c r="AH643" t="s">
        <v>111</v>
      </c>
      <c r="AI643" t="s">
        <v>111</v>
      </c>
      <c r="AJ643" t="s">
        <v>111</v>
      </c>
      <c r="AK643" t="s">
        <v>111</v>
      </c>
      <c r="AL643" t="s">
        <v>111</v>
      </c>
      <c r="AM643">
        <v>0</v>
      </c>
      <c r="AN643">
        <v>0</v>
      </c>
      <c r="AO643">
        <v>0</v>
      </c>
      <c r="AP643" t="s">
        <v>111</v>
      </c>
      <c r="AQ643" t="s">
        <v>111</v>
      </c>
      <c r="AR643" t="s">
        <v>111</v>
      </c>
      <c r="AS643" t="s">
        <v>111</v>
      </c>
      <c r="AT643" t="s">
        <v>111</v>
      </c>
      <c r="AU643" t="s">
        <v>111</v>
      </c>
      <c r="AV643" t="s">
        <v>111</v>
      </c>
      <c r="AW643" t="s">
        <v>111</v>
      </c>
      <c r="AX643" t="s">
        <v>111</v>
      </c>
      <c r="AY643" t="s">
        <v>111</v>
      </c>
      <c r="AZ643" t="s">
        <v>111</v>
      </c>
      <c r="BA643" t="s">
        <v>111</v>
      </c>
      <c r="BB643" t="s">
        <v>111</v>
      </c>
      <c r="BC643" t="s">
        <v>111</v>
      </c>
      <c r="BD643" t="s">
        <v>111</v>
      </c>
      <c r="BE643" t="s">
        <v>111</v>
      </c>
      <c r="BF643" t="s">
        <v>111</v>
      </c>
      <c r="BG643" t="s">
        <v>111</v>
      </c>
      <c r="BH643" t="s">
        <v>111</v>
      </c>
      <c r="BI643" t="s">
        <v>111</v>
      </c>
      <c r="BJ643" t="s">
        <v>111</v>
      </c>
      <c r="BK643" t="s">
        <v>111</v>
      </c>
      <c r="BL643" t="s">
        <v>111</v>
      </c>
      <c r="BM643" t="s">
        <v>111</v>
      </c>
      <c r="BN643" t="s">
        <v>111</v>
      </c>
      <c r="BO643" t="s">
        <v>111</v>
      </c>
      <c r="BP643" t="s">
        <v>111</v>
      </c>
      <c r="BQ643" t="s">
        <v>111</v>
      </c>
      <c r="BR643" t="s">
        <v>111</v>
      </c>
      <c r="BS643" t="s">
        <v>111</v>
      </c>
      <c r="BT643" t="s">
        <v>111</v>
      </c>
      <c r="BU643" t="s">
        <v>111</v>
      </c>
      <c r="BV643" t="s">
        <v>111</v>
      </c>
      <c r="BW643" t="s">
        <v>111</v>
      </c>
      <c r="BX643" t="s">
        <v>111</v>
      </c>
      <c r="BY643" t="s">
        <v>111</v>
      </c>
      <c r="BZ643" t="s">
        <v>111</v>
      </c>
      <c r="CA643" t="s">
        <v>111</v>
      </c>
      <c r="CB643" t="s">
        <v>111</v>
      </c>
      <c r="CC643" t="s">
        <v>111</v>
      </c>
      <c r="CD643" t="s">
        <v>111</v>
      </c>
      <c r="CE643" t="s">
        <v>111</v>
      </c>
      <c r="CF643" t="s">
        <v>111</v>
      </c>
      <c r="CG643" t="s">
        <v>111</v>
      </c>
      <c r="CH643" t="s">
        <v>111</v>
      </c>
      <c r="CI643" t="s">
        <v>111</v>
      </c>
      <c r="CJ643" t="s">
        <v>111</v>
      </c>
      <c r="CK643" t="s">
        <v>111</v>
      </c>
      <c r="CL643" t="s">
        <v>111</v>
      </c>
      <c r="CM643">
        <v>450</v>
      </c>
      <c r="CN643" t="s">
        <v>113</v>
      </c>
      <c r="CO643" t="s">
        <v>111</v>
      </c>
      <c r="CP643" t="s">
        <v>111</v>
      </c>
      <c r="CQ643">
        <v>0</v>
      </c>
      <c r="CR643">
        <v>5000</v>
      </c>
      <c r="CS643">
        <v>200</v>
      </c>
      <c r="CT643" t="e">
        <f>-ALMACEN</f>
        <v>#NAME?</v>
      </c>
      <c r="CU643">
        <v>0</v>
      </c>
      <c r="CV643" t="s">
        <v>111</v>
      </c>
      <c r="CX643" t="s">
        <v>111</v>
      </c>
      <c r="CY643">
        <v>0</v>
      </c>
      <c r="CZ643" t="s">
        <v>111</v>
      </c>
      <c r="DA643" t="s">
        <v>111</v>
      </c>
      <c r="DB643" t="s">
        <v>111</v>
      </c>
      <c r="DC643" t="s">
        <v>111</v>
      </c>
    </row>
    <row r="644" spans="1:107">
      <c r="A644">
        <v>1868</v>
      </c>
      <c r="B644" t="s">
        <v>107</v>
      </c>
      <c r="C644" t="s">
        <v>399</v>
      </c>
      <c r="D644" t="s">
        <v>2247</v>
      </c>
      <c r="E644" t="s">
        <v>2248</v>
      </c>
      <c r="F644" t="s">
        <v>1041</v>
      </c>
      <c r="G644" t="s">
        <v>469</v>
      </c>
      <c r="H644">
        <v>0.75</v>
      </c>
      <c r="I644">
        <v>70</v>
      </c>
      <c r="J644">
        <v>0</v>
      </c>
      <c r="K644">
        <v>0</v>
      </c>
      <c r="L644" t="s">
        <v>178</v>
      </c>
      <c r="M644" t="s">
        <v>111</v>
      </c>
      <c r="N644">
        <v>0</v>
      </c>
      <c r="O644">
        <v>0</v>
      </c>
      <c r="P644" t="s">
        <v>111</v>
      </c>
      <c r="Q644">
        <v>44</v>
      </c>
      <c r="R644">
        <v>0</v>
      </c>
      <c r="S644">
        <v>0</v>
      </c>
      <c r="T644">
        <v>5</v>
      </c>
      <c r="U644" t="e">
        <f>-DAETINO MANUALES</f>
        <v>#NAME?</v>
      </c>
      <c r="V644">
        <v>25</v>
      </c>
      <c r="W644">
        <v>0</v>
      </c>
      <c r="X644">
        <v>7</v>
      </c>
      <c r="Y644">
        <v>0</v>
      </c>
      <c r="Z644" t="s">
        <v>990</v>
      </c>
      <c r="AA644">
        <v>1.2</v>
      </c>
      <c r="AB644" t="s">
        <v>271</v>
      </c>
      <c r="AC644">
        <v>0.18</v>
      </c>
      <c r="AD644" t="s">
        <v>111</v>
      </c>
      <c r="AE644">
        <v>0</v>
      </c>
      <c r="AF644">
        <v>0</v>
      </c>
      <c r="AG644" t="s">
        <v>111</v>
      </c>
      <c r="AH644" t="s">
        <v>111</v>
      </c>
      <c r="AI644" t="s">
        <v>111</v>
      </c>
      <c r="AJ644" t="s">
        <v>111</v>
      </c>
      <c r="AK644" t="s">
        <v>111</v>
      </c>
      <c r="AL644" t="s">
        <v>111</v>
      </c>
      <c r="AM644">
        <v>0</v>
      </c>
      <c r="AN644">
        <v>0</v>
      </c>
      <c r="AO644">
        <v>0</v>
      </c>
      <c r="AP644" t="s">
        <v>111</v>
      </c>
      <c r="AQ644" t="s">
        <v>111</v>
      </c>
      <c r="AR644" t="s">
        <v>111</v>
      </c>
      <c r="AS644" t="s">
        <v>111</v>
      </c>
      <c r="AT644" t="s">
        <v>111</v>
      </c>
      <c r="AU644" t="s">
        <v>111</v>
      </c>
      <c r="AV644" t="s">
        <v>111</v>
      </c>
      <c r="AW644" t="s">
        <v>111</v>
      </c>
      <c r="AX644" t="s">
        <v>111</v>
      </c>
      <c r="AY644" t="s">
        <v>111</v>
      </c>
      <c r="AZ644" t="s">
        <v>111</v>
      </c>
      <c r="BA644" t="s">
        <v>111</v>
      </c>
      <c r="BB644" t="s">
        <v>111</v>
      </c>
      <c r="BC644" t="s">
        <v>111</v>
      </c>
      <c r="BD644" t="s">
        <v>111</v>
      </c>
      <c r="BE644" t="s">
        <v>111</v>
      </c>
      <c r="BF644" t="s">
        <v>111</v>
      </c>
      <c r="BG644" t="s">
        <v>111</v>
      </c>
      <c r="BH644" t="s">
        <v>111</v>
      </c>
      <c r="BI644" t="s">
        <v>111</v>
      </c>
      <c r="BJ644" t="s">
        <v>111</v>
      </c>
      <c r="BK644" t="s">
        <v>111</v>
      </c>
      <c r="BL644" t="s">
        <v>111</v>
      </c>
      <c r="BM644" t="s">
        <v>111</v>
      </c>
      <c r="BN644" t="s">
        <v>111</v>
      </c>
      <c r="BO644" t="s">
        <v>111</v>
      </c>
      <c r="BP644" t="s">
        <v>111</v>
      </c>
      <c r="BQ644" t="s">
        <v>111</v>
      </c>
      <c r="BR644" t="s">
        <v>111</v>
      </c>
      <c r="BS644" t="s">
        <v>111</v>
      </c>
      <c r="BT644" t="s">
        <v>111</v>
      </c>
      <c r="BU644" t="s">
        <v>111</v>
      </c>
      <c r="BV644" t="s">
        <v>111</v>
      </c>
      <c r="BW644" t="s">
        <v>111</v>
      </c>
      <c r="BX644" t="s">
        <v>111</v>
      </c>
      <c r="BY644" t="s">
        <v>111</v>
      </c>
      <c r="BZ644" t="s">
        <v>111</v>
      </c>
      <c r="CA644" t="s">
        <v>111</v>
      </c>
      <c r="CB644" t="s">
        <v>111</v>
      </c>
      <c r="CC644" t="s">
        <v>111</v>
      </c>
      <c r="CD644" t="s">
        <v>111</v>
      </c>
      <c r="CE644" t="s">
        <v>111</v>
      </c>
      <c r="CF644" t="s">
        <v>111</v>
      </c>
      <c r="CG644" t="s">
        <v>111</v>
      </c>
      <c r="CH644" t="s">
        <v>111</v>
      </c>
      <c r="CI644" t="s">
        <v>111</v>
      </c>
      <c r="CJ644" t="s">
        <v>111</v>
      </c>
      <c r="CK644" t="s">
        <v>111</v>
      </c>
      <c r="CL644" t="s">
        <v>111</v>
      </c>
      <c r="CM644" t="s">
        <v>111</v>
      </c>
      <c r="CN644" t="s">
        <v>111</v>
      </c>
      <c r="CO644" t="s">
        <v>111</v>
      </c>
      <c r="CP644" t="s">
        <v>111</v>
      </c>
      <c r="CQ644">
        <v>0</v>
      </c>
      <c r="CR644">
        <v>0</v>
      </c>
      <c r="CS644">
        <v>0</v>
      </c>
      <c r="CT644" t="s">
        <v>111</v>
      </c>
      <c r="CU644">
        <v>0</v>
      </c>
      <c r="CV644" t="s">
        <v>111</v>
      </c>
      <c r="CX644" t="s">
        <v>111</v>
      </c>
      <c r="CY644">
        <v>0</v>
      </c>
      <c r="CZ644" t="s">
        <v>111</v>
      </c>
      <c r="DA644" t="s">
        <v>111</v>
      </c>
      <c r="DB644" t="e">
        <f>-INTERNO</f>
        <v>#NAME?</v>
      </c>
      <c r="DC644" t="e">
        <f>-CORTE Y SELLE</f>
        <v>#NAME?</v>
      </c>
    </row>
    <row r="645" spans="1:107">
      <c r="A645">
        <v>1883</v>
      </c>
      <c r="B645" t="s">
        <v>107</v>
      </c>
      <c r="C645" t="s">
        <v>1993</v>
      </c>
      <c r="D645" t="s">
        <v>1247</v>
      </c>
      <c r="E645" t="s">
        <v>1248</v>
      </c>
      <c r="F645" t="s">
        <v>192</v>
      </c>
      <c r="G645" t="s">
        <v>469</v>
      </c>
      <c r="H645">
        <v>1.4</v>
      </c>
      <c r="I645">
        <v>68</v>
      </c>
      <c r="J645">
        <v>0</v>
      </c>
      <c r="K645">
        <v>0</v>
      </c>
      <c r="L645" t="s">
        <v>112</v>
      </c>
      <c r="M645" t="s">
        <v>111</v>
      </c>
      <c r="N645">
        <v>0</v>
      </c>
      <c r="O645">
        <v>0</v>
      </c>
      <c r="P645" t="s">
        <v>111</v>
      </c>
      <c r="Q645">
        <v>42.8</v>
      </c>
      <c r="R645">
        <v>0</v>
      </c>
      <c r="S645">
        <v>0</v>
      </c>
      <c r="T645">
        <v>5</v>
      </c>
      <c r="U645" t="e">
        <f>-SELLADO</f>
        <v>#NAME?</v>
      </c>
      <c r="V645">
        <v>0</v>
      </c>
      <c r="W645">
        <v>25</v>
      </c>
      <c r="X645">
        <v>5</v>
      </c>
      <c r="Y645">
        <v>0</v>
      </c>
      <c r="Z645" t="s">
        <v>111</v>
      </c>
      <c r="AA645">
        <v>0</v>
      </c>
      <c r="AB645" t="s">
        <v>111</v>
      </c>
      <c r="AC645">
        <v>0</v>
      </c>
      <c r="AD645" t="s">
        <v>111</v>
      </c>
      <c r="AE645">
        <v>0</v>
      </c>
      <c r="AF645">
        <v>0</v>
      </c>
      <c r="AG645" t="s">
        <v>111</v>
      </c>
      <c r="AH645" t="s">
        <v>111</v>
      </c>
      <c r="AI645" t="s">
        <v>111</v>
      </c>
      <c r="AJ645" t="s">
        <v>111</v>
      </c>
      <c r="AK645" t="s">
        <v>111</v>
      </c>
      <c r="AL645" t="s">
        <v>111</v>
      </c>
      <c r="AM645">
        <v>0</v>
      </c>
      <c r="AN645">
        <v>0</v>
      </c>
      <c r="AO645">
        <v>0</v>
      </c>
      <c r="AP645" t="s">
        <v>111</v>
      </c>
      <c r="AQ645" t="s">
        <v>111</v>
      </c>
      <c r="AR645" t="s">
        <v>111</v>
      </c>
      <c r="AS645" t="s">
        <v>111</v>
      </c>
      <c r="AT645" t="s">
        <v>111</v>
      </c>
      <c r="AU645" t="s">
        <v>111</v>
      </c>
      <c r="AV645" t="s">
        <v>111</v>
      </c>
      <c r="AW645" t="s">
        <v>111</v>
      </c>
      <c r="AX645" t="s">
        <v>111</v>
      </c>
      <c r="AY645" t="s">
        <v>111</v>
      </c>
      <c r="AZ645" t="s">
        <v>111</v>
      </c>
      <c r="BA645" t="s">
        <v>111</v>
      </c>
      <c r="BB645" t="s">
        <v>111</v>
      </c>
      <c r="BC645" t="s">
        <v>111</v>
      </c>
      <c r="BD645" t="s">
        <v>111</v>
      </c>
      <c r="BE645" t="s">
        <v>111</v>
      </c>
      <c r="BF645" t="s">
        <v>111</v>
      </c>
      <c r="BG645" t="s">
        <v>111</v>
      </c>
      <c r="BH645" t="s">
        <v>111</v>
      </c>
      <c r="BI645" t="s">
        <v>111</v>
      </c>
      <c r="BJ645" t="s">
        <v>111</v>
      </c>
      <c r="BK645" t="s">
        <v>111</v>
      </c>
      <c r="BL645" t="s">
        <v>111</v>
      </c>
      <c r="BM645" t="s">
        <v>111</v>
      </c>
      <c r="BN645" t="s">
        <v>111</v>
      </c>
      <c r="BO645" t="s">
        <v>111</v>
      </c>
      <c r="BP645" t="s">
        <v>111</v>
      </c>
      <c r="BQ645" t="s">
        <v>111</v>
      </c>
      <c r="BR645" t="s">
        <v>111</v>
      </c>
      <c r="BS645" t="s">
        <v>111</v>
      </c>
      <c r="BT645" t="s">
        <v>111</v>
      </c>
      <c r="BU645" t="s">
        <v>111</v>
      </c>
      <c r="BV645" t="s">
        <v>111</v>
      </c>
      <c r="BW645" t="s">
        <v>111</v>
      </c>
      <c r="BX645" t="s">
        <v>111</v>
      </c>
      <c r="BY645" t="s">
        <v>111</v>
      </c>
      <c r="BZ645" t="s">
        <v>111</v>
      </c>
      <c r="CA645" t="s">
        <v>111</v>
      </c>
      <c r="CB645" t="s">
        <v>111</v>
      </c>
      <c r="CC645" t="s">
        <v>111</v>
      </c>
      <c r="CD645" t="s">
        <v>111</v>
      </c>
      <c r="CE645" t="s">
        <v>111</v>
      </c>
      <c r="CF645" t="s">
        <v>111</v>
      </c>
      <c r="CG645" t="s">
        <v>111</v>
      </c>
      <c r="CH645" t="s">
        <v>111</v>
      </c>
      <c r="CI645" t="s">
        <v>111</v>
      </c>
      <c r="CJ645" t="s">
        <v>111</v>
      </c>
      <c r="CK645" t="s">
        <v>111</v>
      </c>
      <c r="CL645" t="s">
        <v>111</v>
      </c>
      <c r="CM645" t="s">
        <v>127</v>
      </c>
      <c r="CN645" t="s">
        <v>128</v>
      </c>
      <c r="CO645" t="s">
        <v>111</v>
      </c>
      <c r="CP645" t="s">
        <v>111</v>
      </c>
      <c r="CQ645">
        <v>0</v>
      </c>
      <c r="CR645">
        <v>1000</v>
      </c>
      <c r="CS645">
        <v>100</v>
      </c>
      <c r="CT645" t="e">
        <f>-MANUALES</f>
        <v>#NAME?</v>
      </c>
      <c r="CU645">
        <v>0</v>
      </c>
      <c r="CV645" t="s">
        <v>111</v>
      </c>
      <c r="CX645" t="s">
        <v>111</v>
      </c>
      <c r="CY645">
        <v>0</v>
      </c>
      <c r="CZ645" t="s">
        <v>111</v>
      </c>
      <c r="DA645" t="s">
        <v>111</v>
      </c>
      <c r="DB645" t="e">
        <f>-INTERNO</f>
        <v>#NAME?</v>
      </c>
      <c r="DC645" t="e">
        <f>-SELLE ACICIONAL</f>
        <v>#NAME?</v>
      </c>
    </row>
    <row r="646" spans="1:107">
      <c r="A646">
        <v>1898</v>
      </c>
      <c r="B646" t="s">
        <v>107</v>
      </c>
      <c r="C646" t="s">
        <v>336</v>
      </c>
      <c r="D646" t="s">
        <v>1078</v>
      </c>
      <c r="E646" t="s">
        <v>2249</v>
      </c>
      <c r="F646" t="s">
        <v>125</v>
      </c>
      <c r="G646" t="s">
        <v>469</v>
      </c>
      <c r="H646">
        <v>1.9</v>
      </c>
      <c r="I646">
        <v>51</v>
      </c>
      <c r="J646">
        <v>0</v>
      </c>
      <c r="K646">
        <v>0</v>
      </c>
      <c r="L646" t="s">
        <v>112</v>
      </c>
      <c r="M646" t="s">
        <v>111</v>
      </c>
      <c r="N646">
        <v>0</v>
      </c>
      <c r="O646">
        <v>0</v>
      </c>
      <c r="P646" t="s">
        <v>111</v>
      </c>
      <c r="Q646">
        <v>50</v>
      </c>
      <c r="R646">
        <v>0</v>
      </c>
      <c r="S646">
        <v>0</v>
      </c>
      <c r="T646">
        <v>5</v>
      </c>
      <c r="U646" s="1" t="s">
        <v>2250</v>
      </c>
      <c r="V646">
        <v>25</v>
      </c>
      <c r="W646">
        <v>29</v>
      </c>
      <c r="X646">
        <v>10</v>
      </c>
      <c r="Y646">
        <v>0</v>
      </c>
      <c r="Z646" t="s">
        <v>111</v>
      </c>
      <c r="AA646">
        <v>0</v>
      </c>
      <c r="AB646" t="s">
        <v>111</v>
      </c>
      <c r="AC646">
        <v>0</v>
      </c>
      <c r="AD646" t="s">
        <v>111</v>
      </c>
      <c r="AE646">
        <v>0</v>
      </c>
      <c r="AF646">
        <v>0</v>
      </c>
      <c r="AG646" t="s">
        <v>111</v>
      </c>
      <c r="AH646" t="s">
        <v>111</v>
      </c>
      <c r="AI646" t="s">
        <v>111</v>
      </c>
      <c r="AJ646" t="s">
        <v>111</v>
      </c>
      <c r="AK646" t="s">
        <v>111</v>
      </c>
      <c r="AL646" t="s">
        <v>111</v>
      </c>
      <c r="AM646">
        <v>0</v>
      </c>
      <c r="AN646">
        <v>0</v>
      </c>
      <c r="AO646">
        <v>0</v>
      </c>
      <c r="AP646" t="s">
        <v>111</v>
      </c>
      <c r="AQ646" t="s">
        <v>111</v>
      </c>
      <c r="AR646" t="s">
        <v>111</v>
      </c>
      <c r="AS646" t="s">
        <v>111</v>
      </c>
      <c r="AT646" t="s">
        <v>111</v>
      </c>
      <c r="AU646" t="s">
        <v>111</v>
      </c>
      <c r="AV646" t="s">
        <v>111</v>
      </c>
      <c r="AW646" t="s">
        <v>111</v>
      </c>
      <c r="AX646" t="s">
        <v>111</v>
      </c>
      <c r="AY646" t="s">
        <v>111</v>
      </c>
      <c r="AZ646" t="s">
        <v>111</v>
      </c>
      <c r="BA646" t="s">
        <v>111</v>
      </c>
      <c r="BB646" t="s">
        <v>111</v>
      </c>
      <c r="BC646" t="s">
        <v>111</v>
      </c>
      <c r="BD646" t="s">
        <v>111</v>
      </c>
      <c r="BE646" t="s">
        <v>111</v>
      </c>
      <c r="BF646" t="s">
        <v>111</v>
      </c>
      <c r="BG646" t="s">
        <v>111</v>
      </c>
      <c r="BH646" t="s">
        <v>111</v>
      </c>
      <c r="BI646" t="s">
        <v>111</v>
      </c>
      <c r="BJ646" t="s">
        <v>111</v>
      </c>
      <c r="BK646" t="s">
        <v>111</v>
      </c>
      <c r="BL646" t="s">
        <v>111</v>
      </c>
      <c r="BM646" t="s">
        <v>111</v>
      </c>
      <c r="BN646" t="s">
        <v>111</v>
      </c>
      <c r="BO646" t="s">
        <v>111</v>
      </c>
      <c r="BP646" t="s">
        <v>111</v>
      </c>
      <c r="BQ646" t="s">
        <v>111</v>
      </c>
      <c r="BR646" t="s">
        <v>111</v>
      </c>
      <c r="BS646" t="s">
        <v>111</v>
      </c>
      <c r="BT646" t="s">
        <v>111</v>
      </c>
      <c r="BU646" t="s">
        <v>111</v>
      </c>
      <c r="BV646" t="s">
        <v>111</v>
      </c>
      <c r="BW646" t="s">
        <v>111</v>
      </c>
      <c r="BX646" t="s">
        <v>111</v>
      </c>
      <c r="BY646" t="s">
        <v>111</v>
      </c>
      <c r="BZ646" t="s">
        <v>111</v>
      </c>
      <c r="CA646" t="s">
        <v>111</v>
      </c>
      <c r="CB646" t="s">
        <v>111</v>
      </c>
      <c r="CC646" t="s">
        <v>111</v>
      </c>
      <c r="CD646" t="s">
        <v>111</v>
      </c>
      <c r="CE646" t="s">
        <v>111</v>
      </c>
      <c r="CF646" t="s">
        <v>111</v>
      </c>
      <c r="CG646" t="s">
        <v>111</v>
      </c>
      <c r="CH646" t="s">
        <v>111</v>
      </c>
      <c r="CI646" t="s">
        <v>111</v>
      </c>
      <c r="CJ646" t="s">
        <v>111</v>
      </c>
      <c r="CK646" t="s">
        <v>111</v>
      </c>
      <c r="CL646" t="s">
        <v>111</v>
      </c>
      <c r="CM646" t="s">
        <v>135</v>
      </c>
      <c r="CN646" t="s">
        <v>128</v>
      </c>
      <c r="CO646" t="s">
        <v>111</v>
      </c>
      <c r="CP646" t="s">
        <v>111</v>
      </c>
      <c r="CQ646">
        <v>0</v>
      </c>
      <c r="CR646">
        <v>500</v>
      </c>
      <c r="CS646">
        <v>25</v>
      </c>
      <c r="CT646" t="e">
        <f>-  AMACEN</f>
        <v>#NAME?</v>
      </c>
      <c r="CU646">
        <v>0</v>
      </c>
      <c r="CV646" t="s">
        <v>111</v>
      </c>
      <c r="CX646" t="s">
        <v>111</v>
      </c>
      <c r="CY646">
        <v>0</v>
      </c>
      <c r="CZ646" t="s">
        <v>111</v>
      </c>
      <c r="DA646" t="s">
        <v>111</v>
      </c>
      <c r="DB646" t="s">
        <v>111</v>
      </c>
      <c r="DC646" t="s">
        <v>111</v>
      </c>
    </row>
    <row r="647" spans="1:107">
      <c r="A647">
        <v>1881</v>
      </c>
      <c r="B647" t="s">
        <v>107</v>
      </c>
      <c r="C647" t="s">
        <v>2251</v>
      </c>
      <c r="D647" t="s">
        <v>2252</v>
      </c>
      <c r="E647" t="s">
        <v>2253</v>
      </c>
      <c r="F647" t="s">
        <v>561</v>
      </c>
      <c r="G647" t="s">
        <v>469</v>
      </c>
      <c r="H647">
        <v>1.9</v>
      </c>
      <c r="I647">
        <v>35</v>
      </c>
      <c r="J647">
        <v>0</v>
      </c>
      <c r="K647">
        <v>0</v>
      </c>
      <c r="L647" t="s">
        <v>178</v>
      </c>
      <c r="M647" t="s">
        <v>118</v>
      </c>
      <c r="N647">
        <v>0</v>
      </c>
      <c r="O647">
        <v>2</v>
      </c>
      <c r="P647" t="s">
        <v>111</v>
      </c>
      <c r="Q647">
        <v>33.200000000000003</v>
      </c>
      <c r="R647">
        <v>0</v>
      </c>
      <c r="S647">
        <v>0</v>
      </c>
      <c r="T647">
        <v>5</v>
      </c>
      <c r="U647" s="1" t="s">
        <v>2254</v>
      </c>
      <c r="V647">
        <v>25</v>
      </c>
      <c r="W647">
        <v>0</v>
      </c>
      <c r="X647">
        <v>8</v>
      </c>
      <c r="Y647">
        <v>0</v>
      </c>
      <c r="Z647" t="s">
        <v>111</v>
      </c>
      <c r="AA647">
        <v>0</v>
      </c>
      <c r="AB647" t="s">
        <v>111</v>
      </c>
      <c r="AC647">
        <v>0</v>
      </c>
      <c r="AD647" t="s">
        <v>416</v>
      </c>
      <c r="AE647">
        <v>0</v>
      </c>
      <c r="AF647">
        <v>0</v>
      </c>
      <c r="AG647" t="s">
        <v>111</v>
      </c>
      <c r="AH647" t="s">
        <v>111</v>
      </c>
      <c r="AI647" t="s">
        <v>111</v>
      </c>
      <c r="AJ647" t="s">
        <v>111</v>
      </c>
      <c r="AK647" t="s">
        <v>111</v>
      </c>
      <c r="AL647" t="s">
        <v>111</v>
      </c>
      <c r="AM647">
        <v>0</v>
      </c>
      <c r="AN647">
        <v>0</v>
      </c>
      <c r="AO647">
        <v>0</v>
      </c>
      <c r="AP647" t="s">
        <v>111</v>
      </c>
      <c r="AQ647" t="s">
        <v>111</v>
      </c>
      <c r="AR647" t="s">
        <v>111</v>
      </c>
      <c r="AS647" t="s">
        <v>111</v>
      </c>
      <c r="AT647" t="s">
        <v>111</v>
      </c>
      <c r="AU647" t="s">
        <v>111</v>
      </c>
      <c r="AV647" t="s">
        <v>111</v>
      </c>
      <c r="AW647" t="s">
        <v>111</v>
      </c>
      <c r="AX647" t="s">
        <v>111</v>
      </c>
      <c r="AY647" t="s">
        <v>111</v>
      </c>
      <c r="AZ647" t="s">
        <v>111</v>
      </c>
      <c r="BA647" t="s">
        <v>111</v>
      </c>
      <c r="BB647" t="s">
        <v>111</v>
      </c>
      <c r="BC647" t="s">
        <v>111</v>
      </c>
      <c r="BD647" t="s">
        <v>111</v>
      </c>
      <c r="BE647" t="s">
        <v>111</v>
      </c>
      <c r="BF647" t="s">
        <v>111</v>
      </c>
      <c r="BG647" t="s">
        <v>111</v>
      </c>
      <c r="BH647" t="s">
        <v>111</v>
      </c>
      <c r="BI647" t="s">
        <v>111</v>
      </c>
      <c r="BJ647" t="s">
        <v>111</v>
      </c>
      <c r="BK647" t="s">
        <v>111</v>
      </c>
      <c r="BL647" t="s">
        <v>111</v>
      </c>
      <c r="BM647" t="s">
        <v>111</v>
      </c>
      <c r="BN647" t="s">
        <v>111</v>
      </c>
      <c r="BO647" t="s">
        <v>111</v>
      </c>
      <c r="BP647" t="s">
        <v>111</v>
      </c>
      <c r="BQ647" t="s">
        <v>111</v>
      </c>
      <c r="BR647" t="s">
        <v>111</v>
      </c>
      <c r="BS647" t="s">
        <v>111</v>
      </c>
      <c r="BT647" t="s">
        <v>111</v>
      </c>
      <c r="BU647" t="s">
        <v>111</v>
      </c>
      <c r="BV647" t="s">
        <v>111</v>
      </c>
      <c r="BW647" t="s">
        <v>111</v>
      </c>
      <c r="BX647" t="s">
        <v>111</v>
      </c>
      <c r="BY647" t="s">
        <v>111</v>
      </c>
      <c r="BZ647" t="s">
        <v>111</v>
      </c>
      <c r="CA647" t="s">
        <v>111</v>
      </c>
      <c r="CB647" t="s">
        <v>111</v>
      </c>
      <c r="CC647" t="s">
        <v>111</v>
      </c>
      <c r="CD647" t="s">
        <v>111</v>
      </c>
      <c r="CE647" t="s">
        <v>111</v>
      </c>
      <c r="CF647" t="s">
        <v>111</v>
      </c>
      <c r="CG647" t="s">
        <v>111</v>
      </c>
      <c r="CH647" t="s">
        <v>111</v>
      </c>
      <c r="CI647" t="s">
        <v>111</v>
      </c>
      <c r="CJ647" t="s">
        <v>111</v>
      </c>
      <c r="CK647" t="s">
        <v>111</v>
      </c>
      <c r="CL647" t="s">
        <v>111</v>
      </c>
      <c r="CM647" t="s">
        <v>135</v>
      </c>
      <c r="CN647" t="s">
        <v>113</v>
      </c>
      <c r="CO647" t="s">
        <v>367</v>
      </c>
      <c r="CP647" t="s">
        <v>111</v>
      </c>
      <c r="CQ647">
        <v>0</v>
      </c>
      <c r="CR647">
        <v>1000</v>
      </c>
      <c r="CS647">
        <v>50</v>
      </c>
      <c r="CT647" t="e">
        <f>-BIEN EMPACADO PARA TROQUELAR</f>
        <v>#NAME?</v>
      </c>
      <c r="CU647">
        <v>0</v>
      </c>
      <c r="CV647" t="s">
        <v>111</v>
      </c>
      <c r="CX647" t="s">
        <v>111</v>
      </c>
      <c r="CY647">
        <v>0</v>
      </c>
      <c r="CZ647" t="s">
        <v>111</v>
      </c>
      <c r="DA647" t="s">
        <v>111</v>
      </c>
      <c r="DB647" t="e">
        <f>-INTERNO</f>
        <v>#NAME?</v>
      </c>
      <c r="DC647" t="e">
        <f>-TROQUEL RIÑON</f>
        <v>#NAME?</v>
      </c>
    </row>
    <row r="648" spans="1:107">
      <c r="A648">
        <v>1899</v>
      </c>
      <c r="B648" t="s">
        <v>107</v>
      </c>
      <c r="C648" t="s">
        <v>336</v>
      </c>
      <c r="D648" t="s">
        <v>1149</v>
      </c>
      <c r="E648" t="s">
        <v>2255</v>
      </c>
      <c r="F648" t="s">
        <v>125</v>
      </c>
      <c r="G648" t="s">
        <v>469</v>
      </c>
      <c r="H648">
        <v>2</v>
      </c>
      <c r="I648">
        <v>51</v>
      </c>
      <c r="J648">
        <v>0</v>
      </c>
      <c r="K648">
        <v>0</v>
      </c>
      <c r="L648" t="s">
        <v>112</v>
      </c>
      <c r="M648" t="s">
        <v>111</v>
      </c>
      <c r="N648">
        <v>0</v>
      </c>
      <c r="O648">
        <v>0</v>
      </c>
      <c r="P648" t="s">
        <v>111</v>
      </c>
      <c r="Q648">
        <v>50</v>
      </c>
      <c r="R648">
        <v>0</v>
      </c>
      <c r="S648">
        <v>0</v>
      </c>
      <c r="T648">
        <v>5</v>
      </c>
      <c r="U648" t="e">
        <f>-MANUALES</f>
        <v>#NAME?</v>
      </c>
      <c r="V648">
        <v>25</v>
      </c>
      <c r="W648">
        <v>0</v>
      </c>
      <c r="X648">
        <v>8</v>
      </c>
      <c r="Y648">
        <v>0</v>
      </c>
      <c r="Z648" t="s">
        <v>111</v>
      </c>
      <c r="AA648">
        <v>0</v>
      </c>
      <c r="AB648" t="s">
        <v>111</v>
      </c>
      <c r="AC648">
        <v>0</v>
      </c>
      <c r="AD648" t="s">
        <v>111</v>
      </c>
      <c r="AE648">
        <v>0</v>
      </c>
      <c r="AF648">
        <v>0</v>
      </c>
      <c r="AG648" t="s">
        <v>111</v>
      </c>
      <c r="AH648" t="s">
        <v>111</v>
      </c>
      <c r="AI648" t="s">
        <v>111</v>
      </c>
      <c r="AJ648" t="s">
        <v>111</v>
      </c>
      <c r="AK648" t="s">
        <v>111</v>
      </c>
      <c r="AL648" t="s">
        <v>111</v>
      </c>
      <c r="AM648">
        <v>0</v>
      </c>
      <c r="AN648">
        <v>0</v>
      </c>
      <c r="AO648">
        <v>0</v>
      </c>
      <c r="AP648" t="s">
        <v>111</v>
      </c>
      <c r="AQ648" t="s">
        <v>111</v>
      </c>
      <c r="AR648" t="s">
        <v>111</v>
      </c>
      <c r="AS648" t="s">
        <v>111</v>
      </c>
      <c r="AT648" t="s">
        <v>111</v>
      </c>
      <c r="AU648" t="s">
        <v>111</v>
      </c>
      <c r="AV648" t="s">
        <v>111</v>
      </c>
      <c r="AW648" t="s">
        <v>111</v>
      </c>
      <c r="AX648" t="s">
        <v>111</v>
      </c>
      <c r="AY648" t="s">
        <v>111</v>
      </c>
      <c r="AZ648" t="s">
        <v>111</v>
      </c>
      <c r="BA648" t="s">
        <v>111</v>
      </c>
      <c r="BB648" t="s">
        <v>111</v>
      </c>
      <c r="BC648" t="s">
        <v>111</v>
      </c>
      <c r="BD648" t="s">
        <v>111</v>
      </c>
      <c r="BE648" t="s">
        <v>111</v>
      </c>
      <c r="BF648" t="s">
        <v>111</v>
      </c>
      <c r="BG648" t="s">
        <v>111</v>
      </c>
      <c r="BH648" t="s">
        <v>111</v>
      </c>
      <c r="BI648" t="s">
        <v>111</v>
      </c>
      <c r="BJ648" t="s">
        <v>111</v>
      </c>
      <c r="BK648" t="s">
        <v>111</v>
      </c>
      <c r="BL648" t="s">
        <v>111</v>
      </c>
      <c r="BM648" t="s">
        <v>111</v>
      </c>
      <c r="BN648" t="s">
        <v>111</v>
      </c>
      <c r="BO648" t="s">
        <v>111</v>
      </c>
      <c r="BP648" t="s">
        <v>111</v>
      </c>
      <c r="BQ648" t="s">
        <v>111</v>
      </c>
      <c r="BR648" t="s">
        <v>111</v>
      </c>
      <c r="BS648" t="s">
        <v>111</v>
      </c>
      <c r="BT648" t="s">
        <v>111</v>
      </c>
      <c r="BU648" t="s">
        <v>111</v>
      </c>
      <c r="BV648" t="s">
        <v>111</v>
      </c>
      <c r="BW648" t="s">
        <v>111</v>
      </c>
      <c r="BX648" t="s">
        <v>111</v>
      </c>
      <c r="BY648" t="s">
        <v>111</v>
      </c>
      <c r="BZ648" t="s">
        <v>111</v>
      </c>
      <c r="CA648" t="s">
        <v>111</v>
      </c>
      <c r="CB648" t="s">
        <v>111</v>
      </c>
      <c r="CC648" t="s">
        <v>111</v>
      </c>
      <c r="CD648" t="s">
        <v>111</v>
      </c>
      <c r="CE648" t="s">
        <v>111</v>
      </c>
      <c r="CF648" t="s">
        <v>111</v>
      </c>
      <c r="CG648" t="s">
        <v>111</v>
      </c>
      <c r="CH648" t="s">
        <v>111</v>
      </c>
      <c r="CI648" t="s">
        <v>111</v>
      </c>
      <c r="CJ648" t="s">
        <v>111</v>
      </c>
      <c r="CK648" t="s">
        <v>111</v>
      </c>
      <c r="CL648" t="s">
        <v>111</v>
      </c>
      <c r="CM648" t="s">
        <v>111</v>
      </c>
      <c r="CN648" t="s">
        <v>111</v>
      </c>
      <c r="CO648" t="s">
        <v>111</v>
      </c>
      <c r="CP648" t="s">
        <v>111</v>
      </c>
      <c r="CQ648">
        <v>0</v>
      </c>
      <c r="CR648">
        <v>300</v>
      </c>
      <c r="CS648">
        <v>25</v>
      </c>
      <c r="CT648" t="s">
        <v>111</v>
      </c>
      <c r="CU648">
        <v>0</v>
      </c>
      <c r="CV648" t="s">
        <v>111</v>
      </c>
      <c r="CX648" t="s">
        <v>111</v>
      </c>
      <c r="CY648">
        <v>0</v>
      </c>
      <c r="CZ648" t="s">
        <v>111</v>
      </c>
      <c r="DA648" t="s">
        <v>111</v>
      </c>
      <c r="DB648" t="e">
        <f>-INTERNO</f>
        <v>#NAME?</v>
      </c>
      <c r="DC648" t="e">
        <f>-CORTE Y SELLE</f>
        <v>#NAME?</v>
      </c>
    </row>
    <row r="649" spans="1:107">
      <c r="A649">
        <v>1900</v>
      </c>
      <c r="B649" t="s">
        <v>107</v>
      </c>
      <c r="C649" t="s">
        <v>336</v>
      </c>
      <c r="D649" t="s">
        <v>1153</v>
      </c>
      <c r="E649" t="s">
        <v>2256</v>
      </c>
      <c r="F649" t="s">
        <v>125</v>
      </c>
      <c r="G649" t="s">
        <v>469</v>
      </c>
      <c r="H649">
        <v>1.9</v>
      </c>
      <c r="I649">
        <v>60</v>
      </c>
      <c r="J649">
        <v>0</v>
      </c>
      <c r="K649">
        <v>0</v>
      </c>
      <c r="L649" t="s">
        <v>112</v>
      </c>
      <c r="M649" t="s">
        <v>111</v>
      </c>
      <c r="N649">
        <v>0</v>
      </c>
      <c r="O649">
        <v>0</v>
      </c>
      <c r="P649" t="s">
        <v>111</v>
      </c>
      <c r="Q649">
        <v>50</v>
      </c>
      <c r="R649">
        <v>0</v>
      </c>
      <c r="S649">
        <v>0</v>
      </c>
      <c r="T649">
        <v>5</v>
      </c>
      <c r="U649" s="1" t="s">
        <v>2257</v>
      </c>
      <c r="V649">
        <v>25</v>
      </c>
      <c r="W649">
        <v>29</v>
      </c>
      <c r="X649">
        <v>10</v>
      </c>
      <c r="Y649">
        <v>0</v>
      </c>
      <c r="Z649" t="s">
        <v>111</v>
      </c>
      <c r="AA649">
        <v>0</v>
      </c>
      <c r="AB649" t="s">
        <v>111</v>
      </c>
      <c r="AC649">
        <v>0</v>
      </c>
      <c r="AD649" t="s">
        <v>111</v>
      </c>
      <c r="AE649">
        <v>0</v>
      </c>
      <c r="AF649">
        <v>0</v>
      </c>
      <c r="AG649" t="s">
        <v>111</v>
      </c>
      <c r="AH649" t="s">
        <v>111</v>
      </c>
      <c r="AI649" t="s">
        <v>111</v>
      </c>
      <c r="AJ649" t="s">
        <v>111</v>
      </c>
      <c r="AK649" t="s">
        <v>111</v>
      </c>
      <c r="AL649" t="s">
        <v>111</v>
      </c>
      <c r="AM649">
        <v>0</v>
      </c>
      <c r="AN649">
        <v>0</v>
      </c>
      <c r="AO649">
        <v>0</v>
      </c>
      <c r="AP649" t="s">
        <v>111</v>
      </c>
      <c r="AQ649" t="s">
        <v>111</v>
      </c>
      <c r="AR649" t="s">
        <v>111</v>
      </c>
      <c r="AS649" t="s">
        <v>111</v>
      </c>
      <c r="AT649" t="s">
        <v>111</v>
      </c>
      <c r="AU649" t="s">
        <v>111</v>
      </c>
      <c r="AV649" t="s">
        <v>111</v>
      </c>
      <c r="AW649" t="s">
        <v>111</v>
      </c>
      <c r="AX649" t="s">
        <v>111</v>
      </c>
      <c r="AY649" t="s">
        <v>111</v>
      </c>
      <c r="AZ649" t="s">
        <v>111</v>
      </c>
      <c r="BA649" t="s">
        <v>111</v>
      </c>
      <c r="BB649" t="s">
        <v>111</v>
      </c>
      <c r="BC649" t="s">
        <v>111</v>
      </c>
      <c r="BD649" t="s">
        <v>111</v>
      </c>
      <c r="BE649" t="s">
        <v>111</v>
      </c>
      <c r="BF649" t="s">
        <v>111</v>
      </c>
      <c r="BG649" t="s">
        <v>111</v>
      </c>
      <c r="BH649" t="s">
        <v>111</v>
      </c>
      <c r="BI649" t="s">
        <v>111</v>
      </c>
      <c r="BJ649" t="s">
        <v>111</v>
      </c>
      <c r="BK649" t="s">
        <v>111</v>
      </c>
      <c r="BL649" t="s">
        <v>111</v>
      </c>
      <c r="BM649" t="s">
        <v>111</v>
      </c>
      <c r="BN649" t="s">
        <v>111</v>
      </c>
      <c r="BO649" t="s">
        <v>111</v>
      </c>
      <c r="BP649" t="s">
        <v>111</v>
      </c>
      <c r="BQ649" t="s">
        <v>111</v>
      </c>
      <c r="BR649" t="s">
        <v>111</v>
      </c>
      <c r="BS649" t="s">
        <v>111</v>
      </c>
      <c r="BT649" t="s">
        <v>111</v>
      </c>
      <c r="BU649" t="s">
        <v>111</v>
      </c>
      <c r="BV649" t="s">
        <v>111</v>
      </c>
      <c r="BW649" t="s">
        <v>111</v>
      </c>
      <c r="BX649" t="s">
        <v>111</v>
      </c>
      <c r="BY649" t="s">
        <v>111</v>
      </c>
      <c r="BZ649" t="s">
        <v>111</v>
      </c>
      <c r="CA649" t="s">
        <v>111</v>
      </c>
      <c r="CB649" t="s">
        <v>111</v>
      </c>
      <c r="CC649" t="s">
        <v>111</v>
      </c>
      <c r="CD649" t="s">
        <v>111</v>
      </c>
      <c r="CE649" t="s">
        <v>111</v>
      </c>
      <c r="CF649" t="s">
        <v>111</v>
      </c>
      <c r="CG649" t="s">
        <v>111</v>
      </c>
      <c r="CH649" t="s">
        <v>111</v>
      </c>
      <c r="CI649" t="s">
        <v>111</v>
      </c>
      <c r="CJ649" t="s">
        <v>111</v>
      </c>
      <c r="CK649" t="s">
        <v>111</v>
      </c>
      <c r="CL649" t="s">
        <v>111</v>
      </c>
      <c r="CM649" t="s">
        <v>111</v>
      </c>
      <c r="CN649" t="s">
        <v>111</v>
      </c>
      <c r="CO649" t="s">
        <v>111</v>
      </c>
      <c r="CP649" t="s">
        <v>111</v>
      </c>
      <c r="CQ649">
        <v>0</v>
      </c>
      <c r="CR649">
        <v>200</v>
      </c>
      <c r="CS649">
        <v>25</v>
      </c>
      <c r="CT649" t="s">
        <v>111</v>
      </c>
      <c r="CU649">
        <v>0</v>
      </c>
      <c r="CV649" t="s">
        <v>111</v>
      </c>
      <c r="CX649" t="s">
        <v>111</v>
      </c>
      <c r="CY649">
        <v>0</v>
      </c>
      <c r="CZ649" t="s">
        <v>111</v>
      </c>
      <c r="DA649" t="s">
        <v>111</v>
      </c>
      <c r="DB649" t="e">
        <f>-INTERNO</f>
        <v>#NAME?</v>
      </c>
      <c r="DC649" t="e">
        <f>-CORTE Y SELLE</f>
        <v>#NAME?</v>
      </c>
    </row>
    <row r="650" spans="1:107">
      <c r="A650">
        <v>1901</v>
      </c>
      <c r="B650" t="s">
        <v>107</v>
      </c>
      <c r="C650" t="s">
        <v>412</v>
      </c>
      <c r="D650" t="s">
        <v>2258</v>
      </c>
      <c r="E650" t="s">
        <v>2259</v>
      </c>
      <c r="F650" t="s">
        <v>431</v>
      </c>
      <c r="G650" t="s">
        <v>469</v>
      </c>
      <c r="H650">
        <v>1.5</v>
      </c>
      <c r="I650">
        <v>40</v>
      </c>
      <c r="J650">
        <v>0</v>
      </c>
      <c r="K650">
        <v>0</v>
      </c>
      <c r="L650" t="s">
        <v>117</v>
      </c>
      <c r="M650" t="s">
        <v>118</v>
      </c>
      <c r="N650">
        <v>39</v>
      </c>
      <c r="O650">
        <v>1</v>
      </c>
      <c r="P650" t="s">
        <v>111</v>
      </c>
      <c r="Q650">
        <v>26.5</v>
      </c>
      <c r="R650">
        <v>0</v>
      </c>
      <c r="S650">
        <v>0</v>
      </c>
      <c r="T650">
        <v>5</v>
      </c>
      <c r="U650" s="1" t="s">
        <v>2260</v>
      </c>
      <c r="V650">
        <v>0</v>
      </c>
      <c r="W650">
        <v>25</v>
      </c>
      <c r="X650">
        <v>8</v>
      </c>
      <c r="Y650">
        <v>0</v>
      </c>
      <c r="Z650" t="s">
        <v>111</v>
      </c>
      <c r="AA650">
        <v>0</v>
      </c>
      <c r="AB650" t="s">
        <v>111</v>
      </c>
      <c r="AC650">
        <v>0</v>
      </c>
      <c r="AD650" t="s">
        <v>416</v>
      </c>
      <c r="AE650">
        <v>0</v>
      </c>
      <c r="AF650">
        <v>0</v>
      </c>
      <c r="AG650" t="s">
        <v>111</v>
      </c>
      <c r="AH650" t="s">
        <v>111</v>
      </c>
      <c r="AI650" t="s">
        <v>111</v>
      </c>
      <c r="AJ650" t="s">
        <v>111</v>
      </c>
      <c r="AK650" t="s">
        <v>111</v>
      </c>
      <c r="AL650" t="s">
        <v>111</v>
      </c>
      <c r="AM650">
        <v>0</v>
      </c>
      <c r="AN650">
        <v>0</v>
      </c>
      <c r="AO650">
        <v>0</v>
      </c>
      <c r="AP650" t="s">
        <v>111</v>
      </c>
      <c r="AQ650" t="s">
        <v>111</v>
      </c>
      <c r="AR650" t="s">
        <v>111</v>
      </c>
      <c r="AS650" t="s">
        <v>111</v>
      </c>
      <c r="AT650" t="s">
        <v>111</v>
      </c>
      <c r="AU650" t="s">
        <v>111</v>
      </c>
      <c r="AV650" t="s">
        <v>111</v>
      </c>
      <c r="AW650" t="s">
        <v>111</v>
      </c>
      <c r="AX650" t="s">
        <v>111</v>
      </c>
      <c r="AY650" t="s">
        <v>111</v>
      </c>
      <c r="AZ650" t="s">
        <v>111</v>
      </c>
      <c r="BA650" t="s">
        <v>111</v>
      </c>
      <c r="BB650" t="s">
        <v>111</v>
      </c>
      <c r="BC650" t="s">
        <v>111</v>
      </c>
      <c r="BD650" t="s">
        <v>111</v>
      </c>
      <c r="BE650" t="s">
        <v>111</v>
      </c>
      <c r="BF650" t="s">
        <v>111</v>
      </c>
      <c r="BG650" t="s">
        <v>111</v>
      </c>
      <c r="BH650" t="s">
        <v>111</v>
      </c>
      <c r="BI650" t="s">
        <v>111</v>
      </c>
      <c r="BJ650" t="s">
        <v>111</v>
      </c>
      <c r="BK650" t="s">
        <v>111</v>
      </c>
      <c r="BL650" t="s">
        <v>111</v>
      </c>
      <c r="BM650" t="s">
        <v>111</v>
      </c>
      <c r="BN650" t="s">
        <v>111</v>
      </c>
      <c r="BO650" t="s">
        <v>111</v>
      </c>
      <c r="BP650" t="s">
        <v>111</v>
      </c>
      <c r="BQ650" t="s">
        <v>111</v>
      </c>
      <c r="BR650" t="s">
        <v>111</v>
      </c>
      <c r="BS650" t="s">
        <v>111</v>
      </c>
      <c r="BT650" t="s">
        <v>111</v>
      </c>
      <c r="BU650" t="s">
        <v>111</v>
      </c>
      <c r="BV650" t="s">
        <v>111</v>
      </c>
      <c r="BW650" t="s">
        <v>111</v>
      </c>
      <c r="BX650" t="s">
        <v>111</v>
      </c>
      <c r="BY650" t="s">
        <v>111</v>
      </c>
      <c r="BZ650" t="s">
        <v>111</v>
      </c>
      <c r="CA650" t="s">
        <v>111</v>
      </c>
      <c r="CB650" t="s">
        <v>111</v>
      </c>
      <c r="CC650" t="s">
        <v>111</v>
      </c>
      <c r="CD650" t="s">
        <v>111</v>
      </c>
      <c r="CE650" t="s">
        <v>111</v>
      </c>
      <c r="CF650" t="s">
        <v>111</v>
      </c>
      <c r="CG650" t="s">
        <v>111</v>
      </c>
      <c r="CH650" t="s">
        <v>111</v>
      </c>
      <c r="CI650" t="s">
        <v>111</v>
      </c>
      <c r="CJ650" t="s">
        <v>111</v>
      </c>
      <c r="CK650" t="s">
        <v>111</v>
      </c>
      <c r="CL650" t="s">
        <v>111</v>
      </c>
      <c r="CM650">
        <v>450</v>
      </c>
      <c r="CN650" t="s">
        <v>113</v>
      </c>
      <c r="CO650" t="s">
        <v>111</v>
      </c>
      <c r="CP650" t="s">
        <v>111</v>
      </c>
      <c r="CQ650">
        <v>0</v>
      </c>
      <c r="CR650">
        <v>15000</v>
      </c>
      <c r="CS650">
        <v>200</v>
      </c>
      <c r="CT650" t="e">
        <f>-ALMACEN</f>
        <v>#NAME?</v>
      </c>
      <c r="CU650">
        <v>0</v>
      </c>
      <c r="CV650" t="s">
        <v>111</v>
      </c>
      <c r="CX650" t="s">
        <v>111</v>
      </c>
      <c r="CY650">
        <v>0</v>
      </c>
      <c r="CZ650" t="s">
        <v>111</v>
      </c>
      <c r="DA650" t="s">
        <v>111</v>
      </c>
      <c r="DB650" t="s">
        <v>111</v>
      </c>
      <c r="DC650" t="s">
        <v>111</v>
      </c>
    </row>
    <row r="651" spans="1:107">
      <c r="A651">
        <v>1573</v>
      </c>
      <c r="B651" t="s">
        <v>107</v>
      </c>
      <c r="C651" t="s">
        <v>412</v>
      </c>
      <c r="D651" t="s">
        <v>2261</v>
      </c>
      <c r="E651" t="s">
        <v>2262</v>
      </c>
      <c r="F651" t="s">
        <v>431</v>
      </c>
      <c r="G651" t="s">
        <v>469</v>
      </c>
      <c r="H651">
        <v>1.5</v>
      </c>
      <c r="I651">
        <v>52</v>
      </c>
      <c r="J651">
        <v>0</v>
      </c>
      <c r="K651">
        <v>0</v>
      </c>
      <c r="L651" t="s">
        <v>117</v>
      </c>
      <c r="M651" t="s">
        <v>138</v>
      </c>
      <c r="N651">
        <v>40</v>
      </c>
      <c r="O651">
        <v>1</v>
      </c>
      <c r="P651" t="s">
        <v>111</v>
      </c>
      <c r="Q651">
        <v>35.700000000000003</v>
      </c>
      <c r="R651">
        <v>0</v>
      </c>
      <c r="S651">
        <v>0</v>
      </c>
      <c r="T651">
        <v>5</v>
      </c>
      <c r="U651" t="e">
        <f>-IMPRESION DARMA</f>
        <v>#NAME?</v>
      </c>
      <c r="V651">
        <v>0</v>
      </c>
      <c r="W651">
        <v>25</v>
      </c>
      <c r="X651">
        <v>6</v>
      </c>
      <c r="Y651">
        <v>0</v>
      </c>
      <c r="Z651" t="s">
        <v>111</v>
      </c>
      <c r="AA651">
        <v>0</v>
      </c>
      <c r="AB651" t="s">
        <v>111</v>
      </c>
      <c r="AC651">
        <v>0</v>
      </c>
      <c r="AD651" t="s">
        <v>416</v>
      </c>
      <c r="AE651">
        <v>0</v>
      </c>
      <c r="AF651">
        <v>0</v>
      </c>
      <c r="AG651" t="s">
        <v>111</v>
      </c>
      <c r="AH651" t="s">
        <v>113</v>
      </c>
      <c r="AI651" t="s">
        <v>111</v>
      </c>
      <c r="AJ651" t="s">
        <v>111</v>
      </c>
      <c r="AK651" t="s">
        <v>111</v>
      </c>
      <c r="AL651" t="s">
        <v>111</v>
      </c>
      <c r="AM651">
        <v>0</v>
      </c>
      <c r="AN651">
        <v>0</v>
      </c>
      <c r="AO651">
        <v>0</v>
      </c>
      <c r="AP651" t="s">
        <v>111</v>
      </c>
      <c r="AQ651" t="s">
        <v>111</v>
      </c>
      <c r="AR651" t="s">
        <v>111</v>
      </c>
      <c r="AS651" t="s">
        <v>111</v>
      </c>
      <c r="AT651" t="s">
        <v>111</v>
      </c>
      <c r="AU651" t="s">
        <v>111</v>
      </c>
      <c r="AV651" t="s">
        <v>111</v>
      </c>
      <c r="AW651" t="s">
        <v>111</v>
      </c>
      <c r="AX651" t="s">
        <v>111</v>
      </c>
      <c r="AY651" t="s">
        <v>111</v>
      </c>
      <c r="AZ651" t="s">
        <v>111</v>
      </c>
      <c r="BA651" t="s">
        <v>111</v>
      </c>
      <c r="BB651" t="s">
        <v>111</v>
      </c>
      <c r="BC651" t="s">
        <v>111</v>
      </c>
      <c r="BD651" t="s">
        <v>111</v>
      </c>
      <c r="BE651" t="s">
        <v>111</v>
      </c>
      <c r="BF651" t="s">
        <v>111</v>
      </c>
      <c r="BG651" t="s">
        <v>111</v>
      </c>
      <c r="BH651" t="s">
        <v>111</v>
      </c>
      <c r="BI651" t="s">
        <v>111</v>
      </c>
      <c r="BJ651" t="s">
        <v>111</v>
      </c>
      <c r="BK651" t="s">
        <v>111</v>
      </c>
      <c r="BL651" t="s">
        <v>111</v>
      </c>
      <c r="BM651" t="s">
        <v>111</v>
      </c>
      <c r="BN651" t="s">
        <v>111</v>
      </c>
      <c r="BO651" t="s">
        <v>111</v>
      </c>
      <c r="BP651" t="s">
        <v>111</v>
      </c>
      <c r="BQ651" t="s">
        <v>111</v>
      </c>
      <c r="BR651" t="s">
        <v>111</v>
      </c>
      <c r="BS651" t="s">
        <v>111</v>
      </c>
      <c r="BT651" t="s">
        <v>111</v>
      </c>
      <c r="BU651" t="s">
        <v>111</v>
      </c>
      <c r="BV651" t="s">
        <v>111</v>
      </c>
      <c r="BW651" t="s">
        <v>111</v>
      </c>
      <c r="BX651" t="s">
        <v>111</v>
      </c>
      <c r="BY651" t="s">
        <v>111</v>
      </c>
      <c r="BZ651" t="s">
        <v>111</v>
      </c>
      <c r="CA651" t="s">
        <v>111</v>
      </c>
      <c r="CB651" t="s">
        <v>111</v>
      </c>
      <c r="CC651" t="s">
        <v>111</v>
      </c>
      <c r="CD651" t="s">
        <v>111</v>
      </c>
      <c r="CE651" t="s">
        <v>111</v>
      </c>
      <c r="CF651" t="s">
        <v>111</v>
      </c>
      <c r="CG651" t="s">
        <v>111</v>
      </c>
      <c r="CH651" t="s">
        <v>111</v>
      </c>
      <c r="CI651" t="s">
        <v>111</v>
      </c>
      <c r="CJ651" t="s">
        <v>111</v>
      </c>
      <c r="CK651" t="s">
        <v>111</v>
      </c>
      <c r="CL651" t="s">
        <v>111</v>
      </c>
      <c r="CM651" t="s">
        <v>135</v>
      </c>
      <c r="CN651" t="s">
        <v>113</v>
      </c>
      <c r="CO651" t="s">
        <v>111</v>
      </c>
      <c r="CP651" t="e">
        <f>-MUESTRA</f>
        <v>#NAME?</v>
      </c>
      <c r="CQ651">
        <v>0</v>
      </c>
      <c r="CR651">
        <v>8000</v>
      </c>
      <c r="CS651">
        <v>250</v>
      </c>
      <c r="CT651" t="e">
        <f>-ALMACEN</f>
        <v>#NAME?</v>
      </c>
      <c r="CU651">
        <v>0</v>
      </c>
      <c r="CV651" t="s">
        <v>111</v>
      </c>
      <c r="CW651" t="s">
        <v>111</v>
      </c>
      <c r="CX651" t="s">
        <v>111</v>
      </c>
      <c r="CY651">
        <v>0</v>
      </c>
      <c r="CZ651" t="s">
        <v>111</v>
      </c>
      <c r="DA651" t="s">
        <v>111</v>
      </c>
      <c r="DB651" t="s">
        <v>111</v>
      </c>
      <c r="DC651" t="s">
        <v>111</v>
      </c>
    </row>
    <row r="652" spans="1:107">
      <c r="A652">
        <v>265</v>
      </c>
      <c r="B652" t="s">
        <v>162</v>
      </c>
      <c r="C652" t="s">
        <v>223</v>
      </c>
      <c r="D652" t="s">
        <v>2263</v>
      </c>
      <c r="E652" t="s">
        <v>2264</v>
      </c>
      <c r="F652" t="s">
        <v>370</v>
      </c>
      <c r="G652" t="s">
        <v>469</v>
      </c>
      <c r="H652">
        <v>2.2999999999999998</v>
      </c>
      <c r="I652">
        <v>43</v>
      </c>
      <c r="J652">
        <v>0</v>
      </c>
      <c r="K652">
        <v>0</v>
      </c>
      <c r="L652" t="s">
        <v>112</v>
      </c>
      <c r="M652" t="s">
        <v>118</v>
      </c>
      <c r="N652">
        <v>40</v>
      </c>
      <c r="O652">
        <v>2</v>
      </c>
      <c r="P652" t="s">
        <v>138</v>
      </c>
      <c r="Q652">
        <v>45.3</v>
      </c>
      <c r="R652">
        <v>0</v>
      </c>
      <c r="S652">
        <v>0</v>
      </c>
      <c r="T652">
        <v>2</v>
      </c>
      <c r="U652" s="1" t="s">
        <v>2265</v>
      </c>
      <c r="V652">
        <v>55</v>
      </c>
      <c r="W652">
        <v>0</v>
      </c>
      <c r="X652">
        <v>10</v>
      </c>
      <c r="Y652">
        <v>0</v>
      </c>
      <c r="Z652" t="s">
        <v>288</v>
      </c>
      <c r="AA652">
        <v>1.75</v>
      </c>
      <c r="AB652" t="s">
        <v>327</v>
      </c>
      <c r="AC652">
        <v>3</v>
      </c>
      <c r="AD652" t="s">
        <v>416</v>
      </c>
      <c r="AE652">
        <v>2</v>
      </c>
      <c r="AF652">
        <v>2</v>
      </c>
      <c r="AG652" t="s">
        <v>691</v>
      </c>
      <c r="AH652" t="s">
        <v>111</v>
      </c>
      <c r="AI652">
        <v>38</v>
      </c>
      <c r="AJ652" t="s">
        <v>111</v>
      </c>
      <c r="AK652" t="s">
        <v>111</v>
      </c>
      <c r="AL652" t="s">
        <v>111</v>
      </c>
      <c r="AM652">
        <v>0</v>
      </c>
      <c r="AN652">
        <v>0</v>
      </c>
      <c r="AO652">
        <v>0</v>
      </c>
      <c r="AP652" t="s">
        <v>366</v>
      </c>
      <c r="AQ652" t="s">
        <v>111</v>
      </c>
      <c r="AR652" t="s">
        <v>111</v>
      </c>
      <c r="AS652" t="s">
        <v>111</v>
      </c>
      <c r="AT652" t="s">
        <v>271</v>
      </c>
      <c r="AU652" t="s">
        <v>111</v>
      </c>
      <c r="AV652" t="s">
        <v>111</v>
      </c>
      <c r="AW652" t="s">
        <v>111</v>
      </c>
      <c r="AX652" t="s">
        <v>111</v>
      </c>
      <c r="AY652" t="s">
        <v>111</v>
      </c>
      <c r="AZ652" t="s">
        <v>111</v>
      </c>
      <c r="BA652" t="s">
        <v>111</v>
      </c>
      <c r="BB652" t="s">
        <v>111</v>
      </c>
      <c r="BC652" t="s">
        <v>111</v>
      </c>
      <c r="BD652" t="s">
        <v>111</v>
      </c>
      <c r="BE652" t="s">
        <v>111</v>
      </c>
      <c r="BF652" t="s">
        <v>111</v>
      </c>
      <c r="BG652" t="s">
        <v>111</v>
      </c>
      <c r="BH652" t="s">
        <v>111</v>
      </c>
      <c r="BI652" t="s">
        <v>111</v>
      </c>
      <c r="BJ652" t="s">
        <v>111</v>
      </c>
      <c r="BK652" t="s">
        <v>111</v>
      </c>
      <c r="BL652" t="s">
        <v>111</v>
      </c>
      <c r="BM652" t="s">
        <v>111</v>
      </c>
      <c r="BN652" t="s">
        <v>271</v>
      </c>
      <c r="BO652" t="s">
        <v>111</v>
      </c>
      <c r="BP652" t="s">
        <v>111</v>
      </c>
      <c r="BQ652" t="s">
        <v>111</v>
      </c>
      <c r="BR652" t="s">
        <v>366</v>
      </c>
      <c r="BS652" t="s">
        <v>111</v>
      </c>
      <c r="BT652" t="s">
        <v>111</v>
      </c>
      <c r="BU652" t="s">
        <v>111</v>
      </c>
      <c r="BV652" t="s">
        <v>111</v>
      </c>
      <c r="BW652" t="s">
        <v>111</v>
      </c>
      <c r="BX652" t="s">
        <v>111</v>
      </c>
      <c r="BY652" t="s">
        <v>111</v>
      </c>
      <c r="BZ652" t="s">
        <v>111</v>
      </c>
      <c r="CA652" t="s">
        <v>111</v>
      </c>
      <c r="CB652" t="s">
        <v>111</v>
      </c>
      <c r="CC652" t="s">
        <v>111</v>
      </c>
      <c r="CD652" t="s">
        <v>111</v>
      </c>
      <c r="CE652" t="s">
        <v>111</v>
      </c>
      <c r="CF652" t="s">
        <v>111</v>
      </c>
      <c r="CG652" t="s">
        <v>111</v>
      </c>
      <c r="CH652" t="s">
        <v>111</v>
      </c>
      <c r="CI652" t="s">
        <v>111</v>
      </c>
      <c r="CJ652" t="s">
        <v>111</v>
      </c>
      <c r="CK652" t="s">
        <v>111</v>
      </c>
      <c r="CL652" t="s">
        <v>203</v>
      </c>
      <c r="CM652" t="s">
        <v>111</v>
      </c>
      <c r="CN652" t="s">
        <v>111</v>
      </c>
      <c r="CO652" t="s">
        <v>111</v>
      </c>
      <c r="CP652" t="s">
        <v>111</v>
      </c>
      <c r="CQ652">
        <v>0</v>
      </c>
      <c r="CR652">
        <v>240</v>
      </c>
      <c r="CS652">
        <v>20</v>
      </c>
      <c r="CT652" t="e">
        <f>-SELLAR CANTIDAD EXACTA</f>
        <v>#NAME?</v>
      </c>
      <c r="CU652">
        <v>0</v>
      </c>
      <c r="CV652" t="s">
        <v>111</v>
      </c>
      <c r="CW652" t="s">
        <v>111</v>
      </c>
      <c r="CX652" t="s">
        <v>111</v>
      </c>
      <c r="CY652">
        <v>0</v>
      </c>
      <c r="CZ652" t="s">
        <v>111</v>
      </c>
      <c r="DA652" t="s">
        <v>111</v>
      </c>
      <c r="DB652" t="s">
        <v>204</v>
      </c>
      <c r="DC652" s="1" t="s">
        <v>205</v>
      </c>
    </row>
    <row r="653" spans="1:107">
      <c r="A653">
        <v>1880</v>
      </c>
      <c r="B653" t="s">
        <v>107</v>
      </c>
      <c r="C653" t="s">
        <v>267</v>
      </c>
      <c r="D653" t="s">
        <v>2266</v>
      </c>
      <c r="E653" t="s">
        <v>2267</v>
      </c>
      <c r="F653" t="s">
        <v>192</v>
      </c>
      <c r="G653" t="s">
        <v>469</v>
      </c>
      <c r="H653">
        <v>1.4</v>
      </c>
      <c r="I653">
        <v>90</v>
      </c>
      <c r="J653">
        <v>18</v>
      </c>
      <c r="K653">
        <v>18</v>
      </c>
      <c r="L653" t="s">
        <v>112</v>
      </c>
      <c r="M653" t="s">
        <v>118</v>
      </c>
      <c r="N653">
        <v>0</v>
      </c>
      <c r="O653">
        <v>0</v>
      </c>
      <c r="P653" t="s">
        <v>111</v>
      </c>
      <c r="Q653">
        <v>42.5</v>
      </c>
      <c r="R653">
        <v>0</v>
      </c>
      <c r="S653">
        <v>0</v>
      </c>
      <c r="T653">
        <v>5</v>
      </c>
      <c r="U653" t="e">
        <f>-MANUALES</f>
        <v>#NAME?</v>
      </c>
      <c r="V653">
        <v>0</v>
      </c>
      <c r="W653">
        <v>250</v>
      </c>
      <c r="X653">
        <v>6</v>
      </c>
      <c r="Y653">
        <v>0</v>
      </c>
      <c r="Z653" t="s">
        <v>111</v>
      </c>
      <c r="AA653">
        <v>0</v>
      </c>
      <c r="AB653" t="s">
        <v>111</v>
      </c>
      <c r="AC653">
        <v>0</v>
      </c>
      <c r="AD653" t="s">
        <v>111</v>
      </c>
      <c r="AE653">
        <v>0</v>
      </c>
      <c r="AF653">
        <v>0</v>
      </c>
      <c r="AG653" t="s">
        <v>111</v>
      </c>
      <c r="AH653" t="s">
        <v>111</v>
      </c>
      <c r="AI653" t="s">
        <v>111</v>
      </c>
      <c r="AJ653" t="s">
        <v>111</v>
      </c>
      <c r="AK653" t="s">
        <v>111</v>
      </c>
      <c r="AL653" t="s">
        <v>111</v>
      </c>
      <c r="AM653">
        <v>0</v>
      </c>
      <c r="AN653">
        <v>0</v>
      </c>
      <c r="AO653">
        <v>0</v>
      </c>
      <c r="AP653" t="s">
        <v>111</v>
      </c>
      <c r="AQ653" t="s">
        <v>111</v>
      </c>
      <c r="AR653" t="s">
        <v>111</v>
      </c>
      <c r="AS653" t="s">
        <v>111</v>
      </c>
      <c r="AT653" t="s">
        <v>111</v>
      </c>
      <c r="AU653" t="s">
        <v>111</v>
      </c>
      <c r="AV653" t="s">
        <v>111</v>
      </c>
      <c r="AW653" t="s">
        <v>111</v>
      </c>
      <c r="AX653" t="s">
        <v>111</v>
      </c>
      <c r="AY653" t="s">
        <v>111</v>
      </c>
      <c r="AZ653" t="s">
        <v>111</v>
      </c>
      <c r="BA653" t="s">
        <v>111</v>
      </c>
      <c r="BB653" t="s">
        <v>111</v>
      </c>
      <c r="BC653" t="s">
        <v>111</v>
      </c>
      <c r="BD653" t="s">
        <v>111</v>
      </c>
      <c r="BE653" t="s">
        <v>111</v>
      </c>
      <c r="BF653" t="s">
        <v>111</v>
      </c>
      <c r="BG653" t="s">
        <v>111</v>
      </c>
      <c r="BH653" t="s">
        <v>111</v>
      </c>
      <c r="BI653" t="s">
        <v>111</v>
      </c>
      <c r="BJ653" t="s">
        <v>111</v>
      </c>
      <c r="BK653" t="s">
        <v>111</v>
      </c>
      <c r="BL653" t="s">
        <v>111</v>
      </c>
      <c r="BM653" t="s">
        <v>111</v>
      </c>
      <c r="BN653" t="s">
        <v>111</v>
      </c>
      <c r="BO653" t="s">
        <v>111</v>
      </c>
      <c r="BP653" t="s">
        <v>111</v>
      </c>
      <c r="BQ653" t="s">
        <v>111</v>
      </c>
      <c r="BR653" t="s">
        <v>111</v>
      </c>
      <c r="BS653" t="s">
        <v>111</v>
      </c>
      <c r="BT653" t="s">
        <v>111</v>
      </c>
      <c r="BU653" t="s">
        <v>111</v>
      </c>
      <c r="BV653" t="s">
        <v>111</v>
      </c>
      <c r="BW653" t="s">
        <v>111</v>
      </c>
      <c r="BX653" t="s">
        <v>111</v>
      </c>
      <c r="BY653" t="s">
        <v>111</v>
      </c>
      <c r="BZ653" t="s">
        <v>111</v>
      </c>
      <c r="CA653" t="s">
        <v>111</v>
      </c>
      <c r="CB653" t="s">
        <v>111</v>
      </c>
      <c r="CC653" t="s">
        <v>111</v>
      </c>
      <c r="CD653" t="s">
        <v>111</v>
      </c>
      <c r="CE653" t="s">
        <v>111</v>
      </c>
      <c r="CF653" t="s">
        <v>111</v>
      </c>
      <c r="CG653" t="s">
        <v>111</v>
      </c>
      <c r="CH653" t="s">
        <v>111</v>
      </c>
      <c r="CI653" t="s">
        <v>111</v>
      </c>
      <c r="CJ653" t="s">
        <v>111</v>
      </c>
      <c r="CK653" t="s">
        <v>111</v>
      </c>
      <c r="CL653" t="s">
        <v>111</v>
      </c>
      <c r="CM653" t="s">
        <v>111</v>
      </c>
      <c r="CN653" t="s">
        <v>111</v>
      </c>
      <c r="CO653" t="s">
        <v>111</v>
      </c>
      <c r="CP653" t="s">
        <v>111</v>
      </c>
      <c r="CQ653">
        <v>0</v>
      </c>
      <c r="CR653">
        <v>0</v>
      </c>
      <c r="CS653">
        <v>25</v>
      </c>
      <c r="CT653" t="s">
        <v>111</v>
      </c>
      <c r="CU653">
        <v>0</v>
      </c>
      <c r="CV653" t="s">
        <v>111</v>
      </c>
      <c r="CX653" t="s">
        <v>111</v>
      </c>
      <c r="CY653">
        <v>0</v>
      </c>
      <c r="CZ653" t="s">
        <v>111</v>
      </c>
      <c r="DA653" t="s">
        <v>111</v>
      </c>
      <c r="DB653" t="e">
        <f>-INTERNO</f>
        <v>#NAME?</v>
      </c>
      <c r="DC653" t="e">
        <f>-CORTE Y SELLE</f>
        <v>#NAME?</v>
      </c>
    </row>
    <row r="654" spans="1:107">
      <c r="A654">
        <v>264</v>
      </c>
      <c r="B654" t="s">
        <v>162</v>
      </c>
      <c r="C654" t="s">
        <v>223</v>
      </c>
      <c r="D654" t="s">
        <v>2268</v>
      </c>
      <c r="E654" t="s">
        <v>2269</v>
      </c>
      <c r="F654" t="s">
        <v>370</v>
      </c>
      <c r="G654" t="s">
        <v>469</v>
      </c>
      <c r="H654">
        <v>2.2999999999999998</v>
      </c>
      <c r="I654">
        <v>35</v>
      </c>
      <c r="J654">
        <v>0</v>
      </c>
      <c r="K654">
        <v>0</v>
      </c>
      <c r="L654" t="s">
        <v>112</v>
      </c>
      <c r="M654" t="s">
        <v>118</v>
      </c>
      <c r="N654">
        <v>40</v>
      </c>
      <c r="O654">
        <v>2</v>
      </c>
      <c r="P654" t="s">
        <v>138</v>
      </c>
      <c r="Q654">
        <v>44.2</v>
      </c>
      <c r="R654">
        <v>0</v>
      </c>
      <c r="S654">
        <v>0</v>
      </c>
      <c r="T654">
        <v>3</v>
      </c>
      <c r="U654" s="1" t="s">
        <v>2270</v>
      </c>
      <c r="V654">
        <v>55</v>
      </c>
      <c r="W654">
        <v>0</v>
      </c>
      <c r="X654">
        <v>10</v>
      </c>
      <c r="Y654">
        <v>0</v>
      </c>
      <c r="Z654" t="s">
        <v>288</v>
      </c>
      <c r="AA654">
        <v>1.3</v>
      </c>
      <c r="AB654" t="s">
        <v>327</v>
      </c>
      <c r="AC654">
        <v>3</v>
      </c>
      <c r="AD654" t="s">
        <v>416</v>
      </c>
      <c r="AE654">
        <v>2</v>
      </c>
      <c r="AF654">
        <v>2</v>
      </c>
      <c r="AG654" t="s">
        <v>691</v>
      </c>
      <c r="AH654" t="s">
        <v>128</v>
      </c>
      <c r="AI654">
        <v>38</v>
      </c>
      <c r="AJ654" t="s">
        <v>111</v>
      </c>
      <c r="AK654" t="s">
        <v>111</v>
      </c>
      <c r="AL654" t="s">
        <v>111</v>
      </c>
      <c r="AM654">
        <v>0</v>
      </c>
      <c r="AN654">
        <v>0</v>
      </c>
      <c r="AO654">
        <v>0</v>
      </c>
      <c r="AP654" t="s">
        <v>2271</v>
      </c>
      <c r="AQ654" t="s">
        <v>111</v>
      </c>
      <c r="AR654" t="s">
        <v>111</v>
      </c>
      <c r="AS654" t="s">
        <v>111</v>
      </c>
      <c r="AT654" t="s">
        <v>271</v>
      </c>
      <c r="AU654" t="s">
        <v>111</v>
      </c>
      <c r="AV654" t="s">
        <v>111</v>
      </c>
      <c r="AW654" t="s">
        <v>111</v>
      </c>
      <c r="AX654" t="s">
        <v>111</v>
      </c>
      <c r="AY654" t="s">
        <v>111</v>
      </c>
      <c r="AZ654" t="s">
        <v>111</v>
      </c>
      <c r="BA654" t="s">
        <v>111</v>
      </c>
      <c r="BB654" t="s">
        <v>111</v>
      </c>
      <c r="BC654" t="s">
        <v>111</v>
      </c>
      <c r="BD654" t="s">
        <v>111</v>
      </c>
      <c r="BE654" t="s">
        <v>111</v>
      </c>
      <c r="BF654" t="s">
        <v>111</v>
      </c>
      <c r="BG654" t="s">
        <v>111</v>
      </c>
      <c r="BH654" t="s">
        <v>111</v>
      </c>
      <c r="BI654" t="s">
        <v>111</v>
      </c>
      <c r="BJ654" t="s">
        <v>111</v>
      </c>
      <c r="BK654" t="s">
        <v>111</v>
      </c>
      <c r="BL654" t="s">
        <v>111</v>
      </c>
      <c r="BM654" t="s">
        <v>111</v>
      </c>
      <c r="BN654" t="s">
        <v>271</v>
      </c>
      <c r="BO654" t="s">
        <v>111</v>
      </c>
      <c r="BP654" t="s">
        <v>111</v>
      </c>
      <c r="BQ654" t="s">
        <v>111</v>
      </c>
      <c r="BR654" t="s">
        <v>1091</v>
      </c>
      <c r="BS654" t="s">
        <v>111</v>
      </c>
      <c r="BT654" t="s">
        <v>111</v>
      </c>
      <c r="BU654" t="s">
        <v>111</v>
      </c>
      <c r="BV654" t="s">
        <v>111</v>
      </c>
      <c r="BW654" t="s">
        <v>111</v>
      </c>
      <c r="BX654" t="s">
        <v>111</v>
      </c>
      <c r="BY654" t="s">
        <v>111</v>
      </c>
      <c r="BZ654" t="s">
        <v>111</v>
      </c>
      <c r="CA654" t="s">
        <v>111</v>
      </c>
      <c r="CB654" t="s">
        <v>111</v>
      </c>
      <c r="CC654" t="s">
        <v>111</v>
      </c>
      <c r="CD654" t="s">
        <v>111</v>
      </c>
      <c r="CE654" t="s">
        <v>111</v>
      </c>
      <c r="CF654" t="s">
        <v>111</v>
      </c>
      <c r="CG654" t="s">
        <v>111</v>
      </c>
      <c r="CH654" t="s">
        <v>111</v>
      </c>
      <c r="CI654" t="s">
        <v>111</v>
      </c>
      <c r="CJ654" t="s">
        <v>111</v>
      </c>
      <c r="CK654" t="s">
        <v>111</v>
      </c>
      <c r="CL654" t="s">
        <v>203</v>
      </c>
      <c r="CM654" t="s">
        <v>111</v>
      </c>
      <c r="CN654" t="s">
        <v>111</v>
      </c>
      <c r="CO654" t="s">
        <v>111</v>
      </c>
      <c r="CP654" t="s">
        <v>111</v>
      </c>
      <c r="CQ654">
        <v>0</v>
      </c>
      <c r="CR654">
        <v>300</v>
      </c>
      <c r="CS654">
        <v>20</v>
      </c>
      <c r="CT654" s="1" t="s">
        <v>2272</v>
      </c>
      <c r="CU654">
        <v>0</v>
      </c>
      <c r="CV654" t="s">
        <v>111</v>
      </c>
      <c r="CW654" t="s">
        <v>111</v>
      </c>
      <c r="CX654" t="s">
        <v>111</v>
      </c>
      <c r="CY654">
        <v>0</v>
      </c>
      <c r="CZ654" t="s">
        <v>111</v>
      </c>
      <c r="DA654" t="s">
        <v>111</v>
      </c>
      <c r="DB654" t="s">
        <v>204</v>
      </c>
      <c r="DC654" s="1" t="s">
        <v>205</v>
      </c>
    </row>
    <row r="655" spans="1:107">
      <c r="A655">
        <v>1886</v>
      </c>
      <c r="B655" t="s">
        <v>107</v>
      </c>
      <c r="C655" t="s">
        <v>454</v>
      </c>
      <c r="D655" t="s">
        <v>455</v>
      </c>
      <c r="E655" t="s">
        <v>2273</v>
      </c>
      <c r="F655" t="s">
        <v>431</v>
      </c>
      <c r="G655" t="s">
        <v>469</v>
      </c>
      <c r="H655">
        <v>1.9</v>
      </c>
      <c r="I655">
        <v>50</v>
      </c>
      <c r="J655">
        <v>0</v>
      </c>
      <c r="K655">
        <v>0</v>
      </c>
      <c r="L655" t="s">
        <v>112</v>
      </c>
      <c r="M655" t="s">
        <v>118</v>
      </c>
      <c r="N655">
        <v>0</v>
      </c>
      <c r="O655">
        <v>2</v>
      </c>
      <c r="P655" t="s">
        <v>111</v>
      </c>
      <c r="Q655">
        <v>46.5</v>
      </c>
      <c r="R655">
        <v>0</v>
      </c>
      <c r="S655">
        <v>0</v>
      </c>
      <c r="T655">
        <v>5</v>
      </c>
      <c r="U655" t="e">
        <f>-DARMA</f>
        <v>#NAME?</v>
      </c>
      <c r="V655">
        <v>0</v>
      </c>
      <c r="W655">
        <v>25</v>
      </c>
      <c r="X655">
        <v>6</v>
      </c>
      <c r="Y655">
        <v>0</v>
      </c>
      <c r="Z655" t="s">
        <v>111</v>
      </c>
      <c r="AA655">
        <v>0</v>
      </c>
      <c r="AB655" t="s">
        <v>111</v>
      </c>
      <c r="AC655">
        <v>0</v>
      </c>
      <c r="AD655" t="s">
        <v>416</v>
      </c>
      <c r="AE655">
        <v>0</v>
      </c>
      <c r="AF655">
        <v>0</v>
      </c>
      <c r="AG655" t="s">
        <v>111</v>
      </c>
      <c r="AH655" t="s">
        <v>111</v>
      </c>
      <c r="AI655" t="s">
        <v>111</v>
      </c>
      <c r="AJ655" t="s">
        <v>111</v>
      </c>
      <c r="AK655" t="s">
        <v>111</v>
      </c>
      <c r="AL655" t="s">
        <v>111</v>
      </c>
      <c r="AM655">
        <v>0</v>
      </c>
      <c r="AN655">
        <v>0</v>
      </c>
      <c r="AO655">
        <v>0</v>
      </c>
      <c r="AP655" t="s">
        <v>111</v>
      </c>
      <c r="AQ655" t="s">
        <v>111</v>
      </c>
      <c r="AR655" t="s">
        <v>111</v>
      </c>
      <c r="AS655" t="s">
        <v>111</v>
      </c>
      <c r="AT655" t="s">
        <v>111</v>
      </c>
      <c r="AU655" t="s">
        <v>111</v>
      </c>
      <c r="AV655" t="s">
        <v>111</v>
      </c>
      <c r="AW655" t="s">
        <v>111</v>
      </c>
      <c r="AX655" t="s">
        <v>111</v>
      </c>
      <c r="AY655" t="s">
        <v>111</v>
      </c>
      <c r="AZ655" t="s">
        <v>111</v>
      </c>
      <c r="BA655" t="s">
        <v>111</v>
      </c>
      <c r="BB655" t="s">
        <v>111</v>
      </c>
      <c r="BC655" t="s">
        <v>111</v>
      </c>
      <c r="BD655" t="s">
        <v>111</v>
      </c>
      <c r="BE655" t="s">
        <v>111</v>
      </c>
      <c r="BF655" t="s">
        <v>111</v>
      </c>
      <c r="BG655" t="s">
        <v>111</v>
      </c>
      <c r="BH655" t="s">
        <v>111</v>
      </c>
      <c r="BI655" t="s">
        <v>111</v>
      </c>
      <c r="BJ655" t="s">
        <v>111</v>
      </c>
      <c r="BK655" t="s">
        <v>111</v>
      </c>
      <c r="BL655" t="s">
        <v>111</v>
      </c>
      <c r="BM655" t="s">
        <v>111</v>
      </c>
      <c r="BN655" t="s">
        <v>111</v>
      </c>
      <c r="BO655" t="s">
        <v>111</v>
      </c>
      <c r="BP655" t="s">
        <v>111</v>
      </c>
      <c r="BQ655" t="s">
        <v>111</v>
      </c>
      <c r="BR655" t="s">
        <v>111</v>
      </c>
      <c r="BS655" t="s">
        <v>111</v>
      </c>
      <c r="BT655" t="s">
        <v>111</v>
      </c>
      <c r="BU655" t="s">
        <v>111</v>
      </c>
      <c r="BV655" t="s">
        <v>111</v>
      </c>
      <c r="BW655" t="s">
        <v>111</v>
      </c>
      <c r="BX655" t="s">
        <v>111</v>
      </c>
      <c r="BY655" t="s">
        <v>111</v>
      </c>
      <c r="BZ655" t="s">
        <v>111</v>
      </c>
      <c r="CA655" t="s">
        <v>111</v>
      </c>
      <c r="CB655" t="s">
        <v>111</v>
      </c>
      <c r="CC655" t="s">
        <v>111</v>
      </c>
      <c r="CD655" t="s">
        <v>111</v>
      </c>
      <c r="CE655" t="s">
        <v>111</v>
      </c>
      <c r="CF655" t="s">
        <v>111</v>
      </c>
      <c r="CG655" t="s">
        <v>111</v>
      </c>
      <c r="CH655" t="s">
        <v>111</v>
      </c>
      <c r="CI655" t="s">
        <v>111</v>
      </c>
      <c r="CJ655" t="s">
        <v>111</v>
      </c>
      <c r="CK655" t="s">
        <v>111</v>
      </c>
      <c r="CL655" t="s">
        <v>111</v>
      </c>
      <c r="CM655" t="s">
        <v>135</v>
      </c>
      <c r="CN655" t="s">
        <v>113</v>
      </c>
      <c r="CO655" t="s">
        <v>111</v>
      </c>
      <c r="CP655" t="s">
        <v>111</v>
      </c>
      <c r="CQ655">
        <v>0</v>
      </c>
      <c r="CR655">
        <v>1500</v>
      </c>
      <c r="CS655">
        <v>1000</v>
      </c>
      <c r="CT655" t="e">
        <f>-ALMACEN</f>
        <v>#NAME?</v>
      </c>
      <c r="CU655">
        <v>0</v>
      </c>
      <c r="CV655" t="s">
        <v>111</v>
      </c>
      <c r="CX655" t="s">
        <v>111</v>
      </c>
      <c r="CY655">
        <v>0</v>
      </c>
      <c r="CZ655" t="s">
        <v>111</v>
      </c>
      <c r="DA655" t="s">
        <v>111</v>
      </c>
      <c r="DB655" t="s">
        <v>111</v>
      </c>
      <c r="DC655" t="s">
        <v>111</v>
      </c>
    </row>
    <row r="656" spans="1:107">
      <c r="A656">
        <v>1825</v>
      </c>
      <c r="B656" t="s">
        <v>107</v>
      </c>
      <c r="C656" t="s">
        <v>2274</v>
      </c>
      <c r="D656" t="s">
        <v>863</v>
      </c>
      <c r="E656" t="s">
        <v>864</v>
      </c>
      <c r="F656" t="s">
        <v>370</v>
      </c>
      <c r="G656" t="s">
        <v>469</v>
      </c>
      <c r="H656">
        <v>1.5</v>
      </c>
      <c r="I656">
        <v>47</v>
      </c>
      <c r="J656">
        <v>0</v>
      </c>
      <c r="K656">
        <v>0</v>
      </c>
      <c r="L656" t="s">
        <v>112</v>
      </c>
      <c r="M656" t="s">
        <v>118</v>
      </c>
      <c r="N656">
        <v>39</v>
      </c>
      <c r="O656">
        <v>2</v>
      </c>
      <c r="P656" t="s">
        <v>111</v>
      </c>
      <c r="Q656">
        <v>46.7</v>
      </c>
      <c r="R656">
        <v>0</v>
      </c>
      <c r="S656">
        <v>0</v>
      </c>
      <c r="T656">
        <v>5</v>
      </c>
      <c r="U656" s="1" t="s">
        <v>2275</v>
      </c>
      <c r="V656">
        <v>25</v>
      </c>
      <c r="W656">
        <v>0</v>
      </c>
      <c r="X656">
        <v>8</v>
      </c>
      <c r="Y656">
        <v>0</v>
      </c>
      <c r="Z656" t="s">
        <v>288</v>
      </c>
      <c r="AA656">
        <v>1.8</v>
      </c>
      <c r="AB656" t="s">
        <v>111</v>
      </c>
      <c r="AC656">
        <v>0</v>
      </c>
      <c r="AD656" t="s">
        <v>416</v>
      </c>
      <c r="AE656">
        <v>0</v>
      </c>
      <c r="AF656">
        <v>0</v>
      </c>
      <c r="AG656" t="s">
        <v>111</v>
      </c>
      <c r="AH656" t="s">
        <v>113</v>
      </c>
      <c r="AI656" t="s">
        <v>111</v>
      </c>
      <c r="AJ656" t="s">
        <v>111</v>
      </c>
      <c r="AK656" t="s">
        <v>111</v>
      </c>
      <c r="AL656" t="s">
        <v>111</v>
      </c>
      <c r="AM656">
        <v>0</v>
      </c>
      <c r="AN656">
        <v>0</v>
      </c>
      <c r="AO656">
        <v>0</v>
      </c>
      <c r="AP656" t="s">
        <v>111</v>
      </c>
      <c r="AQ656" t="s">
        <v>111</v>
      </c>
      <c r="AR656" t="s">
        <v>111</v>
      </c>
      <c r="AS656" t="s">
        <v>111</v>
      </c>
      <c r="AT656" t="s">
        <v>111</v>
      </c>
      <c r="AU656" t="s">
        <v>111</v>
      </c>
      <c r="AV656" t="s">
        <v>111</v>
      </c>
      <c r="AW656" t="s">
        <v>111</v>
      </c>
      <c r="AX656" t="s">
        <v>111</v>
      </c>
      <c r="AY656" t="s">
        <v>111</v>
      </c>
      <c r="AZ656" t="s">
        <v>111</v>
      </c>
      <c r="BA656" t="s">
        <v>111</v>
      </c>
      <c r="BB656" t="s">
        <v>111</v>
      </c>
      <c r="BC656" t="s">
        <v>111</v>
      </c>
      <c r="BD656" t="s">
        <v>111</v>
      </c>
      <c r="BE656" t="s">
        <v>111</v>
      </c>
      <c r="BF656" t="s">
        <v>111</v>
      </c>
      <c r="BG656" t="s">
        <v>111</v>
      </c>
      <c r="BH656" t="s">
        <v>111</v>
      </c>
      <c r="BI656" t="s">
        <v>111</v>
      </c>
      <c r="BJ656" t="s">
        <v>111</v>
      </c>
      <c r="BK656" t="s">
        <v>111</v>
      </c>
      <c r="BL656" t="s">
        <v>111</v>
      </c>
      <c r="BM656" t="s">
        <v>111</v>
      </c>
      <c r="BN656" t="s">
        <v>111</v>
      </c>
      <c r="BO656" t="s">
        <v>111</v>
      </c>
      <c r="BP656" t="s">
        <v>111</v>
      </c>
      <c r="BQ656" t="s">
        <v>111</v>
      </c>
      <c r="BR656" t="s">
        <v>111</v>
      </c>
      <c r="BS656" t="s">
        <v>111</v>
      </c>
      <c r="BT656" t="s">
        <v>111</v>
      </c>
      <c r="BU656" t="s">
        <v>111</v>
      </c>
      <c r="BV656" t="s">
        <v>111</v>
      </c>
      <c r="BW656" t="s">
        <v>111</v>
      </c>
      <c r="BX656" t="s">
        <v>111</v>
      </c>
      <c r="BY656" t="s">
        <v>111</v>
      </c>
      <c r="BZ656" t="s">
        <v>111</v>
      </c>
      <c r="CA656" t="s">
        <v>111</v>
      </c>
      <c r="CB656" t="s">
        <v>111</v>
      </c>
      <c r="CC656" t="s">
        <v>111</v>
      </c>
      <c r="CD656" t="s">
        <v>111</v>
      </c>
      <c r="CE656" t="s">
        <v>111</v>
      </c>
      <c r="CF656" t="s">
        <v>111</v>
      </c>
      <c r="CG656" t="s">
        <v>111</v>
      </c>
      <c r="CH656" t="s">
        <v>111</v>
      </c>
      <c r="CI656" t="s">
        <v>111</v>
      </c>
      <c r="CJ656" t="s">
        <v>111</v>
      </c>
      <c r="CK656" t="s">
        <v>111</v>
      </c>
      <c r="CL656" t="s">
        <v>111</v>
      </c>
      <c r="CM656">
        <v>450</v>
      </c>
      <c r="CN656" t="s">
        <v>113</v>
      </c>
      <c r="CO656" t="s">
        <v>367</v>
      </c>
      <c r="CP656" t="s">
        <v>111</v>
      </c>
      <c r="CQ656">
        <v>0</v>
      </c>
      <c r="CR656">
        <v>2000</v>
      </c>
      <c r="CS656">
        <v>50</v>
      </c>
      <c r="CT656" t="s">
        <v>2276</v>
      </c>
      <c r="CU656">
        <v>0</v>
      </c>
      <c r="CV656" t="s">
        <v>111</v>
      </c>
      <c r="CX656" t="s">
        <v>111</v>
      </c>
      <c r="CY656">
        <v>0</v>
      </c>
      <c r="CZ656" t="s">
        <v>111</v>
      </c>
      <c r="DA656" t="s">
        <v>111</v>
      </c>
      <c r="DB656" t="e">
        <f>-INTERNO</f>
        <v>#NAME?</v>
      </c>
      <c r="DC656" t="e">
        <f>-TROQUEL RIÑON</f>
        <v>#NAME?</v>
      </c>
    </row>
    <row r="657" spans="1:107">
      <c r="A657">
        <v>1965</v>
      </c>
      <c r="B657" t="s">
        <v>107</v>
      </c>
      <c r="C657" t="s">
        <v>215</v>
      </c>
      <c r="D657" t="s">
        <v>2277</v>
      </c>
      <c r="E657" t="s">
        <v>2278</v>
      </c>
      <c r="F657" t="s">
        <v>192</v>
      </c>
      <c r="G657" t="s">
        <v>469</v>
      </c>
      <c r="H657">
        <v>3.9</v>
      </c>
      <c r="I657">
        <v>30</v>
      </c>
      <c r="J657">
        <v>0</v>
      </c>
      <c r="K657">
        <v>0</v>
      </c>
      <c r="L657" t="s">
        <v>112</v>
      </c>
      <c r="M657" t="s">
        <v>111</v>
      </c>
      <c r="N657">
        <v>0</v>
      </c>
      <c r="O657">
        <v>0</v>
      </c>
      <c r="P657" t="s">
        <v>111</v>
      </c>
      <c r="Q657">
        <v>40.1</v>
      </c>
      <c r="R657">
        <v>0</v>
      </c>
      <c r="S657">
        <v>0</v>
      </c>
      <c r="T657">
        <v>5</v>
      </c>
      <c r="U657" t="e">
        <f>-SELLADO</f>
        <v>#NAME?</v>
      </c>
      <c r="V657">
        <v>0</v>
      </c>
      <c r="W657">
        <v>25</v>
      </c>
      <c r="X657">
        <v>8</v>
      </c>
      <c r="Y657">
        <v>0</v>
      </c>
      <c r="Z657" t="s">
        <v>111</v>
      </c>
      <c r="AA657">
        <v>0</v>
      </c>
      <c r="AB657" t="s">
        <v>111</v>
      </c>
      <c r="AC657">
        <v>0</v>
      </c>
      <c r="AD657" t="s">
        <v>111</v>
      </c>
      <c r="AE657">
        <v>0</v>
      </c>
      <c r="AF657">
        <v>0</v>
      </c>
      <c r="AG657" t="s">
        <v>111</v>
      </c>
      <c r="AH657" t="s">
        <v>111</v>
      </c>
      <c r="AI657" t="s">
        <v>111</v>
      </c>
      <c r="AJ657" t="s">
        <v>111</v>
      </c>
      <c r="AK657" t="s">
        <v>111</v>
      </c>
      <c r="AL657" t="s">
        <v>111</v>
      </c>
      <c r="AM657">
        <v>0</v>
      </c>
      <c r="AN657">
        <v>0</v>
      </c>
      <c r="AO657">
        <v>0</v>
      </c>
      <c r="AP657" t="s">
        <v>111</v>
      </c>
      <c r="AQ657" t="s">
        <v>111</v>
      </c>
      <c r="AR657" t="s">
        <v>111</v>
      </c>
      <c r="AS657" t="s">
        <v>111</v>
      </c>
      <c r="AT657" t="s">
        <v>111</v>
      </c>
      <c r="AU657" t="s">
        <v>111</v>
      </c>
      <c r="AV657" t="s">
        <v>111</v>
      </c>
      <c r="AW657" t="s">
        <v>111</v>
      </c>
      <c r="AX657" t="s">
        <v>111</v>
      </c>
      <c r="AY657" t="s">
        <v>111</v>
      </c>
      <c r="AZ657" t="s">
        <v>111</v>
      </c>
      <c r="BA657" t="s">
        <v>111</v>
      </c>
      <c r="BB657" t="s">
        <v>111</v>
      </c>
      <c r="BC657" t="s">
        <v>111</v>
      </c>
      <c r="BD657" t="s">
        <v>111</v>
      </c>
      <c r="BE657" t="s">
        <v>111</v>
      </c>
      <c r="BF657" t="s">
        <v>111</v>
      </c>
      <c r="BG657" t="s">
        <v>111</v>
      </c>
      <c r="BH657" t="s">
        <v>111</v>
      </c>
      <c r="BI657" t="s">
        <v>111</v>
      </c>
      <c r="BJ657" t="s">
        <v>111</v>
      </c>
      <c r="BK657" t="s">
        <v>111</v>
      </c>
      <c r="BL657" t="s">
        <v>111</v>
      </c>
      <c r="BM657" t="s">
        <v>111</v>
      </c>
      <c r="BN657" t="s">
        <v>111</v>
      </c>
      <c r="BO657" t="s">
        <v>111</v>
      </c>
      <c r="BP657" t="s">
        <v>111</v>
      </c>
      <c r="BQ657" t="s">
        <v>111</v>
      </c>
      <c r="BR657" t="s">
        <v>111</v>
      </c>
      <c r="BS657" t="s">
        <v>111</v>
      </c>
      <c r="BT657" t="s">
        <v>111</v>
      </c>
      <c r="BU657" t="s">
        <v>111</v>
      </c>
      <c r="BV657" t="s">
        <v>111</v>
      </c>
      <c r="BW657" t="s">
        <v>111</v>
      </c>
      <c r="BX657" t="s">
        <v>111</v>
      </c>
      <c r="BY657" t="s">
        <v>111</v>
      </c>
      <c r="BZ657" t="s">
        <v>111</v>
      </c>
      <c r="CA657" t="s">
        <v>111</v>
      </c>
      <c r="CB657" t="s">
        <v>111</v>
      </c>
      <c r="CC657" t="s">
        <v>111</v>
      </c>
      <c r="CD657" t="s">
        <v>111</v>
      </c>
      <c r="CE657" t="s">
        <v>111</v>
      </c>
      <c r="CF657" t="s">
        <v>111</v>
      </c>
      <c r="CG657" t="s">
        <v>111</v>
      </c>
      <c r="CH657" t="s">
        <v>111</v>
      </c>
      <c r="CI657" t="s">
        <v>111</v>
      </c>
      <c r="CJ657" t="s">
        <v>111</v>
      </c>
      <c r="CK657" t="s">
        <v>111</v>
      </c>
      <c r="CL657" t="s">
        <v>111</v>
      </c>
      <c r="CM657" t="s">
        <v>135</v>
      </c>
      <c r="CN657" t="s">
        <v>128</v>
      </c>
      <c r="CO657" t="s">
        <v>111</v>
      </c>
      <c r="CP657" t="s">
        <v>111</v>
      </c>
      <c r="CQ657">
        <v>0</v>
      </c>
      <c r="CR657">
        <v>1000</v>
      </c>
      <c r="CS657">
        <v>50</v>
      </c>
      <c r="CT657" t="e">
        <f>-ALMACEN</f>
        <v>#NAME?</v>
      </c>
      <c r="CU657">
        <v>0</v>
      </c>
      <c r="CV657" t="s">
        <v>111</v>
      </c>
      <c r="CX657" t="s">
        <v>111</v>
      </c>
      <c r="CY657">
        <v>0</v>
      </c>
      <c r="CZ657" t="s">
        <v>111</v>
      </c>
      <c r="DA657" t="s">
        <v>111</v>
      </c>
      <c r="DB657" t="s">
        <v>111</v>
      </c>
      <c r="DC657" t="s">
        <v>111</v>
      </c>
    </row>
    <row r="658" spans="1:107">
      <c r="A658">
        <v>1808</v>
      </c>
      <c r="B658" t="s">
        <v>107</v>
      </c>
      <c r="C658" t="s">
        <v>336</v>
      </c>
      <c r="D658" t="s">
        <v>1078</v>
      </c>
      <c r="E658" t="s">
        <v>2279</v>
      </c>
      <c r="F658" t="s">
        <v>125</v>
      </c>
      <c r="G658" t="s">
        <v>469</v>
      </c>
      <c r="H658">
        <v>2</v>
      </c>
      <c r="I658">
        <v>51</v>
      </c>
      <c r="J658">
        <v>0</v>
      </c>
      <c r="K658">
        <v>0</v>
      </c>
      <c r="L658" t="s">
        <v>112</v>
      </c>
      <c r="M658" t="s">
        <v>111</v>
      </c>
      <c r="N658">
        <v>0</v>
      </c>
      <c r="O658">
        <v>0</v>
      </c>
      <c r="P658" t="s">
        <v>111</v>
      </c>
      <c r="Q658">
        <v>40</v>
      </c>
      <c r="R658">
        <v>0</v>
      </c>
      <c r="S658">
        <v>0</v>
      </c>
      <c r="T658">
        <v>5</v>
      </c>
      <c r="U658" s="1" t="s">
        <v>851</v>
      </c>
      <c r="V658">
        <v>12.5</v>
      </c>
      <c r="W658">
        <v>12.5</v>
      </c>
      <c r="X658">
        <v>0</v>
      </c>
      <c r="Y658">
        <v>0</v>
      </c>
      <c r="Z658" t="s">
        <v>111</v>
      </c>
      <c r="AA658">
        <v>0</v>
      </c>
      <c r="AB658" t="s">
        <v>339</v>
      </c>
      <c r="AC658">
        <v>25</v>
      </c>
      <c r="AD658" t="s">
        <v>111</v>
      </c>
      <c r="AE658">
        <v>0</v>
      </c>
      <c r="AF658">
        <v>0</v>
      </c>
      <c r="AG658" t="s">
        <v>111</v>
      </c>
      <c r="AH658" t="s">
        <v>111</v>
      </c>
      <c r="AI658" t="s">
        <v>111</v>
      </c>
      <c r="AJ658" t="s">
        <v>111</v>
      </c>
      <c r="AK658" t="s">
        <v>111</v>
      </c>
      <c r="AL658" t="s">
        <v>111</v>
      </c>
      <c r="AM658">
        <v>0</v>
      </c>
      <c r="AN658">
        <v>0</v>
      </c>
      <c r="AO658">
        <v>0</v>
      </c>
      <c r="AP658" t="s">
        <v>111</v>
      </c>
      <c r="AQ658" t="s">
        <v>111</v>
      </c>
      <c r="AR658" t="s">
        <v>111</v>
      </c>
      <c r="AS658" t="s">
        <v>111</v>
      </c>
      <c r="AT658" t="s">
        <v>111</v>
      </c>
      <c r="AU658" t="s">
        <v>111</v>
      </c>
      <c r="AV658" t="s">
        <v>111</v>
      </c>
      <c r="AW658" t="s">
        <v>111</v>
      </c>
      <c r="AX658" t="s">
        <v>111</v>
      </c>
      <c r="AY658" t="s">
        <v>111</v>
      </c>
      <c r="AZ658" t="s">
        <v>111</v>
      </c>
      <c r="BA658" t="s">
        <v>111</v>
      </c>
      <c r="BB658" t="s">
        <v>111</v>
      </c>
      <c r="BC658" t="s">
        <v>111</v>
      </c>
      <c r="BD658" t="s">
        <v>111</v>
      </c>
      <c r="BE658" t="s">
        <v>111</v>
      </c>
      <c r="BF658" t="s">
        <v>111</v>
      </c>
      <c r="BG658" t="s">
        <v>111</v>
      </c>
      <c r="BH658" t="s">
        <v>111</v>
      </c>
      <c r="BI658" t="s">
        <v>111</v>
      </c>
      <c r="BJ658" t="s">
        <v>111</v>
      </c>
      <c r="BK658" t="s">
        <v>111</v>
      </c>
      <c r="BL658" t="s">
        <v>111</v>
      </c>
      <c r="BM658" t="s">
        <v>111</v>
      </c>
      <c r="BN658" t="s">
        <v>111</v>
      </c>
      <c r="BO658" t="s">
        <v>111</v>
      </c>
      <c r="BP658" t="s">
        <v>111</v>
      </c>
      <c r="BQ658" t="s">
        <v>111</v>
      </c>
      <c r="BR658" t="s">
        <v>111</v>
      </c>
      <c r="BS658" t="s">
        <v>111</v>
      </c>
      <c r="BT658" t="s">
        <v>111</v>
      </c>
      <c r="BU658" t="s">
        <v>111</v>
      </c>
      <c r="BV658" t="s">
        <v>111</v>
      </c>
      <c r="BW658" t="s">
        <v>111</v>
      </c>
      <c r="BX658" t="s">
        <v>111</v>
      </c>
      <c r="BY658" t="s">
        <v>111</v>
      </c>
      <c r="BZ658" t="s">
        <v>111</v>
      </c>
      <c r="CA658" t="s">
        <v>111</v>
      </c>
      <c r="CB658" t="s">
        <v>111</v>
      </c>
      <c r="CC658" t="s">
        <v>111</v>
      </c>
      <c r="CD658" t="s">
        <v>111</v>
      </c>
      <c r="CE658" t="s">
        <v>111</v>
      </c>
      <c r="CF658" t="s">
        <v>111</v>
      </c>
      <c r="CG658" t="s">
        <v>111</v>
      </c>
      <c r="CH658" t="s">
        <v>111</v>
      </c>
      <c r="CI658" t="s">
        <v>111</v>
      </c>
      <c r="CJ658" t="s">
        <v>111</v>
      </c>
      <c r="CK658" t="s">
        <v>111</v>
      </c>
      <c r="CL658" t="s">
        <v>111</v>
      </c>
      <c r="CM658" t="s">
        <v>135</v>
      </c>
      <c r="CN658" t="s">
        <v>128</v>
      </c>
      <c r="CO658" t="s">
        <v>111</v>
      </c>
      <c r="CP658" t="s">
        <v>111</v>
      </c>
      <c r="CQ658">
        <v>0</v>
      </c>
      <c r="CR658">
        <v>300</v>
      </c>
      <c r="CS658">
        <v>25</v>
      </c>
      <c r="CT658" t="e">
        <f>-ALMACEN</f>
        <v>#NAME?</v>
      </c>
      <c r="CU658">
        <v>0</v>
      </c>
      <c r="CV658" t="s">
        <v>111</v>
      </c>
      <c r="CX658" t="s">
        <v>111</v>
      </c>
      <c r="CY658">
        <v>0</v>
      </c>
      <c r="CZ658" t="s">
        <v>111</v>
      </c>
      <c r="DA658" t="s">
        <v>111</v>
      </c>
      <c r="DB658" t="e">
        <f>-INETERNO</f>
        <v>#NAME?</v>
      </c>
      <c r="DC658" t="e">
        <f>-CORTE Y SELLE</f>
        <v>#NAME?</v>
      </c>
    </row>
    <row r="659" spans="1:107">
      <c r="A659">
        <v>1807</v>
      </c>
      <c r="B659" t="s">
        <v>107</v>
      </c>
      <c r="C659" t="s">
        <v>549</v>
      </c>
      <c r="D659" t="s">
        <v>2280</v>
      </c>
      <c r="E659" t="s">
        <v>2281</v>
      </c>
      <c r="F659" t="s">
        <v>192</v>
      </c>
      <c r="G659" t="s">
        <v>469</v>
      </c>
      <c r="H659">
        <v>3</v>
      </c>
      <c r="I659">
        <v>34</v>
      </c>
      <c r="J659">
        <v>8</v>
      </c>
      <c r="K659">
        <v>8</v>
      </c>
      <c r="L659" t="s">
        <v>112</v>
      </c>
      <c r="M659" t="s">
        <v>138</v>
      </c>
      <c r="N659">
        <v>0</v>
      </c>
      <c r="O659">
        <v>0</v>
      </c>
      <c r="P659" t="s">
        <v>111</v>
      </c>
      <c r="Q659">
        <v>39.200000000000003</v>
      </c>
      <c r="R659">
        <v>0</v>
      </c>
      <c r="S659">
        <v>0</v>
      </c>
      <c r="T659">
        <v>5</v>
      </c>
      <c r="U659" s="1" t="s">
        <v>2282</v>
      </c>
      <c r="V659">
        <v>0</v>
      </c>
      <c r="W659">
        <v>25</v>
      </c>
      <c r="X659">
        <v>8</v>
      </c>
      <c r="Y659">
        <v>0</v>
      </c>
      <c r="Z659" t="s">
        <v>111</v>
      </c>
      <c r="AA659">
        <v>0</v>
      </c>
      <c r="AB659" t="s">
        <v>2283</v>
      </c>
      <c r="AC659">
        <v>8</v>
      </c>
      <c r="AD659" t="s">
        <v>111</v>
      </c>
      <c r="AE659">
        <v>0</v>
      </c>
      <c r="AF659">
        <v>0</v>
      </c>
      <c r="AG659" t="s">
        <v>111</v>
      </c>
      <c r="AH659" t="s">
        <v>111</v>
      </c>
      <c r="AI659" t="s">
        <v>111</v>
      </c>
      <c r="AJ659" t="s">
        <v>111</v>
      </c>
      <c r="AK659" t="s">
        <v>111</v>
      </c>
      <c r="AL659" t="s">
        <v>111</v>
      </c>
      <c r="AM659">
        <v>0</v>
      </c>
      <c r="AN659">
        <v>0</v>
      </c>
      <c r="AO659">
        <v>0</v>
      </c>
      <c r="AP659" t="s">
        <v>111</v>
      </c>
      <c r="AQ659" t="s">
        <v>111</v>
      </c>
      <c r="AR659" t="s">
        <v>111</v>
      </c>
      <c r="AS659" t="s">
        <v>111</v>
      </c>
      <c r="AT659" t="s">
        <v>111</v>
      </c>
      <c r="AU659" t="s">
        <v>111</v>
      </c>
      <c r="AV659" t="s">
        <v>111</v>
      </c>
      <c r="AW659" t="s">
        <v>111</v>
      </c>
      <c r="AX659" t="s">
        <v>111</v>
      </c>
      <c r="AY659" t="s">
        <v>111</v>
      </c>
      <c r="AZ659" t="s">
        <v>111</v>
      </c>
      <c r="BA659" t="s">
        <v>111</v>
      </c>
      <c r="BB659" t="s">
        <v>111</v>
      </c>
      <c r="BC659" t="s">
        <v>111</v>
      </c>
      <c r="BD659" t="s">
        <v>111</v>
      </c>
      <c r="BE659" t="s">
        <v>111</v>
      </c>
      <c r="BF659" t="s">
        <v>111</v>
      </c>
      <c r="BG659" t="s">
        <v>111</v>
      </c>
      <c r="BH659" t="s">
        <v>111</v>
      </c>
      <c r="BI659" t="s">
        <v>111</v>
      </c>
      <c r="BJ659" t="s">
        <v>111</v>
      </c>
      <c r="BK659" t="s">
        <v>111</v>
      </c>
      <c r="BL659" t="s">
        <v>111</v>
      </c>
      <c r="BM659" t="s">
        <v>111</v>
      </c>
      <c r="BN659" t="s">
        <v>111</v>
      </c>
      <c r="BO659" t="s">
        <v>111</v>
      </c>
      <c r="BP659" t="s">
        <v>111</v>
      </c>
      <c r="BQ659" t="s">
        <v>111</v>
      </c>
      <c r="BR659" t="s">
        <v>111</v>
      </c>
      <c r="BS659" t="s">
        <v>111</v>
      </c>
      <c r="BT659" t="s">
        <v>111</v>
      </c>
      <c r="BU659" t="s">
        <v>111</v>
      </c>
      <c r="BV659" t="s">
        <v>111</v>
      </c>
      <c r="BW659" t="s">
        <v>111</v>
      </c>
      <c r="BX659" t="s">
        <v>111</v>
      </c>
      <c r="BY659" t="s">
        <v>111</v>
      </c>
      <c r="BZ659" t="s">
        <v>111</v>
      </c>
      <c r="CA659" t="s">
        <v>111</v>
      </c>
      <c r="CB659" t="s">
        <v>111</v>
      </c>
      <c r="CC659" t="s">
        <v>111</v>
      </c>
      <c r="CD659" t="s">
        <v>111</v>
      </c>
      <c r="CE659" t="s">
        <v>111</v>
      </c>
      <c r="CF659" t="s">
        <v>111</v>
      </c>
      <c r="CG659" t="s">
        <v>111</v>
      </c>
      <c r="CH659" t="s">
        <v>111</v>
      </c>
      <c r="CI659" t="s">
        <v>111</v>
      </c>
      <c r="CJ659" t="s">
        <v>111</v>
      </c>
      <c r="CK659" t="s">
        <v>111</v>
      </c>
      <c r="CL659" t="s">
        <v>111</v>
      </c>
      <c r="CM659" t="s">
        <v>135</v>
      </c>
      <c r="CN659" t="s">
        <v>128</v>
      </c>
      <c r="CO659" t="s">
        <v>637</v>
      </c>
      <c r="CP659" t="s">
        <v>111</v>
      </c>
      <c r="CQ659">
        <v>0</v>
      </c>
      <c r="CR659">
        <v>500</v>
      </c>
      <c r="CS659">
        <v>50</v>
      </c>
      <c r="CT659" t="e">
        <f>-PERFORACIONES SEGUN MUESTRA</f>
        <v>#NAME?</v>
      </c>
      <c r="CU659">
        <v>0</v>
      </c>
      <c r="CV659" t="s">
        <v>111</v>
      </c>
      <c r="CX659" t="s">
        <v>111</v>
      </c>
      <c r="CY659">
        <v>0</v>
      </c>
      <c r="CZ659" t="s">
        <v>111</v>
      </c>
      <c r="DA659" t="s">
        <v>111</v>
      </c>
      <c r="DB659" t="s">
        <v>111</v>
      </c>
      <c r="DC659" t="s">
        <v>111</v>
      </c>
    </row>
    <row r="660" spans="1:107">
      <c r="A660">
        <v>1967</v>
      </c>
      <c r="B660" t="s">
        <v>107</v>
      </c>
      <c r="C660" t="s">
        <v>180</v>
      </c>
      <c r="D660" t="s">
        <v>2284</v>
      </c>
      <c r="E660" t="s">
        <v>2285</v>
      </c>
      <c r="F660" t="s">
        <v>1754</v>
      </c>
      <c r="G660" t="s">
        <v>469</v>
      </c>
      <c r="H660">
        <v>2.2000000000000002</v>
      </c>
      <c r="I660">
        <v>48</v>
      </c>
      <c r="J660">
        <v>0</v>
      </c>
      <c r="K660">
        <v>0</v>
      </c>
      <c r="L660" t="s">
        <v>112</v>
      </c>
      <c r="M660" t="s">
        <v>118</v>
      </c>
      <c r="N660">
        <v>39</v>
      </c>
      <c r="O660">
        <v>2</v>
      </c>
      <c r="P660" t="s">
        <v>111</v>
      </c>
      <c r="Q660">
        <v>43.7</v>
      </c>
      <c r="R660">
        <v>0</v>
      </c>
      <c r="S660">
        <v>0</v>
      </c>
      <c r="T660">
        <v>6</v>
      </c>
      <c r="U660" s="1" t="s">
        <v>2286</v>
      </c>
      <c r="V660">
        <v>25</v>
      </c>
      <c r="W660">
        <v>0</v>
      </c>
      <c r="X660">
        <v>8</v>
      </c>
      <c r="Y660">
        <v>0</v>
      </c>
      <c r="Z660" t="s">
        <v>259</v>
      </c>
      <c r="AA660">
        <v>1.2</v>
      </c>
      <c r="AB660" t="s">
        <v>1346</v>
      </c>
      <c r="AC660">
        <v>0.7</v>
      </c>
      <c r="AD660" t="s">
        <v>416</v>
      </c>
      <c r="AE660">
        <v>0</v>
      </c>
      <c r="AF660">
        <v>0</v>
      </c>
      <c r="AG660" t="s">
        <v>111</v>
      </c>
      <c r="AH660" t="s">
        <v>111</v>
      </c>
      <c r="AI660" t="s">
        <v>111</v>
      </c>
      <c r="AJ660" t="s">
        <v>111</v>
      </c>
      <c r="AK660" t="s">
        <v>111</v>
      </c>
      <c r="AL660" t="s">
        <v>111</v>
      </c>
      <c r="AM660">
        <v>0</v>
      </c>
      <c r="AN660">
        <v>0</v>
      </c>
      <c r="AO660">
        <v>0</v>
      </c>
      <c r="AP660" t="s">
        <v>111</v>
      </c>
      <c r="AQ660" t="s">
        <v>111</v>
      </c>
      <c r="AR660" t="s">
        <v>111</v>
      </c>
      <c r="AS660" t="s">
        <v>111</v>
      </c>
      <c r="AT660" t="s">
        <v>111</v>
      </c>
      <c r="AU660" t="s">
        <v>111</v>
      </c>
      <c r="AV660" t="s">
        <v>111</v>
      </c>
      <c r="AW660" t="s">
        <v>111</v>
      </c>
      <c r="AX660" t="s">
        <v>111</v>
      </c>
      <c r="AY660" t="s">
        <v>111</v>
      </c>
      <c r="AZ660" t="s">
        <v>111</v>
      </c>
      <c r="BA660" t="s">
        <v>111</v>
      </c>
      <c r="BB660" t="s">
        <v>111</v>
      </c>
      <c r="BC660" t="s">
        <v>111</v>
      </c>
      <c r="BD660" t="s">
        <v>111</v>
      </c>
      <c r="BE660" t="s">
        <v>111</v>
      </c>
      <c r="BF660" t="s">
        <v>111</v>
      </c>
      <c r="BG660" t="s">
        <v>111</v>
      </c>
      <c r="BH660" t="s">
        <v>111</v>
      </c>
      <c r="BI660" t="s">
        <v>111</v>
      </c>
      <c r="BJ660" t="s">
        <v>111</v>
      </c>
      <c r="BK660" t="s">
        <v>111</v>
      </c>
      <c r="BL660" t="s">
        <v>111</v>
      </c>
      <c r="BM660" t="s">
        <v>111</v>
      </c>
      <c r="BN660" t="s">
        <v>111</v>
      </c>
      <c r="BO660" t="s">
        <v>111</v>
      </c>
      <c r="BP660" t="s">
        <v>111</v>
      </c>
      <c r="BQ660" t="s">
        <v>111</v>
      </c>
      <c r="BR660" t="s">
        <v>111</v>
      </c>
      <c r="BS660" t="s">
        <v>111</v>
      </c>
      <c r="BT660" t="s">
        <v>111</v>
      </c>
      <c r="BU660" t="s">
        <v>111</v>
      </c>
      <c r="BV660" t="s">
        <v>111</v>
      </c>
      <c r="BW660" t="s">
        <v>111</v>
      </c>
      <c r="BX660" t="s">
        <v>111</v>
      </c>
      <c r="BY660" t="s">
        <v>111</v>
      </c>
      <c r="BZ660" t="s">
        <v>111</v>
      </c>
      <c r="CA660" t="s">
        <v>111</v>
      </c>
      <c r="CB660" t="s">
        <v>111</v>
      </c>
      <c r="CC660" t="s">
        <v>111</v>
      </c>
      <c r="CD660" t="s">
        <v>111</v>
      </c>
      <c r="CE660" t="s">
        <v>111</v>
      </c>
      <c r="CF660" t="s">
        <v>111</v>
      </c>
      <c r="CG660" t="s">
        <v>111</v>
      </c>
      <c r="CH660" t="s">
        <v>111</v>
      </c>
      <c r="CI660" t="s">
        <v>111</v>
      </c>
      <c r="CJ660" t="s">
        <v>111</v>
      </c>
      <c r="CK660" t="s">
        <v>111</v>
      </c>
      <c r="CL660" t="s">
        <v>111</v>
      </c>
      <c r="CM660" t="s">
        <v>135</v>
      </c>
      <c r="CN660" t="s">
        <v>113</v>
      </c>
      <c r="CO660" t="s">
        <v>367</v>
      </c>
      <c r="CP660" t="e">
        <f>-MUESTRA</f>
        <v>#NAME?</v>
      </c>
      <c r="CQ660">
        <v>0</v>
      </c>
      <c r="CR660">
        <v>1500</v>
      </c>
      <c r="CS660">
        <v>50</v>
      </c>
      <c r="CT660" s="1" t="s">
        <v>2287</v>
      </c>
      <c r="CU660">
        <v>0</v>
      </c>
      <c r="CV660" t="s">
        <v>111</v>
      </c>
      <c r="CX660" t="s">
        <v>111</v>
      </c>
      <c r="CY660">
        <v>0</v>
      </c>
      <c r="CZ660" t="s">
        <v>111</v>
      </c>
      <c r="DA660" t="s">
        <v>111</v>
      </c>
      <c r="DB660" t="e">
        <f>-INTERNO</f>
        <v>#NAME?</v>
      </c>
      <c r="DC660" t="e">
        <f>-TROQUEL RIÑON</f>
        <v>#NAME?</v>
      </c>
    </row>
    <row r="661" spans="1:107">
      <c r="A661">
        <v>1805</v>
      </c>
      <c r="B661" t="s">
        <v>107</v>
      </c>
      <c r="C661" t="s">
        <v>454</v>
      </c>
      <c r="D661" t="s">
        <v>2288</v>
      </c>
      <c r="E661" t="s">
        <v>2289</v>
      </c>
      <c r="F661" t="s">
        <v>657</v>
      </c>
      <c r="G661" t="s">
        <v>469</v>
      </c>
      <c r="H661">
        <v>3.9</v>
      </c>
      <c r="I661">
        <v>48</v>
      </c>
      <c r="J661">
        <v>0</v>
      </c>
      <c r="K661">
        <v>0</v>
      </c>
      <c r="L661" t="s">
        <v>117</v>
      </c>
      <c r="M661" t="s">
        <v>118</v>
      </c>
      <c r="N661">
        <v>39</v>
      </c>
      <c r="O661">
        <v>1</v>
      </c>
      <c r="P661" t="s">
        <v>111</v>
      </c>
      <c r="Q661">
        <v>33.6</v>
      </c>
      <c r="R661">
        <v>0</v>
      </c>
      <c r="S661">
        <v>0</v>
      </c>
      <c r="T661">
        <v>10</v>
      </c>
      <c r="U661" s="1" t="s">
        <v>662</v>
      </c>
      <c r="V661">
        <v>0</v>
      </c>
      <c r="W661">
        <v>25</v>
      </c>
      <c r="X661">
        <v>6</v>
      </c>
      <c r="Y661">
        <v>0</v>
      </c>
      <c r="Z661" t="s">
        <v>2290</v>
      </c>
      <c r="AA661">
        <v>1.3</v>
      </c>
      <c r="AB661" t="s">
        <v>111</v>
      </c>
      <c r="AC661">
        <v>0</v>
      </c>
      <c r="AD661" t="s">
        <v>111</v>
      </c>
      <c r="AE661">
        <v>0</v>
      </c>
      <c r="AF661">
        <v>0</v>
      </c>
      <c r="AG661" t="s">
        <v>111</v>
      </c>
      <c r="AH661" t="s">
        <v>111</v>
      </c>
      <c r="AI661" t="s">
        <v>111</v>
      </c>
      <c r="AJ661" t="s">
        <v>111</v>
      </c>
      <c r="AK661" t="s">
        <v>111</v>
      </c>
      <c r="AL661" t="s">
        <v>111</v>
      </c>
      <c r="AM661">
        <v>0</v>
      </c>
      <c r="AN661">
        <v>0</v>
      </c>
      <c r="AO661">
        <v>0</v>
      </c>
      <c r="AP661" t="s">
        <v>111</v>
      </c>
      <c r="AQ661" t="s">
        <v>111</v>
      </c>
      <c r="AR661" t="s">
        <v>111</v>
      </c>
      <c r="AS661" t="s">
        <v>111</v>
      </c>
      <c r="AT661" t="s">
        <v>111</v>
      </c>
      <c r="AU661" t="s">
        <v>111</v>
      </c>
      <c r="AV661" t="s">
        <v>111</v>
      </c>
      <c r="AW661" t="s">
        <v>111</v>
      </c>
      <c r="AX661" t="s">
        <v>111</v>
      </c>
      <c r="AY661" t="s">
        <v>111</v>
      </c>
      <c r="AZ661" t="s">
        <v>111</v>
      </c>
      <c r="BA661" t="s">
        <v>111</v>
      </c>
      <c r="BB661" t="s">
        <v>111</v>
      </c>
      <c r="BC661" t="s">
        <v>111</v>
      </c>
      <c r="BD661" t="s">
        <v>111</v>
      </c>
      <c r="BE661" t="s">
        <v>111</v>
      </c>
      <c r="BF661" t="s">
        <v>111</v>
      </c>
      <c r="BG661" t="s">
        <v>111</v>
      </c>
      <c r="BH661" t="s">
        <v>111</v>
      </c>
      <c r="BI661" t="s">
        <v>111</v>
      </c>
      <c r="BJ661" t="s">
        <v>111</v>
      </c>
      <c r="BK661" t="s">
        <v>111</v>
      </c>
      <c r="BL661" t="s">
        <v>111</v>
      </c>
      <c r="BM661" t="s">
        <v>111</v>
      </c>
      <c r="BN661" t="s">
        <v>111</v>
      </c>
      <c r="BO661" t="s">
        <v>111</v>
      </c>
      <c r="BP661" t="s">
        <v>111</v>
      </c>
      <c r="BQ661" t="s">
        <v>111</v>
      </c>
      <c r="BR661" t="s">
        <v>111</v>
      </c>
      <c r="BS661" t="s">
        <v>111</v>
      </c>
      <c r="BT661" t="s">
        <v>111</v>
      </c>
      <c r="BU661" t="s">
        <v>111</v>
      </c>
      <c r="BV661" t="s">
        <v>111</v>
      </c>
      <c r="BW661" t="s">
        <v>111</v>
      </c>
      <c r="BX661" t="s">
        <v>111</v>
      </c>
      <c r="BY661" t="s">
        <v>111</v>
      </c>
      <c r="BZ661" t="s">
        <v>111</v>
      </c>
      <c r="CA661" t="s">
        <v>111</v>
      </c>
      <c r="CB661" t="s">
        <v>111</v>
      </c>
      <c r="CC661" t="s">
        <v>111</v>
      </c>
      <c r="CD661" t="s">
        <v>111</v>
      </c>
      <c r="CE661" t="s">
        <v>111</v>
      </c>
      <c r="CF661" t="s">
        <v>111</v>
      </c>
      <c r="CG661" t="s">
        <v>111</v>
      </c>
      <c r="CH661" t="s">
        <v>111</v>
      </c>
      <c r="CI661" t="s">
        <v>111</v>
      </c>
      <c r="CJ661" t="s">
        <v>111</v>
      </c>
      <c r="CK661" t="s">
        <v>111</v>
      </c>
      <c r="CL661" t="s">
        <v>111</v>
      </c>
      <c r="CM661" t="s">
        <v>135</v>
      </c>
      <c r="CN661" t="s">
        <v>113</v>
      </c>
      <c r="CO661" t="s">
        <v>1607</v>
      </c>
      <c r="CP661" t="e">
        <f>-MUESTRA</f>
        <v>#NAME?</v>
      </c>
      <c r="CQ661">
        <v>0</v>
      </c>
      <c r="CR661">
        <v>2000</v>
      </c>
      <c r="CS661">
        <v>45</v>
      </c>
      <c r="CT661" t="e">
        <f>-BIEN EMPACADO PARA TROQUELAR</f>
        <v>#NAME?</v>
      </c>
      <c r="CU661">
        <v>0</v>
      </c>
      <c r="CV661" t="s">
        <v>111</v>
      </c>
      <c r="CX661" t="s">
        <v>111</v>
      </c>
      <c r="CY661">
        <v>0</v>
      </c>
      <c r="CZ661" t="s">
        <v>111</v>
      </c>
      <c r="DA661" t="s">
        <v>111</v>
      </c>
      <c r="DB661" t="e">
        <f>-INTERNO</f>
        <v>#NAME?</v>
      </c>
      <c r="DC661" t="e">
        <f>-BANDERINES</f>
        <v>#NAME?</v>
      </c>
    </row>
    <row r="662" spans="1:107">
      <c r="A662">
        <v>1968</v>
      </c>
      <c r="B662" t="s">
        <v>107</v>
      </c>
      <c r="C662" t="s">
        <v>2291</v>
      </c>
      <c r="D662" t="s">
        <v>2292</v>
      </c>
      <c r="E662" t="s">
        <v>2293</v>
      </c>
      <c r="F662" t="s">
        <v>431</v>
      </c>
      <c r="G662" t="s">
        <v>469</v>
      </c>
      <c r="H662">
        <v>3.4</v>
      </c>
      <c r="I662">
        <v>40</v>
      </c>
      <c r="J662">
        <v>0</v>
      </c>
      <c r="K662">
        <v>0</v>
      </c>
      <c r="L662" t="s">
        <v>112</v>
      </c>
      <c r="M662" t="s">
        <v>118</v>
      </c>
      <c r="N662">
        <v>39</v>
      </c>
      <c r="O662">
        <v>1</v>
      </c>
      <c r="P662" t="s">
        <v>111</v>
      </c>
      <c r="Q662">
        <v>43.3</v>
      </c>
      <c r="R662">
        <v>0</v>
      </c>
      <c r="S662">
        <v>0</v>
      </c>
      <c r="T662">
        <v>5</v>
      </c>
      <c r="U662" t="e">
        <f>-DARMA</f>
        <v>#NAME?</v>
      </c>
      <c r="V662">
        <v>0</v>
      </c>
      <c r="W662">
        <v>25</v>
      </c>
      <c r="X662">
        <v>25</v>
      </c>
      <c r="Y662">
        <v>0</v>
      </c>
      <c r="Z662" t="s">
        <v>111</v>
      </c>
      <c r="AA662">
        <v>0</v>
      </c>
      <c r="AB662" t="s">
        <v>2294</v>
      </c>
      <c r="AC662">
        <v>25</v>
      </c>
      <c r="AD662" t="s">
        <v>416</v>
      </c>
      <c r="AE662">
        <v>0</v>
      </c>
      <c r="AF662">
        <v>0</v>
      </c>
      <c r="AG662" t="s">
        <v>111</v>
      </c>
      <c r="AH662" t="s">
        <v>111</v>
      </c>
      <c r="AI662" t="s">
        <v>111</v>
      </c>
      <c r="AJ662" t="s">
        <v>111</v>
      </c>
      <c r="AK662" t="s">
        <v>111</v>
      </c>
      <c r="AL662" t="s">
        <v>111</v>
      </c>
      <c r="AM662">
        <v>0</v>
      </c>
      <c r="AN662">
        <v>0</v>
      </c>
      <c r="AO662">
        <v>0</v>
      </c>
      <c r="AP662" t="s">
        <v>111</v>
      </c>
      <c r="AQ662" t="s">
        <v>111</v>
      </c>
      <c r="AR662" t="s">
        <v>111</v>
      </c>
      <c r="AS662" t="s">
        <v>111</v>
      </c>
      <c r="AT662" t="s">
        <v>111</v>
      </c>
      <c r="AU662" t="s">
        <v>111</v>
      </c>
      <c r="AV662" t="s">
        <v>111</v>
      </c>
      <c r="AW662" t="s">
        <v>111</v>
      </c>
      <c r="AX662" t="s">
        <v>111</v>
      </c>
      <c r="AY662" t="s">
        <v>111</v>
      </c>
      <c r="AZ662" t="s">
        <v>111</v>
      </c>
      <c r="BA662" t="s">
        <v>111</v>
      </c>
      <c r="BB662" t="s">
        <v>111</v>
      </c>
      <c r="BC662" t="s">
        <v>111</v>
      </c>
      <c r="BD662" t="s">
        <v>111</v>
      </c>
      <c r="BE662" t="s">
        <v>111</v>
      </c>
      <c r="BF662" t="s">
        <v>111</v>
      </c>
      <c r="BG662" t="s">
        <v>111</v>
      </c>
      <c r="BH662" t="s">
        <v>111</v>
      </c>
      <c r="BI662" t="s">
        <v>111</v>
      </c>
      <c r="BJ662" t="s">
        <v>111</v>
      </c>
      <c r="BK662" t="s">
        <v>111</v>
      </c>
      <c r="BL662" t="s">
        <v>111</v>
      </c>
      <c r="BM662" t="s">
        <v>111</v>
      </c>
      <c r="BN662" t="s">
        <v>111</v>
      </c>
      <c r="BO662" t="s">
        <v>111</v>
      </c>
      <c r="BP662" t="s">
        <v>111</v>
      </c>
      <c r="BQ662" t="s">
        <v>111</v>
      </c>
      <c r="BR662" t="s">
        <v>111</v>
      </c>
      <c r="BS662" t="s">
        <v>111</v>
      </c>
      <c r="BT662" t="s">
        <v>111</v>
      </c>
      <c r="BU662" t="s">
        <v>111</v>
      </c>
      <c r="BV662" t="s">
        <v>111</v>
      </c>
      <c r="BW662" t="s">
        <v>111</v>
      </c>
      <c r="BX662" t="s">
        <v>111</v>
      </c>
      <c r="BY662" t="s">
        <v>111</v>
      </c>
      <c r="BZ662" t="s">
        <v>111</v>
      </c>
      <c r="CA662" t="s">
        <v>111</v>
      </c>
      <c r="CB662" t="s">
        <v>111</v>
      </c>
      <c r="CC662" t="s">
        <v>111</v>
      </c>
      <c r="CD662" t="s">
        <v>111</v>
      </c>
      <c r="CE662" t="s">
        <v>111</v>
      </c>
      <c r="CF662" t="s">
        <v>111</v>
      </c>
      <c r="CG662" t="s">
        <v>111</v>
      </c>
      <c r="CH662" t="s">
        <v>111</v>
      </c>
      <c r="CI662" t="s">
        <v>111</v>
      </c>
      <c r="CJ662" t="s">
        <v>111</v>
      </c>
      <c r="CK662" t="s">
        <v>111</v>
      </c>
      <c r="CL662" t="s">
        <v>111</v>
      </c>
      <c r="CM662" t="s">
        <v>135</v>
      </c>
      <c r="CN662" t="s">
        <v>113</v>
      </c>
      <c r="CO662" t="s">
        <v>111</v>
      </c>
      <c r="CP662" t="s">
        <v>111</v>
      </c>
      <c r="CQ662">
        <v>0</v>
      </c>
      <c r="CR662">
        <v>1500</v>
      </c>
      <c r="CS662">
        <v>50</v>
      </c>
      <c r="CT662" s="1" t="s">
        <v>2295</v>
      </c>
      <c r="CU662">
        <v>0</v>
      </c>
      <c r="CV662" t="s">
        <v>111</v>
      </c>
      <c r="CX662" t="s">
        <v>111</v>
      </c>
      <c r="CY662">
        <v>0</v>
      </c>
      <c r="CZ662" t="s">
        <v>111</v>
      </c>
      <c r="DA662" t="s">
        <v>111</v>
      </c>
      <c r="DB662" t="e">
        <f>-EXTERNO</f>
        <v>#NAME?</v>
      </c>
      <c r="DC662" t="s">
        <v>2296</v>
      </c>
    </row>
    <row r="663" spans="1:107">
      <c r="A663">
        <v>1804</v>
      </c>
      <c r="B663" t="s">
        <v>107</v>
      </c>
      <c r="C663" t="s">
        <v>454</v>
      </c>
      <c r="D663" t="s">
        <v>2297</v>
      </c>
      <c r="E663" t="s">
        <v>2298</v>
      </c>
      <c r="F663" t="s">
        <v>2299</v>
      </c>
      <c r="G663" t="s">
        <v>469</v>
      </c>
      <c r="H663">
        <v>3.9</v>
      </c>
      <c r="I663">
        <v>48</v>
      </c>
      <c r="J663">
        <v>0</v>
      </c>
      <c r="K663">
        <v>0</v>
      </c>
      <c r="L663" t="s">
        <v>117</v>
      </c>
      <c r="M663" t="s">
        <v>118</v>
      </c>
      <c r="N663">
        <v>39</v>
      </c>
      <c r="O663">
        <v>1</v>
      </c>
      <c r="P663" t="s">
        <v>111</v>
      </c>
      <c r="Q663">
        <v>33.6</v>
      </c>
      <c r="R663">
        <v>0</v>
      </c>
      <c r="S663">
        <v>0</v>
      </c>
      <c r="T663">
        <v>10</v>
      </c>
      <c r="U663" s="1" t="s">
        <v>662</v>
      </c>
      <c r="V663">
        <v>0</v>
      </c>
      <c r="W663">
        <v>25</v>
      </c>
      <c r="X663">
        <v>6</v>
      </c>
      <c r="Y663">
        <v>0</v>
      </c>
      <c r="Z663" t="s">
        <v>271</v>
      </c>
      <c r="AA663">
        <v>1.3</v>
      </c>
      <c r="AB663" t="s">
        <v>111</v>
      </c>
      <c r="AC663">
        <v>0</v>
      </c>
      <c r="AD663" t="s">
        <v>111</v>
      </c>
      <c r="AE663">
        <v>0</v>
      </c>
      <c r="AF663">
        <v>0</v>
      </c>
      <c r="AG663" t="s">
        <v>111</v>
      </c>
      <c r="AH663" t="s">
        <v>111</v>
      </c>
      <c r="AI663" t="s">
        <v>111</v>
      </c>
      <c r="AJ663" t="s">
        <v>111</v>
      </c>
      <c r="AK663" t="s">
        <v>111</v>
      </c>
      <c r="AL663" t="s">
        <v>111</v>
      </c>
      <c r="AM663">
        <v>0</v>
      </c>
      <c r="AN663">
        <v>0</v>
      </c>
      <c r="AO663">
        <v>0</v>
      </c>
      <c r="AP663" t="s">
        <v>111</v>
      </c>
      <c r="AQ663" t="s">
        <v>111</v>
      </c>
      <c r="AR663" t="s">
        <v>111</v>
      </c>
      <c r="AS663" t="s">
        <v>111</v>
      </c>
      <c r="AT663" t="s">
        <v>111</v>
      </c>
      <c r="AU663" t="s">
        <v>111</v>
      </c>
      <c r="AV663" t="s">
        <v>111</v>
      </c>
      <c r="AW663" t="s">
        <v>111</v>
      </c>
      <c r="AX663" t="s">
        <v>111</v>
      </c>
      <c r="AY663" t="s">
        <v>111</v>
      </c>
      <c r="AZ663" t="s">
        <v>111</v>
      </c>
      <c r="BA663" t="s">
        <v>111</v>
      </c>
      <c r="BB663" t="s">
        <v>111</v>
      </c>
      <c r="BC663" t="s">
        <v>111</v>
      </c>
      <c r="BD663" t="s">
        <v>111</v>
      </c>
      <c r="BE663" t="s">
        <v>111</v>
      </c>
      <c r="BF663" t="s">
        <v>111</v>
      </c>
      <c r="BG663" t="s">
        <v>111</v>
      </c>
      <c r="BH663" t="s">
        <v>111</v>
      </c>
      <c r="BI663" t="s">
        <v>111</v>
      </c>
      <c r="BJ663" t="s">
        <v>111</v>
      </c>
      <c r="BK663" t="s">
        <v>111</v>
      </c>
      <c r="BL663" t="s">
        <v>111</v>
      </c>
      <c r="BM663" t="s">
        <v>111</v>
      </c>
      <c r="BN663" t="s">
        <v>111</v>
      </c>
      <c r="BO663" t="s">
        <v>111</v>
      </c>
      <c r="BP663" t="s">
        <v>111</v>
      </c>
      <c r="BQ663" t="s">
        <v>111</v>
      </c>
      <c r="BR663" t="s">
        <v>111</v>
      </c>
      <c r="BS663" t="s">
        <v>111</v>
      </c>
      <c r="BT663" t="s">
        <v>111</v>
      </c>
      <c r="BU663" t="s">
        <v>111</v>
      </c>
      <c r="BV663" t="s">
        <v>111</v>
      </c>
      <c r="BW663" t="s">
        <v>111</v>
      </c>
      <c r="BX663" t="s">
        <v>111</v>
      </c>
      <c r="BY663" t="s">
        <v>111</v>
      </c>
      <c r="BZ663" t="s">
        <v>111</v>
      </c>
      <c r="CA663" t="s">
        <v>111</v>
      </c>
      <c r="CB663" t="s">
        <v>111</v>
      </c>
      <c r="CC663" t="s">
        <v>111</v>
      </c>
      <c r="CD663" t="s">
        <v>111</v>
      </c>
      <c r="CE663" t="s">
        <v>111</v>
      </c>
      <c r="CF663" t="s">
        <v>111</v>
      </c>
      <c r="CG663" t="s">
        <v>111</v>
      </c>
      <c r="CH663" t="s">
        <v>111</v>
      </c>
      <c r="CI663" t="s">
        <v>111</v>
      </c>
      <c r="CJ663" t="s">
        <v>111</v>
      </c>
      <c r="CK663" t="s">
        <v>111</v>
      </c>
      <c r="CL663" t="s">
        <v>111</v>
      </c>
      <c r="CM663" t="s">
        <v>135</v>
      </c>
      <c r="CN663" t="s">
        <v>113</v>
      </c>
      <c r="CO663" t="s">
        <v>1607</v>
      </c>
      <c r="CP663" t="e">
        <f>-MUESTRA</f>
        <v>#NAME?</v>
      </c>
      <c r="CQ663">
        <v>0</v>
      </c>
      <c r="CR663">
        <v>2000</v>
      </c>
      <c r="CS663">
        <v>45</v>
      </c>
      <c r="CT663" t="e">
        <f>-BIEN EMPACADO PARA TROQUELAR</f>
        <v>#NAME?</v>
      </c>
      <c r="CU663">
        <v>0</v>
      </c>
      <c r="CV663" t="s">
        <v>111</v>
      </c>
      <c r="CX663" t="s">
        <v>111</v>
      </c>
      <c r="CY663">
        <v>0</v>
      </c>
      <c r="CZ663" t="s">
        <v>111</v>
      </c>
      <c r="DA663" t="s">
        <v>111</v>
      </c>
      <c r="DB663" t="e">
        <f>-EXTERNO</f>
        <v>#NAME?</v>
      </c>
      <c r="DC663" t="s">
        <v>111</v>
      </c>
    </row>
    <row r="664" spans="1:107">
      <c r="A664">
        <v>1969</v>
      </c>
      <c r="B664" t="s">
        <v>107</v>
      </c>
      <c r="C664" t="s">
        <v>2291</v>
      </c>
      <c r="D664" t="s">
        <v>2300</v>
      </c>
      <c r="E664" t="s">
        <v>2301</v>
      </c>
      <c r="F664" t="s">
        <v>431</v>
      </c>
      <c r="G664" t="s">
        <v>469</v>
      </c>
      <c r="H664">
        <v>3.4</v>
      </c>
      <c r="I664">
        <v>58</v>
      </c>
      <c r="J664">
        <v>0</v>
      </c>
      <c r="K664">
        <v>0</v>
      </c>
      <c r="L664" t="s">
        <v>112</v>
      </c>
      <c r="M664" t="s">
        <v>118</v>
      </c>
      <c r="N664">
        <v>39</v>
      </c>
      <c r="O664">
        <v>2</v>
      </c>
      <c r="P664" t="s">
        <v>111</v>
      </c>
      <c r="Q664">
        <v>48.3</v>
      </c>
      <c r="R664">
        <v>0</v>
      </c>
      <c r="S664">
        <v>0</v>
      </c>
      <c r="T664">
        <v>5</v>
      </c>
      <c r="U664" s="1" t="s">
        <v>662</v>
      </c>
      <c r="V664">
        <v>0</v>
      </c>
      <c r="W664">
        <v>25</v>
      </c>
      <c r="X664">
        <v>25</v>
      </c>
      <c r="Y664">
        <v>0</v>
      </c>
      <c r="Z664" t="s">
        <v>111</v>
      </c>
      <c r="AA664">
        <v>0</v>
      </c>
      <c r="AB664" t="s">
        <v>2302</v>
      </c>
      <c r="AC664">
        <v>25</v>
      </c>
      <c r="AD664" t="s">
        <v>416</v>
      </c>
      <c r="AE664">
        <v>0</v>
      </c>
      <c r="AF664">
        <v>0</v>
      </c>
      <c r="AG664" t="s">
        <v>111</v>
      </c>
      <c r="AH664" t="s">
        <v>111</v>
      </c>
      <c r="AI664" t="s">
        <v>111</v>
      </c>
      <c r="AJ664" t="s">
        <v>111</v>
      </c>
      <c r="AK664" t="s">
        <v>111</v>
      </c>
      <c r="AL664" t="s">
        <v>111</v>
      </c>
      <c r="AM664">
        <v>0</v>
      </c>
      <c r="AN664">
        <v>0</v>
      </c>
      <c r="AO664">
        <v>0</v>
      </c>
      <c r="AP664" t="s">
        <v>111</v>
      </c>
      <c r="AQ664" t="s">
        <v>111</v>
      </c>
      <c r="AR664" t="s">
        <v>111</v>
      </c>
      <c r="AS664" t="s">
        <v>111</v>
      </c>
      <c r="AT664" t="s">
        <v>111</v>
      </c>
      <c r="AU664" t="s">
        <v>111</v>
      </c>
      <c r="AV664" t="s">
        <v>111</v>
      </c>
      <c r="AW664" t="s">
        <v>111</v>
      </c>
      <c r="AX664" t="s">
        <v>111</v>
      </c>
      <c r="AY664" t="s">
        <v>111</v>
      </c>
      <c r="AZ664" t="s">
        <v>111</v>
      </c>
      <c r="BA664" t="s">
        <v>111</v>
      </c>
      <c r="BB664" t="s">
        <v>111</v>
      </c>
      <c r="BC664" t="s">
        <v>111</v>
      </c>
      <c r="BD664" t="s">
        <v>111</v>
      </c>
      <c r="BE664" t="s">
        <v>111</v>
      </c>
      <c r="BF664" t="s">
        <v>111</v>
      </c>
      <c r="BG664" t="s">
        <v>111</v>
      </c>
      <c r="BH664" t="s">
        <v>111</v>
      </c>
      <c r="BI664" t="s">
        <v>111</v>
      </c>
      <c r="BJ664" t="s">
        <v>111</v>
      </c>
      <c r="BK664" t="s">
        <v>111</v>
      </c>
      <c r="BL664" t="s">
        <v>111</v>
      </c>
      <c r="BM664" t="s">
        <v>111</v>
      </c>
      <c r="BN664" t="s">
        <v>111</v>
      </c>
      <c r="BO664" t="s">
        <v>111</v>
      </c>
      <c r="BP664" t="s">
        <v>111</v>
      </c>
      <c r="BQ664" t="s">
        <v>111</v>
      </c>
      <c r="BR664" t="s">
        <v>111</v>
      </c>
      <c r="BS664" t="s">
        <v>111</v>
      </c>
      <c r="BT664" t="s">
        <v>111</v>
      </c>
      <c r="BU664" t="s">
        <v>111</v>
      </c>
      <c r="BV664" t="s">
        <v>111</v>
      </c>
      <c r="BW664" t="s">
        <v>111</v>
      </c>
      <c r="BX664" t="s">
        <v>111</v>
      </c>
      <c r="BY664" t="s">
        <v>111</v>
      </c>
      <c r="BZ664" t="s">
        <v>111</v>
      </c>
      <c r="CA664" t="s">
        <v>111</v>
      </c>
      <c r="CB664" t="s">
        <v>111</v>
      </c>
      <c r="CC664" t="s">
        <v>111</v>
      </c>
      <c r="CD664" t="s">
        <v>111</v>
      </c>
      <c r="CE664" t="s">
        <v>111</v>
      </c>
      <c r="CF664" t="s">
        <v>111</v>
      </c>
      <c r="CG664" t="s">
        <v>111</v>
      </c>
      <c r="CH664" t="s">
        <v>111</v>
      </c>
      <c r="CI664" t="s">
        <v>111</v>
      </c>
      <c r="CJ664" t="s">
        <v>111</v>
      </c>
      <c r="CK664" t="s">
        <v>111</v>
      </c>
      <c r="CL664" t="s">
        <v>111</v>
      </c>
      <c r="CM664" t="s">
        <v>135</v>
      </c>
      <c r="CN664" t="s">
        <v>113</v>
      </c>
      <c r="CO664" t="s">
        <v>111</v>
      </c>
      <c r="CP664" t="s">
        <v>111</v>
      </c>
      <c r="CQ664">
        <v>0</v>
      </c>
      <c r="CR664">
        <v>1500</v>
      </c>
      <c r="CS664">
        <v>50</v>
      </c>
      <c r="CT664" s="1" t="s">
        <v>2303</v>
      </c>
      <c r="CU664">
        <v>0</v>
      </c>
      <c r="CV664" t="s">
        <v>111</v>
      </c>
      <c r="CX664" t="s">
        <v>111</v>
      </c>
      <c r="CY664">
        <v>0</v>
      </c>
      <c r="CZ664" t="s">
        <v>111</v>
      </c>
      <c r="DA664" t="s">
        <v>111</v>
      </c>
      <c r="DB664" t="e">
        <f>-EXTERNO</f>
        <v>#NAME?</v>
      </c>
      <c r="DC664" t="s">
        <v>2296</v>
      </c>
    </row>
    <row r="665" spans="1:107">
      <c r="A665">
        <v>1970</v>
      </c>
      <c r="B665" t="s">
        <v>107</v>
      </c>
      <c r="C665" t="s">
        <v>114</v>
      </c>
      <c r="D665" t="s">
        <v>2304</v>
      </c>
      <c r="E665" t="s">
        <v>2305</v>
      </c>
      <c r="F665" t="s">
        <v>192</v>
      </c>
      <c r="G665" t="s">
        <v>469</v>
      </c>
      <c r="H665">
        <v>2.9</v>
      </c>
      <c r="I665">
        <v>53</v>
      </c>
      <c r="J665">
        <v>0</v>
      </c>
      <c r="K665">
        <v>0</v>
      </c>
      <c r="L665" t="s">
        <v>112</v>
      </c>
      <c r="M665" t="s">
        <v>111</v>
      </c>
      <c r="N665">
        <v>0</v>
      </c>
      <c r="O665">
        <v>0</v>
      </c>
      <c r="P665" t="s">
        <v>111</v>
      </c>
      <c r="Q665">
        <v>34.6</v>
      </c>
      <c r="R665">
        <v>0</v>
      </c>
      <c r="S665">
        <v>0</v>
      </c>
      <c r="T665">
        <v>5</v>
      </c>
      <c r="U665" s="1" t="s">
        <v>2306</v>
      </c>
      <c r="V665">
        <v>25</v>
      </c>
      <c r="W665">
        <v>29</v>
      </c>
      <c r="X665">
        <v>10</v>
      </c>
      <c r="Y665">
        <v>0</v>
      </c>
      <c r="Z665" t="s">
        <v>111</v>
      </c>
      <c r="AA665">
        <v>0</v>
      </c>
      <c r="AB665" t="s">
        <v>111</v>
      </c>
      <c r="AC665">
        <v>0</v>
      </c>
      <c r="AD665" t="s">
        <v>111</v>
      </c>
      <c r="AE665">
        <v>0</v>
      </c>
      <c r="AF665">
        <v>0</v>
      </c>
      <c r="AG665" t="s">
        <v>111</v>
      </c>
      <c r="AH665" t="s">
        <v>111</v>
      </c>
      <c r="AI665" t="s">
        <v>111</v>
      </c>
      <c r="AJ665" t="s">
        <v>111</v>
      </c>
      <c r="AK665" t="s">
        <v>111</v>
      </c>
      <c r="AL665" t="s">
        <v>111</v>
      </c>
      <c r="AM665">
        <v>0</v>
      </c>
      <c r="AN665">
        <v>0</v>
      </c>
      <c r="AO665">
        <v>0</v>
      </c>
      <c r="AP665" t="s">
        <v>111</v>
      </c>
      <c r="AQ665" t="s">
        <v>111</v>
      </c>
      <c r="AR665" t="s">
        <v>111</v>
      </c>
      <c r="AS665" t="s">
        <v>111</v>
      </c>
      <c r="AT665" t="s">
        <v>111</v>
      </c>
      <c r="AU665" t="s">
        <v>111</v>
      </c>
      <c r="AV665" t="s">
        <v>111</v>
      </c>
      <c r="AW665" t="s">
        <v>111</v>
      </c>
      <c r="AX665" t="s">
        <v>111</v>
      </c>
      <c r="AY665" t="s">
        <v>111</v>
      </c>
      <c r="AZ665" t="s">
        <v>111</v>
      </c>
      <c r="BA665" t="s">
        <v>111</v>
      </c>
      <c r="BB665" t="s">
        <v>111</v>
      </c>
      <c r="BC665" t="s">
        <v>111</v>
      </c>
      <c r="BD665" t="s">
        <v>111</v>
      </c>
      <c r="BE665" t="s">
        <v>111</v>
      </c>
      <c r="BF665" t="s">
        <v>111</v>
      </c>
      <c r="BG665" t="s">
        <v>111</v>
      </c>
      <c r="BH665" t="s">
        <v>111</v>
      </c>
      <c r="BI665" t="s">
        <v>111</v>
      </c>
      <c r="BJ665" t="s">
        <v>111</v>
      </c>
      <c r="BK665" t="s">
        <v>111</v>
      </c>
      <c r="BL665" t="s">
        <v>111</v>
      </c>
      <c r="BM665" t="s">
        <v>111</v>
      </c>
      <c r="BN665" t="s">
        <v>111</v>
      </c>
      <c r="BO665" t="s">
        <v>111</v>
      </c>
      <c r="BP665" t="s">
        <v>111</v>
      </c>
      <c r="BQ665" t="s">
        <v>111</v>
      </c>
      <c r="BR665" t="s">
        <v>111</v>
      </c>
      <c r="BS665" t="s">
        <v>111</v>
      </c>
      <c r="BT665" t="s">
        <v>111</v>
      </c>
      <c r="BU665" t="s">
        <v>111</v>
      </c>
      <c r="BV665" t="s">
        <v>111</v>
      </c>
      <c r="BW665" t="s">
        <v>111</v>
      </c>
      <c r="BX665" t="s">
        <v>111</v>
      </c>
      <c r="BY665" t="s">
        <v>111</v>
      </c>
      <c r="BZ665" t="s">
        <v>111</v>
      </c>
      <c r="CA665" t="s">
        <v>111</v>
      </c>
      <c r="CB665" t="s">
        <v>111</v>
      </c>
      <c r="CC665" t="s">
        <v>111</v>
      </c>
      <c r="CD665" t="s">
        <v>111</v>
      </c>
      <c r="CE665" t="s">
        <v>111</v>
      </c>
      <c r="CF665" t="s">
        <v>111</v>
      </c>
      <c r="CG665" t="s">
        <v>111</v>
      </c>
      <c r="CH665" t="s">
        <v>111</v>
      </c>
      <c r="CI665" t="s">
        <v>111</v>
      </c>
      <c r="CJ665" t="s">
        <v>111</v>
      </c>
      <c r="CK665" t="s">
        <v>111</v>
      </c>
      <c r="CL665" t="s">
        <v>111</v>
      </c>
      <c r="CM665" t="s">
        <v>135</v>
      </c>
      <c r="CN665" t="s">
        <v>128</v>
      </c>
      <c r="CO665" t="s">
        <v>111</v>
      </c>
      <c r="CP665" t="s">
        <v>111</v>
      </c>
      <c r="CQ665">
        <v>0</v>
      </c>
      <c r="CR665">
        <v>0</v>
      </c>
      <c r="CS665">
        <v>50</v>
      </c>
      <c r="CT665" s="1" t="s">
        <v>2307</v>
      </c>
      <c r="CU665">
        <v>0</v>
      </c>
      <c r="CV665" t="s">
        <v>111</v>
      </c>
      <c r="CX665" t="s">
        <v>111</v>
      </c>
      <c r="CY665">
        <v>0</v>
      </c>
      <c r="CZ665" t="s">
        <v>111</v>
      </c>
      <c r="DA665" t="s">
        <v>111</v>
      </c>
      <c r="DB665" t="s">
        <v>111</v>
      </c>
      <c r="DC665" t="s">
        <v>111</v>
      </c>
    </row>
    <row r="666" spans="1:107">
      <c r="A666">
        <v>1826</v>
      </c>
      <c r="B666" t="s">
        <v>107</v>
      </c>
      <c r="C666" t="s">
        <v>399</v>
      </c>
      <c r="D666" t="s">
        <v>2308</v>
      </c>
      <c r="E666" t="s">
        <v>2309</v>
      </c>
      <c r="F666" t="s">
        <v>125</v>
      </c>
      <c r="G666" t="s">
        <v>469</v>
      </c>
      <c r="H666">
        <v>0.75</v>
      </c>
      <c r="I666">
        <v>70</v>
      </c>
      <c r="J666">
        <v>0</v>
      </c>
      <c r="K666">
        <v>0</v>
      </c>
      <c r="L666" t="s">
        <v>112</v>
      </c>
      <c r="M666" t="s">
        <v>111</v>
      </c>
      <c r="N666">
        <v>0</v>
      </c>
      <c r="O666">
        <v>0</v>
      </c>
      <c r="P666" t="s">
        <v>111</v>
      </c>
      <c r="Q666">
        <v>44</v>
      </c>
      <c r="R666">
        <v>0</v>
      </c>
      <c r="S666">
        <v>0</v>
      </c>
      <c r="T666">
        <v>5</v>
      </c>
      <c r="U666" t="e">
        <f>-MANUALES</f>
        <v>#NAME?</v>
      </c>
      <c r="V666">
        <v>25</v>
      </c>
      <c r="W666">
        <v>0</v>
      </c>
      <c r="X666">
        <v>7</v>
      </c>
      <c r="Y666">
        <v>0</v>
      </c>
      <c r="Z666" t="s">
        <v>111</v>
      </c>
      <c r="AA666">
        <v>0</v>
      </c>
      <c r="AB666" t="s">
        <v>111</v>
      </c>
      <c r="AC666">
        <v>0</v>
      </c>
      <c r="AD666" t="s">
        <v>111</v>
      </c>
      <c r="AE666">
        <v>0</v>
      </c>
      <c r="AF666">
        <v>0</v>
      </c>
      <c r="AG666" t="s">
        <v>111</v>
      </c>
      <c r="AH666" t="s">
        <v>111</v>
      </c>
      <c r="AI666" t="s">
        <v>111</v>
      </c>
      <c r="AJ666" t="s">
        <v>111</v>
      </c>
      <c r="AK666" t="s">
        <v>111</v>
      </c>
      <c r="AL666" t="s">
        <v>111</v>
      </c>
      <c r="AM666">
        <v>0</v>
      </c>
      <c r="AN666">
        <v>0</v>
      </c>
      <c r="AO666">
        <v>0</v>
      </c>
      <c r="AP666" t="s">
        <v>111</v>
      </c>
      <c r="AQ666" t="s">
        <v>111</v>
      </c>
      <c r="AR666" t="s">
        <v>111</v>
      </c>
      <c r="AS666" t="s">
        <v>111</v>
      </c>
      <c r="AT666" t="s">
        <v>111</v>
      </c>
      <c r="AU666" t="s">
        <v>111</v>
      </c>
      <c r="AV666" t="s">
        <v>111</v>
      </c>
      <c r="AW666" t="s">
        <v>111</v>
      </c>
      <c r="AX666" t="s">
        <v>111</v>
      </c>
      <c r="AY666" t="s">
        <v>111</v>
      </c>
      <c r="AZ666" t="s">
        <v>111</v>
      </c>
      <c r="BA666" t="s">
        <v>111</v>
      </c>
      <c r="BB666" t="s">
        <v>111</v>
      </c>
      <c r="BC666" t="s">
        <v>111</v>
      </c>
      <c r="BD666" t="s">
        <v>111</v>
      </c>
      <c r="BE666" t="s">
        <v>111</v>
      </c>
      <c r="BF666" t="s">
        <v>111</v>
      </c>
      <c r="BG666" t="s">
        <v>111</v>
      </c>
      <c r="BH666" t="s">
        <v>111</v>
      </c>
      <c r="BI666" t="s">
        <v>111</v>
      </c>
      <c r="BJ666" t="s">
        <v>111</v>
      </c>
      <c r="BK666" t="s">
        <v>111</v>
      </c>
      <c r="BL666" t="s">
        <v>111</v>
      </c>
      <c r="BM666" t="s">
        <v>111</v>
      </c>
      <c r="BN666" t="s">
        <v>111</v>
      </c>
      <c r="BO666" t="s">
        <v>111</v>
      </c>
      <c r="BP666" t="s">
        <v>111</v>
      </c>
      <c r="BQ666" t="s">
        <v>111</v>
      </c>
      <c r="BR666" t="s">
        <v>111</v>
      </c>
      <c r="BS666" t="s">
        <v>111</v>
      </c>
      <c r="BT666" t="s">
        <v>111</v>
      </c>
      <c r="BU666" t="s">
        <v>111</v>
      </c>
      <c r="BV666" t="s">
        <v>111</v>
      </c>
      <c r="BW666" t="s">
        <v>111</v>
      </c>
      <c r="BX666" t="s">
        <v>111</v>
      </c>
      <c r="BY666" t="s">
        <v>111</v>
      </c>
      <c r="BZ666" t="s">
        <v>111</v>
      </c>
      <c r="CA666" t="s">
        <v>111</v>
      </c>
      <c r="CB666" t="s">
        <v>111</v>
      </c>
      <c r="CC666" t="s">
        <v>111</v>
      </c>
      <c r="CD666" t="s">
        <v>111</v>
      </c>
      <c r="CE666" t="s">
        <v>111</v>
      </c>
      <c r="CF666" t="s">
        <v>111</v>
      </c>
      <c r="CG666" t="s">
        <v>111</v>
      </c>
      <c r="CH666" t="s">
        <v>111</v>
      </c>
      <c r="CI666" t="s">
        <v>111</v>
      </c>
      <c r="CJ666" t="s">
        <v>111</v>
      </c>
      <c r="CK666" t="s">
        <v>111</v>
      </c>
      <c r="CL666" t="s">
        <v>111</v>
      </c>
      <c r="CM666" t="s">
        <v>111</v>
      </c>
      <c r="CN666" t="s">
        <v>111</v>
      </c>
      <c r="CO666" t="s">
        <v>111</v>
      </c>
      <c r="CP666" t="s">
        <v>111</v>
      </c>
      <c r="CQ666">
        <v>0</v>
      </c>
      <c r="CR666">
        <v>0</v>
      </c>
      <c r="CS666">
        <v>0</v>
      </c>
      <c r="CT666" t="s">
        <v>111</v>
      </c>
      <c r="CU666">
        <v>0</v>
      </c>
      <c r="CV666" t="s">
        <v>111</v>
      </c>
      <c r="CX666" t="s">
        <v>111</v>
      </c>
      <c r="CY666">
        <v>0</v>
      </c>
      <c r="CZ666" t="s">
        <v>111</v>
      </c>
      <c r="DA666" t="s">
        <v>111</v>
      </c>
      <c r="DB666" t="e">
        <f>-INTERNO</f>
        <v>#NAME?</v>
      </c>
      <c r="DC666" t="e">
        <f>-CORTE Y SELLE</f>
        <v>#NAME?</v>
      </c>
    </row>
    <row r="667" spans="1:107">
      <c r="A667">
        <v>1870</v>
      </c>
      <c r="B667" t="s">
        <v>107</v>
      </c>
      <c r="C667" t="s">
        <v>399</v>
      </c>
      <c r="D667" t="s">
        <v>2310</v>
      </c>
      <c r="E667" t="s">
        <v>2311</v>
      </c>
      <c r="F667" t="s">
        <v>759</v>
      </c>
      <c r="G667" t="s">
        <v>469</v>
      </c>
      <c r="H667">
        <v>0.75</v>
      </c>
      <c r="I667">
        <v>70</v>
      </c>
      <c r="J667">
        <v>0</v>
      </c>
      <c r="K667">
        <v>0</v>
      </c>
      <c r="L667" t="s">
        <v>178</v>
      </c>
      <c r="M667" t="s">
        <v>111</v>
      </c>
      <c r="N667">
        <v>0</v>
      </c>
      <c r="O667">
        <v>0</v>
      </c>
      <c r="P667" t="s">
        <v>111</v>
      </c>
      <c r="Q667">
        <v>44</v>
      </c>
      <c r="R667">
        <v>0</v>
      </c>
      <c r="S667">
        <v>0</v>
      </c>
      <c r="T667">
        <v>5</v>
      </c>
      <c r="U667" t="e">
        <f>-MANUALAES</f>
        <v>#NAME?</v>
      </c>
      <c r="V667">
        <v>25</v>
      </c>
      <c r="W667">
        <v>0</v>
      </c>
      <c r="X667">
        <v>7</v>
      </c>
      <c r="Y667">
        <v>0</v>
      </c>
      <c r="Z667" t="s">
        <v>188</v>
      </c>
      <c r="AA667">
        <v>1.2</v>
      </c>
      <c r="AB667" t="s">
        <v>111</v>
      </c>
      <c r="AC667">
        <v>0</v>
      </c>
      <c r="AD667" t="s">
        <v>111</v>
      </c>
      <c r="AE667">
        <v>0</v>
      </c>
      <c r="AF667">
        <v>0</v>
      </c>
      <c r="AG667" t="s">
        <v>111</v>
      </c>
      <c r="AH667" t="s">
        <v>111</v>
      </c>
      <c r="AI667" t="s">
        <v>111</v>
      </c>
      <c r="AJ667" t="s">
        <v>111</v>
      </c>
      <c r="AK667" t="s">
        <v>111</v>
      </c>
      <c r="AL667" t="s">
        <v>111</v>
      </c>
      <c r="AM667">
        <v>0</v>
      </c>
      <c r="AN667">
        <v>0</v>
      </c>
      <c r="AO667">
        <v>0</v>
      </c>
      <c r="AP667" t="s">
        <v>111</v>
      </c>
      <c r="AQ667" t="s">
        <v>111</v>
      </c>
      <c r="AR667" t="s">
        <v>111</v>
      </c>
      <c r="AS667" t="s">
        <v>111</v>
      </c>
      <c r="AT667" t="s">
        <v>111</v>
      </c>
      <c r="AU667" t="s">
        <v>111</v>
      </c>
      <c r="AV667" t="s">
        <v>111</v>
      </c>
      <c r="AW667" t="s">
        <v>111</v>
      </c>
      <c r="AX667" t="s">
        <v>111</v>
      </c>
      <c r="AY667" t="s">
        <v>111</v>
      </c>
      <c r="AZ667" t="s">
        <v>111</v>
      </c>
      <c r="BA667" t="s">
        <v>111</v>
      </c>
      <c r="BB667" t="s">
        <v>111</v>
      </c>
      <c r="BC667" t="s">
        <v>111</v>
      </c>
      <c r="BD667" t="s">
        <v>111</v>
      </c>
      <c r="BE667" t="s">
        <v>111</v>
      </c>
      <c r="BF667" t="s">
        <v>111</v>
      </c>
      <c r="BG667" t="s">
        <v>111</v>
      </c>
      <c r="BH667" t="s">
        <v>111</v>
      </c>
      <c r="BI667" t="s">
        <v>111</v>
      </c>
      <c r="BJ667" t="s">
        <v>111</v>
      </c>
      <c r="BK667" t="s">
        <v>111</v>
      </c>
      <c r="BL667" t="s">
        <v>111</v>
      </c>
      <c r="BM667" t="s">
        <v>111</v>
      </c>
      <c r="BN667" t="s">
        <v>111</v>
      </c>
      <c r="BO667" t="s">
        <v>111</v>
      </c>
      <c r="BP667" t="s">
        <v>111</v>
      </c>
      <c r="BQ667" t="s">
        <v>111</v>
      </c>
      <c r="BR667" t="s">
        <v>111</v>
      </c>
      <c r="BS667" t="s">
        <v>111</v>
      </c>
      <c r="BT667" t="s">
        <v>111</v>
      </c>
      <c r="BU667" t="s">
        <v>111</v>
      </c>
      <c r="BV667" t="s">
        <v>111</v>
      </c>
      <c r="BW667" t="s">
        <v>111</v>
      </c>
      <c r="BX667" t="s">
        <v>111</v>
      </c>
      <c r="BY667" t="s">
        <v>111</v>
      </c>
      <c r="BZ667" t="s">
        <v>111</v>
      </c>
      <c r="CA667" t="s">
        <v>111</v>
      </c>
      <c r="CB667" t="s">
        <v>111</v>
      </c>
      <c r="CC667" t="s">
        <v>111</v>
      </c>
      <c r="CD667" t="s">
        <v>111</v>
      </c>
      <c r="CE667" t="s">
        <v>111</v>
      </c>
      <c r="CF667" t="s">
        <v>111</v>
      </c>
      <c r="CG667" t="s">
        <v>111</v>
      </c>
      <c r="CH667" t="s">
        <v>111</v>
      </c>
      <c r="CI667" t="s">
        <v>111</v>
      </c>
      <c r="CJ667" t="s">
        <v>111</v>
      </c>
      <c r="CK667" t="s">
        <v>111</v>
      </c>
      <c r="CL667" t="s">
        <v>111</v>
      </c>
      <c r="CM667" t="s">
        <v>111</v>
      </c>
      <c r="CN667" t="s">
        <v>111</v>
      </c>
      <c r="CO667" t="s">
        <v>111</v>
      </c>
      <c r="CP667" t="s">
        <v>111</v>
      </c>
      <c r="CQ667">
        <v>0</v>
      </c>
      <c r="CR667">
        <v>0</v>
      </c>
      <c r="CS667">
        <v>0</v>
      </c>
      <c r="CT667" t="s">
        <v>111</v>
      </c>
      <c r="CU667">
        <v>0</v>
      </c>
      <c r="CV667" t="s">
        <v>111</v>
      </c>
      <c r="CX667" t="s">
        <v>111</v>
      </c>
      <c r="CY667">
        <v>0</v>
      </c>
      <c r="CZ667" t="s">
        <v>111</v>
      </c>
      <c r="DA667" t="s">
        <v>111</v>
      </c>
      <c r="DB667" t="e">
        <f>-INTERNO</f>
        <v>#NAME?</v>
      </c>
      <c r="DC667" t="e">
        <f>-CORTE Y SELLE</f>
        <v>#NAME?</v>
      </c>
    </row>
    <row r="668" spans="1:107">
      <c r="A668">
        <v>1975</v>
      </c>
      <c r="B668" t="s">
        <v>107</v>
      </c>
      <c r="C668" t="s">
        <v>793</v>
      </c>
      <c r="D668" t="s">
        <v>2312</v>
      </c>
      <c r="E668" t="s">
        <v>2313</v>
      </c>
      <c r="F668" t="s">
        <v>2314</v>
      </c>
      <c r="G668" t="s">
        <v>469</v>
      </c>
      <c r="H668">
        <v>1</v>
      </c>
      <c r="I668">
        <v>20</v>
      </c>
      <c r="J668">
        <v>6.5</v>
      </c>
      <c r="K668">
        <v>6.5</v>
      </c>
      <c r="L668" t="s">
        <v>112</v>
      </c>
      <c r="M668" t="s">
        <v>118</v>
      </c>
      <c r="N668">
        <v>39</v>
      </c>
      <c r="O668">
        <v>2</v>
      </c>
      <c r="P668" t="s">
        <v>111</v>
      </c>
      <c r="Q668">
        <v>36.4</v>
      </c>
      <c r="R668">
        <v>0</v>
      </c>
      <c r="S668">
        <v>0</v>
      </c>
      <c r="T668">
        <v>0</v>
      </c>
      <c r="U668" s="1" t="s">
        <v>2315</v>
      </c>
      <c r="V668">
        <v>25</v>
      </c>
      <c r="W668">
        <v>0</v>
      </c>
      <c r="X668">
        <v>6</v>
      </c>
      <c r="Y668">
        <v>0</v>
      </c>
      <c r="Z668" t="s">
        <v>2316</v>
      </c>
      <c r="AA668">
        <v>1.7</v>
      </c>
      <c r="AB668" t="s">
        <v>111</v>
      </c>
      <c r="AC668">
        <v>0</v>
      </c>
      <c r="AD668" t="s">
        <v>111</v>
      </c>
      <c r="AE668">
        <v>0</v>
      </c>
      <c r="AF668">
        <v>0</v>
      </c>
      <c r="AG668" t="s">
        <v>111</v>
      </c>
      <c r="AH668" t="s">
        <v>111</v>
      </c>
      <c r="AI668" t="s">
        <v>111</v>
      </c>
      <c r="AJ668" t="s">
        <v>111</v>
      </c>
      <c r="AK668" t="s">
        <v>111</v>
      </c>
      <c r="AL668" t="s">
        <v>111</v>
      </c>
      <c r="AM668">
        <v>0</v>
      </c>
      <c r="AN668">
        <v>0</v>
      </c>
      <c r="AO668">
        <v>0</v>
      </c>
      <c r="AP668" t="s">
        <v>111</v>
      </c>
      <c r="AQ668" t="s">
        <v>111</v>
      </c>
      <c r="AR668" t="s">
        <v>111</v>
      </c>
      <c r="AS668" t="s">
        <v>111</v>
      </c>
      <c r="AT668" t="s">
        <v>111</v>
      </c>
      <c r="AU668" t="s">
        <v>111</v>
      </c>
      <c r="AV668" t="s">
        <v>111</v>
      </c>
      <c r="AW668" t="s">
        <v>111</v>
      </c>
      <c r="AX668" t="s">
        <v>111</v>
      </c>
      <c r="AY668" t="s">
        <v>111</v>
      </c>
      <c r="AZ668" t="s">
        <v>111</v>
      </c>
      <c r="BA668" t="s">
        <v>111</v>
      </c>
      <c r="BB668" t="s">
        <v>111</v>
      </c>
      <c r="BC668" t="s">
        <v>111</v>
      </c>
      <c r="BD668" t="s">
        <v>111</v>
      </c>
      <c r="BE668" t="s">
        <v>111</v>
      </c>
      <c r="BF668" t="s">
        <v>111</v>
      </c>
      <c r="BG668" t="s">
        <v>111</v>
      </c>
      <c r="BH668" t="s">
        <v>111</v>
      </c>
      <c r="BI668" t="s">
        <v>111</v>
      </c>
      <c r="BJ668" t="s">
        <v>111</v>
      </c>
      <c r="BK668" t="s">
        <v>111</v>
      </c>
      <c r="BL668" t="s">
        <v>111</v>
      </c>
      <c r="BM668" t="s">
        <v>111</v>
      </c>
      <c r="BN668" t="s">
        <v>111</v>
      </c>
      <c r="BO668" t="s">
        <v>111</v>
      </c>
      <c r="BP668" t="s">
        <v>111</v>
      </c>
      <c r="BQ668" t="s">
        <v>111</v>
      </c>
      <c r="BR668" t="s">
        <v>111</v>
      </c>
      <c r="BS668" t="s">
        <v>111</v>
      </c>
      <c r="BT668" t="s">
        <v>111</v>
      </c>
      <c r="BU668" t="s">
        <v>111</v>
      </c>
      <c r="BV668" t="s">
        <v>111</v>
      </c>
      <c r="BW668" t="s">
        <v>111</v>
      </c>
      <c r="BX668" t="s">
        <v>111</v>
      </c>
      <c r="BY668" t="s">
        <v>111</v>
      </c>
      <c r="BZ668" t="s">
        <v>111</v>
      </c>
      <c r="CA668" t="s">
        <v>111</v>
      </c>
      <c r="CB668" t="s">
        <v>111</v>
      </c>
      <c r="CC668" t="s">
        <v>111</v>
      </c>
      <c r="CD668" t="s">
        <v>111</v>
      </c>
      <c r="CE668" t="s">
        <v>111</v>
      </c>
      <c r="CF668" t="s">
        <v>111</v>
      </c>
      <c r="CG668" t="s">
        <v>111</v>
      </c>
      <c r="CH668" t="s">
        <v>111</v>
      </c>
      <c r="CI668" t="s">
        <v>111</v>
      </c>
      <c r="CJ668" t="s">
        <v>111</v>
      </c>
      <c r="CK668" t="s">
        <v>111</v>
      </c>
      <c r="CL668" t="s">
        <v>111</v>
      </c>
      <c r="CM668" t="s">
        <v>111</v>
      </c>
      <c r="CN668" t="s">
        <v>111</v>
      </c>
      <c r="CO668" t="s">
        <v>111</v>
      </c>
      <c r="CP668" t="s">
        <v>111</v>
      </c>
      <c r="CQ668">
        <v>0</v>
      </c>
      <c r="CR668">
        <v>0</v>
      </c>
      <c r="CS668">
        <v>0</v>
      </c>
      <c r="CT668" t="s">
        <v>111</v>
      </c>
      <c r="CU668">
        <v>0</v>
      </c>
      <c r="CV668" t="s">
        <v>111</v>
      </c>
      <c r="CX668" t="s">
        <v>111</v>
      </c>
      <c r="CY668">
        <v>0</v>
      </c>
      <c r="CZ668" t="s">
        <v>111</v>
      </c>
      <c r="DA668" t="s">
        <v>111</v>
      </c>
      <c r="DB668" t="s">
        <v>111</v>
      </c>
      <c r="DC668" t="s">
        <v>111</v>
      </c>
    </row>
    <row r="669" spans="1:107">
      <c r="A669">
        <v>1957</v>
      </c>
      <c r="B669" t="s">
        <v>107</v>
      </c>
      <c r="C669" t="s">
        <v>2274</v>
      </c>
      <c r="D669" t="s">
        <v>2317</v>
      </c>
      <c r="E669" t="s">
        <v>2318</v>
      </c>
      <c r="F669" t="s">
        <v>192</v>
      </c>
      <c r="G669" t="s">
        <v>469</v>
      </c>
      <c r="H669">
        <v>0.8</v>
      </c>
      <c r="I669">
        <v>70</v>
      </c>
      <c r="J669">
        <v>0</v>
      </c>
      <c r="K669">
        <v>0</v>
      </c>
      <c r="L669" t="s">
        <v>112</v>
      </c>
      <c r="M669" t="s">
        <v>111</v>
      </c>
      <c r="N669">
        <v>0</v>
      </c>
      <c r="O669">
        <v>0</v>
      </c>
      <c r="P669" t="s">
        <v>111</v>
      </c>
      <c r="Q669">
        <v>50</v>
      </c>
      <c r="R669">
        <v>0</v>
      </c>
      <c r="S669">
        <v>0</v>
      </c>
      <c r="T669">
        <v>5</v>
      </c>
      <c r="U669" s="1" t="s">
        <v>2319</v>
      </c>
      <c r="V669">
        <v>0</v>
      </c>
      <c r="W669">
        <v>25</v>
      </c>
      <c r="X669">
        <v>5</v>
      </c>
      <c r="Y669">
        <v>0</v>
      </c>
      <c r="Z669" t="s">
        <v>111</v>
      </c>
      <c r="AA669">
        <v>0</v>
      </c>
      <c r="AB669" t="s">
        <v>2320</v>
      </c>
      <c r="AC669">
        <v>0.3</v>
      </c>
      <c r="AD669" t="s">
        <v>111</v>
      </c>
      <c r="AE669">
        <v>0</v>
      </c>
      <c r="AF669">
        <v>0</v>
      </c>
      <c r="AG669" t="s">
        <v>111</v>
      </c>
      <c r="AH669" t="s">
        <v>111</v>
      </c>
      <c r="AI669" t="s">
        <v>111</v>
      </c>
      <c r="AJ669" t="s">
        <v>111</v>
      </c>
      <c r="AK669" t="s">
        <v>111</v>
      </c>
      <c r="AL669" t="s">
        <v>111</v>
      </c>
      <c r="AM669">
        <v>0</v>
      </c>
      <c r="AN669">
        <v>0</v>
      </c>
      <c r="AO669">
        <v>0</v>
      </c>
      <c r="AP669" t="s">
        <v>111</v>
      </c>
      <c r="AQ669" t="s">
        <v>111</v>
      </c>
      <c r="AR669" t="s">
        <v>111</v>
      </c>
      <c r="AS669" t="s">
        <v>111</v>
      </c>
      <c r="AT669" t="s">
        <v>111</v>
      </c>
      <c r="AU669" t="s">
        <v>111</v>
      </c>
      <c r="AV669" t="s">
        <v>111</v>
      </c>
      <c r="AW669" t="s">
        <v>111</v>
      </c>
      <c r="AX669" t="s">
        <v>111</v>
      </c>
      <c r="AY669" t="s">
        <v>111</v>
      </c>
      <c r="AZ669" t="s">
        <v>111</v>
      </c>
      <c r="BA669" t="s">
        <v>111</v>
      </c>
      <c r="BB669" t="s">
        <v>111</v>
      </c>
      <c r="BC669" t="s">
        <v>111</v>
      </c>
      <c r="BD669" t="s">
        <v>111</v>
      </c>
      <c r="BE669" t="s">
        <v>111</v>
      </c>
      <c r="BF669" t="s">
        <v>111</v>
      </c>
      <c r="BG669" t="s">
        <v>111</v>
      </c>
      <c r="BH669" t="s">
        <v>111</v>
      </c>
      <c r="BI669" t="s">
        <v>111</v>
      </c>
      <c r="BJ669" t="s">
        <v>111</v>
      </c>
      <c r="BK669" t="s">
        <v>111</v>
      </c>
      <c r="BL669" t="s">
        <v>111</v>
      </c>
      <c r="BM669" t="s">
        <v>111</v>
      </c>
      <c r="BN669" t="s">
        <v>111</v>
      </c>
      <c r="BO669" t="s">
        <v>111</v>
      </c>
      <c r="BP669" t="s">
        <v>111</v>
      </c>
      <c r="BQ669" t="s">
        <v>111</v>
      </c>
      <c r="BR669" t="s">
        <v>111</v>
      </c>
      <c r="BS669" t="s">
        <v>111</v>
      </c>
      <c r="BT669" t="s">
        <v>111</v>
      </c>
      <c r="BU669" t="s">
        <v>111</v>
      </c>
      <c r="BV669" t="s">
        <v>111</v>
      </c>
      <c r="BW669" t="s">
        <v>111</v>
      </c>
      <c r="BX669" t="s">
        <v>111</v>
      </c>
      <c r="BY669" t="s">
        <v>111</v>
      </c>
      <c r="BZ669" t="s">
        <v>111</v>
      </c>
      <c r="CA669" t="s">
        <v>111</v>
      </c>
      <c r="CB669" t="s">
        <v>111</v>
      </c>
      <c r="CC669" t="s">
        <v>111</v>
      </c>
      <c r="CD669" t="s">
        <v>111</v>
      </c>
      <c r="CE669" t="s">
        <v>111</v>
      </c>
      <c r="CF669" t="s">
        <v>111</v>
      </c>
      <c r="CG669" t="s">
        <v>111</v>
      </c>
      <c r="CH669" t="s">
        <v>111</v>
      </c>
      <c r="CI669" t="s">
        <v>111</v>
      </c>
      <c r="CJ669" t="s">
        <v>111</v>
      </c>
      <c r="CK669" t="s">
        <v>111</v>
      </c>
      <c r="CL669" t="s">
        <v>111</v>
      </c>
      <c r="CM669" t="s">
        <v>135</v>
      </c>
      <c r="CN669" t="s">
        <v>113</v>
      </c>
      <c r="CO669" t="s">
        <v>111</v>
      </c>
      <c r="CP669" t="s">
        <v>111</v>
      </c>
      <c r="CQ669">
        <v>0</v>
      </c>
      <c r="CR669">
        <v>10000</v>
      </c>
      <c r="CS669">
        <v>200</v>
      </c>
      <c r="CT669" s="1" t="s">
        <v>2321</v>
      </c>
      <c r="CU669">
        <v>0</v>
      </c>
      <c r="CV669" t="s">
        <v>111</v>
      </c>
      <c r="CX669" t="s">
        <v>111</v>
      </c>
      <c r="CY669">
        <v>0</v>
      </c>
      <c r="CZ669" t="s">
        <v>111</v>
      </c>
      <c r="DA669" t="s">
        <v>111</v>
      </c>
      <c r="DB669" t="s">
        <v>111</v>
      </c>
      <c r="DC669" t="s">
        <v>111</v>
      </c>
    </row>
    <row r="670" spans="1:107">
      <c r="A670">
        <v>1817</v>
      </c>
      <c r="B670" t="s">
        <v>107</v>
      </c>
      <c r="C670" t="s">
        <v>736</v>
      </c>
      <c r="D670" t="s">
        <v>737</v>
      </c>
      <c r="E670" t="s">
        <v>2322</v>
      </c>
      <c r="F670" t="s">
        <v>739</v>
      </c>
      <c r="G670" t="s">
        <v>469</v>
      </c>
      <c r="H670">
        <v>1.9</v>
      </c>
      <c r="I670">
        <v>41</v>
      </c>
      <c r="J670">
        <v>0</v>
      </c>
      <c r="K670">
        <v>0</v>
      </c>
      <c r="L670" t="s">
        <v>117</v>
      </c>
      <c r="M670" t="s">
        <v>118</v>
      </c>
      <c r="N670">
        <v>39</v>
      </c>
      <c r="O670">
        <v>1</v>
      </c>
      <c r="P670" t="s">
        <v>111</v>
      </c>
      <c r="Q670">
        <v>27.5</v>
      </c>
      <c r="R670">
        <v>0</v>
      </c>
      <c r="S670">
        <v>0</v>
      </c>
      <c r="T670">
        <v>10</v>
      </c>
      <c r="U670" s="1" t="s">
        <v>2323</v>
      </c>
      <c r="V670">
        <v>0</v>
      </c>
      <c r="W670">
        <v>25</v>
      </c>
      <c r="X670">
        <v>6</v>
      </c>
      <c r="Y670">
        <v>0</v>
      </c>
      <c r="Z670" t="s">
        <v>288</v>
      </c>
      <c r="AA670">
        <v>1.8</v>
      </c>
      <c r="AB670" t="s">
        <v>111</v>
      </c>
      <c r="AC670">
        <v>0</v>
      </c>
      <c r="AD670" t="s">
        <v>493</v>
      </c>
      <c r="AE670">
        <v>0</v>
      </c>
      <c r="AF670">
        <v>0</v>
      </c>
      <c r="AG670" t="s">
        <v>111</v>
      </c>
      <c r="AH670" t="s">
        <v>128</v>
      </c>
      <c r="AI670" t="s">
        <v>111</v>
      </c>
      <c r="AJ670" t="s">
        <v>111</v>
      </c>
      <c r="AK670" t="s">
        <v>111</v>
      </c>
      <c r="AL670" t="s">
        <v>111</v>
      </c>
      <c r="AM670">
        <v>0</v>
      </c>
      <c r="AN670">
        <v>0</v>
      </c>
      <c r="AO670">
        <v>0</v>
      </c>
      <c r="AP670" t="s">
        <v>111</v>
      </c>
      <c r="AQ670" t="s">
        <v>111</v>
      </c>
      <c r="AR670" t="s">
        <v>111</v>
      </c>
      <c r="AS670" t="s">
        <v>111</v>
      </c>
      <c r="AT670" t="s">
        <v>111</v>
      </c>
      <c r="AU670" t="s">
        <v>111</v>
      </c>
      <c r="AV670" t="s">
        <v>111</v>
      </c>
      <c r="AW670" t="s">
        <v>111</v>
      </c>
      <c r="AX670" t="s">
        <v>111</v>
      </c>
      <c r="AY670" t="s">
        <v>111</v>
      </c>
      <c r="AZ670" t="s">
        <v>111</v>
      </c>
      <c r="BA670" t="s">
        <v>111</v>
      </c>
      <c r="BB670" t="s">
        <v>111</v>
      </c>
      <c r="BC670" t="s">
        <v>111</v>
      </c>
      <c r="BD670" t="s">
        <v>111</v>
      </c>
      <c r="BE670" t="s">
        <v>111</v>
      </c>
      <c r="BF670" t="s">
        <v>111</v>
      </c>
      <c r="BG670" t="s">
        <v>111</v>
      </c>
      <c r="BH670" t="s">
        <v>111</v>
      </c>
      <c r="BI670" t="s">
        <v>111</v>
      </c>
      <c r="BJ670" t="s">
        <v>111</v>
      </c>
      <c r="BK670" t="s">
        <v>111</v>
      </c>
      <c r="BL670" t="s">
        <v>111</v>
      </c>
      <c r="BM670" t="s">
        <v>111</v>
      </c>
      <c r="BN670" t="s">
        <v>111</v>
      </c>
      <c r="BO670" t="s">
        <v>111</v>
      </c>
      <c r="BP670" t="s">
        <v>111</v>
      </c>
      <c r="BQ670" t="s">
        <v>111</v>
      </c>
      <c r="BR670" t="s">
        <v>111</v>
      </c>
      <c r="BS670" t="s">
        <v>111</v>
      </c>
      <c r="BT670" t="s">
        <v>111</v>
      </c>
      <c r="BU670" t="s">
        <v>111</v>
      </c>
      <c r="BV670" t="s">
        <v>111</v>
      </c>
      <c r="BW670" t="s">
        <v>111</v>
      </c>
      <c r="BX670" t="s">
        <v>111</v>
      </c>
      <c r="BY670" t="s">
        <v>111</v>
      </c>
      <c r="BZ670" t="s">
        <v>111</v>
      </c>
      <c r="CA670" t="s">
        <v>111</v>
      </c>
      <c r="CB670" t="s">
        <v>111</v>
      </c>
      <c r="CC670" t="s">
        <v>111</v>
      </c>
      <c r="CD670" t="s">
        <v>111</v>
      </c>
      <c r="CE670" t="s">
        <v>111</v>
      </c>
      <c r="CF670" t="s">
        <v>111</v>
      </c>
      <c r="CG670" t="s">
        <v>111</v>
      </c>
      <c r="CH670" t="s">
        <v>111</v>
      </c>
      <c r="CI670" t="s">
        <v>111</v>
      </c>
      <c r="CJ670" t="s">
        <v>111</v>
      </c>
      <c r="CK670" t="s">
        <v>111</v>
      </c>
      <c r="CL670" t="s">
        <v>111</v>
      </c>
      <c r="CM670" t="s">
        <v>360</v>
      </c>
      <c r="CN670" t="s">
        <v>113</v>
      </c>
      <c r="CO670" t="s">
        <v>111</v>
      </c>
      <c r="CP670" t="s">
        <v>111</v>
      </c>
      <c r="CQ670">
        <v>0</v>
      </c>
      <c r="CR670">
        <v>4000</v>
      </c>
      <c r="CS670">
        <v>200</v>
      </c>
      <c r="CT670" t="e">
        <f>-ALMACEN</f>
        <v>#NAME?</v>
      </c>
      <c r="CU670">
        <v>0</v>
      </c>
      <c r="CV670" t="s">
        <v>111</v>
      </c>
      <c r="CX670" t="s">
        <v>111</v>
      </c>
      <c r="CY670">
        <v>0</v>
      </c>
      <c r="CZ670" t="s">
        <v>111</v>
      </c>
      <c r="DA670" t="s">
        <v>111</v>
      </c>
      <c r="DB670" t="s">
        <v>111</v>
      </c>
      <c r="DC670" t="s">
        <v>111</v>
      </c>
    </row>
    <row r="671" spans="1:107">
      <c r="A671">
        <v>1976</v>
      </c>
      <c r="B671" t="s">
        <v>107</v>
      </c>
      <c r="C671" t="s">
        <v>793</v>
      </c>
      <c r="D671" t="s">
        <v>2324</v>
      </c>
      <c r="E671" t="s">
        <v>2325</v>
      </c>
      <c r="F671" t="s">
        <v>1708</v>
      </c>
      <c r="G671" t="s">
        <v>469</v>
      </c>
      <c r="H671">
        <v>1</v>
      </c>
      <c r="I671">
        <v>20</v>
      </c>
      <c r="J671">
        <v>6.5</v>
      </c>
      <c r="K671">
        <v>6.5</v>
      </c>
      <c r="L671" t="s">
        <v>112</v>
      </c>
      <c r="M671" t="s">
        <v>118</v>
      </c>
      <c r="N671">
        <v>39</v>
      </c>
      <c r="O671">
        <v>2</v>
      </c>
      <c r="P671" t="s">
        <v>111</v>
      </c>
      <c r="Q671">
        <v>30</v>
      </c>
      <c r="R671">
        <v>0</v>
      </c>
      <c r="S671">
        <v>0</v>
      </c>
      <c r="T671">
        <v>0</v>
      </c>
      <c r="U671" s="1" t="s">
        <v>2326</v>
      </c>
      <c r="V671">
        <v>25</v>
      </c>
      <c r="W671">
        <v>0</v>
      </c>
      <c r="X671">
        <v>6</v>
      </c>
      <c r="Y671">
        <v>0</v>
      </c>
      <c r="Z671" t="s">
        <v>288</v>
      </c>
      <c r="AA671">
        <v>1.8</v>
      </c>
      <c r="AB671" t="s">
        <v>111</v>
      </c>
      <c r="AC671">
        <v>0</v>
      </c>
      <c r="AD671" t="s">
        <v>111</v>
      </c>
      <c r="AE671">
        <v>0</v>
      </c>
      <c r="AF671">
        <v>0</v>
      </c>
      <c r="AG671" t="s">
        <v>111</v>
      </c>
      <c r="AH671" t="s">
        <v>111</v>
      </c>
      <c r="AI671" t="s">
        <v>111</v>
      </c>
      <c r="AJ671" t="s">
        <v>111</v>
      </c>
      <c r="AK671" t="s">
        <v>111</v>
      </c>
      <c r="AL671" t="s">
        <v>111</v>
      </c>
      <c r="AM671">
        <v>0</v>
      </c>
      <c r="AN671">
        <v>0</v>
      </c>
      <c r="AO671">
        <v>0</v>
      </c>
      <c r="AP671" t="s">
        <v>111</v>
      </c>
      <c r="AQ671" t="s">
        <v>111</v>
      </c>
      <c r="AR671" t="s">
        <v>111</v>
      </c>
      <c r="AS671" t="s">
        <v>111</v>
      </c>
      <c r="AT671" t="s">
        <v>111</v>
      </c>
      <c r="AU671" t="s">
        <v>111</v>
      </c>
      <c r="AV671" t="s">
        <v>111</v>
      </c>
      <c r="AW671" t="s">
        <v>111</v>
      </c>
      <c r="AX671" t="s">
        <v>111</v>
      </c>
      <c r="AY671" t="s">
        <v>111</v>
      </c>
      <c r="AZ671" t="s">
        <v>111</v>
      </c>
      <c r="BA671" t="s">
        <v>111</v>
      </c>
      <c r="BB671" t="s">
        <v>111</v>
      </c>
      <c r="BC671" t="s">
        <v>111</v>
      </c>
      <c r="BD671" t="s">
        <v>111</v>
      </c>
      <c r="BE671" t="s">
        <v>111</v>
      </c>
      <c r="BF671" t="s">
        <v>111</v>
      </c>
      <c r="BG671" t="s">
        <v>111</v>
      </c>
      <c r="BH671" t="s">
        <v>111</v>
      </c>
      <c r="BI671" t="s">
        <v>111</v>
      </c>
      <c r="BJ671" t="s">
        <v>111</v>
      </c>
      <c r="BK671" t="s">
        <v>111</v>
      </c>
      <c r="BL671" t="s">
        <v>111</v>
      </c>
      <c r="BM671" t="s">
        <v>111</v>
      </c>
      <c r="BN671" t="s">
        <v>111</v>
      </c>
      <c r="BO671" t="s">
        <v>111</v>
      </c>
      <c r="BP671" t="s">
        <v>111</v>
      </c>
      <c r="BQ671" t="s">
        <v>111</v>
      </c>
      <c r="BR671" t="s">
        <v>111</v>
      </c>
      <c r="BS671" t="s">
        <v>111</v>
      </c>
      <c r="BT671" t="s">
        <v>111</v>
      </c>
      <c r="BU671" t="s">
        <v>111</v>
      </c>
      <c r="BV671" t="s">
        <v>111</v>
      </c>
      <c r="BW671" t="s">
        <v>111</v>
      </c>
      <c r="BX671" t="s">
        <v>111</v>
      </c>
      <c r="BY671" t="s">
        <v>111</v>
      </c>
      <c r="BZ671" t="s">
        <v>111</v>
      </c>
      <c r="CA671" t="s">
        <v>111</v>
      </c>
      <c r="CB671" t="s">
        <v>111</v>
      </c>
      <c r="CC671" t="s">
        <v>111</v>
      </c>
      <c r="CD671" t="s">
        <v>111</v>
      </c>
      <c r="CE671" t="s">
        <v>111</v>
      </c>
      <c r="CF671" t="s">
        <v>111</v>
      </c>
      <c r="CG671" t="s">
        <v>111</v>
      </c>
      <c r="CH671" t="s">
        <v>111</v>
      </c>
      <c r="CI671" t="s">
        <v>111</v>
      </c>
      <c r="CJ671" t="s">
        <v>111</v>
      </c>
      <c r="CK671" t="s">
        <v>111</v>
      </c>
      <c r="CL671" t="s">
        <v>111</v>
      </c>
      <c r="CM671" t="s">
        <v>111</v>
      </c>
      <c r="CN671" t="s">
        <v>111</v>
      </c>
      <c r="CO671" t="s">
        <v>111</v>
      </c>
      <c r="CP671" t="s">
        <v>111</v>
      </c>
      <c r="CQ671">
        <v>0</v>
      </c>
      <c r="CR671">
        <v>0</v>
      </c>
      <c r="CS671">
        <v>0</v>
      </c>
      <c r="CT671" t="s">
        <v>111</v>
      </c>
      <c r="CU671">
        <v>0</v>
      </c>
      <c r="CV671" t="s">
        <v>111</v>
      </c>
      <c r="CX671" t="s">
        <v>111</v>
      </c>
      <c r="CY671">
        <v>0</v>
      </c>
      <c r="CZ671" t="s">
        <v>111</v>
      </c>
      <c r="DA671" t="s">
        <v>111</v>
      </c>
      <c r="DB671" t="s">
        <v>111</v>
      </c>
      <c r="DC671" t="s">
        <v>111</v>
      </c>
    </row>
    <row r="672" spans="1:107">
      <c r="A672">
        <v>1815</v>
      </c>
      <c r="B672" t="s">
        <v>107</v>
      </c>
      <c r="C672" t="s">
        <v>1602</v>
      </c>
      <c r="D672" t="s">
        <v>2327</v>
      </c>
      <c r="E672" t="s">
        <v>2328</v>
      </c>
      <c r="F672" t="s">
        <v>875</v>
      </c>
      <c r="G672" t="s">
        <v>469</v>
      </c>
      <c r="H672">
        <v>2.9</v>
      </c>
      <c r="I672">
        <v>40</v>
      </c>
      <c r="J672">
        <v>5</v>
      </c>
      <c r="K672">
        <v>5</v>
      </c>
      <c r="L672" t="s">
        <v>112</v>
      </c>
      <c r="M672" t="s">
        <v>138</v>
      </c>
      <c r="N672">
        <v>0</v>
      </c>
      <c r="O672">
        <v>0</v>
      </c>
      <c r="P672" t="s">
        <v>111</v>
      </c>
      <c r="Q672">
        <v>20</v>
      </c>
      <c r="R672">
        <v>0</v>
      </c>
      <c r="S672">
        <v>0</v>
      </c>
      <c r="T672">
        <v>5</v>
      </c>
      <c r="U672" t="e">
        <f>-SELLADO</f>
        <v>#NAME?</v>
      </c>
      <c r="V672">
        <v>0</v>
      </c>
      <c r="W672">
        <v>25</v>
      </c>
      <c r="X672">
        <v>8</v>
      </c>
      <c r="Y672">
        <v>0</v>
      </c>
      <c r="Z672" t="s">
        <v>288</v>
      </c>
      <c r="AA672">
        <v>1.5</v>
      </c>
      <c r="AB672" t="s">
        <v>111</v>
      </c>
      <c r="AC672">
        <v>0</v>
      </c>
      <c r="AD672" t="s">
        <v>111</v>
      </c>
      <c r="AE672">
        <v>0</v>
      </c>
      <c r="AF672">
        <v>0</v>
      </c>
      <c r="AG672" t="s">
        <v>111</v>
      </c>
      <c r="AH672" t="s">
        <v>111</v>
      </c>
      <c r="AI672" t="s">
        <v>111</v>
      </c>
      <c r="AJ672" t="s">
        <v>111</v>
      </c>
      <c r="AK672" t="s">
        <v>111</v>
      </c>
      <c r="AL672" t="s">
        <v>111</v>
      </c>
      <c r="AM672">
        <v>0</v>
      </c>
      <c r="AN672">
        <v>0</v>
      </c>
      <c r="AO672">
        <v>0</v>
      </c>
      <c r="AP672" t="s">
        <v>111</v>
      </c>
      <c r="AQ672" t="s">
        <v>111</v>
      </c>
      <c r="AR672" t="s">
        <v>111</v>
      </c>
      <c r="AS672" t="s">
        <v>111</v>
      </c>
      <c r="AT672" t="s">
        <v>111</v>
      </c>
      <c r="AU672" t="s">
        <v>111</v>
      </c>
      <c r="AV672" t="s">
        <v>111</v>
      </c>
      <c r="AW672" t="s">
        <v>111</v>
      </c>
      <c r="AX672" t="s">
        <v>111</v>
      </c>
      <c r="AY672" t="s">
        <v>111</v>
      </c>
      <c r="AZ672" t="s">
        <v>111</v>
      </c>
      <c r="BA672" t="s">
        <v>111</v>
      </c>
      <c r="BB672" t="s">
        <v>111</v>
      </c>
      <c r="BC672" t="s">
        <v>111</v>
      </c>
      <c r="BD672" t="s">
        <v>111</v>
      </c>
      <c r="BE672" t="s">
        <v>111</v>
      </c>
      <c r="BF672" t="s">
        <v>111</v>
      </c>
      <c r="BG672" t="s">
        <v>111</v>
      </c>
      <c r="BH672" t="s">
        <v>111</v>
      </c>
      <c r="BI672" t="s">
        <v>111</v>
      </c>
      <c r="BJ672" t="s">
        <v>111</v>
      </c>
      <c r="BK672" t="s">
        <v>111</v>
      </c>
      <c r="BL672" t="s">
        <v>111</v>
      </c>
      <c r="BM672" t="s">
        <v>111</v>
      </c>
      <c r="BN672" t="s">
        <v>111</v>
      </c>
      <c r="BO672" t="s">
        <v>111</v>
      </c>
      <c r="BP672" t="s">
        <v>111</v>
      </c>
      <c r="BQ672" t="s">
        <v>111</v>
      </c>
      <c r="BR672" t="s">
        <v>111</v>
      </c>
      <c r="BS672" t="s">
        <v>111</v>
      </c>
      <c r="BT672" t="s">
        <v>111</v>
      </c>
      <c r="BU672" t="s">
        <v>111</v>
      </c>
      <c r="BV672" t="s">
        <v>111</v>
      </c>
      <c r="BW672" t="s">
        <v>111</v>
      </c>
      <c r="BX672" t="s">
        <v>111</v>
      </c>
      <c r="BY672" t="s">
        <v>111</v>
      </c>
      <c r="BZ672" t="s">
        <v>111</v>
      </c>
      <c r="CA672" t="s">
        <v>111</v>
      </c>
      <c r="CB672" t="s">
        <v>111</v>
      </c>
      <c r="CC672" t="s">
        <v>111</v>
      </c>
      <c r="CD672" t="s">
        <v>111</v>
      </c>
      <c r="CE672" t="s">
        <v>111</v>
      </c>
      <c r="CF672" t="s">
        <v>111</v>
      </c>
      <c r="CG672" t="s">
        <v>111</v>
      </c>
      <c r="CH672" t="s">
        <v>111</v>
      </c>
      <c r="CI672" t="s">
        <v>111</v>
      </c>
      <c r="CJ672" t="s">
        <v>111</v>
      </c>
      <c r="CK672" t="s">
        <v>111</v>
      </c>
      <c r="CL672" t="s">
        <v>111</v>
      </c>
      <c r="CM672" t="s">
        <v>135</v>
      </c>
      <c r="CN672" t="s">
        <v>128</v>
      </c>
      <c r="CO672" t="s">
        <v>111</v>
      </c>
      <c r="CP672" t="s">
        <v>111</v>
      </c>
      <c r="CQ672">
        <v>0</v>
      </c>
      <c r="CR672">
        <v>1000</v>
      </c>
      <c r="CS672">
        <v>50</v>
      </c>
      <c r="CT672" t="e">
        <f>-BIEN EMPACADO PARA TROQUELAR</f>
        <v>#NAME?</v>
      </c>
      <c r="CU672">
        <v>0</v>
      </c>
      <c r="CV672" t="s">
        <v>111</v>
      </c>
      <c r="CX672" t="s">
        <v>111</v>
      </c>
      <c r="CY672">
        <v>0</v>
      </c>
      <c r="CZ672" t="s">
        <v>111</v>
      </c>
      <c r="DA672" t="s">
        <v>111</v>
      </c>
      <c r="DB672" t="e">
        <f>-INTERNO</f>
        <v>#NAME?</v>
      </c>
      <c r="DC672" t="e">
        <f>-TROQUEL RIÑON</f>
        <v>#NAME?</v>
      </c>
    </row>
    <row r="673" spans="1:107">
      <c r="A673">
        <v>1982</v>
      </c>
      <c r="B673" t="s">
        <v>107</v>
      </c>
      <c r="C673" t="s">
        <v>2329</v>
      </c>
      <c r="D673" t="s">
        <v>1863</v>
      </c>
      <c r="E673" t="s">
        <v>2330</v>
      </c>
      <c r="F673" t="s">
        <v>431</v>
      </c>
      <c r="G673" t="s">
        <v>469</v>
      </c>
      <c r="H673">
        <v>2.4</v>
      </c>
      <c r="I673">
        <v>21.5</v>
      </c>
      <c r="J673">
        <v>3</v>
      </c>
      <c r="K673">
        <v>0</v>
      </c>
      <c r="L673" t="s">
        <v>178</v>
      </c>
      <c r="M673" t="s">
        <v>118</v>
      </c>
      <c r="N673">
        <v>39</v>
      </c>
      <c r="O673">
        <v>1</v>
      </c>
      <c r="P673" t="s">
        <v>111</v>
      </c>
      <c r="Q673">
        <v>8.5</v>
      </c>
      <c r="R673">
        <v>0</v>
      </c>
      <c r="S673">
        <v>0</v>
      </c>
      <c r="T673">
        <v>5</v>
      </c>
      <c r="U673" s="1" t="s">
        <v>2331</v>
      </c>
      <c r="V673">
        <v>0</v>
      </c>
      <c r="W673">
        <v>25</v>
      </c>
      <c r="X673">
        <v>8</v>
      </c>
      <c r="Y673">
        <v>0</v>
      </c>
      <c r="Z673" t="s">
        <v>111</v>
      </c>
      <c r="AA673">
        <v>0</v>
      </c>
      <c r="AB673" t="s">
        <v>111</v>
      </c>
      <c r="AC673">
        <v>0</v>
      </c>
      <c r="AD673" t="s">
        <v>416</v>
      </c>
      <c r="AE673">
        <v>0</v>
      </c>
      <c r="AF673">
        <v>0</v>
      </c>
      <c r="AG673" t="s">
        <v>111</v>
      </c>
      <c r="AH673" t="s">
        <v>111</v>
      </c>
      <c r="AI673" t="s">
        <v>111</v>
      </c>
      <c r="AJ673" t="s">
        <v>111</v>
      </c>
      <c r="AK673" t="s">
        <v>111</v>
      </c>
      <c r="AL673" t="s">
        <v>111</v>
      </c>
      <c r="AM673">
        <v>0</v>
      </c>
      <c r="AN673">
        <v>0</v>
      </c>
      <c r="AO673">
        <v>0</v>
      </c>
      <c r="AP673" t="s">
        <v>111</v>
      </c>
      <c r="AQ673" t="s">
        <v>111</v>
      </c>
      <c r="AR673" t="s">
        <v>111</v>
      </c>
      <c r="AS673" t="s">
        <v>111</v>
      </c>
      <c r="AT673" t="s">
        <v>111</v>
      </c>
      <c r="AU673" t="s">
        <v>111</v>
      </c>
      <c r="AV673" t="s">
        <v>111</v>
      </c>
      <c r="AW673" t="s">
        <v>111</v>
      </c>
      <c r="AX673" t="s">
        <v>111</v>
      </c>
      <c r="AY673" t="s">
        <v>111</v>
      </c>
      <c r="AZ673" t="s">
        <v>111</v>
      </c>
      <c r="BA673" t="s">
        <v>111</v>
      </c>
      <c r="BB673" t="s">
        <v>111</v>
      </c>
      <c r="BC673" t="s">
        <v>111</v>
      </c>
      <c r="BD673" t="s">
        <v>111</v>
      </c>
      <c r="BE673" t="s">
        <v>111</v>
      </c>
      <c r="BF673" t="s">
        <v>111</v>
      </c>
      <c r="BG673" t="s">
        <v>111</v>
      </c>
      <c r="BH673" t="s">
        <v>111</v>
      </c>
      <c r="BI673" t="s">
        <v>111</v>
      </c>
      <c r="BJ673" t="s">
        <v>111</v>
      </c>
      <c r="BK673" t="s">
        <v>111</v>
      </c>
      <c r="BL673" t="s">
        <v>111</v>
      </c>
      <c r="BM673" t="s">
        <v>111</v>
      </c>
      <c r="BN673" t="s">
        <v>111</v>
      </c>
      <c r="BO673" t="s">
        <v>111</v>
      </c>
      <c r="BP673" t="s">
        <v>111</v>
      </c>
      <c r="BQ673" t="s">
        <v>111</v>
      </c>
      <c r="BR673" t="s">
        <v>111</v>
      </c>
      <c r="BS673" t="s">
        <v>111</v>
      </c>
      <c r="BT673" t="s">
        <v>111</v>
      </c>
      <c r="BU673" t="s">
        <v>111</v>
      </c>
      <c r="BV673" t="s">
        <v>111</v>
      </c>
      <c r="BW673" t="s">
        <v>111</v>
      </c>
      <c r="BX673" t="s">
        <v>111</v>
      </c>
      <c r="BY673" t="s">
        <v>111</v>
      </c>
      <c r="BZ673" t="s">
        <v>111</v>
      </c>
      <c r="CA673" t="s">
        <v>111</v>
      </c>
      <c r="CB673" t="s">
        <v>111</v>
      </c>
      <c r="CC673" t="s">
        <v>111</v>
      </c>
      <c r="CD673" t="s">
        <v>111</v>
      </c>
      <c r="CE673" t="s">
        <v>111</v>
      </c>
      <c r="CF673" t="s">
        <v>111</v>
      </c>
      <c r="CG673" t="s">
        <v>111</v>
      </c>
      <c r="CH673" t="s">
        <v>111</v>
      </c>
      <c r="CI673" t="s">
        <v>111</v>
      </c>
      <c r="CJ673" t="s">
        <v>111</v>
      </c>
      <c r="CK673" t="s">
        <v>111</v>
      </c>
      <c r="CL673" t="s">
        <v>111</v>
      </c>
      <c r="CM673" t="s">
        <v>135</v>
      </c>
      <c r="CN673" t="s">
        <v>113</v>
      </c>
      <c r="CO673" t="s">
        <v>111</v>
      </c>
      <c r="CP673" t="s">
        <v>111</v>
      </c>
      <c r="CQ673">
        <v>0</v>
      </c>
      <c r="CR673">
        <v>2000</v>
      </c>
      <c r="CS673">
        <v>50</v>
      </c>
      <c r="CT673" t="e">
        <f>-BIEN EMPACADO PARA TROQUELAR</f>
        <v>#NAME?</v>
      </c>
      <c r="CU673">
        <v>0</v>
      </c>
      <c r="CV673" t="s">
        <v>111</v>
      </c>
      <c r="CX673" t="s">
        <v>111</v>
      </c>
      <c r="CY673">
        <v>0</v>
      </c>
      <c r="CZ673" t="s">
        <v>111</v>
      </c>
      <c r="DA673" t="s">
        <v>111</v>
      </c>
      <c r="DB673" t="e">
        <f>-EXTERNO</f>
        <v>#NAME?</v>
      </c>
      <c r="DC673" t="s">
        <v>2332</v>
      </c>
    </row>
    <row r="674" spans="1:107">
      <c r="A674">
        <v>1983</v>
      </c>
      <c r="B674" t="s">
        <v>107</v>
      </c>
      <c r="C674" t="s">
        <v>2329</v>
      </c>
      <c r="D674" t="s">
        <v>1863</v>
      </c>
      <c r="E674" t="s">
        <v>2333</v>
      </c>
      <c r="F674" t="s">
        <v>431</v>
      </c>
      <c r="G674" t="s">
        <v>469</v>
      </c>
      <c r="H674">
        <v>2.4</v>
      </c>
      <c r="I674">
        <v>21.5</v>
      </c>
      <c r="J674">
        <v>3</v>
      </c>
      <c r="K674">
        <v>0</v>
      </c>
      <c r="L674" t="s">
        <v>178</v>
      </c>
      <c r="M674">
        <v>1</v>
      </c>
      <c r="N674">
        <v>40</v>
      </c>
      <c r="O674">
        <v>1</v>
      </c>
      <c r="P674" t="s">
        <v>111</v>
      </c>
      <c r="Q674">
        <v>34.1</v>
      </c>
      <c r="R674">
        <v>0</v>
      </c>
      <c r="S674">
        <v>0</v>
      </c>
      <c r="T674">
        <v>5</v>
      </c>
      <c r="U674" s="1" t="s">
        <v>2334</v>
      </c>
      <c r="V674">
        <v>0</v>
      </c>
      <c r="W674">
        <v>25</v>
      </c>
      <c r="X674">
        <v>8</v>
      </c>
      <c r="Y674">
        <v>0</v>
      </c>
      <c r="Z674" t="s">
        <v>111</v>
      </c>
      <c r="AA674">
        <v>0</v>
      </c>
      <c r="AB674" t="s">
        <v>111</v>
      </c>
      <c r="AC674">
        <v>0</v>
      </c>
      <c r="AD674" t="s">
        <v>416</v>
      </c>
      <c r="AE674">
        <v>0</v>
      </c>
      <c r="AF674">
        <v>0</v>
      </c>
      <c r="AG674" t="s">
        <v>111</v>
      </c>
      <c r="AH674" t="s">
        <v>111</v>
      </c>
      <c r="AI674" t="s">
        <v>111</v>
      </c>
      <c r="AJ674" t="s">
        <v>111</v>
      </c>
      <c r="AK674" t="s">
        <v>111</v>
      </c>
      <c r="AL674" t="s">
        <v>111</v>
      </c>
      <c r="AM674">
        <v>0</v>
      </c>
      <c r="AN674">
        <v>0</v>
      </c>
      <c r="AO674">
        <v>0</v>
      </c>
      <c r="AP674" t="s">
        <v>111</v>
      </c>
      <c r="AQ674" t="s">
        <v>111</v>
      </c>
      <c r="AR674" t="s">
        <v>111</v>
      </c>
      <c r="AS674" t="s">
        <v>111</v>
      </c>
      <c r="AT674" t="s">
        <v>111</v>
      </c>
      <c r="AU674" t="s">
        <v>111</v>
      </c>
      <c r="AV674" t="s">
        <v>111</v>
      </c>
      <c r="AW674" t="s">
        <v>111</v>
      </c>
      <c r="AX674" t="s">
        <v>111</v>
      </c>
      <c r="AY674" t="s">
        <v>111</v>
      </c>
      <c r="AZ674" t="s">
        <v>111</v>
      </c>
      <c r="BA674" t="s">
        <v>111</v>
      </c>
      <c r="BB674" t="s">
        <v>111</v>
      </c>
      <c r="BC674" t="s">
        <v>111</v>
      </c>
      <c r="BD674" t="s">
        <v>111</v>
      </c>
      <c r="BE674" t="s">
        <v>111</v>
      </c>
      <c r="BF674" t="s">
        <v>111</v>
      </c>
      <c r="BG674" t="s">
        <v>111</v>
      </c>
      <c r="BH674" t="s">
        <v>111</v>
      </c>
      <c r="BI674" t="s">
        <v>111</v>
      </c>
      <c r="BJ674" t="s">
        <v>111</v>
      </c>
      <c r="BK674" t="s">
        <v>111</v>
      </c>
      <c r="BL674" t="s">
        <v>111</v>
      </c>
      <c r="BM674" t="s">
        <v>111</v>
      </c>
      <c r="BN674" t="s">
        <v>111</v>
      </c>
      <c r="BO674" t="s">
        <v>111</v>
      </c>
      <c r="BP674" t="s">
        <v>111</v>
      </c>
      <c r="BQ674" t="s">
        <v>111</v>
      </c>
      <c r="BR674" t="s">
        <v>111</v>
      </c>
      <c r="BS674" t="s">
        <v>111</v>
      </c>
      <c r="BT674" t="s">
        <v>111</v>
      </c>
      <c r="BU674" t="s">
        <v>111</v>
      </c>
      <c r="BV674" t="s">
        <v>111</v>
      </c>
      <c r="BW674" t="s">
        <v>111</v>
      </c>
      <c r="BX674" t="s">
        <v>111</v>
      </c>
      <c r="BY674" t="s">
        <v>111</v>
      </c>
      <c r="BZ674" t="s">
        <v>111</v>
      </c>
      <c r="CA674" t="s">
        <v>111</v>
      </c>
      <c r="CB674" t="s">
        <v>111</v>
      </c>
      <c r="CC674" t="s">
        <v>111</v>
      </c>
      <c r="CD674" t="s">
        <v>111</v>
      </c>
      <c r="CE674" t="s">
        <v>111</v>
      </c>
      <c r="CF674" t="s">
        <v>111</v>
      </c>
      <c r="CG674" t="s">
        <v>111</v>
      </c>
      <c r="CH674" t="s">
        <v>111</v>
      </c>
      <c r="CI674" t="s">
        <v>111</v>
      </c>
      <c r="CJ674" t="s">
        <v>111</v>
      </c>
      <c r="CK674" t="s">
        <v>111</v>
      </c>
      <c r="CL674" t="s">
        <v>111</v>
      </c>
      <c r="CM674" t="s">
        <v>135</v>
      </c>
      <c r="CN674" t="s">
        <v>113</v>
      </c>
      <c r="CO674" t="s">
        <v>111</v>
      </c>
      <c r="CP674" t="s">
        <v>111</v>
      </c>
      <c r="CQ674">
        <v>0</v>
      </c>
      <c r="CR674">
        <v>3000</v>
      </c>
      <c r="CS674">
        <v>50</v>
      </c>
      <c r="CT674" s="1" t="s">
        <v>2335</v>
      </c>
      <c r="CU674">
        <v>0</v>
      </c>
      <c r="CV674" t="s">
        <v>111</v>
      </c>
      <c r="CX674" t="s">
        <v>111</v>
      </c>
      <c r="CY674">
        <v>0</v>
      </c>
      <c r="CZ674" t="s">
        <v>111</v>
      </c>
      <c r="DA674" t="s">
        <v>111</v>
      </c>
      <c r="DB674" t="e">
        <f>-EXXTERNO</f>
        <v>#NAME?</v>
      </c>
      <c r="DC674" t="s">
        <v>2332</v>
      </c>
    </row>
    <row r="675" spans="1:107">
      <c r="A675">
        <v>147</v>
      </c>
      <c r="B675" t="s">
        <v>162</v>
      </c>
      <c r="C675" t="s">
        <v>328</v>
      </c>
      <c r="D675" t="s">
        <v>2336</v>
      </c>
      <c r="E675" t="s">
        <v>2337</v>
      </c>
      <c r="F675" t="s">
        <v>739</v>
      </c>
      <c r="G675" t="s">
        <v>469</v>
      </c>
      <c r="H675">
        <v>3.4</v>
      </c>
      <c r="I675">
        <v>40</v>
      </c>
      <c r="J675">
        <v>0</v>
      </c>
      <c r="K675">
        <v>0</v>
      </c>
      <c r="L675" t="s">
        <v>112</v>
      </c>
      <c r="M675" t="s">
        <v>118</v>
      </c>
      <c r="N675">
        <v>40</v>
      </c>
      <c r="O675">
        <v>1</v>
      </c>
      <c r="P675" t="s">
        <v>138</v>
      </c>
      <c r="Q675">
        <v>46.7</v>
      </c>
      <c r="R675">
        <v>0</v>
      </c>
      <c r="S675">
        <v>0</v>
      </c>
      <c r="T675">
        <v>5</v>
      </c>
      <c r="U675" s="1" t="s">
        <v>2338</v>
      </c>
      <c r="V675">
        <v>0</v>
      </c>
      <c r="W675">
        <v>25</v>
      </c>
      <c r="X675">
        <v>10</v>
      </c>
      <c r="Y675">
        <v>0</v>
      </c>
      <c r="Z675" t="s">
        <v>288</v>
      </c>
      <c r="AA675">
        <v>1600</v>
      </c>
      <c r="AB675" t="s">
        <v>111</v>
      </c>
      <c r="AC675">
        <v>0</v>
      </c>
      <c r="AD675" t="s">
        <v>416</v>
      </c>
      <c r="AE675">
        <v>2</v>
      </c>
      <c r="AF675">
        <v>2</v>
      </c>
      <c r="AG675">
        <v>14</v>
      </c>
      <c r="AH675" t="s">
        <v>111</v>
      </c>
      <c r="AI675">
        <v>28</v>
      </c>
      <c r="AJ675" t="s">
        <v>111</v>
      </c>
      <c r="AK675" t="s">
        <v>111</v>
      </c>
      <c r="AL675" t="s">
        <v>111</v>
      </c>
      <c r="AM675">
        <v>0</v>
      </c>
      <c r="AN675">
        <v>0</v>
      </c>
      <c r="AO675">
        <v>0</v>
      </c>
      <c r="AP675" t="s">
        <v>2339</v>
      </c>
      <c r="AQ675" t="s">
        <v>111</v>
      </c>
      <c r="AR675" t="s">
        <v>111</v>
      </c>
      <c r="AS675" t="s">
        <v>111</v>
      </c>
      <c r="AT675" t="s">
        <v>2340</v>
      </c>
      <c r="AU675" t="s">
        <v>111</v>
      </c>
      <c r="AV675" t="s">
        <v>111</v>
      </c>
      <c r="AW675" t="s">
        <v>111</v>
      </c>
      <c r="AX675" t="s">
        <v>111</v>
      </c>
      <c r="AY675" t="s">
        <v>111</v>
      </c>
      <c r="AZ675" t="s">
        <v>111</v>
      </c>
      <c r="BA675" t="s">
        <v>111</v>
      </c>
      <c r="BB675" t="s">
        <v>111</v>
      </c>
      <c r="BC675" t="s">
        <v>111</v>
      </c>
      <c r="BD675" t="s">
        <v>111</v>
      </c>
      <c r="BE675" t="s">
        <v>111</v>
      </c>
      <c r="BF675" t="s">
        <v>111</v>
      </c>
      <c r="BG675" t="s">
        <v>111</v>
      </c>
      <c r="BH675" t="s">
        <v>111</v>
      </c>
      <c r="BI675" t="s">
        <v>111</v>
      </c>
      <c r="BJ675" t="s">
        <v>111</v>
      </c>
      <c r="BK675" t="s">
        <v>111</v>
      </c>
      <c r="BL675" t="s">
        <v>111</v>
      </c>
      <c r="BM675" t="s">
        <v>111</v>
      </c>
      <c r="BN675" t="s">
        <v>111</v>
      </c>
      <c r="BO675" t="s">
        <v>111</v>
      </c>
      <c r="BP675" t="s">
        <v>111</v>
      </c>
      <c r="BQ675" t="s">
        <v>111</v>
      </c>
      <c r="BR675" t="s">
        <v>111</v>
      </c>
      <c r="BS675" t="s">
        <v>111</v>
      </c>
      <c r="BT675" t="s">
        <v>111</v>
      </c>
      <c r="BU675" t="s">
        <v>111</v>
      </c>
      <c r="BV675" t="s">
        <v>111</v>
      </c>
      <c r="BW675" t="s">
        <v>111</v>
      </c>
      <c r="BX675" t="s">
        <v>111</v>
      </c>
      <c r="BY675" t="s">
        <v>111</v>
      </c>
      <c r="BZ675" t="s">
        <v>111</v>
      </c>
      <c r="CA675" t="s">
        <v>111</v>
      </c>
      <c r="CB675" t="s">
        <v>111</v>
      </c>
      <c r="CC675" t="s">
        <v>111</v>
      </c>
      <c r="CD675" t="s">
        <v>111</v>
      </c>
      <c r="CE675" t="s">
        <v>111</v>
      </c>
      <c r="CF675" t="s">
        <v>111</v>
      </c>
      <c r="CG675" t="s">
        <v>111</v>
      </c>
      <c r="CH675" t="s">
        <v>111</v>
      </c>
      <c r="CI675" t="s">
        <v>111</v>
      </c>
      <c r="CJ675" t="s">
        <v>111</v>
      </c>
      <c r="CK675" t="s">
        <v>111</v>
      </c>
      <c r="CL675" t="s">
        <v>153</v>
      </c>
      <c r="CM675" t="s">
        <v>198</v>
      </c>
      <c r="CN675" t="s">
        <v>113</v>
      </c>
      <c r="CO675" t="s">
        <v>111</v>
      </c>
      <c r="CP675" t="s">
        <v>433</v>
      </c>
      <c r="CQ675">
        <v>0</v>
      </c>
      <c r="CR675">
        <v>5000</v>
      </c>
      <c r="CS675">
        <v>200</v>
      </c>
      <c r="CT675" s="1" t="s">
        <v>2341</v>
      </c>
      <c r="CU675">
        <v>0</v>
      </c>
      <c r="CV675" t="s">
        <v>111</v>
      </c>
      <c r="CW675" t="s">
        <v>111</v>
      </c>
      <c r="CX675" t="s">
        <v>111</v>
      </c>
      <c r="CY675">
        <v>0</v>
      </c>
      <c r="CZ675" t="s">
        <v>111</v>
      </c>
      <c r="DA675" t="s">
        <v>111</v>
      </c>
      <c r="DB675" t="s">
        <v>111</v>
      </c>
      <c r="DC675" t="s">
        <v>111</v>
      </c>
    </row>
    <row r="676" spans="1:107">
      <c r="A676">
        <v>29</v>
      </c>
      <c r="B676" t="s">
        <v>107</v>
      </c>
      <c r="C676" t="s">
        <v>328</v>
      </c>
      <c r="D676" t="s">
        <v>1760</v>
      </c>
      <c r="E676" t="s">
        <v>2342</v>
      </c>
      <c r="F676" t="s">
        <v>739</v>
      </c>
      <c r="G676" t="s">
        <v>469</v>
      </c>
      <c r="H676">
        <v>4.8</v>
      </c>
      <c r="I676">
        <v>30</v>
      </c>
      <c r="J676">
        <v>0</v>
      </c>
      <c r="K676">
        <v>0</v>
      </c>
      <c r="L676" t="s">
        <v>112</v>
      </c>
      <c r="M676" t="s">
        <v>118</v>
      </c>
      <c r="N676">
        <v>40</v>
      </c>
      <c r="O676">
        <v>1</v>
      </c>
      <c r="P676" t="s">
        <v>138</v>
      </c>
      <c r="Q676">
        <v>35.299999999999997</v>
      </c>
      <c r="R676">
        <v>0</v>
      </c>
      <c r="S676">
        <v>0</v>
      </c>
      <c r="T676">
        <v>5</v>
      </c>
      <c r="U676" s="1" t="s">
        <v>2343</v>
      </c>
      <c r="V676">
        <v>0</v>
      </c>
      <c r="W676">
        <v>25</v>
      </c>
      <c r="X676">
        <v>8</v>
      </c>
      <c r="Y676">
        <v>0</v>
      </c>
      <c r="Z676" t="s">
        <v>288</v>
      </c>
      <c r="AA676">
        <v>1.8</v>
      </c>
      <c r="AB676" t="s">
        <v>2344</v>
      </c>
      <c r="AC676">
        <v>8</v>
      </c>
      <c r="AD676" t="s">
        <v>416</v>
      </c>
      <c r="AE676">
        <v>2</v>
      </c>
      <c r="AF676">
        <v>1</v>
      </c>
      <c r="AG676">
        <v>40</v>
      </c>
      <c r="AH676" t="s">
        <v>111</v>
      </c>
      <c r="AI676">
        <v>40</v>
      </c>
      <c r="AJ676" t="s">
        <v>111</v>
      </c>
      <c r="AK676" t="s">
        <v>111</v>
      </c>
      <c r="AL676" t="s">
        <v>111</v>
      </c>
      <c r="AM676">
        <v>0</v>
      </c>
      <c r="AN676">
        <v>0</v>
      </c>
      <c r="AO676">
        <v>0</v>
      </c>
      <c r="AP676" t="s">
        <v>188</v>
      </c>
      <c r="AQ676" t="s">
        <v>111</v>
      </c>
      <c r="AR676" t="s">
        <v>111</v>
      </c>
      <c r="AS676" t="s">
        <v>111</v>
      </c>
      <c r="AT676" t="s">
        <v>188</v>
      </c>
      <c r="AU676" t="s">
        <v>111</v>
      </c>
      <c r="AV676" t="s">
        <v>111</v>
      </c>
      <c r="AW676" t="s">
        <v>111</v>
      </c>
      <c r="AX676" t="s">
        <v>111</v>
      </c>
      <c r="AY676" t="s">
        <v>111</v>
      </c>
      <c r="AZ676" t="s">
        <v>111</v>
      </c>
      <c r="BA676" t="s">
        <v>111</v>
      </c>
      <c r="BB676" t="s">
        <v>111</v>
      </c>
      <c r="BC676" t="s">
        <v>111</v>
      </c>
      <c r="BD676" t="s">
        <v>111</v>
      </c>
      <c r="BE676" t="s">
        <v>111</v>
      </c>
      <c r="BF676" t="s">
        <v>111</v>
      </c>
      <c r="BG676" t="s">
        <v>111</v>
      </c>
      <c r="BH676" t="s">
        <v>111</v>
      </c>
      <c r="BI676" t="s">
        <v>111</v>
      </c>
      <c r="BJ676" t="s">
        <v>111</v>
      </c>
      <c r="BK676" t="s">
        <v>111</v>
      </c>
      <c r="BL676" t="s">
        <v>111</v>
      </c>
      <c r="BM676" t="s">
        <v>111</v>
      </c>
      <c r="BN676" t="s">
        <v>111</v>
      </c>
      <c r="BO676" t="s">
        <v>111</v>
      </c>
      <c r="BP676" t="s">
        <v>111</v>
      </c>
      <c r="BQ676" t="s">
        <v>111</v>
      </c>
      <c r="BR676" t="s">
        <v>111</v>
      </c>
      <c r="BS676" t="s">
        <v>111</v>
      </c>
      <c r="BT676" t="s">
        <v>111</v>
      </c>
      <c r="BU676" t="s">
        <v>111</v>
      </c>
      <c r="BV676" t="s">
        <v>111</v>
      </c>
      <c r="BW676" t="s">
        <v>111</v>
      </c>
      <c r="BX676" t="s">
        <v>111</v>
      </c>
      <c r="BY676" t="s">
        <v>111</v>
      </c>
      <c r="BZ676" t="s">
        <v>111</v>
      </c>
      <c r="CA676" t="s">
        <v>111</v>
      </c>
      <c r="CB676" t="s">
        <v>111</v>
      </c>
      <c r="CC676" t="s">
        <v>111</v>
      </c>
      <c r="CD676" t="s">
        <v>111</v>
      </c>
      <c r="CE676" t="s">
        <v>111</v>
      </c>
      <c r="CF676" t="s">
        <v>111</v>
      </c>
      <c r="CG676" t="s">
        <v>111</v>
      </c>
      <c r="CH676" t="s">
        <v>111</v>
      </c>
      <c r="CI676" t="s">
        <v>111</v>
      </c>
      <c r="CJ676" t="s">
        <v>111</v>
      </c>
      <c r="CK676" t="s">
        <v>111</v>
      </c>
      <c r="CL676" t="s">
        <v>153</v>
      </c>
      <c r="CM676" t="s">
        <v>198</v>
      </c>
      <c r="CN676" t="s">
        <v>128</v>
      </c>
      <c r="CO676" t="s">
        <v>111</v>
      </c>
      <c r="CP676" t="s">
        <v>433</v>
      </c>
      <c r="CQ676">
        <v>28</v>
      </c>
      <c r="CR676">
        <v>1000</v>
      </c>
      <c r="CS676">
        <v>50</v>
      </c>
      <c r="CT676" s="1" t="s">
        <v>2345</v>
      </c>
      <c r="CU676">
        <v>0</v>
      </c>
      <c r="CV676" t="s">
        <v>111</v>
      </c>
      <c r="CW676" t="s">
        <v>111</v>
      </c>
      <c r="CX676" t="s">
        <v>111</v>
      </c>
      <c r="CY676">
        <v>0</v>
      </c>
      <c r="CZ676" t="s">
        <v>111</v>
      </c>
      <c r="DA676" t="s">
        <v>111</v>
      </c>
      <c r="DB676" t="s">
        <v>111</v>
      </c>
      <c r="DC676" s="1" t="s">
        <v>948</v>
      </c>
    </row>
    <row r="677" spans="1:107">
      <c r="A677">
        <v>1986</v>
      </c>
      <c r="B677" t="s">
        <v>107</v>
      </c>
      <c r="C677" t="s">
        <v>119</v>
      </c>
      <c r="D677" t="s">
        <v>2346</v>
      </c>
      <c r="E677" t="s">
        <v>2347</v>
      </c>
      <c r="F677" t="s">
        <v>183</v>
      </c>
      <c r="G677" t="s">
        <v>469</v>
      </c>
      <c r="H677">
        <v>1.6</v>
      </c>
      <c r="I677">
        <v>64</v>
      </c>
      <c r="J677">
        <v>12.5</v>
      </c>
      <c r="K677">
        <v>12.5</v>
      </c>
      <c r="L677" t="s">
        <v>112</v>
      </c>
      <c r="M677" t="s">
        <v>118</v>
      </c>
      <c r="N677">
        <v>40</v>
      </c>
      <c r="O677">
        <v>1</v>
      </c>
      <c r="P677" t="s">
        <v>111</v>
      </c>
      <c r="Q677">
        <v>50</v>
      </c>
      <c r="R677">
        <v>0</v>
      </c>
      <c r="S677">
        <v>0</v>
      </c>
      <c r="T677">
        <v>0</v>
      </c>
      <c r="U677" s="1" t="s">
        <v>2348</v>
      </c>
      <c r="V677">
        <v>25</v>
      </c>
      <c r="W677">
        <v>25</v>
      </c>
      <c r="X677">
        <v>0</v>
      </c>
      <c r="Y677">
        <v>0</v>
      </c>
      <c r="Z677" t="s">
        <v>184</v>
      </c>
      <c r="AA677">
        <v>1.5</v>
      </c>
      <c r="AB677" t="s">
        <v>2349</v>
      </c>
      <c r="AC677">
        <v>25</v>
      </c>
      <c r="AD677" t="s">
        <v>111</v>
      </c>
      <c r="AE677">
        <v>0</v>
      </c>
      <c r="AF677">
        <v>0</v>
      </c>
      <c r="AG677" t="s">
        <v>111</v>
      </c>
      <c r="AH677" t="s">
        <v>111</v>
      </c>
      <c r="AI677" t="s">
        <v>111</v>
      </c>
      <c r="AJ677" t="s">
        <v>111</v>
      </c>
      <c r="AK677" t="s">
        <v>111</v>
      </c>
      <c r="AL677" t="s">
        <v>111</v>
      </c>
      <c r="AM677">
        <v>0</v>
      </c>
      <c r="AN677">
        <v>0</v>
      </c>
      <c r="AO677">
        <v>0</v>
      </c>
      <c r="AP677" t="s">
        <v>111</v>
      </c>
      <c r="AQ677" t="s">
        <v>111</v>
      </c>
      <c r="AR677" t="s">
        <v>111</v>
      </c>
      <c r="AS677" t="s">
        <v>111</v>
      </c>
      <c r="AT677" t="s">
        <v>111</v>
      </c>
      <c r="AU677" t="s">
        <v>111</v>
      </c>
      <c r="AV677" t="s">
        <v>111</v>
      </c>
      <c r="AW677" t="s">
        <v>111</v>
      </c>
      <c r="AX677" t="s">
        <v>111</v>
      </c>
      <c r="AY677" t="s">
        <v>111</v>
      </c>
      <c r="AZ677" t="s">
        <v>111</v>
      </c>
      <c r="BA677" t="s">
        <v>111</v>
      </c>
      <c r="BB677" t="s">
        <v>111</v>
      </c>
      <c r="BC677" t="s">
        <v>111</v>
      </c>
      <c r="BD677" t="s">
        <v>111</v>
      </c>
      <c r="BE677" t="s">
        <v>111</v>
      </c>
      <c r="BF677" t="s">
        <v>111</v>
      </c>
      <c r="BG677" t="s">
        <v>111</v>
      </c>
      <c r="BH677" t="s">
        <v>111</v>
      </c>
      <c r="BI677" t="s">
        <v>111</v>
      </c>
      <c r="BJ677" t="s">
        <v>111</v>
      </c>
      <c r="BK677" t="s">
        <v>111</v>
      </c>
      <c r="BL677" t="s">
        <v>111</v>
      </c>
      <c r="BM677" t="s">
        <v>111</v>
      </c>
      <c r="BN677" t="s">
        <v>111</v>
      </c>
      <c r="BO677" t="s">
        <v>111</v>
      </c>
      <c r="BP677" t="s">
        <v>111</v>
      </c>
      <c r="BQ677" t="s">
        <v>111</v>
      </c>
      <c r="BR677" t="s">
        <v>111</v>
      </c>
      <c r="BS677" t="s">
        <v>111</v>
      </c>
      <c r="BT677" t="s">
        <v>111</v>
      </c>
      <c r="BU677" t="s">
        <v>111</v>
      </c>
      <c r="BV677" t="s">
        <v>111</v>
      </c>
      <c r="BW677" t="s">
        <v>111</v>
      </c>
      <c r="BX677" t="s">
        <v>111</v>
      </c>
      <c r="BY677" t="s">
        <v>111</v>
      </c>
      <c r="BZ677" t="s">
        <v>111</v>
      </c>
      <c r="CA677" t="s">
        <v>111</v>
      </c>
      <c r="CB677" t="s">
        <v>111</v>
      </c>
      <c r="CC677" t="s">
        <v>111</v>
      </c>
      <c r="CD677" t="s">
        <v>111</v>
      </c>
      <c r="CE677" t="s">
        <v>111</v>
      </c>
      <c r="CF677" t="s">
        <v>111</v>
      </c>
      <c r="CG677" t="s">
        <v>111</v>
      </c>
      <c r="CH677" t="s">
        <v>111</v>
      </c>
      <c r="CI677" t="s">
        <v>111</v>
      </c>
      <c r="CJ677" t="s">
        <v>111</v>
      </c>
      <c r="CK677" t="s">
        <v>111</v>
      </c>
      <c r="CL677" t="s">
        <v>111</v>
      </c>
      <c r="CM677" t="s">
        <v>111</v>
      </c>
      <c r="CN677" t="s">
        <v>111</v>
      </c>
      <c r="CO677" t="s">
        <v>111</v>
      </c>
      <c r="CP677" t="s">
        <v>111</v>
      </c>
      <c r="CQ677">
        <v>0</v>
      </c>
      <c r="CR677">
        <v>0</v>
      </c>
      <c r="CS677">
        <v>0</v>
      </c>
      <c r="CT677" t="s">
        <v>111</v>
      </c>
      <c r="CU677">
        <v>0</v>
      </c>
      <c r="CV677" t="s">
        <v>111</v>
      </c>
      <c r="CX677" t="s">
        <v>111</v>
      </c>
      <c r="CY677">
        <v>0</v>
      </c>
      <c r="CZ677" t="s">
        <v>111</v>
      </c>
      <c r="DA677" t="s">
        <v>111</v>
      </c>
      <c r="DB677" t="s">
        <v>111</v>
      </c>
      <c r="DC677" t="s">
        <v>111</v>
      </c>
    </row>
    <row r="678" spans="1:107">
      <c r="A678">
        <v>30</v>
      </c>
      <c r="B678" t="s">
        <v>162</v>
      </c>
      <c r="C678" t="s">
        <v>328</v>
      </c>
      <c r="D678" t="s">
        <v>2350</v>
      </c>
      <c r="E678" t="s">
        <v>2351</v>
      </c>
      <c r="F678" t="s">
        <v>125</v>
      </c>
      <c r="G678" t="s">
        <v>469</v>
      </c>
      <c r="H678">
        <v>1.4</v>
      </c>
      <c r="I678">
        <v>64</v>
      </c>
      <c r="J678">
        <v>0</v>
      </c>
      <c r="K678">
        <v>0</v>
      </c>
      <c r="L678" t="s">
        <v>112</v>
      </c>
      <c r="M678" t="s">
        <v>138</v>
      </c>
      <c r="N678">
        <v>0</v>
      </c>
      <c r="O678">
        <v>0</v>
      </c>
      <c r="P678" t="s">
        <v>138</v>
      </c>
      <c r="Q678">
        <v>53.8</v>
      </c>
      <c r="R678">
        <v>0</v>
      </c>
      <c r="S678">
        <v>0</v>
      </c>
      <c r="T678">
        <v>5</v>
      </c>
      <c r="U678" s="1" t="s">
        <v>2352</v>
      </c>
      <c r="V678">
        <v>25</v>
      </c>
      <c r="W678">
        <v>0</v>
      </c>
      <c r="X678">
        <v>8</v>
      </c>
      <c r="Y678">
        <v>0</v>
      </c>
      <c r="Z678" t="s">
        <v>111</v>
      </c>
      <c r="AA678">
        <v>0</v>
      </c>
      <c r="AB678" t="s">
        <v>111</v>
      </c>
      <c r="AC678">
        <v>0</v>
      </c>
      <c r="AD678" t="s">
        <v>111</v>
      </c>
      <c r="AE678">
        <v>0</v>
      </c>
      <c r="AF678">
        <v>0</v>
      </c>
      <c r="AG678" t="s">
        <v>111</v>
      </c>
      <c r="AH678" t="s">
        <v>111</v>
      </c>
      <c r="AI678" t="s">
        <v>111</v>
      </c>
      <c r="AJ678" t="s">
        <v>111</v>
      </c>
      <c r="AK678" t="s">
        <v>111</v>
      </c>
      <c r="AL678" t="s">
        <v>111</v>
      </c>
      <c r="AM678">
        <v>0</v>
      </c>
      <c r="AN678">
        <v>0</v>
      </c>
      <c r="AO678">
        <v>0</v>
      </c>
      <c r="AP678" t="s">
        <v>111</v>
      </c>
      <c r="AQ678" t="s">
        <v>111</v>
      </c>
      <c r="AR678" t="s">
        <v>111</v>
      </c>
      <c r="AS678" t="s">
        <v>111</v>
      </c>
      <c r="AT678" t="s">
        <v>111</v>
      </c>
      <c r="AU678" t="s">
        <v>111</v>
      </c>
      <c r="AV678" t="s">
        <v>111</v>
      </c>
      <c r="AW678" t="s">
        <v>111</v>
      </c>
      <c r="AX678" t="s">
        <v>111</v>
      </c>
      <c r="AY678" t="s">
        <v>111</v>
      </c>
      <c r="AZ678" t="s">
        <v>111</v>
      </c>
      <c r="BA678" t="s">
        <v>111</v>
      </c>
      <c r="BB678" t="s">
        <v>111</v>
      </c>
      <c r="BC678" t="s">
        <v>111</v>
      </c>
      <c r="BD678" t="s">
        <v>111</v>
      </c>
      <c r="BE678" t="s">
        <v>111</v>
      </c>
      <c r="BF678" t="s">
        <v>111</v>
      </c>
      <c r="BG678" t="s">
        <v>111</v>
      </c>
      <c r="BH678" t="s">
        <v>111</v>
      </c>
      <c r="BI678" t="s">
        <v>111</v>
      </c>
      <c r="BJ678" t="s">
        <v>111</v>
      </c>
      <c r="BK678" t="s">
        <v>111</v>
      </c>
      <c r="BL678" t="s">
        <v>111</v>
      </c>
      <c r="BM678" t="s">
        <v>111</v>
      </c>
      <c r="BN678" t="s">
        <v>111</v>
      </c>
      <c r="BO678" t="s">
        <v>111</v>
      </c>
      <c r="BP678" t="s">
        <v>111</v>
      </c>
      <c r="BQ678" t="s">
        <v>111</v>
      </c>
      <c r="BR678" t="s">
        <v>111</v>
      </c>
      <c r="BS678" t="s">
        <v>111</v>
      </c>
      <c r="BT678" t="s">
        <v>111</v>
      </c>
      <c r="BU678" t="s">
        <v>111</v>
      </c>
      <c r="BV678" t="s">
        <v>111</v>
      </c>
      <c r="BW678" t="s">
        <v>111</v>
      </c>
      <c r="BX678" t="s">
        <v>111</v>
      </c>
      <c r="BY678" t="s">
        <v>111</v>
      </c>
      <c r="BZ678" t="s">
        <v>111</v>
      </c>
      <c r="CA678" t="s">
        <v>111</v>
      </c>
      <c r="CB678" t="s">
        <v>111</v>
      </c>
      <c r="CC678" t="s">
        <v>111</v>
      </c>
      <c r="CD678" t="s">
        <v>111</v>
      </c>
      <c r="CE678" t="s">
        <v>111</v>
      </c>
      <c r="CF678" t="s">
        <v>111</v>
      </c>
      <c r="CG678" t="s">
        <v>111</v>
      </c>
      <c r="CH678" t="s">
        <v>111</v>
      </c>
      <c r="CI678" t="s">
        <v>111</v>
      </c>
      <c r="CJ678" t="s">
        <v>111</v>
      </c>
      <c r="CK678" t="s">
        <v>111</v>
      </c>
      <c r="CL678" t="s">
        <v>111</v>
      </c>
      <c r="CM678" t="s">
        <v>198</v>
      </c>
      <c r="CN678" t="s">
        <v>128</v>
      </c>
      <c r="CO678" t="s">
        <v>111</v>
      </c>
      <c r="CP678" t="s">
        <v>111</v>
      </c>
      <c r="CQ678">
        <v>34</v>
      </c>
      <c r="CR678">
        <v>600</v>
      </c>
      <c r="CS678">
        <v>50</v>
      </c>
      <c r="CT678" s="1" t="s">
        <v>2353</v>
      </c>
      <c r="CU678">
        <v>0</v>
      </c>
      <c r="CV678" t="s">
        <v>111</v>
      </c>
      <c r="CW678" t="s">
        <v>111</v>
      </c>
      <c r="CX678" t="s">
        <v>111</v>
      </c>
      <c r="CY678">
        <v>0</v>
      </c>
      <c r="CZ678" t="s">
        <v>111</v>
      </c>
      <c r="DA678" t="s">
        <v>111</v>
      </c>
      <c r="DB678" t="s">
        <v>111</v>
      </c>
      <c r="DC678" t="s">
        <v>111</v>
      </c>
    </row>
    <row r="679" spans="1:107">
      <c r="A679">
        <v>1798</v>
      </c>
      <c r="B679" t="s">
        <v>107</v>
      </c>
      <c r="C679" t="s">
        <v>428</v>
      </c>
      <c r="D679" t="s">
        <v>2354</v>
      </c>
      <c r="E679" t="s">
        <v>2355</v>
      </c>
      <c r="F679" t="s">
        <v>257</v>
      </c>
      <c r="G679" t="s">
        <v>469</v>
      </c>
      <c r="H679">
        <v>5</v>
      </c>
      <c r="I679">
        <v>98</v>
      </c>
      <c r="J679">
        <v>0</v>
      </c>
      <c r="K679">
        <v>0</v>
      </c>
      <c r="L679" t="s">
        <v>112</v>
      </c>
      <c r="M679" t="s">
        <v>138</v>
      </c>
      <c r="N679">
        <v>0</v>
      </c>
      <c r="O679">
        <v>0</v>
      </c>
      <c r="P679" t="s">
        <v>138</v>
      </c>
      <c r="Q679">
        <v>35</v>
      </c>
      <c r="R679">
        <v>0</v>
      </c>
      <c r="S679">
        <v>0</v>
      </c>
      <c r="T679">
        <v>5</v>
      </c>
      <c r="U679" t="e">
        <f>-SELLADO</f>
        <v>#NAME?</v>
      </c>
      <c r="V679">
        <v>25</v>
      </c>
      <c r="W679">
        <v>0</v>
      </c>
      <c r="X679">
        <v>0</v>
      </c>
      <c r="Y679">
        <v>0</v>
      </c>
      <c r="Z679" t="s">
        <v>259</v>
      </c>
      <c r="AA679">
        <v>1.2</v>
      </c>
      <c r="AB679" t="s">
        <v>111</v>
      </c>
      <c r="AC679">
        <v>0</v>
      </c>
      <c r="AD679" t="s">
        <v>111</v>
      </c>
      <c r="AE679">
        <v>0</v>
      </c>
      <c r="AF679">
        <v>0</v>
      </c>
      <c r="AG679" t="s">
        <v>111</v>
      </c>
      <c r="AH679" t="s">
        <v>111</v>
      </c>
      <c r="AI679" t="s">
        <v>111</v>
      </c>
      <c r="AJ679" t="s">
        <v>111</v>
      </c>
      <c r="AK679" t="s">
        <v>111</v>
      </c>
      <c r="AL679" t="s">
        <v>111</v>
      </c>
      <c r="AM679">
        <v>0</v>
      </c>
      <c r="AN679">
        <v>0</v>
      </c>
      <c r="AO679">
        <v>0</v>
      </c>
      <c r="AP679" t="s">
        <v>111</v>
      </c>
      <c r="AQ679" t="s">
        <v>111</v>
      </c>
      <c r="AR679" t="s">
        <v>111</v>
      </c>
      <c r="AS679" t="s">
        <v>111</v>
      </c>
      <c r="AT679" t="s">
        <v>111</v>
      </c>
      <c r="AU679" t="s">
        <v>111</v>
      </c>
      <c r="AV679" t="s">
        <v>111</v>
      </c>
      <c r="AW679" t="s">
        <v>111</v>
      </c>
      <c r="AX679" t="s">
        <v>111</v>
      </c>
      <c r="AY679" t="s">
        <v>111</v>
      </c>
      <c r="AZ679" t="s">
        <v>111</v>
      </c>
      <c r="BA679" t="s">
        <v>111</v>
      </c>
      <c r="BB679" t="s">
        <v>111</v>
      </c>
      <c r="BC679" t="s">
        <v>111</v>
      </c>
      <c r="BD679" t="s">
        <v>111</v>
      </c>
      <c r="BE679" t="s">
        <v>111</v>
      </c>
      <c r="BF679" t="s">
        <v>111</v>
      </c>
      <c r="BG679" t="s">
        <v>111</v>
      </c>
      <c r="BH679" t="s">
        <v>111</v>
      </c>
      <c r="BI679" t="s">
        <v>111</v>
      </c>
      <c r="BJ679" t="s">
        <v>111</v>
      </c>
      <c r="BK679" t="s">
        <v>111</v>
      </c>
      <c r="BL679" t="s">
        <v>111</v>
      </c>
      <c r="BM679" t="s">
        <v>111</v>
      </c>
      <c r="BN679" t="s">
        <v>111</v>
      </c>
      <c r="BO679" t="s">
        <v>111</v>
      </c>
      <c r="BP679" t="s">
        <v>111</v>
      </c>
      <c r="BQ679" t="s">
        <v>111</v>
      </c>
      <c r="BR679" t="s">
        <v>111</v>
      </c>
      <c r="BS679" t="s">
        <v>111</v>
      </c>
      <c r="BT679" t="s">
        <v>111</v>
      </c>
      <c r="BU679" t="s">
        <v>111</v>
      </c>
      <c r="BV679" t="s">
        <v>111</v>
      </c>
      <c r="BW679" t="s">
        <v>111</v>
      </c>
      <c r="BX679" t="s">
        <v>111</v>
      </c>
      <c r="BY679" t="s">
        <v>111</v>
      </c>
      <c r="BZ679" t="s">
        <v>111</v>
      </c>
      <c r="CA679" t="s">
        <v>111</v>
      </c>
      <c r="CB679" t="s">
        <v>111</v>
      </c>
      <c r="CC679" t="s">
        <v>111</v>
      </c>
      <c r="CD679" t="s">
        <v>111</v>
      </c>
      <c r="CE679" t="s">
        <v>111</v>
      </c>
      <c r="CF679" t="s">
        <v>111</v>
      </c>
      <c r="CG679" t="s">
        <v>111</v>
      </c>
      <c r="CH679" t="s">
        <v>111</v>
      </c>
      <c r="CI679" t="s">
        <v>111</v>
      </c>
      <c r="CJ679" t="s">
        <v>111</v>
      </c>
      <c r="CK679" t="s">
        <v>111</v>
      </c>
      <c r="CL679" t="s">
        <v>111</v>
      </c>
      <c r="CM679" t="s">
        <v>111</v>
      </c>
      <c r="CN679" t="s">
        <v>111</v>
      </c>
      <c r="CO679" t="s">
        <v>111</v>
      </c>
      <c r="CP679" t="s">
        <v>111</v>
      </c>
      <c r="CQ679">
        <v>0</v>
      </c>
      <c r="CR679">
        <v>0</v>
      </c>
      <c r="CS679">
        <v>0</v>
      </c>
      <c r="CT679" t="s">
        <v>111</v>
      </c>
      <c r="CU679">
        <v>0</v>
      </c>
      <c r="CV679" t="s">
        <v>111</v>
      </c>
      <c r="CX679" t="s">
        <v>111</v>
      </c>
      <c r="CY679">
        <v>0</v>
      </c>
      <c r="CZ679" t="s">
        <v>111</v>
      </c>
      <c r="DA679" t="s">
        <v>111</v>
      </c>
      <c r="DB679" t="e">
        <f>-INTERNO</f>
        <v>#NAME?</v>
      </c>
      <c r="DC679" t="e">
        <f>-SELLE</f>
        <v>#NAME?</v>
      </c>
    </row>
    <row r="680" spans="1:107">
      <c r="A680">
        <v>179</v>
      </c>
      <c r="B680" t="s">
        <v>162</v>
      </c>
      <c r="C680" t="s">
        <v>171</v>
      </c>
      <c r="D680" t="s">
        <v>2356</v>
      </c>
      <c r="E680" t="s">
        <v>2357</v>
      </c>
      <c r="F680" t="s">
        <v>166</v>
      </c>
      <c r="G680" t="s">
        <v>469</v>
      </c>
      <c r="H680">
        <v>0.7</v>
      </c>
      <c r="I680">
        <v>40</v>
      </c>
      <c r="J680">
        <v>0</v>
      </c>
      <c r="K680">
        <v>0</v>
      </c>
      <c r="L680" t="s">
        <v>112</v>
      </c>
      <c r="M680" t="s">
        <v>138</v>
      </c>
      <c r="N680">
        <v>0</v>
      </c>
      <c r="O680">
        <v>0</v>
      </c>
      <c r="P680" t="s">
        <v>138</v>
      </c>
      <c r="Q680">
        <v>37.5</v>
      </c>
      <c r="R680">
        <v>0</v>
      </c>
      <c r="S680">
        <v>0</v>
      </c>
      <c r="T680">
        <v>0</v>
      </c>
      <c r="U680" t="s">
        <v>153</v>
      </c>
      <c r="V680">
        <v>25</v>
      </c>
      <c r="W680">
        <v>0</v>
      </c>
      <c r="X680">
        <v>6</v>
      </c>
      <c r="Y680">
        <v>0</v>
      </c>
      <c r="Z680" t="s">
        <v>288</v>
      </c>
      <c r="AA680">
        <v>1.8</v>
      </c>
      <c r="AB680" t="s">
        <v>111</v>
      </c>
      <c r="AC680">
        <v>0</v>
      </c>
      <c r="AD680" t="s">
        <v>111</v>
      </c>
      <c r="AE680">
        <v>0</v>
      </c>
      <c r="AF680">
        <v>0</v>
      </c>
      <c r="AG680" t="s">
        <v>111</v>
      </c>
      <c r="AH680" t="s">
        <v>111</v>
      </c>
      <c r="AI680" t="s">
        <v>111</v>
      </c>
      <c r="AJ680" t="s">
        <v>111</v>
      </c>
      <c r="AK680" t="s">
        <v>111</v>
      </c>
      <c r="AL680" t="s">
        <v>111</v>
      </c>
      <c r="AM680">
        <v>0</v>
      </c>
      <c r="AN680">
        <v>0</v>
      </c>
      <c r="AO680">
        <v>0</v>
      </c>
      <c r="AP680" t="s">
        <v>111</v>
      </c>
      <c r="AQ680" t="s">
        <v>111</v>
      </c>
      <c r="AR680" t="s">
        <v>111</v>
      </c>
      <c r="AS680" t="s">
        <v>111</v>
      </c>
      <c r="AT680" t="s">
        <v>111</v>
      </c>
      <c r="AU680" t="s">
        <v>111</v>
      </c>
      <c r="AV680" t="s">
        <v>111</v>
      </c>
      <c r="AW680" t="s">
        <v>111</v>
      </c>
      <c r="AX680" t="s">
        <v>111</v>
      </c>
      <c r="AY680" t="s">
        <v>111</v>
      </c>
      <c r="AZ680" t="s">
        <v>111</v>
      </c>
      <c r="BA680" t="s">
        <v>111</v>
      </c>
      <c r="BB680" t="s">
        <v>111</v>
      </c>
      <c r="BC680" t="s">
        <v>111</v>
      </c>
      <c r="BD680" t="s">
        <v>111</v>
      </c>
      <c r="BE680" t="s">
        <v>111</v>
      </c>
      <c r="BF680" t="s">
        <v>111</v>
      </c>
      <c r="BG680" t="s">
        <v>111</v>
      </c>
      <c r="BH680" t="s">
        <v>111</v>
      </c>
      <c r="BI680" t="s">
        <v>111</v>
      </c>
      <c r="BJ680" t="s">
        <v>111</v>
      </c>
      <c r="BK680" t="s">
        <v>111</v>
      </c>
      <c r="BL680" t="s">
        <v>111</v>
      </c>
      <c r="BM680" t="s">
        <v>111</v>
      </c>
      <c r="BN680" t="s">
        <v>111</v>
      </c>
      <c r="BO680" t="s">
        <v>111</v>
      </c>
      <c r="BP680" t="s">
        <v>111</v>
      </c>
      <c r="BQ680" t="s">
        <v>111</v>
      </c>
      <c r="BR680" t="s">
        <v>111</v>
      </c>
      <c r="BS680" t="s">
        <v>111</v>
      </c>
      <c r="BT680" t="s">
        <v>111</v>
      </c>
      <c r="BU680" t="s">
        <v>111</v>
      </c>
      <c r="BV680" t="s">
        <v>111</v>
      </c>
      <c r="BW680" t="s">
        <v>111</v>
      </c>
      <c r="BX680" t="s">
        <v>111</v>
      </c>
      <c r="BY680" t="s">
        <v>111</v>
      </c>
      <c r="BZ680" t="s">
        <v>111</v>
      </c>
      <c r="CA680" t="s">
        <v>111</v>
      </c>
      <c r="CB680" t="s">
        <v>111</v>
      </c>
      <c r="CC680" t="s">
        <v>111</v>
      </c>
      <c r="CD680" t="s">
        <v>111</v>
      </c>
      <c r="CE680" t="s">
        <v>111</v>
      </c>
      <c r="CF680" t="s">
        <v>111</v>
      </c>
      <c r="CG680" t="s">
        <v>111</v>
      </c>
      <c r="CH680" t="s">
        <v>111</v>
      </c>
      <c r="CI680" t="s">
        <v>111</v>
      </c>
      <c r="CJ680" t="s">
        <v>111</v>
      </c>
      <c r="CK680" t="s">
        <v>111</v>
      </c>
      <c r="CL680" t="s">
        <v>111</v>
      </c>
      <c r="CM680" t="s">
        <v>127</v>
      </c>
      <c r="CN680" t="s">
        <v>128</v>
      </c>
      <c r="CO680" t="s">
        <v>111</v>
      </c>
      <c r="CP680" t="s">
        <v>111</v>
      </c>
      <c r="CQ680">
        <v>0</v>
      </c>
      <c r="CR680">
        <v>1800</v>
      </c>
      <c r="CS680">
        <v>0</v>
      </c>
      <c r="CT680" s="1" t="s">
        <v>2358</v>
      </c>
      <c r="CU680">
        <v>0</v>
      </c>
      <c r="CV680" t="s">
        <v>111</v>
      </c>
      <c r="CW680" t="s">
        <v>111</v>
      </c>
      <c r="CX680" t="s">
        <v>111</v>
      </c>
      <c r="CY680">
        <v>0</v>
      </c>
      <c r="CZ680" t="s">
        <v>111</v>
      </c>
      <c r="DA680" t="s">
        <v>111</v>
      </c>
      <c r="DB680" t="s">
        <v>111</v>
      </c>
      <c r="DC680" t="s">
        <v>111</v>
      </c>
    </row>
    <row r="681" spans="1:107">
      <c r="A681">
        <v>1934</v>
      </c>
      <c r="B681" t="s">
        <v>107</v>
      </c>
      <c r="C681" t="s">
        <v>2359</v>
      </c>
      <c r="D681" t="s">
        <v>2360</v>
      </c>
      <c r="E681" t="s">
        <v>2361</v>
      </c>
      <c r="F681" t="s">
        <v>2362</v>
      </c>
      <c r="G681" t="s">
        <v>469</v>
      </c>
      <c r="H681">
        <v>0.8</v>
      </c>
      <c r="I681">
        <v>60</v>
      </c>
      <c r="J681">
        <v>0</v>
      </c>
      <c r="K681">
        <v>0</v>
      </c>
      <c r="L681" t="s">
        <v>112</v>
      </c>
      <c r="M681" t="s">
        <v>111</v>
      </c>
      <c r="N681">
        <v>0</v>
      </c>
      <c r="O681">
        <v>0</v>
      </c>
      <c r="P681" t="s">
        <v>111</v>
      </c>
      <c r="Q681">
        <v>21.5</v>
      </c>
      <c r="R681">
        <v>0</v>
      </c>
      <c r="S681">
        <v>0</v>
      </c>
      <c r="T681">
        <v>5</v>
      </c>
      <c r="U681" t="e">
        <f>-SELLADO</f>
        <v>#NAME?</v>
      </c>
      <c r="V681">
        <v>25</v>
      </c>
      <c r="W681">
        <v>0</v>
      </c>
      <c r="X681">
        <v>6</v>
      </c>
      <c r="Y681">
        <v>0</v>
      </c>
      <c r="Z681" t="s">
        <v>2363</v>
      </c>
      <c r="AA681">
        <v>1500</v>
      </c>
      <c r="AB681" t="s">
        <v>2364</v>
      </c>
      <c r="AC681">
        <v>250</v>
      </c>
      <c r="AD681" t="s">
        <v>111</v>
      </c>
      <c r="AE681">
        <v>0</v>
      </c>
      <c r="AF681">
        <v>0</v>
      </c>
      <c r="AG681" t="s">
        <v>111</v>
      </c>
      <c r="AH681" t="s">
        <v>111</v>
      </c>
      <c r="AI681" t="s">
        <v>111</v>
      </c>
      <c r="AJ681" t="s">
        <v>111</v>
      </c>
      <c r="AK681" t="s">
        <v>111</v>
      </c>
      <c r="AL681" t="s">
        <v>111</v>
      </c>
      <c r="AM681">
        <v>0</v>
      </c>
      <c r="AN681">
        <v>0</v>
      </c>
      <c r="AO681">
        <v>0</v>
      </c>
      <c r="AP681" t="s">
        <v>111</v>
      </c>
      <c r="AQ681" t="s">
        <v>111</v>
      </c>
      <c r="AR681" t="s">
        <v>111</v>
      </c>
      <c r="AS681" t="s">
        <v>111</v>
      </c>
      <c r="AT681" t="s">
        <v>111</v>
      </c>
      <c r="AU681" t="s">
        <v>111</v>
      </c>
      <c r="AV681" t="s">
        <v>111</v>
      </c>
      <c r="AW681" t="s">
        <v>111</v>
      </c>
      <c r="AX681" t="s">
        <v>111</v>
      </c>
      <c r="AY681" t="s">
        <v>111</v>
      </c>
      <c r="AZ681" t="s">
        <v>111</v>
      </c>
      <c r="BA681" t="s">
        <v>111</v>
      </c>
      <c r="BB681" t="s">
        <v>111</v>
      </c>
      <c r="BC681" t="s">
        <v>111</v>
      </c>
      <c r="BD681" t="s">
        <v>111</v>
      </c>
      <c r="BE681" t="s">
        <v>111</v>
      </c>
      <c r="BF681" t="s">
        <v>111</v>
      </c>
      <c r="BG681" t="s">
        <v>111</v>
      </c>
      <c r="BH681" t="s">
        <v>111</v>
      </c>
      <c r="BI681" t="s">
        <v>111</v>
      </c>
      <c r="BJ681" t="s">
        <v>111</v>
      </c>
      <c r="BK681" t="s">
        <v>111</v>
      </c>
      <c r="BL681" t="s">
        <v>111</v>
      </c>
      <c r="BM681" t="s">
        <v>111</v>
      </c>
      <c r="BN681" t="s">
        <v>111</v>
      </c>
      <c r="BO681" t="s">
        <v>111</v>
      </c>
      <c r="BP681" t="s">
        <v>111</v>
      </c>
      <c r="BQ681" t="s">
        <v>111</v>
      </c>
      <c r="BR681" t="s">
        <v>111</v>
      </c>
      <c r="BS681" t="s">
        <v>111</v>
      </c>
      <c r="BT681" t="s">
        <v>111</v>
      </c>
      <c r="BU681" t="s">
        <v>111</v>
      </c>
      <c r="BV681" t="s">
        <v>111</v>
      </c>
      <c r="BW681" t="s">
        <v>111</v>
      </c>
      <c r="BX681" t="s">
        <v>111</v>
      </c>
      <c r="BY681" t="s">
        <v>111</v>
      </c>
      <c r="BZ681" t="s">
        <v>111</v>
      </c>
      <c r="CA681" t="s">
        <v>111</v>
      </c>
      <c r="CB681" t="s">
        <v>111</v>
      </c>
      <c r="CC681" t="s">
        <v>111</v>
      </c>
      <c r="CD681" t="s">
        <v>111</v>
      </c>
      <c r="CE681" t="s">
        <v>111</v>
      </c>
      <c r="CF681" t="s">
        <v>111</v>
      </c>
      <c r="CG681" t="s">
        <v>111</v>
      </c>
      <c r="CH681" t="s">
        <v>111</v>
      </c>
      <c r="CI681" t="s">
        <v>111</v>
      </c>
      <c r="CJ681" t="s">
        <v>111</v>
      </c>
      <c r="CK681" t="s">
        <v>111</v>
      </c>
      <c r="CL681" t="s">
        <v>111</v>
      </c>
      <c r="CM681" t="s">
        <v>127</v>
      </c>
      <c r="CN681" t="s">
        <v>128</v>
      </c>
      <c r="CO681" t="s">
        <v>111</v>
      </c>
      <c r="CP681" t="s">
        <v>111</v>
      </c>
      <c r="CQ681">
        <v>0</v>
      </c>
      <c r="CR681">
        <v>1000</v>
      </c>
      <c r="CS681">
        <v>50</v>
      </c>
      <c r="CT681" t="e">
        <f>-ALMACEN</f>
        <v>#NAME?</v>
      </c>
      <c r="CU681">
        <v>0</v>
      </c>
      <c r="CV681" t="s">
        <v>111</v>
      </c>
      <c r="CX681" t="s">
        <v>111</v>
      </c>
      <c r="CY681">
        <v>0</v>
      </c>
      <c r="CZ681" t="s">
        <v>111</v>
      </c>
      <c r="DA681" t="s">
        <v>111</v>
      </c>
      <c r="DB681" t="s">
        <v>111</v>
      </c>
      <c r="DC681" t="s">
        <v>111</v>
      </c>
    </row>
    <row r="682" spans="1:107">
      <c r="A682">
        <v>1728</v>
      </c>
      <c r="B682" t="s">
        <v>107</v>
      </c>
      <c r="C682" t="s">
        <v>1176</v>
      </c>
      <c r="D682" t="s">
        <v>2365</v>
      </c>
      <c r="E682" t="s">
        <v>2366</v>
      </c>
      <c r="F682" t="s">
        <v>431</v>
      </c>
      <c r="G682" t="s">
        <v>469</v>
      </c>
      <c r="H682">
        <v>1.7</v>
      </c>
      <c r="I682">
        <v>75</v>
      </c>
      <c r="J682">
        <v>0</v>
      </c>
      <c r="K682">
        <v>0</v>
      </c>
      <c r="L682" t="s">
        <v>112</v>
      </c>
      <c r="M682" t="s">
        <v>118</v>
      </c>
      <c r="N682">
        <v>39</v>
      </c>
      <c r="O682">
        <v>1</v>
      </c>
      <c r="P682" t="s">
        <v>111</v>
      </c>
      <c r="Q682">
        <v>42.2</v>
      </c>
      <c r="R682">
        <v>0</v>
      </c>
      <c r="S682">
        <v>0</v>
      </c>
      <c r="T682">
        <v>5</v>
      </c>
      <c r="U682" s="1" t="s">
        <v>784</v>
      </c>
      <c r="V682">
        <v>0</v>
      </c>
      <c r="W682">
        <v>25</v>
      </c>
      <c r="X682">
        <v>6</v>
      </c>
      <c r="Y682">
        <v>0</v>
      </c>
      <c r="Z682" t="s">
        <v>111</v>
      </c>
      <c r="AA682">
        <v>0</v>
      </c>
      <c r="AB682" t="s">
        <v>111</v>
      </c>
      <c r="AC682">
        <v>0</v>
      </c>
      <c r="AD682" t="s">
        <v>416</v>
      </c>
      <c r="AE682">
        <v>0</v>
      </c>
      <c r="AF682">
        <v>0</v>
      </c>
      <c r="AG682" t="s">
        <v>111</v>
      </c>
      <c r="AH682" t="s">
        <v>113</v>
      </c>
      <c r="AI682" t="s">
        <v>111</v>
      </c>
      <c r="AJ682" t="s">
        <v>111</v>
      </c>
      <c r="AK682" t="s">
        <v>111</v>
      </c>
      <c r="AL682" t="s">
        <v>111</v>
      </c>
      <c r="AM682">
        <v>0</v>
      </c>
      <c r="AN682">
        <v>0</v>
      </c>
      <c r="AO682">
        <v>0</v>
      </c>
      <c r="AP682" t="s">
        <v>111</v>
      </c>
      <c r="AQ682" t="s">
        <v>111</v>
      </c>
      <c r="AR682" t="s">
        <v>111</v>
      </c>
      <c r="AS682" t="s">
        <v>111</v>
      </c>
      <c r="AT682" t="s">
        <v>111</v>
      </c>
      <c r="AU682" t="s">
        <v>111</v>
      </c>
      <c r="AV682" t="s">
        <v>111</v>
      </c>
      <c r="AW682" t="s">
        <v>111</v>
      </c>
      <c r="AX682" t="s">
        <v>111</v>
      </c>
      <c r="AY682" t="s">
        <v>111</v>
      </c>
      <c r="AZ682" t="s">
        <v>111</v>
      </c>
      <c r="BA682" t="s">
        <v>111</v>
      </c>
      <c r="BB682" t="s">
        <v>111</v>
      </c>
      <c r="BC682" t="s">
        <v>111</v>
      </c>
      <c r="BD682" t="s">
        <v>111</v>
      </c>
      <c r="BE682" t="s">
        <v>111</v>
      </c>
      <c r="BF682" t="s">
        <v>111</v>
      </c>
      <c r="BG682" t="s">
        <v>111</v>
      </c>
      <c r="BH682" t="s">
        <v>111</v>
      </c>
      <c r="BI682" t="s">
        <v>111</v>
      </c>
      <c r="BJ682" t="s">
        <v>111</v>
      </c>
      <c r="BK682" t="s">
        <v>111</v>
      </c>
      <c r="BL682" t="s">
        <v>111</v>
      </c>
      <c r="BM682" t="s">
        <v>111</v>
      </c>
      <c r="BN682" t="s">
        <v>111</v>
      </c>
      <c r="BO682" t="s">
        <v>111</v>
      </c>
      <c r="BP682" t="s">
        <v>111</v>
      </c>
      <c r="BQ682" t="s">
        <v>111</v>
      </c>
      <c r="BR682" t="s">
        <v>111</v>
      </c>
      <c r="BS682" t="s">
        <v>111</v>
      </c>
      <c r="BT682" t="s">
        <v>111</v>
      </c>
      <c r="BU682" t="s">
        <v>111</v>
      </c>
      <c r="BV682" t="s">
        <v>111</v>
      </c>
      <c r="BW682" t="s">
        <v>111</v>
      </c>
      <c r="BX682" t="s">
        <v>111</v>
      </c>
      <c r="BY682" t="s">
        <v>111</v>
      </c>
      <c r="BZ682" t="s">
        <v>111</v>
      </c>
      <c r="CA682" t="s">
        <v>111</v>
      </c>
      <c r="CB682" t="s">
        <v>111</v>
      </c>
      <c r="CC682" t="s">
        <v>111</v>
      </c>
      <c r="CD682" t="s">
        <v>111</v>
      </c>
      <c r="CE682" t="s">
        <v>111</v>
      </c>
      <c r="CF682" t="s">
        <v>111</v>
      </c>
      <c r="CG682" t="s">
        <v>111</v>
      </c>
      <c r="CH682" t="s">
        <v>111</v>
      </c>
      <c r="CI682" t="s">
        <v>111</v>
      </c>
      <c r="CJ682" t="s">
        <v>111</v>
      </c>
      <c r="CK682" t="s">
        <v>111</v>
      </c>
      <c r="CL682" t="s">
        <v>111</v>
      </c>
      <c r="CM682" t="s">
        <v>360</v>
      </c>
      <c r="CN682" t="s">
        <v>113</v>
      </c>
      <c r="CO682" t="s">
        <v>111</v>
      </c>
      <c r="CP682" t="s">
        <v>111</v>
      </c>
      <c r="CQ682">
        <v>0</v>
      </c>
      <c r="CR682">
        <v>1000</v>
      </c>
      <c r="CS682">
        <v>50</v>
      </c>
      <c r="CT682" t="e">
        <f>-ALMACEN</f>
        <v>#NAME?</v>
      </c>
      <c r="CU682">
        <v>0</v>
      </c>
      <c r="CV682" t="s">
        <v>111</v>
      </c>
      <c r="CX682" t="s">
        <v>111</v>
      </c>
      <c r="CY682">
        <v>0</v>
      </c>
      <c r="CZ682" t="s">
        <v>111</v>
      </c>
      <c r="DA682" t="s">
        <v>111</v>
      </c>
      <c r="DB682" t="s">
        <v>111</v>
      </c>
      <c r="DC682" t="s">
        <v>111</v>
      </c>
    </row>
    <row r="683" spans="1:107">
      <c r="A683">
        <v>1867</v>
      </c>
      <c r="B683" t="s">
        <v>107</v>
      </c>
      <c r="C683" t="s">
        <v>399</v>
      </c>
      <c r="D683" t="s">
        <v>2367</v>
      </c>
      <c r="E683" t="s">
        <v>2368</v>
      </c>
      <c r="F683" t="s">
        <v>287</v>
      </c>
      <c r="G683" t="s">
        <v>469</v>
      </c>
      <c r="H683">
        <v>0.75</v>
      </c>
      <c r="I683">
        <v>70</v>
      </c>
      <c r="J683">
        <v>0</v>
      </c>
      <c r="K683">
        <v>0</v>
      </c>
      <c r="L683" t="s">
        <v>178</v>
      </c>
      <c r="M683" t="s">
        <v>111</v>
      </c>
      <c r="N683">
        <v>0</v>
      </c>
      <c r="O683">
        <v>0</v>
      </c>
      <c r="P683" t="s">
        <v>111</v>
      </c>
      <c r="Q683">
        <v>43.3</v>
      </c>
      <c r="R683">
        <v>0</v>
      </c>
      <c r="S683">
        <v>0</v>
      </c>
      <c r="T683">
        <v>5</v>
      </c>
      <c r="U683" t="e">
        <f>-DESTINO MANUALES</f>
        <v>#NAME?</v>
      </c>
      <c r="V683">
        <v>250</v>
      </c>
      <c r="W683">
        <v>0</v>
      </c>
      <c r="X683">
        <v>7</v>
      </c>
      <c r="Y683">
        <v>0</v>
      </c>
      <c r="Z683" t="s">
        <v>990</v>
      </c>
      <c r="AA683">
        <v>1.2</v>
      </c>
      <c r="AB683" t="s">
        <v>111</v>
      </c>
      <c r="AC683">
        <v>0</v>
      </c>
      <c r="AD683" t="s">
        <v>111</v>
      </c>
      <c r="AE683">
        <v>0</v>
      </c>
      <c r="AF683">
        <v>0</v>
      </c>
      <c r="AG683" t="s">
        <v>111</v>
      </c>
      <c r="AH683" t="s">
        <v>111</v>
      </c>
      <c r="AI683" t="s">
        <v>111</v>
      </c>
      <c r="AJ683" t="s">
        <v>111</v>
      </c>
      <c r="AK683" t="s">
        <v>111</v>
      </c>
      <c r="AL683" t="s">
        <v>111</v>
      </c>
      <c r="AM683">
        <v>0</v>
      </c>
      <c r="AN683">
        <v>0</v>
      </c>
      <c r="AO683">
        <v>0</v>
      </c>
      <c r="AP683" t="s">
        <v>111</v>
      </c>
      <c r="AQ683" t="s">
        <v>111</v>
      </c>
      <c r="AR683" t="s">
        <v>111</v>
      </c>
      <c r="AS683" t="s">
        <v>111</v>
      </c>
      <c r="AT683" t="s">
        <v>111</v>
      </c>
      <c r="AU683" t="s">
        <v>111</v>
      </c>
      <c r="AV683" t="s">
        <v>111</v>
      </c>
      <c r="AW683" t="s">
        <v>111</v>
      </c>
      <c r="AX683" t="s">
        <v>111</v>
      </c>
      <c r="AY683" t="s">
        <v>111</v>
      </c>
      <c r="AZ683" t="s">
        <v>111</v>
      </c>
      <c r="BA683" t="s">
        <v>111</v>
      </c>
      <c r="BB683" t="s">
        <v>111</v>
      </c>
      <c r="BC683" t="s">
        <v>111</v>
      </c>
      <c r="BD683" t="s">
        <v>111</v>
      </c>
      <c r="BE683" t="s">
        <v>111</v>
      </c>
      <c r="BF683" t="s">
        <v>111</v>
      </c>
      <c r="BG683" t="s">
        <v>111</v>
      </c>
      <c r="BH683" t="s">
        <v>111</v>
      </c>
      <c r="BI683" t="s">
        <v>111</v>
      </c>
      <c r="BJ683" t="s">
        <v>111</v>
      </c>
      <c r="BK683" t="s">
        <v>111</v>
      </c>
      <c r="BL683" t="s">
        <v>111</v>
      </c>
      <c r="BM683" t="s">
        <v>111</v>
      </c>
      <c r="BN683" t="s">
        <v>111</v>
      </c>
      <c r="BO683" t="s">
        <v>111</v>
      </c>
      <c r="BP683" t="s">
        <v>111</v>
      </c>
      <c r="BQ683" t="s">
        <v>111</v>
      </c>
      <c r="BR683" t="s">
        <v>111</v>
      </c>
      <c r="BS683" t="s">
        <v>111</v>
      </c>
      <c r="BT683" t="s">
        <v>111</v>
      </c>
      <c r="BU683" t="s">
        <v>111</v>
      </c>
      <c r="BV683" t="s">
        <v>111</v>
      </c>
      <c r="BW683" t="s">
        <v>111</v>
      </c>
      <c r="BX683" t="s">
        <v>111</v>
      </c>
      <c r="BY683" t="s">
        <v>111</v>
      </c>
      <c r="BZ683" t="s">
        <v>111</v>
      </c>
      <c r="CA683" t="s">
        <v>111</v>
      </c>
      <c r="CB683" t="s">
        <v>111</v>
      </c>
      <c r="CC683" t="s">
        <v>111</v>
      </c>
      <c r="CD683" t="s">
        <v>111</v>
      </c>
      <c r="CE683" t="s">
        <v>111</v>
      </c>
      <c r="CF683" t="s">
        <v>111</v>
      </c>
      <c r="CG683" t="s">
        <v>111</v>
      </c>
      <c r="CH683" t="s">
        <v>111</v>
      </c>
      <c r="CI683" t="s">
        <v>111</v>
      </c>
      <c r="CJ683" t="s">
        <v>111</v>
      </c>
      <c r="CK683" t="s">
        <v>111</v>
      </c>
      <c r="CL683" t="s">
        <v>111</v>
      </c>
      <c r="CM683" t="s">
        <v>111</v>
      </c>
      <c r="CN683" t="s">
        <v>111</v>
      </c>
      <c r="CO683" t="s">
        <v>111</v>
      </c>
      <c r="CP683" t="s">
        <v>111</v>
      </c>
      <c r="CQ683">
        <v>0</v>
      </c>
      <c r="CR683">
        <v>0</v>
      </c>
      <c r="CS683">
        <v>0</v>
      </c>
      <c r="CT683" t="s">
        <v>111</v>
      </c>
      <c r="CU683">
        <v>0</v>
      </c>
      <c r="CV683" t="s">
        <v>111</v>
      </c>
      <c r="CX683" t="s">
        <v>111</v>
      </c>
      <c r="CY683">
        <v>0</v>
      </c>
      <c r="CZ683" t="s">
        <v>111</v>
      </c>
      <c r="DA683" t="s">
        <v>111</v>
      </c>
      <c r="DB683" t="e">
        <f>-INTERNO</f>
        <v>#NAME?</v>
      </c>
      <c r="DC683" t="e">
        <f>-CORTE Y SELLE</f>
        <v>#NAME?</v>
      </c>
    </row>
    <row r="684" spans="1:107">
      <c r="A684">
        <v>1925</v>
      </c>
      <c r="B684" t="s">
        <v>107</v>
      </c>
      <c r="C684" t="s">
        <v>114</v>
      </c>
      <c r="D684" t="s">
        <v>2369</v>
      </c>
      <c r="E684" t="s">
        <v>2370</v>
      </c>
      <c r="F684" t="s">
        <v>192</v>
      </c>
      <c r="G684" t="s">
        <v>469</v>
      </c>
      <c r="H684">
        <v>2.9</v>
      </c>
      <c r="I684">
        <v>53</v>
      </c>
      <c r="J684">
        <v>0</v>
      </c>
      <c r="K684">
        <v>0</v>
      </c>
      <c r="L684" t="s">
        <v>112</v>
      </c>
      <c r="M684" t="s">
        <v>111</v>
      </c>
      <c r="N684">
        <v>0</v>
      </c>
      <c r="O684">
        <v>0</v>
      </c>
      <c r="P684" t="s">
        <v>111</v>
      </c>
      <c r="Q684">
        <v>15</v>
      </c>
      <c r="R684">
        <v>0</v>
      </c>
      <c r="S684">
        <v>0</v>
      </c>
      <c r="T684">
        <v>0</v>
      </c>
      <c r="U684" s="1" t="s">
        <v>2371</v>
      </c>
      <c r="V684">
        <v>250</v>
      </c>
      <c r="W684">
        <v>29</v>
      </c>
      <c r="X684">
        <v>10</v>
      </c>
      <c r="Y684">
        <v>0</v>
      </c>
      <c r="Z684" t="s">
        <v>111</v>
      </c>
      <c r="AA684">
        <v>0</v>
      </c>
      <c r="AB684" t="s">
        <v>111</v>
      </c>
      <c r="AC684">
        <v>0</v>
      </c>
      <c r="AD684" t="s">
        <v>111</v>
      </c>
      <c r="AE684">
        <v>0</v>
      </c>
      <c r="AF684">
        <v>0</v>
      </c>
      <c r="AG684" t="s">
        <v>111</v>
      </c>
      <c r="AH684" t="s">
        <v>111</v>
      </c>
      <c r="AI684" t="s">
        <v>111</v>
      </c>
      <c r="AJ684" t="s">
        <v>111</v>
      </c>
      <c r="AK684" t="s">
        <v>111</v>
      </c>
      <c r="AL684" t="s">
        <v>111</v>
      </c>
      <c r="AM684">
        <v>0</v>
      </c>
      <c r="AN684">
        <v>0</v>
      </c>
      <c r="AO684">
        <v>0</v>
      </c>
      <c r="AP684" t="s">
        <v>111</v>
      </c>
      <c r="AQ684" t="s">
        <v>111</v>
      </c>
      <c r="AR684" t="s">
        <v>111</v>
      </c>
      <c r="AS684" t="s">
        <v>111</v>
      </c>
      <c r="AT684" t="s">
        <v>111</v>
      </c>
      <c r="AU684" t="s">
        <v>111</v>
      </c>
      <c r="AV684" t="s">
        <v>111</v>
      </c>
      <c r="AW684" t="s">
        <v>111</v>
      </c>
      <c r="AX684" t="s">
        <v>111</v>
      </c>
      <c r="AY684" t="s">
        <v>111</v>
      </c>
      <c r="AZ684" t="s">
        <v>111</v>
      </c>
      <c r="BA684" t="s">
        <v>111</v>
      </c>
      <c r="BB684" t="s">
        <v>111</v>
      </c>
      <c r="BC684" t="s">
        <v>111</v>
      </c>
      <c r="BD684" t="s">
        <v>111</v>
      </c>
      <c r="BE684" t="s">
        <v>111</v>
      </c>
      <c r="BF684" t="s">
        <v>111</v>
      </c>
      <c r="BG684" t="s">
        <v>111</v>
      </c>
      <c r="BH684" t="s">
        <v>111</v>
      </c>
      <c r="BI684" t="s">
        <v>111</v>
      </c>
      <c r="BJ684" t="s">
        <v>111</v>
      </c>
      <c r="BK684" t="s">
        <v>111</v>
      </c>
      <c r="BL684" t="s">
        <v>111</v>
      </c>
      <c r="BM684" t="s">
        <v>111</v>
      </c>
      <c r="BN684" t="s">
        <v>111</v>
      </c>
      <c r="BO684" t="s">
        <v>111</v>
      </c>
      <c r="BP684" t="s">
        <v>111</v>
      </c>
      <c r="BQ684" t="s">
        <v>111</v>
      </c>
      <c r="BR684" t="s">
        <v>111</v>
      </c>
      <c r="BS684" t="s">
        <v>111</v>
      </c>
      <c r="BT684" t="s">
        <v>111</v>
      </c>
      <c r="BU684" t="s">
        <v>111</v>
      </c>
      <c r="BV684" t="s">
        <v>111</v>
      </c>
      <c r="BW684" t="s">
        <v>111</v>
      </c>
      <c r="BX684" t="s">
        <v>111</v>
      </c>
      <c r="BY684" t="s">
        <v>111</v>
      </c>
      <c r="BZ684" t="s">
        <v>111</v>
      </c>
      <c r="CA684" t="s">
        <v>111</v>
      </c>
      <c r="CB684" t="s">
        <v>111</v>
      </c>
      <c r="CC684" t="s">
        <v>111</v>
      </c>
      <c r="CD684" t="s">
        <v>111</v>
      </c>
      <c r="CE684" t="s">
        <v>111</v>
      </c>
      <c r="CF684" t="s">
        <v>111</v>
      </c>
      <c r="CG684" t="s">
        <v>111</v>
      </c>
      <c r="CH684" t="s">
        <v>111</v>
      </c>
      <c r="CI684" t="s">
        <v>111</v>
      </c>
      <c r="CJ684" t="s">
        <v>111</v>
      </c>
      <c r="CK684" t="s">
        <v>111</v>
      </c>
      <c r="CL684" t="s">
        <v>111</v>
      </c>
      <c r="CM684" t="s">
        <v>135</v>
      </c>
      <c r="CN684" t="s">
        <v>113</v>
      </c>
      <c r="CO684" t="s">
        <v>111</v>
      </c>
      <c r="CP684" t="s">
        <v>111</v>
      </c>
      <c r="CQ684">
        <v>0</v>
      </c>
      <c r="CR684">
        <v>20</v>
      </c>
      <c r="CS684">
        <v>20</v>
      </c>
      <c r="CT684" s="1" t="s">
        <v>2372</v>
      </c>
      <c r="CU684">
        <v>0</v>
      </c>
      <c r="CV684" t="s">
        <v>111</v>
      </c>
      <c r="CX684" t="s">
        <v>111</v>
      </c>
      <c r="CY684">
        <v>0</v>
      </c>
      <c r="CZ684" t="s">
        <v>111</v>
      </c>
      <c r="DA684" t="s">
        <v>111</v>
      </c>
      <c r="DB684" t="s">
        <v>111</v>
      </c>
      <c r="DC684" t="s">
        <v>111</v>
      </c>
    </row>
    <row r="685" spans="1:107">
      <c r="A685">
        <v>1866</v>
      </c>
      <c r="B685" t="s">
        <v>107</v>
      </c>
      <c r="C685" t="s">
        <v>1993</v>
      </c>
      <c r="D685" t="s">
        <v>1816</v>
      </c>
      <c r="E685" t="s">
        <v>1817</v>
      </c>
      <c r="F685" t="s">
        <v>431</v>
      </c>
      <c r="G685" t="s">
        <v>469</v>
      </c>
      <c r="H685">
        <v>1.4</v>
      </c>
      <c r="I685">
        <v>43</v>
      </c>
      <c r="J685">
        <v>0</v>
      </c>
      <c r="K685">
        <v>0</v>
      </c>
      <c r="L685" t="s">
        <v>178</v>
      </c>
      <c r="M685" t="s">
        <v>118</v>
      </c>
      <c r="N685">
        <v>39</v>
      </c>
      <c r="O685">
        <v>1</v>
      </c>
      <c r="P685" t="s">
        <v>111</v>
      </c>
      <c r="Q685">
        <v>42.6</v>
      </c>
      <c r="R685">
        <v>0</v>
      </c>
      <c r="S685">
        <v>0</v>
      </c>
      <c r="T685">
        <v>5</v>
      </c>
      <c r="U685" s="1" t="s">
        <v>2373</v>
      </c>
      <c r="V685">
        <v>0</v>
      </c>
      <c r="W685">
        <v>25</v>
      </c>
      <c r="X685">
        <v>6</v>
      </c>
      <c r="Y685">
        <v>0</v>
      </c>
      <c r="Z685" t="s">
        <v>111</v>
      </c>
      <c r="AA685">
        <v>0</v>
      </c>
      <c r="AB685" t="s">
        <v>111</v>
      </c>
      <c r="AC685">
        <v>0</v>
      </c>
      <c r="AD685" t="s">
        <v>416</v>
      </c>
      <c r="AE685">
        <v>0</v>
      </c>
      <c r="AF685">
        <v>0</v>
      </c>
      <c r="AG685" t="s">
        <v>111</v>
      </c>
      <c r="AH685" t="s">
        <v>113</v>
      </c>
      <c r="AI685" t="s">
        <v>111</v>
      </c>
      <c r="AJ685" t="s">
        <v>111</v>
      </c>
      <c r="AK685" t="s">
        <v>111</v>
      </c>
      <c r="AL685" t="s">
        <v>111</v>
      </c>
      <c r="AM685">
        <v>0</v>
      </c>
      <c r="AN685">
        <v>0</v>
      </c>
      <c r="AO685">
        <v>0</v>
      </c>
      <c r="AP685" t="s">
        <v>111</v>
      </c>
      <c r="AQ685" t="s">
        <v>111</v>
      </c>
      <c r="AR685" t="s">
        <v>111</v>
      </c>
      <c r="AS685" t="s">
        <v>111</v>
      </c>
      <c r="AT685" t="s">
        <v>111</v>
      </c>
      <c r="AU685" t="s">
        <v>111</v>
      </c>
      <c r="AV685" t="s">
        <v>111</v>
      </c>
      <c r="AW685" t="s">
        <v>111</v>
      </c>
      <c r="AX685" t="s">
        <v>111</v>
      </c>
      <c r="AY685" t="s">
        <v>111</v>
      </c>
      <c r="AZ685" t="s">
        <v>111</v>
      </c>
      <c r="BA685" t="s">
        <v>111</v>
      </c>
      <c r="BB685" t="s">
        <v>111</v>
      </c>
      <c r="BC685" t="s">
        <v>111</v>
      </c>
      <c r="BD685" t="s">
        <v>111</v>
      </c>
      <c r="BE685" t="s">
        <v>111</v>
      </c>
      <c r="BF685" t="s">
        <v>111</v>
      </c>
      <c r="BG685" t="s">
        <v>111</v>
      </c>
      <c r="BH685" t="s">
        <v>111</v>
      </c>
      <c r="BI685" t="s">
        <v>111</v>
      </c>
      <c r="BJ685" t="s">
        <v>111</v>
      </c>
      <c r="BK685" t="s">
        <v>111</v>
      </c>
      <c r="BL685" t="s">
        <v>111</v>
      </c>
      <c r="BM685" t="s">
        <v>111</v>
      </c>
      <c r="BN685" t="s">
        <v>111</v>
      </c>
      <c r="BO685" t="s">
        <v>111</v>
      </c>
      <c r="BP685" t="s">
        <v>111</v>
      </c>
      <c r="BQ685" t="s">
        <v>111</v>
      </c>
      <c r="BR685" t="s">
        <v>111</v>
      </c>
      <c r="BS685" t="s">
        <v>111</v>
      </c>
      <c r="BT685" t="s">
        <v>111</v>
      </c>
      <c r="BU685" t="s">
        <v>111</v>
      </c>
      <c r="BV685" t="s">
        <v>111</v>
      </c>
      <c r="BW685" t="s">
        <v>111</v>
      </c>
      <c r="BX685" t="s">
        <v>111</v>
      </c>
      <c r="BY685" t="s">
        <v>111</v>
      </c>
      <c r="BZ685" t="s">
        <v>111</v>
      </c>
      <c r="CA685" t="s">
        <v>111</v>
      </c>
      <c r="CB685" t="s">
        <v>111</v>
      </c>
      <c r="CC685" t="s">
        <v>111</v>
      </c>
      <c r="CD685" t="s">
        <v>111</v>
      </c>
      <c r="CE685" t="s">
        <v>111</v>
      </c>
      <c r="CF685" t="s">
        <v>111</v>
      </c>
      <c r="CG685" t="s">
        <v>111</v>
      </c>
      <c r="CH685" t="s">
        <v>111</v>
      </c>
      <c r="CI685" t="s">
        <v>111</v>
      </c>
      <c r="CJ685" t="s">
        <v>111</v>
      </c>
      <c r="CK685" t="s">
        <v>111</v>
      </c>
      <c r="CL685" t="s">
        <v>111</v>
      </c>
      <c r="CM685" t="s">
        <v>438</v>
      </c>
      <c r="CN685" t="s">
        <v>113</v>
      </c>
      <c r="CO685" t="s">
        <v>111</v>
      </c>
      <c r="CP685" t="s">
        <v>111</v>
      </c>
      <c r="CQ685">
        <v>0</v>
      </c>
      <c r="CR685">
        <v>3000</v>
      </c>
      <c r="CS685">
        <v>100</v>
      </c>
      <c r="CT685" t="e">
        <f>-ALMACEN</f>
        <v>#NAME?</v>
      </c>
      <c r="CU685">
        <v>0</v>
      </c>
      <c r="CV685" t="s">
        <v>111</v>
      </c>
      <c r="CX685" t="s">
        <v>111</v>
      </c>
      <c r="CY685">
        <v>0</v>
      </c>
      <c r="CZ685" t="s">
        <v>111</v>
      </c>
      <c r="DA685" t="s">
        <v>111</v>
      </c>
      <c r="DB685" t="s">
        <v>111</v>
      </c>
      <c r="DC685" t="s">
        <v>111</v>
      </c>
    </row>
    <row r="686" spans="1:107">
      <c r="A686">
        <v>1865</v>
      </c>
      <c r="B686" t="s">
        <v>107</v>
      </c>
      <c r="C686" t="s">
        <v>2374</v>
      </c>
      <c r="D686" t="s">
        <v>1133</v>
      </c>
      <c r="E686" t="s">
        <v>1134</v>
      </c>
      <c r="F686" t="s">
        <v>1135</v>
      </c>
      <c r="G686" t="s">
        <v>469</v>
      </c>
      <c r="H686">
        <v>2.4</v>
      </c>
      <c r="I686">
        <v>45</v>
      </c>
      <c r="J686">
        <v>0</v>
      </c>
      <c r="K686">
        <v>0</v>
      </c>
      <c r="L686" t="s">
        <v>112</v>
      </c>
      <c r="M686" t="s">
        <v>118</v>
      </c>
      <c r="N686">
        <v>0</v>
      </c>
      <c r="O686">
        <v>2</v>
      </c>
      <c r="P686" t="s">
        <v>111</v>
      </c>
      <c r="Q686">
        <v>36.9</v>
      </c>
      <c r="R686">
        <v>0</v>
      </c>
      <c r="S686">
        <v>0</v>
      </c>
      <c r="T686">
        <v>5</v>
      </c>
      <c r="U686" s="1" t="s">
        <v>2375</v>
      </c>
      <c r="V686">
        <v>25</v>
      </c>
      <c r="W686">
        <v>0</v>
      </c>
      <c r="X686">
        <v>8</v>
      </c>
      <c r="Y686">
        <v>0</v>
      </c>
      <c r="Z686" t="s">
        <v>2376</v>
      </c>
      <c r="AA686">
        <v>1.2</v>
      </c>
      <c r="AB686" t="s">
        <v>111</v>
      </c>
      <c r="AC686">
        <v>0</v>
      </c>
      <c r="AD686" t="s">
        <v>416</v>
      </c>
      <c r="AE686">
        <v>0</v>
      </c>
      <c r="AF686">
        <v>0</v>
      </c>
      <c r="AG686" t="s">
        <v>111</v>
      </c>
      <c r="AH686" t="s">
        <v>113</v>
      </c>
      <c r="AI686" t="s">
        <v>111</v>
      </c>
      <c r="AJ686" t="s">
        <v>111</v>
      </c>
      <c r="AK686" t="s">
        <v>111</v>
      </c>
      <c r="AL686" t="s">
        <v>111</v>
      </c>
      <c r="AM686">
        <v>0</v>
      </c>
      <c r="AN686">
        <v>0</v>
      </c>
      <c r="AO686">
        <v>0</v>
      </c>
      <c r="AP686" t="s">
        <v>111</v>
      </c>
      <c r="AQ686" t="s">
        <v>111</v>
      </c>
      <c r="AR686" t="s">
        <v>111</v>
      </c>
      <c r="AS686" t="s">
        <v>111</v>
      </c>
      <c r="AT686" t="s">
        <v>111</v>
      </c>
      <c r="AU686" t="s">
        <v>111</v>
      </c>
      <c r="AV686" t="s">
        <v>111</v>
      </c>
      <c r="AW686" t="s">
        <v>111</v>
      </c>
      <c r="AX686" t="s">
        <v>111</v>
      </c>
      <c r="AY686" t="s">
        <v>111</v>
      </c>
      <c r="AZ686" t="s">
        <v>111</v>
      </c>
      <c r="BA686" t="s">
        <v>111</v>
      </c>
      <c r="BB686" t="s">
        <v>111</v>
      </c>
      <c r="BC686" t="s">
        <v>111</v>
      </c>
      <c r="BD686" t="s">
        <v>111</v>
      </c>
      <c r="BE686" t="s">
        <v>111</v>
      </c>
      <c r="BF686" t="s">
        <v>111</v>
      </c>
      <c r="BG686" t="s">
        <v>111</v>
      </c>
      <c r="BH686" t="s">
        <v>111</v>
      </c>
      <c r="BI686" t="s">
        <v>111</v>
      </c>
      <c r="BJ686" t="s">
        <v>111</v>
      </c>
      <c r="BK686" t="s">
        <v>111</v>
      </c>
      <c r="BL686" t="s">
        <v>111</v>
      </c>
      <c r="BM686" t="s">
        <v>111</v>
      </c>
      <c r="BN686" t="s">
        <v>111</v>
      </c>
      <c r="BO686" t="s">
        <v>111</v>
      </c>
      <c r="BP686" t="s">
        <v>111</v>
      </c>
      <c r="BQ686" t="s">
        <v>111</v>
      </c>
      <c r="BR686" t="s">
        <v>111</v>
      </c>
      <c r="BS686" t="s">
        <v>111</v>
      </c>
      <c r="BT686" t="s">
        <v>111</v>
      </c>
      <c r="BU686" t="s">
        <v>111</v>
      </c>
      <c r="BV686" t="s">
        <v>111</v>
      </c>
      <c r="BW686" t="s">
        <v>111</v>
      </c>
      <c r="BX686" t="s">
        <v>111</v>
      </c>
      <c r="BY686" t="s">
        <v>111</v>
      </c>
      <c r="BZ686" t="s">
        <v>111</v>
      </c>
      <c r="CA686" t="s">
        <v>111</v>
      </c>
      <c r="CB686" t="s">
        <v>111</v>
      </c>
      <c r="CC686" t="s">
        <v>111</v>
      </c>
      <c r="CD686" t="s">
        <v>111</v>
      </c>
      <c r="CE686" t="s">
        <v>111</v>
      </c>
      <c r="CF686" t="s">
        <v>111</v>
      </c>
      <c r="CG686" t="s">
        <v>111</v>
      </c>
      <c r="CH686" t="s">
        <v>111</v>
      </c>
      <c r="CI686" t="s">
        <v>111</v>
      </c>
      <c r="CJ686" t="s">
        <v>111</v>
      </c>
      <c r="CK686" t="s">
        <v>111</v>
      </c>
      <c r="CL686" t="s">
        <v>111</v>
      </c>
      <c r="CM686" t="s">
        <v>135</v>
      </c>
      <c r="CN686" t="s">
        <v>113</v>
      </c>
      <c r="CO686" t="s">
        <v>111</v>
      </c>
      <c r="CP686" t="s">
        <v>111</v>
      </c>
      <c r="CQ686">
        <v>0</v>
      </c>
      <c r="CR686">
        <v>1000</v>
      </c>
      <c r="CS686">
        <v>50</v>
      </c>
      <c r="CT686" t="e">
        <f>-NO REQUIERE EMPACAR EN BOLSAS</f>
        <v>#NAME?</v>
      </c>
      <c r="CU686">
        <v>0</v>
      </c>
      <c r="CV686" t="s">
        <v>111</v>
      </c>
      <c r="CX686" t="s">
        <v>111</v>
      </c>
      <c r="CY686">
        <v>0</v>
      </c>
      <c r="CZ686" t="s">
        <v>111</v>
      </c>
      <c r="DA686" t="s">
        <v>111</v>
      </c>
      <c r="DB686" t="e">
        <f>-EXTERNO</f>
        <v>#NAME?</v>
      </c>
      <c r="DC686" t="e">
        <f>-PEGAR TIRA</f>
        <v>#NAME?</v>
      </c>
    </row>
    <row r="687" spans="1:107">
      <c r="A687">
        <v>1864</v>
      </c>
      <c r="B687" t="s">
        <v>107</v>
      </c>
      <c r="C687" t="s">
        <v>1993</v>
      </c>
      <c r="D687" t="s">
        <v>2187</v>
      </c>
      <c r="E687" t="s">
        <v>2188</v>
      </c>
      <c r="F687" t="s">
        <v>192</v>
      </c>
      <c r="G687" t="s">
        <v>469</v>
      </c>
      <c r="H687">
        <v>1.4</v>
      </c>
      <c r="I687">
        <v>75</v>
      </c>
      <c r="J687">
        <v>0</v>
      </c>
      <c r="K687">
        <v>0</v>
      </c>
      <c r="L687" t="s">
        <v>112</v>
      </c>
      <c r="M687">
        <v>0</v>
      </c>
      <c r="N687">
        <v>0</v>
      </c>
      <c r="O687">
        <v>0</v>
      </c>
      <c r="P687" t="s">
        <v>111</v>
      </c>
      <c r="Q687">
        <v>51.4</v>
      </c>
      <c r="R687">
        <v>0</v>
      </c>
      <c r="S687">
        <v>0</v>
      </c>
      <c r="T687">
        <v>5</v>
      </c>
      <c r="U687" s="1" t="s">
        <v>2377</v>
      </c>
      <c r="V687">
        <v>0</v>
      </c>
      <c r="W687">
        <v>25</v>
      </c>
      <c r="X687">
        <v>6</v>
      </c>
      <c r="Y687">
        <v>0</v>
      </c>
      <c r="Z687" t="s">
        <v>111</v>
      </c>
      <c r="AA687">
        <v>0</v>
      </c>
      <c r="AB687" t="s">
        <v>111</v>
      </c>
      <c r="AC687">
        <v>0</v>
      </c>
      <c r="AD687" t="s">
        <v>111</v>
      </c>
      <c r="AE687">
        <v>0</v>
      </c>
      <c r="AF687">
        <v>0</v>
      </c>
      <c r="AG687" t="s">
        <v>111</v>
      </c>
      <c r="AH687" t="s">
        <v>113</v>
      </c>
      <c r="AI687" t="s">
        <v>111</v>
      </c>
      <c r="AJ687" t="s">
        <v>111</v>
      </c>
      <c r="AK687" t="s">
        <v>111</v>
      </c>
      <c r="AL687" t="s">
        <v>111</v>
      </c>
      <c r="AM687">
        <v>0</v>
      </c>
      <c r="AN687">
        <v>0</v>
      </c>
      <c r="AO687">
        <v>0</v>
      </c>
      <c r="AP687" t="s">
        <v>111</v>
      </c>
      <c r="AQ687" t="s">
        <v>111</v>
      </c>
      <c r="AR687" t="s">
        <v>111</v>
      </c>
      <c r="AS687" t="s">
        <v>111</v>
      </c>
      <c r="AT687" t="s">
        <v>111</v>
      </c>
      <c r="AU687" t="s">
        <v>111</v>
      </c>
      <c r="AV687" t="s">
        <v>111</v>
      </c>
      <c r="AW687" t="s">
        <v>111</v>
      </c>
      <c r="AX687" t="s">
        <v>111</v>
      </c>
      <c r="AY687" t="s">
        <v>111</v>
      </c>
      <c r="AZ687" t="s">
        <v>111</v>
      </c>
      <c r="BA687" t="s">
        <v>111</v>
      </c>
      <c r="BB687" t="s">
        <v>111</v>
      </c>
      <c r="BC687" t="s">
        <v>111</v>
      </c>
      <c r="BD687" t="s">
        <v>111</v>
      </c>
      <c r="BE687" t="s">
        <v>111</v>
      </c>
      <c r="BF687" t="s">
        <v>111</v>
      </c>
      <c r="BG687" t="s">
        <v>111</v>
      </c>
      <c r="BH687" t="s">
        <v>111</v>
      </c>
      <c r="BI687" t="s">
        <v>111</v>
      </c>
      <c r="BJ687" t="s">
        <v>111</v>
      </c>
      <c r="BK687" t="s">
        <v>111</v>
      </c>
      <c r="BL687" t="s">
        <v>111</v>
      </c>
      <c r="BM687" t="s">
        <v>111</v>
      </c>
      <c r="BN687" t="s">
        <v>111</v>
      </c>
      <c r="BO687" t="s">
        <v>111</v>
      </c>
      <c r="BP687" t="s">
        <v>111</v>
      </c>
      <c r="BQ687" t="s">
        <v>111</v>
      </c>
      <c r="BR687" t="s">
        <v>111</v>
      </c>
      <c r="BS687" t="s">
        <v>111</v>
      </c>
      <c r="BT687" t="s">
        <v>111</v>
      </c>
      <c r="BU687" t="s">
        <v>111</v>
      </c>
      <c r="BV687" t="s">
        <v>111</v>
      </c>
      <c r="BW687" t="s">
        <v>111</v>
      </c>
      <c r="BX687" t="s">
        <v>111</v>
      </c>
      <c r="BY687" t="s">
        <v>111</v>
      </c>
      <c r="BZ687" t="s">
        <v>111</v>
      </c>
      <c r="CA687" t="s">
        <v>111</v>
      </c>
      <c r="CB687" t="s">
        <v>111</v>
      </c>
      <c r="CC687" t="s">
        <v>111</v>
      </c>
      <c r="CD687" t="s">
        <v>111</v>
      </c>
      <c r="CE687" t="s">
        <v>111</v>
      </c>
      <c r="CF687" t="s">
        <v>111</v>
      </c>
      <c r="CG687" t="s">
        <v>111</v>
      </c>
      <c r="CH687" t="s">
        <v>111</v>
      </c>
      <c r="CI687" t="s">
        <v>111</v>
      </c>
      <c r="CJ687" t="s">
        <v>111</v>
      </c>
      <c r="CK687" t="s">
        <v>111</v>
      </c>
      <c r="CL687" t="s">
        <v>111</v>
      </c>
      <c r="CM687" t="s">
        <v>360</v>
      </c>
      <c r="CN687" t="s">
        <v>113</v>
      </c>
      <c r="CO687" t="s">
        <v>111</v>
      </c>
      <c r="CP687" t="s">
        <v>111</v>
      </c>
      <c r="CQ687">
        <v>0</v>
      </c>
      <c r="CR687">
        <v>1000</v>
      </c>
      <c r="CS687">
        <v>50</v>
      </c>
      <c r="CT687" t="e">
        <f>-ALMACEN</f>
        <v>#NAME?</v>
      </c>
      <c r="CU687">
        <v>0</v>
      </c>
      <c r="CV687" t="s">
        <v>111</v>
      </c>
      <c r="CX687" t="s">
        <v>111</v>
      </c>
      <c r="CY687">
        <v>0</v>
      </c>
      <c r="CZ687" t="s">
        <v>111</v>
      </c>
      <c r="DA687" t="s">
        <v>111</v>
      </c>
      <c r="DB687" t="s">
        <v>111</v>
      </c>
      <c r="DC687" t="s">
        <v>111</v>
      </c>
    </row>
    <row r="688" spans="1:107">
      <c r="A688">
        <v>1862</v>
      </c>
      <c r="B688" t="s">
        <v>107</v>
      </c>
      <c r="C688" t="s">
        <v>421</v>
      </c>
      <c r="D688" t="s">
        <v>1640</v>
      </c>
      <c r="E688" t="s">
        <v>2378</v>
      </c>
      <c r="F688" t="s">
        <v>370</v>
      </c>
      <c r="G688" t="s">
        <v>469</v>
      </c>
      <c r="H688">
        <v>2.9</v>
      </c>
      <c r="I688">
        <v>45</v>
      </c>
      <c r="J688">
        <v>0</v>
      </c>
      <c r="K688">
        <v>0</v>
      </c>
      <c r="L688" t="s">
        <v>112</v>
      </c>
      <c r="M688" t="s">
        <v>118</v>
      </c>
      <c r="N688">
        <v>39</v>
      </c>
      <c r="O688">
        <v>2</v>
      </c>
      <c r="P688" t="s">
        <v>111</v>
      </c>
      <c r="Q688">
        <v>50</v>
      </c>
      <c r="R688">
        <v>0</v>
      </c>
      <c r="S688">
        <v>0</v>
      </c>
      <c r="T688">
        <v>5</v>
      </c>
      <c r="U688" s="1" t="s">
        <v>2379</v>
      </c>
      <c r="V688">
        <v>250</v>
      </c>
      <c r="W688">
        <v>0</v>
      </c>
      <c r="X688">
        <v>8</v>
      </c>
      <c r="Y688">
        <v>0</v>
      </c>
      <c r="Z688" t="s">
        <v>288</v>
      </c>
      <c r="AA688">
        <v>150</v>
      </c>
      <c r="AB688" t="s">
        <v>2380</v>
      </c>
      <c r="AC688">
        <v>0.7</v>
      </c>
      <c r="AD688" t="s">
        <v>427</v>
      </c>
      <c r="AE688">
        <v>0</v>
      </c>
      <c r="AF688">
        <v>0</v>
      </c>
      <c r="AG688" t="s">
        <v>111</v>
      </c>
      <c r="AH688" t="s">
        <v>113</v>
      </c>
      <c r="AI688" t="s">
        <v>111</v>
      </c>
      <c r="AJ688" t="s">
        <v>111</v>
      </c>
      <c r="AK688" t="s">
        <v>111</v>
      </c>
      <c r="AL688" t="s">
        <v>111</v>
      </c>
      <c r="AM688">
        <v>0</v>
      </c>
      <c r="AN688">
        <v>0</v>
      </c>
      <c r="AO688">
        <v>0</v>
      </c>
      <c r="AP688" t="s">
        <v>111</v>
      </c>
      <c r="AQ688" t="s">
        <v>111</v>
      </c>
      <c r="AR688" t="s">
        <v>111</v>
      </c>
      <c r="AS688" t="s">
        <v>111</v>
      </c>
      <c r="AT688" t="s">
        <v>111</v>
      </c>
      <c r="AU688" t="s">
        <v>111</v>
      </c>
      <c r="AV688" t="s">
        <v>111</v>
      </c>
      <c r="AW688" t="s">
        <v>111</v>
      </c>
      <c r="AX688" t="s">
        <v>111</v>
      </c>
      <c r="AY688" t="s">
        <v>111</v>
      </c>
      <c r="AZ688" t="s">
        <v>111</v>
      </c>
      <c r="BA688" t="s">
        <v>111</v>
      </c>
      <c r="BB688" t="s">
        <v>111</v>
      </c>
      <c r="BC688" t="s">
        <v>111</v>
      </c>
      <c r="BD688" t="s">
        <v>111</v>
      </c>
      <c r="BE688" t="s">
        <v>111</v>
      </c>
      <c r="BF688" t="s">
        <v>111</v>
      </c>
      <c r="BG688" t="s">
        <v>111</v>
      </c>
      <c r="BH688" t="s">
        <v>111</v>
      </c>
      <c r="BI688" t="s">
        <v>111</v>
      </c>
      <c r="BJ688" t="s">
        <v>111</v>
      </c>
      <c r="BK688" t="s">
        <v>111</v>
      </c>
      <c r="BL688" t="s">
        <v>111</v>
      </c>
      <c r="BM688" t="s">
        <v>111</v>
      </c>
      <c r="BN688" t="s">
        <v>111</v>
      </c>
      <c r="BO688" t="s">
        <v>111</v>
      </c>
      <c r="BP688" t="s">
        <v>111</v>
      </c>
      <c r="BQ688" t="s">
        <v>111</v>
      </c>
      <c r="BR688" t="s">
        <v>111</v>
      </c>
      <c r="BS688" t="s">
        <v>111</v>
      </c>
      <c r="BT688" t="s">
        <v>111</v>
      </c>
      <c r="BU688" t="s">
        <v>111</v>
      </c>
      <c r="BV688" t="s">
        <v>111</v>
      </c>
      <c r="BW688" t="s">
        <v>111</v>
      </c>
      <c r="BX688" t="s">
        <v>111</v>
      </c>
      <c r="BY688" t="s">
        <v>111</v>
      </c>
      <c r="BZ688" t="s">
        <v>111</v>
      </c>
      <c r="CA688" t="s">
        <v>111</v>
      </c>
      <c r="CB688" t="s">
        <v>111</v>
      </c>
      <c r="CC688" t="s">
        <v>111</v>
      </c>
      <c r="CD688" t="s">
        <v>111</v>
      </c>
      <c r="CE688" t="s">
        <v>111</v>
      </c>
      <c r="CF688" t="s">
        <v>111</v>
      </c>
      <c r="CG688" t="s">
        <v>111</v>
      </c>
      <c r="CH688" t="s">
        <v>111</v>
      </c>
      <c r="CI688" t="s">
        <v>111</v>
      </c>
      <c r="CJ688" t="s">
        <v>111</v>
      </c>
      <c r="CK688" t="s">
        <v>111</v>
      </c>
      <c r="CL688" t="s">
        <v>111</v>
      </c>
      <c r="CM688" t="s">
        <v>360</v>
      </c>
      <c r="CN688" t="s">
        <v>113</v>
      </c>
      <c r="CO688" t="s">
        <v>367</v>
      </c>
      <c r="CP688" t="s">
        <v>111</v>
      </c>
      <c r="CQ688">
        <v>0</v>
      </c>
      <c r="CR688">
        <v>1000</v>
      </c>
      <c r="CS688">
        <v>50</v>
      </c>
      <c r="CT688" t="e">
        <f>-BIEN EMPACADO PARA TROQUELAR</f>
        <v>#NAME?</v>
      </c>
      <c r="CU688">
        <v>0</v>
      </c>
      <c r="CV688" t="s">
        <v>111</v>
      </c>
      <c r="CX688" t="s">
        <v>111</v>
      </c>
      <c r="CY688">
        <v>0</v>
      </c>
      <c r="CZ688" t="s">
        <v>111</v>
      </c>
      <c r="DA688" t="s">
        <v>111</v>
      </c>
      <c r="DB688" t="e">
        <f>-EXTERNO</f>
        <v>#NAME?</v>
      </c>
      <c r="DC688" t="e">
        <f>-COLOCAR CORDON</f>
        <v>#NAME?</v>
      </c>
    </row>
    <row r="689" spans="1:107">
      <c r="A689">
        <v>1930</v>
      </c>
      <c r="B689" t="s">
        <v>107</v>
      </c>
      <c r="C689" t="s">
        <v>2359</v>
      </c>
      <c r="D689" t="s">
        <v>2381</v>
      </c>
      <c r="E689" t="s">
        <v>2382</v>
      </c>
      <c r="F689" t="s">
        <v>287</v>
      </c>
      <c r="G689" t="s">
        <v>469</v>
      </c>
      <c r="H689">
        <v>0.8</v>
      </c>
      <c r="I689">
        <v>60</v>
      </c>
      <c r="J689">
        <v>0</v>
      </c>
      <c r="K689">
        <v>0</v>
      </c>
      <c r="L689" t="s">
        <v>112</v>
      </c>
      <c r="M689" t="s">
        <v>111</v>
      </c>
      <c r="N689">
        <v>0</v>
      </c>
      <c r="O689">
        <v>0</v>
      </c>
      <c r="P689" t="s">
        <v>111</v>
      </c>
      <c r="Q689">
        <v>21.5</v>
      </c>
      <c r="R689">
        <v>0</v>
      </c>
      <c r="S689">
        <v>0</v>
      </c>
      <c r="T689">
        <v>5</v>
      </c>
      <c r="U689" s="1" t="s">
        <v>851</v>
      </c>
      <c r="V689">
        <v>25</v>
      </c>
      <c r="W689">
        <v>0</v>
      </c>
      <c r="X689">
        <v>6</v>
      </c>
      <c r="Y689">
        <v>0</v>
      </c>
      <c r="Z689" t="s">
        <v>288</v>
      </c>
      <c r="AA689">
        <v>1.5</v>
      </c>
      <c r="AB689" t="s">
        <v>2383</v>
      </c>
      <c r="AC689">
        <v>0</v>
      </c>
      <c r="AD689" t="s">
        <v>111</v>
      </c>
      <c r="AE689">
        <v>0</v>
      </c>
      <c r="AF689">
        <v>0</v>
      </c>
      <c r="AG689" t="s">
        <v>111</v>
      </c>
      <c r="AH689" t="s">
        <v>111</v>
      </c>
      <c r="AI689" t="s">
        <v>111</v>
      </c>
      <c r="AJ689" t="s">
        <v>111</v>
      </c>
      <c r="AK689" t="s">
        <v>111</v>
      </c>
      <c r="AL689" t="s">
        <v>111</v>
      </c>
      <c r="AM689">
        <v>0</v>
      </c>
      <c r="AN689">
        <v>0</v>
      </c>
      <c r="AO689">
        <v>0</v>
      </c>
      <c r="AP689" t="s">
        <v>111</v>
      </c>
      <c r="AQ689" t="s">
        <v>111</v>
      </c>
      <c r="AR689" t="s">
        <v>111</v>
      </c>
      <c r="AS689" t="s">
        <v>111</v>
      </c>
      <c r="AT689" t="s">
        <v>111</v>
      </c>
      <c r="AU689" t="s">
        <v>111</v>
      </c>
      <c r="AV689" t="s">
        <v>111</v>
      </c>
      <c r="AW689" t="s">
        <v>111</v>
      </c>
      <c r="AX689" t="s">
        <v>111</v>
      </c>
      <c r="AY689" t="s">
        <v>111</v>
      </c>
      <c r="AZ689" t="s">
        <v>111</v>
      </c>
      <c r="BA689" t="s">
        <v>111</v>
      </c>
      <c r="BB689" t="s">
        <v>111</v>
      </c>
      <c r="BC689" t="s">
        <v>111</v>
      </c>
      <c r="BD689" t="s">
        <v>111</v>
      </c>
      <c r="BE689" t="s">
        <v>111</v>
      </c>
      <c r="BF689" t="s">
        <v>111</v>
      </c>
      <c r="BG689" t="s">
        <v>111</v>
      </c>
      <c r="BH689" t="s">
        <v>111</v>
      </c>
      <c r="BI689" t="s">
        <v>111</v>
      </c>
      <c r="BJ689" t="s">
        <v>111</v>
      </c>
      <c r="BK689" t="s">
        <v>111</v>
      </c>
      <c r="BL689" t="s">
        <v>111</v>
      </c>
      <c r="BM689" t="s">
        <v>111</v>
      </c>
      <c r="BN689" t="s">
        <v>111</v>
      </c>
      <c r="BO689" t="s">
        <v>111</v>
      </c>
      <c r="BP689" t="s">
        <v>111</v>
      </c>
      <c r="BQ689" t="s">
        <v>111</v>
      </c>
      <c r="BR689" t="s">
        <v>111</v>
      </c>
      <c r="BS689" t="s">
        <v>111</v>
      </c>
      <c r="BT689" t="s">
        <v>111</v>
      </c>
      <c r="BU689" t="s">
        <v>111</v>
      </c>
      <c r="BV689" t="s">
        <v>111</v>
      </c>
      <c r="BW689" t="s">
        <v>111</v>
      </c>
      <c r="BX689" t="s">
        <v>111</v>
      </c>
      <c r="BY689" t="s">
        <v>111</v>
      </c>
      <c r="BZ689" t="s">
        <v>111</v>
      </c>
      <c r="CA689" t="s">
        <v>111</v>
      </c>
      <c r="CB689" t="s">
        <v>111</v>
      </c>
      <c r="CC689" t="s">
        <v>111</v>
      </c>
      <c r="CD689" t="s">
        <v>111</v>
      </c>
      <c r="CE689" t="s">
        <v>111</v>
      </c>
      <c r="CF689" t="s">
        <v>111</v>
      </c>
      <c r="CG689" t="s">
        <v>111</v>
      </c>
      <c r="CH689" t="s">
        <v>111</v>
      </c>
      <c r="CI689" t="s">
        <v>111</v>
      </c>
      <c r="CJ689" t="s">
        <v>111</v>
      </c>
      <c r="CK689" t="s">
        <v>111</v>
      </c>
      <c r="CL689" t="s">
        <v>111</v>
      </c>
      <c r="CM689" t="s">
        <v>127</v>
      </c>
      <c r="CN689" t="s">
        <v>128</v>
      </c>
      <c r="CO689" t="s">
        <v>111</v>
      </c>
      <c r="CP689" t="s">
        <v>111</v>
      </c>
      <c r="CQ689">
        <v>0</v>
      </c>
      <c r="CR689">
        <v>1000</v>
      </c>
      <c r="CS689">
        <v>50</v>
      </c>
      <c r="CT689" t="e">
        <f>-ALMACEN</f>
        <v>#NAME?</v>
      </c>
      <c r="CU689">
        <v>0</v>
      </c>
      <c r="CV689" t="s">
        <v>111</v>
      </c>
      <c r="CX689" t="s">
        <v>111</v>
      </c>
      <c r="CY689">
        <v>0</v>
      </c>
      <c r="CZ689" t="s">
        <v>111</v>
      </c>
      <c r="DA689" t="s">
        <v>111</v>
      </c>
      <c r="DB689" t="s">
        <v>111</v>
      </c>
      <c r="DC689" t="s">
        <v>111</v>
      </c>
    </row>
    <row r="690" spans="1:107">
      <c r="A690">
        <v>1931</v>
      </c>
      <c r="B690" t="s">
        <v>107</v>
      </c>
      <c r="C690" t="s">
        <v>2359</v>
      </c>
      <c r="D690" t="s">
        <v>2384</v>
      </c>
      <c r="E690" t="s">
        <v>2385</v>
      </c>
      <c r="F690" t="s">
        <v>270</v>
      </c>
      <c r="G690" t="s">
        <v>469</v>
      </c>
      <c r="H690">
        <v>0.8</v>
      </c>
      <c r="I690">
        <v>60</v>
      </c>
      <c r="J690">
        <v>0</v>
      </c>
      <c r="K690">
        <v>0</v>
      </c>
      <c r="L690" t="s">
        <v>112</v>
      </c>
      <c r="M690" t="s">
        <v>138</v>
      </c>
      <c r="N690">
        <v>0</v>
      </c>
      <c r="O690">
        <v>0</v>
      </c>
      <c r="P690" t="s">
        <v>111</v>
      </c>
      <c r="Q690">
        <v>21.5</v>
      </c>
      <c r="R690">
        <v>0</v>
      </c>
      <c r="S690">
        <v>0</v>
      </c>
      <c r="T690">
        <v>5</v>
      </c>
      <c r="U690" t="e">
        <f>-SELLADO</f>
        <v>#NAME?</v>
      </c>
      <c r="V690">
        <v>25</v>
      </c>
      <c r="W690">
        <v>0</v>
      </c>
      <c r="X690">
        <v>6</v>
      </c>
      <c r="Y690">
        <v>0</v>
      </c>
      <c r="Z690" t="s">
        <v>271</v>
      </c>
      <c r="AA690">
        <v>1500</v>
      </c>
      <c r="AB690" t="s">
        <v>2364</v>
      </c>
      <c r="AC690">
        <v>25</v>
      </c>
      <c r="AD690" t="s">
        <v>111</v>
      </c>
      <c r="AE690">
        <v>0</v>
      </c>
      <c r="AF690">
        <v>0</v>
      </c>
      <c r="AG690" t="s">
        <v>111</v>
      </c>
      <c r="AH690" t="s">
        <v>111</v>
      </c>
      <c r="AI690" t="s">
        <v>111</v>
      </c>
      <c r="AJ690" t="s">
        <v>111</v>
      </c>
      <c r="AK690" t="s">
        <v>111</v>
      </c>
      <c r="AL690" t="s">
        <v>111</v>
      </c>
      <c r="AM690">
        <v>0</v>
      </c>
      <c r="AN690">
        <v>0</v>
      </c>
      <c r="AO690">
        <v>0</v>
      </c>
      <c r="AP690" t="s">
        <v>111</v>
      </c>
      <c r="AQ690" t="s">
        <v>111</v>
      </c>
      <c r="AR690" t="s">
        <v>111</v>
      </c>
      <c r="AS690" t="s">
        <v>111</v>
      </c>
      <c r="AT690" t="s">
        <v>111</v>
      </c>
      <c r="AU690" t="s">
        <v>111</v>
      </c>
      <c r="AV690" t="s">
        <v>111</v>
      </c>
      <c r="AW690" t="s">
        <v>111</v>
      </c>
      <c r="AX690" t="s">
        <v>111</v>
      </c>
      <c r="AY690" t="s">
        <v>111</v>
      </c>
      <c r="AZ690" t="s">
        <v>111</v>
      </c>
      <c r="BA690" t="s">
        <v>111</v>
      </c>
      <c r="BB690" t="s">
        <v>111</v>
      </c>
      <c r="BC690" t="s">
        <v>111</v>
      </c>
      <c r="BD690" t="s">
        <v>111</v>
      </c>
      <c r="BE690" t="s">
        <v>111</v>
      </c>
      <c r="BF690" t="s">
        <v>111</v>
      </c>
      <c r="BG690" t="s">
        <v>111</v>
      </c>
      <c r="BH690" t="s">
        <v>111</v>
      </c>
      <c r="BI690" t="s">
        <v>111</v>
      </c>
      <c r="BJ690" t="s">
        <v>111</v>
      </c>
      <c r="BK690" t="s">
        <v>111</v>
      </c>
      <c r="BL690" t="s">
        <v>111</v>
      </c>
      <c r="BM690" t="s">
        <v>111</v>
      </c>
      <c r="BN690" t="s">
        <v>111</v>
      </c>
      <c r="BO690" t="s">
        <v>111</v>
      </c>
      <c r="BP690" t="s">
        <v>111</v>
      </c>
      <c r="BQ690" t="s">
        <v>111</v>
      </c>
      <c r="BR690" t="s">
        <v>111</v>
      </c>
      <c r="BS690" t="s">
        <v>111</v>
      </c>
      <c r="BT690" t="s">
        <v>111</v>
      </c>
      <c r="BU690" t="s">
        <v>111</v>
      </c>
      <c r="BV690" t="s">
        <v>111</v>
      </c>
      <c r="BW690" t="s">
        <v>111</v>
      </c>
      <c r="BX690" t="s">
        <v>111</v>
      </c>
      <c r="BY690" t="s">
        <v>111</v>
      </c>
      <c r="BZ690" t="s">
        <v>111</v>
      </c>
      <c r="CA690" t="s">
        <v>111</v>
      </c>
      <c r="CB690" t="s">
        <v>111</v>
      </c>
      <c r="CC690" t="s">
        <v>111</v>
      </c>
      <c r="CD690" t="s">
        <v>111</v>
      </c>
      <c r="CE690" t="s">
        <v>111</v>
      </c>
      <c r="CF690" t="s">
        <v>111</v>
      </c>
      <c r="CG690" t="s">
        <v>111</v>
      </c>
      <c r="CH690" t="s">
        <v>111</v>
      </c>
      <c r="CI690" t="s">
        <v>111</v>
      </c>
      <c r="CJ690" t="s">
        <v>111</v>
      </c>
      <c r="CK690" t="s">
        <v>111</v>
      </c>
      <c r="CL690" t="s">
        <v>111</v>
      </c>
      <c r="CM690" t="s">
        <v>127</v>
      </c>
      <c r="CN690" t="s">
        <v>128</v>
      </c>
      <c r="CO690" t="s">
        <v>111</v>
      </c>
      <c r="CP690" t="s">
        <v>111</v>
      </c>
      <c r="CQ690">
        <v>0</v>
      </c>
      <c r="CR690">
        <v>1000</v>
      </c>
      <c r="CS690">
        <v>100</v>
      </c>
      <c r="CT690" t="e">
        <f>-ALMACEN</f>
        <v>#NAME?</v>
      </c>
      <c r="CU690">
        <v>0</v>
      </c>
      <c r="CV690" t="s">
        <v>111</v>
      </c>
      <c r="CX690" t="s">
        <v>111</v>
      </c>
      <c r="CY690">
        <v>0</v>
      </c>
      <c r="CZ690" t="s">
        <v>111</v>
      </c>
      <c r="DA690" t="s">
        <v>111</v>
      </c>
      <c r="DB690" t="s">
        <v>111</v>
      </c>
      <c r="DC690" t="s">
        <v>111</v>
      </c>
    </row>
    <row r="691" spans="1:107">
      <c r="A691">
        <v>1841</v>
      </c>
      <c r="B691" t="s">
        <v>107</v>
      </c>
      <c r="C691" t="s">
        <v>2386</v>
      </c>
      <c r="D691" t="s">
        <v>2387</v>
      </c>
      <c r="E691" t="s">
        <v>2388</v>
      </c>
      <c r="F691" t="s">
        <v>1651</v>
      </c>
      <c r="G691" t="s">
        <v>469</v>
      </c>
      <c r="H691">
        <v>1.9</v>
      </c>
      <c r="I691">
        <v>35</v>
      </c>
      <c r="J691">
        <v>0</v>
      </c>
      <c r="K691">
        <v>0</v>
      </c>
      <c r="L691" t="s">
        <v>112</v>
      </c>
      <c r="M691" t="s">
        <v>118</v>
      </c>
      <c r="N691">
        <v>0</v>
      </c>
      <c r="O691">
        <v>2</v>
      </c>
      <c r="P691" t="s">
        <v>111</v>
      </c>
      <c r="Q691">
        <v>25.4</v>
      </c>
      <c r="R691">
        <v>0</v>
      </c>
      <c r="S691">
        <v>0</v>
      </c>
      <c r="T691">
        <v>5</v>
      </c>
      <c r="U691" t="e">
        <f>-IMPRESISON DARMA</f>
        <v>#NAME?</v>
      </c>
      <c r="V691">
        <v>0</v>
      </c>
      <c r="W691">
        <v>0</v>
      </c>
      <c r="X691">
        <v>0</v>
      </c>
      <c r="Y691">
        <v>25</v>
      </c>
      <c r="Z691" t="s">
        <v>111</v>
      </c>
      <c r="AA691">
        <v>0</v>
      </c>
      <c r="AB691" t="s">
        <v>111</v>
      </c>
      <c r="AC691">
        <v>0</v>
      </c>
      <c r="AD691" t="s">
        <v>416</v>
      </c>
      <c r="AE691">
        <v>0</v>
      </c>
      <c r="AF691">
        <v>0</v>
      </c>
      <c r="AG691" t="s">
        <v>111</v>
      </c>
      <c r="AH691" t="s">
        <v>113</v>
      </c>
      <c r="AI691" t="s">
        <v>111</v>
      </c>
      <c r="AJ691" t="s">
        <v>111</v>
      </c>
      <c r="AK691" t="s">
        <v>111</v>
      </c>
      <c r="AL691" t="s">
        <v>111</v>
      </c>
      <c r="AM691">
        <v>0</v>
      </c>
      <c r="AN691">
        <v>0</v>
      </c>
      <c r="AO691">
        <v>0</v>
      </c>
      <c r="AP691" t="s">
        <v>111</v>
      </c>
      <c r="AQ691" t="s">
        <v>111</v>
      </c>
      <c r="AR691" t="s">
        <v>111</v>
      </c>
      <c r="AS691" t="s">
        <v>111</v>
      </c>
      <c r="AT691" t="s">
        <v>111</v>
      </c>
      <c r="AU691" t="s">
        <v>111</v>
      </c>
      <c r="AV691" t="s">
        <v>111</v>
      </c>
      <c r="AW691" t="s">
        <v>111</v>
      </c>
      <c r="AX691" t="s">
        <v>111</v>
      </c>
      <c r="AY691" t="s">
        <v>111</v>
      </c>
      <c r="AZ691" t="s">
        <v>111</v>
      </c>
      <c r="BA691" t="s">
        <v>111</v>
      </c>
      <c r="BB691" t="s">
        <v>111</v>
      </c>
      <c r="BC691" t="s">
        <v>111</v>
      </c>
      <c r="BD691" t="s">
        <v>111</v>
      </c>
      <c r="BE691" t="s">
        <v>111</v>
      </c>
      <c r="BF691" t="s">
        <v>111</v>
      </c>
      <c r="BG691" t="s">
        <v>111</v>
      </c>
      <c r="BH691" t="s">
        <v>111</v>
      </c>
      <c r="BI691" t="s">
        <v>111</v>
      </c>
      <c r="BJ691" t="s">
        <v>111</v>
      </c>
      <c r="BK691" t="s">
        <v>111</v>
      </c>
      <c r="BL691" t="s">
        <v>111</v>
      </c>
      <c r="BM691" t="s">
        <v>111</v>
      </c>
      <c r="BN691" t="s">
        <v>111</v>
      </c>
      <c r="BO691" t="s">
        <v>111</v>
      </c>
      <c r="BP691" t="s">
        <v>111</v>
      </c>
      <c r="BQ691" t="s">
        <v>111</v>
      </c>
      <c r="BR691" t="s">
        <v>111</v>
      </c>
      <c r="BS691" t="s">
        <v>111</v>
      </c>
      <c r="BT691" t="s">
        <v>111</v>
      </c>
      <c r="BU691" t="s">
        <v>111</v>
      </c>
      <c r="BV691" t="s">
        <v>111</v>
      </c>
      <c r="BW691" t="s">
        <v>111</v>
      </c>
      <c r="BX691" t="s">
        <v>111</v>
      </c>
      <c r="BY691" t="s">
        <v>111</v>
      </c>
      <c r="BZ691" t="s">
        <v>111</v>
      </c>
      <c r="CA691" t="s">
        <v>111</v>
      </c>
      <c r="CB691" t="s">
        <v>111</v>
      </c>
      <c r="CC691" t="s">
        <v>111</v>
      </c>
      <c r="CD691" t="s">
        <v>111</v>
      </c>
      <c r="CE691" t="s">
        <v>111</v>
      </c>
      <c r="CF691" t="s">
        <v>111</v>
      </c>
      <c r="CG691" t="s">
        <v>111</v>
      </c>
      <c r="CH691" t="s">
        <v>111</v>
      </c>
      <c r="CI691" t="s">
        <v>111</v>
      </c>
      <c r="CJ691" t="s">
        <v>111</v>
      </c>
      <c r="CK691" t="s">
        <v>111</v>
      </c>
      <c r="CL691" t="s">
        <v>111</v>
      </c>
      <c r="CM691" t="s">
        <v>135</v>
      </c>
      <c r="CN691" t="s">
        <v>113</v>
      </c>
      <c r="CO691" t="s">
        <v>2070</v>
      </c>
      <c r="CP691" t="s">
        <v>111</v>
      </c>
      <c r="CQ691">
        <v>0</v>
      </c>
      <c r="CR691">
        <v>5000</v>
      </c>
      <c r="CS691">
        <v>200</v>
      </c>
      <c r="CT691" t="e">
        <f>-ALMACEN</f>
        <v>#NAME?</v>
      </c>
      <c r="CU691">
        <v>0</v>
      </c>
      <c r="CV691" t="s">
        <v>111</v>
      </c>
      <c r="CX691" t="s">
        <v>111</v>
      </c>
      <c r="CY691">
        <v>0</v>
      </c>
      <c r="CZ691" t="s">
        <v>111</v>
      </c>
      <c r="DA691" t="s">
        <v>111</v>
      </c>
      <c r="DB691" t="s">
        <v>111</v>
      </c>
      <c r="DC691" t="s">
        <v>111</v>
      </c>
    </row>
    <row r="692" spans="1:107">
      <c r="A692">
        <v>1964</v>
      </c>
      <c r="B692" t="s">
        <v>107</v>
      </c>
      <c r="C692" t="s">
        <v>1993</v>
      </c>
      <c r="D692" t="s">
        <v>2365</v>
      </c>
      <c r="E692" t="s">
        <v>2366</v>
      </c>
      <c r="F692" t="s">
        <v>431</v>
      </c>
      <c r="G692" t="s">
        <v>469</v>
      </c>
      <c r="H692">
        <v>1.7</v>
      </c>
      <c r="I692">
        <v>75</v>
      </c>
      <c r="J692">
        <v>0</v>
      </c>
      <c r="K692">
        <v>0</v>
      </c>
      <c r="L692" t="s">
        <v>112</v>
      </c>
      <c r="M692" t="s">
        <v>118</v>
      </c>
      <c r="N692">
        <v>40</v>
      </c>
      <c r="O692">
        <v>1</v>
      </c>
      <c r="P692" t="s">
        <v>111</v>
      </c>
      <c r="Q692">
        <v>40.1</v>
      </c>
      <c r="R692">
        <v>0</v>
      </c>
      <c r="S692">
        <v>0</v>
      </c>
      <c r="T692">
        <v>5</v>
      </c>
      <c r="U692" s="1" t="s">
        <v>662</v>
      </c>
      <c r="V692">
        <v>0</v>
      </c>
      <c r="W692">
        <v>25</v>
      </c>
      <c r="X692">
        <v>6</v>
      </c>
      <c r="Y692">
        <v>0</v>
      </c>
      <c r="Z692" t="s">
        <v>111</v>
      </c>
      <c r="AA692">
        <v>0</v>
      </c>
      <c r="AB692" t="s">
        <v>111</v>
      </c>
      <c r="AC692">
        <v>0</v>
      </c>
      <c r="AD692" t="s">
        <v>416</v>
      </c>
      <c r="AE692">
        <v>0</v>
      </c>
      <c r="AF692">
        <v>0</v>
      </c>
      <c r="AG692" t="s">
        <v>111</v>
      </c>
      <c r="AH692" t="s">
        <v>111</v>
      </c>
      <c r="AI692" t="s">
        <v>111</v>
      </c>
      <c r="AJ692" t="s">
        <v>111</v>
      </c>
      <c r="AK692" t="s">
        <v>111</v>
      </c>
      <c r="AL692" t="s">
        <v>111</v>
      </c>
      <c r="AM692">
        <v>0</v>
      </c>
      <c r="AN692">
        <v>0</v>
      </c>
      <c r="AO692">
        <v>0</v>
      </c>
      <c r="AP692" t="s">
        <v>111</v>
      </c>
      <c r="AQ692" t="s">
        <v>111</v>
      </c>
      <c r="AR692" t="s">
        <v>111</v>
      </c>
      <c r="AS692" t="s">
        <v>111</v>
      </c>
      <c r="AT692" t="s">
        <v>111</v>
      </c>
      <c r="AU692" t="s">
        <v>111</v>
      </c>
      <c r="AV692" t="s">
        <v>111</v>
      </c>
      <c r="AW692" t="s">
        <v>111</v>
      </c>
      <c r="AX692" t="s">
        <v>111</v>
      </c>
      <c r="AY692" t="s">
        <v>111</v>
      </c>
      <c r="AZ692" t="s">
        <v>111</v>
      </c>
      <c r="BA692" t="s">
        <v>111</v>
      </c>
      <c r="BB692" t="s">
        <v>111</v>
      </c>
      <c r="BC692" t="s">
        <v>111</v>
      </c>
      <c r="BD692" t="s">
        <v>111</v>
      </c>
      <c r="BE692" t="s">
        <v>111</v>
      </c>
      <c r="BF692" t="s">
        <v>111</v>
      </c>
      <c r="BG692" t="s">
        <v>111</v>
      </c>
      <c r="BH692" t="s">
        <v>111</v>
      </c>
      <c r="BI692" t="s">
        <v>111</v>
      </c>
      <c r="BJ692" t="s">
        <v>111</v>
      </c>
      <c r="BK692" t="s">
        <v>111</v>
      </c>
      <c r="BL692" t="s">
        <v>111</v>
      </c>
      <c r="BM692" t="s">
        <v>111</v>
      </c>
      <c r="BN692" t="s">
        <v>111</v>
      </c>
      <c r="BO692" t="s">
        <v>111</v>
      </c>
      <c r="BP692" t="s">
        <v>111</v>
      </c>
      <c r="BQ692" t="s">
        <v>111</v>
      </c>
      <c r="BR692" t="s">
        <v>111</v>
      </c>
      <c r="BS692" t="s">
        <v>111</v>
      </c>
      <c r="BT692" t="s">
        <v>111</v>
      </c>
      <c r="BU692" t="s">
        <v>111</v>
      </c>
      <c r="BV692" t="s">
        <v>111</v>
      </c>
      <c r="BW692" t="s">
        <v>111</v>
      </c>
      <c r="BX692" t="s">
        <v>111</v>
      </c>
      <c r="BY692" t="s">
        <v>111</v>
      </c>
      <c r="BZ692" t="s">
        <v>111</v>
      </c>
      <c r="CA692" t="s">
        <v>111</v>
      </c>
      <c r="CB692" t="s">
        <v>111</v>
      </c>
      <c r="CC692" t="s">
        <v>111</v>
      </c>
      <c r="CD692" t="s">
        <v>111</v>
      </c>
      <c r="CE692" t="s">
        <v>111</v>
      </c>
      <c r="CF692" t="s">
        <v>111</v>
      </c>
      <c r="CG692" t="s">
        <v>111</v>
      </c>
      <c r="CH692" t="s">
        <v>111</v>
      </c>
      <c r="CI692" t="s">
        <v>111</v>
      </c>
      <c r="CJ692" t="s">
        <v>111</v>
      </c>
      <c r="CK692" t="s">
        <v>111</v>
      </c>
      <c r="CL692" t="s">
        <v>111</v>
      </c>
      <c r="CM692" t="s">
        <v>360</v>
      </c>
      <c r="CN692" t="s">
        <v>113</v>
      </c>
      <c r="CO692" t="s">
        <v>111</v>
      </c>
      <c r="CP692" t="s">
        <v>111</v>
      </c>
      <c r="CQ692">
        <v>0</v>
      </c>
      <c r="CR692">
        <v>1000</v>
      </c>
      <c r="CS692">
        <v>50</v>
      </c>
      <c r="CT692" t="e">
        <f>-ALMACEN</f>
        <v>#NAME?</v>
      </c>
      <c r="CU692">
        <v>0</v>
      </c>
      <c r="CV692" t="s">
        <v>111</v>
      </c>
      <c r="CX692" t="s">
        <v>111</v>
      </c>
      <c r="CY692">
        <v>0</v>
      </c>
      <c r="CZ692" t="s">
        <v>111</v>
      </c>
      <c r="DA692" t="s">
        <v>111</v>
      </c>
      <c r="DB692" t="s">
        <v>111</v>
      </c>
      <c r="DC692" t="s">
        <v>111</v>
      </c>
    </row>
    <row r="693" spans="1:107">
      <c r="A693">
        <v>1933</v>
      </c>
      <c r="B693" t="s">
        <v>107</v>
      </c>
      <c r="C693" t="s">
        <v>2359</v>
      </c>
      <c r="D693" t="s">
        <v>2389</v>
      </c>
      <c r="E693" t="s">
        <v>2390</v>
      </c>
      <c r="F693" t="s">
        <v>404</v>
      </c>
      <c r="G693" t="s">
        <v>469</v>
      </c>
      <c r="H693">
        <v>0.8</v>
      </c>
      <c r="I693">
        <v>60</v>
      </c>
      <c r="J693">
        <v>0</v>
      </c>
      <c r="K693">
        <v>0</v>
      </c>
      <c r="L693" t="s">
        <v>112</v>
      </c>
      <c r="M693" t="s">
        <v>111</v>
      </c>
      <c r="N693">
        <v>0</v>
      </c>
      <c r="O693">
        <v>0</v>
      </c>
      <c r="P693" t="s">
        <v>111</v>
      </c>
      <c r="Q693">
        <v>21.5</v>
      </c>
      <c r="R693">
        <v>0</v>
      </c>
      <c r="S693">
        <v>0</v>
      </c>
      <c r="T693">
        <v>5</v>
      </c>
      <c r="U693" t="e">
        <f>-SELLADO</f>
        <v>#NAME?</v>
      </c>
      <c r="V693">
        <v>25</v>
      </c>
      <c r="W693">
        <v>0</v>
      </c>
      <c r="X693">
        <v>6</v>
      </c>
      <c r="Y693">
        <v>0</v>
      </c>
      <c r="Z693" t="s">
        <v>366</v>
      </c>
      <c r="AA693">
        <v>1500</v>
      </c>
      <c r="AB693" t="s">
        <v>2364</v>
      </c>
      <c r="AC693">
        <v>25</v>
      </c>
      <c r="AD693" t="s">
        <v>111</v>
      </c>
      <c r="AE693">
        <v>0</v>
      </c>
      <c r="AF693">
        <v>0</v>
      </c>
      <c r="AG693" t="s">
        <v>111</v>
      </c>
      <c r="AH693" t="s">
        <v>111</v>
      </c>
      <c r="AI693" t="s">
        <v>111</v>
      </c>
      <c r="AJ693" t="s">
        <v>111</v>
      </c>
      <c r="AK693" t="s">
        <v>111</v>
      </c>
      <c r="AL693" t="s">
        <v>111</v>
      </c>
      <c r="AM693">
        <v>0</v>
      </c>
      <c r="AN693">
        <v>0</v>
      </c>
      <c r="AO693">
        <v>0</v>
      </c>
      <c r="AP693" t="s">
        <v>111</v>
      </c>
      <c r="AQ693" t="s">
        <v>111</v>
      </c>
      <c r="AR693" t="s">
        <v>111</v>
      </c>
      <c r="AS693" t="s">
        <v>111</v>
      </c>
      <c r="AT693" t="s">
        <v>111</v>
      </c>
      <c r="AU693" t="s">
        <v>111</v>
      </c>
      <c r="AV693" t="s">
        <v>111</v>
      </c>
      <c r="AW693" t="s">
        <v>111</v>
      </c>
      <c r="AX693" t="s">
        <v>111</v>
      </c>
      <c r="AY693" t="s">
        <v>111</v>
      </c>
      <c r="AZ693" t="s">
        <v>111</v>
      </c>
      <c r="BA693" t="s">
        <v>111</v>
      </c>
      <c r="BB693" t="s">
        <v>111</v>
      </c>
      <c r="BC693" t="s">
        <v>111</v>
      </c>
      <c r="BD693" t="s">
        <v>111</v>
      </c>
      <c r="BE693" t="s">
        <v>111</v>
      </c>
      <c r="BF693" t="s">
        <v>111</v>
      </c>
      <c r="BG693" t="s">
        <v>111</v>
      </c>
      <c r="BH693" t="s">
        <v>111</v>
      </c>
      <c r="BI693" t="s">
        <v>111</v>
      </c>
      <c r="BJ693" t="s">
        <v>111</v>
      </c>
      <c r="BK693" t="s">
        <v>111</v>
      </c>
      <c r="BL693" t="s">
        <v>111</v>
      </c>
      <c r="BM693" t="s">
        <v>111</v>
      </c>
      <c r="BN693" t="s">
        <v>111</v>
      </c>
      <c r="BO693" t="s">
        <v>111</v>
      </c>
      <c r="BP693" t="s">
        <v>111</v>
      </c>
      <c r="BQ693" t="s">
        <v>111</v>
      </c>
      <c r="BR693" t="s">
        <v>111</v>
      </c>
      <c r="BS693" t="s">
        <v>111</v>
      </c>
      <c r="BT693" t="s">
        <v>111</v>
      </c>
      <c r="BU693" t="s">
        <v>111</v>
      </c>
      <c r="BV693" t="s">
        <v>111</v>
      </c>
      <c r="BW693" t="s">
        <v>111</v>
      </c>
      <c r="BX693" t="s">
        <v>111</v>
      </c>
      <c r="BY693" t="s">
        <v>111</v>
      </c>
      <c r="BZ693" t="s">
        <v>111</v>
      </c>
      <c r="CA693" t="s">
        <v>111</v>
      </c>
      <c r="CB693" t="s">
        <v>111</v>
      </c>
      <c r="CC693" t="s">
        <v>111</v>
      </c>
      <c r="CD693" t="s">
        <v>111</v>
      </c>
      <c r="CE693" t="s">
        <v>111</v>
      </c>
      <c r="CF693" t="s">
        <v>111</v>
      </c>
      <c r="CG693" t="s">
        <v>111</v>
      </c>
      <c r="CH693" t="s">
        <v>111</v>
      </c>
      <c r="CI693" t="s">
        <v>111</v>
      </c>
      <c r="CJ693" t="s">
        <v>111</v>
      </c>
      <c r="CK693" t="s">
        <v>111</v>
      </c>
      <c r="CL693" t="s">
        <v>111</v>
      </c>
      <c r="CM693" t="s">
        <v>127</v>
      </c>
      <c r="CN693" t="s">
        <v>128</v>
      </c>
      <c r="CO693" t="s">
        <v>111</v>
      </c>
      <c r="CP693" t="s">
        <v>111</v>
      </c>
      <c r="CQ693">
        <v>0</v>
      </c>
      <c r="CR693">
        <v>1000</v>
      </c>
      <c r="CS693">
        <v>500</v>
      </c>
      <c r="CT693" t="e">
        <f>-ALMACEN</f>
        <v>#NAME?</v>
      </c>
      <c r="CU693">
        <v>0</v>
      </c>
      <c r="CV693" t="s">
        <v>111</v>
      </c>
      <c r="CX693" t="s">
        <v>111</v>
      </c>
      <c r="CY693">
        <v>0</v>
      </c>
      <c r="CZ693" t="s">
        <v>111</v>
      </c>
      <c r="DA693" t="s">
        <v>111</v>
      </c>
      <c r="DB693" t="s">
        <v>111</v>
      </c>
      <c r="DC693" t="s">
        <v>111</v>
      </c>
    </row>
    <row r="694" spans="1:107">
      <c r="A694">
        <v>1959</v>
      </c>
      <c r="B694" t="s">
        <v>107</v>
      </c>
      <c r="C694" t="s">
        <v>119</v>
      </c>
      <c r="D694" t="s">
        <v>2391</v>
      </c>
      <c r="E694" t="s">
        <v>2392</v>
      </c>
      <c r="F694" t="s">
        <v>125</v>
      </c>
      <c r="G694" t="s">
        <v>469</v>
      </c>
      <c r="H694">
        <v>0.68</v>
      </c>
      <c r="I694">
        <v>60</v>
      </c>
      <c r="J694">
        <v>0</v>
      </c>
      <c r="K694">
        <v>0</v>
      </c>
      <c r="L694" t="s">
        <v>112</v>
      </c>
      <c r="M694" t="s">
        <v>138</v>
      </c>
      <c r="N694">
        <v>0</v>
      </c>
      <c r="O694">
        <v>0</v>
      </c>
      <c r="P694" t="s">
        <v>111</v>
      </c>
      <c r="Q694">
        <v>50</v>
      </c>
      <c r="R694">
        <v>0</v>
      </c>
      <c r="S694">
        <v>0</v>
      </c>
      <c r="T694">
        <v>5</v>
      </c>
      <c r="U694" s="1" t="s">
        <v>851</v>
      </c>
      <c r="V694">
        <v>25</v>
      </c>
      <c r="W694">
        <v>0</v>
      </c>
      <c r="X694">
        <v>5</v>
      </c>
      <c r="Y694">
        <v>0</v>
      </c>
      <c r="Z694" t="s">
        <v>111</v>
      </c>
      <c r="AA694">
        <v>0</v>
      </c>
      <c r="AB694" t="s">
        <v>2393</v>
      </c>
      <c r="AC694">
        <v>25</v>
      </c>
      <c r="AD694" t="s">
        <v>111</v>
      </c>
      <c r="AE694">
        <v>0</v>
      </c>
      <c r="AF694">
        <v>0</v>
      </c>
      <c r="AG694" t="s">
        <v>111</v>
      </c>
      <c r="AH694" t="s">
        <v>111</v>
      </c>
      <c r="AI694" t="s">
        <v>111</v>
      </c>
      <c r="AJ694" t="s">
        <v>111</v>
      </c>
      <c r="AK694" t="s">
        <v>111</v>
      </c>
      <c r="AL694" t="s">
        <v>111</v>
      </c>
      <c r="AM694">
        <v>0</v>
      </c>
      <c r="AN694">
        <v>0</v>
      </c>
      <c r="AO694">
        <v>0</v>
      </c>
      <c r="AP694" t="s">
        <v>111</v>
      </c>
      <c r="AQ694" t="s">
        <v>111</v>
      </c>
      <c r="AR694" t="s">
        <v>111</v>
      </c>
      <c r="AS694" t="s">
        <v>111</v>
      </c>
      <c r="AT694" t="s">
        <v>111</v>
      </c>
      <c r="AU694" t="s">
        <v>111</v>
      </c>
      <c r="AV694" t="s">
        <v>111</v>
      </c>
      <c r="AW694" t="s">
        <v>111</v>
      </c>
      <c r="AX694" t="s">
        <v>111</v>
      </c>
      <c r="AY694" t="s">
        <v>111</v>
      </c>
      <c r="AZ694" t="s">
        <v>111</v>
      </c>
      <c r="BA694" t="s">
        <v>111</v>
      </c>
      <c r="BB694" t="s">
        <v>111</v>
      </c>
      <c r="BC694" t="s">
        <v>111</v>
      </c>
      <c r="BD694" t="s">
        <v>111</v>
      </c>
      <c r="BE694" t="s">
        <v>111</v>
      </c>
      <c r="BF694" t="s">
        <v>111</v>
      </c>
      <c r="BG694" t="s">
        <v>111</v>
      </c>
      <c r="BH694" t="s">
        <v>111</v>
      </c>
      <c r="BI694" t="s">
        <v>111</v>
      </c>
      <c r="BJ694" t="s">
        <v>111</v>
      </c>
      <c r="BK694" t="s">
        <v>111</v>
      </c>
      <c r="BL694" t="s">
        <v>111</v>
      </c>
      <c r="BM694" t="s">
        <v>111</v>
      </c>
      <c r="BN694" t="s">
        <v>111</v>
      </c>
      <c r="BO694" t="s">
        <v>111</v>
      </c>
      <c r="BP694" t="s">
        <v>111</v>
      </c>
      <c r="BQ694" t="s">
        <v>111</v>
      </c>
      <c r="BR694" t="s">
        <v>111</v>
      </c>
      <c r="BS694" t="s">
        <v>111</v>
      </c>
      <c r="BT694" t="s">
        <v>111</v>
      </c>
      <c r="BU694" t="s">
        <v>111</v>
      </c>
      <c r="BV694" t="s">
        <v>111</v>
      </c>
      <c r="BW694" t="s">
        <v>111</v>
      </c>
      <c r="BX694" t="s">
        <v>111</v>
      </c>
      <c r="BY694" t="s">
        <v>111</v>
      </c>
      <c r="BZ694" t="s">
        <v>111</v>
      </c>
      <c r="CA694" t="s">
        <v>111</v>
      </c>
      <c r="CB694" t="s">
        <v>111</v>
      </c>
      <c r="CC694" t="s">
        <v>111</v>
      </c>
      <c r="CD694" t="s">
        <v>111</v>
      </c>
      <c r="CE694" t="s">
        <v>111</v>
      </c>
      <c r="CF694" t="s">
        <v>111</v>
      </c>
      <c r="CG694" t="s">
        <v>111</v>
      </c>
      <c r="CH694" t="s">
        <v>111</v>
      </c>
      <c r="CI694" t="s">
        <v>111</v>
      </c>
      <c r="CJ694" t="s">
        <v>111</v>
      </c>
      <c r="CK694" t="s">
        <v>111</v>
      </c>
      <c r="CL694" t="s">
        <v>111</v>
      </c>
      <c r="CM694" t="s">
        <v>127</v>
      </c>
      <c r="CN694" t="s">
        <v>128</v>
      </c>
      <c r="CO694" t="s">
        <v>111</v>
      </c>
      <c r="CP694" t="s">
        <v>111</v>
      </c>
      <c r="CQ694">
        <v>0</v>
      </c>
      <c r="CR694">
        <v>1500</v>
      </c>
      <c r="CS694">
        <v>100</v>
      </c>
      <c r="CT694" t="e">
        <f>-ALMACEN</f>
        <v>#NAME?</v>
      </c>
      <c r="CU694">
        <v>0</v>
      </c>
      <c r="CV694" t="s">
        <v>111</v>
      </c>
      <c r="CX694" t="s">
        <v>111</v>
      </c>
      <c r="CY694">
        <v>0</v>
      </c>
      <c r="CZ694" t="s">
        <v>111</v>
      </c>
      <c r="DA694" t="s">
        <v>111</v>
      </c>
      <c r="DB694" t="s">
        <v>111</v>
      </c>
      <c r="DC694" t="s">
        <v>111</v>
      </c>
    </row>
    <row r="695" spans="1:107">
      <c r="A695">
        <v>1836</v>
      </c>
      <c r="B695" t="s">
        <v>107</v>
      </c>
      <c r="C695" t="s">
        <v>726</v>
      </c>
      <c r="D695" t="s">
        <v>2394</v>
      </c>
      <c r="E695" t="s">
        <v>2395</v>
      </c>
      <c r="F695" t="s">
        <v>192</v>
      </c>
      <c r="G695" t="s">
        <v>469</v>
      </c>
      <c r="H695">
        <v>2</v>
      </c>
      <c r="I695">
        <v>30.5</v>
      </c>
      <c r="J695">
        <v>0</v>
      </c>
      <c r="K695">
        <v>0</v>
      </c>
      <c r="L695" t="s">
        <v>112</v>
      </c>
      <c r="M695" t="s">
        <v>138</v>
      </c>
      <c r="N695">
        <v>0</v>
      </c>
      <c r="O695">
        <v>0</v>
      </c>
      <c r="P695" t="s">
        <v>111</v>
      </c>
      <c r="Q695">
        <v>40</v>
      </c>
      <c r="R695">
        <v>0</v>
      </c>
      <c r="S695">
        <v>0</v>
      </c>
      <c r="T695">
        <v>5</v>
      </c>
      <c r="U695" t="e">
        <f>-SELLADO</f>
        <v>#NAME?</v>
      </c>
      <c r="V695">
        <v>0</v>
      </c>
      <c r="W695">
        <v>25</v>
      </c>
      <c r="X695">
        <v>5</v>
      </c>
      <c r="Y695">
        <v>0</v>
      </c>
      <c r="Z695" t="s">
        <v>111</v>
      </c>
      <c r="AA695">
        <v>0</v>
      </c>
      <c r="AB695" t="s">
        <v>111</v>
      </c>
      <c r="AC695">
        <v>0</v>
      </c>
      <c r="AD695" t="s">
        <v>111</v>
      </c>
      <c r="AE695">
        <v>0</v>
      </c>
      <c r="AF695">
        <v>0</v>
      </c>
      <c r="AG695" t="s">
        <v>111</v>
      </c>
      <c r="AH695" t="s">
        <v>111</v>
      </c>
      <c r="AI695" t="s">
        <v>111</v>
      </c>
      <c r="AJ695" t="s">
        <v>111</v>
      </c>
      <c r="AK695" t="s">
        <v>111</v>
      </c>
      <c r="AL695" t="s">
        <v>111</v>
      </c>
      <c r="AM695">
        <v>0</v>
      </c>
      <c r="AN695">
        <v>0</v>
      </c>
      <c r="AO695">
        <v>0</v>
      </c>
      <c r="AP695" t="s">
        <v>111</v>
      </c>
      <c r="AQ695" t="s">
        <v>111</v>
      </c>
      <c r="AR695" t="s">
        <v>111</v>
      </c>
      <c r="AS695" t="s">
        <v>111</v>
      </c>
      <c r="AT695" t="s">
        <v>111</v>
      </c>
      <c r="AU695" t="s">
        <v>111</v>
      </c>
      <c r="AV695" t="s">
        <v>111</v>
      </c>
      <c r="AW695" t="s">
        <v>111</v>
      </c>
      <c r="AX695" t="s">
        <v>111</v>
      </c>
      <c r="AY695" t="s">
        <v>111</v>
      </c>
      <c r="AZ695" t="s">
        <v>111</v>
      </c>
      <c r="BA695" t="s">
        <v>111</v>
      </c>
      <c r="BB695" t="s">
        <v>111</v>
      </c>
      <c r="BC695" t="s">
        <v>111</v>
      </c>
      <c r="BD695" t="s">
        <v>111</v>
      </c>
      <c r="BE695" t="s">
        <v>111</v>
      </c>
      <c r="BF695" t="s">
        <v>111</v>
      </c>
      <c r="BG695" t="s">
        <v>111</v>
      </c>
      <c r="BH695" t="s">
        <v>111</v>
      </c>
      <c r="BI695" t="s">
        <v>111</v>
      </c>
      <c r="BJ695" t="s">
        <v>111</v>
      </c>
      <c r="BK695" t="s">
        <v>111</v>
      </c>
      <c r="BL695" t="s">
        <v>111</v>
      </c>
      <c r="BM695" t="s">
        <v>111</v>
      </c>
      <c r="BN695" t="s">
        <v>111</v>
      </c>
      <c r="BO695" t="s">
        <v>111</v>
      </c>
      <c r="BP695" t="s">
        <v>111</v>
      </c>
      <c r="BQ695" t="s">
        <v>111</v>
      </c>
      <c r="BR695" t="s">
        <v>111</v>
      </c>
      <c r="BS695" t="s">
        <v>111</v>
      </c>
      <c r="BT695" t="s">
        <v>111</v>
      </c>
      <c r="BU695" t="s">
        <v>111</v>
      </c>
      <c r="BV695" t="s">
        <v>111</v>
      </c>
      <c r="BW695" t="s">
        <v>111</v>
      </c>
      <c r="BX695" t="s">
        <v>111</v>
      </c>
      <c r="BY695" t="s">
        <v>111</v>
      </c>
      <c r="BZ695" t="s">
        <v>111</v>
      </c>
      <c r="CA695" t="s">
        <v>111</v>
      </c>
      <c r="CB695" t="s">
        <v>111</v>
      </c>
      <c r="CC695" t="s">
        <v>111</v>
      </c>
      <c r="CD695" t="s">
        <v>111</v>
      </c>
      <c r="CE695" t="s">
        <v>111</v>
      </c>
      <c r="CF695" t="s">
        <v>111</v>
      </c>
      <c r="CG695" t="s">
        <v>111</v>
      </c>
      <c r="CH695" t="s">
        <v>111</v>
      </c>
      <c r="CI695" t="s">
        <v>111</v>
      </c>
      <c r="CJ695" t="s">
        <v>111</v>
      </c>
      <c r="CK695" t="s">
        <v>111</v>
      </c>
      <c r="CL695" t="s">
        <v>111</v>
      </c>
      <c r="CM695" t="s">
        <v>438</v>
      </c>
      <c r="CN695" t="s">
        <v>113</v>
      </c>
      <c r="CO695" t="s">
        <v>111</v>
      </c>
      <c r="CP695" t="s">
        <v>111</v>
      </c>
      <c r="CQ695">
        <v>0</v>
      </c>
      <c r="CR695">
        <v>10000</v>
      </c>
      <c r="CS695">
        <v>200</v>
      </c>
      <c r="CT695" t="e">
        <f>-ALMACEN</f>
        <v>#NAME?</v>
      </c>
      <c r="CU695">
        <v>0</v>
      </c>
      <c r="CV695" t="s">
        <v>111</v>
      </c>
      <c r="CX695" t="s">
        <v>111</v>
      </c>
      <c r="CY695">
        <v>0</v>
      </c>
      <c r="CZ695" t="s">
        <v>111</v>
      </c>
      <c r="DA695" t="s">
        <v>111</v>
      </c>
      <c r="DB695" t="s">
        <v>111</v>
      </c>
      <c r="DC695" t="s">
        <v>111</v>
      </c>
    </row>
    <row r="696" spans="1:107">
      <c r="A696">
        <v>1834</v>
      </c>
      <c r="B696" t="s">
        <v>107</v>
      </c>
      <c r="C696" t="s">
        <v>399</v>
      </c>
      <c r="D696" t="s">
        <v>2396</v>
      </c>
      <c r="E696" t="s">
        <v>2397</v>
      </c>
      <c r="F696" t="s">
        <v>125</v>
      </c>
      <c r="G696" t="s">
        <v>469</v>
      </c>
      <c r="H696">
        <v>3</v>
      </c>
      <c r="I696">
        <v>60</v>
      </c>
      <c r="J696">
        <v>0</v>
      </c>
      <c r="K696">
        <v>0</v>
      </c>
      <c r="L696" t="s">
        <v>112</v>
      </c>
      <c r="M696" t="s">
        <v>111</v>
      </c>
      <c r="N696">
        <v>0</v>
      </c>
      <c r="O696">
        <v>0</v>
      </c>
      <c r="P696" t="s">
        <v>111</v>
      </c>
      <c r="Q696">
        <v>5.4</v>
      </c>
      <c r="R696">
        <v>0</v>
      </c>
      <c r="S696">
        <v>0</v>
      </c>
      <c r="T696">
        <v>5</v>
      </c>
      <c r="U696" t="e">
        <f>-SELLADO</f>
        <v>#NAME?</v>
      </c>
      <c r="V696">
        <v>25</v>
      </c>
      <c r="W696">
        <v>0</v>
      </c>
      <c r="X696">
        <v>15</v>
      </c>
      <c r="Y696">
        <v>0</v>
      </c>
      <c r="Z696" t="s">
        <v>2398</v>
      </c>
      <c r="AA696">
        <v>15</v>
      </c>
      <c r="AB696" t="s">
        <v>134</v>
      </c>
      <c r="AC696">
        <v>5</v>
      </c>
      <c r="AD696" t="s">
        <v>111</v>
      </c>
      <c r="AE696">
        <v>0</v>
      </c>
      <c r="AF696">
        <v>0</v>
      </c>
      <c r="AG696" t="s">
        <v>111</v>
      </c>
      <c r="AH696" t="s">
        <v>111</v>
      </c>
      <c r="AI696" t="s">
        <v>111</v>
      </c>
      <c r="AJ696" t="s">
        <v>111</v>
      </c>
      <c r="AK696" t="s">
        <v>111</v>
      </c>
      <c r="AL696" t="s">
        <v>111</v>
      </c>
      <c r="AM696">
        <v>0</v>
      </c>
      <c r="AN696">
        <v>0</v>
      </c>
      <c r="AO696">
        <v>0</v>
      </c>
      <c r="AP696" t="s">
        <v>111</v>
      </c>
      <c r="AQ696" t="s">
        <v>111</v>
      </c>
      <c r="AR696" t="s">
        <v>111</v>
      </c>
      <c r="AS696" t="s">
        <v>111</v>
      </c>
      <c r="AT696" t="s">
        <v>111</v>
      </c>
      <c r="AU696" t="s">
        <v>111</v>
      </c>
      <c r="AV696" t="s">
        <v>111</v>
      </c>
      <c r="AW696" t="s">
        <v>111</v>
      </c>
      <c r="AX696" t="s">
        <v>111</v>
      </c>
      <c r="AY696" t="s">
        <v>111</v>
      </c>
      <c r="AZ696" t="s">
        <v>111</v>
      </c>
      <c r="BA696" t="s">
        <v>111</v>
      </c>
      <c r="BB696" t="s">
        <v>111</v>
      </c>
      <c r="BC696" t="s">
        <v>111</v>
      </c>
      <c r="BD696" t="s">
        <v>111</v>
      </c>
      <c r="BE696" t="s">
        <v>111</v>
      </c>
      <c r="BF696" t="s">
        <v>111</v>
      </c>
      <c r="BG696" t="s">
        <v>111</v>
      </c>
      <c r="BH696" t="s">
        <v>111</v>
      </c>
      <c r="BI696" t="s">
        <v>111</v>
      </c>
      <c r="BJ696" t="s">
        <v>111</v>
      </c>
      <c r="BK696" t="s">
        <v>111</v>
      </c>
      <c r="BL696" t="s">
        <v>111</v>
      </c>
      <c r="BM696" t="s">
        <v>111</v>
      </c>
      <c r="BN696" t="s">
        <v>111</v>
      </c>
      <c r="BO696" t="s">
        <v>111</v>
      </c>
      <c r="BP696" t="s">
        <v>111</v>
      </c>
      <c r="BQ696" t="s">
        <v>111</v>
      </c>
      <c r="BR696" t="s">
        <v>111</v>
      </c>
      <c r="BS696" t="s">
        <v>111</v>
      </c>
      <c r="BT696" t="s">
        <v>111</v>
      </c>
      <c r="BU696" t="s">
        <v>111</v>
      </c>
      <c r="BV696" t="s">
        <v>111</v>
      </c>
      <c r="BW696" t="s">
        <v>111</v>
      </c>
      <c r="BX696" t="s">
        <v>111</v>
      </c>
      <c r="BY696" t="s">
        <v>111</v>
      </c>
      <c r="BZ696" t="s">
        <v>111</v>
      </c>
      <c r="CA696" t="s">
        <v>111</v>
      </c>
      <c r="CB696" t="s">
        <v>111</v>
      </c>
      <c r="CC696" t="s">
        <v>111</v>
      </c>
      <c r="CD696" t="s">
        <v>111</v>
      </c>
      <c r="CE696" t="s">
        <v>111</v>
      </c>
      <c r="CF696" t="s">
        <v>111</v>
      </c>
      <c r="CG696" t="s">
        <v>111</v>
      </c>
      <c r="CH696" t="s">
        <v>111</v>
      </c>
      <c r="CI696" t="s">
        <v>111</v>
      </c>
      <c r="CJ696" t="s">
        <v>111</v>
      </c>
      <c r="CK696" t="s">
        <v>111</v>
      </c>
      <c r="CL696" t="s">
        <v>111</v>
      </c>
      <c r="CM696" t="s">
        <v>135</v>
      </c>
      <c r="CN696" t="s">
        <v>128</v>
      </c>
      <c r="CO696" t="s">
        <v>111</v>
      </c>
      <c r="CP696" t="s">
        <v>111</v>
      </c>
      <c r="CQ696">
        <v>0</v>
      </c>
      <c r="CR696">
        <v>500</v>
      </c>
      <c r="CS696">
        <v>50</v>
      </c>
      <c r="CT696" s="1" t="s">
        <v>2399</v>
      </c>
      <c r="CU696">
        <v>0</v>
      </c>
      <c r="CV696" t="s">
        <v>111</v>
      </c>
      <c r="CX696" t="s">
        <v>111</v>
      </c>
      <c r="CY696">
        <v>0</v>
      </c>
      <c r="CZ696" t="s">
        <v>111</v>
      </c>
      <c r="DA696" t="s">
        <v>111</v>
      </c>
      <c r="DB696" t="s">
        <v>111</v>
      </c>
      <c r="DC696" t="s">
        <v>111</v>
      </c>
    </row>
    <row r="697" spans="1:107">
      <c r="A697">
        <v>1832</v>
      </c>
      <c r="B697" t="s">
        <v>107</v>
      </c>
      <c r="C697" t="s">
        <v>336</v>
      </c>
      <c r="D697" t="s">
        <v>1328</v>
      </c>
      <c r="E697" t="s">
        <v>2400</v>
      </c>
      <c r="F697" t="s">
        <v>166</v>
      </c>
      <c r="G697" t="s">
        <v>469</v>
      </c>
      <c r="H697">
        <v>3</v>
      </c>
      <c r="I697">
        <v>61</v>
      </c>
      <c r="J697">
        <v>0</v>
      </c>
      <c r="K697">
        <v>0</v>
      </c>
      <c r="L697" t="s">
        <v>112</v>
      </c>
      <c r="M697" t="s">
        <v>111</v>
      </c>
      <c r="N697">
        <v>0</v>
      </c>
      <c r="O697">
        <v>0</v>
      </c>
      <c r="P697" t="s">
        <v>111</v>
      </c>
      <c r="Q697">
        <v>40</v>
      </c>
      <c r="R697">
        <v>0</v>
      </c>
      <c r="S697">
        <v>0</v>
      </c>
      <c r="T697">
        <v>0</v>
      </c>
      <c r="U697" t="e">
        <f>-ALMACEN</f>
        <v>#NAME?</v>
      </c>
      <c r="V697">
        <v>12.5</v>
      </c>
      <c r="W697">
        <v>12.5</v>
      </c>
      <c r="X697">
        <v>0</v>
      </c>
      <c r="Y697">
        <v>0</v>
      </c>
      <c r="Z697" t="s">
        <v>111</v>
      </c>
      <c r="AA697">
        <v>0</v>
      </c>
      <c r="AB697" t="s">
        <v>193</v>
      </c>
      <c r="AC697">
        <v>0</v>
      </c>
      <c r="AD697" t="s">
        <v>111</v>
      </c>
      <c r="AE697">
        <v>0</v>
      </c>
      <c r="AF697">
        <v>0</v>
      </c>
      <c r="AG697" t="s">
        <v>111</v>
      </c>
      <c r="AH697" t="s">
        <v>111</v>
      </c>
      <c r="AI697" t="s">
        <v>111</v>
      </c>
      <c r="AJ697" t="s">
        <v>111</v>
      </c>
      <c r="AK697" t="s">
        <v>111</v>
      </c>
      <c r="AL697" t="s">
        <v>111</v>
      </c>
      <c r="AM697">
        <v>0</v>
      </c>
      <c r="AN697">
        <v>0</v>
      </c>
      <c r="AO697">
        <v>0</v>
      </c>
      <c r="AP697" t="s">
        <v>111</v>
      </c>
      <c r="AQ697" t="s">
        <v>111</v>
      </c>
      <c r="AR697" t="s">
        <v>111</v>
      </c>
      <c r="AS697" t="s">
        <v>111</v>
      </c>
      <c r="AT697" t="s">
        <v>111</v>
      </c>
      <c r="AU697" t="s">
        <v>111</v>
      </c>
      <c r="AV697" t="s">
        <v>111</v>
      </c>
      <c r="AW697" t="s">
        <v>111</v>
      </c>
      <c r="AX697" t="s">
        <v>111</v>
      </c>
      <c r="AY697" t="s">
        <v>111</v>
      </c>
      <c r="AZ697" t="s">
        <v>111</v>
      </c>
      <c r="BA697" t="s">
        <v>111</v>
      </c>
      <c r="BB697" t="s">
        <v>111</v>
      </c>
      <c r="BC697" t="s">
        <v>111</v>
      </c>
      <c r="BD697" t="s">
        <v>111</v>
      </c>
      <c r="BE697" t="s">
        <v>111</v>
      </c>
      <c r="BF697" t="s">
        <v>111</v>
      </c>
      <c r="BG697" t="s">
        <v>111</v>
      </c>
      <c r="BH697" t="s">
        <v>111</v>
      </c>
      <c r="BI697" t="s">
        <v>111</v>
      </c>
      <c r="BJ697" t="s">
        <v>111</v>
      </c>
      <c r="BK697" t="s">
        <v>111</v>
      </c>
      <c r="BL697" t="s">
        <v>111</v>
      </c>
      <c r="BM697" t="s">
        <v>111</v>
      </c>
      <c r="BN697" t="s">
        <v>111</v>
      </c>
      <c r="BO697" t="s">
        <v>111</v>
      </c>
      <c r="BP697" t="s">
        <v>111</v>
      </c>
      <c r="BQ697" t="s">
        <v>111</v>
      </c>
      <c r="BR697" t="s">
        <v>111</v>
      </c>
      <c r="BS697" t="s">
        <v>111</v>
      </c>
      <c r="BT697" t="s">
        <v>111</v>
      </c>
      <c r="BU697" t="s">
        <v>111</v>
      </c>
      <c r="BV697" t="s">
        <v>111</v>
      </c>
      <c r="BW697" t="s">
        <v>111</v>
      </c>
      <c r="BX697" t="s">
        <v>111</v>
      </c>
      <c r="BY697" t="s">
        <v>111</v>
      </c>
      <c r="BZ697" t="s">
        <v>111</v>
      </c>
      <c r="CA697" t="s">
        <v>111</v>
      </c>
      <c r="CB697" t="s">
        <v>111</v>
      </c>
      <c r="CC697" t="s">
        <v>111</v>
      </c>
      <c r="CD697" t="s">
        <v>111</v>
      </c>
      <c r="CE697" t="s">
        <v>111</v>
      </c>
      <c r="CF697" t="s">
        <v>111</v>
      </c>
      <c r="CG697" t="s">
        <v>111</v>
      </c>
      <c r="CH697" t="s">
        <v>111</v>
      </c>
      <c r="CI697" t="s">
        <v>111</v>
      </c>
      <c r="CJ697" t="s">
        <v>111</v>
      </c>
      <c r="CK697" t="s">
        <v>111</v>
      </c>
      <c r="CL697" t="s">
        <v>111</v>
      </c>
      <c r="CM697" t="s">
        <v>111</v>
      </c>
      <c r="CN697" t="s">
        <v>111</v>
      </c>
      <c r="CO697" t="s">
        <v>111</v>
      </c>
      <c r="CP697" t="s">
        <v>111</v>
      </c>
      <c r="CQ697">
        <v>0</v>
      </c>
      <c r="CR697">
        <v>0</v>
      </c>
      <c r="CS697">
        <v>0</v>
      </c>
      <c r="CT697" t="s">
        <v>111</v>
      </c>
      <c r="CU697">
        <v>0</v>
      </c>
      <c r="CV697" t="s">
        <v>111</v>
      </c>
      <c r="CX697" t="s">
        <v>111</v>
      </c>
      <c r="CY697">
        <v>0</v>
      </c>
      <c r="CZ697" t="s">
        <v>111</v>
      </c>
      <c r="DA697" t="s">
        <v>111</v>
      </c>
      <c r="DB697" t="s">
        <v>111</v>
      </c>
      <c r="DC697" t="s">
        <v>111</v>
      </c>
    </row>
    <row r="698" spans="1:107">
      <c r="A698">
        <v>1952</v>
      </c>
      <c r="B698" t="s">
        <v>107</v>
      </c>
      <c r="C698" t="s">
        <v>119</v>
      </c>
      <c r="D698" t="s">
        <v>2401</v>
      </c>
      <c r="E698" t="s">
        <v>2402</v>
      </c>
      <c r="F698" t="s">
        <v>166</v>
      </c>
      <c r="G698" t="s">
        <v>469</v>
      </c>
      <c r="H698">
        <v>0.6</v>
      </c>
      <c r="I698">
        <v>27</v>
      </c>
      <c r="J698">
        <v>0</v>
      </c>
      <c r="K698">
        <v>0</v>
      </c>
      <c r="L698" t="s">
        <v>112</v>
      </c>
      <c r="M698" t="s">
        <v>111</v>
      </c>
      <c r="N698">
        <v>0</v>
      </c>
      <c r="O698">
        <v>0</v>
      </c>
      <c r="P698" t="s">
        <v>111</v>
      </c>
      <c r="Q698">
        <v>25</v>
      </c>
      <c r="R698">
        <v>0</v>
      </c>
      <c r="S698">
        <v>0</v>
      </c>
      <c r="T698">
        <v>0</v>
      </c>
      <c r="U698" s="1" t="s">
        <v>2403</v>
      </c>
      <c r="V698">
        <v>25</v>
      </c>
      <c r="W698">
        <v>0</v>
      </c>
      <c r="X698">
        <v>6</v>
      </c>
      <c r="Y698">
        <v>0</v>
      </c>
      <c r="Z698" t="s">
        <v>111</v>
      </c>
      <c r="AA698">
        <v>0</v>
      </c>
      <c r="AB698" t="s">
        <v>111</v>
      </c>
      <c r="AC698">
        <v>0</v>
      </c>
      <c r="AD698" t="s">
        <v>111</v>
      </c>
      <c r="AE698">
        <v>0</v>
      </c>
      <c r="AF698">
        <v>0</v>
      </c>
      <c r="AG698" t="s">
        <v>111</v>
      </c>
      <c r="AH698" t="s">
        <v>111</v>
      </c>
      <c r="AI698" t="s">
        <v>111</v>
      </c>
      <c r="AJ698" t="s">
        <v>111</v>
      </c>
      <c r="AK698" t="s">
        <v>111</v>
      </c>
      <c r="AL698" t="s">
        <v>111</v>
      </c>
      <c r="AM698">
        <v>0</v>
      </c>
      <c r="AN698">
        <v>0</v>
      </c>
      <c r="AO698">
        <v>0</v>
      </c>
      <c r="AP698" t="s">
        <v>111</v>
      </c>
      <c r="AQ698" t="s">
        <v>111</v>
      </c>
      <c r="AR698" t="s">
        <v>111</v>
      </c>
      <c r="AS698" t="s">
        <v>111</v>
      </c>
      <c r="AT698" t="s">
        <v>111</v>
      </c>
      <c r="AU698" t="s">
        <v>111</v>
      </c>
      <c r="AV698" t="s">
        <v>111</v>
      </c>
      <c r="AW698" t="s">
        <v>111</v>
      </c>
      <c r="AX698" t="s">
        <v>111</v>
      </c>
      <c r="AY698" t="s">
        <v>111</v>
      </c>
      <c r="AZ698" t="s">
        <v>111</v>
      </c>
      <c r="BA698" t="s">
        <v>111</v>
      </c>
      <c r="BB698" t="s">
        <v>111</v>
      </c>
      <c r="BC698" t="s">
        <v>111</v>
      </c>
      <c r="BD698" t="s">
        <v>111</v>
      </c>
      <c r="BE698" t="s">
        <v>111</v>
      </c>
      <c r="BF698" t="s">
        <v>111</v>
      </c>
      <c r="BG698" t="s">
        <v>111</v>
      </c>
      <c r="BH698" t="s">
        <v>111</v>
      </c>
      <c r="BI698" t="s">
        <v>111</v>
      </c>
      <c r="BJ698" t="s">
        <v>111</v>
      </c>
      <c r="BK698" t="s">
        <v>111</v>
      </c>
      <c r="BL698" t="s">
        <v>111</v>
      </c>
      <c r="BM698" t="s">
        <v>111</v>
      </c>
      <c r="BN698" t="s">
        <v>111</v>
      </c>
      <c r="BO698" t="s">
        <v>111</v>
      </c>
      <c r="BP698" t="s">
        <v>111</v>
      </c>
      <c r="BQ698" t="s">
        <v>111</v>
      </c>
      <c r="BR698" t="s">
        <v>111</v>
      </c>
      <c r="BS698" t="s">
        <v>111</v>
      </c>
      <c r="BT698" t="s">
        <v>111</v>
      </c>
      <c r="BU698" t="s">
        <v>111</v>
      </c>
      <c r="BV698" t="s">
        <v>111</v>
      </c>
      <c r="BW698" t="s">
        <v>111</v>
      </c>
      <c r="BX698" t="s">
        <v>111</v>
      </c>
      <c r="BY698" t="s">
        <v>111</v>
      </c>
      <c r="BZ698" t="s">
        <v>111</v>
      </c>
      <c r="CA698" t="s">
        <v>111</v>
      </c>
      <c r="CB698" t="s">
        <v>111</v>
      </c>
      <c r="CC698" t="s">
        <v>111</v>
      </c>
      <c r="CD698" t="s">
        <v>111</v>
      </c>
      <c r="CE698" t="s">
        <v>111</v>
      </c>
      <c r="CF698" t="s">
        <v>111</v>
      </c>
      <c r="CG698" t="s">
        <v>111</v>
      </c>
      <c r="CH698" t="s">
        <v>111</v>
      </c>
      <c r="CI698" t="s">
        <v>111</v>
      </c>
      <c r="CJ698" t="s">
        <v>111</v>
      </c>
      <c r="CK698" t="s">
        <v>111</v>
      </c>
      <c r="CL698" t="s">
        <v>111</v>
      </c>
      <c r="CM698" t="s">
        <v>111</v>
      </c>
      <c r="CN698" t="s">
        <v>111</v>
      </c>
      <c r="CO698" t="s">
        <v>111</v>
      </c>
      <c r="CP698" t="s">
        <v>111</v>
      </c>
      <c r="CQ698">
        <v>0</v>
      </c>
      <c r="CR698">
        <v>0</v>
      </c>
      <c r="CS698">
        <v>0</v>
      </c>
      <c r="CT698" t="s">
        <v>111</v>
      </c>
      <c r="CU698">
        <v>0</v>
      </c>
      <c r="CV698" t="s">
        <v>111</v>
      </c>
      <c r="CX698" t="s">
        <v>111</v>
      </c>
      <c r="CY698">
        <v>0</v>
      </c>
      <c r="CZ698" t="s">
        <v>111</v>
      </c>
      <c r="DA698" t="s">
        <v>111</v>
      </c>
      <c r="DB698" t="s">
        <v>111</v>
      </c>
      <c r="DC698" t="s">
        <v>111</v>
      </c>
    </row>
    <row r="699" spans="1:107">
      <c r="A699">
        <v>1829</v>
      </c>
      <c r="B699" t="s">
        <v>107</v>
      </c>
      <c r="C699" t="s">
        <v>855</v>
      </c>
      <c r="D699" t="s">
        <v>422</v>
      </c>
      <c r="E699" t="s">
        <v>2404</v>
      </c>
      <c r="F699" t="s">
        <v>370</v>
      </c>
      <c r="G699" t="s">
        <v>469</v>
      </c>
      <c r="H699">
        <v>2.9</v>
      </c>
      <c r="I699">
        <v>55</v>
      </c>
      <c r="J699">
        <v>0</v>
      </c>
      <c r="K699">
        <v>0</v>
      </c>
      <c r="L699" t="s">
        <v>112</v>
      </c>
      <c r="M699" t="s">
        <v>118</v>
      </c>
      <c r="N699">
        <v>0</v>
      </c>
      <c r="O699">
        <v>2</v>
      </c>
      <c r="P699" t="s">
        <v>111</v>
      </c>
      <c r="Q699">
        <v>40.9</v>
      </c>
      <c r="R699">
        <v>0</v>
      </c>
      <c r="S699">
        <v>0</v>
      </c>
      <c r="T699">
        <v>5</v>
      </c>
      <c r="U699" s="1" t="s">
        <v>2405</v>
      </c>
      <c r="V699">
        <v>25</v>
      </c>
      <c r="W699">
        <v>0</v>
      </c>
      <c r="X699">
        <v>8</v>
      </c>
      <c r="Y699">
        <v>0</v>
      </c>
      <c r="Z699" t="s">
        <v>288</v>
      </c>
      <c r="AA699">
        <v>0.15</v>
      </c>
      <c r="AB699" t="s">
        <v>111</v>
      </c>
      <c r="AC699">
        <v>0</v>
      </c>
      <c r="AD699" t="s">
        <v>416</v>
      </c>
      <c r="AE699">
        <v>0</v>
      </c>
      <c r="AF699">
        <v>0</v>
      </c>
      <c r="AG699" t="s">
        <v>111</v>
      </c>
      <c r="AH699" t="s">
        <v>113</v>
      </c>
      <c r="AI699" t="s">
        <v>111</v>
      </c>
      <c r="AJ699" t="s">
        <v>111</v>
      </c>
      <c r="AK699" t="s">
        <v>111</v>
      </c>
      <c r="AL699" t="s">
        <v>111</v>
      </c>
      <c r="AM699">
        <v>0</v>
      </c>
      <c r="AN699">
        <v>0</v>
      </c>
      <c r="AO699">
        <v>0</v>
      </c>
      <c r="AP699" t="s">
        <v>111</v>
      </c>
      <c r="AQ699" t="s">
        <v>111</v>
      </c>
      <c r="AR699" t="s">
        <v>111</v>
      </c>
      <c r="AS699" t="s">
        <v>111</v>
      </c>
      <c r="AT699" t="s">
        <v>111</v>
      </c>
      <c r="AU699" t="s">
        <v>111</v>
      </c>
      <c r="AV699" t="s">
        <v>111</v>
      </c>
      <c r="AW699" t="s">
        <v>111</v>
      </c>
      <c r="AX699" t="s">
        <v>111</v>
      </c>
      <c r="AY699" t="s">
        <v>111</v>
      </c>
      <c r="AZ699" t="s">
        <v>111</v>
      </c>
      <c r="BA699" t="s">
        <v>111</v>
      </c>
      <c r="BB699" t="s">
        <v>111</v>
      </c>
      <c r="BC699" t="s">
        <v>111</v>
      </c>
      <c r="BD699" t="s">
        <v>111</v>
      </c>
      <c r="BE699" t="s">
        <v>111</v>
      </c>
      <c r="BF699" t="s">
        <v>111</v>
      </c>
      <c r="BG699" t="s">
        <v>111</v>
      </c>
      <c r="BH699" t="s">
        <v>111</v>
      </c>
      <c r="BI699" t="s">
        <v>111</v>
      </c>
      <c r="BJ699" t="s">
        <v>111</v>
      </c>
      <c r="BK699" t="s">
        <v>111</v>
      </c>
      <c r="BL699" t="s">
        <v>111</v>
      </c>
      <c r="BM699" t="s">
        <v>111</v>
      </c>
      <c r="BN699" t="s">
        <v>111</v>
      </c>
      <c r="BO699" t="s">
        <v>111</v>
      </c>
      <c r="BP699" t="s">
        <v>111</v>
      </c>
      <c r="BQ699" t="s">
        <v>111</v>
      </c>
      <c r="BR699" t="s">
        <v>111</v>
      </c>
      <c r="BS699" t="s">
        <v>111</v>
      </c>
      <c r="BT699" t="s">
        <v>111</v>
      </c>
      <c r="BU699" t="s">
        <v>111</v>
      </c>
      <c r="BV699" t="s">
        <v>111</v>
      </c>
      <c r="BW699" t="s">
        <v>111</v>
      </c>
      <c r="BX699" t="s">
        <v>111</v>
      </c>
      <c r="BY699" t="s">
        <v>111</v>
      </c>
      <c r="BZ699" t="s">
        <v>111</v>
      </c>
      <c r="CA699" t="s">
        <v>111</v>
      </c>
      <c r="CB699" t="s">
        <v>111</v>
      </c>
      <c r="CC699" t="s">
        <v>111</v>
      </c>
      <c r="CD699" t="s">
        <v>111</v>
      </c>
      <c r="CE699" t="s">
        <v>111</v>
      </c>
      <c r="CF699" t="s">
        <v>111</v>
      </c>
      <c r="CG699" t="s">
        <v>111</v>
      </c>
      <c r="CH699" t="s">
        <v>111</v>
      </c>
      <c r="CI699" t="s">
        <v>111</v>
      </c>
      <c r="CJ699" t="s">
        <v>111</v>
      </c>
      <c r="CK699" t="s">
        <v>111</v>
      </c>
      <c r="CL699" t="s">
        <v>111</v>
      </c>
      <c r="CM699" t="s">
        <v>135</v>
      </c>
      <c r="CN699" t="s">
        <v>113</v>
      </c>
      <c r="CO699" t="s">
        <v>885</v>
      </c>
      <c r="CP699" t="s">
        <v>111</v>
      </c>
      <c r="CQ699">
        <v>34</v>
      </c>
      <c r="CR699">
        <v>600</v>
      </c>
      <c r="CS699">
        <v>50</v>
      </c>
      <c r="CT699" s="1" t="s">
        <v>2406</v>
      </c>
      <c r="CU699">
        <v>0</v>
      </c>
      <c r="CV699" t="s">
        <v>111</v>
      </c>
      <c r="CX699" t="s">
        <v>111</v>
      </c>
      <c r="CY699">
        <v>0</v>
      </c>
      <c r="CZ699" t="s">
        <v>111</v>
      </c>
      <c r="DA699" t="s">
        <v>111</v>
      </c>
      <c r="DB699" t="e">
        <f>-EXTERNO</f>
        <v>#NAME?</v>
      </c>
      <c r="DC699" t="e">
        <f>-CORDON BLANCO</f>
        <v>#NAME?</v>
      </c>
    </row>
    <row r="700" spans="1:107">
      <c r="A700">
        <v>1824</v>
      </c>
      <c r="B700" t="s">
        <v>107</v>
      </c>
      <c r="C700" t="s">
        <v>2274</v>
      </c>
      <c r="D700" t="s">
        <v>818</v>
      </c>
      <c r="E700" t="s">
        <v>819</v>
      </c>
      <c r="F700" t="s">
        <v>370</v>
      </c>
      <c r="G700" t="s">
        <v>469</v>
      </c>
      <c r="H700">
        <v>1.4</v>
      </c>
      <c r="I700">
        <v>57</v>
      </c>
      <c r="J700">
        <v>0</v>
      </c>
      <c r="K700">
        <v>0</v>
      </c>
      <c r="L700" t="s">
        <v>112</v>
      </c>
      <c r="M700" t="s">
        <v>118</v>
      </c>
      <c r="N700">
        <v>39</v>
      </c>
      <c r="O700">
        <v>2</v>
      </c>
      <c r="P700" t="s">
        <v>111</v>
      </c>
      <c r="Q700">
        <v>44.2</v>
      </c>
      <c r="R700">
        <v>0</v>
      </c>
      <c r="S700">
        <v>0</v>
      </c>
      <c r="T700">
        <v>5</v>
      </c>
      <c r="U700" s="1" t="s">
        <v>2407</v>
      </c>
      <c r="V700">
        <v>25</v>
      </c>
      <c r="W700">
        <v>0</v>
      </c>
      <c r="X700">
        <v>8</v>
      </c>
      <c r="Y700">
        <v>0</v>
      </c>
      <c r="Z700" t="s">
        <v>288</v>
      </c>
      <c r="AA700">
        <v>1.8</v>
      </c>
      <c r="AB700" t="s">
        <v>111</v>
      </c>
      <c r="AC700">
        <v>0</v>
      </c>
      <c r="AD700" t="s">
        <v>416</v>
      </c>
      <c r="AE700">
        <v>0</v>
      </c>
      <c r="AF700">
        <v>0</v>
      </c>
      <c r="AG700" t="s">
        <v>111</v>
      </c>
      <c r="AH700" t="s">
        <v>113</v>
      </c>
      <c r="AI700" t="s">
        <v>111</v>
      </c>
      <c r="AJ700" t="s">
        <v>111</v>
      </c>
      <c r="AK700" t="s">
        <v>111</v>
      </c>
      <c r="AL700" t="s">
        <v>111</v>
      </c>
      <c r="AM700">
        <v>0</v>
      </c>
      <c r="AN700">
        <v>0</v>
      </c>
      <c r="AO700">
        <v>0</v>
      </c>
      <c r="AP700" t="s">
        <v>111</v>
      </c>
      <c r="AQ700" t="s">
        <v>111</v>
      </c>
      <c r="AR700" t="s">
        <v>111</v>
      </c>
      <c r="AS700" t="s">
        <v>111</v>
      </c>
      <c r="AT700" t="s">
        <v>111</v>
      </c>
      <c r="AU700" t="s">
        <v>111</v>
      </c>
      <c r="AV700" t="s">
        <v>111</v>
      </c>
      <c r="AW700" t="s">
        <v>111</v>
      </c>
      <c r="AX700" t="s">
        <v>111</v>
      </c>
      <c r="AY700" t="s">
        <v>111</v>
      </c>
      <c r="AZ700" t="s">
        <v>111</v>
      </c>
      <c r="BA700" t="s">
        <v>111</v>
      </c>
      <c r="BB700" t="s">
        <v>111</v>
      </c>
      <c r="BC700" t="s">
        <v>111</v>
      </c>
      <c r="BD700" t="s">
        <v>111</v>
      </c>
      <c r="BE700" t="s">
        <v>111</v>
      </c>
      <c r="BF700" t="s">
        <v>111</v>
      </c>
      <c r="BG700" t="s">
        <v>111</v>
      </c>
      <c r="BH700" t="s">
        <v>111</v>
      </c>
      <c r="BI700" t="s">
        <v>111</v>
      </c>
      <c r="BJ700" t="s">
        <v>111</v>
      </c>
      <c r="BK700" t="s">
        <v>111</v>
      </c>
      <c r="BL700" t="s">
        <v>111</v>
      </c>
      <c r="BM700" t="s">
        <v>111</v>
      </c>
      <c r="BN700" t="s">
        <v>111</v>
      </c>
      <c r="BO700" t="s">
        <v>111</v>
      </c>
      <c r="BP700" t="s">
        <v>111</v>
      </c>
      <c r="BQ700" t="s">
        <v>111</v>
      </c>
      <c r="BR700" t="s">
        <v>111</v>
      </c>
      <c r="BS700" t="s">
        <v>111</v>
      </c>
      <c r="BT700" t="s">
        <v>111</v>
      </c>
      <c r="BU700" t="s">
        <v>111</v>
      </c>
      <c r="BV700" t="s">
        <v>111</v>
      </c>
      <c r="BW700" t="s">
        <v>111</v>
      </c>
      <c r="BX700" t="s">
        <v>111</v>
      </c>
      <c r="BY700" t="s">
        <v>111</v>
      </c>
      <c r="BZ700" t="s">
        <v>111</v>
      </c>
      <c r="CA700" t="s">
        <v>111</v>
      </c>
      <c r="CB700" t="s">
        <v>111</v>
      </c>
      <c r="CC700" t="s">
        <v>111</v>
      </c>
      <c r="CD700" t="s">
        <v>111</v>
      </c>
      <c r="CE700" t="s">
        <v>111</v>
      </c>
      <c r="CF700" t="s">
        <v>111</v>
      </c>
      <c r="CG700" t="s">
        <v>111</v>
      </c>
      <c r="CH700" t="s">
        <v>111</v>
      </c>
      <c r="CI700" t="s">
        <v>111</v>
      </c>
      <c r="CJ700" t="s">
        <v>111</v>
      </c>
      <c r="CK700" t="s">
        <v>111</v>
      </c>
      <c r="CL700" t="s">
        <v>111</v>
      </c>
      <c r="CM700" t="s">
        <v>360</v>
      </c>
      <c r="CN700" t="s">
        <v>113</v>
      </c>
      <c r="CO700" t="s">
        <v>367</v>
      </c>
      <c r="CP700" t="s">
        <v>111</v>
      </c>
      <c r="CQ700">
        <v>0</v>
      </c>
      <c r="CR700">
        <v>2000</v>
      </c>
      <c r="CS700">
        <v>50</v>
      </c>
      <c r="CT700" s="1" t="s">
        <v>2408</v>
      </c>
      <c r="CU700">
        <v>0</v>
      </c>
      <c r="CV700" t="s">
        <v>111</v>
      </c>
      <c r="CX700" t="s">
        <v>111</v>
      </c>
      <c r="CY700">
        <v>0</v>
      </c>
      <c r="CZ700" t="s">
        <v>111</v>
      </c>
      <c r="DA700" t="s">
        <v>111</v>
      </c>
      <c r="DB700" t="e">
        <f>-INTERNO</f>
        <v>#NAME?</v>
      </c>
      <c r="DC700" t="e">
        <f>-TROQUEL RIÑON</f>
        <v>#NAME?</v>
      </c>
    </row>
    <row r="701" spans="1:107">
      <c r="A701">
        <v>1823</v>
      </c>
      <c r="B701" t="s">
        <v>107</v>
      </c>
      <c r="C701" t="s">
        <v>1993</v>
      </c>
      <c r="D701" t="s">
        <v>1678</v>
      </c>
      <c r="E701" t="s">
        <v>1679</v>
      </c>
      <c r="F701" t="s">
        <v>431</v>
      </c>
      <c r="G701" t="s">
        <v>469</v>
      </c>
      <c r="H701">
        <v>1.9</v>
      </c>
      <c r="I701">
        <v>70</v>
      </c>
      <c r="J701">
        <v>0</v>
      </c>
      <c r="K701">
        <v>0</v>
      </c>
      <c r="L701" t="s">
        <v>112</v>
      </c>
      <c r="M701" t="s">
        <v>118</v>
      </c>
      <c r="N701">
        <v>0</v>
      </c>
      <c r="O701">
        <v>1</v>
      </c>
      <c r="P701" t="s">
        <v>111</v>
      </c>
      <c r="Q701">
        <v>46.3</v>
      </c>
      <c r="R701">
        <v>0</v>
      </c>
      <c r="S701">
        <v>0</v>
      </c>
      <c r="T701">
        <v>5</v>
      </c>
      <c r="U701" t="e">
        <f>-IMPRESION DARMA</f>
        <v>#NAME?</v>
      </c>
      <c r="V701">
        <v>0</v>
      </c>
      <c r="W701">
        <v>25</v>
      </c>
      <c r="X701">
        <v>6</v>
      </c>
      <c r="Y701">
        <v>0</v>
      </c>
      <c r="Z701" t="s">
        <v>111</v>
      </c>
      <c r="AA701">
        <v>0</v>
      </c>
      <c r="AB701" t="s">
        <v>111</v>
      </c>
      <c r="AC701">
        <v>0</v>
      </c>
      <c r="AD701" t="s">
        <v>416</v>
      </c>
      <c r="AE701">
        <v>0</v>
      </c>
      <c r="AF701">
        <v>0</v>
      </c>
      <c r="AG701" t="s">
        <v>111</v>
      </c>
      <c r="AH701" t="s">
        <v>113</v>
      </c>
      <c r="AI701" t="s">
        <v>111</v>
      </c>
      <c r="AJ701" t="s">
        <v>111</v>
      </c>
      <c r="AK701" t="s">
        <v>111</v>
      </c>
      <c r="AL701" t="s">
        <v>111</v>
      </c>
      <c r="AM701">
        <v>0</v>
      </c>
      <c r="AN701">
        <v>0</v>
      </c>
      <c r="AO701">
        <v>0</v>
      </c>
      <c r="AP701" t="s">
        <v>111</v>
      </c>
      <c r="AQ701" t="s">
        <v>111</v>
      </c>
      <c r="AR701" t="s">
        <v>111</v>
      </c>
      <c r="AS701" t="s">
        <v>111</v>
      </c>
      <c r="AT701" t="s">
        <v>111</v>
      </c>
      <c r="AU701" t="s">
        <v>111</v>
      </c>
      <c r="AV701" t="s">
        <v>111</v>
      </c>
      <c r="AW701" t="s">
        <v>111</v>
      </c>
      <c r="AX701" t="s">
        <v>111</v>
      </c>
      <c r="AY701" t="s">
        <v>111</v>
      </c>
      <c r="AZ701" t="s">
        <v>111</v>
      </c>
      <c r="BA701" t="s">
        <v>111</v>
      </c>
      <c r="BB701" t="s">
        <v>111</v>
      </c>
      <c r="BC701" t="s">
        <v>111</v>
      </c>
      <c r="BD701" t="s">
        <v>111</v>
      </c>
      <c r="BE701" t="s">
        <v>111</v>
      </c>
      <c r="BF701" t="s">
        <v>111</v>
      </c>
      <c r="BG701" t="s">
        <v>111</v>
      </c>
      <c r="BH701" t="s">
        <v>111</v>
      </c>
      <c r="BI701" t="s">
        <v>111</v>
      </c>
      <c r="BJ701" t="s">
        <v>111</v>
      </c>
      <c r="BK701" t="s">
        <v>111</v>
      </c>
      <c r="BL701" t="s">
        <v>111</v>
      </c>
      <c r="BM701" t="s">
        <v>111</v>
      </c>
      <c r="BN701" t="s">
        <v>111</v>
      </c>
      <c r="BO701" t="s">
        <v>111</v>
      </c>
      <c r="BP701" t="s">
        <v>111</v>
      </c>
      <c r="BQ701" t="s">
        <v>111</v>
      </c>
      <c r="BR701" t="s">
        <v>111</v>
      </c>
      <c r="BS701" t="s">
        <v>111</v>
      </c>
      <c r="BT701" t="s">
        <v>111</v>
      </c>
      <c r="BU701" t="s">
        <v>111</v>
      </c>
      <c r="BV701" t="s">
        <v>111</v>
      </c>
      <c r="BW701" t="s">
        <v>111</v>
      </c>
      <c r="BX701" t="s">
        <v>111</v>
      </c>
      <c r="BY701" t="s">
        <v>111</v>
      </c>
      <c r="BZ701" t="s">
        <v>111</v>
      </c>
      <c r="CA701" t="s">
        <v>111</v>
      </c>
      <c r="CB701" t="s">
        <v>111</v>
      </c>
      <c r="CC701" t="s">
        <v>111</v>
      </c>
      <c r="CD701" t="s">
        <v>111</v>
      </c>
      <c r="CE701" t="s">
        <v>111</v>
      </c>
      <c r="CF701" t="s">
        <v>111</v>
      </c>
      <c r="CG701" t="s">
        <v>111</v>
      </c>
      <c r="CH701" t="s">
        <v>111</v>
      </c>
      <c r="CI701" t="s">
        <v>111</v>
      </c>
      <c r="CJ701" t="s">
        <v>111</v>
      </c>
      <c r="CK701" t="s">
        <v>111</v>
      </c>
      <c r="CL701" t="s">
        <v>111</v>
      </c>
      <c r="CM701" t="s">
        <v>360</v>
      </c>
      <c r="CN701" t="s">
        <v>113</v>
      </c>
      <c r="CO701" t="s">
        <v>111</v>
      </c>
      <c r="CP701" t="s">
        <v>111</v>
      </c>
      <c r="CQ701">
        <v>0</v>
      </c>
      <c r="CR701">
        <v>1000</v>
      </c>
      <c r="CS701">
        <v>100</v>
      </c>
      <c r="CT701" t="e">
        <f>-ALMACEN</f>
        <v>#NAME?</v>
      </c>
      <c r="CU701">
        <v>0</v>
      </c>
      <c r="CV701" t="s">
        <v>111</v>
      </c>
      <c r="CX701" t="s">
        <v>111</v>
      </c>
      <c r="CY701">
        <v>0</v>
      </c>
      <c r="CZ701" t="s">
        <v>111</v>
      </c>
      <c r="DA701" t="s">
        <v>111</v>
      </c>
      <c r="DB701" t="s">
        <v>111</v>
      </c>
      <c r="DC701" t="s">
        <v>111</v>
      </c>
    </row>
    <row r="702" spans="1:107">
      <c r="A702">
        <v>797</v>
      </c>
      <c r="B702" t="s">
        <v>107</v>
      </c>
      <c r="C702" t="s">
        <v>312</v>
      </c>
      <c r="D702" t="s">
        <v>2409</v>
      </c>
      <c r="E702" t="s">
        <v>2410</v>
      </c>
      <c r="F702" t="s">
        <v>125</v>
      </c>
      <c r="G702" t="s">
        <v>469</v>
      </c>
      <c r="H702">
        <v>1.2</v>
      </c>
      <c r="I702">
        <v>62</v>
      </c>
      <c r="J702">
        <v>0</v>
      </c>
      <c r="K702">
        <v>0</v>
      </c>
      <c r="L702" t="s">
        <v>112</v>
      </c>
      <c r="M702" t="s">
        <v>138</v>
      </c>
      <c r="N702">
        <v>0</v>
      </c>
      <c r="O702">
        <v>0</v>
      </c>
      <c r="P702" t="s">
        <v>138</v>
      </c>
      <c r="Q702">
        <v>50</v>
      </c>
      <c r="R702">
        <v>0</v>
      </c>
      <c r="S702">
        <v>0</v>
      </c>
      <c r="T702">
        <v>5</v>
      </c>
      <c r="U702" s="1" t="s">
        <v>2411</v>
      </c>
      <c r="V702">
        <v>12.5</v>
      </c>
      <c r="W702">
        <v>0</v>
      </c>
      <c r="X702">
        <v>12.5</v>
      </c>
      <c r="Y702">
        <v>0</v>
      </c>
      <c r="Z702" t="s">
        <v>2412</v>
      </c>
      <c r="AA702">
        <v>2.5</v>
      </c>
      <c r="AB702" t="s">
        <v>2413</v>
      </c>
      <c r="AC702">
        <v>0</v>
      </c>
      <c r="AD702" t="s">
        <v>111</v>
      </c>
      <c r="AE702">
        <v>0</v>
      </c>
      <c r="AF702">
        <v>0</v>
      </c>
      <c r="AG702" t="s">
        <v>111</v>
      </c>
      <c r="AH702" t="s">
        <v>111</v>
      </c>
      <c r="AI702" t="s">
        <v>111</v>
      </c>
      <c r="AJ702" t="s">
        <v>111</v>
      </c>
      <c r="AK702" t="s">
        <v>111</v>
      </c>
      <c r="AL702" t="s">
        <v>111</v>
      </c>
      <c r="AM702">
        <v>0</v>
      </c>
      <c r="AN702">
        <v>0</v>
      </c>
      <c r="AO702">
        <v>0</v>
      </c>
      <c r="AP702" t="s">
        <v>111</v>
      </c>
      <c r="AQ702" t="s">
        <v>111</v>
      </c>
      <c r="AR702" t="s">
        <v>111</v>
      </c>
      <c r="AS702" t="s">
        <v>111</v>
      </c>
      <c r="AT702" t="s">
        <v>111</v>
      </c>
      <c r="AU702" t="s">
        <v>111</v>
      </c>
      <c r="AV702" t="s">
        <v>111</v>
      </c>
      <c r="AW702" t="s">
        <v>111</v>
      </c>
      <c r="AX702" t="s">
        <v>111</v>
      </c>
      <c r="AY702" t="s">
        <v>111</v>
      </c>
      <c r="AZ702" t="s">
        <v>111</v>
      </c>
      <c r="BA702" t="s">
        <v>111</v>
      </c>
      <c r="BB702" t="s">
        <v>111</v>
      </c>
      <c r="BC702" t="s">
        <v>111</v>
      </c>
      <c r="BD702" t="s">
        <v>111</v>
      </c>
      <c r="BE702" t="s">
        <v>111</v>
      </c>
      <c r="BF702" t="s">
        <v>111</v>
      </c>
      <c r="BG702" t="s">
        <v>111</v>
      </c>
      <c r="BH702" t="s">
        <v>111</v>
      </c>
      <c r="BI702" t="s">
        <v>111</v>
      </c>
      <c r="BJ702" t="s">
        <v>111</v>
      </c>
      <c r="BK702" t="s">
        <v>111</v>
      </c>
      <c r="BL702" t="s">
        <v>111</v>
      </c>
      <c r="BM702" t="s">
        <v>111</v>
      </c>
      <c r="BN702" t="s">
        <v>111</v>
      </c>
      <c r="BO702" t="s">
        <v>111</v>
      </c>
      <c r="BP702" t="s">
        <v>111</v>
      </c>
      <c r="BQ702" t="s">
        <v>111</v>
      </c>
      <c r="BR702" t="s">
        <v>111</v>
      </c>
      <c r="BS702" t="s">
        <v>111</v>
      </c>
      <c r="BT702" t="s">
        <v>111</v>
      </c>
      <c r="BU702" t="s">
        <v>111</v>
      </c>
      <c r="BV702" t="s">
        <v>111</v>
      </c>
      <c r="BW702" t="s">
        <v>111</v>
      </c>
      <c r="BX702" t="s">
        <v>111</v>
      </c>
      <c r="BY702" t="s">
        <v>111</v>
      </c>
      <c r="BZ702" t="s">
        <v>111</v>
      </c>
      <c r="CA702" t="s">
        <v>111</v>
      </c>
      <c r="CB702" t="s">
        <v>111</v>
      </c>
      <c r="CC702" t="s">
        <v>111</v>
      </c>
      <c r="CD702" t="s">
        <v>111</v>
      </c>
      <c r="CE702" t="s">
        <v>111</v>
      </c>
      <c r="CF702" t="s">
        <v>111</v>
      </c>
      <c r="CG702" t="s">
        <v>111</v>
      </c>
      <c r="CH702" t="s">
        <v>111</v>
      </c>
      <c r="CI702" t="s">
        <v>111</v>
      </c>
      <c r="CJ702" t="s">
        <v>111</v>
      </c>
      <c r="CK702" t="s">
        <v>111</v>
      </c>
      <c r="CL702" t="s">
        <v>111</v>
      </c>
      <c r="CM702" t="s">
        <v>127</v>
      </c>
      <c r="CN702" t="s">
        <v>128</v>
      </c>
      <c r="CO702" t="s">
        <v>111</v>
      </c>
      <c r="CP702" t="s">
        <v>111</v>
      </c>
      <c r="CQ702">
        <v>0</v>
      </c>
      <c r="CR702">
        <v>600</v>
      </c>
      <c r="CS702">
        <v>50</v>
      </c>
      <c r="CT702" s="1" t="s">
        <v>2414</v>
      </c>
      <c r="CU702">
        <v>0</v>
      </c>
      <c r="CV702" t="s">
        <v>111</v>
      </c>
      <c r="CW702" t="s">
        <v>111</v>
      </c>
      <c r="CX702" t="s">
        <v>111</v>
      </c>
      <c r="CY702">
        <v>0</v>
      </c>
      <c r="CZ702" t="s">
        <v>111</v>
      </c>
      <c r="DA702" t="s">
        <v>111</v>
      </c>
      <c r="DB702" t="s">
        <v>111</v>
      </c>
      <c r="DC702" t="s">
        <v>111</v>
      </c>
    </row>
    <row r="703" spans="1:107">
      <c r="A703">
        <v>1956</v>
      </c>
      <c r="B703" t="s">
        <v>107</v>
      </c>
      <c r="C703" t="s">
        <v>428</v>
      </c>
      <c r="D703" t="s">
        <v>2415</v>
      </c>
      <c r="E703" t="s">
        <v>2416</v>
      </c>
      <c r="F703" t="s">
        <v>157</v>
      </c>
      <c r="G703" t="s">
        <v>469</v>
      </c>
      <c r="H703">
        <v>2.5</v>
      </c>
      <c r="I703">
        <v>81.2</v>
      </c>
      <c r="J703">
        <v>0</v>
      </c>
      <c r="K703">
        <v>0</v>
      </c>
      <c r="L703" t="s">
        <v>112</v>
      </c>
      <c r="M703" t="s">
        <v>111</v>
      </c>
      <c r="N703">
        <v>0</v>
      </c>
      <c r="O703">
        <v>0</v>
      </c>
      <c r="P703" t="s">
        <v>111</v>
      </c>
      <c r="Q703">
        <v>37.5</v>
      </c>
      <c r="R703">
        <v>0</v>
      </c>
      <c r="S703">
        <v>0</v>
      </c>
      <c r="T703">
        <v>0</v>
      </c>
      <c r="U703" s="1" t="s">
        <v>2417</v>
      </c>
      <c r="V703">
        <v>12.5</v>
      </c>
      <c r="W703">
        <v>0</v>
      </c>
      <c r="X703">
        <v>12.5</v>
      </c>
      <c r="Y703">
        <v>0</v>
      </c>
      <c r="Z703" t="s">
        <v>111</v>
      </c>
      <c r="AA703">
        <v>0</v>
      </c>
      <c r="AB703" t="s">
        <v>1780</v>
      </c>
      <c r="AC703">
        <v>25</v>
      </c>
      <c r="AD703" t="s">
        <v>111</v>
      </c>
      <c r="AE703">
        <v>0</v>
      </c>
      <c r="AF703">
        <v>0</v>
      </c>
      <c r="AG703" t="s">
        <v>111</v>
      </c>
      <c r="AH703" t="s">
        <v>111</v>
      </c>
      <c r="AI703" t="s">
        <v>111</v>
      </c>
      <c r="AJ703" t="s">
        <v>111</v>
      </c>
      <c r="AK703" t="s">
        <v>111</v>
      </c>
      <c r="AL703" t="s">
        <v>111</v>
      </c>
      <c r="AM703">
        <v>0</v>
      </c>
      <c r="AN703">
        <v>0</v>
      </c>
      <c r="AO703">
        <v>0</v>
      </c>
      <c r="AP703" t="s">
        <v>111</v>
      </c>
      <c r="AQ703" t="s">
        <v>111</v>
      </c>
      <c r="AR703" t="s">
        <v>111</v>
      </c>
      <c r="AS703" t="s">
        <v>111</v>
      </c>
      <c r="AT703" t="s">
        <v>111</v>
      </c>
      <c r="AU703" t="s">
        <v>111</v>
      </c>
      <c r="AV703" t="s">
        <v>111</v>
      </c>
      <c r="AW703" t="s">
        <v>111</v>
      </c>
      <c r="AX703" t="s">
        <v>111</v>
      </c>
      <c r="AY703" t="s">
        <v>111</v>
      </c>
      <c r="AZ703" t="s">
        <v>111</v>
      </c>
      <c r="BA703" t="s">
        <v>111</v>
      </c>
      <c r="BB703" t="s">
        <v>111</v>
      </c>
      <c r="BC703" t="s">
        <v>111</v>
      </c>
      <c r="BD703" t="s">
        <v>111</v>
      </c>
      <c r="BE703" t="s">
        <v>111</v>
      </c>
      <c r="BF703" t="s">
        <v>111</v>
      </c>
      <c r="BG703" t="s">
        <v>111</v>
      </c>
      <c r="BH703" t="s">
        <v>111</v>
      </c>
      <c r="BI703" t="s">
        <v>111</v>
      </c>
      <c r="BJ703" t="s">
        <v>111</v>
      </c>
      <c r="BK703" t="s">
        <v>111</v>
      </c>
      <c r="BL703" t="s">
        <v>111</v>
      </c>
      <c r="BM703" t="s">
        <v>111</v>
      </c>
      <c r="BN703" t="s">
        <v>111</v>
      </c>
      <c r="BO703" t="s">
        <v>111</v>
      </c>
      <c r="BP703" t="s">
        <v>111</v>
      </c>
      <c r="BQ703" t="s">
        <v>111</v>
      </c>
      <c r="BR703" t="s">
        <v>111</v>
      </c>
      <c r="BS703" t="s">
        <v>111</v>
      </c>
      <c r="BT703" t="s">
        <v>111</v>
      </c>
      <c r="BU703" t="s">
        <v>111</v>
      </c>
      <c r="BV703" t="s">
        <v>111</v>
      </c>
      <c r="BW703" t="s">
        <v>111</v>
      </c>
      <c r="BX703" t="s">
        <v>111</v>
      </c>
      <c r="BY703" t="s">
        <v>111</v>
      </c>
      <c r="BZ703" t="s">
        <v>111</v>
      </c>
      <c r="CA703" t="s">
        <v>111</v>
      </c>
      <c r="CB703" t="s">
        <v>111</v>
      </c>
      <c r="CC703" t="s">
        <v>111</v>
      </c>
      <c r="CD703" t="s">
        <v>111</v>
      </c>
      <c r="CE703" t="s">
        <v>111</v>
      </c>
      <c r="CF703" t="s">
        <v>111</v>
      </c>
      <c r="CG703" t="s">
        <v>111</v>
      </c>
      <c r="CH703" t="s">
        <v>111</v>
      </c>
      <c r="CI703" t="s">
        <v>111</v>
      </c>
      <c r="CJ703" t="s">
        <v>111</v>
      </c>
      <c r="CK703" t="s">
        <v>111</v>
      </c>
      <c r="CL703" t="s">
        <v>111</v>
      </c>
      <c r="CM703" t="s">
        <v>111</v>
      </c>
      <c r="CN703" t="s">
        <v>111</v>
      </c>
      <c r="CO703" t="s">
        <v>111</v>
      </c>
      <c r="CP703" t="s">
        <v>111</v>
      </c>
      <c r="CQ703">
        <v>0</v>
      </c>
      <c r="CR703">
        <v>0</v>
      </c>
      <c r="CS703">
        <v>0</v>
      </c>
      <c r="CT703" t="s">
        <v>111</v>
      </c>
      <c r="CU703">
        <v>0</v>
      </c>
      <c r="CV703" t="s">
        <v>111</v>
      </c>
      <c r="CX703" t="s">
        <v>111</v>
      </c>
      <c r="CY703">
        <v>0</v>
      </c>
      <c r="CZ703" t="s">
        <v>111</v>
      </c>
      <c r="DA703" t="s">
        <v>111</v>
      </c>
      <c r="DB703" t="s">
        <v>111</v>
      </c>
      <c r="DC703" t="s">
        <v>111</v>
      </c>
    </row>
    <row r="704" spans="1:107">
      <c r="A704">
        <v>1821</v>
      </c>
      <c r="B704" t="s">
        <v>107</v>
      </c>
      <c r="C704" t="s">
        <v>180</v>
      </c>
      <c r="D704" t="s">
        <v>2418</v>
      </c>
      <c r="E704" t="s">
        <v>2419</v>
      </c>
      <c r="F704" t="s">
        <v>192</v>
      </c>
      <c r="G704" t="s">
        <v>469</v>
      </c>
      <c r="H704">
        <v>1.5</v>
      </c>
      <c r="I704">
        <v>14.5</v>
      </c>
      <c r="J704">
        <v>0</v>
      </c>
      <c r="K704">
        <v>0</v>
      </c>
      <c r="L704" t="s">
        <v>112</v>
      </c>
      <c r="M704" t="s">
        <v>111</v>
      </c>
      <c r="N704">
        <v>0</v>
      </c>
      <c r="O704">
        <v>0</v>
      </c>
      <c r="P704" t="s">
        <v>111</v>
      </c>
      <c r="Q704">
        <v>20</v>
      </c>
      <c r="R704">
        <v>0</v>
      </c>
      <c r="S704">
        <v>0</v>
      </c>
      <c r="T704">
        <v>0</v>
      </c>
      <c r="U704" t="e">
        <f>-ALMACEN</f>
        <v>#NAME?</v>
      </c>
      <c r="V704">
        <v>0</v>
      </c>
      <c r="W704">
        <v>0</v>
      </c>
      <c r="X704">
        <v>10</v>
      </c>
      <c r="Y704">
        <v>0</v>
      </c>
      <c r="Z704" t="s">
        <v>111</v>
      </c>
      <c r="AA704">
        <v>0</v>
      </c>
      <c r="AB704" t="s">
        <v>111</v>
      </c>
      <c r="AC704">
        <v>0</v>
      </c>
      <c r="AD704" t="s">
        <v>111</v>
      </c>
      <c r="AE704">
        <v>0</v>
      </c>
      <c r="AF704">
        <v>0</v>
      </c>
      <c r="AG704" t="s">
        <v>111</v>
      </c>
      <c r="AH704" t="s">
        <v>111</v>
      </c>
      <c r="AI704" t="s">
        <v>111</v>
      </c>
      <c r="AJ704" t="s">
        <v>111</v>
      </c>
      <c r="AK704" t="s">
        <v>111</v>
      </c>
      <c r="AL704" t="s">
        <v>111</v>
      </c>
      <c r="AM704">
        <v>0</v>
      </c>
      <c r="AN704">
        <v>0</v>
      </c>
      <c r="AO704">
        <v>0</v>
      </c>
      <c r="AP704" t="s">
        <v>111</v>
      </c>
      <c r="AQ704" t="s">
        <v>111</v>
      </c>
      <c r="AR704" t="s">
        <v>111</v>
      </c>
      <c r="AS704" t="s">
        <v>111</v>
      </c>
      <c r="AT704" t="s">
        <v>111</v>
      </c>
      <c r="AU704" t="s">
        <v>111</v>
      </c>
      <c r="AV704" t="s">
        <v>111</v>
      </c>
      <c r="AW704" t="s">
        <v>111</v>
      </c>
      <c r="AX704" t="s">
        <v>111</v>
      </c>
      <c r="AY704" t="s">
        <v>111</v>
      </c>
      <c r="AZ704" t="s">
        <v>111</v>
      </c>
      <c r="BA704" t="s">
        <v>111</v>
      </c>
      <c r="BB704" t="s">
        <v>111</v>
      </c>
      <c r="BC704" t="s">
        <v>111</v>
      </c>
      <c r="BD704" t="s">
        <v>111</v>
      </c>
      <c r="BE704" t="s">
        <v>111</v>
      </c>
      <c r="BF704" t="s">
        <v>111</v>
      </c>
      <c r="BG704" t="s">
        <v>111</v>
      </c>
      <c r="BH704" t="s">
        <v>111</v>
      </c>
      <c r="BI704" t="s">
        <v>111</v>
      </c>
      <c r="BJ704" t="s">
        <v>111</v>
      </c>
      <c r="BK704" t="s">
        <v>111</v>
      </c>
      <c r="BL704" t="s">
        <v>111</v>
      </c>
      <c r="BM704" t="s">
        <v>111</v>
      </c>
      <c r="BN704" t="s">
        <v>111</v>
      </c>
      <c r="BO704" t="s">
        <v>111</v>
      </c>
      <c r="BP704" t="s">
        <v>111</v>
      </c>
      <c r="BQ704" t="s">
        <v>111</v>
      </c>
      <c r="BR704" t="s">
        <v>111</v>
      </c>
      <c r="BS704" t="s">
        <v>111</v>
      </c>
      <c r="BT704" t="s">
        <v>111</v>
      </c>
      <c r="BU704" t="s">
        <v>111</v>
      </c>
      <c r="BV704" t="s">
        <v>111</v>
      </c>
      <c r="BW704" t="s">
        <v>111</v>
      </c>
      <c r="BX704" t="s">
        <v>111</v>
      </c>
      <c r="BY704" t="s">
        <v>111</v>
      </c>
      <c r="BZ704" t="s">
        <v>111</v>
      </c>
      <c r="CA704" t="s">
        <v>111</v>
      </c>
      <c r="CB704" t="s">
        <v>111</v>
      </c>
      <c r="CC704" t="s">
        <v>111</v>
      </c>
      <c r="CD704" t="s">
        <v>111</v>
      </c>
      <c r="CE704" t="s">
        <v>111</v>
      </c>
      <c r="CF704" t="s">
        <v>111</v>
      </c>
      <c r="CG704" t="s">
        <v>111</v>
      </c>
      <c r="CH704" t="s">
        <v>111</v>
      </c>
      <c r="CI704" t="s">
        <v>111</v>
      </c>
      <c r="CJ704" t="s">
        <v>111</v>
      </c>
      <c r="CK704" t="s">
        <v>111</v>
      </c>
      <c r="CL704" t="s">
        <v>111</v>
      </c>
      <c r="CM704" t="s">
        <v>240</v>
      </c>
      <c r="CN704" t="s">
        <v>128</v>
      </c>
      <c r="CO704" t="s">
        <v>111</v>
      </c>
      <c r="CP704" t="s">
        <v>111</v>
      </c>
      <c r="CQ704">
        <v>0</v>
      </c>
      <c r="CR704">
        <v>15000</v>
      </c>
      <c r="CS704">
        <v>250</v>
      </c>
      <c r="CT704" t="e">
        <f>-ALMACEN</f>
        <v>#NAME?</v>
      </c>
      <c r="CU704">
        <v>0</v>
      </c>
      <c r="CV704" t="s">
        <v>111</v>
      </c>
      <c r="CX704" t="s">
        <v>111</v>
      </c>
      <c r="CY704">
        <v>0</v>
      </c>
      <c r="CZ704" t="s">
        <v>111</v>
      </c>
      <c r="DA704" t="s">
        <v>111</v>
      </c>
      <c r="DB704" t="s">
        <v>111</v>
      </c>
      <c r="DC704" t="s">
        <v>111</v>
      </c>
    </row>
    <row r="705" spans="1:107">
      <c r="A705">
        <v>1869</v>
      </c>
      <c r="B705" t="s">
        <v>107</v>
      </c>
      <c r="C705" t="s">
        <v>399</v>
      </c>
      <c r="D705" t="s">
        <v>2420</v>
      </c>
      <c r="E705" t="s">
        <v>2421</v>
      </c>
      <c r="F705" t="s">
        <v>1112</v>
      </c>
      <c r="G705" t="s">
        <v>469</v>
      </c>
      <c r="H705">
        <v>0.75</v>
      </c>
      <c r="I705">
        <v>70</v>
      </c>
      <c r="J705">
        <v>0</v>
      </c>
      <c r="K705">
        <v>0</v>
      </c>
      <c r="L705" t="s">
        <v>178</v>
      </c>
      <c r="M705" t="s">
        <v>111</v>
      </c>
      <c r="N705">
        <v>0</v>
      </c>
      <c r="O705">
        <v>0</v>
      </c>
      <c r="P705" t="s">
        <v>111</v>
      </c>
      <c r="Q705">
        <v>44</v>
      </c>
      <c r="R705">
        <v>0</v>
      </c>
      <c r="S705">
        <v>0</v>
      </c>
      <c r="T705">
        <v>5</v>
      </c>
      <c r="U705" t="e">
        <f>-MANUALES</f>
        <v>#NAME?</v>
      </c>
      <c r="V705">
        <v>25</v>
      </c>
      <c r="W705">
        <v>0</v>
      </c>
      <c r="X705">
        <v>7</v>
      </c>
      <c r="Y705">
        <v>0</v>
      </c>
      <c r="Z705" t="s">
        <v>772</v>
      </c>
      <c r="AA705">
        <v>1.5</v>
      </c>
      <c r="AB705" t="s">
        <v>111</v>
      </c>
      <c r="AC705">
        <v>0</v>
      </c>
      <c r="AD705" t="s">
        <v>111</v>
      </c>
      <c r="AE705">
        <v>0</v>
      </c>
      <c r="AF705">
        <v>0</v>
      </c>
      <c r="AG705" t="s">
        <v>111</v>
      </c>
      <c r="AH705" t="s">
        <v>111</v>
      </c>
      <c r="AI705" t="s">
        <v>111</v>
      </c>
      <c r="AJ705" t="s">
        <v>111</v>
      </c>
      <c r="AK705" t="s">
        <v>111</v>
      </c>
      <c r="AL705" t="s">
        <v>111</v>
      </c>
      <c r="AM705">
        <v>0</v>
      </c>
      <c r="AN705">
        <v>0</v>
      </c>
      <c r="AO705">
        <v>0</v>
      </c>
      <c r="AP705" t="s">
        <v>111</v>
      </c>
      <c r="AQ705" t="s">
        <v>111</v>
      </c>
      <c r="AR705" t="s">
        <v>111</v>
      </c>
      <c r="AS705" t="s">
        <v>111</v>
      </c>
      <c r="AT705" t="s">
        <v>111</v>
      </c>
      <c r="AU705" t="s">
        <v>111</v>
      </c>
      <c r="AV705" t="s">
        <v>111</v>
      </c>
      <c r="AW705" t="s">
        <v>111</v>
      </c>
      <c r="AX705" t="s">
        <v>111</v>
      </c>
      <c r="AY705" t="s">
        <v>111</v>
      </c>
      <c r="AZ705" t="s">
        <v>111</v>
      </c>
      <c r="BA705" t="s">
        <v>111</v>
      </c>
      <c r="BB705" t="s">
        <v>111</v>
      </c>
      <c r="BC705" t="s">
        <v>111</v>
      </c>
      <c r="BD705" t="s">
        <v>111</v>
      </c>
      <c r="BE705" t="s">
        <v>111</v>
      </c>
      <c r="BF705" t="s">
        <v>111</v>
      </c>
      <c r="BG705" t="s">
        <v>111</v>
      </c>
      <c r="BH705" t="s">
        <v>111</v>
      </c>
      <c r="BI705" t="s">
        <v>111</v>
      </c>
      <c r="BJ705" t="s">
        <v>111</v>
      </c>
      <c r="BK705" t="s">
        <v>111</v>
      </c>
      <c r="BL705" t="s">
        <v>111</v>
      </c>
      <c r="BM705" t="s">
        <v>111</v>
      </c>
      <c r="BN705" t="s">
        <v>111</v>
      </c>
      <c r="BO705" t="s">
        <v>111</v>
      </c>
      <c r="BP705" t="s">
        <v>111</v>
      </c>
      <c r="BQ705" t="s">
        <v>111</v>
      </c>
      <c r="BR705" t="s">
        <v>111</v>
      </c>
      <c r="BS705" t="s">
        <v>111</v>
      </c>
      <c r="BT705" t="s">
        <v>111</v>
      </c>
      <c r="BU705" t="s">
        <v>111</v>
      </c>
      <c r="BV705" t="s">
        <v>111</v>
      </c>
      <c r="BW705" t="s">
        <v>111</v>
      </c>
      <c r="BX705" t="s">
        <v>111</v>
      </c>
      <c r="BY705" t="s">
        <v>111</v>
      </c>
      <c r="BZ705" t="s">
        <v>111</v>
      </c>
      <c r="CA705" t="s">
        <v>111</v>
      </c>
      <c r="CB705" t="s">
        <v>111</v>
      </c>
      <c r="CC705" t="s">
        <v>111</v>
      </c>
      <c r="CD705" t="s">
        <v>111</v>
      </c>
      <c r="CE705" t="s">
        <v>111</v>
      </c>
      <c r="CF705" t="s">
        <v>111</v>
      </c>
      <c r="CG705" t="s">
        <v>111</v>
      </c>
      <c r="CH705" t="s">
        <v>111</v>
      </c>
      <c r="CI705" t="s">
        <v>111</v>
      </c>
      <c r="CJ705" t="s">
        <v>111</v>
      </c>
      <c r="CK705" t="s">
        <v>111</v>
      </c>
      <c r="CL705" t="s">
        <v>111</v>
      </c>
      <c r="CM705" t="s">
        <v>111</v>
      </c>
      <c r="CN705" t="s">
        <v>111</v>
      </c>
      <c r="CO705" t="s">
        <v>111</v>
      </c>
      <c r="CP705" t="s">
        <v>111</v>
      </c>
      <c r="CQ705">
        <v>0</v>
      </c>
      <c r="CR705">
        <v>0</v>
      </c>
      <c r="CS705">
        <v>0</v>
      </c>
      <c r="CT705" t="s">
        <v>111</v>
      </c>
      <c r="CU705">
        <v>0</v>
      </c>
      <c r="CV705" t="s">
        <v>111</v>
      </c>
      <c r="CX705" t="s">
        <v>111</v>
      </c>
      <c r="CY705">
        <v>0</v>
      </c>
      <c r="CZ705" t="s">
        <v>111</v>
      </c>
      <c r="DA705" t="s">
        <v>111</v>
      </c>
      <c r="DB705" t="e">
        <f>-ENTERNO</f>
        <v>#NAME?</v>
      </c>
      <c r="DC705" t="e">
        <f>-CORTE Y SELLE</f>
        <v>#NAME?</v>
      </c>
    </row>
    <row r="706" spans="1:107">
      <c r="A706">
        <v>1932</v>
      </c>
      <c r="B706" t="s">
        <v>107</v>
      </c>
      <c r="C706" t="s">
        <v>2359</v>
      </c>
      <c r="D706" t="s">
        <v>2422</v>
      </c>
      <c r="E706" t="s">
        <v>2423</v>
      </c>
      <c r="F706" t="s">
        <v>257</v>
      </c>
      <c r="G706" t="s">
        <v>469</v>
      </c>
      <c r="H706">
        <v>0.8</v>
      </c>
      <c r="I706">
        <v>60</v>
      </c>
      <c r="J706">
        <v>0</v>
      </c>
      <c r="K706">
        <v>0</v>
      </c>
      <c r="L706" t="s">
        <v>112</v>
      </c>
      <c r="M706" t="s">
        <v>111</v>
      </c>
      <c r="N706">
        <v>0</v>
      </c>
      <c r="O706">
        <v>0</v>
      </c>
      <c r="P706" t="s">
        <v>111</v>
      </c>
      <c r="Q706">
        <v>21.5</v>
      </c>
      <c r="R706">
        <v>0</v>
      </c>
      <c r="S706">
        <v>0</v>
      </c>
      <c r="T706">
        <v>5</v>
      </c>
      <c r="U706" s="1" t="s">
        <v>851</v>
      </c>
      <c r="V706">
        <v>25</v>
      </c>
      <c r="W706">
        <v>0</v>
      </c>
      <c r="X706">
        <v>6</v>
      </c>
      <c r="Y706">
        <v>0</v>
      </c>
      <c r="Z706" t="s">
        <v>259</v>
      </c>
      <c r="AA706">
        <v>1500</v>
      </c>
      <c r="AB706" t="s">
        <v>2364</v>
      </c>
      <c r="AC706">
        <v>250</v>
      </c>
      <c r="AD706" t="s">
        <v>111</v>
      </c>
      <c r="AE706">
        <v>0</v>
      </c>
      <c r="AF706">
        <v>0</v>
      </c>
      <c r="AG706" t="s">
        <v>111</v>
      </c>
      <c r="AH706" t="s">
        <v>111</v>
      </c>
      <c r="AI706" t="s">
        <v>111</v>
      </c>
      <c r="AJ706" t="s">
        <v>111</v>
      </c>
      <c r="AK706" t="s">
        <v>111</v>
      </c>
      <c r="AL706" t="s">
        <v>111</v>
      </c>
      <c r="AM706">
        <v>0</v>
      </c>
      <c r="AN706">
        <v>0</v>
      </c>
      <c r="AO706">
        <v>0</v>
      </c>
      <c r="AP706" t="s">
        <v>111</v>
      </c>
      <c r="AQ706" t="s">
        <v>111</v>
      </c>
      <c r="AR706" t="s">
        <v>111</v>
      </c>
      <c r="AS706" t="s">
        <v>111</v>
      </c>
      <c r="AT706" t="s">
        <v>111</v>
      </c>
      <c r="AU706" t="s">
        <v>111</v>
      </c>
      <c r="AV706" t="s">
        <v>111</v>
      </c>
      <c r="AW706" t="s">
        <v>111</v>
      </c>
      <c r="AX706" t="s">
        <v>111</v>
      </c>
      <c r="AY706" t="s">
        <v>111</v>
      </c>
      <c r="AZ706" t="s">
        <v>111</v>
      </c>
      <c r="BA706" t="s">
        <v>111</v>
      </c>
      <c r="BB706" t="s">
        <v>111</v>
      </c>
      <c r="BC706" t="s">
        <v>111</v>
      </c>
      <c r="BD706" t="s">
        <v>111</v>
      </c>
      <c r="BE706" t="s">
        <v>111</v>
      </c>
      <c r="BF706" t="s">
        <v>111</v>
      </c>
      <c r="BG706" t="s">
        <v>111</v>
      </c>
      <c r="BH706" t="s">
        <v>111</v>
      </c>
      <c r="BI706" t="s">
        <v>111</v>
      </c>
      <c r="BJ706" t="s">
        <v>111</v>
      </c>
      <c r="BK706" t="s">
        <v>111</v>
      </c>
      <c r="BL706" t="s">
        <v>111</v>
      </c>
      <c r="BM706" t="s">
        <v>111</v>
      </c>
      <c r="BN706" t="s">
        <v>111</v>
      </c>
      <c r="BO706" t="s">
        <v>111</v>
      </c>
      <c r="BP706" t="s">
        <v>111</v>
      </c>
      <c r="BQ706" t="s">
        <v>111</v>
      </c>
      <c r="BR706" t="s">
        <v>111</v>
      </c>
      <c r="BS706" t="s">
        <v>111</v>
      </c>
      <c r="BT706" t="s">
        <v>111</v>
      </c>
      <c r="BU706" t="s">
        <v>111</v>
      </c>
      <c r="BV706" t="s">
        <v>111</v>
      </c>
      <c r="BW706" t="s">
        <v>111</v>
      </c>
      <c r="BX706" t="s">
        <v>111</v>
      </c>
      <c r="BY706" t="s">
        <v>111</v>
      </c>
      <c r="BZ706" t="s">
        <v>111</v>
      </c>
      <c r="CA706" t="s">
        <v>111</v>
      </c>
      <c r="CB706" t="s">
        <v>111</v>
      </c>
      <c r="CC706" t="s">
        <v>111</v>
      </c>
      <c r="CD706" t="s">
        <v>111</v>
      </c>
      <c r="CE706" t="s">
        <v>111</v>
      </c>
      <c r="CF706" t="s">
        <v>111</v>
      </c>
      <c r="CG706" t="s">
        <v>111</v>
      </c>
      <c r="CH706" t="s">
        <v>111</v>
      </c>
      <c r="CI706" t="s">
        <v>111</v>
      </c>
      <c r="CJ706" t="s">
        <v>111</v>
      </c>
      <c r="CK706" t="s">
        <v>111</v>
      </c>
      <c r="CL706" t="s">
        <v>111</v>
      </c>
      <c r="CM706" t="s">
        <v>127</v>
      </c>
      <c r="CN706" t="s">
        <v>128</v>
      </c>
      <c r="CO706" t="s">
        <v>111</v>
      </c>
      <c r="CP706" t="s">
        <v>111</v>
      </c>
      <c r="CQ706">
        <v>0</v>
      </c>
      <c r="CR706">
        <v>1000</v>
      </c>
      <c r="CS706">
        <v>50</v>
      </c>
      <c r="CT706" t="e">
        <f>-ALMACEN</f>
        <v>#NAME?</v>
      </c>
      <c r="CU706">
        <v>0</v>
      </c>
      <c r="CV706" t="s">
        <v>111</v>
      </c>
      <c r="CX706" t="s">
        <v>111</v>
      </c>
      <c r="CY706">
        <v>0</v>
      </c>
      <c r="CZ706" t="s">
        <v>111</v>
      </c>
      <c r="DA706" t="s">
        <v>111</v>
      </c>
      <c r="DB706" t="s">
        <v>111</v>
      </c>
      <c r="DC706" t="s">
        <v>111</v>
      </c>
    </row>
    <row r="707" spans="1:107">
      <c r="A707">
        <v>1614</v>
      </c>
      <c r="B707" t="s">
        <v>107</v>
      </c>
      <c r="C707" t="s">
        <v>937</v>
      </c>
      <c r="D707" t="s">
        <v>938</v>
      </c>
      <c r="E707" t="s">
        <v>2424</v>
      </c>
      <c r="F707" t="s">
        <v>431</v>
      </c>
      <c r="G707" t="s">
        <v>469</v>
      </c>
      <c r="H707">
        <v>2.9</v>
      </c>
      <c r="I707">
        <v>54</v>
      </c>
      <c r="J707">
        <v>0</v>
      </c>
      <c r="K707">
        <v>0</v>
      </c>
      <c r="L707" t="s">
        <v>117</v>
      </c>
      <c r="M707" t="s">
        <v>118</v>
      </c>
      <c r="N707">
        <v>40</v>
      </c>
      <c r="O707">
        <v>1</v>
      </c>
      <c r="P707" t="s">
        <v>111</v>
      </c>
      <c r="Q707">
        <v>26</v>
      </c>
      <c r="R707">
        <v>0</v>
      </c>
      <c r="S707">
        <v>0</v>
      </c>
      <c r="T707">
        <v>5</v>
      </c>
      <c r="U707" s="1" t="s">
        <v>2425</v>
      </c>
      <c r="V707">
        <v>0</v>
      </c>
      <c r="W707">
        <v>25</v>
      </c>
      <c r="X707">
        <v>8</v>
      </c>
      <c r="Y707">
        <v>0</v>
      </c>
      <c r="Z707" t="s">
        <v>111</v>
      </c>
      <c r="AA707">
        <v>0</v>
      </c>
      <c r="AB707" t="s">
        <v>2426</v>
      </c>
      <c r="AC707">
        <v>8</v>
      </c>
      <c r="AD707" t="s">
        <v>416</v>
      </c>
      <c r="AE707">
        <v>0</v>
      </c>
      <c r="AF707">
        <v>0</v>
      </c>
      <c r="AG707" t="s">
        <v>111</v>
      </c>
      <c r="AH707" t="s">
        <v>113</v>
      </c>
      <c r="AI707" t="s">
        <v>111</v>
      </c>
      <c r="AJ707" t="s">
        <v>111</v>
      </c>
      <c r="AK707" t="s">
        <v>111</v>
      </c>
      <c r="AL707" t="s">
        <v>111</v>
      </c>
      <c r="AM707">
        <v>0</v>
      </c>
      <c r="AN707">
        <v>0</v>
      </c>
      <c r="AO707">
        <v>0</v>
      </c>
      <c r="AP707" t="s">
        <v>111</v>
      </c>
      <c r="AQ707" t="s">
        <v>111</v>
      </c>
      <c r="AR707" t="s">
        <v>111</v>
      </c>
      <c r="AS707" t="s">
        <v>111</v>
      </c>
      <c r="AT707" t="s">
        <v>111</v>
      </c>
      <c r="AU707" t="s">
        <v>111</v>
      </c>
      <c r="AV707" t="s">
        <v>111</v>
      </c>
      <c r="AW707" t="s">
        <v>111</v>
      </c>
      <c r="AX707" t="s">
        <v>111</v>
      </c>
      <c r="AY707" t="s">
        <v>111</v>
      </c>
      <c r="AZ707" t="s">
        <v>111</v>
      </c>
      <c r="BA707" t="s">
        <v>111</v>
      </c>
      <c r="BB707" t="s">
        <v>111</v>
      </c>
      <c r="BC707" t="s">
        <v>111</v>
      </c>
      <c r="BD707" t="s">
        <v>111</v>
      </c>
      <c r="BE707" t="s">
        <v>111</v>
      </c>
      <c r="BF707" t="s">
        <v>111</v>
      </c>
      <c r="BG707" t="s">
        <v>111</v>
      </c>
      <c r="BH707" t="s">
        <v>111</v>
      </c>
      <c r="BI707" t="s">
        <v>111</v>
      </c>
      <c r="BJ707" t="s">
        <v>111</v>
      </c>
      <c r="BK707" t="s">
        <v>111</v>
      </c>
      <c r="BL707" t="s">
        <v>111</v>
      </c>
      <c r="BM707" t="s">
        <v>111</v>
      </c>
      <c r="BN707" t="s">
        <v>111</v>
      </c>
      <c r="BO707" t="s">
        <v>111</v>
      </c>
      <c r="BP707" t="s">
        <v>111</v>
      </c>
      <c r="BQ707" t="s">
        <v>111</v>
      </c>
      <c r="BR707" t="s">
        <v>111</v>
      </c>
      <c r="BS707" t="s">
        <v>111</v>
      </c>
      <c r="BT707" t="s">
        <v>111</v>
      </c>
      <c r="BU707" t="s">
        <v>111</v>
      </c>
      <c r="BV707" t="s">
        <v>111</v>
      </c>
      <c r="BW707" t="s">
        <v>111</v>
      </c>
      <c r="BX707" t="s">
        <v>111</v>
      </c>
      <c r="BY707" t="s">
        <v>111</v>
      </c>
      <c r="BZ707" t="s">
        <v>111</v>
      </c>
      <c r="CA707" t="s">
        <v>111</v>
      </c>
      <c r="CB707" t="s">
        <v>111</v>
      </c>
      <c r="CC707" t="s">
        <v>111</v>
      </c>
      <c r="CD707" t="s">
        <v>111</v>
      </c>
      <c r="CE707" t="s">
        <v>111</v>
      </c>
      <c r="CF707" t="s">
        <v>111</v>
      </c>
      <c r="CG707" t="s">
        <v>111</v>
      </c>
      <c r="CH707" t="s">
        <v>111</v>
      </c>
      <c r="CI707" t="s">
        <v>111</v>
      </c>
      <c r="CJ707" t="s">
        <v>111</v>
      </c>
      <c r="CK707" t="s">
        <v>111</v>
      </c>
      <c r="CL707" t="s">
        <v>111</v>
      </c>
      <c r="CM707">
        <v>450</v>
      </c>
      <c r="CN707" t="s">
        <v>113</v>
      </c>
      <c r="CO707" t="s">
        <v>111</v>
      </c>
      <c r="CP707" t="s">
        <v>111</v>
      </c>
      <c r="CQ707">
        <v>0</v>
      </c>
      <c r="CR707">
        <v>4000</v>
      </c>
      <c r="CS707">
        <v>100</v>
      </c>
      <c r="CT707" t="e">
        <f>-ALMACEN</f>
        <v>#NAME?</v>
      </c>
      <c r="CU707">
        <v>0</v>
      </c>
      <c r="CV707" t="s">
        <v>111</v>
      </c>
      <c r="CW707" t="s">
        <v>111</v>
      </c>
      <c r="CX707" t="s">
        <v>111</v>
      </c>
      <c r="CY707">
        <v>0</v>
      </c>
      <c r="CZ707" t="s">
        <v>111</v>
      </c>
      <c r="DA707" t="s">
        <v>111</v>
      </c>
      <c r="DB707" t="s">
        <v>111</v>
      </c>
      <c r="DC707" t="s">
        <v>111</v>
      </c>
    </row>
    <row r="708" spans="1:107">
      <c r="A708">
        <v>2092</v>
      </c>
      <c r="B708" t="s">
        <v>376</v>
      </c>
      <c r="C708" t="s">
        <v>119</v>
      </c>
      <c r="D708" t="s">
        <v>2427</v>
      </c>
      <c r="E708" t="s">
        <v>2428</v>
      </c>
      <c r="F708" t="s">
        <v>116</v>
      </c>
      <c r="G708" t="s">
        <v>469</v>
      </c>
      <c r="H708">
        <v>2.8</v>
      </c>
      <c r="I708">
        <v>62</v>
      </c>
      <c r="J708">
        <v>0</v>
      </c>
      <c r="K708">
        <v>0</v>
      </c>
      <c r="L708" t="s">
        <v>117</v>
      </c>
      <c r="M708" t="s">
        <v>111</v>
      </c>
      <c r="N708">
        <v>0</v>
      </c>
      <c r="O708">
        <v>0</v>
      </c>
      <c r="P708" t="s">
        <v>111</v>
      </c>
      <c r="Q708">
        <v>10</v>
      </c>
      <c r="R708">
        <v>0</v>
      </c>
      <c r="S708">
        <v>0</v>
      </c>
      <c r="T708">
        <v>5</v>
      </c>
      <c r="U708" t="e">
        <f>- DESTINO ALMACEN</f>
        <v>#NAME?</v>
      </c>
      <c r="V708">
        <v>0</v>
      </c>
      <c r="W708">
        <v>25</v>
      </c>
      <c r="X708">
        <v>6</v>
      </c>
      <c r="Y708">
        <v>0</v>
      </c>
      <c r="Z708" t="s">
        <v>111</v>
      </c>
      <c r="AA708">
        <v>0</v>
      </c>
      <c r="AB708" t="s">
        <v>111</v>
      </c>
      <c r="AC708">
        <v>0</v>
      </c>
      <c r="AD708" t="s">
        <v>111</v>
      </c>
      <c r="AE708">
        <v>0</v>
      </c>
      <c r="AF708">
        <v>0</v>
      </c>
      <c r="AG708" t="s">
        <v>111</v>
      </c>
      <c r="AH708" t="s">
        <v>111</v>
      </c>
      <c r="AI708" t="s">
        <v>111</v>
      </c>
      <c r="AJ708" t="s">
        <v>111</v>
      </c>
      <c r="AK708" t="s">
        <v>111</v>
      </c>
      <c r="AL708" t="s">
        <v>111</v>
      </c>
      <c r="AM708">
        <v>0</v>
      </c>
      <c r="AN708">
        <v>0</v>
      </c>
      <c r="AO708">
        <v>0</v>
      </c>
      <c r="AP708" t="s">
        <v>111</v>
      </c>
      <c r="AQ708" t="s">
        <v>111</v>
      </c>
      <c r="AR708" t="s">
        <v>111</v>
      </c>
      <c r="AS708" t="s">
        <v>111</v>
      </c>
      <c r="AT708" t="s">
        <v>111</v>
      </c>
      <c r="AU708" t="s">
        <v>111</v>
      </c>
      <c r="AV708" t="s">
        <v>111</v>
      </c>
      <c r="AW708" t="s">
        <v>111</v>
      </c>
      <c r="AX708" t="s">
        <v>111</v>
      </c>
      <c r="AY708" t="s">
        <v>111</v>
      </c>
      <c r="AZ708" t="s">
        <v>111</v>
      </c>
      <c r="BA708" t="s">
        <v>111</v>
      </c>
      <c r="BB708" t="s">
        <v>111</v>
      </c>
      <c r="BC708" t="s">
        <v>111</v>
      </c>
      <c r="BD708" t="s">
        <v>111</v>
      </c>
      <c r="BE708" t="s">
        <v>111</v>
      </c>
      <c r="BF708" t="s">
        <v>111</v>
      </c>
      <c r="BG708" t="s">
        <v>111</v>
      </c>
      <c r="BH708" t="s">
        <v>111</v>
      </c>
      <c r="BI708" t="s">
        <v>111</v>
      </c>
      <c r="BJ708" t="s">
        <v>111</v>
      </c>
      <c r="BK708" t="s">
        <v>111</v>
      </c>
      <c r="BL708" t="s">
        <v>111</v>
      </c>
      <c r="BM708" t="s">
        <v>111</v>
      </c>
      <c r="BN708" t="s">
        <v>111</v>
      </c>
      <c r="BO708" t="s">
        <v>111</v>
      </c>
      <c r="BP708" t="s">
        <v>111</v>
      </c>
      <c r="BQ708" t="s">
        <v>111</v>
      </c>
      <c r="BR708" t="s">
        <v>111</v>
      </c>
      <c r="BS708" t="s">
        <v>111</v>
      </c>
      <c r="BT708" t="s">
        <v>111</v>
      </c>
      <c r="BU708" t="s">
        <v>111</v>
      </c>
      <c r="BV708" t="s">
        <v>111</v>
      </c>
      <c r="BW708" t="s">
        <v>111</v>
      </c>
      <c r="BX708" t="s">
        <v>111</v>
      </c>
      <c r="BY708" t="s">
        <v>111</v>
      </c>
      <c r="BZ708" t="s">
        <v>111</v>
      </c>
      <c r="CA708" t="s">
        <v>111</v>
      </c>
      <c r="CB708" t="s">
        <v>111</v>
      </c>
      <c r="CC708" t="s">
        <v>111</v>
      </c>
      <c r="CD708" t="s">
        <v>111</v>
      </c>
      <c r="CE708" t="s">
        <v>111</v>
      </c>
      <c r="CF708" t="s">
        <v>111</v>
      </c>
      <c r="CG708" t="s">
        <v>111</v>
      </c>
      <c r="CH708" t="s">
        <v>111</v>
      </c>
      <c r="CI708" t="s">
        <v>111</v>
      </c>
      <c r="CJ708" t="s">
        <v>111</v>
      </c>
      <c r="CK708" t="s">
        <v>111</v>
      </c>
      <c r="CL708" t="s">
        <v>111</v>
      </c>
      <c r="CM708" t="s">
        <v>111</v>
      </c>
      <c r="CN708" t="s">
        <v>111</v>
      </c>
      <c r="CO708" t="s">
        <v>111</v>
      </c>
      <c r="CP708" t="s">
        <v>111</v>
      </c>
      <c r="CQ708">
        <v>0</v>
      </c>
      <c r="CR708">
        <v>0</v>
      </c>
      <c r="CS708">
        <v>0</v>
      </c>
      <c r="CT708" t="s">
        <v>111</v>
      </c>
      <c r="CU708">
        <v>0</v>
      </c>
      <c r="CV708" t="s">
        <v>111</v>
      </c>
      <c r="CX708" t="s">
        <v>111</v>
      </c>
      <c r="CY708">
        <v>0</v>
      </c>
      <c r="CZ708" t="s">
        <v>111</v>
      </c>
      <c r="DA708" t="s">
        <v>111</v>
      </c>
      <c r="DB708" t="s">
        <v>111</v>
      </c>
      <c r="DC708" t="s">
        <v>111</v>
      </c>
    </row>
    <row r="709" spans="1:107">
      <c r="A709">
        <v>2066</v>
      </c>
      <c r="B709" t="s">
        <v>376</v>
      </c>
      <c r="C709" t="s">
        <v>2077</v>
      </c>
      <c r="D709" t="s">
        <v>2429</v>
      </c>
      <c r="E709" t="s">
        <v>2430</v>
      </c>
      <c r="F709" t="s">
        <v>125</v>
      </c>
      <c r="G709" t="s">
        <v>469</v>
      </c>
      <c r="H709">
        <v>0.6</v>
      </c>
      <c r="I709">
        <v>58</v>
      </c>
      <c r="J709">
        <v>0</v>
      </c>
      <c r="K709">
        <v>0</v>
      </c>
      <c r="L709" t="s">
        <v>111</v>
      </c>
      <c r="M709" t="s">
        <v>111</v>
      </c>
      <c r="N709">
        <v>0</v>
      </c>
      <c r="O709">
        <v>0</v>
      </c>
      <c r="P709" t="s">
        <v>111</v>
      </c>
      <c r="Q709">
        <v>34</v>
      </c>
      <c r="R709">
        <v>0</v>
      </c>
      <c r="S709">
        <v>0</v>
      </c>
      <c r="T709">
        <v>5</v>
      </c>
      <c r="U709" s="1" t="s">
        <v>2124</v>
      </c>
      <c r="V709">
        <v>25</v>
      </c>
      <c r="W709">
        <v>0</v>
      </c>
      <c r="X709">
        <v>8</v>
      </c>
      <c r="Y709">
        <v>0</v>
      </c>
      <c r="Z709" t="s">
        <v>271</v>
      </c>
      <c r="AA709">
        <v>0</v>
      </c>
      <c r="AB709" t="s">
        <v>111</v>
      </c>
      <c r="AC709">
        <v>0</v>
      </c>
      <c r="AD709" t="s">
        <v>111</v>
      </c>
      <c r="AE709">
        <v>0</v>
      </c>
      <c r="AF709">
        <v>0</v>
      </c>
      <c r="AG709" t="s">
        <v>111</v>
      </c>
      <c r="AH709" t="s">
        <v>111</v>
      </c>
      <c r="AI709" t="s">
        <v>111</v>
      </c>
      <c r="AJ709" t="s">
        <v>111</v>
      </c>
      <c r="AK709" t="s">
        <v>111</v>
      </c>
      <c r="AL709" t="s">
        <v>111</v>
      </c>
      <c r="AM709">
        <v>0</v>
      </c>
      <c r="AN709">
        <v>0</v>
      </c>
      <c r="AO709">
        <v>0</v>
      </c>
      <c r="AP709" t="s">
        <v>111</v>
      </c>
      <c r="AQ709" t="s">
        <v>111</v>
      </c>
      <c r="AR709" t="s">
        <v>111</v>
      </c>
      <c r="AS709" t="s">
        <v>111</v>
      </c>
      <c r="AT709" t="s">
        <v>111</v>
      </c>
      <c r="AU709" t="s">
        <v>111</v>
      </c>
      <c r="AV709" t="s">
        <v>111</v>
      </c>
      <c r="AW709" t="s">
        <v>111</v>
      </c>
      <c r="AX709" t="s">
        <v>111</v>
      </c>
      <c r="AY709" t="s">
        <v>111</v>
      </c>
      <c r="AZ709" t="s">
        <v>111</v>
      </c>
      <c r="BA709" t="s">
        <v>111</v>
      </c>
      <c r="BB709" t="s">
        <v>111</v>
      </c>
      <c r="BC709" t="s">
        <v>111</v>
      </c>
      <c r="BD709" t="s">
        <v>111</v>
      </c>
      <c r="BE709" t="s">
        <v>111</v>
      </c>
      <c r="BF709" t="s">
        <v>111</v>
      </c>
      <c r="BG709" t="s">
        <v>111</v>
      </c>
      <c r="BH709" t="s">
        <v>111</v>
      </c>
      <c r="BI709" t="s">
        <v>111</v>
      </c>
      <c r="BJ709" t="s">
        <v>111</v>
      </c>
      <c r="BK709" t="s">
        <v>111</v>
      </c>
      <c r="BL709" t="s">
        <v>111</v>
      </c>
      <c r="BM709" t="s">
        <v>111</v>
      </c>
      <c r="BN709" t="s">
        <v>111</v>
      </c>
      <c r="BO709" t="s">
        <v>111</v>
      </c>
      <c r="BP709" t="s">
        <v>111</v>
      </c>
      <c r="BQ709" t="s">
        <v>111</v>
      </c>
      <c r="BR709" t="s">
        <v>111</v>
      </c>
      <c r="BS709" t="s">
        <v>111</v>
      </c>
      <c r="BT709" t="s">
        <v>111</v>
      </c>
      <c r="BU709" t="s">
        <v>111</v>
      </c>
      <c r="BV709" t="s">
        <v>111</v>
      </c>
      <c r="BW709" t="s">
        <v>111</v>
      </c>
      <c r="BX709" t="s">
        <v>111</v>
      </c>
      <c r="BY709" t="s">
        <v>111</v>
      </c>
      <c r="BZ709" t="s">
        <v>111</v>
      </c>
      <c r="CA709" t="s">
        <v>111</v>
      </c>
      <c r="CB709" t="s">
        <v>111</v>
      </c>
      <c r="CC709" t="s">
        <v>111</v>
      </c>
      <c r="CD709" t="s">
        <v>111</v>
      </c>
      <c r="CE709" t="s">
        <v>111</v>
      </c>
      <c r="CF709" t="s">
        <v>111</v>
      </c>
      <c r="CG709" t="s">
        <v>111</v>
      </c>
      <c r="CH709" t="s">
        <v>111</v>
      </c>
      <c r="CI709" t="s">
        <v>111</v>
      </c>
      <c r="CJ709" t="s">
        <v>111</v>
      </c>
      <c r="CK709" t="s">
        <v>111</v>
      </c>
      <c r="CL709" t="s">
        <v>111</v>
      </c>
      <c r="CM709" t="s">
        <v>127</v>
      </c>
      <c r="CN709" t="s">
        <v>128</v>
      </c>
      <c r="CO709" t="s">
        <v>111</v>
      </c>
      <c r="CP709" t="s">
        <v>111</v>
      </c>
      <c r="CQ709">
        <v>0</v>
      </c>
      <c r="CR709">
        <v>5000</v>
      </c>
      <c r="CS709">
        <v>1000</v>
      </c>
      <c r="CT709" t="e">
        <f>- DESTINO ALMACEN</f>
        <v>#NAME?</v>
      </c>
      <c r="CU709">
        <v>0</v>
      </c>
      <c r="CV709" t="s">
        <v>111</v>
      </c>
      <c r="CX709" t="s">
        <v>111</v>
      </c>
      <c r="CY709">
        <v>0</v>
      </c>
      <c r="CZ709" t="s">
        <v>111</v>
      </c>
      <c r="DA709" t="s">
        <v>111</v>
      </c>
      <c r="DB709" t="s">
        <v>111</v>
      </c>
      <c r="DC709" t="s">
        <v>111</v>
      </c>
    </row>
    <row r="710" spans="1:107">
      <c r="A710">
        <v>1660</v>
      </c>
      <c r="B710" t="s">
        <v>107</v>
      </c>
      <c r="C710" t="s">
        <v>1508</v>
      </c>
      <c r="D710" t="s">
        <v>1509</v>
      </c>
      <c r="E710" t="s">
        <v>2431</v>
      </c>
      <c r="F710" t="s">
        <v>415</v>
      </c>
      <c r="G710" t="s">
        <v>469</v>
      </c>
      <c r="H710">
        <v>5</v>
      </c>
      <c r="I710">
        <v>85</v>
      </c>
      <c r="J710">
        <v>0</v>
      </c>
      <c r="K710">
        <v>0</v>
      </c>
      <c r="L710" t="s">
        <v>117</v>
      </c>
      <c r="M710" t="s">
        <v>118</v>
      </c>
      <c r="N710">
        <v>39</v>
      </c>
      <c r="O710">
        <v>1</v>
      </c>
      <c r="P710" t="s">
        <v>111</v>
      </c>
      <c r="Q710">
        <v>57.9</v>
      </c>
      <c r="R710">
        <v>0</v>
      </c>
      <c r="S710">
        <v>0</v>
      </c>
      <c r="T710">
        <v>8</v>
      </c>
      <c r="U710" t="e">
        <f>-IMPRESION DARMA</f>
        <v>#NAME?</v>
      </c>
      <c r="V710">
        <v>0</v>
      </c>
      <c r="W710">
        <v>25</v>
      </c>
      <c r="X710">
        <v>8</v>
      </c>
      <c r="Y710">
        <v>0</v>
      </c>
      <c r="Z710" t="s">
        <v>288</v>
      </c>
      <c r="AA710">
        <v>1.2</v>
      </c>
      <c r="AB710" t="s">
        <v>111</v>
      </c>
      <c r="AC710">
        <v>0</v>
      </c>
      <c r="AD710" t="s">
        <v>416</v>
      </c>
      <c r="AE710">
        <v>0</v>
      </c>
      <c r="AF710">
        <v>0</v>
      </c>
      <c r="AG710" t="s">
        <v>111</v>
      </c>
      <c r="AH710" t="s">
        <v>113</v>
      </c>
      <c r="AI710" t="s">
        <v>111</v>
      </c>
      <c r="AJ710" t="s">
        <v>111</v>
      </c>
      <c r="AK710" t="s">
        <v>111</v>
      </c>
      <c r="AL710" t="s">
        <v>111</v>
      </c>
      <c r="AM710">
        <v>0</v>
      </c>
      <c r="AN710">
        <v>0</v>
      </c>
      <c r="AO710">
        <v>0</v>
      </c>
      <c r="AP710" t="s">
        <v>111</v>
      </c>
      <c r="AQ710" t="s">
        <v>111</v>
      </c>
      <c r="AR710" t="s">
        <v>111</v>
      </c>
      <c r="AS710" t="s">
        <v>111</v>
      </c>
      <c r="AT710" t="s">
        <v>111</v>
      </c>
      <c r="AU710" t="s">
        <v>111</v>
      </c>
      <c r="AV710" t="s">
        <v>111</v>
      </c>
      <c r="AW710" t="s">
        <v>111</v>
      </c>
      <c r="AX710" t="s">
        <v>111</v>
      </c>
      <c r="AY710" t="s">
        <v>111</v>
      </c>
      <c r="AZ710" t="s">
        <v>111</v>
      </c>
      <c r="BA710" t="s">
        <v>111</v>
      </c>
      <c r="BB710" t="s">
        <v>111</v>
      </c>
      <c r="BC710" t="s">
        <v>111</v>
      </c>
      <c r="BD710" t="s">
        <v>111</v>
      </c>
      <c r="BE710" t="s">
        <v>111</v>
      </c>
      <c r="BF710" t="s">
        <v>111</v>
      </c>
      <c r="BG710" t="s">
        <v>111</v>
      </c>
      <c r="BH710" t="s">
        <v>111</v>
      </c>
      <c r="BI710" t="s">
        <v>111</v>
      </c>
      <c r="BJ710" t="s">
        <v>111</v>
      </c>
      <c r="BK710" t="s">
        <v>111</v>
      </c>
      <c r="BL710" t="s">
        <v>111</v>
      </c>
      <c r="BM710" t="s">
        <v>111</v>
      </c>
      <c r="BN710" t="s">
        <v>111</v>
      </c>
      <c r="BO710" t="s">
        <v>111</v>
      </c>
      <c r="BP710" t="s">
        <v>111</v>
      </c>
      <c r="BQ710" t="s">
        <v>111</v>
      </c>
      <c r="BR710" t="s">
        <v>111</v>
      </c>
      <c r="BS710" t="s">
        <v>111</v>
      </c>
      <c r="BT710" t="s">
        <v>111</v>
      </c>
      <c r="BU710" t="s">
        <v>111</v>
      </c>
      <c r="BV710" t="s">
        <v>111</v>
      </c>
      <c r="BW710" t="s">
        <v>111</v>
      </c>
      <c r="BX710" t="s">
        <v>111</v>
      </c>
      <c r="BY710" t="s">
        <v>111</v>
      </c>
      <c r="BZ710" t="s">
        <v>111</v>
      </c>
      <c r="CA710" t="s">
        <v>111</v>
      </c>
      <c r="CB710" t="s">
        <v>111</v>
      </c>
      <c r="CC710" t="s">
        <v>111</v>
      </c>
      <c r="CD710" t="s">
        <v>111</v>
      </c>
      <c r="CE710" t="s">
        <v>111</v>
      </c>
      <c r="CF710" t="s">
        <v>111</v>
      </c>
      <c r="CG710" t="s">
        <v>111</v>
      </c>
      <c r="CH710" t="s">
        <v>111</v>
      </c>
      <c r="CI710" t="s">
        <v>111</v>
      </c>
      <c r="CJ710" t="s">
        <v>111</v>
      </c>
      <c r="CK710" t="s">
        <v>111</v>
      </c>
      <c r="CL710" t="s">
        <v>111</v>
      </c>
      <c r="CM710" t="s">
        <v>135</v>
      </c>
      <c r="CN710" t="s">
        <v>113</v>
      </c>
      <c r="CO710" t="s">
        <v>111</v>
      </c>
      <c r="CP710" t="s">
        <v>111</v>
      </c>
      <c r="CQ710">
        <v>0</v>
      </c>
      <c r="CR710">
        <v>0</v>
      </c>
      <c r="CS710">
        <v>10</v>
      </c>
      <c r="CT710" s="1" t="s">
        <v>2432</v>
      </c>
      <c r="CU710">
        <v>0</v>
      </c>
      <c r="CV710" t="s">
        <v>111</v>
      </c>
      <c r="CX710" t="s">
        <v>111</v>
      </c>
      <c r="CY710">
        <v>0</v>
      </c>
      <c r="CZ710" t="s">
        <v>111</v>
      </c>
      <c r="DA710" t="s">
        <v>111</v>
      </c>
      <c r="DB710" t="s">
        <v>111</v>
      </c>
      <c r="DC710" t="s">
        <v>111</v>
      </c>
    </row>
    <row r="711" spans="1:107">
      <c r="A711">
        <v>1623</v>
      </c>
      <c r="B711" t="s">
        <v>107</v>
      </c>
      <c r="C711" t="s">
        <v>1896</v>
      </c>
      <c r="D711" t="s">
        <v>2433</v>
      </c>
      <c r="E711" t="s">
        <v>2434</v>
      </c>
      <c r="F711" t="s">
        <v>125</v>
      </c>
      <c r="G711" t="s">
        <v>469</v>
      </c>
      <c r="H711">
        <v>0.8</v>
      </c>
      <c r="I711">
        <v>80.5</v>
      </c>
      <c r="J711">
        <v>0</v>
      </c>
      <c r="K711">
        <v>0</v>
      </c>
      <c r="L711" t="s">
        <v>112</v>
      </c>
      <c r="M711" t="s">
        <v>138</v>
      </c>
      <c r="N711">
        <v>0</v>
      </c>
      <c r="O711">
        <v>0</v>
      </c>
      <c r="P711" t="s">
        <v>111</v>
      </c>
      <c r="Q711">
        <v>51</v>
      </c>
      <c r="R711">
        <v>0</v>
      </c>
      <c r="S711">
        <v>0</v>
      </c>
      <c r="T711">
        <v>5</v>
      </c>
      <c r="U711" t="e">
        <f>-MANUALES</f>
        <v>#NAME?</v>
      </c>
      <c r="V711">
        <v>0</v>
      </c>
      <c r="W711">
        <v>25</v>
      </c>
      <c r="X711">
        <v>5</v>
      </c>
      <c r="Y711">
        <v>0</v>
      </c>
      <c r="Z711" t="s">
        <v>111</v>
      </c>
      <c r="AA711">
        <v>0</v>
      </c>
      <c r="AB711" t="s">
        <v>111</v>
      </c>
      <c r="AC711">
        <v>0</v>
      </c>
      <c r="AD711" t="s">
        <v>111</v>
      </c>
      <c r="AE711">
        <v>0</v>
      </c>
      <c r="AF711">
        <v>0</v>
      </c>
      <c r="AG711" t="s">
        <v>111</v>
      </c>
      <c r="AH711" t="s">
        <v>111</v>
      </c>
      <c r="AI711" t="s">
        <v>111</v>
      </c>
      <c r="AJ711" t="s">
        <v>111</v>
      </c>
      <c r="AK711" t="s">
        <v>111</v>
      </c>
      <c r="AL711" t="s">
        <v>111</v>
      </c>
      <c r="AM711">
        <v>0</v>
      </c>
      <c r="AN711">
        <v>0</v>
      </c>
      <c r="AO711">
        <v>0</v>
      </c>
      <c r="AP711" t="s">
        <v>111</v>
      </c>
      <c r="AQ711" t="s">
        <v>111</v>
      </c>
      <c r="AR711" t="s">
        <v>111</v>
      </c>
      <c r="AS711" t="s">
        <v>111</v>
      </c>
      <c r="AT711" t="s">
        <v>111</v>
      </c>
      <c r="AU711" t="s">
        <v>111</v>
      </c>
      <c r="AV711" t="s">
        <v>111</v>
      </c>
      <c r="AW711" t="s">
        <v>111</v>
      </c>
      <c r="AX711" t="s">
        <v>111</v>
      </c>
      <c r="AY711" t="s">
        <v>111</v>
      </c>
      <c r="AZ711" t="s">
        <v>111</v>
      </c>
      <c r="BA711" t="s">
        <v>111</v>
      </c>
      <c r="BB711" t="s">
        <v>111</v>
      </c>
      <c r="BC711" t="s">
        <v>111</v>
      </c>
      <c r="BD711" t="s">
        <v>111</v>
      </c>
      <c r="BE711" t="s">
        <v>111</v>
      </c>
      <c r="BF711" t="s">
        <v>111</v>
      </c>
      <c r="BG711" t="s">
        <v>111</v>
      </c>
      <c r="BH711" t="s">
        <v>111</v>
      </c>
      <c r="BI711" t="s">
        <v>111</v>
      </c>
      <c r="BJ711" t="s">
        <v>111</v>
      </c>
      <c r="BK711" t="s">
        <v>111</v>
      </c>
      <c r="BL711" t="s">
        <v>111</v>
      </c>
      <c r="BM711" t="s">
        <v>111</v>
      </c>
      <c r="BN711" t="s">
        <v>111</v>
      </c>
      <c r="BO711" t="s">
        <v>111</v>
      </c>
      <c r="BP711" t="s">
        <v>111</v>
      </c>
      <c r="BQ711" t="s">
        <v>111</v>
      </c>
      <c r="BR711" t="s">
        <v>111</v>
      </c>
      <c r="BS711" t="s">
        <v>111</v>
      </c>
      <c r="BT711" t="s">
        <v>111</v>
      </c>
      <c r="BU711" t="s">
        <v>111</v>
      </c>
      <c r="BV711" t="s">
        <v>111</v>
      </c>
      <c r="BW711" t="s">
        <v>111</v>
      </c>
      <c r="BX711" t="s">
        <v>111</v>
      </c>
      <c r="BY711" t="s">
        <v>111</v>
      </c>
      <c r="BZ711" t="s">
        <v>111</v>
      </c>
      <c r="CA711" t="s">
        <v>111</v>
      </c>
      <c r="CB711" t="s">
        <v>111</v>
      </c>
      <c r="CC711" t="s">
        <v>111</v>
      </c>
      <c r="CD711" t="s">
        <v>111</v>
      </c>
      <c r="CE711" t="s">
        <v>111</v>
      </c>
      <c r="CF711" t="s">
        <v>111</v>
      </c>
      <c r="CG711" t="s">
        <v>111</v>
      </c>
      <c r="CH711" t="s">
        <v>111</v>
      </c>
      <c r="CI711" t="s">
        <v>111</v>
      </c>
      <c r="CJ711" t="s">
        <v>111</v>
      </c>
      <c r="CK711" t="s">
        <v>111</v>
      </c>
      <c r="CL711" t="s">
        <v>111</v>
      </c>
      <c r="CM711" t="s">
        <v>127</v>
      </c>
      <c r="CN711" t="s">
        <v>128</v>
      </c>
      <c r="CO711" t="s">
        <v>111</v>
      </c>
      <c r="CP711" t="s">
        <v>111</v>
      </c>
      <c r="CQ711">
        <v>0</v>
      </c>
      <c r="CR711">
        <v>500</v>
      </c>
      <c r="CS711">
        <v>25</v>
      </c>
      <c r="CT711" t="e">
        <f>-ALMACEN</f>
        <v>#NAME?</v>
      </c>
      <c r="CU711">
        <v>0</v>
      </c>
      <c r="CV711" t="s">
        <v>111</v>
      </c>
      <c r="CW711" t="s">
        <v>111</v>
      </c>
      <c r="CX711" t="s">
        <v>111</v>
      </c>
      <c r="CY711">
        <v>0</v>
      </c>
      <c r="CZ711" t="s">
        <v>111</v>
      </c>
      <c r="DA711" t="s">
        <v>111</v>
      </c>
      <c r="DB711" t="s">
        <v>111</v>
      </c>
      <c r="DC711" t="s">
        <v>111</v>
      </c>
    </row>
    <row r="712" spans="1:107">
      <c r="A712">
        <v>1598</v>
      </c>
      <c r="B712" t="s">
        <v>107</v>
      </c>
      <c r="C712" t="s">
        <v>399</v>
      </c>
      <c r="D712" t="s">
        <v>2435</v>
      </c>
      <c r="E712" t="s">
        <v>2436</v>
      </c>
      <c r="F712" t="s">
        <v>2207</v>
      </c>
      <c r="G712" t="s">
        <v>469</v>
      </c>
      <c r="H712">
        <v>0.75</v>
      </c>
      <c r="I712">
        <v>70</v>
      </c>
      <c r="J712">
        <v>0</v>
      </c>
      <c r="K712">
        <v>0</v>
      </c>
      <c r="L712" t="s">
        <v>178</v>
      </c>
      <c r="M712" t="s">
        <v>111</v>
      </c>
      <c r="N712">
        <v>0</v>
      </c>
      <c r="O712">
        <v>0</v>
      </c>
      <c r="P712" t="s">
        <v>111</v>
      </c>
      <c r="Q712">
        <v>54.6</v>
      </c>
      <c r="R712">
        <v>0</v>
      </c>
      <c r="S712">
        <v>0</v>
      </c>
      <c r="T712">
        <v>5</v>
      </c>
      <c r="U712" s="1" t="s">
        <v>2437</v>
      </c>
      <c r="V712">
        <v>25</v>
      </c>
      <c r="W712">
        <v>0</v>
      </c>
      <c r="X712">
        <v>5</v>
      </c>
      <c r="Y712">
        <v>0</v>
      </c>
      <c r="Z712" t="s">
        <v>2208</v>
      </c>
      <c r="AA712">
        <v>300</v>
      </c>
      <c r="AB712" t="s">
        <v>2438</v>
      </c>
      <c r="AC712">
        <v>0.5</v>
      </c>
      <c r="AD712" t="s">
        <v>111</v>
      </c>
      <c r="AE712">
        <v>0</v>
      </c>
      <c r="AF712">
        <v>0</v>
      </c>
      <c r="AG712" t="s">
        <v>111</v>
      </c>
      <c r="AH712" t="s">
        <v>111</v>
      </c>
      <c r="AI712" t="s">
        <v>111</v>
      </c>
      <c r="AJ712" t="s">
        <v>111</v>
      </c>
      <c r="AK712" t="s">
        <v>111</v>
      </c>
      <c r="AL712" t="s">
        <v>111</v>
      </c>
      <c r="AM712">
        <v>0</v>
      </c>
      <c r="AN712">
        <v>0</v>
      </c>
      <c r="AO712">
        <v>0</v>
      </c>
      <c r="AP712" t="s">
        <v>111</v>
      </c>
      <c r="AQ712" t="s">
        <v>111</v>
      </c>
      <c r="AR712" t="s">
        <v>111</v>
      </c>
      <c r="AS712" t="s">
        <v>111</v>
      </c>
      <c r="AT712" t="s">
        <v>111</v>
      </c>
      <c r="AU712" t="s">
        <v>111</v>
      </c>
      <c r="AV712" t="s">
        <v>111</v>
      </c>
      <c r="AW712" t="s">
        <v>111</v>
      </c>
      <c r="AX712" t="s">
        <v>111</v>
      </c>
      <c r="AY712" t="s">
        <v>111</v>
      </c>
      <c r="AZ712" t="s">
        <v>111</v>
      </c>
      <c r="BA712" t="s">
        <v>111</v>
      </c>
      <c r="BB712" t="s">
        <v>111</v>
      </c>
      <c r="BC712" t="s">
        <v>111</v>
      </c>
      <c r="BD712" t="s">
        <v>111</v>
      </c>
      <c r="BE712" t="s">
        <v>111</v>
      </c>
      <c r="BF712" t="s">
        <v>111</v>
      </c>
      <c r="BG712" t="s">
        <v>111</v>
      </c>
      <c r="BH712" t="s">
        <v>111</v>
      </c>
      <c r="BI712" t="s">
        <v>111</v>
      </c>
      <c r="BJ712" t="s">
        <v>111</v>
      </c>
      <c r="BK712" t="s">
        <v>111</v>
      </c>
      <c r="BL712" t="s">
        <v>111</v>
      </c>
      <c r="BM712" t="s">
        <v>111</v>
      </c>
      <c r="BN712" t="s">
        <v>111</v>
      </c>
      <c r="BO712" t="s">
        <v>111</v>
      </c>
      <c r="BP712" t="s">
        <v>111</v>
      </c>
      <c r="BQ712" t="s">
        <v>111</v>
      </c>
      <c r="BR712" t="s">
        <v>111</v>
      </c>
      <c r="BS712" t="s">
        <v>111</v>
      </c>
      <c r="BT712" t="s">
        <v>111</v>
      </c>
      <c r="BU712" t="s">
        <v>111</v>
      </c>
      <c r="BV712" t="s">
        <v>111</v>
      </c>
      <c r="BW712" t="s">
        <v>111</v>
      </c>
      <c r="BX712" t="s">
        <v>111</v>
      </c>
      <c r="BY712" t="s">
        <v>111</v>
      </c>
      <c r="BZ712" t="s">
        <v>111</v>
      </c>
      <c r="CA712" t="s">
        <v>111</v>
      </c>
      <c r="CB712" t="s">
        <v>111</v>
      </c>
      <c r="CC712" t="s">
        <v>111</v>
      </c>
      <c r="CD712" t="s">
        <v>111</v>
      </c>
      <c r="CE712" t="s">
        <v>111</v>
      </c>
      <c r="CF712" t="s">
        <v>111</v>
      </c>
      <c r="CG712" t="s">
        <v>111</v>
      </c>
      <c r="CH712" t="s">
        <v>111</v>
      </c>
      <c r="CI712" t="s">
        <v>111</v>
      </c>
      <c r="CJ712" t="s">
        <v>111</v>
      </c>
      <c r="CK712" t="s">
        <v>111</v>
      </c>
      <c r="CL712" t="s">
        <v>111</v>
      </c>
      <c r="CM712" t="s">
        <v>135</v>
      </c>
      <c r="CN712" t="s">
        <v>113</v>
      </c>
      <c r="CO712" t="s">
        <v>111</v>
      </c>
      <c r="CP712" t="s">
        <v>111</v>
      </c>
      <c r="CQ712">
        <v>0</v>
      </c>
      <c r="CR712">
        <v>1000</v>
      </c>
      <c r="CS712">
        <v>50</v>
      </c>
      <c r="CT712" s="1" t="s">
        <v>2439</v>
      </c>
      <c r="CU712">
        <v>0</v>
      </c>
      <c r="CV712" t="s">
        <v>111</v>
      </c>
      <c r="CW712" t="s">
        <v>111</v>
      </c>
      <c r="CX712" t="s">
        <v>111</v>
      </c>
      <c r="CY712">
        <v>0</v>
      </c>
      <c r="CZ712" t="s">
        <v>111</v>
      </c>
      <c r="DA712" t="s">
        <v>111</v>
      </c>
      <c r="DB712" t="s">
        <v>111</v>
      </c>
      <c r="DC712" t="s">
        <v>111</v>
      </c>
    </row>
    <row r="713" spans="1:107">
      <c r="A713">
        <v>1684</v>
      </c>
      <c r="B713" t="s">
        <v>107</v>
      </c>
      <c r="C713" t="s">
        <v>412</v>
      </c>
      <c r="D713" t="s">
        <v>2440</v>
      </c>
      <c r="E713" t="s">
        <v>2441</v>
      </c>
      <c r="F713" t="s">
        <v>739</v>
      </c>
      <c r="G713" t="s">
        <v>469</v>
      </c>
      <c r="H713">
        <v>1.5</v>
      </c>
      <c r="I713">
        <v>52</v>
      </c>
      <c r="J713">
        <v>0</v>
      </c>
      <c r="K713">
        <v>0</v>
      </c>
      <c r="L713" t="s">
        <v>117</v>
      </c>
      <c r="M713" t="s">
        <v>118</v>
      </c>
      <c r="N713">
        <v>39</v>
      </c>
      <c r="O713">
        <v>1</v>
      </c>
      <c r="P713" t="s">
        <v>111</v>
      </c>
      <c r="Q713">
        <v>38.200000000000003</v>
      </c>
      <c r="R713">
        <v>0</v>
      </c>
      <c r="S713">
        <v>0</v>
      </c>
      <c r="T713">
        <v>5</v>
      </c>
      <c r="U713" s="1" t="s">
        <v>2442</v>
      </c>
      <c r="V713">
        <v>0</v>
      </c>
      <c r="W713">
        <v>25</v>
      </c>
      <c r="X713">
        <v>8</v>
      </c>
      <c r="Y713">
        <v>0</v>
      </c>
      <c r="Z713" t="s">
        <v>288</v>
      </c>
      <c r="AA713">
        <v>1.7</v>
      </c>
      <c r="AB713" t="s">
        <v>111</v>
      </c>
      <c r="AC713">
        <v>0</v>
      </c>
      <c r="AD713" t="s">
        <v>493</v>
      </c>
      <c r="AE713">
        <v>0</v>
      </c>
      <c r="AF713">
        <v>0</v>
      </c>
      <c r="AG713" t="s">
        <v>111</v>
      </c>
      <c r="AH713" t="s">
        <v>113</v>
      </c>
      <c r="AI713" t="s">
        <v>111</v>
      </c>
      <c r="AJ713" t="s">
        <v>111</v>
      </c>
      <c r="AK713" t="s">
        <v>111</v>
      </c>
      <c r="AL713" t="s">
        <v>111</v>
      </c>
      <c r="AM713">
        <v>0</v>
      </c>
      <c r="AN713">
        <v>0</v>
      </c>
      <c r="AO713">
        <v>0</v>
      </c>
      <c r="AP713" t="s">
        <v>111</v>
      </c>
      <c r="AQ713" t="s">
        <v>111</v>
      </c>
      <c r="AR713" t="s">
        <v>111</v>
      </c>
      <c r="AS713" t="s">
        <v>111</v>
      </c>
      <c r="AT713" t="s">
        <v>111</v>
      </c>
      <c r="AU713" t="s">
        <v>111</v>
      </c>
      <c r="AV713" t="s">
        <v>111</v>
      </c>
      <c r="AW713" t="s">
        <v>111</v>
      </c>
      <c r="AX713" t="s">
        <v>111</v>
      </c>
      <c r="AY713" t="s">
        <v>111</v>
      </c>
      <c r="AZ713" t="s">
        <v>111</v>
      </c>
      <c r="BA713" t="s">
        <v>111</v>
      </c>
      <c r="BB713" t="s">
        <v>111</v>
      </c>
      <c r="BC713" t="s">
        <v>111</v>
      </c>
      <c r="BD713" t="s">
        <v>111</v>
      </c>
      <c r="BE713" t="s">
        <v>111</v>
      </c>
      <c r="BF713" t="s">
        <v>111</v>
      </c>
      <c r="BG713" t="s">
        <v>111</v>
      </c>
      <c r="BH713" t="s">
        <v>111</v>
      </c>
      <c r="BI713" t="s">
        <v>111</v>
      </c>
      <c r="BJ713" t="s">
        <v>111</v>
      </c>
      <c r="BK713" t="s">
        <v>111</v>
      </c>
      <c r="BL713" t="s">
        <v>111</v>
      </c>
      <c r="BM713" t="s">
        <v>111</v>
      </c>
      <c r="BN713" t="s">
        <v>111</v>
      </c>
      <c r="BO713" t="s">
        <v>111</v>
      </c>
      <c r="BP713" t="s">
        <v>111</v>
      </c>
      <c r="BQ713" t="s">
        <v>111</v>
      </c>
      <c r="BR713" t="s">
        <v>111</v>
      </c>
      <c r="BS713" t="s">
        <v>111</v>
      </c>
      <c r="BT713" t="s">
        <v>111</v>
      </c>
      <c r="BU713" t="s">
        <v>111</v>
      </c>
      <c r="BV713" t="s">
        <v>111</v>
      </c>
      <c r="BW713" t="s">
        <v>111</v>
      </c>
      <c r="BX713" t="s">
        <v>111</v>
      </c>
      <c r="BY713" t="s">
        <v>111</v>
      </c>
      <c r="BZ713" t="s">
        <v>111</v>
      </c>
      <c r="CA713" t="s">
        <v>111</v>
      </c>
      <c r="CB713" t="s">
        <v>111</v>
      </c>
      <c r="CC713" t="s">
        <v>111</v>
      </c>
      <c r="CD713" t="s">
        <v>111</v>
      </c>
      <c r="CE713" t="s">
        <v>111</v>
      </c>
      <c r="CF713" t="s">
        <v>111</v>
      </c>
      <c r="CG713" t="s">
        <v>111</v>
      </c>
      <c r="CH713" t="s">
        <v>111</v>
      </c>
      <c r="CI713" t="s">
        <v>111</v>
      </c>
      <c r="CJ713" t="s">
        <v>111</v>
      </c>
      <c r="CK713" t="s">
        <v>111</v>
      </c>
      <c r="CL713" t="s">
        <v>111</v>
      </c>
      <c r="CM713" t="s">
        <v>360</v>
      </c>
      <c r="CN713" t="s">
        <v>113</v>
      </c>
      <c r="CO713" t="s">
        <v>111</v>
      </c>
      <c r="CP713" t="s">
        <v>111</v>
      </c>
      <c r="CQ713">
        <v>0</v>
      </c>
      <c r="CR713">
        <v>1000</v>
      </c>
      <c r="CS713">
        <v>200</v>
      </c>
      <c r="CT713" t="e">
        <f>-ALMACEN</f>
        <v>#NAME?</v>
      </c>
      <c r="CU713">
        <v>0</v>
      </c>
      <c r="CV713" t="s">
        <v>111</v>
      </c>
      <c r="CX713" t="s">
        <v>111</v>
      </c>
      <c r="CY713">
        <v>0</v>
      </c>
      <c r="CZ713" t="s">
        <v>111</v>
      </c>
      <c r="DA713" t="s">
        <v>111</v>
      </c>
      <c r="DB713" t="s">
        <v>111</v>
      </c>
      <c r="DC713" t="s">
        <v>111</v>
      </c>
    </row>
    <row r="714" spans="1:107">
      <c r="A714">
        <v>2088</v>
      </c>
      <c r="B714" t="s">
        <v>376</v>
      </c>
      <c r="C714" t="s">
        <v>2443</v>
      </c>
      <c r="D714" t="s">
        <v>2444</v>
      </c>
      <c r="E714" t="s">
        <v>2445</v>
      </c>
      <c r="F714" t="s">
        <v>561</v>
      </c>
      <c r="G714" t="s">
        <v>469</v>
      </c>
      <c r="H714">
        <v>2.5</v>
      </c>
      <c r="I714">
        <v>50</v>
      </c>
      <c r="J714">
        <v>0</v>
      </c>
      <c r="K714">
        <v>0</v>
      </c>
      <c r="L714" t="s">
        <v>112</v>
      </c>
      <c r="M714" t="s">
        <v>118</v>
      </c>
      <c r="N714">
        <v>40</v>
      </c>
      <c r="O714">
        <v>2</v>
      </c>
      <c r="P714" t="s">
        <v>111</v>
      </c>
      <c r="Q714">
        <v>50</v>
      </c>
      <c r="R714">
        <v>0</v>
      </c>
      <c r="S714">
        <v>0</v>
      </c>
      <c r="T714">
        <v>5</v>
      </c>
      <c r="U714" s="1" t="s">
        <v>2446</v>
      </c>
      <c r="V714">
        <v>25</v>
      </c>
      <c r="W714">
        <v>0</v>
      </c>
      <c r="X714">
        <v>8</v>
      </c>
      <c r="Y714">
        <v>0</v>
      </c>
      <c r="Z714" t="s">
        <v>111</v>
      </c>
      <c r="AA714">
        <v>0</v>
      </c>
      <c r="AB714" t="s">
        <v>111</v>
      </c>
      <c r="AC714">
        <v>0</v>
      </c>
      <c r="AD714" t="s">
        <v>493</v>
      </c>
      <c r="AE714">
        <v>0</v>
      </c>
      <c r="AF714">
        <v>0</v>
      </c>
      <c r="AG714" t="s">
        <v>111</v>
      </c>
      <c r="AH714" t="s">
        <v>111</v>
      </c>
      <c r="AI714" t="s">
        <v>111</v>
      </c>
      <c r="AJ714" t="s">
        <v>111</v>
      </c>
      <c r="AK714" t="s">
        <v>111</v>
      </c>
      <c r="AL714" t="s">
        <v>111</v>
      </c>
      <c r="AM714">
        <v>0</v>
      </c>
      <c r="AN714">
        <v>0</v>
      </c>
      <c r="AO714">
        <v>0</v>
      </c>
      <c r="AP714" t="s">
        <v>111</v>
      </c>
      <c r="AQ714" t="s">
        <v>111</v>
      </c>
      <c r="AR714" t="s">
        <v>111</v>
      </c>
      <c r="AS714" t="s">
        <v>111</v>
      </c>
      <c r="AT714" t="s">
        <v>111</v>
      </c>
      <c r="AU714" t="s">
        <v>111</v>
      </c>
      <c r="AV714" t="s">
        <v>111</v>
      </c>
      <c r="AW714" t="s">
        <v>111</v>
      </c>
      <c r="AX714" t="s">
        <v>111</v>
      </c>
      <c r="AY714" t="s">
        <v>111</v>
      </c>
      <c r="AZ714" t="s">
        <v>111</v>
      </c>
      <c r="BA714" t="s">
        <v>111</v>
      </c>
      <c r="BB714" t="s">
        <v>111</v>
      </c>
      <c r="BC714" t="s">
        <v>111</v>
      </c>
      <c r="BD714" t="s">
        <v>111</v>
      </c>
      <c r="BE714" t="s">
        <v>111</v>
      </c>
      <c r="BF714" t="s">
        <v>111</v>
      </c>
      <c r="BG714" t="s">
        <v>111</v>
      </c>
      <c r="BH714" t="s">
        <v>111</v>
      </c>
      <c r="BI714" t="s">
        <v>111</v>
      </c>
      <c r="BJ714" t="s">
        <v>111</v>
      </c>
      <c r="BK714" t="s">
        <v>111</v>
      </c>
      <c r="BL714" t="s">
        <v>111</v>
      </c>
      <c r="BM714" t="s">
        <v>111</v>
      </c>
      <c r="BN714" t="s">
        <v>111</v>
      </c>
      <c r="BO714" t="s">
        <v>111</v>
      </c>
      <c r="BP714" t="s">
        <v>111</v>
      </c>
      <c r="BQ714" t="s">
        <v>111</v>
      </c>
      <c r="BR714" t="s">
        <v>111</v>
      </c>
      <c r="BS714" t="s">
        <v>111</v>
      </c>
      <c r="BT714" t="s">
        <v>111</v>
      </c>
      <c r="BU714" t="s">
        <v>111</v>
      </c>
      <c r="BV714" t="s">
        <v>111</v>
      </c>
      <c r="BW714" t="s">
        <v>111</v>
      </c>
      <c r="BX714" t="s">
        <v>111</v>
      </c>
      <c r="BY714" t="s">
        <v>111</v>
      </c>
      <c r="BZ714" t="s">
        <v>111</v>
      </c>
      <c r="CA714" t="s">
        <v>111</v>
      </c>
      <c r="CB714" t="s">
        <v>111</v>
      </c>
      <c r="CC714" t="s">
        <v>111</v>
      </c>
      <c r="CD714" t="s">
        <v>111</v>
      </c>
      <c r="CE714" t="s">
        <v>111</v>
      </c>
      <c r="CF714" t="s">
        <v>111</v>
      </c>
      <c r="CG714" t="s">
        <v>111</v>
      </c>
      <c r="CH714" t="s">
        <v>111</v>
      </c>
      <c r="CI714" t="s">
        <v>111</v>
      </c>
      <c r="CJ714" t="s">
        <v>111</v>
      </c>
      <c r="CK714" t="s">
        <v>111</v>
      </c>
      <c r="CL714" t="e">
        <f>- DESTINO SELLADO</f>
        <v>#NAME?</v>
      </c>
      <c r="CM714" t="s">
        <v>438</v>
      </c>
      <c r="CN714" t="s">
        <v>113</v>
      </c>
      <c r="CO714" t="s">
        <v>111</v>
      </c>
      <c r="CP714" t="s">
        <v>111</v>
      </c>
      <c r="CQ714">
        <v>0</v>
      </c>
      <c r="CR714">
        <v>200</v>
      </c>
      <c r="CS714">
        <v>50</v>
      </c>
      <c r="CT714" t="e">
        <f>- DESTINO TROQUEL</f>
        <v>#NAME?</v>
      </c>
      <c r="CU714">
        <v>0</v>
      </c>
      <c r="CV714" t="s">
        <v>111</v>
      </c>
      <c r="CX714" t="s">
        <v>111</v>
      </c>
      <c r="CY714">
        <v>0</v>
      </c>
      <c r="CZ714" t="s">
        <v>111</v>
      </c>
      <c r="DA714" t="s">
        <v>111</v>
      </c>
      <c r="DB714" t="e">
        <f>- INTERNA</f>
        <v>#NAME?</v>
      </c>
      <c r="DC714" s="1" t="s">
        <v>2447</v>
      </c>
    </row>
    <row r="715" spans="1:107">
      <c r="A715">
        <v>2076</v>
      </c>
      <c r="B715" t="s">
        <v>376</v>
      </c>
      <c r="C715" t="s">
        <v>119</v>
      </c>
      <c r="D715" t="s">
        <v>2448</v>
      </c>
      <c r="E715" t="s">
        <v>2449</v>
      </c>
      <c r="F715" t="s">
        <v>125</v>
      </c>
      <c r="G715" t="s">
        <v>469</v>
      </c>
      <c r="H715">
        <v>0.8</v>
      </c>
      <c r="I715">
        <v>64</v>
      </c>
      <c r="J715">
        <v>0</v>
      </c>
      <c r="K715">
        <v>0</v>
      </c>
      <c r="L715" t="s">
        <v>112</v>
      </c>
      <c r="M715" t="s">
        <v>111</v>
      </c>
      <c r="N715">
        <v>0</v>
      </c>
      <c r="O715">
        <v>0</v>
      </c>
      <c r="P715" t="s">
        <v>111</v>
      </c>
      <c r="Q715">
        <v>41</v>
      </c>
      <c r="R715">
        <v>0</v>
      </c>
      <c r="S715">
        <v>0</v>
      </c>
      <c r="T715">
        <v>5</v>
      </c>
      <c r="U715" t="e">
        <f>- DESTINO SELLADO</f>
        <v>#NAME?</v>
      </c>
      <c r="V715">
        <v>25</v>
      </c>
      <c r="W715">
        <v>0</v>
      </c>
      <c r="X715">
        <v>8</v>
      </c>
      <c r="Y715">
        <v>0</v>
      </c>
      <c r="Z715" t="s">
        <v>111</v>
      </c>
      <c r="AA715">
        <v>0</v>
      </c>
      <c r="AB715" t="s">
        <v>111</v>
      </c>
      <c r="AC715">
        <v>0</v>
      </c>
      <c r="AD715" t="s">
        <v>111</v>
      </c>
      <c r="AE715">
        <v>0</v>
      </c>
      <c r="AF715">
        <v>0</v>
      </c>
      <c r="AG715" t="s">
        <v>111</v>
      </c>
      <c r="AH715" t="s">
        <v>111</v>
      </c>
      <c r="AI715" t="s">
        <v>111</v>
      </c>
      <c r="AJ715" t="s">
        <v>111</v>
      </c>
      <c r="AK715" t="s">
        <v>111</v>
      </c>
      <c r="AL715" t="s">
        <v>111</v>
      </c>
      <c r="AM715">
        <v>0</v>
      </c>
      <c r="AN715">
        <v>0</v>
      </c>
      <c r="AO715">
        <v>0</v>
      </c>
      <c r="AP715" t="s">
        <v>111</v>
      </c>
      <c r="AQ715" t="s">
        <v>111</v>
      </c>
      <c r="AR715" t="s">
        <v>111</v>
      </c>
      <c r="AS715" t="s">
        <v>111</v>
      </c>
      <c r="AT715" t="s">
        <v>111</v>
      </c>
      <c r="AU715" t="s">
        <v>111</v>
      </c>
      <c r="AV715" t="s">
        <v>111</v>
      </c>
      <c r="AW715" t="s">
        <v>111</v>
      </c>
      <c r="AX715" t="s">
        <v>111</v>
      </c>
      <c r="AY715" t="s">
        <v>111</v>
      </c>
      <c r="AZ715" t="s">
        <v>111</v>
      </c>
      <c r="BA715" t="s">
        <v>111</v>
      </c>
      <c r="BB715" t="s">
        <v>111</v>
      </c>
      <c r="BC715" t="s">
        <v>111</v>
      </c>
      <c r="BD715" t="s">
        <v>111</v>
      </c>
      <c r="BE715" t="s">
        <v>111</v>
      </c>
      <c r="BF715" t="s">
        <v>111</v>
      </c>
      <c r="BG715" t="s">
        <v>111</v>
      </c>
      <c r="BH715" t="s">
        <v>111</v>
      </c>
      <c r="BI715" t="s">
        <v>111</v>
      </c>
      <c r="BJ715" t="s">
        <v>111</v>
      </c>
      <c r="BK715" t="s">
        <v>111</v>
      </c>
      <c r="BL715" t="s">
        <v>111</v>
      </c>
      <c r="BM715" t="s">
        <v>111</v>
      </c>
      <c r="BN715" t="s">
        <v>111</v>
      </c>
      <c r="BO715" t="s">
        <v>111</v>
      </c>
      <c r="BP715" t="s">
        <v>111</v>
      </c>
      <c r="BQ715" t="s">
        <v>111</v>
      </c>
      <c r="BR715" t="s">
        <v>111</v>
      </c>
      <c r="BS715" t="s">
        <v>111</v>
      </c>
      <c r="BT715" t="s">
        <v>111</v>
      </c>
      <c r="BU715" t="s">
        <v>111</v>
      </c>
      <c r="BV715" t="s">
        <v>111</v>
      </c>
      <c r="BW715" t="s">
        <v>111</v>
      </c>
      <c r="BX715" t="s">
        <v>111</v>
      </c>
      <c r="BY715" t="s">
        <v>111</v>
      </c>
      <c r="BZ715" t="s">
        <v>111</v>
      </c>
      <c r="CA715" t="s">
        <v>111</v>
      </c>
      <c r="CB715" t="s">
        <v>111</v>
      </c>
      <c r="CC715" t="s">
        <v>111</v>
      </c>
      <c r="CD715" t="s">
        <v>111</v>
      </c>
      <c r="CE715" t="s">
        <v>111</v>
      </c>
      <c r="CF715" t="s">
        <v>111</v>
      </c>
      <c r="CG715" t="s">
        <v>111</v>
      </c>
      <c r="CH715" t="s">
        <v>111</v>
      </c>
      <c r="CI715" t="s">
        <v>111</v>
      </c>
      <c r="CJ715" t="s">
        <v>111</v>
      </c>
      <c r="CK715" t="s">
        <v>111</v>
      </c>
      <c r="CL715" t="s">
        <v>111</v>
      </c>
      <c r="CM715" t="s">
        <v>127</v>
      </c>
      <c r="CN715" t="s">
        <v>128</v>
      </c>
      <c r="CO715" t="s">
        <v>111</v>
      </c>
      <c r="CP715" t="s">
        <v>111</v>
      </c>
      <c r="CQ715">
        <v>0</v>
      </c>
      <c r="CR715">
        <v>200</v>
      </c>
      <c r="CS715">
        <v>1000</v>
      </c>
      <c r="CT715" t="s">
        <v>111</v>
      </c>
      <c r="CU715">
        <v>0</v>
      </c>
      <c r="CV715" t="s">
        <v>111</v>
      </c>
      <c r="CX715" t="s">
        <v>111</v>
      </c>
      <c r="CY715">
        <v>0</v>
      </c>
      <c r="CZ715" t="s">
        <v>111</v>
      </c>
      <c r="DA715" t="s">
        <v>111</v>
      </c>
      <c r="DB715" t="s">
        <v>111</v>
      </c>
      <c r="DC715" t="s">
        <v>111</v>
      </c>
    </row>
    <row r="716" spans="1:107">
      <c r="A716">
        <v>1615</v>
      </c>
      <c r="B716" t="s">
        <v>107</v>
      </c>
      <c r="C716" t="s">
        <v>937</v>
      </c>
      <c r="D716" t="s">
        <v>938</v>
      </c>
      <c r="E716" t="s">
        <v>2450</v>
      </c>
      <c r="F716" t="s">
        <v>431</v>
      </c>
      <c r="G716" t="s">
        <v>469</v>
      </c>
      <c r="H716">
        <v>2.9</v>
      </c>
      <c r="I716">
        <v>54</v>
      </c>
      <c r="J716">
        <v>0</v>
      </c>
      <c r="K716">
        <v>0</v>
      </c>
      <c r="L716" t="s">
        <v>117</v>
      </c>
      <c r="M716" t="s">
        <v>118</v>
      </c>
      <c r="N716">
        <v>40</v>
      </c>
      <c r="O716">
        <v>1</v>
      </c>
      <c r="P716" t="s">
        <v>111</v>
      </c>
      <c r="Q716">
        <v>26</v>
      </c>
      <c r="R716">
        <v>0</v>
      </c>
      <c r="S716">
        <v>0</v>
      </c>
      <c r="T716">
        <v>5</v>
      </c>
      <c r="U716" s="1" t="s">
        <v>2451</v>
      </c>
      <c r="V716">
        <v>0</v>
      </c>
      <c r="W716">
        <v>25</v>
      </c>
      <c r="X716">
        <v>8</v>
      </c>
      <c r="Y716">
        <v>0</v>
      </c>
      <c r="Z716" t="s">
        <v>111</v>
      </c>
      <c r="AA716">
        <v>0</v>
      </c>
      <c r="AB716" t="s">
        <v>2452</v>
      </c>
      <c r="AC716">
        <v>8</v>
      </c>
      <c r="AD716" t="s">
        <v>416</v>
      </c>
      <c r="AE716">
        <v>0</v>
      </c>
      <c r="AF716">
        <v>0</v>
      </c>
      <c r="AG716" t="s">
        <v>111</v>
      </c>
      <c r="AH716" t="s">
        <v>113</v>
      </c>
      <c r="AI716" t="s">
        <v>111</v>
      </c>
      <c r="AJ716" t="s">
        <v>111</v>
      </c>
      <c r="AK716" t="s">
        <v>111</v>
      </c>
      <c r="AL716" t="s">
        <v>111</v>
      </c>
      <c r="AM716">
        <v>0</v>
      </c>
      <c r="AN716">
        <v>0</v>
      </c>
      <c r="AO716">
        <v>0</v>
      </c>
      <c r="AP716" t="s">
        <v>111</v>
      </c>
      <c r="AQ716" t="s">
        <v>111</v>
      </c>
      <c r="AR716" t="s">
        <v>111</v>
      </c>
      <c r="AS716" t="s">
        <v>111</v>
      </c>
      <c r="AT716" t="s">
        <v>111</v>
      </c>
      <c r="AU716" t="s">
        <v>111</v>
      </c>
      <c r="AV716" t="s">
        <v>111</v>
      </c>
      <c r="AW716" t="s">
        <v>111</v>
      </c>
      <c r="AX716" t="s">
        <v>111</v>
      </c>
      <c r="AY716" t="s">
        <v>111</v>
      </c>
      <c r="AZ716" t="s">
        <v>111</v>
      </c>
      <c r="BA716" t="s">
        <v>111</v>
      </c>
      <c r="BB716" t="s">
        <v>111</v>
      </c>
      <c r="BC716" t="s">
        <v>111</v>
      </c>
      <c r="BD716" t="s">
        <v>111</v>
      </c>
      <c r="BE716" t="s">
        <v>111</v>
      </c>
      <c r="BF716" t="s">
        <v>111</v>
      </c>
      <c r="BG716" t="s">
        <v>111</v>
      </c>
      <c r="BH716" t="s">
        <v>111</v>
      </c>
      <c r="BI716" t="s">
        <v>111</v>
      </c>
      <c r="BJ716" t="s">
        <v>111</v>
      </c>
      <c r="BK716" t="s">
        <v>111</v>
      </c>
      <c r="BL716" t="s">
        <v>111</v>
      </c>
      <c r="BM716" t="s">
        <v>111</v>
      </c>
      <c r="BN716" t="s">
        <v>111</v>
      </c>
      <c r="BO716" t="s">
        <v>111</v>
      </c>
      <c r="BP716" t="s">
        <v>111</v>
      </c>
      <c r="BQ716" t="s">
        <v>111</v>
      </c>
      <c r="BR716" t="s">
        <v>111</v>
      </c>
      <c r="BS716" t="s">
        <v>111</v>
      </c>
      <c r="BT716" t="s">
        <v>111</v>
      </c>
      <c r="BU716" t="s">
        <v>111</v>
      </c>
      <c r="BV716" t="s">
        <v>111</v>
      </c>
      <c r="BW716" t="s">
        <v>111</v>
      </c>
      <c r="BX716" t="s">
        <v>111</v>
      </c>
      <c r="BY716" t="s">
        <v>111</v>
      </c>
      <c r="BZ716" t="s">
        <v>111</v>
      </c>
      <c r="CA716" t="s">
        <v>111</v>
      </c>
      <c r="CB716" t="s">
        <v>111</v>
      </c>
      <c r="CC716" t="s">
        <v>111</v>
      </c>
      <c r="CD716" t="s">
        <v>111</v>
      </c>
      <c r="CE716" t="s">
        <v>111</v>
      </c>
      <c r="CF716" t="s">
        <v>111</v>
      </c>
      <c r="CG716" t="s">
        <v>111</v>
      </c>
      <c r="CH716" t="s">
        <v>111</v>
      </c>
      <c r="CI716" t="s">
        <v>111</v>
      </c>
      <c r="CJ716" t="s">
        <v>111</v>
      </c>
      <c r="CK716" t="s">
        <v>111</v>
      </c>
      <c r="CL716" t="s">
        <v>111</v>
      </c>
      <c r="CM716">
        <v>450</v>
      </c>
      <c r="CN716" t="s">
        <v>113</v>
      </c>
      <c r="CO716" t="s">
        <v>111</v>
      </c>
      <c r="CP716" t="s">
        <v>111</v>
      </c>
      <c r="CQ716">
        <v>0</v>
      </c>
      <c r="CR716">
        <v>4000</v>
      </c>
      <c r="CS716">
        <v>100</v>
      </c>
      <c r="CT716" t="e">
        <f>-ALMACEN</f>
        <v>#NAME?</v>
      </c>
      <c r="CU716">
        <v>0</v>
      </c>
      <c r="CV716" t="s">
        <v>111</v>
      </c>
      <c r="CW716" t="s">
        <v>111</v>
      </c>
      <c r="CX716" t="s">
        <v>111</v>
      </c>
      <c r="CY716">
        <v>0</v>
      </c>
      <c r="CZ716" t="s">
        <v>111</v>
      </c>
      <c r="DA716" t="s">
        <v>111</v>
      </c>
      <c r="DB716" t="s">
        <v>111</v>
      </c>
      <c r="DC716" t="s">
        <v>111</v>
      </c>
    </row>
    <row r="717" spans="1:107">
      <c r="A717">
        <v>2077</v>
      </c>
      <c r="B717" t="s">
        <v>376</v>
      </c>
      <c r="C717" t="s">
        <v>2453</v>
      </c>
      <c r="D717" t="s">
        <v>2454</v>
      </c>
      <c r="E717" t="s">
        <v>2455</v>
      </c>
      <c r="F717" t="s">
        <v>370</v>
      </c>
      <c r="G717" t="s">
        <v>469</v>
      </c>
      <c r="H717">
        <v>1.6</v>
      </c>
      <c r="I717">
        <v>35</v>
      </c>
      <c r="J717">
        <v>8</v>
      </c>
      <c r="K717">
        <v>8</v>
      </c>
      <c r="L717" t="s">
        <v>112</v>
      </c>
      <c r="M717" t="s">
        <v>118</v>
      </c>
      <c r="N717">
        <v>39</v>
      </c>
      <c r="O717">
        <v>1</v>
      </c>
      <c r="P717" t="s">
        <v>111</v>
      </c>
      <c r="Q717">
        <v>42</v>
      </c>
      <c r="R717">
        <v>0</v>
      </c>
      <c r="S717">
        <v>0</v>
      </c>
      <c r="T717">
        <v>5</v>
      </c>
      <c r="U717" t="e">
        <f>- DESTINO DARMA</f>
        <v>#NAME?</v>
      </c>
      <c r="V717">
        <v>25</v>
      </c>
      <c r="W717">
        <v>0</v>
      </c>
      <c r="X717">
        <v>8</v>
      </c>
      <c r="Y717">
        <v>0</v>
      </c>
      <c r="Z717" t="s">
        <v>288</v>
      </c>
      <c r="AA717">
        <v>1.5</v>
      </c>
      <c r="AB717" t="s">
        <v>111</v>
      </c>
      <c r="AC717">
        <v>0</v>
      </c>
      <c r="AD717" t="s">
        <v>416</v>
      </c>
      <c r="AE717">
        <v>0</v>
      </c>
      <c r="AF717">
        <v>0</v>
      </c>
      <c r="AG717" t="s">
        <v>111</v>
      </c>
      <c r="AH717" t="s">
        <v>111</v>
      </c>
      <c r="AI717" t="s">
        <v>111</v>
      </c>
      <c r="AJ717" t="s">
        <v>111</v>
      </c>
      <c r="AK717" t="s">
        <v>111</v>
      </c>
      <c r="AL717" t="s">
        <v>111</v>
      </c>
      <c r="AM717">
        <v>0</v>
      </c>
      <c r="AN717">
        <v>0</v>
      </c>
      <c r="AO717">
        <v>0</v>
      </c>
      <c r="AP717" t="s">
        <v>111</v>
      </c>
      <c r="AQ717" t="s">
        <v>111</v>
      </c>
      <c r="AR717" t="s">
        <v>111</v>
      </c>
      <c r="AS717" t="s">
        <v>111</v>
      </c>
      <c r="AT717" t="s">
        <v>111</v>
      </c>
      <c r="AU717" t="s">
        <v>111</v>
      </c>
      <c r="AV717" t="s">
        <v>111</v>
      </c>
      <c r="AW717" t="s">
        <v>111</v>
      </c>
      <c r="AX717" t="s">
        <v>111</v>
      </c>
      <c r="AY717" t="s">
        <v>111</v>
      </c>
      <c r="AZ717" t="s">
        <v>111</v>
      </c>
      <c r="BA717" t="s">
        <v>111</v>
      </c>
      <c r="BB717" t="s">
        <v>111</v>
      </c>
      <c r="BC717" t="s">
        <v>111</v>
      </c>
      <c r="BD717" t="s">
        <v>111</v>
      </c>
      <c r="BE717" t="s">
        <v>111</v>
      </c>
      <c r="BF717" t="s">
        <v>111</v>
      </c>
      <c r="BG717" t="s">
        <v>111</v>
      </c>
      <c r="BH717" t="s">
        <v>111</v>
      </c>
      <c r="BI717" t="s">
        <v>111</v>
      </c>
      <c r="BJ717" t="s">
        <v>111</v>
      </c>
      <c r="BK717" t="s">
        <v>111</v>
      </c>
      <c r="BL717" t="s">
        <v>111</v>
      </c>
      <c r="BM717" t="s">
        <v>111</v>
      </c>
      <c r="BN717" t="s">
        <v>111</v>
      </c>
      <c r="BO717" t="s">
        <v>111</v>
      </c>
      <c r="BP717" t="s">
        <v>111</v>
      </c>
      <c r="BQ717" t="s">
        <v>111</v>
      </c>
      <c r="BR717" t="s">
        <v>111</v>
      </c>
      <c r="BS717" t="s">
        <v>111</v>
      </c>
      <c r="BT717" t="s">
        <v>111</v>
      </c>
      <c r="BU717" t="s">
        <v>111</v>
      </c>
      <c r="BV717" t="s">
        <v>111</v>
      </c>
      <c r="BW717" t="s">
        <v>111</v>
      </c>
      <c r="BX717" t="s">
        <v>111</v>
      </c>
      <c r="BY717" t="s">
        <v>111</v>
      </c>
      <c r="BZ717" t="s">
        <v>111</v>
      </c>
      <c r="CA717" t="s">
        <v>111</v>
      </c>
      <c r="CB717" t="s">
        <v>111</v>
      </c>
      <c r="CC717" t="s">
        <v>111</v>
      </c>
      <c r="CD717" t="s">
        <v>111</v>
      </c>
      <c r="CE717" t="s">
        <v>111</v>
      </c>
      <c r="CF717" t="s">
        <v>111</v>
      </c>
      <c r="CG717" t="s">
        <v>111</v>
      </c>
      <c r="CH717" t="s">
        <v>111</v>
      </c>
      <c r="CI717" t="s">
        <v>111</v>
      </c>
      <c r="CJ717" t="s">
        <v>111</v>
      </c>
      <c r="CK717" t="s">
        <v>111</v>
      </c>
      <c r="CL717" t="s">
        <v>111</v>
      </c>
      <c r="CM717" t="s">
        <v>135</v>
      </c>
      <c r="CN717" t="s">
        <v>128</v>
      </c>
      <c r="CO717" t="s">
        <v>974</v>
      </c>
      <c r="CP717" t="e">
        <f>-MUESTRA</f>
        <v>#NAME?</v>
      </c>
      <c r="CQ717">
        <v>0</v>
      </c>
      <c r="CR717">
        <v>1000</v>
      </c>
      <c r="CS717">
        <v>200</v>
      </c>
      <c r="CT717" t="e">
        <f>- DESTINO MANUALIDAD</f>
        <v>#NAME?</v>
      </c>
      <c r="CU717">
        <v>0</v>
      </c>
      <c r="CV717" t="s">
        <v>111</v>
      </c>
      <c r="CX717" t="s">
        <v>111</v>
      </c>
      <c r="CY717">
        <v>0</v>
      </c>
      <c r="CZ717" t="s">
        <v>111</v>
      </c>
      <c r="DA717" t="s">
        <v>111</v>
      </c>
      <c r="DB717" t="e">
        <f>- INTERNO</f>
        <v>#NAME?</v>
      </c>
      <c r="DC717" s="1" t="s">
        <v>2456</v>
      </c>
    </row>
    <row r="718" spans="1:107">
      <c r="A718">
        <v>1616</v>
      </c>
      <c r="B718" t="s">
        <v>107</v>
      </c>
      <c r="C718" t="s">
        <v>713</v>
      </c>
      <c r="D718" t="s">
        <v>2457</v>
      </c>
      <c r="E718" t="s">
        <v>2458</v>
      </c>
      <c r="F718" t="s">
        <v>358</v>
      </c>
      <c r="G718" t="s">
        <v>469</v>
      </c>
      <c r="H718">
        <v>2.5</v>
      </c>
      <c r="I718">
        <v>63</v>
      </c>
      <c r="J718">
        <v>0</v>
      </c>
      <c r="K718">
        <v>0</v>
      </c>
      <c r="L718" t="s">
        <v>117</v>
      </c>
      <c r="M718" t="s">
        <v>118</v>
      </c>
      <c r="N718">
        <v>39</v>
      </c>
      <c r="O718">
        <v>1</v>
      </c>
      <c r="P718" t="s">
        <v>111</v>
      </c>
      <c r="Q718">
        <v>52.5</v>
      </c>
      <c r="R718">
        <v>0</v>
      </c>
      <c r="S718">
        <v>0</v>
      </c>
      <c r="T718">
        <v>5</v>
      </c>
      <c r="U718" s="1" t="s">
        <v>2459</v>
      </c>
      <c r="V718">
        <v>0</v>
      </c>
      <c r="W718">
        <v>25</v>
      </c>
      <c r="X718">
        <v>8</v>
      </c>
      <c r="Y718">
        <v>0</v>
      </c>
      <c r="Z718" t="s">
        <v>111</v>
      </c>
      <c r="AA718">
        <v>0</v>
      </c>
      <c r="AB718" t="s">
        <v>2460</v>
      </c>
      <c r="AC718">
        <v>8</v>
      </c>
      <c r="AD718" t="s">
        <v>416</v>
      </c>
      <c r="AE718">
        <v>0</v>
      </c>
      <c r="AF718">
        <v>0</v>
      </c>
      <c r="AG718" t="s">
        <v>111</v>
      </c>
      <c r="AH718" t="s">
        <v>128</v>
      </c>
      <c r="AI718" t="s">
        <v>111</v>
      </c>
      <c r="AJ718" t="s">
        <v>111</v>
      </c>
      <c r="AK718" t="s">
        <v>111</v>
      </c>
      <c r="AL718" t="s">
        <v>111</v>
      </c>
      <c r="AM718">
        <v>0</v>
      </c>
      <c r="AN718">
        <v>0</v>
      </c>
      <c r="AO718">
        <v>0</v>
      </c>
      <c r="AP718" t="s">
        <v>111</v>
      </c>
      <c r="AQ718" t="s">
        <v>111</v>
      </c>
      <c r="AR718" t="s">
        <v>111</v>
      </c>
      <c r="AS718" t="s">
        <v>111</v>
      </c>
      <c r="AT718" t="s">
        <v>111</v>
      </c>
      <c r="AU718" t="s">
        <v>111</v>
      </c>
      <c r="AV718" t="s">
        <v>111</v>
      </c>
      <c r="AW718" t="s">
        <v>111</v>
      </c>
      <c r="AX718" t="s">
        <v>111</v>
      </c>
      <c r="AY718" t="s">
        <v>111</v>
      </c>
      <c r="AZ718" t="s">
        <v>111</v>
      </c>
      <c r="BA718" t="s">
        <v>111</v>
      </c>
      <c r="BB718" t="s">
        <v>111</v>
      </c>
      <c r="BC718" t="s">
        <v>111</v>
      </c>
      <c r="BD718" t="s">
        <v>111</v>
      </c>
      <c r="BE718" t="s">
        <v>111</v>
      </c>
      <c r="BF718" t="s">
        <v>111</v>
      </c>
      <c r="BG718" t="s">
        <v>111</v>
      </c>
      <c r="BH718" t="s">
        <v>111</v>
      </c>
      <c r="BI718" t="s">
        <v>111</v>
      </c>
      <c r="BJ718" t="s">
        <v>111</v>
      </c>
      <c r="BK718" t="s">
        <v>111</v>
      </c>
      <c r="BL718" t="s">
        <v>111</v>
      </c>
      <c r="BM718" t="s">
        <v>111</v>
      </c>
      <c r="BN718" t="s">
        <v>111</v>
      </c>
      <c r="BO718" t="s">
        <v>111</v>
      </c>
      <c r="BP718" t="s">
        <v>111</v>
      </c>
      <c r="BQ718" t="s">
        <v>111</v>
      </c>
      <c r="BR718" t="s">
        <v>111</v>
      </c>
      <c r="BS718" t="s">
        <v>111</v>
      </c>
      <c r="BT718" t="s">
        <v>111</v>
      </c>
      <c r="BU718" t="s">
        <v>111</v>
      </c>
      <c r="BV718" t="s">
        <v>111</v>
      </c>
      <c r="BW718" t="s">
        <v>111</v>
      </c>
      <c r="BX718" t="s">
        <v>111</v>
      </c>
      <c r="BY718" t="s">
        <v>111</v>
      </c>
      <c r="BZ718" t="s">
        <v>111</v>
      </c>
      <c r="CA718" t="s">
        <v>111</v>
      </c>
      <c r="CB718" t="s">
        <v>111</v>
      </c>
      <c r="CC718" t="s">
        <v>111</v>
      </c>
      <c r="CD718" t="s">
        <v>111</v>
      </c>
      <c r="CE718" t="s">
        <v>111</v>
      </c>
      <c r="CF718" t="s">
        <v>111</v>
      </c>
      <c r="CG718" t="s">
        <v>111</v>
      </c>
      <c r="CH718" t="s">
        <v>111</v>
      </c>
      <c r="CI718" t="s">
        <v>111</v>
      </c>
      <c r="CJ718" t="s">
        <v>111</v>
      </c>
      <c r="CK718" t="s">
        <v>111</v>
      </c>
      <c r="CL718" t="s">
        <v>111</v>
      </c>
      <c r="CM718" t="s">
        <v>111</v>
      </c>
      <c r="CN718" t="s">
        <v>111</v>
      </c>
      <c r="CO718" t="s">
        <v>111</v>
      </c>
      <c r="CP718" t="s">
        <v>111</v>
      </c>
      <c r="CQ718">
        <v>0</v>
      </c>
      <c r="CR718">
        <v>0</v>
      </c>
      <c r="CS718">
        <v>0</v>
      </c>
      <c r="CT718" t="s">
        <v>111</v>
      </c>
      <c r="CU718">
        <v>31</v>
      </c>
      <c r="CV718" t="s">
        <v>2461</v>
      </c>
      <c r="CW718" t="s">
        <v>111</v>
      </c>
      <c r="CX718">
        <v>-2</v>
      </c>
      <c r="CY718">
        <v>16</v>
      </c>
      <c r="CZ718" t="s">
        <v>117</v>
      </c>
      <c r="DA718" s="1" t="s">
        <v>2462</v>
      </c>
      <c r="DB718" t="s">
        <v>111</v>
      </c>
      <c r="DC718" t="s">
        <v>111</v>
      </c>
    </row>
    <row r="719" spans="1:107">
      <c r="A719">
        <v>1686</v>
      </c>
      <c r="B719" t="s">
        <v>107</v>
      </c>
      <c r="C719" t="s">
        <v>1176</v>
      </c>
      <c r="D719" t="s">
        <v>2463</v>
      </c>
      <c r="E719" t="s">
        <v>2464</v>
      </c>
      <c r="F719" t="s">
        <v>431</v>
      </c>
      <c r="G719" t="s">
        <v>469</v>
      </c>
      <c r="H719">
        <v>1.4</v>
      </c>
      <c r="I719">
        <v>70</v>
      </c>
      <c r="J719">
        <v>0</v>
      </c>
      <c r="K719">
        <v>0</v>
      </c>
      <c r="L719" t="s">
        <v>112</v>
      </c>
      <c r="M719" t="s">
        <v>118</v>
      </c>
      <c r="N719">
        <v>40</v>
      </c>
      <c r="O719">
        <v>1</v>
      </c>
      <c r="P719" t="s">
        <v>111</v>
      </c>
      <c r="Q719">
        <v>35</v>
      </c>
      <c r="R719">
        <v>0</v>
      </c>
      <c r="S719">
        <v>0</v>
      </c>
      <c r="T719">
        <v>5</v>
      </c>
      <c r="U719" s="1" t="s">
        <v>662</v>
      </c>
      <c r="V719">
        <v>0</v>
      </c>
      <c r="W719">
        <v>25</v>
      </c>
      <c r="X719">
        <v>6</v>
      </c>
      <c r="Y719">
        <v>0</v>
      </c>
      <c r="Z719" t="s">
        <v>111</v>
      </c>
      <c r="AA719">
        <v>0</v>
      </c>
      <c r="AB719" t="s">
        <v>111</v>
      </c>
      <c r="AC719">
        <v>0</v>
      </c>
      <c r="AD719" t="s">
        <v>416</v>
      </c>
      <c r="AE719">
        <v>0</v>
      </c>
      <c r="AF719">
        <v>0</v>
      </c>
      <c r="AG719" t="s">
        <v>111</v>
      </c>
      <c r="AH719" t="s">
        <v>113</v>
      </c>
      <c r="AI719" t="s">
        <v>111</v>
      </c>
      <c r="AJ719" t="s">
        <v>111</v>
      </c>
      <c r="AK719" t="s">
        <v>111</v>
      </c>
      <c r="AL719" t="s">
        <v>111</v>
      </c>
      <c r="AM719">
        <v>0</v>
      </c>
      <c r="AN719">
        <v>0</v>
      </c>
      <c r="AO719">
        <v>0</v>
      </c>
      <c r="AP719" t="s">
        <v>111</v>
      </c>
      <c r="AQ719" t="s">
        <v>111</v>
      </c>
      <c r="AR719" t="s">
        <v>111</v>
      </c>
      <c r="AS719" t="s">
        <v>111</v>
      </c>
      <c r="AT719" t="s">
        <v>111</v>
      </c>
      <c r="AU719" t="s">
        <v>111</v>
      </c>
      <c r="AV719" t="s">
        <v>111</v>
      </c>
      <c r="AW719" t="s">
        <v>111</v>
      </c>
      <c r="AX719" t="s">
        <v>111</v>
      </c>
      <c r="AY719" t="s">
        <v>111</v>
      </c>
      <c r="AZ719" t="s">
        <v>111</v>
      </c>
      <c r="BA719" t="s">
        <v>111</v>
      </c>
      <c r="BB719" t="s">
        <v>111</v>
      </c>
      <c r="BC719" t="s">
        <v>111</v>
      </c>
      <c r="BD719" t="s">
        <v>111</v>
      </c>
      <c r="BE719" t="s">
        <v>111</v>
      </c>
      <c r="BF719" t="s">
        <v>111</v>
      </c>
      <c r="BG719" t="s">
        <v>111</v>
      </c>
      <c r="BH719" t="s">
        <v>111</v>
      </c>
      <c r="BI719" t="s">
        <v>111</v>
      </c>
      <c r="BJ719" t="s">
        <v>111</v>
      </c>
      <c r="BK719" t="s">
        <v>111</v>
      </c>
      <c r="BL719" t="s">
        <v>111</v>
      </c>
      <c r="BM719" t="s">
        <v>111</v>
      </c>
      <c r="BN719" t="s">
        <v>111</v>
      </c>
      <c r="BO719" t="s">
        <v>111</v>
      </c>
      <c r="BP719" t="s">
        <v>111</v>
      </c>
      <c r="BQ719" t="s">
        <v>111</v>
      </c>
      <c r="BR719" t="s">
        <v>111</v>
      </c>
      <c r="BS719" t="s">
        <v>111</v>
      </c>
      <c r="BT719" t="s">
        <v>111</v>
      </c>
      <c r="BU719" t="s">
        <v>111</v>
      </c>
      <c r="BV719" t="s">
        <v>111</v>
      </c>
      <c r="BW719" t="s">
        <v>111</v>
      </c>
      <c r="BX719" t="s">
        <v>111</v>
      </c>
      <c r="BY719" t="s">
        <v>111</v>
      </c>
      <c r="BZ719" t="s">
        <v>111</v>
      </c>
      <c r="CA719" t="s">
        <v>111</v>
      </c>
      <c r="CB719" t="s">
        <v>111</v>
      </c>
      <c r="CC719" t="s">
        <v>111</v>
      </c>
      <c r="CD719" t="s">
        <v>111</v>
      </c>
      <c r="CE719" t="s">
        <v>111</v>
      </c>
      <c r="CF719" t="s">
        <v>111</v>
      </c>
      <c r="CG719" t="s">
        <v>111</v>
      </c>
      <c r="CH719" t="s">
        <v>111</v>
      </c>
      <c r="CI719" t="s">
        <v>111</v>
      </c>
      <c r="CJ719" t="s">
        <v>111</v>
      </c>
      <c r="CK719" t="s">
        <v>111</v>
      </c>
      <c r="CL719" t="s">
        <v>111</v>
      </c>
      <c r="CM719" t="s">
        <v>360</v>
      </c>
      <c r="CN719" t="s">
        <v>113</v>
      </c>
      <c r="CO719" t="s">
        <v>111</v>
      </c>
      <c r="CP719" t="s">
        <v>111</v>
      </c>
      <c r="CQ719">
        <v>0</v>
      </c>
      <c r="CR719">
        <v>100</v>
      </c>
      <c r="CS719">
        <v>50</v>
      </c>
      <c r="CT719" t="e">
        <f>-ALMACEN</f>
        <v>#NAME?</v>
      </c>
      <c r="CU719">
        <v>0</v>
      </c>
      <c r="CV719" t="s">
        <v>111</v>
      </c>
      <c r="CX719" t="s">
        <v>111</v>
      </c>
      <c r="CY719">
        <v>0</v>
      </c>
      <c r="CZ719" t="s">
        <v>111</v>
      </c>
      <c r="DA719" t="s">
        <v>111</v>
      </c>
      <c r="DB719" t="s">
        <v>111</v>
      </c>
      <c r="DC719" t="s">
        <v>111</v>
      </c>
    </row>
    <row r="720" spans="1:107">
      <c r="A720">
        <v>1580</v>
      </c>
      <c r="B720" t="s">
        <v>107</v>
      </c>
      <c r="C720" t="s">
        <v>2291</v>
      </c>
      <c r="D720" t="s">
        <v>2465</v>
      </c>
      <c r="E720" t="s">
        <v>2466</v>
      </c>
      <c r="F720" t="s">
        <v>370</v>
      </c>
      <c r="G720" t="s">
        <v>469</v>
      </c>
      <c r="H720">
        <v>2.2000000000000002</v>
      </c>
      <c r="I720">
        <v>58</v>
      </c>
      <c r="J720">
        <v>0</v>
      </c>
      <c r="K720">
        <v>0</v>
      </c>
      <c r="L720" t="s">
        <v>112</v>
      </c>
      <c r="M720" t="s">
        <v>118</v>
      </c>
      <c r="N720">
        <v>39</v>
      </c>
      <c r="O720">
        <v>2</v>
      </c>
      <c r="P720" t="s">
        <v>111</v>
      </c>
      <c r="Q720">
        <v>46</v>
      </c>
      <c r="R720">
        <v>0</v>
      </c>
      <c r="S720">
        <v>0</v>
      </c>
      <c r="T720">
        <v>5</v>
      </c>
      <c r="U720" s="1" t="s">
        <v>2467</v>
      </c>
      <c r="V720">
        <v>12.5</v>
      </c>
      <c r="W720">
        <v>0</v>
      </c>
      <c r="X720">
        <v>12.5</v>
      </c>
      <c r="Y720">
        <v>0</v>
      </c>
      <c r="Z720" t="s">
        <v>288</v>
      </c>
      <c r="AA720">
        <v>1.8</v>
      </c>
      <c r="AB720" t="s">
        <v>111</v>
      </c>
      <c r="AC720">
        <v>0</v>
      </c>
      <c r="AD720" t="s">
        <v>416</v>
      </c>
      <c r="AE720">
        <v>0</v>
      </c>
      <c r="AF720">
        <v>0</v>
      </c>
      <c r="AG720" t="s">
        <v>111</v>
      </c>
      <c r="AH720" t="s">
        <v>113</v>
      </c>
      <c r="AI720" t="s">
        <v>111</v>
      </c>
      <c r="AJ720" t="s">
        <v>111</v>
      </c>
      <c r="AK720" t="s">
        <v>111</v>
      </c>
      <c r="AL720" t="s">
        <v>111</v>
      </c>
      <c r="AM720">
        <v>0</v>
      </c>
      <c r="AN720">
        <v>0</v>
      </c>
      <c r="AO720">
        <v>0</v>
      </c>
      <c r="AP720" t="s">
        <v>111</v>
      </c>
      <c r="AQ720" t="s">
        <v>111</v>
      </c>
      <c r="AR720" t="s">
        <v>111</v>
      </c>
      <c r="AS720" t="s">
        <v>111</v>
      </c>
      <c r="AT720" t="s">
        <v>111</v>
      </c>
      <c r="AU720" t="s">
        <v>111</v>
      </c>
      <c r="AV720" t="s">
        <v>111</v>
      </c>
      <c r="AW720" t="s">
        <v>111</v>
      </c>
      <c r="AX720" t="s">
        <v>111</v>
      </c>
      <c r="AY720" t="s">
        <v>111</v>
      </c>
      <c r="AZ720" t="s">
        <v>111</v>
      </c>
      <c r="BA720" t="s">
        <v>111</v>
      </c>
      <c r="BB720" t="s">
        <v>111</v>
      </c>
      <c r="BC720" t="s">
        <v>111</v>
      </c>
      <c r="BD720" t="s">
        <v>111</v>
      </c>
      <c r="BE720" t="s">
        <v>111</v>
      </c>
      <c r="BF720" t="s">
        <v>111</v>
      </c>
      <c r="BG720" t="s">
        <v>111</v>
      </c>
      <c r="BH720" t="s">
        <v>111</v>
      </c>
      <c r="BI720" t="s">
        <v>111</v>
      </c>
      <c r="BJ720" t="s">
        <v>111</v>
      </c>
      <c r="BK720" t="s">
        <v>111</v>
      </c>
      <c r="BL720" t="s">
        <v>111</v>
      </c>
      <c r="BM720" t="s">
        <v>111</v>
      </c>
      <c r="BN720" t="s">
        <v>111</v>
      </c>
      <c r="BO720" t="s">
        <v>111</v>
      </c>
      <c r="BP720" t="s">
        <v>111</v>
      </c>
      <c r="BQ720" t="s">
        <v>111</v>
      </c>
      <c r="BR720" t="s">
        <v>111</v>
      </c>
      <c r="BS720" t="s">
        <v>111</v>
      </c>
      <c r="BT720" t="s">
        <v>111</v>
      </c>
      <c r="BU720" t="s">
        <v>111</v>
      </c>
      <c r="BV720" t="s">
        <v>111</v>
      </c>
      <c r="BW720" t="s">
        <v>111</v>
      </c>
      <c r="BX720" t="s">
        <v>111</v>
      </c>
      <c r="BY720" t="s">
        <v>111</v>
      </c>
      <c r="BZ720" t="s">
        <v>111</v>
      </c>
      <c r="CA720" t="s">
        <v>111</v>
      </c>
      <c r="CB720" t="s">
        <v>111</v>
      </c>
      <c r="CC720" t="s">
        <v>111</v>
      </c>
      <c r="CD720" t="s">
        <v>111</v>
      </c>
      <c r="CE720" t="s">
        <v>111</v>
      </c>
      <c r="CF720" t="s">
        <v>111</v>
      </c>
      <c r="CG720" t="s">
        <v>111</v>
      </c>
      <c r="CH720" t="s">
        <v>111</v>
      </c>
      <c r="CI720" t="s">
        <v>111</v>
      </c>
      <c r="CJ720" t="s">
        <v>111</v>
      </c>
      <c r="CK720" t="s">
        <v>111</v>
      </c>
      <c r="CL720" t="s">
        <v>111</v>
      </c>
      <c r="CM720" t="s">
        <v>360</v>
      </c>
      <c r="CN720" t="s">
        <v>113</v>
      </c>
      <c r="CO720" t="s">
        <v>111</v>
      </c>
      <c r="CP720" t="s">
        <v>111</v>
      </c>
      <c r="CQ720">
        <v>0</v>
      </c>
      <c r="CR720">
        <v>900</v>
      </c>
      <c r="CS720">
        <v>50</v>
      </c>
      <c r="CT720" s="1" t="s">
        <v>2468</v>
      </c>
      <c r="CU720">
        <v>0</v>
      </c>
      <c r="CV720" t="s">
        <v>111</v>
      </c>
      <c r="CW720" t="s">
        <v>111</v>
      </c>
      <c r="CX720" t="s">
        <v>111</v>
      </c>
      <c r="CY720">
        <v>0</v>
      </c>
      <c r="CZ720" t="s">
        <v>111</v>
      </c>
      <c r="DA720" t="s">
        <v>111</v>
      </c>
      <c r="DB720" t="e">
        <f>-EXTERIOR</f>
        <v>#NAME?</v>
      </c>
      <c r="DC720" t="e">
        <f>-PEGADA DE TIRA</f>
        <v>#NAME?</v>
      </c>
    </row>
    <row r="721" spans="1:107">
      <c r="A721">
        <v>2087</v>
      </c>
      <c r="B721" t="s">
        <v>376</v>
      </c>
      <c r="C721" t="s">
        <v>119</v>
      </c>
      <c r="D721" t="s">
        <v>2469</v>
      </c>
      <c r="E721" t="s">
        <v>2470</v>
      </c>
      <c r="F721" t="s">
        <v>1704</v>
      </c>
      <c r="G721" t="s">
        <v>469</v>
      </c>
      <c r="H721">
        <v>2</v>
      </c>
      <c r="I721">
        <v>105</v>
      </c>
      <c r="J721">
        <v>0</v>
      </c>
      <c r="K721">
        <v>0</v>
      </c>
      <c r="L721" t="s">
        <v>178</v>
      </c>
      <c r="M721" t="s">
        <v>118</v>
      </c>
      <c r="N721">
        <v>40</v>
      </c>
      <c r="O721">
        <v>2</v>
      </c>
      <c r="P721" t="s">
        <v>111</v>
      </c>
      <c r="Q721">
        <v>46</v>
      </c>
      <c r="R721">
        <v>0</v>
      </c>
      <c r="S721">
        <v>0</v>
      </c>
      <c r="T721">
        <v>5</v>
      </c>
      <c r="U721" s="1" t="s">
        <v>2471</v>
      </c>
      <c r="V721">
        <v>25</v>
      </c>
      <c r="W721">
        <v>0</v>
      </c>
      <c r="X721">
        <v>8</v>
      </c>
      <c r="Y721">
        <v>0</v>
      </c>
      <c r="Z721" t="s">
        <v>288</v>
      </c>
      <c r="AA721">
        <v>1.7</v>
      </c>
      <c r="AB721" t="s">
        <v>111</v>
      </c>
      <c r="AC721">
        <v>0</v>
      </c>
      <c r="AD721" t="s">
        <v>111</v>
      </c>
      <c r="AE721">
        <v>0</v>
      </c>
      <c r="AF721">
        <v>0</v>
      </c>
      <c r="AG721" t="s">
        <v>111</v>
      </c>
      <c r="AH721" t="s">
        <v>111</v>
      </c>
      <c r="AI721" t="s">
        <v>111</v>
      </c>
      <c r="AJ721" t="s">
        <v>111</v>
      </c>
      <c r="AK721" t="s">
        <v>111</v>
      </c>
      <c r="AL721" t="s">
        <v>111</v>
      </c>
      <c r="AM721">
        <v>0</v>
      </c>
      <c r="AN721">
        <v>0</v>
      </c>
      <c r="AO721">
        <v>0</v>
      </c>
      <c r="AP721" t="s">
        <v>111</v>
      </c>
      <c r="AQ721" t="s">
        <v>111</v>
      </c>
      <c r="AR721" t="s">
        <v>111</v>
      </c>
      <c r="AS721" t="s">
        <v>111</v>
      </c>
      <c r="AT721" t="s">
        <v>111</v>
      </c>
      <c r="AU721" t="s">
        <v>111</v>
      </c>
      <c r="AV721" t="s">
        <v>111</v>
      </c>
      <c r="AW721" t="s">
        <v>111</v>
      </c>
      <c r="AX721" t="s">
        <v>111</v>
      </c>
      <c r="AY721" t="s">
        <v>111</v>
      </c>
      <c r="AZ721" t="s">
        <v>111</v>
      </c>
      <c r="BA721" t="s">
        <v>111</v>
      </c>
      <c r="BB721" t="s">
        <v>111</v>
      </c>
      <c r="BC721" t="s">
        <v>111</v>
      </c>
      <c r="BD721" t="s">
        <v>111</v>
      </c>
      <c r="BE721" t="s">
        <v>111</v>
      </c>
      <c r="BF721" t="s">
        <v>111</v>
      </c>
      <c r="BG721" t="s">
        <v>111</v>
      </c>
      <c r="BH721" t="s">
        <v>111</v>
      </c>
      <c r="BI721" t="s">
        <v>111</v>
      </c>
      <c r="BJ721" t="s">
        <v>111</v>
      </c>
      <c r="BK721" t="s">
        <v>111</v>
      </c>
      <c r="BL721" t="s">
        <v>111</v>
      </c>
      <c r="BM721" t="s">
        <v>111</v>
      </c>
      <c r="BN721" t="s">
        <v>111</v>
      </c>
      <c r="BO721" t="s">
        <v>111</v>
      </c>
      <c r="BP721" t="s">
        <v>111</v>
      </c>
      <c r="BQ721" t="s">
        <v>111</v>
      </c>
      <c r="BR721" t="s">
        <v>111</v>
      </c>
      <c r="BS721" t="s">
        <v>111</v>
      </c>
      <c r="BT721" t="s">
        <v>111</v>
      </c>
      <c r="BU721" t="s">
        <v>111</v>
      </c>
      <c r="BV721" t="s">
        <v>111</v>
      </c>
      <c r="BW721" t="s">
        <v>111</v>
      </c>
      <c r="BX721" t="s">
        <v>111</v>
      </c>
      <c r="BY721" t="s">
        <v>111</v>
      </c>
      <c r="BZ721" t="s">
        <v>111</v>
      </c>
      <c r="CA721" t="s">
        <v>111</v>
      </c>
      <c r="CB721" t="s">
        <v>111</v>
      </c>
      <c r="CC721" t="s">
        <v>111</v>
      </c>
      <c r="CD721" t="s">
        <v>111</v>
      </c>
      <c r="CE721" t="s">
        <v>111</v>
      </c>
      <c r="CF721" t="s">
        <v>111</v>
      </c>
      <c r="CG721" t="s">
        <v>111</v>
      </c>
      <c r="CH721" t="s">
        <v>111</v>
      </c>
      <c r="CI721" t="s">
        <v>111</v>
      </c>
      <c r="CJ721" t="s">
        <v>111</v>
      </c>
      <c r="CK721" t="s">
        <v>111</v>
      </c>
      <c r="CL721" t="s">
        <v>111</v>
      </c>
      <c r="CM721" t="s">
        <v>111</v>
      </c>
      <c r="CN721" t="s">
        <v>111</v>
      </c>
      <c r="CO721" t="s">
        <v>111</v>
      </c>
      <c r="CP721" t="s">
        <v>111</v>
      </c>
      <c r="CQ721">
        <v>0</v>
      </c>
      <c r="CR721">
        <v>0</v>
      </c>
      <c r="CS721">
        <v>0</v>
      </c>
      <c r="CT721" t="s">
        <v>111</v>
      </c>
      <c r="CU721">
        <v>0</v>
      </c>
      <c r="CV721" t="s">
        <v>111</v>
      </c>
      <c r="CX721" t="s">
        <v>111</v>
      </c>
      <c r="CY721">
        <v>0</v>
      </c>
      <c r="CZ721" t="s">
        <v>111</v>
      </c>
      <c r="DA721" t="s">
        <v>111</v>
      </c>
      <c r="DB721" t="s">
        <v>111</v>
      </c>
      <c r="DC721" t="s">
        <v>111</v>
      </c>
    </row>
    <row r="722" spans="1:107">
      <c r="A722">
        <v>1688</v>
      </c>
      <c r="B722" t="s">
        <v>107</v>
      </c>
      <c r="C722" t="s">
        <v>1828</v>
      </c>
      <c r="D722" t="s">
        <v>2472</v>
      </c>
      <c r="E722" t="s">
        <v>2473</v>
      </c>
      <c r="F722" t="s">
        <v>192</v>
      </c>
      <c r="G722" t="s">
        <v>469</v>
      </c>
      <c r="H722">
        <v>3.4</v>
      </c>
      <c r="I722">
        <v>50</v>
      </c>
      <c r="J722">
        <v>8</v>
      </c>
      <c r="K722">
        <v>8</v>
      </c>
      <c r="L722" t="s">
        <v>112</v>
      </c>
      <c r="M722" t="s">
        <v>138</v>
      </c>
      <c r="N722">
        <v>0</v>
      </c>
      <c r="O722">
        <v>0</v>
      </c>
      <c r="P722" t="s">
        <v>111</v>
      </c>
      <c r="Q722">
        <v>33.6</v>
      </c>
      <c r="R722">
        <v>0</v>
      </c>
      <c r="S722">
        <v>0</v>
      </c>
      <c r="T722">
        <v>5</v>
      </c>
      <c r="U722" t="e">
        <f>-SELLADO</f>
        <v>#NAME?</v>
      </c>
      <c r="V722">
        <v>0</v>
      </c>
      <c r="W722">
        <v>25</v>
      </c>
      <c r="X722">
        <v>8</v>
      </c>
      <c r="Y722">
        <v>0</v>
      </c>
      <c r="Z722" t="s">
        <v>288</v>
      </c>
      <c r="AA722">
        <v>1.5</v>
      </c>
      <c r="AB722" t="s">
        <v>2474</v>
      </c>
      <c r="AC722">
        <v>8</v>
      </c>
      <c r="AD722" t="s">
        <v>111</v>
      </c>
      <c r="AE722">
        <v>0</v>
      </c>
      <c r="AF722">
        <v>0</v>
      </c>
      <c r="AG722" t="s">
        <v>111</v>
      </c>
      <c r="AH722" t="s">
        <v>111</v>
      </c>
      <c r="AI722" t="s">
        <v>111</v>
      </c>
      <c r="AJ722" t="s">
        <v>111</v>
      </c>
      <c r="AK722" t="s">
        <v>111</v>
      </c>
      <c r="AL722" t="s">
        <v>111</v>
      </c>
      <c r="AM722">
        <v>0</v>
      </c>
      <c r="AN722">
        <v>0</v>
      </c>
      <c r="AO722">
        <v>0</v>
      </c>
      <c r="AP722" t="s">
        <v>111</v>
      </c>
      <c r="AQ722" t="s">
        <v>111</v>
      </c>
      <c r="AR722" t="s">
        <v>111</v>
      </c>
      <c r="AS722" t="s">
        <v>111</v>
      </c>
      <c r="AT722" t="s">
        <v>111</v>
      </c>
      <c r="AU722" t="s">
        <v>111</v>
      </c>
      <c r="AV722" t="s">
        <v>111</v>
      </c>
      <c r="AW722" t="s">
        <v>111</v>
      </c>
      <c r="AX722" t="s">
        <v>111</v>
      </c>
      <c r="AY722" t="s">
        <v>111</v>
      </c>
      <c r="AZ722" t="s">
        <v>111</v>
      </c>
      <c r="BA722" t="s">
        <v>111</v>
      </c>
      <c r="BB722" t="s">
        <v>111</v>
      </c>
      <c r="BC722" t="s">
        <v>111</v>
      </c>
      <c r="BD722" t="s">
        <v>111</v>
      </c>
      <c r="BE722" t="s">
        <v>111</v>
      </c>
      <c r="BF722" t="s">
        <v>111</v>
      </c>
      <c r="BG722" t="s">
        <v>111</v>
      </c>
      <c r="BH722" t="s">
        <v>111</v>
      </c>
      <c r="BI722" t="s">
        <v>111</v>
      </c>
      <c r="BJ722" t="s">
        <v>111</v>
      </c>
      <c r="BK722" t="s">
        <v>111</v>
      </c>
      <c r="BL722" t="s">
        <v>111</v>
      </c>
      <c r="BM722" t="s">
        <v>111</v>
      </c>
      <c r="BN722" t="s">
        <v>111</v>
      </c>
      <c r="BO722" t="s">
        <v>111</v>
      </c>
      <c r="BP722" t="s">
        <v>111</v>
      </c>
      <c r="BQ722" t="s">
        <v>111</v>
      </c>
      <c r="BR722" t="s">
        <v>111</v>
      </c>
      <c r="BS722" t="s">
        <v>111</v>
      </c>
      <c r="BT722" t="s">
        <v>111</v>
      </c>
      <c r="BU722" t="s">
        <v>111</v>
      </c>
      <c r="BV722" t="s">
        <v>111</v>
      </c>
      <c r="BW722" t="s">
        <v>111</v>
      </c>
      <c r="BX722" t="s">
        <v>111</v>
      </c>
      <c r="BY722" t="s">
        <v>111</v>
      </c>
      <c r="BZ722" t="s">
        <v>111</v>
      </c>
      <c r="CA722" t="s">
        <v>111</v>
      </c>
      <c r="CB722" t="s">
        <v>111</v>
      </c>
      <c r="CC722" t="s">
        <v>111</v>
      </c>
      <c r="CD722" t="s">
        <v>111</v>
      </c>
      <c r="CE722" t="s">
        <v>111</v>
      </c>
      <c r="CF722" t="s">
        <v>111</v>
      </c>
      <c r="CG722" t="s">
        <v>111</v>
      </c>
      <c r="CH722" t="s">
        <v>111</v>
      </c>
      <c r="CI722" t="s">
        <v>111</v>
      </c>
      <c r="CJ722" t="s">
        <v>111</v>
      </c>
      <c r="CK722" t="s">
        <v>111</v>
      </c>
      <c r="CL722" t="s">
        <v>111</v>
      </c>
      <c r="CM722" t="s">
        <v>135</v>
      </c>
      <c r="CN722" t="s">
        <v>113</v>
      </c>
      <c r="CO722" t="s">
        <v>111</v>
      </c>
      <c r="CP722" t="s">
        <v>111</v>
      </c>
      <c r="CQ722">
        <v>55</v>
      </c>
      <c r="CR722">
        <v>50</v>
      </c>
      <c r="CS722">
        <v>25</v>
      </c>
      <c r="CT722" s="1" t="s">
        <v>2475</v>
      </c>
      <c r="CU722">
        <v>0</v>
      </c>
      <c r="CV722" t="s">
        <v>111</v>
      </c>
      <c r="CX722" t="s">
        <v>111</v>
      </c>
      <c r="CY722">
        <v>0</v>
      </c>
      <c r="CZ722" t="s">
        <v>111</v>
      </c>
      <c r="DA722" t="s">
        <v>111</v>
      </c>
      <c r="DB722" t="e">
        <f>-INTERNO</f>
        <v>#NAME?</v>
      </c>
      <c r="DC722" t="e">
        <f>-TRQUEL RIÑON</f>
        <v>#NAME?</v>
      </c>
    </row>
    <row r="723" spans="1:107">
      <c r="A723">
        <v>1638</v>
      </c>
      <c r="B723" t="s">
        <v>107</v>
      </c>
      <c r="C723" t="s">
        <v>428</v>
      </c>
      <c r="D723" t="s">
        <v>2476</v>
      </c>
      <c r="E723" t="s">
        <v>2477</v>
      </c>
      <c r="F723" t="s">
        <v>431</v>
      </c>
      <c r="G723" t="s">
        <v>469</v>
      </c>
      <c r="H723">
        <v>1.7</v>
      </c>
      <c r="I723">
        <v>32</v>
      </c>
      <c r="J723">
        <v>0</v>
      </c>
      <c r="K723">
        <v>0</v>
      </c>
      <c r="L723" t="s">
        <v>112</v>
      </c>
      <c r="M723" t="s">
        <v>118</v>
      </c>
      <c r="N723">
        <v>40</v>
      </c>
      <c r="O723">
        <v>2</v>
      </c>
      <c r="P723" t="s">
        <v>111</v>
      </c>
      <c r="Q723">
        <v>33.700000000000003</v>
      </c>
      <c r="R723">
        <v>0</v>
      </c>
      <c r="S723">
        <v>0</v>
      </c>
      <c r="T723">
        <v>5</v>
      </c>
      <c r="U723" t="e">
        <f>-IMPRESION DARMA</f>
        <v>#NAME?</v>
      </c>
      <c r="V723">
        <v>0</v>
      </c>
      <c r="W723">
        <v>25</v>
      </c>
      <c r="X723">
        <v>5</v>
      </c>
      <c r="Y723">
        <v>0</v>
      </c>
      <c r="Z723" t="s">
        <v>111</v>
      </c>
      <c r="AA723">
        <v>0</v>
      </c>
      <c r="AB723" t="s">
        <v>111</v>
      </c>
      <c r="AC723">
        <v>0</v>
      </c>
      <c r="AD723" t="s">
        <v>416</v>
      </c>
      <c r="AE723">
        <v>0</v>
      </c>
      <c r="AF723">
        <v>0</v>
      </c>
      <c r="AG723" t="s">
        <v>111</v>
      </c>
      <c r="AH723" t="s">
        <v>128</v>
      </c>
      <c r="AI723" t="s">
        <v>111</v>
      </c>
      <c r="AJ723" t="s">
        <v>111</v>
      </c>
      <c r="AK723" t="s">
        <v>111</v>
      </c>
      <c r="AL723" t="s">
        <v>111</v>
      </c>
      <c r="AM723">
        <v>0</v>
      </c>
      <c r="AN723">
        <v>0</v>
      </c>
      <c r="AO723">
        <v>0</v>
      </c>
      <c r="AP723" t="s">
        <v>111</v>
      </c>
      <c r="AQ723" t="s">
        <v>111</v>
      </c>
      <c r="AR723" t="s">
        <v>111</v>
      </c>
      <c r="AS723" t="s">
        <v>111</v>
      </c>
      <c r="AT723" t="s">
        <v>111</v>
      </c>
      <c r="AU723" t="s">
        <v>111</v>
      </c>
      <c r="AV723" t="s">
        <v>111</v>
      </c>
      <c r="AW723" t="s">
        <v>111</v>
      </c>
      <c r="AX723" t="s">
        <v>111</v>
      </c>
      <c r="AY723" t="s">
        <v>111</v>
      </c>
      <c r="AZ723" t="s">
        <v>111</v>
      </c>
      <c r="BA723" t="s">
        <v>111</v>
      </c>
      <c r="BB723" t="s">
        <v>111</v>
      </c>
      <c r="BC723" t="s">
        <v>111</v>
      </c>
      <c r="BD723" t="s">
        <v>111</v>
      </c>
      <c r="BE723" t="s">
        <v>111</v>
      </c>
      <c r="BF723" t="s">
        <v>111</v>
      </c>
      <c r="BG723" t="s">
        <v>111</v>
      </c>
      <c r="BH723" t="s">
        <v>111</v>
      </c>
      <c r="BI723" t="s">
        <v>111</v>
      </c>
      <c r="BJ723" t="s">
        <v>111</v>
      </c>
      <c r="BK723" t="s">
        <v>111</v>
      </c>
      <c r="BL723" t="s">
        <v>111</v>
      </c>
      <c r="BM723" t="s">
        <v>111</v>
      </c>
      <c r="BN723" t="s">
        <v>111</v>
      </c>
      <c r="BO723" t="s">
        <v>111</v>
      </c>
      <c r="BP723" t="s">
        <v>111</v>
      </c>
      <c r="BQ723" t="s">
        <v>111</v>
      </c>
      <c r="BR723" t="s">
        <v>111</v>
      </c>
      <c r="BS723" t="s">
        <v>111</v>
      </c>
      <c r="BT723" t="s">
        <v>111</v>
      </c>
      <c r="BU723" t="s">
        <v>111</v>
      </c>
      <c r="BV723" t="s">
        <v>111</v>
      </c>
      <c r="BW723" t="s">
        <v>111</v>
      </c>
      <c r="BX723" t="s">
        <v>111</v>
      </c>
      <c r="BY723" t="s">
        <v>111</v>
      </c>
      <c r="BZ723" t="s">
        <v>111</v>
      </c>
      <c r="CA723" t="s">
        <v>111</v>
      </c>
      <c r="CB723" t="s">
        <v>111</v>
      </c>
      <c r="CC723" t="s">
        <v>111</v>
      </c>
      <c r="CD723" t="s">
        <v>111</v>
      </c>
      <c r="CE723" t="s">
        <v>111</v>
      </c>
      <c r="CF723" t="s">
        <v>111</v>
      </c>
      <c r="CG723" t="s">
        <v>111</v>
      </c>
      <c r="CH723" t="s">
        <v>111</v>
      </c>
      <c r="CI723" t="s">
        <v>111</v>
      </c>
      <c r="CJ723" t="s">
        <v>111</v>
      </c>
      <c r="CK723" t="s">
        <v>111</v>
      </c>
      <c r="CL723" t="s">
        <v>111</v>
      </c>
      <c r="CM723" t="s">
        <v>135</v>
      </c>
      <c r="CN723" t="s">
        <v>128</v>
      </c>
      <c r="CO723" t="s">
        <v>111</v>
      </c>
      <c r="CP723" t="s">
        <v>111</v>
      </c>
      <c r="CQ723">
        <v>0</v>
      </c>
      <c r="CR723">
        <v>0</v>
      </c>
      <c r="CS723">
        <v>100</v>
      </c>
      <c r="CT723" t="e">
        <f>-ALMACEN</f>
        <v>#NAME?</v>
      </c>
      <c r="CU723">
        <v>0</v>
      </c>
      <c r="CV723" t="s">
        <v>111</v>
      </c>
      <c r="CW723" t="s">
        <v>111</v>
      </c>
      <c r="CX723" t="s">
        <v>111</v>
      </c>
      <c r="CY723">
        <v>0</v>
      </c>
      <c r="CZ723" t="s">
        <v>111</v>
      </c>
      <c r="DA723" t="s">
        <v>111</v>
      </c>
      <c r="DB723" t="s">
        <v>111</v>
      </c>
      <c r="DC723" t="s">
        <v>111</v>
      </c>
    </row>
    <row r="724" spans="1:107">
      <c r="A724">
        <v>1607</v>
      </c>
      <c r="B724" t="s">
        <v>107</v>
      </c>
      <c r="C724" s="2">
        <v>900304158</v>
      </c>
      <c r="D724" t="s">
        <v>2478</v>
      </c>
      <c r="E724" t="s">
        <v>2479</v>
      </c>
      <c r="F724" t="s">
        <v>1754</v>
      </c>
      <c r="G724" t="s">
        <v>469</v>
      </c>
      <c r="H724">
        <v>3.4</v>
      </c>
      <c r="I724">
        <v>80</v>
      </c>
      <c r="J724">
        <v>0</v>
      </c>
      <c r="K724">
        <v>0</v>
      </c>
      <c r="L724" t="s">
        <v>117</v>
      </c>
      <c r="M724" t="s">
        <v>118</v>
      </c>
      <c r="N724">
        <v>38</v>
      </c>
      <c r="O724">
        <v>1</v>
      </c>
      <c r="P724" t="s">
        <v>111</v>
      </c>
      <c r="Q724">
        <v>43.6</v>
      </c>
      <c r="R724">
        <v>0</v>
      </c>
      <c r="S724">
        <v>0</v>
      </c>
      <c r="T724">
        <v>5</v>
      </c>
      <c r="U724" s="1" t="s">
        <v>2451</v>
      </c>
      <c r="V724">
        <v>25</v>
      </c>
      <c r="W724">
        <v>0</v>
      </c>
      <c r="X724">
        <v>8</v>
      </c>
      <c r="Y724">
        <v>0</v>
      </c>
      <c r="Z724" t="s">
        <v>259</v>
      </c>
      <c r="AA724">
        <v>1.2</v>
      </c>
      <c r="AB724" t="s">
        <v>111</v>
      </c>
      <c r="AC724">
        <v>0</v>
      </c>
      <c r="AD724" t="s">
        <v>416</v>
      </c>
      <c r="AE724">
        <v>0</v>
      </c>
      <c r="AF724">
        <v>0</v>
      </c>
      <c r="AG724" t="s">
        <v>111</v>
      </c>
      <c r="AH724" t="s">
        <v>128</v>
      </c>
      <c r="AI724" t="s">
        <v>111</v>
      </c>
      <c r="AJ724" t="s">
        <v>111</v>
      </c>
      <c r="AK724" t="s">
        <v>111</v>
      </c>
      <c r="AL724" t="s">
        <v>111</v>
      </c>
      <c r="AM724">
        <v>0</v>
      </c>
      <c r="AN724">
        <v>0</v>
      </c>
      <c r="AO724">
        <v>0</v>
      </c>
      <c r="AP724" t="s">
        <v>111</v>
      </c>
      <c r="AQ724" t="s">
        <v>111</v>
      </c>
      <c r="AR724" t="s">
        <v>111</v>
      </c>
      <c r="AS724" t="s">
        <v>111</v>
      </c>
      <c r="AT724" t="s">
        <v>111</v>
      </c>
      <c r="AU724" t="s">
        <v>111</v>
      </c>
      <c r="AV724" t="s">
        <v>111</v>
      </c>
      <c r="AW724" t="s">
        <v>111</v>
      </c>
      <c r="AX724" t="s">
        <v>111</v>
      </c>
      <c r="AY724" t="s">
        <v>111</v>
      </c>
      <c r="AZ724" t="s">
        <v>111</v>
      </c>
      <c r="BA724" t="s">
        <v>111</v>
      </c>
      <c r="BB724" t="s">
        <v>111</v>
      </c>
      <c r="BC724" t="s">
        <v>111</v>
      </c>
      <c r="BD724" t="s">
        <v>111</v>
      </c>
      <c r="BE724" t="s">
        <v>111</v>
      </c>
      <c r="BF724" t="s">
        <v>111</v>
      </c>
      <c r="BG724" t="s">
        <v>111</v>
      </c>
      <c r="BH724" t="s">
        <v>111</v>
      </c>
      <c r="BI724" t="s">
        <v>111</v>
      </c>
      <c r="BJ724" t="s">
        <v>111</v>
      </c>
      <c r="BK724" t="s">
        <v>111</v>
      </c>
      <c r="BL724" t="s">
        <v>111</v>
      </c>
      <c r="BM724" t="s">
        <v>111</v>
      </c>
      <c r="BN724" t="s">
        <v>111</v>
      </c>
      <c r="BO724" t="s">
        <v>111</v>
      </c>
      <c r="BP724" t="s">
        <v>111</v>
      </c>
      <c r="BQ724" t="s">
        <v>111</v>
      </c>
      <c r="BR724" t="s">
        <v>111</v>
      </c>
      <c r="BS724" t="s">
        <v>111</v>
      </c>
      <c r="BT724" t="s">
        <v>111</v>
      </c>
      <c r="BU724" t="s">
        <v>111</v>
      </c>
      <c r="BV724" t="s">
        <v>111</v>
      </c>
      <c r="BW724" t="s">
        <v>111</v>
      </c>
      <c r="BX724" t="s">
        <v>111</v>
      </c>
      <c r="BY724" t="s">
        <v>111</v>
      </c>
      <c r="BZ724" t="s">
        <v>111</v>
      </c>
      <c r="CA724" t="s">
        <v>111</v>
      </c>
      <c r="CB724" t="s">
        <v>111</v>
      </c>
      <c r="CC724" t="s">
        <v>111</v>
      </c>
      <c r="CD724" t="s">
        <v>111</v>
      </c>
      <c r="CE724" t="s">
        <v>111</v>
      </c>
      <c r="CF724" t="s">
        <v>111</v>
      </c>
      <c r="CG724" t="s">
        <v>111</v>
      </c>
      <c r="CH724" t="s">
        <v>111</v>
      </c>
      <c r="CI724" t="s">
        <v>111</v>
      </c>
      <c r="CJ724" t="s">
        <v>111</v>
      </c>
      <c r="CK724" t="s">
        <v>111</v>
      </c>
      <c r="CL724" t="s">
        <v>111</v>
      </c>
      <c r="CM724" t="s">
        <v>438</v>
      </c>
      <c r="CN724" t="s">
        <v>113</v>
      </c>
      <c r="CO724" t="s">
        <v>111</v>
      </c>
      <c r="CP724" t="s">
        <v>111</v>
      </c>
      <c r="CQ724">
        <v>42</v>
      </c>
      <c r="CR724">
        <v>900</v>
      </c>
      <c r="CS724">
        <v>50</v>
      </c>
      <c r="CT724" s="1" t="s">
        <v>2480</v>
      </c>
      <c r="CU724">
        <v>0</v>
      </c>
      <c r="CV724" t="s">
        <v>111</v>
      </c>
      <c r="CW724" t="s">
        <v>111</v>
      </c>
      <c r="CX724" t="s">
        <v>111</v>
      </c>
      <c r="CY724">
        <v>0</v>
      </c>
      <c r="CZ724" t="s">
        <v>111</v>
      </c>
      <c r="DA724" t="s">
        <v>111</v>
      </c>
      <c r="DB724" t="e">
        <f>-EXTERNO</f>
        <v>#NAME?</v>
      </c>
      <c r="DC724" t="e">
        <f>-PEGAR TIRA</f>
        <v>#NAME?</v>
      </c>
    </row>
    <row r="725" spans="1:107">
      <c r="A725">
        <v>1570</v>
      </c>
      <c r="B725" t="s">
        <v>107</v>
      </c>
      <c r="C725" t="s">
        <v>114</v>
      </c>
      <c r="D725" t="s">
        <v>2481</v>
      </c>
      <c r="E725" t="s">
        <v>2482</v>
      </c>
      <c r="F725" t="s">
        <v>431</v>
      </c>
      <c r="G725" t="s">
        <v>469</v>
      </c>
      <c r="H725">
        <v>2.9</v>
      </c>
      <c r="I725">
        <v>47</v>
      </c>
      <c r="J725">
        <v>0</v>
      </c>
      <c r="K725">
        <v>0</v>
      </c>
      <c r="L725" t="s">
        <v>117</v>
      </c>
      <c r="M725" t="s">
        <v>118</v>
      </c>
      <c r="N725">
        <v>40</v>
      </c>
      <c r="O725">
        <v>1</v>
      </c>
      <c r="P725" t="s">
        <v>111</v>
      </c>
      <c r="Q725">
        <v>28</v>
      </c>
      <c r="R725">
        <v>0</v>
      </c>
      <c r="S725">
        <v>0</v>
      </c>
      <c r="T725">
        <v>10</v>
      </c>
      <c r="U725" s="1" t="s">
        <v>2483</v>
      </c>
      <c r="V725">
        <v>0</v>
      </c>
      <c r="W725">
        <v>25</v>
      </c>
      <c r="X725">
        <v>8</v>
      </c>
      <c r="Y725">
        <v>0</v>
      </c>
      <c r="Z725" t="s">
        <v>111</v>
      </c>
      <c r="AA725">
        <v>0</v>
      </c>
      <c r="AB725" t="s">
        <v>1240</v>
      </c>
      <c r="AC725">
        <v>8</v>
      </c>
      <c r="AD725" t="s">
        <v>416</v>
      </c>
      <c r="AE725">
        <v>0</v>
      </c>
      <c r="AF725">
        <v>0</v>
      </c>
      <c r="AG725" t="s">
        <v>111</v>
      </c>
      <c r="AH725" t="s">
        <v>113</v>
      </c>
      <c r="AI725" t="s">
        <v>111</v>
      </c>
      <c r="AJ725" t="s">
        <v>111</v>
      </c>
      <c r="AK725" t="s">
        <v>111</v>
      </c>
      <c r="AL725" t="s">
        <v>111</v>
      </c>
      <c r="AM725">
        <v>0</v>
      </c>
      <c r="AN725">
        <v>0</v>
      </c>
      <c r="AO725">
        <v>0</v>
      </c>
      <c r="AP725" t="s">
        <v>111</v>
      </c>
      <c r="AQ725" t="s">
        <v>111</v>
      </c>
      <c r="AR725" t="s">
        <v>111</v>
      </c>
      <c r="AS725" t="s">
        <v>111</v>
      </c>
      <c r="AT725" t="s">
        <v>111</v>
      </c>
      <c r="AU725" t="s">
        <v>111</v>
      </c>
      <c r="AV725" t="s">
        <v>111</v>
      </c>
      <c r="AW725" t="s">
        <v>111</v>
      </c>
      <c r="AX725" t="s">
        <v>111</v>
      </c>
      <c r="AY725" t="s">
        <v>111</v>
      </c>
      <c r="AZ725" t="s">
        <v>111</v>
      </c>
      <c r="BA725" t="s">
        <v>111</v>
      </c>
      <c r="BB725" t="s">
        <v>111</v>
      </c>
      <c r="BC725" t="s">
        <v>111</v>
      </c>
      <c r="BD725" t="s">
        <v>111</v>
      </c>
      <c r="BE725" t="s">
        <v>111</v>
      </c>
      <c r="BF725" t="s">
        <v>111</v>
      </c>
      <c r="BG725" t="s">
        <v>111</v>
      </c>
      <c r="BH725" t="s">
        <v>111</v>
      </c>
      <c r="BI725" t="s">
        <v>111</v>
      </c>
      <c r="BJ725" t="s">
        <v>111</v>
      </c>
      <c r="BK725" t="s">
        <v>111</v>
      </c>
      <c r="BL725" t="s">
        <v>111</v>
      </c>
      <c r="BM725" t="s">
        <v>111</v>
      </c>
      <c r="BN725" t="s">
        <v>111</v>
      </c>
      <c r="BO725" t="s">
        <v>111</v>
      </c>
      <c r="BP725" t="s">
        <v>111</v>
      </c>
      <c r="BQ725" t="s">
        <v>111</v>
      </c>
      <c r="BR725" t="s">
        <v>111</v>
      </c>
      <c r="BS725" t="s">
        <v>111</v>
      </c>
      <c r="BT725" t="s">
        <v>111</v>
      </c>
      <c r="BU725" t="s">
        <v>111</v>
      </c>
      <c r="BV725" t="s">
        <v>111</v>
      </c>
      <c r="BW725" t="s">
        <v>111</v>
      </c>
      <c r="BX725" t="s">
        <v>111</v>
      </c>
      <c r="BY725" t="s">
        <v>111</v>
      </c>
      <c r="BZ725" t="s">
        <v>111</v>
      </c>
      <c r="CA725" t="s">
        <v>111</v>
      </c>
      <c r="CB725" t="s">
        <v>111</v>
      </c>
      <c r="CC725" t="s">
        <v>111</v>
      </c>
      <c r="CD725" t="s">
        <v>111</v>
      </c>
      <c r="CE725" t="s">
        <v>111</v>
      </c>
      <c r="CF725" t="s">
        <v>111</v>
      </c>
      <c r="CG725" t="s">
        <v>111</v>
      </c>
      <c r="CH725" t="s">
        <v>111</v>
      </c>
      <c r="CI725" t="s">
        <v>111</v>
      </c>
      <c r="CJ725" t="s">
        <v>111</v>
      </c>
      <c r="CK725" t="s">
        <v>111</v>
      </c>
      <c r="CL725" t="s">
        <v>111</v>
      </c>
      <c r="CM725" t="s">
        <v>135</v>
      </c>
      <c r="CN725" t="s">
        <v>113</v>
      </c>
      <c r="CO725" t="s">
        <v>111</v>
      </c>
      <c r="CP725" t="s">
        <v>111</v>
      </c>
      <c r="CQ725">
        <v>0</v>
      </c>
      <c r="CR725">
        <v>3000</v>
      </c>
      <c r="CS725">
        <v>100</v>
      </c>
      <c r="CT725" t="e">
        <f>-ALMACEN</f>
        <v>#NAME?</v>
      </c>
      <c r="CU725">
        <v>0</v>
      </c>
      <c r="CV725" t="s">
        <v>111</v>
      </c>
      <c r="CW725" t="s">
        <v>111</v>
      </c>
      <c r="CX725" t="s">
        <v>111</v>
      </c>
      <c r="CY725">
        <v>0</v>
      </c>
      <c r="CZ725" t="s">
        <v>111</v>
      </c>
      <c r="DA725" t="s">
        <v>111</v>
      </c>
      <c r="DB725" t="s">
        <v>111</v>
      </c>
      <c r="DC725" t="s">
        <v>111</v>
      </c>
    </row>
    <row r="726" spans="1:107">
      <c r="A726">
        <v>1685</v>
      </c>
      <c r="B726" t="s">
        <v>107</v>
      </c>
      <c r="C726" t="s">
        <v>412</v>
      </c>
      <c r="D726" t="s">
        <v>2484</v>
      </c>
      <c r="E726" t="s">
        <v>2485</v>
      </c>
      <c r="F726" t="s">
        <v>739</v>
      </c>
      <c r="G726" t="s">
        <v>469</v>
      </c>
      <c r="H726">
        <v>1.5</v>
      </c>
      <c r="I726">
        <v>52</v>
      </c>
      <c r="J726">
        <v>0</v>
      </c>
      <c r="K726">
        <v>0</v>
      </c>
      <c r="L726" t="s">
        <v>117</v>
      </c>
      <c r="M726" t="s">
        <v>118</v>
      </c>
      <c r="N726">
        <v>39</v>
      </c>
      <c r="O726">
        <v>1</v>
      </c>
      <c r="P726" t="s">
        <v>111</v>
      </c>
      <c r="Q726">
        <v>28.5</v>
      </c>
      <c r="R726">
        <v>0</v>
      </c>
      <c r="S726">
        <v>0</v>
      </c>
      <c r="T726">
        <v>5</v>
      </c>
      <c r="U726" t="e">
        <f>-IMPRESION DARMA</f>
        <v>#NAME?</v>
      </c>
      <c r="V726">
        <v>0</v>
      </c>
      <c r="W726">
        <v>25</v>
      </c>
      <c r="X726">
        <v>6</v>
      </c>
      <c r="Y726">
        <v>0</v>
      </c>
      <c r="Z726" t="s">
        <v>288</v>
      </c>
      <c r="AA726">
        <v>1.7</v>
      </c>
      <c r="AB726" t="s">
        <v>111</v>
      </c>
      <c r="AC726">
        <v>0</v>
      </c>
      <c r="AD726" t="s">
        <v>416</v>
      </c>
      <c r="AE726">
        <v>0</v>
      </c>
      <c r="AF726">
        <v>0</v>
      </c>
      <c r="AG726" t="s">
        <v>111</v>
      </c>
      <c r="AH726" t="s">
        <v>113</v>
      </c>
      <c r="AI726" t="s">
        <v>111</v>
      </c>
      <c r="AJ726" t="s">
        <v>111</v>
      </c>
      <c r="AK726" t="s">
        <v>111</v>
      </c>
      <c r="AL726" t="s">
        <v>111</v>
      </c>
      <c r="AM726">
        <v>0</v>
      </c>
      <c r="AN726">
        <v>0</v>
      </c>
      <c r="AO726">
        <v>0</v>
      </c>
      <c r="AP726" t="s">
        <v>111</v>
      </c>
      <c r="AQ726" t="s">
        <v>111</v>
      </c>
      <c r="AR726" t="s">
        <v>111</v>
      </c>
      <c r="AS726" t="s">
        <v>111</v>
      </c>
      <c r="AT726" t="s">
        <v>111</v>
      </c>
      <c r="AU726" t="s">
        <v>111</v>
      </c>
      <c r="AV726" t="s">
        <v>111</v>
      </c>
      <c r="AW726" t="s">
        <v>111</v>
      </c>
      <c r="AX726" t="s">
        <v>111</v>
      </c>
      <c r="AY726" t="s">
        <v>111</v>
      </c>
      <c r="AZ726" t="s">
        <v>111</v>
      </c>
      <c r="BA726" t="s">
        <v>111</v>
      </c>
      <c r="BB726" t="s">
        <v>111</v>
      </c>
      <c r="BC726" t="s">
        <v>111</v>
      </c>
      <c r="BD726" t="s">
        <v>111</v>
      </c>
      <c r="BE726" t="s">
        <v>111</v>
      </c>
      <c r="BF726" t="s">
        <v>111</v>
      </c>
      <c r="BG726" t="s">
        <v>111</v>
      </c>
      <c r="BH726" t="s">
        <v>111</v>
      </c>
      <c r="BI726" t="s">
        <v>111</v>
      </c>
      <c r="BJ726" t="s">
        <v>111</v>
      </c>
      <c r="BK726" t="s">
        <v>111</v>
      </c>
      <c r="BL726" t="s">
        <v>111</v>
      </c>
      <c r="BM726" t="s">
        <v>111</v>
      </c>
      <c r="BN726" t="s">
        <v>111</v>
      </c>
      <c r="BO726" t="s">
        <v>111</v>
      </c>
      <c r="BP726" t="s">
        <v>111</v>
      </c>
      <c r="BQ726" t="s">
        <v>111</v>
      </c>
      <c r="BR726" t="s">
        <v>111</v>
      </c>
      <c r="BS726" t="s">
        <v>111</v>
      </c>
      <c r="BT726" t="s">
        <v>111</v>
      </c>
      <c r="BU726" t="s">
        <v>111</v>
      </c>
      <c r="BV726" t="s">
        <v>111</v>
      </c>
      <c r="BW726" t="s">
        <v>111</v>
      </c>
      <c r="BX726" t="s">
        <v>111</v>
      </c>
      <c r="BY726" t="s">
        <v>111</v>
      </c>
      <c r="BZ726" t="s">
        <v>111</v>
      </c>
      <c r="CA726" t="s">
        <v>111</v>
      </c>
      <c r="CB726" t="s">
        <v>111</v>
      </c>
      <c r="CC726" t="s">
        <v>111</v>
      </c>
      <c r="CD726" t="s">
        <v>111</v>
      </c>
      <c r="CE726" t="s">
        <v>111</v>
      </c>
      <c r="CF726" t="s">
        <v>111</v>
      </c>
      <c r="CG726" t="s">
        <v>111</v>
      </c>
      <c r="CH726" t="s">
        <v>111</v>
      </c>
      <c r="CI726" t="s">
        <v>111</v>
      </c>
      <c r="CJ726" t="s">
        <v>111</v>
      </c>
      <c r="CK726" t="s">
        <v>111</v>
      </c>
      <c r="CL726" t="s">
        <v>111</v>
      </c>
      <c r="CM726" t="s">
        <v>360</v>
      </c>
      <c r="CN726" t="s">
        <v>113</v>
      </c>
      <c r="CO726" t="s">
        <v>111</v>
      </c>
      <c r="CP726" t="s">
        <v>111</v>
      </c>
      <c r="CQ726">
        <v>0</v>
      </c>
      <c r="CR726">
        <v>1000</v>
      </c>
      <c r="CS726">
        <v>200</v>
      </c>
      <c r="CT726" t="e">
        <f>-ALMACEN</f>
        <v>#NAME?</v>
      </c>
      <c r="CU726">
        <v>0</v>
      </c>
      <c r="CV726" t="s">
        <v>111</v>
      </c>
      <c r="CX726" t="s">
        <v>111</v>
      </c>
      <c r="CY726">
        <v>0</v>
      </c>
      <c r="CZ726" t="s">
        <v>111</v>
      </c>
      <c r="DA726" t="s">
        <v>111</v>
      </c>
      <c r="DB726" t="s">
        <v>111</v>
      </c>
      <c r="DC726" t="s">
        <v>111</v>
      </c>
    </row>
    <row r="727" spans="1:107">
      <c r="A727">
        <v>1672</v>
      </c>
      <c r="B727" t="s">
        <v>107</v>
      </c>
      <c r="C727" t="s">
        <v>793</v>
      </c>
      <c r="D727" t="s">
        <v>2486</v>
      </c>
      <c r="E727" t="s">
        <v>2487</v>
      </c>
      <c r="F727" t="s">
        <v>183</v>
      </c>
      <c r="G727" t="s">
        <v>469</v>
      </c>
      <c r="H727">
        <v>1.4</v>
      </c>
      <c r="I727">
        <v>25</v>
      </c>
      <c r="J727">
        <v>0</v>
      </c>
      <c r="K727">
        <v>0</v>
      </c>
      <c r="L727" t="s">
        <v>112</v>
      </c>
      <c r="M727" t="s">
        <v>118</v>
      </c>
      <c r="N727">
        <v>39</v>
      </c>
      <c r="O727">
        <v>2</v>
      </c>
      <c r="P727" t="s">
        <v>111</v>
      </c>
      <c r="Q727">
        <v>25</v>
      </c>
      <c r="R727">
        <v>0</v>
      </c>
      <c r="S727">
        <v>0</v>
      </c>
      <c r="T727">
        <v>0</v>
      </c>
      <c r="U727" t="e">
        <f>-ALMACEN</f>
        <v>#NAME?</v>
      </c>
      <c r="V727">
        <v>25</v>
      </c>
      <c r="W727">
        <v>0</v>
      </c>
      <c r="X727">
        <v>6</v>
      </c>
      <c r="Y727">
        <v>0</v>
      </c>
      <c r="Z727" t="s">
        <v>184</v>
      </c>
      <c r="AA727">
        <v>1.4</v>
      </c>
      <c r="AB727" t="s">
        <v>111</v>
      </c>
      <c r="AC727">
        <v>0</v>
      </c>
      <c r="AD727" t="s">
        <v>111</v>
      </c>
      <c r="AE727">
        <v>0</v>
      </c>
      <c r="AF727">
        <v>0</v>
      </c>
      <c r="AG727" t="s">
        <v>111</v>
      </c>
      <c r="AH727" t="s">
        <v>111</v>
      </c>
      <c r="AI727" t="s">
        <v>111</v>
      </c>
      <c r="AJ727" t="s">
        <v>111</v>
      </c>
      <c r="AK727" t="s">
        <v>111</v>
      </c>
      <c r="AL727" t="s">
        <v>111</v>
      </c>
      <c r="AM727">
        <v>0</v>
      </c>
      <c r="AN727">
        <v>0</v>
      </c>
      <c r="AO727">
        <v>0</v>
      </c>
      <c r="AP727" t="s">
        <v>111</v>
      </c>
      <c r="AQ727" t="s">
        <v>111</v>
      </c>
      <c r="AR727" t="s">
        <v>111</v>
      </c>
      <c r="AS727" t="s">
        <v>111</v>
      </c>
      <c r="AT727" t="s">
        <v>111</v>
      </c>
      <c r="AU727" t="s">
        <v>111</v>
      </c>
      <c r="AV727" t="s">
        <v>111</v>
      </c>
      <c r="AW727" t="s">
        <v>111</v>
      </c>
      <c r="AX727" t="s">
        <v>111</v>
      </c>
      <c r="AY727" t="s">
        <v>111</v>
      </c>
      <c r="AZ727" t="s">
        <v>111</v>
      </c>
      <c r="BA727" t="s">
        <v>111</v>
      </c>
      <c r="BB727" t="s">
        <v>111</v>
      </c>
      <c r="BC727" t="s">
        <v>111</v>
      </c>
      <c r="BD727" t="s">
        <v>111</v>
      </c>
      <c r="BE727" t="s">
        <v>111</v>
      </c>
      <c r="BF727" t="s">
        <v>111</v>
      </c>
      <c r="BG727" t="s">
        <v>111</v>
      </c>
      <c r="BH727" t="s">
        <v>111</v>
      </c>
      <c r="BI727" t="s">
        <v>111</v>
      </c>
      <c r="BJ727" t="s">
        <v>111</v>
      </c>
      <c r="BK727" t="s">
        <v>111</v>
      </c>
      <c r="BL727" t="s">
        <v>111</v>
      </c>
      <c r="BM727" t="s">
        <v>111</v>
      </c>
      <c r="BN727" t="s">
        <v>111</v>
      </c>
      <c r="BO727" t="s">
        <v>111</v>
      </c>
      <c r="BP727" t="s">
        <v>111</v>
      </c>
      <c r="BQ727" t="s">
        <v>111</v>
      </c>
      <c r="BR727" t="s">
        <v>111</v>
      </c>
      <c r="BS727" t="s">
        <v>111</v>
      </c>
      <c r="BT727" t="s">
        <v>111</v>
      </c>
      <c r="BU727" t="s">
        <v>111</v>
      </c>
      <c r="BV727" t="s">
        <v>111</v>
      </c>
      <c r="BW727" t="s">
        <v>111</v>
      </c>
      <c r="BX727" t="s">
        <v>111</v>
      </c>
      <c r="BY727" t="s">
        <v>111</v>
      </c>
      <c r="BZ727" t="s">
        <v>111</v>
      </c>
      <c r="CA727" t="s">
        <v>111</v>
      </c>
      <c r="CB727" t="s">
        <v>111</v>
      </c>
      <c r="CC727" t="s">
        <v>111</v>
      </c>
      <c r="CD727" t="s">
        <v>111</v>
      </c>
      <c r="CE727" t="s">
        <v>111</v>
      </c>
      <c r="CF727" t="s">
        <v>111</v>
      </c>
      <c r="CG727" t="s">
        <v>111</v>
      </c>
      <c r="CH727" t="s">
        <v>111</v>
      </c>
      <c r="CI727" t="s">
        <v>111</v>
      </c>
      <c r="CJ727" t="s">
        <v>111</v>
      </c>
      <c r="CK727" t="s">
        <v>111</v>
      </c>
      <c r="CL727" t="s">
        <v>111</v>
      </c>
      <c r="CM727" t="s">
        <v>111</v>
      </c>
      <c r="CN727" t="s">
        <v>111</v>
      </c>
      <c r="CO727" t="s">
        <v>111</v>
      </c>
      <c r="CP727" t="s">
        <v>111</v>
      </c>
      <c r="CQ727">
        <v>0</v>
      </c>
      <c r="CR727">
        <v>0</v>
      </c>
      <c r="CS727">
        <v>0</v>
      </c>
      <c r="CT727" t="s">
        <v>111</v>
      </c>
      <c r="CU727">
        <v>0</v>
      </c>
      <c r="CV727" t="s">
        <v>111</v>
      </c>
      <c r="CX727" t="s">
        <v>111</v>
      </c>
      <c r="CY727">
        <v>0</v>
      </c>
      <c r="CZ727" t="s">
        <v>111</v>
      </c>
      <c r="DA727" t="s">
        <v>111</v>
      </c>
      <c r="DB727" t="s">
        <v>111</v>
      </c>
      <c r="DC727" t="s">
        <v>111</v>
      </c>
    </row>
    <row r="728" spans="1:107">
      <c r="A728">
        <v>1669</v>
      </c>
      <c r="B728" t="s">
        <v>107</v>
      </c>
      <c r="C728" t="s">
        <v>119</v>
      </c>
      <c r="D728" t="s">
        <v>2488</v>
      </c>
      <c r="E728" t="s">
        <v>2489</v>
      </c>
      <c r="F728" t="s">
        <v>2490</v>
      </c>
      <c r="G728" t="s">
        <v>469</v>
      </c>
      <c r="H728">
        <v>3.2</v>
      </c>
      <c r="I728">
        <v>85</v>
      </c>
      <c r="J728">
        <v>0</v>
      </c>
      <c r="K728">
        <v>0</v>
      </c>
      <c r="L728" t="s">
        <v>117</v>
      </c>
      <c r="M728" t="s">
        <v>118</v>
      </c>
      <c r="N728">
        <v>39</v>
      </c>
      <c r="O728">
        <v>1</v>
      </c>
      <c r="P728" t="s">
        <v>111</v>
      </c>
      <c r="Q728">
        <v>50</v>
      </c>
      <c r="R728">
        <v>0</v>
      </c>
      <c r="S728">
        <v>0</v>
      </c>
      <c r="T728">
        <v>0</v>
      </c>
      <c r="U728" s="1" t="s">
        <v>2491</v>
      </c>
      <c r="V728">
        <v>250</v>
      </c>
      <c r="W728">
        <v>0</v>
      </c>
      <c r="X728">
        <v>8</v>
      </c>
      <c r="Y728">
        <v>0</v>
      </c>
      <c r="Z728" t="s">
        <v>288</v>
      </c>
      <c r="AA728">
        <v>1.2</v>
      </c>
      <c r="AB728" t="s">
        <v>111</v>
      </c>
      <c r="AC728">
        <v>0</v>
      </c>
      <c r="AD728" t="s">
        <v>111</v>
      </c>
      <c r="AE728">
        <v>0</v>
      </c>
      <c r="AF728">
        <v>0</v>
      </c>
      <c r="AG728" t="s">
        <v>111</v>
      </c>
      <c r="AH728" t="s">
        <v>111</v>
      </c>
      <c r="AI728" t="s">
        <v>111</v>
      </c>
      <c r="AJ728" t="s">
        <v>111</v>
      </c>
      <c r="AK728" t="s">
        <v>111</v>
      </c>
      <c r="AL728" t="s">
        <v>111</v>
      </c>
      <c r="AM728">
        <v>0</v>
      </c>
      <c r="AN728">
        <v>0</v>
      </c>
      <c r="AO728">
        <v>0</v>
      </c>
      <c r="AP728" t="s">
        <v>111</v>
      </c>
      <c r="AQ728" t="s">
        <v>111</v>
      </c>
      <c r="AR728" t="s">
        <v>111</v>
      </c>
      <c r="AS728" t="s">
        <v>111</v>
      </c>
      <c r="AT728" t="s">
        <v>111</v>
      </c>
      <c r="AU728" t="s">
        <v>111</v>
      </c>
      <c r="AV728" t="s">
        <v>111</v>
      </c>
      <c r="AW728" t="s">
        <v>111</v>
      </c>
      <c r="AX728" t="s">
        <v>111</v>
      </c>
      <c r="AY728" t="s">
        <v>111</v>
      </c>
      <c r="AZ728" t="s">
        <v>111</v>
      </c>
      <c r="BA728" t="s">
        <v>111</v>
      </c>
      <c r="BB728" t="s">
        <v>111</v>
      </c>
      <c r="BC728" t="s">
        <v>111</v>
      </c>
      <c r="BD728" t="s">
        <v>111</v>
      </c>
      <c r="BE728" t="s">
        <v>111</v>
      </c>
      <c r="BF728" t="s">
        <v>111</v>
      </c>
      <c r="BG728" t="s">
        <v>111</v>
      </c>
      <c r="BH728" t="s">
        <v>111</v>
      </c>
      <c r="BI728" t="s">
        <v>111</v>
      </c>
      <c r="BJ728" t="s">
        <v>111</v>
      </c>
      <c r="BK728" t="s">
        <v>111</v>
      </c>
      <c r="BL728" t="s">
        <v>111</v>
      </c>
      <c r="BM728" t="s">
        <v>111</v>
      </c>
      <c r="BN728" t="s">
        <v>111</v>
      </c>
      <c r="BO728" t="s">
        <v>111</v>
      </c>
      <c r="BP728" t="s">
        <v>111</v>
      </c>
      <c r="BQ728" t="s">
        <v>111</v>
      </c>
      <c r="BR728" t="s">
        <v>111</v>
      </c>
      <c r="BS728" t="s">
        <v>111</v>
      </c>
      <c r="BT728" t="s">
        <v>111</v>
      </c>
      <c r="BU728" t="s">
        <v>111</v>
      </c>
      <c r="BV728" t="s">
        <v>111</v>
      </c>
      <c r="BW728" t="s">
        <v>111</v>
      </c>
      <c r="BX728" t="s">
        <v>111</v>
      </c>
      <c r="BY728" t="s">
        <v>111</v>
      </c>
      <c r="BZ728" t="s">
        <v>111</v>
      </c>
      <c r="CA728" t="s">
        <v>111</v>
      </c>
      <c r="CB728" t="s">
        <v>111</v>
      </c>
      <c r="CC728" t="s">
        <v>111</v>
      </c>
      <c r="CD728" t="s">
        <v>111</v>
      </c>
      <c r="CE728" t="s">
        <v>111</v>
      </c>
      <c r="CF728" t="s">
        <v>111</v>
      </c>
      <c r="CG728" t="s">
        <v>111</v>
      </c>
      <c r="CH728" t="s">
        <v>111</v>
      </c>
      <c r="CI728" t="s">
        <v>111</v>
      </c>
      <c r="CJ728" t="s">
        <v>111</v>
      </c>
      <c r="CK728" t="s">
        <v>111</v>
      </c>
      <c r="CL728" t="s">
        <v>111</v>
      </c>
      <c r="CM728" t="s">
        <v>111</v>
      </c>
      <c r="CN728" t="s">
        <v>111</v>
      </c>
      <c r="CO728" t="s">
        <v>111</v>
      </c>
      <c r="CP728" t="s">
        <v>111</v>
      </c>
      <c r="CQ728">
        <v>0</v>
      </c>
      <c r="CR728">
        <v>0</v>
      </c>
      <c r="CS728">
        <v>0</v>
      </c>
      <c r="CT728" t="s">
        <v>111</v>
      </c>
      <c r="CU728">
        <v>0</v>
      </c>
      <c r="CV728" t="s">
        <v>111</v>
      </c>
      <c r="CX728" t="s">
        <v>111</v>
      </c>
      <c r="CY728">
        <v>0</v>
      </c>
      <c r="CZ728" t="s">
        <v>111</v>
      </c>
      <c r="DA728" t="s">
        <v>111</v>
      </c>
      <c r="DB728" t="s">
        <v>111</v>
      </c>
      <c r="DC728" t="s">
        <v>111</v>
      </c>
    </row>
    <row r="729" spans="1:107">
      <c r="A729">
        <v>1637</v>
      </c>
      <c r="B729" t="s">
        <v>107</v>
      </c>
      <c r="C729" t="s">
        <v>171</v>
      </c>
      <c r="D729" t="s">
        <v>2492</v>
      </c>
      <c r="E729" t="s">
        <v>2493</v>
      </c>
      <c r="F729" t="s">
        <v>166</v>
      </c>
      <c r="G729" t="s">
        <v>469</v>
      </c>
      <c r="H729">
        <v>0.7</v>
      </c>
      <c r="I729">
        <v>49</v>
      </c>
      <c r="J729">
        <v>0</v>
      </c>
      <c r="K729">
        <v>0</v>
      </c>
      <c r="L729" t="s">
        <v>2494</v>
      </c>
      <c r="M729" t="s">
        <v>111</v>
      </c>
      <c r="N729">
        <v>0</v>
      </c>
      <c r="O729">
        <v>0</v>
      </c>
      <c r="P729" t="s">
        <v>111</v>
      </c>
      <c r="Q729">
        <v>50</v>
      </c>
      <c r="R729">
        <v>0</v>
      </c>
      <c r="S729">
        <v>0</v>
      </c>
      <c r="T729">
        <v>0</v>
      </c>
      <c r="U729" s="1" t="s">
        <v>2495</v>
      </c>
      <c r="V729">
        <v>25</v>
      </c>
      <c r="W729">
        <v>0</v>
      </c>
      <c r="X729">
        <v>5</v>
      </c>
      <c r="Y729">
        <v>0</v>
      </c>
      <c r="Z729" t="s">
        <v>111</v>
      </c>
      <c r="AA729">
        <v>0</v>
      </c>
      <c r="AB729" t="s">
        <v>111</v>
      </c>
      <c r="AC729">
        <v>0</v>
      </c>
      <c r="AD729" t="s">
        <v>111</v>
      </c>
      <c r="AE729">
        <v>0</v>
      </c>
      <c r="AF729">
        <v>0</v>
      </c>
      <c r="AG729" t="s">
        <v>111</v>
      </c>
      <c r="AH729" t="s">
        <v>111</v>
      </c>
      <c r="AI729" t="s">
        <v>111</v>
      </c>
      <c r="AJ729" t="s">
        <v>111</v>
      </c>
      <c r="AK729" t="s">
        <v>111</v>
      </c>
      <c r="AL729" t="s">
        <v>111</v>
      </c>
      <c r="AM729">
        <v>0</v>
      </c>
      <c r="AN729">
        <v>0</v>
      </c>
      <c r="AO729">
        <v>0</v>
      </c>
      <c r="AP729" t="s">
        <v>111</v>
      </c>
      <c r="AQ729" t="s">
        <v>111</v>
      </c>
      <c r="AR729" t="s">
        <v>111</v>
      </c>
      <c r="AS729" t="s">
        <v>111</v>
      </c>
      <c r="AT729" t="s">
        <v>111</v>
      </c>
      <c r="AU729" t="s">
        <v>111</v>
      </c>
      <c r="AV729" t="s">
        <v>111</v>
      </c>
      <c r="AW729" t="s">
        <v>111</v>
      </c>
      <c r="AX729" t="s">
        <v>111</v>
      </c>
      <c r="AY729" t="s">
        <v>111</v>
      </c>
      <c r="AZ729" t="s">
        <v>111</v>
      </c>
      <c r="BA729" t="s">
        <v>111</v>
      </c>
      <c r="BB729" t="s">
        <v>111</v>
      </c>
      <c r="BC729" t="s">
        <v>111</v>
      </c>
      <c r="BD729" t="s">
        <v>111</v>
      </c>
      <c r="BE729" t="s">
        <v>111</v>
      </c>
      <c r="BF729" t="s">
        <v>111</v>
      </c>
      <c r="BG729" t="s">
        <v>111</v>
      </c>
      <c r="BH729" t="s">
        <v>111</v>
      </c>
      <c r="BI729" t="s">
        <v>111</v>
      </c>
      <c r="BJ729" t="s">
        <v>111</v>
      </c>
      <c r="BK729" t="s">
        <v>111</v>
      </c>
      <c r="BL729" t="s">
        <v>111</v>
      </c>
      <c r="BM729" t="s">
        <v>111</v>
      </c>
      <c r="BN729" t="s">
        <v>111</v>
      </c>
      <c r="BO729" t="s">
        <v>111</v>
      </c>
      <c r="BP729" t="s">
        <v>111</v>
      </c>
      <c r="BQ729" t="s">
        <v>111</v>
      </c>
      <c r="BR729" t="s">
        <v>111</v>
      </c>
      <c r="BS729" t="s">
        <v>111</v>
      </c>
      <c r="BT729" t="s">
        <v>111</v>
      </c>
      <c r="BU729" t="s">
        <v>111</v>
      </c>
      <c r="BV729" t="s">
        <v>111</v>
      </c>
      <c r="BW729" t="s">
        <v>111</v>
      </c>
      <c r="BX729" t="s">
        <v>111</v>
      </c>
      <c r="BY729" t="s">
        <v>111</v>
      </c>
      <c r="BZ729" t="s">
        <v>111</v>
      </c>
      <c r="CA729" t="s">
        <v>111</v>
      </c>
      <c r="CB729" t="s">
        <v>111</v>
      </c>
      <c r="CC729" t="s">
        <v>111</v>
      </c>
      <c r="CD729" t="s">
        <v>111</v>
      </c>
      <c r="CE729" t="s">
        <v>111</v>
      </c>
      <c r="CF729" t="s">
        <v>111</v>
      </c>
      <c r="CG729" t="s">
        <v>111</v>
      </c>
      <c r="CH729" t="s">
        <v>111</v>
      </c>
      <c r="CI729" t="s">
        <v>111</v>
      </c>
      <c r="CJ729" t="s">
        <v>111</v>
      </c>
      <c r="CK729" t="s">
        <v>111</v>
      </c>
      <c r="CL729" t="s">
        <v>111</v>
      </c>
      <c r="CM729" t="s">
        <v>127</v>
      </c>
      <c r="CN729" t="s">
        <v>128</v>
      </c>
      <c r="CO729" t="s">
        <v>2496</v>
      </c>
      <c r="CP729" t="s">
        <v>111</v>
      </c>
      <c r="CQ729">
        <v>0</v>
      </c>
      <c r="CR729">
        <v>1000</v>
      </c>
      <c r="CS729">
        <v>0</v>
      </c>
      <c r="CT729" s="1" t="s">
        <v>2497</v>
      </c>
      <c r="CU729">
        <v>0</v>
      </c>
      <c r="CV729" t="s">
        <v>111</v>
      </c>
      <c r="CW729" t="s">
        <v>111</v>
      </c>
      <c r="CX729" t="s">
        <v>111</v>
      </c>
      <c r="CY729">
        <v>0</v>
      </c>
      <c r="CZ729" t="s">
        <v>111</v>
      </c>
      <c r="DA729" t="s">
        <v>111</v>
      </c>
      <c r="DB729" t="s">
        <v>111</v>
      </c>
      <c r="DC729" t="s">
        <v>111</v>
      </c>
    </row>
    <row r="730" spans="1:107">
      <c r="A730">
        <v>1670</v>
      </c>
      <c r="B730" t="s">
        <v>107</v>
      </c>
      <c r="C730" t="s">
        <v>793</v>
      </c>
      <c r="D730" t="s">
        <v>2498</v>
      </c>
      <c r="E730" t="s">
        <v>2499</v>
      </c>
      <c r="F730" t="s">
        <v>166</v>
      </c>
      <c r="G730" t="s">
        <v>469</v>
      </c>
      <c r="H730">
        <v>1</v>
      </c>
      <c r="I730">
        <v>55</v>
      </c>
      <c r="J730">
        <v>10</v>
      </c>
      <c r="K730">
        <v>10</v>
      </c>
      <c r="L730" t="s">
        <v>112</v>
      </c>
      <c r="M730" t="s">
        <v>118</v>
      </c>
      <c r="N730">
        <v>39</v>
      </c>
      <c r="O730">
        <v>2</v>
      </c>
      <c r="P730" t="s">
        <v>111</v>
      </c>
      <c r="Q730">
        <v>32</v>
      </c>
      <c r="R730">
        <v>0</v>
      </c>
      <c r="S730">
        <v>0</v>
      </c>
      <c r="T730">
        <v>0</v>
      </c>
      <c r="U730" s="1" t="s">
        <v>2500</v>
      </c>
      <c r="V730">
        <v>25</v>
      </c>
      <c r="W730">
        <v>0</v>
      </c>
      <c r="X730">
        <v>8</v>
      </c>
      <c r="Y730">
        <v>0</v>
      </c>
      <c r="Z730" t="s">
        <v>2501</v>
      </c>
      <c r="AA730">
        <v>1.5</v>
      </c>
      <c r="AB730" t="s">
        <v>111</v>
      </c>
      <c r="AC730">
        <v>0</v>
      </c>
      <c r="AD730" t="s">
        <v>111</v>
      </c>
      <c r="AE730">
        <v>0</v>
      </c>
      <c r="AF730">
        <v>0</v>
      </c>
      <c r="AG730" t="s">
        <v>111</v>
      </c>
      <c r="AH730" t="s">
        <v>111</v>
      </c>
      <c r="AI730" t="s">
        <v>111</v>
      </c>
      <c r="AJ730" t="s">
        <v>111</v>
      </c>
      <c r="AK730" t="s">
        <v>111</v>
      </c>
      <c r="AL730" t="s">
        <v>111</v>
      </c>
      <c r="AM730">
        <v>0</v>
      </c>
      <c r="AN730">
        <v>0</v>
      </c>
      <c r="AO730">
        <v>0</v>
      </c>
      <c r="AP730" t="s">
        <v>111</v>
      </c>
      <c r="AQ730" t="s">
        <v>111</v>
      </c>
      <c r="AR730" t="s">
        <v>111</v>
      </c>
      <c r="AS730" t="s">
        <v>111</v>
      </c>
      <c r="AT730" t="s">
        <v>111</v>
      </c>
      <c r="AU730" t="s">
        <v>111</v>
      </c>
      <c r="AV730" t="s">
        <v>111</v>
      </c>
      <c r="AW730" t="s">
        <v>111</v>
      </c>
      <c r="AX730" t="s">
        <v>111</v>
      </c>
      <c r="AY730" t="s">
        <v>111</v>
      </c>
      <c r="AZ730" t="s">
        <v>111</v>
      </c>
      <c r="BA730" t="s">
        <v>111</v>
      </c>
      <c r="BB730" t="s">
        <v>111</v>
      </c>
      <c r="BC730" t="s">
        <v>111</v>
      </c>
      <c r="BD730" t="s">
        <v>111</v>
      </c>
      <c r="BE730" t="s">
        <v>111</v>
      </c>
      <c r="BF730" t="s">
        <v>111</v>
      </c>
      <c r="BG730" t="s">
        <v>111</v>
      </c>
      <c r="BH730" t="s">
        <v>111</v>
      </c>
      <c r="BI730" t="s">
        <v>111</v>
      </c>
      <c r="BJ730" t="s">
        <v>111</v>
      </c>
      <c r="BK730" t="s">
        <v>111</v>
      </c>
      <c r="BL730" t="s">
        <v>111</v>
      </c>
      <c r="BM730" t="s">
        <v>111</v>
      </c>
      <c r="BN730" t="s">
        <v>111</v>
      </c>
      <c r="BO730" t="s">
        <v>111</v>
      </c>
      <c r="BP730" t="s">
        <v>111</v>
      </c>
      <c r="BQ730" t="s">
        <v>111</v>
      </c>
      <c r="BR730" t="s">
        <v>111</v>
      </c>
      <c r="BS730" t="s">
        <v>111</v>
      </c>
      <c r="BT730" t="s">
        <v>111</v>
      </c>
      <c r="BU730" t="s">
        <v>111</v>
      </c>
      <c r="BV730" t="s">
        <v>111</v>
      </c>
      <c r="BW730" t="s">
        <v>111</v>
      </c>
      <c r="BX730" t="s">
        <v>111</v>
      </c>
      <c r="BY730" t="s">
        <v>111</v>
      </c>
      <c r="BZ730" t="s">
        <v>111</v>
      </c>
      <c r="CA730" t="s">
        <v>111</v>
      </c>
      <c r="CB730" t="s">
        <v>111</v>
      </c>
      <c r="CC730" t="s">
        <v>111</v>
      </c>
      <c r="CD730" t="s">
        <v>111</v>
      </c>
      <c r="CE730" t="s">
        <v>111</v>
      </c>
      <c r="CF730" t="s">
        <v>111</v>
      </c>
      <c r="CG730" t="s">
        <v>111</v>
      </c>
      <c r="CH730" t="s">
        <v>111</v>
      </c>
      <c r="CI730" t="s">
        <v>111</v>
      </c>
      <c r="CJ730" t="s">
        <v>111</v>
      </c>
      <c r="CK730" t="s">
        <v>111</v>
      </c>
      <c r="CL730" t="s">
        <v>111</v>
      </c>
      <c r="CM730" t="s">
        <v>111</v>
      </c>
      <c r="CN730" t="s">
        <v>111</v>
      </c>
      <c r="CO730" t="s">
        <v>111</v>
      </c>
      <c r="CP730" t="s">
        <v>111</v>
      </c>
      <c r="CQ730">
        <v>0</v>
      </c>
      <c r="CR730">
        <v>0</v>
      </c>
      <c r="CS730">
        <v>0</v>
      </c>
      <c r="CT730" t="s">
        <v>111</v>
      </c>
      <c r="CU730">
        <v>0</v>
      </c>
      <c r="CV730" t="s">
        <v>111</v>
      </c>
      <c r="CX730" t="s">
        <v>111</v>
      </c>
      <c r="CY730">
        <v>0</v>
      </c>
      <c r="CZ730" t="s">
        <v>111</v>
      </c>
      <c r="DA730" t="s">
        <v>111</v>
      </c>
      <c r="DB730" t="s">
        <v>111</v>
      </c>
      <c r="DC730" t="s">
        <v>111</v>
      </c>
    </row>
    <row r="731" spans="1:107">
      <c r="A731">
        <v>1671</v>
      </c>
      <c r="B731" t="s">
        <v>107</v>
      </c>
      <c r="C731" t="s">
        <v>793</v>
      </c>
      <c r="D731" t="s">
        <v>2502</v>
      </c>
      <c r="E731" t="s">
        <v>2503</v>
      </c>
      <c r="F731" t="s">
        <v>183</v>
      </c>
      <c r="G731" t="s">
        <v>469</v>
      </c>
      <c r="H731">
        <v>2.8</v>
      </c>
      <c r="I731">
        <v>37</v>
      </c>
      <c r="J731">
        <v>0</v>
      </c>
      <c r="K731">
        <v>0</v>
      </c>
      <c r="L731" t="s">
        <v>112</v>
      </c>
      <c r="M731" t="s">
        <v>118</v>
      </c>
      <c r="N731">
        <v>39</v>
      </c>
      <c r="O731">
        <v>2</v>
      </c>
      <c r="P731" t="s">
        <v>111</v>
      </c>
      <c r="Q731">
        <v>40</v>
      </c>
      <c r="R731">
        <v>0</v>
      </c>
      <c r="S731">
        <v>0</v>
      </c>
      <c r="T731">
        <v>0</v>
      </c>
      <c r="U731" t="e">
        <f>-ALMACEN</f>
        <v>#NAME?</v>
      </c>
      <c r="V731">
        <v>25</v>
      </c>
      <c r="W731">
        <v>0</v>
      </c>
      <c r="X731">
        <v>6</v>
      </c>
      <c r="Y731">
        <v>0</v>
      </c>
      <c r="Z731" t="s">
        <v>184</v>
      </c>
      <c r="AA731">
        <v>1.2</v>
      </c>
      <c r="AB731" t="s">
        <v>111</v>
      </c>
      <c r="AC731">
        <v>0</v>
      </c>
      <c r="AD731" t="s">
        <v>111</v>
      </c>
      <c r="AE731">
        <v>0</v>
      </c>
      <c r="AF731">
        <v>0</v>
      </c>
      <c r="AG731" t="s">
        <v>111</v>
      </c>
      <c r="AH731" t="s">
        <v>111</v>
      </c>
      <c r="AI731" t="s">
        <v>111</v>
      </c>
      <c r="AJ731" t="s">
        <v>111</v>
      </c>
      <c r="AK731" t="s">
        <v>111</v>
      </c>
      <c r="AL731" t="s">
        <v>111</v>
      </c>
      <c r="AM731">
        <v>0</v>
      </c>
      <c r="AN731">
        <v>0</v>
      </c>
      <c r="AO731">
        <v>0</v>
      </c>
      <c r="AP731" t="s">
        <v>111</v>
      </c>
      <c r="AQ731" t="s">
        <v>111</v>
      </c>
      <c r="AR731" t="s">
        <v>111</v>
      </c>
      <c r="AS731" t="s">
        <v>111</v>
      </c>
      <c r="AT731" t="s">
        <v>111</v>
      </c>
      <c r="AU731" t="s">
        <v>111</v>
      </c>
      <c r="AV731" t="s">
        <v>111</v>
      </c>
      <c r="AW731" t="s">
        <v>111</v>
      </c>
      <c r="AX731" t="s">
        <v>111</v>
      </c>
      <c r="AY731" t="s">
        <v>111</v>
      </c>
      <c r="AZ731" t="s">
        <v>111</v>
      </c>
      <c r="BA731" t="s">
        <v>111</v>
      </c>
      <c r="BB731" t="s">
        <v>111</v>
      </c>
      <c r="BC731" t="s">
        <v>111</v>
      </c>
      <c r="BD731" t="s">
        <v>111</v>
      </c>
      <c r="BE731" t="s">
        <v>111</v>
      </c>
      <c r="BF731" t="s">
        <v>111</v>
      </c>
      <c r="BG731" t="s">
        <v>111</v>
      </c>
      <c r="BH731" t="s">
        <v>111</v>
      </c>
      <c r="BI731" t="s">
        <v>111</v>
      </c>
      <c r="BJ731" t="s">
        <v>111</v>
      </c>
      <c r="BK731" t="s">
        <v>111</v>
      </c>
      <c r="BL731" t="s">
        <v>111</v>
      </c>
      <c r="BM731" t="s">
        <v>111</v>
      </c>
      <c r="BN731" t="s">
        <v>111</v>
      </c>
      <c r="BO731" t="s">
        <v>111</v>
      </c>
      <c r="BP731" t="s">
        <v>111</v>
      </c>
      <c r="BQ731" t="s">
        <v>111</v>
      </c>
      <c r="BR731" t="s">
        <v>111</v>
      </c>
      <c r="BS731" t="s">
        <v>111</v>
      </c>
      <c r="BT731" t="s">
        <v>111</v>
      </c>
      <c r="BU731" t="s">
        <v>111</v>
      </c>
      <c r="BV731" t="s">
        <v>111</v>
      </c>
      <c r="BW731" t="s">
        <v>111</v>
      </c>
      <c r="BX731" t="s">
        <v>111</v>
      </c>
      <c r="BY731" t="s">
        <v>111</v>
      </c>
      <c r="BZ731" t="s">
        <v>111</v>
      </c>
      <c r="CA731" t="s">
        <v>111</v>
      </c>
      <c r="CB731" t="s">
        <v>111</v>
      </c>
      <c r="CC731" t="s">
        <v>111</v>
      </c>
      <c r="CD731" t="s">
        <v>111</v>
      </c>
      <c r="CE731" t="s">
        <v>111</v>
      </c>
      <c r="CF731" t="s">
        <v>111</v>
      </c>
      <c r="CG731" t="s">
        <v>111</v>
      </c>
      <c r="CH731" t="s">
        <v>111</v>
      </c>
      <c r="CI731" t="s">
        <v>111</v>
      </c>
      <c r="CJ731" t="s">
        <v>111</v>
      </c>
      <c r="CK731" t="s">
        <v>111</v>
      </c>
      <c r="CL731" t="s">
        <v>111</v>
      </c>
      <c r="CM731" t="s">
        <v>111</v>
      </c>
      <c r="CN731" t="s">
        <v>111</v>
      </c>
      <c r="CO731" t="s">
        <v>111</v>
      </c>
      <c r="CP731" t="s">
        <v>111</v>
      </c>
      <c r="CQ731">
        <v>0</v>
      </c>
      <c r="CR731">
        <v>0</v>
      </c>
      <c r="CS731">
        <v>0</v>
      </c>
      <c r="CT731" t="s">
        <v>111</v>
      </c>
      <c r="CU731">
        <v>0</v>
      </c>
      <c r="CV731" t="s">
        <v>111</v>
      </c>
      <c r="CX731" t="s">
        <v>111</v>
      </c>
      <c r="CY731">
        <v>0</v>
      </c>
      <c r="CZ731" t="s">
        <v>111</v>
      </c>
      <c r="DA731" t="s">
        <v>111</v>
      </c>
      <c r="DB731" t="s">
        <v>111</v>
      </c>
      <c r="DC731" t="s">
        <v>111</v>
      </c>
    </row>
    <row r="732" spans="1:107">
      <c r="A732">
        <v>1666</v>
      </c>
      <c r="B732" t="s">
        <v>107</v>
      </c>
      <c r="C732" t="s">
        <v>399</v>
      </c>
      <c r="D732" t="s">
        <v>2504</v>
      </c>
      <c r="E732" t="s">
        <v>2505</v>
      </c>
      <c r="F732" t="s">
        <v>404</v>
      </c>
      <c r="G732" t="s">
        <v>469</v>
      </c>
      <c r="H732">
        <v>0.7</v>
      </c>
      <c r="I732">
        <v>70</v>
      </c>
      <c r="J732">
        <v>0</v>
      </c>
      <c r="K732">
        <v>0</v>
      </c>
      <c r="L732" t="s">
        <v>178</v>
      </c>
      <c r="M732" t="s">
        <v>111</v>
      </c>
      <c r="N732">
        <v>0</v>
      </c>
      <c r="O732">
        <v>0</v>
      </c>
      <c r="P732" t="s">
        <v>111</v>
      </c>
      <c r="Q732">
        <v>46</v>
      </c>
      <c r="R732">
        <v>0</v>
      </c>
      <c r="S732">
        <v>0</v>
      </c>
      <c r="T732">
        <v>5</v>
      </c>
      <c r="U732" s="1" t="s">
        <v>851</v>
      </c>
      <c r="V732">
        <v>25</v>
      </c>
      <c r="W732">
        <v>0</v>
      </c>
      <c r="X732">
        <v>7</v>
      </c>
      <c r="Y732">
        <v>0</v>
      </c>
      <c r="Z732" t="s">
        <v>366</v>
      </c>
      <c r="AA732">
        <v>1.5</v>
      </c>
      <c r="AB732" t="s">
        <v>111</v>
      </c>
      <c r="AC732">
        <v>0</v>
      </c>
      <c r="AD732" t="s">
        <v>111</v>
      </c>
      <c r="AE732">
        <v>0</v>
      </c>
      <c r="AF732">
        <v>0</v>
      </c>
      <c r="AG732" t="s">
        <v>111</v>
      </c>
      <c r="AH732" t="s">
        <v>111</v>
      </c>
      <c r="AI732" t="s">
        <v>111</v>
      </c>
      <c r="AJ732" t="s">
        <v>111</v>
      </c>
      <c r="AK732" t="s">
        <v>111</v>
      </c>
      <c r="AL732" t="s">
        <v>111</v>
      </c>
      <c r="AM732">
        <v>0</v>
      </c>
      <c r="AN732">
        <v>0</v>
      </c>
      <c r="AO732">
        <v>0</v>
      </c>
      <c r="AP732" t="s">
        <v>111</v>
      </c>
      <c r="AQ732" t="s">
        <v>111</v>
      </c>
      <c r="AR732" t="s">
        <v>111</v>
      </c>
      <c r="AS732" t="s">
        <v>111</v>
      </c>
      <c r="AT732" t="s">
        <v>111</v>
      </c>
      <c r="AU732" t="s">
        <v>111</v>
      </c>
      <c r="AV732" t="s">
        <v>111</v>
      </c>
      <c r="AW732" t="s">
        <v>111</v>
      </c>
      <c r="AX732" t="s">
        <v>111</v>
      </c>
      <c r="AY732" t="s">
        <v>111</v>
      </c>
      <c r="AZ732" t="s">
        <v>111</v>
      </c>
      <c r="BA732" t="s">
        <v>111</v>
      </c>
      <c r="BB732" t="s">
        <v>111</v>
      </c>
      <c r="BC732" t="s">
        <v>111</v>
      </c>
      <c r="BD732" t="s">
        <v>111</v>
      </c>
      <c r="BE732" t="s">
        <v>111</v>
      </c>
      <c r="BF732" t="s">
        <v>111</v>
      </c>
      <c r="BG732" t="s">
        <v>111</v>
      </c>
      <c r="BH732" t="s">
        <v>111</v>
      </c>
      <c r="BI732" t="s">
        <v>111</v>
      </c>
      <c r="BJ732" t="s">
        <v>111</v>
      </c>
      <c r="BK732" t="s">
        <v>111</v>
      </c>
      <c r="BL732" t="s">
        <v>111</v>
      </c>
      <c r="BM732" t="s">
        <v>111</v>
      </c>
      <c r="BN732" t="s">
        <v>111</v>
      </c>
      <c r="BO732" t="s">
        <v>111</v>
      </c>
      <c r="BP732" t="s">
        <v>111</v>
      </c>
      <c r="BQ732" t="s">
        <v>111</v>
      </c>
      <c r="BR732" t="s">
        <v>111</v>
      </c>
      <c r="BS732" t="s">
        <v>111</v>
      </c>
      <c r="BT732" t="s">
        <v>111</v>
      </c>
      <c r="BU732" t="s">
        <v>111</v>
      </c>
      <c r="BV732" t="s">
        <v>111</v>
      </c>
      <c r="BW732" t="s">
        <v>111</v>
      </c>
      <c r="BX732" t="s">
        <v>111</v>
      </c>
      <c r="BY732" t="s">
        <v>111</v>
      </c>
      <c r="BZ732" t="s">
        <v>111</v>
      </c>
      <c r="CA732" t="s">
        <v>111</v>
      </c>
      <c r="CB732" t="s">
        <v>111</v>
      </c>
      <c r="CC732" t="s">
        <v>111</v>
      </c>
      <c r="CD732" t="s">
        <v>111</v>
      </c>
      <c r="CE732" t="s">
        <v>111</v>
      </c>
      <c r="CF732" t="s">
        <v>111</v>
      </c>
      <c r="CG732" t="s">
        <v>111</v>
      </c>
      <c r="CH732" t="s">
        <v>111</v>
      </c>
      <c r="CI732" t="s">
        <v>111</v>
      </c>
      <c r="CJ732" t="s">
        <v>111</v>
      </c>
      <c r="CK732" t="s">
        <v>111</v>
      </c>
      <c r="CL732" t="s">
        <v>111</v>
      </c>
      <c r="CM732" t="s">
        <v>438</v>
      </c>
      <c r="CN732" t="s">
        <v>113</v>
      </c>
      <c r="CO732" t="s">
        <v>111</v>
      </c>
      <c r="CP732" t="s">
        <v>111</v>
      </c>
      <c r="CQ732">
        <v>0</v>
      </c>
      <c r="CR732">
        <v>500</v>
      </c>
      <c r="CS732">
        <v>50</v>
      </c>
      <c r="CT732" t="e">
        <f>-EMPACAR SEGUN NORMA DEL CLIENTE</f>
        <v>#NAME?</v>
      </c>
      <c r="CU732">
        <v>0</v>
      </c>
      <c r="CV732" t="s">
        <v>111</v>
      </c>
      <c r="CX732" t="s">
        <v>111</v>
      </c>
      <c r="CY732">
        <v>0</v>
      </c>
      <c r="CZ732" t="s">
        <v>111</v>
      </c>
      <c r="DA732" t="s">
        <v>111</v>
      </c>
      <c r="DB732" t="s">
        <v>111</v>
      </c>
      <c r="DC732" t="s">
        <v>111</v>
      </c>
    </row>
    <row r="733" spans="1:107">
      <c r="A733">
        <v>1636</v>
      </c>
      <c r="B733" t="s">
        <v>107</v>
      </c>
      <c r="C733" t="s">
        <v>171</v>
      </c>
      <c r="D733" t="s">
        <v>2506</v>
      </c>
      <c r="E733" t="s">
        <v>2507</v>
      </c>
      <c r="F733" t="s">
        <v>1708</v>
      </c>
      <c r="G733" t="s">
        <v>469</v>
      </c>
      <c r="H733">
        <v>70</v>
      </c>
      <c r="I733">
        <v>490</v>
      </c>
      <c r="J733">
        <v>0</v>
      </c>
      <c r="K733">
        <v>0</v>
      </c>
      <c r="L733" t="s">
        <v>2508</v>
      </c>
      <c r="M733" t="s">
        <v>111</v>
      </c>
      <c r="N733">
        <v>0</v>
      </c>
      <c r="O733">
        <v>0</v>
      </c>
      <c r="P733" t="s">
        <v>111</v>
      </c>
      <c r="Q733">
        <v>333</v>
      </c>
      <c r="R733">
        <v>0</v>
      </c>
      <c r="S733">
        <v>0</v>
      </c>
      <c r="T733">
        <v>0</v>
      </c>
      <c r="U733" s="1" t="s">
        <v>2509</v>
      </c>
      <c r="V733">
        <v>250</v>
      </c>
      <c r="W733">
        <v>0</v>
      </c>
      <c r="X733">
        <v>50</v>
      </c>
      <c r="Y733">
        <v>0</v>
      </c>
      <c r="Z733" t="s">
        <v>111</v>
      </c>
      <c r="AA733">
        <v>0</v>
      </c>
      <c r="AB733" t="s">
        <v>111</v>
      </c>
      <c r="AC733">
        <v>0</v>
      </c>
      <c r="AD733" t="s">
        <v>111</v>
      </c>
      <c r="AE733">
        <v>0</v>
      </c>
      <c r="AF733">
        <v>0</v>
      </c>
      <c r="AG733" t="s">
        <v>111</v>
      </c>
      <c r="AH733" t="s">
        <v>111</v>
      </c>
      <c r="AI733" t="s">
        <v>111</v>
      </c>
      <c r="AJ733" t="s">
        <v>111</v>
      </c>
      <c r="AK733" t="s">
        <v>111</v>
      </c>
      <c r="AL733" t="s">
        <v>111</v>
      </c>
      <c r="AM733">
        <v>0</v>
      </c>
      <c r="AN733">
        <v>0</v>
      </c>
      <c r="AO733">
        <v>0</v>
      </c>
      <c r="AP733" t="s">
        <v>111</v>
      </c>
      <c r="AQ733" t="s">
        <v>111</v>
      </c>
      <c r="AR733" t="s">
        <v>111</v>
      </c>
      <c r="AS733" t="s">
        <v>111</v>
      </c>
      <c r="AT733" t="s">
        <v>111</v>
      </c>
      <c r="AU733" t="s">
        <v>111</v>
      </c>
      <c r="AV733" t="s">
        <v>111</v>
      </c>
      <c r="AW733" t="s">
        <v>111</v>
      </c>
      <c r="AX733" t="s">
        <v>111</v>
      </c>
      <c r="AY733" t="s">
        <v>111</v>
      </c>
      <c r="AZ733" t="s">
        <v>111</v>
      </c>
      <c r="BA733" t="s">
        <v>111</v>
      </c>
      <c r="BB733" t="s">
        <v>111</v>
      </c>
      <c r="BC733" t="s">
        <v>111</v>
      </c>
      <c r="BD733" t="s">
        <v>111</v>
      </c>
      <c r="BE733" t="s">
        <v>111</v>
      </c>
      <c r="BF733" t="s">
        <v>111</v>
      </c>
      <c r="BG733" t="s">
        <v>111</v>
      </c>
      <c r="BH733" t="s">
        <v>111</v>
      </c>
      <c r="BI733" t="s">
        <v>111</v>
      </c>
      <c r="BJ733" t="s">
        <v>111</v>
      </c>
      <c r="BK733" t="s">
        <v>111</v>
      </c>
      <c r="BL733" t="s">
        <v>111</v>
      </c>
      <c r="BM733" t="s">
        <v>111</v>
      </c>
      <c r="BN733" t="s">
        <v>111</v>
      </c>
      <c r="BO733" t="s">
        <v>111</v>
      </c>
      <c r="BP733" t="s">
        <v>111</v>
      </c>
      <c r="BQ733" t="s">
        <v>111</v>
      </c>
      <c r="BR733" t="s">
        <v>111</v>
      </c>
      <c r="BS733" t="s">
        <v>111</v>
      </c>
      <c r="BT733" t="s">
        <v>111</v>
      </c>
      <c r="BU733" t="s">
        <v>111</v>
      </c>
      <c r="BV733" t="s">
        <v>111</v>
      </c>
      <c r="BW733" t="s">
        <v>111</v>
      </c>
      <c r="BX733" t="s">
        <v>111</v>
      </c>
      <c r="BY733" t="s">
        <v>111</v>
      </c>
      <c r="BZ733" t="s">
        <v>111</v>
      </c>
      <c r="CA733" t="s">
        <v>111</v>
      </c>
      <c r="CB733" t="s">
        <v>111</v>
      </c>
      <c r="CC733" t="s">
        <v>111</v>
      </c>
      <c r="CD733" t="s">
        <v>111</v>
      </c>
      <c r="CE733" t="s">
        <v>111</v>
      </c>
      <c r="CF733" t="s">
        <v>111</v>
      </c>
      <c r="CG733" t="s">
        <v>111</v>
      </c>
      <c r="CH733" t="s">
        <v>111</v>
      </c>
      <c r="CI733" t="s">
        <v>111</v>
      </c>
      <c r="CJ733" t="s">
        <v>111</v>
      </c>
      <c r="CK733" t="s">
        <v>111</v>
      </c>
      <c r="CL733" t="s">
        <v>111</v>
      </c>
      <c r="CM733" t="s">
        <v>127</v>
      </c>
      <c r="CN733" t="s">
        <v>128</v>
      </c>
      <c r="CO733" t="s">
        <v>508</v>
      </c>
      <c r="CP733" t="s">
        <v>111</v>
      </c>
      <c r="CQ733">
        <v>0</v>
      </c>
      <c r="CR733">
        <v>1000</v>
      </c>
      <c r="CS733">
        <v>0</v>
      </c>
      <c r="CT733" t="s">
        <v>1337</v>
      </c>
      <c r="CU733">
        <v>0</v>
      </c>
      <c r="CV733" t="s">
        <v>111</v>
      </c>
      <c r="CW733" t="s">
        <v>111</v>
      </c>
      <c r="CX733" t="s">
        <v>111</v>
      </c>
      <c r="CY733">
        <v>0</v>
      </c>
      <c r="CZ733" t="s">
        <v>111</v>
      </c>
      <c r="DA733" t="s">
        <v>111</v>
      </c>
      <c r="DB733" t="s">
        <v>111</v>
      </c>
      <c r="DC733" t="s">
        <v>111</v>
      </c>
    </row>
    <row r="734" spans="1:107">
      <c r="A734">
        <v>2073</v>
      </c>
      <c r="B734" t="s">
        <v>376</v>
      </c>
      <c r="C734" t="s">
        <v>1948</v>
      </c>
      <c r="D734" t="s">
        <v>2510</v>
      </c>
      <c r="E734" t="s">
        <v>2511</v>
      </c>
      <c r="F734" t="s">
        <v>125</v>
      </c>
      <c r="G734" t="s">
        <v>469</v>
      </c>
      <c r="H734">
        <v>3</v>
      </c>
      <c r="I734">
        <v>51</v>
      </c>
      <c r="J734">
        <v>0</v>
      </c>
      <c r="K734">
        <v>0</v>
      </c>
      <c r="L734" t="s">
        <v>111</v>
      </c>
      <c r="M734" t="s">
        <v>111</v>
      </c>
      <c r="N734">
        <v>0</v>
      </c>
      <c r="O734">
        <v>0</v>
      </c>
      <c r="P734" t="s">
        <v>111</v>
      </c>
      <c r="Q734">
        <v>49.8</v>
      </c>
      <c r="R734">
        <v>0</v>
      </c>
      <c r="S734">
        <v>0</v>
      </c>
      <c r="T734">
        <v>5</v>
      </c>
      <c r="U734" s="1" t="s">
        <v>2512</v>
      </c>
      <c r="V734">
        <v>25</v>
      </c>
      <c r="W734">
        <v>0</v>
      </c>
      <c r="X734">
        <v>8</v>
      </c>
      <c r="Y734">
        <v>0</v>
      </c>
      <c r="Z734" t="s">
        <v>111</v>
      </c>
      <c r="AA734">
        <v>0</v>
      </c>
      <c r="AB734" t="s">
        <v>111</v>
      </c>
      <c r="AC734">
        <v>0</v>
      </c>
      <c r="AD734" t="s">
        <v>111</v>
      </c>
      <c r="AE734">
        <v>0</v>
      </c>
      <c r="AF734">
        <v>0</v>
      </c>
      <c r="AG734" t="s">
        <v>111</v>
      </c>
      <c r="AH734" t="s">
        <v>111</v>
      </c>
      <c r="AI734" t="s">
        <v>111</v>
      </c>
      <c r="AJ734" t="s">
        <v>111</v>
      </c>
      <c r="AK734" t="s">
        <v>111</v>
      </c>
      <c r="AL734" t="s">
        <v>111</v>
      </c>
      <c r="AM734">
        <v>0</v>
      </c>
      <c r="AN734">
        <v>0</v>
      </c>
      <c r="AO734">
        <v>0</v>
      </c>
      <c r="AP734" t="s">
        <v>111</v>
      </c>
      <c r="AQ734" t="s">
        <v>111</v>
      </c>
      <c r="AR734" t="s">
        <v>111</v>
      </c>
      <c r="AS734" t="s">
        <v>111</v>
      </c>
      <c r="AT734" t="s">
        <v>111</v>
      </c>
      <c r="AU734" t="s">
        <v>111</v>
      </c>
      <c r="AV734" t="s">
        <v>111</v>
      </c>
      <c r="AW734" t="s">
        <v>111</v>
      </c>
      <c r="AX734" t="s">
        <v>111</v>
      </c>
      <c r="AY734" t="s">
        <v>111</v>
      </c>
      <c r="AZ734" t="s">
        <v>111</v>
      </c>
      <c r="BA734" t="s">
        <v>111</v>
      </c>
      <c r="BB734" t="s">
        <v>111</v>
      </c>
      <c r="BC734" t="s">
        <v>111</v>
      </c>
      <c r="BD734" t="s">
        <v>111</v>
      </c>
      <c r="BE734" t="s">
        <v>111</v>
      </c>
      <c r="BF734" t="s">
        <v>111</v>
      </c>
      <c r="BG734" t="s">
        <v>111</v>
      </c>
      <c r="BH734" t="s">
        <v>111</v>
      </c>
      <c r="BI734" t="s">
        <v>111</v>
      </c>
      <c r="BJ734" t="s">
        <v>111</v>
      </c>
      <c r="BK734" t="s">
        <v>111</v>
      </c>
      <c r="BL734" t="s">
        <v>111</v>
      </c>
      <c r="BM734" t="s">
        <v>111</v>
      </c>
      <c r="BN734" t="s">
        <v>111</v>
      </c>
      <c r="BO734" t="s">
        <v>111</v>
      </c>
      <c r="BP734" t="s">
        <v>111</v>
      </c>
      <c r="BQ734" t="s">
        <v>111</v>
      </c>
      <c r="BR734" t="s">
        <v>111</v>
      </c>
      <c r="BS734" t="s">
        <v>111</v>
      </c>
      <c r="BT734" t="s">
        <v>111</v>
      </c>
      <c r="BU734" t="s">
        <v>111</v>
      </c>
      <c r="BV734" t="s">
        <v>111</v>
      </c>
      <c r="BW734" t="s">
        <v>111</v>
      </c>
      <c r="BX734" t="s">
        <v>111</v>
      </c>
      <c r="BY734" t="s">
        <v>111</v>
      </c>
      <c r="BZ734" t="s">
        <v>111</v>
      </c>
      <c r="CA734" t="s">
        <v>111</v>
      </c>
      <c r="CB734" t="s">
        <v>111</v>
      </c>
      <c r="CC734" t="s">
        <v>111</v>
      </c>
      <c r="CD734" t="s">
        <v>111</v>
      </c>
      <c r="CE734" t="s">
        <v>111</v>
      </c>
      <c r="CF734" t="s">
        <v>111</v>
      </c>
      <c r="CG734" t="s">
        <v>111</v>
      </c>
      <c r="CH734" t="s">
        <v>111</v>
      </c>
      <c r="CI734" t="s">
        <v>111</v>
      </c>
      <c r="CJ734" t="s">
        <v>111</v>
      </c>
      <c r="CK734" t="s">
        <v>111</v>
      </c>
      <c r="CL734" t="s">
        <v>111</v>
      </c>
      <c r="CM734" t="s">
        <v>127</v>
      </c>
      <c r="CN734" t="s">
        <v>128</v>
      </c>
      <c r="CO734" t="s">
        <v>111</v>
      </c>
      <c r="CP734" t="s">
        <v>111</v>
      </c>
      <c r="CQ734">
        <v>0</v>
      </c>
      <c r="CR734">
        <v>1000</v>
      </c>
      <c r="CS734">
        <v>200</v>
      </c>
      <c r="CT734" t="e">
        <f>- DESTINO ALMACEN</f>
        <v>#NAME?</v>
      </c>
      <c r="CU734">
        <v>0</v>
      </c>
      <c r="CV734" t="s">
        <v>111</v>
      </c>
      <c r="CX734" t="s">
        <v>111</v>
      </c>
      <c r="CY734">
        <v>0</v>
      </c>
      <c r="CZ734" t="s">
        <v>111</v>
      </c>
      <c r="DA734" t="s">
        <v>111</v>
      </c>
      <c r="DB734" t="s">
        <v>111</v>
      </c>
      <c r="DC734" t="s">
        <v>111</v>
      </c>
    </row>
    <row r="735" spans="1:107">
      <c r="A735">
        <v>1648</v>
      </c>
      <c r="B735" t="s">
        <v>107</v>
      </c>
      <c r="C735" t="s">
        <v>119</v>
      </c>
      <c r="D735" t="s">
        <v>2513</v>
      </c>
      <c r="E735" t="s">
        <v>2514</v>
      </c>
      <c r="F735" t="s">
        <v>1708</v>
      </c>
      <c r="G735" t="s">
        <v>469</v>
      </c>
      <c r="H735">
        <v>2.8</v>
      </c>
      <c r="I735">
        <v>45</v>
      </c>
      <c r="J735">
        <v>0</v>
      </c>
      <c r="K735">
        <v>0</v>
      </c>
      <c r="L735" t="s">
        <v>112</v>
      </c>
      <c r="M735" t="s">
        <v>118</v>
      </c>
      <c r="N735">
        <v>39</v>
      </c>
      <c r="O735">
        <v>2</v>
      </c>
      <c r="P735" t="s">
        <v>111</v>
      </c>
      <c r="Q735">
        <v>50</v>
      </c>
      <c r="R735">
        <v>0</v>
      </c>
      <c r="S735">
        <v>0</v>
      </c>
      <c r="T735">
        <v>0</v>
      </c>
      <c r="U735" s="1" t="s">
        <v>2515</v>
      </c>
      <c r="V735">
        <v>250</v>
      </c>
      <c r="W735">
        <v>0</v>
      </c>
      <c r="X735">
        <v>8</v>
      </c>
      <c r="Y735">
        <v>0</v>
      </c>
      <c r="Z735" t="s">
        <v>288</v>
      </c>
      <c r="AA735">
        <v>1.5</v>
      </c>
      <c r="AB735" t="s">
        <v>111</v>
      </c>
      <c r="AC735">
        <v>0</v>
      </c>
      <c r="AD735" t="s">
        <v>111</v>
      </c>
      <c r="AE735">
        <v>0</v>
      </c>
      <c r="AF735">
        <v>0</v>
      </c>
      <c r="AG735" t="s">
        <v>111</v>
      </c>
      <c r="AH735" t="s">
        <v>111</v>
      </c>
      <c r="AI735" t="s">
        <v>111</v>
      </c>
      <c r="AJ735" t="s">
        <v>111</v>
      </c>
      <c r="AK735" t="s">
        <v>111</v>
      </c>
      <c r="AL735" t="s">
        <v>111</v>
      </c>
      <c r="AM735">
        <v>0</v>
      </c>
      <c r="AN735">
        <v>0</v>
      </c>
      <c r="AO735">
        <v>0</v>
      </c>
      <c r="AP735" t="s">
        <v>111</v>
      </c>
      <c r="AQ735" t="s">
        <v>111</v>
      </c>
      <c r="AR735" t="s">
        <v>111</v>
      </c>
      <c r="AS735" t="s">
        <v>111</v>
      </c>
      <c r="AT735" t="s">
        <v>111</v>
      </c>
      <c r="AU735" t="s">
        <v>111</v>
      </c>
      <c r="AV735" t="s">
        <v>111</v>
      </c>
      <c r="AW735" t="s">
        <v>111</v>
      </c>
      <c r="AX735" t="s">
        <v>111</v>
      </c>
      <c r="AY735" t="s">
        <v>111</v>
      </c>
      <c r="AZ735" t="s">
        <v>111</v>
      </c>
      <c r="BA735" t="s">
        <v>111</v>
      </c>
      <c r="BB735" t="s">
        <v>111</v>
      </c>
      <c r="BC735" t="s">
        <v>111</v>
      </c>
      <c r="BD735" t="s">
        <v>111</v>
      </c>
      <c r="BE735" t="s">
        <v>111</v>
      </c>
      <c r="BF735" t="s">
        <v>111</v>
      </c>
      <c r="BG735" t="s">
        <v>111</v>
      </c>
      <c r="BH735" t="s">
        <v>111</v>
      </c>
      <c r="BI735" t="s">
        <v>111</v>
      </c>
      <c r="BJ735" t="s">
        <v>111</v>
      </c>
      <c r="BK735" t="s">
        <v>111</v>
      </c>
      <c r="BL735" t="s">
        <v>111</v>
      </c>
      <c r="BM735" t="s">
        <v>111</v>
      </c>
      <c r="BN735" t="s">
        <v>111</v>
      </c>
      <c r="BO735" t="s">
        <v>111</v>
      </c>
      <c r="BP735" t="s">
        <v>111</v>
      </c>
      <c r="BQ735" t="s">
        <v>111</v>
      </c>
      <c r="BR735" t="s">
        <v>111</v>
      </c>
      <c r="BS735" t="s">
        <v>111</v>
      </c>
      <c r="BT735" t="s">
        <v>111</v>
      </c>
      <c r="BU735" t="s">
        <v>111</v>
      </c>
      <c r="BV735" t="s">
        <v>111</v>
      </c>
      <c r="BW735" t="s">
        <v>111</v>
      </c>
      <c r="BX735" t="s">
        <v>111</v>
      </c>
      <c r="BY735" t="s">
        <v>111</v>
      </c>
      <c r="BZ735" t="s">
        <v>111</v>
      </c>
      <c r="CA735" t="s">
        <v>111</v>
      </c>
      <c r="CB735" t="s">
        <v>111</v>
      </c>
      <c r="CC735" t="s">
        <v>111</v>
      </c>
      <c r="CD735" t="s">
        <v>111</v>
      </c>
      <c r="CE735" t="s">
        <v>111</v>
      </c>
      <c r="CF735" t="s">
        <v>111</v>
      </c>
      <c r="CG735" t="s">
        <v>111</v>
      </c>
      <c r="CH735" t="s">
        <v>111</v>
      </c>
      <c r="CI735" t="s">
        <v>111</v>
      </c>
      <c r="CJ735" t="s">
        <v>111</v>
      </c>
      <c r="CK735" t="s">
        <v>111</v>
      </c>
      <c r="CL735" t="s">
        <v>111</v>
      </c>
      <c r="CM735" t="s">
        <v>111</v>
      </c>
      <c r="CN735" t="s">
        <v>111</v>
      </c>
      <c r="CO735" t="s">
        <v>111</v>
      </c>
      <c r="CP735" t="s">
        <v>111</v>
      </c>
      <c r="CQ735">
        <v>0</v>
      </c>
      <c r="CR735">
        <v>0</v>
      </c>
      <c r="CS735">
        <v>0</v>
      </c>
      <c r="CT735" t="s">
        <v>111</v>
      </c>
      <c r="CU735">
        <v>0</v>
      </c>
      <c r="CV735" t="s">
        <v>111</v>
      </c>
      <c r="CX735" t="s">
        <v>111</v>
      </c>
      <c r="CY735">
        <v>0</v>
      </c>
      <c r="CZ735" t="s">
        <v>111</v>
      </c>
      <c r="DA735" t="s">
        <v>111</v>
      </c>
      <c r="DB735" t="s">
        <v>111</v>
      </c>
      <c r="DC735" t="s">
        <v>111</v>
      </c>
    </row>
    <row r="736" spans="1:107">
      <c r="A736">
        <v>1643</v>
      </c>
      <c r="B736" t="s">
        <v>107</v>
      </c>
      <c r="C736" t="s">
        <v>1590</v>
      </c>
      <c r="D736" t="s">
        <v>2516</v>
      </c>
      <c r="E736" t="s">
        <v>2517</v>
      </c>
      <c r="F736" t="s">
        <v>192</v>
      </c>
      <c r="G736" t="s">
        <v>469</v>
      </c>
      <c r="H736">
        <v>1.9</v>
      </c>
      <c r="I736">
        <v>35.5</v>
      </c>
      <c r="J736">
        <v>0</v>
      </c>
      <c r="K736">
        <v>0</v>
      </c>
      <c r="L736" t="s">
        <v>112</v>
      </c>
      <c r="M736" t="s">
        <v>138</v>
      </c>
      <c r="N736">
        <v>0</v>
      </c>
      <c r="O736">
        <v>0</v>
      </c>
      <c r="P736" t="s">
        <v>111</v>
      </c>
      <c r="Q736">
        <v>41.3</v>
      </c>
      <c r="R736">
        <v>0</v>
      </c>
      <c r="S736">
        <v>0</v>
      </c>
      <c r="T736">
        <v>5</v>
      </c>
      <c r="U736" s="1" t="s">
        <v>132</v>
      </c>
      <c r="V736">
        <v>0</v>
      </c>
      <c r="W736">
        <v>25</v>
      </c>
      <c r="X736">
        <v>6</v>
      </c>
      <c r="Y736">
        <v>0</v>
      </c>
      <c r="Z736" t="s">
        <v>111</v>
      </c>
      <c r="AA736">
        <v>0</v>
      </c>
      <c r="AB736" t="s">
        <v>111</v>
      </c>
      <c r="AC736">
        <v>0</v>
      </c>
      <c r="AD736" t="s">
        <v>111</v>
      </c>
      <c r="AE736">
        <v>0</v>
      </c>
      <c r="AF736">
        <v>0</v>
      </c>
      <c r="AG736" t="s">
        <v>111</v>
      </c>
      <c r="AH736" t="s">
        <v>111</v>
      </c>
      <c r="AI736" t="s">
        <v>111</v>
      </c>
      <c r="AJ736" t="s">
        <v>111</v>
      </c>
      <c r="AK736" t="s">
        <v>111</v>
      </c>
      <c r="AL736" t="s">
        <v>111</v>
      </c>
      <c r="AM736">
        <v>0</v>
      </c>
      <c r="AN736">
        <v>0</v>
      </c>
      <c r="AO736">
        <v>0</v>
      </c>
      <c r="AP736" t="s">
        <v>111</v>
      </c>
      <c r="AQ736" t="s">
        <v>111</v>
      </c>
      <c r="AR736" t="s">
        <v>111</v>
      </c>
      <c r="AS736" t="s">
        <v>111</v>
      </c>
      <c r="AT736" t="s">
        <v>111</v>
      </c>
      <c r="AU736" t="s">
        <v>111</v>
      </c>
      <c r="AV736" t="s">
        <v>111</v>
      </c>
      <c r="AW736" t="s">
        <v>111</v>
      </c>
      <c r="AX736" t="s">
        <v>111</v>
      </c>
      <c r="AY736" t="s">
        <v>111</v>
      </c>
      <c r="AZ736" t="s">
        <v>111</v>
      </c>
      <c r="BA736" t="s">
        <v>111</v>
      </c>
      <c r="BB736" t="s">
        <v>111</v>
      </c>
      <c r="BC736" t="s">
        <v>111</v>
      </c>
      <c r="BD736" t="s">
        <v>111</v>
      </c>
      <c r="BE736" t="s">
        <v>111</v>
      </c>
      <c r="BF736" t="s">
        <v>111</v>
      </c>
      <c r="BG736" t="s">
        <v>111</v>
      </c>
      <c r="BH736" t="s">
        <v>111</v>
      </c>
      <c r="BI736" t="s">
        <v>111</v>
      </c>
      <c r="BJ736" t="s">
        <v>111</v>
      </c>
      <c r="BK736" t="s">
        <v>111</v>
      </c>
      <c r="BL736" t="s">
        <v>111</v>
      </c>
      <c r="BM736" t="s">
        <v>111</v>
      </c>
      <c r="BN736" t="s">
        <v>111</v>
      </c>
      <c r="BO736" t="s">
        <v>111</v>
      </c>
      <c r="BP736" t="s">
        <v>111</v>
      </c>
      <c r="BQ736" t="s">
        <v>111</v>
      </c>
      <c r="BR736" t="s">
        <v>111</v>
      </c>
      <c r="BS736" t="s">
        <v>111</v>
      </c>
      <c r="BT736" t="s">
        <v>111</v>
      </c>
      <c r="BU736" t="s">
        <v>111</v>
      </c>
      <c r="BV736" t="s">
        <v>111</v>
      </c>
      <c r="BW736" t="s">
        <v>111</v>
      </c>
      <c r="BX736" t="s">
        <v>111</v>
      </c>
      <c r="BY736" t="s">
        <v>111</v>
      </c>
      <c r="BZ736" t="s">
        <v>111</v>
      </c>
      <c r="CA736" t="s">
        <v>111</v>
      </c>
      <c r="CB736" t="s">
        <v>111</v>
      </c>
      <c r="CC736" t="s">
        <v>111</v>
      </c>
      <c r="CD736" t="s">
        <v>111</v>
      </c>
      <c r="CE736" t="s">
        <v>111</v>
      </c>
      <c r="CF736" t="s">
        <v>111</v>
      </c>
      <c r="CG736" t="s">
        <v>111</v>
      </c>
      <c r="CH736" t="s">
        <v>111</v>
      </c>
      <c r="CI736" t="s">
        <v>111</v>
      </c>
      <c r="CJ736" t="s">
        <v>111</v>
      </c>
      <c r="CK736" t="s">
        <v>111</v>
      </c>
      <c r="CL736" t="s">
        <v>111</v>
      </c>
      <c r="CM736" t="s">
        <v>135</v>
      </c>
      <c r="CN736" t="s">
        <v>128</v>
      </c>
      <c r="CO736" t="s">
        <v>111</v>
      </c>
      <c r="CP736" t="s">
        <v>111</v>
      </c>
      <c r="CQ736">
        <v>35</v>
      </c>
      <c r="CR736">
        <v>1500</v>
      </c>
      <c r="CS736">
        <v>100</v>
      </c>
      <c r="CT736" s="1" t="s">
        <v>2518</v>
      </c>
      <c r="CU736">
        <v>0</v>
      </c>
      <c r="CV736" t="s">
        <v>111</v>
      </c>
      <c r="CX736" t="s">
        <v>111</v>
      </c>
      <c r="CY736">
        <v>0</v>
      </c>
      <c r="CZ736" t="s">
        <v>111</v>
      </c>
      <c r="DA736" t="s">
        <v>111</v>
      </c>
      <c r="DB736" t="s">
        <v>111</v>
      </c>
      <c r="DC736" t="s">
        <v>111</v>
      </c>
    </row>
    <row r="737" spans="1:107">
      <c r="A737">
        <v>1581</v>
      </c>
      <c r="B737" t="s">
        <v>162</v>
      </c>
      <c r="C737" t="s">
        <v>2291</v>
      </c>
      <c r="D737" t="s">
        <v>2519</v>
      </c>
      <c r="E737" t="s">
        <v>2520</v>
      </c>
      <c r="F737" t="s">
        <v>370</v>
      </c>
      <c r="G737" t="s">
        <v>469</v>
      </c>
      <c r="H737">
        <v>2.2000000000000002</v>
      </c>
      <c r="I737">
        <v>40</v>
      </c>
      <c r="J737">
        <v>0</v>
      </c>
      <c r="K737">
        <v>0</v>
      </c>
      <c r="L737" t="s">
        <v>112</v>
      </c>
      <c r="M737" t="s">
        <v>118</v>
      </c>
      <c r="N737">
        <v>39</v>
      </c>
      <c r="O737">
        <v>2</v>
      </c>
      <c r="P737" t="s">
        <v>111</v>
      </c>
      <c r="Q737">
        <v>47.2</v>
      </c>
      <c r="R737">
        <v>0</v>
      </c>
      <c r="S737">
        <v>0</v>
      </c>
      <c r="T737">
        <v>5</v>
      </c>
      <c r="U737" s="1" t="s">
        <v>2521</v>
      </c>
      <c r="V737">
        <v>12.5</v>
      </c>
      <c r="W737">
        <v>0</v>
      </c>
      <c r="X737">
        <v>12.5</v>
      </c>
      <c r="Y737">
        <v>0</v>
      </c>
      <c r="Z737" t="s">
        <v>288</v>
      </c>
      <c r="AA737">
        <v>1.8</v>
      </c>
      <c r="AB737" t="s">
        <v>111</v>
      </c>
      <c r="AC737">
        <v>0</v>
      </c>
      <c r="AD737" t="s">
        <v>416</v>
      </c>
      <c r="AE737">
        <v>0</v>
      </c>
      <c r="AF737">
        <v>0</v>
      </c>
      <c r="AG737" t="s">
        <v>111</v>
      </c>
      <c r="AH737" t="s">
        <v>113</v>
      </c>
      <c r="AI737" t="s">
        <v>111</v>
      </c>
      <c r="AJ737" t="s">
        <v>111</v>
      </c>
      <c r="AK737" t="s">
        <v>111</v>
      </c>
      <c r="AL737" t="s">
        <v>111</v>
      </c>
      <c r="AM737">
        <v>0</v>
      </c>
      <c r="AN737">
        <v>0</v>
      </c>
      <c r="AO737">
        <v>0</v>
      </c>
      <c r="AP737" t="s">
        <v>111</v>
      </c>
      <c r="AQ737" t="s">
        <v>111</v>
      </c>
      <c r="AR737" t="s">
        <v>111</v>
      </c>
      <c r="AS737" t="s">
        <v>111</v>
      </c>
      <c r="AT737" t="s">
        <v>111</v>
      </c>
      <c r="AU737" t="s">
        <v>111</v>
      </c>
      <c r="AV737" t="s">
        <v>111</v>
      </c>
      <c r="AW737" t="s">
        <v>111</v>
      </c>
      <c r="AX737" t="s">
        <v>111</v>
      </c>
      <c r="AY737" t="s">
        <v>111</v>
      </c>
      <c r="AZ737" t="s">
        <v>111</v>
      </c>
      <c r="BA737" t="s">
        <v>111</v>
      </c>
      <c r="BB737" t="s">
        <v>111</v>
      </c>
      <c r="BC737" t="s">
        <v>111</v>
      </c>
      <c r="BD737" t="s">
        <v>111</v>
      </c>
      <c r="BE737" t="s">
        <v>111</v>
      </c>
      <c r="BF737" t="s">
        <v>111</v>
      </c>
      <c r="BG737" t="s">
        <v>111</v>
      </c>
      <c r="BH737" t="s">
        <v>111</v>
      </c>
      <c r="BI737" t="s">
        <v>111</v>
      </c>
      <c r="BJ737" t="s">
        <v>111</v>
      </c>
      <c r="BK737" t="s">
        <v>111</v>
      </c>
      <c r="BL737" t="s">
        <v>111</v>
      </c>
      <c r="BM737" t="s">
        <v>111</v>
      </c>
      <c r="BN737" t="s">
        <v>111</v>
      </c>
      <c r="BO737" t="s">
        <v>111</v>
      </c>
      <c r="BP737" t="s">
        <v>111</v>
      </c>
      <c r="BQ737" t="s">
        <v>111</v>
      </c>
      <c r="BR737" t="s">
        <v>111</v>
      </c>
      <c r="BS737" t="s">
        <v>111</v>
      </c>
      <c r="BT737" t="s">
        <v>111</v>
      </c>
      <c r="BU737" t="s">
        <v>111</v>
      </c>
      <c r="BV737" t="s">
        <v>111</v>
      </c>
      <c r="BW737" t="s">
        <v>111</v>
      </c>
      <c r="BX737" t="s">
        <v>111</v>
      </c>
      <c r="BY737" t="s">
        <v>111</v>
      </c>
      <c r="BZ737" t="s">
        <v>111</v>
      </c>
      <c r="CA737" t="s">
        <v>111</v>
      </c>
      <c r="CB737" t="s">
        <v>111</v>
      </c>
      <c r="CC737" t="s">
        <v>111</v>
      </c>
      <c r="CD737" t="s">
        <v>111</v>
      </c>
      <c r="CE737" t="s">
        <v>111</v>
      </c>
      <c r="CF737" t="s">
        <v>111</v>
      </c>
      <c r="CG737" t="s">
        <v>111</v>
      </c>
      <c r="CH737" t="s">
        <v>111</v>
      </c>
      <c r="CI737" t="s">
        <v>111</v>
      </c>
      <c r="CJ737" t="s">
        <v>111</v>
      </c>
      <c r="CK737" t="s">
        <v>111</v>
      </c>
      <c r="CL737" t="s">
        <v>111</v>
      </c>
      <c r="CM737" t="s">
        <v>360</v>
      </c>
      <c r="CN737" t="s">
        <v>113</v>
      </c>
      <c r="CO737" t="s">
        <v>111</v>
      </c>
      <c r="CP737" t="s">
        <v>111</v>
      </c>
      <c r="CQ737">
        <v>0</v>
      </c>
      <c r="CR737">
        <v>1500</v>
      </c>
      <c r="CS737">
        <v>50</v>
      </c>
      <c r="CT737" t="e">
        <f>-NO REQUIERE EMPCAR EN BOLSAS</f>
        <v>#NAME?</v>
      </c>
      <c r="CU737">
        <v>0</v>
      </c>
      <c r="CV737" t="s">
        <v>111</v>
      </c>
      <c r="CW737" t="s">
        <v>111</v>
      </c>
      <c r="CX737" t="s">
        <v>111</v>
      </c>
      <c r="CY737">
        <v>0</v>
      </c>
      <c r="CZ737" t="s">
        <v>111</v>
      </c>
      <c r="DA737" t="s">
        <v>111</v>
      </c>
      <c r="DB737" t="e">
        <f>-EXTERNO</f>
        <v>#NAME?</v>
      </c>
      <c r="DC737" t="e">
        <f>-PAGAR TIRA NEGRA</f>
        <v>#NAME?</v>
      </c>
    </row>
    <row r="738" spans="1:107">
      <c r="A738">
        <v>1576</v>
      </c>
      <c r="B738" t="s">
        <v>107</v>
      </c>
      <c r="C738" t="s">
        <v>801</v>
      </c>
      <c r="D738" t="s">
        <v>2522</v>
      </c>
      <c r="E738" t="s">
        <v>2523</v>
      </c>
      <c r="F738" t="s">
        <v>192</v>
      </c>
      <c r="G738" t="s">
        <v>469</v>
      </c>
      <c r="H738">
        <v>0.9</v>
      </c>
      <c r="I738">
        <v>70</v>
      </c>
      <c r="J738">
        <v>0</v>
      </c>
      <c r="K738">
        <v>0</v>
      </c>
      <c r="L738" t="s">
        <v>112</v>
      </c>
      <c r="M738" t="s">
        <v>111</v>
      </c>
      <c r="N738">
        <v>0</v>
      </c>
      <c r="O738">
        <v>0</v>
      </c>
      <c r="P738" t="s">
        <v>111</v>
      </c>
      <c r="Q738">
        <v>49</v>
      </c>
      <c r="R738">
        <v>0</v>
      </c>
      <c r="S738">
        <v>0</v>
      </c>
      <c r="T738">
        <v>5</v>
      </c>
      <c r="U738" t="e">
        <f>-SELLADO</f>
        <v>#NAME?</v>
      </c>
      <c r="V738">
        <v>0</v>
      </c>
      <c r="W738">
        <v>250</v>
      </c>
      <c r="X738">
        <v>5</v>
      </c>
      <c r="Y738">
        <v>0</v>
      </c>
      <c r="Z738" t="s">
        <v>111</v>
      </c>
      <c r="AA738">
        <v>0</v>
      </c>
      <c r="AB738" t="s">
        <v>111</v>
      </c>
      <c r="AC738">
        <v>0</v>
      </c>
      <c r="AD738" t="s">
        <v>111</v>
      </c>
      <c r="AE738">
        <v>0</v>
      </c>
      <c r="AF738">
        <v>0</v>
      </c>
      <c r="AG738" t="s">
        <v>111</v>
      </c>
      <c r="AH738" t="s">
        <v>111</v>
      </c>
      <c r="AI738" t="s">
        <v>111</v>
      </c>
      <c r="AJ738" t="s">
        <v>111</v>
      </c>
      <c r="AK738" t="s">
        <v>111</v>
      </c>
      <c r="AL738" t="s">
        <v>111</v>
      </c>
      <c r="AM738">
        <v>0</v>
      </c>
      <c r="AN738">
        <v>0</v>
      </c>
      <c r="AO738">
        <v>0</v>
      </c>
      <c r="AP738" t="s">
        <v>111</v>
      </c>
      <c r="AQ738" t="s">
        <v>111</v>
      </c>
      <c r="AR738" t="s">
        <v>111</v>
      </c>
      <c r="AS738" t="s">
        <v>111</v>
      </c>
      <c r="AT738" t="s">
        <v>111</v>
      </c>
      <c r="AU738" t="s">
        <v>111</v>
      </c>
      <c r="AV738" t="s">
        <v>111</v>
      </c>
      <c r="AW738" t="s">
        <v>111</v>
      </c>
      <c r="AX738" t="s">
        <v>111</v>
      </c>
      <c r="AY738" t="s">
        <v>111</v>
      </c>
      <c r="AZ738" t="s">
        <v>111</v>
      </c>
      <c r="BA738" t="s">
        <v>111</v>
      </c>
      <c r="BB738" t="s">
        <v>111</v>
      </c>
      <c r="BC738" t="s">
        <v>111</v>
      </c>
      <c r="BD738" t="s">
        <v>111</v>
      </c>
      <c r="BE738" t="s">
        <v>111</v>
      </c>
      <c r="BF738" t="s">
        <v>111</v>
      </c>
      <c r="BG738" t="s">
        <v>111</v>
      </c>
      <c r="BH738" t="s">
        <v>111</v>
      </c>
      <c r="BI738" t="s">
        <v>111</v>
      </c>
      <c r="BJ738" t="s">
        <v>111</v>
      </c>
      <c r="BK738" t="s">
        <v>111</v>
      </c>
      <c r="BL738" t="s">
        <v>111</v>
      </c>
      <c r="BM738" t="s">
        <v>111</v>
      </c>
      <c r="BN738" t="s">
        <v>111</v>
      </c>
      <c r="BO738" t="s">
        <v>111</v>
      </c>
      <c r="BP738" t="s">
        <v>111</v>
      </c>
      <c r="BQ738" t="s">
        <v>111</v>
      </c>
      <c r="BR738" t="s">
        <v>111</v>
      </c>
      <c r="BS738" t="s">
        <v>111</v>
      </c>
      <c r="BT738" t="s">
        <v>111</v>
      </c>
      <c r="BU738" t="s">
        <v>111</v>
      </c>
      <c r="BV738" t="s">
        <v>111</v>
      </c>
      <c r="BW738" t="s">
        <v>111</v>
      </c>
      <c r="BX738" t="s">
        <v>111</v>
      </c>
      <c r="BY738" t="s">
        <v>111</v>
      </c>
      <c r="BZ738" t="s">
        <v>111</v>
      </c>
      <c r="CA738" t="s">
        <v>111</v>
      </c>
      <c r="CB738" t="s">
        <v>111</v>
      </c>
      <c r="CC738" t="s">
        <v>111</v>
      </c>
      <c r="CD738" t="s">
        <v>111</v>
      </c>
      <c r="CE738" t="s">
        <v>111</v>
      </c>
      <c r="CF738" t="s">
        <v>111</v>
      </c>
      <c r="CG738" t="s">
        <v>111</v>
      </c>
      <c r="CH738" t="s">
        <v>111</v>
      </c>
      <c r="CI738" t="s">
        <v>111</v>
      </c>
      <c r="CJ738" t="s">
        <v>111</v>
      </c>
      <c r="CK738" t="s">
        <v>111</v>
      </c>
      <c r="CL738" t="s">
        <v>111</v>
      </c>
      <c r="CM738" t="s">
        <v>135</v>
      </c>
      <c r="CN738" t="s">
        <v>113</v>
      </c>
      <c r="CO738" t="s">
        <v>111</v>
      </c>
      <c r="CP738" t="s">
        <v>111</v>
      </c>
      <c r="CQ738">
        <v>0</v>
      </c>
      <c r="CR738">
        <v>7500</v>
      </c>
      <c r="CS738">
        <v>250</v>
      </c>
      <c r="CT738" t="e">
        <f>-ALMACEN</f>
        <v>#NAME?</v>
      </c>
      <c r="CU738">
        <v>0</v>
      </c>
      <c r="CV738" t="s">
        <v>111</v>
      </c>
      <c r="CW738" t="s">
        <v>111</v>
      </c>
      <c r="CX738" t="s">
        <v>111</v>
      </c>
      <c r="CY738">
        <v>0</v>
      </c>
      <c r="CZ738" t="s">
        <v>111</v>
      </c>
      <c r="DA738" t="s">
        <v>111</v>
      </c>
      <c r="DB738" t="s">
        <v>111</v>
      </c>
      <c r="DC738" t="s">
        <v>111</v>
      </c>
    </row>
    <row r="739" spans="1:107">
      <c r="A739">
        <v>1571</v>
      </c>
      <c r="B739" t="s">
        <v>107</v>
      </c>
      <c r="C739" t="s">
        <v>773</v>
      </c>
      <c r="D739" t="s">
        <v>1101</v>
      </c>
      <c r="E739" t="s">
        <v>2524</v>
      </c>
      <c r="F739" t="s">
        <v>431</v>
      </c>
      <c r="G739" t="s">
        <v>469</v>
      </c>
      <c r="H739">
        <v>1.5</v>
      </c>
      <c r="I739">
        <v>70</v>
      </c>
      <c r="J739">
        <v>0</v>
      </c>
      <c r="K739">
        <v>0</v>
      </c>
      <c r="L739" t="s">
        <v>112</v>
      </c>
      <c r="M739" t="s">
        <v>118</v>
      </c>
      <c r="N739">
        <v>39</v>
      </c>
      <c r="O739">
        <v>1</v>
      </c>
      <c r="P739" t="s">
        <v>111</v>
      </c>
      <c r="Q739">
        <v>42.9</v>
      </c>
      <c r="R739">
        <v>0</v>
      </c>
      <c r="S739">
        <v>0</v>
      </c>
      <c r="T739">
        <v>5</v>
      </c>
      <c r="U739" t="e">
        <f>-IMPRESION DARMA</f>
        <v>#NAME?</v>
      </c>
      <c r="V739">
        <v>0</v>
      </c>
      <c r="W739">
        <v>25</v>
      </c>
      <c r="X739">
        <v>6</v>
      </c>
      <c r="Y739">
        <v>0</v>
      </c>
      <c r="Z739" t="s">
        <v>111</v>
      </c>
      <c r="AA739">
        <v>0</v>
      </c>
      <c r="AB739" t="s">
        <v>111</v>
      </c>
      <c r="AC739">
        <v>0</v>
      </c>
      <c r="AD739" t="s">
        <v>416</v>
      </c>
      <c r="AE739">
        <v>0</v>
      </c>
      <c r="AF739">
        <v>0</v>
      </c>
      <c r="AG739" t="s">
        <v>111</v>
      </c>
      <c r="AH739" t="s">
        <v>113</v>
      </c>
      <c r="AI739" t="s">
        <v>111</v>
      </c>
      <c r="AJ739" t="s">
        <v>111</v>
      </c>
      <c r="AK739" t="s">
        <v>111</v>
      </c>
      <c r="AL739" t="s">
        <v>111</v>
      </c>
      <c r="AM739">
        <v>0</v>
      </c>
      <c r="AN739">
        <v>0</v>
      </c>
      <c r="AO739">
        <v>0</v>
      </c>
      <c r="AP739" t="s">
        <v>111</v>
      </c>
      <c r="AQ739" t="s">
        <v>111</v>
      </c>
      <c r="AR739" t="s">
        <v>111</v>
      </c>
      <c r="AS739" t="s">
        <v>111</v>
      </c>
      <c r="AT739" t="s">
        <v>111</v>
      </c>
      <c r="AU739" t="s">
        <v>111</v>
      </c>
      <c r="AV739" t="s">
        <v>111</v>
      </c>
      <c r="AW739" t="s">
        <v>111</v>
      </c>
      <c r="AX739" t="s">
        <v>111</v>
      </c>
      <c r="AY739" t="s">
        <v>111</v>
      </c>
      <c r="AZ739" t="s">
        <v>111</v>
      </c>
      <c r="BA739" t="s">
        <v>111</v>
      </c>
      <c r="BB739" t="s">
        <v>111</v>
      </c>
      <c r="BC739" t="s">
        <v>111</v>
      </c>
      <c r="BD739" t="s">
        <v>111</v>
      </c>
      <c r="BE739" t="s">
        <v>111</v>
      </c>
      <c r="BF739" t="s">
        <v>111</v>
      </c>
      <c r="BG739" t="s">
        <v>111</v>
      </c>
      <c r="BH739" t="s">
        <v>111</v>
      </c>
      <c r="BI739" t="s">
        <v>111</v>
      </c>
      <c r="BJ739" t="s">
        <v>111</v>
      </c>
      <c r="BK739" t="s">
        <v>111</v>
      </c>
      <c r="BL739" t="s">
        <v>111</v>
      </c>
      <c r="BM739" t="s">
        <v>111</v>
      </c>
      <c r="BN739" t="s">
        <v>111</v>
      </c>
      <c r="BO739" t="s">
        <v>111</v>
      </c>
      <c r="BP739" t="s">
        <v>111</v>
      </c>
      <c r="BQ739" t="s">
        <v>111</v>
      </c>
      <c r="BR739" t="s">
        <v>111</v>
      </c>
      <c r="BS739" t="s">
        <v>111</v>
      </c>
      <c r="BT739" t="s">
        <v>111</v>
      </c>
      <c r="BU739" t="s">
        <v>111</v>
      </c>
      <c r="BV739" t="s">
        <v>111</v>
      </c>
      <c r="BW739" t="s">
        <v>111</v>
      </c>
      <c r="BX739" t="s">
        <v>111</v>
      </c>
      <c r="BY739" t="s">
        <v>111</v>
      </c>
      <c r="BZ739" t="s">
        <v>111</v>
      </c>
      <c r="CA739" t="s">
        <v>111</v>
      </c>
      <c r="CB739" t="s">
        <v>111</v>
      </c>
      <c r="CC739" t="s">
        <v>111</v>
      </c>
      <c r="CD739" t="s">
        <v>111</v>
      </c>
      <c r="CE739" t="s">
        <v>111</v>
      </c>
      <c r="CF739" t="s">
        <v>111</v>
      </c>
      <c r="CG739" t="s">
        <v>111</v>
      </c>
      <c r="CH739" t="s">
        <v>111</v>
      </c>
      <c r="CI739" t="s">
        <v>111</v>
      </c>
      <c r="CJ739" t="s">
        <v>111</v>
      </c>
      <c r="CK739" t="s">
        <v>111</v>
      </c>
      <c r="CL739" t="s">
        <v>111</v>
      </c>
      <c r="CM739" t="s">
        <v>135</v>
      </c>
      <c r="CN739" t="s">
        <v>113</v>
      </c>
      <c r="CO739" t="s">
        <v>111</v>
      </c>
      <c r="CP739" t="e">
        <f>-MUESTRA</f>
        <v>#NAME?</v>
      </c>
      <c r="CQ739">
        <v>0</v>
      </c>
      <c r="CR739">
        <v>0</v>
      </c>
      <c r="CS739">
        <v>50</v>
      </c>
      <c r="CT739" t="e">
        <f>-ALAMCEN</f>
        <v>#NAME?</v>
      </c>
      <c r="CU739">
        <v>0</v>
      </c>
      <c r="CV739" t="s">
        <v>111</v>
      </c>
      <c r="CW739" t="s">
        <v>111</v>
      </c>
      <c r="CX739" t="s">
        <v>111</v>
      </c>
      <c r="CY739">
        <v>0</v>
      </c>
      <c r="CZ739" t="s">
        <v>111</v>
      </c>
      <c r="DA739" t="s">
        <v>111</v>
      </c>
      <c r="DB739" t="s">
        <v>111</v>
      </c>
      <c r="DC739" t="s">
        <v>111</v>
      </c>
    </row>
    <row r="740" spans="1:107">
      <c r="A740">
        <v>2061</v>
      </c>
      <c r="B740" t="s">
        <v>376</v>
      </c>
      <c r="C740" t="s">
        <v>119</v>
      </c>
      <c r="D740" t="s">
        <v>2525</v>
      </c>
      <c r="E740" t="s">
        <v>2526</v>
      </c>
      <c r="F740" t="s">
        <v>116</v>
      </c>
      <c r="G740" t="s">
        <v>469</v>
      </c>
      <c r="H740">
        <v>2.5</v>
      </c>
      <c r="I740">
        <v>67</v>
      </c>
      <c r="J740">
        <v>0</v>
      </c>
      <c r="K740">
        <v>0</v>
      </c>
      <c r="L740" t="s">
        <v>117</v>
      </c>
      <c r="M740" t="s">
        <v>118</v>
      </c>
      <c r="N740">
        <v>42</v>
      </c>
      <c r="O740">
        <v>1</v>
      </c>
      <c r="P740" t="s">
        <v>111</v>
      </c>
      <c r="Q740">
        <v>29</v>
      </c>
      <c r="R740">
        <v>0</v>
      </c>
      <c r="S740">
        <v>0</v>
      </c>
      <c r="T740">
        <v>5</v>
      </c>
      <c r="U740" s="1" t="s">
        <v>2527</v>
      </c>
      <c r="V740">
        <v>0</v>
      </c>
      <c r="W740">
        <v>25</v>
      </c>
      <c r="X740">
        <v>8</v>
      </c>
      <c r="Y740">
        <v>0</v>
      </c>
      <c r="Z740" t="s">
        <v>111</v>
      </c>
      <c r="AA740">
        <v>0</v>
      </c>
      <c r="AB740" t="s">
        <v>111</v>
      </c>
      <c r="AC740">
        <v>0</v>
      </c>
      <c r="AD740" t="s">
        <v>111</v>
      </c>
      <c r="AE740">
        <v>0</v>
      </c>
      <c r="AF740">
        <v>0</v>
      </c>
      <c r="AG740" t="s">
        <v>111</v>
      </c>
      <c r="AH740" t="s">
        <v>111</v>
      </c>
      <c r="AI740" t="s">
        <v>111</v>
      </c>
      <c r="AJ740" t="s">
        <v>111</v>
      </c>
      <c r="AK740" t="s">
        <v>111</v>
      </c>
      <c r="AL740" t="s">
        <v>111</v>
      </c>
      <c r="AM740">
        <v>0</v>
      </c>
      <c r="AN740">
        <v>0</v>
      </c>
      <c r="AO740">
        <v>0</v>
      </c>
      <c r="AP740" t="s">
        <v>111</v>
      </c>
      <c r="AQ740" t="s">
        <v>111</v>
      </c>
      <c r="AR740" t="s">
        <v>111</v>
      </c>
      <c r="AS740" t="s">
        <v>111</v>
      </c>
      <c r="AT740" t="s">
        <v>111</v>
      </c>
      <c r="AU740" t="s">
        <v>111</v>
      </c>
      <c r="AV740" t="s">
        <v>111</v>
      </c>
      <c r="AW740" t="s">
        <v>111</v>
      </c>
      <c r="AX740" t="s">
        <v>111</v>
      </c>
      <c r="AY740" t="s">
        <v>111</v>
      </c>
      <c r="AZ740" t="s">
        <v>111</v>
      </c>
      <c r="BA740" t="s">
        <v>111</v>
      </c>
      <c r="BB740" t="s">
        <v>111</v>
      </c>
      <c r="BC740" t="s">
        <v>111</v>
      </c>
      <c r="BD740" t="s">
        <v>111</v>
      </c>
      <c r="BE740" t="s">
        <v>111</v>
      </c>
      <c r="BF740" t="s">
        <v>111</v>
      </c>
      <c r="BG740" t="s">
        <v>111</v>
      </c>
      <c r="BH740" t="s">
        <v>111</v>
      </c>
      <c r="BI740" t="s">
        <v>111</v>
      </c>
      <c r="BJ740" t="s">
        <v>111</v>
      </c>
      <c r="BK740" t="s">
        <v>111</v>
      </c>
      <c r="BL740" t="s">
        <v>111</v>
      </c>
      <c r="BM740" t="s">
        <v>111</v>
      </c>
      <c r="BN740" t="s">
        <v>111</v>
      </c>
      <c r="BO740" t="s">
        <v>111</v>
      </c>
      <c r="BP740" t="s">
        <v>111</v>
      </c>
      <c r="BQ740" t="s">
        <v>111</v>
      </c>
      <c r="BR740" t="s">
        <v>111</v>
      </c>
      <c r="BS740" t="s">
        <v>111</v>
      </c>
      <c r="BT740" t="s">
        <v>111</v>
      </c>
      <c r="BU740" t="s">
        <v>111</v>
      </c>
      <c r="BV740" t="s">
        <v>111</v>
      </c>
      <c r="BW740" t="s">
        <v>111</v>
      </c>
      <c r="BX740" t="s">
        <v>111</v>
      </c>
      <c r="BY740" t="s">
        <v>111</v>
      </c>
      <c r="BZ740" t="s">
        <v>111</v>
      </c>
      <c r="CA740" t="s">
        <v>111</v>
      </c>
      <c r="CB740" t="s">
        <v>111</v>
      </c>
      <c r="CC740" t="s">
        <v>111</v>
      </c>
      <c r="CD740" t="s">
        <v>111</v>
      </c>
      <c r="CE740" t="s">
        <v>111</v>
      </c>
      <c r="CF740" t="s">
        <v>111</v>
      </c>
      <c r="CG740" t="s">
        <v>111</v>
      </c>
      <c r="CH740" t="s">
        <v>111</v>
      </c>
      <c r="CI740" t="s">
        <v>111</v>
      </c>
      <c r="CJ740" t="s">
        <v>111</v>
      </c>
      <c r="CK740" t="s">
        <v>111</v>
      </c>
      <c r="CL740" t="s">
        <v>111</v>
      </c>
      <c r="CM740" t="s">
        <v>111</v>
      </c>
      <c r="CN740" t="s">
        <v>111</v>
      </c>
      <c r="CO740" t="s">
        <v>111</v>
      </c>
      <c r="CP740" t="s">
        <v>111</v>
      </c>
      <c r="CQ740">
        <v>0</v>
      </c>
      <c r="CR740">
        <v>0</v>
      </c>
      <c r="CS740">
        <v>0</v>
      </c>
      <c r="CT740" t="s">
        <v>111</v>
      </c>
      <c r="CU740">
        <v>0</v>
      </c>
      <c r="CV740" t="s">
        <v>111</v>
      </c>
      <c r="CX740" t="s">
        <v>111</v>
      </c>
      <c r="CY740">
        <v>0</v>
      </c>
      <c r="CZ740" t="s">
        <v>111</v>
      </c>
      <c r="DA740" t="s">
        <v>111</v>
      </c>
      <c r="DB740" t="s">
        <v>111</v>
      </c>
      <c r="DC740" t="s">
        <v>111</v>
      </c>
    </row>
    <row r="741" spans="1:107">
      <c r="A741">
        <v>1682</v>
      </c>
      <c r="B741" t="s">
        <v>107</v>
      </c>
      <c r="C741" t="s">
        <v>412</v>
      </c>
      <c r="D741" t="s">
        <v>2528</v>
      </c>
      <c r="E741" t="s">
        <v>2529</v>
      </c>
      <c r="F741" t="s">
        <v>415</v>
      </c>
      <c r="G741" t="s">
        <v>469</v>
      </c>
      <c r="H741">
        <v>1.2</v>
      </c>
      <c r="I741">
        <v>44</v>
      </c>
      <c r="J741">
        <v>0</v>
      </c>
      <c r="K741">
        <v>0</v>
      </c>
      <c r="L741" t="s">
        <v>117</v>
      </c>
      <c r="M741" t="s">
        <v>118</v>
      </c>
      <c r="N741">
        <v>39</v>
      </c>
      <c r="O741">
        <v>1</v>
      </c>
      <c r="P741" t="s">
        <v>111</v>
      </c>
      <c r="Q741">
        <v>37.5</v>
      </c>
      <c r="R741">
        <v>0</v>
      </c>
      <c r="S741">
        <v>0</v>
      </c>
      <c r="T741">
        <v>5</v>
      </c>
      <c r="U741" s="1" t="s">
        <v>662</v>
      </c>
      <c r="V741">
        <v>0</v>
      </c>
      <c r="W741">
        <v>25</v>
      </c>
      <c r="X741">
        <v>5</v>
      </c>
      <c r="Y741">
        <v>0</v>
      </c>
      <c r="Z741" t="s">
        <v>288</v>
      </c>
      <c r="AA741">
        <v>1.5</v>
      </c>
      <c r="AB741" t="s">
        <v>111</v>
      </c>
      <c r="AC741">
        <v>0</v>
      </c>
      <c r="AD741" t="s">
        <v>416</v>
      </c>
      <c r="AE741">
        <v>0</v>
      </c>
      <c r="AF741">
        <v>0</v>
      </c>
      <c r="AG741" t="s">
        <v>111</v>
      </c>
      <c r="AH741" t="s">
        <v>113</v>
      </c>
      <c r="AI741" t="s">
        <v>111</v>
      </c>
      <c r="AJ741" t="s">
        <v>111</v>
      </c>
      <c r="AK741" t="s">
        <v>111</v>
      </c>
      <c r="AL741" t="s">
        <v>111</v>
      </c>
      <c r="AM741">
        <v>0</v>
      </c>
      <c r="AN741">
        <v>0</v>
      </c>
      <c r="AO741">
        <v>0</v>
      </c>
      <c r="AP741" t="s">
        <v>111</v>
      </c>
      <c r="AQ741" t="s">
        <v>111</v>
      </c>
      <c r="AR741" t="s">
        <v>111</v>
      </c>
      <c r="AS741" t="s">
        <v>111</v>
      </c>
      <c r="AT741" t="s">
        <v>111</v>
      </c>
      <c r="AU741" t="s">
        <v>111</v>
      </c>
      <c r="AV741" t="s">
        <v>111</v>
      </c>
      <c r="AW741" t="s">
        <v>111</v>
      </c>
      <c r="AX741" t="s">
        <v>111</v>
      </c>
      <c r="AY741" t="s">
        <v>111</v>
      </c>
      <c r="AZ741" t="s">
        <v>111</v>
      </c>
      <c r="BA741" t="s">
        <v>111</v>
      </c>
      <c r="BB741" t="s">
        <v>111</v>
      </c>
      <c r="BC741" t="s">
        <v>111</v>
      </c>
      <c r="BD741" t="s">
        <v>111</v>
      </c>
      <c r="BE741" t="s">
        <v>111</v>
      </c>
      <c r="BF741" t="s">
        <v>111</v>
      </c>
      <c r="BG741" t="s">
        <v>111</v>
      </c>
      <c r="BH741" t="s">
        <v>111</v>
      </c>
      <c r="BI741" t="s">
        <v>111</v>
      </c>
      <c r="BJ741" t="s">
        <v>111</v>
      </c>
      <c r="BK741" t="s">
        <v>111</v>
      </c>
      <c r="BL741" t="s">
        <v>111</v>
      </c>
      <c r="BM741" t="s">
        <v>111</v>
      </c>
      <c r="BN741" t="s">
        <v>111</v>
      </c>
      <c r="BO741" t="s">
        <v>111</v>
      </c>
      <c r="BP741" t="s">
        <v>111</v>
      </c>
      <c r="BQ741" t="s">
        <v>111</v>
      </c>
      <c r="BR741" t="s">
        <v>111</v>
      </c>
      <c r="BS741" t="s">
        <v>111</v>
      </c>
      <c r="BT741" t="s">
        <v>111</v>
      </c>
      <c r="BU741" t="s">
        <v>111</v>
      </c>
      <c r="BV741" t="s">
        <v>111</v>
      </c>
      <c r="BW741" t="s">
        <v>111</v>
      </c>
      <c r="BX741" t="s">
        <v>111</v>
      </c>
      <c r="BY741" t="s">
        <v>111</v>
      </c>
      <c r="BZ741" t="s">
        <v>111</v>
      </c>
      <c r="CA741" t="s">
        <v>111</v>
      </c>
      <c r="CB741" t="s">
        <v>111</v>
      </c>
      <c r="CC741" t="s">
        <v>111</v>
      </c>
      <c r="CD741" t="s">
        <v>111</v>
      </c>
      <c r="CE741" t="s">
        <v>111</v>
      </c>
      <c r="CF741" t="s">
        <v>111</v>
      </c>
      <c r="CG741" t="s">
        <v>111</v>
      </c>
      <c r="CH741" t="s">
        <v>111</v>
      </c>
      <c r="CI741" t="s">
        <v>111</v>
      </c>
      <c r="CJ741" t="s">
        <v>111</v>
      </c>
      <c r="CK741" t="s">
        <v>111</v>
      </c>
      <c r="CL741" t="s">
        <v>111</v>
      </c>
      <c r="CM741" t="s">
        <v>135</v>
      </c>
      <c r="CN741" t="s">
        <v>113</v>
      </c>
      <c r="CO741" t="s">
        <v>111</v>
      </c>
      <c r="CP741" t="s">
        <v>111</v>
      </c>
      <c r="CQ741">
        <v>0</v>
      </c>
      <c r="CR741">
        <v>10000</v>
      </c>
      <c r="CS741">
        <v>500</v>
      </c>
      <c r="CT741" t="e">
        <f>-ALMACEN</f>
        <v>#NAME?</v>
      </c>
      <c r="CU741">
        <v>0</v>
      </c>
      <c r="CV741" t="s">
        <v>111</v>
      </c>
      <c r="CX741" t="s">
        <v>111</v>
      </c>
      <c r="CY741">
        <v>0</v>
      </c>
      <c r="CZ741" t="s">
        <v>111</v>
      </c>
      <c r="DA741" t="s">
        <v>111</v>
      </c>
      <c r="DB741" t="s">
        <v>111</v>
      </c>
      <c r="DC741" t="s">
        <v>111</v>
      </c>
    </row>
    <row r="742" spans="1:107">
      <c r="A742">
        <v>1590</v>
      </c>
      <c r="B742" t="s">
        <v>107</v>
      </c>
      <c r="C742" t="s">
        <v>405</v>
      </c>
      <c r="D742" t="s">
        <v>2104</v>
      </c>
      <c r="E742" t="s">
        <v>2530</v>
      </c>
      <c r="F742" t="s">
        <v>157</v>
      </c>
      <c r="G742" t="s">
        <v>469</v>
      </c>
      <c r="H742">
        <v>0.85</v>
      </c>
      <c r="I742">
        <v>70</v>
      </c>
      <c r="J742">
        <v>0</v>
      </c>
      <c r="K742">
        <v>0</v>
      </c>
      <c r="L742" t="s">
        <v>112</v>
      </c>
      <c r="M742" t="s">
        <v>111</v>
      </c>
      <c r="N742">
        <v>0</v>
      </c>
      <c r="O742">
        <v>0</v>
      </c>
      <c r="P742" t="s">
        <v>111</v>
      </c>
      <c r="Q742">
        <v>34.299999999999997</v>
      </c>
      <c r="R742">
        <v>0</v>
      </c>
      <c r="S742">
        <v>0</v>
      </c>
      <c r="T742">
        <v>0</v>
      </c>
      <c r="U742" s="1" t="s">
        <v>2531</v>
      </c>
      <c r="V742">
        <v>0</v>
      </c>
      <c r="W742">
        <v>25</v>
      </c>
      <c r="X742">
        <v>5</v>
      </c>
      <c r="Y742">
        <v>0</v>
      </c>
      <c r="Z742" t="s">
        <v>111</v>
      </c>
      <c r="AA742">
        <v>0</v>
      </c>
      <c r="AB742" t="s">
        <v>111</v>
      </c>
      <c r="AC742">
        <v>0</v>
      </c>
      <c r="AD742" t="s">
        <v>111</v>
      </c>
      <c r="AE742">
        <v>0</v>
      </c>
      <c r="AF742">
        <v>0</v>
      </c>
      <c r="AG742" t="s">
        <v>111</v>
      </c>
      <c r="AH742" t="s">
        <v>111</v>
      </c>
      <c r="AI742" t="s">
        <v>111</v>
      </c>
      <c r="AJ742" t="s">
        <v>111</v>
      </c>
      <c r="AK742" t="s">
        <v>111</v>
      </c>
      <c r="AL742" t="s">
        <v>111</v>
      </c>
      <c r="AM742">
        <v>0</v>
      </c>
      <c r="AN742">
        <v>0</v>
      </c>
      <c r="AO742">
        <v>0</v>
      </c>
      <c r="AP742" t="s">
        <v>111</v>
      </c>
      <c r="AQ742" t="s">
        <v>111</v>
      </c>
      <c r="AR742" t="s">
        <v>111</v>
      </c>
      <c r="AS742" t="s">
        <v>111</v>
      </c>
      <c r="AT742" t="s">
        <v>111</v>
      </c>
      <c r="AU742" t="s">
        <v>111</v>
      </c>
      <c r="AV742" t="s">
        <v>111</v>
      </c>
      <c r="AW742" t="s">
        <v>111</v>
      </c>
      <c r="AX742" t="s">
        <v>111</v>
      </c>
      <c r="AY742" t="s">
        <v>111</v>
      </c>
      <c r="AZ742" t="s">
        <v>111</v>
      </c>
      <c r="BA742" t="s">
        <v>111</v>
      </c>
      <c r="BB742" t="s">
        <v>111</v>
      </c>
      <c r="BC742" t="s">
        <v>111</v>
      </c>
      <c r="BD742" t="s">
        <v>111</v>
      </c>
      <c r="BE742" t="s">
        <v>111</v>
      </c>
      <c r="BF742" t="s">
        <v>111</v>
      </c>
      <c r="BG742" t="s">
        <v>111</v>
      </c>
      <c r="BH742" t="s">
        <v>111</v>
      </c>
      <c r="BI742" t="s">
        <v>111</v>
      </c>
      <c r="BJ742" t="s">
        <v>111</v>
      </c>
      <c r="BK742" t="s">
        <v>111</v>
      </c>
      <c r="BL742" t="s">
        <v>111</v>
      </c>
      <c r="BM742" t="s">
        <v>111</v>
      </c>
      <c r="BN742" t="s">
        <v>111</v>
      </c>
      <c r="BO742" t="s">
        <v>111</v>
      </c>
      <c r="BP742" t="s">
        <v>111</v>
      </c>
      <c r="BQ742" t="s">
        <v>111</v>
      </c>
      <c r="BR742" t="s">
        <v>111</v>
      </c>
      <c r="BS742" t="s">
        <v>111</v>
      </c>
      <c r="BT742" t="s">
        <v>111</v>
      </c>
      <c r="BU742" t="s">
        <v>111</v>
      </c>
      <c r="BV742" t="s">
        <v>111</v>
      </c>
      <c r="BW742" t="s">
        <v>111</v>
      </c>
      <c r="BX742" t="s">
        <v>111</v>
      </c>
      <c r="BY742" t="s">
        <v>111</v>
      </c>
      <c r="BZ742" t="s">
        <v>111</v>
      </c>
      <c r="CA742" t="s">
        <v>111</v>
      </c>
      <c r="CB742" t="s">
        <v>111</v>
      </c>
      <c r="CC742" t="s">
        <v>111</v>
      </c>
      <c r="CD742" t="s">
        <v>111</v>
      </c>
      <c r="CE742" t="s">
        <v>111</v>
      </c>
      <c r="CF742" t="s">
        <v>111</v>
      </c>
      <c r="CG742" t="s">
        <v>111</v>
      </c>
      <c r="CH742" t="s">
        <v>111</v>
      </c>
      <c r="CI742" t="s">
        <v>111</v>
      </c>
      <c r="CJ742" t="s">
        <v>111</v>
      </c>
      <c r="CK742" t="s">
        <v>111</v>
      </c>
      <c r="CL742" t="s">
        <v>111</v>
      </c>
      <c r="CM742" t="s">
        <v>111</v>
      </c>
      <c r="CN742" t="s">
        <v>111</v>
      </c>
      <c r="CO742" t="s">
        <v>111</v>
      </c>
      <c r="CP742" t="s">
        <v>111</v>
      </c>
      <c r="CQ742">
        <v>0</v>
      </c>
      <c r="CR742">
        <v>0</v>
      </c>
      <c r="CS742">
        <v>0</v>
      </c>
      <c r="CT742" t="s">
        <v>111</v>
      </c>
      <c r="CU742">
        <v>0</v>
      </c>
      <c r="CV742" t="s">
        <v>111</v>
      </c>
      <c r="CW742" t="s">
        <v>111</v>
      </c>
      <c r="CX742" t="s">
        <v>111</v>
      </c>
      <c r="CY742">
        <v>0</v>
      </c>
      <c r="CZ742" t="s">
        <v>111</v>
      </c>
      <c r="DA742" t="s">
        <v>111</v>
      </c>
      <c r="DB742" t="s">
        <v>111</v>
      </c>
      <c r="DC742" t="s">
        <v>111</v>
      </c>
    </row>
    <row r="743" spans="1:107">
      <c r="A743">
        <v>1683</v>
      </c>
      <c r="B743" t="s">
        <v>107</v>
      </c>
      <c r="C743" t="s">
        <v>412</v>
      </c>
      <c r="D743" t="s">
        <v>2261</v>
      </c>
      <c r="E743" t="s">
        <v>2532</v>
      </c>
      <c r="F743" t="s">
        <v>431</v>
      </c>
      <c r="G743" t="s">
        <v>469</v>
      </c>
      <c r="H743">
        <v>1.5</v>
      </c>
      <c r="I743">
        <v>52</v>
      </c>
      <c r="J743">
        <v>0</v>
      </c>
      <c r="K743">
        <v>0</v>
      </c>
      <c r="L743" t="s">
        <v>117</v>
      </c>
      <c r="M743" t="s">
        <v>118</v>
      </c>
      <c r="N743">
        <v>39</v>
      </c>
      <c r="O743">
        <v>1</v>
      </c>
      <c r="P743" t="s">
        <v>138</v>
      </c>
      <c r="Q743">
        <v>28.6</v>
      </c>
      <c r="R743">
        <v>0</v>
      </c>
      <c r="S743">
        <v>0</v>
      </c>
      <c r="T743">
        <v>5</v>
      </c>
      <c r="U743" t="e">
        <f>-IMPRESION DARMA</f>
        <v>#NAME?</v>
      </c>
      <c r="V743">
        <v>0</v>
      </c>
      <c r="W743">
        <v>25</v>
      </c>
      <c r="X743">
        <v>8</v>
      </c>
      <c r="Y743">
        <v>0</v>
      </c>
      <c r="Z743" t="s">
        <v>111</v>
      </c>
      <c r="AA743">
        <v>0</v>
      </c>
      <c r="AB743" t="s">
        <v>111</v>
      </c>
      <c r="AC743">
        <v>0</v>
      </c>
      <c r="AD743" t="s">
        <v>416</v>
      </c>
      <c r="AE743">
        <v>0</v>
      </c>
      <c r="AF743">
        <v>0</v>
      </c>
      <c r="AG743" t="s">
        <v>111</v>
      </c>
      <c r="AH743" t="s">
        <v>113</v>
      </c>
      <c r="AI743" t="s">
        <v>111</v>
      </c>
      <c r="AJ743" t="s">
        <v>111</v>
      </c>
      <c r="AK743" t="s">
        <v>111</v>
      </c>
      <c r="AL743" t="s">
        <v>111</v>
      </c>
      <c r="AM743">
        <v>0</v>
      </c>
      <c r="AN743">
        <v>0</v>
      </c>
      <c r="AO743">
        <v>0</v>
      </c>
      <c r="AP743" t="s">
        <v>111</v>
      </c>
      <c r="AQ743" t="s">
        <v>111</v>
      </c>
      <c r="AR743" t="s">
        <v>111</v>
      </c>
      <c r="AS743" t="s">
        <v>111</v>
      </c>
      <c r="AT743" t="s">
        <v>111</v>
      </c>
      <c r="AU743" t="s">
        <v>111</v>
      </c>
      <c r="AV743" t="s">
        <v>111</v>
      </c>
      <c r="AW743" t="s">
        <v>111</v>
      </c>
      <c r="AX743" t="s">
        <v>111</v>
      </c>
      <c r="AY743" t="s">
        <v>111</v>
      </c>
      <c r="AZ743" t="s">
        <v>111</v>
      </c>
      <c r="BA743" t="s">
        <v>111</v>
      </c>
      <c r="BB743" t="s">
        <v>111</v>
      </c>
      <c r="BC743" t="s">
        <v>111</v>
      </c>
      <c r="BD743" t="s">
        <v>111</v>
      </c>
      <c r="BE743" t="s">
        <v>111</v>
      </c>
      <c r="BF743" t="s">
        <v>111</v>
      </c>
      <c r="BG743" t="s">
        <v>111</v>
      </c>
      <c r="BH743" t="s">
        <v>111</v>
      </c>
      <c r="BI743" t="s">
        <v>111</v>
      </c>
      <c r="BJ743" t="s">
        <v>111</v>
      </c>
      <c r="BK743" t="s">
        <v>111</v>
      </c>
      <c r="BL743" t="s">
        <v>111</v>
      </c>
      <c r="BM743" t="s">
        <v>111</v>
      </c>
      <c r="BN743" t="s">
        <v>111</v>
      </c>
      <c r="BO743" t="s">
        <v>111</v>
      </c>
      <c r="BP743" t="s">
        <v>111</v>
      </c>
      <c r="BQ743" t="s">
        <v>111</v>
      </c>
      <c r="BR743" t="s">
        <v>111</v>
      </c>
      <c r="BS743" t="s">
        <v>111</v>
      </c>
      <c r="BT743" t="s">
        <v>111</v>
      </c>
      <c r="BU743" t="s">
        <v>111</v>
      </c>
      <c r="BV743" t="s">
        <v>111</v>
      </c>
      <c r="BW743" t="s">
        <v>111</v>
      </c>
      <c r="BX743" t="s">
        <v>111</v>
      </c>
      <c r="BY743" t="s">
        <v>111</v>
      </c>
      <c r="BZ743" t="s">
        <v>111</v>
      </c>
      <c r="CA743" t="s">
        <v>111</v>
      </c>
      <c r="CB743" t="s">
        <v>111</v>
      </c>
      <c r="CC743" t="s">
        <v>111</v>
      </c>
      <c r="CD743" t="s">
        <v>111</v>
      </c>
      <c r="CE743" t="s">
        <v>111</v>
      </c>
      <c r="CF743" t="s">
        <v>111</v>
      </c>
      <c r="CG743" t="s">
        <v>111</v>
      </c>
      <c r="CH743" t="s">
        <v>111</v>
      </c>
      <c r="CI743" t="s">
        <v>111</v>
      </c>
      <c r="CJ743" t="s">
        <v>111</v>
      </c>
      <c r="CK743" t="s">
        <v>111</v>
      </c>
      <c r="CL743" t="s">
        <v>111</v>
      </c>
      <c r="CM743" t="s">
        <v>360</v>
      </c>
      <c r="CN743" t="s">
        <v>113</v>
      </c>
      <c r="CO743" t="s">
        <v>111</v>
      </c>
      <c r="CP743" t="s">
        <v>111</v>
      </c>
      <c r="CQ743">
        <v>0</v>
      </c>
      <c r="CR743">
        <v>1000</v>
      </c>
      <c r="CS743">
        <v>200</v>
      </c>
      <c r="CT743" t="e">
        <f>-ALMACEN</f>
        <v>#NAME?</v>
      </c>
      <c r="CU743">
        <v>0</v>
      </c>
      <c r="CV743" t="s">
        <v>111</v>
      </c>
      <c r="CX743" t="s">
        <v>111</v>
      </c>
      <c r="CY743">
        <v>0</v>
      </c>
      <c r="CZ743" t="s">
        <v>111</v>
      </c>
      <c r="DA743" t="s">
        <v>111</v>
      </c>
      <c r="DB743" t="s">
        <v>111</v>
      </c>
      <c r="DC743" t="s">
        <v>111</v>
      </c>
    </row>
    <row r="744" spans="1:107">
      <c r="A744">
        <v>1633</v>
      </c>
      <c r="B744" t="s">
        <v>107</v>
      </c>
      <c r="C744" t="s">
        <v>504</v>
      </c>
      <c r="D744" t="s">
        <v>2533</v>
      </c>
      <c r="E744" t="s">
        <v>2534</v>
      </c>
      <c r="F744" t="s">
        <v>192</v>
      </c>
      <c r="G744" t="s">
        <v>469</v>
      </c>
      <c r="H744">
        <v>3.4</v>
      </c>
      <c r="I744">
        <v>61</v>
      </c>
      <c r="J744">
        <v>0</v>
      </c>
      <c r="K744">
        <v>0</v>
      </c>
      <c r="L744" t="s">
        <v>178</v>
      </c>
      <c r="M744" t="s">
        <v>111</v>
      </c>
      <c r="N744">
        <v>0</v>
      </c>
      <c r="O744">
        <v>0</v>
      </c>
      <c r="P744" t="s">
        <v>2535</v>
      </c>
      <c r="Q744">
        <v>41.3</v>
      </c>
      <c r="R744">
        <v>0</v>
      </c>
      <c r="S744">
        <v>0</v>
      </c>
      <c r="T744">
        <v>5</v>
      </c>
      <c r="U744" t="e">
        <f>-SELLADO</f>
        <v>#NAME?</v>
      </c>
      <c r="V744">
        <v>0</v>
      </c>
      <c r="W744">
        <v>25</v>
      </c>
      <c r="X744">
        <v>8</v>
      </c>
      <c r="Y744">
        <v>0</v>
      </c>
      <c r="Z744" t="s">
        <v>111</v>
      </c>
      <c r="AA744">
        <v>0</v>
      </c>
      <c r="AB744" t="s">
        <v>111</v>
      </c>
      <c r="AC744">
        <v>0</v>
      </c>
      <c r="AD744" t="s">
        <v>111</v>
      </c>
      <c r="AE744">
        <v>0</v>
      </c>
      <c r="AF744">
        <v>0</v>
      </c>
      <c r="AG744" t="s">
        <v>111</v>
      </c>
      <c r="AH744" t="s">
        <v>111</v>
      </c>
      <c r="AI744" t="s">
        <v>111</v>
      </c>
      <c r="AJ744" t="s">
        <v>111</v>
      </c>
      <c r="AK744" t="s">
        <v>111</v>
      </c>
      <c r="AL744" t="s">
        <v>111</v>
      </c>
      <c r="AM744">
        <v>0</v>
      </c>
      <c r="AN744">
        <v>0</v>
      </c>
      <c r="AO744">
        <v>0</v>
      </c>
      <c r="AP744" t="s">
        <v>111</v>
      </c>
      <c r="AQ744" t="s">
        <v>111</v>
      </c>
      <c r="AR744" t="s">
        <v>111</v>
      </c>
      <c r="AS744" t="s">
        <v>111</v>
      </c>
      <c r="AT744" t="s">
        <v>111</v>
      </c>
      <c r="AU744" t="s">
        <v>111</v>
      </c>
      <c r="AV744" t="s">
        <v>111</v>
      </c>
      <c r="AW744" t="s">
        <v>111</v>
      </c>
      <c r="AX744" t="s">
        <v>111</v>
      </c>
      <c r="AY744" t="s">
        <v>111</v>
      </c>
      <c r="AZ744" t="s">
        <v>111</v>
      </c>
      <c r="BA744" t="s">
        <v>111</v>
      </c>
      <c r="BB744" t="s">
        <v>111</v>
      </c>
      <c r="BC744" t="s">
        <v>111</v>
      </c>
      <c r="BD744" t="s">
        <v>111</v>
      </c>
      <c r="BE744" t="s">
        <v>111</v>
      </c>
      <c r="BF744" t="s">
        <v>111</v>
      </c>
      <c r="BG744" t="s">
        <v>111</v>
      </c>
      <c r="BH744" t="s">
        <v>111</v>
      </c>
      <c r="BI744" t="s">
        <v>111</v>
      </c>
      <c r="BJ744" t="s">
        <v>111</v>
      </c>
      <c r="BK744" t="s">
        <v>111</v>
      </c>
      <c r="BL744" t="s">
        <v>111</v>
      </c>
      <c r="BM744" t="s">
        <v>111</v>
      </c>
      <c r="BN744" t="s">
        <v>111</v>
      </c>
      <c r="BO744" t="s">
        <v>111</v>
      </c>
      <c r="BP744" t="s">
        <v>111</v>
      </c>
      <c r="BQ744" t="s">
        <v>111</v>
      </c>
      <c r="BR744" t="s">
        <v>111</v>
      </c>
      <c r="BS744" t="s">
        <v>111</v>
      </c>
      <c r="BT744" t="s">
        <v>111</v>
      </c>
      <c r="BU744" t="s">
        <v>111</v>
      </c>
      <c r="BV744" t="s">
        <v>111</v>
      </c>
      <c r="BW744" t="s">
        <v>111</v>
      </c>
      <c r="BX744" t="s">
        <v>111</v>
      </c>
      <c r="BY744" t="s">
        <v>111</v>
      </c>
      <c r="BZ744" t="s">
        <v>111</v>
      </c>
      <c r="CA744" t="s">
        <v>111</v>
      </c>
      <c r="CB744" t="s">
        <v>111</v>
      </c>
      <c r="CC744" t="s">
        <v>111</v>
      </c>
      <c r="CD744" t="s">
        <v>111</v>
      </c>
      <c r="CE744" t="s">
        <v>111</v>
      </c>
      <c r="CF744" t="s">
        <v>111</v>
      </c>
      <c r="CG744" t="s">
        <v>111</v>
      </c>
      <c r="CH744" t="s">
        <v>111</v>
      </c>
      <c r="CI744" t="s">
        <v>111</v>
      </c>
      <c r="CJ744" t="s">
        <v>111</v>
      </c>
      <c r="CK744" t="s">
        <v>111</v>
      </c>
      <c r="CL744" t="s">
        <v>111</v>
      </c>
      <c r="CM744">
        <v>450</v>
      </c>
      <c r="CN744" t="s">
        <v>113</v>
      </c>
      <c r="CO744" t="s">
        <v>111</v>
      </c>
      <c r="CP744" t="s">
        <v>111</v>
      </c>
      <c r="CQ744">
        <v>0</v>
      </c>
      <c r="CR744">
        <v>3000</v>
      </c>
      <c r="CS744">
        <v>200</v>
      </c>
      <c r="CT744" t="e">
        <f>-ALMACEN</f>
        <v>#NAME?</v>
      </c>
      <c r="CU744">
        <v>0</v>
      </c>
      <c r="CV744" t="s">
        <v>111</v>
      </c>
      <c r="CW744" t="s">
        <v>111</v>
      </c>
      <c r="CX744" t="s">
        <v>111</v>
      </c>
      <c r="CY744">
        <v>0</v>
      </c>
      <c r="CZ744" t="s">
        <v>111</v>
      </c>
      <c r="DA744" t="s">
        <v>111</v>
      </c>
      <c r="DB744" t="s">
        <v>111</v>
      </c>
      <c r="DC744" t="s">
        <v>111</v>
      </c>
    </row>
    <row r="745" spans="1:107">
      <c r="A745">
        <v>1664</v>
      </c>
      <c r="B745" t="s">
        <v>107</v>
      </c>
      <c r="C745" t="s">
        <v>226</v>
      </c>
      <c r="D745" t="s">
        <v>2536</v>
      </c>
      <c r="E745" t="s">
        <v>2537</v>
      </c>
      <c r="F745" t="s">
        <v>192</v>
      </c>
      <c r="G745" t="s">
        <v>469</v>
      </c>
      <c r="H745">
        <v>1.5</v>
      </c>
      <c r="I745">
        <v>60.5</v>
      </c>
      <c r="J745">
        <v>0</v>
      </c>
      <c r="K745">
        <v>0</v>
      </c>
      <c r="L745" t="s">
        <v>117</v>
      </c>
      <c r="M745" t="s">
        <v>138</v>
      </c>
      <c r="N745">
        <v>0</v>
      </c>
      <c r="O745">
        <v>0</v>
      </c>
      <c r="P745" t="s">
        <v>111</v>
      </c>
      <c r="Q745">
        <v>10</v>
      </c>
      <c r="R745">
        <v>0</v>
      </c>
      <c r="S745">
        <v>0</v>
      </c>
      <c r="T745">
        <v>0</v>
      </c>
      <c r="U745" t="e">
        <f>-SELLADO</f>
        <v>#NAME?</v>
      </c>
      <c r="V745">
        <v>0</v>
      </c>
      <c r="W745">
        <v>25</v>
      </c>
      <c r="X745">
        <v>8</v>
      </c>
      <c r="Y745">
        <v>0</v>
      </c>
      <c r="Z745" t="s">
        <v>111</v>
      </c>
      <c r="AA745">
        <v>0</v>
      </c>
      <c r="AB745" t="s">
        <v>111</v>
      </c>
      <c r="AC745">
        <v>0</v>
      </c>
      <c r="AD745" t="s">
        <v>111</v>
      </c>
      <c r="AE745">
        <v>0</v>
      </c>
      <c r="AF745">
        <v>0</v>
      </c>
      <c r="AG745" t="s">
        <v>111</v>
      </c>
      <c r="AH745" t="s">
        <v>111</v>
      </c>
      <c r="AI745" t="s">
        <v>111</v>
      </c>
      <c r="AJ745" t="s">
        <v>111</v>
      </c>
      <c r="AK745" t="s">
        <v>111</v>
      </c>
      <c r="AL745" t="s">
        <v>111</v>
      </c>
      <c r="AM745">
        <v>0</v>
      </c>
      <c r="AN745">
        <v>0</v>
      </c>
      <c r="AO745">
        <v>0</v>
      </c>
      <c r="AP745" t="s">
        <v>111</v>
      </c>
      <c r="AQ745" t="s">
        <v>111</v>
      </c>
      <c r="AR745" t="s">
        <v>111</v>
      </c>
      <c r="AS745" t="s">
        <v>111</v>
      </c>
      <c r="AT745" t="s">
        <v>111</v>
      </c>
      <c r="AU745" t="s">
        <v>111</v>
      </c>
      <c r="AV745" t="s">
        <v>111</v>
      </c>
      <c r="AW745" t="s">
        <v>111</v>
      </c>
      <c r="AX745" t="s">
        <v>111</v>
      </c>
      <c r="AY745" t="s">
        <v>111</v>
      </c>
      <c r="AZ745" t="s">
        <v>111</v>
      </c>
      <c r="BA745" t="s">
        <v>111</v>
      </c>
      <c r="BB745" t="s">
        <v>111</v>
      </c>
      <c r="BC745" t="s">
        <v>111</v>
      </c>
      <c r="BD745" t="s">
        <v>111</v>
      </c>
      <c r="BE745" t="s">
        <v>111</v>
      </c>
      <c r="BF745" t="s">
        <v>111</v>
      </c>
      <c r="BG745" t="s">
        <v>111</v>
      </c>
      <c r="BH745" t="s">
        <v>111</v>
      </c>
      <c r="BI745" t="s">
        <v>111</v>
      </c>
      <c r="BJ745" t="s">
        <v>111</v>
      </c>
      <c r="BK745" t="s">
        <v>111</v>
      </c>
      <c r="BL745" t="s">
        <v>111</v>
      </c>
      <c r="BM745" t="s">
        <v>111</v>
      </c>
      <c r="BN745" t="s">
        <v>111</v>
      </c>
      <c r="BO745" t="s">
        <v>111</v>
      </c>
      <c r="BP745" t="s">
        <v>111</v>
      </c>
      <c r="BQ745" t="s">
        <v>111</v>
      </c>
      <c r="BR745" t="s">
        <v>111</v>
      </c>
      <c r="BS745" t="s">
        <v>111</v>
      </c>
      <c r="BT745" t="s">
        <v>111</v>
      </c>
      <c r="BU745" t="s">
        <v>111</v>
      </c>
      <c r="BV745" t="s">
        <v>111</v>
      </c>
      <c r="BW745" t="s">
        <v>111</v>
      </c>
      <c r="BX745" t="s">
        <v>111</v>
      </c>
      <c r="BY745" t="s">
        <v>111</v>
      </c>
      <c r="BZ745" t="s">
        <v>111</v>
      </c>
      <c r="CA745" t="s">
        <v>111</v>
      </c>
      <c r="CB745" t="s">
        <v>111</v>
      </c>
      <c r="CC745" t="s">
        <v>111</v>
      </c>
      <c r="CD745" t="s">
        <v>111</v>
      </c>
      <c r="CE745" t="s">
        <v>111</v>
      </c>
      <c r="CF745" t="s">
        <v>111</v>
      </c>
      <c r="CG745" t="s">
        <v>111</v>
      </c>
      <c r="CH745" t="s">
        <v>111</v>
      </c>
      <c r="CI745" t="s">
        <v>111</v>
      </c>
      <c r="CJ745" t="s">
        <v>111</v>
      </c>
      <c r="CK745" t="s">
        <v>111</v>
      </c>
      <c r="CL745" t="s">
        <v>111</v>
      </c>
      <c r="CM745" t="s">
        <v>360</v>
      </c>
      <c r="CN745">
        <v>1</v>
      </c>
      <c r="CO745" t="s">
        <v>111</v>
      </c>
      <c r="CP745" t="s">
        <v>111</v>
      </c>
      <c r="CQ745">
        <v>0</v>
      </c>
      <c r="CR745">
        <v>100</v>
      </c>
      <c r="CS745">
        <v>100</v>
      </c>
      <c r="CT745" t="e">
        <f>-ALMACEN</f>
        <v>#NAME?</v>
      </c>
      <c r="CU745">
        <v>0</v>
      </c>
      <c r="CV745" t="s">
        <v>111</v>
      </c>
      <c r="CX745" t="s">
        <v>111</v>
      </c>
      <c r="CY745">
        <v>0</v>
      </c>
      <c r="CZ745" t="s">
        <v>111</v>
      </c>
      <c r="DA745" t="s">
        <v>111</v>
      </c>
      <c r="DB745" t="s">
        <v>111</v>
      </c>
      <c r="DC745" t="s">
        <v>111</v>
      </c>
    </row>
    <row r="746" spans="1:107">
      <c r="A746">
        <v>2064</v>
      </c>
      <c r="B746" t="s">
        <v>376</v>
      </c>
      <c r="C746" t="s">
        <v>2538</v>
      </c>
      <c r="D746" t="s">
        <v>2539</v>
      </c>
      <c r="E746" t="s">
        <v>2540</v>
      </c>
      <c r="F746" t="s">
        <v>759</v>
      </c>
      <c r="G746" t="s">
        <v>469</v>
      </c>
      <c r="H746">
        <v>2.8</v>
      </c>
      <c r="I746">
        <v>38</v>
      </c>
      <c r="J746">
        <v>0</v>
      </c>
      <c r="K746">
        <v>0</v>
      </c>
      <c r="L746" t="s">
        <v>112</v>
      </c>
      <c r="M746" t="s">
        <v>111</v>
      </c>
      <c r="N746">
        <v>0</v>
      </c>
      <c r="O746">
        <v>0</v>
      </c>
      <c r="P746" t="s">
        <v>111</v>
      </c>
      <c r="Q746">
        <v>42.5</v>
      </c>
      <c r="R746">
        <v>0</v>
      </c>
      <c r="S746">
        <v>0</v>
      </c>
      <c r="T746">
        <v>5</v>
      </c>
      <c r="U746" t="e">
        <f>- DESTINO ALMACEN</f>
        <v>#NAME?</v>
      </c>
      <c r="V746">
        <v>25</v>
      </c>
      <c r="W746">
        <v>0</v>
      </c>
      <c r="X746">
        <v>8</v>
      </c>
      <c r="Y746">
        <v>0</v>
      </c>
      <c r="Z746" t="s">
        <v>188</v>
      </c>
      <c r="AA746">
        <v>10</v>
      </c>
      <c r="AB746" t="s">
        <v>111</v>
      </c>
      <c r="AC746">
        <v>0</v>
      </c>
      <c r="AD746" t="s">
        <v>111</v>
      </c>
      <c r="AE746">
        <v>0</v>
      </c>
      <c r="AF746">
        <v>0</v>
      </c>
      <c r="AG746" t="s">
        <v>111</v>
      </c>
      <c r="AH746" t="s">
        <v>111</v>
      </c>
      <c r="AI746" t="s">
        <v>111</v>
      </c>
      <c r="AJ746" t="s">
        <v>111</v>
      </c>
      <c r="AK746" t="s">
        <v>111</v>
      </c>
      <c r="AL746" t="s">
        <v>111</v>
      </c>
      <c r="AM746">
        <v>0</v>
      </c>
      <c r="AN746">
        <v>0</v>
      </c>
      <c r="AO746">
        <v>0</v>
      </c>
      <c r="AP746" t="s">
        <v>111</v>
      </c>
      <c r="AQ746" t="s">
        <v>111</v>
      </c>
      <c r="AR746" t="s">
        <v>111</v>
      </c>
      <c r="AS746" t="s">
        <v>111</v>
      </c>
      <c r="AT746" t="s">
        <v>111</v>
      </c>
      <c r="AU746" t="s">
        <v>111</v>
      </c>
      <c r="AV746" t="s">
        <v>111</v>
      </c>
      <c r="AW746" t="s">
        <v>111</v>
      </c>
      <c r="AX746" t="s">
        <v>111</v>
      </c>
      <c r="AY746" t="s">
        <v>111</v>
      </c>
      <c r="AZ746" t="s">
        <v>111</v>
      </c>
      <c r="BA746" t="s">
        <v>111</v>
      </c>
      <c r="BB746" t="s">
        <v>111</v>
      </c>
      <c r="BC746" t="s">
        <v>111</v>
      </c>
      <c r="BD746" t="s">
        <v>111</v>
      </c>
      <c r="BE746" t="s">
        <v>111</v>
      </c>
      <c r="BF746" t="s">
        <v>111</v>
      </c>
      <c r="BG746" t="s">
        <v>111</v>
      </c>
      <c r="BH746" t="s">
        <v>111</v>
      </c>
      <c r="BI746" t="s">
        <v>111</v>
      </c>
      <c r="BJ746" t="s">
        <v>111</v>
      </c>
      <c r="BK746" t="s">
        <v>111</v>
      </c>
      <c r="BL746" t="s">
        <v>111</v>
      </c>
      <c r="BM746" t="s">
        <v>111</v>
      </c>
      <c r="BN746" t="s">
        <v>111</v>
      </c>
      <c r="BO746" t="s">
        <v>111</v>
      </c>
      <c r="BP746" t="s">
        <v>111</v>
      </c>
      <c r="BQ746" t="s">
        <v>111</v>
      </c>
      <c r="BR746" t="s">
        <v>111</v>
      </c>
      <c r="BS746" t="s">
        <v>111</v>
      </c>
      <c r="BT746" t="s">
        <v>111</v>
      </c>
      <c r="BU746" t="s">
        <v>111</v>
      </c>
      <c r="BV746" t="s">
        <v>111</v>
      </c>
      <c r="BW746" t="s">
        <v>111</v>
      </c>
      <c r="BX746" t="s">
        <v>111</v>
      </c>
      <c r="BY746" t="s">
        <v>111</v>
      </c>
      <c r="BZ746" t="s">
        <v>111</v>
      </c>
      <c r="CA746" t="s">
        <v>111</v>
      </c>
      <c r="CB746" t="s">
        <v>111</v>
      </c>
      <c r="CC746" t="s">
        <v>111</v>
      </c>
      <c r="CD746" t="s">
        <v>111</v>
      </c>
      <c r="CE746" t="s">
        <v>111</v>
      </c>
      <c r="CF746" t="s">
        <v>111</v>
      </c>
      <c r="CG746" t="s">
        <v>111</v>
      </c>
      <c r="CH746" t="s">
        <v>111</v>
      </c>
      <c r="CI746" t="s">
        <v>111</v>
      </c>
      <c r="CJ746" t="s">
        <v>111</v>
      </c>
      <c r="CK746" t="s">
        <v>111</v>
      </c>
      <c r="CL746" t="s">
        <v>111</v>
      </c>
      <c r="CM746" t="s">
        <v>135</v>
      </c>
      <c r="CN746" t="s">
        <v>111</v>
      </c>
      <c r="CO746" t="s">
        <v>111</v>
      </c>
      <c r="CP746" t="s">
        <v>111</v>
      </c>
      <c r="CQ746">
        <v>0</v>
      </c>
      <c r="CR746">
        <v>500</v>
      </c>
      <c r="CS746">
        <v>50</v>
      </c>
      <c r="CT746" t="s">
        <v>111</v>
      </c>
      <c r="CU746">
        <v>0</v>
      </c>
      <c r="CV746" t="s">
        <v>111</v>
      </c>
      <c r="CX746" t="s">
        <v>111</v>
      </c>
      <c r="CY746">
        <v>0</v>
      </c>
      <c r="CZ746" t="s">
        <v>111</v>
      </c>
      <c r="DA746" t="s">
        <v>111</v>
      </c>
      <c r="DB746" t="s">
        <v>111</v>
      </c>
      <c r="DC746" t="s">
        <v>111</v>
      </c>
    </row>
    <row r="747" spans="1:107">
      <c r="A747">
        <v>89</v>
      </c>
      <c r="B747" t="s">
        <v>162</v>
      </c>
      <c r="C747" t="s">
        <v>171</v>
      </c>
      <c r="D747" t="s">
        <v>727</v>
      </c>
      <c r="E747" t="s">
        <v>728</v>
      </c>
      <c r="F747" t="s">
        <v>431</v>
      </c>
      <c r="G747" t="s">
        <v>469</v>
      </c>
      <c r="H747">
        <v>3.4</v>
      </c>
      <c r="I747">
        <v>61</v>
      </c>
      <c r="J747">
        <v>0</v>
      </c>
      <c r="K747">
        <v>0</v>
      </c>
      <c r="L747" t="s">
        <v>117</v>
      </c>
      <c r="M747" t="s">
        <v>118</v>
      </c>
      <c r="N747">
        <v>40</v>
      </c>
      <c r="O747">
        <v>2</v>
      </c>
      <c r="P747" t="s">
        <v>138</v>
      </c>
      <c r="Q747">
        <v>52.5</v>
      </c>
      <c r="R747">
        <v>0</v>
      </c>
      <c r="S747">
        <v>0</v>
      </c>
      <c r="T747">
        <v>5</v>
      </c>
      <c r="U747" s="1" t="s">
        <v>2541</v>
      </c>
      <c r="V747">
        <v>0</v>
      </c>
      <c r="W747">
        <v>25</v>
      </c>
      <c r="X747">
        <v>10</v>
      </c>
      <c r="Y747">
        <v>0</v>
      </c>
      <c r="Z747" t="s">
        <v>111</v>
      </c>
      <c r="AA747">
        <v>0</v>
      </c>
      <c r="AB747" t="s">
        <v>111</v>
      </c>
      <c r="AC747">
        <v>0</v>
      </c>
      <c r="AD747" t="s">
        <v>416</v>
      </c>
      <c r="AE747">
        <v>4</v>
      </c>
      <c r="AF747">
        <v>1</v>
      </c>
      <c r="AG747" t="s">
        <v>2542</v>
      </c>
      <c r="AH747" t="s">
        <v>111</v>
      </c>
      <c r="AI747">
        <v>42</v>
      </c>
      <c r="AJ747" t="s">
        <v>111</v>
      </c>
      <c r="AK747" t="s">
        <v>111</v>
      </c>
      <c r="AL747" t="s">
        <v>111</v>
      </c>
      <c r="AM747">
        <v>0</v>
      </c>
      <c r="AN747">
        <v>0</v>
      </c>
      <c r="AO747">
        <v>0</v>
      </c>
      <c r="AP747" t="s">
        <v>188</v>
      </c>
      <c r="AQ747" t="s">
        <v>111</v>
      </c>
      <c r="AR747" t="s">
        <v>111</v>
      </c>
      <c r="AS747" t="s">
        <v>111</v>
      </c>
      <c r="AT747" t="s">
        <v>288</v>
      </c>
      <c r="AU747" t="s">
        <v>111</v>
      </c>
      <c r="AV747" t="s">
        <v>111</v>
      </c>
      <c r="AW747" t="s">
        <v>111</v>
      </c>
      <c r="AX747" t="s">
        <v>147</v>
      </c>
      <c r="AY747" t="s">
        <v>111</v>
      </c>
      <c r="AZ747" t="s">
        <v>111</v>
      </c>
      <c r="BA747" t="s">
        <v>111</v>
      </c>
      <c r="BB747" t="s">
        <v>271</v>
      </c>
      <c r="BC747" t="s">
        <v>111</v>
      </c>
      <c r="BD747" t="s">
        <v>111</v>
      </c>
      <c r="BE747" t="s">
        <v>111</v>
      </c>
      <c r="BF747" t="s">
        <v>111</v>
      </c>
      <c r="BG747" t="s">
        <v>111</v>
      </c>
      <c r="BH747" t="s">
        <v>111</v>
      </c>
      <c r="BI747" t="s">
        <v>111</v>
      </c>
      <c r="BJ747" t="s">
        <v>111</v>
      </c>
      <c r="BK747" t="s">
        <v>111</v>
      </c>
      <c r="BL747" t="s">
        <v>111</v>
      </c>
      <c r="BM747" t="s">
        <v>111</v>
      </c>
      <c r="BN747" t="s">
        <v>111</v>
      </c>
      <c r="BO747" t="s">
        <v>111</v>
      </c>
      <c r="BP747" t="s">
        <v>111</v>
      </c>
      <c r="BQ747" t="s">
        <v>111</v>
      </c>
      <c r="BR747" t="s">
        <v>111</v>
      </c>
      <c r="BS747" t="s">
        <v>111</v>
      </c>
      <c r="BT747" t="s">
        <v>111</v>
      </c>
      <c r="BU747" t="s">
        <v>111</v>
      </c>
      <c r="BV747" t="s">
        <v>111</v>
      </c>
      <c r="BW747" t="s">
        <v>111</v>
      </c>
      <c r="BX747" t="s">
        <v>111</v>
      </c>
      <c r="BY747" t="s">
        <v>111</v>
      </c>
      <c r="BZ747" t="s">
        <v>111</v>
      </c>
      <c r="CA747" t="s">
        <v>111</v>
      </c>
      <c r="CB747" t="s">
        <v>111</v>
      </c>
      <c r="CC747" t="s">
        <v>111</v>
      </c>
      <c r="CD747" t="s">
        <v>111</v>
      </c>
      <c r="CE747" t="s">
        <v>111</v>
      </c>
      <c r="CF747" t="s">
        <v>111</v>
      </c>
      <c r="CG747" t="s">
        <v>111</v>
      </c>
      <c r="CH747" t="s">
        <v>111</v>
      </c>
      <c r="CI747" t="s">
        <v>111</v>
      </c>
      <c r="CJ747" t="s">
        <v>111</v>
      </c>
      <c r="CK747" t="s">
        <v>111</v>
      </c>
      <c r="CL747" t="s">
        <v>153</v>
      </c>
      <c r="CM747" t="s">
        <v>198</v>
      </c>
      <c r="CN747" t="s">
        <v>113</v>
      </c>
      <c r="CO747" t="s">
        <v>111</v>
      </c>
      <c r="CP747" t="s">
        <v>433</v>
      </c>
      <c r="CQ747">
        <v>0</v>
      </c>
      <c r="CR747">
        <v>0</v>
      </c>
      <c r="CS747">
        <v>0</v>
      </c>
      <c r="CT747" t="s">
        <v>168</v>
      </c>
      <c r="CU747">
        <v>0</v>
      </c>
      <c r="CV747" t="s">
        <v>111</v>
      </c>
      <c r="CW747" t="s">
        <v>111</v>
      </c>
      <c r="CX747" t="s">
        <v>111</v>
      </c>
      <c r="CY747">
        <v>0</v>
      </c>
      <c r="CZ747" t="s">
        <v>111</v>
      </c>
      <c r="DA747" t="s">
        <v>111</v>
      </c>
      <c r="DB747" t="s">
        <v>111</v>
      </c>
      <c r="DC747" t="s">
        <v>111</v>
      </c>
    </row>
    <row r="748" spans="1:107">
      <c r="A748">
        <v>1569</v>
      </c>
      <c r="B748" t="s">
        <v>107</v>
      </c>
      <c r="C748" t="s">
        <v>2543</v>
      </c>
      <c r="D748" t="s">
        <v>1355</v>
      </c>
      <c r="E748" t="s">
        <v>1356</v>
      </c>
      <c r="F748" t="s">
        <v>431</v>
      </c>
      <c r="G748" t="s">
        <v>469</v>
      </c>
      <c r="H748">
        <v>1.4</v>
      </c>
      <c r="I748">
        <v>99</v>
      </c>
      <c r="J748">
        <v>0</v>
      </c>
      <c r="K748">
        <v>0</v>
      </c>
      <c r="L748" t="s">
        <v>117</v>
      </c>
      <c r="M748" t="s">
        <v>118</v>
      </c>
      <c r="N748">
        <v>40</v>
      </c>
      <c r="O748">
        <v>1</v>
      </c>
      <c r="P748" t="s">
        <v>111</v>
      </c>
      <c r="Q748">
        <v>46.6</v>
      </c>
      <c r="R748">
        <v>0</v>
      </c>
      <c r="S748">
        <v>0</v>
      </c>
      <c r="T748">
        <v>5</v>
      </c>
      <c r="U748" t="e">
        <f>-IMPRESION CORREA</f>
        <v>#NAME?</v>
      </c>
      <c r="V748">
        <v>0</v>
      </c>
      <c r="W748">
        <v>25</v>
      </c>
      <c r="X748">
        <v>8</v>
      </c>
      <c r="Y748">
        <v>0</v>
      </c>
      <c r="Z748" t="s">
        <v>111</v>
      </c>
      <c r="AA748">
        <v>0</v>
      </c>
      <c r="AB748" t="s">
        <v>111</v>
      </c>
      <c r="AC748">
        <v>0</v>
      </c>
      <c r="AD748" t="s">
        <v>427</v>
      </c>
      <c r="AE748">
        <v>0</v>
      </c>
      <c r="AF748">
        <v>0</v>
      </c>
      <c r="AG748" t="s">
        <v>111</v>
      </c>
      <c r="AH748" t="s">
        <v>113</v>
      </c>
      <c r="AI748" t="s">
        <v>111</v>
      </c>
      <c r="AJ748" t="s">
        <v>111</v>
      </c>
      <c r="AK748" t="s">
        <v>111</v>
      </c>
      <c r="AL748" t="s">
        <v>111</v>
      </c>
      <c r="AM748">
        <v>0</v>
      </c>
      <c r="AN748">
        <v>0</v>
      </c>
      <c r="AO748">
        <v>0</v>
      </c>
      <c r="AP748" t="s">
        <v>111</v>
      </c>
      <c r="AQ748" t="s">
        <v>111</v>
      </c>
      <c r="AR748" t="s">
        <v>111</v>
      </c>
      <c r="AS748" t="s">
        <v>111</v>
      </c>
      <c r="AT748" t="s">
        <v>111</v>
      </c>
      <c r="AU748" t="s">
        <v>111</v>
      </c>
      <c r="AV748" t="s">
        <v>111</v>
      </c>
      <c r="AW748" t="s">
        <v>111</v>
      </c>
      <c r="AX748" t="s">
        <v>111</v>
      </c>
      <c r="AY748" t="s">
        <v>111</v>
      </c>
      <c r="AZ748" t="s">
        <v>111</v>
      </c>
      <c r="BA748" t="s">
        <v>111</v>
      </c>
      <c r="BB748" t="s">
        <v>111</v>
      </c>
      <c r="BC748" t="s">
        <v>111</v>
      </c>
      <c r="BD748" t="s">
        <v>111</v>
      </c>
      <c r="BE748" t="s">
        <v>111</v>
      </c>
      <c r="BF748" t="s">
        <v>111</v>
      </c>
      <c r="BG748" t="s">
        <v>111</v>
      </c>
      <c r="BH748" t="s">
        <v>111</v>
      </c>
      <c r="BI748" t="s">
        <v>111</v>
      </c>
      <c r="BJ748" t="s">
        <v>111</v>
      </c>
      <c r="BK748" t="s">
        <v>111</v>
      </c>
      <c r="BL748" t="s">
        <v>111</v>
      </c>
      <c r="BM748" t="s">
        <v>111</v>
      </c>
      <c r="BN748" t="s">
        <v>111</v>
      </c>
      <c r="BO748" t="s">
        <v>111</v>
      </c>
      <c r="BP748" t="s">
        <v>111</v>
      </c>
      <c r="BQ748" t="s">
        <v>111</v>
      </c>
      <c r="BR748" t="s">
        <v>111</v>
      </c>
      <c r="BS748" t="s">
        <v>111</v>
      </c>
      <c r="BT748" t="s">
        <v>111</v>
      </c>
      <c r="BU748" t="s">
        <v>111</v>
      </c>
      <c r="BV748" t="s">
        <v>111</v>
      </c>
      <c r="BW748" t="s">
        <v>111</v>
      </c>
      <c r="BX748" t="s">
        <v>111</v>
      </c>
      <c r="BY748" t="s">
        <v>111</v>
      </c>
      <c r="BZ748" t="s">
        <v>111</v>
      </c>
      <c r="CA748" t="s">
        <v>111</v>
      </c>
      <c r="CB748" t="s">
        <v>111</v>
      </c>
      <c r="CC748" t="s">
        <v>111</v>
      </c>
      <c r="CD748" t="s">
        <v>111</v>
      </c>
      <c r="CE748" t="s">
        <v>111</v>
      </c>
      <c r="CF748" t="s">
        <v>111</v>
      </c>
      <c r="CG748" t="s">
        <v>111</v>
      </c>
      <c r="CH748" t="s">
        <v>111</v>
      </c>
      <c r="CI748" t="s">
        <v>111</v>
      </c>
      <c r="CJ748" t="s">
        <v>111</v>
      </c>
      <c r="CK748" t="s">
        <v>111</v>
      </c>
      <c r="CL748" t="s">
        <v>111</v>
      </c>
      <c r="CM748" t="s">
        <v>360</v>
      </c>
      <c r="CN748" t="s">
        <v>113</v>
      </c>
      <c r="CO748" t="s">
        <v>111</v>
      </c>
      <c r="CP748" t="s">
        <v>111</v>
      </c>
      <c r="CQ748">
        <v>0</v>
      </c>
      <c r="CR748">
        <v>4000</v>
      </c>
      <c r="CS748">
        <v>200</v>
      </c>
      <c r="CT748" t="e">
        <f>-ALMACEN</f>
        <v>#NAME?</v>
      </c>
      <c r="CU748">
        <v>0</v>
      </c>
      <c r="CV748" t="s">
        <v>111</v>
      </c>
      <c r="CW748" t="s">
        <v>111</v>
      </c>
      <c r="CX748" t="s">
        <v>111</v>
      </c>
      <c r="CY748">
        <v>0</v>
      </c>
      <c r="CZ748" t="s">
        <v>111</v>
      </c>
      <c r="DA748" t="s">
        <v>111</v>
      </c>
      <c r="DB748" t="s">
        <v>111</v>
      </c>
      <c r="DC748" t="s">
        <v>111</v>
      </c>
    </row>
    <row r="749" spans="1:107">
      <c r="A749">
        <v>1658</v>
      </c>
      <c r="B749" t="s">
        <v>107</v>
      </c>
      <c r="C749" t="s">
        <v>412</v>
      </c>
      <c r="D749" t="s">
        <v>2544</v>
      </c>
      <c r="E749" t="s">
        <v>2545</v>
      </c>
      <c r="F749" t="s">
        <v>116</v>
      </c>
      <c r="G749" t="s">
        <v>469</v>
      </c>
      <c r="H749">
        <v>1.5</v>
      </c>
      <c r="I749">
        <v>33.5</v>
      </c>
      <c r="J749">
        <v>0</v>
      </c>
      <c r="K749">
        <v>0</v>
      </c>
      <c r="L749" t="s">
        <v>117</v>
      </c>
      <c r="M749" t="s">
        <v>111</v>
      </c>
      <c r="N749">
        <v>0</v>
      </c>
      <c r="O749">
        <v>0</v>
      </c>
      <c r="P749" t="s">
        <v>111</v>
      </c>
      <c r="Q749">
        <v>32</v>
      </c>
      <c r="R749">
        <v>0</v>
      </c>
      <c r="S749">
        <v>0</v>
      </c>
      <c r="T749">
        <v>5</v>
      </c>
      <c r="U749" s="1" t="s">
        <v>2546</v>
      </c>
      <c r="V749">
        <v>0</v>
      </c>
      <c r="W749">
        <v>25</v>
      </c>
      <c r="X749">
        <v>5</v>
      </c>
      <c r="Y749">
        <v>0</v>
      </c>
      <c r="Z749" t="s">
        <v>111</v>
      </c>
      <c r="AA749">
        <v>0</v>
      </c>
      <c r="AB749" t="s">
        <v>111</v>
      </c>
      <c r="AC749">
        <v>0</v>
      </c>
      <c r="AD749" t="s">
        <v>111</v>
      </c>
      <c r="AE749">
        <v>0</v>
      </c>
      <c r="AF749">
        <v>0</v>
      </c>
      <c r="AG749" t="s">
        <v>111</v>
      </c>
      <c r="AH749" t="s">
        <v>111</v>
      </c>
      <c r="AI749" t="s">
        <v>111</v>
      </c>
      <c r="AJ749" t="s">
        <v>111</v>
      </c>
      <c r="AK749" t="s">
        <v>111</v>
      </c>
      <c r="AL749" t="s">
        <v>111</v>
      </c>
      <c r="AM749">
        <v>0</v>
      </c>
      <c r="AN749">
        <v>0</v>
      </c>
      <c r="AO749">
        <v>0</v>
      </c>
      <c r="AP749" t="s">
        <v>111</v>
      </c>
      <c r="AQ749" t="s">
        <v>111</v>
      </c>
      <c r="AR749" t="s">
        <v>111</v>
      </c>
      <c r="AS749" t="s">
        <v>111</v>
      </c>
      <c r="AT749" t="s">
        <v>111</v>
      </c>
      <c r="AU749" t="s">
        <v>111</v>
      </c>
      <c r="AV749" t="s">
        <v>111</v>
      </c>
      <c r="AW749" t="s">
        <v>111</v>
      </c>
      <c r="AX749" t="s">
        <v>111</v>
      </c>
      <c r="AY749" t="s">
        <v>111</v>
      </c>
      <c r="AZ749" t="s">
        <v>111</v>
      </c>
      <c r="BA749" t="s">
        <v>111</v>
      </c>
      <c r="BB749" t="s">
        <v>111</v>
      </c>
      <c r="BC749" t="s">
        <v>111</v>
      </c>
      <c r="BD749" t="s">
        <v>111</v>
      </c>
      <c r="BE749" t="s">
        <v>111</v>
      </c>
      <c r="BF749" t="s">
        <v>111</v>
      </c>
      <c r="BG749" t="s">
        <v>111</v>
      </c>
      <c r="BH749" t="s">
        <v>111</v>
      </c>
      <c r="BI749" t="s">
        <v>111</v>
      </c>
      <c r="BJ749" t="s">
        <v>111</v>
      </c>
      <c r="BK749" t="s">
        <v>111</v>
      </c>
      <c r="BL749" t="s">
        <v>111</v>
      </c>
      <c r="BM749" t="s">
        <v>111</v>
      </c>
      <c r="BN749" t="s">
        <v>111</v>
      </c>
      <c r="BO749" t="s">
        <v>111</v>
      </c>
      <c r="BP749" t="s">
        <v>111</v>
      </c>
      <c r="BQ749" t="s">
        <v>111</v>
      </c>
      <c r="BR749" t="s">
        <v>111</v>
      </c>
      <c r="BS749" t="s">
        <v>111</v>
      </c>
      <c r="BT749" t="s">
        <v>111</v>
      </c>
      <c r="BU749" t="s">
        <v>111</v>
      </c>
      <c r="BV749" t="s">
        <v>111</v>
      </c>
      <c r="BW749" t="s">
        <v>111</v>
      </c>
      <c r="BX749" t="s">
        <v>111</v>
      </c>
      <c r="BY749" t="s">
        <v>111</v>
      </c>
      <c r="BZ749" t="s">
        <v>111</v>
      </c>
      <c r="CA749" t="s">
        <v>111</v>
      </c>
      <c r="CB749" t="s">
        <v>111</v>
      </c>
      <c r="CC749" t="s">
        <v>111</v>
      </c>
      <c r="CD749" t="s">
        <v>111</v>
      </c>
      <c r="CE749" t="s">
        <v>111</v>
      </c>
      <c r="CF749" t="s">
        <v>111</v>
      </c>
      <c r="CG749" t="s">
        <v>111</v>
      </c>
      <c r="CH749" t="s">
        <v>111</v>
      </c>
      <c r="CI749" t="s">
        <v>111</v>
      </c>
      <c r="CJ749" t="s">
        <v>111</v>
      </c>
      <c r="CK749" t="s">
        <v>111</v>
      </c>
      <c r="CL749" t="s">
        <v>111</v>
      </c>
      <c r="CM749">
        <v>450</v>
      </c>
      <c r="CN749" t="s">
        <v>113</v>
      </c>
      <c r="CO749" t="s">
        <v>111</v>
      </c>
      <c r="CP749" t="s">
        <v>111</v>
      </c>
      <c r="CQ749">
        <v>0</v>
      </c>
      <c r="CR749">
        <v>8000</v>
      </c>
      <c r="CS749">
        <v>500</v>
      </c>
      <c r="CT749" t="e">
        <f>-ALMACEN</f>
        <v>#NAME?</v>
      </c>
      <c r="CU749">
        <v>0</v>
      </c>
      <c r="CV749" t="s">
        <v>111</v>
      </c>
      <c r="CX749" t="s">
        <v>111</v>
      </c>
      <c r="CY749">
        <v>0</v>
      </c>
      <c r="CZ749" t="s">
        <v>111</v>
      </c>
      <c r="DA749" t="s">
        <v>111</v>
      </c>
      <c r="DB749" t="s">
        <v>111</v>
      </c>
      <c r="DC749" t="s">
        <v>111</v>
      </c>
    </row>
    <row r="750" spans="1:107">
      <c r="A750">
        <v>1608</v>
      </c>
      <c r="B750" t="s">
        <v>107</v>
      </c>
      <c r="C750" s="2">
        <v>900304158</v>
      </c>
      <c r="D750" t="s">
        <v>2547</v>
      </c>
      <c r="E750" t="s">
        <v>2548</v>
      </c>
      <c r="F750" t="s">
        <v>1754</v>
      </c>
      <c r="G750" t="s">
        <v>469</v>
      </c>
      <c r="H750">
        <v>3.4</v>
      </c>
      <c r="I750">
        <v>60</v>
      </c>
      <c r="J750">
        <v>0</v>
      </c>
      <c r="K750">
        <v>0</v>
      </c>
      <c r="L750" t="s">
        <v>117</v>
      </c>
      <c r="M750" t="s">
        <v>118</v>
      </c>
      <c r="N750">
        <v>39</v>
      </c>
      <c r="O750">
        <v>1</v>
      </c>
      <c r="P750" t="s">
        <v>111</v>
      </c>
      <c r="Q750">
        <v>31.4</v>
      </c>
      <c r="R750">
        <v>0</v>
      </c>
      <c r="S750">
        <v>0</v>
      </c>
      <c r="T750">
        <v>5</v>
      </c>
      <c r="U750" s="1" t="s">
        <v>2549</v>
      </c>
      <c r="V750">
        <v>25</v>
      </c>
      <c r="W750">
        <v>0</v>
      </c>
      <c r="X750">
        <v>8</v>
      </c>
      <c r="Y750">
        <v>0</v>
      </c>
      <c r="Z750" t="s">
        <v>259</v>
      </c>
      <c r="AA750">
        <v>1.5</v>
      </c>
      <c r="AB750" t="s">
        <v>111</v>
      </c>
      <c r="AC750">
        <v>0</v>
      </c>
      <c r="AD750" t="s">
        <v>416</v>
      </c>
      <c r="AE750">
        <v>0</v>
      </c>
      <c r="AF750">
        <v>0</v>
      </c>
      <c r="AG750" t="s">
        <v>111</v>
      </c>
      <c r="AH750" t="s">
        <v>113</v>
      </c>
      <c r="AI750" t="s">
        <v>111</v>
      </c>
      <c r="AJ750" t="s">
        <v>111</v>
      </c>
      <c r="AK750" t="s">
        <v>111</v>
      </c>
      <c r="AL750" t="s">
        <v>111</v>
      </c>
      <c r="AM750">
        <v>0</v>
      </c>
      <c r="AN750">
        <v>0</v>
      </c>
      <c r="AO750">
        <v>0</v>
      </c>
      <c r="AP750" t="s">
        <v>111</v>
      </c>
      <c r="AQ750" t="s">
        <v>111</v>
      </c>
      <c r="AR750" t="s">
        <v>111</v>
      </c>
      <c r="AS750" t="s">
        <v>111</v>
      </c>
      <c r="AT750" t="s">
        <v>111</v>
      </c>
      <c r="AU750" t="s">
        <v>111</v>
      </c>
      <c r="AV750" t="s">
        <v>111</v>
      </c>
      <c r="AW750" t="s">
        <v>111</v>
      </c>
      <c r="AX750" t="s">
        <v>111</v>
      </c>
      <c r="AY750" t="s">
        <v>111</v>
      </c>
      <c r="AZ750" t="s">
        <v>111</v>
      </c>
      <c r="BA750" t="s">
        <v>111</v>
      </c>
      <c r="BB750" t="s">
        <v>111</v>
      </c>
      <c r="BC750" t="s">
        <v>111</v>
      </c>
      <c r="BD750" t="s">
        <v>111</v>
      </c>
      <c r="BE750" t="s">
        <v>111</v>
      </c>
      <c r="BF750" t="s">
        <v>111</v>
      </c>
      <c r="BG750" t="s">
        <v>111</v>
      </c>
      <c r="BH750" t="s">
        <v>111</v>
      </c>
      <c r="BI750" t="s">
        <v>111</v>
      </c>
      <c r="BJ750" t="s">
        <v>111</v>
      </c>
      <c r="BK750" t="s">
        <v>111</v>
      </c>
      <c r="BL750" t="s">
        <v>111</v>
      </c>
      <c r="BM750" t="s">
        <v>111</v>
      </c>
      <c r="BN750" t="s">
        <v>111</v>
      </c>
      <c r="BO750" t="s">
        <v>111</v>
      </c>
      <c r="BP750" t="s">
        <v>111</v>
      </c>
      <c r="BQ750" t="s">
        <v>111</v>
      </c>
      <c r="BR750" t="s">
        <v>111</v>
      </c>
      <c r="BS750" t="s">
        <v>111</v>
      </c>
      <c r="BT750" t="s">
        <v>111</v>
      </c>
      <c r="BU750" t="s">
        <v>111</v>
      </c>
      <c r="BV750" t="s">
        <v>111</v>
      </c>
      <c r="BW750" t="s">
        <v>111</v>
      </c>
      <c r="BX750" t="s">
        <v>111</v>
      </c>
      <c r="BY750" t="s">
        <v>111</v>
      </c>
      <c r="BZ750" t="s">
        <v>111</v>
      </c>
      <c r="CA750" t="s">
        <v>111</v>
      </c>
      <c r="CB750" t="s">
        <v>111</v>
      </c>
      <c r="CC750" t="s">
        <v>111</v>
      </c>
      <c r="CD750" t="s">
        <v>111</v>
      </c>
      <c r="CE750" t="s">
        <v>111</v>
      </c>
      <c r="CF750" t="s">
        <v>111</v>
      </c>
      <c r="CG750" t="s">
        <v>111</v>
      </c>
      <c r="CH750" t="s">
        <v>111</v>
      </c>
      <c r="CI750" t="s">
        <v>111</v>
      </c>
      <c r="CJ750" t="s">
        <v>111</v>
      </c>
      <c r="CK750" t="s">
        <v>111</v>
      </c>
      <c r="CL750" t="s">
        <v>111</v>
      </c>
      <c r="CM750" t="s">
        <v>438</v>
      </c>
      <c r="CN750" t="s">
        <v>113</v>
      </c>
      <c r="CO750" t="s">
        <v>111</v>
      </c>
      <c r="CP750" t="s">
        <v>111</v>
      </c>
      <c r="CQ750">
        <v>65</v>
      </c>
      <c r="CR750">
        <v>1500</v>
      </c>
      <c r="CS750">
        <v>50</v>
      </c>
      <c r="CT750" s="1" t="s">
        <v>2550</v>
      </c>
      <c r="CU750">
        <v>0</v>
      </c>
      <c r="CV750" t="s">
        <v>111</v>
      </c>
      <c r="CW750" t="s">
        <v>111</v>
      </c>
      <c r="CX750" t="s">
        <v>111</v>
      </c>
      <c r="CY750">
        <v>0</v>
      </c>
      <c r="CZ750" t="s">
        <v>111</v>
      </c>
      <c r="DA750" t="s">
        <v>111</v>
      </c>
      <c r="DB750" t="e">
        <f>-INTERNO</f>
        <v>#NAME?</v>
      </c>
      <c r="DC750" t="e">
        <f>-PEGAR TIRANEGRA</f>
        <v>#NAME?</v>
      </c>
    </row>
    <row r="751" spans="1:107">
      <c r="A751">
        <v>1610</v>
      </c>
      <c r="B751" t="s">
        <v>107</v>
      </c>
      <c r="C751" t="s">
        <v>937</v>
      </c>
      <c r="D751" t="s">
        <v>938</v>
      </c>
      <c r="E751" t="s">
        <v>2551</v>
      </c>
      <c r="F751" t="s">
        <v>431</v>
      </c>
      <c r="G751" t="s">
        <v>469</v>
      </c>
      <c r="H751">
        <v>2.9</v>
      </c>
      <c r="I751">
        <v>54</v>
      </c>
      <c r="J751">
        <v>0</v>
      </c>
      <c r="K751">
        <v>0</v>
      </c>
      <c r="L751" t="s">
        <v>117</v>
      </c>
      <c r="M751" t="s">
        <v>118</v>
      </c>
      <c r="N751">
        <v>39</v>
      </c>
      <c r="O751">
        <v>1</v>
      </c>
      <c r="P751" t="s">
        <v>111</v>
      </c>
      <c r="Q751">
        <v>26</v>
      </c>
      <c r="R751">
        <v>0</v>
      </c>
      <c r="S751">
        <v>0</v>
      </c>
      <c r="T751">
        <v>5</v>
      </c>
      <c r="U751" s="1" t="s">
        <v>2451</v>
      </c>
      <c r="V751">
        <v>0</v>
      </c>
      <c r="W751">
        <v>25</v>
      </c>
      <c r="X751">
        <v>8</v>
      </c>
      <c r="Y751">
        <v>0</v>
      </c>
      <c r="Z751" t="s">
        <v>111</v>
      </c>
      <c r="AA751">
        <v>0</v>
      </c>
      <c r="AB751" t="s">
        <v>2552</v>
      </c>
      <c r="AC751">
        <v>8</v>
      </c>
      <c r="AD751" t="s">
        <v>416</v>
      </c>
      <c r="AE751">
        <v>0</v>
      </c>
      <c r="AF751">
        <v>0</v>
      </c>
      <c r="AG751" t="s">
        <v>111</v>
      </c>
      <c r="AH751" t="s">
        <v>113</v>
      </c>
      <c r="AI751" t="s">
        <v>111</v>
      </c>
      <c r="AJ751" t="s">
        <v>111</v>
      </c>
      <c r="AK751" t="s">
        <v>111</v>
      </c>
      <c r="AL751" t="s">
        <v>111</v>
      </c>
      <c r="AM751">
        <v>0</v>
      </c>
      <c r="AN751">
        <v>0</v>
      </c>
      <c r="AO751">
        <v>0</v>
      </c>
      <c r="AP751" t="s">
        <v>111</v>
      </c>
      <c r="AQ751" t="s">
        <v>111</v>
      </c>
      <c r="AR751" t="s">
        <v>111</v>
      </c>
      <c r="AS751" t="s">
        <v>111</v>
      </c>
      <c r="AT751" t="s">
        <v>111</v>
      </c>
      <c r="AU751" t="s">
        <v>111</v>
      </c>
      <c r="AV751" t="s">
        <v>111</v>
      </c>
      <c r="AW751" t="s">
        <v>111</v>
      </c>
      <c r="AX751" t="s">
        <v>111</v>
      </c>
      <c r="AY751" t="s">
        <v>111</v>
      </c>
      <c r="AZ751" t="s">
        <v>111</v>
      </c>
      <c r="BA751" t="s">
        <v>111</v>
      </c>
      <c r="BB751" t="s">
        <v>111</v>
      </c>
      <c r="BC751" t="s">
        <v>111</v>
      </c>
      <c r="BD751" t="s">
        <v>111</v>
      </c>
      <c r="BE751" t="s">
        <v>111</v>
      </c>
      <c r="BF751" t="s">
        <v>111</v>
      </c>
      <c r="BG751" t="s">
        <v>111</v>
      </c>
      <c r="BH751" t="s">
        <v>111</v>
      </c>
      <c r="BI751" t="s">
        <v>111</v>
      </c>
      <c r="BJ751" t="s">
        <v>111</v>
      </c>
      <c r="BK751" t="s">
        <v>111</v>
      </c>
      <c r="BL751" t="s">
        <v>111</v>
      </c>
      <c r="BM751" t="s">
        <v>111</v>
      </c>
      <c r="BN751" t="s">
        <v>111</v>
      </c>
      <c r="BO751" t="s">
        <v>111</v>
      </c>
      <c r="BP751" t="s">
        <v>111</v>
      </c>
      <c r="BQ751" t="s">
        <v>111</v>
      </c>
      <c r="BR751" t="s">
        <v>111</v>
      </c>
      <c r="BS751" t="s">
        <v>111</v>
      </c>
      <c r="BT751" t="s">
        <v>111</v>
      </c>
      <c r="BU751" t="s">
        <v>111</v>
      </c>
      <c r="BV751" t="s">
        <v>111</v>
      </c>
      <c r="BW751" t="s">
        <v>111</v>
      </c>
      <c r="BX751" t="s">
        <v>111</v>
      </c>
      <c r="BY751" t="s">
        <v>111</v>
      </c>
      <c r="BZ751" t="s">
        <v>111</v>
      </c>
      <c r="CA751" t="s">
        <v>111</v>
      </c>
      <c r="CB751" t="s">
        <v>111</v>
      </c>
      <c r="CC751" t="s">
        <v>111</v>
      </c>
      <c r="CD751" t="s">
        <v>111</v>
      </c>
      <c r="CE751" t="s">
        <v>111</v>
      </c>
      <c r="CF751" t="s">
        <v>111</v>
      </c>
      <c r="CG751" t="s">
        <v>111</v>
      </c>
      <c r="CH751" t="s">
        <v>111</v>
      </c>
      <c r="CI751" t="s">
        <v>111</v>
      </c>
      <c r="CJ751" t="s">
        <v>111</v>
      </c>
      <c r="CK751" t="s">
        <v>111</v>
      </c>
      <c r="CL751" t="s">
        <v>111</v>
      </c>
      <c r="CM751">
        <v>450</v>
      </c>
      <c r="CN751" t="s">
        <v>113</v>
      </c>
      <c r="CO751" t="s">
        <v>111</v>
      </c>
      <c r="CP751" t="s">
        <v>111</v>
      </c>
      <c r="CQ751">
        <v>0</v>
      </c>
      <c r="CR751">
        <v>4000</v>
      </c>
      <c r="CS751">
        <v>100</v>
      </c>
      <c r="CT751" t="e">
        <f>-ALMACEN</f>
        <v>#NAME?</v>
      </c>
      <c r="CU751">
        <v>0</v>
      </c>
      <c r="CV751" t="s">
        <v>111</v>
      </c>
      <c r="CW751" t="s">
        <v>111</v>
      </c>
      <c r="CX751" t="s">
        <v>111</v>
      </c>
      <c r="CY751">
        <v>0</v>
      </c>
      <c r="CZ751" t="s">
        <v>111</v>
      </c>
      <c r="DA751" t="s">
        <v>111</v>
      </c>
      <c r="DB751" t="s">
        <v>111</v>
      </c>
      <c r="DC751" t="s">
        <v>111</v>
      </c>
    </row>
    <row r="752" spans="1:107">
      <c r="A752">
        <v>1575</v>
      </c>
      <c r="B752" t="s">
        <v>107</v>
      </c>
      <c r="C752" t="s">
        <v>801</v>
      </c>
      <c r="D752" t="s">
        <v>2553</v>
      </c>
      <c r="E752" t="s">
        <v>2554</v>
      </c>
      <c r="F752" t="s">
        <v>125</v>
      </c>
      <c r="G752" t="s">
        <v>469</v>
      </c>
      <c r="H752">
        <v>0.8</v>
      </c>
      <c r="I752">
        <v>39</v>
      </c>
      <c r="J752">
        <v>0</v>
      </c>
      <c r="K752">
        <v>0</v>
      </c>
      <c r="L752" t="s">
        <v>178</v>
      </c>
      <c r="M752" t="s">
        <v>111</v>
      </c>
      <c r="N752">
        <v>0</v>
      </c>
      <c r="O752">
        <v>0</v>
      </c>
      <c r="P752" t="s">
        <v>111</v>
      </c>
      <c r="Q752">
        <v>25</v>
      </c>
      <c r="R752">
        <v>0</v>
      </c>
      <c r="S752">
        <v>0</v>
      </c>
      <c r="T752">
        <v>5</v>
      </c>
      <c r="U752" s="1" t="s">
        <v>2555</v>
      </c>
      <c r="V752">
        <v>25</v>
      </c>
      <c r="W752">
        <v>0</v>
      </c>
      <c r="X752">
        <v>5</v>
      </c>
      <c r="Y752">
        <v>0</v>
      </c>
      <c r="Z752" t="s">
        <v>111</v>
      </c>
      <c r="AA752">
        <v>0</v>
      </c>
      <c r="AB752" t="s">
        <v>111</v>
      </c>
      <c r="AC752">
        <v>0</v>
      </c>
      <c r="AD752" t="s">
        <v>111</v>
      </c>
      <c r="AE752">
        <v>0</v>
      </c>
      <c r="AF752">
        <v>0</v>
      </c>
      <c r="AG752" t="s">
        <v>111</v>
      </c>
      <c r="AH752" t="s">
        <v>111</v>
      </c>
      <c r="AI752" t="s">
        <v>111</v>
      </c>
      <c r="AJ752" t="s">
        <v>111</v>
      </c>
      <c r="AK752" t="s">
        <v>111</v>
      </c>
      <c r="AL752" t="s">
        <v>111</v>
      </c>
      <c r="AM752">
        <v>0</v>
      </c>
      <c r="AN752">
        <v>0</v>
      </c>
      <c r="AO752">
        <v>0</v>
      </c>
      <c r="AP752" t="s">
        <v>111</v>
      </c>
      <c r="AQ752" t="s">
        <v>111</v>
      </c>
      <c r="AR752" t="s">
        <v>111</v>
      </c>
      <c r="AS752" t="s">
        <v>111</v>
      </c>
      <c r="AT752" t="s">
        <v>111</v>
      </c>
      <c r="AU752" t="s">
        <v>111</v>
      </c>
      <c r="AV752" t="s">
        <v>111</v>
      </c>
      <c r="AW752" t="s">
        <v>111</v>
      </c>
      <c r="AX752" t="s">
        <v>111</v>
      </c>
      <c r="AY752" t="s">
        <v>111</v>
      </c>
      <c r="AZ752" t="s">
        <v>111</v>
      </c>
      <c r="BA752" t="s">
        <v>111</v>
      </c>
      <c r="BB752" t="s">
        <v>111</v>
      </c>
      <c r="BC752" t="s">
        <v>111</v>
      </c>
      <c r="BD752" t="s">
        <v>111</v>
      </c>
      <c r="BE752" t="s">
        <v>111</v>
      </c>
      <c r="BF752" t="s">
        <v>111</v>
      </c>
      <c r="BG752" t="s">
        <v>111</v>
      </c>
      <c r="BH752" t="s">
        <v>111</v>
      </c>
      <c r="BI752" t="s">
        <v>111</v>
      </c>
      <c r="BJ752" t="s">
        <v>111</v>
      </c>
      <c r="BK752" t="s">
        <v>111</v>
      </c>
      <c r="BL752" t="s">
        <v>111</v>
      </c>
      <c r="BM752" t="s">
        <v>111</v>
      </c>
      <c r="BN752" t="s">
        <v>111</v>
      </c>
      <c r="BO752" t="s">
        <v>111</v>
      </c>
      <c r="BP752" t="s">
        <v>111</v>
      </c>
      <c r="BQ752" t="s">
        <v>111</v>
      </c>
      <c r="BR752" t="s">
        <v>111</v>
      </c>
      <c r="BS752" t="s">
        <v>111</v>
      </c>
      <c r="BT752" t="s">
        <v>111</v>
      </c>
      <c r="BU752" t="s">
        <v>111</v>
      </c>
      <c r="BV752" t="s">
        <v>111</v>
      </c>
      <c r="BW752" t="s">
        <v>111</v>
      </c>
      <c r="BX752" t="s">
        <v>111</v>
      </c>
      <c r="BY752" t="s">
        <v>111</v>
      </c>
      <c r="BZ752" t="s">
        <v>111</v>
      </c>
      <c r="CA752" t="s">
        <v>111</v>
      </c>
      <c r="CB752" t="s">
        <v>111</v>
      </c>
      <c r="CC752" t="s">
        <v>111</v>
      </c>
      <c r="CD752" t="s">
        <v>111</v>
      </c>
      <c r="CE752" t="s">
        <v>111</v>
      </c>
      <c r="CF752" t="s">
        <v>111</v>
      </c>
      <c r="CG752" t="s">
        <v>111</v>
      </c>
      <c r="CH752" t="s">
        <v>111</v>
      </c>
      <c r="CI752" t="s">
        <v>111</v>
      </c>
      <c r="CJ752" t="s">
        <v>111</v>
      </c>
      <c r="CK752" t="s">
        <v>111</v>
      </c>
      <c r="CL752" t="s">
        <v>111</v>
      </c>
      <c r="CM752">
        <v>450</v>
      </c>
      <c r="CN752" t="s">
        <v>113</v>
      </c>
      <c r="CO752" t="s">
        <v>111</v>
      </c>
      <c r="CP752" t="s">
        <v>111</v>
      </c>
      <c r="CQ752">
        <v>0</v>
      </c>
      <c r="CR752">
        <v>4000</v>
      </c>
      <c r="CS752">
        <v>250</v>
      </c>
      <c r="CT752" t="e">
        <f>-ALMACEN</f>
        <v>#NAME?</v>
      </c>
      <c r="CU752">
        <v>0</v>
      </c>
      <c r="CV752" t="s">
        <v>111</v>
      </c>
      <c r="CW752" t="s">
        <v>111</v>
      </c>
      <c r="CX752" t="s">
        <v>111</v>
      </c>
      <c r="CY752">
        <v>0</v>
      </c>
      <c r="CZ752" t="s">
        <v>111</v>
      </c>
      <c r="DA752" t="s">
        <v>111</v>
      </c>
      <c r="DB752" t="s">
        <v>111</v>
      </c>
      <c r="DC752" t="s">
        <v>111</v>
      </c>
    </row>
    <row r="753" spans="1:107">
      <c r="A753">
        <v>1574</v>
      </c>
      <c r="B753" t="s">
        <v>107</v>
      </c>
      <c r="C753" t="s">
        <v>412</v>
      </c>
      <c r="D753" t="s">
        <v>782</v>
      </c>
      <c r="E753" t="s">
        <v>2556</v>
      </c>
      <c r="F753" t="s">
        <v>431</v>
      </c>
      <c r="G753" t="s">
        <v>469</v>
      </c>
      <c r="H753">
        <v>1.5</v>
      </c>
      <c r="I753">
        <v>52</v>
      </c>
      <c r="J753">
        <v>0</v>
      </c>
      <c r="K753">
        <v>0</v>
      </c>
      <c r="L753" t="s">
        <v>117</v>
      </c>
      <c r="M753" t="s">
        <v>118</v>
      </c>
      <c r="N753">
        <v>39</v>
      </c>
      <c r="O753">
        <v>1</v>
      </c>
      <c r="P753" t="s">
        <v>111</v>
      </c>
      <c r="Q753">
        <v>37.5</v>
      </c>
      <c r="R753">
        <v>0</v>
      </c>
      <c r="S753">
        <v>0</v>
      </c>
      <c r="T753">
        <v>5</v>
      </c>
      <c r="U753" s="1" t="s">
        <v>2557</v>
      </c>
      <c r="V753">
        <v>0</v>
      </c>
      <c r="W753">
        <v>25</v>
      </c>
      <c r="X753">
        <v>6</v>
      </c>
      <c r="Y753">
        <v>0</v>
      </c>
      <c r="Z753" t="s">
        <v>111</v>
      </c>
      <c r="AA753">
        <v>0</v>
      </c>
      <c r="AB753" t="s">
        <v>111</v>
      </c>
      <c r="AC753">
        <v>0</v>
      </c>
      <c r="AD753" t="s">
        <v>416</v>
      </c>
      <c r="AE753">
        <v>0</v>
      </c>
      <c r="AF753">
        <v>0</v>
      </c>
      <c r="AG753" t="s">
        <v>111</v>
      </c>
      <c r="AH753" t="s">
        <v>113</v>
      </c>
      <c r="AI753" t="s">
        <v>111</v>
      </c>
      <c r="AJ753" t="s">
        <v>111</v>
      </c>
      <c r="AK753" t="s">
        <v>111</v>
      </c>
      <c r="AL753" t="s">
        <v>111</v>
      </c>
      <c r="AM753">
        <v>0</v>
      </c>
      <c r="AN753">
        <v>0</v>
      </c>
      <c r="AO753">
        <v>0</v>
      </c>
      <c r="AP753" t="s">
        <v>111</v>
      </c>
      <c r="AQ753" t="s">
        <v>111</v>
      </c>
      <c r="AR753" t="s">
        <v>111</v>
      </c>
      <c r="AS753" t="s">
        <v>111</v>
      </c>
      <c r="AT753" t="s">
        <v>111</v>
      </c>
      <c r="AU753" t="s">
        <v>111</v>
      </c>
      <c r="AV753" t="s">
        <v>111</v>
      </c>
      <c r="AW753" t="s">
        <v>111</v>
      </c>
      <c r="AX753" t="s">
        <v>111</v>
      </c>
      <c r="AY753" t="s">
        <v>111</v>
      </c>
      <c r="AZ753" t="s">
        <v>111</v>
      </c>
      <c r="BA753" t="s">
        <v>111</v>
      </c>
      <c r="BB753" t="s">
        <v>111</v>
      </c>
      <c r="BC753" t="s">
        <v>111</v>
      </c>
      <c r="BD753" t="s">
        <v>111</v>
      </c>
      <c r="BE753" t="s">
        <v>111</v>
      </c>
      <c r="BF753" t="s">
        <v>111</v>
      </c>
      <c r="BG753" t="s">
        <v>111</v>
      </c>
      <c r="BH753" t="s">
        <v>111</v>
      </c>
      <c r="BI753" t="s">
        <v>111</v>
      </c>
      <c r="BJ753" t="s">
        <v>111</v>
      </c>
      <c r="BK753" t="s">
        <v>111</v>
      </c>
      <c r="BL753" t="s">
        <v>111</v>
      </c>
      <c r="BM753" t="s">
        <v>111</v>
      </c>
      <c r="BN753" t="s">
        <v>111</v>
      </c>
      <c r="BO753" t="s">
        <v>111</v>
      </c>
      <c r="BP753" t="s">
        <v>111</v>
      </c>
      <c r="BQ753" t="s">
        <v>111</v>
      </c>
      <c r="BR753" t="s">
        <v>111</v>
      </c>
      <c r="BS753" t="s">
        <v>111</v>
      </c>
      <c r="BT753" t="s">
        <v>111</v>
      </c>
      <c r="BU753" t="s">
        <v>111</v>
      </c>
      <c r="BV753" t="s">
        <v>111</v>
      </c>
      <c r="BW753" t="s">
        <v>111</v>
      </c>
      <c r="BX753" t="s">
        <v>111</v>
      </c>
      <c r="BY753" t="s">
        <v>111</v>
      </c>
      <c r="BZ753" t="s">
        <v>111</v>
      </c>
      <c r="CA753" t="s">
        <v>111</v>
      </c>
      <c r="CB753" t="s">
        <v>111</v>
      </c>
      <c r="CC753" t="s">
        <v>111</v>
      </c>
      <c r="CD753" t="s">
        <v>111</v>
      </c>
      <c r="CE753" t="s">
        <v>111</v>
      </c>
      <c r="CF753" t="s">
        <v>111</v>
      </c>
      <c r="CG753" t="s">
        <v>111</v>
      </c>
      <c r="CH753" t="s">
        <v>111</v>
      </c>
      <c r="CI753" t="s">
        <v>111</v>
      </c>
      <c r="CJ753" t="s">
        <v>111</v>
      </c>
      <c r="CK753" t="s">
        <v>111</v>
      </c>
      <c r="CL753" t="s">
        <v>111</v>
      </c>
      <c r="CM753" t="s">
        <v>360</v>
      </c>
      <c r="CN753" t="s">
        <v>113</v>
      </c>
      <c r="CO753" t="s">
        <v>111</v>
      </c>
      <c r="CP753" t="s">
        <v>111</v>
      </c>
      <c r="CQ753">
        <v>0</v>
      </c>
      <c r="CR753">
        <v>8000</v>
      </c>
      <c r="CS753">
        <v>200</v>
      </c>
      <c r="CT753" t="e">
        <f>-ALAMCEN</f>
        <v>#NAME?</v>
      </c>
      <c r="CU753">
        <v>0</v>
      </c>
      <c r="CV753" t="s">
        <v>111</v>
      </c>
      <c r="CW753" t="s">
        <v>111</v>
      </c>
      <c r="CX753" t="s">
        <v>111</v>
      </c>
      <c r="CY753">
        <v>0</v>
      </c>
      <c r="CZ753" t="s">
        <v>111</v>
      </c>
      <c r="DA753" t="s">
        <v>111</v>
      </c>
      <c r="DB753" t="s">
        <v>111</v>
      </c>
      <c r="DC753" t="s">
        <v>111</v>
      </c>
    </row>
    <row r="754" spans="1:107">
      <c r="A754">
        <v>90</v>
      </c>
      <c r="B754" t="s">
        <v>107</v>
      </c>
      <c r="C754" t="s">
        <v>171</v>
      </c>
      <c r="D754" t="s">
        <v>573</v>
      </c>
      <c r="E754" t="s">
        <v>2558</v>
      </c>
      <c r="F754" t="s">
        <v>431</v>
      </c>
      <c r="G754" t="s">
        <v>469</v>
      </c>
      <c r="H754">
        <v>2.5</v>
      </c>
      <c r="I754">
        <v>56</v>
      </c>
      <c r="J754">
        <v>0</v>
      </c>
      <c r="K754">
        <v>0</v>
      </c>
      <c r="L754" t="s">
        <v>117</v>
      </c>
      <c r="M754" t="s">
        <v>118</v>
      </c>
      <c r="N754">
        <v>40</v>
      </c>
      <c r="O754">
        <v>1</v>
      </c>
      <c r="P754" t="s">
        <v>138</v>
      </c>
      <c r="Q754">
        <v>39.700000000000003</v>
      </c>
      <c r="R754">
        <v>0</v>
      </c>
      <c r="S754">
        <v>0</v>
      </c>
      <c r="T754">
        <v>5</v>
      </c>
      <c r="U754" t="e">
        <f>-DESTINO DARMA</f>
        <v>#NAME?</v>
      </c>
      <c r="V754">
        <v>0</v>
      </c>
      <c r="W754">
        <v>25</v>
      </c>
      <c r="X754">
        <v>8</v>
      </c>
      <c r="Y754">
        <v>0</v>
      </c>
      <c r="Z754" t="s">
        <v>111</v>
      </c>
      <c r="AA754">
        <v>0</v>
      </c>
      <c r="AB754" t="s">
        <v>2559</v>
      </c>
      <c r="AC754">
        <v>8</v>
      </c>
      <c r="AD754" t="s">
        <v>416</v>
      </c>
      <c r="AE754">
        <v>4</v>
      </c>
      <c r="AF754">
        <v>1</v>
      </c>
      <c r="AG754" t="s">
        <v>2560</v>
      </c>
      <c r="AH754" t="s">
        <v>111</v>
      </c>
      <c r="AI754">
        <v>35</v>
      </c>
      <c r="AJ754" t="s">
        <v>111</v>
      </c>
      <c r="AK754" t="s">
        <v>111</v>
      </c>
      <c r="AL754" t="s">
        <v>111</v>
      </c>
      <c r="AM754">
        <v>0</v>
      </c>
      <c r="AN754">
        <v>0</v>
      </c>
      <c r="AO754">
        <v>0</v>
      </c>
      <c r="AP754" t="s">
        <v>188</v>
      </c>
      <c r="AQ754" t="s">
        <v>111</v>
      </c>
      <c r="AR754" t="s">
        <v>111</v>
      </c>
      <c r="AS754" t="s">
        <v>111</v>
      </c>
      <c r="AT754" t="s">
        <v>2561</v>
      </c>
      <c r="AU754" t="s">
        <v>111</v>
      </c>
      <c r="AV754" t="s">
        <v>111</v>
      </c>
      <c r="AW754" t="s">
        <v>111</v>
      </c>
      <c r="AX754" t="s">
        <v>288</v>
      </c>
      <c r="AY754" t="s">
        <v>111</v>
      </c>
      <c r="AZ754" t="s">
        <v>111</v>
      </c>
      <c r="BA754" t="s">
        <v>111</v>
      </c>
      <c r="BB754" t="s">
        <v>271</v>
      </c>
      <c r="BC754" t="s">
        <v>111</v>
      </c>
      <c r="BD754" t="s">
        <v>111</v>
      </c>
      <c r="BE754" t="s">
        <v>111</v>
      </c>
      <c r="BF754" t="s">
        <v>111</v>
      </c>
      <c r="BG754" t="s">
        <v>111</v>
      </c>
      <c r="BH754" t="s">
        <v>111</v>
      </c>
      <c r="BI754" t="s">
        <v>111</v>
      </c>
      <c r="BJ754" t="s">
        <v>111</v>
      </c>
      <c r="BK754" t="s">
        <v>111</v>
      </c>
      <c r="BL754" t="s">
        <v>111</v>
      </c>
      <c r="BM754" t="s">
        <v>111</v>
      </c>
      <c r="BN754" t="s">
        <v>188</v>
      </c>
      <c r="BO754" t="s">
        <v>111</v>
      </c>
      <c r="BP754" t="s">
        <v>111</v>
      </c>
      <c r="BQ754" t="s">
        <v>111</v>
      </c>
      <c r="BR754" t="s">
        <v>111</v>
      </c>
      <c r="BS754" t="s">
        <v>111</v>
      </c>
      <c r="BT754" t="s">
        <v>111</v>
      </c>
      <c r="BU754" t="s">
        <v>111</v>
      </c>
      <c r="BV754" t="s">
        <v>111</v>
      </c>
      <c r="BW754" t="s">
        <v>111</v>
      </c>
      <c r="BX754" t="s">
        <v>111</v>
      </c>
      <c r="BY754" t="s">
        <v>111</v>
      </c>
      <c r="BZ754" t="s">
        <v>111</v>
      </c>
      <c r="CA754" t="s">
        <v>111</v>
      </c>
      <c r="CB754" t="s">
        <v>111</v>
      </c>
      <c r="CC754" t="s">
        <v>111</v>
      </c>
      <c r="CD754" t="s">
        <v>111</v>
      </c>
      <c r="CE754" t="s">
        <v>111</v>
      </c>
      <c r="CF754" t="s">
        <v>111</v>
      </c>
      <c r="CG754" t="s">
        <v>111</v>
      </c>
      <c r="CH754" t="s">
        <v>111</v>
      </c>
      <c r="CI754" t="s">
        <v>111</v>
      </c>
      <c r="CJ754" t="s">
        <v>111</v>
      </c>
      <c r="CK754" t="s">
        <v>111</v>
      </c>
      <c r="CL754" t="s">
        <v>153</v>
      </c>
      <c r="CM754" t="s">
        <v>198</v>
      </c>
      <c r="CN754" t="s">
        <v>113</v>
      </c>
      <c r="CO754" t="s">
        <v>111</v>
      </c>
      <c r="CP754" t="s">
        <v>433</v>
      </c>
      <c r="CQ754">
        <v>0</v>
      </c>
      <c r="CR754">
        <v>0</v>
      </c>
      <c r="CS754">
        <v>0</v>
      </c>
      <c r="CT754" t="e">
        <f>-DESTINO ALMACEN</f>
        <v>#NAME?</v>
      </c>
      <c r="CU754">
        <v>0</v>
      </c>
      <c r="CV754" t="s">
        <v>111</v>
      </c>
      <c r="CW754" t="s">
        <v>111</v>
      </c>
      <c r="CX754" t="s">
        <v>111</v>
      </c>
      <c r="CY754">
        <v>0</v>
      </c>
      <c r="CZ754" t="s">
        <v>111</v>
      </c>
      <c r="DA754" t="s">
        <v>111</v>
      </c>
      <c r="DB754" t="s">
        <v>111</v>
      </c>
      <c r="DC754" t="s">
        <v>111</v>
      </c>
    </row>
    <row r="755" spans="1:107">
      <c r="A755">
        <v>1738</v>
      </c>
      <c r="B755" t="s">
        <v>107</v>
      </c>
      <c r="C755" t="s">
        <v>876</v>
      </c>
      <c r="D755" t="s">
        <v>2562</v>
      </c>
      <c r="E755" t="s">
        <v>2563</v>
      </c>
      <c r="F755" t="s">
        <v>192</v>
      </c>
      <c r="G755" t="s">
        <v>469</v>
      </c>
      <c r="H755">
        <v>3.9</v>
      </c>
      <c r="I755">
        <v>20</v>
      </c>
      <c r="J755">
        <v>6</v>
      </c>
      <c r="K755">
        <v>6</v>
      </c>
      <c r="L755" t="s">
        <v>2564</v>
      </c>
      <c r="M755" t="s">
        <v>138</v>
      </c>
      <c r="N755">
        <v>0</v>
      </c>
      <c r="O755">
        <v>0</v>
      </c>
      <c r="P755" t="s">
        <v>111</v>
      </c>
      <c r="Q755">
        <v>30</v>
      </c>
      <c r="R755">
        <v>0</v>
      </c>
      <c r="S755">
        <v>0</v>
      </c>
      <c r="T755">
        <v>5</v>
      </c>
      <c r="U755" s="1" t="s">
        <v>2565</v>
      </c>
      <c r="V755">
        <v>0</v>
      </c>
      <c r="W755">
        <v>25</v>
      </c>
      <c r="X755">
        <v>8</v>
      </c>
      <c r="Y755">
        <v>0</v>
      </c>
      <c r="Z755" t="s">
        <v>288</v>
      </c>
      <c r="AA755">
        <v>1.5</v>
      </c>
      <c r="AB755" t="s">
        <v>259</v>
      </c>
      <c r="AC755">
        <v>1</v>
      </c>
      <c r="AD755" t="s">
        <v>111</v>
      </c>
      <c r="AE755">
        <v>0</v>
      </c>
      <c r="AF755">
        <v>0</v>
      </c>
      <c r="AG755" t="s">
        <v>111</v>
      </c>
      <c r="AH755" t="s">
        <v>111</v>
      </c>
      <c r="AI755" t="s">
        <v>111</v>
      </c>
      <c r="AJ755" t="s">
        <v>111</v>
      </c>
      <c r="AK755" t="s">
        <v>111</v>
      </c>
      <c r="AL755" t="s">
        <v>111</v>
      </c>
      <c r="AM755">
        <v>0</v>
      </c>
      <c r="AN755">
        <v>0</v>
      </c>
      <c r="AO755">
        <v>0</v>
      </c>
      <c r="AP755" t="s">
        <v>111</v>
      </c>
      <c r="AQ755" t="s">
        <v>111</v>
      </c>
      <c r="AR755" t="s">
        <v>111</v>
      </c>
      <c r="AS755" t="s">
        <v>111</v>
      </c>
      <c r="AT755" t="s">
        <v>111</v>
      </c>
      <c r="AU755" t="s">
        <v>111</v>
      </c>
      <c r="AV755" t="s">
        <v>111</v>
      </c>
      <c r="AW755" t="s">
        <v>111</v>
      </c>
      <c r="AX755" t="s">
        <v>111</v>
      </c>
      <c r="AY755" t="s">
        <v>111</v>
      </c>
      <c r="AZ755" t="s">
        <v>111</v>
      </c>
      <c r="BA755" t="s">
        <v>111</v>
      </c>
      <c r="BB755" t="s">
        <v>111</v>
      </c>
      <c r="BC755" t="s">
        <v>111</v>
      </c>
      <c r="BD755" t="s">
        <v>111</v>
      </c>
      <c r="BE755" t="s">
        <v>111</v>
      </c>
      <c r="BF755" t="s">
        <v>111</v>
      </c>
      <c r="BG755" t="s">
        <v>111</v>
      </c>
      <c r="BH755" t="s">
        <v>111</v>
      </c>
      <c r="BI755" t="s">
        <v>111</v>
      </c>
      <c r="BJ755" t="s">
        <v>111</v>
      </c>
      <c r="BK755" t="s">
        <v>111</v>
      </c>
      <c r="BL755" t="s">
        <v>111</v>
      </c>
      <c r="BM755" t="s">
        <v>111</v>
      </c>
      <c r="BN755" t="s">
        <v>111</v>
      </c>
      <c r="BO755" t="s">
        <v>111</v>
      </c>
      <c r="BP755" t="s">
        <v>111</v>
      </c>
      <c r="BQ755" t="s">
        <v>111</v>
      </c>
      <c r="BR755" t="s">
        <v>111</v>
      </c>
      <c r="BS755" t="s">
        <v>111</v>
      </c>
      <c r="BT755" t="s">
        <v>111</v>
      </c>
      <c r="BU755" t="s">
        <v>111</v>
      </c>
      <c r="BV755" t="s">
        <v>111</v>
      </c>
      <c r="BW755" t="s">
        <v>111</v>
      </c>
      <c r="BX755" t="s">
        <v>111</v>
      </c>
      <c r="BY755" t="s">
        <v>111</v>
      </c>
      <c r="BZ755" t="s">
        <v>111</v>
      </c>
      <c r="CA755" t="s">
        <v>111</v>
      </c>
      <c r="CB755" t="s">
        <v>111</v>
      </c>
      <c r="CC755" t="s">
        <v>111</v>
      </c>
      <c r="CD755" t="s">
        <v>111</v>
      </c>
      <c r="CE755" t="s">
        <v>111</v>
      </c>
      <c r="CF755" t="s">
        <v>111</v>
      </c>
      <c r="CG755" t="s">
        <v>111</v>
      </c>
      <c r="CH755" t="s">
        <v>111</v>
      </c>
      <c r="CI755" t="s">
        <v>111</v>
      </c>
      <c r="CJ755" t="s">
        <v>111</v>
      </c>
      <c r="CK755" t="s">
        <v>111</v>
      </c>
      <c r="CL755" t="s">
        <v>111</v>
      </c>
      <c r="CM755" t="s">
        <v>135</v>
      </c>
      <c r="CN755" t="s">
        <v>128</v>
      </c>
      <c r="CO755" t="s">
        <v>637</v>
      </c>
      <c r="CP755" t="s">
        <v>111</v>
      </c>
      <c r="CQ755">
        <v>0</v>
      </c>
      <c r="CR755">
        <v>1000</v>
      </c>
      <c r="CS755">
        <v>25</v>
      </c>
      <c r="CT755" t="e">
        <f>-ALMACEN</f>
        <v>#NAME?</v>
      </c>
      <c r="CU755">
        <v>0</v>
      </c>
      <c r="CV755" t="s">
        <v>111</v>
      </c>
      <c r="CX755" t="s">
        <v>111</v>
      </c>
      <c r="CY755">
        <v>0</v>
      </c>
      <c r="CZ755" t="s">
        <v>111</v>
      </c>
      <c r="DA755" t="s">
        <v>111</v>
      </c>
      <c r="DB755" t="s">
        <v>111</v>
      </c>
      <c r="DC755" t="s">
        <v>111</v>
      </c>
    </row>
    <row r="756" spans="1:107">
      <c r="A756">
        <v>1689</v>
      </c>
      <c r="B756" t="s">
        <v>107</v>
      </c>
      <c r="C756" t="s">
        <v>405</v>
      </c>
      <c r="D756" t="s">
        <v>2566</v>
      </c>
      <c r="E756" t="s">
        <v>2567</v>
      </c>
      <c r="F756" t="s">
        <v>116</v>
      </c>
      <c r="G756" t="s">
        <v>469</v>
      </c>
      <c r="H756">
        <v>1.9</v>
      </c>
      <c r="I756">
        <v>51</v>
      </c>
      <c r="J756">
        <v>0</v>
      </c>
      <c r="K756">
        <v>0</v>
      </c>
      <c r="L756" t="s">
        <v>117</v>
      </c>
      <c r="M756" t="s">
        <v>138</v>
      </c>
      <c r="N756">
        <v>0</v>
      </c>
      <c r="O756">
        <v>0</v>
      </c>
      <c r="P756" t="s">
        <v>111</v>
      </c>
      <c r="Q756">
        <v>51.9</v>
      </c>
      <c r="R756">
        <v>0</v>
      </c>
      <c r="S756">
        <v>0</v>
      </c>
      <c r="T756">
        <v>0</v>
      </c>
      <c r="U756" s="1" t="s">
        <v>2568</v>
      </c>
      <c r="V756">
        <v>0</v>
      </c>
      <c r="W756">
        <v>25</v>
      </c>
      <c r="X756">
        <v>5</v>
      </c>
      <c r="Y756">
        <v>0</v>
      </c>
      <c r="Z756" t="s">
        <v>111</v>
      </c>
      <c r="AA756">
        <v>0</v>
      </c>
      <c r="AB756" t="s">
        <v>111</v>
      </c>
      <c r="AC756">
        <v>0</v>
      </c>
      <c r="AD756" t="s">
        <v>111</v>
      </c>
      <c r="AE756">
        <v>0</v>
      </c>
      <c r="AF756">
        <v>0</v>
      </c>
      <c r="AG756" t="s">
        <v>111</v>
      </c>
      <c r="AH756" t="s">
        <v>111</v>
      </c>
      <c r="AI756" t="s">
        <v>111</v>
      </c>
      <c r="AJ756" t="s">
        <v>111</v>
      </c>
      <c r="AK756" t="s">
        <v>111</v>
      </c>
      <c r="AL756" t="s">
        <v>111</v>
      </c>
      <c r="AM756">
        <v>0</v>
      </c>
      <c r="AN756">
        <v>0</v>
      </c>
      <c r="AO756">
        <v>0</v>
      </c>
      <c r="AP756" t="s">
        <v>111</v>
      </c>
      <c r="AQ756" t="s">
        <v>111</v>
      </c>
      <c r="AR756" t="s">
        <v>111</v>
      </c>
      <c r="AS756" t="s">
        <v>111</v>
      </c>
      <c r="AT756" t="s">
        <v>111</v>
      </c>
      <c r="AU756" t="s">
        <v>111</v>
      </c>
      <c r="AV756" t="s">
        <v>111</v>
      </c>
      <c r="AW756" t="s">
        <v>111</v>
      </c>
      <c r="AX756" t="s">
        <v>111</v>
      </c>
      <c r="AY756" t="s">
        <v>111</v>
      </c>
      <c r="AZ756" t="s">
        <v>111</v>
      </c>
      <c r="BA756" t="s">
        <v>111</v>
      </c>
      <c r="BB756" t="s">
        <v>111</v>
      </c>
      <c r="BC756" t="s">
        <v>111</v>
      </c>
      <c r="BD756" t="s">
        <v>111</v>
      </c>
      <c r="BE756" t="s">
        <v>111</v>
      </c>
      <c r="BF756" t="s">
        <v>111</v>
      </c>
      <c r="BG756" t="s">
        <v>111</v>
      </c>
      <c r="BH756" t="s">
        <v>111</v>
      </c>
      <c r="BI756" t="s">
        <v>111</v>
      </c>
      <c r="BJ756" t="s">
        <v>111</v>
      </c>
      <c r="BK756" t="s">
        <v>111</v>
      </c>
      <c r="BL756" t="s">
        <v>111</v>
      </c>
      <c r="BM756" t="s">
        <v>111</v>
      </c>
      <c r="BN756" t="s">
        <v>111</v>
      </c>
      <c r="BO756" t="s">
        <v>111</v>
      </c>
      <c r="BP756" t="s">
        <v>111</v>
      </c>
      <c r="BQ756" t="s">
        <v>111</v>
      </c>
      <c r="BR756" t="s">
        <v>111</v>
      </c>
      <c r="BS756" t="s">
        <v>111</v>
      </c>
      <c r="BT756" t="s">
        <v>111</v>
      </c>
      <c r="BU756" t="s">
        <v>111</v>
      </c>
      <c r="BV756" t="s">
        <v>111</v>
      </c>
      <c r="BW756" t="s">
        <v>111</v>
      </c>
      <c r="BX756" t="s">
        <v>111</v>
      </c>
      <c r="BY756" t="s">
        <v>111</v>
      </c>
      <c r="BZ756" t="s">
        <v>111</v>
      </c>
      <c r="CA756" t="s">
        <v>111</v>
      </c>
      <c r="CB756" t="s">
        <v>111</v>
      </c>
      <c r="CC756" t="s">
        <v>111</v>
      </c>
      <c r="CD756" t="s">
        <v>111</v>
      </c>
      <c r="CE756" t="s">
        <v>111</v>
      </c>
      <c r="CF756" t="s">
        <v>111</v>
      </c>
      <c r="CG756" t="s">
        <v>111</v>
      </c>
      <c r="CH756" t="s">
        <v>111</v>
      </c>
      <c r="CI756" t="s">
        <v>111</v>
      </c>
      <c r="CJ756" t="s">
        <v>111</v>
      </c>
      <c r="CK756" t="s">
        <v>111</v>
      </c>
      <c r="CL756" t="s">
        <v>111</v>
      </c>
      <c r="CM756" t="s">
        <v>111</v>
      </c>
      <c r="CN756" t="s">
        <v>111</v>
      </c>
      <c r="CO756" t="s">
        <v>111</v>
      </c>
      <c r="CP756" t="s">
        <v>111</v>
      </c>
      <c r="CQ756">
        <v>0</v>
      </c>
      <c r="CR756">
        <v>0</v>
      </c>
      <c r="CS756">
        <v>0</v>
      </c>
      <c r="CT756" t="s">
        <v>111</v>
      </c>
      <c r="CU756">
        <v>0</v>
      </c>
      <c r="CV756" t="s">
        <v>111</v>
      </c>
      <c r="CX756" t="s">
        <v>111</v>
      </c>
      <c r="CY756">
        <v>0</v>
      </c>
      <c r="CZ756" t="s">
        <v>111</v>
      </c>
      <c r="DA756" t="s">
        <v>111</v>
      </c>
      <c r="DB756" t="s">
        <v>111</v>
      </c>
      <c r="DC756" t="s">
        <v>111</v>
      </c>
    </row>
    <row r="757" spans="1:107">
      <c r="A757">
        <v>1690</v>
      </c>
      <c r="B757" t="s">
        <v>107</v>
      </c>
      <c r="C757" t="s">
        <v>2291</v>
      </c>
      <c r="D757" t="s">
        <v>2569</v>
      </c>
      <c r="E757" t="s">
        <v>2570</v>
      </c>
      <c r="F757" t="s">
        <v>561</v>
      </c>
      <c r="G757" t="s">
        <v>469</v>
      </c>
      <c r="H757">
        <v>1.9</v>
      </c>
      <c r="I757">
        <v>48</v>
      </c>
      <c r="J757">
        <v>0</v>
      </c>
      <c r="K757">
        <v>0</v>
      </c>
      <c r="L757" t="s">
        <v>112</v>
      </c>
      <c r="M757" t="s">
        <v>118</v>
      </c>
      <c r="N757">
        <v>40</v>
      </c>
      <c r="O757">
        <v>2</v>
      </c>
      <c r="P757" t="s">
        <v>111</v>
      </c>
      <c r="Q757">
        <v>46.7</v>
      </c>
      <c r="R757">
        <v>0</v>
      </c>
      <c r="S757">
        <v>0</v>
      </c>
      <c r="T757">
        <v>5</v>
      </c>
      <c r="U757" s="1" t="s">
        <v>662</v>
      </c>
      <c r="V757">
        <v>25</v>
      </c>
      <c r="W757">
        <v>0</v>
      </c>
      <c r="X757">
        <v>8</v>
      </c>
      <c r="Y757">
        <v>0</v>
      </c>
      <c r="Z757" t="s">
        <v>111</v>
      </c>
      <c r="AA757">
        <v>0</v>
      </c>
      <c r="AB757" t="s">
        <v>111</v>
      </c>
      <c r="AC757">
        <v>0</v>
      </c>
      <c r="AD757" t="s">
        <v>416</v>
      </c>
      <c r="AE757">
        <v>0</v>
      </c>
      <c r="AF757">
        <v>0</v>
      </c>
      <c r="AG757" t="s">
        <v>111</v>
      </c>
      <c r="AH757" t="s">
        <v>113</v>
      </c>
      <c r="AI757" t="s">
        <v>111</v>
      </c>
      <c r="AJ757" t="s">
        <v>111</v>
      </c>
      <c r="AK757" t="s">
        <v>111</v>
      </c>
      <c r="AL757" t="s">
        <v>111</v>
      </c>
      <c r="AM757">
        <v>0</v>
      </c>
      <c r="AN757">
        <v>0</v>
      </c>
      <c r="AO757">
        <v>0</v>
      </c>
      <c r="AP757" t="s">
        <v>111</v>
      </c>
      <c r="AQ757" t="s">
        <v>111</v>
      </c>
      <c r="AR757" t="s">
        <v>111</v>
      </c>
      <c r="AS757" t="s">
        <v>111</v>
      </c>
      <c r="AT757" t="s">
        <v>111</v>
      </c>
      <c r="AU757" t="s">
        <v>111</v>
      </c>
      <c r="AV757" t="s">
        <v>111</v>
      </c>
      <c r="AW757" t="s">
        <v>111</v>
      </c>
      <c r="AX757" t="s">
        <v>111</v>
      </c>
      <c r="AY757" t="s">
        <v>111</v>
      </c>
      <c r="AZ757" t="s">
        <v>111</v>
      </c>
      <c r="BA757" t="s">
        <v>111</v>
      </c>
      <c r="BB757" t="s">
        <v>111</v>
      </c>
      <c r="BC757" t="s">
        <v>111</v>
      </c>
      <c r="BD757" t="s">
        <v>111</v>
      </c>
      <c r="BE757" t="s">
        <v>111</v>
      </c>
      <c r="BF757" t="s">
        <v>111</v>
      </c>
      <c r="BG757" t="s">
        <v>111</v>
      </c>
      <c r="BH757" t="s">
        <v>111</v>
      </c>
      <c r="BI757" t="s">
        <v>111</v>
      </c>
      <c r="BJ757" t="s">
        <v>111</v>
      </c>
      <c r="BK757" t="s">
        <v>111</v>
      </c>
      <c r="BL757" t="s">
        <v>111</v>
      </c>
      <c r="BM757" t="s">
        <v>111</v>
      </c>
      <c r="BN757" t="s">
        <v>111</v>
      </c>
      <c r="BO757" t="s">
        <v>111</v>
      </c>
      <c r="BP757" t="s">
        <v>111</v>
      </c>
      <c r="BQ757" t="s">
        <v>111</v>
      </c>
      <c r="BR757" t="s">
        <v>111</v>
      </c>
      <c r="BS757" t="s">
        <v>111</v>
      </c>
      <c r="BT757" t="s">
        <v>111</v>
      </c>
      <c r="BU757" t="s">
        <v>111</v>
      </c>
      <c r="BV757" t="s">
        <v>111</v>
      </c>
      <c r="BW757" t="s">
        <v>111</v>
      </c>
      <c r="BX757" t="s">
        <v>111</v>
      </c>
      <c r="BY757" t="s">
        <v>111</v>
      </c>
      <c r="BZ757" t="s">
        <v>111</v>
      </c>
      <c r="CA757" t="s">
        <v>111</v>
      </c>
      <c r="CB757" t="s">
        <v>111</v>
      </c>
      <c r="CC757" t="s">
        <v>111</v>
      </c>
      <c r="CD757" t="s">
        <v>111</v>
      </c>
      <c r="CE757" t="s">
        <v>111</v>
      </c>
      <c r="CF757" t="s">
        <v>111</v>
      </c>
      <c r="CG757" t="s">
        <v>111</v>
      </c>
      <c r="CH757" t="s">
        <v>111</v>
      </c>
      <c r="CI757" t="s">
        <v>111</v>
      </c>
      <c r="CJ757" t="s">
        <v>111</v>
      </c>
      <c r="CK757" t="s">
        <v>111</v>
      </c>
      <c r="CL757" t="s">
        <v>111</v>
      </c>
      <c r="CM757" t="s">
        <v>438</v>
      </c>
      <c r="CN757" t="s">
        <v>113</v>
      </c>
      <c r="CO757" t="s">
        <v>111</v>
      </c>
      <c r="CP757" t="s">
        <v>111</v>
      </c>
      <c r="CQ757">
        <v>0</v>
      </c>
      <c r="CR757">
        <v>3000</v>
      </c>
      <c r="CS757">
        <v>200</v>
      </c>
      <c r="CT757" s="1" t="s">
        <v>2571</v>
      </c>
      <c r="CU757">
        <v>0</v>
      </c>
      <c r="CV757" t="s">
        <v>111</v>
      </c>
      <c r="CX757" t="s">
        <v>111</v>
      </c>
      <c r="CY757">
        <v>0</v>
      </c>
      <c r="CZ757" t="s">
        <v>111</v>
      </c>
      <c r="DA757" t="s">
        <v>111</v>
      </c>
      <c r="DB757" t="e">
        <f>-INTERNO</f>
        <v>#NAME?</v>
      </c>
      <c r="DC757" t="e">
        <f>-TROQUEL RIÑON</f>
        <v>#NAME?</v>
      </c>
    </row>
    <row r="758" spans="1:107">
      <c r="A758">
        <v>2057</v>
      </c>
      <c r="B758" t="s">
        <v>376</v>
      </c>
      <c r="C758" t="s">
        <v>2572</v>
      </c>
      <c r="D758" t="s">
        <v>2573</v>
      </c>
      <c r="E758" t="s">
        <v>2449</v>
      </c>
      <c r="F758" t="s">
        <v>875</v>
      </c>
      <c r="G758" t="s">
        <v>469</v>
      </c>
      <c r="H758">
        <v>1.2</v>
      </c>
      <c r="I758">
        <v>50</v>
      </c>
      <c r="J758">
        <v>0</v>
      </c>
      <c r="K758">
        <v>0</v>
      </c>
      <c r="L758" t="s">
        <v>112</v>
      </c>
      <c r="M758" t="s">
        <v>111</v>
      </c>
      <c r="N758">
        <v>0</v>
      </c>
      <c r="O758">
        <v>0</v>
      </c>
      <c r="P758" t="s">
        <v>111</v>
      </c>
      <c r="Q758">
        <v>35</v>
      </c>
      <c r="R758">
        <v>0</v>
      </c>
      <c r="S758">
        <v>0</v>
      </c>
      <c r="T758">
        <v>5</v>
      </c>
      <c r="U758" s="1" t="s">
        <v>2574</v>
      </c>
      <c r="V758">
        <v>0</v>
      </c>
      <c r="W758">
        <v>25</v>
      </c>
      <c r="X758">
        <v>8</v>
      </c>
      <c r="Y758">
        <v>0</v>
      </c>
      <c r="Z758" t="s">
        <v>288</v>
      </c>
      <c r="AA758">
        <v>1.65</v>
      </c>
      <c r="AB758" t="s">
        <v>111</v>
      </c>
      <c r="AC758">
        <v>0</v>
      </c>
      <c r="AD758" t="s">
        <v>111</v>
      </c>
      <c r="AE758">
        <v>0</v>
      </c>
      <c r="AF758">
        <v>0</v>
      </c>
      <c r="AG758" t="s">
        <v>111</v>
      </c>
      <c r="AH758" t="s">
        <v>111</v>
      </c>
      <c r="AI758" t="s">
        <v>111</v>
      </c>
      <c r="AJ758" t="s">
        <v>111</v>
      </c>
      <c r="AK758" t="s">
        <v>111</v>
      </c>
      <c r="AL758" t="s">
        <v>111</v>
      </c>
      <c r="AM758">
        <v>0</v>
      </c>
      <c r="AN758">
        <v>0</v>
      </c>
      <c r="AO758">
        <v>0</v>
      </c>
      <c r="AP758" t="s">
        <v>111</v>
      </c>
      <c r="AQ758" t="s">
        <v>111</v>
      </c>
      <c r="AR758" t="s">
        <v>111</v>
      </c>
      <c r="AS758" t="s">
        <v>111</v>
      </c>
      <c r="AT758" t="s">
        <v>111</v>
      </c>
      <c r="AU758" t="s">
        <v>111</v>
      </c>
      <c r="AV758" t="s">
        <v>111</v>
      </c>
      <c r="AW758" t="s">
        <v>111</v>
      </c>
      <c r="AX758" t="s">
        <v>111</v>
      </c>
      <c r="AY758" t="s">
        <v>111</v>
      </c>
      <c r="AZ758" t="s">
        <v>111</v>
      </c>
      <c r="BA758" t="s">
        <v>111</v>
      </c>
      <c r="BB758" t="s">
        <v>111</v>
      </c>
      <c r="BC758" t="s">
        <v>111</v>
      </c>
      <c r="BD758" t="s">
        <v>111</v>
      </c>
      <c r="BE758" t="s">
        <v>111</v>
      </c>
      <c r="BF758" t="s">
        <v>111</v>
      </c>
      <c r="BG758" t="s">
        <v>111</v>
      </c>
      <c r="BH758" t="s">
        <v>111</v>
      </c>
      <c r="BI758" t="s">
        <v>111</v>
      </c>
      <c r="BJ758" t="s">
        <v>111</v>
      </c>
      <c r="BK758" t="s">
        <v>111</v>
      </c>
      <c r="BL758" t="s">
        <v>111</v>
      </c>
      <c r="BM758" t="s">
        <v>111</v>
      </c>
      <c r="BN758" t="s">
        <v>111</v>
      </c>
      <c r="BO758" t="s">
        <v>111</v>
      </c>
      <c r="BP758" t="s">
        <v>111</v>
      </c>
      <c r="BQ758" t="s">
        <v>111</v>
      </c>
      <c r="BR758" t="s">
        <v>111</v>
      </c>
      <c r="BS758" t="s">
        <v>111</v>
      </c>
      <c r="BT758" t="s">
        <v>111</v>
      </c>
      <c r="BU758" t="s">
        <v>111</v>
      </c>
      <c r="BV758" t="s">
        <v>111</v>
      </c>
      <c r="BW758" t="s">
        <v>111</v>
      </c>
      <c r="BX758" t="s">
        <v>111</v>
      </c>
      <c r="BY758" t="s">
        <v>111</v>
      </c>
      <c r="BZ758" t="s">
        <v>111</v>
      </c>
      <c r="CA758" t="s">
        <v>111</v>
      </c>
      <c r="CB758" t="s">
        <v>111</v>
      </c>
      <c r="CC758" t="s">
        <v>111</v>
      </c>
      <c r="CD758" t="s">
        <v>111</v>
      </c>
      <c r="CE758" t="s">
        <v>111</v>
      </c>
      <c r="CF758" t="s">
        <v>111</v>
      </c>
      <c r="CG758" t="s">
        <v>111</v>
      </c>
      <c r="CH758" t="s">
        <v>111</v>
      </c>
      <c r="CI758" t="s">
        <v>111</v>
      </c>
      <c r="CJ758" t="s">
        <v>111</v>
      </c>
      <c r="CK758" t="s">
        <v>111</v>
      </c>
      <c r="CL758" t="s">
        <v>111</v>
      </c>
      <c r="CM758" t="s">
        <v>135</v>
      </c>
      <c r="CN758" t="s">
        <v>128</v>
      </c>
      <c r="CO758" t="s">
        <v>111</v>
      </c>
      <c r="CP758" t="s">
        <v>111</v>
      </c>
      <c r="CQ758">
        <v>0</v>
      </c>
      <c r="CR758">
        <v>5000</v>
      </c>
      <c r="CS758">
        <v>200</v>
      </c>
      <c r="CT758" t="e">
        <f>- DOBLAR CUADRADO</f>
        <v>#NAME?</v>
      </c>
      <c r="CU758">
        <v>0</v>
      </c>
      <c r="CV758" t="s">
        <v>111</v>
      </c>
      <c r="CX758" t="s">
        <v>111</v>
      </c>
      <c r="CY758">
        <v>0</v>
      </c>
      <c r="CZ758" t="s">
        <v>111</v>
      </c>
      <c r="DA758" t="s">
        <v>111</v>
      </c>
      <c r="DB758" t="s">
        <v>111</v>
      </c>
      <c r="DC758" t="s">
        <v>111</v>
      </c>
    </row>
    <row r="759" spans="1:107">
      <c r="A759">
        <v>1585</v>
      </c>
      <c r="B759" t="s">
        <v>107</v>
      </c>
      <c r="C759" t="s">
        <v>1251</v>
      </c>
      <c r="D759" t="s">
        <v>2575</v>
      </c>
      <c r="E759" t="s">
        <v>2576</v>
      </c>
      <c r="F759" t="s">
        <v>2577</v>
      </c>
      <c r="G759" t="s">
        <v>469</v>
      </c>
      <c r="H759">
        <v>3</v>
      </c>
      <c r="I759">
        <v>50</v>
      </c>
      <c r="J759">
        <v>0</v>
      </c>
      <c r="K759">
        <v>0</v>
      </c>
      <c r="L759" t="s">
        <v>112</v>
      </c>
      <c r="M759" t="s">
        <v>111</v>
      </c>
      <c r="N759">
        <v>0</v>
      </c>
      <c r="O759">
        <v>0</v>
      </c>
      <c r="P759" t="s">
        <v>111</v>
      </c>
      <c r="Q759">
        <v>29</v>
      </c>
      <c r="R759">
        <v>0</v>
      </c>
      <c r="S759">
        <v>0</v>
      </c>
      <c r="T759">
        <v>5</v>
      </c>
      <c r="U759" t="e">
        <f>-SELLADO</f>
        <v>#NAME?</v>
      </c>
      <c r="V759">
        <v>0</v>
      </c>
      <c r="W759">
        <v>25</v>
      </c>
      <c r="X759">
        <v>8</v>
      </c>
      <c r="Y759">
        <v>0</v>
      </c>
      <c r="Z759" t="s">
        <v>188</v>
      </c>
      <c r="AA759">
        <v>0.3</v>
      </c>
      <c r="AB759" t="s">
        <v>111</v>
      </c>
      <c r="AC759">
        <v>0</v>
      </c>
      <c r="AD759" t="s">
        <v>111</v>
      </c>
      <c r="AE759">
        <v>0</v>
      </c>
      <c r="AF759">
        <v>0</v>
      </c>
      <c r="AG759" t="s">
        <v>111</v>
      </c>
      <c r="AH759" t="s">
        <v>111</v>
      </c>
      <c r="AI759" t="s">
        <v>111</v>
      </c>
      <c r="AJ759" t="s">
        <v>111</v>
      </c>
      <c r="AK759" t="s">
        <v>111</v>
      </c>
      <c r="AL759" t="s">
        <v>111</v>
      </c>
      <c r="AM759">
        <v>0</v>
      </c>
      <c r="AN759">
        <v>0</v>
      </c>
      <c r="AO759">
        <v>0</v>
      </c>
      <c r="AP759" t="s">
        <v>111</v>
      </c>
      <c r="AQ759" t="s">
        <v>111</v>
      </c>
      <c r="AR759" t="s">
        <v>111</v>
      </c>
      <c r="AS759" t="s">
        <v>111</v>
      </c>
      <c r="AT759" t="s">
        <v>111</v>
      </c>
      <c r="AU759" t="s">
        <v>111</v>
      </c>
      <c r="AV759" t="s">
        <v>111</v>
      </c>
      <c r="AW759" t="s">
        <v>111</v>
      </c>
      <c r="AX759" t="s">
        <v>111</v>
      </c>
      <c r="AY759" t="s">
        <v>111</v>
      </c>
      <c r="AZ759" t="s">
        <v>111</v>
      </c>
      <c r="BA759" t="s">
        <v>111</v>
      </c>
      <c r="BB759" t="s">
        <v>111</v>
      </c>
      <c r="BC759" t="s">
        <v>111</v>
      </c>
      <c r="BD759" t="s">
        <v>111</v>
      </c>
      <c r="BE759" t="s">
        <v>111</v>
      </c>
      <c r="BF759" t="s">
        <v>111</v>
      </c>
      <c r="BG759" t="s">
        <v>111</v>
      </c>
      <c r="BH759" t="s">
        <v>111</v>
      </c>
      <c r="BI759" t="s">
        <v>111</v>
      </c>
      <c r="BJ759" t="s">
        <v>111</v>
      </c>
      <c r="BK759" t="s">
        <v>111</v>
      </c>
      <c r="BL759" t="s">
        <v>111</v>
      </c>
      <c r="BM759" t="s">
        <v>111</v>
      </c>
      <c r="BN759" t="s">
        <v>111</v>
      </c>
      <c r="BO759" t="s">
        <v>111</v>
      </c>
      <c r="BP759" t="s">
        <v>111</v>
      </c>
      <c r="BQ759" t="s">
        <v>111</v>
      </c>
      <c r="BR759" t="s">
        <v>111</v>
      </c>
      <c r="BS759" t="s">
        <v>111</v>
      </c>
      <c r="BT759" t="s">
        <v>111</v>
      </c>
      <c r="BU759" t="s">
        <v>111</v>
      </c>
      <c r="BV759" t="s">
        <v>111</v>
      </c>
      <c r="BW759" t="s">
        <v>111</v>
      </c>
      <c r="BX759" t="s">
        <v>111</v>
      </c>
      <c r="BY759" t="s">
        <v>111</v>
      </c>
      <c r="BZ759" t="s">
        <v>111</v>
      </c>
      <c r="CA759" t="s">
        <v>111</v>
      </c>
      <c r="CB759" t="s">
        <v>111</v>
      </c>
      <c r="CC759" t="s">
        <v>111</v>
      </c>
      <c r="CD759" t="s">
        <v>111</v>
      </c>
      <c r="CE759" t="s">
        <v>111</v>
      </c>
      <c r="CF759" t="s">
        <v>111</v>
      </c>
      <c r="CG759" t="s">
        <v>111</v>
      </c>
      <c r="CH759" t="s">
        <v>111</v>
      </c>
      <c r="CI759" t="s">
        <v>111</v>
      </c>
      <c r="CJ759" t="s">
        <v>111</v>
      </c>
      <c r="CK759" t="s">
        <v>111</v>
      </c>
      <c r="CL759" t="s">
        <v>111</v>
      </c>
      <c r="CM759" t="s">
        <v>135</v>
      </c>
      <c r="CN759" t="s">
        <v>128</v>
      </c>
      <c r="CO759" t="s">
        <v>111</v>
      </c>
      <c r="CP759" t="s">
        <v>111</v>
      </c>
      <c r="CQ759">
        <v>0</v>
      </c>
      <c r="CR759">
        <v>250</v>
      </c>
      <c r="CS759">
        <v>20</v>
      </c>
      <c r="CT759" t="e">
        <f>-ALMACEN</f>
        <v>#NAME?</v>
      </c>
      <c r="CU759">
        <v>0</v>
      </c>
      <c r="CV759" t="s">
        <v>111</v>
      </c>
      <c r="CW759" t="s">
        <v>111</v>
      </c>
      <c r="CX759" t="s">
        <v>111</v>
      </c>
      <c r="CY759">
        <v>0</v>
      </c>
      <c r="CZ759" t="s">
        <v>111</v>
      </c>
      <c r="DA759" t="s">
        <v>111</v>
      </c>
      <c r="DB759" t="s">
        <v>111</v>
      </c>
      <c r="DC759" t="s">
        <v>111</v>
      </c>
    </row>
    <row r="760" spans="1:107">
      <c r="A760">
        <v>1629</v>
      </c>
      <c r="B760" t="s">
        <v>107</v>
      </c>
      <c r="C760" t="s">
        <v>454</v>
      </c>
      <c r="D760" t="s">
        <v>1726</v>
      </c>
      <c r="E760" t="s">
        <v>2578</v>
      </c>
      <c r="F760" t="s">
        <v>739</v>
      </c>
      <c r="G760" t="s">
        <v>469</v>
      </c>
      <c r="H760">
        <v>1.9</v>
      </c>
      <c r="I760">
        <v>50</v>
      </c>
      <c r="J760">
        <v>0</v>
      </c>
      <c r="K760">
        <v>0</v>
      </c>
      <c r="L760" t="s">
        <v>178</v>
      </c>
      <c r="M760" t="s">
        <v>118</v>
      </c>
      <c r="N760">
        <v>40</v>
      </c>
      <c r="O760">
        <v>1</v>
      </c>
      <c r="P760" t="s">
        <v>111</v>
      </c>
      <c r="Q760">
        <v>46.5</v>
      </c>
      <c r="R760">
        <v>0</v>
      </c>
      <c r="S760">
        <v>0</v>
      </c>
      <c r="T760">
        <v>5</v>
      </c>
      <c r="U760" s="1" t="s">
        <v>2579</v>
      </c>
      <c r="V760">
        <v>0</v>
      </c>
      <c r="W760">
        <v>25</v>
      </c>
      <c r="X760">
        <v>8</v>
      </c>
      <c r="Y760">
        <v>0</v>
      </c>
      <c r="Z760" t="s">
        <v>288</v>
      </c>
      <c r="AA760">
        <v>1.7</v>
      </c>
      <c r="AB760" t="s">
        <v>111</v>
      </c>
      <c r="AC760">
        <v>0</v>
      </c>
      <c r="AD760" t="s">
        <v>416</v>
      </c>
      <c r="AE760">
        <v>0</v>
      </c>
      <c r="AF760">
        <v>0</v>
      </c>
      <c r="AG760" t="s">
        <v>111</v>
      </c>
      <c r="AH760" t="s">
        <v>113</v>
      </c>
      <c r="AI760" t="s">
        <v>111</v>
      </c>
      <c r="AJ760" t="s">
        <v>111</v>
      </c>
      <c r="AK760" t="s">
        <v>111</v>
      </c>
      <c r="AL760" t="s">
        <v>111</v>
      </c>
      <c r="AM760">
        <v>0</v>
      </c>
      <c r="AN760">
        <v>0</v>
      </c>
      <c r="AO760">
        <v>0</v>
      </c>
      <c r="AP760" t="s">
        <v>111</v>
      </c>
      <c r="AQ760" t="s">
        <v>111</v>
      </c>
      <c r="AR760" t="s">
        <v>111</v>
      </c>
      <c r="AS760" t="s">
        <v>111</v>
      </c>
      <c r="AT760" t="s">
        <v>111</v>
      </c>
      <c r="AU760" t="s">
        <v>111</v>
      </c>
      <c r="AV760" t="s">
        <v>111</v>
      </c>
      <c r="AW760" t="s">
        <v>111</v>
      </c>
      <c r="AX760" t="s">
        <v>111</v>
      </c>
      <c r="AY760" t="s">
        <v>111</v>
      </c>
      <c r="AZ760" t="s">
        <v>111</v>
      </c>
      <c r="BA760" t="s">
        <v>111</v>
      </c>
      <c r="BB760" t="s">
        <v>111</v>
      </c>
      <c r="BC760" t="s">
        <v>111</v>
      </c>
      <c r="BD760" t="s">
        <v>111</v>
      </c>
      <c r="BE760" t="s">
        <v>111</v>
      </c>
      <c r="BF760" t="s">
        <v>111</v>
      </c>
      <c r="BG760" t="s">
        <v>111</v>
      </c>
      <c r="BH760" t="s">
        <v>111</v>
      </c>
      <c r="BI760" t="s">
        <v>111</v>
      </c>
      <c r="BJ760" t="s">
        <v>111</v>
      </c>
      <c r="BK760" t="s">
        <v>111</v>
      </c>
      <c r="BL760" t="s">
        <v>111</v>
      </c>
      <c r="BM760" t="s">
        <v>111</v>
      </c>
      <c r="BN760" t="s">
        <v>111</v>
      </c>
      <c r="BO760" t="s">
        <v>111</v>
      </c>
      <c r="BP760" t="s">
        <v>111</v>
      </c>
      <c r="BQ760" t="s">
        <v>111</v>
      </c>
      <c r="BR760" t="s">
        <v>111</v>
      </c>
      <c r="BS760" t="s">
        <v>111</v>
      </c>
      <c r="BT760" t="s">
        <v>111</v>
      </c>
      <c r="BU760" t="s">
        <v>111</v>
      </c>
      <c r="BV760" t="s">
        <v>111</v>
      </c>
      <c r="BW760" t="s">
        <v>111</v>
      </c>
      <c r="BX760" t="s">
        <v>111</v>
      </c>
      <c r="BY760" t="s">
        <v>111</v>
      </c>
      <c r="BZ760" t="s">
        <v>111</v>
      </c>
      <c r="CA760" t="s">
        <v>111</v>
      </c>
      <c r="CB760" t="s">
        <v>111</v>
      </c>
      <c r="CC760" t="s">
        <v>111</v>
      </c>
      <c r="CD760" t="s">
        <v>111</v>
      </c>
      <c r="CE760" t="s">
        <v>111</v>
      </c>
      <c r="CF760" t="s">
        <v>111</v>
      </c>
      <c r="CG760" t="s">
        <v>111</v>
      </c>
      <c r="CH760" t="s">
        <v>111</v>
      </c>
      <c r="CI760" t="s">
        <v>111</v>
      </c>
      <c r="CJ760" t="s">
        <v>111</v>
      </c>
      <c r="CK760" t="s">
        <v>111</v>
      </c>
      <c r="CL760" t="s">
        <v>111</v>
      </c>
      <c r="CM760" t="s">
        <v>135</v>
      </c>
      <c r="CN760" t="s">
        <v>113</v>
      </c>
      <c r="CO760" t="s">
        <v>111</v>
      </c>
      <c r="CP760" t="s">
        <v>111</v>
      </c>
      <c r="CQ760">
        <v>0</v>
      </c>
      <c r="CR760">
        <v>0</v>
      </c>
      <c r="CS760">
        <v>50</v>
      </c>
      <c r="CT760" s="1" t="s">
        <v>2580</v>
      </c>
      <c r="CU760">
        <v>0</v>
      </c>
      <c r="CV760" t="s">
        <v>111</v>
      </c>
      <c r="CW760" t="s">
        <v>111</v>
      </c>
      <c r="CX760" t="s">
        <v>111</v>
      </c>
      <c r="CY760">
        <v>0</v>
      </c>
      <c r="CZ760" t="s">
        <v>111</v>
      </c>
      <c r="DA760" t="s">
        <v>111</v>
      </c>
      <c r="DB760" t="e">
        <f>-INTERNO</f>
        <v>#NAME?</v>
      </c>
      <c r="DC760" t="e">
        <f>-TROQUEL RIÑON</f>
        <v>#NAME?</v>
      </c>
    </row>
    <row r="761" spans="1:107">
      <c r="A761">
        <v>1612</v>
      </c>
      <c r="B761" t="s">
        <v>107</v>
      </c>
      <c r="C761" t="s">
        <v>937</v>
      </c>
      <c r="D761" t="s">
        <v>938</v>
      </c>
      <c r="E761" t="s">
        <v>2581</v>
      </c>
      <c r="F761" t="s">
        <v>431</v>
      </c>
      <c r="G761" t="s">
        <v>469</v>
      </c>
      <c r="H761">
        <v>2.9</v>
      </c>
      <c r="I761">
        <v>54</v>
      </c>
      <c r="J761">
        <v>0</v>
      </c>
      <c r="K761">
        <v>0</v>
      </c>
      <c r="L761" t="s">
        <v>117</v>
      </c>
      <c r="M761" t="s">
        <v>118</v>
      </c>
      <c r="N761">
        <v>40</v>
      </c>
      <c r="O761">
        <v>1</v>
      </c>
      <c r="P761" t="s">
        <v>111</v>
      </c>
      <c r="Q761">
        <v>26</v>
      </c>
      <c r="R761">
        <v>0</v>
      </c>
      <c r="S761">
        <v>0</v>
      </c>
      <c r="T761">
        <v>5</v>
      </c>
      <c r="U761" s="1" t="s">
        <v>2451</v>
      </c>
      <c r="V761">
        <v>0</v>
      </c>
      <c r="W761">
        <v>0</v>
      </c>
      <c r="X761">
        <v>8</v>
      </c>
      <c r="Y761">
        <v>0</v>
      </c>
      <c r="Z761" t="s">
        <v>2452</v>
      </c>
      <c r="AA761">
        <v>8</v>
      </c>
      <c r="AB761" t="s">
        <v>111</v>
      </c>
      <c r="AC761">
        <v>0</v>
      </c>
      <c r="AD761" t="s">
        <v>416</v>
      </c>
      <c r="AE761">
        <v>0</v>
      </c>
      <c r="AF761">
        <v>0</v>
      </c>
      <c r="AG761" t="s">
        <v>111</v>
      </c>
      <c r="AH761" t="s">
        <v>113</v>
      </c>
      <c r="AI761" t="s">
        <v>111</v>
      </c>
      <c r="AJ761" t="s">
        <v>111</v>
      </c>
      <c r="AK761" t="s">
        <v>111</v>
      </c>
      <c r="AL761" t="s">
        <v>111</v>
      </c>
      <c r="AM761">
        <v>0</v>
      </c>
      <c r="AN761">
        <v>0</v>
      </c>
      <c r="AO761">
        <v>0</v>
      </c>
      <c r="AP761" t="s">
        <v>111</v>
      </c>
      <c r="AQ761" t="s">
        <v>111</v>
      </c>
      <c r="AR761" t="s">
        <v>111</v>
      </c>
      <c r="AS761" t="s">
        <v>111</v>
      </c>
      <c r="AT761" t="s">
        <v>111</v>
      </c>
      <c r="AU761" t="s">
        <v>111</v>
      </c>
      <c r="AV761" t="s">
        <v>111</v>
      </c>
      <c r="AW761" t="s">
        <v>111</v>
      </c>
      <c r="AX761" t="s">
        <v>111</v>
      </c>
      <c r="AY761" t="s">
        <v>111</v>
      </c>
      <c r="AZ761" t="s">
        <v>111</v>
      </c>
      <c r="BA761" t="s">
        <v>111</v>
      </c>
      <c r="BB761" t="s">
        <v>111</v>
      </c>
      <c r="BC761" t="s">
        <v>111</v>
      </c>
      <c r="BD761" t="s">
        <v>111</v>
      </c>
      <c r="BE761" t="s">
        <v>111</v>
      </c>
      <c r="BF761" t="s">
        <v>111</v>
      </c>
      <c r="BG761" t="s">
        <v>111</v>
      </c>
      <c r="BH761" t="s">
        <v>111</v>
      </c>
      <c r="BI761" t="s">
        <v>111</v>
      </c>
      <c r="BJ761" t="s">
        <v>111</v>
      </c>
      <c r="BK761" t="s">
        <v>111</v>
      </c>
      <c r="BL761" t="s">
        <v>111</v>
      </c>
      <c r="BM761" t="s">
        <v>111</v>
      </c>
      <c r="BN761" t="s">
        <v>111</v>
      </c>
      <c r="BO761" t="s">
        <v>111</v>
      </c>
      <c r="BP761" t="s">
        <v>111</v>
      </c>
      <c r="BQ761" t="s">
        <v>111</v>
      </c>
      <c r="BR761" t="s">
        <v>111</v>
      </c>
      <c r="BS761" t="s">
        <v>111</v>
      </c>
      <c r="BT761" t="s">
        <v>111</v>
      </c>
      <c r="BU761" t="s">
        <v>111</v>
      </c>
      <c r="BV761" t="s">
        <v>111</v>
      </c>
      <c r="BW761" t="s">
        <v>111</v>
      </c>
      <c r="BX761" t="s">
        <v>111</v>
      </c>
      <c r="BY761" t="s">
        <v>111</v>
      </c>
      <c r="BZ761" t="s">
        <v>111</v>
      </c>
      <c r="CA761" t="s">
        <v>111</v>
      </c>
      <c r="CB761" t="s">
        <v>111</v>
      </c>
      <c r="CC761" t="s">
        <v>111</v>
      </c>
      <c r="CD761" t="s">
        <v>111</v>
      </c>
      <c r="CE761" t="s">
        <v>111</v>
      </c>
      <c r="CF761" t="s">
        <v>111</v>
      </c>
      <c r="CG761" t="s">
        <v>111</v>
      </c>
      <c r="CH761" t="s">
        <v>111</v>
      </c>
      <c r="CI761" t="s">
        <v>111</v>
      </c>
      <c r="CJ761" t="s">
        <v>111</v>
      </c>
      <c r="CK761" t="s">
        <v>111</v>
      </c>
      <c r="CL761" t="s">
        <v>111</v>
      </c>
      <c r="CM761">
        <v>450</v>
      </c>
      <c r="CN761" t="s">
        <v>113</v>
      </c>
      <c r="CO761" t="s">
        <v>111</v>
      </c>
      <c r="CP761" t="s">
        <v>111</v>
      </c>
      <c r="CQ761">
        <v>0</v>
      </c>
      <c r="CR761">
        <v>4000</v>
      </c>
      <c r="CS761">
        <v>100</v>
      </c>
      <c r="CT761" t="e">
        <f>-ALMACEN</f>
        <v>#NAME?</v>
      </c>
      <c r="CU761">
        <v>0</v>
      </c>
      <c r="CV761" t="s">
        <v>111</v>
      </c>
      <c r="CW761" t="s">
        <v>111</v>
      </c>
      <c r="CX761" t="s">
        <v>111</v>
      </c>
      <c r="CY761">
        <v>0</v>
      </c>
      <c r="CZ761" t="s">
        <v>111</v>
      </c>
      <c r="DA761" t="s">
        <v>111</v>
      </c>
      <c r="DB761" t="s">
        <v>111</v>
      </c>
      <c r="DC761" t="s">
        <v>111</v>
      </c>
    </row>
    <row r="762" spans="1:107">
      <c r="A762">
        <v>1584</v>
      </c>
      <c r="B762" t="s">
        <v>107</v>
      </c>
      <c r="C762" t="s">
        <v>405</v>
      </c>
      <c r="D762" t="s">
        <v>2582</v>
      </c>
      <c r="E762" t="s">
        <v>2583</v>
      </c>
      <c r="F762" t="s">
        <v>157</v>
      </c>
      <c r="G762" t="s">
        <v>469</v>
      </c>
      <c r="H762">
        <v>1.1000000000000001</v>
      </c>
      <c r="I762">
        <v>52.5</v>
      </c>
      <c r="J762">
        <v>0</v>
      </c>
      <c r="K762">
        <v>0</v>
      </c>
      <c r="L762" t="s">
        <v>112</v>
      </c>
      <c r="M762" t="s">
        <v>138</v>
      </c>
      <c r="N762">
        <v>0</v>
      </c>
      <c r="O762">
        <v>0</v>
      </c>
      <c r="P762" t="s">
        <v>111</v>
      </c>
      <c r="Q762">
        <v>42.5</v>
      </c>
      <c r="R762">
        <v>0</v>
      </c>
      <c r="S762">
        <v>0</v>
      </c>
      <c r="T762">
        <v>0</v>
      </c>
      <c r="U762" s="1" t="s">
        <v>2584</v>
      </c>
      <c r="V762">
        <v>0</v>
      </c>
      <c r="W762">
        <v>25</v>
      </c>
      <c r="X762">
        <v>5</v>
      </c>
      <c r="Y762">
        <v>0</v>
      </c>
      <c r="Z762" t="s">
        <v>111</v>
      </c>
      <c r="AA762">
        <v>0</v>
      </c>
      <c r="AB762" t="s">
        <v>111</v>
      </c>
      <c r="AC762">
        <v>0</v>
      </c>
      <c r="AD762" t="s">
        <v>111</v>
      </c>
      <c r="AE762">
        <v>0</v>
      </c>
      <c r="AF762">
        <v>0</v>
      </c>
      <c r="AG762" t="s">
        <v>111</v>
      </c>
      <c r="AH762" t="s">
        <v>111</v>
      </c>
      <c r="AI762" t="s">
        <v>111</v>
      </c>
      <c r="AJ762" t="s">
        <v>111</v>
      </c>
      <c r="AK762" t="s">
        <v>111</v>
      </c>
      <c r="AL762" t="s">
        <v>111</v>
      </c>
      <c r="AM762">
        <v>0</v>
      </c>
      <c r="AN762">
        <v>0</v>
      </c>
      <c r="AO762">
        <v>0</v>
      </c>
      <c r="AP762" t="s">
        <v>111</v>
      </c>
      <c r="AQ762" t="s">
        <v>111</v>
      </c>
      <c r="AR762" t="s">
        <v>111</v>
      </c>
      <c r="AS762" t="s">
        <v>111</v>
      </c>
      <c r="AT762" t="s">
        <v>111</v>
      </c>
      <c r="AU762" t="s">
        <v>111</v>
      </c>
      <c r="AV762" t="s">
        <v>111</v>
      </c>
      <c r="AW762" t="s">
        <v>111</v>
      </c>
      <c r="AX762" t="s">
        <v>111</v>
      </c>
      <c r="AY762" t="s">
        <v>111</v>
      </c>
      <c r="AZ762" t="s">
        <v>111</v>
      </c>
      <c r="BA762" t="s">
        <v>111</v>
      </c>
      <c r="BB762" t="s">
        <v>111</v>
      </c>
      <c r="BC762" t="s">
        <v>111</v>
      </c>
      <c r="BD762" t="s">
        <v>111</v>
      </c>
      <c r="BE762" t="s">
        <v>111</v>
      </c>
      <c r="BF762" t="s">
        <v>111</v>
      </c>
      <c r="BG762" t="s">
        <v>111</v>
      </c>
      <c r="BH762" t="s">
        <v>111</v>
      </c>
      <c r="BI762" t="s">
        <v>111</v>
      </c>
      <c r="BJ762" t="s">
        <v>111</v>
      </c>
      <c r="BK762" t="s">
        <v>111</v>
      </c>
      <c r="BL762" t="s">
        <v>111</v>
      </c>
      <c r="BM762" t="s">
        <v>111</v>
      </c>
      <c r="BN762" t="s">
        <v>111</v>
      </c>
      <c r="BO762" t="s">
        <v>111</v>
      </c>
      <c r="BP762" t="s">
        <v>111</v>
      </c>
      <c r="BQ762" t="s">
        <v>111</v>
      </c>
      <c r="BR762" t="s">
        <v>111</v>
      </c>
      <c r="BS762" t="s">
        <v>111</v>
      </c>
      <c r="BT762" t="s">
        <v>111</v>
      </c>
      <c r="BU762" t="s">
        <v>111</v>
      </c>
      <c r="BV762" t="s">
        <v>111</v>
      </c>
      <c r="BW762" t="s">
        <v>111</v>
      </c>
      <c r="BX762" t="s">
        <v>111</v>
      </c>
      <c r="BY762" t="s">
        <v>111</v>
      </c>
      <c r="BZ762" t="s">
        <v>111</v>
      </c>
      <c r="CA762" t="s">
        <v>111</v>
      </c>
      <c r="CB762" t="s">
        <v>111</v>
      </c>
      <c r="CC762" t="s">
        <v>111</v>
      </c>
      <c r="CD762" t="s">
        <v>111</v>
      </c>
      <c r="CE762" t="s">
        <v>111</v>
      </c>
      <c r="CF762" t="s">
        <v>111</v>
      </c>
      <c r="CG762" t="s">
        <v>111</v>
      </c>
      <c r="CH762" t="s">
        <v>111</v>
      </c>
      <c r="CI762" t="s">
        <v>111</v>
      </c>
      <c r="CJ762" t="s">
        <v>111</v>
      </c>
      <c r="CK762" t="s">
        <v>111</v>
      </c>
      <c r="CL762" t="s">
        <v>111</v>
      </c>
      <c r="CM762" t="s">
        <v>111</v>
      </c>
      <c r="CN762" t="s">
        <v>111</v>
      </c>
      <c r="CO762" t="s">
        <v>111</v>
      </c>
      <c r="CP762" t="s">
        <v>111</v>
      </c>
      <c r="CQ762">
        <v>0</v>
      </c>
      <c r="CR762">
        <v>0</v>
      </c>
      <c r="CS762">
        <v>0</v>
      </c>
      <c r="CT762" t="s">
        <v>111</v>
      </c>
      <c r="CU762">
        <v>0</v>
      </c>
      <c r="CV762" t="s">
        <v>111</v>
      </c>
      <c r="CW762" t="s">
        <v>111</v>
      </c>
      <c r="CX762" t="s">
        <v>111</v>
      </c>
      <c r="CY762">
        <v>0</v>
      </c>
      <c r="CZ762" t="s">
        <v>111</v>
      </c>
      <c r="DA762" t="s">
        <v>111</v>
      </c>
      <c r="DB762" t="s">
        <v>111</v>
      </c>
      <c r="DC762" t="s">
        <v>111</v>
      </c>
    </row>
    <row r="763" spans="1:107">
      <c r="A763">
        <v>1583</v>
      </c>
      <c r="B763" t="s">
        <v>107</v>
      </c>
      <c r="C763" t="s">
        <v>114</v>
      </c>
      <c r="D763" t="s">
        <v>2585</v>
      </c>
      <c r="E763" t="s">
        <v>2586</v>
      </c>
      <c r="F763" t="s">
        <v>192</v>
      </c>
      <c r="G763" t="s">
        <v>469</v>
      </c>
      <c r="H763">
        <v>3.9</v>
      </c>
      <c r="I763">
        <v>60</v>
      </c>
      <c r="J763">
        <v>0</v>
      </c>
      <c r="K763">
        <v>0</v>
      </c>
      <c r="L763" t="s">
        <v>112</v>
      </c>
      <c r="M763" t="s">
        <v>111</v>
      </c>
      <c r="N763">
        <v>0</v>
      </c>
      <c r="O763">
        <v>0</v>
      </c>
      <c r="P763" t="s">
        <v>111</v>
      </c>
      <c r="Q763">
        <v>55.4</v>
      </c>
      <c r="R763">
        <v>0</v>
      </c>
      <c r="S763">
        <v>0</v>
      </c>
      <c r="T763">
        <v>5</v>
      </c>
      <c r="U763" s="1" t="s">
        <v>2587</v>
      </c>
      <c r="V763">
        <v>25</v>
      </c>
      <c r="W763">
        <v>29</v>
      </c>
      <c r="X763">
        <v>10</v>
      </c>
      <c r="Y763">
        <v>0</v>
      </c>
      <c r="Z763" t="s">
        <v>111</v>
      </c>
      <c r="AA763">
        <v>0</v>
      </c>
      <c r="AB763" t="s">
        <v>111</v>
      </c>
      <c r="AC763">
        <v>0</v>
      </c>
      <c r="AD763" t="s">
        <v>111</v>
      </c>
      <c r="AE763">
        <v>0</v>
      </c>
      <c r="AF763">
        <v>0</v>
      </c>
      <c r="AG763" t="s">
        <v>111</v>
      </c>
      <c r="AH763" t="s">
        <v>111</v>
      </c>
      <c r="AI763" t="s">
        <v>111</v>
      </c>
      <c r="AJ763" t="s">
        <v>111</v>
      </c>
      <c r="AK763" t="s">
        <v>111</v>
      </c>
      <c r="AL763" t="s">
        <v>111</v>
      </c>
      <c r="AM763">
        <v>0</v>
      </c>
      <c r="AN763">
        <v>0</v>
      </c>
      <c r="AO763">
        <v>0</v>
      </c>
      <c r="AP763" t="s">
        <v>111</v>
      </c>
      <c r="AQ763" t="s">
        <v>111</v>
      </c>
      <c r="AR763" t="s">
        <v>111</v>
      </c>
      <c r="AS763" t="s">
        <v>111</v>
      </c>
      <c r="AT763" t="s">
        <v>111</v>
      </c>
      <c r="AU763" t="s">
        <v>111</v>
      </c>
      <c r="AV763" t="s">
        <v>111</v>
      </c>
      <c r="AW763" t="s">
        <v>111</v>
      </c>
      <c r="AX763" t="s">
        <v>111</v>
      </c>
      <c r="AY763" t="s">
        <v>111</v>
      </c>
      <c r="AZ763" t="s">
        <v>111</v>
      </c>
      <c r="BA763" t="s">
        <v>111</v>
      </c>
      <c r="BB763" t="s">
        <v>111</v>
      </c>
      <c r="BC763" t="s">
        <v>111</v>
      </c>
      <c r="BD763" t="s">
        <v>111</v>
      </c>
      <c r="BE763" t="s">
        <v>111</v>
      </c>
      <c r="BF763" t="s">
        <v>111</v>
      </c>
      <c r="BG763" t="s">
        <v>111</v>
      </c>
      <c r="BH763" t="s">
        <v>111</v>
      </c>
      <c r="BI763" t="s">
        <v>111</v>
      </c>
      <c r="BJ763" t="s">
        <v>111</v>
      </c>
      <c r="BK763" t="s">
        <v>111</v>
      </c>
      <c r="BL763" t="s">
        <v>111</v>
      </c>
      <c r="BM763" t="s">
        <v>111</v>
      </c>
      <c r="BN763" t="s">
        <v>111</v>
      </c>
      <c r="BO763" t="s">
        <v>111</v>
      </c>
      <c r="BP763" t="s">
        <v>111</v>
      </c>
      <c r="BQ763" t="s">
        <v>111</v>
      </c>
      <c r="BR763" t="s">
        <v>111</v>
      </c>
      <c r="BS763" t="s">
        <v>111</v>
      </c>
      <c r="BT763" t="s">
        <v>111</v>
      </c>
      <c r="BU763" t="s">
        <v>111</v>
      </c>
      <c r="BV763" t="s">
        <v>111</v>
      </c>
      <c r="BW763" t="s">
        <v>111</v>
      </c>
      <c r="BX763" t="s">
        <v>111</v>
      </c>
      <c r="BY763" t="s">
        <v>111</v>
      </c>
      <c r="BZ763" t="s">
        <v>111</v>
      </c>
      <c r="CA763" t="s">
        <v>111</v>
      </c>
      <c r="CB763" t="s">
        <v>111</v>
      </c>
      <c r="CC763" t="s">
        <v>111</v>
      </c>
      <c r="CD763" t="s">
        <v>111</v>
      </c>
      <c r="CE763" t="s">
        <v>111</v>
      </c>
      <c r="CF763" t="s">
        <v>111</v>
      </c>
      <c r="CG763" t="s">
        <v>111</v>
      </c>
      <c r="CH763" t="s">
        <v>111</v>
      </c>
      <c r="CI763" t="s">
        <v>111</v>
      </c>
      <c r="CJ763" t="s">
        <v>111</v>
      </c>
      <c r="CK763" t="s">
        <v>111</v>
      </c>
      <c r="CL763" t="s">
        <v>111</v>
      </c>
      <c r="CM763" t="s">
        <v>135</v>
      </c>
      <c r="CN763" t="s">
        <v>128</v>
      </c>
      <c r="CO763" t="s">
        <v>111</v>
      </c>
      <c r="CP763" t="s">
        <v>111</v>
      </c>
      <c r="CQ763">
        <v>0</v>
      </c>
      <c r="CR763">
        <v>250</v>
      </c>
      <c r="CS763">
        <v>25</v>
      </c>
      <c r="CT763" s="1" t="s">
        <v>2588</v>
      </c>
      <c r="CU763">
        <v>0</v>
      </c>
      <c r="CV763" t="s">
        <v>111</v>
      </c>
      <c r="CW763" t="s">
        <v>111</v>
      </c>
      <c r="CX763" t="s">
        <v>111</v>
      </c>
      <c r="CY763">
        <v>0</v>
      </c>
      <c r="CZ763" t="s">
        <v>111</v>
      </c>
      <c r="DA763" t="s">
        <v>111</v>
      </c>
      <c r="DB763" t="e">
        <f>-ENTERNO</f>
        <v>#NAME?</v>
      </c>
      <c r="DC763" t="e">
        <f>-DOBLE SELLE</f>
        <v>#NAME?</v>
      </c>
    </row>
    <row r="764" spans="1:107">
      <c r="A764">
        <v>1692</v>
      </c>
      <c r="B764" t="s">
        <v>107</v>
      </c>
      <c r="C764" t="s">
        <v>2589</v>
      </c>
      <c r="D764" t="s">
        <v>2590</v>
      </c>
      <c r="E764" t="s">
        <v>2591</v>
      </c>
      <c r="F764" t="s">
        <v>561</v>
      </c>
      <c r="G764" t="s">
        <v>469</v>
      </c>
      <c r="H764">
        <v>2.7</v>
      </c>
      <c r="I764">
        <v>45</v>
      </c>
      <c r="J764">
        <v>0</v>
      </c>
      <c r="K764">
        <v>0</v>
      </c>
      <c r="L764" t="s">
        <v>112</v>
      </c>
      <c r="M764" t="s">
        <v>118</v>
      </c>
      <c r="N764">
        <v>39</v>
      </c>
      <c r="O764">
        <v>2</v>
      </c>
      <c r="P764" t="s">
        <v>111</v>
      </c>
      <c r="Q764">
        <v>45</v>
      </c>
      <c r="R764">
        <v>0</v>
      </c>
      <c r="S764">
        <v>0</v>
      </c>
      <c r="T764">
        <v>10</v>
      </c>
      <c r="U764" s="1" t="s">
        <v>2592</v>
      </c>
      <c r="V764">
        <v>25</v>
      </c>
      <c r="W764">
        <v>0</v>
      </c>
      <c r="X764">
        <v>8</v>
      </c>
      <c r="Y764">
        <v>0</v>
      </c>
      <c r="Z764" t="s">
        <v>111</v>
      </c>
      <c r="AA764">
        <v>0</v>
      </c>
      <c r="AB764" t="s">
        <v>111</v>
      </c>
      <c r="AC764">
        <v>0</v>
      </c>
      <c r="AD764" t="s">
        <v>416</v>
      </c>
      <c r="AE764">
        <v>0</v>
      </c>
      <c r="AF764">
        <v>0</v>
      </c>
      <c r="AG764" t="s">
        <v>111</v>
      </c>
      <c r="AH764" t="s">
        <v>113</v>
      </c>
      <c r="AI764" t="s">
        <v>111</v>
      </c>
      <c r="AJ764" t="s">
        <v>111</v>
      </c>
      <c r="AK764" t="s">
        <v>111</v>
      </c>
      <c r="AL764" t="s">
        <v>111</v>
      </c>
      <c r="AM764">
        <v>0</v>
      </c>
      <c r="AN764">
        <v>0</v>
      </c>
      <c r="AO764">
        <v>0</v>
      </c>
      <c r="AP764" t="s">
        <v>111</v>
      </c>
      <c r="AQ764" t="s">
        <v>111</v>
      </c>
      <c r="AR764" t="s">
        <v>111</v>
      </c>
      <c r="AS764" t="s">
        <v>111</v>
      </c>
      <c r="AT764" t="s">
        <v>111</v>
      </c>
      <c r="AU764" t="s">
        <v>111</v>
      </c>
      <c r="AV764" t="s">
        <v>111</v>
      </c>
      <c r="AW764" t="s">
        <v>111</v>
      </c>
      <c r="AX764" t="s">
        <v>111</v>
      </c>
      <c r="AY764" t="s">
        <v>111</v>
      </c>
      <c r="AZ764" t="s">
        <v>111</v>
      </c>
      <c r="BA764" t="s">
        <v>111</v>
      </c>
      <c r="BB764" t="s">
        <v>111</v>
      </c>
      <c r="BC764" t="s">
        <v>111</v>
      </c>
      <c r="BD764" t="s">
        <v>111</v>
      </c>
      <c r="BE764" t="s">
        <v>111</v>
      </c>
      <c r="BF764" t="s">
        <v>111</v>
      </c>
      <c r="BG764" t="s">
        <v>111</v>
      </c>
      <c r="BH764" t="s">
        <v>111</v>
      </c>
      <c r="BI764" t="s">
        <v>111</v>
      </c>
      <c r="BJ764" t="s">
        <v>111</v>
      </c>
      <c r="BK764" t="s">
        <v>111</v>
      </c>
      <c r="BL764" t="s">
        <v>111</v>
      </c>
      <c r="BM764" t="s">
        <v>111</v>
      </c>
      <c r="BN764" t="s">
        <v>111</v>
      </c>
      <c r="BO764" t="s">
        <v>111</v>
      </c>
      <c r="BP764" t="s">
        <v>111</v>
      </c>
      <c r="BQ764" t="s">
        <v>111</v>
      </c>
      <c r="BR764" t="s">
        <v>111</v>
      </c>
      <c r="BS764" t="s">
        <v>111</v>
      </c>
      <c r="BT764" t="s">
        <v>111</v>
      </c>
      <c r="BU764" t="s">
        <v>111</v>
      </c>
      <c r="BV764" t="s">
        <v>111</v>
      </c>
      <c r="BW764" t="s">
        <v>111</v>
      </c>
      <c r="BX764" t="s">
        <v>111</v>
      </c>
      <c r="BY764" t="s">
        <v>111</v>
      </c>
      <c r="BZ764" t="s">
        <v>111</v>
      </c>
      <c r="CA764" t="s">
        <v>111</v>
      </c>
      <c r="CB764" t="s">
        <v>111</v>
      </c>
      <c r="CC764" t="s">
        <v>111</v>
      </c>
      <c r="CD764" t="s">
        <v>111</v>
      </c>
      <c r="CE764" t="s">
        <v>111</v>
      </c>
      <c r="CF764" t="s">
        <v>111</v>
      </c>
      <c r="CG764" t="s">
        <v>111</v>
      </c>
      <c r="CH764" t="s">
        <v>111</v>
      </c>
      <c r="CI764" t="s">
        <v>111</v>
      </c>
      <c r="CJ764" t="s">
        <v>111</v>
      </c>
      <c r="CK764" t="s">
        <v>111</v>
      </c>
      <c r="CL764" t="s">
        <v>111</v>
      </c>
      <c r="CM764" t="s">
        <v>135</v>
      </c>
      <c r="CN764" t="s">
        <v>113</v>
      </c>
      <c r="CO764" t="s">
        <v>111</v>
      </c>
      <c r="CP764" t="s">
        <v>111</v>
      </c>
      <c r="CQ764">
        <v>0</v>
      </c>
      <c r="CR764">
        <v>0</v>
      </c>
      <c r="CS764">
        <v>50</v>
      </c>
      <c r="CT764" t="e">
        <f>-BIEN EMPACADO EN BOLSAS PARA TROQUELAR</f>
        <v>#NAME?</v>
      </c>
      <c r="CU764">
        <v>0</v>
      </c>
      <c r="CV764" t="s">
        <v>111</v>
      </c>
      <c r="CX764" t="s">
        <v>111</v>
      </c>
      <c r="CY764">
        <v>0</v>
      </c>
      <c r="CZ764" t="s">
        <v>111</v>
      </c>
      <c r="DA764" t="s">
        <v>111</v>
      </c>
      <c r="DB764" t="e">
        <f>-INTERNO</f>
        <v>#NAME?</v>
      </c>
      <c r="DC764" t="e">
        <f>-TROQUELTIPO ROOTT + CO</f>
        <v>#NAME?</v>
      </c>
    </row>
    <row r="765" spans="1:107">
      <c r="A765">
        <v>2075</v>
      </c>
      <c r="B765" t="s">
        <v>376</v>
      </c>
      <c r="C765" t="s">
        <v>1948</v>
      </c>
      <c r="D765" t="s">
        <v>2593</v>
      </c>
      <c r="E765" t="s">
        <v>2594</v>
      </c>
      <c r="F765" t="s">
        <v>125</v>
      </c>
      <c r="G765" t="s">
        <v>469</v>
      </c>
      <c r="H765">
        <v>2.5</v>
      </c>
      <c r="I765">
        <v>50</v>
      </c>
      <c r="J765">
        <v>10</v>
      </c>
      <c r="K765">
        <v>10</v>
      </c>
      <c r="L765" t="s">
        <v>112</v>
      </c>
      <c r="M765" t="s">
        <v>138</v>
      </c>
      <c r="N765">
        <v>0</v>
      </c>
      <c r="O765">
        <v>0</v>
      </c>
      <c r="P765" t="s">
        <v>111</v>
      </c>
      <c r="Q765">
        <v>35</v>
      </c>
      <c r="R765">
        <v>0</v>
      </c>
      <c r="S765">
        <v>0</v>
      </c>
      <c r="T765">
        <v>5</v>
      </c>
      <c r="U765" t="e">
        <f>- DESTINO SELLADO</f>
        <v>#NAME?</v>
      </c>
      <c r="V765">
        <v>25</v>
      </c>
      <c r="W765">
        <v>0</v>
      </c>
      <c r="X765">
        <v>8</v>
      </c>
      <c r="Y765">
        <v>0</v>
      </c>
      <c r="Z765" t="s">
        <v>111</v>
      </c>
      <c r="AA765">
        <v>0</v>
      </c>
      <c r="AB765" t="s">
        <v>111</v>
      </c>
      <c r="AC765">
        <v>0</v>
      </c>
      <c r="AD765" t="s">
        <v>111</v>
      </c>
      <c r="AE765">
        <v>0</v>
      </c>
      <c r="AF765">
        <v>0</v>
      </c>
      <c r="AG765" t="s">
        <v>111</v>
      </c>
      <c r="AH765" t="s">
        <v>111</v>
      </c>
      <c r="AI765" t="s">
        <v>111</v>
      </c>
      <c r="AJ765" t="s">
        <v>111</v>
      </c>
      <c r="AK765" t="s">
        <v>111</v>
      </c>
      <c r="AL765" t="s">
        <v>111</v>
      </c>
      <c r="AM765">
        <v>0</v>
      </c>
      <c r="AN765">
        <v>0</v>
      </c>
      <c r="AO765">
        <v>0</v>
      </c>
      <c r="AP765" t="s">
        <v>111</v>
      </c>
      <c r="AQ765" t="s">
        <v>111</v>
      </c>
      <c r="AR765" t="s">
        <v>111</v>
      </c>
      <c r="AS765" t="s">
        <v>111</v>
      </c>
      <c r="AT765" t="s">
        <v>111</v>
      </c>
      <c r="AU765" t="s">
        <v>111</v>
      </c>
      <c r="AV765" t="s">
        <v>111</v>
      </c>
      <c r="AW765" t="s">
        <v>111</v>
      </c>
      <c r="AX765" t="s">
        <v>111</v>
      </c>
      <c r="AY765" t="s">
        <v>111</v>
      </c>
      <c r="AZ765" t="s">
        <v>111</v>
      </c>
      <c r="BA765" t="s">
        <v>111</v>
      </c>
      <c r="BB765" t="s">
        <v>111</v>
      </c>
      <c r="BC765" t="s">
        <v>111</v>
      </c>
      <c r="BD765" t="s">
        <v>111</v>
      </c>
      <c r="BE765" t="s">
        <v>111</v>
      </c>
      <c r="BF765" t="s">
        <v>111</v>
      </c>
      <c r="BG765" t="s">
        <v>111</v>
      </c>
      <c r="BH765" t="s">
        <v>111</v>
      </c>
      <c r="BI765" t="s">
        <v>111</v>
      </c>
      <c r="BJ765" t="s">
        <v>111</v>
      </c>
      <c r="BK765" t="s">
        <v>111</v>
      </c>
      <c r="BL765" t="s">
        <v>111</v>
      </c>
      <c r="BM765" t="s">
        <v>111</v>
      </c>
      <c r="BN765" t="s">
        <v>111</v>
      </c>
      <c r="BO765" t="s">
        <v>111</v>
      </c>
      <c r="BP765" t="s">
        <v>111</v>
      </c>
      <c r="BQ765" t="s">
        <v>111</v>
      </c>
      <c r="BR765" t="s">
        <v>111</v>
      </c>
      <c r="BS765" t="s">
        <v>111</v>
      </c>
      <c r="BT765" t="s">
        <v>111</v>
      </c>
      <c r="BU765" t="s">
        <v>111</v>
      </c>
      <c r="BV765" t="s">
        <v>111</v>
      </c>
      <c r="BW765" t="s">
        <v>111</v>
      </c>
      <c r="BX765" t="s">
        <v>111</v>
      </c>
      <c r="BY765" t="s">
        <v>111</v>
      </c>
      <c r="BZ765" t="s">
        <v>111</v>
      </c>
      <c r="CA765" t="s">
        <v>111</v>
      </c>
      <c r="CB765" t="s">
        <v>111</v>
      </c>
      <c r="CC765" t="s">
        <v>111</v>
      </c>
      <c r="CD765" t="s">
        <v>111</v>
      </c>
      <c r="CE765" t="s">
        <v>111</v>
      </c>
      <c r="CF765" t="s">
        <v>111</v>
      </c>
      <c r="CG765" t="s">
        <v>111</v>
      </c>
      <c r="CH765" t="s">
        <v>111</v>
      </c>
      <c r="CI765" t="s">
        <v>111</v>
      </c>
      <c r="CJ765" t="s">
        <v>111</v>
      </c>
      <c r="CK765" t="s">
        <v>111</v>
      </c>
      <c r="CL765" t="s">
        <v>111</v>
      </c>
      <c r="CM765" t="s">
        <v>135</v>
      </c>
      <c r="CN765" t="s">
        <v>128</v>
      </c>
      <c r="CO765" t="s">
        <v>111</v>
      </c>
      <c r="CP765" t="e">
        <f>-MUESTRA</f>
        <v>#NAME?</v>
      </c>
      <c r="CQ765">
        <v>0</v>
      </c>
      <c r="CR765">
        <v>1000</v>
      </c>
      <c r="CS765">
        <v>200</v>
      </c>
      <c r="CT765" t="e">
        <f>- DESTINO ALMACEN</f>
        <v>#NAME?</v>
      </c>
      <c r="CU765">
        <v>0</v>
      </c>
      <c r="CV765" t="s">
        <v>111</v>
      </c>
      <c r="CX765" t="s">
        <v>111</v>
      </c>
      <c r="CY765">
        <v>0</v>
      </c>
      <c r="CZ765" t="s">
        <v>111</v>
      </c>
      <c r="DA765" t="s">
        <v>111</v>
      </c>
      <c r="DB765" t="s">
        <v>111</v>
      </c>
      <c r="DC765" t="s">
        <v>111</v>
      </c>
    </row>
    <row r="766" spans="1:107">
      <c r="A766">
        <v>1613</v>
      </c>
      <c r="B766" t="s">
        <v>107</v>
      </c>
      <c r="C766" t="s">
        <v>937</v>
      </c>
      <c r="D766" t="s">
        <v>938</v>
      </c>
      <c r="E766" t="s">
        <v>2595</v>
      </c>
      <c r="F766" t="s">
        <v>431</v>
      </c>
      <c r="G766" t="s">
        <v>469</v>
      </c>
      <c r="H766">
        <v>2.9</v>
      </c>
      <c r="I766">
        <v>54</v>
      </c>
      <c r="J766">
        <v>0</v>
      </c>
      <c r="K766">
        <v>0</v>
      </c>
      <c r="L766" t="s">
        <v>117</v>
      </c>
      <c r="M766" t="s">
        <v>118</v>
      </c>
      <c r="N766">
        <v>40</v>
      </c>
      <c r="O766">
        <v>1</v>
      </c>
      <c r="P766" t="s">
        <v>111</v>
      </c>
      <c r="Q766">
        <v>26</v>
      </c>
      <c r="R766">
        <v>0</v>
      </c>
      <c r="S766">
        <v>0</v>
      </c>
      <c r="T766">
        <v>5</v>
      </c>
      <c r="U766" s="1" t="s">
        <v>2596</v>
      </c>
      <c r="V766">
        <v>0</v>
      </c>
      <c r="W766">
        <v>25</v>
      </c>
      <c r="X766">
        <v>8</v>
      </c>
      <c r="Y766">
        <v>0</v>
      </c>
      <c r="Z766" t="s">
        <v>111</v>
      </c>
      <c r="AA766">
        <v>0</v>
      </c>
      <c r="AB766" t="s">
        <v>2452</v>
      </c>
      <c r="AC766">
        <v>8</v>
      </c>
      <c r="AD766" t="s">
        <v>416</v>
      </c>
      <c r="AE766">
        <v>0</v>
      </c>
      <c r="AF766">
        <v>0</v>
      </c>
      <c r="AG766" t="s">
        <v>111</v>
      </c>
      <c r="AH766" t="s">
        <v>113</v>
      </c>
      <c r="AI766" t="s">
        <v>111</v>
      </c>
      <c r="AJ766" t="s">
        <v>111</v>
      </c>
      <c r="AK766" t="s">
        <v>111</v>
      </c>
      <c r="AL766" t="s">
        <v>111</v>
      </c>
      <c r="AM766">
        <v>0</v>
      </c>
      <c r="AN766">
        <v>0</v>
      </c>
      <c r="AO766">
        <v>0</v>
      </c>
      <c r="AP766" t="s">
        <v>111</v>
      </c>
      <c r="AQ766" t="s">
        <v>111</v>
      </c>
      <c r="AR766" t="s">
        <v>111</v>
      </c>
      <c r="AS766" t="s">
        <v>111</v>
      </c>
      <c r="AT766" t="s">
        <v>111</v>
      </c>
      <c r="AU766" t="s">
        <v>111</v>
      </c>
      <c r="AV766" t="s">
        <v>111</v>
      </c>
      <c r="AW766" t="s">
        <v>111</v>
      </c>
      <c r="AX766" t="s">
        <v>111</v>
      </c>
      <c r="AY766" t="s">
        <v>111</v>
      </c>
      <c r="AZ766" t="s">
        <v>111</v>
      </c>
      <c r="BA766" t="s">
        <v>111</v>
      </c>
      <c r="BB766" t="s">
        <v>111</v>
      </c>
      <c r="BC766" t="s">
        <v>111</v>
      </c>
      <c r="BD766" t="s">
        <v>111</v>
      </c>
      <c r="BE766" t="s">
        <v>111</v>
      </c>
      <c r="BF766" t="s">
        <v>111</v>
      </c>
      <c r="BG766" t="s">
        <v>111</v>
      </c>
      <c r="BH766" t="s">
        <v>111</v>
      </c>
      <c r="BI766" t="s">
        <v>111</v>
      </c>
      <c r="BJ766" t="s">
        <v>111</v>
      </c>
      <c r="BK766" t="s">
        <v>111</v>
      </c>
      <c r="BL766" t="s">
        <v>111</v>
      </c>
      <c r="BM766" t="s">
        <v>111</v>
      </c>
      <c r="BN766" t="s">
        <v>111</v>
      </c>
      <c r="BO766" t="s">
        <v>111</v>
      </c>
      <c r="BP766" t="s">
        <v>111</v>
      </c>
      <c r="BQ766" t="s">
        <v>111</v>
      </c>
      <c r="BR766" t="s">
        <v>111</v>
      </c>
      <c r="BS766" t="s">
        <v>111</v>
      </c>
      <c r="BT766" t="s">
        <v>111</v>
      </c>
      <c r="BU766" t="s">
        <v>111</v>
      </c>
      <c r="BV766" t="s">
        <v>111</v>
      </c>
      <c r="BW766" t="s">
        <v>111</v>
      </c>
      <c r="BX766" t="s">
        <v>111</v>
      </c>
      <c r="BY766" t="s">
        <v>111</v>
      </c>
      <c r="BZ766" t="s">
        <v>111</v>
      </c>
      <c r="CA766" t="s">
        <v>111</v>
      </c>
      <c r="CB766" t="s">
        <v>111</v>
      </c>
      <c r="CC766" t="s">
        <v>111</v>
      </c>
      <c r="CD766" t="s">
        <v>111</v>
      </c>
      <c r="CE766" t="s">
        <v>111</v>
      </c>
      <c r="CF766" t="s">
        <v>111</v>
      </c>
      <c r="CG766" t="s">
        <v>111</v>
      </c>
      <c r="CH766" t="s">
        <v>111</v>
      </c>
      <c r="CI766" t="s">
        <v>111</v>
      </c>
      <c r="CJ766" t="s">
        <v>111</v>
      </c>
      <c r="CK766" t="s">
        <v>111</v>
      </c>
      <c r="CL766" t="s">
        <v>111</v>
      </c>
      <c r="CM766">
        <v>450</v>
      </c>
      <c r="CN766" t="s">
        <v>113</v>
      </c>
      <c r="CO766" t="s">
        <v>111</v>
      </c>
      <c r="CP766" t="s">
        <v>111</v>
      </c>
      <c r="CQ766">
        <v>0</v>
      </c>
      <c r="CR766">
        <v>4000</v>
      </c>
      <c r="CS766">
        <v>100</v>
      </c>
      <c r="CT766" t="e">
        <f>-ALMACEN</f>
        <v>#NAME?</v>
      </c>
      <c r="CU766">
        <v>0</v>
      </c>
      <c r="CV766" t="s">
        <v>111</v>
      </c>
      <c r="CW766" t="s">
        <v>111</v>
      </c>
      <c r="CX766" t="s">
        <v>111</v>
      </c>
      <c r="CY766">
        <v>0</v>
      </c>
      <c r="CZ766" t="s">
        <v>111</v>
      </c>
      <c r="DA766" t="s">
        <v>111</v>
      </c>
      <c r="DB766" t="s">
        <v>111</v>
      </c>
      <c r="DC766" t="s">
        <v>111</v>
      </c>
    </row>
    <row r="767" spans="1:107">
      <c r="A767">
        <v>1611</v>
      </c>
      <c r="B767" t="s">
        <v>107</v>
      </c>
      <c r="C767" t="s">
        <v>937</v>
      </c>
      <c r="D767" t="s">
        <v>938</v>
      </c>
      <c r="E767" t="s">
        <v>2597</v>
      </c>
      <c r="F767" t="s">
        <v>431</v>
      </c>
      <c r="G767" t="s">
        <v>469</v>
      </c>
      <c r="H767">
        <v>2.9</v>
      </c>
      <c r="I767">
        <v>54</v>
      </c>
      <c r="J767">
        <v>0</v>
      </c>
      <c r="K767">
        <v>0</v>
      </c>
      <c r="L767" t="s">
        <v>117</v>
      </c>
      <c r="M767" t="s">
        <v>118</v>
      </c>
      <c r="N767">
        <v>39</v>
      </c>
      <c r="O767">
        <v>1</v>
      </c>
      <c r="P767" t="s">
        <v>111</v>
      </c>
      <c r="Q767">
        <v>26</v>
      </c>
      <c r="R767">
        <v>0</v>
      </c>
      <c r="S767">
        <v>0</v>
      </c>
      <c r="T767">
        <v>8</v>
      </c>
      <c r="U767" s="1" t="s">
        <v>2598</v>
      </c>
      <c r="V767">
        <v>0</v>
      </c>
      <c r="W767">
        <v>25</v>
      </c>
      <c r="X767">
        <v>8</v>
      </c>
      <c r="Y767">
        <v>0</v>
      </c>
      <c r="Z767" t="s">
        <v>111</v>
      </c>
      <c r="AA767">
        <v>0</v>
      </c>
      <c r="AB767" t="s">
        <v>2599</v>
      </c>
      <c r="AC767">
        <v>8</v>
      </c>
      <c r="AD767" t="s">
        <v>416</v>
      </c>
      <c r="AE767">
        <v>0</v>
      </c>
      <c r="AF767">
        <v>0</v>
      </c>
      <c r="AG767" t="s">
        <v>111</v>
      </c>
      <c r="AH767" t="s">
        <v>113</v>
      </c>
      <c r="AI767" t="s">
        <v>111</v>
      </c>
      <c r="AJ767" t="s">
        <v>111</v>
      </c>
      <c r="AK767" t="s">
        <v>111</v>
      </c>
      <c r="AL767" t="s">
        <v>111</v>
      </c>
      <c r="AM767">
        <v>0</v>
      </c>
      <c r="AN767">
        <v>0</v>
      </c>
      <c r="AO767">
        <v>0</v>
      </c>
      <c r="AP767" t="s">
        <v>111</v>
      </c>
      <c r="AQ767" t="s">
        <v>111</v>
      </c>
      <c r="AR767" t="s">
        <v>111</v>
      </c>
      <c r="AS767" t="s">
        <v>111</v>
      </c>
      <c r="AT767" t="s">
        <v>111</v>
      </c>
      <c r="AU767" t="s">
        <v>111</v>
      </c>
      <c r="AV767" t="s">
        <v>111</v>
      </c>
      <c r="AW767" t="s">
        <v>111</v>
      </c>
      <c r="AX767" t="s">
        <v>111</v>
      </c>
      <c r="AY767" t="s">
        <v>111</v>
      </c>
      <c r="AZ767" t="s">
        <v>111</v>
      </c>
      <c r="BA767" t="s">
        <v>111</v>
      </c>
      <c r="BB767" t="s">
        <v>111</v>
      </c>
      <c r="BC767" t="s">
        <v>111</v>
      </c>
      <c r="BD767" t="s">
        <v>111</v>
      </c>
      <c r="BE767" t="s">
        <v>111</v>
      </c>
      <c r="BF767" t="s">
        <v>111</v>
      </c>
      <c r="BG767" t="s">
        <v>111</v>
      </c>
      <c r="BH767" t="s">
        <v>111</v>
      </c>
      <c r="BI767" t="s">
        <v>111</v>
      </c>
      <c r="BJ767" t="s">
        <v>111</v>
      </c>
      <c r="BK767" t="s">
        <v>111</v>
      </c>
      <c r="BL767" t="s">
        <v>111</v>
      </c>
      <c r="BM767" t="s">
        <v>111</v>
      </c>
      <c r="BN767" t="s">
        <v>111</v>
      </c>
      <c r="BO767" t="s">
        <v>111</v>
      </c>
      <c r="BP767" t="s">
        <v>111</v>
      </c>
      <c r="BQ767" t="s">
        <v>111</v>
      </c>
      <c r="BR767" t="s">
        <v>111</v>
      </c>
      <c r="BS767" t="s">
        <v>111</v>
      </c>
      <c r="BT767" t="s">
        <v>111</v>
      </c>
      <c r="BU767" t="s">
        <v>111</v>
      </c>
      <c r="BV767" t="s">
        <v>111</v>
      </c>
      <c r="BW767" t="s">
        <v>111</v>
      </c>
      <c r="BX767" t="s">
        <v>111</v>
      </c>
      <c r="BY767" t="s">
        <v>111</v>
      </c>
      <c r="BZ767" t="s">
        <v>111</v>
      </c>
      <c r="CA767" t="s">
        <v>111</v>
      </c>
      <c r="CB767" t="s">
        <v>111</v>
      </c>
      <c r="CC767" t="s">
        <v>111</v>
      </c>
      <c r="CD767" t="s">
        <v>111</v>
      </c>
      <c r="CE767" t="s">
        <v>111</v>
      </c>
      <c r="CF767" t="s">
        <v>111</v>
      </c>
      <c r="CG767" t="s">
        <v>111</v>
      </c>
      <c r="CH767" t="s">
        <v>111</v>
      </c>
      <c r="CI767" t="s">
        <v>111</v>
      </c>
      <c r="CJ767" t="s">
        <v>111</v>
      </c>
      <c r="CK767" t="s">
        <v>111</v>
      </c>
      <c r="CL767" t="s">
        <v>111</v>
      </c>
      <c r="CM767">
        <v>450</v>
      </c>
      <c r="CN767" t="s">
        <v>113</v>
      </c>
      <c r="CO767" t="s">
        <v>111</v>
      </c>
      <c r="CP767" t="s">
        <v>111</v>
      </c>
      <c r="CQ767">
        <v>0</v>
      </c>
      <c r="CR767">
        <v>4000</v>
      </c>
      <c r="CS767">
        <v>100</v>
      </c>
      <c r="CT767" t="e">
        <f>-ALMACEN</f>
        <v>#NAME?</v>
      </c>
      <c r="CU767">
        <v>0</v>
      </c>
      <c r="CV767" t="s">
        <v>111</v>
      </c>
      <c r="CW767" t="s">
        <v>111</v>
      </c>
      <c r="CX767" t="s">
        <v>111</v>
      </c>
      <c r="CY767">
        <v>0</v>
      </c>
      <c r="CZ767" t="s">
        <v>111</v>
      </c>
      <c r="DA767" t="s">
        <v>111</v>
      </c>
      <c r="DB767" t="s">
        <v>111</v>
      </c>
      <c r="DC767" t="s">
        <v>111</v>
      </c>
    </row>
    <row r="768" spans="1:107">
      <c r="A768">
        <v>1667</v>
      </c>
      <c r="B768" t="s">
        <v>107</v>
      </c>
      <c r="C768" t="s">
        <v>736</v>
      </c>
      <c r="D768" t="s">
        <v>2600</v>
      </c>
      <c r="E768" t="s">
        <v>2601</v>
      </c>
      <c r="F768" t="s">
        <v>2602</v>
      </c>
      <c r="G768" t="s">
        <v>469</v>
      </c>
      <c r="H768">
        <v>2.9</v>
      </c>
      <c r="I768">
        <v>28.5</v>
      </c>
      <c r="J768">
        <v>0</v>
      </c>
      <c r="K768">
        <v>0</v>
      </c>
      <c r="L768" t="s">
        <v>112</v>
      </c>
      <c r="M768" t="s">
        <v>118</v>
      </c>
      <c r="N768">
        <v>40</v>
      </c>
      <c r="O768">
        <v>1</v>
      </c>
      <c r="P768" t="s">
        <v>111</v>
      </c>
      <c r="Q768">
        <v>50</v>
      </c>
      <c r="R768">
        <v>0</v>
      </c>
      <c r="S768">
        <v>0</v>
      </c>
      <c r="T768">
        <v>5</v>
      </c>
      <c r="U768" s="1" t="s">
        <v>2603</v>
      </c>
      <c r="V768">
        <v>25</v>
      </c>
      <c r="W768">
        <v>0</v>
      </c>
      <c r="X768">
        <v>8</v>
      </c>
      <c r="Y768">
        <v>0</v>
      </c>
      <c r="Z768" t="s">
        <v>184</v>
      </c>
      <c r="AA768">
        <v>1.5</v>
      </c>
      <c r="AB768" t="s">
        <v>111</v>
      </c>
      <c r="AC768">
        <v>0</v>
      </c>
      <c r="AD768" t="s">
        <v>416</v>
      </c>
      <c r="AE768">
        <v>0</v>
      </c>
      <c r="AF768">
        <v>0</v>
      </c>
      <c r="AG768" t="s">
        <v>111</v>
      </c>
      <c r="AH768" t="s">
        <v>113</v>
      </c>
      <c r="AI768" t="s">
        <v>111</v>
      </c>
      <c r="AJ768" t="s">
        <v>111</v>
      </c>
      <c r="AK768" t="s">
        <v>111</v>
      </c>
      <c r="AL768" t="s">
        <v>111</v>
      </c>
      <c r="AM768">
        <v>0</v>
      </c>
      <c r="AN768">
        <v>0</v>
      </c>
      <c r="AO768">
        <v>0</v>
      </c>
      <c r="AP768" t="s">
        <v>111</v>
      </c>
      <c r="AQ768" t="s">
        <v>111</v>
      </c>
      <c r="AR768" t="s">
        <v>111</v>
      </c>
      <c r="AS768" t="s">
        <v>111</v>
      </c>
      <c r="AT768" t="s">
        <v>111</v>
      </c>
      <c r="AU768" t="s">
        <v>111</v>
      </c>
      <c r="AV768" t="s">
        <v>111</v>
      </c>
      <c r="AW768" t="s">
        <v>111</v>
      </c>
      <c r="AX768" t="s">
        <v>111</v>
      </c>
      <c r="AY768" t="s">
        <v>111</v>
      </c>
      <c r="AZ768" t="s">
        <v>111</v>
      </c>
      <c r="BA768" t="s">
        <v>111</v>
      </c>
      <c r="BB768" t="s">
        <v>111</v>
      </c>
      <c r="BC768" t="s">
        <v>111</v>
      </c>
      <c r="BD768" t="s">
        <v>111</v>
      </c>
      <c r="BE768" t="s">
        <v>111</v>
      </c>
      <c r="BF768" t="s">
        <v>111</v>
      </c>
      <c r="BG768" t="s">
        <v>111</v>
      </c>
      <c r="BH768" t="s">
        <v>111</v>
      </c>
      <c r="BI768" t="s">
        <v>111</v>
      </c>
      <c r="BJ768" t="s">
        <v>111</v>
      </c>
      <c r="BK768" t="s">
        <v>111</v>
      </c>
      <c r="BL768" t="s">
        <v>111</v>
      </c>
      <c r="BM768" t="s">
        <v>111</v>
      </c>
      <c r="BN768" t="s">
        <v>111</v>
      </c>
      <c r="BO768" t="s">
        <v>111</v>
      </c>
      <c r="BP768" t="s">
        <v>111</v>
      </c>
      <c r="BQ768" t="s">
        <v>111</v>
      </c>
      <c r="BR768" t="s">
        <v>111</v>
      </c>
      <c r="BS768" t="s">
        <v>111</v>
      </c>
      <c r="BT768" t="s">
        <v>111</v>
      </c>
      <c r="BU768" t="s">
        <v>111</v>
      </c>
      <c r="BV768" t="s">
        <v>111</v>
      </c>
      <c r="BW768" t="s">
        <v>111</v>
      </c>
      <c r="BX768" t="s">
        <v>111</v>
      </c>
      <c r="BY768" t="s">
        <v>111</v>
      </c>
      <c r="BZ768" t="s">
        <v>111</v>
      </c>
      <c r="CA768" t="s">
        <v>111</v>
      </c>
      <c r="CB768" t="s">
        <v>111</v>
      </c>
      <c r="CC768" t="s">
        <v>111</v>
      </c>
      <c r="CD768" t="s">
        <v>111</v>
      </c>
      <c r="CE768" t="s">
        <v>111</v>
      </c>
      <c r="CF768" t="s">
        <v>111</v>
      </c>
      <c r="CG768" t="s">
        <v>111</v>
      </c>
      <c r="CH768" t="s">
        <v>111</v>
      </c>
      <c r="CI768" t="s">
        <v>111</v>
      </c>
      <c r="CJ768" t="s">
        <v>111</v>
      </c>
      <c r="CK768" t="s">
        <v>111</v>
      </c>
      <c r="CL768" t="s">
        <v>111</v>
      </c>
      <c r="CM768" t="s">
        <v>135</v>
      </c>
      <c r="CN768" t="s">
        <v>113</v>
      </c>
      <c r="CO768" t="s">
        <v>637</v>
      </c>
      <c r="CP768" t="s">
        <v>111</v>
      </c>
      <c r="CQ768">
        <v>0</v>
      </c>
      <c r="CR768">
        <v>5000</v>
      </c>
      <c r="CS768">
        <v>100</v>
      </c>
      <c r="CT768" t="e">
        <f>-ALMACEN</f>
        <v>#NAME?</v>
      </c>
      <c r="CU768">
        <v>0</v>
      </c>
      <c r="CV768" t="s">
        <v>111</v>
      </c>
      <c r="CX768" t="s">
        <v>111</v>
      </c>
      <c r="CY768">
        <v>0</v>
      </c>
      <c r="CZ768" t="s">
        <v>111</v>
      </c>
      <c r="DA768" t="s">
        <v>111</v>
      </c>
      <c r="DB768" t="s">
        <v>111</v>
      </c>
      <c r="DC768" t="s">
        <v>111</v>
      </c>
    </row>
    <row r="769" spans="1:107">
      <c r="A769">
        <v>1589</v>
      </c>
      <c r="B769" t="s">
        <v>107</v>
      </c>
      <c r="C769" t="s">
        <v>2274</v>
      </c>
      <c r="D769" t="s">
        <v>2522</v>
      </c>
      <c r="E769" t="s">
        <v>2523</v>
      </c>
      <c r="F769" t="s">
        <v>192</v>
      </c>
      <c r="G769" t="s">
        <v>469</v>
      </c>
      <c r="H769">
        <v>0.9</v>
      </c>
      <c r="I769">
        <v>70</v>
      </c>
      <c r="J769">
        <v>0</v>
      </c>
      <c r="K769">
        <v>0</v>
      </c>
      <c r="L769" t="s">
        <v>111</v>
      </c>
      <c r="M769" t="s">
        <v>111</v>
      </c>
      <c r="N769">
        <v>0</v>
      </c>
      <c r="O769">
        <v>0</v>
      </c>
      <c r="P769" t="s">
        <v>111</v>
      </c>
      <c r="Q769">
        <v>49</v>
      </c>
      <c r="R769">
        <v>0</v>
      </c>
      <c r="S769">
        <v>0</v>
      </c>
      <c r="T769">
        <v>5</v>
      </c>
      <c r="U769" t="e">
        <f>-SELLADO</f>
        <v>#NAME?</v>
      </c>
      <c r="V769">
        <v>0</v>
      </c>
      <c r="W769">
        <v>25</v>
      </c>
      <c r="X769">
        <v>5</v>
      </c>
      <c r="Y769">
        <v>0</v>
      </c>
      <c r="Z769" t="s">
        <v>111</v>
      </c>
      <c r="AA769">
        <v>0</v>
      </c>
      <c r="AB769" t="s">
        <v>111</v>
      </c>
      <c r="AC769">
        <v>0</v>
      </c>
      <c r="AD769" t="s">
        <v>111</v>
      </c>
      <c r="AE769">
        <v>0</v>
      </c>
      <c r="AF769">
        <v>0</v>
      </c>
      <c r="AG769" t="s">
        <v>111</v>
      </c>
      <c r="AH769" t="s">
        <v>111</v>
      </c>
      <c r="AI769" t="s">
        <v>111</v>
      </c>
      <c r="AJ769" t="s">
        <v>111</v>
      </c>
      <c r="AK769" t="s">
        <v>111</v>
      </c>
      <c r="AL769" t="s">
        <v>111</v>
      </c>
      <c r="AM769">
        <v>0</v>
      </c>
      <c r="AN769">
        <v>0</v>
      </c>
      <c r="AO769">
        <v>0</v>
      </c>
      <c r="AP769" t="s">
        <v>111</v>
      </c>
      <c r="AQ769" t="s">
        <v>111</v>
      </c>
      <c r="AR769" t="s">
        <v>111</v>
      </c>
      <c r="AS769" t="s">
        <v>111</v>
      </c>
      <c r="AT769" t="s">
        <v>111</v>
      </c>
      <c r="AU769" t="s">
        <v>111</v>
      </c>
      <c r="AV769" t="s">
        <v>111</v>
      </c>
      <c r="AW769" t="s">
        <v>111</v>
      </c>
      <c r="AX769" t="s">
        <v>111</v>
      </c>
      <c r="AY769" t="s">
        <v>111</v>
      </c>
      <c r="AZ769" t="s">
        <v>111</v>
      </c>
      <c r="BA769" t="s">
        <v>111</v>
      </c>
      <c r="BB769" t="s">
        <v>111</v>
      </c>
      <c r="BC769" t="s">
        <v>111</v>
      </c>
      <c r="BD769" t="s">
        <v>111</v>
      </c>
      <c r="BE769" t="s">
        <v>111</v>
      </c>
      <c r="BF769" t="s">
        <v>111</v>
      </c>
      <c r="BG769" t="s">
        <v>111</v>
      </c>
      <c r="BH769" t="s">
        <v>111</v>
      </c>
      <c r="BI769" t="s">
        <v>111</v>
      </c>
      <c r="BJ769" t="s">
        <v>111</v>
      </c>
      <c r="BK769" t="s">
        <v>111</v>
      </c>
      <c r="BL769" t="s">
        <v>111</v>
      </c>
      <c r="BM769" t="s">
        <v>111</v>
      </c>
      <c r="BN769" t="s">
        <v>111</v>
      </c>
      <c r="BO769" t="s">
        <v>111</v>
      </c>
      <c r="BP769" t="s">
        <v>111</v>
      </c>
      <c r="BQ769" t="s">
        <v>111</v>
      </c>
      <c r="BR769" t="s">
        <v>111</v>
      </c>
      <c r="BS769" t="s">
        <v>111</v>
      </c>
      <c r="BT769" t="s">
        <v>111</v>
      </c>
      <c r="BU769" t="s">
        <v>111</v>
      </c>
      <c r="BV769" t="s">
        <v>111</v>
      </c>
      <c r="BW769" t="s">
        <v>111</v>
      </c>
      <c r="BX769" t="s">
        <v>111</v>
      </c>
      <c r="BY769" t="s">
        <v>111</v>
      </c>
      <c r="BZ769" t="s">
        <v>111</v>
      </c>
      <c r="CA769" t="s">
        <v>111</v>
      </c>
      <c r="CB769" t="s">
        <v>111</v>
      </c>
      <c r="CC769" t="s">
        <v>111</v>
      </c>
      <c r="CD769" t="s">
        <v>111</v>
      </c>
      <c r="CE769" t="s">
        <v>111</v>
      </c>
      <c r="CF769" t="s">
        <v>111</v>
      </c>
      <c r="CG769" t="s">
        <v>111</v>
      </c>
      <c r="CH769" t="s">
        <v>111</v>
      </c>
      <c r="CI769" t="s">
        <v>111</v>
      </c>
      <c r="CJ769" t="s">
        <v>111</v>
      </c>
      <c r="CK769" t="s">
        <v>111</v>
      </c>
      <c r="CL769" t="s">
        <v>111</v>
      </c>
      <c r="CM769" t="s">
        <v>135</v>
      </c>
      <c r="CN769" t="s">
        <v>113</v>
      </c>
      <c r="CO769" t="s">
        <v>111</v>
      </c>
      <c r="CP769" t="s">
        <v>111</v>
      </c>
      <c r="CQ769">
        <v>0</v>
      </c>
      <c r="CR769">
        <v>7500</v>
      </c>
      <c r="CS769">
        <v>250</v>
      </c>
      <c r="CT769" t="e">
        <f>-ALMACEN</f>
        <v>#NAME?</v>
      </c>
      <c r="CU769">
        <v>0</v>
      </c>
      <c r="CV769" t="s">
        <v>111</v>
      </c>
      <c r="CW769" t="s">
        <v>111</v>
      </c>
      <c r="CX769" t="s">
        <v>111</v>
      </c>
      <c r="CY769">
        <v>0</v>
      </c>
      <c r="CZ769" t="s">
        <v>111</v>
      </c>
      <c r="DA769" t="s">
        <v>111</v>
      </c>
      <c r="DB769" t="s">
        <v>111</v>
      </c>
      <c r="DC769" t="s">
        <v>111</v>
      </c>
    </row>
    <row r="770" spans="1:107">
      <c r="A770">
        <v>1642</v>
      </c>
      <c r="B770" t="s">
        <v>107</v>
      </c>
      <c r="C770" t="s">
        <v>399</v>
      </c>
      <c r="D770" t="s">
        <v>2604</v>
      </c>
      <c r="E770" t="s">
        <v>2605</v>
      </c>
      <c r="F770" t="s">
        <v>2362</v>
      </c>
      <c r="G770" t="s">
        <v>469</v>
      </c>
      <c r="H770">
        <v>0.7</v>
      </c>
      <c r="I770">
        <v>70</v>
      </c>
      <c r="J770">
        <v>0</v>
      </c>
      <c r="K770">
        <v>0</v>
      </c>
      <c r="L770" t="s">
        <v>178</v>
      </c>
      <c r="M770" t="s">
        <v>111</v>
      </c>
      <c r="N770">
        <v>0</v>
      </c>
      <c r="O770">
        <v>0</v>
      </c>
      <c r="P770" t="s">
        <v>111</v>
      </c>
      <c r="Q770">
        <v>54.4</v>
      </c>
      <c r="R770">
        <v>0</v>
      </c>
      <c r="S770">
        <v>0</v>
      </c>
      <c r="T770">
        <v>5</v>
      </c>
      <c r="U770" s="1" t="s">
        <v>2606</v>
      </c>
      <c r="V770">
        <v>250</v>
      </c>
      <c r="W770">
        <v>0</v>
      </c>
      <c r="X770">
        <v>7</v>
      </c>
      <c r="Y770">
        <v>0</v>
      </c>
      <c r="Z770" t="s">
        <v>2363</v>
      </c>
      <c r="AA770">
        <v>1.2</v>
      </c>
      <c r="AB770" t="s">
        <v>111</v>
      </c>
      <c r="AC770">
        <v>0</v>
      </c>
      <c r="AD770" t="s">
        <v>111</v>
      </c>
      <c r="AE770">
        <v>0</v>
      </c>
      <c r="AF770">
        <v>0</v>
      </c>
      <c r="AG770" t="s">
        <v>111</v>
      </c>
      <c r="AH770" t="s">
        <v>111</v>
      </c>
      <c r="AI770" t="s">
        <v>111</v>
      </c>
      <c r="AJ770" t="s">
        <v>111</v>
      </c>
      <c r="AK770" t="s">
        <v>111</v>
      </c>
      <c r="AL770" t="s">
        <v>111</v>
      </c>
      <c r="AM770">
        <v>0</v>
      </c>
      <c r="AN770">
        <v>0</v>
      </c>
      <c r="AO770">
        <v>0</v>
      </c>
      <c r="AP770" t="s">
        <v>111</v>
      </c>
      <c r="AQ770" t="s">
        <v>111</v>
      </c>
      <c r="AR770" t="s">
        <v>111</v>
      </c>
      <c r="AS770" t="s">
        <v>111</v>
      </c>
      <c r="AT770" t="s">
        <v>111</v>
      </c>
      <c r="AU770" t="s">
        <v>111</v>
      </c>
      <c r="AV770" t="s">
        <v>111</v>
      </c>
      <c r="AW770" t="s">
        <v>111</v>
      </c>
      <c r="AX770" t="s">
        <v>111</v>
      </c>
      <c r="AY770" t="s">
        <v>111</v>
      </c>
      <c r="AZ770" t="s">
        <v>111</v>
      </c>
      <c r="BA770" t="s">
        <v>111</v>
      </c>
      <c r="BB770" t="s">
        <v>111</v>
      </c>
      <c r="BC770" t="s">
        <v>111</v>
      </c>
      <c r="BD770" t="s">
        <v>111</v>
      </c>
      <c r="BE770" t="s">
        <v>111</v>
      </c>
      <c r="BF770" t="s">
        <v>111</v>
      </c>
      <c r="BG770" t="s">
        <v>111</v>
      </c>
      <c r="BH770" t="s">
        <v>111</v>
      </c>
      <c r="BI770" t="s">
        <v>111</v>
      </c>
      <c r="BJ770" t="s">
        <v>111</v>
      </c>
      <c r="BK770" t="s">
        <v>111</v>
      </c>
      <c r="BL770" t="s">
        <v>111</v>
      </c>
      <c r="BM770" t="s">
        <v>111</v>
      </c>
      <c r="BN770" t="s">
        <v>111</v>
      </c>
      <c r="BO770" t="s">
        <v>111</v>
      </c>
      <c r="BP770" t="s">
        <v>111</v>
      </c>
      <c r="BQ770" t="s">
        <v>111</v>
      </c>
      <c r="BR770" t="s">
        <v>111</v>
      </c>
      <c r="BS770" t="s">
        <v>111</v>
      </c>
      <c r="BT770" t="s">
        <v>111</v>
      </c>
      <c r="BU770" t="s">
        <v>111</v>
      </c>
      <c r="BV770" t="s">
        <v>111</v>
      </c>
      <c r="BW770" t="s">
        <v>111</v>
      </c>
      <c r="BX770" t="s">
        <v>111</v>
      </c>
      <c r="BY770" t="s">
        <v>111</v>
      </c>
      <c r="BZ770" t="s">
        <v>111</v>
      </c>
      <c r="CA770" t="s">
        <v>111</v>
      </c>
      <c r="CB770" t="s">
        <v>111</v>
      </c>
      <c r="CC770" t="s">
        <v>111</v>
      </c>
      <c r="CD770" t="s">
        <v>111</v>
      </c>
      <c r="CE770" t="s">
        <v>111</v>
      </c>
      <c r="CF770" t="s">
        <v>111</v>
      </c>
      <c r="CG770" t="s">
        <v>111</v>
      </c>
      <c r="CH770" t="s">
        <v>111</v>
      </c>
      <c r="CI770" t="s">
        <v>111</v>
      </c>
      <c r="CJ770" t="s">
        <v>111</v>
      </c>
      <c r="CK770" t="s">
        <v>111</v>
      </c>
      <c r="CL770" t="s">
        <v>111</v>
      </c>
      <c r="CM770" t="s">
        <v>360</v>
      </c>
      <c r="CN770">
        <v>50</v>
      </c>
      <c r="CO770" t="s">
        <v>111</v>
      </c>
      <c r="CP770" t="s">
        <v>111</v>
      </c>
      <c r="CQ770">
        <v>0</v>
      </c>
      <c r="CR770">
        <v>500</v>
      </c>
      <c r="CS770">
        <v>50</v>
      </c>
      <c r="CT770" s="1" t="s">
        <v>2607</v>
      </c>
      <c r="CU770">
        <v>0</v>
      </c>
      <c r="CV770" t="s">
        <v>111</v>
      </c>
      <c r="CX770" t="s">
        <v>111</v>
      </c>
      <c r="CY770">
        <v>0</v>
      </c>
      <c r="CZ770" t="s">
        <v>111</v>
      </c>
      <c r="DA770" t="s">
        <v>111</v>
      </c>
      <c r="DB770" t="s">
        <v>111</v>
      </c>
      <c r="DC770" t="s">
        <v>111</v>
      </c>
    </row>
    <row r="771" spans="1:107">
      <c r="A771">
        <v>2065</v>
      </c>
      <c r="B771" t="s">
        <v>376</v>
      </c>
      <c r="C771" t="s">
        <v>2077</v>
      </c>
      <c r="D771" t="s">
        <v>2429</v>
      </c>
      <c r="E771" t="s">
        <v>2608</v>
      </c>
      <c r="F771" t="s">
        <v>125</v>
      </c>
      <c r="G771" t="s">
        <v>469</v>
      </c>
      <c r="H771">
        <v>0.6</v>
      </c>
      <c r="I771">
        <v>58</v>
      </c>
      <c r="J771">
        <v>0</v>
      </c>
      <c r="K771">
        <v>0</v>
      </c>
      <c r="L771" t="s">
        <v>112</v>
      </c>
      <c r="M771" t="s">
        <v>111</v>
      </c>
      <c r="N771">
        <v>0</v>
      </c>
      <c r="O771">
        <v>0</v>
      </c>
      <c r="P771" t="s">
        <v>111</v>
      </c>
      <c r="Q771">
        <v>33</v>
      </c>
      <c r="R771">
        <v>0</v>
      </c>
      <c r="S771">
        <v>0</v>
      </c>
      <c r="T771">
        <v>5</v>
      </c>
      <c r="U771" s="1" t="s">
        <v>2609</v>
      </c>
      <c r="V771">
        <v>25</v>
      </c>
      <c r="W771">
        <v>0</v>
      </c>
      <c r="X771">
        <v>8</v>
      </c>
      <c r="Y771">
        <v>0</v>
      </c>
      <c r="Z771" t="s">
        <v>147</v>
      </c>
      <c r="AA771">
        <v>8</v>
      </c>
      <c r="AB771" t="s">
        <v>111</v>
      </c>
      <c r="AC771">
        <v>0</v>
      </c>
      <c r="AD771" t="s">
        <v>111</v>
      </c>
      <c r="AE771">
        <v>0</v>
      </c>
      <c r="AF771">
        <v>0</v>
      </c>
      <c r="AG771" t="s">
        <v>111</v>
      </c>
      <c r="AH771" t="s">
        <v>111</v>
      </c>
      <c r="AI771" t="s">
        <v>111</v>
      </c>
      <c r="AJ771" t="s">
        <v>111</v>
      </c>
      <c r="AK771" t="s">
        <v>111</v>
      </c>
      <c r="AL771" t="s">
        <v>111</v>
      </c>
      <c r="AM771">
        <v>0</v>
      </c>
      <c r="AN771">
        <v>0</v>
      </c>
      <c r="AO771">
        <v>0</v>
      </c>
      <c r="AP771" t="s">
        <v>111</v>
      </c>
      <c r="AQ771" t="s">
        <v>111</v>
      </c>
      <c r="AR771" t="s">
        <v>111</v>
      </c>
      <c r="AS771" t="s">
        <v>111</v>
      </c>
      <c r="AT771" t="s">
        <v>111</v>
      </c>
      <c r="AU771" t="s">
        <v>111</v>
      </c>
      <c r="AV771" t="s">
        <v>111</v>
      </c>
      <c r="AW771" t="s">
        <v>111</v>
      </c>
      <c r="AX771" t="s">
        <v>111</v>
      </c>
      <c r="AY771" t="s">
        <v>111</v>
      </c>
      <c r="AZ771" t="s">
        <v>111</v>
      </c>
      <c r="BA771" t="s">
        <v>111</v>
      </c>
      <c r="BB771" t="s">
        <v>111</v>
      </c>
      <c r="BC771" t="s">
        <v>111</v>
      </c>
      <c r="BD771" t="s">
        <v>111</v>
      </c>
      <c r="BE771" t="s">
        <v>111</v>
      </c>
      <c r="BF771" t="s">
        <v>111</v>
      </c>
      <c r="BG771" t="s">
        <v>111</v>
      </c>
      <c r="BH771" t="s">
        <v>111</v>
      </c>
      <c r="BI771" t="s">
        <v>111</v>
      </c>
      <c r="BJ771" t="s">
        <v>111</v>
      </c>
      <c r="BK771" t="s">
        <v>111</v>
      </c>
      <c r="BL771" t="s">
        <v>111</v>
      </c>
      <c r="BM771" t="s">
        <v>111</v>
      </c>
      <c r="BN771" t="s">
        <v>111</v>
      </c>
      <c r="BO771" t="s">
        <v>111</v>
      </c>
      <c r="BP771" t="s">
        <v>111</v>
      </c>
      <c r="BQ771" t="s">
        <v>111</v>
      </c>
      <c r="BR771" t="s">
        <v>111</v>
      </c>
      <c r="BS771" t="s">
        <v>111</v>
      </c>
      <c r="BT771" t="s">
        <v>111</v>
      </c>
      <c r="BU771" t="s">
        <v>111</v>
      </c>
      <c r="BV771" t="s">
        <v>111</v>
      </c>
      <c r="BW771" t="s">
        <v>111</v>
      </c>
      <c r="BX771" t="s">
        <v>111</v>
      </c>
      <c r="BY771" t="s">
        <v>111</v>
      </c>
      <c r="BZ771" t="s">
        <v>111</v>
      </c>
      <c r="CA771" t="s">
        <v>111</v>
      </c>
      <c r="CB771" t="s">
        <v>111</v>
      </c>
      <c r="CC771" t="s">
        <v>111</v>
      </c>
      <c r="CD771" t="s">
        <v>111</v>
      </c>
      <c r="CE771" t="s">
        <v>111</v>
      </c>
      <c r="CF771" t="s">
        <v>111</v>
      </c>
      <c r="CG771" t="s">
        <v>111</v>
      </c>
      <c r="CH771" t="s">
        <v>111</v>
      </c>
      <c r="CI771" t="s">
        <v>111</v>
      </c>
      <c r="CJ771" t="s">
        <v>111</v>
      </c>
      <c r="CK771" t="s">
        <v>111</v>
      </c>
      <c r="CL771" t="s">
        <v>111</v>
      </c>
      <c r="CM771" t="s">
        <v>127</v>
      </c>
      <c r="CN771" t="s">
        <v>128</v>
      </c>
      <c r="CO771" t="s">
        <v>111</v>
      </c>
      <c r="CP771" t="e">
        <f>-MUESTRA</f>
        <v>#NAME?</v>
      </c>
      <c r="CQ771">
        <v>0</v>
      </c>
      <c r="CR771">
        <v>5000</v>
      </c>
      <c r="CS771">
        <v>1000</v>
      </c>
      <c r="CT771" t="e">
        <f>- DESTINO ALMACEN</f>
        <v>#NAME?</v>
      </c>
      <c r="CU771">
        <v>0</v>
      </c>
      <c r="CV771" t="s">
        <v>111</v>
      </c>
      <c r="CX771" t="s">
        <v>111</v>
      </c>
      <c r="CY771">
        <v>0</v>
      </c>
      <c r="CZ771" t="s">
        <v>111</v>
      </c>
      <c r="DA771" t="s">
        <v>111</v>
      </c>
      <c r="DB771" t="s">
        <v>111</v>
      </c>
      <c r="DC771" t="s">
        <v>111</v>
      </c>
    </row>
    <row r="772" spans="1:107">
      <c r="A772">
        <v>1661</v>
      </c>
      <c r="B772" t="s">
        <v>107</v>
      </c>
      <c r="C772" t="s">
        <v>1508</v>
      </c>
      <c r="D772" t="s">
        <v>1530</v>
      </c>
      <c r="E772" t="s">
        <v>2610</v>
      </c>
      <c r="F772" t="s">
        <v>431</v>
      </c>
      <c r="G772" t="s">
        <v>469</v>
      </c>
      <c r="H772">
        <v>4</v>
      </c>
      <c r="I772">
        <v>48</v>
      </c>
      <c r="J772">
        <v>0</v>
      </c>
      <c r="K772">
        <v>0</v>
      </c>
      <c r="L772" t="s">
        <v>117</v>
      </c>
      <c r="M772" t="s">
        <v>118</v>
      </c>
      <c r="N772">
        <v>40</v>
      </c>
      <c r="O772">
        <v>1</v>
      </c>
      <c r="P772" t="s">
        <v>111</v>
      </c>
      <c r="Q772">
        <v>30</v>
      </c>
      <c r="R772">
        <v>0</v>
      </c>
      <c r="S772">
        <v>0</v>
      </c>
      <c r="T772">
        <v>5</v>
      </c>
      <c r="U772" s="1" t="s">
        <v>2611</v>
      </c>
      <c r="V772">
        <v>0</v>
      </c>
      <c r="W772">
        <v>25</v>
      </c>
      <c r="X772">
        <v>8</v>
      </c>
      <c r="Y772">
        <v>0</v>
      </c>
      <c r="Z772" t="s">
        <v>288</v>
      </c>
      <c r="AA772">
        <v>1.2</v>
      </c>
      <c r="AB772" t="s">
        <v>111</v>
      </c>
      <c r="AC772">
        <v>0</v>
      </c>
      <c r="AD772" t="s">
        <v>416</v>
      </c>
      <c r="AE772">
        <v>0</v>
      </c>
      <c r="AF772">
        <v>0</v>
      </c>
      <c r="AG772" t="s">
        <v>111</v>
      </c>
      <c r="AH772" t="s">
        <v>113</v>
      </c>
      <c r="AI772" t="s">
        <v>111</v>
      </c>
      <c r="AJ772" t="s">
        <v>111</v>
      </c>
      <c r="AK772" t="s">
        <v>111</v>
      </c>
      <c r="AL772" t="s">
        <v>111</v>
      </c>
      <c r="AM772">
        <v>0</v>
      </c>
      <c r="AN772">
        <v>0</v>
      </c>
      <c r="AO772">
        <v>0</v>
      </c>
      <c r="AP772" t="s">
        <v>111</v>
      </c>
      <c r="AQ772" t="s">
        <v>111</v>
      </c>
      <c r="AR772" t="s">
        <v>111</v>
      </c>
      <c r="AS772" t="s">
        <v>111</v>
      </c>
      <c r="AT772" t="s">
        <v>111</v>
      </c>
      <c r="AU772" t="s">
        <v>111</v>
      </c>
      <c r="AV772" t="s">
        <v>111</v>
      </c>
      <c r="AW772" t="s">
        <v>111</v>
      </c>
      <c r="AX772" t="s">
        <v>111</v>
      </c>
      <c r="AY772" t="s">
        <v>111</v>
      </c>
      <c r="AZ772" t="s">
        <v>111</v>
      </c>
      <c r="BA772" t="s">
        <v>111</v>
      </c>
      <c r="BB772" t="s">
        <v>111</v>
      </c>
      <c r="BC772" t="s">
        <v>111</v>
      </c>
      <c r="BD772" t="s">
        <v>111</v>
      </c>
      <c r="BE772" t="s">
        <v>111</v>
      </c>
      <c r="BF772" t="s">
        <v>111</v>
      </c>
      <c r="BG772" t="s">
        <v>111</v>
      </c>
      <c r="BH772" t="s">
        <v>111</v>
      </c>
      <c r="BI772" t="s">
        <v>111</v>
      </c>
      <c r="BJ772" t="s">
        <v>111</v>
      </c>
      <c r="BK772" t="s">
        <v>111</v>
      </c>
      <c r="BL772" t="s">
        <v>111</v>
      </c>
      <c r="BM772" t="s">
        <v>111</v>
      </c>
      <c r="BN772" t="s">
        <v>111</v>
      </c>
      <c r="BO772" t="s">
        <v>111</v>
      </c>
      <c r="BP772" t="s">
        <v>111</v>
      </c>
      <c r="BQ772" t="s">
        <v>111</v>
      </c>
      <c r="BR772" t="s">
        <v>111</v>
      </c>
      <c r="BS772" t="s">
        <v>111</v>
      </c>
      <c r="BT772" t="s">
        <v>111</v>
      </c>
      <c r="BU772" t="s">
        <v>111</v>
      </c>
      <c r="BV772" t="s">
        <v>111</v>
      </c>
      <c r="BW772" t="s">
        <v>111</v>
      </c>
      <c r="BX772" t="s">
        <v>111</v>
      </c>
      <c r="BY772" t="s">
        <v>111</v>
      </c>
      <c r="BZ772" t="s">
        <v>111</v>
      </c>
      <c r="CA772" t="s">
        <v>111</v>
      </c>
      <c r="CB772" t="s">
        <v>111</v>
      </c>
      <c r="CC772" t="s">
        <v>111</v>
      </c>
      <c r="CD772" t="s">
        <v>111</v>
      </c>
      <c r="CE772" t="s">
        <v>111</v>
      </c>
      <c r="CF772" t="s">
        <v>111</v>
      </c>
      <c r="CG772" t="s">
        <v>111</v>
      </c>
      <c r="CH772" t="s">
        <v>111</v>
      </c>
      <c r="CI772" t="s">
        <v>111</v>
      </c>
      <c r="CJ772" t="s">
        <v>111</v>
      </c>
      <c r="CK772" t="s">
        <v>111</v>
      </c>
      <c r="CL772" t="s">
        <v>111</v>
      </c>
      <c r="CM772" t="s">
        <v>135</v>
      </c>
      <c r="CN772" t="s">
        <v>113</v>
      </c>
      <c r="CO772" t="s">
        <v>111</v>
      </c>
      <c r="CP772" t="s">
        <v>111</v>
      </c>
      <c r="CQ772">
        <v>0</v>
      </c>
      <c r="CR772">
        <v>0</v>
      </c>
      <c r="CS772">
        <v>0</v>
      </c>
      <c r="CT772" s="1" t="s">
        <v>2612</v>
      </c>
      <c r="CU772">
        <v>0</v>
      </c>
      <c r="CV772" t="s">
        <v>111</v>
      </c>
      <c r="CX772" t="s">
        <v>111</v>
      </c>
      <c r="CY772">
        <v>0</v>
      </c>
      <c r="CZ772" t="s">
        <v>111</v>
      </c>
      <c r="DA772" t="s">
        <v>111</v>
      </c>
      <c r="DB772" t="e">
        <f>-EXTERNO</f>
        <v>#NAME?</v>
      </c>
      <c r="DC772" t="e">
        <f>-CADENETAS</f>
        <v>#NAME?</v>
      </c>
    </row>
    <row r="773" spans="1:107">
      <c r="A773">
        <v>2081</v>
      </c>
      <c r="B773" t="s">
        <v>376</v>
      </c>
      <c r="C773" t="s">
        <v>412</v>
      </c>
      <c r="D773" t="s">
        <v>1943</v>
      </c>
      <c r="E773" t="s">
        <v>2613</v>
      </c>
      <c r="F773" t="s">
        <v>431</v>
      </c>
      <c r="G773" t="s">
        <v>469</v>
      </c>
      <c r="H773">
        <v>1.4</v>
      </c>
      <c r="I773">
        <v>19.5</v>
      </c>
      <c r="J773">
        <v>2.5</v>
      </c>
      <c r="K773">
        <v>0</v>
      </c>
      <c r="L773" t="s">
        <v>112</v>
      </c>
      <c r="M773" t="s">
        <v>118</v>
      </c>
      <c r="N773">
        <v>40</v>
      </c>
      <c r="O773">
        <v>2</v>
      </c>
      <c r="P773" t="s">
        <v>111</v>
      </c>
      <c r="Q773">
        <v>46.2</v>
      </c>
      <c r="R773">
        <v>0</v>
      </c>
      <c r="S773">
        <v>0</v>
      </c>
      <c r="T773">
        <v>5</v>
      </c>
      <c r="U773" s="1" t="s">
        <v>2614</v>
      </c>
      <c r="V773">
        <v>0</v>
      </c>
      <c r="W773">
        <v>25</v>
      </c>
      <c r="X773">
        <v>8</v>
      </c>
      <c r="Y773">
        <v>0</v>
      </c>
      <c r="Z773" t="s">
        <v>111</v>
      </c>
      <c r="AA773">
        <v>0</v>
      </c>
      <c r="AB773" t="s">
        <v>111</v>
      </c>
      <c r="AC773">
        <v>0</v>
      </c>
      <c r="AD773" t="s">
        <v>427</v>
      </c>
      <c r="AE773">
        <v>0</v>
      </c>
      <c r="AF773">
        <v>0</v>
      </c>
      <c r="AG773" t="s">
        <v>111</v>
      </c>
      <c r="AH773" t="s">
        <v>111</v>
      </c>
      <c r="AI773" t="s">
        <v>111</v>
      </c>
      <c r="AJ773" t="s">
        <v>111</v>
      </c>
      <c r="AK773" t="s">
        <v>111</v>
      </c>
      <c r="AL773" t="s">
        <v>111</v>
      </c>
      <c r="AM773">
        <v>0</v>
      </c>
      <c r="AN773">
        <v>0</v>
      </c>
      <c r="AO773">
        <v>0</v>
      </c>
      <c r="AP773" t="s">
        <v>111</v>
      </c>
      <c r="AQ773" t="s">
        <v>111</v>
      </c>
      <c r="AR773" t="s">
        <v>111</v>
      </c>
      <c r="AS773" t="s">
        <v>111</v>
      </c>
      <c r="AT773" t="s">
        <v>111</v>
      </c>
      <c r="AU773" t="s">
        <v>111</v>
      </c>
      <c r="AV773" t="s">
        <v>111</v>
      </c>
      <c r="AW773" t="s">
        <v>111</v>
      </c>
      <c r="AX773" t="s">
        <v>111</v>
      </c>
      <c r="AY773" t="s">
        <v>111</v>
      </c>
      <c r="AZ773" t="s">
        <v>111</v>
      </c>
      <c r="BA773" t="s">
        <v>111</v>
      </c>
      <c r="BB773" t="s">
        <v>111</v>
      </c>
      <c r="BC773" t="s">
        <v>111</v>
      </c>
      <c r="BD773" t="s">
        <v>111</v>
      </c>
      <c r="BE773" t="s">
        <v>111</v>
      </c>
      <c r="BF773" t="s">
        <v>111</v>
      </c>
      <c r="BG773" t="s">
        <v>111</v>
      </c>
      <c r="BH773" t="s">
        <v>111</v>
      </c>
      <c r="BI773" t="s">
        <v>111</v>
      </c>
      <c r="BJ773" t="s">
        <v>111</v>
      </c>
      <c r="BK773" t="s">
        <v>111</v>
      </c>
      <c r="BL773" t="s">
        <v>111</v>
      </c>
      <c r="BM773" t="s">
        <v>111</v>
      </c>
      <c r="BN773" t="s">
        <v>111</v>
      </c>
      <c r="BO773" t="s">
        <v>111</v>
      </c>
      <c r="BP773" t="s">
        <v>111</v>
      </c>
      <c r="BQ773" t="s">
        <v>111</v>
      </c>
      <c r="BR773" t="s">
        <v>111</v>
      </c>
      <c r="BS773" t="s">
        <v>111</v>
      </c>
      <c r="BT773" t="s">
        <v>111</v>
      </c>
      <c r="BU773" t="s">
        <v>111</v>
      </c>
      <c r="BV773" t="s">
        <v>111</v>
      </c>
      <c r="BW773" t="s">
        <v>111</v>
      </c>
      <c r="BX773" t="s">
        <v>111</v>
      </c>
      <c r="BY773" t="s">
        <v>111</v>
      </c>
      <c r="BZ773" t="s">
        <v>111</v>
      </c>
      <c r="CA773" t="s">
        <v>111</v>
      </c>
      <c r="CB773" t="s">
        <v>111</v>
      </c>
      <c r="CC773" t="s">
        <v>111</v>
      </c>
      <c r="CD773" t="s">
        <v>111</v>
      </c>
      <c r="CE773" t="s">
        <v>111</v>
      </c>
      <c r="CF773" t="s">
        <v>111</v>
      </c>
      <c r="CG773" t="s">
        <v>111</v>
      </c>
      <c r="CH773" t="s">
        <v>111</v>
      </c>
      <c r="CI773" t="s">
        <v>111</v>
      </c>
      <c r="CJ773" t="s">
        <v>111</v>
      </c>
      <c r="CK773" t="s">
        <v>111</v>
      </c>
      <c r="CL773" t="s">
        <v>111</v>
      </c>
      <c r="CM773" t="s">
        <v>135</v>
      </c>
      <c r="CN773" t="s">
        <v>113</v>
      </c>
      <c r="CO773" t="s">
        <v>111</v>
      </c>
      <c r="CP773" t="s">
        <v>111</v>
      </c>
      <c r="CQ773">
        <v>0</v>
      </c>
      <c r="CR773">
        <v>10000</v>
      </c>
      <c r="CS773">
        <v>1000</v>
      </c>
      <c r="CT773" t="e">
        <f>- DESTINO ALMACEN</f>
        <v>#NAME?</v>
      </c>
      <c r="CU773">
        <v>0</v>
      </c>
      <c r="CV773" t="s">
        <v>111</v>
      </c>
      <c r="CX773" t="s">
        <v>111</v>
      </c>
      <c r="CY773">
        <v>0</v>
      </c>
      <c r="CZ773" t="s">
        <v>111</v>
      </c>
      <c r="DA773" t="s">
        <v>111</v>
      </c>
      <c r="DB773" t="s">
        <v>111</v>
      </c>
      <c r="DC773" t="s">
        <v>111</v>
      </c>
    </row>
    <row r="774" spans="1:107">
      <c r="A774">
        <v>1617</v>
      </c>
      <c r="B774" t="s">
        <v>107</v>
      </c>
      <c r="C774" t="s">
        <v>114</v>
      </c>
      <c r="D774" t="s">
        <v>2615</v>
      </c>
      <c r="E774" t="s">
        <v>2616</v>
      </c>
      <c r="F774" t="s">
        <v>192</v>
      </c>
      <c r="G774" t="s">
        <v>469</v>
      </c>
      <c r="H774">
        <v>3.9</v>
      </c>
      <c r="I774">
        <v>33</v>
      </c>
      <c r="J774">
        <v>0</v>
      </c>
      <c r="K774">
        <v>0</v>
      </c>
      <c r="L774" t="s">
        <v>178</v>
      </c>
      <c r="M774" t="s">
        <v>111</v>
      </c>
      <c r="N774">
        <v>0</v>
      </c>
      <c r="O774">
        <v>0</v>
      </c>
      <c r="P774" t="s">
        <v>111</v>
      </c>
      <c r="Q774">
        <v>29.6</v>
      </c>
      <c r="R774">
        <v>0</v>
      </c>
      <c r="S774">
        <v>0</v>
      </c>
      <c r="T774">
        <v>10</v>
      </c>
      <c r="U774" s="1" t="s">
        <v>2617</v>
      </c>
      <c r="V774">
        <v>25</v>
      </c>
      <c r="W774">
        <v>29</v>
      </c>
      <c r="X774">
        <v>10</v>
      </c>
      <c r="Y774">
        <v>0</v>
      </c>
      <c r="Z774" t="s">
        <v>111</v>
      </c>
      <c r="AA774">
        <v>0</v>
      </c>
      <c r="AB774" t="s">
        <v>111</v>
      </c>
      <c r="AC774">
        <v>0</v>
      </c>
      <c r="AD774" t="s">
        <v>111</v>
      </c>
      <c r="AE774">
        <v>0</v>
      </c>
      <c r="AF774">
        <v>0</v>
      </c>
      <c r="AG774" t="s">
        <v>111</v>
      </c>
      <c r="AH774" t="s">
        <v>111</v>
      </c>
      <c r="AI774" t="s">
        <v>111</v>
      </c>
      <c r="AJ774" t="s">
        <v>111</v>
      </c>
      <c r="AK774" t="s">
        <v>111</v>
      </c>
      <c r="AL774" t="s">
        <v>111</v>
      </c>
      <c r="AM774">
        <v>0</v>
      </c>
      <c r="AN774">
        <v>0</v>
      </c>
      <c r="AO774">
        <v>0</v>
      </c>
      <c r="AP774" t="s">
        <v>111</v>
      </c>
      <c r="AQ774" t="s">
        <v>111</v>
      </c>
      <c r="AR774" t="s">
        <v>111</v>
      </c>
      <c r="AS774" t="s">
        <v>111</v>
      </c>
      <c r="AT774" t="s">
        <v>111</v>
      </c>
      <c r="AU774" t="s">
        <v>111</v>
      </c>
      <c r="AV774" t="s">
        <v>111</v>
      </c>
      <c r="AW774" t="s">
        <v>111</v>
      </c>
      <c r="AX774" t="s">
        <v>111</v>
      </c>
      <c r="AY774" t="s">
        <v>111</v>
      </c>
      <c r="AZ774" t="s">
        <v>111</v>
      </c>
      <c r="BA774" t="s">
        <v>111</v>
      </c>
      <c r="BB774" t="s">
        <v>111</v>
      </c>
      <c r="BC774" t="s">
        <v>111</v>
      </c>
      <c r="BD774" t="s">
        <v>111</v>
      </c>
      <c r="BE774" t="s">
        <v>111</v>
      </c>
      <c r="BF774" t="s">
        <v>111</v>
      </c>
      <c r="BG774" t="s">
        <v>111</v>
      </c>
      <c r="BH774" t="s">
        <v>111</v>
      </c>
      <c r="BI774" t="s">
        <v>111</v>
      </c>
      <c r="BJ774" t="s">
        <v>111</v>
      </c>
      <c r="BK774" t="s">
        <v>111</v>
      </c>
      <c r="BL774" t="s">
        <v>111</v>
      </c>
      <c r="BM774" t="s">
        <v>111</v>
      </c>
      <c r="BN774" t="s">
        <v>111</v>
      </c>
      <c r="BO774" t="s">
        <v>111</v>
      </c>
      <c r="BP774" t="s">
        <v>111</v>
      </c>
      <c r="BQ774" t="s">
        <v>111</v>
      </c>
      <c r="BR774" t="s">
        <v>111</v>
      </c>
      <c r="BS774" t="s">
        <v>111</v>
      </c>
      <c r="BT774" t="s">
        <v>111</v>
      </c>
      <c r="BU774" t="s">
        <v>111</v>
      </c>
      <c r="BV774" t="s">
        <v>111</v>
      </c>
      <c r="BW774" t="s">
        <v>111</v>
      </c>
      <c r="BX774" t="s">
        <v>111</v>
      </c>
      <c r="BY774" t="s">
        <v>111</v>
      </c>
      <c r="BZ774" t="s">
        <v>111</v>
      </c>
      <c r="CA774" t="s">
        <v>111</v>
      </c>
      <c r="CB774" t="s">
        <v>111</v>
      </c>
      <c r="CC774" t="s">
        <v>111</v>
      </c>
      <c r="CD774" t="s">
        <v>111</v>
      </c>
      <c r="CE774" t="s">
        <v>111</v>
      </c>
      <c r="CF774" t="s">
        <v>111</v>
      </c>
      <c r="CG774" t="s">
        <v>111</v>
      </c>
      <c r="CH774" t="s">
        <v>111</v>
      </c>
      <c r="CI774" t="s">
        <v>111</v>
      </c>
      <c r="CJ774" t="s">
        <v>111</v>
      </c>
      <c r="CK774" t="s">
        <v>111</v>
      </c>
      <c r="CL774" t="s">
        <v>111</v>
      </c>
      <c r="CM774" t="s">
        <v>135</v>
      </c>
      <c r="CN774" t="s">
        <v>128</v>
      </c>
      <c r="CO774" t="s">
        <v>111</v>
      </c>
      <c r="CP774" t="s">
        <v>111</v>
      </c>
      <c r="CQ774">
        <v>0</v>
      </c>
      <c r="CR774">
        <v>3000</v>
      </c>
      <c r="CS774">
        <v>100</v>
      </c>
      <c r="CT774" s="1" t="s">
        <v>2618</v>
      </c>
      <c r="CU774">
        <v>0</v>
      </c>
      <c r="CV774" t="s">
        <v>111</v>
      </c>
      <c r="CW774" t="s">
        <v>111</v>
      </c>
      <c r="CX774" t="s">
        <v>111</v>
      </c>
      <c r="CY774">
        <v>0</v>
      </c>
      <c r="CZ774" t="s">
        <v>111</v>
      </c>
      <c r="DA774" t="s">
        <v>111</v>
      </c>
      <c r="DB774" t="s">
        <v>111</v>
      </c>
      <c r="DC774" t="s">
        <v>111</v>
      </c>
    </row>
    <row r="775" spans="1:107">
      <c r="A775">
        <v>1567</v>
      </c>
      <c r="B775" t="s">
        <v>107</v>
      </c>
      <c r="C775" t="s">
        <v>736</v>
      </c>
      <c r="D775" t="s">
        <v>2619</v>
      </c>
      <c r="E775" t="s">
        <v>2620</v>
      </c>
      <c r="F775" t="s">
        <v>561</v>
      </c>
      <c r="G775" t="s">
        <v>469</v>
      </c>
      <c r="H775">
        <v>3.4</v>
      </c>
      <c r="I775">
        <v>40</v>
      </c>
      <c r="J775">
        <v>0</v>
      </c>
      <c r="K775">
        <v>0</v>
      </c>
      <c r="L775" t="s">
        <v>112</v>
      </c>
      <c r="M775" t="s">
        <v>118</v>
      </c>
      <c r="N775">
        <v>40</v>
      </c>
      <c r="O775">
        <v>1</v>
      </c>
      <c r="P775" t="s">
        <v>111</v>
      </c>
      <c r="Q775">
        <v>45.3</v>
      </c>
      <c r="R775">
        <v>0</v>
      </c>
      <c r="S775">
        <v>0</v>
      </c>
      <c r="T775">
        <v>5</v>
      </c>
      <c r="U775" s="1" t="s">
        <v>662</v>
      </c>
      <c r="V775">
        <v>25</v>
      </c>
      <c r="W775">
        <v>0</v>
      </c>
      <c r="X775">
        <v>8</v>
      </c>
      <c r="Y775">
        <v>0</v>
      </c>
      <c r="Z775" t="s">
        <v>111</v>
      </c>
      <c r="AA775">
        <v>0</v>
      </c>
      <c r="AB775" t="s">
        <v>111</v>
      </c>
      <c r="AC775">
        <v>0</v>
      </c>
      <c r="AD775" t="s">
        <v>416</v>
      </c>
      <c r="AE775">
        <v>0</v>
      </c>
      <c r="AF775">
        <v>0</v>
      </c>
      <c r="AG775" t="s">
        <v>111</v>
      </c>
      <c r="AH775" t="s">
        <v>113</v>
      </c>
      <c r="AI775" t="s">
        <v>111</v>
      </c>
      <c r="AJ775" t="s">
        <v>111</v>
      </c>
      <c r="AK775" t="s">
        <v>111</v>
      </c>
      <c r="AL775" t="s">
        <v>111</v>
      </c>
      <c r="AM775">
        <v>0</v>
      </c>
      <c r="AN775">
        <v>0</v>
      </c>
      <c r="AO775">
        <v>0</v>
      </c>
      <c r="AP775" t="s">
        <v>111</v>
      </c>
      <c r="AQ775" t="s">
        <v>111</v>
      </c>
      <c r="AR775" t="s">
        <v>111</v>
      </c>
      <c r="AS775" t="s">
        <v>111</v>
      </c>
      <c r="AT775" t="s">
        <v>111</v>
      </c>
      <c r="AU775" t="s">
        <v>111</v>
      </c>
      <c r="AV775" t="s">
        <v>111</v>
      </c>
      <c r="AW775" t="s">
        <v>111</v>
      </c>
      <c r="AX775" t="s">
        <v>111</v>
      </c>
      <c r="AY775" t="s">
        <v>111</v>
      </c>
      <c r="AZ775" t="s">
        <v>111</v>
      </c>
      <c r="BA775" t="s">
        <v>111</v>
      </c>
      <c r="BB775" t="s">
        <v>111</v>
      </c>
      <c r="BC775" t="s">
        <v>111</v>
      </c>
      <c r="BD775" t="s">
        <v>111</v>
      </c>
      <c r="BE775" t="s">
        <v>111</v>
      </c>
      <c r="BF775" t="s">
        <v>111</v>
      </c>
      <c r="BG775" t="s">
        <v>111</v>
      </c>
      <c r="BH775" t="s">
        <v>111</v>
      </c>
      <c r="BI775" t="s">
        <v>111</v>
      </c>
      <c r="BJ775" t="s">
        <v>111</v>
      </c>
      <c r="BK775" t="s">
        <v>111</v>
      </c>
      <c r="BL775" t="s">
        <v>111</v>
      </c>
      <c r="BM775" t="s">
        <v>111</v>
      </c>
      <c r="BN775" t="s">
        <v>111</v>
      </c>
      <c r="BO775" t="s">
        <v>111</v>
      </c>
      <c r="BP775" t="s">
        <v>111</v>
      </c>
      <c r="BQ775" t="s">
        <v>111</v>
      </c>
      <c r="BR775" t="s">
        <v>111</v>
      </c>
      <c r="BS775" t="s">
        <v>111</v>
      </c>
      <c r="BT775" t="s">
        <v>111</v>
      </c>
      <c r="BU775" t="s">
        <v>111</v>
      </c>
      <c r="BV775" t="s">
        <v>111</v>
      </c>
      <c r="BW775" t="s">
        <v>111</v>
      </c>
      <c r="BX775" t="s">
        <v>111</v>
      </c>
      <c r="BY775" t="s">
        <v>111</v>
      </c>
      <c r="BZ775" t="s">
        <v>111</v>
      </c>
      <c r="CA775" t="s">
        <v>111</v>
      </c>
      <c r="CB775" t="s">
        <v>111</v>
      </c>
      <c r="CC775" t="s">
        <v>111</v>
      </c>
      <c r="CD775" t="s">
        <v>111</v>
      </c>
      <c r="CE775" t="s">
        <v>111</v>
      </c>
      <c r="CF775" t="s">
        <v>111</v>
      </c>
      <c r="CG775" t="s">
        <v>111</v>
      </c>
      <c r="CH775" t="s">
        <v>111</v>
      </c>
      <c r="CI775" t="s">
        <v>111</v>
      </c>
      <c r="CJ775" t="s">
        <v>111</v>
      </c>
      <c r="CK775" t="s">
        <v>111</v>
      </c>
      <c r="CL775" t="s">
        <v>111</v>
      </c>
      <c r="CM775" t="s">
        <v>360</v>
      </c>
      <c r="CN775" t="s">
        <v>113</v>
      </c>
      <c r="CO775" t="s">
        <v>367</v>
      </c>
      <c r="CP775" t="e">
        <f>-MUESTRA</f>
        <v>#NAME?</v>
      </c>
      <c r="CQ775">
        <v>38</v>
      </c>
      <c r="CR775">
        <v>2000</v>
      </c>
      <c r="CS775">
        <v>50</v>
      </c>
      <c r="CT775" s="1" t="s">
        <v>2621</v>
      </c>
      <c r="CU775">
        <v>0</v>
      </c>
      <c r="CV775" t="s">
        <v>111</v>
      </c>
      <c r="CW775" t="s">
        <v>111</v>
      </c>
      <c r="CX775" t="s">
        <v>111</v>
      </c>
      <c r="CY775">
        <v>0</v>
      </c>
      <c r="CZ775" t="s">
        <v>111</v>
      </c>
      <c r="DA775" t="s">
        <v>111</v>
      </c>
      <c r="DB775" t="e">
        <f>-INTERNO</f>
        <v>#NAME?</v>
      </c>
      <c r="DC775" t="e">
        <f>-TROQUEL RIÑOÑ</f>
        <v>#NAME?</v>
      </c>
    </row>
    <row r="776" spans="1:107">
      <c r="A776">
        <v>2079</v>
      </c>
      <c r="B776" t="s">
        <v>376</v>
      </c>
      <c r="C776" t="s">
        <v>119</v>
      </c>
      <c r="D776" t="s">
        <v>2622</v>
      </c>
      <c r="E776" t="s">
        <v>2623</v>
      </c>
      <c r="F776" t="s">
        <v>125</v>
      </c>
      <c r="G776" t="s">
        <v>469</v>
      </c>
      <c r="H776">
        <v>0.8</v>
      </c>
      <c r="I776">
        <v>70</v>
      </c>
      <c r="J776">
        <v>0</v>
      </c>
      <c r="K776">
        <v>0</v>
      </c>
      <c r="L776" t="s">
        <v>111</v>
      </c>
      <c r="M776" t="s">
        <v>111</v>
      </c>
      <c r="N776">
        <v>0</v>
      </c>
      <c r="O776">
        <v>0</v>
      </c>
      <c r="P776" t="s">
        <v>111</v>
      </c>
      <c r="Q776">
        <v>45</v>
      </c>
      <c r="R776">
        <v>0</v>
      </c>
      <c r="S776">
        <v>0</v>
      </c>
      <c r="T776">
        <v>5</v>
      </c>
      <c r="U776" t="e">
        <f>- DESTINO SELLADO</f>
        <v>#NAME?</v>
      </c>
      <c r="V776">
        <v>25</v>
      </c>
      <c r="W776">
        <v>0</v>
      </c>
      <c r="X776">
        <v>8</v>
      </c>
      <c r="Y776">
        <v>0</v>
      </c>
      <c r="Z776" t="s">
        <v>111</v>
      </c>
      <c r="AA776">
        <v>0</v>
      </c>
      <c r="AB776" t="s">
        <v>111</v>
      </c>
      <c r="AC776">
        <v>0</v>
      </c>
      <c r="AD776" t="s">
        <v>111</v>
      </c>
      <c r="AE776">
        <v>0</v>
      </c>
      <c r="AF776">
        <v>0</v>
      </c>
      <c r="AG776" t="s">
        <v>111</v>
      </c>
      <c r="AH776" t="s">
        <v>111</v>
      </c>
      <c r="AI776" t="s">
        <v>111</v>
      </c>
      <c r="AJ776" t="s">
        <v>111</v>
      </c>
      <c r="AK776" t="s">
        <v>111</v>
      </c>
      <c r="AL776" t="s">
        <v>111</v>
      </c>
      <c r="AM776">
        <v>0</v>
      </c>
      <c r="AN776">
        <v>0</v>
      </c>
      <c r="AO776">
        <v>0</v>
      </c>
      <c r="AP776" t="s">
        <v>111</v>
      </c>
      <c r="AQ776" t="s">
        <v>111</v>
      </c>
      <c r="AR776" t="s">
        <v>111</v>
      </c>
      <c r="AS776" t="s">
        <v>111</v>
      </c>
      <c r="AT776" t="s">
        <v>111</v>
      </c>
      <c r="AU776" t="s">
        <v>111</v>
      </c>
      <c r="AV776" t="s">
        <v>111</v>
      </c>
      <c r="AW776" t="s">
        <v>111</v>
      </c>
      <c r="AX776" t="s">
        <v>111</v>
      </c>
      <c r="AY776" t="s">
        <v>111</v>
      </c>
      <c r="AZ776" t="s">
        <v>111</v>
      </c>
      <c r="BA776" t="s">
        <v>111</v>
      </c>
      <c r="BB776" t="s">
        <v>111</v>
      </c>
      <c r="BC776" t="s">
        <v>111</v>
      </c>
      <c r="BD776" t="s">
        <v>111</v>
      </c>
      <c r="BE776" t="s">
        <v>111</v>
      </c>
      <c r="BF776" t="s">
        <v>111</v>
      </c>
      <c r="BG776" t="s">
        <v>111</v>
      </c>
      <c r="BH776" t="s">
        <v>111</v>
      </c>
      <c r="BI776" t="s">
        <v>111</v>
      </c>
      <c r="BJ776" t="s">
        <v>111</v>
      </c>
      <c r="BK776" t="s">
        <v>111</v>
      </c>
      <c r="BL776" t="s">
        <v>111</v>
      </c>
      <c r="BM776" t="s">
        <v>111</v>
      </c>
      <c r="BN776" t="s">
        <v>111</v>
      </c>
      <c r="BO776" t="s">
        <v>111</v>
      </c>
      <c r="BP776" t="s">
        <v>111</v>
      </c>
      <c r="BQ776" t="s">
        <v>111</v>
      </c>
      <c r="BR776" t="s">
        <v>111</v>
      </c>
      <c r="BS776" t="s">
        <v>111</v>
      </c>
      <c r="BT776" t="s">
        <v>111</v>
      </c>
      <c r="BU776" t="s">
        <v>111</v>
      </c>
      <c r="BV776" t="s">
        <v>111</v>
      </c>
      <c r="BW776" t="s">
        <v>111</v>
      </c>
      <c r="BX776" t="s">
        <v>111</v>
      </c>
      <c r="BY776" t="s">
        <v>111</v>
      </c>
      <c r="BZ776" t="s">
        <v>111</v>
      </c>
      <c r="CA776" t="s">
        <v>111</v>
      </c>
      <c r="CB776" t="s">
        <v>111</v>
      </c>
      <c r="CC776" t="s">
        <v>111</v>
      </c>
      <c r="CD776" t="s">
        <v>111</v>
      </c>
      <c r="CE776" t="s">
        <v>111</v>
      </c>
      <c r="CF776" t="s">
        <v>111</v>
      </c>
      <c r="CG776" t="s">
        <v>111</v>
      </c>
      <c r="CH776" t="s">
        <v>111</v>
      </c>
      <c r="CI776" t="s">
        <v>111</v>
      </c>
      <c r="CJ776" t="s">
        <v>111</v>
      </c>
      <c r="CK776" t="s">
        <v>111</v>
      </c>
      <c r="CL776" t="s">
        <v>111</v>
      </c>
      <c r="CM776" t="s">
        <v>127</v>
      </c>
      <c r="CN776" t="s">
        <v>128</v>
      </c>
      <c r="CO776" t="s">
        <v>111</v>
      </c>
      <c r="CP776" t="s">
        <v>111</v>
      </c>
      <c r="CQ776">
        <v>0</v>
      </c>
      <c r="CR776">
        <v>1000</v>
      </c>
      <c r="CS776">
        <v>200</v>
      </c>
      <c r="CT776" t="s">
        <v>111</v>
      </c>
      <c r="CU776">
        <v>0</v>
      </c>
      <c r="CV776" t="s">
        <v>111</v>
      </c>
      <c r="CX776" t="s">
        <v>111</v>
      </c>
      <c r="CY776">
        <v>0</v>
      </c>
      <c r="CZ776" t="s">
        <v>111</v>
      </c>
      <c r="DA776" t="s">
        <v>111</v>
      </c>
      <c r="DB776" t="s">
        <v>111</v>
      </c>
      <c r="DC776" t="s">
        <v>111</v>
      </c>
    </row>
    <row r="777" spans="1:107">
      <c r="A777">
        <v>1630</v>
      </c>
      <c r="B777" t="s">
        <v>107</v>
      </c>
      <c r="C777" t="s">
        <v>454</v>
      </c>
      <c r="D777" t="s">
        <v>917</v>
      </c>
      <c r="E777" t="s">
        <v>2624</v>
      </c>
      <c r="F777" t="s">
        <v>739</v>
      </c>
      <c r="G777" t="s">
        <v>469</v>
      </c>
      <c r="H777">
        <v>1.9</v>
      </c>
      <c r="I777">
        <v>38</v>
      </c>
      <c r="J777">
        <v>0</v>
      </c>
      <c r="K777">
        <v>0</v>
      </c>
      <c r="L777" t="s">
        <v>178</v>
      </c>
      <c r="M777" t="s">
        <v>118</v>
      </c>
      <c r="N777">
        <v>40</v>
      </c>
      <c r="O777">
        <v>1</v>
      </c>
      <c r="P777" t="s">
        <v>111</v>
      </c>
      <c r="Q777">
        <v>35.4</v>
      </c>
      <c r="R777">
        <v>0</v>
      </c>
      <c r="S777">
        <v>0</v>
      </c>
      <c r="T777">
        <v>5</v>
      </c>
      <c r="U777" s="1" t="s">
        <v>2625</v>
      </c>
      <c r="V777">
        <v>0</v>
      </c>
      <c r="W777">
        <v>25</v>
      </c>
      <c r="X777">
        <v>8</v>
      </c>
      <c r="Y777">
        <v>0</v>
      </c>
      <c r="Z777" t="s">
        <v>288</v>
      </c>
      <c r="AA777">
        <v>1.7</v>
      </c>
      <c r="AB777" t="s">
        <v>111</v>
      </c>
      <c r="AC777">
        <v>0</v>
      </c>
      <c r="AD777" t="s">
        <v>416</v>
      </c>
      <c r="AE777">
        <v>0</v>
      </c>
      <c r="AF777">
        <v>0</v>
      </c>
      <c r="AG777" t="s">
        <v>111</v>
      </c>
      <c r="AH777" t="s">
        <v>113</v>
      </c>
      <c r="AI777" t="s">
        <v>111</v>
      </c>
      <c r="AJ777" t="s">
        <v>111</v>
      </c>
      <c r="AK777" t="s">
        <v>111</v>
      </c>
      <c r="AL777" t="s">
        <v>111</v>
      </c>
      <c r="AM777">
        <v>0</v>
      </c>
      <c r="AN777">
        <v>0</v>
      </c>
      <c r="AO777">
        <v>0</v>
      </c>
      <c r="AP777" t="s">
        <v>111</v>
      </c>
      <c r="AQ777" t="s">
        <v>111</v>
      </c>
      <c r="AR777" t="s">
        <v>111</v>
      </c>
      <c r="AS777" t="s">
        <v>111</v>
      </c>
      <c r="AT777" t="s">
        <v>111</v>
      </c>
      <c r="AU777" t="s">
        <v>111</v>
      </c>
      <c r="AV777" t="s">
        <v>111</v>
      </c>
      <c r="AW777" t="s">
        <v>111</v>
      </c>
      <c r="AX777" t="s">
        <v>111</v>
      </c>
      <c r="AY777" t="s">
        <v>111</v>
      </c>
      <c r="AZ777" t="s">
        <v>111</v>
      </c>
      <c r="BA777" t="s">
        <v>111</v>
      </c>
      <c r="BB777" t="s">
        <v>111</v>
      </c>
      <c r="BC777" t="s">
        <v>111</v>
      </c>
      <c r="BD777" t="s">
        <v>111</v>
      </c>
      <c r="BE777" t="s">
        <v>111</v>
      </c>
      <c r="BF777" t="s">
        <v>111</v>
      </c>
      <c r="BG777" t="s">
        <v>111</v>
      </c>
      <c r="BH777" t="s">
        <v>111</v>
      </c>
      <c r="BI777" t="s">
        <v>111</v>
      </c>
      <c r="BJ777" t="s">
        <v>111</v>
      </c>
      <c r="BK777" t="s">
        <v>111</v>
      </c>
      <c r="BL777" t="s">
        <v>111</v>
      </c>
      <c r="BM777" t="s">
        <v>111</v>
      </c>
      <c r="BN777" t="s">
        <v>111</v>
      </c>
      <c r="BO777" t="s">
        <v>111</v>
      </c>
      <c r="BP777" t="s">
        <v>111</v>
      </c>
      <c r="BQ777" t="s">
        <v>111</v>
      </c>
      <c r="BR777" t="s">
        <v>111</v>
      </c>
      <c r="BS777" t="s">
        <v>111</v>
      </c>
      <c r="BT777" t="s">
        <v>111</v>
      </c>
      <c r="BU777" t="s">
        <v>111</v>
      </c>
      <c r="BV777" t="s">
        <v>111</v>
      </c>
      <c r="BW777" t="s">
        <v>111</v>
      </c>
      <c r="BX777" t="s">
        <v>111</v>
      </c>
      <c r="BY777" t="s">
        <v>111</v>
      </c>
      <c r="BZ777" t="s">
        <v>111</v>
      </c>
      <c r="CA777" t="s">
        <v>111</v>
      </c>
      <c r="CB777" t="s">
        <v>111</v>
      </c>
      <c r="CC777" t="s">
        <v>111</v>
      </c>
      <c r="CD777" t="s">
        <v>111</v>
      </c>
      <c r="CE777" t="s">
        <v>111</v>
      </c>
      <c r="CF777" t="s">
        <v>111</v>
      </c>
      <c r="CG777" t="s">
        <v>111</v>
      </c>
      <c r="CH777" t="s">
        <v>111</v>
      </c>
      <c r="CI777" t="s">
        <v>111</v>
      </c>
      <c r="CJ777" t="s">
        <v>111</v>
      </c>
      <c r="CK777" t="s">
        <v>111</v>
      </c>
      <c r="CL777" t="s">
        <v>111</v>
      </c>
      <c r="CM777" t="s">
        <v>360</v>
      </c>
      <c r="CN777" t="s">
        <v>113</v>
      </c>
      <c r="CO777" t="s">
        <v>367</v>
      </c>
      <c r="CP777" t="s">
        <v>111</v>
      </c>
      <c r="CQ777">
        <v>0</v>
      </c>
      <c r="CR777">
        <v>0</v>
      </c>
      <c r="CS777">
        <v>100</v>
      </c>
      <c r="CT777" t="e">
        <f>-BIEN EMPACADAS PARA TROQUELAR</f>
        <v>#NAME?</v>
      </c>
      <c r="CU777">
        <v>0</v>
      </c>
      <c r="CV777" t="s">
        <v>111</v>
      </c>
      <c r="CW777" t="s">
        <v>111</v>
      </c>
      <c r="CX777" t="s">
        <v>111</v>
      </c>
      <c r="CY777">
        <v>0</v>
      </c>
      <c r="CZ777" t="s">
        <v>111</v>
      </c>
      <c r="DA777" t="s">
        <v>111</v>
      </c>
      <c r="DB777" t="e">
        <f>-INTERNO</f>
        <v>#NAME?</v>
      </c>
      <c r="DC777" t="e">
        <f>-TROQUEL RIÑON</f>
        <v>#NAME?</v>
      </c>
    </row>
    <row r="778" spans="1:107">
      <c r="A778">
        <v>1594</v>
      </c>
      <c r="B778" t="s">
        <v>107</v>
      </c>
      <c r="C778" t="s">
        <v>114</v>
      </c>
      <c r="D778" t="s">
        <v>2481</v>
      </c>
      <c r="E778" t="s">
        <v>2626</v>
      </c>
      <c r="F778" t="s">
        <v>431</v>
      </c>
      <c r="G778" t="s">
        <v>469</v>
      </c>
      <c r="H778">
        <v>2.9</v>
      </c>
      <c r="I778">
        <v>47</v>
      </c>
      <c r="J778">
        <v>0</v>
      </c>
      <c r="K778">
        <v>0</v>
      </c>
      <c r="L778" t="s">
        <v>117</v>
      </c>
      <c r="M778" t="s">
        <v>118</v>
      </c>
      <c r="N778">
        <v>36</v>
      </c>
      <c r="O778">
        <v>1</v>
      </c>
      <c r="P778" t="s">
        <v>111</v>
      </c>
      <c r="Q778">
        <v>28</v>
      </c>
      <c r="R778">
        <v>0</v>
      </c>
      <c r="S778">
        <v>0</v>
      </c>
      <c r="T778">
        <v>10</v>
      </c>
      <c r="U778" s="1" t="s">
        <v>2627</v>
      </c>
      <c r="V778">
        <v>0</v>
      </c>
      <c r="W778">
        <v>25</v>
      </c>
      <c r="X778">
        <v>8</v>
      </c>
      <c r="Y778">
        <v>0</v>
      </c>
      <c r="Z778" t="s">
        <v>111</v>
      </c>
      <c r="AA778">
        <v>0</v>
      </c>
      <c r="AB778" t="s">
        <v>111</v>
      </c>
      <c r="AC778">
        <v>0</v>
      </c>
      <c r="AD778" t="s">
        <v>493</v>
      </c>
      <c r="AE778">
        <v>0</v>
      </c>
      <c r="AF778">
        <v>0</v>
      </c>
      <c r="AG778" t="s">
        <v>111</v>
      </c>
      <c r="AH778" t="s">
        <v>113</v>
      </c>
      <c r="AI778" t="s">
        <v>111</v>
      </c>
      <c r="AJ778" t="s">
        <v>111</v>
      </c>
      <c r="AK778" t="s">
        <v>111</v>
      </c>
      <c r="AL778" t="s">
        <v>111</v>
      </c>
      <c r="AM778">
        <v>0</v>
      </c>
      <c r="AN778">
        <v>0</v>
      </c>
      <c r="AO778">
        <v>0</v>
      </c>
      <c r="AP778" t="s">
        <v>111</v>
      </c>
      <c r="AQ778" t="s">
        <v>111</v>
      </c>
      <c r="AR778" t="s">
        <v>111</v>
      </c>
      <c r="AS778" t="s">
        <v>111</v>
      </c>
      <c r="AT778" t="s">
        <v>111</v>
      </c>
      <c r="AU778" t="s">
        <v>111</v>
      </c>
      <c r="AV778" t="s">
        <v>111</v>
      </c>
      <c r="AW778" t="s">
        <v>111</v>
      </c>
      <c r="AX778" t="s">
        <v>111</v>
      </c>
      <c r="AY778" t="s">
        <v>111</v>
      </c>
      <c r="AZ778" t="s">
        <v>111</v>
      </c>
      <c r="BA778" t="s">
        <v>111</v>
      </c>
      <c r="BB778" t="s">
        <v>111</v>
      </c>
      <c r="BC778" t="s">
        <v>111</v>
      </c>
      <c r="BD778" t="s">
        <v>111</v>
      </c>
      <c r="BE778" t="s">
        <v>111</v>
      </c>
      <c r="BF778" t="s">
        <v>111</v>
      </c>
      <c r="BG778" t="s">
        <v>111</v>
      </c>
      <c r="BH778" t="s">
        <v>111</v>
      </c>
      <c r="BI778" t="s">
        <v>111</v>
      </c>
      <c r="BJ778" t="s">
        <v>111</v>
      </c>
      <c r="BK778" t="s">
        <v>111</v>
      </c>
      <c r="BL778" t="s">
        <v>111</v>
      </c>
      <c r="BM778" t="s">
        <v>111</v>
      </c>
      <c r="BN778" t="s">
        <v>111</v>
      </c>
      <c r="BO778" t="s">
        <v>111</v>
      </c>
      <c r="BP778" t="s">
        <v>111</v>
      </c>
      <c r="BQ778" t="s">
        <v>111</v>
      </c>
      <c r="BR778" t="s">
        <v>111</v>
      </c>
      <c r="BS778" t="s">
        <v>111</v>
      </c>
      <c r="BT778" t="s">
        <v>111</v>
      </c>
      <c r="BU778" t="s">
        <v>111</v>
      </c>
      <c r="BV778" t="s">
        <v>111</v>
      </c>
      <c r="BW778" t="s">
        <v>111</v>
      </c>
      <c r="BX778" t="s">
        <v>111</v>
      </c>
      <c r="BY778" t="s">
        <v>111</v>
      </c>
      <c r="BZ778" t="s">
        <v>111</v>
      </c>
      <c r="CA778" t="s">
        <v>111</v>
      </c>
      <c r="CB778" t="s">
        <v>111</v>
      </c>
      <c r="CC778" t="s">
        <v>111</v>
      </c>
      <c r="CD778" t="s">
        <v>111</v>
      </c>
      <c r="CE778" t="s">
        <v>111</v>
      </c>
      <c r="CF778" t="s">
        <v>111</v>
      </c>
      <c r="CG778" t="s">
        <v>111</v>
      </c>
      <c r="CH778" t="s">
        <v>111</v>
      </c>
      <c r="CI778" t="s">
        <v>111</v>
      </c>
      <c r="CJ778" t="s">
        <v>111</v>
      </c>
      <c r="CK778" t="s">
        <v>111</v>
      </c>
      <c r="CL778" t="s">
        <v>111</v>
      </c>
      <c r="CM778" t="s">
        <v>135</v>
      </c>
      <c r="CN778" t="s">
        <v>113</v>
      </c>
      <c r="CO778" t="s">
        <v>111</v>
      </c>
      <c r="CP778" t="s">
        <v>111</v>
      </c>
      <c r="CQ778">
        <v>0</v>
      </c>
      <c r="CR778">
        <v>5000</v>
      </c>
      <c r="CS778">
        <v>250</v>
      </c>
      <c r="CT778" t="e">
        <f>-ALMACEN</f>
        <v>#NAME?</v>
      </c>
      <c r="CU778">
        <v>0</v>
      </c>
      <c r="CV778" t="s">
        <v>111</v>
      </c>
      <c r="CW778" t="s">
        <v>111</v>
      </c>
      <c r="CX778" t="s">
        <v>111</v>
      </c>
      <c r="CY778">
        <v>0</v>
      </c>
      <c r="CZ778" t="s">
        <v>111</v>
      </c>
      <c r="DA778" t="s">
        <v>111</v>
      </c>
      <c r="DB778" t="s">
        <v>111</v>
      </c>
      <c r="DC778" t="s">
        <v>111</v>
      </c>
    </row>
    <row r="779" spans="1:107">
      <c r="A779">
        <v>1565</v>
      </c>
      <c r="B779" t="s">
        <v>107</v>
      </c>
      <c r="C779" t="s">
        <v>412</v>
      </c>
      <c r="D779" t="s">
        <v>2628</v>
      </c>
      <c r="E779" t="s">
        <v>2629</v>
      </c>
      <c r="F779" t="s">
        <v>415</v>
      </c>
      <c r="G779" t="s">
        <v>469</v>
      </c>
      <c r="H779">
        <v>1.2</v>
      </c>
      <c r="I779">
        <v>44</v>
      </c>
      <c r="J779">
        <v>0</v>
      </c>
      <c r="K779">
        <v>0</v>
      </c>
      <c r="L779" t="s">
        <v>117</v>
      </c>
      <c r="M779" t="s">
        <v>118</v>
      </c>
      <c r="N779">
        <v>39</v>
      </c>
      <c r="O779">
        <v>1</v>
      </c>
      <c r="P779" t="s">
        <v>111</v>
      </c>
      <c r="Q779">
        <v>42.5</v>
      </c>
      <c r="R779">
        <v>0</v>
      </c>
      <c r="S779">
        <v>0</v>
      </c>
      <c r="T779">
        <v>5</v>
      </c>
      <c r="U779" t="e">
        <f>-IMPRESION DARMA</f>
        <v>#NAME?</v>
      </c>
      <c r="V779">
        <v>0</v>
      </c>
      <c r="W779">
        <v>25</v>
      </c>
      <c r="X779">
        <v>5</v>
      </c>
      <c r="Y779">
        <v>0</v>
      </c>
      <c r="Z779" t="s">
        <v>288</v>
      </c>
      <c r="AA779">
        <v>1.8</v>
      </c>
      <c r="AB779" t="s">
        <v>111</v>
      </c>
      <c r="AC779">
        <v>0</v>
      </c>
      <c r="AD779" t="s">
        <v>416</v>
      </c>
      <c r="AE779">
        <v>0</v>
      </c>
      <c r="AF779">
        <v>0</v>
      </c>
      <c r="AG779" t="s">
        <v>111</v>
      </c>
      <c r="AH779" t="s">
        <v>128</v>
      </c>
      <c r="AI779" t="s">
        <v>111</v>
      </c>
      <c r="AJ779" t="s">
        <v>111</v>
      </c>
      <c r="AK779" t="s">
        <v>111</v>
      </c>
      <c r="AL779" t="s">
        <v>111</v>
      </c>
      <c r="AM779">
        <v>0</v>
      </c>
      <c r="AN779">
        <v>0</v>
      </c>
      <c r="AO779">
        <v>0</v>
      </c>
      <c r="AP779" t="s">
        <v>111</v>
      </c>
      <c r="AQ779" t="s">
        <v>111</v>
      </c>
      <c r="AR779" t="s">
        <v>111</v>
      </c>
      <c r="AS779" t="s">
        <v>111</v>
      </c>
      <c r="AT779" t="s">
        <v>111</v>
      </c>
      <c r="AU779" t="s">
        <v>111</v>
      </c>
      <c r="AV779" t="s">
        <v>111</v>
      </c>
      <c r="AW779" t="s">
        <v>111</v>
      </c>
      <c r="AX779" t="s">
        <v>111</v>
      </c>
      <c r="AY779" t="s">
        <v>111</v>
      </c>
      <c r="AZ779" t="s">
        <v>111</v>
      </c>
      <c r="BA779" t="s">
        <v>111</v>
      </c>
      <c r="BB779" t="s">
        <v>111</v>
      </c>
      <c r="BC779" t="s">
        <v>111</v>
      </c>
      <c r="BD779" t="s">
        <v>111</v>
      </c>
      <c r="BE779" t="s">
        <v>111</v>
      </c>
      <c r="BF779" t="s">
        <v>111</v>
      </c>
      <c r="BG779" t="s">
        <v>111</v>
      </c>
      <c r="BH779" t="s">
        <v>111</v>
      </c>
      <c r="BI779" t="s">
        <v>111</v>
      </c>
      <c r="BJ779" t="s">
        <v>111</v>
      </c>
      <c r="BK779" t="s">
        <v>111</v>
      </c>
      <c r="BL779" t="s">
        <v>111</v>
      </c>
      <c r="BM779" t="s">
        <v>111</v>
      </c>
      <c r="BN779" t="s">
        <v>111</v>
      </c>
      <c r="BO779" t="s">
        <v>111</v>
      </c>
      <c r="BP779" t="s">
        <v>111</v>
      </c>
      <c r="BQ779" t="s">
        <v>111</v>
      </c>
      <c r="BR779" t="s">
        <v>111</v>
      </c>
      <c r="BS779" t="s">
        <v>111</v>
      </c>
      <c r="BT779" t="s">
        <v>111</v>
      </c>
      <c r="BU779" t="s">
        <v>111</v>
      </c>
      <c r="BV779" t="s">
        <v>111</v>
      </c>
      <c r="BW779" t="s">
        <v>111</v>
      </c>
      <c r="BX779" t="s">
        <v>111</v>
      </c>
      <c r="BY779" t="s">
        <v>111</v>
      </c>
      <c r="BZ779" t="s">
        <v>111</v>
      </c>
      <c r="CA779" t="s">
        <v>111</v>
      </c>
      <c r="CB779" t="s">
        <v>111</v>
      </c>
      <c r="CC779" t="s">
        <v>111</v>
      </c>
      <c r="CD779" t="s">
        <v>111</v>
      </c>
      <c r="CE779" t="s">
        <v>111</v>
      </c>
      <c r="CF779" t="s">
        <v>111</v>
      </c>
      <c r="CG779" t="s">
        <v>111</v>
      </c>
      <c r="CH779" t="s">
        <v>111</v>
      </c>
      <c r="CI779" t="s">
        <v>111</v>
      </c>
      <c r="CJ779" t="s">
        <v>111</v>
      </c>
      <c r="CK779" t="s">
        <v>111</v>
      </c>
      <c r="CL779" t="s">
        <v>111</v>
      </c>
      <c r="CM779" t="s">
        <v>135</v>
      </c>
      <c r="CN779" t="s">
        <v>128</v>
      </c>
      <c r="CO779" t="s">
        <v>111</v>
      </c>
      <c r="CP779" t="e">
        <f>-MUESTRA</f>
        <v>#NAME?</v>
      </c>
      <c r="CQ779">
        <v>0</v>
      </c>
      <c r="CR779">
        <v>12000</v>
      </c>
      <c r="CS779">
        <v>500</v>
      </c>
      <c r="CT779" t="e">
        <f>-ALMACEN</f>
        <v>#NAME?</v>
      </c>
      <c r="CU779">
        <v>0</v>
      </c>
      <c r="CV779" t="s">
        <v>111</v>
      </c>
      <c r="CW779" t="s">
        <v>111</v>
      </c>
      <c r="CX779" t="s">
        <v>111</v>
      </c>
      <c r="CY779">
        <v>0</v>
      </c>
      <c r="CZ779" t="s">
        <v>111</v>
      </c>
      <c r="DA779" t="s">
        <v>111</v>
      </c>
      <c r="DB779" t="s">
        <v>111</v>
      </c>
      <c r="DC779" t="s">
        <v>111</v>
      </c>
    </row>
    <row r="780" spans="1:107">
      <c r="A780">
        <v>94</v>
      </c>
      <c r="B780" t="s">
        <v>162</v>
      </c>
      <c r="C780" t="s">
        <v>351</v>
      </c>
      <c r="D780" t="s">
        <v>2630</v>
      </c>
      <c r="E780" t="s">
        <v>1399</v>
      </c>
      <c r="F780" t="s">
        <v>739</v>
      </c>
      <c r="G780" t="s">
        <v>469</v>
      </c>
      <c r="H780">
        <v>1.9</v>
      </c>
      <c r="I780">
        <v>35</v>
      </c>
      <c r="J780">
        <v>7</v>
      </c>
      <c r="K780">
        <v>7</v>
      </c>
      <c r="L780" t="s">
        <v>112</v>
      </c>
      <c r="M780" t="s">
        <v>118</v>
      </c>
      <c r="N780">
        <v>40</v>
      </c>
      <c r="O780">
        <v>2</v>
      </c>
      <c r="P780" t="s">
        <v>138</v>
      </c>
      <c r="Q780">
        <v>40</v>
      </c>
      <c r="R780">
        <v>0</v>
      </c>
      <c r="S780">
        <v>0</v>
      </c>
      <c r="T780">
        <v>5</v>
      </c>
      <c r="U780" t="s">
        <v>1353</v>
      </c>
      <c r="V780">
        <v>0</v>
      </c>
      <c r="W780">
        <v>25</v>
      </c>
      <c r="X780">
        <v>6</v>
      </c>
      <c r="Y780">
        <v>0</v>
      </c>
      <c r="Z780" t="s">
        <v>288</v>
      </c>
      <c r="AA780">
        <v>1.6</v>
      </c>
      <c r="AB780" t="s">
        <v>111</v>
      </c>
      <c r="AC780">
        <v>0</v>
      </c>
      <c r="AD780" t="s">
        <v>416</v>
      </c>
      <c r="AE780">
        <v>2</v>
      </c>
      <c r="AF780">
        <v>1</v>
      </c>
      <c r="AG780">
        <v>60</v>
      </c>
      <c r="AH780" t="s">
        <v>111</v>
      </c>
      <c r="AI780">
        <v>60</v>
      </c>
      <c r="AJ780" t="s">
        <v>111</v>
      </c>
      <c r="AK780" t="s">
        <v>111</v>
      </c>
      <c r="AL780" t="s">
        <v>111</v>
      </c>
      <c r="AM780">
        <v>0</v>
      </c>
      <c r="AN780">
        <v>0</v>
      </c>
      <c r="AO780">
        <v>0</v>
      </c>
      <c r="AP780" t="s">
        <v>111</v>
      </c>
      <c r="AQ780" t="s">
        <v>111</v>
      </c>
      <c r="AR780" t="s">
        <v>111</v>
      </c>
      <c r="AS780" t="s">
        <v>111</v>
      </c>
      <c r="AT780" t="s">
        <v>111</v>
      </c>
      <c r="AU780" t="s">
        <v>111</v>
      </c>
      <c r="AV780" t="s">
        <v>111</v>
      </c>
      <c r="AW780" t="s">
        <v>111</v>
      </c>
      <c r="AX780" t="s">
        <v>111</v>
      </c>
      <c r="AY780" t="s">
        <v>111</v>
      </c>
      <c r="AZ780" t="s">
        <v>111</v>
      </c>
      <c r="BA780" t="s">
        <v>111</v>
      </c>
      <c r="BB780" t="s">
        <v>111</v>
      </c>
      <c r="BC780" t="s">
        <v>111</v>
      </c>
      <c r="BD780" t="s">
        <v>111</v>
      </c>
      <c r="BE780" t="s">
        <v>111</v>
      </c>
      <c r="BF780" t="s">
        <v>111</v>
      </c>
      <c r="BG780" t="s">
        <v>111</v>
      </c>
      <c r="BH780" t="s">
        <v>111</v>
      </c>
      <c r="BI780" t="s">
        <v>111</v>
      </c>
      <c r="BJ780" t="s">
        <v>111</v>
      </c>
      <c r="BK780" t="s">
        <v>111</v>
      </c>
      <c r="BL780" t="s">
        <v>111</v>
      </c>
      <c r="BM780" t="s">
        <v>111</v>
      </c>
      <c r="BN780" t="s">
        <v>111</v>
      </c>
      <c r="BO780" t="s">
        <v>111</v>
      </c>
      <c r="BP780" t="s">
        <v>111</v>
      </c>
      <c r="BQ780" t="s">
        <v>111</v>
      </c>
      <c r="BR780" t="s">
        <v>111</v>
      </c>
      <c r="BS780" t="s">
        <v>111</v>
      </c>
      <c r="BT780" t="s">
        <v>111</v>
      </c>
      <c r="BU780" t="s">
        <v>111</v>
      </c>
      <c r="BV780" t="s">
        <v>111</v>
      </c>
      <c r="BW780" t="s">
        <v>111</v>
      </c>
      <c r="BX780" t="s">
        <v>111</v>
      </c>
      <c r="BY780" t="s">
        <v>111</v>
      </c>
      <c r="BZ780" t="s">
        <v>111</v>
      </c>
      <c r="CA780" t="s">
        <v>111</v>
      </c>
      <c r="CB780" t="s">
        <v>111</v>
      </c>
      <c r="CC780" t="s">
        <v>111</v>
      </c>
      <c r="CD780" t="s">
        <v>111</v>
      </c>
      <c r="CE780" t="s">
        <v>111</v>
      </c>
      <c r="CF780" t="s">
        <v>111</v>
      </c>
      <c r="CG780" t="s">
        <v>111</v>
      </c>
      <c r="CH780" t="s">
        <v>111</v>
      </c>
      <c r="CI780" t="s">
        <v>111</v>
      </c>
      <c r="CJ780" t="s">
        <v>111</v>
      </c>
      <c r="CK780" t="s">
        <v>111</v>
      </c>
      <c r="CL780" t="s">
        <v>153</v>
      </c>
      <c r="CM780" t="s">
        <v>198</v>
      </c>
      <c r="CN780" t="s">
        <v>128</v>
      </c>
      <c r="CO780" t="s">
        <v>974</v>
      </c>
      <c r="CP780" t="s">
        <v>433</v>
      </c>
      <c r="CQ780">
        <v>0</v>
      </c>
      <c r="CR780">
        <v>1000</v>
      </c>
      <c r="CS780">
        <v>50</v>
      </c>
      <c r="CT780" s="1" t="s">
        <v>2631</v>
      </c>
      <c r="CU780">
        <v>0</v>
      </c>
      <c r="CV780" t="s">
        <v>111</v>
      </c>
      <c r="CW780" t="s">
        <v>111</v>
      </c>
      <c r="CX780" t="s">
        <v>111</v>
      </c>
      <c r="CY780">
        <v>0</v>
      </c>
      <c r="CZ780" t="s">
        <v>111</v>
      </c>
      <c r="DA780" t="s">
        <v>111</v>
      </c>
      <c r="DB780" t="s">
        <v>204</v>
      </c>
      <c r="DC780" s="1" t="s">
        <v>2632</v>
      </c>
    </row>
    <row r="781" spans="1:107">
      <c r="A781">
        <v>1673</v>
      </c>
      <c r="B781" t="s">
        <v>107</v>
      </c>
      <c r="C781" t="s">
        <v>793</v>
      </c>
      <c r="D781" t="s">
        <v>2633</v>
      </c>
      <c r="E781" t="s">
        <v>2634</v>
      </c>
      <c r="F781" t="s">
        <v>183</v>
      </c>
      <c r="G781" t="s">
        <v>469</v>
      </c>
      <c r="H781">
        <v>1.8</v>
      </c>
      <c r="I781">
        <v>40.6</v>
      </c>
      <c r="J781">
        <v>0</v>
      </c>
      <c r="K781">
        <v>0</v>
      </c>
      <c r="L781" t="s">
        <v>112</v>
      </c>
      <c r="M781" t="s">
        <v>118</v>
      </c>
      <c r="N781">
        <v>39</v>
      </c>
      <c r="O781">
        <v>2</v>
      </c>
      <c r="P781" t="s">
        <v>111</v>
      </c>
      <c r="Q781">
        <v>33.299999999999997</v>
      </c>
      <c r="R781">
        <v>0</v>
      </c>
      <c r="S781">
        <v>0</v>
      </c>
      <c r="T781">
        <v>0</v>
      </c>
      <c r="U781" s="1" t="s">
        <v>2635</v>
      </c>
      <c r="V781">
        <v>25</v>
      </c>
      <c r="W781">
        <v>0</v>
      </c>
      <c r="X781">
        <v>6</v>
      </c>
      <c r="Y781">
        <v>0</v>
      </c>
      <c r="Z781" t="s">
        <v>184</v>
      </c>
      <c r="AA781">
        <v>1.4</v>
      </c>
      <c r="AB781" t="s">
        <v>111</v>
      </c>
      <c r="AC781">
        <v>0</v>
      </c>
      <c r="AD781" t="s">
        <v>111</v>
      </c>
      <c r="AE781">
        <v>0</v>
      </c>
      <c r="AF781">
        <v>0</v>
      </c>
      <c r="AG781" t="s">
        <v>111</v>
      </c>
      <c r="AH781" t="s">
        <v>111</v>
      </c>
      <c r="AI781" t="s">
        <v>111</v>
      </c>
      <c r="AJ781" t="s">
        <v>111</v>
      </c>
      <c r="AK781" t="s">
        <v>111</v>
      </c>
      <c r="AL781" t="s">
        <v>111</v>
      </c>
      <c r="AM781">
        <v>0</v>
      </c>
      <c r="AN781">
        <v>0</v>
      </c>
      <c r="AO781">
        <v>0</v>
      </c>
      <c r="AP781" t="s">
        <v>111</v>
      </c>
      <c r="AQ781" t="s">
        <v>111</v>
      </c>
      <c r="AR781" t="s">
        <v>111</v>
      </c>
      <c r="AS781" t="s">
        <v>111</v>
      </c>
      <c r="AT781" t="s">
        <v>111</v>
      </c>
      <c r="AU781" t="s">
        <v>111</v>
      </c>
      <c r="AV781" t="s">
        <v>111</v>
      </c>
      <c r="AW781" t="s">
        <v>111</v>
      </c>
      <c r="AX781" t="s">
        <v>111</v>
      </c>
      <c r="AY781" t="s">
        <v>111</v>
      </c>
      <c r="AZ781" t="s">
        <v>111</v>
      </c>
      <c r="BA781" t="s">
        <v>111</v>
      </c>
      <c r="BB781" t="s">
        <v>111</v>
      </c>
      <c r="BC781" t="s">
        <v>111</v>
      </c>
      <c r="BD781" t="s">
        <v>111</v>
      </c>
      <c r="BE781" t="s">
        <v>111</v>
      </c>
      <c r="BF781" t="s">
        <v>111</v>
      </c>
      <c r="BG781" t="s">
        <v>111</v>
      </c>
      <c r="BH781" t="s">
        <v>111</v>
      </c>
      <c r="BI781" t="s">
        <v>111</v>
      </c>
      <c r="BJ781" t="s">
        <v>111</v>
      </c>
      <c r="BK781" t="s">
        <v>111</v>
      </c>
      <c r="BL781" t="s">
        <v>111</v>
      </c>
      <c r="BM781" t="s">
        <v>111</v>
      </c>
      <c r="BN781" t="s">
        <v>111</v>
      </c>
      <c r="BO781" t="s">
        <v>111</v>
      </c>
      <c r="BP781" t="s">
        <v>111</v>
      </c>
      <c r="BQ781" t="s">
        <v>111</v>
      </c>
      <c r="BR781" t="s">
        <v>111</v>
      </c>
      <c r="BS781" t="s">
        <v>111</v>
      </c>
      <c r="BT781" t="s">
        <v>111</v>
      </c>
      <c r="BU781" t="s">
        <v>111</v>
      </c>
      <c r="BV781" t="s">
        <v>111</v>
      </c>
      <c r="BW781" t="s">
        <v>111</v>
      </c>
      <c r="BX781" t="s">
        <v>111</v>
      </c>
      <c r="BY781" t="s">
        <v>111</v>
      </c>
      <c r="BZ781" t="s">
        <v>111</v>
      </c>
      <c r="CA781" t="s">
        <v>111</v>
      </c>
      <c r="CB781" t="s">
        <v>111</v>
      </c>
      <c r="CC781" t="s">
        <v>111</v>
      </c>
      <c r="CD781" t="s">
        <v>111</v>
      </c>
      <c r="CE781" t="s">
        <v>111</v>
      </c>
      <c r="CF781" t="s">
        <v>111</v>
      </c>
      <c r="CG781" t="s">
        <v>111</v>
      </c>
      <c r="CH781" t="s">
        <v>111</v>
      </c>
      <c r="CI781" t="s">
        <v>111</v>
      </c>
      <c r="CJ781" t="s">
        <v>111</v>
      </c>
      <c r="CK781" t="s">
        <v>111</v>
      </c>
      <c r="CL781" t="s">
        <v>111</v>
      </c>
      <c r="CM781" t="s">
        <v>111</v>
      </c>
      <c r="CN781" t="s">
        <v>111</v>
      </c>
      <c r="CO781" t="s">
        <v>111</v>
      </c>
      <c r="CP781" t="s">
        <v>111</v>
      </c>
      <c r="CQ781">
        <v>0</v>
      </c>
      <c r="CR781">
        <v>0</v>
      </c>
      <c r="CS781">
        <v>0</v>
      </c>
      <c r="CT781" t="s">
        <v>111</v>
      </c>
      <c r="CU781">
        <v>0</v>
      </c>
      <c r="CV781" t="s">
        <v>111</v>
      </c>
      <c r="CX781" t="s">
        <v>111</v>
      </c>
      <c r="CY781">
        <v>0</v>
      </c>
      <c r="CZ781" t="s">
        <v>111</v>
      </c>
      <c r="DA781" t="s">
        <v>111</v>
      </c>
      <c r="DB781" t="s">
        <v>111</v>
      </c>
      <c r="DC781" t="s">
        <v>111</v>
      </c>
    </row>
    <row r="782" spans="1:107">
      <c r="A782">
        <v>2072</v>
      </c>
      <c r="B782" t="s">
        <v>376</v>
      </c>
      <c r="C782" t="s">
        <v>119</v>
      </c>
      <c r="D782" t="s">
        <v>2636</v>
      </c>
      <c r="E782" t="s">
        <v>2637</v>
      </c>
      <c r="F782" t="s">
        <v>166</v>
      </c>
      <c r="G782" t="s">
        <v>469</v>
      </c>
      <c r="H782">
        <v>0.8</v>
      </c>
      <c r="I782">
        <v>60</v>
      </c>
      <c r="J782">
        <v>0</v>
      </c>
      <c r="K782">
        <v>0</v>
      </c>
      <c r="L782" t="s">
        <v>112</v>
      </c>
      <c r="M782" t="s">
        <v>111</v>
      </c>
      <c r="N782">
        <v>0</v>
      </c>
      <c r="O782">
        <v>0</v>
      </c>
      <c r="P782" t="s">
        <v>111</v>
      </c>
      <c r="Q782">
        <v>30</v>
      </c>
      <c r="R782">
        <v>0</v>
      </c>
      <c r="S782">
        <v>0</v>
      </c>
      <c r="T782">
        <v>5</v>
      </c>
      <c r="U782" t="e">
        <f>- DESTINO SELLADO</f>
        <v>#NAME?</v>
      </c>
      <c r="V782">
        <v>25</v>
      </c>
      <c r="W782">
        <v>0</v>
      </c>
      <c r="X782">
        <v>8</v>
      </c>
      <c r="Y782">
        <v>0</v>
      </c>
      <c r="Z782" t="s">
        <v>111</v>
      </c>
      <c r="AA782">
        <v>0</v>
      </c>
      <c r="AB782" t="s">
        <v>111</v>
      </c>
      <c r="AC782">
        <v>0</v>
      </c>
      <c r="AD782" t="s">
        <v>111</v>
      </c>
      <c r="AE782">
        <v>0</v>
      </c>
      <c r="AF782">
        <v>0</v>
      </c>
      <c r="AG782" t="s">
        <v>111</v>
      </c>
      <c r="AH782" t="s">
        <v>111</v>
      </c>
      <c r="AI782" t="s">
        <v>111</v>
      </c>
      <c r="AJ782" t="s">
        <v>111</v>
      </c>
      <c r="AK782" t="s">
        <v>111</v>
      </c>
      <c r="AL782" t="s">
        <v>111</v>
      </c>
      <c r="AM782">
        <v>0</v>
      </c>
      <c r="AN782">
        <v>0</v>
      </c>
      <c r="AO782">
        <v>0</v>
      </c>
      <c r="AP782" t="s">
        <v>111</v>
      </c>
      <c r="AQ782" t="s">
        <v>111</v>
      </c>
      <c r="AR782" t="s">
        <v>111</v>
      </c>
      <c r="AS782" t="s">
        <v>111</v>
      </c>
      <c r="AT782" t="s">
        <v>111</v>
      </c>
      <c r="AU782" t="s">
        <v>111</v>
      </c>
      <c r="AV782" t="s">
        <v>111</v>
      </c>
      <c r="AW782" t="s">
        <v>111</v>
      </c>
      <c r="AX782" t="s">
        <v>111</v>
      </c>
      <c r="AY782" t="s">
        <v>111</v>
      </c>
      <c r="AZ782" t="s">
        <v>111</v>
      </c>
      <c r="BA782" t="s">
        <v>111</v>
      </c>
      <c r="BB782" t="s">
        <v>111</v>
      </c>
      <c r="BC782" t="s">
        <v>111</v>
      </c>
      <c r="BD782" t="s">
        <v>111</v>
      </c>
      <c r="BE782" t="s">
        <v>111</v>
      </c>
      <c r="BF782" t="s">
        <v>111</v>
      </c>
      <c r="BG782" t="s">
        <v>111</v>
      </c>
      <c r="BH782" t="s">
        <v>111</v>
      </c>
      <c r="BI782" t="s">
        <v>111</v>
      </c>
      <c r="BJ782" t="s">
        <v>111</v>
      </c>
      <c r="BK782" t="s">
        <v>111</v>
      </c>
      <c r="BL782" t="s">
        <v>111</v>
      </c>
      <c r="BM782" t="s">
        <v>111</v>
      </c>
      <c r="BN782" t="s">
        <v>111</v>
      </c>
      <c r="BO782" t="s">
        <v>111</v>
      </c>
      <c r="BP782" t="s">
        <v>111</v>
      </c>
      <c r="BQ782" t="s">
        <v>111</v>
      </c>
      <c r="BR782" t="s">
        <v>111</v>
      </c>
      <c r="BS782" t="s">
        <v>111</v>
      </c>
      <c r="BT782" t="s">
        <v>111</v>
      </c>
      <c r="BU782" t="s">
        <v>111</v>
      </c>
      <c r="BV782" t="s">
        <v>111</v>
      </c>
      <c r="BW782" t="s">
        <v>111</v>
      </c>
      <c r="BX782" t="s">
        <v>111</v>
      </c>
      <c r="BY782" t="s">
        <v>111</v>
      </c>
      <c r="BZ782" t="s">
        <v>111</v>
      </c>
      <c r="CA782" t="s">
        <v>111</v>
      </c>
      <c r="CB782" t="s">
        <v>111</v>
      </c>
      <c r="CC782" t="s">
        <v>111</v>
      </c>
      <c r="CD782" t="s">
        <v>111</v>
      </c>
      <c r="CE782" t="s">
        <v>111</v>
      </c>
      <c r="CF782" t="s">
        <v>111</v>
      </c>
      <c r="CG782" t="s">
        <v>111</v>
      </c>
      <c r="CH782" t="s">
        <v>111</v>
      </c>
      <c r="CI782" t="s">
        <v>111</v>
      </c>
      <c r="CJ782" t="s">
        <v>111</v>
      </c>
      <c r="CK782" t="s">
        <v>111</v>
      </c>
      <c r="CL782" t="s">
        <v>111</v>
      </c>
      <c r="CM782" t="s">
        <v>127</v>
      </c>
      <c r="CN782" t="s">
        <v>128</v>
      </c>
      <c r="CO782" t="s">
        <v>111</v>
      </c>
      <c r="CP782" t="s">
        <v>111</v>
      </c>
      <c r="CQ782">
        <v>0</v>
      </c>
      <c r="CR782">
        <v>1000</v>
      </c>
      <c r="CS782">
        <v>200</v>
      </c>
      <c r="CT782" t="e">
        <f>- DESTINO ALMACEN</f>
        <v>#NAME?</v>
      </c>
      <c r="CU782">
        <v>0</v>
      </c>
      <c r="CV782" t="s">
        <v>111</v>
      </c>
      <c r="CX782" t="s">
        <v>111</v>
      </c>
      <c r="CY782">
        <v>0</v>
      </c>
      <c r="CZ782" t="s">
        <v>111</v>
      </c>
      <c r="DA782" t="s">
        <v>111</v>
      </c>
      <c r="DB782" t="s">
        <v>111</v>
      </c>
      <c r="DC782" t="s">
        <v>111</v>
      </c>
    </row>
    <row r="783" spans="1:107">
      <c r="A783">
        <v>1674</v>
      </c>
      <c r="B783" t="s">
        <v>107</v>
      </c>
      <c r="C783" t="s">
        <v>2543</v>
      </c>
      <c r="D783" t="s">
        <v>2638</v>
      </c>
      <c r="E783" t="s">
        <v>2639</v>
      </c>
      <c r="F783" t="s">
        <v>431</v>
      </c>
      <c r="G783" t="s">
        <v>469</v>
      </c>
      <c r="H783">
        <v>1.25</v>
      </c>
      <c r="I783">
        <v>90</v>
      </c>
      <c r="J783">
        <v>0</v>
      </c>
      <c r="K783">
        <v>0</v>
      </c>
      <c r="L783" t="s">
        <v>117</v>
      </c>
      <c r="M783" t="s">
        <v>118</v>
      </c>
      <c r="N783">
        <v>40</v>
      </c>
      <c r="O783">
        <v>1</v>
      </c>
      <c r="P783" t="s">
        <v>111</v>
      </c>
      <c r="Q783">
        <v>56.5</v>
      </c>
      <c r="R783">
        <v>0</v>
      </c>
      <c r="S783">
        <v>0</v>
      </c>
      <c r="T783">
        <v>5</v>
      </c>
      <c r="U783" s="1" t="s">
        <v>2640</v>
      </c>
      <c r="V783">
        <v>0</v>
      </c>
      <c r="W783">
        <v>25</v>
      </c>
      <c r="X783">
        <v>8</v>
      </c>
      <c r="Y783">
        <v>0</v>
      </c>
      <c r="Z783" t="s">
        <v>111</v>
      </c>
      <c r="AA783">
        <v>0</v>
      </c>
      <c r="AB783" t="s">
        <v>111</v>
      </c>
      <c r="AC783">
        <v>0</v>
      </c>
      <c r="AD783" t="s">
        <v>416</v>
      </c>
      <c r="AE783">
        <v>0</v>
      </c>
      <c r="AF783">
        <v>0</v>
      </c>
      <c r="AG783" t="s">
        <v>111</v>
      </c>
      <c r="AH783" t="s">
        <v>113</v>
      </c>
      <c r="AI783" t="s">
        <v>111</v>
      </c>
      <c r="AJ783" t="s">
        <v>111</v>
      </c>
      <c r="AK783" t="s">
        <v>111</v>
      </c>
      <c r="AL783" t="s">
        <v>111</v>
      </c>
      <c r="AM783">
        <v>0</v>
      </c>
      <c r="AN783">
        <v>0</v>
      </c>
      <c r="AO783">
        <v>0</v>
      </c>
      <c r="AP783" t="s">
        <v>111</v>
      </c>
      <c r="AQ783" t="s">
        <v>111</v>
      </c>
      <c r="AR783" t="s">
        <v>111</v>
      </c>
      <c r="AS783" t="s">
        <v>111</v>
      </c>
      <c r="AT783" t="s">
        <v>111</v>
      </c>
      <c r="AU783" t="s">
        <v>111</v>
      </c>
      <c r="AV783" t="s">
        <v>111</v>
      </c>
      <c r="AW783" t="s">
        <v>111</v>
      </c>
      <c r="AX783" t="s">
        <v>111</v>
      </c>
      <c r="AY783" t="s">
        <v>111</v>
      </c>
      <c r="AZ783" t="s">
        <v>111</v>
      </c>
      <c r="BA783" t="s">
        <v>111</v>
      </c>
      <c r="BB783" t="s">
        <v>111</v>
      </c>
      <c r="BC783" t="s">
        <v>111</v>
      </c>
      <c r="BD783" t="s">
        <v>111</v>
      </c>
      <c r="BE783" t="s">
        <v>111</v>
      </c>
      <c r="BF783" t="s">
        <v>111</v>
      </c>
      <c r="BG783" t="s">
        <v>111</v>
      </c>
      <c r="BH783" t="s">
        <v>111</v>
      </c>
      <c r="BI783" t="s">
        <v>111</v>
      </c>
      <c r="BJ783" t="s">
        <v>111</v>
      </c>
      <c r="BK783" t="s">
        <v>111</v>
      </c>
      <c r="BL783" t="s">
        <v>111</v>
      </c>
      <c r="BM783" t="s">
        <v>111</v>
      </c>
      <c r="BN783" t="s">
        <v>111</v>
      </c>
      <c r="BO783" t="s">
        <v>111</v>
      </c>
      <c r="BP783" t="s">
        <v>111</v>
      </c>
      <c r="BQ783" t="s">
        <v>111</v>
      </c>
      <c r="BR783" t="s">
        <v>111</v>
      </c>
      <c r="BS783" t="s">
        <v>111</v>
      </c>
      <c r="BT783" t="s">
        <v>111</v>
      </c>
      <c r="BU783" t="s">
        <v>111</v>
      </c>
      <c r="BV783" t="s">
        <v>111</v>
      </c>
      <c r="BW783" t="s">
        <v>111</v>
      </c>
      <c r="BX783" t="s">
        <v>111</v>
      </c>
      <c r="BY783" t="s">
        <v>111</v>
      </c>
      <c r="BZ783" t="s">
        <v>111</v>
      </c>
      <c r="CA783" t="s">
        <v>111</v>
      </c>
      <c r="CB783" t="s">
        <v>111</v>
      </c>
      <c r="CC783" t="s">
        <v>111</v>
      </c>
      <c r="CD783" t="s">
        <v>111</v>
      </c>
      <c r="CE783" t="s">
        <v>111</v>
      </c>
      <c r="CF783" t="s">
        <v>111</v>
      </c>
      <c r="CG783" t="s">
        <v>111</v>
      </c>
      <c r="CH783" t="s">
        <v>111</v>
      </c>
      <c r="CI783" t="s">
        <v>111</v>
      </c>
      <c r="CJ783" t="s">
        <v>111</v>
      </c>
      <c r="CK783" t="s">
        <v>111</v>
      </c>
      <c r="CL783" t="s">
        <v>111</v>
      </c>
      <c r="CM783" t="s">
        <v>360</v>
      </c>
      <c r="CN783" t="s">
        <v>113</v>
      </c>
      <c r="CO783" t="s">
        <v>111</v>
      </c>
      <c r="CP783" t="s">
        <v>111</v>
      </c>
      <c r="CQ783">
        <v>0</v>
      </c>
      <c r="CR783">
        <v>4000</v>
      </c>
      <c r="CS783">
        <v>2000</v>
      </c>
      <c r="CT783" t="e">
        <f>-ALMACEN</f>
        <v>#NAME?</v>
      </c>
      <c r="CU783">
        <v>0</v>
      </c>
      <c r="CV783" t="s">
        <v>111</v>
      </c>
      <c r="CX783" t="s">
        <v>111</v>
      </c>
      <c r="CY783">
        <v>0</v>
      </c>
      <c r="CZ783" t="s">
        <v>111</v>
      </c>
      <c r="DA783" t="s">
        <v>111</v>
      </c>
      <c r="DB783" t="s">
        <v>111</v>
      </c>
      <c r="DC783" t="s">
        <v>111</v>
      </c>
    </row>
    <row r="784" spans="1:107">
      <c r="A784">
        <v>1597</v>
      </c>
      <c r="B784" t="s">
        <v>107</v>
      </c>
      <c r="C784" t="s">
        <v>399</v>
      </c>
      <c r="D784" t="s">
        <v>2641</v>
      </c>
      <c r="E784" t="s">
        <v>2642</v>
      </c>
      <c r="F784" t="s">
        <v>287</v>
      </c>
      <c r="G784" t="s">
        <v>469</v>
      </c>
      <c r="H784">
        <v>1</v>
      </c>
      <c r="I784">
        <v>46</v>
      </c>
      <c r="J784">
        <v>0</v>
      </c>
      <c r="K784">
        <v>0</v>
      </c>
      <c r="L784" t="s">
        <v>112</v>
      </c>
      <c r="M784" t="s">
        <v>111</v>
      </c>
      <c r="N784">
        <v>0</v>
      </c>
      <c r="O784">
        <v>0</v>
      </c>
      <c r="P784" t="s">
        <v>111</v>
      </c>
      <c r="Q784">
        <v>40.700000000000003</v>
      </c>
      <c r="R784">
        <v>0</v>
      </c>
      <c r="S784">
        <v>0</v>
      </c>
      <c r="T784">
        <v>5</v>
      </c>
      <c r="U784" s="1" t="s">
        <v>2643</v>
      </c>
      <c r="V784">
        <v>0</v>
      </c>
      <c r="W784">
        <v>25</v>
      </c>
      <c r="X784">
        <v>5</v>
      </c>
      <c r="Y784">
        <v>0</v>
      </c>
      <c r="Z784" t="s">
        <v>288</v>
      </c>
      <c r="AA784">
        <v>1500</v>
      </c>
      <c r="AB784" t="s">
        <v>111</v>
      </c>
      <c r="AC784">
        <v>0</v>
      </c>
      <c r="AD784" t="s">
        <v>111</v>
      </c>
      <c r="AE784">
        <v>0</v>
      </c>
      <c r="AF784">
        <v>0</v>
      </c>
      <c r="AG784" t="s">
        <v>111</v>
      </c>
      <c r="AH784" t="s">
        <v>111</v>
      </c>
      <c r="AI784" t="s">
        <v>111</v>
      </c>
      <c r="AJ784" t="s">
        <v>111</v>
      </c>
      <c r="AK784" t="s">
        <v>111</v>
      </c>
      <c r="AL784" t="s">
        <v>111</v>
      </c>
      <c r="AM784">
        <v>0</v>
      </c>
      <c r="AN784">
        <v>0</v>
      </c>
      <c r="AO784">
        <v>0</v>
      </c>
      <c r="AP784" t="s">
        <v>111</v>
      </c>
      <c r="AQ784" t="s">
        <v>111</v>
      </c>
      <c r="AR784" t="s">
        <v>111</v>
      </c>
      <c r="AS784" t="s">
        <v>111</v>
      </c>
      <c r="AT784" t="s">
        <v>111</v>
      </c>
      <c r="AU784" t="s">
        <v>111</v>
      </c>
      <c r="AV784" t="s">
        <v>111</v>
      </c>
      <c r="AW784" t="s">
        <v>111</v>
      </c>
      <c r="AX784" t="s">
        <v>111</v>
      </c>
      <c r="AY784" t="s">
        <v>111</v>
      </c>
      <c r="AZ784" t="s">
        <v>111</v>
      </c>
      <c r="BA784" t="s">
        <v>111</v>
      </c>
      <c r="BB784" t="s">
        <v>111</v>
      </c>
      <c r="BC784" t="s">
        <v>111</v>
      </c>
      <c r="BD784" t="s">
        <v>111</v>
      </c>
      <c r="BE784" t="s">
        <v>111</v>
      </c>
      <c r="BF784" t="s">
        <v>111</v>
      </c>
      <c r="BG784" t="s">
        <v>111</v>
      </c>
      <c r="BH784" t="s">
        <v>111</v>
      </c>
      <c r="BI784" t="s">
        <v>111</v>
      </c>
      <c r="BJ784" t="s">
        <v>111</v>
      </c>
      <c r="BK784" t="s">
        <v>111</v>
      </c>
      <c r="BL784" t="s">
        <v>111</v>
      </c>
      <c r="BM784" t="s">
        <v>111</v>
      </c>
      <c r="BN784" t="s">
        <v>111</v>
      </c>
      <c r="BO784" t="s">
        <v>111</v>
      </c>
      <c r="BP784" t="s">
        <v>111</v>
      </c>
      <c r="BQ784" t="s">
        <v>111</v>
      </c>
      <c r="BR784" t="s">
        <v>111</v>
      </c>
      <c r="BS784" t="s">
        <v>111</v>
      </c>
      <c r="BT784" t="s">
        <v>111</v>
      </c>
      <c r="BU784" t="s">
        <v>111</v>
      </c>
      <c r="BV784" t="s">
        <v>111</v>
      </c>
      <c r="BW784" t="s">
        <v>111</v>
      </c>
      <c r="BX784" t="s">
        <v>111</v>
      </c>
      <c r="BY784" t="s">
        <v>111</v>
      </c>
      <c r="BZ784" t="s">
        <v>111</v>
      </c>
      <c r="CA784" t="s">
        <v>111</v>
      </c>
      <c r="CB784" t="s">
        <v>111</v>
      </c>
      <c r="CC784" t="s">
        <v>111</v>
      </c>
      <c r="CD784" t="s">
        <v>111</v>
      </c>
      <c r="CE784" t="s">
        <v>111</v>
      </c>
      <c r="CF784" t="s">
        <v>111</v>
      </c>
      <c r="CG784" t="s">
        <v>111</v>
      </c>
      <c r="CH784" t="s">
        <v>111</v>
      </c>
      <c r="CI784" t="s">
        <v>111</v>
      </c>
      <c r="CJ784" t="s">
        <v>111</v>
      </c>
      <c r="CK784" t="s">
        <v>111</v>
      </c>
      <c r="CL784" t="s">
        <v>111</v>
      </c>
      <c r="CM784" t="s">
        <v>438</v>
      </c>
      <c r="CN784" t="s">
        <v>113</v>
      </c>
      <c r="CO784" t="s">
        <v>111</v>
      </c>
      <c r="CP784" t="s">
        <v>111</v>
      </c>
      <c r="CQ784">
        <v>75</v>
      </c>
      <c r="CR784">
        <v>4000</v>
      </c>
      <c r="CS784">
        <v>200</v>
      </c>
      <c r="CT784" s="1" t="s">
        <v>2644</v>
      </c>
      <c r="CU784">
        <v>0</v>
      </c>
      <c r="CV784" t="s">
        <v>111</v>
      </c>
      <c r="CW784" t="s">
        <v>111</v>
      </c>
      <c r="CX784" t="s">
        <v>111</v>
      </c>
      <c r="CY784">
        <v>0</v>
      </c>
      <c r="CZ784" t="s">
        <v>111</v>
      </c>
      <c r="DA784" t="s">
        <v>111</v>
      </c>
      <c r="DB784" t="s">
        <v>111</v>
      </c>
      <c r="DC784" t="s">
        <v>111</v>
      </c>
    </row>
    <row r="785" spans="1:107">
      <c r="A785">
        <v>1588</v>
      </c>
      <c r="B785" t="s">
        <v>107</v>
      </c>
      <c r="C785" t="s">
        <v>1751</v>
      </c>
      <c r="D785" t="s">
        <v>2645</v>
      </c>
      <c r="E785" t="s">
        <v>2646</v>
      </c>
      <c r="F785" t="s">
        <v>1754</v>
      </c>
      <c r="G785" t="s">
        <v>469</v>
      </c>
      <c r="H785">
        <v>2.9</v>
      </c>
      <c r="I785">
        <v>40</v>
      </c>
      <c r="J785">
        <v>0</v>
      </c>
      <c r="K785">
        <v>0</v>
      </c>
      <c r="L785" t="s">
        <v>112</v>
      </c>
      <c r="M785" t="s">
        <v>118</v>
      </c>
      <c r="N785">
        <v>39</v>
      </c>
      <c r="O785">
        <v>2</v>
      </c>
      <c r="P785" t="s">
        <v>111</v>
      </c>
      <c r="Q785">
        <v>47.6</v>
      </c>
      <c r="R785">
        <v>0</v>
      </c>
      <c r="S785">
        <v>0</v>
      </c>
      <c r="T785">
        <v>5</v>
      </c>
      <c r="U785" s="1" t="s">
        <v>587</v>
      </c>
      <c r="V785">
        <v>250</v>
      </c>
      <c r="W785">
        <v>0</v>
      </c>
      <c r="X785">
        <v>8</v>
      </c>
      <c r="Y785">
        <v>0</v>
      </c>
      <c r="Z785" t="s">
        <v>259</v>
      </c>
      <c r="AA785">
        <v>1.7</v>
      </c>
      <c r="AB785" t="s">
        <v>111</v>
      </c>
      <c r="AC785">
        <v>0</v>
      </c>
      <c r="AD785" t="s">
        <v>416</v>
      </c>
      <c r="AE785">
        <v>0</v>
      </c>
      <c r="AF785">
        <v>0</v>
      </c>
      <c r="AG785" t="s">
        <v>111</v>
      </c>
      <c r="AH785" t="s">
        <v>113</v>
      </c>
      <c r="AI785" t="s">
        <v>111</v>
      </c>
      <c r="AJ785" t="s">
        <v>111</v>
      </c>
      <c r="AK785" t="s">
        <v>111</v>
      </c>
      <c r="AL785" t="s">
        <v>111</v>
      </c>
      <c r="AM785">
        <v>0</v>
      </c>
      <c r="AN785">
        <v>0</v>
      </c>
      <c r="AO785">
        <v>0</v>
      </c>
      <c r="AP785" t="s">
        <v>111</v>
      </c>
      <c r="AQ785" t="s">
        <v>111</v>
      </c>
      <c r="AR785" t="s">
        <v>111</v>
      </c>
      <c r="AS785" t="s">
        <v>111</v>
      </c>
      <c r="AT785" t="s">
        <v>111</v>
      </c>
      <c r="AU785" t="s">
        <v>111</v>
      </c>
      <c r="AV785" t="s">
        <v>111</v>
      </c>
      <c r="AW785" t="s">
        <v>111</v>
      </c>
      <c r="AX785" t="s">
        <v>111</v>
      </c>
      <c r="AY785" t="s">
        <v>111</v>
      </c>
      <c r="AZ785" t="s">
        <v>111</v>
      </c>
      <c r="BA785" t="s">
        <v>111</v>
      </c>
      <c r="BB785" t="s">
        <v>111</v>
      </c>
      <c r="BC785" t="s">
        <v>111</v>
      </c>
      <c r="BD785" t="s">
        <v>111</v>
      </c>
      <c r="BE785" t="s">
        <v>111</v>
      </c>
      <c r="BF785" t="s">
        <v>111</v>
      </c>
      <c r="BG785" t="s">
        <v>111</v>
      </c>
      <c r="BH785" t="s">
        <v>111</v>
      </c>
      <c r="BI785" t="s">
        <v>111</v>
      </c>
      <c r="BJ785" t="s">
        <v>111</v>
      </c>
      <c r="BK785" t="s">
        <v>111</v>
      </c>
      <c r="BL785" t="s">
        <v>111</v>
      </c>
      <c r="BM785" t="s">
        <v>111</v>
      </c>
      <c r="BN785" t="s">
        <v>111</v>
      </c>
      <c r="BO785" t="s">
        <v>111</v>
      </c>
      <c r="BP785" t="s">
        <v>111</v>
      </c>
      <c r="BQ785" t="s">
        <v>111</v>
      </c>
      <c r="BR785" t="s">
        <v>111</v>
      </c>
      <c r="BS785" t="s">
        <v>111</v>
      </c>
      <c r="BT785" t="s">
        <v>111</v>
      </c>
      <c r="BU785" t="s">
        <v>111</v>
      </c>
      <c r="BV785" t="s">
        <v>111</v>
      </c>
      <c r="BW785" t="s">
        <v>111</v>
      </c>
      <c r="BX785" t="s">
        <v>111</v>
      </c>
      <c r="BY785" t="s">
        <v>111</v>
      </c>
      <c r="BZ785" t="s">
        <v>111</v>
      </c>
      <c r="CA785" t="s">
        <v>111</v>
      </c>
      <c r="CB785" t="s">
        <v>111</v>
      </c>
      <c r="CC785" t="s">
        <v>111</v>
      </c>
      <c r="CD785" t="s">
        <v>111</v>
      </c>
      <c r="CE785" t="s">
        <v>111</v>
      </c>
      <c r="CF785" t="s">
        <v>111</v>
      </c>
      <c r="CG785" t="s">
        <v>111</v>
      </c>
      <c r="CH785" t="s">
        <v>111</v>
      </c>
      <c r="CI785" t="s">
        <v>111</v>
      </c>
      <c r="CJ785" t="s">
        <v>111</v>
      </c>
      <c r="CK785" t="s">
        <v>111</v>
      </c>
      <c r="CL785" t="s">
        <v>111</v>
      </c>
      <c r="CM785" t="s">
        <v>360</v>
      </c>
      <c r="CN785" t="s">
        <v>113</v>
      </c>
      <c r="CO785" t="s">
        <v>367</v>
      </c>
      <c r="CP785" t="s">
        <v>111</v>
      </c>
      <c r="CQ785">
        <v>0</v>
      </c>
      <c r="CR785">
        <v>2000</v>
      </c>
      <c r="CS785">
        <v>50</v>
      </c>
      <c r="CT785" s="1" t="s">
        <v>2647</v>
      </c>
      <c r="CU785">
        <v>0</v>
      </c>
      <c r="CV785" t="s">
        <v>111</v>
      </c>
      <c r="CW785" t="s">
        <v>111</v>
      </c>
      <c r="CX785" t="s">
        <v>111</v>
      </c>
      <c r="CY785">
        <v>0</v>
      </c>
      <c r="CZ785" t="s">
        <v>111</v>
      </c>
      <c r="DA785" t="s">
        <v>111</v>
      </c>
      <c r="DB785" t="e">
        <f>-INERTNO</f>
        <v>#NAME?</v>
      </c>
      <c r="DC785" t="e">
        <f>-TROQEL RIÑON</f>
        <v>#NAME?</v>
      </c>
    </row>
    <row r="786" spans="1:107">
      <c r="A786">
        <v>1659</v>
      </c>
      <c r="B786" t="s">
        <v>107</v>
      </c>
      <c r="C786" t="s">
        <v>412</v>
      </c>
      <c r="D786" t="s">
        <v>2648</v>
      </c>
      <c r="E786" t="s">
        <v>2649</v>
      </c>
      <c r="F786" t="s">
        <v>116</v>
      </c>
      <c r="G786" t="s">
        <v>469</v>
      </c>
      <c r="H786">
        <v>1.4</v>
      </c>
      <c r="I786">
        <v>40</v>
      </c>
      <c r="J786">
        <v>0</v>
      </c>
      <c r="K786">
        <v>0</v>
      </c>
      <c r="L786" t="s">
        <v>117</v>
      </c>
      <c r="M786" t="s">
        <v>111</v>
      </c>
      <c r="N786">
        <v>0</v>
      </c>
      <c r="O786">
        <v>0</v>
      </c>
      <c r="P786" t="s">
        <v>111</v>
      </c>
      <c r="Q786">
        <v>25.2</v>
      </c>
      <c r="R786">
        <v>0</v>
      </c>
      <c r="S786">
        <v>0</v>
      </c>
      <c r="T786">
        <v>5</v>
      </c>
      <c r="U786" s="1" t="s">
        <v>2650</v>
      </c>
      <c r="V786">
        <v>0</v>
      </c>
      <c r="W786">
        <v>25</v>
      </c>
      <c r="X786">
        <v>5</v>
      </c>
      <c r="Y786">
        <v>0</v>
      </c>
      <c r="Z786" t="s">
        <v>111</v>
      </c>
      <c r="AA786">
        <v>0</v>
      </c>
      <c r="AB786" t="s">
        <v>111</v>
      </c>
      <c r="AC786">
        <v>0</v>
      </c>
      <c r="AD786" t="s">
        <v>111</v>
      </c>
      <c r="AE786">
        <v>0</v>
      </c>
      <c r="AF786">
        <v>0</v>
      </c>
      <c r="AG786" t="s">
        <v>111</v>
      </c>
      <c r="AH786" t="s">
        <v>111</v>
      </c>
      <c r="AI786" t="s">
        <v>111</v>
      </c>
      <c r="AJ786" t="s">
        <v>111</v>
      </c>
      <c r="AK786" t="s">
        <v>111</v>
      </c>
      <c r="AL786" t="s">
        <v>111</v>
      </c>
      <c r="AM786">
        <v>0</v>
      </c>
      <c r="AN786">
        <v>0</v>
      </c>
      <c r="AO786">
        <v>0</v>
      </c>
      <c r="AP786" t="s">
        <v>111</v>
      </c>
      <c r="AQ786" t="s">
        <v>111</v>
      </c>
      <c r="AR786" t="s">
        <v>111</v>
      </c>
      <c r="AS786" t="s">
        <v>111</v>
      </c>
      <c r="AT786" t="s">
        <v>111</v>
      </c>
      <c r="AU786" t="s">
        <v>111</v>
      </c>
      <c r="AV786" t="s">
        <v>111</v>
      </c>
      <c r="AW786" t="s">
        <v>111</v>
      </c>
      <c r="AX786" t="s">
        <v>111</v>
      </c>
      <c r="AY786" t="s">
        <v>111</v>
      </c>
      <c r="AZ786" t="s">
        <v>111</v>
      </c>
      <c r="BA786" t="s">
        <v>111</v>
      </c>
      <c r="BB786" t="s">
        <v>111</v>
      </c>
      <c r="BC786" t="s">
        <v>111</v>
      </c>
      <c r="BD786" t="s">
        <v>111</v>
      </c>
      <c r="BE786" t="s">
        <v>111</v>
      </c>
      <c r="BF786" t="s">
        <v>111</v>
      </c>
      <c r="BG786" t="s">
        <v>111</v>
      </c>
      <c r="BH786" t="s">
        <v>111</v>
      </c>
      <c r="BI786" t="s">
        <v>111</v>
      </c>
      <c r="BJ786" t="s">
        <v>111</v>
      </c>
      <c r="BK786" t="s">
        <v>111</v>
      </c>
      <c r="BL786" t="s">
        <v>111</v>
      </c>
      <c r="BM786" t="s">
        <v>111</v>
      </c>
      <c r="BN786" t="s">
        <v>111</v>
      </c>
      <c r="BO786" t="s">
        <v>111</v>
      </c>
      <c r="BP786" t="s">
        <v>111</v>
      </c>
      <c r="BQ786" t="s">
        <v>111</v>
      </c>
      <c r="BR786" t="s">
        <v>111</v>
      </c>
      <c r="BS786" t="s">
        <v>111</v>
      </c>
      <c r="BT786" t="s">
        <v>111</v>
      </c>
      <c r="BU786" t="s">
        <v>111</v>
      </c>
      <c r="BV786" t="s">
        <v>111</v>
      </c>
      <c r="BW786" t="s">
        <v>111</v>
      </c>
      <c r="BX786" t="s">
        <v>111</v>
      </c>
      <c r="BY786" t="s">
        <v>111</v>
      </c>
      <c r="BZ786" t="s">
        <v>111</v>
      </c>
      <c r="CA786" t="s">
        <v>111</v>
      </c>
      <c r="CB786" t="s">
        <v>111</v>
      </c>
      <c r="CC786" t="s">
        <v>111</v>
      </c>
      <c r="CD786" t="s">
        <v>111</v>
      </c>
      <c r="CE786" t="s">
        <v>111</v>
      </c>
      <c r="CF786" t="s">
        <v>111</v>
      </c>
      <c r="CG786" t="s">
        <v>111</v>
      </c>
      <c r="CH786" t="s">
        <v>111</v>
      </c>
      <c r="CI786" t="s">
        <v>111</v>
      </c>
      <c r="CJ786" t="s">
        <v>111</v>
      </c>
      <c r="CK786" t="s">
        <v>111</v>
      </c>
      <c r="CL786" t="s">
        <v>111</v>
      </c>
      <c r="CM786" t="s">
        <v>438</v>
      </c>
      <c r="CN786" t="s">
        <v>113</v>
      </c>
      <c r="CO786" t="s">
        <v>111</v>
      </c>
      <c r="CP786" t="s">
        <v>111</v>
      </c>
      <c r="CQ786">
        <v>0</v>
      </c>
      <c r="CR786">
        <v>0</v>
      </c>
      <c r="CS786">
        <v>500</v>
      </c>
      <c r="CT786" t="e">
        <f>-ALMACEN</f>
        <v>#NAME?</v>
      </c>
      <c r="CU786">
        <v>0</v>
      </c>
      <c r="CV786" t="s">
        <v>111</v>
      </c>
      <c r="CX786" t="s">
        <v>111</v>
      </c>
      <c r="CY786">
        <v>0</v>
      </c>
      <c r="CZ786" t="s">
        <v>111</v>
      </c>
      <c r="DA786" t="s">
        <v>111</v>
      </c>
      <c r="DB786" t="s">
        <v>111</v>
      </c>
      <c r="DC786" t="s">
        <v>111</v>
      </c>
    </row>
    <row r="787" spans="1:107">
      <c r="A787">
        <v>2069</v>
      </c>
      <c r="B787" t="s">
        <v>376</v>
      </c>
      <c r="C787" t="s">
        <v>2056</v>
      </c>
      <c r="D787" t="s">
        <v>1863</v>
      </c>
      <c r="E787" t="s">
        <v>2651</v>
      </c>
      <c r="F787" t="s">
        <v>431</v>
      </c>
      <c r="G787" t="s">
        <v>469</v>
      </c>
      <c r="H787">
        <v>2.4</v>
      </c>
      <c r="I787">
        <v>27.5</v>
      </c>
      <c r="J787">
        <v>0</v>
      </c>
      <c r="K787">
        <v>0</v>
      </c>
      <c r="L787" t="s">
        <v>178</v>
      </c>
      <c r="M787" t="s">
        <v>118</v>
      </c>
      <c r="N787">
        <v>39</v>
      </c>
      <c r="O787">
        <v>1</v>
      </c>
      <c r="P787" t="s">
        <v>111</v>
      </c>
      <c r="Q787">
        <v>44</v>
      </c>
      <c r="R787">
        <v>0</v>
      </c>
      <c r="S787">
        <v>0</v>
      </c>
      <c r="T787">
        <v>5</v>
      </c>
      <c r="U787" s="1" t="s">
        <v>2652</v>
      </c>
      <c r="V787">
        <v>0</v>
      </c>
      <c r="W787">
        <v>25</v>
      </c>
      <c r="X787">
        <v>8</v>
      </c>
      <c r="Y787">
        <v>0</v>
      </c>
      <c r="Z787" t="s">
        <v>111</v>
      </c>
      <c r="AA787">
        <v>0</v>
      </c>
      <c r="AB787" t="s">
        <v>111</v>
      </c>
      <c r="AC787">
        <v>0</v>
      </c>
      <c r="AD787" t="s">
        <v>416</v>
      </c>
      <c r="AE787">
        <v>0</v>
      </c>
      <c r="AF787">
        <v>0</v>
      </c>
      <c r="AG787" t="s">
        <v>111</v>
      </c>
      <c r="AH787" t="s">
        <v>111</v>
      </c>
      <c r="AI787" t="s">
        <v>111</v>
      </c>
      <c r="AJ787" t="s">
        <v>111</v>
      </c>
      <c r="AK787" t="s">
        <v>111</v>
      </c>
      <c r="AL787" t="s">
        <v>111</v>
      </c>
      <c r="AM787">
        <v>0</v>
      </c>
      <c r="AN787">
        <v>0</v>
      </c>
      <c r="AO787">
        <v>0</v>
      </c>
      <c r="AP787" t="s">
        <v>111</v>
      </c>
      <c r="AQ787" t="s">
        <v>111</v>
      </c>
      <c r="AR787" t="s">
        <v>111</v>
      </c>
      <c r="AS787" t="s">
        <v>111</v>
      </c>
      <c r="AT787" t="s">
        <v>111</v>
      </c>
      <c r="AU787" t="s">
        <v>111</v>
      </c>
      <c r="AV787" t="s">
        <v>111</v>
      </c>
      <c r="AW787" t="s">
        <v>111</v>
      </c>
      <c r="AX787" t="s">
        <v>111</v>
      </c>
      <c r="AY787" t="s">
        <v>111</v>
      </c>
      <c r="AZ787" t="s">
        <v>111</v>
      </c>
      <c r="BA787" t="s">
        <v>111</v>
      </c>
      <c r="BB787" t="s">
        <v>111</v>
      </c>
      <c r="BC787" t="s">
        <v>111</v>
      </c>
      <c r="BD787" t="s">
        <v>111</v>
      </c>
      <c r="BE787" t="s">
        <v>111</v>
      </c>
      <c r="BF787" t="s">
        <v>111</v>
      </c>
      <c r="BG787" t="s">
        <v>111</v>
      </c>
      <c r="BH787" t="s">
        <v>111</v>
      </c>
      <c r="BI787" t="s">
        <v>111</v>
      </c>
      <c r="BJ787" t="s">
        <v>111</v>
      </c>
      <c r="BK787" t="s">
        <v>111</v>
      </c>
      <c r="BL787" t="s">
        <v>111</v>
      </c>
      <c r="BM787" t="s">
        <v>111</v>
      </c>
      <c r="BN787" t="s">
        <v>111</v>
      </c>
      <c r="BO787" t="s">
        <v>111</v>
      </c>
      <c r="BP787" t="s">
        <v>111</v>
      </c>
      <c r="BQ787" t="s">
        <v>111</v>
      </c>
      <c r="BR787" t="s">
        <v>111</v>
      </c>
      <c r="BS787" t="s">
        <v>111</v>
      </c>
      <c r="BT787" t="s">
        <v>111</v>
      </c>
      <c r="BU787" t="s">
        <v>111</v>
      </c>
      <c r="BV787" t="s">
        <v>111</v>
      </c>
      <c r="BW787" t="s">
        <v>111</v>
      </c>
      <c r="BX787" t="s">
        <v>111</v>
      </c>
      <c r="BY787" t="s">
        <v>111</v>
      </c>
      <c r="BZ787" t="s">
        <v>111</v>
      </c>
      <c r="CA787" t="s">
        <v>111</v>
      </c>
      <c r="CB787" t="s">
        <v>111</v>
      </c>
      <c r="CC787" t="s">
        <v>111</v>
      </c>
      <c r="CD787" t="s">
        <v>111</v>
      </c>
      <c r="CE787" t="s">
        <v>111</v>
      </c>
      <c r="CF787" t="s">
        <v>111</v>
      </c>
      <c r="CG787" t="s">
        <v>111</v>
      </c>
      <c r="CH787" t="s">
        <v>111</v>
      </c>
      <c r="CI787" t="s">
        <v>111</v>
      </c>
      <c r="CJ787" t="s">
        <v>111</v>
      </c>
      <c r="CK787" t="s">
        <v>111</v>
      </c>
      <c r="CL787" t="s">
        <v>111</v>
      </c>
      <c r="CM787" t="s">
        <v>438</v>
      </c>
      <c r="CN787" t="s">
        <v>113</v>
      </c>
      <c r="CO787" t="s">
        <v>111</v>
      </c>
      <c r="CP787" t="s">
        <v>111</v>
      </c>
      <c r="CQ787">
        <v>0</v>
      </c>
      <c r="CR787">
        <v>5000</v>
      </c>
      <c r="CS787">
        <v>200</v>
      </c>
      <c r="CT787" t="s">
        <v>111</v>
      </c>
      <c r="CU787">
        <v>0</v>
      </c>
      <c r="CV787" t="s">
        <v>111</v>
      </c>
      <c r="CX787" t="s">
        <v>111</v>
      </c>
      <c r="CY787">
        <v>0</v>
      </c>
      <c r="CZ787" t="s">
        <v>111</v>
      </c>
      <c r="DA787" t="s">
        <v>111</v>
      </c>
      <c r="DB787" t="s">
        <v>111</v>
      </c>
      <c r="DC787" t="s">
        <v>111</v>
      </c>
    </row>
    <row r="788" spans="1:107">
      <c r="A788">
        <v>1526</v>
      </c>
      <c r="B788" t="s">
        <v>107</v>
      </c>
      <c r="C788" t="s">
        <v>114</v>
      </c>
      <c r="D788" t="s">
        <v>476</v>
      </c>
      <c r="E788" t="s">
        <v>2653</v>
      </c>
      <c r="F788" t="s">
        <v>358</v>
      </c>
      <c r="G788" t="s">
        <v>427</v>
      </c>
      <c r="H788">
        <v>2.7</v>
      </c>
      <c r="I788">
        <v>71</v>
      </c>
      <c r="J788">
        <v>0</v>
      </c>
      <c r="K788">
        <v>0</v>
      </c>
      <c r="L788" t="s">
        <v>117</v>
      </c>
      <c r="M788" t="s">
        <v>118</v>
      </c>
      <c r="N788">
        <v>40</v>
      </c>
      <c r="O788">
        <v>1</v>
      </c>
      <c r="P788" t="s">
        <v>111</v>
      </c>
      <c r="Q788">
        <v>200</v>
      </c>
      <c r="R788">
        <v>0</v>
      </c>
      <c r="S788">
        <v>0</v>
      </c>
      <c r="T788">
        <v>5</v>
      </c>
      <c r="U788" s="1" t="s">
        <v>587</v>
      </c>
      <c r="V788">
        <v>0</v>
      </c>
      <c r="W788">
        <v>25</v>
      </c>
      <c r="X788">
        <v>100</v>
      </c>
      <c r="Y788">
        <v>0</v>
      </c>
      <c r="Z788" t="s">
        <v>111</v>
      </c>
      <c r="AA788">
        <v>0</v>
      </c>
      <c r="AB788" t="s">
        <v>111</v>
      </c>
      <c r="AC788">
        <v>0</v>
      </c>
      <c r="AD788" t="s">
        <v>416</v>
      </c>
      <c r="AE788">
        <v>0</v>
      </c>
      <c r="AF788">
        <v>0</v>
      </c>
      <c r="AG788" t="s">
        <v>111</v>
      </c>
      <c r="AH788" t="s">
        <v>128</v>
      </c>
      <c r="AI788" t="s">
        <v>111</v>
      </c>
      <c r="AJ788" t="s">
        <v>111</v>
      </c>
      <c r="AK788" t="s">
        <v>111</v>
      </c>
      <c r="AL788" t="s">
        <v>111</v>
      </c>
      <c r="AM788">
        <v>0</v>
      </c>
      <c r="AN788">
        <v>0</v>
      </c>
      <c r="AO788">
        <v>0</v>
      </c>
      <c r="AP788" t="s">
        <v>111</v>
      </c>
      <c r="AQ788" t="s">
        <v>111</v>
      </c>
      <c r="AR788" t="s">
        <v>111</v>
      </c>
      <c r="AS788" t="s">
        <v>111</v>
      </c>
      <c r="AT788" t="s">
        <v>111</v>
      </c>
      <c r="AU788" t="s">
        <v>111</v>
      </c>
      <c r="AV788" t="s">
        <v>111</v>
      </c>
      <c r="AW788" t="s">
        <v>111</v>
      </c>
      <c r="AX788" t="s">
        <v>111</v>
      </c>
      <c r="AY788" t="s">
        <v>111</v>
      </c>
      <c r="AZ788" t="s">
        <v>111</v>
      </c>
      <c r="BA788" t="s">
        <v>111</v>
      </c>
      <c r="BB788" t="s">
        <v>111</v>
      </c>
      <c r="BC788" t="s">
        <v>111</v>
      </c>
      <c r="BD788" t="s">
        <v>111</v>
      </c>
      <c r="BE788" t="s">
        <v>111</v>
      </c>
      <c r="BF788" t="s">
        <v>111</v>
      </c>
      <c r="BG788" t="s">
        <v>111</v>
      </c>
      <c r="BH788" t="s">
        <v>111</v>
      </c>
      <c r="BI788" t="s">
        <v>111</v>
      </c>
      <c r="BJ788" t="s">
        <v>111</v>
      </c>
      <c r="BK788" t="s">
        <v>111</v>
      </c>
      <c r="BL788" t="s">
        <v>111</v>
      </c>
      <c r="BM788" t="s">
        <v>111</v>
      </c>
      <c r="BN788" t="s">
        <v>111</v>
      </c>
      <c r="BO788" t="s">
        <v>111</v>
      </c>
      <c r="BP788" t="s">
        <v>111</v>
      </c>
      <c r="BQ788" t="s">
        <v>111</v>
      </c>
      <c r="BR788" t="s">
        <v>111</v>
      </c>
      <c r="BS788" t="s">
        <v>111</v>
      </c>
      <c r="BT788" t="s">
        <v>111</v>
      </c>
      <c r="BU788" t="s">
        <v>111</v>
      </c>
      <c r="BV788" t="s">
        <v>111</v>
      </c>
      <c r="BW788" t="s">
        <v>111</v>
      </c>
      <c r="BX788" t="s">
        <v>111</v>
      </c>
      <c r="BY788" t="s">
        <v>111</v>
      </c>
      <c r="BZ788" t="s">
        <v>111</v>
      </c>
      <c r="CA788" t="s">
        <v>111</v>
      </c>
      <c r="CB788" t="s">
        <v>111</v>
      </c>
      <c r="CC788" t="s">
        <v>111</v>
      </c>
      <c r="CD788" t="s">
        <v>111</v>
      </c>
      <c r="CE788" t="s">
        <v>111</v>
      </c>
      <c r="CF788" t="s">
        <v>111</v>
      </c>
      <c r="CG788" t="s">
        <v>111</v>
      </c>
      <c r="CH788" t="s">
        <v>111</v>
      </c>
      <c r="CI788" t="s">
        <v>111</v>
      </c>
      <c r="CJ788" t="s">
        <v>111</v>
      </c>
      <c r="CK788" t="s">
        <v>111</v>
      </c>
      <c r="CL788" t="s">
        <v>111</v>
      </c>
      <c r="CM788" t="s">
        <v>111</v>
      </c>
      <c r="CN788" t="s">
        <v>111</v>
      </c>
      <c r="CO788" t="s">
        <v>111</v>
      </c>
      <c r="CP788" t="s">
        <v>111</v>
      </c>
      <c r="CQ788">
        <v>0</v>
      </c>
      <c r="CR788">
        <v>0</v>
      </c>
      <c r="CS788">
        <v>0</v>
      </c>
      <c r="CT788" t="s">
        <v>111</v>
      </c>
      <c r="CU788">
        <v>34</v>
      </c>
      <c r="CV788" t="e">
        <f>-CENTRADA</f>
        <v>#NAME?</v>
      </c>
      <c r="CW788" t="s">
        <v>111</v>
      </c>
      <c r="CX788">
        <v>-4</v>
      </c>
      <c r="CY788">
        <v>20</v>
      </c>
      <c r="CZ788" t="s">
        <v>117</v>
      </c>
      <c r="DA788" s="1" t="s">
        <v>2654</v>
      </c>
      <c r="DB788" t="s">
        <v>111</v>
      </c>
      <c r="DC788" t="s">
        <v>111</v>
      </c>
    </row>
    <row r="789" spans="1:107">
      <c r="A789">
        <v>1756</v>
      </c>
      <c r="B789" t="s">
        <v>107</v>
      </c>
      <c r="C789" t="s">
        <v>1367</v>
      </c>
      <c r="D789" t="s">
        <v>2655</v>
      </c>
      <c r="E789" t="s">
        <v>2656</v>
      </c>
      <c r="F789" t="s">
        <v>370</v>
      </c>
      <c r="G789" t="s">
        <v>427</v>
      </c>
      <c r="H789">
        <v>2.2000000000000002</v>
      </c>
      <c r="I789">
        <v>55</v>
      </c>
      <c r="J789">
        <v>0</v>
      </c>
      <c r="K789">
        <v>0</v>
      </c>
      <c r="L789" t="s">
        <v>112</v>
      </c>
      <c r="M789" t="s">
        <v>118</v>
      </c>
      <c r="N789">
        <v>39</v>
      </c>
      <c r="O789">
        <v>2</v>
      </c>
      <c r="P789" t="s">
        <v>138</v>
      </c>
      <c r="Q789">
        <v>40</v>
      </c>
      <c r="R789">
        <v>0</v>
      </c>
      <c r="S789">
        <v>0</v>
      </c>
      <c r="T789">
        <v>10</v>
      </c>
      <c r="U789" s="1" t="s">
        <v>2657</v>
      </c>
      <c r="V789">
        <v>25</v>
      </c>
      <c r="W789">
        <v>0</v>
      </c>
      <c r="X789">
        <v>8</v>
      </c>
      <c r="Y789">
        <v>0</v>
      </c>
      <c r="Z789" t="s">
        <v>288</v>
      </c>
      <c r="AA789">
        <v>15</v>
      </c>
      <c r="AB789" t="s">
        <v>111</v>
      </c>
      <c r="AC789">
        <v>0</v>
      </c>
      <c r="AD789" t="s">
        <v>427</v>
      </c>
      <c r="AE789">
        <v>0</v>
      </c>
      <c r="AF789">
        <v>0</v>
      </c>
      <c r="AG789" t="s">
        <v>111</v>
      </c>
      <c r="AH789" t="s">
        <v>113</v>
      </c>
      <c r="AI789" t="s">
        <v>111</v>
      </c>
      <c r="AJ789" t="s">
        <v>111</v>
      </c>
      <c r="AK789" t="s">
        <v>111</v>
      </c>
      <c r="AL789" t="s">
        <v>111</v>
      </c>
      <c r="AM789">
        <v>0</v>
      </c>
      <c r="AN789">
        <v>0</v>
      </c>
      <c r="AO789">
        <v>0</v>
      </c>
      <c r="AP789" t="s">
        <v>111</v>
      </c>
      <c r="AQ789" t="s">
        <v>111</v>
      </c>
      <c r="AR789" t="s">
        <v>111</v>
      </c>
      <c r="AS789" t="s">
        <v>111</v>
      </c>
      <c r="AT789" t="s">
        <v>111</v>
      </c>
      <c r="AU789" t="s">
        <v>111</v>
      </c>
      <c r="AV789" t="s">
        <v>111</v>
      </c>
      <c r="AW789" t="s">
        <v>111</v>
      </c>
      <c r="AX789" t="s">
        <v>111</v>
      </c>
      <c r="AY789" t="s">
        <v>111</v>
      </c>
      <c r="AZ789" t="s">
        <v>111</v>
      </c>
      <c r="BA789" t="s">
        <v>111</v>
      </c>
      <c r="BB789" t="s">
        <v>111</v>
      </c>
      <c r="BC789" t="s">
        <v>111</v>
      </c>
      <c r="BD789" t="s">
        <v>111</v>
      </c>
      <c r="BE789" t="s">
        <v>111</v>
      </c>
      <c r="BF789" t="s">
        <v>111</v>
      </c>
      <c r="BG789" t="s">
        <v>111</v>
      </c>
      <c r="BH789" t="s">
        <v>111</v>
      </c>
      <c r="BI789" t="s">
        <v>111</v>
      </c>
      <c r="BJ789" t="s">
        <v>111</v>
      </c>
      <c r="BK789" t="s">
        <v>111</v>
      </c>
      <c r="BL789" t="s">
        <v>111</v>
      </c>
      <c r="BM789" t="s">
        <v>111</v>
      </c>
      <c r="BN789" t="s">
        <v>111</v>
      </c>
      <c r="BO789" t="s">
        <v>111</v>
      </c>
      <c r="BP789" t="s">
        <v>111</v>
      </c>
      <c r="BQ789" t="s">
        <v>111</v>
      </c>
      <c r="BR789" t="s">
        <v>111</v>
      </c>
      <c r="BS789" t="s">
        <v>111</v>
      </c>
      <c r="BT789" t="s">
        <v>111</v>
      </c>
      <c r="BU789" t="s">
        <v>111</v>
      </c>
      <c r="BV789" t="s">
        <v>111</v>
      </c>
      <c r="BW789" t="s">
        <v>111</v>
      </c>
      <c r="BX789" t="s">
        <v>111</v>
      </c>
      <c r="BY789" t="s">
        <v>111</v>
      </c>
      <c r="BZ789" t="s">
        <v>111</v>
      </c>
      <c r="CA789" t="s">
        <v>111</v>
      </c>
      <c r="CB789" t="s">
        <v>111</v>
      </c>
      <c r="CC789" t="s">
        <v>111</v>
      </c>
      <c r="CD789" t="s">
        <v>111</v>
      </c>
      <c r="CE789" t="s">
        <v>111</v>
      </c>
      <c r="CF789" t="s">
        <v>111</v>
      </c>
      <c r="CG789" t="s">
        <v>111</v>
      </c>
      <c r="CH789" t="s">
        <v>111</v>
      </c>
      <c r="CI789" t="s">
        <v>111</v>
      </c>
      <c r="CJ789" t="s">
        <v>111</v>
      </c>
      <c r="CK789" t="s">
        <v>111</v>
      </c>
      <c r="CL789" t="s">
        <v>111</v>
      </c>
      <c r="CM789" t="s">
        <v>198</v>
      </c>
      <c r="CN789" t="s">
        <v>113</v>
      </c>
      <c r="CO789" t="s">
        <v>1371</v>
      </c>
      <c r="CP789" t="e">
        <f>-MUESTRA</f>
        <v>#NAME?</v>
      </c>
      <c r="CQ789">
        <v>0</v>
      </c>
      <c r="CR789">
        <v>600</v>
      </c>
      <c r="CS789">
        <v>50</v>
      </c>
      <c r="CT789" t="e">
        <f>-BIEN EMPACADO EN BOLSAS PARA TROQUELAR</f>
        <v>#NAME?</v>
      </c>
      <c r="CU789">
        <v>0</v>
      </c>
      <c r="CV789" t="s">
        <v>111</v>
      </c>
      <c r="CX789" t="s">
        <v>111</v>
      </c>
      <c r="CY789">
        <v>0</v>
      </c>
      <c r="CZ789" t="s">
        <v>111</v>
      </c>
      <c r="DA789" t="s">
        <v>111</v>
      </c>
      <c r="DB789" t="e">
        <f>-EXTERNO</f>
        <v>#NAME?</v>
      </c>
      <c r="DC789" t="s">
        <v>111</v>
      </c>
    </row>
    <row r="790" spans="1:107">
      <c r="A790">
        <v>1527</v>
      </c>
      <c r="B790" t="s">
        <v>107</v>
      </c>
      <c r="C790" t="s">
        <v>114</v>
      </c>
      <c r="D790" t="s">
        <v>476</v>
      </c>
      <c r="E790" t="s">
        <v>2658</v>
      </c>
      <c r="F790" t="s">
        <v>358</v>
      </c>
      <c r="G790" t="s">
        <v>427</v>
      </c>
      <c r="H790">
        <v>2.7</v>
      </c>
      <c r="I790">
        <v>71</v>
      </c>
      <c r="J790">
        <v>0</v>
      </c>
      <c r="K790">
        <v>0</v>
      </c>
      <c r="L790" t="s">
        <v>117</v>
      </c>
      <c r="M790" t="s">
        <v>118</v>
      </c>
      <c r="N790">
        <v>40</v>
      </c>
      <c r="O790">
        <v>1</v>
      </c>
      <c r="P790" t="s">
        <v>111</v>
      </c>
      <c r="Q790">
        <v>200</v>
      </c>
      <c r="R790">
        <v>0</v>
      </c>
      <c r="S790">
        <v>0</v>
      </c>
      <c r="T790">
        <v>5</v>
      </c>
      <c r="U790" t="e">
        <f>-IMPRESION DARMA</f>
        <v>#NAME?</v>
      </c>
      <c r="V790">
        <v>0</v>
      </c>
      <c r="W790">
        <v>25</v>
      </c>
      <c r="X790">
        <v>100</v>
      </c>
      <c r="Y790">
        <v>0</v>
      </c>
      <c r="Z790" t="s">
        <v>111</v>
      </c>
      <c r="AA790">
        <v>0</v>
      </c>
      <c r="AB790" t="s">
        <v>111</v>
      </c>
      <c r="AC790">
        <v>0</v>
      </c>
      <c r="AD790" t="s">
        <v>416</v>
      </c>
      <c r="AE790">
        <v>0</v>
      </c>
      <c r="AF790">
        <v>0</v>
      </c>
      <c r="AG790" t="s">
        <v>111</v>
      </c>
      <c r="AH790" t="s">
        <v>128</v>
      </c>
      <c r="AI790" t="s">
        <v>111</v>
      </c>
      <c r="AJ790" t="s">
        <v>111</v>
      </c>
      <c r="AK790" t="s">
        <v>111</v>
      </c>
      <c r="AL790" t="s">
        <v>111</v>
      </c>
      <c r="AM790">
        <v>0</v>
      </c>
      <c r="AN790">
        <v>0</v>
      </c>
      <c r="AO790">
        <v>0</v>
      </c>
      <c r="AP790" t="s">
        <v>111</v>
      </c>
      <c r="AQ790" t="s">
        <v>111</v>
      </c>
      <c r="AR790" t="s">
        <v>111</v>
      </c>
      <c r="AS790" t="s">
        <v>111</v>
      </c>
      <c r="AT790" t="s">
        <v>111</v>
      </c>
      <c r="AU790" t="s">
        <v>111</v>
      </c>
      <c r="AV790" t="s">
        <v>111</v>
      </c>
      <c r="AW790" t="s">
        <v>111</v>
      </c>
      <c r="AX790" t="s">
        <v>111</v>
      </c>
      <c r="AY790" t="s">
        <v>111</v>
      </c>
      <c r="AZ790" t="s">
        <v>111</v>
      </c>
      <c r="BA790" t="s">
        <v>111</v>
      </c>
      <c r="BB790" t="s">
        <v>111</v>
      </c>
      <c r="BC790" t="s">
        <v>111</v>
      </c>
      <c r="BD790" t="s">
        <v>111</v>
      </c>
      <c r="BE790" t="s">
        <v>111</v>
      </c>
      <c r="BF790" t="s">
        <v>111</v>
      </c>
      <c r="BG790" t="s">
        <v>111</v>
      </c>
      <c r="BH790" t="s">
        <v>111</v>
      </c>
      <c r="BI790" t="s">
        <v>111</v>
      </c>
      <c r="BJ790" t="s">
        <v>111</v>
      </c>
      <c r="BK790" t="s">
        <v>111</v>
      </c>
      <c r="BL790" t="s">
        <v>111</v>
      </c>
      <c r="BM790" t="s">
        <v>111</v>
      </c>
      <c r="BN790" t="s">
        <v>111</v>
      </c>
      <c r="BO790" t="s">
        <v>111</v>
      </c>
      <c r="BP790" t="s">
        <v>111</v>
      </c>
      <c r="BQ790" t="s">
        <v>111</v>
      </c>
      <c r="BR790" t="s">
        <v>111</v>
      </c>
      <c r="BS790" t="s">
        <v>111</v>
      </c>
      <c r="BT790" t="s">
        <v>111</v>
      </c>
      <c r="BU790" t="s">
        <v>111</v>
      </c>
      <c r="BV790" t="s">
        <v>111</v>
      </c>
      <c r="BW790" t="s">
        <v>111</v>
      </c>
      <c r="BX790" t="s">
        <v>111</v>
      </c>
      <c r="BY790" t="s">
        <v>111</v>
      </c>
      <c r="BZ790" t="s">
        <v>111</v>
      </c>
      <c r="CA790" t="s">
        <v>111</v>
      </c>
      <c r="CB790" t="s">
        <v>111</v>
      </c>
      <c r="CC790" t="s">
        <v>111</v>
      </c>
      <c r="CD790" t="s">
        <v>111</v>
      </c>
      <c r="CE790" t="s">
        <v>111</v>
      </c>
      <c r="CF790" t="s">
        <v>111</v>
      </c>
      <c r="CG790" t="s">
        <v>111</v>
      </c>
      <c r="CH790" t="s">
        <v>111</v>
      </c>
      <c r="CI790" t="s">
        <v>111</v>
      </c>
      <c r="CJ790" t="s">
        <v>111</v>
      </c>
      <c r="CK790" t="s">
        <v>111</v>
      </c>
      <c r="CL790" t="s">
        <v>111</v>
      </c>
      <c r="CM790" t="s">
        <v>111</v>
      </c>
      <c r="CN790" t="s">
        <v>111</v>
      </c>
      <c r="CO790" t="s">
        <v>111</v>
      </c>
      <c r="CP790" t="s">
        <v>111</v>
      </c>
      <c r="CQ790">
        <v>0</v>
      </c>
      <c r="CR790">
        <v>0</v>
      </c>
      <c r="CS790">
        <v>0</v>
      </c>
      <c r="CT790" t="s">
        <v>111</v>
      </c>
      <c r="CU790">
        <v>34</v>
      </c>
      <c r="CV790" t="e">
        <f>-CENTRADA</f>
        <v>#NAME?</v>
      </c>
      <c r="CW790" t="s">
        <v>111</v>
      </c>
      <c r="CX790">
        <v>-4</v>
      </c>
      <c r="CY790">
        <v>20</v>
      </c>
      <c r="CZ790" t="s">
        <v>117</v>
      </c>
      <c r="DA790" s="1" t="s">
        <v>2659</v>
      </c>
      <c r="DB790" t="s">
        <v>111</v>
      </c>
      <c r="DC790" t="s">
        <v>111</v>
      </c>
    </row>
    <row r="791" spans="1:107">
      <c r="A791">
        <v>1757</v>
      </c>
      <c r="B791" t="s">
        <v>107</v>
      </c>
      <c r="C791" t="s">
        <v>1367</v>
      </c>
      <c r="D791" t="s">
        <v>2660</v>
      </c>
      <c r="E791" t="s">
        <v>2661</v>
      </c>
      <c r="F791" t="s">
        <v>370</v>
      </c>
      <c r="G791" t="s">
        <v>427</v>
      </c>
      <c r="H791">
        <v>2.2000000000000002</v>
      </c>
      <c r="I791">
        <v>45</v>
      </c>
      <c r="J791">
        <v>0</v>
      </c>
      <c r="K791">
        <v>0</v>
      </c>
      <c r="L791" t="s">
        <v>112</v>
      </c>
      <c r="M791" t="s">
        <v>118</v>
      </c>
      <c r="N791">
        <v>39</v>
      </c>
      <c r="O791">
        <v>2</v>
      </c>
      <c r="P791" t="s">
        <v>138</v>
      </c>
      <c r="Q791">
        <v>40</v>
      </c>
      <c r="R791">
        <v>0</v>
      </c>
      <c r="S791">
        <v>0</v>
      </c>
      <c r="T791">
        <v>10</v>
      </c>
      <c r="U791" s="1" t="s">
        <v>2662</v>
      </c>
      <c r="V791">
        <v>25</v>
      </c>
      <c r="W791">
        <v>0</v>
      </c>
      <c r="X791">
        <v>8</v>
      </c>
      <c r="Y791">
        <v>0</v>
      </c>
      <c r="Z791" t="s">
        <v>288</v>
      </c>
      <c r="AA791">
        <v>15</v>
      </c>
      <c r="AB791" t="s">
        <v>111</v>
      </c>
      <c r="AC791">
        <v>0</v>
      </c>
      <c r="AD791" t="s">
        <v>427</v>
      </c>
      <c r="AE791">
        <v>0</v>
      </c>
      <c r="AF791">
        <v>0</v>
      </c>
      <c r="AG791" t="s">
        <v>111</v>
      </c>
      <c r="AH791" t="s">
        <v>111</v>
      </c>
      <c r="AI791" t="s">
        <v>111</v>
      </c>
      <c r="AJ791" t="s">
        <v>111</v>
      </c>
      <c r="AK791" t="s">
        <v>111</v>
      </c>
      <c r="AL791" t="s">
        <v>111</v>
      </c>
      <c r="AM791">
        <v>0</v>
      </c>
      <c r="AN791">
        <v>0</v>
      </c>
      <c r="AO791">
        <v>0</v>
      </c>
      <c r="AP791" t="s">
        <v>111</v>
      </c>
      <c r="AQ791" t="s">
        <v>111</v>
      </c>
      <c r="AR791" t="s">
        <v>111</v>
      </c>
      <c r="AS791" t="s">
        <v>111</v>
      </c>
      <c r="AT791" t="s">
        <v>111</v>
      </c>
      <c r="AU791" t="s">
        <v>111</v>
      </c>
      <c r="AV791" t="s">
        <v>111</v>
      </c>
      <c r="AW791" t="s">
        <v>111</v>
      </c>
      <c r="AX791" t="s">
        <v>111</v>
      </c>
      <c r="AY791" t="s">
        <v>111</v>
      </c>
      <c r="AZ791" t="s">
        <v>111</v>
      </c>
      <c r="BA791" t="s">
        <v>111</v>
      </c>
      <c r="BB791" t="s">
        <v>111</v>
      </c>
      <c r="BC791" t="s">
        <v>111</v>
      </c>
      <c r="BD791" t="s">
        <v>111</v>
      </c>
      <c r="BE791" t="s">
        <v>111</v>
      </c>
      <c r="BF791" t="s">
        <v>111</v>
      </c>
      <c r="BG791" t="s">
        <v>111</v>
      </c>
      <c r="BH791" t="s">
        <v>111</v>
      </c>
      <c r="BI791" t="s">
        <v>111</v>
      </c>
      <c r="BJ791" t="s">
        <v>111</v>
      </c>
      <c r="BK791" t="s">
        <v>111</v>
      </c>
      <c r="BL791" t="s">
        <v>111</v>
      </c>
      <c r="BM791" t="s">
        <v>111</v>
      </c>
      <c r="BN791" t="s">
        <v>111</v>
      </c>
      <c r="BO791" t="s">
        <v>111</v>
      </c>
      <c r="BP791" t="s">
        <v>111</v>
      </c>
      <c r="BQ791" t="s">
        <v>111</v>
      </c>
      <c r="BR791" t="s">
        <v>111</v>
      </c>
      <c r="BS791" t="s">
        <v>111</v>
      </c>
      <c r="BT791" t="s">
        <v>111</v>
      </c>
      <c r="BU791" t="s">
        <v>111</v>
      </c>
      <c r="BV791" t="s">
        <v>111</v>
      </c>
      <c r="BW791" t="s">
        <v>111</v>
      </c>
      <c r="BX791" t="s">
        <v>111</v>
      </c>
      <c r="BY791" t="s">
        <v>111</v>
      </c>
      <c r="BZ791" t="s">
        <v>111</v>
      </c>
      <c r="CA791" t="s">
        <v>111</v>
      </c>
      <c r="CB791" t="s">
        <v>111</v>
      </c>
      <c r="CC791" t="s">
        <v>111</v>
      </c>
      <c r="CD791" t="s">
        <v>111</v>
      </c>
      <c r="CE791" t="s">
        <v>111</v>
      </c>
      <c r="CF791" t="s">
        <v>111</v>
      </c>
      <c r="CG791" t="s">
        <v>111</v>
      </c>
      <c r="CH791" t="s">
        <v>111</v>
      </c>
      <c r="CI791" t="s">
        <v>111</v>
      </c>
      <c r="CJ791" t="s">
        <v>111</v>
      </c>
      <c r="CK791" t="s">
        <v>111</v>
      </c>
      <c r="CL791" t="s">
        <v>111</v>
      </c>
      <c r="CM791" t="s">
        <v>198</v>
      </c>
      <c r="CN791" t="s">
        <v>113</v>
      </c>
      <c r="CO791" t="s">
        <v>1371</v>
      </c>
      <c r="CP791" t="e">
        <f>-MUESTRA</f>
        <v>#NAME?</v>
      </c>
      <c r="CQ791">
        <v>40</v>
      </c>
      <c r="CR791">
        <v>50</v>
      </c>
      <c r="CS791">
        <v>50</v>
      </c>
      <c r="CT791" t="e">
        <f>-BIEN EMPACADOS EN BOLSAS PARA TROQUELAR</f>
        <v>#NAME?</v>
      </c>
      <c r="CU791">
        <v>0</v>
      </c>
      <c r="CV791" t="s">
        <v>111</v>
      </c>
      <c r="CX791" t="s">
        <v>111</v>
      </c>
      <c r="CY791">
        <v>0</v>
      </c>
      <c r="CZ791" t="s">
        <v>111</v>
      </c>
      <c r="DA791" t="s">
        <v>111</v>
      </c>
      <c r="DB791" t="e">
        <f>-EXTERNO</f>
        <v>#NAME?</v>
      </c>
      <c r="DC791" t="s">
        <v>111</v>
      </c>
    </row>
    <row r="792" spans="1:107">
      <c r="A792">
        <v>1108</v>
      </c>
      <c r="B792" t="s">
        <v>107</v>
      </c>
      <c r="C792" t="s">
        <v>114</v>
      </c>
      <c r="D792" t="s">
        <v>2663</v>
      </c>
      <c r="E792" t="s">
        <v>2664</v>
      </c>
      <c r="F792" t="s">
        <v>2665</v>
      </c>
      <c r="G792" t="s">
        <v>427</v>
      </c>
      <c r="H792">
        <v>2.7</v>
      </c>
      <c r="I792">
        <v>34</v>
      </c>
      <c r="J792">
        <v>0</v>
      </c>
      <c r="K792">
        <v>0</v>
      </c>
      <c r="L792" t="s">
        <v>117</v>
      </c>
      <c r="M792" t="s">
        <v>118</v>
      </c>
      <c r="N792">
        <v>40</v>
      </c>
      <c r="O792">
        <v>1</v>
      </c>
      <c r="P792" t="s">
        <v>138</v>
      </c>
      <c r="Q792">
        <v>20</v>
      </c>
      <c r="R792">
        <v>0</v>
      </c>
      <c r="S792">
        <v>0</v>
      </c>
      <c r="T792">
        <v>5</v>
      </c>
      <c r="U792" t="s">
        <v>2666</v>
      </c>
      <c r="V792">
        <v>0</v>
      </c>
      <c r="W792">
        <v>0</v>
      </c>
      <c r="X792">
        <v>1</v>
      </c>
      <c r="Y792">
        <v>0</v>
      </c>
      <c r="Z792" t="s">
        <v>111</v>
      </c>
      <c r="AA792">
        <v>0</v>
      </c>
      <c r="AB792" t="s">
        <v>111</v>
      </c>
      <c r="AC792">
        <v>0</v>
      </c>
      <c r="AD792" t="s">
        <v>427</v>
      </c>
      <c r="AE792">
        <v>0</v>
      </c>
      <c r="AF792">
        <v>0</v>
      </c>
      <c r="AG792" t="s">
        <v>111</v>
      </c>
      <c r="AH792" t="s">
        <v>111</v>
      </c>
      <c r="AI792" t="s">
        <v>111</v>
      </c>
      <c r="AJ792" t="s">
        <v>111</v>
      </c>
      <c r="AK792" t="s">
        <v>111</v>
      </c>
      <c r="AL792" t="s">
        <v>111</v>
      </c>
      <c r="AM792">
        <v>0</v>
      </c>
      <c r="AN792">
        <v>0</v>
      </c>
      <c r="AO792">
        <v>0</v>
      </c>
      <c r="AP792" t="s">
        <v>111</v>
      </c>
      <c r="AQ792" t="s">
        <v>111</v>
      </c>
      <c r="AR792" t="s">
        <v>111</v>
      </c>
      <c r="AS792" t="s">
        <v>111</v>
      </c>
      <c r="AT792" t="s">
        <v>111</v>
      </c>
      <c r="AU792" t="s">
        <v>111</v>
      </c>
      <c r="AV792" t="s">
        <v>111</v>
      </c>
      <c r="AW792" t="s">
        <v>111</v>
      </c>
      <c r="AX792" t="s">
        <v>111</v>
      </c>
      <c r="AY792" t="s">
        <v>111</v>
      </c>
      <c r="AZ792" t="s">
        <v>111</v>
      </c>
      <c r="BA792" t="s">
        <v>111</v>
      </c>
      <c r="BB792" t="s">
        <v>111</v>
      </c>
      <c r="BC792" t="s">
        <v>111</v>
      </c>
      <c r="BD792" t="s">
        <v>111</v>
      </c>
      <c r="BE792" t="s">
        <v>111</v>
      </c>
      <c r="BF792" t="s">
        <v>111</v>
      </c>
      <c r="BG792" t="s">
        <v>111</v>
      </c>
      <c r="BH792" t="s">
        <v>111</v>
      </c>
      <c r="BI792" t="s">
        <v>111</v>
      </c>
      <c r="BJ792" t="s">
        <v>111</v>
      </c>
      <c r="BK792" t="s">
        <v>111</v>
      </c>
      <c r="BL792" t="s">
        <v>111</v>
      </c>
      <c r="BM792" t="s">
        <v>111</v>
      </c>
      <c r="BN792" t="s">
        <v>111</v>
      </c>
      <c r="BO792" t="s">
        <v>111</v>
      </c>
      <c r="BP792" t="s">
        <v>111</v>
      </c>
      <c r="BQ792" t="s">
        <v>111</v>
      </c>
      <c r="BR792" t="s">
        <v>111</v>
      </c>
      <c r="BS792" t="s">
        <v>111</v>
      </c>
      <c r="BT792" t="s">
        <v>111</v>
      </c>
      <c r="BU792" t="s">
        <v>111</v>
      </c>
      <c r="BV792" t="s">
        <v>111</v>
      </c>
      <c r="BW792" t="s">
        <v>111</v>
      </c>
      <c r="BX792" t="s">
        <v>111</v>
      </c>
      <c r="BY792" t="s">
        <v>111</v>
      </c>
      <c r="BZ792" t="s">
        <v>111</v>
      </c>
      <c r="CA792" t="s">
        <v>111</v>
      </c>
      <c r="CB792" t="s">
        <v>111</v>
      </c>
      <c r="CC792" t="s">
        <v>111</v>
      </c>
      <c r="CD792" t="s">
        <v>111</v>
      </c>
      <c r="CE792" t="s">
        <v>111</v>
      </c>
      <c r="CF792" t="s">
        <v>111</v>
      </c>
      <c r="CG792" t="s">
        <v>111</v>
      </c>
      <c r="CH792" t="s">
        <v>111</v>
      </c>
      <c r="CI792" t="s">
        <v>111</v>
      </c>
      <c r="CJ792" t="s">
        <v>111</v>
      </c>
      <c r="CK792" t="s">
        <v>111</v>
      </c>
      <c r="CL792" t="e">
        <f>-DESTINO ALACEN</f>
        <v>#NAME?</v>
      </c>
      <c r="CM792" t="s">
        <v>111</v>
      </c>
      <c r="CN792" t="s">
        <v>111</v>
      </c>
      <c r="CO792" t="s">
        <v>111</v>
      </c>
      <c r="CP792" t="s">
        <v>111</v>
      </c>
      <c r="CQ792">
        <v>0</v>
      </c>
      <c r="CR792">
        <v>0</v>
      </c>
      <c r="CS792">
        <v>0</v>
      </c>
      <c r="CT792" t="s">
        <v>111</v>
      </c>
      <c r="CU792">
        <v>0</v>
      </c>
      <c r="CV792" t="s">
        <v>111</v>
      </c>
      <c r="CW792" t="s">
        <v>111</v>
      </c>
      <c r="CX792" t="s">
        <v>111</v>
      </c>
      <c r="CY792">
        <v>0</v>
      </c>
      <c r="CZ792" t="s">
        <v>111</v>
      </c>
      <c r="DA792" t="s">
        <v>111</v>
      </c>
      <c r="DB792" t="s">
        <v>111</v>
      </c>
      <c r="DC792" t="s">
        <v>111</v>
      </c>
    </row>
    <row r="793" spans="1:107">
      <c r="A793">
        <v>1504</v>
      </c>
      <c r="B793" t="s">
        <v>107</v>
      </c>
      <c r="C793" t="s">
        <v>114</v>
      </c>
      <c r="D793" t="s">
        <v>480</v>
      </c>
      <c r="E793" t="s">
        <v>2667</v>
      </c>
      <c r="F793" t="s">
        <v>358</v>
      </c>
      <c r="G793" t="s">
        <v>427</v>
      </c>
      <c r="H793">
        <v>2.7</v>
      </c>
      <c r="I793">
        <v>65</v>
      </c>
      <c r="J793">
        <v>0</v>
      </c>
      <c r="K793">
        <v>0</v>
      </c>
      <c r="L793" t="s">
        <v>117</v>
      </c>
      <c r="M793" t="s">
        <v>118</v>
      </c>
      <c r="N793">
        <v>40</v>
      </c>
      <c r="O793">
        <v>1</v>
      </c>
      <c r="P793" t="s">
        <v>111</v>
      </c>
      <c r="Q793">
        <v>50</v>
      </c>
      <c r="R793">
        <v>0</v>
      </c>
      <c r="S793">
        <v>0</v>
      </c>
      <c r="T793">
        <v>5</v>
      </c>
      <c r="U793" t="e">
        <f>-IMPRESION DARMA</f>
        <v>#NAME?</v>
      </c>
      <c r="V793">
        <v>0</v>
      </c>
      <c r="W793">
        <v>25</v>
      </c>
      <c r="X793">
        <v>8</v>
      </c>
      <c r="Y793">
        <v>0</v>
      </c>
      <c r="Z793" t="s">
        <v>111</v>
      </c>
      <c r="AA793">
        <v>0</v>
      </c>
      <c r="AB793" t="s">
        <v>111</v>
      </c>
      <c r="AC793">
        <v>0</v>
      </c>
      <c r="AD793" t="s">
        <v>416</v>
      </c>
      <c r="AE793">
        <v>0</v>
      </c>
      <c r="AF793">
        <v>0</v>
      </c>
      <c r="AG793" t="s">
        <v>111</v>
      </c>
      <c r="AH793" t="s">
        <v>128</v>
      </c>
      <c r="AI793" t="s">
        <v>111</v>
      </c>
      <c r="AJ793" t="s">
        <v>111</v>
      </c>
      <c r="AK793" t="s">
        <v>111</v>
      </c>
      <c r="AL793" t="s">
        <v>111</v>
      </c>
      <c r="AM793">
        <v>0</v>
      </c>
      <c r="AN793">
        <v>0</v>
      </c>
      <c r="AO793">
        <v>0</v>
      </c>
      <c r="AP793" t="s">
        <v>111</v>
      </c>
      <c r="AQ793" t="s">
        <v>111</v>
      </c>
      <c r="AR793" t="s">
        <v>111</v>
      </c>
      <c r="AS793" t="s">
        <v>111</v>
      </c>
      <c r="AT793" t="s">
        <v>111</v>
      </c>
      <c r="AU793" t="s">
        <v>111</v>
      </c>
      <c r="AV793" t="s">
        <v>111</v>
      </c>
      <c r="AW793" t="s">
        <v>111</v>
      </c>
      <c r="AX793" t="s">
        <v>111</v>
      </c>
      <c r="AY793" t="s">
        <v>111</v>
      </c>
      <c r="AZ793" t="s">
        <v>111</v>
      </c>
      <c r="BA793" t="s">
        <v>111</v>
      </c>
      <c r="BB793" t="s">
        <v>111</v>
      </c>
      <c r="BC793" t="s">
        <v>111</v>
      </c>
      <c r="BD793" t="s">
        <v>111</v>
      </c>
      <c r="BE793" t="s">
        <v>111</v>
      </c>
      <c r="BF793" t="s">
        <v>111</v>
      </c>
      <c r="BG793" t="s">
        <v>111</v>
      </c>
      <c r="BH793" t="s">
        <v>111</v>
      </c>
      <c r="BI793" t="s">
        <v>111</v>
      </c>
      <c r="BJ793" t="s">
        <v>111</v>
      </c>
      <c r="BK793" t="s">
        <v>111</v>
      </c>
      <c r="BL793" t="s">
        <v>111</v>
      </c>
      <c r="BM793" t="s">
        <v>111</v>
      </c>
      <c r="BN793" t="s">
        <v>111</v>
      </c>
      <c r="BO793" t="s">
        <v>111</v>
      </c>
      <c r="BP793" t="s">
        <v>111</v>
      </c>
      <c r="BQ793" t="s">
        <v>111</v>
      </c>
      <c r="BR793" t="s">
        <v>111</v>
      </c>
      <c r="BS793" t="s">
        <v>111</v>
      </c>
      <c r="BT793" t="s">
        <v>111</v>
      </c>
      <c r="BU793" t="s">
        <v>111</v>
      </c>
      <c r="BV793" t="s">
        <v>111</v>
      </c>
      <c r="BW793" t="s">
        <v>111</v>
      </c>
      <c r="BX793" t="s">
        <v>111</v>
      </c>
      <c r="BY793" t="s">
        <v>111</v>
      </c>
      <c r="BZ793" t="s">
        <v>111</v>
      </c>
      <c r="CA793" t="s">
        <v>111</v>
      </c>
      <c r="CB793" t="s">
        <v>111</v>
      </c>
      <c r="CC793" t="s">
        <v>111</v>
      </c>
      <c r="CD793" t="s">
        <v>111</v>
      </c>
      <c r="CE793" t="s">
        <v>111</v>
      </c>
      <c r="CF793" t="s">
        <v>111</v>
      </c>
      <c r="CG793" t="s">
        <v>111</v>
      </c>
      <c r="CH793" t="s">
        <v>111</v>
      </c>
      <c r="CI793" t="s">
        <v>111</v>
      </c>
      <c r="CJ793" t="s">
        <v>111</v>
      </c>
      <c r="CK793" t="s">
        <v>111</v>
      </c>
      <c r="CL793" t="s">
        <v>111</v>
      </c>
      <c r="CM793" t="s">
        <v>111</v>
      </c>
      <c r="CN793" t="s">
        <v>111</v>
      </c>
      <c r="CO793" t="s">
        <v>111</v>
      </c>
      <c r="CP793" t="s">
        <v>111</v>
      </c>
      <c r="CQ793">
        <v>0</v>
      </c>
      <c r="CR793">
        <v>0</v>
      </c>
      <c r="CS793">
        <v>0</v>
      </c>
      <c r="CT793" t="s">
        <v>111</v>
      </c>
      <c r="CU793">
        <v>15.5</v>
      </c>
      <c r="CV793" t="s">
        <v>2668</v>
      </c>
      <c r="CW793" t="s">
        <v>2669</v>
      </c>
      <c r="CX793">
        <v>-2</v>
      </c>
      <c r="CY793">
        <v>13</v>
      </c>
      <c r="CZ793" t="s">
        <v>117</v>
      </c>
      <c r="DA793" s="1" t="s">
        <v>2670</v>
      </c>
      <c r="DB793" t="s">
        <v>111</v>
      </c>
      <c r="DC793" t="s">
        <v>111</v>
      </c>
    </row>
    <row r="794" spans="1:107">
      <c r="A794">
        <v>1106</v>
      </c>
      <c r="B794" t="s">
        <v>107</v>
      </c>
      <c r="C794" t="s">
        <v>114</v>
      </c>
      <c r="D794" t="s">
        <v>2671</v>
      </c>
      <c r="E794" t="s">
        <v>2672</v>
      </c>
      <c r="F794" t="s">
        <v>2665</v>
      </c>
      <c r="G794" t="s">
        <v>427</v>
      </c>
      <c r="H794">
        <v>2.7</v>
      </c>
      <c r="I794">
        <v>34</v>
      </c>
      <c r="J794">
        <v>0</v>
      </c>
      <c r="K794">
        <v>0</v>
      </c>
      <c r="L794" t="s">
        <v>117</v>
      </c>
      <c r="M794" t="s">
        <v>118</v>
      </c>
      <c r="N794">
        <v>0</v>
      </c>
      <c r="O794">
        <v>1</v>
      </c>
      <c r="P794">
        <v>39</v>
      </c>
      <c r="Q794">
        <v>20</v>
      </c>
      <c r="R794">
        <v>0</v>
      </c>
      <c r="S794">
        <v>0</v>
      </c>
      <c r="T794">
        <v>5</v>
      </c>
      <c r="U794" t="s">
        <v>2673</v>
      </c>
      <c r="V794">
        <v>0</v>
      </c>
      <c r="W794">
        <v>0</v>
      </c>
      <c r="X794">
        <v>1</v>
      </c>
      <c r="Y794">
        <v>0</v>
      </c>
      <c r="Z794" t="s">
        <v>111</v>
      </c>
      <c r="AA794">
        <v>0</v>
      </c>
      <c r="AB794" t="s">
        <v>111</v>
      </c>
      <c r="AC794">
        <v>0</v>
      </c>
      <c r="AD794" t="s">
        <v>427</v>
      </c>
      <c r="AE794">
        <v>0</v>
      </c>
      <c r="AF794">
        <v>0</v>
      </c>
      <c r="AG794" t="s">
        <v>111</v>
      </c>
      <c r="AH794" t="s">
        <v>111</v>
      </c>
      <c r="AI794" t="s">
        <v>111</v>
      </c>
      <c r="AJ794" t="s">
        <v>111</v>
      </c>
      <c r="AK794" t="s">
        <v>111</v>
      </c>
      <c r="AL794" t="s">
        <v>111</v>
      </c>
      <c r="AM794">
        <v>0</v>
      </c>
      <c r="AN794">
        <v>0</v>
      </c>
      <c r="AO794">
        <v>0</v>
      </c>
      <c r="AP794" t="s">
        <v>111</v>
      </c>
      <c r="AQ794" t="s">
        <v>111</v>
      </c>
      <c r="AR794" t="s">
        <v>111</v>
      </c>
      <c r="AS794" t="s">
        <v>111</v>
      </c>
      <c r="AT794" t="s">
        <v>111</v>
      </c>
      <c r="AU794" t="s">
        <v>111</v>
      </c>
      <c r="AV794" t="s">
        <v>111</v>
      </c>
      <c r="AW794" t="s">
        <v>111</v>
      </c>
      <c r="AX794" t="s">
        <v>111</v>
      </c>
      <c r="AY794" t="s">
        <v>111</v>
      </c>
      <c r="AZ794" t="s">
        <v>111</v>
      </c>
      <c r="BA794" t="s">
        <v>111</v>
      </c>
      <c r="BB794" t="s">
        <v>111</v>
      </c>
      <c r="BC794" t="s">
        <v>111</v>
      </c>
      <c r="BD794" t="s">
        <v>111</v>
      </c>
      <c r="BE794" t="s">
        <v>111</v>
      </c>
      <c r="BF794" t="s">
        <v>111</v>
      </c>
      <c r="BG794" t="s">
        <v>111</v>
      </c>
      <c r="BH794" t="s">
        <v>111</v>
      </c>
      <c r="BI794" t="s">
        <v>111</v>
      </c>
      <c r="BJ794" t="s">
        <v>111</v>
      </c>
      <c r="BK794" t="s">
        <v>111</v>
      </c>
      <c r="BL794" t="s">
        <v>111</v>
      </c>
      <c r="BM794" t="s">
        <v>111</v>
      </c>
      <c r="BN794" t="s">
        <v>111</v>
      </c>
      <c r="BO794" t="s">
        <v>111</v>
      </c>
      <c r="BP794" t="s">
        <v>111</v>
      </c>
      <c r="BQ794" t="s">
        <v>111</v>
      </c>
      <c r="BR794" t="s">
        <v>111</v>
      </c>
      <c r="BS794" t="s">
        <v>111</v>
      </c>
      <c r="BT794" t="s">
        <v>111</v>
      </c>
      <c r="BU794" t="s">
        <v>111</v>
      </c>
      <c r="BV794" t="s">
        <v>111</v>
      </c>
      <c r="BW794" t="s">
        <v>111</v>
      </c>
      <c r="BX794" t="s">
        <v>111</v>
      </c>
      <c r="BY794" t="s">
        <v>111</v>
      </c>
      <c r="BZ794" t="s">
        <v>111</v>
      </c>
      <c r="CA794" t="s">
        <v>111</v>
      </c>
      <c r="CB794" t="s">
        <v>111</v>
      </c>
      <c r="CC794" t="s">
        <v>111</v>
      </c>
      <c r="CD794" t="s">
        <v>111</v>
      </c>
      <c r="CE794" t="s">
        <v>111</v>
      </c>
      <c r="CF794" t="s">
        <v>111</v>
      </c>
      <c r="CG794" t="s">
        <v>111</v>
      </c>
      <c r="CH794" t="s">
        <v>111</v>
      </c>
      <c r="CI794" t="s">
        <v>111</v>
      </c>
      <c r="CJ794" t="s">
        <v>111</v>
      </c>
      <c r="CK794" t="s">
        <v>111</v>
      </c>
      <c r="CL794" t="e">
        <f>-DESTINO ALMACEN</f>
        <v>#NAME?</v>
      </c>
      <c r="CM794" t="s">
        <v>111</v>
      </c>
      <c r="CN794" t="s">
        <v>111</v>
      </c>
      <c r="CO794" t="s">
        <v>111</v>
      </c>
      <c r="CP794" t="s">
        <v>111</v>
      </c>
      <c r="CQ794">
        <v>0</v>
      </c>
      <c r="CR794">
        <v>0</v>
      </c>
      <c r="CS794">
        <v>0</v>
      </c>
      <c r="CT794" t="s">
        <v>111</v>
      </c>
      <c r="CU794">
        <v>0</v>
      </c>
      <c r="CV794" t="s">
        <v>111</v>
      </c>
      <c r="CW794" t="s">
        <v>111</v>
      </c>
      <c r="CX794" t="s">
        <v>111</v>
      </c>
      <c r="CY794">
        <v>0</v>
      </c>
      <c r="CZ794" t="s">
        <v>111</v>
      </c>
      <c r="DA794" t="s">
        <v>111</v>
      </c>
      <c r="DB794" t="s">
        <v>111</v>
      </c>
      <c r="DC794" t="s">
        <v>111</v>
      </c>
    </row>
    <row r="795" spans="1:107">
      <c r="A795">
        <v>1107</v>
      </c>
      <c r="B795" t="s">
        <v>107</v>
      </c>
      <c r="C795" t="s">
        <v>114</v>
      </c>
      <c r="D795" t="s">
        <v>2674</v>
      </c>
      <c r="E795" t="s">
        <v>2675</v>
      </c>
      <c r="F795" t="s">
        <v>2665</v>
      </c>
      <c r="G795" t="s">
        <v>427</v>
      </c>
      <c r="H795">
        <v>2.7</v>
      </c>
      <c r="I795">
        <v>18</v>
      </c>
      <c r="J795">
        <v>0</v>
      </c>
      <c r="K795">
        <v>0</v>
      </c>
      <c r="L795" t="s">
        <v>117</v>
      </c>
      <c r="M795" t="s">
        <v>118</v>
      </c>
      <c r="N795">
        <v>0</v>
      </c>
      <c r="O795">
        <v>0</v>
      </c>
      <c r="P795" t="s">
        <v>111</v>
      </c>
      <c r="Q795">
        <v>20</v>
      </c>
      <c r="R795">
        <v>0</v>
      </c>
      <c r="S795">
        <v>0</v>
      </c>
      <c r="T795">
        <v>5</v>
      </c>
      <c r="U795" t="s">
        <v>2666</v>
      </c>
      <c r="V795">
        <v>0</v>
      </c>
      <c r="W795">
        <v>0</v>
      </c>
      <c r="X795">
        <v>10</v>
      </c>
      <c r="Y795">
        <v>0</v>
      </c>
      <c r="Z795" t="s">
        <v>111</v>
      </c>
      <c r="AA795">
        <v>0</v>
      </c>
      <c r="AB795" t="s">
        <v>111</v>
      </c>
      <c r="AC795">
        <v>0</v>
      </c>
      <c r="AD795" t="s">
        <v>427</v>
      </c>
      <c r="AE795">
        <v>0</v>
      </c>
      <c r="AF795">
        <v>0</v>
      </c>
      <c r="AG795" t="s">
        <v>111</v>
      </c>
      <c r="AH795" t="s">
        <v>111</v>
      </c>
      <c r="AI795" t="s">
        <v>111</v>
      </c>
      <c r="AJ795" t="s">
        <v>111</v>
      </c>
      <c r="AK795" t="s">
        <v>111</v>
      </c>
      <c r="AL795" t="s">
        <v>111</v>
      </c>
      <c r="AM795">
        <v>0</v>
      </c>
      <c r="AN795">
        <v>0</v>
      </c>
      <c r="AO795">
        <v>0</v>
      </c>
      <c r="AP795" t="s">
        <v>111</v>
      </c>
      <c r="AQ795" t="s">
        <v>111</v>
      </c>
      <c r="AR795" t="s">
        <v>111</v>
      </c>
      <c r="AS795" t="s">
        <v>111</v>
      </c>
      <c r="AT795" t="s">
        <v>111</v>
      </c>
      <c r="AU795" t="s">
        <v>111</v>
      </c>
      <c r="AV795" t="s">
        <v>111</v>
      </c>
      <c r="AW795" t="s">
        <v>111</v>
      </c>
      <c r="AX795" t="s">
        <v>111</v>
      </c>
      <c r="AY795" t="s">
        <v>111</v>
      </c>
      <c r="AZ795" t="s">
        <v>111</v>
      </c>
      <c r="BA795" t="s">
        <v>111</v>
      </c>
      <c r="BB795" t="s">
        <v>111</v>
      </c>
      <c r="BC795" t="s">
        <v>111</v>
      </c>
      <c r="BD795" t="s">
        <v>111</v>
      </c>
      <c r="BE795" t="s">
        <v>111</v>
      </c>
      <c r="BF795" t="s">
        <v>111</v>
      </c>
      <c r="BG795" t="s">
        <v>111</v>
      </c>
      <c r="BH795" t="s">
        <v>111</v>
      </c>
      <c r="BI795" t="s">
        <v>111</v>
      </c>
      <c r="BJ795" t="s">
        <v>111</v>
      </c>
      <c r="BK795" t="s">
        <v>111</v>
      </c>
      <c r="BL795" t="s">
        <v>111</v>
      </c>
      <c r="BM795" t="s">
        <v>111</v>
      </c>
      <c r="BN795" t="s">
        <v>111</v>
      </c>
      <c r="BO795" t="s">
        <v>111</v>
      </c>
      <c r="BP795" t="s">
        <v>111</v>
      </c>
      <c r="BQ795" t="s">
        <v>111</v>
      </c>
      <c r="BR795" t="s">
        <v>111</v>
      </c>
      <c r="BS795" t="s">
        <v>111</v>
      </c>
      <c r="BT795" t="s">
        <v>111</v>
      </c>
      <c r="BU795" t="s">
        <v>111</v>
      </c>
      <c r="BV795" t="s">
        <v>111</v>
      </c>
      <c r="BW795" t="s">
        <v>111</v>
      </c>
      <c r="BX795" t="s">
        <v>111</v>
      </c>
      <c r="BY795" t="s">
        <v>111</v>
      </c>
      <c r="BZ795" t="s">
        <v>111</v>
      </c>
      <c r="CA795" t="s">
        <v>111</v>
      </c>
      <c r="CB795" t="s">
        <v>111</v>
      </c>
      <c r="CC795" t="s">
        <v>111</v>
      </c>
      <c r="CD795" t="s">
        <v>111</v>
      </c>
      <c r="CE795" t="s">
        <v>111</v>
      </c>
      <c r="CF795" t="s">
        <v>111</v>
      </c>
      <c r="CG795" t="s">
        <v>111</v>
      </c>
      <c r="CH795" t="s">
        <v>111</v>
      </c>
      <c r="CI795" t="s">
        <v>111</v>
      </c>
      <c r="CJ795" t="s">
        <v>111</v>
      </c>
      <c r="CK795" t="s">
        <v>111</v>
      </c>
      <c r="CL795" t="e">
        <f>-DESTINO ALMACEN</f>
        <v>#NAME?</v>
      </c>
      <c r="CM795" t="s">
        <v>111</v>
      </c>
      <c r="CN795" t="s">
        <v>111</v>
      </c>
      <c r="CO795" t="s">
        <v>111</v>
      </c>
      <c r="CP795" t="s">
        <v>111</v>
      </c>
      <c r="CQ795">
        <v>0</v>
      </c>
      <c r="CR795">
        <v>0</v>
      </c>
      <c r="CS795">
        <v>0</v>
      </c>
      <c r="CT795" t="s">
        <v>111</v>
      </c>
      <c r="CU795">
        <v>0</v>
      </c>
      <c r="CV795" t="s">
        <v>111</v>
      </c>
      <c r="CW795" t="s">
        <v>111</v>
      </c>
      <c r="CX795" t="s">
        <v>111</v>
      </c>
      <c r="CY795">
        <v>0</v>
      </c>
      <c r="CZ795" t="s">
        <v>111</v>
      </c>
      <c r="DA795" t="s">
        <v>111</v>
      </c>
      <c r="DB795" t="s">
        <v>111</v>
      </c>
      <c r="DC795" t="s">
        <v>111</v>
      </c>
    </row>
    <row r="796" spans="1:107">
      <c r="A796">
        <v>1453</v>
      </c>
      <c r="B796" t="s">
        <v>107</v>
      </c>
      <c r="C796" t="s">
        <v>114</v>
      </c>
      <c r="D796" t="s">
        <v>476</v>
      </c>
      <c r="E796" t="s">
        <v>2676</v>
      </c>
      <c r="F796" t="s">
        <v>358</v>
      </c>
      <c r="G796" t="s">
        <v>427</v>
      </c>
      <c r="H796">
        <v>2.7</v>
      </c>
      <c r="I796">
        <v>34</v>
      </c>
      <c r="J796">
        <v>0</v>
      </c>
      <c r="K796">
        <v>0</v>
      </c>
      <c r="L796" t="s">
        <v>117</v>
      </c>
      <c r="M796" t="s">
        <v>118</v>
      </c>
      <c r="N796">
        <v>40</v>
      </c>
      <c r="O796">
        <v>2</v>
      </c>
      <c r="P796" t="s">
        <v>111</v>
      </c>
      <c r="Q796">
        <v>400</v>
      </c>
      <c r="R796">
        <v>0</v>
      </c>
      <c r="S796">
        <v>0</v>
      </c>
      <c r="T796">
        <v>0</v>
      </c>
      <c r="U796" t="e">
        <f>-DARMA</f>
        <v>#NAME?</v>
      </c>
      <c r="V796">
        <v>0</v>
      </c>
      <c r="W796">
        <v>25</v>
      </c>
      <c r="X796">
        <v>10</v>
      </c>
      <c r="Y796">
        <v>0</v>
      </c>
      <c r="Z796" t="s">
        <v>111</v>
      </c>
      <c r="AA796">
        <v>0</v>
      </c>
      <c r="AB796" t="s">
        <v>111</v>
      </c>
      <c r="AC796">
        <v>0</v>
      </c>
      <c r="AD796" t="s">
        <v>416</v>
      </c>
      <c r="AE796">
        <v>0</v>
      </c>
      <c r="AF796">
        <v>0</v>
      </c>
      <c r="AG796" t="s">
        <v>111</v>
      </c>
      <c r="AH796" t="s">
        <v>111</v>
      </c>
      <c r="AI796" t="s">
        <v>111</v>
      </c>
      <c r="AJ796" t="s">
        <v>111</v>
      </c>
      <c r="AK796" t="s">
        <v>111</v>
      </c>
      <c r="AL796" t="s">
        <v>111</v>
      </c>
      <c r="AM796">
        <v>0</v>
      </c>
      <c r="AN796">
        <v>0</v>
      </c>
      <c r="AO796">
        <v>0</v>
      </c>
      <c r="AP796" t="s">
        <v>111</v>
      </c>
      <c r="AQ796" t="s">
        <v>111</v>
      </c>
      <c r="AR796" t="s">
        <v>111</v>
      </c>
      <c r="AS796" t="s">
        <v>111</v>
      </c>
      <c r="AT796" t="s">
        <v>111</v>
      </c>
      <c r="AU796" t="s">
        <v>111</v>
      </c>
      <c r="AV796" t="s">
        <v>111</v>
      </c>
      <c r="AW796" t="s">
        <v>111</v>
      </c>
      <c r="AX796" t="s">
        <v>111</v>
      </c>
      <c r="AY796" t="s">
        <v>111</v>
      </c>
      <c r="AZ796" t="s">
        <v>111</v>
      </c>
      <c r="BA796" t="s">
        <v>111</v>
      </c>
      <c r="BB796" t="s">
        <v>111</v>
      </c>
      <c r="BC796" t="s">
        <v>111</v>
      </c>
      <c r="BD796" t="s">
        <v>111</v>
      </c>
      <c r="BE796" t="s">
        <v>111</v>
      </c>
      <c r="BF796" t="s">
        <v>111</v>
      </c>
      <c r="BG796" t="s">
        <v>111</v>
      </c>
      <c r="BH796" t="s">
        <v>111</v>
      </c>
      <c r="BI796" t="s">
        <v>111</v>
      </c>
      <c r="BJ796" t="s">
        <v>111</v>
      </c>
      <c r="BK796" t="s">
        <v>111</v>
      </c>
      <c r="BL796" t="s">
        <v>111</v>
      </c>
      <c r="BM796" t="s">
        <v>111</v>
      </c>
      <c r="BN796" t="s">
        <v>111</v>
      </c>
      <c r="BO796" t="s">
        <v>111</v>
      </c>
      <c r="BP796" t="s">
        <v>111</v>
      </c>
      <c r="BQ796" t="s">
        <v>111</v>
      </c>
      <c r="BR796" t="s">
        <v>111</v>
      </c>
      <c r="BS796" t="s">
        <v>111</v>
      </c>
      <c r="BT796" t="s">
        <v>111</v>
      </c>
      <c r="BU796" t="s">
        <v>111</v>
      </c>
      <c r="BV796" t="s">
        <v>111</v>
      </c>
      <c r="BW796" t="s">
        <v>111</v>
      </c>
      <c r="BX796" t="s">
        <v>111</v>
      </c>
      <c r="BY796" t="s">
        <v>111</v>
      </c>
      <c r="BZ796" t="s">
        <v>111</v>
      </c>
      <c r="CA796" t="s">
        <v>111</v>
      </c>
      <c r="CB796" t="s">
        <v>111</v>
      </c>
      <c r="CC796" t="s">
        <v>111</v>
      </c>
      <c r="CD796" t="s">
        <v>111</v>
      </c>
      <c r="CE796" t="s">
        <v>111</v>
      </c>
      <c r="CF796" t="s">
        <v>111</v>
      </c>
      <c r="CG796" t="s">
        <v>111</v>
      </c>
      <c r="CH796" t="s">
        <v>111</v>
      </c>
      <c r="CI796" t="s">
        <v>111</v>
      </c>
      <c r="CJ796" t="s">
        <v>111</v>
      </c>
      <c r="CK796" t="s">
        <v>111</v>
      </c>
      <c r="CL796" t="s">
        <v>111</v>
      </c>
      <c r="CM796" t="s">
        <v>111</v>
      </c>
      <c r="CN796" t="s">
        <v>111</v>
      </c>
      <c r="CO796" t="s">
        <v>111</v>
      </c>
      <c r="CP796" t="s">
        <v>111</v>
      </c>
      <c r="CQ796">
        <v>0</v>
      </c>
      <c r="CR796">
        <v>0</v>
      </c>
      <c r="CS796">
        <v>0</v>
      </c>
      <c r="CT796" t="s">
        <v>111</v>
      </c>
      <c r="CU796">
        <v>34</v>
      </c>
      <c r="CV796" t="s">
        <v>2677</v>
      </c>
      <c r="CW796" t="s">
        <v>111</v>
      </c>
      <c r="CX796">
        <v>-4</v>
      </c>
      <c r="CY796">
        <v>20</v>
      </c>
      <c r="CZ796" t="s">
        <v>117</v>
      </c>
      <c r="DA796" t="s">
        <v>2678</v>
      </c>
      <c r="DB796" t="s">
        <v>111</v>
      </c>
      <c r="DC796" t="s">
        <v>111</v>
      </c>
    </row>
    <row r="797" spans="1:107">
      <c r="A797">
        <v>1963</v>
      </c>
      <c r="B797" t="s">
        <v>107</v>
      </c>
      <c r="C797" t="s">
        <v>226</v>
      </c>
      <c r="D797" t="s">
        <v>2679</v>
      </c>
      <c r="E797" t="s">
        <v>2680</v>
      </c>
      <c r="F797" t="s">
        <v>431</v>
      </c>
      <c r="G797" t="s">
        <v>427</v>
      </c>
      <c r="H797">
        <v>1.5</v>
      </c>
      <c r="I797">
        <v>92</v>
      </c>
      <c r="J797">
        <v>0</v>
      </c>
      <c r="K797">
        <v>0</v>
      </c>
      <c r="L797" t="s">
        <v>117</v>
      </c>
      <c r="M797" t="s">
        <v>118</v>
      </c>
      <c r="N797">
        <v>40</v>
      </c>
      <c r="O797">
        <v>1</v>
      </c>
      <c r="P797" t="s">
        <v>111</v>
      </c>
      <c r="Q797">
        <v>50</v>
      </c>
      <c r="R797">
        <v>0</v>
      </c>
      <c r="S797">
        <v>0</v>
      </c>
      <c r="T797">
        <v>0</v>
      </c>
      <c r="U797" t="e">
        <f>-IMPRESION CORREA</f>
        <v>#NAME?</v>
      </c>
      <c r="V797">
        <v>0</v>
      </c>
      <c r="W797">
        <v>25</v>
      </c>
      <c r="X797">
        <v>8</v>
      </c>
      <c r="Y797">
        <v>0</v>
      </c>
      <c r="Z797" t="s">
        <v>111</v>
      </c>
      <c r="AA797">
        <v>0</v>
      </c>
      <c r="AB797" t="s">
        <v>111</v>
      </c>
      <c r="AC797">
        <v>0</v>
      </c>
      <c r="AD797" t="s">
        <v>427</v>
      </c>
      <c r="AE797">
        <v>0</v>
      </c>
      <c r="AF797">
        <v>0</v>
      </c>
      <c r="AG797" t="s">
        <v>111</v>
      </c>
      <c r="AH797" t="s">
        <v>111</v>
      </c>
      <c r="AI797" t="s">
        <v>111</v>
      </c>
      <c r="AJ797" t="s">
        <v>111</v>
      </c>
      <c r="AK797" t="s">
        <v>111</v>
      </c>
      <c r="AL797" t="s">
        <v>111</v>
      </c>
      <c r="AM797">
        <v>0</v>
      </c>
      <c r="AN797">
        <v>0</v>
      </c>
      <c r="AO797">
        <v>0</v>
      </c>
      <c r="AP797" t="s">
        <v>111</v>
      </c>
      <c r="AQ797" t="s">
        <v>111</v>
      </c>
      <c r="AR797" t="s">
        <v>111</v>
      </c>
      <c r="AS797" t="s">
        <v>111</v>
      </c>
      <c r="AT797" t="s">
        <v>111</v>
      </c>
      <c r="AU797" t="s">
        <v>111</v>
      </c>
      <c r="AV797" t="s">
        <v>111</v>
      </c>
      <c r="AW797" t="s">
        <v>111</v>
      </c>
      <c r="AX797" t="s">
        <v>111</v>
      </c>
      <c r="AY797" t="s">
        <v>111</v>
      </c>
      <c r="AZ797" t="s">
        <v>111</v>
      </c>
      <c r="BA797" t="s">
        <v>111</v>
      </c>
      <c r="BB797" t="s">
        <v>111</v>
      </c>
      <c r="BC797" t="s">
        <v>111</v>
      </c>
      <c r="BD797" t="s">
        <v>111</v>
      </c>
      <c r="BE797" t="s">
        <v>111</v>
      </c>
      <c r="BF797" t="s">
        <v>111</v>
      </c>
      <c r="BG797" t="s">
        <v>111</v>
      </c>
      <c r="BH797" t="s">
        <v>111</v>
      </c>
      <c r="BI797" t="s">
        <v>111</v>
      </c>
      <c r="BJ797" t="s">
        <v>111</v>
      </c>
      <c r="BK797" t="s">
        <v>111</v>
      </c>
      <c r="BL797" t="s">
        <v>111</v>
      </c>
      <c r="BM797" t="s">
        <v>111</v>
      </c>
      <c r="BN797" t="s">
        <v>111</v>
      </c>
      <c r="BO797" t="s">
        <v>111</v>
      </c>
      <c r="BP797" t="s">
        <v>111</v>
      </c>
      <c r="BQ797" t="s">
        <v>111</v>
      </c>
      <c r="BR797" t="s">
        <v>111</v>
      </c>
      <c r="BS797" t="s">
        <v>111</v>
      </c>
      <c r="BT797" t="s">
        <v>111</v>
      </c>
      <c r="BU797" t="s">
        <v>111</v>
      </c>
      <c r="BV797" t="s">
        <v>111</v>
      </c>
      <c r="BW797" t="s">
        <v>111</v>
      </c>
      <c r="BX797" t="s">
        <v>111</v>
      </c>
      <c r="BY797" t="s">
        <v>111</v>
      </c>
      <c r="BZ797" t="s">
        <v>111</v>
      </c>
      <c r="CA797" t="s">
        <v>111</v>
      </c>
      <c r="CB797" t="s">
        <v>111</v>
      </c>
      <c r="CC797" t="s">
        <v>111</v>
      </c>
      <c r="CD797" t="s">
        <v>111</v>
      </c>
      <c r="CE797" t="s">
        <v>111</v>
      </c>
      <c r="CF797" t="s">
        <v>111</v>
      </c>
      <c r="CG797" t="s">
        <v>111</v>
      </c>
      <c r="CH797" t="s">
        <v>111</v>
      </c>
      <c r="CI797" t="s">
        <v>111</v>
      </c>
      <c r="CJ797" t="s">
        <v>111</v>
      </c>
      <c r="CK797" t="s">
        <v>111</v>
      </c>
      <c r="CL797" t="s">
        <v>111</v>
      </c>
      <c r="CM797" t="s">
        <v>360</v>
      </c>
      <c r="CN797" t="s">
        <v>113</v>
      </c>
      <c r="CO797" t="s">
        <v>2681</v>
      </c>
      <c r="CP797" t="e">
        <f>-MUESTRA</f>
        <v>#NAME?</v>
      </c>
      <c r="CQ797">
        <v>0</v>
      </c>
      <c r="CR797">
        <v>2100</v>
      </c>
      <c r="CS797">
        <v>300</v>
      </c>
      <c r="CT797" s="1" t="s">
        <v>2682</v>
      </c>
      <c r="CU797">
        <v>0</v>
      </c>
      <c r="CV797" t="s">
        <v>111</v>
      </c>
      <c r="CX797" t="s">
        <v>111</v>
      </c>
      <c r="CY797">
        <v>0</v>
      </c>
      <c r="CZ797" t="s">
        <v>111</v>
      </c>
      <c r="DA797" t="s">
        <v>111</v>
      </c>
      <c r="DB797" t="s">
        <v>111</v>
      </c>
      <c r="DC797" t="s">
        <v>111</v>
      </c>
    </row>
    <row r="798" spans="1:107">
      <c r="A798">
        <v>225</v>
      </c>
      <c r="B798" t="s">
        <v>162</v>
      </c>
      <c r="C798" t="s">
        <v>226</v>
      </c>
      <c r="D798" t="s">
        <v>2683</v>
      </c>
      <c r="E798" t="s">
        <v>2684</v>
      </c>
      <c r="F798" t="s">
        <v>431</v>
      </c>
      <c r="G798" t="s">
        <v>427</v>
      </c>
      <c r="H798">
        <v>1.5</v>
      </c>
      <c r="I798">
        <v>98</v>
      </c>
      <c r="J798">
        <v>0</v>
      </c>
      <c r="K798">
        <v>0</v>
      </c>
      <c r="L798" t="s">
        <v>117</v>
      </c>
      <c r="M798" t="s">
        <v>118</v>
      </c>
      <c r="N798">
        <v>40</v>
      </c>
      <c r="O798">
        <v>1</v>
      </c>
      <c r="P798" t="s">
        <v>138</v>
      </c>
      <c r="Q798">
        <v>40</v>
      </c>
      <c r="R798">
        <v>0</v>
      </c>
      <c r="S798">
        <v>0</v>
      </c>
      <c r="T798">
        <v>0</v>
      </c>
      <c r="U798" t="s">
        <v>2685</v>
      </c>
      <c r="V798">
        <v>0</v>
      </c>
      <c r="W798">
        <v>0</v>
      </c>
      <c r="X798">
        <v>1</v>
      </c>
      <c r="Y798">
        <v>0</v>
      </c>
      <c r="Z798" t="s">
        <v>111</v>
      </c>
      <c r="AA798">
        <v>0</v>
      </c>
      <c r="AB798" t="s">
        <v>111</v>
      </c>
      <c r="AC798">
        <v>0</v>
      </c>
      <c r="AD798" t="s">
        <v>427</v>
      </c>
      <c r="AE798">
        <v>5</v>
      </c>
      <c r="AF798">
        <v>2</v>
      </c>
      <c r="AG798">
        <v>20.5</v>
      </c>
      <c r="AH798" t="s">
        <v>111</v>
      </c>
      <c r="AI798">
        <v>42</v>
      </c>
      <c r="AJ798" t="s">
        <v>111</v>
      </c>
      <c r="AK798" t="s">
        <v>111</v>
      </c>
      <c r="AL798" t="s">
        <v>111</v>
      </c>
      <c r="AM798">
        <v>0</v>
      </c>
      <c r="AN798">
        <v>0</v>
      </c>
      <c r="AO798">
        <v>0</v>
      </c>
      <c r="AP798" t="s">
        <v>288</v>
      </c>
      <c r="AQ798" t="s">
        <v>111</v>
      </c>
      <c r="AR798" t="s">
        <v>111</v>
      </c>
      <c r="AS798" t="s">
        <v>111</v>
      </c>
      <c r="AT798" t="s">
        <v>184</v>
      </c>
      <c r="AU798" t="s">
        <v>111</v>
      </c>
      <c r="AV798" t="s">
        <v>111</v>
      </c>
      <c r="AW798" t="s">
        <v>111</v>
      </c>
      <c r="AX798" t="s">
        <v>188</v>
      </c>
      <c r="AY798" t="s">
        <v>111</v>
      </c>
      <c r="AZ798" t="s">
        <v>111</v>
      </c>
      <c r="BA798" t="s">
        <v>111</v>
      </c>
      <c r="BB798" t="s">
        <v>271</v>
      </c>
      <c r="BC798" t="s">
        <v>111</v>
      </c>
      <c r="BD798" t="s">
        <v>111</v>
      </c>
      <c r="BE798" t="s">
        <v>111</v>
      </c>
      <c r="BF798" t="s">
        <v>772</v>
      </c>
      <c r="BG798" t="s">
        <v>111</v>
      </c>
      <c r="BH798" t="s">
        <v>111</v>
      </c>
      <c r="BI798" t="s">
        <v>111</v>
      </c>
      <c r="BJ798" t="s">
        <v>111</v>
      </c>
      <c r="BK798" t="s">
        <v>111</v>
      </c>
      <c r="BL798" t="s">
        <v>111</v>
      </c>
      <c r="BM798" t="s">
        <v>111</v>
      </c>
      <c r="BN798" t="s">
        <v>111</v>
      </c>
      <c r="BO798" t="s">
        <v>111</v>
      </c>
      <c r="BP798" t="s">
        <v>111</v>
      </c>
      <c r="BQ798" t="s">
        <v>111</v>
      </c>
      <c r="BR798" t="s">
        <v>111</v>
      </c>
      <c r="BS798" t="s">
        <v>111</v>
      </c>
      <c r="BT798" t="s">
        <v>111</v>
      </c>
      <c r="BU798" t="s">
        <v>111</v>
      </c>
      <c r="BV798" t="s">
        <v>111</v>
      </c>
      <c r="BW798" t="s">
        <v>111</v>
      </c>
      <c r="BX798" t="s">
        <v>111</v>
      </c>
      <c r="BY798" t="s">
        <v>111</v>
      </c>
      <c r="BZ798" t="s">
        <v>111</v>
      </c>
      <c r="CA798" t="s">
        <v>111</v>
      </c>
      <c r="CB798" t="s">
        <v>111</v>
      </c>
      <c r="CC798" t="s">
        <v>111</v>
      </c>
      <c r="CD798" t="s">
        <v>111</v>
      </c>
      <c r="CE798" t="s">
        <v>111</v>
      </c>
      <c r="CF798" t="s">
        <v>111</v>
      </c>
      <c r="CG798" t="s">
        <v>111</v>
      </c>
      <c r="CH798" t="s">
        <v>111</v>
      </c>
      <c r="CI798" t="s">
        <v>111</v>
      </c>
      <c r="CJ798" t="s">
        <v>111</v>
      </c>
      <c r="CK798" t="s">
        <v>111</v>
      </c>
      <c r="CL798" t="s">
        <v>153</v>
      </c>
      <c r="CM798" t="s">
        <v>198</v>
      </c>
      <c r="CN798" t="s">
        <v>113</v>
      </c>
      <c r="CO798" t="s">
        <v>2681</v>
      </c>
      <c r="CP798" t="s">
        <v>433</v>
      </c>
      <c r="CQ798">
        <v>0</v>
      </c>
      <c r="CR798">
        <v>3000</v>
      </c>
      <c r="CS798">
        <v>300</v>
      </c>
      <c r="CT798" t="s">
        <v>168</v>
      </c>
      <c r="CU798">
        <v>0</v>
      </c>
      <c r="CV798" t="s">
        <v>111</v>
      </c>
      <c r="CW798" t="s">
        <v>111</v>
      </c>
      <c r="CX798" t="s">
        <v>111</v>
      </c>
      <c r="CY798">
        <v>0</v>
      </c>
      <c r="CZ798" t="s">
        <v>111</v>
      </c>
      <c r="DA798" t="s">
        <v>111</v>
      </c>
      <c r="DB798" t="s">
        <v>111</v>
      </c>
      <c r="DC798" t="s">
        <v>111</v>
      </c>
    </row>
    <row r="799" spans="1:107">
      <c r="A799">
        <v>577</v>
      </c>
      <c r="B799" t="s">
        <v>162</v>
      </c>
      <c r="C799" t="s">
        <v>1367</v>
      </c>
      <c r="D799" t="s">
        <v>2686</v>
      </c>
      <c r="E799" t="s">
        <v>2687</v>
      </c>
      <c r="F799" t="s">
        <v>370</v>
      </c>
      <c r="G799" t="s">
        <v>427</v>
      </c>
      <c r="H799">
        <v>2.2000000000000002</v>
      </c>
      <c r="I799">
        <v>47</v>
      </c>
      <c r="J799">
        <v>0</v>
      </c>
      <c r="K799">
        <v>0</v>
      </c>
      <c r="L799" t="s">
        <v>112</v>
      </c>
      <c r="M799" t="s">
        <v>118</v>
      </c>
      <c r="N799">
        <v>40</v>
      </c>
      <c r="O799">
        <v>2</v>
      </c>
      <c r="P799" t="s">
        <v>138</v>
      </c>
      <c r="Q799">
        <v>50</v>
      </c>
      <c r="R799">
        <v>0</v>
      </c>
      <c r="S799">
        <v>0</v>
      </c>
      <c r="T799">
        <v>10</v>
      </c>
      <c r="U799" s="1" t="s">
        <v>2688</v>
      </c>
      <c r="V799">
        <v>25</v>
      </c>
      <c r="W799">
        <v>0</v>
      </c>
      <c r="X799">
        <v>8</v>
      </c>
      <c r="Y799">
        <v>0</v>
      </c>
      <c r="Z799" t="s">
        <v>288</v>
      </c>
      <c r="AA799">
        <v>1.5</v>
      </c>
      <c r="AB799" t="s">
        <v>111</v>
      </c>
      <c r="AC799">
        <v>0</v>
      </c>
      <c r="AD799" t="s">
        <v>427</v>
      </c>
      <c r="AE799">
        <v>4</v>
      </c>
      <c r="AF799">
        <v>2</v>
      </c>
      <c r="AG799">
        <v>34</v>
      </c>
      <c r="AH799" t="s">
        <v>111</v>
      </c>
      <c r="AI799">
        <v>34</v>
      </c>
      <c r="AJ799" t="s">
        <v>111</v>
      </c>
      <c r="AK799" t="s">
        <v>111</v>
      </c>
      <c r="AL799" t="s">
        <v>111</v>
      </c>
      <c r="AM799">
        <v>0</v>
      </c>
      <c r="AN799">
        <v>0</v>
      </c>
      <c r="AO799">
        <v>0</v>
      </c>
      <c r="AP799" t="s">
        <v>111</v>
      </c>
      <c r="AQ799" t="s">
        <v>111</v>
      </c>
      <c r="AR799" t="s">
        <v>111</v>
      </c>
      <c r="AS799" t="s">
        <v>111</v>
      </c>
      <c r="AT799" t="s">
        <v>111</v>
      </c>
      <c r="AU799" t="s">
        <v>111</v>
      </c>
      <c r="AV799" t="s">
        <v>111</v>
      </c>
      <c r="AW799" t="s">
        <v>111</v>
      </c>
      <c r="AX799" t="s">
        <v>111</v>
      </c>
      <c r="AY799" t="s">
        <v>111</v>
      </c>
      <c r="AZ799" t="s">
        <v>111</v>
      </c>
      <c r="BA799" t="s">
        <v>111</v>
      </c>
      <c r="BB799" t="s">
        <v>111</v>
      </c>
      <c r="BC799" t="s">
        <v>111</v>
      </c>
      <c r="BD799" t="s">
        <v>111</v>
      </c>
      <c r="BE799" t="s">
        <v>111</v>
      </c>
      <c r="BF799" t="s">
        <v>111</v>
      </c>
      <c r="BG799" t="s">
        <v>111</v>
      </c>
      <c r="BH799" t="s">
        <v>111</v>
      </c>
      <c r="BI799" t="s">
        <v>111</v>
      </c>
      <c r="BJ799" t="s">
        <v>111</v>
      </c>
      <c r="BK799" t="s">
        <v>111</v>
      </c>
      <c r="BL799" t="s">
        <v>111</v>
      </c>
      <c r="BM799" t="s">
        <v>111</v>
      </c>
      <c r="BN799" t="s">
        <v>111</v>
      </c>
      <c r="BO799" t="s">
        <v>111</v>
      </c>
      <c r="BP799" t="s">
        <v>111</v>
      </c>
      <c r="BQ799" t="s">
        <v>111</v>
      </c>
      <c r="BR799" t="s">
        <v>111</v>
      </c>
      <c r="BS799" t="s">
        <v>111</v>
      </c>
      <c r="BT799" t="s">
        <v>111</v>
      </c>
      <c r="BU799" t="s">
        <v>111</v>
      </c>
      <c r="BV799" t="s">
        <v>111</v>
      </c>
      <c r="BW799" t="s">
        <v>111</v>
      </c>
      <c r="BX799" t="s">
        <v>111</v>
      </c>
      <c r="BY799" t="s">
        <v>111</v>
      </c>
      <c r="BZ799" t="s">
        <v>111</v>
      </c>
      <c r="CA799" t="s">
        <v>111</v>
      </c>
      <c r="CB799" t="s">
        <v>111</v>
      </c>
      <c r="CC799" t="s">
        <v>111</v>
      </c>
      <c r="CD799" t="s">
        <v>111</v>
      </c>
      <c r="CE799" t="s">
        <v>111</v>
      </c>
      <c r="CF799" t="s">
        <v>111</v>
      </c>
      <c r="CG799" t="s">
        <v>111</v>
      </c>
      <c r="CH799" t="s">
        <v>111</v>
      </c>
      <c r="CI799" t="s">
        <v>111</v>
      </c>
      <c r="CJ799" t="s">
        <v>111</v>
      </c>
      <c r="CK799" t="s">
        <v>111</v>
      </c>
      <c r="CL799" t="s">
        <v>153</v>
      </c>
      <c r="CM799" t="s">
        <v>198</v>
      </c>
      <c r="CN799" t="s">
        <v>113</v>
      </c>
      <c r="CO799" t="s">
        <v>1371</v>
      </c>
      <c r="CP799" t="s">
        <v>433</v>
      </c>
      <c r="CQ799">
        <v>34</v>
      </c>
      <c r="CR799">
        <v>0</v>
      </c>
      <c r="CS799">
        <v>0</v>
      </c>
      <c r="CT799" t="e">
        <f>- BIEN EMPAACADO EN BPLSAS PARA TROQUELAR</f>
        <v>#NAME?</v>
      </c>
      <c r="CU799">
        <v>0</v>
      </c>
      <c r="CV799" t="s">
        <v>111</v>
      </c>
      <c r="CW799" t="s">
        <v>111</v>
      </c>
      <c r="CX799" t="s">
        <v>111</v>
      </c>
      <c r="CY799">
        <v>0</v>
      </c>
      <c r="CZ799" t="s">
        <v>111</v>
      </c>
      <c r="DA799" t="s">
        <v>111</v>
      </c>
      <c r="DB799" t="s">
        <v>240</v>
      </c>
      <c r="DC799" s="1" t="s">
        <v>2689</v>
      </c>
    </row>
    <row r="800" spans="1:107">
      <c r="A800">
        <v>226</v>
      </c>
      <c r="B800" t="s">
        <v>162</v>
      </c>
      <c r="C800" t="s">
        <v>2690</v>
      </c>
      <c r="D800" t="s">
        <v>1355</v>
      </c>
      <c r="E800" t="s">
        <v>1356</v>
      </c>
      <c r="F800" t="s">
        <v>431</v>
      </c>
      <c r="G800" t="s">
        <v>427</v>
      </c>
      <c r="H800">
        <v>1.5</v>
      </c>
      <c r="I800">
        <v>100</v>
      </c>
      <c r="J800">
        <v>0</v>
      </c>
      <c r="K800">
        <v>0</v>
      </c>
      <c r="L800" t="s">
        <v>117</v>
      </c>
      <c r="M800" t="s">
        <v>118</v>
      </c>
      <c r="N800">
        <v>40</v>
      </c>
      <c r="O800">
        <v>0</v>
      </c>
      <c r="P800" t="s">
        <v>138</v>
      </c>
      <c r="Q800">
        <v>40</v>
      </c>
      <c r="R800">
        <v>0</v>
      </c>
      <c r="S800">
        <v>0</v>
      </c>
      <c r="T800">
        <v>0</v>
      </c>
      <c r="U800" t="s">
        <v>2685</v>
      </c>
      <c r="V800">
        <v>0</v>
      </c>
      <c r="W800">
        <v>0</v>
      </c>
      <c r="X800">
        <v>1</v>
      </c>
      <c r="Y800">
        <v>0</v>
      </c>
      <c r="Z800" t="s">
        <v>111</v>
      </c>
      <c r="AA800">
        <v>0</v>
      </c>
      <c r="AB800" t="s">
        <v>111</v>
      </c>
      <c r="AC800">
        <v>0</v>
      </c>
      <c r="AD800" t="s">
        <v>427</v>
      </c>
      <c r="AE800">
        <v>0</v>
      </c>
      <c r="AF800">
        <v>0</v>
      </c>
      <c r="AG800">
        <v>20.5</v>
      </c>
      <c r="AH800" t="s">
        <v>111</v>
      </c>
      <c r="AI800">
        <v>41</v>
      </c>
      <c r="AJ800" t="s">
        <v>111</v>
      </c>
      <c r="AK800" t="s">
        <v>111</v>
      </c>
      <c r="AL800" t="s">
        <v>111</v>
      </c>
      <c r="AM800">
        <v>0</v>
      </c>
      <c r="AN800">
        <v>0</v>
      </c>
      <c r="AO800">
        <v>0</v>
      </c>
      <c r="AP800" t="s">
        <v>111</v>
      </c>
      <c r="AQ800" t="s">
        <v>111</v>
      </c>
      <c r="AR800" t="s">
        <v>111</v>
      </c>
      <c r="AS800" t="s">
        <v>111</v>
      </c>
      <c r="AT800" t="s">
        <v>111</v>
      </c>
      <c r="AU800" t="s">
        <v>111</v>
      </c>
      <c r="AV800" t="s">
        <v>111</v>
      </c>
      <c r="AW800" t="s">
        <v>111</v>
      </c>
      <c r="AX800" t="s">
        <v>111</v>
      </c>
      <c r="AY800" t="s">
        <v>111</v>
      </c>
      <c r="AZ800" t="s">
        <v>111</v>
      </c>
      <c r="BA800" t="s">
        <v>111</v>
      </c>
      <c r="BB800" t="s">
        <v>111</v>
      </c>
      <c r="BC800" t="s">
        <v>111</v>
      </c>
      <c r="BD800" t="s">
        <v>111</v>
      </c>
      <c r="BE800" t="s">
        <v>111</v>
      </c>
      <c r="BF800" t="s">
        <v>111</v>
      </c>
      <c r="BG800" t="s">
        <v>111</v>
      </c>
      <c r="BH800" t="s">
        <v>111</v>
      </c>
      <c r="BI800" t="s">
        <v>111</v>
      </c>
      <c r="BJ800" t="s">
        <v>111</v>
      </c>
      <c r="BK800" t="s">
        <v>111</v>
      </c>
      <c r="BL800" t="s">
        <v>111</v>
      </c>
      <c r="BM800" t="s">
        <v>111</v>
      </c>
      <c r="BN800" t="s">
        <v>111</v>
      </c>
      <c r="BO800" t="s">
        <v>111</v>
      </c>
      <c r="BP800" t="s">
        <v>111</v>
      </c>
      <c r="BQ800" t="s">
        <v>111</v>
      </c>
      <c r="BR800" t="s">
        <v>111</v>
      </c>
      <c r="BS800" t="s">
        <v>111</v>
      </c>
      <c r="BT800" t="s">
        <v>111</v>
      </c>
      <c r="BU800" t="s">
        <v>111</v>
      </c>
      <c r="BV800" t="s">
        <v>111</v>
      </c>
      <c r="BW800" t="s">
        <v>111</v>
      </c>
      <c r="BX800" t="s">
        <v>111</v>
      </c>
      <c r="BY800" t="s">
        <v>111</v>
      </c>
      <c r="BZ800" t="s">
        <v>111</v>
      </c>
      <c r="CA800" t="s">
        <v>111</v>
      </c>
      <c r="CB800" t="s">
        <v>111</v>
      </c>
      <c r="CC800" t="s">
        <v>111</v>
      </c>
      <c r="CD800" t="s">
        <v>111</v>
      </c>
      <c r="CE800" t="s">
        <v>111</v>
      </c>
      <c r="CF800" t="s">
        <v>111</v>
      </c>
      <c r="CG800" t="s">
        <v>111</v>
      </c>
      <c r="CH800" t="s">
        <v>111</v>
      </c>
      <c r="CI800" t="s">
        <v>111</v>
      </c>
      <c r="CJ800" t="s">
        <v>111</v>
      </c>
      <c r="CK800" t="s">
        <v>111</v>
      </c>
      <c r="CL800" t="s">
        <v>153</v>
      </c>
      <c r="CM800" t="s">
        <v>198</v>
      </c>
      <c r="CN800" t="s">
        <v>113</v>
      </c>
      <c r="CO800" t="s">
        <v>111</v>
      </c>
      <c r="CP800" t="s">
        <v>433</v>
      </c>
      <c r="CQ800">
        <v>0</v>
      </c>
      <c r="CR800">
        <v>0</v>
      </c>
      <c r="CS800">
        <v>200</v>
      </c>
      <c r="CT800" t="s">
        <v>168</v>
      </c>
      <c r="CU800">
        <v>0</v>
      </c>
      <c r="CV800" t="s">
        <v>111</v>
      </c>
      <c r="CW800" t="s">
        <v>111</v>
      </c>
      <c r="CX800" t="s">
        <v>111</v>
      </c>
      <c r="CY800">
        <v>0</v>
      </c>
      <c r="CZ800" t="s">
        <v>111</v>
      </c>
      <c r="DA800" t="s">
        <v>111</v>
      </c>
      <c r="DB800" t="s">
        <v>111</v>
      </c>
      <c r="DC800" t="s">
        <v>111</v>
      </c>
    </row>
    <row r="801" spans="1:107">
      <c r="A801">
        <v>1604</v>
      </c>
      <c r="B801" t="s">
        <v>107</v>
      </c>
      <c r="C801" t="s">
        <v>114</v>
      </c>
      <c r="D801" t="s">
        <v>476</v>
      </c>
      <c r="E801" t="s">
        <v>2691</v>
      </c>
      <c r="F801" t="s">
        <v>358</v>
      </c>
      <c r="G801" t="s">
        <v>427</v>
      </c>
      <c r="H801">
        <v>2.7</v>
      </c>
      <c r="I801">
        <v>71</v>
      </c>
      <c r="J801">
        <v>0</v>
      </c>
      <c r="K801">
        <v>0</v>
      </c>
      <c r="L801" t="s">
        <v>117</v>
      </c>
      <c r="M801" t="s">
        <v>118</v>
      </c>
      <c r="N801">
        <v>40</v>
      </c>
      <c r="O801">
        <v>1</v>
      </c>
      <c r="P801" t="s">
        <v>111</v>
      </c>
      <c r="Q801">
        <v>40</v>
      </c>
      <c r="R801">
        <v>0</v>
      </c>
      <c r="S801">
        <v>0</v>
      </c>
      <c r="T801">
        <v>0</v>
      </c>
      <c r="U801" s="1" t="s">
        <v>2692</v>
      </c>
      <c r="V801">
        <v>0</v>
      </c>
      <c r="W801">
        <v>25</v>
      </c>
      <c r="X801">
        <v>10</v>
      </c>
      <c r="Y801">
        <v>0</v>
      </c>
      <c r="Z801" t="s">
        <v>111</v>
      </c>
      <c r="AA801">
        <v>0</v>
      </c>
      <c r="AB801" t="s">
        <v>111</v>
      </c>
      <c r="AC801">
        <v>0</v>
      </c>
      <c r="AD801" t="s">
        <v>416</v>
      </c>
      <c r="AE801">
        <v>0</v>
      </c>
      <c r="AF801">
        <v>0</v>
      </c>
      <c r="AG801" t="s">
        <v>111</v>
      </c>
      <c r="AH801" t="s">
        <v>128</v>
      </c>
      <c r="AI801" t="s">
        <v>111</v>
      </c>
      <c r="AJ801" t="s">
        <v>111</v>
      </c>
      <c r="AK801" t="s">
        <v>111</v>
      </c>
      <c r="AL801" t="s">
        <v>111</v>
      </c>
      <c r="AM801">
        <v>0</v>
      </c>
      <c r="AN801">
        <v>0</v>
      </c>
      <c r="AO801">
        <v>0</v>
      </c>
      <c r="AP801" t="s">
        <v>111</v>
      </c>
      <c r="AQ801" t="s">
        <v>111</v>
      </c>
      <c r="AR801" t="s">
        <v>111</v>
      </c>
      <c r="AS801" t="s">
        <v>111</v>
      </c>
      <c r="AT801" t="s">
        <v>111</v>
      </c>
      <c r="AU801" t="s">
        <v>111</v>
      </c>
      <c r="AV801" t="s">
        <v>111</v>
      </c>
      <c r="AW801" t="s">
        <v>111</v>
      </c>
      <c r="AX801" t="s">
        <v>111</v>
      </c>
      <c r="AY801" t="s">
        <v>111</v>
      </c>
      <c r="AZ801" t="s">
        <v>111</v>
      </c>
      <c r="BA801" t="s">
        <v>111</v>
      </c>
      <c r="BB801" t="s">
        <v>111</v>
      </c>
      <c r="BC801" t="s">
        <v>111</v>
      </c>
      <c r="BD801" t="s">
        <v>111</v>
      </c>
      <c r="BE801" t="s">
        <v>111</v>
      </c>
      <c r="BF801" t="s">
        <v>111</v>
      </c>
      <c r="BG801" t="s">
        <v>111</v>
      </c>
      <c r="BH801" t="s">
        <v>111</v>
      </c>
      <c r="BI801" t="s">
        <v>111</v>
      </c>
      <c r="BJ801" t="s">
        <v>111</v>
      </c>
      <c r="BK801" t="s">
        <v>111</v>
      </c>
      <c r="BL801" t="s">
        <v>111</v>
      </c>
      <c r="BM801" t="s">
        <v>111</v>
      </c>
      <c r="BN801" t="s">
        <v>111</v>
      </c>
      <c r="BO801" t="s">
        <v>111</v>
      </c>
      <c r="BP801" t="s">
        <v>111</v>
      </c>
      <c r="BQ801" t="s">
        <v>111</v>
      </c>
      <c r="BR801" t="s">
        <v>111</v>
      </c>
      <c r="BS801" t="s">
        <v>111</v>
      </c>
      <c r="BT801" t="s">
        <v>111</v>
      </c>
      <c r="BU801" t="s">
        <v>111</v>
      </c>
      <c r="BV801" t="s">
        <v>111</v>
      </c>
      <c r="BW801" t="s">
        <v>111</v>
      </c>
      <c r="BX801" t="s">
        <v>111</v>
      </c>
      <c r="BY801" t="s">
        <v>111</v>
      </c>
      <c r="BZ801" t="s">
        <v>111</v>
      </c>
      <c r="CA801" t="s">
        <v>111</v>
      </c>
      <c r="CB801" t="s">
        <v>111</v>
      </c>
      <c r="CC801" t="s">
        <v>111</v>
      </c>
      <c r="CD801" t="s">
        <v>111</v>
      </c>
      <c r="CE801" t="s">
        <v>111</v>
      </c>
      <c r="CF801" t="s">
        <v>111</v>
      </c>
      <c r="CG801" t="s">
        <v>111</v>
      </c>
      <c r="CH801" t="s">
        <v>111</v>
      </c>
      <c r="CI801" t="s">
        <v>111</v>
      </c>
      <c r="CJ801" t="s">
        <v>111</v>
      </c>
      <c r="CK801" t="s">
        <v>111</v>
      </c>
      <c r="CL801" t="s">
        <v>111</v>
      </c>
      <c r="CM801" t="s">
        <v>111</v>
      </c>
      <c r="CN801" t="s">
        <v>111</v>
      </c>
      <c r="CO801" t="s">
        <v>111</v>
      </c>
      <c r="CP801" t="s">
        <v>111</v>
      </c>
      <c r="CQ801">
        <v>0</v>
      </c>
      <c r="CR801">
        <v>0</v>
      </c>
      <c r="CS801">
        <v>0</v>
      </c>
      <c r="CT801" t="s">
        <v>111</v>
      </c>
      <c r="CU801">
        <v>34</v>
      </c>
      <c r="CV801" t="s">
        <v>2693</v>
      </c>
      <c r="CW801" t="s">
        <v>111</v>
      </c>
      <c r="CX801">
        <v>4</v>
      </c>
      <c r="CY801">
        <v>20</v>
      </c>
      <c r="CZ801" t="s">
        <v>117</v>
      </c>
      <c r="DA801" s="1" t="s">
        <v>2694</v>
      </c>
      <c r="DB801" t="s">
        <v>111</v>
      </c>
      <c r="DC801" t="s">
        <v>111</v>
      </c>
    </row>
    <row r="802" spans="1:107">
      <c r="A802">
        <v>1154</v>
      </c>
      <c r="B802" t="s">
        <v>107</v>
      </c>
      <c r="C802" t="s">
        <v>2695</v>
      </c>
      <c r="D802" t="s">
        <v>2696</v>
      </c>
      <c r="E802" t="s">
        <v>2697</v>
      </c>
      <c r="F802" t="s">
        <v>431</v>
      </c>
      <c r="G802" t="s">
        <v>427</v>
      </c>
      <c r="H802">
        <v>3</v>
      </c>
      <c r="I802">
        <v>28</v>
      </c>
      <c r="J802">
        <v>0</v>
      </c>
      <c r="K802">
        <v>0</v>
      </c>
      <c r="L802" t="s">
        <v>112</v>
      </c>
      <c r="M802" t="s">
        <v>111</v>
      </c>
      <c r="N802">
        <v>0</v>
      </c>
      <c r="O802">
        <v>0</v>
      </c>
      <c r="P802" t="s">
        <v>111</v>
      </c>
      <c r="Q802">
        <v>20</v>
      </c>
      <c r="R802">
        <v>0</v>
      </c>
      <c r="S802">
        <v>0</v>
      </c>
      <c r="T802">
        <v>0</v>
      </c>
      <c r="U802" t="e">
        <f>-DESTINO SELLADO</f>
        <v>#NAME?</v>
      </c>
      <c r="V802">
        <v>0</v>
      </c>
      <c r="W802">
        <v>0</v>
      </c>
      <c r="X802">
        <v>10</v>
      </c>
      <c r="Y802">
        <v>0</v>
      </c>
      <c r="Z802" t="s">
        <v>111</v>
      </c>
      <c r="AA802">
        <v>0</v>
      </c>
      <c r="AB802" t="s">
        <v>111</v>
      </c>
      <c r="AC802">
        <v>0</v>
      </c>
      <c r="AD802" t="s">
        <v>111</v>
      </c>
      <c r="AE802">
        <v>0</v>
      </c>
      <c r="AF802">
        <v>0</v>
      </c>
      <c r="AG802" t="s">
        <v>111</v>
      </c>
      <c r="AH802" t="s">
        <v>111</v>
      </c>
      <c r="AI802" t="s">
        <v>111</v>
      </c>
      <c r="AJ802" t="s">
        <v>111</v>
      </c>
      <c r="AK802" t="s">
        <v>111</v>
      </c>
      <c r="AL802" t="s">
        <v>111</v>
      </c>
      <c r="AM802">
        <v>0</v>
      </c>
      <c r="AN802">
        <v>0</v>
      </c>
      <c r="AO802">
        <v>0</v>
      </c>
      <c r="AP802" t="s">
        <v>111</v>
      </c>
      <c r="AQ802" t="s">
        <v>111</v>
      </c>
      <c r="AR802" t="s">
        <v>111</v>
      </c>
      <c r="AS802" t="s">
        <v>111</v>
      </c>
      <c r="AT802" t="s">
        <v>111</v>
      </c>
      <c r="AU802" t="s">
        <v>111</v>
      </c>
      <c r="AV802" t="s">
        <v>111</v>
      </c>
      <c r="AW802" t="s">
        <v>111</v>
      </c>
      <c r="AX802" t="s">
        <v>111</v>
      </c>
      <c r="AY802" t="s">
        <v>111</v>
      </c>
      <c r="AZ802" t="s">
        <v>111</v>
      </c>
      <c r="BA802" t="s">
        <v>111</v>
      </c>
      <c r="BB802" t="s">
        <v>111</v>
      </c>
      <c r="BC802" t="s">
        <v>111</v>
      </c>
      <c r="BD802" t="s">
        <v>111</v>
      </c>
      <c r="BE802" t="s">
        <v>111</v>
      </c>
      <c r="BF802" t="s">
        <v>111</v>
      </c>
      <c r="BG802" t="s">
        <v>111</v>
      </c>
      <c r="BH802" t="s">
        <v>111</v>
      </c>
      <c r="BI802" t="s">
        <v>111</v>
      </c>
      <c r="BJ802" t="s">
        <v>111</v>
      </c>
      <c r="BK802" t="s">
        <v>111</v>
      </c>
      <c r="BL802" t="s">
        <v>111</v>
      </c>
      <c r="BM802" t="s">
        <v>111</v>
      </c>
      <c r="BN802" t="s">
        <v>111</v>
      </c>
      <c r="BO802" t="s">
        <v>111</v>
      </c>
      <c r="BP802" t="s">
        <v>111</v>
      </c>
      <c r="BQ802" t="s">
        <v>111</v>
      </c>
      <c r="BR802" t="s">
        <v>111</v>
      </c>
      <c r="BS802" t="s">
        <v>111</v>
      </c>
      <c r="BT802" t="s">
        <v>111</v>
      </c>
      <c r="BU802" t="s">
        <v>111</v>
      </c>
      <c r="BV802" t="s">
        <v>111</v>
      </c>
      <c r="BW802" t="s">
        <v>111</v>
      </c>
      <c r="BX802" t="s">
        <v>111</v>
      </c>
      <c r="BY802" t="s">
        <v>111</v>
      </c>
      <c r="BZ802" t="s">
        <v>111</v>
      </c>
      <c r="CA802" t="s">
        <v>111</v>
      </c>
      <c r="CB802" t="s">
        <v>111</v>
      </c>
      <c r="CC802" t="s">
        <v>111</v>
      </c>
      <c r="CD802" t="s">
        <v>111</v>
      </c>
      <c r="CE802" t="s">
        <v>111</v>
      </c>
      <c r="CF802" t="s">
        <v>111</v>
      </c>
      <c r="CG802" t="s">
        <v>111</v>
      </c>
      <c r="CH802" t="s">
        <v>111</v>
      </c>
      <c r="CI802" t="s">
        <v>111</v>
      </c>
      <c r="CJ802" t="s">
        <v>111</v>
      </c>
      <c r="CK802" t="s">
        <v>111</v>
      </c>
      <c r="CL802" t="s">
        <v>111</v>
      </c>
      <c r="CM802" t="s">
        <v>111</v>
      </c>
      <c r="CN802" t="s">
        <v>111</v>
      </c>
      <c r="CO802" t="s">
        <v>111</v>
      </c>
      <c r="CP802" t="s">
        <v>111</v>
      </c>
      <c r="CQ802">
        <v>0</v>
      </c>
      <c r="CR802">
        <v>0</v>
      </c>
      <c r="CS802">
        <v>0</v>
      </c>
      <c r="CT802" t="s">
        <v>111</v>
      </c>
      <c r="CU802">
        <v>0</v>
      </c>
      <c r="CV802" t="s">
        <v>111</v>
      </c>
      <c r="CW802" t="s">
        <v>111</v>
      </c>
      <c r="CX802" t="s">
        <v>111</v>
      </c>
      <c r="CY802">
        <v>0</v>
      </c>
      <c r="CZ802" t="s">
        <v>111</v>
      </c>
      <c r="DA802" t="s">
        <v>111</v>
      </c>
      <c r="DB802" t="e">
        <f>-EXTERNO</f>
        <v>#NAME?</v>
      </c>
      <c r="DC802" t="e">
        <f>-TROQUEL RIÑON</f>
        <v>#NAME?</v>
      </c>
    </row>
    <row r="803" spans="1:107">
      <c r="A803">
        <v>390</v>
      </c>
      <c r="B803" t="s">
        <v>162</v>
      </c>
      <c r="C803" t="s">
        <v>226</v>
      </c>
      <c r="D803" t="s">
        <v>2698</v>
      </c>
      <c r="E803" t="s">
        <v>2699</v>
      </c>
      <c r="F803" t="s">
        <v>431</v>
      </c>
      <c r="G803" t="s">
        <v>427</v>
      </c>
      <c r="H803">
        <v>1.5</v>
      </c>
      <c r="I803">
        <v>75.5</v>
      </c>
      <c r="J803">
        <v>0</v>
      </c>
      <c r="K803">
        <v>0</v>
      </c>
      <c r="L803" t="s">
        <v>117</v>
      </c>
      <c r="M803" t="s">
        <v>118</v>
      </c>
      <c r="N803">
        <v>40</v>
      </c>
      <c r="O803">
        <v>1</v>
      </c>
      <c r="P803" t="s">
        <v>138</v>
      </c>
      <c r="Q803">
        <v>40</v>
      </c>
      <c r="R803">
        <v>0</v>
      </c>
      <c r="S803">
        <v>0</v>
      </c>
      <c r="T803">
        <v>0</v>
      </c>
      <c r="U803" t="s">
        <v>2685</v>
      </c>
      <c r="V803">
        <v>0</v>
      </c>
      <c r="W803">
        <v>0</v>
      </c>
      <c r="X803">
        <v>1</v>
      </c>
      <c r="Y803">
        <v>0</v>
      </c>
      <c r="Z803" t="s">
        <v>111</v>
      </c>
      <c r="AA803">
        <v>0</v>
      </c>
      <c r="AB803" t="s">
        <v>111</v>
      </c>
      <c r="AC803">
        <v>0</v>
      </c>
      <c r="AD803" t="s">
        <v>427</v>
      </c>
      <c r="AE803">
        <v>5</v>
      </c>
      <c r="AF803">
        <v>2</v>
      </c>
      <c r="AG803" t="s">
        <v>1479</v>
      </c>
      <c r="AH803" t="s">
        <v>111</v>
      </c>
      <c r="AI803">
        <v>52</v>
      </c>
      <c r="AJ803" t="s">
        <v>111</v>
      </c>
      <c r="AK803" t="s">
        <v>111</v>
      </c>
      <c r="AL803" t="s">
        <v>111</v>
      </c>
      <c r="AM803">
        <v>0</v>
      </c>
      <c r="AN803">
        <v>0</v>
      </c>
      <c r="AO803">
        <v>0</v>
      </c>
      <c r="AP803" t="s">
        <v>288</v>
      </c>
      <c r="AQ803" t="s">
        <v>111</v>
      </c>
      <c r="AR803" t="s">
        <v>111</v>
      </c>
      <c r="AS803" t="s">
        <v>111</v>
      </c>
      <c r="AT803" t="s">
        <v>184</v>
      </c>
      <c r="AU803" t="s">
        <v>111</v>
      </c>
      <c r="AV803" t="s">
        <v>111</v>
      </c>
      <c r="AW803" t="s">
        <v>111</v>
      </c>
      <c r="AX803" t="s">
        <v>188</v>
      </c>
      <c r="AY803" t="s">
        <v>111</v>
      </c>
      <c r="AZ803" t="s">
        <v>111</v>
      </c>
      <c r="BA803" t="s">
        <v>111</v>
      </c>
      <c r="BB803" t="s">
        <v>271</v>
      </c>
      <c r="BC803" t="s">
        <v>111</v>
      </c>
      <c r="BD803" t="s">
        <v>111</v>
      </c>
      <c r="BE803" t="s">
        <v>111</v>
      </c>
      <c r="BF803" t="s">
        <v>772</v>
      </c>
      <c r="BG803" t="s">
        <v>111</v>
      </c>
      <c r="BH803" t="s">
        <v>111</v>
      </c>
      <c r="BI803" t="s">
        <v>111</v>
      </c>
      <c r="BJ803" t="s">
        <v>111</v>
      </c>
      <c r="BK803" t="s">
        <v>111</v>
      </c>
      <c r="BL803" t="s">
        <v>111</v>
      </c>
      <c r="BM803" t="s">
        <v>111</v>
      </c>
      <c r="BN803" t="s">
        <v>111</v>
      </c>
      <c r="BO803" t="s">
        <v>111</v>
      </c>
      <c r="BP803" t="s">
        <v>111</v>
      </c>
      <c r="BQ803" t="s">
        <v>111</v>
      </c>
      <c r="BR803" t="s">
        <v>111</v>
      </c>
      <c r="BS803" t="s">
        <v>111</v>
      </c>
      <c r="BT803" t="s">
        <v>111</v>
      </c>
      <c r="BU803" t="s">
        <v>111</v>
      </c>
      <c r="BV803" t="s">
        <v>111</v>
      </c>
      <c r="BW803" t="s">
        <v>111</v>
      </c>
      <c r="BX803" t="s">
        <v>111</v>
      </c>
      <c r="BY803" t="s">
        <v>111</v>
      </c>
      <c r="BZ803" t="s">
        <v>111</v>
      </c>
      <c r="CA803" t="s">
        <v>111</v>
      </c>
      <c r="CB803" t="s">
        <v>111</v>
      </c>
      <c r="CC803" t="s">
        <v>111</v>
      </c>
      <c r="CD803" t="s">
        <v>111</v>
      </c>
      <c r="CE803" t="s">
        <v>111</v>
      </c>
      <c r="CF803" t="s">
        <v>111</v>
      </c>
      <c r="CG803" t="s">
        <v>111</v>
      </c>
      <c r="CH803" t="s">
        <v>111</v>
      </c>
      <c r="CI803" t="s">
        <v>111</v>
      </c>
      <c r="CJ803" t="s">
        <v>111</v>
      </c>
      <c r="CK803" t="s">
        <v>111</v>
      </c>
      <c r="CL803" t="s">
        <v>153</v>
      </c>
      <c r="CM803" t="s">
        <v>198</v>
      </c>
      <c r="CN803" t="s">
        <v>113</v>
      </c>
      <c r="CO803" t="s">
        <v>111</v>
      </c>
      <c r="CP803" t="s">
        <v>433</v>
      </c>
      <c r="CQ803">
        <v>0</v>
      </c>
      <c r="CR803">
        <v>4200</v>
      </c>
      <c r="CS803">
        <v>300</v>
      </c>
      <c r="CT803" t="s">
        <v>168</v>
      </c>
      <c r="CU803">
        <v>0</v>
      </c>
      <c r="CV803" t="s">
        <v>111</v>
      </c>
      <c r="CW803" t="s">
        <v>111</v>
      </c>
      <c r="CX803" t="s">
        <v>111</v>
      </c>
      <c r="CY803">
        <v>0</v>
      </c>
      <c r="CZ803" t="s">
        <v>111</v>
      </c>
      <c r="DA803" t="s">
        <v>111</v>
      </c>
      <c r="DB803" t="s">
        <v>111</v>
      </c>
      <c r="DC803" t="s">
        <v>111</v>
      </c>
    </row>
    <row r="804" spans="1:107">
      <c r="A804">
        <v>1165</v>
      </c>
      <c r="B804" t="s">
        <v>107</v>
      </c>
      <c r="C804" t="s">
        <v>114</v>
      </c>
      <c r="D804" t="s">
        <v>2674</v>
      </c>
      <c r="E804" t="s">
        <v>2700</v>
      </c>
      <c r="F804" t="s">
        <v>2665</v>
      </c>
      <c r="G804" t="s">
        <v>427</v>
      </c>
      <c r="H804">
        <v>2.7</v>
      </c>
      <c r="I804">
        <v>18</v>
      </c>
      <c r="J804">
        <v>0</v>
      </c>
      <c r="K804">
        <v>0</v>
      </c>
      <c r="L804" t="s">
        <v>117</v>
      </c>
      <c r="M804" t="s">
        <v>118</v>
      </c>
      <c r="N804">
        <v>0</v>
      </c>
      <c r="O804">
        <v>1</v>
      </c>
      <c r="P804" t="s">
        <v>111</v>
      </c>
      <c r="Q804">
        <v>20</v>
      </c>
      <c r="R804">
        <v>0</v>
      </c>
      <c r="S804">
        <v>0</v>
      </c>
      <c r="T804">
        <v>5</v>
      </c>
      <c r="U804" t="e">
        <f>-IMPRESION CORREA</f>
        <v>#NAME?</v>
      </c>
      <c r="V804">
        <v>0</v>
      </c>
      <c r="W804">
        <v>0</v>
      </c>
      <c r="X804">
        <v>12</v>
      </c>
      <c r="Y804">
        <v>0</v>
      </c>
      <c r="Z804" t="s">
        <v>111</v>
      </c>
      <c r="AA804">
        <v>0</v>
      </c>
      <c r="AB804" t="s">
        <v>111</v>
      </c>
      <c r="AC804">
        <v>0</v>
      </c>
      <c r="AD804" t="s">
        <v>427</v>
      </c>
      <c r="AE804">
        <v>0</v>
      </c>
      <c r="AF804">
        <v>0</v>
      </c>
      <c r="AG804" t="s">
        <v>111</v>
      </c>
      <c r="AH804" t="s">
        <v>128</v>
      </c>
      <c r="AI804" t="s">
        <v>111</v>
      </c>
      <c r="AJ804" t="s">
        <v>111</v>
      </c>
      <c r="AK804" t="s">
        <v>111</v>
      </c>
      <c r="AL804" t="s">
        <v>111</v>
      </c>
      <c r="AM804">
        <v>0</v>
      </c>
      <c r="AN804">
        <v>0</v>
      </c>
      <c r="AO804">
        <v>0</v>
      </c>
      <c r="AP804" t="s">
        <v>111</v>
      </c>
      <c r="AQ804" t="s">
        <v>111</v>
      </c>
      <c r="AR804" t="s">
        <v>111</v>
      </c>
      <c r="AS804" t="s">
        <v>111</v>
      </c>
      <c r="AT804" t="s">
        <v>111</v>
      </c>
      <c r="AU804" t="s">
        <v>111</v>
      </c>
      <c r="AV804" t="s">
        <v>111</v>
      </c>
      <c r="AW804" t="s">
        <v>111</v>
      </c>
      <c r="AX804" t="s">
        <v>111</v>
      </c>
      <c r="AY804" t="s">
        <v>111</v>
      </c>
      <c r="AZ804" t="s">
        <v>111</v>
      </c>
      <c r="BA804" t="s">
        <v>111</v>
      </c>
      <c r="BB804" t="s">
        <v>111</v>
      </c>
      <c r="BC804" t="s">
        <v>111</v>
      </c>
      <c r="BD804" t="s">
        <v>111</v>
      </c>
      <c r="BE804" t="s">
        <v>111</v>
      </c>
      <c r="BF804" t="s">
        <v>111</v>
      </c>
      <c r="BG804" t="s">
        <v>111</v>
      </c>
      <c r="BH804" t="s">
        <v>111</v>
      </c>
      <c r="BI804" t="s">
        <v>111</v>
      </c>
      <c r="BJ804" t="s">
        <v>111</v>
      </c>
      <c r="BK804" t="s">
        <v>111</v>
      </c>
      <c r="BL804" t="s">
        <v>111</v>
      </c>
      <c r="BM804" t="s">
        <v>111</v>
      </c>
      <c r="BN804" t="s">
        <v>111</v>
      </c>
      <c r="BO804" t="s">
        <v>111</v>
      </c>
      <c r="BP804" t="s">
        <v>111</v>
      </c>
      <c r="BQ804" t="s">
        <v>111</v>
      </c>
      <c r="BR804" t="s">
        <v>111</v>
      </c>
      <c r="BS804" t="s">
        <v>111</v>
      </c>
      <c r="BT804" t="s">
        <v>111</v>
      </c>
      <c r="BU804" t="s">
        <v>111</v>
      </c>
      <c r="BV804" t="s">
        <v>111</v>
      </c>
      <c r="BW804" t="s">
        <v>111</v>
      </c>
      <c r="BX804" t="s">
        <v>111</v>
      </c>
      <c r="BY804" t="s">
        <v>111</v>
      </c>
      <c r="BZ804" t="s">
        <v>111</v>
      </c>
      <c r="CA804" t="s">
        <v>111</v>
      </c>
      <c r="CB804" t="s">
        <v>111</v>
      </c>
      <c r="CC804" t="s">
        <v>111</v>
      </c>
      <c r="CD804" t="s">
        <v>111</v>
      </c>
      <c r="CE804" t="s">
        <v>111</v>
      </c>
      <c r="CF804" t="s">
        <v>111</v>
      </c>
      <c r="CG804" t="s">
        <v>111</v>
      </c>
      <c r="CH804" t="s">
        <v>111</v>
      </c>
      <c r="CI804" t="s">
        <v>111</v>
      </c>
      <c r="CJ804" t="s">
        <v>111</v>
      </c>
      <c r="CK804" t="s">
        <v>111</v>
      </c>
      <c r="CL804" t="e">
        <f>-DESTINO ALMACEN</f>
        <v>#NAME?</v>
      </c>
      <c r="CM804" t="s">
        <v>111</v>
      </c>
      <c r="CN804" t="s">
        <v>111</v>
      </c>
      <c r="CO804" t="s">
        <v>111</v>
      </c>
      <c r="CP804" t="s">
        <v>111</v>
      </c>
      <c r="CQ804">
        <v>0</v>
      </c>
      <c r="CR804">
        <v>0</v>
      </c>
      <c r="CS804">
        <v>0</v>
      </c>
      <c r="CT804" t="s">
        <v>111</v>
      </c>
      <c r="CU804">
        <v>0</v>
      </c>
      <c r="CV804" t="s">
        <v>111</v>
      </c>
      <c r="CW804" t="s">
        <v>111</v>
      </c>
      <c r="CX804" t="s">
        <v>111</v>
      </c>
      <c r="CY804">
        <v>0</v>
      </c>
      <c r="CZ804" t="s">
        <v>111</v>
      </c>
      <c r="DA804" t="s">
        <v>111</v>
      </c>
      <c r="DB804" t="s">
        <v>111</v>
      </c>
      <c r="DC804" t="s">
        <v>111</v>
      </c>
    </row>
    <row r="805" spans="1:107">
      <c r="A805">
        <v>199</v>
      </c>
      <c r="B805" t="s">
        <v>162</v>
      </c>
      <c r="C805" s="2">
        <v>8276984</v>
      </c>
      <c r="D805" t="s">
        <v>2701</v>
      </c>
      <c r="E805" t="s">
        <v>2702</v>
      </c>
      <c r="F805" t="s">
        <v>166</v>
      </c>
      <c r="G805" t="s">
        <v>427</v>
      </c>
      <c r="H805">
        <v>0.9</v>
      </c>
      <c r="I805">
        <v>35</v>
      </c>
      <c r="J805">
        <v>0</v>
      </c>
      <c r="K805">
        <v>0</v>
      </c>
      <c r="L805" t="s">
        <v>112</v>
      </c>
      <c r="M805" t="s">
        <v>138</v>
      </c>
      <c r="N805">
        <v>0</v>
      </c>
      <c r="O805">
        <v>0</v>
      </c>
      <c r="P805" t="s">
        <v>138</v>
      </c>
      <c r="Q805">
        <v>8</v>
      </c>
      <c r="R805">
        <v>0</v>
      </c>
      <c r="S805">
        <v>0</v>
      </c>
      <c r="T805">
        <v>0</v>
      </c>
      <c r="U805" t="s">
        <v>168</v>
      </c>
      <c r="V805">
        <v>0</v>
      </c>
      <c r="W805">
        <v>0</v>
      </c>
      <c r="X805">
        <v>1</v>
      </c>
      <c r="Y805">
        <v>0</v>
      </c>
      <c r="Z805" t="s">
        <v>111</v>
      </c>
      <c r="AA805">
        <v>0</v>
      </c>
      <c r="AB805" t="s">
        <v>111</v>
      </c>
      <c r="AC805">
        <v>0</v>
      </c>
      <c r="AD805" t="s">
        <v>111</v>
      </c>
      <c r="AE805">
        <v>0</v>
      </c>
      <c r="AF805">
        <v>0</v>
      </c>
      <c r="AG805" t="s">
        <v>111</v>
      </c>
      <c r="AH805" t="s">
        <v>111</v>
      </c>
      <c r="AI805" t="s">
        <v>111</v>
      </c>
      <c r="AJ805" t="s">
        <v>111</v>
      </c>
      <c r="AK805" t="s">
        <v>111</v>
      </c>
      <c r="AL805" t="s">
        <v>111</v>
      </c>
      <c r="AM805">
        <v>0</v>
      </c>
      <c r="AN805">
        <v>0</v>
      </c>
      <c r="AO805">
        <v>0</v>
      </c>
      <c r="AP805" t="s">
        <v>111</v>
      </c>
      <c r="AQ805" t="s">
        <v>111</v>
      </c>
      <c r="AR805" t="s">
        <v>111</v>
      </c>
      <c r="AS805" t="s">
        <v>111</v>
      </c>
      <c r="AT805" t="s">
        <v>111</v>
      </c>
      <c r="AU805" t="s">
        <v>111</v>
      </c>
      <c r="AV805" t="s">
        <v>111</v>
      </c>
      <c r="AW805" t="s">
        <v>111</v>
      </c>
      <c r="AX805" t="s">
        <v>111</v>
      </c>
      <c r="AY805" t="s">
        <v>111</v>
      </c>
      <c r="AZ805" t="s">
        <v>111</v>
      </c>
      <c r="BA805" t="s">
        <v>111</v>
      </c>
      <c r="BB805" t="s">
        <v>111</v>
      </c>
      <c r="BC805" t="s">
        <v>111</v>
      </c>
      <c r="BD805" t="s">
        <v>111</v>
      </c>
      <c r="BE805" t="s">
        <v>111</v>
      </c>
      <c r="BF805" t="s">
        <v>111</v>
      </c>
      <c r="BG805" t="s">
        <v>111</v>
      </c>
      <c r="BH805" t="s">
        <v>111</v>
      </c>
      <c r="BI805" t="s">
        <v>111</v>
      </c>
      <c r="BJ805" t="s">
        <v>111</v>
      </c>
      <c r="BK805" t="s">
        <v>111</v>
      </c>
      <c r="BL805" t="s">
        <v>111</v>
      </c>
      <c r="BM805" t="s">
        <v>111</v>
      </c>
      <c r="BN805" t="s">
        <v>111</v>
      </c>
      <c r="BO805" t="s">
        <v>111</v>
      </c>
      <c r="BP805" t="s">
        <v>111</v>
      </c>
      <c r="BQ805" t="s">
        <v>111</v>
      </c>
      <c r="BR805" t="s">
        <v>111</v>
      </c>
      <c r="BS805" t="s">
        <v>111</v>
      </c>
      <c r="BT805" t="s">
        <v>111</v>
      </c>
      <c r="BU805" t="s">
        <v>111</v>
      </c>
      <c r="BV805" t="s">
        <v>111</v>
      </c>
      <c r="BW805" t="s">
        <v>111</v>
      </c>
      <c r="BX805" t="s">
        <v>111</v>
      </c>
      <c r="BY805" t="s">
        <v>111</v>
      </c>
      <c r="BZ805" t="s">
        <v>111</v>
      </c>
      <c r="CA805" t="s">
        <v>111</v>
      </c>
      <c r="CB805" t="s">
        <v>111</v>
      </c>
      <c r="CC805" t="s">
        <v>111</v>
      </c>
      <c r="CD805" t="s">
        <v>111</v>
      </c>
      <c r="CE805" t="s">
        <v>111</v>
      </c>
      <c r="CF805" t="s">
        <v>111</v>
      </c>
      <c r="CG805" t="s">
        <v>111</v>
      </c>
      <c r="CH805" t="s">
        <v>111</v>
      </c>
      <c r="CI805" t="s">
        <v>111</v>
      </c>
      <c r="CJ805" t="s">
        <v>111</v>
      </c>
      <c r="CK805" t="s">
        <v>111</v>
      </c>
      <c r="CL805" t="s">
        <v>111</v>
      </c>
      <c r="CM805" t="s">
        <v>111</v>
      </c>
      <c r="CN805" t="s">
        <v>111</v>
      </c>
      <c r="CO805" t="s">
        <v>111</v>
      </c>
      <c r="CP805" t="s">
        <v>111</v>
      </c>
      <c r="CQ805">
        <v>0</v>
      </c>
      <c r="CR805">
        <v>0</v>
      </c>
      <c r="CS805">
        <v>0</v>
      </c>
      <c r="CT805" t="s">
        <v>111</v>
      </c>
      <c r="CU805">
        <v>0</v>
      </c>
      <c r="CV805" t="s">
        <v>111</v>
      </c>
      <c r="CW805" t="s">
        <v>111</v>
      </c>
      <c r="CX805" t="s">
        <v>111</v>
      </c>
      <c r="CY805">
        <v>0</v>
      </c>
      <c r="CZ805" t="s">
        <v>111</v>
      </c>
      <c r="DA805" t="s">
        <v>111</v>
      </c>
      <c r="DB805" t="s">
        <v>111</v>
      </c>
      <c r="DC805" t="s">
        <v>111</v>
      </c>
    </row>
    <row r="806" spans="1:107">
      <c r="A806">
        <v>567</v>
      </c>
      <c r="B806" t="s">
        <v>162</v>
      </c>
      <c r="C806" t="s">
        <v>226</v>
      </c>
      <c r="D806" t="s">
        <v>2683</v>
      </c>
      <c r="E806" t="s">
        <v>2703</v>
      </c>
      <c r="F806" t="s">
        <v>431</v>
      </c>
      <c r="G806" t="s">
        <v>427</v>
      </c>
      <c r="H806">
        <v>1.5</v>
      </c>
      <c r="I806">
        <v>98</v>
      </c>
      <c r="J806">
        <v>0</v>
      </c>
      <c r="K806">
        <v>0</v>
      </c>
      <c r="L806" t="s">
        <v>117</v>
      </c>
      <c r="M806" t="s">
        <v>118</v>
      </c>
      <c r="N806">
        <v>40</v>
      </c>
      <c r="O806">
        <v>1</v>
      </c>
      <c r="P806" t="s">
        <v>138</v>
      </c>
      <c r="Q806">
        <v>40</v>
      </c>
      <c r="R806">
        <v>0</v>
      </c>
      <c r="S806">
        <v>0</v>
      </c>
      <c r="T806">
        <v>5</v>
      </c>
      <c r="U806" t="s">
        <v>2704</v>
      </c>
      <c r="V806">
        <v>0</v>
      </c>
      <c r="W806">
        <v>25</v>
      </c>
      <c r="X806">
        <v>1</v>
      </c>
      <c r="Y806">
        <v>0</v>
      </c>
      <c r="Z806" t="s">
        <v>111</v>
      </c>
      <c r="AA806">
        <v>0</v>
      </c>
      <c r="AB806" t="s">
        <v>111</v>
      </c>
      <c r="AC806">
        <v>0</v>
      </c>
      <c r="AD806" t="s">
        <v>427</v>
      </c>
      <c r="AE806">
        <v>6</v>
      </c>
      <c r="AF806">
        <v>2</v>
      </c>
      <c r="AG806" t="s">
        <v>678</v>
      </c>
      <c r="AH806" t="s">
        <v>113</v>
      </c>
      <c r="AI806">
        <v>42</v>
      </c>
      <c r="AJ806" t="s">
        <v>111</v>
      </c>
      <c r="AK806" t="s">
        <v>111</v>
      </c>
      <c r="AL806" t="s">
        <v>111</v>
      </c>
      <c r="AM806">
        <v>0</v>
      </c>
      <c r="AN806">
        <v>0</v>
      </c>
      <c r="AO806">
        <v>0</v>
      </c>
      <c r="AP806" t="s">
        <v>288</v>
      </c>
      <c r="AQ806" t="s">
        <v>111</v>
      </c>
      <c r="AR806" t="s">
        <v>111</v>
      </c>
      <c r="AS806" t="s">
        <v>111</v>
      </c>
      <c r="AT806" t="s">
        <v>184</v>
      </c>
      <c r="AU806" t="s">
        <v>111</v>
      </c>
      <c r="AV806" t="s">
        <v>111</v>
      </c>
      <c r="AW806" t="s">
        <v>111</v>
      </c>
      <c r="AX806" t="s">
        <v>188</v>
      </c>
      <c r="AY806" t="s">
        <v>111</v>
      </c>
      <c r="AZ806" t="s">
        <v>111</v>
      </c>
      <c r="BA806" t="s">
        <v>111</v>
      </c>
      <c r="BB806" t="s">
        <v>271</v>
      </c>
      <c r="BC806" t="s">
        <v>111</v>
      </c>
      <c r="BD806" t="s">
        <v>111</v>
      </c>
      <c r="BE806" t="s">
        <v>111</v>
      </c>
      <c r="BF806" t="s">
        <v>772</v>
      </c>
      <c r="BG806" t="s">
        <v>111</v>
      </c>
      <c r="BH806" t="s">
        <v>111</v>
      </c>
      <c r="BI806" t="s">
        <v>111</v>
      </c>
      <c r="BJ806" t="s">
        <v>2705</v>
      </c>
      <c r="BK806" t="s">
        <v>111</v>
      </c>
      <c r="BL806" t="s">
        <v>111</v>
      </c>
      <c r="BM806" t="s">
        <v>111</v>
      </c>
      <c r="BN806" t="s">
        <v>288</v>
      </c>
      <c r="BO806" t="s">
        <v>111</v>
      </c>
      <c r="BP806" t="s">
        <v>111</v>
      </c>
      <c r="BQ806" t="s">
        <v>111</v>
      </c>
      <c r="BR806" t="s">
        <v>111</v>
      </c>
      <c r="BS806" t="s">
        <v>111</v>
      </c>
      <c r="BT806" t="s">
        <v>111</v>
      </c>
      <c r="BU806" t="s">
        <v>111</v>
      </c>
      <c r="BV806" t="s">
        <v>111</v>
      </c>
      <c r="BW806" t="s">
        <v>111</v>
      </c>
      <c r="BX806" t="s">
        <v>111</v>
      </c>
      <c r="BY806" t="s">
        <v>111</v>
      </c>
      <c r="BZ806" t="s">
        <v>111</v>
      </c>
      <c r="CA806" t="s">
        <v>111</v>
      </c>
      <c r="CB806" t="s">
        <v>111</v>
      </c>
      <c r="CC806" t="s">
        <v>111</v>
      </c>
      <c r="CD806" t="s">
        <v>111</v>
      </c>
      <c r="CE806" t="s">
        <v>111</v>
      </c>
      <c r="CF806" t="s">
        <v>111</v>
      </c>
      <c r="CG806" t="s">
        <v>111</v>
      </c>
      <c r="CH806" t="s">
        <v>111</v>
      </c>
      <c r="CI806" t="s">
        <v>111</v>
      </c>
      <c r="CJ806" t="s">
        <v>111</v>
      </c>
      <c r="CK806" t="s">
        <v>111</v>
      </c>
      <c r="CL806" t="s">
        <v>153</v>
      </c>
      <c r="CM806" t="s">
        <v>198</v>
      </c>
      <c r="CN806" t="s">
        <v>113</v>
      </c>
      <c r="CO806" t="s">
        <v>2681</v>
      </c>
      <c r="CP806" t="s">
        <v>433</v>
      </c>
      <c r="CQ806">
        <v>0</v>
      </c>
      <c r="CR806">
        <v>2100</v>
      </c>
      <c r="CS806">
        <v>300</v>
      </c>
      <c r="CT806" t="e">
        <f>-ALMACEN</f>
        <v>#NAME?</v>
      </c>
      <c r="CU806">
        <v>0</v>
      </c>
      <c r="CV806" t="s">
        <v>111</v>
      </c>
      <c r="CW806" t="s">
        <v>111</v>
      </c>
      <c r="CX806" t="s">
        <v>111</v>
      </c>
      <c r="CY806">
        <v>0</v>
      </c>
      <c r="CZ806" t="s">
        <v>111</v>
      </c>
      <c r="DA806" t="s">
        <v>111</v>
      </c>
      <c r="DB806" t="s">
        <v>111</v>
      </c>
      <c r="DC806" t="s">
        <v>111</v>
      </c>
    </row>
    <row r="807" spans="1:107">
      <c r="A807">
        <v>558</v>
      </c>
      <c r="B807" t="s">
        <v>162</v>
      </c>
      <c r="C807" t="s">
        <v>226</v>
      </c>
      <c r="D807" t="s">
        <v>2683</v>
      </c>
      <c r="E807" t="s">
        <v>2706</v>
      </c>
      <c r="F807" t="s">
        <v>431</v>
      </c>
      <c r="G807" t="s">
        <v>427</v>
      </c>
      <c r="H807">
        <v>1.5</v>
      </c>
      <c r="I807">
        <v>98</v>
      </c>
      <c r="J807">
        <v>0</v>
      </c>
      <c r="K807">
        <v>0</v>
      </c>
      <c r="L807" t="s">
        <v>117</v>
      </c>
      <c r="M807" t="s">
        <v>118</v>
      </c>
      <c r="N807">
        <v>40</v>
      </c>
      <c r="O807">
        <v>1</v>
      </c>
      <c r="P807" t="s">
        <v>138</v>
      </c>
      <c r="Q807">
        <v>35</v>
      </c>
      <c r="R807">
        <v>0</v>
      </c>
      <c r="S807">
        <v>0</v>
      </c>
      <c r="T807">
        <v>0</v>
      </c>
      <c r="U807" t="s">
        <v>2685</v>
      </c>
      <c r="V807">
        <v>0</v>
      </c>
      <c r="W807">
        <v>0</v>
      </c>
      <c r="X807">
        <v>1</v>
      </c>
      <c r="Y807">
        <v>0</v>
      </c>
      <c r="Z807" t="s">
        <v>111</v>
      </c>
      <c r="AA807">
        <v>0</v>
      </c>
      <c r="AB807" t="s">
        <v>111</v>
      </c>
      <c r="AC807">
        <v>0</v>
      </c>
      <c r="AD807" t="s">
        <v>427</v>
      </c>
      <c r="AE807">
        <v>6</v>
      </c>
      <c r="AF807">
        <v>2</v>
      </c>
      <c r="AG807" t="s">
        <v>678</v>
      </c>
      <c r="AH807" t="s">
        <v>111</v>
      </c>
      <c r="AI807">
        <v>42</v>
      </c>
      <c r="AJ807" t="s">
        <v>111</v>
      </c>
      <c r="AK807" t="s">
        <v>111</v>
      </c>
      <c r="AL807" t="s">
        <v>111</v>
      </c>
      <c r="AM807">
        <v>0</v>
      </c>
      <c r="AN807">
        <v>0</v>
      </c>
      <c r="AO807">
        <v>0</v>
      </c>
      <c r="AP807" t="s">
        <v>288</v>
      </c>
      <c r="AQ807" t="s">
        <v>111</v>
      </c>
      <c r="AR807" t="s">
        <v>111</v>
      </c>
      <c r="AS807" t="s">
        <v>111</v>
      </c>
      <c r="AT807" t="s">
        <v>184</v>
      </c>
      <c r="AU807" t="s">
        <v>111</v>
      </c>
      <c r="AV807" t="s">
        <v>111</v>
      </c>
      <c r="AW807" t="s">
        <v>111</v>
      </c>
      <c r="AX807" t="s">
        <v>188</v>
      </c>
      <c r="AY807" t="s">
        <v>111</v>
      </c>
      <c r="AZ807" t="s">
        <v>111</v>
      </c>
      <c r="BA807" t="s">
        <v>111</v>
      </c>
      <c r="BB807" t="s">
        <v>271</v>
      </c>
      <c r="BC807" t="s">
        <v>111</v>
      </c>
      <c r="BD807" t="s">
        <v>111</v>
      </c>
      <c r="BE807" t="s">
        <v>111</v>
      </c>
      <c r="BF807" t="s">
        <v>772</v>
      </c>
      <c r="BG807" t="s">
        <v>111</v>
      </c>
      <c r="BH807" t="s">
        <v>111</v>
      </c>
      <c r="BI807" t="s">
        <v>111</v>
      </c>
      <c r="BJ807" t="s">
        <v>2705</v>
      </c>
      <c r="BK807" t="s">
        <v>111</v>
      </c>
      <c r="BL807" t="s">
        <v>111</v>
      </c>
      <c r="BM807" t="s">
        <v>111</v>
      </c>
      <c r="BN807" t="s">
        <v>111</v>
      </c>
      <c r="BO807" t="s">
        <v>111</v>
      </c>
      <c r="BP807" t="s">
        <v>111</v>
      </c>
      <c r="BQ807" t="s">
        <v>111</v>
      </c>
      <c r="BR807" t="s">
        <v>111</v>
      </c>
      <c r="BS807" t="s">
        <v>111</v>
      </c>
      <c r="BT807" t="s">
        <v>111</v>
      </c>
      <c r="BU807" t="s">
        <v>111</v>
      </c>
      <c r="BV807" t="s">
        <v>111</v>
      </c>
      <c r="BW807" t="s">
        <v>111</v>
      </c>
      <c r="BX807" t="s">
        <v>111</v>
      </c>
      <c r="BY807" t="s">
        <v>111</v>
      </c>
      <c r="BZ807" t="s">
        <v>111</v>
      </c>
      <c r="CA807" t="s">
        <v>111</v>
      </c>
      <c r="CB807" t="s">
        <v>111</v>
      </c>
      <c r="CC807" t="s">
        <v>111</v>
      </c>
      <c r="CD807" t="s">
        <v>111</v>
      </c>
      <c r="CE807" t="s">
        <v>111</v>
      </c>
      <c r="CF807" t="s">
        <v>111</v>
      </c>
      <c r="CG807" t="s">
        <v>111</v>
      </c>
      <c r="CH807" t="s">
        <v>111</v>
      </c>
      <c r="CI807" t="s">
        <v>111</v>
      </c>
      <c r="CJ807" t="s">
        <v>111</v>
      </c>
      <c r="CK807" t="s">
        <v>111</v>
      </c>
      <c r="CL807" t="s">
        <v>153</v>
      </c>
      <c r="CM807" t="s">
        <v>198</v>
      </c>
      <c r="CN807" t="s">
        <v>113</v>
      </c>
      <c r="CO807" t="s">
        <v>2681</v>
      </c>
      <c r="CP807" t="s">
        <v>433</v>
      </c>
      <c r="CQ807">
        <v>54</v>
      </c>
      <c r="CR807">
        <v>2100</v>
      </c>
      <c r="CS807">
        <v>300</v>
      </c>
      <c r="CT807" t="s">
        <v>168</v>
      </c>
      <c r="CU807">
        <v>0</v>
      </c>
      <c r="CV807" t="s">
        <v>111</v>
      </c>
      <c r="CW807" t="s">
        <v>111</v>
      </c>
      <c r="CX807" t="s">
        <v>111</v>
      </c>
      <c r="CY807">
        <v>0</v>
      </c>
      <c r="CZ807" t="s">
        <v>111</v>
      </c>
      <c r="DA807" t="s">
        <v>111</v>
      </c>
      <c r="DB807" t="s">
        <v>111</v>
      </c>
      <c r="DC807" t="s">
        <v>111</v>
      </c>
    </row>
    <row r="808" spans="1:107">
      <c r="A808">
        <v>1520</v>
      </c>
      <c r="B808" t="s">
        <v>107</v>
      </c>
      <c r="C808" t="s">
        <v>226</v>
      </c>
      <c r="D808" t="s">
        <v>2707</v>
      </c>
      <c r="E808" t="s">
        <v>2708</v>
      </c>
      <c r="F808" t="s">
        <v>431</v>
      </c>
      <c r="G808" t="s">
        <v>427</v>
      </c>
      <c r="H808">
        <v>1.5</v>
      </c>
      <c r="I808">
        <v>60</v>
      </c>
      <c r="J808">
        <v>0</v>
      </c>
      <c r="K808">
        <v>0</v>
      </c>
      <c r="L808" t="s">
        <v>117</v>
      </c>
      <c r="M808" t="s">
        <v>118</v>
      </c>
      <c r="N808">
        <v>40</v>
      </c>
      <c r="O808">
        <v>1</v>
      </c>
      <c r="P808" t="s">
        <v>111</v>
      </c>
      <c r="Q808">
        <v>40</v>
      </c>
      <c r="R808">
        <v>0</v>
      </c>
      <c r="S808">
        <v>0</v>
      </c>
      <c r="T808">
        <v>5</v>
      </c>
      <c r="U808" t="e">
        <f>-IMPRESION CORREA</f>
        <v>#NAME?</v>
      </c>
      <c r="V808">
        <v>25</v>
      </c>
      <c r="W808">
        <v>0</v>
      </c>
      <c r="X808">
        <v>100</v>
      </c>
      <c r="Y808">
        <v>0</v>
      </c>
      <c r="Z808" t="s">
        <v>111</v>
      </c>
      <c r="AA808">
        <v>0</v>
      </c>
      <c r="AB808" t="s">
        <v>111</v>
      </c>
      <c r="AC808">
        <v>0</v>
      </c>
      <c r="AD808" t="s">
        <v>427</v>
      </c>
      <c r="AE808">
        <v>0</v>
      </c>
      <c r="AF808">
        <v>0</v>
      </c>
      <c r="AG808" t="s">
        <v>111</v>
      </c>
      <c r="AH808" t="s">
        <v>113</v>
      </c>
      <c r="AI808" t="s">
        <v>111</v>
      </c>
      <c r="AJ808" t="s">
        <v>111</v>
      </c>
      <c r="AK808" t="s">
        <v>111</v>
      </c>
      <c r="AL808" t="s">
        <v>111</v>
      </c>
      <c r="AM808">
        <v>0</v>
      </c>
      <c r="AN808">
        <v>0</v>
      </c>
      <c r="AO808">
        <v>0</v>
      </c>
      <c r="AP808" t="s">
        <v>111</v>
      </c>
      <c r="AQ808" t="s">
        <v>111</v>
      </c>
      <c r="AR808" t="s">
        <v>111</v>
      </c>
      <c r="AS808" t="s">
        <v>111</v>
      </c>
      <c r="AT808" t="s">
        <v>111</v>
      </c>
      <c r="AU808" t="s">
        <v>111</v>
      </c>
      <c r="AV808" t="s">
        <v>111</v>
      </c>
      <c r="AW808" t="s">
        <v>111</v>
      </c>
      <c r="AX808" t="s">
        <v>111</v>
      </c>
      <c r="AY808" t="s">
        <v>111</v>
      </c>
      <c r="AZ808" t="s">
        <v>111</v>
      </c>
      <c r="BA808" t="s">
        <v>111</v>
      </c>
      <c r="BB808" t="s">
        <v>111</v>
      </c>
      <c r="BC808" t="s">
        <v>111</v>
      </c>
      <c r="BD808" t="s">
        <v>111</v>
      </c>
      <c r="BE808" t="s">
        <v>111</v>
      </c>
      <c r="BF808" t="s">
        <v>111</v>
      </c>
      <c r="BG808" t="s">
        <v>111</v>
      </c>
      <c r="BH808" t="s">
        <v>111</v>
      </c>
      <c r="BI808" t="s">
        <v>111</v>
      </c>
      <c r="BJ808" t="s">
        <v>111</v>
      </c>
      <c r="BK808" t="s">
        <v>111</v>
      </c>
      <c r="BL808" t="s">
        <v>111</v>
      </c>
      <c r="BM808" t="s">
        <v>111</v>
      </c>
      <c r="BN808" t="s">
        <v>111</v>
      </c>
      <c r="BO808" t="s">
        <v>111</v>
      </c>
      <c r="BP808" t="s">
        <v>111</v>
      </c>
      <c r="BQ808" t="s">
        <v>111</v>
      </c>
      <c r="BR808" t="s">
        <v>111</v>
      </c>
      <c r="BS808" t="s">
        <v>111</v>
      </c>
      <c r="BT808" t="s">
        <v>111</v>
      </c>
      <c r="BU808" t="s">
        <v>111</v>
      </c>
      <c r="BV808" t="s">
        <v>111</v>
      </c>
      <c r="BW808" t="s">
        <v>111</v>
      </c>
      <c r="BX808" t="s">
        <v>111</v>
      </c>
      <c r="BY808" t="s">
        <v>111</v>
      </c>
      <c r="BZ808" t="s">
        <v>111</v>
      </c>
      <c r="CA808" t="s">
        <v>111</v>
      </c>
      <c r="CB808" t="s">
        <v>111</v>
      </c>
      <c r="CC808" t="s">
        <v>111</v>
      </c>
      <c r="CD808" t="s">
        <v>111</v>
      </c>
      <c r="CE808" t="s">
        <v>111</v>
      </c>
      <c r="CF808" t="s">
        <v>111</v>
      </c>
      <c r="CG808" t="s">
        <v>111</v>
      </c>
      <c r="CH808" t="s">
        <v>111</v>
      </c>
      <c r="CI808" t="s">
        <v>111</v>
      </c>
      <c r="CJ808" t="s">
        <v>111</v>
      </c>
      <c r="CK808" t="s">
        <v>111</v>
      </c>
      <c r="CL808" t="s">
        <v>111</v>
      </c>
      <c r="CM808" t="s">
        <v>360</v>
      </c>
      <c r="CN808" t="s">
        <v>113</v>
      </c>
      <c r="CO808" t="s">
        <v>2681</v>
      </c>
      <c r="CP808" t="e">
        <f>-MUESTRA</f>
        <v>#NAME?</v>
      </c>
      <c r="CQ808">
        <v>68</v>
      </c>
      <c r="CR808">
        <v>4500</v>
      </c>
      <c r="CS808">
        <v>300</v>
      </c>
      <c r="CT808" s="1" t="s">
        <v>2709</v>
      </c>
      <c r="CU808">
        <v>0</v>
      </c>
      <c r="CV808" t="s">
        <v>111</v>
      </c>
      <c r="CW808" t="s">
        <v>111</v>
      </c>
      <c r="CX808" t="s">
        <v>111</v>
      </c>
      <c r="CY808">
        <v>0</v>
      </c>
      <c r="CZ808" t="s">
        <v>111</v>
      </c>
      <c r="DA808" t="s">
        <v>111</v>
      </c>
      <c r="DB808" t="s">
        <v>111</v>
      </c>
      <c r="DC808" t="s">
        <v>111</v>
      </c>
    </row>
    <row r="809" spans="1:107">
      <c r="A809">
        <v>1994</v>
      </c>
      <c r="B809" t="s">
        <v>107</v>
      </c>
      <c r="C809" t="s">
        <v>226</v>
      </c>
      <c r="D809" t="s">
        <v>2679</v>
      </c>
      <c r="E809" t="s">
        <v>2680</v>
      </c>
      <c r="F809" t="s">
        <v>431</v>
      </c>
      <c r="G809" t="s">
        <v>427</v>
      </c>
      <c r="H809">
        <v>1.5</v>
      </c>
      <c r="I809">
        <v>92</v>
      </c>
      <c r="J809">
        <v>0</v>
      </c>
      <c r="K809">
        <v>0</v>
      </c>
      <c r="L809" t="s">
        <v>117</v>
      </c>
      <c r="M809" t="s">
        <v>118</v>
      </c>
      <c r="N809">
        <v>40</v>
      </c>
      <c r="O809">
        <v>1</v>
      </c>
      <c r="P809" t="s">
        <v>111</v>
      </c>
      <c r="Q809">
        <v>50</v>
      </c>
      <c r="R809">
        <v>0</v>
      </c>
      <c r="S809">
        <v>0</v>
      </c>
      <c r="T809">
        <v>5</v>
      </c>
      <c r="U809" t="e">
        <f>-IMPRESION CORREA</f>
        <v>#NAME?</v>
      </c>
      <c r="V809">
        <v>0</v>
      </c>
      <c r="W809">
        <v>25</v>
      </c>
      <c r="X809">
        <v>8</v>
      </c>
      <c r="Y809">
        <v>0</v>
      </c>
      <c r="Z809" t="s">
        <v>111</v>
      </c>
      <c r="AA809">
        <v>0</v>
      </c>
      <c r="AB809" t="s">
        <v>111</v>
      </c>
      <c r="AC809">
        <v>0</v>
      </c>
      <c r="AD809" t="s">
        <v>427</v>
      </c>
      <c r="AE809">
        <v>0</v>
      </c>
      <c r="AF809">
        <v>0</v>
      </c>
      <c r="AG809" t="s">
        <v>111</v>
      </c>
      <c r="AH809" t="s">
        <v>111</v>
      </c>
      <c r="AI809" t="s">
        <v>111</v>
      </c>
      <c r="AJ809" t="s">
        <v>111</v>
      </c>
      <c r="AK809" t="s">
        <v>111</v>
      </c>
      <c r="AL809" t="s">
        <v>111</v>
      </c>
      <c r="AM809">
        <v>0</v>
      </c>
      <c r="AN809">
        <v>0</v>
      </c>
      <c r="AO809">
        <v>0</v>
      </c>
      <c r="AP809" t="s">
        <v>111</v>
      </c>
      <c r="AQ809" t="s">
        <v>111</v>
      </c>
      <c r="AR809" t="s">
        <v>111</v>
      </c>
      <c r="AS809" t="s">
        <v>111</v>
      </c>
      <c r="AT809" t="s">
        <v>111</v>
      </c>
      <c r="AU809" t="s">
        <v>111</v>
      </c>
      <c r="AV809" t="s">
        <v>111</v>
      </c>
      <c r="AW809" t="s">
        <v>111</v>
      </c>
      <c r="AX809" t="s">
        <v>111</v>
      </c>
      <c r="AY809" t="s">
        <v>111</v>
      </c>
      <c r="AZ809" t="s">
        <v>111</v>
      </c>
      <c r="BA809" t="s">
        <v>111</v>
      </c>
      <c r="BB809" t="s">
        <v>111</v>
      </c>
      <c r="BC809" t="s">
        <v>111</v>
      </c>
      <c r="BD809" t="s">
        <v>111</v>
      </c>
      <c r="BE809" t="s">
        <v>111</v>
      </c>
      <c r="BF809" t="s">
        <v>111</v>
      </c>
      <c r="BG809" t="s">
        <v>111</v>
      </c>
      <c r="BH809" t="s">
        <v>111</v>
      </c>
      <c r="BI809" t="s">
        <v>111</v>
      </c>
      <c r="BJ809" t="s">
        <v>111</v>
      </c>
      <c r="BK809" t="s">
        <v>111</v>
      </c>
      <c r="BL809" t="s">
        <v>111</v>
      </c>
      <c r="BM809" t="s">
        <v>111</v>
      </c>
      <c r="BN809" t="s">
        <v>111</v>
      </c>
      <c r="BO809" t="s">
        <v>111</v>
      </c>
      <c r="BP809" t="s">
        <v>111</v>
      </c>
      <c r="BQ809" t="s">
        <v>111</v>
      </c>
      <c r="BR809" t="s">
        <v>111</v>
      </c>
      <c r="BS809" t="s">
        <v>111</v>
      </c>
      <c r="BT809" t="s">
        <v>111</v>
      </c>
      <c r="BU809" t="s">
        <v>111</v>
      </c>
      <c r="BV809" t="s">
        <v>111</v>
      </c>
      <c r="BW809" t="s">
        <v>111</v>
      </c>
      <c r="BX809" t="s">
        <v>111</v>
      </c>
      <c r="BY809" t="s">
        <v>111</v>
      </c>
      <c r="BZ809" t="s">
        <v>111</v>
      </c>
      <c r="CA809" t="s">
        <v>111</v>
      </c>
      <c r="CB809" t="s">
        <v>111</v>
      </c>
      <c r="CC809" t="s">
        <v>111</v>
      </c>
      <c r="CD809" t="s">
        <v>111</v>
      </c>
      <c r="CE809" t="s">
        <v>111</v>
      </c>
      <c r="CF809" t="s">
        <v>111</v>
      </c>
      <c r="CG809" t="s">
        <v>111</v>
      </c>
      <c r="CH809" t="s">
        <v>111</v>
      </c>
      <c r="CI809" t="s">
        <v>111</v>
      </c>
      <c r="CJ809" t="s">
        <v>111</v>
      </c>
      <c r="CK809" t="s">
        <v>111</v>
      </c>
      <c r="CL809" t="s">
        <v>111</v>
      </c>
      <c r="CM809" t="s">
        <v>360</v>
      </c>
      <c r="CN809" t="s">
        <v>113</v>
      </c>
      <c r="CO809" t="s">
        <v>2681</v>
      </c>
      <c r="CP809" t="e">
        <f>-MUESTRA</f>
        <v>#NAME?</v>
      </c>
      <c r="CQ809">
        <v>0</v>
      </c>
      <c r="CR809">
        <v>2100</v>
      </c>
      <c r="CS809">
        <v>300</v>
      </c>
      <c r="CT809" s="1" t="s">
        <v>2710</v>
      </c>
      <c r="CU809">
        <v>0</v>
      </c>
      <c r="CV809" t="s">
        <v>111</v>
      </c>
      <c r="CX809" t="s">
        <v>111</v>
      </c>
      <c r="CY809">
        <v>0</v>
      </c>
      <c r="CZ809" t="s">
        <v>111</v>
      </c>
      <c r="DA809" t="s">
        <v>111</v>
      </c>
      <c r="DB809" t="s">
        <v>111</v>
      </c>
      <c r="DC809" t="s">
        <v>111</v>
      </c>
    </row>
    <row r="810" spans="1:107">
      <c r="A810">
        <v>58</v>
      </c>
      <c r="B810" t="s">
        <v>162</v>
      </c>
      <c r="C810" t="s">
        <v>2711</v>
      </c>
      <c r="D810" t="s">
        <v>2712</v>
      </c>
      <c r="E810" t="s">
        <v>2713</v>
      </c>
      <c r="F810" t="s">
        <v>431</v>
      </c>
      <c r="G810" t="s">
        <v>427</v>
      </c>
      <c r="H810">
        <v>1.05</v>
      </c>
      <c r="I810">
        <v>84</v>
      </c>
      <c r="J810">
        <v>0</v>
      </c>
      <c r="K810">
        <v>0</v>
      </c>
      <c r="L810" t="s">
        <v>117</v>
      </c>
      <c r="M810" t="s">
        <v>118</v>
      </c>
      <c r="N810">
        <v>40</v>
      </c>
      <c r="O810">
        <v>1</v>
      </c>
      <c r="P810" t="s">
        <v>138</v>
      </c>
      <c r="Q810">
        <v>40</v>
      </c>
      <c r="R810">
        <v>0</v>
      </c>
      <c r="S810">
        <v>0</v>
      </c>
      <c r="T810">
        <v>0</v>
      </c>
      <c r="U810" t="s">
        <v>2685</v>
      </c>
      <c r="V810">
        <v>0</v>
      </c>
      <c r="W810">
        <v>0</v>
      </c>
      <c r="X810">
        <v>1</v>
      </c>
      <c r="Y810">
        <v>0</v>
      </c>
      <c r="Z810" t="s">
        <v>111</v>
      </c>
      <c r="AA810">
        <v>0</v>
      </c>
      <c r="AB810" t="s">
        <v>111</v>
      </c>
      <c r="AC810">
        <v>0</v>
      </c>
      <c r="AD810" t="s">
        <v>427</v>
      </c>
      <c r="AE810">
        <v>3</v>
      </c>
      <c r="AF810">
        <v>2</v>
      </c>
      <c r="AG810">
        <v>28</v>
      </c>
      <c r="AH810" t="s">
        <v>111</v>
      </c>
      <c r="AI810">
        <v>56</v>
      </c>
      <c r="AJ810" t="s">
        <v>111</v>
      </c>
      <c r="AK810" t="s">
        <v>111</v>
      </c>
      <c r="AL810" t="s">
        <v>111</v>
      </c>
      <c r="AM810">
        <v>0</v>
      </c>
      <c r="AN810">
        <v>0</v>
      </c>
      <c r="AO810">
        <v>0</v>
      </c>
      <c r="AP810" t="s">
        <v>288</v>
      </c>
      <c r="AQ810" t="s">
        <v>111</v>
      </c>
      <c r="AR810" t="s">
        <v>111</v>
      </c>
      <c r="AS810" t="s">
        <v>111</v>
      </c>
      <c r="AT810" t="s">
        <v>184</v>
      </c>
      <c r="AU810" t="s">
        <v>111</v>
      </c>
      <c r="AV810" t="s">
        <v>111</v>
      </c>
      <c r="AW810" t="s">
        <v>111</v>
      </c>
      <c r="AX810" t="s">
        <v>188</v>
      </c>
      <c r="AY810" t="s">
        <v>111</v>
      </c>
      <c r="AZ810" t="s">
        <v>111</v>
      </c>
      <c r="BA810" t="s">
        <v>111</v>
      </c>
      <c r="BB810" t="s">
        <v>111</v>
      </c>
      <c r="BC810" t="s">
        <v>111</v>
      </c>
      <c r="BD810" t="s">
        <v>111</v>
      </c>
      <c r="BE810" t="s">
        <v>111</v>
      </c>
      <c r="BF810" t="s">
        <v>111</v>
      </c>
      <c r="BG810" t="s">
        <v>111</v>
      </c>
      <c r="BH810" t="s">
        <v>111</v>
      </c>
      <c r="BI810" t="s">
        <v>111</v>
      </c>
      <c r="BJ810" t="s">
        <v>111</v>
      </c>
      <c r="BK810" t="s">
        <v>111</v>
      </c>
      <c r="BL810" t="s">
        <v>111</v>
      </c>
      <c r="BM810" t="s">
        <v>111</v>
      </c>
      <c r="BN810" t="s">
        <v>111</v>
      </c>
      <c r="BO810" t="s">
        <v>111</v>
      </c>
      <c r="BP810" t="s">
        <v>111</v>
      </c>
      <c r="BQ810" t="s">
        <v>111</v>
      </c>
      <c r="BR810" t="s">
        <v>111</v>
      </c>
      <c r="BS810" t="s">
        <v>111</v>
      </c>
      <c r="BT810" t="s">
        <v>111</v>
      </c>
      <c r="BU810" t="s">
        <v>111</v>
      </c>
      <c r="BV810" t="s">
        <v>111</v>
      </c>
      <c r="BW810" t="s">
        <v>111</v>
      </c>
      <c r="BX810" t="s">
        <v>111</v>
      </c>
      <c r="BY810" t="s">
        <v>111</v>
      </c>
      <c r="BZ810" t="s">
        <v>111</v>
      </c>
      <c r="CA810" t="s">
        <v>111</v>
      </c>
      <c r="CB810" t="s">
        <v>111</v>
      </c>
      <c r="CC810" t="s">
        <v>111</v>
      </c>
      <c r="CD810" t="s">
        <v>111</v>
      </c>
      <c r="CE810" t="s">
        <v>111</v>
      </c>
      <c r="CF810" t="s">
        <v>111</v>
      </c>
      <c r="CG810" t="s">
        <v>111</v>
      </c>
      <c r="CH810" t="s">
        <v>111</v>
      </c>
      <c r="CI810" t="s">
        <v>111</v>
      </c>
      <c r="CJ810" t="s">
        <v>111</v>
      </c>
      <c r="CK810" t="s">
        <v>111</v>
      </c>
      <c r="CL810" t="s">
        <v>153</v>
      </c>
      <c r="CM810" t="s">
        <v>198</v>
      </c>
      <c r="CN810" t="s">
        <v>113</v>
      </c>
      <c r="CO810" t="s">
        <v>222</v>
      </c>
      <c r="CP810" t="s">
        <v>433</v>
      </c>
      <c r="CQ810">
        <v>0</v>
      </c>
      <c r="CR810">
        <v>0</v>
      </c>
      <c r="CS810">
        <v>0</v>
      </c>
      <c r="CT810" t="s">
        <v>168</v>
      </c>
      <c r="CU810">
        <v>0</v>
      </c>
      <c r="CV810" t="s">
        <v>111</v>
      </c>
      <c r="CW810" t="s">
        <v>111</v>
      </c>
      <c r="CX810" t="s">
        <v>111</v>
      </c>
      <c r="CY810">
        <v>0</v>
      </c>
      <c r="CZ810" t="s">
        <v>111</v>
      </c>
      <c r="DA810" t="s">
        <v>111</v>
      </c>
      <c r="DB810" t="s">
        <v>111</v>
      </c>
      <c r="DC810" t="s">
        <v>111</v>
      </c>
    </row>
    <row r="811" spans="1:107">
      <c r="A811">
        <v>1109</v>
      </c>
      <c r="B811" t="s">
        <v>107</v>
      </c>
      <c r="C811" t="s">
        <v>114</v>
      </c>
      <c r="D811" t="s">
        <v>2663</v>
      </c>
      <c r="E811" t="s">
        <v>2714</v>
      </c>
      <c r="F811" t="s">
        <v>2665</v>
      </c>
      <c r="G811" t="s">
        <v>427</v>
      </c>
      <c r="H811">
        <v>2.7</v>
      </c>
      <c r="I811">
        <v>34</v>
      </c>
      <c r="J811">
        <v>0</v>
      </c>
      <c r="K811">
        <v>0</v>
      </c>
      <c r="L811" t="s">
        <v>117</v>
      </c>
      <c r="M811" t="s">
        <v>118</v>
      </c>
      <c r="N811">
        <v>0</v>
      </c>
      <c r="O811">
        <v>1</v>
      </c>
      <c r="P811" t="s">
        <v>138</v>
      </c>
      <c r="Q811">
        <v>20</v>
      </c>
      <c r="R811">
        <v>0</v>
      </c>
      <c r="S811">
        <v>0</v>
      </c>
      <c r="T811">
        <v>5</v>
      </c>
      <c r="U811" t="s">
        <v>2666</v>
      </c>
      <c r="V811">
        <v>0</v>
      </c>
      <c r="W811">
        <v>0</v>
      </c>
      <c r="X811">
        <v>1</v>
      </c>
      <c r="Y811">
        <v>0</v>
      </c>
      <c r="Z811" t="s">
        <v>111</v>
      </c>
      <c r="AA811">
        <v>0</v>
      </c>
      <c r="AB811" t="s">
        <v>111</v>
      </c>
      <c r="AC811">
        <v>0</v>
      </c>
      <c r="AD811" t="s">
        <v>427</v>
      </c>
      <c r="AE811">
        <v>0</v>
      </c>
      <c r="AF811">
        <v>0</v>
      </c>
      <c r="AG811" t="s">
        <v>111</v>
      </c>
      <c r="AH811" t="s">
        <v>111</v>
      </c>
      <c r="AI811" t="s">
        <v>111</v>
      </c>
      <c r="AJ811" t="s">
        <v>111</v>
      </c>
      <c r="AK811" t="s">
        <v>111</v>
      </c>
      <c r="AL811" t="s">
        <v>111</v>
      </c>
      <c r="AM811">
        <v>0</v>
      </c>
      <c r="AN811">
        <v>0</v>
      </c>
      <c r="AO811">
        <v>0</v>
      </c>
      <c r="AP811" t="s">
        <v>111</v>
      </c>
      <c r="AQ811" t="s">
        <v>111</v>
      </c>
      <c r="AR811" t="s">
        <v>111</v>
      </c>
      <c r="AS811" t="s">
        <v>111</v>
      </c>
      <c r="AT811" t="s">
        <v>111</v>
      </c>
      <c r="AU811" t="s">
        <v>111</v>
      </c>
      <c r="AV811" t="s">
        <v>111</v>
      </c>
      <c r="AW811" t="s">
        <v>111</v>
      </c>
      <c r="AX811" t="s">
        <v>111</v>
      </c>
      <c r="AY811" t="s">
        <v>111</v>
      </c>
      <c r="AZ811" t="s">
        <v>111</v>
      </c>
      <c r="BA811" t="s">
        <v>111</v>
      </c>
      <c r="BB811" t="s">
        <v>111</v>
      </c>
      <c r="BC811" t="s">
        <v>111</v>
      </c>
      <c r="BD811" t="s">
        <v>111</v>
      </c>
      <c r="BE811" t="s">
        <v>111</v>
      </c>
      <c r="BF811" t="s">
        <v>111</v>
      </c>
      <c r="BG811" t="s">
        <v>111</v>
      </c>
      <c r="BH811" t="s">
        <v>111</v>
      </c>
      <c r="BI811" t="s">
        <v>111</v>
      </c>
      <c r="BJ811" t="s">
        <v>111</v>
      </c>
      <c r="BK811" t="s">
        <v>111</v>
      </c>
      <c r="BL811" t="s">
        <v>111</v>
      </c>
      <c r="BM811" t="s">
        <v>111</v>
      </c>
      <c r="BN811" t="s">
        <v>111</v>
      </c>
      <c r="BO811" t="s">
        <v>111</v>
      </c>
      <c r="BP811" t="s">
        <v>111</v>
      </c>
      <c r="BQ811" t="s">
        <v>111</v>
      </c>
      <c r="BR811" t="s">
        <v>111</v>
      </c>
      <c r="BS811" t="s">
        <v>111</v>
      </c>
      <c r="BT811" t="s">
        <v>111</v>
      </c>
      <c r="BU811" t="s">
        <v>111</v>
      </c>
      <c r="BV811" t="s">
        <v>111</v>
      </c>
      <c r="BW811" t="s">
        <v>111</v>
      </c>
      <c r="BX811" t="s">
        <v>111</v>
      </c>
      <c r="BY811" t="s">
        <v>111</v>
      </c>
      <c r="BZ811" t="s">
        <v>111</v>
      </c>
      <c r="CA811" t="s">
        <v>111</v>
      </c>
      <c r="CB811" t="s">
        <v>111</v>
      </c>
      <c r="CC811" t="s">
        <v>111</v>
      </c>
      <c r="CD811" t="s">
        <v>111</v>
      </c>
      <c r="CE811" t="s">
        <v>111</v>
      </c>
      <c r="CF811" t="s">
        <v>111</v>
      </c>
      <c r="CG811" t="s">
        <v>111</v>
      </c>
      <c r="CH811" t="s">
        <v>111</v>
      </c>
      <c r="CI811" t="s">
        <v>111</v>
      </c>
      <c r="CJ811" t="s">
        <v>111</v>
      </c>
      <c r="CK811" t="s">
        <v>111</v>
      </c>
      <c r="CL811" t="e">
        <f>-DESTINO AMACEN</f>
        <v>#NAME?</v>
      </c>
      <c r="CM811" t="s">
        <v>111</v>
      </c>
      <c r="CN811" t="s">
        <v>111</v>
      </c>
      <c r="CO811" t="s">
        <v>111</v>
      </c>
      <c r="CP811" t="s">
        <v>111</v>
      </c>
      <c r="CQ811">
        <v>0</v>
      </c>
      <c r="CR811">
        <v>0</v>
      </c>
      <c r="CS811">
        <v>0</v>
      </c>
      <c r="CT811" t="s">
        <v>111</v>
      </c>
      <c r="CU811">
        <v>0</v>
      </c>
      <c r="CV811" t="s">
        <v>111</v>
      </c>
      <c r="CW811" t="s">
        <v>111</v>
      </c>
      <c r="CX811" t="s">
        <v>111</v>
      </c>
      <c r="CY811">
        <v>0</v>
      </c>
      <c r="CZ811" t="s">
        <v>111</v>
      </c>
      <c r="DA811" t="s">
        <v>111</v>
      </c>
      <c r="DB811" t="s">
        <v>111</v>
      </c>
      <c r="DC811" t="s">
        <v>111</v>
      </c>
    </row>
    <row r="812" spans="1:107">
      <c r="A812">
        <v>407</v>
      </c>
      <c r="B812" t="s">
        <v>162</v>
      </c>
      <c r="C812" t="s">
        <v>2690</v>
      </c>
      <c r="D812" t="s">
        <v>1355</v>
      </c>
      <c r="E812" t="s">
        <v>2715</v>
      </c>
      <c r="F812" t="s">
        <v>431</v>
      </c>
      <c r="G812" t="s">
        <v>427</v>
      </c>
      <c r="H812">
        <v>1.5</v>
      </c>
      <c r="I812">
        <v>100</v>
      </c>
      <c r="J812">
        <v>0</v>
      </c>
      <c r="K812">
        <v>0</v>
      </c>
      <c r="L812" t="s">
        <v>117</v>
      </c>
      <c r="M812" t="s">
        <v>118</v>
      </c>
      <c r="N812">
        <v>40</v>
      </c>
      <c r="O812">
        <v>1</v>
      </c>
      <c r="P812" t="s">
        <v>138</v>
      </c>
      <c r="Q812">
        <v>40</v>
      </c>
      <c r="R812">
        <v>0</v>
      </c>
      <c r="S812">
        <v>0</v>
      </c>
      <c r="T812">
        <v>0</v>
      </c>
      <c r="U812" t="s">
        <v>2685</v>
      </c>
      <c r="V812">
        <v>0</v>
      </c>
      <c r="W812">
        <v>0</v>
      </c>
      <c r="X812">
        <v>1</v>
      </c>
      <c r="Y812">
        <v>0</v>
      </c>
      <c r="Z812" t="s">
        <v>111</v>
      </c>
      <c r="AA812">
        <v>0</v>
      </c>
      <c r="AB812" t="s">
        <v>111</v>
      </c>
      <c r="AC812">
        <v>0</v>
      </c>
      <c r="AD812" t="s">
        <v>427</v>
      </c>
      <c r="AE812">
        <v>4</v>
      </c>
      <c r="AF812">
        <v>1</v>
      </c>
      <c r="AG812" t="s">
        <v>678</v>
      </c>
      <c r="AH812" t="s">
        <v>111</v>
      </c>
      <c r="AI812">
        <v>41</v>
      </c>
      <c r="AJ812" t="s">
        <v>111</v>
      </c>
      <c r="AK812" t="s">
        <v>111</v>
      </c>
      <c r="AL812" t="s">
        <v>111</v>
      </c>
      <c r="AM812">
        <v>0</v>
      </c>
      <c r="AN812">
        <v>0</v>
      </c>
      <c r="AO812">
        <v>0</v>
      </c>
      <c r="AP812" t="s">
        <v>288</v>
      </c>
      <c r="AQ812" t="s">
        <v>111</v>
      </c>
      <c r="AR812" t="s">
        <v>111</v>
      </c>
      <c r="AS812" t="s">
        <v>111</v>
      </c>
      <c r="AT812" t="s">
        <v>188</v>
      </c>
      <c r="AU812" t="s">
        <v>111</v>
      </c>
      <c r="AV812" t="s">
        <v>111</v>
      </c>
      <c r="AW812" t="s">
        <v>111</v>
      </c>
      <c r="AX812" t="s">
        <v>271</v>
      </c>
      <c r="AY812" t="s">
        <v>111</v>
      </c>
      <c r="AZ812" t="s">
        <v>111</v>
      </c>
      <c r="BA812" t="s">
        <v>111</v>
      </c>
      <c r="BB812" t="s">
        <v>184</v>
      </c>
      <c r="BC812" t="s">
        <v>111</v>
      </c>
      <c r="BD812" t="s">
        <v>111</v>
      </c>
      <c r="BE812" t="s">
        <v>111</v>
      </c>
      <c r="BF812" t="s">
        <v>111</v>
      </c>
      <c r="BG812" t="s">
        <v>111</v>
      </c>
      <c r="BH812" t="s">
        <v>111</v>
      </c>
      <c r="BI812" t="s">
        <v>111</v>
      </c>
      <c r="BJ812" t="s">
        <v>111</v>
      </c>
      <c r="BK812" t="s">
        <v>111</v>
      </c>
      <c r="BL812" t="s">
        <v>111</v>
      </c>
      <c r="BM812" t="s">
        <v>111</v>
      </c>
      <c r="BN812" t="s">
        <v>111</v>
      </c>
      <c r="BO812" t="s">
        <v>111</v>
      </c>
      <c r="BP812" t="s">
        <v>111</v>
      </c>
      <c r="BQ812" t="s">
        <v>111</v>
      </c>
      <c r="BR812" t="s">
        <v>111</v>
      </c>
      <c r="BS812" t="s">
        <v>111</v>
      </c>
      <c r="BT812" t="s">
        <v>111</v>
      </c>
      <c r="BU812" t="s">
        <v>111</v>
      </c>
      <c r="BV812" t="s">
        <v>111</v>
      </c>
      <c r="BW812" t="s">
        <v>111</v>
      </c>
      <c r="BX812" t="s">
        <v>111</v>
      </c>
      <c r="BY812" t="s">
        <v>111</v>
      </c>
      <c r="BZ812" t="s">
        <v>111</v>
      </c>
      <c r="CA812" t="s">
        <v>111</v>
      </c>
      <c r="CB812" t="s">
        <v>111</v>
      </c>
      <c r="CC812" t="s">
        <v>111</v>
      </c>
      <c r="CD812" t="s">
        <v>111</v>
      </c>
      <c r="CE812" t="s">
        <v>111</v>
      </c>
      <c r="CF812" t="s">
        <v>111</v>
      </c>
      <c r="CG812" t="s">
        <v>111</v>
      </c>
      <c r="CH812" t="s">
        <v>111</v>
      </c>
      <c r="CI812" t="s">
        <v>111</v>
      </c>
      <c r="CJ812" t="s">
        <v>111</v>
      </c>
      <c r="CK812" t="s">
        <v>111</v>
      </c>
      <c r="CL812" t="s">
        <v>153</v>
      </c>
      <c r="CM812" t="s">
        <v>198</v>
      </c>
      <c r="CN812" t="s">
        <v>113</v>
      </c>
      <c r="CO812" t="s">
        <v>111</v>
      </c>
      <c r="CP812" t="s">
        <v>433</v>
      </c>
      <c r="CQ812">
        <v>0</v>
      </c>
      <c r="CR812">
        <v>0</v>
      </c>
      <c r="CS812">
        <v>0</v>
      </c>
      <c r="CT812" t="s">
        <v>168</v>
      </c>
      <c r="CU812">
        <v>0</v>
      </c>
      <c r="CV812" t="s">
        <v>111</v>
      </c>
      <c r="CW812" t="s">
        <v>111</v>
      </c>
      <c r="CX812" t="s">
        <v>111</v>
      </c>
      <c r="CY812">
        <v>0</v>
      </c>
      <c r="CZ812" t="s">
        <v>111</v>
      </c>
      <c r="DA812" t="s">
        <v>111</v>
      </c>
      <c r="DB812" t="s">
        <v>111</v>
      </c>
      <c r="DC812" t="s">
        <v>111</v>
      </c>
    </row>
    <row r="813" spans="1:107">
      <c r="A813">
        <v>1916</v>
      </c>
      <c r="B813" t="s">
        <v>107</v>
      </c>
      <c r="C813" t="s">
        <v>801</v>
      </c>
      <c r="D813" t="s">
        <v>2716</v>
      </c>
      <c r="E813" t="s">
        <v>2717</v>
      </c>
      <c r="F813" t="s">
        <v>287</v>
      </c>
      <c r="G813" t="s">
        <v>427</v>
      </c>
      <c r="H813">
        <v>0.6</v>
      </c>
      <c r="I813">
        <v>29</v>
      </c>
      <c r="J813">
        <v>7.5</v>
      </c>
      <c r="K813">
        <v>7.5</v>
      </c>
      <c r="L813" t="s">
        <v>112</v>
      </c>
      <c r="M813" t="s">
        <v>111</v>
      </c>
      <c r="N813">
        <v>0</v>
      </c>
      <c r="O813">
        <v>0</v>
      </c>
      <c r="P813" t="s">
        <v>111</v>
      </c>
      <c r="Q813">
        <v>20</v>
      </c>
      <c r="R813">
        <v>0</v>
      </c>
      <c r="S813">
        <v>0</v>
      </c>
      <c r="T813">
        <v>0</v>
      </c>
      <c r="U813" t="e">
        <f>-ALMACEN</f>
        <v>#NAME?</v>
      </c>
      <c r="V813">
        <v>25</v>
      </c>
      <c r="W813">
        <v>0</v>
      </c>
      <c r="X813">
        <v>8</v>
      </c>
      <c r="Y813">
        <v>0</v>
      </c>
      <c r="Z813" t="s">
        <v>2718</v>
      </c>
      <c r="AA813">
        <v>1.5</v>
      </c>
      <c r="AB813" t="s">
        <v>111</v>
      </c>
      <c r="AC813">
        <v>0</v>
      </c>
      <c r="AD813" t="s">
        <v>111</v>
      </c>
      <c r="AE813">
        <v>0</v>
      </c>
      <c r="AF813">
        <v>0</v>
      </c>
      <c r="AG813" t="s">
        <v>111</v>
      </c>
      <c r="AH813" t="s">
        <v>111</v>
      </c>
      <c r="AI813" t="s">
        <v>111</v>
      </c>
      <c r="AJ813" t="s">
        <v>111</v>
      </c>
      <c r="AK813" t="s">
        <v>111</v>
      </c>
      <c r="AL813" t="s">
        <v>111</v>
      </c>
      <c r="AM813">
        <v>0</v>
      </c>
      <c r="AN813">
        <v>0</v>
      </c>
      <c r="AO813">
        <v>0</v>
      </c>
      <c r="AP813" t="s">
        <v>111</v>
      </c>
      <c r="AQ813" t="s">
        <v>111</v>
      </c>
      <c r="AR813" t="s">
        <v>111</v>
      </c>
      <c r="AS813" t="s">
        <v>111</v>
      </c>
      <c r="AT813" t="s">
        <v>111</v>
      </c>
      <c r="AU813" t="s">
        <v>111</v>
      </c>
      <c r="AV813" t="s">
        <v>111</v>
      </c>
      <c r="AW813" t="s">
        <v>111</v>
      </c>
      <c r="AX813" t="s">
        <v>111</v>
      </c>
      <c r="AY813" t="s">
        <v>111</v>
      </c>
      <c r="AZ813" t="s">
        <v>111</v>
      </c>
      <c r="BA813" t="s">
        <v>111</v>
      </c>
      <c r="BB813" t="s">
        <v>111</v>
      </c>
      <c r="BC813" t="s">
        <v>111</v>
      </c>
      <c r="BD813" t="s">
        <v>111</v>
      </c>
      <c r="BE813" t="s">
        <v>111</v>
      </c>
      <c r="BF813" t="s">
        <v>111</v>
      </c>
      <c r="BG813" t="s">
        <v>111</v>
      </c>
      <c r="BH813" t="s">
        <v>111</v>
      </c>
      <c r="BI813" t="s">
        <v>111</v>
      </c>
      <c r="BJ813" t="s">
        <v>111</v>
      </c>
      <c r="BK813" t="s">
        <v>111</v>
      </c>
      <c r="BL813" t="s">
        <v>111</v>
      </c>
      <c r="BM813" t="s">
        <v>111</v>
      </c>
      <c r="BN813" t="s">
        <v>111</v>
      </c>
      <c r="BO813" t="s">
        <v>111</v>
      </c>
      <c r="BP813" t="s">
        <v>111</v>
      </c>
      <c r="BQ813" t="s">
        <v>111</v>
      </c>
      <c r="BR813" t="s">
        <v>111</v>
      </c>
      <c r="BS813" t="s">
        <v>111</v>
      </c>
      <c r="BT813" t="s">
        <v>111</v>
      </c>
      <c r="BU813" t="s">
        <v>111</v>
      </c>
      <c r="BV813" t="s">
        <v>111</v>
      </c>
      <c r="BW813" t="s">
        <v>111</v>
      </c>
      <c r="BX813" t="s">
        <v>111</v>
      </c>
      <c r="BY813" t="s">
        <v>111</v>
      </c>
      <c r="BZ813" t="s">
        <v>111</v>
      </c>
      <c r="CA813" t="s">
        <v>111</v>
      </c>
      <c r="CB813" t="s">
        <v>111</v>
      </c>
      <c r="CC813" t="s">
        <v>111</v>
      </c>
      <c r="CD813" t="s">
        <v>111</v>
      </c>
      <c r="CE813" t="s">
        <v>111</v>
      </c>
      <c r="CF813" t="s">
        <v>111</v>
      </c>
      <c r="CG813" t="s">
        <v>111</v>
      </c>
      <c r="CH813" t="s">
        <v>111</v>
      </c>
      <c r="CI813" t="s">
        <v>111</v>
      </c>
      <c r="CJ813" t="s">
        <v>111</v>
      </c>
      <c r="CK813" t="s">
        <v>111</v>
      </c>
      <c r="CL813" t="s">
        <v>111</v>
      </c>
      <c r="CM813" t="s">
        <v>427</v>
      </c>
      <c r="CN813" t="s">
        <v>128</v>
      </c>
      <c r="CO813" t="s">
        <v>974</v>
      </c>
      <c r="CP813" t="s">
        <v>111</v>
      </c>
      <c r="CQ813">
        <v>0</v>
      </c>
      <c r="CR813">
        <v>0</v>
      </c>
      <c r="CS813">
        <v>0</v>
      </c>
      <c r="CT813" t="e">
        <f>-ALMACEN</f>
        <v>#NAME?</v>
      </c>
      <c r="CU813">
        <v>0</v>
      </c>
      <c r="CV813" t="s">
        <v>111</v>
      </c>
      <c r="CX813" t="s">
        <v>111</v>
      </c>
      <c r="CY813">
        <v>0</v>
      </c>
      <c r="CZ813" t="s">
        <v>111</v>
      </c>
      <c r="DA813" t="s">
        <v>111</v>
      </c>
      <c r="DB813" t="s">
        <v>111</v>
      </c>
      <c r="DC813" t="s">
        <v>111</v>
      </c>
    </row>
    <row r="814" spans="1:107">
      <c r="A814">
        <v>312</v>
      </c>
      <c r="B814" t="s">
        <v>162</v>
      </c>
      <c r="C814" t="s">
        <v>226</v>
      </c>
      <c r="D814" t="s">
        <v>2683</v>
      </c>
      <c r="E814" t="s">
        <v>2719</v>
      </c>
      <c r="F814" t="s">
        <v>431</v>
      </c>
      <c r="G814" t="s">
        <v>427</v>
      </c>
      <c r="H814">
        <v>1.5</v>
      </c>
      <c r="I814">
        <v>98</v>
      </c>
      <c r="J814">
        <v>0</v>
      </c>
      <c r="K814">
        <v>0</v>
      </c>
      <c r="L814" t="s">
        <v>117</v>
      </c>
      <c r="M814" t="s">
        <v>118</v>
      </c>
      <c r="N814">
        <v>40</v>
      </c>
      <c r="O814">
        <v>1</v>
      </c>
      <c r="P814" t="s">
        <v>138</v>
      </c>
      <c r="Q814">
        <v>40</v>
      </c>
      <c r="R814">
        <v>0</v>
      </c>
      <c r="S814">
        <v>0</v>
      </c>
      <c r="T814">
        <v>0</v>
      </c>
      <c r="U814" t="s">
        <v>2685</v>
      </c>
      <c r="V814">
        <v>0</v>
      </c>
      <c r="W814">
        <v>0</v>
      </c>
      <c r="X814">
        <v>1</v>
      </c>
      <c r="Y814">
        <v>0</v>
      </c>
      <c r="Z814" t="s">
        <v>111</v>
      </c>
      <c r="AA814">
        <v>0</v>
      </c>
      <c r="AB814" t="s">
        <v>111</v>
      </c>
      <c r="AC814">
        <v>0</v>
      </c>
      <c r="AD814" t="s">
        <v>427</v>
      </c>
      <c r="AE814">
        <v>6</v>
      </c>
      <c r="AF814">
        <v>2</v>
      </c>
      <c r="AG814" t="s">
        <v>678</v>
      </c>
      <c r="AH814" t="s">
        <v>111</v>
      </c>
      <c r="AI814">
        <v>42</v>
      </c>
      <c r="AJ814" t="s">
        <v>111</v>
      </c>
      <c r="AK814" t="s">
        <v>111</v>
      </c>
      <c r="AL814" t="s">
        <v>111</v>
      </c>
      <c r="AM814">
        <v>0</v>
      </c>
      <c r="AN814">
        <v>0</v>
      </c>
      <c r="AO814">
        <v>0</v>
      </c>
      <c r="AP814" t="s">
        <v>288</v>
      </c>
      <c r="AQ814" t="s">
        <v>111</v>
      </c>
      <c r="AR814" t="s">
        <v>111</v>
      </c>
      <c r="AS814" t="s">
        <v>111</v>
      </c>
      <c r="AT814" t="s">
        <v>184</v>
      </c>
      <c r="AU814" t="s">
        <v>111</v>
      </c>
      <c r="AV814" t="s">
        <v>111</v>
      </c>
      <c r="AW814" t="s">
        <v>111</v>
      </c>
      <c r="AX814" t="s">
        <v>188</v>
      </c>
      <c r="AY814" t="s">
        <v>111</v>
      </c>
      <c r="AZ814" t="s">
        <v>111</v>
      </c>
      <c r="BA814" t="s">
        <v>111</v>
      </c>
      <c r="BB814" t="s">
        <v>271</v>
      </c>
      <c r="BC814" t="s">
        <v>111</v>
      </c>
      <c r="BD814" t="s">
        <v>111</v>
      </c>
      <c r="BE814" t="s">
        <v>111</v>
      </c>
      <c r="BF814" t="s">
        <v>772</v>
      </c>
      <c r="BG814" t="s">
        <v>111</v>
      </c>
      <c r="BH814" t="s">
        <v>111</v>
      </c>
      <c r="BI814" t="s">
        <v>111</v>
      </c>
      <c r="BJ814" t="s">
        <v>2705</v>
      </c>
      <c r="BK814" t="s">
        <v>111</v>
      </c>
      <c r="BL814" t="s">
        <v>111</v>
      </c>
      <c r="BM814" t="s">
        <v>111</v>
      </c>
      <c r="BN814" t="s">
        <v>111</v>
      </c>
      <c r="BO814" t="s">
        <v>111</v>
      </c>
      <c r="BP814" t="s">
        <v>111</v>
      </c>
      <c r="BQ814" t="s">
        <v>111</v>
      </c>
      <c r="BR814" t="s">
        <v>111</v>
      </c>
      <c r="BS814" t="s">
        <v>111</v>
      </c>
      <c r="BT814" t="s">
        <v>111</v>
      </c>
      <c r="BU814" t="s">
        <v>111</v>
      </c>
      <c r="BV814" t="s">
        <v>111</v>
      </c>
      <c r="BW814" t="s">
        <v>111</v>
      </c>
      <c r="BX814" t="s">
        <v>111</v>
      </c>
      <c r="BY814" t="s">
        <v>111</v>
      </c>
      <c r="BZ814" t="s">
        <v>111</v>
      </c>
      <c r="CA814" t="s">
        <v>111</v>
      </c>
      <c r="CB814" t="s">
        <v>111</v>
      </c>
      <c r="CC814" t="s">
        <v>111</v>
      </c>
      <c r="CD814" t="s">
        <v>111</v>
      </c>
      <c r="CE814" t="s">
        <v>111</v>
      </c>
      <c r="CF814" t="s">
        <v>111</v>
      </c>
      <c r="CG814" t="s">
        <v>111</v>
      </c>
      <c r="CH814" t="s">
        <v>111</v>
      </c>
      <c r="CI814" t="s">
        <v>111</v>
      </c>
      <c r="CJ814" t="s">
        <v>111</v>
      </c>
      <c r="CK814" t="s">
        <v>111</v>
      </c>
      <c r="CL814" t="s">
        <v>153</v>
      </c>
      <c r="CM814" t="s">
        <v>198</v>
      </c>
      <c r="CN814" t="s">
        <v>113</v>
      </c>
      <c r="CO814" t="s">
        <v>2681</v>
      </c>
      <c r="CP814" t="s">
        <v>433</v>
      </c>
      <c r="CQ814">
        <v>0</v>
      </c>
      <c r="CR814">
        <v>0</v>
      </c>
      <c r="CS814">
        <v>0</v>
      </c>
      <c r="CT814" t="s">
        <v>168</v>
      </c>
      <c r="CU814">
        <v>0</v>
      </c>
      <c r="CV814" t="s">
        <v>111</v>
      </c>
      <c r="CW814" t="s">
        <v>111</v>
      </c>
      <c r="CX814" t="s">
        <v>111</v>
      </c>
      <c r="CY814">
        <v>0</v>
      </c>
      <c r="CZ814" t="s">
        <v>111</v>
      </c>
      <c r="DA814" t="s">
        <v>111</v>
      </c>
      <c r="DB814" t="s">
        <v>111</v>
      </c>
      <c r="DC814" t="s">
        <v>111</v>
      </c>
    </row>
    <row r="815" spans="1:107">
      <c r="A815">
        <v>1640</v>
      </c>
      <c r="B815" t="s">
        <v>107</v>
      </c>
      <c r="C815" t="s">
        <v>801</v>
      </c>
      <c r="D815" t="s">
        <v>2720</v>
      </c>
      <c r="E815" t="s">
        <v>2721</v>
      </c>
      <c r="F815" t="s">
        <v>192</v>
      </c>
      <c r="G815" t="s">
        <v>427</v>
      </c>
      <c r="H815">
        <v>0.8</v>
      </c>
      <c r="I815">
        <v>70</v>
      </c>
      <c r="J815">
        <v>0</v>
      </c>
      <c r="K815">
        <v>0</v>
      </c>
      <c r="L815" t="s">
        <v>112</v>
      </c>
      <c r="M815" t="s">
        <v>111</v>
      </c>
      <c r="N815">
        <v>0</v>
      </c>
      <c r="O815">
        <v>0</v>
      </c>
      <c r="P815" t="s">
        <v>111</v>
      </c>
      <c r="Q815">
        <v>200</v>
      </c>
      <c r="R815">
        <v>0</v>
      </c>
      <c r="S815">
        <v>0</v>
      </c>
      <c r="T815">
        <v>0</v>
      </c>
      <c r="U815" t="s">
        <v>964</v>
      </c>
      <c r="V815">
        <v>0</v>
      </c>
      <c r="W815">
        <v>25</v>
      </c>
      <c r="X815">
        <v>5</v>
      </c>
      <c r="Y815">
        <v>0</v>
      </c>
      <c r="Z815" t="s">
        <v>111</v>
      </c>
      <c r="AA815">
        <v>0</v>
      </c>
      <c r="AB815" t="s">
        <v>111</v>
      </c>
      <c r="AC815">
        <v>0</v>
      </c>
      <c r="AD815" t="s">
        <v>111</v>
      </c>
      <c r="AE815">
        <v>0</v>
      </c>
      <c r="AF815">
        <v>0</v>
      </c>
      <c r="AG815" t="s">
        <v>111</v>
      </c>
      <c r="AH815" t="s">
        <v>111</v>
      </c>
      <c r="AI815" t="s">
        <v>111</v>
      </c>
      <c r="AJ815" t="s">
        <v>111</v>
      </c>
      <c r="AK815" t="s">
        <v>111</v>
      </c>
      <c r="AL815" t="s">
        <v>111</v>
      </c>
      <c r="AM815">
        <v>0</v>
      </c>
      <c r="AN815">
        <v>0</v>
      </c>
      <c r="AO815">
        <v>0</v>
      </c>
      <c r="AP815" t="s">
        <v>111</v>
      </c>
      <c r="AQ815" t="s">
        <v>111</v>
      </c>
      <c r="AR815" t="s">
        <v>111</v>
      </c>
      <c r="AS815" t="s">
        <v>111</v>
      </c>
      <c r="AT815" t="s">
        <v>111</v>
      </c>
      <c r="AU815" t="s">
        <v>111</v>
      </c>
      <c r="AV815" t="s">
        <v>111</v>
      </c>
      <c r="AW815" t="s">
        <v>111</v>
      </c>
      <c r="AX815" t="s">
        <v>111</v>
      </c>
      <c r="AY815" t="s">
        <v>111</v>
      </c>
      <c r="AZ815" t="s">
        <v>111</v>
      </c>
      <c r="BA815" t="s">
        <v>111</v>
      </c>
      <c r="BB815" t="s">
        <v>111</v>
      </c>
      <c r="BC815" t="s">
        <v>111</v>
      </c>
      <c r="BD815" t="s">
        <v>111</v>
      </c>
      <c r="BE815" t="s">
        <v>111</v>
      </c>
      <c r="BF815" t="s">
        <v>111</v>
      </c>
      <c r="BG815" t="s">
        <v>111</v>
      </c>
      <c r="BH815" t="s">
        <v>111</v>
      </c>
      <c r="BI815" t="s">
        <v>111</v>
      </c>
      <c r="BJ815" t="s">
        <v>111</v>
      </c>
      <c r="BK815" t="s">
        <v>111</v>
      </c>
      <c r="BL815" t="s">
        <v>111</v>
      </c>
      <c r="BM815" t="s">
        <v>111</v>
      </c>
      <c r="BN815" t="s">
        <v>111</v>
      </c>
      <c r="BO815" t="s">
        <v>111</v>
      </c>
      <c r="BP815" t="s">
        <v>111</v>
      </c>
      <c r="BQ815" t="s">
        <v>111</v>
      </c>
      <c r="BR815" t="s">
        <v>111</v>
      </c>
      <c r="BS815" t="s">
        <v>111</v>
      </c>
      <c r="BT815" t="s">
        <v>111</v>
      </c>
      <c r="BU815" t="s">
        <v>111</v>
      </c>
      <c r="BV815" t="s">
        <v>111</v>
      </c>
      <c r="BW815" t="s">
        <v>111</v>
      </c>
      <c r="BX815" t="s">
        <v>111</v>
      </c>
      <c r="BY815" t="s">
        <v>111</v>
      </c>
      <c r="BZ815" t="s">
        <v>111</v>
      </c>
      <c r="CA815" t="s">
        <v>111</v>
      </c>
      <c r="CB815" t="s">
        <v>111</v>
      </c>
      <c r="CC815" t="s">
        <v>111</v>
      </c>
      <c r="CD815" t="s">
        <v>111</v>
      </c>
      <c r="CE815" t="s">
        <v>111</v>
      </c>
      <c r="CF815" t="s">
        <v>111</v>
      </c>
      <c r="CG815" t="s">
        <v>111</v>
      </c>
      <c r="CH815" t="s">
        <v>111</v>
      </c>
      <c r="CI815" t="s">
        <v>111</v>
      </c>
      <c r="CJ815" t="s">
        <v>111</v>
      </c>
      <c r="CK815" t="s">
        <v>111</v>
      </c>
      <c r="CL815" t="s">
        <v>111</v>
      </c>
      <c r="CM815" t="s">
        <v>427</v>
      </c>
      <c r="CN815" t="s">
        <v>113</v>
      </c>
      <c r="CO815" t="s">
        <v>111</v>
      </c>
      <c r="CP815" t="s">
        <v>111</v>
      </c>
      <c r="CQ815">
        <v>0</v>
      </c>
      <c r="CR815">
        <v>5000</v>
      </c>
      <c r="CS815">
        <v>100</v>
      </c>
      <c r="CT815" t="e">
        <f>-ALMACEN</f>
        <v>#NAME?</v>
      </c>
      <c r="CU815">
        <v>0</v>
      </c>
      <c r="CV815" t="s">
        <v>111</v>
      </c>
      <c r="CW815" t="s">
        <v>111</v>
      </c>
      <c r="CX815" t="s">
        <v>111</v>
      </c>
      <c r="CY815">
        <v>0</v>
      </c>
      <c r="CZ815" t="s">
        <v>111</v>
      </c>
      <c r="DA815" t="s">
        <v>111</v>
      </c>
      <c r="DB815" t="s">
        <v>111</v>
      </c>
      <c r="DC815" t="s">
        <v>111</v>
      </c>
    </row>
    <row r="816" spans="1:107">
      <c r="A816">
        <v>402</v>
      </c>
      <c r="B816" t="s">
        <v>162</v>
      </c>
      <c r="C816" t="s">
        <v>2274</v>
      </c>
      <c r="D816" t="s">
        <v>2722</v>
      </c>
      <c r="E816" t="s">
        <v>1369</v>
      </c>
      <c r="F816" t="s">
        <v>370</v>
      </c>
      <c r="G816" t="s">
        <v>427</v>
      </c>
      <c r="H816">
        <v>2.2000000000000002</v>
      </c>
      <c r="I816">
        <v>112</v>
      </c>
      <c r="J816">
        <v>0</v>
      </c>
      <c r="K816">
        <v>0</v>
      </c>
      <c r="L816" t="s">
        <v>117</v>
      </c>
      <c r="M816" t="s">
        <v>118</v>
      </c>
      <c r="N816">
        <v>40</v>
      </c>
      <c r="O816">
        <v>2</v>
      </c>
      <c r="P816" t="s">
        <v>138</v>
      </c>
      <c r="Q816">
        <v>40</v>
      </c>
      <c r="R816">
        <v>0</v>
      </c>
      <c r="S816">
        <v>0</v>
      </c>
      <c r="T816">
        <v>0</v>
      </c>
      <c r="U816" t="s">
        <v>2685</v>
      </c>
      <c r="V816">
        <v>0</v>
      </c>
      <c r="W816">
        <v>0</v>
      </c>
      <c r="X816">
        <v>1</v>
      </c>
      <c r="Y816">
        <v>0</v>
      </c>
      <c r="Z816" t="s">
        <v>288</v>
      </c>
      <c r="AA816">
        <v>0</v>
      </c>
      <c r="AB816" t="s">
        <v>111</v>
      </c>
      <c r="AC816">
        <v>0</v>
      </c>
      <c r="AD816" t="s">
        <v>427</v>
      </c>
      <c r="AE816">
        <v>4</v>
      </c>
      <c r="AF816">
        <v>2</v>
      </c>
      <c r="AG816">
        <v>40</v>
      </c>
      <c r="AH816" t="s">
        <v>111</v>
      </c>
      <c r="AI816">
        <v>40</v>
      </c>
      <c r="AJ816" t="s">
        <v>111</v>
      </c>
      <c r="AK816" t="s">
        <v>111</v>
      </c>
      <c r="AL816" t="s">
        <v>111</v>
      </c>
      <c r="AM816">
        <v>0</v>
      </c>
      <c r="AN816">
        <v>0</v>
      </c>
      <c r="AO816">
        <v>0</v>
      </c>
      <c r="AP816" t="s">
        <v>111</v>
      </c>
      <c r="AQ816" t="s">
        <v>111</v>
      </c>
      <c r="AR816" t="s">
        <v>111</v>
      </c>
      <c r="AS816" t="s">
        <v>111</v>
      </c>
      <c r="AT816" t="s">
        <v>111</v>
      </c>
      <c r="AU816" t="s">
        <v>111</v>
      </c>
      <c r="AV816" t="s">
        <v>111</v>
      </c>
      <c r="AW816" t="s">
        <v>111</v>
      </c>
      <c r="AX816" t="s">
        <v>111</v>
      </c>
      <c r="AY816" t="s">
        <v>111</v>
      </c>
      <c r="AZ816" t="s">
        <v>111</v>
      </c>
      <c r="BA816" t="s">
        <v>111</v>
      </c>
      <c r="BB816" t="s">
        <v>111</v>
      </c>
      <c r="BC816" t="s">
        <v>111</v>
      </c>
      <c r="BD816" t="s">
        <v>111</v>
      </c>
      <c r="BE816" t="s">
        <v>111</v>
      </c>
      <c r="BF816" t="s">
        <v>111</v>
      </c>
      <c r="BG816" t="s">
        <v>111</v>
      </c>
      <c r="BH816" t="s">
        <v>111</v>
      </c>
      <c r="BI816" t="s">
        <v>111</v>
      </c>
      <c r="BJ816" t="s">
        <v>111</v>
      </c>
      <c r="BK816" t="s">
        <v>111</v>
      </c>
      <c r="BL816" t="s">
        <v>111</v>
      </c>
      <c r="BM816" t="s">
        <v>111</v>
      </c>
      <c r="BN816" t="s">
        <v>111</v>
      </c>
      <c r="BO816" t="s">
        <v>111</v>
      </c>
      <c r="BP816" t="s">
        <v>111</v>
      </c>
      <c r="BQ816" t="s">
        <v>111</v>
      </c>
      <c r="BR816" t="s">
        <v>111</v>
      </c>
      <c r="BS816" t="s">
        <v>111</v>
      </c>
      <c r="BT816" t="s">
        <v>111</v>
      </c>
      <c r="BU816" t="s">
        <v>111</v>
      </c>
      <c r="BV816" t="s">
        <v>111</v>
      </c>
      <c r="BW816" t="s">
        <v>111</v>
      </c>
      <c r="BX816" t="s">
        <v>111</v>
      </c>
      <c r="BY816" t="s">
        <v>111</v>
      </c>
      <c r="BZ816" t="s">
        <v>111</v>
      </c>
      <c r="CA816" t="s">
        <v>111</v>
      </c>
      <c r="CB816" t="s">
        <v>111</v>
      </c>
      <c r="CC816" t="s">
        <v>111</v>
      </c>
      <c r="CD816" t="s">
        <v>111</v>
      </c>
      <c r="CE816" t="s">
        <v>111</v>
      </c>
      <c r="CF816" t="s">
        <v>111</v>
      </c>
      <c r="CG816" t="s">
        <v>111</v>
      </c>
      <c r="CH816" t="s">
        <v>111</v>
      </c>
      <c r="CI816" t="s">
        <v>111</v>
      </c>
      <c r="CJ816" t="s">
        <v>111</v>
      </c>
      <c r="CK816" t="s">
        <v>111</v>
      </c>
      <c r="CL816" s="1" t="s">
        <v>2723</v>
      </c>
      <c r="CM816" t="s">
        <v>198</v>
      </c>
      <c r="CN816" t="s">
        <v>113</v>
      </c>
      <c r="CO816" t="s">
        <v>111</v>
      </c>
      <c r="CP816" t="s">
        <v>433</v>
      </c>
      <c r="CQ816">
        <v>0</v>
      </c>
      <c r="CR816">
        <v>0</v>
      </c>
      <c r="CS816">
        <v>0</v>
      </c>
      <c r="CT816" t="s">
        <v>419</v>
      </c>
      <c r="CU816">
        <v>0</v>
      </c>
      <c r="CV816" t="s">
        <v>111</v>
      </c>
      <c r="CW816" t="s">
        <v>111</v>
      </c>
      <c r="CX816" t="s">
        <v>111</v>
      </c>
      <c r="CY816">
        <v>0</v>
      </c>
      <c r="CZ816" t="s">
        <v>111</v>
      </c>
      <c r="DA816" t="s">
        <v>111</v>
      </c>
      <c r="DB816" t="s">
        <v>240</v>
      </c>
      <c r="DC816" s="1" t="s">
        <v>2724</v>
      </c>
    </row>
    <row r="817" spans="1:107">
      <c r="A817">
        <v>1518</v>
      </c>
      <c r="B817" t="s">
        <v>107</v>
      </c>
      <c r="C817" t="s">
        <v>114</v>
      </c>
      <c r="D817" t="s">
        <v>115</v>
      </c>
      <c r="E817" t="s">
        <v>2725</v>
      </c>
      <c r="F817" t="s">
        <v>116</v>
      </c>
      <c r="G817" t="s">
        <v>427</v>
      </c>
      <c r="H817">
        <v>2.7</v>
      </c>
      <c r="I817">
        <v>65</v>
      </c>
      <c r="J817">
        <v>0</v>
      </c>
      <c r="K817">
        <v>0</v>
      </c>
      <c r="L817" t="s">
        <v>117</v>
      </c>
      <c r="M817" t="s">
        <v>118</v>
      </c>
      <c r="N817">
        <v>40</v>
      </c>
      <c r="O817">
        <v>2</v>
      </c>
      <c r="P817" t="s">
        <v>111</v>
      </c>
      <c r="Q817">
        <v>20</v>
      </c>
      <c r="R817">
        <v>0</v>
      </c>
      <c r="S817">
        <v>0</v>
      </c>
      <c r="T817">
        <v>5</v>
      </c>
      <c r="U817" t="e">
        <f>-IMPRESION DARMA</f>
        <v>#NAME?</v>
      </c>
      <c r="V817">
        <v>0</v>
      </c>
      <c r="W817">
        <v>250</v>
      </c>
      <c r="X817">
        <v>100</v>
      </c>
      <c r="Y817">
        <v>0</v>
      </c>
      <c r="Z817" t="s">
        <v>111</v>
      </c>
      <c r="AA817">
        <v>0</v>
      </c>
      <c r="AB817" t="s">
        <v>111</v>
      </c>
      <c r="AC817">
        <v>0</v>
      </c>
      <c r="AD817" t="s">
        <v>416</v>
      </c>
      <c r="AE817">
        <v>0</v>
      </c>
      <c r="AF817">
        <v>0</v>
      </c>
      <c r="AG817" t="s">
        <v>111</v>
      </c>
      <c r="AH817" t="s">
        <v>113</v>
      </c>
      <c r="AI817" t="s">
        <v>111</v>
      </c>
      <c r="AJ817" t="s">
        <v>111</v>
      </c>
      <c r="AK817" t="s">
        <v>111</v>
      </c>
      <c r="AL817" t="s">
        <v>111</v>
      </c>
      <c r="AM817">
        <v>0</v>
      </c>
      <c r="AN817">
        <v>0</v>
      </c>
      <c r="AO817">
        <v>0</v>
      </c>
      <c r="AP817" t="s">
        <v>111</v>
      </c>
      <c r="AQ817" t="s">
        <v>111</v>
      </c>
      <c r="AR817" t="s">
        <v>111</v>
      </c>
      <c r="AS817" t="s">
        <v>111</v>
      </c>
      <c r="AT817" t="s">
        <v>111</v>
      </c>
      <c r="AU817" t="s">
        <v>111</v>
      </c>
      <c r="AV817" t="s">
        <v>111</v>
      </c>
      <c r="AW817" t="s">
        <v>111</v>
      </c>
      <c r="AX817" t="s">
        <v>111</v>
      </c>
      <c r="AY817" t="s">
        <v>111</v>
      </c>
      <c r="AZ817" t="s">
        <v>111</v>
      </c>
      <c r="BA817" t="s">
        <v>111</v>
      </c>
      <c r="BB817" t="s">
        <v>111</v>
      </c>
      <c r="BC817" t="s">
        <v>111</v>
      </c>
      <c r="BD817" t="s">
        <v>111</v>
      </c>
      <c r="BE817" t="s">
        <v>111</v>
      </c>
      <c r="BF817" t="s">
        <v>111</v>
      </c>
      <c r="BG817" t="s">
        <v>111</v>
      </c>
      <c r="BH817" t="s">
        <v>111</v>
      </c>
      <c r="BI817" t="s">
        <v>111</v>
      </c>
      <c r="BJ817" t="s">
        <v>111</v>
      </c>
      <c r="BK817" t="s">
        <v>111</v>
      </c>
      <c r="BL817" t="s">
        <v>111</v>
      </c>
      <c r="BM817" t="s">
        <v>111</v>
      </c>
      <c r="BN817" t="s">
        <v>111</v>
      </c>
      <c r="BO817" t="s">
        <v>111</v>
      </c>
      <c r="BP817" t="s">
        <v>111</v>
      </c>
      <c r="BQ817" t="s">
        <v>111</v>
      </c>
      <c r="BR817" t="s">
        <v>111</v>
      </c>
      <c r="BS817" t="s">
        <v>111</v>
      </c>
      <c r="BT817" t="s">
        <v>111</v>
      </c>
      <c r="BU817" t="s">
        <v>111</v>
      </c>
      <c r="BV817" t="s">
        <v>111</v>
      </c>
      <c r="BW817" t="s">
        <v>111</v>
      </c>
      <c r="BX817" t="s">
        <v>111</v>
      </c>
      <c r="BY817" t="s">
        <v>111</v>
      </c>
      <c r="BZ817" t="s">
        <v>111</v>
      </c>
      <c r="CA817" t="s">
        <v>111</v>
      </c>
      <c r="CB817" t="s">
        <v>111</v>
      </c>
      <c r="CC817" t="s">
        <v>111</v>
      </c>
      <c r="CD817" t="s">
        <v>111</v>
      </c>
      <c r="CE817" t="s">
        <v>111</v>
      </c>
      <c r="CF817" t="s">
        <v>111</v>
      </c>
      <c r="CG817" t="s">
        <v>111</v>
      </c>
      <c r="CH817" t="s">
        <v>111</v>
      </c>
      <c r="CI817" t="s">
        <v>111</v>
      </c>
      <c r="CJ817" t="s">
        <v>111</v>
      </c>
      <c r="CK817" t="s">
        <v>111</v>
      </c>
      <c r="CL817" t="s">
        <v>111</v>
      </c>
      <c r="CM817" t="s">
        <v>111</v>
      </c>
      <c r="CN817" t="s">
        <v>111</v>
      </c>
      <c r="CO817" t="s">
        <v>111</v>
      </c>
      <c r="CP817" t="s">
        <v>111</v>
      </c>
      <c r="CQ817">
        <v>0</v>
      </c>
      <c r="CR817">
        <v>0</v>
      </c>
      <c r="CS817">
        <v>0</v>
      </c>
      <c r="CT817" t="s">
        <v>111</v>
      </c>
      <c r="CU817">
        <v>0</v>
      </c>
      <c r="CV817" t="s">
        <v>111</v>
      </c>
      <c r="CW817" t="s">
        <v>111</v>
      </c>
      <c r="CX817" t="s">
        <v>111</v>
      </c>
      <c r="CY817">
        <v>0</v>
      </c>
      <c r="CZ817" t="s">
        <v>111</v>
      </c>
      <c r="DA817" t="s">
        <v>111</v>
      </c>
      <c r="DB817" t="s">
        <v>111</v>
      </c>
      <c r="DC817" t="s">
        <v>111</v>
      </c>
    </row>
    <row r="818" spans="1:107">
      <c r="A818">
        <v>442</v>
      </c>
      <c r="B818" t="s">
        <v>162</v>
      </c>
      <c r="C818" t="s">
        <v>2726</v>
      </c>
      <c r="D818" t="s">
        <v>2727</v>
      </c>
      <c r="E818" t="s">
        <v>2728</v>
      </c>
      <c r="F818" t="s">
        <v>166</v>
      </c>
      <c r="G818" t="s">
        <v>427</v>
      </c>
      <c r="H818">
        <v>0.7</v>
      </c>
      <c r="I818">
        <v>30</v>
      </c>
      <c r="J818">
        <v>0</v>
      </c>
      <c r="K818">
        <v>0</v>
      </c>
      <c r="L818" t="s">
        <v>112</v>
      </c>
      <c r="M818" t="s">
        <v>138</v>
      </c>
      <c r="N818">
        <v>0</v>
      </c>
      <c r="O818">
        <v>0</v>
      </c>
      <c r="P818" t="s">
        <v>138</v>
      </c>
      <c r="Q818">
        <v>25</v>
      </c>
      <c r="R818">
        <v>0</v>
      </c>
      <c r="S818">
        <v>0</v>
      </c>
      <c r="T818">
        <v>0</v>
      </c>
      <c r="U818" t="s">
        <v>168</v>
      </c>
      <c r="V818">
        <v>0</v>
      </c>
      <c r="W818">
        <v>0</v>
      </c>
      <c r="X818">
        <v>1</v>
      </c>
      <c r="Y818">
        <v>0</v>
      </c>
      <c r="Z818" t="s">
        <v>111</v>
      </c>
      <c r="AA818">
        <v>0</v>
      </c>
      <c r="AB818" t="s">
        <v>111</v>
      </c>
      <c r="AC818">
        <v>0</v>
      </c>
      <c r="AD818" t="s">
        <v>111</v>
      </c>
      <c r="AE818">
        <v>0</v>
      </c>
      <c r="AF818">
        <v>0</v>
      </c>
      <c r="AG818" t="s">
        <v>111</v>
      </c>
      <c r="AH818" t="s">
        <v>111</v>
      </c>
      <c r="AI818" t="s">
        <v>111</v>
      </c>
      <c r="AJ818" t="s">
        <v>111</v>
      </c>
      <c r="AK818" t="s">
        <v>111</v>
      </c>
      <c r="AL818" t="s">
        <v>111</v>
      </c>
      <c r="AM818">
        <v>0</v>
      </c>
      <c r="AN818">
        <v>0</v>
      </c>
      <c r="AO818">
        <v>0</v>
      </c>
      <c r="AP818" t="s">
        <v>111</v>
      </c>
      <c r="AQ818" t="s">
        <v>111</v>
      </c>
      <c r="AR818" t="s">
        <v>111</v>
      </c>
      <c r="AS818" t="s">
        <v>111</v>
      </c>
      <c r="AT818" t="s">
        <v>111</v>
      </c>
      <c r="AU818" t="s">
        <v>111</v>
      </c>
      <c r="AV818" t="s">
        <v>111</v>
      </c>
      <c r="AW818" t="s">
        <v>111</v>
      </c>
      <c r="AX818" t="s">
        <v>111</v>
      </c>
      <c r="AY818" t="s">
        <v>111</v>
      </c>
      <c r="AZ818" t="s">
        <v>111</v>
      </c>
      <c r="BA818" t="s">
        <v>111</v>
      </c>
      <c r="BB818" t="s">
        <v>111</v>
      </c>
      <c r="BC818" t="s">
        <v>111</v>
      </c>
      <c r="BD818" t="s">
        <v>111</v>
      </c>
      <c r="BE818" t="s">
        <v>111</v>
      </c>
      <c r="BF818" t="s">
        <v>111</v>
      </c>
      <c r="BG818" t="s">
        <v>111</v>
      </c>
      <c r="BH818" t="s">
        <v>111</v>
      </c>
      <c r="BI818" t="s">
        <v>111</v>
      </c>
      <c r="BJ818" t="s">
        <v>111</v>
      </c>
      <c r="BK818" t="s">
        <v>111</v>
      </c>
      <c r="BL818" t="s">
        <v>111</v>
      </c>
      <c r="BM818" t="s">
        <v>111</v>
      </c>
      <c r="BN818" t="s">
        <v>111</v>
      </c>
      <c r="BO818" t="s">
        <v>111</v>
      </c>
      <c r="BP818" t="s">
        <v>111</v>
      </c>
      <c r="BQ818" t="s">
        <v>111</v>
      </c>
      <c r="BR818" t="s">
        <v>111</v>
      </c>
      <c r="BS818" t="s">
        <v>111</v>
      </c>
      <c r="BT818" t="s">
        <v>111</v>
      </c>
      <c r="BU818" t="s">
        <v>111</v>
      </c>
      <c r="BV818" t="s">
        <v>111</v>
      </c>
      <c r="BW818" t="s">
        <v>111</v>
      </c>
      <c r="BX818" t="s">
        <v>111</v>
      </c>
      <c r="BY818" t="s">
        <v>111</v>
      </c>
      <c r="BZ818" t="s">
        <v>111</v>
      </c>
      <c r="CA818" t="s">
        <v>111</v>
      </c>
      <c r="CB818" t="s">
        <v>111</v>
      </c>
      <c r="CC818" t="s">
        <v>111</v>
      </c>
      <c r="CD818" t="s">
        <v>111</v>
      </c>
      <c r="CE818" t="s">
        <v>111</v>
      </c>
      <c r="CF818" t="s">
        <v>111</v>
      </c>
      <c r="CG818" t="s">
        <v>111</v>
      </c>
      <c r="CH818" t="s">
        <v>111</v>
      </c>
      <c r="CI818" t="s">
        <v>111</v>
      </c>
      <c r="CJ818" t="s">
        <v>111</v>
      </c>
      <c r="CK818" t="s">
        <v>111</v>
      </c>
      <c r="CL818" t="s">
        <v>111</v>
      </c>
      <c r="CM818" t="s">
        <v>111</v>
      </c>
      <c r="CN818" t="s">
        <v>111</v>
      </c>
      <c r="CO818" t="s">
        <v>111</v>
      </c>
      <c r="CP818" t="s">
        <v>111</v>
      </c>
      <c r="CQ818">
        <v>0</v>
      </c>
      <c r="CR818">
        <v>0</v>
      </c>
      <c r="CS818">
        <v>0</v>
      </c>
      <c r="CT818" t="s">
        <v>111</v>
      </c>
      <c r="CU818">
        <v>0</v>
      </c>
      <c r="CV818" t="s">
        <v>111</v>
      </c>
      <c r="CW818" t="s">
        <v>111</v>
      </c>
      <c r="CX818" t="s">
        <v>111</v>
      </c>
      <c r="CY818">
        <v>0</v>
      </c>
      <c r="CZ818" t="s">
        <v>111</v>
      </c>
      <c r="DA818" t="s">
        <v>111</v>
      </c>
      <c r="DB818" t="s">
        <v>111</v>
      </c>
      <c r="DC818" t="s">
        <v>111</v>
      </c>
    </row>
    <row r="819" spans="1:107">
      <c r="A819">
        <v>552</v>
      </c>
      <c r="B819" t="s">
        <v>162</v>
      </c>
      <c r="C819" t="s">
        <v>226</v>
      </c>
      <c r="D819" t="s">
        <v>2729</v>
      </c>
      <c r="E819" t="s">
        <v>2730</v>
      </c>
      <c r="F819" t="s">
        <v>431</v>
      </c>
      <c r="G819" t="s">
        <v>427</v>
      </c>
      <c r="H819">
        <v>1.5</v>
      </c>
      <c r="I819">
        <v>56</v>
      </c>
      <c r="J819">
        <v>0</v>
      </c>
      <c r="K819">
        <v>0</v>
      </c>
      <c r="L819" t="s">
        <v>117</v>
      </c>
      <c r="M819" t="s">
        <v>118</v>
      </c>
      <c r="N819">
        <v>40</v>
      </c>
      <c r="O819">
        <v>1</v>
      </c>
      <c r="P819" t="s">
        <v>138</v>
      </c>
      <c r="Q819">
        <v>40</v>
      </c>
      <c r="R819">
        <v>0</v>
      </c>
      <c r="S819">
        <v>0</v>
      </c>
      <c r="T819">
        <v>0</v>
      </c>
      <c r="U819" t="s">
        <v>2685</v>
      </c>
      <c r="V819">
        <v>0</v>
      </c>
      <c r="W819">
        <v>0</v>
      </c>
      <c r="X819">
        <v>1</v>
      </c>
      <c r="Y819">
        <v>0</v>
      </c>
      <c r="Z819" t="s">
        <v>111</v>
      </c>
      <c r="AA819">
        <v>0</v>
      </c>
      <c r="AB819" t="s">
        <v>111</v>
      </c>
      <c r="AC819">
        <v>0</v>
      </c>
      <c r="AD819" t="s">
        <v>427</v>
      </c>
      <c r="AE819">
        <v>5</v>
      </c>
      <c r="AF819">
        <v>2</v>
      </c>
      <c r="AG819" t="s">
        <v>2731</v>
      </c>
      <c r="AH819" t="s">
        <v>111</v>
      </c>
      <c r="AI819">
        <v>50</v>
      </c>
      <c r="AJ819" t="s">
        <v>111</v>
      </c>
      <c r="AK819" t="s">
        <v>111</v>
      </c>
      <c r="AL819" t="s">
        <v>111</v>
      </c>
      <c r="AM819">
        <v>0</v>
      </c>
      <c r="AN819">
        <v>0</v>
      </c>
      <c r="AO819">
        <v>0</v>
      </c>
      <c r="AP819" t="s">
        <v>288</v>
      </c>
      <c r="AQ819" t="s">
        <v>111</v>
      </c>
      <c r="AR819" t="s">
        <v>111</v>
      </c>
      <c r="AS819" t="s">
        <v>111</v>
      </c>
      <c r="AT819" t="s">
        <v>184</v>
      </c>
      <c r="AU819" t="s">
        <v>111</v>
      </c>
      <c r="AV819" t="s">
        <v>111</v>
      </c>
      <c r="AW819" t="s">
        <v>111</v>
      </c>
      <c r="AX819" t="s">
        <v>188</v>
      </c>
      <c r="AY819" t="s">
        <v>111</v>
      </c>
      <c r="AZ819" t="s">
        <v>111</v>
      </c>
      <c r="BA819" t="s">
        <v>111</v>
      </c>
      <c r="BB819" t="s">
        <v>271</v>
      </c>
      <c r="BC819" t="s">
        <v>111</v>
      </c>
      <c r="BD819" t="s">
        <v>111</v>
      </c>
      <c r="BE819" t="s">
        <v>111</v>
      </c>
      <c r="BF819" t="s">
        <v>772</v>
      </c>
      <c r="BG819" t="s">
        <v>111</v>
      </c>
      <c r="BH819" t="s">
        <v>111</v>
      </c>
      <c r="BI819" t="s">
        <v>111</v>
      </c>
      <c r="BJ819" t="s">
        <v>111</v>
      </c>
      <c r="BK819" t="s">
        <v>111</v>
      </c>
      <c r="BL819" t="s">
        <v>111</v>
      </c>
      <c r="BM819" t="s">
        <v>111</v>
      </c>
      <c r="BN819" t="s">
        <v>111</v>
      </c>
      <c r="BO819" t="s">
        <v>111</v>
      </c>
      <c r="BP819" t="s">
        <v>111</v>
      </c>
      <c r="BQ819" t="s">
        <v>111</v>
      </c>
      <c r="BR819" t="s">
        <v>111</v>
      </c>
      <c r="BS819" t="s">
        <v>111</v>
      </c>
      <c r="BT819" t="s">
        <v>111</v>
      </c>
      <c r="BU819" t="s">
        <v>111</v>
      </c>
      <c r="BV819" t="s">
        <v>111</v>
      </c>
      <c r="BW819" t="s">
        <v>111</v>
      </c>
      <c r="BX819" t="s">
        <v>111</v>
      </c>
      <c r="BY819" t="s">
        <v>111</v>
      </c>
      <c r="BZ819" t="s">
        <v>111</v>
      </c>
      <c r="CA819" t="s">
        <v>111</v>
      </c>
      <c r="CB819" t="s">
        <v>111</v>
      </c>
      <c r="CC819" t="s">
        <v>111</v>
      </c>
      <c r="CD819" t="s">
        <v>111</v>
      </c>
      <c r="CE819" t="s">
        <v>111</v>
      </c>
      <c r="CF819" t="s">
        <v>111</v>
      </c>
      <c r="CG819" t="s">
        <v>111</v>
      </c>
      <c r="CH819" t="s">
        <v>111</v>
      </c>
      <c r="CI819" t="s">
        <v>111</v>
      </c>
      <c r="CJ819" t="s">
        <v>111</v>
      </c>
      <c r="CK819" t="s">
        <v>111</v>
      </c>
      <c r="CL819" t="s">
        <v>153</v>
      </c>
      <c r="CM819" t="s">
        <v>198</v>
      </c>
      <c r="CN819" t="s">
        <v>113</v>
      </c>
      <c r="CO819" t="s">
        <v>111</v>
      </c>
      <c r="CP819" t="s">
        <v>433</v>
      </c>
      <c r="CQ819">
        <v>0</v>
      </c>
      <c r="CR819">
        <v>6000</v>
      </c>
      <c r="CS819">
        <v>200</v>
      </c>
      <c r="CT819" t="s">
        <v>168</v>
      </c>
      <c r="CU819">
        <v>0</v>
      </c>
      <c r="CV819" t="s">
        <v>111</v>
      </c>
      <c r="CW819" t="s">
        <v>111</v>
      </c>
      <c r="CX819" t="s">
        <v>111</v>
      </c>
      <c r="CY819">
        <v>0</v>
      </c>
      <c r="CZ819" t="s">
        <v>111</v>
      </c>
      <c r="DA819" t="s">
        <v>111</v>
      </c>
      <c r="DB819" t="s">
        <v>111</v>
      </c>
      <c r="DC819" t="s">
        <v>111</v>
      </c>
    </row>
    <row r="820" spans="1:107">
      <c r="A820">
        <v>1163</v>
      </c>
      <c r="B820" t="s">
        <v>107</v>
      </c>
      <c r="C820" t="s">
        <v>114</v>
      </c>
      <c r="D820" t="s">
        <v>2663</v>
      </c>
      <c r="E820" t="s">
        <v>2732</v>
      </c>
      <c r="F820" t="s">
        <v>2665</v>
      </c>
      <c r="G820" t="s">
        <v>427</v>
      </c>
      <c r="H820">
        <v>2.7</v>
      </c>
      <c r="I820">
        <v>34</v>
      </c>
      <c r="J820">
        <v>0</v>
      </c>
      <c r="K820">
        <v>0</v>
      </c>
      <c r="L820" t="s">
        <v>117</v>
      </c>
      <c r="M820" t="s">
        <v>118</v>
      </c>
      <c r="N820">
        <v>0</v>
      </c>
      <c r="O820">
        <v>0</v>
      </c>
      <c r="P820" t="s">
        <v>138</v>
      </c>
      <c r="Q820">
        <v>20</v>
      </c>
      <c r="R820">
        <v>0</v>
      </c>
      <c r="S820">
        <v>0</v>
      </c>
      <c r="T820">
        <v>5</v>
      </c>
      <c r="U820" t="s">
        <v>394</v>
      </c>
      <c r="V820">
        <v>0</v>
      </c>
      <c r="W820">
        <v>250</v>
      </c>
      <c r="X820">
        <v>100</v>
      </c>
      <c r="Y820">
        <v>0</v>
      </c>
      <c r="Z820" t="s">
        <v>111</v>
      </c>
      <c r="AA820">
        <v>0</v>
      </c>
      <c r="AB820" t="s">
        <v>111</v>
      </c>
      <c r="AC820">
        <v>0</v>
      </c>
      <c r="AD820" t="s">
        <v>427</v>
      </c>
      <c r="AE820">
        <v>0</v>
      </c>
      <c r="AF820">
        <v>0</v>
      </c>
      <c r="AG820" t="s">
        <v>111</v>
      </c>
      <c r="AH820" t="s">
        <v>111</v>
      </c>
      <c r="AI820" t="s">
        <v>111</v>
      </c>
      <c r="AJ820" t="s">
        <v>111</v>
      </c>
      <c r="AK820" t="s">
        <v>111</v>
      </c>
      <c r="AL820" t="s">
        <v>111</v>
      </c>
      <c r="AM820">
        <v>0</v>
      </c>
      <c r="AN820">
        <v>0</v>
      </c>
      <c r="AO820">
        <v>0</v>
      </c>
      <c r="AP820" t="s">
        <v>111</v>
      </c>
      <c r="AQ820" t="s">
        <v>111</v>
      </c>
      <c r="AR820" t="s">
        <v>111</v>
      </c>
      <c r="AS820" t="s">
        <v>111</v>
      </c>
      <c r="AT820" t="s">
        <v>111</v>
      </c>
      <c r="AU820" t="s">
        <v>111</v>
      </c>
      <c r="AV820" t="s">
        <v>111</v>
      </c>
      <c r="AW820" t="s">
        <v>111</v>
      </c>
      <c r="AX820" t="s">
        <v>111</v>
      </c>
      <c r="AY820" t="s">
        <v>111</v>
      </c>
      <c r="AZ820" t="s">
        <v>111</v>
      </c>
      <c r="BA820" t="s">
        <v>111</v>
      </c>
      <c r="BB820" t="s">
        <v>111</v>
      </c>
      <c r="BC820" t="s">
        <v>111</v>
      </c>
      <c r="BD820" t="s">
        <v>111</v>
      </c>
      <c r="BE820" t="s">
        <v>111</v>
      </c>
      <c r="BF820" t="s">
        <v>111</v>
      </c>
      <c r="BG820" t="s">
        <v>111</v>
      </c>
      <c r="BH820" t="s">
        <v>111</v>
      </c>
      <c r="BI820" t="s">
        <v>111</v>
      </c>
      <c r="BJ820" t="s">
        <v>111</v>
      </c>
      <c r="BK820" t="s">
        <v>111</v>
      </c>
      <c r="BL820" t="s">
        <v>111</v>
      </c>
      <c r="BM820" t="s">
        <v>111</v>
      </c>
      <c r="BN820" t="s">
        <v>111</v>
      </c>
      <c r="BO820" t="s">
        <v>111</v>
      </c>
      <c r="BP820" t="s">
        <v>111</v>
      </c>
      <c r="BQ820" t="s">
        <v>111</v>
      </c>
      <c r="BR820" t="s">
        <v>111</v>
      </c>
      <c r="BS820" t="s">
        <v>111</v>
      </c>
      <c r="BT820" t="s">
        <v>111</v>
      </c>
      <c r="BU820" t="s">
        <v>111</v>
      </c>
      <c r="BV820" t="s">
        <v>111</v>
      </c>
      <c r="BW820" t="s">
        <v>111</v>
      </c>
      <c r="BX820" t="s">
        <v>111</v>
      </c>
      <c r="BY820" t="s">
        <v>111</v>
      </c>
      <c r="BZ820" t="s">
        <v>111</v>
      </c>
      <c r="CA820" t="s">
        <v>111</v>
      </c>
      <c r="CB820" t="s">
        <v>111</v>
      </c>
      <c r="CC820" t="s">
        <v>111</v>
      </c>
      <c r="CD820" t="s">
        <v>111</v>
      </c>
      <c r="CE820" t="s">
        <v>111</v>
      </c>
      <c r="CF820" t="s">
        <v>111</v>
      </c>
      <c r="CG820" t="s">
        <v>111</v>
      </c>
      <c r="CH820" t="s">
        <v>111</v>
      </c>
      <c r="CI820" t="s">
        <v>111</v>
      </c>
      <c r="CJ820" t="s">
        <v>111</v>
      </c>
      <c r="CK820" t="s">
        <v>111</v>
      </c>
      <c r="CL820" t="e">
        <f>-DESTINO ALMACEN</f>
        <v>#NAME?</v>
      </c>
      <c r="CM820" t="s">
        <v>111</v>
      </c>
      <c r="CN820" t="s">
        <v>111</v>
      </c>
      <c r="CO820" t="s">
        <v>111</v>
      </c>
      <c r="CP820" t="s">
        <v>111</v>
      </c>
      <c r="CQ820">
        <v>0</v>
      </c>
      <c r="CR820">
        <v>0</v>
      </c>
      <c r="CS820">
        <v>0</v>
      </c>
      <c r="CT820" t="s">
        <v>111</v>
      </c>
      <c r="CU820">
        <v>0</v>
      </c>
      <c r="CV820" t="s">
        <v>111</v>
      </c>
      <c r="CW820" t="s">
        <v>111</v>
      </c>
      <c r="CX820" t="s">
        <v>111</v>
      </c>
      <c r="CY820">
        <v>0</v>
      </c>
      <c r="CZ820" t="s">
        <v>111</v>
      </c>
      <c r="DA820" t="s">
        <v>111</v>
      </c>
      <c r="DB820" t="s">
        <v>111</v>
      </c>
      <c r="DC820" t="s">
        <v>111</v>
      </c>
    </row>
    <row r="821" spans="1:107">
      <c r="A821">
        <v>1452</v>
      </c>
      <c r="B821" t="s">
        <v>107</v>
      </c>
      <c r="C821" t="s">
        <v>114</v>
      </c>
      <c r="D821" t="s">
        <v>476</v>
      </c>
      <c r="E821" t="s">
        <v>2733</v>
      </c>
      <c r="F821" t="s">
        <v>358</v>
      </c>
      <c r="G821" t="s">
        <v>427</v>
      </c>
      <c r="H821">
        <v>2.7</v>
      </c>
      <c r="I821">
        <v>71</v>
      </c>
      <c r="J821">
        <v>0</v>
      </c>
      <c r="K821">
        <v>0</v>
      </c>
      <c r="L821" t="s">
        <v>117</v>
      </c>
      <c r="M821" t="s">
        <v>118</v>
      </c>
      <c r="N821">
        <v>0</v>
      </c>
      <c r="O821">
        <v>1</v>
      </c>
      <c r="P821" t="s">
        <v>111</v>
      </c>
      <c r="Q821">
        <v>40</v>
      </c>
      <c r="R821">
        <v>0</v>
      </c>
      <c r="S821">
        <v>0</v>
      </c>
      <c r="T821">
        <v>0</v>
      </c>
      <c r="U821" t="e">
        <f>-DARMA</f>
        <v>#NAME?</v>
      </c>
      <c r="V821">
        <v>0</v>
      </c>
      <c r="W821">
        <v>25</v>
      </c>
      <c r="X821">
        <v>10</v>
      </c>
      <c r="Y821">
        <v>0</v>
      </c>
      <c r="Z821" t="s">
        <v>111</v>
      </c>
      <c r="AA821">
        <v>0</v>
      </c>
      <c r="AB821" t="s">
        <v>111</v>
      </c>
      <c r="AC821">
        <v>0</v>
      </c>
      <c r="AD821" t="s">
        <v>416</v>
      </c>
      <c r="AE821">
        <v>0</v>
      </c>
      <c r="AF821">
        <v>0</v>
      </c>
      <c r="AG821" t="s">
        <v>111</v>
      </c>
      <c r="AH821" t="s">
        <v>111</v>
      </c>
      <c r="AI821" t="s">
        <v>111</v>
      </c>
      <c r="AJ821" t="s">
        <v>111</v>
      </c>
      <c r="AK821" t="s">
        <v>111</v>
      </c>
      <c r="AL821" t="s">
        <v>111</v>
      </c>
      <c r="AM821">
        <v>0</v>
      </c>
      <c r="AN821">
        <v>0</v>
      </c>
      <c r="AO821">
        <v>0</v>
      </c>
      <c r="AP821" t="s">
        <v>111</v>
      </c>
      <c r="AQ821" t="s">
        <v>111</v>
      </c>
      <c r="AR821" t="s">
        <v>111</v>
      </c>
      <c r="AS821" t="s">
        <v>111</v>
      </c>
      <c r="AT821" t="s">
        <v>111</v>
      </c>
      <c r="AU821" t="s">
        <v>111</v>
      </c>
      <c r="AV821" t="s">
        <v>111</v>
      </c>
      <c r="AW821" t="s">
        <v>111</v>
      </c>
      <c r="AX821" t="s">
        <v>111</v>
      </c>
      <c r="AY821" t="s">
        <v>111</v>
      </c>
      <c r="AZ821" t="s">
        <v>111</v>
      </c>
      <c r="BA821" t="s">
        <v>111</v>
      </c>
      <c r="BB821" t="s">
        <v>111</v>
      </c>
      <c r="BC821" t="s">
        <v>111</v>
      </c>
      <c r="BD821" t="s">
        <v>111</v>
      </c>
      <c r="BE821" t="s">
        <v>111</v>
      </c>
      <c r="BF821" t="s">
        <v>111</v>
      </c>
      <c r="BG821" t="s">
        <v>111</v>
      </c>
      <c r="BH821" t="s">
        <v>111</v>
      </c>
      <c r="BI821" t="s">
        <v>111</v>
      </c>
      <c r="BJ821" t="s">
        <v>111</v>
      </c>
      <c r="BK821" t="s">
        <v>111</v>
      </c>
      <c r="BL821" t="s">
        <v>111</v>
      </c>
      <c r="BM821" t="s">
        <v>111</v>
      </c>
      <c r="BN821" t="s">
        <v>111</v>
      </c>
      <c r="BO821" t="s">
        <v>111</v>
      </c>
      <c r="BP821" t="s">
        <v>111</v>
      </c>
      <c r="BQ821" t="s">
        <v>111</v>
      </c>
      <c r="BR821" t="s">
        <v>111</v>
      </c>
      <c r="BS821" t="s">
        <v>111</v>
      </c>
      <c r="BT821" t="s">
        <v>111</v>
      </c>
      <c r="BU821" t="s">
        <v>111</v>
      </c>
      <c r="BV821" t="s">
        <v>111</v>
      </c>
      <c r="BW821" t="s">
        <v>111</v>
      </c>
      <c r="BX821" t="s">
        <v>111</v>
      </c>
      <c r="BY821" t="s">
        <v>111</v>
      </c>
      <c r="BZ821" t="s">
        <v>111</v>
      </c>
      <c r="CA821" t="s">
        <v>111</v>
      </c>
      <c r="CB821" t="s">
        <v>111</v>
      </c>
      <c r="CC821" t="s">
        <v>111</v>
      </c>
      <c r="CD821" t="s">
        <v>111</v>
      </c>
      <c r="CE821" t="s">
        <v>111</v>
      </c>
      <c r="CF821" t="s">
        <v>111</v>
      </c>
      <c r="CG821" t="s">
        <v>111</v>
      </c>
      <c r="CH821" t="s">
        <v>111</v>
      </c>
      <c r="CI821" t="s">
        <v>111</v>
      </c>
      <c r="CJ821" t="s">
        <v>111</v>
      </c>
      <c r="CK821" t="s">
        <v>111</v>
      </c>
      <c r="CL821" t="s">
        <v>111</v>
      </c>
      <c r="CM821" t="s">
        <v>111</v>
      </c>
      <c r="CN821" t="s">
        <v>111</v>
      </c>
      <c r="CO821" t="s">
        <v>111</v>
      </c>
      <c r="CP821" t="s">
        <v>111</v>
      </c>
      <c r="CQ821">
        <v>0</v>
      </c>
      <c r="CR821">
        <v>0</v>
      </c>
      <c r="CS821">
        <v>0</v>
      </c>
      <c r="CT821" t="s">
        <v>111</v>
      </c>
      <c r="CU821">
        <v>34</v>
      </c>
      <c r="CV821" t="e">
        <f>-CENTRADA</f>
        <v>#NAME?</v>
      </c>
      <c r="CW821" t="s">
        <v>111</v>
      </c>
      <c r="CX821">
        <v>-4</v>
      </c>
      <c r="CY821">
        <v>20</v>
      </c>
      <c r="CZ821" t="s">
        <v>117</v>
      </c>
      <c r="DA821" s="1" t="s">
        <v>2734</v>
      </c>
      <c r="DB821" t="s">
        <v>111</v>
      </c>
      <c r="DC821" t="s">
        <v>111</v>
      </c>
    </row>
    <row r="822" spans="1:107">
      <c r="A822">
        <v>1511</v>
      </c>
      <c r="B822" t="s">
        <v>107</v>
      </c>
      <c r="C822" t="s">
        <v>226</v>
      </c>
      <c r="D822" t="s">
        <v>1682</v>
      </c>
      <c r="E822" t="s">
        <v>2735</v>
      </c>
      <c r="F822" t="s">
        <v>192</v>
      </c>
      <c r="G822" t="s">
        <v>427</v>
      </c>
      <c r="H822">
        <v>1.5</v>
      </c>
      <c r="I822">
        <v>111</v>
      </c>
      <c r="J822">
        <v>0</v>
      </c>
      <c r="K822">
        <v>0</v>
      </c>
      <c r="L822" t="s">
        <v>117</v>
      </c>
      <c r="M822" t="s">
        <v>118</v>
      </c>
      <c r="N822">
        <v>400</v>
      </c>
      <c r="O822">
        <v>1</v>
      </c>
      <c r="P822" t="s">
        <v>111</v>
      </c>
      <c r="Q822">
        <v>400</v>
      </c>
      <c r="R822">
        <v>0</v>
      </c>
      <c r="S822">
        <v>0</v>
      </c>
      <c r="T822">
        <v>0</v>
      </c>
      <c r="U822" t="e">
        <f>-ALMACEN</f>
        <v>#NAME?</v>
      </c>
      <c r="V822">
        <v>250</v>
      </c>
      <c r="W822">
        <v>0</v>
      </c>
      <c r="X822">
        <v>100</v>
      </c>
      <c r="Y822">
        <v>0</v>
      </c>
      <c r="Z822" t="s">
        <v>111</v>
      </c>
      <c r="AA822">
        <v>0</v>
      </c>
      <c r="AB822" t="s">
        <v>111</v>
      </c>
      <c r="AC822">
        <v>0</v>
      </c>
      <c r="AD822" t="s">
        <v>111</v>
      </c>
      <c r="AE822">
        <v>0</v>
      </c>
      <c r="AF822">
        <v>0</v>
      </c>
      <c r="AG822" t="s">
        <v>111</v>
      </c>
      <c r="AH822" t="s">
        <v>111</v>
      </c>
      <c r="AI822" t="s">
        <v>111</v>
      </c>
      <c r="AJ822" t="s">
        <v>111</v>
      </c>
      <c r="AK822" t="s">
        <v>111</v>
      </c>
      <c r="AL822" t="s">
        <v>111</v>
      </c>
      <c r="AM822">
        <v>0</v>
      </c>
      <c r="AN822">
        <v>0</v>
      </c>
      <c r="AO822">
        <v>0</v>
      </c>
      <c r="AP822" t="s">
        <v>111</v>
      </c>
      <c r="AQ822" t="s">
        <v>111</v>
      </c>
      <c r="AR822" t="s">
        <v>111</v>
      </c>
      <c r="AS822" t="s">
        <v>111</v>
      </c>
      <c r="AT822" t="s">
        <v>111</v>
      </c>
      <c r="AU822" t="s">
        <v>111</v>
      </c>
      <c r="AV822" t="s">
        <v>111</v>
      </c>
      <c r="AW822" t="s">
        <v>111</v>
      </c>
      <c r="AX822" t="s">
        <v>111</v>
      </c>
      <c r="AY822" t="s">
        <v>111</v>
      </c>
      <c r="AZ822" t="s">
        <v>111</v>
      </c>
      <c r="BA822" t="s">
        <v>111</v>
      </c>
      <c r="BB822" t="s">
        <v>111</v>
      </c>
      <c r="BC822" t="s">
        <v>111</v>
      </c>
      <c r="BD822" t="s">
        <v>111</v>
      </c>
      <c r="BE822" t="s">
        <v>111</v>
      </c>
      <c r="BF822" t="s">
        <v>111</v>
      </c>
      <c r="BG822" t="s">
        <v>111</v>
      </c>
      <c r="BH822" t="s">
        <v>111</v>
      </c>
      <c r="BI822" t="s">
        <v>111</v>
      </c>
      <c r="BJ822" t="s">
        <v>111</v>
      </c>
      <c r="BK822" t="s">
        <v>111</v>
      </c>
      <c r="BL822" t="s">
        <v>111</v>
      </c>
      <c r="BM822" t="s">
        <v>111</v>
      </c>
      <c r="BN822" t="s">
        <v>111</v>
      </c>
      <c r="BO822" t="s">
        <v>111</v>
      </c>
      <c r="BP822" t="s">
        <v>111</v>
      </c>
      <c r="BQ822" t="s">
        <v>111</v>
      </c>
      <c r="BR822" t="s">
        <v>111</v>
      </c>
      <c r="BS822" t="s">
        <v>111</v>
      </c>
      <c r="BT822" t="s">
        <v>111</v>
      </c>
      <c r="BU822" t="s">
        <v>111</v>
      </c>
      <c r="BV822" t="s">
        <v>111</v>
      </c>
      <c r="BW822" t="s">
        <v>111</v>
      </c>
      <c r="BX822" t="s">
        <v>111</v>
      </c>
      <c r="BY822" t="s">
        <v>111</v>
      </c>
      <c r="BZ822" t="s">
        <v>111</v>
      </c>
      <c r="CA822" t="s">
        <v>111</v>
      </c>
      <c r="CB822" t="s">
        <v>111</v>
      </c>
      <c r="CC822" t="s">
        <v>111</v>
      </c>
      <c r="CD822" t="s">
        <v>111</v>
      </c>
      <c r="CE822" t="s">
        <v>111</v>
      </c>
      <c r="CF822" t="s">
        <v>111</v>
      </c>
      <c r="CG822" t="s">
        <v>111</v>
      </c>
      <c r="CH822" t="s">
        <v>111</v>
      </c>
      <c r="CI822" t="s">
        <v>111</v>
      </c>
      <c r="CJ822" t="s">
        <v>111</v>
      </c>
      <c r="CK822" t="s">
        <v>111</v>
      </c>
      <c r="CL822" t="s">
        <v>111</v>
      </c>
      <c r="CM822" t="s">
        <v>360</v>
      </c>
      <c r="CN822" t="s">
        <v>113</v>
      </c>
      <c r="CO822" t="s">
        <v>2681</v>
      </c>
      <c r="CP822" t="s">
        <v>111</v>
      </c>
      <c r="CQ822">
        <v>0</v>
      </c>
      <c r="CR822">
        <v>2100</v>
      </c>
      <c r="CS822">
        <v>3000</v>
      </c>
      <c r="CT822" t="e">
        <f>-ALMACEN</f>
        <v>#NAME?</v>
      </c>
      <c r="CU822">
        <v>0</v>
      </c>
      <c r="CV822" t="s">
        <v>111</v>
      </c>
      <c r="CW822" t="s">
        <v>111</v>
      </c>
      <c r="CX822" t="s">
        <v>111</v>
      </c>
      <c r="CY822">
        <v>0</v>
      </c>
      <c r="CZ822" t="s">
        <v>111</v>
      </c>
      <c r="DA822" t="s">
        <v>111</v>
      </c>
      <c r="DB822" t="s">
        <v>111</v>
      </c>
      <c r="DC822" t="s">
        <v>111</v>
      </c>
    </row>
    <row r="823" spans="1:107">
      <c r="A823">
        <v>1641</v>
      </c>
      <c r="B823" t="s">
        <v>107</v>
      </c>
      <c r="C823" t="s">
        <v>2274</v>
      </c>
      <c r="D823" t="s">
        <v>2720</v>
      </c>
      <c r="E823" t="s">
        <v>2721</v>
      </c>
      <c r="F823" t="s">
        <v>192</v>
      </c>
      <c r="G823" t="s">
        <v>427</v>
      </c>
      <c r="H823">
        <v>0.8</v>
      </c>
      <c r="I823">
        <v>35</v>
      </c>
      <c r="J823">
        <v>0</v>
      </c>
      <c r="K823">
        <v>0</v>
      </c>
      <c r="L823" t="s">
        <v>112</v>
      </c>
      <c r="M823" t="s">
        <v>111</v>
      </c>
      <c r="N823">
        <v>0</v>
      </c>
      <c r="O823">
        <v>0</v>
      </c>
      <c r="P823" t="s">
        <v>111</v>
      </c>
      <c r="Q823">
        <v>20</v>
      </c>
      <c r="R823">
        <v>0</v>
      </c>
      <c r="S823">
        <v>0</v>
      </c>
      <c r="T823">
        <v>5</v>
      </c>
      <c r="U823" t="e">
        <f>-ALMACEN</f>
        <v>#NAME?</v>
      </c>
      <c r="V823">
        <v>0</v>
      </c>
      <c r="W823">
        <v>25</v>
      </c>
      <c r="X823">
        <v>5</v>
      </c>
      <c r="Y823">
        <v>0</v>
      </c>
      <c r="Z823" t="s">
        <v>111</v>
      </c>
      <c r="AA823">
        <v>0</v>
      </c>
      <c r="AB823" t="s">
        <v>111</v>
      </c>
      <c r="AC823">
        <v>0</v>
      </c>
      <c r="AD823" t="s">
        <v>111</v>
      </c>
      <c r="AE823">
        <v>0</v>
      </c>
      <c r="AF823">
        <v>0</v>
      </c>
      <c r="AG823" t="s">
        <v>111</v>
      </c>
      <c r="AH823" t="s">
        <v>111</v>
      </c>
      <c r="AI823" t="s">
        <v>111</v>
      </c>
      <c r="AJ823" t="s">
        <v>111</v>
      </c>
      <c r="AK823" t="s">
        <v>111</v>
      </c>
      <c r="AL823" t="s">
        <v>111</v>
      </c>
      <c r="AM823">
        <v>0</v>
      </c>
      <c r="AN823">
        <v>0</v>
      </c>
      <c r="AO823">
        <v>0</v>
      </c>
      <c r="AP823" t="s">
        <v>111</v>
      </c>
      <c r="AQ823" t="s">
        <v>111</v>
      </c>
      <c r="AR823" t="s">
        <v>111</v>
      </c>
      <c r="AS823" t="s">
        <v>111</v>
      </c>
      <c r="AT823" t="s">
        <v>111</v>
      </c>
      <c r="AU823" t="s">
        <v>111</v>
      </c>
      <c r="AV823" t="s">
        <v>111</v>
      </c>
      <c r="AW823" t="s">
        <v>111</v>
      </c>
      <c r="AX823" t="s">
        <v>111</v>
      </c>
      <c r="AY823" t="s">
        <v>111</v>
      </c>
      <c r="AZ823" t="s">
        <v>111</v>
      </c>
      <c r="BA823" t="s">
        <v>111</v>
      </c>
      <c r="BB823" t="s">
        <v>111</v>
      </c>
      <c r="BC823" t="s">
        <v>111</v>
      </c>
      <c r="BD823" t="s">
        <v>111</v>
      </c>
      <c r="BE823" t="s">
        <v>111</v>
      </c>
      <c r="BF823" t="s">
        <v>111</v>
      </c>
      <c r="BG823" t="s">
        <v>111</v>
      </c>
      <c r="BH823" t="s">
        <v>111</v>
      </c>
      <c r="BI823" t="s">
        <v>111</v>
      </c>
      <c r="BJ823" t="s">
        <v>111</v>
      </c>
      <c r="BK823" t="s">
        <v>111</v>
      </c>
      <c r="BL823" t="s">
        <v>111</v>
      </c>
      <c r="BM823" t="s">
        <v>111</v>
      </c>
      <c r="BN823" t="s">
        <v>111</v>
      </c>
      <c r="BO823" t="s">
        <v>111</v>
      </c>
      <c r="BP823" t="s">
        <v>111</v>
      </c>
      <c r="BQ823" t="s">
        <v>111</v>
      </c>
      <c r="BR823" t="s">
        <v>111</v>
      </c>
      <c r="BS823" t="s">
        <v>111</v>
      </c>
      <c r="BT823" t="s">
        <v>111</v>
      </c>
      <c r="BU823" t="s">
        <v>111</v>
      </c>
      <c r="BV823" t="s">
        <v>111</v>
      </c>
      <c r="BW823" t="s">
        <v>111</v>
      </c>
      <c r="BX823" t="s">
        <v>111</v>
      </c>
      <c r="BY823" t="s">
        <v>111</v>
      </c>
      <c r="BZ823" t="s">
        <v>111</v>
      </c>
      <c r="CA823" t="s">
        <v>111</v>
      </c>
      <c r="CB823" t="s">
        <v>111</v>
      </c>
      <c r="CC823" t="s">
        <v>111</v>
      </c>
      <c r="CD823" t="s">
        <v>111</v>
      </c>
      <c r="CE823" t="s">
        <v>111</v>
      </c>
      <c r="CF823" t="s">
        <v>111</v>
      </c>
      <c r="CG823" t="s">
        <v>111</v>
      </c>
      <c r="CH823" t="s">
        <v>111</v>
      </c>
      <c r="CI823" t="s">
        <v>111</v>
      </c>
      <c r="CJ823" t="s">
        <v>111</v>
      </c>
      <c r="CK823" t="s">
        <v>111</v>
      </c>
      <c r="CL823" t="s">
        <v>111</v>
      </c>
      <c r="CM823" t="s">
        <v>427</v>
      </c>
      <c r="CN823" t="s">
        <v>113</v>
      </c>
      <c r="CO823" t="s">
        <v>111</v>
      </c>
      <c r="CP823" t="s">
        <v>111</v>
      </c>
      <c r="CQ823">
        <v>75</v>
      </c>
      <c r="CR823">
        <v>6000</v>
      </c>
      <c r="CS823">
        <v>100</v>
      </c>
      <c r="CT823" t="e">
        <f>-ALMACEN</f>
        <v>#NAME?</v>
      </c>
      <c r="CU823">
        <v>0</v>
      </c>
      <c r="CV823" t="s">
        <v>111</v>
      </c>
      <c r="CW823" t="s">
        <v>111</v>
      </c>
      <c r="CX823" t="s">
        <v>111</v>
      </c>
      <c r="CY823">
        <v>0</v>
      </c>
      <c r="CZ823" t="s">
        <v>111</v>
      </c>
      <c r="DA823" t="s">
        <v>111</v>
      </c>
      <c r="DB823" t="s">
        <v>111</v>
      </c>
      <c r="DC823" t="s">
        <v>111</v>
      </c>
    </row>
    <row r="824" spans="1:107">
      <c r="A824">
        <v>173</v>
      </c>
      <c r="B824" t="s">
        <v>162</v>
      </c>
      <c r="C824" t="s">
        <v>2690</v>
      </c>
      <c r="D824" t="s">
        <v>1355</v>
      </c>
      <c r="E824" t="s">
        <v>2736</v>
      </c>
      <c r="F824" t="s">
        <v>431</v>
      </c>
      <c r="G824" t="s">
        <v>427</v>
      </c>
      <c r="H824">
        <v>1.5</v>
      </c>
      <c r="I824">
        <v>100</v>
      </c>
      <c r="J824">
        <v>0</v>
      </c>
      <c r="K824">
        <v>0</v>
      </c>
      <c r="L824" t="s">
        <v>117</v>
      </c>
      <c r="M824" t="s">
        <v>118</v>
      </c>
      <c r="N824">
        <v>40</v>
      </c>
      <c r="O824">
        <v>2</v>
      </c>
      <c r="P824" t="s">
        <v>138</v>
      </c>
      <c r="Q824">
        <v>40</v>
      </c>
      <c r="R824">
        <v>0</v>
      </c>
      <c r="S824">
        <v>0</v>
      </c>
      <c r="T824">
        <v>0</v>
      </c>
      <c r="U824" t="s">
        <v>2685</v>
      </c>
      <c r="V824">
        <v>0</v>
      </c>
      <c r="W824">
        <v>0</v>
      </c>
      <c r="X824">
        <v>1</v>
      </c>
      <c r="Y824">
        <v>0</v>
      </c>
      <c r="Z824" t="s">
        <v>111</v>
      </c>
      <c r="AA824">
        <v>0</v>
      </c>
      <c r="AB824" t="s">
        <v>111</v>
      </c>
      <c r="AC824">
        <v>0</v>
      </c>
      <c r="AD824" t="s">
        <v>427</v>
      </c>
      <c r="AE824">
        <v>4</v>
      </c>
      <c r="AF824">
        <v>0</v>
      </c>
      <c r="AG824" t="s">
        <v>678</v>
      </c>
      <c r="AH824" t="s">
        <v>111</v>
      </c>
      <c r="AI824">
        <v>41</v>
      </c>
      <c r="AJ824" t="s">
        <v>111</v>
      </c>
      <c r="AK824" t="s">
        <v>111</v>
      </c>
      <c r="AL824" t="s">
        <v>111</v>
      </c>
      <c r="AM824">
        <v>0</v>
      </c>
      <c r="AN824">
        <v>0</v>
      </c>
      <c r="AO824">
        <v>0</v>
      </c>
      <c r="AP824" t="s">
        <v>111</v>
      </c>
      <c r="AQ824" t="s">
        <v>111</v>
      </c>
      <c r="AR824" t="s">
        <v>111</v>
      </c>
      <c r="AS824" t="s">
        <v>111</v>
      </c>
      <c r="AT824" t="s">
        <v>111</v>
      </c>
      <c r="AU824" t="s">
        <v>111</v>
      </c>
      <c r="AV824" t="s">
        <v>111</v>
      </c>
      <c r="AW824" t="s">
        <v>111</v>
      </c>
      <c r="AX824" t="s">
        <v>111</v>
      </c>
      <c r="AY824" t="s">
        <v>111</v>
      </c>
      <c r="AZ824" t="s">
        <v>111</v>
      </c>
      <c r="BA824" t="s">
        <v>111</v>
      </c>
      <c r="BB824" t="s">
        <v>111</v>
      </c>
      <c r="BC824" t="s">
        <v>111</v>
      </c>
      <c r="BD824" t="s">
        <v>111</v>
      </c>
      <c r="BE824" t="s">
        <v>111</v>
      </c>
      <c r="BF824" t="s">
        <v>111</v>
      </c>
      <c r="BG824" t="s">
        <v>111</v>
      </c>
      <c r="BH824" t="s">
        <v>111</v>
      </c>
      <c r="BI824" t="s">
        <v>111</v>
      </c>
      <c r="BJ824" t="s">
        <v>111</v>
      </c>
      <c r="BK824" t="s">
        <v>111</v>
      </c>
      <c r="BL824" t="s">
        <v>111</v>
      </c>
      <c r="BM824" t="s">
        <v>111</v>
      </c>
      <c r="BN824" t="s">
        <v>111</v>
      </c>
      <c r="BO824" t="s">
        <v>111</v>
      </c>
      <c r="BP824" t="s">
        <v>111</v>
      </c>
      <c r="BQ824" t="s">
        <v>111</v>
      </c>
      <c r="BR824" t="s">
        <v>111</v>
      </c>
      <c r="BS824" t="s">
        <v>111</v>
      </c>
      <c r="BT824" t="s">
        <v>111</v>
      </c>
      <c r="BU824" t="s">
        <v>111</v>
      </c>
      <c r="BV824" t="s">
        <v>111</v>
      </c>
      <c r="BW824" t="s">
        <v>111</v>
      </c>
      <c r="BX824" t="s">
        <v>111</v>
      </c>
      <c r="BY824" t="s">
        <v>111</v>
      </c>
      <c r="BZ824" t="s">
        <v>111</v>
      </c>
      <c r="CA824" t="s">
        <v>111</v>
      </c>
      <c r="CB824" t="s">
        <v>111</v>
      </c>
      <c r="CC824" t="s">
        <v>111</v>
      </c>
      <c r="CD824" t="s">
        <v>111</v>
      </c>
      <c r="CE824" t="s">
        <v>111</v>
      </c>
      <c r="CF824" t="s">
        <v>111</v>
      </c>
      <c r="CG824" t="s">
        <v>111</v>
      </c>
      <c r="CH824" t="s">
        <v>111</v>
      </c>
      <c r="CI824" t="s">
        <v>111</v>
      </c>
      <c r="CJ824" t="s">
        <v>111</v>
      </c>
      <c r="CK824" t="s">
        <v>111</v>
      </c>
      <c r="CL824" t="s">
        <v>153</v>
      </c>
      <c r="CM824" t="s">
        <v>198</v>
      </c>
      <c r="CN824" t="s">
        <v>113</v>
      </c>
      <c r="CO824" t="s">
        <v>111</v>
      </c>
      <c r="CP824" t="s">
        <v>433</v>
      </c>
      <c r="CQ824">
        <v>0</v>
      </c>
      <c r="CR824">
        <v>0</v>
      </c>
      <c r="CS824">
        <v>0</v>
      </c>
      <c r="CT824" t="s">
        <v>168</v>
      </c>
      <c r="CU824">
        <v>0</v>
      </c>
      <c r="CV824" t="s">
        <v>111</v>
      </c>
      <c r="CW824" t="s">
        <v>111</v>
      </c>
      <c r="CX824" t="s">
        <v>111</v>
      </c>
      <c r="CY824">
        <v>0</v>
      </c>
      <c r="CZ824" t="s">
        <v>111</v>
      </c>
      <c r="DA824" t="s">
        <v>111</v>
      </c>
      <c r="DB824" t="s">
        <v>111</v>
      </c>
      <c r="DC824" t="s">
        <v>111</v>
      </c>
    </row>
    <row r="825" spans="1:107">
      <c r="A825">
        <v>165</v>
      </c>
      <c r="B825" t="s">
        <v>162</v>
      </c>
      <c r="C825" t="s">
        <v>2711</v>
      </c>
      <c r="D825" t="s">
        <v>2737</v>
      </c>
      <c r="E825" t="s">
        <v>2738</v>
      </c>
      <c r="F825" t="s">
        <v>192</v>
      </c>
      <c r="G825" t="s">
        <v>427</v>
      </c>
      <c r="H825">
        <v>1.05</v>
      </c>
      <c r="I825">
        <v>41.5</v>
      </c>
      <c r="J825">
        <v>0</v>
      </c>
      <c r="K825">
        <v>0</v>
      </c>
      <c r="L825" t="s">
        <v>178</v>
      </c>
      <c r="M825" t="s">
        <v>138</v>
      </c>
      <c r="N825">
        <v>0</v>
      </c>
      <c r="O825">
        <v>0</v>
      </c>
      <c r="P825" t="s">
        <v>138</v>
      </c>
      <c r="Q825">
        <v>40</v>
      </c>
      <c r="R825">
        <v>0</v>
      </c>
      <c r="S825">
        <v>0</v>
      </c>
      <c r="T825">
        <v>0</v>
      </c>
      <c r="U825" t="s">
        <v>153</v>
      </c>
      <c r="V825">
        <v>0</v>
      </c>
      <c r="W825">
        <v>0</v>
      </c>
      <c r="X825">
        <v>1</v>
      </c>
      <c r="Y825">
        <v>0</v>
      </c>
      <c r="Z825" t="s">
        <v>111</v>
      </c>
      <c r="AA825">
        <v>0</v>
      </c>
      <c r="AB825" t="s">
        <v>111</v>
      </c>
      <c r="AC825">
        <v>0</v>
      </c>
      <c r="AD825" t="s">
        <v>111</v>
      </c>
      <c r="AE825">
        <v>0</v>
      </c>
      <c r="AF825">
        <v>0</v>
      </c>
      <c r="AG825" t="s">
        <v>111</v>
      </c>
      <c r="AH825" t="s">
        <v>111</v>
      </c>
      <c r="AI825" t="s">
        <v>111</v>
      </c>
      <c r="AJ825" t="s">
        <v>111</v>
      </c>
      <c r="AK825" t="s">
        <v>111</v>
      </c>
      <c r="AL825" t="s">
        <v>111</v>
      </c>
      <c r="AM825">
        <v>0</v>
      </c>
      <c r="AN825">
        <v>0</v>
      </c>
      <c r="AO825">
        <v>0</v>
      </c>
      <c r="AP825" t="s">
        <v>111</v>
      </c>
      <c r="AQ825" t="s">
        <v>111</v>
      </c>
      <c r="AR825" t="s">
        <v>111</v>
      </c>
      <c r="AS825" t="s">
        <v>111</v>
      </c>
      <c r="AT825" t="s">
        <v>111</v>
      </c>
      <c r="AU825" t="s">
        <v>111</v>
      </c>
      <c r="AV825" t="s">
        <v>111</v>
      </c>
      <c r="AW825" t="s">
        <v>111</v>
      </c>
      <c r="AX825" t="s">
        <v>111</v>
      </c>
      <c r="AY825" t="s">
        <v>111</v>
      </c>
      <c r="AZ825" t="s">
        <v>111</v>
      </c>
      <c r="BA825" t="s">
        <v>111</v>
      </c>
      <c r="BB825" t="s">
        <v>111</v>
      </c>
      <c r="BC825" t="s">
        <v>111</v>
      </c>
      <c r="BD825" t="s">
        <v>111</v>
      </c>
      <c r="BE825" t="s">
        <v>111</v>
      </c>
      <c r="BF825" t="s">
        <v>111</v>
      </c>
      <c r="BG825" t="s">
        <v>111</v>
      </c>
      <c r="BH825" t="s">
        <v>111</v>
      </c>
      <c r="BI825" t="s">
        <v>111</v>
      </c>
      <c r="BJ825" t="s">
        <v>111</v>
      </c>
      <c r="BK825" t="s">
        <v>111</v>
      </c>
      <c r="BL825" t="s">
        <v>111</v>
      </c>
      <c r="BM825" t="s">
        <v>111</v>
      </c>
      <c r="BN825" t="s">
        <v>111</v>
      </c>
      <c r="BO825" t="s">
        <v>111</v>
      </c>
      <c r="BP825" t="s">
        <v>111</v>
      </c>
      <c r="BQ825" t="s">
        <v>111</v>
      </c>
      <c r="BR825" t="s">
        <v>111</v>
      </c>
      <c r="BS825" t="s">
        <v>111</v>
      </c>
      <c r="BT825" t="s">
        <v>111</v>
      </c>
      <c r="BU825" t="s">
        <v>111</v>
      </c>
      <c r="BV825" t="s">
        <v>111</v>
      </c>
      <c r="BW825" t="s">
        <v>111</v>
      </c>
      <c r="BX825" t="s">
        <v>111</v>
      </c>
      <c r="BY825" t="s">
        <v>111</v>
      </c>
      <c r="BZ825" t="s">
        <v>111</v>
      </c>
      <c r="CA825" t="s">
        <v>111</v>
      </c>
      <c r="CB825" t="s">
        <v>111</v>
      </c>
      <c r="CC825" t="s">
        <v>111</v>
      </c>
      <c r="CD825" t="s">
        <v>111</v>
      </c>
      <c r="CE825" t="s">
        <v>111</v>
      </c>
      <c r="CF825" t="s">
        <v>111</v>
      </c>
      <c r="CG825" t="s">
        <v>111</v>
      </c>
      <c r="CH825" t="s">
        <v>111</v>
      </c>
      <c r="CI825" t="s">
        <v>111</v>
      </c>
      <c r="CJ825" t="s">
        <v>111</v>
      </c>
      <c r="CK825" t="s">
        <v>111</v>
      </c>
      <c r="CL825" t="s">
        <v>111</v>
      </c>
      <c r="CM825" t="s">
        <v>198</v>
      </c>
      <c r="CN825" t="s">
        <v>113</v>
      </c>
      <c r="CO825" t="s">
        <v>222</v>
      </c>
      <c r="CP825" t="s">
        <v>111</v>
      </c>
      <c r="CQ825">
        <v>0</v>
      </c>
      <c r="CR825">
        <v>0</v>
      </c>
      <c r="CS825">
        <v>0</v>
      </c>
      <c r="CT825" t="s">
        <v>168</v>
      </c>
      <c r="CU825">
        <v>0</v>
      </c>
      <c r="CV825" t="s">
        <v>111</v>
      </c>
      <c r="CW825" t="s">
        <v>111</v>
      </c>
      <c r="CX825" t="s">
        <v>111</v>
      </c>
      <c r="CY825">
        <v>0</v>
      </c>
      <c r="CZ825" t="s">
        <v>111</v>
      </c>
      <c r="DA825" t="s">
        <v>111</v>
      </c>
      <c r="DB825" t="s">
        <v>111</v>
      </c>
      <c r="DC825" t="s">
        <v>111</v>
      </c>
    </row>
    <row r="826" spans="1:107">
      <c r="A826">
        <v>177</v>
      </c>
      <c r="B826" t="s">
        <v>162</v>
      </c>
      <c r="C826" s="2">
        <v>8276984</v>
      </c>
      <c r="D826" t="s">
        <v>2739</v>
      </c>
      <c r="E826" t="s">
        <v>2740</v>
      </c>
      <c r="F826" t="s">
        <v>166</v>
      </c>
      <c r="G826" t="s">
        <v>427</v>
      </c>
      <c r="H826">
        <v>0.9</v>
      </c>
      <c r="I826">
        <v>30</v>
      </c>
      <c r="J826">
        <v>0</v>
      </c>
      <c r="K826">
        <v>0</v>
      </c>
      <c r="L826" t="s">
        <v>112</v>
      </c>
      <c r="M826" t="s">
        <v>138</v>
      </c>
      <c r="N826">
        <v>0</v>
      </c>
      <c r="O826">
        <v>0</v>
      </c>
      <c r="P826" t="s">
        <v>138</v>
      </c>
      <c r="Q826">
        <v>8</v>
      </c>
      <c r="R826">
        <v>0</v>
      </c>
      <c r="S826">
        <v>0</v>
      </c>
      <c r="T826">
        <v>0</v>
      </c>
      <c r="U826" t="s">
        <v>168</v>
      </c>
      <c r="V826">
        <v>0</v>
      </c>
      <c r="W826">
        <v>0</v>
      </c>
      <c r="X826">
        <v>1</v>
      </c>
      <c r="Y826">
        <v>0</v>
      </c>
      <c r="Z826" t="s">
        <v>111</v>
      </c>
      <c r="AA826">
        <v>0</v>
      </c>
      <c r="AB826" t="s">
        <v>111</v>
      </c>
      <c r="AC826">
        <v>0</v>
      </c>
      <c r="AD826" t="s">
        <v>111</v>
      </c>
      <c r="AE826">
        <v>0</v>
      </c>
      <c r="AF826">
        <v>0</v>
      </c>
      <c r="AG826" t="s">
        <v>111</v>
      </c>
      <c r="AH826" t="s">
        <v>111</v>
      </c>
      <c r="AI826" t="s">
        <v>111</v>
      </c>
      <c r="AJ826" t="s">
        <v>111</v>
      </c>
      <c r="AK826" t="s">
        <v>111</v>
      </c>
      <c r="AL826" t="s">
        <v>111</v>
      </c>
      <c r="AM826">
        <v>0</v>
      </c>
      <c r="AN826">
        <v>0</v>
      </c>
      <c r="AO826">
        <v>0</v>
      </c>
      <c r="AP826" t="s">
        <v>111</v>
      </c>
      <c r="AQ826" t="s">
        <v>111</v>
      </c>
      <c r="AR826" t="s">
        <v>111</v>
      </c>
      <c r="AS826" t="s">
        <v>111</v>
      </c>
      <c r="AT826" t="s">
        <v>111</v>
      </c>
      <c r="AU826" t="s">
        <v>111</v>
      </c>
      <c r="AV826" t="s">
        <v>111</v>
      </c>
      <c r="AW826" t="s">
        <v>111</v>
      </c>
      <c r="AX826" t="s">
        <v>111</v>
      </c>
      <c r="AY826" t="s">
        <v>111</v>
      </c>
      <c r="AZ826" t="s">
        <v>111</v>
      </c>
      <c r="BA826" t="s">
        <v>111</v>
      </c>
      <c r="BB826" t="s">
        <v>111</v>
      </c>
      <c r="BC826" t="s">
        <v>111</v>
      </c>
      <c r="BD826" t="s">
        <v>111</v>
      </c>
      <c r="BE826" t="s">
        <v>111</v>
      </c>
      <c r="BF826" t="s">
        <v>111</v>
      </c>
      <c r="BG826" t="s">
        <v>111</v>
      </c>
      <c r="BH826" t="s">
        <v>111</v>
      </c>
      <c r="BI826" t="s">
        <v>111</v>
      </c>
      <c r="BJ826" t="s">
        <v>111</v>
      </c>
      <c r="BK826" t="s">
        <v>111</v>
      </c>
      <c r="BL826" t="s">
        <v>111</v>
      </c>
      <c r="BM826" t="s">
        <v>111</v>
      </c>
      <c r="BN826" t="s">
        <v>111</v>
      </c>
      <c r="BO826" t="s">
        <v>111</v>
      </c>
      <c r="BP826" t="s">
        <v>111</v>
      </c>
      <c r="BQ826" t="s">
        <v>111</v>
      </c>
      <c r="BR826" t="s">
        <v>111</v>
      </c>
      <c r="BS826" t="s">
        <v>111</v>
      </c>
      <c r="BT826" t="s">
        <v>111</v>
      </c>
      <c r="BU826" t="s">
        <v>111</v>
      </c>
      <c r="BV826" t="s">
        <v>111</v>
      </c>
      <c r="BW826" t="s">
        <v>111</v>
      </c>
      <c r="BX826" t="s">
        <v>111</v>
      </c>
      <c r="BY826" t="s">
        <v>111</v>
      </c>
      <c r="BZ826" t="s">
        <v>111</v>
      </c>
      <c r="CA826" t="s">
        <v>111</v>
      </c>
      <c r="CB826" t="s">
        <v>111</v>
      </c>
      <c r="CC826" t="s">
        <v>111</v>
      </c>
      <c r="CD826" t="s">
        <v>111</v>
      </c>
      <c r="CE826" t="s">
        <v>111</v>
      </c>
      <c r="CF826" t="s">
        <v>111</v>
      </c>
      <c r="CG826" t="s">
        <v>111</v>
      </c>
      <c r="CH826" t="s">
        <v>111</v>
      </c>
      <c r="CI826" t="s">
        <v>111</v>
      </c>
      <c r="CJ826" t="s">
        <v>111</v>
      </c>
      <c r="CK826" t="s">
        <v>111</v>
      </c>
      <c r="CL826" t="s">
        <v>111</v>
      </c>
      <c r="CM826" t="s">
        <v>111</v>
      </c>
      <c r="CN826" t="s">
        <v>111</v>
      </c>
      <c r="CO826" t="s">
        <v>111</v>
      </c>
      <c r="CP826" t="s">
        <v>111</v>
      </c>
      <c r="CQ826">
        <v>0</v>
      </c>
      <c r="CR826">
        <v>0</v>
      </c>
      <c r="CS826">
        <v>0</v>
      </c>
      <c r="CT826" t="s">
        <v>168</v>
      </c>
      <c r="CU826">
        <v>0</v>
      </c>
      <c r="CV826" t="s">
        <v>111</v>
      </c>
      <c r="CW826" t="s">
        <v>111</v>
      </c>
      <c r="CX826" t="s">
        <v>111</v>
      </c>
      <c r="CY826">
        <v>0</v>
      </c>
      <c r="CZ826" t="s">
        <v>111</v>
      </c>
      <c r="DA826" t="s">
        <v>111</v>
      </c>
      <c r="DB826" t="s">
        <v>111</v>
      </c>
      <c r="DC826" t="s">
        <v>111</v>
      </c>
    </row>
    <row r="827" spans="1:107">
      <c r="A827">
        <v>156</v>
      </c>
      <c r="B827" t="s">
        <v>162</v>
      </c>
      <c r="C827" t="s">
        <v>2274</v>
      </c>
      <c r="D827" t="s">
        <v>2722</v>
      </c>
      <c r="E827" t="s">
        <v>1369</v>
      </c>
      <c r="F827" t="s">
        <v>370</v>
      </c>
      <c r="G827" t="s">
        <v>427</v>
      </c>
      <c r="H827">
        <v>2.2000000000000002</v>
      </c>
      <c r="I827">
        <v>112</v>
      </c>
      <c r="J827">
        <v>0</v>
      </c>
      <c r="K827">
        <v>0</v>
      </c>
      <c r="L827" t="s">
        <v>117</v>
      </c>
      <c r="M827" t="s">
        <v>118</v>
      </c>
      <c r="N827">
        <v>40</v>
      </c>
      <c r="O827">
        <v>2</v>
      </c>
      <c r="P827" t="s">
        <v>138</v>
      </c>
      <c r="Q827">
        <v>40</v>
      </c>
      <c r="R827">
        <v>0</v>
      </c>
      <c r="S827">
        <v>0</v>
      </c>
      <c r="T827">
        <v>0</v>
      </c>
      <c r="U827" t="s">
        <v>2685</v>
      </c>
      <c r="V827">
        <v>0</v>
      </c>
      <c r="W827">
        <v>0</v>
      </c>
      <c r="X827">
        <v>1</v>
      </c>
      <c r="Y827">
        <v>0</v>
      </c>
      <c r="Z827" t="s">
        <v>288</v>
      </c>
      <c r="AA827">
        <v>0</v>
      </c>
      <c r="AB827" t="s">
        <v>111</v>
      </c>
      <c r="AC827">
        <v>0</v>
      </c>
      <c r="AD827" t="s">
        <v>427</v>
      </c>
      <c r="AE827">
        <v>4</v>
      </c>
      <c r="AF827">
        <v>2</v>
      </c>
      <c r="AG827">
        <v>40</v>
      </c>
      <c r="AH827" t="s">
        <v>111</v>
      </c>
      <c r="AI827">
        <v>40</v>
      </c>
      <c r="AJ827" t="s">
        <v>111</v>
      </c>
      <c r="AK827" t="s">
        <v>111</v>
      </c>
      <c r="AL827" t="s">
        <v>111</v>
      </c>
      <c r="AM827">
        <v>0</v>
      </c>
      <c r="AN827">
        <v>0</v>
      </c>
      <c r="AO827">
        <v>0</v>
      </c>
      <c r="AP827" t="s">
        <v>111</v>
      </c>
      <c r="AQ827" t="s">
        <v>111</v>
      </c>
      <c r="AR827" t="s">
        <v>111</v>
      </c>
      <c r="AS827" t="s">
        <v>111</v>
      </c>
      <c r="AT827" t="s">
        <v>111</v>
      </c>
      <c r="AU827" t="s">
        <v>111</v>
      </c>
      <c r="AV827" t="s">
        <v>111</v>
      </c>
      <c r="AW827" t="s">
        <v>111</v>
      </c>
      <c r="AX827" t="s">
        <v>111</v>
      </c>
      <c r="AY827" t="s">
        <v>111</v>
      </c>
      <c r="AZ827" t="s">
        <v>111</v>
      </c>
      <c r="BA827" t="s">
        <v>111</v>
      </c>
      <c r="BB827" t="s">
        <v>111</v>
      </c>
      <c r="BC827" t="s">
        <v>111</v>
      </c>
      <c r="BD827" t="s">
        <v>111</v>
      </c>
      <c r="BE827" t="s">
        <v>111</v>
      </c>
      <c r="BF827" t="s">
        <v>111</v>
      </c>
      <c r="BG827" t="s">
        <v>111</v>
      </c>
      <c r="BH827" t="s">
        <v>111</v>
      </c>
      <c r="BI827" t="s">
        <v>111</v>
      </c>
      <c r="BJ827" t="s">
        <v>111</v>
      </c>
      <c r="BK827" t="s">
        <v>111</v>
      </c>
      <c r="BL827" t="s">
        <v>111</v>
      </c>
      <c r="BM827" t="s">
        <v>111</v>
      </c>
      <c r="BN827" t="s">
        <v>111</v>
      </c>
      <c r="BO827" t="s">
        <v>111</v>
      </c>
      <c r="BP827" t="s">
        <v>111</v>
      </c>
      <c r="BQ827" t="s">
        <v>111</v>
      </c>
      <c r="BR827" t="s">
        <v>111</v>
      </c>
      <c r="BS827" t="s">
        <v>111</v>
      </c>
      <c r="BT827" t="s">
        <v>111</v>
      </c>
      <c r="BU827" t="s">
        <v>111</v>
      </c>
      <c r="BV827" t="s">
        <v>111</v>
      </c>
      <c r="BW827" t="s">
        <v>111</v>
      </c>
      <c r="BX827" t="s">
        <v>111</v>
      </c>
      <c r="BY827" t="s">
        <v>111</v>
      </c>
      <c r="BZ827" t="s">
        <v>111</v>
      </c>
      <c r="CA827" t="s">
        <v>111</v>
      </c>
      <c r="CB827" t="s">
        <v>111</v>
      </c>
      <c r="CC827" t="s">
        <v>111</v>
      </c>
      <c r="CD827" t="s">
        <v>111</v>
      </c>
      <c r="CE827" t="s">
        <v>111</v>
      </c>
      <c r="CF827" t="s">
        <v>111</v>
      </c>
      <c r="CG827" t="s">
        <v>111</v>
      </c>
      <c r="CH827" t="s">
        <v>111</v>
      </c>
      <c r="CI827" t="s">
        <v>111</v>
      </c>
      <c r="CJ827" t="s">
        <v>111</v>
      </c>
      <c r="CK827" t="s">
        <v>111</v>
      </c>
      <c r="CL827" s="1" t="s">
        <v>2723</v>
      </c>
      <c r="CM827" t="s">
        <v>198</v>
      </c>
      <c r="CN827" t="s">
        <v>113</v>
      </c>
      <c r="CO827" t="s">
        <v>111</v>
      </c>
      <c r="CP827" t="s">
        <v>433</v>
      </c>
      <c r="CQ827">
        <v>0</v>
      </c>
      <c r="CR827">
        <v>0</v>
      </c>
      <c r="CS827">
        <v>0</v>
      </c>
      <c r="CT827" t="s">
        <v>419</v>
      </c>
      <c r="CU827">
        <v>0</v>
      </c>
      <c r="CV827" t="s">
        <v>111</v>
      </c>
      <c r="CW827" t="s">
        <v>111</v>
      </c>
      <c r="CX827" t="s">
        <v>111</v>
      </c>
      <c r="CY827">
        <v>0</v>
      </c>
      <c r="CZ827" t="s">
        <v>111</v>
      </c>
      <c r="DA827" t="s">
        <v>111</v>
      </c>
      <c r="DB827" t="s">
        <v>240</v>
      </c>
      <c r="DC827" s="1" t="s">
        <v>2724</v>
      </c>
    </row>
    <row r="828" spans="1:107">
      <c r="A828">
        <v>1407</v>
      </c>
      <c r="B828" t="s">
        <v>107</v>
      </c>
      <c r="C828" t="s">
        <v>114</v>
      </c>
      <c r="D828" t="s">
        <v>480</v>
      </c>
      <c r="E828" t="s">
        <v>2741</v>
      </c>
      <c r="F828" t="s">
        <v>358</v>
      </c>
      <c r="G828" t="s">
        <v>427</v>
      </c>
      <c r="H828">
        <v>2.7</v>
      </c>
      <c r="I828">
        <v>65</v>
      </c>
      <c r="J828">
        <v>0</v>
      </c>
      <c r="K828">
        <v>0</v>
      </c>
      <c r="L828" t="s">
        <v>117</v>
      </c>
      <c r="M828" t="s">
        <v>118</v>
      </c>
      <c r="N828">
        <v>400</v>
      </c>
      <c r="O828">
        <v>1</v>
      </c>
      <c r="P828" t="s">
        <v>111</v>
      </c>
      <c r="Q828">
        <v>20</v>
      </c>
      <c r="R828">
        <v>0</v>
      </c>
      <c r="S828">
        <v>0</v>
      </c>
      <c r="T828">
        <v>0</v>
      </c>
      <c r="U828" t="e">
        <f>-IMPRESION DARMA</f>
        <v>#NAME?</v>
      </c>
      <c r="V828">
        <v>0</v>
      </c>
      <c r="W828">
        <v>25</v>
      </c>
      <c r="X828">
        <v>100</v>
      </c>
      <c r="Y828">
        <v>0</v>
      </c>
      <c r="Z828" t="s">
        <v>111</v>
      </c>
      <c r="AA828">
        <v>0</v>
      </c>
      <c r="AB828" t="s">
        <v>111</v>
      </c>
      <c r="AC828">
        <v>0</v>
      </c>
      <c r="AD828" t="s">
        <v>416</v>
      </c>
      <c r="AE828">
        <v>0</v>
      </c>
      <c r="AF828">
        <v>0</v>
      </c>
      <c r="AG828" t="s">
        <v>111</v>
      </c>
      <c r="AH828" t="s">
        <v>128</v>
      </c>
      <c r="AI828" t="s">
        <v>111</v>
      </c>
      <c r="AJ828" t="s">
        <v>111</v>
      </c>
      <c r="AK828" t="s">
        <v>111</v>
      </c>
      <c r="AL828" t="s">
        <v>111</v>
      </c>
      <c r="AM828">
        <v>0</v>
      </c>
      <c r="AN828">
        <v>0</v>
      </c>
      <c r="AO828">
        <v>0</v>
      </c>
      <c r="AP828" t="s">
        <v>111</v>
      </c>
      <c r="AQ828" t="s">
        <v>111</v>
      </c>
      <c r="AR828" t="s">
        <v>111</v>
      </c>
      <c r="AS828" t="s">
        <v>111</v>
      </c>
      <c r="AT828" t="s">
        <v>111</v>
      </c>
      <c r="AU828" t="s">
        <v>111</v>
      </c>
      <c r="AV828" t="s">
        <v>111</v>
      </c>
      <c r="AW828" t="s">
        <v>111</v>
      </c>
      <c r="AX828" t="s">
        <v>111</v>
      </c>
      <c r="AY828" t="s">
        <v>111</v>
      </c>
      <c r="AZ828" t="s">
        <v>111</v>
      </c>
      <c r="BA828" t="s">
        <v>111</v>
      </c>
      <c r="BB828" t="s">
        <v>111</v>
      </c>
      <c r="BC828" t="s">
        <v>111</v>
      </c>
      <c r="BD828" t="s">
        <v>111</v>
      </c>
      <c r="BE828" t="s">
        <v>111</v>
      </c>
      <c r="BF828" t="s">
        <v>111</v>
      </c>
      <c r="BG828" t="s">
        <v>111</v>
      </c>
      <c r="BH828" t="s">
        <v>111</v>
      </c>
      <c r="BI828" t="s">
        <v>111</v>
      </c>
      <c r="BJ828" t="s">
        <v>111</v>
      </c>
      <c r="BK828" t="s">
        <v>111</v>
      </c>
      <c r="BL828" t="s">
        <v>111</v>
      </c>
      <c r="BM828" t="s">
        <v>111</v>
      </c>
      <c r="BN828" t="s">
        <v>111</v>
      </c>
      <c r="BO828" t="s">
        <v>111</v>
      </c>
      <c r="BP828" t="s">
        <v>111</v>
      </c>
      <c r="BQ828" t="s">
        <v>111</v>
      </c>
      <c r="BR828" t="s">
        <v>111</v>
      </c>
      <c r="BS828" t="s">
        <v>111</v>
      </c>
      <c r="BT828" t="s">
        <v>111</v>
      </c>
      <c r="BU828" t="s">
        <v>111</v>
      </c>
      <c r="BV828" t="s">
        <v>111</v>
      </c>
      <c r="BW828" t="s">
        <v>111</v>
      </c>
      <c r="BX828" t="s">
        <v>111</v>
      </c>
      <c r="BY828" t="s">
        <v>111</v>
      </c>
      <c r="BZ828" t="s">
        <v>111</v>
      </c>
      <c r="CA828" t="s">
        <v>111</v>
      </c>
      <c r="CB828" t="s">
        <v>111</v>
      </c>
      <c r="CC828" t="s">
        <v>111</v>
      </c>
      <c r="CD828" t="s">
        <v>111</v>
      </c>
      <c r="CE828" t="s">
        <v>111</v>
      </c>
      <c r="CF828" t="s">
        <v>111</v>
      </c>
      <c r="CG828" t="s">
        <v>111</v>
      </c>
      <c r="CH828" t="s">
        <v>111</v>
      </c>
      <c r="CI828" t="s">
        <v>111</v>
      </c>
      <c r="CJ828" t="s">
        <v>111</v>
      </c>
      <c r="CK828" t="s">
        <v>111</v>
      </c>
      <c r="CL828" t="e">
        <f>-ALMACEN</f>
        <v>#NAME?</v>
      </c>
      <c r="CM828" t="s">
        <v>111</v>
      </c>
      <c r="CN828" t="s">
        <v>111</v>
      </c>
      <c r="CO828" t="s">
        <v>111</v>
      </c>
      <c r="CP828" t="s">
        <v>111</v>
      </c>
      <c r="CQ828">
        <v>0</v>
      </c>
      <c r="CR828">
        <v>0</v>
      </c>
      <c r="CS828">
        <v>0</v>
      </c>
      <c r="CT828" t="s">
        <v>111</v>
      </c>
      <c r="CU828">
        <v>0</v>
      </c>
      <c r="CV828" t="s">
        <v>111</v>
      </c>
      <c r="CW828" t="s">
        <v>111</v>
      </c>
      <c r="CX828" t="s">
        <v>111</v>
      </c>
      <c r="CY828">
        <v>0</v>
      </c>
      <c r="CZ828" t="s">
        <v>111</v>
      </c>
      <c r="DA828" t="s">
        <v>111</v>
      </c>
      <c r="DB828" t="s">
        <v>111</v>
      </c>
      <c r="DC828" t="s">
        <v>111</v>
      </c>
    </row>
    <row r="829" spans="1:107">
      <c r="A829">
        <v>1399</v>
      </c>
      <c r="B829" t="s">
        <v>107</v>
      </c>
      <c r="C829" t="s">
        <v>114</v>
      </c>
      <c r="D829" t="s">
        <v>480</v>
      </c>
      <c r="E829" t="s">
        <v>2742</v>
      </c>
      <c r="F829" t="s">
        <v>358</v>
      </c>
      <c r="G829" t="s">
        <v>427</v>
      </c>
      <c r="H829">
        <v>2.7</v>
      </c>
      <c r="I829">
        <v>65</v>
      </c>
      <c r="J829">
        <v>0</v>
      </c>
      <c r="K829">
        <v>0</v>
      </c>
      <c r="L829" t="s">
        <v>117</v>
      </c>
      <c r="M829" t="s">
        <v>111</v>
      </c>
      <c r="N829">
        <v>0</v>
      </c>
      <c r="O829">
        <v>0</v>
      </c>
      <c r="P829" t="s">
        <v>111</v>
      </c>
      <c r="Q829">
        <v>50</v>
      </c>
      <c r="R829">
        <v>0</v>
      </c>
      <c r="S829">
        <v>0</v>
      </c>
      <c r="T829">
        <v>0</v>
      </c>
      <c r="U829" s="1" t="s">
        <v>784</v>
      </c>
      <c r="V829">
        <v>0</v>
      </c>
      <c r="W829">
        <v>25</v>
      </c>
      <c r="X829">
        <v>8</v>
      </c>
      <c r="Y829">
        <v>0</v>
      </c>
      <c r="Z829" t="s">
        <v>111</v>
      </c>
      <c r="AA829">
        <v>0</v>
      </c>
      <c r="AB829" t="s">
        <v>111</v>
      </c>
      <c r="AC829">
        <v>0</v>
      </c>
      <c r="AD829" t="s">
        <v>416</v>
      </c>
      <c r="AE829">
        <v>0</v>
      </c>
      <c r="AF829">
        <v>0</v>
      </c>
      <c r="AG829" t="s">
        <v>111</v>
      </c>
      <c r="AH829" t="s">
        <v>111</v>
      </c>
      <c r="AI829" t="s">
        <v>111</v>
      </c>
      <c r="AJ829" t="s">
        <v>111</v>
      </c>
      <c r="AK829" t="s">
        <v>111</v>
      </c>
      <c r="AL829" t="s">
        <v>111</v>
      </c>
      <c r="AM829">
        <v>0</v>
      </c>
      <c r="AN829">
        <v>0</v>
      </c>
      <c r="AO829">
        <v>0</v>
      </c>
      <c r="AP829" t="s">
        <v>111</v>
      </c>
      <c r="AQ829" t="s">
        <v>111</v>
      </c>
      <c r="AR829" t="s">
        <v>111</v>
      </c>
      <c r="AS829" t="s">
        <v>111</v>
      </c>
      <c r="AT829" t="s">
        <v>111</v>
      </c>
      <c r="AU829" t="s">
        <v>111</v>
      </c>
      <c r="AV829" t="s">
        <v>111</v>
      </c>
      <c r="AW829" t="s">
        <v>111</v>
      </c>
      <c r="AX829" t="s">
        <v>111</v>
      </c>
      <c r="AY829" t="s">
        <v>111</v>
      </c>
      <c r="AZ829" t="s">
        <v>111</v>
      </c>
      <c r="BA829" t="s">
        <v>111</v>
      </c>
      <c r="BB829" t="s">
        <v>111</v>
      </c>
      <c r="BC829" t="s">
        <v>111</v>
      </c>
      <c r="BD829" t="s">
        <v>111</v>
      </c>
      <c r="BE829" t="s">
        <v>111</v>
      </c>
      <c r="BF829" t="s">
        <v>111</v>
      </c>
      <c r="BG829" t="s">
        <v>111</v>
      </c>
      <c r="BH829" t="s">
        <v>111</v>
      </c>
      <c r="BI829" t="s">
        <v>111</v>
      </c>
      <c r="BJ829" t="s">
        <v>111</v>
      </c>
      <c r="BK829" t="s">
        <v>111</v>
      </c>
      <c r="BL829" t="s">
        <v>111</v>
      </c>
      <c r="BM829" t="s">
        <v>111</v>
      </c>
      <c r="BN829" t="s">
        <v>111</v>
      </c>
      <c r="BO829" t="s">
        <v>111</v>
      </c>
      <c r="BP829" t="s">
        <v>111</v>
      </c>
      <c r="BQ829" t="s">
        <v>111</v>
      </c>
      <c r="BR829" t="s">
        <v>111</v>
      </c>
      <c r="BS829" t="s">
        <v>111</v>
      </c>
      <c r="BT829" t="s">
        <v>111</v>
      </c>
      <c r="BU829" t="s">
        <v>111</v>
      </c>
      <c r="BV829" t="s">
        <v>111</v>
      </c>
      <c r="BW829" t="s">
        <v>111</v>
      </c>
      <c r="BX829" t="s">
        <v>111</v>
      </c>
      <c r="BY829" t="s">
        <v>111</v>
      </c>
      <c r="BZ829" t="s">
        <v>111</v>
      </c>
      <c r="CA829" t="s">
        <v>111</v>
      </c>
      <c r="CB829" t="s">
        <v>111</v>
      </c>
      <c r="CC829" t="s">
        <v>111</v>
      </c>
      <c r="CD829" t="s">
        <v>111</v>
      </c>
      <c r="CE829" t="s">
        <v>111</v>
      </c>
      <c r="CF829" t="s">
        <v>111</v>
      </c>
      <c r="CG829" t="s">
        <v>111</v>
      </c>
      <c r="CH829" t="s">
        <v>111</v>
      </c>
      <c r="CI829" t="s">
        <v>111</v>
      </c>
      <c r="CJ829" t="s">
        <v>111</v>
      </c>
      <c r="CK829" t="s">
        <v>111</v>
      </c>
      <c r="CL829" t="e">
        <f>-ALMACEN</f>
        <v>#NAME?</v>
      </c>
      <c r="CM829" t="s">
        <v>111</v>
      </c>
      <c r="CN829" t="s">
        <v>111</v>
      </c>
      <c r="CO829" t="s">
        <v>111</v>
      </c>
      <c r="CP829" t="s">
        <v>111</v>
      </c>
      <c r="CQ829">
        <v>0</v>
      </c>
      <c r="CR829">
        <v>0</v>
      </c>
      <c r="CS829">
        <v>0</v>
      </c>
      <c r="CT829" t="s">
        <v>111</v>
      </c>
      <c r="CU829">
        <v>0</v>
      </c>
      <c r="CV829" t="s">
        <v>111</v>
      </c>
      <c r="CW829" t="s">
        <v>111</v>
      </c>
      <c r="CX829" t="s">
        <v>111</v>
      </c>
      <c r="CY829">
        <v>0</v>
      </c>
      <c r="CZ829" t="s">
        <v>111</v>
      </c>
      <c r="DA829" t="s">
        <v>111</v>
      </c>
      <c r="DB829" t="s">
        <v>111</v>
      </c>
      <c r="DC829" t="s">
        <v>111</v>
      </c>
    </row>
    <row r="830" spans="1:107">
      <c r="A830">
        <v>452</v>
      </c>
      <c r="B830" t="s">
        <v>162</v>
      </c>
      <c r="C830" t="s">
        <v>226</v>
      </c>
      <c r="D830" t="s">
        <v>2683</v>
      </c>
      <c r="E830" t="s">
        <v>2743</v>
      </c>
      <c r="F830" t="s">
        <v>431</v>
      </c>
      <c r="G830" t="s">
        <v>427</v>
      </c>
      <c r="H830">
        <v>1.5</v>
      </c>
      <c r="I830">
        <v>98</v>
      </c>
      <c r="J830">
        <v>0</v>
      </c>
      <c r="K830">
        <v>0</v>
      </c>
      <c r="L830" t="s">
        <v>117</v>
      </c>
      <c r="M830" t="s">
        <v>118</v>
      </c>
      <c r="N830">
        <v>40</v>
      </c>
      <c r="O830">
        <v>1</v>
      </c>
      <c r="P830" t="s">
        <v>138</v>
      </c>
      <c r="Q830">
        <v>35</v>
      </c>
      <c r="R830">
        <v>0</v>
      </c>
      <c r="S830">
        <v>0</v>
      </c>
      <c r="T830">
        <v>0</v>
      </c>
      <c r="U830" t="s">
        <v>2685</v>
      </c>
      <c r="V830">
        <v>0</v>
      </c>
      <c r="W830">
        <v>0</v>
      </c>
      <c r="X830">
        <v>1</v>
      </c>
      <c r="Y830">
        <v>0</v>
      </c>
      <c r="Z830" t="s">
        <v>111</v>
      </c>
      <c r="AA830">
        <v>0</v>
      </c>
      <c r="AB830" t="s">
        <v>111</v>
      </c>
      <c r="AC830">
        <v>0</v>
      </c>
      <c r="AD830" t="s">
        <v>427</v>
      </c>
      <c r="AE830">
        <v>5</v>
      </c>
      <c r="AF830">
        <v>2</v>
      </c>
      <c r="AG830" t="s">
        <v>678</v>
      </c>
      <c r="AH830" t="s">
        <v>111</v>
      </c>
      <c r="AI830">
        <v>42</v>
      </c>
      <c r="AJ830" t="s">
        <v>111</v>
      </c>
      <c r="AK830" t="s">
        <v>111</v>
      </c>
      <c r="AL830" t="s">
        <v>111</v>
      </c>
      <c r="AM830">
        <v>0</v>
      </c>
      <c r="AN830">
        <v>0</v>
      </c>
      <c r="AO830">
        <v>0</v>
      </c>
      <c r="AP830" t="s">
        <v>288</v>
      </c>
      <c r="AQ830" t="s">
        <v>111</v>
      </c>
      <c r="AR830" t="s">
        <v>111</v>
      </c>
      <c r="AS830" t="s">
        <v>111</v>
      </c>
      <c r="AT830" t="s">
        <v>184</v>
      </c>
      <c r="AU830" t="s">
        <v>111</v>
      </c>
      <c r="AV830" t="s">
        <v>111</v>
      </c>
      <c r="AW830" t="s">
        <v>111</v>
      </c>
      <c r="AX830" t="s">
        <v>188</v>
      </c>
      <c r="AY830" t="s">
        <v>111</v>
      </c>
      <c r="AZ830" t="s">
        <v>111</v>
      </c>
      <c r="BA830" t="s">
        <v>111</v>
      </c>
      <c r="BB830" t="s">
        <v>271</v>
      </c>
      <c r="BC830" t="s">
        <v>111</v>
      </c>
      <c r="BD830" t="s">
        <v>111</v>
      </c>
      <c r="BE830" t="s">
        <v>111</v>
      </c>
      <c r="BF830" t="s">
        <v>772</v>
      </c>
      <c r="BG830" t="s">
        <v>111</v>
      </c>
      <c r="BH830" t="s">
        <v>111</v>
      </c>
      <c r="BI830" t="s">
        <v>111</v>
      </c>
      <c r="BJ830" t="s">
        <v>111</v>
      </c>
      <c r="BK830" t="s">
        <v>111</v>
      </c>
      <c r="BL830" t="s">
        <v>111</v>
      </c>
      <c r="BM830" t="s">
        <v>111</v>
      </c>
      <c r="BN830" t="s">
        <v>111</v>
      </c>
      <c r="BO830" t="s">
        <v>111</v>
      </c>
      <c r="BP830" t="s">
        <v>111</v>
      </c>
      <c r="BQ830" t="s">
        <v>111</v>
      </c>
      <c r="BR830" t="s">
        <v>111</v>
      </c>
      <c r="BS830" t="s">
        <v>111</v>
      </c>
      <c r="BT830" t="s">
        <v>111</v>
      </c>
      <c r="BU830" t="s">
        <v>111</v>
      </c>
      <c r="BV830" t="s">
        <v>111</v>
      </c>
      <c r="BW830" t="s">
        <v>111</v>
      </c>
      <c r="BX830" t="s">
        <v>111</v>
      </c>
      <c r="BY830" t="s">
        <v>111</v>
      </c>
      <c r="BZ830" t="s">
        <v>111</v>
      </c>
      <c r="CA830" t="s">
        <v>111</v>
      </c>
      <c r="CB830" t="s">
        <v>111</v>
      </c>
      <c r="CC830" t="s">
        <v>111</v>
      </c>
      <c r="CD830" t="s">
        <v>111</v>
      </c>
      <c r="CE830" t="s">
        <v>111</v>
      </c>
      <c r="CF830" t="s">
        <v>111</v>
      </c>
      <c r="CG830" t="s">
        <v>111</v>
      </c>
      <c r="CH830" t="s">
        <v>111</v>
      </c>
      <c r="CI830" t="s">
        <v>111</v>
      </c>
      <c r="CJ830" t="s">
        <v>111</v>
      </c>
      <c r="CK830" t="s">
        <v>111</v>
      </c>
      <c r="CL830" t="s">
        <v>153</v>
      </c>
      <c r="CM830" t="s">
        <v>198</v>
      </c>
      <c r="CN830" t="s">
        <v>113</v>
      </c>
      <c r="CO830" t="s">
        <v>2681</v>
      </c>
      <c r="CP830" t="s">
        <v>433</v>
      </c>
      <c r="CQ830">
        <v>0</v>
      </c>
      <c r="CR830">
        <v>3000</v>
      </c>
      <c r="CS830">
        <v>300</v>
      </c>
      <c r="CT830" t="s">
        <v>168</v>
      </c>
      <c r="CU830">
        <v>0</v>
      </c>
      <c r="CV830" t="s">
        <v>111</v>
      </c>
      <c r="CW830" t="s">
        <v>111</v>
      </c>
      <c r="CX830" t="s">
        <v>111</v>
      </c>
      <c r="CY830">
        <v>0</v>
      </c>
      <c r="CZ830" t="s">
        <v>111</v>
      </c>
      <c r="DA830" t="s">
        <v>111</v>
      </c>
      <c r="DB830" t="s">
        <v>111</v>
      </c>
      <c r="DC830" t="s">
        <v>111</v>
      </c>
    </row>
    <row r="831" spans="1:107">
      <c r="A831">
        <v>155</v>
      </c>
      <c r="B831" t="s">
        <v>162</v>
      </c>
      <c r="C831" t="s">
        <v>2274</v>
      </c>
      <c r="D831" t="s">
        <v>2744</v>
      </c>
      <c r="E831" t="s">
        <v>2687</v>
      </c>
      <c r="F831" t="s">
        <v>370</v>
      </c>
      <c r="G831" t="s">
        <v>427</v>
      </c>
      <c r="H831">
        <v>2.2000000000000002</v>
      </c>
      <c r="I831">
        <v>94</v>
      </c>
      <c r="J831">
        <v>0</v>
      </c>
      <c r="K831">
        <v>0</v>
      </c>
      <c r="L831" t="s">
        <v>117</v>
      </c>
      <c r="M831" t="s">
        <v>118</v>
      </c>
      <c r="N831">
        <v>40</v>
      </c>
      <c r="O831">
        <v>2</v>
      </c>
      <c r="P831" t="s">
        <v>138</v>
      </c>
      <c r="Q831">
        <v>40</v>
      </c>
      <c r="R831">
        <v>0</v>
      </c>
      <c r="S831">
        <v>0</v>
      </c>
      <c r="T831">
        <v>0</v>
      </c>
      <c r="U831" t="s">
        <v>419</v>
      </c>
      <c r="V831">
        <v>0</v>
      </c>
      <c r="W831">
        <v>0</v>
      </c>
      <c r="X831">
        <v>1</v>
      </c>
      <c r="Y831">
        <v>0</v>
      </c>
      <c r="Z831" t="s">
        <v>288</v>
      </c>
      <c r="AA831">
        <v>0</v>
      </c>
      <c r="AB831" t="s">
        <v>111</v>
      </c>
      <c r="AC831">
        <v>0</v>
      </c>
      <c r="AD831" t="s">
        <v>427</v>
      </c>
      <c r="AE831">
        <v>4</v>
      </c>
      <c r="AF831">
        <v>2</v>
      </c>
      <c r="AG831">
        <v>34</v>
      </c>
      <c r="AH831" t="s">
        <v>111</v>
      </c>
      <c r="AI831">
        <v>34</v>
      </c>
      <c r="AJ831" t="s">
        <v>111</v>
      </c>
      <c r="AK831" t="s">
        <v>111</v>
      </c>
      <c r="AL831" t="s">
        <v>111</v>
      </c>
      <c r="AM831">
        <v>0</v>
      </c>
      <c r="AN831">
        <v>0</v>
      </c>
      <c r="AO831">
        <v>0</v>
      </c>
      <c r="AP831" t="s">
        <v>111</v>
      </c>
      <c r="AQ831" t="s">
        <v>111</v>
      </c>
      <c r="AR831" t="s">
        <v>111</v>
      </c>
      <c r="AS831" t="s">
        <v>111</v>
      </c>
      <c r="AT831" t="s">
        <v>111</v>
      </c>
      <c r="AU831" t="s">
        <v>111</v>
      </c>
      <c r="AV831" t="s">
        <v>111</v>
      </c>
      <c r="AW831" t="s">
        <v>111</v>
      </c>
      <c r="AX831" t="s">
        <v>111</v>
      </c>
      <c r="AY831" t="s">
        <v>111</v>
      </c>
      <c r="AZ831" t="s">
        <v>111</v>
      </c>
      <c r="BA831" t="s">
        <v>111</v>
      </c>
      <c r="BB831" t="s">
        <v>111</v>
      </c>
      <c r="BC831" t="s">
        <v>111</v>
      </c>
      <c r="BD831" t="s">
        <v>111</v>
      </c>
      <c r="BE831" t="s">
        <v>111</v>
      </c>
      <c r="BF831" t="s">
        <v>111</v>
      </c>
      <c r="BG831" t="s">
        <v>111</v>
      </c>
      <c r="BH831" t="s">
        <v>111</v>
      </c>
      <c r="BI831" t="s">
        <v>111</v>
      </c>
      <c r="BJ831" t="s">
        <v>111</v>
      </c>
      <c r="BK831" t="s">
        <v>111</v>
      </c>
      <c r="BL831" t="s">
        <v>111</v>
      </c>
      <c r="BM831" t="s">
        <v>111</v>
      </c>
      <c r="BN831" t="s">
        <v>111</v>
      </c>
      <c r="BO831" t="s">
        <v>111</v>
      </c>
      <c r="BP831" t="s">
        <v>111</v>
      </c>
      <c r="BQ831" t="s">
        <v>111</v>
      </c>
      <c r="BR831" t="s">
        <v>111</v>
      </c>
      <c r="BS831" t="s">
        <v>111</v>
      </c>
      <c r="BT831" t="s">
        <v>111</v>
      </c>
      <c r="BU831" t="s">
        <v>111</v>
      </c>
      <c r="BV831" t="s">
        <v>111</v>
      </c>
      <c r="BW831" t="s">
        <v>111</v>
      </c>
      <c r="BX831" t="s">
        <v>111</v>
      </c>
      <c r="BY831" t="s">
        <v>111</v>
      </c>
      <c r="BZ831" t="s">
        <v>111</v>
      </c>
      <c r="CA831" t="s">
        <v>111</v>
      </c>
      <c r="CB831" t="s">
        <v>111</v>
      </c>
      <c r="CC831" t="s">
        <v>111</v>
      </c>
      <c r="CD831" t="s">
        <v>111</v>
      </c>
      <c r="CE831" t="s">
        <v>111</v>
      </c>
      <c r="CF831" t="s">
        <v>111</v>
      </c>
      <c r="CG831" t="s">
        <v>111</v>
      </c>
      <c r="CH831" t="s">
        <v>111</v>
      </c>
      <c r="CI831" t="s">
        <v>111</v>
      </c>
      <c r="CJ831" t="s">
        <v>111</v>
      </c>
      <c r="CK831" t="s">
        <v>111</v>
      </c>
      <c r="CL831" s="1" t="s">
        <v>2723</v>
      </c>
      <c r="CM831" t="s">
        <v>198</v>
      </c>
      <c r="CN831" t="s">
        <v>113</v>
      </c>
      <c r="CO831" t="s">
        <v>111</v>
      </c>
      <c r="CP831" t="s">
        <v>433</v>
      </c>
      <c r="CQ831">
        <v>0</v>
      </c>
      <c r="CR831">
        <v>0</v>
      </c>
      <c r="CS831">
        <v>0</v>
      </c>
      <c r="CT831" t="s">
        <v>419</v>
      </c>
      <c r="CU831">
        <v>0</v>
      </c>
      <c r="CV831" t="s">
        <v>111</v>
      </c>
      <c r="CW831" t="s">
        <v>111</v>
      </c>
      <c r="CX831" t="s">
        <v>111</v>
      </c>
      <c r="CY831">
        <v>0</v>
      </c>
      <c r="CZ831" t="s">
        <v>111</v>
      </c>
      <c r="DA831" t="s">
        <v>111</v>
      </c>
      <c r="DB831" t="s">
        <v>240</v>
      </c>
      <c r="DC831" s="1" t="s">
        <v>2724</v>
      </c>
    </row>
    <row r="832" spans="1:107">
      <c r="A832">
        <v>2045</v>
      </c>
      <c r="B832" t="s">
        <v>376</v>
      </c>
      <c r="C832" t="s">
        <v>114</v>
      </c>
      <c r="D832" t="s">
        <v>480</v>
      </c>
      <c r="E832" t="s">
        <v>2745</v>
      </c>
      <c r="F832" t="s">
        <v>358</v>
      </c>
      <c r="G832" t="s">
        <v>427</v>
      </c>
      <c r="H832">
        <v>2.7</v>
      </c>
      <c r="I832">
        <v>65</v>
      </c>
      <c r="J832">
        <v>0</v>
      </c>
      <c r="K832">
        <v>0</v>
      </c>
      <c r="L832" t="s">
        <v>117</v>
      </c>
      <c r="M832" t="s">
        <v>118</v>
      </c>
      <c r="N832">
        <v>39</v>
      </c>
      <c r="O832">
        <v>1</v>
      </c>
      <c r="P832" t="s">
        <v>111</v>
      </c>
      <c r="Q832">
        <v>20</v>
      </c>
      <c r="R832">
        <v>0</v>
      </c>
      <c r="S832">
        <v>0</v>
      </c>
      <c r="T832">
        <v>5</v>
      </c>
      <c r="U832" s="1" t="s">
        <v>2746</v>
      </c>
      <c r="V832">
        <v>25</v>
      </c>
      <c r="W832">
        <v>0</v>
      </c>
      <c r="X832">
        <v>10</v>
      </c>
      <c r="Y832">
        <v>0</v>
      </c>
      <c r="Z832" t="s">
        <v>111</v>
      </c>
      <c r="AA832">
        <v>0</v>
      </c>
      <c r="AB832" t="s">
        <v>111</v>
      </c>
      <c r="AC832">
        <v>0</v>
      </c>
      <c r="AD832" t="s">
        <v>416</v>
      </c>
      <c r="AE832">
        <v>0</v>
      </c>
      <c r="AF832">
        <v>0</v>
      </c>
      <c r="AG832" t="s">
        <v>111</v>
      </c>
      <c r="AH832" t="s">
        <v>111</v>
      </c>
      <c r="AI832" t="s">
        <v>111</v>
      </c>
      <c r="AJ832" t="s">
        <v>111</v>
      </c>
      <c r="AK832" t="s">
        <v>111</v>
      </c>
      <c r="AL832" t="s">
        <v>111</v>
      </c>
      <c r="AM832">
        <v>0</v>
      </c>
      <c r="AN832">
        <v>0</v>
      </c>
      <c r="AO832">
        <v>0</v>
      </c>
      <c r="AP832" t="s">
        <v>111</v>
      </c>
      <c r="AQ832" t="s">
        <v>111</v>
      </c>
      <c r="AR832" t="s">
        <v>111</v>
      </c>
      <c r="AS832" t="s">
        <v>111</v>
      </c>
      <c r="AT832" t="s">
        <v>111</v>
      </c>
      <c r="AU832" t="s">
        <v>111</v>
      </c>
      <c r="AV832" t="s">
        <v>111</v>
      </c>
      <c r="AW832" t="s">
        <v>111</v>
      </c>
      <c r="AX832" t="s">
        <v>111</v>
      </c>
      <c r="AY832" t="s">
        <v>111</v>
      </c>
      <c r="AZ832" t="s">
        <v>111</v>
      </c>
      <c r="BA832" t="s">
        <v>111</v>
      </c>
      <c r="BB832" t="s">
        <v>111</v>
      </c>
      <c r="BC832" t="s">
        <v>111</v>
      </c>
      <c r="BD832" t="s">
        <v>111</v>
      </c>
      <c r="BE832" t="s">
        <v>111</v>
      </c>
      <c r="BF832" t="s">
        <v>111</v>
      </c>
      <c r="BG832" t="s">
        <v>111</v>
      </c>
      <c r="BH832" t="s">
        <v>111</v>
      </c>
      <c r="BI832" t="s">
        <v>111</v>
      </c>
      <c r="BJ832" t="s">
        <v>111</v>
      </c>
      <c r="BK832" t="s">
        <v>111</v>
      </c>
      <c r="BL832" t="s">
        <v>111</v>
      </c>
      <c r="BM832" t="s">
        <v>111</v>
      </c>
      <c r="BN832" t="s">
        <v>111</v>
      </c>
      <c r="BO832" t="s">
        <v>111</v>
      </c>
      <c r="BP832" t="s">
        <v>111</v>
      </c>
      <c r="BQ832" t="s">
        <v>111</v>
      </c>
      <c r="BR832" t="s">
        <v>111</v>
      </c>
      <c r="BS832" t="s">
        <v>111</v>
      </c>
      <c r="BT832" t="s">
        <v>111</v>
      </c>
      <c r="BU832" t="s">
        <v>111</v>
      </c>
      <c r="BV832" t="s">
        <v>111</v>
      </c>
      <c r="BW832" t="s">
        <v>111</v>
      </c>
      <c r="BX832" t="s">
        <v>111</v>
      </c>
      <c r="BY832" t="s">
        <v>111</v>
      </c>
      <c r="BZ832" t="s">
        <v>111</v>
      </c>
      <c r="CA832" t="s">
        <v>111</v>
      </c>
      <c r="CB832" t="s">
        <v>111</v>
      </c>
      <c r="CC832" t="s">
        <v>111</v>
      </c>
      <c r="CD832" t="s">
        <v>111</v>
      </c>
      <c r="CE832" t="s">
        <v>111</v>
      </c>
      <c r="CF832" t="s">
        <v>111</v>
      </c>
      <c r="CG832" t="s">
        <v>111</v>
      </c>
      <c r="CH832" t="s">
        <v>111</v>
      </c>
      <c r="CI832" t="s">
        <v>111</v>
      </c>
      <c r="CJ832" t="s">
        <v>111</v>
      </c>
      <c r="CK832" t="s">
        <v>111</v>
      </c>
      <c r="CL832" t="s">
        <v>111</v>
      </c>
      <c r="CM832" t="s">
        <v>111</v>
      </c>
      <c r="CN832" t="s">
        <v>111</v>
      </c>
      <c r="CO832" t="s">
        <v>111</v>
      </c>
      <c r="CP832" t="s">
        <v>111</v>
      </c>
      <c r="CQ832">
        <v>0</v>
      </c>
      <c r="CR832">
        <v>0</v>
      </c>
      <c r="CS832">
        <v>0</v>
      </c>
      <c r="CT832" t="s">
        <v>111</v>
      </c>
      <c r="CU832">
        <v>15.5</v>
      </c>
      <c r="CV832" t="s">
        <v>2747</v>
      </c>
      <c r="CX832" t="s">
        <v>111</v>
      </c>
      <c r="CY832">
        <v>13</v>
      </c>
      <c r="CZ832" t="s">
        <v>117</v>
      </c>
      <c r="DA832" s="1" t="s">
        <v>2748</v>
      </c>
      <c r="DB832" t="s">
        <v>111</v>
      </c>
      <c r="DC832" t="s">
        <v>111</v>
      </c>
    </row>
    <row r="833" spans="1:107">
      <c r="A833">
        <v>1027</v>
      </c>
      <c r="B833" t="s">
        <v>107</v>
      </c>
      <c r="C833" t="s">
        <v>226</v>
      </c>
      <c r="D833" t="s">
        <v>2749</v>
      </c>
      <c r="E833" t="s">
        <v>2750</v>
      </c>
      <c r="F833" t="s">
        <v>431</v>
      </c>
      <c r="G833" t="s">
        <v>427</v>
      </c>
      <c r="H833">
        <v>1.5</v>
      </c>
      <c r="I833">
        <v>111</v>
      </c>
      <c r="J833">
        <v>0</v>
      </c>
      <c r="K833">
        <v>0</v>
      </c>
      <c r="L833" t="s">
        <v>117</v>
      </c>
      <c r="M833" t="s">
        <v>118</v>
      </c>
      <c r="N833">
        <v>40</v>
      </c>
      <c r="O833">
        <v>1</v>
      </c>
      <c r="P833" t="s">
        <v>138</v>
      </c>
      <c r="Q833">
        <v>40</v>
      </c>
      <c r="R833">
        <v>0</v>
      </c>
      <c r="S833">
        <v>0</v>
      </c>
      <c r="T833">
        <v>10</v>
      </c>
      <c r="U833" t="s">
        <v>2751</v>
      </c>
      <c r="V833">
        <v>0</v>
      </c>
      <c r="W833">
        <v>25</v>
      </c>
      <c r="X833">
        <v>8</v>
      </c>
      <c r="Y833">
        <v>0</v>
      </c>
      <c r="Z833" t="s">
        <v>111</v>
      </c>
      <c r="AA833">
        <v>0</v>
      </c>
      <c r="AB833" t="s">
        <v>111</v>
      </c>
      <c r="AC833">
        <v>0</v>
      </c>
      <c r="AD833" t="s">
        <v>427</v>
      </c>
      <c r="AE833">
        <v>0</v>
      </c>
      <c r="AF833">
        <v>0</v>
      </c>
      <c r="AG833" t="s">
        <v>111</v>
      </c>
      <c r="AH833" t="s">
        <v>111</v>
      </c>
      <c r="AI833" t="s">
        <v>111</v>
      </c>
      <c r="AJ833" t="s">
        <v>111</v>
      </c>
      <c r="AK833" t="s">
        <v>111</v>
      </c>
      <c r="AL833" t="s">
        <v>111</v>
      </c>
      <c r="AM833">
        <v>0</v>
      </c>
      <c r="AN833">
        <v>0</v>
      </c>
      <c r="AO833">
        <v>0</v>
      </c>
      <c r="AP833" t="s">
        <v>111</v>
      </c>
      <c r="AQ833" t="s">
        <v>111</v>
      </c>
      <c r="AR833" t="s">
        <v>111</v>
      </c>
      <c r="AS833" t="s">
        <v>111</v>
      </c>
      <c r="AT833" t="s">
        <v>111</v>
      </c>
      <c r="AU833" t="s">
        <v>111</v>
      </c>
      <c r="AV833" t="s">
        <v>111</v>
      </c>
      <c r="AW833" t="s">
        <v>111</v>
      </c>
      <c r="AX833" t="s">
        <v>111</v>
      </c>
      <c r="AY833" t="s">
        <v>111</v>
      </c>
      <c r="AZ833" t="s">
        <v>111</v>
      </c>
      <c r="BA833" t="s">
        <v>111</v>
      </c>
      <c r="BB833" t="s">
        <v>111</v>
      </c>
      <c r="BC833" t="s">
        <v>111</v>
      </c>
      <c r="BD833" t="s">
        <v>111</v>
      </c>
      <c r="BE833" t="s">
        <v>111</v>
      </c>
      <c r="BF833" t="s">
        <v>111</v>
      </c>
      <c r="BG833" t="s">
        <v>111</v>
      </c>
      <c r="BH833" t="s">
        <v>111</v>
      </c>
      <c r="BI833" t="s">
        <v>111</v>
      </c>
      <c r="BJ833" t="s">
        <v>111</v>
      </c>
      <c r="BK833" t="s">
        <v>111</v>
      </c>
      <c r="BL833" t="s">
        <v>111</v>
      </c>
      <c r="BM833" t="s">
        <v>111</v>
      </c>
      <c r="BN833" t="s">
        <v>111</v>
      </c>
      <c r="BO833" t="s">
        <v>111</v>
      </c>
      <c r="BP833" t="s">
        <v>111</v>
      </c>
      <c r="BQ833" t="s">
        <v>111</v>
      </c>
      <c r="BR833" t="s">
        <v>111</v>
      </c>
      <c r="BS833" t="s">
        <v>111</v>
      </c>
      <c r="BT833" t="s">
        <v>111</v>
      </c>
      <c r="BU833" t="s">
        <v>111</v>
      </c>
      <c r="BV833" t="s">
        <v>111</v>
      </c>
      <c r="BW833" t="s">
        <v>111</v>
      </c>
      <c r="BX833" t="s">
        <v>111</v>
      </c>
      <c r="BY833" t="s">
        <v>111</v>
      </c>
      <c r="BZ833" t="s">
        <v>111</v>
      </c>
      <c r="CA833" t="s">
        <v>111</v>
      </c>
      <c r="CB833" t="s">
        <v>111</v>
      </c>
      <c r="CC833" t="s">
        <v>111</v>
      </c>
      <c r="CD833" t="s">
        <v>111</v>
      </c>
      <c r="CE833" t="s">
        <v>111</v>
      </c>
      <c r="CF833" t="s">
        <v>111</v>
      </c>
      <c r="CG833" t="s">
        <v>111</v>
      </c>
      <c r="CH833" t="s">
        <v>111</v>
      </c>
      <c r="CI833" t="s">
        <v>111</v>
      </c>
      <c r="CJ833" t="s">
        <v>111</v>
      </c>
      <c r="CK833" t="s">
        <v>111</v>
      </c>
      <c r="CL833" t="e">
        <f>-DESTINO ALMACEN</f>
        <v>#NAME?</v>
      </c>
      <c r="CM833" t="s">
        <v>360</v>
      </c>
      <c r="CN833" t="s">
        <v>113</v>
      </c>
      <c r="CO833" t="s">
        <v>2681</v>
      </c>
      <c r="CP833" t="e">
        <f>-MUESTRA</f>
        <v>#NAME?</v>
      </c>
      <c r="CQ833">
        <v>0</v>
      </c>
      <c r="CR833">
        <v>3000</v>
      </c>
      <c r="CS833">
        <v>300</v>
      </c>
      <c r="CT833" s="1" t="s">
        <v>2752</v>
      </c>
      <c r="CU833">
        <v>0</v>
      </c>
      <c r="CV833" t="s">
        <v>111</v>
      </c>
      <c r="CW833" t="s">
        <v>111</v>
      </c>
      <c r="CX833" t="s">
        <v>111</v>
      </c>
      <c r="CY833">
        <v>0</v>
      </c>
      <c r="CZ833" t="s">
        <v>111</v>
      </c>
      <c r="DA833" t="s">
        <v>111</v>
      </c>
      <c r="DB833" t="s">
        <v>111</v>
      </c>
      <c r="DC833" t="s">
        <v>111</v>
      </c>
    </row>
    <row r="834" spans="1:107">
      <c r="A834">
        <v>1029</v>
      </c>
      <c r="B834" t="s">
        <v>107</v>
      </c>
      <c r="C834" t="s">
        <v>2695</v>
      </c>
      <c r="D834" t="s">
        <v>2753</v>
      </c>
      <c r="E834" t="s">
        <v>2754</v>
      </c>
      <c r="F834" t="s">
        <v>358</v>
      </c>
      <c r="G834" t="s">
        <v>427</v>
      </c>
      <c r="H834">
        <v>1.2</v>
      </c>
      <c r="I834">
        <v>88</v>
      </c>
      <c r="J834">
        <v>0</v>
      </c>
      <c r="K834">
        <v>0</v>
      </c>
      <c r="L834" t="s">
        <v>117</v>
      </c>
      <c r="M834" t="s">
        <v>118</v>
      </c>
      <c r="N834">
        <v>40</v>
      </c>
      <c r="O834">
        <v>1</v>
      </c>
      <c r="P834" t="s">
        <v>138</v>
      </c>
      <c r="Q834">
        <v>40</v>
      </c>
      <c r="R834">
        <v>0</v>
      </c>
      <c r="S834">
        <v>0</v>
      </c>
      <c r="T834">
        <v>0</v>
      </c>
      <c r="U834" t="s">
        <v>296</v>
      </c>
      <c r="V834">
        <v>0</v>
      </c>
      <c r="W834">
        <v>25</v>
      </c>
      <c r="X834">
        <v>0</v>
      </c>
      <c r="Y834">
        <v>0</v>
      </c>
      <c r="Z834" t="s">
        <v>111</v>
      </c>
      <c r="AA834">
        <v>0</v>
      </c>
      <c r="AB834" t="s">
        <v>111</v>
      </c>
      <c r="AC834">
        <v>0</v>
      </c>
      <c r="AD834" t="s">
        <v>111</v>
      </c>
      <c r="AE834">
        <v>0</v>
      </c>
      <c r="AF834">
        <v>0</v>
      </c>
      <c r="AG834" t="s">
        <v>111</v>
      </c>
      <c r="AH834" t="s">
        <v>111</v>
      </c>
      <c r="AI834" t="s">
        <v>111</v>
      </c>
      <c r="AJ834" t="s">
        <v>111</v>
      </c>
      <c r="AK834" t="s">
        <v>111</v>
      </c>
      <c r="AL834" t="s">
        <v>111</v>
      </c>
      <c r="AM834">
        <v>0</v>
      </c>
      <c r="AN834">
        <v>0</v>
      </c>
      <c r="AO834">
        <v>0</v>
      </c>
      <c r="AP834" t="s">
        <v>111</v>
      </c>
      <c r="AQ834" t="s">
        <v>111</v>
      </c>
      <c r="AR834" t="s">
        <v>111</v>
      </c>
      <c r="AS834" t="s">
        <v>111</v>
      </c>
      <c r="AT834" t="s">
        <v>111</v>
      </c>
      <c r="AU834" t="s">
        <v>111</v>
      </c>
      <c r="AV834" t="s">
        <v>111</v>
      </c>
      <c r="AW834" t="s">
        <v>111</v>
      </c>
      <c r="AX834" t="s">
        <v>111</v>
      </c>
      <c r="AY834" t="s">
        <v>111</v>
      </c>
      <c r="AZ834" t="s">
        <v>111</v>
      </c>
      <c r="BA834" t="s">
        <v>111</v>
      </c>
      <c r="BB834" t="s">
        <v>111</v>
      </c>
      <c r="BC834" t="s">
        <v>111</v>
      </c>
      <c r="BD834" t="s">
        <v>111</v>
      </c>
      <c r="BE834" t="s">
        <v>111</v>
      </c>
      <c r="BF834" t="s">
        <v>111</v>
      </c>
      <c r="BG834" t="s">
        <v>111</v>
      </c>
      <c r="BH834" t="s">
        <v>111</v>
      </c>
      <c r="BI834" t="s">
        <v>111</v>
      </c>
      <c r="BJ834" t="s">
        <v>111</v>
      </c>
      <c r="BK834" t="s">
        <v>111</v>
      </c>
      <c r="BL834" t="s">
        <v>111</v>
      </c>
      <c r="BM834" t="s">
        <v>111</v>
      </c>
      <c r="BN834" t="s">
        <v>111</v>
      </c>
      <c r="BO834" t="s">
        <v>111</v>
      </c>
      <c r="BP834" t="s">
        <v>111</v>
      </c>
      <c r="BQ834" t="s">
        <v>111</v>
      </c>
      <c r="BR834" t="s">
        <v>111</v>
      </c>
      <c r="BS834" t="s">
        <v>111</v>
      </c>
      <c r="BT834" t="s">
        <v>111</v>
      </c>
      <c r="BU834" t="s">
        <v>111</v>
      </c>
      <c r="BV834" t="s">
        <v>111</v>
      </c>
      <c r="BW834" t="s">
        <v>111</v>
      </c>
      <c r="BX834" t="s">
        <v>111</v>
      </c>
      <c r="BY834" t="s">
        <v>111</v>
      </c>
      <c r="BZ834" t="s">
        <v>111</v>
      </c>
      <c r="CA834" t="s">
        <v>111</v>
      </c>
      <c r="CB834" t="s">
        <v>111</v>
      </c>
      <c r="CC834" t="s">
        <v>111</v>
      </c>
      <c r="CD834" t="s">
        <v>111</v>
      </c>
      <c r="CE834" t="s">
        <v>111</v>
      </c>
      <c r="CF834" t="s">
        <v>111</v>
      </c>
      <c r="CG834" t="s">
        <v>111</v>
      </c>
      <c r="CH834" t="s">
        <v>111</v>
      </c>
      <c r="CI834" t="s">
        <v>111</v>
      </c>
      <c r="CJ834" t="s">
        <v>111</v>
      </c>
      <c r="CK834" t="s">
        <v>111</v>
      </c>
      <c r="CL834" t="s">
        <v>111</v>
      </c>
      <c r="CM834" t="s">
        <v>360</v>
      </c>
      <c r="CN834" t="s">
        <v>113</v>
      </c>
      <c r="CO834" t="s">
        <v>111</v>
      </c>
      <c r="CP834" t="s">
        <v>111</v>
      </c>
      <c r="CQ834">
        <v>0</v>
      </c>
      <c r="CR834">
        <v>4000</v>
      </c>
      <c r="CS834">
        <v>250</v>
      </c>
      <c r="CT834" s="1" t="s">
        <v>2755</v>
      </c>
      <c r="CU834">
        <v>0</v>
      </c>
      <c r="CV834" t="s">
        <v>111</v>
      </c>
      <c r="CW834" t="s">
        <v>111</v>
      </c>
      <c r="CX834" t="s">
        <v>111</v>
      </c>
      <c r="CY834">
        <v>0</v>
      </c>
      <c r="CZ834" t="s">
        <v>111</v>
      </c>
      <c r="DA834" t="s">
        <v>111</v>
      </c>
      <c r="DB834" t="s">
        <v>111</v>
      </c>
      <c r="DC834" t="s">
        <v>111</v>
      </c>
    </row>
    <row r="835" spans="1:107">
      <c r="A835">
        <v>1408</v>
      </c>
      <c r="B835" t="s">
        <v>107</v>
      </c>
      <c r="C835" t="s">
        <v>114</v>
      </c>
      <c r="D835" t="s">
        <v>480</v>
      </c>
      <c r="E835" t="s">
        <v>2756</v>
      </c>
      <c r="F835" t="s">
        <v>358</v>
      </c>
      <c r="G835" t="s">
        <v>427</v>
      </c>
      <c r="H835">
        <v>2.7</v>
      </c>
      <c r="I835">
        <v>65</v>
      </c>
      <c r="J835">
        <v>0</v>
      </c>
      <c r="K835">
        <v>0</v>
      </c>
      <c r="L835" t="s">
        <v>117</v>
      </c>
      <c r="M835" t="s">
        <v>118</v>
      </c>
      <c r="N835">
        <v>40</v>
      </c>
      <c r="O835">
        <v>1</v>
      </c>
      <c r="P835" t="s">
        <v>111</v>
      </c>
      <c r="Q835">
        <v>200</v>
      </c>
      <c r="R835">
        <v>0</v>
      </c>
      <c r="S835">
        <v>0</v>
      </c>
      <c r="T835">
        <v>0</v>
      </c>
      <c r="U835" t="e">
        <f>-IMPRESION DARMA</f>
        <v>#NAME?</v>
      </c>
      <c r="V835">
        <v>0</v>
      </c>
      <c r="W835">
        <v>25</v>
      </c>
      <c r="X835">
        <v>10</v>
      </c>
      <c r="Y835">
        <v>0</v>
      </c>
      <c r="Z835" t="s">
        <v>111</v>
      </c>
      <c r="AA835">
        <v>0</v>
      </c>
      <c r="AB835" t="s">
        <v>111</v>
      </c>
      <c r="AC835">
        <v>0</v>
      </c>
      <c r="AD835" t="s">
        <v>416</v>
      </c>
      <c r="AE835">
        <v>0</v>
      </c>
      <c r="AF835">
        <v>0</v>
      </c>
      <c r="AG835" t="s">
        <v>111</v>
      </c>
      <c r="AH835" t="s">
        <v>128</v>
      </c>
      <c r="AI835" t="s">
        <v>111</v>
      </c>
      <c r="AJ835" t="s">
        <v>111</v>
      </c>
      <c r="AK835" t="s">
        <v>111</v>
      </c>
      <c r="AL835" t="s">
        <v>111</v>
      </c>
      <c r="AM835">
        <v>0</v>
      </c>
      <c r="AN835">
        <v>0</v>
      </c>
      <c r="AO835">
        <v>0</v>
      </c>
      <c r="AP835" t="s">
        <v>111</v>
      </c>
      <c r="AQ835" t="s">
        <v>111</v>
      </c>
      <c r="AR835" t="s">
        <v>111</v>
      </c>
      <c r="AS835" t="s">
        <v>111</v>
      </c>
      <c r="AT835" t="s">
        <v>111</v>
      </c>
      <c r="AU835" t="s">
        <v>111</v>
      </c>
      <c r="AV835" t="s">
        <v>111</v>
      </c>
      <c r="AW835" t="s">
        <v>111</v>
      </c>
      <c r="AX835" t="s">
        <v>111</v>
      </c>
      <c r="AY835" t="s">
        <v>111</v>
      </c>
      <c r="AZ835" t="s">
        <v>111</v>
      </c>
      <c r="BA835" t="s">
        <v>111</v>
      </c>
      <c r="BB835" t="s">
        <v>111</v>
      </c>
      <c r="BC835" t="s">
        <v>111</v>
      </c>
      <c r="BD835" t="s">
        <v>111</v>
      </c>
      <c r="BE835" t="s">
        <v>111</v>
      </c>
      <c r="BF835" t="s">
        <v>111</v>
      </c>
      <c r="BG835" t="s">
        <v>111</v>
      </c>
      <c r="BH835" t="s">
        <v>111</v>
      </c>
      <c r="BI835" t="s">
        <v>111</v>
      </c>
      <c r="BJ835" t="s">
        <v>111</v>
      </c>
      <c r="BK835" t="s">
        <v>111</v>
      </c>
      <c r="BL835" t="s">
        <v>111</v>
      </c>
      <c r="BM835" t="s">
        <v>111</v>
      </c>
      <c r="BN835" t="s">
        <v>111</v>
      </c>
      <c r="BO835" t="s">
        <v>111</v>
      </c>
      <c r="BP835" t="s">
        <v>111</v>
      </c>
      <c r="BQ835" t="s">
        <v>111</v>
      </c>
      <c r="BR835" t="s">
        <v>111</v>
      </c>
      <c r="BS835" t="s">
        <v>111</v>
      </c>
      <c r="BT835" t="s">
        <v>111</v>
      </c>
      <c r="BU835" t="s">
        <v>111</v>
      </c>
      <c r="BV835" t="s">
        <v>111</v>
      </c>
      <c r="BW835" t="s">
        <v>111</v>
      </c>
      <c r="BX835" t="s">
        <v>111</v>
      </c>
      <c r="BY835" t="s">
        <v>111</v>
      </c>
      <c r="BZ835" t="s">
        <v>111</v>
      </c>
      <c r="CA835" t="s">
        <v>111</v>
      </c>
      <c r="CB835" t="s">
        <v>111</v>
      </c>
      <c r="CC835" t="s">
        <v>111</v>
      </c>
      <c r="CD835" t="s">
        <v>111</v>
      </c>
      <c r="CE835" t="s">
        <v>111</v>
      </c>
      <c r="CF835" t="s">
        <v>111</v>
      </c>
      <c r="CG835" t="s">
        <v>111</v>
      </c>
      <c r="CH835" t="s">
        <v>111</v>
      </c>
      <c r="CI835" t="s">
        <v>111</v>
      </c>
      <c r="CJ835" t="s">
        <v>111</v>
      </c>
      <c r="CK835" t="s">
        <v>111</v>
      </c>
      <c r="CL835" t="e">
        <f>-ALMACEN</f>
        <v>#NAME?</v>
      </c>
      <c r="CM835" t="s">
        <v>111</v>
      </c>
      <c r="CN835" t="s">
        <v>111</v>
      </c>
      <c r="CO835" t="s">
        <v>111</v>
      </c>
      <c r="CP835" t="s">
        <v>111</v>
      </c>
      <c r="CQ835">
        <v>0</v>
      </c>
      <c r="CR835">
        <v>0</v>
      </c>
      <c r="CS835">
        <v>0</v>
      </c>
      <c r="CT835" t="s">
        <v>111</v>
      </c>
      <c r="CU835">
        <v>15.5</v>
      </c>
      <c r="CV835" t="s">
        <v>2757</v>
      </c>
      <c r="CW835" t="s">
        <v>2758</v>
      </c>
      <c r="CX835">
        <v>-2</v>
      </c>
      <c r="CY835">
        <v>13</v>
      </c>
      <c r="CZ835" t="s">
        <v>117</v>
      </c>
      <c r="DA835" t="s">
        <v>2759</v>
      </c>
      <c r="DB835" t="s">
        <v>111</v>
      </c>
      <c r="DC835" t="s">
        <v>111</v>
      </c>
    </row>
    <row r="836" spans="1:107">
      <c r="A836">
        <v>441</v>
      </c>
      <c r="B836" t="s">
        <v>162</v>
      </c>
      <c r="C836" t="s">
        <v>2726</v>
      </c>
      <c r="D836" t="s">
        <v>2760</v>
      </c>
      <c r="E836" t="s">
        <v>2761</v>
      </c>
      <c r="F836" t="s">
        <v>166</v>
      </c>
      <c r="G836" t="s">
        <v>427</v>
      </c>
      <c r="H836">
        <v>0.7</v>
      </c>
      <c r="I836">
        <v>20</v>
      </c>
      <c r="J836">
        <v>0</v>
      </c>
      <c r="K836">
        <v>0</v>
      </c>
      <c r="L836" t="s">
        <v>112</v>
      </c>
      <c r="M836" t="s">
        <v>138</v>
      </c>
      <c r="N836">
        <v>0</v>
      </c>
      <c r="O836">
        <v>0</v>
      </c>
      <c r="P836" t="s">
        <v>138</v>
      </c>
      <c r="Q836">
        <v>25</v>
      </c>
      <c r="R836">
        <v>0</v>
      </c>
      <c r="S836">
        <v>0</v>
      </c>
      <c r="T836">
        <v>0</v>
      </c>
      <c r="U836" t="s">
        <v>168</v>
      </c>
      <c r="V836">
        <v>0</v>
      </c>
      <c r="W836">
        <v>0</v>
      </c>
      <c r="X836">
        <v>1</v>
      </c>
      <c r="Y836">
        <v>0</v>
      </c>
      <c r="Z836" t="s">
        <v>111</v>
      </c>
      <c r="AA836">
        <v>0</v>
      </c>
      <c r="AB836" t="s">
        <v>111</v>
      </c>
      <c r="AC836">
        <v>0</v>
      </c>
      <c r="AD836" t="s">
        <v>111</v>
      </c>
      <c r="AE836">
        <v>0</v>
      </c>
      <c r="AF836">
        <v>0</v>
      </c>
      <c r="AG836" t="s">
        <v>111</v>
      </c>
      <c r="AH836" t="s">
        <v>111</v>
      </c>
      <c r="AI836" t="s">
        <v>111</v>
      </c>
      <c r="AJ836" t="s">
        <v>111</v>
      </c>
      <c r="AK836" t="s">
        <v>111</v>
      </c>
      <c r="AL836" t="s">
        <v>111</v>
      </c>
      <c r="AM836">
        <v>0</v>
      </c>
      <c r="AN836">
        <v>0</v>
      </c>
      <c r="AO836">
        <v>0</v>
      </c>
      <c r="AP836" t="s">
        <v>111</v>
      </c>
      <c r="AQ836" t="s">
        <v>111</v>
      </c>
      <c r="AR836" t="s">
        <v>111</v>
      </c>
      <c r="AS836" t="s">
        <v>111</v>
      </c>
      <c r="AT836" t="s">
        <v>111</v>
      </c>
      <c r="AU836" t="s">
        <v>111</v>
      </c>
      <c r="AV836" t="s">
        <v>111</v>
      </c>
      <c r="AW836" t="s">
        <v>111</v>
      </c>
      <c r="AX836" t="s">
        <v>111</v>
      </c>
      <c r="AY836" t="s">
        <v>111</v>
      </c>
      <c r="AZ836" t="s">
        <v>111</v>
      </c>
      <c r="BA836" t="s">
        <v>111</v>
      </c>
      <c r="BB836" t="s">
        <v>111</v>
      </c>
      <c r="BC836" t="s">
        <v>111</v>
      </c>
      <c r="BD836" t="s">
        <v>111</v>
      </c>
      <c r="BE836" t="s">
        <v>111</v>
      </c>
      <c r="BF836" t="s">
        <v>111</v>
      </c>
      <c r="BG836" t="s">
        <v>111</v>
      </c>
      <c r="BH836" t="s">
        <v>111</v>
      </c>
      <c r="BI836" t="s">
        <v>111</v>
      </c>
      <c r="BJ836" t="s">
        <v>111</v>
      </c>
      <c r="BK836" t="s">
        <v>111</v>
      </c>
      <c r="BL836" t="s">
        <v>111</v>
      </c>
      <c r="BM836" t="s">
        <v>111</v>
      </c>
      <c r="BN836" t="s">
        <v>111</v>
      </c>
      <c r="BO836" t="s">
        <v>111</v>
      </c>
      <c r="BP836" t="s">
        <v>111</v>
      </c>
      <c r="BQ836" t="s">
        <v>111</v>
      </c>
      <c r="BR836" t="s">
        <v>111</v>
      </c>
      <c r="BS836" t="s">
        <v>111</v>
      </c>
      <c r="BT836" t="s">
        <v>111</v>
      </c>
      <c r="BU836" t="s">
        <v>111</v>
      </c>
      <c r="BV836" t="s">
        <v>111</v>
      </c>
      <c r="BW836" t="s">
        <v>111</v>
      </c>
      <c r="BX836" t="s">
        <v>111</v>
      </c>
      <c r="BY836" t="s">
        <v>111</v>
      </c>
      <c r="BZ836" t="s">
        <v>111</v>
      </c>
      <c r="CA836" t="s">
        <v>111</v>
      </c>
      <c r="CB836" t="s">
        <v>111</v>
      </c>
      <c r="CC836" t="s">
        <v>111</v>
      </c>
      <c r="CD836" t="s">
        <v>111</v>
      </c>
      <c r="CE836" t="s">
        <v>111</v>
      </c>
      <c r="CF836" t="s">
        <v>111</v>
      </c>
      <c r="CG836" t="s">
        <v>111</v>
      </c>
      <c r="CH836" t="s">
        <v>111</v>
      </c>
      <c r="CI836" t="s">
        <v>111</v>
      </c>
      <c r="CJ836" t="s">
        <v>111</v>
      </c>
      <c r="CK836" t="s">
        <v>111</v>
      </c>
      <c r="CL836" t="s">
        <v>111</v>
      </c>
      <c r="CM836" t="s">
        <v>111</v>
      </c>
      <c r="CN836" t="s">
        <v>111</v>
      </c>
      <c r="CO836" t="s">
        <v>111</v>
      </c>
      <c r="CP836" t="s">
        <v>111</v>
      </c>
      <c r="CQ836">
        <v>0</v>
      </c>
      <c r="CR836">
        <v>0</v>
      </c>
      <c r="CS836">
        <v>0</v>
      </c>
      <c r="CT836" t="s">
        <v>111</v>
      </c>
      <c r="CU836">
        <v>0</v>
      </c>
      <c r="CV836" t="s">
        <v>111</v>
      </c>
      <c r="CW836" t="s">
        <v>111</v>
      </c>
      <c r="CX836" t="s">
        <v>111</v>
      </c>
      <c r="CY836">
        <v>0</v>
      </c>
      <c r="CZ836" t="s">
        <v>111</v>
      </c>
      <c r="DA836" t="s">
        <v>111</v>
      </c>
      <c r="DB836" t="s">
        <v>111</v>
      </c>
      <c r="DC836" t="s">
        <v>111</v>
      </c>
    </row>
    <row r="837" spans="1:107">
      <c r="A837">
        <v>684</v>
      </c>
      <c r="B837" t="s">
        <v>162</v>
      </c>
      <c r="C837" t="s">
        <v>226</v>
      </c>
      <c r="D837" t="s">
        <v>2683</v>
      </c>
      <c r="E837" t="s">
        <v>2762</v>
      </c>
      <c r="F837" t="s">
        <v>431</v>
      </c>
      <c r="G837" t="s">
        <v>427</v>
      </c>
      <c r="H837">
        <v>1.5</v>
      </c>
      <c r="I837">
        <v>98</v>
      </c>
      <c r="J837">
        <v>0</v>
      </c>
      <c r="K837">
        <v>0</v>
      </c>
      <c r="L837" t="s">
        <v>117</v>
      </c>
      <c r="M837" t="s">
        <v>118</v>
      </c>
      <c r="N837">
        <v>40</v>
      </c>
      <c r="O837">
        <v>1</v>
      </c>
      <c r="P837" t="s">
        <v>138</v>
      </c>
      <c r="Q837">
        <v>30</v>
      </c>
      <c r="R837">
        <v>0</v>
      </c>
      <c r="S837">
        <v>0</v>
      </c>
      <c r="T837">
        <v>0</v>
      </c>
      <c r="U837" t="s">
        <v>2685</v>
      </c>
      <c r="V837">
        <v>0</v>
      </c>
      <c r="W837">
        <v>0</v>
      </c>
      <c r="X837">
        <v>1</v>
      </c>
      <c r="Y837">
        <v>0</v>
      </c>
      <c r="Z837" t="s">
        <v>111</v>
      </c>
      <c r="AA837">
        <v>0</v>
      </c>
      <c r="AB837" t="s">
        <v>111</v>
      </c>
      <c r="AC837">
        <v>0</v>
      </c>
      <c r="AD837" t="s">
        <v>427</v>
      </c>
      <c r="AE837">
        <v>5</v>
      </c>
      <c r="AF837">
        <v>2</v>
      </c>
      <c r="AG837" t="s">
        <v>678</v>
      </c>
      <c r="AH837" t="s">
        <v>111</v>
      </c>
      <c r="AI837">
        <v>42</v>
      </c>
      <c r="AJ837" t="s">
        <v>111</v>
      </c>
      <c r="AK837" t="s">
        <v>111</v>
      </c>
      <c r="AL837" t="s">
        <v>111</v>
      </c>
      <c r="AM837">
        <v>0</v>
      </c>
      <c r="AN837">
        <v>0</v>
      </c>
      <c r="AO837">
        <v>0</v>
      </c>
      <c r="AP837" t="s">
        <v>288</v>
      </c>
      <c r="AQ837" t="s">
        <v>111</v>
      </c>
      <c r="AR837" t="s">
        <v>111</v>
      </c>
      <c r="AS837" t="s">
        <v>111</v>
      </c>
      <c r="AT837" t="s">
        <v>184</v>
      </c>
      <c r="AU837" t="s">
        <v>111</v>
      </c>
      <c r="AV837" t="s">
        <v>111</v>
      </c>
      <c r="AW837" t="s">
        <v>111</v>
      </c>
      <c r="AX837" t="s">
        <v>188</v>
      </c>
      <c r="AY837" t="s">
        <v>111</v>
      </c>
      <c r="AZ837" t="s">
        <v>111</v>
      </c>
      <c r="BA837" t="s">
        <v>111</v>
      </c>
      <c r="BB837" t="s">
        <v>271</v>
      </c>
      <c r="BC837" t="s">
        <v>111</v>
      </c>
      <c r="BD837" t="s">
        <v>111</v>
      </c>
      <c r="BE837" t="s">
        <v>111</v>
      </c>
      <c r="BF837" t="s">
        <v>772</v>
      </c>
      <c r="BG837" t="s">
        <v>111</v>
      </c>
      <c r="BH837" t="s">
        <v>111</v>
      </c>
      <c r="BI837" t="s">
        <v>111</v>
      </c>
      <c r="BJ837" t="s">
        <v>111</v>
      </c>
      <c r="BK837" t="s">
        <v>111</v>
      </c>
      <c r="BL837" t="s">
        <v>111</v>
      </c>
      <c r="BM837" t="s">
        <v>111</v>
      </c>
      <c r="BN837" t="s">
        <v>111</v>
      </c>
      <c r="BO837" t="s">
        <v>111</v>
      </c>
      <c r="BP837" t="s">
        <v>111</v>
      </c>
      <c r="BQ837" t="s">
        <v>111</v>
      </c>
      <c r="BR837" t="s">
        <v>111</v>
      </c>
      <c r="BS837" t="s">
        <v>111</v>
      </c>
      <c r="BT837" t="s">
        <v>111</v>
      </c>
      <c r="BU837" t="s">
        <v>111</v>
      </c>
      <c r="BV837" t="s">
        <v>111</v>
      </c>
      <c r="BW837" t="s">
        <v>111</v>
      </c>
      <c r="BX837" t="s">
        <v>111</v>
      </c>
      <c r="BY837" t="s">
        <v>111</v>
      </c>
      <c r="BZ837" t="s">
        <v>111</v>
      </c>
      <c r="CA837" t="s">
        <v>111</v>
      </c>
      <c r="CB837" t="s">
        <v>111</v>
      </c>
      <c r="CC837" t="s">
        <v>111</v>
      </c>
      <c r="CD837" t="s">
        <v>111</v>
      </c>
      <c r="CE837" t="s">
        <v>111</v>
      </c>
      <c r="CF837" t="s">
        <v>111</v>
      </c>
      <c r="CG837" t="s">
        <v>111</v>
      </c>
      <c r="CH837" t="s">
        <v>111</v>
      </c>
      <c r="CI837" t="s">
        <v>111</v>
      </c>
      <c r="CJ837" t="s">
        <v>111</v>
      </c>
      <c r="CK837" t="s">
        <v>111</v>
      </c>
      <c r="CL837" t="s">
        <v>153</v>
      </c>
      <c r="CM837" t="s">
        <v>198</v>
      </c>
      <c r="CN837" t="s">
        <v>113</v>
      </c>
      <c r="CO837" t="s">
        <v>2681</v>
      </c>
      <c r="CP837" t="s">
        <v>433</v>
      </c>
      <c r="CQ837">
        <v>68</v>
      </c>
      <c r="CR837">
        <v>2100</v>
      </c>
      <c r="CS837">
        <v>300</v>
      </c>
      <c r="CT837" s="1" t="s">
        <v>2763</v>
      </c>
      <c r="CU837">
        <v>0</v>
      </c>
      <c r="CV837" t="s">
        <v>111</v>
      </c>
      <c r="CW837" t="s">
        <v>111</v>
      </c>
      <c r="CX837" t="s">
        <v>111</v>
      </c>
      <c r="CY837">
        <v>0</v>
      </c>
      <c r="CZ837" t="s">
        <v>111</v>
      </c>
      <c r="DA837" t="s">
        <v>111</v>
      </c>
      <c r="DB837" t="s">
        <v>111</v>
      </c>
      <c r="DC837" t="s">
        <v>111</v>
      </c>
    </row>
    <row r="838" spans="1:107">
      <c r="A838">
        <v>1026</v>
      </c>
      <c r="B838" t="s">
        <v>107</v>
      </c>
      <c r="C838" t="s">
        <v>226</v>
      </c>
      <c r="D838" t="s">
        <v>2749</v>
      </c>
      <c r="E838" t="s">
        <v>2764</v>
      </c>
      <c r="F838" t="s">
        <v>431</v>
      </c>
      <c r="G838" t="s">
        <v>427</v>
      </c>
      <c r="H838">
        <v>1.5</v>
      </c>
      <c r="I838">
        <v>111</v>
      </c>
      <c r="J838">
        <v>0</v>
      </c>
      <c r="K838">
        <v>0</v>
      </c>
      <c r="L838" t="s">
        <v>117</v>
      </c>
      <c r="M838" t="s">
        <v>118</v>
      </c>
      <c r="N838">
        <v>40</v>
      </c>
      <c r="O838">
        <v>1</v>
      </c>
      <c r="P838" t="s">
        <v>138</v>
      </c>
      <c r="Q838">
        <v>40</v>
      </c>
      <c r="R838">
        <v>0</v>
      </c>
      <c r="S838">
        <v>0</v>
      </c>
      <c r="T838">
        <v>10</v>
      </c>
      <c r="U838" t="s">
        <v>394</v>
      </c>
      <c r="V838">
        <v>0</v>
      </c>
      <c r="W838">
        <v>25</v>
      </c>
      <c r="X838">
        <v>8</v>
      </c>
      <c r="Y838">
        <v>0</v>
      </c>
      <c r="Z838" t="s">
        <v>111</v>
      </c>
      <c r="AA838">
        <v>0</v>
      </c>
      <c r="AB838" t="s">
        <v>111</v>
      </c>
      <c r="AC838">
        <v>0</v>
      </c>
      <c r="AD838" t="s">
        <v>427</v>
      </c>
      <c r="AE838">
        <v>0</v>
      </c>
      <c r="AF838">
        <v>0</v>
      </c>
      <c r="AG838" t="s">
        <v>111</v>
      </c>
      <c r="AH838" t="s">
        <v>111</v>
      </c>
      <c r="AI838" t="s">
        <v>111</v>
      </c>
      <c r="AJ838" t="s">
        <v>111</v>
      </c>
      <c r="AK838" t="s">
        <v>111</v>
      </c>
      <c r="AL838" t="s">
        <v>111</v>
      </c>
      <c r="AM838">
        <v>0</v>
      </c>
      <c r="AN838">
        <v>0</v>
      </c>
      <c r="AO838">
        <v>0</v>
      </c>
      <c r="AP838" t="s">
        <v>111</v>
      </c>
      <c r="AQ838" t="s">
        <v>111</v>
      </c>
      <c r="AR838" t="s">
        <v>111</v>
      </c>
      <c r="AS838" t="s">
        <v>111</v>
      </c>
      <c r="AT838" t="s">
        <v>111</v>
      </c>
      <c r="AU838" t="s">
        <v>111</v>
      </c>
      <c r="AV838" t="s">
        <v>111</v>
      </c>
      <c r="AW838" t="s">
        <v>111</v>
      </c>
      <c r="AX838" t="s">
        <v>111</v>
      </c>
      <c r="AY838" t="s">
        <v>111</v>
      </c>
      <c r="AZ838" t="s">
        <v>111</v>
      </c>
      <c r="BA838" t="s">
        <v>111</v>
      </c>
      <c r="BB838" t="s">
        <v>111</v>
      </c>
      <c r="BC838" t="s">
        <v>111</v>
      </c>
      <c r="BD838" t="s">
        <v>111</v>
      </c>
      <c r="BE838" t="s">
        <v>111</v>
      </c>
      <c r="BF838" t="s">
        <v>111</v>
      </c>
      <c r="BG838" t="s">
        <v>111</v>
      </c>
      <c r="BH838" t="s">
        <v>111</v>
      </c>
      <c r="BI838" t="s">
        <v>111</v>
      </c>
      <c r="BJ838" t="s">
        <v>111</v>
      </c>
      <c r="BK838" t="s">
        <v>111</v>
      </c>
      <c r="BL838" t="s">
        <v>111</v>
      </c>
      <c r="BM838" t="s">
        <v>111</v>
      </c>
      <c r="BN838" t="s">
        <v>111</v>
      </c>
      <c r="BO838" t="s">
        <v>111</v>
      </c>
      <c r="BP838" t="s">
        <v>111</v>
      </c>
      <c r="BQ838" t="s">
        <v>111</v>
      </c>
      <c r="BR838" t="s">
        <v>111</v>
      </c>
      <c r="BS838" t="s">
        <v>111</v>
      </c>
      <c r="BT838" t="s">
        <v>111</v>
      </c>
      <c r="BU838" t="s">
        <v>111</v>
      </c>
      <c r="BV838" t="s">
        <v>111</v>
      </c>
      <c r="BW838" t="s">
        <v>111</v>
      </c>
      <c r="BX838" t="s">
        <v>111</v>
      </c>
      <c r="BY838" t="s">
        <v>111</v>
      </c>
      <c r="BZ838" t="s">
        <v>111</v>
      </c>
      <c r="CA838" t="s">
        <v>111</v>
      </c>
      <c r="CB838" t="s">
        <v>111</v>
      </c>
      <c r="CC838" t="s">
        <v>111</v>
      </c>
      <c r="CD838" t="s">
        <v>111</v>
      </c>
      <c r="CE838" t="s">
        <v>111</v>
      </c>
      <c r="CF838" t="s">
        <v>111</v>
      </c>
      <c r="CG838" t="s">
        <v>111</v>
      </c>
      <c r="CH838" t="s">
        <v>111</v>
      </c>
      <c r="CI838" t="s">
        <v>111</v>
      </c>
      <c r="CJ838" t="s">
        <v>111</v>
      </c>
      <c r="CK838" t="s">
        <v>111</v>
      </c>
      <c r="CL838" t="e">
        <f>-DESTINO ALMACEN</f>
        <v>#NAME?</v>
      </c>
      <c r="CM838" t="s">
        <v>360</v>
      </c>
      <c r="CN838" t="s">
        <v>113</v>
      </c>
      <c r="CO838" t="s">
        <v>2765</v>
      </c>
      <c r="CP838" t="e">
        <f>-MUESTRA</f>
        <v>#NAME?</v>
      </c>
      <c r="CQ838">
        <v>0</v>
      </c>
      <c r="CR838">
        <v>3000</v>
      </c>
      <c r="CS838">
        <v>300</v>
      </c>
      <c r="CT838" s="1" t="s">
        <v>2766</v>
      </c>
      <c r="CU838">
        <v>0</v>
      </c>
      <c r="CV838" t="s">
        <v>111</v>
      </c>
      <c r="CW838" t="s">
        <v>111</v>
      </c>
      <c r="CX838" t="s">
        <v>111</v>
      </c>
      <c r="CY838">
        <v>0</v>
      </c>
      <c r="CZ838" t="s">
        <v>111</v>
      </c>
      <c r="DA838" t="s">
        <v>111</v>
      </c>
      <c r="DB838" t="s">
        <v>111</v>
      </c>
      <c r="DC838" t="s">
        <v>111</v>
      </c>
    </row>
    <row r="839" spans="1:107">
      <c r="A839">
        <v>697</v>
      </c>
      <c r="B839" t="s">
        <v>162</v>
      </c>
      <c r="C839" s="2">
        <v>93385719</v>
      </c>
      <c r="D839" t="s">
        <v>1640</v>
      </c>
      <c r="E839" t="s">
        <v>1641</v>
      </c>
      <c r="F839" t="s">
        <v>370</v>
      </c>
      <c r="G839" t="s">
        <v>427</v>
      </c>
      <c r="H839">
        <v>2.9</v>
      </c>
      <c r="I839">
        <v>45</v>
      </c>
      <c r="J839">
        <v>0</v>
      </c>
      <c r="K839">
        <v>0</v>
      </c>
      <c r="L839" t="s">
        <v>112</v>
      </c>
      <c r="M839" t="s">
        <v>118</v>
      </c>
      <c r="N839">
        <v>39</v>
      </c>
      <c r="O839">
        <v>2</v>
      </c>
      <c r="P839" t="s">
        <v>138</v>
      </c>
      <c r="Q839">
        <v>30</v>
      </c>
      <c r="R839">
        <v>0</v>
      </c>
      <c r="S839">
        <v>0</v>
      </c>
      <c r="T839">
        <v>0</v>
      </c>
      <c r="U839" t="s">
        <v>2685</v>
      </c>
      <c r="V839">
        <v>0</v>
      </c>
      <c r="W839">
        <v>0</v>
      </c>
      <c r="X839">
        <v>1</v>
      </c>
      <c r="Y839">
        <v>0</v>
      </c>
      <c r="Z839" t="s">
        <v>288</v>
      </c>
      <c r="AA839">
        <v>0</v>
      </c>
      <c r="AB839" t="s">
        <v>111</v>
      </c>
      <c r="AC839">
        <v>0</v>
      </c>
      <c r="AD839" t="s">
        <v>427</v>
      </c>
      <c r="AE839">
        <v>2</v>
      </c>
      <c r="AF839">
        <v>2</v>
      </c>
      <c r="AG839">
        <v>32</v>
      </c>
      <c r="AH839" t="s">
        <v>111</v>
      </c>
      <c r="AI839">
        <v>32</v>
      </c>
      <c r="AJ839" t="s">
        <v>111</v>
      </c>
      <c r="AK839" t="s">
        <v>111</v>
      </c>
      <c r="AL839" t="s">
        <v>111</v>
      </c>
      <c r="AM839">
        <v>0</v>
      </c>
      <c r="AN839">
        <v>0</v>
      </c>
      <c r="AO839">
        <v>0</v>
      </c>
      <c r="AP839" t="s">
        <v>2767</v>
      </c>
      <c r="AQ839" t="s">
        <v>111</v>
      </c>
      <c r="AR839" t="s">
        <v>111</v>
      </c>
      <c r="AS839" t="s">
        <v>111</v>
      </c>
      <c r="AT839" t="s">
        <v>271</v>
      </c>
      <c r="AU839" t="s">
        <v>111</v>
      </c>
      <c r="AV839" t="s">
        <v>111</v>
      </c>
      <c r="AW839" t="s">
        <v>111</v>
      </c>
      <c r="AX839" t="s">
        <v>111</v>
      </c>
      <c r="AY839" t="s">
        <v>111</v>
      </c>
      <c r="AZ839" t="s">
        <v>111</v>
      </c>
      <c r="BA839" t="s">
        <v>111</v>
      </c>
      <c r="BB839" t="s">
        <v>111</v>
      </c>
      <c r="BC839" t="s">
        <v>111</v>
      </c>
      <c r="BD839" t="s">
        <v>111</v>
      </c>
      <c r="BE839" t="s">
        <v>111</v>
      </c>
      <c r="BF839" t="s">
        <v>111</v>
      </c>
      <c r="BG839" t="s">
        <v>111</v>
      </c>
      <c r="BH839" t="s">
        <v>111</v>
      </c>
      <c r="BI839" t="s">
        <v>111</v>
      </c>
      <c r="BJ839" t="s">
        <v>111</v>
      </c>
      <c r="BK839" t="s">
        <v>111</v>
      </c>
      <c r="BL839" t="s">
        <v>111</v>
      </c>
      <c r="BM839" t="s">
        <v>111</v>
      </c>
      <c r="BN839" t="s">
        <v>111</v>
      </c>
      <c r="BO839" t="s">
        <v>111</v>
      </c>
      <c r="BP839" t="s">
        <v>111</v>
      </c>
      <c r="BQ839" t="s">
        <v>111</v>
      </c>
      <c r="BR839" t="s">
        <v>111</v>
      </c>
      <c r="BS839" t="s">
        <v>111</v>
      </c>
      <c r="BT839" t="s">
        <v>111</v>
      </c>
      <c r="BU839" t="s">
        <v>111</v>
      </c>
      <c r="BV839" t="s">
        <v>111</v>
      </c>
      <c r="BW839" t="s">
        <v>111</v>
      </c>
      <c r="BX839" t="s">
        <v>111</v>
      </c>
      <c r="BY839" t="s">
        <v>111</v>
      </c>
      <c r="BZ839" t="s">
        <v>111</v>
      </c>
      <c r="CA839" t="s">
        <v>111</v>
      </c>
      <c r="CB839" t="s">
        <v>111</v>
      </c>
      <c r="CC839" t="s">
        <v>111</v>
      </c>
      <c r="CD839" t="s">
        <v>111</v>
      </c>
      <c r="CE839" t="s">
        <v>111</v>
      </c>
      <c r="CF839" t="s">
        <v>111</v>
      </c>
      <c r="CG839" t="s">
        <v>111</v>
      </c>
      <c r="CH839" t="s">
        <v>111</v>
      </c>
      <c r="CI839" t="s">
        <v>111</v>
      </c>
      <c r="CJ839" t="s">
        <v>111</v>
      </c>
      <c r="CK839" t="s">
        <v>111</v>
      </c>
      <c r="CL839" t="s">
        <v>153</v>
      </c>
      <c r="CM839" t="s">
        <v>198</v>
      </c>
      <c r="CN839" t="s">
        <v>113</v>
      </c>
      <c r="CO839" t="s">
        <v>111</v>
      </c>
      <c r="CP839" t="s">
        <v>433</v>
      </c>
      <c r="CQ839">
        <v>0</v>
      </c>
      <c r="CR839">
        <v>0</v>
      </c>
      <c r="CS839">
        <v>50</v>
      </c>
      <c r="CT839" s="1" t="s">
        <v>2631</v>
      </c>
      <c r="CU839">
        <v>0</v>
      </c>
      <c r="CV839" t="s">
        <v>111</v>
      </c>
      <c r="CW839" t="s">
        <v>111</v>
      </c>
      <c r="CX839" t="s">
        <v>111</v>
      </c>
      <c r="CY839">
        <v>0</v>
      </c>
      <c r="CZ839" t="s">
        <v>111</v>
      </c>
      <c r="DA839" t="s">
        <v>111</v>
      </c>
      <c r="DB839" t="s">
        <v>204</v>
      </c>
      <c r="DC839" s="1" t="s">
        <v>2768</v>
      </c>
    </row>
    <row r="840" spans="1:107">
      <c r="A840">
        <v>443</v>
      </c>
      <c r="B840" t="s">
        <v>162</v>
      </c>
      <c r="C840" t="s">
        <v>2726</v>
      </c>
      <c r="D840" t="s">
        <v>1203</v>
      </c>
      <c r="E840" t="s">
        <v>2769</v>
      </c>
      <c r="F840" t="s">
        <v>166</v>
      </c>
      <c r="G840" t="s">
        <v>427</v>
      </c>
      <c r="H840">
        <v>0.7</v>
      </c>
      <c r="I840">
        <v>38</v>
      </c>
      <c r="J840">
        <v>0</v>
      </c>
      <c r="K840">
        <v>0</v>
      </c>
      <c r="L840" t="s">
        <v>112</v>
      </c>
      <c r="M840" t="s">
        <v>138</v>
      </c>
      <c r="N840">
        <v>0</v>
      </c>
      <c r="O840">
        <v>0</v>
      </c>
      <c r="P840" t="s">
        <v>138</v>
      </c>
      <c r="Q840">
        <v>25</v>
      </c>
      <c r="R840">
        <v>0</v>
      </c>
      <c r="S840">
        <v>0</v>
      </c>
      <c r="T840">
        <v>0</v>
      </c>
      <c r="U840" t="s">
        <v>168</v>
      </c>
      <c r="V840">
        <v>0</v>
      </c>
      <c r="W840">
        <v>0</v>
      </c>
      <c r="X840">
        <v>1</v>
      </c>
      <c r="Y840">
        <v>0</v>
      </c>
      <c r="Z840" t="s">
        <v>111</v>
      </c>
      <c r="AA840">
        <v>0</v>
      </c>
      <c r="AB840" t="s">
        <v>111</v>
      </c>
      <c r="AC840">
        <v>0</v>
      </c>
      <c r="AD840" t="s">
        <v>111</v>
      </c>
      <c r="AE840">
        <v>0</v>
      </c>
      <c r="AF840">
        <v>0</v>
      </c>
      <c r="AG840" t="s">
        <v>111</v>
      </c>
      <c r="AH840" t="s">
        <v>111</v>
      </c>
      <c r="AI840" t="s">
        <v>111</v>
      </c>
      <c r="AJ840" t="s">
        <v>111</v>
      </c>
      <c r="AK840" t="s">
        <v>111</v>
      </c>
      <c r="AL840" t="s">
        <v>111</v>
      </c>
      <c r="AM840">
        <v>0</v>
      </c>
      <c r="AN840">
        <v>0</v>
      </c>
      <c r="AO840">
        <v>0</v>
      </c>
      <c r="AP840" t="s">
        <v>111</v>
      </c>
      <c r="AQ840" t="s">
        <v>111</v>
      </c>
      <c r="AR840" t="s">
        <v>111</v>
      </c>
      <c r="AS840" t="s">
        <v>111</v>
      </c>
      <c r="AT840" t="s">
        <v>111</v>
      </c>
      <c r="AU840" t="s">
        <v>111</v>
      </c>
      <c r="AV840" t="s">
        <v>111</v>
      </c>
      <c r="AW840" t="s">
        <v>111</v>
      </c>
      <c r="AX840" t="s">
        <v>111</v>
      </c>
      <c r="AY840" t="s">
        <v>111</v>
      </c>
      <c r="AZ840" t="s">
        <v>111</v>
      </c>
      <c r="BA840" t="s">
        <v>111</v>
      </c>
      <c r="BB840" t="s">
        <v>111</v>
      </c>
      <c r="BC840" t="s">
        <v>111</v>
      </c>
      <c r="BD840" t="s">
        <v>111</v>
      </c>
      <c r="BE840" t="s">
        <v>111</v>
      </c>
      <c r="BF840" t="s">
        <v>111</v>
      </c>
      <c r="BG840" t="s">
        <v>111</v>
      </c>
      <c r="BH840" t="s">
        <v>111</v>
      </c>
      <c r="BI840" t="s">
        <v>111</v>
      </c>
      <c r="BJ840" t="s">
        <v>111</v>
      </c>
      <c r="BK840" t="s">
        <v>111</v>
      </c>
      <c r="BL840" t="s">
        <v>111</v>
      </c>
      <c r="BM840" t="s">
        <v>111</v>
      </c>
      <c r="BN840" t="s">
        <v>111</v>
      </c>
      <c r="BO840" t="s">
        <v>111</v>
      </c>
      <c r="BP840" t="s">
        <v>111</v>
      </c>
      <c r="BQ840" t="s">
        <v>111</v>
      </c>
      <c r="BR840" t="s">
        <v>111</v>
      </c>
      <c r="BS840" t="s">
        <v>111</v>
      </c>
      <c r="BT840" t="s">
        <v>111</v>
      </c>
      <c r="BU840" t="s">
        <v>111</v>
      </c>
      <c r="BV840" t="s">
        <v>111</v>
      </c>
      <c r="BW840" t="s">
        <v>111</v>
      </c>
      <c r="BX840" t="s">
        <v>111</v>
      </c>
      <c r="BY840" t="s">
        <v>111</v>
      </c>
      <c r="BZ840" t="s">
        <v>111</v>
      </c>
      <c r="CA840" t="s">
        <v>111</v>
      </c>
      <c r="CB840" t="s">
        <v>111</v>
      </c>
      <c r="CC840" t="s">
        <v>111</v>
      </c>
      <c r="CD840" t="s">
        <v>111</v>
      </c>
      <c r="CE840" t="s">
        <v>111</v>
      </c>
      <c r="CF840" t="s">
        <v>111</v>
      </c>
      <c r="CG840" t="s">
        <v>111</v>
      </c>
      <c r="CH840" t="s">
        <v>111</v>
      </c>
      <c r="CI840" t="s">
        <v>111</v>
      </c>
      <c r="CJ840" t="s">
        <v>111</v>
      </c>
      <c r="CK840" t="s">
        <v>111</v>
      </c>
      <c r="CL840" t="s">
        <v>111</v>
      </c>
      <c r="CM840" t="s">
        <v>111</v>
      </c>
      <c r="CN840" t="s">
        <v>111</v>
      </c>
      <c r="CO840" t="s">
        <v>111</v>
      </c>
      <c r="CP840" t="s">
        <v>111</v>
      </c>
      <c r="CQ840">
        <v>0</v>
      </c>
      <c r="CR840">
        <v>0</v>
      </c>
      <c r="CS840">
        <v>0</v>
      </c>
      <c r="CT840" t="s">
        <v>111</v>
      </c>
      <c r="CU840">
        <v>0</v>
      </c>
      <c r="CV840" t="s">
        <v>111</v>
      </c>
      <c r="CW840" t="s">
        <v>111</v>
      </c>
      <c r="CX840" t="s">
        <v>111</v>
      </c>
      <c r="CY840">
        <v>0</v>
      </c>
      <c r="CZ840" t="s">
        <v>111</v>
      </c>
      <c r="DA840" t="s">
        <v>111</v>
      </c>
      <c r="DB840" t="s">
        <v>111</v>
      </c>
      <c r="DC840" t="s">
        <v>111</v>
      </c>
    </row>
    <row r="841" spans="1:107">
      <c r="A841">
        <v>696</v>
      </c>
      <c r="B841" t="s">
        <v>162</v>
      </c>
      <c r="C841" s="2">
        <v>93385719</v>
      </c>
      <c r="D841" t="s">
        <v>422</v>
      </c>
      <c r="E841" t="s">
        <v>1636</v>
      </c>
      <c r="F841" t="s">
        <v>370</v>
      </c>
      <c r="G841" t="s">
        <v>427</v>
      </c>
      <c r="H841">
        <v>2.9</v>
      </c>
      <c r="I841">
        <v>55</v>
      </c>
      <c r="J841">
        <v>0</v>
      </c>
      <c r="K841">
        <v>0</v>
      </c>
      <c r="L841" t="s">
        <v>112</v>
      </c>
      <c r="M841" t="s">
        <v>118</v>
      </c>
      <c r="N841">
        <v>39</v>
      </c>
      <c r="O841">
        <v>2</v>
      </c>
      <c r="P841" t="s">
        <v>138</v>
      </c>
      <c r="Q841">
        <v>30</v>
      </c>
      <c r="R841">
        <v>0</v>
      </c>
      <c r="S841">
        <v>0</v>
      </c>
      <c r="T841">
        <v>0</v>
      </c>
      <c r="U841" t="s">
        <v>2685</v>
      </c>
      <c r="V841">
        <v>0</v>
      </c>
      <c r="W841">
        <v>0</v>
      </c>
      <c r="X841">
        <v>1</v>
      </c>
      <c r="Y841">
        <v>0</v>
      </c>
      <c r="Z841" t="s">
        <v>288</v>
      </c>
      <c r="AA841">
        <v>0</v>
      </c>
      <c r="AB841" t="s">
        <v>111</v>
      </c>
      <c r="AC841">
        <v>0</v>
      </c>
      <c r="AD841" t="s">
        <v>427</v>
      </c>
      <c r="AE841">
        <v>2</v>
      </c>
      <c r="AF841">
        <v>2</v>
      </c>
      <c r="AG841">
        <v>40</v>
      </c>
      <c r="AH841" t="s">
        <v>111</v>
      </c>
      <c r="AI841">
        <v>40</v>
      </c>
      <c r="AJ841" t="s">
        <v>111</v>
      </c>
      <c r="AK841" t="s">
        <v>111</v>
      </c>
      <c r="AL841" t="s">
        <v>111</v>
      </c>
      <c r="AM841">
        <v>0</v>
      </c>
      <c r="AN841">
        <v>0</v>
      </c>
      <c r="AO841">
        <v>0</v>
      </c>
      <c r="AP841" t="s">
        <v>259</v>
      </c>
      <c r="AQ841" t="s">
        <v>111</v>
      </c>
      <c r="AR841" t="s">
        <v>111</v>
      </c>
      <c r="AS841" t="s">
        <v>111</v>
      </c>
      <c r="AT841" t="s">
        <v>271</v>
      </c>
      <c r="AU841" t="s">
        <v>111</v>
      </c>
      <c r="AV841" t="s">
        <v>111</v>
      </c>
      <c r="AW841" t="s">
        <v>111</v>
      </c>
      <c r="AX841" t="s">
        <v>111</v>
      </c>
      <c r="AY841" t="s">
        <v>111</v>
      </c>
      <c r="AZ841" t="s">
        <v>111</v>
      </c>
      <c r="BA841" t="s">
        <v>111</v>
      </c>
      <c r="BB841" t="s">
        <v>111</v>
      </c>
      <c r="BC841" t="s">
        <v>111</v>
      </c>
      <c r="BD841" t="s">
        <v>111</v>
      </c>
      <c r="BE841" t="s">
        <v>111</v>
      </c>
      <c r="BF841" t="s">
        <v>111</v>
      </c>
      <c r="BG841" t="s">
        <v>111</v>
      </c>
      <c r="BH841" t="s">
        <v>111</v>
      </c>
      <c r="BI841" t="s">
        <v>111</v>
      </c>
      <c r="BJ841" t="s">
        <v>111</v>
      </c>
      <c r="BK841" t="s">
        <v>111</v>
      </c>
      <c r="BL841" t="s">
        <v>111</v>
      </c>
      <c r="BM841" t="s">
        <v>111</v>
      </c>
      <c r="BN841" t="s">
        <v>111</v>
      </c>
      <c r="BO841" t="s">
        <v>111</v>
      </c>
      <c r="BP841" t="s">
        <v>111</v>
      </c>
      <c r="BQ841" t="s">
        <v>111</v>
      </c>
      <c r="BR841" t="s">
        <v>111</v>
      </c>
      <c r="BS841" t="s">
        <v>111</v>
      </c>
      <c r="BT841" t="s">
        <v>111</v>
      </c>
      <c r="BU841" t="s">
        <v>111</v>
      </c>
      <c r="BV841" t="s">
        <v>111</v>
      </c>
      <c r="BW841" t="s">
        <v>111</v>
      </c>
      <c r="BX841" t="s">
        <v>111</v>
      </c>
      <c r="BY841" t="s">
        <v>111</v>
      </c>
      <c r="BZ841" t="s">
        <v>111</v>
      </c>
      <c r="CA841" t="s">
        <v>111</v>
      </c>
      <c r="CB841" t="s">
        <v>111</v>
      </c>
      <c r="CC841" t="s">
        <v>111</v>
      </c>
      <c r="CD841" t="s">
        <v>111</v>
      </c>
      <c r="CE841" t="s">
        <v>111</v>
      </c>
      <c r="CF841" t="s">
        <v>111</v>
      </c>
      <c r="CG841" t="s">
        <v>111</v>
      </c>
      <c r="CH841" t="s">
        <v>111</v>
      </c>
      <c r="CI841" t="s">
        <v>111</v>
      </c>
      <c r="CJ841" t="s">
        <v>111</v>
      </c>
      <c r="CK841" t="s">
        <v>111</v>
      </c>
      <c r="CL841" t="s">
        <v>153</v>
      </c>
      <c r="CM841" t="s">
        <v>198</v>
      </c>
      <c r="CN841" t="s">
        <v>113</v>
      </c>
      <c r="CO841" t="s">
        <v>111</v>
      </c>
      <c r="CP841" t="s">
        <v>433</v>
      </c>
      <c r="CQ841">
        <v>0</v>
      </c>
      <c r="CR841">
        <v>0</v>
      </c>
      <c r="CS841">
        <v>50</v>
      </c>
      <c r="CT841" s="1" t="s">
        <v>2631</v>
      </c>
      <c r="CU841">
        <v>0</v>
      </c>
      <c r="CV841" t="s">
        <v>111</v>
      </c>
      <c r="CW841" t="s">
        <v>111</v>
      </c>
      <c r="CX841" t="s">
        <v>111</v>
      </c>
      <c r="CY841">
        <v>0</v>
      </c>
      <c r="CZ841" t="s">
        <v>111</v>
      </c>
      <c r="DA841" t="s">
        <v>111</v>
      </c>
      <c r="DB841" t="s">
        <v>204</v>
      </c>
      <c r="DC841" s="1" t="s">
        <v>2768</v>
      </c>
    </row>
    <row r="842" spans="1:107">
      <c r="A842">
        <v>750</v>
      </c>
      <c r="B842" t="s">
        <v>107</v>
      </c>
      <c r="C842" t="s">
        <v>226</v>
      </c>
      <c r="D842" t="s">
        <v>2770</v>
      </c>
      <c r="E842" t="s">
        <v>2771</v>
      </c>
      <c r="F842" t="s">
        <v>431</v>
      </c>
      <c r="G842" t="s">
        <v>427</v>
      </c>
      <c r="H842">
        <v>1.5</v>
      </c>
      <c r="I842">
        <v>66.5</v>
      </c>
      <c r="J842">
        <v>0</v>
      </c>
      <c r="K842">
        <v>0</v>
      </c>
      <c r="L842" t="s">
        <v>117</v>
      </c>
      <c r="M842" t="s">
        <v>118</v>
      </c>
      <c r="N842">
        <v>39</v>
      </c>
      <c r="O842">
        <v>1</v>
      </c>
      <c r="P842" t="s">
        <v>138</v>
      </c>
      <c r="Q842">
        <v>50</v>
      </c>
      <c r="R842">
        <v>0</v>
      </c>
      <c r="S842">
        <v>0</v>
      </c>
      <c r="T842">
        <v>0</v>
      </c>
      <c r="U842" t="s">
        <v>2751</v>
      </c>
      <c r="V842">
        <v>0</v>
      </c>
      <c r="W842">
        <v>25</v>
      </c>
      <c r="X842">
        <v>0</v>
      </c>
      <c r="Y842">
        <v>0</v>
      </c>
      <c r="Z842" t="s">
        <v>111</v>
      </c>
      <c r="AA842">
        <v>0</v>
      </c>
      <c r="AB842" t="s">
        <v>2772</v>
      </c>
      <c r="AC842">
        <v>0</v>
      </c>
      <c r="AD842" t="s">
        <v>427</v>
      </c>
      <c r="AE842">
        <v>6</v>
      </c>
      <c r="AF842">
        <v>1</v>
      </c>
      <c r="AG842" t="s">
        <v>1532</v>
      </c>
      <c r="AH842" t="s">
        <v>113</v>
      </c>
      <c r="AI842">
        <v>41</v>
      </c>
      <c r="AJ842" t="s">
        <v>111</v>
      </c>
      <c r="AK842" t="s">
        <v>111</v>
      </c>
      <c r="AL842" t="s">
        <v>111</v>
      </c>
      <c r="AM842">
        <v>0</v>
      </c>
      <c r="AN842">
        <v>0</v>
      </c>
      <c r="AO842">
        <v>0</v>
      </c>
      <c r="AP842" t="s">
        <v>288</v>
      </c>
      <c r="AQ842" t="s">
        <v>111</v>
      </c>
      <c r="AR842" t="s">
        <v>111</v>
      </c>
      <c r="AS842" t="s">
        <v>111</v>
      </c>
      <c r="AT842" t="s">
        <v>2773</v>
      </c>
      <c r="AU842" t="s">
        <v>111</v>
      </c>
      <c r="AV842" t="s">
        <v>111</v>
      </c>
      <c r="AW842" t="s">
        <v>111</v>
      </c>
      <c r="AX842" t="s">
        <v>188</v>
      </c>
      <c r="AY842" t="s">
        <v>111</v>
      </c>
      <c r="AZ842" t="s">
        <v>111</v>
      </c>
      <c r="BA842" t="s">
        <v>111</v>
      </c>
      <c r="BB842" t="s">
        <v>271</v>
      </c>
      <c r="BC842" t="s">
        <v>111</v>
      </c>
      <c r="BD842" t="s">
        <v>111</v>
      </c>
      <c r="BE842" t="s">
        <v>111</v>
      </c>
      <c r="BF842" t="s">
        <v>1493</v>
      </c>
      <c r="BG842" t="s">
        <v>111</v>
      </c>
      <c r="BH842" t="s">
        <v>111</v>
      </c>
      <c r="BI842" t="s">
        <v>111</v>
      </c>
      <c r="BJ842" t="s">
        <v>2774</v>
      </c>
      <c r="BK842" t="s">
        <v>111</v>
      </c>
      <c r="BL842" t="s">
        <v>111</v>
      </c>
      <c r="BM842" t="s">
        <v>111</v>
      </c>
      <c r="BN842" t="s">
        <v>111</v>
      </c>
      <c r="BO842" t="s">
        <v>111</v>
      </c>
      <c r="BP842" t="s">
        <v>111</v>
      </c>
      <c r="BQ842" t="s">
        <v>111</v>
      </c>
      <c r="BR842" t="s">
        <v>111</v>
      </c>
      <c r="BS842" t="s">
        <v>111</v>
      </c>
      <c r="BT842" t="s">
        <v>111</v>
      </c>
      <c r="BU842" t="s">
        <v>111</v>
      </c>
      <c r="BV842" t="s">
        <v>111</v>
      </c>
      <c r="BW842" t="s">
        <v>111</v>
      </c>
      <c r="BX842" t="s">
        <v>111</v>
      </c>
      <c r="BY842" t="s">
        <v>111</v>
      </c>
      <c r="BZ842" t="s">
        <v>111</v>
      </c>
      <c r="CA842" t="s">
        <v>111</v>
      </c>
      <c r="CB842" t="s">
        <v>111</v>
      </c>
      <c r="CC842" t="s">
        <v>111</v>
      </c>
      <c r="CD842" t="s">
        <v>111</v>
      </c>
      <c r="CE842" t="s">
        <v>111</v>
      </c>
      <c r="CF842" t="s">
        <v>111</v>
      </c>
      <c r="CG842" t="s">
        <v>111</v>
      </c>
      <c r="CH842" t="s">
        <v>111</v>
      </c>
      <c r="CI842" t="s">
        <v>111</v>
      </c>
      <c r="CJ842" t="s">
        <v>111</v>
      </c>
      <c r="CK842" t="s">
        <v>111</v>
      </c>
      <c r="CL842" t="e">
        <f>-DESTINO SELLADO</f>
        <v>#NAME?</v>
      </c>
      <c r="CM842" t="s">
        <v>198</v>
      </c>
      <c r="CN842" t="s">
        <v>113</v>
      </c>
      <c r="CO842" t="s">
        <v>111</v>
      </c>
      <c r="CP842" t="s">
        <v>1166</v>
      </c>
      <c r="CQ842">
        <v>78</v>
      </c>
      <c r="CR842">
        <v>4000</v>
      </c>
      <c r="CS842">
        <v>200</v>
      </c>
      <c r="CT842" s="1" t="s">
        <v>2775</v>
      </c>
      <c r="CU842">
        <v>0</v>
      </c>
      <c r="CV842" t="s">
        <v>111</v>
      </c>
      <c r="CW842" t="s">
        <v>111</v>
      </c>
      <c r="CX842" t="s">
        <v>111</v>
      </c>
      <c r="CY842">
        <v>0</v>
      </c>
      <c r="CZ842" t="s">
        <v>111</v>
      </c>
      <c r="DA842" t="s">
        <v>111</v>
      </c>
      <c r="DB842" t="s">
        <v>111</v>
      </c>
      <c r="DC842" t="s">
        <v>111</v>
      </c>
    </row>
    <row r="843" spans="1:107">
      <c r="A843">
        <v>749</v>
      </c>
      <c r="B843" t="s">
        <v>107</v>
      </c>
      <c r="C843" t="s">
        <v>226</v>
      </c>
      <c r="D843" t="s">
        <v>2776</v>
      </c>
      <c r="E843" t="s">
        <v>2777</v>
      </c>
      <c r="F843" t="s">
        <v>431</v>
      </c>
      <c r="G843" t="s">
        <v>427</v>
      </c>
      <c r="H843">
        <v>1.5</v>
      </c>
      <c r="I843">
        <v>66.5</v>
      </c>
      <c r="J843">
        <v>0</v>
      </c>
      <c r="K843">
        <v>0</v>
      </c>
      <c r="L843" t="s">
        <v>117</v>
      </c>
      <c r="M843" t="s">
        <v>118</v>
      </c>
      <c r="N843">
        <v>40</v>
      </c>
      <c r="O843">
        <v>1</v>
      </c>
      <c r="P843" t="s">
        <v>138</v>
      </c>
      <c r="Q843">
        <v>50</v>
      </c>
      <c r="R843">
        <v>0</v>
      </c>
      <c r="S843">
        <v>0</v>
      </c>
      <c r="T843">
        <v>0</v>
      </c>
      <c r="U843" t="e">
        <f>-IMPRESION CORREA</f>
        <v>#NAME?</v>
      </c>
      <c r="V843">
        <v>0</v>
      </c>
      <c r="W843">
        <v>25</v>
      </c>
      <c r="X843">
        <v>0</v>
      </c>
      <c r="Y843">
        <v>0</v>
      </c>
      <c r="Z843" t="s">
        <v>111</v>
      </c>
      <c r="AA843">
        <v>0</v>
      </c>
      <c r="AB843" t="s">
        <v>2772</v>
      </c>
      <c r="AC843">
        <v>0</v>
      </c>
      <c r="AD843" t="s">
        <v>427</v>
      </c>
      <c r="AE843">
        <v>6</v>
      </c>
      <c r="AF843">
        <v>1</v>
      </c>
      <c r="AG843" t="s">
        <v>1479</v>
      </c>
      <c r="AH843" t="s">
        <v>113</v>
      </c>
      <c r="AI843">
        <v>52</v>
      </c>
      <c r="AJ843" t="s">
        <v>111</v>
      </c>
      <c r="AK843" t="s">
        <v>111</v>
      </c>
      <c r="AL843" t="s">
        <v>111</v>
      </c>
      <c r="AM843">
        <v>0</v>
      </c>
      <c r="AN843">
        <v>0</v>
      </c>
      <c r="AO843">
        <v>0</v>
      </c>
      <c r="AP843" t="s">
        <v>679</v>
      </c>
      <c r="AQ843" t="s">
        <v>111</v>
      </c>
      <c r="AR843" t="s">
        <v>111</v>
      </c>
      <c r="AS843" t="s">
        <v>111</v>
      </c>
      <c r="AT843" t="s">
        <v>184</v>
      </c>
      <c r="AU843" t="s">
        <v>111</v>
      </c>
      <c r="AV843" t="s">
        <v>111</v>
      </c>
      <c r="AW843" t="s">
        <v>111</v>
      </c>
      <c r="AX843" t="s">
        <v>1310</v>
      </c>
      <c r="AY843" t="s">
        <v>111</v>
      </c>
      <c r="AZ843" t="s">
        <v>111</v>
      </c>
      <c r="BA843" t="s">
        <v>111</v>
      </c>
      <c r="BB843" t="s">
        <v>271</v>
      </c>
      <c r="BC843" t="s">
        <v>111</v>
      </c>
      <c r="BD843" t="s">
        <v>111</v>
      </c>
      <c r="BE843" t="s">
        <v>111</v>
      </c>
      <c r="BF843" t="e">
        <f>-NARANJA</f>
        <v>#NAME?</v>
      </c>
      <c r="BG843" t="s">
        <v>111</v>
      </c>
      <c r="BH843" t="s">
        <v>111</v>
      </c>
      <c r="BI843" t="s">
        <v>111</v>
      </c>
      <c r="BJ843" t="s">
        <v>2774</v>
      </c>
      <c r="BK843" t="s">
        <v>111</v>
      </c>
      <c r="BL843" t="s">
        <v>111</v>
      </c>
      <c r="BM843" t="s">
        <v>111</v>
      </c>
      <c r="BN843" t="s">
        <v>111</v>
      </c>
      <c r="BO843" t="s">
        <v>111</v>
      </c>
      <c r="BP843" t="s">
        <v>111</v>
      </c>
      <c r="BQ843" t="s">
        <v>111</v>
      </c>
      <c r="BR843" t="s">
        <v>111</v>
      </c>
      <c r="BS843" t="s">
        <v>111</v>
      </c>
      <c r="BT843" t="s">
        <v>111</v>
      </c>
      <c r="BU843" t="s">
        <v>111</v>
      </c>
      <c r="BV843" t="s">
        <v>111</v>
      </c>
      <c r="BW843" t="s">
        <v>111</v>
      </c>
      <c r="BX843" t="s">
        <v>111</v>
      </c>
      <c r="BY843" t="s">
        <v>111</v>
      </c>
      <c r="BZ843" t="s">
        <v>111</v>
      </c>
      <c r="CA843" t="s">
        <v>111</v>
      </c>
      <c r="CB843" t="s">
        <v>111</v>
      </c>
      <c r="CC843" t="s">
        <v>111</v>
      </c>
      <c r="CD843" t="s">
        <v>111</v>
      </c>
      <c r="CE843" t="s">
        <v>111</v>
      </c>
      <c r="CF843" t="s">
        <v>111</v>
      </c>
      <c r="CG843" t="s">
        <v>111</v>
      </c>
      <c r="CH843" t="s">
        <v>111</v>
      </c>
      <c r="CI843" t="s">
        <v>111</v>
      </c>
      <c r="CJ843" t="s">
        <v>111</v>
      </c>
      <c r="CK843" t="s">
        <v>111</v>
      </c>
      <c r="CL843" t="e">
        <f>-DESTINO SELLADO</f>
        <v>#NAME?</v>
      </c>
      <c r="CM843" t="s">
        <v>360</v>
      </c>
      <c r="CN843" t="s">
        <v>113</v>
      </c>
      <c r="CO843" t="s">
        <v>111</v>
      </c>
      <c r="CP843" t="e">
        <f>-MUESTRA</f>
        <v>#NAME?</v>
      </c>
      <c r="CQ843">
        <v>78</v>
      </c>
      <c r="CR843">
        <v>4000</v>
      </c>
      <c r="CS843">
        <v>200</v>
      </c>
      <c r="CT843" s="1" t="s">
        <v>2778</v>
      </c>
      <c r="CU843">
        <v>0</v>
      </c>
      <c r="CV843" t="s">
        <v>111</v>
      </c>
      <c r="CW843" t="s">
        <v>111</v>
      </c>
      <c r="CX843" t="s">
        <v>111</v>
      </c>
      <c r="CY843">
        <v>0</v>
      </c>
      <c r="CZ843" t="s">
        <v>111</v>
      </c>
      <c r="DA843" t="s">
        <v>111</v>
      </c>
      <c r="DB843" t="s">
        <v>111</v>
      </c>
      <c r="DC843" t="s">
        <v>111</v>
      </c>
    </row>
    <row r="844" spans="1:107">
      <c r="A844">
        <v>742</v>
      </c>
      <c r="B844" t="s">
        <v>107</v>
      </c>
      <c r="C844" t="s">
        <v>1338</v>
      </c>
      <c r="D844" t="s">
        <v>1355</v>
      </c>
      <c r="E844" t="s">
        <v>2779</v>
      </c>
      <c r="F844" t="s">
        <v>431</v>
      </c>
      <c r="G844" t="s">
        <v>427</v>
      </c>
      <c r="H844">
        <v>1.5</v>
      </c>
      <c r="I844">
        <v>99</v>
      </c>
      <c r="J844">
        <v>0</v>
      </c>
      <c r="K844">
        <v>0</v>
      </c>
      <c r="L844" t="s">
        <v>117</v>
      </c>
      <c r="M844" t="s">
        <v>118</v>
      </c>
      <c r="N844">
        <v>39</v>
      </c>
      <c r="O844">
        <v>1</v>
      </c>
      <c r="P844" t="s">
        <v>138</v>
      </c>
      <c r="Q844">
        <v>50</v>
      </c>
      <c r="R844">
        <v>0</v>
      </c>
      <c r="S844">
        <v>0</v>
      </c>
      <c r="T844">
        <v>0</v>
      </c>
      <c r="U844" s="1" t="s">
        <v>2780</v>
      </c>
      <c r="V844">
        <v>0</v>
      </c>
      <c r="W844">
        <v>25</v>
      </c>
      <c r="X844">
        <v>0</v>
      </c>
      <c r="Y844">
        <v>0</v>
      </c>
      <c r="Z844" t="s">
        <v>111</v>
      </c>
      <c r="AA844">
        <v>0</v>
      </c>
      <c r="AB844" t="s">
        <v>111</v>
      </c>
      <c r="AC844">
        <v>0</v>
      </c>
      <c r="AD844" t="s">
        <v>427</v>
      </c>
      <c r="AE844">
        <v>4</v>
      </c>
      <c r="AF844">
        <v>1</v>
      </c>
      <c r="AG844" t="s">
        <v>2781</v>
      </c>
      <c r="AH844" t="s">
        <v>113</v>
      </c>
      <c r="AI844">
        <v>41</v>
      </c>
      <c r="AJ844" t="s">
        <v>111</v>
      </c>
      <c r="AK844" t="s">
        <v>111</v>
      </c>
      <c r="AL844" t="s">
        <v>111</v>
      </c>
      <c r="AM844">
        <v>0</v>
      </c>
      <c r="AN844">
        <v>0</v>
      </c>
      <c r="AO844">
        <v>0</v>
      </c>
      <c r="AP844" t="s">
        <v>288</v>
      </c>
      <c r="AQ844" t="s">
        <v>111</v>
      </c>
      <c r="AR844" t="s">
        <v>111</v>
      </c>
      <c r="AS844" t="s">
        <v>111</v>
      </c>
      <c r="AT844" t="s">
        <v>2782</v>
      </c>
      <c r="AU844" t="s">
        <v>111</v>
      </c>
      <c r="AV844" t="s">
        <v>111</v>
      </c>
      <c r="AW844" t="s">
        <v>111</v>
      </c>
      <c r="AX844" t="s">
        <v>188</v>
      </c>
      <c r="AY844" t="s">
        <v>111</v>
      </c>
      <c r="AZ844" t="s">
        <v>111</v>
      </c>
      <c r="BA844" t="s">
        <v>111</v>
      </c>
      <c r="BB844" t="s">
        <v>271</v>
      </c>
      <c r="BC844" t="s">
        <v>111</v>
      </c>
      <c r="BD844" t="s">
        <v>111</v>
      </c>
      <c r="BE844" t="s">
        <v>111</v>
      </c>
      <c r="BF844" t="s">
        <v>111</v>
      </c>
      <c r="BG844" t="s">
        <v>111</v>
      </c>
      <c r="BH844" t="s">
        <v>111</v>
      </c>
      <c r="BI844" t="s">
        <v>111</v>
      </c>
      <c r="BJ844" t="s">
        <v>111</v>
      </c>
      <c r="BK844" t="s">
        <v>111</v>
      </c>
      <c r="BL844" t="s">
        <v>111</v>
      </c>
      <c r="BM844" t="s">
        <v>111</v>
      </c>
      <c r="BN844" t="s">
        <v>111</v>
      </c>
      <c r="BO844" t="s">
        <v>111</v>
      </c>
      <c r="BP844" t="s">
        <v>111</v>
      </c>
      <c r="BQ844" t="s">
        <v>111</v>
      </c>
      <c r="BR844" t="s">
        <v>111</v>
      </c>
      <c r="BS844" t="s">
        <v>111</v>
      </c>
      <c r="BT844" t="s">
        <v>111</v>
      </c>
      <c r="BU844" t="s">
        <v>111</v>
      </c>
      <c r="BV844" t="s">
        <v>111</v>
      </c>
      <c r="BW844" t="s">
        <v>111</v>
      </c>
      <c r="BX844" t="s">
        <v>111</v>
      </c>
      <c r="BY844" t="s">
        <v>111</v>
      </c>
      <c r="BZ844" t="s">
        <v>111</v>
      </c>
      <c r="CA844" t="s">
        <v>111</v>
      </c>
      <c r="CB844" t="s">
        <v>111</v>
      </c>
      <c r="CC844" t="s">
        <v>111</v>
      </c>
      <c r="CD844" t="s">
        <v>111</v>
      </c>
      <c r="CE844" t="s">
        <v>111</v>
      </c>
      <c r="CF844" t="s">
        <v>111</v>
      </c>
      <c r="CG844" t="s">
        <v>111</v>
      </c>
      <c r="CH844" t="s">
        <v>111</v>
      </c>
      <c r="CI844" t="s">
        <v>111</v>
      </c>
      <c r="CJ844" t="s">
        <v>111</v>
      </c>
      <c r="CK844" t="s">
        <v>111</v>
      </c>
      <c r="CL844" t="e">
        <f>-DESTINO SELLADO</f>
        <v>#NAME?</v>
      </c>
      <c r="CM844" t="s">
        <v>198</v>
      </c>
      <c r="CN844" t="s">
        <v>113</v>
      </c>
      <c r="CO844" t="s">
        <v>111</v>
      </c>
      <c r="CP844" t="s">
        <v>1166</v>
      </c>
      <c r="CQ844">
        <v>0</v>
      </c>
      <c r="CR844">
        <v>4000</v>
      </c>
      <c r="CS844">
        <v>200</v>
      </c>
      <c r="CT844" s="1" t="s">
        <v>2783</v>
      </c>
      <c r="CU844">
        <v>0</v>
      </c>
      <c r="CV844" t="s">
        <v>111</v>
      </c>
      <c r="CW844" t="s">
        <v>111</v>
      </c>
      <c r="CX844" t="s">
        <v>111</v>
      </c>
      <c r="CY844">
        <v>0</v>
      </c>
      <c r="CZ844" t="s">
        <v>111</v>
      </c>
      <c r="DA844" t="s">
        <v>111</v>
      </c>
      <c r="DB844" t="s">
        <v>111</v>
      </c>
      <c r="DC844" t="s">
        <v>111</v>
      </c>
    </row>
    <row r="845" spans="1:107">
      <c r="A845">
        <v>992</v>
      </c>
      <c r="B845" t="s">
        <v>107</v>
      </c>
      <c r="C845" t="s">
        <v>226</v>
      </c>
      <c r="D845" t="s">
        <v>2683</v>
      </c>
      <c r="E845" t="s">
        <v>2784</v>
      </c>
      <c r="F845" t="s">
        <v>431</v>
      </c>
      <c r="G845" t="s">
        <v>427</v>
      </c>
      <c r="H845">
        <v>1.5</v>
      </c>
      <c r="I845">
        <v>98</v>
      </c>
      <c r="J845">
        <v>0</v>
      </c>
      <c r="K845">
        <v>0</v>
      </c>
      <c r="L845" t="s">
        <v>117</v>
      </c>
      <c r="M845" t="s">
        <v>118</v>
      </c>
      <c r="N845">
        <v>40</v>
      </c>
      <c r="O845">
        <v>1</v>
      </c>
      <c r="P845" t="s">
        <v>138</v>
      </c>
      <c r="Q845">
        <v>40</v>
      </c>
      <c r="R845">
        <v>0</v>
      </c>
      <c r="S845">
        <v>0</v>
      </c>
      <c r="T845">
        <v>10</v>
      </c>
      <c r="U845" t="s">
        <v>2666</v>
      </c>
      <c r="V845">
        <v>0</v>
      </c>
      <c r="W845">
        <v>25</v>
      </c>
      <c r="X845">
        <v>0</v>
      </c>
      <c r="Y845">
        <v>0</v>
      </c>
      <c r="Z845" t="s">
        <v>111</v>
      </c>
      <c r="AA845">
        <v>0</v>
      </c>
      <c r="AB845" t="s">
        <v>111</v>
      </c>
      <c r="AC845">
        <v>0</v>
      </c>
      <c r="AD845" t="s">
        <v>427</v>
      </c>
      <c r="AE845">
        <v>5</v>
      </c>
      <c r="AF845">
        <v>1</v>
      </c>
      <c r="AG845" t="s">
        <v>2785</v>
      </c>
      <c r="AH845" t="s">
        <v>113</v>
      </c>
      <c r="AI845" t="s">
        <v>2786</v>
      </c>
      <c r="AJ845" t="s">
        <v>111</v>
      </c>
      <c r="AK845" t="s">
        <v>111</v>
      </c>
      <c r="AL845" t="s">
        <v>111</v>
      </c>
      <c r="AM845">
        <v>0</v>
      </c>
      <c r="AN845">
        <v>0</v>
      </c>
      <c r="AO845">
        <v>0</v>
      </c>
      <c r="AP845" t="s">
        <v>111</v>
      </c>
      <c r="AQ845" t="s">
        <v>111</v>
      </c>
      <c r="AR845" t="s">
        <v>111</v>
      </c>
      <c r="AS845" t="s">
        <v>111</v>
      </c>
      <c r="AT845" t="s">
        <v>111</v>
      </c>
      <c r="AU845" t="s">
        <v>111</v>
      </c>
      <c r="AV845" t="s">
        <v>111</v>
      </c>
      <c r="AW845" t="s">
        <v>111</v>
      </c>
      <c r="AX845" t="s">
        <v>111</v>
      </c>
      <c r="AY845" t="s">
        <v>111</v>
      </c>
      <c r="AZ845" t="s">
        <v>111</v>
      </c>
      <c r="BA845" t="s">
        <v>111</v>
      </c>
      <c r="BB845" t="s">
        <v>111</v>
      </c>
      <c r="BC845" t="s">
        <v>111</v>
      </c>
      <c r="BD845" t="s">
        <v>111</v>
      </c>
      <c r="BE845" t="s">
        <v>111</v>
      </c>
      <c r="BF845" t="s">
        <v>111</v>
      </c>
      <c r="BG845" t="s">
        <v>111</v>
      </c>
      <c r="BH845" t="s">
        <v>111</v>
      </c>
      <c r="BI845" t="s">
        <v>111</v>
      </c>
      <c r="BJ845" t="s">
        <v>111</v>
      </c>
      <c r="BK845" t="s">
        <v>111</v>
      </c>
      <c r="BL845" t="s">
        <v>111</v>
      </c>
      <c r="BM845" t="s">
        <v>111</v>
      </c>
      <c r="BN845" t="s">
        <v>111</v>
      </c>
      <c r="BO845" t="s">
        <v>111</v>
      </c>
      <c r="BP845" t="s">
        <v>111</v>
      </c>
      <c r="BQ845" t="s">
        <v>111</v>
      </c>
      <c r="BR845" t="s">
        <v>111</v>
      </c>
      <c r="BS845" t="s">
        <v>111</v>
      </c>
      <c r="BT845" t="s">
        <v>111</v>
      </c>
      <c r="BU845" t="s">
        <v>111</v>
      </c>
      <c r="BV845" t="s">
        <v>111</v>
      </c>
      <c r="BW845" t="s">
        <v>111</v>
      </c>
      <c r="BX845" t="s">
        <v>111</v>
      </c>
      <c r="BY845" t="s">
        <v>111</v>
      </c>
      <c r="BZ845" t="s">
        <v>111</v>
      </c>
      <c r="CA845" t="s">
        <v>111</v>
      </c>
      <c r="CB845" t="s">
        <v>111</v>
      </c>
      <c r="CC845" t="s">
        <v>111</v>
      </c>
      <c r="CD845" t="s">
        <v>111</v>
      </c>
      <c r="CE845" t="s">
        <v>111</v>
      </c>
      <c r="CF845" t="s">
        <v>111</v>
      </c>
      <c r="CG845" t="s">
        <v>111</v>
      </c>
      <c r="CH845" t="s">
        <v>111</v>
      </c>
      <c r="CI845" t="s">
        <v>111</v>
      </c>
      <c r="CJ845" t="s">
        <v>111</v>
      </c>
      <c r="CK845" t="s">
        <v>111</v>
      </c>
      <c r="CL845" t="e">
        <f>-DESTINO SELLADO</f>
        <v>#NAME?</v>
      </c>
      <c r="CM845" t="s">
        <v>360</v>
      </c>
      <c r="CN845" t="s">
        <v>113</v>
      </c>
      <c r="CO845" t="s">
        <v>2681</v>
      </c>
      <c r="CP845" t="e">
        <f>-MUESTRA</f>
        <v>#NAME?</v>
      </c>
      <c r="CQ845">
        <v>68</v>
      </c>
      <c r="CR845">
        <v>2100</v>
      </c>
      <c r="CS845">
        <v>300</v>
      </c>
      <c r="CT845" s="1" t="s">
        <v>1104</v>
      </c>
      <c r="CU845">
        <v>0</v>
      </c>
      <c r="CV845" t="s">
        <v>111</v>
      </c>
      <c r="CW845" t="s">
        <v>111</v>
      </c>
      <c r="CX845" t="s">
        <v>111</v>
      </c>
      <c r="CY845">
        <v>0</v>
      </c>
      <c r="CZ845" t="s">
        <v>111</v>
      </c>
      <c r="DA845" t="s">
        <v>111</v>
      </c>
      <c r="DB845" t="s">
        <v>111</v>
      </c>
      <c r="DC845" t="s">
        <v>111</v>
      </c>
    </row>
    <row r="846" spans="1:107">
      <c r="A846">
        <v>231</v>
      </c>
      <c r="B846" t="s">
        <v>162</v>
      </c>
      <c r="C846" t="s">
        <v>226</v>
      </c>
      <c r="D846" t="s">
        <v>2787</v>
      </c>
      <c r="E846" t="s">
        <v>2788</v>
      </c>
      <c r="F846" t="s">
        <v>431</v>
      </c>
      <c r="G846" t="s">
        <v>427</v>
      </c>
      <c r="H846">
        <v>1.5</v>
      </c>
      <c r="I846">
        <v>104</v>
      </c>
      <c r="J846">
        <v>0</v>
      </c>
      <c r="K846">
        <v>0</v>
      </c>
      <c r="L846" t="s">
        <v>117</v>
      </c>
      <c r="M846" t="s">
        <v>118</v>
      </c>
      <c r="N846">
        <v>40</v>
      </c>
      <c r="O846">
        <v>1</v>
      </c>
      <c r="P846" t="s">
        <v>138</v>
      </c>
      <c r="Q846">
        <v>42</v>
      </c>
      <c r="R846">
        <v>0</v>
      </c>
      <c r="S846">
        <v>0</v>
      </c>
      <c r="T846">
        <v>0</v>
      </c>
      <c r="U846" t="s">
        <v>2685</v>
      </c>
      <c r="V846">
        <v>0</v>
      </c>
      <c r="W846">
        <v>0</v>
      </c>
      <c r="X846">
        <v>1</v>
      </c>
      <c r="Y846">
        <v>0</v>
      </c>
      <c r="Z846" t="s">
        <v>111</v>
      </c>
      <c r="AA846">
        <v>0</v>
      </c>
      <c r="AB846" t="s">
        <v>111</v>
      </c>
      <c r="AC846">
        <v>0</v>
      </c>
      <c r="AD846" t="s">
        <v>427</v>
      </c>
      <c r="AE846">
        <v>5</v>
      </c>
      <c r="AF846">
        <v>2</v>
      </c>
      <c r="AG846">
        <v>20.5</v>
      </c>
      <c r="AH846" t="s">
        <v>111</v>
      </c>
      <c r="AI846">
        <v>42</v>
      </c>
      <c r="AJ846" t="s">
        <v>111</v>
      </c>
      <c r="AK846" t="s">
        <v>111</v>
      </c>
      <c r="AL846" t="s">
        <v>111</v>
      </c>
      <c r="AM846">
        <v>0</v>
      </c>
      <c r="AN846">
        <v>0</v>
      </c>
      <c r="AO846">
        <v>0</v>
      </c>
      <c r="AP846" t="s">
        <v>111</v>
      </c>
      <c r="AQ846" t="s">
        <v>111</v>
      </c>
      <c r="AR846" t="s">
        <v>111</v>
      </c>
      <c r="AS846" t="s">
        <v>111</v>
      </c>
      <c r="AT846" t="s">
        <v>111</v>
      </c>
      <c r="AU846" t="s">
        <v>111</v>
      </c>
      <c r="AV846" t="s">
        <v>111</v>
      </c>
      <c r="AW846" t="s">
        <v>111</v>
      </c>
      <c r="AX846" t="s">
        <v>111</v>
      </c>
      <c r="AY846" t="s">
        <v>111</v>
      </c>
      <c r="AZ846" t="s">
        <v>111</v>
      </c>
      <c r="BA846" t="s">
        <v>111</v>
      </c>
      <c r="BB846" t="s">
        <v>111</v>
      </c>
      <c r="BC846" t="s">
        <v>111</v>
      </c>
      <c r="BD846" t="s">
        <v>111</v>
      </c>
      <c r="BE846" t="s">
        <v>111</v>
      </c>
      <c r="BF846" t="s">
        <v>111</v>
      </c>
      <c r="BG846" t="s">
        <v>111</v>
      </c>
      <c r="BH846" t="s">
        <v>111</v>
      </c>
      <c r="BI846" t="s">
        <v>111</v>
      </c>
      <c r="BJ846" t="s">
        <v>111</v>
      </c>
      <c r="BK846" t="s">
        <v>111</v>
      </c>
      <c r="BL846" t="s">
        <v>111</v>
      </c>
      <c r="BM846" t="s">
        <v>111</v>
      </c>
      <c r="BN846" t="s">
        <v>111</v>
      </c>
      <c r="BO846" t="s">
        <v>111</v>
      </c>
      <c r="BP846" t="s">
        <v>111</v>
      </c>
      <c r="BQ846" t="s">
        <v>111</v>
      </c>
      <c r="BR846" t="s">
        <v>111</v>
      </c>
      <c r="BS846" t="s">
        <v>111</v>
      </c>
      <c r="BT846" t="s">
        <v>111</v>
      </c>
      <c r="BU846" t="s">
        <v>111</v>
      </c>
      <c r="BV846" t="s">
        <v>111</v>
      </c>
      <c r="BW846" t="s">
        <v>111</v>
      </c>
      <c r="BX846" t="s">
        <v>111</v>
      </c>
      <c r="BY846" t="s">
        <v>111</v>
      </c>
      <c r="BZ846" t="s">
        <v>111</v>
      </c>
      <c r="CA846" t="s">
        <v>111</v>
      </c>
      <c r="CB846" t="s">
        <v>111</v>
      </c>
      <c r="CC846" t="s">
        <v>111</v>
      </c>
      <c r="CD846" t="s">
        <v>111</v>
      </c>
      <c r="CE846" t="s">
        <v>111</v>
      </c>
      <c r="CF846" t="s">
        <v>111</v>
      </c>
      <c r="CG846" t="s">
        <v>111</v>
      </c>
      <c r="CH846" t="s">
        <v>111</v>
      </c>
      <c r="CI846" t="s">
        <v>111</v>
      </c>
      <c r="CJ846" t="s">
        <v>111</v>
      </c>
      <c r="CK846" t="s">
        <v>111</v>
      </c>
      <c r="CL846" t="s">
        <v>153</v>
      </c>
      <c r="CM846" t="s">
        <v>198</v>
      </c>
      <c r="CN846" t="s">
        <v>113</v>
      </c>
      <c r="CO846" t="s">
        <v>2681</v>
      </c>
      <c r="CP846" t="s">
        <v>433</v>
      </c>
      <c r="CQ846">
        <v>68</v>
      </c>
      <c r="CR846">
        <v>2100</v>
      </c>
      <c r="CS846">
        <v>300</v>
      </c>
      <c r="CT846" s="1" t="s">
        <v>2789</v>
      </c>
      <c r="CU846">
        <v>0</v>
      </c>
      <c r="CV846" t="s">
        <v>111</v>
      </c>
      <c r="CW846" t="s">
        <v>111</v>
      </c>
      <c r="CX846" t="s">
        <v>111</v>
      </c>
      <c r="CY846">
        <v>0</v>
      </c>
      <c r="CZ846" t="s">
        <v>111</v>
      </c>
      <c r="DA846" t="s">
        <v>111</v>
      </c>
      <c r="DB846" t="s">
        <v>111</v>
      </c>
      <c r="DC846" t="s">
        <v>111</v>
      </c>
    </row>
    <row r="847" spans="1:107">
      <c r="A847">
        <v>451</v>
      </c>
      <c r="B847" t="s">
        <v>162</v>
      </c>
      <c r="C847" t="s">
        <v>226</v>
      </c>
      <c r="D847" t="s">
        <v>2683</v>
      </c>
      <c r="E847" t="s">
        <v>2790</v>
      </c>
      <c r="F847" t="s">
        <v>431</v>
      </c>
      <c r="G847" t="s">
        <v>427</v>
      </c>
      <c r="H847">
        <v>1.5</v>
      </c>
      <c r="I847">
        <v>98</v>
      </c>
      <c r="J847">
        <v>0</v>
      </c>
      <c r="K847">
        <v>0</v>
      </c>
      <c r="L847" t="s">
        <v>117</v>
      </c>
      <c r="M847" t="s">
        <v>118</v>
      </c>
      <c r="N847">
        <v>40</v>
      </c>
      <c r="O847">
        <v>1</v>
      </c>
      <c r="P847" t="s">
        <v>138</v>
      </c>
      <c r="Q847">
        <v>35</v>
      </c>
      <c r="R847">
        <v>0</v>
      </c>
      <c r="S847">
        <v>0</v>
      </c>
      <c r="T847">
        <v>0</v>
      </c>
      <c r="U847" t="s">
        <v>2685</v>
      </c>
      <c r="V847">
        <v>0</v>
      </c>
      <c r="W847">
        <v>0</v>
      </c>
      <c r="X847">
        <v>1</v>
      </c>
      <c r="Y847">
        <v>0</v>
      </c>
      <c r="Z847" t="s">
        <v>111</v>
      </c>
      <c r="AA847">
        <v>0</v>
      </c>
      <c r="AB847" t="s">
        <v>111</v>
      </c>
      <c r="AC847">
        <v>0</v>
      </c>
      <c r="AD847" t="s">
        <v>427</v>
      </c>
      <c r="AE847">
        <v>6</v>
      </c>
      <c r="AF847">
        <v>2</v>
      </c>
      <c r="AG847" t="s">
        <v>678</v>
      </c>
      <c r="AH847" t="s">
        <v>111</v>
      </c>
      <c r="AI847">
        <v>42</v>
      </c>
      <c r="AJ847" t="s">
        <v>111</v>
      </c>
      <c r="AK847" t="s">
        <v>111</v>
      </c>
      <c r="AL847" t="s">
        <v>111</v>
      </c>
      <c r="AM847">
        <v>0</v>
      </c>
      <c r="AN847">
        <v>0</v>
      </c>
      <c r="AO847">
        <v>0</v>
      </c>
      <c r="AP847" t="s">
        <v>288</v>
      </c>
      <c r="AQ847" t="s">
        <v>111</v>
      </c>
      <c r="AR847" t="s">
        <v>111</v>
      </c>
      <c r="AS847" t="s">
        <v>111</v>
      </c>
      <c r="AT847" t="s">
        <v>184</v>
      </c>
      <c r="AU847" t="s">
        <v>111</v>
      </c>
      <c r="AV847" t="s">
        <v>111</v>
      </c>
      <c r="AW847" t="s">
        <v>111</v>
      </c>
      <c r="AX847" t="s">
        <v>188</v>
      </c>
      <c r="AY847" t="s">
        <v>111</v>
      </c>
      <c r="AZ847" t="s">
        <v>111</v>
      </c>
      <c r="BA847" t="s">
        <v>111</v>
      </c>
      <c r="BB847" t="s">
        <v>271</v>
      </c>
      <c r="BC847" t="s">
        <v>111</v>
      </c>
      <c r="BD847" t="s">
        <v>111</v>
      </c>
      <c r="BE847" t="s">
        <v>111</v>
      </c>
      <c r="BF847" t="s">
        <v>772</v>
      </c>
      <c r="BG847" t="s">
        <v>111</v>
      </c>
      <c r="BH847" t="s">
        <v>111</v>
      </c>
      <c r="BI847" t="s">
        <v>111</v>
      </c>
      <c r="BJ847" t="s">
        <v>2705</v>
      </c>
      <c r="BK847" t="s">
        <v>111</v>
      </c>
      <c r="BL847" t="s">
        <v>111</v>
      </c>
      <c r="BM847" t="s">
        <v>111</v>
      </c>
      <c r="BN847" t="s">
        <v>111</v>
      </c>
      <c r="BO847" t="s">
        <v>111</v>
      </c>
      <c r="BP847" t="s">
        <v>111</v>
      </c>
      <c r="BQ847" t="s">
        <v>111</v>
      </c>
      <c r="BR847" t="s">
        <v>111</v>
      </c>
      <c r="BS847" t="s">
        <v>111</v>
      </c>
      <c r="BT847" t="s">
        <v>111</v>
      </c>
      <c r="BU847" t="s">
        <v>111</v>
      </c>
      <c r="BV847" t="s">
        <v>111</v>
      </c>
      <c r="BW847" t="s">
        <v>111</v>
      </c>
      <c r="BX847" t="s">
        <v>111</v>
      </c>
      <c r="BY847" t="s">
        <v>111</v>
      </c>
      <c r="BZ847" t="s">
        <v>111</v>
      </c>
      <c r="CA847" t="s">
        <v>111</v>
      </c>
      <c r="CB847" t="s">
        <v>111</v>
      </c>
      <c r="CC847" t="s">
        <v>111</v>
      </c>
      <c r="CD847" t="s">
        <v>111</v>
      </c>
      <c r="CE847" t="s">
        <v>111</v>
      </c>
      <c r="CF847" t="s">
        <v>111</v>
      </c>
      <c r="CG847" t="s">
        <v>111</v>
      </c>
      <c r="CH847" t="s">
        <v>111</v>
      </c>
      <c r="CI847" t="s">
        <v>111</v>
      </c>
      <c r="CJ847" t="s">
        <v>111</v>
      </c>
      <c r="CK847" t="s">
        <v>111</v>
      </c>
      <c r="CL847" t="s">
        <v>153</v>
      </c>
      <c r="CM847" t="s">
        <v>198</v>
      </c>
      <c r="CN847" t="s">
        <v>113</v>
      </c>
      <c r="CO847" t="s">
        <v>2681</v>
      </c>
      <c r="CP847" t="s">
        <v>433</v>
      </c>
      <c r="CQ847">
        <v>0</v>
      </c>
      <c r="CR847">
        <v>0</v>
      </c>
      <c r="CS847">
        <v>0</v>
      </c>
      <c r="CT847" t="s">
        <v>168</v>
      </c>
      <c r="CU847">
        <v>0</v>
      </c>
      <c r="CV847" t="s">
        <v>111</v>
      </c>
      <c r="CW847" t="s">
        <v>111</v>
      </c>
      <c r="CX847" t="s">
        <v>111</v>
      </c>
      <c r="CY847">
        <v>0</v>
      </c>
      <c r="CZ847" t="s">
        <v>111</v>
      </c>
      <c r="DA847" t="s">
        <v>111</v>
      </c>
      <c r="DB847" t="s">
        <v>111</v>
      </c>
      <c r="DC847" t="s">
        <v>111</v>
      </c>
    </row>
    <row r="848" spans="1:107">
      <c r="A848">
        <v>1095</v>
      </c>
      <c r="B848" t="s">
        <v>107</v>
      </c>
      <c r="C848" t="s">
        <v>226</v>
      </c>
      <c r="D848" t="s">
        <v>2791</v>
      </c>
      <c r="E848" t="s">
        <v>2792</v>
      </c>
      <c r="F848" t="s">
        <v>192</v>
      </c>
      <c r="G848" t="s">
        <v>427</v>
      </c>
      <c r="H848">
        <v>1.5</v>
      </c>
      <c r="I848">
        <v>60</v>
      </c>
      <c r="J848">
        <v>0</v>
      </c>
      <c r="K848">
        <v>0</v>
      </c>
      <c r="L848" t="s">
        <v>117</v>
      </c>
      <c r="M848" t="s">
        <v>118</v>
      </c>
      <c r="N848">
        <v>40</v>
      </c>
      <c r="O848">
        <v>1</v>
      </c>
      <c r="P848" t="s">
        <v>138</v>
      </c>
      <c r="Q848">
        <v>50</v>
      </c>
      <c r="R848">
        <v>0</v>
      </c>
      <c r="S848">
        <v>0</v>
      </c>
      <c r="T848">
        <v>10</v>
      </c>
      <c r="U848" t="s">
        <v>2793</v>
      </c>
      <c r="V848">
        <v>0</v>
      </c>
      <c r="W848">
        <v>250</v>
      </c>
      <c r="X848">
        <v>8</v>
      </c>
      <c r="Y848">
        <v>0</v>
      </c>
      <c r="Z848" t="s">
        <v>111</v>
      </c>
      <c r="AA848">
        <v>0</v>
      </c>
      <c r="AB848" t="s">
        <v>111</v>
      </c>
      <c r="AC848">
        <v>0</v>
      </c>
      <c r="AD848" t="s">
        <v>427</v>
      </c>
      <c r="AE848">
        <v>0</v>
      </c>
      <c r="AF848">
        <v>0</v>
      </c>
      <c r="AG848" t="s">
        <v>111</v>
      </c>
      <c r="AH848" t="s">
        <v>111</v>
      </c>
      <c r="AI848" t="s">
        <v>111</v>
      </c>
      <c r="AJ848" t="s">
        <v>111</v>
      </c>
      <c r="AK848" t="s">
        <v>111</v>
      </c>
      <c r="AL848" t="s">
        <v>111</v>
      </c>
      <c r="AM848">
        <v>0</v>
      </c>
      <c r="AN848">
        <v>0</v>
      </c>
      <c r="AO848">
        <v>0</v>
      </c>
      <c r="AP848" t="s">
        <v>111</v>
      </c>
      <c r="AQ848" t="s">
        <v>111</v>
      </c>
      <c r="AR848" t="s">
        <v>111</v>
      </c>
      <c r="AS848" t="s">
        <v>111</v>
      </c>
      <c r="AT848" t="s">
        <v>111</v>
      </c>
      <c r="AU848" t="s">
        <v>111</v>
      </c>
      <c r="AV848" t="s">
        <v>111</v>
      </c>
      <c r="AW848" t="s">
        <v>111</v>
      </c>
      <c r="AX848" t="s">
        <v>111</v>
      </c>
      <c r="AY848" t="s">
        <v>111</v>
      </c>
      <c r="AZ848" t="s">
        <v>111</v>
      </c>
      <c r="BA848" t="s">
        <v>111</v>
      </c>
      <c r="BB848" t="s">
        <v>111</v>
      </c>
      <c r="BC848" t="s">
        <v>111</v>
      </c>
      <c r="BD848" t="s">
        <v>111</v>
      </c>
      <c r="BE848" t="s">
        <v>111</v>
      </c>
      <c r="BF848" t="s">
        <v>111</v>
      </c>
      <c r="BG848" t="s">
        <v>111</v>
      </c>
      <c r="BH848" t="s">
        <v>111</v>
      </c>
      <c r="BI848" t="s">
        <v>111</v>
      </c>
      <c r="BJ848" t="s">
        <v>111</v>
      </c>
      <c r="BK848" t="s">
        <v>111</v>
      </c>
      <c r="BL848" t="s">
        <v>111</v>
      </c>
      <c r="BM848" t="s">
        <v>111</v>
      </c>
      <c r="BN848" t="s">
        <v>111</v>
      </c>
      <c r="BO848" t="s">
        <v>111</v>
      </c>
      <c r="BP848" t="s">
        <v>111</v>
      </c>
      <c r="BQ848" t="s">
        <v>111</v>
      </c>
      <c r="BR848" t="s">
        <v>111</v>
      </c>
      <c r="BS848" t="s">
        <v>111</v>
      </c>
      <c r="BT848" t="s">
        <v>111</v>
      </c>
      <c r="BU848" t="s">
        <v>111</v>
      </c>
      <c r="BV848" t="s">
        <v>111</v>
      </c>
      <c r="BW848" t="s">
        <v>111</v>
      </c>
      <c r="BX848" t="s">
        <v>111</v>
      </c>
      <c r="BY848" t="s">
        <v>111</v>
      </c>
      <c r="BZ848" t="s">
        <v>111</v>
      </c>
      <c r="CA848" t="s">
        <v>111</v>
      </c>
      <c r="CB848" t="s">
        <v>111</v>
      </c>
      <c r="CC848" t="s">
        <v>111</v>
      </c>
      <c r="CD848" t="s">
        <v>111</v>
      </c>
      <c r="CE848" t="s">
        <v>111</v>
      </c>
      <c r="CF848" t="s">
        <v>111</v>
      </c>
      <c r="CG848" t="s">
        <v>111</v>
      </c>
      <c r="CH848" t="s">
        <v>111</v>
      </c>
      <c r="CI848" t="s">
        <v>111</v>
      </c>
      <c r="CJ848" t="s">
        <v>111</v>
      </c>
      <c r="CK848" t="s">
        <v>111</v>
      </c>
      <c r="CL848" t="e">
        <f>-DESTINO SELLADO</f>
        <v>#NAME?</v>
      </c>
      <c r="CM848" t="s">
        <v>360</v>
      </c>
      <c r="CN848" t="s">
        <v>113</v>
      </c>
      <c r="CO848" t="s">
        <v>2681</v>
      </c>
      <c r="CP848" t="e">
        <f>-MUESTRA</f>
        <v>#NAME?</v>
      </c>
      <c r="CQ848">
        <v>75</v>
      </c>
      <c r="CR848">
        <v>4200</v>
      </c>
      <c r="CS848">
        <v>300</v>
      </c>
      <c r="CT848" s="1" t="s">
        <v>2794</v>
      </c>
      <c r="CU848">
        <v>0</v>
      </c>
      <c r="CV848" t="s">
        <v>111</v>
      </c>
      <c r="CW848" t="s">
        <v>111</v>
      </c>
      <c r="CX848" t="s">
        <v>111</v>
      </c>
      <c r="CY848">
        <v>0</v>
      </c>
      <c r="CZ848" t="s">
        <v>111</v>
      </c>
      <c r="DA848" t="s">
        <v>111</v>
      </c>
      <c r="DB848" t="s">
        <v>111</v>
      </c>
      <c r="DC848" t="s">
        <v>111</v>
      </c>
    </row>
    <row r="849" spans="1:107">
      <c r="A849">
        <v>1369</v>
      </c>
      <c r="B849" t="s">
        <v>107</v>
      </c>
      <c r="C849" t="s">
        <v>226</v>
      </c>
      <c r="D849" t="s">
        <v>2795</v>
      </c>
      <c r="E849" t="s">
        <v>2796</v>
      </c>
      <c r="F849" t="s">
        <v>431</v>
      </c>
      <c r="G849" t="s">
        <v>427</v>
      </c>
      <c r="H849">
        <v>1.5</v>
      </c>
      <c r="I849">
        <v>92</v>
      </c>
      <c r="J849">
        <v>0</v>
      </c>
      <c r="K849">
        <v>0</v>
      </c>
      <c r="L849" t="s">
        <v>117</v>
      </c>
      <c r="M849" t="s">
        <v>118</v>
      </c>
      <c r="N849">
        <v>40</v>
      </c>
      <c r="O849">
        <v>1</v>
      </c>
      <c r="P849" t="s">
        <v>111</v>
      </c>
      <c r="Q849">
        <v>40</v>
      </c>
      <c r="R849">
        <v>0</v>
      </c>
      <c r="S849">
        <v>0</v>
      </c>
      <c r="T849">
        <v>5</v>
      </c>
      <c r="U849" t="e">
        <f>-IMPRESION CORREA</f>
        <v>#NAME?</v>
      </c>
      <c r="V849">
        <v>0</v>
      </c>
      <c r="W849">
        <v>25</v>
      </c>
      <c r="X849">
        <v>8</v>
      </c>
      <c r="Y849">
        <v>0</v>
      </c>
      <c r="Z849" t="s">
        <v>111</v>
      </c>
      <c r="AA849">
        <v>0</v>
      </c>
      <c r="AB849" t="s">
        <v>111</v>
      </c>
      <c r="AC849">
        <v>0</v>
      </c>
      <c r="AD849" t="s">
        <v>427</v>
      </c>
      <c r="AE849">
        <v>0</v>
      </c>
      <c r="AF849">
        <v>0</v>
      </c>
      <c r="AG849" t="s">
        <v>111</v>
      </c>
      <c r="AH849" t="s">
        <v>113</v>
      </c>
      <c r="AI849" t="s">
        <v>111</v>
      </c>
      <c r="AJ849" t="s">
        <v>111</v>
      </c>
      <c r="AK849" t="s">
        <v>111</v>
      </c>
      <c r="AL849" t="s">
        <v>111</v>
      </c>
      <c r="AM849">
        <v>0</v>
      </c>
      <c r="AN849">
        <v>0</v>
      </c>
      <c r="AO849">
        <v>0</v>
      </c>
      <c r="AP849" t="s">
        <v>111</v>
      </c>
      <c r="AQ849" t="s">
        <v>111</v>
      </c>
      <c r="AR849" t="s">
        <v>111</v>
      </c>
      <c r="AS849" t="s">
        <v>111</v>
      </c>
      <c r="AT849" t="s">
        <v>111</v>
      </c>
      <c r="AU849" t="s">
        <v>111</v>
      </c>
      <c r="AV849" t="s">
        <v>111</v>
      </c>
      <c r="AW849" t="s">
        <v>111</v>
      </c>
      <c r="AX849" t="s">
        <v>111</v>
      </c>
      <c r="AY849" t="s">
        <v>111</v>
      </c>
      <c r="AZ849" t="s">
        <v>111</v>
      </c>
      <c r="BA849" t="s">
        <v>111</v>
      </c>
      <c r="BB849" t="s">
        <v>111</v>
      </c>
      <c r="BC849" t="s">
        <v>111</v>
      </c>
      <c r="BD849" t="s">
        <v>111</v>
      </c>
      <c r="BE849" t="s">
        <v>111</v>
      </c>
      <c r="BF849" t="s">
        <v>111</v>
      </c>
      <c r="BG849" t="s">
        <v>111</v>
      </c>
      <c r="BH849" t="s">
        <v>111</v>
      </c>
      <c r="BI849" t="s">
        <v>111</v>
      </c>
      <c r="BJ849" t="s">
        <v>111</v>
      </c>
      <c r="BK849" t="s">
        <v>111</v>
      </c>
      <c r="BL849" t="s">
        <v>111</v>
      </c>
      <c r="BM849" t="s">
        <v>111</v>
      </c>
      <c r="BN849" t="s">
        <v>111</v>
      </c>
      <c r="BO849" t="s">
        <v>111</v>
      </c>
      <c r="BP849" t="s">
        <v>111</v>
      </c>
      <c r="BQ849" t="s">
        <v>111</v>
      </c>
      <c r="BR849" t="s">
        <v>111</v>
      </c>
      <c r="BS849" t="s">
        <v>111</v>
      </c>
      <c r="BT849" t="s">
        <v>111</v>
      </c>
      <c r="BU849" t="s">
        <v>111</v>
      </c>
      <c r="BV849" t="s">
        <v>111</v>
      </c>
      <c r="BW849" t="s">
        <v>111</v>
      </c>
      <c r="BX849" t="s">
        <v>111</v>
      </c>
      <c r="BY849" t="s">
        <v>111</v>
      </c>
      <c r="BZ849" t="s">
        <v>111</v>
      </c>
      <c r="CA849" t="s">
        <v>111</v>
      </c>
      <c r="CB849" t="s">
        <v>111</v>
      </c>
      <c r="CC849" t="s">
        <v>111</v>
      </c>
      <c r="CD849" t="s">
        <v>111</v>
      </c>
      <c r="CE849" t="s">
        <v>111</v>
      </c>
      <c r="CF849" t="s">
        <v>111</v>
      </c>
      <c r="CG849" t="s">
        <v>111</v>
      </c>
      <c r="CH849" t="s">
        <v>111</v>
      </c>
      <c r="CI849" t="s">
        <v>111</v>
      </c>
      <c r="CJ849" t="s">
        <v>111</v>
      </c>
      <c r="CK849" t="s">
        <v>111</v>
      </c>
      <c r="CL849" t="s">
        <v>111</v>
      </c>
      <c r="CM849" t="s">
        <v>360</v>
      </c>
      <c r="CN849" t="s">
        <v>113</v>
      </c>
      <c r="CO849" t="s">
        <v>1929</v>
      </c>
      <c r="CP849" t="s">
        <v>111</v>
      </c>
      <c r="CQ849">
        <v>68</v>
      </c>
      <c r="CR849">
        <v>2100</v>
      </c>
      <c r="CS849">
        <v>300</v>
      </c>
      <c r="CT849" t="e">
        <f>-ALMACEN</f>
        <v>#NAME?</v>
      </c>
      <c r="CU849">
        <v>0</v>
      </c>
      <c r="CV849" t="s">
        <v>111</v>
      </c>
      <c r="CW849" t="s">
        <v>111</v>
      </c>
      <c r="CX849" t="s">
        <v>111</v>
      </c>
      <c r="CY849">
        <v>0</v>
      </c>
      <c r="CZ849" t="s">
        <v>111</v>
      </c>
      <c r="DA849" t="s">
        <v>111</v>
      </c>
      <c r="DB849" t="s">
        <v>111</v>
      </c>
      <c r="DC849" t="s">
        <v>111</v>
      </c>
    </row>
    <row r="850" spans="1:107">
      <c r="A850">
        <v>1025</v>
      </c>
      <c r="B850" t="s">
        <v>107</v>
      </c>
      <c r="C850" t="s">
        <v>226</v>
      </c>
      <c r="D850" t="s">
        <v>2749</v>
      </c>
      <c r="E850" t="s">
        <v>2797</v>
      </c>
      <c r="F850" t="s">
        <v>431</v>
      </c>
      <c r="G850" t="s">
        <v>427</v>
      </c>
      <c r="H850">
        <v>1.5</v>
      </c>
      <c r="I850">
        <v>111</v>
      </c>
      <c r="J850">
        <v>0</v>
      </c>
      <c r="K850">
        <v>0</v>
      </c>
      <c r="L850" t="s">
        <v>117</v>
      </c>
      <c r="M850" t="s">
        <v>118</v>
      </c>
      <c r="N850">
        <v>39</v>
      </c>
      <c r="O850">
        <v>1</v>
      </c>
      <c r="P850" t="s">
        <v>118</v>
      </c>
      <c r="Q850">
        <v>40</v>
      </c>
      <c r="R850">
        <v>0</v>
      </c>
      <c r="S850">
        <v>0</v>
      </c>
      <c r="T850">
        <v>10</v>
      </c>
      <c r="U850" s="1" t="s">
        <v>344</v>
      </c>
      <c r="V850">
        <v>0</v>
      </c>
      <c r="W850">
        <v>25</v>
      </c>
      <c r="X850">
        <v>8</v>
      </c>
      <c r="Y850">
        <v>0</v>
      </c>
      <c r="Z850" t="s">
        <v>111</v>
      </c>
      <c r="AA850">
        <v>0</v>
      </c>
      <c r="AB850" t="s">
        <v>111</v>
      </c>
      <c r="AC850">
        <v>0</v>
      </c>
      <c r="AD850" t="s">
        <v>427</v>
      </c>
      <c r="AE850">
        <v>0</v>
      </c>
      <c r="AF850">
        <v>0</v>
      </c>
      <c r="AG850" t="s">
        <v>111</v>
      </c>
      <c r="AH850" t="s">
        <v>111</v>
      </c>
      <c r="AI850" t="s">
        <v>111</v>
      </c>
      <c r="AJ850" t="s">
        <v>111</v>
      </c>
      <c r="AK850" t="s">
        <v>111</v>
      </c>
      <c r="AL850" t="s">
        <v>111</v>
      </c>
      <c r="AM850">
        <v>0</v>
      </c>
      <c r="AN850">
        <v>0</v>
      </c>
      <c r="AO850">
        <v>0</v>
      </c>
      <c r="AP850" t="s">
        <v>111</v>
      </c>
      <c r="AQ850" t="s">
        <v>111</v>
      </c>
      <c r="AR850" t="s">
        <v>111</v>
      </c>
      <c r="AS850" t="s">
        <v>111</v>
      </c>
      <c r="AT850" t="s">
        <v>111</v>
      </c>
      <c r="AU850" t="s">
        <v>111</v>
      </c>
      <c r="AV850" t="s">
        <v>111</v>
      </c>
      <c r="AW850" t="s">
        <v>111</v>
      </c>
      <c r="AX850" t="s">
        <v>111</v>
      </c>
      <c r="AY850" t="s">
        <v>111</v>
      </c>
      <c r="AZ850" t="s">
        <v>111</v>
      </c>
      <c r="BA850" t="s">
        <v>111</v>
      </c>
      <c r="BB850" t="s">
        <v>111</v>
      </c>
      <c r="BC850" t="s">
        <v>111</v>
      </c>
      <c r="BD850" t="s">
        <v>111</v>
      </c>
      <c r="BE850" t="s">
        <v>111</v>
      </c>
      <c r="BF850" t="s">
        <v>111</v>
      </c>
      <c r="BG850" t="s">
        <v>111</v>
      </c>
      <c r="BH850" t="s">
        <v>111</v>
      </c>
      <c r="BI850" t="s">
        <v>111</v>
      </c>
      <c r="BJ850" t="s">
        <v>111</v>
      </c>
      <c r="BK850" t="s">
        <v>111</v>
      </c>
      <c r="BL850" t="s">
        <v>111</v>
      </c>
      <c r="BM850" t="s">
        <v>111</v>
      </c>
      <c r="BN850" t="s">
        <v>111</v>
      </c>
      <c r="BO850" t="s">
        <v>111</v>
      </c>
      <c r="BP850" t="s">
        <v>111</v>
      </c>
      <c r="BQ850" t="s">
        <v>111</v>
      </c>
      <c r="BR850" t="s">
        <v>111</v>
      </c>
      <c r="BS850" t="s">
        <v>111</v>
      </c>
      <c r="BT850" t="s">
        <v>111</v>
      </c>
      <c r="BU850" t="s">
        <v>111</v>
      </c>
      <c r="BV850" t="s">
        <v>111</v>
      </c>
      <c r="BW850" t="s">
        <v>111</v>
      </c>
      <c r="BX850" t="s">
        <v>111</v>
      </c>
      <c r="BY850" t="s">
        <v>111</v>
      </c>
      <c r="BZ850" t="s">
        <v>111</v>
      </c>
      <c r="CA850" t="s">
        <v>111</v>
      </c>
      <c r="CB850" t="s">
        <v>111</v>
      </c>
      <c r="CC850" t="s">
        <v>111</v>
      </c>
      <c r="CD850" t="s">
        <v>111</v>
      </c>
      <c r="CE850" t="s">
        <v>111</v>
      </c>
      <c r="CF850" t="s">
        <v>111</v>
      </c>
      <c r="CG850" t="s">
        <v>111</v>
      </c>
      <c r="CH850" t="s">
        <v>111</v>
      </c>
      <c r="CI850" t="s">
        <v>111</v>
      </c>
      <c r="CJ850" t="s">
        <v>111</v>
      </c>
      <c r="CK850" t="s">
        <v>111</v>
      </c>
      <c r="CL850" t="e">
        <f>-DESTINO SELLADO</f>
        <v>#NAME?</v>
      </c>
      <c r="CM850" t="s">
        <v>360</v>
      </c>
      <c r="CN850" t="s">
        <v>113</v>
      </c>
      <c r="CO850" t="s">
        <v>2681</v>
      </c>
      <c r="CP850" t="e">
        <f>-MUESTRA</f>
        <v>#NAME?</v>
      </c>
      <c r="CQ850">
        <v>0</v>
      </c>
      <c r="CR850">
        <v>3000</v>
      </c>
      <c r="CS850">
        <v>300</v>
      </c>
      <c r="CT850" s="1" t="s">
        <v>2798</v>
      </c>
      <c r="CU850">
        <v>0</v>
      </c>
      <c r="CV850" t="s">
        <v>111</v>
      </c>
      <c r="CW850" t="s">
        <v>111</v>
      </c>
      <c r="CX850" t="s">
        <v>111</v>
      </c>
      <c r="CY850">
        <v>0</v>
      </c>
      <c r="CZ850" t="s">
        <v>111</v>
      </c>
      <c r="DA850" t="s">
        <v>111</v>
      </c>
      <c r="DB850" t="s">
        <v>111</v>
      </c>
      <c r="DC850" t="s">
        <v>111</v>
      </c>
    </row>
    <row r="851" spans="1:107">
      <c r="A851">
        <v>1366</v>
      </c>
      <c r="B851" t="s">
        <v>107</v>
      </c>
      <c r="C851" t="s">
        <v>226</v>
      </c>
      <c r="D851" t="s">
        <v>2799</v>
      </c>
      <c r="E851" t="s">
        <v>2800</v>
      </c>
      <c r="F851" t="s">
        <v>431</v>
      </c>
      <c r="G851" t="s">
        <v>427</v>
      </c>
      <c r="H851">
        <v>1.5</v>
      </c>
      <c r="I851">
        <v>90.5</v>
      </c>
      <c r="J851">
        <v>0</v>
      </c>
      <c r="K851">
        <v>0</v>
      </c>
      <c r="L851" t="s">
        <v>117</v>
      </c>
      <c r="M851" t="s">
        <v>118</v>
      </c>
      <c r="N851">
        <v>40</v>
      </c>
      <c r="O851">
        <v>1</v>
      </c>
      <c r="P851" t="s">
        <v>111</v>
      </c>
      <c r="Q851">
        <v>40</v>
      </c>
      <c r="R851">
        <v>0</v>
      </c>
      <c r="S851">
        <v>0</v>
      </c>
      <c r="T851">
        <v>5</v>
      </c>
      <c r="U851" t="e">
        <f>-IMPRESION CORREA</f>
        <v>#NAME?</v>
      </c>
      <c r="V851">
        <v>0</v>
      </c>
      <c r="W851">
        <v>25</v>
      </c>
      <c r="X851">
        <v>8</v>
      </c>
      <c r="Y851">
        <v>0</v>
      </c>
      <c r="Z851" t="s">
        <v>111</v>
      </c>
      <c r="AA851">
        <v>0</v>
      </c>
      <c r="AB851" t="s">
        <v>111</v>
      </c>
      <c r="AC851">
        <v>0</v>
      </c>
      <c r="AD851" t="s">
        <v>427</v>
      </c>
      <c r="AE851">
        <v>0</v>
      </c>
      <c r="AF851">
        <v>0</v>
      </c>
      <c r="AG851" t="s">
        <v>111</v>
      </c>
      <c r="AH851" t="s">
        <v>113</v>
      </c>
      <c r="AI851" t="s">
        <v>111</v>
      </c>
      <c r="AJ851" t="s">
        <v>111</v>
      </c>
      <c r="AK851" t="s">
        <v>111</v>
      </c>
      <c r="AL851" t="s">
        <v>111</v>
      </c>
      <c r="AM851">
        <v>0</v>
      </c>
      <c r="AN851">
        <v>0</v>
      </c>
      <c r="AO851">
        <v>0</v>
      </c>
      <c r="AP851" t="s">
        <v>111</v>
      </c>
      <c r="AQ851" t="s">
        <v>111</v>
      </c>
      <c r="AR851" t="s">
        <v>111</v>
      </c>
      <c r="AS851" t="s">
        <v>111</v>
      </c>
      <c r="AT851" t="s">
        <v>111</v>
      </c>
      <c r="AU851" t="s">
        <v>111</v>
      </c>
      <c r="AV851" t="s">
        <v>111</v>
      </c>
      <c r="AW851" t="s">
        <v>111</v>
      </c>
      <c r="AX851" t="s">
        <v>111</v>
      </c>
      <c r="AY851" t="s">
        <v>111</v>
      </c>
      <c r="AZ851" t="s">
        <v>111</v>
      </c>
      <c r="BA851" t="s">
        <v>111</v>
      </c>
      <c r="BB851" t="s">
        <v>111</v>
      </c>
      <c r="BC851" t="s">
        <v>111</v>
      </c>
      <c r="BD851" t="s">
        <v>111</v>
      </c>
      <c r="BE851" t="s">
        <v>111</v>
      </c>
      <c r="BF851" t="s">
        <v>111</v>
      </c>
      <c r="BG851" t="s">
        <v>111</v>
      </c>
      <c r="BH851" t="s">
        <v>111</v>
      </c>
      <c r="BI851" t="s">
        <v>111</v>
      </c>
      <c r="BJ851" t="s">
        <v>111</v>
      </c>
      <c r="BK851" t="s">
        <v>111</v>
      </c>
      <c r="BL851" t="s">
        <v>111</v>
      </c>
      <c r="BM851" t="s">
        <v>111</v>
      </c>
      <c r="BN851" t="s">
        <v>111</v>
      </c>
      <c r="BO851" t="s">
        <v>111</v>
      </c>
      <c r="BP851" t="s">
        <v>111</v>
      </c>
      <c r="BQ851" t="s">
        <v>111</v>
      </c>
      <c r="BR851" t="s">
        <v>111</v>
      </c>
      <c r="BS851" t="s">
        <v>111</v>
      </c>
      <c r="BT851" t="s">
        <v>111</v>
      </c>
      <c r="BU851" t="s">
        <v>111</v>
      </c>
      <c r="BV851" t="s">
        <v>111</v>
      </c>
      <c r="BW851" t="s">
        <v>111</v>
      </c>
      <c r="BX851" t="s">
        <v>111</v>
      </c>
      <c r="BY851" t="s">
        <v>111</v>
      </c>
      <c r="BZ851" t="s">
        <v>111</v>
      </c>
      <c r="CA851" t="s">
        <v>111</v>
      </c>
      <c r="CB851" t="s">
        <v>111</v>
      </c>
      <c r="CC851" t="s">
        <v>111</v>
      </c>
      <c r="CD851" t="s">
        <v>111</v>
      </c>
      <c r="CE851" t="s">
        <v>111</v>
      </c>
      <c r="CF851" t="s">
        <v>111</v>
      </c>
      <c r="CG851" t="s">
        <v>111</v>
      </c>
      <c r="CH851" t="s">
        <v>111</v>
      </c>
      <c r="CI851" t="s">
        <v>111</v>
      </c>
      <c r="CJ851" t="s">
        <v>111</v>
      </c>
      <c r="CK851" t="s">
        <v>111</v>
      </c>
      <c r="CL851" t="s">
        <v>111</v>
      </c>
      <c r="CM851" t="s">
        <v>135</v>
      </c>
      <c r="CN851" t="s">
        <v>113</v>
      </c>
      <c r="CO851" t="s">
        <v>111</v>
      </c>
      <c r="CP851" t="s">
        <v>111</v>
      </c>
      <c r="CQ851">
        <v>0</v>
      </c>
      <c r="CR851">
        <v>4000</v>
      </c>
      <c r="CS851">
        <v>250</v>
      </c>
      <c r="CT851" t="e">
        <f>-ALMACEN</f>
        <v>#NAME?</v>
      </c>
      <c r="CU851">
        <v>0</v>
      </c>
      <c r="CV851" t="s">
        <v>111</v>
      </c>
      <c r="CW851" t="s">
        <v>111</v>
      </c>
      <c r="CX851" t="s">
        <v>111</v>
      </c>
      <c r="CY851">
        <v>0</v>
      </c>
      <c r="CZ851" t="s">
        <v>111</v>
      </c>
      <c r="DA851" t="s">
        <v>111</v>
      </c>
      <c r="DB851" t="s">
        <v>111</v>
      </c>
      <c r="DC851" t="s">
        <v>111</v>
      </c>
    </row>
    <row r="852" spans="1:107">
      <c r="A852">
        <v>1367</v>
      </c>
      <c r="B852" t="s">
        <v>107</v>
      </c>
      <c r="C852" t="s">
        <v>226</v>
      </c>
      <c r="D852" t="s">
        <v>2683</v>
      </c>
      <c r="E852" t="s">
        <v>2801</v>
      </c>
      <c r="F852" t="s">
        <v>431</v>
      </c>
      <c r="G852" t="s">
        <v>427</v>
      </c>
      <c r="H852">
        <v>1.5</v>
      </c>
      <c r="I852">
        <v>98</v>
      </c>
      <c r="J852">
        <v>0</v>
      </c>
      <c r="K852">
        <v>0</v>
      </c>
      <c r="L852" t="s">
        <v>117</v>
      </c>
      <c r="M852" t="s">
        <v>118</v>
      </c>
      <c r="N852">
        <v>0</v>
      </c>
      <c r="O852">
        <v>1</v>
      </c>
      <c r="P852" t="s">
        <v>111</v>
      </c>
      <c r="Q852">
        <v>40</v>
      </c>
      <c r="R852">
        <v>0</v>
      </c>
      <c r="S852">
        <v>0</v>
      </c>
      <c r="T852">
        <v>5</v>
      </c>
      <c r="U852" s="1" t="s">
        <v>2802</v>
      </c>
      <c r="V852">
        <v>0</v>
      </c>
      <c r="W852">
        <v>25</v>
      </c>
      <c r="X852">
        <v>8</v>
      </c>
      <c r="Y852">
        <v>0</v>
      </c>
      <c r="Z852" t="s">
        <v>111</v>
      </c>
      <c r="AA852">
        <v>0</v>
      </c>
      <c r="AB852" t="s">
        <v>111</v>
      </c>
      <c r="AC852">
        <v>0</v>
      </c>
      <c r="AD852" t="s">
        <v>427</v>
      </c>
      <c r="AE852">
        <v>0</v>
      </c>
      <c r="AF852">
        <v>0</v>
      </c>
      <c r="AG852" t="s">
        <v>111</v>
      </c>
      <c r="AH852" t="s">
        <v>113</v>
      </c>
      <c r="AI852" t="s">
        <v>111</v>
      </c>
      <c r="AJ852" t="s">
        <v>111</v>
      </c>
      <c r="AK852" t="s">
        <v>111</v>
      </c>
      <c r="AL852" t="s">
        <v>111</v>
      </c>
      <c r="AM852">
        <v>0</v>
      </c>
      <c r="AN852">
        <v>0</v>
      </c>
      <c r="AO852">
        <v>0</v>
      </c>
      <c r="AP852" t="s">
        <v>111</v>
      </c>
      <c r="AQ852" t="s">
        <v>111</v>
      </c>
      <c r="AR852" t="s">
        <v>111</v>
      </c>
      <c r="AS852" t="s">
        <v>111</v>
      </c>
      <c r="AT852" t="s">
        <v>111</v>
      </c>
      <c r="AU852" t="s">
        <v>111</v>
      </c>
      <c r="AV852" t="s">
        <v>111</v>
      </c>
      <c r="AW852" t="s">
        <v>111</v>
      </c>
      <c r="AX852" t="s">
        <v>111</v>
      </c>
      <c r="AY852" t="s">
        <v>111</v>
      </c>
      <c r="AZ852" t="s">
        <v>111</v>
      </c>
      <c r="BA852" t="s">
        <v>111</v>
      </c>
      <c r="BB852" t="s">
        <v>111</v>
      </c>
      <c r="BC852" t="s">
        <v>111</v>
      </c>
      <c r="BD852" t="s">
        <v>111</v>
      </c>
      <c r="BE852" t="s">
        <v>111</v>
      </c>
      <c r="BF852" t="s">
        <v>111</v>
      </c>
      <c r="BG852" t="s">
        <v>111</v>
      </c>
      <c r="BH852" t="s">
        <v>111</v>
      </c>
      <c r="BI852" t="s">
        <v>111</v>
      </c>
      <c r="BJ852" t="s">
        <v>111</v>
      </c>
      <c r="BK852" t="s">
        <v>111</v>
      </c>
      <c r="BL852" t="s">
        <v>111</v>
      </c>
      <c r="BM852" t="s">
        <v>111</v>
      </c>
      <c r="BN852" t="s">
        <v>111</v>
      </c>
      <c r="BO852" t="s">
        <v>111</v>
      </c>
      <c r="BP852" t="s">
        <v>111</v>
      </c>
      <c r="BQ852" t="s">
        <v>111</v>
      </c>
      <c r="BR852" t="s">
        <v>111</v>
      </c>
      <c r="BS852" t="s">
        <v>111</v>
      </c>
      <c r="BT852" t="s">
        <v>111</v>
      </c>
      <c r="BU852" t="s">
        <v>111</v>
      </c>
      <c r="BV852" t="s">
        <v>111</v>
      </c>
      <c r="BW852" t="s">
        <v>111</v>
      </c>
      <c r="BX852" t="s">
        <v>111</v>
      </c>
      <c r="BY852" t="s">
        <v>111</v>
      </c>
      <c r="BZ852" t="s">
        <v>111</v>
      </c>
      <c r="CA852" t="s">
        <v>111</v>
      </c>
      <c r="CB852" t="s">
        <v>111</v>
      </c>
      <c r="CC852" t="s">
        <v>111</v>
      </c>
      <c r="CD852" t="s">
        <v>111</v>
      </c>
      <c r="CE852" t="s">
        <v>111</v>
      </c>
      <c r="CF852" t="s">
        <v>111</v>
      </c>
      <c r="CG852" t="s">
        <v>111</v>
      </c>
      <c r="CH852" t="s">
        <v>111</v>
      </c>
      <c r="CI852" t="s">
        <v>111</v>
      </c>
      <c r="CJ852" t="s">
        <v>111</v>
      </c>
      <c r="CK852" t="s">
        <v>111</v>
      </c>
      <c r="CL852" t="s">
        <v>111</v>
      </c>
      <c r="CM852" t="s">
        <v>360</v>
      </c>
      <c r="CN852" t="s">
        <v>113</v>
      </c>
      <c r="CO852" t="s">
        <v>1929</v>
      </c>
      <c r="CP852" t="s">
        <v>111</v>
      </c>
      <c r="CQ852">
        <v>0</v>
      </c>
      <c r="CR852">
        <v>2100</v>
      </c>
      <c r="CS852">
        <v>300</v>
      </c>
      <c r="CT852" t="e">
        <f>-ALMACEN</f>
        <v>#NAME?</v>
      </c>
      <c r="CU852">
        <v>0</v>
      </c>
      <c r="CV852" t="s">
        <v>111</v>
      </c>
      <c r="CW852" t="s">
        <v>111</v>
      </c>
      <c r="CX852" t="s">
        <v>111</v>
      </c>
      <c r="CY852">
        <v>0</v>
      </c>
      <c r="CZ852" t="s">
        <v>111</v>
      </c>
      <c r="DA852" t="s">
        <v>111</v>
      </c>
      <c r="DB852" t="s">
        <v>111</v>
      </c>
      <c r="DC852" t="s">
        <v>111</v>
      </c>
    </row>
    <row r="853" spans="1:107">
      <c r="A853">
        <v>259</v>
      </c>
      <c r="B853" t="s">
        <v>162</v>
      </c>
      <c r="C853" t="s">
        <v>226</v>
      </c>
      <c r="D853" t="s">
        <v>2803</v>
      </c>
      <c r="E853" t="s">
        <v>2804</v>
      </c>
      <c r="F853" t="s">
        <v>431</v>
      </c>
      <c r="G853" t="s">
        <v>427</v>
      </c>
      <c r="H853">
        <v>1.5</v>
      </c>
      <c r="I853">
        <v>105</v>
      </c>
      <c r="J853">
        <v>0</v>
      </c>
      <c r="K853">
        <v>0</v>
      </c>
      <c r="L853" t="s">
        <v>117</v>
      </c>
      <c r="M853" t="s">
        <v>118</v>
      </c>
      <c r="N853">
        <v>40</v>
      </c>
      <c r="O853">
        <v>1</v>
      </c>
      <c r="P853" t="s">
        <v>138</v>
      </c>
      <c r="Q853">
        <v>40</v>
      </c>
      <c r="R853">
        <v>0</v>
      </c>
      <c r="S853">
        <v>0</v>
      </c>
      <c r="T853">
        <v>0</v>
      </c>
      <c r="U853" s="1" t="s">
        <v>2805</v>
      </c>
      <c r="V853">
        <v>0</v>
      </c>
      <c r="W853">
        <v>0</v>
      </c>
      <c r="X853">
        <v>1</v>
      </c>
      <c r="Y853">
        <v>0</v>
      </c>
      <c r="Z853" t="s">
        <v>111</v>
      </c>
      <c r="AA853">
        <v>0</v>
      </c>
      <c r="AB853" t="s">
        <v>111</v>
      </c>
      <c r="AC853">
        <v>0</v>
      </c>
      <c r="AD853" t="s">
        <v>427</v>
      </c>
      <c r="AE853">
        <v>5</v>
      </c>
      <c r="AF853">
        <v>2</v>
      </c>
      <c r="AG853">
        <v>22</v>
      </c>
      <c r="AH853" t="s">
        <v>113</v>
      </c>
      <c r="AI853">
        <v>45</v>
      </c>
      <c r="AJ853" t="s">
        <v>111</v>
      </c>
      <c r="AK853" t="s">
        <v>111</v>
      </c>
      <c r="AL853" t="s">
        <v>111</v>
      </c>
      <c r="AM853">
        <v>0</v>
      </c>
      <c r="AN853">
        <v>0</v>
      </c>
      <c r="AO853">
        <v>0</v>
      </c>
      <c r="AP853" t="s">
        <v>288</v>
      </c>
      <c r="AQ853" t="s">
        <v>111</v>
      </c>
      <c r="AR853" t="s">
        <v>111</v>
      </c>
      <c r="AS853" t="s">
        <v>111</v>
      </c>
      <c r="AT853" t="s">
        <v>184</v>
      </c>
      <c r="AU853" t="s">
        <v>111</v>
      </c>
      <c r="AV853" t="s">
        <v>111</v>
      </c>
      <c r="AW853" t="s">
        <v>111</v>
      </c>
      <c r="AX853" t="s">
        <v>188</v>
      </c>
      <c r="AY853" t="s">
        <v>111</v>
      </c>
      <c r="AZ853" t="s">
        <v>111</v>
      </c>
      <c r="BA853" t="s">
        <v>111</v>
      </c>
      <c r="BB853" t="s">
        <v>271</v>
      </c>
      <c r="BC853" t="s">
        <v>111</v>
      </c>
      <c r="BD853" t="s">
        <v>111</v>
      </c>
      <c r="BE853" t="s">
        <v>111</v>
      </c>
      <c r="BF853" t="s">
        <v>772</v>
      </c>
      <c r="BG853" t="s">
        <v>111</v>
      </c>
      <c r="BH853" t="s">
        <v>111</v>
      </c>
      <c r="BI853" t="s">
        <v>111</v>
      </c>
      <c r="BJ853" t="s">
        <v>111</v>
      </c>
      <c r="BK853" t="s">
        <v>111</v>
      </c>
      <c r="BL853" t="s">
        <v>111</v>
      </c>
      <c r="BM853" t="s">
        <v>111</v>
      </c>
      <c r="BN853" t="s">
        <v>111</v>
      </c>
      <c r="BO853" t="s">
        <v>111</v>
      </c>
      <c r="BP853" t="s">
        <v>111</v>
      </c>
      <c r="BQ853" t="s">
        <v>111</v>
      </c>
      <c r="BR853" t="s">
        <v>111</v>
      </c>
      <c r="BS853" t="s">
        <v>111</v>
      </c>
      <c r="BT853" t="s">
        <v>111</v>
      </c>
      <c r="BU853" t="s">
        <v>111</v>
      </c>
      <c r="BV853" t="s">
        <v>111</v>
      </c>
      <c r="BW853" t="s">
        <v>111</v>
      </c>
      <c r="BX853" t="s">
        <v>111</v>
      </c>
      <c r="BY853" t="s">
        <v>111</v>
      </c>
      <c r="BZ853" t="s">
        <v>111</v>
      </c>
      <c r="CA853" t="s">
        <v>111</v>
      </c>
      <c r="CB853" t="s">
        <v>111</v>
      </c>
      <c r="CC853" t="s">
        <v>111</v>
      </c>
      <c r="CD853" t="s">
        <v>111</v>
      </c>
      <c r="CE853" t="s">
        <v>111</v>
      </c>
      <c r="CF853" t="s">
        <v>111</v>
      </c>
      <c r="CG853" t="s">
        <v>111</v>
      </c>
      <c r="CH853" t="s">
        <v>111</v>
      </c>
      <c r="CI853" t="s">
        <v>111</v>
      </c>
      <c r="CJ853" t="s">
        <v>111</v>
      </c>
      <c r="CK853" t="s">
        <v>111</v>
      </c>
      <c r="CL853" t="s">
        <v>153</v>
      </c>
      <c r="CM853" t="s">
        <v>198</v>
      </c>
      <c r="CN853" t="s">
        <v>113</v>
      </c>
      <c r="CO853" t="s">
        <v>2681</v>
      </c>
      <c r="CP853" t="s">
        <v>433</v>
      </c>
      <c r="CQ853">
        <v>0</v>
      </c>
      <c r="CR853">
        <v>2100</v>
      </c>
      <c r="CS853">
        <v>300</v>
      </c>
      <c r="CT853" s="1" t="s">
        <v>2806</v>
      </c>
      <c r="CU853">
        <v>0</v>
      </c>
      <c r="CV853" t="s">
        <v>111</v>
      </c>
      <c r="CW853" t="s">
        <v>111</v>
      </c>
      <c r="CX853" t="s">
        <v>111</v>
      </c>
      <c r="CY853">
        <v>0</v>
      </c>
      <c r="CZ853" t="s">
        <v>111</v>
      </c>
      <c r="DA853" t="s">
        <v>111</v>
      </c>
      <c r="DB853" t="s">
        <v>111</v>
      </c>
      <c r="DC853" t="s">
        <v>111</v>
      </c>
    </row>
    <row r="854" spans="1:107">
      <c r="A854">
        <v>343</v>
      </c>
      <c r="B854" t="s">
        <v>162</v>
      </c>
      <c r="C854" t="s">
        <v>226</v>
      </c>
      <c r="D854" t="s">
        <v>2683</v>
      </c>
      <c r="E854" t="s">
        <v>2807</v>
      </c>
      <c r="F854" t="s">
        <v>431</v>
      </c>
      <c r="G854" t="s">
        <v>427</v>
      </c>
      <c r="H854">
        <v>1.5</v>
      </c>
      <c r="I854">
        <v>98</v>
      </c>
      <c r="J854">
        <v>0</v>
      </c>
      <c r="K854">
        <v>0</v>
      </c>
      <c r="L854" t="s">
        <v>117</v>
      </c>
      <c r="M854" t="s">
        <v>118</v>
      </c>
      <c r="N854">
        <v>40</v>
      </c>
      <c r="O854">
        <v>1</v>
      </c>
      <c r="P854" t="s">
        <v>138</v>
      </c>
      <c r="Q854">
        <v>40</v>
      </c>
      <c r="R854">
        <v>0</v>
      </c>
      <c r="S854">
        <v>0</v>
      </c>
      <c r="T854">
        <v>0</v>
      </c>
      <c r="U854" t="s">
        <v>2685</v>
      </c>
      <c r="V854">
        <v>0</v>
      </c>
      <c r="W854">
        <v>0</v>
      </c>
      <c r="X854">
        <v>1</v>
      </c>
      <c r="Y854">
        <v>0</v>
      </c>
      <c r="Z854" t="s">
        <v>111</v>
      </c>
      <c r="AA854">
        <v>0</v>
      </c>
      <c r="AB854" t="s">
        <v>111</v>
      </c>
      <c r="AC854">
        <v>0</v>
      </c>
      <c r="AD854" t="s">
        <v>427</v>
      </c>
      <c r="AE854">
        <v>6</v>
      </c>
      <c r="AF854">
        <v>1</v>
      </c>
      <c r="AG854" t="s">
        <v>678</v>
      </c>
      <c r="AH854" t="s">
        <v>113</v>
      </c>
      <c r="AI854">
        <v>42</v>
      </c>
      <c r="AJ854" t="s">
        <v>111</v>
      </c>
      <c r="AK854" t="s">
        <v>111</v>
      </c>
      <c r="AL854" t="s">
        <v>111</v>
      </c>
      <c r="AM854">
        <v>0</v>
      </c>
      <c r="AN854">
        <v>0</v>
      </c>
      <c r="AO854">
        <v>0</v>
      </c>
      <c r="AP854" t="s">
        <v>288</v>
      </c>
      <c r="AQ854" t="s">
        <v>111</v>
      </c>
      <c r="AR854" t="s">
        <v>111</v>
      </c>
      <c r="AS854" t="s">
        <v>111</v>
      </c>
      <c r="AT854" t="s">
        <v>184</v>
      </c>
      <c r="AU854" t="s">
        <v>111</v>
      </c>
      <c r="AV854" t="s">
        <v>111</v>
      </c>
      <c r="AW854" t="s">
        <v>111</v>
      </c>
      <c r="AX854" t="s">
        <v>188</v>
      </c>
      <c r="AY854" t="s">
        <v>111</v>
      </c>
      <c r="AZ854" t="s">
        <v>111</v>
      </c>
      <c r="BA854" t="s">
        <v>111</v>
      </c>
      <c r="BB854" t="s">
        <v>271</v>
      </c>
      <c r="BC854" t="s">
        <v>111</v>
      </c>
      <c r="BD854" t="s">
        <v>111</v>
      </c>
      <c r="BE854" t="s">
        <v>111</v>
      </c>
      <c r="BF854" t="s">
        <v>772</v>
      </c>
      <c r="BG854" t="s">
        <v>111</v>
      </c>
      <c r="BH854" t="s">
        <v>111</v>
      </c>
      <c r="BI854" t="s">
        <v>111</v>
      </c>
      <c r="BJ854" t="s">
        <v>2705</v>
      </c>
      <c r="BK854" t="s">
        <v>111</v>
      </c>
      <c r="BL854" t="s">
        <v>111</v>
      </c>
      <c r="BM854" t="s">
        <v>111</v>
      </c>
      <c r="BN854" t="s">
        <v>111</v>
      </c>
      <c r="BO854" t="s">
        <v>111</v>
      </c>
      <c r="BP854" t="s">
        <v>111</v>
      </c>
      <c r="BQ854" t="s">
        <v>111</v>
      </c>
      <c r="BR854" t="s">
        <v>111</v>
      </c>
      <c r="BS854" t="s">
        <v>111</v>
      </c>
      <c r="BT854" t="s">
        <v>111</v>
      </c>
      <c r="BU854" t="s">
        <v>111</v>
      </c>
      <c r="BV854" t="s">
        <v>111</v>
      </c>
      <c r="BW854" t="s">
        <v>111</v>
      </c>
      <c r="BX854" t="s">
        <v>111</v>
      </c>
      <c r="BY854" t="s">
        <v>111</v>
      </c>
      <c r="BZ854" t="s">
        <v>111</v>
      </c>
      <c r="CA854" t="s">
        <v>111</v>
      </c>
      <c r="CB854" t="s">
        <v>111</v>
      </c>
      <c r="CC854" t="s">
        <v>111</v>
      </c>
      <c r="CD854" t="s">
        <v>111</v>
      </c>
      <c r="CE854" t="s">
        <v>111</v>
      </c>
      <c r="CF854" t="s">
        <v>111</v>
      </c>
      <c r="CG854" t="s">
        <v>111</v>
      </c>
      <c r="CH854" t="s">
        <v>111</v>
      </c>
      <c r="CI854" t="s">
        <v>111</v>
      </c>
      <c r="CJ854" t="s">
        <v>111</v>
      </c>
      <c r="CK854" t="s">
        <v>111</v>
      </c>
      <c r="CL854" t="s">
        <v>153</v>
      </c>
      <c r="CM854" t="s">
        <v>198</v>
      </c>
      <c r="CN854" t="s">
        <v>113</v>
      </c>
      <c r="CO854" t="s">
        <v>2681</v>
      </c>
      <c r="CP854" t="s">
        <v>433</v>
      </c>
      <c r="CQ854">
        <v>68</v>
      </c>
      <c r="CR854">
        <v>2100</v>
      </c>
      <c r="CS854">
        <v>300</v>
      </c>
      <c r="CT854" s="1" t="s">
        <v>2808</v>
      </c>
      <c r="CU854">
        <v>0</v>
      </c>
      <c r="CV854" t="s">
        <v>111</v>
      </c>
      <c r="CW854" t="s">
        <v>111</v>
      </c>
      <c r="CX854" t="s">
        <v>111</v>
      </c>
      <c r="CY854">
        <v>0</v>
      </c>
      <c r="CZ854" t="s">
        <v>111</v>
      </c>
      <c r="DA854" t="s">
        <v>111</v>
      </c>
      <c r="DB854" t="s">
        <v>111</v>
      </c>
      <c r="DC854" t="s">
        <v>111</v>
      </c>
    </row>
    <row r="855" spans="1:107">
      <c r="A855">
        <v>224</v>
      </c>
      <c r="B855" t="s">
        <v>162</v>
      </c>
      <c r="C855" t="s">
        <v>226</v>
      </c>
      <c r="D855" t="s">
        <v>2729</v>
      </c>
      <c r="E855" t="s">
        <v>2809</v>
      </c>
      <c r="F855" t="s">
        <v>431</v>
      </c>
      <c r="G855" t="s">
        <v>427</v>
      </c>
      <c r="H855">
        <v>1.5</v>
      </c>
      <c r="I855">
        <v>56</v>
      </c>
      <c r="J855">
        <v>0</v>
      </c>
      <c r="K855">
        <v>0</v>
      </c>
      <c r="L855" t="s">
        <v>117</v>
      </c>
      <c r="M855" t="s">
        <v>118</v>
      </c>
      <c r="N855">
        <v>40</v>
      </c>
      <c r="O855">
        <v>1</v>
      </c>
      <c r="P855" t="s">
        <v>138</v>
      </c>
      <c r="Q855">
        <v>40</v>
      </c>
      <c r="R855">
        <v>0</v>
      </c>
      <c r="S855">
        <v>0</v>
      </c>
      <c r="T855">
        <v>0</v>
      </c>
      <c r="U855" t="s">
        <v>2685</v>
      </c>
      <c r="V855">
        <v>0</v>
      </c>
      <c r="W855">
        <v>0</v>
      </c>
      <c r="X855">
        <v>1</v>
      </c>
      <c r="Y855">
        <v>0</v>
      </c>
      <c r="Z855" t="s">
        <v>111</v>
      </c>
      <c r="AA855">
        <v>0</v>
      </c>
      <c r="AB855" t="s">
        <v>111</v>
      </c>
      <c r="AC855">
        <v>0</v>
      </c>
      <c r="AD855" t="s">
        <v>427</v>
      </c>
      <c r="AE855">
        <v>5</v>
      </c>
      <c r="AF855">
        <v>2</v>
      </c>
      <c r="AG855">
        <v>24.5</v>
      </c>
      <c r="AH855" t="s">
        <v>111</v>
      </c>
      <c r="AI855">
        <v>50</v>
      </c>
      <c r="AJ855" t="s">
        <v>111</v>
      </c>
      <c r="AK855" t="s">
        <v>111</v>
      </c>
      <c r="AL855" t="s">
        <v>111</v>
      </c>
      <c r="AM855">
        <v>0</v>
      </c>
      <c r="AN855">
        <v>0</v>
      </c>
      <c r="AO855">
        <v>0</v>
      </c>
      <c r="AP855" t="s">
        <v>288</v>
      </c>
      <c r="AQ855" t="s">
        <v>111</v>
      </c>
      <c r="AR855" t="s">
        <v>111</v>
      </c>
      <c r="AS855" t="s">
        <v>111</v>
      </c>
      <c r="AT855" t="s">
        <v>184</v>
      </c>
      <c r="AU855" t="s">
        <v>111</v>
      </c>
      <c r="AV855" t="s">
        <v>111</v>
      </c>
      <c r="AW855" t="s">
        <v>111</v>
      </c>
      <c r="AX855" t="s">
        <v>188</v>
      </c>
      <c r="AY855" t="s">
        <v>111</v>
      </c>
      <c r="AZ855" t="s">
        <v>111</v>
      </c>
      <c r="BA855" t="s">
        <v>111</v>
      </c>
      <c r="BB855" t="s">
        <v>271</v>
      </c>
      <c r="BC855" t="s">
        <v>111</v>
      </c>
      <c r="BD855" t="s">
        <v>111</v>
      </c>
      <c r="BE855" t="s">
        <v>111</v>
      </c>
      <c r="BF855" t="s">
        <v>772</v>
      </c>
      <c r="BG855" t="s">
        <v>111</v>
      </c>
      <c r="BH855" t="s">
        <v>111</v>
      </c>
      <c r="BI855" t="s">
        <v>111</v>
      </c>
      <c r="BJ855" t="s">
        <v>111</v>
      </c>
      <c r="BK855" t="s">
        <v>111</v>
      </c>
      <c r="BL855" t="s">
        <v>111</v>
      </c>
      <c r="BM855" t="s">
        <v>111</v>
      </c>
      <c r="BN855" t="s">
        <v>111</v>
      </c>
      <c r="BO855" t="s">
        <v>111</v>
      </c>
      <c r="BP855" t="s">
        <v>111</v>
      </c>
      <c r="BQ855" t="s">
        <v>111</v>
      </c>
      <c r="BR855" t="s">
        <v>111</v>
      </c>
      <c r="BS855" t="s">
        <v>111</v>
      </c>
      <c r="BT855" t="s">
        <v>111</v>
      </c>
      <c r="BU855" t="s">
        <v>111</v>
      </c>
      <c r="BV855" t="s">
        <v>111</v>
      </c>
      <c r="BW855" t="s">
        <v>111</v>
      </c>
      <c r="BX855" t="s">
        <v>111</v>
      </c>
      <c r="BY855" t="s">
        <v>111</v>
      </c>
      <c r="BZ855" t="s">
        <v>111</v>
      </c>
      <c r="CA855" t="s">
        <v>111</v>
      </c>
      <c r="CB855" t="s">
        <v>111</v>
      </c>
      <c r="CC855" t="s">
        <v>111</v>
      </c>
      <c r="CD855" t="s">
        <v>111</v>
      </c>
      <c r="CE855" t="s">
        <v>111</v>
      </c>
      <c r="CF855" t="s">
        <v>111</v>
      </c>
      <c r="CG855" t="s">
        <v>111</v>
      </c>
      <c r="CH855" t="s">
        <v>111</v>
      </c>
      <c r="CI855" t="s">
        <v>111</v>
      </c>
      <c r="CJ855" t="s">
        <v>111</v>
      </c>
      <c r="CK855" t="s">
        <v>111</v>
      </c>
      <c r="CL855" t="s">
        <v>153</v>
      </c>
      <c r="CM855" t="s">
        <v>198</v>
      </c>
      <c r="CN855" t="s">
        <v>113</v>
      </c>
      <c r="CO855" t="s">
        <v>111</v>
      </c>
      <c r="CP855" t="s">
        <v>433</v>
      </c>
      <c r="CQ855">
        <v>0</v>
      </c>
      <c r="CR855">
        <v>0</v>
      </c>
      <c r="CS855">
        <v>200</v>
      </c>
      <c r="CT855" t="s">
        <v>168</v>
      </c>
      <c r="CU855">
        <v>0</v>
      </c>
      <c r="CV855" t="s">
        <v>111</v>
      </c>
      <c r="CW855" t="s">
        <v>111</v>
      </c>
      <c r="CX855" t="s">
        <v>111</v>
      </c>
      <c r="CY855">
        <v>0</v>
      </c>
      <c r="CZ855" t="s">
        <v>111</v>
      </c>
      <c r="DA855" t="s">
        <v>111</v>
      </c>
      <c r="DB855" t="s">
        <v>111</v>
      </c>
      <c r="DC855" t="s">
        <v>111</v>
      </c>
    </row>
    <row r="856" spans="1:107">
      <c r="A856">
        <v>462</v>
      </c>
      <c r="B856" t="s">
        <v>162</v>
      </c>
      <c r="C856" t="s">
        <v>226</v>
      </c>
      <c r="D856" t="s">
        <v>2810</v>
      </c>
      <c r="E856" t="s">
        <v>2811</v>
      </c>
      <c r="F856" t="s">
        <v>2812</v>
      </c>
      <c r="G856" t="s">
        <v>427</v>
      </c>
      <c r="H856">
        <v>3</v>
      </c>
      <c r="I856">
        <v>70</v>
      </c>
      <c r="J856">
        <v>0</v>
      </c>
      <c r="K856">
        <v>0</v>
      </c>
      <c r="L856" t="s">
        <v>117</v>
      </c>
      <c r="M856" t="s">
        <v>118</v>
      </c>
      <c r="N856">
        <v>40</v>
      </c>
      <c r="O856">
        <v>1</v>
      </c>
      <c r="P856" t="s">
        <v>138</v>
      </c>
      <c r="Q856">
        <v>15</v>
      </c>
      <c r="R856">
        <v>0</v>
      </c>
      <c r="S856">
        <v>0</v>
      </c>
      <c r="T856">
        <v>0</v>
      </c>
      <c r="U856" t="s">
        <v>2685</v>
      </c>
      <c r="V856">
        <v>0</v>
      </c>
      <c r="W856">
        <v>0</v>
      </c>
      <c r="X856">
        <v>1</v>
      </c>
      <c r="Y856">
        <v>0</v>
      </c>
      <c r="Z856" t="s">
        <v>184</v>
      </c>
      <c r="AA856">
        <v>0</v>
      </c>
      <c r="AB856" t="s">
        <v>111</v>
      </c>
      <c r="AC856">
        <v>0</v>
      </c>
      <c r="AD856" t="s">
        <v>427</v>
      </c>
      <c r="AE856">
        <v>3</v>
      </c>
      <c r="AF856">
        <v>1</v>
      </c>
      <c r="AG856" t="s">
        <v>111</v>
      </c>
      <c r="AH856" t="s">
        <v>111</v>
      </c>
      <c r="AI856">
        <v>60</v>
      </c>
      <c r="AJ856" t="s">
        <v>111</v>
      </c>
      <c r="AK856" t="s">
        <v>111</v>
      </c>
      <c r="AL856" t="s">
        <v>111</v>
      </c>
      <c r="AM856">
        <v>0</v>
      </c>
      <c r="AN856">
        <v>0</v>
      </c>
      <c r="AO856">
        <v>0</v>
      </c>
      <c r="AP856" t="s">
        <v>111</v>
      </c>
      <c r="AQ856" t="s">
        <v>111</v>
      </c>
      <c r="AR856" t="s">
        <v>111</v>
      </c>
      <c r="AS856" t="s">
        <v>111</v>
      </c>
      <c r="AT856" t="s">
        <v>111</v>
      </c>
      <c r="AU856" t="s">
        <v>111</v>
      </c>
      <c r="AV856" t="s">
        <v>111</v>
      </c>
      <c r="AW856" t="s">
        <v>111</v>
      </c>
      <c r="AX856" t="s">
        <v>111</v>
      </c>
      <c r="AY856" t="s">
        <v>111</v>
      </c>
      <c r="AZ856" t="s">
        <v>111</v>
      </c>
      <c r="BA856" t="s">
        <v>111</v>
      </c>
      <c r="BB856" t="s">
        <v>111</v>
      </c>
      <c r="BC856" t="s">
        <v>111</v>
      </c>
      <c r="BD856" t="s">
        <v>111</v>
      </c>
      <c r="BE856" t="s">
        <v>111</v>
      </c>
      <c r="BF856" t="s">
        <v>111</v>
      </c>
      <c r="BG856" t="s">
        <v>111</v>
      </c>
      <c r="BH856" t="s">
        <v>111</v>
      </c>
      <c r="BI856" t="s">
        <v>111</v>
      </c>
      <c r="BJ856" t="s">
        <v>111</v>
      </c>
      <c r="BK856" t="s">
        <v>111</v>
      </c>
      <c r="BL856" t="s">
        <v>111</v>
      </c>
      <c r="BM856" t="s">
        <v>111</v>
      </c>
      <c r="BN856" t="s">
        <v>111</v>
      </c>
      <c r="BO856" t="s">
        <v>111</v>
      </c>
      <c r="BP856" t="s">
        <v>111</v>
      </c>
      <c r="BQ856" t="s">
        <v>111</v>
      </c>
      <c r="BR856" t="s">
        <v>111</v>
      </c>
      <c r="BS856" t="s">
        <v>111</v>
      </c>
      <c r="BT856" t="s">
        <v>111</v>
      </c>
      <c r="BU856" t="s">
        <v>111</v>
      </c>
      <c r="BV856" t="s">
        <v>111</v>
      </c>
      <c r="BW856" t="s">
        <v>111</v>
      </c>
      <c r="BX856" t="s">
        <v>111</v>
      </c>
      <c r="BY856" t="s">
        <v>111</v>
      </c>
      <c r="BZ856" t="s">
        <v>111</v>
      </c>
      <c r="CA856" t="s">
        <v>111</v>
      </c>
      <c r="CB856" t="s">
        <v>111</v>
      </c>
      <c r="CC856" t="s">
        <v>111</v>
      </c>
      <c r="CD856" t="s">
        <v>111</v>
      </c>
      <c r="CE856" t="s">
        <v>111</v>
      </c>
      <c r="CF856" t="s">
        <v>111</v>
      </c>
      <c r="CG856" t="s">
        <v>111</v>
      </c>
      <c r="CH856" t="s">
        <v>111</v>
      </c>
      <c r="CI856" t="s">
        <v>111</v>
      </c>
      <c r="CJ856" t="s">
        <v>111</v>
      </c>
      <c r="CK856" t="s">
        <v>111</v>
      </c>
      <c r="CL856" s="1" t="s">
        <v>2813</v>
      </c>
      <c r="CM856" t="s">
        <v>111</v>
      </c>
      <c r="CN856" t="s">
        <v>111</v>
      </c>
      <c r="CO856" t="s">
        <v>111</v>
      </c>
      <c r="CP856" t="s">
        <v>111</v>
      </c>
      <c r="CQ856">
        <v>0</v>
      </c>
      <c r="CR856">
        <v>0</v>
      </c>
      <c r="CS856">
        <v>0</v>
      </c>
      <c r="CT856" t="s">
        <v>111</v>
      </c>
      <c r="CU856">
        <v>0</v>
      </c>
      <c r="CV856" t="s">
        <v>111</v>
      </c>
      <c r="CW856" t="s">
        <v>111</v>
      </c>
      <c r="CX856" t="s">
        <v>111</v>
      </c>
      <c r="CY856">
        <v>0</v>
      </c>
      <c r="CZ856" t="s">
        <v>111</v>
      </c>
      <c r="DA856" t="s">
        <v>111</v>
      </c>
      <c r="DB856" t="s">
        <v>111</v>
      </c>
      <c r="DC856" t="s">
        <v>111</v>
      </c>
    </row>
    <row r="857" spans="1:107">
      <c r="A857">
        <v>1665</v>
      </c>
      <c r="B857" t="s">
        <v>107</v>
      </c>
      <c r="C857" t="s">
        <v>114</v>
      </c>
      <c r="D857" t="s">
        <v>476</v>
      </c>
      <c r="E857" t="s">
        <v>2814</v>
      </c>
      <c r="F857" t="s">
        <v>358</v>
      </c>
      <c r="G857" t="s">
        <v>427</v>
      </c>
      <c r="H857">
        <v>2.7</v>
      </c>
      <c r="I857">
        <v>71</v>
      </c>
      <c r="J857">
        <v>0</v>
      </c>
      <c r="K857">
        <v>0</v>
      </c>
      <c r="L857" t="s">
        <v>117</v>
      </c>
      <c r="M857" t="s">
        <v>118</v>
      </c>
      <c r="N857">
        <v>39</v>
      </c>
      <c r="O857">
        <v>1</v>
      </c>
      <c r="P857" t="s">
        <v>111</v>
      </c>
      <c r="Q857">
        <v>83</v>
      </c>
      <c r="R857">
        <v>0</v>
      </c>
      <c r="S857">
        <v>0</v>
      </c>
      <c r="T857">
        <v>0</v>
      </c>
      <c r="U857" t="e">
        <f>-REFILADO</f>
        <v>#NAME?</v>
      </c>
      <c r="V857">
        <v>0</v>
      </c>
      <c r="W857">
        <v>25</v>
      </c>
      <c r="X857">
        <v>10</v>
      </c>
      <c r="Y857">
        <v>0</v>
      </c>
      <c r="Z857" t="s">
        <v>111</v>
      </c>
      <c r="AA857">
        <v>0</v>
      </c>
      <c r="AB857" t="s">
        <v>111</v>
      </c>
      <c r="AC857">
        <v>0</v>
      </c>
      <c r="AD857" t="s">
        <v>416</v>
      </c>
      <c r="AE857">
        <v>0</v>
      </c>
      <c r="AF857">
        <v>0</v>
      </c>
      <c r="AG857" t="s">
        <v>111</v>
      </c>
      <c r="AH857" t="s">
        <v>128</v>
      </c>
      <c r="AI857" t="s">
        <v>111</v>
      </c>
      <c r="AJ857" t="s">
        <v>111</v>
      </c>
      <c r="AK857" t="s">
        <v>111</v>
      </c>
      <c r="AL857" t="s">
        <v>111</v>
      </c>
      <c r="AM857">
        <v>0</v>
      </c>
      <c r="AN857">
        <v>0</v>
      </c>
      <c r="AO857">
        <v>0</v>
      </c>
      <c r="AP857" t="s">
        <v>111</v>
      </c>
      <c r="AQ857" t="s">
        <v>111</v>
      </c>
      <c r="AR857" t="s">
        <v>111</v>
      </c>
      <c r="AS857" t="s">
        <v>111</v>
      </c>
      <c r="AT857" t="s">
        <v>111</v>
      </c>
      <c r="AU857" t="s">
        <v>111</v>
      </c>
      <c r="AV857" t="s">
        <v>111</v>
      </c>
      <c r="AW857" t="s">
        <v>111</v>
      </c>
      <c r="AX857" t="s">
        <v>111</v>
      </c>
      <c r="AY857" t="s">
        <v>111</v>
      </c>
      <c r="AZ857" t="s">
        <v>111</v>
      </c>
      <c r="BA857" t="s">
        <v>111</v>
      </c>
      <c r="BB857" t="s">
        <v>111</v>
      </c>
      <c r="BC857" t="s">
        <v>111</v>
      </c>
      <c r="BD857" t="s">
        <v>111</v>
      </c>
      <c r="BE857" t="s">
        <v>111</v>
      </c>
      <c r="BF857" t="s">
        <v>111</v>
      </c>
      <c r="BG857" t="s">
        <v>111</v>
      </c>
      <c r="BH857" t="s">
        <v>111</v>
      </c>
      <c r="BI857" t="s">
        <v>111</v>
      </c>
      <c r="BJ857" t="s">
        <v>111</v>
      </c>
      <c r="BK857" t="s">
        <v>111</v>
      </c>
      <c r="BL857" t="s">
        <v>111</v>
      </c>
      <c r="BM857" t="s">
        <v>111</v>
      </c>
      <c r="BN857" t="s">
        <v>111</v>
      </c>
      <c r="BO857" t="s">
        <v>111</v>
      </c>
      <c r="BP857" t="s">
        <v>111</v>
      </c>
      <c r="BQ857" t="s">
        <v>111</v>
      </c>
      <c r="BR857" t="s">
        <v>111</v>
      </c>
      <c r="BS857" t="s">
        <v>111</v>
      </c>
      <c r="BT857" t="s">
        <v>111</v>
      </c>
      <c r="BU857" t="s">
        <v>111</v>
      </c>
      <c r="BV857" t="s">
        <v>111</v>
      </c>
      <c r="BW857" t="s">
        <v>111</v>
      </c>
      <c r="BX857" t="s">
        <v>111</v>
      </c>
      <c r="BY857" t="s">
        <v>111</v>
      </c>
      <c r="BZ857" t="s">
        <v>111</v>
      </c>
      <c r="CA857" t="s">
        <v>111</v>
      </c>
      <c r="CB857" t="s">
        <v>111</v>
      </c>
      <c r="CC857" t="s">
        <v>111</v>
      </c>
      <c r="CD857" t="s">
        <v>111</v>
      </c>
      <c r="CE857" t="s">
        <v>111</v>
      </c>
      <c r="CF857" t="s">
        <v>111</v>
      </c>
      <c r="CG857" t="s">
        <v>111</v>
      </c>
      <c r="CH857" t="s">
        <v>111</v>
      </c>
      <c r="CI857" t="s">
        <v>111</v>
      </c>
      <c r="CJ857" t="s">
        <v>111</v>
      </c>
      <c r="CK857" t="s">
        <v>111</v>
      </c>
      <c r="CL857" t="s">
        <v>111</v>
      </c>
      <c r="CM857" t="s">
        <v>111</v>
      </c>
      <c r="CN857" t="s">
        <v>111</v>
      </c>
      <c r="CO857" t="s">
        <v>111</v>
      </c>
      <c r="CP857" t="s">
        <v>111</v>
      </c>
      <c r="CQ857">
        <v>0</v>
      </c>
      <c r="CR857">
        <v>0</v>
      </c>
      <c r="CS857">
        <v>0</v>
      </c>
      <c r="CT857" t="s">
        <v>111</v>
      </c>
      <c r="CU857">
        <v>34</v>
      </c>
      <c r="CV857" t="e">
        <f>-CENTRADA</f>
        <v>#NAME?</v>
      </c>
      <c r="CX857">
        <v>-4</v>
      </c>
      <c r="CY857">
        <v>20</v>
      </c>
      <c r="CZ857" t="s">
        <v>117</v>
      </c>
      <c r="DA857" t="e">
        <f>-IMPRESION CENTRADA POR CUADRO CENTRAL</f>
        <v>#NAME?</v>
      </c>
      <c r="DB857" t="s">
        <v>111</v>
      </c>
      <c r="DC857" t="s">
        <v>111</v>
      </c>
    </row>
    <row r="858" spans="1:107">
      <c r="A858">
        <v>1406</v>
      </c>
      <c r="B858" t="s">
        <v>107</v>
      </c>
      <c r="C858" t="s">
        <v>114</v>
      </c>
      <c r="D858" t="s">
        <v>480</v>
      </c>
      <c r="E858" t="s">
        <v>2815</v>
      </c>
      <c r="F858" t="s">
        <v>358</v>
      </c>
      <c r="G858" t="s">
        <v>427</v>
      </c>
      <c r="H858">
        <v>2.7</v>
      </c>
      <c r="I858">
        <v>65</v>
      </c>
      <c r="J858">
        <v>0</v>
      </c>
      <c r="K858">
        <v>0</v>
      </c>
      <c r="L858" t="s">
        <v>117</v>
      </c>
      <c r="M858" t="s">
        <v>118</v>
      </c>
      <c r="N858">
        <v>40</v>
      </c>
      <c r="O858">
        <v>1</v>
      </c>
      <c r="P858" t="s">
        <v>111</v>
      </c>
      <c r="Q858">
        <v>20</v>
      </c>
      <c r="R858">
        <v>0</v>
      </c>
      <c r="S858">
        <v>0</v>
      </c>
      <c r="T858">
        <v>5</v>
      </c>
      <c r="U858" t="e">
        <f>-IMPRESION DARMA</f>
        <v>#NAME?</v>
      </c>
      <c r="V858">
        <v>0</v>
      </c>
      <c r="W858">
        <v>25</v>
      </c>
      <c r="X858">
        <v>10</v>
      </c>
      <c r="Y858">
        <v>0</v>
      </c>
      <c r="Z858" t="s">
        <v>111</v>
      </c>
      <c r="AA858">
        <v>0</v>
      </c>
      <c r="AB858" t="s">
        <v>111</v>
      </c>
      <c r="AC858">
        <v>0</v>
      </c>
      <c r="AD858" t="s">
        <v>416</v>
      </c>
      <c r="AE858">
        <v>0</v>
      </c>
      <c r="AF858">
        <v>0</v>
      </c>
      <c r="AG858" t="s">
        <v>111</v>
      </c>
      <c r="AH858" t="s">
        <v>128</v>
      </c>
      <c r="AI858" t="s">
        <v>111</v>
      </c>
      <c r="AJ858" t="s">
        <v>111</v>
      </c>
      <c r="AK858" t="s">
        <v>111</v>
      </c>
      <c r="AL858" t="s">
        <v>111</v>
      </c>
      <c r="AM858">
        <v>0</v>
      </c>
      <c r="AN858">
        <v>0</v>
      </c>
      <c r="AO858">
        <v>0</v>
      </c>
      <c r="AP858" t="s">
        <v>111</v>
      </c>
      <c r="AQ858" t="s">
        <v>111</v>
      </c>
      <c r="AR858" t="s">
        <v>111</v>
      </c>
      <c r="AS858" t="s">
        <v>111</v>
      </c>
      <c r="AT858" t="s">
        <v>111</v>
      </c>
      <c r="AU858" t="s">
        <v>111</v>
      </c>
      <c r="AV858" t="s">
        <v>111</v>
      </c>
      <c r="AW858" t="s">
        <v>111</v>
      </c>
      <c r="AX858" t="s">
        <v>111</v>
      </c>
      <c r="AY858" t="s">
        <v>111</v>
      </c>
      <c r="AZ858" t="s">
        <v>111</v>
      </c>
      <c r="BA858" t="s">
        <v>111</v>
      </c>
      <c r="BB858" t="s">
        <v>111</v>
      </c>
      <c r="BC858" t="s">
        <v>111</v>
      </c>
      <c r="BD858" t="s">
        <v>111</v>
      </c>
      <c r="BE858" t="s">
        <v>111</v>
      </c>
      <c r="BF858" t="s">
        <v>111</v>
      </c>
      <c r="BG858" t="s">
        <v>111</v>
      </c>
      <c r="BH858" t="s">
        <v>111</v>
      </c>
      <c r="BI858" t="s">
        <v>111</v>
      </c>
      <c r="BJ858" t="s">
        <v>111</v>
      </c>
      <c r="BK858" t="s">
        <v>111</v>
      </c>
      <c r="BL858" t="s">
        <v>111</v>
      </c>
      <c r="BM858" t="s">
        <v>111</v>
      </c>
      <c r="BN858" t="s">
        <v>111</v>
      </c>
      <c r="BO858" t="s">
        <v>111</v>
      </c>
      <c r="BP858" t="s">
        <v>111</v>
      </c>
      <c r="BQ858" t="s">
        <v>111</v>
      </c>
      <c r="BR858" t="s">
        <v>111</v>
      </c>
      <c r="BS858" t="s">
        <v>111</v>
      </c>
      <c r="BT858" t="s">
        <v>111</v>
      </c>
      <c r="BU858" t="s">
        <v>111</v>
      </c>
      <c r="BV858" t="s">
        <v>111</v>
      </c>
      <c r="BW858" t="s">
        <v>111</v>
      </c>
      <c r="BX858" t="s">
        <v>111</v>
      </c>
      <c r="BY858" t="s">
        <v>111</v>
      </c>
      <c r="BZ858" t="s">
        <v>111</v>
      </c>
      <c r="CA858" t="s">
        <v>111</v>
      </c>
      <c r="CB858" t="s">
        <v>111</v>
      </c>
      <c r="CC858" t="s">
        <v>111</v>
      </c>
      <c r="CD858" t="s">
        <v>111</v>
      </c>
      <c r="CE858" t="s">
        <v>111</v>
      </c>
      <c r="CF858" t="s">
        <v>111</v>
      </c>
      <c r="CG858" t="s">
        <v>111</v>
      </c>
      <c r="CH858" t="s">
        <v>111</v>
      </c>
      <c r="CI858" t="s">
        <v>111</v>
      </c>
      <c r="CJ858" t="s">
        <v>111</v>
      </c>
      <c r="CK858" t="s">
        <v>111</v>
      </c>
      <c r="CL858" t="e">
        <f>-ALMACEN</f>
        <v>#NAME?</v>
      </c>
      <c r="CM858" t="s">
        <v>111</v>
      </c>
      <c r="CN858" t="s">
        <v>111</v>
      </c>
      <c r="CO858" t="s">
        <v>111</v>
      </c>
      <c r="CP858" t="s">
        <v>111</v>
      </c>
      <c r="CQ858">
        <v>0</v>
      </c>
      <c r="CR858">
        <v>0</v>
      </c>
      <c r="CS858">
        <v>0</v>
      </c>
      <c r="CT858" t="s">
        <v>111</v>
      </c>
      <c r="CU858">
        <v>15.5</v>
      </c>
      <c r="CV858" t="s">
        <v>2816</v>
      </c>
      <c r="CW858" t="s">
        <v>2817</v>
      </c>
      <c r="CX858">
        <v>-2</v>
      </c>
      <c r="CY858">
        <v>13</v>
      </c>
      <c r="CZ858" t="s">
        <v>117</v>
      </c>
      <c r="DA858" s="1" t="s">
        <v>2818</v>
      </c>
      <c r="DB858" t="s">
        <v>111</v>
      </c>
      <c r="DC858" t="s">
        <v>111</v>
      </c>
    </row>
    <row r="859" spans="1:107">
      <c r="A859">
        <v>832</v>
      </c>
      <c r="B859" t="s">
        <v>107</v>
      </c>
      <c r="C859" t="s">
        <v>226</v>
      </c>
      <c r="D859" t="s">
        <v>2795</v>
      </c>
      <c r="E859" t="s">
        <v>2819</v>
      </c>
      <c r="F859" t="s">
        <v>431</v>
      </c>
      <c r="G859" t="s">
        <v>427</v>
      </c>
      <c r="H859">
        <v>1.5</v>
      </c>
      <c r="I859">
        <v>92</v>
      </c>
      <c r="J859">
        <v>0</v>
      </c>
      <c r="K859">
        <v>0</v>
      </c>
      <c r="L859" t="s">
        <v>117</v>
      </c>
      <c r="M859" t="s">
        <v>118</v>
      </c>
      <c r="N859">
        <v>40</v>
      </c>
      <c r="O859">
        <v>1</v>
      </c>
      <c r="P859" t="s">
        <v>138</v>
      </c>
      <c r="Q859">
        <v>40</v>
      </c>
      <c r="R859">
        <v>0</v>
      </c>
      <c r="S859">
        <v>0</v>
      </c>
      <c r="T859">
        <v>0</v>
      </c>
      <c r="U859" s="1" t="s">
        <v>2820</v>
      </c>
      <c r="V859">
        <v>0</v>
      </c>
      <c r="W859">
        <v>25</v>
      </c>
      <c r="X859">
        <v>0</v>
      </c>
      <c r="Y859">
        <v>0</v>
      </c>
      <c r="Z859" t="s">
        <v>111</v>
      </c>
      <c r="AA859">
        <v>0</v>
      </c>
      <c r="AB859" t="s">
        <v>111</v>
      </c>
      <c r="AC859">
        <v>0</v>
      </c>
      <c r="AD859" t="s">
        <v>427</v>
      </c>
      <c r="AE859">
        <v>5</v>
      </c>
      <c r="AF859">
        <v>1</v>
      </c>
      <c r="AG859" t="s">
        <v>678</v>
      </c>
      <c r="AH859" t="s">
        <v>113</v>
      </c>
      <c r="AI859">
        <v>42</v>
      </c>
      <c r="AJ859" t="s">
        <v>111</v>
      </c>
      <c r="AK859" t="s">
        <v>111</v>
      </c>
      <c r="AL859" t="s">
        <v>111</v>
      </c>
      <c r="AM859">
        <v>0</v>
      </c>
      <c r="AN859">
        <v>0</v>
      </c>
      <c r="AO859">
        <v>0</v>
      </c>
      <c r="AP859" t="s">
        <v>288</v>
      </c>
      <c r="AQ859" t="s">
        <v>111</v>
      </c>
      <c r="AR859" t="s">
        <v>111</v>
      </c>
      <c r="AS859" t="s">
        <v>111</v>
      </c>
      <c r="AT859" t="s">
        <v>184</v>
      </c>
      <c r="AU859" t="s">
        <v>111</v>
      </c>
      <c r="AV859" t="s">
        <v>111</v>
      </c>
      <c r="AW859" t="s">
        <v>111</v>
      </c>
      <c r="AX859" t="s">
        <v>188</v>
      </c>
      <c r="AY859" t="s">
        <v>111</v>
      </c>
      <c r="AZ859" t="s">
        <v>111</v>
      </c>
      <c r="BA859" t="s">
        <v>111</v>
      </c>
      <c r="BB859" t="s">
        <v>271</v>
      </c>
      <c r="BC859" t="s">
        <v>111</v>
      </c>
      <c r="BD859" t="s">
        <v>111</v>
      </c>
      <c r="BE859" t="s">
        <v>111</v>
      </c>
      <c r="BF859" t="s">
        <v>1983</v>
      </c>
      <c r="BG859" t="s">
        <v>111</v>
      </c>
      <c r="BH859" t="s">
        <v>111</v>
      </c>
      <c r="BI859" t="s">
        <v>111</v>
      </c>
      <c r="BJ859" t="s">
        <v>111</v>
      </c>
      <c r="BK859" t="s">
        <v>111</v>
      </c>
      <c r="BL859" t="s">
        <v>111</v>
      </c>
      <c r="BM859" t="s">
        <v>111</v>
      </c>
      <c r="BN859" t="s">
        <v>111</v>
      </c>
      <c r="BO859" t="s">
        <v>111</v>
      </c>
      <c r="BP859" t="s">
        <v>111</v>
      </c>
      <c r="BQ859" t="s">
        <v>111</v>
      </c>
      <c r="BR859" t="s">
        <v>111</v>
      </c>
      <c r="BS859" t="s">
        <v>111</v>
      </c>
      <c r="BT859" t="s">
        <v>111</v>
      </c>
      <c r="BU859" t="s">
        <v>111</v>
      </c>
      <c r="BV859" t="s">
        <v>111</v>
      </c>
      <c r="BW859" t="s">
        <v>111</v>
      </c>
      <c r="BX859" t="s">
        <v>111</v>
      </c>
      <c r="BY859" t="s">
        <v>111</v>
      </c>
      <c r="BZ859" t="s">
        <v>111</v>
      </c>
      <c r="CA859" t="s">
        <v>111</v>
      </c>
      <c r="CB859" t="s">
        <v>111</v>
      </c>
      <c r="CC859" t="s">
        <v>111</v>
      </c>
      <c r="CD859" t="s">
        <v>111</v>
      </c>
      <c r="CE859" t="s">
        <v>111</v>
      </c>
      <c r="CF859" t="s">
        <v>111</v>
      </c>
      <c r="CG859" t="s">
        <v>111</v>
      </c>
      <c r="CH859" t="s">
        <v>111</v>
      </c>
      <c r="CI859" t="s">
        <v>111</v>
      </c>
      <c r="CJ859" t="s">
        <v>111</v>
      </c>
      <c r="CK859" t="s">
        <v>111</v>
      </c>
      <c r="CL859" t="e">
        <f>-DESTINO SELLADO</f>
        <v>#NAME?</v>
      </c>
      <c r="CM859" t="s">
        <v>360</v>
      </c>
      <c r="CN859" t="s">
        <v>113</v>
      </c>
      <c r="CO859" t="s">
        <v>111</v>
      </c>
      <c r="CP859" t="s">
        <v>1166</v>
      </c>
      <c r="CQ859">
        <v>0</v>
      </c>
      <c r="CR859">
        <v>2100</v>
      </c>
      <c r="CS859">
        <v>300</v>
      </c>
      <c r="CT859" s="1" t="s">
        <v>2821</v>
      </c>
      <c r="CU859">
        <v>0</v>
      </c>
      <c r="CV859" t="s">
        <v>111</v>
      </c>
      <c r="CW859" t="s">
        <v>111</v>
      </c>
      <c r="CX859" t="s">
        <v>111</v>
      </c>
      <c r="CY859">
        <v>0</v>
      </c>
      <c r="CZ859" t="s">
        <v>111</v>
      </c>
      <c r="DA859" t="s">
        <v>111</v>
      </c>
      <c r="DB859" t="s">
        <v>111</v>
      </c>
      <c r="DC859" t="s">
        <v>111</v>
      </c>
    </row>
    <row r="860" spans="1:107">
      <c r="A860">
        <v>1405</v>
      </c>
      <c r="B860" t="s">
        <v>107</v>
      </c>
      <c r="C860" t="s">
        <v>114</v>
      </c>
      <c r="D860" t="s">
        <v>480</v>
      </c>
      <c r="E860" t="s">
        <v>2822</v>
      </c>
      <c r="F860" t="s">
        <v>358</v>
      </c>
      <c r="G860" t="s">
        <v>427</v>
      </c>
      <c r="H860">
        <v>2.7</v>
      </c>
      <c r="I860">
        <v>65</v>
      </c>
      <c r="J860">
        <v>0</v>
      </c>
      <c r="K860">
        <v>0</v>
      </c>
      <c r="L860" t="s">
        <v>117</v>
      </c>
      <c r="M860" t="s">
        <v>118</v>
      </c>
      <c r="N860">
        <v>40</v>
      </c>
      <c r="O860">
        <v>1</v>
      </c>
      <c r="P860" t="s">
        <v>111</v>
      </c>
      <c r="Q860">
        <v>52</v>
      </c>
      <c r="R860">
        <v>0</v>
      </c>
      <c r="S860">
        <v>0</v>
      </c>
      <c r="T860">
        <v>0</v>
      </c>
      <c r="U860" t="e">
        <f>-IMPRESION DARMA</f>
        <v>#NAME?</v>
      </c>
      <c r="V860">
        <v>0</v>
      </c>
      <c r="W860">
        <v>25</v>
      </c>
      <c r="X860">
        <v>10</v>
      </c>
      <c r="Y860">
        <v>0</v>
      </c>
      <c r="Z860" t="s">
        <v>111</v>
      </c>
      <c r="AA860">
        <v>0</v>
      </c>
      <c r="AB860" t="s">
        <v>111</v>
      </c>
      <c r="AC860">
        <v>0</v>
      </c>
      <c r="AD860" t="s">
        <v>416</v>
      </c>
      <c r="AE860">
        <v>0</v>
      </c>
      <c r="AF860">
        <v>0</v>
      </c>
      <c r="AG860" t="s">
        <v>111</v>
      </c>
      <c r="AH860" t="s">
        <v>128</v>
      </c>
      <c r="AI860" t="s">
        <v>111</v>
      </c>
      <c r="AJ860" t="s">
        <v>111</v>
      </c>
      <c r="AK860" t="s">
        <v>111</v>
      </c>
      <c r="AL860" t="s">
        <v>111</v>
      </c>
      <c r="AM860">
        <v>0</v>
      </c>
      <c r="AN860">
        <v>0</v>
      </c>
      <c r="AO860">
        <v>0</v>
      </c>
      <c r="AP860" t="s">
        <v>111</v>
      </c>
      <c r="AQ860" t="s">
        <v>111</v>
      </c>
      <c r="AR860" t="s">
        <v>111</v>
      </c>
      <c r="AS860" t="s">
        <v>111</v>
      </c>
      <c r="AT860" t="s">
        <v>111</v>
      </c>
      <c r="AU860" t="s">
        <v>111</v>
      </c>
      <c r="AV860" t="s">
        <v>111</v>
      </c>
      <c r="AW860" t="s">
        <v>111</v>
      </c>
      <c r="AX860" t="s">
        <v>111</v>
      </c>
      <c r="AY860" t="s">
        <v>111</v>
      </c>
      <c r="AZ860" t="s">
        <v>111</v>
      </c>
      <c r="BA860" t="s">
        <v>111</v>
      </c>
      <c r="BB860" t="s">
        <v>111</v>
      </c>
      <c r="BC860" t="s">
        <v>111</v>
      </c>
      <c r="BD860" t="s">
        <v>111</v>
      </c>
      <c r="BE860" t="s">
        <v>111</v>
      </c>
      <c r="BF860" t="s">
        <v>111</v>
      </c>
      <c r="BG860" t="s">
        <v>111</v>
      </c>
      <c r="BH860" t="s">
        <v>111</v>
      </c>
      <c r="BI860" t="s">
        <v>111</v>
      </c>
      <c r="BJ860" t="s">
        <v>111</v>
      </c>
      <c r="BK860" t="s">
        <v>111</v>
      </c>
      <c r="BL860" t="s">
        <v>111</v>
      </c>
      <c r="BM860" t="s">
        <v>111</v>
      </c>
      <c r="BN860" t="s">
        <v>111</v>
      </c>
      <c r="BO860" t="s">
        <v>111</v>
      </c>
      <c r="BP860" t="s">
        <v>111</v>
      </c>
      <c r="BQ860" t="s">
        <v>111</v>
      </c>
      <c r="BR860" t="s">
        <v>111</v>
      </c>
      <c r="BS860" t="s">
        <v>111</v>
      </c>
      <c r="BT860" t="s">
        <v>111</v>
      </c>
      <c r="BU860" t="s">
        <v>111</v>
      </c>
      <c r="BV860" t="s">
        <v>111</v>
      </c>
      <c r="BW860" t="s">
        <v>111</v>
      </c>
      <c r="BX860" t="s">
        <v>111</v>
      </c>
      <c r="BY860" t="s">
        <v>111</v>
      </c>
      <c r="BZ860" t="s">
        <v>111</v>
      </c>
      <c r="CA860" t="s">
        <v>111</v>
      </c>
      <c r="CB860" t="s">
        <v>111</v>
      </c>
      <c r="CC860" t="s">
        <v>111</v>
      </c>
      <c r="CD860" t="s">
        <v>111</v>
      </c>
      <c r="CE860" t="s">
        <v>111</v>
      </c>
      <c r="CF860" t="s">
        <v>111</v>
      </c>
      <c r="CG860" t="s">
        <v>111</v>
      </c>
      <c r="CH860" t="s">
        <v>111</v>
      </c>
      <c r="CI860" t="s">
        <v>111</v>
      </c>
      <c r="CJ860" t="s">
        <v>111</v>
      </c>
      <c r="CK860" t="s">
        <v>111</v>
      </c>
      <c r="CL860" t="e">
        <f>-ALMACEN</f>
        <v>#NAME?</v>
      </c>
      <c r="CM860" t="s">
        <v>111</v>
      </c>
      <c r="CN860" t="s">
        <v>111</v>
      </c>
      <c r="CO860" t="s">
        <v>111</v>
      </c>
      <c r="CP860" t="s">
        <v>111</v>
      </c>
      <c r="CQ860">
        <v>0</v>
      </c>
      <c r="CR860">
        <v>0</v>
      </c>
      <c r="CS860">
        <v>0</v>
      </c>
      <c r="CT860" t="s">
        <v>111</v>
      </c>
      <c r="CU860">
        <v>15.5</v>
      </c>
      <c r="CV860" t="e">
        <f>-CENTRADA</f>
        <v>#NAME?</v>
      </c>
      <c r="CW860" t="s">
        <v>111</v>
      </c>
      <c r="CX860">
        <v>-2</v>
      </c>
      <c r="CY860">
        <v>13</v>
      </c>
      <c r="CZ860" t="s">
        <v>117</v>
      </c>
      <c r="DA860" s="1" t="s">
        <v>2823</v>
      </c>
      <c r="DB860" t="s">
        <v>111</v>
      </c>
      <c r="DC860" t="s">
        <v>111</v>
      </c>
    </row>
    <row r="861" spans="1:107">
      <c r="A861">
        <v>727</v>
      </c>
      <c r="B861" t="s">
        <v>107</v>
      </c>
      <c r="C861" t="s">
        <v>226</v>
      </c>
      <c r="D861" t="s">
        <v>2683</v>
      </c>
      <c r="E861" t="s">
        <v>2824</v>
      </c>
      <c r="F861" t="s">
        <v>431</v>
      </c>
      <c r="G861" t="s">
        <v>427</v>
      </c>
      <c r="H861">
        <v>1.5</v>
      </c>
      <c r="I861">
        <v>98</v>
      </c>
      <c r="J861">
        <v>0</v>
      </c>
      <c r="K861">
        <v>0</v>
      </c>
      <c r="L861" t="s">
        <v>117</v>
      </c>
      <c r="M861" t="s">
        <v>118</v>
      </c>
      <c r="N861">
        <v>40</v>
      </c>
      <c r="O861">
        <v>1</v>
      </c>
      <c r="P861" t="s">
        <v>138</v>
      </c>
      <c r="Q861">
        <v>50</v>
      </c>
      <c r="R861">
        <v>0</v>
      </c>
      <c r="S861">
        <v>0</v>
      </c>
      <c r="T861">
        <v>10</v>
      </c>
      <c r="U861" s="1" t="s">
        <v>2825</v>
      </c>
      <c r="V861">
        <v>0</v>
      </c>
      <c r="W861">
        <v>25</v>
      </c>
      <c r="X861">
        <v>0</v>
      </c>
      <c r="Y861">
        <v>0</v>
      </c>
      <c r="Z861" t="s">
        <v>111</v>
      </c>
      <c r="AA861">
        <v>0</v>
      </c>
      <c r="AB861" t="s">
        <v>2772</v>
      </c>
      <c r="AC861">
        <v>0</v>
      </c>
      <c r="AD861" t="s">
        <v>427</v>
      </c>
      <c r="AE861">
        <v>5</v>
      </c>
      <c r="AF861">
        <v>1</v>
      </c>
      <c r="AG861" t="s">
        <v>678</v>
      </c>
      <c r="AH861" t="s">
        <v>113</v>
      </c>
      <c r="AI861">
        <v>42</v>
      </c>
      <c r="AJ861" t="s">
        <v>111</v>
      </c>
      <c r="AK861" t="s">
        <v>111</v>
      </c>
      <c r="AL861" t="s">
        <v>111</v>
      </c>
      <c r="AM861">
        <v>0</v>
      </c>
      <c r="AN861">
        <v>0</v>
      </c>
      <c r="AO861">
        <v>0</v>
      </c>
      <c r="AP861" t="s">
        <v>679</v>
      </c>
      <c r="AQ861" t="s">
        <v>111</v>
      </c>
      <c r="AR861" t="s">
        <v>111</v>
      </c>
      <c r="AS861" t="s">
        <v>111</v>
      </c>
      <c r="AT861" t="s">
        <v>184</v>
      </c>
      <c r="AU861" t="s">
        <v>111</v>
      </c>
      <c r="AV861" t="s">
        <v>111</v>
      </c>
      <c r="AW861" t="s">
        <v>111</v>
      </c>
      <c r="AX861" t="s">
        <v>188</v>
      </c>
      <c r="AY861" t="s">
        <v>111</v>
      </c>
      <c r="AZ861" t="s">
        <v>111</v>
      </c>
      <c r="BA861" t="s">
        <v>111</v>
      </c>
      <c r="BB861" t="s">
        <v>271</v>
      </c>
      <c r="BC861" t="s">
        <v>111</v>
      </c>
      <c r="BD861" t="s">
        <v>111</v>
      </c>
      <c r="BE861" t="s">
        <v>111</v>
      </c>
      <c r="BF861" t="s">
        <v>772</v>
      </c>
      <c r="BG861" t="s">
        <v>111</v>
      </c>
      <c r="BH861" t="s">
        <v>111</v>
      </c>
      <c r="BI861" t="s">
        <v>111</v>
      </c>
      <c r="BJ861" t="s">
        <v>111</v>
      </c>
      <c r="BK861" t="s">
        <v>111</v>
      </c>
      <c r="BL861" t="s">
        <v>111</v>
      </c>
      <c r="BM861" t="s">
        <v>111</v>
      </c>
      <c r="BN861" t="s">
        <v>679</v>
      </c>
      <c r="BO861" t="s">
        <v>111</v>
      </c>
      <c r="BP861" t="s">
        <v>111</v>
      </c>
      <c r="BQ861" t="s">
        <v>111</v>
      </c>
      <c r="BR861" t="s">
        <v>111</v>
      </c>
      <c r="BS861" t="s">
        <v>111</v>
      </c>
      <c r="BT861" t="s">
        <v>111</v>
      </c>
      <c r="BU861" t="s">
        <v>111</v>
      </c>
      <c r="BV861" t="s">
        <v>111</v>
      </c>
      <c r="BW861" t="s">
        <v>111</v>
      </c>
      <c r="BX861" t="s">
        <v>111</v>
      </c>
      <c r="BY861" t="s">
        <v>111</v>
      </c>
      <c r="BZ861" t="s">
        <v>111</v>
      </c>
      <c r="CA861" t="s">
        <v>111</v>
      </c>
      <c r="CB861" t="s">
        <v>111</v>
      </c>
      <c r="CC861" t="s">
        <v>111</v>
      </c>
      <c r="CD861" t="s">
        <v>111</v>
      </c>
      <c r="CE861" t="s">
        <v>111</v>
      </c>
      <c r="CF861" t="s">
        <v>111</v>
      </c>
      <c r="CG861" t="s">
        <v>111</v>
      </c>
      <c r="CH861" t="s">
        <v>111</v>
      </c>
      <c r="CI861" t="s">
        <v>111</v>
      </c>
      <c r="CJ861" t="s">
        <v>111</v>
      </c>
      <c r="CK861" t="s">
        <v>111</v>
      </c>
      <c r="CL861" t="e">
        <f>-DESTINO SELLADO</f>
        <v>#NAME?</v>
      </c>
      <c r="CM861" t="s">
        <v>360</v>
      </c>
      <c r="CN861" t="s">
        <v>113</v>
      </c>
      <c r="CO861" t="s">
        <v>2681</v>
      </c>
      <c r="CP861" t="s">
        <v>433</v>
      </c>
      <c r="CQ861">
        <v>68</v>
      </c>
      <c r="CR861">
        <v>2100</v>
      </c>
      <c r="CS861">
        <v>300</v>
      </c>
      <c r="CT861" s="1" t="s">
        <v>2826</v>
      </c>
      <c r="CU861">
        <v>0</v>
      </c>
      <c r="CV861" t="s">
        <v>111</v>
      </c>
      <c r="CW861" t="s">
        <v>111</v>
      </c>
      <c r="CX861" t="s">
        <v>111</v>
      </c>
      <c r="CY861">
        <v>0</v>
      </c>
      <c r="CZ861" t="s">
        <v>111</v>
      </c>
      <c r="DA861" t="s">
        <v>111</v>
      </c>
      <c r="DB861" t="s">
        <v>111</v>
      </c>
      <c r="DC861" t="s">
        <v>111</v>
      </c>
    </row>
    <row r="862" spans="1:107">
      <c r="A862">
        <v>1404</v>
      </c>
      <c r="B862" t="s">
        <v>107</v>
      </c>
      <c r="C862" t="s">
        <v>114</v>
      </c>
      <c r="D862" t="s">
        <v>480</v>
      </c>
      <c r="E862" t="s">
        <v>2827</v>
      </c>
      <c r="F862" t="s">
        <v>358</v>
      </c>
      <c r="G862" t="s">
        <v>427</v>
      </c>
      <c r="H862">
        <v>2.7</v>
      </c>
      <c r="I862">
        <v>65</v>
      </c>
      <c r="J862">
        <v>0</v>
      </c>
      <c r="K862">
        <v>0</v>
      </c>
      <c r="L862" t="s">
        <v>117</v>
      </c>
      <c r="M862" t="s">
        <v>118</v>
      </c>
      <c r="N862">
        <v>0</v>
      </c>
      <c r="O862">
        <v>1</v>
      </c>
      <c r="P862" t="s">
        <v>111</v>
      </c>
      <c r="Q862">
        <v>20</v>
      </c>
      <c r="R862">
        <v>0</v>
      </c>
      <c r="S862">
        <v>0</v>
      </c>
      <c r="T862">
        <v>0</v>
      </c>
      <c r="U862" t="e">
        <f>-DARMA</f>
        <v>#NAME?</v>
      </c>
      <c r="V862">
        <v>0</v>
      </c>
      <c r="W862">
        <v>25</v>
      </c>
      <c r="X862">
        <v>10</v>
      </c>
      <c r="Y862">
        <v>0</v>
      </c>
      <c r="Z862" t="s">
        <v>111</v>
      </c>
      <c r="AA862">
        <v>0</v>
      </c>
      <c r="AB862" t="s">
        <v>111</v>
      </c>
      <c r="AC862">
        <v>0</v>
      </c>
      <c r="AD862" t="s">
        <v>416</v>
      </c>
      <c r="AE862">
        <v>0</v>
      </c>
      <c r="AF862">
        <v>0</v>
      </c>
      <c r="AG862" t="s">
        <v>111</v>
      </c>
      <c r="AH862" t="s">
        <v>128</v>
      </c>
      <c r="AI862" t="s">
        <v>111</v>
      </c>
      <c r="AJ862" t="s">
        <v>111</v>
      </c>
      <c r="AK862" t="s">
        <v>111</v>
      </c>
      <c r="AL862" t="s">
        <v>111</v>
      </c>
      <c r="AM862">
        <v>0</v>
      </c>
      <c r="AN862">
        <v>0</v>
      </c>
      <c r="AO862">
        <v>0</v>
      </c>
      <c r="AP862" t="s">
        <v>111</v>
      </c>
      <c r="AQ862" t="s">
        <v>111</v>
      </c>
      <c r="AR862" t="s">
        <v>111</v>
      </c>
      <c r="AS862" t="s">
        <v>111</v>
      </c>
      <c r="AT862" t="s">
        <v>111</v>
      </c>
      <c r="AU862" t="s">
        <v>111</v>
      </c>
      <c r="AV862" t="s">
        <v>111</v>
      </c>
      <c r="AW862" t="s">
        <v>111</v>
      </c>
      <c r="AX862" t="s">
        <v>111</v>
      </c>
      <c r="AY862" t="s">
        <v>111</v>
      </c>
      <c r="AZ862" t="s">
        <v>111</v>
      </c>
      <c r="BA862" t="s">
        <v>111</v>
      </c>
      <c r="BB862" t="s">
        <v>111</v>
      </c>
      <c r="BC862" t="s">
        <v>111</v>
      </c>
      <c r="BD862" t="s">
        <v>111</v>
      </c>
      <c r="BE862" t="s">
        <v>111</v>
      </c>
      <c r="BF862" t="s">
        <v>111</v>
      </c>
      <c r="BG862" t="s">
        <v>111</v>
      </c>
      <c r="BH862" t="s">
        <v>111</v>
      </c>
      <c r="BI862" t="s">
        <v>111</v>
      </c>
      <c r="BJ862" t="s">
        <v>111</v>
      </c>
      <c r="BK862" t="s">
        <v>111</v>
      </c>
      <c r="BL862" t="s">
        <v>111</v>
      </c>
      <c r="BM862" t="s">
        <v>111</v>
      </c>
      <c r="BN862" t="s">
        <v>111</v>
      </c>
      <c r="BO862" t="s">
        <v>111</v>
      </c>
      <c r="BP862" t="s">
        <v>111</v>
      </c>
      <c r="BQ862" t="s">
        <v>111</v>
      </c>
      <c r="BR862" t="s">
        <v>111</v>
      </c>
      <c r="BS862" t="s">
        <v>111</v>
      </c>
      <c r="BT862" t="s">
        <v>111</v>
      </c>
      <c r="BU862" t="s">
        <v>111</v>
      </c>
      <c r="BV862" t="s">
        <v>111</v>
      </c>
      <c r="BW862" t="s">
        <v>111</v>
      </c>
      <c r="BX862" t="s">
        <v>111</v>
      </c>
      <c r="BY862" t="s">
        <v>111</v>
      </c>
      <c r="BZ862" t="s">
        <v>111</v>
      </c>
      <c r="CA862" t="s">
        <v>111</v>
      </c>
      <c r="CB862" t="s">
        <v>111</v>
      </c>
      <c r="CC862" t="s">
        <v>111</v>
      </c>
      <c r="CD862" t="s">
        <v>111</v>
      </c>
      <c r="CE862" t="s">
        <v>111</v>
      </c>
      <c r="CF862" t="s">
        <v>111</v>
      </c>
      <c r="CG862" t="s">
        <v>111</v>
      </c>
      <c r="CH862" t="s">
        <v>111</v>
      </c>
      <c r="CI862" t="s">
        <v>111</v>
      </c>
      <c r="CJ862" t="s">
        <v>111</v>
      </c>
      <c r="CK862" t="s">
        <v>111</v>
      </c>
      <c r="CL862" t="s">
        <v>111</v>
      </c>
      <c r="CM862" t="s">
        <v>111</v>
      </c>
      <c r="CN862" t="s">
        <v>111</v>
      </c>
      <c r="CO862" t="s">
        <v>111</v>
      </c>
      <c r="CP862" t="s">
        <v>111</v>
      </c>
      <c r="CQ862">
        <v>0</v>
      </c>
      <c r="CR862">
        <v>0</v>
      </c>
      <c r="CS862">
        <v>0</v>
      </c>
      <c r="CT862" t="s">
        <v>111</v>
      </c>
      <c r="CU862">
        <v>15.5</v>
      </c>
      <c r="CV862" t="e">
        <f>-CENTRADA</f>
        <v>#NAME?</v>
      </c>
      <c r="CW862" t="s">
        <v>2817</v>
      </c>
      <c r="CX862">
        <v>-2</v>
      </c>
      <c r="CY862">
        <v>13</v>
      </c>
      <c r="CZ862" t="s">
        <v>117</v>
      </c>
      <c r="DA862" s="1" t="s">
        <v>2828</v>
      </c>
      <c r="DB862" t="s">
        <v>111</v>
      </c>
      <c r="DC862" t="s">
        <v>111</v>
      </c>
    </row>
    <row r="863" spans="1:107">
      <c r="A863">
        <v>1403</v>
      </c>
      <c r="B863" t="s">
        <v>107</v>
      </c>
      <c r="C863" t="s">
        <v>114</v>
      </c>
      <c r="D863" t="s">
        <v>480</v>
      </c>
      <c r="E863" t="s">
        <v>2829</v>
      </c>
      <c r="F863" t="s">
        <v>358</v>
      </c>
      <c r="G863" t="s">
        <v>427</v>
      </c>
      <c r="H863">
        <v>2.7</v>
      </c>
      <c r="I863">
        <v>65</v>
      </c>
      <c r="J863">
        <v>0</v>
      </c>
      <c r="K863">
        <v>0</v>
      </c>
      <c r="L863" t="s">
        <v>117</v>
      </c>
      <c r="M863" t="s">
        <v>118</v>
      </c>
      <c r="N863">
        <v>0</v>
      </c>
      <c r="O863">
        <v>1</v>
      </c>
      <c r="P863" t="s">
        <v>138</v>
      </c>
      <c r="Q863">
        <v>20</v>
      </c>
      <c r="R863">
        <v>0</v>
      </c>
      <c r="S863">
        <v>0</v>
      </c>
      <c r="T863">
        <v>0</v>
      </c>
      <c r="U863" t="e">
        <f>-IMPRESOM DARMA</f>
        <v>#NAME?</v>
      </c>
      <c r="V863">
        <v>0</v>
      </c>
      <c r="W863">
        <v>25</v>
      </c>
      <c r="X863">
        <v>10</v>
      </c>
      <c r="Y863">
        <v>0</v>
      </c>
      <c r="Z863" t="s">
        <v>111</v>
      </c>
      <c r="AA863">
        <v>0</v>
      </c>
      <c r="AB863" t="s">
        <v>111</v>
      </c>
      <c r="AC863">
        <v>0</v>
      </c>
      <c r="AD863" t="s">
        <v>416</v>
      </c>
      <c r="AE863">
        <v>0</v>
      </c>
      <c r="AF863">
        <v>0</v>
      </c>
      <c r="AG863" t="s">
        <v>111</v>
      </c>
      <c r="AH863" t="s">
        <v>128</v>
      </c>
      <c r="AI863" t="s">
        <v>111</v>
      </c>
      <c r="AJ863" t="s">
        <v>111</v>
      </c>
      <c r="AK863" t="s">
        <v>111</v>
      </c>
      <c r="AL863" t="s">
        <v>111</v>
      </c>
      <c r="AM863">
        <v>0</v>
      </c>
      <c r="AN863">
        <v>0</v>
      </c>
      <c r="AO863">
        <v>0</v>
      </c>
      <c r="AP863" t="s">
        <v>111</v>
      </c>
      <c r="AQ863" t="s">
        <v>111</v>
      </c>
      <c r="AR863" t="s">
        <v>111</v>
      </c>
      <c r="AS863" t="s">
        <v>111</v>
      </c>
      <c r="AT863" t="s">
        <v>111</v>
      </c>
      <c r="AU863" t="s">
        <v>111</v>
      </c>
      <c r="AV863" t="s">
        <v>111</v>
      </c>
      <c r="AW863" t="s">
        <v>111</v>
      </c>
      <c r="AX863" t="s">
        <v>111</v>
      </c>
      <c r="AY863" t="s">
        <v>111</v>
      </c>
      <c r="AZ863" t="s">
        <v>111</v>
      </c>
      <c r="BA863" t="s">
        <v>111</v>
      </c>
      <c r="BB863" t="s">
        <v>111</v>
      </c>
      <c r="BC863" t="s">
        <v>111</v>
      </c>
      <c r="BD863" t="s">
        <v>111</v>
      </c>
      <c r="BE863" t="s">
        <v>111</v>
      </c>
      <c r="BF863" t="s">
        <v>111</v>
      </c>
      <c r="BG863" t="s">
        <v>111</v>
      </c>
      <c r="BH863" t="s">
        <v>111</v>
      </c>
      <c r="BI863" t="s">
        <v>111</v>
      </c>
      <c r="BJ863" t="s">
        <v>111</v>
      </c>
      <c r="BK863" t="s">
        <v>111</v>
      </c>
      <c r="BL863" t="s">
        <v>111</v>
      </c>
      <c r="BM863" t="s">
        <v>111</v>
      </c>
      <c r="BN863" t="s">
        <v>111</v>
      </c>
      <c r="BO863" t="s">
        <v>111</v>
      </c>
      <c r="BP863" t="s">
        <v>111</v>
      </c>
      <c r="BQ863" t="s">
        <v>111</v>
      </c>
      <c r="BR863" t="s">
        <v>111</v>
      </c>
      <c r="BS863" t="s">
        <v>111</v>
      </c>
      <c r="BT863" t="s">
        <v>111</v>
      </c>
      <c r="BU863" t="s">
        <v>111</v>
      </c>
      <c r="BV863" t="s">
        <v>111</v>
      </c>
      <c r="BW863" t="s">
        <v>111</v>
      </c>
      <c r="BX863" t="s">
        <v>111</v>
      </c>
      <c r="BY863" t="s">
        <v>111</v>
      </c>
      <c r="BZ863" t="s">
        <v>111</v>
      </c>
      <c r="CA863" t="s">
        <v>111</v>
      </c>
      <c r="CB863" t="s">
        <v>111</v>
      </c>
      <c r="CC863" t="s">
        <v>111</v>
      </c>
      <c r="CD863" t="s">
        <v>111</v>
      </c>
      <c r="CE863" t="s">
        <v>111</v>
      </c>
      <c r="CF863" t="s">
        <v>111</v>
      </c>
      <c r="CG863" t="s">
        <v>111</v>
      </c>
      <c r="CH863" t="s">
        <v>111</v>
      </c>
      <c r="CI863" t="s">
        <v>111</v>
      </c>
      <c r="CJ863" t="s">
        <v>111</v>
      </c>
      <c r="CK863" t="s">
        <v>111</v>
      </c>
      <c r="CL863" t="s">
        <v>111</v>
      </c>
      <c r="CM863" t="s">
        <v>111</v>
      </c>
      <c r="CN863" t="s">
        <v>111</v>
      </c>
      <c r="CO863" t="s">
        <v>111</v>
      </c>
      <c r="CP863" t="s">
        <v>111</v>
      </c>
      <c r="CQ863">
        <v>0</v>
      </c>
      <c r="CR863">
        <v>0</v>
      </c>
      <c r="CS863">
        <v>0</v>
      </c>
      <c r="CT863" t="s">
        <v>111</v>
      </c>
      <c r="CU863">
        <v>15.5</v>
      </c>
      <c r="CV863" t="s">
        <v>2830</v>
      </c>
      <c r="CW863" t="s">
        <v>2669</v>
      </c>
      <c r="CX863">
        <v>-2</v>
      </c>
      <c r="CY863">
        <v>13</v>
      </c>
      <c r="CZ863" t="s">
        <v>117</v>
      </c>
      <c r="DA863" s="1" t="s">
        <v>2828</v>
      </c>
      <c r="DB863" t="s">
        <v>111</v>
      </c>
      <c r="DC863" t="s">
        <v>111</v>
      </c>
    </row>
    <row r="864" spans="1:107">
      <c r="A864">
        <v>230</v>
      </c>
      <c r="B864" t="s">
        <v>162</v>
      </c>
      <c r="C864" t="s">
        <v>226</v>
      </c>
      <c r="D864" t="s">
        <v>2787</v>
      </c>
      <c r="E864" t="s">
        <v>2831</v>
      </c>
      <c r="F864" t="s">
        <v>431</v>
      </c>
      <c r="G864" t="s">
        <v>427</v>
      </c>
      <c r="H864">
        <v>1.05</v>
      </c>
      <c r="I864">
        <v>104</v>
      </c>
      <c r="J864">
        <v>0</v>
      </c>
      <c r="K864">
        <v>0</v>
      </c>
      <c r="L864" t="s">
        <v>117</v>
      </c>
      <c r="M864" t="s">
        <v>118</v>
      </c>
      <c r="N864">
        <v>40</v>
      </c>
      <c r="O864">
        <v>1</v>
      </c>
      <c r="P864" t="s">
        <v>138</v>
      </c>
      <c r="Q864">
        <v>40</v>
      </c>
      <c r="R864">
        <v>0</v>
      </c>
      <c r="S864">
        <v>0</v>
      </c>
      <c r="T864">
        <v>0</v>
      </c>
      <c r="U864" t="s">
        <v>2685</v>
      </c>
      <c r="V864">
        <v>0</v>
      </c>
      <c r="W864">
        <v>0</v>
      </c>
      <c r="X864">
        <v>1</v>
      </c>
      <c r="Y864">
        <v>0</v>
      </c>
      <c r="Z864" t="s">
        <v>111</v>
      </c>
      <c r="AA864">
        <v>0</v>
      </c>
      <c r="AB864" t="s">
        <v>111</v>
      </c>
      <c r="AC864">
        <v>0</v>
      </c>
      <c r="AD864" t="s">
        <v>427</v>
      </c>
      <c r="AE864">
        <v>6</v>
      </c>
      <c r="AF864">
        <v>2</v>
      </c>
      <c r="AG864" t="s">
        <v>678</v>
      </c>
      <c r="AH864" t="s">
        <v>113</v>
      </c>
      <c r="AI864">
        <v>42</v>
      </c>
      <c r="AJ864" t="s">
        <v>111</v>
      </c>
      <c r="AK864" t="s">
        <v>111</v>
      </c>
      <c r="AL864" t="s">
        <v>111</v>
      </c>
      <c r="AM864">
        <v>0</v>
      </c>
      <c r="AN864">
        <v>0</v>
      </c>
      <c r="AO864">
        <v>0</v>
      </c>
      <c r="AP864" t="s">
        <v>111</v>
      </c>
      <c r="AQ864" t="s">
        <v>111</v>
      </c>
      <c r="AR864" t="s">
        <v>111</v>
      </c>
      <c r="AS864" t="s">
        <v>111</v>
      </c>
      <c r="AT864" t="s">
        <v>111</v>
      </c>
      <c r="AU864" t="s">
        <v>111</v>
      </c>
      <c r="AV864" t="s">
        <v>111</v>
      </c>
      <c r="AW864" t="s">
        <v>111</v>
      </c>
      <c r="AX864" t="s">
        <v>111</v>
      </c>
      <c r="AY864" t="s">
        <v>111</v>
      </c>
      <c r="AZ864" t="s">
        <v>111</v>
      </c>
      <c r="BA864" t="s">
        <v>111</v>
      </c>
      <c r="BB864" t="s">
        <v>111</v>
      </c>
      <c r="BC864" t="s">
        <v>111</v>
      </c>
      <c r="BD864" t="s">
        <v>111</v>
      </c>
      <c r="BE864" t="s">
        <v>111</v>
      </c>
      <c r="BF864" t="s">
        <v>111</v>
      </c>
      <c r="BG864" t="s">
        <v>111</v>
      </c>
      <c r="BH864" t="s">
        <v>111</v>
      </c>
      <c r="BI864" t="s">
        <v>111</v>
      </c>
      <c r="BJ864" t="s">
        <v>111</v>
      </c>
      <c r="BK864" t="s">
        <v>111</v>
      </c>
      <c r="BL864" t="s">
        <v>111</v>
      </c>
      <c r="BM864" t="s">
        <v>111</v>
      </c>
      <c r="BN864" t="s">
        <v>111</v>
      </c>
      <c r="BO864" t="s">
        <v>111</v>
      </c>
      <c r="BP864" t="s">
        <v>111</v>
      </c>
      <c r="BQ864" t="s">
        <v>111</v>
      </c>
      <c r="BR864" t="s">
        <v>111</v>
      </c>
      <c r="BS864" t="s">
        <v>111</v>
      </c>
      <c r="BT864" t="s">
        <v>111</v>
      </c>
      <c r="BU864" t="s">
        <v>111</v>
      </c>
      <c r="BV864" t="s">
        <v>111</v>
      </c>
      <c r="BW864" t="s">
        <v>111</v>
      </c>
      <c r="BX864" t="s">
        <v>111</v>
      </c>
      <c r="BY864" t="s">
        <v>111</v>
      </c>
      <c r="BZ864" t="s">
        <v>111</v>
      </c>
      <c r="CA864" t="s">
        <v>111</v>
      </c>
      <c r="CB864" t="s">
        <v>111</v>
      </c>
      <c r="CC864" t="s">
        <v>111</v>
      </c>
      <c r="CD864" t="s">
        <v>111</v>
      </c>
      <c r="CE864" t="s">
        <v>111</v>
      </c>
      <c r="CF864" t="s">
        <v>111</v>
      </c>
      <c r="CG864" t="s">
        <v>111</v>
      </c>
      <c r="CH864" t="s">
        <v>111</v>
      </c>
      <c r="CI864" t="s">
        <v>111</v>
      </c>
      <c r="CJ864" t="s">
        <v>111</v>
      </c>
      <c r="CK864" t="s">
        <v>111</v>
      </c>
      <c r="CL864" t="s">
        <v>153</v>
      </c>
      <c r="CM864" t="s">
        <v>198</v>
      </c>
      <c r="CN864" t="s">
        <v>113</v>
      </c>
      <c r="CO864" t="s">
        <v>2681</v>
      </c>
      <c r="CP864" t="s">
        <v>433</v>
      </c>
      <c r="CQ864">
        <v>68</v>
      </c>
      <c r="CR864">
        <v>2100</v>
      </c>
      <c r="CS864">
        <v>300</v>
      </c>
      <c r="CT864" s="1" t="s">
        <v>2832</v>
      </c>
      <c r="CU864">
        <v>0</v>
      </c>
      <c r="CV864" t="s">
        <v>111</v>
      </c>
      <c r="CW864" t="s">
        <v>111</v>
      </c>
      <c r="CX864" t="s">
        <v>111</v>
      </c>
      <c r="CY864">
        <v>0</v>
      </c>
      <c r="CZ864" t="s">
        <v>111</v>
      </c>
      <c r="DA864" t="s">
        <v>111</v>
      </c>
      <c r="DB864" t="s">
        <v>111</v>
      </c>
      <c r="DC864" t="s">
        <v>111</v>
      </c>
    </row>
    <row r="865" spans="1:107">
      <c r="A865">
        <v>1559</v>
      </c>
      <c r="B865" t="s">
        <v>107</v>
      </c>
      <c r="C865" t="s">
        <v>226</v>
      </c>
      <c r="D865" t="s">
        <v>2833</v>
      </c>
      <c r="E865" t="s">
        <v>2834</v>
      </c>
      <c r="F865" t="s">
        <v>431</v>
      </c>
      <c r="G865" t="s">
        <v>427</v>
      </c>
      <c r="H865">
        <v>1.5</v>
      </c>
      <c r="I865">
        <v>106</v>
      </c>
      <c r="J865">
        <v>0</v>
      </c>
      <c r="K865">
        <v>0</v>
      </c>
      <c r="L865" t="s">
        <v>117</v>
      </c>
      <c r="M865" t="s">
        <v>118</v>
      </c>
      <c r="N865">
        <v>40</v>
      </c>
      <c r="O865">
        <v>1</v>
      </c>
      <c r="P865" t="s">
        <v>111</v>
      </c>
      <c r="Q865">
        <v>50</v>
      </c>
      <c r="R865">
        <v>0</v>
      </c>
      <c r="S865">
        <v>0</v>
      </c>
      <c r="T865">
        <v>5</v>
      </c>
      <c r="U865" t="e">
        <f>-IMPRESION CORREA</f>
        <v>#NAME?</v>
      </c>
      <c r="V865">
        <v>0</v>
      </c>
      <c r="W865">
        <v>25</v>
      </c>
      <c r="X865">
        <v>100</v>
      </c>
      <c r="Y865">
        <v>0</v>
      </c>
      <c r="Z865" t="s">
        <v>111</v>
      </c>
      <c r="AA865">
        <v>0</v>
      </c>
      <c r="AB865" t="s">
        <v>111</v>
      </c>
      <c r="AC865">
        <v>0</v>
      </c>
      <c r="AD865" t="s">
        <v>427</v>
      </c>
      <c r="AE865">
        <v>0</v>
      </c>
      <c r="AF865">
        <v>0</v>
      </c>
      <c r="AG865" t="s">
        <v>111</v>
      </c>
      <c r="AH865" t="s">
        <v>113</v>
      </c>
      <c r="AI865" t="s">
        <v>111</v>
      </c>
      <c r="AJ865" t="s">
        <v>111</v>
      </c>
      <c r="AK865" t="s">
        <v>111</v>
      </c>
      <c r="AL865" t="s">
        <v>111</v>
      </c>
      <c r="AM865">
        <v>0</v>
      </c>
      <c r="AN865">
        <v>0</v>
      </c>
      <c r="AO865">
        <v>0</v>
      </c>
      <c r="AP865" t="s">
        <v>111</v>
      </c>
      <c r="AQ865" t="s">
        <v>111</v>
      </c>
      <c r="AR865" t="s">
        <v>111</v>
      </c>
      <c r="AS865" t="s">
        <v>111</v>
      </c>
      <c r="AT865" t="s">
        <v>111</v>
      </c>
      <c r="AU865" t="s">
        <v>111</v>
      </c>
      <c r="AV865" t="s">
        <v>111</v>
      </c>
      <c r="AW865" t="s">
        <v>111</v>
      </c>
      <c r="AX865" t="s">
        <v>111</v>
      </c>
      <c r="AY865" t="s">
        <v>111</v>
      </c>
      <c r="AZ865" t="s">
        <v>111</v>
      </c>
      <c r="BA865" t="s">
        <v>111</v>
      </c>
      <c r="BB865" t="s">
        <v>111</v>
      </c>
      <c r="BC865" t="s">
        <v>111</v>
      </c>
      <c r="BD865" t="s">
        <v>111</v>
      </c>
      <c r="BE865" t="s">
        <v>111</v>
      </c>
      <c r="BF865" t="s">
        <v>111</v>
      </c>
      <c r="BG865" t="s">
        <v>111</v>
      </c>
      <c r="BH865" t="s">
        <v>111</v>
      </c>
      <c r="BI865" t="s">
        <v>111</v>
      </c>
      <c r="BJ865" t="s">
        <v>111</v>
      </c>
      <c r="BK865" t="s">
        <v>111</v>
      </c>
      <c r="BL865" t="s">
        <v>111</v>
      </c>
      <c r="BM865" t="s">
        <v>111</v>
      </c>
      <c r="BN865" t="s">
        <v>111</v>
      </c>
      <c r="BO865" t="s">
        <v>111</v>
      </c>
      <c r="BP865" t="s">
        <v>111</v>
      </c>
      <c r="BQ865" t="s">
        <v>111</v>
      </c>
      <c r="BR865" t="s">
        <v>111</v>
      </c>
      <c r="BS865" t="s">
        <v>111</v>
      </c>
      <c r="BT865" t="s">
        <v>111</v>
      </c>
      <c r="BU865" t="s">
        <v>111</v>
      </c>
      <c r="BV865" t="s">
        <v>111</v>
      </c>
      <c r="BW865" t="s">
        <v>111</v>
      </c>
      <c r="BX865" t="s">
        <v>111</v>
      </c>
      <c r="BY865" t="s">
        <v>111</v>
      </c>
      <c r="BZ865" t="s">
        <v>111</v>
      </c>
      <c r="CA865" t="s">
        <v>111</v>
      </c>
      <c r="CB865" t="s">
        <v>111</v>
      </c>
      <c r="CC865" t="s">
        <v>111</v>
      </c>
      <c r="CD865" t="s">
        <v>111</v>
      </c>
      <c r="CE865" t="s">
        <v>111</v>
      </c>
      <c r="CF865" t="s">
        <v>111</v>
      </c>
      <c r="CG865" t="s">
        <v>111</v>
      </c>
      <c r="CH865" t="s">
        <v>111</v>
      </c>
      <c r="CI865" t="s">
        <v>111</v>
      </c>
      <c r="CJ865" t="s">
        <v>111</v>
      </c>
      <c r="CK865" t="s">
        <v>111</v>
      </c>
      <c r="CL865" t="s">
        <v>111</v>
      </c>
      <c r="CM865" t="s">
        <v>360</v>
      </c>
      <c r="CN865" t="s">
        <v>113</v>
      </c>
      <c r="CO865" t="s">
        <v>111</v>
      </c>
      <c r="CP865" t="s">
        <v>111</v>
      </c>
      <c r="CQ865">
        <v>68</v>
      </c>
      <c r="CR865">
        <v>2400</v>
      </c>
      <c r="CS865">
        <v>300</v>
      </c>
      <c r="CT865" s="1" t="s">
        <v>2835</v>
      </c>
      <c r="CU865">
        <v>0</v>
      </c>
      <c r="CV865" t="s">
        <v>111</v>
      </c>
      <c r="CW865" t="s">
        <v>111</v>
      </c>
      <c r="CX865" t="s">
        <v>111</v>
      </c>
      <c r="CY865">
        <v>0</v>
      </c>
      <c r="CZ865" t="s">
        <v>111</v>
      </c>
      <c r="DA865" t="s">
        <v>111</v>
      </c>
      <c r="DB865" t="s">
        <v>111</v>
      </c>
      <c r="DC865" t="s">
        <v>111</v>
      </c>
    </row>
    <row r="866" spans="1:107">
      <c r="A866">
        <v>467</v>
      </c>
      <c r="B866" t="s">
        <v>162</v>
      </c>
      <c r="C866" t="s">
        <v>226</v>
      </c>
      <c r="D866" t="s">
        <v>2795</v>
      </c>
      <c r="E866" t="s">
        <v>2836</v>
      </c>
      <c r="F866" t="s">
        <v>431</v>
      </c>
      <c r="G866" t="s">
        <v>427</v>
      </c>
      <c r="H866">
        <v>1.5</v>
      </c>
      <c r="I866">
        <v>92</v>
      </c>
      <c r="J866">
        <v>0</v>
      </c>
      <c r="K866">
        <v>0</v>
      </c>
      <c r="L866" t="s">
        <v>117</v>
      </c>
      <c r="M866" t="s">
        <v>118</v>
      </c>
      <c r="N866">
        <v>40</v>
      </c>
      <c r="O866">
        <v>1</v>
      </c>
      <c r="P866" t="s">
        <v>138</v>
      </c>
      <c r="Q866">
        <v>40</v>
      </c>
      <c r="R866">
        <v>0</v>
      </c>
      <c r="S866">
        <v>0</v>
      </c>
      <c r="T866">
        <v>0</v>
      </c>
      <c r="U866" t="s">
        <v>2685</v>
      </c>
      <c r="V866">
        <v>0</v>
      </c>
      <c r="W866">
        <v>0</v>
      </c>
      <c r="X866">
        <v>1</v>
      </c>
      <c r="Y866">
        <v>0</v>
      </c>
      <c r="Z866" t="s">
        <v>111</v>
      </c>
      <c r="AA866">
        <v>0</v>
      </c>
      <c r="AB866" t="s">
        <v>111</v>
      </c>
      <c r="AC866">
        <v>0</v>
      </c>
      <c r="AD866" t="s">
        <v>427</v>
      </c>
      <c r="AE866">
        <v>5</v>
      </c>
      <c r="AF866">
        <v>2</v>
      </c>
      <c r="AG866" t="s">
        <v>678</v>
      </c>
      <c r="AH866" t="s">
        <v>111</v>
      </c>
      <c r="AI866">
        <v>42</v>
      </c>
      <c r="AJ866" t="s">
        <v>111</v>
      </c>
      <c r="AK866" t="s">
        <v>111</v>
      </c>
      <c r="AL866" t="s">
        <v>111</v>
      </c>
      <c r="AM866">
        <v>0</v>
      </c>
      <c r="AN866">
        <v>0</v>
      </c>
      <c r="AO866">
        <v>0</v>
      </c>
      <c r="AP866" t="s">
        <v>184</v>
      </c>
      <c r="AQ866" t="s">
        <v>111</v>
      </c>
      <c r="AR866" t="s">
        <v>111</v>
      </c>
      <c r="AS866" t="s">
        <v>111</v>
      </c>
      <c r="AT866" t="s">
        <v>288</v>
      </c>
      <c r="AU866" t="s">
        <v>111</v>
      </c>
      <c r="AV866" t="s">
        <v>111</v>
      </c>
      <c r="AW866" t="s">
        <v>111</v>
      </c>
      <c r="AX866" t="s">
        <v>772</v>
      </c>
      <c r="AY866" t="s">
        <v>111</v>
      </c>
      <c r="AZ866" t="s">
        <v>111</v>
      </c>
      <c r="BA866" t="s">
        <v>111</v>
      </c>
      <c r="BB866" t="s">
        <v>188</v>
      </c>
      <c r="BC866" t="s">
        <v>111</v>
      </c>
      <c r="BD866" t="s">
        <v>111</v>
      </c>
      <c r="BE866" t="s">
        <v>111</v>
      </c>
      <c r="BF866" t="s">
        <v>271</v>
      </c>
      <c r="BG866" t="s">
        <v>111</v>
      </c>
      <c r="BH866" t="s">
        <v>111</v>
      </c>
      <c r="BI866" t="s">
        <v>111</v>
      </c>
      <c r="BJ866" t="s">
        <v>111</v>
      </c>
      <c r="BK866" t="s">
        <v>111</v>
      </c>
      <c r="BL866" t="s">
        <v>111</v>
      </c>
      <c r="BM866" t="s">
        <v>111</v>
      </c>
      <c r="BN866" t="s">
        <v>111</v>
      </c>
      <c r="BO866" t="s">
        <v>111</v>
      </c>
      <c r="BP866" t="s">
        <v>111</v>
      </c>
      <c r="BQ866" t="s">
        <v>111</v>
      </c>
      <c r="BR866" t="s">
        <v>111</v>
      </c>
      <c r="BS866" t="s">
        <v>111</v>
      </c>
      <c r="BT866" t="s">
        <v>111</v>
      </c>
      <c r="BU866" t="s">
        <v>111</v>
      </c>
      <c r="BV866" t="s">
        <v>111</v>
      </c>
      <c r="BW866" t="s">
        <v>111</v>
      </c>
      <c r="BX866" t="s">
        <v>111</v>
      </c>
      <c r="BY866" t="s">
        <v>111</v>
      </c>
      <c r="BZ866" t="s">
        <v>111</v>
      </c>
      <c r="CA866" t="s">
        <v>111</v>
      </c>
      <c r="CB866" t="s">
        <v>111</v>
      </c>
      <c r="CC866" t="s">
        <v>111</v>
      </c>
      <c r="CD866" t="s">
        <v>111</v>
      </c>
      <c r="CE866" t="s">
        <v>111</v>
      </c>
      <c r="CF866" t="s">
        <v>111</v>
      </c>
      <c r="CG866" t="s">
        <v>111</v>
      </c>
      <c r="CH866" t="s">
        <v>111</v>
      </c>
      <c r="CI866" t="s">
        <v>111</v>
      </c>
      <c r="CJ866" t="s">
        <v>111</v>
      </c>
      <c r="CK866" t="s">
        <v>111</v>
      </c>
      <c r="CL866" t="s">
        <v>153</v>
      </c>
      <c r="CM866" t="s">
        <v>198</v>
      </c>
      <c r="CN866" t="s">
        <v>113</v>
      </c>
      <c r="CO866" t="s">
        <v>2681</v>
      </c>
      <c r="CP866" t="s">
        <v>433</v>
      </c>
      <c r="CQ866">
        <v>0</v>
      </c>
      <c r="CR866">
        <v>0</v>
      </c>
      <c r="CS866">
        <v>300</v>
      </c>
      <c r="CT866" t="s">
        <v>168</v>
      </c>
      <c r="CU866">
        <v>0</v>
      </c>
      <c r="CV866" t="s">
        <v>111</v>
      </c>
      <c r="CW866" t="s">
        <v>111</v>
      </c>
      <c r="CX866" t="s">
        <v>111</v>
      </c>
      <c r="CY866">
        <v>0</v>
      </c>
      <c r="CZ866" t="s">
        <v>111</v>
      </c>
      <c r="DA866" t="s">
        <v>111</v>
      </c>
      <c r="DB866" t="s">
        <v>111</v>
      </c>
      <c r="DC866" t="s">
        <v>111</v>
      </c>
    </row>
    <row r="867" spans="1:107">
      <c r="A867">
        <v>373</v>
      </c>
      <c r="B867" t="s">
        <v>162</v>
      </c>
      <c r="C867" t="s">
        <v>2711</v>
      </c>
      <c r="D867" t="s">
        <v>2837</v>
      </c>
      <c r="E867" t="s">
        <v>2838</v>
      </c>
      <c r="F867" t="s">
        <v>431</v>
      </c>
      <c r="G867" t="s">
        <v>427</v>
      </c>
      <c r="H867">
        <v>1.05</v>
      </c>
      <c r="I867">
        <v>84</v>
      </c>
      <c r="J867">
        <v>0</v>
      </c>
      <c r="K867">
        <v>0</v>
      </c>
      <c r="L867" t="s">
        <v>117</v>
      </c>
      <c r="M867" t="s">
        <v>118</v>
      </c>
      <c r="N867">
        <v>40</v>
      </c>
      <c r="O867">
        <v>1</v>
      </c>
      <c r="P867" t="s">
        <v>138</v>
      </c>
      <c r="Q867">
        <v>40</v>
      </c>
      <c r="R867">
        <v>0</v>
      </c>
      <c r="S867">
        <v>0</v>
      </c>
      <c r="T867">
        <v>0</v>
      </c>
      <c r="U867" t="s">
        <v>2685</v>
      </c>
      <c r="V867">
        <v>0</v>
      </c>
      <c r="W867">
        <v>0</v>
      </c>
      <c r="X867">
        <v>1</v>
      </c>
      <c r="Y867">
        <v>0</v>
      </c>
      <c r="Z867" t="s">
        <v>111</v>
      </c>
      <c r="AA867">
        <v>0</v>
      </c>
      <c r="AB867" t="s">
        <v>111</v>
      </c>
      <c r="AC867">
        <v>0</v>
      </c>
      <c r="AD867" t="s">
        <v>427</v>
      </c>
      <c r="AE867">
        <v>3</v>
      </c>
      <c r="AF867">
        <v>2</v>
      </c>
      <c r="AG867" t="s">
        <v>2839</v>
      </c>
      <c r="AH867" t="s">
        <v>111</v>
      </c>
      <c r="AI867">
        <v>56</v>
      </c>
      <c r="AJ867" t="s">
        <v>111</v>
      </c>
      <c r="AK867" t="s">
        <v>111</v>
      </c>
      <c r="AL867" t="s">
        <v>111</v>
      </c>
      <c r="AM867">
        <v>0</v>
      </c>
      <c r="AN867">
        <v>0</v>
      </c>
      <c r="AO867">
        <v>0</v>
      </c>
      <c r="AP867" t="s">
        <v>288</v>
      </c>
      <c r="AQ867" t="s">
        <v>111</v>
      </c>
      <c r="AR867" t="s">
        <v>111</v>
      </c>
      <c r="AS867" t="s">
        <v>111</v>
      </c>
      <c r="AT867" t="s">
        <v>184</v>
      </c>
      <c r="AU867" t="s">
        <v>111</v>
      </c>
      <c r="AV867" t="s">
        <v>111</v>
      </c>
      <c r="AW867" t="s">
        <v>111</v>
      </c>
      <c r="AX867" t="s">
        <v>188</v>
      </c>
      <c r="AY867" t="s">
        <v>111</v>
      </c>
      <c r="AZ867" t="s">
        <v>111</v>
      </c>
      <c r="BA867" t="s">
        <v>111</v>
      </c>
      <c r="BB867" t="s">
        <v>111</v>
      </c>
      <c r="BC867" t="s">
        <v>111</v>
      </c>
      <c r="BD867" t="s">
        <v>111</v>
      </c>
      <c r="BE867" t="s">
        <v>111</v>
      </c>
      <c r="BF867" t="s">
        <v>111</v>
      </c>
      <c r="BG867" t="s">
        <v>111</v>
      </c>
      <c r="BH867" t="s">
        <v>111</v>
      </c>
      <c r="BI867" t="s">
        <v>111</v>
      </c>
      <c r="BJ867" t="s">
        <v>111</v>
      </c>
      <c r="BK867" t="s">
        <v>111</v>
      </c>
      <c r="BL867" t="s">
        <v>111</v>
      </c>
      <c r="BM867" t="s">
        <v>111</v>
      </c>
      <c r="BN867" t="s">
        <v>111</v>
      </c>
      <c r="BO867" t="s">
        <v>111</v>
      </c>
      <c r="BP867" t="s">
        <v>111</v>
      </c>
      <c r="BQ867" t="s">
        <v>111</v>
      </c>
      <c r="BR867" t="s">
        <v>111</v>
      </c>
      <c r="BS867" t="s">
        <v>111</v>
      </c>
      <c r="BT867" t="s">
        <v>111</v>
      </c>
      <c r="BU867" t="s">
        <v>111</v>
      </c>
      <c r="BV867" t="s">
        <v>111</v>
      </c>
      <c r="BW867" t="s">
        <v>111</v>
      </c>
      <c r="BX867" t="s">
        <v>111</v>
      </c>
      <c r="BY867" t="s">
        <v>111</v>
      </c>
      <c r="BZ867" t="s">
        <v>111</v>
      </c>
      <c r="CA867" t="s">
        <v>111</v>
      </c>
      <c r="CB867" t="s">
        <v>111</v>
      </c>
      <c r="CC867" t="s">
        <v>111</v>
      </c>
      <c r="CD867" t="s">
        <v>111</v>
      </c>
      <c r="CE867" t="s">
        <v>111</v>
      </c>
      <c r="CF867" t="s">
        <v>111</v>
      </c>
      <c r="CG867" t="s">
        <v>111</v>
      </c>
      <c r="CH867" t="s">
        <v>111</v>
      </c>
      <c r="CI867" t="s">
        <v>111</v>
      </c>
      <c r="CJ867" t="s">
        <v>111</v>
      </c>
      <c r="CK867" t="s">
        <v>111</v>
      </c>
      <c r="CL867" t="s">
        <v>153</v>
      </c>
      <c r="CM867" t="s">
        <v>198</v>
      </c>
      <c r="CN867" t="s">
        <v>113</v>
      </c>
      <c r="CO867" t="s">
        <v>222</v>
      </c>
      <c r="CP867" t="s">
        <v>433</v>
      </c>
      <c r="CQ867">
        <v>0</v>
      </c>
      <c r="CR867">
        <v>0</v>
      </c>
      <c r="CS867">
        <v>0</v>
      </c>
      <c r="CT867" t="s">
        <v>168</v>
      </c>
      <c r="CU867">
        <v>0</v>
      </c>
      <c r="CV867" t="s">
        <v>111</v>
      </c>
      <c r="CW867" t="s">
        <v>111</v>
      </c>
      <c r="CX867" t="s">
        <v>111</v>
      </c>
      <c r="CY867">
        <v>0</v>
      </c>
      <c r="CZ867" t="s">
        <v>111</v>
      </c>
      <c r="DA867" t="s">
        <v>111</v>
      </c>
      <c r="DB867" t="s">
        <v>111</v>
      </c>
      <c r="DC867" t="s">
        <v>111</v>
      </c>
    </row>
    <row r="868" spans="1:107">
      <c r="A868">
        <v>268</v>
      </c>
      <c r="B868" t="s">
        <v>162</v>
      </c>
      <c r="C868" t="s">
        <v>2690</v>
      </c>
      <c r="D868" t="s">
        <v>1339</v>
      </c>
      <c r="E868" t="s">
        <v>1340</v>
      </c>
      <c r="F868" t="s">
        <v>431</v>
      </c>
      <c r="G868" t="s">
        <v>427</v>
      </c>
      <c r="H868">
        <v>1.5</v>
      </c>
      <c r="I868">
        <v>100</v>
      </c>
      <c r="J868">
        <v>0</v>
      </c>
      <c r="K868">
        <v>0</v>
      </c>
      <c r="L868" t="s">
        <v>117</v>
      </c>
      <c r="M868" t="s">
        <v>118</v>
      </c>
      <c r="N868">
        <v>40</v>
      </c>
      <c r="O868">
        <v>1</v>
      </c>
      <c r="P868" t="s">
        <v>138</v>
      </c>
      <c r="Q868">
        <v>40</v>
      </c>
      <c r="R868">
        <v>0</v>
      </c>
      <c r="S868">
        <v>0</v>
      </c>
      <c r="T868">
        <v>0</v>
      </c>
      <c r="U868" t="s">
        <v>2685</v>
      </c>
      <c r="V868">
        <v>0</v>
      </c>
      <c r="W868">
        <v>0</v>
      </c>
      <c r="X868">
        <v>1</v>
      </c>
      <c r="Y868">
        <v>0</v>
      </c>
      <c r="Z868" t="s">
        <v>111</v>
      </c>
      <c r="AA868">
        <v>0</v>
      </c>
      <c r="AB868" t="s">
        <v>111</v>
      </c>
      <c r="AC868">
        <v>0</v>
      </c>
      <c r="AD868" t="s">
        <v>427</v>
      </c>
      <c r="AE868">
        <v>0</v>
      </c>
      <c r="AF868">
        <v>2</v>
      </c>
      <c r="AG868" t="s">
        <v>678</v>
      </c>
      <c r="AH868" t="s">
        <v>111</v>
      </c>
      <c r="AI868">
        <v>41</v>
      </c>
      <c r="AJ868" t="s">
        <v>111</v>
      </c>
      <c r="AK868" t="s">
        <v>111</v>
      </c>
      <c r="AL868" t="s">
        <v>111</v>
      </c>
      <c r="AM868">
        <v>0</v>
      </c>
      <c r="AN868">
        <v>0</v>
      </c>
      <c r="AO868">
        <v>0</v>
      </c>
      <c r="AP868" t="s">
        <v>111</v>
      </c>
      <c r="AQ868" t="s">
        <v>111</v>
      </c>
      <c r="AR868" t="s">
        <v>111</v>
      </c>
      <c r="AS868" t="s">
        <v>111</v>
      </c>
      <c r="AT868" t="s">
        <v>111</v>
      </c>
      <c r="AU868" t="s">
        <v>111</v>
      </c>
      <c r="AV868" t="s">
        <v>111</v>
      </c>
      <c r="AW868" t="s">
        <v>111</v>
      </c>
      <c r="AX868" t="s">
        <v>111</v>
      </c>
      <c r="AY868" t="s">
        <v>111</v>
      </c>
      <c r="AZ868" t="s">
        <v>111</v>
      </c>
      <c r="BA868" t="s">
        <v>111</v>
      </c>
      <c r="BB868" t="s">
        <v>111</v>
      </c>
      <c r="BC868" t="s">
        <v>111</v>
      </c>
      <c r="BD868" t="s">
        <v>111</v>
      </c>
      <c r="BE868" t="s">
        <v>111</v>
      </c>
      <c r="BF868" t="s">
        <v>111</v>
      </c>
      <c r="BG868" t="s">
        <v>111</v>
      </c>
      <c r="BH868" t="s">
        <v>111</v>
      </c>
      <c r="BI868" t="s">
        <v>111</v>
      </c>
      <c r="BJ868" t="s">
        <v>111</v>
      </c>
      <c r="BK868" t="s">
        <v>111</v>
      </c>
      <c r="BL868" t="s">
        <v>111</v>
      </c>
      <c r="BM868" t="s">
        <v>111</v>
      </c>
      <c r="BN868" t="s">
        <v>111</v>
      </c>
      <c r="BO868" t="s">
        <v>111</v>
      </c>
      <c r="BP868" t="s">
        <v>111</v>
      </c>
      <c r="BQ868" t="s">
        <v>111</v>
      </c>
      <c r="BR868" t="s">
        <v>111</v>
      </c>
      <c r="BS868" t="s">
        <v>111</v>
      </c>
      <c r="BT868" t="s">
        <v>111</v>
      </c>
      <c r="BU868" t="s">
        <v>111</v>
      </c>
      <c r="BV868" t="s">
        <v>111</v>
      </c>
      <c r="BW868" t="s">
        <v>111</v>
      </c>
      <c r="BX868" t="s">
        <v>111</v>
      </c>
      <c r="BY868" t="s">
        <v>111</v>
      </c>
      <c r="BZ868" t="s">
        <v>111</v>
      </c>
      <c r="CA868" t="s">
        <v>111</v>
      </c>
      <c r="CB868" t="s">
        <v>111</v>
      </c>
      <c r="CC868" t="s">
        <v>111</v>
      </c>
      <c r="CD868" t="s">
        <v>111</v>
      </c>
      <c r="CE868" t="s">
        <v>111</v>
      </c>
      <c r="CF868" t="s">
        <v>111</v>
      </c>
      <c r="CG868" t="s">
        <v>111</v>
      </c>
      <c r="CH868" t="s">
        <v>111</v>
      </c>
      <c r="CI868" t="s">
        <v>111</v>
      </c>
      <c r="CJ868" t="s">
        <v>111</v>
      </c>
      <c r="CK868" t="s">
        <v>111</v>
      </c>
      <c r="CL868" s="1" t="s">
        <v>2840</v>
      </c>
      <c r="CM868" t="s">
        <v>198</v>
      </c>
      <c r="CN868" t="s">
        <v>113</v>
      </c>
      <c r="CO868" t="s">
        <v>111</v>
      </c>
      <c r="CP868" t="s">
        <v>433</v>
      </c>
      <c r="CQ868">
        <v>0</v>
      </c>
      <c r="CR868">
        <v>0</v>
      </c>
      <c r="CS868">
        <v>0</v>
      </c>
      <c r="CT868" t="s">
        <v>168</v>
      </c>
      <c r="CU868">
        <v>0</v>
      </c>
      <c r="CV868" t="s">
        <v>111</v>
      </c>
      <c r="CW868" t="s">
        <v>111</v>
      </c>
      <c r="CX868" t="s">
        <v>111</v>
      </c>
      <c r="CY868">
        <v>0</v>
      </c>
      <c r="CZ868" t="s">
        <v>111</v>
      </c>
      <c r="DA868" t="s">
        <v>111</v>
      </c>
      <c r="DB868" t="s">
        <v>111</v>
      </c>
      <c r="DC868" t="s">
        <v>111</v>
      </c>
    </row>
    <row r="869" spans="1:107">
      <c r="A869">
        <v>378</v>
      </c>
      <c r="B869" t="s">
        <v>162</v>
      </c>
      <c r="C869" t="s">
        <v>2841</v>
      </c>
      <c r="D869" t="s">
        <v>2842</v>
      </c>
      <c r="E869" t="s">
        <v>2843</v>
      </c>
      <c r="F869" t="s">
        <v>2602</v>
      </c>
      <c r="G869" t="s">
        <v>416</v>
      </c>
      <c r="H869">
        <v>0.85</v>
      </c>
      <c r="I869">
        <v>70</v>
      </c>
      <c r="J869">
        <v>0</v>
      </c>
      <c r="K869">
        <v>0</v>
      </c>
      <c r="L869" t="s">
        <v>112</v>
      </c>
      <c r="M869" t="s">
        <v>118</v>
      </c>
      <c r="N869">
        <v>40</v>
      </c>
      <c r="O869">
        <v>2</v>
      </c>
      <c r="P869" t="s">
        <v>138</v>
      </c>
      <c r="Q869">
        <v>40</v>
      </c>
      <c r="R869">
        <v>0</v>
      </c>
      <c r="S869">
        <v>0</v>
      </c>
      <c r="T869">
        <v>0</v>
      </c>
      <c r="U869" s="1" t="s">
        <v>2844</v>
      </c>
      <c r="V869">
        <v>25</v>
      </c>
      <c r="W869">
        <v>0</v>
      </c>
      <c r="X869">
        <v>6</v>
      </c>
      <c r="Y869">
        <v>0</v>
      </c>
      <c r="Z869" t="s">
        <v>288</v>
      </c>
      <c r="AA869">
        <v>0.5</v>
      </c>
      <c r="AB869" t="s">
        <v>111</v>
      </c>
      <c r="AC869">
        <v>0</v>
      </c>
      <c r="AD869" t="s">
        <v>416</v>
      </c>
      <c r="AE869">
        <v>2</v>
      </c>
      <c r="AF869">
        <v>2</v>
      </c>
      <c r="AG869">
        <v>50</v>
      </c>
      <c r="AH869" t="s">
        <v>111</v>
      </c>
      <c r="AI869" t="s">
        <v>111</v>
      </c>
      <c r="AJ869" t="s">
        <v>111</v>
      </c>
      <c r="AK869" t="s">
        <v>111</v>
      </c>
      <c r="AL869" t="s">
        <v>111</v>
      </c>
      <c r="AM869">
        <v>0</v>
      </c>
      <c r="AN869">
        <v>0</v>
      </c>
      <c r="AO869">
        <v>0</v>
      </c>
      <c r="AP869" t="s">
        <v>2845</v>
      </c>
      <c r="AQ869" t="s">
        <v>111</v>
      </c>
      <c r="AR869" t="s">
        <v>111</v>
      </c>
      <c r="AS869" t="s">
        <v>111</v>
      </c>
      <c r="AT869" t="s">
        <v>772</v>
      </c>
      <c r="AU869" t="s">
        <v>111</v>
      </c>
      <c r="AV869" t="s">
        <v>111</v>
      </c>
      <c r="AW869" t="s">
        <v>111</v>
      </c>
      <c r="AX869" t="s">
        <v>111</v>
      </c>
      <c r="AY869" t="s">
        <v>111</v>
      </c>
      <c r="AZ869" t="s">
        <v>111</v>
      </c>
      <c r="BA869" t="s">
        <v>111</v>
      </c>
      <c r="BB869" t="s">
        <v>111</v>
      </c>
      <c r="BC869" t="s">
        <v>111</v>
      </c>
      <c r="BD869" t="s">
        <v>111</v>
      </c>
      <c r="BE869" t="s">
        <v>111</v>
      </c>
      <c r="BF869" t="s">
        <v>111</v>
      </c>
      <c r="BG869" t="s">
        <v>111</v>
      </c>
      <c r="BH869" t="s">
        <v>111</v>
      </c>
      <c r="BI869" t="s">
        <v>111</v>
      </c>
      <c r="BJ869" t="s">
        <v>111</v>
      </c>
      <c r="BK869" t="s">
        <v>111</v>
      </c>
      <c r="BL869" t="s">
        <v>111</v>
      </c>
      <c r="BM869" t="s">
        <v>111</v>
      </c>
      <c r="BN869" t="s">
        <v>111</v>
      </c>
      <c r="BO869" t="s">
        <v>111</v>
      </c>
      <c r="BP869" t="s">
        <v>111</v>
      </c>
      <c r="BQ869" t="s">
        <v>111</v>
      </c>
      <c r="BR869" t="s">
        <v>111</v>
      </c>
      <c r="BS869" t="s">
        <v>111</v>
      </c>
      <c r="BT869" t="s">
        <v>111</v>
      </c>
      <c r="BU869" t="s">
        <v>111</v>
      </c>
      <c r="BV869" t="s">
        <v>111</v>
      </c>
      <c r="BW869" t="s">
        <v>111</v>
      </c>
      <c r="BX869" t="s">
        <v>111</v>
      </c>
      <c r="BY869" t="s">
        <v>111</v>
      </c>
      <c r="BZ869" t="s">
        <v>111</v>
      </c>
      <c r="CA869" t="s">
        <v>111</v>
      </c>
      <c r="CB869" t="s">
        <v>111</v>
      </c>
      <c r="CC869" t="s">
        <v>111</v>
      </c>
      <c r="CD869" t="s">
        <v>111</v>
      </c>
      <c r="CE869" t="s">
        <v>111</v>
      </c>
      <c r="CF869" t="s">
        <v>111</v>
      </c>
      <c r="CG869" t="s">
        <v>111</v>
      </c>
      <c r="CH869" t="s">
        <v>111</v>
      </c>
      <c r="CI869" t="s">
        <v>111</v>
      </c>
      <c r="CJ869" t="s">
        <v>111</v>
      </c>
      <c r="CK869" t="s">
        <v>111</v>
      </c>
      <c r="CL869" t="s">
        <v>153</v>
      </c>
      <c r="CM869" t="s">
        <v>198</v>
      </c>
      <c r="CN869" t="s">
        <v>113</v>
      </c>
      <c r="CO869" t="s">
        <v>111</v>
      </c>
      <c r="CP869" t="s">
        <v>433</v>
      </c>
      <c r="CQ869">
        <v>0</v>
      </c>
      <c r="CR869">
        <v>0</v>
      </c>
      <c r="CS869">
        <v>0</v>
      </c>
      <c r="CT869" t="s">
        <v>168</v>
      </c>
      <c r="CU869">
        <v>0</v>
      </c>
      <c r="CV869" t="s">
        <v>111</v>
      </c>
      <c r="CW869" t="s">
        <v>111</v>
      </c>
      <c r="CX869" t="s">
        <v>111</v>
      </c>
      <c r="CY869">
        <v>0</v>
      </c>
      <c r="CZ869" t="s">
        <v>111</v>
      </c>
      <c r="DA869" t="s">
        <v>111</v>
      </c>
      <c r="DB869" t="s">
        <v>111</v>
      </c>
      <c r="DC869" t="s">
        <v>111</v>
      </c>
    </row>
    <row r="870" spans="1:107">
      <c r="A870">
        <v>369</v>
      </c>
      <c r="B870" t="s">
        <v>162</v>
      </c>
      <c r="C870" t="s">
        <v>154</v>
      </c>
      <c r="D870" t="s">
        <v>2846</v>
      </c>
      <c r="E870" t="s">
        <v>2847</v>
      </c>
      <c r="F870" t="s">
        <v>370</v>
      </c>
      <c r="G870" t="s">
        <v>416</v>
      </c>
      <c r="H870">
        <v>1.5</v>
      </c>
      <c r="I870">
        <v>35.5</v>
      </c>
      <c r="J870">
        <v>6</v>
      </c>
      <c r="K870">
        <v>6</v>
      </c>
      <c r="L870" t="s">
        <v>112</v>
      </c>
      <c r="M870" t="s">
        <v>118</v>
      </c>
      <c r="N870">
        <v>40</v>
      </c>
      <c r="O870">
        <v>2</v>
      </c>
      <c r="P870" t="s">
        <v>138</v>
      </c>
      <c r="Q870">
        <v>40</v>
      </c>
      <c r="R870">
        <v>0</v>
      </c>
      <c r="S870">
        <v>0</v>
      </c>
      <c r="T870">
        <v>0</v>
      </c>
      <c r="U870" t="s">
        <v>1353</v>
      </c>
      <c r="V870">
        <v>25</v>
      </c>
      <c r="W870">
        <v>0</v>
      </c>
      <c r="X870">
        <v>6</v>
      </c>
      <c r="Y870">
        <v>0</v>
      </c>
      <c r="Z870" t="s">
        <v>288</v>
      </c>
      <c r="AA870">
        <v>1.55</v>
      </c>
      <c r="AB870" t="s">
        <v>111</v>
      </c>
      <c r="AC870">
        <v>0</v>
      </c>
      <c r="AD870" t="s">
        <v>416</v>
      </c>
      <c r="AE870">
        <v>2</v>
      </c>
      <c r="AF870">
        <v>2</v>
      </c>
      <c r="AG870">
        <v>60</v>
      </c>
      <c r="AH870" t="s">
        <v>111</v>
      </c>
      <c r="AI870">
        <v>60</v>
      </c>
      <c r="AJ870" t="s">
        <v>111</v>
      </c>
      <c r="AK870" t="s">
        <v>111</v>
      </c>
      <c r="AL870" t="s">
        <v>111</v>
      </c>
      <c r="AM870">
        <v>0</v>
      </c>
      <c r="AN870">
        <v>0</v>
      </c>
      <c r="AO870">
        <v>0</v>
      </c>
      <c r="AP870" t="s">
        <v>188</v>
      </c>
      <c r="AQ870" t="s">
        <v>111</v>
      </c>
      <c r="AR870" t="s">
        <v>111</v>
      </c>
      <c r="AS870" t="s">
        <v>111</v>
      </c>
      <c r="AT870" t="s">
        <v>271</v>
      </c>
      <c r="AU870" t="s">
        <v>111</v>
      </c>
      <c r="AV870" t="s">
        <v>111</v>
      </c>
      <c r="AW870" t="s">
        <v>111</v>
      </c>
      <c r="AX870" t="s">
        <v>111</v>
      </c>
      <c r="AY870" t="s">
        <v>111</v>
      </c>
      <c r="AZ870" t="s">
        <v>111</v>
      </c>
      <c r="BA870" t="s">
        <v>111</v>
      </c>
      <c r="BB870" t="s">
        <v>111</v>
      </c>
      <c r="BC870" t="s">
        <v>111</v>
      </c>
      <c r="BD870" t="s">
        <v>111</v>
      </c>
      <c r="BE870" t="s">
        <v>111</v>
      </c>
      <c r="BF870" t="s">
        <v>111</v>
      </c>
      <c r="BG870" t="s">
        <v>111</v>
      </c>
      <c r="BH870" t="s">
        <v>111</v>
      </c>
      <c r="BI870" t="s">
        <v>111</v>
      </c>
      <c r="BJ870" t="s">
        <v>111</v>
      </c>
      <c r="BK870" t="s">
        <v>111</v>
      </c>
      <c r="BL870" t="s">
        <v>111</v>
      </c>
      <c r="BM870" t="s">
        <v>111</v>
      </c>
      <c r="BN870" t="s">
        <v>111</v>
      </c>
      <c r="BO870" t="s">
        <v>111</v>
      </c>
      <c r="BP870" t="s">
        <v>111</v>
      </c>
      <c r="BQ870" t="s">
        <v>111</v>
      </c>
      <c r="BR870" t="s">
        <v>111</v>
      </c>
      <c r="BS870" t="s">
        <v>111</v>
      </c>
      <c r="BT870" t="s">
        <v>111</v>
      </c>
      <c r="BU870" t="s">
        <v>111</v>
      </c>
      <c r="BV870" t="s">
        <v>111</v>
      </c>
      <c r="BW870" t="s">
        <v>111</v>
      </c>
      <c r="BX870" t="s">
        <v>111</v>
      </c>
      <c r="BY870" t="s">
        <v>111</v>
      </c>
      <c r="BZ870" t="s">
        <v>111</v>
      </c>
      <c r="CA870" t="s">
        <v>111</v>
      </c>
      <c r="CB870" t="s">
        <v>111</v>
      </c>
      <c r="CC870" t="s">
        <v>111</v>
      </c>
      <c r="CD870" t="s">
        <v>111</v>
      </c>
      <c r="CE870" t="s">
        <v>111</v>
      </c>
      <c r="CF870" t="s">
        <v>111</v>
      </c>
      <c r="CG870" t="s">
        <v>111</v>
      </c>
      <c r="CH870" t="s">
        <v>111</v>
      </c>
      <c r="CI870" t="s">
        <v>111</v>
      </c>
      <c r="CJ870" t="s">
        <v>111</v>
      </c>
      <c r="CK870" t="s">
        <v>111</v>
      </c>
      <c r="CL870" t="s">
        <v>153</v>
      </c>
      <c r="CM870" t="s">
        <v>198</v>
      </c>
      <c r="CN870" t="s">
        <v>128</v>
      </c>
      <c r="CO870" t="s">
        <v>974</v>
      </c>
      <c r="CP870" t="s">
        <v>433</v>
      </c>
      <c r="CQ870">
        <v>0</v>
      </c>
      <c r="CR870">
        <v>0</v>
      </c>
      <c r="CS870">
        <v>20</v>
      </c>
      <c r="CT870" t="s">
        <v>1353</v>
      </c>
      <c r="CU870">
        <v>0</v>
      </c>
      <c r="CV870" t="s">
        <v>111</v>
      </c>
      <c r="CW870" t="s">
        <v>111</v>
      </c>
      <c r="CX870" t="s">
        <v>111</v>
      </c>
      <c r="CY870">
        <v>0</v>
      </c>
      <c r="CZ870" t="s">
        <v>111</v>
      </c>
      <c r="DA870" t="s">
        <v>111</v>
      </c>
      <c r="DB870" t="s">
        <v>204</v>
      </c>
      <c r="DC870" s="1" t="s">
        <v>1363</v>
      </c>
    </row>
    <row r="871" spans="1:107">
      <c r="A871">
        <v>370</v>
      </c>
      <c r="B871" t="s">
        <v>162</v>
      </c>
      <c r="C871" t="s">
        <v>154</v>
      </c>
      <c r="D871" t="s">
        <v>2848</v>
      </c>
      <c r="E871" t="s">
        <v>2849</v>
      </c>
      <c r="F871" t="s">
        <v>370</v>
      </c>
      <c r="G871" t="s">
        <v>416</v>
      </c>
      <c r="H871">
        <v>1.4</v>
      </c>
      <c r="I871">
        <v>20</v>
      </c>
      <c r="J871">
        <v>6</v>
      </c>
      <c r="K871">
        <v>6</v>
      </c>
      <c r="L871" t="s">
        <v>112</v>
      </c>
      <c r="M871" t="s">
        <v>118</v>
      </c>
      <c r="N871">
        <v>40</v>
      </c>
      <c r="O871">
        <v>2</v>
      </c>
      <c r="P871" t="s">
        <v>118</v>
      </c>
      <c r="Q871">
        <v>40</v>
      </c>
      <c r="R871">
        <v>0</v>
      </c>
      <c r="S871">
        <v>0</v>
      </c>
      <c r="T871">
        <v>0</v>
      </c>
      <c r="U871" t="s">
        <v>1353</v>
      </c>
      <c r="V871">
        <v>25</v>
      </c>
      <c r="W871">
        <v>0</v>
      </c>
      <c r="X871">
        <v>6</v>
      </c>
      <c r="Y871">
        <v>0</v>
      </c>
      <c r="Z871" t="s">
        <v>288</v>
      </c>
      <c r="AA871">
        <v>1.55</v>
      </c>
      <c r="AB871" t="s">
        <v>111</v>
      </c>
      <c r="AC871">
        <v>0</v>
      </c>
      <c r="AD871" t="s">
        <v>416</v>
      </c>
      <c r="AE871">
        <v>20</v>
      </c>
      <c r="AF871">
        <v>2</v>
      </c>
      <c r="AG871">
        <v>30</v>
      </c>
      <c r="AH871" t="s">
        <v>111</v>
      </c>
      <c r="AI871">
        <v>30</v>
      </c>
      <c r="AJ871" t="s">
        <v>111</v>
      </c>
      <c r="AK871" t="s">
        <v>111</v>
      </c>
      <c r="AL871" t="s">
        <v>111</v>
      </c>
      <c r="AM871">
        <v>0</v>
      </c>
      <c r="AN871">
        <v>0</v>
      </c>
      <c r="AO871">
        <v>0</v>
      </c>
      <c r="AP871" t="s">
        <v>271</v>
      </c>
      <c r="AQ871" t="s">
        <v>111</v>
      </c>
      <c r="AR871" t="s">
        <v>111</v>
      </c>
      <c r="AS871" t="s">
        <v>111</v>
      </c>
      <c r="AT871" t="s">
        <v>188</v>
      </c>
      <c r="AU871" t="s">
        <v>111</v>
      </c>
      <c r="AV871" t="s">
        <v>111</v>
      </c>
      <c r="AW871" t="s">
        <v>111</v>
      </c>
      <c r="AX871" t="s">
        <v>111</v>
      </c>
      <c r="AY871" t="s">
        <v>111</v>
      </c>
      <c r="AZ871" t="s">
        <v>111</v>
      </c>
      <c r="BA871" t="s">
        <v>111</v>
      </c>
      <c r="BB871" t="s">
        <v>111</v>
      </c>
      <c r="BC871" t="s">
        <v>111</v>
      </c>
      <c r="BD871" t="s">
        <v>111</v>
      </c>
      <c r="BE871" t="s">
        <v>111</v>
      </c>
      <c r="BF871" t="s">
        <v>111</v>
      </c>
      <c r="BG871" t="s">
        <v>111</v>
      </c>
      <c r="BH871" t="s">
        <v>111</v>
      </c>
      <c r="BI871" t="s">
        <v>111</v>
      </c>
      <c r="BJ871" t="s">
        <v>111</v>
      </c>
      <c r="BK871" t="s">
        <v>111</v>
      </c>
      <c r="BL871" t="s">
        <v>111</v>
      </c>
      <c r="BM871" t="s">
        <v>111</v>
      </c>
      <c r="BN871" t="s">
        <v>111</v>
      </c>
      <c r="BO871" t="s">
        <v>111</v>
      </c>
      <c r="BP871" t="s">
        <v>111</v>
      </c>
      <c r="BQ871" t="s">
        <v>111</v>
      </c>
      <c r="BR871" t="s">
        <v>111</v>
      </c>
      <c r="BS871" t="s">
        <v>111</v>
      </c>
      <c r="BT871" t="s">
        <v>111</v>
      </c>
      <c r="BU871" t="s">
        <v>111</v>
      </c>
      <c r="BV871" t="s">
        <v>111</v>
      </c>
      <c r="BW871" t="s">
        <v>111</v>
      </c>
      <c r="BX871" t="s">
        <v>111</v>
      </c>
      <c r="BY871" t="s">
        <v>111</v>
      </c>
      <c r="BZ871" t="s">
        <v>111</v>
      </c>
      <c r="CA871" t="s">
        <v>111</v>
      </c>
      <c r="CB871" t="s">
        <v>111</v>
      </c>
      <c r="CC871" t="s">
        <v>111</v>
      </c>
      <c r="CD871" t="s">
        <v>111</v>
      </c>
      <c r="CE871" t="s">
        <v>111</v>
      </c>
      <c r="CF871" t="s">
        <v>111</v>
      </c>
      <c r="CG871" t="s">
        <v>111</v>
      </c>
      <c r="CH871" t="s">
        <v>111</v>
      </c>
      <c r="CI871" t="s">
        <v>111</v>
      </c>
      <c r="CJ871" t="s">
        <v>111</v>
      </c>
      <c r="CK871" t="s">
        <v>111</v>
      </c>
      <c r="CL871" t="s">
        <v>153</v>
      </c>
      <c r="CM871" t="s">
        <v>198</v>
      </c>
      <c r="CN871" t="s">
        <v>128</v>
      </c>
      <c r="CO871" t="s">
        <v>974</v>
      </c>
      <c r="CP871" t="s">
        <v>433</v>
      </c>
      <c r="CQ871">
        <v>0</v>
      </c>
      <c r="CR871">
        <v>0</v>
      </c>
      <c r="CS871">
        <v>0</v>
      </c>
      <c r="CT871" t="s">
        <v>2850</v>
      </c>
      <c r="CU871">
        <v>0</v>
      </c>
      <c r="CV871" t="s">
        <v>111</v>
      </c>
      <c r="CW871" t="s">
        <v>111</v>
      </c>
      <c r="CX871" t="s">
        <v>111</v>
      </c>
      <c r="CY871">
        <v>0</v>
      </c>
      <c r="CZ871" t="s">
        <v>111</v>
      </c>
      <c r="DA871" t="s">
        <v>111</v>
      </c>
      <c r="DB871" t="s">
        <v>204</v>
      </c>
      <c r="DC871" s="1" t="s">
        <v>1363</v>
      </c>
    </row>
    <row r="872" spans="1:107">
      <c r="A872">
        <v>525</v>
      </c>
      <c r="B872" t="s">
        <v>162</v>
      </c>
      <c r="C872" t="s">
        <v>351</v>
      </c>
      <c r="D872" t="s">
        <v>953</v>
      </c>
      <c r="E872" t="s">
        <v>2851</v>
      </c>
      <c r="F872" t="s">
        <v>739</v>
      </c>
      <c r="G872" t="s">
        <v>416</v>
      </c>
      <c r="H872">
        <v>4.5</v>
      </c>
      <c r="I872">
        <v>27</v>
      </c>
      <c r="J872">
        <v>0</v>
      </c>
      <c r="K872">
        <v>0</v>
      </c>
      <c r="L872" t="s">
        <v>112</v>
      </c>
      <c r="M872" t="s">
        <v>118</v>
      </c>
      <c r="N872">
        <v>40</v>
      </c>
      <c r="O872">
        <v>2</v>
      </c>
      <c r="P872" t="s">
        <v>138</v>
      </c>
      <c r="Q872">
        <v>40</v>
      </c>
      <c r="R872">
        <v>0</v>
      </c>
      <c r="S872">
        <v>0</v>
      </c>
      <c r="T872">
        <v>0</v>
      </c>
      <c r="U872" t="s">
        <v>1353</v>
      </c>
      <c r="V872">
        <v>0</v>
      </c>
      <c r="W872">
        <v>25</v>
      </c>
      <c r="X872">
        <v>10</v>
      </c>
      <c r="Y872">
        <v>0</v>
      </c>
      <c r="Z872" t="s">
        <v>288</v>
      </c>
      <c r="AA872">
        <v>1.75</v>
      </c>
      <c r="AB872" t="s">
        <v>111</v>
      </c>
      <c r="AC872">
        <v>0</v>
      </c>
      <c r="AD872" t="s">
        <v>416</v>
      </c>
      <c r="AE872">
        <v>2</v>
      </c>
      <c r="AF872">
        <v>2</v>
      </c>
      <c r="AG872">
        <v>38</v>
      </c>
      <c r="AH872" t="s">
        <v>111</v>
      </c>
      <c r="AI872">
        <v>38</v>
      </c>
      <c r="AJ872" t="s">
        <v>111</v>
      </c>
      <c r="AK872" t="s">
        <v>111</v>
      </c>
      <c r="AL872" t="s">
        <v>111</v>
      </c>
      <c r="AM872">
        <v>0</v>
      </c>
      <c r="AN872">
        <v>0</v>
      </c>
      <c r="AO872">
        <v>0</v>
      </c>
      <c r="AP872" t="s">
        <v>271</v>
      </c>
      <c r="AQ872" t="s">
        <v>111</v>
      </c>
      <c r="AR872" t="s">
        <v>111</v>
      </c>
      <c r="AS872" t="s">
        <v>111</v>
      </c>
      <c r="AT872" t="s">
        <v>366</v>
      </c>
      <c r="AU872" t="s">
        <v>111</v>
      </c>
      <c r="AV872" t="s">
        <v>111</v>
      </c>
      <c r="AW872" t="s">
        <v>111</v>
      </c>
      <c r="AX872" t="s">
        <v>111</v>
      </c>
      <c r="AY872" t="s">
        <v>111</v>
      </c>
      <c r="AZ872" t="s">
        <v>111</v>
      </c>
      <c r="BA872" t="s">
        <v>111</v>
      </c>
      <c r="BB872" t="s">
        <v>111</v>
      </c>
      <c r="BC872" t="s">
        <v>111</v>
      </c>
      <c r="BD872" t="s">
        <v>111</v>
      </c>
      <c r="BE872" t="s">
        <v>111</v>
      </c>
      <c r="BF872" t="s">
        <v>111</v>
      </c>
      <c r="BG872" t="s">
        <v>111</v>
      </c>
      <c r="BH872" t="s">
        <v>111</v>
      </c>
      <c r="BI872" t="s">
        <v>111</v>
      </c>
      <c r="BJ872" t="s">
        <v>111</v>
      </c>
      <c r="BK872" t="s">
        <v>111</v>
      </c>
      <c r="BL872" t="s">
        <v>111</v>
      </c>
      <c r="BM872" t="s">
        <v>111</v>
      </c>
      <c r="BN872" t="s">
        <v>111</v>
      </c>
      <c r="BO872" t="s">
        <v>111</v>
      </c>
      <c r="BP872" t="s">
        <v>111</v>
      </c>
      <c r="BQ872" t="s">
        <v>111</v>
      </c>
      <c r="BR872" t="s">
        <v>111</v>
      </c>
      <c r="BS872" t="s">
        <v>111</v>
      </c>
      <c r="BT872" t="s">
        <v>111</v>
      </c>
      <c r="BU872" t="s">
        <v>111</v>
      </c>
      <c r="BV872" t="s">
        <v>111</v>
      </c>
      <c r="BW872" t="s">
        <v>111</v>
      </c>
      <c r="BX872" t="s">
        <v>111</v>
      </c>
      <c r="BY872" t="s">
        <v>111</v>
      </c>
      <c r="BZ872" t="s">
        <v>111</v>
      </c>
      <c r="CA872" t="s">
        <v>111</v>
      </c>
      <c r="CB872" t="s">
        <v>111</v>
      </c>
      <c r="CC872" t="s">
        <v>111</v>
      </c>
      <c r="CD872" t="s">
        <v>111</v>
      </c>
      <c r="CE872" t="s">
        <v>111</v>
      </c>
      <c r="CF872" t="s">
        <v>111</v>
      </c>
      <c r="CG872" t="s">
        <v>111</v>
      </c>
      <c r="CH872" t="s">
        <v>111</v>
      </c>
      <c r="CI872" t="s">
        <v>111</v>
      </c>
      <c r="CJ872" t="s">
        <v>111</v>
      </c>
      <c r="CK872" t="s">
        <v>111</v>
      </c>
      <c r="CL872" t="s">
        <v>153</v>
      </c>
      <c r="CM872" t="s">
        <v>198</v>
      </c>
      <c r="CN872" t="s">
        <v>128</v>
      </c>
      <c r="CO872" t="s">
        <v>111</v>
      </c>
      <c r="CP872" t="s">
        <v>433</v>
      </c>
      <c r="CQ872">
        <v>0</v>
      </c>
      <c r="CR872">
        <v>0</v>
      </c>
      <c r="CS872">
        <v>0</v>
      </c>
      <c r="CT872" t="s">
        <v>168</v>
      </c>
      <c r="CU872">
        <v>0</v>
      </c>
      <c r="CV872" t="s">
        <v>111</v>
      </c>
      <c r="CW872" t="s">
        <v>111</v>
      </c>
      <c r="CX872" t="s">
        <v>111</v>
      </c>
      <c r="CY872">
        <v>0</v>
      </c>
      <c r="CZ872" t="s">
        <v>111</v>
      </c>
      <c r="DA872" t="s">
        <v>111</v>
      </c>
      <c r="DB872" t="s">
        <v>111</v>
      </c>
      <c r="DC872" t="s">
        <v>111</v>
      </c>
    </row>
    <row r="873" spans="1:107">
      <c r="A873">
        <v>569</v>
      </c>
      <c r="B873" t="s">
        <v>162</v>
      </c>
      <c r="C873" t="s">
        <v>1295</v>
      </c>
      <c r="D873" t="s">
        <v>2852</v>
      </c>
      <c r="E873" t="s">
        <v>2853</v>
      </c>
      <c r="F873" t="s">
        <v>561</v>
      </c>
      <c r="G873" t="s">
        <v>416</v>
      </c>
      <c r="H873">
        <v>2.5</v>
      </c>
      <c r="I873">
        <v>29</v>
      </c>
      <c r="J873">
        <v>0</v>
      </c>
      <c r="K873">
        <v>0</v>
      </c>
      <c r="L873" t="s">
        <v>178</v>
      </c>
      <c r="M873" t="s">
        <v>118</v>
      </c>
      <c r="N873">
        <v>40</v>
      </c>
      <c r="O873">
        <v>2</v>
      </c>
      <c r="P873" t="s">
        <v>138</v>
      </c>
      <c r="Q873">
        <v>40</v>
      </c>
      <c r="R873">
        <v>0</v>
      </c>
      <c r="S873">
        <v>0</v>
      </c>
      <c r="T873">
        <v>0</v>
      </c>
      <c r="U873" t="s">
        <v>1353</v>
      </c>
      <c r="V873">
        <v>25</v>
      </c>
      <c r="W873">
        <v>0</v>
      </c>
      <c r="X873">
        <v>8</v>
      </c>
      <c r="Y873">
        <v>0</v>
      </c>
      <c r="Z873" t="s">
        <v>111</v>
      </c>
      <c r="AA873">
        <v>0</v>
      </c>
      <c r="AB873" t="s">
        <v>111</v>
      </c>
      <c r="AC873">
        <v>0</v>
      </c>
      <c r="AD873" t="s">
        <v>416</v>
      </c>
      <c r="AE873">
        <v>2</v>
      </c>
      <c r="AF873">
        <v>2</v>
      </c>
      <c r="AG873">
        <v>30</v>
      </c>
      <c r="AH873" t="s">
        <v>111</v>
      </c>
      <c r="AI873">
        <v>30</v>
      </c>
      <c r="AJ873" t="s">
        <v>111</v>
      </c>
      <c r="AK873" t="s">
        <v>111</v>
      </c>
      <c r="AL873" t="s">
        <v>111</v>
      </c>
      <c r="AM873">
        <v>0</v>
      </c>
      <c r="AN873">
        <v>0</v>
      </c>
      <c r="AO873">
        <v>0</v>
      </c>
      <c r="AP873" t="s">
        <v>366</v>
      </c>
      <c r="AQ873" t="s">
        <v>111</v>
      </c>
      <c r="AR873" t="s">
        <v>111</v>
      </c>
      <c r="AS873" t="s">
        <v>111</v>
      </c>
      <c r="AT873" t="s">
        <v>184</v>
      </c>
      <c r="AU873" t="s">
        <v>111</v>
      </c>
      <c r="AV873" t="s">
        <v>111</v>
      </c>
      <c r="AW873" t="s">
        <v>111</v>
      </c>
      <c r="AX873" t="s">
        <v>111</v>
      </c>
      <c r="AY873" t="s">
        <v>111</v>
      </c>
      <c r="AZ873" t="s">
        <v>111</v>
      </c>
      <c r="BA873" t="s">
        <v>111</v>
      </c>
      <c r="BB873" t="s">
        <v>111</v>
      </c>
      <c r="BC873" t="s">
        <v>111</v>
      </c>
      <c r="BD873" t="s">
        <v>111</v>
      </c>
      <c r="BE873" t="s">
        <v>111</v>
      </c>
      <c r="BF873" t="s">
        <v>111</v>
      </c>
      <c r="BG873" t="s">
        <v>111</v>
      </c>
      <c r="BH873" t="s">
        <v>111</v>
      </c>
      <c r="BI873" t="s">
        <v>111</v>
      </c>
      <c r="BJ873" t="s">
        <v>111</v>
      </c>
      <c r="BK873" t="s">
        <v>111</v>
      </c>
      <c r="BL873" t="s">
        <v>111</v>
      </c>
      <c r="BM873" t="s">
        <v>111</v>
      </c>
      <c r="BN873" t="s">
        <v>111</v>
      </c>
      <c r="BO873" t="s">
        <v>111</v>
      </c>
      <c r="BP873" t="s">
        <v>111</v>
      </c>
      <c r="BQ873" t="s">
        <v>111</v>
      </c>
      <c r="BR873" t="s">
        <v>111</v>
      </c>
      <c r="BS873" t="s">
        <v>111</v>
      </c>
      <c r="BT873" t="s">
        <v>111</v>
      </c>
      <c r="BU873" t="s">
        <v>111</v>
      </c>
      <c r="BV873" t="s">
        <v>111</v>
      </c>
      <c r="BW873" t="s">
        <v>111</v>
      </c>
      <c r="BX873" t="s">
        <v>111</v>
      </c>
      <c r="BY873" t="s">
        <v>111</v>
      </c>
      <c r="BZ873" t="s">
        <v>111</v>
      </c>
      <c r="CA873" t="s">
        <v>111</v>
      </c>
      <c r="CB873" t="s">
        <v>111</v>
      </c>
      <c r="CC873" t="s">
        <v>111</v>
      </c>
      <c r="CD873" t="s">
        <v>111</v>
      </c>
      <c r="CE873" t="s">
        <v>111</v>
      </c>
      <c r="CF873" t="s">
        <v>111</v>
      </c>
      <c r="CG873" t="s">
        <v>111</v>
      </c>
      <c r="CH873" t="s">
        <v>111</v>
      </c>
      <c r="CI873" t="s">
        <v>111</v>
      </c>
      <c r="CJ873" t="s">
        <v>111</v>
      </c>
      <c r="CK873" t="s">
        <v>111</v>
      </c>
      <c r="CL873" t="s">
        <v>153</v>
      </c>
      <c r="CM873" t="s">
        <v>198</v>
      </c>
      <c r="CN873" t="s">
        <v>113</v>
      </c>
      <c r="CO873" t="s">
        <v>111</v>
      </c>
      <c r="CP873" t="s">
        <v>433</v>
      </c>
      <c r="CQ873">
        <v>0</v>
      </c>
      <c r="CR873">
        <v>0</v>
      </c>
      <c r="CS873">
        <v>0</v>
      </c>
      <c r="CT873" t="s">
        <v>419</v>
      </c>
      <c r="CU873">
        <v>0</v>
      </c>
      <c r="CV873" t="s">
        <v>111</v>
      </c>
      <c r="CW873" t="s">
        <v>111</v>
      </c>
      <c r="CX873" t="s">
        <v>111</v>
      </c>
      <c r="CY873">
        <v>0</v>
      </c>
      <c r="CZ873" t="s">
        <v>111</v>
      </c>
      <c r="DA873" t="s">
        <v>111</v>
      </c>
      <c r="DB873" t="s">
        <v>240</v>
      </c>
      <c r="DC873" s="1" t="s">
        <v>2854</v>
      </c>
    </row>
    <row r="874" spans="1:107">
      <c r="A874">
        <v>368</v>
      </c>
      <c r="B874" t="s">
        <v>162</v>
      </c>
      <c r="C874" t="s">
        <v>1295</v>
      </c>
      <c r="D874" t="s">
        <v>2852</v>
      </c>
      <c r="E874" t="s">
        <v>2855</v>
      </c>
      <c r="F874" t="s">
        <v>561</v>
      </c>
      <c r="G874" t="s">
        <v>416</v>
      </c>
      <c r="H874">
        <v>2.5</v>
      </c>
      <c r="I874">
        <v>29</v>
      </c>
      <c r="J874">
        <v>0</v>
      </c>
      <c r="K874">
        <v>0</v>
      </c>
      <c r="L874" t="s">
        <v>178</v>
      </c>
      <c r="M874" t="s">
        <v>118</v>
      </c>
      <c r="N874">
        <v>40</v>
      </c>
      <c r="O874">
        <v>2</v>
      </c>
      <c r="P874" t="s">
        <v>138</v>
      </c>
      <c r="Q874">
        <v>35</v>
      </c>
      <c r="R874">
        <v>0</v>
      </c>
      <c r="S874">
        <v>0</v>
      </c>
      <c r="T874">
        <v>0</v>
      </c>
      <c r="U874" t="s">
        <v>1353</v>
      </c>
      <c r="V874">
        <v>25</v>
      </c>
      <c r="W874">
        <v>0</v>
      </c>
      <c r="X874">
        <v>8</v>
      </c>
      <c r="Y874">
        <v>0</v>
      </c>
      <c r="Z874" t="s">
        <v>111</v>
      </c>
      <c r="AA874">
        <v>0</v>
      </c>
      <c r="AB874" t="s">
        <v>111</v>
      </c>
      <c r="AC874">
        <v>0</v>
      </c>
      <c r="AD874" t="s">
        <v>416</v>
      </c>
      <c r="AE874">
        <v>2</v>
      </c>
      <c r="AF874">
        <v>2</v>
      </c>
      <c r="AG874">
        <v>30</v>
      </c>
      <c r="AH874" t="s">
        <v>111</v>
      </c>
      <c r="AI874">
        <v>30</v>
      </c>
      <c r="AJ874" t="s">
        <v>111</v>
      </c>
      <c r="AK874" t="s">
        <v>111</v>
      </c>
      <c r="AL874" t="s">
        <v>111</v>
      </c>
      <c r="AM874">
        <v>0</v>
      </c>
      <c r="AN874">
        <v>0</v>
      </c>
      <c r="AO874">
        <v>0</v>
      </c>
      <c r="AP874" t="s">
        <v>366</v>
      </c>
      <c r="AQ874" t="s">
        <v>111</v>
      </c>
      <c r="AR874" t="s">
        <v>111</v>
      </c>
      <c r="AS874" t="s">
        <v>111</v>
      </c>
      <c r="AT874" t="s">
        <v>184</v>
      </c>
      <c r="AU874" t="s">
        <v>111</v>
      </c>
      <c r="AV874" t="s">
        <v>111</v>
      </c>
      <c r="AW874" t="s">
        <v>111</v>
      </c>
      <c r="AX874" t="s">
        <v>111</v>
      </c>
      <c r="AY874" t="s">
        <v>111</v>
      </c>
      <c r="AZ874" t="s">
        <v>111</v>
      </c>
      <c r="BA874" t="s">
        <v>111</v>
      </c>
      <c r="BB874" t="s">
        <v>111</v>
      </c>
      <c r="BC874" t="s">
        <v>111</v>
      </c>
      <c r="BD874" t="s">
        <v>111</v>
      </c>
      <c r="BE874" t="s">
        <v>111</v>
      </c>
      <c r="BF874" t="s">
        <v>111</v>
      </c>
      <c r="BG874" t="s">
        <v>111</v>
      </c>
      <c r="BH874" t="s">
        <v>111</v>
      </c>
      <c r="BI874" t="s">
        <v>111</v>
      </c>
      <c r="BJ874" t="s">
        <v>111</v>
      </c>
      <c r="BK874" t="s">
        <v>111</v>
      </c>
      <c r="BL874" t="s">
        <v>111</v>
      </c>
      <c r="BM874" t="s">
        <v>111</v>
      </c>
      <c r="BN874" t="s">
        <v>111</v>
      </c>
      <c r="BO874" t="s">
        <v>111</v>
      </c>
      <c r="BP874" t="s">
        <v>111</v>
      </c>
      <c r="BQ874" t="s">
        <v>111</v>
      </c>
      <c r="BR874" t="s">
        <v>111</v>
      </c>
      <c r="BS874" t="s">
        <v>111</v>
      </c>
      <c r="BT874" t="s">
        <v>111</v>
      </c>
      <c r="BU874" t="s">
        <v>111</v>
      </c>
      <c r="BV874" t="s">
        <v>111</v>
      </c>
      <c r="BW874" t="s">
        <v>111</v>
      </c>
      <c r="BX874" t="s">
        <v>111</v>
      </c>
      <c r="BY874" t="s">
        <v>111</v>
      </c>
      <c r="BZ874" t="s">
        <v>111</v>
      </c>
      <c r="CA874" t="s">
        <v>111</v>
      </c>
      <c r="CB874" t="s">
        <v>111</v>
      </c>
      <c r="CC874" t="s">
        <v>111</v>
      </c>
      <c r="CD874" t="s">
        <v>111</v>
      </c>
      <c r="CE874" t="s">
        <v>111</v>
      </c>
      <c r="CF874" t="s">
        <v>111</v>
      </c>
      <c r="CG874" t="s">
        <v>111</v>
      </c>
      <c r="CH874" t="s">
        <v>111</v>
      </c>
      <c r="CI874" t="s">
        <v>111</v>
      </c>
      <c r="CJ874" t="s">
        <v>111</v>
      </c>
      <c r="CK874" t="s">
        <v>111</v>
      </c>
      <c r="CL874" t="s">
        <v>111</v>
      </c>
      <c r="CM874" t="s">
        <v>198</v>
      </c>
      <c r="CN874" t="s">
        <v>113</v>
      </c>
      <c r="CO874" t="s">
        <v>111</v>
      </c>
      <c r="CP874" t="s">
        <v>433</v>
      </c>
      <c r="CQ874">
        <v>0</v>
      </c>
      <c r="CR874">
        <v>0</v>
      </c>
      <c r="CS874">
        <v>0</v>
      </c>
      <c r="CT874" t="s">
        <v>168</v>
      </c>
      <c r="CU874">
        <v>0</v>
      </c>
      <c r="CV874" t="s">
        <v>111</v>
      </c>
      <c r="CW874" t="s">
        <v>111</v>
      </c>
      <c r="CX874" t="s">
        <v>111</v>
      </c>
      <c r="CY874">
        <v>0</v>
      </c>
      <c r="CZ874" t="s">
        <v>111</v>
      </c>
      <c r="DA874" t="s">
        <v>111</v>
      </c>
      <c r="DB874" t="s">
        <v>240</v>
      </c>
      <c r="DC874" s="1" t="s">
        <v>2856</v>
      </c>
    </row>
    <row r="875" spans="1:107">
      <c r="A875">
        <v>374</v>
      </c>
      <c r="B875" t="s">
        <v>162</v>
      </c>
      <c r="C875" t="s">
        <v>388</v>
      </c>
      <c r="D875" t="s">
        <v>2857</v>
      </c>
      <c r="E875" t="s">
        <v>2858</v>
      </c>
      <c r="F875" t="s">
        <v>157</v>
      </c>
      <c r="G875" t="s">
        <v>416</v>
      </c>
      <c r="H875">
        <v>2</v>
      </c>
      <c r="I875">
        <v>5</v>
      </c>
      <c r="J875">
        <v>0</v>
      </c>
      <c r="K875">
        <v>0</v>
      </c>
      <c r="L875" t="s">
        <v>112</v>
      </c>
      <c r="M875" t="s">
        <v>138</v>
      </c>
      <c r="N875">
        <v>0</v>
      </c>
      <c r="O875">
        <v>0</v>
      </c>
      <c r="P875" t="s">
        <v>111</v>
      </c>
      <c r="Q875">
        <v>15</v>
      </c>
      <c r="R875">
        <v>0</v>
      </c>
      <c r="S875">
        <v>0</v>
      </c>
      <c r="T875">
        <v>0</v>
      </c>
      <c r="U875" t="s">
        <v>168</v>
      </c>
      <c r="V875">
        <v>0</v>
      </c>
      <c r="W875">
        <v>25</v>
      </c>
      <c r="X875">
        <v>6</v>
      </c>
      <c r="Y875">
        <v>0</v>
      </c>
      <c r="Z875" t="s">
        <v>111</v>
      </c>
      <c r="AA875">
        <v>0</v>
      </c>
      <c r="AB875" t="s">
        <v>111</v>
      </c>
      <c r="AC875">
        <v>0</v>
      </c>
      <c r="AD875" t="s">
        <v>111</v>
      </c>
      <c r="AE875">
        <v>0</v>
      </c>
      <c r="AF875">
        <v>0</v>
      </c>
      <c r="AG875" t="s">
        <v>111</v>
      </c>
      <c r="AH875" t="s">
        <v>111</v>
      </c>
      <c r="AI875" t="s">
        <v>111</v>
      </c>
      <c r="AJ875" t="s">
        <v>111</v>
      </c>
      <c r="AK875" t="s">
        <v>111</v>
      </c>
      <c r="AL875" t="s">
        <v>111</v>
      </c>
      <c r="AM875">
        <v>0</v>
      </c>
      <c r="AN875">
        <v>0</v>
      </c>
      <c r="AO875">
        <v>0</v>
      </c>
      <c r="AP875" t="s">
        <v>111</v>
      </c>
      <c r="AQ875" t="s">
        <v>111</v>
      </c>
      <c r="AR875" t="s">
        <v>111</v>
      </c>
      <c r="AS875" t="s">
        <v>111</v>
      </c>
      <c r="AT875" t="s">
        <v>111</v>
      </c>
      <c r="AU875" t="s">
        <v>111</v>
      </c>
      <c r="AV875" t="s">
        <v>111</v>
      </c>
      <c r="AW875" t="s">
        <v>111</v>
      </c>
      <c r="AX875" t="s">
        <v>111</v>
      </c>
      <c r="AY875" t="s">
        <v>111</v>
      </c>
      <c r="AZ875" t="s">
        <v>111</v>
      </c>
      <c r="BA875" t="s">
        <v>111</v>
      </c>
      <c r="BB875" t="s">
        <v>111</v>
      </c>
      <c r="BC875" t="s">
        <v>111</v>
      </c>
      <c r="BD875" t="s">
        <v>111</v>
      </c>
      <c r="BE875" t="s">
        <v>111</v>
      </c>
      <c r="BF875" t="s">
        <v>111</v>
      </c>
      <c r="BG875" t="s">
        <v>111</v>
      </c>
      <c r="BH875" t="s">
        <v>111</v>
      </c>
      <c r="BI875" t="s">
        <v>111</v>
      </c>
      <c r="BJ875" t="s">
        <v>111</v>
      </c>
      <c r="BK875" t="s">
        <v>111</v>
      </c>
      <c r="BL875" t="s">
        <v>111</v>
      </c>
      <c r="BM875" t="s">
        <v>111</v>
      </c>
      <c r="BN875" t="s">
        <v>111</v>
      </c>
      <c r="BO875" t="s">
        <v>111</v>
      </c>
      <c r="BP875" t="s">
        <v>111</v>
      </c>
      <c r="BQ875" t="s">
        <v>111</v>
      </c>
      <c r="BR875" t="s">
        <v>111</v>
      </c>
      <c r="BS875" t="s">
        <v>111</v>
      </c>
      <c r="BT875" t="s">
        <v>111</v>
      </c>
      <c r="BU875" t="s">
        <v>111</v>
      </c>
      <c r="BV875" t="s">
        <v>111</v>
      </c>
      <c r="BW875" t="s">
        <v>111</v>
      </c>
      <c r="BX875" t="s">
        <v>111</v>
      </c>
      <c r="BY875" t="s">
        <v>111</v>
      </c>
      <c r="BZ875" t="s">
        <v>111</v>
      </c>
      <c r="CA875" t="s">
        <v>111</v>
      </c>
      <c r="CB875" t="s">
        <v>111</v>
      </c>
      <c r="CC875" t="s">
        <v>111</v>
      </c>
      <c r="CD875" t="s">
        <v>111</v>
      </c>
      <c r="CE875" t="s">
        <v>111</v>
      </c>
      <c r="CF875" t="s">
        <v>111</v>
      </c>
      <c r="CG875" t="s">
        <v>111</v>
      </c>
      <c r="CH875" t="s">
        <v>111</v>
      </c>
      <c r="CI875" t="s">
        <v>111</v>
      </c>
      <c r="CJ875" t="s">
        <v>111</v>
      </c>
      <c r="CK875" t="s">
        <v>111</v>
      </c>
      <c r="CL875" t="s">
        <v>111</v>
      </c>
      <c r="CM875" t="s">
        <v>111</v>
      </c>
      <c r="CN875" t="s">
        <v>111</v>
      </c>
      <c r="CO875" t="s">
        <v>111</v>
      </c>
      <c r="CP875" t="s">
        <v>111</v>
      </c>
      <c r="CQ875">
        <v>0</v>
      </c>
      <c r="CR875">
        <v>0</v>
      </c>
      <c r="CS875">
        <v>0</v>
      </c>
      <c r="CT875" t="s">
        <v>111</v>
      </c>
      <c r="CU875">
        <v>0</v>
      </c>
      <c r="CV875" t="s">
        <v>111</v>
      </c>
      <c r="CW875" t="s">
        <v>111</v>
      </c>
      <c r="CX875" t="s">
        <v>111</v>
      </c>
      <c r="CY875">
        <v>0</v>
      </c>
      <c r="CZ875" t="s">
        <v>111</v>
      </c>
      <c r="DA875" t="s">
        <v>111</v>
      </c>
      <c r="DB875" t="s">
        <v>111</v>
      </c>
      <c r="DC875" t="s">
        <v>111</v>
      </c>
    </row>
    <row r="876" spans="1:107">
      <c r="A876">
        <v>375</v>
      </c>
      <c r="B876" t="s">
        <v>162</v>
      </c>
      <c r="C876" t="s">
        <v>171</v>
      </c>
      <c r="D876" t="s">
        <v>1741</v>
      </c>
      <c r="E876" t="s">
        <v>2859</v>
      </c>
      <c r="F876" t="s">
        <v>431</v>
      </c>
      <c r="G876" t="s">
        <v>416</v>
      </c>
      <c r="H876">
        <v>1.9</v>
      </c>
      <c r="I876">
        <v>48</v>
      </c>
      <c r="J876">
        <v>0</v>
      </c>
      <c r="K876">
        <v>0</v>
      </c>
      <c r="L876" t="s">
        <v>117</v>
      </c>
      <c r="M876" t="s">
        <v>118</v>
      </c>
      <c r="N876">
        <v>40</v>
      </c>
      <c r="O876">
        <v>2</v>
      </c>
      <c r="P876" t="s">
        <v>138</v>
      </c>
      <c r="Q876">
        <v>40</v>
      </c>
      <c r="R876">
        <v>0</v>
      </c>
      <c r="S876">
        <v>0</v>
      </c>
      <c r="T876">
        <v>5</v>
      </c>
      <c r="U876" s="1" t="s">
        <v>2860</v>
      </c>
      <c r="V876">
        <v>0</v>
      </c>
      <c r="W876">
        <v>25</v>
      </c>
      <c r="X876">
        <v>8</v>
      </c>
      <c r="Y876">
        <v>0</v>
      </c>
      <c r="Z876" t="s">
        <v>111</v>
      </c>
      <c r="AA876">
        <v>0</v>
      </c>
      <c r="AB876" t="s">
        <v>792</v>
      </c>
      <c r="AC876">
        <v>8</v>
      </c>
      <c r="AD876" t="s">
        <v>416</v>
      </c>
      <c r="AE876">
        <v>4</v>
      </c>
      <c r="AF876">
        <v>1</v>
      </c>
      <c r="AG876" t="s">
        <v>2861</v>
      </c>
      <c r="AH876" t="s">
        <v>111</v>
      </c>
      <c r="AI876">
        <v>30</v>
      </c>
      <c r="AJ876" t="s">
        <v>111</v>
      </c>
      <c r="AK876" t="s">
        <v>111</v>
      </c>
      <c r="AL876" t="s">
        <v>111</v>
      </c>
      <c r="AM876">
        <v>0</v>
      </c>
      <c r="AN876">
        <v>0</v>
      </c>
      <c r="AO876">
        <v>0</v>
      </c>
      <c r="AP876" t="s">
        <v>188</v>
      </c>
      <c r="AQ876" t="s">
        <v>111</v>
      </c>
      <c r="AR876" t="s">
        <v>111</v>
      </c>
      <c r="AS876" t="s">
        <v>111</v>
      </c>
      <c r="AT876" t="s">
        <v>147</v>
      </c>
      <c r="AU876" t="s">
        <v>111</v>
      </c>
      <c r="AV876" t="s">
        <v>111</v>
      </c>
      <c r="AW876" t="s">
        <v>111</v>
      </c>
      <c r="AX876" t="s">
        <v>288</v>
      </c>
      <c r="AY876" t="s">
        <v>111</v>
      </c>
      <c r="AZ876" t="s">
        <v>111</v>
      </c>
      <c r="BA876" t="s">
        <v>111</v>
      </c>
      <c r="BB876" t="s">
        <v>271</v>
      </c>
      <c r="BC876" t="s">
        <v>111</v>
      </c>
      <c r="BD876" t="s">
        <v>111</v>
      </c>
      <c r="BE876" t="s">
        <v>111</v>
      </c>
      <c r="BF876" t="s">
        <v>111</v>
      </c>
      <c r="BG876" t="s">
        <v>111</v>
      </c>
      <c r="BH876" t="s">
        <v>111</v>
      </c>
      <c r="BI876" t="s">
        <v>111</v>
      </c>
      <c r="BJ876" t="s">
        <v>111</v>
      </c>
      <c r="BK876" t="s">
        <v>111</v>
      </c>
      <c r="BL876" t="s">
        <v>111</v>
      </c>
      <c r="BM876" t="s">
        <v>111</v>
      </c>
      <c r="BN876" t="s">
        <v>111</v>
      </c>
      <c r="BO876" t="s">
        <v>111</v>
      </c>
      <c r="BP876" t="s">
        <v>111</v>
      </c>
      <c r="BQ876" t="s">
        <v>111</v>
      </c>
      <c r="BR876" t="s">
        <v>111</v>
      </c>
      <c r="BS876" t="s">
        <v>111</v>
      </c>
      <c r="BT876" t="s">
        <v>111</v>
      </c>
      <c r="BU876" t="s">
        <v>111</v>
      </c>
      <c r="BV876" t="s">
        <v>111</v>
      </c>
      <c r="BW876" t="s">
        <v>111</v>
      </c>
      <c r="BX876" t="s">
        <v>111</v>
      </c>
      <c r="BY876" t="s">
        <v>111</v>
      </c>
      <c r="BZ876" t="s">
        <v>111</v>
      </c>
      <c r="CA876" t="s">
        <v>111</v>
      </c>
      <c r="CB876" t="s">
        <v>111</v>
      </c>
      <c r="CC876" t="s">
        <v>111</v>
      </c>
      <c r="CD876" t="s">
        <v>111</v>
      </c>
      <c r="CE876" t="s">
        <v>111</v>
      </c>
      <c r="CF876" t="s">
        <v>111</v>
      </c>
      <c r="CG876" t="s">
        <v>111</v>
      </c>
      <c r="CH876" t="s">
        <v>111</v>
      </c>
      <c r="CI876" t="s">
        <v>111</v>
      </c>
      <c r="CJ876" t="s">
        <v>111</v>
      </c>
      <c r="CK876" t="s">
        <v>111</v>
      </c>
      <c r="CL876" t="s">
        <v>153</v>
      </c>
      <c r="CM876" t="s">
        <v>198</v>
      </c>
      <c r="CN876" t="s">
        <v>113</v>
      </c>
      <c r="CO876" t="s">
        <v>111</v>
      </c>
      <c r="CP876" t="s">
        <v>433</v>
      </c>
      <c r="CQ876">
        <v>68</v>
      </c>
      <c r="CR876">
        <v>8000</v>
      </c>
      <c r="CS876">
        <v>200</v>
      </c>
      <c r="CT876" t="s">
        <v>168</v>
      </c>
      <c r="CU876">
        <v>0</v>
      </c>
      <c r="CV876" t="s">
        <v>111</v>
      </c>
      <c r="CW876" t="s">
        <v>111</v>
      </c>
      <c r="CX876" t="s">
        <v>111</v>
      </c>
      <c r="CY876">
        <v>0</v>
      </c>
      <c r="CZ876" t="s">
        <v>111</v>
      </c>
      <c r="DA876" t="s">
        <v>111</v>
      </c>
      <c r="DB876" t="s">
        <v>111</v>
      </c>
      <c r="DC876" t="s">
        <v>111</v>
      </c>
    </row>
    <row r="877" spans="1:107">
      <c r="A877">
        <v>521</v>
      </c>
      <c r="B877" t="s">
        <v>162</v>
      </c>
      <c r="C877" t="s">
        <v>428</v>
      </c>
      <c r="D877" t="s">
        <v>2862</v>
      </c>
      <c r="E877" t="s">
        <v>2863</v>
      </c>
      <c r="F877" t="s">
        <v>1014</v>
      </c>
      <c r="G877" t="s">
        <v>416</v>
      </c>
      <c r="H877">
        <v>0.7</v>
      </c>
      <c r="I877">
        <v>50</v>
      </c>
      <c r="J877">
        <v>0</v>
      </c>
      <c r="K877">
        <v>0</v>
      </c>
      <c r="L877" t="s">
        <v>112</v>
      </c>
      <c r="M877" t="s">
        <v>118</v>
      </c>
      <c r="N877">
        <v>40</v>
      </c>
      <c r="O877">
        <v>2</v>
      </c>
      <c r="P877" t="s">
        <v>138</v>
      </c>
      <c r="Q877">
        <v>40</v>
      </c>
      <c r="R877">
        <v>0</v>
      </c>
      <c r="S877">
        <v>0</v>
      </c>
      <c r="T877">
        <v>0</v>
      </c>
      <c r="U877" t="s">
        <v>1353</v>
      </c>
      <c r="V877">
        <v>0</v>
      </c>
      <c r="W877">
        <v>25</v>
      </c>
      <c r="X877">
        <v>4</v>
      </c>
      <c r="Y877">
        <v>0</v>
      </c>
      <c r="Z877" t="s">
        <v>111</v>
      </c>
      <c r="AA877">
        <v>0</v>
      </c>
      <c r="AB877" t="s">
        <v>111</v>
      </c>
      <c r="AC877">
        <v>0</v>
      </c>
      <c r="AD877" t="s">
        <v>416</v>
      </c>
      <c r="AE877">
        <v>1</v>
      </c>
      <c r="AF877">
        <v>1</v>
      </c>
      <c r="AG877">
        <v>30</v>
      </c>
      <c r="AH877" t="s">
        <v>111</v>
      </c>
      <c r="AI877">
        <v>30</v>
      </c>
      <c r="AJ877" t="s">
        <v>111</v>
      </c>
      <c r="AK877" t="s">
        <v>111</v>
      </c>
      <c r="AL877" t="s">
        <v>111</v>
      </c>
      <c r="AM877">
        <v>0</v>
      </c>
      <c r="AN877">
        <v>0</v>
      </c>
      <c r="AO877">
        <v>0</v>
      </c>
      <c r="AP877" t="s">
        <v>288</v>
      </c>
      <c r="AQ877" t="s">
        <v>111</v>
      </c>
      <c r="AR877" t="s">
        <v>111</v>
      </c>
      <c r="AS877" t="s">
        <v>111</v>
      </c>
      <c r="AT877" t="s">
        <v>111</v>
      </c>
      <c r="AU877" t="s">
        <v>111</v>
      </c>
      <c r="AV877" t="s">
        <v>111</v>
      </c>
      <c r="AW877" t="s">
        <v>111</v>
      </c>
      <c r="AX877" t="s">
        <v>111</v>
      </c>
      <c r="AY877" t="s">
        <v>111</v>
      </c>
      <c r="AZ877" t="s">
        <v>111</v>
      </c>
      <c r="BA877" t="s">
        <v>111</v>
      </c>
      <c r="BB877" t="s">
        <v>111</v>
      </c>
      <c r="BC877" t="s">
        <v>111</v>
      </c>
      <c r="BD877" t="s">
        <v>111</v>
      </c>
      <c r="BE877" t="s">
        <v>111</v>
      </c>
      <c r="BF877" t="s">
        <v>111</v>
      </c>
      <c r="BG877" t="s">
        <v>111</v>
      </c>
      <c r="BH877" t="s">
        <v>111</v>
      </c>
      <c r="BI877" t="s">
        <v>111</v>
      </c>
      <c r="BJ877" t="s">
        <v>111</v>
      </c>
      <c r="BK877" t="s">
        <v>111</v>
      </c>
      <c r="BL877" t="s">
        <v>111</v>
      </c>
      <c r="BM877" t="s">
        <v>111</v>
      </c>
      <c r="BN877" t="s">
        <v>111</v>
      </c>
      <c r="BO877" t="s">
        <v>111</v>
      </c>
      <c r="BP877" t="s">
        <v>111</v>
      </c>
      <c r="BQ877" t="s">
        <v>111</v>
      </c>
      <c r="BR877" t="s">
        <v>111</v>
      </c>
      <c r="BS877" t="s">
        <v>111</v>
      </c>
      <c r="BT877" t="s">
        <v>111</v>
      </c>
      <c r="BU877" t="s">
        <v>111</v>
      </c>
      <c r="BV877" t="s">
        <v>111</v>
      </c>
      <c r="BW877" t="s">
        <v>111</v>
      </c>
      <c r="BX877" t="s">
        <v>111</v>
      </c>
      <c r="BY877" t="s">
        <v>111</v>
      </c>
      <c r="BZ877" t="s">
        <v>111</v>
      </c>
      <c r="CA877" t="s">
        <v>111</v>
      </c>
      <c r="CB877" t="s">
        <v>111</v>
      </c>
      <c r="CC877" t="s">
        <v>111</v>
      </c>
      <c r="CD877" t="s">
        <v>111</v>
      </c>
      <c r="CE877" t="s">
        <v>111</v>
      </c>
      <c r="CF877" t="s">
        <v>111</v>
      </c>
      <c r="CG877" t="s">
        <v>111</v>
      </c>
      <c r="CH877" t="s">
        <v>111</v>
      </c>
      <c r="CI877" t="s">
        <v>111</v>
      </c>
      <c r="CJ877" t="s">
        <v>111</v>
      </c>
      <c r="CK877" t="s">
        <v>111</v>
      </c>
      <c r="CL877" t="s">
        <v>419</v>
      </c>
      <c r="CM877" t="s">
        <v>111</v>
      </c>
      <c r="CN877" t="s">
        <v>111</v>
      </c>
      <c r="CO877" t="s">
        <v>111</v>
      </c>
      <c r="CP877" t="s">
        <v>111</v>
      </c>
      <c r="CQ877">
        <v>0</v>
      </c>
      <c r="CR877">
        <v>0</v>
      </c>
      <c r="CS877">
        <v>0</v>
      </c>
      <c r="CT877" t="s">
        <v>111</v>
      </c>
      <c r="CU877">
        <v>0</v>
      </c>
      <c r="CV877" t="s">
        <v>111</v>
      </c>
      <c r="CW877" t="s">
        <v>111</v>
      </c>
      <c r="CX877" t="s">
        <v>111</v>
      </c>
      <c r="CY877">
        <v>0</v>
      </c>
      <c r="CZ877" t="s">
        <v>111</v>
      </c>
      <c r="DA877" t="s">
        <v>111</v>
      </c>
      <c r="DB877" t="s">
        <v>204</v>
      </c>
      <c r="DC877" s="1" t="s">
        <v>804</v>
      </c>
    </row>
    <row r="878" spans="1:107">
      <c r="A878">
        <v>376</v>
      </c>
      <c r="B878" t="s">
        <v>162</v>
      </c>
      <c r="C878" t="s">
        <v>171</v>
      </c>
      <c r="D878" t="s">
        <v>2864</v>
      </c>
      <c r="E878" t="s">
        <v>2865</v>
      </c>
      <c r="F878" t="s">
        <v>431</v>
      </c>
      <c r="G878" t="s">
        <v>416</v>
      </c>
      <c r="H878">
        <v>3.4</v>
      </c>
      <c r="I878">
        <v>52</v>
      </c>
      <c r="J878">
        <v>0</v>
      </c>
      <c r="K878">
        <v>0</v>
      </c>
      <c r="L878" t="s">
        <v>117</v>
      </c>
      <c r="M878" t="s">
        <v>118</v>
      </c>
      <c r="N878">
        <v>40</v>
      </c>
      <c r="O878">
        <v>2</v>
      </c>
      <c r="P878" t="s">
        <v>138</v>
      </c>
      <c r="Q878">
        <v>40</v>
      </c>
      <c r="R878">
        <v>0</v>
      </c>
      <c r="S878">
        <v>0</v>
      </c>
      <c r="T878">
        <v>0</v>
      </c>
      <c r="U878" t="s">
        <v>168</v>
      </c>
      <c r="V878">
        <v>0</v>
      </c>
      <c r="W878">
        <v>25</v>
      </c>
      <c r="X878">
        <v>10</v>
      </c>
      <c r="Y878">
        <v>0</v>
      </c>
      <c r="Z878" t="s">
        <v>111</v>
      </c>
      <c r="AA878">
        <v>0</v>
      </c>
      <c r="AB878" t="s">
        <v>111</v>
      </c>
      <c r="AC878">
        <v>0</v>
      </c>
      <c r="AD878" t="s">
        <v>416</v>
      </c>
      <c r="AE878">
        <v>4</v>
      </c>
      <c r="AF878">
        <v>1</v>
      </c>
      <c r="AG878" t="s">
        <v>2861</v>
      </c>
      <c r="AH878" t="s">
        <v>111</v>
      </c>
      <c r="AI878">
        <v>30</v>
      </c>
      <c r="AJ878" t="s">
        <v>111</v>
      </c>
      <c r="AK878" t="s">
        <v>111</v>
      </c>
      <c r="AL878" t="s">
        <v>111</v>
      </c>
      <c r="AM878">
        <v>0</v>
      </c>
      <c r="AN878">
        <v>0</v>
      </c>
      <c r="AO878">
        <v>0</v>
      </c>
      <c r="AP878" t="s">
        <v>188</v>
      </c>
      <c r="AQ878" t="s">
        <v>111</v>
      </c>
      <c r="AR878" t="s">
        <v>111</v>
      </c>
      <c r="AS878" t="s">
        <v>111</v>
      </c>
      <c r="AT878" t="s">
        <v>147</v>
      </c>
      <c r="AU878" t="s">
        <v>111</v>
      </c>
      <c r="AV878" t="s">
        <v>111</v>
      </c>
      <c r="AW878" t="s">
        <v>111</v>
      </c>
      <c r="AX878" t="s">
        <v>288</v>
      </c>
      <c r="AY878" t="s">
        <v>111</v>
      </c>
      <c r="AZ878" t="s">
        <v>111</v>
      </c>
      <c r="BA878" t="s">
        <v>111</v>
      </c>
      <c r="BB878" t="s">
        <v>271</v>
      </c>
      <c r="BC878" t="s">
        <v>111</v>
      </c>
      <c r="BD878" t="s">
        <v>111</v>
      </c>
      <c r="BE878" t="s">
        <v>111</v>
      </c>
      <c r="BF878" t="s">
        <v>111</v>
      </c>
      <c r="BG878" t="s">
        <v>111</v>
      </c>
      <c r="BH878" t="s">
        <v>111</v>
      </c>
      <c r="BI878" t="s">
        <v>111</v>
      </c>
      <c r="BJ878" t="s">
        <v>111</v>
      </c>
      <c r="BK878" t="s">
        <v>111</v>
      </c>
      <c r="BL878" t="s">
        <v>111</v>
      </c>
      <c r="BM878" t="s">
        <v>111</v>
      </c>
      <c r="BN878" t="s">
        <v>111</v>
      </c>
      <c r="BO878" t="s">
        <v>111</v>
      </c>
      <c r="BP878" t="s">
        <v>111</v>
      </c>
      <c r="BQ878" t="s">
        <v>111</v>
      </c>
      <c r="BR878" t="s">
        <v>111</v>
      </c>
      <c r="BS878" t="s">
        <v>111</v>
      </c>
      <c r="BT878" t="s">
        <v>111</v>
      </c>
      <c r="BU878" t="s">
        <v>111</v>
      </c>
      <c r="BV878" t="s">
        <v>111</v>
      </c>
      <c r="BW878" t="s">
        <v>111</v>
      </c>
      <c r="BX878" t="s">
        <v>111</v>
      </c>
      <c r="BY878" t="s">
        <v>111</v>
      </c>
      <c r="BZ878" t="s">
        <v>111</v>
      </c>
      <c r="CA878" t="s">
        <v>111</v>
      </c>
      <c r="CB878" t="s">
        <v>111</v>
      </c>
      <c r="CC878" t="s">
        <v>111</v>
      </c>
      <c r="CD878" t="s">
        <v>111</v>
      </c>
      <c r="CE878" t="s">
        <v>111</v>
      </c>
      <c r="CF878" t="s">
        <v>111</v>
      </c>
      <c r="CG878" t="s">
        <v>111</v>
      </c>
      <c r="CH878" t="s">
        <v>111</v>
      </c>
      <c r="CI878" t="s">
        <v>111</v>
      </c>
      <c r="CJ878" t="s">
        <v>111</v>
      </c>
      <c r="CK878" t="s">
        <v>111</v>
      </c>
      <c r="CL878" t="s">
        <v>153</v>
      </c>
      <c r="CM878" t="s">
        <v>198</v>
      </c>
      <c r="CN878" t="s">
        <v>113</v>
      </c>
      <c r="CO878" t="s">
        <v>111</v>
      </c>
      <c r="CP878" t="s">
        <v>433</v>
      </c>
      <c r="CQ878">
        <v>0</v>
      </c>
      <c r="CR878">
        <v>0</v>
      </c>
      <c r="CS878">
        <v>0</v>
      </c>
      <c r="CT878" t="s">
        <v>168</v>
      </c>
      <c r="CU878">
        <v>0</v>
      </c>
      <c r="CV878" t="s">
        <v>111</v>
      </c>
      <c r="CW878" t="s">
        <v>111</v>
      </c>
      <c r="CX878" t="s">
        <v>111</v>
      </c>
      <c r="CY878">
        <v>0</v>
      </c>
      <c r="CZ878" t="s">
        <v>111</v>
      </c>
      <c r="DA878" t="s">
        <v>111</v>
      </c>
      <c r="DB878" t="s">
        <v>111</v>
      </c>
      <c r="DC878" t="s">
        <v>111</v>
      </c>
    </row>
    <row r="879" spans="1:107">
      <c r="A879">
        <v>528</v>
      </c>
      <c r="B879" t="s">
        <v>162</v>
      </c>
      <c r="C879" t="s">
        <v>226</v>
      </c>
      <c r="D879" t="s">
        <v>2866</v>
      </c>
      <c r="E879" t="s">
        <v>2867</v>
      </c>
      <c r="F879" t="s">
        <v>192</v>
      </c>
      <c r="G879" t="s">
        <v>416</v>
      </c>
      <c r="H879">
        <v>1.5</v>
      </c>
      <c r="I879">
        <v>28</v>
      </c>
      <c r="J879">
        <v>0</v>
      </c>
      <c r="K879">
        <v>0</v>
      </c>
      <c r="L879" t="s">
        <v>112</v>
      </c>
      <c r="M879" t="s">
        <v>138</v>
      </c>
      <c r="N879">
        <v>0</v>
      </c>
      <c r="O879">
        <v>0</v>
      </c>
      <c r="P879" t="s">
        <v>138</v>
      </c>
      <c r="Q879">
        <v>30</v>
      </c>
      <c r="R879">
        <v>0</v>
      </c>
      <c r="S879">
        <v>0</v>
      </c>
      <c r="T879">
        <v>0</v>
      </c>
      <c r="U879" t="s">
        <v>153</v>
      </c>
      <c r="V879">
        <v>0</v>
      </c>
      <c r="W879">
        <v>25</v>
      </c>
      <c r="X879">
        <v>6</v>
      </c>
      <c r="Y879">
        <v>0</v>
      </c>
      <c r="Z879" t="s">
        <v>111</v>
      </c>
      <c r="AA879">
        <v>0</v>
      </c>
      <c r="AB879" t="s">
        <v>111</v>
      </c>
      <c r="AC879">
        <v>0</v>
      </c>
      <c r="AD879" t="s">
        <v>111</v>
      </c>
      <c r="AE879">
        <v>0</v>
      </c>
      <c r="AF879">
        <v>0</v>
      </c>
      <c r="AG879" t="s">
        <v>111</v>
      </c>
      <c r="AH879" t="s">
        <v>111</v>
      </c>
      <c r="AI879" t="s">
        <v>111</v>
      </c>
      <c r="AJ879" t="s">
        <v>111</v>
      </c>
      <c r="AK879" t="s">
        <v>111</v>
      </c>
      <c r="AL879" t="s">
        <v>111</v>
      </c>
      <c r="AM879">
        <v>0</v>
      </c>
      <c r="AN879">
        <v>0</v>
      </c>
      <c r="AO879">
        <v>0</v>
      </c>
      <c r="AP879" t="s">
        <v>111</v>
      </c>
      <c r="AQ879" t="s">
        <v>111</v>
      </c>
      <c r="AR879" t="s">
        <v>111</v>
      </c>
      <c r="AS879" t="s">
        <v>111</v>
      </c>
      <c r="AT879" t="s">
        <v>111</v>
      </c>
      <c r="AU879" t="s">
        <v>111</v>
      </c>
      <c r="AV879" t="s">
        <v>111</v>
      </c>
      <c r="AW879" t="s">
        <v>111</v>
      </c>
      <c r="AX879" t="s">
        <v>111</v>
      </c>
      <c r="AY879" t="s">
        <v>111</v>
      </c>
      <c r="AZ879" t="s">
        <v>111</v>
      </c>
      <c r="BA879" t="s">
        <v>111</v>
      </c>
      <c r="BB879" t="s">
        <v>111</v>
      </c>
      <c r="BC879" t="s">
        <v>111</v>
      </c>
      <c r="BD879" t="s">
        <v>111</v>
      </c>
      <c r="BE879" t="s">
        <v>111</v>
      </c>
      <c r="BF879" t="s">
        <v>111</v>
      </c>
      <c r="BG879" t="s">
        <v>111</v>
      </c>
      <c r="BH879" t="s">
        <v>111</v>
      </c>
      <c r="BI879" t="s">
        <v>111</v>
      </c>
      <c r="BJ879" t="s">
        <v>111</v>
      </c>
      <c r="BK879" t="s">
        <v>111</v>
      </c>
      <c r="BL879" t="s">
        <v>111</v>
      </c>
      <c r="BM879" t="s">
        <v>111</v>
      </c>
      <c r="BN879" t="s">
        <v>111</v>
      </c>
      <c r="BO879" t="s">
        <v>111</v>
      </c>
      <c r="BP879" t="s">
        <v>111</v>
      </c>
      <c r="BQ879" t="s">
        <v>111</v>
      </c>
      <c r="BR879" t="s">
        <v>111</v>
      </c>
      <c r="BS879" t="s">
        <v>111</v>
      </c>
      <c r="BT879" t="s">
        <v>111</v>
      </c>
      <c r="BU879" t="s">
        <v>111</v>
      </c>
      <c r="BV879" t="s">
        <v>111</v>
      </c>
      <c r="BW879" t="s">
        <v>111</v>
      </c>
      <c r="BX879" t="s">
        <v>111</v>
      </c>
      <c r="BY879" t="s">
        <v>111</v>
      </c>
      <c r="BZ879" t="s">
        <v>111</v>
      </c>
      <c r="CA879" t="s">
        <v>111</v>
      </c>
      <c r="CB879" t="s">
        <v>111</v>
      </c>
      <c r="CC879" t="s">
        <v>111</v>
      </c>
      <c r="CD879" t="s">
        <v>111</v>
      </c>
      <c r="CE879" t="s">
        <v>111</v>
      </c>
      <c r="CF879" t="s">
        <v>111</v>
      </c>
      <c r="CG879" t="s">
        <v>111</v>
      </c>
      <c r="CH879" t="s">
        <v>111</v>
      </c>
      <c r="CI879" t="s">
        <v>111</v>
      </c>
      <c r="CJ879" t="s">
        <v>111</v>
      </c>
      <c r="CK879" t="s">
        <v>111</v>
      </c>
      <c r="CL879" t="s">
        <v>111</v>
      </c>
      <c r="CM879" t="s">
        <v>198</v>
      </c>
      <c r="CN879" t="s">
        <v>113</v>
      </c>
      <c r="CO879" t="s">
        <v>111</v>
      </c>
      <c r="CP879" t="s">
        <v>111</v>
      </c>
      <c r="CQ879">
        <v>0</v>
      </c>
      <c r="CR879">
        <v>0</v>
      </c>
      <c r="CS879">
        <v>0</v>
      </c>
      <c r="CT879" t="s">
        <v>168</v>
      </c>
      <c r="CU879">
        <v>0</v>
      </c>
      <c r="CV879" t="s">
        <v>111</v>
      </c>
      <c r="CW879" t="s">
        <v>111</v>
      </c>
      <c r="CX879" t="s">
        <v>111</v>
      </c>
      <c r="CY879">
        <v>0</v>
      </c>
      <c r="CZ879" t="s">
        <v>111</v>
      </c>
      <c r="DA879" t="s">
        <v>111</v>
      </c>
      <c r="DB879" t="s">
        <v>111</v>
      </c>
      <c r="DC879" t="s">
        <v>111</v>
      </c>
    </row>
    <row r="880" spans="1:107">
      <c r="A880">
        <v>1214</v>
      </c>
      <c r="B880" t="s">
        <v>107</v>
      </c>
      <c r="C880" s="2">
        <v>70085947</v>
      </c>
      <c r="D880" t="s">
        <v>2868</v>
      </c>
      <c r="E880" t="s">
        <v>2869</v>
      </c>
      <c r="F880" t="s">
        <v>2870</v>
      </c>
      <c r="G880" t="s">
        <v>416</v>
      </c>
      <c r="H880">
        <v>1.7</v>
      </c>
      <c r="I880">
        <v>13.5</v>
      </c>
      <c r="J880">
        <v>0</v>
      </c>
      <c r="K880">
        <v>0</v>
      </c>
      <c r="L880" t="s">
        <v>112</v>
      </c>
      <c r="M880" t="s">
        <v>118</v>
      </c>
      <c r="N880">
        <v>39</v>
      </c>
      <c r="O880">
        <v>2</v>
      </c>
      <c r="P880" t="s">
        <v>111</v>
      </c>
      <c r="Q880">
        <v>15</v>
      </c>
      <c r="R880">
        <v>0</v>
      </c>
      <c r="S880">
        <v>0</v>
      </c>
      <c r="T880">
        <v>5</v>
      </c>
      <c r="U880" t="s">
        <v>1511</v>
      </c>
      <c r="V880">
        <v>0</v>
      </c>
      <c r="W880">
        <v>25</v>
      </c>
      <c r="X880">
        <v>80</v>
      </c>
      <c r="Y880">
        <v>0</v>
      </c>
      <c r="Z880" t="s">
        <v>111</v>
      </c>
      <c r="AA880">
        <v>0</v>
      </c>
      <c r="AB880" t="s">
        <v>111</v>
      </c>
      <c r="AC880">
        <v>0</v>
      </c>
      <c r="AD880" t="s">
        <v>416</v>
      </c>
      <c r="AE880">
        <v>0</v>
      </c>
      <c r="AF880">
        <v>0</v>
      </c>
      <c r="AG880" t="s">
        <v>111</v>
      </c>
      <c r="AH880" t="s">
        <v>128</v>
      </c>
      <c r="AI880" t="s">
        <v>111</v>
      </c>
      <c r="AJ880" t="s">
        <v>111</v>
      </c>
      <c r="AK880" t="s">
        <v>111</v>
      </c>
      <c r="AL880" t="s">
        <v>111</v>
      </c>
      <c r="AM880">
        <v>0</v>
      </c>
      <c r="AN880">
        <v>0</v>
      </c>
      <c r="AO880">
        <v>0</v>
      </c>
      <c r="AP880" t="s">
        <v>111</v>
      </c>
      <c r="AQ880" t="s">
        <v>111</v>
      </c>
      <c r="AR880" t="s">
        <v>111</v>
      </c>
      <c r="AS880" t="s">
        <v>111</v>
      </c>
      <c r="AT880" t="s">
        <v>111</v>
      </c>
      <c r="AU880" t="s">
        <v>111</v>
      </c>
      <c r="AV880" t="s">
        <v>111</v>
      </c>
      <c r="AW880" t="s">
        <v>111</v>
      </c>
      <c r="AX880" t="s">
        <v>111</v>
      </c>
      <c r="AY880" t="s">
        <v>111</v>
      </c>
      <c r="AZ880" t="s">
        <v>111</v>
      </c>
      <c r="BA880" t="s">
        <v>111</v>
      </c>
      <c r="BB880" t="s">
        <v>111</v>
      </c>
      <c r="BC880" t="s">
        <v>111</v>
      </c>
      <c r="BD880" t="s">
        <v>111</v>
      </c>
      <c r="BE880" t="s">
        <v>111</v>
      </c>
      <c r="BF880" t="s">
        <v>111</v>
      </c>
      <c r="BG880" t="s">
        <v>111</v>
      </c>
      <c r="BH880" t="s">
        <v>111</v>
      </c>
      <c r="BI880" t="s">
        <v>111</v>
      </c>
      <c r="BJ880" t="s">
        <v>111</v>
      </c>
      <c r="BK880" t="s">
        <v>111</v>
      </c>
      <c r="BL880" t="s">
        <v>111</v>
      </c>
      <c r="BM880" t="s">
        <v>111</v>
      </c>
      <c r="BN880" t="s">
        <v>111</v>
      </c>
      <c r="BO880" t="s">
        <v>111</v>
      </c>
      <c r="BP880" t="s">
        <v>111</v>
      </c>
      <c r="BQ880" t="s">
        <v>111</v>
      </c>
      <c r="BR880" t="s">
        <v>111</v>
      </c>
      <c r="BS880" t="s">
        <v>111</v>
      </c>
      <c r="BT880" t="s">
        <v>111</v>
      </c>
      <c r="BU880" t="s">
        <v>111</v>
      </c>
      <c r="BV880" t="s">
        <v>111</v>
      </c>
      <c r="BW880" t="s">
        <v>111</v>
      </c>
      <c r="BX880" t="s">
        <v>111</v>
      </c>
      <c r="BY880" t="s">
        <v>111</v>
      </c>
      <c r="BZ880" t="s">
        <v>111</v>
      </c>
      <c r="CA880" t="s">
        <v>111</v>
      </c>
      <c r="CB880" t="s">
        <v>111</v>
      </c>
      <c r="CC880" t="s">
        <v>111</v>
      </c>
      <c r="CD880" t="s">
        <v>111</v>
      </c>
      <c r="CE880" t="s">
        <v>111</v>
      </c>
      <c r="CF880" t="s">
        <v>111</v>
      </c>
      <c r="CG880" t="s">
        <v>111</v>
      </c>
      <c r="CH880" t="s">
        <v>111</v>
      </c>
      <c r="CI880" t="s">
        <v>111</v>
      </c>
      <c r="CJ880" t="s">
        <v>111</v>
      </c>
      <c r="CK880" t="s">
        <v>111</v>
      </c>
      <c r="CL880" t="e">
        <f>-DESTINO ALMACEN</f>
        <v>#NAME?</v>
      </c>
      <c r="CM880" t="s">
        <v>111</v>
      </c>
      <c r="CN880" t="s">
        <v>111</v>
      </c>
      <c r="CO880" t="s">
        <v>111</v>
      </c>
      <c r="CP880" t="s">
        <v>111</v>
      </c>
      <c r="CQ880">
        <v>0</v>
      </c>
      <c r="CR880">
        <v>0</v>
      </c>
      <c r="CS880">
        <v>0</v>
      </c>
      <c r="CT880" t="s">
        <v>111</v>
      </c>
      <c r="CU880">
        <v>0</v>
      </c>
      <c r="CV880" t="s">
        <v>111</v>
      </c>
      <c r="CW880" t="s">
        <v>111</v>
      </c>
      <c r="CX880" t="s">
        <v>111</v>
      </c>
      <c r="CY880">
        <v>0</v>
      </c>
      <c r="CZ880" t="s">
        <v>111</v>
      </c>
      <c r="DA880" t="s">
        <v>111</v>
      </c>
      <c r="DB880" t="s">
        <v>111</v>
      </c>
      <c r="DC880" t="s">
        <v>111</v>
      </c>
    </row>
    <row r="881" spans="1:107">
      <c r="A881">
        <v>570</v>
      </c>
      <c r="B881" t="s">
        <v>162</v>
      </c>
      <c r="C881" t="s">
        <v>351</v>
      </c>
      <c r="D881" t="s">
        <v>2871</v>
      </c>
      <c r="E881" t="s">
        <v>2872</v>
      </c>
      <c r="F881" t="s">
        <v>125</v>
      </c>
      <c r="G881" t="s">
        <v>416</v>
      </c>
      <c r="H881">
        <v>2</v>
      </c>
      <c r="I881">
        <v>40</v>
      </c>
      <c r="J881">
        <v>0</v>
      </c>
      <c r="K881">
        <v>0</v>
      </c>
      <c r="L881" t="s">
        <v>112</v>
      </c>
      <c r="M881" t="s">
        <v>138</v>
      </c>
      <c r="N881">
        <v>0</v>
      </c>
      <c r="O881">
        <v>0</v>
      </c>
      <c r="P881" t="s">
        <v>138</v>
      </c>
      <c r="Q881">
        <v>30</v>
      </c>
      <c r="R881">
        <v>0</v>
      </c>
      <c r="S881">
        <v>0</v>
      </c>
      <c r="T881">
        <v>0</v>
      </c>
      <c r="U881" s="1" t="s">
        <v>2873</v>
      </c>
      <c r="V881">
        <v>0</v>
      </c>
      <c r="W881">
        <v>0</v>
      </c>
      <c r="X881">
        <v>1</v>
      </c>
      <c r="Y881">
        <v>0</v>
      </c>
      <c r="Z881" t="s">
        <v>111</v>
      </c>
      <c r="AA881">
        <v>0</v>
      </c>
      <c r="AB881" t="s">
        <v>111</v>
      </c>
      <c r="AC881">
        <v>0</v>
      </c>
      <c r="AD881" t="s">
        <v>111</v>
      </c>
      <c r="AE881">
        <v>0</v>
      </c>
      <c r="AF881">
        <v>0</v>
      </c>
      <c r="AG881" t="s">
        <v>111</v>
      </c>
      <c r="AH881" t="s">
        <v>111</v>
      </c>
      <c r="AI881" t="s">
        <v>111</v>
      </c>
      <c r="AJ881" t="s">
        <v>111</v>
      </c>
      <c r="AK881" t="s">
        <v>111</v>
      </c>
      <c r="AL881" t="s">
        <v>111</v>
      </c>
      <c r="AM881">
        <v>0</v>
      </c>
      <c r="AN881">
        <v>0</v>
      </c>
      <c r="AO881">
        <v>0</v>
      </c>
      <c r="AP881" t="s">
        <v>111</v>
      </c>
      <c r="AQ881" t="s">
        <v>111</v>
      </c>
      <c r="AR881" t="s">
        <v>111</v>
      </c>
      <c r="AS881" t="s">
        <v>111</v>
      </c>
      <c r="AT881" t="s">
        <v>111</v>
      </c>
      <c r="AU881" t="s">
        <v>111</v>
      </c>
      <c r="AV881" t="s">
        <v>111</v>
      </c>
      <c r="AW881" t="s">
        <v>111</v>
      </c>
      <c r="AX881" t="s">
        <v>111</v>
      </c>
      <c r="AY881" t="s">
        <v>111</v>
      </c>
      <c r="AZ881" t="s">
        <v>111</v>
      </c>
      <c r="BA881" t="s">
        <v>111</v>
      </c>
      <c r="BB881" t="s">
        <v>111</v>
      </c>
      <c r="BC881" t="s">
        <v>111</v>
      </c>
      <c r="BD881" t="s">
        <v>111</v>
      </c>
      <c r="BE881" t="s">
        <v>111</v>
      </c>
      <c r="BF881" t="s">
        <v>111</v>
      </c>
      <c r="BG881" t="s">
        <v>111</v>
      </c>
      <c r="BH881" t="s">
        <v>111</v>
      </c>
      <c r="BI881" t="s">
        <v>111</v>
      </c>
      <c r="BJ881" t="s">
        <v>111</v>
      </c>
      <c r="BK881" t="s">
        <v>111</v>
      </c>
      <c r="BL881" t="s">
        <v>111</v>
      </c>
      <c r="BM881" t="s">
        <v>111</v>
      </c>
      <c r="BN881" t="s">
        <v>111</v>
      </c>
      <c r="BO881" t="s">
        <v>111</v>
      </c>
      <c r="BP881" t="s">
        <v>111</v>
      </c>
      <c r="BQ881" t="s">
        <v>111</v>
      </c>
      <c r="BR881" t="s">
        <v>111</v>
      </c>
      <c r="BS881" t="s">
        <v>111</v>
      </c>
      <c r="BT881" t="s">
        <v>111</v>
      </c>
      <c r="BU881" t="s">
        <v>111</v>
      </c>
      <c r="BV881" t="s">
        <v>111</v>
      </c>
      <c r="BW881" t="s">
        <v>111</v>
      </c>
      <c r="BX881" t="s">
        <v>111</v>
      </c>
      <c r="BY881" t="s">
        <v>111</v>
      </c>
      <c r="BZ881" t="s">
        <v>111</v>
      </c>
      <c r="CA881" t="s">
        <v>111</v>
      </c>
      <c r="CB881" t="s">
        <v>111</v>
      </c>
      <c r="CC881" t="s">
        <v>111</v>
      </c>
      <c r="CD881" t="s">
        <v>111</v>
      </c>
      <c r="CE881" t="s">
        <v>111</v>
      </c>
      <c r="CF881" t="s">
        <v>111</v>
      </c>
      <c r="CG881" t="s">
        <v>111</v>
      </c>
      <c r="CH881" t="s">
        <v>111</v>
      </c>
      <c r="CI881" t="s">
        <v>111</v>
      </c>
      <c r="CJ881" t="s">
        <v>111</v>
      </c>
      <c r="CK881" t="s">
        <v>111</v>
      </c>
      <c r="CL881" t="s">
        <v>111</v>
      </c>
      <c r="CM881" t="s">
        <v>198</v>
      </c>
      <c r="CN881" t="s">
        <v>128</v>
      </c>
      <c r="CO881" t="s">
        <v>111</v>
      </c>
      <c r="CP881" t="s">
        <v>111</v>
      </c>
      <c r="CQ881">
        <v>35</v>
      </c>
      <c r="CR881">
        <v>1000</v>
      </c>
      <c r="CS881">
        <v>50</v>
      </c>
      <c r="CT881" s="1" t="s">
        <v>2874</v>
      </c>
      <c r="CU881">
        <v>0</v>
      </c>
      <c r="CV881" t="s">
        <v>111</v>
      </c>
      <c r="CW881" t="s">
        <v>111</v>
      </c>
      <c r="CX881" t="s">
        <v>111</v>
      </c>
      <c r="CY881">
        <v>0</v>
      </c>
      <c r="CZ881" t="s">
        <v>111</v>
      </c>
      <c r="DA881" t="s">
        <v>111</v>
      </c>
      <c r="DB881" t="s">
        <v>111</v>
      </c>
      <c r="DC881" t="s">
        <v>111</v>
      </c>
    </row>
    <row r="882" spans="1:107">
      <c r="A882">
        <v>527</v>
      </c>
      <c r="B882" t="s">
        <v>162</v>
      </c>
      <c r="C882" t="s">
        <v>428</v>
      </c>
      <c r="D882" t="s">
        <v>2875</v>
      </c>
      <c r="E882" t="s">
        <v>2876</v>
      </c>
      <c r="F882" t="s">
        <v>739</v>
      </c>
      <c r="G882" t="s">
        <v>416</v>
      </c>
      <c r="H882">
        <v>3</v>
      </c>
      <c r="I882">
        <v>50</v>
      </c>
      <c r="J882">
        <v>5</v>
      </c>
      <c r="K882">
        <v>5</v>
      </c>
      <c r="L882" t="s">
        <v>112</v>
      </c>
      <c r="M882" t="s">
        <v>118</v>
      </c>
      <c r="N882">
        <v>40</v>
      </c>
      <c r="O882">
        <v>2</v>
      </c>
      <c r="P882" t="s">
        <v>138</v>
      </c>
      <c r="Q882">
        <v>40</v>
      </c>
      <c r="R882">
        <v>0</v>
      </c>
      <c r="S882">
        <v>0</v>
      </c>
      <c r="T882">
        <v>0</v>
      </c>
      <c r="U882" t="s">
        <v>1353</v>
      </c>
      <c r="V882">
        <v>0</v>
      </c>
      <c r="W882">
        <v>25</v>
      </c>
      <c r="X882">
        <v>10</v>
      </c>
      <c r="Y882">
        <v>0</v>
      </c>
      <c r="Z882" t="s">
        <v>288</v>
      </c>
      <c r="AA882">
        <v>1.75</v>
      </c>
      <c r="AB882" t="s">
        <v>111</v>
      </c>
      <c r="AC882">
        <v>0</v>
      </c>
      <c r="AD882" t="s">
        <v>416</v>
      </c>
      <c r="AE882">
        <v>2</v>
      </c>
      <c r="AF882">
        <v>2</v>
      </c>
      <c r="AG882">
        <v>40</v>
      </c>
      <c r="AH882" t="s">
        <v>111</v>
      </c>
      <c r="AI882">
        <v>40</v>
      </c>
      <c r="AJ882" t="s">
        <v>111</v>
      </c>
      <c r="AK882" t="s">
        <v>111</v>
      </c>
      <c r="AL882" t="s">
        <v>111</v>
      </c>
      <c r="AM882">
        <v>0</v>
      </c>
      <c r="AN882">
        <v>0</v>
      </c>
      <c r="AO882">
        <v>0</v>
      </c>
      <c r="AP882" t="s">
        <v>111</v>
      </c>
      <c r="AQ882" t="s">
        <v>111</v>
      </c>
      <c r="AR882" t="s">
        <v>111</v>
      </c>
      <c r="AS882" t="s">
        <v>111</v>
      </c>
      <c r="AT882" t="s">
        <v>111</v>
      </c>
      <c r="AU882" t="s">
        <v>111</v>
      </c>
      <c r="AV882" t="s">
        <v>111</v>
      </c>
      <c r="AW882" t="s">
        <v>111</v>
      </c>
      <c r="AX882" t="s">
        <v>111</v>
      </c>
      <c r="AY882" t="s">
        <v>111</v>
      </c>
      <c r="AZ882" t="s">
        <v>111</v>
      </c>
      <c r="BA882" t="s">
        <v>111</v>
      </c>
      <c r="BB882" t="s">
        <v>111</v>
      </c>
      <c r="BC882" t="s">
        <v>111</v>
      </c>
      <c r="BD882" t="s">
        <v>111</v>
      </c>
      <c r="BE882" t="s">
        <v>111</v>
      </c>
      <c r="BF882" t="s">
        <v>111</v>
      </c>
      <c r="BG882" t="s">
        <v>111</v>
      </c>
      <c r="BH882" t="s">
        <v>111</v>
      </c>
      <c r="BI882" t="s">
        <v>111</v>
      </c>
      <c r="BJ882" t="s">
        <v>111</v>
      </c>
      <c r="BK882" t="s">
        <v>111</v>
      </c>
      <c r="BL882" t="s">
        <v>111</v>
      </c>
      <c r="BM882" t="s">
        <v>111</v>
      </c>
      <c r="BN882" t="s">
        <v>111</v>
      </c>
      <c r="BO882" t="s">
        <v>111</v>
      </c>
      <c r="BP882" t="s">
        <v>111</v>
      </c>
      <c r="BQ882" t="s">
        <v>111</v>
      </c>
      <c r="BR882" t="s">
        <v>111</v>
      </c>
      <c r="BS882" t="s">
        <v>111</v>
      </c>
      <c r="BT882" t="s">
        <v>111</v>
      </c>
      <c r="BU882" t="s">
        <v>111</v>
      </c>
      <c r="BV882" t="s">
        <v>111</v>
      </c>
      <c r="BW882" t="s">
        <v>111</v>
      </c>
      <c r="BX882" t="s">
        <v>111</v>
      </c>
      <c r="BY882" t="s">
        <v>111</v>
      </c>
      <c r="BZ882" t="s">
        <v>111</v>
      </c>
      <c r="CA882" t="s">
        <v>111</v>
      </c>
      <c r="CB882" t="s">
        <v>111</v>
      </c>
      <c r="CC882" t="s">
        <v>111</v>
      </c>
      <c r="CD882" t="s">
        <v>111</v>
      </c>
      <c r="CE882" t="s">
        <v>111</v>
      </c>
      <c r="CF882" t="s">
        <v>111</v>
      </c>
      <c r="CG882" t="s">
        <v>111</v>
      </c>
      <c r="CH882" t="s">
        <v>111</v>
      </c>
      <c r="CI882" t="s">
        <v>111</v>
      </c>
      <c r="CJ882" t="s">
        <v>111</v>
      </c>
      <c r="CK882" t="s">
        <v>111</v>
      </c>
      <c r="CL882" t="s">
        <v>153</v>
      </c>
      <c r="CM882" t="s">
        <v>198</v>
      </c>
      <c r="CN882" t="s">
        <v>113</v>
      </c>
      <c r="CO882" t="s">
        <v>111</v>
      </c>
      <c r="CP882" t="s">
        <v>433</v>
      </c>
      <c r="CQ882">
        <v>0</v>
      </c>
      <c r="CR882">
        <v>0</v>
      </c>
      <c r="CS882">
        <v>0</v>
      </c>
      <c r="CT882" t="s">
        <v>419</v>
      </c>
      <c r="CU882">
        <v>0</v>
      </c>
      <c r="CV882" t="s">
        <v>111</v>
      </c>
      <c r="CW882" t="s">
        <v>111</v>
      </c>
      <c r="CX882" t="s">
        <v>111</v>
      </c>
      <c r="CY882">
        <v>0</v>
      </c>
      <c r="CZ882" t="s">
        <v>111</v>
      </c>
      <c r="DA882" t="s">
        <v>111</v>
      </c>
      <c r="DB882" t="s">
        <v>240</v>
      </c>
      <c r="DC882" s="1" t="s">
        <v>2877</v>
      </c>
    </row>
    <row r="883" spans="1:107">
      <c r="A883">
        <v>551</v>
      </c>
      <c r="B883" t="s">
        <v>162</v>
      </c>
      <c r="C883" t="s">
        <v>428</v>
      </c>
      <c r="D883" t="s">
        <v>2878</v>
      </c>
      <c r="E883" t="s">
        <v>2879</v>
      </c>
      <c r="F883" t="s">
        <v>431</v>
      </c>
      <c r="G883" t="s">
        <v>416</v>
      </c>
      <c r="H883">
        <v>1.5</v>
      </c>
      <c r="I883">
        <v>40</v>
      </c>
      <c r="J883">
        <v>0</v>
      </c>
      <c r="K883">
        <v>0</v>
      </c>
      <c r="L883" t="s">
        <v>178</v>
      </c>
      <c r="M883" t="s">
        <v>118</v>
      </c>
      <c r="N883">
        <v>40</v>
      </c>
      <c r="O883">
        <v>1</v>
      </c>
      <c r="P883" t="s">
        <v>138</v>
      </c>
      <c r="Q883">
        <v>40</v>
      </c>
      <c r="R883">
        <v>0</v>
      </c>
      <c r="S883">
        <v>0</v>
      </c>
      <c r="T883">
        <v>0</v>
      </c>
      <c r="U883" t="s">
        <v>1353</v>
      </c>
      <c r="V883">
        <v>0</v>
      </c>
      <c r="W883">
        <v>25</v>
      </c>
      <c r="X883">
        <v>8</v>
      </c>
      <c r="Y883">
        <v>0</v>
      </c>
      <c r="Z883" t="s">
        <v>111</v>
      </c>
      <c r="AA883">
        <v>0</v>
      </c>
      <c r="AB883" t="s">
        <v>111</v>
      </c>
      <c r="AC883">
        <v>0</v>
      </c>
      <c r="AD883" t="s">
        <v>416</v>
      </c>
      <c r="AE883">
        <v>2</v>
      </c>
      <c r="AF883">
        <v>1</v>
      </c>
      <c r="AG883">
        <v>27</v>
      </c>
      <c r="AH883" t="s">
        <v>111</v>
      </c>
      <c r="AI883">
        <v>56</v>
      </c>
      <c r="AJ883" t="s">
        <v>111</v>
      </c>
      <c r="AK883" t="s">
        <v>111</v>
      </c>
      <c r="AL883" t="s">
        <v>111</v>
      </c>
      <c r="AM883">
        <v>0</v>
      </c>
      <c r="AN883">
        <v>0</v>
      </c>
      <c r="AO883">
        <v>0</v>
      </c>
      <c r="AP883" t="s">
        <v>111</v>
      </c>
      <c r="AQ883" t="s">
        <v>111</v>
      </c>
      <c r="AR883" t="s">
        <v>111</v>
      </c>
      <c r="AS883" t="s">
        <v>111</v>
      </c>
      <c r="AT883" t="s">
        <v>111</v>
      </c>
      <c r="AU883" t="s">
        <v>111</v>
      </c>
      <c r="AV883" t="s">
        <v>111</v>
      </c>
      <c r="AW883" t="s">
        <v>111</v>
      </c>
      <c r="AX883" t="s">
        <v>111</v>
      </c>
      <c r="AY883" t="s">
        <v>111</v>
      </c>
      <c r="AZ883" t="s">
        <v>111</v>
      </c>
      <c r="BA883" t="s">
        <v>111</v>
      </c>
      <c r="BB883" t="s">
        <v>111</v>
      </c>
      <c r="BC883" t="s">
        <v>111</v>
      </c>
      <c r="BD883" t="s">
        <v>111</v>
      </c>
      <c r="BE883" t="s">
        <v>111</v>
      </c>
      <c r="BF883" t="s">
        <v>111</v>
      </c>
      <c r="BG883" t="s">
        <v>111</v>
      </c>
      <c r="BH883" t="s">
        <v>111</v>
      </c>
      <c r="BI883" t="s">
        <v>111</v>
      </c>
      <c r="BJ883" t="s">
        <v>111</v>
      </c>
      <c r="BK883" t="s">
        <v>111</v>
      </c>
      <c r="BL883" t="s">
        <v>111</v>
      </c>
      <c r="BM883" t="s">
        <v>111</v>
      </c>
      <c r="BN883" t="s">
        <v>111</v>
      </c>
      <c r="BO883" t="s">
        <v>111</v>
      </c>
      <c r="BP883" t="s">
        <v>111</v>
      </c>
      <c r="BQ883" t="s">
        <v>111</v>
      </c>
      <c r="BR883" t="s">
        <v>111</v>
      </c>
      <c r="BS883" t="s">
        <v>111</v>
      </c>
      <c r="BT883" t="s">
        <v>111</v>
      </c>
      <c r="BU883" t="s">
        <v>111</v>
      </c>
      <c r="BV883" t="s">
        <v>111</v>
      </c>
      <c r="BW883" t="s">
        <v>111</v>
      </c>
      <c r="BX883" t="s">
        <v>111</v>
      </c>
      <c r="BY883" t="s">
        <v>111</v>
      </c>
      <c r="BZ883" t="s">
        <v>111</v>
      </c>
      <c r="CA883" t="s">
        <v>111</v>
      </c>
      <c r="CB883" t="s">
        <v>111</v>
      </c>
      <c r="CC883" t="s">
        <v>111</v>
      </c>
      <c r="CD883" t="s">
        <v>111</v>
      </c>
      <c r="CE883" t="s">
        <v>111</v>
      </c>
      <c r="CF883" t="s">
        <v>111</v>
      </c>
      <c r="CG883" t="s">
        <v>111</v>
      </c>
      <c r="CH883" t="s">
        <v>111</v>
      </c>
      <c r="CI883" t="s">
        <v>111</v>
      </c>
      <c r="CJ883" t="s">
        <v>111</v>
      </c>
      <c r="CK883" t="s">
        <v>111</v>
      </c>
      <c r="CL883" t="s">
        <v>153</v>
      </c>
      <c r="CM883" t="s">
        <v>198</v>
      </c>
      <c r="CN883" t="s">
        <v>113</v>
      </c>
      <c r="CO883" t="s">
        <v>111</v>
      </c>
      <c r="CP883" t="s">
        <v>433</v>
      </c>
      <c r="CQ883">
        <v>0</v>
      </c>
      <c r="CR883">
        <v>0</v>
      </c>
      <c r="CS883">
        <v>0</v>
      </c>
      <c r="CT883" t="s">
        <v>168</v>
      </c>
      <c r="CU883">
        <v>0</v>
      </c>
      <c r="CV883" t="s">
        <v>111</v>
      </c>
      <c r="CW883" t="s">
        <v>111</v>
      </c>
      <c r="CX883" t="s">
        <v>111</v>
      </c>
      <c r="CY883">
        <v>0</v>
      </c>
      <c r="CZ883" t="s">
        <v>111</v>
      </c>
      <c r="DA883" t="s">
        <v>111</v>
      </c>
      <c r="DB883" t="s">
        <v>111</v>
      </c>
      <c r="DC883" t="s">
        <v>111</v>
      </c>
    </row>
    <row r="884" spans="1:107">
      <c r="A884">
        <v>209</v>
      </c>
      <c r="B884" t="s">
        <v>162</v>
      </c>
      <c r="C884" t="s">
        <v>2880</v>
      </c>
      <c r="D884" t="s">
        <v>2881</v>
      </c>
      <c r="E884" t="s">
        <v>2882</v>
      </c>
      <c r="F884" t="s">
        <v>561</v>
      </c>
      <c r="G884" t="s">
        <v>416</v>
      </c>
      <c r="H884">
        <v>1.6</v>
      </c>
      <c r="I884">
        <v>55</v>
      </c>
      <c r="J884">
        <v>0</v>
      </c>
      <c r="K884">
        <v>0</v>
      </c>
      <c r="L884" t="s">
        <v>112</v>
      </c>
      <c r="M884" t="s">
        <v>118</v>
      </c>
      <c r="N884">
        <v>40</v>
      </c>
      <c r="O884">
        <v>2</v>
      </c>
      <c r="P884" t="s">
        <v>138</v>
      </c>
      <c r="Q884">
        <v>40</v>
      </c>
      <c r="R884">
        <v>0</v>
      </c>
      <c r="S884">
        <v>0</v>
      </c>
      <c r="T884">
        <v>0</v>
      </c>
      <c r="U884" t="s">
        <v>1353</v>
      </c>
      <c r="V884">
        <v>25</v>
      </c>
      <c r="W884">
        <v>0</v>
      </c>
      <c r="X884">
        <v>8</v>
      </c>
      <c r="Y884">
        <v>0</v>
      </c>
      <c r="Z884" t="s">
        <v>111</v>
      </c>
      <c r="AA884">
        <v>0</v>
      </c>
      <c r="AB884" t="s">
        <v>111</v>
      </c>
      <c r="AC884">
        <v>0</v>
      </c>
      <c r="AD884" t="s">
        <v>416</v>
      </c>
      <c r="AE884">
        <v>2</v>
      </c>
      <c r="AF884">
        <v>1</v>
      </c>
      <c r="AG884">
        <v>74</v>
      </c>
      <c r="AH884" t="s">
        <v>111</v>
      </c>
      <c r="AI884">
        <v>32</v>
      </c>
      <c r="AJ884" t="s">
        <v>111</v>
      </c>
      <c r="AK884" t="s">
        <v>111</v>
      </c>
      <c r="AL884" t="s">
        <v>111</v>
      </c>
      <c r="AM884">
        <v>0</v>
      </c>
      <c r="AN884">
        <v>0</v>
      </c>
      <c r="AO884">
        <v>0</v>
      </c>
      <c r="AP884" t="s">
        <v>259</v>
      </c>
      <c r="AQ884" t="s">
        <v>111</v>
      </c>
      <c r="AR884" t="s">
        <v>111</v>
      </c>
      <c r="AS884" t="s">
        <v>111</v>
      </c>
      <c r="AT884" t="s">
        <v>288</v>
      </c>
      <c r="AU884" t="s">
        <v>111</v>
      </c>
      <c r="AV884" t="s">
        <v>111</v>
      </c>
      <c r="AW884" t="s">
        <v>111</v>
      </c>
      <c r="AX884" t="s">
        <v>111</v>
      </c>
      <c r="AY884" t="s">
        <v>111</v>
      </c>
      <c r="AZ884" t="s">
        <v>111</v>
      </c>
      <c r="BA884" t="s">
        <v>111</v>
      </c>
      <c r="BB884" t="s">
        <v>111</v>
      </c>
      <c r="BC884" t="s">
        <v>111</v>
      </c>
      <c r="BD884" t="s">
        <v>111</v>
      </c>
      <c r="BE884" t="s">
        <v>111</v>
      </c>
      <c r="BF884" t="s">
        <v>111</v>
      </c>
      <c r="BG884" t="s">
        <v>111</v>
      </c>
      <c r="BH884" t="s">
        <v>111</v>
      </c>
      <c r="BI884" t="s">
        <v>111</v>
      </c>
      <c r="BJ884" t="s">
        <v>111</v>
      </c>
      <c r="BK884" t="s">
        <v>111</v>
      </c>
      <c r="BL884" t="s">
        <v>111</v>
      </c>
      <c r="BM884" t="s">
        <v>111</v>
      </c>
      <c r="BN884" t="s">
        <v>111</v>
      </c>
      <c r="BO884" t="s">
        <v>111</v>
      </c>
      <c r="BP884" t="s">
        <v>111</v>
      </c>
      <c r="BQ884" t="s">
        <v>111</v>
      </c>
      <c r="BR884" t="s">
        <v>111</v>
      </c>
      <c r="BS884" t="s">
        <v>111</v>
      </c>
      <c r="BT884" t="s">
        <v>111</v>
      </c>
      <c r="BU884" t="s">
        <v>111</v>
      </c>
      <c r="BV884" t="s">
        <v>111</v>
      </c>
      <c r="BW884" t="s">
        <v>111</v>
      </c>
      <c r="BX884" t="s">
        <v>111</v>
      </c>
      <c r="BY884" t="s">
        <v>111</v>
      </c>
      <c r="BZ884" t="s">
        <v>111</v>
      </c>
      <c r="CA884" t="s">
        <v>111</v>
      </c>
      <c r="CB884" t="s">
        <v>111</v>
      </c>
      <c r="CC884" t="s">
        <v>111</v>
      </c>
      <c r="CD884" t="s">
        <v>111</v>
      </c>
      <c r="CE884" t="s">
        <v>111</v>
      </c>
      <c r="CF884" t="s">
        <v>111</v>
      </c>
      <c r="CG884" t="s">
        <v>111</v>
      </c>
      <c r="CH884" t="s">
        <v>111</v>
      </c>
      <c r="CI884" t="s">
        <v>111</v>
      </c>
      <c r="CJ884" t="s">
        <v>111</v>
      </c>
      <c r="CK884" t="s">
        <v>111</v>
      </c>
      <c r="CL884" t="s">
        <v>153</v>
      </c>
      <c r="CM884" t="s">
        <v>198</v>
      </c>
      <c r="CN884" t="s">
        <v>128</v>
      </c>
      <c r="CO884" t="s">
        <v>222</v>
      </c>
      <c r="CP884" t="s">
        <v>433</v>
      </c>
      <c r="CQ884">
        <v>0</v>
      </c>
      <c r="CR884">
        <v>0</v>
      </c>
      <c r="CS884">
        <v>100</v>
      </c>
      <c r="CT884" t="s">
        <v>1353</v>
      </c>
      <c r="CU884">
        <v>0</v>
      </c>
      <c r="CV884" t="s">
        <v>111</v>
      </c>
      <c r="CW884" t="s">
        <v>111</v>
      </c>
      <c r="CX884" t="s">
        <v>111</v>
      </c>
      <c r="CY884">
        <v>0</v>
      </c>
      <c r="CZ884" t="s">
        <v>111</v>
      </c>
      <c r="DA884" t="s">
        <v>111</v>
      </c>
      <c r="DB884" t="s">
        <v>111</v>
      </c>
      <c r="DC884" t="s">
        <v>111</v>
      </c>
    </row>
    <row r="885" spans="1:107">
      <c r="A885">
        <v>377</v>
      </c>
      <c r="B885" t="s">
        <v>162</v>
      </c>
      <c r="C885" t="s">
        <v>2841</v>
      </c>
      <c r="D885" t="s">
        <v>2883</v>
      </c>
      <c r="E885" t="s">
        <v>2884</v>
      </c>
      <c r="F885" t="s">
        <v>2602</v>
      </c>
      <c r="G885" t="s">
        <v>416</v>
      </c>
      <c r="H885">
        <v>0.85</v>
      </c>
      <c r="I885">
        <v>34</v>
      </c>
      <c r="J885">
        <v>7</v>
      </c>
      <c r="K885">
        <v>7</v>
      </c>
      <c r="L885" t="s">
        <v>112</v>
      </c>
      <c r="M885" t="s">
        <v>118</v>
      </c>
      <c r="N885">
        <v>40</v>
      </c>
      <c r="O885">
        <v>2</v>
      </c>
      <c r="P885" t="s">
        <v>138</v>
      </c>
      <c r="Q885">
        <v>35</v>
      </c>
      <c r="R885">
        <v>0</v>
      </c>
      <c r="S885">
        <v>0</v>
      </c>
      <c r="T885">
        <v>0</v>
      </c>
      <c r="U885" s="1" t="s">
        <v>2885</v>
      </c>
      <c r="V885">
        <v>25</v>
      </c>
      <c r="W885">
        <v>0</v>
      </c>
      <c r="X885">
        <v>6</v>
      </c>
      <c r="Y885">
        <v>0</v>
      </c>
      <c r="Z885" t="s">
        <v>288</v>
      </c>
      <c r="AA885">
        <v>0.5</v>
      </c>
      <c r="AB885" t="s">
        <v>111</v>
      </c>
      <c r="AC885">
        <v>0</v>
      </c>
      <c r="AD885" t="s">
        <v>416</v>
      </c>
      <c r="AE885">
        <v>2</v>
      </c>
      <c r="AF885">
        <v>2</v>
      </c>
      <c r="AG885">
        <v>55</v>
      </c>
      <c r="AH885" t="s">
        <v>111</v>
      </c>
      <c r="AI885" t="s">
        <v>111</v>
      </c>
      <c r="AJ885" t="s">
        <v>111</v>
      </c>
      <c r="AK885" t="s">
        <v>111</v>
      </c>
      <c r="AL885" t="s">
        <v>111</v>
      </c>
      <c r="AM885">
        <v>0</v>
      </c>
      <c r="AN885">
        <v>0</v>
      </c>
      <c r="AO885">
        <v>0</v>
      </c>
      <c r="AP885" t="s">
        <v>111</v>
      </c>
      <c r="AQ885" t="s">
        <v>111</v>
      </c>
      <c r="AR885" t="s">
        <v>111</v>
      </c>
      <c r="AS885" t="s">
        <v>111</v>
      </c>
      <c r="AT885" t="s">
        <v>111</v>
      </c>
      <c r="AU885" t="s">
        <v>111</v>
      </c>
      <c r="AV885" t="s">
        <v>111</v>
      </c>
      <c r="AW885" t="s">
        <v>111</v>
      </c>
      <c r="AX885" t="s">
        <v>111</v>
      </c>
      <c r="AY885" t="s">
        <v>111</v>
      </c>
      <c r="AZ885" t="s">
        <v>111</v>
      </c>
      <c r="BA885" t="s">
        <v>111</v>
      </c>
      <c r="BB885" t="s">
        <v>111</v>
      </c>
      <c r="BC885" t="s">
        <v>111</v>
      </c>
      <c r="BD885" t="s">
        <v>111</v>
      </c>
      <c r="BE885" t="s">
        <v>111</v>
      </c>
      <c r="BF885" t="s">
        <v>111</v>
      </c>
      <c r="BG885" t="s">
        <v>111</v>
      </c>
      <c r="BH885" t="s">
        <v>111</v>
      </c>
      <c r="BI885" t="s">
        <v>111</v>
      </c>
      <c r="BJ885" t="s">
        <v>111</v>
      </c>
      <c r="BK885" t="s">
        <v>111</v>
      </c>
      <c r="BL885" t="s">
        <v>111</v>
      </c>
      <c r="BM885" t="s">
        <v>111</v>
      </c>
      <c r="BN885" t="s">
        <v>111</v>
      </c>
      <c r="BO885" t="s">
        <v>111</v>
      </c>
      <c r="BP885" t="s">
        <v>111</v>
      </c>
      <c r="BQ885" t="s">
        <v>111</v>
      </c>
      <c r="BR885" t="s">
        <v>111</v>
      </c>
      <c r="BS885" t="s">
        <v>111</v>
      </c>
      <c r="BT885" t="s">
        <v>111</v>
      </c>
      <c r="BU885" t="s">
        <v>111</v>
      </c>
      <c r="BV885" t="s">
        <v>111</v>
      </c>
      <c r="BW885" t="s">
        <v>111</v>
      </c>
      <c r="BX885" t="s">
        <v>111</v>
      </c>
      <c r="BY885" t="s">
        <v>111</v>
      </c>
      <c r="BZ885" t="s">
        <v>111</v>
      </c>
      <c r="CA885" t="s">
        <v>111</v>
      </c>
      <c r="CB885" t="s">
        <v>111</v>
      </c>
      <c r="CC885" t="s">
        <v>111</v>
      </c>
      <c r="CD885" t="s">
        <v>111</v>
      </c>
      <c r="CE885" t="s">
        <v>111</v>
      </c>
      <c r="CF885" t="s">
        <v>111</v>
      </c>
      <c r="CG885" t="s">
        <v>111</v>
      </c>
      <c r="CH885" t="s">
        <v>111</v>
      </c>
      <c r="CI885" t="s">
        <v>111</v>
      </c>
      <c r="CJ885" t="s">
        <v>111</v>
      </c>
      <c r="CK885" t="s">
        <v>111</v>
      </c>
      <c r="CL885" t="s">
        <v>153</v>
      </c>
      <c r="CM885" t="s">
        <v>198</v>
      </c>
      <c r="CN885" t="s">
        <v>128</v>
      </c>
      <c r="CO885" t="s">
        <v>974</v>
      </c>
      <c r="CP885" t="s">
        <v>433</v>
      </c>
      <c r="CQ885">
        <v>0</v>
      </c>
      <c r="CR885">
        <v>0</v>
      </c>
      <c r="CS885">
        <v>0</v>
      </c>
      <c r="CT885" t="s">
        <v>2850</v>
      </c>
      <c r="CU885">
        <v>0</v>
      </c>
      <c r="CV885" t="s">
        <v>111</v>
      </c>
      <c r="CW885" t="s">
        <v>111</v>
      </c>
      <c r="CX885" t="s">
        <v>111</v>
      </c>
      <c r="CY885">
        <v>0</v>
      </c>
      <c r="CZ885" t="s">
        <v>111</v>
      </c>
      <c r="DA885" t="s">
        <v>111</v>
      </c>
      <c r="DB885" t="s">
        <v>204</v>
      </c>
      <c r="DC885" s="1" t="s">
        <v>1363</v>
      </c>
    </row>
    <row r="886" spans="1:107">
      <c r="A886">
        <v>541</v>
      </c>
      <c r="B886" t="s">
        <v>162</v>
      </c>
      <c r="C886" t="s">
        <v>267</v>
      </c>
      <c r="D886" t="s">
        <v>2886</v>
      </c>
      <c r="E886" t="s">
        <v>2887</v>
      </c>
      <c r="F886" t="s">
        <v>239</v>
      </c>
      <c r="G886" t="s">
        <v>416</v>
      </c>
      <c r="H886">
        <v>1</v>
      </c>
      <c r="I886">
        <v>45</v>
      </c>
      <c r="J886">
        <v>0</v>
      </c>
      <c r="K886">
        <v>0</v>
      </c>
      <c r="L886" t="s">
        <v>112</v>
      </c>
      <c r="M886" t="s">
        <v>138</v>
      </c>
      <c r="N886">
        <v>0</v>
      </c>
      <c r="O886">
        <v>0</v>
      </c>
      <c r="P886" t="s">
        <v>138</v>
      </c>
      <c r="Q886">
        <v>40</v>
      </c>
      <c r="R886">
        <v>0</v>
      </c>
      <c r="S886">
        <v>0</v>
      </c>
      <c r="T886">
        <v>0</v>
      </c>
      <c r="U886" t="s">
        <v>153</v>
      </c>
      <c r="V886">
        <v>25</v>
      </c>
      <c r="W886">
        <v>0</v>
      </c>
      <c r="X886">
        <v>8</v>
      </c>
      <c r="Y886">
        <v>0</v>
      </c>
      <c r="Z886" t="s">
        <v>147</v>
      </c>
      <c r="AA886">
        <v>1.32</v>
      </c>
      <c r="AB886" t="s">
        <v>111</v>
      </c>
      <c r="AC886">
        <v>0</v>
      </c>
      <c r="AD886" t="s">
        <v>111</v>
      </c>
      <c r="AE886">
        <v>0</v>
      </c>
      <c r="AF886">
        <v>0</v>
      </c>
      <c r="AG886" t="s">
        <v>111</v>
      </c>
      <c r="AH886" t="s">
        <v>111</v>
      </c>
      <c r="AI886" t="s">
        <v>111</v>
      </c>
      <c r="AJ886" t="s">
        <v>111</v>
      </c>
      <c r="AK886" t="s">
        <v>111</v>
      </c>
      <c r="AL886" t="s">
        <v>111</v>
      </c>
      <c r="AM886">
        <v>0</v>
      </c>
      <c r="AN886">
        <v>0</v>
      </c>
      <c r="AO886">
        <v>0</v>
      </c>
      <c r="AP886" t="s">
        <v>111</v>
      </c>
      <c r="AQ886" t="s">
        <v>111</v>
      </c>
      <c r="AR886" t="s">
        <v>111</v>
      </c>
      <c r="AS886" t="s">
        <v>111</v>
      </c>
      <c r="AT886" t="s">
        <v>111</v>
      </c>
      <c r="AU886" t="s">
        <v>111</v>
      </c>
      <c r="AV886" t="s">
        <v>111</v>
      </c>
      <c r="AW886" t="s">
        <v>111</v>
      </c>
      <c r="AX886" t="s">
        <v>111</v>
      </c>
      <c r="AY886" t="s">
        <v>111</v>
      </c>
      <c r="AZ886" t="s">
        <v>111</v>
      </c>
      <c r="BA886" t="s">
        <v>111</v>
      </c>
      <c r="BB886" t="s">
        <v>111</v>
      </c>
      <c r="BC886" t="s">
        <v>111</v>
      </c>
      <c r="BD886" t="s">
        <v>111</v>
      </c>
      <c r="BE886" t="s">
        <v>111</v>
      </c>
      <c r="BF886" t="s">
        <v>111</v>
      </c>
      <c r="BG886" t="s">
        <v>111</v>
      </c>
      <c r="BH886" t="s">
        <v>111</v>
      </c>
      <c r="BI886" t="s">
        <v>111</v>
      </c>
      <c r="BJ886" t="s">
        <v>111</v>
      </c>
      <c r="BK886" t="s">
        <v>111</v>
      </c>
      <c r="BL886" t="s">
        <v>111</v>
      </c>
      <c r="BM886" t="s">
        <v>111</v>
      </c>
      <c r="BN886" t="s">
        <v>111</v>
      </c>
      <c r="BO886" t="s">
        <v>111</v>
      </c>
      <c r="BP886" t="s">
        <v>111</v>
      </c>
      <c r="BQ886" t="s">
        <v>111</v>
      </c>
      <c r="BR886" t="s">
        <v>111</v>
      </c>
      <c r="BS886" t="s">
        <v>111</v>
      </c>
      <c r="BT886" t="s">
        <v>111</v>
      </c>
      <c r="BU886" t="s">
        <v>111</v>
      </c>
      <c r="BV886" t="s">
        <v>111</v>
      </c>
      <c r="BW886" t="s">
        <v>111</v>
      </c>
      <c r="BX886" t="s">
        <v>111</v>
      </c>
      <c r="BY886" t="s">
        <v>111</v>
      </c>
      <c r="BZ886" t="s">
        <v>111</v>
      </c>
      <c r="CA886" t="s">
        <v>111</v>
      </c>
      <c r="CB886" t="s">
        <v>111</v>
      </c>
      <c r="CC886" t="s">
        <v>111</v>
      </c>
      <c r="CD886" t="s">
        <v>111</v>
      </c>
      <c r="CE886" t="s">
        <v>111</v>
      </c>
      <c r="CF886" t="s">
        <v>111</v>
      </c>
      <c r="CG886" t="s">
        <v>111</v>
      </c>
      <c r="CH886" t="s">
        <v>111</v>
      </c>
      <c r="CI886" t="s">
        <v>111</v>
      </c>
      <c r="CJ886" t="s">
        <v>111</v>
      </c>
      <c r="CK886" t="s">
        <v>111</v>
      </c>
      <c r="CL886" t="s">
        <v>111</v>
      </c>
      <c r="CM886" t="s">
        <v>198</v>
      </c>
      <c r="CN886" t="s">
        <v>128</v>
      </c>
      <c r="CO886" t="s">
        <v>111</v>
      </c>
      <c r="CP886" t="s">
        <v>111</v>
      </c>
      <c r="CQ886">
        <v>0</v>
      </c>
      <c r="CR886">
        <v>0</v>
      </c>
      <c r="CS886">
        <v>0</v>
      </c>
      <c r="CT886" t="s">
        <v>168</v>
      </c>
      <c r="CU886">
        <v>0</v>
      </c>
      <c r="CV886" t="s">
        <v>111</v>
      </c>
      <c r="CW886" t="s">
        <v>111</v>
      </c>
      <c r="CX886" t="s">
        <v>111</v>
      </c>
      <c r="CY886">
        <v>0</v>
      </c>
      <c r="CZ886" t="s">
        <v>111</v>
      </c>
      <c r="DA886" t="s">
        <v>111</v>
      </c>
      <c r="DB886" t="s">
        <v>111</v>
      </c>
      <c r="DC886" t="s">
        <v>111</v>
      </c>
    </row>
    <row r="887" spans="1:107">
      <c r="A887">
        <v>381</v>
      </c>
      <c r="B887" t="s">
        <v>162</v>
      </c>
      <c r="C887" t="s">
        <v>114</v>
      </c>
      <c r="D887" t="s">
        <v>2888</v>
      </c>
      <c r="E887" t="s">
        <v>2889</v>
      </c>
      <c r="F887" t="s">
        <v>431</v>
      </c>
      <c r="G887" t="s">
        <v>416</v>
      </c>
      <c r="H887">
        <v>3</v>
      </c>
      <c r="I887">
        <v>20</v>
      </c>
      <c r="J887">
        <v>0</v>
      </c>
      <c r="K887">
        <v>0</v>
      </c>
      <c r="L887" t="s">
        <v>112</v>
      </c>
      <c r="M887" t="s">
        <v>118</v>
      </c>
      <c r="N887">
        <v>40</v>
      </c>
      <c r="O887">
        <v>2</v>
      </c>
      <c r="P887" t="s">
        <v>138</v>
      </c>
      <c r="Q887">
        <v>35</v>
      </c>
      <c r="R887">
        <v>0</v>
      </c>
      <c r="S887">
        <v>0</v>
      </c>
      <c r="T887">
        <v>0</v>
      </c>
      <c r="U887" t="s">
        <v>1353</v>
      </c>
      <c r="V887">
        <v>0</v>
      </c>
      <c r="W887">
        <v>25</v>
      </c>
      <c r="X887">
        <v>8</v>
      </c>
      <c r="Y887">
        <v>0</v>
      </c>
      <c r="Z887" t="s">
        <v>111</v>
      </c>
      <c r="AA887">
        <v>0</v>
      </c>
      <c r="AB887" t="s">
        <v>111</v>
      </c>
      <c r="AC887">
        <v>0</v>
      </c>
      <c r="AD887" t="s">
        <v>416</v>
      </c>
      <c r="AE887">
        <v>5</v>
      </c>
      <c r="AF887">
        <v>2</v>
      </c>
      <c r="AG887">
        <v>45</v>
      </c>
      <c r="AH887" t="s">
        <v>111</v>
      </c>
      <c r="AI887">
        <v>45</v>
      </c>
      <c r="AJ887" t="s">
        <v>111</v>
      </c>
      <c r="AK887" t="s">
        <v>111</v>
      </c>
      <c r="AL887" t="s">
        <v>111</v>
      </c>
      <c r="AM887">
        <v>0</v>
      </c>
      <c r="AN887">
        <v>0</v>
      </c>
      <c r="AO887">
        <v>0</v>
      </c>
      <c r="AP887" t="s">
        <v>147</v>
      </c>
      <c r="AQ887" t="s">
        <v>111</v>
      </c>
      <c r="AR887" t="s">
        <v>111</v>
      </c>
      <c r="AS887" t="s">
        <v>111</v>
      </c>
      <c r="AT887" t="s">
        <v>288</v>
      </c>
      <c r="AU887" t="s">
        <v>111</v>
      </c>
      <c r="AV887" t="s">
        <v>111</v>
      </c>
      <c r="AW887" t="s">
        <v>111</v>
      </c>
      <c r="AX887" t="s">
        <v>259</v>
      </c>
      <c r="AY887" t="s">
        <v>111</v>
      </c>
      <c r="AZ887" t="s">
        <v>111</v>
      </c>
      <c r="BA887" t="s">
        <v>111</v>
      </c>
      <c r="BB887" t="s">
        <v>184</v>
      </c>
      <c r="BC887" t="s">
        <v>111</v>
      </c>
      <c r="BD887" t="s">
        <v>111</v>
      </c>
      <c r="BE887" t="s">
        <v>111</v>
      </c>
      <c r="BF887" t="s">
        <v>111</v>
      </c>
      <c r="BG887" t="s">
        <v>111</v>
      </c>
      <c r="BH887" t="s">
        <v>111</v>
      </c>
      <c r="BI887" t="s">
        <v>111</v>
      </c>
      <c r="BJ887" t="s">
        <v>111</v>
      </c>
      <c r="BK887" t="s">
        <v>111</v>
      </c>
      <c r="BL887" t="s">
        <v>111</v>
      </c>
      <c r="BM887" t="s">
        <v>111</v>
      </c>
      <c r="BN887" t="s">
        <v>111</v>
      </c>
      <c r="BO887" t="s">
        <v>111</v>
      </c>
      <c r="BP887" t="s">
        <v>111</v>
      </c>
      <c r="BQ887" t="s">
        <v>111</v>
      </c>
      <c r="BR887" t="s">
        <v>111</v>
      </c>
      <c r="BS887" t="s">
        <v>111</v>
      </c>
      <c r="BT887" t="s">
        <v>111</v>
      </c>
      <c r="BU887" t="s">
        <v>111</v>
      </c>
      <c r="BV887" t="s">
        <v>111</v>
      </c>
      <c r="BW887" t="s">
        <v>111</v>
      </c>
      <c r="BX887" t="s">
        <v>111</v>
      </c>
      <c r="BY887" t="s">
        <v>111</v>
      </c>
      <c r="BZ887" t="s">
        <v>111</v>
      </c>
      <c r="CA887" t="s">
        <v>111</v>
      </c>
      <c r="CB887" t="s">
        <v>111</v>
      </c>
      <c r="CC887" t="s">
        <v>111</v>
      </c>
      <c r="CD887" t="s">
        <v>111</v>
      </c>
      <c r="CE887" t="s">
        <v>111</v>
      </c>
      <c r="CF887" t="s">
        <v>111</v>
      </c>
      <c r="CG887" t="s">
        <v>111</v>
      </c>
      <c r="CH887" t="s">
        <v>111</v>
      </c>
      <c r="CI887" t="s">
        <v>111</v>
      </c>
      <c r="CJ887" t="s">
        <v>111</v>
      </c>
      <c r="CK887" t="s">
        <v>111</v>
      </c>
      <c r="CL887" t="s">
        <v>153</v>
      </c>
      <c r="CM887" t="s">
        <v>198</v>
      </c>
      <c r="CN887" t="s">
        <v>128</v>
      </c>
      <c r="CO887" t="s">
        <v>111</v>
      </c>
      <c r="CP887" t="s">
        <v>433</v>
      </c>
      <c r="CQ887">
        <v>0</v>
      </c>
      <c r="CR887">
        <v>0</v>
      </c>
      <c r="CS887">
        <v>0</v>
      </c>
      <c r="CT887" t="s">
        <v>2890</v>
      </c>
      <c r="CU887">
        <v>0</v>
      </c>
      <c r="CV887" t="s">
        <v>111</v>
      </c>
      <c r="CW887" t="s">
        <v>111</v>
      </c>
      <c r="CX887" t="s">
        <v>111</v>
      </c>
      <c r="CY887">
        <v>0</v>
      </c>
      <c r="CZ887" t="s">
        <v>111</v>
      </c>
      <c r="DA887" t="s">
        <v>111</v>
      </c>
      <c r="DB887" t="s">
        <v>204</v>
      </c>
      <c r="DC887" s="1" t="s">
        <v>2891</v>
      </c>
    </row>
    <row r="888" spans="1:107">
      <c r="A888">
        <v>266</v>
      </c>
      <c r="B888" t="s">
        <v>162</v>
      </c>
      <c r="C888" t="s">
        <v>223</v>
      </c>
      <c r="D888" t="s">
        <v>2892</v>
      </c>
      <c r="E888" t="s">
        <v>2893</v>
      </c>
      <c r="F888" t="s">
        <v>287</v>
      </c>
      <c r="G888" t="s">
        <v>416</v>
      </c>
      <c r="H888">
        <v>2.2999999999999998</v>
      </c>
      <c r="I888">
        <v>50</v>
      </c>
      <c r="J888">
        <v>0</v>
      </c>
      <c r="K888">
        <v>0</v>
      </c>
      <c r="L888" t="s">
        <v>112</v>
      </c>
      <c r="M888" t="s">
        <v>138</v>
      </c>
      <c r="N888">
        <v>0</v>
      </c>
      <c r="O888">
        <v>0</v>
      </c>
      <c r="P888" t="s">
        <v>138</v>
      </c>
      <c r="Q888">
        <v>40</v>
      </c>
      <c r="R888">
        <v>0</v>
      </c>
      <c r="S888">
        <v>0</v>
      </c>
      <c r="T888">
        <v>2</v>
      </c>
      <c r="U888" s="1" t="s">
        <v>2894</v>
      </c>
      <c r="V888">
        <v>25</v>
      </c>
      <c r="W888">
        <v>0</v>
      </c>
      <c r="X888">
        <v>10</v>
      </c>
      <c r="Y888">
        <v>0</v>
      </c>
      <c r="Z888" t="s">
        <v>288</v>
      </c>
      <c r="AA888">
        <v>1.3</v>
      </c>
      <c r="AB888" t="s">
        <v>2895</v>
      </c>
      <c r="AC888">
        <v>750</v>
      </c>
      <c r="AD888" t="s">
        <v>111</v>
      </c>
      <c r="AE888">
        <v>0</v>
      </c>
      <c r="AF888">
        <v>0</v>
      </c>
      <c r="AG888" t="s">
        <v>111</v>
      </c>
      <c r="AH888" t="s">
        <v>111</v>
      </c>
      <c r="AI888" t="s">
        <v>111</v>
      </c>
      <c r="AJ888" t="s">
        <v>111</v>
      </c>
      <c r="AK888" t="s">
        <v>111</v>
      </c>
      <c r="AL888" t="s">
        <v>111</v>
      </c>
      <c r="AM888">
        <v>0</v>
      </c>
      <c r="AN888">
        <v>0</v>
      </c>
      <c r="AO888">
        <v>0</v>
      </c>
      <c r="AP888" t="s">
        <v>111</v>
      </c>
      <c r="AQ888" t="s">
        <v>111</v>
      </c>
      <c r="AR888" t="s">
        <v>111</v>
      </c>
      <c r="AS888" t="s">
        <v>111</v>
      </c>
      <c r="AT888" t="s">
        <v>111</v>
      </c>
      <c r="AU888" t="s">
        <v>111</v>
      </c>
      <c r="AV888" t="s">
        <v>111</v>
      </c>
      <c r="AW888" t="s">
        <v>111</v>
      </c>
      <c r="AX888" t="s">
        <v>111</v>
      </c>
      <c r="AY888" t="s">
        <v>111</v>
      </c>
      <c r="AZ888" t="s">
        <v>111</v>
      </c>
      <c r="BA888" t="s">
        <v>111</v>
      </c>
      <c r="BB888" t="s">
        <v>111</v>
      </c>
      <c r="BC888" t="s">
        <v>111</v>
      </c>
      <c r="BD888" t="s">
        <v>111</v>
      </c>
      <c r="BE888" t="s">
        <v>111</v>
      </c>
      <c r="BF888" t="s">
        <v>111</v>
      </c>
      <c r="BG888" t="s">
        <v>111</v>
      </c>
      <c r="BH888" t="s">
        <v>111</v>
      </c>
      <c r="BI888" t="s">
        <v>111</v>
      </c>
      <c r="BJ888" t="s">
        <v>111</v>
      </c>
      <c r="BK888" t="s">
        <v>111</v>
      </c>
      <c r="BL888" t="s">
        <v>111</v>
      </c>
      <c r="BM888" t="s">
        <v>111</v>
      </c>
      <c r="BN888" t="s">
        <v>111</v>
      </c>
      <c r="BO888" t="s">
        <v>111</v>
      </c>
      <c r="BP888" t="s">
        <v>111</v>
      </c>
      <c r="BQ888" t="s">
        <v>111</v>
      </c>
      <c r="BR888" t="s">
        <v>111</v>
      </c>
      <c r="BS888" t="s">
        <v>111</v>
      </c>
      <c r="BT888" t="s">
        <v>111</v>
      </c>
      <c r="BU888" t="s">
        <v>111</v>
      </c>
      <c r="BV888" t="s">
        <v>111</v>
      </c>
      <c r="BW888" t="s">
        <v>111</v>
      </c>
      <c r="BX888" t="s">
        <v>111</v>
      </c>
      <c r="BY888" t="s">
        <v>111</v>
      </c>
      <c r="BZ888" t="s">
        <v>111</v>
      </c>
      <c r="CA888" t="s">
        <v>111</v>
      </c>
      <c r="CB888" t="s">
        <v>111</v>
      </c>
      <c r="CC888" t="s">
        <v>111</v>
      </c>
      <c r="CD888" t="s">
        <v>111</v>
      </c>
      <c r="CE888" t="s">
        <v>111</v>
      </c>
      <c r="CF888" t="s">
        <v>111</v>
      </c>
      <c r="CG888" t="s">
        <v>111</v>
      </c>
      <c r="CH888" t="s">
        <v>111</v>
      </c>
      <c r="CI888" t="s">
        <v>111</v>
      </c>
      <c r="CJ888" t="s">
        <v>111</v>
      </c>
      <c r="CK888" t="s">
        <v>111</v>
      </c>
      <c r="CL888" t="s">
        <v>111</v>
      </c>
      <c r="CM888" t="s">
        <v>111</v>
      </c>
      <c r="CN888" t="s">
        <v>111</v>
      </c>
      <c r="CO888" t="s">
        <v>111</v>
      </c>
      <c r="CP888" t="s">
        <v>111</v>
      </c>
      <c r="CQ888">
        <v>0</v>
      </c>
      <c r="CR888">
        <v>240</v>
      </c>
      <c r="CS888">
        <v>20</v>
      </c>
      <c r="CT888" t="s">
        <v>111</v>
      </c>
      <c r="CU888">
        <v>0</v>
      </c>
      <c r="CV888" t="s">
        <v>111</v>
      </c>
      <c r="CW888" t="s">
        <v>111</v>
      </c>
      <c r="CX888" t="s">
        <v>111</v>
      </c>
      <c r="CY888">
        <v>0</v>
      </c>
      <c r="CZ888" t="s">
        <v>111</v>
      </c>
      <c r="DA888" t="s">
        <v>111</v>
      </c>
      <c r="DB888" t="s">
        <v>204</v>
      </c>
      <c r="DC888" s="1" t="s">
        <v>205</v>
      </c>
    </row>
    <row r="889" spans="1:107">
      <c r="A889">
        <v>543</v>
      </c>
      <c r="B889" t="s">
        <v>162</v>
      </c>
      <c r="C889" t="s">
        <v>267</v>
      </c>
      <c r="D889" t="s">
        <v>2896</v>
      </c>
      <c r="E889" t="s">
        <v>2897</v>
      </c>
      <c r="F889" t="s">
        <v>759</v>
      </c>
      <c r="G889" t="s">
        <v>416</v>
      </c>
      <c r="H889">
        <v>1</v>
      </c>
      <c r="I889">
        <v>55</v>
      </c>
      <c r="J889">
        <v>0</v>
      </c>
      <c r="K889">
        <v>0</v>
      </c>
      <c r="L889" t="s">
        <v>112</v>
      </c>
      <c r="M889" t="s">
        <v>138</v>
      </c>
      <c r="N889">
        <v>0</v>
      </c>
      <c r="O889">
        <v>0</v>
      </c>
      <c r="P889" t="s">
        <v>138</v>
      </c>
      <c r="Q889">
        <v>40</v>
      </c>
      <c r="R889">
        <v>0</v>
      </c>
      <c r="S889">
        <v>0</v>
      </c>
      <c r="T889">
        <v>0</v>
      </c>
      <c r="U889" t="s">
        <v>153</v>
      </c>
      <c r="V889">
        <v>25</v>
      </c>
      <c r="W889">
        <v>0</v>
      </c>
      <c r="X889">
        <v>8</v>
      </c>
      <c r="Y889">
        <v>0</v>
      </c>
      <c r="Z889" t="s">
        <v>188</v>
      </c>
      <c r="AA889">
        <v>0</v>
      </c>
      <c r="AB889" t="s">
        <v>111</v>
      </c>
      <c r="AC889">
        <v>0</v>
      </c>
      <c r="AD889" t="s">
        <v>111</v>
      </c>
      <c r="AE889">
        <v>0</v>
      </c>
      <c r="AF889">
        <v>0</v>
      </c>
      <c r="AG889" t="s">
        <v>111</v>
      </c>
      <c r="AH889" t="s">
        <v>111</v>
      </c>
      <c r="AI889" t="s">
        <v>111</v>
      </c>
      <c r="AJ889" t="s">
        <v>111</v>
      </c>
      <c r="AK889" t="s">
        <v>111</v>
      </c>
      <c r="AL889" t="s">
        <v>111</v>
      </c>
      <c r="AM889">
        <v>0</v>
      </c>
      <c r="AN889">
        <v>0</v>
      </c>
      <c r="AO889">
        <v>0</v>
      </c>
      <c r="AP889" t="s">
        <v>111</v>
      </c>
      <c r="AQ889" t="s">
        <v>111</v>
      </c>
      <c r="AR889" t="s">
        <v>111</v>
      </c>
      <c r="AS889" t="s">
        <v>111</v>
      </c>
      <c r="AT889" t="s">
        <v>111</v>
      </c>
      <c r="AU889" t="s">
        <v>111</v>
      </c>
      <c r="AV889" t="s">
        <v>111</v>
      </c>
      <c r="AW889" t="s">
        <v>111</v>
      </c>
      <c r="AX889" t="s">
        <v>111</v>
      </c>
      <c r="AY889" t="s">
        <v>111</v>
      </c>
      <c r="AZ889" t="s">
        <v>111</v>
      </c>
      <c r="BA889" t="s">
        <v>111</v>
      </c>
      <c r="BB889" t="s">
        <v>111</v>
      </c>
      <c r="BC889" t="s">
        <v>111</v>
      </c>
      <c r="BD889" t="s">
        <v>111</v>
      </c>
      <c r="BE889" t="s">
        <v>111</v>
      </c>
      <c r="BF889" t="s">
        <v>111</v>
      </c>
      <c r="BG889" t="s">
        <v>111</v>
      </c>
      <c r="BH889" t="s">
        <v>111</v>
      </c>
      <c r="BI889" t="s">
        <v>111</v>
      </c>
      <c r="BJ889" t="s">
        <v>111</v>
      </c>
      <c r="BK889" t="s">
        <v>111</v>
      </c>
      <c r="BL889" t="s">
        <v>111</v>
      </c>
      <c r="BM889" t="s">
        <v>111</v>
      </c>
      <c r="BN889" t="s">
        <v>111</v>
      </c>
      <c r="BO889" t="s">
        <v>111</v>
      </c>
      <c r="BP889" t="s">
        <v>111</v>
      </c>
      <c r="BQ889" t="s">
        <v>111</v>
      </c>
      <c r="BR889" t="s">
        <v>111</v>
      </c>
      <c r="BS889" t="s">
        <v>111</v>
      </c>
      <c r="BT889" t="s">
        <v>111</v>
      </c>
      <c r="BU889" t="s">
        <v>111</v>
      </c>
      <c r="BV889" t="s">
        <v>111</v>
      </c>
      <c r="BW889" t="s">
        <v>111</v>
      </c>
      <c r="BX889" t="s">
        <v>111</v>
      </c>
      <c r="BY889" t="s">
        <v>111</v>
      </c>
      <c r="BZ889" t="s">
        <v>111</v>
      </c>
      <c r="CA889" t="s">
        <v>111</v>
      </c>
      <c r="CB889" t="s">
        <v>111</v>
      </c>
      <c r="CC889" t="s">
        <v>111</v>
      </c>
      <c r="CD889" t="s">
        <v>111</v>
      </c>
      <c r="CE889" t="s">
        <v>111</v>
      </c>
      <c r="CF889" t="s">
        <v>111</v>
      </c>
      <c r="CG889" t="s">
        <v>111</v>
      </c>
      <c r="CH889" t="s">
        <v>111</v>
      </c>
      <c r="CI889" t="s">
        <v>111</v>
      </c>
      <c r="CJ889" t="s">
        <v>111</v>
      </c>
      <c r="CK889" t="s">
        <v>111</v>
      </c>
      <c r="CL889" t="s">
        <v>111</v>
      </c>
      <c r="CM889" t="s">
        <v>198</v>
      </c>
      <c r="CN889" t="s">
        <v>128</v>
      </c>
      <c r="CO889" t="s">
        <v>111</v>
      </c>
      <c r="CP889" t="s">
        <v>111</v>
      </c>
      <c r="CQ889">
        <v>0</v>
      </c>
      <c r="CR889">
        <v>0</v>
      </c>
      <c r="CS889">
        <v>0</v>
      </c>
      <c r="CT889" t="s">
        <v>168</v>
      </c>
      <c r="CU889">
        <v>0</v>
      </c>
      <c r="CV889" t="s">
        <v>111</v>
      </c>
      <c r="CW889" t="s">
        <v>111</v>
      </c>
      <c r="CX889" t="s">
        <v>111</v>
      </c>
      <c r="CY889">
        <v>0</v>
      </c>
      <c r="CZ889" t="s">
        <v>111</v>
      </c>
      <c r="DA889" t="s">
        <v>111</v>
      </c>
      <c r="DB889" t="s">
        <v>111</v>
      </c>
      <c r="DC889" t="s">
        <v>111</v>
      </c>
    </row>
    <row r="890" spans="1:107">
      <c r="A890">
        <v>542</v>
      </c>
      <c r="B890" t="s">
        <v>162</v>
      </c>
      <c r="C890" t="s">
        <v>267</v>
      </c>
      <c r="D890" t="s">
        <v>2898</v>
      </c>
      <c r="E890" t="s">
        <v>2899</v>
      </c>
      <c r="F890" t="s">
        <v>293</v>
      </c>
      <c r="G890" t="s">
        <v>416</v>
      </c>
      <c r="H890">
        <v>1</v>
      </c>
      <c r="I890">
        <v>45</v>
      </c>
      <c r="J890">
        <v>0</v>
      </c>
      <c r="K890">
        <v>0</v>
      </c>
      <c r="L890" t="s">
        <v>112</v>
      </c>
      <c r="M890" t="s">
        <v>138</v>
      </c>
      <c r="N890">
        <v>0</v>
      </c>
      <c r="O890">
        <v>0</v>
      </c>
      <c r="P890" t="s">
        <v>138</v>
      </c>
      <c r="Q890">
        <v>40</v>
      </c>
      <c r="R890">
        <v>0</v>
      </c>
      <c r="S890">
        <v>0</v>
      </c>
      <c r="T890">
        <v>0</v>
      </c>
      <c r="U890" t="s">
        <v>153</v>
      </c>
      <c r="V890">
        <v>25</v>
      </c>
      <c r="W890">
        <v>0</v>
      </c>
      <c r="X890">
        <v>8</v>
      </c>
      <c r="Y890">
        <v>0</v>
      </c>
      <c r="Z890" t="s">
        <v>184</v>
      </c>
      <c r="AA890">
        <v>1.32</v>
      </c>
      <c r="AB890" t="s">
        <v>111</v>
      </c>
      <c r="AC890">
        <v>0</v>
      </c>
      <c r="AD890" t="s">
        <v>111</v>
      </c>
      <c r="AE890">
        <v>0</v>
      </c>
      <c r="AF890">
        <v>0</v>
      </c>
      <c r="AG890" t="s">
        <v>111</v>
      </c>
      <c r="AH890" t="s">
        <v>111</v>
      </c>
      <c r="AI890" t="s">
        <v>111</v>
      </c>
      <c r="AJ890" t="s">
        <v>111</v>
      </c>
      <c r="AK890" t="s">
        <v>111</v>
      </c>
      <c r="AL890" t="s">
        <v>111</v>
      </c>
      <c r="AM890">
        <v>0</v>
      </c>
      <c r="AN890">
        <v>0</v>
      </c>
      <c r="AO890">
        <v>0</v>
      </c>
      <c r="AP890" t="s">
        <v>111</v>
      </c>
      <c r="AQ890" t="s">
        <v>111</v>
      </c>
      <c r="AR890" t="s">
        <v>111</v>
      </c>
      <c r="AS890" t="s">
        <v>111</v>
      </c>
      <c r="AT890" t="s">
        <v>111</v>
      </c>
      <c r="AU890" t="s">
        <v>111</v>
      </c>
      <c r="AV890" t="s">
        <v>111</v>
      </c>
      <c r="AW890" t="s">
        <v>111</v>
      </c>
      <c r="AX890" t="s">
        <v>111</v>
      </c>
      <c r="AY890" t="s">
        <v>111</v>
      </c>
      <c r="AZ890" t="s">
        <v>111</v>
      </c>
      <c r="BA890" t="s">
        <v>111</v>
      </c>
      <c r="BB890" t="s">
        <v>111</v>
      </c>
      <c r="BC890" t="s">
        <v>111</v>
      </c>
      <c r="BD890" t="s">
        <v>111</v>
      </c>
      <c r="BE890" t="s">
        <v>111</v>
      </c>
      <c r="BF890" t="s">
        <v>111</v>
      </c>
      <c r="BG890" t="s">
        <v>111</v>
      </c>
      <c r="BH890" t="s">
        <v>111</v>
      </c>
      <c r="BI890" t="s">
        <v>111</v>
      </c>
      <c r="BJ890" t="s">
        <v>111</v>
      </c>
      <c r="BK890" t="s">
        <v>111</v>
      </c>
      <c r="BL890" t="s">
        <v>111</v>
      </c>
      <c r="BM890" t="s">
        <v>111</v>
      </c>
      <c r="BN890" t="s">
        <v>111</v>
      </c>
      <c r="BO890" t="s">
        <v>111</v>
      </c>
      <c r="BP890" t="s">
        <v>111</v>
      </c>
      <c r="BQ890" t="s">
        <v>111</v>
      </c>
      <c r="BR890" t="s">
        <v>111</v>
      </c>
      <c r="BS890" t="s">
        <v>111</v>
      </c>
      <c r="BT890" t="s">
        <v>111</v>
      </c>
      <c r="BU890" t="s">
        <v>111</v>
      </c>
      <c r="BV890" t="s">
        <v>111</v>
      </c>
      <c r="BW890" t="s">
        <v>111</v>
      </c>
      <c r="BX890" t="s">
        <v>111</v>
      </c>
      <c r="BY890" t="s">
        <v>111</v>
      </c>
      <c r="BZ890" t="s">
        <v>111</v>
      </c>
      <c r="CA890" t="s">
        <v>111</v>
      </c>
      <c r="CB890" t="s">
        <v>111</v>
      </c>
      <c r="CC890" t="s">
        <v>111</v>
      </c>
      <c r="CD890" t="s">
        <v>111</v>
      </c>
      <c r="CE890" t="s">
        <v>111</v>
      </c>
      <c r="CF890" t="s">
        <v>111</v>
      </c>
      <c r="CG890" t="s">
        <v>111</v>
      </c>
      <c r="CH890" t="s">
        <v>111</v>
      </c>
      <c r="CI890" t="s">
        <v>111</v>
      </c>
      <c r="CJ890" t="s">
        <v>111</v>
      </c>
      <c r="CK890" t="s">
        <v>111</v>
      </c>
      <c r="CL890" t="s">
        <v>111</v>
      </c>
      <c r="CM890" t="s">
        <v>198</v>
      </c>
      <c r="CN890" t="s">
        <v>128</v>
      </c>
      <c r="CO890" t="s">
        <v>111</v>
      </c>
      <c r="CP890" t="s">
        <v>111</v>
      </c>
      <c r="CQ890">
        <v>0</v>
      </c>
      <c r="CR890">
        <v>0</v>
      </c>
      <c r="CS890">
        <v>0</v>
      </c>
      <c r="CT890" t="s">
        <v>168</v>
      </c>
      <c r="CU890">
        <v>0</v>
      </c>
      <c r="CV890" t="s">
        <v>111</v>
      </c>
      <c r="CW890" t="s">
        <v>111</v>
      </c>
      <c r="CX890" t="s">
        <v>111</v>
      </c>
      <c r="CY890">
        <v>0</v>
      </c>
      <c r="CZ890" t="s">
        <v>111</v>
      </c>
      <c r="DA890" t="s">
        <v>111</v>
      </c>
      <c r="DB890" t="s">
        <v>111</v>
      </c>
      <c r="DC890" t="s">
        <v>111</v>
      </c>
    </row>
    <row r="891" spans="1:107">
      <c r="A891">
        <v>227</v>
      </c>
      <c r="B891" t="s">
        <v>162</v>
      </c>
      <c r="C891" t="s">
        <v>2900</v>
      </c>
      <c r="D891" t="s">
        <v>2901</v>
      </c>
      <c r="E891" t="s">
        <v>2902</v>
      </c>
      <c r="F891" t="s">
        <v>561</v>
      </c>
      <c r="G891" t="s">
        <v>416</v>
      </c>
      <c r="H891">
        <v>2.2999999999999998</v>
      </c>
      <c r="I891">
        <v>50</v>
      </c>
      <c r="J891">
        <v>0</v>
      </c>
      <c r="K891">
        <v>0</v>
      </c>
      <c r="L891" t="s">
        <v>112</v>
      </c>
      <c r="M891" t="s">
        <v>118</v>
      </c>
      <c r="N891">
        <v>40</v>
      </c>
      <c r="O891">
        <v>2</v>
      </c>
      <c r="P891" t="s">
        <v>138</v>
      </c>
      <c r="Q891">
        <v>40</v>
      </c>
      <c r="R891">
        <v>0</v>
      </c>
      <c r="S891">
        <v>0</v>
      </c>
      <c r="T891">
        <v>0</v>
      </c>
      <c r="U891" t="s">
        <v>1353</v>
      </c>
      <c r="V891">
        <v>25</v>
      </c>
      <c r="W891">
        <v>0</v>
      </c>
      <c r="X891">
        <v>8</v>
      </c>
      <c r="Y891">
        <v>0</v>
      </c>
      <c r="Z891" t="s">
        <v>111</v>
      </c>
      <c r="AA891">
        <v>0</v>
      </c>
      <c r="AB891" t="s">
        <v>111</v>
      </c>
      <c r="AC891">
        <v>0</v>
      </c>
      <c r="AD891" t="s">
        <v>416</v>
      </c>
      <c r="AE891">
        <v>2</v>
      </c>
      <c r="AF891">
        <v>2</v>
      </c>
      <c r="AG891">
        <v>27</v>
      </c>
      <c r="AH891" t="s">
        <v>111</v>
      </c>
      <c r="AI891">
        <v>54</v>
      </c>
      <c r="AJ891" t="s">
        <v>111</v>
      </c>
      <c r="AK891" t="s">
        <v>111</v>
      </c>
      <c r="AL891" t="s">
        <v>111</v>
      </c>
      <c r="AM891">
        <v>0</v>
      </c>
      <c r="AN891">
        <v>0</v>
      </c>
      <c r="AO891">
        <v>0</v>
      </c>
      <c r="AP891" t="s">
        <v>259</v>
      </c>
      <c r="AQ891" t="s">
        <v>111</v>
      </c>
      <c r="AR891" t="s">
        <v>111</v>
      </c>
      <c r="AS891" t="s">
        <v>111</v>
      </c>
      <c r="AT891" t="s">
        <v>188</v>
      </c>
      <c r="AU891" t="s">
        <v>111</v>
      </c>
      <c r="AV891" t="s">
        <v>111</v>
      </c>
      <c r="AW891" t="s">
        <v>111</v>
      </c>
      <c r="AX891" t="s">
        <v>111</v>
      </c>
      <c r="AY891" t="s">
        <v>111</v>
      </c>
      <c r="AZ891" t="s">
        <v>111</v>
      </c>
      <c r="BA891" t="s">
        <v>111</v>
      </c>
      <c r="BB891" t="s">
        <v>111</v>
      </c>
      <c r="BC891" t="s">
        <v>111</v>
      </c>
      <c r="BD891" t="s">
        <v>111</v>
      </c>
      <c r="BE891" t="s">
        <v>111</v>
      </c>
      <c r="BF891" t="s">
        <v>111</v>
      </c>
      <c r="BG891" t="s">
        <v>111</v>
      </c>
      <c r="BH891" t="s">
        <v>111</v>
      </c>
      <c r="BI891" t="s">
        <v>111</v>
      </c>
      <c r="BJ891" t="s">
        <v>111</v>
      </c>
      <c r="BK891" t="s">
        <v>111</v>
      </c>
      <c r="BL891" t="s">
        <v>111</v>
      </c>
      <c r="BM891" t="s">
        <v>111</v>
      </c>
      <c r="BN891" t="s">
        <v>111</v>
      </c>
      <c r="BO891" t="s">
        <v>111</v>
      </c>
      <c r="BP891" t="s">
        <v>111</v>
      </c>
      <c r="BQ891" t="s">
        <v>111</v>
      </c>
      <c r="BR891" t="s">
        <v>111</v>
      </c>
      <c r="BS891" t="s">
        <v>111</v>
      </c>
      <c r="BT891" t="s">
        <v>111</v>
      </c>
      <c r="BU891" t="s">
        <v>111</v>
      </c>
      <c r="BV891" t="s">
        <v>111</v>
      </c>
      <c r="BW891" t="s">
        <v>111</v>
      </c>
      <c r="BX891" t="s">
        <v>111</v>
      </c>
      <c r="BY891" t="s">
        <v>111</v>
      </c>
      <c r="BZ891" t="s">
        <v>111</v>
      </c>
      <c r="CA891" t="s">
        <v>111</v>
      </c>
      <c r="CB891" t="s">
        <v>111</v>
      </c>
      <c r="CC891" t="s">
        <v>111</v>
      </c>
      <c r="CD891" t="s">
        <v>111</v>
      </c>
      <c r="CE891" t="s">
        <v>111</v>
      </c>
      <c r="CF891" t="s">
        <v>111</v>
      </c>
      <c r="CG891" t="s">
        <v>111</v>
      </c>
      <c r="CH891" t="s">
        <v>111</v>
      </c>
      <c r="CI891" t="s">
        <v>111</v>
      </c>
      <c r="CJ891" t="s">
        <v>111</v>
      </c>
      <c r="CK891" t="s">
        <v>111</v>
      </c>
      <c r="CL891" t="s">
        <v>153</v>
      </c>
      <c r="CM891" t="s">
        <v>198</v>
      </c>
      <c r="CN891" t="s">
        <v>113</v>
      </c>
      <c r="CO891" t="s">
        <v>111</v>
      </c>
      <c r="CP891" t="s">
        <v>433</v>
      </c>
      <c r="CQ891">
        <v>0</v>
      </c>
      <c r="CR891">
        <v>0</v>
      </c>
      <c r="CS891">
        <v>0</v>
      </c>
      <c r="CT891" t="s">
        <v>168</v>
      </c>
      <c r="CU891">
        <v>0</v>
      </c>
      <c r="CV891" t="s">
        <v>111</v>
      </c>
      <c r="CW891" t="s">
        <v>111</v>
      </c>
      <c r="CX891" t="s">
        <v>111</v>
      </c>
      <c r="CY891">
        <v>0</v>
      </c>
      <c r="CZ891" t="s">
        <v>111</v>
      </c>
      <c r="DA891" t="s">
        <v>111</v>
      </c>
      <c r="DB891" t="s">
        <v>111</v>
      </c>
      <c r="DC891" t="s">
        <v>111</v>
      </c>
    </row>
    <row r="892" spans="1:107">
      <c r="A892">
        <v>228</v>
      </c>
      <c r="B892" t="s">
        <v>162</v>
      </c>
      <c r="C892" t="s">
        <v>2903</v>
      </c>
      <c r="D892" t="s">
        <v>2904</v>
      </c>
      <c r="E892" t="s">
        <v>2905</v>
      </c>
      <c r="F892" t="s">
        <v>2906</v>
      </c>
      <c r="G892" t="s">
        <v>416</v>
      </c>
      <c r="H892">
        <v>3</v>
      </c>
      <c r="I892">
        <v>33</v>
      </c>
      <c r="J892">
        <v>0</v>
      </c>
      <c r="K892">
        <v>0</v>
      </c>
      <c r="L892" t="s">
        <v>178</v>
      </c>
      <c r="M892" t="s">
        <v>118</v>
      </c>
      <c r="N892">
        <v>40</v>
      </c>
      <c r="O892">
        <v>2</v>
      </c>
      <c r="P892" t="s">
        <v>138</v>
      </c>
      <c r="Q892">
        <v>40</v>
      </c>
      <c r="R892">
        <v>0</v>
      </c>
      <c r="S892">
        <v>0</v>
      </c>
      <c r="T892">
        <v>0</v>
      </c>
      <c r="U892" t="s">
        <v>1353</v>
      </c>
      <c r="V892">
        <v>25</v>
      </c>
      <c r="W892">
        <v>0</v>
      </c>
      <c r="X892">
        <v>8</v>
      </c>
      <c r="Y892">
        <v>0</v>
      </c>
      <c r="Z892" t="s">
        <v>188</v>
      </c>
      <c r="AA892">
        <v>0</v>
      </c>
      <c r="AB892" t="s">
        <v>111</v>
      </c>
      <c r="AC892">
        <v>0</v>
      </c>
      <c r="AD892" t="s">
        <v>416</v>
      </c>
      <c r="AE892">
        <v>2</v>
      </c>
      <c r="AF892">
        <v>2</v>
      </c>
      <c r="AG892">
        <v>30</v>
      </c>
      <c r="AH892" t="s">
        <v>111</v>
      </c>
      <c r="AI892">
        <v>30</v>
      </c>
      <c r="AJ892" t="s">
        <v>111</v>
      </c>
      <c r="AK892" t="s">
        <v>111</v>
      </c>
      <c r="AL892" t="s">
        <v>111</v>
      </c>
      <c r="AM892">
        <v>0</v>
      </c>
      <c r="AN892">
        <v>0</v>
      </c>
      <c r="AO892">
        <v>0</v>
      </c>
      <c r="AP892" t="s">
        <v>2907</v>
      </c>
      <c r="AQ892" t="s">
        <v>111</v>
      </c>
      <c r="AR892" t="s">
        <v>111</v>
      </c>
      <c r="AS892" t="s">
        <v>111</v>
      </c>
      <c r="AT892" t="s">
        <v>2774</v>
      </c>
      <c r="AU892" t="s">
        <v>111</v>
      </c>
      <c r="AV892" t="s">
        <v>111</v>
      </c>
      <c r="AW892" t="s">
        <v>111</v>
      </c>
      <c r="AX892" t="s">
        <v>111</v>
      </c>
      <c r="AY892" t="s">
        <v>111</v>
      </c>
      <c r="AZ892" t="s">
        <v>111</v>
      </c>
      <c r="BA892" t="s">
        <v>111</v>
      </c>
      <c r="BB892" t="s">
        <v>111</v>
      </c>
      <c r="BC892" t="s">
        <v>111</v>
      </c>
      <c r="BD892" t="s">
        <v>111</v>
      </c>
      <c r="BE892" t="s">
        <v>111</v>
      </c>
      <c r="BF892" t="s">
        <v>111</v>
      </c>
      <c r="BG892" t="s">
        <v>111</v>
      </c>
      <c r="BH892" t="s">
        <v>111</v>
      </c>
      <c r="BI892" t="s">
        <v>111</v>
      </c>
      <c r="BJ892" t="s">
        <v>111</v>
      </c>
      <c r="BK892" t="s">
        <v>111</v>
      </c>
      <c r="BL892" t="s">
        <v>111</v>
      </c>
      <c r="BM892" t="s">
        <v>111</v>
      </c>
      <c r="BN892" t="s">
        <v>111</v>
      </c>
      <c r="BO892" t="s">
        <v>111</v>
      </c>
      <c r="BP892" t="s">
        <v>111</v>
      </c>
      <c r="BQ892" t="s">
        <v>111</v>
      </c>
      <c r="BR892" t="s">
        <v>111</v>
      </c>
      <c r="BS892" t="s">
        <v>111</v>
      </c>
      <c r="BT892" t="s">
        <v>111</v>
      </c>
      <c r="BU892" t="s">
        <v>111</v>
      </c>
      <c r="BV892" t="s">
        <v>111</v>
      </c>
      <c r="BW892" t="s">
        <v>111</v>
      </c>
      <c r="BX892" t="s">
        <v>111</v>
      </c>
      <c r="BY892" t="s">
        <v>111</v>
      </c>
      <c r="BZ892" t="s">
        <v>111</v>
      </c>
      <c r="CA892" t="s">
        <v>111</v>
      </c>
      <c r="CB892" t="s">
        <v>111</v>
      </c>
      <c r="CC892" t="s">
        <v>111</v>
      </c>
      <c r="CD892" t="s">
        <v>111</v>
      </c>
      <c r="CE892" t="s">
        <v>111</v>
      </c>
      <c r="CF892" t="s">
        <v>111</v>
      </c>
      <c r="CG892" t="s">
        <v>111</v>
      </c>
      <c r="CH892" t="s">
        <v>111</v>
      </c>
      <c r="CI892" t="s">
        <v>111</v>
      </c>
      <c r="CJ892" t="s">
        <v>111</v>
      </c>
      <c r="CK892" t="s">
        <v>111</v>
      </c>
      <c r="CL892" t="s">
        <v>153</v>
      </c>
      <c r="CM892" t="s">
        <v>198</v>
      </c>
      <c r="CN892" t="s">
        <v>113</v>
      </c>
      <c r="CO892" t="s">
        <v>111</v>
      </c>
      <c r="CP892" t="s">
        <v>433</v>
      </c>
      <c r="CQ892">
        <v>0</v>
      </c>
      <c r="CR892">
        <v>0</v>
      </c>
      <c r="CS892">
        <v>0</v>
      </c>
      <c r="CT892" t="s">
        <v>168</v>
      </c>
      <c r="CU892">
        <v>0</v>
      </c>
      <c r="CV892" t="s">
        <v>111</v>
      </c>
      <c r="CW892" t="s">
        <v>111</v>
      </c>
      <c r="CX892" t="s">
        <v>111</v>
      </c>
      <c r="CY892">
        <v>0</v>
      </c>
      <c r="CZ892" t="s">
        <v>111</v>
      </c>
      <c r="DA892" t="s">
        <v>111</v>
      </c>
      <c r="DB892" t="s">
        <v>111</v>
      </c>
      <c r="DC892" t="s">
        <v>111</v>
      </c>
    </row>
    <row r="893" spans="1:107">
      <c r="A893">
        <v>507</v>
      </c>
      <c r="B893" t="s">
        <v>162</v>
      </c>
      <c r="C893" s="2">
        <v>327451</v>
      </c>
      <c r="D893" t="s">
        <v>2908</v>
      </c>
      <c r="E893" t="s">
        <v>2909</v>
      </c>
      <c r="F893" t="s">
        <v>125</v>
      </c>
      <c r="G893" t="s">
        <v>416</v>
      </c>
      <c r="H893">
        <v>1</v>
      </c>
      <c r="I893">
        <v>24</v>
      </c>
      <c r="J893">
        <v>6</v>
      </c>
      <c r="K893">
        <v>6</v>
      </c>
      <c r="L893" t="s">
        <v>112</v>
      </c>
      <c r="M893" t="s">
        <v>118</v>
      </c>
      <c r="N893">
        <v>40</v>
      </c>
      <c r="O893">
        <v>2</v>
      </c>
      <c r="P893" t="s">
        <v>138</v>
      </c>
      <c r="Q893">
        <v>40</v>
      </c>
      <c r="R893">
        <v>0</v>
      </c>
      <c r="S893">
        <v>0</v>
      </c>
      <c r="T893">
        <v>0</v>
      </c>
      <c r="U893" t="s">
        <v>1353</v>
      </c>
      <c r="V893">
        <v>25</v>
      </c>
      <c r="W893">
        <v>0</v>
      </c>
      <c r="X893">
        <v>10</v>
      </c>
      <c r="Y893">
        <v>0</v>
      </c>
      <c r="Z893" t="s">
        <v>2363</v>
      </c>
      <c r="AA893">
        <v>1.4</v>
      </c>
      <c r="AB893" t="s">
        <v>111</v>
      </c>
      <c r="AC893">
        <v>0</v>
      </c>
      <c r="AD893" t="s">
        <v>416</v>
      </c>
      <c r="AE893">
        <v>2</v>
      </c>
      <c r="AF893">
        <v>2</v>
      </c>
      <c r="AG893">
        <v>35</v>
      </c>
      <c r="AH893" t="s">
        <v>111</v>
      </c>
      <c r="AI893">
        <v>35</v>
      </c>
      <c r="AJ893" t="s">
        <v>111</v>
      </c>
      <c r="AK893" t="s">
        <v>111</v>
      </c>
      <c r="AL893" t="s">
        <v>111</v>
      </c>
      <c r="AM893">
        <v>0</v>
      </c>
      <c r="AN893">
        <v>0</v>
      </c>
      <c r="AO893">
        <v>0</v>
      </c>
      <c r="AP893" t="s">
        <v>184</v>
      </c>
      <c r="AQ893">
        <v>115</v>
      </c>
      <c r="AR893" t="s">
        <v>111</v>
      </c>
      <c r="AS893" t="s">
        <v>111</v>
      </c>
      <c r="AT893" t="s">
        <v>772</v>
      </c>
      <c r="AU893">
        <v>158</v>
      </c>
      <c r="AV893" t="s">
        <v>111</v>
      </c>
      <c r="AW893" t="s">
        <v>111</v>
      </c>
      <c r="AX893" t="s">
        <v>1924</v>
      </c>
      <c r="AY893" t="s">
        <v>111</v>
      </c>
      <c r="AZ893" t="s">
        <v>111</v>
      </c>
      <c r="BA893" t="s">
        <v>111</v>
      </c>
      <c r="BB893" t="s">
        <v>111</v>
      </c>
      <c r="BC893" t="s">
        <v>111</v>
      </c>
      <c r="BD893" t="s">
        <v>111</v>
      </c>
      <c r="BE893" t="s">
        <v>111</v>
      </c>
      <c r="BF893" t="s">
        <v>111</v>
      </c>
      <c r="BG893" t="s">
        <v>111</v>
      </c>
      <c r="BH893" t="s">
        <v>111</v>
      </c>
      <c r="BI893" t="s">
        <v>111</v>
      </c>
      <c r="BJ893" t="s">
        <v>111</v>
      </c>
      <c r="BK893" t="s">
        <v>111</v>
      </c>
      <c r="BL893" t="s">
        <v>111</v>
      </c>
      <c r="BM893" t="s">
        <v>111</v>
      </c>
      <c r="BN893" t="s">
        <v>111</v>
      </c>
      <c r="BO893" t="s">
        <v>111</v>
      </c>
      <c r="BP893" t="s">
        <v>111</v>
      </c>
      <c r="BQ893" t="s">
        <v>111</v>
      </c>
      <c r="BR893" t="s">
        <v>111</v>
      </c>
      <c r="BS893" t="s">
        <v>111</v>
      </c>
      <c r="BT893" t="s">
        <v>111</v>
      </c>
      <c r="BU893" t="s">
        <v>111</v>
      </c>
      <c r="BV893" t="s">
        <v>111</v>
      </c>
      <c r="BW893" t="s">
        <v>111</v>
      </c>
      <c r="BX893" t="s">
        <v>111</v>
      </c>
      <c r="BY893" t="s">
        <v>111</v>
      </c>
      <c r="BZ893" t="s">
        <v>111</v>
      </c>
      <c r="CA893" t="s">
        <v>111</v>
      </c>
      <c r="CB893" t="s">
        <v>111</v>
      </c>
      <c r="CC893" t="s">
        <v>111</v>
      </c>
      <c r="CD893" t="s">
        <v>111</v>
      </c>
      <c r="CE893" t="s">
        <v>111</v>
      </c>
      <c r="CF893" t="s">
        <v>111</v>
      </c>
      <c r="CG893" t="s">
        <v>111</v>
      </c>
      <c r="CH893" t="s">
        <v>111</v>
      </c>
      <c r="CI893" t="s">
        <v>111</v>
      </c>
      <c r="CJ893" t="s">
        <v>111</v>
      </c>
      <c r="CK893" t="s">
        <v>111</v>
      </c>
      <c r="CL893" t="s">
        <v>153</v>
      </c>
      <c r="CM893" t="s">
        <v>198</v>
      </c>
      <c r="CN893" t="s">
        <v>128</v>
      </c>
      <c r="CO893" t="s">
        <v>111</v>
      </c>
      <c r="CP893" t="s">
        <v>433</v>
      </c>
      <c r="CQ893">
        <v>0</v>
      </c>
      <c r="CR893">
        <v>0</v>
      </c>
      <c r="CS893">
        <v>0</v>
      </c>
      <c r="CT893" t="s">
        <v>2850</v>
      </c>
      <c r="CU893">
        <v>0</v>
      </c>
      <c r="CV893" t="s">
        <v>111</v>
      </c>
      <c r="CW893" t="s">
        <v>111</v>
      </c>
      <c r="CX893" t="s">
        <v>111</v>
      </c>
      <c r="CY893">
        <v>0</v>
      </c>
      <c r="CZ893" t="s">
        <v>111</v>
      </c>
      <c r="DA893" t="s">
        <v>111</v>
      </c>
      <c r="DB893" t="s">
        <v>204</v>
      </c>
      <c r="DC893" s="1" t="s">
        <v>1363</v>
      </c>
    </row>
    <row r="894" spans="1:107">
      <c r="A894">
        <v>344</v>
      </c>
      <c r="B894" t="s">
        <v>162</v>
      </c>
      <c r="C894" t="s">
        <v>719</v>
      </c>
      <c r="D894" t="s">
        <v>2910</v>
      </c>
      <c r="E894" t="s">
        <v>2911</v>
      </c>
      <c r="F894" t="s">
        <v>1014</v>
      </c>
      <c r="G894" t="s">
        <v>416</v>
      </c>
      <c r="H894">
        <v>1.6</v>
      </c>
      <c r="I894">
        <v>88</v>
      </c>
      <c r="J894">
        <v>0</v>
      </c>
      <c r="K894">
        <v>0</v>
      </c>
      <c r="L894" t="s">
        <v>112</v>
      </c>
      <c r="M894" t="s">
        <v>118</v>
      </c>
      <c r="N894">
        <v>40</v>
      </c>
      <c r="O894">
        <v>1</v>
      </c>
      <c r="P894" t="s">
        <v>138</v>
      </c>
      <c r="Q894">
        <v>51.7</v>
      </c>
      <c r="R894">
        <v>0</v>
      </c>
      <c r="S894">
        <v>0</v>
      </c>
      <c r="T894">
        <v>5</v>
      </c>
      <c r="U894" t="s">
        <v>1353</v>
      </c>
      <c r="V894">
        <v>0</v>
      </c>
      <c r="W894">
        <v>25</v>
      </c>
      <c r="X894">
        <v>8</v>
      </c>
      <c r="Y894">
        <v>0</v>
      </c>
      <c r="Z894" t="s">
        <v>111</v>
      </c>
      <c r="AA894">
        <v>0</v>
      </c>
      <c r="AB894" t="s">
        <v>111</v>
      </c>
      <c r="AC894">
        <v>0</v>
      </c>
      <c r="AD894" t="s">
        <v>416</v>
      </c>
      <c r="AE894">
        <v>2</v>
      </c>
      <c r="AF894">
        <v>1</v>
      </c>
      <c r="AG894">
        <v>45</v>
      </c>
      <c r="AH894" t="s">
        <v>111</v>
      </c>
      <c r="AI894">
        <v>45</v>
      </c>
      <c r="AJ894" t="s">
        <v>111</v>
      </c>
      <c r="AK894" t="s">
        <v>111</v>
      </c>
      <c r="AL894" t="s">
        <v>111</v>
      </c>
      <c r="AM894">
        <v>0</v>
      </c>
      <c r="AN894">
        <v>0</v>
      </c>
      <c r="AO894">
        <v>0</v>
      </c>
      <c r="AP894" t="s">
        <v>188</v>
      </c>
      <c r="AQ894" t="s">
        <v>111</v>
      </c>
      <c r="AR894" t="s">
        <v>111</v>
      </c>
      <c r="AS894" t="s">
        <v>111</v>
      </c>
      <c r="AT894" t="s">
        <v>271</v>
      </c>
      <c r="AU894" t="s">
        <v>111</v>
      </c>
      <c r="AV894" t="s">
        <v>111</v>
      </c>
      <c r="AW894" t="s">
        <v>111</v>
      </c>
      <c r="AX894" t="s">
        <v>111</v>
      </c>
      <c r="AY894" t="s">
        <v>111</v>
      </c>
      <c r="AZ894" t="s">
        <v>111</v>
      </c>
      <c r="BA894" t="s">
        <v>111</v>
      </c>
      <c r="BB894" t="s">
        <v>111</v>
      </c>
      <c r="BC894" t="s">
        <v>111</v>
      </c>
      <c r="BD894" t="s">
        <v>111</v>
      </c>
      <c r="BE894" t="s">
        <v>111</v>
      </c>
      <c r="BF894" t="s">
        <v>111</v>
      </c>
      <c r="BG894" t="s">
        <v>111</v>
      </c>
      <c r="BH894" t="s">
        <v>111</v>
      </c>
      <c r="BI894" t="s">
        <v>111</v>
      </c>
      <c r="BJ894" t="s">
        <v>111</v>
      </c>
      <c r="BK894" t="s">
        <v>111</v>
      </c>
      <c r="BL894" t="s">
        <v>111</v>
      </c>
      <c r="BM894" t="s">
        <v>111</v>
      </c>
      <c r="BN894" t="s">
        <v>111</v>
      </c>
      <c r="BO894" t="s">
        <v>111</v>
      </c>
      <c r="BP894" t="s">
        <v>111</v>
      </c>
      <c r="BQ894" t="s">
        <v>111</v>
      </c>
      <c r="BR894" t="s">
        <v>111</v>
      </c>
      <c r="BS894" t="s">
        <v>111</v>
      </c>
      <c r="BT894" t="s">
        <v>111</v>
      </c>
      <c r="BU894" t="s">
        <v>111</v>
      </c>
      <c r="BV894" t="s">
        <v>111</v>
      </c>
      <c r="BW894" t="s">
        <v>111</v>
      </c>
      <c r="BX894" t="s">
        <v>111</v>
      </c>
      <c r="BY894" t="s">
        <v>111</v>
      </c>
      <c r="BZ894" t="s">
        <v>111</v>
      </c>
      <c r="CA894" t="s">
        <v>111</v>
      </c>
      <c r="CB894" t="s">
        <v>111</v>
      </c>
      <c r="CC894" t="s">
        <v>111</v>
      </c>
      <c r="CD894" t="s">
        <v>111</v>
      </c>
      <c r="CE894" t="s">
        <v>111</v>
      </c>
      <c r="CF894" t="s">
        <v>111</v>
      </c>
      <c r="CG894" t="s">
        <v>111</v>
      </c>
      <c r="CH894" t="s">
        <v>111</v>
      </c>
      <c r="CI894" t="s">
        <v>111</v>
      </c>
      <c r="CJ894" t="s">
        <v>111</v>
      </c>
      <c r="CK894" t="s">
        <v>111</v>
      </c>
      <c r="CL894" t="s">
        <v>153</v>
      </c>
      <c r="CM894" t="s">
        <v>198</v>
      </c>
      <c r="CN894" t="s">
        <v>113</v>
      </c>
      <c r="CO894" t="s">
        <v>111</v>
      </c>
      <c r="CP894" t="s">
        <v>433</v>
      </c>
      <c r="CQ894">
        <v>0</v>
      </c>
      <c r="CR894">
        <v>0</v>
      </c>
      <c r="CS894">
        <v>0</v>
      </c>
      <c r="CT894" t="s">
        <v>419</v>
      </c>
      <c r="CU894">
        <v>0</v>
      </c>
      <c r="CV894" t="s">
        <v>111</v>
      </c>
      <c r="CW894" t="s">
        <v>111</v>
      </c>
      <c r="CX894" t="s">
        <v>111</v>
      </c>
      <c r="CY894">
        <v>0</v>
      </c>
      <c r="CZ894" t="s">
        <v>111</v>
      </c>
      <c r="DA894" t="s">
        <v>111</v>
      </c>
      <c r="DB894" t="s">
        <v>204</v>
      </c>
      <c r="DC894" s="1" t="s">
        <v>804</v>
      </c>
    </row>
    <row r="895" spans="1:107">
      <c r="A895">
        <v>513</v>
      </c>
      <c r="B895" t="s">
        <v>162</v>
      </c>
      <c r="C895" t="s">
        <v>336</v>
      </c>
      <c r="D895" t="s">
        <v>1824</v>
      </c>
      <c r="E895" t="s">
        <v>2912</v>
      </c>
      <c r="F895" t="s">
        <v>125</v>
      </c>
      <c r="G895" t="s">
        <v>416</v>
      </c>
      <c r="H895">
        <v>1.9</v>
      </c>
      <c r="I895">
        <v>51</v>
      </c>
      <c r="J895">
        <v>0</v>
      </c>
      <c r="K895">
        <v>0</v>
      </c>
      <c r="L895" t="s">
        <v>112</v>
      </c>
      <c r="M895" t="s">
        <v>138</v>
      </c>
      <c r="N895">
        <v>0</v>
      </c>
      <c r="O895">
        <v>0</v>
      </c>
      <c r="P895" t="s">
        <v>138</v>
      </c>
      <c r="Q895">
        <v>40</v>
      </c>
      <c r="R895">
        <v>0</v>
      </c>
      <c r="S895">
        <v>0</v>
      </c>
      <c r="T895">
        <v>0</v>
      </c>
      <c r="U895" t="s">
        <v>203</v>
      </c>
      <c r="V895">
        <v>25</v>
      </c>
      <c r="W895">
        <v>0</v>
      </c>
      <c r="X895">
        <v>10</v>
      </c>
      <c r="Y895">
        <v>0</v>
      </c>
      <c r="Z895" t="s">
        <v>111</v>
      </c>
      <c r="AA895">
        <v>0</v>
      </c>
      <c r="AB895" t="s">
        <v>111</v>
      </c>
      <c r="AC895">
        <v>0</v>
      </c>
      <c r="AD895" t="s">
        <v>111</v>
      </c>
      <c r="AE895">
        <v>0</v>
      </c>
      <c r="AF895">
        <v>0</v>
      </c>
      <c r="AG895" t="s">
        <v>111</v>
      </c>
      <c r="AH895" t="s">
        <v>111</v>
      </c>
      <c r="AI895" t="s">
        <v>111</v>
      </c>
      <c r="AJ895" t="s">
        <v>111</v>
      </c>
      <c r="AK895" t="s">
        <v>111</v>
      </c>
      <c r="AL895" t="s">
        <v>111</v>
      </c>
      <c r="AM895">
        <v>0</v>
      </c>
      <c r="AN895">
        <v>0</v>
      </c>
      <c r="AO895">
        <v>0</v>
      </c>
      <c r="AP895" t="s">
        <v>111</v>
      </c>
      <c r="AQ895" t="s">
        <v>111</v>
      </c>
      <c r="AR895" t="s">
        <v>111</v>
      </c>
      <c r="AS895" t="s">
        <v>111</v>
      </c>
      <c r="AT895" t="s">
        <v>111</v>
      </c>
      <c r="AU895" t="s">
        <v>111</v>
      </c>
      <c r="AV895" t="s">
        <v>111</v>
      </c>
      <c r="AW895" t="s">
        <v>111</v>
      </c>
      <c r="AX895" t="s">
        <v>111</v>
      </c>
      <c r="AY895" t="s">
        <v>111</v>
      </c>
      <c r="AZ895" t="s">
        <v>111</v>
      </c>
      <c r="BA895" t="s">
        <v>111</v>
      </c>
      <c r="BB895" t="s">
        <v>111</v>
      </c>
      <c r="BC895" t="s">
        <v>111</v>
      </c>
      <c r="BD895" t="s">
        <v>111</v>
      </c>
      <c r="BE895" t="s">
        <v>111</v>
      </c>
      <c r="BF895" t="s">
        <v>111</v>
      </c>
      <c r="BG895" t="s">
        <v>111</v>
      </c>
      <c r="BH895" t="s">
        <v>111</v>
      </c>
      <c r="BI895" t="s">
        <v>111</v>
      </c>
      <c r="BJ895" t="s">
        <v>111</v>
      </c>
      <c r="BK895" t="s">
        <v>111</v>
      </c>
      <c r="BL895" t="s">
        <v>111</v>
      </c>
      <c r="BM895" t="s">
        <v>111</v>
      </c>
      <c r="BN895" t="s">
        <v>111</v>
      </c>
      <c r="BO895" t="s">
        <v>111</v>
      </c>
      <c r="BP895" t="s">
        <v>111</v>
      </c>
      <c r="BQ895" t="s">
        <v>111</v>
      </c>
      <c r="BR895" t="s">
        <v>111</v>
      </c>
      <c r="BS895" t="s">
        <v>111</v>
      </c>
      <c r="BT895" t="s">
        <v>111</v>
      </c>
      <c r="BU895" t="s">
        <v>111</v>
      </c>
      <c r="BV895" t="s">
        <v>111</v>
      </c>
      <c r="BW895" t="s">
        <v>111</v>
      </c>
      <c r="BX895" t="s">
        <v>111</v>
      </c>
      <c r="BY895" t="s">
        <v>111</v>
      </c>
      <c r="BZ895" t="s">
        <v>111</v>
      </c>
      <c r="CA895" t="s">
        <v>111</v>
      </c>
      <c r="CB895" t="s">
        <v>111</v>
      </c>
      <c r="CC895" t="s">
        <v>111</v>
      </c>
      <c r="CD895" t="s">
        <v>111</v>
      </c>
      <c r="CE895" t="s">
        <v>111</v>
      </c>
      <c r="CF895" t="s">
        <v>111</v>
      </c>
      <c r="CG895" t="s">
        <v>111</v>
      </c>
      <c r="CH895" t="s">
        <v>111</v>
      </c>
      <c r="CI895" t="s">
        <v>111</v>
      </c>
      <c r="CJ895" t="s">
        <v>111</v>
      </c>
      <c r="CK895" t="s">
        <v>111</v>
      </c>
      <c r="CL895" t="s">
        <v>111</v>
      </c>
      <c r="CM895" t="s">
        <v>111</v>
      </c>
      <c r="CN895" t="s">
        <v>111</v>
      </c>
      <c r="CO895" t="s">
        <v>111</v>
      </c>
      <c r="CP895" t="s">
        <v>111</v>
      </c>
      <c r="CQ895">
        <v>0</v>
      </c>
      <c r="CR895">
        <v>0</v>
      </c>
      <c r="CS895">
        <v>0</v>
      </c>
      <c r="CT895" t="s">
        <v>111</v>
      </c>
      <c r="CU895">
        <v>0</v>
      </c>
      <c r="CV895" t="s">
        <v>111</v>
      </c>
      <c r="CW895" t="s">
        <v>111</v>
      </c>
      <c r="CX895" t="s">
        <v>111</v>
      </c>
      <c r="CY895">
        <v>0</v>
      </c>
      <c r="CZ895" t="s">
        <v>111</v>
      </c>
      <c r="DA895" t="s">
        <v>111</v>
      </c>
      <c r="DB895" t="s">
        <v>204</v>
      </c>
      <c r="DC895" s="1" t="s">
        <v>205</v>
      </c>
    </row>
    <row r="896" spans="1:107">
      <c r="A896">
        <v>345</v>
      </c>
      <c r="B896" t="s">
        <v>162</v>
      </c>
      <c r="C896" t="s">
        <v>171</v>
      </c>
      <c r="D896" t="s">
        <v>1597</v>
      </c>
      <c r="E896" t="s">
        <v>2913</v>
      </c>
      <c r="F896" t="s">
        <v>431</v>
      </c>
      <c r="G896" t="s">
        <v>416</v>
      </c>
      <c r="H896">
        <v>3.4</v>
      </c>
      <c r="I896">
        <v>61</v>
      </c>
      <c r="J896">
        <v>0</v>
      </c>
      <c r="K896">
        <v>0</v>
      </c>
      <c r="L896" t="s">
        <v>117</v>
      </c>
      <c r="M896" t="s">
        <v>118</v>
      </c>
      <c r="N896">
        <v>40</v>
      </c>
      <c r="O896">
        <v>2</v>
      </c>
      <c r="P896" t="s">
        <v>138</v>
      </c>
      <c r="Q896">
        <v>35</v>
      </c>
      <c r="R896">
        <v>0</v>
      </c>
      <c r="S896">
        <v>0</v>
      </c>
      <c r="T896">
        <v>0</v>
      </c>
      <c r="U896" t="s">
        <v>1353</v>
      </c>
      <c r="V896">
        <v>0</v>
      </c>
      <c r="W896">
        <v>25</v>
      </c>
      <c r="X896">
        <v>8</v>
      </c>
      <c r="Y896">
        <v>0</v>
      </c>
      <c r="Z896" t="s">
        <v>111</v>
      </c>
      <c r="AA896">
        <v>0</v>
      </c>
      <c r="AB896" t="s">
        <v>111</v>
      </c>
      <c r="AC896">
        <v>0</v>
      </c>
      <c r="AD896" t="s">
        <v>416</v>
      </c>
      <c r="AE896">
        <v>4</v>
      </c>
      <c r="AF896">
        <v>1</v>
      </c>
      <c r="AG896">
        <v>16</v>
      </c>
      <c r="AH896" t="s">
        <v>111</v>
      </c>
      <c r="AI896">
        <v>32</v>
      </c>
      <c r="AJ896" t="s">
        <v>111</v>
      </c>
      <c r="AK896" t="s">
        <v>111</v>
      </c>
      <c r="AL896" t="s">
        <v>111</v>
      </c>
      <c r="AM896">
        <v>0</v>
      </c>
      <c r="AN896">
        <v>0</v>
      </c>
      <c r="AO896">
        <v>0</v>
      </c>
      <c r="AP896" t="s">
        <v>188</v>
      </c>
      <c r="AQ896" t="s">
        <v>111</v>
      </c>
      <c r="AR896" t="s">
        <v>111</v>
      </c>
      <c r="AS896" t="s">
        <v>111</v>
      </c>
      <c r="AT896" t="s">
        <v>147</v>
      </c>
      <c r="AU896" t="s">
        <v>111</v>
      </c>
      <c r="AV896" t="s">
        <v>111</v>
      </c>
      <c r="AW896" t="s">
        <v>111</v>
      </c>
      <c r="AX896" t="s">
        <v>288</v>
      </c>
      <c r="AY896" t="s">
        <v>111</v>
      </c>
      <c r="AZ896" t="s">
        <v>111</v>
      </c>
      <c r="BA896" t="s">
        <v>111</v>
      </c>
      <c r="BB896" t="s">
        <v>271</v>
      </c>
      <c r="BC896" t="s">
        <v>111</v>
      </c>
      <c r="BD896" t="s">
        <v>111</v>
      </c>
      <c r="BE896" t="s">
        <v>111</v>
      </c>
      <c r="BF896" t="s">
        <v>111</v>
      </c>
      <c r="BG896" t="s">
        <v>111</v>
      </c>
      <c r="BH896" t="s">
        <v>111</v>
      </c>
      <c r="BI896" t="s">
        <v>111</v>
      </c>
      <c r="BJ896" t="s">
        <v>111</v>
      </c>
      <c r="BK896" t="s">
        <v>111</v>
      </c>
      <c r="BL896" t="s">
        <v>111</v>
      </c>
      <c r="BM896" t="s">
        <v>111</v>
      </c>
      <c r="BN896" t="s">
        <v>111</v>
      </c>
      <c r="BO896" t="s">
        <v>111</v>
      </c>
      <c r="BP896" t="s">
        <v>111</v>
      </c>
      <c r="BQ896" t="s">
        <v>111</v>
      </c>
      <c r="BR896" t="s">
        <v>111</v>
      </c>
      <c r="BS896" t="s">
        <v>111</v>
      </c>
      <c r="BT896" t="s">
        <v>111</v>
      </c>
      <c r="BU896" t="s">
        <v>111</v>
      </c>
      <c r="BV896" t="s">
        <v>111</v>
      </c>
      <c r="BW896" t="s">
        <v>111</v>
      </c>
      <c r="BX896" t="s">
        <v>111</v>
      </c>
      <c r="BY896" t="s">
        <v>111</v>
      </c>
      <c r="BZ896" t="s">
        <v>111</v>
      </c>
      <c r="CA896" t="s">
        <v>111</v>
      </c>
      <c r="CB896" t="s">
        <v>111</v>
      </c>
      <c r="CC896" t="s">
        <v>111</v>
      </c>
      <c r="CD896" t="s">
        <v>111</v>
      </c>
      <c r="CE896" t="s">
        <v>111</v>
      </c>
      <c r="CF896" t="s">
        <v>111</v>
      </c>
      <c r="CG896" t="s">
        <v>111</v>
      </c>
      <c r="CH896" t="s">
        <v>111</v>
      </c>
      <c r="CI896" t="s">
        <v>111</v>
      </c>
      <c r="CJ896" t="s">
        <v>111</v>
      </c>
      <c r="CK896" t="s">
        <v>111</v>
      </c>
      <c r="CL896" t="s">
        <v>153</v>
      </c>
      <c r="CM896" t="s">
        <v>198</v>
      </c>
      <c r="CN896" t="s">
        <v>113</v>
      </c>
      <c r="CO896" t="s">
        <v>111</v>
      </c>
      <c r="CP896" t="s">
        <v>433</v>
      </c>
      <c r="CQ896">
        <v>0</v>
      </c>
      <c r="CR896">
        <v>0</v>
      </c>
      <c r="CS896">
        <v>0</v>
      </c>
      <c r="CT896" t="s">
        <v>168</v>
      </c>
      <c r="CU896">
        <v>0</v>
      </c>
      <c r="CV896" t="s">
        <v>111</v>
      </c>
      <c r="CW896" t="s">
        <v>111</v>
      </c>
      <c r="CX896" t="s">
        <v>111</v>
      </c>
      <c r="CY896">
        <v>0</v>
      </c>
      <c r="CZ896" t="s">
        <v>111</v>
      </c>
      <c r="DA896" t="s">
        <v>111</v>
      </c>
      <c r="DB896" t="s">
        <v>111</v>
      </c>
      <c r="DC896" t="s">
        <v>111</v>
      </c>
    </row>
    <row r="897" spans="1:107">
      <c r="A897">
        <v>175</v>
      </c>
      <c r="B897" t="s">
        <v>162</v>
      </c>
      <c r="C897" t="s">
        <v>2274</v>
      </c>
      <c r="D897" t="s">
        <v>2914</v>
      </c>
      <c r="E897" t="s">
        <v>803</v>
      </c>
      <c r="F897" t="s">
        <v>722</v>
      </c>
      <c r="G897" t="s">
        <v>416</v>
      </c>
      <c r="H897">
        <v>0.9</v>
      </c>
      <c r="I897">
        <v>46</v>
      </c>
      <c r="J897">
        <v>0</v>
      </c>
      <c r="K897">
        <v>0</v>
      </c>
      <c r="L897" t="s">
        <v>112</v>
      </c>
      <c r="M897" t="s">
        <v>138</v>
      </c>
      <c r="N897">
        <v>0</v>
      </c>
      <c r="O897">
        <v>0</v>
      </c>
      <c r="P897" t="s">
        <v>138</v>
      </c>
      <c r="Q897">
        <v>40</v>
      </c>
      <c r="R897">
        <v>0</v>
      </c>
      <c r="S897">
        <v>0</v>
      </c>
      <c r="T897">
        <v>0</v>
      </c>
      <c r="U897" t="s">
        <v>203</v>
      </c>
      <c r="V897">
        <v>0</v>
      </c>
      <c r="W897">
        <v>25</v>
      </c>
      <c r="X897">
        <v>6</v>
      </c>
      <c r="Y897">
        <v>0</v>
      </c>
      <c r="Z897" t="s">
        <v>111</v>
      </c>
      <c r="AA897">
        <v>0</v>
      </c>
      <c r="AB897" t="s">
        <v>111</v>
      </c>
      <c r="AC897">
        <v>0</v>
      </c>
      <c r="AD897" t="s">
        <v>111</v>
      </c>
      <c r="AE897">
        <v>0</v>
      </c>
      <c r="AF897">
        <v>0</v>
      </c>
      <c r="AG897" t="s">
        <v>111</v>
      </c>
      <c r="AH897" t="s">
        <v>111</v>
      </c>
      <c r="AI897" t="s">
        <v>111</v>
      </c>
      <c r="AJ897" t="s">
        <v>111</v>
      </c>
      <c r="AK897" t="s">
        <v>111</v>
      </c>
      <c r="AL897" t="s">
        <v>111</v>
      </c>
      <c r="AM897">
        <v>0</v>
      </c>
      <c r="AN897">
        <v>0</v>
      </c>
      <c r="AO897">
        <v>0</v>
      </c>
      <c r="AP897" t="s">
        <v>111</v>
      </c>
      <c r="AQ897" t="s">
        <v>111</v>
      </c>
      <c r="AR897" t="s">
        <v>111</v>
      </c>
      <c r="AS897" t="s">
        <v>111</v>
      </c>
      <c r="AT897" t="s">
        <v>111</v>
      </c>
      <c r="AU897" t="s">
        <v>111</v>
      </c>
      <c r="AV897" t="s">
        <v>111</v>
      </c>
      <c r="AW897" t="s">
        <v>111</v>
      </c>
      <c r="AX897" t="s">
        <v>111</v>
      </c>
      <c r="AY897" t="s">
        <v>111</v>
      </c>
      <c r="AZ897" t="s">
        <v>111</v>
      </c>
      <c r="BA897" t="s">
        <v>111</v>
      </c>
      <c r="BB897" t="s">
        <v>111</v>
      </c>
      <c r="BC897" t="s">
        <v>111</v>
      </c>
      <c r="BD897" t="s">
        <v>111</v>
      </c>
      <c r="BE897" t="s">
        <v>111</v>
      </c>
      <c r="BF897" t="s">
        <v>111</v>
      </c>
      <c r="BG897" t="s">
        <v>111</v>
      </c>
      <c r="BH897" t="s">
        <v>111</v>
      </c>
      <c r="BI897" t="s">
        <v>111</v>
      </c>
      <c r="BJ897" t="s">
        <v>111</v>
      </c>
      <c r="BK897" t="s">
        <v>111</v>
      </c>
      <c r="BL897" t="s">
        <v>111</v>
      </c>
      <c r="BM897" t="s">
        <v>111</v>
      </c>
      <c r="BN897" t="s">
        <v>111</v>
      </c>
      <c r="BO897" t="s">
        <v>111</v>
      </c>
      <c r="BP897" t="s">
        <v>111</v>
      </c>
      <c r="BQ897" t="s">
        <v>111</v>
      </c>
      <c r="BR897" t="s">
        <v>111</v>
      </c>
      <c r="BS897" t="s">
        <v>111</v>
      </c>
      <c r="BT897" t="s">
        <v>111</v>
      </c>
      <c r="BU897" t="s">
        <v>111</v>
      </c>
      <c r="BV897" t="s">
        <v>111</v>
      </c>
      <c r="BW897" t="s">
        <v>111</v>
      </c>
      <c r="BX897" t="s">
        <v>111</v>
      </c>
      <c r="BY897" t="s">
        <v>111</v>
      </c>
      <c r="BZ897" t="s">
        <v>111</v>
      </c>
      <c r="CA897" t="s">
        <v>111</v>
      </c>
      <c r="CB897" t="s">
        <v>111</v>
      </c>
      <c r="CC897" t="s">
        <v>111</v>
      </c>
      <c r="CD897" t="s">
        <v>111</v>
      </c>
      <c r="CE897" t="s">
        <v>111</v>
      </c>
      <c r="CF897" t="s">
        <v>111</v>
      </c>
      <c r="CG897" t="s">
        <v>111</v>
      </c>
      <c r="CH897" t="s">
        <v>111</v>
      </c>
      <c r="CI897" t="s">
        <v>111</v>
      </c>
      <c r="CJ897" t="s">
        <v>111</v>
      </c>
      <c r="CK897" t="s">
        <v>111</v>
      </c>
      <c r="CL897" t="s">
        <v>111</v>
      </c>
      <c r="CM897" t="s">
        <v>111</v>
      </c>
      <c r="CN897" t="s">
        <v>111</v>
      </c>
      <c r="CO897" t="s">
        <v>111</v>
      </c>
      <c r="CP897" t="s">
        <v>111</v>
      </c>
      <c r="CQ897">
        <v>0</v>
      </c>
      <c r="CR897">
        <v>0</v>
      </c>
      <c r="CS897">
        <v>0</v>
      </c>
      <c r="CT897" t="s">
        <v>111</v>
      </c>
      <c r="CU897">
        <v>0</v>
      </c>
      <c r="CV897" t="s">
        <v>111</v>
      </c>
      <c r="CW897" t="s">
        <v>111</v>
      </c>
      <c r="CX897" t="s">
        <v>111</v>
      </c>
      <c r="CY897">
        <v>0</v>
      </c>
      <c r="CZ897" t="s">
        <v>111</v>
      </c>
      <c r="DA897" t="s">
        <v>111</v>
      </c>
      <c r="DB897" t="s">
        <v>204</v>
      </c>
      <c r="DC897" s="1" t="s">
        <v>306</v>
      </c>
    </row>
    <row r="898" spans="1:107">
      <c r="A898">
        <v>517</v>
      </c>
      <c r="B898" t="s">
        <v>162</v>
      </c>
      <c r="C898" t="s">
        <v>223</v>
      </c>
      <c r="D898" t="s">
        <v>2263</v>
      </c>
      <c r="E898" t="s">
        <v>2915</v>
      </c>
      <c r="F898" t="s">
        <v>370</v>
      </c>
      <c r="G898" t="s">
        <v>416</v>
      </c>
      <c r="H898">
        <v>2.5</v>
      </c>
      <c r="I898">
        <v>43</v>
      </c>
      <c r="J898">
        <v>0</v>
      </c>
      <c r="K898">
        <v>0</v>
      </c>
      <c r="L898" t="s">
        <v>112</v>
      </c>
      <c r="M898" t="s">
        <v>118</v>
      </c>
      <c r="N898">
        <v>40</v>
      </c>
      <c r="O898">
        <v>2</v>
      </c>
      <c r="P898" t="s">
        <v>138</v>
      </c>
      <c r="Q898">
        <v>40</v>
      </c>
      <c r="R898">
        <v>0</v>
      </c>
      <c r="S898">
        <v>0</v>
      </c>
      <c r="T898">
        <v>0</v>
      </c>
      <c r="U898" t="s">
        <v>1353</v>
      </c>
      <c r="V898">
        <v>25</v>
      </c>
      <c r="W898">
        <v>0</v>
      </c>
      <c r="X898">
        <v>10</v>
      </c>
      <c r="Y898">
        <v>0</v>
      </c>
      <c r="Z898" t="s">
        <v>288</v>
      </c>
      <c r="AA898">
        <v>1.75</v>
      </c>
      <c r="AB898" t="s">
        <v>111</v>
      </c>
      <c r="AC898">
        <v>0</v>
      </c>
      <c r="AD898" t="s">
        <v>416</v>
      </c>
      <c r="AE898">
        <v>2</v>
      </c>
      <c r="AF898">
        <v>2</v>
      </c>
      <c r="AG898" t="s">
        <v>111</v>
      </c>
      <c r="AH898" t="s">
        <v>111</v>
      </c>
      <c r="AI898">
        <v>38</v>
      </c>
      <c r="AJ898" t="s">
        <v>111</v>
      </c>
      <c r="AK898" t="s">
        <v>111</v>
      </c>
      <c r="AL898" t="s">
        <v>111</v>
      </c>
      <c r="AM898">
        <v>0</v>
      </c>
      <c r="AN898">
        <v>0</v>
      </c>
      <c r="AO898">
        <v>0</v>
      </c>
      <c r="AP898" t="s">
        <v>366</v>
      </c>
      <c r="AQ898" t="s">
        <v>111</v>
      </c>
      <c r="AR898" t="s">
        <v>111</v>
      </c>
      <c r="AS898" t="s">
        <v>111</v>
      </c>
      <c r="AT898" t="s">
        <v>271</v>
      </c>
      <c r="AU898" t="s">
        <v>111</v>
      </c>
      <c r="AV898" t="s">
        <v>111</v>
      </c>
      <c r="AW898" t="s">
        <v>111</v>
      </c>
      <c r="AX898" t="s">
        <v>111</v>
      </c>
      <c r="AY898" t="s">
        <v>111</v>
      </c>
      <c r="AZ898" t="s">
        <v>111</v>
      </c>
      <c r="BA898" t="s">
        <v>111</v>
      </c>
      <c r="BB898" t="s">
        <v>111</v>
      </c>
      <c r="BC898" t="s">
        <v>111</v>
      </c>
      <c r="BD898" t="s">
        <v>111</v>
      </c>
      <c r="BE898" t="s">
        <v>111</v>
      </c>
      <c r="BF898" t="s">
        <v>111</v>
      </c>
      <c r="BG898" t="s">
        <v>111</v>
      </c>
      <c r="BH898" t="s">
        <v>111</v>
      </c>
      <c r="BI898" t="s">
        <v>111</v>
      </c>
      <c r="BJ898" t="s">
        <v>111</v>
      </c>
      <c r="BK898" t="s">
        <v>111</v>
      </c>
      <c r="BL898" t="s">
        <v>111</v>
      </c>
      <c r="BM898" t="s">
        <v>111</v>
      </c>
      <c r="BN898" t="s">
        <v>111</v>
      </c>
      <c r="BO898" t="s">
        <v>111</v>
      </c>
      <c r="BP898" t="s">
        <v>111</v>
      </c>
      <c r="BQ898" t="s">
        <v>111</v>
      </c>
      <c r="BR898" t="s">
        <v>111</v>
      </c>
      <c r="BS898" t="s">
        <v>111</v>
      </c>
      <c r="BT898" t="s">
        <v>111</v>
      </c>
      <c r="BU898" t="s">
        <v>111</v>
      </c>
      <c r="BV898" t="s">
        <v>111</v>
      </c>
      <c r="BW898" t="s">
        <v>111</v>
      </c>
      <c r="BX898" t="s">
        <v>111</v>
      </c>
      <c r="BY898" t="s">
        <v>111</v>
      </c>
      <c r="BZ898" t="s">
        <v>111</v>
      </c>
      <c r="CA898" t="s">
        <v>111</v>
      </c>
      <c r="CB898" t="s">
        <v>111</v>
      </c>
      <c r="CC898" t="s">
        <v>111</v>
      </c>
      <c r="CD898" t="s">
        <v>111</v>
      </c>
      <c r="CE898" t="s">
        <v>111</v>
      </c>
      <c r="CF898" t="s">
        <v>111</v>
      </c>
      <c r="CG898" t="s">
        <v>111</v>
      </c>
      <c r="CH898" t="s">
        <v>111</v>
      </c>
      <c r="CI898" t="s">
        <v>111</v>
      </c>
      <c r="CJ898" t="s">
        <v>111</v>
      </c>
      <c r="CK898" t="s">
        <v>111</v>
      </c>
      <c r="CL898" t="s">
        <v>153</v>
      </c>
      <c r="CM898" t="s">
        <v>198</v>
      </c>
      <c r="CN898" t="s">
        <v>128</v>
      </c>
      <c r="CO898" t="s">
        <v>111</v>
      </c>
      <c r="CP898" t="s">
        <v>433</v>
      </c>
      <c r="CQ898">
        <v>0</v>
      </c>
      <c r="CR898">
        <v>0</v>
      </c>
      <c r="CS898">
        <v>0</v>
      </c>
      <c r="CT898" t="s">
        <v>168</v>
      </c>
      <c r="CU898">
        <v>0</v>
      </c>
      <c r="CV898" t="s">
        <v>111</v>
      </c>
      <c r="CW898" t="s">
        <v>111</v>
      </c>
      <c r="CX898" t="s">
        <v>111</v>
      </c>
      <c r="CY898">
        <v>0</v>
      </c>
      <c r="CZ898" t="s">
        <v>111</v>
      </c>
      <c r="DA898" t="s">
        <v>111</v>
      </c>
      <c r="DB898" t="s">
        <v>111</v>
      </c>
      <c r="DC898" t="s">
        <v>111</v>
      </c>
    </row>
    <row r="899" spans="1:107">
      <c r="A899">
        <v>928</v>
      </c>
      <c r="B899" t="s">
        <v>107</v>
      </c>
      <c r="C899" t="s">
        <v>713</v>
      </c>
      <c r="D899" t="s">
        <v>2457</v>
      </c>
      <c r="E899" t="s">
        <v>2916</v>
      </c>
      <c r="F899" t="s">
        <v>358</v>
      </c>
      <c r="G899" t="s">
        <v>416</v>
      </c>
      <c r="H899">
        <v>2.5</v>
      </c>
      <c r="I899">
        <v>63</v>
      </c>
      <c r="J899">
        <v>0</v>
      </c>
      <c r="K899">
        <v>0</v>
      </c>
      <c r="L899" t="s">
        <v>117</v>
      </c>
      <c r="M899" t="s">
        <v>118</v>
      </c>
      <c r="N899">
        <v>39</v>
      </c>
      <c r="O899">
        <v>1</v>
      </c>
      <c r="P899" t="s">
        <v>111</v>
      </c>
      <c r="Q899">
        <v>55</v>
      </c>
      <c r="R899">
        <v>0</v>
      </c>
      <c r="S899">
        <v>0</v>
      </c>
      <c r="T899">
        <v>10</v>
      </c>
      <c r="U899" s="1" t="s">
        <v>2917</v>
      </c>
      <c r="V899">
        <v>0</v>
      </c>
      <c r="W899">
        <v>250</v>
      </c>
      <c r="X899">
        <v>10</v>
      </c>
      <c r="Y899">
        <v>0</v>
      </c>
      <c r="Z899" t="s">
        <v>111</v>
      </c>
      <c r="AA899">
        <v>0</v>
      </c>
      <c r="AB899" t="s">
        <v>731</v>
      </c>
      <c r="AC899">
        <v>10</v>
      </c>
      <c r="AD899" t="s">
        <v>416</v>
      </c>
      <c r="AE899">
        <v>2</v>
      </c>
      <c r="AF899">
        <v>1</v>
      </c>
      <c r="AG899" t="s">
        <v>2918</v>
      </c>
      <c r="AH899" t="s">
        <v>128</v>
      </c>
      <c r="AI899" t="s">
        <v>2918</v>
      </c>
      <c r="AJ899" t="s">
        <v>111</v>
      </c>
      <c r="AK899" t="s">
        <v>111</v>
      </c>
      <c r="AL899" t="s">
        <v>111</v>
      </c>
      <c r="AM899">
        <v>0</v>
      </c>
      <c r="AN899">
        <v>0</v>
      </c>
      <c r="AO899">
        <v>0</v>
      </c>
      <c r="AP899" t="s">
        <v>111</v>
      </c>
      <c r="AQ899" t="s">
        <v>111</v>
      </c>
      <c r="AR899" t="s">
        <v>111</v>
      </c>
      <c r="AS899" t="s">
        <v>111</v>
      </c>
      <c r="AT899" t="s">
        <v>111</v>
      </c>
      <c r="AU899" t="s">
        <v>111</v>
      </c>
      <c r="AV899" t="s">
        <v>111</v>
      </c>
      <c r="AW899" t="s">
        <v>111</v>
      </c>
      <c r="AX899" t="s">
        <v>111</v>
      </c>
      <c r="AY899" t="s">
        <v>111</v>
      </c>
      <c r="AZ899" t="s">
        <v>111</v>
      </c>
      <c r="BA899" t="s">
        <v>111</v>
      </c>
      <c r="BB899" t="s">
        <v>111</v>
      </c>
      <c r="BC899" t="s">
        <v>111</v>
      </c>
      <c r="BD899" t="s">
        <v>111</v>
      </c>
      <c r="BE899" t="s">
        <v>111</v>
      </c>
      <c r="BF899" t="s">
        <v>111</v>
      </c>
      <c r="BG899" t="s">
        <v>111</v>
      </c>
      <c r="BH899" t="s">
        <v>111</v>
      </c>
      <c r="BI899" t="s">
        <v>111</v>
      </c>
      <c r="BJ899" t="s">
        <v>111</v>
      </c>
      <c r="BK899" t="s">
        <v>111</v>
      </c>
      <c r="BL899" t="s">
        <v>111</v>
      </c>
      <c r="BM899" t="s">
        <v>111</v>
      </c>
      <c r="BN899" t="s">
        <v>111</v>
      </c>
      <c r="BO899" t="s">
        <v>111</v>
      </c>
      <c r="BP899" t="s">
        <v>111</v>
      </c>
      <c r="BQ899" t="s">
        <v>111</v>
      </c>
      <c r="BR899" t="s">
        <v>111</v>
      </c>
      <c r="BS899" t="s">
        <v>111</v>
      </c>
      <c r="BT899" t="s">
        <v>111</v>
      </c>
      <c r="BU899" t="s">
        <v>111</v>
      </c>
      <c r="BV899" t="s">
        <v>111</v>
      </c>
      <c r="BW899" t="s">
        <v>111</v>
      </c>
      <c r="BX899" t="s">
        <v>111</v>
      </c>
      <c r="BY899" t="s">
        <v>111</v>
      </c>
      <c r="BZ899" t="s">
        <v>111</v>
      </c>
      <c r="CA899" t="s">
        <v>111</v>
      </c>
      <c r="CB899" t="s">
        <v>111</v>
      </c>
      <c r="CC899" t="s">
        <v>111</v>
      </c>
      <c r="CD899" t="s">
        <v>111</v>
      </c>
      <c r="CE899" t="s">
        <v>111</v>
      </c>
      <c r="CF899" t="s">
        <v>111</v>
      </c>
      <c r="CG899" t="s">
        <v>111</v>
      </c>
      <c r="CH899" t="s">
        <v>111</v>
      </c>
      <c r="CI899" t="s">
        <v>111</v>
      </c>
      <c r="CJ899" t="s">
        <v>111</v>
      </c>
      <c r="CK899" t="s">
        <v>111</v>
      </c>
      <c r="CL899" s="1" t="s">
        <v>2919</v>
      </c>
      <c r="CM899" t="s">
        <v>111</v>
      </c>
      <c r="CN899" t="s">
        <v>111</v>
      </c>
      <c r="CO899" t="s">
        <v>111</v>
      </c>
      <c r="CP899" t="s">
        <v>111</v>
      </c>
      <c r="CQ899">
        <v>0</v>
      </c>
      <c r="CR899">
        <v>0</v>
      </c>
      <c r="CS899">
        <v>0</v>
      </c>
      <c r="CT899" t="s">
        <v>111</v>
      </c>
      <c r="CU899">
        <v>0</v>
      </c>
      <c r="CV899" t="s">
        <v>111</v>
      </c>
      <c r="CW899" t="s">
        <v>111</v>
      </c>
      <c r="CX899" t="s">
        <v>111</v>
      </c>
      <c r="CY899">
        <v>0</v>
      </c>
      <c r="CZ899" t="s">
        <v>111</v>
      </c>
      <c r="DA899" t="s">
        <v>111</v>
      </c>
      <c r="DB899" t="s">
        <v>111</v>
      </c>
      <c r="DC899" t="s">
        <v>111</v>
      </c>
    </row>
    <row r="900" spans="1:107">
      <c r="A900">
        <v>518</v>
      </c>
      <c r="B900" t="s">
        <v>162</v>
      </c>
      <c r="C900" t="s">
        <v>2920</v>
      </c>
      <c r="D900" t="s">
        <v>2921</v>
      </c>
      <c r="E900" t="s">
        <v>2922</v>
      </c>
      <c r="F900" t="s">
        <v>192</v>
      </c>
      <c r="G900" t="s">
        <v>416</v>
      </c>
      <c r="H900">
        <v>6</v>
      </c>
      <c r="I900">
        <v>52</v>
      </c>
      <c r="J900">
        <v>0</v>
      </c>
      <c r="K900">
        <v>0</v>
      </c>
      <c r="L900" t="s">
        <v>112</v>
      </c>
      <c r="M900" t="s">
        <v>138</v>
      </c>
      <c r="N900">
        <v>0</v>
      </c>
      <c r="O900">
        <v>0</v>
      </c>
      <c r="P900" t="s">
        <v>138</v>
      </c>
      <c r="Q900">
        <v>35</v>
      </c>
      <c r="R900">
        <v>0</v>
      </c>
      <c r="S900">
        <v>0</v>
      </c>
      <c r="T900">
        <v>0</v>
      </c>
      <c r="U900" t="s">
        <v>419</v>
      </c>
      <c r="V900">
        <v>0</v>
      </c>
      <c r="W900">
        <v>0</v>
      </c>
      <c r="X900">
        <v>1</v>
      </c>
      <c r="Y900">
        <v>0</v>
      </c>
      <c r="Z900" t="s">
        <v>111</v>
      </c>
      <c r="AA900">
        <v>0</v>
      </c>
      <c r="AB900" t="s">
        <v>111</v>
      </c>
      <c r="AC900">
        <v>0</v>
      </c>
      <c r="AD900" t="s">
        <v>111</v>
      </c>
      <c r="AE900">
        <v>0</v>
      </c>
      <c r="AF900">
        <v>0</v>
      </c>
      <c r="AG900" t="s">
        <v>111</v>
      </c>
      <c r="AH900" t="s">
        <v>111</v>
      </c>
      <c r="AI900" t="s">
        <v>111</v>
      </c>
      <c r="AJ900" t="s">
        <v>111</v>
      </c>
      <c r="AK900" t="s">
        <v>111</v>
      </c>
      <c r="AL900" t="s">
        <v>111</v>
      </c>
      <c r="AM900">
        <v>0</v>
      </c>
      <c r="AN900">
        <v>0</v>
      </c>
      <c r="AO900">
        <v>0</v>
      </c>
      <c r="AP900" t="s">
        <v>111</v>
      </c>
      <c r="AQ900" t="s">
        <v>111</v>
      </c>
      <c r="AR900" t="s">
        <v>111</v>
      </c>
      <c r="AS900" t="s">
        <v>111</v>
      </c>
      <c r="AT900" t="s">
        <v>111</v>
      </c>
      <c r="AU900" t="s">
        <v>111</v>
      </c>
      <c r="AV900" t="s">
        <v>111</v>
      </c>
      <c r="AW900" t="s">
        <v>111</v>
      </c>
      <c r="AX900" t="s">
        <v>111</v>
      </c>
      <c r="AY900" t="s">
        <v>111</v>
      </c>
      <c r="AZ900" t="s">
        <v>111</v>
      </c>
      <c r="BA900" t="s">
        <v>111</v>
      </c>
      <c r="BB900" t="s">
        <v>111</v>
      </c>
      <c r="BC900" t="s">
        <v>111</v>
      </c>
      <c r="BD900" t="s">
        <v>111</v>
      </c>
      <c r="BE900" t="s">
        <v>111</v>
      </c>
      <c r="BF900" t="s">
        <v>111</v>
      </c>
      <c r="BG900" t="s">
        <v>111</v>
      </c>
      <c r="BH900" t="s">
        <v>111</v>
      </c>
      <c r="BI900" t="s">
        <v>111</v>
      </c>
      <c r="BJ900" t="s">
        <v>111</v>
      </c>
      <c r="BK900" t="s">
        <v>111</v>
      </c>
      <c r="BL900" t="s">
        <v>111</v>
      </c>
      <c r="BM900" t="s">
        <v>111</v>
      </c>
      <c r="BN900" t="s">
        <v>111</v>
      </c>
      <c r="BO900" t="s">
        <v>111</v>
      </c>
      <c r="BP900" t="s">
        <v>111</v>
      </c>
      <c r="BQ900" t="s">
        <v>111</v>
      </c>
      <c r="BR900" t="s">
        <v>111</v>
      </c>
      <c r="BS900" t="s">
        <v>111</v>
      </c>
      <c r="BT900" t="s">
        <v>111</v>
      </c>
      <c r="BU900" t="s">
        <v>111</v>
      </c>
      <c r="BV900" t="s">
        <v>111</v>
      </c>
      <c r="BW900" t="s">
        <v>111</v>
      </c>
      <c r="BX900" t="s">
        <v>111</v>
      </c>
      <c r="BY900" t="s">
        <v>111</v>
      </c>
      <c r="BZ900" t="s">
        <v>111</v>
      </c>
      <c r="CA900" t="s">
        <v>111</v>
      </c>
      <c r="CB900" t="s">
        <v>111</v>
      </c>
      <c r="CC900" t="s">
        <v>111</v>
      </c>
      <c r="CD900" t="s">
        <v>111</v>
      </c>
      <c r="CE900" t="s">
        <v>111</v>
      </c>
      <c r="CF900" t="s">
        <v>111</v>
      </c>
      <c r="CG900" t="s">
        <v>111</v>
      </c>
      <c r="CH900" t="s">
        <v>111</v>
      </c>
      <c r="CI900" t="s">
        <v>111</v>
      </c>
      <c r="CJ900" t="s">
        <v>111</v>
      </c>
      <c r="CK900" t="s">
        <v>111</v>
      </c>
      <c r="CL900" t="s">
        <v>111</v>
      </c>
      <c r="CM900" t="s">
        <v>111</v>
      </c>
      <c r="CN900" t="s">
        <v>111</v>
      </c>
      <c r="CO900" t="s">
        <v>111</v>
      </c>
      <c r="CP900" t="s">
        <v>111</v>
      </c>
      <c r="CQ900">
        <v>0</v>
      </c>
      <c r="CR900">
        <v>0</v>
      </c>
      <c r="CS900">
        <v>0</v>
      </c>
      <c r="CT900" t="s">
        <v>111</v>
      </c>
      <c r="CU900">
        <v>0</v>
      </c>
      <c r="CV900" t="s">
        <v>111</v>
      </c>
      <c r="CW900" t="s">
        <v>111</v>
      </c>
      <c r="CX900" t="s">
        <v>111</v>
      </c>
      <c r="CY900">
        <v>0</v>
      </c>
      <c r="CZ900" t="s">
        <v>111</v>
      </c>
      <c r="DA900" t="s">
        <v>111</v>
      </c>
      <c r="DB900" t="s">
        <v>204</v>
      </c>
      <c r="DC900" s="1" t="s">
        <v>205</v>
      </c>
    </row>
    <row r="901" spans="1:107">
      <c r="A901">
        <v>229</v>
      </c>
      <c r="B901" t="s">
        <v>162</v>
      </c>
      <c r="C901" t="s">
        <v>428</v>
      </c>
      <c r="D901" t="s">
        <v>2923</v>
      </c>
      <c r="E901" t="s">
        <v>2924</v>
      </c>
      <c r="F901" t="s">
        <v>431</v>
      </c>
      <c r="G901" t="s">
        <v>416</v>
      </c>
      <c r="H901">
        <v>2</v>
      </c>
      <c r="I901">
        <v>64</v>
      </c>
      <c r="J901">
        <v>0</v>
      </c>
      <c r="K901">
        <v>0</v>
      </c>
      <c r="L901" t="s">
        <v>117</v>
      </c>
      <c r="M901" t="s">
        <v>118</v>
      </c>
      <c r="N901">
        <v>40</v>
      </c>
      <c r="O901">
        <v>1</v>
      </c>
      <c r="P901" t="s">
        <v>138</v>
      </c>
      <c r="Q901">
        <v>35</v>
      </c>
      <c r="R901">
        <v>0</v>
      </c>
      <c r="S901">
        <v>0</v>
      </c>
      <c r="T901">
        <v>0</v>
      </c>
      <c r="U901" t="s">
        <v>1353</v>
      </c>
      <c r="V901">
        <v>0</v>
      </c>
      <c r="W901">
        <v>25</v>
      </c>
      <c r="X901">
        <v>8</v>
      </c>
      <c r="Y901">
        <v>0</v>
      </c>
      <c r="Z901" t="s">
        <v>111</v>
      </c>
      <c r="AA901">
        <v>0</v>
      </c>
      <c r="AB901" t="s">
        <v>111</v>
      </c>
      <c r="AC901">
        <v>0</v>
      </c>
      <c r="AD901" t="s">
        <v>416</v>
      </c>
      <c r="AE901">
        <v>4</v>
      </c>
      <c r="AF901">
        <v>2</v>
      </c>
      <c r="AG901">
        <v>27</v>
      </c>
      <c r="AH901" t="s">
        <v>111</v>
      </c>
      <c r="AI901">
        <v>54</v>
      </c>
      <c r="AJ901" t="s">
        <v>111</v>
      </c>
      <c r="AK901" t="s">
        <v>111</v>
      </c>
      <c r="AL901" t="s">
        <v>111</v>
      </c>
      <c r="AM901">
        <v>0</v>
      </c>
      <c r="AN901">
        <v>0</v>
      </c>
      <c r="AO901">
        <v>0</v>
      </c>
      <c r="AP901" t="s">
        <v>259</v>
      </c>
      <c r="AQ901" t="s">
        <v>111</v>
      </c>
      <c r="AR901" t="s">
        <v>111</v>
      </c>
      <c r="AS901" t="s">
        <v>111</v>
      </c>
      <c r="AT901" t="s">
        <v>271</v>
      </c>
      <c r="AU901" t="s">
        <v>111</v>
      </c>
      <c r="AV901" t="s">
        <v>111</v>
      </c>
      <c r="AW901" t="s">
        <v>111</v>
      </c>
      <c r="AX901" t="s">
        <v>288</v>
      </c>
      <c r="AY901" t="s">
        <v>111</v>
      </c>
      <c r="AZ901" t="s">
        <v>111</v>
      </c>
      <c r="BA901" t="s">
        <v>111</v>
      </c>
      <c r="BB901" t="s">
        <v>188</v>
      </c>
      <c r="BC901" t="s">
        <v>111</v>
      </c>
      <c r="BD901" t="s">
        <v>111</v>
      </c>
      <c r="BE901" t="s">
        <v>111</v>
      </c>
      <c r="BF901" t="s">
        <v>111</v>
      </c>
      <c r="BG901" t="s">
        <v>111</v>
      </c>
      <c r="BH901" t="s">
        <v>111</v>
      </c>
      <c r="BI901" t="s">
        <v>111</v>
      </c>
      <c r="BJ901" t="s">
        <v>111</v>
      </c>
      <c r="BK901" t="s">
        <v>111</v>
      </c>
      <c r="BL901" t="s">
        <v>111</v>
      </c>
      <c r="BM901" t="s">
        <v>111</v>
      </c>
      <c r="BN901" t="s">
        <v>111</v>
      </c>
      <c r="BO901" t="s">
        <v>111</v>
      </c>
      <c r="BP901" t="s">
        <v>111</v>
      </c>
      <c r="BQ901" t="s">
        <v>111</v>
      </c>
      <c r="BR901" t="s">
        <v>111</v>
      </c>
      <c r="BS901" t="s">
        <v>111</v>
      </c>
      <c r="BT901" t="s">
        <v>111</v>
      </c>
      <c r="BU901" t="s">
        <v>111</v>
      </c>
      <c r="BV901" t="s">
        <v>111</v>
      </c>
      <c r="BW901" t="s">
        <v>111</v>
      </c>
      <c r="BX901" t="s">
        <v>111</v>
      </c>
      <c r="BY901" t="s">
        <v>111</v>
      </c>
      <c r="BZ901" t="s">
        <v>111</v>
      </c>
      <c r="CA901" t="s">
        <v>111</v>
      </c>
      <c r="CB901" t="s">
        <v>111</v>
      </c>
      <c r="CC901" t="s">
        <v>111</v>
      </c>
      <c r="CD901" t="s">
        <v>111</v>
      </c>
      <c r="CE901" t="s">
        <v>111</v>
      </c>
      <c r="CF901" t="s">
        <v>111</v>
      </c>
      <c r="CG901" t="s">
        <v>111</v>
      </c>
      <c r="CH901" t="s">
        <v>111</v>
      </c>
      <c r="CI901" t="s">
        <v>111</v>
      </c>
      <c r="CJ901" t="s">
        <v>111</v>
      </c>
      <c r="CK901" t="s">
        <v>111</v>
      </c>
      <c r="CL901" t="s">
        <v>153</v>
      </c>
      <c r="CM901" t="s">
        <v>198</v>
      </c>
      <c r="CN901" t="s">
        <v>113</v>
      </c>
      <c r="CO901" t="s">
        <v>111</v>
      </c>
      <c r="CP901" t="s">
        <v>111</v>
      </c>
      <c r="CQ901">
        <v>0</v>
      </c>
      <c r="CR901">
        <v>0</v>
      </c>
      <c r="CS901">
        <v>0</v>
      </c>
      <c r="CT901" t="s">
        <v>168</v>
      </c>
      <c r="CU901">
        <v>0</v>
      </c>
      <c r="CV901" t="s">
        <v>111</v>
      </c>
      <c r="CW901" t="s">
        <v>111</v>
      </c>
      <c r="CX901" t="s">
        <v>111</v>
      </c>
      <c r="CY901">
        <v>0</v>
      </c>
      <c r="CZ901" t="s">
        <v>111</v>
      </c>
      <c r="DA901" t="s">
        <v>111</v>
      </c>
      <c r="DB901" t="s">
        <v>111</v>
      </c>
      <c r="DC901" t="s">
        <v>111</v>
      </c>
    </row>
    <row r="902" spans="1:107">
      <c r="A902">
        <v>534</v>
      </c>
      <c r="B902" t="s">
        <v>162</v>
      </c>
      <c r="C902" t="s">
        <v>226</v>
      </c>
      <c r="D902" t="s">
        <v>2925</v>
      </c>
      <c r="E902" t="s">
        <v>2926</v>
      </c>
      <c r="F902" t="s">
        <v>125</v>
      </c>
      <c r="G902" t="s">
        <v>416</v>
      </c>
      <c r="H902">
        <v>0.57999999999999996</v>
      </c>
      <c r="I902">
        <v>60</v>
      </c>
      <c r="J902">
        <v>0</v>
      </c>
      <c r="K902">
        <v>0</v>
      </c>
      <c r="L902" t="s">
        <v>112</v>
      </c>
      <c r="M902" t="s">
        <v>138</v>
      </c>
      <c r="N902">
        <v>0</v>
      </c>
      <c r="O902">
        <v>0</v>
      </c>
      <c r="P902" t="s">
        <v>138</v>
      </c>
      <c r="Q902">
        <v>40</v>
      </c>
      <c r="R902">
        <v>0</v>
      </c>
      <c r="S902">
        <v>0</v>
      </c>
      <c r="T902">
        <v>0</v>
      </c>
      <c r="U902" t="s">
        <v>153</v>
      </c>
      <c r="V902">
        <v>25</v>
      </c>
      <c r="W902">
        <v>0</v>
      </c>
      <c r="X902">
        <v>8</v>
      </c>
      <c r="Y902">
        <v>0</v>
      </c>
      <c r="Z902" t="s">
        <v>111</v>
      </c>
      <c r="AA902">
        <v>0</v>
      </c>
      <c r="AB902" t="s">
        <v>111</v>
      </c>
      <c r="AC902">
        <v>0</v>
      </c>
      <c r="AD902" t="s">
        <v>111</v>
      </c>
      <c r="AE902">
        <v>0</v>
      </c>
      <c r="AF902">
        <v>0</v>
      </c>
      <c r="AG902" t="s">
        <v>111</v>
      </c>
      <c r="AH902" t="s">
        <v>111</v>
      </c>
      <c r="AI902" t="s">
        <v>111</v>
      </c>
      <c r="AJ902" t="s">
        <v>111</v>
      </c>
      <c r="AK902" t="s">
        <v>111</v>
      </c>
      <c r="AL902" t="s">
        <v>111</v>
      </c>
      <c r="AM902">
        <v>0</v>
      </c>
      <c r="AN902">
        <v>0</v>
      </c>
      <c r="AO902">
        <v>0</v>
      </c>
      <c r="AP902" t="s">
        <v>111</v>
      </c>
      <c r="AQ902" t="s">
        <v>111</v>
      </c>
      <c r="AR902" t="s">
        <v>111</v>
      </c>
      <c r="AS902" t="s">
        <v>111</v>
      </c>
      <c r="AT902" t="s">
        <v>111</v>
      </c>
      <c r="AU902" t="s">
        <v>111</v>
      </c>
      <c r="AV902" t="s">
        <v>111</v>
      </c>
      <c r="AW902" t="s">
        <v>111</v>
      </c>
      <c r="AX902" t="s">
        <v>111</v>
      </c>
      <c r="AY902" t="s">
        <v>111</v>
      </c>
      <c r="AZ902" t="s">
        <v>111</v>
      </c>
      <c r="BA902" t="s">
        <v>111</v>
      </c>
      <c r="BB902" t="s">
        <v>111</v>
      </c>
      <c r="BC902" t="s">
        <v>111</v>
      </c>
      <c r="BD902" t="s">
        <v>111</v>
      </c>
      <c r="BE902" t="s">
        <v>111</v>
      </c>
      <c r="BF902" t="s">
        <v>111</v>
      </c>
      <c r="BG902" t="s">
        <v>111</v>
      </c>
      <c r="BH902" t="s">
        <v>111</v>
      </c>
      <c r="BI902" t="s">
        <v>111</v>
      </c>
      <c r="BJ902" t="s">
        <v>111</v>
      </c>
      <c r="BK902" t="s">
        <v>111</v>
      </c>
      <c r="BL902" t="s">
        <v>111</v>
      </c>
      <c r="BM902" t="s">
        <v>111</v>
      </c>
      <c r="BN902" t="s">
        <v>111</v>
      </c>
      <c r="BO902" t="s">
        <v>111</v>
      </c>
      <c r="BP902" t="s">
        <v>111</v>
      </c>
      <c r="BQ902" t="s">
        <v>111</v>
      </c>
      <c r="BR902" t="s">
        <v>111</v>
      </c>
      <c r="BS902" t="s">
        <v>111</v>
      </c>
      <c r="BT902" t="s">
        <v>111</v>
      </c>
      <c r="BU902" t="s">
        <v>111</v>
      </c>
      <c r="BV902" t="s">
        <v>111</v>
      </c>
      <c r="BW902" t="s">
        <v>111</v>
      </c>
      <c r="BX902" t="s">
        <v>111</v>
      </c>
      <c r="BY902" t="s">
        <v>111</v>
      </c>
      <c r="BZ902" t="s">
        <v>111</v>
      </c>
      <c r="CA902" t="s">
        <v>111</v>
      </c>
      <c r="CB902" t="s">
        <v>111</v>
      </c>
      <c r="CC902" t="s">
        <v>111</v>
      </c>
      <c r="CD902" t="s">
        <v>111</v>
      </c>
      <c r="CE902" t="s">
        <v>111</v>
      </c>
      <c r="CF902" t="s">
        <v>111</v>
      </c>
      <c r="CG902" t="s">
        <v>111</v>
      </c>
      <c r="CH902" t="s">
        <v>111</v>
      </c>
      <c r="CI902" t="s">
        <v>111</v>
      </c>
      <c r="CJ902" t="s">
        <v>111</v>
      </c>
      <c r="CK902" t="s">
        <v>111</v>
      </c>
      <c r="CL902" t="s">
        <v>111</v>
      </c>
      <c r="CM902" t="s">
        <v>127</v>
      </c>
      <c r="CN902" t="s">
        <v>128</v>
      </c>
      <c r="CO902" t="s">
        <v>222</v>
      </c>
      <c r="CP902" t="s">
        <v>111</v>
      </c>
      <c r="CQ902">
        <v>0</v>
      </c>
      <c r="CR902">
        <v>1500</v>
      </c>
      <c r="CS902">
        <v>100</v>
      </c>
      <c r="CT902" t="s">
        <v>168</v>
      </c>
      <c r="CU902">
        <v>0</v>
      </c>
      <c r="CV902" t="s">
        <v>111</v>
      </c>
      <c r="CW902" t="s">
        <v>111</v>
      </c>
      <c r="CX902" t="s">
        <v>111</v>
      </c>
      <c r="CY902">
        <v>0</v>
      </c>
      <c r="CZ902" t="s">
        <v>111</v>
      </c>
      <c r="DA902" t="s">
        <v>111</v>
      </c>
      <c r="DB902" t="s">
        <v>111</v>
      </c>
      <c r="DC902" t="s">
        <v>111</v>
      </c>
    </row>
    <row r="903" spans="1:107">
      <c r="A903">
        <v>945</v>
      </c>
      <c r="B903" t="s">
        <v>107</v>
      </c>
      <c r="C903" t="s">
        <v>937</v>
      </c>
      <c r="D903" t="s">
        <v>2927</v>
      </c>
      <c r="E903" t="s">
        <v>2928</v>
      </c>
      <c r="F903" t="s">
        <v>431</v>
      </c>
      <c r="G903" t="s">
        <v>416</v>
      </c>
      <c r="H903">
        <v>2.9</v>
      </c>
      <c r="I903">
        <v>20.5</v>
      </c>
      <c r="J903">
        <v>0</v>
      </c>
      <c r="K903">
        <v>0</v>
      </c>
      <c r="L903" t="s">
        <v>112</v>
      </c>
      <c r="M903" t="s">
        <v>111</v>
      </c>
      <c r="N903">
        <v>0</v>
      </c>
      <c r="O903">
        <v>0</v>
      </c>
      <c r="P903" t="s">
        <v>111</v>
      </c>
      <c r="Q903">
        <v>20</v>
      </c>
      <c r="R903">
        <v>0</v>
      </c>
      <c r="S903">
        <v>0</v>
      </c>
      <c r="T903">
        <v>0</v>
      </c>
      <c r="U903" t="s">
        <v>2929</v>
      </c>
      <c r="V903">
        <v>0</v>
      </c>
      <c r="W903">
        <v>25</v>
      </c>
      <c r="X903">
        <v>10</v>
      </c>
      <c r="Y903">
        <v>0</v>
      </c>
      <c r="Z903" t="s">
        <v>111</v>
      </c>
      <c r="AA903">
        <v>0</v>
      </c>
      <c r="AB903" t="s">
        <v>111</v>
      </c>
      <c r="AC903">
        <v>0</v>
      </c>
      <c r="AD903" t="s">
        <v>416</v>
      </c>
      <c r="AE903">
        <v>0</v>
      </c>
      <c r="AF903">
        <v>2</v>
      </c>
      <c r="AG903" t="s">
        <v>2930</v>
      </c>
      <c r="AH903" t="s">
        <v>128</v>
      </c>
      <c r="AI903" t="s">
        <v>2931</v>
      </c>
      <c r="AJ903" t="s">
        <v>111</v>
      </c>
      <c r="AK903" t="s">
        <v>111</v>
      </c>
      <c r="AL903" t="s">
        <v>111</v>
      </c>
      <c r="AM903">
        <v>0</v>
      </c>
      <c r="AN903">
        <v>0</v>
      </c>
      <c r="AO903">
        <v>0</v>
      </c>
      <c r="AP903" t="s">
        <v>111</v>
      </c>
      <c r="AQ903" t="s">
        <v>111</v>
      </c>
      <c r="AR903" t="s">
        <v>111</v>
      </c>
      <c r="AS903" t="s">
        <v>111</v>
      </c>
      <c r="AT903" t="s">
        <v>111</v>
      </c>
      <c r="AU903" t="s">
        <v>111</v>
      </c>
      <c r="AV903" t="s">
        <v>111</v>
      </c>
      <c r="AW903" t="s">
        <v>111</v>
      </c>
      <c r="AX903" t="s">
        <v>111</v>
      </c>
      <c r="AY903" t="s">
        <v>111</v>
      </c>
      <c r="AZ903" t="s">
        <v>111</v>
      </c>
      <c r="BA903" t="s">
        <v>111</v>
      </c>
      <c r="BB903" t="s">
        <v>111</v>
      </c>
      <c r="BC903" t="s">
        <v>111</v>
      </c>
      <c r="BD903" t="s">
        <v>111</v>
      </c>
      <c r="BE903" t="s">
        <v>111</v>
      </c>
      <c r="BF903" t="s">
        <v>111</v>
      </c>
      <c r="BG903" t="s">
        <v>111</v>
      </c>
      <c r="BH903" t="s">
        <v>111</v>
      </c>
      <c r="BI903" t="s">
        <v>111</v>
      </c>
      <c r="BJ903" t="s">
        <v>111</v>
      </c>
      <c r="BK903" t="s">
        <v>111</v>
      </c>
      <c r="BL903" t="s">
        <v>111</v>
      </c>
      <c r="BM903" t="s">
        <v>111</v>
      </c>
      <c r="BN903" t="s">
        <v>111</v>
      </c>
      <c r="BO903" t="s">
        <v>111</v>
      </c>
      <c r="BP903" t="s">
        <v>111</v>
      </c>
      <c r="BQ903" t="s">
        <v>111</v>
      </c>
      <c r="BR903" t="s">
        <v>111</v>
      </c>
      <c r="BS903" t="s">
        <v>111</v>
      </c>
      <c r="BT903" t="s">
        <v>111</v>
      </c>
      <c r="BU903" t="s">
        <v>111</v>
      </c>
      <c r="BV903" t="s">
        <v>111</v>
      </c>
      <c r="BW903" t="s">
        <v>111</v>
      </c>
      <c r="BX903" t="s">
        <v>111</v>
      </c>
      <c r="BY903" t="s">
        <v>111</v>
      </c>
      <c r="BZ903" t="s">
        <v>111</v>
      </c>
      <c r="CA903" t="s">
        <v>111</v>
      </c>
      <c r="CB903" t="s">
        <v>111</v>
      </c>
      <c r="CC903" t="s">
        <v>111</v>
      </c>
      <c r="CD903" t="s">
        <v>111</v>
      </c>
      <c r="CE903" t="s">
        <v>111</v>
      </c>
      <c r="CF903" t="s">
        <v>111</v>
      </c>
      <c r="CG903" t="s">
        <v>111</v>
      </c>
      <c r="CH903" t="s">
        <v>111</v>
      </c>
      <c r="CI903" t="s">
        <v>111</v>
      </c>
      <c r="CJ903" t="s">
        <v>111</v>
      </c>
      <c r="CK903" t="s">
        <v>111</v>
      </c>
      <c r="CL903" t="e">
        <f>-DESTINO SELLADO</f>
        <v>#NAME?</v>
      </c>
      <c r="CM903" t="s">
        <v>135</v>
      </c>
      <c r="CN903" t="s">
        <v>128</v>
      </c>
      <c r="CO903" t="s">
        <v>111</v>
      </c>
      <c r="CP903" t="s">
        <v>563</v>
      </c>
      <c r="CQ903">
        <v>45</v>
      </c>
      <c r="CR903">
        <v>2000</v>
      </c>
      <c r="CS903">
        <v>100</v>
      </c>
      <c r="CT903" s="1" t="s">
        <v>2932</v>
      </c>
      <c r="CU903">
        <v>0</v>
      </c>
      <c r="CV903" t="s">
        <v>111</v>
      </c>
      <c r="CW903" t="s">
        <v>111</v>
      </c>
      <c r="CX903" t="s">
        <v>111</v>
      </c>
      <c r="CY903">
        <v>0</v>
      </c>
      <c r="CZ903" t="s">
        <v>111</v>
      </c>
      <c r="DA903" t="s">
        <v>111</v>
      </c>
      <c r="DB903" t="s">
        <v>111</v>
      </c>
      <c r="DC903" t="s">
        <v>111</v>
      </c>
    </row>
    <row r="904" spans="1:107">
      <c r="A904">
        <v>563</v>
      </c>
      <c r="B904" t="s">
        <v>162</v>
      </c>
      <c r="C904" t="s">
        <v>144</v>
      </c>
      <c r="D904" t="s">
        <v>2933</v>
      </c>
      <c r="E904" t="s">
        <v>2934</v>
      </c>
      <c r="F904" t="s">
        <v>239</v>
      </c>
      <c r="G904" t="s">
        <v>416</v>
      </c>
      <c r="H904">
        <v>0.7</v>
      </c>
      <c r="I904">
        <v>50</v>
      </c>
      <c r="J904">
        <v>0</v>
      </c>
      <c r="K904">
        <v>0</v>
      </c>
      <c r="L904" t="s">
        <v>112</v>
      </c>
      <c r="M904" t="s">
        <v>138</v>
      </c>
      <c r="N904">
        <v>0</v>
      </c>
      <c r="O904">
        <v>0</v>
      </c>
      <c r="P904" t="s">
        <v>138</v>
      </c>
      <c r="Q904">
        <v>40</v>
      </c>
      <c r="R904">
        <v>0</v>
      </c>
      <c r="S904">
        <v>0</v>
      </c>
      <c r="T904">
        <v>0</v>
      </c>
      <c r="U904" t="s">
        <v>153</v>
      </c>
      <c r="V904">
        <v>25</v>
      </c>
      <c r="W904">
        <v>0</v>
      </c>
      <c r="X904">
        <v>8</v>
      </c>
      <c r="Y904">
        <v>0</v>
      </c>
      <c r="Z904" t="s">
        <v>147</v>
      </c>
      <c r="AA904">
        <v>1.32</v>
      </c>
      <c r="AB904" t="s">
        <v>111</v>
      </c>
      <c r="AC904">
        <v>0</v>
      </c>
      <c r="AD904" t="s">
        <v>111</v>
      </c>
      <c r="AE904">
        <v>0</v>
      </c>
      <c r="AF904">
        <v>0</v>
      </c>
      <c r="AG904" t="s">
        <v>111</v>
      </c>
      <c r="AH904" t="s">
        <v>111</v>
      </c>
      <c r="AI904" t="s">
        <v>111</v>
      </c>
      <c r="AJ904" t="s">
        <v>111</v>
      </c>
      <c r="AK904" t="s">
        <v>111</v>
      </c>
      <c r="AL904" t="s">
        <v>111</v>
      </c>
      <c r="AM904">
        <v>0</v>
      </c>
      <c r="AN904">
        <v>0</v>
      </c>
      <c r="AO904">
        <v>0</v>
      </c>
      <c r="AP904" t="s">
        <v>111</v>
      </c>
      <c r="AQ904" t="s">
        <v>111</v>
      </c>
      <c r="AR904" t="s">
        <v>111</v>
      </c>
      <c r="AS904" t="s">
        <v>111</v>
      </c>
      <c r="AT904" t="s">
        <v>111</v>
      </c>
      <c r="AU904" t="s">
        <v>111</v>
      </c>
      <c r="AV904" t="s">
        <v>111</v>
      </c>
      <c r="AW904" t="s">
        <v>111</v>
      </c>
      <c r="AX904" t="s">
        <v>111</v>
      </c>
      <c r="AY904" t="s">
        <v>111</v>
      </c>
      <c r="AZ904" t="s">
        <v>111</v>
      </c>
      <c r="BA904" t="s">
        <v>111</v>
      </c>
      <c r="BB904" t="s">
        <v>111</v>
      </c>
      <c r="BC904" t="s">
        <v>111</v>
      </c>
      <c r="BD904" t="s">
        <v>111</v>
      </c>
      <c r="BE904" t="s">
        <v>111</v>
      </c>
      <c r="BF904" t="s">
        <v>111</v>
      </c>
      <c r="BG904" t="s">
        <v>111</v>
      </c>
      <c r="BH904" t="s">
        <v>111</v>
      </c>
      <c r="BI904" t="s">
        <v>111</v>
      </c>
      <c r="BJ904" t="s">
        <v>111</v>
      </c>
      <c r="BK904" t="s">
        <v>111</v>
      </c>
      <c r="BL904" t="s">
        <v>111</v>
      </c>
      <c r="BM904" t="s">
        <v>111</v>
      </c>
      <c r="BN904" t="s">
        <v>111</v>
      </c>
      <c r="BO904" t="s">
        <v>111</v>
      </c>
      <c r="BP904" t="s">
        <v>111</v>
      </c>
      <c r="BQ904" t="s">
        <v>111</v>
      </c>
      <c r="BR904" t="s">
        <v>111</v>
      </c>
      <c r="BS904" t="s">
        <v>111</v>
      </c>
      <c r="BT904" t="s">
        <v>111</v>
      </c>
      <c r="BU904" t="s">
        <v>111</v>
      </c>
      <c r="BV904" t="s">
        <v>111</v>
      </c>
      <c r="BW904" t="s">
        <v>111</v>
      </c>
      <c r="BX904" t="s">
        <v>111</v>
      </c>
      <c r="BY904" t="s">
        <v>111</v>
      </c>
      <c r="BZ904" t="s">
        <v>111</v>
      </c>
      <c r="CA904" t="s">
        <v>111</v>
      </c>
      <c r="CB904" t="s">
        <v>111</v>
      </c>
      <c r="CC904" t="s">
        <v>111</v>
      </c>
      <c r="CD904" t="s">
        <v>111</v>
      </c>
      <c r="CE904" t="s">
        <v>111</v>
      </c>
      <c r="CF904" t="s">
        <v>111</v>
      </c>
      <c r="CG904" t="s">
        <v>111</v>
      </c>
      <c r="CH904" t="s">
        <v>111</v>
      </c>
      <c r="CI904" t="s">
        <v>111</v>
      </c>
      <c r="CJ904" t="s">
        <v>111</v>
      </c>
      <c r="CK904" t="s">
        <v>111</v>
      </c>
      <c r="CL904" t="s">
        <v>111</v>
      </c>
      <c r="CM904" t="s">
        <v>198</v>
      </c>
      <c r="CN904" t="s">
        <v>113</v>
      </c>
      <c r="CO904" t="s">
        <v>111</v>
      </c>
      <c r="CP904" t="s">
        <v>111</v>
      </c>
      <c r="CQ904">
        <v>42</v>
      </c>
      <c r="CR904">
        <v>0</v>
      </c>
      <c r="CS904">
        <v>0</v>
      </c>
      <c r="CT904" t="s">
        <v>168</v>
      </c>
      <c r="CU904">
        <v>0</v>
      </c>
      <c r="CV904" t="s">
        <v>111</v>
      </c>
      <c r="CW904" t="s">
        <v>111</v>
      </c>
      <c r="CX904" t="s">
        <v>111</v>
      </c>
      <c r="CY904">
        <v>0</v>
      </c>
      <c r="CZ904" t="s">
        <v>111</v>
      </c>
      <c r="DA904" t="s">
        <v>111</v>
      </c>
      <c r="DB904" t="s">
        <v>111</v>
      </c>
      <c r="DC904" t="s">
        <v>111</v>
      </c>
    </row>
    <row r="905" spans="1:107">
      <c r="A905">
        <v>524</v>
      </c>
      <c r="B905" t="s">
        <v>162</v>
      </c>
      <c r="C905" t="s">
        <v>2274</v>
      </c>
      <c r="D905" t="s">
        <v>2935</v>
      </c>
      <c r="E905" t="s">
        <v>2936</v>
      </c>
      <c r="F905" t="s">
        <v>431</v>
      </c>
      <c r="G905" t="s">
        <v>416</v>
      </c>
      <c r="H905">
        <v>1.2</v>
      </c>
      <c r="I905">
        <v>48</v>
      </c>
      <c r="J905">
        <v>0</v>
      </c>
      <c r="K905">
        <v>0</v>
      </c>
      <c r="L905" t="s">
        <v>112</v>
      </c>
      <c r="M905" t="s">
        <v>118</v>
      </c>
      <c r="N905">
        <v>40</v>
      </c>
      <c r="O905">
        <v>2</v>
      </c>
      <c r="P905" t="s">
        <v>138</v>
      </c>
      <c r="Q905">
        <v>40</v>
      </c>
      <c r="R905">
        <v>0</v>
      </c>
      <c r="S905">
        <v>0</v>
      </c>
      <c r="T905">
        <v>0</v>
      </c>
      <c r="U905" t="s">
        <v>1353</v>
      </c>
      <c r="V905">
        <v>0</v>
      </c>
      <c r="W905">
        <v>25</v>
      </c>
      <c r="X905">
        <v>8</v>
      </c>
      <c r="Y905">
        <v>0</v>
      </c>
      <c r="Z905" t="s">
        <v>111</v>
      </c>
      <c r="AA905">
        <v>0</v>
      </c>
      <c r="AB905" t="s">
        <v>111</v>
      </c>
      <c r="AC905">
        <v>0</v>
      </c>
      <c r="AD905" t="s">
        <v>416</v>
      </c>
      <c r="AE905">
        <v>1</v>
      </c>
      <c r="AF905">
        <v>1</v>
      </c>
      <c r="AG905">
        <v>35</v>
      </c>
      <c r="AH905" t="s">
        <v>111</v>
      </c>
      <c r="AI905">
        <v>35</v>
      </c>
      <c r="AJ905" t="s">
        <v>111</v>
      </c>
      <c r="AK905" t="s">
        <v>111</v>
      </c>
      <c r="AL905" t="s">
        <v>111</v>
      </c>
      <c r="AM905">
        <v>0</v>
      </c>
      <c r="AN905">
        <v>0</v>
      </c>
      <c r="AO905">
        <v>0</v>
      </c>
      <c r="AP905" t="s">
        <v>259</v>
      </c>
      <c r="AQ905" t="s">
        <v>111</v>
      </c>
      <c r="AR905" t="s">
        <v>111</v>
      </c>
      <c r="AS905" t="s">
        <v>111</v>
      </c>
      <c r="AT905" t="s">
        <v>111</v>
      </c>
      <c r="AU905" t="s">
        <v>111</v>
      </c>
      <c r="AV905" t="s">
        <v>111</v>
      </c>
      <c r="AW905" t="s">
        <v>111</v>
      </c>
      <c r="AX905" t="s">
        <v>111</v>
      </c>
      <c r="AY905" t="s">
        <v>111</v>
      </c>
      <c r="AZ905" t="s">
        <v>111</v>
      </c>
      <c r="BA905" t="s">
        <v>111</v>
      </c>
      <c r="BB905" t="s">
        <v>111</v>
      </c>
      <c r="BC905" t="s">
        <v>111</v>
      </c>
      <c r="BD905" t="s">
        <v>111</v>
      </c>
      <c r="BE905" t="s">
        <v>111</v>
      </c>
      <c r="BF905" t="s">
        <v>111</v>
      </c>
      <c r="BG905" t="s">
        <v>111</v>
      </c>
      <c r="BH905" t="s">
        <v>111</v>
      </c>
      <c r="BI905" t="s">
        <v>111</v>
      </c>
      <c r="BJ905" t="s">
        <v>111</v>
      </c>
      <c r="BK905" t="s">
        <v>111</v>
      </c>
      <c r="BL905" t="s">
        <v>111</v>
      </c>
      <c r="BM905" t="s">
        <v>111</v>
      </c>
      <c r="BN905" t="s">
        <v>111</v>
      </c>
      <c r="BO905" t="s">
        <v>111</v>
      </c>
      <c r="BP905" t="s">
        <v>111</v>
      </c>
      <c r="BQ905" t="s">
        <v>111</v>
      </c>
      <c r="BR905" t="s">
        <v>111</v>
      </c>
      <c r="BS905" t="s">
        <v>111</v>
      </c>
      <c r="BT905" t="s">
        <v>111</v>
      </c>
      <c r="BU905" t="s">
        <v>111</v>
      </c>
      <c r="BV905" t="s">
        <v>111</v>
      </c>
      <c r="BW905" t="s">
        <v>111</v>
      </c>
      <c r="BX905" t="s">
        <v>111</v>
      </c>
      <c r="BY905" t="s">
        <v>111</v>
      </c>
      <c r="BZ905" t="s">
        <v>111</v>
      </c>
      <c r="CA905" t="s">
        <v>111</v>
      </c>
      <c r="CB905" t="s">
        <v>111</v>
      </c>
      <c r="CC905" t="s">
        <v>111</v>
      </c>
      <c r="CD905" t="s">
        <v>111</v>
      </c>
      <c r="CE905" t="s">
        <v>111</v>
      </c>
      <c r="CF905" t="s">
        <v>111</v>
      </c>
      <c r="CG905" t="s">
        <v>111</v>
      </c>
      <c r="CH905" t="s">
        <v>111</v>
      </c>
      <c r="CI905" t="s">
        <v>111</v>
      </c>
      <c r="CJ905" t="s">
        <v>111</v>
      </c>
      <c r="CK905" t="s">
        <v>111</v>
      </c>
      <c r="CL905" t="s">
        <v>153</v>
      </c>
      <c r="CM905" t="s">
        <v>198</v>
      </c>
      <c r="CN905" t="s">
        <v>113</v>
      </c>
      <c r="CO905" t="s">
        <v>111</v>
      </c>
      <c r="CP905" t="s">
        <v>433</v>
      </c>
      <c r="CQ905">
        <v>0</v>
      </c>
      <c r="CR905">
        <v>0</v>
      </c>
      <c r="CS905">
        <v>0</v>
      </c>
      <c r="CT905" t="s">
        <v>168</v>
      </c>
      <c r="CU905">
        <v>0</v>
      </c>
      <c r="CV905" t="s">
        <v>111</v>
      </c>
      <c r="CW905" t="s">
        <v>111</v>
      </c>
      <c r="CX905" t="s">
        <v>111</v>
      </c>
      <c r="CY905">
        <v>0</v>
      </c>
      <c r="CZ905" t="s">
        <v>111</v>
      </c>
      <c r="DA905" t="s">
        <v>111</v>
      </c>
      <c r="DB905" t="s">
        <v>111</v>
      </c>
      <c r="DC905" t="s">
        <v>111</v>
      </c>
    </row>
    <row r="906" spans="1:107">
      <c r="A906">
        <v>506</v>
      </c>
      <c r="B906" t="s">
        <v>162</v>
      </c>
      <c r="C906" t="s">
        <v>454</v>
      </c>
      <c r="D906" t="s">
        <v>2937</v>
      </c>
      <c r="E906" t="s">
        <v>2938</v>
      </c>
      <c r="F906" t="s">
        <v>2939</v>
      </c>
      <c r="G906" t="s">
        <v>416</v>
      </c>
      <c r="H906">
        <v>2.2999999999999998</v>
      </c>
      <c r="I906">
        <v>40</v>
      </c>
      <c r="J906">
        <v>0</v>
      </c>
      <c r="K906">
        <v>0</v>
      </c>
      <c r="L906" t="s">
        <v>112</v>
      </c>
      <c r="M906" t="s">
        <v>118</v>
      </c>
      <c r="N906">
        <v>40</v>
      </c>
      <c r="O906">
        <v>2</v>
      </c>
      <c r="P906" t="s">
        <v>138</v>
      </c>
      <c r="Q906">
        <v>35</v>
      </c>
      <c r="R906">
        <v>0</v>
      </c>
      <c r="S906">
        <v>0</v>
      </c>
      <c r="T906">
        <v>0</v>
      </c>
      <c r="U906" t="s">
        <v>1353</v>
      </c>
      <c r="V906">
        <v>0</v>
      </c>
      <c r="W906">
        <v>25</v>
      </c>
      <c r="X906">
        <v>8</v>
      </c>
      <c r="Y906">
        <v>0</v>
      </c>
      <c r="Z906" t="s">
        <v>2026</v>
      </c>
      <c r="AA906">
        <v>1.65</v>
      </c>
      <c r="AB906" t="s">
        <v>111</v>
      </c>
      <c r="AC906">
        <v>0</v>
      </c>
      <c r="AD906" t="s">
        <v>416</v>
      </c>
      <c r="AE906">
        <v>1</v>
      </c>
      <c r="AF906">
        <v>1</v>
      </c>
      <c r="AG906">
        <v>30</v>
      </c>
      <c r="AH906" t="s">
        <v>111</v>
      </c>
      <c r="AI906">
        <v>30</v>
      </c>
      <c r="AJ906" t="s">
        <v>111</v>
      </c>
      <c r="AK906" t="s">
        <v>111</v>
      </c>
      <c r="AL906" t="s">
        <v>111</v>
      </c>
      <c r="AM906">
        <v>0</v>
      </c>
      <c r="AN906">
        <v>0</v>
      </c>
      <c r="AO906">
        <v>0</v>
      </c>
      <c r="AP906" t="s">
        <v>1091</v>
      </c>
      <c r="AQ906" t="s">
        <v>111</v>
      </c>
      <c r="AR906" t="s">
        <v>111</v>
      </c>
      <c r="AS906" t="s">
        <v>111</v>
      </c>
      <c r="AT906" t="s">
        <v>111</v>
      </c>
      <c r="AU906" t="s">
        <v>111</v>
      </c>
      <c r="AV906" t="s">
        <v>111</v>
      </c>
      <c r="AW906" t="s">
        <v>111</v>
      </c>
      <c r="AX906" t="s">
        <v>111</v>
      </c>
      <c r="AY906" t="s">
        <v>111</v>
      </c>
      <c r="AZ906" t="s">
        <v>111</v>
      </c>
      <c r="BA906" t="s">
        <v>111</v>
      </c>
      <c r="BB906" t="s">
        <v>111</v>
      </c>
      <c r="BC906" t="s">
        <v>111</v>
      </c>
      <c r="BD906" t="s">
        <v>111</v>
      </c>
      <c r="BE906" t="s">
        <v>111</v>
      </c>
      <c r="BF906" t="s">
        <v>111</v>
      </c>
      <c r="BG906" t="s">
        <v>111</v>
      </c>
      <c r="BH906" t="s">
        <v>111</v>
      </c>
      <c r="BI906" t="s">
        <v>111</v>
      </c>
      <c r="BJ906" t="s">
        <v>111</v>
      </c>
      <c r="BK906" t="s">
        <v>111</v>
      </c>
      <c r="BL906" t="s">
        <v>111</v>
      </c>
      <c r="BM906" t="s">
        <v>111</v>
      </c>
      <c r="BN906" t="s">
        <v>111</v>
      </c>
      <c r="BO906" t="s">
        <v>111</v>
      </c>
      <c r="BP906" t="s">
        <v>111</v>
      </c>
      <c r="BQ906" t="s">
        <v>111</v>
      </c>
      <c r="BR906" t="s">
        <v>111</v>
      </c>
      <c r="BS906" t="s">
        <v>111</v>
      </c>
      <c r="BT906" t="s">
        <v>111</v>
      </c>
      <c r="BU906" t="s">
        <v>111</v>
      </c>
      <c r="BV906" t="s">
        <v>111</v>
      </c>
      <c r="BW906" t="s">
        <v>111</v>
      </c>
      <c r="BX906" t="s">
        <v>111</v>
      </c>
      <c r="BY906" t="s">
        <v>111</v>
      </c>
      <c r="BZ906" t="s">
        <v>111</v>
      </c>
      <c r="CA906" t="s">
        <v>111</v>
      </c>
      <c r="CB906" t="s">
        <v>111</v>
      </c>
      <c r="CC906" t="s">
        <v>111</v>
      </c>
      <c r="CD906" t="s">
        <v>111</v>
      </c>
      <c r="CE906" t="s">
        <v>111</v>
      </c>
      <c r="CF906" t="s">
        <v>111</v>
      </c>
      <c r="CG906" t="s">
        <v>111</v>
      </c>
      <c r="CH906" t="s">
        <v>111</v>
      </c>
      <c r="CI906" t="s">
        <v>111</v>
      </c>
      <c r="CJ906" t="s">
        <v>111</v>
      </c>
      <c r="CK906" t="s">
        <v>111</v>
      </c>
      <c r="CL906" t="s">
        <v>153</v>
      </c>
      <c r="CM906" t="s">
        <v>198</v>
      </c>
      <c r="CN906" t="s">
        <v>113</v>
      </c>
      <c r="CO906" t="s">
        <v>111</v>
      </c>
      <c r="CP906" t="s">
        <v>433</v>
      </c>
      <c r="CQ906">
        <v>0</v>
      </c>
      <c r="CR906">
        <v>0</v>
      </c>
      <c r="CS906">
        <v>0</v>
      </c>
      <c r="CT906" t="s">
        <v>168</v>
      </c>
      <c r="CU906">
        <v>0</v>
      </c>
      <c r="CV906" t="s">
        <v>111</v>
      </c>
      <c r="CW906" t="s">
        <v>111</v>
      </c>
      <c r="CX906" t="s">
        <v>111</v>
      </c>
      <c r="CY906">
        <v>0</v>
      </c>
      <c r="CZ906" t="s">
        <v>111</v>
      </c>
      <c r="DA906" t="s">
        <v>111</v>
      </c>
      <c r="DB906" t="s">
        <v>111</v>
      </c>
      <c r="DC906" t="s">
        <v>111</v>
      </c>
    </row>
    <row r="907" spans="1:107">
      <c r="A907">
        <v>529</v>
      </c>
      <c r="B907" t="s">
        <v>162</v>
      </c>
      <c r="C907" t="s">
        <v>122</v>
      </c>
      <c r="D907" t="s">
        <v>2940</v>
      </c>
      <c r="E907" t="s">
        <v>2941</v>
      </c>
      <c r="F907" t="s">
        <v>125</v>
      </c>
      <c r="G907" t="s">
        <v>416</v>
      </c>
      <c r="H907">
        <v>0.43</v>
      </c>
      <c r="I907">
        <v>61</v>
      </c>
      <c r="J907">
        <v>0</v>
      </c>
      <c r="K907">
        <v>0</v>
      </c>
      <c r="L907" t="s">
        <v>112</v>
      </c>
      <c r="M907" t="s">
        <v>138</v>
      </c>
      <c r="N907">
        <v>0</v>
      </c>
      <c r="O907">
        <v>0</v>
      </c>
      <c r="P907" t="s">
        <v>138</v>
      </c>
      <c r="Q907">
        <v>30</v>
      </c>
      <c r="R907">
        <v>0</v>
      </c>
      <c r="S907">
        <v>0</v>
      </c>
      <c r="T907">
        <v>0</v>
      </c>
      <c r="U907" s="1" t="s">
        <v>2942</v>
      </c>
      <c r="V907">
        <v>0</v>
      </c>
      <c r="W907">
        <v>0</v>
      </c>
      <c r="X907">
        <v>1</v>
      </c>
      <c r="Y907">
        <v>0</v>
      </c>
      <c r="Z907" t="s">
        <v>111</v>
      </c>
      <c r="AA907">
        <v>0</v>
      </c>
      <c r="AB907" t="s">
        <v>111</v>
      </c>
      <c r="AC907">
        <v>0</v>
      </c>
      <c r="AD907" t="s">
        <v>111</v>
      </c>
      <c r="AE907">
        <v>0</v>
      </c>
      <c r="AF907">
        <v>0</v>
      </c>
      <c r="AG907" t="s">
        <v>111</v>
      </c>
      <c r="AH907" t="s">
        <v>111</v>
      </c>
      <c r="AI907" t="s">
        <v>111</v>
      </c>
      <c r="AJ907" t="s">
        <v>111</v>
      </c>
      <c r="AK907" t="s">
        <v>111</v>
      </c>
      <c r="AL907" t="s">
        <v>111</v>
      </c>
      <c r="AM907">
        <v>0</v>
      </c>
      <c r="AN907">
        <v>0</v>
      </c>
      <c r="AO907">
        <v>0</v>
      </c>
      <c r="AP907" t="s">
        <v>111</v>
      </c>
      <c r="AQ907" t="s">
        <v>111</v>
      </c>
      <c r="AR907" t="s">
        <v>111</v>
      </c>
      <c r="AS907" t="s">
        <v>111</v>
      </c>
      <c r="AT907" t="s">
        <v>111</v>
      </c>
      <c r="AU907" t="s">
        <v>111</v>
      </c>
      <c r="AV907" t="s">
        <v>111</v>
      </c>
      <c r="AW907" t="s">
        <v>111</v>
      </c>
      <c r="AX907" t="s">
        <v>111</v>
      </c>
      <c r="AY907" t="s">
        <v>111</v>
      </c>
      <c r="AZ907" t="s">
        <v>111</v>
      </c>
      <c r="BA907" t="s">
        <v>111</v>
      </c>
      <c r="BB907" t="s">
        <v>111</v>
      </c>
      <c r="BC907" t="s">
        <v>111</v>
      </c>
      <c r="BD907" t="s">
        <v>111</v>
      </c>
      <c r="BE907" t="s">
        <v>111</v>
      </c>
      <c r="BF907" t="s">
        <v>111</v>
      </c>
      <c r="BG907" t="s">
        <v>111</v>
      </c>
      <c r="BH907" t="s">
        <v>111</v>
      </c>
      <c r="BI907" t="s">
        <v>111</v>
      </c>
      <c r="BJ907" t="s">
        <v>111</v>
      </c>
      <c r="BK907" t="s">
        <v>111</v>
      </c>
      <c r="BL907" t="s">
        <v>111</v>
      </c>
      <c r="BM907" t="s">
        <v>111</v>
      </c>
      <c r="BN907" t="s">
        <v>111</v>
      </c>
      <c r="BO907" t="s">
        <v>111</v>
      </c>
      <c r="BP907" t="s">
        <v>111</v>
      </c>
      <c r="BQ907" t="s">
        <v>111</v>
      </c>
      <c r="BR907" t="s">
        <v>111</v>
      </c>
      <c r="BS907" t="s">
        <v>111</v>
      </c>
      <c r="BT907" t="s">
        <v>111</v>
      </c>
      <c r="BU907" t="s">
        <v>111</v>
      </c>
      <c r="BV907" t="s">
        <v>111</v>
      </c>
      <c r="BW907" t="s">
        <v>111</v>
      </c>
      <c r="BX907" t="s">
        <v>111</v>
      </c>
      <c r="BY907" t="s">
        <v>111</v>
      </c>
      <c r="BZ907" t="s">
        <v>111</v>
      </c>
      <c r="CA907" t="s">
        <v>111</v>
      </c>
      <c r="CB907" t="s">
        <v>111</v>
      </c>
      <c r="CC907" t="s">
        <v>111</v>
      </c>
      <c r="CD907" t="s">
        <v>111</v>
      </c>
      <c r="CE907" t="s">
        <v>111</v>
      </c>
      <c r="CF907" t="s">
        <v>111</v>
      </c>
      <c r="CG907" t="s">
        <v>111</v>
      </c>
      <c r="CH907" t="s">
        <v>111</v>
      </c>
      <c r="CI907" t="s">
        <v>111</v>
      </c>
      <c r="CJ907" t="s">
        <v>111</v>
      </c>
      <c r="CK907" t="s">
        <v>111</v>
      </c>
      <c r="CL907" t="s">
        <v>111</v>
      </c>
      <c r="CM907" t="s">
        <v>198</v>
      </c>
      <c r="CN907" t="s">
        <v>128</v>
      </c>
      <c r="CO907" t="s">
        <v>111</v>
      </c>
      <c r="CP907" t="s">
        <v>111</v>
      </c>
      <c r="CQ907">
        <v>0</v>
      </c>
      <c r="CR907">
        <v>0</v>
      </c>
      <c r="CS907">
        <v>0</v>
      </c>
      <c r="CT907" t="s">
        <v>168</v>
      </c>
      <c r="CU907">
        <v>0</v>
      </c>
      <c r="CV907" t="s">
        <v>111</v>
      </c>
      <c r="CW907" t="s">
        <v>111</v>
      </c>
      <c r="CX907" t="s">
        <v>111</v>
      </c>
      <c r="CY907">
        <v>0</v>
      </c>
      <c r="CZ907" t="s">
        <v>111</v>
      </c>
      <c r="DA907" t="s">
        <v>111</v>
      </c>
      <c r="DB907" t="s">
        <v>111</v>
      </c>
      <c r="DC907" t="s">
        <v>111</v>
      </c>
    </row>
    <row r="908" spans="1:107">
      <c r="A908">
        <v>976</v>
      </c>
      <c r="B908" t="s">
        <v>107</v>
      </c>
      <c r="C908" t="s">
        <v>793</v>
      </c>
      <c r="D908" t="s">
        <v>2943</v>
      </c>
      <c r="E908" t="s">
        <v>2944</v>
      </c>
      <c r="F908" t="s">
        <v>2945</v>
      </c>
      <c r="G908" t="s">
        <v>416</v>
      </c>
      <c r="H908">
        <v>2</v>
      </c>
      <c r="I908">
        <v>13.8</v>
      </c>
      <c r="J908">
        <v>0</v>
      </c>
      <c r="K908">
        <v>0</v>
      </c>
      <c r="L908" t="s">
        <v>112</v>
      </c>
      <c r="M908" t="s">
        <v>118</v>
      </c>
      <c r="N908">
        <v>0</v>
      </c>
      <c r="O908">
        <v>0</v>
      </c>
      <c r="P908" t="s">
        <v>138</v>
      </c>
      <c r="Q908">
        <v>20</v>
      </c>
      <c r="R908">
        <v>0</v>
      </c>
      <c r="S908">
        <v>0</v>
      </c>
      <c r="T908">
        <v>0</v>
      </c>
      <c r="U908" t="s">
        <v>153</v>
      </c>
      <c r="V908">
        <v>0</v>
      </c>
      <c r="W908">
        <v>0</v>
      </c>
      <c r="X908">
        <v>1</v>
      </c>
      <c r="Y908">
        <v>0</v>
      </c>
      <c r="Z908" t="s">
        <v>111</v>
      </c>
      <c r="AA908">
        <v>0</v>
      </c>
      <c r="AB908" t="s">
        <v>111</v>
      </c>
      <c r="AC908">
        <v>0</v>
      </c>
      <c r="AD908" t="s">
        <v>111</v>
      </c>
      <c r="AE908">
        <v>0</v>
      </c>
      <c r="AF908">
        <v>0</v>
      </c>
      <c r="AG908" t="s">
        <v>111</v>
      </c>
      <c r="AH908" t="s">
        <v>111</v>
      </c>
      <c r="AI908" t="s">
        <v>111</v>
      </c>
      <c r="AJ908" t="s">
        <v>111</v>
      </c>
      <c r="AK908" t="s">
        <v>111</v>
      </c>
      <c r="AL908" t="s">
        <v>111</v>
      </c>
      <c r="AM908">
        <v>0</v>
      </c>
      <c r="AN908">
        <v>0</v>
      </c>
      <c r="AO908">
        <v>0</v>
      </c>
      <c r="AP908" t="s">
        <v>111</v>
      </c>
      <c r="AQ908" t="s">
        <v>111</v>
      </c>
      <c r="AR908" t="s">
        <v>111</v>
      </c>
      <c r="AS908" t="s">
        <v>111</v>
      </c>
      <c r="AT908" t="s">
        <v>111</v>
      </c>
      <c r="AU908" t="s">
        <v>111</v>
      </c>
      <c r="AV908" t="s">
        <v>111</v>
      </c>
      <c r="AW908" t="s">
        <v>111</v>
      </c>
      <c r="AX908" t="s">
        <v>111</v>
      </c>
      <c r="AY908" t="s">
        <v>111</v>
      </c>
      <c r="AZ908" t="s">
        <v>111</v>
      </c>
      <c r="BA908" t="s">
        <v>111</v>
      </c>
      <c r="BB908" t="s">
        <v>111</v>
      </c>
      <c r="BC908" t="s">
        <v>111</v>
      </c>
      <c r="BD908" t="s">
        <v>111</v>
      </c>
      <c r="BE908" t="s">
        <v>111</v>
      </c>
      <c r="BF908" t="s">
        <v>111</v>
      </c>
      <c r="BG908" t="s">
        <v>111</v>
      </c>
      <c r="BH908" t="s">
        <v>111</v>
      </c>
      <c r="BI908" t="s">
        <v>111</v>
      </c>
      <c r="BJ908" t="s">
        <v>111</v>
      </c>
      <c r="BK908" t="s">
        <v>111</v>
      </c>
      <c r="BL908" t="s">
        <v>111</v>
      </c>
      <c r="BM908" t="s">
        <v>111</v>
      </c>
      <c r="BN908" t="s">
        <v>111</v>
      </c>
      <c r="BO908" t="s">
        <v>111</v>
      </c>
      <c r="BP908" t="s">
        <v>111</v>
      </c>
      <c r="BQ908" t="s">
        <v>111</v>
      </c>
      <c r="BR908" t="s">
        <v>111</v>
      </c>
      <c r="BS908" t="s">
        <v>111</v>
      </c>
      <c r="BT908" t="s">
        <v>111</v>
      </c>
      <c r="BU908" t="s">
        <v>111</v>
      </c>
      <c r="BV908" t="s">
        <v>111</v>
      </c>
      <c r="BW908" t="s">
        <v>111</v>
      </c>
      <c r="BX908" t="s">
        <v>111</v>
      </c>
      <c r="BY908" t="s">
        <v>111</v>
      </c>
      <c r="BZ908" t="s">
        <v>111</v>
      </c>
      <c r="CA908" t="s">
        <v>111</v>
      </c>
      <c r="CB908" t="s">
        <v>111</v>
      </c>
      <c r="CC908" t="s">
        <v>111</v>
      </c>
      <c r="CD908" t="s">
        <v>111</v>
      </c>
      <c r="CE908" t="s">
        <v>111</v>
      </c>
      <c r="CF908" t="s">
        <v>111</v>
      </c>
      <c r="CG908" t="s">
        <v>111</v>
      </c>
      <c r="CH908" t="s">
        <v>111</v>
      </c>
      <c r="CI908" t="s">
        <v>111</v>
      </c>
      <c r="CJ908" t="s">
        <v>111</v>
      </c>
      <c r="CK908" t="s">
        <v>111</v>
      </c>
      <c r="CL908" t="s">
        <v>111</v>
      </c>
      <c r="CM908" t="s">
        <v>135</v>
      </c>
      <c r="CN908" t="s">
        <v>128</v>
      </c>
      <c r="CO908" t="s">
        <v>111</v>
      </c>
      <c r="CP908" t="e">
        <f>-MUESTRA</f>
        <v>#NAME?</v>
      </c>
      <c r="CQ908">
        <v>0</v>
      </c>
      <c r="CR908">
        <v>10000</v>
      </c>
      <c r="CS908">
        <v>200</v>
      </c>
      <c r="CT908" s="1" t="s">
        <v>2946</v>
      </c>
      <c r="CU908">
        <v>0</v>
      </c>
      <c r="CV908" t="s">
        <v>111</v>
      </c>
      <c r="CW908" t="s">
        <v>111</v>
      </c>
      <c r="CX908" t="s">
        <v>111</v>
      </c>
      <c r="CY908">
        <v>0</v>
      </c>
      <c r="CZ908" t="s">
        <v>111</v>
      </c>
      <c r="DA908" t="s">
        <v>111</v>
      </c>
      <c r="DB908" t="s">
        <v>111</v>
      </c>
      <c r="DC908" t="s">
        <v>111</v>
      </c>
    </row>
    <row r="909" spans="1:107">
      <c r="A909">
        <v>530</v>
      </c>
      <c r="B909" t="s">
        <v>162</v>
      </c>
      <c r="C909" t="s">
        <v>1106</v>
      </c>
      <c r="D909" t="s">
        <v>2947</v>
      </c>
      <c r="E909" t="s">
        <v>2948</v>
      </c>
      <c r="F909" t="s">
        <v>370</v>
      </c>
      <c r="G909" t="s">
        <v>416</v>
      </c>
      <c r="H909">
        <v>1.5</v>
      </c>
      <c r="I909">
        <v>74</v>
      </c>
      <c r="J909">
        <v>0</v>
      </c>
      <c r="K909">
        <v>0</v>
      </c>
      <c r="L909" t="s">
        <v>117</v>
      </c>
      <c r="M909" t="s">
        <v>118</v>
      </c>
      <c r="N909">
        <v>40</v>
      </c>
      <c r="O909">
        <v>2</v>
      </c>
      <c r="P909" t="s">
        <v>138</v>
      </c>
      <c r="Q909">
        <v>30</v>
      </c>
      <c r="R909">
        <v>0</v>
      </c>
      <c r="S909">
        <v>0</v>
      </c>
      <c r="T909">
        <v>0</v>
      </c>
      <c r="U909" t="s">
        <v>1353</v>
      </c>
      <c r="V909">
        <v>25</v>
      </c>
      <c r="W909">
        <v>0</v>
      </c>
      <c r="X909">
        <v>6</v>
      </c>
      <c r="Y909">
        <v>0</v>
      </c>
      <c r="Z909" t="s">
        <v>288</v>
      </c>
      <c r="AA909">
        <v>1.55</v>
      </c>
      <c r="AB909" t="s">
        <v>111</v>
      </c>
      <c r="AC909">
        <v>0</v>
      </c>
      <c r="AD909" t="s">
        <v>416</v>
      </c>
      <c r="AE909">
        <v>2</v>
      </c>
      <c r="AF909">
        <v>2</v>
      </c>
      <c r="AG909">
        <v>37</v>
      </c>
      <c r="AH909" t="s">
        <v>111</v>
      </c>
      <c r="AI909">
        <v>37</v>
      </c>
      <c r="AJ909" t="s">
        <v>111</v>
      </c>
      <c r="AK909" t="s">
        <v>111</v>
      </c>
      <c r="AL909" t="s">
        <v>111</v>
      </c>
      <c r="AM909">
        <v>0</v>
      </c>
      <c r="AN909">
        <v>0</v>
      </c>
      <c r="AO909">
        <v>0</v>
      </c>
      <c r="AP909" t="s">
        <v>2949</v>
      </c>
      <c r="AQ909" t="s">
        <v>111</v>
      </c>
      <c r="AR909" t="s">
        <v>111</v>
      </c>
      <c r="AS909" t="s">
        <v>111</v>
      </c>
      <c r="AT909" t="s">
        <v>147</v>
      </c>
      <c r="AU909" t="s">
        <v>111</v>
      </c>
      <c r="AV909" t="s">
        <v>111</v>
      </c>
      <c r="AW909" t="s">
        <v>111</v>
      </c>
      <c r="AX909" t="s">
        <v>111</v>
      </c>
      <c r="AY909" t="s">
        <v>111</v>
      </c>
      <c r="AZ909" t="s">
        <v>111</v>
      </c>
      <c r="BA909" t="s">
        <v>111</v>
      </c>
      <c r="BB909" t="s">
        <v>111</v>
      </c>
      <c r="BC909" t="s">
        <v>111</v>
      </c>
      <c r="BD909" t="s">
        <v>111</v>
      </c>
      <c r="BE909" t="s">
        <v>111</v>
      </c>
      <c r="BF909" t="s">
        <v>111</v>
      </c>
      <c r="BG909" t="s">
        <v>111</v>
      </c>
      <c r="BH909" t="s">
        <v>111</v>
      </c>
      <c r="BI909" t="s">
        <v>111</v>
      </c>
      <c r="BJ909" t="s">
        <v>111</v>
      </c>
      <c r="BK909" t="s">
        <v>111</v>
      </c>
      <c r="BL909" t="s">
        <v>111</v>
      </c>
      <c r="BM909" t="s">
        <v>111</v>
      </c>
      <c r="BN909" t="s">
        <v>111</v>
      </c>
      <c r="BO909" t="s">
        <v>111</v>
      </c>
      <c r="BP909" t="s">
        <v>111</v>
      </c>
      <c r="BQ909" t="s">
        <v>111</v>
      </c>
      <c r="BR909" t="s">
        <v>111</v>
      </c>
      <c r="BS909" t="s">
        <v>111</v>
      </c>
      <c r="BT909" t="s">
        <v>111</v>
      </c>
      <c r="BU909" t="s">
        <v>111</v>
      </c>
      <c r="BV909" t="s">
        <v>111</v>
      </c>
      <c r="BW909" t="s">
        <v>111</v>
      </c>
      <c r="BX909" t="s">
        <v>111</v>
      </c>
      <c r="BY909" t="s">
        <v>111</v>
      </c>
      <c r="BZ909" t="s">
        <v>111</v>
      </c>
      <c r="CA909" t="s">
        <v>111</v>
      </c>
      <c r="CB909" t="s">
        <v>111</v>
      </c>
      <c r="CC909" t="s">
        <v>111</v>
      </c>
      <c r="CD909" t="s">
        <v>111</v>
      </c>
      <c r="CE909" t="s">
        <v>111</v>
      </c>
      <c r="CF909" t="s">
        <v>111</v>
      </c>
      <c r="CG909" t="s">
        <v>111</v>
      </c>
      <c r="CH909" t="s">
        <v>111</v>
      </c>
      <c r="CI909" t="s">
        <v>111</v>
      </c>
      <c r="CJ909" t="s">
        <v>111</v>
      </c>
      <c r="CK909" t="s">
        <v>111</v>
      </c>
      <c r="CL909" t="s">
        <v>153</v>
      </c>
      <c r="CM909" t="s">
        <v>198</v>
      </c>
      <c r="CN909" t="s">
        <v>113</v>
      </c>
      <c r="CO909" t="s">
        <v>1348</v>
      </c>
      <c r="CP909" t="s">
        <v>433</v>
      </c>
      <c r="CQ909">
        <v>0</v>
      </c>
      <c r="CR909">
        <v>0</v>
      </c>
      <c r="CS909">
        <v>0</v>
      </c>
      <c r="CT909" t="s">
        <v>2850</v>
      </c>
      <c r="CU909">
        <v>0</v>
      </c>
      <c r="CV909" t="s">
        <v>111</v>
      </c>
      <c r="CW909" t="s">
        <v>111</v>
      </c>
      <c r="CX909" t="s">
        <v>111</v>
      </c>
      <c r="CY909">
        <v>0</v>
      </c>
      <c r="CZ909" t="s">
        <v>111</v>
      </c>
      <c r="DA909" t="s">
        <v>111</v>
      </c>
      <c r="DB909" t="s">
        <v>204</v>
      </c>
      <c r="DC909" s="1" t="s">
        <v>1350</v>
      </c>
    </row>
    <row r="910" spans="1:107">
      <c r="A910">
        <v>401</v>
      </c>
      <c r="B910" t="s">
        <v>162</v>
      </c>
      <c r="C910" s="2">
        <v>96124931</v>
      </c>
      <c r="D910" t="s">
        <v>2950</v>
      </c>
      <c r="E910" t="s">
        <v>2951</v>
      </c>
      <c r="F910" t="s">
        <v>2870</v>
      </c>
      <c r="G910" t="s">
        <v>416</v>
      </c>
      <c r="H910">
        <v>2.5</v>
      </c>
      <c r="I910">
        <v>10</v>
      </c>
      <c r="J910">
        <v>0</v>
      </c>
      <c r="K910">
        <v>0</v>
      </c>
      <c r="L910" t="s">
        <v>112</v>
      </c>
      <c r="M910" t="s">
        <v>118</v>
      </c>
      <c r="N910">
        <v>40</v>
      </c>
      <c r="O910">
        <v>2</v>
      </c>
      <c r="P910" t="s">
        <v>138</v>
      </c>
      <c r="Q910">
        <v>20</v>
      </c>
      <c r="R910">
        <v>0</v>
      </c>
      <c r="S910">
        <v>0</v>
      </c>
      <c r="T910">
        <v>0</v>
      </c>
      <c r="U910" t="s">
        <v>1353</v>
      </c>
      <c r="V910">
        <v>0</v>
      </c>
      <c r="W910">
        <v>25</v>
      </c>
      <c r="X910">
        <v>8</v>
      </c>
      <c r="Y910">
        <v>0</v>
      </c>
      <c r="Z910" t="s">
        <v>111</v>
      </c>
      <c r="AA910">
        <v>0</v>
      </c>
      <c r="AB910" t="s">
        <v>111</v>
      </c>
      <c r="AC910">
        <v>0</v>
      </c>
      <c r="AD910" t="s">
        <v>416</v>
      </c>
      <c r="AE910">
        <v>5</v>
      </c>
      <c r="AF910">
        <v>1</v>
      </c>
      <c r="AG910">
        <v>15</v>
      </c>
      <c r="AH910" t="s">
        <v>111</v>
      </c>
      <c r="AI910">
        <v>30</v>
      </c>
      <c r="AJ910" t="s">
        <v>111</v>
      </c>
      <c r="AK910" t="s">
        <v>111</v>
      </c>
      <c r="AL910" t="s">
        <v>111</v>
      </c>
      <c r="AM910">
        <v>0</v>
      </c>
      <c r="AN910">
        <v>0</v>
      </c>
      <c r="AO910">
        <v>0</v>
      </c>
      <c r="AP910" t="s">
        <v>772</v>
      </c>
      <c r="AQ910" t="s">
        <v>111</v>
      </c>
      <c r="AR910" t="s">
        <v>111</v>
      </c>
      <c r="AS910" t="s">
        <v>111</v>
      </c>
      <c r="AT910" t="s">
        <v>147</v>
      </c>
      <c r="AU910" t="s">
        <v>111</v>
      </c>
      <c r="AV910" t="s">
        <v>111</v>
      </c>
      <c r="AW910" t="s">
        <v>111</v>
      </c>
      <c r="AX910" t="s">
        <v>259</v>
      </c>
      <c r="AY910" t="s">
        <v>111</v>
      </c>
      <c r="AZ910" t="s">
        <v>111</v>
      </c>
      <c r="BA910" t="s">
        <v>111</v>
      </c>
      <c r="BB910" t="s">
        <v>184</v>
      </c>
      <c r="BC910" t="s">
        <v>111</v>
      </c>
      <c r="BD910" t="s">
        <v>111</v>
      </c>
      <c r="BE910" t="s">
        <v>111</v>
      </c>
      <c r="BF910" t="s">
        <v>288</v>
      </c>
      <c r="BG910" t="s">
        <v>111</v>
      </c>
      <c r="BH910" t="s">
        <v>111</v>
      </c>
      <c r="BI910" t="s">
        <v>111</v>
      </c>
      <c r="BJ910" t="s">
        <v>111</v>
      </c>
      <c r="BK910" t="s">
        <v>111</v>
      </c>
      <c r="BL910" t="s">
        <v>111</v>
      </c>
      <c r="BM910" t="s">
        <v>111</v>
      </c>
      <c r="BN910" t="s">
        <v>111</v>
      </c>
      <c r="BO910" t="s">
        <v>111</v>
      </c>
      <c r="BP910" t="s">
        <v>111</v>
      </c>
      <c r="BQ910" t="s">
        <v>111</v>
      </c>
      <c r="BR910" t="s">
        <v>111</v>
      </c>
      <c r="BS910" t="s">
        <v>111</v>
      </c>
      <c r="BT910" t="s">
        <v>111</v>
      </c>
      <c r="BU910" t="s">
        <v>111</v>
      </c>
      <c r="BV910" t="s">
        <v>111</v>
      </c>
      <c r="BW910" t="s">
        <v>111</v>
      </c>
      <c r="BX910" t="s">
        <v>111</v>
      </c>
      <c r="BY910" t="s">
        <v>111</v>
      </c>
      <c r="BZ910" t="s">
        <v>111</v>
      </c>
      <c r="CA910" t="s">
        <v>111</v>
      </c>
      <c r="CB910" t="s">
        <v>111</v>
      </c>
      <c r="CC910" t="s">
        <v>111</v>
      </c>
      <c r="CD910" t="s">
        <v>111</v>
      </c>
      <c r="CE910" t="s">
        <v>111</v>
      </c>
      <c r="CF910" t="s">
        <v>111</v>
      </c>
      <c r="CG910" t="s">
        <v>111</v>
      </c>
      <c r="CH910" t="s">
        <v>111</v>
      </c>
      <c r="CI910" t="s">
        <v>111</v>
      </c>
      <c r="CJ910" t="s">
        <v>111</v>
      </c>
      <c r="CK910" t="s">
        <v>111</v>
      </c>
      <c r="CL910" t="s">
        <v>168</v>
      </c>
      <c r="CM910" t="s">
        <v>111</v>
      </c>
      <c r="CN910" t="s">
        <v>111</v>
      </c>
      <c r="CO910" t="s">
        <v>111</v>
      </c>
      <c r="CP910" t="s">
        <v>111</v>
      </c>
      <c r="CQ910">
        <v>0</v>
      </c>
      <c r="CR910">
        <v>0</v>
      </c>
      <c r="CS910">
        <v>0</v>
      </c>
      <c r="CT910" t="s">
        <v>111</v>
      </c>
      <c r="CU910">
        <v>0</v>
      </c>
      <c r="CV910" t="s">
        <v>111</v>
      </c>
      <c r="CW910" t="s">
        <v>111</v>
      </c>
      <c r="CX910" t="s">
        <v>111</v>
      </c>
      <c r="CY910">
        <v>0</v>
      </c>
      <c r="CZ910" t="s">
        <v>111</v>
      </c>
      <c r="DA910" t="s">
        <v>111</v>
      </c>
      <c r="DB910" t="s">
        <v>111</v>
      </c>
      <c r="DC910" t="s">
        <v>111</v>
      </c>
    </row>
    <row r="911" spans="1:107">
      <c r="A911">
        <v>210</v>
      </c>
      <c r="B911" t="s">
        <v>162</v>
      </c>
      <c r="C911" t="s">
        <v>2952</v>
      </c>
      <c r="D911" t="s">
        <v>2953</v>
      </c>
      <c r="E911" t="s">
        <v>2954</v>
      </c>
      <c r="F911" t="s">
        <v>431</v>
      </c>
      <c r="G911" t="s">
        <v>416</v>
      </c>
      <c r="H911">
        <v>1.1000000000000001</v>
      </c>
      <c r="I911">
        <v>44.5</v>
      </c>
      <c r="J911">
        <v>0</v>
      </c>
      <c r="K911">
        <v>0</v>
      </c>
      <c r="L911" t="s">
        <v>178</v>
      </c>
      <c r="M911" t="s">
        <v>118</v>
      </c>
      <c r="N911">
        <v>40</v>
      </c>
      <c r="O911">
        <v>2</v>
      </c>
      <c r="P911" t="s">
        <v>138</v>
      </c>
      <c r="Q911">
        <v>40</v>
      </c>
      <c r="R911">
        <v>0</v>
      </c>
      <c r="S911">
        <v>0</v>
      </c>
      <c r="T911">
        <v>0</v>
      </c>
      <c r="U911" t="s">
        <v>1353</v>
      </c>
      <c r="V911">
        <v>0</v>
      </c>
      <c r="W911">
        <v>25</v>
      </c>
      <c r="X911">
        <v>8</v>
      </c>
      <c r="Y911">
        <v>0</v>
      </c>
      <c r="Z911" t="s">
        <v>111</v>
      </c>
      <c r="AA911">
        <v>0</v>
      </c>
      <c r="AB911" t="s">
        <v>111</v>
      </c>
      <c r="AC911">
        <v>0</v>
      </c>
      <c r="AD911" t="s">
        <v>416</v>
      </c>
      <c r="AE911">
        <v>1</v>
      </c>
      <c r="AF911">
        <v>1</v>
      </c>
      <c r="AG911">
        <v>32</v>
      </c>
      <c r="AH911" t="s">
        <v>111</v>
      </c>
      <c r="AI911">
        <v>32</v>
      </c>
      <c r="AJ911" t="s">
        <v>111</v>
      </c>
      <c r="AK911" t="s">
        <v>111</v>
      </c>
      <c r="AL911" t="s">
        <v>111</v>
      </c>
      <c r="AM911">
        <v>0</v>
      </c>
      <c r="AN911">
        <v>0</v>
      </c>
      <c r="AO911">
        <v>0</v>
      </c>
      <c r="AP911" t="s">
        <v>111</v>
      </c>
      <c r="AQ911" t="s">
        <v>111</v>
      </c>
      <c r="AR911" t="s">
        <v>111</v>
      </c>
      <c r="AS911" t="s">
        <v>111</v>
      </c>
      <c r="AT911" t="s">
        <v>111</v>
      </c>
      <c r="AU911" t="s">
        <v>111</v>
      </c>
      <c r="AV911" t="s">
        <v>111</v>
      </c>
      <c r="AW911" t="s">
        <v>111</v>
      </c>
      <c r="AX911" t="s">
        <v>111</v>
      </c>
      <c r="AY911" t="s">
        <v>111</v>
      </c>
      <c r="AZ911" t="s">
        <v>111</v>
      </c>
      <c r="BA911" t="s">
        <v>111</v>
      </c>
      <c r="BB911" t="s">
        <v>111</v>
      </c>
      <c r="BC911" t="s">
        <v>111</v>
      </c>
      <c r="BD911" t="s">
        <v>111</v>
      </c>
      <c r="BE911" t="s">
        <v>111</v>
      </c>
      <c r="BF911" t="s">
        <v>111</v>
      </c>
      <c r="BG911" t="s">
        <v>111</v>
      </c>
      <c r="BH911" t="s">
        <v>111</v>
      </c>
      <c r="BI911" t="s">
        <v>111</v>
      </c>
      <c r="BJ911" t="s">
        <v>111</v>
      </c>
      <c r="BK911" t="s">
        <v>111</v>
      </c>
      <c r="BL911" t="s">
        <v>111</v>
      </c>
      <c r="BM911" t="s">
        <v>111</v>
      </c>
      <c r="BN911" t="s">
        <v>111</v>
      </c>
      <c r="BO911" t="s">
        <v>111</v>
      </c>
      <c r="BP911" t="s">
        <v>111</v>
      </c>
      <c r="BQ911" t="s">
        <v>111</v>
      </c>
      <c r="BR911" t="s">
        <v>111</v>
      </c>
      <c r="BS911" t="s">
        <v>111</v>
      </c>
      <c r="BT911" t="s">
        <v>111</v>
      </c>
      <c r="BU911" t="s">
        <v>111</v>
      </c>
      <c r="BV911" t="s">
        <v>111</v>
      </c>
      <c r="BW911" t="s">
        <v>111</v>
      </c>
      <c r="BX911" t="s">
        <v>111</v>
      </c>
      <c r="BY911" t="s">
        <v>111</v>
      </c>
      <c r="BZ911" t="s">
        <v>111</v>
      </c>
      <c r="CA911" t="s">
        <v>111</v>
      </c>
      <c r="CB911" t="s">
        <v>111</v>
      </c>
      <c r="CC911" t="s">
        <v>111</v>
      </c>
      <c r="CD911" t="s">
        <v>111</v>
      </c>
      <c r="CE911" t="s">
        <v>111</v>
      </c>
      <c r="CF911" t="s">
        <v>111</v>
      </c>
      <c r="CG911" t="s">
        <v>111</v>
      </c>
      <c r="CH911" t="s">
        <v>111</v>
      </c>
      <c r="CI911" t="s">
        <v>111</v>
      </c>
      <c r="CJ911" t="s">
        <v>111</v>
      </c>
      <c r="CK911" t="s">
        <v>111</v>
      </c>
      <c r="CL911" t="s">
        <v>153</v>
      </c>
      <c r="CM911" t="s">
        <v>198</v>
      </c>
      <c r="CN911" t="s">
        <v>113</v>
      </c>
      <c r="CO911" t="s">
        <v>111</v>
      </c>
      <c r="CP911" t="s">
        <v>433</v>
      </c>
      <c r="CQ911">
        <v>0</v>
      </c>
      <c r="CR911">
        <v>0</v>
      </c>
      <c r="CS911">
        <v>0</v>
      </c>
      <c r="CT911" t="s">
        <v>168</v>
      </c>
      <c r="CU911">
        <v>0</v>
      </c>
      <c r="CV911" t="s">
        <v>111</v>
      </c>
      <c r="CW911" t="s">
        <v>111</v>
      </c>
      <c r="CX911" t="s">
        <v>111</v>
      </c>
      <c r="CY911">
        <v>0</v>
      </c>
      <c r="CZ911" t="s">
        <v>111</v>
      </c>
      <c r="DA911" t="s">
        <v>111</v>
      </c>
      <c r="DB911" t="s">
        <v>111</v>
      </c>
      <c r="DC911" t="s">
        <v>111</v>
      </c>
    </row>
    <row r="912" spans="1:107">
      <c r="A912">
        <v>532</v>
      </c>
      <c r="B912" t="s">
        <v>162</v>
      </c>
      <c r="C912" t="s">
        <v>267</v>
      </c>
      <c r="D912" t="s">
        <v>2955</v>
      </c>
      <c r="E912" t="s">
        <v>2956</v>
      </c>
      <c r="F912" t="s">
        <v>125</v>
      </c>
      <c r="G912" t="s">
        <v>416</v>
      </c>
      <c r="H912">
        <v>1</v>
      </c>
      <c r="I912">
        <v>55</v>
      </c>
      <c r="J912">
        <v>0</v>
      </c>
      <c r="K912">
        <v>0</v>
      </c>
      <c r="L912" t="s">
        <v>112</v>
      </c>
      <c r="M912" t="s">
        <v>138</v>
      </c>
      <c r="N912">
        <v>0</v>
      </c>
      <c r="O912">
        <v>0</v>
      </c>
      <c r="P912" t="s">
        <v>138</v>
      </c>
      <c r="Q912">
        <v>35</v>
      </c>
      <c r="R912">
        <v>0</v>
      </c>
      <c r="S912">
        <v>0</v>
      </c>
      <c r="T912">
        <v>0</v>
      </c>
      <c r="U912" s="1" t="s">
        <v>2957</v>
      </c>
      <c r="V912">
        <v>25</v>
      </c>
      <c r="W912">
        <v>0</v>
      </c>
      <c r="X912">
        <v>6</v>
      </c>
      <c r="Y912">
        <v>0</v>
      </c>
      <c r="Z912" t="s">
        <v>111</v>
      </c>
      <c r="AA912">
        <v>0</v>
      </c>
      <c r="AB912" t="s">
        <v>111</v>
      </c>
      <c r="AC912">
        <v>0</v>
      </c>
      <c r="AD912" t="s">
        <v>111</v>
      </c>
      <c r="AE912">
        <v>0</v>
      </c>
      <c r="AF912">
        <v>0</v>
      </c>
      <c r="AG912" t="s">
        <v>111</v>
      </c>
      <c r="AH912" t="s">
        <v>111</v>
      </c>
      <c r="AI912" t="s">
        <v>111</v>
      </c>
      <c r="AJ912" t="s">
        <v>111</v>
      </c>
      <c r="AK912" t="s">
        <v>111</v>
      </c>
      <c r="AL912" t="s">
        <v>111</v>
      </c>
      <c r="AM912">
        <v>0</v>
      </c>
      <c r="AN912">
        <v>0</v>
      </c>
      <c r="AO912">
        <v>0</v>
      </c>
      <c r="AP912" t="s">
        <v>111</v>
      </c>
      <c r="AQ912" t="s">
        <v>111</v>
      </c>
      <c r="AR912" t="s">
        <v>111</v>
      </c>
      <c r="AS912" t="s">
        <v>111</v>
      </c>
      <c r="AT912" t="s">
        <v>111</v>
      </c>
      <c r="AU912" t="s">
        <v>111</v>
      </c>
      <c r="AV912" t="s">
        <v>111</v>
      </c>
      <c r="AW912" t="s">
        <v>111</v>
      </c>
      <c r="AX912" t="s">
        <v>111</v>
      </c>
      <c r="AY912" t="s">
        <v>111</v>
      </c>
      <c r="AZ912" t="s">
        <v>111</v>
      </c>
      <c r="BA912" t="s">
        <v>111</v>
      </c>
      <c r="BB912" t="s">
        <v>111</v>
      </c>
      <c r="BC912" t="s">
        <v>111</v>
      </c>
      <c r="BD912" t="s">
        <v>111</v>
      </c>
      <c r="BE912" t="s">
        <v>111</v>
      </c>
      <c r="BF912" t="s">
        <v>111</v>
      </c>
      <c r="BG912" t="s">
        <v>111</v>
      </c>
      <c r="BH912" t="s">
        <v>111</v>
      </c>
      <c r="BI912" t="s">
        <v>111</v>
      </c>
      <c r="BJ912" t="s">
        <v>111</v>
      </c>
      <c r="BK912" t="s">
        <v>111</v>
      </c>
      <c r="BL912" t="s">
        <v>111</v>
      </c>
      <c r="BM912" t="s">
        <v>111</v>
      </c>
      <c r="BN912" t="s">
        <v>111</v>
      </c>
      <c r="BO912" t="s">
        <v>111</v>
      </c>
      <c r="BP912" t="s">
        <v>111</v>
      </c>
      <c r="BQ912" t="s">
        <v>111</v>
      </c>
      <c r="BR912" t="s">
        <v>111</v>
      </c>
      <c r="BS912" t="s">
        <v>111</v>
      </c>
      <c r="BT912" t="s">
        <v>111</v>
      </c>
      <c r="BU912" t="s">
        <v>111</v>
      </c>
      <c r="BV912" t="s">
        <v>111</v>
      </c>
      <c r="BW912" t="s">
        <v>111</v>
      </c>
      <c r="BX912" t="s">
        <v>111</v>
      </c>
      <c r="BY912" t="s">
        <v>111</v>
      </c>
      <c r="BZ912" t="s">
        <v>111</v>
      </c>
      <c r="CA912" t="s">
        <v>111</v>
      </c>
      <c r="CB912" t="s">
        <v>111</v>
      </c>
      <c r="CC912" t="s">
        <v>111</v>
      </c>
      <c r="CD912" t="s">
        <v>111</v>
      </c>
      <c r="CE912" t="s">
        <v>111</v>
      </c>
      <c r="CF912" t="s">
        <v>111</v>
      </c>
      <c r="CG912" t="s">
        <v>111</v>
      </c>
      <c r="CH912" t="s">
        <v>111</v>
      </c>
      <c r="CI912" t="s">
        <v>111</v>
      </c>
      <c r="CJ912" t="s">
        <v>111</v>
      </c>
      <c r="CK912" t="s">
        <v>111</v>
      </c>
      <c r="CL912" t="s">
        <v>111</v>
      </c>
      <c r="CM912" t="s">
        <v>198</v>
      </c>
      <c r="CN912" t="s">
        <v>113</v>
      </c>
      <c r="CO912" t="s">
        <v>111</v>
      </c>
      <c r="CP912" t="s">
        <v>111</v>
      </c>
      <c r="CQ912">
        <v>0</v>
      </c>
      <c r="CR912">
        <v>0</v>
      </c>
      <c r="CS912">
        <v>0</v>
      </c>
      <c r="CT912" t="s">
        <v>168</v>
      </c>
      <c r="CU912">
        <v>0</v>
      </c>
      <c r="CV912" t="s">
        <v>111</v>
      </c>
      <c r="CW912" t="s">
        <v>111</v>
      </c>
      <c r="CX912" t="s">
        <v>111</v>
      </c>
      <c r="CY912">
        <v>0</v>
      </c>
      <c r="CZ912" t="s">
        <v>111</v>
      </c>
      <c r="DA912" t="s">
        <v>111</v>
      </c>
      <c r="DB912" t="s">
        <v>111</v>
      </c>
      <c r="DC912" t="s">
        <v>111</v>
      </c>
    </row>
    <row r="913" spans="1:107">
      <c r="A913">
        <v>379</v>
      </c>
      <c r="B913" t="s">
        <v>162</v>
      </c>
      <c r="C913" t="s">
        <v>2841</v>
      </c>
      <c r="D913" t="s">
        <v>2958</v>
      </c>
      <c r="E913" t="s">
        <v>2959</v>
      </c>
      <c r="F913" t="s">
        <v>2602</v>
      </c>
      <c r="G913" t="s">
        <v>416</v>
      </c>
      <c r="H913">
        <v>0.85</v>
      </c>
      <c r="I913">
        <v>30</v>
      </c>
      <c r="J913">
        <v>6</v>
      </c>
      <c r="K913">
        <v>6</v>
      </c>
      <c r="L913" t="s">
        <v>112</v>
      </c>
      <c r="M913" t="s">
        <v>118</v>
      </c>
      <c r="N913">
        <v>40</v>
      </c>
      <c r="O913">
        <v>2</v>
      </c>
      <c r="P913" t="s">
        <v>138</v>
      </c>
      <c r="Q913">
        <v>40</v>
      </c>
      <c r="R913">
        <v>0</v>
      </c>
      <c r="S913">
        <v>0</v>
      </c>
      <c r="T913">
        <v>0</v>
      </c>
      <c r="U913" s="1" t="s">
        <v>2844</v>
      </c>
      <c r="V913">
        <v>25</v>
      </c>
      <c r="W913">
        <v>0</v>
      </c>
      <c r="X913">
        <v>6</v>
      </c>
      <c r="Y913">
        <v>0</v>
      </c>
      <c r="Z913" t="s">
        <v>679</v>
      </c>
      <c r="AA913">
        <v>0.5</v>
      </c>
      <c r="AB913" t="s">
        <v>111</v>
      </c>
      <c r="AC913">
        <v>0</v>
      </c>
      <c r="AD913" t="s">
        <v>416</v>
      </c>
      <c r="AE913">
        <v>2</v>
      </c>
      <c r="AF913">
        <v>2</v>
      </c>
      <c r="AG913">
        <v>50</v>
      </c>
      <c r="AH913" t="s">
        <v>111</v>
      </c>
      <c r="AI913" t="s">
        <v>111</v>
      </c>
      <c r="AJ913" t="s">
        <v>111</v>
      </c>
      <c r="AK913" t="s">
        <v>111</v>
      </c>
      <c r="AL913" t="s">
        <v>111</v>
      </c>
      <c r="AM913">
        <v>0</v>
      </c>
      <c r="AN913">
        <v>0</v>
      </c>
      <c r="AO913">
        <v>0</v>
      </c>
      <c r="AP913" t="s">
        <v>1924</v>
      </c>
      <c r="AQ913" t="s">
        <v>111</v>
      </c>
      <c r="AR913" t="s">
        <v>111</v>
      </c>
      <c r="AS913" t="s">
        <v>111</v>
      </c>
      <c r="AT913" t="s">
        <v>772</v>
      </c>
      <c r="AU913" t="s">
        <v>111</v>
      </c>
      <c r="AV913" t="s">
        <v>111</v>
      </c>
      <c r="AW913" t="s">
        <v>111</v>
      </c>
      <c r="AX913" t="s">
        <v>111</v>
      </c>
      <c r="AY913" t="s">
        <v>111</v>
      </c>
      <c r="AZ913" t="s">
        <v>111</v>
      </c>
      <c r="BA913" t="s">
        <v>111</v>
      </c>
      <c r="BB913" t="s">
        <v>111</v>
      </c>
      <c r="BC913" t="s">
        <v>111</v>
      </c>
      <c r="BD913" t="s">
        <v>111</v>
      </c>
      <c r="BE913" t="s">
        <v>111</v>
      </c>
      <c r="BF913" t="s">
        <v>111</v>
      </c>
      <c r="BG913" t="s">
        <v>111</v>
      </c>
      <c r="BH913" t="s">
        <v>111</v>
      </c>
      <c r="BI913" t="s">
        <v>111</v>
      </c>
      <c r="BJ913" t="s">
        <v>111</v>
      </c>
      <c r="BK913" t="s">
        <v>111</v>
      </c>
      <c r="BL913" t="s">
        <v>111</v>
      </c>
      <c r="BM913" t="s">
        <v>111</v>
      </c>
      <c r="BN913" t="s">
        <v>111</v>
      </c>
      <c r="BO913" t="s">
        <v>111</v>
      </c>
      <c r="BP913" t="s">
        <v>111</v>
      </c>
      <c r="BQ913" t="s">
        <v>111</v>
      </c>
      <c r="BR913" t="s">
        <v>111</v>
      </c>
      <c r="BS913" t="s">
        <v>111</v>
      </c>
      <c r="BT913" t="s">
        <v>111</v>
      </c>
      <c r="BU913" t="s">
        <v>111</v>
      </c>
      <c r="BV913" t="s">
        <v>111</v>
      </c>
      <c r="BW913" t="s">
        <v>111</v>
      </c>
      <c r="BX913" t="s">
        <v>111</v>
      </c>
      <c r="BY913" t="s">
        <v>111</v>
      </c>
      <c r="BZ913" t="s">
        <v>111</v>
      </c>
      <c r="CA913" t="s">
        <v>111</v>
      </c>
      <c r="CB913" t="s">
        <v>111</v>
      </c>
      <c r="CC913" t="s">
        <v>111</v>
      </c>
      <c r="CD913" t="s">
        <v>111</v>
      </c>
      <c r="CE913" t="s">
        <v>111</v>
      </c>
      <c r="CF913" t="s">
        <v>111</v>
      </c>
      <c r="CG913" t="s">
        <v>111</v>
      </c>
      <c r="CH913" t="s">
        <v>111</v>
      </c>
      <c r="CI913" t="s">
        <v>111</v>
      </c>
      <c r="CJ913" t="s">
        <v>111</v>
      </c>
      <c r="CK913" t="s">
        <v>111</v>
      </c>
      <c r="CL913" t="s">
        <v>153</v>
      </c>
      <c r="CM913" t="s">
        <v>198</v>
      </c>
      <c r="CN913" t="s">
        <v>128</v>
      </c>
      <c r="CO913" t="s">
        <v>974</v>
      </c>
      <c r="CP913" t="s">
        <v>433</v>
      </c>
      <c r="CQ913">
        <v>0</v>
      </c>
      <c r="CR913">
        <v>0</v>
      </c>
      <c r="CS913">
        <v>0</v>
      </c>
      <c r="CT913" t="s">
        <v>2850</v>
      </c>
      <c r="CU913">
        <v>0</v>
      </c>
      <c r="CV913" t="s">
        <v>111</v>
      </c>
      <c r="CW913" t="s">
        <v>111</v>
      </c>
      <c r="CX913" t="s">
        <v>111</v>
      </c>
      <c r="CY913">
        <v>0</v>
      </c>
      <c r="CZ913" t="s">
        <v>111</v>
      </c>
      <c r="DA913" t="s">
        <v>111</v>
      </c>
      <c r="DB913" t="s">
        <v>204</v>
      </c>
      <c r="DC913" s="1" t="s">
        <v>1363</v>
      </c>
    </row>
    <row r="914" spans="1:107">
      <c r="A914">
        <v>2048</v>
      </c>
      <c r="B914" t="s">
        <v>376</v>
      </c>
      <c r="C914" t="s">
        <v>412</v>
      </c>
      <c r="D914" t="s">
        <v>2261</v>
      </c>
      <c r="E914" t="s">
        <v>2960</v>
      </c>
      <c r="F914" t="s">
        <v>431</v>
      </c>
      <c r="G914" t="s">
        <v>416</v>
      </c>
      <c r="H914">
        <v>1.4</v>
      </c>
      <c r="I914">
        <v>52</v>
      </c>
      <c r="J914">
        <v>0</v>
      </c>
      <c r="K914">
        <v>0</v>
      </c>
      <c r="L914" t="s">
        <v>111</v>
      </c>
      <c r="M914" t="s">
        <v>111</v>
      </c>
      <c r="N914">
        <v>39</v>
      </c>
      <c r="O914">
        <v>1</v>
      </c>
      <c r="P914" t="s">
        <v>111</v>
      </c>
      <c r="Q914">
        <v>40</v>
      </c>
      <c r="R914">
        <v>0</v>
      </c>
      <c r="S914">
        <v>0</v>
      </c>
      <c r="T914">
        <v>5</v>
      </c>
      <c r="U914" s="1" t="s">
        <v>2746</v>
      </c>
      <c r="V914">
        <v>0</v>
      </c>
      <c r="W914">
        <v>25</v>
      </c>
      <c r="X914">
        <v>8</v>
      </c>
      <c r="Y914">
        <v>0</v>
      </c>
      <c r="Z914" t="s">
        <v>111</v>
      </c>
      <c r="AA914">
        <v>0</v>
      </c>
      <c r="AB914" t="s">
        <v>111</v>
      </c>
      <c r="AC914">
        <v>0</v>
      </c>
      <c r="AD914" t="s">
        <v>416</v>
      </c>
      <c r="AE914">
        <v>0</v>
      </c>
      <c r="AF914">
        <v>0</v>
      </c>
      <c r="AG914" t="s">
        <v>111</v>
      </c>
      <c r="AH914" t="s">
        <v>111</v>
      </c>
      <c r="AI914" t="s">
        <v>111</v>
      </c>
      <c r="AJ914" t="s">
        <v>111</v>
      </c>
      <c r="AK914" t="s">
        <v>111</v>
      </c>
      <c r="AL914" t="s">
        <v>111</v>
      </c>
      <c r="AM914">
        <v>0</v>
      </c>
      <c r="AN914">
        <v>0</v>
      </c>
      <c r="AO914">
        <v>0</v>
      </c>
      <c r="AP914" t="s">
        <v>111</v>
      </c>
      <c r="AQ914" t="s">
        <v>111</v>
      </c>
      <c r="AR914" t="s">
        <v>111</v>
      </c>
      <c r="AS914" t="s">
        <v>111</v>
      </c>
      <c r="AT914" t="s">
        <v>111</v>
      </c>
      <c r="AU914" t="s">
        <v>111</v>
      </c>
      <c r="AV914" t="s">
        <v>111</v>
      </c>
      <c r="AW914" t="s">
        <v>111</v>
      </c>
      <c r="AX914" t="s">
        <v>111</v>
      </c>
      <c r="AY914" t="s">
        <v>111</v>
      </c>
      <c r="AZ914" t="s">
        <v>111</v>
      </c>
      <c r="BA914" t="s">
        <v>111</v>
      </c>
      <c r="BB914" t="s">
        <v>111</v>
      </c>
      <c r="BC914" t="s">
        <v>111</v>
      </c>
      <c r="BD914" t="s">
        <v>111</v>
      </c>
      <c r="BE914" t="s">
        <v>111</v>
      </c>
      <c r="BF914" t="s">
        <v>111</v>
      </c>
      <c r="BG914" t="s">
        <v>111</v>
      </c>
      <c r="BH914" t="s">
        <v>111</v>
      </c>
      <c r="BI914" t="s">
        <v>111</v>
      </c>
      <c r="BJ914" t="s">
        <v>111</v>
      </c>
      <c r="BK914" t="s">
        <v>111</v>
      </c>
      <c r="BL914" t="s">
        <v>111</v>
      </c>
      <c r="BM914" t="s">
        <v>111</v>
      </c>
      <c r="BN914" t="s">
        <v>111</v>
      </c>
      <c r="BO914" t="s">
        <v>111</v>
      </c>
      <c r="BP914" t="s">
        <v>111</v>
      </c>
      <c r="BQ914" t="s">
        <v>111</v>
      </c>
      <c r="BR914" t="s">
        <v>111</v>
      </c>
      <c r="BS914" t="s">
        <v>111</v>
      </c>
      <c r="BT914" t="s">
        <v>111</v>
      </c>
      <c r="BU914" t="s">
        <v>111</v>
      </c>
      <c r="BV914" t="s">
        <v>111</v>
      </c>
      <c r="BW914" t="s">
        <v>111</v>
      </c>
      <c r="BX914" t="s">
        <v>111</v>
      </c>
      <c r="BY914" t="s">
        <v>111</v>
      </c>
      <c r="BZ914" t="s">
        <v>111</v>
      </c>
      <c r="CA914" t="s">
        <v>111</v>
      </c>
      <c r="CB914" t="s">
        <v>111</v>
      </c>
      <c r="CC914" t="s">
        <v>111</v>
      </c>
      <c r="CD914" t="s">
        <v>111</v>
      </c>
      <c r="CE914" t="s">
        <v>111</v>
      </c>
      <c r="CF914" t="s">
        <v>111</v>
      </c>
      <c r="CG914" t="s">
        <v>111</v>
      </c>
      <c r="CH914" t="s">
        <v>111</v>
      </c>
      <c r="CI914" t="s">
        <v>111</v>
      </c>
      <c r="CJ914" t="s">
        <v>111</v>
      </c>
      <c r="CK914" t="s">
        <v>111</v>
      </c>
      <c r="CL914" t="s">
        <v>111</v>
      </c>
      <c r="CM914" t="s">
        <v>135</v>
      </c>
      <c r="CN914" t="s">
        <v>113</v>
      </c>
      <c r="CO914" t="s">
        <v>111</v>
      </c>
      <c r="CP914" t="s">
        <v>111</v>
      </c>
      <c r="CQ914">
        <v>0</v>
      </c>
      <c r="CR914">
        <v>0</v>
      </c>
      <c r="CS914">
        <v>0</v>
      </c>
      <c r="CT914" s="1" t="s">
        <v>2961</v>
      </c>
      <c r="CU914">
        <v>0</v>
      </c>
      <c r="CV914" t="s">
        <v>111</v>
      </c>
      <c r="CX914" t="s">
        <v>111</v>
      </c>
      <c r="CY914">
        <v>0</v>
      </c>
      <c r="CZ914" t="s">
        <v>111</v>
      </c>
      <c r="DA914" t="s">
        <v>111</v>
      </c>
      <c r="DB914" t="s">
        <v>111</v>
      </c>
      <c r="DC914" t="s">
        <v>111</v>
      </c>
    </row>
    <row r="915" spans="1:107">
      <c r="A915">
        <v>380</v>
      </c>
      <c r="B915" t="s">
        <v>162</v>
      </c>
      <c r="C915" t="s">
        <v>215</v>
      </c>
      <c r="D915" t="s">
        <v>2962</v>
      </c>
      <c r="E915" t="s">
        <v>2963</v>
      </c>
      <c r="F915" t="s">
        <v>431</v>
      </c>
      <c r="G915" t="s">
        <v>416</v>
      </c>
      <c r="H915">
        <v>4</v>
      </c>
      <c r="I915">
        <v>10</v>
      </c>
      <c r="J915">
        <v>0</v>
      </c>
      <c r="K915">
        <v>0</v>
      </c>
      <c r="L915" t="s">
        <v>112</v>
      </c>
      <c r="M915" t="s">
        <v>118</v>
      </c>
      <c r="N915">
        <v>40</v>
      </c>
      <c r="O915">
        <v>1</v>
      </c>
      <c r="P915" t="s">
        <v>118</v>
      </c>
      <c r="Q915">
        <v>20</v>
      </c>
      <c r="R915">
        <v>0</v>
      </c>
      <c r="S915">
        <v>0</v>
      </c>
      <c r="T915">
        <v>0</v>
      </c>
      <c r="U915" t="s">
        <v>1353</v>
      </c>
      <c r="V915">
        <v>0</v>
      </c>
      <c r="W915">
        <v>25</v>
      </c>
      <c r="X915">
        <v>8</v>
      </c>
      <c r="Y915">
        <v>0</v>
      </c>
      <c r="Z915" t="s">
        <v>111</v>
      </c>
      <c r="AA915">
        <v>0</v>
      </c>
      <c r="AB915" t="s">
        <v>111</v>
      </c>
      <c r="AC915">
        <v>0</v>
      </c>
      <c r="AD915" t="s">
        <v>416</v>
      </c>
      <c r="AE915">
        <v>2</v>
      </c>
      <c r="AF915">
        <v>1</v>
      </c>
      <c r="AG915">
        <v>30</v>
      </c>
      <c r="AH915" t="s">
        <v>111</v>
      </c>
      <c r="AI915">
        <v>30</v>
      </c>
      <c r="AJ915" t="s">
        <v>111</v>
      </c>
      <c r="AK915" t="s">
        <v>111</v>
      </c>
      <c r="AL915" t="s">
        <v>111</v>
      </c>
      <c r="AM915">
        <v>0</v>
      </c>
      <c r="AN915">
        <v>0</v>
      </c>
      <c r="AO915">
        <v>0</v>
      </c>
      <c r="AP915" t="s">
        <v>259</v>
      </c>
      <c r="AQ915" t="s">
        <v>111</v>
      </c>
      <c r="AR915" t="s">
        <v>111</v>
      </c>
      <c r="AS915" t="s">
        <v>111</v>
      </c>
      <c r="AT915" t="s">
        <v>271</v>
      </c>
      <c r="AU915" t="s">
        <v>111</v>
      </c>
      <c r="AV915" t="s">
        <v>111</v>
      </c>
      <c r="AW915" t="s">
        <v>111</v>
      </c>
      <c r="AX915" t="s">
        <v>111</v>
      </c>
      <c r="AY915" t="s">
        <v>111</v>
      </c>
      <c r="AZ915" t="s">
        <v>111</v>
      </c>
      <c r="BA915" t="s">
        <v>111</v>
      </c>
      <c r="BB915" t="s">
        <v>111</v>
      </c>
      <c r="BC915" t="s">
        <v>111</v>
      </c>
      <c r="BD915" t="s">
        <v>111</v>
      </c>
      <c r="BE915" t="s">
        <v>111</v>
      </c>
      <c r="BF915" t="s">
        <v>111</v>
      </c>
      <c r="BG915" t="s">
        <v>111</v>
      </c>
      <c r="BH915" t="s">
        <v>111</v>
      </c>
      <c r="BI915" t="s">
        <v>111</v>
      </c>
      <c r="BJ915" t="s">
        <v>111</v>
      </c>
      <c r="BK915" t="s">
        <v>111</v>
      </c>
      <c r="BL915" t="s">
        <v>111</v>
      </c>
      <c r="BM915" t="s">
        <v>111</v>
      </c>
      <c r="BN915" t="s">
        <v>111</v>
      </c>
      <c r="BO915" t="s">
        <v>111</v>
      </c>
      <c r="BP915" t="s">
        <v>111</v>
      </c>
      <c r="BQ915" t="s">
        <v>111</v>
      </c>
      <c r="BR915" t="s">
        <v>111</v>
      </c>
      <c r="BS915" t="s">
        <v>111</v>
      </c>
      <c r="BT915" t="s">
        <v>111</v>
      </c>
      <c r="BU915" t="s">
        <v>111</v>
      </c>
      <c r="BV915" t="s">
        <v>111</v>
      </c>
      <c r="BW915" t="s">
        <v>111</v>
      </c>
      <c r="BX915" t="s">
        <v>111</v>
      </c>
      <c r="BY915" t="s">
        <v>111</v>
      </c>
      <c r="BZ915" t="s">
        <v>111</v>
      </c>
      <c r="CA915" t="s">
        <v>111</v>
      </c>
      <c r="CB915" t="s">
        <v>111</v>
      </c>
      <c r="CC915" t="s">
        <v>111</v>
      </c>
      <c r="CD915" t="s">
        <v>111</v>
      </c>
      <c r="CE915" t="s">
        <v>111</v>
      </c>
      <c r="CF915" t="s">
        <v>111</v>
      </c>
      <c r="CG915" t="s">
        <v>111</v>
      </c>
      <c r="CH915" t="s">
        <v>111</v>
      </c>
      <c r="CI915" t="s">
        <v>111</v>
      </c>
      <c r="CJ915" t="s">
        <v>111</v>
      </c>
      <c r="CK915" t="s">
        <v>111</v>
      </c>
      <c r="CL915" t="s">
        <v>153</v>
      </c>
      <c r="CM915" t="s">
        <v>198</v>
      </c>
      <c r="CN915" t="s">
        <v>128</v>
      </c>
      <c r="CO915" t="s">
        <v>111</v>
      </c>
      <c r="CP915" t="s">
        <v>433</v>
      </c>
      <c r="CQ915">
        <v>0</v>
      </c>
      <c r="CR915">
        <v>0</v>
      </c>
      <c r="CS915">
        <v>0</v>
      </c>
      <c r="CT915" t="s">
        <v>168</v>
      </c>
      <c r="CU915">
        <v>0</v>
      </c>
      <c r="CV915" t="s">
        <v>111</v>
      </c>
      <c r="CW915" t="s">
        <v>111</v>
      </c>
      <c r="CX915" t="s">
        <v>111</v>
      </c>
      <c r="CY915">
        <v>0</v>
      </c>
      <c r="CZ915" t="s">
        <v>111</v>
      </c>
      <c r="DA915" t="s">
        <v>111</v>
      </c>
      <c r="DB915" t="s">
        <v>111</v>
      </c>
      <c r="DC915" t="s">
        <v>111</v>
      </c>
    </row>
    <row r="916" spans="1:107">
      <c r="A916">
        <v>986</v>
      </c>
      <c r="B916" t="s">
        <v>107</v>
      </c>
      <c r="C916" s="2">
        <v>70085947</v>
      </c>
      <c r="D916" t="s">
        <v>2964</v>
      </c>
      <c r="E916" t="s">
        <v>2965</v>
      </c>
      <c r="F916" t="s">
        <v>2870</v>
      </c>
      <c r="G916" t="s">
        <v>416</v>
      </c>
      <c r="H916">
        <v>1.5</v>
      </c>
      <c r="I916">
        <v>13</v>
      </c>
      <c r="J916">
        <v>0</v>
      </c>
      <c r="K916">
        <v>0</v>
      </c>
      <c r="L916" t="s">
        <v>112</v>
      </c>
      <c r="M916" t="s">
        <v>118</v>
      </c>
      <c r="N916">
        <v>0</v>
      </c>
      <c r="O916">
        <v>2</v>
      </c>
      <c r="P916" t="s">
        <v>138</v>
      </c>
      <c r="Q916">
        <v>20</v>
      </c>
      <c r="R916">
        <v>0</v>
      </c>
      <c r="S916">
        <v>0</v>
      </c>
      <c r="T916">
        <v>0</v>
      </c>
      <c r="U916" t="s">
        <v>501</v>
      </c>
      <c r="V916">
        <v>0</v>
      </c>
      <c r="W916">
        <v>25</v>
      </c>
      <c r="X916">
        <v>8</v>
      </c>
      <c r="Y916">
        <v>0</v>
      </c>
      <c r="Z916" t="s">
        <v>111</v>
      </c>
      <c r="AA916">
        <v>0</v>
      </c>
      <c r="AB916" t="s">
        <v>111</v>
      </c>
      <c r="AC916">
        <v>0</v>
      </c>
      <c r="AD916" t="s">
        <v>416</v>
      </c>
      <c r="AE916">
        <v>3</v>
      </c>
      <c r="AF916">
        <v>2</v>
      </c>
      <c r="AG916" t="s">
        <v>2966</v>
      </c>
      <c r="AH916" t="s">
        <v>128</v>
      </c>
      <c r="AI916" t="s">
        <v>1160</v>
      </c>
      <c r="AJ916" t="s">
        <v>111</v>
      </c>
      <c r="AK916" t="s">
        <v>111</v>
      </c>
      <c r="AL916" t="s">
        <v>111</v>
      </c>
      <c r="AM916">
        <v>0</v>
      </c>
      <c r="AN916">
        <v>0</v>
      </c>
      <c r="AO916">
        <v>0</v>
      </c>
      <c r="AP916" t="s">
        <v>111</v>
      </c>
      <c r="AQ916" t="s">
        <v>111</v>
      </c>
      <c r="AR916" t="s">
        <v>111</v>
      </c>
      <c r="AS916" t="s">
        <v>111</v>
      </c>
      <c r="AT916" t="s">
        <v>111</v>
      </c>
      <c r="AU916" t="s">
        <v>111</v>
      </c>
      <c r="AV916" t="s">
        <v>111</v>
      </c>
      <c r="AW916" t="s">
        <v>111</v>
      </c>
      <c r="AX916" t="s">
        <v>111</v>
      </c>
      <c r="AY916" t="s">
        <v>111</v>
      </c>
      <c r="AZ916" t="s">
        <v>111</v>
      </c>
      <c r="BA916" t="s">
        <v>111</v>
      </c>
      <c r="BB916" t="s">
        <v>111</v>
      </c>
      <c r="BC916" t="s">
        <v>111</v>
      </c>
      <c r="BD916" t="s">
        <v>111</v>
      </c>
      <c r="BE916" t="s">
        <v>111</v>
      </c>
      <c r="BF916" t="s">
        <v>111</v>
      </c>
      <c r="BG916" t="s">
        <v>111</v>
      </c>
      <c r="BH916" t="s">
        <v>111</v>
      </c>
      <c r="BI916" t="s">
        <v>111</v>
      </c>
      <c r="BJ916" t="s">
        <v>111</v>
      </c>
      <c r="BK916" t="s">
        <v>111</v>
      </c>
      <c r="BL916" t="s">
        <v>111</v>
      </c>
      <c r="BM916" t="s">
        <v>111</v>
      </c>
      <c r="BN916" t="s">
        <v>111</v>
      </c>
      <c r="BO916" t="s">
        <v>111</v>
      </c>
      <c r="BP916" t="s">
        <v>111</v>
      </c>
      <c r="BQ916" t="s">
        <v>111</v>
      </c>
      <c r="BR916" t="s">
        <v>111</v>
      </c>
      <c r="BS916" t="s">
        <v>111</v>
      </c>
      <c r="BT916" t="s">
        <v>111</v>
      </c>
      <c r="BU916" t="s">
        <v>111</v>
      </c>
      <c r="BV916" t="s">
        <v>111</v>
      </c>
      <c r="BW916" t="s">
        <v>111</v>
      </c>
      <c r="BX916" t="s">
        <v>111</v>
      </c>
      <c r="BY916" t="s">
        <v>111</v>
      </c>
      <c r="BZ916" t="s">
        <v>111</v>
      </c>
      <c r="CA916" t="s">
        <v>111</v>
      </c>
      <c r="CB916" t="s">
        <v>111</v>
      </c>
      <c r="CC916" t="s">
        <v>111</v>
      </c>
      <c r="CD916" t="s">
        <v>111</v>
      </c>
      <c r="CE916" t="s">
        <v>111</v>
      </c>
      <c r="CF916" t="s">
        <v>111</v>
      </c>
      <c r="CG916" t="s">
        <v>111</v>
      </c>
      <c r="CH916" t="s">
        <v>111</v>
      </c>
      <c r="CI916" t="s">
        <v>111</v>
      </c>
      <c r="CJ916" t="s">
        <v>111</v>
      </c>
      <c r="CK916" t="s">
        <v>111</v>
      </c>
      <c r="CL916" t="e">
        <f>-DESTINO ALMACEN</f>
        <v>#NAME?</v>
      </c>
      <c r="CM916" t="s">
        <v>111</v>
      </c>
      <c r="CN916" t="s">
        <v>111</v>
      </c>
      <c r="CO916" t="s">
        <v>111</v>
      </c>
      <c r="CP916" t="s">
        <v>111</v>
      </c>
      <c r="CQ916">
        <v>0</v>
      </c>
      <c r="CR916">
        <v>0</v>
      </c>
      <c r="CS916">
        <v>0</v>
      </c>
      <c r="CT916" t="s">
        <v>111</v>
      </c>
      <c r="CU916">
        <v>0</v>
      </c>
      <c r="CV916" t="s">
        <v>111</v>
      </c>
      <c r="CW916" t="s">
        <v>111</v>
      </c>
      <c r="CX916" t="s">
        <v>111</v>
      </c>
      <c r="CY916">
        <v>0</v>
      </c>
      <c r="CZ916" t="s">
        <v>111</v>
      </c>
      <c r="DA916" t="s">
        <v>111</v>
      </c>
      <c r="DB916" t="s">
        <v>111</v>
      </c>
      <c r="DC916" t="s">
        <v>111</v>
      </c>
    </row>
    <row r="917" spans="1:107">
      <c r="A917">
        <v>531</v>
      </c>
      <c r="B917" t="s">
        <v>162</v>
      </c>
      <c r="C917" t="s">
        <v>267</v>
      </c>
      <c r="D917" t="s">
        <v>2967</v>
      </c>
      <c r="E917" t="s">
        <v>2968</v>
      </c>
      <c r="F917" t="s">
        <v>287</v>
      </c>
      <c r="G917" t="s">
        <v>416</v>
      </c>
      <c r="H917">
        <v>1</v>
      </c>
      <c r="I917">
        <v>30</v>
      </c>
      <c r="J917">
        <v>7</v>
      </c>
      <c r="K917">
        <v>7</v>
      </c>
      <c r="L917" t="s">
        <v>112</v>
      </c>
      <c r="M917" t="s">
        <v>138</v>
      </c>
      <c r="N917">
        <v>0</v>
      </c>
      <c r="O917">
        <v>0</v>
      </c>
      <c r="P917" t="s">
        <v>138</v>
      </c>
      <c r="Q917">
        <v>30</v>
      </c>
      <c r="R917">
        <v>0</v>
      </c>
      <c r="S917">
        <v>0</v>
      </c>
      <c r="T917">
        <v>5</v>
      </c>
      <c r="U917" t="s">
        <v>153</v>
      </c>
      <c r="V917">
        <v>25</v>
      </c>
      <c r="W917">
        <v>0</v>
      </c>
      <c r="X917">
        <v>12</v>
      </c>
      <c r="Y917">
        <v>0</v>
      </c>
      <c r="Z917" t="s">
        <v>288</v>
      </c>
      <c r="AA917">
        <v>1.85</v>
      </c>
      <c r="AB917" t="s">
        <v>111</v>
      </c>
      <c r="AC917">
        <v>0</v>
      </c>
      <c r="AD917" t="s">
        <v>111</v>
      </c>
      <c r="AE917">
        <v>0</v>
      </c>
      <c r="AF917">
        <v>0</v>
      </c>
      <c r="AG917" t="s">
        <v>111</v>
      </c>
      <c r="AH917" t="s">
        <v>111</v>
      </c>
      <c r="AI917" t="s">
        <v>111</v>
      </c>
      <c r="AJ917" t="s">
        <v>111</v>
      </c>
      <c r="AK917" t="s">
        <v>111</v>
      </c>
      <c r="AL917" t="s">
        <v>111</v>
      </c>
      <c r="AM917">
        <v>0</v>
      </c>
      <c r="AN917">
        <v>0</v>
      </c>
      <c r="AO917">
        <v>0</v>
      </c>
      <c r="AP917" t="s">
        <v>111</v>
      </c>
      <c r="AQ917" t="s">
        <v>111</v>
      </c>
      <c r="AR917" t="s">
        <v>111</v>
      </c>
      <c r="AS917" t="s">
        <v>111</v>
      </c>
      <c r="AT917" t="s">
        <v>111</v>
      </c>
      <c r="AU917" t="s">
        <v>111</v>
      </c>
      <c r="AV917" t="s">
        <v>111</v>
      </c>
      <c r="AW917" t="s">
        <v>111</v>
      </c>
      <c r="AX917" t="s">
        <v>111</v>
      </c>
      <c r="AY917" t="s">
        <v>111</v>
      </c>
      <c r="AZ917" t="s">
        <v>111</v>
      </c>
      <c r="BA917" t="s">
        <v>111</v>
      </c>
      <c r="BB917" t="s">
        <v>111</v>
      </c>
      <c r="BC917" t="s">
        <v>111</v>
      </c>
      <c r="BD917" t="s">
        <v>111</v>
      </c>
      <c r="BE917" t="s">
        <v>111</v>
      </c>
      <c r="BF917" t="s">
        <v>111</v>
      </c>
      <c r="BG917" t="s">
        <v>111</v>
      </c>
      <c r="BH917" t="s">
        <v>111</v>
      </c>
      <c r="BI917" t="s">
        <v>111</v>
      </c>
      <c r="BJ917" t="s">
        <v>111</v>
      </c>
      <c r="BK917" t="s">
        <v>111</v>
      </c>
      <c r="BL917" t="s">
        <v>111</v>
      </c>
      <c r="BM917" t="s">
        <v>111</v>
      </c>
      <c r="BN917" t="s">
        <v>111</v>
      </c>
      <c r="BO917" t="s">
        <v>111</v>
      </c>
      <c r="BP917" t="s">
        <v>111</v>
      </c>
      <c r="BQ917" t="s">
        <v>111</v>
      </c>
      <c r="BR917" t="s">
        <v>111</v>
      </c>
      <c r="BS917" t="s">
        <v>111</v>
      </c>
      <c r="BT917" t="s">
        <v>111</v>
      </c>
      <c r="BU917" t="s">
        <v>111</v>
      </c>
      <c r="BV917" t="s">
        <v>111</v>
      </c>
      <c r="BW917" t="s">
        <v>111</v>
      </c>
      <c r="BX917" t="s">
        <v>111</v>
      </c>
      <c r="BY917" t="s">
        <v>111</v>
      </c>
      <c r="BZ917" t="s">
        <v>111</v>
      </c>
      <c r="CA917" t="s">
        <v>111</v>
      </c>
      <c r="CB917" t="s">
        <v>111</v>
      </c>
      <c r="CC917" t="s">
        <v>111</v>
      </c>
      <c r="CD917" t="s">
        <v>111</v>
      </c>
      <c r="CE917" t="s">
        <v>111</v>
      </c>
      <c r="CF917" t="s">
        <v>111</v>
      </c>
      <c r="CG917" t="s">
        <v>111</v>
      </c>
      <c r="CH917" t="s">
        <v>111</v>
      </c>
      <c r="CI917" t="s">
        <v>111</v>
      </c>
      <c r="CJ917" t="s">
        <v>111</v>
      </c>
      <c r="CK917" t="s">
        <v>111</v>
      </c>
      <c r="CL917" t="s">
        <v>111</v>
      </c>
      <c r="CM917" t="s">
        <v>198</v>
      </c>
      <c r="CN917" t="s">
        <v>128</v>
      </c>
      <c r="CO917" t="s">
        <v>974</v>
      </c>
      <c r="CP917" t="s">
        <v>111</v>
      </c>
      <c r="CQ917">
        <v>31</v>
      </c>
      <c r="CR917">
        <v>2000</v>
      </c>
      <c r="CS917">
        <v>50</v>
      </c>
      <c r="CT917" s="1" t="s">
        <v>2969</v>
      </c>
      <c r="CU917">
        <v>0</v>
      </c>
      <c r="CV917" t="s">
        <v>111</v>
      </c>
      <c r="CW917" t="s">
        <v>111</v>
      </c>
      <c r="CX917" t="s">
        <v>111</v>
      </c>
      <c r="CY917">
        <v>0</v>
      </c>
      <c r="CZ917" t="s">
        <v>111</v>
      </c>
      <c r="DA917" t="s">
        <v>111</v>
      </c>
      <c r="DB917" t="s">
        <v>204</v>
      </c>
      <c r="DC917" s="1" t="s">
        <v>1363</v>
      </c>
    </row>
    <row r="918" spans="1:107">
      <c r="A918">
        <v>549</v>
      </c>
      <c r="B918" t="s">
        <v>162</v>
      </c>
      <c r="C918" t="s">
        <v>719</v>
      </c>
      <c r="D918" t="s">
        <v>2970</v>
      </c>
      <c r="E918" t="s">
        <v>2971</v>
      </c>
      <c r="F918" t="s">
        <v>722</v>
      </c>
      <c r="G918" t="s">
        <v>416</v>
      </c>
      <c r="H918">
        <v>0.7</v>
      </c>
      <c r="I918">
        <v>50</v>
      </c>
      <c r="J918">
        <v>0</v>
      </c>
      <c r="K918">
        <v>0</v>
      </c>
      <c r="L918" t="s">
        <v>112</v>
      </c>
      <c r="M918" t="s">
        <v>138</v>
      </c>
      <c r="N918">
        <v>0</v>
      </c>
      <c r="O918">
        <v>0</v>
      </c>
      <c r="P918" t="s">
        <v>138</v>
      </c>
      <c r="Q918">
        <v>30</v>
      </c>
      <c r="R918">
        <v>0</v>
      </c>
      <c r="S918">
        <v>0</v>
      </c>
      <c r="T918">
        <v>0</v>
      </c>
      <c r="U918" t="s">
        <v>419</v>
      </c>
      <c r="V918">
        <v>0</v>
      </c>
      <c r="W918">
        <v>25</v>
      </c>
      <c r="X918">
        <v>5</v>
      </c>
      <c r="Y918">
        <v>0</v>
      </c>
      <c r="Z918" t="s">
        <v>111</v>
      </c>
      <c r="AA918">
        <v>0</v>
      </c>
      <c r="AB918" t="s">
        <v>111</v>
      </c>
      <c r="AC918">
        <v>0</v>
      </c>
      <c r="AD918" t="s">
        <v>111</v>
      </c>
      <c r="AE918">
        <v>0</v>
      </c>
      <c r="AF918">
        <v>0</v>
      </c>
      <c r="AG918" t="s">
        <v>111</v>
      </c>
      <c r="AH918" t="s">
        <v>111</v>
      </c>
      <c r="AI918" t="s">
        <v>111</v>
      </c>
      <c r="AJ918" t="s">
        <v>111</v>
      </c>
      <c r="AK918" t="s">
        <v>111</v>
      </c>
      <c r="AL918" t="s">
        <v>111</v>
      </c>
      <c r="AM918">
        <v>0</v>
      </c>
      <c r="AN918">
        <v>0</v>
      </c>
      <c r="AO918">
        <v>0</v>
      </c>
      <c r="AP918" t="s">
        <v>111</v>
      </c>
      <c r="AQ918" t="s">
        <v>111</v>
      </c>
      <c r="AR918" t="s">
        <v>111</v>
      </c>
      <c r="AS918" t="s">
        <v>111</v>
      </c>
      <c r="AT918" t="s">
        <v>111</v>
      </c>
      <c r="AU918" t="s">
        <v>111</v>
      </c>
      <c r="AV918" t="s">
        <v>111</v>
      </c>
      <c r="AW918" t="s">
        <v>111</v>
      </c>
      <c r="AX918" t="s">
        <v>111</v>
      </c>
      <c r="AY918" t="s">
        <v>111</v>
      </c>
      <c r="AZ918" t="s">
        <v>111</v>
      </c>
      <c r="BA918" t="s">
        <v>111</v>
      </c>
      <c r="BB918" t="s">
        <v>111</v>
      </c>
      <c r="BC918" t="s">
        <v>111</v>
      </c>
      <c r="BD918" t="s">
        <v>111</v>
      </c>
      <c r="BE918" t="s">
        <v>111</v>
      </c>
      <c r="BF918" t="s">
        <v>111</v>
      </c>
      <c r="BG918" t="s">
        <v>111</v>
      </c>
      <c r="BH918" t="s">
        <v>111</v>
      </c>
      <c r="BI918" t="s">
        <v>111</v>
      </c>
      <c r="BJ918" t="s">
        <v>111</v>
      </c>
      <c r="BK918" t="s">
        <v>111</v>
      </c>
      <c r="BL918" t="s">
        <v>111</v>
      </c>
      <c r="BM918" t="s">
        <v>111</v>
      </c>
      <c r="BN918" t="s">
        <v>111</v>
      </c>
      <c r="BO918" t="s">
        <v>111</v>
      </c>
      <c r="BP918" t="s">
        <v>111</v>
      </c>
      <c r="BQ918" t="s">
        <v>111</v>
      </c>
      <c r="BR918" t="s">
        <v>111</v>
      </c>
      <c r="BS918" t="s">
        <v>111</v>
      </c>
      <c r="BT918" t="s">
        <v>111</v>
      </c>
      <c r="BU918" t="s">
        <v>111</v>
      </c>
      <c r="BV918" t="s">
        <v>111</v>
      </c>
      <c r="BW918" t="s">
        <v>111</v>
      </c>
      <c r="BX918" t="s">
        <v>111</v>
      </c>
      <c r="BY918" t="s">
        <v>111</v>
      </c>
      <c r="BZ918" t="s">
        <v>111</v>
      </c>
      <c r="CA918" t="s">
        <v>111</v>
      </c>
      <c r="CB918" t="s">
        <v>111</v>
      </c>
      <c r="CC918" t="s">
        <v>111</v>
      </c>
      <c r="CD918" t="s">
        <v>111</v>
      </c>
      <c r="CE918" t="s">
        <v>111</v>
      </c>
      <c r="CF918" t="s">
        <v>111</v>
      </c>
      <c r="CG918" t="s">
        <v>111</v>
      </c>
      <c r="CH918" t="s">
        <v>111</v>
      </c>
      <c r="CI918" t="s">
        <v>111</v>
      </c>
      <c r="CJ918" t="s">
        <v>111</v>
      </c>
      <c r="CK918" t="s">
        <v>111</v>
      </c>
      <c r="CL918" t="s">
        <v>111</v>
      </c>
      <c r="CM918" t="s">
        <v>111</v>
      </c>
      <c r="CN918" t="s">
        <v>111</v>
      </c>
      <c r="CO918" t="s">
        <v>111</v>
      </c>
      <c r="CP918" t="s">
        <v>111</v>
      </c>
      <c r="CQ918">
        <v>0</v>
      </c>
      <c r="CR918">
        <v>0</v>
      </c>
      <c r="CS918">
        <v>0</v>
      </c>
      <c r="CT918" t="s">
        <v>111</v>
      </c>
      <c r="CU918">
        <v>0</v>
      </c>
      <c r="CV918" t="s">
        <v>111</v>
      </c>
      <c r="CW918" t="s">
        <v>111</v>
      </c>
      <c r="CX918" t="s">
        <v>111</v>
      </c>
      <c r="CY918">
        <v>0</v>
      </c>
      <c r="CZ918" t="s">
        <v>111</v>
      </c>
      <c r="DA918" t="s">
        <v>111</v>
      </c>
      <c r="DB918" t="s">
        <v>204</v>
      </c>
      <c r="DC918" s="1" t="s">
        <v>1050</v>
      </c>
    </row>
    <row r="919" spans="1:107">
      <c r="A919">
        <v>564</v>
      </c>
      <c r="B919" t="s">
        <v>162</v>
      </c>
      <c r="C919" t="s">
        <v>347</v>
      </c>
      <c r="D919" t="s">
        <v>2972</v>
      </c>
      <c r="E919" t="s">
        <v>2973</v>
      </c>
      <c r="F919" t="s">
        <v>431</v>
      </c>
      <c r="G919" t="s">
        <v>416</v>
      </c>
      <c r="H919">
        <v>6</v>
      </c>
      <c r="I919">
        <v>52</v>
      </c>
      <c r="J919">
        <v>0</v>
      </c>
      <c r="K919">
        <v>0</v>
      </c>
      <c r="L919" t="s">
        <v>112</v>
      </c>
      <c r="M919" t="s">
        <v>118</v>
      </c>
      <c r="N919">
        <v>40</v>
      </c>
      <c r="O919">
        <v>1</v>
      </c>
      <c r="P919" t="s">
        <v>138</v>
      </c>
      <c r="Q919">
        <v>40</v>
      </c>
      <c r="R919">
        <v>0</v>
      </c>
      <c r="S919">
        <v>0</v>
      </c>
      <c r="T919">
        <v>0</v>
      </c>
      <c r="U919" t="s">
        <v>1353</v>
      </c>
      <c r="V919">
        <v>0</v>
      </c>
      <c r="W919">
        <v>0</v>
      </c>
      <c r="X919">
        <v>1</v>
      </c>
      <c r="Y919">
        <v>0</v>
      </c>
      <c r="Z919" t="s">
        <v>111</v>
      </c>
      <c r="AA919">
        <v>0</v>
      </c>
      <c r="AB919" t="s">
        <v>111</v>
      </c>
      <c r="AC919">
        <v>0</v>
      </c>
      <c r="AD919" t="s">
        <v>416</v>
      </c>
      <c r="AE919">
        <v>3</v>
      </c>
      <c r="AF919">
        <v>1</v>
      </c>
      <c r="AG919">
        <v>80</v>
      </c>
      <c r="AH919" t="s">
        <v>111</v>
      </c>
      <c r="AI919">
        <v>40</v>
      </c>
      <c r="AJ919" t="s">
        <v>111</v>
      </c>
      <c r="AK919" t="s">
        <v>111</v>
      </c>
      <c r="AL919" t="s">
        <v>111</v>
      </c>
      <c r="AM919">
        <v>0</v>
      </c>
      <c r="AN919">
        <v>0</v>
      </c>
      <c r="AO919">
        <v>0</v>
      </c>
      <c r="AP919" t="s">
        <v>259</v>
      </c>
      <c r="AQ919" t="s">
        <v>111</v>
      </c>
      <c r="AR919" t="s">
        <v>111</v>
      </c>
      <c r="AS919" t="s">
        <v>111</v>
      </c>
      <c r="AT919" t="s">
        <v>288</v>
      </c>
      <c r="AU919" t="s">
        <v>111</v>
      </c>
      <c r="AV919" t="s">
        <v>111</v>
      </c>
      <c r="AW919" t="s">
        <v>111</v>
      </c>
      <c r="AX919" t="s">
        <v>271</v>
      </c>
      <c r="AY919" t="s">
        <v>111</v>
      </c>
      <c r="AZ919" t="s">
        <v>111</v>
      </c>
      <c r="BA919" t="s">
        <v>111</v>
      </c>
      <c r="BB919" t="s">
        <v>111</v>
      </c>
      <c r="BC919" t="s">
        <v>111</v>
      </c>
      <c r="BD919" t="s">
        <v>111</v>
      </c>
      <c r="BE919" t="s">
        <v>111</v>
      </c>
      <c r="BF919" t="s">
        <v>111</v>
      </c>
      <c r="BG919" t="s">
        <v>111</v>
      </c>
      <c r="BH919" t="s">
        <v>111</v>
      </c>
      <c r="BI919" t="s">
        <v>111</v>
      </c>
      <c r="BJ919" t="s">
        <v>111</v>
      </c>
      <c r="BK919" t="s">
        <v>111</v>
      </c>
      <c r="BL919" t="s">
        <v>111</v>
      </c>
      <c r="BM919" t="s">
        <v>111</v>
      </c>
      <c r="BN919" t="s">
        <v>111</v>
      </c>
      <c r="BO919" t="s">
        <v>111</v>
      </c>
      <c r="BP919" t="s">
        <v>111</v>
      </c>
      <c r="BQ919" t="s">
        <v>111</v>
      </c>
      <c r="BR919" t="s">
        <v>111</v>
      </c>
      <c r="BS919" t="s">
        <v>111</v>
      </c>
      <c r="BT919" t="s">
        <v>111</v>
      </c>
      <c r="BU919" t="s">
        <v>111</v>
      </c>
      <c r="BV919" t="s">
        <v>111</v>
      </c>
      <c r="BW919" t="s">
        <v>111</v>
      </c>
      <c r="BX919" t="s">
        <v>111</v>
      </c>
      <c r="BY919" t="s">
        <v>111</v>
      </c>
      <c r="BZ919" t="s">
        <v>111</v>
      </c>
      <c r="CA919" t="s">
        <v>111</v>
      </c>
      <c r="CB919" t="s">
        <v>111</v>
      </c>
      <c r="CC919" t="s">
        <v>111</v>
      </c>
      <c r="CD919" t="s">
        <v>111</v>
      </c>
      <c r="CE919" t="s">
        <v>111</v>
      </c>
      <c r="CF919" t="s">
        <v>111</v>
      </c>
      <c r="CG919" t="s">
        <v>111</v>
      </c>
      <c r="CH919" t="s">
        <v>111</v>
      </c>
      <c r="CI919" t="s">
        <v>111</v>
      </c>
      <c r="CJ919" t="s">
        <v>111</v>
      </c>
      <c r="CK919" t="s">
        <v>111</v>
      </c>
      <c r="CL919" t="s">
        <v>153</v>
      </c>
      <c r="CM919" t="s">
        <v>198</v>
      </c>
      <c r="CN919" t="s">
        <v>128</v>
      </c>
      <c r="CO919" t="s">
        <v>111</v>
      </c>
      <c r="CP919" t="s">
        <v>433</v>
      </c>
      <c r="CQ919">
        <v>0</v>
      </c>
      <c r="CR919">
        <v>0</v>
      </c>
      <c r="CS919">
        <v>0</v>
      </c>
      <c r="CT919" t="s">
        <v>168</v>
      </c>
      <c r="CU919">
        <v>0</v>
      </c>
      <c r="CV919" t="s">
        <v>111</v>
      </c>
      <c r="CW919" t="s">
        <v>111</v>
      </c>
      <c r="CX919" t="s">
        <v>111</v>
      </c>
      <c r="CY919">
        <v>0</v>
      </c>
      <c r="CZ919" t="s">
        <v>111</v>
      </c>
      <c r="DA919" t="s">
        <v>111</v>
      </c>
      <c r="DB919" t="s">
        <v>111</v>
      </c>
      <c r="DC919" t="s">
        <v>111</v>
      </c>
    </row>
    <row r="920" spans="1:107">
      <c r="A920">
        <v>536</v>
      </c>
      <c r="B920" t="s">
        <v>162</v>
      </c>
      <c r="C920" t="s">
        <v>719</v>
      </c>
      <c r="D920" t="s">
        <v>2974</v>
      </c>
      <c r="E920" t="s">
        <v>2975</v>
      </c>
      <c r="F920" t="s">
        <v>257</v>
      </c>
      <c r="G920" t="s">
        <v>416</v>
      </c>
      <c r="H920">
        <v>1</v>
      </c>
      <c r="I920">
        <v>26</v>
      </c>
      <c r="J920">
        <v>5</v>
      </c>
      <c r="K920">
        <v>5</v>
      </c>
      <c r="L920" t="s">
        <v>112</v>
      </c>
      <c r="M920" t="s">
        <v>118</v>
      </c>
      <c r="N920">
        <v>40</v>
      </c>
      <c r="O920">
        <v>2</v>
      </c>
      <c r="P920" t="s">
        <v>138</v>
      </c>
      <c r="Q920">
        <v>30</v>
      </c>
      <c r="R920">
        <v>0</v>
      </c>
      <c r="S920">
        <v>0</v>
      </c>
      <c r="T920">
        <v>0</v>
      </c>
      <c r="U920" t="s">
        <v>1353</v>
      </c>
      <c r="V920">
        <v>25</v>
      </c>
      <c r="W920">
        <v>0</v>
      </c>
      <c r="X920">
        <v>10</v>
      </c>
      <c r="Y920">
        <v>0</v>
      </c>
      <c r="Z920" t="s">
        <v>259</v>
      </c>
      <c r="AA920">
        <v>1.75</v>
      </c>
      <c r="AB920" t="s">
        <v>111</v>
      </c>
      <c r="AC920">
        <v>0</v>
      </c>
      <c r="AD920" t="s">
        <v>416</v>
      </c>
      <c r="AE920">
        <v>1</v>
      </c>
      <c r="AF920">
        <v>2</v>
      </c>
      <c r="AG920">
        <v>50</v>
      </c>
      <c r="AH920" t="s">
        <v>111</v>
      </c>
      <c r="AI920">
        <v>50</v>
      </c>
      <c r="AJ920" t="s">
        <v>111</v>
      </c>
      <c r="AK920" t="s">
        <v>111</v>
      </c>
      <c r="AL920" t="s">
        <v>111</v>
      </c>
      <c r="AM920">
        <v>0</v>
      </c>
      <c r="AN920">
        <v>0</v>
      </c>
      <c r="AO920">
        <v>0</v>
      </c>
      <c r="AP920" t="s">
        <v>2705</v>
      </c>
      <c r="AQ920" t="s">
        <v>111</v>
      </c>
      <c r="AR920" t="s">
        <v>111</v>
      </c>
      <c r="AS920" t="s">
        <v>111</v>
      </c>
      <c r="AT920" t="s">
        <v>111</v>
      </c>
      <c r="AU920" t="s">
        <v>111</v>
      </c>
      <c r="AV920" t="s">
        <v>111</v>
      </c>
      <c r="AW920" t="s">
        <v>111</v>
      </c>
      <c r="AX920" t="s">
        <v>111</v>
      </c>
      <c r="AY920" t="s">
        <v>111</v>
      </c>
      <c r="AZ920" t="s">
        <v>111</v>
      </c>
      <c r="BA920" t="s">
        <v>111</v>
      </c>
      <c r="BB920" t="s">
        <v>111</v>
      </c>
      <c r="BC920" t="s">
        <v>111</v>
      </c>
      <c r="BD920" t="s">
        <v>111</v>
      </c>
      <c r="BE920" t="s">
        <v>111</v>
      </c>
      <c r="BF920" t="s">
        <v>111</v>
      </c>
      <c r="BG920" t="s">
        <v>111</v>
      </c>
      <c r="BH920" t="s">
        <v>111</v>
      </c>
      <c r="BI920" t="s">
        <v>111</v>
      </c>
      <c r="BJ920" t="s">
        <v>111</v>
      </c>
      <c r="BK920" t="s">
        <v>111</v>
      </c>
      <c r="BL920" t="s">
        <v>111</v>
      </c>
      <c r="BM920" t="s">
        <v>111</v>
      </c>
      <c r="BN920" t="s">
        <v>111</v>
      </c>
      <c r="BO920" t="s">
        <v>111</v>
      </c>
      <c r="BP920" t="s">
        <v>111</v>
      </c>
      <c r="BQ920" t="s">
        <v>111</v>
      </c>
      <c r="BR920" t="s">
        <v>111</v>
      </c>
      <c r="BS920" t="s">
        <v>111</v>
      </c>
      <c r="BT920" t="s">
        <v>111</v>
      </c>
      <c r="BU920" t="s">
        <v>111</v>
      </c>
      <c r="BV920" t="s">
        <v>111</v>
      </c>
      <c r="BW920" t="s">
        <v>111</v>
      </c>
      <c r="BX920" t="s">
        <v>111</v>
      </c>
      <c r="BY920" t="s">
        <v>111</v>
      </c>
      <c r="BZ920" t="s">
        <v>111</v>
      </c>
      <c r="CA920" t="s">
        <v>111</v>
      </c>
      <c r="CB920" t="s">
        <v>111</v>
      </c>
      <c r="CC920" t="s">
        <v>111</v>
      </c>
      <c r="CD920" t="s">
        <v>111</v>
      </c>
      <c r="CE920" t="s">
        <v>111</v>
      </c>
      <c r="CF920" t="s">
        <v>111</v>
      </c>
      <c r="CG920" t="s">
        <v>111</v>
      </c>
      <c r="CH920" t="s">
        <v>111</v>
      </c>
      <c r="CI920" t="s">
        <v>111</v>
      </c>
      <c r="CJ920" t="s">
        <v>111</v>
      </c>
      <c r="CK920" t="s">
        <v>111</v>
      </c>
      <c r="CL920" t="s">
        <v>153</v>
      </c>
      <c r="CM920" t="s">
        <v>198</v>
      </c>
      <c r="CN920" t="s">
        <v>128</v>
      </c>
      <c r="CO920" t="s">
        <v>974</v>
      </c>
      <c r="CP920" t="s">
        <v>433</v>
      </c>
      <c r="CQ920">
        <v>0</v>
      </c>
      <c r="CR920">
        <v>0</v>
      </c>
      <c r="CS920">
        <v>0</v>
      </c>
      <c r="CT920" t="s">
        <v>168</v>
      </c>
      <c r="CU920">
        <v>0</v>
      </c>
      <c r="CV920" t="s">
        <v>111</v>
      </c>
      <c r="CW920" t="s">
        <v>111</v>
      </c>
      <c r="CX920" t="s">
        <v>111</v>
      </c>
      <c r="CY920">
        <v>0</v>
      </c>
      <c r="CZ920" t="s">
        <v>111</v>
      </c>
      <c r="DA920" t="s">
        <v>111</v>
      </c>
      <c r="DB920" t="s">
        <v>111</v>
      </c>
      <c r="DC920" t="s">
        <v>111</v>
      </c>
    </row>
    <row r="921" spans="1:107">
      <c r="A921">
        <v>413</v>
      </c>
      <c r="B921" t="s">
        <v>162</v>
      </c>
      <c r="C921" t="s">
        <v>928</v>
      </c>
      <c r="D921" t="s">
        <v>2976</v>
      </c>
      <c r="E921" t="s">
        <v>2977</v>
      </c>
      <c r="F921" t="s">
        <v>192</v>
      </c>
      <c r="G921" t="s">
        <v>416</v>
      </c>
      <c r="H921">
        <v>1.1499999999999999</v>
      </c>
      <c r="I921">
        <v>44</v>
      </c>
      <c r="J921">
        <v>0</v>
      </c>
      <c r="K921">
        <v>0</v>
      </c>
      <c r="L921" t="s">
        <v>178</v>
      </c>
      <c r="M921" t="s">
        <v>138</v>
      </c>
      <c r="N921">
        <v>0</v>
      </c>
      <c r="O921">
        <v>0</v>
      </c>
      <c r="P921" t="s">
        <v>138</v>
      </c>
      <c r="Q921">
        <v>35</v>
      </c>
      <c r="R921">
        <v>0</v>
      </c>
      <c r="S921">
        <v>0</v>
      </c>
      <c r="T921">
        <v>0</v>
      </c>
      <c r="U921" t="s">
        <v>153</v>
      </c>
      <c r="V921">
        <v>0</v>
      </c>
      <c r="W921">
        <v>25</v>
      </c>
      <c r="X921">
        <v>5</v>
      </c>
      <c r="Y921">
        <v>0</v>
      </c>
      <c r="Z921" t="s">
        <v>111</v>
      </c>
      <c r="AA921">
        <v>0</v>
      </c>
      <c r="AB921" t="s">
        <v>111</v>
      </c>
      <c r="AC921">
        <v>0</v>
      </c>
      <c r="AD921" t="s">
        <v>111</v>
      </c>
      <c r="AE921">
        <v>0</v>
      </c>
      <c r="AF921">
        <v>0</v>
      </c>
      <c r="AG921" t="s">
        <v>111</v>
      </c>
      <c r="AH921" t="s">
        <v>111</v>
      </c>
      <c r="AI921" t="s">
        <v>111</v>
      </c>
      <c r="AJ921" t="s">
        <v>111</v>
      </c>
      <c r="AK921" t="s">
        <v>111</v>
      </c>
      <c r="AL921" t="s">
        <v>111</v>
      </c>
      <c r="AM921">
        <v>0</v>
      </c>
      <c r="AN921">
        <v>0</v>
      </c>
      <c r="AO921">
        <v>0</v>
      </c>
      <c r="AP921" t="s">
        <v>111</v>
      </c>
      <c r="AQ921" t="s">
        <v>111</v>
      </c>
      <c r="AR921" t="s">
        <v>111</v>
      </c>
      <c r="AS921" t="s">
        <v>111</v>
      </c>
      <c r="AT921" t="s">
        <v>111</v>
      </c>
      <c r="AU921" t="s">
        <v>111</v>
      </c>
      <c r="AV921" t="s">
        <v>111</v>
      </c>
      <c r="AW921" t="s">
        <v>111</v>
      </c>
      <c r="AX921" t="s">
        <v>111</v>
      </c>
      <c r="AY921" t="s">
        <v>111</v>
      </c>
      <c r="AZ921" t="s">
        <v>111</v>
      </c>
      <c r="BA921" t="s">
        <v>111</v>
      </c>
      <c r="BB921" t="s">
        <v>111</v>
      </c>
      <c r="BC921" t="s">
        <v>111</v>
      </c>
      <c r="BD921" t="s">
        <v>111</v>
      </c>
      <c r="BE921" t="s">
        <v>111</v>
      </c>
      <c r="BF921" t="s">
        <v>111</v>
      </c>
      <c r="BG921" t="s">
        <v>111</v>
      </c>
      <c r="BH921" t="s">
        <v>111</v>
      </c>
      <c r="BI921" t="s">
        <v>111</v>
      </c>
      <c r="BJ921" t="s">
        <v>111</v>
      </c>
      <c r="BK921" t="s">
        <v>111</v>
      </c>
      <c r="BL921" t="s">
        <v>111</v>
      </c>
      <c r="BM921" t="s">
        <v>111</v>
      </c>
      <c r="BN921" t="s">
        <v>111</v>
      </c>
      <c r="BO921" t="s">
        <v>111</v>
      </c>
      <c r="BP921" t="s">
        <v>111</v>
      </c>
      <c r="BQ921" t="s">
        <v>111</v>
      </c>
      <c r="BR921" t="s">
        <v>111</v>
      </c>
      <c r="BS921" t="s">
        <v>111</v>
      </c>
      <c r="BT921" t="s">
        <v>111</v>
      </c>
      <c r="BU921" t="s">
        <v>111</v>
      </c>
      <c r="BV921" t="s">
        <v>111</v>
      </c>
      <c r="BW921" t="s">
        <v>111</v>
      </c>
      <c r="BX921" t="s">
        <v>111</v>
      </c>
      <c r="BY921" t="s">
        <v>111</v>
      </c>
      <c r="BZ921" t="s">
        <v>111</v>
      </c>
      <c r="CA921" t="s">
        <v>111</v>
      </c>
      <c r="CB921" t="s">
        <v>111</v>
      </c>
      <c r="CC921" t="s">
        <v>111</v>
      </c>
      <c r="CD921" t="s">
        <v>111</v>
      </c>
      <c r="CE921" t="s">
        <v>111</v>
      </c>
      <c r="CF921" t="s">
        <v>111</v>
      </c>
      <c r="CG921" t="s">
        <v>111</v>
      </c>
      <c r="CH921" t="s">
        <v>111</v>
      </c>
      <c r="CI921" t="s">
        <v>111</v>
      </c>
      <c r="CJ921" t="s">
        <v>111</v>
      </c>
      <c r="CK921" t="s">
        <v>111</v>
      </c>
      <c r="CL921" t="s">
        <v>111</v>
      </c>
      <c r="CM921" t="s">
        <v>198</v>
      </c>
      <c r="CN921" t="s">
        <v>113</v>
      </c>
      <c r="CO921" t="s">
        <v>111</v>
      </c>
      <c r="CP921" t="s">
        <v>111</v>
      </c>
      <c r="CQ921">
        <v>0</v>
      </c>
      <c r="CR921">
        <v>0</v>
      </c>
      <c r="CS921">
        <v>0</v>
      </c>
      <c r="CT921" t="s">
        <v>168</v>
      </c>
      <c r="CU921">
        <v>0</v>
      </c>
      <c r="CV921" t="s">
        <v>111</v>
      </c>
      <c r="CW921" t="s">
        <v>111</v>
      </c>
      <c r="CX921" t="s">
        <v>111</v>
      </c>
      <c r="CY921">
        <v>0</v>
      </c>
      <c r="CZ921" t="s">
        <v>111</v>
      </c>
      <c r="DA921" t="s">
        <v>111</v>
      </c>
      <c r="DB921" t="s">
        <v>111</v>
      </c>
      <c r="DC921" t="s">
        <v>111</v>
      </c>
    </row>
    <row r="922" spans="1:107">
      <c r="A922">
        <v>174</v>
      </c>
      <c r="B922" t="s">
        <v>162</v>
      </c>
      <c r="C922" t="s">
        <v>2274</v>
      </c>
      <c r="D922" t="s">
        <v>2978</v>
      </c>
      <c r="E922" t="s">
        <v>2127</v>
      </c>
      <c r="F922" t="s">
        <v>722</v>
      </c>
      <c r="G922" t="s">
        <v>416</v>
      </c>
      <c r="H922">
        <v>0.9</v>
      </c>
      <c r="I922">
        <v>43</v>
      </c>
      <c r="J922">
        <v>0</v>
      </c>
      <c r="K922">
        <v>0</v>
      </c>
      <c r="L922" t="s">
        <v>112</v>
      </c>
      <c r="M922" t="s">
        <v>138</v>
      </c>
      <c r="N922">
        <v>0</v>
      </c>
      <c r="O922">
        <v>0</v>
      </c>
      <c r="P922" t="s">
        <v>138</v>
      </c>
      <c r="Q922">
        <v>40</v>
      </c>
      <c r="R922">
        <v>0</v>
      </c>
      <c r="S922">
        <v>0</v>
      </c>
      <c r="T922">
        <v>0</v>
      </c>
      <c r="U922" t="s">
        <v>111</v>
      </c>
      <c r="V922">
        <v>0</v>
      </c>
      <c r="W922">
        <v>25</v>
      </c>
      <c r="X922">
        <v>6</v>
      </c>
      <c r="Y922">
        <v>0</v>
      </c>
      <c r="Z922" t="s">
        <v>111</v>
      </c>
      <c r="AA922">
        <v>0</v>
      </c>
      <c r="AB922" t="s">
        <v>111</v>
      </c>
      <c r="AC922">
        <v>0</v>
      </c>
      <c r="AD922" t="s">
        <v>111</v>
      </c>
      <c r="AE922">
        <v>0</v>
      </c>
      <c r="AF922">
        <v>0</v>
      </c>
      <c r="AG922" t="s">
        <v>111</v>
      </c>
      <c r="AH922" t="s">
        <v>111</v>
      </c>
      <c r="AI922" t="s">
        <v>111</v>
      </c>
      <c r="AJ922" t="s">
        <v>111</v>
      </c>
      <c r="AK922" t="s">
        <v>111</v>
      </c>
      <c r="AL922" t="s">
        <v>111</v>
      </c>
      <c r="AM922">
        <v>0</v>
      </c>
      <c r="AN922">
        <v>0</v>
      </c>
      <c r="AO922">
        <v>0</v>
      </c>
      <c r="AP922" t="s">
        <v>111</v>
      </c>
      <c r="AQ922" t="s">
        <v>111</v>
      </c>
      <c r="AR922" t="s">
        <v>111</v>
      </c>
      <c r="AS922" t="s">
        <v>111</v>
      </c>
      <c r="AT922" t="s">
        <v>111</v>
      </c>
      <c r="AU922" t="s">
        <v>111</v>
      </c>
      <c r="AV922" t="s">
        <v>111</v>
      </c>
      <c r="AW922" t="s">
        <v>111</v>
      </c>
      <c r="AX922" t="s">
        <v>111</v>
      </c>
      <c r="AY922" t="s">
        <v>111</v>
      </c>
      <c r="AZ922" t="s">
        <v>111</v>
      </c>
      <c r="BA922" t="s">
        <v>111</v>
      </c>
      <c r="BB922" t="s">
        <v>111</v>
      </c>
      <c r="BC922" t="s">
        <v>111</v>
      </c>
      <c r="BD922" t="s">
        <v>111</v>
      </c>
      <c r="BE922" t="s">
        <v>111</v>
      </c>
      <c r="BF922" t="s">
        <v>111</v>
      </c>
      <c r="BG922" t="s">
        <v>111</v>
      </c>
      <c r="BH922" t="s">
        <v>111</v>
      </c>
      <c r="BI922" t="s">
        <v>111</v>
      </c>
      <c r="BJ922" t="s">
        <v>111</v>
      </c>
      <c r="BK922" t="s">
        <v>111</v>
      </c>
      <c r="BL922" t="s">
        <v>111</v>
      </c>
      <c r="BM922" t="s">
        <v>111</v>
      </c>
      <c r="BN922" t="s">
        <v>111</v>
      </c>
      <c r="BO922" t="s">
        <v>111</v>
      </c>
      <c r="BP922" t="s">
        <v>111</v>
      </c>
      <c r="BQ922" t="s">
        <v>111</v>
      </c>
      <c r="BR922" t="s">
        <v>111</v>
      </c>
      <c r="BS922" t="s">
        <v>111</v>
      </c>
      <c r="BT922" t="s">
        <v>111</v>
      </c>
      <c r="BU922" t="s">
        <v>111</v>
      </c>
      <c r="BV922" t="s">
        <v>111</v>
      </c>
      <c r="BW922" t="s">
        <v>111</v>
      </c>
      <c r="BX922" t="s">
        <v>111</v>
      </c>
      <c r="BY922" t="s">
        <v>111</v>
      </c>
      <c r="BZ922" t="s">
        <v>111</v>
      </c>
      <c r="CA922" t="s">
        <v>111</v>
      </c>
      <c r="CB922" t="s">
        <v>111</v>
      </c>
      <c r="CC922" t="s">
        <v>111</v>
      </c>
      <c r="CD922" t="s">
        <v>111</v>
      </c>
      <c r="CE922" t="s">
        <v>111</v>
      </c>
      <c r="CF922" t="s">
        <v>111</v>
      </c>
      <c r="CG922" t="s">
        <v>111</v>
      </c>
      <c r="CH922" t="s">
        <v>111</v>
      </c>
      <c r="CI922" t="s">
        <v>111</v>
      </c>
      <c r="CJ922" t="s">
        <v>111</v>
      </c>
      <c r="CK922" t="s">
        <v>111</v>
      </c>
      <c r="CL922" t="s">
        <v>111</v>
      </c>
      <c r="CM922" t="s">
        <v>111</v>
      </c>
      <c r="CN922" t="s">
        <v>111</v>
      </c>
      <c r="CO922" t="s">
        <v>111</v>
      </c>
      <c r="CP922" t="s">
        <v>111</v>
      </c>
      <c r="CQ922">
        <v>0</v>
      </c>
      <c r="CR922">
        <v>0</v>
      </c>
      <c r="CS922">
        <v>0</v>
      </c>
      <c r="CT922" t="s">
        <v>111</v>
      </c>
      <c r="CU922">
        <v>0</v>
      </c>
      <c r="CV922" t="s">
        <v>111</v>
      </c>
      <c r="CW922" t="s">
        <v>111</v>
      </c>
      <c r="CX922" t="s">
        <v>111</v>
      </c>
      <c r="CY922">
        <v>0</v>
      </c>
      <c r="CZ922" t="s">
        <v>111</v>
      </c>
      <c r="DA922" t="s">
        <v>111</v>
      </c>
      <c r="DB922" t="s">
        <v>204</v>
      </c>
      <c r="DC922" s="1" t="s">
        <v>205</v>
      </c>
    </row>
    <row r="923" spans="1:107">
      <c r="A923">
        <v>693</v>
      </c>
      <c r="B923" t="s">
        <v>162</v>
      </c>
      <c r="C923" t="s">
        <v>428</v>
      </c>
      <c r="D923" t="s">
        <v>2979</v>
      </c>
      <c r="E923" t="s">
        <v>2980</v>
      </c>
      <c r="F923" t="s">
        <v>1014</v>
      </c>
      <c r="G923" t="s">
        <v>416</v>
      </c>
      <c r="H923">
        <v>0.8</v>
      </c>
      <c r="I923">
        <v>50</v>
      </c>
      <c r="J923">
        <v>0</v>
      </c>
      <c r="K923">
        <v>0</v>
      </c>
      <c r="L923" t="s">
        <v>112</v>
      </c>
      <c r="M923" t="s">
        <v>118</v>
      </c>
      <c r="N923">
        <v>39</v>
      </c>
      <c r="O923">
        <v>1</v>
      </c>
      <c r="P923" t="s">
        <v>138</v>
      </c>
      <c r="Q923">
        <v>30</v>
      </c>
      <c r="R923">
        <v>0</v>
      </c>
      <c r="S923">
        <v>0</v>
      </c>
      <c r="T923">
        <v>0</v>
      </c>
      <c r="U923" t="s">
        <v>1353</v>
      </c>
      <c r="V923">
        <v>0</v>
      </c>
      <c r="W923">
        <v>25</v>
      </c>
      <c r="X923">
        <v>4</v>
      </c>
      <c r="Y923">
        <v>0</v>
      </c>
      <c r="Z923" t="s">
        <v>111</v>
      </c>
      <c r="AA923">
        <v>0</v>
      </c>
      <c r="AB923" t="s">
        <v>111</v>
      </c>
      <c r="AC923">
        <v>0</v>
      </c>
      <c r="AD923" t="s">
        <v>416</v>
      </c>
      <c r="AE923">
        <v>1</v>
      </c>
      <c r="AF923">
        <v>1</v>
      </c>
      <c r="AG923">
        <v>45</v>
      </c>
      <c r="AH923" t="s">
        <v>111</v>
      </c>
      <c r="AI923">
        <v>45</v>
      </c>
      <c r="AJ923" t="s">
        <v>111</v>
      </c>
      <c r="AK923" t="s">
        <v>111</v>
      </c>
      <c r="AL923" t="s">
        <v>111</v>
      </c>
      <c r="AM923">
        <v>0</v>
      </c>
      <c r="AN923">
        <v>0</v>
      </c>
      <c r="AO923">
        <v>0</v>
      </c>
      <c r="AP923" t="s">
        <v>111</v>
      </c>
      <c r="AQ923" t="s">
        <v>111</v>
      </c>
      <c r="AR923" t="s">
        <v>111</v>
      </c>
      <c r="AS923" t="s">
        <v>111</v>
      </c>
      <c r="AT923" t="s">
        <v>111</v>
      </c>
      <c r="AU923" t="s">
        <v>111</v>
      </c>
      <c r="AV923" t="s">
        <v>111</v>
      </c>
      <c r="AW923" t="s">
        <v>111</v>
      </c>
      <c r="AX923" t="s">
        <v>111</v>
      </c>
      <c r="AY923" t="s">
        <v>111</v>
      </c>
      <c r="AZ923" t="s">
        <v>111</v>
      </c>
      <c r="BA923" t="s">
        <v>111</v>
      </c>
      <c r="BB923" t="s">
        <v>111</v>
      </c>
      <c r="BC923" t="s">
        <v>111</v>
      </c>
      <c r="BD923" t="s">
        <v>111</v>
      </c>
      <c r="BE923" t="s">
        <v>111</v>
      </c>
      <c r="BF923" t="s">
        <v>111</v>
      </c>
      <c r="BG923" t="s">
        <v>111</v>
      </c>
      <c r="BH923" t="s">
        <v>111</v>
      </c>
      <c r="BI923" t="s">
        <v>111</v>
      </c>
      <c r="BJ923" t="s">
        <v>111</v>
      </c>
      <c r="BK923" t="s">
        <v>111</v>
      </c>
      <c r="BL923" t="s">
        <v>111</v>
      </c>
      <c r="BM923" t="s">
        <v>111</v>
      </c>
      <c r="BN923" t="s">
        <v>111</v>
      </c>
      <c r="BO923" t="s">
        <v>111</v>
      </c>
      <c r="BP923" t="s">
        <v>111</v>
      </c>
      <c r="BQ923" t="s">
        <v>111</v>
      </c>
      <c r="BR923" t="s">
        <v>111</v>
      </c>
      <c r="BS923" t="s">
        <v>111</v>
      </c>
      <c r="BT923" t="s">
        <v>111</v>
      </c>
      <c r="BU923" t="s">
        <v>111</v>
      </c>
      <c r="BV923" t="s">
        <v>111</v>
      </c>
      <c r="BW923" t="s">
        <v>111</v>
      </c>
      <c r="BX923" t="s">
        <v>111</v>
      </c>
      <c r="BY923" t="s">
        <v>111</v>
      </c>
      <c r="BZ923" t="s">
        <v>111</v>
      </c>
      <c r="CA923" t="s">
        <v>111</v>
      </c>
      <c r="CB923" t="s">
        <v>111</v>
      </c>
      <c r="CC923" t="s">
        <v>111</v>
      </c>
      <c r="CD923" t="s">
        <v>111</v>
      </c>
      <c r="CE923" t="s">
        <v>111</v>
      </c>
      <c r="CF923" t="s">
        <v>111</v>
      </c>
      <c r="CG923" t="s">
        <v>111</v>
      </c>
      <c r="CH923" t="s">
        <v>111</v>
      </c>
      <c r="CI923" t="s">
        <v>111</v>
      </c>
      <c r="CJ923" t="s">
        <v>111</v>
      </c>
      <c r="CK923" t="s">
        <v>111</v>
      </c>
      <c r="CL923" t="s">
        <v>419</v>
      </c>
      <c r="CM923" t="s">
        <v>111</v>
      </c>
      <c r="CN923" t="s">
        <v>111</v>
      </c>
      <c r="CO923" t="s">
        <v>111</v>
      </c>
      <c r="CP923" t="s">
        <v>111</v>
      </c>
      <c r="CQ923">
        <v>0</v>
      </c>
      <c r="CR923">
        <v>0</v>
      </c>
      <c r="CS923">
        <v>0</v>
      </c>
      <c r="CT923" t="s">
        <v>111</v>
      </c>
      <c r="CU923">
        <v>0</v>
      </c>
      <c r="CV923" t="s">
        <v>111</v>
      </c>
      <c r="CW923" t="s">
        <v>111</v>
      </c>
      <c r="CX923" t="s">
        <v>111</v>
      </c>
      <c r="CY923">
        <v>0</v>
      </c>
      <c r="CZ923" t="s">
        <v>111</v>
      </c>
      <c r="DA923" t="s">
        <v>111</v>
      </c>
      <c r="DB923" t="s">
        <v>204</v>
      </c>
      <c r="DC923" s="1" t="s">
        <v>205</v>
      </c>
    </row>
    <row r="924" spans="1:107">
      <c r="A924">
        <v>439</v>
      </c>
      <c r="B924" t="s">
        <v>162</v>
      </c>
      <c r="C924" t="s">
        <v>144</v>
      </c>
      <c r="D924" t="s">
        <v>145</v>
      </c>
      <c r="E924" t="s">
        <v>2981</v>
      </c>
      <c r="F924" t="s">
        <v>125</v>
      </c>
      <c r="G924" t="s">
        <v>416</v>
      </c>
      <c r="H924">
        <v>0.8</v>
      </c>
      <c r="I924">
        <v>65</v>
      </c>
      <c r="J924">
        <v>0</v>
      </c>
      <c r="K924">
        <v>0</v>
      </c>
      <c r="L924" t="s">
        <v>112</v>
      </c>
      <c r="M924" t="s">
        <v>138</v>
      </c>
      <c r="N924">
        <v>0</v>
      </c>
      <c r="O924">
        <v>0</v>
      </c>
      <c r="P924" t="s">
        <v>138</v>
      </c>
      <c r="Q924">
        <v>35</v>
      </c>
      <c r="R924">
        <v>0</v>
      </c>
      <c r="S924">
        <v>0</v>
      </c>
      <c r="T924">
        <v>0</v>
      </c>
      <c r="U924" s="1" t="s">
        <v>2957</v>
      </c>
      <c r="V924">
        <v>25</v>
      </c>
      <c r="W924">
        <v>0</v>
      </c>
      <c r="X924">
        <v>8</v>
      </c>
      <c r="Y924">
        <v>0</v>
      </c>
      <c r="Z924" t="s">
        <v>366</v>
      </c>
      <c r="AA924">
        <v>1.32</v>
      </c>
      <c r="AB924" t="s">
        <v>111</v>
      </c>
      <c r="AC924">
        <v>0</v>
      </c>
      <c r="AD924" t="s">
        <v>111</v>
      </c>
      <c r="AE924">
        <v>0</v>
      </c>
      <c r="AF924">
        <v>0</v>
      </c>
      <c r="AG924" t="s">
        <v>111</v>
      </c>
      <c r="AH924" t="s">
        <v>111</v>
      </c>
      <c r="AI924" t="s">
        <v>111</v>
      </c>
      <c r="AJ924" t="s">
        <v>111</v>
      </c>
      <c r="AK924" t="s">
        <v>111</v>
      </c>
      <c r="AL924" t="s">
        <v>111</v>
      </c>
      <c r="AM924">
        <v>0</v>
      </c>
      <c r="AN924">
        <v>0</v>
      </c>
      <c r="AO924">
        <v>0</v>
      </c>
      <c r="AP924" t="s">
        <v>111</v>
      </c>
      <c r="AQ924" t="s">
        <v>111</v>
      </c>
      <c r="AR924" t="s">
        <v>111</v>
      </c>
      <c r="AS924" t="s">
        <v>111</v>
      </c>
      <c r="AT924" t="s">
        <v>111</v>
      </c>
      <c r="AU924" t="s">
        <v>111</v>
      </c>
      <c r="AV924" t="s">
        <v>111</v>
      </c>
      <c r="AW924" t="s">
        <v>111</v>
      </c>
      <c r="AX924" t="s">
        <v>111</v>
      </c>
      <c r="AY924" t="s">
        <v>111</v>
      </c>
      <c r="AZ924" t="s">
        <v>111</v>
      </c>
      <c r="BA924" t="s">
        <v>111</v>
      </c>
      <c r="BB924" t="s">
        <v>111</v>
      </c>
      <c r="BC924" t="s">
        <v>111</v>
      </c>
      <c r="BD924" t="s">
        <v>111</v>
      </c>
      <c r="BE924" t="s">
        <v>111</v>
      </c>
      <c r="BF924" t="s">
        <v>111</v>
      </c>
      <c r="BG924" t="s">
        <v>111</v>
      </c>
      <c r="BH924" t="s">
        <v>111</v>
      </c>
      <c r="BI924" t="s">
        <v>111</v>
      </c>
      <c r="BJ924" t="s">
        <v>111</v>
      </c>
      <c r="BK924" t="s">
        <v>111</v>
      </c>
      <c r="BL924" t="s">
        <v>111</v>
      </c>
      <c r="BM924" t="s">
        <v>111</v>
      </c>
      <c r="BN924" t="s">
        <v>111</v>
      </c>
      <c r="BO924" t="s">
        <v>111</v>
      </c>
      <c r="BP924" t="s">
        <v>111</v>
      </c>
      <c r="BQ924" t="s">
        <v>111</v>
      </c>
      <c r="BR924" t="s">
        <v>111</v>
      </c>
      <c r="BS924" t="s">
        <v>111</v>
      </c>
      <c r="BT924" t="s">
        <v>111</v>
      </c>
      <c r="BU924" t="s">
        <v>111</v>
      </c>
      <c r="BV924" t="s">
        <v>111</v>
      </c>
      <c r="BW924" t="s">
        <v>111</v>
      </c>
      <c r="BX924" t="s">
        <v>111</v>
      </c>
      <c r="BY924" t="s">
        <v>111</v>
      </c>
      <c r="BZ924" t="s">
        <v>111</v>
      </c>
      <c r="CA924" t="s">
        <v>111</v>
      </c>
      <c r="CB924" t="s">
        <v>111</v>
      </c>
      <c r="CC924" t="s">
        <v>111</v>
      </c>
      <c r="CD924" t="s">
        <v>111</v>
      </c>
      <c r="CE924" t="s">
        <v>111</v>
      </c>
      <c r="CF924" t="s">
        <v>111</v>
      </c>
      <c r="CG924" t="s">
        <v>111</v>
      </c>
      <c r="CH924" t="s">
        <v>111</v>
      </c>
      <c r="CI924" t="s">
        <v>111</v>
      </c>
      <c r="CJ924" t="s">
        <v>111</v>
      </c>
      <c r="CK924" t="s">
        <v>111</v>
      </c>
      <c r="CL924" t="s">
        <v>111</v>
      </c>
      <c r="CM924" t="s">
        <v>198</v>
      </c>
      <c r="CN924" t="s">
        <v>128</v>
      </c>
      <c r="CO924" t="s">
        <v>111</v>
      </c>
      <c r="CP924" t="s">
        <v>111</v>
      </c>
      <c r="CQ924">
        <v>0</v>
      </c>
      <c r="CR924">
        <v>0</v>
      </c>
      <c r="CS924">
        <v>0</v>
      </c>
      <c r="CT924" t="s">
        <v>168</v>
      </c>
      <c r="CU924">
        <v>0</v>
      </c>
      <c r="CV924" t="s">
        <v>111</v>
      </c>
      <c r="CW924" t="s">
        <v>111</v>
      </c>
      <c r="CX924" t="s">
        <v>111</v>
      </c>
      <c r="CY924">
        <v>0</v>
      </c>
      <c r="CZ924" t="s">
        <v>111</v>
      </c>
      <c r="DA924" t="s">
        <v>111</v>
      </c>
      <c r="DB924" t="s">
        <v>111</v>
      </c>
      <c r="DC924" t="s">
        <v>111</v>
      </c>
    </row>
    <row r="925" spans="1:107">
      <c r="A925">
        <v>786</v>
      </c>
      <c r="B925" t="s">
        <v>107</v>
      </c>
      <c r="C925" t="s">
        <v>336</v>
      </c>
      <c r="D925" t="s">
        <v>2982</v>
      </c>
      <c r="E925" t="s">
        <v>2983</v>
      </c>
      <c r="F925" t="s">
        <v>125</v>
      </c>
      <c r="G925" t="s">
        <v>416</v>
      </c>
      <c r="H925">
        <v>1.8</v>
      </c>
      <c r="I925">
        <v>51</v>
      </c>
      <c r="J925">
        <v>0</v>
      </c>
      <c r="K925">
        <v>0</v>
      </c>
      <c r="L925" t="s">
        <v>112</v>
      </c>
      <c r="M925" t="s">
        <v>138</v>
      </c>
      <c r="N925">
        <v>0</v>
      </c>
      <c r="O925">
        <v>0</v>
      </c>
      <c r="P925" t="s">
        <v>138</v>
      </c>
      <c r="Q925">
        <v>50</v>
      </c>
      <c r="R925">
        <v>0</v>
      </c>
      <c r="S925">
        <v>0</v>
      </c>
      <c r="T925">
        <v>0</v>
      </c>
      <c r="U925" t="s">
        <v>2984</v>
      </c>
      <c r="V925">
        <v>25</v>
      </c>
      <c r="W925">
        <v>0</v>
      </c>
      <c r="X925">
        <v>10</v>
      </c>
      <c r="Y925">
        <v>0</v>
      </c>
      <c r="Z925" t="s">
        <v>111</v>
      </c>
      <c r="AA925">
        <v>0</v>
      </c>
      <c r="AB925" t="s">
        <v>111</v>
      </c>
      <c r="AC925">
        <v>0</v>
      </c>
      <c r="AD925" t="s">
        <v>111</v>
      </c>
      <c r="AE925">
        <v>0</v>
      </c>
      <c r="AF925">
        <v>0</v>
      </c>
      <c r="AG925" t="s">
        <v>111</v>
      </c>
      <c r="AH925" t="s">
        <v>111</v>
      </c>
      <c r="AI925" t="s">
        <v>111</v>
      </c>
      <c r="AJ925" t="s">
        <v>111</v>
      </c>
      <c r="AK925" t="s">
        <v>111</v>
      </c>
      <c r="AL925" t="s">
        <v>111</v>
      </c>
      <c r="AM925">
        <v>0</v>
      </c>
      <c r="AN925">
        <v>0</v>
      </c>
      <c r="AO925">
        <v>0</v>
      </c>
      <c r="AP925" t="s">
        <v>111</v>
      </c>
      <c r="AQ925" t="s">
        <v>111</v>
      </c>
      <c r="AR925" t="s">
        <v>111</v>
      </c>
      <c r="AS925" t="s">
        <v>111</v>
      </c>
      <c r="AT925" t="s">
        <v>111</v>
      </c>
      <c r="AU925" t="s">
        <v>111</v>
      </c>
      <c r="AV925" t="s">
        <v>111</v>
      </c>
      <c r="AW925" t="s">
        <v>111</v>
      </c>
      <c r="AX925" t="s">
        <v>111</v>
      </c>
      <c r="AY925" t="s">
        <v>111</v>
      </c>
      <c r="AZ925" t="s">
        <v>111</v>
      </c>
      <c r="BA925" t="s">
        <v>111</v>
      </c>
      <c r="BB925" t="s">
        <v>111</v>
      </c>
      <c r="BC925" t="s">
        <v>111</v>
      </c>
      <c r="BD925" t="s">
        <v>111</v>
      </c>
      <c r="BE925" t="s">
        <v>111</v>
      </c>
      <c r="BF925" t="s">
        <v>111</v>
      </c>
      <c r="BG925" t="s">
        <v>111</v>
      </c>
      <c r="BH925" t="s">
        <v>111</v>
      </c>
      <c r="BI925" t="s">
        <v>111</v>
      </c>
      <c r="BJ925" t="s">
        <v>111</v>
      </c>
      <c r="BK925" t="s">
        <v>111</v>
      </c>
      <c r="BL925" t="s">
        <v>111</v>
      </c>
      <c r="BM925" t="s">
        <v>111</v>
      </c>
      <c r="BN925" t="s">
        <v>111</v>
      </c>
      <c r="BO925" t="s">
        <v>111</v>
      </c>
      <c r="BP925" t="s">
        <v>111</v>
      </c>
      <c r="BQ925" t="s">
        <v>111</v>
      </c>
      <c r="BR925" t="s">
        <v>111</v>
      </c>
      <c r="BS925" t="s">
        <v>111</v>
      </c>
      <c r="BT925" t="s">
        <v>111</v>
      </c>
      <c r="BU925" t="s">
        <v>111</v>
      </c>
      <c r="BV925" t="s">
        <v>111</v>
      </c>
      <c r="BW925" t="s">
        <v>111</v>
      </c>
      <c r="BX925" t="s">
        <v>111</v>
      </c>
      <c r="BY925" t="s">
        <v>111</v>
      </c>
      <c r="BZ925" t="s">
        <v>111</v>
      </c>
      <c r="CA925" t="s">
        <v>111</v>
      </c>
      <c r="CB925" t="s">
        <v>111</v>
      </c>
      <c r="CC925" t="s">
        <v>111</v>
      </c>
      <c r="CD925" t="s">
        <v>111</v>
      </c>
      <c r="CE925" t="s">
        <v>111</v>
      </c>
      <c r="CF925" t="s">
        <v>111</v>
      </c>
      <c r="CG925" t="s">
        <v>111</v>
      </c>
      <c r="CH925" t="s">
        <v>111</v>
      </c>
      <c r="CI925" t="s">
        <v>111</v>
      </c>
      <c r="CJ925" t="s">
        <v>111</v>
      </c>
      <c r="CK925" t="s">
        <v>111</v>
      </c>
      <c r="CL925" t="s">
        <v>111</v>
      </c>
      <c r="CM925" t="s">
        <v>111</v>
      </c>
      <c r="CN925" t="s">
        <v>111</v>
      </c>
      <c r="CO925" t="s">
        <v>111</v>
      </c>
      <c r="CP925" t="s">
        <v>111</v>
      </c>
      <c r="CQ925">
        <v>0</v>
      </c>
      <c r="CR925">
        <v>200</v>
      </c>
      <c r="CS925">
        <v>20</v>
      </c>
      <c r="CT925" t="s">
        <v>111</v>
      </c>
      <c r="CU925">
        <v>0</v>
      </c>
      <c r="CV925" t="s">
        <v>111</v>
      </c>
      <c r="CW925" t="s">
        <v>111</v>
      </c>
      <c r="CX925" t="s">
        <v>111</v>
      </c>
      <c r="CY925">
        <v>0</v>
      </c>
      <c r="CZ925" t="s">
        <v>111</v>
      </c>
      <c r="DA925" t="s">
        <v>111</v>
      </c>
      <c r="DB925" t="s">
        <v>240</v>
      </c>
      <c r="DC925" s="1" t="s">
        <v>2985</v>
      </c>
    </row>
    <row r="926" spans="1:107">
      <c r="A926">
        <v>788</v>
      </c>
      <c r="B926" t="s">
        <v>107</v>
      </c>
      <c r="C926" t="s">
        <v>2986</v>
      </c>
      <c r="D926" t="s">
        <v>2987</v>
      </c>
      <c r="E926" t="s">
        <v>2988</v>
      </c>
      <c r="F926" t="s">
        <v>2870</v>
      </c>
      <c r="G926" t="s">
        <v>416</v>
      </c>
      <c r="H926">
        <v>4</v>
      </c>
      <c r="I926">
        <v>27</v>
      </c>
      <c r="J926">
        <v>0</v>
      </c>
      <c r="K926">
        <v>0</v>
      </c>
      <c r="L926" t="s">
        <v>112</v>
      </c>
      <c r="M926" t="s">
        <v>118</v>
      </c>
      <c r="N926">
        <v>40</v>
      </c>
      <c r="O926">
        <v>2</v>
      </c>
      <c r="P926" t="s">
        <v>138</v>
      </c>
      <c r="Q926">
        <v>25</v>
      </c>
      <c r="R926">
        <v>0</v>
      </c>
      <c r="S926">
        <v>0</v>
      </c>
      <c r="T926">
        <v>0</v>
      </c>
      <c r="U926" s="1" t="s">
        <v>1466</v>
      </c>
      <c r="V926">
        <v>0</v>
      </c>
      <c r="W926">
        <v>25</v>
      </c>
      <c r="X926">
        <v>8</v>
      </c>
      <c r="Y926">
        <v>0</v>
      </c>
      <c r="Z926" t="s">
        <v>111</v>
      </c>
      <c r="AA926">
        <v>0</v>
      </c>
      <c r="AB926" t="s">
        <v>111</v>
      </c>
      <c r="AC926">
        <v>0</v>
      </c>
      <c r="AD926" t="s">
        <v>416</v>
      </c>
      <c r="AE926">
        <v>20</v>
      </c>
      <c r="AF926">
        <v>2</v>
      </c>
      <c r="AG926" t="s">
        <v>111</v>
      </c>
      <c r="AH926" t="s">
        <v>128</v>
      </c>
      <c r="AI926" t="s">
        <v>111</v>
      </c>
      <c r="AJ926" t="s">
        <v>111</v>
      </c>
      <c r="AK926" t="s">
        <v>111</v>
      </c>
      <c r="AL926" t="s">
        <v>111</v>
      </c>
      <c r="AM926">
        <v>0</v>
      </c>
      <c r="AN926">
        <v>0</v>
      </c>
      <c r="AO926">
        <v>0</v>
      </c>
      <c r="AP926" t="s">
        <v>772</v>
      </c>
      <c r="AQ926" t="s">
        <v>111</v>
      </c>
      <c r="AR926" t="s">
        <v>111</v>
      </c>
      <c r="AS926" t="s">
        <v>111</v>
      </c>
      <c r="AT926" t="s">
        <v>259</v>
      </c>
      <c r="AU926" t="s">
        <v>111</v>
      </c>
      <c r="AV926" t="s">
        <v>111</v>
      </c>
      <c r="AW926" t="s">
        <v>111</v>
      </c>
      <c r="AX926" t="s">
        <v>111</v>
      </c>
      <c r="AY926" t="s">
        <v>111</v>
      </c>
      <c r="AZ926" t="s">
        <v>111</v>
      </c>
      <c r="BA926" t="s">
        <v>111</v>
      </c>
      <c r="BB926" t="s">
        <v>111</v>
      </c>
      <c r="BC926" t="s">
        <v>111</v>
      </c>
      <c r="BD926" t="s">
        <v>111</v>
      </c>
      <c r="BE926" t="s">
        <v>111</v>
      </c>
      <c r="BF926" t="s">
        <v>111</v>
      </c>
      <c r="BG926" t="s">
        <v>111</v>
      </c>
      <c r="BH926" t="s">
        <v>111</v>
      </c>
      <c r="BI926" t="s">
        <v>111</v>
      </c>
      <c r="BJ926" t="s">
        <v>111</v>
      </c>
      <c r="BK926" t="s">
        <v>111</v>
      </c>
      <c r="BL926" t="s">
        <v>111</v>
      </c>
      <c r="BM926" t="s">
        <v>111</v>
      </c>
      <c r="BN926" t="s">
        <v>772</v>
      </c>
      <c r="BO926" t="s">
        <v>111</v>
      </c>
      <c r="BP926" t="s">
        <v>111</v>
      </c>
      <c r="BQ926" t="s">
        <v>111</v>
      </c>
      <c r="BR926" t="s">
        <v>259</v>
      </c>
      <c r="BS926" t="s">
        <v>111</v>
      </c>
      <c r="BT926" t="s">
        <v>111</v>
      </c>
      <c r="BU926" t="s">
        <v>111</v>
      </c>
      <c r="BV926" t="s">
        <v>111</v>
      </c>
      <c r="BW926" t="s">
        <v>111</v>
      </c>
      <c r="BX926" t="s">
        <v>111</v>
      </c>
      <c r="BY926" t="s">
        <v>111</v>
      </c>
      <c r="BZ926" t="s">
        <v>111</v>
      </c>
      <c r="CA926" t="s">
        <v>111</v>
      </c>
      <c r="CB926" t="s">
        <v>111</v>
      </c>
      <c r="CC926" t="s">
        <v>111</v>
      </c>
      <c r="CD926" t="s">
        <v>111</v>
      </c>
      <c r="CE926" t="s">
        <v>111</v>
      </c>
      <c r="CF926" t="s">
        <v>111</v>
      </c>
      <c r="CG926" t="s">
        <v>111</v>
      </c>
      <c r="CH926" t="s">
        <v>111</v>
      </c>
      <c r="CI926" t="s">
        <v>111</v>
      </c>
      <c r="CJ926" t="s">
        <v>111</v>
      </c>
      <c r="CK926" t="s">
        <v>111</v>
      </c>
      <c r="CL926" t="e">
        <f>-DESTINO ALMACEN</f>
        <v>#NAME?</v>
      </c>
      <c r="CM926" t="s">
        <v>111</v>
      </c>
      <c r="CN926" t="s">
        <v>111</v>
      </c>
      <c r="CO926" t="s">
        <v>111</v>
      </c>
      <c r="CP926" t="s">
        <v>111</v>
      </c>
      <c r="CQ926">
        <v>0</v>
      </c>
      <c r="CR926">
        <v>0</v>
      </c>
      <c r="CS926">
        <v>0</v>
      </c>
      <c r="CT926" t="s">
        <v>111</v>
      </c>
      <c r="CU926">
        <v>0</v>
      </c>
      <c r="CV926" t="s">
        <v>111</v>
      </c>
      <c r="CW926" t="s">
        <v>111</v>
      </c>
      <c r="CX926" t="s">
        <v>111</v>
      </c>
      <c r="CY926">
        <v>0</v>
      </c>
      <c r="CZ926" t="s">
        <v>111</v>
      </c>
      <c r="DA926" t="s">
        <v>111</v>
      </c>
      <c r="DB926" t="s">
        <v>111</v>
      </c>
      <c r="DC926" t="s">
        <v>111</v>
      </c>
    </row>
    <row r="927" spans="1:107">
      <c r="A927">
        <v>475</v>
      </c>
      <c r="B927" t="s">
        <v>162</v>
      </c>
      <c r="C927" t="s">
        <v>226</v>
      </c>
      <c r="D927" t="s">
        <v>2989</v>
      </c>
      <c r="E927" t="s">
        <v>2990</v>
      </c>
      <c r="F927" t="s">
        <v>192</v>
      </c>
      <c r="G927" t="s">
        <v>416</v>
      </c>
      <c r="H927">
        <v>1.9</v>
      </c>
      <c r="I927">
        <v>45</v>
      </c>
      <c r="J927">
        <v>0</v>
      </c>
      <c r="K927">
        <v>0</v>
      </c>
      <c r="L927" t="s">
        <v>112</v>
      </c>
      <c r="M927" t="s">
        <v>138</v>
      </c>
      <c r="N927">
        <v>0</v>
      </c>
      <c r="O927">
        <v>0</v>
      </c>
      <c r="P927" t="s">
        <v>138</v>
      </c>
      <c r="Q927">
        <v>35</v>
      </c>
      <c r="R927">
        <v>0</v>
      </c>
      <c r="S927">
        <v>0</v>
      </c>
      <c r="T927">
        <v>0</v>
      </c>
      <c r="U927" t="s">
        <v>153</v>
      </c>
      <c r="V927">
        <v>0</v>
      </c>
      <c r="W927">
        <v>25</v>
      </c>
      <c r="X927">
        <v>6</v>
      </c>
      <c r="Y927">
        <v>0</v>
      </c>
      <c r="Z927" t="s">
        <v>111</v>
      </c>
      <c r="AA927">
        <v>0</v>
      </c>
      <c r="AB927" t="s">
        <v>111</v>
      </c>
      <c r="AC927">
        <v>0</v>
      </c>
      <c r="AD927" t="s">
        <v>111</v>
      </c>
      <c r="AE927">
        <v>0</v>
      </c>
      <c r="AF927">
        <v>0</v>
      </c>
      <c r="AG927" t="s">
        <v>111</v>
      </c>
      <c r="AH927" t="s">
        <v>111</v>
      </c>
      <c r="AI927" t="s">
        <v>111</v>
      </c>
      <c r="AJ927" t="s">
        <v>111</v>
      </c>
      <c r="AK927" t="s">
        <v>111</v>
      </c>
      <c r="AL927" t="s">
        <v>111</v>
      </c>
      <c r="AM927">
        <v>0</v>
      </c>
      <c r="AN927">
        <v>0</v>
      </c>
      <c r="AO927">
        <v>0</v>
      </c>
      <c r="AP927" t="s">
        <v>111</v>
      </c>
      <c r="AQ927" t="s">
        <v>111</v>
      </c>
      <c r="AR927" t="s">
        <v>111</v>
      </c>
      <c r="AS927" t="s">
        <v>111</v>
      </c>
      <c r="AT927" t="s">
        <v>111</v>
      </c>
      <c r="AU927" t="s">
        <v>111</v>
      </c>
      <c r="AV927" t="s">
        <v>111</v>
      </c>
      <c r="AW927" t="s">
        <v>111</v>
      </c>
      <c r="AX927" t="s">
        <v>111</v>
      </c>
      <c r="AY927" t="s">
        <v>111</v>
      </c>
      <c r="AZ927" t="s">
        <v>111</v>
      </c>
      <c r="BA927" t="s">
        <v>111</v>
      </c>
      <c r="BB927" t="s">
        <v>111</v>
      </c>
      <c r="BC927" t="s">
        <v>111</v>
      </c>
      <c r="BD927" t="s">
        <v>111</v>
      </c>
      <c r="BE927" t="s">
        <v>111</v>
      </c>
      <c r="BF927" t="s">
        <v>111</v>
      </c>
      <c r="BG927" t="s">
        <v>111</v>
      </c>
      <c r="BH927" t="s">
        <v>111</v>
      </c>
      <c r="BI927" t="s">
        <v>111</v>
      </c>
      <c r="BJ927" t="s">
        <v>111</v>
      </c>
      <c r="BK927" t="s">
        <v>111</v>
      </c>
      <c r="BL927" t="s">
        <v>111</v>
      </c>
      <c r="BM927" t="s">
        <v>111</v>
      </c>
      <c r="BN927" t="s">
        <v>111</v>
      </c>
      <c r="BO927" t="s">
        <v>111</v>
      </c>
      <c r="BP927" t="s">
        <v>111</v>
      </c>
      <c r="BQ927" t="s">
        <v>111</v>
      </c>
      <c r="BR927" t="s">
        <v>111</v>
      </c>
      <c r="BS927" t="s">
        <v>111</v>
      </c>
      <c r="BT927" t="s">
        <v>111</v>
      </c>
      <c r="BU927" t="s">
        <v>111</v>
      </c>
      <c r="BV927" t="s">
        <v>111</v>
      </c>
      <c r="BW927" t="s">
        <v>111</v>
      </c>
      <c r="BX927" t="s">
        <v>111</v>
      </c>
      <c r="BY927" t="s">
        <v>111</v>
      </c>
      <c r="BZ927" t="s">
        <v>111</v>
      </c>
      <c r="CA927" t="s">
        <v>111</v>
      </c>
      <c r="CB927" t="s">
        <v>111</v>
      </c>
      <c r="CC927" t="s">
        <v>111</v>
      </c>
      <c r="CD927" t="s">
        <v>111</v>
      </c>
      <c r="CE927" t="s">
        <v>111</v>
      </c>
      <c r="CF927" t="s">
        <v>111</v>
      </c>
      <c r="CG927" t="s">
        <v>111</v>
      </c>
      <c r="CH927" t="s">
        <v>111</v>
      </c>
      <c r="CI927" t="s">
        <v>111</v>
      </c>
      <c r="CJ927" t="s">
        <v>111</v>
      </c>
      <c r="CK927" t="s">
        <v>111</v>
      </c>
      <c r="CL927" t="s">
        <v>111</v>
      </c>
      <c r="CM927" t="s">
        <v>198</v>
      </c>
      <c r="CN927" t="s">
        <v>113</v>
      </c>
      <c r="CO927" t="s">
        <v>111</v>
      </c>
      <c r="CP927" t="s">
        <v>111</v>
      </c>
      <c r="CQ927">
        <v>0</v>
      </c>
      <c r="CR927">
        <v>0</v>
      </c>
      <c r="CS927">
        <v>0</v>
      </c>
      <c r="CT927" t="s">
        <v>153</v>
      </c>
      <c r="CU927">
        <v>0</v>
      </c>
      <c r="CV927" t="s">
        <v>111</v>
      </c>
      <c r="CW927" t="s">
        <v>111</v>
      </c>
      <c r="CX927" t="s">
        <v>111</v>
      </c>
      <c r="CY927">
        <v>0</v>
      </c>
      <c r="CZ927" t="s">
        <v>111</v>
      </c>
      <c r="DA927" t="s">
        <v>111</v>
      </c>
      <c r="DB927" t="s">
        <v>111</v>
      </c>
      <c r="DC927" t="s">
        <v>111</v>
      </c>
    </row>
    <row r="928" spans="1:107">
      <c r="A928">
        <v>164</v>
      </c>
      <c r="B928" t="s">
        <v>162</v>
      </c>
      <c r="C928" t="s">
        <v>2991</v>
      </c>
      <c r="D928" t="s">
        <v>2992</v>
      </c>
      <c r="E928" t="s">
        <v>2993</v>
      </c>
      <c r="F928" t="s">
        <v>561</v>
      </c>
      <c r="G928" t="s">
        <v>416</v>
      </c>
      <c r="H928">
        <v>2.5</v>
      </c>
      <c r="I928">
        <v>45</v>
      </c>
      <c r="J928">
        <v>0</v>
      </c>
      <c r="K928">
        <v>0</v>
      </c>
      <c r="L928" t="s">
        <v>112</v>
      </c>
      <c r="M928" t="s">
        <v>118</v>
      </c>
      <c r="N928">
        <v>40</v>
      </c>
      <c r="O928">
        <v>2</v>
      </c>
      <c r="P928" t="s">
        <v>138</v>
      </c>
      <c r="Q928">
        <v>40</v>
      </c>
      <c r="R928">
        <v>0</v>
      </c>
      <c r="S928">
        <v>0</v>
      </c>
      <c r="T928">
        <v>0</v>
      </c>
      <c r="U928" t="s">
        <v>1353</v>
      </c>
      <c r="V928">
        <v>25</v>
      </c>
      <c r="W928">
        <v>0</v>
      </c>
      <c r="X928">
        <v>8</v>
      </c>
      <c r="Y928">
        <v>0</v>
      </c>
      <c r="Z928" t="s">
        <v>1091</v>
      </c>
      <c r="AA928">
        <v>1.65</v>
      </c>
      <c r="AB928" t="s">
        <v>111</v>
      </c>
      <c r="AC928">
        <v>0</v>
      </c>
      <c r="AD928" t="s">
        <v>416</v>
      </c>
      <c r="AE928">
        <v>0</v>
      </c>
      <c r="AF928">
        <v>0</v>
      </c>
      <c r="AG928">
        <v>40</v>
      </c>
      <c r="AH928" t="s">
        <v>111</v>
      </c>
      <c r="AI928">
        <v>40</v>
      </c>
      <c r="AJ928" t="s">
        <v>111</v>
      </c>
      <c r="AK928" t="s">
        <v>111</v>
      </c>
      <c r="AL928" t="s">
        <v>111</v>
      </c>
      <c r="AM928">
        <v>0</v>
      </c>
      <c r="AN928">
        <v>0</v>
      </c>
      <c r="AO928">
        <v>0</v>
      </c>
      <c r="AP928" t="s">
        <v>111</v>
      </c>
      <c r="AQ928" t="s">
        <v>111</v>
      </c>
      <c r="AR928" t="s">
        <v>111</v>
      </c>
      <c r="AS928" t="s">
        <v>111</v>
      </c>
      <c r="AT928" t="s">
        <v>111</v>
      </c>
      <c r="AU928" t="s">
        <v>111</v>
      </c>
      <c r="AV928" t="s">
        <v>111</v>
      </c>
      <c r="AW928" t="s">
        <v>111</v>
      </c>
      <c r="AX928" t="s">
        <v>111</v>
      </c>
      <c r="AY928" t="s">
        <v>111</v>
      </c>
      <c r="AZ928" t="s">
        <v>111</v>
      </c>
      <c r="BA928" t="s">
        <v>111</v>
      </c>
      <c r="BB928" t="s">
        <v>111</v>
      </c>
      <c r="BC928" t="s">
        <v>111</v>
      </c>
      <c r="BD928" t="s">
        <v>111</v>
      </c>
      <c r="BE928" t="s">
        <v>111</v>
      </c>
      <c r="BF928" t="s">
        <v>111</v>
      </c>
      <c r="BG928" t="s">
        <v>111</v>
      </c>
      <c r="BH928" t="s">
        <v>111</v>
      </c>
      <c r="BI928" t="s">
        <v>111</v>
      </c>
      <c r="BJ928" t="s">
        <v>111</v>
      </c>
      <c r="BK928" t="s">
        <v>111</v>
      </c>
      <c r="BL928" t="s">
        <v>111</v>
      </c>
      <c r="BM928" t="s">
        <v>111</v>
      </c>
      <c r="BN928" t="s">
        <v>111</v>
      </c>
      <c r="BO928" t="s">
        <v>111</v>
      </c>
      <c r="BP928" t="s">
        <v>111</v>
      </c>
      <c r="BQ928" t="s">
        <v>111</v>
      </c>
      <c r="BR928" t="s">
        <v>111</v>
      </c>
      <c r="BS928" t="s">
        <v>111</v>
      </c>
      <c r="BT928" t="s">
        <v>111</v>
      </c>
      <c r="BU928" t="s">
        <v>111</v>
      </c>
      <c r="BV928" t="s">
        <v>111</v>
      </c>
      <c r="BW928" t="s">
        <v>111</v>
      </c>
      <c r="BX928" t="s">
        <v>111</v>
      </c>
      <c r="BY928" t="s">
        <v>111</v>
      </c>
      <c r="BZ928" t="s">
        <v>111</v>
      </c>
      <c r="CA928" t="s">
        <v>111</v>
      </c>
      <c r="CB928" t="s">
        <v>111</v>
      </c>
      <c r="CC928" t="s">
        <v>111</v>
      </c>
      <c r="CD928" t="s">
        <v>111</v>
      </c>
      <c r="CE928" t="s">
        <v>111</v>
      </c>
      <c r="CF928" t="s">
        <v>111</v>
      </c>
      <c r="CG928" t="s">
        <v>111</v>
      </c>
      <c r="CH928" t="s">
        <v>111</v>
      </c>
      <c r="CI928" t="s">
        <v>111</v>
      </c>
      <c r="CJ928" t="s">
        <v>111</v>
      </c>
      <c r="CK928" t="s">
        <v>111</v>
      </c>
      <c r="CL928" s="1" t="s">
        <v>2994</v>
      </c>
      <c r="CM928" t="s">
        <v>198</v>
      </c>
      <c r="CN928" t="s">
        <v>113</v>
      </c>
      <c r="CO928" t="s">
        <v>111</v>
      </c>
      <c r="CP928" t="s">
        <v>433</v>
      </c>
      <c r="CQ928">
        <v>0</v>
      </c>
      <c r="CR928">
        <v>0</v>
      </c>
      <c r="CS928">
        <v>0</v>
      </c>
      <c r="CT928" t="s">
        <v>419</v>
      </c>
      <c r="CU928">
        <v>0</v>
      </c>
      <c r="CV928" t="s">
        <v>111</v>
      </c>
      <c r="CW928" t="s">
        <v>111</v>
      </c>
      <c r="CX928" t="s">
        <v>111</v>
      </c>
      <c r="CY928">
        <v>0</v>
      </c>
      <c r="CZ928" t="s">
        <v>111</v>
      </c>
      <c r="DA928" t="s">
        <v>111</v>
      </c>
      <c r="DB928" t="s">
        <v>240</v>
      </c>
      <c r="DC928" s="1" t="s">
        <v>2995</v>
      </c>
    </row>
    <row r="929" spans="1:107">
      <c r="A929">
        <v>688</v>
      </c>
      <c r="B929" t="s">
        <v>162</v>
      </c>
      <c r="C929" t="s">
        <v>2996</v>
      </c>
      <c r="D929" t="s">
        <v>2997</v>
      </c>
      <c r="E929" t="s">
        <v>2998</v>
      </c>
      <c r="F929" t="s">
        <v>739</v>
      </c>
      <c r="G929" t="s">
        <v>416</v>
      </c>
      <c r="H929">
        <v>2.5</v>
      </c>
      <c r="I929">
        <v>76</v>
      </c>
      <c r="J929">
        <v>0</v>
      </c>
      <c r="K929">
        <v>0</v>
      </c>
      <c r="L929" t="s">
        <v>117</v>
      </c>
      <c r="M929" t="s">
        <v>118</v>
      </c>
      <c r="N929">
        <v>40</v>
      </c>
      <c r="O929">
        <v>2</v>
      </c>
      <c r="P929" t="s">
        <v>138</v>
      </c>
      <c r="Q929">
        <v>40</v>
      </c>
      <c r="R929">
        <v>0</v>
      </c>
      <c r="S929">
        <v>0</v>
      </c>
      <c r="T929">
        <v>0</v>
      </c>
      <c r="U929" t="s">
        <v>1353</v>
      </c>
      <c r="V929">
        <v>0</v>
      </c>
      <c r="W929">
        <v>25</v>
      </c>
      <c r="X929">
        <v>10</v>
      </c>
      <c r="Y929">
        <v>0</v>
      </c>
      <c r="Z929" t="s">
        <v>288</v>
      </c>
      <c r="AA929">
        <v>1.75</v>
      </c>
      <c r="AB929" t="s">
        <v>111</v>
      </c>
      <c r="AC929">
        <v>0</v>
      </c>
      <c r="AD929" t="s">
        <v>416</v>
      </c>
      <c r="AE929">
        <v>2</v>
      </c>
      <c r="AF929">
        <v>1</v>
      </c>
      <c r="AG929">
        <v>25</v>
      </c>
      <c r="AH929" t="s">
        <v>111</v>
      </c>
      <c r="AI929">
        <v>25</v>
      </c>
      <c r="AJ929" t="s">
        <v>111</v>
      </c>
      <c r="AK929" t="s">
        <v>111</v>
      </c>
      <c r="AL929" t="s">
        <v>111</v>
      </c>
      <c r="AM929">
        <v>0</v>
      </c>
      <c r="AN929">
        <v>0</v>
      </c>
      <c r="AO929">
        <v>0</v>
      </c>
      <c r="AP929" t="s">
        <v>772</v>
      </c>
      <c r="AQ929" t="s">
        <v>111</v>
      </c>
      <c r="AR929" t="s">
        <v>111</v>
      </c>
      <c r="AS929" t="s">
        <v>111</v>
      </c>
      <c r="AT929" t="s">
        <v>259</v>
      </c>
      <c r="AU929" t="s">
        <v>111</v>
      </c>
      <c r="AV929" t="s">
        <v>111</v>
      </c>
      <c r="AW929" t="s">
        <v>111</v>
      </c>
      <c r="AX929" t="s">
        <v>111</v>
      </c>
      <c r="AY929" t="s">
        <v>111</v>
      </c>
      <c r="AZ929" t="s">
        <v>111</v>
      </c>
      <c r="BA929" t="s">
        <v>111</v>
      </c>
      <c r="BB929" t="s">
        <v>111</v>
      </c>
      <c r="BC929" t="s">
        <v>111</v>
      </c>
      <c r="BD929" t="s">
        <v>111</v>
      </c>
      <c r="BE929" t="s">
        <v>111</v>
      </c>
      <c r="BF929" t="s">
        <v>111</v>
      </c>
      <c r="BG929" t="s">
        <v>111</v>
      </c>
      <c r="BH929" t="s">
        <v>111</v>
      </c>
      <c r="BI929" t="s">
        <v>111</v>
      </c>
      <c r="BJ929" t="s">
        <v>111</v>
      </c>
      <c r="BK929" t="s">
        <v>111</v>
      </c>
      <c r="BL929" t="s">
        <v>111</v>
      </c>
      <c r="BM929" t="s">
        <v>111</v>
      </c>
      <c r="BN929" t="s">
        <v>111</v>
      </c>
      <c r="BO929" t="s">
        <v>111</v>
      </c>
      <c r="BP929" t="s">
        <v>111</v>
      </c>
      <c r="BQ929" t="s">
        <v>111</v>
      </c>
      <c r="BR929" t="s">
        <v>111</v>
      </c>
      <c r="BS929" t="s">
        <v>111</v>
      </c>
      <c r="BT929" t="s">
        <v>111</v>
      </c>
      <c r="BU929" t="s">
        <v>111</v>
      </c>
      <c r="BV929" t="s">
        <v>111</v>
      </c>
      <c r="BW929" t="s">
        <v>111</v>
      </c>
      <c r="BX929" t="s">
        <v>111</v>
      </c>
      <c r="BY929" t="s">
        <v>111</v>
      </c>
      <c r="BZ929" t="s">
        <v>111</v>
      </c>
      <c r="CA929" t="s">
        <v>111</v>
      </c>
      <c r="CB929" t="s">
        <v>111</v>
      </c>
      <c r="CC929" t="s">
        <v>111</v>
      </c>
      <c r="CD929" t="s">
        <v>111</v>
      </c>
      <c r="CE929" t="s">
        <v>111</v>
      </c>
      <c r="CF929" t="s">
        <v>111</v>
      </c>
      <c r="CG929" t="s">
        <v>111</v>
      </c>
      <c r="CH929" t="s">
        <v>111</v>
      </c>
      <c r="CI929" t="s">
        <v>111</v>
      </c>
      <c r="CJ929" t="s">
        <v>111</v>
      </c>
      <c r="CK929" t="s">
        <v>111</v>
      </c>
      <c r="CL929" t="s">
        <v>153</v>
      </c>
      <c r="CM929" t="s">
        <v>198</v>
      </c>
      <c r="CN929" t="s">
        <v>113</v>
      </c>
      <c r="CO929" t="s">
        <v>1348</v>
      </c>
      <c r="CP929" t="s">
        <v>433</v>
      </c>
      <c r="CQ929">
        <v>0</v>
      </c>
      <c r="CR929">
        <v>0</v>
      </c>
      <c r="CS929">
        <v>0</v>
      </c>
      <c r="CT929" t="s">
        <v>2850</v>
      </c>
      <c r="CU929">
        <v>0</v>
      </c>
      <c r="CV929" t="s">
        <v>111</v>
      </c>
      <c r="CW929" t="s">
        <v>111</v>
      </c>
      <c r="CX929" t="s">
        <v>111</v>
      </c>
      <c r="CY929">
        <v>0</v>
      </c>
      <c r="CZ929" t="s">
        <v>111</v>
      </c>
      <c r="DA929" t="s">
        <v>111</v>
      </c>
      <c r="DB929" t="s">
        <v>204</v>
      </c>
      <c r="DC929" s="1" t="s">
        <v>1350</v>
      </c>
    </row>
    <row r="930" spans="1:107">
      <c r="A930">
        <v>687</v>
      </c>
      <c r="B930" t="s">
        <v>162</v>
      </c>
      <c r="C930" t="s">
        <v>2726</v>
      </c>
      <c r="D930" t="s">
        <v>2999</v>
      </c>
      <c r="E930" t="s">
        <v>3000</v>
      </c>
      <c r="F930" t="s">
        <v>370</v>
      </c>
      <c r="G930" t="s">
        <v>416</v>
      </c>
      <c r="H930">
        <v>0.9</v>
      </c>
      <c r="I930">
        <v>20</v>
      </c>
      <c r="J930">
        <v>6</v>
      </c>
      <c r="K930">
        <v>6</v>
      </c>
      <c r="L930" t="s">
        <v>112</v>
      </c>
      <c r="M930" t="s">
        <v>118</v>
      </c>
      <c r="N930">
        <v>40</v>
      </c>
      <c r="O930">
        <v>2</v>
      </c>
      <c r="P930" t="s">
        <v>138</v>
      </c>
      <c r="Q930">
        <v>40</v>
      </c>
      <c r="R930">
        <v>0</v>
      </c>
      <c r="S930">
        <v>0</v>
      </c>
      <c r="T930">
        <v>0</v>
      </c>
      <c r="U930" t="s">
        <v>1353</v>
      </c>
      <c r="V930">
        <v>25</v>
      </c>
      <c r="W930">
        <v>0</v>
      </c>
      <c r="X930">
        <v>8</v>
      </c>
      <c r="Y930">
        <v>0</v>
      </c>
      <c r="Z930" t="s">
        <v>288</v>
      </c>
      <c r="AA930">
        <v>1.65</v>
      </c>
      <c r="AB930" t="s">
        <v>111</v>
      </c>
      <c r="AC930">
        <v>0</v>
      </c>
      <c r="AD930" t="s">
        <v>416</v>
      </c>
      <c r="AE930">
        <v>1</v>
      </c>
      <c r="AF930">
        <v>1</v>
      </c>
      <c r="AG930">
        <v>40</v>
      </c>
      <c r="AH930" t="s">
        <v>111</v>
      </c>
      <c r="AI930">
        <v>40</v>
      </c>
      <c r="AJ930" t="s">
        <v>111</v>
      </c>
      <c r="AK930" t="s">
        <v>111</v>
      </c>
      <c r="AL930" t="s">
        <v>111</v>
      </c>
      <c r="AM930">
        <v>0</v>
      </c>
      <c r="AN930">
        <v>0</v>
      </c>
      <c r="AO930">
        <v>0</v>
      </c>
      <c r="AP930" t="s">
        <v>147</v>
      </c>
      <c r="AQ930" t="s">
        <v>111</v>
      </c>
      <c r="AR930" t="s">
        <v>111</v>
      </c>
      <c r="AS930" t="s">
        <v>111</v>
      </c>
      <c r="AT930" t="s">
        <v>111</v>
      </c>
      <c r="AU930" t="s">
        <v>111</v>
      </c>
      <c r="AV930" t="s">
        <v>111</v>
      </c>
      <c r="AW930" t="s">
        <v>111</v>
      </c>
      <c r="AX930" t="s">
        <v>111</v>
      </c>
      <c r="AY930" t="s">
        <v>111</v>
      </c>
      <c r="AZ930" t="s">
        <v>111</v>
      </c>
      <c r="BA930" t="s">
        <v>111</v>
      </c>
      <c r="BB930" t="s">
        <v>111</v>
      </c>
      <c r="BC930" t="s">
        <v>111</v>
      </c>
      <c r="BD930" t="s">
        <v>111</v>
      </c>
      <c r="BE930" t="s">
        <v>111</v>
      </c>
      <c r="BF930" t="s">
        <v>111</v>
      </c>
      <c r="BG930" t="s">
        <v>111</v>
      </c>
      <c r="BH930" t="s">
        <v>111</v>
      </c>
      <c r="BI930" t="s">
        <v>111</v>
      </c>
      <c r="BJ930" t="s">
        <v>111</v>
      </c>
      <c r="BK930" t="s">
        <v>111</v>
      </c>
      <c r="BL930" t="s">
        <v>111</v>
      </c>
      <c r="BM930" t="s">
        <v>111</v>
      </c>
      <c r="BN930" t="s">
        <v>111</v>
      </c>
      <c r="BO930" t="s">
        <v>111</v>
      </c>
      <c r="BP930" t="s">
        <v>111</v>
      </c>
      <c r="BQ930" t="s">
        <v>111</v>
      </c>
      <c r="BR930" t="s">
        <v>111</v>
      </c>
      <c r="BS930" t="s">
        <v>111</v>
      </c>
      <c r="BT930" t="s">
        <v>111</v>
      </c>
      <c r="BU930" t="s">
        <v>111</v>
      </c>
      <c r="BV930" t="s">
        <v>111</v>
      </c>
      <c r="BW930" t="s">
        <v>111</v>
      </c>
      <c r="BX930" t="s">
        <v>111</v>
      </c>
      <c r="BY930" t="s">
        <v>111</v>
      </c>
      <c r="BZ930" t="s">
        <v>111</v>
      </c>
      <c r="CA930" t="s">
        <v>111</v>
      </c>
      <c r="CB930" t="s">
        <v>111</v>
      </c>
      <c r="CC930" t="s">
        <v>111</v>
      </c>
      <c r="CD930" t="s">
        <v>111</v>
      </c>
      <c r="CE930" t="s">
        <v>111</v>
      </c>
      <c r="CF930" t="s">
        <v>111</v>
      </c>
      <c r="CG930" t="s">
        <v>111</v>
      </c>
      <c r="CH930" t="s">
        <v>111</v>
      </c>
      <c r="CI930" t="s">
        <v>111</v>
      </c>
      <c r="CJ930" t="s">
        <v>111</v>
      </c>
      <c r="CK930" t="s">
        <v>111</v>
      </c>
      <c r="CL930" t="s">
        <v>153</v>
      </c>
      <c r="CM930" t="s">
        <v>198</v>
      </c>
      <c r="CN930" t="s">
        <v>128</v>
      </c>
      <c r="CO930" t="s">
        <v>974</v>
      </c>
      <c r="CP930" t="s">
        <v>433</v>
      </c>
      <c r="CQ930">
        <v>0</v>
      </c>
      <c r="CR930">
        <v>0</v>
      </c>
      <c r="CS930">
        <v>0</v>
      </c>
      <c r="CT930" t="s">
        <v>2850</v>
      </c>
      <c r="CU930">
        <v>0</v>
      </c>
      <c r="CV930" t="s">
        <v>111</v>
      </c>
      <c r="CW930" t="s">
        <v>111</v>
      </c>
      <c r="CX930" t="s">
        <v>111</v>
      </c>
      <c r="CY930">
        <v>0</v>
      </c>
      <c r="CZ930" t="s">
        <v>111</v>
      </c>
      <c r="DA930" t="s">
        <v>111</v>
      </c>
      <c r="DB930" t="s">
        <v>204</v>
      </c>
      <c r="DC930" s="1" t="s">
        <v>1363</v>
      </c>
    </row>
    <row r="931" spans="1:107">
      <c r="A931">
        <v>2063</v>
      </c>
      <c r="B931" t="s">
        <v>376</v>
      </c>
      <c r="C931" t="s">
        <v>827</v>
      </c>
      <c r="D931" t="s">
        <v>3001</v>
      </c>
      <c r="E931" t="s">
        <v>3002</v>
      </c>
      <c r="F931" t="s">
        <v>3003</v>
      </c>
      <c r="G931" t="s">
        <v>416</v>
      </c>
      <c r="H931">
        <v>1</v>
      </c>
      <c r="I931">
        <v>37</v>
      </c>
      <c r="J931">
        <v>0</v>
      </c>
      <c r="K931">
        <v>0</v>
      </c>
      <c r="L931" t="s">
        <v>117</v>
      </c>
      <c r="M931" t="s">
        <v>118</v>
      </c>
      <c r="N931">
        <v>40</v>
      </c>
      <c r="O931">
        <v>1</v>
      </c>
      <c r="P931" t="s">
        <v>111</v>
      </c>
      <c r="Q931">
        <v>15</v>
      </c>
      <c r="R931">
        <v>0</v>
      </c>
      <c r="S931">
        <v>0</v>
      </c>
      <c r="T931">
        <v>5</v>
      </c>
      <c r="U931" s="1" t="s">
        <v>3004</v>
      </c>
      <c r="V931">
        <v>0</v>
      </c>
      <c r="W931">
        <v>0</v>
      </c>
      <c r="X931">
        <v>0</v>
      </c>
      <c r="Y931">
        <v>25</v>
      </c>
      <c r="Z931" t="s">
        <v>111</v>
      </c>
      <c r="AA931">
        <v>0</v>
      </c>
      <c r="AB931" t="s">
        <v>111</v>
      </c>
      <c r="AC931">
        <v>0</v>
      </c>
      <c r="AD931" t="s">
        <v>111</v>
      </c>
      <c r="AE931">
        <v>0</v>
      </c>
      <c r="AF931">
        <v>0</v>
      </c>
      <c r="AG931" t="s">
        <v>111</v>
      </c>
      <c r="AH931" t="s">
        <v>111</v>
      </c>
      <c r="AI931" t="s">
        <v>111</v>
      </c>
      <c r="AJ931" t="s">
        <v>111</v>
      </c>
      <c r="AK931" t="s">
        <v>111</v>
      </c>
      <c r="AL931" t="s">
        <v>111</v>
      </c>
      <c r="AM931">
        <v>0</v>
      </c>
      <c r="AN931">
        <v>0</v>
      </c>
      <c r="AO931">
        <v>0</v>
      </c>
      <c r="AP931" t="s">
        <v>111</v>
      </c>
      <c r="AQ931" t="s">
        <v>111</v>
      </c>
      <c r="AR931" t="s">
        <v>111</v>
      </c>
      <c r="AS931" t="s">
        <v>111</v>
      </c>
      <c r="AT931" t="s">
        <v>111</v>
      </c>
      <c r="AU931" t="s">
        <v>111</v>
      </c>
      <c r="AV931" t="s">
        <v>111</v>
      </c>
      <c r="AW931" t="s">
        <v>111</v>
      </c>
      <c r="AX931" t="s">
        <v>111</v>
      </c>
      <c r="AY931" t="s">
        <v>111</v>
      </c>
      <c r="AZ931" t="s">
        <v>111</v>
      </c>
      <c r="BA931" t="s">
        <v>111</v>
      </c>
      <c r="BB931" t="s">
        <v>111</v>
      </c>
      <c r="BC931" t="s">
        <v>111</v>
      </c>
      <c r="BD931" t="s">
        <v>111</v>
      </c>
      <c r="BE931" t="s">
        <v>111</v>
      </c>
      <c r="BF931" t="s">
        <v>111</v>
      </c>
      <c r="BG931" t="s">
        <v>111</v>
      </c>
      <c r="BH931" t="s">
        <v>111</v>
      </c>
      <c r="BI931" t="s">
        <v>111</v>
      </c>
      <c r="BJ931" t="s">
        <v>111</v>
      </c>
      <c r="BK931" t="s">
        <v>111</v>
      </c>
      <c r="BL931" t="s">
        <v>111</v>
      </c>
      <c r="BM931" t="s">
        <v>111</v>
      </c>
      <c r="BN931" t="s">
        <v>111</v>
      </c>
      <c r="BO931" t="s">
        <v>111</v>
      </c>
      <c r="BP931" t="s">
        <v>111</v>
      </c>
      <c r="BQ931" t="s">
        <v>111</v>
      </c>
      <c r="BR931" t="s">
        <v>111</v>
      </c>
      <c r="BS931" t="s">
        <v>111</v>
      </c>
      <c r="BT931" t="s">
        <v>111</v>
      </c>
      <c r="BU931" t="s">
        <v>111</v>
      </c>
      <c r="BV931" t="s">
        <v>111</v>
      </c>
      <c r="BW931" t="s">
        <v>111</v>
      </c>
      <c r="BX931" t="s">
        <v>111</v>
      </c>
      <c r="BY931" t="s">
        <v>111</v>
      </c>
      <c r="BZ931" t="s">
        <v>111</v>
      </c>
      <c r="CA931" t="s">
        <v>111</v>
      </c>
      <c r="CB931" t="s">
        <v>111</v>
      </c>
      <c r="CC931" t="s">
        <v>111</v>
      </c>
      <c r="CD931" t="s">
        <v>111</v>
      </c>
      <c r="CE931" t="s">
        <v>111</v>
      </c>
      <c r="CF931" t="s">
        <v>111</v>
      </c>
      <c r="CG931" t="s">
        <v>111</v>
      </c>
      <c r="CH931" t="s">
        <v>111</v>
      </c>
      <c r="CI931" t="s">
        <v>111</v>
      </c>
      <c r="CJ931" t="s">
        <v>111</v>
      </c>
      <c r="CK931" t="s">
        <v>111</v>
      </c>
      <c r="CL931" t="s">
        <v>111</v>
      </c>
      <c r="CM931" t="s">
        <v>111</v>
      </c>
      <c r="CN931" t="s">
        <v>111</v>
      </c>
      <c r="CO931" t="s">
        <v>111</v>
      </c>
      <c r="CP931" t="s">
        <v>111</v>
      </c>
      <c r="CQ931">
        <v>0</v>
      </c>
      <c r="CR931">
        <v>0</v>
      </c>
      <c r="CS931">
        <v>0</v>
      </c>
      <c r="CT931" t="s">
        <v>111</v>
      </c>
      <c r="CU931">
        <v>37</v>
      </c>
      <c r="CV931" t="s">
        <v>111</v>
      </c>
      <c r="CX931" t="s">
        <v>111</v>
      </c>
      <c r="CY931">
        <v>15</v>
      </c>
      <c r="CZ931" t="s">
        <v>117</v>
      </c>
      <c r="DA931" t="s">
        <v>111</v>
      </c>
      <c r="DB931" t="s">
        <v>111</v>
      </c>
      <c r="DC931" t="s">
        <v>111</v>
      </c>
    </row>
    <row r="932" spans="1:107">
      <c r="A932">
        <v>166</v>
      </c>
      <c r="B932" t="s">
        <v>162</v>
      </c>
      <c r="C932" t="s">
        <v>2986</v>
      </c>
      <c r="D932" t="s">
        <v>3005</v>
      </c>
      <c r="E932" t="s">
        <v>3006</v>
      </c>
      <c r="F932" t="s">
        <v>2870</v>
      </c>
      <c r="G932" t="s">
        <v>416</v>
      </c>
      <c r="H932">
        <v>3.5</v>
      </c>
      <c r="I932">
        <v>27</v>
      </c>
      <c r="J932">
        <v>0</v>
      </c>
      <c r="K932">
        <v>0</v>
      </c>
      <c r="L932" t="s">
        <v>112</v>
      </c>
      <c r="M932" t="s">
        <v>118</v>
      </c>
      <c r="N932">
        <v>40</v>
      </c>
      <c r="O932">
        <v>2</v>
      </c>
      <c r="P932" t="s">
        <v>138</v>
      </c>
      <c r="Q932">
        <v>30</v>
      </c>
      <c r="R932">
        <v>0</v>
      </c>
      <c r="S932">
        <v>0</v>
      </c>
      <c r="T932">
        <v>0</v>
      </c>
      <c r="U932" t="s">
        <v>1353</v>
      </c>
      <c r="V932">
        <v>0</v>
      </c>
      <c r="W932">
        <v>25</v>
      </c>
      <c r="X932">
        <v>8</v>
      </c>
      <c r="Y932">
        <v>0</v>
      </c>
      <c r="Z932" t="s">
        <v>111</v>
      </c>
      <c r="AA932">
        <v>0</v>
      </c>
      <c r="AB932" t="s">
        <v>111</v>
      </c>
      <c r="AC932">
        <v>0</v>
      </c>
      <c r="AD932" t="s">
        <v>416</v>
      </c>
      <c r="AE932">
        <v>2</v>
      </c>
      <c r="AF932">
        <v>2</v>
      </c>
      <c r="AG932" t="s">
        <v>691</v>
      </c>
      <c r="AH932" t="s">
        <v>111</v>
      </c>
      <c r="AI932" t="s">
        <v>111</v>
      </c>
      <c r="AJ932" t="s">
        <v>111</v>
      </c>
      <c r="AK932" t="s">
        <v>111</v>
      </c>
      <c r="AL932" t="s">
        <v>111</v>
      </c>
      <c r="AM932">
        <v>0</v>
      </c>
      <c r="AN932">
        <v>0</v>
      </c>
      <c r="AO932">
        <v>0</v>
      </c>
      <c r="AP932" t="s">
        <v>772</v>
      </c>
      <c r="AQ932" t="s">
        <v>111</v>
      </c>
      <c r="AR932" t="s">
        <v>111</v>
      </c>
      <c r="AS932" t="s">
        <v>111</v>
      </c>
      <c r="AT932" t="s">
        <v>259</v>
      </c>
      <c r="AU932" t="s">
        <v>111</v>
      </c>
      <c r="AV932" t="s">
        <v>111</v>
      </c>
      <c r="AW932" t="s">
        <v>111</v>
      </c>
      <c r="AX932" t="s">
        <v>111</v>
      </c>
      <c r="AY932" t="s">
        <v>111</v>
      </c>
      <c r="AZ932" t="s">
        <v>111</v>
      </c>
      <c r="BA932" t="s">
        <v>111</v>
      </c>
      <c r="BB932" t="s">
        <v>111</v>
      </c>
      <c r="BC932" t="s">
        <v>111</v>
      </c>
      <c r="BD932" t="s">
        <v>111</v>
      </c>
      <c r="BE932" t="s">
        <v>111</v>
      </c>
      <c r="BF932" t="s">
        <v>111</v>
      </c>
      <c r="BG932" t="s">
        <v>111</v>
      </c>
      <c r="BH932" t="s">
        <v>111</v>
      </c>
      <c r="BI932" t="s">
        <v>111</v>
      </c>
      <c r="BJ932" t="s">
        <v>111</v>
      </c>
      <c r="BK932" t="s">
        <v>111</v>
      </c>
      <c r="BL932" t="s">
        <v>111</v>
      </c>
      <c r="BM932" t="s">
        <v>111</v>
      </c>
      <c r="BN932" t="s">
        <v>111</v>
      </c>
      <c r="BO932" t="s">
        <v>111</v>
      </c>
      <c r="BP932" t="s">
        <v>111</v>
      </c>
      <c r="BQ932" t="s">
        <v>111</v>
      </c>
      <c r="BR932" t="s">
        <v>111</v>
      </c>
      <c r="BS932" t="s">
        <v>111</v>
      </c>
      <c r="BT932" t="s">
        <v>111</v>
      </c>
      <c r="BU932" t="s">
        <v>111</v>
      </c>
      <c r="BV932" t="s">
        <v>111</v>
      </c>
      <c r="BW932" t="s">
        <v>111</v>
      </c>
      <c r="BX932" t="s">
        <v>111</v>
      </c>
      <c r="BY932" t="s">
        <v>111</v>
      </c>
      <c r="BZ932" t="s">
        <v>111</v>
      </c>
      <c r="CA932" t="s">
        <v>111</v>
      </c>
      <c r="CB932" t="s">
        <v>111</v>
      </c>
      <c r="CC932" t="s">
        <v>111</v>
      </c>
      <c r="CD932" t="s">
        <v>111</v>
      </c>
      <c r="CE932" t="s">
        <v>111</v>
      </c>
      <c r="CF932" t="s">
        <v>111</v>
      </c>
      <c r="CG932" t="s">
        <v>111</v>
      </c>
      <c r="CH932" t="s">
        <v>111</v>
      </c>
      <c r="CI932" t="s">
        <v>111</v>
      </c>
      <c r="CJ932" t="s">
        <v>111</v>
      </c>
      <c r="CK932" t="s">
        <v>111</v>
      </c>
      <c r="CL932" t="s">
        <v>168</v>
      </c>
      <c r="CM932" t="s">
        <v>111</v>
      </c>
      <c r="CN932" t="s">
        <v>111</v>
      </c>
      <c r="CO932" t="s">
        <v>111</v>
      </c>
      <c r="CP932" t="s">
        <v>111</v>
      </c>
      <c r="CQ932">
        <v>0</v>
      </c>
      <c r="CR932">
        <v>0</v>
      </c>
      <c r="CS932">
        <v>0</v>
      </c>
      <c r="CT932" t="s">
        <v>111</v>
      </c>
      <c r="CU932">
        <v>0</v>
      </c>
      <c r="CV932" t="s">
        <v>111</v>
      </c>
      <c r="CW932" t="s">
        <v>111</v>
      </c>
      <c r="CX932" t="s">
        <v>111</v>
      </c>
      <c r="CY932">
        <v>0</v>
      </c>
      <c r="CZ932" t="s">
        <v>111</v>
      </c>
      <c r="DA932" t="s">
        <v>111</v>
      </c>
      <c r="DB932" t="s">
        <v>111</v>
      </c>
      <c r="DC932" t="s">
        <v>111</v>
      </c>
    </row>
    <row r="933" spans="1:107">
      <c r="A933">
        <v>645</v>
      </c>
      <c r="B933" t="s">
        <v>162</v>
      </c>
      <c r="C933" t="s">
        <v>3007</v>
      </c>
      <c r="D933" t="s">
        <v>3008</v>
      </c>
      <c r="E933" t="s">
        <v>3009</v>
      </c>
      <c r="F933" t="s">
        <v>370</v>
      </c>
      <c r="G933" t="s">
        <v>416</v>
      </c>
      <c r="H933">
        <v>2.2999999999999998</v>
      </c>
      <c r="I933">
        <v>48</v>
      </c>
      <c r="J933">
        <v>0</v>
      </c>
      <c r="K933">
        <v>0</v>
      </c>
      <c r="L933" t="s">
        <v>112</v>
      </c>
      <c r="M933" t="s">
        <v>118</v>
      </c>
      <c r="N933">
        <v>40</v>
      </c>
      <c r="O933">
        <v>2</v>
      </c>
      <c r="P933" t="s">
        <v>138</v>
      </c>
      <c r="Q933">
        <v>35</v>
      </c>
      <c r="R933">
        <v>0</v>
      </c>
      <c r="S933">
        <v>0</v>
      </c>
      <c r="T933">
        <v>0</v>
      </c>
      <c r="U933" t="s">
        <v>1353</v>
      </c>
      <c r="V933">
        <v>25</v>
      </c>
      <c r="W933">
        <v>0</v>
      </c>
      <c r="X933">
        <v>8</v>
      </c>
      <c r="Y933">
        <v>0</v>
      </c>
      <c r="Z933" t="s">
        <v>288</v>
      </c>
      <c r="AA933">
        <v>1.65</v>
      </c>
      <c r="AB933" t="s">
        <v>111</v>
      </c>
      <c r="AC933">
        <v>0</v>
      </c>
      <c r="AD933" t="s">
        <v>416</v>
      </c>
      <c r="AE933">
        <v>2</v>
      </c>
      <c r="AF933">
        <v>2</v>
      </c>
      <c r="AG933">
        <v>35</v>
      </c>
      <c r="AH933" t="s">
        <v>111</v>
      </c>
      <c r="AI933">
        <v>35</v>
      </c>
      <c r="AJ933" t="s">
        <v>111</v>
      </c>
      <c r="AK933" t="s">
        <v>111</v>
      </c>
      <c r="AL933" t="s">
        <v>111</v>
      </c>
      <c r="AM933">
        <v>0</v>
      </c>
      <c r="AN933">
        <v>0</v>
      </c>
      <c r="AO933">
        <v>0</v>
      </c>
      <c r="AP933" t="s">
        <v>188</v>
      </c>
      <c r="AQ933" t="s">
        <v>111</v>
      </c>
      <c r="AR933" t="s">
        <v>111</v>
      </c>
      <c r="AS933" t="s">
        <v>111</v>
      </c>
      <c r="AT933" t="s">
        <v>271</v>
      </c>
      <c r="AU933" t="s">
        <v>111</v>
      </c>
      <c r="AV933" t="s">
        <v>111</v>
      </c>
      <c r="AW933" t="s">
        <v>111</v>
      </c>
      <c r="AX933" t="s">
        <v>111</v>
      </c>
      <c r="AY933" t="s">
        <v>111</v>
      </c>
      <c r="AZ933" t="s">
        <v>111</v>
      </c>
      <c r="BA933" t="s">
        <v>111</v>
      </c>
      <c r="BB933" t="s">
        <v>111</v>
      </c>
      <c r="BC933" t="s">
        <v>111</v>
      </c>
      <c r="BD933" t="s">
        <v>111</v>
      </c>
      <c r="BE933" t="s">
        <v>111</v>
      </c>
      <c r="BF933" t="s">
        <v>111</v>
      </c>
      <c r="BG933" t="s">
        <v>111</v>
      </c>
      <c r="BH933" t="s">
        <v>111</v>
      </c>
      <c r="BI933" t="s">
        <v>111</v>
      </c>
      <c r="BJ933" t="s">
        <v>111</v>
      </c>
      <c r="BK933" t="s">
        <v>111</v>
      </c>
      <c r="BL933" t="s">
        <v>111</v>
      </c>
      <c r="BM933" t="s">
        <v>111</v>
      </c>
      <c r="BN933" t="s">
        <v>111</v>
      </c>
      <c r="BO933" t="s">
        <v>111</v>
      </c>
      <c r="BP933" t="s">
        <v>111</v>
      </c>
      <c r="BQ933" t="s">
        <v>111</v>
      </c>
      <c r="BR933" t="s">
        <v>111</v>
      </c>
      <c r="BS933" t="s">
        <v>111</v>
      </c>
      <c r="BT933" t="s">
        <v>111</v>
      </c>
      <c r="BU933" t="s">
        <v>111</v>
      </c>
      <c r="BV933" t="s">
        <v>111</v>
      </c>
      <c r="BW933" t="s">
        <v>111</v>
      </c>
      <c r="BX933" t="s">
        <v>111</v>
      </c>
      <c r="BY933" t="s">
        <v>111</v>
      </c>
      <c r="BZ933" t="s">
        <v>111</v>
      </c>
      <c r="CA933" t="s">
        <v>111</v>
      </c>
      <c r="CB933" t="s">
        <v>111</v>
      </c>
      <c r="CC933" t="s">
        <v>111</v>
      </c>
      <c r="CD933" t="s">
        <v>111</v>
      </c>
      <c r="CE933" t="s">
        <v>111</v>
      </c>
      <c r="CF933" t="s">
        <v>111</v>
      </c>
      <c r="CG933" t="s">
        <v>111</v>
      </c>
      <c r="CH933" t="s">
        <v>111</v>
      </c>
      <c r="CI933" t="s">
        <v>111</v>
      </c>
      <c r="CJ933" t="s">
        <v>111</v>
      </c>
      <c r="CK933" t="s">
        <v>111</v>
      </c>
      <c r="CL933" t="s">
        <v>153</v>
      </c>
      <c r="CM933" t="s">
        <v>198</v>
      </c>
      <c r="CN933" t="s">
        <v>113</v>
      </c>
      <c r="CO933" t="s">
        <v>1348</v>
      </c>
      <c r="CP933" t="s">
        <v>433</v>
      </c>
      <c r="CQ933">
        <v>0</v>
      </c>
      <c r="CR933">
        <v>0</v>
      </c>
      <c r="CS933">
        <v>0</v>
      </c>
      <c r="CT933" t="s">
        <v>2850</v>
      </c>
      <c r="CU933">
        <v>0</v>
      </c>
      <c r="CV933" t="s">
        <v>111</v>
      </c>
      <c r="CW933" t="s">
        <v>111</v>
      </c>
      <c r="CX933" t="s">
        <v>111</v>
      </c>
      <c r="CY933">
        <v>0</v>
      </c>
      <c r="CZ933" t="s">
        <v>111</v>
      </c>
      <c r="DA933" t="s">
        <v>111</v>
      </c>
      <c r="DB933" t="s">
        <v>204</v>
      </c>
      <c r="DC933" s="1" t="s">
        <v>1350</v>
      </c>
    </row>
    <row r="934" spans="1:107">
      <c r="A934">
        <v>476</v>
      </c>
      <c r="B934" t="s">
        <v>162</v>
      </c>
      <c r="C934" t="s">
        <v>454</v>
      </c>
      <c r="D934" t="s">
        <v>3010</v>
      </c>
      <c r="E934" t="s">
        <v>3011</v>
      </c>
      <c r="F934" t="s">
        <v>561</v>
      </c>
      <c r="G934" t="s">
        <v>416</v>
      </c>
      <c r="H934">
        <v>1.5</v>
      </c>
      <c r="I934">
        <v>40</v>
      </c>
      <c r="J934">
        <v>0</v>
      </c>
      <c r="K934">
        <v>0</v>
      </c>
      <c r="L934" t="s">
        <v>112</v>
      </c>
      <c r="M934" t="s">
        <v>118</v>
      </c>
      <c r="N934">
        <v>40</v>
      </c>
      <c r="O934">
        <v>2</v>
      </c>
      <c r="P934" t="s">
        <v>138</v>
      </c>
      <c r="Q934">
        <v>35</v>
      </c>
      <c r="R934">
        <v>0</v>
      </c>
      <c r="S934">
        <v>0</v>
      </c>
      <c r="T934">
        <v>0</v>
      </c>
      <c r="U934" t="s">
        <v>1353</v>
      </c>
      <c r="V934">
        <v>25</v>
      </c>
      <c r="W934">
        <v>0</v>
      </c>
      <c r="X934">
        <v>6</v>
      </c>
      <c r="Y934">
        <v>0</v>
      </c>
      <c r="Z934" t="s">
        <v>288</v>
      </c>
      <c r="AA934">
        <v>1.55</v>
      </c>
      <c r="AB934" t="s">
        <v>111</v>
      </c>
      <c r="AC934">
        <v>0</v>
      </c>
      <c r="AD934" t="s">
        <v>416</v>
      </c>
      <c r="AE934">
        <v>1</v>
      </c>
      <c r="AF934">
        <v>2</v>
      </c>
      <c r="AG934">
        <v>30</v>
      </c>
      <c r="AH934" t="s">
        <v>111</v>
      </c>
      <c r="AI934">
        <v>30</v>
      </c>
      <c r="AJ934" t="s">
        <v>111</v>
      </c>
      <c r="AK934" t="s">
        <v>111</v>
      </c>
      <c r="AL934" t="s">
        <v>111</v>
      </c>
      <c r="AM934">
        <v>0</v>
      </c>
      <c r="AN934">
        <v>0</v>
      </c>
      <c r="AO934">
        <v>0</v>
      </c>
      <c r="AP934" t="s">
        <v>3012</v>
      </c>
      <c r="AQ934" t="s">
        <v>111</v>
      </c>
      <c r="AR934" t="s">
        <v>111</v>
      </c>
      <c r="AS934" t="s">
        <v>111</v>
      </c>
      <c r="AT934" t="s">
        <v>111</v>
      </c>
      <c r="AU934" t="s">
        <v>111</v>
      </c>
      <c r="AV934" t="s">
        <v>111</v>
      </c>
      <c r="AW934" t="s">
        <v>111</v>
      </c>
      <c r="AX934" t="s">
        <v>111</v>
      </c>
      <c r="AY934" t="s">
        <v>111</v>
      </c>
      <c r="AZ934" t="s">
        <v>111</v>
      </c>
      <c r="BA934" t="s">
        <v>111</v>
      </c>
      <c r="BB934" t="s">
        <v>111</v>
      </c>
      <c r="BC934" t="s">
        <v>111</v>
      </c>
      <c r="BD934" t="s">
        <v>111</v>
      </c>
      <c r="BE934" t="s">
        <v>111</v>
      </c>
      <c r="BF934" t="s">
        <v>111</v>
      </c>
      <c r="BG934" t="s">
        <v>111</v>
      </c>
      <c r="BH934" t="s">
        <v>111</v>
      </c>
      <c r="BI934" t="s">
        <v>111</v>
      </c>
      <c r="BJ934" t="s">
        <v>111</v>
      </c>
      <c r="BK934" t="s">
        <v>111</v>
      </c>
      <c r="BL934" t="s">
        <v>111</v>
      </c>
      <c r="BM934" t="s">
        <v>111</v>
      </c>
      <c r="BN934" t="s">
        <v>111</v>
      </c>
      <c r="BO934" t="s">
        <v>111</v>
      </c>
      <c r="BP934" t="s">
        <v>111</v>
      </c>
      <c r="BQ934" t="s">
        <v>111</v>
      </c>
      <c r="BR934" t="s">
        <v>111</v>
      </c>
      <c r="BS934" t="s">
        <v>111</v>
      </c>
      <c r="BT934" t="s">
        <v>111</v>
      </c>
      <c r="BU934" t="s">
        <v>111</v>
      </c>
      <c r="BV934" t="s">
        <v>111</v>
      </c>
      <c r="BW934" t="s">
        <v>111</v>
      </c>
      <c r="BX934" t="s">
        <v>111</v>
      </c>
      <c r="BY934" t="s">
        <v>111</v>
      </c>
      <c r="BZ934" t="s">
        <v>111</v>
      </c>
      <c r="CA934" t="s">
        <v>111</v>
      </c>
      <c r="CB934" t="s">
        <v>111</v>
      </c>
      <c r="CC934" t="s">
        <v>111</v>
      </c>
      <c r="CD934" t="s">
        <v>111</v>
      </c>
      <c r="CE934" t="s">
        <v>111</v>
      </c>
      <c r="CF934" t="s">
        <v>111</v>
      </c>
      <c r="CG934" t="s">
        <v>111</v>
      </c>
      <c r="CH934" t="s">
        <v>111</v>
      </c>
      <c r="CI934" t="s">
        <v>111</v>
      </c>
      <c r="CJ934" t="s">
        <v>111</v>
      </c>
      <c r="CK934" t="s">
        <v>111</v>
      </c>
      <c r="CL934" t="s">
        <v>153</v>
      </c>
      <c r="CM934" t="s">
        <v>198</v>
      </c>
      <c r="CN934" t="s">
        <v>113</v>
      </c>
      <c r="CO934" t="s">
        <v>111</v>
      </c>
      <c r="CP934" t="s">
        <v>433</v>
      </c>
      <c r="CQ934">
        <v>0</v>
      </c>
      <c r="CR934">
        <v>0</v>
      </c>
      <c r="CS934">
        <v>20</v>
      </c>
      <c r="CT934" t="s">
        <v>168</v>
      </c>
      <c r="CU934">
        <v>0</v>
      </c>
      <c r="CV934" t="s">
        <v>111</v>
      </c>
      <c r="CW934" t="s">
        <v>111</v>
      </c>
      <c r="CX934" t="s">
        <v>111</v>
      </c>
      <c r="CY934">
        <v>0</v>
      </c>
      <c r="CZ934" t="s">
        <v>111</v>
      </c>
      <c r="DA934" t="s">
        <v>111</v>
      </c>
      <c r="DB934" t="s">
        <v>111</v>
      </c>
      <c r="DC934" t="s">
        <v>111</v>
      </c>
    </row>
    <row r="935" spans="1:107">
      <c r="A935">
        <v>473</v>
      </c>
      <c r="B935" t="s">
        <v>162</v>
      </c>
      <c r="C935" t="s">
        <v>801</v>
      </c>
      <c r="D935" t="s">
        <v>818</v>
      </c>
      <c r="E935" t="s">
        <v>1791</v>
      </c>
      <c r="F935" t="s">
        <v>370</v>
      </c>
      <c r="G935" t="s">
        <v>416</v>
      </c>
      <c r="H935">
        <v>1.5</v>
      </c>
      <c r="I935">
        <v>57</v>
      </c>
      <c r="J935">
        <v>0</v>
      </c>
      <c r="K935">
        <v>0</v>
      </c>
      <c r="L935" t="s">
        <v>112</v>
      </c>
      <c r="M935" t="s">
        <v>118</v>
      </c>
      <c r="N935">
        <v>40</v>
      </c>
      <c r="O935">
        <v>2</v>
      </c>
      <c r="P935" t="s">
        <v>138</v>
      </c>
      <c r="Q935">
        <v>40</v>
      </c>
      <c r="R935">
        <v>0</v>
      </c>
      <c r="S935">
        <v>0</v>
      </c>
      <c r="T935">
        <v>0</v>
      </c>
      <c r="U935" t="s">
        <v>1353</v>
      </c>
      <c r="V935">
        <v>25</v>
      </c>
      <c r="W935">
        <v>0</v>
      </c>
      <c r="X935">
        <v>6</v>
      </c>
      <c r="Y935">
        <v>0</v>
      </c>
      <c r="Z935" t="s">
        <v>288</v>
      </c>
      <c r="AA935">
        <v>1.55</v>
      </c>
      <c r="AB935" t="s">
        <v>111</v>
      </c>
      <c r="AC935">
        <v>0</v>
      </c>
      <c r="AD935" t="s">
        <v>416</v>
      </c>
      <c r="AE935">
        <v>2</v>
      </c>
      <c r="AF935">
        <v>2</v>
      </c>
      <c r="AG935">
        <v>40</v>
      </c>
      <c r="AH935" t="s">
        <v>111</v>
      </c>
      <c r="AI935">
        <v>40</v>
      </c>
      <c r="AJ935" t="s">
        <v>111</v>
      </c>
      <c r="AK935" t="s">
        <v>111</v>
      </c>
      <c r="AL935" t="s">
        <v>111</v>
      </c>
      <c r="AM935">
        <v>0</v>
      </c>
      <c r="AN935">
        <v>0</v>
      </c>
      <c r="AO935">
        <v>0</v>
      </c>
      <c r="AP935" t="s">
        <v>1310</v>
      </c>
      <c r="AQ935" t="s">
        <v>111</v>
      </c>
      <c r="AR935" t="s">
        <v>111</v>
      </c>
      <c r="AS935" t="s">
        <v>111</v>
      </c>
      <c r="AT935" t="s">
        <v>184</v>
      </c>
      <c r="AU935" t="s">
        <v>111</v>
      </c>
      <c r="AV935" t="s">
        <v>111</v>
      </c>
      <c r="AW935" t="s">
        <v>111</v>
      </c>
      <c r="AX935" t="s">
        <v>111</v>
      </c>
      <c r="AY935" t="s">
        <v>111</v>
      </c>
      <c r="AZ935" t="s">
        <v>111</v>
      </c>
      <c r="BA935" t="s">
        <v>111</v>
      </c>
      <c r="BB935" t="s">
        <v>111</v>
      </c>
      <c r="BC935" t="s">
        <v>111</v>
      </c>
      <c r="BD935" t="s">
        <v>111</v>
      </c>
      <c r="BE935" t="s">
        <v>111</v>
      </c>
      <c r="BF935" t="s">
        <v>111</v>
      </c>
      <c r="BG935" t="s">
        <v>111</v>
      </c>
      <c r="BH935" t="s">
        <v>111</v>
      </c>
      <c r="BI935" t="s">
        <v>111</v>
      </c>
      <c r="BJ935" t="s">
        <v>111</v>
      </c>
      <c r="BK935" t="s">
        <v>111</v>
      </c>
      <c r="BL935" t="s">
        <v>111</v>
      </c>
      <c r="BM935" t="s">
        <v>111</v>
      </c>
      <c r="BN935" t="s">
        <v>111</v>
      </c>
      <c r="BO935" t="s">
        <v>111</v>
      </c>
      <c r="BP935" t="s">
        <v>111</v>
      </c>
      <c r="BQ935" t="s">
        <v>111</v>
      </c>
      <c r="BR935" t="s">
        <v>111</v>
      </c>
      <c r="BS935" t="s">
        <v>111</v>
      </c>
      <c r="BT935" t="s">
        <v>111</v>
      </c>
      <c r="BU935" t="s">
        <v>111</v>
      </c>
      <c r="BV935" t="s">
        <v>111</v>
      </c>
      <c r="BW935" t="s">
        <v>111</v>
      </c>
      <c r="BX935" t="s">
        <v>111</v>
      </c>
      <c r="BY935" t="s">
        <v>111</v>
      </c>
      <c r="BZ935" t="s">
        <v>111</v>
      </c>
      <c r="CA935" t="s">
        <v>111</v>
      </c>
      <c r="CB935" t="s">
        <v>111</v>
      </c>
      <c r="CC935" t="s">
        <v>111</v>
      </c>
      <c r="CD935" t="s">
        <v>111</v>
      </c>
      <c r="CE935" t="s">
        <v>111</v>
      </c>
      <c r="CF935" t="s">
        <v>111</v>
      </c>
      <c r="CG935" t="s">
        <v>111</v>
      </c>
      <c r="CH935" t="s">
        <v>111</v>
      </c>
      <c r="CI935" t="s">
        <v>111</v>
      </c>
      <c r="CJ935" t="s">
        <v>111</v>
      </c>
      <c r="CK935" t="s">
        <v>111</v>
      </c>
      <c r="CL935" t="s">
        <v>153</v>
      </c>
      <c r="CM935" t="s">
        <v>198</v>
      </c>
      <c r="CN935" t="s">
        <v>113</v>
      </c>
      <c r="CO935" t="s">
        <v>1348</v>
      </c>
      <c r="CP935" t="s">
        <v>433</v>
      </c>
      <c r="CQ935">
        <v>0</v>
      </c>
      <c r="CR935">
        <v>0</v>
      </c>
      <c r="CS935">
        <v>0</v>
      </c>
      <c r="CT935" t="s">
        <v>2850</v>
      </c>
      <c r="CU935">
        <v>0</v>
      </c>
      <c r="CV935" t="s">
        <v>111</v>
      </c>
      <c r="CW935" t="s">
        <v>111</v>
      </c>
      <c r="CX935" t="s">
        <v>111</v>
      </c>
      <c r="CY935">
        <v>0</v>
      </c>
      <c r="CZ935" t="s">
        <v>111</v>
      </c>
      <c r="DA935" t="s">
        <v>111</v>
      </c>
      <c r="DB935" t="s">
        <v>204</v>
      </c>
      <c r="DC935" s="1" t="s">
        <v>1350</v>
      </c>
    </row>
    <row r="936" spans="1:107">
      <c r="A936">
        <v>477</v>
      </c>
      <c r="B936" t="s">
        <v>162</v>
      </c>
      <c r="C936" t="s">
        <v>226</v>
      </c>
      <c r="D936" t="s">
        <v>3013</v>
      </c>
      <c r="E936" t="s">
        <v>3014</v>
      </c>
      <c r="F936" t="s">
        <v>157</v>
      </c>
      <c r="G936" t="s">
        <v>416</v>
      </c>
      <c r="H936">
        <v>1</v>
      </c>
      <c r="I936">
        <v>5</v>
      </c>
      <c r="J936">
        <v>0</v>
      </c>
      <c r="K936">
        <v>0</v>
      </c>
      <c r="L936" t="s">
        <v>117</v>
      </c>
      <c r="M936" t="s">
        <v>138</v>
      </c>
      <c r="N936">
        <v>0</v>
      </c>
      <c r="O936">
        <v>0</v>
      </c>
      <c r="P936" t="s">
        <v>138</v>
      </c>
      <c r="Q936">
        <v>10</v>
      </c>
      <c r="R936">
        <v>0</v>
      </c>
      <c r="S936">
        <v>0</v>
      </c>
      <c r="T936">
        <v>0</v>
      </c>
      <c r="U936" t="s">
        <v>168</v>
      </c>
      <c r="V936">
        <v>0</v>
      </c>
      <c r="W936">
        <v>25</v>
      </c>
      <c r="X936">
        <v>6</v>
      </c>
      <c r="Y936">
        <v>0</v>
      </c>
      <c r="Z936" t="s">
        <v>111</v>
      </c>
      <c r="AA936">
        <v>0</v>
      </c>
      <c r="AB936" t="s">
        <v>111</v>
      </c>
      <c r="AC936">
        <v>0</v>
      </c>
      <c r="AD936" t="s">
        <v>111</v>
      </c>
      <c r="AE936">
        <v>0</v>
      </c>
      <c r="AF936">
        <v>0</v>
      </c>
      <c r="AG936" t="s">
        <v>111</v>
      </c>
      <c r="AH936" t="s">
        <v>111</v>
      </c>
      <c r="AI936" t="s">
        <v>111</v>
      </c>
      <c r="AJ936" t="s">
        <v>111</v>
      </c>
      <c r="AK936" t="s">
        <v>111</v>
      </c>
      <c r="AL936" t="s">
        <v>111</v>
      </c>
      <c r="AM936">
        <v>0</v>
      </c>
      <c r="AN936">
        <v>0</v>
      </c>
      <c r="AO936">
        <v>0</v>
      </c>
      <c r="AP936" t="s">
        <v>111</v>
      </c>
      <c r="AQ936" t="s">
        <v>111</v>
      </c>
      <c r="AR936" t="s">
        <v>111</v>
      </c>
      <c r="AS936" t="s">
        <v>111</v>
      </c>
      <c r="AT936" t="s">
        <v>111</v>
      </c>
      <c r="AU936" t="s">
        <v>111</v>
      </c>
      <c r="AV936" t="s">
        <v>111</v>
      </c>
      <c r="AW936" t="s">
        <v>111</v>
      </c>
      <c r="AX936" t="s">
        <v>111</v>
      </c>
      <c r="AY936" t="s">
        <v>111</v>
      </c>
      <c r="AZ936" t="s">
        <v>111</v>
      </c>
      <c r="BA936" t="s">
        <v>111</v>
      </c>
      <c r="BB936" t="s">
        <v>111</v>
      </c>
      <c r="BC936" t="s">
        <v>111</v>
      </c>
      <c r="BD936" t="s">
        <v>111</v>
      </c>
      <c r="BE936" t="s">
        <v>111</v>
      </c>
      <c r="BF936" t="s">
        <v>111</v>
      </c>
      <c r="BG936" t="s">
        <v>111</v>
      </c>
      <c r="BH936" t="s">
        <v>111</v>
      </c>
      <c r="BI936" t="s">
        <v>111</v>
      </c>
      <c r="BJ936" t="s">
        <v>111</v>
      </c>
      <c r="BK936" t="s">
        <v>111</v>
      </c>
      <c r="BL936" t="s">
        <v>111</v>
      </c>
      <c r="BM936" t="s">
        <v>111</v>
      </c>
      <c r="BN936" t="s">
        <v>111</v>
      </c>
      <c r="BO936" t="s">
        <v>111</v>
      </c>
      <c r="BP936" t="s">
        <v>111</v>
      </c>
      <c r="BQ936" t="s">
        <v>111</v>
      </c>
      <c r="BR936" t="s">
        <v>111</v>
      </c>
      <c r="BS936" t="s">
        <v>111</v>
      </c>
      <c r="BT936" t="s">
        <v>111</v>
      </c>
      <c r="BU936" t="s">
        <v>111</v>
      </c>
      <c r="BV936" t="s">
        <v>111</v>
      </c>
      <c r="BW936" t="s">
        <v>111</v>
      </c>
      <c r="BX936" t="s">
        <v>111</v>
      </c>
      <c r="BY936" t="s">
        <v>111</v>
      </c>
      <c r="BZ936" t="s">
        <v>111</v>
      </c>
      <c r="CA936" t="s">
        <v>111</v>
      </c>
      <c r="CB936" t="s">
        <v>111</v>
      </c>
      <c r="CC936" t="s">
        <v>111</v>
      </c>
      <c r="CD936" t="s">
        <v>111</v>
      </c>
      <c r="CE936" t="s">
        <v>111</v>
      </c>
      <c r="CF936" t="s">
        <v>111</v>
      </c>
      <c r="CG936" t="s">
        <v>111</v>
      </c>
      <c r="CH936" t="s">
        <v>111</v>
      </c>
      <c r="CI936" t="s">
        <v>111</v>
      </c>
      <c r="CJ936" t="s">
        <v>111</v>
      </c>
      <c r="CK936" t="s">
        <v>111</v>
      </c>
      <c r="CL936" t="s">
        <v>111</v>
      </c>
      <c r="CM936" t="s">
        <v>111</v>
      </c>
      <c r="CN936" t="s">
        <v>111</v>
      </c>
      <c r="CO936" t="s">
        <v>111</v>
      </c>
      <c r="CP936" t="s">
        <v>111</v>
      </c>
      <c r="CQ936">
        <v>0</v>
      </c>
      <c r="CR936">
        <v>0</v>
      </c>
      <c r="CS936">
        <v>0</v>
      </c>
      <c r="CT936" t="s">
        <v>111</v>
      </c>
      <c r="CU936">
        <v>0</v>
      </c>
      <c r="CV936" t="s">
        <v>111</v>
      </c>
      <c r="CW936" t="s">
        <v>111</v>
      </c>
      <c r="CX936" t="s">
        <v>111</v>
      </c>
      <c r="CY936">
        <v>0</v>
      </c>
      <c r="CZ936" t="s">
        <v>111</v>
      </c>
      <c r="DA936" t="s">
        <v>111</v>
      </c>
      <c r="DB936" t="s">
        <v>111</v>
      </c>
      <c r="DC936" t="s">
        <v>111</v>
      </c>
    </row>
    <row r="937" spans="1:107">
      <c r="A937">
        <v>680</v>
      </c>
      <c r="B937" t="s">
        <v>162</v>
      </c>
      <c r="C937" t="s">
        <v>328</v>
      </c>
      <c r="D937" t="s">
        <v>3015</v>
      </c>
      <c r="E937" t="s">
        <v>3016</v>
      </c>
      <c r="F937" t="s">
        <v>370</v>
      </c>
      <c r="G937" t="s">
        <v>416</v>
      </c>
      <c r="H937">
        <v>1</v>
      </c>
      <c r="I937">
        <v>20</v>
      </c>
      <c r="J937">
        <v>6</v>
      </c>
      <c r="K937">
        <v>6</v>
      </c>
      <c r="L937" t="s">
        <v>112</v>
      </c>
      <c r="M937" t="s">
        <v>118</v>
      </c>
      <c r="N937">
        <v>40</v>
      </c>
      <c r="O937">
        <v>1</v>
      </c>
      <c r="P937" t="s">
        <v>138</v>
      </c>
      <c r="Q937">
        <v>30</v>
      </c>
      <c r="R937">
        <v>0</v>
      </c>
      <c r="S937">
        <v>0</v>
      </c>
      <c r="T937">
        <v>0</v>
      </c>
      <c r="U937" t="s">
        <v>1353</v>
      </c>
      <c r="V937">
        <v>25</v>
      </c>
      <c r="W937">
        <v>0</v>
      </c>
      <c r="X937">
        <v>8</v>
      </c>
      <c r="Y937">
        <v>0</v>
      </c>
      <c r="Z937" t="s">
        <v>288</v>
      </c>
      <c r="AA937">
        <v>1.65</v>
      </c>
      <c r="AB937" t="s">
        <v>111</v>
      </c>
      <c r="AC937">
        <v>0</v>
      </c>
      <c r="AD937" t="s">
        <v>416</v>
      </c>
      <c r="AE937">
        <v>1</v>
      </c>
      <c r="AF937">
        <v>1</v>
      </c>
      <c r="AG937">
        <v>44</v>
      </c>
      <c r="AH937" t="s">
        <v>111</v>
      </c>
      <c r="AI937">
        <v>44</v>
      </c>
      <c r="AJ937" t="s">
        <v>111</v>
      </c>
      <c r="AK937" t="s">
        <v>111</v>
      </c>
      <c r="AL937" t="s">
        <v>111</v>
      </c>
      <c r="AM937">
        <v>0</v>
      </c>
      <c r="AN937">
        <v>0</v>
      </c>
      <c r="AO937">
        <v>0</v>
      </c>
      <c r="AP937" t="s">
        <v>111</v>
      </c>
      <c r="AQ937" t="s">
        <v>111</v>
      </c>
      <c r="AR937" t="s">
        <v>111</v>
      </c>
      <c r="AS937" t="s">
        <v>111</v>
      </c>
      <c r="AT937" t="s">
        <v>111</v>
      </c>
      <c r="AU937" t="s">
        <v>111</v>
      </c>
      <c r="AV937" t="s">
        <v>111</v>
      </c>
      <c r="AW937" t="s">
        <v>111</v>
      </c>
      <c r="AX937" t="s">
        <v>111</v>
      </c>
      <c r="AY937" t="s">
        <v>111</v>
      </c>
      <c r="AZ937" t="s">
        <v>111</v>
      </c>
      <c r="BA937" t="s">
        <v>111</v>
      </c>
      <c r="BB937" t="s">
        <v>111</v>
      </c>
      <c r="BC937" t="s">
        <v>111</v>
      </c>
      <c r="BD937" t="s">
        <v>111</v>
      </c>
      <c r="BE937" t="s">
        <v>111</v>
      </c>
      <c r="BF937" t="s">
        <v>111</v>
      </c>
      <c r="BG937" t="s">
        <v>111</v>
      </c>
      <c r="BH937" t="s">
        <v>111</v>
      </c>
      <c r="BI937" t="s">
        <v>111</v>
      </c>
      <c r="BJ937" t="s">
        <v>111</v>
      </c>
      <c r="BK937" t="s">
        <v>111</v>
      </c>
      <c r="BL937" t="s">
        <v>111</v>
      </c>
      <c r="BM937" t="s">
        <v>111</v>
      </c>
      <c r="BN937" t="s">
        <v>111</v>
      </c>
      <c r="BO937" t="s">
        <v>111</v>
      </c>
      <c r="BP937" t="s">
        <v>111</v>
      </c>
      <c r="BQ937" t="s">
        <v>111</v>
      </c>
      <c r="BR937" t="s">
        <v>111</v>
      </c>
      <c r="BS937" t="s">
        <v>111</v>
      </c>
      <c r="BT937" t="s">
        <v>111</v>
      </c>
      <c r="BU937" t="s">
        <v>111</v>
      </c>
      <c r="BV937" t="s">
        <v>111</v>
      </c>
      <c r="BW937" t="s">
        <v>111</v>
      </c>
      <c r="BX937" t="s">
        <v>111</v>
      </c>
      <c r="BY937" t="s">
        <v>111</v>
      </c>
      <c r="BZ937" t="s">
        <v>111</v>
      </c>
      <c r="CA937" t="s">
        <v>111</v>
      </c>
      <c r="CB937" t="s">
        <v>111</v>
      </c>
      <c r="CC937" t="s">
        <v>111</v>
      </c>
      <c r="CD937" t="s">
        <v>111</v>
      </c>
      <c r="CE937" t="s">
        <v>111</v>
      </c>
      <c r="CF937" t="s">
        <v>111</v>
      </c>
      <c r="CG937" t="s">
        <v>111</v>
      </c>
      <c r="CH937" t="s">
        <v>111</v>
      </c>
      <c r="CI937" t="s">
        <v>111</v>
      </c>
      <c r="CJ937" t="s">
        <v>111</v>
      </c>
      <c r="CK937" t="s">
        <v>111</v>
      </c>
      <c r="CL937" t="s">
        <v>153</v>
      </c>
      <c r="CM937" t="s">
        <v>198</v>
      </c>
      <c r="CN937" t="s">
        <v>128</v>
      </c>
      <c r="CO937" t="s">
        <v>974</v>
      </c>
      <c r="CP937" t="s">
        <v>433</v>
      </c>
      <c r="CQ937">
        <v>0</v>
      </c>
      <c r="CR937">
        <v>0</v>
      </c>
      <c r="CS937">
        <v>0</v>
      </c>
      <c r="CT937" t="s">
        <v>2850</v>
      </c>
      <c r="CU937">
        <v>0</v>
      </c>
      <c r="CV937" t="s">
        <v>111</v>
      </c>
      <c r="CW937" t="s">
        <v>111</v>
      </c>
      <c r="CX937" t="s">
        <v>111</v>
      </c>
      <c r="CY937">
        <v>0</v>
      </c>
      <c r="CZ937" t="s">
        <v>111</v>
      </c>
      <c r="DA937" t="s">
        <v>111</v>
      </c>
      <c r="DB937" t="s">
        <v>204</v>
      </c>
      <c r="DC937" s="1" t="s">
        <v>1363</v>
      </c>
    </row>
    <row r="938" spans="1:107">
      <c r="A938">
        <v>410</v>
      </c>
      <c r="B938" t="s">
        <v>162</v>
      </c>
      <c r="C938" t="s">
        <v>1382</v>
      </c>
      <c r="D938" t="s">
        <v>2992</v>
      </c>
      <c r="E938" t="s">
        <v>3017</v>
      </c>
      <c r="F938" t="s">
        <v>561</v>
      </c>
      <c r="G938" t="s">
        <v>416</v>
      </c>
      <c r="H938">
        <v>2.5</v>
      </c>
      <c r="I938">
        <v>45</v>
      </c>
      <c r="J938">
        <v>0</v>
      </c>
      <c r="K938">
        <v>0</v>
      </c>
      <c r="L938" t="s">
        <v>112</v>
      </c>
      <c r="M938" t="s">
        <v>118</v>
      </c>
      <c r="N938">
        <v>40</v>
      </c>
      <c r="O938">
        <v>2</v>
      </c>
      <c r="P938" t="s">
        <v>138</v>
      </c>
      <c r="Q938">
        <v>40</v>
      </c>
      <c r="R938">
        <v>0</v>
      </c>
      <c r="S938">
        <v>0</v>
      </c>
      <c r="T938">
        <v>0</v>
      </c>
      <c r="U938" t="s">
        <v>1353</v>
      </c>
      <c r="V938">
        <v>25</v>
      </c>
      <c r="W938">
        <v>0</v>
      </c>
      <c r="X938">
        <v>8</v>
      </c>
      <c r="Y938">
        <v>0</v>
      </c>
      <c r="Z938" t="s">
        <v>1091</v>
      </c>
      <c r="AA938">
        <v>1.65</v>
      </c>
      <c r="AB938" t="s">
        <v>111</v>
      </c>
      <c r="AC938">
        <v>0</v>
      </c>
      <c r="AD938" t="s">
        <v>416</v>
      </c>
      <c r="AE938">
        <v>0</v>
      </c>
      <c r="AF938">
        <v>0</v>
      </c>
      <c r="AG938">
        <v>40</v>
      </c>
      <c r="AH938" t="s">
        <v>111</v>
      </c>
      <c r="AI938">
        <v>40</v>
      </c>
      <c r="AJ938" t="s">
        <v>111</v>
      </c>
      <c r="AK938" t="s">
        <v>111</v>
      </c>
      <c r="AL938" t="s">
        <v>111</v>
      </c>
      <c r="AM938">
        <v>0</v>
      </c>
      <c r="AN938">
        <v>0</v>
      </c>
      <c r="AO938">
        <v>0</v>
      </c>
      <c r="AP938" t="s">
        <v>111</v>
      </c>
      <c r="AQ938" t="s">
        <v>111</v>
      </c>
      <c r="AR938" t="s">
        <v>111</v>
      </c>
      <c r="AS938" t="s">
        <v>111</v>
      </c>
      <c r="AT938" t="s">
        <v>111</v>
      </c>
      <c r="AU938" t="s">
        <v>111</v>
      </c>
      <c r="AV938" t="s">
        <v>111</v>
      </c>
      <c r="AW938" t="s">
        <v>111</v>
      </c>
      <c r="AX938" t="s">
        <v>111</v>
      </c>
      <c r="AY938" t="s">
        <v>111</v>
      </c>
      <c r="AZ938" t="s">
        <v>111</v>
      </c>
      <c r="BA938" t="s">
        <v>111</v>
      </c>
      <c r="BB938" t="s">
        <v>111</v>
      </c>
      <c r="BC938" t="s">
        <v>111</v>
      </c>
      <c r="BD938" t="s">
        <v>111</v>
      </c>
      <c r="BE938" t="s">
        <v>111</v>
      </c>
      <c r="BF938" t="s">
        <v>111</v>
      </c>
      <c r="BG938" t="s">
        <v>111</v>
      </c>
      <c r="BH938" t="s">
        <v>111</v>
      </c>
      <c r="BI938" t="s">
        <v>111</v>
      </c>
      <c r="BJ938" t="s">
        <v>111</v>
      </c>
      <c r="BK938" t="s">
        <v>111</v>
      </c>
      <c r="BL938" t="s">
        <v>111</v>
      </c>
      <c r="BM938" t="s">
        <v>111</v>
      </c>
      <c r="BN938" t="s">
        <v>111</v>
      </c>
      <c r="BO938" t="s">
        <v>111</v>
      </c>
      <c r="BP938" t="s">
        <v>111</v>
      </c>
      <c r="BQ938" t="s">
        <v>111</v>
      </c>
      <c r="BR938" t="s">
        <v>111</v>
      </c>
      <c r="BS938" t="s">
        <v>111</v>
      </c>
      <c r="BT938" t="s">
        <v>111</v>
      </c>
      <c r="BU938" t="s">
        <v>111</v>
      </c>
      <c r="BV938" t="s">
        <v>111</v>
      </c>
      <c r="BW938" t="s">
        <v>111</v>
      </c>
      <c r="BX938" t="s">
        <v>111</v>
      </c>
      <c r="BY938" t="s">
        <v>111</v>
      </c>
      <c r="BZ938" t="s">
        <v>111</v>
      </c>
      <c r="CA938" t="s">
        <v>111</v>
      </c>
      <c r="CB938" t="s">
        <v>111</v>
      </c>
      <c r="CC938" t="s">
        <v>111</v>
      </c>
      <c r="CD938" t="s">
        <v>111</v>
      </c>
      <c r="CE938" t="s">
        <v>111</v>
      </c>
      <c r="CF938" t="s">
        <v>111</v>
      </c>
      <c r="CG938" t="s">
        <v>111</v>
      </c>
      <c r="CH938" t="s">
        <v>111</v>
      </c>
      <c r="CI938" t="s">
        <v>111</v>
      </c>
      <c r="CJ938" t="s">
        <v>111</v>
      </c>
      <c r="CK938" t="s">
        <v>111</v>
      </c>
      <c r="CL938" s="1" t="s">
        <v>2994</v>
      </c>
      <c r="CM938" t="s">
        <v>198</v>
      </c>
      <c r="CN938" t="s">
        <v>113</v>
      </c>
      <c r="CO938" t="s">
        <v>111</v>
      </c>
      <c r="CP938" t="s">
        <v>433</v>
      </c>
      <c r="CQ938">
        <v>0</v>
      </c>
      <c r="CR938">
        <v>0</v>
      </c>
      <c r="CS938">
        <v>0</v>
      </c>
      <c r="CT938" t="s">
        <v>419</v>
      </c>
      <c r="CU938">
        <v>0</v>
      </c>
      <c r="CV938" t="s">
        <v>111</v>
      </c>
      <c r="CW938" t="s">
        <v>111</v>
      </c>
      <c r="CX938" t="s">
        <v>111</v>
      </c>
      <c r="CY938">
        <v>0</v>
      </c>
      <c r="CZ938" t="s">
        <v>111</v>
      </c>
      <c r="DA938" t="s">
        <v>111</v>
      </c>
      <c r="DB938" t="s">
        <v>240</v>
      </c>
      <c r="DC938" s="1" t="s">
        <v>3018</v>
      </c>
    </row>
    <row r="939" spans="1:107">
      <c r="A939">
        <v>478</v>
      </c>
      <c r="B939" t="s">
        <v>162</v>
      </c>
      <c r="C939" t="s">
        <v>347</v>
      </c>
      <c r="D939" t="s">
        <v>3019</v>
      </c>
      <c r="E939" t="s">
        <v>3020</v>
      </c>
      <c r="F939" t="s">
        <v>431</v>
      </c>
      <c r="G939" t="s">
        <v>416</v>
      </c>
      <c r="H939">
        <v>6</v>
      </c>
      <c r="I939">
        <v>52</v>
      </c>
      <c r="J939">
        <v>0</v>
      </c>
      <c r="K939">
        <v>0</v>
      </c>
      <c r="L939" t="s">
        <v>112</v>
      </c>
      <c r="M939" t="s">
        <v>118</v>
      </c>
      <c r="N939">
        <v>40</v>
      </c>
      <c r="O939">
        <v>1</v>
      </c>
      <c r="P939" t="s">
        <v>138</v>
      </c>
      <c r="Q939">
        <v>35</v>
      </c>
      <c r="R939">
        <v>0</v>
      </c>
      <c r="S939">
        <v>0</v>
      </c>
      <c r="T939">
        <v>0</v>
      </c>
      <c r="U939" t="s">
        <v>1353</v>
      </c>
      <c r="V939">
        <v>0</v>
      </c>
      <c r="W939">
        <v>0</v>
      </c>
      <c r="X939">
        <v>1</v>
      </c>
      <c r="Y939">
        <v>0</v>
      </c>
      <c r="Z939" t="s">
        <v>111</v>
      </c>
      <c r="AA939">
        <v>0</v>
      </c>
      <c r="AB939" t="s">
        <v>111</v>
      </c>
      <c r="AC939">
        <v>0</v>
      </c>
      <c r="AD939" t="s">
        <v>416</v>
      </c>
      <c r="AE939">
        <v>5</v>
      </c>
      <c r="AF939">
        <v>1</v>
      </c>
      <c r="AG939">
        <v>60</v>
      </c>
      <c r="AH939" t="s">
        <v>111</v>
      </c>
      <c r="AI939">
        <v>60</v>
      </c>
      <c r="AJ939" t="s">
        <v>111</v>
      </c>
      <c r="AK939" t="s">
        <v>111</v>
      </c>
      <c r="AL939" t="s">
        <v>111</v>
      </c>
      <c r="AM939">
        <v>0</v>
      </c>
      <c r="AN939">
        <v>0</v>
      </c>
      <c r="AO939">
        <v>0</v>
      </c>
      <c r="AP939" t="s">
        <v>111</v>
      </c>
      <c r="AQ939" t="s">
        <v>111</v>
      </c>
      <c r="AR939" t="s">
        <v>111</v>
      </c>
      <c r="AS939" t="s">
        <v>111</v>
      </c>
      <c r="AT939" t="s">
        <v>111</v>
      </c>
      <c r="AU939" t="s">
        <v>111</v>
      </c>
      <c r="AV939" t="s">
        <v>111</v>
      </c>
      <c r="AW939" t="s">
        <v>111</v>
      </c>
      <c r="AX939" t="s">
        <v>111</v>
      </c>
      <c r="AY939" t="s">
        <v>111</v>
      </c>
      <c r="AZ939" t="s">
        <v>111</v>
      </c>
      <c r="BA939" t="s">
        <v>111</v>
      </c>
      <c r="BB939" t="s">
        <v>111</v>
      </c>
      <c r="BC939" t="s">
        <v>111</v>
      </c>
      <c r="BD939" t="s">
        <v>111</v>
      </c>
      <c r="BE939" t="s">
        <v>111</v>
      </c>
      <c r="BF939" t="s">
        <v>111</v>
      </c>
      <c r="BG939" t="s">
        <v>111</v>
      </c>
      <c r="BH939" t="s">
        <v>111</v>
      </c>
      <c r="BI939" t="s">
        <v>111</v>
      </c>
      <c r="BJ939" t="s">
        <v>111</v>
      </c>
      <c r="BK939" t="s">
        <v>111</v>
      </c>
      <c r="BL939" t="s">
        <v>111</v>
      </c>
      <c r="BM939" t="s">
        <v>111</v>
      </c>
      <c r="BN939" t="s">
        <v>111</v>
      </c>
      <c r="BO939" t="s">
        <v>111</v>
      </c>
      <c r="BP939" t="s">
        <v>111</v>
      </c>
      <c r="BQ939" t="s">
        <v>111</v>
      </c>
      <c r="BR939" t="s">
        <v>111</v>
      </c>
      <c r="BS939" t="s">
        <v>111</v>
      </c>
      <c r="BT939" t="s">
        <v>111</v>
      </c>
      <c r="BU939" t="s">
        <v>111</v>
      </c>
      <c r="BV939" t="s">
        <v>111</v>
      </c>
      <c r="BW939" t="s">
        <v>111</v>
      </c>
      <c r="BX939" t="s">
        <v>111</v>
      </c>
      <c r="BY939" t="s">
        <v>111</v>
      </c>
      <c r="BZ939" t="s">
        <v>111</v>
      </c>
      <c r="CA939" t="s">
        <v>111</v>
      </c>
      <c r="CB939" t="s">
        <v>111</v>
      </c>
      <c r="CC939" t="s">
        <v>111</v>
      </c>
      <c r="CD939" t="s">
        <v>111</v>
      </c>
      <c r="CE939" t="s">
        <v>111</v>
      </c>
      <c r="CF939" t="s">
        <v>111</v>
      </c>
      <c r="CG939" t="s">
        <v>111</v>
      </c>
      <c r="CH939" t="s">
        <v>111</v>
      </c>
      <c r="CI939" t="s">
        <v>111</v>
      </c>
      <c r="CJ939" t="s">
        <v>111</v>
      </c>
      <c r="CK939" t="s">
        <v>111</v>
      </c>
      <c r="CL939" t="s">
        <v>153</v>
      </c>
      <c r="CM939" t="s">
        <v>198</v>
      </c>
      <c r="CN939" t="s">
        <v>128</v>
      </c>
      <c r="CO939" t="s">
        <v>111</v>
      </c>
      <c r="CP939" t="s">
        <v>433</v>
      </c>
      <c r="CQ939">
        <v>0</v>
      </c>
      <c r="CR939">
        <v>0</v>
      </c>
      <c r="CS939">
        <v>0</v>
      </c>
      <c r="CT939" t="s">
        <v>168</v>
      </c>
      <c r="CU939">
        <v>0</v>
      </c>
      <c r="CV939" t="s">
        <v>111</v>
      </c>
      <c r="CW939" t="s">
        <v>111</v>
      </c>
      <c r="CX939" t="s">
        <v>111</v>
      </c>
      <c r="CY939">
        <v>0</v>
      </c>
      <c r="CZ939" t="s">
        <v>111</v>
      </c>
      <c r="DA939" t="s">
        <v>111</v>
      </c>
      <c r="DB939" t="s">
        <v>111</v>
      </c>
      <c r="DC939" t="s">
        <v>111</v>
      </c>
    </row>
    <row r="940" spans="1:107">
      <c r="A940">
        <v>836</v>
      </c>
      <c r="B940" t="s">
        <v>107</v>
      </c>
      <c r="C940" t="s">
        <v>215</v>
      </c>
      <c r="D940" t="s">
        <v>3021</v>
      </c>
      <c r="E940" t="s">
        <v>3022</v>
      </c>
      <c r="F940" t="s">
        <v>192</v>
      </c>
      <c r="G940" t="s">
        <v>416</v>
      </c>
      <c r="H940">
        <v>4</v>
      </c>
      <c r="I940">
        <v>10</v>
      </c>
      <c r="J940">
        <v>0</v>
      </c>
      <c r="K940">
        <v>0</v>
      </c>
      <c r="L940" t="s">
        <v>112</v>
      </c>
      <c r="M940" t="s">
        <v>138</v>
      </c>
      <c r="N940">
        <v>0</v>
      </c>
      <c r="O940">
        <v>0</v>
      </c>
      <c r="P940" t="s">
        <v>138</v>
      </c>
      <c r="Q940">
        <v>15</v>
      </c>
      <c r="R940">
        <v>0</v>
      </c>
      <c r="S940">
        <v>0</v>
      </c>
      <c r="T940">
        <v>0</v>
      </c>
      <c r="U940" t="s">
        <v>296</v>
      </c>
      <c r="V940">
        <v>0</v>
      </c>
      <c r="W940">
        <v>25</v>
      </c>
      <c r="X940">
        <v>6</v>
      </c>
      <c r="Y940">
        <v>0</v>
      </c>
      <c r="Z940" t="s">
        <v>111</v>
      </c>
      <c r="AA940">
        <v>0</v>
      </c>
      <c r="AB940" t="s">
        <v>111</v>
      </c>
      <c r="AC940">
        <v>0</v>
      </c>
      <c r="AD940" t="s">
        <v>111</v>
      </c>
      <c r="AE940">
        <v>0</v>
      </c>
      <c r="AF940">
        <v>0</v>
      </c>
      <c r="AG940" t="s">
        <v>111</v>
      </c>
      <c r="AH940" t="s">
        <v>111</v>
      </c>
      <c r="AI940" t="s">
        <v>111</v>
      </c>
      <c r="AJ940" t="s">
        <v>111</v>
      </c>
      <c r="AK940" t="s">
        <v>111</v>
      </c>
      <c r="AL940" t="s">
        <v>111</v>
      </c>
      <c r="AM940">
        <v>0</v>
      </c>
      <c r="AN940">
        <v>0</v>
      </c>
      <c r="AO940">
        <v>0</v>
      </c>
      <c r="AP940" t="s">
        <v>111</v>
      </c>
      <c r="AQ940" t="s">
        <v>111</v>
      </c>
      <c r="AR940" t="s">
        <v>111</v>
      </c>
      <c r="AS940" t="s">
        <v>111</v>
      </c>
      <c r="AT940" t="s">
        <v>111</v>
      </c>
      <c r="AU940" t="s">
        <v>111</v>
      </c>
      <c r="AV940" t="s">
        <v>111</v>
      </c>
      <c r="AW940" t="s">
        <v>111</v>
      </c>
      <c r="AX940" t="s">
        <v>111</v>
      </c>
      <c r="AY940" t="s">
        <v>111</v>
      </c>
      <c r="AZ940" t="s">
        <v>111</v>
      </c>
      <c r="BA940" t="s">
        <v>111</v>
      </c>
      <c r="BB940" t="s">
        <v>111</v>
      </c>
      <c r="BC940" t="s">
        <v>111</v>
      </c>
      <c r="BD940" t="s">
        <v>111</v>
      </c>
      <c r="BE940" t="s">
        <v>111</v>
      </c>
      <c r="BF940" t="s">
        <v>111</v>
      </c>
      <c r="BG940" t="s">
        <v>111</v>
      </c>
      <c r="BH940" t="s">
        <v>111</v>
      </c>
      <c r="BI940" t="s">
        <v>111</v>
      </c>
      <c r="BJ940" t="s">
        <v>111</v>
      </c>
      <c r="BK940" t="s">
        <v>111</v>
      </c>
      <c r="BL940" t="s">
        <v>111</v>
      </c>
      <c r="BM940" t="s">
        <v>111</v>
      </c>
      <c r="BN940" t="s">
        <v>111</v>
      </c>
      <c r="BO940" t="s">
        <v>111</v>
      </c>
      <c r="BP940" t="s">
        <v>111</v>
      </c>
      <c r="BQ940" t="s">
        <v>111</v>
      </c>
      <c r="BR940" t="s">
        <v>111</v>
      </c>
      <c r="BS940" t="s">
        <v>111</v>
      </c>
      <c r="BT940" t="s">
        <v>111</v>
      </c>
      <c r="BU940" t="s">
        <v>111</v>
      </c>
      <c r="BV940" t="s">
        <v>111</v>
      </c>
      <c r="BW940" t="s">
        <v>111</v>
      </c>
      <c r="BX940" t="s">
        <v>111</v>
      </c>
      <c r="BY940" t="s">
        <v>111</v>
      </c>
      <c r="BZ940" t="s">
        <v>111</v>
      </c>
      <c r="CA940" t="s">
        <v>111</v>
      </c>
      <c r="CB940" t="s">
        <v>111</v>
      </c>
      <c r="CC940" t="s">
        <v>111</v>
      </c>
      <c r="CD940" t="s">
        <v>111</v>
      </c>
      <c r="CE940" t="s">
        <v>111</v>
      </c>
      <c r="CF940" t="s">
        <v>111</v>
      </c>
      <c r="CG940" t="s">
        <v>111</v>
      </c>
      <c r="CH940" t="s">
        <v>111</v>
      </c>
      <c r="CI940" t="s">
        <v>111</v>
      </c>
      <c r="CJ940" t="s">
        <v>111</v>
      </c>
      <c r="CK940" t="s">
        <v>111</v>
      </c>
      <c r="CL940" t="s">
        <v>111</v>
      </c>
      <c r="CM940" t="s">
        <v>198</v>
      </c>
      <c r="CN940" t="s">
        <v>128</v>
      </c>
      <c r="CO940" t="s">
        <v>111</v>
      </c>
      <c r="CP940" t="s">
        <v>111</v>
      </c>
      <c r="CQ940">
        <v>0</v>
      </c>
      <c r="CR940">
        <v>3000</v>
      </c>
      <c r="CS940">
        <v>100</v>
      </c>
      <c r="CT940" t="s">
        <v>394</v>
      </c>
      <c r="CU940">
        <v>0</v>
      </c>
      <c r="CV940" t="s">
        <v>111</v>
      </c>
      <c r="CW940" t="s">
        <v>111</v>
      </c>
      <c r="CX940" t="s">
        <v>111</v>
      </c>
      <c r="CY940">
        <v>0</v>
      </c>
      <c r="CZ940" t="s">
        <v>111</v>
      </c>
      <c r="DA940" t="s">
        <v>111</v>
      </c>
      <c r="DB940" t="s">
        <v>111</v>
      </c>
      <c r="DC940" t="s">
        <v>111</v>
      </c>
    </row>
    <row r="941" spans="1:107">
      <c r="A941">
        <v>678</v>
      </c>
      <c r="B941" t="s">
        <v>162</v>
      </c>
      <c r="C941" t="s">
        <v>1413</v>
      </c>
      <c r="D941" t="s">
        <v>3023</v>
      </c>
      <c r="E941" t="s">
        <v>3024</v>
      </c>
      <c r="F941" t="s">
        <v>431</v>
      </c>
      <c r="G941" t="s">
        <v>416</v>
      </c>
      <c r="H941">
        <v>2.4</v>
      </c>
      <c r="I941">
        <v>62</v>
      </c>
      <c r="J941">
        <v>0</v>
      </c>
      <c r="K941">
        <v>0</v>
      </c>
      <c r="L941" t="s">
        <v>117</v>
      </c>
      <c r="M941" t="s">
        <v>118</v>
      </c>
      <c r="N941">
        <v>40</v>
      </c>
      <c r="O941">
        <v>2</v>
      </c>
      <c r="P941" t="s">
        <v>138</v>
      </c>
      <c r="Q941">
        <v>30</v>
      </c>
      <c r="R941">
        <v>0</v>
      </c>
      <c r="S941">
        <v>0</v>
      </c>
      <c r="T941">
        <v>0</v>
      </c>
      <c r="U941" t="s">
        <v>1353</v>
      </c>
      <c r="V941">
        <v>0</v>
      </c>
      <c r="W941">
        <v>25</v>
      </c>
      <c r="X941">
        <v>10</v>
      </c>
      <c r="Y941">
        <v>0</v>
      </c>
      <c r="Z941" t="s">
        <v>111</v>
      </c>
      <c r="AA941">
        <v>0</v>
      </c>
      <c r="AB941" t="s">
        <v>111</v>
      </c>
      <c r="AC941">
        <v>0</v>
      </c>
      <c r="AD941" t="s">
        <v>416</v>
      </c>
      <c r="AE941">
        <v>3</v>
      </c>
      <c r="AF941">
        <v>2</v>
      </c>
      <c r="AG941">
        <v>18</v>
      </c>
      <c r="AH941" t="s">
        <v>111</v>
      </c>
      <c r="AI941">
        <v>36</v>
      </c>
      <c r="AJ941" t="s">
        <v>111</v>
      </c>
      <c r="AK941" t="s">
        <v>111</v>
      </c>
      <c r="AL941" t="s">
        <v>111</v>
      </c>
      <c r="AM941">
        <v>0</v>
      </c>
      <c r="AN941">
        <v>0</v>
      </c>
      <c r="AO941">
        <v>0</v>
      </c>
      <c r="AP941" t="s">
        <v>188</v>
      </c>
      <c r="AQ941" t="s">
        <v>111</v>
      </c>
      <c r="AR941" t="s">
        <v>111</v>
      </c>
      <c r="AS941" t="s">
        <v>111</v>
      </c>
      <c r="AT941" t="s">
        <v>288</v>
      </c>
      <c r="AU941" t="s">
        <v>111</v>
      </c>
      <c r="AV941" t="s">
        <v>111</v>
      </c>
      <c r="AW941" t="s">
        <v>111</v>
      </c>
      <c r="AX941" t="s">
        <v>271</v>
      </c>
      <c r="AY941" t="s">
        <v>111</v>
      </c>
      <c r="AZ941" t="s">
        <v>111</v>
      </c>
      <c r="BA941" t="s">
        <v>111</v>
      </c>
      <c r="BB941" t="s">
        <v>111</v>
      </c>
      <c r="BC941" t="s">
        <v>111</v>
      </c>
      <c r="BD941" t="s">
        <v>111</v>
      </c>
      <c r="BE941" t="s">
        <v>111</v>
      </c>
      <c r="BF941" t="s">
        <v>111</v>
      </c>
      <c r="BG941" t="s">
        <v>111</v>
      </c>
      <c r="BH941" t="s">
        <v>111</v>
      </c>
      <c r="BI941" t="s">
        <v>111</v>
      </c>
      <c r="BJ941" t="s">
        <v>111</v>
      </c>
      <c r="BK941" t="s">
        <v>111</v>
      </c>
      <c r="BL941" t="s">
        <v>111</v>
      </c>
      <c r="BM941" t="s">
        <v>111</v>
      </c>
      <c r="BN941" t="s">
        <v>111</v>
      </c>
      <c r="BO941" t="s">
        <v>111</v>
      </c>
      <c r="BP941" t="s">
        <v>111</v>
      </c>
      <c r="BQ941" t="s">
        <v>111</v>
      </c>
      <c r="BR941" t="s">
        <v>111</v>
      </c>
      <c r="BS941" t="s">
        <v>111</v>
      </c>
      <c r="BT941" t="s">
        <v>111</v>
      </c>
      <c r="BU941" t="s">
        <v>111</v>
      </c>
      <c r="BV941" t="s">
        <v>111</v>
      </c>
      <c r="BW941" t="s">
        <v>111</v>
      </c>
      <c r="BX941" t="s">
        <v>111</v>
      </c>
      <c r="BY941" t="s">
        <v>111</v>
      </c>
      <c r="BZ941" t="s">
        <v>111</v>
      </c>
      <c r="CA941" t="s">
        <v>111</v>
      </c>
      <c r="CB941" t="s">
        <v>111</v>
      </c>
      <c r="CC941" t="s">
        <v>111</v>
      </c>
      <c r="CD941" t="s">
        <v>111</v>
      </c>
      <c r="CE941" t="s">
        <v>111</v>
      </c>
      <c r="CF941" t="s">
        <v>111</v>
      </c>
      <c r="CG941" t="s">
        <v>111</v>
      </c>
      <c r="CH941" t="s">
        <v>111</v>
      </c>
      <c r="CI941" t="s">
        <v>111</v>
      </c>
      <c r="CJ941" t="s">
        <v>111</v>
      </c>
      <c r="CK941" t="s">
        <v>111</v>
      </c>
      <c r="CL941" t="s">
        <v>153</v>
      </c>
      <c r="CM941" t="s">
        <v>198</v>
      </c>
      <c r="CN941" t="s">
        <v>113</v>
      </c>
      <c r="CO941" t="s">
        <v>111</v>
      </c>
      <c r="CP941" t="s">
        <v>433</v>
      </c>
      <c r="CQ941">
        <v>0</v>
      </c>
      <c r="CR941">
        <v>0</v>
      </c>
      <c r="CS941">
        <v>0</v>
      </c>
      <c r="CT941" t="s">
        <v>168</v>
      </c>
      <c r="CU941">
        <v>0</v>
      </c>
      <c r="CV941" t="s">
        <v>111</v>
      </c>
      <c r="CW941" t="s">
        <v>111</v>
      </c>
      <c r="CX941" t="s">
        <v>111</v>
      </c>
      <c r="CY941">
        <v>0</v>
      </c>
      <c r="CZ941" t="s">
        <v>111</v>
      </c>
      <c r="DA941" t="s">
        <v>111</v>
      </c>
      <c r="DB941" t="s">
        <v>111</v>
      </c>
      <c r="DC941" t="s">
        <v>111</v>
      </c>
    </row>
    <row r="942" spans="1:107">
      <c r="A942">
        <v>677</v>
      </c>
      <c r="B942" t="s">
        <v>162</v>
      </c>
      <c r="C942" t="s">
        <v>1413</v>
      </c>
      <c r="D942" t="s">
        <v>617</v>
      </c>
      <c r="E942" t="s">
        <v>3025</v>
      </c>
      <c r="F942" t="s">
        <v>431</v>
      </c>
      <c r="G942" t="s">
        <v>416</v>
      </c>
      <c r="H942">
        <v>2.4</v>
      </c>
      <c r="I942">
        <v>62</v>
      </c>
      <c r="J942">
        <v>0</v>
      </c>
      <c r="K942">
        <v>0</v>
      </c>
      <c r="L942" t="s">
        <v>117</v>
      </c>
      <c r="M942" t="s">
        <v>118</v>
      </c>
      <c r="N942">
        <v>40</v>
      </c>
      <c r="O942">
        <v>2</v>
      </c>
      <c r="P942" t="s">
        <v>138</v>
      </c>
      <c r="Q942">
        <v>30</v>
      </c>
      <c r="R942">
        <v>0</v>
      </c>
      <c r="S942">
        <v>0</v>
      </c>
      <c r="T942">
        <v>0</v>
      </c>
      <c r="U942" t="s">
        <v>1353</v>
      </c>
      <c r="V942">
        <v>0</v>
      </c>
      <c r="W942">
        <v>25</v>
      </c>
      <c r="X942">
        <v>10</v>
      </c>
      <c r="Y942">
        <v>0</v>
      </c>
      <c r="Z942" t="s">
        <v>111</v>
      </c>
      <c r="AA942">
        <v>0</v>
      </c>
      <c r="AB942" t="s">
        <v>111</v>
      </c>
      <c r="AC942">
        <v>0</v>
      </c>
      <c r="AD942" t="s">
        <v>416</v>
      </c>
      <c r="AE942">
        <v>3</v>
      </c>
      <c r="AF942">
        <v>2</v>
      </c>
      <c r="AG942">
        <v>14</v>
      </c>
      <c r="AH942" t="s">
        <v>111</v>
      </c>
      <c r="AI942">
        <v>30</v>
      </c>
      <c r="AJ942" t="s">
        <v>111</v>
      </c>
      <c r="AK942" t="s">
        <v>111</v>
      </c>
      <c r="AL942" t="s">
        <v>111</v>
      </c>
      <c r="AM942">
        <v>0</v>
      </c>
      <c r="AN942">
        <v>0</v>
      </c>
      <c r="AO942">
        <v>0</v>
      </c>
      <c r="AP942" t="s">
        <v>188</v>
      </c>
      <c r="AQ942" t="s">
        <v>111</v>
      </c>
      <c r="AR942" t="s">
        <v>111</v>
      </c>
      <c r="AS942" t="s">
        <v>111</v>
      </c>
      <c r="AT942" t="s">
        <v>288</v>
      </c>
      <c r="AU942" t="s">
        <v>111</v>
      </c>
      <c r="AV942" t="s">
        <v>111</v>
      </c>
      <c r="AW942" t="s">
        <v>111</v>
      </c>
      <c r="AX942" t="s">
        <v>271</v>
      </c>
      <c r="AY942" t="s">
        <v>111</v>
      </c>
      <c r="AZ942" t="s">
        <v>111</v>
      </c>
      <c r="BA942" t="s">
        <v>111</v>
      </c>
      <c r="BB942" t="s">
        <v>111</v>
      </c>
      <c r="BC942" t="s">
        <v>111</v>
      </c>
      <c r="BD942" t="s">
        <v>111</v>
      </c>
      <c r="BE942" t="s">
        <v>111</v>
      </c>
      <c r="BF942" t="s">
        <v>111</v>
      </c>
      <c r="BG942" t="s">
        <v>111</v>
      </c>
      <c r="BH942" t="s">
        <v>111</v>
      </c>
      <c r="BI942" t="s">
        <v>111</v>
      </c>
      <c r="BJ942" t="s">
        <v>111</v>
      </c>
      <c r="BK942" t="s">
        <v>111</v>
      </c>
      <c r="BL942" t="s">
        <v>111</v>
      </c>
      <c r="BM942" t="s">
        <v>111</v>
      </c>
      <c r="BN942" t="s">
        <v>111</v>
      </c>
      <c r="BO942" t="s">
        <v>111</v>
      </c>
      <c r="BP942" t="s">
        <v>111</v>
      </c>
      <c r="BQ942" t="s">
        <v>111</v>
      </c>
      <c r="BR942" t="s">
        <v>111</v>
      </c>
      <c r="BS942" t="s">
        <v>111</v>
      </c>
      <c r="BT942" t="s">
        <v>111</v>
      </c>
      <c r="BU942" t="s">
        <v>111</v>
      </c>
      <c r="BV942" t="s">
        <v>111</v>
      </c>
      <c r="BW942" t="s">
        <v>111</v>
      </c>
      <c r="BX942" t="s">
        <v>111</v>
      </c>
      <c r="BY942" t="s">
        <v>111</v>
      </c>
      <c r="BZ942" t="s">
        <v>111</v>
      </c>
      <c r="CA942" t="s">
        <v>111</v>
      </c>
      <c r="CB942" t="s">
        <v>111</v>
      </c>
      <c r="CC942" t="s">
        <v>111</v>
      </c>
      <c r="CD942" t="s">
        <v>111</v>
      </c>
      <c r="CE942" t="s">
        <v>111</v>
      </c>
      <c r="CF942" t="s">
        <v>111</v>
      </c>
      <c r="CG942" t="s">
        <v>111</v>
      </c>
      <c r="CH942" t="s">
        <v>111</v>
      </c>
      <c r="CI942" t="s">
        <v>111</v>
      </c>
      <c r="CJ942" t="s">
        <v>111</v>
      </c>
      <c r="CK942" t="s">
        <v>111</v>
      </c>
      <c r="CL942" t="s">
        <v>153</v>
      </c>
      <c r="CM942" t="s">
        <v>198</v>
      </c>
      <c r="CN942" t="s">
        <v>113</v>
      </c>
      <c r="CO942" t="s">
        <v>111</v>
      </c>
      <c r="CP942" t="s">
        <v>433</v>
      </c>
      <c r="CQ942">
        <v>0</v>
      </c>
      <c r="CR942">
        <v>0</v>
      </c>
      <c r="CS942">
        <v>0</v>
      </c>
      <c r="CT942" t="s">
        <v>168</v>
      </c>
      <c r="CU942">
        <v>0</v>
      </c>
      <c r="CV942" t="s">
        <v>111</v>
      </c>
      <c r="CW942" t="s">
        <v>111</v>
      </c>
      <c r="CX942" t="s">
        <v>111</v>
      </c>
      <c r="CY942">
        <v>0</v>
      </c>
      <c r="CZ942" t="s">
        <v>111</v>
      </c>
      <c r="DA942" t="s">
        <v>111</v>
      </c>
      <c r="DB942" t="s">
        <v>111</v>
      </c>
      <c r="DC942" t="s">
        <v>111</v>
      </c>
    </row>
    <row r="943" spans="1:107">
      <c r="A943">
        <v>430</v>
      </c>
      <c r="B943" t="s">
        <v>162</v>
      </c>
      <c r="C943" s="2">
        <v>96351788</v>
      </c>
      <c r="D943" t="s">
        <v>3026</v>
      </c>
      <c r="E943" t="s">
        <v>3027</v>
      </c>
      <c r="F943" t="s">
        <v>739</v>
      </c>
      <c r="G943" t="s">
        <v>416</v>
      </c>
      <c r="H943">
        <v>4</v>
      </c>
      <c r="I943">
        <v>30</v>
      </c>
      <c r="J943">
        <v>0</v>
      </c>
      <c r="K943">
        <v>0</v>
      </c>
      <c r="L943" t="s">
        <v>112</v>
      </c>
      <c r="M943" t="s">
        <v>118</v>
      </c>
      <c r="N943">
        <v>40</v>
      </c>
      <c r="O943">
        <v>1</v>
      </c>
      <c r="P943" t="s">
        <v>138</v>
      </c>
      <c r="Q943">
        <v>40</v>
      </c>
      <c r="R943">
        <v>0</v>
      </c>
      <c r="S943">
        <v>0</v>
      </c>
      <c r="T943">
        <v>0</v>
      </c>
      <c r="U943" t="s">
        <v>1353</v>
      </c>
      <c r="V943">
        <v>0</v>
      </c>
      <c r="W943">
        <v>25</v>
      </c>
      <c r="X943">
        <v>12.5</v>
      </c>
      <c r="Y943">
        <v>0</v>
      </c>
      <c r="Z943" t="s">
        <v>288</v>
      </c>
      <c r="AA943">
        <v>1.87</v>
      </c>
      <c r="AB943" t="s">
        <v>111</v>
      </c>
      <c r="AC943">
        <v>0</v>
      </c>
      <c r="AD943" t="s">
        <v>416</v>
      </c>
      <c r="AE943">
        <v>3</v>
      </c>
      <c r="AF943">
        <v>2</v>
      </c>
      <c r="AG943">
        <v>40</v>
      </c>
      <c r="AH943" t="s">
        <v>111</v>
      </c>
      <c r="AI943">
        <v>40</v>
      </c>
      <c r="AJ943" t="s">
        <v>111</v>
      </c>
      <c r="AK943" t="s">
        <v>111</v>
      </c>
      <c r="AL943" t="s">
        <v>111</v>
      </c>
      <c r="AM943">
        <v>0</v>
      </c>
      <c r="AN943">
        <v>0</v>
      </c>
      <c r="AO943">
        <v>0</v>
      </c>
      <c r="AP943" t="s">
        <v>184</v>
      </c>
      <c r="AQ943" t="s">
        <v>111</v>
      </c>
      <c r="AR943" t="s">
        <v>111</v>
      </c>
      <c r="AS943" t="s">
        <v>111</v>
      </c>
      <c r="AT943" t="s">
        <v>271</v>
      </c>
      <c r="AU943" t="s">
        <v>111</v>
      </c>
      <c r="AV943" t="s">
        <v>111</v>
      </c>
      <c r="AW943" t="s">
        <v>111</v>
      </c>
      <c r="AX943" t="s">
        <v>259</v>
      </c>
      <c r="AY943" t="s">
        <v>111</v>
      </c>
      <c r="AZ943" t="s">
        <v>111</v>
      </c>
      <c r="BA943" t="s">
        <v>111</v>
      </c>
      <c r="BB943" t="s">
        <v>111</v>
      </c>
      <c r="BC943" t="s">
        <v>111</v>
      </c>
      <c r="BD943" t="s">
        <v>111</v>
      </c>
      <c r="BE943" t="s">
        <v>111</v>
      </c>
      <c r="BF943" t="s">
        <v>111</v>
      </c>
      <c r="BG943" t="s">
        <v>111</v>
      </c>
      <c r="BH943" t="s">
        <v>111</v>
      </c>
      <c r="BI943" t="s">
        <v>111</v>
      </c>
      <c r="BJ943" t="s">
        <v>111</v>
      </c>
      <c r="BK943" t="s">
        <v>111</v>
      </c>
      <c r="BL943" t="s">
        <v>111</v>
      </c>
      <c r="BM943" t="s">
        <v>111</v>
      </c>
      <c r="BN943" t="s">
        <v>111</v>
      </c>
      <c r="BO943" t="s">
        <v>111</v>
      </c>
      <c r="BP943" t="s">
        <v>111</v>
      </c>
      <c r="BQ943" t="s">
        <v>111</v>
      </c>
      <c r="BR943" t="s">
        <v>111</v>
      </c>
      <c r="BS943" t="s">
        <v>111</v>
      </c>
      <c r="BT943" t="s">
        <v>111</v>
      </c>
      <c r="BU943" t="s">
        <v>111</v>
      </c>
      <c r="BV943" t="s">
        <v>111</v>
      </c>
      <c r="BW943" t="s">
        <v>111</v>
      </c>
      <c r="BX943" t="s">
        <v>111</v>
      </c>
      <c r="BY943" t="s">
        <v>111</v>
      </c>
      <c r="BZ943" t="s">
        <v>111</v>
      </c>
      <c r="CA943" t="s">
        <v>111</v>
      </c>
      <c r="CB943" t="s">
        <v>111</v>
      </c>
      <c r="CC943" t="s">
        <v>111</v>
      </c>
      <c r="CD943" t="s">
        <v>111</v>
      </c>
      <c r="CE943" t="s">
        <v>111</v>
      </c>
      <c r="CF943" t="s">
        <v>111</v>
      </c>
      <c r="CG943" t="s">
        <v>111</v>
      </c>
      <c r="CH943" t="s">
        <v>111</v>
      </c>
      <c r="CI943" t="s">
        <v>111</v>
      </c>
      <c r="CJ943" t="s">
        <v>111</v>
      </c>
      <c r="CK943" t="s">
        <v>111</v>
      </c>
      <c r="CL943" t="s">
        <v>153</v>
      </c>
      <c r="CM943" t="s">
        <v>198</v>
      </c>
      <c r="CN943" t="s">
        <v>128</v>
      </c>
      <c r="CO943" t="s">
        <v>111</v>
      </c>
      <c r="CP943" t="s">
        <v>433</v>
      </c>
      <c r="CQ943">
        <v>0</v>
      </c>
      <c r="CR943">
        <v>0</v>
      </c>
      <c r="CS943">
        <v>0</v>
      </c>
      <c r="CT943" t="s">
        <v>168</v>
      </c>
      <c r="CU943">
        <v>0</v>
      </c>
      <c r="CV943" t="s">
        <v>111</v>
      </c>
      <c r="CW943" t="s">
        <v>111</v>
      </c>
      <c r="CX943" t="s">
        <v>111</v>
      </c>
      <c r="CY943">
        <v>0</v>
      </c>
      <c r="CZ943" t="s">
        <v>111</v>
      </c>
      <c r="DA943" t="s">
        <v>111</v>
      </c>
      <c r="DB943" t="s">
        <v>111</v>
      </c>
      <c r="DC943" t="s">
        <v>111</v>
      </c>
    </row>
    <row r="944" spans="1:107">
      <c r="A944">
        <v>429</v>
      </c>
      <c r="B944" t="s">
        <v>107</v>
      </c>
      <c r="C944" t="s">
        <v>3028</v>
      </c>
      <c r="D944" t="s">
        <v>3029</v>
      </c>
      <c r="E944" t="s">
        <v>3030</v>
      </c>
      <c r="F944" t="s">
        <v>192</v>
      </c>
      <c r="G944" t="s">
        <v>416</v>
      </c>
      <c r="H944">
        <v>1</v>
      </c>
      <c r="I944">
        <v>10</v>
      </c>
      <c r="J944">
        <v>0</v>
      </c>
      <c r="K944">
        <v>0</v>
      </c>
      <c r="L944" t="s">
        <v>112</v>
      </c>
      <c r="M944" t="s">
        <v>138</v>
      </c>
      <c r="N944">
        <v>0</v>
      </c>
      <c r="O944">
        <v>0</v>
      </c>
      <c r="P944" t="s">
        <v>138</v>
      </c>
      <c r="Q944">
        <v>5</v>
      </c>
      <c r="R944">
        <v>0</v>
      </c>
      <c r="S944">
        <v>0</v>
      </c>
      <c r="T944">
        <v>0</v>
      </c>
      <c r="U944" t="s">
        <v>153</v>
      </c>
      <c r="V944">
        <v>0</v>
      </c>
      <c r="W944">
        <v>25</v>
      </c>
      <c r="X944">
        <v>8</v>
      </c>
      <c r="Y944">
        <v>0</v>
      </c>
      <c r="Z944" t="s">
        <v>111</v>
      </c>
      <c r="AA944">
        <v>0</v>
      </c>
      <c r="AB944" t="s">
        <v>111</v>
      </c>
      <c r="AC944">
        <v>0</v>
      </c>
      <c r="AD944" t="s">
        <v>111</v>
      </c>
      <c r="AE944">
        <v>0</v>
      </c>
      <c r="AF944">
        <v>0</v>
      </c>
      <c r="AG944" t="s">
        <v>111</v>
      </c>
      <c r="AH944" t="s">
        <v>111</v>
      </c>
      <c r="AI944" t="s">
        <v>111</v>
      </c>
      <c r="AJ944" t="s">
        <v>111</v>
      </c>
      <c r="AK944" t="s">
        <v>111</v>
      </c>
      <c r="AL944" t="s">
        <v>111</v>
      </c>
      <c r="AM944">
        <v>0</v>
      </c>
      <c r="AN944">
        <v>0</v>
      </c>
      <c r="AO944">
        <v>0</v>
      </c>
      <c r="AP944" t="s">
        <v>111</v>
      </c>
      <c r="AQ944" t="s">
        <v>111</v>
      </c>
      <c r="AR944" t="s">
        <v>111</v>
      </c>
      <c r="AS944" t="s">
        <v>111</v>
      </c>
      <c r="AT944" t="s">
        <v>111</v>
      </c>
      <c r="AU944" t="s">
        <v>111</v>
      </c>
      <c r="AV944" t="s">
        <v>111</v>
      </c>
      <c r="AW944" t="s">
        <v>111</v>
      </c>
      <c r="AX944" t="s">
        <v>111</v>
      </c>
      <c r="AY944" t="s">
        <v>111</v>
      </c>
      <c r="AZ944" t="s">
        <v>111</v>
      </c>
      <c r="BA944" t="s">
        <v>111</v>
      </c>
      <c r="BB944" t="s">
        <v>111</v>
      </c>
      <c r="BC944" t="s">
        <v>111</v>
      </c>
      <c r="BD944" t="s">
        <v>111</v>
      </c>
      <c r="BE944" t="s">
        <v>111</v>
      </c>
      <c r="BF944" t="s">
        <v>111</v>
      </c>
      <c r="BG944" t="s">
        <v>111</v>
      </c>
      <c r="BH944" t="s">
        <v>111</v>
      </c>
      <c r="BI944" t="s">
        <v>111</v>
      </c>
      <c r="BJ944" t="s">
        <v>111</v>
      </c>
      <c r="BK944" t="s">
        <v>111</v>
      </c>
      <c r="BL944" t="s">
        <v>111</v>
      </c>
      <c r="BM944" t="s">
        <v>111</v>
      </c>
      <c r="BN944" t="s">
        <v>111</v>
      </c>
      <c r="BO944" t="s">
        <v>111</v>
      </c>
      <c r="BP944" t="s">
        <v>111</v>
      </c>
      <c r="BQ944" t="s">
        <v>111</v>
      </c>
      <c r="BR944" t="s">
        <v>111</v>
      </c>
      <c r="BS944" t="s">
        <v>111</v>
      </c>
      <c r="BT944" t="s">
        <v>111</v>
      </c>
      <c r="BU944" t="s">
        <v>111</v>
      </c>
      <c r="BV944" t="s">
        <v>111</v>
      </c>
      <c r="BW944" t="s">
        <v>111</v>
      </c>
      <c r="BX944" t="s">
        <v>111</v>
      </c>
      <c r="BY944" t="s">
        <v>111</v>
      </c>
      <c r="BZ944" t="s">
        <v>111</v>
      </c>
      <c r="CA944" t="s">
        <v>111</v>
      </c>
      <c r="CB944" t="s">
        <v>111</v>
      </c>
      <c r="CC944" t="s">
        <v>111</v>
      </c>
      <c r="CD944" t="s">
        <v>111</v>
      </c>
      <c r="CE944" t="s">
        <v>111</v>
      </c>
      <c r="CF944" t="s">
        <v>111</v>
      </c>
      <c r="CG944" t="s">
        <v>111</v>
      </c>
      <c r="CH944" t="s">
        <v>111</v>
      </c>
      <c r="CI944" t="s">
        <v>111</v>
      </c>
      <c r="CJ944" t="s">
        <v>111</v>
      </c>
      <c r="CK944" t="s">
        <v>111</v>
      </c>
      <c r="CL944" t="s">
        <v>111</v>
      </c>
      <c r="CM944">
        <v>450</v>
      </c>
      <c r="CN944" t="s">
        <v>113</v>
      </c>
      <c r="CO944" t="s">
        <v>111</v>
      </c>
      <c r="CP944" t="s">
        <v>111</v>
      </c>
      <c r="CQ944">
        <v>0</v>
      </c>
      <c r="CR944">
        <v>30000</v>
      </c>
      <c r="CS944">
        <v>1000</v>
      </c>
      <c r="CT944" t="s">
        <v>168</v>
      </c>
      <c r="CU944">
        <v>0</v>
      </c>
      <c r="CV944" t="s">
        <v>111</v>
      </c>
      <c r="CW944" t="s">
        <v>111</v>
      </c>
      <c r="CX944" t="s">
        <v>111</v>
      </c>
      <c r="CY944">
        <v>0</v>
      </c>
      <c r="CZ944" t="s">
        <v>111</v>
      </c>
      <c r="DA944" t="s">
        <v>111</v>
      </c>
      <c r="DB944" t="s">
        <v>111</v>
      </c>
      <c r="DC944" t="s">
        <v>111</v>
      </c>
    </row>
    <row r="945" spans="1:107">
      <c r="A945">
        <v>57</v>
      </c>
      <c r="B945" t="s">
        <v>162</v>
      </c>
      <c r="C945" t="s">
        <v>223</v>
      </c>
      <c r="D945" t="s">
        <v>688</v>
      </c>
      <c r="E945" t="s">
        <v>3031</v>
      </c>
      <c r="F945" t="s">
        <v>370</v>
      </c>
      <c r="G945" t="s">
        <v>416</v>
      </c>
      <c r="H945">
        <v>2.5</v>
      </c>
      <c r="I945">
        <v>50</v>
      </c>
      <c r="J945">
        <v>0</v>
      </c>
      <c r="K945">
        <v>0</v>
      </c>
      <c r="L945" t="s">
        <v>112</v>
      </c>
      <c r="M945" t="s">
        <v>118</v>
      </c>
      <c r="N945">
        <v>40</v>
      </c>
      <c r="O945">
        <v>2</v>
      </c>
      <c r="P945" t="s">
        <v>138</v>
      </c>
      <c r="Q945">
        <v>40</v>
      </c>
      <c r="R945">
        <v>0</v>
      </c>
      <c r="S945">
        <v>0</v>
      </c>
      <c r="T945">
        <v>0</v>
      </c>
      <c r="U945" t="s">
        <v>111</v>
      </c>
      <c r="V945">
        <v>25</v>
      </c>
      <c r="W945">
        <v>0</v>
      </c>
      <c r="X945">
        <v>10</v>
      </c>
      <c r="Y945">
        <v>0</v>
      </c>
      <c r="Z945" t="s">
        <v>288</v>
      </c>
      <c r="AA945">
        <v>1.75</v>
      </c>
      <c r="AB945" t="s">
        <v>111</v>
      </c>
      <c r="AC945">
        <v>0</v>
      </c>
      <c r="AD945" t="s">
        <v>416</v>
      </c>
      <c r="AE945">
        <v>2</v>
      </c>
      <c r="AF945">
        <v>2</v>
      </c>
      <c r="AG945" t="s">
        <v>691</v>
      </c>
      <c r="AH945" t="s">
        <v>111</v>
      </c>
      <c r="AI945">
        <v>38</v>
      </c>
      <c r="AJ945" t="s">
        <v>111</v>
      </c>
      <c r="AK945" t="s">
        <v>111</v>
      </c>
      <c r="AL945" t="s">
        <v>111</v>
      </c>
      <c r="AM945">
        <v>0</v>
      </c>
      <c r="AN945">
        <v>0</v>
      </c>
      <c r="AO945">
        <v>0</v>
      </c>
      <c r="AP945" t="s">
        <v>111</v>
      </c>
      <c r="AQ945" t="s">
        <v>111</v>
      </c>
      <c r="AR945" t="s">
        <v>111</v>
      </c>
      <c r="AS945" t="s">
        <v>111</v>
      </c>
      <c r="AT945" t="s">
        <v>111</v>
      </c>
      <c r="AU945" t="s">
        <v>111</v>
      </c>
      <c r="AV945" t="s">
        <v>111</v>
      </c>
      <c r="AW945" t="s">
        <v>111</v>
      </c>
      <c r="AX945" t="s">
        <v>111</v>
      </c>
      <c r="AY945" t="s">
        <v>111</v>
      </c>
      <c r="AZ945" t="s">
        <v>111</v>
      </c>
      <c r="BA945" t="s">
        <v>111</v>
      </c>
      <c r="BB945" t="s">
        <v>111</v>
      </c>
      <c r="BC945" t="s">
        <v>111</v>
      </c>
      <c r="BD945" t="s">
        <v>111</v>
      </c>
      <c r="BE945" t="s">
        <v>111</v>
      </c>
      <c r="BF945" t="s">
        <v>111</v>
      </c>
      <c r="BG945" t="s">
        <v>111</v>
      </c>
      <c r="BH945" t="s">
        <v>111</v>
      </c>
      <c r="BI945" t="s">
        <v>111</v>
      </c>
      <c r="BJ945" t="s">
        <v>111</v>
      </c>
      <c r="BK945" t="s">
        <v>111</v>
      </c>
      <c r="BL945" t="s">
        <v>111</v>
      </c>
      <c r="BM945" t="s">
        <v>111</v>
      </c>
      <c r="BN945" t="s">
        <v>111</v>
      </c>
      <c r="BO945" t="s">
        <v>111</v>
      </c>
      <c r="BP945" t="s">
        <v>111</v>
      </c>
      <c r="BQ945" t="s">
        <v>111</v>
      </c>
      <c r="BR945" t="s">
        <v>111</v>
      </c>
      <c r="BS945" t="s">
        <v>111</v>
      </c>
      <c r="BT945" t="s">
        <v>111</v>
      </c>
      <c r="BU945" t="s">
        <v>111</v>
      </c>
      <c r="BV945" t="s">
        <v>111</v>
      </c>
      <c r="BW945" t="s">
        <v>111</v>
      </c>
      <c r="BX945" t="s">
        <v>111</v>
      </c>
      <c r="BY945" t="s">
        <v>111</v>
      </c>
      <c r="BZ945" t="s">
        <v>111</v>
      </c>
      <c r="CA945" t="s">
        <v>111</v>
      </c>
      <c r="CB945" t="s">
        <v>111</v>
      </c>
      <c r="CC945" t="s">
        <v>111</v>
      </c>
      <c r="CD945" t="s">
        <v>111</v>
      </c>
      <c r="CE945" t="s">
        <v>111</v>
      </c>
      <c r="CF945" t="s">
        <v>111</v>
      </c>
      <c r="CG945" t="s">
        <v>111</v>
      </c>
      <c r="CH945" t="s">
        <v>111</v>
      </c>
      <c r="CI945" t="s">
        <v>111</v>
      </c>
      <c r="CJ945" t="s">
        <v>111</v>
      </c>
      <c r="CK945" t="s">
        <v>111</v>
      </c>
      <c r="CL945" t="s">
        <v>234</v>
      </c>
      <c r="CM945" t="s">
        <v>111</v>
      </c>
      <c r="CN945" t="s">
        <v>111</v>
      </c>
      <c r="CO945" t="s">
        <v>111</v>
      </c>
      <c r="CP945" t="s">
        <v>111</v>
      </c>
      <c r="CQ945">
        <v>0</v>
      </c>
      <c r="CR945">
        <v>240</v>
      </c>
      <c r="CS945">
        <v>20</v>
      </c>
      <c r="CT945" t="s">
        <v>111</v>
      </c>
      <c r="CU945">
        <v>0</v>
      </c>
      <c r="CV945" t="s">
        <v>111</v>
      </c>
      <c r="CW945" t="s">
        <v>111</v>
      </c>
      <c r="CX945" t="s">
        <v>111</v>
      </c>
      <c r="CY945">
        <v>0</v>
      </c>
      <c r="CZ945" t="s">
        <v>111</v>
      </c>
      <c r="DA945" t="s">
        <v>111</v>
      </c>
      <c r="DB945" t="s">
        <v>204</v>
      </c>
      <c r="DC945" s="1" t="s">
        <v>3032</v>
      </c>
    </row>
    <row r="946" spans="1:107">
      <c r="A946">
        <v>479</v>
      </c>
      <c r="B946" t="s">
        <v>162</v>
      </c>
      <c r="C946" t="s">
        <v>831</v>
      </c>
      <c r="D946" t="s">
        <v>3033</v>
      </c>
      <c r="E946" t="s">
        <v>3034</v>
      </c>
      <c r="F946" t="s">
        <v>125</v>
      </c>
      <c r="G946" t="s">
        <v>416</v>
      </c>
      <c r="H946">
        <v>1.8</v>
      </c>
      <c r="I946">
        <v>39</v>
      </c>
      <c r="J946">
        <v>10</v>
      </c>
      <c r="K946">
        <v>10</v>
      </c>
      <c r="L946" t="s">
        <v>112</v>
      </c>
      <c r="M946" t="s">
        <v>138</v>
      </c>
      <c r="N946">
        <v>0</v>
      </c>
      <c r="O946">
        <v>0</v>
      </c>
      <c r="P946" t="s">
        <v>138</v>
      </c>
      <c r="Q946">
        <v>35</v>
      </c>
      <c r="R946">
        <v>0</v>
      </c>
      <c r="S946">
        <v>0</v>
      </c>
      <c r="T946">
        <v>0</v>
      </c>
      <c r="U946" t="s">
        <v>153</v>
      </c>
      <c r="V946">
        <v>25</v>
      </c>
      <c r="W946">
        <v>0</v>
      </c>
      <c r="X946">
        <v>8</v>
      </c>
      <c r="Y946">
        <v>0</v>
      </c>
      <c r="Z946" t="s">
        <v>111</v>
      </c>
      <c r="AA946">
        <v>0</v>
      </c>
      <c r="AB946" t="s">
        <v>111</v>
      </c>
      <c r="AC946">
        <v>0</v>
      </c>
      <c r="AD946" t="s">
        <v>111</v>
      </c>
      <c r="AE946">
        <v>0</v>
      </c>
      <c r="AF946">
        <v>0</v>
      </c>
      <c r="AG946" t="s">
        <v>111</v>
      </c>
      <c r="AH946" t="s">
        <v>111</v>
      </c>
      <c r="AI946" t="s">
        <v>111</v>
      </c>
      <c r="AJ946" t="s">
        <v>111</v>
      </c>
      <c r="AK946" t="s">
        <v>111</v>
      </c>
      <c r="AL946" t="s">
        <v>111</v>
      </c>
      <c r="AM946">
        <v>0</v>
      </c>
      <c r="AN946">
        <v>0</v>
      </c>
      <c r="AO946">
        <v>0</v>
      </c>
      <c r="AP946" t="s">
        <v>111</v>
      </c>
      <c r="AQ946" t="s">
        <v>111</v>
      </c>
      <c r="AR946" t="s">
        <v>111</v>
      </c>
      <c r="AS946" t="s">
        <v>111</v>
      </c>
      <c r="AT946" t="s">
        <v>111</v>
      </c>
      <c r="AU946" t="s">
        <v>111</v>
      </c>
      <c r="AV946" t="s">
        <v>111</v>
      </c>
      <c r="AW946" t="s">
        <v>111</v>
      </c>
      <c r="AX946" t="s">
        <v>111</v>
      </c>
      <c r="AY946" t="s">
        <v>111</v>
      </c>
      <c r="AZ946" t="s">
        <v>111</v>
      </c>
      <c r="BA946" t="s">
        <v>111</v>
      </c>
      <c r="BB946" t="s">
        <v>111</v>
      </c>
      <c r="BC946" t="s">
        <v>111</v>
      </c>
      <c r="BD946" t="s">
        <v>111</v>
      </c>
      <c r="BE946" t="s">
        <v>111</v>
      </c>
      <c r="BF946" t="s">
        <v>111</v>
      </c>
      <c r="BG946" t="s">
        <v>111</v>
      </c>
      <c r="BH946" t="s">
        <v>111</v>
      </c>
      <c r="BI946" t="s">
        <v>111</v>
      </c>
      <c r="BJ946" t="s">
        <v>111</v>
      </c>
      <c r="BK946" t="s">
        <v>111</v>
      </c>
      <c r="BL946" t="s">
        <v>111</v>
      </c>
      <c r="BM946" t="s">
        <v>111</v>
      </c>
      <c r="BN946" t="s">
        <v>111</v>
      </c>
      <c r="BO946" t="s">
        <v>111</v>
      </c>
      <c r="BP946" t="s">
        <v>111</v>
      </c>
      <c r="BQ946" t="s">
        <v>111</v>
      </c>
      <c r="BR946" t="s">
        <v>111</v>
      </c>
      <c r="BS946" t="s">
        <v>111</v>
      </c>
      <c r="BT946" t="s">
        <v>111</v>
      </c>
      <c r="BU946" t="s">
        <v>111</v>
      </c>
      <c r="BV946" t="s">
        <v>111</v>
      </c>
      <c r="BW946" t="s">
        <v>111</v>
      </c>
      <c r="BX946" t="s">
        <v>111</v>
      </c>
      <c r="BY946" t="s">
        <v>111</v>
      </c>
      <c r="BZ946" t="s">
        <v>111</v>
      </c>
      <c r="CA946" t="s">
        <v>111</v>
      </c>
      <c r="CB946" t="s">
        <v>111</v>
      </c>
      <c r="CC946" t="s">
        <v>111</v>
      </c>
      <c r="CD946" t="s">
        <v>111</v>
      </c>
      <c r="CE946" t="s">
        <v>111</v>
      </c>
      <c r="CF946" t="s">
        <v>111</v>
      </c>
      <c r="CG946" t="s">
        <v>111</v>
      </c>
      <c r="CH946" t="s">
        <v>111</v>
      </c>
      <c r="CI946" t="s">
        <v>111</v>
      </c>
      <c r="CJ946" t="s">
        <v>111</v>
      </c>
      <c r="CK946" t="s">
        <v>111</v>
      </c>
      <c r="CL946" t="s">
        <v>111</v>
      </c>
      <c r="CM946" t="s">
        <v>198</v>
      </c>
      <c r="CN946" t="s">
        <v>128</v>
      </c>
      <c r="CO946" t="s">
        <v>222</v>
      </c>
      <c r="CP946" t="s">
        <v>111</v>
      </c>
      <c r="CQ946">
        <v>0</v>
      </c>
      <c r="CR946">
        <v>0</v>
      </c>
      <c r="CS946">
        <v>0</v>
      </c>
      <c r="CT946" t="s">
        <v>168</v>
      </c>
      <c r="CU946">
        <v>0</v>
      </c>
      <c r="CV946" t="s">
        <v>111</v>
      </c>
      <c r="CW946" t="s">
        <v>111</v>
      </c>
      <c r="CX946" t="s">
        <v>111</v>
      </c>
      <c r="CY946">
        <v>0</v>
      </c>
      <c r="CZ946" t="s">
        <v>111</v>
      </c>
      <c r="DA946" t="s">
        <v>111</v>
      </c>
      <c r="DB946" t="s">
        <v>111</v>
      </c>
      <c r="DC946" t="s">
        <v>111</v>
      </c>
    </row>
    <row r="947" spans="1:107">
      <c r="A947">
        <v>433</v>
      </c>
      <c r="B947" t="s">
        <v>162</v>
      </c>
      <c r="C947" t="s">
        <v>267</v>
      </c>
      <c r="D947" t="s">
        <v>3035</v>
      </c>
      <c r="E947" t="s">
        <v>3036</v>
      </c>
      <c r="F947" t="s">
        <v>192</v>
      </c>
      <c r="G947" t="s">
        <v>416</v>
      </c>
      <c r="H947">
        <v>1</v>
      </c>
      <c r="I947">
        <v>70</v>
      </c>
      <c r="J947">
        <v>15</v>
      </c>
      <c r="K947">
        <v>15</v>
      </c>
      <c r="L947" t="s">
        <v>112</v>
      </c>
      <c r="M947" t="s">
        <v>138</v>
      </c>
      <c r="N947">
        <v>0</v>
      </c>
      <c r="O947">
        <v>0</v>
      </c>
      <c r="P947" t="s">
        <v>138</v>
      </c>
      <c r="Q947">
        <v>40</v>
      </c>
      <c r="R947">
        <v>0</v>
      </c>
      <c r="S947">
        <v>0</v>
      </c>
      <c r="T947">
        <v>5</v>
      </c>
      <c r="U947" s="1" t="s">
        <v>1392</v>
      </c>
      <c r="V947">
        <v>0</v>
      </c>
      <c r="W947">
        <v>25</v>
      </c>
      <c r="X947">
        <v>6</v>
      </c>
      <c r="Y947">
        <v>0</v>
      </c>
      <c r="Z947" t="s">
        <v>111</v>
      </c>
      <c r="AA947">
        <v>0</v>
      </c>
      <c r="AB947" t="s">
        <v>111</v>
      </c>
      <c r="AC947">
        <v>0</v>
      </c>
      <c r="AD947" t="s">
        <v>111</v>
      </c>
      <c r="AE947">
        <v>0</v>
      </c>
      <c r="AF947">
        <v>0</v>
      </c>
      <c r="AG947" t="s">
        <v>111</v>
      </c>
      <c r="AH947" t="s">
        <v>111</v>
      </c>
      <c r="AI947" t="s">
        <v>111</v>
      </c>
      <c r="AJ947" t="s">
        <v>111</v>
      </c>
      <c r="AK947" t="s">
        <v>111</v>
      </c>
      <c r="AL947" t="s">
        <v>111</v>
      </c>
      <c r="AM947">
        <v>0</v>
      </c>
      <c r="AN947">
        <v>0</v>
      </c>
      <c r="AO947">
        <v>0</v>
      </c>
      <c r="AP947" t="s">
        <v>111</v>
      </c>
      <c r="AQ947" t="s">
        <v>111</v>
      </c>
      <c r="AR947" t="s">
        <v>111</v>
      </c>
      <c r="AS947" t="s">
        <v>111</v>
      </c>
      <c r="AT947" t="s">
        <v>111</v>
      </c>
      <c r="AU947" t="s">
        <v>111</v>
      </c>
      <c r="AV947" t="s">
        <v>111</v>
      </c>
      <c r="AW947" t="s">
        <v>111</v>
      </c>
      <c r="AX947" t="s">
        <v>111</v>
      </c>
      <c r="AY947" t="s">
        <v>111</v>
      </c>
      <c r="AZ947" t="s">
        <v>111</v>
      </c>
      <c r="BA947" t="s">
        <v>111</v>
      </c>
      <c r="BB947" t="s">
        <v>111</v>
      </c>
      <c r="BC947" t="s">
        <v>111</v>
      </c>
      <c r="BD947" t="s">
        <v>111</v>
      </c>
      <c r="BE947" t="s">
        <v>111</v>
      </c>
      <c r="BF947" t="s">
        <v>111</v>
      </c>
      <c r="BG947" t="s">
        <v>111</v>
      </c>
      <c r="BH947" t="s">
        <v>111</v>
      </c>
      <c r="BI947" t="s">
        <v>111</v>
      </c>
      <c r="BJ947" t="s">
        <v>111</v>
      </c>
      <c r="BK947" t="s">
        <v>111</v>
      </c>
      <c r="BL947" t="s">
        <v>111</v>
      </c>
      <c r="BM947" t="s">
        <v>111</v>
      </c>
      <c r="BN947" t="s">
        <v>111</v>
      </c>
      <c r="BO947" t="s">
        <v>111</v>
      </c>
      <c r="BP947" t="s">
        <v>111</v>
      </c>
      <c r="BQ947" t="s">
        <v>111</v>
      </c>
      <c r="BR947" t="s">
        <v>111</v>
      </c>
      <c r="BS947" t="s">
        <v>111</v>
      </c>
      <c r="BT947" t="s">
        <v>111</v>
      </c>
      <c r="BU947" t="s">
        <v>111</v>
      </c>
      <c r="BV947" t="s">
        <v>111</v>
      </c>
      <c r="BW947" t="s">
        <v>111</v>
      </c>
      <c r="BX947" t="s">
        <v>111</v>
      </c>
      <c r="BY947" t="s">
        <v>111</v>
      </c>
      <c r="BZ947" t="s">
        <v>111</v>
      </c>
      <c r="CA947" t="s">
        <v>111</v>
      </c>
      <c r="CB947" t="s">
        <v>111</v>
      </c>
      <c r="CC947" t="s">
        <v>111</v>
      </c>
      <c r="CD947" t="s">
        <v>111</v>
      </c>
      <c r="CE947" t="s">
        <v>111</v>
      </c>
      <c r="CF947" t="s">
        <v>111</v>
      </c>
      <c r="CG947" t="s">
        <v>111</v>
      </c>
      <c r="CH947" t="s">
        <v>111</v>
      </c>
      <c r="CI947" t="s">
        <v>111</v>
      </c>
      <c r="CJ947" t="s">
        <v>111</v>
      </c>
      <c r="CK947" t="s">
        <v>111</v>
      </c>
      <c r="CL947" t="s">
        <v>111</v>
      </c>
      <c r="CM947" t="s">
        <v>127</v>
      </c>
      <c r="CN947" t="s">
        <v>128</v>
      </c>
      <c r="CO947" t="s">
        <v>111</v>
      </c>
      <c r="CP947" t="s">
        <v>111</v>
      </c>
      <c r="CQ947">
        <v>0</v>
      </c>
      <c r="CR947">
        <v>400</v>
      </c>
      <c r="CS947">
        <v>25</v>
      </c>
      <c r="CT947" s="1" t="s">
        <v>3037</v>
      </c>
      <c r="CU947">
        <v>0</v>
      </c>
      <c r="CV947" t="s">
        <v>111</v>
      </c>
      <c r="CW947" t="s">
        <v>111</v>
      </c>
      <c r="CX947" t="s">
        <v>111</v>
      </c>
      <c r="CY947">
        <v>0</v>
      </c>
      <c r="CZ947" t="s">
        <v>111</v>
      </c>
      <c r="DA947" t="s">
        <v>111</v>
      </c>
      <c r="DB947" t="s">
        <v>111</v>
      </c>
      <c r="DC947" t="s">
        <v>111</v>
      </c>
    </row>
    <row r="948" spans="1:107">
      <c r="A948">
        <v>75</v>
      </c>
      <c r="B948" t="s">
        <v>162</v>
      </c>
      <c r="C948" t="s">
        <v>1751</v>
      </c>
      <c r="D948" t="s">
        <v>3038</v>
      </c>
      <c r="E948" t="s">
        <v>3039</v>
      </c>
      <c r="F948" t="s">
        <v>1754</v>
      </c>
      <c r="G948" t="s">
        <v>416</v>
      </c>
      <c r="H948">
        <v>2.9</v>
      </c>
      <c r="I948">
        <v>57</v>
      </c>
      <c r="J948">
        <v>0</v>
      </c>
      <c r="K948">
        <v>0</v>
      </c>
      <c r="L948" t="s">
        <v>112</v>
      </c>
      <c r="M948" t="s">
        <v>118</v>
      </c>
      <c r="N948">
        <v>40</v>
      </c>
      <c r="O948">
        <v>2</v>
      </c>
      <c r="P948" t="s">
        <v>138</v>
      </c>
      <c r="Q948">
        <v>40.299999999999997</v>
      </c>
      <c r="R948">
        <v>0</v>
      </c>
      <c r="S948">
        <v>0</v>
      </c>
      <c r="T948">
        <v>5</v>
      </c>
      <c r="U948" s="1" t="s">
        <v>3040</v>
      </c>
      <c r="V948">
        <v>25</v>
      </c>
      <c r="W948">
        <v>0</v>
      </c>
      <c r="X948">
        <v>10</v>
      </c>
      <c r="Y948">
        <v>0</v>
      </c>
      <c r="Z948" t="s">
        <v>259</v>
      </c>
      <c r="AA948">
        <v>1.7</v>
      </c>
      <c r="AB948" t="s">
        <v>111</v>
      </c>
      <c r="AC948">
        <v>0</v>
      </c>
      <c r="AD948" t="s">
        <v>416</v>
      </c>
      <c r="AE948">
        <v>1</v>
      </c>
      <c r="AF948">
        <v>2</v>
      </c>
      <c r="AG948">
        <v>40</v>
      </c>
      <c r="AH948" t="s">
        <v>113</v>
      </c>
      <c r="AI948">
        <v>40</v>
      </c>
      <c r="AJ948" t="s">
        <v>111</v>
      </c>
      <c r="AK948" t="s">
        <v>111</v>
      </c>
      <c r="AL948" t="s">
        <v>111</v>
      </c>
      <c r="AM948">
        <v>0</v>
      </c>
      <c r="AN948">
        <v>0</v>
      </c>
      <c r="AO948">
        <v>0</v>
      </c>
      <c r="AP948" t="s">
        <v>3041</v>
      </c>
      <c r="AQ948" t="s">
        <v>111</v>
      </c>
      <c r="AR948" t="s">
        <v>111</v>
      </c>
      <c r="AS948" t="s">
        <v>111</v>
      </c>
      <c r="AT948" t="s">
        <v>111</v>
      </c>
      <c r="AU948" t="s">
        <v>111</v>
      </c>
      <c r="AV948" t="s">
        <v>111</v>
      </c>
      <c r="AW948" t="s">
        <v>111</v>
      </c>
      <c r="AX948" t="s">
        <v>111</v>
      </c>
      <c r="AY948" t="s">
        <v>111</v>
      </c>
      <c r="AZ948" t="s">
        <v>111</v>
      </c>
      <c r="BA948" t="s">
        <v>111</v>
      </c>
      <c r="BB948" t="s">
        <v>111</v>
      </c>
      <c r="BC948" t="s">
        <v>111</v>
      </c>
      <c r="BD948" t="s">
        <v>111</v>
      </c>
      <c r="BE948" t="s">
        <v>111</v>
      </c>
      <c r="BF948" t="s">
        <v>111</v>
      </c>
      <c r="BG948" t="s">
        <v>111</v>
      </c>
      <c r="BH948" t="s">
        <v>111</v>
      </c>
      <c r="BI948" t="s">
        <v>111</v>
      </c>
      <c r="BJ948" t="s">
        <v>111</v>
      </c>
      <c r="BK948" t="s">
        <v>111</v>
      </c>
      <c r="BL948" t="s">
        <v>111</v>
      </c>
      <c r="BM948" t="s">
        <v>111</v>
      </c>
      <c r="BN948" t="s">
        <v>1091</v>
      </c>
      <c r="BO948" t="s">
        <v>111</v>
      </c>
      <c r="BP948" t="s">
        <v>111</v>
      </c>
      <c r="BQ948" t="s">
        <v>111</v>
      </c>
      <c r="BR948" t="s">
        <v>111</v>
      </c>
      <c r="BS948" t="s">
        <v>111</v>
      </c>
      <c r="BT948" t="s">
        <v>111</v>
      </c>
      <c r="BU948" t="s">
        <v>111</v>
      </c>
      <c r="BV948" t="s">
        <v>111</v>
      </c>
      <c r="BW948" t="s">
        <v>111</v>
      </c>
      <c r="BX948" t="s">
        <v>111</v>
      </c>
      <c r="BY948" t="s">
        <v>111</v>
      </c>
      <c r="BZ948" t="s">
        <v>111</v>
      </c>
      <c r="CA948" t="s">
        <v>111</v>
      </c>
      <c r="CB948" t="s">
        <v>111</v>
      </c>
      <c r="CC948" t="s">
        <v>111</v>
      </c>
      <c r="CD948" t="s">
        <v>111</v>
      </c>
      <c r="CE948" t="s">
        <v>111</v>
      </c>
      <c r="CF948" t="s">
        <v>111</v>
      </c>
      <c r="CG948" t="s">
        <v>111</v>
      </c>
      <c r="CH948" t="s">
        <v>111</v>
      </c>
      <c r="CI948" t="s">
        <v>111</v>
      </c>
      <c r="CJ948" t="s">
        <v>111</v>
      </c>
      <c r="CK948" t="s">
        <v>111</v>
      </c>
      <c r="CL948" s="1" t="s">
        <v>3042</v>
      </c>
      <c r="CM948" t="s">
        <v>198</v>
      </c>
      <c r="CN948" t="s">
        <v>113</v>
      </c>
      <c r="CO948" t="s">
        <v>1348</v>
      </c>
      <c r="CP948" t="s">
        <v>433</v>
      </c>
      <c r="CQ948">
        <v>30</v>
      </c>
      <c r="CR948">
        <v>700</v>
      </c>
      <c r="CS948">
        <v>50</v>
      </c>
      <c r="CT948" t="s">
        <v>3043</v>
      </c>
      <c r="CU948">
        <v>0</v>
      </c>
      <c r="CV948" t="s">
        <v>111</v>
      </c>
      <c r="CW948" t="s">
        <v>111</v>
      </c>
      <c r="CX948" t="s">
        <v>111</v>
      </c>
      <c r="CY948">
        <v>0</v>
      </c>
      <c r="CZ948" t="s">
        <v>111</v>
      </c>
      <c r="DA948" t="s">
        <v>111</v>
      </c>
      <c r="DB948" t="s">
        <v>204</v>
      </c>
      <c r="DC948" s="1" t="s">
        <v>1350</v>
      </c>
    </row>
    <row r="949" spans="1:107">
      <c r="A949">
        <v>459</v>
      </c>
      <c r="B949" t="s">
        <v>162</v>
      </c>
      <c r="C949" t="s">
        <v>3044</v>
      </c>
      <c r="D949" t="s">
        <v>3045</v>
      </c>
      <c r="E949" t="s">
        <v>3046</v>
      </c>
      <c r="F949" t="s">
        <v>2906</v>
      </c>
      <c r="G949" t="s">
        <v>416</v>
      </c>
      <c r="H949">
        <v>1.9</v>
      </c>
      <c r="I949">
        <v>38</v>
      </c>
      <c r="J949">
        <v>7</v>
      </c>
      <c r="K949">
        <v>4</v>
      </c>
      <c r="L949" t="s">
        <v>112</v>
      </c>
      <c r="M949" t="s">
        <v>118</v>
      </c>
      <c r="N949">
        <v>40</v>
      </c>
      <c r="O949">
        <v>2</v>
      </c>
      <c r="P949" t="s">
        <v>138</v>
      </c>
      <c r="Q949">
        <v>35</v>
      </c>
      <c r="R949">
        <v>0</v>
      </c>
      <c r="S949">
        <v>0</v>
      </c>
      <c r="T949">
        <v>0</v>
      </c>
      <c r="U949" t="s">
        <v>1353</v>
      </c>
      <c r="V949">
        <v>0</v>
      </c>
      <c r="W949">
        <v>0</v>
      </c>
      <c r="X949">
        <v>1</v>
      </c>
      <c r="Y949">
        <v>0</v>
      </c>
      <c r="Z949" t="s">
        <v>3047</v>
      </c>
      <c r="AA949">
        <v>0</v>
      </c>
      <c r="AB949" t="s">
        <v>111</v>
      </c>
      <c r="AC949">
        <v>0</v>
      </c>
      <c r="AD949" t="s">
        <v>416</v>
      </c>
      <c r="AE949">
        <v>1</v>
      </c>
      <c r="AF949">
        <v>2</v>
      </c>
      <c r="AG949">
        <v>36</v>
      </c>
      <c r="AH949" t="s">
        <v>111</v>
      </c>
      <c r="AI949" t="s">
        <v>111</v>
      </c>
      <c r="AJ949" t="s">
        <v>111</v>
      </c>
      <c r="AK949" t="s">
        <v>111</v>
      </c>
      <c r="AL949" t="s">
        <v>111</v>
      </c>
      <c r="AM949">
        <v>0</v>
      </c>
      <c r="AN949">
        <v>0</v>
      </c>
      <c r="AO949">
        <v>0</v>
      </c>
      <c r="AP949" t="s">
        <v>1091</v>
      </c>
      <c r="AQ949" t="s">
        <v>111</v>
      </c>
      <c r="AR949" t="s">
        <v>111</v>
      </c>
      <c r="AS949" t="s">
        <v>111</v>
      </c>
      <c r="AT949" t="s">
        <v>111</v>
      </c>
      <c r="AU949" t="s">
        <v>111</v>
      </c>
      <c r="AV949" t="s">
        <v>111</v>
      </c>
      <c r="AW949" t="s">
        <v>111</v>
      </c>
      <c r="AX949" t="s">
        <v>111</v>
      </c>
      <c r="AY949" t="s">
        <v>111</v>
      </c>
      <c r="AZ949" t="s">
        <v>111</v>
      </c>
      <c r="BA949" t="s">
        <v>111</v>
      </c>
      <c r="BB949" t="s">
        <v>111</v>
      </c>
      <c r="BC949" t="s">
        <v>111</v>
      </c>
      <c r="BD949" t="s">
        <v>111</v>
      </c>
      <c r="BE949" t="s">
        <v>111</v>
      </c>
      <c r="BF949" t="s">
        <v>111</v>
      </c>
      <c r="BG949" t="s">
        <v>111</v>
      </c>
      <c r="BH949" t="s">
        <v>111</v>
      </c>
      <c r="BI949" t="s">
        <v>111</v>
      </c>
      <c r="BJ949" t="s">
        <v>111</v>
      </c>
      <c r="BK949" t="s">
        <v>111</v>
      </c>
      <c r="BL949" t="s">
        <v>111</v>
      </c>
      <c r="BM949" t="s">
        <v>111</v>
      </c>
      <c r="BN949" t="s">
        <v>111</v>
      </c>
      <c r="BO949" t="s">
        <v>111</v>
      </c>
      <c r="BP949" t="s">
        <v>111</v>
      </c>
      <c r="BQ949" t="s">
        <v>111</v>
      </c>
      <c r="BR949" t="s">
        <v>111</v>
      </c>
      <c r="BS949" t="s">
        <v>111</v>
      </c>
      <c r="BT949" t="s">
        <v>111</v>
      </c>
      <c r="BU949" t="s">
        <v>111</v>
      </c>
      <c r="BV949" t="s">
        <v>111</v>
      </c>
      <c r="BW949" t="s">
        <v>111</v>
      </c>
      <c r="BX949" t="s">
        <v>111</v>
      </c>
      <c r="BY949" t="s">
        <v>111</v>
      </c>
      <c r="BZ949" t="s">
        <v>111</v>
      </c>
      <c r="CA949" t="s">
        <v>111</v>
      </c>
      <c r="CB949" t="s">
        <v>111</v>
      </c>
      <c r="CC949" t="s">
        <v>111</v>
      </c>
      <c r="CD949" t="s">
        <v>111</v>
      </c>
      <c r="CE949" t="s">
        <v>111</v>
      </c>
      <c r="CF949" t="s">
        <v>111</v>
      </c>
      <c r="CG949" t="s">
        <v>111</v>
      </c>
      <c r="CH949" t="s">
        <v>111</v>
      </c>
      <c r="CI949" t="s">
        <v>111</v>
      </c>
      <c r="CJ949" t="s">
        <v>111</v>
      </c>
      <c r="CK949" t="s">
        <v>111</v>
      </c>
      <c r="CL949" t="s">
        <v>153</v>
      </c>
      <c r="CM949" t="s">
        <v>198</v>
      </c>
      <c r="CN949" t="s">
        <v>113</v>
      </c>
      <c r="CO949" t="s">
        <v>111</v>
      </c>
      <c r="CP949" t="s">
        <v>433</v>
      </c>
      <c r="CQ949">
        <v>0</v>
      </c>
      <c r="CR949">
        <v>0</v>
      </c>
      <c r="CS949">
        <v>0</v>
      </c>
      <c r="CT949" t="s">
        <v>168</v>
      </c>
      <c r="CU949">
        <v>0</v>
      </c>
      <c r="CV949" t="s">
        <v>111</v>
      </c>
      <c r="CW949" t="s">
        <v>111</v>
      </c>
      <c r="CX949" t="s">
        <v>111</v>
      </c>
      <c r="CY949">
        <v>0</v>
      </c>
      <c r="CZ949" t="s">
        <v>111</v>
      </c>
      <c r="DA949" t="s">
        <v>111</v>
      </c>
      <c r="DB949" t="s">
        <v>111</v>
      </c>
      <c r="DC949" t="s">
        <v>111</v>
      </c>
    </row>
    <row r="950" spans="1:107">
      <c r="A950">
        <v>458</v>
      </c>
      <c r="B950" t="s">
        <v>162</v>
      </c>
      <c r="C950" t="s">
        <v>1085</v>
      </c>
      <c r="D950" t="s">
        <v>3048</v>
      </c>
      <c r="E950" t="s">
        <v>3049</v>
      </c>
      <c r="F950" t="s">
        <v>431</v>
      </c>
      <c r="G950" t="s">
        <v>416</v>
      </c>
      <c r="H950">
        <v>2</v>
      </c>
      <c r="I950">
        <v>60</v>
      </c>
      <c r="J950">
        <v>0</v>
      </c>
      <c r="K950">
        <v>0</v>
      </c>
      <c r="L950" t="s">
        <v>112</v>
      </c>
      <c r="M950" t="s">
        <v>118</v>
      </c>
      <c r="N950">
        <v>40</v>
      </c>
      <c r="O950">
        <v>2</v>
      </c>
      <c r="P950" t="s">
        <v>138</v>
      </c>
      <c r="Q950">
        <v>35</v>
      </c>
      <c r="R950">
        <v>0</v>
      </c>
      <c r="S950">
        <v>0</v>
      </c>
      <c r="T950">
        <v>0</v>
      </c>
      <c r="U950" t="s">
        <v>1353</v>
      </c>
      <c r="V950">
        <v>0</v>
      </c>
      <c r="W950">
        <v>0</v>
      </c>
      <c r="X950">
        <v>1</v>
      </c>
      <c r="Y950">
        <v>0</v>
      </c>
      <c r="Z950" t="s">
        <v>327</v>
      </c>
      <c r="AA950">
        <v>2.5</v>
      </c>
      <c r="AB950" t="s">
        <v>111</v>
      </c>
      <c r="AC950">
        <v>0</v>
      </c>
      <c r="AD950" t="s">
        <v>416</v>
      </c>
      <c r="AE950">
        <v>2</v>
      </c>
      <c r="AF950">
        <v>2</v>
      </c>
      <c r="AG950">
        <v>30</v>
      </c>
      <c r="AH950" t="s">
        <v>111</v>
      </c>
      <c r="AI950">
        <v>30</v>
      </c>
      <c r="AJ950" t="s">
        <v>111</v>
      </c>
      <c r="AK950" t="s">
        <v>111</v>
      </c>
      <c r="AL950" t="s">
        <v>111</v>
      </c>
      <c r="AM950">
        <v>0</v>
      </c>
      <c r="AN950">
        <v>0</v>
      </c>
      <c r="AO950">
        <v>0</v>
      </c>
      <c r="AP950" t="s">
        <v>188</v>
      </c>
      <c r="AQ950" t="s">
        <v>111</v>
      </c>
      <c r="AR950" t="s">
        <v>111</v>
      </c>
      <c r="AS950" t="s">
        <v>111</v>
      </c>
      <c r="AT950" t="s">
        <v>772</v>
      </c>
      <c r="AU950" t="s">
        <v>111</v>
      </c>
      <c r="AV950" t="s">
        <v>111</v>
      </c>
      <c r="AW950" t="s">
        <v>111</v>
      </c>
      <c r="AX950" t="s">
        <v>111</v>
      </c>
      <c r="AY950" t="s">
        <v>111</v>
      </c>
      <c r="AZ950" t="s">
        <v>111</v>
      </c>
      <c r="BA950" t="s">
        <v>111</v>
      </c>
      <c r="BB950" t="s">
        <v>111</v>
      </c>
      <c r="BC950" t="s">
        <v>111</v>
      </c>
      <c r="BD950" t="s">
        <v>111</v>
      </c>
      <c r="BE950" t="s">
        <v>111</v>
      </c>
      <c r="BF950" t="s">
        <v>111</v>
      </c>
      <c r="BG950" t="s">
        <v>111</v>
      </c>
      <c r="BH950" t="s">
        <v>111</v>
      </c>
      <c r="BI950" t="s">
        <v>111</v>
      </c>
      <c r="BJ950" t="s">
        <v>111</v>
      </c>
      <c r="BK950" t="s">
        <v>111</v>
      </c>
      <c r="BL950" t="s">
        <v>111</v>
      </c>
      <c r="BM950" t="s">
        <v>111</v>
      </c>
      <c r="BN950" t="s">
        <v>111</v>
      </c>
      <c r="BO950" t="s">
        <v>111</v>
      </c>
      <c r="BP950" t="s">
        <v>111</v>
      </c>
      <c r="BQ950" t="s">
        <v>111</v>
      </c>
      <c r="BR950" t="s">
        <v>111</v>
      </c>
      <c r="BS950" t="s">
        <v>111</v>
      </c>
      <c r="BT950" t="s">
        <v>111</v>
      </c>
      <c r="BU950" t="s">
        <v>111</v>
      </c>
      <c r="BV950" t="s">
        <v>111</v>
      </c>
      <c r="BW950" t="s">
        <v>111</v>
      </c>
      <c r="BX950" t="s">
        <v>111</v>
      </c>
      <c r="BY950" t="s">
        <v>111</v>
      </c>
      <c r="BZ950" t="s">
        <v>111</v>
      </c>
      <c r="CA950" t="s">
        <v>111</v>
      </c>
      <c r="CB950" t="s">
        <v>111</v>
      </c>
      <c r="CC950" t="s">
        <v>111</v>
      </c>
      <c r="CD950" t="s">
        <v>111</v>
      </c>
      <c r="CE950" t="s">
        <v>111</v>
      </c>
      <c r="CF950" t="s">
        <v>111</v>
      </c>
      <c r="CG950" t="s">
        <v>111</v>
      </c>
      <c r="CH950" t="s">
        <v>111</v>
      </c>
      <c r="CI950" t="s">
        <v>111</v>
      </c>
      <c r="CJ950" t="s">
        <v>111</v>
      </c>
      <c r="CK950" t="s">
        <v>111</v>
      </c>
      <c r="CL950" t="s">
        <v>1353</v>
      </c>
      <c r="CM950" t="s">
        <v>198</v>
      </c>
      <c r="CN950" t="s">
        <v>113</v>
      </c>
      <c r="CO950" t="s">
        <v>111</v>
      </c>
      <c r="CP950" t="s">
        <v>433</v>
      </c>
      <c r="CQ950">
        <v>0</v>
      </c>
      <c r="CR950">
        <v>0</v>
      </c>
      <c r="CS950">
        <v>0</v>
      </c>
      <c r="CT950" t="s">
        <v>2850</v>
      </c>
      <c r="CU950">
        <v>0</v>
      </c>
      <c r="CV950" t="s">
        <v>111</v>
      </c>
      <c r="CW950" t="s">
        <v>111</v>
      </c>
      <c r="CX950" t="s">
        <v>111</v>
      </c>
      <c r="CY950">
        <v>0</v>
      </c>
      <c r="CZ950" t="s">
        <v>111</v>
      </c>
      <c r="DA950" t="s">
        <v>111</v>
      </c>
      <c r="DB950" t="s">
        <v>204</v>
      </c>
      <c r="DC950" s="1" t="s">
        <v>1350</v>
      </c>
    </row>
    <row r="951" spans="1:107">
      <c r="A951">
        <v>760</v>
      </c>
      <c r="B951" t="s">
        <v>162</v>
      </c>
      <c r="C951" t="s">
        <v>793</v>
      </c>
      <c r="D951" t="s">
        <v>3050</v>
      </c>
      <c r="E951" t="s">
        <v>3051</v>
      </c>
      <c r="F951" t="s">
        <v>3052</v>
      </c>
      <c r="G951" t="s">
        <v>416</v>
      </c>
      <c r="H951">
        <v>1</v>
      </c>
      <c r="I951">
        <v>30</v>
      </c>
      <c r="J951">
        <v>0</v>
      </c>
      <c r="K951">
        <v>0</v>
      </c>
      <c r="L951" t="s">
        <v>112</v>
      </c>
      <c r="M951" t="s">
        <v>118</v>
      </c>
      <c r="N951">
        <v>40</v>
      </c>
      <c r="O951">
        <v>1</v>
      </c>
      <c r="P951" t="s">
        <v>138</v>
      </c>
      <c r="Q951">
        <v>25</v>
      </c>
      <c r="R951">
        <v>0</v>
      </c>
      <c r="S951">
        <v>0</v>
      </c>
      <c r="T951">
        <v>0</v>
      </c>
      <c r="U951" t="s">
        <v>153</v>
      </c>
      <c r="V951">
        <v>0</v>
      </c>
      <c r="W951">
        <v>0</v>
      </c>
      <c r="X951">
        <v>1</v>
      </c>
      <c r="Y951">
        <v>0</v>
      </c>
      <c r="Z951" t="s">
        <v>111</v>
      </c>
      <c r="AA951">
        <v>0</v>
      </c>
      <c r="AB951" t="s">
        <v>111</v>
      </c>
      <c r="AC951">
        <v>0</v>
      </c>
      <c r="AD951" t="s">
        <v>111</v>
      </c>
      <c r="AE951">
        <v>0</v>
      </c>
      <c r="AF951">
        <v>0</v>
      </c>
      <c r="AG951" t="s">
        <v>111</v>
      </c>
      <c r="AH951" t="s">
        <v>111</v>
      </c>
      <c r="AI951" t="s">
        <v>111</v>
      </c>
      <c r="AJ951" t="s">
        <v>111</v>
      </c>
      <c r="AK951" t="s">
        <v>111</v>
      </c>
      <c r="AL951" t="s">
        <v>111</v>
      </c>
      <c r="AM951">
        <v>0</v>
      </c>
      <c r="AN951">
        <v>0</v>
      </c>
      <c r="AO951">
        <v>0</v>
      </c>
      <c r="AP951" t="s">
        <v>111</v>
      </c>
      <c r="AQ951" t="s">
        <v>111</v>
      </c>
      <c r="AR951" t="s">
        <v>111</v>
      </c>
      <c r="AS951" t="s">
        <v>111</v>
      </c>
      <c r="AT951" t="s">
        <v>111</v>
      </c>
      <c r="AU951" t="s">
        <v>111</v>
      </c>
      <c r="AV951" t="s">
        <v>111</v>
      </c>
      <c r="AW951" t="s">
        <v>111</v>
      </c>
      <c r="AX951" t="s">
        <v>111</v>
      </c>
      <c r="AY951" t="s">
        <v>111</v>
      </c>
      <c r="AZ951" t="s">
        <v>111</v>
      </c>
      <c r="BA951" t="s">
        <v>111</v>
      </c>
      <c r="BB951" t="s">
        <v>111</v>
      </c>
      <c r="BC951" t="s">
        <v>111</v>
      </c>
      <c r="BD951" t="s">
        <v>111</v>
      </c>
      <c r="BE951" t="s">
        <v>111</v>
      </c>
      <c r="BF951" t="s">
        <v>111</v>
      </c>
      <c r="BG951" t="s">
        <v>111</v>
      </c>
      <c r="BH951" t="s">
        <v>111</v>
      </c>
      <c r="BI951" t="s">
        <v>111</v>
      </c>
      <c r="BJ951" t="s">
        <v>111</v>
      </c>
      <c r="BK951" t="s">
        <v>111</v>
      </c>
      <c r="BL951" t="s">
        <v>111</v>
      </c>
      <c r="BM951" t="s">
        <v>111</v>
      </c>
      <c r="BN951" t="s">
        <v>111</v>
      </c>
      <c r="BO951" t="s">
        <v>111</v>
      </c>
      <c r="BP951" t="s">
        <v>111</v>
      </c>
      <c r="BQ951" t="s">
        <v>111</v>
      </c>
      <c r="BR951" t="s">
        <v>111</v>
      </c>
      <c r="BS951" t="s">
        <v>111</v>
      </c>
      <c r="BT951" t="s">
        <v>111</v>
      </c>
      <c r="BU951" t="s">
        <v>111</v>
      </c>
      <c r="BV951" t="s">
        <v>111</v>
      </c>
      <c r="BW951" t="s">
        <v>111</v>
      </c>
      <c r="BX951" t="s">
        <v>111</v>
      </c>
      <c r="BY951" t="s">
        <v>111</v>
      </c>
      <c r="BZ951" t="s">
        <v>111</v>
      </c>
      <c r="CA951" t="s">
        <v>111</v>
      </c>
      <c r="CB951" t="s">
        <v>111</v>
      </c>
      <c r="CC951" t="s">
        <v>111</v>
      </c>
      <c r="CD951" t="s">
        <v>111</v>
      </c>
      <c r="CE951" t="s">
        <v>111</v>
      </c>
      <c r="CF951" t="s">
        <v>111</v>
      </c>
      <c r="CG951" t="s">
        <v>111</v>
      </c>
      <c r="CH951" t="s">
        <v>111</v>
      </c>
      <c r="CI951" t="s">
        <v>111</v>
      </c>
      <c r="CJ951" t="s">
        <v>111</v>
      </c>
      <c r="CK951" t="s">
        <v>111</v>
      </c>
      <c r="CL951" t="s">
        <v>111</v>
      </c>
      <c r="CM951" t="s">
        <v>508</v>
      </c>
      <c r="CN951" t="s">
        <v>128</v>
      </c>
      <c r="CO951" t="s">
        <v>111</v>
      </c>
      <c r="CP951" t="s">
        <v>111</v>
      </c>
      <c r="CQ951">
        <v>0</v>
      </c>
      <c r="CR951">
        <v>0</v>
      </c>
      <c r="CS951">
        <v>0</v>
      </c>
      <c r="CT951" s="1" t="s">
        <v>3053</v>
      </c>
      <c r="CU951">
        <v>0</v>
      </c>
      <c r="CV951" t="s">
        <v>111</v>
      </c>
      <c r="CW951" t="s">
        <v>111</v>
      </c>
      <c r="CX951" t="s">
        <v>111</v>
      </c>
      <c r="CY951">
        <v>0</v>
      </c>
      <c r="CZ951" t="s">
        <v>111</v>
      </c>
      <c r="DA951" t="s">
        <v>111</v>
      </c>
      <c r="DB951" t="s">
        <v>111</v>
      </c>
      <c r="DC951" t="s">
        <v>111</v>
      </c>
    </row>
    <row r="952" spans="1:107">
      <c r="A952">
        <v>461</v>
      </c>
      <c r="B952" t="s">
        <v>162</v>
      </c>
      <c r="C952" t="s">
        <v>831</v>
      </c>
      <c r="D952" t="s">
        <v>634</v>
      </c>
      <c r="E952" t="s">
        <v>3054</v>
      </c>
      <c r="F952" t="s">
        <v>125</v>
      </c>
      <c r="G952" t="s">
        <v>416</v>
      </c>
      <c r="H952">
        <v>1.8</v>
      </c>
      <c r="I952">
        <v>35</v>
      </c>
      <c r="J952">
        <v>9</v>
      </c>
      <c r="K952">
        <v>9</v>
      </c>
      <c r="L952" t="s">
        <v>112</v>
      </c>
      <c r="M952" t="s">
        <v>138</v>
      </c>
      <c r="N952">
        <v>0</v>
      </c>
      <c r="O952">
        <v>0</v>
      </c>
      <c r="P952" t="s">
        <v>138</v>
      </c>
      <c r="Q952">
        <v>40</v>
      </c>
      <c r="R952">
        <v>0</v>
      </c>
      <c r="S952">
        <v>0</v>
      </c>
      <c r="T952">
        <v>0</v>
      </c>
      <c r="U952" t="s">
        <v>153</v>
      </c>
      <c r="V952">
        <v>0</v>
      </c>
      <c r="W952">
        <v>0</v>
      </c>
      <c r="X952">
        <v>1</v>
      </c>
      <c r="Y952">
        <v>0</v>
      </c>
      <c r="Z952" t="s">
        <v>111</v>
      </c>
      <c r="AA952">
        <v>0</v>
      </c>
      <c r="AB952" t="s">
        <v>111</v>
      </c>
      <c r="AC952">
        <v>0</v>
      </c>
      <c r="AD952" t="s">
        <v>111</v>
      </c>
      <c r="AE952">
        <v>0</v>
      </c>
      <c r="AF952">
        <v>0</v>
      </c>
      <c r="AG952" t="s">
        <v>111</v>
      </c>
      <c r="AH952" t="s">
        <v>111</v>
      </c>
      <c r="AI952" t="s">
        <v>111</v>
      </c>
      <c r="AJ952" t="s">
        <v>111</v>
      </c>
      <c r="AK952" t="s">
        <v>111</v>
      </c>
      <c r="AL952" t="s">
        <v>111</v>
      </c>
      <c r="AM952">
        <v>0</v>
      </c>
      <c r="AN952">
        <v>0</v>
      </c>
      <c r="AO952">
        <v>0</v>
      </c>
      <c r="AP952" t="s">
        <v>111</v>
      </c>
      <c r="AQ952" t="s">
        <v>111</v>
      </c>
      <c r="AR952" t="s">
        <v>111</v>
      </c>
      <c r="AS952" t="s">
        <v>111</v>
      </c>
      <c r="AT952" t="s">
        <v>111</v>
      </c>
      <c r="AU952" t="s">
        <v>111</v>
      </c>
      <c r="AV952" t="s">
        <v>111</v>
      </c>
      <c r="AW952" t="s">
        <v>111</v>
      </c>
      <c r="AX952" t="s">
        <v>111</v>
      </c>
      <c r="AY952" t="s">
        <v>111</v>
      </c>
      <c r="AZ952" t="s">
        <v>111</v>
      </c>
      <c r="BA952" t="s">
        <v>111</v>
      </c>
      <c r="BB952" t="s">
        <v>111</v>
      </c>
      <c r="BC952" t="s">
        <v>111</v>
      </c>
      <c r="BD952" t="s">
        <v>111</v>
      </c>
      <c r="BE952" t="s">
        <v>111</v>
      </c>
      <c r="BF952" t="s">
        <v>111</v>
      </c>
      <c r="BG952" t="s">
        <v>111</v>
      </c>
      <c r="BH952" t="s">
        <v>111</v>
      </c>
      <c r="BI952" t="s">
        <v>111</v>
      </c>
      <c r="BJ952" t="s">
        <v>111</v>
      </c>
      <c r="BK952" t="s">
        <v>111</v>
      </c>
      <c r="BL952" t="s">
        <v>111</v>
      </c>
      <c r="BM952" t="s">
        <v>111</v>
      </c>
      <c r="BN952" t="s">
        <v>111</v>
      </c>
      <c r="BO952" t="s">
        <v>111</v>
      </c>
      <c r="BP952" t="s">
        <v>111</v>
      </c>
      <c r="BQ952" t="s">
        <v>111</v>
      </c>
      <c r="BR952" t="s">
        <v>111</v>
      </c>
      <c r="BS952" t="s">
        <v>111</v>
      </c>
      <c r="BT952" t="s">
        <v>111</v>
      </c>
      <c r="BU952" t="s">
        <v>111</v>
      </c>
      <c r="BV952" t="s">
        <v>111</v>
      </c>
      <c r="BW952" t="s">
        <v>111</v>
      </c>
      <c r="BX952" t="s">
        <v>111</v>
      </c>
      <c r="BY952" t="s">
        <v>111</v>
      </c>
      <c r="BZ952" t="s">
        <v>111</v>
      </c>
      <c r="CA952" t="s">
        <v>111</v>
      </c>
      <c r="CB952" t="s">
        <v>111</v>
      </c>
      <c r="CC952" t="s">
        <v>111</v>
      </c>
      <c r="CD952" t="s">
        <v>111</v>
      </c>
      <c r="CE952" t="s">
        <v>111</v>
      </c>
      <c r="CF952" t="s">
        <v>111</v>
      </c>
      <c r="CG952" t="s">
        <v>111</v>
      </c>
      <c r="CH952" t="s">
        <v>111</v>
      </c>
      <c r="CI952" t="s">
        <v>111</v>
      </c>
      <c r="CJ952" t="s">
        <v>111</v>
      </c>
      <c r="CK952" t="s">
        <v>111</v>
      </c>
      <c r="CL952" t="s">
        <v>111</v>
      </c>
      <c r="CM952" t="s">
        <v>198</v>
      </c>
      <c r="CN952" t="s">
        <v>128</v>
      </c>
      <c r="CO952" t="s">
        <v>222</v>
      </c>
      <c r="CP952" t="s">
        <v>111</v>
      </c>
      <c r="CQ952">
        <v>0</v>
      </c>
      <c r="CR952">
        <v>0</v>
      </c>
      <c r="CS952">
        <v>0</v>
      </c>
      <c r="CT952" s="1" t="s">
        <v>3055</v>
      </c>
      <c r="CU952">
        <v>0</v>
      </c>
      <c r="CV952" t="s">
        <v>111</v>
      </c>
      <c r="CW952" t="s">
        <v>111</v>
      </c>
      <c r="CX952" t="s">
        <v>111</v>
      </c>
      <c r="CY952">
        <v>0</v>
      </c>
      <c r="CZ952" t="s">
        <v>111</v>
      </c>
      <c r="DA952" t="s">
        <v>111</v>
      </c>
      <c r="DB952" t="s">
        <v>111</v>
      </c>
      <c r="DC952" t="s">
        <v>111</v>
      </c>
    </row>
    <row r="953" spans="1:107">
      <c r="A953">
        <v>464</v>
      </c>
      <c r="B953" t="s">
        <v>162</v>
      </c>
      <c r="C953" t="s">
        <v>267</v>
      </c>
      <c r="D953" t="s">
        <v>3056</v>
      </c>
      <c r="E953" t="s">
        <v>3057</v>
      </c>
      <c r="F953" t="s">
        <v>270</v>
      </c>
      <c r="G953" t="s">
        <v>416</v>
      </c>
      <c r="H953">
        <v>1.4</v>
      </c>
      <c r="I953">
        <v>67</v>
      </c>
      <c r="J953">
        <v>0</v>
      </c>
      <c r="K953">
        <v>0</v>
      </c>
      <c r="L953" t="s">
        <v>112</v>
      </c>
      <c r="M953" t="s">
        <v>138</v>
      </c>
      <c r="N953">
        <v>0</v>
      </c>
      <c r="O953">
        <v>0</v>
      </c>
      <c r="P953" t="s">
        <v>138</v>
      </c>
      <c r="Q953">
        <v>30</v>
      </c>
      <c r="R953">
        <v>0</v>
      </c>
      <c r="S953">
        <v>0</v>
      </c>
      <c r="T953">
        <v>0</v>
      </c>
      <c r="U953" t="s">
        <v>153</v>
      </c>
      <c r="V953">
        <v>25</v>
      </c>
      <c r="W953">
        <v>0</v>
      </c>
      <c r="X953">
        <v>6</v>
      </c>
      <c r="Y953">
        <v>0</v>
      </c>
      <c r="Z953" t="s">
        <v>271</v>
      </c>
      <c r="AA953">
        <v>1.55</v>
      </c>
      <c r="AB953" t="s">
        <v>111</v>
      </c>
      <c r="AC953">
        <v>0</v>
      </c>
      <c r="AD953" t="s">
        <v>111</v>
      </c>
      <c r="AE953">
        <v>0</v>
      </c>
      <c r="AF953">
        <v>0</v>
      </c>
      <c r="AG953" t="s">
        <v>111</v>
      </c>
      <c r="AH953" t="s">
        <v>111</v>
      </c>
      <c r="AI953" t="s">
        <v>111</v>
      </c>
      <c r="AJ953" t="s">
        <v>111</v>
      </c>
      <c r="AK953" t="s">
        <v>111</v>
      </c>
      <c r="AL953" t="s">
        <v>111</v>
      </c>
      <c r="AM953">
        <v>0</v>
      </c>
      <c r="AN953">
        <v>0</v>
      </c>
      <c r="AO953">
        <v>0</v>
      </c>
      <c r="AP953" t="s">
        <v>111</v>
      </c>
      <c r="AQ953" t="s">
        <v>111</v>
      </c>
      <c r="AR953" t="s">
        <v>111</v>
      </c>
      <c r="AS953" t="s">
        <v>111</v>
      </c>
      <c r="AT953" t="s">
        <v>111</v>
      </c>
      <c r="AU953" t="s">
        <v>111</v>
      </c>
      <c r="AV953" t="s">
        <v>111</v>
      </c>
      <c r="AW953" t="s">
        <v>111</v>
      </c>
      <c r="AX953" t="s">
        <v>111</v>
      </c>
      <c r="AY953" t="s">
        <v>111</v>
      </c>
      <c r="AZ953" t="s">
        <v>111</v>
      </c>
      <c r="BA953" t="s">
        <v>111</v>
      </c>
      <c r="BB953" t="s">
        <v>111</v>
      </c>
      <c r="BC953" t="s">
        <v>111</v>
      </c>
      <c r="BD953" t="s">
        <v>111</v>
      </c>
      <c r="BE953" t="s">
        <v>111</v>
      </c>
      <c r="BF953" t="s">
        <v>111</v>
      </c>
      <c r="BG953" t="s">
        <v>111</v>
      </c>
      <c r="BH953" t="s">
        <v>111</v>
      </c>
      <c r="BI953" t="s">
        <v>111</v>
      </c>
      <c r="BJ953" t="s">
        <v>111</v>
      </c>
      <c r="BK953" t="s">
        <v>111</v>
      </c>
      <c r="BL953" t="s">
        <v>111</v>
      </c>
      <c r="BM953" t="s">
        <v>111</v>
      </c>
      <c r="BN953" t="s">
        <v>111</v>
      </c>
      <c r="BO953" t="s">
        <v>111</v>
      </c>
      <c r="BP953" t="s">
        <v>111</v>
      </c>
      <c r="BQ953" t="s">
        <v>111</v>
      </c>
      <c r="BR953" t="s">
        <v>111</v>
      </c>
      <c r="BS953" t="s">
        <v>111</v>
      </c>
      <c r="BT953" t="s">
        <v>111</v>
      </c>
      <c r="BU953" t="s">
        <v>111</v>
      </c>
      <c r="BV953" t="s">
        <v>111</v>
      </c>
      <c r="BW953" t="s">
        <v>111</v>
      </c>
      <c r="BX953" t="s">
        <v>111</v>
      </c>
      <c r="BY953" t="s">
        <v>111</v>
      </c>
      <c r="BZ953" t="s">
        <v>111</v>
      </c>
      <c r="CA953" t="s">
        <v>111</v>
      </c>
      <c r="CB953" t="s">
        <v>111</v>
      </c>
      <c r="CC953" t="s">
        <v>111</v>
      </c>
      <c r="CD953" t="s">
        <v>111</v>
      </c>
      <c r="CE953" t="s">
        <v>111</v>
      </c>
      <c r="CF953" t="s">
        <v>111</v>
      </c>
      <c r="CG953" t="s">
        <v>111</v>
      </c>
      <c r="CH953" t="s">
        <v>111</v>
      </c>
      <c r="CI953" t="s">
        <v>111</v>
      </c>
      <c r="CJ953" t="s">
        <v>111</v>
      </c>
      <c r="CK953" t="s">
        <v>111</v>
      </c>
      <c r="CL953" t="s">
        <v>111</v>
      </c>
      <c r="CM953" t="s">
        <v>198</v>
      </c>
      <c r="CN953" t="s">
        <v>128</v>
      </c>
      <c r="CO953" t="s">
        <v>111</v>
      </c>
      <c r="CP953" t="s">
        <v>111</v>
      </c>
      <c r="CQ953">
        <v>0</v>
      </c>
      <c r="CR953">
        <v>0</v>
      </c>
      <c r="CS953">
        <v>0</v>
      </c>
      <c r="CT953" t="s">
        <v>168</v>
      </c>
      <c r="CU953">
        <v>0</v>
      </c>
      <c r="CV953" t="s">
        <v>111</v>
      </c>
      <c r="CW953" t="s">
        <v>111</v>
      </c>
      <c r="CX953" t="s">
        <v>111</v>
      </c>
      <c r="CY953">
        <v>0</v>
      </c>
      <c r="CZ953" t="s">
        <v>111</v>
      </c>
      <c r="DA953" t="s">
        <v>111</v>
      </c>
      <c r="DB953" t="s">
        <v>111</v>
      </c>
      <c r="DC953" t="s">
        <v>111</v>
      </c>
    </row>
    <row r="954" spans="1:107">
      <c r="A954">
        <v>456</v>
      </c>
      <c r="B954" t="s">
        <v>162</v>
      </c>
      <c r="C954" t="s">
        <v>336</v>
      </c>
      <c r="D954" t="s">
        <v>3058</v>
      </c>
      <c r="E954" t="s">
        <v>3059</v>
      </c>
      <c r="F954" t="s">
        <v>125</v>
      </c>
      <c r="G954" t="s">
        <v>416</v>
      </c>
      <c r="H954">
        <v>1.9</v>
      </c>
      <c r="I954">
        <v>30</v>
      </c>
      <c r="J954">
        <v>0</v>
      </c>
      <c r="K954">
        <v>0</v>
      </c>
      <c r="L954" t="s">
        <v>112</v>
      </c>
      <c r="M954" t="s">
        <v>138</v>
      </c>
      <c r="N954">
        <v>0</v>
      </c>
      <c r="O954">
        <v>0</v>
      </c>
      <c r="P954" t="s">
        <v>138</v>
      </c>
      <c r="Q954">
        <v>35</v>
      </c>
      <c r="R954">
        <v>0</v>
      </c>
      <c r="S954">
        <v>0</v>
      </c>
      <c r="T954">
        <v>0</v>
      </c>
      <c r="U954" t="s">
        <v>153</v>
      </c>
      <c r="V954">
        <v>25</v>
      </c>
      <c r="W954">
        <v>0</v>
      </c>
      <c r="X954">
        <v>10</v>
      </c>
      <c r="Y954">
        <v>0</v>
      </c>
      <c r="Z954" t="s">
        <v>111</v>
      </c>
      <c r="AA954">
        <v>0</v>
      </c>
      <c r="AB954" t="s">
        <v>111</v>
      </c>
      <c r="AC954">
        <v>0</v>
      </c>
      <c r="AD954" t="s">
        <v>111</v>
      </c>
      <c r="AE954">
        <v>0</v>
      </c>
      <c r="AF954">
        <v>0</v>
      </c>
      <c r="AG954" t="s">
        <v>111</v>
      </c>
      <c r="AH954" t="s">
        <v>111</v>
      </c>
      <c r="AI954" t="s">
        <v>111</v>
      </c>
      <c r="AJ954" t="s">
        <v>111</v>
      </c>
      <c r="AK954" t="s">
        <v>111</v>
      </c>
      <c r="AL954" t="s">
        <v>111</v>
      </c>
      <c r="AM954">
        <v>0</v>
      </c>
      <c r="AN954">
        <v>0</v>
      </c>
      <c r="AO954">
        <v>0</v>
      </c>
      <c r="AP954" t="s">
        <v>111</v>
      </c>
      <c r="AQ954" t="s">
        <v>111</v>
      </c>
      <c r="AR954" t="s">
        <v>111</v>
      </c>
      <c r="AS954" t="s">
        <v>111</v>
      </c>
      <c r="AT954" t="s">
        <v>111</v>
      </c>
      <c r="AU954" t="s">
        <v>111</v>
      </c>
      <c r="AV954" t="s">
        <v>111</v>
      </c>
      <c r="AW954" t="s">
        <v>111</v>
      </c>
      <c r="AX954" t="s">
        <v>111</v>
      </c>
      <c r="AY954" t="s">
        <v>111</v>
      </c>
      <c r="AZ954" t="s">
        <v>111</v>
      </c>
      <c r="BA954" t="s">
        <v>111</v>
      </c>
      <c r="BB954" t="s">
        <v>111</v>
      </c>
      <c r="BC954" t="s">
        <v>111</v>
      </c>
      <c r="BD954" t="s">
        <v>111</v>
      </c>
      <c r="BE954" t="s">
        <v>111</v>
      </c>
      <c r="BF954" t="s">
        <v>111</v>
      </c>
      <c r="BG954" t="s">
        <v>111</v>
      </c>
      <c r="BH954" t="s">
        <v>111</v>
      </c>
      <c r="BI954" t="s">
        <v>111</v>
      </c>
      <c r="BJ954" t="s">
        <v>111</v>
      </c>
      <c r="BK954" t="s">
        <v>111</v>
      </c>
      <c r="BL954" t="s">
        <v>111</v>
      </c>
      <c r="BM954" t="s">
        <v>111</v>
      </c>
      <c r="BN954" t="s">
        <v>111</v>
      </c>
      <c r="BO954" t="s">
        <v>111</v>
      </c>
      <c r="BP954" t="s">
        <v>111</v>
      </c>
      <c r="BQ954" t="s">
        <v>111</v>
      </c>
      <c r="BR954" t="s">
        <v>111</v>
      </c>
      <c r="BS954" t="s">
        <v>111</v>
      </c>
      <c r="BT954" t="s">
        <v>111</v>
      </c>
      <c r="BU954" t="s">
        <v>111</v>
      </c>
      <c r="BV954" t="s">
        <v>111</v>
      </c>
      <c r="BW954" t="s">
        <v>111</v>
      </c>
      <c r="BX954" t="s">
        <v>111</v>
      </c>
      <c r="BY954" t="s">
        <v>111</v>
      </c>
      <c r="BZ954" t="s">
        <v>111</v>
      </c>
      <c r="CA954" t="s">
        <v>111</v>
      </c>
      <c r="CB954" t="s">
        <v>111</v>
      </c>
      <c r="CC954" t="s">
        <v>111</v>
      </c>
      <c r="CD954" t="s">
        <v>111</v>
      </c>
      <c r="CE954" t="s">
        <v>111</v>
      </c>
      <c r="CF954" t="s">
        <v>111</v>
      </c>
      <c r="CG954" t="s">
        <v>111</v>
      </c>
      <c r="CH954" t="s">
        <v>111</v>
      </c>
      <c r="CI954" t="s">
        <v>111</v>
      </c>
      <c r="CJ954" t="s">
        <v>111</v>
      </c>
      <c r="CK954" t="s">
        <v>111</v>
      </c>
      <c r="CL954" t="s">
        <v>111</v>
      </c>
      <c r="CM954" t="s">
        <v>127</v>
      </c>
      <c r="CN954" t="s">
        <v>128</v>
      </c>
      <c r="CO954" t="s">
        <v>111</v>
      </c>
      <c r="CP954" t="s">
        <v>111</v>
      </c>
      <c r="CQ954">
        <v>0</v>
      </c>
      <c r="CR954">
        <v>0</v>
      </c>
      <c r="CS954">
        <v>0</v>
      </c>
      <c r="CT954" t="s">
        <v>168</v>
      </c>
      <c r="CU954">
        <v>0</v>
      </c>
      <c r="CV954" t="s">
        <v>111</v>
      </c>
      <c r="CW954" t="s">
        <v>111</v>
      </c>
      <c r="CX954" t="s">
        <v>111</v>
      </c>
      <c r="CY954">
        <v>0</v>
      </c>
      <c r="CZ954" t="s">
        <v>111</v>
      </c>
      <c r="DA954" t="s">
        <v>111</v>
      </c>
      <c r="DB954" t="s">
        <v>111</v>
      </c>
      <c r="DC954" t="s">
        <v>111</v>
      </c>
    </row>
    <row r="955" spans="1:107">
      <c r="A955">
        <v>733</v>
      </c>
      <c r="B955" t="s">
        <v>107</v>
      </c>
      <c r="C955" t="s">
        <v>801</v>
      </c>
      <c r="D955" t="s">
        <v>2126</v>
      </c>
      <c r="E955" t="s">
        <v>3060</v>
      </c>
      <c r="F955" t="s">
        <v>722</v>
      </c>
      <c r="G955" t="s">
        <v>416</v>
      </c>
      <c r="H955">
        <v>0.8</v>
      </c>
      <c r="I955">
        <v>43</v>
      </c>
      <c r="J955">
        <v>0</v>
      </c>
      <c r="K955">
        <v>0</v>
      </c>
      <c r="L955" t="s">
        <v>112</v>
      </c>
      <c r="M955" t="s">
        <v>138</v>
      </c>
      <c r="N955">
        <v>0</v>
      </c>
      <c r="O955">
        <v>0</v>
      </c>
      <c r="P955" t="s">
        <v>138</v>
      </c>
      <c r="Q955">
        <v>60</v>
      </c>
      <c r="R955">
        <v>0</v>
      </c>
      <c r="S955">
        <v>0</v>
      </c>
      <c r="T955">
        <v>0</v>
      </c>
      <c r="U955" s="1" t="s">
        <v>3061</v>
      </c>
      <c r="V955">
        <v>0</v>
      </c>
      <c r="W955">
        <v>25</v>
      </c>
      <c r="X955">
        <v>5</v>
      </c>
      <c r="Y955">
        <v>0</v>
      </c>
      <c r="Z955" t="s">
        <v>111</v>
      </c>
      <c r="AA955">
        <v>0</v>
      </c>
      <c r="AB955" t="s">
        <v>111</v>
      </c>
      <c r="AC955">
        <v>0</v>
      </c>
      <c r="AD955" t="s">
        <v>111</v>
      </c>
      <c r="AE955">
        <v>0</v>
      </c>
      <c r="AF955">
        <v>0</v>
      </c>
      <c r="AG955" t="s">
        <v>111</v>
      </c>
      <c r="AH955" t="s">
        <v>111</v>
      </c>
      <c r="AI955" t="s">
        <v>111</v>
      </c>
      <c r="AJ955" t="s">
        <v>111</v>
      </c>
      <c r="AK955" t="s">
        <v>111</v>
      </c>
      <c r="AL955" t="s">
        <v>111</v>
      </c>
      <c r="AM955">
        <v>0</v>
      </c>
      <c r="AN955">
        <v>0</v>
      </c>
      <c r="AO955">
        <v>0</v>
      </c>
      <c r="AP955" t="s">
        <v>111</v>
      </c>
      <c r="AQ955" t="s">
        <v>111</v>
      </c>
      <c r="AR955" t="s">
        <v>111</v>
      </c>
      <c r="AS955" t="s">
        <v>111</v>
      </c>
      <c r="AT955" t="s">
        <v>111</v>
      </c>
      <c r="AU955" t="s">
        <v>111</v>
      </c>
      <c r="AV955" t="s">
        <v>111</v>
      </c>
      <c r="AW955" t="s">
        <v>111</v>
      </c>
      <c r="AX955" t="s">
        <v>111</v>
      </c>
      <c r="AY955" t="s">
        <v>111</v>
      </c>
      <c r="AZ955" t="s">
        <v>111</v>
      </c>
      <c r="BA955" t="s">
        <v>111</v>
      </c>
      <c r="BB955" t="s">
        <v>111</v>
      </c>
      <c r="BC955" t="s">
        <v>111</v>
      </c>
      <c r="BD955" t="s">
        <v>111</v>
      </c>
      <c r="BE955" t="s">
        <v>111</v>
      </c>
      <c r="BF955" t="s">
        <v>111</v>
      </c>
      <c r="BG955" t="s">
        <v>111</v>
      </c>
      <c r="BH955" t="s">
        <v>111</v>
      </c>
      <c r="BI955" t="s">
        <v>111</v>
      </c>
      <c r="BJ955" t="s">
        <v>111</v>
      </c>
      <c r="BK955" t="s">
        <v>111</v>
      </c>
      <c r="BL955" t="s">
        <v>111</v>
      </c>
      <c r="BM955" t="s">
        <v>111</v>
      </c>
      <c r="BN955" t="s">
        <v>111</v>
      </c>
      <c r="BO955" t="s">
        <v>111</v>
      </c>
      <c r="BP955" t="s">
        <v>111</v>
      </c>
      <c r="BQ955" t="s">
        <v>111</v>
      </c>
      <c r="BR955" t="s">
        <v>111</v>
      </c>
      <c r="BS955" t="s">
        <v>111</v>
      </c>
      <c r="BT955" t="s">
        <v>111</v>
      </c>
      <c r="BU955" t="s">
        <v>111</v>
      </c>
      <c r="BV955" t="s">
        <v>111</v>
      </c>
      <c r="BW955" t="s">
        <v>111</v>
      </c>
      <c r="BX955" t="s">
        <v>111</v>
      </c>
      <c r="BY955" t="s">
        <v>111</v>
      </c>
      <c r="BZ955" t="s">
        <v>111</v>
      </c>
      <c r="CA955" t="s">
        <v>111</v>
      </c>
      <c r="CB955" t="s">
        <v>111</v>
      </c>
      <c r="CC955" t="s">
        <v>111</v>
      </c>
      <c r="CD955" t="s">
        <v>111</v>
      </c>
      <c r="CE955" t="s">
        <v>111</v>
      </c>
      <c r="CF955" t="s">
        <v>111</v>
      </c>
      <c r="CG955" t="s">
        <v>111</v>
      </c>
      <c r="CH955" t="s">
        <v>111</v>
      </c>
      <c r="CI955" t="s">
        <v>111</v>
      </c>
      <c r="CJ955" t="s">
        <v>111</v>
      </c>
      <c r="CK955" t="s">
        <v>111</v>
      </c>
      <c r="CL955" t="s">
        <v>111</v>
      </c>
      <c r="CM955" t="s">
        <v>127</v>
      </c>
      <c r="CN955" t="s">
        <v>128</v>
      </c>
      <c r="CO955" t="s">
        <v>111</v>
      </c>
      <c r="CP955" t="s">
        <v>111</v>
      </c>
      <c r="CQ955">
        <v>0</v>
      </c>
      <c r="CR955">
        <v>1500</v>
      </c>
      <c r="CS955">
        <v>100</v>
      </c>
      <c r="CT955" s="1" t="s">
        <v>3062</v>
      </c>
      <c r="CU955">
        <v>0</v>
      </c>
      <c r="CV955" t="s">
        <v>111</v>
      </c>
      <c r="CW955" t="s">
        <v>111</v>
      </c>
      <c r="CX955" t="s">
        <v>111</v>
      </c>
      <c r="CY955">
        <v>0</v>
      </c>
      <c r="CZ955" t="s">
        <v>111</v>
      </c>
      <c r="DA955" t="s">
        <v>111</v>
      </c>
      <c r="DB955" t="s">
        <v>240</v>
      </c>
      <c r="DC955" s="1" t="s">
        <v>3063</v>
      </c>
    </row>
    <row r="956" spans="1:107">
      <c r="A956">
        <v>465</v>
      </c>
      <c r="B956" t="s">
        <v>162</v>
      </c>
      <c r="C956" t="s">
        <v>3064</v>
      </c>
      <c r="D956" t="s">
        <v>3065</v>
      </c>
      <c r="E956" t="s">
        <v>3066</v>
      </c>
      <c r="F956" t="s">
        <v>3067</v>
      </c>
      <c r="G956" t="s">
        <v>416</v>
      </c>
      <c r="H956">
        <v>3</v>
      </c>
      <c r="I956">
        <v>50</v>
      </c>
      <c r="J956">
        <v>7</v>
      </c>
      <c r="K956">
        <v>5</v>
      </c>
      <c r="L956" t="s">
        <v>112</v>
      </c>
      <c r="M956" t="s">
        <v>118</v>
      </c>
      <c r="N956">
        <v>40</v>
      </c>
      <c r="O956">
        <v>2</v>
      </c>
      <c r="P956" t="s">
        <v>138</v>
      </c>
      <c r="Q956">
        <v>40</v>
      </c>
      <c r="R956">
        <v>0</v>
      </c>
      <c r="S956">
        <v>0</v>
      </c>
      <c r="T956">
        <v>0</v>
      </c>
      <c r="U956" t="s">
        <v>1353</v>
      </c>
      <c r="V956">
        <v>25</v>
      </c>
      <c r="W956">
        <v>0</v>
      </c>
      <c r="X956">
        <v>10</v>
      </c>
      <c r="Y956">
        <v>0</v>
      </c>
      <c r="Z956" t="s">
        <v>259</v>
      </c>
      <c r="AA956">
        <v>1.5</v>
      </c>
      <c r="AB956" t="s">
        <v>111</v>
      </c>
      <c r="AC956">
        <v>0</v>
      </c>
      <c r="AD956" t="s">
        <v>416</v>
      </c>
      <c r="AE956">
        <v>2</v>
      </c>
      <c r="AF956">
        <v>2</v>
      </c>
      <c r="AG956">
        <v>44</v>
      </c>
      <c r="AH956" t="s">
        <v>111</v>
      </c>
      <c r="AI956">
        <v>44</v>
      </c>
      <c r="AJ956" t="s">
        <v>111</v>
      </c>
      <c r="AK956" t="s">
        <v>111</v>
      </c>
      <c r="AL956" t="s">
        <v>111</v>
      </c>
      <c r="AM956">
        <v>0</v>
      </c>
      <c r="AN956">
        <v>0</v>
      </c>
      <c r="AO956">
        <v>0</v>
      </c>
      <c r="AP956" t="s">
        <v>1091</v>
      </c>
      <c r="AQ956" t="s">
        <v>111</v>
      </c>
      <c r="AR956" t="s">
        <v>111</v>
      </c>
      <c r="AS956" t="s">
        <v>111</v>
      </c>
      <c r="AT956" t="s">
        <v>271</v>
      </c>
      <c r="AU956" t="s">
        <v>111</v>
      </c>
      <c r="AV956" t="s">
        <v>111</v>
      </c>
      <c r="AW956" t="s">
        <v>111</v>
      </c>
      <c r="AX956" t="s">
        <v>111</v>
      </c>
      <c r="AY956" t="s">
        <v>111</v>
      </c>
      <c r="AZ956" t="s">
        <v>111</v>
      </c>
      <c r="BA956" t="s">
        <v>111</v>
      </c>
      <c r="BB956" t="s">
        <v>111</v>
      </c>
      <c r="BC956" t="s">
        <v>111</v>
      </c>
      <c r="BD956" t="s">
        <v>111</v>
      </c>
      <c r="BE956" t="s">
        <v>111</v>
      </c>
      <c r="BF956" t="s">
        <v>111</v>
      </c>
      <c r="BG956" t="s">
        <v>111</v>
      </c>
      <c r="BH956" t="s">
        <v>111</v>
      </c>
      <c r="BI956" t="s">
        <v>111</v>
      </c>
      <c r="BJ956" t="s">
        <v>111</v>
      </c>
      <c r="BK956" t="s">
        <v>111</v>
      </c>
      <c r="BL956" t="s">
        <v>111</v>
      </c>
      <c r="BM956" t="s">
        <v>111</v>
      </c>
      <c r="BN956" t="s">
        <v>111</v>
      </c>
      <c r="BO956" t="s">
        <v>111</v>
      </c>
      <c r="BP956" t="s">
        <v>111</v>
      </c>
      <c r="BQ956" t="s">
        <v>111</v>
      </c>
      <c r="BR956" t="s">
        <v>111</v>
      </c>
      <c r="BS956" t="s">
        <v>111</v>
      </c>
      <c r="BT956" t="s">
        <v>111</v>
      </c>
      <c r="BU956" t="s">
        <v>111</v>
      </c>
      <c r="BV956" t="s">
        <v>111</v>
      </c>
      <c r="BW956" t="s">
        <v>111</v>
      </c>
      <c r="BX956" t="s">
        <v>111</v>
      </c>
      <c r="BY956" t="s">
        <v>111</v>
      </c>
      <c r="BZ956" t="s">
        <v>111</v>
      </c>
      <c r="CA956" t="s">
        <v>111</v>
      </c>
      <c r="CB956" t="s">
        <v>111</v>
      </c>
      <c r="CC956" t="s">
        <v>111</v>
      </c>
      <c r="CD956" t="s">
        <v>111</v>
      </c>
      <c r="CE956" t="s">
        <v>111</v>
      </c>
      <c r="CF956" t="s">
        <v>111</v>
      </c>
      <c r="CG956" t="s">
        <v>111</v>
      </c>
      <c r="CH956" t="s">
        <v>111</v>
      </c>
      <c r="CI956" t="s">
        <v>111</v>
      </c>
      <c r="CJ956" t="s">
        <v>111</v>
      </c>
      <c r="CK956" t="s">
        <v>111</v>
      </c>
      <c r="CL956" t="s">
        <v>153</v>
      </c>
      <c r="CM956" t="s">
        <v>198</v>
      </c>
      <c r="CN956" t="s">
        <v>113</v>
      </c>
      <c r="CO956" t="s">
        <v>1348</v>
      </c>
      <c r="CP956" t="s">
        <v>433</v>
      </c>
      <c r="CQ956">
        <v>0</v>
      </c>
      <c r="CR956">
        <v>0</v>
      </c>
      <c r="CS956">
        <v>0</v>
      </c>
      <c r="CT956" t="s">
        <v>2850</v>
      </c>
      <c r="CU956">
        <v>0</v>
      </c>
      <c r="CV956" t="s">
        <v>111</v>
      </c>
      <c r="CW956" t="s">
        <v>111</v>
      </c>
      <c r="CX956" t="s">
        <v>111</v>
      </c>
      <c r="CY956">
        <v>0</v>
      </c>
      <c r="CZ956" t="s">
        <v>111</v>
      </c>
      <c r="DA956" t="s">
        <v>111</v>
      </c>
      <c r="DB956" t="s">
        <v>204</v>
      </c>
      <c r="DC956" s="1" t="s">
        <v>1350</v>
      </c>
    </row>
    <row r="957" spans="1:107">
      <c r="A957">
        <v>466</v>
      </c>
      <c r="B957" t="s">
        <v>162</v>
      </c>
      <c r="C957" t="s">
        <v>3064</v>
      </c>
      <c r="D957" t="s">
        <v>3068</v>
      </c>
      <c r="E957" t="s">
        <v>3069</v>
      </c>
      <c r="F957" t="s">
        <v>3067</v>
      </c>
      <c r="G957" t="s">
        <v>416</v>
      </c>
      <c r="H957">
        <v>3</v>
      </c>
      <c r="I957">
        <v>28</v>
      </c>
      <c r="J957">
        <v>7</v>
      </c>
      <c r="K957">
        <v>5</v>
      </c>
      <c r="L957" t="s">
        <v>112</v>
      </c>
      <c r="M957" t="s">
        <v>118</v>
      </c>
      <c r="N957">
        <v>40</v>
      </c>
      <c r="O957">
        <v>2</v>
      </c>
      <c r="P957" t="s">
        <v>138</v>
      </c>
      <c r="Q957">
        <v>40</v>
      </c>
      <c r="R957">
        <v>0</v>
      </c>
      <c r="S957">
        <v>0</v>
      </c>
      <c r="T957">
        <v>0</v>
      </c>
      <c r="U957" t="s">
        <v>1353</v>
      </c>
      <c r="V957">
        <v>25</v>
      </c>
      <c r="W957">
        <v>0</v>
      </c>
      <c r="X957">
        <v>10</v>
      </c>
      <c r="Y957">
        <v>0</v>
      </c>
      <c r="Z957" t="s">
        <v>259</v>
      </c>
      <c r="AA957">
        <v>1.5</v>
      </c>
      <c r="AB957" t="s">
        <v>111</v>
      </c>
      <c r="AC957">
        <v>0</v>
      </c>
      <c r="AD957" t="s">
        <v>416</v>
      </c>
      <c r="AE957">
        <v>2</v>
      </c>
      <c r="AF957">
        <v>2</v>
      </c>
      <c r="AG957">
        <v>26</v>
      </c>
      <c r="AH957" t="s">
        <v>111</v>
      </c>
      <c r="AI957">
        <v>26</v>
      </c>
      <c r="AJ957" t="s">
        <v>111</v>
      </c>
      <c r="AK957" t="s">
        <v>111</v>
      </c>
      <c r="AL957" t="s">
        <v>111</v>
      </c>
      <c r="AM957">
        <v>0</v>
      </c>
      <c r="AN957">
        <v>0</v>
      </c>
      <c r="AO957">
        <v>0</v>
      </c>
      <c r="AP957" t="s">
        <v>1091</v>
      </c>
      <c r="AQ957" t="s">
        <v>111</v>
      </c>
      <c r="AR957" t="s">
        <v>111</v>
      </c>
      <c r="AS957" t="s">
        <v>111</v>
      </c>
      <c r="AT957" t="s">
        <v>271</v>
      </c>
      <c r="AU957" t="s">
        <v>111</v>
      </c>
      <c r="AV957" t="s">
        <v>111</v>
      </c>
      <c r="AW957" t="s">
        <v>111</v>
      </c>
      <c r="AX957" t="s">
        <v>111</v>
      </c>
      <c r="AY957" t="s">
        <v>111</v>
      </c>
      <c r="AZ957" t="s">
        <v>111</v>
      </c>
      <c r="BA957" t="s">
        <v>111</v>
      </c>
      <c r="BB957" t="s">
        <v>111</v>
      </c>
      <c r="BC957" t="s">
        <v>111</v>
      </c>
      <c r="BD957" t="s">
        <v>111</v>
      </c>
      <c r="BE957" t="s">
        <v>111</v>
      </c>
      <c r="BF957" t="s">
        <v>111</v>
      </c>
      <c r="BG957" t="s">
        <v>111</v>
      </c>
      <c r="BH957" t="s">
        <v>111</v>
      </c>
      <c r="BI957" t="s">
        <v>111</v>
      </c>
      <c r="BJ957" t="s">
        <v>111</v>
      </c>
      <c r="BK957" t="s">
        <v>111</v>
      </c>
      <c r="BL957" t="s">
        <v>111</v>
      </c>
      <c r="BM957" t="s">
        <v>111</v>
      </c>
      <c r="BN957" t="s">
        <v>111</v>
      </c>
      <c r="BO957" t="s">
        <v>111</v>
      </c>
      <c r="BP957" t="s">
        <v>111</v>
      </c>
      <c r="BQ957" t="s">
        <v>111</v>
      </c>
      <c r="BR957" t="s">
        <v>111</v>
      </c>
      <c r="BS957" t="s">
        <v>111</v>
      </c>
      <c r="BT957" t="s">
        <v>111</v>
      </c>
      <c r="BU957" t="s">
        <v>111</v>
      </c>
      <c r="BV957" t="s">
        <v>111</v>
      </c>
      <c r="BW957" t="s">
        <v>111</v>
      </c>
      <c r="BX957" t="s">
        <v>111</v>
      </c>
      <c r="BY957" t="s">
        <v>111</v>
      </c>
      <c r="BZ957" t="s">
        <v>111</v>
      </c>
      <c r="CA957" t="s">
        <v>111</v>
      </c>
      <c r="CB957" t="s">
        <v>111</v>
      </c>
      <c r="CC957" t="s">
        <v>111</v>
      </c>
      <c r="CD957" t="s">
        <v>111</v>
      </c>
      <c r="CE957" t="s">
        <v>111</v>
      </c>
      <c r="CF957" t="s">
        <v>111</v>
      </c>
      <c r="CG957" t="s">
        <v>111</v>
      </c>
      <c r="CH957" t="s">
        <v>111</v>
      </c>
      <c r="CI957" t="s">
        <v>111</v>
      </c>
      <c r="CJ957" t="s">
        <v>111</v>
      </c>
      <c r="CK957" t="s">
        <v>111</v>
      </c>
      <c r="CL957" t="s">
        <v>153</v>
      </c>
      <c r="CM957" t="s">
        <v>198</v>
      </c>
      <c r="CN957" t="s">
        <v>113</v>
      </c>
      <c r="CO957" t="s">
        <v>1348</v>
      </c>
      <c r="CP957" t="s">
        <v>433</v>
      </c>
      <c r="CQ957">
        <v>0</v>
      </c>
      <c r="CR957">
        <v>0</v>
      </c>
      <c r="CS957">
        <v>0</v>
      </c>
      <c r="CT957" t="s">
        <v>2850</v>
      </c>
      <c r="CU957">
        <v>0</v>
      </c>
      <c r="CV957" t="s">
        <v>111</v>
      </c>
      <c r="CW957" t="s">
        <v>111</v>
      </c>
      <c r="CX957" t="s">
        <v>111</v>
      </c>
      <c r="CY957">
        <v>0</v>
      </c>
      <c r="CZ957" t="s">
        <v>111</v>
      </c>
      <c r="DA957" t="s">
        <v>111</v>
      </c>
      <c r="DB957" t="s">
        <v>204</v>
      </c>
      <c r="DC957" s="1" t="s">
        <v>1350</v>
      </c>
    </row>
    <row r="958" spans="1:107">
      <c r="A958">
        <v>736</v>
      </c>
      <c r="B958" t="s">
        <v>107</v>
      </c>
      <c r="C958" t="s">
        <v>801</v>
      </c>
      <c r="D958" t="s">
        <v>3070</v>
      </c>
      <c r="E958" t="s">
        <v>3071</v>
      </c>
      <c r="F958" t="s">
        <v>722</v>
      </c>
      <c r="G958" t="s">
        <v>416</v>
      </c>
      <c r="H958">
        <v>0.8</v>
      </c>
      <c r="I958">
        <v>46</v>
      </c>
      <c r="J958">
        <v>0</v>
      </c>
      <c r="K958">
        <v>0</v>
      </c>
      <c r="L958" t="s">
        <v>112</v>
      </c>
      <c r="M958" t="s">
        <v>138</v>
      </c>
      <c r="N958">
        <v>0</v>
      </c>
      <c r="O958">
        <v>0</v>
      </c>
      <c r="P958" t="s">
        <v>138</v>
      </c>
      <c r="Q958">
        <v>38.9</v>
      </c>
      <c r="R958">
        <v>0</v>
      </c>
      <c r="S958">
        <v>0</v>
      </c>
      <c r="T958">
        <v>0</v>
      </c>
      <c r="U958" t="s">
        <v>296</v>
      </c>
      <c r="V958">
        <v>0</v>
      </c>
      <c r="W958">
        <v>25</v>
      </c>
      <c r="X958">
        <v>5</v>
      </c>
      <c r="Y958">
        <v>0</v>
      </c>
      <c r="Z958" t="s">
        <v>111</v>
      </c>
      <c r="AA958">
        <v>0</v>
      </c>
      <c r="AB958" t="s">
        <v>111</v>
      </c>
      <c r="AC958">
        <v>0</v>
      </c>
      <c r="AD958" t="s">
        <v>111</v>
      </c>
      <c r="AE958">
        <v>0</v>
      </c>
      <c r="AF958">
        <v>0</v>
      </c>
      <c r="AG958" t="s">
        <v>111</v>
      </c>
      <c r="AH958" t="s">
        <v>111</v>
      </c>
      <c r="AI958" t="s">
        <v>111</v>
      </c>
      <c r="AJ958" t="s">
        <v>111</v>
      </c>
      <c r="AK958" t="s">
        <v>111</v>
      </c>
      <c r="AL958" t="s">
        <v>111</v>
      </c>
      <c r="AM958">
        <v>0</v>
      </c>
      <c r="AN958">
        <v>0</v>
      </c>
      <c r="AO958">
        <v>0</v>
      </c>
      <c r="AP958" t="s">
        <v>111</v>
      </c>
      <c r="AQ958" t="s">
        <v>111</v>
      </c>
      <c r="AR958" t="s">
        <v>111</v>
      </c>
      <c r="AS958" t="s">
        <v>111</v>
      </c>
      <c r="AT958" t="s">
        <v>111</v>
      </c>
      <c r="AU958" t="s">
        <v>111</v>
      </c>
      <c r="AV958" t="s">
        <v>111</v>
      </c>
      <c r="AW958" t="s">
        <v>111</v>
      </c>
      <c r="AX958" t="s">
        <v>111</v>
      </c>
      <c r="AY958" t="s">
        <v>111</v>
      </c>
      <c r="AZ958" t="s">
        <v>111</v>
      </c>
      <c r="BA958" t="s">
        <v>111</v>
      </c>
      <c r="BB958" t="s">
        <v>111</v>
      </c>
      <c r="BC958" t="s">
        <v>111</v>
      </c>
      <c r="BD958" t="s">
        <v>111</v>
      </c>
      <c r="BE958" t="s">
        <v>111</v>
      </c>
      <c r="BF958" t="s">
        <v>111</v>
      </c>
      <c r="BG958" t="s">
        <v>111</v>
      </c>
      <c r="BH958" t="s">
        <v>111</v>
      </c>
      <c r="BI958" t="s">
        <v>111</v>
      </c>
      <c r="BJ958" t="s">
        <v>111</v>
      </c>
      <c r="BK958" t="s">
        <v>111</v>
      </c>
      <c r="BL958" t="s">
        <v>111</v>
      </c>
      <c r="BM958" t="s">
        <v>111</v>
      </c>
      <c r="BN958" t="s">
        <v>111</v>
      </c>
      <c r="BO958" t="s">
        <v>111</v>
      </c>
      <c r="BP958" t="s">
        <v>111</v>
      </c>
      <c r="BQ958" t="s">
        <v>111</v>
      </c>
      <c r="BR958" t="s">
        <v>111</v>
      </c>
      <c r="BS958" t="s">
        <v>111</v>
      </c>
      <c r="BT958" t="s">
        <v>111</v>
      </c>
      <c r="BU958" t="s">
        <v>111</v>
      </c>
      <c r="BV958" t="s">
        <v>111</v>
      </c>
      <c r="BW958" t="s">
        <v>111</v>
      </c>
      <c r="BX958" t="s">
        <v>111</v>
      </c>
      <c r="BY958" t="s">
        <v>111</v>
      </c>
      <c r="BZ958" t="s">
        <v>111</v>
      </c>
      <c r="CA958" t="s">
        <v>111</v>
      </c>
      <c r="CB958" t="s">
        <v>111</v>
      </c>
      <c r="CC958" t="s">
        <v>111</v>
      </c>
      <c r="CD958" t="s">
        <v>111</v>
      </c>
      <c r="CE958" t="s">
        <v>111</v>
      </c>
      <c r="CF958" t="s">
        <v>111</v>
      </c>
      <c r="CG958" t="s">
        <v>111</v>
      </c>
      <c r="CH958" t="s">
        <v>111</v>
      </c>
      <c r="CI958" t="s">
        <v>111</v>
      </c>
      <c r="CJ958" t="s">
        <v>111</v>
      </c>
      <c r="CK958" t="s">
        <v>111</v>
      </c>
      <c r="CL958" t="s">
        <v>111</v>
      </c>
      <c r="CM958" t="s">
        <v>127</v>
      </c>
      <c r="CN958" t="s">
        <v>128</v>
      </c>
      <c r="CO958" t="s">
        <v>111</v>
      </c>
      <c r="CP958" t="s">
        <v>111</v>
      </c>
      <c r="CQ958">
        <v>0</v>
      </c>
      <c r="CR958">
        <v>1500</v>
      </c>
      <c r="CS958">
        <v>100</v>
      </c>
      <c r="CT958" t="s">
        <v>3072</v>
      </c>
      <c r="CU958">
        <v>0</v>
      </c>
      <c r="CV958" t="s">
        <v>111</v>
      </c>
      <c r="CW958" t="s">
        <v>111</v>
      </c>
      <c r="CX958" t="s">
        <v>111</v>
      </c>
      <c r="CY958">
        <v>0</v>
      </c>
      <c r="CZ958" t="s">
        <v>111</v>
      </c>
      <c r="DA958" t="s">
        <v>111</v>
      </c>
      <c r="DB958" t="s">
        <v>204</v>
      </c>
      <c r="DC958" s="1" t="s">
        <v>3073</v>
      </c>
    </row>
    <row r="959" spans="1:107">
      <c r="A959">
        <v>449</v>
      </c>
      <c r="B959" t="s">
        <v>162</v>
      </c>
      <c r="C959" t="s">
        <v>1508</v>
      </c>
      <c r="D959" t="s">
        <v>1509</v>
      </c>
      <c r="E959" t="s">
        <v>3074</v>
      </c>
      <c r="F959" t="s">
        <v>415</v>
      </c>
      <c r="G959" t="s">
        <v>416</v>
      </c>
      <c r="H959">
        <v>5</v>
      </c>
      <c r="I959">
        <v>85</v>
      </c>
      <c r="J959">
        <v>0</v>
      </c>
      <c r="K959">
        <v>0</v>
      </c>
      <c r="L959" t="s">
        <v>117</v>
      </c>
      <c r="M959" t="s">
        <v>118</v>
      </c>
      <c r="N959">
        <v>40</v>
      </c>
      <c r="O959">
        <v>2</v>
      </c>
      <c r="P959" t="s">
        <v>138</v>
      </c>
      <c r="Q959">
        <v>30</v>
      </c>
      <c r="R959">
        <v>0</v>
      </c>
      <c r="S959">
        <v>0</v>
      </c>
      <c r="T959">
        <v>0</v>
      </c>
      <c r="U959" t="s">
        <v>1353</v>
      </c>
      <c r="V959">
        <v>0</v>
      </c>
      <c r="W959">
        <v>25</v>
      </c>
      <c r="X959">
        <v>8</v>
      </c>
      <c r="Y959">
        <v>0</v>
      </c>
      <c r="Z959" t="s">
        <v>288</v>
      </c>
      <c r="AA959">
        <v>1.98</v>
      </c>
      <c r="AB959" t="s">
        <v>111</v>
      </c>
      <c r="AC959">
        <v>0</v>
      </c>
      <c r="AD959" t="s">
        <v>416</v>
      </c>
      <c r="AE959">
        <v>3</v>
      </c>
      <c r="AF959">
        <v>1</v>
      </c>
      <c r="AG959">
        <v>66</v>
      </c>
      <c r="AH959" t="s">
        <v>111</v>
      </c>
      <c r="AI959">
        <v>66</v>
      </c>
      <c r="AJ959" t="s">
        <v>111</v>
      </c>
      <c r="AK959" t="s">
        <v>111</v>
      </c>
      <c r="AL959" t="s">
        <v>111</v>
      </c>
      <c r="AM959">
        <v>0</v>
      </c>
      <c r="AN959">
        <v>0</v>
      </c>
      <c r="AO959">
        <v>0</v>
      </c>
      <c r="AP959" t="s">
        <v>188</v>
      </c>
      <c r="AQ959" t="s">
        <v>111</v>
      </c>
      <c r="AR959" t="s">
        <v>111</v>
      </c>
      <c r="AS959" t="s">
        <v>111</v>
      </c>
      <c r="AT959" t="s">
        <v>3075</v>
      </c>
      <c r="AU959" t="s">
        <v>111</v>
      </c>
      <c r="AV959" t="s">
        <v>111</v>
      </c>
      <c r="AW959" t="s">
        <v>111</v>
      </c>
      <c r="AX959" t="s">
        <v>184</v>
      </c>
      <c r="AY959" t="s">
        <v>111</v>
      </c>
      <c r="AZ959" t="s">
        <v>111</v>
      </c>
      <c r="BA959" t="s">
        <v>111</v>
      </c>
      <c r="BB959" t="s">
        <v>259</v>
      </c>
      <c r="BC959" t="s">
        <v>111</v>
      </c>
      <c r="BD959" t="s">
        <v>111</v>
      </c>
      <c r="BE959" t="s">
        <v>111</v>
      </c>
      <c r="BF959" t="s">
        <v>111</v>
      </c>
      <c r="BG959" t="s">
        <v>111</v>
      </c>
      <c r="BH959" t="s">
        <v>111</v>
      </c>
      <c r="BI959" t="s">
        <v>111</v>
      </c>
      <c r="BJ959" t="s">
        <v>111</v>
      </c>
      <c r="BK959" t="s">
        <v>111</v>
      </c>
      <c r="BL959" t="s">
        <v>111</v>
      </c>
      <c r="BM959" t="s">
        <v>111</v>
      </c>
      <c r="BN959" t="s">
        <v>111</v>
      </c>
      <c r="BO959" t="s">
        <v>111</v>
      </c>
      <c r="BP959" t="s">
        <v>111</v>
      </c>
      <c r="BQ959" t="s">
        <v>111</v>
      </c>
      <c r="BR959" t="s">
        <v>111</v>
      </c>
      <c r="BS959" t="s">
        <v>111</v>
      </c>
      <c r="BT959" t="s">
        <v>111</v>
      </c>
      <c r="BU959" t="s">
        <v>111</v>
      </c>
      <c r="BV959" t="s">
        <v>111</v>
      </c>
      <c r="BW959" t="s">
        <v>111</v>
      </c>
      <c r="BX959" t="s">
        <v>111</v>
      </c>
      <c r="BY959" t="s">
        <v>111</v>
      </c>
      <c r="BZ959" t="s">
        <v>111</v>
      </c>
      <c r="CA959" t="s">
        <v>111</v>
      </c>
      <c r="CB959" t="s">
        <v>111</v>
      </c>
      <c r="CC959" t="s">
        <v>111</v>
      </c>
      <c r="CD959" t="s">
        <v>111</v>
      </c>
      <c r="CE959" t="s">
        <v>111</v>
      </c>
      <c r="CF959" t="s">
        <v>111</v>
      </c>
      <c r="CG959" t="s">
        <v>111</v>
      </c>
      <c r="CH959" t="s">
        <v>111</v>
      </c>
      <c r="CI959" t="s">
        <v>111</v>
      </c>
      <c r="CJ959" t="s">
        <v>111</v>
      </c>
      <c r="CK959" t="s">
        <v>111</v>
      </c>
      <c r="CL959" t="s">
        <v>153</v>
      </c>
      <c r="CM959" t="s">
        <v>198</v>
      </c>
      <c r="CN959" t="s">
        <v>113</v>
      </c>
      <c r="CO959" t="s">
        <v>111</v>
      </c>
      <c r="CP959" t="s">
        <v>433</v>
      </c>
      <c r="CQ959">
        <v>0</v>
      </c>
      <c r="CR959">
        <v>0</v>
      </c>
      <c r="CS959">
        <v>0</v>
      </c>
      <c r="CT959" t="s">
        <v>280</v>
      </c>
      <c r="CU959">
        <v>0</v>
      </c>
      <c r="CV959" t="s">
        <v>111</v>
      </c>
      <c r="CW959" t="s">
        <v>111</v>
      </c>
      <c r="CX959" t="s">
        <v>111</v>
      </c>
      <c r="CY959">
        <v>0</v>
      </c>
      <c r="CZ959" t="s">
        <v>111</v>
      </c>
      <c r="DA959" t="s">
        <v>111</v>
      </c>
      <c r="DB959" t="s">
        <v>204</v>
      </c>
      <c r="DC959" s="1" t="s">
        <v>3076</v>
      </c>
    </row>
    <row r="960" spans="1:107">
      <c r="A960">
        <v>746</v>
      </c>
      <c r="B960" t="s">
        <v>107</v>
      </c>
      <c r="C960" t="s">
        <v>194</v>
      </c>
      <c r="D960" t="s">
        <v>3077</v>
      </c>
      <c r="E960" t="s">
        <v>3078</v>
      </c>
      <c r="F960" t="s">
        <v>125</v>
      </c>
      <c r="G960" t="s">
        <v>416</v>
      </c>
      <c r="H960">
        <v>1.5</v>
      </c>
      <c r="I960">
        <v>53</v>
      </c>
      <c r="J960">
        <v>0</v>
      </c>
      <c r="K960">
        <v>0</v>
      </c>
      <c r="L960" t="s">
        <v>112</v>
      </c>
      <c r="M960" t="s">
        <v>138</v>
      </c>
      <c r="N960">
        <v>0</v>
      </c>
      <c r="O960">
        <v>0</v>
      </c>
      <c r="P960" t="s">
        <v>138</v>
      </c>
      <c r="Q960">
        <v>34</v>
      </c>
      <c r="R960">
        <v>0</v>
      </c>
      <c r="S960">
        <v>0</v>
      </c>
      <c r="T960">
        <v>0</v>
      </c>
      <c r="U960" t="s">
        <v>153</v>
      </c>
      <c r="V960">
        <v>25</v>
      </c>
      <c r="W960">
        <v>0</v>
      </c>
      <c r="X960">
        <v>10</v>
      </c>
      <c r="Y960">
        <v>0</v>
      </c>
      <c r="Z960" t="s">
        <v>111</v>
      </c>
      <c r="AA960">
        <v>0</v>
      </c>
      <c r="AB960" t="s">
        <v>111</v>
      </c>
      <c r="AC960">
        <v>0</v>
      </c>
      <c r="AD960" t="s">
        <v>111</v>
      </c>
      <c r="AE960">
        <v>0</v>
      </c>
      <c r="AF960">
        <v>0</v>
      </c>
      <c r="AG960" t="s">
        <v>111</v>
      </c>
      <c r="AH960" t="s">
        <v>111</v>
      </c>
      <c r="AI960" t="s">
        <v>111</v>
      </c>
      <c r="AJ960" t="s">
        <v>111</v>
      </c>
      <c r="AK960" t="s">
        <v>111</v>
      </c>
      <c r="AL960" t="s">
        <v>111</v>
      </c>
      <c r="AM960">
        <v>0</v>
      </c>
      <c r="AN960">
        <v>0</v>
      </c>
      <c r="AO960">
        <v>0</v>
      </c>
      <c r="AP960" t="s">
        <v>111</v>
      </c>
      <c r="AQ960" t="s">
        <v>111</v>
      </c>
      <c r="AR960" t="s">
        <v>111</v>
      </c>
      <c r="AS960" t="s">
        <v>111</v>
      </c>
      <c r="AT960" t="s">
        <v>111</v>
      </c>
      <c r="AU960" t="s">
        <v>111</v>
      </c>
      <c r="AV960" t="s">
        <v>111</v>
      </c>
      <c r="AW960" t="s">
        <v>111</v>
      </c>
      <c r="AX960" t="s">
        <v>111</v>
      </c>
      <c r="AY960" t="s">
        <v>111</v>
      </c>
      <c r="AZ960" t="s">
        <v>111</v>
      </c>
      <c r="BA960" t="s">
        <v>111</v>
      </c>
      <c r="BB960" t="s">
        <v>111</v>
      </c>
      <c r="BC960" t="s">
        <v>111</v>
      </c>
      <c r="BD960" t="s">
        <v>111</v>
      </c>
      <c r="BE960" t="s">
        <v>111</v>
      </c>
      <c r="BF960" t="s">
        <v>111</v>
      </c>
      <c r="BG960" t="s">
        <v>111</v>
      </c>
      <c r="BH960" t="s">
        <v>111</v>
      </c>
      <c r="BI960" t="s">
        <v>111</v>
      </c>
      <c r="BJ960" t="s">
        <v>111</v>
      </c>
      <c r="BK960" t="s">
        <v>111</v>
      </c>
      <c r="BL960" t="s">
        <v>111</v>
      </c>
      <c r="BM960" t="s">
        <v>111</v>
      </c>
      <c r="BN960" t="s">
        <v>111</v>
      </c>
      <c r="BO960" t="s">
        <v>111</v>
      </c>
      <c r="BP960" t="s">
        <v>111</v>
      </c>
      <c r="BQ960" t="s">
        <v>111</v>
      </c>
      <c r="BR960" t="s">
        <v>111</v>
      </c>
      <c r="BS960" t="s">
        <v>111</v>
      </c>
      <c r="BT960" t="s">
        <v>111</v>
      </c>
      <c r="BU960" t="s">
        <v>111</v>
      </c>
      <c r="BV960" t="s">
        <v>111</v>
      </c>
      <c r="BW960" t="s">
        <v>111</v>
      </c>
      <c r="BX960" t="s">
        <v>111</v>
      </c>
      <c r="BY960" t="s">
        <v>111</v>
      </c>
      <c r="BZ960" t="s">
        <v>111</v>
      </c>
      <c r="CA960" t="s">
        <v>111</v>
      </c>
      <c r="CB960" t="s">
        <v>111</v>
      </c>
      <c r="CC960" t="s">
        <v>111</v>
      </c>
      <c r="CD960" t="s">
        <v>111</v>
      </c>
      <c r="CE960" t="s">
        <v>111</v>
      </c>
      <c r="CF960" t="s">
        <v>111</v>
      </c>
      <c r="CG960" t="s">
        <v>111</v>
      </c>
      <c r="CH960" t="s">
        <v>111</v>
      </c>
      <c r="CI960" t="s">
        <v>111</v>
      </c>
      <c r="CJ960" t="s">
        <v>111</v>
      </c>
      <c r="CK960" t="s">
        <v>111</v>
      </c>
      <c r="CL960" t="s">
        <v>111</v>
      </c>
      <c r="CM960" t="s">
        <v>127</v>
      </c>
      <c r="CN960" t="s">
        <v>128</v>
      </c>
      <c r="CO960" t="s">
        <v>111</v>
      </c>
      <c r="CP960" t="s">
        <v>111</v>
      </c>
      <c r="CQ960">
        <v>0</v>
      </c>
      <c r="CR960">
        <v>1000</v>
      </c>
      <c r="CS960">
        <v>100</v>
      </c>
      <c r="CT960" s="1" t="s">
        <v>3079</v>
      </c>
      <c r="CU960">
        <v>0</v>
      </c>
      <c r="CV960" t="s">
        <v>111</v>
      </c>
      <c r="CW960" t="s">
        <v>111</v>
      </c>
      <c r="CX960" t="s">
        <v>111</v>
      </c>
      <c r="CY960">
        <v>0</v>
      </c>
      <c r="CZ960" t="s">
        <v>111</v>
      </c>
      <c r="DA960" t="s">
        <v>111</v>
      </c>
      <c r="DB960" t="s">
        <v>111</v>
      </c>
      <c r="DC960" t="s">
        <v>111</v>
      </c>
    </row>
    <row r="961" spans="1:107">
      <c r="A961">
        <v>707</v>
      </c>
      <c r="B961" t="s">
        <v>107</v>
      </c>
      <c r="C961" s="2">
        <v>43573251</v>
      </c>
      <c r="D961" t="s">
        <v>3080</v>
      </c>
      <c r="E961" t="s">
        <v>3081</v>
      </c>
      <c r="F961" t="s">
        <v>370</v>
      </c>
      <c r="G961" t="s">
        <v>416</v>
      </c>
      <c r="H961">
        <v>3</v>
      </c>
      <c r="I961">
        <v>45.5</v>
      </c>
      <c r="J961">
        <v>0</v>
      </c>
      <c r="K961">
        <v>0</v>
      </c>
      <c r="L961" t="s">
        <v>112</v>
      </c>
      <c r="M961" t="s">
        <v>118</v>
      </c>
      <c r="N961">
        <v>39</v>
      </c>
      <c r="O961">
        <v>1</v>
      </c>
      <c r="P961" t="s">
        <v>138</v>
      </c>
      <c r="Q961">
        <v>40</v>
      </c>
      <c r="R961">
        <v>0</v>
      </c>
      <c r="S961">
        <v>0</v>
      </c>
      <c r="T961">
        <v>0</v>
      </c>
      <c r="U961" t="s">
        <v>3082</v>
      </c>
      <c r="V961">
        <v>0</v>
      </c>
      <c r="W961">
        <v>25</v>
      </c>
      <c r="X961">
        <v>8</v>
      </c>
      <c r="Y961">
        <v>0</v>
      </c>
      <c r="Z961" t="s">
        <v>2038</v>
      </c>
      <c r="AA961">
        <v>0</v>
      </c>
      <c r="AB961" t="s">
        <v>111</v>
      </c>
      <c r="AC961">
        <v>0</v>
      </c>
      <c r="AD961" t="s">
        <v>416</v>
      </c>
      <c r="AE961">
        <v>3</v>
      </c>
      <c r="AF961">
        <v>1</v>
      </c>
      <c r="AG961">
        <v>35</v>
      </c>
      <c r="AH961" t="s">
        <v>113</v>
      </c>
      <c r="AI961">
        <v>35</v>
      </c>
      <c r="AJ961" t="s">
        <v>111</v>
      </c>
      <c r="AK961" t="s">
        <v>111</v>
      </c>
      <c r="AL961" t="s">
        <v>111</v>
      </c>
      <c r="AM961">
        <v>0</v>
      </c>
      <c r="AN961">
        <v>0</v>
      </c>
      <c r="AO961">
        <v>0</v>
      </c>
      <c r="AP961" t="s">
        <v>184</v>
      </c>
      <c r="AQ961" t="s">
        <v>111</v>
      </c>
      <c r="AR961" t="s">
        <v>111</v>
      </c>
      <c r="AS961" t="s">
        <v>111</v>
      </c>
      <c r="AT961" t="s">
        <v>1310</v>
      </c>
      <c r="AU961" t="s">
        <v>111</v>
      </c>
      <c r="AV961" t="s">
        <v>111</v>
      </c>
      <c r="AW961" t="s">
        <v>111</v>
      </c>
      <c r="AX961" t="s">
        <v>271</v>
      </c>
      <c r="AY961" t="s">
        <v>111</v>
      </c>
      <c r="AZ961" t="s">
        <v>111</v>
      </c>
      <c r="BA961" t="s">
        <v>111</v>
      </c>
      <c r="BB961" t="s">
        <v>111</v>
      </c>
      <c r="BC961" t="s">
        <v>111</v>
      </c>
      <c r="BD961" t="s">
        <v>111</v>
      </c>
      <c r="BE961" t="s">
        <v>111</v>
      </c>
      <c r="BF961" t="s">
        <v>111</v>
      </c>
      <c r="BG961" t="s">
        <v>111</v>
      </c>
      <c r="BH961" t="s">
        <v>111</v>
      </c>
      <c r="BI961" t="s">
        <v>111</v>
      </c>
      <c r="BJ961" t="s">
        <v>111</v>
      </c>
      <c r="BK961" t="s">
        <v>111</v>
      </c>
      <c r="BL961" t="s">
        <v>111</v>
      </c>
      <c r="BM961" t="s">
        <v>111</v>
      </c>
      <c r="BN961" t="s">
        <v>111</v>
      </c>
      <c r="BO961" t="s">
        <v>111</v>
      </c>
      <c r="BP961" t="s">
        <v>111</v>
      </c>
      <c r="BQ961" t="s">
        <v>111</v>
      </c>
      <c r="BR961" t="s">
        <v>111</v>
      </c>
      <c r="BS961" t="s">
        <v>111</v>
      </c>
      <c r="BT961" t="s">
        <v>111</v>
      </c>
      <c r="BU961" t="s">
        <v>111</v>
      </c>
      <c r="BV961" t="s">
        <v>111</v>
      </c>
      <c r="BW961" t="s">
        <v>111</v>
      </c>
      <c r="BX961" t="s">
        <v>111</v>
      </c>
      <c r="BY961" t="s">
        <v>111</v>
      </c>
      <c r="BZ961" t="s">
        <v>111</v>
      </c>
      <c r="CA961" t="s">
        <v>111</v>
      </c>
      <c r="CB961" t="s">
        <v>111</v>
      </c>
      <c r="CC961" t="s">
        <v>111</v>
      </c>
      <c r="CD961" t="s">
        <v>111</v>
      </c>
      <c r="CE961" t="s">
        <v>111</v>
      </c>
      <c r="CF961" t="s">
        <v>111</v>
      </c>
      <c r="CG961" t="s">
        <v>111</v>
      </c>
      <c r="CH961" t="s">
        <v>111</v>
      </c>
      <c r="CI961" t="s">
        <v>111</v>
      </c>
      <c r="CJ961" t="s">
        <v>111</v>
      </c>
      <c r="CK961" t="s">
        <v>111</v>
      </c>
      <c r="CL961" t="e">
        <f>-DESTINO SELLADO</f>
        <v>#NAME?</v>
      </c>
      <c r="CM961" t="s">
        <v>198</v>
      </c>
      <c r="CN961" t="s">
        <v>113</v>
      </c>
      <c r="CO961" t="s">
        <v>367</v>
      </c>
      <c r="CP961" t="s">
        <v>111</v>
      </c>
      <c r="CQ961">
        <v>0</v>
      </c>
      <c r="CR961">
        <v>0</v>
      </c>
      <c r="CS961">
        <v>50</v>
      </c>
      <c r="CT961" t="s">
        <v>3083</v>
      </c>
      <c r="CU961">
        <v>0</v>
      </c>
      <c r="CV961" t="s">
        <v>111</v>
      </c>
      <c r="CW961" t="s">
        <v>111</v>
      </c>
      <c r="CX961" t="s">
        <v>111</v>
      </c>
      <c r="CY961">
        <v>0</v>
      </c>
      <c r="CZ961" t="s">
        <v>111</v>
      </c>
      <c r="DA961" t="s">
        <v>111</v>
      </c>
      <c r="DB961" t="s">
        <v>204</v>
      </c>
      <c r="DC961" t="s">
        <v>3084</v>
      </c>
    </row>
    <row r="962" spans="1:107">
      <c r="A962">
        <v>450</v>
      </c>
      <c r="B962" t="s">
        <v>162</v>
      </c>
      <c r="C962" t="s">
        <v>3085</v>
      </c>
      <c r="D962" t="s">
        <v>3086</v>
      </c>
      <c r="E962" t="s">
        <v>3087</v>
      </c>
      <c r="F962" t="s">
        <v>431</v>
      </c>
      <c r="G962" t="s">
        <v>416</v>
      </c>
      <c r="H962">
        <v>1.5</v>
      </c>
      <c r="I962">
        <v>51</v>
      </c>
      <c r="J962">
        <v>0</v>
      </c>
      <c r="K962">
        <v>0</v>
      </c>
      <c r="L962" t="s">
        <v>112</v>
      </c>
      <c r="M962" t="s">
        <v>118</v>
      </c>
      <c r="N962">
        <v>40</v>
      </c>
      <c r="O962">
        <v>1</v>
      </c>
      <c r="P962" t="s">
        <v>138</v>
      </c>
      <c r="Q962">
        <v>30</v>
      </c>
      <c r="R962">
        <v>0</v>
      </c>
      <c r="S962">
        <v>0</v>
      </c>
      <c r="T962">
        <v>0</v>
      </c>
      <c r="U962" s="1" t="s">
        <v>3088</v>
      </c>
      <c r="V962">
        <v>0</v>
      </c>
      <c r="W962">
        <v>25</v>
      </c>
      <c r="X962">
        <v>8</v>
      </c>
      <c r="Y962">
        <v>0</v>
      </c>
      <c r="Z962" t="s">
        <v>111</v>
      </c>
      <c r="AA962">
        <v>0</v>
      </c>
      <c r="AB962" t="s">
        <v>111</v>
      </c>
      <c r="AC962">
        <v>0</v>
      </c>
      <c r="AD962" t="s">
        <v>416</v>
      </c>
      <c r="AE962">
        <v>1</v>
      </c>
      <c r="AF962">
        <v>1</v>
      </c>
      <c r="AG962">
        <v>42</v>
      </c>
      <c r="AH962" t="s">
        <v>111</v>
      </c>
      <c r="AI962">
        <v>32</v>
      </c>
      <c r="AJ962" t="s">
        <v>111</v>
      </c>
      <c r="AK962" t="s">
        <v>111</v>
      </c>
      <c r="AL962" t="s">
        <v>111</v>
      </c>
      <c r="AM962">
        <v>0</v>
      </c>
      <c r="AN962">
        <v>0</v>
      </c>
      <c r="AO962">
        <v>0</v>
      </c>
      <c r="AP962" t="s">
        <v>259</v>
      </c>
      <c r="AQ962" t="s">
        <v>111</v>
      </c>
      <c r="AR962" t="s">
        <v>111</v>
      </c>
      <c r="AS962" t="s">
        <v>111</v>
      </c>
      <c r="AT962" t="s">
        <v>111</v>
      </c>
      <c r="AU962" t="s">
        <v>111</v>
      </c>
      <c r="AV962" t="s">
        <v>111</v>
      </c>
      <c r="AW962" t="s">
        <v>111</v>
      </c>
      <c r="AX962" t="s">
        <v>111</v>
      </c>
      <c r="AY962" t="s">
        <v>111</v>
      </c>
      <c r="AZ962" t="s">
        <v>111</v>
      </c>
      <c r="BA962" t="s">
        <v>111</v>
      </c>
      <c r="BB962" t="s">
        <v>111</v>
      </c>
      <c r="BC962" t="s">
        <v>111</v>
      </c>
      <c r="BD962" t="s">
        <v>111</v>
      </c>
      <c r="BE962" t="s">
        <v>111</v>
      </c>
      <c r="BF962" t="s">
        <v>111</v>
      </c>
      <c r="BG962" t="s">
        <v>111</v>
      </c>
      <c r="BH962" t="s">
        <v>111</v>
      </c>
      <c r="BI962" t="s">
        <v>111</v>
      </c>
      <c r="BJ962" t="s">
        <v>111</v>
      </c>
      <c r="BK962" t="s">
        <v>111</v>
      </c>
      <c r="BL962" t="s">
        <v>111</v>
      </c>
      <c r="BM962" t="s">
        <v>111</v>
      </c>
      <c r="BN962" t="s">
        <v>111</v>
      </c>
      <c r="BO962" t="s">
        <v>111</v>
      </c>
      <c r="BP962" t="s">
        <v>111</v>
      </c>
      <c r="BQ962" t="s">
        <v>111</v>
      </c>
      <c r="BR962" t="s">
        <v>111</v>
      </c>
      <c r="BS962" t="s">
        <v>111</v>
      </c>
      <c r="BT962" t="s">
        <v>111</v>
      </c>
      <c r="BU962" t="s">
        <v>111</v>
      </c>
      <c r="BV962" t="s">
        <v>111</v>
      </c>
      <c r="BW962" t="s">
        <v>111</v>
      </c>
      <c r="BX962" t="s">
        <v>111</v>
      </c>
      <c r="BY962" t="s">
        <v>111</v>
      </c>
      <c r="BZ962" t="s">
        <v>111</v>
      </c>
      <c r="CA962" t="s">
        <v>111</v>
      </c>
      <c r="CB962" t="s">
        <v>111</v>
      </c>
      <c r="CC962" t="s">
        <v>111</v>
      </c>
      <c r="CD962" t="s">
        <v>111</v>
      </c>
      <c r="CE962" t="s">
        <v>111</v>
      </c>
      <c r="CF962" t="s">
        <v>111</v>
      </c>
      <c r="CG962" t="s">
        <v>111</v>
      </c>
      <c r="CH962" t="s">
        <v>111</v>
      </c>
      <c r="CI962" t="s">
        <v>111</v>
      </c>
      <c r="CJ962" t="s">
        <v>111</v>
      </c>
      <c r="CK962" t="s">
        <v>111</v>
      </c>
      <c r="CL962" t="s">
        <v>153</v>
      </c>
      <c r="CM962" t="s">
        <v>198</v>
      </c>
      <c r="CN962" t="s">
        <v>113</v>
      </c>
      <c r="CO962" t="s">
        <v>111</v>
      </c>
      <c r="CP962" t="s">
        <v>111</v>
      </c>
      <c r="CQ962">
        <v>0</v>
      </c>
      <c r="CR962">
        <v>0</v>
      </c>
      <c r="CS962">
        <v>0</v>
      </c>
      <c r="CT962" s="1" t="s">
        <v>3088</v>
      </c>
      <c r="CU962">
        <v>0</v>
      </c>
      <c r="CV962" t="s">
        <v>111</v>
      </c>
      <c r="CW962" t="s">
        <v>111</v>
      </c>
      <c r="CX962" t="s">
        <v>111</v>
      </c>
      <c r="CY962">
        <v>0</v>
      </c>
      <c r="CZ962" t="s">
        <v>111</v>
      </c>
      <c r="DA962" t="s">
        <v>111</v>
      </c>
      <c r="DB962" t="s">
        <v>111</v>
      </c>
      <c r="DC962" t="s">
        <v>111</v>
      </c>
    </row>
    <row r="963" spans="1:107">
      <c r="A963">
        <v>447</v>
      </c>
      <c r="B963" t="s">
        <v>162</v>
      </c>
      <c r="C963" t="s">
        <v>1508</v>
      </c>
      <c r="D963" t="s">
        <v>1530</v>
      </c>
      <c r="E963" t="s">
        <v>3089</v>
      </c>
      <c r="F963" t="s">
        <v>431</v>
      </c>
      <c r="G963" t="s">
        <v>416</v>
      </c>
      <c r="H963">
        <v>4</v>
      </c>
      <c r="I963">
        <v>48</v>
      </c>
      <c r="J963">
        <v>0</v>
      </c>
      <c r="K963">
        <v>0</v>
      </c>
      <c r="L963" t="s">
        <v>117</v>
      </c>
      <c r="M963" t="s">
        <v>118</v>
      </c>
      <c r="N963">
        <v>40</v>
      </c>
      <c r="O963">
        <v>2</v>
      </c>
      <c r="P963" t="s">
        <v>138</v>
      </c>
      <c r="Q963">
        <v>40</v>
      </c>
      <c r="R963">
        <v>0</v>
      </c>
      <c r="S963">
        <v>0</v>
      </c>
      <c r="T963">
        <v>0</v>
      </c>
      <c r="U963" t="s">
        <v>1353</v>
      </c>
      <c r="V963">
        <v>0</v>
      </c>
      <c r="W963">
        <v>25</v>
      </c>
      <c r="X963">
        <v>8</v>
      </c>
      <c r="Y963">
        <v>0</v>
      </c>
      <c r="Z963" t="s">
        <v>288</v>
      </c>
      <c r="AA963">
        <v>1.98</v>
      </c>
      <c r="AB963" t="s">
        <v>111</v>
      </c>
      <c r="AC963">
        <v>0</v>
      </c>
      <c r="AD963" t="s">
        <v>416</v>
      </c>
      <c r="AE963">
        <v>3</v>
      </c>
      <c r="AF963">
        <v>1</v>
      </c>
      <c r="AG963">
        <v>20</v>
      </c>
      <c r="AH963" t="s">
        <v>111</v>
      </c>
      <c r="AI963">
        <v>40</v>
      </c>
      <c r="AJ963" t="s">
        <v>111</v>
      </c>
      <c r="AK963" t="s">
        <v>111</v>
      </c>
      <c r="AL963" t="s">
        <v>111</v>
      </c>
      <c r="AM963">
        <v>0</v>
      </c>
      <c r="AN963">
        <v>0</v>
      </c>
      <c r="AO963">
        <v>0</v>
      </c>
      <c r="AP963" t="s">
        <v>188</v>
      </c>
      <c r="AQ963" t="s">
        <v>111</v>
      </c>
      <c r="AR963" t="s">
        <v>111</v>
      </c>
      <c r="AS963" t="s">
        <v>111</v>
      </c>
      <c r="AT963" t="s">
        <v>2705</v>
      </c>
      <c r="AU963" t="s">
        <v>111</v>
      </c>
      <c r="AV963" t="s">
        <v>111</v>
      </c>
      <c r="AW963" t="s">
        <v>111</v>
      </c>
      <c r="AX963" t="s">
        <v>259</v>
      </c>
      <c r="AY963" t="s">
        <v>111</v>
      </c>
      <c r="AZ963" t="s">
        <v>111</v>
      </c>
      <c r="BA963" t="s">
        <v>111</v>
      </c>
      <c r="BB963" t="s">
        <v>111</v>
      </c>
      <c r="BC963" t="s">
        <v>111</v>
      </c>
      <c r="BD963" t="s">
        <v>111</v>
      </c>
      <c r="BE963" t="s">
        <v>111</v>
      </c>
      <c r="BF963" t="s">
        <v>111</v>
      </c>
      <c r="BG963" t="s">
        <v>111</v>
      </c>
      <c r="BH963" t="s">
        <v>111</v>
      </c>
      <c r="BI963" t="s">
        <v>111</v>
      </c>
      <c r="BJ963" t="s">
        <v>111</v>
      </c>
      <c r="BK963" t="s">
        <v>111</v>
      </c>
      <c r="BL963" t="s">
        <v>111</v>
      </c>
      <c r="BM963" t="s">
        <v>111</v>
      </c>
      <c r="BN963" t="s">
        <v>111</v>
      </c>
      <c r="BO963" t="s">
        <v>111</v>
      </c>
      <c r="BP963" t="s">
        <v>111</v>
      </c>
      <c r="BQ963" t="s">
        <v>111</v>
      </c>
      <c r="BR963" t="s">
        <v>111</v>
      </c>
      <c r="BS963" t="s">
        <v>111</v>
      </c>
      <c r="BT963" t="s">
        <v>111</v>
      </c>
      <c r="BU963" t="s">
        <v>111</v>
      </c>
      <c r="BV963" t="s">
        <v>111</v>
      </c>
      <c r="BW963" t="s">
        <v>111</v>
      </c>
      <c r="BX963" t="s">
        <v>111</v>
      </c>
      <c r="BY963" t="s">
        <v>111</v>
      </c>
      <c r="BZ963" t="s">
        <v>111</v>
      </c>
      <c r="CA963" t="s">
        <v>111</v>
      </c>
      <c r="CB963" t="s">
        <v>111</v>
      </c>
      <c r="CC963" t="s">
        <v>111</v>
      </c>
      <c r="CD963" t="s">
        <v>111</v>
      </c>
      <c r="CE963" t="s">
        <v>111</v>
      </c>
      <c r="CF963" t="s">
        <v>111</v>
      </c>
      <c r="CG963" t="s">
        <v>111</v>
      </c>
      <c r="CH963" t="s">
        <v>111</v>
      </c>
      <c r="CI963" t="s">
        <v>111</v>
      </c>
      <c r="CJ963" t="s">
        <v>111</v>
      </c>
      <c r="CK963" t="s">
        <v>111</v>
      </c>
      <c r="CL963" t="s">
        <v>153</v>
      </c>
      <c r="CM963" t="s">
        <v>198</v>
      </c>
      <c r="CN963" t="s">
        <v>113</v>
      </c>
      <c r="CO963" t="s">
        <v>111</v>
      </c>
      <c r="CP963" t="s">
        <v>433</v>
      </c>
      <c r="CQ963">
        <v>0</v>
      </c>
      <c r="CR963">
        <v>0</v>
      </c>
      <c r="CS963">
        <v>0</v>
      </c>
      <c r="CT963" t="s">
        <v>2850</v>
      </c>
      <c r="CU963">
        <v>0</v>
      </c>
      <c r="CV963" t="s">
        <v>111</v>
      </c>
      <c r="CW963" t="s">
        <v>111</v>
      </c>
      <c r="CX963" t="s">
        <v>111</v>
      </c>
      <c r="CY963">
        <v>0</v>
      </c>
      <c r="CZ963" t="s">
        <v>111</v>
      </c>
      <c r="DA963" t="s">
        <v>111</v>
      </c>
      <c r="DB963" t="s">
        <v>204</v>
      </c>
      <c r="DC963" s="1" t="s">
        <v>3090</v>
      </c>
    </row>
    <row r="964" spans="1:107">
      <c r="A964">
        <v>445</v>
      </c>
      <c r="B964" t="s">
        <v>162</v>
      </c>
      <c r="C964" t="s">
        <v>3091</v>
      </c>
      <c r="D964" t="s">
        <v>3092</v>
      </c>
      <c r="E964" t="s">
        <v>3093</v>
      </c>
      <c r="F964" t="s">
        <v>739</v>
      </c>
      <c r="G964" t="s">
        <v>416</v>
      </c>
      <c r="H964">
        <v>2</v>
      </c>
      <c r="I964">
        <v>38</v>
      </c>
      <c r="J964">
        <v>0</v>
      </c>
      <c r="K964">
        <v>0</v>
      </c>
      <c r="L964" t="s">
        <v>178</v>
      </c>
      <c r="M964" t="s">
        <v>118</v>
      </c>
      <c r="N964">
        <v>40</v>
      </c>
      <c r="O964">
        <v>2</v>
      </c>
      <c r="P964" t="s">
        <v>138</v>
      </c>
      <c r="Q964">
        <v>40</v>
      </c>
      <c r="R964">
        <v>0</v>
      </c>
      <c r="S964">
        <v>0</v>
      </c>
      <c r="T964">
        <v>0</v>
      </c>
      <c r="U964" t="s">
        <v>1353</v>
      </c>
      <c r="V964">
        <v>0</v>
      </c>
      <c r="W964">
        <v>25</v>
      </c>
      <c r="X964">
        <v>6</v>
      </c>
      <c r="Y964">
        <v>0</v>
      </c>
      <c r="Z964" t="s">
        <v>288</v>
      </c>
      <c r="AA964">
        <v>1.55</v>
      </c>
      <c r="AB964" t="s">
        <v>111</v>
      </c>
      <c r="AC964">
        <v>0</v>
      </c>
      <c r="AD964" t="s">
        <v>416</v>
      </c>
      <c r="AE964">
        <v>1</v>
      </c>
      <c r="AF964">
        <v>2</v>
      </c>
      <c r="AG964">
        <v>25</v>
      </c>
      <c r="AH964" t="s">
        <v>111</v>
      </c>
      <c r="AI964">
        <v>25</v>
      </c>
      <c r="AJ964" t="s">
        <v>111</v>
      </c>
      <c r="AK964" t="s">
        <v>111</v>
      </c>
      <c r="AL964" t="s">
        <v>111</v>
      </c>
      <c r="AM964">
        <v>0</v>
      </c>
      <c r="AN964">
        <v>0</v>
      </c>
      <c r="AO964">
        <v>0</v>
      </c>
      <c r="AP964" t="s">
        <v>271</v>
      </c>
      <c r="AQ964" t="s">
        <v>111</v>
      </c>
      <c r="AR964" t="s">
        <v>111</v>
      </c>
      <c r="AS964" t="s">
        <v>111</v>
      </c>
      <c r="AT964" t="s">
        <v>111</v>
      </c>
      <c r="AU964" t="s">
        <v>111</v>
      </c>
      <c r="AV964" t="s">
        <v>111</v>
      </c>
      <c r="AW964" t="s">
        <v>111</v>
      </c>
      <c r="AX964" t="s">
        <v>111</v>
      </c>
      <c r="AY964" t="s">
        <v>111</v>
      </c>
      <c r="AZ964" t="s">
        <v>111</v>
      </c>
      <c r="BA964" t="s">
        <v>111</v>
      </c>
      <c r="BB964" t="s">
        <v>111</v>
      </c>
      <c r="BC964" t="s">
        <v>111</v>
      </c>
      <c r="BD964" t="s">
        <v>111</v>
      </c>
      <c r="BE964" t="s">
        <v>111</v>
      </c>
      <c r="BF964" t="s">
        <v>111</v>
      </c>
      <c r="BG964" t="s">
        <v>111</v>
      </c>
      <c r="BH964" t="s">
        <v>111</v>
      </c>
      <c r="BI964" t="s">
        <v>111</v>
      </c>
      <c r="BJ964" t="s">
        <v>111</v>
      </c>
      <c r="BK964" t="s">
        <v>111</v>
      </c>
      <c r="BL964" t="s">
        <v>111</v>
      </c>
      <c r="BM964" t="s">
        <v>111</v>
      </c>
      <c r="BN964" t="s">
        <v>111</v>
      </c>
      <c r="BO964" t="s">
        <v>111</v>
      </c>
      <c r="BP964" t="s">
        <v>111</v>
      </c>
      <c r="BQ964" t="s">
        <v>111</v>
      </c>
      <c r="BR964" t="s">
        <v>111</v>
      </c>
      <c r="BS964" t="s">
        <v>111</v>
      </c>
      <c r="BT964" t="s">
        <v>111</v>
      </c>
      <c r="BU964" t="s">
        <v>111</v>
      </c>
      <c r="BV964" t="s">
        <v>111</v>
      </c>
      <c r="BW964" t="s">
        <v>111</v>
      </c>
      <c r="BX964" t="s">
        <v>111</v>
      </c>
      <c r="BY964" t="s">
        <v>111</v>
      </c>
      <c r="BZ964" t="s">
        <v>111</v>
      </c>
      <c r="CA964" t="s">
        <v>111</v>
      </c>
      <c r="CB964" t="s">
        <v>111</v>
      </c>
      <c r="CC964" t="s">
        <v>111</v>
      </c>
      <c r="CD964" t="s">
        <v>111</v>
      </c>
      <c r="CE964" t="s">
        <v>111</v>
      </c>
      <c r="CF964" t="s">
        <v>111</v>
      </c>
      <c r="CG964" t="s">
        <v>111</v>
      </c>
      <c r="CH964" t="s">
        <v>111</v>
      </c>
      <c r="CI964" t="s">
        <v>111</v>
      </c>
      <c r="CJ964" t="s">
        <v>111</v>
      </c>
      <c r="CK964" t="s">
        <v>111</v>
      </c>
      <c r="CL964" t="s">
        <v>153</v>
      </c>
      <c r="CM964" t="s">
        <v>198</v>
      </c>
      <c r="CN964" t="s">
        <v>113</v>
      </c>
      <c r="CO964" t="s">
        <v>111</v>
      </c>
      <c r="CP964" t="s">
        <v>433</v>
      </c>
      <c r="CQ964">
        <v>0</v>
      </c>
      <c r="CR964">
        <v>0</v>
      </c>
      <c r="CS964">
        <v>0</v>
      </c>
      <c r="CT964" t="s">
        <v>2890</v>
      </c>
      <c r="CU964">
        <v>0</v>
      </c>
      <c r="CV964" t="s">
        <v>111</v>
      </c>
      <c r="CW964" t="s">
        <v>111</v>
      </c>
      <c r="CX964" t="s">
        <v>111</v>
      </c>
      <c r="CY964">
        <v>0</v>
      </c>
      <c r="CZ964" t="s">
        <v>111</v>
      </c>
      <c r="DA964" t="s">
        <v>111</v>
      </c>
      <c r="DB964" t="s">
        <v>240</v>
      </c>
      <c r="DC964" s="1" t="s">
        <v>3094</v>
      </c>
    </row>
    <row r="965" spans="1:107">
      <c r="A965">
        <v>780</v>
      </c>
      <c r="B965" t="s">
        <v>107</v>
      </c>
      <c r="C965" t="s">
        <v>336</v>
      </c>
      <c r="D965" t="s">
        <v>3095</v>
      </c>
      <c r="E965" t="s">
        <v>3096</v>
      </c>
      <c r="F965" t="s">
        <v>125</v>
      </c>
      <c r="G965" t="s">
        <v>416</v>
      </c>
      <c r="H965">
        <v>1.8</v>
      </c>
      <c r="I965">
        <v>60</v>
      </c>
      <c r="J965">
        <v>0</v>
      </c>
      <c r="K965">
        <v>0</v>
      </c>
      <c r="L965" t="s">
        <v>112</v>
      </c>
      <c r="M965" t="s">
        <v>138</v>
      </c>
      <c r="N965">
        <v>0</v>
      </c>
      <c r="O965">
        <v>0</v>
      </c>
      <c r="P965" t="s">
        <v>138</v>
      </c>
      <c r="Q965">
        <v>50</v>
      </c>
      <c r="R965">
        <v>0</v>
      </c>
      <c r="S965">
        <v>0</v>
      </c>
      <c r="T965">
        <v>0</v>
      </c>
      <c r="U965" s="1" t="s">
        <v>3097</v>
      </c>
      <c r="V965">
        <v>25</v>
      </c>
      <c r="W965">
        <v>0</v>
      </c>
      <c r="X965">
        <v>10</v>
      </c>
      <c r="Y965">
        <v>0</v>
      </c>
      <c r="Z965" t="s">
        <v>111</v>
      </c>
      <c r="AA965">
        <v>0</v>
      </c>
      <c r="AB965" t="s">
        <v>111</v>
      </c>
      <c r="AC965">
        <v>0</v>
      </c>
      <c r="AD965" t="s">
        <v>111</v>
      </c>
      <c r="AE965">
        <v>0</v>
      </c>
      <c r="AF965">
        <v>0</v>
      </c>
      <c r="AG965" t="s">
        <v>111</v>
      </c>
      <c r="AH965" t="s">
        <v>111</v>
      </c>
      <c r="AI965" t="s">
        <v>111</v>
      </c>
      <c r="AJ965" t="s">
        <v>111</v>
      </c>
      <c r="AK965" t="s">
        <v>111</v>
      </c>
      <c r="AL965" t="s">
        <v>111</v>
      </c>
      <c r="AM965">
        <v>0</v>
      </c>
      <c r="AN965">
        <v>0</v>
      </c>
      <c r="AO965">
        <v>0</v>
      </c>
      <c r="AP965" t="s">
        <v>111</v>
      </c>
      <c r="AQ965" t="s">
        <v>111</v>
      </c>
      <c r="AR965" t="s">
        <v>111</v>
      </c>
      <c r="AS965" t="s">
        <v>111</v>
      </c>
      <c r="AT965" t="s">
        <v>111</v>
      </c>
      <c r="AU965" t="s">
        <v>111</v>
      </c>
      <c r="AV965" t="s">
        <v>111</v>
      </c>
      <c r="AW965" t="s">
        <v>111</v>
      </c>
      <c r="AX965" t="s">
        <v>111</v>
      </c>
      <c r="AY965" t="s">
        <v>111</v>
      </c>
      <c r="AZ965" t="s">
        <v>111</v>
      </c>
      <c r="BA965" t="s">
        <v>111</v>
      </c>
      <c r="BB965" t="s">
        <v>111</v>
      </c>
      <c r="BC965" t="s">
        <v>111</v>
      </c>
      <c r="BD965" t="s">
        <v>111</v>
      </c>
      <c r="BE965" t="s">
        <v>111</v>
      </c>
      <c r="BF965" t="s">
        <v>111</v>
      </c>
      <c r="BG965" t="s">
        <v>111</v>
      </c>
      <c r="BH965" t="s">
        <v>111</v>
      </c>
      <c r="BI965" t="s">
        <v>111</v>
      </c>
      <c r="BJ965" t="s">
        <v>111</v>
      </c>
      <c r="BK965" t="s">
        <v>111</v>
      </c>
      <c r="BL965" t="s">
        <v>111</v>
      </c>
      <c r="BM965" t="s">
        <v>111</v>
      </c>
      <c r="BN965" t="s">
        <v>111</v>
      </c>
      <c r="BO965" t="s">
        <v>111</v>
      </c>
      <c r="BP965" t="s">
        <v>111</v>
      </c>
      <c r="BQ965" t="s">
        <v>111</v>
      </c>
      <c r="BR965" t="s">
        <v>111</v>
      </c>
      <c r="BS965" t="s">
        <v>111</v>
      </c>
      <c r="BT965" t="s">
        <v>111</v>
      </c>
      <c r="BU965" t="s">
        <v>111</v>
      </c>
      <c r="BV965" t="s">
        <v>111</v>
      </c>
      <c r="BW965" t="s">
        <v>111</v>
      </c>
      <c r="BX965" t="s">
        <v>111</v>
      </c>
      <c r="BY965" t="s">
        <v>111</v>
      </c>
      <c r="BZ965" t="s">
        <v>111</v>
      </c>
      <c r="CA965" t="s">
        <v>111</v>
      </c>
      <c r="CB965" t="s">
        <v>111</v>
      </c>
      <c r="CC965" t="s">
        <v>111</v>
      </c>
      <c r="CD965" t="s">
        <v>111</v>
      </c>
      <c r="CE965" t="s">
        <v>111</v>
      </c>
      <c r="CF965" t="s">
        <v>111</v>
      </c>
      <c r="CG965" t="s">
        <v>111</v>
      </c>
      <c r="CH965" t="s">
        <v>111</v>
      </c>
      <c r="CI965" t="s">
        <v>111</v>
      </c>
      <c r="CJ965" t="s">
        <v>111</v>
      </c>
      <c r="CK965" t="s">
        <v>111</v>
      </c>
      <c r="CL965" t="s">
        <v>111</v>
      </c>
      <c r="CM965" t="s">
        <v>111</v>
      </c>
      <c r="CN965" t="s">
        <v>111</v>
      </c>
      <c r="CO965" t="s">
        <v>111</v>
      </c>
      <c r="CP965" t="s">
        <v>111</v>
      </c>
      <c r="CQ965">
        <v>0</v>
      </c>
      <c r="CR965">
        <v>200</v>
      </c>
      <c r="CS965">
        <v>20</v>
      </c>
      <c r="CT965" t="s">
        <v>111</v>
      </c>
      <c r="CU965">
        <v>0</v>
      </c>
      <c r="CV965" t="s">
        <v>111</v>
      </c>
      <c r="CW965" t="s">
        <v>111</v>
      </c>
      <c r="CX965" t="s">
        <v>111</v>
      </c>
      <c r="CY965">
        <v>0</v>
      </c>
      <c r="CZ965" t="s">
        <v>111</v>
      </c>
      <c r="DA965" t="s">
        <v>111</v>
      </c>
      <c r="DB965" t="s">
        <v>240</v>
      </c>
      <c r="DC965" s="1" t="s">
        <v>241</v>
      </c>
    </row>
    <row r="966" spans="1:107">
      <c r="A966">
        <v>444</v>
      </c>
      <c r="B966" t="s">
        <v>162</v>
      </c>
      <c r="C966" t="s">
        <v>2880</v>
      </c>
      <c r="D966" t="s">
        <v>3098</v>
      </c>
      <c r="E966" t="s">
        <v>3099</v>
      </c>
      <c r="F966" t="s">
        <v>431</v>
      </c>
      <c r="G966" t="s">
        <v>416</v>
      </c>
      <c r="H966">
        <v>1.5</v>
      </c>
      <c r="I966">
        <v>64</v>
      </c>
      <c r="J966">
        <v>0</v>
      </c>
      <c r="K966">
        <v>0</v>
      </c>
      <c r="L966" t="s">
        <v>117</v>
      </c>
      <c r="M966" t="s">
        <v>118</v>
      </c>
      <c r="N966">
        <v>40</v>
      </c>
      <c r="O966">
        <v>1</v>
      </c>
      <c r="P966" t="s">
        <v>138</v>
      </c>
      <c r="Q966">
        <v>40</v>
      </c>
      <c r="R966">
        <v>0</v>
      </c>
      <c r="S966">
        <v>0</v>
      </c>
      <c r="T966">
        <v>0</v>
      </c>
      <c r="U966" t="s">
        <v>1353</v>
      </c>
      <c r="V966">
        <v>0</v>
      </c>
      <c r="W966">
        <v>25</v>
      </c>
      <c r="X966">
        <v>8</v>
      </c>
      <c r="Y966">
        <v>0</v>
      </c>
      <c r="Z966" t="s">
        <v>111</v>
      </c>
      <c r="AA966">
        <v>0</v>
      </c>
      <c r="AB966" t="s">
        <v>111</v>
      </c>
      <c r="AC966">
        <v>0</v>
      </c>
      <c r="AD966" t="s">
        <v>416</v>
      </c>
      <c r="AE966">
        <v>3</v>
      </c>
      <c r="AF966">
        <v>1</v>
      </c>
      <c r="AG966">
        <v>25</v>
      </c>
      <c r="AH966" t="s">
        <v>111</v>
      </c>
      <c r="AI966">
        <v>50</v>
      </c>
      <c r="AJ966" t="s">
        <v>111</v>
      </c>
      <c r="AK966" t="s">
        <v>111</v>
      </c>
      <c r="AL966" t="s">
        <v>111</v>
      </c>
      <c r="AM966">
        <v>0</v>
      </c>
      <c r="AN966">
        <v>0</v>
      </c>
      <c r="AO966">
        <v>0</v>
      </c>
      <c r="AP966" t="s">
        <v>111</v>
      </c>
      <c r="AQ966" t="s">
        <v>111</v>
      </c>
      <c r="AR966" t="s">
        <v>111</v>
      </c>
      <c r="AS966" t="s">
        <v>111</v>
      </c>
      <c r="AT966" t="s">
        <v>111</v>
      </c>
      <c r="AU966" t="s">
        <v>111</v>
      </c>
      <c r="AV966" t="s">
        <v>111</v>
      </c>
      <c r="AW966" t="s">
        <v>111</v>
      </c>
      <c r="AX966" t="s">
        <v>111</v>
      </c>
      <c r="AY966" t="s">
        <v>111</v>
      </c>
      <c r="AZ966" t="s">
        <v>111</v>
      </c>
      <c r="BA966" t="s">
        <v>111</v>
      </c>
      <c r="BB966" t="s">
        <v>111</v>
      </c>
      <c r="BC966" t="s">
        <v>111</v>
      </c>
      <c r="BD966" t="s">
        <v>111</v>
      </c>
      <c r="BE966" t="s">
        <v>111</v>
      </c>
      <c r="BF966" t="s">
        <v>111</v>
      </c>
      <c r="BG966" t="s">
        <v>111</v>
      </c>
      <c r="BH966" t="s">
        <v>111</v>
      </c>
      <c r="BI966" t="s">
        <v>111</v>
      </c>
      <c r="BJ966" t="s">
        <v>111</v>
      </c>
      <c r="BK966" t="s">
        <v>111</v>
      </c>
      <c r="BL966" t="s">
        <v>111</v>
      </c>
      <c r="BM966" t="s">
        <v>111</v>
      </c>
      <c r="BN966" t="s">
        <v>111</v>
      </c>
      <c r="BO966" t="s">
        <v>111</v>
      </c>
      <c r="BP966" t="s">
        <v>111</v>
      </c>
      <c r="BQ966" t="s">
        <v>111</v>
      </c>
      <c r="BR966" t="s">
        <v>111</v>
      </c>
      <c r="BS966" t="s">
        <v>111</v>
      </c>
      <c r="BT966" t="s">
        <v>111</v>
      </c>
      <c r="BU966" t="s">
        <v>111</v>
      </c>
      <c r="BV966" t="s">
        <v>111</v>
      </c>
      <c r="BW966" t="s">
        <v>111</v>
      </c>
      <c r="BX966" t="s">
        <v>111</v>
      </c>
      <c r="BY966" t="s">
        <v>111</v>
      </c>
      <c r="BZ966" t="s">
        <v>111</v>
      </c>
      <c r="CA966" t="s">
        <v>111</v>
      </c>
      <c r="CB966" t="s">
        <v>111</v>
      </c>
      <c r="CC966" t="s">
        <v>111</v>
      </c>
      <c r="CD966" t="s">
        <v>111</v>
      </c>
      <c r="CE966" t="s">
        <v>111</v>
      </c>
      <c r="CF966" t="s">
        <v>111</v>
      </c>
      <c r="CG966" t="s">
        <v>111</v>
      </c>
      <c r="CH966" t="s">
        <v>111</v>
      </c>
      <c r="CI966" t="s">
        <v>111</v>
      </c>
      <c r="CJ966" t="s">
        <v>111</v>
      </c>
      <c r="CK966" t="s">
        <v>111</v>
      </c>
      <c r="CL966" t="s">
        <v>153</v>
      </c>
      <c r="CM966" t="s">
        <v>198</v>
      </c>
      <c r="CN966" t="s">
        <v>113</v>
      </c>
      <c r="CO966" t="s">
        <v>508</v>
      </c>
      <c r="CP966" t="s">
        <v>433</v>
      </c>
      <c r="CQ966">
        <v>0</v>
      </c>
      <c r="CR966">
        <v>0</v>
      </c>
      <c r="CS966">
        <v>0</v>
      </c>
      <c r="CT966" t="s">
        <v>168</v>
      </c>
      <c r="CU966">
        <v>0</v>
      </c>
      <c r="CV966" t="s">
        <v>111</v>
      </c>
      <c r="CW966" t="s">
        <v>111</v>
      </c>
      <c r="CX966" t="s">
        <v>111</v>
      </c>
      <c r="CY966">
        <v>0</v>
      </c>
      <c r="CZ966" t="s">
        <v>111</v>
      </c>
      <c r="DA966" t="s">
        <v>111</v>
      </c>
      <c r="DB966" t="s">
        <v>111</v>
      </c>
      <c r="DC966" t="s">
        <v>111</v>
      </c>
    </row>
    <row r="967" spans="1:107">
      <c r="A967">
        <v>74</v>
      </c>
      <c r="B967" t="s">
        <v>162</v>
      </c>
      <c r="C967" t="s">
        <v>928</v>
      </c>
      <c r="D967" t="s">
        <v>3100</v>
      </c>
      <c r="E967" t="s">
        <v>3101</v>
      </c>
      <c r="F967" t="s">
        <v>125</v>
      </c>
      <c r="G967" t="s">
        <v>416</v>
      </c>
      <c r="H967">
        <v>0.9</v>
      </c>
      <c r="I967">
        <v>42</v>
      </c>
      <c r="J967">
        <v>0</v>
      </c>
      <c r="K967">
        <v>0</v>
      </c>
      <c r="L967" t="s">
        <v>112</v>
      </c>
      <c r="M967" t="s">
        <v>138</v>
      </c>
      <c r="N967">
        <v>0</v>
      </c>
      <c r="O967">
        <v>0</v>
      </c>
      <c r="P967" t="s">
        <v>138</v>
      </c>
      <c r="Q967">
        <v>35</v>
      </c>
      <c r="R967">
        <v>0</v>
      </c>
      <c r="S967">
        <v>0</v>
      </c>
      <c r="T967">
        <v>0</v>
      </c>
      <c r="U967" t="s">
        <v>168</v>
      </c>
      <c r="V967">
        <v>25</v>
      </c>
      <c r="W967">
        <v>0</v>
      </c>
      <c r="X967">
        <v>8</v>
      </c>
      <c r="Y967">
        <v>0</v>
      </c>
      <c r="Z967" t="s">
        <v>111</v>
      </c>
      <c r="AA967">
        <v>0</v>
      </c>
      <c r="AB967" t="s">
        <v>111</v>
      </c>
      <c r="AC967">
        <v>0</v>
      </c>
      <c r="AD967" t="s">
        <v>111</v>
      </c>
      <c r="AE967">
        <v>0</v>
      </c>
      <c r="AF967">
        <v>0</v>
      </c>
      <c r="AG967" t="s">
        <v>111</v>
      </c>
      <c r="AH967" t="s">
        <v>111</v>
      </c>
      <c r="AI967" t="s">
        <v>111</v>
      </c>
      <c r="AJ967" t="s">
        <v>111</v>
      </c>
      <c r="AK967" t="s">
        <v>111</v>
      </c>
      <c r="AL967" t="s">
        <v>111</v>
      </c>
      <c r="AM967">
        <v>0</v>
      </c>
      <c r="AN967">
        <v>0</v>
      </c>
      <c r="AO967">
        <v>0</v>
      </c>
      <c r="AP967" t="s">
        <v>111</v>
      </c>
      <c r="AQ967" t="s">
        <v>111</v>
      </c>
      <c r="AR967" t="s">
        <v>111</v>
      </c>
      <c r="AS967" t="s">
        <v>111</v>
      </c>
      <c r="AT967" t="s">
        <v>111</v>
      </c>
      <c r="AU967" t="s">
        <v>111</v>
      </c>
      <c r="AV967" t="s">
        <v>111</v>
      </c>
      <c r="AW967" t="s">
        <v>111</v>
      </c>
      <c r="AX967" t="s">
        <v>111</v>
      </c>
      <c r="AY967" t="s">
        <v>111</v>
      </c>
      <c r="AZ967" t="s">
        <v>111</v>
      </c>
      <c r="BA967" t="s">
        <v>111</v>
      </c>
      <c r="BB967" t="s">
        <v>111</v>
      </c>
      <c r="BC967" t="s">
        <v>111</v>
      </c>
      <c r="BD967" t="s">
        <v>111</v>
      </c>
      <c r="BE967" t="s">
        <v>111</v>
      </c>
      <c r="BF967" t="s">
        <v>111</v>
      </c>
      <c r="BG967" t="s">
        <v>111</v>
      </c>
      <c r="BH967" t="s">
        <v>111</v>
      </c>
      <c r="BI967" t="s">
        <v>111</v>
      </c>
      <c r="BJ967" t="s">
        <v>111</v>
      </c>
      <c r="BK967" t="s">
        <v>111</v>
      </c>
      <c r="BL967" t="s">
        <v>111</v>
      </c>
      <c r="BM967" t="s">
        <v>111</v>
      </c>
      <c r="BN967" t="s">
        <v>111</v>
      </c>
      <c r="BO967" t="s">
        <v>111</v>
      </c>
      <c r="BP967" t="s">
        <v>111</v>
      </c>
      <c r="BQ967" t="s">
        <v>111</v>
      </c>
      <c r="BR967" t="s">
        <v>111</v>
      </c>
      <c r="BS967" t="s">
        <v>111</v>
      </c>
      <c r="BT967" t="s">
        <v>111</v>
      </c>
      <c r="BU967" t="s">
        <v>111</v>
      </c>
      <c r="BV967" t="s">
        <v>111</v>
      </c>
      <c r="BW967" t="s">
        <v>111</v>
      </c>
      <c r="BX967" t="s">
        <v>111</v>
      </c>
      <c r="BY967" t="s">
        <v>111</v>
      </c>
      <c r="BZ967" t="s">
        <v>111</v>
      </c>
      <c r="CA967" t="s">
        <v>111</v>
      </c>
      <c r="CB967" t="s">
        <v>111</v>
      </c>
      <c r="CC967" t="s">
        <v>111</v>
      </c>
      <c r="CD967" t="s">
        <v>111</v>
      </c>
      <c r="CE967" t="s">
        <v>111</v>
      </c>
      <c r="CF967" t="s">
        <v>111</v>
      </c>
      <c r="CG967" t="s">
        <v>111</v>
      </c>
      <c r="CH967" t="s">
        <v>111</v>
      </c>
      <c r="CI967" t="s">
        <v>111</v>
      </c>
      <c r="CJ967" t="s">
        <v>111</v>
      </c>
      <c r="CK967" t="s">
        <v>111</v>
      </c>
      <c r="CL967" t="s">
        <v>111</v>
      </c>
      <c r="CM967" t="s">
        <v>198</v>
      </c>
      <c r="CN967" t="s">
        <v>113</v>
      </c>
      <c r="CO967" t="s">
        <v>111</v>
      </c>
      <c r="CP967" t="s">
        <v>111</v>
      </c>
      <c r="CQ967">
        <v>0</v>
      </c>
      <c r="CR967">
        <v>5000</v>
      </c>
      <c r="CS967">
        <v>250</v>
      </c>
      <c r="CT967" t="s">
        <v>168</v>
      </c>
      <c r="CU967">
        <v>0</v>
      </c>
      <c r="CV967" t="s">
        <v>111</v>
      </c>
      <c r="CW967" t="s">
        <v>111</v>
      </c>
      <c r="CX967" t="s">
        <v>111</v>
      </c>
      <c r="CY967">
        <v>0</v>
      </c>
      <c r="CZ967" t="s">
        <v>111</v>
      </c>
      <c r="DA967" t="s">
        <v>111</v>
      </c>
      <c r="DB967" t="s">
        <v>111</v>
      </c>
      <c r="DC967" t="s">
        <v>111</v>
      </c>
    </row>
    <row r="968" spans="1:107">
      <c r="A968">
        <v>703</v>
      </c>
      <c r="B968" t="s">
        <v>107</v>
      </c>
      <c r="C968" t="s">
        <v>3102</v>
      </c>
      <c r="D968" t="s">
        <v>3103</v>
      </c>
      <c r="E968" t="s">
        <v>3104</v>
      </c>
      <c r="F968" t="s">
        <v>1754</v>
      </c>
      <c r="G968" t="s">
        <v>416</v>
      </c>
      <c r="H968">
        <v>2.9</v>
      </c>
      <c r="I968">
        <v>50</v>
      </c>
      <c r="J968">
        <v>0</v>
      </c>
      <c r="K968">
        <v>0</v>
      </c>
      <c r="L968" t="s">
        <v>112</v>
      </c>
      <c r="M968" t="s">
        <v>118</v>
      </c>
      <c r="N968">
        <v>0</v>
      </c>
      <c r="O968">
        <v>2</v>
      </c>
      <c r="P968" t="s">
        <v>111</v>
      </c>
      <c r="Q968">
        <v>53</v>
      </c>
      <c r="R968">
        <v>0</v>
      </c>
      <c r="S968">
        <v>0</v>
      </c>
      <c r="T968">
        <v>5</v>
      </c>
      <c r="U968" s="1" t="s">
        <v>3105</v>
      </c>
      <c r="V968">
        <v>25</v>
      </c>
      <c r="W968">
        <v>0</v>
      </c>
      <c r="X968">
        <v>10</v>
      </c>
      <c r="Y968">
        <v>0</v>
      </c>
      <c r="Z968" t="s">
        <v>259</v>
      </c>
      <c r="AA968">
        <v>1.5</v>
      </c>
      <c r="AB968" t="s">
        <v>111</v>
      </c>
      <c r="AC968">
        <v>0</v>
      </c>
      <c r="AD968" t="s">
        <v>416</v>
      </c>
      <c r="AE968">
        <v>1</v>
      </c>
      <c r="AF968">
        <v>2</v>
      </c>
      <c r="AG968">
        <v>40</v>
      </c>
      <c r="AH968" t="s">
        <v>113</v>
      </c>
      <c r="AI968">
        <v>40</v>
      </c>
      <c r="AJ968" t="s">
        <v>111</v>
      </c>
      <c r="AK968" t="s">
        <v>111</v>
      </c>
      <c r="AL968" t="s">
        <v>111</v>
      </c>
      <c r="AM968">
        <v>0</v>
      </c>
      <c r="AN968">
        <v>0</v>
      </c>
      <c r="AO968">
        <v>0</v>
      </c>
      <c r="AP968" t="s">
        <v>1091</v>
      </c>
      <c r="AQ968" t="s">
        <v>111</v>
      </c>
      <c r="AR968" t="s">
        <v>111</v>
      </c>
      <c r="AS968" t="s">
        <v>111</v>
      </c>
      <c r="AT968" t="s">
        <v>111</v>
      </c>
      <c r="AU968" t="s">
        <v>111</v>
      </c>
      <c r="AV968" t="s">
        <v>111</v>
      </c>
      <c r="AW968" t="s">
        <v>111</v>
      </c>
      <c r="AX968" t="s">
        <v>111</v>
      </c>
      <c r="AY968" t="s">
        <v>111</v>
      </c>
      <c r="AZ968" t="s">
        <v>111</v>
      </c>
      <c r="BA968" t="s">
        <v>111</v>
      </c>
      <c r="BB968" t="s">
        <v>111</v>
      </c>
      <c r="BC968" t="s">
        <v>111</v>
      </c>
      <c r="BD968" t="s">
        <v>111</v>
      </c>
      <c r="BE968" t="s">
        <v>111</v>
      </c>
      <c r="BF968" t="s">
        <v>111</v>
      </c>
      <c r="BG968" t="s">
        <v>111</v>
      </c>
      <c r="BH968" t="s">
        <v>111</v>
      </c>
      <c r="BI968" t="s">
        <v>111</v>
      </c>
      <c r="BJ968" t="s">
        <v>111</v>
      </c>
      <c r="BK968" t="s">
        <v>111</v>
      </c>
      <c r="BL968" t="s">
        <v>111</v>
      </c>
      <c r="BM968" t="s">
        <v>111</v>
      </c>
      <c r="BN968" t="s">
        <v>1091</v>
      </c>
      <c r="BO968" t="s">
        <v>111</v>
      </c>
      <c r="BP968" t="s">
        <v>111</v>
      </c>
      <c r="BQ968" t="s">
        <v>111</v>
      </c>
      <c r="BR968" t="s">
        <v>111</v>
      </c>
      <c r="BS968" t="s">
        <v>111</v>
      </c>
      <c r="BT968" t="s">
        <v>111</v>
      </c>
      <c r="BU968" t="s">
        <v>111</v>
      </c>
      <c r="BV968" t="s">
        <v>111</v>
      </c>
      <c r="BW968" t="s">
        <v>111</v>
      </c>
      <c r="BX968" t="s">
        <v>111</v>
      </c>
      <c r="BY968" t="s">
        <v>111</v>
      </c>
      <c r="BZ968" t="s">
        <v>111</v>
      </c>
      <c r="CA968" t="s">
        <v>111</v>
      </c>
      <c r="CB968" t="s">
        <v>111</v>
      </c>
      <c r="CC968" t="s">
        <v>111</v>
      </c>
      <c r="CD968" t="s">
        <v>111</v>
      </c>
      <c r="CE968" t="s">
        <v>111</v>
      </c>
      <c r="CF968" t="s">
        <v>111</v>
      </c>
      <c r="CG968" t="s">
        <v>111</v>
      </c>
      <c r="CH968" t="s">
        <v>111</v>
      </c>
      <c r="CI968" t="s">
        <v>111</v>
      </c>
      <c r="CJ968" t="s">
        <v>111</v>
      </c>
      <c r="CK968" t="s">
        <v>111</v>
      </c>
      <c r="CL968" t="e">
        <f>-DESTINO SELLADO</f>
        <v>#NAME?</v>
      </c>
      <c r="CM968" t="s">
        <v>198</v>
      </c>
      <c r="CN968" t="s">
        <v>113</v>
      </c>
      <c r="CO968" t="s">
        <v>367</v>
      </c>
      <c r="CP968" t="s">
        <v>111</v>
      </c>
      <c r="CQ968">
        <v>44</v>
      </c>
      <c r="CR968">
        <v>0</v>
      </c>
      <c r="CS968">
        <v>50</v>
      </c>
      <c r="CT968" s="1" t="s">
        <v>3106</v>
      </c>
      <c r="CU968">
        <v>0</v>
      </c>
      <c r="CV968" t="s">
        <v>111</v>
      </c>
      <c r="CW968" t="s">
        <v>111</v>
      </c>
      <c r="CX968" t="s">
        <v>111</v>
      </c>
      <c r="CY968">
        <v>0</v>
      </c>
      <c r="CZ968" t="s">
        <v>111</v>
      </c>
      <c r="DA968" t="s">
        <v>111</v>
      </c>
      <c r="DB968" t="s">
        <v>204</v>
      </c>
      <c r="DC968" s="1" t="s">
        <v>3107</v>
      </c>
    </row>
    <row r="969" spans="1:107">
      <c r="A969">
        <v>426</v>
      </c>
      <c r="B969" t="s">
        <v>162</v>
      </c>
      <c r="C969" t="s">
        <v>1295</v>
      </c>
      <c r="D969" t="s">
        <v>1376</v>
      </c>
      <c r="E969" t="s">
        <v>3108</v>
      </c>
      <c r="F969" t="s">
        <v>561</v>
      </c>
      <c r="G969" t="s">
        <v>416</v>
      </c>
      <c r="H969">
        <v>2.9</v>
      </c>
      <c r="I969">
        <v>50</v>
      </c>
      <c r="J969">
        <v>6</v>
      </c>
      <c r="K969">
        <v>6</v>
      </c>
      <c r="L969" t="s">
        <v>112</v>
      </c>
      <c r="M969" t="s">
        <v>118</v>
      </c>
      <c r="N969">
        <v>40</v>
      </c>
      <c r="O969">
        <v>2</v>
      </c>
      <c r="P969" t="s">
        <v>138</v>
      </c>
      <c r="Q969">
        <v>40</v>
      </c>
      <c r="R969">
        <v>0</v>
      </c>
      <c r="S969">
        <v>0</v>
      </c>
      <c r="T969">
        <v>0</v>
      </c>
      <c r="U969" t="s">
        <v>1353</v>
      </c>
      <c r="V969">
        <v>25</v>
      </c>
      <c r="W969">
        <v>0</v>
      </c>
      <c r="X969">
        <v>8</v>
      </c>
      <c r="Y969">
        <v>0</v>
      </c>
      <c r="Z969" t="s">
        <v>111</v>
      </c>
      <c r="AA969">
        <v>0</v>
      </c>
      <c r="AB969" t="s">
        <v>111</v>
      </c>
      <c r="AC969">
        <v>0</v>
      </c>
      <c r="AD969" t="s">
        <v>416</v>
      </c>
      <c r="AE969">
        <v>2</v>
      </c>
      <c r="AF969">
        <v>2</v>
      </c>
      <c r="AG969">
        <v>50</v>
      </c>
      <c r="AH969" t="s">
        <v>111</v>
      </c>
      <c r="AI969">
        <v>50</v>
      </c>
      <c r="AJ969" t="s">
        <v>111</v>
      </c>
      <c r="AK969" t="s">
        <v>111</v>
      </c>
      <c r="AL969" t="s">
        <v>111</v>
      </c>
      <c r="AM969">
        <v>0</v>
      </c>
      <c r="AN969">
        <v>0</v>
      </c>
      <c r="AO969">
        <v>0</v>
      </c>
      <c r="AP969" t="s">
        <v>366</v>
      </c>
      <c r="AQ969" t="s">
        <v>111</v>
      </c>
      <c r="AR969" t="s">
        <v>111</v>
      </c>
      <c r="AS969" t="s">
        <v>111</v>
      </c>
      <c r="AT969" t="s">
        <v>184</v>
      </c>
      <c r="AU969" t="s">
        <v>111</v>
      </c>
      <c r="AV969" t="s">
        <v>111</v>
      </c>
      <c r="AW969" t="s">
        <v>111</v>
      </c>
      <c r="AX969" t="s">
        <v>111</v>
      </c>
      <c r="AY969" t="s">
        <v>111</v>
      </c>
      <c r="AZ969" t="s">
        <v>111</v>
      </c>
      <c r="BA969" t="s">
        <v>111</v>
      </c>
      <c r="BB969" t="s">
        <v>111</v>
      </c>
      <c r="BC969" t="s">
        <v>111</v>
      </c>
      <c r="BD969" t="s">
        <v>111</v>
      </c>
      <c r="BE969" t="s">
        <v>111</v>
      </c>
      <c r="BF969" t="s">
        <v>111</v>
      </c>
      <c r="BG969" t="s">
        <v>111</v>
      </c>
      <c r="BH969" t="s">
        <v>111</v>
      </c>
      <c r="BI969" t="s">
        <v>111</v>
      </c>
      <c r="BJ969" t="s">
        <v>111</v>
      </c>
      <c r="BK969" t="s">
        <v>111</v>
      </c>
      <c r="BL969" t="s">
        <v>111</v>
      </c>
      <c r="BM969" t="s">
        <v>111</v>
      </c>
      <c r="BN969" t="s">
        <v>111</v>
      </c>
      <c r="BO969" t="s">
        <v>111</v>
      </c>
      <c r="BP969" t="s">
        <v>111</v>
      </c>
      <c r="BQ969" t="s">
        <v>111</v>
      </c>
      <c r="BR969" t="s">
        <v>111</v>
      </c>
      <c r="BS969" t="s">
        <v>111</v>
      </c>
      <c r="BT969" t="s">
        <v>111</v>
      </c>
      <c r="BU969" t="s">
        <v>111</v>
      </c>
      <c r="BV969" t="s">
        <v>111</v>
      </c>
      <c r="BW969" t="s">
        <v>111</v>
      </c>
      <c r="BX969" t="s">
        <v>111</v>
      </c>
      <c r="BY969" t="s">
        <v>111</v>
      </c>
      <c r="BZ969" t="s">
        <v>111</v>
      </c>
      <c r="CA969" t="s">
        <v>111</v>
      </c>
      <c r="CB969" t="s">
        <v>111</v>
      </c>
      <c r="CC969" t="s">
        <v>111</v>
      </c>
      <c r="CD969" t="s">
        <v>111</v>
      </c>
      <c r="CE969" t="s">
        <v>111</v>
      </c>
      <c r="CF969" t="s">
        <v>111</v>
      </c>
      <c r="CG969" t="s">
        <v>111</v>
      </c>
      <c r="CH969" t="s">
        <v>111</v>
      </c>
      <c r="CI969" t="s">
        <v>111</v>
      </c>
      <c r="CJ969" t="s">
        <v>111</v>
      </c>
      <c r="CK969" t="s">
        <v>111</v>
      </c>
      <c r="CL969" t="s">
        <v>153</v>
      </c>
      <c r="CM969" t="s">
        <v>198</v>
      </c>
      <c r="CN969" t="s">
        <v>113</v>
      </c>
      <c r="CO969" t="s">
        <v>111</v>
      </c>
      <c r="CP969" t="s">
        <v>433</v>
      </c>
      <c r="CQ969">
        <v>0</v>
      </c>
      <c r="CR969">
        <v>0</v>
      </c>
      <c r="CS969">
        <v>0</v>
      </c>
      <c r="CT969" t="s">
        <v>419</v>
      </c>
      <c r="CU969">
        <v>0</v>
      </c>
      <c r="CV969" t="s">
        <v>111</v>
      </c>
      <c r="CW969" t="s">
        <v>111</v>
      </c>
      <c r="CX969" t="s">
        <v>111</v>
      </c>
      <c r="CY969">
        <v>0</v>
      </c>
      <c r="CZ969" t="s">
        <v>111</v>
      </c>
      <c r="DA969" t="s">
        <v>111</v>
      </c>
      <c r="DB969" t="s">
        <v>240</v>
      </c>
      <c r="DC969" s="1" t="s">
        <v>1299</v>
      </c>
    </row>
    <row r="970" spans="1:107">
      <c r="A970">
        <v>702</v>
      </c>
      <c r="B970" t="s">
        <v>107</v>
      </c>
      <c r="C970" t="s">
        <v>3102</v>
      </c>
      <c r="D970" t="s">
        <v>2645</v>
      </c>
      <c r="E970" t="s">
        <v>3109</v>
      </c>
      <c r="F970" t="s">
        <v>1754</v>
      </c>
      <c r="G970" t="s">
        <v>416</v>
      </c>
      <c r="H970">
        <v>2.9</v>
      </c>
      <c r="I970">
        <v>40</v>
      </c>
      <c r="J970">
        <v>0</v>
      </c>
      <c r="K970">
        <v>0</v>
      </c>
      <c r="L970" t="s">
        <v>112</v>
      </c>
      <c r="M970" t="s">
        <v>118</v>
      </c>
      <c r="N970">
        <v>0</v>
      </c>
      <c r="O970">
        <v>2</v>
      </c>
      <c r="P970" t="s">
        <v>111</v>
      </c>
      <c r="Q970">
        <v>48.3</v>
      </c>
      <c r="R970">
        <v>0</v>
      </c>
      <c r="S970">
        <v>0</v>
      </c>
      <c r="T970">
        <v>5</v>
      </c>
      <c r="U970" t="s">
        <v>3110</v>
      </c>
      <c r="V970">
        <v>25</v>
      </c>
      <c r="W970">
        <v>0</v>
      </c>
      <c r="X970">
        <v>10</v>
      </c>
      <c r="Y970">
        <v>0</v>
      </c>
      <c r="Z970" t="s">
        <v>259</v>
      </c>
      <c r="AA970">
        <v>1.5</v>
      </c>
      <c r="AB970" t="s">
        <v>111</v>
      </c>
      <c r="AC970">
        <v>0</v>
      </c>
      <c r="AD970" t="s">
        <v>416</v>
      </c>
      <c r="AE970">
        <v>1</v>
      </c>
      <c r="AF970">
        <v>2</v>
      </c>
      <c r="AG970">
        <v>32</v>
      </c>
      <c r="AH970" t="s">
        <v>113</v>
      </c>
      <c r="AI970">
        <v>32</v>
      </c>
      <c r="AJ970" t="s">
        <v>111</v>
      </c>
      <c r="AK970" t="s">
        <v>111</v>
      </c>
      <c r="AL970" t="s">
        <v>111</v>
      </c>
      <c r="AM970">
        <v>0</v>
      </c>
      <c r="AN970">
        <v>0</v>
      </c>
      <c r="AO970">
        <v>0</v>
      </c>
      <c r="AP970" t="s">
        <v>111</v>
      </c>
      <c r="AQ970" t="s">
        <v>1091</v>
      </c>
      <c r="AR970" t="s">
        <v>111</v>
      </c>
      <c r="AS970" t="s">
        <v>111</v>
      </c>
      <c r="AT970" t="s">
        <v>111</v>
      </c>
      <c r="AU970" t="s">
        <v>111</v>
      </c>
      <c r="AV970" t="s">
        <v>111</v>
      </c>
      <c r="AW970" t="s">
        <v>111</v>
      </c>
      <c r="AX970" t="s">
        <v>111</v>
      </c>
      <c r="AY970" t="s">
        <v>111</v>
      </c>
      <c r="AZ970" t="s">
        <v>111</v>
      </c>
      <c r="BA970" t="s">
        <v>111</v>
      </c>
      <c r="BB970" t="s">
        <v>111</v>
      </c>
      <c r="BC970" t="s">
        <v>111</v>
      </c>
      <c r="BD970" t="s">
        <v>111</v>
      </c>
      <c r="BE970" t="s">
        <v>111</v>
      </c>
      <c r="BF970" t="s">
        <v>111</v>
      </c>
      <c r="BG970" t="s">
        <v>111</v>
      </c>
      <c r="BH970" t="s">
        <v>111</v>
      </c>
      <c r="BI970" t="s">
        <v>111</v>
      </c>
      <c r="BJ970" t="s">
        <v>111</v>
      </c>
      <c r="BK970" t="s">
        <v>111</v>
      </c>
      <c r="BL970" t="s">
        <v>111</v>
      </c>
      <c r="BM970" t="s">
        <v>111</v>
      </c>
      <c r="BN970" t="s">
        <v>1091</v>
      </c>
      <c r="BO970" t="s">
        <v>111</v>
      </c>
      <c r="BP970" t="s">
        <v>111</v>
      </c>
      <c r="BQ970" t="s">
        <v>111</v>
      </c>
      <c r="BR970" t="s">
        <v>111</v>
      </c>
      <c r="BS970" t="s">
        <v>111</v>
      </c>
      <c r="BT970" t="s">
        <v>111</v>
      </c>
      <c r="BU970" t="s">
        <v>111</v>
      </c>
      <c r="BV970" t="s">
        <v>111</v>
      </c>
      <c r="BW970" t="s">
        <v>111</v>
      </c>
      <c r="BX970" t="s">
        <v>111</v>
      </c>
      <c r="BY970" t="s">
        <v>111</v>
      </c>
      <c r="BZ970" t="s">
        <v>111</v>
      </c>
      <c r="CA970" t="s">
        <v>111</v>
      </c>
      <c r="CB970" t="s">
        <v>111</v>
      </c>
      <c r="CC970" t="s">
        <v>111</v>
      </c>
      <c r="CD970" t="s">
        <v>111</v>
      </c>
      <c r="CE970" t="s">
        <v>111</v>
      </c>
      <c r="CF970" t="s">
        <v>111</v>
      </c>
      <c r="CG970" t="s">
        <v>111</v>
      </c>
      <c r="CH970" t="s">
        <v>111</v>
      </c>
      <c r="CI970" t="s">
        <v>111</v>
      </c>
      <c r="CJ970" t="s">
        <v>111</v>
      </c>
      <c r="CK970" t="s">
        <v>111</v>
      </c>
      <c r="CL970" t="s">
        <v>296</v>
      </c>
      <c r="CM970" t="s">
        <v>198</v>
      </c>
      <c r="CN970" t="s">
        <v>113</v>
      </c>
      <c r="CO970" t="s">
        <v>367</v>
      </c>
      <c r="CP970" t="s">
        <v>433</v>
      </c>
      <c r="CQ970">
        <v>40</v>
      </c>
      <c r="CR970">
        <v>1000</v>
      </c>
      <c r="CS970">
        <v>100</v>
      </c>
      <c r="CT970" s="1" t="s">
        <v>3111</v>
      </c>
      <c r="CU970">
        <v>0</v>
      </c>
      <c r="CV970" t="s">
        <v>111</v>
      </c>
      <c r="CW970" t="s">
        <v>111</v>
      </c>
      <c r="CX970" t="s">
        <v>111</v>
      </c>
      <c r="CY970">
        <v>0</v>
      </c>
      <c r="CZ970" t="s">
        <v>111</v>
      </c>
      <c r="DA970" t="s">
        <v>111</v>
      </c>
      <c r="DB970" t="s">
        <v>204</v>
      </c>
      <c r="DC970" s="1" t="s">
        <v>3112</v>
      </c>
    </row>
    <row r="971" spans="1:107">
      <c r="A971">
        <v>701</v>
      </c>
      <c r="B971" t="s">
        <v>107</v>
      </c>
      <c r="C971" t="s">
        <v>928</v>
      </c>
      <c r="D971" t="s">
        <v>3113</v>
      </c>
      <c r="E971" t="s">
        <v>3114</v>
      </c>
      <c r="F971" t="s">
        <v>431</v>
      </c>
      <c r="G971" t="s">
        <v>416</v>
      </c>
      <c r="H971">
        <v>1</v>
      </c>
      <c r="I971">
        <v>81</v>
      </c>
      <c r="J971">
        <v>0</v>
      </c>
      <c r="K971">
        <v>0</v>
      </c>
      <c r="L971" t="s">
        <v>117</v>
      </c>
      <c r="M971" t="s">
        <v>118</v>
      </c>
      <c r="N971">
        <v>0</v>
      </c>
      <c r="O971">
        <v>1</v>
      </c>
      <c r="P971" t="s">
        <v>138</v>
      </c>
      <c r="Q971">
        <v>53.5</v>
      </c>
      <c r="R971">
        <v>0</v>
      </c>
      <c r="S971">
        <v>0</v>
      </c>
      <c r="T971">
        <v>8</v>
      </c>
      <c r="U971" t="s">
        <v>3110</v>
      </c>
      <c r="V971">
        <v>0</v>
      </c>
      <c r="W971">
        <v>25</v>
      </c>
      <c r="X971">
        <v>6</v>
      </c>
      <c r="Y971">
        <v>0</v>
      </c>
      <c r="Z971" t="s">
        <v>111</v>
      </c>
      <c r="AA971">
        <v>0</v>
      </c>
      <c r="AB971" t="s">
        <v>111</v>
      </c>
      <c r="AC971">
        <v>0</v>
      </c>
      <c r="AD971" t="s">
        <v>416</v>
      </c>
      <c r="AE971">
        <v>3</v>
      </c>
      <c r="AF971">
        <v>1</v>
      </c>
      <c r="AG971">
        <v>29</v>
      </c>
      <c r="AH971" t="s">
        <v>113</v>
      </c>
      <c r="AI971">
        <v>30</v>
      </c>
      <c r="AJ971" t="s">
        <v>111</v>
      </c>
      <c r="AK971" t="s">
        <v>111</v>
      </c>
      <c r="AL971" t="s">
        <v>111</v>
      </c>
      <c r="AM971">
        <v>0</v>
      </c>
      <c r="AN971">
        <v>0</v>
      </c>
      <c r="AO971">
        <v>0</v>
      </c>
      <c r="AP971" t="s">
        <v>288</v>
      </c>
      <c r="AQ971" t="s">
        <v>111</v>
      </c>
      <c r="AR971" t="s">
        <v>111</v>
      </c>
      <c r="AS971" t="s">
        <v>111</v>
      </c>
      <c r="AT971" t="s">
        <v>188</v>
      </c>
      <c r="AU971" t="s">
        <v>111</v>
      </c>
      <c r="AV971" t="s">
        <v>111</v>
      </c>
      <c r="AW971" t="s">
        <v>111</v>
      </c>
      <c r="AX971" t="s">
        <v>184</v>
      </c>
      <c r="AY971" t="s">
        <v>111</v>
      </c>
      <c r="AZ971" t="s">
        <v>111</v>
      </c>
      <c r="BA971" t="s">
        <v>111</v>
      </c>
      <c r="BB971" t="s">
        <v>111</v>
      </c>
      <c r="BC971" t="s">
        <v>111</v>
      </c>
      <c r="BD971" t="s">
        <v>111</v>
      </c>
      <c r="BE971" t="s">
        <v>111</v>
      </c>
      <c r="BF971" t="s">
        <v>111</v>
      </c>
      <c r="BG971" t="s">
        <v>111</v>
      </c>
      <c r="BH971" t="s">
        <v>111</v>
      </c>
      <c r="BI971" t="s">
        <v>111</v>
      </c>
      <c r="BJ971" t="s">
        <v>111</v>
      </c>
      <c r="BK971" t="s">
        <v>111</v>
      </c>
      <c r="BL971" t="s">
        <v>111</v>
      </c>
      <c r="BM971" t="s">
        <v>111</v>
      </c>
      <c r="BN971" t="s">
        <v>111</v>
      </c>
      <c r="BO971" t="s">
        <v>111</v>
      </c>
      <c r="BP971" t="s">
        <v>111</v>
      </c>
      <c r="BQ971" t="s">
        <v>111</v>
      </c>
      <c r="BR971" t="s">
        <v>188</v>
      </c>
      <c r="BS971" t="s">
        <v>111</v>
      </c>
      <c r="BT971" t="s">
        <v>111</v>
      </c>
      <c r="BU971" t="s">
        <v>111</v>
      </c>
      <c r="BV971" t="s">
        <v>184</v>
      </c>
      <c r="BW971" t="s">
        <v>111</v>
      </c>
      <c r="BX971" t="s">
        <v>111</v>
      </c>
      <c r="BY971" t="s">
        <v>111</v>
      </c>
      <c r="BZ971" t="s">
        <v>111</v>
      </c>
      <c r="CA971" t="s">
        <v>111</v>
      </c>
      <c r="CB971" t="s">
        <v>111</v>
      </c>
      <c r="CC971" t="s">
        <v>111</v>
      </c>
      <c r="CD971" t="s">
        <v>111</v>
      </c>
      <c r="CE971" t="s">
        <v>111</v>
      </c>
      <c r="CF971" t="s">
        <v>111</v>
      </c>
      <c r="CG971" t="s">
        <v>111</v>
      </c>
      <c r="CH971" t="s">
        <v>111</v>
      </c>
      <c r="CI971" t="s">
        <v>111</v>
      </c>
      <c r="CJ971" t="s">
        <v>111</v>
      </c>
      <c r="CK971" t="s">
        <v>111</v>
      </c>
      <c r="CL971" t="s">
        <v>296</v>
      </c>
      <c r="CM971" t="s">
        <v>198</v>
      </c>
      <c r="CN971" t="s">
        <v>113</v>
      </c>
      <c r="CO971" t="s">
        <v>637</v>
      </c>
      <c r="CP971" t="s">
        <v>433</v>
      </c>
      <c r="CQ971">
        <v>95</v>
      </c>
      <c r="CR971">
        <v>4000</v>
      </c>
      <c r="CS971">
        <v>100</v>
      </c>
      <c r="CT971" s="1" t="s">
        <v>3115</v>
      </c>
      <c r="CU971">
        <v>0</v>
      </c>
      <c r="CV971" t="s">
        <v>111</v>
      </c>
      <c r="CW971" t="s">
        <v>111</v>
      </c>
      <c r="CX971" t="s">
        <v>111</v>
      </c>
      <c r="CY971">
        <v>0</v>
      </c>
      <c r="CZ971" t="s">
        <v>111</v>
      </c>
      <c r="DA971" t="s">
        <v>111</v>
      </c>
      <c r="DB971" t="s">
        <v>111</v>
      </c>
      <c r="DC971" t="s">
        <v>111</v>
      </c>
    </row>
    <row r="972" spans="1:107">
      <c r="A972">
        <v>471</v>
      </c>
      <c r="B972" t="s">
        <v>162</v>
      </c>
      <c r="C972" t="s">
        <v>899</v>
      </c>
      <c r="D972" t="s">
        <v>3116</v>
      </c>
      <c r="E972" t="s">
        <v>3117</v>
      </c>
      <c r="F972" t="s">
        <v>561</v>
      </c>
      <c r="G972" t="s">
        <v>416</v>
      </c>
      <c r="H972">
        <v>2</v>
      </c>
      <c r="I972">
        <v>80</v>
      </c>
      <c r="J972">
        <v>0</v>
      </c>
      <c r="K972">
        <v>0</v>
      </c>
      <c r="L972" t="s">
        <v>117</v>
      </c>
      <c r="M972" t="s">
        <v>118</v>
      </c>
      <c r="N972">
        <v>40</v>
      </c>
      <c r="O972">
        <v>2</v>
      </c>
      <c r="P972" t="s">
        <v>138</v>
      </c>
      <c r="Q972">
        <v>43.8</v>
      </c>
      <c r="R972">
        <v>0</v>
      </c>
      <c r="S972">
        <v>0</v>
      </c>
      <c r="T972">
        <v>10</v>
      </c>
      <c r="U972" s="1" t="s">
        <v>3118</v>
      </c>
      <c r="V972">
        <v>25</v>
      </c>
      <c r="W972">
        <v>0</v>
      </c>
      <c r="X972">
        <v>6</v>
      </c>
      <c r="Y972">
        <v>0</v>
      </c>
      <c r="Z972" t="s">
        <v>288</v>
      </c>
      <c r="AA972">
        <v>1.55</v>
      </c>
      <c r="AB972" t="s">
        <v>111</v>
      </c>
      <c r="AC972">
        <v>0</v>
      </c>
      <c r="AD972" t="s">
        <v>416</v>
      </c>
      <c r="AE972">
        <v>3</v>
      </c>
      <c r="AF972">
        <v>2</v>
      </c>
      <c r="AG972">
        <v>38</v>
      </c>
      <c r="AH972" t="s">
        <v>111</v>
      </c>
      <c r="AI972">
        <v>38</v>
      </c>
      <c r="AJ972" t="s">
        <v>111</v>
      </c>
      <c r="AK972" t="s">
        <v>111</v>
      </c>
      <c r="AL972" t="s">
        <v>111</v>
      </c>
      <c r="AM972">
        <v>0</v>
      </c>
      <c r="AN972">
        <v>0</v>
      </c>
      <c r="AO972">
        <v>0</v>
      </c>
      <c r="AP972" t="s">
        <v>271</v>
      </c>
      <c r="AQ972" t="s">
        <v>111</v>
      </c>
      <c r="AR972" t="s">
        <v>111</v>
      </c>
      <c r="AS972" t="s">
        <v>111</v>
      </c>
      <c r="AT972" t="s">
        <v>188</v>
      </c>
      <c r="AU972" t="s">
        <v>111</v>
      </c>
      <c r="AV972" t="s">
        <v>111</v>
      </c>
      <c r="AW972" t="s">
        <v>111</v>
      </c>
      <c r="AX972" t="s">
        <v>184</v>
      </c>
      <c r="AY972" t="s">
        <v>111</v>
      </c>
      <c r="AZ972" t="s">
        <v>111</v>
      </c>
      <c r="BA972" t="s">
        <v>111</v>
      </c>
      <c r="BB972" t="s">
        <v>111</v>
      </c>
      <c r="BC972" t="s">
        <v>111</v>
      </c>
      <c r="BD972" t="s">
        <v>111</v>
      </c>
      <c r="BE972" t="s">
        <v>111</v>
      </c>
      <c r="BF972" t="s">
        <v>111</v>
      </c>
      <c r="BG972" t="s">
        <v>111</v>
      </c>
      <c r="BH972" t="s">
        <v>111</v>
      </c>
      <c r="BI972" t="s">
        <v>111</v>
      </c>
      <c r="BJ972" t="s">
        <v>111</v>
      </c>
      <c r="BK972" t="s">
        <v>111</v>
      </c>
      <c r="BL972" t="s">
        <v>111</v>
      </c>
      <c r="BM972" t="s">
        <v>111</v>
      </c>
      <c r="BN972" t="s">
        <v>111</v>
      </c>
      <c r="BO972" t="s">
        <v>111</v>
      </c>
      <c r="BP972" t="s">
        <v>111</v>
      </c>
      <c r="BQ972" t="s">
        <v>111</v>
      </c>
      <c r="BR972" t="s">
        <v>111</v>
      </c>
      <c r="BS972" t="s">
        <v>111</v>
      </c>
      <c r="BT972" t="s">
        <v>111</v>
      </c>
      <c r="BU972" t="s">
        <v>111</v>
      </c>
      <c r="BV972" t="s">
        <v>111</v>
      </c>
      <c r="BW972" t="s">
        <v>111</v>
      </c>
      <c r="BX972" t="s">
        <v>111</v>
      </c>
      <c r="BY972" t="s">
        <v>111</v>
      </c>
      <c r="BZ972" t="s">
        <v>111</v>
      </c>
      <c r="CA972" t="s">
        <v>111</v>
      </c>
      <c r="CB972" t="s">
        <v>111</v>
      </c>
      <c r="CC972" t="s">
        <v>111</v>
      </c>
      <c r="CD972" t="s">
        <v>111</v>
      </c>
      <c r="CE972" t="s">
        <v>111</v>
      </c>
      <c r="CF972" t="s">
        <v>111</v>
      </c>
      <c r="CG972" t="s">
        <v>111</v>
      </c>
      <c r="CH972" t="s">
        <v>111</v>
      </c>
      <c r="CI972" t="s">
        <v>111</v>
      </c>
      <c r="CJ972" t="s">
        <v>111</v>
      </c>
      <c r="CK972" t="s">
        <v>111</v>
      </c>
      <c r="CL972" t="s">
        <v>153</v>
      </c>
      <c r="CM972" t="s">
        <v>198</v>
      </c>
      <c r="CN972" t="s">
        <v>113</v>
      </c>
      <c r="CO972" t="s">
        <v>111</v>
      </c>
      <c r="CP972" t="s">
        <v>433</v>
      </c>
      <c r="CQ972">
        <v>0</v>
      </c>
      <c r="CR972">
        <v>0</v>
      </c>
      <c r="CS972">
        <v>0</v>
      </c>
      <c r="CT972" t="s">
        <v>419</v>
      </c>
      <c r="CU972">
        <v>0</v>
      </c>
      <c r="CV972" t="s">
        <v>111</v>
      </c>
      <c r="CW972" t="s">
        <v>111</v>
      </c>
      <c r="CX972" t="s">
        <v>111</v>
      </c>
      <c r="CY972">
        <v>0</v>
      </c>
      <c r="CZ972" t="s">
        <v>111</v>
      </c>
      <c r="DA972" t="s">
        <v>111</v>
      </c>
      <c r="DB972" t="s">
        <v>240</v>
      </c>
      <c r="DC972" s="1" t="s">
        <v>3119</v>
      </c>
    </row>
    <row r="973" spans="1:107">
      <c r="A973">
        <v>472</v>
      </c>
      <c r="B973" t="s">
        <v>162</v>
      </c>
      <c r="C973" t="s">
        <v>801</v>
      </c>
      <c r="D973" t="s">
        <v>863</v>
      </c>
      <c r="E973" t="s">
        <v>1684</v>
      </c>
      <c r="F973" t="s">
        <v>370</v>
      </c>
      <c r="G973" t="s">
        <v>416</v>
      </c>
      <c r="H973">
        <v>1.5</v>
      </c>
      <c r="I973">
        <v>47</v>
      </c>
      <c r="J973">
        <v>0</v>
      </c>
      <c r="K973">
        <v>0</v>
      </c>
      <c r="L973" t="s">
        <v>112</v>
      </c>
      <c r="M973" t="s">
        <v>118</v>
      </c>
      <c r="N973">
        <v>40</v>
      </c>
      <c r="O973">
        <v>2</v>
      </c>
      <c r="P973" t="s">
        <v>138</v>
      </c>
      <c r="Q973">
        <v>40</v>
      </c>
      <c r="R973">
        <v>0</v>
      </c>
      <c r="S973">
        <v>0</v>
      </c>
      <c r="T973">
        <v>0</v>
      </c>
      <c r="U973" t="s">
        <v>1353</v>
      </c>
      <c r="V973">
        <v>25</v>
      </c>
      <c r="W973">
        <v>0</v>
      </c>
      <c r="X973">
        <v>6</v>
      </c>
      <c r="Y973">
        <v>0</v>
      </c>
      <c r="Z973" t="s">
        <v>288</v>
      </c>
      <c r="AA973">
        <v>1.55</v>
      </c>
      <c r="AB973" t="s">
        <v>111</v>
      </c>
      <c r="AC973">
        <v>0</v>
      </c>
      <c r="AD973" t="s">
        <v>416</v>
      </c>
      <c r="AE973">
        <v>2</v>
      </c>
      <c r="AF973">
        <v>2</v>
      </c>
      <c r="AG973">
        <v>35</v>
      </c>
      <c r="AH973" t="s">
        <v>111</v>
      </c>
      <c r="AI973">
        <v>35</v>
      </c>
      <c r="AJ973" t="s">
        <v>111</v>
      </c>
      <c r="AK973" t="s">
        <v>111</v>
      </c>
      <c r="AL973" t="s">
        <v>111</v>
      </c>
      <c r="AM973">
        <v>0</v>
      </c>
      <c r="AN973">
        <v>0</v>
      </c>
      <c r="AO973">
        <v>0</v>
      </c>
      <c r="AP973" t="s">
        <v>111</v>
      </c>
      <c r="AQ973" t="s">
        <v>111</v>
      </c>
      <c r="AR973" t="s">
        <v>111</v>
      </c>
      <c r="AS973" t="s">
        <v>111</v>
      </c>
      <c r="AT973" t="s">
        <v>111</v>
      </c>
      <c r="AU973" t="s">
        <v>111</v>
      </c>
      <c r="AV973" t="s">
        <v>111</v>
      </c>
      <c r="AW973" t="s">
        <v>111</v>
      </c>
      <c r="AX973" t="s">
        <v>111</v>
      </c>
      <c r="AY973" t="s">
        <v>111</v>
      </c>
      <c r="AZ973" t="s">
        <v>111</v>
      </c>
      <c r="BA973" t="s">
        <v>111</v>
      </c>
      <c r="BB973" t="s">
        <v>111</v>
      </c>
      <c r="BC973" t="s">
        <v>111</v>
      </c>
      <c r="BD973" t="s">
        <v>111</v>
      </c>
      <c r="BE973" t="s">
        <v>111</v>
      </c>
      <c r="BF973" t="s">
        <v>111</v>
      </c>
      <c r="BG973" t="s">
        <v>111</v>
      </c>
      <c r="BH973" t="s">
        <v>111</v>
      </c>
      <c r="BI973" t="s">
        <v>111</v>
      </c>
      <c r="BJ973" t="s">
        <v>111</v>
      </c>
      <c r="BK973" t="s">
        <v>111</v>
      </c>
      <c r="BL973" t="s">
        <v>111</v>
      </c>
      <c r="BM973" t="s">
        <v>111</v>
      </c>
      <c r="BN973" t="s">
        <v>111</v>
      </c>
      <c r="BO973" t="s">
        <v>111</v>
      </c>
      <c r="BP973" t="s">
        <v>111</v>
      </c>
      <c r="BQ973" t="s">
        <v>111</v>
      </c>
      <c r="BR973" t="s">
        <v>111</v>
      </c>
      <c r="BS973" t="s">
        <v>111</v>
      </c>
      <c r="BT973" t="s">
        <v>111</v>
      </c>
      <c r="BU973" t="s">
        <v>111</v>
      </c>
      <c r="BV973" t="s">
        <v>111</v>
      </c>
      <c r="BW973" t="s">
        <v>111</v>
      </c>
      <c r="BX973" t="s">
        <v>111</v>
      </c>
      <c r="BY973" t="s">
        <v>111</v>
      </c>
      <c r="BZ973" t="s">
        <v>111</v>
      </c>
      <c r="CA973" t="s">
        <v>111</v>
      </c>
      <c r="CB973" t="s">
        <v>111</v>
      </c>
      <c r="CC973" t="s">
        <v>111</v>
      </c>
      <c r="CD973" t="s">
        <v>111</v>
      </c>
      <c r="CE973" t="s">
        <v>111</v>
      </c>
      <c r="CF973" t="s">
        <v>111</v>
      </c>
      <c r="CG973" t="s">
        <v>111</v>
      </c>
      <c r="CH973" t="s">
        <v>111</v>
      </c>
      <c r="CI973" t="s">
        <v>111</v>
      </c>
      <c r="CJ973" t="s">
        <v>111</v>
      </c>
      <c r="CK973" t="s">
        <v>111</v>
      </c>
      <c r="CL973" t="s">
        <v>168</v>
      </c>
      <c r="CM973" t="s">
        <v>198</v>
      </c>
      <c r="CN973" t="s">
        <v>113</v>
      </c>
      <c r="CO973" t="s">
        <v>1348</v>
      </c>
      <c r="CP973" t="s">
        <v>433</v>
      </c>
      <c r="CQ973">
        <v>52</v>
      </c>
      <c r="CR973">
        <v>1500</v>
      </c>
      <c r="CS973">
        <v>50</v>
      </c>
      <c r="CT973" s="1" t="s">
        <v>3120</v>
      </c>
      <c r="CU973">
        <v>0</v>
      </c>
      <c r="CV973" t="s">
        <v>111</v>
      </c>
      <c r="CW973" t="s">
        <v>111</v>
      </c>
      <c r="CX973" t="s">
        <v>111</v>
      </c>
      <c r="CY973">
        <v>0</v>
      </c>
      <c r="CZ973" t="s">
        <v>111</v>
      </c>
      <c r="DA973" t="s">
        <v>111</v>
      </c>
      <c r="DB973" t="s">
        <v>111</v>
      </c>
      <c r="DC973" t="s">
        <v>111</v>
      </c>
    </row>
    <row r="974" spans="1:107">
      <c r="A974">
        <v>483</v>
      </c>
      <c r="B974" t="s">
        <v>162</v>
      </c>
      <c r="C974" t="s">
        <v>3121</v>
      </c>
      <c r="D974" t="s">
        <v>3122</v>
      </c>
      <c r="E974" t="s">
        <v>1473</v>
      </c>
      <c r="F974" t="s">
        <v>125</v>
      </c>
      <c r="G974" t="s">
        <v>416</v>
      </c>
      <c r="H974">
        <v>0.7</v>
      </c>
      <c r="I974">
        <v>50</v>
      </c>
      <c r="J974">
        <v>0</v>
      </c>
      <c r="K974">
        <v>0</v>
      </c>
      <c r="L974" t="s">
        <v>112</v>
      </c>
      <c r="M974" t="s">
        <v>138</v>
      </c>
      <c r="N974">
        <v>0</v>
      </c>
      <c r="O974">
        <v>0</v>
      </c>
      <c r="P974" t="s">
        <v>138</v>
      </c>
      <c r="Q974">
        <v>30</v>
      </c>
      <c r="R974">
        <v>0</v>
      </c>
      <c r="S974">
        <v>0</v>
      </c>
      <c r="T974">
        <v>0</v>
      </c>
      <c r="U974" t="s">
        <v>153</v>
      </c>
      <c r="V974">
        <v>25</v>
      </c>
      <c r="W974">
        <v>0</v>
      </c>
      <c r="X974">
        <v>8</v>
      </c>
      <c r="Y974">
        <v>0</v>
      </c>
      <c r="Z974" t="s">
        <v>111</v>
      </c>
      <c r="AA974">
        <v>0</v>
      </c>
      <c r="AB974" t="s">
        <v>111</v>
      </c>
      <c r="AC974">
        <v>0</v>
      </c>
      <c r="AD974" t="s">
        <v>111</v>
      </c>
      <c r="AE974">
        <v>0</v>
      </c>
      <c r="AF974">
        <v>0</v>
      </c>
      <c r="AG974" t="s">
        <v>111</v>
      </c>
      <c r="AH974" t="s">
        <v>111</v>
      </c>
      <c r="AI974" t="s">
        <v>111</v>
      </c>
      <c r="AJ974" t="s">
        <v>111</v>
      </c>
      <c r="AK974" t="s">
        <v>111</v>
      </c>
      <c r="AL974" t="s">
        <v>111</v>
      </c>
      <c r="AM974">
        <v>0</v>
      </c>
      <c r="AN974">
        <v>0</v>
      </c>
      <c r="AO974">
        <v>0</v>
      </c>
      <c r="AP974" t="s">
        <v>111</v>
      </c>
      <c r="AQ974" t="s">
        <v>111</v>
      </c>
      <c r="AR974" t="s">
        <v>111</v>
      </c>
      <c r="AS974" t="s">
        <v>111</v>
      </c>
      <c r="AT974" t="s">
        <v>111</v>
      </c>
      <c r="AU974" t="s">
        <v>111</v>
      </c>
      <c r="AV974" t="s">
        <v>111</v>
      </c>
      <c r="AW974" t="s">
        <v>111</v>
      </c>
      <c r="AX974" t="s">
        <v>111</v>
      </c>
      <c r="AY974" t="s">
        <v>111</v>
      </c>
      <c r="AZ974" t="s">
        <v>111</v>
      </c>
      <c r="BA974" t="s">
        <v>111</v>
      </c>
      <c r="BB974" t="s">
        <v>111</v>
      </c>
      <c r="BC974" t="s">
        <v>111</v>
      </c>
      <c r="BD974" t="s">
        <v>111</v>
      </c>
      <c r="BE974" t="s">
        <v>111</v>
      </c>
      <c r="BF974" t="s">
        <v>111</v>
      </c>
      <c r="BG974" t="s">
        <v>111</v>
      </c>
      <c r="BH974" t="s">
        <v>111</v>
      </c>
      <c r="BI974" t="s">
        <v>111</v>
      </c>
      <c r="BJ974" t="s">
        <v>111</v>
      </c>
      <c r="BK974" t="s">
        <v>111</v>
      </c>
      <c r="BL974" t="s">
        <v>111</v>
      </c>
      <c r="BM974" t="s">
        <v>111</v>
      </c>
      <c r="BN974" t="s">
        <v>111</v>
      </c>
      <c r="BO974" t="s">
        <v>111</v>
      </c>
      <c r="BP974" t="s">
        <v>111</v>
      </c>
      <c r="BQ974" t="s">
        <v>111</v>
      </c>
      <c r="BR974" t="s">
        <v>111</v>
      </c>
      <c r="BS974" t="s">
        <v>111</v>
      </c>
      <c r="BT974" t="s">
        <v>111</v>
      </c>
      <c r="BU974" t="s">
        <v>111</v>
      </c>
      <c r="BV974" t="s">
        <v>111</v>
      </c>
      <c r="BW974" t="s">
        <v>111</v>
      </c>
      <c r="BX974" t="s">
        <v>111</v>
      </c>
      <c r="BY974" t="s">
        <v>111</v>
      </c>
      <c r="BZ974" t="s">
        <v>111</v>
      </c>
      <c r="CA974" t="s">
        <v>111</v>
      </c>
      <c r="CB974" t="s">
        <v>111</v>
      </c>
      <c r="CC974" t="s">
        <v>111</v>
      </c>
      <c r="CD974" t="s">
        <v>111</v>
      </c>
      <c r="CE974" t="s">
        <v>111</v>
      </c>
      <c r="CF974" t="s">
        <v>111</v>
      </c>
      <c r="CG974" t="s">
        <v>111</v>
      </c>
      <c r="CH974" t="s">
        <v>111</v>
      </c>
      <c r="CI974" t="s">
        <v>111</v>
      </c>
      <c r="CJ974" t="s">
        <v>111</v>
      </c>
      <c r="CK974" t="s">
        <v>111</v>
      </c>
      <c r="CL974" t="s">
        <v>111</v>
      </c>
      <c r="CM974" t="s">
        <v>198</v>
      </c>
      <c r="CN974" t="s">
        <v>128</v>
      </c>
      <c r="CO974" t="s">
        <v>111</v>
      </c>
      <c r="CP974" t="s">
        <v>111</v>
      </c>
      <c r="CQ974">
        <v>0</v>
      </c>
      <c r="CR974">
        <v>0</v>
      </c>
      <c r="CS974">
        <v>0</v>
      </c>
      <c r="CT974" t="s">
        <v>168</v>
      </c>
      <c r="CU974">
        <v>0</v>
      </c>
      <c r="CV974" t="s">
        <v>111</v>
      </c>
      <c r="CW974" t="s">
        <v>111</v>
      </c>
      <c r="CX974" t="s">
        <v>111</v>
      </c>
      <c r="CY974">
        <v>0</v>
      </c>
      <c r="CZ974" t="s">
        <v>111</v>
      </c>
      <c r="DA974" t="s">
        <v>111</v>
      </c>
      <c r="DB974" t="s">
        <v>111</v>
      </c>
      <c r="DC974" t="s">
        <v>111</v>
      </c>
    </row>
    <row r="975" spans="1:107">
      <c r="A975">
        <v>469</v>
      </c>
      <c r="B975" t="s">
        <v>162</v>
      </c>
      <c r="C975" t="s">
        <v>3123</v>
      </c>
      <c r="D975" t="s">
        <v>3124</v>
      </c>
      <c r="E975" t="s">
        <v>3125</v>
      </c>
      <c r="F975" t="s">
        <v>431</v>
      </c>
      <c r="G975" t="s">
        <v>416</v>
      </c>
      <c r="H975">
        <v>1.5</v>
      </c>
      <c r="I975">
        <v>55</v>
      </c>
      <c r="J975">
        <v>0</v>
      </c>
      <c r="K975">
        <v>0</v>
      </c>
      <c r="L975" t="s">
        <v>112</v>
      </c>
      <c r="M975" t="s">
        <v>118</v>
      </c>
      <c r="N975">
        <v>40</v>
      </c>
      <c r="O975">
        <v>2</v>
      </c>
      <c r="P975" t="s">
        <v>138</v>
      </c>
      <c r="Q975">
        <v>40</v>
      </c>
      <c r="R975">
        <v>0</v>
      </c>
      <c r="S975">
        <v>0</v>
      </c>
      <c r="T975">
        <v>0</v>
      </c>
      <c r="U975" t="s">
        <v>1353</v>
      </c>
      <c r="V975">
        <v>0</v>
      </c>
      <c r="W975">
        <v>0</v>
      </c>
      <c r="X975">
        <v>0</v>
      </c>
      <c r="Y975">
        <v>25</v>
      </c>
      <c r="Z975" t="s">
        <v>111</v>
      </c>
      <c r="AA975">
        <v>0</v>
      </c>
      <c r="AB975" t="s">
        <v>111</v>
      </c>
      <c r="AC975">
        <v>0</v>
      </c>
      <c r="AD975" t="s">
        <v>416</v>
      </c>
      <c r="AE975">
        <v>0</v>
      </c>
      <c r="AF975">
        <v>0</v>
      </c>
      <c r="AG975" t="s">
        <v>1479</v>
      </c>
      <c r="AH975" t="s">
        <v>111</v>
      </c>
      <c r="AI975">
        <v>52</v>
      </c>
      <c r="AJ975" t="s">
        <v>111</v>
      </c>
      <c r="AK975" t="s">
        <v>111</v>
      </c>
      <c r="AL975" t="s">
        <v>111</v>
      </c>
      <c r="AM975">
        <v>0</v>
      </c>
      <c r="AN975">
        <v>0</v>
      </c>
      <c r="AO975">
        <v>0</v>
      </c>
      <c r="AP975" t="s">
        <v>111</v>
      </c>
      <c r="AQ975" t="s">
        <v>111</v>
      </c>
      <c r="AR975" t="s">
        <v>111</v>
      </c>
      <c r="AS975" t="s">
        <v>111</v>
      </c>
      <c r="AT975" t="s">
        <v>111</v>
      </c>
      <c r="AU975" t="s">
        <v>111</v>
      </c>
      <c r="AV975" t="s">
        <v>111</v>
      </c>
      <c r="AW975" t="s">
        <v>111</v>
      </c>
      <c r="AX975" t="s">
        <v>111</v>
      </c>
      <c r="AY975" t="s">
        <v>111</v>
      </c>
      <c r="AZ975" t="s">
        <v>111</v>
      </c>
      <c r="BA975" t="s">
        <v>111</v>
      </c>
      <c r="BB975" t="s">
        <v>111</v>
      </c>
      <c r="BC975" t="s">
        <v>111</v>
      </c>
      <c r="BD975" t="s">
        <v>111</v>
      </c>
      <c r="BE975" t="s">
        <v>111</v>
      </c>
      <c r="BF975" t="s">
        <v>111</v>
      </c>
      <c r="BG975" t="s">
        <v>111</v>
      </c>
      <c r="BH975" t="s">
        <v>111</v>
      </c>
      <c r="BI975" t="s">
        <v>111</v>
      </c>
      <c r="BJ975" t="s">
        <v>111</v>
      </c>
      <c r="BK975" t="s">
        <v>111</v>
      </c>
      <c r="BL975" t="s">
        <v>111</v>
      </c>
      <c r="BM975" t="s">
        <v>111</v>
      </c>
      <c r="BN975" t="s">
        <v>111</v>
      </c>
      <c r="BO975" t="s">
        <v>111</v>
      </c>
      <c r="BP975" t="s">
        <v>111</v>
      </c>
      <c r="BQ975" t="s">
        <v>111</v>
      </c>
      <c r="BR975" t="s">
        <v>111</v>
      </c>
      <c r="BS975" t="s">
        <v>111</v>
      </c>
      <c r="BT975" t="s">
        <v>111</v>
      </c>
      <c r="BU975" t="s">
        <v>111</v>
      </c>
      <c r="BV975" t="s">
        <v>111</v>
      </c>
      <c r="BW975" t="s">
        <v>111</v>
      </c>
      <c r="BX975" t="s">
        <v>111</v>
      </c>
      <c r="BY975" t="s">
        <v>111</v>
      </c>
      <c r="BZ975" t="s">
        <v>111</v>
      </c>
      <c r="CA975" t="s">
        <v>111</v>
      </c>
      <c r="CB975" t="s">
        <v>111</v>
      </c>
      <c r="CC975" t="s">
        <v>111</v>
      </c>
      <c r="CD975" t="s">
        <v>111</v>
      </c>
      <c r="CE975" t="s">
        <v>111</v>
      </c>
      <c r="CF975" t="s">
        <v>111</v>
      </c>
      <c r="CG975" t="s">
        <v>111</v>
      </c>
      <c r="CH975" t="s">
        <v>111</v>
      </c>
      <c r="CI975" t="s">
        <v>111</v>
      </c>
      <c r="CJ975" t="s">
        <v>111</v>
      </c>
      <c r="CK975" t="s">
        <v>111</v>
      </c>
      <c r="CL975" t="s">
        <v>153</v>
      </c>
      <c r="CM975" t="s">
        <v>198</v>
      </c>
      <c r="CN975" t="s">
        <v>113</v>
      </c>
      <c r="CO975" t="s">
        <v>111</v>
      </c>
      <c r="CP975" t="s">
        <v>433</v>
      </c>
      <c r="CQ975">
        <v>0</v>
      </c>
      <c r="CR975">
        <v>0</v>
      </c>
      <c r="CS975">
        <v>0</v>
      </c>
      <c r="CT975" t="s">
        <v>168</v>
      </c>
      <c r="CU975">
        <v>0</v>
      </c>
      <c r="CV975" t="s">
        <v>111</v>
      </c>
      <c r="CW975" t="s">
        <v>111</v>
      </c>
      <c r="CX975" t="s">
        <v>111</v>
      </c>
      <c r="CY975">
        <v>0</v>
      </c>
      <c r="CZ975" t="s">
        <v>111</v>
      </c>
      <c r="DA975" t="s">
        <v>111</v>
      </c>
      <c r="DB975" t="s">
        <v>111</v>
      </c>
      <c r="DC975" t="s">
        <v>111</v>
      </c>
    </row>
    <row r="976" spans="1:107">
      <c r="A976">
        <v>635</v>
      </c>
      <c r="B976" t="s">
        <v>162</v>
      </c>
      <c r="C976" t="s">
        <v>336</v>
      </c>
      <c r="D976" t="s">
        <v>1781</v>
      </c>
      <c r="E976" t="s">
        <v>3126</v>
      </c>
      <c r="F976" t="s">
        <v>125</v>
      </c>
      <c r="G976" t="s">
        <v>416</v>
      </c>
      <c r="H976">
        <v>1.9</v>
      </c>
      <c r="I976">
        <v>30</v>
      </c>
      <c r="J976">
        <v>0</v>
      </c>
      <c r="K976">
        <v>0</v>
      </c>
      <c r="L976" t="s">
        <v>112</v>
      </c>
      <c r="M976" t="s">
        <v>138</v>
      </c>
      <c r="N976">
        <v>0</v>
      </c>
      <c r="O976">
        <v>0</v>
      </c>
      <c r="P976" t="s">
        <v>138</v>
      </c>
      <c r="Q976">
        <v>30</v>
      </c>
      <c r="R976">
        <v>0</v>
      </c>
      <c r="S976">
        <v>0</v>
      </c>
      <c r="T976">
        <v>0</v>
      </c>
      <c r="U976" t="s">
        <v>2890</v>
      </c>
      <c r="V976">
        <v>25</v>
      </c>
      <c r="W976">
        <v>0</v>
      </c>
      <c r="X976">
        <v>10</v>
      </c>
      <c r="Y976">
        <v>0</v>
      </c>
      <c r="Z976" t="s">
        <v>111</v>
      </c>
      <c r="AA976">
        <v>0</v>
      </c>
      <c r="AB976" t="s">
        <v>111</v>
      </c>
      <c r="AC976">
        <v>0</v>
      </c>
      <c r="AD976" t="s">
        <v>111</v>
      </c>
      <c r="AE976">
        <v>0</v>
      </c>
      <c r="AF976">
        <v>0</v>
      </c>
      <c r="AG976" t="s">
        <v>111</v>
      </c>
      <c r="AH976" t="s">
        <v>111</v>
      </c>
      <c r="AI976" t="s">
        <v>111</v>
      </c>
      <c r="AJ976" t="s">
        <v>111</v>
      </c>
      <c r="AK976" t="s">
        <v>111</v>
      </c>
      <c r="AL976" t="s">
        <v>111</v>
      </c>
      <c r="AM976">
        <v>0</v>
      </c>
      <c r="AN976">
        <v>0</v>
      </c>
      <c r="AO976">
        <v>0</v>
      </c>
      <c r="AP976" t="s">
        <v>111</v>
      </c>
      <c r="AQ976" t="s">
        <v>111</v>
      </c>
      <c r="AR976" t="s">
        <v>111</v>
      </c>
      <c r="AS976" t="s">
        <v>111</v>
      </c>
      <c r="AT976" t="s">
        <v>111</v>
      </c>
      <c r="AU976" t="s">
        <v>111</v>
      </c>
      <c r="AV976" t="s">
        <v>111</v>
      </c>
      <c r="AW976" t="s">
        <v>111</v>
      </c>
      <c r="AX976" t="s">
        <v>111</v>
      </c>
      <c r="AY976" t="s">
        <v>111</v>
      </c>
      <c r="AZ976" t="s">
        <v>111</v>
      </c>
      <c r="BA976" t="s">
        <v>111</v>
      </c>
      <c r="BB976" t="s">
        <v>111</v>
      </c>
      <c r="BC976" t="s">
        <v>111</v>
      </c>
      <c r="BD976" t="s">
        <v>111</v>
      </c>
      <c r="BE976" t="s">
        <v>111</v>
      </c>
      <c r="BF976" t="s">
        <v>111</v>
      </c>
      <c r="BG976" t="s">
        <v>111</v>
      </c>
      <c r="BH976" t="s">
        <v>111</v>
      </c>
      <c r="BI976" t="s">
        <v>111</v>
      </c>
      <c r="BJ976" t="s">
        <v>111</v>
      </c>
      <c r="BK976" t="s">
        <v>111</v>
      </c>
      <c r="BL976" t="s">
        <v>111</v>
      </c>
      <c r="BM976" t="s">
        <v>111</v>
      </c>
      <c r="BN976" t="s">
        <v>111</v>
      </c>
      <c r="BO976" t="s">
        <v>111</v>
      </c>
      <c r="BP976" t="s">
        <v>111</v>
      </c>
      <c r="BQ976" t="s">
        <v>111</v>
      </c>
      <c r="BR976" t="s">
        <v>111</v>
      </c>
      <c r="BS976" t="s">
        <v>111</v>
      </c>
      <c r="BT976" t="s">
        <v>111</v>
      </c>
      <c r="BU976" t="s">
        <v>111</v>
      </c>
      <c r="BV976" t="s">
        <v>111</v>
      </c>
      <c r="BW976" t="s">
        <v>111</v>
      </c>
      <c r="BX976" t="s">
        <v>111</v>
      </c>
      <c r="BY976" t="s">
        <v>111</v>
      </c>
      <c r="BZ976" t="s">
        <v>111</v>
      </c>
      <c r="CA976" t="s">
        <v>111</v>
      </c>
      <c r="CB976" t="s">
        <v>111</v>
      </c>
      <c r="CC976" t="s">
        <v>111</v>
      </c>
      <c r="CD976" t="s">
        <v>111</v>
      </c>
      <c r="CE976" t="s">
        <v>111</v>
      </c>
      <c r="CF976" t="s">
        <v>111</v>
      </c>
      <c r="CG976" t="s">
        <v>111</v>
      </c>
      <c r="CH976" t="s">
        <v>111</v>
      </c>
      <c r="CI976" t="s">
        <v>111</v>
      </c>
      <c r="CJ976" t="s">
        <v>111</v>
      </c>
      <c r="CK976" t="s">
        <v>111</v>
      </c>
      <c r="CL976" t="s">
        <v>111</v>
      </c>
      <c r="CM976" t="s">
        <v>111</v>
      </c>
      <c r="CN976" t="s">
        <v>111</v>
      </c>
      <c r="CO976" t="s">
        <v>111</v>
      </c>
      <c r="CP976" t="s">
        <v>111</v>
      </c>
      <c r="CQ976">
        <v>0</v>
      </c>
      <c r="CR976">
        <v>800</v>
      </c>
      <c r="CS976">
        <v>50</v>
      </c>
      <c r="CT976" t="s">
        <v>111</v>
      </c>
      <c r="CU976">
        <v>0</v>
      </c>
      <c r="CV976" t="s">
        <v>111</v>
      </c>
      <c r="CW976" t="s">
        <v>111</v>
      </c>
      <c r="CX976" t="s">
        <v>111</v>
      </c>
      <c r="CY976">
        <v>0</v>
      </c>
      <c r="CZ976" t="s">
        <v>111</v>
      </c>
      <c r="DA976" t="s">
        <v>111</v>
      </c>
      <c r="DB976" t="s">
        <v>204</v>
      </c>
      <c r="DC976" s="1" t="s">
        <v>205</v>
      </c>
    </row>
    <row r="977" spans="1:107">
      <c r="A977">
        <v>675</v>
      </c>
      <c r="B977" t="s">
        <v>162</v>
      </c>
      <c r="C977" t="s">
        <v>892</v>
      </c>
      <c r="D977" t="s">
        <v>3127</v>
      </c>
      <c r="E977" t="s">
        <v>3128</v>
      </c>
      <c r="F977" t="s">
        <v>431</v>
      </c>
      <c r="G977" t="s">
        <v>416</v>
      </c>
      <c r="H977">
        <v>2</v>
      </c>
      <c r="I977">
        <v>60</v>
      </c>
      <c r="J977">
        <v>0</v>
      </c>
      <c r="K977">
        <v>0</v>
      </c>
      <c r="L977" t="s">
        <v>117</v>
      </c>
      <c r="M977" t="s">
        <v>118</v>
      </c>
      <c r="N977">
        <v>40</v>
      </c>
      <c r="O977">
        <v>2</v>
      </c>
      <c r="P977" t="s">
        <v>138</v>
      </c>
      <c r="Q977">
        <v>30</v>
      </c>
      <c r="R977">
        <v>0</v>
      </c>
      <c r="S977">
        <v>0</v>
      </c>
      <c r="T977">
        <v>0</v>
      </c>
      <c r="U977" t="s">
        <v>1353</v>
      </c>
      <c r="V977">
        <v>0</v>
      </c>
      <c r="W977">
        <v>25</v>
      </c>
      <c r="X977">
        <v>8</v>
      </c>
      <c r="Y977">
        <v>0</v>
      </c>
      <c r="Z977" t="s">
        <v>111</v>
      </c>
      <c r="AA977">
        <v>0</v>
      </c>
      <c r="AB977" t="s">
        <v>111</v>
      </c>
      <c r="AC977">
        <v>0</v>
      </c>
      <c r="AD977" t="s">
        <v>416</v>
      </c>
      <c r="AE977">
        <v>4</v>
      </c>
      <c r="AF977">
        <v>2</v>
      </c>
      <c r="AG977">
        <v>21</v>
      </c>
      <c r="AH977" t="s">
        <v>111</v>
      </c>
      <c r="AI977">
        <v>42</v>
      </c>
      <c r="AJ977" t="s">
        <v>111</v>
      </c>
      <c r="AK977" t="s">
        <v>111</v>
      </c>
      <c r="AL977" t="s">
        <v>111</v>
      </c>
      <c r="AM977">
        <v>0</v>
      </c>
      <c r="AN977">
        <v>0</v>
      </c>
      <c r="AO977">
        <v>0</v>
      </c>
      <c r="AP977" t="s">
        <v>111</v>
      </c>
      <c r="AQ977" t="s">
        <v>111</v>
      </c>
      <c r="AR977" t="s">
        <v>111</v>
      </c>
      <c r="AS977" t="s">
        <v>111</v>
      </c>
      <c r="AT977" t="s">
        <v>111</v>
      </c>
      <c r="AU977" t="s">
        <v>111</v>
      </c>
      <c r="AV977" t="s">
        <v>111</v>
      </c>
      <c r="AW977" t="s">
        <v>111</v>
      </c>
      <c r="AX977" t="s">
        <v>111</v>
      </c>
      <c r="AY977" t="s">
        <v>111</v>
      </c>
      <c r="AZ977" t="s">
        <v>111</v>
      </c>
      <c r="BA977" t="s">
        <v>111</v>
      </c>
      <c r="BB977" t="s">
        <v>111</v>
      </c>
      <c r="BC977" t="s">
        <v>111</v>
      </c>
      <c r="BD977" t="s">
        <v>111</v>
      </c>
      <c r="BE977" t="s">
        <v>111</v>
      </c>
      <c r="BF977" t="s">
        <v>111</v>
      </c>
      <c r="BG977" t="s">
        <v>111</v>
      </c>
      <c r="BH977" t="s">
        <v>111</v>
      </c>
      <c r="BI977" t="s">
        <v>111</v>
      </c>
      <c r="BJ977" t="s">
        <v>111</v>
      </c>
      <c r="BK977" t="s">
        <v>111</v>
      </c>
      <c r="BL977" t="s">
        <v>111</v>
      </c>
      <c r="BM977" t="s">
        <v>111</v>
      </c>
      <c r="BN977" t="s">
        <v>111</v>
      </c>
      <c r="BO977" t="s">
        <v>111</v>
      </c>
      <c r="BP977" t="s">
        <v>111</v>
      </c>
      <c r="BQ977" t="s">
        <v>111</v>
      </c>
      <c r="BR977" t="s">
        <v>111</v>
      </c>
      <c r="BS977" t="s">
        <v>111</v>
      </c>
      <c r="BT977" t="s">
        <v>111</v>
      </c>
      <c r="BU977" t="s">
        <v>111</v>
      </c>
      <c r="BV977" t="s">
        <v>111</v>
      </c>
      <c r="BW977" t="s">
        <v>111</v>
      </c>
      <c r="BX977" t="s">
        <v>111</v>
      </c>
      <c r="BY977" t="s">
        <v>111</v>
      </c>
      <c r="BZ977" t="s">
        <v>111</v>
      </c>
      <c r="CA977" t="s">
        <v>111</v>
      </c>
      <c r="CB977" t="s">
        <v>111</v>
      </c>
      <c r="CC977" t="s">
        <v>111</v>
      </c>
      <c r="CD977" t="s">
        <v>111</v>
      </c>
      <c r="CE977" t="s">
        <v>111</v>
      </c>
      <c r="CF977" t="s">
        <v>111</v>
      </c>
      <c r="CG977" t="s">
        <v>111</v>
      </c>
      <c r="CH977" t="s">
        <v>111</v>
      </c>
      <c r="CI977" t="s">
        <v>111</v>
      </c>
      <c r="CJ977" t="s">
        <v>111</v>
      </c>
      <c r="CK977" t="s">
        <v>111</v>
      </c>
      <c r="CL977" t="s">
        <v>153</v>
      </c>
      <c r="CM977" t="s">
        <v>198</v>
      </c>
      <c r="CN977" t="s">
        <v>113</v>
      </c>
      <c r="CO977" t="s">
        <v>111</v>
      </c>
      <c r="CP977" t="s">
        <v>433</v>
      </c>
      <c r="CQ977">
        <v>0</v>
      </c>
      <c r="CR977">
        <v>0</v>
      </c>
      <c r="CS977">
        <v>0</v>
      </c>
      <c r="CT977" s="1" t="s">
        <v>3129</v>
      </c>
      <c r="CU977">
        <v>0</v>
      </c>
      <c r="CV977" t="s">
        <v>111</v>
      </c>
      <c r="CW977" t="s">
        <v>111</v>
      </c>
      <c r="CX977" t="s">
        <v>111</v>
      </c>
      <c r="CY977">
        <v>0</v>
      </c>
      <c r="CZ977" t="s">
        <v>111</v>
      </c>
      <c r="DA977" t="s">
        <v>111</v>
      </c>
      <c r="DB977" t="s">
        <v>111</v>
      </c>
      <c r="DC977" t="s">
        <v>111</v>
      </c>
    </row>
    <row r="978" spans="1:107">
      <c r="A978">
        <v>146</v>
      </c>
      <c r="B978" t="s">
        <v>162</v>
      </c>
      <c r="C978" t="s">
        <v>3130</v>
      </c>
      <c r="D978" t="s">
        <v>3131</v>
      </c>
      <c r="E978" t="s">
        <v>3132</v>
      </c>
      <c r="F978" t="s">
        <v>739</v>
      </c>
      <c r="G978" t="s">
        <v>416</v>
      </c>
      <c r="H978">
        <v>2.9</v>
      </c>
      <c r="I978">
        <v>52</v>
      </c>
      <c r="J978">
        <v>0</v>
      </c>
      <c r="K978">
        <v>0</v>
      </c>
      <c r="L978" t="s">
        <v>112</v>
      </c>
      <c r="M978" t="s">
        <v>118</v>
      </c>
      <c r="N978">
        <v>40</v>
      </c>
      <c r="O978">
        <v>2</v>
      </c>
      <c r="P978" t="s">
        <v>138</v>
      </c>
      <c r="Q978">
        <v>35</v>
      </c>
      <c r="R978">
        <v>0</v>
      </c>
      <c r="S978">
        <v>0</v>
      </c>
      <c r="T978">
        <v>0</v>
      </c>
      <c r="U978" t="s">
        <v>1353</v>
      </c>
      <c r="V978">
        <v>0</v>
      </c>
      <c r="W978">
        <v>25</v>
      </c>
      <c r="X978">
        <v>10</v>
      </c>
      <c r="Y978">
        <v>0</v>
      </c>
      <c r="Z978" t="s">
        <v>288</v>
      </c>
      <c r="AA978">
        <v>1.75</v>
      </c>
      <c r="AB978" t="s">
        <v>111</v>
      </c>
      <c r="AC978">
        <v>0</v>
      </c>
      <c r="AD978" t="s">
        <v>416</v>
      </c>
      <c r="AE978">
        <v>4</v>
      </c>
      <c r="AF978">
        <v>1</v>
      </c>
      <c r="AG978">
        <v>32</v>
      </c>
      <c r="AH978" t="s">
        <v>111</v>
      </c>
      <c r="AI978">
        <v>32</v>
      </c>
      <c r="AJ978" t="s">
        <v>111</v>
      </c>
      <c r="AK978" t="s">
        <v>111</v>
      </c>
      <c r="AL978" t="s">
        <v>111</v>
      </c>
      <c r="AM978">
        <v>0</v>
      </c>
      <c r="AN978">
        <v>0</v>
      </c>
      <c r="AO978">
        <v>0</v>
      </c>
      <c r="AP978" t="s">
        <v>184</v>
      </c>
      <c r="AQ978" t="s">
        <v>111</v>
      </c>
      <c r="AR978" t="s">
        <v>111</v>
      </c>
      <c r="AS978" t="s">
        <v>111</v>
      </c>
      <c r="AT978" t="s">
        <v>772</v>
      </c>
      <c r="AU978" t="s">
        <v>3133</v>
      </c>
      <c r="AV978" t="s">
        <v>111</v>
      </c>
      <c r="AW978" t="s">
        <v>111</v>
      </c>
      <c r="AX978" t="s">
        <v>188</v>
      </c>
      <c r="AY978" t="s">
        <v>111</v>
      </c>
      <c r="AZ978" t="s">
        <v>111</v>
      </c>
      <c r="BA978" t="s">
        <v>111</v>
      </c>
      <c r="BB978" t="s">
        <v>147</v>
      </c>
      <c r="BC978" t="s">
        <v>111</v>
      </c>
      <c r="BD978" t="s">
        <v>111</v>
      </c>
      <c r="BE978" t="s">
        <v>111</v>
      </c>
      <c r="BF978" t="s">
        <v>111</v>
      </c>
      <c r="BG978" t="s">
        <v>111</v>
      </c>
      <c r="BH978" t="s">
        <v>111</v>
      </c>
      <c r="BI978" t="s">
        <v>111</v>
      </c>
      <c r="BJ978" t="s">
        <v>111</v>
      </c>
      <c r="BK978" t="s">
        <v>111</v>
      </c>
      <c r="BL978" t="s">
        <v>111</v>
      </c>
      <c r="BM978" t="s">
        <v>111</v>
      </c>
      <c r="BN978" t="s">
        <v>111</v>
      </c>
      <c r="BO978" t="s">
        <v>111</v>
      </c>
      <c r="BP978" t="s">
        <v>111</v>
      </c>
      <c r="BQ978" t="s">
        <v>111</v>
      </c>
      <c r="BR978" t="s">
        <v>111</v>
      </c>
      <c r="BS978" t="s">
        <v>111</v>
      </c>
      <c r="BT978" t="s">
        <v>111</v>
      </c>
      <c r="BU978" t="s">
        <v>111</v>
      </c>
      <c r="BV978" t="s">
        <v>111</v>
      </c>
      <c r="BW978" t="s">
        <v>111</v>
      </c>
      <c r="BX978" t="s">
        <v>111</v>
      </c>
      <c r="BY978" t="s">
        <v>111</v>
      </c>
      <c r="BZ978" t="s">
        <v>111</v>
      </c>
      <c r="CA978" t="s">
        <v>111</v>
      </c>
      <c r="CB978" t="s">
        <v>111</v>
      </c>
      <c r="CC978" t="s">
        <v>111</v>
      </c>
      <c r="CD978" t="s">
        <v>111</v>
      </c>
      <c r="CE978" t="s">
        <v>111</v>
      </c>
      <c r="CF978" t="s">
        <v>111</v>
      </c>
      <c r="CG978" t="s">
        <v>111</v>
      </c>
      <c r="CH978" t="s">
        <v>111</v>
      </c>
      <c r="CI978" t="s">
        <v>111</v>
      </c>
      <c r="CJ978" t="s">
        <v>111</v>
      </c>
      <c r="CK978" t="s">
        <v>111</v>
      </c>
      <c r="CL978" s="1" t="s">
        <v>2723</v>
      </c>
      <c r="CM978" t="s">
        <v>198</v>
      </c>
      <c r="CN978" t="s">
        <v>113</v>
      </c>
      <c r="CO978" t="s">
        <v>1348</v>
      </c>
      <c r="CP978" t="s">
        <v>433</v>
      </c>
      <c r="CQ978">
        <v>0</v>
      </c>
      <c r="CR978">
        <v>0</v>
      </c>
      <c r="CS978">
        <v>0</v>
      </c>
      <c r="CT978" t="s">
        <v>2890</v>
      </c>
      <c r="CU978">
        <v>0</v>
      </c>
      <c r="CV978" t="s">
        <v>111</v>
      </c>
      <c r="CW978" t="s">
        <v>111</v>
      </c>
      <c r="CX978" t="s">
        <v>111</v>
      </c>
      <c r="CY978">
        <v>0</v>
      </c>
      <c r="CZ978" t="s">
        <v>111</v>
      </c>
      <c r="DA978" t="s">
        <v>111</v>
      </c>
      <c r="DB978" t="s">
        <v>204</v>
      </c>
      <c r="DC978" s="1" t="s">
        <v>1350</v>
      </c>
    </row>
    <row r="979" spans="1:107">
      <c r="A979">
        <v>641</v>
      </c>
      <c r="B979" t="s">
        <v>162</v>
      </c>
      <c r="C979" t="s">
        <v>428</v>
      </c>
      <c r="D979" t="s">
        <v>3134</v>
      </c>
      <c r="E979" t="s">
        <v>3135</v>
      </c>
      <c r="F979" t="s">
        <v>431</v>
      </c>
      <c r="G979" t="s">
        <v>416</v>
      </c>
      <c r="H979">
        <v>1.2</v>
      </c>
      <c r="I979">
        <v>59</v>
      </c>
      <c r="J979">
        <v>0</v>
      </c>
      <c r="K979">
        <v>0</v>
      </c>
      <c r="L979" t="s">
        <v>112</v>
      </c>
      <c r="M979" t="s">
        <v>118</v>
      </c>
      <c r="N979">
        <v>40</v>
      </c>
      <c r="O979">
        <v>1</v>
      </c>
      <c r="P979" t="s">
        <v>138</v>
      </c>
      <c r="Q979">
        <v>48.6</v>
      </c>
      <c r="R979">
        <v>0</v>
      </c>
      <c r="S979">
        <v>0</v>
      </c>
      <c r="T979">
        <v>3</v>
      </c>
      <c r="U979" t="s">
        <v>1353</v>
      </c>
      <c r="V979">
        <v>0</v>
      </c>
      <c r="W979">
        <v>25</v>
      </c>
      <c r="X979">
        <v>8</v>
      </c>
      <c r="Y979">
        <v>0</v>
      </c>
      <c r="Z979" t="s">
        <v>111</v>
      </c>
      <c r="AA979">
        <v>0</v>
      </c>
      <c r="AB979" t="s">
        <v>111</v>
      </c>
      <c r="AC979">
        <v>0</v>
      </c>
      <c r="AD979" t="s">
        <v>416</v>
      </c>
      <c r="AE979">
        <v>1</v>
      </c>
      <c r="AF979">
        <v>1</v>
      </c>
      <c r="AG979">
        <v>47</v>
      </c>
      <c r="AH979" t="s">
        <v>113</v>
      </c>
      <c r="AI979">
        <v>48</v>
      </c>
      <c r="AJ979" t="s">
        <v>111</v>
      </c>
      <c r="AK979" t="s">
        <v>111</v>
      </c>
      <c r="AL979" t="s">
        <v>111</v>
      </c>
      <c r="AM979">
        <v>0</v>
      </c>
      <c r="AN979">
        <v>0</v>
      </c>
      <c r="AO979">
        <v>0</v>
      </c>
      <c r="AP979" t="s">
        <v>111</v>
      </c>
      <c r="AQ979" t="s">
        <v>111</v>
      </c>
      <c r="AR979" t="s">
        <v>111</v>
      </c>
      <c r="AS979" t="s">
        <v>111</v>
      </c>
      <c r="AT979" t="s">
        <v>111</v>
      </c>
      <c r="AU979" t="s">
        <v>111</v>
      </c>
      <c r="AV979" t="s">
        <v>111</v>
      </c>
      <c r="AW979" t="s">
        <v>111</v>
      </c>
      <c r="AX979" t="s">
        <v>111</v>
      </c>
      <c r="AY979" t="s">
        <v>111</v>
      </c>
      <c r="AZ979" t="s">
        <v>111</v>
      </c>
      <c r="BA979" t="s">
        <v>111</v>
      </c>
      <c r="BB979" t="s">
        <v>111</v>
      </c>
      <c r="BC979" t="s">
        <v>111</v>
      </c>
      <c r="BD979" t="s">
        <v>111</v>
      </c>
      <c r="BE979" t="s">
        <v>111</v>
      </c>
      <c r="BF979" t="s">
        <v>111</v>
      </c>
      <c r="BG979" t="s">
        <v>111</v>
      </c>
      <c r="BH979" t="s">
        <v>111</v>
      </c>
      <c r="BI979" t="s">
        <v>111</v>
      </c>
      <c r="BJ979" t="s">
        <v>111</v>
      </c>
      <c r="BK979" t="s">
        <v>111</v>
      </c>
      <c r="BL979" t="s">
        <v>111</v>
      </c>
      <c r="BM979" t="s">
        <v>111</v>
      </c>
      <c r="BN979" t="s">
        <v>111</v>
      </c>
      <c r="BO979" t="s">
        <v>111</v>
      </c>
      <c r="BP979" t="s">
        <v>111</v>
      </c>
      <c r="BQ979" t="s">
        <v>111</v>
      </c>
      <c r="BR979" t="s">
        <v>111</v>
      </c>
      <c r="BS979" t="s">
        <v>111</v>
      </c>
      <c r="BT979" t="s">
        <v>111</v>
      </c>
      <c r="BU979" t="s">
        <v>111</v>
      </c>
      <c r="BV979" t="s">
        <v>111</v>
      </c>
      <c r="BW979" t="s">
        <v>111</v>
      </c>
      <c r="BX979" t="s">
        <v>111</v>
      </c>
      <c r="BY979" t="s">
        <v>111</v>
      </c>
      <c r="BZ979" t="s">
        <v>111</v>
      </c>
      <c r="CA979" t="s">
        <v>111</v>
      </c>
      <c r="CB979" t="s">
        <v>111</v>
      </c>
      <c r="CC979" t="s">
        <v>111</v>
      </c>
      <c r="CD979" t="s">
        <v>111</v>
      </c>
      <c r="CE979" t="s">
        <v>111</v>
      </c>
      <c r="CF979" t="s">
        <v>111</v>
      </c>
      <c r="CG979" t="s">
        <v>111</v>
      </c>
      <c r="CH979" t="s">
        <v>111</v>
      </c>
      <c r="CI979" t="s">
        <v>111</v>
      </c>
      <c r="CJ979" t="s">
        <v>111</v>
      </c>
      <c r="CK979" t="s">
        <v>111</v>
      </c>
      <c r="CL979" t="s">
        <v>153</v>
      </c>
      <c r="CM979" t="s">
        <v>198</v>
      </c>
      <c r="CN979" t="s">
        <v>113</v>
      </c>
      <c r="CO979" t="s">
        <v>111</v>
      </c>
      <c r="CP979" t="s">
        <v>433</v>
      </c>
      <c r="CQ979">
        <v>50</v>
      </c>
      <c r="CR979">
        <v>1500</v>
      </c>
      <c r="CS979">
        <v>100</v>
      </c>
      <c r="CT979" t="s">
        <v>168</v>
      </c>
      <c r="CU979">
        <v>0</v>
      </c>
      <c r="CV979" t="s">
        <v>111</v>
      </c>
      <c r="CW979" t="s">
        <v>111</v>
      </c>
      <c r="CX979" t="s">
        <v>111</v>
      </c>
      <c r="CY979">
        <v>0</v>
      </c>
      <c r="CZ979" t="s">
        <v>111</v>
      </c>
      <c r="DA979" t="s">
        <v>111</v>
      </c>
      <c r="DB979" t="s">
        <v>111</v>
      </c>
      <c r="DC979" t="s">
        <v>111</v>
      </c>
    </row>
    <row r="980" spans="1:107">
      <c r="A980">
        <v>640</v>
      </c>
      <c r="B980" t="s">
        <v>162</v>
      </c>
      <c r="C980" t="s">
        <v>267</v>
      </c>
      <c r="D980" t="s">
        <v>3136</v>
      </c>
      <c r="E980" t="s">
        <v>3137</v>
      </c>
      <c r="F980" t="s">
        <v>125</v>
      </c>
      <c r="G980" t="s">
        <v>416</v>
      </c>
      <c r="H980">
        <v>0.9</v>
      </c>
      <c r="I980">
        <v>60</v>
      </c>
      <c r="J980">
        <v>0</v>
      </c>
      <c r="K980">
        <v>0</v>
      </c>
      <c r="L980" t="s">
        <v>112</v>
      </c>
      <c r="M980" t="s">
        <v>138</v>
      </c>
      <c r="N980">
        <v>0</v>
      </c>
      <c r="O980">
        <v>0</v>
      </c>
      <c r="P980" t="s">
        <v>138</v>
      </c>
      <c r="Q980">
        <v>45</v>
      </c>
      <c r="R980">
        <v>0</v>
      </c>
      <c r="S980">
        <v>0</v>
      </c>
      <c r="T980">
        <v>0</v>
      </c>
      <c r="U980" t="s">
        <v>153</v>
      </c>
      <c r="V980">
        <v>25</v>
      </c>
      <c r="W980">
        <v>0</v>
      </c>
      <c r="X980">
        <v>8</v>
      </c>
      <c r="Y980">
        <v>0</v>
      </c>
      <c r="Z980" t="s">
        <v>111</v>
      </c>
      <c r="AA980">
        <v>0</v>
      </c>
      <c r="AB980" t="s">
        <v>111</v>
      </c>
      <c r="AC980">
        <v>0</v>
      </c>
      <c r="AD980" t="s">
        <v>111</v>
      </c>
      <c r="AE980">
        <v>0</v>
      </c>
      <c r="AF980">
        <v>0</v>
      </c>
      <c r="AG980" t="s">
        <v>111</v>
      </c>
      <c r="AH980" t="s">
        <v>111</v>
      </c>
      <c r="AI980" t="s">
        <v>111</v>
      </c>
      <c r="AJ980" t="s">
        <v>111</v>
      </c>
      <c r="AK980" t="s">
        <v>111</v>
      </c>
      <c r="AL980" t="s">
        <v>111</v>
      </c>
      <c r="AM980">
        <v>0</v>
      </c>
      <c r="AN980">
        <v>0</v>
      </c>
      <c r="AO980">
        <v>0</v>
      </c>
      <c r="AP980" t="s">
        <v>111</v>
      </c>
      <c r="AQ980" t="s">
        <v>111</v>
      </c>
      <c r="AR980" t="s">
        <v>111</v>
      </c>
      <c r="AS980" t="s">
        <v>111</v>
      </c>
      <c r="AT980" t="s">
        <v>111</v>
      </c>
      <c r="AU980" t="s">
        <v>111</v>
      </c>
      <c r="AV980" t="s">
        <v>111</v>
      </c>
      <c r="AW980" t="s">
        <v>111</v>
      </c>
      <c r="AX980" t="s">
        <v>111</v>
      </c>
      <c r="AY980" t="s">
        <v>111</v>
      </c>
      <c r="AZ980" t="s">
        <v>111</v>
      </c>
      <c r="BA980" t="s">
        <v>111</v>
      </c>
      <c r="BB980" t="s">
        <v>111</v>
      </c>
      <c r="BC980" t="s">
        <v>111</v>
      </c>
      <c r="BD980" t="s">
        <v>111</v>
      </c>
      <c r="BE980" t="s">
        <v>111</v>
      </c>
      <c r="BF980" t="s">
        <v>111</v>
      </c>
      <c r="BG980" t="s">
        <v>111</v>
      </c>
      <c r="BH980" t="s">
        <v>111</v>
      </c>
      <c r="BI980" t="s">
        <v>111</v>
      </c>
      <c r="BJ980" t="s">
        <v>111</v>
      </c>
      <c r="BK980" t="s">
        <v>111</v>
      </c>
      <c r="BL980" t="s">
        <v>111</v>
      </c>
      <c r="BM980" t="s">
        <v>111</v>
      </c>
      <c r="BN980" t="s">
        <v>111</v>
      </c>
      <c r="BO980" t="s">
        <v>111</v>
      </c>
      <c r="BP980" t="s">
        <v>111</v>
      </c>
      <c r="BQ980" t="s">
        <v>111</v>
      </c>
      <c r="BR980" t="s">
        <v>111</v>
      </c>
      <c r="BS980" t="s">
        <v>111</v>
      </c>
      <c r="BT980" t="s">
        <v>111</v>
      </c>
      <c r="BU980" t="s">
        <v>111</v>
      </c>
      <c r="BV980" t="s">
        <v>111</v>
      </c>
      <c r="BW980" t="s">
        <v>111</v>
      </c>
      <c r="BX980" t="s">
        <v>111</v>
      </c>
      <c r="BY980" t="s">
        <v>111</v>
      </c>
      <c r="BZ980" t="s">
        <v>111</v>
      </c>
      <c r="CA980" t="s">
        <v>111</v>
      </c>
      <c r="CB980" t="s">
        <v>111</v>
      </c>
      <c r="CC980" t="s">
        <v>111</v>
      </c>
      <c r="CD980" t="s">
        <v>111</v>
      </c>
      <c r="CE980" t="s">
        <v>111</v>
      </c>
      <c r="CF980" t="s">
        <v>111</v>
      </c>
      <c r="CG980" t="s">
        <v>111</v>
      </c>
      <c r="CH980" t="s">
        <v>111</v>
      </c>
      <c r="CI980" t="s">
        <v>111</v>
      </c>
      <c r="CJ980" t="s">
        <v>111</v>
      </c>
      <c r="CK980" t="s">
        <v>111</v>
      </c>
      <c r="CL980" t="s">
        <v>111</v>
      </c>
      <c r="CM980" t="s">
        <v>198</v>
      </c>
      <c r="CN980" t="s">
        <v>113</v>
      </c>
      <c r="CO980" t="s">
        <v>111</v>
      </c>
      <c r="CP980" t="s">
        <v>111</v>
      </c>
      <c r="CQ980">
        <v>0</v>
      </c>
      <c r="CR980">
        <v>0</v>
      </c>
      <c r="CS980">
        <v>0</v>
      </c>
      <c r="CT980" t="s">
        <v>168</v>
      </c>
      <c r="CU980">
        <v>0</v>
      </c>
      <c r="CV980" t="s">
        <v>111</v>
      </c>
      <c r="CW980" t="s">
        <v>111</v>
      </c>
      <c r="CX980" t="s">
        <v>111</v>
      </c>
      <c r="CY980">
        <v>0</v>
      </c>
      <c r="CZ980" t="s">
        <v>111</v>
      </c>
      <c r="DA980" t="s">
        <v>111</v>
      </c>
      <c r="DB980" t="s">
        <v>111</v>
      </c>
      <c r="DC980" t="s">
        <v>111</v>
      </c>
    </row>
    <row r="981" spans="1:107">
      <c r="A981">
        <v>148</v>
      </c>
      <c r="B981" t="s">
        <v>162</v>
      </c>
      <c r="C981" t="s">
        <v>3138</v>
      </c>
      <c r="D981" t="s">
        <v>3139</v>
      </c>
      <c r="E981" t="s">
        <v>3140</v>
      </c>
      <c r="F981" t="s">
        <v>370</v>
      </c>
      <c r="G981" t="s">
        <v>416</v>
      </c>
      <c r="H981">
        <v>0.9</v>
      </c>
      <c r="I981">
        <v>60</v>
      </c>
      <c r="J981">
        <v>0</v>
      </c>
      <c r="K981">
        <v>0</v>
      </c>
      <c r="L981" t="s">
        <v>112</v>
      </c>
      <c r="M981" t="s">
        <v>118</v>
      </c>
      <c r="N981">
        <v>40</v>
      </c>
      <c r="O981">
        <v>2</v>
      </c>
      <c r="P981" t="s">
        <v>138</v>
      </c>
      <c r="Q981">
        <v>40</v>
      </c>
      <c r="R981">
        <v>0</v>
      </c>
      <c r="S981">
        <v>0</v>
      </c>
      <c r="T981">
        <v>0</v>
      </c>
      <c r="U981" t="s">
        <v>1353</v>
      </c>
      <c r="V981">
        <v>25</v>
      </c>
      <c r="W981">
        <v>0</v>
      </c>
      <c r="X981">
        <v>8</v>
      </c>
      <c r="Y981">
        <v>0</v>
      </c>
      <c r="Z981" t="s">
        <v>288</v>
      </c>
      <c r="AA981">
        <v>0</v>
      </c>
      <c r="AB981" t="s">
        <v>111</v>
      </c>
      <c r="AC981">
        <v>0</v>
      </c>
      <c r="AD981" t="s">
        <v>416</v>
      </c>
      <c r="AE981">
        <v>2</v>
      </c>
      <c r="AF981">
        <v>2</v>
      </c>
      <c r="AG981">
        <v>84</v>
      </c>
      <c r="AH981" t="s">
        <v>111</v>
      </c>
      <c r="AI981">
        <v>42</v>
      </c>
      <c r="AJ981" t="s">
        <v>111</v>
      </c>
      <c r="AK981" t="s">
        <v>111</v>
      </c>
      <c r="AL981" t="s">
        <v>111</v>
      </c>
      <c r="AM981">
        <v>0</v>
      </c>
      <c r="AN981">
        <v>0</v>
      </c>
      <c r="AO981">
        <v>0</v>
      </c>
      <c r="AP981" t="s">
        <v>188</v>
      </c>
      <c r="AQ981" t="s">
        <v>111</v>
      </c>
      <c r="AR981" t="s">
        <v>111</v>
      </c>
      <c r="AS981" t="s">
        <v>111</v>
      </c>
      <c r="AT981" t="s">
        <v>147</v>
      </c>
      <c r="AU981" t="s">
        <v>111</v>
      </c>
      <c r="AV981" t="s">
        <v>111</v>
      </c>
      <c r="AW981" t="s">
        <v>111</v>
      </c>
      <c r="AX981" t="s">
        <v>111</v>
      </c>
      <c r="AY981" t="s">
        <v>111</v>
      </c>
      <c r="AZ981" t="s">
        <v>111</v>
      </c>
      <c r="BA981" t="s">
        <v>111</v>
      </c>
      <c r="BB981" t="s">
        <v>111</v>
      </c>
      <c r="BC981" t="s">
        <v>111</v>
      </c>
      <c r="BD981" t="s">
        <v>111</v>
      </c>
      <c r="BE981" t="s">
        <v>111</v>
      </c>
      <c r="BF981" t="s">
        <v>111</v>
      </c>
      <c r="BG981" t="s">
        <v>111</v>
      </c>
      <c r="BH981" t="s">
        <v>111</v>
      </c>
      <c r="BI981" t="s">
        <v>111</v>
      </c>
      <c r="BJ981" t="s">
        <v>111</v>
      </c>
      <c r="BK981" t="s">
        <v>111</v>
      </c>
      <c r="BL981" t="s">
        <v>111</v>
      </c>
      <c r="BM981" t="s">
        <v>111</v>
      </c>
      <c r="BN981" t="s">
        <v>111</v>
      </c>
      <c r="BO981" t="s">
        <v>111</v>
      </c>
      <c r="BP981" t="s">
        <v>111</v>
      </c>
      <c r="BQ981" t="s">
        <v>111</v>
      </c>
      <c r="BR981" t="s">
        <v>111</v>
      </c>
      <c r="BS981" t="s">
        <v>111</v>
      </c>
      <c r="BT981" t="s">
        <v>111</v>
      </c>
      <c r="BU981" t="s">
        <v>111</v>
      </c>
      <c r="BV981" t="s">
        <v>111</v>
      </c>
      <c r="BW981" t="s">
        <v>111</v>
      </c>
      <c r="BX981" t="s">
        <v>111</v>
      </c>
      <c r="BY981" t="s">
        <v>111</v>
      </c>
      <c r="BZ981" t="s">
        <v>111</v>
      </c>
      <c r="CA981" t="s">
        <v>111</v>
      </c>
      <c r="CB981" t="s">
        <v>111</v>
      </c>
      <c r="CC981" t="s">
        <v>111</v>
      </c>
      <c r="CD981" t="s">
        <v>111</v>
      </c>
      <c r="CE981" t="s">
        <v>111</v>
      </c>
      <c r="CF981" t="s">
        <v>111</v>
      </c>
      <c r="CG981" t="s">
        <v>111</v>
      </c>
      <c r="CH981" t="s">
        <v>111</v>
      </c>
      <c r="CI981" t="s">
        <v>111</v>
      </c>
      <c r="CJ981" t="s">
        <v>111</v>
      </c>
      <c r="CK981" t="s">
        <v>111</v>
      </c>
      <c r="CL981" t="s">
        <v>153</v>
      </c>
      <c r="CM981" t="s">
        <v>198</v>
      </c>
      <c r="CN981" t="s">
        <v>128</v>
      </c>
      <c r="CO981" t="s">
        <v>111</v>
      </c>
      <c r="CP981" t="s">
        <v>433</v>
      </c>
      <c r="CQ981">
        <v>0</v>
      </c>
      <c r="CR981">
        <v>0</v>
      </c>
      <c r="CS981">
        <v>0</v>
      </c>
      <c r="CT981" t="s">
        <v>168</v>
      </c>
      <c r="CU981">
        <v>0</v>
      </c>
      <c r="CV981" t="s">
        <v>111</v>
      </c>
      <c r="CW981" t="s">
        <v>111</v>
      </c>
      <c r="CX981" t="s">
        <v>111</v>
      </c>
      <c r="CY981">
        <v>0</v>
      </c>
      <c r="CZ981" t="s">
        <v>111</v>
      </c>
      <c r="DA981" t="s">
        <v>111</v>
      </c>
      <c r="DB981" t="s">
        <v>111</v>
      </c>
      <c r="DC981" t="s">
        <v>111</v>
      </c>
    </row>
    <row r="982" spans="1:107">
      <c r="A982">
        <v>149</v>
      </c>
      <c r="B982" t="s">
        <v>162</v>
      </c>
      <c r="C982" t="s">
        <v>3138</v>
      </c>
      <c r="D982" t="s">
        <v>3141</v>
      </c>
      <c r="E982" t="s">
        <v>3142</v>
      </c>
      <c r="F982" t="s">
        <v>370</v>
      </c>
      <c r="G982" t="s">
        <v>416</v>
      </c>
      <c r="H982">
        <v>0.6</v>
      </c>
      <c r="I982">
        <v>44</v>
      </c>
      <c r="J982">
        <v>0</v>
      </c>
      <c r="K982">
        <v>0</v>
      </c>
      <c r="L982" t="s">
        <v>112</v>
      </c>
      <c r="M982" t="s">
        <v>118</v>
      </c>
      <c r="N982">
        <v>40</v>
      </c>
      <c r="O982">
        <v>2</v>
      </c>
      <c r="P982" t="s">
        <v>138</v>
      </c>
      <c r="Q982">
        <v>40</v>
      </c>
      <c r="R982">
        <v>0</v>
      </c>
      <c r="S982">
        <v>0</v>
      </c>
      <c r="T982">
        <v>0</v>
      </c>
      <c r="U982" t="s">
        <v>1353</v>
      </c>
      <c r="V982">
        <v>25</v>
      </c>
      <c r="W982">
        <v>0</v>
      </c>
      <c r="X982">
        <v>8</v>
      </c>
      <c r="Y982">
        <v>0</v>
      </c>
      <c r="Z982" t="s">
        <v>288</v>
      </c>
      <c r="AA982">
        <v>0</v>
      </c>
      <c r="AB982" t="s">
        <v>111</v>
      </c>
      <c r="AC982">
        <v>0</v>
      </c>
      <c r="AD982" t="s">
        <v>416</v>
      </c>
      <c r="AE982">
        <v>2</v>
      </c>
      <c r="AF982">
        <v>2</v>
      </c>
      <c r="AG982">
        <v>50</v>
      </c>
      <c r="AH982" t="s">
        <v>111</v>
      </c>
      <c r="AI982">
        <v>50</v>
      </c>
      <c r="AJ982" t="s">
        <v>111</v>
      </c>
      <c r="AK982" t="s">
        <v>111</v>
      </c>
      <c r="AL982" t="s">
        <v>111</v>
      </c>
      <c r="AM982">
        <v>0</v>
      </c>
      <c r="AN982">
        <v>0</v>
      </c>
      <c r="AO982">
        <v>0</v>
      </c>
      <c r="AP982" t="s">
        <v>188</v>
      </c>
      <c r="AQ982" t="s">
        <v>111</v>
      </c>
      <c r="AR982" t="s">
        <v>111</v>
      </c>
      <c r="AS982" t="s">
        <v>111</v>
      </c>
      <c r="AT982" t="s">
        <v>147</v>
      </c>
      <c r="AU982" t="s">
        <v>111</v>
      </c>
      <c r="AV982" t="s">
        <v>111</v>
      </c>
      <c r="AW982" t="s">
        <v>111</v>
      </c>
      <c r="AX982" t="s">
        <v>111</v>
      </c>
      <c r="AY982" t="s">
        <v>111</v>
      </c>
      <c r="AZ982" t="s">
        <v>111</v>
      </c>
      <c r="BA982" t="s">
        <v>111</v>
      </c>
      <c r="BB982" t="s">
        <v>111</v>
      </c>
      <c r="BC982" t="s">
        <v>111</v>
      </c>
      <c r="BD982" t="s">
        <v>111</v>
      </c>
      <c r="BE982" t="s">
        <v>111</v>
      </c>
      <c r="BF982" t="s">
        <v>111</v>
      </c>
      <c r="BG982" t="s">
        <v>111</v>
      </c>
      <c r="BH982" t="s">
        <v>111</v>
      </c>
      <c r="BI982" t="s">
        <v>111</v>
      </c>
      <c r="BJ982" t="s">
        <v>111</v>
      </c>
      <c r="BK982" t="s">
        <v>111</v>
      </c>
      <c r="BL982" t="s">
        <v>111</v>
      </c>
      <c r="BM982" t="s">
        <v>111</v>
      </c>
      <c r="BN982" t="s">
        <v>111</v>
      </c>
      <c r="BO982" t="s">
        <v>111</v>
      </c>
      <c r="BP982" t="s">
        <v>111</v>
      </c>
      <c r="BQ982" t="s">
        <v>111</v>
      </c>
      <c r="BR982" t="s">
        <v>111</v>
      </c>
      <c r="BS982" t="s">
        <v>111</v>
      </c>
      <c r="BT982" t="s">
        <v>111</v>
      </c>
      <c r="BU982" t="s">
        <v>111</v>
      </c>
      <c r="BV982" t="s">
        <v>111</v>
      </c>
      <c r="BW982" t="s">
        <v>111</v>
      </c>
      <c r="BX982" t="s">
        <v>111</v>
      </c>
      <c r="BY982" t="s">
        <v>111</v>
      </c>
      <c r="BZ982" t="s">
        <v>111</v>
      </c>
      <c r="CA982" t="s">
        <v>111</v>
      </c>
      <c r="CB982" t="s">
        <v>111</v>
      </c>
      <c r="CC982" t="s">
        <v>111</v>
      </c>
      <c r="CD982" t="s">
        <v>111</v>
      </c>
      <c r="CE982" t="s">
        <v>111</v>
      </c>
      <c r="CF982" t="s">
        <v>111</v>
      </c>
      <c r="CG982" t="s">
        <v>111</v>
      </c>
      <c r="CH982" t="s">
        <v>111</v>
      </c>
      <c r="CI982" t="s">
        <v>111</v>
      </c>
      <c r="CJ982" t="s">
        <v>111</v>
      </c>
      <c r="CK982" t="s">
        <v>111</v>
      </c>
      <c r="CL982" t="s">
        <v>153</v>
      </c>
      <c r="CM982" t="s">
        <v>198</v>
      </c>
      <c r="CN982" t="s">
        <v>128</v>
      </c>
      <c r="CO982" t="s">
        <v>111</v>
      </c>
      <c r="CP982" t="s">
        <v>433</v>
      </c>
      <c r="CQ982">
        <v>0</v>
      </c>
      <c r="CR982">
        <v>0</v>
      </c>
      <c r="CS982">
        <v>0</v>
      </c>
      <c r="CT982" t="s">
        <v>168</v>
      </c>
      <c r="CU982">
        <v>0</v>
      </c>
      <c r="CV982" t="s">
        <v>111</v>
      </c>
      <c r="CW982" t="s">
        <v>111</v>
      </c>
      <c r="CX982" t="s">
        <v>111</v>
      </c>
      <c r="CY982">
        <v>0</v>
      </c>
      <c r="CZ982" t="s">
        <v>111</v>
      </c>
      <c r="DA982" t="s">
        <v>111</v>
      </c>
      <c r="DB982" t="s">
        <v>111</v>
      </c>
      <c r="DC982" t="s">
        <v>111</v>
      </c>
    </row>
    <row r="983" spans="1:107">
      <c r="A983">
        <v>157</v>
      </c>
      <c r="B983" t="s">
        <v>162</v>
      </c>
      <c r="C983" t="s">
        <v>719</v>
      </c>
      <c r="D983" t="s">
        <v>3143</v>
      </c>
      <c r="E983" t="s">
        <v>3144</v>
      </c>
      <c r="F983" t="s">
        <v>370</v>
      </c>
      <c r="G983" t="s">
        <v>416</v>
      </c>
      <c r="H983">
        <v>2</v>
      </c>
      <c r="I983">
        <v>30</v>
      </c>
      <c r="J983">
        <v>0</v>
      </c>
      <c r="K983">
        <v>0</v>
      </c>
      <c r="L983" t="s">
        <v>178</v>
      </c>
      <c r="M983" t="s">
        <v>118</v>
      </c>
      <c r="N983">
        <v>40</v>
      </c>
      <c r="O983">
        <v>2</v>
      </c>
      <c r="P983" t="s">
        <v>138</v>
      </c>
      <c r="Q983">
        <v>40</v>
      </c>
      <c r="R983">
        <v>0</v>
      </c>
      <c r="S983">
        <v>0</v>
      </c>
      <c r="T983">
        <v>0</v>
      </c>
      <c r="U983" t="s">
        <v>1353</v>
      </c>
      <c r="V983">
        <v>25</v>
      </c>
      <c r="W983">
        <v>0</v>
      </c>
      <c r="X983">
        <v>8</v>
      </c>
      <c r="Y983">
        <v>0</v>
      </c>
      <c r="Z983" t="s">
        <v>288</v>
      </c>
      <c r="AA983">
        <v>1.65</v>
      </c>
      <c r="AB983" t="s">
        <v>111</v>
      </c>
      <c r="AC983">
        <v>0</v>
      </c>
      <c r="AD983" t="s">
        <v>416</v>
      </c>
      <c r="AE983">
        <v>2</v>
      </c>
      <c r="AF983">
        <v>2</v>
      </c>
      <c r="AG983" t="s">
        <v>3145</v>
      </c>
      <c r="AH983" t="s">
        <v>111</v>
      </c>
      <c r="AI983">
        <v>45</v>
      </c>
      <c r="AJ983" t="s">
        <v>111</v>
      </c>
      <c r="AK983" t="s">
        <v>111</v>
      </c>
      <c r="AL983" t="s">
        <v>111</v>
      </c>
      <c r="AM983">
        <v>0</v>
      </c>
      <c r="AN983">
        <v>0</v>
      </c>
      <c r="AO983">
        <v>0</v>
      </c>
      <c r="AP983" t="s">
        <v>188</v>
      </c>
      <c r="AQ983" t="s">
        <v>111</v>
      </c>
      <c r="AR983" t="s">
        <v>111</v>
      </c>
      <c r="AS983" t="s">
        <v>111</v>
      </c>
      <c r="AT983" t="s">
        <v>271</v>
      </c>
      <c r="AU983" t="s">
        <v>111</v>
      </c>
      <c r="AV983" t="s">
        <v>111</v>
      </c>
      <c r="AW983" t="s">
        <v>111</v>
      </c>
      <c r="AX983" t="s">
        <v>111</v>
      </c>
      <c r="AY983" t="s">
        <v>111</v>
      </c>
      <c r="AZ983" t="s">
        <v>111</v>
      </c>
      <c r="BA983" t="s">
        <v>111</v>
      </c>
      <c r="BB983" t="s">
        <v>111</v>
      </c>
      <c r="BC983" t="s">
        <v>111</v>
      </c>
      <c r="BD983" t="s">
        <v>111</v>
      </c>
      <c r="BE983" t="s">
        <v>111</v>
      </c>
      <c r="BF983" t="s">
        <v>111</v>
      </c>
      <c r="BG983" t="s">
        <v>111</v>
      </c>
      <c r="BH983" t="s">
        <v>111</v>
      </c>
      <c r="BI983" t="s">
        <v>111</v>
      </c>
      <c r="BJ983" t="s">
        <v>111</v>
      </c>
      <c r="BK983" t="s">
        <v>111</v>
      </c>
      <c r="BL983" t="s">
        <v>111</v>
      </c>
      <c r="BM983" t="s">
        <v>111</v>
      </c>
      <c r="BN983" t="s">
        <v>111</v>
      </c>
      <c r="BO983" t="s">
        <v>111</v>
      </c>
      <c r="BP983" t="s">
        <v>111</v>
      </c>
      <c r="BQ983" t="s">
        <v>111</v>
      </c>
      <c r="BR983" t="s">
        <v>111</v>
      </c>
      <c r="BS983" t="s">
        <v>111</v>
      </c>
      <c r="BT983" t="s">
        <v>111</v>
      </c>
      <c r="BU983" t="s">
        <v>111</v>
      </c>
      <c r="BV983" t="s">
        <v>111</v>
      </c>
      <c r="BW983" t="s">
        <v>111</v>
      </c>
      <c r="BX983" t="s">
        <v>111</v>
      </c>
      <c r="BY983" t="s">
        <v>111</v>
      </c>
      <c r="BZ983" t="s">
        <v>111</v>
      </c>
      <c r="CA983" t="s">
        <v>111</v>
      </c>
      <c r="CB983" t="s">
        <v>111</v>
      </c>
      <c r="CC983" t="s">
        <v>111</v>
      </c>
      <c r="CD983" t="s">
        <v>111</v>
      </c>
      <c r="CE983" t="s">
        <v>111</v>
      </c>
      <c r="CF983" t="s">
        <v>111</v>
      </c>
      <c r="CG983" t="s">
        <v>111</v>
      </c>
      <c r="CH983" t="s">
        <v>111</v>
      </c>
      <c r="CI983" t="s">
        <v>111</v>
      </c>
      <c r="CJ983" t="s">
        <v>111</v>
      </c>
      <c r="CK983" t="s">
        <v>111</v>
      </c>
      <c r="CL983" t="s">
        <v>153</v>
      </c>
      <c r="CM983" t="s">
        <v>198</v>
      </c>
      <c r="CN983" t="s">
        <v>113</v>
      </c>
      <c r="CO983" t="s">
        <v>111</v>
      </c>
      <c r="CP983" t="s">
        <v>433</v>
      </c>
      <c r="CQ983">
        <v>0</v>
      </c>
      <c r="CR983">
        <v>0</v>
      </c>
      <c r="CS983">
        <v>0</v>
      </c>
      <c r="CT983" t="s">
        <v>419</v>
      </c>
      <c r="CU983">
        <v>0</v>
      </c>
      <c r="CV983" t="s">
        <v>111</v>
      </c>
      <c r="CW983" t="s">
        <v>111</v>
      </c>
      <c r="CX983" t="s">
        <v>111</v>
      </c>
      <c r="CY983">
        <v>0</v>
      </c>
      <c r="CZ983" t="s">
        <v>111</v>
      </c>
      <c r="DA983" t="s">
        <v>111</v>
      </c>
      <c r="DB983" t="s">
        <v>204</v>
      </c>
      <c r="DC983" s="1" t="s">
        <v>1350</v>
      </c>
    </row>
    <row r="984" spans="1:107">
      <c r="A984">
        <v>141</v>
      </c>
      <c r="B984" t="s">
        <v>162</v>
      </c>
      <c r="C984" t="s">
        <v>428</v>
      </c>
      <c r="D984" t="s">
        <v>1364</v>
      </c>
      <c r="E984" t="s">
        <v>3146</v>
      </c>
      <c r="F984" t="s">
        <v>192</v>
      </c>
      <c r="G984" t="s">
        <v>416</v>
      </c>
      <c r="H984">
        <v>2</v>
      </c>
      <c r="I984">
        <v>40</v>
      </c>
      <c r="J984">
        <v>0</v>
      </c>
      <c r="K984">
        <v>0</v>
      </c>
      <c r="L984" t="s">
        <v>178</v>
      </c>
      <c r="M984" t="s">
        <v>138</v>
      </c>
      <c r="N984">
        <v>0</v>
      </c>
      <c r="O984">
        <v>0</v>
      </c>
      <c r="P984" t="s">
        <v>138</v>
      </c>
      <c r="Q984">
        <v>35</v>
      </c>
      <c r="R984">
        <v>0</v>
      </c>
      <c r="S984">
        <v>0</v>
      </c>
      <c r="T984">
        <v>0</v>
      </c>
      <c r="U984" t="s">
        <v>153</v>
      </c>
      <c r="V984">
        <v>0</v>
      </c>
      <c r="W984">
        <v>25</v>
      </c>
      <c r="X984">
        <v>8</v>
      </c>
      <c r="Y984">
        <v>0</v>
      </c>
      <c r="Z984" t="s">
        <v>111</v>
      </c>
      <c r="AA984">
        <v>0</v>
      </c>
      <c r="AB984" t="s">
        <v>111</v>
      </c>
      <c r="AC984">
        <v>0</v>
      </c>
      <c r="AD984" t="s">
        <v>111</v>
      </c>
      <c r="AE984">
        <v>0</v>
      </c>
      <c r="AF984">
        <v>0</v>
      </c>
      <c r="AG984" t="s">
        <v>111</v>
      </c>
      <c r="AH984" t="s">
        <v>111</v>
      </c>
      <c r="AI984" t="s">
        <v>111</v>
      </c>
      <c r="AJ984" t="s">
        <v>111</v>
      </c>
      <c r="AK984" t="s">
        <v>111</v>
      </c>
      <c r="AL984" t="s">
        <v>111</v>
      </c>
      <c r="AM984">
        <v>0</v>
      </c>
      <c r="AN984">
        <v>0</v>
      </c>
      <c r="AO984">
        <v>0</v>
      </c>
      <c r="AP984" t="s">
        <v>111</v>
      </c>
      <c r="AQ984" t="s">
        <v>111</v>
      </c>
      <c r="AR984" t="s">
        <v>111</v>
      </c>
      <c r="AS984" t="s">
        <v>111</v>
      </c>
      <c r="AT984" t="s">
        <v>111</v>
      </c>
      <c r="AU984" t="s">
        <v>111</v>
      </c>
      <c r="AV984" t="s">
        <v>111</v>
      </c>
      <c r="AW984" t="s">
        <v>111</v>
      </c>
      <c r="AX984" t="s">
        <v>111</v>
      </c>
      <c r="AY984" t="s">
        <v>111</v>
      </c>
      <c r="AZ984" t="s">
        <v>111</v>
      </c>
      <c r="BA984" t="s">
        <v>111</v>
      </c>
      <c r="BB984" t="s">
        <v>111</v>
      </c>
      <c r="BC984" t="s">
        <v>111</v>
      </c>
      <c r="BD984" t="s">
        <v>111</v>
      </c>
      <c r="BE984" t="s">
        <v>111</v>
      </c>
      <c r="BF984" t="s">
        <v>111</v>
      </c>
      <c r="BG984" t="s">
        <v>111</v>
      </c>
      <c r="BH984" t="s">
        <v>111</v>
      </c>
      <c r="BI984" t="s">
        <v>111</v>
      </c>
      <c r="BJ984" t="s">
        <v>111</v>
      </c>
      <c r="BK984" t="s">
        <v>111</v>
      </c>
      <c r="BL984" t="s">
        <v>111</v>
      </c>
      <c r="BM984" t="s">
        <v>111</v>
      </c>
      <c r="BN984" t="s">
        <v>111</v>
      </c>
      <c r="BO984" t="s">
        <v>111</v>
      </c>
      <c r="BP984" t="s">
        <v>111</v>
      </c>
      <c r="BQ984" t="s">
        <v>111</v>
      </c>
      <c r="BR984" t="s">
        <v>111</v>
      </c>
      <c r="BS984" t="s">
        <v>111</v>
      </c>
      <c r="BT984" t="s">
        <v>111</v>
      </c>
      <c r="BU984" t="s">
        <v>111</v>
      </c>
      <c r="BV984" t="s">
        <v>111</v>
      </c>
      <c r="BW984" t="s">
        <v>111</v>
      </c>
      <c r="BX984" t="s">
        <v>111</v>
      </c>
      <c r="BY984" t="s">
        <v>111</v>
      </c>
      <c r="BZ984" t="s">
        <v>111</v>
      </c>
      <c r="CA984" t="s">
        <v>111</v>
      </c>
      <c r="CB984" t="s">
        <v>111</v>
      </c>
      <c r="CC984" t="s">
        <v>111</v>
      </c>
      <c r="CD984" t="s">
        <v>111</v>
      </c>
      <c r="CE984" t="s">
        <v>111</v>
      </c>
      <c r="CF984" t="s">
        <v>111</v>
      </c>
      <c r="CG984" t="s">
        <v>111</v>
      </c>
      <c r="CH984" t="s">
        <v>111</v>
      </c>
      <c r="CI984" t="s">
        <v>111</v>
      </c>
      <c r="CJ984" t="s">
        <v>111</v>
      </c>
      <c r="CK984" t="s">
        <v>111</v>
      </c>
      <c r="CL984" t="s">
        <v>111</v>
      </c>
      <c r="CM984" t="s">
        <v>198</v>
      </c>
      <c r="CN984" t="s">
        <v>113</v>
      </c>
      <c r="CO984" t="s">
        <v>111</v>
      </c>
      <c r="CP984" t="s">
        <v>111</v>
      </c>
      <c r="CQ984">
        <v>0</v>
      </c>
      <c r="CR984">
        <v>0</v>
      </c>
      <c r="CS984">
        <v>0</v>
      </c>
      <c r="CT984" t="s">
        <v>168</v>
      </c>
      <c r="CU984">
        <v>0</v>
      </c>
      <c r="CV984" t="s">
        <v>111</v>
      </c>
      <c r="CW984" t="s">
        <v>111</v>
      </c>
      <c r="CX984" t="s">
        <v>111</v>
      </c>
      <c r="CY984">
        <v>0</v>
      </c>
      <c r="CZ984" t="s">
        <v>111</v>
      </c>
      <c r="DA984" t="s">
        <v>111</v>
      </c>
      <c r="DB984" t="s">
        <v>111</v>
      </c>
      <c r="DC984" t="s">
        <v>111</v>
      </c>
    </row>
    <row r="985" spans="1:107">
      <c r="A985">
        <v>638</v>
      </c>
      <c r="B985" t="s">
        <v>162</v>
      </c>
      <c r="C985" t="s">
        <v>428</v>
      </c>
      <c r="D985" t="s">
        <v>3147</v>
      </c>
      <c r="E985" t="s">
        <v>3148</v>
      </c>
      <c r="F985" t="s">
        <v>684</v>
      </c>
      <c r="G985" t="s">
        <v>416</v>
      </c>
      <c r="H985">
        <v>0.45</v>
      </c>
      <c r="I985">
        <v>50</v>
      </c>
      <c r="J985">
        <v>0</v>
      </c>
      <c r="K985">
        <v>0</v>
      </c>
      <c r="L985" t="s">
        <v>112</v>
      </c>
      <c r="M985" t="s">
        <v>138</v>
      </c>
      <c r="N985">
        <v>0</v>
      </c>
      <c r="O985">
        <v>0</v>
      </c>
      <c r="P985" t="s">
        <v>138</v>
      </c>
      <c r="Q985">
        <v>30</v>
      </c>
      <c r="R985">
        <v>0</v>
      </c>
      <c r="S985">
        <v>0</v>
      </c>
      <c r="T985">
        <v>0</v>
      </c>
      <c r="U985" t="s">
        <v>419</v>
      </c>
      <c r="V985">
        <v>25</v>
      </c>
      <c r="W985">
        <v>0</v>
      </c>
      <c r="X985">
        <v>5</v>
      </c>
      <c r="Y985">
        <v>0</v>
      </c>
      <c r="Z985" t="s">
        <v>111</v>
      </c>
      <c r="AA985">
        <v>0</v>
      </c>
      <c r="AB985" t="s">
        <v>111</v>
      </c>
      <c r="AC985">
        <v>0</v>
      </c>
      <c r="AD985" t="s">
        <v>111</v>
      </c>
      <c r="AE985">
        <v>0</v>
      </c>
      <c r="AF985">
        <v>0</v>
      </c>
      <c r="AG985" t="s">
        <v>111</v>
      </c>
      <c r="AH985" t="s">
        <v>111</v>
      </c>
      <c r="AI985" t="s">
        <v>111</v>
      </c>
      <c r="AJ985" t="s">
        <v>111</v>
      </c>
      <c r="AK985" t="s">
        <v>111</v>
      </c>
      <c r="AL985" t="s">
        <v>111</v>
      </c>
      <c r="AM985">
        <v>0</v>
      </c>
      <c r="AN985">
        <v>0</v>
      </c>
      <c r="AO985">
        <v>0</v>
      </c>
      <c r="AP985" t="s">
        <v>111</v>
      </c>
      <c r="AQ985" t="s">
        <v>111</v>
      </c>
      <c r="AR985" t="s">
        <v>111</v>
      </c>
      <c r="AS985" t="s">
        <v>111</v>
      </c>
      <c r="AT985" t="s">
        <v>111</v>
      </c>
      <c r="AU985" t="s">
        <v>111</v>
      </c>
      <c r="AV985" t="s">
        <v>111</v>
      </c>
      <c r="AW985" t="s">
        <v>111</v>
      </c>
      <c r="AX985" t="s">
        <v>111</v>
      </c>
      <c r="AY985" t="s">
        <v>111</v>
      </c>
      <c r="AZ985" t="s">
        <v>111</v>
      </c>
      <c r="BA985" t="s">
        <v>111</v>
      </c>
      <c r="BB985" t="s">
        <v>111</v>
      </c>
      <c r="BC985" t="s">
        <v>111</v>
      </c>
      <c r="BD985" t="s">
        <v>111</v>
      </c>
      <c r="BE985" t="s">
        <v>111</v>
      </c>
      <c r="BF985" t="s">
        <v>111</v>
      </c>
      <c r="BG985" t="s">
        <v>111</v>
      </c>
      <c r="BH985" t="s">
        <v>111</v>
      </c>
      <c r="BI985" t="s">
        <v>111</v>
      </c>
      <c r="BJ985" t="s">
        <v>111</v>
      </c>
      <c r="BK985" t="s">
        <v>111</v>
      </c>
      <c r="BL985" t="s">
        <v>111</v>
      </c>
      <c r="BM985" t="s">
        <v>111</v>
      </c>
      <c r="BN985" t="s">
        <v>111</v>
      </c>
      <c r="BO985" t="s">
        <v>111</v>
      </c>
      <c r="BP985" t="s">
        <v>111</v>
      </c>
      <c r="BQ985" t="s">
        <v>111</v>
      </c>
      <c r="BR985" t="s">
        <v>111</v>
      </c>
      <c r="BS985" t="s">
        <v>111</v>
      </c>
      <c r="BT985" t="s">
        <v>111</v>
      </c>
      <c r="BU985" t="s">
        <v>111</v>
      </c>
      <c r="BV985" t="s">
        <v>111</v>
      </c>
      <c r="BW985" t="s">
        <v>111</v>
      </c>
      <c r="BX985" t="s">
        <v>111</v>
      </c>
      <c r="BY985" t="s">
        <v>111</v>
      </c>
      <c r="BZ985" t="s">
        <v>111</v>
      </c>
      <c r="CA985" t="s">
        <v>111</v>
      </c>
      <c r="CB985" t="s">
        <v>111</v>
      </c>
      <c r="CC985" t="s">
        <v>111</v>
      </c>
      <c r="CD985" t="s">
        <v>111</v>
      </c>
      <c r="CE985" t="s">
        <v>111</v>
      </c>
      <c r="CF985" t="s">
        <v>111</v>
      </c>
      <c r="CG985" t="s">
        <v>111</v>
      </c>
      <c r="CH985" t="s">
        <v>111</v>
      </c>
      <c r="CI985" t="s">
        <v>111</v>
      </c>
      <c r="CJ985" t="s">
        <v>111</v>
      </c>
      <c r="CK985" t="s">
        <v>111</v>
      </c>
      <c r="CL985" t="s">
        <v>111</v>
      </c>
      <c r="CM985" t="s">
        <v>111</v>
      </c>
      <c r="CN985" t="s">
        <v>111</v>
      </c>
      <c r="CO985" t="s">
        <v>111</v>
      </c>
      <c r="CP985" t="s">
        <v>111</v>
      </c>
      <c r="CQ985">
        <v>0</v>
      </c>
      <c r="CR985">
        <v>0</v>
      </c>
      <c r="CS985">
        <v>0</v>
      </c>
      <c r="CT985" t="s">
        <v>111</v>
      </c>
      <c r="CU985">
        <v>0</v>
      </c>
      <c r="CV985" t="s">
        <v>111</v>
      </c>
      <c r="CW985" t="s">
        <v>111</v>
      </c>
      <c r="CX985" t="s">
        <v>111</v>
      </c>
      <c r="CY985">
        <v>0</v>
      </c>
      <c r="CZ985" t="s">
        <v>111</v>
      </c>
      <c r="DA985" t="s">
        <v>111</v>
      </c>
      <c r="DB985" t="s">
        <v>204</v>
      </c>
      <c r="DC985" s="1" t="s">
        <v>205</v>
      </c>
    </row>
    <row r="986" spans="1:107">
      <c r="A986">
        <v>396</v>
      </c>
      <c r="B986" t="s">
        <v>162</v>
      </c>
      <c r="C986" t="s">
        <v>154</v>
      </c>
      <c r="D986" t="s">
        <v>3149</v>
      </c>
      <c r="E986" t="s">
        <v>2855</v>
      </c>
      <c r="F986" t="s">
        <v>370</v>
      </c>
      <c r="G986" t="s">
        <v>416</v>
      </c>
      <c r="H986">
        <v>1.3</v>
      </c>
      <c r="I986">
        <v>25</v>
      </c>
      <c r="J986">
        <v>0</v>
      </c>
      <c r="K986">
        <v>0</v>
      </c>
      <c r="L986" t="s">
        <v>178</v>
      </c>
      <c r="M986" t="s">
        <v>118</v>
      </c>
      <c r="N986">
        <v>40</v>
      </c>
      <c r="O986">
        <v>2</v>
      </c>
      <c r="P986" t="s">
        <v>138</v>
      </c>
      <c r="Q986">
        <v>35</v>
      </c>
      <c r="R986">
        <v>0</v>
      </c>
      <c r="S986">
        <v>0</v>
      </c>
      <c r="T986">
        <v>0</v>
      </c>
      <c r="U986" t="s">
        <v>1353</v>
      </c>
      <c r="V986">
        <v>25</v>
      </c>
      <c r="W986">
        <v>0</v>
      </c>
      <c r="X986">
        <v>6</v>
      </c>
      <c r="Y986">
        <v>0</v>
      </c>
      <c r="Z986" t="s">
        <v>288</v>
      </c>
      <c r="AA986">
        <v>1.55</v>
      </c>
      <c r="AB986" t="s">
        <v>111</v>
      </c>
      <c r="AC986">
        <v>0</v>
      </c>
      <c r="AD986" t="s">
        <v>416</v>
      </c>
      <c r="AE986">
        <v>2</v>
      </c>
      <c r="AF986">
        <v>2</v>
      </c>
      <c r="AG986">
        <v>17</v>
      </c>
      <c r="AH986" t="s">
        <v>111</v>
      </c>
      <c r="AI986">
        <v>35</v>
      </c>
      <c r="AJ986" t="s">
        <v>111</v>
      </c>
      <c r="AK986" t="s">
        <v>111</v>
      </c>
      <c r="AL986" t="s">
        <v>111</v>
      </c>
      <c r="AM986">
        <v>0</v>
      </c>
      <c r="AN986">
        <v>0</v>
      </c>
      <c r="AO986">
        <v>0</v>
      </c>
      <c r="AP986" t="s">
        <v>271</v>
      </c>
      <c r="AQ986" t="s">
        <v>111</v>
      </c>
      <c r="AR986" t="s">
        <v>111</v>
      </c>
      <c r="AS986" t="s">
        <v>111</v>
      </c>
      <c r="AT986" t="s">
        <v>188</v>
      </c>
      <c r="AU986" t="s">
        <v>111</v>
      </c>
      <c r="AV986" t="s">
        <v>111</v>
      </c>
      <c r="AW986" t="s">
        <v>111</v>
      </c>
      <c r="AX986" t="s">
        <v>111</v>
      </c>
      <c r="AY986" t="s">
        <v>111</v>
      </c>
      <c r="AZ986" t="s">
        <v>111</v>
      </c>
      <c r="BA986" t="s">
        <v>111</v>
      </c>
      <c r="BB986" t="s">
        <v>111</v>
      </c>
      <c r="BC986" t="s">
        <v>111</v>
      </c>
      <c r="BD986" t="s">
        <v>111</v>
      </c>
      <c r="BE986" t="s">
        <v>111</v>
      </c>
      <c r="BF986" t="s">
        <v>111</v>
      </c>
      <c r="BG986" t="s">
        <v>111</v>
      </c>
      <c r="BH986" t="s">
        <v>111</v>
      </c>
      <c r="BI986" t="s">
        <v>111</v>
      </c>
      <c r="BJ986" t="s">
        <v>111</v>
      </c>
      <c r="BK986" t="s">
        <v>111</v>
      </c>
      <c r="BL986" t="s">
        <v>111</v>
      </c>
      <c r="BM986" t="s">
        <v>111</v>
      </c>
      <c r="BN986" t="s">
        <v>111</v>
      </c>
      <c r="BO986" t="s">
        <v>111</v>
      </c>
      <c r="BP986" t="s">
        <v>111</v>
      </c>
      <c r="BQ986" t="s">
        <v>111</v>
      </c>
      <c r="BR986" t="s">
        <v>111</v>
      </c>
      <c r="BS986" t="s">
        <v>111</v>
      </c>
      <c r="BT986" t="s">
        <v>111</v>
      </c>
      <c r="BU986" t="s">
        <v>111</v>
      </c>
      <c r="BV986" t="s">
        <v>111</v>
      </c>
      <c r="BW986" t="s">
        <v>111</v>
      </c>
      <c r="BX986" t="s">
        <v>111</v>
      </c>
      <c r="BY986" t="s">
        <v>111</v>
      </c>
      <c r="BZ986" t="s">
        <v>111</v>
      </c>
      <c r="CA986" t="s">
        <v>111</v>
      </c>
      <c r="CB986" t="s">
        <v>111</v>
      </c>
      <c r="CC986" t="s">
        <v>111</v>
      </c>
      <c r="CD986" t="s">
        <v>111</v>
      </c>
      <c r="CE986" t="s">
        <v>111</v>
      </c>
      <c r="CF986" t="s">
        <v>111</v>
      </c>
      <c r="CG986" t="s">
        <v>111</v>
      </c>
      <c r="CH986" t="s">
        <v>111</v>
      </c>
      <c r="CI986" t="s">
        <v>111</v>
      </c>
      <c r="CJ986" t="s">
        <v>111</v>
      </c>
      <c r="CK986" t="s">
        <v>111</v>
      </c>
      <c r="CL986" t="s">
        <v>153</v>
      </c>
      <c r="CM986" t="s">
        <v>198</v>
      </c>
      <c r="CN986" t="s">
        <v>113</v>
      </c>
      <c r="CO986" t="s">
        <v>111</v>
      </c>
      <c r="CP986" t="s">
        <v>433</v>
      </c>
      <c r="CQ986">
        <v>0</v>
      </c>
      <c r="CR986">
        <v>0</v>
      </c>
      <c r="CS986">
        <v>0</v>
      </c>
      <c r="CT986" t="s">
        <v>168</v>
      </c>
      <c r="CU986">
        <v>0</v>
      </c>
      <c r="CV986" t="s">
        <v>111</v>
      </c>
      <c r="CW986" t="s">
        <v>111</v>
      </c>
      <c r="CX986" t="s">
        <v>111</v>
      </c>
      <c r="CY986">
        <v>0</v>
      </c>
      <c r="CZ986" t="s">
        <v>111</v>
      </c>
      <c r="DA986" t="s">
        <v>111</v>
      </c>
      <c r="DB986" t="s">
        <v>111</v>
      </c>
      <c r="DC986" t="s">
        <v>111</v>
      </c>
    </row>
    <row r="987" spans="1:107">
      <c r="A987">
        <v>395</v>
      </c>
      <c r="B987" t="s">
        <v>162</v>
      </c>
      <c r="C987" t="s">
        <v>3007</v>
      </c>
      <c r="D987" t="s">
        <v>3143</v>
      </c>
      <c r="E987" t="s">
        <v>3144</v>
      </c>
      <c r="F987" t="s">
        <v>370</v>
      </c>
      <c r="G987" t="s">
        <v>416</v>
      </c>
      <c r="H987">
        <v>2</v>
      </c>
      <c r="I987">
        <v>30</v>
      </c>
      <c r="J987">
        <v>0</v>
      </c>
      <c r="K987">
        <v>0</v>
      </c>
      <c r="L987" t="s">
        <v>178</v>
      </c>
      <c r="M987" t="s">
        <v>118</v>
      </c>
      <c r="N987">
        <v>40</v>
      </c>
      <c r="O987">
        <v>2</v>
      </c>
      <c r="P987" t="s">
        <v>138</v>
      </c>
      <c r="Q987">
        <v>35</v>
      </c>
      <c r="R987">
        <v>0</v>
      </c>
      <c r="S987">
        <v>0</v>
      </c>
      <c r="T987">
        <v>0</v>
      </c>
      <c r="U987" t="s">
        <v>1353</v>
      </c>
      <c r="V987">
        <v>25</v>
      </c>
      <c r="W987">
        <v>0</v>
      </c>
      <c r="X987">
        <v>8</v>
      </c>
      <c r="Y987">
        <v>0</v>
      </c>
      <c r="Z987" t="s">
        <v>288</v>
      </c>
      <c r="AA987">
        <v>1.65</v>
      </c>
      <c r="AB987" t="s">
        <v>111</v>
      </c>
      <c r="AC987">
        <v>0</v>
      </c>
      <c r="AD987" t="s">
        <v>416</v>
      </c>
      <c r="AE987">
        <v>2</v>
      </c>
      <c r="AF987">
        <v>2</v>
      </c>
      <c r="AG987" t="s">
        <v>3145</v>
      </c>
      <c r="AH987" t="s">
        <v>111</v>
      </c>
      <c r="AI987">
        <v>45</v>
      </c>
      <c r="AJ987" t="s">
        <v>111</v>
      </c>
      <c r="AK987" t="s">
        <v>111</v>
      </c>
      <c r="AL987" t="s">
        <v>111</v>
      </c>
      <c r="AM987">
        <v>0</v>
      </c>
      <c r="AN987">
        <v>0</v>
      </c>
      <c r="AO987">
        <v>0</v>
      </c>
      <c r="AP987" t="s">
        <v>188</v>
      </c>
      <c r="AQ987" t="s">
        <v>111</v>
      </c>
      <c r="AR987" t="s">
        <v>111</v>
      </c>
      <c r="AS987" t="s">
        <v>111</v>
      </c>
      <c r="AT987" t="s">
        <v>271</v>
      </c>
      <c r="AU987" t="s">
        <v>111</v>
      </c>
      <c r="AV987" t="s">
        <v>111</v>
      </c>
      <c r="AW987" t="s">
        <v>111</v>
      </c>
      <c r="AX987" t="s">
        <v>111</v>
      </c>
      <c r="AY987" t="s">
        <v>111</v>
      </c>
      <c r="AZ987" t="s">
        <v>111</v>
      </c>
      <c r="BA987" t="s">
        <v>111</v>
      </c>
      <c r="BB987" t="s">
        <v>111</v>
      </c>
      <c r="BC987" t="s">
        <v>111</v>
      </c>
      <c r="BD987" t="s">
        <v>111</v>
      </c>
      <c r="BE987" t="s">
        <v>111</v>
      </c>
      <c r="BF987" t="s">
        <v>111</v>
      </c>
      <c r="BG987" t="s">
        <v>111</v>
      </c>
      <c r="BH987" t="s">
        <v>111</v>
      </c>
      <c r="BI987" t="s">
        <v>111</v>
      </c>
      <c r="BJ987" t="s">
        <v>111</v>
      </c>
      <c r="BK987" t="s">
        <v>111</v>
      </c>
      <c r="BL987" t="s">
        <v>111</v>
      </c>
      <c r="BM987" t="s">
        <v>111</v>
      </c>
      <c r="BN987" t="s">
        <v>111</v>
      </c>
      <c r="BO987" t="s">
        <v>111</v>
      </c>
      <c r="BP987" t="s">
        <v>111</v>
      </c>
      <c r="BQ987" t="s">
        <v>111</v>
      </c>
      <c r="BR987" t="s">
        <v>111</v>
      </c>
      <c r="BS987" t="s">
        <v>111</v>
      </c>
      <c r="BT987" t="s">
        <v>111</v>
      </c>
      <c r="BU987" t="s">
        <v>111</v>
      </c>
      <c r="BV987" t="s">
        <v>111</v>
      </c>
      <c r="BW987" t="s">
        <v>111</v>
      </c>
      <c r="BX987" t="s">
        <v>111</v>
      </c>
      <c r="BY987" t="s">
        <v>111</v>
      </c>
      <c r="BZ987" t="s">
        <v>111</v>
      </c>
      <c r="CA987" t="s">
        <v>111</v>
      </c>
      <c r="CB987" t="s">
        <v>111</v>
      </c>
      <c r="CC987" t="s">
        <v>111</v>
      </c>
      <c r="CD987" t="s">
        <v>111</v>
      </c>
      <c r="CE987" t="s">
        <v>111</v>
      </c>
      <c r="CF987" t="s">
        <v>111</v>
      </c>
      <c r="CG987" t="s">
        <v>111</v>
      </c>
      <c r="CH987" t="s">
        <v>111</v>
      </c>
      <c r="CI987" t="s">
        <v>111</v>
      </c>
      <c r="CJ987" t="s">
        <v>111</v>
      </c>
      <c r="CK987" t="s">
        <v>111</v>
      </c>
      <c r="CL987" t="s">
        <v>153</v>
      </c>
      <c r="CM987" t="s">
        <v>198</v>
      </c>
      <c r="CN987" t="s">
        <v>113</v>
      </c>
      <c r="CO987" t="s">
        <v>1348</v>
      </c>
      <c r="CP987" t="s">
        <v>433</v>
      </c>
      <c r="CQ987">
        <v>0</v>
      </c>
      <c r="CR987">
        <v>0</v>
      </c>
      <c r="CS987">
        <v>0</v>
      </c>
      <c r="CT987" t="s">
        <v>419</v>
      </c>
      <c r="CU987">
        <v>0</v>
      </c>
      <c r="CV987" t="s">
        <v>111</v>
      </c>
      <c r="CW987" t="s">
        <v>111</v>
      </c>
      <c r="CX987" t="s">
        <v>111</v>
      </c>
      <c r="CY987">
        <v>0</v>
      </c>
      <c r="CZ987" t="s">
        <v>111</v>
      </c>
      <c r="DA987" t="s">
        <v>111</v>
      </c>
      <c r="DB987" t="s">
        <v>204</v>
      </c>
      <c r="DC987" s="1" t="s">
        <v>1350</v>
      </c>
    </row>
    <row r="988" spans="1:107">
      <c r="A988">
        <v>644</v>
      </c>
      <c r="B988" t="s">
        <v>162</v>
      </c>
      <c r="C988" t="s">
        <v>3007</v>
      </c>
      <c r="D988" t="s">
        <v>3150</v>
      </c>
      <c r="E988" t="s">
        <v>3151</v>
      </c>
      <c r="F988" t="s">
        <v>370</v>
      </c>
      <c r="G988" t="s">
        <v>416</v>
      </c>
      <c r="H988">
        <v>3.3</v>
      </c>
      <c r="I988">
        <v>72</v>
      </c>
      <c r="J988">
        <v>0</v>
      </c>
      <c r="K988">
        <v>0</v>
      </c>
      <c r="L988" t="s">
        <v>112</v>
      </c>
      <c r="M988" t="s">
        <v>118</v>
      </c>
      <c r="N988">
        <v>40</v>
      </c>
      <c r="O988">
        <v>2</v>
      </c>
      <c r="P988" t="s">
        <v>138</v>
      </c>
      <c r="Q988">
        <v>35</v>
      </c>
      <c r="R988">
        <v>0</v>
      </c>
      <c r="S988">
        <v>0</v>
      </c>
      <c r="T988">
        <v>0</v>
      </c>
      <c r="U988" t="s">
        <v>1353</v>
      </c>
      <c r="V988">
        <v>25</v>
      </c>
      <c r="W988">
        <v>0</v>
      </c>
      <c r="X988">
        <v>8</v>
      </c>
      <c r="Y988">
        <v>0</v>
      </c>
      <c r="Z988" t="s">
        <v>288</v>
      </c>
      <c r="AA988">
        <v>1.65</v>
      </c>
      <c r="AB988" t="s">
        <v>111</v>
      </c>
      <c r="AC988">
        <v>0</v>
      </c>
      <c r="AD988" t="s">
        <v>416</v>
      </c>
      <c r="AE988">
        <v>2</v>
      </c>
      <c r="AF988">
        <v>2</v>
      </c>
      <c r="AG988">
        <v>50</v>
      </c>
      <c r="AH988" t="s">
        <v>111</v>
      </c>
      <c r="AI988">
        <v>50</v>
      </c>
      <c r="AJ988" t="s">
        <v>111</v>
      </c>
      <c r="AK988" t="s">
        <v>111</v>
      </c>
      <c r="AL988" t="s">
        <v>111</v>
      </c>
      <c r="AM988">
        <v>0</v>
      </c>
      <c r="AN988">
        <v>0</v>
      </c>
      <c r="AO988">
        <v>0</v>
      </c>
      <c r="AP988" t="s">
        <v>188</v>
      </c>
      <c r="AQ988" t="s">
        <v>111</v>
      </c>
      <c r="AR988" t="s">
        <v>111</v>
      </c>
      <c r="AS988" t="s">
        <v>111</v>
      </c>
      <c r="AT988" t="s">
        <v>271</v>
      </c>
      <c r="AU988" t="s">
        <v>111</v>
      </c>
      <c r="AV988" t="s">
        <v>111</v>
      </c>
      <c r="AW988" t="s">
        <v>111</v>
      </c>
      <c r="AX988" t="s">
        <v>111</v>
      </c>
      <c r="AY988" t="s">
        <v>111</v>
      </c>
      <c r="AZ988" t="s">
        <v>111</v>
      </c>
      <c r="BA988" t="s">
        <v>111</v>
      </c>
      <c r="BB988" t="s">
        <v>111</v>
      </c>
      <c r="BC988" t="s">
        <v>111</v>
      </c>
      <c r="BD988" t="s">
        <v>111</v>
      </c>
      <c r="BE988" t="s">
        <v>111</v>
      </c>
      <c r="BF988" t="s">
        <v>111</v>
      </c>
      <c r="BG988" t="s">
        <v>111</v>
      </c>
      <c r="BH988" t="s">
        <v>111</v>
      </c>
      <c r="BI988" t="s">
        <v>111</v>
      </c>
      <c r="BJ988" t="s">
        <v>111</v>
      </c>
      <c r="BK988" t="s">
        <v>111</v>
      </c>
      <c r="BL988" t="s">
        <v>111</v>
      </c>
      <c r="BM988" t="s">
        <v>111</v>
      </c>
      <c r="BN988" t="s">
        <v>111</v>
      </c>
      <c r="BO988" t="s">
        <v>111</v>
      </c>
      <c r="BP988" t="s">
        <v>111</v>
      </c>
      <c r="BQ988" t="s">
        <v>111</v>
      </c>
      <c r="BR988" t="s">
        <v>111</v>
      </c>
      <c r="BS988" t="s">
        <v>111</v>
      </c>
      <c r="BT988" t="s">
        <v>111</v>
      </c>
      <c r="BU988" t="s">
        <v>111</v>
      </c>
      <c r="BV988" t="s">
        <v>111</v>
      </c>
      <c r="BW988" t="s">
        <v>111</v>
      </c>
      <c r="BX988" t="s">
        <v>111</v>
      </c>
      <c r="BY988" t="s">
        <v>111</v>
      </c>
      <c r="BZ988" t="s">
        <v>111</v>
      </c>
      <c r="CA988" t="s">
        <v>111</v>
      </c>
      <c r="CB988" t="s">
        <v>111</v>
      </c>
      <c r="CC988" t="s">
        <v>111</v>
      </c>
      <c r="CD988" t="s">
        <v>111</v>
      </c>
      <c r="CE988" t="s">
        <v>111</v>
      </c>
      <c r="CF988" t="s">
        <v>111</v>
      </c>
      <c r="CG988" t="s">
        <v>111</v>
      </c>
      <c r="CH988" t="s">
        <v>111</v>
      </c>
      <c r="CI988" t="s">
        <v>111</v>
      </c>
      <c r="CJ988" t="s">
        <v>111</v>
      </c>
      <c r="CK988" t="s">
        <v>111</v>
      </c>
      <c r="CL988" t="s">
        <v>153</v>
      </c>
      <c r="CM988" t="s">
        <v>198</v>
      </c>
      <c r="CN988" t="s">
        <v>113</v>
      </c>
      <c r="CO988" t="s">
        <v>1348</v>
      </c>
      <c r="CP988" t="s">
        <v>433</v>
      </c>
      <c r="CQ988">
        <v>0</v>
      </c>
      <c r="CR988">
        <v>0</v>
      </c>
      <c r="CS988">
        <v>0</v>
      </c>
      <c r="CT988" t="s">
        <v>2850</v>
      </c>
      <c r="CU988">
        <v>0</v>
      </c>
      <c r="CV988" t="s">
        <v>111</v>
      </c>
      <c r="CW988" t="s">
        <v>111</v>
      </c>
      <c r="CX988" t="s">
        <v>111</v>
      </c>
      <c r="CY988">
        <v>0</v>
      </c>
      <c r="CZ988" t="s">
        <v>111</v>
      </c>
      <c r="DA988" t="s">
        <v>111</v>
      </c>
      <c r="DB988" t="s">
        <v>204</v>
      </c>
      <c r="DC988" s="1" t="s">
        <v>1350</v>
      </c>
    </row>
    <row r="989" spans="1:107">
      <c r="A989">
        <v>636</v>
      </c>
      <c r="B989" t="s">
        <v>162</v>
      </c>
      <c r="C989" t="s">
        <v>801</v>
      </c>
      <c r="D989" t="s">
        <v>3152</v>
      </c>
      <c r="E989" t="s">
        <v>3153</v>
      </c>
      <c r="F989" t="s">
        <v>192</v>
      </c>
      <c r="G989" t="s">
        <v>416</v>
      </c>
      <c r="H989">
        <v>0.8</v>
      </c>
      <c r="I989">
        <v>46</v>
      </c>
      <c r="J989">
        <v>0</v>
      </c>
      <c r="K989">
        <v>0</v>
      </c>
      <c r="L989" t="s">
        <v>112</v>
      </c>
      <c r="M989" t="s">
        <v>138</v>
      </c>
      <c r="N989">
        <v>0</v>
      </c>
      <c r="O989">
        <v>0</v>
      </c>
      <c r="P989" t="s">
        <v>138</v>
      </c>
      <c r="Q989">
        <v>30</v>
      </c>
      <c r="R989">
        <v>0</v>
      </c>
      <c r="S989">
        <v>0</v>
      </c>
      <c r="T989">
        <v>0</v>
      </c>
      <c r="U989" t="s">
        <v>153</v>
      </c>
      <c r="V989">
        <v>0</v>
      </c>
      <c r="W989">
        <v>25</v>
      </c>
      <c r="X989">
        <v>8</v>
      </c>
      <c r="Y989">
        <v>0</v>
      </c>
      <c r="Z989" t="s">
        <v>111</v>
      </c>
      <c r="AA989">
        <v>0</v>
      </c>
      <c r="AB989" t="s">
        <v>111</v>
      </c>
      <c r="AC989">
        <v>0</v>
      </c>
      <c r="AD989" t="s">
        <v>111</v>
      </c>
      <c r="AE989">
        <v>0</v>
      </c>
      <c r="AF989">
        <v>0</v>
      </c>
      <c r="AG989" t="s">
        <v>111</v>
      </c>
      <c r="AH989" t="s">
        <v>111</v>
      </c>
      <c r="AI989" t="s">
        <v>111</v>
      </c>
      <c r="AJ989" t="s">
        <v>111</v>
      </c>
      <c r="AK989" t="s">
        <v>111</v>
      </c>
      <c r="AL989" t="s">
        <v>111</v>
      </c>
      <c r="AM989">
        <v>0</v>
      </c>
      <c r="AN989">
        <v>0</v>
      </c>
      <c r="AO989">
        <v>0</v>
      </c>
      <c r="AP989" t="s">
        <v>111</v>
      </c>
      <c r="AQ989" t="s">
        <v>111</v>
      </c>
      <c r="AR989" t="s">
        <v>111</v>
      </c>
      <c r="AS989" t="s">
        <v>111</v>
      </c>
      <c r="AT989" t="s">
        <v>111</v>
      </c>
      <c r="AU989" t="s">
        <v>111</v>
      </c>
      <c r="AV989" t="s">
        <v>111</v>
      </c>
      <c r="AW989" t="s">
        <v>111</v>
      </c>
      <c r="AX989" t="s">
        <v>111</v>
      </c>
      <c r="AY989" t="s">
        <v>111</v>
      </c>
      <c r="AZ989" t="s">
        <v>111</v>
      </c>
      <c r="BA989" t="s">
        <v>111</v>
      </c>
      <c r="BB989" t="s">
        <v>111</v>
      </c>
      <c r="BC989" t="s">
        <v>111</v>
      </c>
      <c r="BD989" t="s">
        <v>111</v>
      </c>
      <c r="BE989" t="s">
        <v>111</v>
      </c>
      <c r="BF989" t="s">
        <v>111</v>
      </c>
      <c r="BG989" t="s">
        <v>111</v>
      </c>
      <c r="BH989" t="s">
        <v>111</v>
      </c>
      <c r="BI989" t="s">
        <v>111</v>
      </c>
      <c r="BJ989" t="s">
        <v>111</v>
      </c>
      <c r="BK989" t="s">
        <v>111</v>
      </c>
      <c r="BL989" t="s">
        <v>111</v>
      </c>
      <c r="BM989" t="s">
        <v>111</v>
      </c>
      <c r="BN989" t="s">
        <v>111</v>
      </c>
      <c r="BO989" t="s">
        <v>111</v>
      </c>
      <c r="BP989" t="s">
        <v>111</v>
      </c>
      <c r="BQ989" t="s">
        <v>111</v>
      </c>
      <c r="BR989" t="s">
        <v>111</v>
      </c>
      <c r="BS989" t="s">
        <v>111</v>
      </c>
      <c r="BT989" t="s">
        <v>111</v>
      </c>
      <c r="BU989" t="s">
        <v>111</v>
      </c>
      <c r="BV989" t="s">
        <v>111</v>
      </c>
      <c r="BW989" t="s">
        <v>111</v>
      </c>
      <c r="BX989" t="s">
        <v>111</v>
      </c>
      <c r="BY989" t="s">
        <v>111</v>
      </c>
      <c r="BZ989" t="s">
        <v>111</v>
      </c>
      <c r="CA989" t="s">
        <v>111</v>
      </c>
      <c r="CB989" t="s">
        <v>111</v>
      </c>
      <c r="CC989" t="s">
        <v>111</v>
      </c>
      <c r="CD989" t="s">
        <v>111</v>
      </c>
      <c r="CE989" t="s">
        <v>111</v>
      </c>
      <c r="CF989" t="s">
        <v>111</v>
      </c>
      <c r="CG989" t="s">
        <v>111</v>
      </c>
      <c r="CH989" t="s">
        <v>111</v>
      </c>
      <c r="CI989" t="s">
        <v>111</v>
      </c>
      <c r="CJ989" t="s">
        <v>111</v>
      </c>
      <c r="CK989" t="s">
        <v>111</v>
      </c>
      <c r="CL989" t="s">
        <v>111</v>
      </c>
      <c r="CM989" t="s">
        <v>198</v>
      </c>
      <c r="CN989" t="s">
        <v>128</v>
      </c>
      <c r="CO989" t="s">
        <v>111</v>
      </c>
      <c r="CP989" t="s">
        <v>111</v>
      </c>
      <c r="CQ989">
        <v>0</v>
      </c>
      <c r="CR989">
        <v>0</v>
      </c>
      <c r="CS989">
        <v>0</v>
      </c>
      <c r="CT989" t="s">
        <v>168</v>
      </c>
      <c r="CU989">
        <v>0</v>
      </c>
      <c r="CV989" t="s">
        <v>111</v>
      </c>
      <c r="CW989" t="s">
        <v>111</v>
      </c>
      <c r="CX989" t="s">
        <v>111</v>
      </c>
      <c r="CY989">
        <v>0</v>
      </c>
      <c r="CZ989" t="s">
        <v>111</v>
      </c>
      <c r="DA989" t="s">
        <v>111</v>
      </c>
      <c r="DB989" t="s">
        <v>111</v>
      </c>
      <c r="DC989" t="s">
        <v>111</v>
      </c>
    </row>
    <row r="990" spans="1:107">
      <c r="A990">
        <v>647</v>
      </c>
      <c r="B990" t="s">
        <v>162</v>
      </c>
      <c r="C990" t="s">
        <v>1342</v>
      </c>
      <c r="D990" t="s">
        <v>3154</v>
      </c>
      <c r="E990" t="s">
        <v>3155</v>
      </c>
      <c r="F990" t="s">
        <v>370</v>
      </c>
      <c r="G990" t="s">
        <v>416</v>
      </c>
      <c r="H990">
        <v>0.9</v>
      </c>
      <c r="I990">
        <v>30</v>
      </c>
      <c r="J990">
        <v>8</v>
      </c>
      <c r="K990">
        <v>8</v>
      </c>
      <c r="L990" t="s">
        <v>112</v>
      </c>
      <c r="M990" t="s">
        <v>118</v>
      </c>
      <c r="N990">
        <v>40</v>
      </c>
      <c r="O990">
        <v>2</v>
      </c>
      <c r="P990" t="s">
        <v>138</v>
      </c>
      <c r="Q990">
        <v>35</v>
      </c>
      <c r="R990">
        <v>0</v>
      </c>
      <c r="S990">
        <v>0</v>
      </c>
      <c r="T990">
        <v>0</v>
      </c>
      <c r="U990" s="1" t="s">
        <v>3156</v>
      </c>
      <c r="V990">
        <v>25</v>
      </c>
      <c r="W990">
        <v>0</v>
      </c>
      <c r="X990">
        <v>12.5</v>
      </c>
      <c r="Y990">
        <v>0</v>
      </c>
      <c r="Z990" t="s">
        <v>288</v>
      </c>
      <c r="AA990">
        <v>1.87</v>
      </c>
      <c r="AB990" t="s">
        <v>1346</v>
      </c>
      <c r="AC990">
        <v>0.7</v>
      </c>
      <c r="AD990" t="s">
        <v>416</v>
      </c>
      <c r="AE990">
        <v>5</v>
      </c>
      <c r="AF990">
        <v>2</v>
      </c>
      <c r="AG990">
        <v>55</v>
      </c>
      <c r="AH990" t="s">
        <v>111</v>
      </c>
      <c r="AI990">
        <v>55</v>
      </c>
      <c r="AJ990" t="s">
        <v>111</v>
      </c>
      <c r="AK990" t="s">
        <v>111</v>
      </c>
      <c r="AL990" t="s">
        <v>111</v>
      </c>
      <c r="AM990">
        <v>0</v>
      </c>
      <c r="AN990">
        <v>0</v>
      </c>
      <c r="AO990">
        <v>0</v>
      </c>
      <c r="AP990" t="s">
        <v>111</v>
      </c>
      <c r="AQ990" t="s">
        <v>111</v>
      </c>
      <c r="AR990" t="s">
        <v>111</v>
      </c>
      <c r="AS990" t="s">
        <v>111</v>
      </c>
      <c r="AT990" t="s">
        <v>111</v>
      </c>
      <c r="AU990" t="s">
        <v>111</v>
      </c>
      <c r="AV990" t="s">
        <v>111</v>
      </c>
      <c r="AW990" t="s">
        <v>111</v>
      </c>
      <c r="AX990" t="s">
        <v>111</v>
      </c>
      <c r="AY990" t="s">
        <v>111</v>
      </c>
      <c r="AZ990" t="s">
        <v>111</v>
      </c>
      <c r="BA990" t="s">
        <v>111</v>
      </c>
      <c r="BB990" t="s">
        <v>111</v>
      </c>
      <c r="BC990" t="s">
        <v>111</v>
      </c>
      <c r="BD990" t="s">
        <v>111</v>
      </c>
      <c r="BE990" t="s">
        <v>111</v>
      </c>
      <c r="BF990" t="s">
        <v>111</v>
      </c>
      <c r="BG990" t="s">
        <v>111</v>
      </c>
      <c r="BH990" t="s">
        <v>111</v>
      </c>
      <c r="BI990" t="s">
        <v>111</v>
      </c>
      <c r="BJ990" t="s">
        <v>111</v>
      </c>
      <c r="BK990" t="s">
        <v>111</v>
      </c>
      <c r="BL990" t="s">
        <v>111</v>
      </c>
      <c r="BM990" t="s">
        <v>111</v>
      </c>
      <c r="BN990" t="s">
        <v>111</v>
      </c>
      <c r="BO990" t="s">
        <v>111</v>
      </c>
      <c r="BP990" t="s">
        <v>111</v>
      </c>
      <c r="BQ990" t="s">
        <v>111</v>
      </c>
      <c r="BR990" t="s">
        <v>111</v>
      </c>
      <c r="BS990" t="s">
        <v>111</v>
      </c>
      <c r="BT990" t="s">
        <v>111</v>
      </c>
      <c r="BU990" t="s">
        <v>111</v>
      </c>
      <c r="BV990" t="s">
        <v>111</v>
      </c>
      <c r="BW990" t="s">
        <v>111</v>
      </c>
      <c r="BX990" t="s">
        <v>111</v>
      </c>
      <c r="BY990" t="s">
        <v>111</v>
      </c>
      <c r="BZ990" t="s">
        <v>111</v>
      </c>
      <c r="CA990" t="s">
        <v>111</v>
      </c>
      <c r="CB990" t="s">
        <v>111</v>
      </c>
      <c r="CC990" t="s">
        <v>111</v>
      </c>
      <c r="CD990" t="s">
        <v>111</v>
      </c>
      <c r="CE990" t="s">
        <v>111</v>
      </c>
      <c r="CF990" t="s">
        <v>111</v>
      </c>
      <c r="CG990" t="s">
        <v>111</v>
      </c>
      <c r="CH990" t="s">
        <v>111</v>
      </c>
      <c r="CI990" t="s">
        <v>111</v>
      </c>
      <c r="CJ990" t="s">
        <v>111</v>
      </c>
      <c r="CK990" t="s">
        <v>111</v>
      </c>
      <c r="CL990" t="s">
        <v>153</v>
      </c>
      <c r="CM990" t="s">
        <v>198</v>
      </c>
      <c r="CN990" t="s">
        <v>128</v>
      </c>
      <c r="CO990" t="s">
        <v>974</v>
      </c>
      <c r="CP990" t="s">
        <v>433</v>
      </c>
      <c r="CQ990">
        <v>48</v>
      </c>
      <c r="CR990">
        <v>3000</v>
      </c>
      <c r="CS990">
        <v>500</v>
      </c>
      <c r="CT990" s="1" t="s">
        <v>3157</v>
      </c>
      <c r="CU990">
        <v>0</v>
      </c>
      <c r="CV990" t="s">
        <v>111</v>
      </c>
      <c r="CW990" t="s">
        <v>111</v>
      </c>
      <c r="CX990" t="s">
        <v>111</v>
      </c>
      <c r="CY990">
        <v>0</v>
      </c>
      <c r="CZ990" t="s">
        <v>111</v>
      </c>
      <c r="DA990" t="s">
        <v>111</v>
      </c>
      <c r="DB990" t="s">
        <v>204</v>
      </c>
      <c r="DC990" s="1" t="s">
        <v>1363</v>
      </c>
    </row>
    <row r="991" spans="1:107">
      <c r="A991">
        <v>634</v>
      </c>
      <c r="B991" t="s">
        <v>162</v>
      </c>
      <c r="C991" t="s">
        <v>3158</v>
      </c>
      <c r="D991" t="s">
        <v>3159</v>
      </c>
      <c r="E991" t="s">
        <v>3160</v>
      </c>
      <c r="F991" t="s">
        <v>3161</v>
      </c>
      <c r="G991" t="s">
        <v>416</v>
      </c>
      <c r="H991">
        <v>5</v>
      </c>
      <c r="I991">
        <v>35</v>
      </c>
      <c r="J991">
        <v>0</v>
      </c>
      <c r="K991">
        <v>0</v>
      </c>
      <c r="L991" t="s">
        <v>112</v>
      </c>
      <c r="M991" t="s">
        <v>118</v>
      </c>
      <c r="N991">
        <v>40</v>
      </c>
      <c r="O991">
        <v>2</v>
      </c>
      <c r="P991" t="s">
        <v>138</v>
      </c>
      <c r="Q991">
        <v>30</v>
      </c>
      <c r="R991">
        <v>0</v>
      </c>
      <c r="S991">
        <v>0</v>
      </c>
      <c r="T991">
        <v>0</v>
      </c>
      <c r="U991" t="s">
        <v>1353</v>
      </c>
      <c r="V991">
        <v>25</v>
      </c>
      <c r="W991">
        <v>0</v>
      </c>
      <c r="X991">
        <v>10</v>
      </c>
      <c r="Y991">
        <v>0</v>
      </c>
      <c r="Z991" t="s">
        <v>2026</v>
      </c>
      <c r="AA991">
        <v>1.75</v>
      </c>
      <c r="AB991" t="s">
        <v>111</v>
      </c>
      <c r="AC991">
        <v>0</v>
      </c>
      <c r="AD991" t="s">
        <v>416</v>
      </c>
      <c r="AE991">
        <v>2</v>
      </c>
      <c r="AF991">
        <v>2</v>
      </c>
      <c r="AG991" t="s">
        <v>3162</v>
      </c>
      <c r="AH991" t="s">
        <v>111</v>
      </c>
      <c r="AI991">
        <v>38</v>
      </c>
      <c r="AJ991" t="s">
        <v>111</v>
      </c>
      <c r="AK991" t="s">
        <v>111</v>
      </c>
      <c r="AL991" t="s">
        <v>111</v>
      </c>
      <c r="AM991">
        <v>0</v>
      </c>
      <c r="AN991">
        <v>0</v>
      </c>
      <c r="AO991">
        <v>0</v>
      </c>
      <c r="AP991" t="s">
        <v>111</v>
      </c>
      <c r="AQ991" t="s">
        <v>111</v>
      </c>
      <c r="AR991" t="s">
        <v>111</v>
      </c>
      <c r="AS991" t="s">
        <v>111</v>
      </c>
      <c r="AT991" t="s">
        <v>111</v>
      </c>
      <c r="AU991" t="s">
        <v>111</v>
      </c>
      <c r="AV991" t="s">
        <v>111</v>
      </c>
      <c r="AW991" t="s">
        <v>111</v>
      </c>
      <c r="AX991" t="s">
        <v>111</v>
      </c>
      <c r="AY991" t="s">
        <v>111</v>
      </c>
      <c r="AZ991" t="s">
        <v>111</v>
      </c>
      <c r="BA991" t="s">
        <v>111</v>
      </c>
      <c r="BB991" t="s">
        <v>111</v>
      </c>
      <c r="BC991" t="s">
        <v>111</v>
      </c>
      <c r="BD991" t="s">
        <v>111</v>
      </c>
      <c r="BE991" t="s">
        <v>111</v>
      </c>
      <c r="BF991" t="s">
        <v>111</v>
      </c>
      <c r="BG991" t="s">
        <v>111</v>
      </c>
      <c r="BH991" t="s">
        <v>111</v>
      </c>
      <c r="BI991" t="s">
        <v>111</v>
      </c>
      <c r="BJ991" t="s">
        <v>111</v>
      </c>
      <c r="BK991" t="s">
        <v>111</v>
      </c>
      <c r="BL991" t="s">
        <v>111</v>
      </c>
      <c r="BM991" t="s">
        <v>111</v>
      </c>
      <c r="BN991" t="s">
        <v>111</v>
      </c>
      <c r="BO991" t="s">
        <v>111</v>
      </c>
      <c r="BP991" t="s">
        <v>111</v>
      </c>
      <c r="BQ991" t="s">
        <v>111</v>
      </c>
      <c r="BR991" t="s">
        <v>111</v>
      </c>
      <c r="BS991" t="s">
        <v>111</v>
      </c>
      <c r="BT991" t="s">
        <v>111</v>
      </c>
      <c r="BU991" t="s">
        <v>111</v>
      </c>
      <c r="BV991" t="s">
        <v>111</v>
      </c>
      <c r="BW991" t="s">
        <v>111</v>
      </c>
      <c r="BX991" t="s">
        <v>111</v>
      </c>
      <c r="BY991" t="s">
        <v>111</v>
      </c>
      <c r="BZ991" t="s">
        <v>111</v>
      </c>
      <c r="CA991" t="s">
        <v>111</v>
      </c>
      <c r="CB991" t="s">
        <v>111</v>
      </c>
      <c r="CC991" t="s">
        <v>111</v>
      </c>
      <c r="CD991" t="s">
        <v>111</v>
      </c>
      <c r="CE991" t="s">
        <v>111</v>
      </c>
      <c r="CF991" t="s">
        <v>111</v>
      </c>
      <c r="CG991" t="s">
        <v>111</v>
      </c>
      <c r="CH991" t="s">
        <v>111</v>
      </c>
      <c r="CI991" t="s">
        <v>111</v>
      </c>
      <c r="CJ991" t="s">
        <v>111</v>
      </c>
      <c r="CK991" t="s">
        <v>111</v>
      </c>
      <c r="CL991" t="s">
        <v>153</v>
      </c>
      <c r="CM991" t="s">
        <v>198</v>
      </c>
      <c r="CN991" t="s">
        <v>113</v>
      </c>
      <c r="CO991" t="s">
        <v>111</v>
      </c>
      <c r="CP991" t="s">
        <v>3163</v>
      </c>
      <c r="CQ991">
        <v>0</v>
      </c>
      <c r="CR991">
        <v>0</v>
      </c>
      <c r="CS991">
        <v>0</v>
      </c>
      <c r="CT991" t="s">
        <v>419</v>
      </c>
      <c r="CU991">
        <v>0</v>
      </c>
      <c r="CV991" t="s">
        <v>111</v>
      </c>
      <c r="CW991" t="s">
        <v>111</v>
      </c>
      <c r="CX991" t="s">
        <v>111</v>
      </c>
      <c r="CY991">
        <v>0</v>
      </c>
      <c r="CZ991" t="s">
        <v>111</v>
      </c>
      <c r="DA991" t="s">
        <v>111</v>
      </c>
      <c r="DB991" t="s">
        <v>240</v>
      </c>
      <c r="DC991" s="1" t="s">
        <v>3164</v>
      </c>
    </row>
    <row r="992" spans="1:107">
      <c r="A992">
        <v>632</v>
      </c>
      <c r="B992" t="s">
        <v>162</v>
      </c>
      <c r="C992" t="s">
        <v>1085</v>
      </c>
      <c r="D992" t="s">
        <v>3165</v>
      </c>
      <c r="E992" t="s">
        <v>3166</v>
      </c>
      <c r="F992" t="s">
        <v>125</v>
      </c>
      <c r="G992" t="s">
        <v>416</v>
      </c>
      <c r="H992">
        <v>2</v>
      </c>
      <c r="I992">
        <v>89</v>
      </c>
      <c r="J992">
        <v>0</v>
      </c>
      <c r="K992">
        <v>0</v>
      </c>
      <c r="L992" t="s">
        <v>117</v>
      </c>
      <c r="M992" t="s">
        <v>118</v>
      </c>
      <c r="N992">
        <v>40</v>
      </c>
      <c r="O992">
        <v>2</v>
      </c>
      <c r="P992" t="s">
        <v>138</v>
      </c>
      <c r="Q992">
        <v>30</v>
      </c>
      <c r="R992">
        <v>0</v>
      </c>
      <c r="S992">
        <v>0</v>
      </c>
      <c r="T992">
        <v>0</v>
      </c>
      <c r="U992" t="s">
        <v>1353</v>
      </c>
      <c r="V992">
        <v>25</v>
      </c>
      <c r="W992">
        <v>0</v>
      </c>
      <c r="X992">
        <v>6</v>
      </c>
      <c r="Y992">
        <v>0</v>
      </c>
      <c r="Z992" t="s">
        <v>111</v>
      </c>
      <c r="AA992">
        <v>0</v>
      </c>
      <c r="AB992" t="s">
        <v>111</v>
      </c>
      <c r="AC992">
        <v>0</v>
      </c>
      <c r="AD992" t="s">
        <v>416</v>
      </c>
      <c r="AE992">
        <v>3</v>
      </c>
      <c r="AF992">
        <v>2</v>
      </c>
      <c r="AG992">
        <v>40</v>
      </c>
      <c r="AH992" t="s">
        <v>111</v>
      </c>
      <c r="AI992">
        <v>40</v>
      </c>
      <c r="AJ992" t="s">
        <v>111</v>
      </c>
      <c r="AK992" t="s">
        <v>111</v>
      </c>
      <c r="AL992" t="s">
        <v>111</v>
      </c>
      <c r="AM992">
        <v>0</v>
      </c>
      <c r="AN992">
        <v>0</v>
      </c>
      <c r="AO992">
        <v>0</v>
      </c>
      <c r="AP992" t="s">
        <v>259</v>
      </c>
      <c r="AQ992" t="s">
        <v>111</v>
      </c>
      <c r="AR992" t="s">
        <v>111</v>
      </c>
      <c r="AS992" t="s">
        <v>111</v>
      </c>
      <c r="AT992" t="s">
        <v>184</v>
      </c>
      <c r="AU992" t="s">
        <v>111</v>
      </c>
      <c r="AV992" t="s">
        <v>111</v>
      </c>
      <c r="AW992" t="s">
        <v>111</v>
      </c>
      <c r="AX992" t="s">
        <v>271</v>
      </c>
      <c r="AY992" t="s">
        <v>111</v>
      </c>
      <c r="AZ992" t="s">
        <v>111</v>
      </c>
      <c r="BA992" t="s">
        <v>111</v>
      </c>
      <c r="BB992" t="s">
        <v>111</v>
      </c>
      <c r="BC992" t="s">
        <v>111</v>
      </c>
      <c r="BD992" t="s">
        <v>111</v>
      </c>
      <c r="BE992" t="s">
        <v>111</v>
      </c>
      <c r="BF992" t="s">
        <v>111</v>
      </c>
      <c r="BG992" t="s">
        <v>111</v>
      </c>
      <c r="BH992" t="s">
        <v>111</v>
      </c>
      <c r="BI992" t="s">
        <v>111</v>
      </c>
      <c r="BJ992" t="s">
        <v>111</v>
      </c>
      <c r="BK992" t="s">
        <v>111</v>
      </c>
      <c r="BL992" t="s">
        <v>111</v>
      </c>
      <c r="BM992" t="s">
        <v>111</v>
      </c>
      <c r="BN992" t="s">
        <v>111</v>
      </c>
      <c r="BO992" t="s">
        <v>111</v>
      </c>
      <c r="BP992" t="s">
        <v>111</v>
      </c>
      <c r="BQ992" t="s">
        <v>111</v>
      </c>
      <c r="BR992" t="s">
        <v>111</v>
      </c>
      <c r="BS992" t="s">
        <v>111</v>
      </c>
      <c r="BT992" t="s">
        <v>111</v>
      </c>
      <c r="BU992" t="s">
        <v>111</v>
      </c>
      <c r="BV992" t="s">
        <v>111</v>
      </c>
      <c r="BW992" t="s">
        <v>111</v>
      </c>
      <c r="BX992" t="s">
        <v>111</v>
      </c>
      <c r="BY992" t="s">
        <v>111</v>
      </c>
      <c r="BZ992" t="s">
        <v>111</v>
      </c>
      <c r="CA992" t="s">
        <v>111</v>
      </c>
      <c r="CB992" t="s">
        <v>111</v>
      </c>
      <c r="CC992" t="s">
        <v>111</v>
      </c>
      <c r="CD992" t="s">
        <v>111</v>
      </c>
      <c r="CE992" t="s">
        <v>111</v>
      </c>
      <c r="CF992" t="s">
        <v>111</v>
      </c>
      <c r="CG992" t="s">
        <v>111</v>
      </c>
      <c r="CH992" t="s">
        <v>111</v>
      </c>
      <c r="CI992" t="s">
        <v>111</v>
      </c>
      <c r="CJ992" t="s">
        <v>111</v>
      </c>
      <c r="CK992" t="s">
        <v>111</v>
      </c>
      <c r="CL992" t="s">
        <v>153</v>
      </c>
      <c r="CM992" t="s">
        <v>198</v>
      </c>
      <c r="CN992" t="s">
        <v>113</v>
      </c>
      <c r="CO992" t="s">
        <v>111</v>
      </c>
      <c r="CP992" t="s">
        <v>433</v>
      </c>
      <c r="CQ992">
        <v>0</v>
      </c>
      <c r="CR992">
        <v>0</v>
      </c>
      <c r="CS992">
        <v>0</v>
      </c>
      <c r="CT992" t="s">
        <v>419</v>
      </c>
      <c r="CU992">
        <v>0</v>
      </c>
      <c r="CV992" t="s">
        <v>111</v>
      </c>
      <c r="CW992" t="s">
        <v>111</v>
      </c>
      <c r="CX992" t="s">
        <v>111</v>
      </c>
      <c r="CY992">
        <v>0</v>
      </c>
      <c r="CZ992" t="s">
        <v>111</v>
      </c>
      <c r="DA992" t="s">
        <v>111</v>
      </c>
      <c r="DB992" t="s">
        <v>240</v>
      </c>
      <c r="DC992" s="1" t="s">
        <v>3119</v>
      </c>
    </row>
    <row r="993" spans="1:107">
      <c r="A993">
        <v>587</v>
      </c>
      <c r="B993" t="s">
        <v>162</v>
      </c>
      <c r="C993" t="s">
        <v>3167</v>
      </c>
      <c r="D993" t="s">
        <v>3168</v>
      </c>
      <c r="E993" t="s">
        <v>3169</v>
      </c>
      <c r="F993" t="s">
        <v>370</v>
      </c>
      <c r="G993" t="s">
        <v>416</v>
      </c>
      <c r="H993">
        <v>1.5</v>
      </c>
      <c r="I993">
        <v>22.5</v>
      </c>
      <c r="J993">
        <v>4</v>
      </c>
      <c r="K993">
        <v>4</v>
      </c>
      <c r="L993" t="s">
        <v>112</v>
      </c>
      <c r="M993" t="s">
        <v>118</v>
      </c>
      <c r="N993">
        <v>39</v>
      </c>
      <c r="O993">
        <v>2</v>
      </c>
      <c r="P993" t="s">
        <v>138</v>
      </c>
      <c r="Q993">
        <v>40</v>
      </c>
      <c r="R993">
        <v>0</v>
      </c>
      <c r="S993">
        <v>0</v>
      </c>
      <c r="T993">
        <v>0</v>
      </c>
      <c r="U993" t="s">
        <v>1353</v>
      </c>
      <c r="V993">
        <v>25</v>
      </c>
      <c r="W993">
        <v>0</v>
      </c>
      <c r="X993">
        <v>6</v>
      </c>
      <c r="Y993">
        <v>0</v>
      </c>
      <c r="Z993" t="s">
        <v>288</v>
      </c>
      <c r="AA993">
        <v>1.55</v>
      </c>
      <c r="AB993" t="s">
        <v>111</v>
      </c>
      <c r="AC993">
        <v>0</v>
      </c>
      <c r="AD993" t="s">
        <v>416</v>
      </c>
      <c r="AE993">
        <v>1</v>
      </c>
      <c r="AF993">
        <v>1</v>
      </c>
      <c r="AG993" t="s">
        <v>3170</v>
      </c>
      <c r="AH993" t="s">
        <v>111</v>
      </c>
      <c r="AI993">
        <v>36</v>
      </c>
      <c r="AJ993" t="s">
        <v>111</v>
      </c>
      <c r="AK993" t="s">
        <v>111</v>
      </c>
      <c r="AL993" t="s">
        <v>111</v>
      </c>
      <c r="AM993">
        <v>0</v>
      </c>
      <c r="AN993">
        <v>0</v>
      </c>
      <c r="AO993">
        <v>0</v>
      </c>
      <c r="AP993" t="s">
        <v>188</v>
      </c>
      <c r="AQ993" t="s">
        <v>111</v>
      </c>
      <c r="AR993" t="s">
        <v>111</v>
      </c>
      <c r="AS993" t="s">
        <v>111</v>
      </c>
      <c r="AT993" t="s">
        <v>772</v>
      </c>
      <c r="AU993" t="s">
        <v>111</v>
      </c>
      <c r="AV993" t="s">
        <v>111</v>
      </c>
      <c r="AW993" t="s">
        <v>111</v>
      </c>
      <c r="AX993" t="s">
        <v>111</v>
      </c>
      <c r="AY993" t="s">
        <v>111</v>
      </c>
      <c r="AZ993" t="s">
        <v>111</v>
      </c>
      <c r="BA993" t="s">
        <v>111</v>
      </c>
      <c r="BB993" t="s">
        <v>111</v>
      </c>
      <c r="BC993" t="s">
        <v>111</v>
      </c>
      <c r="BD993" t="s">
        <v>111</v>
      </c>
      <c r="BE993" t="s">
        <v>111</v>
      </c>
      <c r="BF993" t="s">
        <v>111</v>
      </c>
      <c r="BG993" t="s">
        <v>111</v>
      </c>
      <c r="BH993" t="s">
        <v>111</v>
      </c>
      <c r="BI993" t="s">
        <v>111</v>
      </c>
      <c r="BJ993" t="s">
        <v>111</v>
      </c>
      <c r="BK993" t="s">
        <v>111</v>
      </c>
      <c r="BL993" t="s">
        <v>111</v>
      </c>
      <c r="BM993" t="s">
        <v>111</v>
      </c>
      <c r="BN993" t="s">
        <v>111</v>
      </c>
      <c r="BO993" t="s">
        <v>111</v>
      </c>
      <c r="BP993" t="s">
        <v>111</v>
      </c>
      <c r="BQ993" t="s">
        <v>111</v>
      </c>
      <c r="BR993" t="s">
        <v>111</v>
      </c>
      <c r="BS993" t="s">
        <v>111</v>
      </c>
      <c r="BT993" t="s">
        <v>111</v>
      </c>
      <c r="BU993" t="s">
        <v>111</v>
      </c>
      <c r="BV993" t="s">
        <v>111</v>
      </c>
      <c r="BW993" t="s">
        <v>111</v>
      </c>
      <c r="BX993" t="s">
        <v>111</v>
      </c>
      <c r="BY993" t="s">
        <v>111</v>
      </c>
      <c r="BZ993" t="s">
        <v>111</v>
      </c>
      <c r="CA993" t="s">
        <v>111</v>
      </c>
      <c r="CB993" t="s">
        <v>111</v>
      </c>
      <c r="CC993" t="s">
        <v>111</v>
      </c>
      <c r="CD993" t="s">
        <v>111</v>
      </c>
      <c r="CE993" t="s">
        <v>111</v>
      </c>
      <c r="CF993" t="s">
        <v>111</v>
      </c>
      <c r="CG993" t="s">
        <v>111</v>
      </c>
      <c r="CH993" t="s">
        <v>111</v>
      </c>
      <c r="CI993" t="s">
        <v>111</v>
      </c>
      <c r="CJ993" t="s">
        <v>111</v>
      </c>
      <c r="CK993" t="s">
        <v>111</v>
      </c>
      <c r="CL993" t="s">
        <v>153</v>
      </c>
      <c r="CM993" t="s">
        <v>198</v>
      </c>
      <c r="CN993" t="s">
        <v>128</v>
      </c>
      <c r="CO993" t="s">
        <v>1348</v>
      </c>
      <c r="CP993" t="s">
        <v>433</v>
      </c>
      <c r="CQ993">
        <v>0</v>
      </c>
      <c r="CR993">
        <v>0</v>
      </c>
      <c r="CS993">
        <v>0</v>
      </c>
      <c r="CT993" t="s">
        <v>2850</v>
      </c>
      <c r="CU993">
        <v>0</v>
      </c>
      <c r="CV993" t="s">
        <v>111</v>
      </c>
      <c r="CW993" t="s">
        <v>111</v>
      </c>
      <c r="CX993" t="s">
        <v>111</v>
      </c>
      <c r="CY993">
        <v>0</v>
      </c>
      <c r="CZ993" t="s">
        <v>111</v>
      </c>
      <c r="DA993" t="s">
        <v>111</v>
      </c>
      <c r="DB993" t="s">
        <v>204</v>
      </c>
      <c r="DC993" s="1" t="s">
        <v>1350</v>
      </c>
    </row>
    <row r="994" spans="1:107">
      <c r="A994">
        <v>586</v>
      </c>
      <c r="B994" t="s">
        <v>162</v>
      </c>
      <c r="C994" t="s">
        <v>681</v>
      </c>
      <c r="D994" t="s">
        <v>3171</v>
      </c>
      <c r="E994" t="s">
        <v>3172</v>
      </c>
      <c r="F994" t="s">
        <v>684</v>
      </c>
      <c r="G994" t="s">
        <v>416</v>
      </c>
      <c r="H994">
        <v>0.45</v>
      </c>
      <c r="I994">
        <v>45</v>
      </c>
      <c r="J994">
        <v>0</v>
      </c>
      <c r="K994">
        <v>0</v>
      </c>
      <c r="L994" t="s">
        <v>112</v>
      </c>
      <c r="M994" t="s">
        <v>138</v>
      </c>
      <c r="N994">
        <v>0</v>
      </c>
      <c r="O994">
        <v>0</v>
      </c>
      <c r="P994" t="s">
        <v>138</v>
      </c>
      <c r="Q994">
        <v>15</v>
      </c>
      <c r="R994">
        <v>0</v>
      </c>
      <c r="S994">
        <v>0</v>
      </c>
      <c r="T994">
        <v>0</v>
      </c>
      <c r="U994" t="s">
        <v>419</v>
      </c>
      <c r="V994">
        <v>25</v>
      </c>
      <c r="W994">
        <v>0</v>
      </c>
      <c r="X994">
        <v>5</v>
      </c>
      <c r="Y994">
        <v>0</v>
      </c>
      <c r="Z994" t="s">
        <v>111</v>
      </c>
      <c r="AA994">
        <v>0</v>
      </c>
      <c r="AB994" t="s">
        <v>111</v>
      </c>
      <c r="AC994">
        <v>0</v>
      </c>
      <c r="AD994" t="s">
        <v>111</v>
      </c>
      <c r="AE994">
        <v>0</v>
      </c>
      <c r="AF994">
        <v>0</v>
      </c>
      <c r="AG994" t="s">
        <v>111</v>
      </c>
      <c r="AH994" t="s">
        <v>111</v>
      </c>
      <c r="AI994" t="s">
        <v>111</v>
      </c>
      <c r="AJ994" t="s">
        <v>111</v>
      </c>
      <c r="AK994" t="s">
        <v>111</v>
      </c>
      <c r="AL994" t="s">
        <v>111</v>
      </c>
      <c r="AM994">
        <v>0</v>
      </c>
      <c r="AN994">
        <v>0</v>
      </c>
      <c r="AO994">
        <v>0</v>
      </c>
      <c r="AP994" t="s">
        <v>111</v>
      </c>
      <c r="AQ994" t="s">
        <v>111</v>
      </c>
      <c r="AR994" t="s">
        <v>111</v>
      </c>
      <c r="AS994" t="s">
        <v>111</v>
      </c>
      <c r="AT994" t="s">
        <v>111</v>
      </c>
      <c r="AU994" t="s">
        <v>111</v>
      </c>
      <c r="AV994" t="s">
        <v>111</v>
      </c>
      <c r="AW994" t="s">
        <v>111</v>
      </c>
      <c r="AX994" t="s">
        <v>111</v>
      </c>
      <c r="AY994" t="s">
        <v>111</v>
      </c>
      <c r="AZ994" t="s">
        <v>111</v>
      </c>
      <c r="BA994" t="s">
        <v>111</v>
      </c>
      <c r="BB994" t="s">
        <v>111</v>
      </c>
      <c r="BC994" t="s">
        <v>111</v>
      </c>
      <c r="BD994" t="s">
        <v>111</v>
      </c>
      <c r="BE994" t="s">
        <v>111</v>
      </c>
      <c r="BF994" t="s">
        <v>111</v>
      </c>
      <c r="BG994" t="s">
        <v>111</v>
      </c>
      <c r="BH994" t="s">
        <v>111</v>
      </c>
      <c r="BI994" t="s">
        <v>111</v>
      </c>
      <c r="BJ994" t="s">
        <v>111</v>
      </c>
      <c r="BK994" t="s">
        <v>111</v>
      </c>
      <c r="BL994" t="s">
        <v>111</v>
      </c>
      <c r="BM994" t="s">
        <v>111</v>
      </c>
      <c r="BN994" t="s">
        <v>111</v>
      </c>
      <c r="BO994" t="s">
        <v>111</v>
      </c>
      <c r="BP994" t="s">
        <v>111</v>
      </c>
      <c r="BQ994" t="s">
        <v>111</v>
      </c>
      <c r="BR994" t="s">
        <v>111</v>
      </c>
      <c r="BS994" t="s">
        <v>111</v>
      </c>
      <c r="BT994" t="s">
        <v>111</v>
      </c>
      <c r="BU994" t="s">
        <v>111</v>
      </c>
      <c r="BV994" t="s">
        <v>111</v>
      </c>
      <c r="BW994" t="s">
        <v>111</v>
      </c>
      <c r="BX994" t="s">
        <v>111</v>
      </c>
      <c r="BY994" t="s">
        <v>111</v>
      </c>
      <c r="BZ994" t="s">
        <v>111</v>
      </c>
      <c r="CA994" t="s">
        <v>111</v>
      </c>
      <c r="CB994" t="s">
        <v>111</v>
      </c>
      <c r="CC994" t="s">
        <v>111</v>
      </c>
      <c r="CD994" t="s">
        <v>111</v>
      </c>
      <c r="CE994" t="s">
        <v>111</v>
      </c>
      <c r="CF994" t="s">
        <v>111</v>
      </c>
      <c r="CG994" t="s">
        <v>111</v>
      </c>
      <c r="CH994" t="s">
        <v>111</v>
      </c>
      <c r="CI994" t="s">
        <v>111</v>
      </c>
      <c r="CJ994" t="s">
        <v>111</v>
      </c>
      <c r="CK994" t="s">
        <v>111</v>
      </c>
      <c r="CL994" t="s">
        <v>111</v>
      </c>
      <c r="CM994" t="s">
        <v>111</v>
      </c>
      <c r="CN994" t="s">
        <v>111</v>
      </c>
      <c r="CO994" t="s">
        <v>111</v>
      </c>
      <c r="CP994" t="s">
        <v>111</v>
      </c>
      <c r="CQ994">
        <v>0</v>
      </c>
      <c r="CR994">
        <v>0</v>
      </c>
      <c r="CS994">
        <v>0</v>
      </c>
      <c r="CT994" t="s">
        <v>111</v>
      </c>
      <c r="CU994">
        <v>0</v>
      </c>
      <c r="CV994" t="s">
        <v>111</v>
      </c>
      <c r="CW994" t="s">
        <v>111</v>
      </c>
      <c r="CX994" t="s">
        <v>111</v>
      </c>
      <c r="CY994">
        <v>0</v>
      </c>
      <c r="CZ994" t="s">
        <v>111</v>
      </c>
      <c r="DA994" t="s">
        <v>111</v>
      </c>
      <c r="DB994" t="s">
        <v>204</v>
      </c>
      <c r="DC994" s="1" t="s">
        <v>804</v>
      </c>
    </row>
    <row r="995" spans="1:107">
      <c r="A995">
        <v>1966</v>
      </c>
      <c r="B995" t="s">
        <v>107</v>
      </c>
      <c r="C995" t="s">
        <v>215</v>
      </c>
      <c r="D995" t="s">
        <v>3173</v>
      </c>
      <c r="E995" t="s">
        <v>3174</v>
      </c>
      <c r="F995" t="s">
        <v>157</v>
      </c>
      <c r="G995" t="s">
        <v>416</v>
      </c>
      <c r="H995">
        <v>4</v>
      </c>
      <c r="I995">
        <v>7</v>
      </c>
      <c r="J995">
        <v>0</v>
      </c>
      <c r="K995">
        <v>0</v>
      </c>
      <c r="L995" t="s">
        <v>117</v>
      </c>
      <c r="M995" t="s">
        <v>111</v>
      </c>
      <c r="N995">
        <v>0</v>
      </c>
      <c r="O995">
        <v>0</v>
      </c>
      <c r="P995" t="s">
        <v>111</v>
      </c>
      <c r="Q995">
        <v>10</v>
      </c>
      <c r="R995">
        <v>0</v>
      </c>
      <c r="S995">
        <v>0</v>
      </c>
      <c r="T995">
        <v>0</v>
      </c>
      <c r="U995" t="e">
        <f>-ALMACEN</f>
        <v>#NAME?</v>
      </c>
      <c r="V995">
        <v>0</v>
      </c>
      <c r="W995">
        <v>25</v>
      </c>
      <c r="X995">
        <v>5</v>
      </c>
      <c r="Y995">
        <v>0</v>
      </c>
      <c r="Z995" t="s">
        <v>111</v>
      </c>
      <c r="AA995">
        <v>0</v>
      </c>
      <c r="AB995" t="s">
        <v>111</v>
      </c>
      <c r="AC995">
        <v>0</v>
      </c>
      <c r="AD995" t="s">
        <v>111</v>
      </c>
      <c r="AE995">
        <v>0</v>
      </c>
      <c r="AF995">
        <v>0</v>
      </c>
      <c r="AG995" t="s">
        <v>111</v>
      </c>
      <c r="AH995" t="s">
        <v>111</v>
      </c>
      <c r="AI995" t="s">
        <v>111</v>
      </c>
      <c r="AJ995" t="s">
        <v>111</v>
      </c>
      <c r="AK995" t="s">
        <v>111</v>
      </c>
      <c r="AL995" t="s">
        <v>111</v>
      </c>
      <c r="AM995">
        <v>0</v>
      </c>
      <c r="AN995">
        <v>0</v>
      </c>
      <c r="AO995">
        <v>0</v>
      </c>
      <c r="AP995" t="s">
        <v>111</v>
      </c>
      <c r="AQ995" t="s">
        <v>111</v>
      </c>
      <c r="AR995" t="s">
        <v>111</v>
      </c>
      <c r="AS995" t="s">
        <v>111</v>
      </c>
      <c r="AT995" t="s">
        <v>111</v>
      </c>
      <c r="AU995" t="s">
        <v>111</v>
      </c>
      <c r="AV995" t="s">
        <v>111</v>
      </c>
      <c r="AW995" t="s">
        <v>111</v>
      </c>
      <c r="AX995" t="s">
        <v>111</v>
      </c>
      <c r="AY995" t="s">
        <v>111</v>
      </c>
      <c r="AZ995" t="s">
        <v>111</v>
      </c>
      <c r="BA995" t="s">
        <v>111</v>
      </c>
      <c r="BB995" t="s">
        <v>111</v>
      </c>
      <c r="BC995" t="s">
        <v>111</v>
      </c>
      <c r="BD995" t="s">
        <v>111</v>
      </c>
      <c r="BE995" t="s">
        <v>111</v>
      </c>
      <c r="BF995" t="s">
        <v>111</v>
      </c>
      <c r="BG995" t="s">
        <v>111</v>
      </c>
      <c r="BH995" t="s">
        <v>111</v>
      </c>
      <c r="BI995" t="s">
        <v>111</v>
      </c>
      <c r="BJ995" t="s">
        <v>111</v>
      </c>
      <c r="BK995" t="s">
        <v>111</v>
      </c>
      <c r="BL995" t="s">
        <v>111</v>
      </c>
      <c r="BM995" t="s">
        <v>111</v>
      </c>
      <c r="BN995" t="s">
        <v>111</v>
      </c>
      <c r="BO995" t="s">
        <v>111</v>
      </c>
      <c r="BP995" t="s">
        <v>111</v>
      </c>
      <c r="BQ995" t="s">
        <v>111</v>
      </c>
      <c r="BR995" t="s">
        <v>111</v>
      </c>
      <c r="BS995" t="s">
        <v>111</v>
      </c>
      <c r="BT995" t="s">
        <v>111</v>
      </c>
      <c r="BU995" t="s">
        <v>111</v>
      </c>
      <c r="BV995" t="s">
        <v>111</v>
      </c>
      <c r="BW995" t="s">
        <v>111</v>
      </c>
      <c r="BX995" t="s">
        <v>111</v>
      </c>
      <c r="BY995" t="s">
        <v>111</v>
      </c>
      <c r="BZ995" t="s">
        <v>111</v>
      </c>
      <c r="CA995" t="s">
        <v>111</v>
      </c>
      <c r="CB995" t="s">
        <v>111</v>
      </c>
      <c r="CC995" t="s">
        <v>111</v>
      </c>
      <c r="CD995" t="s">
        <v>111</v>
      </c>
      <c r="CE995" t="s">
        <v>111</v>
      </c>
      <c r="CF995" t="s">
        <v>111</v>
      </c>
      <c r="CG995" t="s">
        <v>111</v>
      </c>
      <c r="CH995" t="s">
        <v>111</v>
      </c>
      <c r="CI995" t="s">
        <v>111</v>
      </c>
      <c r="CJ995" t="s">
        <v>111</v>
      </c>
      <c r="CK995" t="s">
        <v>111</v>
      </c>
      <c r="CL995" t="s">
        <v>111</v>
      </c>
      <c r="CM995" t="s">
        <v>111</v>
      </c>
      <c r="CN995" t="s">
        <v>111</v>
      </c>
      <c r="CO995" t="s">
        <v>111</v>
      </c>
      <c r="CP995" t="s">
        <v>111</v>
      </c>
      <c r="CQ995">
        <v>0</v>
      </c>
      <c r="CR995">
        <v>0</v>
      </c>
      <c r="CS995">
        <v>0</v>
      </c>
      <c r="CT995" t="s">
        <v>111</v>
      </c>
      <c r="CU995">
        <v>0</v>
      </c>
      <c r="CV995" t="s">
        <v>111</v>
      </c>
      <c r="CX995" t="s">
        <v>111</v>
      </c>
      <c r="CY995">
        <v>0</v>
      </c>
      <c r="CZ995" t="s">
        <v>111</v>
      </c>
      <c r="DA995" t="s">
        <v>111</v>
      </c>
      <c r="DB995" t="s">
        <v>111</v>
      </c>
      <c r="DC995" t="s">
        <v>111</v>
      </c>
    </row>
    <row r="996" spans="1:107">
      <c r="A996">
        <v>583</v>
      </c>
      <c r="B996" t="s">
        <v>162</v>
      </c>
      <c r="C996" t="s">
        <v>928</v>
      </c>
      <c r="D996" t="s">
        <v>3175</v>
      </c>
      <c r="E996" t="s">
        <v>3176</v>
      </c>
      <c r="F996" t="s">
        <v>431</v>
      </c>
      <c r="G996" t="s">
        <v>416</v>
      </c>
      <c r="H996">
        <v>1.1000000000000001</v>
      </c>
      <c r="I996">
        <v>70</v>
      </c>
      <c r="J996">
        <v>0</v>
      </c>
      <c r="K996">
        <v>0</v>
      </c>
      <c r="L996" t="s">
        <v>112</v>
      </c>
      <c r="M996" t="s">
        <v>118</v>
      </c>
      <c r="N996">
        <v>39</v>
      </c>
      <c r="O996">
        <v>1</v>
      </c>
      <c r="P996" t="s">
        <v>138</v>
      </c>
      <c r="Q996">
        <v>40</v>
      </c>
      <c r="R996">
        <v>0</v>
      </c>
      <c r="S996">
        <v>0</v>
      </c>
      <c r="T996">
        <v>0</v>
      </c>
      <c r="U996" t="s">
        <v>1353</v>
      </c>
      <c r="V996">
        <v>0</v>
      </c>
      <c r="W996">
        <v>25</v>
      </c>
      <c r="X996">
        <v>6</v>
      </c>
      <c r="Y996">
        <v>0</v>
      </c>
      <c r="Z996" t="s">
        <v>111</v>
      </c>
      <c r="AA996">
        <v>0</v>
      </c>
      <c r="AB996" t="s">
        <v>111</v>
      </c>
      <c r="AC996">
        <v>0</v>
      </c>
      <c r="AD996" t="s">
        <v>416</v>
      </c>
      <c r="AE996">
        <v>1</v>
      </c>
      <c r="AF996">
        <v>1</v>
      </c>
      <c r="AG996" t="s">
        <v>1479</v>
      </c>
      <c r="AH996" t="s">
        <v>111</v>
      </c>
      <c r="AI996">
        <v>52</v>
      </c>
      <c r="AJ996" t="s">
        <v>111</v>
      </c>
      <c r="AK996" t="s">
        <v>111</v>
      </c>
      <c r="AL996" t="s">
        <v>111</v>
      </c>
      <c r="AM996">
        <v>0</v>
      </c>
      <c r="AN996">
        <v>0</v>
      </c>
      <c r="AO996">
        <v>0</v>
      </c>
      <c r="AP996" t="s">
        <v>188</v>
      </c>
      <c r="AQ996" t="s">
        <v>3177</v>
      </c>
      <c r="AR996" t="s">
        <v>111</v>
      </c>
      <c r="AS996" t="s">
        <v>111</v>
      </c>
      <c r="AT996" t="s">
        <v>111</v>
      </c>
      <c r="AU996" t="s">
        <v>111</v>
      </c>
      <c r="AV996" t="s">
        <v>111</v>
      </c>
      <c r="AW996" t="s">
        <v>111</v>
      </c>
      <c r="AX996" t="s">
        <v>111</v>
      </c>
      <c r="AY996" t="s">
        <v>111</v>
      </c>
      <c r="AZ996" t="s">
        <v>111</v>
      </c>
      <c r="BA996" t="s">
        <v>111</v>
      </c>
      <c r="BB996" t="s">
        <v>111</v>
      </c>
      <c r="BC996" t="s">
        <v>111</v>
      </c>
      <c r="BD996" t="s">
        <v>111</v>
      </c>
      <c r="BE996" t="s">
        <v>111</v>
      </c>
      <c r="BF996" t="s">
        <v>111</v>
      </c>
      <c r="BG996" t="s">
        <v>111</v>
      </c>
      <c r="BH996" t="s">
        <v>111</v>
      </c>
      <c r="BI996" t="s">
        <v>111</v>
      </c>
      <c r="BJ996" t="s">
        <v>111</v>
      </c>
      <c r="BK996" t="s">
        <v>111</v>
      </c>
      <c r="BL996" t="s">
        <v>111</v>
      </c>
      <c r="BM996" t="s">
        <v>111</v>
      </c>
      <c r="BN996" t="s">
        <v>111</v>
      </c>
      <c r="BO996" t="s">
        <v>111</v>
      </c>
      <c r="BP996" t="s">
        <v>111</v>
      </c>
      <c r="BQ996" t="s">
        <v>111</v>
      </c>
      <c r="BR996" t="s">
        <v>111</v>
      </c>
      <c r="BS996" t="s">
        <v>111</v>
      </c>
      <c r="BT996" t="s">
        <v>111</v>
      </c>
      <c r="BU996" t="s">
        <v>111</v>
      </c>
      <c r="BV996" t="s">
        <v>111</v>
      </c>
      <c r="BW996" t="s">
        <v>111</v>
      </c>
      <c r="BX996" t="s">
        <v>111</v>
      </c>
      <c r="BY996" t="s">
        <v>111</v>
      </c>
      <c r="BZ996" t="s">
        <v>111</v>
      </c>
      <c r="CA996" t="s">
        <v>111</v>
      </c>
      <c r="CB996" t="s">
        <v>111</v>
      </c>
      <c r="CC996" t="s">
        <v>111</v>
      </c>
      <c r="CD996" t="s">
        <v>111</v>
      </c>
      <c r="CE996" t="s">
        <v>111</v>
      </c>
      <c r="CF996" t="s">
        <v>111</v>
      </c>
      <c r="CG996" t="s">
        <v>111</v>
      </c>
      <c r="CH996" t="s">
        <v>111</v>
      </c>
      <c r="CI996" t="s">
        <v>111</v>
      </c>
      <c r="CJ996" t="s">
        <v>111</v>
      </c>
      <c r="CK996" t="s">
        <v>111</v>
      </c>
      <c r="CL996" t="s">
        <v>153</v>
      </c>
      <c r="CM996" t="s">
        <v>198</v>
      </c>
      <c r="CN996" t="s">
        <v>113</v>
      </c>
      <c r="CO996" t="s">
        <v>637</v>
      </c>
      <c r="CP996" t="s">
        <v>433</v>
      </c>
      <c r="CQ996">
        <v>0</v>
      </c>
      <c r="CR996">
        <v>5000</v>
      </c>
      <c r="CS996">
        <v>500</v>
      </c>
      <c r="CT996" t="s">
        <v>168</v>
      </c>
      <c r="CU996">
        <v>0</v>
      </c>
      <c r="CV996" t="s">
        <v>111</v>
      </c>
      <c r="CW996" t="s">
        <v>111</v>
      </c>
      <c r="CX996" t="s">
        <v>111</v>
      </c>
      <c r="CY996">
        <v>0</v>
      </c>
      <c r="CZ996" t="s">
        <v>111</v>
      </c>
      <c r="DA996" t="s">
        <v>111</v>
      </c>
      <c r="DB996" t="s">
        <v>111</v>
      </c>
      <c r="DC996" t="s">
        <v>111</v>
      </c>
    </row>
    <row r="997" spans="1:107">
      <c r="A997">
        <v>496</v>
      </c>
      <c r="B997" t="s">
        <v>162</v>
      </c>
      <c r="C997" t="s">
        <v>674</v>
      </c>
      <c r="D997" t="s">
        <v>3178</v>
      </c>
      <c r="E997" t="s">
        <v>3179</v>
      </c>
      <c r="F997" t="s">
        <v>431</v>
      </c>
      <c r="G997" t="s">
        <v>416</v>
      </c>
      <c r="H997">
        <v>0.9</v>
      </c>
      <c r="I997">
        <v>30</v>
      </c>
      <c r="J997">
        <v>0</v>
      </c>
      <c r="K997">
        <v>0</v>
      </c>
      <c r="L997" t="s">
        <v>112</v>
      </c>
      <c r="M997" t="s">
        <v>118</v>
      </c>
      <c r="N997">
        <v>40</v>
      </c>
      <c r="O997">
        <v>2</v>
      </c>
      <c r="P997" t="s">
        <v>138</v>
      </c>
      <c r="Q997">
        <v>40</v>
      </c>
      <c r="R997">
        <v>0</v>
      </c>
      <c r="S997">
        <v>0</v>
      </c>
      <c r="T997">
        <v>0</v>
      </c>
      <c r="U997" t="s">
        <v>1353</v>
      </c>
      <c r="V997">
        <v>0</v>
      </c>
      <c r="W997">
        <v>25</v>
      </c>
      <c r="X997">
        <v>8</v>
      </c>
      <c r="Y997">
        <v>0</v>
      </c>
      <c r="Z997" t="s">
        <v>111</v>
      </c>
      <c r="AA997">
        <v>0</v>
      </c>
      <c r="AB997" t="s">
        <v>111</v>
      </c>
      <c r="AC997">
        <v>0</v>
      </c>
      <c r="AD997" t="s">
        <v>416</v>
      </c>
      <c r="AE997">
        <v>4</v>
      </c>
      <c r="AF997">
        <v>1</v>
      </c>
      <c r="AG997" t="s">
        <v>678</v>
      </c>
      <c r="AH997" t="s">
        <v>113</v>
      </c>
      <c r="AI997">
        <v>42</v>
      </c>
      <c r="AJ997" t="s">
        <v>111</v>
      </c>
      <c r="AK997" t="s">
        <v>111</v>
      </c>
      <c r="AL997" t="s">
        <v>111</v>
      </c>
      <c r="AM997">
        <v>0</v>
      </c>
      <c r="AN997">
        <v>0</v>
      </c>
      <c r="AO997">
        <v>0</v>
      </c>
      <c r="AP997" t="s">
        <v>184</v>
      </c>
      <c r="AQ997" t="s">
        <v>111</v>
      </c>
      <c r="AR997" t="s">
        <v>111</v>
      </c>
      <c r="AS997" t="s">
        <v>111</v>
      </c>
      <c r="AT997" t="s">
        <v>147</v>
      </c>
      <c r="AU997" t="s">
        <v>111</v>
      </c>
      <c r="AV997" t="s">
        <v>111</v>
      </c>
      <c r="AW997" t="s">
        <v>111</v>
      </c>
      <c r="AX997" t="s">
        <v>288</v>
      </c>
      <c r="AY997" t="s">
        <v>111</v>
      </c>
      <c r="AZ997" t="s">
        <v>111</v>
      </c>
      <c r="BA997" t="s">
        <v>111</v>
      </c>
      <c r="BB997" t="s">
        <v>259</v>
      </c>
      <c r="BC997" t="s">
        <v>111</v>
      </c>
      <c r="BD997" t="s">
        <v>111</v>
      </c>
      <c r="BE997" t="s">
        <v>111</v>
      </c>
      <c r="BF997" t="s">
        <v>111</v>
      </c>
      <c r="BG997" t="s">
        <v>111</v>
      </c>
      <c r="BH997" t="s">
        <v>111</v>
      </c>
      <c r="BI997" t="s">
        <v>111</v>
      </c>
      <c r="BJ997" t="s">
        <v>111</v>
      </c>
      <c r="BK997" t="s">
        <v>111</v>
      </c>
      <c r="BL997" t="s">
        <v>111</v>
      </c>
      <c r="BM997" t="s">
        <v>111</v>
      </c>
      <c r="BN997" t="s">
        <v>111</v>
      </c>
      <c r="BO997" t="s">
        <v>111</v>
      </c>
      <c r="BP997" t="s">
        <v>111</v>
      </c>
      <c r="BQ997" t="s">
        <v>111</v>
      </c>
      <c r="BR997" t="s">
        <v>111</v>
      </c>
      <c r="BS997" t="s">
        <v>111</v>
      </c>
      <c r="BT997" t="s">
        <v>111</v>
      </c>
      <c r="BU997" t="s">
        <v>111</v>
      </c>
      <c r="BV997" t="s">
        <v>111</v>
      </c>
      <c r="BW997" t="s">
        <v>111</v>
      </c>
      <c r="BX997" t="s">
        <v>111</v>
      </c>
      <c r="BY997" t="s">
        <v>111</v>
      </c>
      <c r="BZ997" t="s">
        <v>111</v>
      </c>
      <c r="CA997" t="s">
        <v>111</v>
      </c>
      <c r="CB997" t="s">
        <v>111</v>
      </c>
      <c r="CC997" t="s">
        <v>111</v>
      </c>
      <c r="CD997" t="s">
        <v>111</v>
      </c>
      <c r="CE997" t="s">
        <v>111</v>
      </c>
      <c r="CF997" t="s">
        <v>111</v>
      </c>
      <c r="CG997" t="s">
        <v>111</v>
      </c>
      <c r="CH997" t="s">
        <v>111</v>
      </c>
      <c r="CI997" t="s">
        <v>111</v>
      </c>
      <c r="CJ997" t="s">
        <v>111</v>
      </c>
      <c r="CK997" t="s">
        <v>111</v>
      </c>
      <c r="CL997" t="s">
        <v>153</v>
      </c>
      <c r="CM997" t="s">
        <v>198</v>
      </c>
      <c r="CN997" t="s">
        <v>113</v>
      </c>
      <c r="CO997" t="s">
        <v>111</v>
      </c>
      <c r="CP997" t="s">
        <v>433</v>
      </c>
      <c r="CQ997">
        <v>0</v>
      </c>
      <c r="CR997">
        <v>10000</v>
      </c>
      <c r="CS997">
        <v>500</v>
      </c>
      <c r="CT997" s="1" t="s">
        <v>3180</v>
      </c>
      <c r="CU997">
        <v>0</v>
      </c>
      <c r="CV997" t="s">
        <v>111</v>
      </c>
      <c r="CW997" t="s">
        <v>111</v>
      </c>
      <c r="CX997" t="s">
        <v>111</v>
      </c>
      <c r="CY997">
        <v>0</v>
      </c>
      <c r="CZ997" t="s">
        <v>111</v>
      </c>
      <c r="DA997" t="s">
        <v>111</v>
      </c>
      <c r="DB997" t="s">
        <v>111</v>
      </c>
      <c r="DC997" t="s">
        <v>111</v>
      </c>
    </row>
    <row r="998" spans="1:107">
      <c r="A998">
        <v>180</v>
      </c>
      <c r="B998" t="s">
        <v>162</v>
      </c>
      <c r="C998" t="s">
        <v>223</v>
      </c>
      <c r="D998" t="s">
        <v>2268</v>
      </c>
      <c r="E998" t="s">
        <v>3181</v>
      </c>
      <c r="F998" t="s">
        <v>370</v>
      </c>
      <c r="G998" t="s">
        <v>416</v>
      </c>
      <c r="H998">
        <v>2.5</v>
      </c>
      <c r="I998">
        <v>35</v>
      </c>
      <c r="J998">
        <v>0</v>
      </c>
      <c r="K998">
        <v>0</v>
      </c>
      <c r="L998" t="s">
        <v>112</v>
      </c>
      <c r="M998" t="s">
        <v>118</v>
      </c>
      <c r="N998">
        <v>40</v>
      </c>
      <c r="O998">
        <v>2</v>
      </c>
      <c r="P998" t="s">
        <v>138</v>
      </c>
      <c r="Q998">
        <v>35</v>
      </c>
      <c r="R998">
        <v>0</v>
      </c>
      <c r="S998">
        <v>0</v>
      </c>
      <c r="T998">
        <v>0</v>
      </c>
      <c r="U998" t="s">
        <v>1353</v>
      </c>
      <c r="V998">
        <v>25</v>
      </c>
      <c r="W998">
        <v>0</v>
      </c>
      <c r="X998">
        <v>10</v>
      </c>
      <c r="Y998">
        <v>0</v>
      </c>
      <c r="Z998" t="s">
        <v>288</v>
      </c>
      <c r="AA998">
        <v>1.75</v>
      </c>
      <c r="AB998" t="s">
        <v>111</v>
      </c>
      <c r="AC998">
        <v>0</v>
      </c>
      <c r="AD998" t="s">
        <v>416</v>
      </c>
      <c r="AE998">
        <v>2</v>
      </c>
      <c r="AF998">
        <v>2</v>
      </c>
      <c r="AG998" t="s">
        <v>691</v>
      </c>
      <c r="AH998" t="s">
        <v>111</v>
      </c>
      <c r="AI998">
        <v>38</v>
      </c>
      <c r="AJ998" t="s">
        <v>111</v>
      </c>
      <c r="AK998" t="s">
        <v>111</v>
      </c>
      <c r="AL998" t="s">
        <v>111</v>
      </c>
      <c r="AM998">
        <v>0</v>
      </c>
      <c r="AN998">
        <v>0</v>
      </c>
      <c r="AO998">
        <v>0</v>
      </c>
      <c r="AP998" t="s">
        <v>366</v>
      </c>
      <c r="AQ998" t="s">
        <v>111</v>
      </c>
      <c r="AR998" t="s">
        <v>111</v>
      </c>
      <c r="AS998" t="s">
        <v>111</v>
      </c>
      <c r="AT998" t="s">
        <v>271</v>
      </c>
      <c r="AU998" t="s">
        <v>111</v>
      </c>
      <c r="AV998" t="s">
        <v>111</v>
      </c>
      <c r="AW998" t="s">
        <v>111</v>
      </c>
      <c r="AX998" t="s">
        <v>111</v>
      </c>
      <c r="AY998" t="s">
        <v>111</v>
      </c>
      <c r="AZ998" t="s">
        <v>111</v>
      </c>
      <c r="BA998" t="s">
        <v>111</v>
      </c>
      <c r="BB998" t="s">
        <v>111</v>
      </c>
      <c r="BC998" t="s">
        <v>111</v>
      </c>
      <c r="BD998" t="s">
        <v>111</v>
      </c>
      <c r="BE998" t="s">
        <v>111</v>
      </c>
      <c r="BF998" t="s">
        <v>111</v>
      </c>
      <c r="BG998" t="s">
        <v>111</v>
      </c>
      <c r="BH998" t="s">
        <v>111</v>
      </c>
      <c r="BI998" t="s">
        <v>111</v>
      </c>
      <c r="BJ998" t="s">
        <v>111</v>
      </c>
      <c r="BK998" t="s">
        <v>111</v>
      </c>
      <c r="BL998" t="s">
        <v>111</v>
      </c>
      <c r="BM998" t="s">
        <v>111</v>
      </c>
      <c r="BN998" t="s">
        <v>111</v>
      </c>
      <c r="BO998" t="s">
        <v>111</v>
      </c>
      <c r="BP998" t="s">
        <v>111</v>
      </c>
      <c r="BQ998" t="s">
        <v>111</v>
      </c>
      <c r="BR998" t="s">
        <v>111</v>
      </c>
      <c r="BS998" t="s">
        <v>111</v>
      </c>
      <c r="BT998" t="s">
        <v>111</v>
      </c>
      <c r="BU998" t="s">
        <v>111</v>
      </c>
      <c r="BV998" t="s">
        <v>111</v>
      </c>
      <c r="BW998" t="s">
        <v>111</v>
      </c>
      <c r="BX998" t="s">
        <v>111</v>
      </c>
      <c r="BY998" t="s">
        <v>111</v>
      </c>
      <c r="BZ998" t="s">
        <v>111</v>
      </c>
      <c r="CA998" t="s">
        <v>111</v>
      </c>
      <c r="CB998" t="s">
        <v>111</v>
      </c>
      <c r="CC998" t="s">
        <v>111</v>
      </c>
      <c r="CD998" t="s">
        <v>111</v>
      </c>
      <c r="CE998" t="s">
        <v>111</v>
      </c>
      <c r="CF998" t="s">
        <v>111</v>
      </c>
      <c r="CG998" t="s">
        <v>111</v>
      </c>
      <c r="CH998" t="s">
        <v>111</v>
      </c>
      <c r="CI998" t="s">
        <v>111</v>
      </c>
      <c r="CJ998" t="s">
        <v>111</v>
      </c>
      <c r="CK998" t="s">
        <v>111</v>
      </c>
      <c r="CL998" t="s">
        <v>419</v>
      </c>
      <c r="CM998" t="s">
        <v>111</v>
      </c>
      <c r="CN998" t="s">
        <v>111</v>
      </c>
      <c r="CO998" t="s">
        <v>111</v>
      </c>
      <c r="CP998" t="s">
        <v>111</v>
      </c>
      <c r="CQ998">
        <v>0</v>
      </c>
      <c r="CR998">
        <v>0</v>
      </c>
      <c r="CS998">
        <v>0</v>
      </c>
      <c r="CT998" t="s">
        <v>111</v>
      </c>
      <c r="CU998">
        <v>0</v>
      </c>
      <c r="CV998" t="s">
        <v>111</v>
      </c>
      <c r="CW998" t="s">
        <v>111</v>
      </c>
      <c r="CX998" t="s">
        <v>111</v>
      </c>
      <c r="CY998">
        <v>0</v>
      </c>
      <c r="CZ998" t="s">
        <v>111</v>
      </c>
      <c r="DA998" t="s">
        <v>111</v>
      </c>
      <c r="DB998" t="s">
        <v>204</v>
      </c>
      <c r="DC998" s="1" t="s">
        <v>205</v>
      </c>
    </row>
    <row r="999" spans="1:107">
      <c r="A999">
        <v>176</v>
      </c>
      <c r="B999" t="s">
        <v>162</v>
      </c>
      <c r="C999" t="s">
        <v>2952</v>
      </c>
      <c r="D999" t="s">
        <v>2953</v>
      </c>
      <c r="E999" t="s">
        <v>3182</v>
      </c>
      <c r="F999" t="s">
        <v>431</v>
      </c>
      <c r="G999" t="s">
        <v>416</v>
      </c>
      <c r="H999">
        <v>1.1000000000000001</v>
      </c>
      <c r="I999">
        <v>42</v>
      </c>
      <c r="J999">
        <v>0</v>
      </c>
      <c r="K999">
        <v>0</v>
      </c>
      <c r="L999" t="s">
        <v>178</v>
      </c>
      <c r="M999" t="s">
        <v>118</v>
      </c>
      <c r="N999">
        <v>40</v>
      </c>
      <c r="O999">
        <v>2</v>
      </c>
      <c r="P999" t="s">
        <v>138</v>
      </c>
      <c r="Q999">
        <v>35</v>
      </c>
      <c r="R999">
        <v>0</v>
      </c>
      <c r="S999">
        <v>0</v>
      </c>
      <c r="T999">
        <v>0</v>
      </c>
      <c r="U999" s="1" t="s">
        <v>3183</v>
      </c>
      <c r="V999">
        <v>0</v>
      </c>
      <c r="W999">
        <v>25</v>
      </c>
      <c r="X999">
        <v>8</v>
      </c>
      <c r="Y999">
        <v>0</v>
      </c>
      <c r="Z999" t="s">
        <v>111</v>
      </c>
      <c r="AA999">
        <v>0</v>
      </c>
      <c r="AB999" t="s">
        <v>111</v>
      </c>
      <c r="AC999">
        <v>0</v>
      </c>
      <c r="AD999" t="s">
        <v>416</v>
      </c>
      <c r="AE999">
        <v>1</v>
      </c>
      <c r="AF999">
        <v>1</v>
      </c>
      <c r="AG999">
        <v>32</v>
      </c>
      <c r="AH999" t="s">
        <v>111</v>
      </c>
      <c r="AI999">
        <v>42</v>
      </c>
      <c r="AJ999" t="s">
        <v>111</v>
      </c>
      <c r="AK999" t="s">
        <v>111</v>
      </c>
      <c r="AL999" t="s">
        <v>111</v>
      </c>
      <c r="AM999">
        <v>0</v>
      </c>
      <c r="AN999">
        <v>0</v>
      </c>
      <c r="AO999">
        <v>0</v>
      </c>
      <c r="AP999" t="s">
        <v>111</v>
      </c>
      <c r="AQ999" t="s">
        <v>111</v>
      </c>
      <c r="AR999" t="s">
        <v>111</v>
      </c>
      <c r="AS999" t="s">
        <v>111</v>
      </c>
      <c r="AT999" t="s">
        <v>111</v>
      </c>
      <c r="AU999" t="s">
        <v>111</v>
      </c>
      <c r="AV999" t="s">
        <v>111</v>
      </c>
      <c r="AW999" t="s">
        <v>111</v>
      </c>
      <c r="AX999" t="s">
        <v>111</v>
      </c>
      <c r="AY999" t="s">
        <v>111</v>
      </c>
      <c r="AZ999" t="s">
        <v>111</v>
      </c>
      <c r="BA999" t="s">
        <v>111</v>
      </c>
      <c r="BB999" t="s">
        <v>111</v>
      </c>
      <c r="BC999" t="s">
        <v>111</v>
      </c>
      <c r="BD999" t="s">
        <v>111</v>
      </c>
      <c r="BE999" t="s">
        <v>111</v>
      </c>
      <c r="BF999" t="s">
        <v>111</v>
      </c>
      <c r="BG999" t="s">
        <v>111</v>
      </c>
      <c r="BH999" t="s">
        <v>111</v>
      </c>
      <c r="BI999" t="s">
        <v>111</v>
      </c>
      <c r="BJ999" t="s">
        <v>111</v>
      </c>
      <c r="BK999" t="s">
        <v>111</v>
      </c>
      <c r="BL999" t="s">
        <v>111</v>
      </c>
      <c r="BM999" t="s">
        <v>111</v>
      </c>
      <c r="BN999" t="s">
        <v>111</v>
      </c>
      <c r="BO999" t="s">
        <v>111</v>
      </c>
      <c r="BP999" t="s">
        <v>111</v>
      </c>
      <c r="BQ999" t="s">
        <v>111</v>
      </c>
      <c r="BR999" t="s">
        <v>111</v>
      </c>
      <c r="BS999" t="s">
        <v>111</v>
      </c>
      <c r="BT999" t="s">
        <v>111</v>
      </c>
      <c r="BU999" t="s">
        <v>111</v>
      </c>
      <c r="BV999" t="s">
        <v>111</v>
      </c>
      <c r="BW999" t="s">
        <v>111</v>
      </c>
      <c r="BX999" t="s">
        <v>111</v>
      </c>
      <c r="BY999" t="s">
        <v>111</v>
      </c>
      <c r="BZ999" t="s">
        <v>111</v>
      </c>
      <c r="CA999" t="s">
        <v>111</v>
      </c>
      <c r="CB999" t="s">
        <v>111</v>
      </c>
      <c r="CC999" t="s">
        <v>111</v>
      </c>
      <c r="CD999" t="s">
        <v>111</v>
      </c>
      <c r="CE999" t="s">
        <v>111</v>
      </c>
      <c r="CF999" t="s">
        <v>111</v>
      </c>
      <c r="CG999" t="s">
        <v>111</v>
      </c>
      <c r="CH999" t="s">
        <v>111</v>
      </c>
      <c r="CI999" t="s">
        <v>111</v>
      </c>
      <c r="CJ999" t="s">
        <v>111</v>
      </c>
      <c r="CK999" t="s">
        <v>111</v>
      </c>
      <c r="CL999" t="s">
        <v>153</v>
      </c>
      <c r="CM999" t="s">
        <v>198</v>
      </c>
      <c r="CN999" t="s">
        <v>113</v>
      </c>
      <c r="CO999" t="s">
        <v>111</v>
      </c>
      <c r="CP999" t="s">
        <v>433</v>
      </c>
      <c r="CQ999">
        <v>0</v>
      </c>
      <c r="CR999">
        <v>0</v>
      </c>
      <c r="CS999">
        <v>0</v>
      </c>
      <c r="CT999" t="s">
        <v>168</v>
      </c>
      <c r="CU999">
        <v>0</v>
      </c>
      <c r="CV999" t="s">
        <v>111</v>
      </c>
      <c r="CW999" t="s">
        <v>111</v>
      </c>
      <c r="CX999" t="s">
        <v>111</v>
      </c>
      <c r="CY999">
        <v>0</v>
      </c>
      <c r="CZ999" t="s">
        <v>111</v>
      </c>
      <c r="DA999" t="s">
        <v>111</v>
      </c>
      <c r="DB999" t="s">
        <v>111</v>
      </c>
      <c r="DC999" t="s">
        <v>111</v>
      </c>
    </row>
    <row r="1000" spans="1:107">
      <c r="A1000">
        <v>576</v>
      </c>
      <c r="B1000" t="s">
        <v>162</v>
      </c>
      <c r="C1000" t="s">
        <v>312</v>
      </c>
      <c r="D1000" t="s">
        <v>942</v>
      </c>
      <c r="E1000" t="s">
        <v>3184</v>
      </c>
      <c r="F1000" t="s">
        <v>125</v>
      </c>
      <c r="G1000" t="s">
        <v>416</v>
      </c>
      <c r="H1000">
        <v>2.2000000000000002</v>
      </c>
      <c r="I1000">
        <v>62</v>
      </c>
      <c r="J1000">
        <v>0</v>
      </c>
      <c r="K1000">
        <v>0</v>
      </c>
      <c r="L1000" t="s">
        <v>112</v>
      </c>
      <c r="M1000" t="s">
        <v>138</v>
      </c>
      <c r="N1000">
        <v>0</v>
      </c>
      <c r="O1000">
        <v>0</v>
      </c>
      <c r="P1000" t="s">
        <v>138</v>
      </c>
      <c r="Q1000">
        <v>40</v>
      </c>
      <c r="R1000">
        <v>0</v>
      </c>
      <c r="S1000">
        <v>0</v>
      </c>
      <c r="T1000">
        <v>0</v>
      </c>
      <c r="U1000" t="s">
        <v>153</v>
      </c>
      <c r="V1000">
        <v>0</v>
      </c>
      <c r="W1000">
        <v>0</v>
      </c>
      <c r="X1000">
        <v>1</v>
      </c>
      <c r="Y1000">
        <v>0</v>
      </c>
      <c r="Z1000" t="s">
        <v>111</v>
      </c>
      <c r="AA1000">
        <v>0</v>
      </c>
      <c r="AB1000" t="s">
        <v>111</v>
      </c>
      <c r="AC1000">
        <v>0</v>
      </c>
      <c r="AD1000" t="s">
        <v>111</v>
      </c>
      <c r="AE1000">
        <v>0</v>
      </c>
      <c r="AF1000">
        <v>0</v>
      </c>
      <c r="AG1000" t="s">
        <v>111</v>
      </c>
      <c r="AH1000" t="s">
        <v>111</v>
      </c>
      <c r="AI1000" t="s">
        <v>111</v>
      </c>
      <c r="AJ1000" t="s">
        <v>111</v>
      </c>
      <c r="AK1000" t="s">
        <v>111</v>
      </c>
      <c r="AL1000" t="s">
        <v>111</v>
      </c>
      <c r="AM1000">
        <v>0</v>
      </c>
      <c r="AN1000">
        <v>0</v>
      </c>
      <c r="AO1000">
        <v>0</v>
      </c>
      <c r="AP1000" t="s">
        <v>111</v>
      </c>
      <c r="AQ1000" t="s">
        <v>111</v>
      </c>
      <c r="AR1000" t="s">
        <v>111</v>
      </c>
      <c r="AS1000" t="s">
        <v>111</v>
      </c>
      <c r="AT1000" t="s">
        <v>111</v>
      </c>
      <c r="AU1000" t="s">
        <v>111</v>
      </c>
      <c r="AV1000" t="s">
        <v>111</v>
      </c>
      <c r="AW1000" t="s">
        <v>111</v>
      </c>
      <c r="AX1000" t="s">
        <v>111</v>
      </c>
      <c r="AY1000" t="s">
        <v>111</v>
      </c>
      <c r="AZ1000" t="s">
        <v>111</v>
      </c>
      <c r="BA1000" t="s">
        <v>111</v>
      </c>
      <c r="BB1000" t="s">
        <v>111</v>
      </c>
      <c r="BC1000" t="s">
        <v>111</v>
      </c>
      <c r="BD1000" t="s">
        <v>111</v>
      </c>
      <c r="BE1000" t="s">
        <v>111</v>
      </c>
      <c r="BF1000" t="s">
        <v>111</v>
      </c>
      <c r="BG1000" t="s">
        <v>111</v>
      </c>
      <c r="BH1000" t="s">
        <v>111</v>
      </c>
      <c r="BI1000" t="s">
        <v>111</v>
      </c>
      <c r="BJ1000" t="s">
        <v>111</v>
      </c>
      <c r="BK1000" t="s">
        <v>111</v>
      </c>
      <c r="BL1000" t="s">
        <v>111</v>
      </c>
      <c r="BM1000" t="s">
        <v>111</v>
      </c>
      <c r="BN1000" t="s">
        <v>111</v>
      </c>
      <c r="BO1000" t="s">
        <v>111</v>
      </c>
      <c r="BP1000" t="s">
        <v>111</v>
      </c>
      <c r="BQ1000" t="s">
        <v>111</v>
      </c>
      <c r="BR1000" t="s">
        <v>111</v>
      </c>
      <c r="BS1000" t="s">
        <v>111</v>
      </c>
      <c r="BT1000" t="s">
        <v>111</v>
      </c>
      <c r="BU1000" t="s">
        <v>111</v>
      </c>
      <c r="BV1000" t="s">
        <v>111</v>
      </c>
      <c r="BW1000" t="s">
        <v>111</v>
      </c>
      <c r="BX1000" t="s">
        <v>111</v>
      </c>
      <c r="BY1000" t="s">
        <v>111</v>
      </c>
      <c r="BZ1000" t="s">
        <v>111</v>
      </c>
      <c r="CA1000" t="s">
        <v>111</v>
      </c>
      <c r="CB1000" t="s">
        <v>111</v>
      </c>
      <c r="CC1000" t="s">
        <v>111</v>
      </c>
      <c r="CD1000" t="s">
        <v>111</v>
      </c>
      <c r="CE1000" t="s">
        <v>111</v>
      </c>
      <c r="CF1000" t="s">
        <v>111</v>
      </c>
      <c r="CG1000" t="s">
        <v>111</v>
      </c>
      <c r="CH1000" t="s">
        <v>111</v>
      </c>
      <c r="CI1000" t="s">
        <v>111</v>
      </c>
      <c r="CJ1000" t="s">
        <v>111</v>
      </c>
      <c r="CK1000" t="s">
        <v>111</v>
      </c>
      <c r="CL1000" t="s">
        <v>111</v>
      </c>
      <c r="CM1000" t="s">
        <v>127</v>
      </c>
      <c r="CN1000" t="s">
        <v>128</v>
      </c>
      <c r="CO1000" t="s">
        <v>111</v>
      </c>
      <c r="CP1000" t="s">
        <v>111</v>
      </c>
      <c r="CQ1000">
        <v>0</v>
      </c>
      <c r="CR1000">
        <v>0</v>
      </c>
      <c r="CS1000">
        <v>0</v>
      </c>
      <c r="CT1000" t="s">
        <v>168</v>
      </c>
      <c r="CU1000">
        <v>0</v>
      </c>
      <c r="CV1000" t="s">
        <v>111</v>
      </c>
      <c r="CW1000" t="s">
        <v>111</v>
      </c>
      <c r="CX1000" t="s">
        <v>111</v>
      </c>
      <c r="CY1000">
        <v>0</v>
      </c>
      <c r="CZ1000" t="s">
        <v>111</v>
      </c>
      <c r="DA1000" t="s">
        <v>111</v>
      </c>
      <c r="DB1000" t="s">
        <v>111</v>
      </c>
      <c r="DC1000" t="s">
        <v>111</v>
      </c>
    </row>
    <row r="1001" spans="1:107">
      <c r="A1001">
        <v>163</v>
      </c>
      <c r="B1001" t="s">
        <v>162</v>
      </c>
      <c r="C1001" t="s">
        <v>2991</v>
      </c>
      <c r="D1001" t="s">
        <v>2992</v>
      </c>
      <c r="E1001" t="s">
        <v>3185</v>
      </c>
      <c r="F1001" t="s">
        <v>561</v>
      </c>
      <c r="G1001" t="s">
        <v>416</v>
      </c>
      <c r="H1001">
        <v>2.5</v>
      </c>
      <c r="I1001">
        <v>45</v>
      </c>
      <c r="J1001">
        <v>0</v>
      </c>
      <c r="K1001">
        <v>0</v>
      </c>
      <c r="L1001" t="s">
        <v>112</v>
      </c>
      <c r="M1001" t="s">
        <v>118</v>
      </c>
      <c r="N1001">
        <v>40</v>
      </c>
      <c r="O1001">
        <v>2</v>
      </c>
      <c r="P1001" t="s">
        <v>138</v>
      </c>
      <c r="Q1001">
        <v>40</v>
      </c>
      <c r="R1001">
        <v>0</v>
      </c>
      <c r="S1001">
        <v>0</v>
      </c>
      <c r="T1001">
        <v>0</v>
      </c>
      <c r="U1001" t="s">
        <v>1353</v>
      </c>
      <c r="V1001">
        <v>25</v>
      </c>
      <c r="W1001">
        <v>0</v>
      </c>
      <c r="X1001">
        <v>8</v>
      </c>
      <c r="Y1001">
        <v>0</v>
      </c>
      <c r="Z1001" t="s">
        <v>1091</v>
      </c>
      <c r="AA1001">
        <v>1.65</v>
      </c>
      <c r="AB1001" t="s">
        <v>111</v>
      </c>
      <c r="AC1001">
        <v>0</v>
      </c>
      <c r="AD1001" t="s">
        <v>416</v>
      </c>
      <c r="AE1001">
        <v>0</v>
      </c>
      <c r="AF1001">
        <v>0</v>
      </c>
      <c r="AG1001">
        <v>40</v>
      </c>
      <c r="AH1001" t="s">
        <v>111</v>
      </c>
      <c r="AI1001">
        <v>40</v>
      </c>
      <c r="AJ1001" t="s">
        <v>111</v>
      </c>
      <c r="AK1001" t="s">
        <v>111</v>
      </c>
      <c r="AL1001" t="s">
        <v>111</v>
      </c>
      <c r="AM1001">
        <v>0</v>
      </c>
      <c r="AN1001">
        <v>0</v>
      </c>
      <c r="AO1001">
        <v>0</v>
      </c>
      <c r="AP1001" t="s">
        <v>111</v>
      </c>
      <c r="AQ1001" t="s">
        <v>111</v>
      </c>
      <c r="AR1001" t="s">
        <v>111</v>
      </c>
      <c r="AS1001" t="s">
        <v>111</v>
      </c>
      <c r="AT1001" t="s">
        <v>111</v>
      </c>
      <c r="AU1001" t="s">
        <v>111</v>
      </c>
      <c r="AV1001" t="s">
        <v>111</v>
      </c>
      <c r="AW1001" t="s">
        <v>111</v>
      </c>
      <c r="AX1001" t="s">
        <v>111</v>
      </c>
      <c r="AY1001" t="s">
        <v>111</v>
      </c>
      <c r="AZ1001" t="s">
        <v>111</v>
      </c>
      <c r="BA1001" t="s">
        <v>111</v>
      </c>
      <c r="BB1001" t="s">
        <v>111</v>
      </c>
      <c r="BC1001" t="s">
        <v>111</v>
      </c>
      <c r="BD1001" t="s">
        <v>111</v>
      </c>
      <c r="BE1001" t="s">
        <v>111</v>
      </c>
      <c r="BF1001" t="s">
        <v>111</v>
      </c>
      <c r="BG1001" t="s">
        <v>111</v>
      </c>
      <c r="BH1001" t="s">
        <v>111</v>
      </c>
      <c r="BI1001" t="s">
        <v>111</v>
      </c>
      <c r="BJ1001" t="s">
        <v>111</v>
      </c>
      <c r="BK1001" t="s">
        <v>111</v>
      </c>
      <c r="BL1001" t="s">
        <v>111</v>
      </c>
      <c r="BM1001" t="s">
        <v>111</v>
      </c>
      <c r="BN1001" t="s">
        <v>111</v>
      </c>
      <c r="BO1001" t="s">
        <v>111</v>
      </c>
      <c r="BP1001" t="s">
        <v>111</v>
      </c>
      <c r="BQ1001" t="s">
        <v>111</v>
      </c>
      <c r="BR1001" t="s">
        <v>111</v>
      </c>
      <c r="BS1001" t="s">
        <v>111</v>
      </c>
      <c r="BT1001" t="s">
        <v>111</v>
      </c>
      <c r="BU1001" t="s">
        <v>111</v>
      </c>
      <c r="BV1001" t="s">
        <v>111</v>
      </c>
      <c r="BW1001" t="s">
        <v>111</v>
      </c>
      <c r="BX1001" t="s">
        <v>111</v>
      </c>
      <c r="BY1001" t="s">
        <v>111</v>
      </c>
      <c r="BZ1001" t="s">
        <v>111</v>
      </c>
      <c r="CA1001" t="s">
        <v>111</v>
      </c>
      <c r="CB1001" t="s">
        <v>111</v>
      </c>
      <c r="CC1001" t="s">
        <v>111</v>
      </c>
      <c r="CD1001" t="s">
        <v>111</v>
      </c>
      <c r="CE1001" t="s">
        <v>111</v>
      </c>
      <c r="CF1001" t="s">
        <v>111</v>
      </c>
      <c r="CG1001" t="s">
        <v>111</v>
      </c>
      <c r="CH1001" t="s">
        <v>111</v>
      </c>
      <c r="CI1001" t="s">
        <v>111</v>
      </c>
      <c r="CJ1001" t="s">
        <v>111</v>
      </c>
      <c r="CK1001" t="s">
        <v>111</v>
      </c>
      <c r="CL1001" s="1" t="s">
        <v>2994</v>
      </c>
      <c r="CM1001" t="s">
        <v>198</v>
      </c>
      <c r="CN1001" t="s">
        <v>113</v>
      </c>
      <c r="CO1001" t="s">
        <v>111</v>
      </c>
      <c r="CP1001" t="s">
        <v>433</v>
      </c>
      <c r="CQ1001">
        <v>0</v>
      </c>
      <c r="CR1001">
        <v>0</v>
      </c>
      <c r="CS1001">
        <v>0</v>
      </c>
      <c r="CT1001" t="s">
        <v>419</v>
      </c>
      <c r="CU1001">
        <v>0</v>
      </c>
      <c r="CV1001" t="s">
        <v>111</v>
      </c>
      <c r="CW1001" t="s">
        <v>111</v>
      </c>
      <c r="CX1001" t="s">
        <v>111</v>
      </c>
      <c r="CY1001">
        <v>0</v>
      </c>
      <c r="CZ1001" t="s">
        <v>111</v>
      </c>
      <c r="DA1001" t="s">
        <v>111</v>
      </c>
      <c r="DB1001" t="s">
        <v>240</v>
      </c>
      <c r="DC1001" s="1" t="s">
        <v>3018</v>
      </c>
    </row>
    <row r="1002" spans="1:107">
      <c r="A1002">
        <v>220</v>
      </c>
      <c r="B1002" t="s">
        <v>162</v>
      </c>
      <c r="C1002" t="s">
        <v>267</v>
      </c>
      <c r="D1002" t="s">
        <v>3186</v>
      </c>
      <c r="E1002" t="s">
        <v>3187</v>
      </c>
      <c r="F1002" t="s">
        <v>125</v>
      </c>
      <c r="G1002" t="s">
        <v>416</v>
      </c>
      <c r="H1002">
        <v>1.4</v>
      </c>
      <c r="I1002">
        <v>80</v>
      </c>
      <c r="J1002">
        <v>0</v>
      </c>
      <c r="K1002">
        <v>0</v>
      </c>
      <c r="L1002" t="s">
        <v>112</v>
      </c>
      <c r="M1002" t="s">
        <v>138</v>
      </c>
      <c r="N1002">
        <v>0</v>
      </c>
      <c r="O1002">
        <v>0</v>
      </c>
      <c r="P1002" t="s">
        <v>138</v>
      </c>
      <c r="Q1002">
        <v>40</v>
      </c>
      <c r="R1002">
        <v>0</v>
      </c>
      <c r="S1002">
        <v>0</v>
      </c>
      <c r="T1002">
        <v>0</v>
      </c>
      <c r="U1002" t="s">
        <v>419</v>
      </c>
      <c r="V1002">
        <v>25</v>
      </c>
      <c r="W1002">
        <v>0</v>
      </c>
      <c r="X1002">
        <v>8</v>
      </c>
      <c r="Y1002">
        <v>0</v>
      </c>
      <c r="Z1002" t="s">
        <v>111</v>
      </c>
      <c r="AA1002">
        <v>0</v>
      </c>
      <c r="AB1002" t="s">
        <v>111</v>
      </c>
      <c r="AC1002">
        <v>0</v>
      </c>
      <c r="AD1002" t="s">
        <v>111</v>
      </c>
      <c r="AE1002">
        <v>0</v>
      </c>
      <c r="AF1002">
        <v>0</v>
      </c>
      <c r="AG1002" t="s">
        <v>111</v>
      </c>
      <c r="AH1002" t="s">
        <v>111</v>
      </c>
      <c r="AI1002" t="s">
        <v>111</v>
      </c>
      <c r="AJ1002" t="s">
        <v>111</v>
      </c>
      <c r="AK1002" t="s">
        <v>111</v>
      </c>
      <c r="AL1002" t="s">
        <v>111</v>
      </c>
      <c r="AM1002">
        <v>0</v>
      </c>
      <c r="AN1002">
        <v>0</v>
      </c>
      <c r="AO1002">
        <v>0</v>
      </c>
      <c r="AP1002" t="s">
        <v>111</v>
      </c>
      <c r="AQ1002" t="s">
        <v>111</v>
      </c>
      <c r="AR1002" t="s">
        <v>111</v>
      </c>
      <c r="AS1002" t="s">
        <v>111</v>
      </c>
      <c r="AT1002" t="s">
        <v>111</v>
      </c>
      <c r="AU1002" t="s">
        <v>111</v>
      </c>
      <c r="AV1002" t="s">
        <v>111</v>
      </c>
      <c r="AW1002" t="s">
        <v>111</v>
      </c>
      <c r="AX1002" t="s">
        <v>111</v>
      </c>
      <c r="AY1002" t="s">
        <v>111</v>
      </c>
      <c r="AZ1002" t="s">
        <v>111</v>
      </c>
      <c r="BA1002" t="s">
        <v>111</v>
      </c>
      <c r="BB1002" t="s">
        <v>111</v>
      </c>
      <c r="BC1002" t="s">
        <v>111</v>
      </c>
      <c r="BD1002" t="s">
        <v>111</v>
      </c>
      <c r="BE1002" t="s">
        <v>111</v>
      </c>
      <c r="BF1002" t="s">
        <v>111</v>
      </c>
      <c r="BG1002" t="s">
        <v>111</v>
      </c>
      <c r="BH1002" t="s">
        <v>111</v>
      </c>
      <c r="BI1002" t="s">
        <v>111</v>
      </c>
      <c r="BJ1002" t="s">
        <v>111</v>
      </c>
      <c r="BK1002" t="s">
        <v>111</v>
      </c>
      <c r="BL1002" t="s">
        <v>111</v>
      </c>
      <c r="BM1002" t="s">
        <v>111</v>
      </c>
      <c r="BN1002" t="s">
        <v>111</v>
      </c>
      <c r="BO1002" t="s">
        <v>111</v>
      </c>
      <c r="BP1002" t="s">
        <v>111</v>
      </c>
      <c r="BQ1002" t="s">
        <v>111</v>
      </c>
      <c r="BR1002" t="s">
        <v>111</v>
      </c>
      <c r="BS1002" t="s">
        <v>111</v>
      </c>
      <c r="BT1002" t="s">
        <v>111</v>
      </c>
      <c r="BU1002" t="s">
        <v>111</v>
      </c>
      <c r="BV1002" t="s">
        <v>111</v>
      </c>
      <c r="BW1002" t="s">
        <v>111</v>
      </c>
      <c r="BX1002" t="s">
        <v>111</v>
      </c>
      <c r="BY1002" t="s">
        <v>111</v>
      </c>
      <c r="BZ1002" t="s">
        <v>111</v>
      </c>
      <c r="CA1002" t="s">
        <v>111</v>
      </c>
      <c r="CB1002" t="s">
        <v>111</v>
      </c>
      <c r="CC1002" t="s">
        <v>111</v>
      </c>
      <c r="CD1002" t="s">
        <v>111</v>
      </c>
      <c r="CE1002" t="s">
        <v>111</v>
      </c>
      <c r="CF1002" t="s">
        <v>111</v>
      </c>
      <c r="CG1002" t="s">
        <v>111</v>
      </c>
      <c r="CH1002" t="s">
        <v>111</v>
      </c>
      <c r="CI1002" t="s">
        <v>111</v>
      </c>
      <c r="CJ1002" t="s">
        <v>111</v>
      </c>
      <c r="CK1002" t="s">
        <v>111</v>
      </c>
      <c r="CL1002" t="s">
        <v>111</v>
      </c>
      <c r="CM1002" t="s">
        <v>111</v>
      </c>
      <c r="CN1002" t="s">
        <v>111</v>
      </c>
      <c r="CO1002" t="s">
        <v>111</v>
      </c>
      <c r="CP1002" t="s">
        <v>111</v>
      </c>
      <c r="CQ1002">
        <v>0</v>
      </c>
      <c r="CR1002">
        <v>0</v>
      </c>
      <c r="CS1002">
        <v>0</v>
      </c>
      <c r="CT1002" t="s">
        <v>111</v>
      </c>
      <c r="CU1002">
        <v>0</v>
      </c>
      <c r="CV1002" t="s">
        <v>111</v>
      </c>
      <c r="CW1002" t="s">
        <v>111</v>
      </c>
      <c r="CX1002" t="s">
        <v>111</v>
      </c>
      <c r="CY1002">
        <v>0</v>
      </c>
      <c r="CZ1002" t="s">
        <v>111</v>
      </c>
      <c r="DA1002" t="s">
        <v>111</v>
      </c>
      <c r="DB1002" t="s">
        <v>204</v>
      </c>
      <c r="DC1002" s="1" t="s">
        <v>205</v>
      </c>
    </row>
    <row r="1003" spans="1:107">
      <c r="A1003">
        <v>492</v>
      </c>
      <c r="B1003" t="s">
        <v>162</v>
      </c>
      <c r="C1003" t="s">
        <v>428</v>
      </c>
      <c r="D1003" t="s">
        <v>3188</v>
      </c>
      <c r="E1003" t="s">
        <v>3189</v>
      </c>
      <c r="F1003" t="s">
        <v>431</v>
      </c>
      <c r="G1003" t="s">
        <v>416</v>
      </c>
      <c r="H1003">
        <v>1.2</v>
      </c>
      <c r="I1003">
        <v>70</v>
      </c>
      <c r="J1003">
        <v>0</v>
      </c>
      <c r="K1003">
        <v>0</v>
      </c>
      <c r="L1003" t="s">
        <v>112</v>
      </c>
      <c r="M1003" t="s">
        <v>118</v>
      </c>
      <c r="N1003">
        <v>40</v>
      </c>
      <c r="O1003">
        <v>1</v>
      </c>
      <c r="P1003" t="s">
        <v>138</v>
      </c>
      <c r="Q1003">
        <v>30</v>
      </c>
      <c r="R1003">
        <v>0</v>
      </c>
      <c r="S1003">
        <v>0</v>
      </c>
      <c r="T1003">
        <v>0</v>
      </c>
      <c r="U1003" t="s">
        <v>1353</v>
      </c>
      <c r="V1003">
        <v>0</v>
      </c>
      <c r="W1003">
        <v>25</v>
      </c>
      <c r="X1003">
        <v>8</v>
      </c>
      <c r="Y1003">
        <v>0</v>
      </c>
      <c r="Z1003" t="s">
        <v>111</v>
      </c>
      <c r="AA1003">
        <v>0</v>
      </c>
      <c r="AB1003" t="s">
        <v>111</v>
      </c>
      <c r="AC1003">
        <v>0</v>
      </c>
      <c r="AD1003" t="s">
        <v>416</v>
      </c>
      <c r="AE1003">
        <v>1</v>
      </c>
      <c r="AF1003">
        <v>1</v>
      </c>
      <c r="AG1003">
        <v>48</v>
      </c>
      <c r="AH1003" t="s">
        <v>111</v>
      </c>
      <c r="AI1003">
        <v>48</v>
      </c>
      <c r="AJ1003" t="s">
        <v>111</v>
      </c>
      <c r="AK1003" t="s">
        <v>111</v>
      </c>
      <c r="AL1003" t="s">
        <v>111</v>
      </c>
      <c r="AM1003">
        <v>0</v>
      </c>
      <c r="AN1003">
        <v>0</v>
      </c>
      <c r="AO1003">
        <v>0</v>
      </c>
      <c r="AP1003" t="s">
        <v>259</v>
      </c>
      <c r="AQ1003" t="s">
        <v>111</v>
      </c>
      <c r="AR1003" t="s">
        <v>111</v>
      </c>
      <c r="AS1003" t="s">
        <v>111</v>
      </c>
      <c r="AT1003" t="s">
        <v>111</v>
      </c>
      <c r="AU1003" t="s">
        <v>111</v>
      </c>
      <c r="AV1003" t="s">
        <v>111</v>
      </c>
      <c r="AW1003" t="s">
        <v>111</v>
      </c>
      <c r="AX1003" t="s">
        <v>111</v>
      </c>
      <c r="AY1003" t="s">
        <v>111</v>
      </c>
      <c r="AZ1003" t="s">
        <v>111</v>
      </c>
      <c r="BA1003" t="s">
        <v>111</v>
      </c>
      <c r="BB1003" t="s">
        <v>111</v>
      </c>
      <c r="BC1003" t="s">
        <v>111</v>
      </c>
      <c r="BD1003" t="s">
        <v>111</v>
      </c>
      <c r="BE1003" t="s">
        <v>111</v>
      </c>
      <c r="BF1003" t="s">
        <v>111</v>
      </c>
      <c r="BG1003" t="s">
        <v>111</v>
      </c>
      <c r="BH1003" t="s">
        <v>111</v>
      </c>
      <c r="BI1003" t="s">
        <v>111</v>
      </c>
      <c r="BJ1003" t="s">
        <v>111</v>
      </c>
      <c r="BK1003" t="s">
        <v>111</v>
      </c>
      <c r="BL1003" t="s">
        <v>111</v>
      </c>
      <c r="BM1003" t="s">
        <v>111</v>
      </c>
      <c r="BN1003" t="s">
        <v>111</v>
      </c>
      <c r="BO1003" t="s">
        <v>111</v>
      </c>
      <c r="BP1003" t="s">
        <v>111</v>
      </c>
      <c r="BQ1003" t="s">
        <v>111</v>
      </c>
      <c r="BR1003" t="s">
        <v>111</v>
      </c>
      <c r="BS1003" t="s">
        <v>111</v>
      </c>
      <c r="BT1003" t="s">
        <v>111</v>
      </c>
      <c r="BU1003" t="s">
        <v>111</v>
      </c>
      <c r="BV1003" t="s">
        <v>111</v>
      </c>
      <c r="BW1003" t="s">
        <v>111</v>
      </c>
      <c r="BX1003" t="s">
        <v>111</v>
      </c>
      <c r="BY1003" t="s">
        <v>111</v>
      </c>
      <c r="BZ1003" t="s">
        <v>111</v>
      </c>
      <c r="CA1003" t="s">
        <v>111</v>
      </c>
      <c r="CB1003" t="s">
        <v>111</v>
      </c>
      <c r="CC1003" t="s">
        <v>111</v>
      </c>
      <c r="CD1003" t="s">
        <v>111</v>
      </c>
      <c r="CE1003" t="s">
        <v>111</v>
      </c>
      <c r="CF1003" t="s">
        <v>111</v>
      </c>
      <c r="CG1003" t="s">
        <v>111</v>
      </c>
      <c r="CH1003" t="s">
        <v>111</v>
      </c>
      <c r="CI1003" t="s">
        <v>111</v>
      </c>
      <c r="CJ1003" t="s">
        <v>111</v>
      </c>
      <c r="CK1003" t="s">
        <v>111</v>
      </c>
      <c r="CL1003" t="s">
        <v>153</v>
      </c>
      <c r="CM1003" t="s">
        <v>416</v>
      </c>
      <c r="CN1003" t="s">
        <v>113</v>
      </c>
      <c r="CO1003" t="s">
        <v>111</v>
      </c>
      <c r="CP1003" t="s">
        <v>433</v>
      </c>
      <c r="CQ1003">
        <v>0</v>
      </c>
      <c r="CR1003">
        <v>0</v>
      </c>
      <c r="CS1003">
        <v>0</v>
      </c>
      <c r="CT1003" t="s">
        <v>168</v>
      </c>
      <c r="CU1003">
        <v>0</v>
      </c>
      <c r="CV1003" t="s">
        <v>111</v>
      </c>
      <c r="CW1003" t="s">
        <v>111</v>
      </c>
      <c r="CX1003" t="s">
        <v>111</v>
      </c>
      <c r="CY1003">
        <v>0</v>
      </c>
      <c r="CZ1003" t="s">
        <v>111</v>
      </c>
      <c r="DA1003" t="s">
        <v>111</v>
      </c>
      <c r="DB1003" t="s">
        <v>111</v>
      </c>
      <c r="DC1003" t="s">
        <v>111</v>
      </c>
    </row>
    <row r="1004" spans="1:107">
      <c r="A1004">
        <v>662</v>
      </c>
      <c r="B1004" t="s">
        <v>162</v>
      </c>
      <c r="C1004" t="s">
        <v>3085</v>
      </c>
      <c r="D1004" t="s">
        <v>3190</v>
      </c>
      <c r="E1004" t="s">
        <v>3191</v>
      </c>
      <c r="F1004" t="s">
        <v>431</v>
      </c>
      <c r="G1004" t="s">
        <v>416</v>
      </c>
      <c r="H1004">
        <v>0.85</v>
      </c>
      <c r="I1004">
        <v>70</v>
      </c>
      <c r="J1004">
        <v>0</v>
      </c>
      <c r="K1004">
        <v>0</v>
      </c>
      <c r="L1004" t="s">
        <v>112</v>
      </c>
      <c r="M1004" t="s">
        <v>118</v>
      </c>
      <c r="N1004">
        <v>40</v>
      </c>
      <c r="O1004">
        <v>1</v>
      </c>
      <c r="P1004" t="s">
        <v>138</v>
      </c>
      <c r="Q1004">
        <v>30</v>
      </c>
      <c r="R1004">
        <v>0</v>
      </c>
      <c r="S1004">
        <v>0</v>
      </c>
      <c r="T1004">
        <v>0</v>
      </c>
      <c r="U1004" t="s">
        <v>1353</v>
      </c>
      <c r="V1004">
        <v>0</v>
      </c>
      <c r="W1004">
        <v>25</v>
      </c>
      <c r="X1004">
        <v>4</v>
      </c>
      <c r="Y1004">
        <v>0</v>
      </c>
      <c r="Z1004" t="s">
        <v>111</v>
      </c>
      <c r="AA1004">
        <v>0</v>
      </c>
      <c r="AB1004" t="s">
        <v>111</v>
      </c>
      <c r="AC1004">
        <v>0</v>
      </c>
      <c r="AD1004" t="s">
        <v>416</v>
      </c>
      <c r="AE1004">
        <v>1</v>
      </c>
      <c r="AF1004">
        <v>1</v>
      </c>
      <c r="AG1004">
        <v>30</v>
      </c>
      <c r="AH1004" t="s">
        <v>111</v>
      </c>
      <c r="AI1004">
        <v>30</v>
      </c>
      <c r="AJ1004" t="s">
        <v>111</v>
      </c>
      <c r="AK1004" t="s">
        <v>111</v>
      </c>
      <c r="AL1004" t="s">
        <v>111</v>
      </c>
      <c r="AM1004">
        <v>0</v>
      </c>
      <c r="AN1004">
        <v>0</v>
      </c>
      <c r="AO1004">
        <v>0</v>
      </c>
      <c r="AP1004" t="s">
        <v>111</v>
      </c>
      <c r="AQ1004" t="s">
        <v>111</v>
      </c>
      <c r="AR1004" t="s">
        <v>111</v>
      </c>
      <c r="AS1004" t="s">
        <v>111</v>
      </c>
      <c r="AT1004" t="s">
        <v>111</v>
      </c>
      <c r="AU1004" t="s">
        <v>111</v>
      </c>
      <c r="AV1004" t="s">
        <v>111</v>
      </c>
      <c r="AW1004" t="s">
        <v>111</v>
      </c>
      <c r="AX1004" t="s">
        <v>111</v>
      </c>
      <c r="AY1004" t="s">
        <v>111</v>
      </c>
      <c r="AZ1004" t="s">
        <v>111</v>
      </c>
      <c r="BA1004" t="s">
        <v>111</v>
      </c>
      <c r="BB1004" t="s">
        <v>111</v>
      </c>
      <c r="BC1004" t="s">
        <v>111</v>
      </c>
      <c r="BD1004" t="s">
        <v>111</v>
      </c>
      <c r="BE1004" t="s">
        <v>111</v>
      </c>
      <c r="BF1004" t="s">
        <v>111</v>
      </c>
      <c r="BG1004" t="s">
        <v>111</v>
      </c>
      <c r="BH1004" t="s">
        <v>111</v>
      </c>
      <c r="BI1004" t="s">
        <v>111</v>
      </c>
      <c r="BJ1004" t="s">
        <v>111</v>
      </c>
      <c r="BK1004" t="s">
        <v>111</v>
      </c>
      <c r="BL1004" t="s">
        <v>111</v>
      </c>
      <c r="BM1004" t="s">
        <v>111</v>
      </c>
      <c r="BN1004" t="s">
        <v>111</v>
      </c>
      <c r="BO1004" t="s">
        <v>111</v>
      </c>
      <c r="BP1004" t="s">
        <v>111</v>
      </c>
      <c r="BQ1004" t="s">
        <v>111</v>
      </c>
      <c r="BR1004" t="s">
        <v>111</v>
      </c>
      <c r="BS1004" t="s">
        <v>111</v>
      </c>
      <c r="BT1004" t="s">
        <v>111</v>
      </c>
      <c r="BU1004" t="s">
        <v>111</v>
      </c>
      <c r="BV1004" t="s">
        <v>111</v>
      </c>
      <c r="BW1004" t="s">
        <v>111</v>
      </c>
      <c r="BX1004" t="s">
        <v>111</v>
      </c>
      <c r="BY1004" t="s">
        <v>111</v>
      </c>
      <c r="BZ1004" t="s">
        <v>111</v>
      </c>
      <c r="CA1004" t="s">
        <v>111</v>
      </c>
      <c r="CB1004" t="s">
        <v>111</v>
      </c>
      <c r="CC1004" t="s">
        <v>111</v>
      </c>
      <c r="CD1004" t="s">
        <v>111</v>
      </c>
      <c r="CE1004" t="s">
        <v>111</v>
      </c>
      <c r="CF1004" t="s">
        <v>111</v>
      </c>
      <c r="CG1004" t="s">
        <v>111</v>
      </c>
      <c r="CH1004" t="s">
        <v>111</v>
      </c>
      <c r="CI1004" t="s">
        <v>111</v>
      </c>
      <c r="CJ1004" t="s">
        <v>111</v>
      </c>
      <c r="CK1004" t="s">
        <v>111</v>
      </c>
      <c r="CL1004" t="s">
        <v>153</v>
      </c>
      <c r="CM1004" t="s">
        <v>198</v>
      </c>
      <c r="CN1004" t="s">
        <v>128</v>
      </c>
      <c r="CO1004" t="s">
        <v>222</v>
      </c>
      <c r="CP1004" t="s">
        <v>433</v>
      </c>
      <c r="CQ1004">
        <v>0</v>
      </c>
      <c r="CR1004">
        <v>0</v>
      </c>
      <c r="CS1004">
        <v>100</v>
      </c>
      <c r="CT1004" s="1" t="s">
        <v>3192</v>
      </c>
      <c r="CU1004">
        <v>0</v>
      </c>
      <c r="CV1004" t="s">
        <v>111</v>
      </c>
      <c r="CW1004" t="s">
        <v>111</v>
      </c>
      <c r="CX1004" t="s">
        <v>111</v>
      </c>
      <c r="CY1004">
        <v>0</v>
      </c>
      <c r="CZ1004" t="s">
        <v>111</v>
      </c>
      <c r="DA1004" t="s">
        <v>111</v>
      </c>
      <c r="DB1004" t="s">
        <v>111</v>
      </c>
      <c r="DC1004" t="s">
        <v>111</v>
      </c>
    </row>
    <row r="1005" spans="1:107">
      <c r="A1005">
        <v>498</v>
      </c>
      <c r="B1005" t="s">
        <v>162</v>
      </c>
      <c r="C1005" t="s">
        <v>347</v>
      </c>
      <c r="D1005" t="s">
        <v>2972</v>
      </c>
      <c r="E1005" t="s">
        <v>3193</v>
      </c>
      <c r="F1005" t="s">
        <v>431</v>
      </c>
      <c r="G1005" t="s">
        <v>416</v>
      </c>
      <c r="H1005">
        <v>6</v>
      </c>
      <c r="I1005">
        <v>52</v>
      </c>
      <c r="J1005">
        <v>0</v>
      </c>
      <c r="K1005">
        <v>0</v>
      </c>
      <c r="L1005" t="s">
        <v>112</v>
      </c>
      <c r="M1005" t="s">
        <v>118</v>
      </c>
      <c r="N1005">
        <v>40</v>
      </c>
      <c r="O1005">
        <v>1</v>
      </c>
      <c r="P1005" t="s">
        <v>138</v>
      </c>
      <c r="Q1005">
        <v>40</v>
      </c>
      <c r="R1005">
        <v>0</v>
      </c>
      <c r="S1005">
        <v>0</v>
      </c>
      <c r="T1005">
        <v>0</v>
      </c>
      <c r="U1005" t="s">
        <v>1353</v>
      </c>
      <c r="V1005">
        <v>0</v>
      </c>
      <c r="W1005">
        <v>0</v>
      </c>
      <c r="X1005">
        <v>1</v>
      </c>
      <c r="Y1005">
        <v>0</v>
      </c>
      <c r="Z1005" t="s">
        <v>111</v>
      </c>
      <c r="AA1005">
        <v>0</v>
      </c>
      <c r="AB1005" t="s">
        <v>111</v>
      </c>
      <c r="AC1005">
        <v>0</v>
      </c>
      <c r="AD1005" t="s">
        <v>416</v>
      </c>
      <c r="AE1005">
        <v>3</v>
      </c>
      <c r="AF1005">
        <v>1</v>
      </c>
      <c r="AG1005">
        <v>80</v>
      </c>
      <c r="AH1005" t="s">
        <v>111</v>
      </c>
      <c r="AI1005">
        <v>40</v>
      </c>
      <c r="AJ1005" t="s">
        <v>111</v>
      </c>
      <c r="AK1005" t="s">
        <v>111</v>
      </c>
      <c r="AL1005" t="s">
        <v>111</v>
      </c>
      <c r="AM1005">
        <v>0</v>
      </c>
      <c r="AN1005">
        <v>0</v>
      </c>
      <c r="AO1005">
        <v>0</v>
      </c>
      <c r="AP1005" t="s">
        <v>259</v>
      </c>
      <c r="AQ1005" t="s">
        <v>111</v>
      </c>
      <c r="AR1005" t="s">
        <v>111</v>
      </c>
      <c r="AS1005" t="s">
        <v>111</v>
      </c>
      <c r="AT1005" t="s">
        <v>288</v>
      </c>
      <c r="AU1005" t="s">
        <v>111</v>
      </c>
      <c r="AV1005" t="s">
        <v>111</v>
      </c>
      <c r="AW1005" t="s">
        <v>111</v>
      </c>
      <c r="AX1005" t="s">
        <v>271</v>
      </c>
      <c r="AY1005" t="s">
        <v>111</v>
      </c>
      <c r="AZ1005" t="s">
        <v>111</v>
      </c>
      <c r="BA1005" t="s">
        <v>111</v>
      </c>
      <c r="BB1005" t="s">
        <v>111</v>
      </c>
      <c r="BC1005" t="s">
        <v>111</v>
      </c>
      <c r="BD1005" t="s">
        <v>111</v>
      </c>
      <c r="BE1005" t="s">
        <v>111</v>
      </c>
      <c r="BF1005" t="s">
        <v>111</v>
      </c>
      <c r="BG1005" t="s">
        <v>111</v>
      </c>
      <c r="BH1005" t="s">
        <v>111</v>
      </c>
      <c r="BI1005" t="s">
        <v>111</v>
      </c>
      <c r="BJ1005" t="s">
        <v>111</v>
      </c>
      <c r="BK1005" t="s">
        <v>111</v>
      </c>
      <c r="BL1005" t="s">
        <v>111</v>
      </c>
      <c r="BM1005" t="s">
        <v>111</v>
      </c>
      <c r="BN1005" t="s">
        <v>111</v>
      </c>
      <c r="BO1005" t="s">
        <v>111</v>
      </c>
      <c r="BP1005" t="s">
        <v>111</v>
      </c>
      <c r="BQ1005" t="s">
        <v>111</v>
      </c>
      <c r="BR1005" t="s">
        <v>111</v>
      </c>
      <c r="BS1005" t="s">
        <v>111</v>
      </c>
      <c r="BT1005" t="s">
        <v>111</v>
      </c>
      <c r="BU1005" t="s">
        <v>111</v>
      </c>
      <c r="BV1005" t="s">
        <v>111</v>
      </c>
      <c r="BW1005" t="s">
        <v>111</v>
      </c>
      <c r="BX1005" t="s">
        <v>111</v>
      </c>
      <c r="BY1005" t="s">
        <v>111</v>
      </c>
      <c r="BZ1005" t="s">
        <v>111</v>
      </c>
      <c r="CA1005" t="s">
        <v>111</v>
      </c>
      <c r="CB1005" t="s">
        <v>111</v>
      </c>
      <c r="CC1005" t="s">
        <v>111</v>
      </c>
      <c r="CD1005" t="s">
        <v>111</v>
      </c>
      <c r="CE1005" t="s">
        <v>111</v>
      </c>
      <c r="CF1005" t="s">
        <v>111</v>
      </c>
      <c r="CG1005" t="s">
        <v>111</v>
      </c>
      <c r="CH1005" t="s">
        <v>111</v>
      </c>
      <c r="CI1005" t="s">
        <v>111</v>
      </c>
      <c r="CJ1005" t="s">
        <v>111</v>
      </c>
      <c r="CK1005" t="s">
        <v>111</v>
      </c>
      <c r="CL1005" t="s">
        <v>153</v>
      </c>
      <c r="CM1005" t="s">
        <v>198</v>
      </c>
      <c r="CN1005" t="s">
        <v>128</v>
      </c>
      <c r="CO1005" t="s">
        <v>111</v>
      </c>
      <c r="CP1005" t="s">
        <v>433</v>
      </c>
      <c r="CQ1005">
        <v>0</v>
      </c>
      <c r="CR1005">
        <v>0</v>
      </c>
      <c r="CS1005">
        <v>0</v>
      </c>
      <c r="CT1005" t="s">
        <v>168</v>
      </c>
      <c r="CU1005">
        <v>0</v>
      </c>
      <c r="CV1005" t="s">
        <v>111</v>
      </c>
      <c r="CW1005" t="s">
        <v>111</v>
      </c>
      <c r="CX1005" t="s">
        <v>111</v>
      </c>
      <c r="CY1005">
        <v>0</v>
      </c>
      <c r="CZ1005" t="s">
        <v>111</v>
      </c>
      <c r="DA1005" t="s">
        <v>111</v>
      </c>
      <c r="DB1005" t="s">
        <v>111</v>
      </c>
      <c r="DC1005" t="s">
        <v>111</v>
      </c>
    </row>
    <row r="1006" spans="1:107">
      <c r="A1006">
        <v>484</v>
      </c>
      <c r="B1006" t="s">
        <v>162</v>
      </c>
      <c r="C1006" t="s">
        <v>3121</v>
      </c>
      <c r="D1006" t="s">
        <v>3194</v>
      </c>
      <c r="E1006" t="s">
        <v>829</v>
      </c>
      <c r="F1006" t="s">
        <v>125</v>
      </c>
      <c r="G1006" t="s">
        <v>416</v>
      </c>
      <c r="H1006">
        <v>0.9</v>
      </c>
      <c r="I1006">
        <v>61</v>
      </c>
      <c r="J1006">
        <v>0</v>
      </c>
      <c r="K1006">
        <v>0</v>
      </c>
      <c r="L1006" t="s">
        <v>112</v>
      </c>
      <c r="M1006" t="s">
        <v>138</v>
      </c>
      <c r="N1006">
        <v>0</v>
      </c>
      <c r="O1006">
        <v>0</v>
      </c>
      <c r="P1006" t="s">
        <v>138</v>
      </c>
      <c r="Q1006">
        <v>40</v>
      </c>
      <c r="R1006">
        <v>0</v>
      </c>
      <c r="S1006">
        <v>0</v>
      </c>
      <c r="T1006">
        <v>0</v>
      </c>
      <c r="U1006" t="s">
        <v>153</v>
      </c>
      <c r="V1006">
        <v>25</v>
      </c>
      <c r="W1006">
        <v>0</v>
      </c>
      <c r="X1006">
        <v>8</v>
      </c>
      <c r="Y1006">
        <v>0</v>
      </c>
      <c r="Z1006" t="s">
        <v>111</v>
      </c>
      <c r="AA1006">
        <v>0</v>
      </c>
      <c r="AB1006" t="s">
        <v>111</v>
      </c>
      <c r="AC1006">
        <v>0</v>
      </c>
      <c r="AD1006" t="s">
        <v>111</v>
      </c>
      <c r="AE1006">
        <v>0</v>
      </c>
      <c r="AF1006">
        <v>0</v>
      </c>
      <c r="AG1006" t="s">
        <v>111</v>
      </c>
      <c r="AH1006" t="s">
        <v>111</v>
      </c>
      <c r="AI1006" t="s">
        <v>111</v>
      </c>
      <c r="AJ1006" t="s">
        <v>111</v>
      </c>
      <c r="AK1006" t="s">
        <v>111</v>
      </c>
      <c r="AL1006" t="s">
        <v>111</v>
      </c>
      <c r="AM1006">
        <v>0</v>
      </c>
      <c r="AN1006">
        <v>0</v>
      </c>
      <c r="AO1006">
        <v>0</v>
      </c>
      <c r="AP1006" t="s">
        <v>111</v>
      </c>
      <c r="AQ1006" t="s">
        <v>111</v>
      </c>
      <c r="AR1006" t="s">
        <v>111</v>
      </c>
      <c r="AS1006" t="s">
        <v>111</v>
      </c>
      <c r="AT1006" t="s">
        <v>111</v>
      </c>
      <c r="AU1006" t="s">
        <v>111</v>
      </c>
      <c r="AV1006" t="s">
        <v>111</v>
      </c>
      <c r="AW1006" t="s">
        <v>111</v>
      </c>
      <c r="AX1006" t="s">
        <v>111</v>
      </c>
      <c r="AY1006" t="s">
        <v>111</v>
      </c>
      <c r="AZ1006" t="s">
        <v>111</v>
      </c>
      <c r="BA1006" t="s">
        <v>111</v>
      </c>
      <c r="BB1006" t="s">
        <v>111</v>
      </c>
      <c r="BC1006" t="s">
        <v>111</v>
      </c>
      <c r="BD1006" t="s">
        <v>111</v>
      </c>
      <c r="BE1006" t="s">
        <v>111</v>
      </c>
      <c r="BF1006" t="s">
        <v>111</v>
      </c>
      <c r="BG1006" t="s">
        <v>111</v>
      </c>
      <c r="BH1006" t="s">
        <v>111</v>
      </c>
      <c r="BI1006" t="s">
        <v>111</v>
      </c>
      <c r="BJ1006" t="s">
        <v>111</v>
      </c>
      <c r="BK1006" t="s">
        <v>111</v>
      </c>
      <c r="BL1006" t="s">
        <v>111</v>
      </c>
      <c r="BM1006" t="s">
        <v>111</v>
      </c>
      <c r="BN1006" t="s">
        <v>111</v>
      </c>
      <c r="BO1006" t="s">
        <v>111</v>
      </c>
      <c r="BP1006" t="s">
        <v>111</v>
      </c>
      <c r="BQ1006" t="s">
        <v>111</v>
      </c>
      <c r="BR1006" t="s">
        <v>111</v>
      </c>
      <c r="BS1006" t="s">
        <v>111</v>
      </c>
      <c r="BT1006" t="s">
        <v>111</v>
      </c>
      <c r="BU1006" t="s">
        <v>111</v>
      </c>
      <c r="BV1006" t="s">
        <v>111</v>
      </c>
      <c r="BW1006" t="s">
        <v>111</v>
      </c>
      <c r="BX1006" t="s">
        <v>111</v>
      </c>
      <c r="BY1006" t="s">
        <v>111</v>
      </c>
      <c r="BZ1006" t="s">
        <v>111</v>
      </c>
      <c r="CA1006" t="s">
        <v>111</v>
      </c>
      <c r="CB1006" t="s">
        <v>111</v>
      </c>
      <c r="CC1006" t="s">
        <v>111</v>
      </c>
      <c r="CD1006" t="s">
        <v>111</v>
      </c>
      <c r="CE1006" t="s">
        <v>111</v>
      </c>
      <c r="CF1006" t="s">
        <v>111</v>
      </c>
      <c r="CG1006" t="s">
        <v>111</v>
      </c>
      <c r="CH1006" t="s">
        <v>111</v>
      </c>
      <c r="CI1006" t="s">
        <v>111</v>
      </c>
      <c r="CJ1006" t="s">
        <v>111</v>
      </c>
      <c r="CK1006" t="s">
        <v>111</v>
      </c>
      <c r="CL1006" t="s">
        <v>111</v>
      </c>
      <c r="CM1006" t="s">
        <v>198</v>
      </c>
      <c r="CN1006" t="s">
        <v>128</v>
      </c>
      <c r="CO1006" t="s">
        <v>111</v>
      </c>
      <c r="CP1006" t="s">
        <v>111</v>
      </c>
      <c r="CQ1006">
        <v>0</v>
      </c>
      <c r="CR1006">
        <v>0</v>
      </c>
      <c r="CS1006">
        <v>0</v>
      </c>
      <c r="CT1006" t="s">
        <v>168</v>
      </c>
      <c r="CU1006">
        <v>0</v>
      </c>
      <c r="CV1006" t="s">
        <v>111</v>
      </c>
      <c r="CW1006" t="s">
        <v>111</v>
      </c>
      <c r="CX1006" t="s">
        <v>111</v>
      </c>
      <c r="CY1006">
        <v>0</v>
      </c>
      <c r="CZ1006" t="s">
        <v>111</v>
      </c>
      <c r="DA1006" t="s">
        <v>111</v>
      </c>
      <c r="DB1006" t="s">
        <v>111</v>
      </c>
      <c r="DC1006" t="s">
        <v>111</v>
      </c>
    </row>
    <row r="1007" spans="1:107">
      <c r="A1007">
        <v>485</v>
      </c>
      <c r="B1007" t="s">
        <v>162</v>
      </c>
      <c r="C1007" t="s">
        <v>226</v>
      </c>
      <c r="D1007" t="s">
        <v>1168</v>
      </c>
      <c r="E1007" t="s">
        <v>3195</v>
      </c>
      <c r="F1007" t="s">
        <v>125</v>
      </c>
      <c r="G1007" t="s">
        <v>416</v>
      </c>
      <c r="H1007">
        <v>1</v>
      </c>
      <c r="I1007">
        <v>60</v>
      </c>
      <c r="J1007">
        <v>0</v>
      </c>
      <c r="K1007">
        <v>0</v>
      </c>
      <c r="L1007" t="s">
        <v>112</v>
      </c>
      <c r="M1007" t="s">
        <v>138</v>
      </c>
      <c r="N1007">
        <v>0</v>
      </c>
      <c r="O1007">
        <v>0</v>
      </c>
      <c r="P1007" t="s">
        <v>138</v>
      </c>
      <c r="Q1007">
        <v>40</v>
      </c>
      <c r="R1007">
        <v>0</v>
      </c>
      <c r="S1007">
        <v>0</v>
      </c>
      <c r="T1007">
        <v>0</v>
      </c>
      <c r="U1007" t="s">
        <v>153</v>
      </c>
      <c r="V1007">
        <v>25</v>
      </c>
      <c r="W1007">
        <v>0</v>
      </c>
      <c r="X1007">
        <v>8</v>
      </c>
      <c r="Y1007">
        <v>0</v>
      </c>
      <c r="Z1007" t="s">
        <v>111</v>
      </c>
      <c r="AA1007">
        <v>0</v>
      </c>
      <c r="AB1007" t="s">
        <v>111</v>
      </c>
      <c r="AC1007">
        <v>0</v>
      </c>
      <c r="AD1007" t="s">
        <v>111</v>
      </c>
      <c r="AE1007">
        <v>0</v>
      </c>
      <c r="AF1007">
        <v>0</v>
      </c>
      <c r="AG1007" t="s">
        <v>111</v>
      </c>
      <c r="AH1007" t="s">
        <v>111</v>
      </c>
      <c r="AI1007" t="s">
        <v>111</v>
      </c>
      <c r="AJ1007" t="s">
        <v>111</v>
      </c>
      <c r="AK1007" t="s">
        <v>111</v>
      </c>
      <c r="AL1007" t="s">
        <v>111</v>
      </c>
      <c r="AM1007">
        <v>0</v>
      </c>
      <c r="AN1007">
        <v>0</v>
      </c>
      <c r="AO1007">
        <v>0</v>
      </c>
      <c r="AP1007" t="s">
        <v>111</v>
      </c>
      <c r="AQ1007" t="s">
        <v>111</v>
      </c>
      <c r="AR1007" t="s">
        <v>111</v>
      </c>
      <c r="AS1007" t="s">
        <v>111</v>
      </c>
      <c r="AT1007" t="s">
        <v>111</v>
      </c>
      <c r="AU1007" t="s">
        <v>111</v>
      </c>
      <c r="AV1007" t="s">
        <v>111</v>
      </c>
      <c r="AW1007" t="s">
        <v>111</v>
      </c>
      <c r="AX1007" t="s">
        <v>111</v>
      </c>
      <c r="AY1007" t="s">
        <v>111</v>
      </c>
      <c r="AZ1007" t="s">
        <v>111</v>
      </c>
      <c r="BA1007" t="s">
        <v>111</v>
      </c>
      <c r="BB1007" t="s">
        <v>111</v>
      </c>
      <c r="BC1007" t="s">
        <v>111</v>
      </c>
      <c r="BD1007" t="s">
        <v>111</v>
      </c>
      <c r="BE1007" t="s">
        <v>111</v>
      </c>
      <c r="BF1007" t="s">
        <v>111</v>
      </c>
      <c r="BG1007" t="s">
        <v>111</v>
      </c>
      <c r="BH1007" t="s">
        <v>111</v>
      </c>
      <c r="BI1007" t="s">
        <v>111</v>
      </c>
      <c r="BJ1007" t="s">
        <v>111</v>
      </c>
      <c r="BK1007" t="s">
        <v>111</v>
      </c>
      <c r="BL1007" t="s">
        <v>111</v>
      </c>
      <c r="BM1007" t="s">
        <v>111</v>
      </c>
      <c r="BN1007" t="s">
        <v>111</v>
      </c>
      <c r="BO1007" t="s">
        <v>111</v>
      </c>
      <c r="BP1007" t="s">
        <v>111</v>
      </c>
      <c r="BQ1007" t="s">
        <v>111</v>
      </c>
      <c r="BR1007" t="s">
        <v>111</v>
      </c>
      <c r="BS1007" t="s">
        <v>111</v>
      </c>
      <c r="BT1007" t="s">
        <v>111</v>
      </c>
      <c r="BU1007" t="s">
        <v>111</v>
      </c>
      <c r="BV1007" t="s">
        <v>111</v>
      </c>
      <c r="BW1007" t="s">
        <v>111</v>
      </c>
      <c r="BX1007" t="s">
        <v>111</v>
      </c>
      <c r="BY1007" t="s">
        <v>111</v>
      </c>
      <c r="BZ1007" t="s">
        <v>111</v>
      </c>
      <c r="CA1007" t="s">
        <v>111</v>
      </c>
      <c r="CB1007" t="s">
        <v>111</v>
      </c>
      <c r="CC1007" t="s">
        <v>111</v>
      </c>
      <c r="CD1007" t="s">
        <v>111</v>
      </c>
      <c r="CE1007" t="s">
        <v>111</v>
      </c>
      <c r="CF1007" t="s">
        <v>111</v>
      </c>
      <c r="CG1007" t="s">
        <v>111</v>
      </c>
      <c r="CH1007" t="s">
        <v>111</v>
      </c>
      <c r="CI1007" t="s">
        <v>111</v>
      </c>
      <c r="CJ1007" t="s">
        <v>111</v>
      </c>
      <c r="CK1007" t="s">
        <v>111</v>
      </c>
      <c r="CL1007" t="s">
        <v>111</v>
      </c>
      <c r="CM1007" t="s">
        <v>198</v>
      </c>
      <c r="CN1007" t="s">
        <v>128</v>
      </c>
      <c r="CO1007" t="s">
        <v>222</v>
      </c>
      <c r="CP1007" t="s">
        <v>111</v>
      </c>
      <c r="CQ1007">
        <v>0</v>
      </c>
      <c r="CR1007">
        <v>1000</v>
      </c>
      <c r="CS1007">
        <v>100</v>
      </c>
      <c r="CT1007" t="s">
        <v>168</v>
      </c>
      <c r="CU1007">
        <v>0</v>
      </c>
      <c r="CV1007" t="s">
        <v>111</v>
      </c>
      <c r="CW1007" t="s">
        <v>111</v>
      </c>
      <c r="CX1007" t="s">
        <v>111</v>
      </c>
      <c r="CY1007">
        <v>0</v>
      </c>
      <c r="CZ1007" t="s">
        <v>111</v>
      </c>
      <c r="DA1007" t="s">
        <v>111</v>
      </c>
      <c r="DB1007" t="s">
        <v>111</v>
      </c>
      <c r="DC1007" t="s">
        <v>111</v>
      </c>
    </row>
    <row r="1008" spans="1:107">
      <c r="A1008">
        <v>76</v>
      </c>
      <c r="B1008" t="s">
        <v>162</v>
      </c>
      <c r="C1008" t="s">
        <v>1751</v>
      </c>
      <c r="D1008" t="s">
        <v>2645</v>
      </c>
      <c r="E1008" t="s">
        <v>3196</v>
      </c>
      <c r="F1008" t="s">
        <v>1754</v>
      </c>
      <c r="G1008" t="s">
        <v>416</v>
      </c>
      <c r="H1008">
        <v>2.9</v>
      </c>
      <c r="I1008">
        <v>40</v>
      </c>
      <c r="J1008">
        <v>0</v>
      </c>
      <c r="K1008">
        <v>0</v>
      </c>
      <c r="L1008" t="s">
        <v>112</v>
      </c>
      <c r="M1008" t="s">
        <v>118</v>
      </c>
      <c r="N1008">
        <v>40</v>
      </c>
      <c r="O1008">
        <v>2</v>
      </c>
      <c r="P1008" t="s">
        <v>138</v>
      </c>
      <c r="Q1008">
        <v>49</v>
      </c>
      <c r="R1008">
        <v>0</v>
      </c>
      <c r="S1008">
        <v>0</v>
      </c>
      <c r="T1008">
        <v>5</v>
      </c>
      <c r="U1008" t="s">
        <v>1353</v>
      </c>
      <c r="V1008">
        <v>25</v>
      </c>
      <c r="W1008">
        <v>0</v>
      </c>
      <c r="X1008">
        <v>10</v>
      </c>
      <c r="Y1008">
        <v>0</v>
      </c>
      <c r="Z1008" t="s">
        <v>259</v>
      </c>
      <c r="AA1008">
        <v>1.5</v>
      </c>
      <c r="AB1008" t="s">
        <v>111</v>
      </c>
      <c r="AC1008">
        <v>0</v>
      </c>
      <c r="AD1008" t="s">
        <v>416</v>
      </c>
      <c r="AE1008">
        <v>1</v>
      </c>
      <c r="AF1008">
        <v>2</v>
      </c>
      <c r="AG1008">
        <v>32</v>
      </c>
      <c r="AH1008" t="s">
        <v>113</v>
      </c>
      <c r="AI1008">
        <v>32</v>
      </c>
      <c r="AJ1008" t="s">
        <v>111</v>
      </c>
      <c r="AK1008" t="s">
        <v>111</v>
      </c>
      <c r="AL1008" t="s">
        <v>111</v>
      </c>
      <c r="AM1008">
        <v>0</v>
      </c>
      <c r="AN1008">
        <v>0</v>
      </c>
      <c r="AO1008">
        <v>0</v>
      </c>
      <c r="AP1008" t="s">
        <v>1091</v>
      </c>
      <c r="AQ1008" t="s">
        <v>111</v>
      </c>
      <c r="AR1008" t="s">
        <v>111</v>
      </c>
      <c r="AS1008" t="s">
        <v>111</v>
      </c>
      <c r="AT1008" t="s">
        <v>111</v>
      </c>
      <c r="AU1008" t="s">
        <v>111</v>
      </c>
      <c r="AV1008" t="s">
        <v>111</v>
      </c>
      <c r="AW1008" t="s">
        <v>111</v>
      </c>
      <c r="AX1008" t="s">
        <v>111</v>
      </c>
      <c r="AY1008" t="s">
        <v>111</v>
      </c>
      <c r="AZ1008" t="s">
        <v>111</v>
      </c>
      <c r="BA1008" t="s">
        <v>111</v>
      </c>
      <c r="BB1008" t="s">
        <v>111</v>
      </c>
      <c r="BC1008" t="s">
        <v>111</v>
      </c>
      <c r="BD1008" t="s">
        <v>111</v>
      </c>
      <c r="BE1008" t="s">
        <v>111</v>
      </c>
      <c r="BF1008" t="s">
        <v>111</v>
      </c>
      <c r="BG1008" t="s">
        <v>111</v>
      </c>
      <c r="BH1008" t="s">
        <v>111</v>
      </c>
      <c r="BI1008" t="s">
        <v>111</v>
      </c>
      <c r="BJ1008" t="s">
        <v>111</v>
      </c>
      <c r="BK1008" t="s">
        <v>111</v>
      </c>
      <c r="BL1008" t="s">
        <v>111</v>
      </c>
      <c r="BM1008" t="s">
        <v>111</v>
      </c>
      <c r="BN1008" t="s">
        <v>1091</v>
      </c>
      <c r="BO1008" t="s">
        <v>111</v>
      </c>
      <c r="BP1008" t="s">
        <v>111</v>
      </c>
      <c r="BQ1008" t="s">
        <v>111</v>
      </c>
      <c r="BR1008" t="s">
        <v>111</v>
      </c>
      <c r="BS1008" t="s">
        <v>111</v>
      </c>
      <c r="BT1008" t="s">
        <v>111</v>
      </c>
      <c r="BU1008" t="s">
        <v>111</v>
      </c>
      <c r="BV1008" t="s">
        <v>111</v>
      </c>
      <c r="BW1008" t="s">
        <v>111</v>
      </c>
      <c r="BX1008" t="s">
        <v>111</v>
      </c>
      <c r="BY1008" t="s">
        <v>111</v>
      </c>
      <c r="BZ1008" t="s">
        <v>111</v>
      </c>
      <c r="CA1008" t="s">
        <v>111</v>
      </c>
      <c r="CB1008" t="s">
        <v>111</v>
      </c>
      <c r="CC1008" t="s">
        <v>111</v>
      </c>
      <c r="CD1008" t="s">
        <v>111</v>
      </c>
      <c r="CE1008" t="s">
        <v>111</v>
      </c>
      <c r="CF1008" t="s">
        <v>111</v>
      </c>
      <c r="CG1008" t="s">
        <v>111</v>
      </c>
      <c r="CH1008" t="s">
        <v>111</v>
      </c>
      <c r="CI1008" t="s">
        <v>111</v>
      </c>
      <c r="CJ1008" t="s">
        <v>111</v>
      </c>
      <c r="CK1008" t="s">
        <v>111</v>
      </c>
      <c r="CL1008" t="s">
        <v>153</v>
      </c>
      <c r="CM1008" t="s">
        <v>198</v>
      </c>
      <c r="CN1008" t="s">
        <v>113</v>
      </c>
      <c r="CO1008" t="s">
        <v>1348</v>
      </c>
      <c r="CP1008" t="s">
        <v>433</v>
      </c>
      <c r="CQ1008">
        <v>0</v>
      </c>
      <c r="CR1008">
        <v>1500</v>
      </c>
      <c r="CS1008">
        <v>100</v>
      </c>
      <c r="CT1008" s="1" t="s">
        <v>3197</v>
      </c>
      <c r="CU1008">
        <v>0</v>
      </c>
      <c r="CV1008" t="s">
        <v>111</v>
      </c>
      <c r="CW1008" t="s">
        <v>111</v>
      </c>
      <c r="CX1008" t="s">
        <v>111</v>
      </c>
      <c r="CY1008">
        <v>0</v>
      </c>
      <c r="CZ1008" t="s">
        <v>111</v>
      </c>
      <c r="DA1008" t="s">
        <v>111</v>
      </c>
      <c r="DB1008" t="s">
        <v>204</v>
      </c>
      <c r="DC1008" s="1" t="s">
        <v>1350</v>
      </c>
    </row>
    <row r="1009" spans="1:107">
      <c r="A1009">
        <v>673</v>
      </c>
      <c r="B1009" t="s">
        <v>162</v>
      </c>
      <c r="C1009" t="s">
        <v>928</v>
      </c>
      <c r="D1009" t="s">
        <v>1464</v>
      </c>
      <c r="E1009" t="s">
        <v>3198</v>
      </c>
      <c r="F1009" t="s">
        <v>431</v>
      </c>
      <c r="G1009" t="s">
        <v>416</v>
      </c>
      <c r="H1009">
        <v>1.1000000000000001</v>
      </c>
      <c r="I1009">
        <v>88</v>
      </c>
      <c r="J1009">
        <v>0</v>
      </c>
      <c r="K1009">
        <v>0</v>
      </c>
      <c r="L1009" t="s">
        <v>112</v>
      </c>
      <c r="M1009" t="s">
        <v>118</v>
      </c>
      <c r="N1009">
        <v>40</v>
      </c>
      <c r="O1009">
        <v>1</v>
      </c>
      <c r="P1009" t="s">
        <v>138</v>
      </c>
      <c r="Q1009">
        <v>35</v>
      </c>
      <c r="R1009">
        <v>0</v>
      </c>
      <c r="S1009">
        <v>0</v>
      </c>
      <c r="T1009">
        <v>0</v>
      </c>
      <c r="U1009" t="s">
        <v>1353</v>
      </c>
      <c r="V1009">
        <v>0</v>
      </c>
      <c r="W1009">
        <v>25</v>
      </c>
      <c r="X1009">
        <v>6</v>
      </c>
      <c r="Y1009">
        <v>0</v>
      </c>
      <c r="Z1009" t="s">
        <v>111</v>
      </c>
      <c r="AA1009">
        <v>0</v>
      </c>
      <c r="AB1009" t="s">
        <v>111</v>
      </c>
      <c r="AC1009">
        <v>0</v>
      </c>
      <c r="AD1009" t="s">
        <v>416</v>
      </c>
      <c r="AE1009">
        <v>1</v>
      </c>
      <c r="AF1009">
        <v>1</v>
      </c>
      <c r="AG1009">
        <v>26</v>
      </c>
      <c r="AH1009" t="s">
        <v>111</v>
      </c>
      <c r="AI1009">
        <v>52</v>
      </c>
      <c r="AJ1009" t="s">
        <v>111</v>
      </c>
      <c r="AK1009" t="s">
        <v>111</v>
      </c>
      <c r="AL1009" t="s">
        <v>111</v>
      </c>
      <c r="AM1009">
        <v>0</v>
      </c>
      <c r="AN1009">
        <v>0</v>
      </c>
      <c r="AO1009">
        <v>0</v>
      </c>
      <c r="AP1009" t="s">
        <v>188</v>
      </c>
      <c r="AQ1009" t="s">
        <v>3199</v>
      </c>
      <c r="AR1009" t="s">
        <v>111</v>
      </c>
      <c r="AS1009" t="s">
        <v>111</v>
      </c>
      <c r="AT1009" t="s">
        <v>111</v>
      </c>
      <c r="AU1009" t="s">
        <v>111</v>
      </c>
      <c r="AV1009" t="s">
        <v>111</v>
      </c>
      <c r="AW1009" t="s">
        <v>111</v>
      </c>
      <c r="AX1009" t="s">
        <v>111</v>
      </c>
      <c r="AY1009" t="s">
        <v>111</v>
      </c>
      <c r="AZ1009" t="s">
        <v>111</v>
      </c>
      <c r="BA1009" t="s">
        <v>111</v>
      </c>
      <c r="BB1009" t="s">
        <v>111</v>
      </c>
      <c r="BC1009" t="s">
        <v>111</v>
      </c>
      <c r="BD1009" t="s">
        <v>111</v>
      </c>
      <c r="BE1009" t="s">
        <v>111</v>
      </c>
      <c r="BF1009" t="s">
        <v>111</v>
      </c>
      <c r="BG1009" t="s">
        <v>111</v>
      </c>
      <c r="BH1009" t="s">
        <v>111</v>
      </c>
      <c r="BI1009" t="s">
        <v>111</v>
      </c>
      <c r="BJ1009" t="s">
        <v>111</v>
      </c>
      <c r="BK1009" t="s">
        <v>111</v>
      </c>
      <c r="BL1009" t="s">
        <v>111</v>
      </c>
      <c r="BM1009" t="s">
        <v>111</v>
      </c>
      <c r="BN1009" t="s">
        <v>111</v>
      </c>
      <c r="BO1009" t="s">
        <v>111</v>
      </c>
      <c r="BP1009" t="s">
        <v>111</v>
      </c>
      <c r="BQ1009" t="s">
        <v>111</v>
      </c>
      <c r="BR1009" t="s">
        <v>111</v>
      </c>
      <c r="BS1009" t="s">
        <v>111</v>
      </c>
      <c r="BT1009" t="s">
        <v>111</v>
      </c>
      <c r="BU1009" t="s">
        <v>111</v>
      </c>
      <c r="BV1009" t="s">
        <v>111</v>
      </c>
      <c r="BW1009" t="s">
        <v>111</v>
      </c>
      <c r="BX1009" t="s">
        <v>111</v>
      </c>
      <c r="BY1009" t="s">
        <v>111</v>
      </c>
      <c r="BZ1009" t="s">
        <v>111</v>
      </c>
      <c r="CA1009" t="s">
        <v>111</v>
      </c>
      <c r="CB1009" t="s">
        <v>111</v>
      </c>
      <c r="CC1009" t="s">
        <v>111</v>
      </c>
      <c r="CD1009" t="s">
        <v>111</v>
      </c>
      <c r="CE1009" t="s">
        <v>111</v>
      </c>
      <c r="CF1009" t="s">
        <v>111</v>
      </c>
      <c r="CG1009" t="s">
        <v>111</v>
      </c>
      <c r="CH1009" t="s">
        <v>111</v>
      </c>
      <c r="CI1009" t="s">
        <v>111</v>
      </c>
      <c r="CJ1009" t="s">
        <v>111</v>
      </c>
      <c r="CK1009" t="s">
        <v>111</v>
      </c>
      <c r="CL1009" t="s">
        <v>153</v>
      </c>
      <c r="CM1009" t="s">
        <v>198</v>
      </c>
      <c r="CN1009" t="s">
        <v>113</v>
      </c>
      <c r="CO1009" t="s">
        <v>222</v>
      </c>
      <c r="CP1009" t="s">
        <v>433</v>
      </c>
      <c r="CQ1009">
        <v>0</v>
      </c>
      <c r="CR1009">
        <v>5000</v>
      </c>
      <c r="CS1009">
        <v>2500</v>
      </c>
      <c r="CT1009" s="1" t="s">
        <v>3200</v>
      </c>
      <c r="CU1009">
        <v>0</v>
      </c>
      <c r="CV1009" t="s">
        <v>111</v>
      </c>
      <c r="CW1009" t="s">
        <v>111</v>
      </c>
      <c r="CX1009" t="s">
        <v>111</v>
      </c>
      <c r="CY1009">
        <v>0</v>
      </c>
      <c r="CZ1009" t="s">
        <v>111</v>
      </c>
      <c r="DA1009" t="s">
        <v>111</v>
      </c>
      <c r="DB1009" t="s">
        <v>111</v>
      </c>
      <c r="DC1009" t="s">
        <v>111</v>
      </c>
    </row>
    <row r="1010" spans="1:107">
      <c r="A1010">
        <v>671</v>
      </c>
      <c r="B1010" t="s">
        <v>162</v>
      </c>
      <c r="C1010" t="s">
        <v>171</v>
      </c>
      <c r="D1010" t="s">
        <v>3201</v>
      </c>
      <c r="E1010" t="s">
        <v>3202</v>
      </c>
      <c r="F1010" t="s">
        <v>431</v>
      </c>
      <c r="G1010" t="s">
        <v>416</v>
      </c>
      <c r="H1010">
        <v>3.4</v>
      </c>
      <c r="I1010">
        <v>54</v>
      </c>
      <c r="J1010">
        <v>0</v>
      </c>
      <c r="K1010">
        <v>0</v>
      </c>
      <c r="L1010" t="s">
        <v>117</v>
      </c>
      <c r="M1010" t="s">
        <v>118</v>
      </c>
      <c r="N1010">
        <v>40</v>
      </c>
      <c r="O1010">
        <v>1</v>
      </c>
      <c r="P1010" t="s">
        <v>138</v>
      </c>
      <c r="Q1010">
        <v>30</v>
      </c>
      <c r="R1010">
        <v>0</v>
      </c>
      <c r="S1010">
        <v>0</v>
      </c>
      <c r="T1010">
        <v>0</v>
      </c>
      <c r="U1010" s="1" t="s">
        <v>3203</v>
      </c>
      <c r="V1010">
        <v>0</v>
      </c>
      <c r="W1010">
        <v>25</v>
      </c>
      <c r="X1010">
        <v>10</v>
      </c>
      <c r="Y1010">
        <v>0</v>
      </c>
      <c r="Z1010" t="s">
        <v>111</v>
      </c>
      <c r="AA1010">
        <v>0</v>
      </c>
      <c r="AB1010" t="s">
        <v>111</v>
      </c>
      <c r="AC1010">
        <v>0</v>
      </c>
      <c r="AD1010" t="s">
        <v>416</v>
      </c>
      <c r="AE1010">
        <v>4</v>
      </c>
      <c r="AF1010">
        <v>2</v>
      </c>
      <c r="AG1010">
        <v>20</v>
      </c>
      <c r="AH1010" t="s">
        <v>111</v>
      </c>
      <c r="AI1010">
        <v>40</v>
      </c>
      <c r="AJ1010" t="s">
        <v>111</v>
      </c>
      <c r="AK1010" t="s">
        <v>111</v>
      </c>
      <c r="AL1010" t="s">
        <v>111</v>
      </c>
      <c r="AM1010">
        <v>0</v>
      </c>
      <c r="AN1010">
        <v>0</v>
      </c>
      <c r="AO1010">
        <v>0</v>
      </c>
      <c r="AP1010" t="s">
        <v>188</v>
      </c>
      <c r="AQ1010" t="s">
        <v>111</v>
      </c>
      <c r="AR1010" t="s">
        <v>111</v>
      </c>
      <c r="AS1010" t="s">
        <v>111</v>
      </c>
      <c r="AT1010" t="s">
        <v>147</v>
      </c>
      <c r="AU1010" t="s">
        <v>111</v>
      </c>
      <c r="AV1010" t="s">
        <v>111</v>
      </c>
      <c r="AW1010" t="s">
        <v>111</v>
      </c>
      <c r="AX1010" t="s">
        <v>288</v>
      </c>
      <c r="AY1010" t="s">
        <v>111</v>
      </c>
      <c r="AZ1010" t="s">
        <v>111</v>
      </c>
      <c r="BA1010" t="s">
        <v>111</v>
      </c>
      <c r="BB1010" t="s">
        <v>271</v>
      </c>
      <c r="BC1010" t="s">
        <v>111</v>
      </c>
      <c r="BD1010" t="s">
        <v>111</v>
      </c>
      <c r="BE1010" t="s">
        <v>111</v>
      </c>
      <c r="BF1010" t="s">
        <v>111</v>
      </c>
      <c r="BG1010" t="s">
        <v>111</v>
      </c>
      <c r="BH1010" t="s">
        <v>111</v>
      </c>
      <c r="BI1010" t="s">
        <v>111</v>
      </c>
      <c r="BJ1010" t="s">
        <v>111</v>
      </c>
      <c r="BK1010" t="s">
        <v>111</v>
      </c>
      <c r="BL1010" t="s">
        <v>111</v>
      </c>
      <c r="BM1010" t="s">
        <v>111</v>
      </c>
      <c r="BN1010" t="s">
        <v>111</v>
      </c>
      <c r="BO1010" t="s">
        <v>111</v>
      </c>
      <c r="BP1010" t="s">
        <v>111</v>
      </c>
      <c r="BQ1010" t="s">
        <v>111</v>
      </c>
      <c r="BR1010" t="s">
        <v>111</v>
      </c>
      <c r="BS1010" t="s">
        <v>111</v>
      </c>
      <c r="BT1010" t="s">
        <v>111</v>
      </c>
      <c r="BU1010" t="s">
        <v>111</v>
      </c>
      <c r="BV1010" t="s">
        <v>111</v>
      </c>
      <c r="BW1010" t="s">
        <v>111</v>
      </c>
      <c r="BX1010" t="s">
        <v>111</v>
      </c>
      <c r="BY1010" t="s">
        <v>111</v>
      </c>
      <c r="BZ1010" t="s">
        <v>111</v>
      </c>
      <c r="CA1010" t="s">
        <v>111</v>
      </c>
      <c r="CB1010" t="s">
        <v>111</v>
      </c>
      <c r="CC1010" t="s">
        <v>111</v>
      </c>
      <c r="CD1010" t="s">
        <v>111</v>
      </c>
      <c r="CE1010" t="s">
        <v>111</v>
      </c>
      <c r="CF1010" t="s">
        <v>111</v>
      </c>
      <c r="CG1010" t="s">
        <v>111</v>
      </c>
      <c r="CH1010" t="s">
        <v>111</v>
      </c>
      <c r="CI1010" t="s">
        <v>111</v>
      </c>
      <c r="CJ1010" t="s">
        <v>111</v>
      </c>
      <c r="CK1010" t="s">
        <v>111</v>
      </c>
      <c r="CL1010" t="s">
        <v>153</v>
      </c>
      <c r="CM1010" t="s">
        <v>198</v>
      </c>
      <c r="CN1010" t="s">
        <v>113</v>
      </c>
      <c r="CO1010" t="s">
        <v>111</v>
      </c>
      <c r="CP1010" t="s">
        <v>433</v>
      </c>
      <c r="CQ1010">
        <v>0</v>
      </c>
      <c r="CR1010">
        <v>0</v>
      </c>
      <c r="CS1010">
        <v>0</v>
      </c>
      <c r="CT1010" t="s">
        <v>168</v>
      </c>
      <c r="CU1010">
        <v>0</v>
      </c>
      <c r="CV1010" t="s">
        <v>111</v>
      </c>
      <c r="CW1010" t="s">
        <v>111</v>
      </c>
      <c r="CX1010" t="s">
        <v>111</v>
      </c>
      <c r="CY1010">
        <v>0</v>
      </c>
      <c r="CZ1010" t="s">
        <v>111</v>
      </c>
      <c r="DA1010" t="s">
        <v>111</v>
      </c>
      <c r="DB1010" t="s">
        <v>111</v>
      </c>
      <c r="DC1010" t="s">
        <v>111</v>
      </c>
    </row>
    <row r="1011" spans="1:107">
      <c r="A1011">
        <v>420</v>
      </c>
      <c r="B1011" t="s">
        <v>162</v>
      </c>
      <c r="C1011" t="s">
        <v>928</v>
      </c>
      <c r="D1011" t="s">
        <v>1464</v>
      </c>
      <c r="E1011" t="s">
        <v>3204</v>
      </c>
      <c r="F1011" t="s">
        <v>431</v>
      </c>
      <c r="G1011" t="s">
        <v>416</v>
      </c>
      <c r="H1011">
        <v>1.1000000000000001</v>
      </c>
      <c r="I1011">
        <v>88</v>
      </c>
      <c r="J1011">
        <v>0</v>
      </c>
      <c r="K1011">
        <v>0</v>
      </c>
      <c r="L1011" t="s">
        <v>112</v>
      </c>
      <c r="M1011" t="s">
        <v>118</v>
      </c>
      <c r="N1011">
        <v>40</v>
      </c>
      <c r="O1011">
        <v>2</v>
      </c>
      <c r="P1011" t="s">
        <v>138</v>
      </c>
      <c r="Q1011">
        <v>40</v>
      </c>
      <c r="R1011">
        <v>0</v>
      </c>
      <c r="S1011">
        <v>0</v>
      </c>
      <c r="T1011">
        <v>0</v>
      </c>
      <c r="U1011" t="s">
        <v>1353</v>
      </c>
      <c r="V1011">
        <v>0</v>
      </c>
      <c r="W1011">
        <v>25</v>
      </c>
      <c r="X1011">
        <v>6</v>
      </c>
      <c r="Y1011">
        <v>0</v>
      </c>
      <c r="Z1011" t="s">
        <v>111</v>
      </c>
      <c r="AA1011">
        <v>0</v>
      </c>
      <c r="AB1011" t="s">
        <v>111</v>
      </c>
      <c r="AC1011">
        <v>0</v>
      </c>
      <c r="AD1011" t="s">
        <v>416</v>
      </c>
      <c r="AE1011">
        <v>1</v>
      </c>
      <c r="AF1011">
        <v>1</v>
      </c>
      <c r="AG1011">
        <v>26</v>
      </c>
      <c r="AH1011" t="s">
        <v>111</v>
      </c>
      <c r="AI1011">
        <v>52</v>
      </c>
      <c r="AJ1011" t="s">
        <v>111</v>
      </c>
      <c r="AK1011" t="s">
        <v>111</v>
      </c>
      <c r="AL1011" t="s">
        <v>111</v>
      </c>
      <c r="AM1011">
        <v>0</v>
      </c>
      <c r="AN1011">
        <v>0</v>
      </c>
      <c r="AO1011">
        <v>0</v>
      </c>
      <c r="AP1011" t="s">
        <v>111</v>
      </c>
      <c r="AQ1011" t="s">
        <v>111</v>
      </c>
      <c r="AR1011" t="s">
        <v>111</v>
      </c>
      <c r="AS1011" t="s">
        <v>111</v>
      </c>
      <c r="AT1011" t="s">
        <v>111</v>
      </c>
      <c r="AU1011" t="s">
        <v>111</v>
      </c>
      <c r="AV1011" t="s">
        <v>111</v>
      </c>
      <c r="AW1011" t="s">
        <v>111</v>
      </c>
      <c r="AX1011" t="s">
        <v>111</v>
      </c>
      <c r="AY1011" t="s">
        <v>111</v>
      </c>
      <c r="AZ1011" t="s">
        <v>111</v>
      </c>
      <c r="BA1011" t="s">
        <v>111</v>
      </c>
      <c r="BB1011" t="s">
        <v>111</v>
      </c>
      <c r="BC1011" t="s">
        <v>111</v>
      </c>
      <c r="BD1011" t="s">
        <v>111</v>
      </c>
      <c r="BE1011" t="s">
        <v>111</v>
      </c>
      <c r="BF1011" t="s">
        <v>111</v>
      </c>
      <c r="BG1011" t="s">
        <v>111</v>
      </c>
      <c r="BH1011" t="s">
        <v>111</v>
      </c>
      <c r="BI1011" t="s">
        <v>111</v>
      </c>
      <c r="BJ1011" t="s">
        <v>111</v>
      </c>
      <c r="BK1011" t="s">
        <v>111</v>
      </c>
      <c r="BL1011" t="s">
        <v>111</v>
      </c>
      <c r="BM1011" t="s">
        <v>111</v>
      </c>
      <c r="BN1011" t="s">
        <v>111</v>
      </c>
      <c r="BO1011" t="s">
        <v>111</v>
      </c>
      <c r="BP1011" t="s">
        <v>111</v>
      </c>
      <c r="BQ1011" t="s">
        <v>111</v>
      </c>
      <c r="BR1011" t="s">
        <v>111</v>
      </c>
      <c r="BS1011" t="s">
        <v>111</v>
      </c>
      <c r="BT1011" t="s">
        <v>111</v>
      </c>
      <c r="BU1011" t="s">
        <v>111</v>
      </c>
      <c r="BV1011" t="s">
        <v>111</v>
      </c>
      <c r="BW1011" t="s">
        <v>111</v>
      </c>
      <c r="BX1011" t="s">
        <v>111</v>
      </c>
      <c r="BY1011" t="s">
        <v>111</v>
      </c>
      <c r="BZ1011" t="s">
        <v>111</v>
      </c>
      <c r="CA1011" t="s">
        <v>111</v>
      </c>
      <c r="CB1011" t="s">
        <v>111</v>
      </c>
      <c r="CC1011" t="s">
        <v>111</v>
      </c>
      <c r="CD1011" t="s">
        <v>111</v>
      </c>
      <c r="CE1011" t="s">
        <v>111</v>
      </c>
      <c r="CF1011" t="s">
        <v>111</v>
      </c>
      <c r="CG1011" t="s">
        <v>111</v>
      </c>
      <c r="CH1011" t="s">
        <v>111</v>
      </c>
      <c r="CI1011" t="s">
        <v>111</v>
      </c>
      <c r="CJ1011" t="s">
        <v>111</v>
      </c>
      <c r="CK1011" t="s">
        <v>111</v>
      </c>
      <c r="CL1011" t="s">
        <v>153</v>
      </c>
      <c r="CM1011" t="s">
        <v>198</v>
      </c>
      <c r="CN1011" t="s">
        <v>113</v>
      </c>
      <c r="CO1011" t="s">
        <v>222</v>
      </c>
      <c r="CP1011" t="s">
        <v>433</v>
      </c>
      <c r="CQ1011">
        <v>0</v>
      </c>
      <c r="CR1011">
        <v>0</v>
      </c>
      <c r="CS1011">
        <v>0</v>
      </c>
      <c r="CT1011" t="s">
        <v>168</v>
      </c>
      <c r="CU1011">
        <v>0</v>
      </c>
      <c r="CV1011" t="s">
        <v>111</v>
      </c>
      <c r="CW1011" t="s">
        <v>111</v>
      </c>
      <c r="CX1011" t="s">
        <v>111</v>
      </c>
      <c r="CY1011">
        <v>0</v>
      </c>
      <c r="CZ1011" t="s">
        <v>111</v>
      </c>
      <c r="DA1011" t="s">
        <v>111</v>
      </c>
      <c r="DB1011" t="s">
        <v>111</v>
      </c>
      <c r="DC1011" t="s">
        <v>111</v>
      </c>
    </row>
    <row r="1012" spans="1:107">
      <c r="A1012">
        <v>670</v>
      </c>
      <c r="B1012" t="s">
        <v>162</v>
      </c>
      <c r="C1012" t="s">
        <v>3205</v>
      </c>
      <c r="D1012" t="s">
        <v>3206</v>
      </c>
      <c r="E1012" t="s">
        <v>3207</v>
      </c>
      <c r="F1012" t="s">
        <v>431</v>
      </c>
      <c r="G1012" t="s">
        <v>416</v>
      </c>
      <c r="H1012">
        <v>3.4</v>
      </c>
      <c r="I1012">
        <v>61</v>
      </c>
      <c r="J1012">
        <v>0</v>
      </c>
      <c r="K1012">
        <v>0</v>
      </c>
      <c r="L1012" t="s">
        <v>117</v>
      </c>
      <c r="M1012" t="s">
        <v>118</v>
      </c>
      <c r="N1012">
        <v>40</v>
      </c>
      <c r="O1012">
        <v>2</v>
      </c>
      <c r="P1012" t="s">
        <v>138</v>
      </c>
      <c r="Q1012">
        <v>30</v>
      </c>
      <c r="R1012">
        <v>0</v>
      </c>
      <c r="S1012">
        <v>0</v>
      </c>
      <c r="T1012">
        <v>0</v>
      </c>
      <c r="U1012" t="s">
        <v>1353</v>
      </c>
      <c r="V1012">
        <v>0</v>
      </c>
      <c r="W1012">
        <v>25</v>
      </c>
      <c r="X1012">
        <v>10</v>
      </c>
      <c r="Y1012">
        <v>0</v>
      </c>
      <c r="Z1012" t="s">
        <v>111</v>
      </c>
      <c r="AA1012">
        <v>0</v>
      </c>
      <c r="AB1012" t="s">
        <v>111</v>
      </c>
      <c r="AC1012">
        <v>0</v>
      </c>
      <c r="AD1012" t="s">
        <v>416</v>
      </c>
      <c r="AE1012">
        <v>4</v>
      </c>
      <c r="AF1012">
        <v>2</v>
      </c>
      <c r="AG1012">
        <v>15</v>
      </c>
      <c r="AH1012" t="s">
        <v>111</v>
      </c>
      <c r="AI1012">
        <v>30</v>
      </c>
      <c r="AJ1012" t="s">
        <v>111</v>
      </c>
      <c r="AK1012" t="s">
        <v>111</v>
      </c>
      <c r="AL1012" t="s">
        <v>111</v>
      </c>
      <c r="AM1012">
        <v>0</v>
      </c>
      <c r="AN1012">
        <v>0</v>
      </c>
      <c r="AO1012">
        <v>0</v>
      </c>
      <c r="AP1012" t="s">
        <v>111</v>
      </c>
      <c r="AQ1012" t="s">
        <v>111</v>
      </c>
      <c r="AR1012" t="s">
        <v>111</v>
      </c>
      <c r="AS1012" t="s">
        <v>111</v>
      </c>
      <c r="AT1012" t="s">
        <v>111</v>
      </c>
      <c r="AU1012" t="s">
        <v>111</v>
      </c>
      <c r="AV1012" t="s">
        <v>111</v>
      </c>
      <c r="AW1012" t="s">
        <v>111</v>
      </c>
      <c r="AX1012" t="s">
        <v>111</v>
      </c>
      <c r="AY1012" t="s">
        <v>111</v>
      </c>
      <c r="AZ1012" t="s">
        <v>111</v>
      </c>
      <c r="BA1012" t="s">
        <v>111</v>
      </c>
      <c r="BB1012" t="s">
        <v>111</v>
      </c>
      <c r="BC1012" t="s">
        <v>111</v>
      </c>
      <c r="BD1012" t="s">
        <v>111</v>
      </c>
      <c r="BE1012" t="s">
        <v>111</v>
      </c>
      <c r="BF1012" t="s">
        <v>111</v>
      </c>
      <c r="BG1012" t="s">
        <v>111</v>
      </c>
      <c r="BH1012" t="s">
        <v>111</v>
      </c>
      <c r="BI1012" t="s">
        <v>111</v>
      </c>
      <c r="BJ1012" t="s">
        <v>111</v>
      </c>
      <c r="BK1012" t="s">
        <v>111</v>
      </c>
      <c r="BL1012" t="s">
        <v>111</v>
      </c>
      <c r="BM1012" t="s">
        <v>111</v>
      </c>
      <c r="BN1012" t="s">
        <v>111</v>
      </c>
      <c r="BO1012" t="s">
        <v>111</v>
      </c>
      <c r="BP1012" t="s">
        <v>111</v>
      </c>
      <c r="BQ1012" t="s">
        <v>111</v>
      </c>
      <c r="BR1012" t="s">
        <v>111</v>
      </c>
      <c r="BS1012" t="s">
        <v>111</v>
      </c>
      <c r="BT1012" t="s">
        <v>111</v>
      </c>
      <c r="BU1012" t="s">
        <v>111</v>
      </c>
      <c r="BV1012" t="s">
        <v>111</v>
      </c>
      <c r="BW1012" t="s">
        <v>111</v>
      </c>
      <c r="BX1012" t="s">
        <v>111</v>
      </c>
      <c r="BY1012" t="s">
        <v>111</v>
      </c>
      <c r="BZ1012" t="s">
        <v>111</v>
      </c>
      <c r="CA1012" t="s">
        <v>111</v>
      </c>
      <c r="CB1012" t="s">
        <v>111</v>
      </c>
      <c r="CC1012" t="s">
        <v>111</v>
      </c>
      <c r="CD1012" t="s">
        <v>111</v>
      </c>
      <c r="CE1012" t="s">
        <v>111</v>
      </c>
      <c r="CF1012" t="s">
        <v>111</v>
      </c>
      <c r="CG1012" t="s">
        <v>111</v>
      </c>
      <c r="CH1012" t="s">
        <v>111</v>
      </c>
      <c r="CI1012" t="s">
        <v>111</v>
      </c>
      <c r="CJ1012" t="s">
        <v>111</v>
      </c>
      <c r="CK1012" t="s">
        <v>111</v>
      </c>
      <c r="CL1012" t="s">
        <v>153</v>
      </c>
      <c r="CM1012" t="s">
        <v>198</v>
      </c>
      <c r="CN1012" t="s">
        <v>113</v>
      </c>
      <c r="CO1012" t="s">
        <v>111</v>
      </c>
      <c r="CP1012" t="s">
        <v>433</v>
      </c>
      <c r="CQ1012">
        <v>0</v>
      </c>
      <c r="CR1012">
        <v>0</v>
      </c>
      <c r="CS1012">
        <v>0</v>
      </c>
      <c r="CT1012" t="s">
        <v>168</v>
      </c>
      <c r="CU1012">
        <v>0</v>
      </c>
      <c r="CV1012" t="s">
        <v>111</v>
      </c>
      <c r="CW1012" t="s">
        <v>111</v>
      </c>
      <c r="CX1012" t="s">
        <v>111</v>
      </c>
      <c r="CY1012">
        <v>0</v>
      </c>
      <c r="CZ1012" t="s">
        <v>111</v>
      </c>
      <c r="DA1012" t="s">
        <v>111</v>
      </c>
      <c r="DB1012" t="s">
        <v>111</v>
      </c>
      <c r="DC1012" t="s">
        <v>111</v>
      </c>
    </row>
    <row r="1013" spans="1:107">
      <c r="A1013">
        <v>668</v>
      </c>
      <c r="B1013" t="s">
        <v>162</v>
      </c>
      <c r="C1013" t="s">
        <v>267</v>
      </c>
      <c r="D1013" t="s">
        <v>3208</v>
      </c>
      <c r="E1013" t="s">
        <v>3209</v>
      </c>
      <c r="F1013" t="s">
        <v>125</v>
      </c>
      <c r="G1013" t="s">
        <v>416</v>
      </c>
      <c r="H1013">
        <v>0.95</v>
      </c>
      <c r="I1013">
        <v>42</v>
      </c>
      <c r="J1013">
        <v>0</v>
      </c>
      <c r="K1013">
        <v>0</v>
      </c>
      <c r="L1013" t="s">
        <v>112</v>
      </c>
      <c r="M1013" t="s">
        <v>138</v>
      </c>
      <c r="N1013">
        <v>0</v>
      </c>
      <c r="O1013">
        <v>0</v>
      </c>
      <c r="P1013" t="s">
        <v>138</v>
      </c>
      <c r="Q1013">
        <v>30</v>
      </c>
      <c r="R1013">
        <v>0</v>
      </c>
      <c r="S1013">
        <v>0</v>
      </c>
      <c r="T1013">
        <v>0</v>
      </c>
      <c r="U1013" t="s">
        <v>153</v>
      </c>
      <c r="V1013">
        <v>25</v>
      </c>
      <c r="W1013">
        <v>0</v>
      </c>
      <c r="X1013">
        <v>8</v>
      </c>
      <c r="Y1013">
        <v>0</v>
      </c>
      <c r="Z1013" t="s">
        <v>111</v>
      </c>
      <c r="AA1013">
        <v>0</v>
      </c>
      <c r="AB1013" t="s">
        <v>111</v>
      </c>
      <c r="AC1013">
        <v>0</v>
      </c>
      <c r="AD1013" t="s">
        <v>111</v>
      </c>
      <c r="AE1013">
        <v>0</v>
      </c>
      <c r="AF1013">
        <v>0</v>
      </c>
      <c r="AG1013" t="s">
        <v>111</v>
      </c>
      <c r="AH1013" t="s">
        <v>111</v>
      </c>
      <c r="AI1013" t="s">
        <v>111</v>
      </c>
      <c r="AJ1013" t="s">
        <v>111</v>
      </c>
      <c r="AK1013" t="s">
        <v>111</v>
      </c>
      <c r="AL1013" t="s">
        <v>111</v>
      </c>
      <c r="AM1013">
        <v>0</v>
      </c>
      <c r="AN1013">
        <v>0</v>
      </c>
      <c r="AO1013">
        <v>0</v>
      </c>
      <c r="AP1013" t="s">
        <v>111</v>
      </c>
      <c r="AQ1013" t="s">
        <v>111</v>
      </c>
      <c r="AR1013" t="s">
        <v>111</v>
      </c>
      <c r="AS1013" t="s">
        <v>111</v>
      </c>
      <c r="AT1013" t="s">
        <v>111</v>
      </c>
      <c r="AU1013" t="s">
        <v>111</v>
      </c>
      <c r="AV1013" t="s">
        <v>111</v>
      </c>
      <c r="AW1013" t="s">
        <v>111</v>
      </c>
      <c r="AX1013" t="s">
        <v>111</v>
      </c>
      <c r="AY1013" t="s">
        <v>111</v>
      </c>
      <c r="AZ1013" t="s">
        <v>111</v>
      </c>
      <c r="BA1013" t="s">
        <v>111</v>
      </c>
      <c r="BB1013" t="s">
        <v>111</v>
      </c>
      <c r="BC1013" t="s">
        <v>111</v>
      </c>
      <c r="BD1013" t="s">
        <v>111</v>
      </c>
      <c r="BE1013" t="s">
        <v>111</v>
      </c>
      <c r="BF1013" t="s">
        <v>111</v>
      </c>
      <c r="BG1013" t="s">
        <v>111</v>
      </c>
      <c r="BH1013" t="s">
        <v>111</v>
      </c>
      <c r="BI1013" t="s">
        <v>111</v>
      </c>
      <c r="BJ1013" t="s">
        <v>111</v>
      </c>
      <c r="BK1013" t="s">
        <v>111</v>
      </c>
      <c r="BL1013" t="s">
        <v>111</v>
      </c>
      <c r="BM1013" t="s">
        <v>111</v>
      </c>
      <c r="BN1013" t="s">
        <v>111</v>
      </c>
      <c r="BO1013" t="s">
        <v>111</v>
      </c>
      <c r="BP1013" t="s">
        <v>111</v>
      </c>
      <c r="BQ1013" t="s">
        <v>111</v>
      </c>
      <c r="BR1013" t="s">
        <v>111</v>
      </c>
      <c r="BS1013" t="s">
        <v>111</v>
      </c>
      <c r="BT1013" t="s">
        <v>111</v>
      </c>
      <c r="BU1013" t="s">
        <v>111</v>
      </c>
      <c r="BV1013" t="s">
        <v>111</v>
      </c>
      <c r="BW1013" t="s">
        <v>111</v>
      </c>
      <c r="BX1013" t="s">
        <v>111</v>
      </c>
      <c r="BY1013" t="s">
        <v>111</v>
      </c>
      <c r="BZ1013" t="s">
        <v>111</v>
      </c>
      <c r="CA1013" t="s">
        <v>111</v>
      </c>
      <c r="CB1013" t="s">
        <v>111</v>
      </c>
      <c r="CC1013" t="s">
        <v>111</v>
      </c>
      <c r="CD1013" t="s">
        <v>111</v>
      </c>
      <c r="CE1013" t="s">
        <v>111</v>
      </c>
      <c r="CF1013" t="s">
        <v>111</v>
      </c>
      <c r="CG1013" t="s">
        <v>111</v>
      </c>
      <c r="CH1013" t="s">
        <v>111</v>
      </c>
      <c r="CI1013" t="s">
        <v>111</v>
      </c>
      <c r="CJ1013" t="s">
        <v>111</v>
      </c>
      <c r="CK1013" t="s">
        <v>111</v>
      </c>
      <c r="CL1013" t="s">
        <v>111</v>
      </c>
      <c r="CM1013">
        <v>450</v>
      </c>
      <c r="CN1013" t="s">
        <v>113</v>
      </c>
      <c r="CO1013" t="s">
        <v>111</v>
      </c>
      <c r="CP1013" t="s">
        <v>111</v>
      </c>
      <c r="CQ1013">
        <v>0</v>
      </c>
      <c r="CR1013">
        <v>0</v>
      </c>
      <c r="CS1013">
        <v>0</v>
      </c>
      <c r="CT1013" t="s">
        <v>168</v>
      </c>
      <c r="CU1013">
        <v>0</v>
      </c>
      <c r="CV1013" t="s">
        <v>111</v>
      </c>
      <c r="CW1013" t="s">
        <v>111</v>
      </c>
      <c r="CX1013" t="s">
        <v>111</v>
      </c>
      <c r="CY1013">
        <v>0</v>
      </c>
      <c r="CZ1013" t="s">
        <v>111</v>
      </c>
      <c r="DA1013" t="s">
        <v>111</v>
      </c>
      <c r="DB1013" t="s">
        <v>111</v>
      </c>
      <c r="DC1013" t="s">
        <v>111</v>
      </c>
    </row>
    <row r="1014" spans="1:107">
      <c r="A1014">
        <v>665</v>
      </c>
      <c r="B1014" t="s">
        <v>162</v>
      </c>
      <c r="C1014" t="s">
        <v>347</v>
      </c>
      <c r="D1014" t="s">
        <v>3210</v>
      </c>
      <c r="E1014" t="s">
        <v>3211</v>
      </c>
      <c r="F1014" t="s">
        <v>192</v>
      </c>
      <c r="G1014" t="s">
        <v>416</v>
      </c>
      <c r="H1014">
        <v>1.8</v>
      </c>
      <c r="I1014">
        <v>30</v>
      </c>
      <c r="J1014">
        <v>0</v>
      </c>
      <c r="K1014">
        <v>0</v>
      </c>
      <c r="L1014" t="s">
        <v>112</v>
      </c>
      <c r="M1014" t="s">
        <v>138</v>
      </c>
      <c r="N1014">
        <v>0</v>
      </c>
      <c r="O1014">
        <v>0</v>
      </c>
      <c r="P1014" t="s">
        <v>138</v>
      </c>
      <c r="Q1014">
        <v>20</v>
      </c>
      <c r="R1014">
        <v>0</v>
      </c>
      <c r="S1014">
        <v>0</v>
      </c>
      <c r="T1014">
        <v>0</v>
      </c>
      <c r="U1014" t="s">
        <v>153</v>
      </c>
      <c r="V1014">
        <v>0</v>
      </c>
      <c r="W1014">
        <v>25</v>
      </c>
      <c r="X1014">
        <v>5</v>
      </c>
      <c r="Y1014">
        <v>0</v>
      </c>
      <c r="Z1014" t="s">
        <v>111</v>
      </c>
      <c r="AA1014">
        <v>0</v>
      </c>
      <c r="AB1014" t="s">
        <v>111</v>
      </c>
      <c r="AC1014">
        <v>0</v>
      </c>
      <c r="AD1014" t="s">
        <v>111</v>
      </c>
      <c r="AE1014">
        <v>0</v>
      </c>
      <c r="AF1014">
        <v>0</v>
      </c>
      <c r="AG1014" t="s">
        <v>111</v>
      </c>
      <c r="AH1014" t="s">
        <v>111</v>
      </c>
      <c r="AI1014" t="s">
        <v>111</v>
      </c>
      <c r="AJ1014" t="s">
        <v>111</v>
      </c>
      <c r="AK1014" t="s">
        <v>111</v>
      </c>
      <c r="AL1014" t="s">
        <v>111</v>
      </c>
      <c r="AM1014">
        <v>0</v>
      </c>
      <c r="AN1014">
        <v>0</v>
      </c>
      <c r="AO1014">
        <v>0</v>
      </c>
      <c r="AP1014" t="s">
        <v>111</v>
      </c>
      <c r="AQ1014" t="s">
        <v>111</v>
      </c>
      <c r="AR1014" t="s">
        <v>111</v>
      </c>
      <c r="AS1014" t="s">
        <v>111</v>
      </c>
      <c r="AT1014" t="s">
        <v>111</v>
      </c>
      <c r="AU1014" t="s">
        <v>111</v>
      </c>
      <c r="AV1014" t="s">
        <v>111</v>
      </c>
      <c r="AW1014" t="s">
        <v>111</v>
      </c>
      <c r="AX1014" t="s">
        <v>111</v>
      </c>
      <c r="AY1014" t="s">
        <v>111</v>
      </c>
      <c r="AZ1014" t="s">
        <v>111</v>
      </c>
      <c r="BA1014" t="s">
        <v>111</v>
      </c>
      <c r="BB1014" t="s">
        <v>111</v>
      </c>
      <c r="BC1014" t="s">
        <v>111</v>
      </c>
      <c r="BD1014" t="s">
        <v>111</v>
      </c>
      <c r="BE1014" t="s">
        <v>111</v>
      </c>
      <c r="BF1014" t="s">
        <v>111</v>
      </c>
      <c r="BG1014" t="s">
        <v>111</v>
      </c>
      <c r="BH1014" t="s">
        <v>111</v>
      </c>
      <c r="BI1014" t="s">
        <v>111</v>
      </c>
      <c r="BJ1014" t="s">
        <v>111</v>
      </c>
      <c r="BK1014" t="s">
        <v>111</v>
      </c>
      <c r="BL1014" t="s">
        <v>111</v>
      </c>
      <c r="BM1014" t="s">
        <v>111</v>
      </c>
      <c r="BN1014" t="s">
        <v>111</v>
      </c>
      <c r="BO1014" t="s">
        <v>111</v>
      </c>
      <c r="BP1014" t="s">
        <v>111</v>
      </c>
      <c r="BQ1014" t="s">
        <v>111</v>
      </c>
      <c r="BR1014" t="s">
        <v>111</v>
      </c>
      <c r="BS1014" t="s">
        <v>111</v>
      </c>
      <c r="BT1014" t="s">
        <v>111</v>
      </c>
      <c r="BU1014" t="s">
        <v>111</v>
      </c>
      <c r="BV1014" t="s">
        <v>111</v>
      </c>
      <c r="BW1014" t="s">
        <v>111</v>
      </c>
      <c r="BX1014" t="s">
        <v>111</v>
      </c>
      <c r="BY1014" t="s">
        <v>111</v>
      </c>
      <c r="BZ1014" t="s">
        <v>111</v>
      </c>
      <c r="CA1014" t="s">
        <v>111</v>
      </c>
      <c r="CB1014" t="s">
        <v>111</v>
      </c>
      <c r="CC1014" t="s">
        <v>111</v>
      </c>
      <c r="CD1014" t="s">
        <v>111</v>
      </c>
      <c r="CE1014" t="s">
        <v>111</v>
      </c>
      <c r="CF1014" t="s">
        <v>111</v>
      </c>
      <c r="CG1014" t="s">
        <v>111</v>
      </c>
      <c r="CH1014" t="s">
        <v>111</v>
      </c>
      <c r="CI1014" t="s">
        <v>111</v>
      </c>
      <c r="CJ1014" t="s">
        <v>111</v>
      </c>
      <c r="CK1014" t="s">
        <v>111</v>
      </c>
      <c r="CL1014" t="s">
        <v>111</v>
      </c>
      <c r="CM1014" t="s">
        <v>198</v>
      </c>
      <c r="CN1014" t="s">
        <v>113</v>
      </c>
      <c r="CO1014" t="s">
        <v>111</v>
      </c>
      <c r="CP1014" t="s">
        <v>111</v>
      </c>
      <c r="CQ1014">
        <v>0</v>
      </c>
      <c r="CR1014">
        <v>0</v>
      </c>
      <c r="CS1014">
        <v>0</v>
      </c>
      <c r="CT1014" t="s">
        <v>168</v>
      </c>
      <c r="CU1014">
        <v>0</v>
      </c>
      <c r="CV1014" t="s">
        <v>111</v>
      </c>
      <c r="CW1014" t="s">
        <v>111</v>
      </c>
      <c r="CX1014" t="s">
        <v>111</v>
      </c>
      <c r="CY1014">
        <v>0</v>
      </c>
      <c r="CZ1014" t="s">
        <v>111</v>
      </c>
      <c r="DA1014" t="s">
        <v>111</v>
      </c>
      <c r="DB1014" t="s">
        <v>111</v>
      </c>
      <c r="DC1014" t="s">
        <v>111</v>
      </c>
    </row>
    <row r="1015" spans="1:107">
      <c r="A1015">
        <v>663</v>
      </c>
      <c r="B1015" t="s">
        <v>162</v>
      </c>
      <c r="C1015" s="2">
        <v>42776490</v>
      </c>
      <c r="D1015" t="s">
        <v>1133</v>
      </c>
      <c r="E1015" t="s">
        <v>3185</v>
      </c>
      <c r="F1015" t="s">
        <v>1135</v>
      </c>
      <c r="G1015" t="s">
        <v>416</v>
      </c>
      <c r="H1015">
        <v>2.5</v>
      </c>
      <c r="I1015">
        <v>45</v>
      </c>
      <c r="J1015">
        <v>0</v>
      </c>
      <c r="K1015">
        <v>0</v>
      </c>
      <c r="L1015" t="s">
        <v>112</v>
      </c>
      <c r="M1015" t="s">
        <v>118</v>
      </c>
      <c r="N1015">
        <v>40</v>
      </c>
      <c r="O1015">
        <v>2</v>
      </c>
      <c r="P1015" t="s">
        <v>138</v>
      </c>
      <c r="Q1015">
        <v>30</v>
      </c>
      <c r="R1015">
        <v>0</v>
      </c>
      <c r="S1015">
        <v>0</v>
      </c>
      <c r="T1015">
        <v>0</v>
      </c>
      <c r="U1015" t="s">
        <v>1353</v>
      </c>
      <c r="V1015">
        <v>0</v>
      </c>
      <c r="W1015">
        <v>0</v>
      </c>
      <c r="X1015">
        <v>1</v>
      </c>
      <c r="Y1015">
        <v>0</v>
      </c>
      <c r="Z1015" t="s">
        <v>111</v>
      </c>
      <c r="AA1015">
        <v>0</v>
      </c>
      <c r="AB1015" t="s">
        <v>111</v>
      </c>
      <c r="AC1015">
        <v>0</v>
      </c>
      <c r="AD1015" t="s">
        <v>416</v>
      </c>
      <c r="AE1015">
        <v>2</v>
      </c>
      <c r="AF1015">
        <v>2</v>
      </c>
      <c r="AG1015">
        <v>40</v>
      </c>
      <c r="AH1015" t="s">
        <v>111</v>
      </c>
      <c r="AI1015">
        <v>40</v>
      </c>
      <c r="AJ1015" t="s">
        <v>111</v>
      </c>
      <c r="AK1015" t="s">
        <v>111</v>
      </c>
      <c r="AL1015" t="s">
        <v>111</v>
      </c>
      <c r="AM1015">
        <v>0</v>
      </c>
      <c r="AN1015">
        <v>0</v>
      </c>
      <c r="AO1015">
        <v>0</v>
      </c>
      <c r="AP1015" t="s">
        <v>111</v>
      </c>
      <c r="AQ1015" t="s">
        <v>111</v>
      </c>
      <c r="AR1015" t="s">
        <v>111</v>
      </c>
      <c r="AS1015" t="s">
        <v>111</v>
      </c>
      <c r="AT1015" t="s">
        <v>111</v>
      </c>
      <c r="AU1015" t="s">
        <v>111</v>
      </c>
      <c r="AV1015" t="s">
        <v>111</v>
      </c>
      <c r="AW1015" t="s">
        <v>111</v>
      </c>
      <c r="AX1015" t="s">
        <v>111</v>
      </c>
      <c r="AY1015" t="s">
        <v>111</v>
      </c>
      <c r="AZ1015" t="s">
        <v>111</v>
      </c>
      <c r="BA1015" t="s">
        <v>111</v>
      </c>
      <c r="BB1015" t="s">
        <v>111</v>
      </c>
      <c r="BC1015" t="s">
        <v>111</v>
      </c>
      <c r="BD1015" t="s">
        <v>111</v>
      </c>
      <c r="BE1015" t="s">
        <v>111</v>
      </c>
      <c r="BF1015" t="s">
        <v>111</v>
      </c>
      <c r="BG1015" t="s">
        <v>111</v>
      </c>
      <c r="BH1015" t="s">
        <v>111</v>
      </c>
      <c r="BI1015" t="s">
        <v>111</v>
      </c>
      <c r="BJ1015" t="s">
        <v>111</v>
      </c>
      <c r="BK1015" t="s">
        <v>111</v>
      </c>
      <c r="BL1015" t="s">
        <v>111</v>
      </c>
      <c r="BM1015" t="s">
        <v>111</v>
      </c>
      <c r="BN1015" t="s">
        <v>111</v>
      </c>
      <c r="BO1015" t="s">
        <v>111</v>
      </c>
      <c r="BP1015" t="s">
        <v>111</v>
      </c>
      <c r="BQ1015" t="s">
        <v>111</v>
      </c>
      <c r="BR1015" t="s">
        <v>111</v>
      </c>
      <c r="BS1015" t="s">
        <v>111</v>
      </c>
      <c r="BT1015" t="s">
        <v>111</v>
      </c>
      <c r="BU1015" t="s">
        <v>111</v>
      </c>
      <c r="BV1015" t="s">
        <v>111</v>
      </c>
      <c r="BW1015" t="s">
        <v>111</v>
      </c>
      <c r="BX1015" t="s">
        <v>111</v>
      </c>
      <c r="BY1015" t="s">
        <v>111</v>
      </c>
      <c r="BZ1015" t="s">
        <v>111</v>
      </c>
      <c r="CA1015" t="s">
        <v>111</v>
      </c>
      <c r="CB1015" t="s">
        <v>111</v>
      </c>
      <c r="CC1015" t="s">
        <v>111</v>
      </c>
      <c r="CD1015" t="s">
        <v>111</v>
      </c>
      <c r="CE1015" t="s">
        <v>111</v>
      </c>
      <c r="CF1015" t="s">
        <v>111</v>
      </c>
      <c r="CG1015" t="s">
        <v>111</v>
      </c>
      <c r="CH1015" t="s">
        <v>111</v>
      </c>
      <c r="CI1015" t="s">
        <v>111</v>
      </c>
      <c r="CJ1015" t="s">
        <v>111</v>
      </c>
      <c r="CK1015" t="s">
        <v>111</v>
      </c>
      <c r="CL1015" t="s">
        <v>153</v>
      </c>
      <c r="CM1015" t="s">
        <v>198</v>
      </c>
      <c r="CN1015" t="s">
        <v>113</v>
      </c>
      <c r="CO1015" t="s">
        <v>111</v>
      </c>
      <c r="CP1015" t="s">
        <v>433</v>
      </c>
      <c r="CQ1015">
        <v>40</v>
      </c>
      <c r="CR1015">
        <v>0</v>
      </c>
      <c r="CS1015">
        <v>0</v>
      </c>
      <c r="CT1015" t="s">
        <v>419</v>
      </c>
      <c r="CU1015">
        <v>0</v>
      </c>
      <c r="CV1015" t="s">
        <v>111</v>
      </c>
      <c r="CW1015" t="s">
        <v>111</v>
      </c>
      <c r="CX1015" t="s">
        <v>111</v>
      </c>
      <c r="CY1015">
        <v>0</v>
      </c>
      <c r="CZ1015" t="s">
        <v>111</v>
      </c>
      <c r="DA1015" t="s">
        <v>111</v>
      </c>
      <c r="DB1015" t="s">
        <v>240</v>
      </c>
      <c r="DC1015" s="1" t="s">
        <v>3018</v>
      </c>
    </row>
    <row r="1016" spans="1:107">
      <c r="A1016">
        <v>643</v>
      </c>
      <c r="B1016" t="s">
        <v>162</v>
      </c>
      <c r="C1016" t="s">
        <v>3007</v>
      </c>
      <c r="D1016" t="s">
        <v>3212</v>
      </c>
      <c r="E1016" t="s">
        <v>3213</v>
      </c>
      <c r="F1016" t="s">
        <v>370</v>
      </c>
      <c r="G1016" t="s">
        <v>416</v>
      </c>
      <c r="H1016">
        <v>2.8</v>
      </c>
      <c r="I1016">
        <v>57</v>
      </c>
      <c r="J1016">
        <v>0</v>
      </c>
      <c r="K1016">
        <v>0</v>
      </c>
      <c r="L1016" t="s">
        <v>112</v>
      </c>
      <c r="M1016" t="s">
        <v>118</v>
      </c>
      <c r="N1016">
        <v>40</v>
      </c>
      <c r="O1016">
        <v>2</v>
      </c>
      <c r="P1016" t="s">
        <v>138</v>
      </c>
      <c r="Q1016">
        <v>35</v>
      </c>
      <c r="R1016">
        <v>0</v>
      </c>
      <c r="S1016">
        <v>0</v>
      </c>
      <c r="T1016">
        <v>0</v>
      </c>
      <c r="U1016" t="s">
        <v>1353</v>
      </c>
      <c r="V1016">
        <v>25</v>
      </c>
      <c r="W1016">
        <v>0</v>
      </c>
      <c r="X1016">
        <v>8</v>
      </c>
      <c r="Y1016">
        <v>0</v>
      </c>
      <c r="Z1016" t="s">
        <v>288</v>
      </c>
      <c r="AA1016">
        <v>1.65</v>
      </c>
      <c r="AB1016" t="s">
        <v>111</v>
      </c>
      <c r="AC1016">
        <v>0</v>
      </c>
      <c r="AD1016" t="s">
        <v>416</v>
      </c>
      <c r="AE1016">
        <v>2</v>
      </c>
      <c r="AF1016">
        <v>2</v>
      </c>
      <c r="AG1016">
        <v>40</v>
      </c>
      <c r="AH1016" t="s">
        <v>111</v>
      </c>
      <c r="AI1016">
        <v>40</v>
      </c>
      <c r="AJ1016" t="s">
        <v>111</v>
      </c>
      <c r="AK1016" t="s">
        <v>111</v>
      </c>
      <c r="AL1016" t="s">
        <v>111</v>
      </c>
      <c r="AM1016">
        <v>0</v>
      </c>
      <c r="AN1016">
        <v>0</v>
      </c>
      <c r="AO1016">
        <v>0</v>
      </c>
      <c r="AP1016" t="s">
        <v>188</v>
      </c>
      <c r="AQ1016" t="s">
        <v>111</v>
      </c>
      <c r="AR1016" t="s">
        <v>111</v>
      </c>
      <c r="AS1016" t="s">
        <v>111</v>
      </c>
      <c r="AT1016" t="s">
        <v>271</v>
      </c>
      <c r="AU1016" t="s">
        <v>111</v>
      </c>
      <c r="AV1016" t="s">
        <v>111</v>
      </c>
      <c r="AW1016" t="s">
        <v>111</v>
      </c>
      <c r="AX1016" t="s">
        <v>111</v>
      </c>
      <c r="AY1016" t="s">
        <v>111</v>
      </c>
      <c r="AZ1016" t="s">
        <v>111</v>
      </c>
      <c r="BA1016" t="s">
        <v>111</v>
      </c>
      <c r="BB1016" t="s">
        <v>111</v>
      </c>
      <c r="BC1016" t="s">
        <v>111</v>
      </c>
      <c r="BD1016" t="s">
        <v>111</v>
      </c>
      <c r="BE1016" t="s">
        <v>111</v>
      </c>
      <c r="BF1016" t="s">
        <v>111</v>
      </c>
      <c r="BG1016" t="s">
        <v>111</v>
      </c>
      <c r="BH1016" t="s">
        <v>111</v>
      </c>
      <c r="BI1016" t="s">
        <v>111</v>
      </c>
      <c r="BJ1016" t="s">
        <v>111</v>
      </c>
      <c r="BK1016" t="s">
        <v>111</v>
      </c>
      <c r="BL1016" t="s">
        <v>111</v>
      </c>
      <c r="BM1016" t="s">
        <v>111</v>
      </c>
      <c r="BN1016" t="s">
        <v>111</v>
      </c>
      <c r="BO1016" t="s">
        <v>111</v>
      </c>
      <c r="BP1016" t="s">
        <v>111</v>
      </c>
      <c r="BQ1016" t="s">
        <v>111</v>
      </c>
      <c r="BR1016" t="s">
        <v>111</v>
      </c>
      <c r="BS1016" t="s">
        <v>111</v>
      </c>
      <c r="BT1016" t="s">
        <v>111</v>
      </c>
      <c r="BU1016" t="s">
        <v>111</v>
      </c>
      <c r="BV1016" t="s">
        <v>111</v>
      </c>
      <c r="BW1016" t="s">
        <v>111</v>
      </c>
      <c r="BX1016" t="s">
        <v>111</v>
      </c>
      <c r="BY1016" t="s">
        <v>111</v>
      </c>
      <c r="BZ1016" t="s">
        <v>111</v>
      </c>
      <c r="CA1016" t="s">
        <v>111</v>
      </c>
      <c r="CB1016" t="s">
        <v>111</v>
      </c>
      <c r="CC1016" t="s">
        <v>111</v>
      </c>
      <c r="CD1016" t="s">
        <v>111</v>
      </c>
      <c r="CE1016" t="s">
        <v>111</v>
      </c>
      <c r="CF1016" t="s">
        <v>111</v>
      </c>
      <c r="CG1016" t="s">
        <v>111</v>
      </c>
      <c r="CH1016" t="s">
        <v>111</v>
      </c>
      <c r="CI1016" t="s">
        <v>111</v>
      </c>
      <c r="CJ1016" t="s">
        <v>111</v>
      </c>
      <c r="CK1016" t="s">
        <v>111</v>
      </c>
      <c r="CL1016" t="s">
        <v>153</v>
      </c>
      <c r="CM1016" t="s">
        <v>198</v>
      </c>
      <c r="CN1016" t="s">
        <v>113</v>
      </c>
      <c r="CO1016" t="s">
        <v>1348</v>
      </c>
      <c r="CP1016" t="s">
        <v>433</v>
      </c>
      <c r="CQ1016">
        <v>0</v>
      </c>
      <c r="CR1016">
        <v>0</v>
      </c>
      <c r="CS1016">
        <v>0</v>
      </c>
      <c r="CT1016" t="s">
        <v>2850</v>
      </c>
      <c r="CU1016">
        <v>0</v>
      </c>
      <c r="CV1016" t="s">
        <v>111</v>
      </c>
      <c r="CW1016" t="s">
        <v>111</v>
      </c>
      <c r="CX1016" t="s">
        <v>111</v>
      </c>
      <c r="CY1016">
        <v>0</v>
      </c>
      <c r="CZ1016" t="s">
        <v>111</v>
      </c>
      <c r="DA1016" t="s">
        <v>111</v>
      </c>
      <c r="DB1016" t="s">
        <v>204</v>
      </c>
      <c r="DC1016" s="1" t="s">
        <v>1350</v>
      </c>
    </row>
    <row r="1017" spans="1:107">
      <c r="A1017">
        <v>415</v>
      </c>
      <c r="B1017" t="s">
        <v>162</v>
      </c>
      <c r="C1017" t="s">
        <v>336</v>
      </c>
      <c r="D1017" t="s">
        <v>337</v>
      </c>
      <c r="E1017" t="s">
        <v>3214</v>
      </c>
      <c r="F1017" t="s">
        <v>166</v>
      </c>
      <c r="G1017" t="s">
        <v>416</v>
      </c>
      <c r="H1017">
        <v>3</v>
      </c>
      <c r="I1017">
        <v>91</v>
      </c>
      <c r="J1017">
        <v>0</v>
      </c>
      <c r="K1017">
        <v>0</v>
      </c>
      <c r="L1017" t="s">
        <v>112</v>
      </c>
      <c r="M1017" t="s">
        <v>138</v>
      </c>
      <c r="N1017">
        <v>0</v>
      </c>
      <c r="O1017">
        <v>0</v>
      </c>
      <c r="P1017" t="s">
        <v>138</v>
      </c>
      <c r="Q1017">
        <v>40</v>
      </c>
      <c r="R1017">
        <v>0</v>
      </c>
      <c r="S1017">
        <v>0</v>
      </c>
      <c r="T1017">
        <v>0</v>
      </c>
      <c r="U1017" s="1" t="s">
        <v>3215</v>
      </c>
      <c r="V1017">
        <v>25</v>
      </c>
      <c r="W1017">
        <v>0</v>
      </c>
      <c r="X1017">
        <v>10</v>
      </c>
      <c r="Y1017">
        <v>0</v>
      </c>
      <c r="Z1017" t="s">
        <v>111</v>
      </c>
      <c r="AA1017">
        <v>0</v>
      </c>
      <c r="AB1017" t="s">
        <v>111</v>
      </c>
      <c r="AC1017">
        <v>0</v>
      </c>
      <c r="AD1017" t="s">
        <v>111</v>
      </c>
      <c r="AE1017">
        <v>0</v>
      </c>
      <c r="AF1017">
        <v>0</v>
      </c>
      <c r="AG1017" t="s">
        <v>111</v>
      </c>
      <c r="AH1017" t="s">
        <v>111</v>
      </c>
      <c r="AI1017" t="s">
        <v>111</v>
      </c>
      <c r="AJ1017" t="s">
        <v>111</v>
      </c>
      <c r="AK1017" t="s">
        <v>111</v>
      </c>
      <c r="AL1017" t="s">
        <v>111</v>
      </c>
      <c r="AM1017">
        <v>0</v>
      </c>
      <c r="AN1017">
        <v>0</v>
      </c>
      <c r="AO1017">
        <v>0</v>
      </c>
      <c r="AP1017" t="s">
        <v>111</v>
      </c>
      <c r="AQ1017" t="s">
        <v>111</v>
      </c>
      <c r="AR1017" t="s">
        <v>111</v>
      </c>
      <c r="AS1017" t="s">
        <v>111</v>
      </c>
      <c r="AT1017" t="s">
        <v>111</v>
      </c>
      <c r="AU1017" t="s">
        <v>111</v>
      </c>
      <c r="AV1017" t="s">
        <v>111</v>
      </c>
      <c r="AW1017" t="s">
        <v>111</v>
      </c>
      <c r="AX1017" t="s">
        <v>111</v>
      </c>
      <c r="AY1017" t="s">
        <v>111</v>
      </c>
      <c r="AZ1017" t="s">
        <v>111</v>
      </c>
      <c r="BA1017" t="s">
        <v>111</v>
      </c>
      <c r="BB1017" t="s">
        <v>111</v>
      </c>
      <c r="BC1017" t="s">
        <v>111</v>
      </c>
      <c r="BD1017" t="s">
        <v>111</v>
      </c>
      <c r="BE1017" t="s">
        <v>111</v>
      </c>
      <c r="BF1017" t="s">
        <v>111</v>
      </c>
      <c r="BG1017" t="s">
        <v>111</v>
      </c>
      <c r="BH1017" t="s">
        <v>111</v>
      </c>
      <c r="BI1017" t="s">
        <v>111</v>
      </c>
      <c r="BJ1017" t="s">
        <v>111</v>
      </c>
      <c r="BK1017" t="s">
        <v>111</v>
      </c>
      <c r="BL1017" t="s">
        <v>111</v>
      </c>
      <c r="BM1017" t="s">
        <v>111</v>
      </c>
      <c r="BN1017" t="s">
        <v>111</v>
      </c>
      <c r="BO1017" t="s">
        <v>111</v>
      </c>
      <c r="BP1017" t="s">
        <v>111</v>
      </c>
      <c r="BQ1017" t="s">
        <v>111</v>
      </c>
      <c r="BR1017" t="s">
        <v>111</v>
      </c>
      <c r="BS1017" t="s">
        <v>111</v>
      </c>
      <c r="BT1017" t="s">
        <v>111</v>
      </c>
      <c r="BU1017" t="s">
        <v>111</v>
      </c>
      <c r="BV1017" t="s">
        <v>111</v>
      </c>
      <c r="BW1017" t="s">
        <v>111</v>
      </c>
      <c r="BX1017" t="s">
        <v>111</v>
      </c>
      <c r="BY1017" t="s">
        <v>111</v>
      </c>
      <c r="BZ1017" t="s">
        <v>111</v>
      </c>
      <c r="CA1017" t="s">
        <v>111</v>
      </c>
      <c r="CB1017" t="s">
        <v>111</v>
      </c>
      <c r="CC1017" t="s">
        <v>111</v>
      </c>
      <c r="CD1017" t="s">
        <v>111</v>
      </c>
      <c r="CE1017" t="s">
        <v>111</v>
      </c>
      <c r="CF1017" t="s">
        <v>111</v>
      </c>
      <c r="CG1017" t="s">
        <v>111</v>
      </c>
      <c r="CH1017" t="s">
        <v>111</v>
      </c>
      <c r="CI1017" t="s">
        <v>111</v>
      </c>
      <c r="CJ1017" t="s">
        <v>111</v>
      </c>
      <c r="CK1017" t="s">
        <v>111</v>
      </c>
      <c r="CL1017" t="s">
        <v>111</v>
      </c>
      <c r="CM1017" t="s">
        <v>111</v>
      </c>
      <c r="CN1017" t="s">
        <v>111</v>
      </c>
      <c r="CO1017" t="s">
        <v>111</v>
      </c>
      <c r="CP1017" t="s">
        <v>111</v>
      </c>
      <c r="CQ1017">
        <v>0</v>
      </c>
      <c r="CR1017">
        <v>0</v>
      </c>
      <c r="CS1017">
        <v>0</v>
      </c>
      <c r="CT1017" t="s">
        <v>111</v>
      </c>
      <c r="CU1017">
        <v>0</v>
      </c>
      <c r="CV1017" t="s">
        <v>111</v>
      </c>
      <c r="CW1017" t="s">
        <v>111</v>
      </c>
      <c r="CX1017" t="s">
        <v>111</v>
      </c>
      <c r="CY1017">
        <v>0</v>
      </c>
      <c r="CZ1017" t="s">
        <v>111</v>
      </c>
      <c r="DA1017" t="s">
        <v>111</v>
      </c>
      <c r="DB1017" t="s">
        <v>111</v>
      </c>
      <c r="DC1017" t="s">
        <v>111</v>
      </c>
    </row>
    <row r="1018" spans="1:107">
      <c r="A1018">
        <v>480</v>
      </c>
      <c r="B1018" t="s">
        <v>162</v>
      </c>
      <c r="C1018" t="s">
        <v>2996</v>
      </c>
      <c r="D1018" t="s">
        <v>2997</v>
      </c>
      <c r="E1018" t="s">
        <v>3216</v>
      </c>
      <c r="F1018" t="s">
        <v>739</v>
      </c>
      <c r="G1018" t="s">
        <v>416</v>
      </c>
      <c r="H1018">
        <v>2.5</v>
      </c>
      <c r="I1018">
        <v>38</v>
      </c>
      <c r="J1018">
        <v>0</v>
      </c>
      <c r="K1018">
        <v>0</v>
      </c>
      <c r="L1018" t="s">
        <v>178</v>
      </c>
      <c r="M1018" t="s">
        <v>118</v>
      </c>
      <c r="N1018">
        <v>40</v>
      </c>
      <c r="O1018">
        <v>2</v>
      </c>
      <c r="P1018" t="s">
        <v>138</v>
      </c>
      <c r="Q1018">
        <v>35</v>
      </c>
      <c r="R1018">
        <v>0</v>
      </c>
      <c r="S1018">
        <v>0</v>
      </c>
      <c r="T1018">
        <v>0</v>
      </c>
      <c r="U1018" t="s">
        <v>1353</v>
      </c>
      <c r="V1018">
        <v>0</v>
      </c>
      <c r="W1018">
        <v>25</v>
      </c>
      <c r="X1018">
        <v>10</v>
      </c>
      <c r="Y1018">
        <v>0</v>
      </c>
      <c r="Z1018" t="s">
        <v>288</v>
      </c>
      <c r="AA1018">
        <v>1.75</v>
      </c>
      <c r="AB1018" t="s">
        <v>111</v>
      </c>
      <c r="AC1018">
        <v>0</v>
      </c>
      <c r="AD1018" t="s">
        <v>416</v>
      </c>
      <c r="AE1018">
        <v>2</v>
      </c>
      <c r="AF1018">
        <v>1</v>
      </c>
      <c r="AG1018">
        <v>25</v>
      </c>
      <c r="AH1018" t="s">
        <v>111</v>
      </c>
      <c r="AI1018">
        <v>25</v>
      </c>
      <c r="AJ1018" t="s">
        <v>111</v>
      </c>
      <c r="AK1018" t="s">
        <v>111</v>
      </c>
      <c r="AL1018" t="s">
        <v>111</v>
      </c>
      <c r="AM1018">
        <v>0</v>
      </c>
      <c r="AN1018">
        <v>0</v>
      </c>
      <c r="AO1018">
        <v>0</v>
      </c>
      <c r="AP1018" t="s">
        <v>772</v>
      </c>
      <c r="AQ1018" t="s">
        <v>111</v>
      </c>
      <c r="AR1018" t="s">
        <v>111</v>
      </c>
      <c r="AS1018" t="s">
        <v>111</v>
      </c>
      <c r="AT1018" t="s">
        <v>259</v>
      </c>
      <c r="AU1018" t="s">
        <v>111</v>
      </c>
      <c r="AV1018" t="s">
        <v>111</v>
      </c>
      <c r="AW1018" t="s">
        <v>111</v>
      </c>
      <c r="AX1018" t="s">
        <v>111</v>
      </c>
      <c r="AY1018" t="s">
        <v>111</v>
      </c>
      <c r="AZ1018" t="s">
        <v>111</v>
      </c>
      <c r="BA1018" t="s">
        <v>111</v>
      </c>
      <c r="BB1018" t="s">
        <v>111</v>
      </c>
      <c r="BC1018" t="s">
        <v>111</v>
      </c>
      <c r="BD1018" t="s">
        <v>111</v>
      </c>
      <c r="BE1018" t="s">
        <v>111</v>
      </c>
      <c r="BF1018" t="s">
        <v>111</v>
      </c>
      <c r="BG1018" t="s">
        <v>111</v>
      </c>
      <c r="BH1018" t="s">
        <v>111</v>
      </c>
      <c r="BI1018" t="s">
        <v>111</v>
      </c>
      <c r="BJ1018" t="s">
        <v>111</v>
      </c>
      <c r="BK1018" t="s">
        <v>111</v>
      </c>
      <c r="BL1018" t="s">
        <v>111</v>
      </c>
      <c r="BM1018" t="s">
        <v>111</v>
      </c>
      <c r="BN1018" t="s">
        <v>111</v>
      </c>
      <c r="BO1018" t="s">
        <v>111</v>
      </c>
      <c r="BP1018" t="s">
        <v>111</v>
      </c>
      <c r="BQ1018" t="s">
        <v>111</v>
      </c>
      <c r="BR1018" t="s">
        <v>111</v>
      </c>
      <c r="BS1018" t="s">
        <v>111</v>
      </c>
      <c r="BT1018" t="s">
        <v>111</v>
      </c>
      <c r="BU1018" t="s">
        <v>111</v>
      </c>
      <c r="BV1018" t="s">
        <v>111</v>
      </c>
      <c r="BW1018" t="s">
        <v>111</v>
      </c>
      <c r="BX1018" t="s">
        <v>111</v>
      </c>
      <c r="BY1018" t="s">
        <v>111</v>
      </c>
      <c r="BZ1018" t="s">
        <v>111</v>
      </c>
      <c r="CA1018" t="s">
        <v>111</v>
      </c>
      <c r="CB1018" t="s">
        <v>111</v>
      </c>
      <c r="CC1018" t="s">
        <v>111</v>
      </c>
      <c r="CD1018" t="s">
        <v>111</v>
      </c>
      <c r="CE1018" t="s">
        <v>111</v>
      </c>
      <c r="CF1018" t="s">
        <v>111</v>
      </c>
      <c r="CG1018" t="s">
        <v>111</v>
      </c>
      <c r="CH1018" t="s">
        <v>111</v>
      </c>
      <c r="CI1018" t="s">
        <v>111</v>
      </c>
      <c r="CJ1018" t="s">
        <v>111</v>
      </c>
      <c r="CK1018" t="s">
        <v>111</v>
      </c>
      <c r="CL1018" t="s">
        <v>153</v>
      </c>
      <c r="CM1018" t="s">
        <v>198</v>
      </c>
      <c r="CN1018" t="s">
        <v>113</v>
      </c>
      <c r="CO1018" t="s">
        <v>111</v>
      </c>
      <c r="CP1018" t="s">
        <v>433</v>
      </c>
      <c r="CQ1018">
        <v>0</v>
      </c>
      <c r="CR1018">
        <v>0</v>
      </c>
      <c r="CS1018">
        <v>0</v>
      </c>
      <c r="CT1018" t="s">
        <v>168</v>
      </c>
      <c r="CU1018">
        <v>0</v>
      </c>
      <c r="CV1018" t="s">
        <v>111</v>
      </c>
      <c r="CW1018" t="s">
        <v>111</v>
      </c>
      <c r="CX1018" t="s">
        <v>111</v>
      </c>
      <c r="CY1018">
        <v>0</v>
      </c>
      <c r="CZ1018" t="s">
        <v>111</v>
      </c>
      <c r="DA1018" t="s">
        <v>111</v>
      </c>
      <c r="DB1018" t="s">
        <v>111</v>
      </c>
      <c r="DC1018" t="s">
        <v>111</v>
      </c>
    </row>
    <row r="1019" spans="1:107">
      <c r="A1019">
        <v>660</v>
      </c>
      <c r="B1019" t="s">
        <v>162</v>
      </c>
      <c r="C1019" t="s">
        <v>3217</v>
      </c>
      <c r="D1019" t="s">
        <v>3218</v>
      </c>
      <c r="E1019" t="s">
        <v>3219</v>
      </c>
      <c r="F1019" t="s">
        <v>2945</v>
      </c>
      <c r="G1019" t="s">
        <v>416</v>
      </c>
      <c r="H1019">
        <v>4</v>
      </c>
      <c r="I1019">
        <v>9.5</v>
      </c>
      <c r="J1019">
        <v>0</v>
      </c>
      <c r="K1019">
        <v>0</v>
      </c>
      <c r="L1019" t="s">
        <v>112</v>
      </c>
      <c r="M1019" t="s">
        <v>118</v>
      </c>
      <c r="N1019">
        <v>40</v>
      </c>
      <c r="O1019">
        <v>1</v>
      </c>
      <c r="P1019" t="s">
        <v>138</v>
      </c>
      <c r="Q1019">
        <v>30</v>
      </c>
      <c r="R1019">
        <v>0</v>
      </c>
      <c r="S1019">
        <v>0</v>
      </c>
      <c r="T1019">
        <v>0</v>
      </c>
      <c r="U1019" t="s">
        <v>1353</v>
      </c>
      <c r="V1019">
        <v>0</v>
      </c>
      <c r="W1019">
        <v>25</v>
      </c>
      <c r="X1019">
        <v>12.5</v>
      </c>
      <c r="Y1019">
        <v>0</v>
      </c>
      <c r="Z1019" t="s">
        <v>288</v>
      </c>
      <c r="AA1019">
        <v>1.87</v>
      </c>
      <c r="AB1019" t="s">
        <v>111</v>
      </c>
      <c r="AC1019">
        <v>0</v>
      </c>
      <c r="AD1019" t="s">
        <v>416</v>
      </c>
      <c r="AE1019">
        <v>2</v>
      </c>
      <c r="AF1019">
        <v>1</v>
      </c>
      <c r="AG1019" t="s">
        <v>3220</v>
      </c>
      <c r="AH1019" t="s">
        <v>111</v>
      </c>
      <c r="AI1019" t="s">
        <v>3221</v>
      </c>
      <c r="AJ1019" t="s">
        <v>111</v>
      </c>
      <c r="AK1019" t="s">
        <v>111</v>
      </c>
      <c r="AL1019" t="s">
        <v>111</v>
      </c>
      <c r="AM1019">
        <v>0</v>
      </c>
      <c r="AN1019">
        <v>0</v>
      </c>
      <c r="AO1019">
        <v>0</v>
      </c>
      <c r="AP1019" t="s">
        <v>111</v>
      </c>
      <c r="AQ1019" t="s">
        <v>111</v>
      </c>
      <c r="AR1019" t="s">
        <v>111</v>
      </c>
      <c r="AS1019" t="s">
        <v>111</v>
      </c>
      <c r="AT1019" t="s">
        <v>111</v>
      </c>
      <c r="AU1019" t="s">
        <v>111</v>
      </c>
      <c r="AV1019" t="s">
        <v>111</v>
      </c>
      <c r="AW1019" t="s">
        <v>111</v>
      </c>
      <c r="AX1019" t="s">
        <v>111</v>
      </c>
      <c r="AY1019" t="s">
        <v>111</v>
      </c>
      <c r="AZ1019" t="s">
        <v>111</v>
      </c>
      <c r="BA1019" t="s">
        <v>111</v>
      </c>
      <c r="BB1019" t="s">
        <v>111</v>
      </c>
      <c r="BC1019" t="s">
        <v>111</v>
      </c>
      <c r="BD1019" t="s">
        <v>111</v>
      </c>
      <c r="BE1019" t="s">
        <v>111</v>
      </c>
      <c r="BF1019" t="s">
        <v>111</v>
      </c>
      <c r="BG1019" t="s">
        <v>111</v>
      </c>
      <c r="BH1019" t="s">
        <v>111</v>
      </c>
      <c r="BI1019" t="s">
        <v>111</v>
      </c>
      <c r="BJ1019" t="s">
        <v>111</v>
      </c>
      <c r="BK1019" t="s">
        <v>111</v>
      </c>
      <c r="BL1019" t="s">
        <v>111</v>
      </c>
      <c r="BM1019" t="s">
        <v>111</v>
      </c>
      <c r="BN1019" t="s">
        <v>111</v>
      </c>
      <c r="BO1019" t="s">
        <v>111</v>
      </c>
      <c r="BP1019" t="s">
        <v>111</v>
      </c>
      <c r="BQ1019" t="s">
        <v>111</v>
      </c>
      <c r="BR1019" t="s">
        <v>111</v>
      </c>
      <c r="BS1019" t="s">
        <v>111</v>
      </c>
      <c r="BT1019" t="s">
        <v>111</v>
      </c>
      <c r="BU1019" t="s">
        <v>111</v>
      </c>
      <c r="BV1019" t="s">
        <v>111</v>
      </c>
      <c r="BW1019" t="s">
        <v>111</v>
      </c>
      <c r="BX1019" t="s">
        <v>111</v>
      </c>
      <c r="BY1019" t="s">
        <v>111</v>
      </c>
      <c r="BZ1019" t="s">
        <v>111</v>
      </c>
      <c r="CA1019" t="s">
        <v>111</v>
      </c>
      <c r="CB1019" t="s">
        <v>111</v>
      </c>
      <c r="CC1019" t="s">
        <v>111</v>
      </c>
      <c r="CD1019" t="s">
        <v>111</v>
      </c>
      <c r="CE1019" t="s">
        <v>111</v>
      </c>
      <c r="CF1019" t="s">
        <v>111</v>
      </c>
      <c r="CG1019" t="s">
        <v>111</v>
      </c>
      <c r="CH1019" t="s">
        <v>111</v>
      </c>
      <c r="CI1019" t="s">
        <v>111</v>
      </c>
      <c r="CJ1019" t="s">
        <v>111</v>
      </c>
      <c r="CK1019" t="s">
        <v>111</v>
      </c>
      <c r="CL1019" t="s">
        <v>168</v>
      </c>
      <c r="CM1019" t="s">
        <v>111</v>
      </c>
      <c r="CN1019" t="s">
        <v>111</v>
      </c>
      <c r="CO1019" t="s">
        <v>111</v>
      </c>
      <c r="CP1019" t="s">
        <v>111</v>
      </c>
      <c r="CQ1019">
        <v>0</v>
      </c>
      <c r="CR1019">
        <v>0</v>
      </c>
      <c r="CS1019">
        <v>0</v>
      </c>
      <c r="CT1019" t="s">
        <v>111</v>
      </c>
      <c r="CU1019">
        <v>0</v>
      </c>
      <c r="CV1019" t="s">
        <v>111</v>
      </c>
      <c r="CW1019" t="s">
        <v>111</v>
      </c>
      <c r="CX1019" t="s">
        <v>111</v>
      </c>
      <c r="CY1019">
        <v>0</v>
      </c>
      <c r="CZ1019" t="s">
        <v>111</v>
      </c>
      <c r="DA1019" t="s">
        <v>111</v>
      </c>
      <c r="DB1019" t="s">
        <v>111</v>
      </c>
      <c r="DC1019" t="s">
        <v>111</v>
      </c>
    </row>
    <row r="1020" spans="1:107">
      <c r="A1020">
        <v>659</v>
      </c>
      <c r="B1020" t="s">
        <v>162</v>
      </c>
      <c r="C1020" t="s">
        <v>3217</v>
      </c>
      <c r="D1020" t="s">
        <v>3218</v>
      </c>
      <c r="E1020" t="s">
        <v>939</v>
      </c>
      <c r="F1020" t="s">
        <v>2945</v>
      </c>
      <c r="G1020" t="s">
        <v>416</v>
      </c>
      <c r="H1020">
        <v>4</v>
      </c>
      <c r="I1020">
        <v>9.5</v>
      </c>
      <c r="J1020">
        <v>0</v>
      </c>
      <c r="K1020">
        <v>0</v>
      </c>
      <c r="L1020" t="s">
        <v>112</v>
      </c>
      <c r="M1020" t="s">
        <v>118</v>
      </c>
      <c r="N1020">
        <v>40</v>
      </c>
      <c r="O1020">
        <v>1</v>
      </c>
      <c r="P1020" t="s">
        <v>138</v>
      </c>
      <c r="Q1020">
        <v>30</v>
      </c>
      <c r="R1020">
        <v>0</v>
      </c>
      <c r="S1020">
        <v>0</v>
      </c>
      <c r="T1020">
        <v>0</v>
      </c>
      <c r="U1020" t="s">
        <v>1353</v>
      </c>
      <c r="V1020">
        <v>0</v>
      </c>
      <c r="W1020">
        <v>25</v>
      </c>
      <c r="X1020">
        <v>12.5</v>
      </c>
      <c r="Y1020">
        <v>0</v>
      </c>
      <c r="Z1020" t="s">
        <v>288</v>
      </c>
      <c r="AA1020">
        <v>1.87</v>
      </c>
      <c r="AB1020" t="s">
        <v>111</v>
      </c>
      <c r="AC1020">
        <v>0</v>
      </c>
      <c r="AD1020" t="s">
        <v>416</v>
      </c>
      <c r="AE1020">
        <v>2</v>
      </c>
      <c r="AF1020">
        <v>1</v>
      </c>
      <c r="AG1020" t="s">
        <v>3220</v>
      </c>
      <c r="AH1020" t="s">
        <v>111</v>
      </c>
      <c r="AI1020" t="s">
        <v>3221</v>
      </c>
      <c r="AJ1020" t="s">
        <v>111</v>
      </c>
      <c r="AK1020" t="s">
        <v>111</v>
      </c>
      <c r="AL1020" t="s">
        <v>111</v>
      </c>
      <c r="AM1020">
        <v>0</v>
      </c>
      <c r="AN1020">
        <v>0</v>
      </c>
      <c r="AO1020">
        <v>0</v>
      </c>
      <c r="AP1020" t="s">
        <v>111</v>
      </c>
      <c r="AQ1020" t="s">
        <v>111</v>
      </c>
      <c r="AR1020" t="s">
        <v>111</v>
      </c>
      <c r="AS1020" t="s">
        <v>111</v>
      </c>
      <c r="AT1020" t="s">
        <v>111</v>
      </c>
      <c r="AU1020" t="s">
        <v>111</v>
      </c>
      <c r="AV1020" t="s">
        <v>111</v>
      </c>
      <c r="AW1020" t="s">
        <v>111</v>
      </c>
      <c r="AX1020" t="s">
        <v>111</v>
      </c>
      <c r="AY1020" t="s">
        <v>111</v>
      </c>
      <c r="AZ1020" t="s">
        <v>111</v>
      </c>
      <c r="BA1020" t="s">
        <v>111</v>
      </c>
      <c r="BB1020" t="s">
        <v>111</v>
      </c>
      <c r="BC1020" t="s">
        <v>111</v>
      </c>
      <c r="BD1020" t="s">
        <v>111</v>
      </c>
      <c r="BE1020" t="s">
        <v>111</v>
      </c>
      <c r="BF1020" t="s">
        <v>111</v>
      </c>
      <c r="BG1020" t="s">
        <v>111</v>
      </c>
      <c r="BH1020" t="s">
        <v>111</v>
      </c>
      <c r="BI1020" t="s">
        <v>111</v>
      </c>
      <c r="BJ1020" t="s">
        <v>111</v>
      </c>
      <c r="BK1020" t="s">
        <v>111</v>
      </c>
      <c r="BL1020" t="s">
        <v>111</v>
      </c>
      <c r="BM1020" t="s">
        <v>111</v>
      </c>
      <c r="BN1020" t="s">
        <v>111</v>
      </c>
      <c r="BO1020" t="s">
        <v>111</v>
      </c>
      <c r="BP1020" t="s">
        <v>111</v>
      </c>
      <c r="BQ1020" t="s">
        <v>111</v>
      </c>
      <c r="BR1020" t="s">
        <v>111</v>
      </c>
      <c r="BS1020" t="s">
        <v>111</v>
      </c>
      <c r="BT1020" t="s">
        <v>111</v>
      </c>
      <c r="BU1020" t="s">
        <v>111</v>
      </c>
      <c r="BV1020" t="s">
        <v>111</v>
      </c>
      <c r="BW1020" t="s">
        <v>111</v>
      </c>
      <c r="BX1020" t="s">
        <v>111</v>
      </c>
      <c r="BY1020" t="s">
        <v>111</v>
      </c>
      <c r="BZ1020" t="s">
        <v>111</v>
      </c>
      <c r="CA1020" t="s">
        <v>111</v>
      </c>
      <c r="CB1020" t="s">
        <v>111</v>
      </c>
      <c r="CC1020" t="s">
        <v>111</v>
      </c>
      <c r="CD1020" t="s">
        <v>111</v>
      </c>
      <c r="CE1020" t="s">
        <v>111</v>
      </c>
      <c r="CF1020" t="s">
        <v>111</v>
      </c>
      <c r="CG1020" t="s">
        <v>111</v>
      </c>
      <c r="CH1020" t="s">
        <v>111</v>
      </c>
      <c r="CI1020" t="s">
        <v>111</v>
      </c>
      <c r="CJ1020" t="s">
        <v>111</v>
      </c>
      <c r="CK1020" t="s">
        <v>111</v>
      </c>
      <c r="CL1020" t="s">
        <v>168</v>
      </c>
      <c r="CM1020" t="s">
        <v>111</v>
      </c>
      <c r="CN1020" t="s">
        <v>111</v>
      </c>
      <c r="CO1020" t="s">
        <v>111</v>
      </c>
      <c r="CP1020" t="s">
        <v>111</v>
      </c>
      <c r="CQ1020">
        <v>0</v>
      </c>
      <c r="CR1020">
        <v>0</v>
      </c>
      <c r="CS1020">
        <v>0</v>
      </c>
      <c r="CT1020" t="s">
        <v>111</v>
      </c>
      <c r="CU1020">
        <v>0</v>
      </c>
      <c r="CV1020" t="s">
        <v>111</v>
      </c>
      <c r="CW1020" t="s">
        <v>111</v>
      </c>
      <c r="CX1020" t="s">
        <v>111</v>
      </c>
      <c r="CY1020">
        <v>0</v>
      </c>
      <c r="CZ1020" t="s">
        <v>111</v>
      </c>
      <c r="DA1020" t="s">
        <v>111</v>
      </c>
      <c r="DB1020" t="s">
        <v>111</v>
      </c>
      <c r="DC1020" t="s">
        <v>111</v>
      </c>
    </row>
    <row r="1021" spans="1:107">
      <c r="A1021">
        <v>658</v>
      </c>
      <c r="B1021" t="s">
        <v>162</v>
      </c>
      <c r="C1021" t="s">
        <v>3217</v>
      </c>
      <c r="D1021" t="s">
        <v>3218</v>
      </c>
      <c r="E1021" t="s">
        <v>3222</v>
      </c>
      <c r="F1021" t="s">
        <v>2945</v>
      </c>
      <c r="G1021" t="s">
        <v>416</v>
      </c>
      <c r="H1021">
        <v>4</v>
      </c>
      <c r="I1021">
        <v>9.5</v>
      </c>
      <c r="J1021">
        <v>0</v>
      </c>
      <c r="K1021">
        <v>0</v>
      </c>
      <c r="L1021" t="s">
        <v>112</v>
      </c>
      <c r="M1021" t="s">
        <v>118</v>
      </c>
      <c r="N1021">
        <v>40</v>
      </c>
      <c r="O1021">
        <v>1</v>
      </c>
      <c r="P1021" t="s">
        <v>138</v>
      </c>
      <c r="Q1021">
        <v>30</v>
      </c>
      <c r="R1021">
        <v>0</v>
      </c>
      <c r="S1021">
        <v>0</v>
      </c>
      <c r="T1021">
        <v>0</v>
      </c>
      <c r="U1021" t="s">
        <v>1353</v>
      </c>
      <c r="V1021">
        <v>0</v>
      </c>
      <c r="W1021">
        <v>25</v>
      </c>
      <c r="X1021">
        <v>12.5</v>
      </c>
      <c r="Y1021">
        <v>0</v>
      </c>
      <c r="Z1021" t="s">
        <v>288</v>
      </c>
      <c r="AA1021">
        <v>1.87</v>
      </c>
      <c r="AB1021" t="s">
        <v>111</v>
      </c>
      <c r="AC1021">
        <v>0</v>
      </c>
      <c r="AD1021" t="s">
        <v>416</v>
      </c>
      <c r="AE1021">
        <v>2</v>
      </c>
      <c r="AF1021">
        <v>1</v>
      </c>
      <c r="AG1021" t="s">
        <v>3220</v>
      </c>
      <c r="AH1021" t="s">
        <v>111</v>
      </c>
      <c r="AI1021" t="s">
        <v>3221</v>
      </c>
      <c r="AJ1021" t="s">
        <v>111</v>
      </c>
      <c r="AK1021" t="s">
        <v>111</v>
      </c>
      <c r="AL1021" t="s">
        <v>111</v>
      </c>
      <c r="AM1021">
        <v>0</v>
      </c>
      <c r="AN1021">
        <v>0</v>
      </c>
      <c r="AO1021">
        <v>0</v>
      </c>
      <c r="AP1021" t="s">
        <v>111</v>
      </c>
      <c r="AQ1021" t="s">
        <v>111</v>
      </c>
      <c r="AR1021" t="s">
        <v>111</v>
      </c>
      <c r="AS1021" t="s">
        <v>111</v>
      </c>
      <c r="AT1021" t="s">
        <v>111</v>
      </c>
      <c r="AU1021" t="s">
        <v>111</v>
      </c>
      <c r="AV1021" t="s">
        <v>111</v>
      </c>
      <c r="AW1021" t="s">
        <v>111</v>
      </c>
      <c r="AX1021" t="s">
        <v>111</v>
      </c>
      <c r="AY1021" t="s">
        <v>111</v>
      </c>
      <c r="AZ1021" t="s">
        <v>111</v>
      </c>
      <c r="BA1021" t="s">
        <v>111</v>
      </c>
      <c r="BB1021" t="s">
        <v>111</v>
      </c>
      <c r="BC1021" t="s">
        <v>111</v>
      </c>
      <c r="BD1021" t="s">
        <v>111</v>
      </c>
      <c r="BE1021" t="s">
        <v>111</v>
      </c>
      <c r="BF1021" t="s">
        <v>111</v>
      </c>
      <c r="BG1021" t="s">
        <v>111</v>
      </c>
      <c r="BH1021" t="s">
        <v>111</v>
      </c>
      <c r="BI1021" t="s">
        <v>111</v>
      </c>
      <c r="BJ1021" t="s">
        <v>111</v>
      </c>
      <c r="BK1021" t="s">
        <v>111</v>
      </c>
      <c r="BL1021" t="s">
        <v>111</v>
      </c>
      <c r="BM1021" t="s">
        <v>111</v>
      </c>
      <c r="BN1021" t="s">
        <v>111</v>
      </c>
      <c r="BO1021" t="s">
        <v>111</v>
      </c>
      <c r="BP1021" t="s">
        <v>111</v>
      </c>
      <c r="BQ1021" t="s">
        <v>111</v>
      </c>
      <c r="BR1021" t="s">
        <v>111</v>
      </c>
      <c r="BS1021" t="s">
        <v>111</v>
      </c>
      <c r="BT1021" t="s">
        <v>111</v>
      </c>
      <c r="BU1021" t="s">
        <v>111</v>
      </c>
      <c r="BV1021" t="s">
        <v>111</v>
      </c>
      <c r="BW1021" t="s">
        <v>111</v>
      </c>
      <c r="BX1021" t="s">
        <v>111</v>
      </c>
      <c r="BY1021" t="s">
        <v>111</v>
      </c>
      <c r="BZ1021" t="s">
        <v>111</v>
      </c>
      <c r="CA1021" t="s">
        <v>111</v>
      </c>
      <c r="CB1021" t="s">
        <v>111</v>
      </c>
      <c r="CC1021" t="s">
        <v>111</v>
      </c>
      <c r="CD1021" t="s">
        <v>111</v>
      </c>
      <c r="CE1021" t="s">
        <v>111</v>
      </c>
      <c r="CF1021" t="s">
        <v>111</v>
      </c>
      <c r="CG1021" t="s">
        <v>111</v>
      </c>
      <c r="CH1021" t="s">
        <v>111</v>
      </c>
      <c r="CI1021" t="s">
        <v>111</v>
      </c>
      <c r="CJ1021" t="s">
        <v>111</v>
      </c>
      <c r="CK1021" t="s">
        <v>111</v>
      </c>
      <c r="CL1021" t="s">
        <v>168</v>
      </c>
      <c r="CM1021" t="s">
        <v>111</v>
      </c>
      <c r="CN1021" t="s">
        <v>111</v>
      </c>
      <c r="CO1021" t="s">
        <v>111</v>
      </c>
      <c r="CP1021" t="s">
        <v>111</v>
      </c>
      <c r="CQ1021">
        <v>0</v>
      </c>
      <c r="CR1021">
        <v>0</v>
      </c>
      <c r="CS1021">
        <v>0</v>
      </c>
      <c r="CT1021" t="s">
        <v>111</v>
      </c>
      <c r="CU1021">
        <v>0</v>
      </c>
      <c r="CV1021" t="s">
        <v>111</v>
      </c>
      <c r="CW1021" t="s">
        <v>111</v>
      </c>
      <c r="CX1021" t="s">
        <v>111</v>
      </c>
      <c r="CY1021">
        <v>0</v>
      </c>
      <c r="CZ1021" t="s">
        <v>111</v>
      </c>
      <c r="DA1021" t="s">
        <v>111</v>
      </c>
      <c r="DB1021" t="s">
        <v>111</v>
      </c>
      <c r="DC1021" t="s">
        <v>111</v>
      </c>
    </row>
    <row r="1022" spans="1:107">
      <c r="A1022">
        <v>657</v>
      </c>
      <c r="B1022" t="s">
        <v>162</v>
      </c>
      <c r="C1022" t="s">
        <v>3217</v>
      </c>
      <c r="D1022" t="s">
        <v>3223</v>
      </c>
      <c r="E1022" t="s">
        <v>3224</v>
      </c>
      <c r="F1022" t="s">
        <v>157</v>
      </c>
      <c r="G1022" t="s">
        <v>416</v>
      </c>
      <c r="H1022">
        <v>4</v>
      </c>
      <c r="I1022">
        <v>9.5</v>
      </c>
      <c r="J1022">
        <v>0</v>
      </c>
      <c r="K1022">
        <v>0</v>
      </c>
      <c r="L1022" t="s">
        <v>112</v>
      </c>
      <c r="M1022" t="s">
        <v>138</v>
      </c>
      <c r="N1022">
        <v>0</v>
      </c>
      <c r="O1022">
        <v>0</v>
      </c>
      <c r="P1022" t="s">
        <v>138</v>
      </c>
      <c r="Q1022">
        <v>20</v>
      </c>
      <c r="R1022">
        <v>0</v>
      </c>
      <c r="S1022">
        <v>0</v>
      </c>
      <c r="T1022">
        <v>0</v>
      </c>
      <c r="U1022" t="s">
        <v>168</v>
      </c>
      <c r="V1022">
        <v>0</v>
      </c>
      <c r="W1022">
        <v>25</v>
      </c>
      <c r="X1022">
        <v>8</v>
      </c>
      <c r="Y1022">
        <v>0</v>
      </c>
      <c r="Z1022" t="s">
        <v>288</v>
      </c>
      <c r="AA1022">
        <v>1.65</v>
      </c>
      <c r="AB1022" t="s">
        <v>111</v>
      </c>
      <c r="AC1022">
        <v>0</v>
      </c>
      <c r="AD1022" t="s">
        <v>111</v>
      </c>
      <c r="AE1022">
        <v>0</v>
      </c>
      <c r="AF1022">
        <v>0</v>
      </c>
      <c r="AG1022" t="s">
        <v>111</v>
      </c>
      <c r="AH1022" t="s">
        <v>111</v>
      </c>
      <c r="AI1022" t="s">
        <v>111</v>
      </c>
      <c r="AJ1022" t="s">
        <v>111</v>
      </c>
      <c r="AK1022" t="s">
        <v>111</v>
      </c>
      <c r="AL1022" t="s">
        <v>111</v>
      </c>
      <c r="AM1022">
        <v>0</v>
      </c>
      <c r="AN1022">
        <v>0</v>
      </c>
      <c r="AO1022">
        <v>0</v>
      </c>
      <c r="AP1022" t="s">
        <v>111</v>
      </c>
      <c r="AQ1022" t="s">
        <v>111</v>
      </c>
      <c r="AR1022" t="s">
        <v>111</v>
      </c>
      <c r="AS1022" t="s">
        <v>111</v>
      </c>
      <c r="AT1022" t="s">
        <v>111</v>
      </c>
      <c r="AU1022" t="s">
        <v>111</v>
      </c>
      <c r="AV1022" t="s">
        <v>111</v>
      </c>
      <c r="AW1022" t="s">
        <v>111</v>
      </c>
      <c r="AX1022" t="s">
        <v>111</v>
      </c>
      <c r="AY1022" t="s">
        <v>111</v>
      </c>
      <c r="AZ1022" t="s">
        <v>111</v>
      </c>
      <c r="BA1022" t="s">
        <v>111</v>
      </c>
      <c r="BB1022" t="s">
        <v>111</v>
      </c>
      <c r="BC1022" t="s">
        <v>111</v>
      </c>
      <c r="BD1022" t="s">
        <v>111</v>
      </c>
      <c r="BE1022" t="s">
        <v>111</v>
      </c>
      <c r="BF1022" t="s">
        <v>111</v>
      </c>
      <c r="BG1022" t="s">
        <v>111</v>
      </c>
      <c r="BH1022" t="s">
        <v>111</v>
      </c>
      <c r="BI1022" t="s">
        <v>111</v>
      </c>
      <c r="BJ1022" t="s">
        <v>111</v>
      </c>
      <c r="BK1022" t="s">
        <v>111</v>
      </c>
      <c r="BL1022" t="s">
        <v>111</v>
      </c>
      <c r="BM1022" t="s">
        <v>111</v>
      </c>
      <c r="BN1022" t="s">
        <v>111</v>
      </c>
      <c r="BO1022" t="s">
        <v>111</v>
      </c>
      <c r="BP1022" t="s">
        <v>111</v>
      </c>
      <c r="BQ1022" t="s">
        <v>111</v>
      </c>
      <c r="BR1022" t="s">
        <v>111</v>
      </c>
      <c r="BS1022" t="s">
        <v>111</v>
      </c>
      <c r="BT1022" t="s">
        <v>111</v>
      </c>
      <c r="BU1022" t="s">
        <v>111</v>
      </c>
      <c r="BV1022" t="s">
        <v>111</v>
      </c>
      <c r="BW1022" t="s">
        <v>111</v>
      </c>
      <c r="BX1022" t="s">
        <v>111</v>
      </c>
      <c r="BY1022" t="s">
        <v>111</v>
      </c>
      <c r="BZ1022" t="s">
        <v>111</v>
      </c>
      <c r="CA1022" t="s">
        <v>111</v>
      </c>
      <c r="CB1022" t="s">
        <v>111</v>
      </c>
      <c r="CC1022" t="s">
        <v>111</v>
      </c>
      <c r="CD1022" t="s">
        <v>111</v>
      </c>
      <c r="CE1022" t="s">
        <v>111</v>
      </c>
      <c r="CF1022" t="s">
        <v>111</v>
      </c>
      <c r="CG1022" t="s">
        <v>111</v>
      </c>
      <c r="CH1022" t="s">
        <v>111</v>
      </c>
      <c r="CI1022" t="s">
        <v>111</v>
      </c>
      <c r="CJ1022" t="s">
        <v>111</v>
      </c>
      <c r="CK1022" t="s">
        <v>111</v>
      </c>
      <c r="CL1022" t="s">
        <v>111</v>
      </c>
      <c r="CM1022" t="s">
        <v>111</v>
      </c>
      <c r="CN1022" t="s">
        <v>111</v>
      </c>
      <c r="CO1022" t="s">
        <v>111</v>
      </c>
      <c r="CP1022" t="s">
        <v>111</v>
      </c>
      <c r="CQ1022">
        <v>0</v>
      </c>
      <c r="CR1022">
        <v>0</v>
      </c>
      <c r="CS1022">
        <v>0</v>
      </c>
      <c r="CT1022" t="s">
        <v>111</v>
      </c>
      <c r="CU1022">
        <v>0</v>
      </c>
      <c r="CV1022" t="s">
        <v>111</v>
      </c>
      <c r="CW1022" t="s">
        <v>111</v>
      </c>
      <c r="CX1022" t="s">
        <v>111</v>
      </c>
      <c r="CY1022">
        <v>0</v>
      </c>
      <c r="CZ1022" t="s">
        <v>111</v>
      </c>
      <c r="DA1022" t="s">
        <v>111</v>
      </c>
      <c r="DB1022" t="s">
        <v>111</v>
      </c>
      <c r="DC1022" t="s">
        <v>111</v>
      </c>
    </row>
    <row r="1023" spans="1:107">
      <c r="A1023">
        <v>143</v>
      </c>
      <c r="B1023" t="s">
        <v>162</v>
      </c>
      <c r="C1023" t="s">
        <v>638</v>
      </c>
      <c r="D1023" t="s">
        <v>3225</v>
      </c>
      <c r="E1023" t="s">
        <v>3226</v>
      </c>
      <c r="F1023" t="s">
        <v>192</v>
      </c>
      <c r="G1023" t="s">
        <v>416</v>
      </c>
      <c r="H1023">
        <v>2.9</v>
      </c>
      <c r="I1023">
        <v>37</v>
      </c>
      <c r="J1023">
        <v>0</v>
      </c>
      <c r="K1023">
        <v>0</v>
      </c>
      <c r="L1023" t="s">
        <v>112</v>
      </c>
      <c r="M1023" t="s">
        <v>138</v>
      </c>
      <c r="N1023">
        <v>0</v>
      </c>
      <c r="O1023">
        <v>0</v>
      </c>
      <c r="P1023" t="s">
        <v>138</v>
      </c>
      <c r="Q1023">
        <v>35</v>
      </c>
      <c r="R1023">
        <v>0</v>
      </c>
      <c r="S1023">
        <v>0</v>
      </c>
      <c r="T1023">
        <v>0</v>
      </c>
      <c r="U1023" t="s">
        <v>153</v>
      </c>
      <c r="V1023">
        <v>0</v>
      </c>
      <c r="W1023">
        <v>25</v>
      </c>
      <c r="X1023">
        <v>8</v>
      </c>
      <c r="Y1023">
        <v>0</v>
      </c>
      <c r="Z1023" t="s">
        <v>111</v>
      </c>
      <c r="AA1023">
        <v>0</v>
      </c>
      <c r="AB1023" t="s">
        <v>111</v>
      </c>
      <c r="AC1023">
        <v>0</v>
      </c>
      <c r="AD1023" t="s">
        <v>111</v>
      </c>
      <c r="AE1023">
        <v>0</v>
      </c>
      <c r="AF1023">
        <v>0</v>
      </c>
      <c r="AG1023" t="s">
        <v>111</v>
      </c>
      <c r="AH1023" t="s">
        <v>111</v>
      </c>
      <c r="AI1023" t="s">
        <v>111</v>
      </c>
      <c r="AJ1023" t="s">
        <v>111</v>
      </c>
      <c r="AK1023" t="s">
        <v>111</v>
      </c>
      <c r="AL1023" t="s">
        <v>111</v>
      </c>
      <c r="AM1023">
        <v>0</v>
      </c>
      <c r="AN1023">
        <v>0</v>
      </c>
      <c r="AO1023">
        <v>0</v>
      </c>
      <c r="AP1023" t="s">
        <v>111</v>
      </c>
      <c r="AQ1023" t="s">
        <v>111</v>
      </c>
      <c r="AR1023" t="s">
        <v>111</v>
      </c>
      <c r="AS1023" t="s">
        <v>111</v>
      </c>
      <c r="AT1023" t="s">
        <v>111</v>
      </c>
      <c r="AU1023" t="s">
        <v>111</v>
      </c>
      <c r="AV1023" t="s">
        <v>111</v>
      </c>
      <c r="AW1023" t="s">
        <v>111</v>
      </c>
      <c r="AX1023" t="s">
        <v>111</v>
      </c>
      <c r="AY1023" t="s">
        <v>111</v>
      </c>
      <c r="AZ1023" t="s">
        <v>111</v>
      </c>
      <c r="BA1023" t="s">
        <v>111</v>
      </c>
      <c r="BB1023" t="s">
        <v>111</v>
      </c>
      <c r="BC1023" t="s">
        <v>111</v>
      </c>
      <c r="BD1023" t="s">
        <v>111</v>
      </c>
      <c r="BE1023" t="s">
        <v>111</v>
      </c>
      <c r="BF1023" t="s">
        <v>111</v>
      </c>
      <c r="BG1023" t="s">
        <v>111</v>
      </c>
      <c r="BH1023" t="s">
        <v>111</v>
      </c>
      <c r="BI1023" t="s">
        <v>111</v>
      </c>
      <c r="BJ1023" t="s">
        <v>111</v>
      </c>
      <c r="BK1023" t="s">
        <v>111</v>
      </c>
      <c r="BL1023" t="s">
        <v>111</v>
      </c>
      <c r="BM1023" t="s">
        <v>111</v>
      </c>
      <c r="BN1023" t="s">
        <v>111</v>
      </c>
      <c r="BO1023" t="s">
        <v>111</v>
      </c>
      <c r="BP1023" t="s">
        <v>111</v>
      </c>
      <c r="BQ1023" t="s">
        <v>111</v>
      </c>
      <c r="BR1023" t="s">
        <v>111</v>
      </c>
      <c r="BS1023" t="s">
        <v>111</v>
      </c>
      <c r="BT1023" t="s">
        <v>111</v>
      </c>
      <c r="BU1023" t="s">
        <v>111</v>
      </c>
      <c r="BV1023" t="s">
        <v>111</v>
      </c>
      <c r="BW1023" t="s">
        <v>111</v>
      </c>
      <c r="BX1023" t="s">
        <v>111</v>
      </c>
      <c r="BY1023" t="s">
        <v>111</v>
      </c>
      <c r="BZ1023" t="s">
        <v>111</v>
      </c>
      <c r="CA1023" t="s">
        <v>111</v>
      </c>
      <c r="CB1023" t="s">
        <v>111</v>
      </c>
      <c r="CC1023" t="s">
        <v>111</v>
      </c>
      <c r="CD1023" t="s">
        <v>111</v>
      </c>
      <c r="CE1023" t="s">
        <v>111</v>
      </c>
      <c r="CF1023" t="s">
        <v>111</v>
      </c>
      <c r="CG1023" t="s">
        <v>111</v>
      </c>
      <c r="CH1023" t="s">
        <v>111</v>
      </c>
      <c r="CI1023" t="s">
        <v>111</v>
      </c>
      <c r="CJ1023" t="s">
        <v>111</v>
      </c>
      <c r="CK1023" t="s">
        <v>111</v>
      </c>
      <c r="CL1023" t="s">
        <v>111</v>
      </c>
      <c r="CM1023" t="s">
        <v>198</v>
      </c>
      <c r="CN1023" t="s">
        <v>128</v>
      </c>
      <c r="CO1023" t="s">
        <v>111</v>
      </c>
      <c r="CP1023" t="s">
        <v>111</v>
      </c>
      <c r="CQ1023">
        <v>0</v>
      </c>
      <c r="CR1023">
        <v>0</v>
      </c>
      <c r="CS1023">
        <v>0</v>
      </c>
      <c r="CT1023" s="1" t="s">
        <v>3227</v>
      </c>
      <c r="CU1023">
        <v>0</v>
      </c>
      <c r="CV1023" t="s">
        <v>111</v>
      </c>
      <c r="CW1023" t="s">
        <v>111</v>
      </c>
      <c r="CX1023" t="s">
        <v>111</v>
      </c>
      <c r="CY1023">
        <v>0</v>
      </c>
      <c r="CZ1023" t="s">
        <v>111</v>
      </c>
      <c r="DA1023" t="s">
        <v>111</v>
      </c>
      <c r="DB1023" t="s">
        <v>111</v>
      </c>
      <c r="DC1023" t="s">
        <v>111</v>
      </c>
    </row>
    <row r="1024" spans="1:107">
      <c r="A1024">
        <v>144</v>
      </c>
      <c r="B1024" t="s">
        <v>162</v>
      </c>
      <c r="C1024" t="s">
        <v>638</v>
      </c>
      <c r="D1024" t="s">
        <v>3228</v>
      </c>
      <c r="E1024" t="s">
        <v>3229</v>
      </c>
      <c r="F1024" t="s">
        <v>192</v>
      </c>
      <c r="G1024" t="s">
        <v>416</v>
      </c>
      <c r="H1024">
        <v>3.8</v>
      </c>
      <c r="I1024">
        <v>40</v>
      </c>
      <c r="J1024">
        <v>0</v>
      </c>
      <c r="K1024">
        <v>0</v>
      </c>
      <c r="L1024" t="s">
        <v>112</v>
      </c>
      <c r="M1024" t="s">
        <v>138</v>
      </c>
      <c r="N1024">
        <v>0</v>
      </c>
      <c r="O1024">
        <v>0</v>
      </c>
      <c r="P1024" t="s">
        <v>138</v>
      </c>
      <c r="Q1024">
        <v>35</v>
      </c>
      <c r="R1024">
        <v>0</v>
      </c>
      <c r="S1024">
        <v>0</v>
      </c>
      <c r="T1024">
        <v>0</v>
      </c>
      <c r="U1024" t="s">
        <v>153</v>
      </c>
      <c r="V1024">
        <v>0</v>
      </c>
      <c r="W1024">
        <v>25</v>
      </c>
      <c r="X1024">
        <v>8</v>
      </c>
      <c r="Y1024">
        <v>0</v>
      </c>
      <c r="Z1024" t="s">
        <v>111</v>
      </c>
      <c r="AA1024">
        <v>0</v>
      </c>
      <c r="AB1024" t="s">
        <v>111</v>
      </c>
      <c r="AC1024">
        <v>0</v>
      </c>
      <c r="AD1024" t="s">
        <v>111</v>
      </c>
      <c r="AE1024">
        <v>0</v>
      </c>
      <c r="AF1024">
        <v>0</v>
      </c>
      <c r="AG1024" t="s">
        <v>111</v>
      </c>
      <c r="AH1024" t="s">
        <v>111</v>
      </c>
      <c r="AI1024" t="s">
        <v>111</v>
      </c>
      <c r="AJ1024" t="s">
        <v>111</v>
      </c>
      <c r="AK1024" t="s">
        <v>111</v>
      </c>
      <c r="AL1024" t="s">
        <v>111</v>
      </c>
      <c r="AM1024">
        <v>0</v>
      </c>
      <c r="AN1024">
        <v>0</v>
      </c>
      <c r="AO1024">
        <v>0</v>
      </c>
      <c r="AP1024" t="s">
        <v>111</v>
      </c>
      <c r="AQ1024" t="s">
        <v>111</v>
      </c>
      <c r="AR1024" t="s">
        <v>111</v>
      </c>
      <c r="AS1024" t="s">
        <v>111</v>
      </c>
      <c r="AT1024" t="s">
        <v>111</v>
      </c>
      <c r="AU1024" t="s">
        <v>111</v>
      </c>
      <c r="AV1024" t="s">
        <v>111</v>
      </c>
      <c r="AW1024" t="s">
        <v>111</v>
      </c>
      <c r="AX1024" t="s">
        <v>111</v>
      </c>
      <c r="AY1024" t="s">
        <v>111</v>
      </c>
      <c r="AZ1024" t="s">
        <v>111</v>
      </c>
      <c r="BA1024" t="s">
        <v>111</v>
      </c>
      <c r="BB1024" t="s">
        <v>111</v>
      </c>
      <c r="BC1024" t="s">
        <v>111</v>
      </c>
      <c r="BD1024" t="s">
        <v>111</v>
      </c>
      <c r="BE1024" t="s">
        <v>111</v>
      </c>
      <c r="BF1024" t="s">
        <v>111</v>
      </c>
      <c r="BG1024" t="s">
        <v>111</v>
      </c>
      <c r="BH1024" t="s">
        <v>111</v>
      </c>
      <c r="BI1024" t="s">
        <v>111</v>
      </c>
      <c r="BJ1024" t="s">
        <v>111</v>
      </c>
      <c r="BK1024" t="s">
        <v>111</v>
      </c>
      <c r="BL1024" t="s">
        <v>111</v>
      </c>
      <c r="BM1024" t="s">
        <v>111</v>
      </c>
      <c r="BN1024" t="s">
        <v>111</v>
      </c>
      <c r="BO1024" t="s">
        <v>111</v>
      </c>
      <c r="BP1024" t="s">
        <v>111</v>
      </c>
      <c r="BQ1024" t="s">
        <v>111</v>
      </c>
      <c r="BR1024" t="s">
        <v>111</v>
      </c>
      <c r="BS1024" t="s">
        <v>111</v>
      </c>
      <c r="BT1024" t="s">
        <v>111</v>
      </c>
      <c r="BU1024" t="s">
        <v>111</v>
      </c>
      <c r="BV1024" t="s">
        <v>111</v>
      </c>
      <c r="BW1024" t="s">
        <v>111</v>
      </c>
      <c r="BX1024" t="s">
        <v>111</v>
      </c>
      <c r="BY1024" t="s">
        <v>111</v>
      </c>
      <c r="BZ1024" t="s">
        <v>111</v>
      </c>
      <c r="CA1024" t="s">
        <v>111</v>
      </c>
      <c r="CB1024" t="s">
        <v>111</v>
      </c>
      <c r="CC1024" t="s">
        <v>111</v>
      </c>
      <c r="CD1024" t="s">
        <v>111</v>
      </c>
      <c r="CE1024" t="s">
        <v>111</v>
      </c>
      <c r="CF1024" t="s">
        <v>111</v>
      </c>
      <c r="CG1024" t="s">
        <v>111</v>
      </c>
      <c r="CH1024" t="s">
        <v>111</v>
      </c>
      <c r="CI1024" t="s">
        <v>111</v>
      </c>
      <c r="CJ1024" t="s">
        <v>111</v>
      </c>
      <c r="CK1024" t="s">
        <v>111</v>
      </c>
      <c r="CL1024" t="s">
        <v>111</v>
      </c>
      <c r="CM1024" t="s">
        <v>198</v>
      </c>
      <c r="CN1024" t="s">
        <v>128</v>
      </c>
      <c r="CO1024" t="s">
        <v>111</v>
      </c>
      <c r="CP1024" t="s">
        <v>111</v>
      </c>
      <c r="CQ1024">
        <v>0</v>
      </c>
      <c r="CR1024">
        <v>0</v>
      </c>
      <c r="CS1024">
        <v>0</v>
      </c>
      <c r="CT1024" s="1" t="s">
        <v>3227</v>
      </c>
      <c r="CU1024">
        <v>0</v>
      </c>
      <c r="CV1024" t="s">
        <v>111</v>
      </c>
      <c r="CW1024" t="s">
        <v>111</v>
      </c>
      <c r="CX1024" t="s">
        <v>111</v>
      </c>
      <c r="CY1024">
        <v>0</v>
      </c>
      <c r="CZ1024" t="s">
        <v>111</v>
      </c>
      <c r="DA1024" t="s">
        <v>111</v>
      </c>
      <c r="DB1024" t="s">
        <v>111</v>
      </c>
      <c r="DC1024" t="s">
        <v>111</v>
      </c>
    </row>
    <row r="1025" spans="1:107">
      <c r="A1025">
        <v>862</v>
      </c>
      <c r="B1025" t="s">
        <v>107</v>
      </c>
      <c r="C1025" t="s">
        <v>928</v>
      </c>
      <c r="D1025" t="s">
        <v>3230</v>
      </c>
      <c r="E1025" t="s">
        <v>3231</v>
      </c>
      <c r="F1025" t="s">
        <v>192</v>
      </c>
      <c r="G1025" t="s">
        <v>416</v>
      </c>
      <c r="H1025">
        <v>1.2</v>
      </c>
      <c r="I1025">
        <v>46</v>
      </c>
      <c r="J1025">
        <v>0</v>
      </c>
      <c r="K1025">
        <v>0</v>
      </c>
      <c r="L1025" t="s">
        <v>112</v>
      </c>
      <c r="M1025" t="s">
        <v>138</v>
      </c>
      <c r="N1025">
        <v>0</v>
      </c>
      <c r="O1025">
        <v>0</v>
      </c>
      <c r="P1025" t="s">
        <v>138</v>
      </c>
      <c r="Q1025">
        <v>20</v>
      </c>
      <c r="R1025">
        <v>0</v>
      </c>
      <c r="S1025">
        <v>0</v>
      </c>
      <c r="T1025">
        <v>0</v>
      </c>
      <c r="U1025" t="s">
        <v>296</v>
      </c>
      <c r="V1025">
        <v>0</v>
      </c>
      <c r="W1025">
        <v>25</v>
      </c>
      <c r="X1025">
        <v>8</v>
      </c>
      <c r="Y1025">
        <v>0</v>
      </c>
      <c r="Z1025" t="s">
        <v>111</v>
      </c>
      <c r="AA1025">
        <v>0</v>
      </c>
      <c r="AB1025" t="s">
        <v>111</v>
      </c>
      <c r="AC1025">
        <v>0</v>
      </c>
      <c r="AD1025" t="s">
        <v>111</v>
      </c>
      <c r="AE1025">
        <v>0</v>
      </c>
      <c r="AF1025">
        <v>0</v>
      </c>
      <c r="AG1025" t="s">
        <v>111</v>
      </c>
      <c r="AH1025" t="s">
        <v>111</v>
      </c>
      <c r="AI1025" t="s">
        <v>111</v>
      </c>
      <c r="AJ1025" t="s">
        <v>111</v>
      </c>
      <c r="AK1025" t="s">
        <v>111</v>
      </c>
      <c r="AL1025" t="s">
        <v>111</v>
      </c>
      <c r="AM1025">
        <v>0</v>
      </c>
      <c r="AN1025">
        <v>0</v>
      </c>
      <c r="AO1025">
        <v>0</v>
      </c>
      <c r="AP1025" t="s">
        <v>111</v>
      </c>
      <c r="AQ1025" t="s">
        <v>111</v>
      </c>
      <c r="AR1025" t="s">
        <v>111</v>
      </c>
      <c r="AS1025" t="s">
        <v>111</v>
      </c>
      <c r="AT1025" t="s">
        <v>111</v>
      </c>
      <c r="AU1025" t="s">
        <v>111</v>
      </c>
      <c r="AV1025" t="s">
        <v>111</v>
      </c>
      <c r="AW1025" t="s">
        <v>111</v>
      </c>
      <c r="AX1025" t="s">
        <v>111</v>
      </c>
      <c r="AY1025" t="s">
        <v>111</v>
      </c>
      <c r="AZ1025" t="s">
        <v>111</v>
      </c>
      <c r="BA1025" t="s">
        <v>111</v>
      </c>
      <c r="BB1025" t="s">
        <v>111</v>
      </c>
      <c r="BC1025" t="s">
        <v>111</v>
      </c>
      <c r="BD1025" t="s">
        <v>111</v>
      </c>
      <c r="BE1025" t="s">
        <v>111</v>
      </c>
      <c r="BF1025" t="s">
        <v>111</v>
      </c>
      <c r="BG1025" t="s">
        <v>111</v>
      </c>
      <c r="BH1025" t="s">
        <v>111</v>
      </c>
      <c r="BI1025" t="s">
        <v>111</v>
      </c>
      <c r="BJ1025" t="s">
        <v>111</v>
      </c>
      <c r="BK1025" t="s">
        <v>111</v>
      </c>
      <c r="BL1025" t="s">
        <v>111</v>
      </c>
      <c r="BM1025" t="s">
        <v>111</v>
      </c>
      <c r="BN1025" t="s">
        <v>111</v>
      </c>
      <c r="BO1025" t="s">
        <v>111</v>
      </c>
      <c r="BP1025" t="s">
        <v>111</v>
      </c>
      <c r="BQ1025" t="s">
        <v>111</v>
      </c>
      <c r="BR1025" t="s">
        <v>111</v>
      </c>
      <c r="BS1025" t="s">
        <v>111</v>
      </c>
      <c r="BT1025" t="s">
        <v>111</v>
      </c>
      <c r="BU1025" t="s">
        <v>111</v>
      </c>
      <c r="BV1025" t="s">
        <v>111</v>
      </c>
      <c r="BW1025" t="s">
        <v>111</v>
      </c>
      <c r="BX1025" t="s">
        <v>111</v>
      </c>
      <c r="BY1025" t="s">
        <v>111</v>
      </c>
      <c r="BZ1025" t="s">
        <v>111</v>
      </c>
      <c r="CA1025" t="s">
        <v>111</v>
      </c>
      <c r="CB1025" t="s">
        <v>111</v>
      </c>
      <c r="CC1025" t="s">
        <v>111</v>
      </c>
      <c r="CD1025" t="s">
        <v>111</v>
      </c>
      <c r="CE1025" t="s">
        <v>111</v>
      </c>
      <c r="CF1025" t="s">
        <v>111</v>
      </c>
      <c r="CG1025" t="s">
        <v>111</v>
      </c>
      <c r="CH1025" t="s">
        <v>111</v>
      </c>
      <c r="CI1025" t="s">
        <v>111</v>
      </c>
      <c r="CJ1025" t="s">
        <v>111</v>
      </c>
      <c r="CK1025" t="s">
        <v>111</v>
      </c>
      <c r="CL1025" t="s">
        <v>111</v>
      </c>
      <c r="CM1025" t="s">
        <v>198</v>
      </c>
      <c r="CN1025" t="s">
        <v>113</v>
      </c>
      <c r="CO1025" t="s">
        <v>637</v>
      </c>
      <c r="CP1025" t="s">
        <v>111</v>
      </c>
      <c r="CQ1025">
        <v>0</v>
      </c>
      <c r="CR1025">
        <v>1000</v>
      </c>
      <c r="CS1025">
        <v>250</v>
      </c>
      <c r="CT1025" s="1" t="s">
        <v>3232</v>
      </c>
      <c r="CU1025">
        <v>0</v>
      </c>
      <c r="CV1025" t="s">
        <v>111</v>
      </c>
      <c r="CW1025" t="s">
        <v>111</v>
      </c>
      <c r="CX1025" t="s">
        <v>111</v>
      </c>
      <c r="CY1025">
        <v>0</v>
      </c>
      <c r="CZ1025" t="s">
        <v>111</v>
      </c>
      <c r="DA1025" t="s">
        <v>111</v>
      </c>
      <c r="DB1025" t="s">
        <v>111</v>
      </c>
      <c r="DC1025" t="s">
        <v>111</v>
      </c>
    </row>
    <row r="1026" spans="1:107">
      <c r="A1026">
        <v>654</v>
      </c>
      <c r="B1026" t="s">
        <v>162</v>
      </c>
      <c r="C1026" t="s">
        <v>2726</v>
      </c>
      <c r="D1026" t="s">
        <v>2999</v>
      </c>
      <c r="E1026" t="s">
        <v>3233</v>
      </c>
      <c r="F1026" t="s">
        <v>370</v>
      </c>
      <c r="G1026" t="s">
        <v>416</v>
      </c>
      <c r="H1026">
        <v>0.9</v>
      </c>
      <c r="I1026">
        <v>32</v>
      </c>
      <c r="J1026">
        <v>0</v>
      </c>
      <c r="K1026">
        <v>0</v>
      </c>
      <c r="L1026" t="s">
        <v>112</v>
      </c>
      <c r="M1026" t="s">
        <v>118</v>
      </c>
      <c r="N1026">
        <v>40</v>
      </c>
      <c r="O1026">
        <v>2</v>
      </c>
      <c r="P1026" t="s">
        <v>138</v>
      </c>
      <c r="Q1026">
        <v>40</v>
      </c>
      <c r="R1026">
        <v>0</v>
      </c>
      <c r="S1026">
        <v>0</v>
      </c>
      <c r="T1026">
        <v>0</v>
      </c>
      <c r="U1026" t="s">
        <v>1353</v>
      </c>
      <c r="V1026">
        <v>25</v>
      </c>
      <c r="W1026">
        <v>0</v>
      </c>
      <c r="X1026">
        <v>8</v>
      </c>
      <c r="Y1026">
        <v>0</v>
      </c>
      <c r="Z1026" t="s">
        <v>288</v>
      </c>
      <c r="AA1026">
        <v>1.65</v>
      </c>
      <c r="AB1026" t="s">
        <v>111</v>
      </c>
      <c r="AC1026">
        <v>0</v>
      </c>
      <c r="AD1026" t="s">
        <v>416</v>
      </c>
      <c r="AE1026">
        <v>1</v>
      </c>
      <c r="AF1026">
        <v>1</v>
      </c>
      <c r="AG1026">
        <v>40</v>
      </c>
      <c r="AH1026" t="s">
        <v>111</v>
      </c>
      <c r="AI1026">
        <v>40</v>
      </c>
      <c r="AJ1026" t="s">
        <v>111</v>
      </c>
      <c r="AK1026" t="s">
        <v>111</v>
      </c>
      <c r="AL1026" t="s">
        <v>111</v>
      </c>
      <c r="AM1026">
        <v>0</v>
      </c>
      <c r="AN1026">
        <v>0</v>
      </c>
      <c r="AO1026">
        <v>0</v>
      </c>
      <c r="AP1026" t="s">
        <v>111</v>
      </c>
      <c r="AQ1026" t="s">
        <v>111</v>
      </c>
      <c r="AR1026" t="s">
        <v>111</v>
      </c>
      <c r="AS1026" t="s">
        <v>111</v>
      </c>
      <c r="AT1026" t="s">
        <v>111</v>
      </c>
      <c r="AU1026" t="s">
        <v>111</v>
      </c>
      <c r="AV1026" t="s">
        <v>111</v>
      </c>
      <c r="AW1026" t="s">
        <v>111</v>
      </c>
      <c r="AX1026" t="s">
        <v>111</v>
      </c>
      <c r="AY1026" t="s">
        <v>111</v>
      </c>
      <c r="AZ1026" t="s">
        <v>111</v>
      </c>
      <c r="BA1026" t="s">
        <v>111</v>
      </c>
      <c r="BB1026" t="s">
        <v>111</v>
      </c>
      <c r="BC1026" t="s">
        <v>111</v>
      </c>
      <c r="BD1026" t="s">
        <v>111</v>
      </c>
      <c r="BE1026" t="s">
        <v>111</v>
      </c>
      <c r="BF1026" t="s">
        <v>111</v>
      </c>
      <c r="BG1026" t="s">
        <v>111</v>
      </c>
      <c r="BH1026" t="s">
        <v>111</v>
      </c>
      <c r="BI1026" t="s">
        <v>111</v>
      </c>
      <c r="BJ1026" t="s">
        <v>111</v>
      </c>
      <c r="BK1026" t="s">
        <v>111</v>
      </c>
      <c r="BL1026" t="s">
        <v>111</v>
      </c>
      <c r="BM1026" t="s">
        <v>111</v>
      </c>
      <c r="BN1026" t="s">
        <v>111</v>
      </c>
      <c r="BO1026" t="s">
        <v>111</v>
      </c>
      <c r="BP1026" t="s">
        <v>111</v>
      </c>
      <c r="BQ1026" t="s">
        <v>111</v>
      </c>
      <c r="BR1026" t="s">
        <v>111</v>
      </c>
      <c r="BS1026" t="s">
        <v>111</v>
      </c>
      <c r="BT1026" t="s">
        <v>111</v>
      </c>
      <c r="BU1026" t="s">
        <v>111</v>
      </c>
      <c r="BV1026" t="s">
        <v>111</v>
      </c>
      <c r="BW1026" t="s">
        <v>111</v>
      </c>
      <c r="BX1026" t="s">
        <v>111</v>
      </c>
      <c r="BY1026" t="s">
        <v>111</v>
      </c>
      <c r="BZ1026" t="s">
        <v>111</v>
      </c>
      <c r="CA1026" t="s">
        <v>111</v>
      </c>
      <c r="CB1026" t="s">
        <v>111</v>
      </c>
      <c r="CC1026" t="s">
        <v>111</v>
      </c>
      <c r="CD1026" t="s">
        <v>111</v>
      </c>
      <c r="CE1026" t="s">
        <v>111</v>
      </c>
      <c r="CF1026" t="s">
        <v>111</v>
      </c>
      <c r="CG1026" t="s">
        <v>111</v>
      </c>
      <c r="CH1026" t="s">
        <v>111</v>
      </c>
      <c r="CI1026" t="s">
        <v>111</v>
      </c>
      <c r="CJ1026" t="s">
        <v>111</v>
      </c>
      <c r="CK1026" t="s">
        <v>111</v>
      </c>
      <c r="CL1026" t="s">
        <v>153</v>
      </c>
      <c r="CM1026" t="s">
        <v>198</v>
      </c>
      <c r="CN1026" t="s">
        <v>128</v>
      </c>
      <c r="CO1026" t="s">
        <v>974</v>
      </c>
      <c r="CP1026" t="s">
        <v>433</v>
      </c>
      <c r="CQ1026">
        <v>0</v>
      </c>
      <c r="CR1026">
        <v>0</v>
      </c>
      <c r="CS1026">
        <v>0</v>
      </c>
      <c r="CT1026" t="s">
        <v>2850</v>
      </c>
      <c r="CU1026">
        <v>0</v>
      </c>
      <c r="CV1026" t="s">
        <v>111</v>
      </c>
      <c r="CW1026" t="s">
        <v>111</v>
      </c>
      <c r="CX1026" t="s">
        <v>111</v>
      </c>
      <c r="CY1026">
        <v>0</v>
      </c>
      <c r="CZ1026" t="s">
        <v>111</v>
      </c>
      <c r="DA1026" t="s">
        <v>111</v>
      </c>
      <c r="DB1026" t="s">
        <v>204</v>
      </c>
      <c r="DC1026" s="1" t="s">
        <v>1363</v>
      </c>
    </row>
    <row r="1027" spans="1:107">
      <c r="A1027">
        <v>863</v>
      </c>
      <c r="B1027" t="s">
        <v>107</v>
      </c>
      <c r="C1027" t="s">
        <v>928</v>
      </c>
      <c r="D1027" t="s">
        <v>3234</v>
      </c>
      <c r="E1027" t="s">
        <v>3235</v>
      </c>
      <c r="F1027" t="s">
        <v>192</v>
      </c>
      <c r="G1027" t="s">
        <v>416</v>
      </c>
      <c r="H1027">
        <v>1.5</v>
      </c>
      <c r="I1027">
        <v>46</v>
      </c>
      <c r="J1027">
        <v>0</v>
      </c>
      <c r="K1027">
        <v>0</v>
      </c>
      <c r="L1027" t="s">
        <v>112</v>
      </c>
      <c r="M1027" t="s">
        <v>138</v>
      </c>
      <c r="N1027">
        <v>0</v>
      </c>
      <c r="O1027">
        <v>0</v>
      </c>
      <c r="P1027" t="s">
        <v>138</v>
      </c>
      <c r="Q1027">
        <v>20</v>
      </c>
      <c r="R1027">
        <v>0</v>
      </c>
      <c r="S1027">
        <v>0</v>
      </c>
      <c r="T1027">
        <v>0</v>
      </c>
      <c r="U1027" t="s">
        <v>296</v>
      </c>
      <c r="V1027">
        <v>0</v>
      </c>
      <c r="W1027">
        <v>25</v>
      </c>
      <c r="X1027">
        <v>8</v>
      </c>
      <c r="Y1027">
        <v>0</v>
      </c>
      <c r="Z1027" t="s">
        <v>111</v>
      </c>
      <c r="AA1027">
        <v>0</v>
      </c>
      <c r="AB1027" t="s">
        <v>111</v>
      </c>
      <c r="AC1027">
        <v>0</v>
      </c>
      <c r="AD1027" t="s">
        <v>111</v>
      </c>
      <c r="AE1027">
        <v>0</v>
      </c>
      <c r="AF1027">
        <v>0</v>
      </c>
      <c r="AG1027" t="s">
        <v>111</v>
      </c>
      <c r="AH1027" t="s">
        <v>111</v>
      </c>
      <c r="AI1027" t="s">
        <v>111</v>
      </c>
      <c r="AJ1027" t="s">
        <v>111</v>
      </c>
      <c r="AK1027" t="s">
        <v>111</v>
      </c>
      <c r="AL1027" t="s">
        <v>111</v>
      </c>
      <c r="AM1027">
        <v>0</v>
      </c>
      <c r="AN1027">
        <v>0</v>
      </c>
      <c r="AO1027">
        <v>0</v>
      </c>
      <c r="AP1027" t="s">
        <v>111</v>
      </c>
      <c r="AQ1027" t="s">
        <v>111</v>
      </c>
      <c r="AR1027" t="s">
        <v>111</v>
      </c>
      <c r="AS1027" t="s">
        <v>111</v>
      </c>
      <c r="AT1027" t="s">
        <v>111</v>
      </c>
      <c r="AU1027" t="s">
        <v>111</v>
      </c>
      <c r="AV1027" t="s">
        <v>111</v>
      </c>
      <c r="AW1027" t="s">
        <v>111</v>
      </c>
      <c r="AX1027" t="s">
        <v>111</v>
      </c>
      <c r="AY1027" t="s">
        <v>111</v>
      </c>
      <c r="AZ1027" t="s">
        <v>111</v>
      </c>
      <c r="BA1027" t="s">
        <v>111</v>
      </c>
      <c r="BB1027" t="s">
        <v>111</v>
      </c>
      <c r="BC1027" t="s">
        <v>111</v>
      </c>
      <c r="BD1027" t="s">
        <v>111</v>
      </c>
      <c r="BE1027" t="s">
        <v>111</v>
      </c>
      <c r="BF1027" t="s">
        <v>111</v>
      </c>
      <c r="BG1027" t="s">
        <v>111</v>
      </c>
      <c r="BH1027" t="s">
        <v>111</v>
      </c>
      <c r="BI1027" t="s">
        <v>111</v>
      </c>
      <c r="BJ1027" t="s">
        <v>111</v>
      </c>
      <c r="BK1027" t="s">
        <v>111</v>
      </c>
      <c r="BL1027" t="s">
        <v>111</v>
      </c>
      <c r="BM1027" t="s">
        <v>111</v>
      </c>
      <c r="BN1027" t="s">
        <v>111</v>
      </c>
      <c r="BO1027" t="s">
        <v>111</v>
      </c>
      <c r="BP1027" t="s">
        <v>111</v>
      </c>
      <c r="BQ1027" t="s">
        <v>111</v>
      </c>
      <c r="BR1027" t="s">
        <v>111</v>
      </c>
      <c r="BS1027" t="s">
        <v>111</v>
      </c>
      <c r="BT1027" t="s">
        <v>111</v>
      </c>
      <c r="BU1027" t="s">
        <v>111</v>
      </c>
      <c r="BV1027" t="s">
        <v>111</v>
      </c>
      <c r="BW1027" t="s">
        <v>111</v>
      </c>
      <c r="BX1027" t="s">
        <v>111</v>
      </c>
      <c r="BY1027" t="s">
        <v>111</v>
      </c>
      <c r="BZ1027" t="s">
        <v>111</v>
      </c>
      <c r="CA1027" t="s">
        <v>111</v>
      </c>
      <c r="CB1027" t="s">
        <v>111</v>
      </c>
      <c r="CC1027" t="s">
        <v>111</v>
      </c>
      <c r="CD1027" t="s">
        <v>111</v>
      </c>
      <c r="CE1027" t="s">
        <v>111</v>
      </c>
      <c r="CF1027" t="s">
        <v>111</v>
      </c>
      <c r="CG1027" t="s">
        <v>111</v>
      </c>
      <c r="CH1027" t="s">
        <v>111</v>
      </c>
      <c r="CI1027" t="s">
        <v>111</v>
      </c>
      <c r="CJ1027" t="s">
        <v>111</v>
      </c>
      <c r="CK1027" t="s">
        <v>111</v>
      </c>
      <c r="CL1027" t="s">
        <v>111</v>
      </c>
      <c r="CM1027" t="s">
        <v>198</v>
      </c>
      <c r="CN1027" t="s">
        <v>113</v>
      </c>
      <c r="CO1027" t="s">
        <v>637</v>
      </c>
      <c r="CP1027" t="s">
        <v>111</v>
      </c>
      <c r="CQ1027">
        <v>0</v>
      </c>
      <c r="CR1027">
        <v>1000</v>
      </c>
      <c r="CS1027">
        <v>250</v>
      </c>
      <c r="CT1027" s="1" t="s">
        <v>3236</v>
      </c>
      <c r="CU1027">
        <v>0</v>
      </c>
      <c r="CV1027" t="s">
        <v>111</v>
      </c>
      <c r="CW1027" t="s">
        <v>111</v>
      </c>
      <c r="CX1027" t="s">
        <v>111</v>
      </c>
      <c r="CY1027">
        <v>0</v>
      </c>
      <c r="CZ1027" t="s">
        <v>111</v>
      </c>
      <c r="DA1027" t="s">
        <v>111</v>
      </c>
      <c r="DB1027" t="s">
        <v>111</v>
      </c>
      <c r="DC1027" t="s">
        <v>111</v>
      </c>
    </row>
    <row r="1028" spans="1:107">
      <c r="A1028">
        <v>653</v>
      </c>
      <c r="B1028" t="s">
        <v>162</v>
      </c>
      <c r="C1028" t="s">
        <v>2726</v>
      </c>
      <c r="D1028" t="s">
        <v>3237</v>
      </c>
      <c r="E1028" t="s">
        <v>3238</v>
      </c>
      <c r="F1028" t="s">
        <v>370</v>
      </c>
      <c r="G1028" t="s">
        <v>416</v>
      </c>
      <c r="H1028">
        <v>1</v>
      </c>
      <c r="I1028">
        <v>42</v>
      </c>
      <c r="J1028">
        <v>0</v>
      </c>
      <c r="K1028">
        <v>0</v>
      </c>
      <c r="L1028" t="s">
        <v>112</v>
      </c>
      <c r="M1028" t="s">
        <v>118</v>
      </c>
      <c r="N1028">
        <v>40</v>
      </c>
      <c r="O1028">
        <v>2</v>
      </c>
      <c r="P1028" t="s">
        <v>138</v>
      </c>
      <c r="Q1028">
        <v>40</v>
      </c>
      <c r="R1028">
        <v>0</v>
      </c>
      <c r="S1028">
        <v>0</v>
      </c>
      <c r="T1028">
        <v>0</v>
      </c>
      <c r="U1028" t="s">
        <v>1353</v>
      </c>
      <c r="V1028">
        <v>25</v>
      </c>
      <c r="W1028">
        <v>0</v>
      </c>
      <c r="X1028">
        <v>8</v>
      </c>
      <c r="Y1028">
        <v>0</v>
      </c>
      <c r="Z1028" t="s">
        <v>288</v>
      </c>
      <c r="AA1028">
        <v>1.65</v>
      </c>
      <c r="AB1028" t="s">
        <v>111</v>
      </c>
      <c r="AC1028">
        <v>0</v>
      </c>
      <c r="AD1028" t="s">
        <v>416</v>
      </c>
      <c r="AE1028">
        <v>1</v>
      </c>
      <c r="AF1028">
        <v>1</v>
      </c>
      <c r="AG1028">
        <v>66</v>
      </c>
      <c r="AH1028" t="s">
        <v>111</v>
      </c>
      <c r="AI1028">
        <v>66</v>
      </c>
      <c r="AJ1028" t="s">
        <v>111</v>
      </c>
      <c r="AK1028" t="s">
        <v>111</v>
      </c>
      <c r="AL1028" t="s">
        <v>111</v>
      </c>
      <c r="AM1028">
        <v>0</v>
      </c>
      <c r="AN1028">
        <v>0</v>
      </c>
      <c r="AO1028">
        <v>0</v>
      </c>
      <c r="AP1028" t="s">
        <v>111</v>
      </c>
      <c r="AQ1028" t="s">
        <v>111</v>
      </c>
      <c r="AR1028" t="s">
        <v>111</v>
      </c>
      <c r="AS1028" t="s">
        <v>111</v>
      </c>
      <c r="AT1028" t="s">
        <v>111</v>
      </c>
      <c r="AU1028" t="s">
        <v>111</v>
      </c>
      <c r="AV1028" t="s">
        <v>111</v>
      </c>
      <c r="AW1028" t="s">
        <v>111</v>
      </c>
      <c r="AX1028" t="s">
        <v>111</v>
      </c>
      <c r="AY1028" t="s">
        <v>111</v>
      </c>
      <c r="AZ1028" t="s">
        <v>111</v>
      </c>
      <c r="BA1028" t="s">
        <v>111</v>
      </c>
      <c r="BB1028" t="s">
        <v>111</v>
      </c>
      <c r="BC1028" t="s">
        <v>111</v>
      </c>
      <c r="BD1028" t="s">
        <v>111</v>
      </c>
      <c r="BE1028" t="s">
        <v>111</v>
      </c>
      <c r="BF1028" t="s">
        <v>111</v>
      </c>
      <c r="BG1028" t="s">
        <v>111</v>
      </c>
      <c r="BH1028" t="s">
        <v>111</v>
      </c>
      <c r="BI1028" t="s">
        <v>111</v>
      </c>
      <c r="BJ1028" t="s">
        <v>111</v>
      </c>
      <c r="BK1028" t="s">
        <v>111</v>
      </c>
      <c r="BL1028" t="s">
        <v>111</v>
      </c>
      <c r="BM1028" t="s">
        <v>111</v>
      </c>
      <c r="BN1028" t="s">
        <v>111</v>
      </c>
      <c r="BO1028" t="s">
        <v>111</v>
      </c>
      <c r="BP1028" t="s">
        <v>111</v>
      </c>
      <c r="BQ1028" t="s">
        <v>111</v>
      </c>
      <c r="BR1028" t="s">
        <v>111</v>
      </c>
      <c r="BS1028" t="s">
        <v>111</v>
      </c>
      <c r="BT1028" t="s">
        <v>111</v>
      </c>
      <c r="BU1028" t="s">
        <v>111</v>
      </c>
      <c r="BV1028" t="s">
        <v>111</v>
      </c>
      <c r="BW1028" t="s">
        <v>111</v>
      </c>
      <c r="BX1028" t="s">
        <v>111</v>
      </c>
      <c r="BY1028" t="s">
        <v>111</v>
      </c>
      <c r="BZ1028" t="s">
        <v>111</v>
      </c>
      <c r="CA1028" t="s">
        <v>111</v>
      </c>
      <c r="CB1028" t="s">
        <v>111</v>
      </c>
      <c r="CC1028" t="s">
        <v>111</v>
      </c>
      <c r="CD1028" t="s">
        <v>111</v>
      </c>
      <c r="CE1028" t="s">
        <v>111</v>
      </c>
      <c r="CF1028" t="s">
        <v>111</v>
      </c>
      <c r="CG1028" t="s">
        <v>111</v>
      </c>
      <c r="CH1028" t="s">
        <v>111</v>
      </c>
      <c r="CI1028" t="s">
        <v>111</v>
      </c>
      <c r="CJ1028" t="s">
        <v>111</v>
      </c>
      <c r="CK1028" t="s">
        <v>111</v>
      </c>
      <c r="CL1028" t="s">
        <v>153</v>
      </c>
      <c r="CM1028" t="s">
        <v>198</v>
      </c>
      <c r="CN1028" t="s">
        <v>128</v>
      </c>
      <c r="CO1028" t="s">
        <v>974</v>
      </c>
      <c r="CP1028" t="s">
        <v>433</v>
      </c>
      <c r="CQ1028">
        <v>0</v>
      </c>
      <c r="CR1028">
        <v>0</v>
      </c>
      <c r="CS1028">
        <v>0</v>
      </c>
      <c r="CT1028" t="s">
        <v>2850</v>
      </c>
      <c r="CU1028">
        <v>0</v>
      </c>
      <c r="CV1028" t="s">
        <v>111</v>
      </c>
      <c r="CW1028" t="s">
        <v>111</v>
      </c>
      <c r="CX1028" t="s">
        <v>111</v>
      </c>
      <c r="CY1028">
        <v>0</v>
      </c>
      <c r="CZ1028" t="s">
        <v>111</v>
      </c>
      <c r="DA1028" t="s">
        <v>111</v>
      </c>
      <c r="DB1028" t="s">
        <v>204</v>
      </c>
      <c r="DC1028" s="1" t="s">
        <v>1363</v>
      </c>
    </row>
    <row r="1029" spans="1:107">
      <c r="A1029">
        <v>652</v>
      </c>
      <c r="B1029" t="s">
        <v>162</v>
      </c>
      <c r="C1029" t="s">
        <v>2726</v>
      </c>
      <c r="D1029" t="s">
        <v>3237</v>
      </c>
      <c r="E1029" t="s">
        <v>3239</v>
      </c>
      <c r="F1029" t="s">
        <v>370</v>
      </c>
      <c r="G1029" t="s">
        <v>416</v>
      </c>
      <c r="H1029">
        <v>1</v>
      </c>
      <c r="I1029">
        <v>42</v>
      </c>
      <c r="J1029">
        <v>0</v>
      </c>
      <c r="K1029">
        <v>0</v>
      </c>
      <c r="L1029" t="s">
        <v>112</v>
      </c>
      <c r="M1029" t="s">
        <v>118</v>
      </c>
      <c r="N1029">
        <v>40</v>
      </c>
      <c r="O1029">
        <v>2</v>
      </c>
      <c r="P1029" t="s">
        <v>138</v>
      </c>
      <c r="Q1029">
        <v>40</v>
      </c>
      <c r="R1029">
        <v>0</v>
      </c>
      <c r="S1029">
        <v>0</v>
      </c>
      <c r="T1029">
        <v>0</v>
      </c>
      <c r="U1029" t="s">
        <v>1353</v>
      </c>
      <c r="V1029">
        <v>25</v>
      </c>
      <c r="W1029">
        <v>0</v>
      </c>
      <c r="X1029">
        <v>8</v>
      </c>
      <c r="Y1029">
        <v>0</v>
      </c>
      <c r="Z1029" t="s">
        <v>288</v>
      </c>
      <c r="AA1029">
        <v>1.65</v>
      </c>
      <c r="AB1029" t="s">
        <v>111</v>
      </c>
      <c r="AC1029">
        <v>0</v>
      </c>
      <c r="AD1029" t="s">
        <v>416</v>
      </c>
      <c r="AE1029">
        <v>1</v>
      </c>
      <c r="AF1029">
        <v>1</v>
      </c>
      <c r="AG1029">
        <v>66</v>
      </c>
      <c r="AH1029" t="s">
        <v>111</v>
      </c>
      <c r="AI1029">
        <v>66</v>
      </c>
      <c r="AJ1029" t="s">
        <v>111</v>
      </c>
      <c r="AK1029" t="s">
        <v>111</v>
      </c>
      <c r="AL1029" t="s">
        <v>111</v>
      </c>
      <c r="AM1029">
        <v>0</v>
      </c>
      <c r="AN1029">
        <v>0</v>
      </c>
      <c r="AO1029">
        <v>0</v>
      </c>
      <c r="AP1029" t="s">
        <v>111</v>
      </c>
      <c r="AQ1029" t="s">
        <v>111</v>
      </c>
      <c r="AR1029" t="s">
        <v>111</v>
      </c>
      <c r="AS1029" t="s">
        <v>111</v>
      </c>
      <c r="AT1029" t="s">
        <v>111</v>
      </c>
      <c r="AU1029" t="s">
        <v>111</v>
      </c>
      <c r="AV1029" t="s">
        <v>111</v>
      </c>
      <c r="AW1029" t="s">
        <v>111</v>
      </c>
      <c r="AX1029" t="s">
        <v>111</v>
      </c>
      <c r="AY1029" t="s">
        <v>111</v>
      </c>
      <c r="AZ1029" t="s">
        <v>111</v>
      </c>
      <c r="BA1029" t="s">
        <v>111</v>
      </c>
      <c r="BB1029" t="s">
        <v>111</v>
      </c>
      <c r="BC1029" t="s">
        <v>111</v>
      </c>
      <c r="BD1029" t="s">
        <v>111</v>
      </c>
      <c r="BE1029" t="s">
        <v>111</v>
      </c>
      <c r="BF1029" t="s">
        <v>111</v>
      </c>
      <c r="BG1029" t="s">
        <v>111</v>
      </c>
      <c r="BH1029" t="s">
        <v>111</v>
      </c>
      <c r="BI1029" t="s">
        <v>111</v>
      </c>
      <c r="BJ1029" t="s">
        <v>111</v>
      </c>
      <c r="BK1029" t="s">
        <v>111</v>
      </c>
      <c r="BL1029" t="s">
        <v>111</v>
      </c>
      <c r="BM1029" t="s">
        <v>111</v>
      </c>
      <c r="BN1029" t="s">
        <v>111</v>
      </c>
      <c r="BO1029" t="s">
        <v>111</v>
      </c>
      <c r="BP1029" t="s">
        <v>111</v>
      </c>
      <c r="BQ1029" t="s">
        <v>111</v>
      </c>
      <c r="BR1029" t="s">
        <v>111</v>
      </c>
      <c r="BS1029" t="s">
        <v>111</v>
      </c>
      <c r="BT1029" t="s">
        <v>111</v>
      </c>
      <c r="BU1029" t="s">
        <v>111</v>
      </c>
      <c r="BV1029" t="s">
        <v>111</v>
      </c>
      <c r="BW1029" t="s">
        <v>111</v>
      </c>
      <c r="BX1029" t="s">
        <v>111</v>
      </c>
      <c r="BY1029" t="s">
        <v>111</v>
      </c>
      <c r="BZ1029" t="s">
        <v>111</v>
      </c>
      <c r="CA1029" t="s">
        <v>111</v>
      </c>
      <c r="CB1029" t="s">
        <v>111</v>
      </c>
      <c r="CC1029" t="s">
        <v>111</v>
      </c>
      <c r="CD1029" t="s">
        <v>111</v>
      </c>
      <c r="CE1029" t="s">
        <v>111</v>
      </c>
      <c r="CF1029" t="s">
        <v>111</v>
      </c>
      <c r="CG1029" t="s">
        <v>111</v>
      </c>
      <c r="CH1029" t="s">
        <v>111</v>
      </c>
      <c r="CI1029" t="s">
        <v>111</v>
      </c>
      <c r="CJ1029" t="s">
        <v>111</v>
      </c>
      <c r="CK1029" t="s">
        <v>111</v>
      </c>
      <c r="CL1029" t="s">
        <v>153</v>
      </c>
      <c r="CM1029" t="s">
        <v>198</v>
      </c>
      <c r="CN1029" t="s">
        <v>128</v>
      </c>
      <c r="CO1029" t="s">
        <v>974</v>
      </c>
      <c r="CP1029" t="s">
        <v>433</v>
      </c>
      <c r="CQ1029">
        <v>0</v>
      </c>
      <c r="CR1029">
        <v>0</v>
      </c>
      <c r="CS1029">
        <v>0</v>
      </c>
      <c r="CT1029" t="s">
        <v>2850</v>
      </c>
      <c r="CU1029">
        <v>0</v>
      </c>
      <c r="CV1029" t="s">
        <v>111</v>
      </c>
      <c r="CW1029" t="s">
        <v>111</v>
      </c>
      <c r="CX1029" t="s">
        <v>111</v>
      </c>
      <c r="CY1029">
        <v>0</v>
      </c>
      <c r="CZ1029" t="s">
        <v>111</v>
      </c>
      <c r="DA1029" t="s">
        <v>111</v>
      </c>
      <c r="DB1029" t="s">
        <v>204</v>
      </c>
      <c r="DC1029" s="1" t="s">
        <v>1363</v>
      </c>
    </row>
    <row r="1030" spans="1:107">
      <c r="A1030">
        <v>460</v>
      </c>
      <c r="B1030" t="s">
        <v>162</v>
      </c>
      <c r="C1030" t="s">
        <v>831</v>
      </c>
      <c r="D1030" t="s">
        <v>3033</v>
      </c>
      <c r="E1030" t="s">
        <v>3240</v>
      </c>
      <c r="F1030" t="s">
        <v>125</v>
      </c>
      <c r="G1030" t="s">
        <v>416</v>
      </c>
      <c r="H1030">
        <v>1.8</v>
      </c>
      <c r="I1030">
        <v>39</v>
      </c>
      <c r="J1030">
        <v>10</v>
      </c>
      <c r="K1030">
        <v>10</v>
      </c>
      <c r="L1030" t="s">
        <v>112</v>
      </c>
      <c r="M1030" t="s">
        <v>138</v>
      </c>
      <c r="N1030">
        <v>0</v>
      </c>
      <c r="O1030">
        <v>0</v>
      </c>
      <c r="P1030" t="s">
        <v>138</v>
      </c>
      <c r="Q1030">
        <v>40</v>
      </c>
      <c r="R1030">
        <v>0</v>
      </c>
      <c r="S1030">
        <v>0</v>
      </c>
      <c r="T1030">
        <v>0</v>
      </c>
      <c r="U1030" t="s">
        <v>153</v>
      </c>
      <c r="V1030">
        <v>0</v>
      </c>
      <c r="W1030">
        <v>0</v>
      </c>
      <c r="X1030">
        <v>1</v>
      </c>
      <c r="Y1030">
        <v>0</v>
      </c>
      <c r="Z1030" t="s">
        <v>111</v>
      </c>
      <c r="AA1030">
        <v>0</v>
      </c>
      <c r="AB1030" t="s">
        <v>111</v>
      </c>
      <c r="AC1030">
        <v>0</v>
      </c>
      <c r="AD1030" t="s">
        <v>111</v>
      </c>
      <c r="AE1030">
        <v>0</v>
      </c>
      <c r="AF1030">
        <v>0</v>
      </c>
      <c r="AG1030" t="s">
        <v>111</v>
      </c>
      <c r="AH1030" t="s">
        <v>111</v>
      </c>
      <c r="AI1030" t="s">
        <v>111</v>
      </c>
      <c r="AJ1030" t="s">
        <v>111</v>
      </c>
      <c r="AK1030" t="s">
        <v>111</v>
      </c>
      <c r="AL1030" t="s">
        <v>111</v>
      </c>
      <c r="AM1030">
        <v>0</v>
      </c>
      <c r="AN1030">
        <v>0</v>
      </c>
      <c r="AO1030">
        <v>0</v>
      </c>
      <c r="AP1030" t="s">
        <v>111</v>
      </c>
      <c r="AQ1030" t="s">
        <v>111</v>
      </c>
      <c r="AR1030" t="s">
        <v>111</v>
      </c>
      <c r="AS1030" t="s">
        <v>111</v>
      </c>
      <c r="AT1030" t="s">
        <v>111</v>
      </c>
      <c r="AU1030" t="s">
        <v>111</v>
      </c>
      <c r="AV1030" t="s">
        <v>111</v>
      </c>
      <c r="AW1030" t="s">
        <v>111</v>
      </c>
      <c r="AX1030" t="s">
        <v>111</v>
      </c>
      <c r="AY1030" t="s">
        <v>111</v>
      </c>
      <c r="AZ1030" t="s">
        <v>111</v>
      </c>
      <c r="BA1030" t="s">
        <v>111</v>
      </c>
      <c r="BB1030" t="s">
        <v>111</v>
      </c>
      <c r="BC1030" t="s">
        <v>111</v>
      </c>
      <c r="BD1030" t="s">
        <v>111</v>
      </c>
      <c r="BE1030" t="s">
        <v>111</v>
      </c>
      <c r="BF1030" t="s">
        <v>111</v>
      </c>
      <c r="BG1030" t="s">
        <v>111</v>
      </c>
      <c r="BH1030" t="s">
        <v>111</v>
      </c>
      <c r="BI1030" t="s">
        <v>111</v>
      </c>
      <c r="BJ1030" t="s">
        <v>111</v>
      </c>
      <c r="BK1030" t="s">
        <v>111</v>
      </c>
      <c r="BL1030" t="s">
        <v>111</v>
      </c>
      <c r="BM1030" t="s">
        <v>111</v>
      </c>
      <c r="BN1030" t="s">
        <v>111</v>
      </c>
      <c r="BO1030" t="s">
        <v>111</v>
      </c>
      <c r="BP1030" t="s">
        <v>111</v>
      </c>
      <c r="BQ1030" t="s">
        <v>111</v>
      </c>
      <c r="BR1030" t="s">
        <v>111</v>
      </c>
      <c r="BS1030" t="s">
        <v>111</v>
      </c>
      <c r="BT1030" t="s">
        <v>111</v>
      </c>
      <c r="BU1030" t="s">
        <v>111</v>
      </c>
      <c r="BV1030" t="s">
        <v>111</v>
      </c>
      <c r="BW1030" t="s">
        <v>111</v>
      </c>
      <c r="BX1030" t="s">
        <v>111</v>
      </c>
      <c r="BY1030" t="s">
        <v>111</v>
      </c>
      <c r="BZ1030" t="s">
        <v>111</v>
      </c>
      <c r="CA1030" t="s">
        <v>111</v>
      </c>
      <c r="CB1030" t="s">
        <v>111</v>
      </c>
      <c r="CC1030" t="s">
        <v>111</v>
      </c>
      <c r="CD1030" t="s">
        <v>111</v>
      </c>
      <c r="CE1030" t="s">
        <v>111</v>
      </c>
      <c r="CF1030" t="s">
        <v>111</v>
      </c>
      <c r="CG1030" t="s">
        <v>111</v>
      </c>
      <c r="CH1030" t="s">
        <v>111</v>
      </c>
      <c r="CI1030" t="s">
        <v>111</v>
      </c>
      <c r="CJ1030" t="s">
        <v>111</v>
      </c>
      <c r="CK1030" t="s">
        <v>111</v>
      </c>
      <c r="CL1030" t="s">
        <v>111</v>
      </c>
      <c r="CM1030" t="s">
        <v>198</v>
      </c>
      <c r="CN1030" t="s">
        <v>128</v>
      </c>
      <c r="CO1030" t="s">
        <v>222</v>
      </c>
      <c r="CP1030" t="s">
        <v>111</v>
      </c>
      <c r="CQ1030">
        <v>0</v>
      </c>
      <c r="CR1030">
        <v>0</v>
      </c>
      <c r="CS1030">
        <v>0</v>
      </c>
      <c r="CT1030" t="s">
        <v>168</v>
      </c>
      <c r="CU1030">
        <v>0</v>
      </c>
      <c r="CV1030" t="s">
        <v>111</v>
      </c>
      <c r="CW1030" t="s">
        <v>111</v>
      </c>
      <c r="CX1030" t="s">
        <v>111</v>
      </c>
      <c r="CY1030">
        <v>0</v>
      </c>
      <c r="CZ1030" t="s">
        <v>111</v>
      </c>
      <c r="DA1030" t="s">
        <v>111</v>
      </c>
      <c r="DB1030" t="s">
        <v>111</v>
      </c>
      <c r="DC1030" t="s">
        <v>111</v>
      </c>
    </row>
    <row r="1031" spans="1:107">
      <c r="A1031">
        <v>416</v>
      </c>
      <c r="B1031" t="s">
        <v>162</v>
      </c>
      <c r="C1031" t="s">
        <v>226</v>
      </c>
      <c r="D1031" t="s">
        <v>3241</v>
      </c>
      <c r="E1031" t="s">
        <v>3242</v>
      </c>
      <c r="F1031" t="s">
        <v>192</v>
      </c>
      <c r="G1031" t="s">
        <v>416</v>
      </c>
      <c r="H1031">
        <v>3</v>
      </c>
      <c r="I1031">
        <v>40</v>
      </c>
      <c r="J1031">
        <v>0</v>
      </c>
      <c r="K1031">
        <v>0</v>
      </c>
      <c r="L1031" t="s">
        <v>112</v>
      </c>
      <c r="M1031" t="s">
        <v>138</v>
      </c>
      <c r="N1031">
        <v>0</v>
      </c>
      <c r="O1031">
        <v>0</v>
      </c>
      <c r="P1031" t="s">
        <v>138</v>
      </c>
      <c r="Q1031">
        <v>35</v>
      </c>
      <c r="R1031">
        <v>0</v>
      </c>
      <c r="S1031">
        <v>0</v>
      </c>
      <c r="T1031">
        <v>0</v>
      </c>
      <c r="U1031" t="s">
        <v>153</v>
      </c>
      <c r="V1031">
        <v>0</v>
      </c>
      <c r="W1031">
        <v>8</v>
      </c>
      <c r="X1031">
        <v>8</v>
      </c>
      <c r="Y1031">
        <v>0</v>
      </c>
      <c r="Z1031" t="s">
        <v>111</v>
      </c>
      <c r="AA1031">
        <v>0</v>
      </c>
      <c r="AB1031" t="s">
        <v>111</v>
      </c>
      <c r="AC1031">
        <v>0</v>
      </c>
      <c r="AD1031" t="s">
        <v>111</v>
      </c>
      <c r="AE1031">
        <v>0</v>
      </c>
      <c r="AF1031">
        <v>0</v>
      </c>
      <c r="AG1031" t="s">
        <v>111</v>
      </c>
      <c r="AH1031" t="s">
        <v>111</v>
      </c>
      <c r="AI1031" t="s">
        <v>111</v>
      </c>
      <c r="AJ1031" t="s">
        <v>111</v>
      </c>
      <c r="AK1031" t="s">
        <v>111</v>
      </c>
      <c r="AL1031" t="s">
        <v>111</v>
      </c>
      <c r="AM1031">
        <v>0</v>
      </c>
      <c r="AN1031">
        <v>0</v>
      </c>
      <c r="AO1031">
        <v>0</v>
      </c>
      <c r="AP1031" t="s">
        <v>111</v>
      </c>
      <c r="AQ1031" t="s">
        <v>111</v>
      </c>
      <c r="AR1031" t="s">
        <v>111</v>
      </c>
      <c r="AS1031" t="s">
        <v>111</v>
      </c>
      <c r="AT1031" t="s">
        <v>111</v>
      </c>
      <c r="AU1031" t="s">
        <v>111</v>
      </c>
      <c r="AV1031" t="s">
        <v>111</v>
      </c>
      <c r="AW1031" t="s">
        <v>111</v>
      </c>
      <c r="AX1031" t="s">
        <v>111</v>
      </c>
      <c r="AY1031" t="s">
        <v>111</v>
      </c>
      <c r="AZ1031" t="s">
        <v>111</v>
      </c>
      <c r="BA1031" t="s">
        <v>111</v>
      </c>
      <c r="BB1031" t="s">
        <v>111</v>
      </c>
      <c r="BC1031" t="s">
        <v>111</v>
      </c>
      <c r="BD1031" t="s">
        <v>111</v>
      </c>
      <c r="BE1031" t="s">
        <v>111</v>
      </c>
      <c r="BF1031" t="s">
        <v>111</v>
      </c>
      <c r="BG1031" t="s">
        <v>111</v>
      </c>
      <c r="BH1031" t="s">
        <v>111</v>
      </c>
      <c r="BI1031" t="s">
        <v>111</v>
      </c>
      <c r="BJ1031" t="s">
        <v>111</v>
      </c>
      <c r="BK1031" t="s">
        <v>111</v>
      </c>
      <c r="BL1031" t="s">
        <v>111</v>
      </c>
      <c r="BM1031" t="s">
        <v>111</v>
      </c>
      <c r="BN1031" t="s">
        <v>111</v>
      </c>
      <c r="BO1031" t="s">
        <v>111</v>
      </c>
      <c r="BP1031" t="s">
        <v>111</v>
      </c>
      <c r="BQ1031" t="s">
        <v>111</v>
      </c>
      <c r="BR1031" t="s">
        <v>111</v>
      </c>
      <c r="BS1031" t="s">
        <v>111</v>
      </c>
      <c r="BT1031" t="s">
        <v>111</v>
      </c>
      <c r="BU1031" t="s">
        <v>111</v>
      </c>
      <c r="BV1031" t="s">
        <v>111</v>
      </c>
      <c r="BW1031" t="s">
        <v>111</v>
      </c>
      <c r="BX1031" t="s">
        <v>111</v>
      </c>
      <c r="BY1031" t="s">
        <v>111</v>
      </c>
      <c r="BZ1031" t="s">
        <v>111</v>
      </c>
      <c r="CA1031" t="s">
        <v>111</v>
      </c>
      <c r="CB1031" t="s">
        <v>111</v>
      </c>
      <c r="CC1031" t="s">
        <v>111</v>
      </c>
      <c r="CD1031" t="s">
        <v>111</v>
      </c>
      <c r="CE1031" t="s">
        <v>111</v>
      </c>
      <c r="CF1031" t="s">
        <v>111</v>
      </c>
      <c r="CG1031" t="s">
        <v>111</v>
      </c>
      <c r="CH1031" t="s">
        <v>111</v>
      </c>
      <c r="CI1031" t="s">
        <v>111</v>
      </c>
      <c r="CJ1031" t="s">
        <v>111</v>
      </c>
      <c r="CK1031" t="s">
        <v>111</v>
      </c>
      <c r="CL1031" t="s">
        <v>111</v>
      </c>
      <c r="CM1031" t="s">
        <v>198</v>
      </c>
      <c r="CN1031" t="s">
        <v>128</v>
      </c>
      <c r="CO1031" t="s">
        <v>111</v>
      </c>
      <c r="CP1031" t="s">
        <v>111</v>
      </c>
      <c r="CQ1031">
        <v>0</v>
      </c>
      <c r="CR1031">
        <v>0</v>
      </c>
      <c r="CS1031">
        <v>0</v>
      </c>
      <c r="CT1031" t="s">
        <v>168</v>
      </c>
      <c r="CU1031">
        <v>0</v>
      </c>
      <c r="CV1031" t="s">
        <v>111</v>
      </c>
      <c r="CW1031" t="s">
        <v>111</v>
      </c>
      <c r="CX1031" t="s">
        <v>111</v>
      </c>
      <c r="CY1031">
        <v>0</v>
      </c>
      <c r="CZ1031" t="s">
        <v>111</v>
      </c>
      <c r="DA1031" t="s">
        <v>111</v>
      </c>
      <c r="DB1031" t="s">
        <v>111</v>
      </c>
      <c r="DC1031" t="s">
        <v>111</v>
      </c>
    </row>
    <row r="1032" spans="1:107">
      <c r="A1032">
        <v>158</v>
      </c>
      <c r="B1032" t="s">
        <v>162</v>
      </c>
      <c r="C1032" t="s">
        <v>719</v>
      </c>
      <c r="D1032" t="s">
        <v>3008</v>
      </c>
      <c r="E1032" t="s">
        <v>3009</v>
      </c>
      <c r="F1032" t="s">
        <v>370</v>
      </c>
      <c r="G1032" t="s">
        <v>416</v>
      </c>
      <c r="H1032">
        <v>2.5</v>
      </c>
      <c r="I1032">
        <v>48</v>
      </c>
      <c r="J1032">
        <v>0</v>
      </c>
      <c r="K1032">
        <v>0</v>
      </c>
      <c r="L1032" t="s">
        <v>112</v>
      </c>
      <c r="M1032" t="s">
        <v>118</v>
      </c>
      <c r="N1032">
        <v>40</v>
      </c>
      <c r="O1032">
        <v>2</v>
      </c>
      <c r="P1032" t="s">
        <v>138</v>
      </c>
      <c r="Q1032">
        <v>40</v>
      </c>
      <c r="R1032">
        <v>0</v>
      </c>
      <c r="S1032">
        <v>0</v>
      </c>
      <c r="T1032">
        <v>0</v>
      </c>
      <c r="U1032" t="s">
        <v>1353</v>
      </c>
      <c r="V1032">
        <v>25</v>
      </c>
      <c r="W1032">
        <v>0</v>
      </c>
      <c r="X1032">
        <v>8</v>
      </c>
      <c r="Y1032">
        <v>0</v>
      </c>
      <c r="Z1032" t="s">
        <v>288</v>
      </c>
      <c r="AA1032">
        <v>1.65</v>
      </c>
      <c r="AB1032" t="s">
        <v>111</v>
      </c>
      <c r="AC1032">
        <v>0</v>
      </c>
      <c r="AD1032" t="s">
        <v>416</v>
      </c>
      <c r="AE1032">
        <v>4</v>
      </c>
      <c r="AF1032">
        <v>2</v>
      </c>
      <c r="AG1032">
        <v>35</v>
      </c>
      <c r="AH1032" t="s">
        <v>111</v>
      </c>
      <c r="AI1032">
        <v>35</v>
      </c>
      <c r="AJ1032" t="s">
        <v>111</v>
      </c>
      <c r="AK1032" t="s">
        <v>111</v>
      </c>
      <c r="AL1032" t="s">
        <v>111</v>
      </c>
      <c r="AM1032">
        <v>0</v>
      </c>
      <c r="AN1032">
        <v>0</v>
      </c>
      <c r="AO1032">
        <v>0</v>
      </c>
      <c r="AP1032" t="s">
        <v>188</v>
      </c>
      <c r="AQ1032" t="s">
        <v>111</v>
      </c>
      <c r="AR1032" t="s">
        <v>111</v>
      </c>
      <c r="AS1032" t="s">
        <v>111</v>
      </c>
      <c r="AT1032" t="s">
        <v>271</v>
      </c>
      <c r="AU1032" t="s">
        <v>111</v>
      </c>
      <c r="AV1032" t="s">
        <v>111</v>
      </c>
      <c r="AW1032" t="s">
        <v>111</v>
      </c>
      <c r="AX1032" t="s">
        <v>111</v>
      </c>
      <c r="AY1032" t="s">
        <v>111</v>
      </c>
      <c r="AZ1032" t="s">
        <v>111</v>
      </c>
      <c r="BA1032" t="s">
        <v>111</v>
      </c>
      <c r="BB1032" t="s">
        <v>111</v>
      </c>
      <c r="BC1032" t="s">
        <v>111</v>
      </c>
      <c r="BD1032" t="s">
        <v>111</v>
      </c>
      <c r="BE1032" t="s">
        <v>111</v>
      </c>
      <c r="BF1032" t="s">
        <v>111</v>
      </c>
      <c r="BG1032" t="s">
        <v>111</v>
      </c>
      <c r="BH1032" t="s">
        <v>111</v>
      </c>
      <c r="BI1032" t="s">
        <v>111</v>
      </c>
      <c r="BJ1032" t="s">
        <v>111</v>
      </c>
      <c r="BK1032" t="s">
        <v>111</v>
      </c>
      <c r="BL1032" t="s">
        <v>111</v>
      </c>
      <c r="BM1032" t="s">
        <v>111</v>
      </c>
      <c r="BN1032" t="s">
        <v>111</v>
      </c>
      <c r="BO1032" t="s">
        <v>111</v>
      </c>
      <c r="BP1032" t="s">
        <v>111</v>
      </c>
      <c r="BQ1032" t="s">
        <v>111</v>
      </c>
      <c r="BR1032" t="s">
        <v>111</v>
      </c>
      <c r="BS1032" t="s">
        <v>111</v>
      </c>
      <c r="BT1032" t="s">
        <v>111</v>
      </c>
      <c r="BU1032" t="s">
        <v>111</v>
      </c>
      <c r="BV1032" t="s">
        <v>111</v>
      </c>
      <c r="BW1032" t="s">
        <v>111</v>
      </c>
      <c r="BX1032" t="s">
        <v>111</v>
      </c>
      <c r="BY1032" t="s">
        <v>111</v>
      </c>
      <c r="BZ1032" t="s">
        <v>111</v>
      </c>
      <c r="CA1032" t="s">
        <v>111</v>
      </c>
      <c r="CB1032" t="s">
        <v>111</v>
      </c>
      <c r="CC1032" t="s">
        <v>111</v>
      </c>
      <c r="CD1032" t="s">
        <v>111</v>
      </c>
      <c r="CE1032" t="s">
        <v>111</v>
      </c>
      <c r="CF1032" t="s">
        <v>111</v>
      </c>
      <c r="CG1032" t="s">
        <v>111</v>
      </c>
      <c r="CH1032" t="s">
        <v>111</v>
      </c>
      <c r="CI1032" t="s">
        <v>111</v>
      </c>
      <c r="CJ1032" t="s">
        <v>111</v>
      </c>
      <c r="CK1032" t="s">
        <v>111</v>
      </c>
      <c r="CL1032" t="s">
        <v>153</v>
      </c>
      <c r="CM1032" t="s">
        <v>198</v>
      </c>
      <c r="CN1032" t="s">
        <v>113</v>
      </c>
      <c r="CO1032" t="s">
        <v>1348</v>
      </c>
      <c r="CP1032" t="s">
        <v>433</v>
      </c>
      <c r="CQ1032">
        <v>0</v>
      </c>
      <c r="CR1032">
        <v>0</v>
      </c>
      <c r="CS1032">
        <v>0</v>
      </c>
      <c r="CT1032" t="s">
        <v>419</v>
      </c>
      <c r="CU1032">
        <v>0</v>
      </c>
      <c r="CV1032" t="s">
        <v>111</v>
      </c>
      <c r="CW1032" t="s">
        <v>111</v>
      </c>
      <c r="CX1032" t="s">
        <v>111</v>
      </c>
      <c r="CY1032">
        <v>0</v>
      </c>
      <c r="CZ1032" t="s">
        <v>111</v>
      </c>
      <c r="DA1032" t="s">
        <v>111</v>
      </c>
      <c r="DB1032" t="s">
        <v>204</v>
      </c>
      <c r="DC1032" s="1" t="s">
        <v>1350</v>
      </c>
    </row>
    <row r="1033" spans="1:107">
      <c r="A1033">
        <v>53</v>
      </c>
      <c r="B1033" t="s">
        <v>162</v>
      </c>
      <c r="C1033" t="s">
        <v>223</v>
      </c>
      <c r="D1033" t="s">
        <v>3243</v>
      </c>
      <c r="E1033" t="s">
        <v>3244</v>
      </c>
      <c r="F1033" t="s">
        <v>287</v>
      </c>
      <c r="G1033" t="s">
        <v>416</v>
      </c>
      <c r="H1033">
        <v>2.2999999999999998</v>
      </c>
      <c r="I1033">
        <v>60</v>
      </c>
      <c r="J1033">
        <v>0</v>
      </c>
      <c r="K1033">
        <v>0</v>
      </c>
      <c r="L1033" t="s">
        <v>112</v>
      </c>
      <c r="M1033" t="s">
        <v>138</v>
      </c>
      <c r="N1033">
        <v>0</v>
      </c>
      <c r="O1033">
        <v>0</v>
      </c>
      <c r="P1033" t="s">
        <v>138</v>
      </c>
      <c r="Q1033">
        <v>35</v>
      </c>
      <c r="R1033">
        <v>0</v>
      </c>
      <c r="S1033">
        <v>0</v>
      </c>
      <c r="T1033">
        <v>4</v>
      </c>
      <c r="U1033" s="1" t="s">
        <v>3245</v>
      </c>
      <c r="V1033">
        <v>25</v>
      </c>
      <c r="W1033">
        <v>0</v>
      </c>
      <c r="X1033">
        <v>10</v>
      </c>
      <c r="Y1033">
        <v>0</v>
      </c>
      <c r="Z1033" t="s">
        <v>288</v>
      </c>
      <c r="AA1033">
        <v>1.75</v>
      </c>
      <c r="AB1033" t="s">
        <v>111</v>
      </c>
      <c r="AC1033">
        <v>0</v>
      </c>
      <c r="AD1033" t="s">
        <v>111</v>
      </c>
      <c r="AE1033">
        <v>0</v>
      </c>
      <c r="AF1033">
        <v>0</v>
      </c>
      <c r="AG1033" t="s">
        <v>111</v>
      </c>
      <c r="AH1033" t="s">
        <v>111</v>
      </c>
      <c r="AI1033" t="s">
        <v>111</v>
      </c>
      <c r="AJ1033" t="s">
        <v>111</v>
      </c>
      <c r="AK1033" t="s">
        <v>111</v>
      </c>
      <c r="AL1033" t="s">
        <v>111</v>
      </c>
      <c r="AM1033">
        <v>0</v>
      </c>
      <c r="AN1033">
        <v>0</v>
      </c>
      <c r="AO1033">
        <v>0</v>
      </c>
      <c r="AP1033" t="s">
        <v>111</v>
      </c>
      <c r="AQ1033" t="s">
        <v>111</v>
      </c>
      <c r="AR1033" t="s">
        <v>111</v>
      </c>
      <c r="AS1033" t="s">
        <v>111</v>
      </c>
      <c r="AT1033" t="s">
        <v>111</v>
      </c>
      <c r="AU1033" t="s">
        <v>111</v>
      </c>
      <c r="AV1033" t="s">
        <v>111</v>
      </c>
      <c r="AW1033" t="s">
        <v>111</v>
      </c>
      <c r="AX1033" t="s">
        <v>111</v>
      </c>
      <c r="AY1033" t="s">
        <v>111</v>
      </c>
      <c r="AZ1033" t="s">
        <v>111</v>
      </c>
      <c r="BA1033" t="s">
        <v>111</v>
      </c>
      <c r="BB1033" t="s">
        <v>111</v>
      </c>
      <c r="BC1033" t="s">
        <v>111</v>
      </c>
      <c r="BD1033" t="s">
        <v>111</v>
      </c>
      <c r="BE1033" t="s">
        <v>111</v>
      </c>
      <c r="BF1033" t="s">
        <v>111</v>
      </c>
      <c r="BG1033" t="s">
        <v>111</v>
      </c>
      <c r="BH1033" t="s">
        <v>111</v>
      </c>
      <c r="BI1033" t="s">
        <v>111</v>
      </c>
      <c r="BJ1033" t="s">
        <v>111</v>
      </c>
      <c r="BK1033" t="s">
        <v>111</v>
      </c>
      <c r="BL1033" t="s">
        <v>111</v>
      </c>
      <c r="BM1033" t="s">
        <v>111</v>
      </c>
      <c r="BN1033" t="s">
        <v>111</v>
      </c>
      <c r="BO1033" t="s">
        <v>111</v>
      </c>
      <c r="BP1033" t="s">
        <v>111</v>
      </c>
      <c r="BQ1033" t="s">
        <v>111</v>
      </c>
      <c r="BR1033" t="s">
        <v>111</v>
      </c>
      <c r="BS1033" t="s">
        <v>111</v>
      </c>
      <c r="BT1033" t="s">
        <v>111</v>
      </c>
      <c r="BU1033" t="s">
        <v>111</v>
      </c>
      <c r="BV1033" t="s">
        <v>111</v>
      </c>
      <c r="BW1033" t="s">
        <v>111</v>
      </c>
      <c r="BX1033" t="s">
        <v>111</v>
      </c>
      <c r="BY1033" t="s">
        <v>111</v>
      </c>
      <c r="BZ1033" t="s">
        <v>111</v>
      </c>
      <c r="CA1033" t="s">
        <v>111</v>
      </c>
      <c r="CB1033" t="s">
        <v>111</v>
      </c>
      <c r="CC1033" t="s">
        <v>111</v>
      </c>
      <c r="CD1033" t="s">
        <v>111</v>
      </c>
      <c r="CE1033" t="s">
        <v>111</v>
      </c>
      <c r="CF1033" t="s">
        <v>111</v>
      </c>
      <c r="CG1033" t="s">
        <v>111</v>
      </c>
      <c r="CH1033" t="s">
        <v>111</v>
      </c>
      <c r="CI1033" t="s">
        <v>111</v>
      </c>
      <c r="CJ1033" t="s">
        <v>111</v>
      </c>
      <c r="CK1033" t="s">
        <v>111</v>
      </c>
      <c r="CL1033" t="s">
        <v>111</v>
      </c>
      <c r="CM1033" t="s">
        <v>111</v>
      </c>
      <c r="CN1033" t="s">
        <v>111</v>
      </c>
      <c r="CO1033" t="s">
        <v>111</v>
      </c>
      <c r="CP1033" t="s">
        <v>111</v>
      </c>
      <c r="CQ1033">
        <v>0</v>
      </c>
      <c r="CR1033">
        <v>200</v>
      </c>
      <c r="CS1033">
        <v>20</v>
      </c>
      <c r="CT1033" s="1" t="s">
        <v>3246</v>
      </c>
      <c r="CU1033">
        <v>0</v>
      </c>
      <c r="CV1033" t="s">
        <v>111</v>
      </c>
      <c r="CW1033" t="s">
        <v>111</v>
      </c>
      <c r="CX1033" t="s">
        <v>111</v>
      </c>
      <c r="CY1033">
        <v>0</v>
      </c>
      <c r="CZ1033" t="s">
        <v>111</v>
      </c>
      <c r="DA1033" t="s">
        <v>111</v>
      </c>
      <c r="DB1033" t="s">
        <v>204</v>
      </c>
      <c r="DC1033" s="1" t="s">
        <v>3247</v>
      </c>
    </row>
    <row r="1034" spans="1:107">
      <c r="A1034">
        <v>154</v>
      </c>
      <c r="B1034" t="s">
        <v>162</v>
      </c>
      <c r="C1034" t="s">
        <v>428</v>
      </c>
      <c r="D1034" t="s">
        <v>3248</v>
      </c>
      <c r="E1034" t="s">
        <v>3249</v>
      </c>
      <c r="F1034" t="s">
        <v>116</v>
      </c>
      <c r="G1034" t="s">
        <v>416</v>
      </c>
      <c r="H1034">
        <v>1</v>
      </c>
      <c r="I1034">
        <v>60</v>
      </c>
      <c r="J1034">
        <v>0</v>
      </c>
      <c r="K1034">
        <v>0</v>
      </c>
      <c r="L1034" t="s">
        <v>178</v>
      </c>
      <c r="M1034" t="s">
        <v>138</v>
      </c>
      <c r="N1034">
        <v>0</v>
      </c>
      <c r="O1034">
        <v>0</v>
      </c>
      <c r="P1034" t="s">
        <v>138</v>
      </c>
      <c r="Q1034">
        <v>40</v>
      </c>
      <c r="R1034">
        <v>0</v>
      </c>
      <c r="S1034">
        <v>0</v>
      </c>
      <c r="T1034">
        <v>0</v>
      </c>
      <c r="U1034" s="1" t="s">
        <v>3250</v>
      </c>
      <c r="V1034">
        <v>0</v>
      </c>
      <c r="W1034">
        <v>25</v>
      </c>
      <c r="X1034">
        <v>8</v>
      </c>
      <c r="Y1034">
        <v>0</v>
      </c>
      <c r="Z1034" t="s">
        <v>111</v>
      </c>
      <c r="AA1034">
        <v>0</v>
      </c>
      <c r="AB1034" t="s">
        <v>111</v>
      </c>
      <c r="AC1034">
        <v>0</v>
      </c>
      <c r="AD1034" t="s">
        <v>111</v>
      </c>
      <c r="AE1034">
        <v>0</v>
      </c>
      <c r="AF1034">
        <v>0</v>
      </c>
      <c r="AG1034" t="s">
        <v>111</v>
      </c>
      <c r="AH1034" t="s">
        <v>111</v>
      </c>
      <c r="AI1034" t="s">
        <v>111</v>
      </c>
      <c r="AJ1034" t="s">
        <v>111</v>
      </c>
      <c r="AK1034" t="s">
        <v>111</v>
      </c>
      <c r="AL1034" t="s">
        <v>111</v>
      </c>
      <c r="AM1034">
        <v>0</v>
      </c>
      <c r="AN1034">
        <v>0</v>
      </c>
      <c r="AO1034">
        <v>0</v>
      </c>
      <c r="AP1034" t="s">
        <v>111</v>
      </c>
      <c r="AQ1034" t="s">
        <v>111</v>
      </c>
      <c r="AR1034" t="s">
        <v>111</v>
      </c>
      <c r="AS1034" t="s">
        <v>111</v>
      </c>
      <c r="AT1034" t="s">
        <v>111</v>
      </c>
      <c r="AU1034" t="s">
        <v>111</v>
      </c>
      <c r="AV1034" t="s">
        <v>111</v>
      </c>
      <c r="AW1034" t="s">
        <v>111</v>
      </c>
      <c r="AX1034" t="s">
        <v>111</v>
      </c>
      <c r="AY1034" t="s">
        <v>111</v>
      </c>
      <c r="AZ1034" t="s">
        <v>111</v>
      </c>
      <c r="BA1034" t="s">
        <v>111</v>
      </c>
      <c r="BB1034" t="s">
        <v>111</v>
      </c>
      <c r="BC1034" t="s">
        <v>111</v>
      </c>
      <c r="BD1034" t="s">
        <v>111</v>
      </c>
      <c r="BE1034" t="s">
        <v>111</v>
      </c>
      <c r="BF1034" t="s">
        <v>111</v>
      </c>
      <c r="BG1034" t="s">
        <v>111</v>
      </c>
      <c r="BH1034" t="s">
        <v>111</v>
      </c>
      <c r="BI1034" t="s">
        <v>111</v>
      </c>
      <c r="BJ1034" t="s">
        <v>111</v>
      </c>
      <c r="BK1034" t="s">
        <v>111</v>
      </c>
      <c r="BL1034" t="s">
        <v>111</v>
      </c>
      <c r="BM1034" t="s">
        <v>111</v>
      </c>
      <c r="BN1034" t="s">
        <v>111</v>
      </c>
      <c r="BO1034" t="s">
        <v>111</v>
      </c>
      <c r="BP1034" t="s">
        <v>111</v>
      </c>
      <c r="BQ1034" t="s">
        <v>111</v>
      </c>
      <c r="BR1034" t="s">
        <v>111</v>
      </c>
      <c r="BS1034" t="s">
        <v>111</v>
      </c>
      <c r="BT1034" t="s">
        <v>111</v>
      </c>
      <c r="BU1034" t="s">
        <v>111</v>
      </c>
      <c r="BV1034" t="s">
        <v>111</v>
      </c>
      <c r="BW1034" t="s">
        <v>111</v>
      </c>
      <c r="BX1034" t="s">
        <v>111</v>
      </c>
      <c r="BY1034" t="s">
        <v>111</v>
      </c>
      <c r="BZ1034" t="s">
        <v>111</v>
      </c>
      <c r="CA1034" t="s">
        <v>111</v>
      </c>
      <c r="CB1034" t="s">
        <v>111</v>
      </c>
      <c r="CC1034" t="s">
        <v>111</v>
      </c>
      <c r="CD1034" t="s">
        <v>111</v>
      </c>
      <c r="CE1034" t="s">
        <v>111</v>
      </c>
      <c r="CF1034" t="s">
        <v>111</v>
      </c>
      <c r="CG1034" t="s">
        <v>111</v>
      </c>
      <c r="CH1034" t="s">
        <v>111</v>
      </c>
      <c r="CI1034" t="s">
        <v>111</v>
      </c>
      <c r="CJ1034" t="s">
        <v>111</v>
      </c>
      <c r="CK1034" t="s">
        <v>111</v>
      </c>
      <c r="CL1034" t="s">
        <v>111</v>
      </c>
      <c r="CM1034" t="s">
        <v>111</v>
      </c>
      <c r="CN1034" t="s">
        <v>111</v>
      </c>
      <c r="CO1034" t="s">
        <v>111</v>
      </c>
      <c r="CP1034" t="s">
        <v>111</v>
      </c>
      <c r="CQ1034">
        <v>0</v>
      </c>
      <c r="CR1034">
        <v>0</v>
      </c>
      <c r="CS1034">
        <v>0</v>
      </c>
      <c r="CT1034" t="s">
        <v>111</v>
      </c>
      <c r="CU1034">
        <v>0</v>
      </c>
      <c r="CV1034" t="s">
        <v>111</v>
      </c>
      <c r="CW1034" t="s">
        <v>111</v>
      </c>
      <c r="CX1034" t="s">
        <v>111</v>
      </c>
      <c r="CY1034">
        <v>0</v>
      </c>
      <c r="CZ1034" t="s">
        <v>111</v>
      </c>
      <c r="DA1034" t="s">
        <v>111</v>
      </c>
      <c r="DB1034" t="s">
        <v>204</v>
      </c>
      <c r="DC1034" s="1" t="s">
        <v>3251</v>
      </c>
    </row>
    <row r="1035" spans="1:107">
      <c r="A1035">
        <v>56</v>
      </c>
      <c r="B1035" t="s">
        <v>162</v>
      </c>
      <c r="C1035" t="s">
        <v>223</v>
      </c>
      <c r="D1035" t="s">
        <v>3252</v>
      </c>
      <c r="E1035" t="s">
        <v>2337</v>
      </c>
      <c r="F1035" t="s">
        <v>431</v>
      </c>
      <c r="G1035" t="s">
        <v>416</v>
      </c>
      <c r="H1035">
        <v>3</v>
      </c>
      <c r="I1035">
        <v>35</v>
      </c>
      <c r="J1035">
        <v>0</v>
      </c>
      <c r="K1035">
        <v>0</v>
      </c>
      <c r="L1035" t="s">
        <v>112</v>
      </c>
      <c r="M1035" t="s">
        <v>118</v>
      </c>
      <c r="N1035">
        <v>40</v>
      </c>
      <c r="O1035">
        <v>2</v>
      </c>
      <c r="P1035" t="s">
        <v>138</v>
      </c>
      <c r="Q1035">
        <v>40</v>
      </c>
      <c r="R1035">
        <v>0</v>
      </c>
      <c r="S1035">
        <v>0</v>
      </c>
      <c r="T1035">
        <v>0</v>
      </c>
      <c r="U1035" t="s">
        <v>1353</v>
      </c>
      <c r="V1035">
        <v>0</v>
      </c>
      <c r="W1035">
        <v>25</v>
      </c>
      <c r="X1035">
        <v>10</v>
      </c>
      <c r="Y1035">
        <v>0</v>
      </c>
      <c r="Z1035" t="s">
        <v>288</v>
      </c>
      <c r="AA1035">
        <v>1.75</v>
      </c>
      <c r="AB1035" t="s">
        <v>111</v>
      </c>
      <c r="AC1035">
        <v>0</v>
      </c>
      <c r="AD1035" t="s">
        <v>416</v>
      </c>
      <c r="AE1035">
        <v>2</v>
      </c>
      <c r="AF1035">
        <v>2</v>
      </c>
      <c r="AG1035" t="s">
        <v>691</v>
      </c>
      <c r="AH1035" t="s">
        <v>111</v>
      </c>
      <c r="AI1035">
        <v>38</v>
      </c>
      <c r="AJ1035" t="s">
        <v>111</v>
      </c>
      <c r="AK1035" t="s">
        <v>111</v>
      </c>
      <c r="AL1035" t="s">
        <v>111</v>
      </c>
      <c r="AM1035">
        <v>0</v>
      </c>
      <c r="AN1035">
        <v>0</v>
      </c>
      <c r="AO1035">
        <v>0</v>
      </c>
      <c r="AP1035" t="s">
        <v>366</v>
      </c>
      <c r="AQ1035" t="s">
        <v>111</v>
      </c>
      <c r="AR1035" t="s">
        <v>111</v>
      </c>
      <c r="AS1035" t="s">
        <v>111</v>
      </c>
      <c r="AT1035" t="s">
        <v>271</v>
      </c>
      <c r="AU1035" t="s">
        <v>111</v>
      </c>
      <c r="AV1035" t="s">
        <v>111</v>
      </c>
      <c r="AW1035" t="s">
        <v>111</v>
      </c>
      <c r="AX1035" t="s">
        <v>111</v>
      </c>
      <c r="AY1035" t="s">
        <v>111</v>
      </c>
      <c r="AZ1035" t="s">
        <v>111</v>
      </c>
      <c r="BA1035" t="s">
        <v>111</v>
      </c>
      <c r="BB1035" t="s">
        <v>111</v>
      </c>
      <c r="BC1035" t="s">
        <v>111</v>
      </c>
      <c r="BD1035" t="s">
        <v>111</v>
      </c>
      <c r="BE1035" t="s">
        <v>111</v>
      </c>
      <c r="BF1035" t="s">
        <v>111</v>
      </c>
      <c r="BG1035" t="s">
        <v>111</v>
      </c>
      <c r="BH1035" t="s">
        <v>111</v>
      </c>
      <c r="BI1035" t="s">
        <v>111</v>
      </c>
      <c r="BJ1035" t="s">
        <v>111</v>
      </c>
      <c r="BK1035" t="s">
        <v>111</v>
      </c>
      <c r="BL1035" t="s">
        <v>111</v>
      </c>
      <c r="BM1035" t="s">
        <v>111</v>
      </c>
      <c r="BN1035" t="s">
        <v>111</v>
      </c>
      <c r="BO1035" t="s">
        <v>111</v>
      </c>
      <c r="BP1035" t="s">
        <v>111</v>
      </c>
      <c r="BQ1035" t="s">
        <v>111</v>
      </c>
      <c r="BR1035" t="s">
        <v>111</v>
      </c>
      <c r="BS1035" t="s">
        <v>111</v>
      </c>
      <c r="BT1035" t="s">
        <v>111</v>
      </c>
      <c r="BU1035" t="s">
        <v>111</v>
      </c>
      <c r="BV1035" t="s">
        <v>111</v>
      </c>
      <c r="BW1035" t="s">
        <v>111</v>
      </c>
      <c r="BX1035" t="s">
        <v>111</v>
      </c>
      <c r="BY1035" t="s">
        <v>111</v>
      </c>
      <c r="BZ1035" t="s">
        <v>111</v>
      </c>
      <c r="CA1035" t="s">
        <v>111</v>
      </c>
      <c r="CB1035" t="s">
        <v>111</v>
      </c>
      <c r="CC1035" t="s">
        <v>111</v>
      </c>
      <c r="CD1035" t="s">
        <v>111</v>
      </c>
      <c r="CE1035" t="s">
        <v>111</v>
      </c>
      <c r="CF1035" t="s">
        <v>111</v>
      </c>
      <c r="CG1035" t="s">
        <v>111</v>
      </c>
      <c r="CH1035" t="s">
        <v>111</v>
      </c>
      <c r="CI1035" t="s">
        <v>111</v>
      </c>
      <c r="CJ1035" t="s">
        <v>111</v>
      </c>
      <c r="CK1035" t="s">
        <v>111</v>
      </c>
      <c r="CL1035" t="s">
        <v>234</v>
      </c>
      <c r="CM1035" t="s">
        <v>111</v>
      </c>
      <c r="CN1035" t="s">
        <v>111</v>
      </c>
      <c r="CO1035" t="s">
        <v>111</v>
      </c>
      <c r="CP1035" t="s">
        <v>111</v>
      </c>
      <c r="CQ1035">
        <v>0</v>
      </c>
      <c r="CR1035">
        <v>0</v>
      </c>
      <c r="CS1035">
        <v>0</v>
      </c>
      <c r="CT1035" t="s">
        <v>111</v>
      </c>
      <c r="CU1035">
        <v>0</v>
      </c>
      <c r="CV1035" t="s">
        <v>111</v>
      </c>
      <c r="CW1035" t="s">
        <v>111</v>
      </c>
      <c r="CX1035" t="s">
        <v>111</v>
      </c>
      <c r="CY1035">
        <v>0</v>
      </c>
      <c r="CZ1035" t="s">
        <v>111</v>
      </c>
      <c r="DA1035" t="s">
        <v>111</v>
      </c>
      <c r="DB1035" t="s">
        <v>204</v>
      </c>
      <c r="DC1035" s="1" t="s">
        <v>3032</v>
      </c>
    </row>
    <row r="1036" spans="1:107">
      <c r="A1036">
        <v>55</v>
      </c>
      <c r="B1036" t="s">
        <v>162</v>
      </c>
      <c r="C1036" t="s">
        <v>223</v>
      </c>
      <c r="D1036" t="s">
        <v>3253</v>
      </c>
      <c r="E1036" t="s">
        <v>3254</v>
      </c>
      <c r="F1036" t="s">
        <v>287</v>
      </c>
      <c r="G1036" t="s">
        <v>416</v>
      </c>
      <c r="H1036">
        <v>2.5</v>
      </c>
      <c r="I1036">
        <v>43</v>
      </c>
      <c r="J1036">
        <v>0</v>
      </c>
      <c r="K1036">
        <v>0</v>
      </c>
      <c r="L1036" t="s">
        <v>112</v>
      </c>
      <c r="M1036" t="s">
        <v>138</v>
      </c>
      <c r="N1036">
        <v>0</v>
      </c>
      <c r="O1036">
        <v>0</v>
      </c>
      <c r="P1036" t="s">
        <v>138</v>
      </c>
      <c r="Q1036">
        <v>40</v>
      </c>
      <c r="R1036">
        <v>0</v>
      </c>
      <c r="S1036">
        <v>0</v>
      </c>
      <c r="T1036">
        <v>0</v>
      </c>
      <c r="U1036" t="s">
        <v>234</v>
      </c>
      <c r="V1036">
        <v>25</v>
      </c>
      <c r="W1036">
        <v>0</v>
      </c>
      <c r="X1036">
        <v>10</v>
      </c>
      <c r="Y1036">
        <v>0</v>
      </c>
      <c r="Z1036" t="s">
        <v>288</v>
      </c>
      <c r="AA1036">
        <v>1.75</v>
      </c>
      <c r="AB1036" t="s">
        <v>111</v>
      </c>
      <c r="AC1036">
        <v>0</v>
      </c>
      <c r="AD1036" t="s">
        <v>111</v>
      </c>
      <c r="AE1036">
        <v>0</v>
      </c>
      <c r="AF1036">
        <v>0</v>
      </c>
      <c r="AG1036" t="s">
        <v>111</v>
      </c>
      <c r="AH1036" t="s">
        <v>111</v>
      </c>
      <c r="AI1036" t="s">
        <v>111</v>
      </c>
      <c r="AJ1036" t="s">
        <v>111</v>
      </c>
      <c r="AK1036" t="s">
        <v>111</v>
      </c>
      <c r="AL1036" t="s">
        <v>111</v>
      </c>
      <c r="AM1036">
        <v>0</v>
      </c>
      <c r="AN1036">
        <v>0</v>
      </c>
      <c r="AO1036">
        <v>0</v>
      </c>
      <c r="AP1036" t="s">
        <v>111</v>
      </c>
      <c r="AQ1036" t="s">
        <v>111</v>
      </c>
      <c r="AR1036" t="s">
        <v>111</v>
      </c>
      <c r="AS1036" t="s">
        <v>111</v>
      </c>
      <c r="AT1036" t="s">
        <v>111</v>
      </c>
      <c r="AU1036" t="s">
        <v>111</v>
      </c>
      <c r="AV1036" t="s">
        <v>111</v>
      </c>
      <c r="AW1036" t="s">
        <v>111</v>
      </c>
      <c r="AX1036" t="s">
        <v>111</v>
      </c>
      <c r="AY1036" t="s">
        <v>111</v>
      </c>
      <c r="AZ1036" t="s">
        <v>111</v>
      </c>
      <c r="BA1036" t="s">
        <v>111</v>
      </c>
      <c r="BB1036" t="s">
        <v>111</v>
      </c>
      <c r="BC1036" t="s">
        <v>111</v>
      </c>
      <c r="BD1036" t="s">
        <v>111</v>
      </c>
      <c r="BE1036" t="s">
        <v>111</v>
      </c>
      <c r="BF1036" t="s">
        <v>111</v>
      </c>
      <c r="BG1036" t="s">
        <v>111</v>
      </c>
      <c r="BH1036" t="s">
        <v>111</v>
      </c>
      <c r="BI1036" t="s">
        <v>111</v>
      </c>
      <c r="BJ1036" t="s">
        <v>111</v>
      </c>
      <c r="BK1036" t="s">
        <v>111</v>
      </c>
      <c r="BL1036" t="s">
        <v>111</v>
      </c>
      <c r="BM1036" t="s">
        <v>111</v>
      </c>
      <c r="BN1036" t="s">
        <v>111</v>
      </c>
      <c r="BO1036" t="s">
        <v>111</v>
      </c>
      <c r="BP1036" t="s">
        <v>111</v>
      </c>
      <c r="BQ1036" t="s">
        <v>111</v>
      </c>
      <c r="BR1036" t="s">
        <v>111</v>
      </c>
      <c r="BS1036" t="s">
        <v>111</v>
      </c>
      <c r="BT1036" t="s">
        <v>111</v>
      </c>
      <c r="BU1036" t="s">
        <v>111</v>
      </c>
      <c r="BV1036" t="s">
        <v>111</v>
      </c>
      <c r="BW1036" t="s">
        <v>111</v>
      </c>
      <c r="BX1036" t="s">
        <v>111</v>
      </c>
      <c r="BY1036" t="s">
        <v>111</v>
      </c>
      <c r="BZ1036" t="s">
        <v>111</v>
      </c>
      <c r="CA1036" t="s">
        <v>111</v>
      </c>
      <c r="CB1036" t="s">
        <v>111</v>
      </c>
      <c r="CC1036" t="s">
        <v>111</v>
      </c>
      <c r="CD1036" t="s">
        <v>111</v>
      </c>
      <c r="CE1036" t="s">
        <v>111</v>
      </c>
      <c r="CF1036" t="s">
        <v>111</v>
      </c>
      <c r="CG1036" t="s">
        <v>111</v>
      </c>
      <c r="CH1036" t="s">
        <v>111</v>
      </c>
      <c r="CI1036" t="s">
        <v>111</v>
      </c>
      <c r="CJ1036" t="s">
        <v>111</v>
      </c>
      <c r="CK1036" t="s">
        <v>111</v>
      </c>
      <c r="CL1036" t="s">
        <v>111</v>
      </c>
      <c r="CM1036" t="s">
        <v>111</v>
      </c>
      <c r="CN1036" t="s">
        <v>111</v>
      </c>
      <c r="CO1036" t="s">
        <v>111</v>
      </c>
      <c r="CP1036" t="s">
        <v>111</v>
      </c>
      <c r="CQ1036">
        <v>0</v>
      </c>
      <c r="CR1036">
        <v>300</v>
      </c>
      <c r="CS1036">
        <v>20</v>
      </c>
      <c r="CT1036" t="s">
        <v>234</v>
      </c>
      <c r="CU1036">
        <v>0</v>
      </c>
      <c r="CV1036" t="s">
        <v>111</v>
      </c>
      <c r="CW1036" t="s">
        <v>111</v>
      </c>
      <c r="CX1036" t="s">
        <v>111</v>
      </c>
      <c r="CY1036">
        <v>0</v>
      </c>
      <c r="CZ1036" t="s">
        <v>111</v>
      </c>
      <c r="DA1036" t="s">
        <v>111</v>
      </c>
      <c r="DB1036" t="s">
        <v>204</v>
      </c>
      <c r="DC1036" s="1" t="s">
        <v>3032</v>
      </c>
    </row>
    <row r="1037" spans="1:107">
      <c r="A1037">
        <v>204</v>
      </c>
      <c r="B1037" t="s">
        <v>162</v>
      </c>
      <c r="C1037" t="s">
        <v>174</v>
      </c>
      <c r="D1037" t="s">
        <v>3255</v>
      </c>
      <c r="E1037" t="s">
        <v>3256</v>
      </c>
      <c r="F1037" t="s">
        <v>192</v>
      </c>
      <c r="G1037" t="s">
        <v>416</v>
      </c>
      <c r="H1037">
        <v>3</v>
      </c>
      <c r="I1037">
        <v>52</v>
      </c>
      <c r="J1037">
        <v>0</v>
      </c>
      <c r="K1037">
        <v>0</v>
      </c>
      <c r="L1037" t="s">
        <v>112</v>
      </c>
      <c r="M1037" t="s">
        <v>138</v>
      </c>
      <c r="N1037">
        <v>0</v>
      </c>
      <c r="O1037">
        <v>0</v>
      </c>
      <c r="P1037" t="s">
        <v>138</v>
      </c>
      <c r="Q1037">
        <v>35</v>
      </c>
      <c r="R1037">
        <v>0</v>
      </c>
      <c r="S1037">
        <v>0</v>
      </c>
      <c r="T1037">
        <v>0</v>
      </c>
      <c r="U1037" t="s">
        <v>153</v>
      </c>
      <c r="V1037">
        <v>0</v>
      </c>
      <c r="W1037">
        <v>25</v>
      </c>
      <c r="X1037">
        <v>8</v>
      </c>
      <c r="Y1037">
        <v>0</v>
      </c>
      <c r="Z1037" t="s">
        <v>111</v>
      </c>
      <c r="AA1037">
        <v>0</v>
      </c>
      <c r="AB1037" t="s">
        <v>111</v>
      </c>
      <c r="AC1037">
        <v>0</v>
      </c>
      <c r="AD1037" t="s">
        <v>111</v>
      </c>
      <c r="AE1037">
        <v>0</v>
      </c>
      <c r="AF1037">
        <v>0</v>
      </c>
      <c r="AG1037" t="s">
        <v>111</v>
      </c>
      <c r="AH1037" t="s">
        <v>111</v>
      </c>
      <c r="AI1037" t="s">
        <v>111</v>
      </c>
      <c r="AJ1037" t="s">
        <v>111</v>
      </c>
      <c r="AK1037" t="s">
        <v>111</v>
      </c>
      <c r="AL1037" t="s">
        <v>111</v>
      </c>
      <c r="AM1037">
        <v>0</v>
      </c>
      <c r="AN1037">
        <v>0</v>
      </c>
      <c r="AO1037">
        <v>0</v>
      </c>
      <c r="AP1037" t="s">
        <v>111</v>
      </c>
      <c r="AQ1037" t="s">
        <v>111</v>
      </c>
      <c r="AR1037" t="s">
        <v>111</v>
      </c>
      <c r="AS1037" t="s">
        <v>111</v>
      </c>
      <c r="AT1037" t="s">
        <v>111</v>
      </c>
      <c r="AU1037" t="s">
        <v>111</v>
      </c>
      <c r="AV1037" t="s">
        <v>111</v>
      </c>
      <c r="AW1037" t="s">
        <v>111</v>
      </c>
      <c r="AX1037" t="s">
        <v>111</v>
      </c>
      <c r="AY1037" t="s">
        <v>111</v>
      </c>
      <c r="AZ1037" t="s">
        <v>111</v>
      </c>
      <c r="BA1037" t="s">
        <v>111</v>
      </c>
      <c r="BB1037" t="s">
        <v>111</v>
      </c>
      <c r="BC1037" t="s">
        <v>111</v>
      </c>
      <c r="BD1037" t="s">
        <v>111</v>
      </c>
      <c r="BE1037" t="s">
        <v>111</v>
      </c>
      <c r="BF1037" t="s">
        <v>111</v>
      </c>
      <c r="BG1037" t="s">
        <v>111</v>
      </c>
      <c r="BH1037" t="s">
        <v>111</v>
      </c>
      <c r="BI1037" t="s">
        <v>111</v>
      </c>
      <c r="BJ1037" t="s">
        <v>111</v>
      </c>
      <c r="BK1037" t="s">
        <v>111</v>
      </c>
      <c r="BL1037" t="s">
        <v>111</v>
      </c>
      <c r="BM1037" t="s">
        <v>111</v>
      </c>
      <c r="BN1037" t="s">
        <v>111</v>
      </c>
      <c r="BO1037" t="s">
        <v>111</v>
      </c>
      <c r="BP1037" t="s">
        <v>111</v>
      </c>
      <c r="BQ1037" t="s">
        <v>111</v>
      </c>
      <c r="BR1037" t="s">
        <v>111</v>
      </c>
      <c r="BS1037" t="s">
        <v>111</v>
      </c>
      <c r="BT1037" t="s">
        <v>111</v>
      </c>
      <c r="BU1037" t="s">
        <v>111</v>
      </c>
      <c r="BV1037" t="s">
        <v>111</v>
      </c>
      <c r="BW1037" t="s">
        <v>111</v>
      </c>
      <c r="BX1037" t="s">
        <v>111</v>
      </c>
      <c r="BY1037" t="s">
        <v>111</v>
      </c>
      <c r="BZ1037" t="s">
        <v>111</v>
      </c>
      <c r="CA1037" t="s">
        <v>111</v>
      </c>
      <c r="CB1037" t="s">
        <v>111</v>
      </c>
      <c r="CC1037" t="s">
        <v>111</v>
      </c>
      <c r="CD1037" t="s">
        <v>111</v>
      </c>
      <c r="CE1037" t="s">
        <v>111</v>
      </c>
      <c r="CF1037" t="s">
        <v>111</v>
      </c>
      <c r="CG1037" t="s">
        <v>111</v>
      </c>
      <c r="CH1037" t="s">
        <v>111</v>
      </c>
      <c r="CI1037" t="s">
        <v>111</v>
      </c>
      <c r="CJ1037" t="s">
        <v>111</v>
      </c>
      <c r="CK1037" t="s">
        <v>111</v>
      </c>
      <c r="CL1037" t="s">
        <v>111</v>
      </c>
      <c r="CM1037" t="s">
        <v>198</v>
      </c>
      <c r="CN1037" t="s">
        <v>113</v>
      </c>
      <c r="CO1037" t="s">
        <v>111</v>
      </c>
      <c r="CP1037" t="s">
        <v>111</v>
      </c>
      <c r="CQ1037">
        <v>0</v>
      </c>
      <c r="CR1037">
        <v>0</v>
      </c>
      <c r="CS1037">
        <v>0</v>
      </c>
      <c r="CT1037" s="1" t="s">
        <v>3257</v>
      </c>
      <c r="CU1037">
        <v>0</v>
      </c>
      <c r="CV1037" t="s">
        <v>111</v>
      </c>
      <c r="CW1037" t="s">
        <v>111</v>
      </c>
      <c r="CX1037" t="s">
        <v>111</v>
      </c>
      <c r="CY1037">
        <v>0</v>
      </c>
      <c r="CZ1037" t="s">
        <v>111</v>
      </c>
      <c r="DA1037" t="s">
        <v>111</v>
      </c>
      <c r="DB1037" t="s">
        <v>111</v>
      </c>
      <c r="DC1037" t="s">
        <v>111</v>
      </c>
    </row>
    <row r="1038" spans="1:107">
      <c r="A1038">
        <v>121</v>
      </c>
      <c r="B1038" t="s">
        <v>162</v>
      </c>
      <c r="C1038" t="s">
        <v>174</v>
      </c>
      <c r="D1038" t="s">
        <v>3258</v>
      </c>
      <c r="E1038" t="s">
        <v>3259</v>
      </c>
      <c r="F1038" t="s">
        <v>431</v>
      </c>
      <c r="G1038" t="s">
        <v>416</v>
      </c>
      <c r="H1038">
        <v>3</v>
      </c>
      <c r="I1038">
        <v>25</v>
      </c>
      <c r="J1038">
        <v>0</v>
      </c>
      <c r="K1038">
        <v>0</v>
      </c>
      <c r="L1038" t="s">
        <v>112</v>
      </c>
      <c r="M1038" t="s">
        <v>118</v>
      </c>
      <c r="N1038">
        <v>40</v>
      </c>
      <c r="O1038">
        <v>2</v>
      </c>
      <c r="P1038" t="s">
        <v>138</v>
      </c>
      <c r="Q1038">
        <v>35</v>
      </c>
      <c r="R1038">
        <v>0</v>
      </c>
      <c r="S1038">
        <v>0</v>
      </c>
      <c r="T1038">
        <v>0</v>
      </c>
      <c r="U1038" s="1" t="s">
        <v>3260</v>
      </c>
      <c r="V1038">
        <v>0</v>
      </c>
      <c r="W1038">
        <v>25</v>
      </c>
      <c r="X1038">
        <v>10</v>
      </c>
      <c r="Y1038">
        <v>0</v>
      </c>
      <c r="Z1038" t="s">
        <v>111</v>
      </c>
      <c r="AA1038">
        <v>0</v>
      </c>
      <c r="AB1038" t="s">
        <v>111</v>
      </c>
      <c r="AC1038">
        <v>0</v>
      </c>
      <c r="AD1038" t="s">
        <v>416</v>
      </c>
      <c r="AE1038">
        <v>4</v>
      </c>
      <c r="AF1038">
        <v>2</v>
      </c>
      <c r="AG1038">
        <v>46</v>
      </c>
      <c r="AH1038" t="s">
        <v>111</v>
      </c>
      <c r="AI1038">
        <v>46</v>
      </c>
      <c r="AJ1038" t="s">
        <v>111</v>
      </c>
      <c r="AK1038" t="s">
        <v>111</v>
      </c>
      <c r="AL1038" t="s">
        <v>111</v>
      </c>
      <c r="AM1038">
        <v>0</v>
      </c>
      <c r="AN1038">
        <v>0</v>
      </c>
      <c r="AO1038">
        <v>0</v>
      </c>
      <c r="AP1038" t="s">
        <v>111</v>
      </c>
      <c r="AQ1038" t="s">
        <v>111</v>
      </c>
      <c r="AR1038" t="s">
        <v>111</v>
      </c>
      <c r="AS1038" t="s">
        <v>111</v>
      </c>
      <c r="AT1038" t="s">
        <v>271</v>
      </c>
      <c r="AU1038" t="s">
        <v>111</v>
      </c>
      <c r="AV1038" t="s">
        <v>111</v>
      </c>
      <c r="AW1038" t="s">
        <v>111</v>
      </c>
      <c r="AX1038" t="s">
        <v>147</v>
      </c>
      <c r="AY1038" t="s">
        <v>111</v>
      </c>
      <c r="AZ1038" t="s">
        <v>111</v>
      </c>
      <c r="BA1038" t="s">
        <v>111</v>
      </c>
      <c r="BB1038" t="s">
        <v>288</v>
      </c>
      <c r="BC1038" t="s">
        <v>111</v>
      </c>
      <c r="BD1038" t="s">
        <v>111</v>
      </c>
      <c r="BE1038" t="s">
        <v>111</v>
      </c>
      <c r="BF1038" t="s">
        <v>111</v>
      </c>
      <c r="BG1038" t="s">
        <v>111</v>
      </c>
      <c r="BH1038" t="s">
        <v>111</v>
      </c>
      <c r="BI1038" t="s">
        <v>111</v>
      </c>
      <c r="BJ1038" t="s">
        <v>111</v>
      </c>
      <c r="BK1038" t="s">
        <v>111</v>
      </c>
      <c r="BL1038" t="s">
        <v>111</v>
      </c>
      <c r="BM1038" t="s">
        <v>111</v>
      </c>
      <c r="BN1038" t="s">
        <v>111</v>
      </c>
      <c r="BO1038" t="s">
        <v>111</v>
      </c>
      <c r="BP1038" t="s">
        <v>111</v>
      </c>
      <c r="BQ1038" t="s">
        <v>111</v>
      </c>
      <c r="BR1038" t="s">
        <v>111</v>
      </c>
      <c r="BS1038" t="s">
        <v>111</v>
      </c>
      <c r="BT1038" t="s">
        <v>111</v>
      </c>
      <c r="BU1038" t="s">
        <v>111</v>
      </c>
      <c r="BV1038" t="s">
        <v>111</v>
      </c>
      <c r="BW1038" t="s">
        <v>111</v>
      </c>
      <c r="BX1038" t="s">
        <v>111</v>
      </c>
      <c r="BY1038" t="s">
        <v>111</v>
      </c>
      <c r="BZ1038" t="s">
        <v>111</v>
      </c>
      <c r="CA1038" t="s">
        <v>111</v>
      </c>
      <c r="CB1038" t="s">
        <v>111</v>
      </c>
      <c r="CC1038" t="s">
        <v>111</v>
      </c>
      <c r="CD1038" t="s">
        <v>111</v>
      </c>
      <c r="CE1038" t="s">
        <v>111</v>
      </c>
      <c r="CF1038" t="s">
        <v>111</v>
      </c>
      <c r="CG1038" t="s">
        <v>111</v>
      </c>
      <c r="CH1038" t="s">
        <v>111</v>
      </c>
      <c r="CI1038" t="s">
        <v>111</v>
      </c>
      <c r="CJ1038" t="s">
        <v>111</v>
      </c>
      <c r="CK1038" t="s">
        <v>111</v>
      </c>
      <c r="CL1038" t="s">
        <v>153</v>
      </c>
      <c r="CM1038" t="s">
        <v>3261</v>
      </c>
      <c r="CN1038" t="s">
        <v>113</v>
      </c>
      <c r="CO1038" t="s">
        <v>111</v>
      </c>
      <c r="CP1038" t="s">
        <v>111</v>
      </c>
      <c r="CQ1038">
        <v>0</v>
      </c>
      <c r="CR1038">
        <v>0</v>
      </c>
      <c r="CS1038">
        <v>0</v>
      </c>
      <c r="CT1038" s="1" t="s">
        <v>3260</v>
      </c>
      <c r="CU1038">
        <v>0</v>
      </c>
      <c r="CV1038" t="s">
        <v>111</v>
      </c>
      <c r="CW1038" t="s">
        <v>111</v>
      </c>
      <c r="CX1038" t="s">
        <v>111</v>
      </c>
      <c r="CY1038">
        <v>0</v>
      </c>
      <c r="CZ1038" t="s">
        <v>111</v>
      </c>
      <c r="DA1038" t="s">
        <v>111</v>
      </c>
      <c r="DB1038" t="s">
        <v>111</v>
      </c>
      <c r="DC1038" t="s">
        <v>111</v>
      </c>
    </row>
    <row r="1039" spans="1:107">
      <c r="A1039">
        <v>172</v>
      </c>
      <c r="B1039" t="s">
        <v>162</v>
      </c>
      <c r="C1039" s="2">
        <v>15154321</v>
      </c>
      <c r="D1039" t="s">
        <v>3262</v>
      </c>
      <c r="E1039" t="s">
        <v>3263</v>
      </c>
      <c r="F1039" t="s">
        <v>739</v>
      </c>
      <c r="G1039" t="s">
        <v>416</v>
      </c>
      <c r="H1039">
        <v>3</v>
      </c>
      <c r="I1039">
        <v>40</v>
      </c>
      <c r="J1039">
        <v>0</v>
      </c>
      <c r="K1039">
        <v>0</v>
      </c>
      <c r="L1039" t="s">
        <v>112</v>
      </c>
      <c r="M1039" t="s">
        <v>118</v>
      </c>
      <c r="N1039">
        <v>40</v>
      </c>
      <c r="O1039">
        <v>2</v>
      </c>
      <c r="P1039" t="s">
        <v>138</v>
      </c>
      <c r="Q1039">
        <v>40</v>
      </c>
      <c r="R1039">
        <v>0</v>
      </c>
      <c r="S1039">
        <v>0</v>
      </c>
      <c r="T1039">
        <v>0</v>
      </c>
      <c r="U1039" t="s">
        <v>1353</v>
      </c>
      <c r="V1039">
        <v>0</v>
      </c>
      <c r="W1039">
        <v>25</v>
      </c>
      <c r="X1039">
        <v>6</v>
      </c>
      <c r="Y1039">
        <v>0</v>
      </c>
      <c r="Z1039" t="s">
        <v>288</v>
      </c>
      <c r="AA1039">
        <v>1.55</v>
      </c>
      <c r="AB1039" t="s">
        <v>111</v>
      </c>
      <c r="AC1039">
        <v>0</v>
      </c>
      <c r="AD1039" t="s">
        <v>416</v>
      </c>
      <c r="AE1039">
        <v>2</v>
      </c>
      <c r="AF1039">
        <v>1</v>
      </c>
      <c r="AG1039">
        <v>35</v>
      </c>
      <c r="AH1039" t="s">
        <v>111</v>
      </c>
      <c r="AI1039">
        <v>35</v>
      </c>
      <c r="AJ1039" t="s">
        <v>111</v>
      </c>
      <c r="AK1039" t="s">
        <v>111</v>
      </c>
      <c r="AL1039" t="s">
        <v>111</v>
      </c>
      <c r="AM1039">
        <v>0</v>
      </c>
      <c r="AN1039">
        <v>0</v>
      </c>
      <c r="AO1039">
        <v>0</v>
      </c>
      <c r="AP1039" t="s">
        <v>188</v>
      </c>
      <c r="AQ1039">
        <v>2935</v>
      </c>
      <c r="AR1039" t="s">
        <v>111</v>
      </c>
      <c r="AS1039" t="s">
        <v>111</v>
      </c>
      <c r="AT1039" t="s">
        <v>188</v>
      </c>
      <c r="AU1039">
        <v>2985</v>
      </c>
      <c r="AV1039" t="s">
        <v>111</v>
      </c>
      <c r="AW1039" t="s">
        <v>111</v>
      </c>
      <c r="AX1039" t="s">
        <v>111</v>
      </c>
      <c r="AY1039" t="s">
        <v>111</v>
      </c>
      <c r="AZ1039" t="s">
        <v>111</v>
      </c>
      <c r="BA1039" t="s">
        <v>111</v>
      </c>
      <c r="BB1039" t="s">
        <v>111</v>
      </c>
      <c r="BC1039" t="s">
        <v>111</v>
      </c>
      <c r="BD1039" t="s">
        <v>111</v>
      </c>
      <c r="BE1039" t="s">
        <v>111</v>
      </c>
      <c r="BF1039" t="s">
        <v>111</v>
      </c>
      <c r="BG1039" t="s">
        <v>111</v>
      </c>
      <c r="BH1039" t="s">
        <v>111</v>
      </c>
      <c r="BI1039" t="s">
        <v>111</v>
      </c>
      <c r="BJ1039" t="s">
        <v>111</v>
      </c>
      <c r="BK1039" t="s">
        <v>111</v>
      </c>
      <c r="BL1039" t="s">
        <v>111</v>
      </c>
      <c r="BM1039" t="s">
        <v>111</v>
      </c>
      <c r="BN1039" t="s">
        <v>111</v>
      </c>
      <c r="BO1039" t="s">
        <v>111</v>
      </c>
      <c r="BP1039" t="s">
        <v>111</v>
      </c>
      <c r="BQ1039" t="s">
        <v>111</v>
      </c>
      <c r="BR1039" t="s">
        <v>111</v>
      </c>
      <c r="BS1039" t="s">
        <v>111</v>
      </c>
      <c r="BT1039" t="s">
        <v>111</v>
      </c>
      <c r="BU1039" t="s">
        <v>111</v>
      </c>
      <c r="BV1039" t="s">
        <v>111</v>
      </c>
      <c r="BW1039" t="s">
        <v>111</v>
      </c>
      <c r="BX1039" t="s">
        <v>111</v>
      </c>
      <c r="BY1039" t="s">
        <v>111</v>
      </c>
      <c r="BZ1039" t="s">
        <v>111</v>
      </c>
      <c r="CA1039" t="s">
        <v>111</v>
      </c>
      <c r="CB1039" t="s">
        <v>111</v>
      </c>
      <c r="CC1039" t="s">
        <v>111</v>
      </c>
      <c r="CD1039" t="s">
        <v>111</v>
      </c>
      <c r="CE1039" t="s">
        <v>111</v>
      </c>
      <c r="CF1039" t="s">
        <v>111</v>
      </c>
      <c r="CG1039" t="s">
        <v>111</v>
      </c>
      <c r="CH1039" t="s">
        <v>111</v>
      </c>
      <c r="CI1039" t="s">
        <v>111</v>
      </c>
      <c r="CJ1039" t="s">
        <v>111</v>
      </c>
      <c r="CK1039" t="s">
        <v>111</v>
      </c>
      <c r="CL1039" t="s">
        <v>153</v>
      </c>
      <c r="CM1039" t="s">
        <v>198</v>
      </c>
      <c r="CN1039" t="s">
        <v>113</v>
      </c>
      <c r="CO1039" t="s">
        <v>1348</v>
      </c>
      <c r="CP1039" t="s">
        <v>433</v>
      </c>
      <c r="CQ1039">
        <v>0</v>
      </c>
      <c r="CR1039">
        <v>0</v>
      </c>
      <c r="CS1039">
        <v>0</v>
      </c>
      <c r="CT1039" t="s">
        <v>419</v>
      </c>
      <c r="CU1039">
        <v>0</v>
      </c>
      <c r="CV1039" t="s">
        <v>111</v>
      </c>
      <c r="CW1039" t="s">
        <v>111</v>
      </c>
      <c r="CX1039" t="s">
        <v>111</v>
      </c>
      <c r="CY1039">
        <v>0</v>
      </c>
      <c r="CZ1039" t="s">
        <v>111</v>
      </c>
      <c r="DA1039" t="s">
        <v>111</v>
      </c>
      <c r="DB1039" t="s">
        <v>204</v>
      </c>
      <c r="DC1039" s="1" t="s">
        <v>1350</v>
      </c>
    </row>
    <row r="1040" spans="1:107">
      <c r="A1040">
        <v>233</v>
      </c>
      <c r="B1040" t="s">
        <v>162</v>
      </c>
      <c r="C1040" t="s">
        <v>876</v>
      </c>
      <c r="D1040" t="s">
        <v>3264</v>
      </c>
      <c r="E1040" t="s">
        <v>3265</v>
      </c>
      <c r="F1040" t="s">
        <v>192</v>
      </c>
      <c r="G1040" t="s">
        <v>416</v>
      </c>
      <c r="H1040">
        <v>5</v>
      </c>
      <c r="I1040">
        <v>40</v>
      </c>
      <c r="J1040">
        <v>20</v>
      </c>
      <c r="K1040">
        <v>20</v>
      </c>
      <c r="L1040" t="s">
        <v>112</v>
      </c>
      <c r="M1040" t="s">
        <v>138</v>
      </c>
      <c r="N1040">
        <v>0</v>
      </c>
      <c r="O1040">
        <v>0</v>
      </c>
      <c r="P1040" t="s">
        <v>138</v>
      </c>
      <c r="Q1040">
        <v>40</v>
      </c>
      <c r="R1040">
        <v>0</v>
      </c>
      <c r="S1040">
        <v>0</v>
      </c>
      <c r="T1040">
        <v>0</v>
      </c>
      <c r="U1040" s="1" t="s">
        <v>3266</v>
      </c>
      <c r="V1040">
        <v>0</v>
      </c>
      <c r="W1040">
        <v>0</v>
      </c>
      <c r="X1040">
        <v>1</v>
      </c>
      <c r="Y1040">
        <v>0</v>
      </c>
      <c r="Z1040" t="s">
        <v>111</v>
      </c>
      <c r="AA1040">
        <v>0</v>
      </c>
      <c r="AB1040" t="s">
        <v>111</v>
      </c>
      <c r="AC1040">
        <v>0</v>
      </c>
      <c r="AD1040" t="s">
        <v>111</v>
      </c>
      <c r="AE1040">
        <v>0</v>
      </c>
      <c r="AF1040">
        <v>0</v>
      </c>
      <c r="AG1040" t="s">
        <v>111</v>
      </c>
      <c r="AH1040" t="s">
        <v>111</v>
      </c>
      <c r="AI1040" t="s">
        <v>111</v>
      </c>
      <c r="AJ1040" t="s">
        <v>111</v>
      </c>
      <c r="AK1040" t="s">
        <v>111</v>
      </c>
      <c r="AL1040" t="s">
        <v>111</v>
      </c>
      <c r="AM1040">
        <v>0</v>
      </c>
      <c r="AN1040">
        <v>0</v>
      </c>
      <c r="AO1040">
        <v>0</v>
      </c>
      <c r="AP1040" t="s">
        <v>111</v>
      </c>
      <c r="AQ1040" t="s">
        <v>111</v>
      </c>
      <c r="AR1040" t="s">
        <v>111</v>
      </c>
      <c r="AS1040" t="s">
        <v>111</v>
      </c>
      <c r="AT1040" t="s">
        <v>111</v>
      </c>
      <c r="AU1040" t="s">
        <v>111</v>
      </c>
      <c r="AV1040" t="s">
        <v>111</v>
      </c>
      <c r="AW1040" t="s">
        <v>111</v>
      </c>
      <c r="AX1040" t="s">
        <v>111</v>
      </c>
      <c r="AY1040" t="s">
        <v>111</v>
      </c>
      <c r="AZ1040" t="s">
        <v>111</v>
      </c>
      <c r="BA1040" t="s">
        <v>111</v>
      </c>
      <c r="BB1040" t="s">
        <v>111</v>
      </c>
      <c r="BC1040" t="s">
        <v>111</v>
      </c>
      <c r="BD1040" t="s">
        <v>111</v>
      </c>
      <c r="BE1040" t="s">
        <v>111</v>
      </c>
      <c r="BF1040" t="s">
        <v>111</v>
      </c>
      <c r="BG1040" t="s">
        <v>111</v>
      </c>
      <c r="BH1040" t="s">
        <v>111</v>
      </c>
      <c r="BI1040" t="s">
        <v>111</v>
      </c>
      <c r="BJ1040" t="s">
        <v>111</v>
      </c>
      <c r="BK1040" t="s">
        <v>111</v>
      </c>
      <c r="BL1040" t="s">
        <v>111</v>
      </c>
      <c r="BM1040" t="s">
        <v>111</v>
      </c>
      <c r="BN1040" t="s">
        <v>111</v>
      </c>
      <c r="BO1040" t="s">
        <v>111</v>
      </c>
      <c r="BP1040" t="s">
        <v>111</v>
      </c>
      <c r="BQ1040" t="s">
        <v>111</v>
      </c>
      <c r="BR1040" t="s">
        <v>111</v>
      </c>
      <c r="BS1040" t="s">
        <v>111</v>
      </c>
      <c r="BT1040" t="s">
        <v>111</v>
      </c>
      <c r="BU1040" t="s">
        <v>111</v>
      </c>
      <c r="BV1040" t="s">
        <v>111</v>
      </c>
      <c r="BW1040" t="s">
        <v>111</v>
      </c>
      <c r="BX1040" t="s">
        <v>111</v>
      </c>
      <c r="BY1040" t="s">
        <v>111</v>
      </c>
      <c r="BZ1040" t="s">
        <v>111</v>
      </c>
      <c r="CA1040" t="s">
        <v>111</v>
      </c>
      <c r="CB1040" t="s">
        <v>111</v>
      </c>
      <c r="CC1040" t="s">
        <v>111</v>
      </c>
      <c r="CD1040" t="s">
        <v>111</v>
      </c>
      <c r="CE1040" t="s">
        <v>111</v>
      </c>
      <c r="CF1040" t="s">
        <v>111</v>
      </c>
      <c r="CG1040" t="s">
        <v>111</v>
      </c>
      <c r="CH1040" t="s">
        <v>111</v>
      </c>
      <c r="CI1040" t="s">
        <v>111</v>
      </c>
      <c r="CJ1040" t="s">
        <v>111</v>
      </c>
      <c r="CK1040" t="s">
        <v>111</v>
      </c>
      <c r="CL1040" t="s">
        <v>111</v>
      </c>
      <c r="CM1040" t="s">
        <v>111</v>
      </c>
      <c r="CN1040" t="s">
        <v>111</v>
      </c>
      <c r="CO1040" t="s">
        <v>111</v>
      </c>
      <c r="CP1040" t="s">
        <v>111</v>
      </c>
      <c r="CQ1040">
        <v>0</v>
      </c>
      <c r="CR1040">
        <v>0</v>
      </c>
      <c r="CS1040">
        <v>0</v>
      </c>
      <c r="CT1040" t="s">
        <v>111</v>
      </c>
      <c r="CU1040">
        <v>0</v>
      </c>
      <c r="CV1040" t="s">
        <v>111</v>
      </c>
      <c r="CW1040" t="s">
        <v>111</v>
      </c>
      <c r="CX1040" t="s">
        <v>111</v>
      </c>
      <c r="CY1040">
        <v>0</v>
      </c>
      <c r="CZ1040" t="s">
        <v>111</v>
      </c>
      <c r="DA1040" t="s">
        <v>111</v>
      </c>
      <c r="DB1040" t="s">
        <v>204</v>
      </c>
      <c r="DC1040" s="1" t="s">
        <v>205</v>
      </c>
    </row>
    <row r="1041" spans="1:107">
      <c r="A1041">
        <v>234</v>
      </c>
      <c r="B1041" t="s">
        <v>162</v>
      </c>
      <c r="C1041" t="s">
        <v>3102</v>
      </c>
      <c r="D1041" t="s">
        <v>3267</v>
      </c>
      <c r="E1041" t="s">
        <v>3268</v>
      </c>
      <c r="F1041" t="s">
        <v>561</v>
      </c>
      <c r="G1041" t="s">
        <v>416</v>
      </c>
      <c r="H1041">
        <v>2.9</v>
      </c>
      <c r="I1041">
        <v>40</v>
      </c>
      <c r="J1041">
        <v>0</v>
      </c>
      <c r="K1041">
        <v>0</v>
      </c>
      <c r="L1041" t="s">
        <v>112</v>
      </c>
      <c r="M1041" t="s">
        <v>118</v>
      </c>
      <c r="N1041">
        <v>40</v>
      </c>
      <c r="O1041">
        <v>2</v>
      </c>
      <c r="P1041" t="s">
        <v>138</v>
      </c>
      <c r="Q1041">
        <v>40</v>
      </c>
      <c r="R1041">
        <v>0</v>
      </c>
      <c r="S1041">
        <v>0</v>
      </c>
      <c r="T1041">
        <v>0</v>
      </c>
      <c r="U1041" t="s">
        <v>3269</v>
      </c>
      <c r="V1041">
        <v>25</v>
      </c>
      <c r="W1041">
        <v>0</v>
      </c>
      <c r="X1041">
        <v>10</v>
      </c>
      <c r="Y1041">
        <v>0</v>
      </c>
      <c r="Z1041" t="s">
        <v>259</v>
      </c>
      <c r="AA1041">
        <v>1.75</v>
      </c>
      <c r="AB1041" t="s">
        <v>111</v>
      </c>
      <c r="AC1041">
        <v>0</v>
      </c>
      <c r="AD1041" t="s">
        <v>416</v>
      </c>
      <c r="AE1041">
        <v>1</v>
      </c>
      <c r="AF1041">
        <v>2</v>
      </c>
      <c r="AG1041">
        <v>32</v>
      </c>
      <c r="AH1041" t="s">
        <v>111</v>
      </c>
      <c r="AI1041">
        <v>32</v>
      </c>
      <c r="AJ1041" t="s">
        <v>111</v>
      </c>
      <c r="AK1041" t="s">
        <v>111</v>
      </c>
      <c r="AL1041" t="s">
        <v>111</v>
      </c>
      <c r="AM1041">
        <v>0</v>
      </c>
      <c r="AN1041">
        <v>0</v>
      </c>
      <c r="AO1041">
        <v>0</v>
      </c>
      <c r="AP1041" t="s">
        <v>111</v>
      </c>
      <c r="AQ1041" t="s">
        <v>111</v>
      </c>
      <c r="AR1041" t="s">
        <v>111</v>
      </c>
      <c r="AS1041" t="s">
        <v>111</v>
      </c>
      <c r="AT1041" t="s">
        <v>111</v>
      </c>
      <c r="AU1041" t="s">
        <v>111</v>
      </c>
      <c r="AV1041" t="s">
        <v>111</v>
      </c>
      <c r="AW1041" t="s">
        <v>111</v>
      </c>
      <c r="AX1041" t="s">
        <v>111</v>
      </c>
      <c r="AY1041" t="s">
        <v>111</v>
      </c>
      <c r="AZ1041" t="s">
        <v>111</v>
      </c>
      <c r="BA1041" t="s">
        <v>111</v>
      </c>
      <c r="BB1041" t="s">
        <v>111</v>
      </c>
      <c r="BC1041" t="s">
        <v>111</v>
      </c>
      <c r="BD1041" t="s">
        <v>111</v>
      </c>
      <c r="BE1041" t="s">
        <v>111</v>
      </c>
      <c r="BF1041" t="s">
        <v>111</v>
      </c>
      <c r="BG1041" t="s">
        <v>111</v>
      </c>
      <c r="BH1041" t="s">
        <v>111</v>
      </c>
      <c r="BI1041" t="s">
        <v>111</v>
      </c>
      <c r="BJ1041" t="s">
        <v>111</v>
      </c>
      <c r="BK1041" t="s">
        <v>111</v>
      </c>
      <c r="BL1041" t="s">
        <v>111</v>
      </c>
      <c r="BM1041" t="s">
        <v>111</v>
      </c>
      <c r="BN1041" t="s">
        <v>111</v>
      </c>
      <c r="BO1041" t="s">
        <v>111</v>
      </c>
      <c r="BP1041" t="s">
        <v>111</v>
      </c>
      <c r="BQ1041" t="s">
        <v>111</v>
      </c>
      <c r="BR1041" t="s">
        <v>111</v>
      </c>
      <c r="BS1041" t="s">
        <v>111</v>
      </c>
      <c r="BT1041" t="s">
        <v>111</v>
      </c>
      <c r="BU1041" t="s">
        <v>111</v>
      </c>
      <c r="BV1041" t="s">
        <v>111</v>
      </c>
      <c r="BW1041" t="s">
        <v>111</v>
      </c>
      <c r="BX1041" t="s">
        <v>111</v>
      </c>
      <c r="BY1041" t="s">
        <v>111</v>
      </c>
      <c r="BZ1041" t="s">
        <v>111</v>
      </c>
      <c r="CA1041" t="s">
        <v>111</v>
      </c>
      <c r="CB1041" t="s">
        <v>111</v>
      </c>
      <c r="CC1041" t="s">
        <v>111</v>
      </c>
      <c r="CD1041" t="s">
        <v>111</v>
      </c>
      <c r="CE1041" t="s">
        <v>111</v>
      </c>
      <c r="CF1041" t="s">
        <v>111</v>
      </c>
      <c r="CG1041" t="s">
        <v>111</v>
      </c>
      <c r="CH1041" t="s">
        <v>111</v>
      </c>
      <c r="CI1041" t="s">
        <v>111</v>
      </c>
      <c r="CJ1041" t="s">
        <v>111</v>
      </c>
      <c r="CK1041" t="s">
        <v>111</v>
      </c>
      <c r="CL1041" t="s">
        <v>153</v>
      </c>
      <c r="CM1041" t="s">
        <v>198</v>
      </c>
      <c r="CN1041" t="s">
        <v>113</v>
      </c>
      <c r="CO1041" t="s">
        <v>111</v>
      </c>
      <c r="CP1041" t="s">
        <v>433</v>
      </c>
      <c r="CQ1041">
        <v>0</v>
      </c>
      <c r="CR1041">
        <v>0</v>
      </c>
      <c r="CS1041">
        <v>0</v>
      </c>
      <c r="CT1041" t="s">
        <v>168</v>
      </c>
      <c r="CU1041">
        <v>0</v>
      </c>
      <c r="CV1041" t="s">
        <v>111</v>
      </c>
      <c r="CW1041" t="s">
        <v>111</v>
      </c>
      <c r="CX1041" t="s">
        <v>111</v>
      </c>
      <c r="CY1041">
        <v>0</v>
      </c>
      <c r="CZ1041" t="s">
        <v>111</v>
      </c>
      <c r="DA1041" t="s">
        <v>111</v>
      </c>
      <c r="DB1041" t="s">
        <v>111</v>
      </c>
      <c r="DC1041" t="s">
        <v>111</v>
      </c>
    </row>
    <row r="1042" spans="1:107">
      <c r="A1042">
        <v>235</v>
      </c>
      <c r="B1042" t="s">
        <v>162</v>
      </c>
      <c r="C1042" t="s">
        <v>1896</v>
      </c>
      <c r="D1042" t="s">
        <v>3270</v>
      </c>
      <c r="E1042" t="s">
        <v>3271</v>
      </c>
      <c r="F1042" t="s">
        <v>192</v>
      </c>
      <c r="G1042" t="s">
        <v>416</v>
      </c>
      <c r="H1042">
        <v>1.8</v>
      </c>
      <c r="I1042">
        <v>30</v>
      </c>
      <c r="J1042">
        <v>0</v>
      </c>
      <c r="K1042">
        <v>0</v>
      </c>
      <c r="L1042" t="s">
        <v>112</v>
      </c>
      <c r="M1042" t="s">
        <v>138</v>
      </c>
      <c r="N1042">
        <v>0</v>
      </c>
      <c r="O1042">
        <v>0</v>
      </c>
      <c r="P1042" t="s">
        <v>138</v>
      </c>
      <c r="Q1042">
        <v>30</v>
      </c>
      <c r="R1042">
        <v>0</v>
      </c>
      <c r="S1042">
        <v>0</v>
      </c>
      <c r="T1042">
        <v>0</v>
      </c>
      <c r="U1042" t="s">
        <v>153</v>
      </c>
      <c r="V1042">
        <v>0</v>
      </c>
      <c r="W1042">
        <v>25</v>
      </c>
      <c r="X1042">
        <v>6</v>
      </c>
      <c r="Y1042">
        <v>0</v>
      </c>
      <c r="Z1042" t="s">
        <v>111</v>
      </c>
      <c r="AA1042">
        <v>0</v>
      </c>
      <c r="AB1042" t="s">
        <v>111</v>
      </c>
      <c r="AC1042">
        <v>0</v>
      </c>
      <c r="AD1042" t="s">
        <v>111</v>
      </c>
      <c r="AE1042">
        <v>0</v>
      </c>
      <c r="AF1042">
        <v>0</v>
      </c>
      <c r="AG1042" t="s">
        <v>111</v>
      </c>
      <c r="AH1042" t="s">
        <v>111</v>
      </c>
      <c r="AI1042" t="s">
        <v>111</v>
      </c>
      <c r="AJ1042" t="s">
        <v>111</v>
      </c>
      <c r="AK1042" t="s">
        <v>111</v>
      </c>
      <c r="AL1042" t="s">
        <v>111</v>
      </c>
      <c r="AM1042">
        <v>0</v>
      </c>
      <c r="AN1042">
        <v>0</v>
      </c>
      <c r="AO1042">
        <v>0</v>
      </c>
      <c r="AP1042" t="s">
        <v>111</v>
      </c>
      <c r="AQ1042" t="s">
        <v>111</v>
      </c>
      <c r="AR1042" t="s">
        <v>111</v>
      </c>
      <c r="AS1042" t="s">
        <v>111</v>
      </c>
      <c r="AT1042" t="s">
        <v>111</v>
      </c>
      <c r="AU1042" t="s">
        <v>111</v>
      </c>
      <c r="AV1042" t="s">
        <v>111</v>
      </c>
      <c r="AW1042" t="s">
        <v>111</v>
      </c>
      <c r="AX1042" t="s">
        <v>111</v>
      </c>
      <c r="AY1042" t="s">
        <v>111</v>
      </c>
      <c r="AZ1042" t="s">
        <v>111</v>
      </c>
      <c r="BA1042" t="s">
        <v>111</v>
      </c>
      <c r="BB1042" t="s">
        <v>111</v>
      </c>
      <c r="BC1042" t="s">
        <v>111</v>
      </c>
      <c r="BD1042" t="s">
        <v>111</v>
      </c>
      <c r="BE1042" t="s">
        <v>111</v>
      </c>
      <c r="BF1042" t="s">
        <v>111</v>
      </c>
      <c r="BG1042" t="s">
        <v>111</v>
      </c>
      <c r="BH1042" t="s">
        <v>111</v>
      </c>
      <c r="BI1042" t="s">
        <v>111</v>
      </c>
      <c r="BJ1042" t="s">
        <v>111</v>
      </c>
      <c r="BK1042" t="s">
        <v>111</v>
      </c>
      <c r="BL1042" t="s">
        <v>111</v>
      </c>
      <c r="BM1042" t="s">
        <v>111</v>
      </c>
      <c r="BN1042" t="s">
        <v>111</v>
      </c>
      <c r="BO1042" t="s">
        <v>111</v>
      </c>
      <c r="BP1042" t="s">
        <v>111</v>
      </c>
      <c r="BQ1042" t="s">
        <v>111</v>
      </c>
      <c r="BR1042" t="s">
        <v>111</v>
      </c>
      <c r="BS1042" t="s">
        <v>111</v>
      </c>
      <c r="BT1042" t="s">
        <v>111</v>
      </c>
      <c r="BU1042" t="s">
        <v>111</v>
      </c>
      <c r="BV1042" t="s">
        <v>111</v>
      </c>
      <c r="BW1042" t="s">
        <v>111</v>
      </c>
      <c r="BX1042" t="s">
        <v>111</v>
      </c>
      <c r="BY1042" t="s">
        <v>111</v>
      </c>
      <c r="BZ1042" t="s">
        <v>111</v>
      </c>
      <c r="CA1042" t="s">
        <v>111</v>
      </c>
      <c r="CB1042" t="s">
        <v>111</v>
      </c>
      <c r="CC1042" t="s">
        <v>111</v>
      </c>
      <c r="CD1042" t="s">
        <v>111</v>
      </c>
      <c r="CE1042" t="s">
        <v>111</v>
      </c>
      <c r="CF1042" t="s">
        <v>111</v>
      </c>
      <c r="CG1042" t="s">
        <v>111</v>
      </c>
      <c r="CH1042" t="s">
        <v>111</v>
      </c>
      <c r="CI1042" t="s">
        <v>111</v>
      </c>
      <c r="CJ1042" t="s">
        <v>111</v>
      </c>
      <c r="CK1042" t="s">
        <v>111</v>
      </c>
      <c r="CL1042" t="s">
        <v>111</v>
      </c>
      <c r="CM1042" t="s">
        <v>198</v>
      </c>
      <c r="CN1042" t="s">
        <v>113</v>
      </c>
      <c r="CO1042" t="s">
        <v>111</v>
      </c>
      <c r="CP1042" t="s">
        <v>111</v>
      </c>
      <c r="CQ1042">
        <v>0</v>
      </c>
      <c r="CR1042">
        <v>0</v>
      </c>
      <c r="CS1042">
        <v>0</v>
      </c>
      <c r="CT1042" t="s">
        <v>168</v>
      </c>
      <c r="CU1042">
        <v>0</v>
      </c>
      <c r="CV1042" t="s">
        <v>111</v>
      </c>
      <c r="CW1042" t="s">
        <v>111</v>
      </c>
      <c r="CX1042" t="s">
        <v>111</v>
      </c>
      <c r="CY1042">
        <v>0</v>
      </c>
      <c r="CZ1042" t="s">
        <v>111</v>
      </c>
      <c r="DA1042" t="s">
        <v>111</v>
      </c>
      <c r="DB1042" t="s">
        <v>111</v>
      </c>
      <c r="DC1042" t="s">
        <v>111</v>
      </c>
    </row>
    <row r="1043" spans="1:107">
      <c r="A1043">
        <v>171</v>
      </c>
      <c r="B1043" t="s">
        <v>162</v>
      </c>
      <c r="C1043" s="2">
        <v>15154321</v>
      </c>
      <c r="D1043" t="s">
        <v>3272</v>
      </c>
      <c r="E1043" t="s">
        <v>3273</v>
      </c>
      <c r="F1043" t="s">
        <v>739</v>
      </c>
      <c r="G1043" t="s">
        <v>416</v>
      </c>
      <c r="H1043">
        <v>3</v>
      </c>
      <c r="I1043">
        <v>30</v>
      </c>
      <c r="J1043">
        <v>0</v>
      </c>
      <c r="K1043">
        <v>0</v>
      </c>
      <c r="L1043" t="s">
        <v>178</v>
      </c>
      <c r="M1043" t="s">
        <v>118</v>
      </c>
      <c r="N1043">
        <v>40</v>
      </c>
      <c r="O1043">
        <v>2</v>
      </c>
      <c r="P1043" t="s">
        <v>138</v>
      </c>
      <c r="Q1043">
        <v>40</v>
      </c>
      <c r="R1043">
        <v>0</v>
      </c>
      <c r="S1043">
        <v>0</v>
      </c>
      <c r="T1043">
        <v>0</v>
      </c>
      <c r="U1043" t="s">
        <v>1353</v>
      </c>
      <c r="V1043">
        <v>25</v>
      </c>
      <c r="W1043">
        <v>0</v>
      </c>
      <c r="X1043">
        <v>6</v>
      </c>
      <c r="Y1043">
        <v>0</v>
      </c>
      <c r="Z1043" t="s">
        <v>288</v>
      </c>
      <c r="AA1043">
        <v>1.55</v>
      </c>
      <c r="AB1043" t="s">
        <v>111</v>
      </c>
      <c r="AC1043">
        <v>0</v>
      </c>
      <c r="AD1043" t="s">
        <v>416</v>
      </c>
      <c r="AE1043">
        <v>2</v>
      </c>
      <c r="AF1043">
        <v>1</v>
      </c>
      <c r="AG1043">
        <v>25</v>
      </c>
      <c r="AH1043" t="s">
        <v>111</v>
      </c>
      <c r="AI1043">
        <v>26</v>
      </c>
      <c r="AJ1043" t="s">
        <v>111</v>
      </c>
      <c r="AK1043" t="s">
        <v>111</v>
      </c>
      <c r="AL1043" t="s">
        <v>111</v>
      </c>
      <c r="AM1043">
        <v>0</v>
      </c>
      <c r="AN1043">
        <v>0</v>
      </c>
      <c r="AO1043">
        <v>0</v>
      </c>
      <c r="AP1043" t="s">
        <v>111</v>
      </c>
      <c r="AQ1043" t="s">
        <v>111</v>
      </c>
      <c r="AR1043" t="s">
        <v>111</v>
      </c>
      <c r="AS1043" t="s">
        <v>111</v>
      </c>
      <c r="AT1043" t="s">
        <v>111</v>
      </c>
      <c r="AU1043" t="s">
        <v>111</v>
      </c>
      <c r="AV1043" t="s">
        <v>111</v>
      </c>
      <c r="AW1043" t="s">
        <v>111</v>
      </c>
      <c r="AX1043" t="s">
        <v>111</v>
      </c>
      <c r="AY1043" t="s">
        <v>111</v>
      </c>
      <c r="AZ1043" t="s">
        <v>111</v>
      </c>
      <c r="BA1043" t="s">
        <v>111</v>
      </c>
      <c r="BB1043" t="s">
        <v>111</v>
      </c>
      <c r="BC1043" t="s">
        <v>111</v>
      </c>
      <c r="BD1043" t="s">
        <v>111</v>
      </c>
      <c r="BE1043" t="s">
        <v>111</v>
      </c>
      <c r="BF1043" t="s">
        <v>111</v>
      </c>
      <c r="BG1043" t="s">
        <v>111</v>
      </c>
      <c r="BH1043" t="s">
        <v>111</v>
      </c>
      <c r="BI1043" t="s">
        <v>111</v>
      </c>
      <c r="BJ1043" t="s">
        <v>111</v>
      </c>
      <c r="BK1043" t="s">
        <v>111</v>
      </c>
      <c r="BL1043" t="s">
        <v>111</v>
      </c>
      <c r="BM1043" t="s">
        <v>111</v>
      </c>
      <c r="BN1043" t="s">
        <v>111</v>
      </c>
      <c r="BO1043" t="s">
        <v>111</v>
      </c>
      <c r="BP1043" t="s">
        <v>111</v>
      </c>
      <c r="BQ1043" t="s">
        <v>111</v>
      </c>
      <c r="BR1043" t="s">
        <v>111</v>
      </c>
      <c r="BS1043" t="s">
        <v>111</v>
      </c>
      <c r="BT1043" t="s">
        <v>111</v>
      </c>
      <c r="BU1043" t="s">
        <v>111</v>
      </c>
      <c r="BV1043" t="s">
        <v>111</v>
      </c>
      <c r="BW1043" t="s">
        <v>111</v>
      </c>
      <c r="BX1043" t="s">
        <v>111</v>
      </c>
      <c r="BY1043" t="s">
        <v>111</v>
      </c>
      <c r="BZ1043" t="s">
        <v>111</v>
      </c>
      <c r="CA1043" t="s">
        <v>111</v>
      </c>
      <c r="CB1043" t="s">
        <v>111</v>
      </c>
      <c r="CC1043" t="s">
        <v>111</v>
      </c>
      <c r="CD1043" t="s">
        <v>111</v>
      </c>
      <c r="CE1043" t="s">
        <v>111</v>
      </c>
      <c r="CF1043" t="s">
        <v>111</v>
      </c>
      <c r="CG1043" t="s">
        <v>111</v>
      </c>
      <c r="CH1043" t="s">
        <v>111</v>
      </c>
      <c r="CI1043" t="s">
        <v>111</v>
      </c>
      <c r="CJ1043" t="s">
        <v>111</v>
      </c>
      <c r="CK1043" t="s">
        <v>111</v>
      </c>
      <c r="CL1043" t="s">
        <v>153</v>
      </c>
      <c r="CM1043" t="s">
        <v>198</v>
      </c>
      <c r="CN1043" t="s">
        <v>113</v>
      </c>
      <c r="CO1043" t="s">
        <v>1348</v>
      </c>
      <c r="CP1043" t="s">
        <v>433</v>
      </c>
      <c r="CQ1043">
        <v>0</v>
      </c>
      <c r="CR1043">
        <v>0</v>
      </c>
      <c r="CS1043">
        <v>0</v>
      </c>
      <c r="CT1043" t="s">
        <v>419</v>
      </c>
      <c r="CU1043">
        <v>0</v>
      </c>
      <c r="CV1043" t="s">
        <v>111</v>
      </c>
      <c r="CW1043" t="s">
        <v>111</v>
      </c>
      <c r="CX1043" t="s">
        <v>111</v>
      </c>
      <c r="CY1043">
        <v>0</v>
      </c>
      <c r="CZ1043" t="s">
        <v>111</v>
      </c>
      <c r="DA1043" t="s">
        <v>111</v>
      </c>
      <c r="DB1043" t="s">
        <v>204</v>
      </c>
      <c r="DC1043" s="1" t="s">
        <v>1350</v>
      </c>
    </row>
    <row r="1044" spans="1:107">
      <c r="A1044">
        <v>1161</v>
      </c>
      <c r="B1044" t="s">
        <v>107</v>
      </c>
      <c r="C1044" t="s">
        <v>793</v>
      </c>
      <c r="D1044" t="s">
        <v>3274</v>
      </c>
      <c r="E1044" t="s">
        <v>3275</v>
      </c>
      <c r="F1044" t="s">
        <v>166</v>
      </c>
      <c r="G1044" t="s">
        <v>416</v>
      </c>
      <c r="H1044">
        <v>0.8</v>
      </c>
      <c r="I1044">
        <v>66</v>
      </c>
      <c r="J1044">
        <v>0</v>
      </c>
      <c r="K1044">
        <v>0</v>
      </c>
      <c r="L1044" t="s">
        <v>112</v>
      </c>
      <c r="M1044" t="s">
        <v>111</v>
      </c>
      <c r="N1044">
        <v>0</v>
      </c>
      <c r="O1044">
        <v>0</v>
      </c>
      <c r="P1044" t="s">
        <v>111</v>
      </c>
      <c r="Q1044">
        <v>200</v>
      </c>
      <c r="R1044">
        <v>0</v>
      </c>
      <c r="S1044">
        <v>0</v>
      </c>
      <c r="T1044">
        <v>0</v>
      </c>
      <c r="U1044" s="1" t="s">
        <v>1392</v>
      </c>
      <c r="V1044">
        <v>0</v>
      </c>
      <c r="W1044">
        <v>0</v>
      </c>
      <c r="X1044">
        <v>100</v>
      </c>
      <c r="Y1044">
        <v>0</v>
      </c>
      <c r="Z1044" t="s">
        <v>111</v>
      </c>
      <c r="AA1044">
        <v>0</v>
      </c>
      <c r="AB1044" t="s">
        <v>111</v>
      </c>
      <c r="AC1044">
        <v>0</v>
      </c>
      <c r="AD1044" t="s">
        <v>111</v>
      </c>
      <c r="AE1044">
        <v>0</v>
      </c>
      <c r="AF1044">
        <v>0</v>
      </c>
      <c r="AG1044" t="s">
        <v>111</v>
      </c>
      <c r="AH1044" t="s">
        <v>111</v>
      </c>
      <c r="AI1044" t="s">
        <v>111</v>
      </c>
      <c r="AJ1044" t="s">
        <v>111</v>
      </c>
      <c r="AK1044" t="s">
        <v>111</v>
      </c>
      <c r="AL1044" t="s">
        <v>111</v>
      </c>
      <c r="AM1044">
        <v>0</v>
      </c>
      <c r="AN1044">
        <v>0</v>
      </c>
      <c r="AO1044">
        <v>0</v>
      </c>
      <c r="AP1044" t="s">
        <v>111</v>
      </c>
      <c r="AQ1044" t="s">
        <v>111</v>
      </c>
      <c r="AR1044" t="s">
        <v>111</v>
      </c>
      <c r="AS1044" t="s">
        <v>111</v>
      </c>
      <c r="AT1044" t="s">
        <v>111</v>
      </c>
      <c r="AU1044" t="s">
        <v>111</v>
      </c>
      <c r="AV1044" t="s">
        <v>111</v>
      </c>
      <c r="AW1044" t="s">
        <v>111</v>
      </c>
      <c r="AX1044" t="s">
        <v>111</v>
      </c>
      <c r="AY1044" t="s">
        <v>111</v>
      </c>
      <c r="AZ1044" t="s">
        <v>111</v>
      </c>
      <c r="BA1044" t="s">
        <v>111</v>
      </c>
      <c r="BB1044" t="s">
        <v>111</v>
      </c>
      <c r="BC1044" t="s">
        <v>111</v>
      </c>
      <c r="BD1044" t="s">
        <v>111</v>
      </c>
      <c r="BE1044" t="s">
        <v>111</v>
      </c>
      <c r="BF1044" t="s">
        <v>111</v>
      </c>
      <c r="BG1044" t="s">
        <v>111</v>
      </c>
      <c r="BH1044" t="s">
        <v>111</v>
      </c>
      <c r="BI1044" t="s">
        <v>111</v>
      </c>
      <c r="BJ1044" t="s">
        <v>111</v>
      </c>
      <c r="BK1044" t="s">
        <v>111</v>
      </c>
      <c r="BL1044" t="s">
        <v>111</v>
      </c>
      <c r="BM1044" t="s">
        <v>111</v>
      </c>
      <c r="BN1044" t="s">
        <v>111</v>
      </c>
      <c r="BO1044" t="s">
        <v>111</v>
      </c>
      <c r="BP1044" t="s">
        <v>111</v>
      </c>
      <c r="BQ1044" t="s">
        <v>111</v>
      </c>
      <c r="BR1044" t="s">
        <v>111</v>
      </c>
      <c r="BS1044" t="s">
        <v>111</v>
      </c>
      <c r="BT1044" t="s">
        <v>111</v>
      </c>
      <c r="BU1044" t="s">
        <v>111</v>
      </c>
      <c r="BV1044" t="s">
        <v>111</v>
      </c>
      <c r="BW1044" t="s">
        <v>111</v>
      </c>
      <c r="BX1044" t="s">
        <v>111</v>
      </c>
      <c r="BY1044" t="s">
        <v>111</v>
      </c>
      <c r="BZ1044" t="s">
        <v>111</v>
      </c>
      <c r="CA1044" t="s">
        <v>111</v>
      </c>
      <c r="CB1044" t="s">
        <v>111</v>
      </c>
      <c r="CC1044" t="s">
        <v>111</v>
      </c>
      <c r="CD1044" t="s">
        <v>111</v>
      </c>
      <c r="CE1044" t="s">
        <v>111</v>
      </c>
      <c r="CF1044" t="s">
        <v>111</v>
      </c>
      <c r="CG1044" t="s">
        <v>111</v>
      </c>
      <c r="CH1044" t="s">
        <v>111</v>
      </c>
      <c r="CI1044" t="s">
        <v>111</v>
      </c>
      <c r="CJ1044" t="s">
        <v>111</v>
      </c>
      <c r="CK1044" t="s">
        <v>111</v>
      </c>
      <c r="CL1044" t="s">
        <v>111</v>
      </c>
      <c r="CM1044" t="s">
        <v>127</v>
      </c>
      <c r="CN1044" t="s">
        <v>111</v>
      </c>
      <c r="CO1044" t="s">
        <v>111</v>
      </c>
      <c r="CP1044" t="s">
        <v>111</v>
      </c>
      <c r="CQ1044">
        <v>0</v>
      </c>
      <c r="CR1044">
        <v>1500</v>
      </c>
      <c r="CS1044">
        <v>100</v>
      </c>
      <c r="CT1044" t="s">
        <v>394</v>
      </c>
      <c r="CU1044">
        <v>0</v>
      </c>
      <c r="CV1044" t="s">
        <v>111</v>
      </c>
      <c r="CW1044" t="s">
        <v>111</v>
      </c>
      <c r="CX1044" t="s">
        <v>111</v>
      </c>
      <c r="CY1044">
        <v>0</v>
      </c>
      <c r="CZ1044" t="s">
        <v>111</v>
      </c>
      <c r="DA1044" t="s">
        <v>111</v>
      </c>
      <c r="DB1044" t="s">
        <v>111</v>
      </c>
      <c r="DC1044" t="s">
        <v>111</v>
      </c>
    </row>
    <row r="1045" spans="1:107">
      <c r="A1045">
        <v>159</v>
      </c>
      <c r="B1045" t="s">
        <v>162</v>
      </c>
      <c r="C1045" t="s">
        <v>719</v>
      </c>
      <c r="D1045" t="s">
        <v>3212</v>
      </c>
      <c r="E1045" t="s">
        <v>3213</v>
      </c>
      <c r="F1045" t="s">
        <v>370</v>
      </c>
      <c r="G1045" t="s">
        <v>416</v>
      </c>
      <c r="H1045">
        <v>2.9</v>
      </c>
      <c r="I1045">
        <v>57</v>
      </c>
      <c r="J1045">
        <v>0</v>
      </c>
      <c r="K1045">
        <v>0</v>
      </c>
      <c r="L1045" t="s">
        <v>112</v>
      </c>
      <c r="M1045" t="s">
        <v>118</v>
      </c>
      <c r="N1045">
        <v>40</v>
      </c>
      <c r="O1045">
        <v>2</v>
      </c>
      <c r="P1045" t="s">
        <v>138</v>
      </c>
      <c r="Q1045">
        <v>40</v>
      </c>
      <c r="R1045">
        <v>0</v>
      </c>
      <c r="S1045">
        <v>0</v>
      </c>
      <c r="T1045">
        <v>0</v>
      </c>
      <c r="U1045" t="s">
        <v>1353</v>
      </c>
      <c r="V1045">
        <v>25</v>
      </c>
      <c r="W1045">
        <v>0</v>
      </c>
      <c r="X1045">
        <v>8</v>
      </c>
      <c r="Y1045">
        <v>0</v>
      </c>
      <c r="Z1045" t="s">
        <v>288</v>
      </c>
      <c r="AA1045">
        <v>1.65</v>
      </c>
      <c r="AB1045" t="s">
        <v>111</v>
      </c>
      <c r="AC1045">
        <v>0</v>
      </c>
      <c r="AD1045" t="s">
        <v>416</v>
      </c>
      <c r="AE1045">
        <v>2</v>
      </c>
      <c r="AF1045">
        <v>2</v>
      </c>
      <c r="AG1045">
        <v>40</v>
      </c>
      <c r="AH1045" t="s">
        <v>111</v>
      </c>
      <c r="AI1045">
        <v>40</v>
      </c>
      <c r="AJ1045" t="s">
        <v>111</v>
      </c>
      <c r="AK1045" t="s">
        <v>111</v>
      </c>
      <c r="AL1045" t="s">
        <v>111</v>
      </c>
      <c r="AM1045">
        <v>0</v>
      </c>
      <c r="AN1045">
        <v>0</v>
      </c>
      <c r="AO1045">
        <v>0</v>
      </c>
      <c r="AP1045" t="s">
        <v>188</v>
      </c>
      <c r="AQ1045" t="s">
        <v>111</v>
      </c>
      <c r="AR1045" t="s">
        <v>111</v>
      </c>
      <c r="AS1045" t="s">
        <v>111</v>
      </c>
      <c r="AT1045" t="s">
        <v>271</v>
      </c>
      <c r="AU1045" t="s">
        <v>111</v>
      </c>
      <c r="AV1045" t="s">
        <v>111</v>
      </c>
      <c r="AW1045" t="s">
        <v>111</v>
      </c>
      <c r="AX1045" t="s">
        <v>111</v>
      </c>
      <c r="AY1045" t="s">
        <v>111</v>
      </c>
      <c r="AZ1045" t="s">
        <v>111</v>
      </c>
      <c r="BA1045" t="s">
        <v>111</v>
      </c>
      <c r="BB1045" t="s">
        <v>111</v>
      </c>
      <c r="BC1045" t="s">
        <v>111</v>
      </c>
      <c r="BD1045" t="s">
        <v>111</v>
      </c>
      <c r="BE1045" t="s">
        <v>111</v>
      </c>
      <c r="BF1045" t="s">
        <v>111</v>
      </c>
      <c r="BG1045" t="s">
        <v>111</v>
      </c>
      <c r="BH1045" t="s">
        <v>111</v>
      </c>
      <c r="BI1045" t="s">
        <v>111</v>
      </c>
      <c r="BJ1045" t="s">
        <v>111</v>
      </c>
      <c r="BK1045" t="s">
        <v>111</v>
      </c>
      <c r="BL1045" t="s">
        <v>111</v>
      </c>
      <c r="BM1045" t="s">
        <v>111</v>
      </c>
      <c r="BN1045" t="s">
        <v>111</v>
      </c>
      <c r="BO1045" t="s">
        <v>111</v>
      </c>
      <c r="BP1045" t="s">
        <v>111</v>
      </c>
      <c r="BQ1045" t="s">
        <v>111</v>
      </c>
      <c r="BR1045" t="s">
        <v>111</v>
      </c>
      <c r="BS1045" t="s">
        <v>111</v>
      </c>
      <c r="BT1045" t="s">
        <v>111</v>
      </c>
      <c r="BU1045" t="s">
        <v>111</v>
      </c>
      <c r="BV1045" t="s">
        <v>111</v>
      </c>
      <c r="BW1045" t="s">
        <v>111</v>
      </c>
      <c r="BX1045" t="s">
        <v>111</v>
      </c>
      <c r="BY1045" t="s">
        <v>111</v>
      </c>
      <c r="BZ1045" t="s">
        <v>111</v>
      </c>
      <c r="CA1045" t="s">
        <v>111</v>
      </c>
      <c r="CB1045" t="s">
        <v>111</v>
      </c>
      <c r="CC1045" t="s">
        <v>111</v>
      </c>
      <c r="CD1045" t="s">
        <v>111</v>
      </c>
      <c r="CE1045" t="s">
        <v>111</v>
      </c>
      <c r="CF1045" t="s">
        <v>111</v>
      </c>
      <c r="CG1045" t="s">
        <v>111</v>
      </c>
      <c r="CH1045" t="s">
        <v>111</v>
      </c>
      <c r="CI1045" t="s">
        <v>111</v>
      </c>
      <c r="CJ1045" t="s">
        <v>111</v>
      </c>
      <c r="CK1045" t="s">
        <v>111</v>
      </c>
      <c r="CL1045" t="s">
        <v>153</v>
      </c>
      <c r="CM1045" t="s">
        <v>198</v>
      </c>
      <c r="CN1045" t="s">
        <v>113</v>
      </c>
      <c r="CO1045" t="s">
        <v>1348</v>
      </c>
      <c r="CP1045" t="s">
        <v>433</v>
      </c>
      <c r="CQ1045">
        <v>0</v>
      </c>
      <c r="CR1045">
        <v>0</v>
      </c>
      <c r="CS1045">
        <v>0</v>
      </c>
      <c r="CT1045" t="s">
        <v>419</v>
      </c>
      <c r="CU1045">
        <v>0</v>
      </c>
      <c r="CV1045" t="s">
        <v>111</v>
      </c>
      <c r="CW1045" t="s">
        <v>111</v>
      </c>
      <c r="CX1045" t="s">
        <v>111</v>
      </c>
      <c r="CY1045">
        <v>0</v>
      </c>
      <c r="CZ1045" t="s">
        <v>111</v>
      </c>
      <c r="DA1045" t="s">
        <v>111</v>
      </c>
      <c r="DB1045" t="s">
        <v>204</v>
      </c>
      <c r="DC1045" s="1" t="s">
        <v>1350</v>
      </c>
    </row>
    <row r="1046" spans="1:107">
      <c r="A1046">
        <v>140</v>
      </c>
      <c r="B1046" t="s">
        <v>162</v>
      </c>
      <c r="C1046" t="s">
        <v>1176</v>
      </c>
      <c r="D1046" t="s">
        <v>3276</v>
      </c>
      <c r="E1046" t="s">
        <v>3277</v>
      </c>
      <c r="F1046" t="s">
        <v>192</v>
      </c>
      <c r="G1046" t="s">
        <v>416</v>
      </c>
      <c r="H1046">
        <v>2.5</v>
      </c>
      <c r="I1046">
        <v>90</v>
      </c>
      <c r="J1046">
        <v>0</v>
      </c>
      <c r="K1046">
        <v>0</v>
      </c>
      <c r="L1046" t="s">
        <v>112</v>
      </c>
      <c r="M1046" t="s">
        <v>138</v>
      </c>
      <c r="N1046">
        <v>0</v>
      </c>
      <c r="O1046">
        <v>0</v>
      </c>
      <c r="P1046" t="s">
        <v>138</v>
      </c>
      <c r="Q1046">
        <v>40</v>
      </c>
      <c r="R1046">
        <v>0</v>
      </c>
      <c r="S1046">
        <v>0</v>
      </c>
      <c r="T1046">
        <v>0</v>
      </c>
      <c r="U1046" t="s">
        <v>203</v>
      </c>
      <c r="V1046">
        <v>0</v>
      </c>
      <c r="W1046">
        <v>25</v>
      </c>
      <c r="X1046">
        <v>10</v>
      </c>
      <c r="Y1046">
        <v>0</v>
      </c>
      <c r="Z1046" t="s">
        <v>111</v>
      </c>
      <c r="AA1046">
        <v>0</v>
      </c>
      <c r="AB1046" t="s">
        <v>111</v>
      </c>
      <c r="AC1046">
        <v>0</v>
      </c>
      <c r="AD1046" t="s">
        <v>111</v>
      </c>
      <c r="AE1046">
        <v>0</v>
      </c>
      <c r="AF1046">
        <v>0</v>
      </c>
      <c r="AG1046" t="s">
        <v>111</v>
      </c>
      <c r="AH1046" t="s">
        <v>111</v>
      </c>
      <c r="AI1046" t="s">
        <v>111</v>
      </c>
      <c r="AJ1046" t="s">
        <v>111</v>
      </c>
      <c r="AK1046" t="s">
        <v>111</v>
      </c>
      <c r="AL1046" t="s">
        <v>111</v>
      </c>
      <c r="AM1046">
        <v>0</v>
      </c>
      <c r="AN1046">
        <v>0</v>
      </c>
      <c r="AO1046">
        <v>0</v>
      </c>
      <c r="AP1046" t="s">
        <v>111</v>
      </c>
      <c r="AQ1046" t="s">
        <v>111</v>
      </c>
      <c r="AR1046" t="s">
        <v>111</v>
      </c>
      <c r="AS1046" t="s">
        <v>111</v>
      </c>
      <c r="AT1046" t="s">
        <v>111</v>
      </c>
      <c r="AU1046" t="s">
        <v>111</v>
      </c>
      <c r="AV1046" t="s">
        <v>111</v>
      </c>
      <c r="AW1046" t="s">
        <v>111</v>
      </c>
      <c r="AX1046" t="s">
        <v>111</v>
      </c>
      <c r="AY1046" t="s">
        <v>111</v>
      </c>
      <c r="AZ1046" t="s">
        <v>111</v>
      </c>
      <c r="BA1046" t="s">
        <v>111</v>
      </c>
      <c r="BB1046" t="s">
        <v>111</v>
      </c>
      <c r="BC1046" t="s">
        <v>111</v>
      </c>
      <c r="BD1046" t="s">
        <v>111</v>
      </c>
      <c r="BE1046" t="s">
        <v>111</v>
      </c>
      <c r="BF1046" t="s">
        <v>111</v>
      </c>
      <c r="BG1046" t="s">
        <v>111</v>
      </c>
      <c r="BH1046" t="s">
        <v>111</v>
      </c>
      <c r="BI1046" t="s">
        <v>111</v>
      </c>
      <c r="BJ1046" t="s">
        <v>111</v>
      </c>
      <c r="BK1046" t="s">
        <v>111</v>
      </c>
      <c r="BL1046" t="s">
        <v>111</v>
      </c>
      <c r="BM1046" t="s">
        <v>111</v>
      </c>
      <c r="BN1046" t="s">
        <v>111</v>
      </c>
      <c r="BO1046" t="s">
        <v>111</v>
      </c>
      <c r="BP1046" t="s">
        <v>111</v>
      </c>
      <c r="BQ1046" t="s">
        <v>111</v>
      </c>
      <c r="BR1046" t="s">
        <v>111</v>
      </c>
      <c r="BS1046" t="s">
        <v>111</v>
      </c>
      <c r="BT1046" t="s">
        <v>111</v>
      </c>
      <c r="BU1046" t="s">
        <v>111</v>
      </c>
      <c r="BV1046" t="s">
        <v>111</v>
      </c>
      <c r="BW1046" t="s">
        <v>111</v>
      </c>
      <c r="BX1046" t="s">
        <v>111</v>
      </c>
      <c r="BY1046" t="s">
        <v>111</v>
      </c>
      <c r="BZ1046" t="s">
        <v>111</v>
      </c>
      <c r="CA1046" t="s">
        <v>111</v>
      </c>
      <c r="CB1046" t="s">
        <v>111</v>
      </c>
      <c r="CC1046" t="s">
        <v>111</v>
      </c>
      <c r="CD1046" t="s">
        <v>111</v>
      </c>
      <c r="CE1046" t="s">
        <v>111</v>
      </c>
      <c r="CF1046" t="s">
        <v>111</v>
      </c>
      <c r="CG1046" t="s">
        <v>111</v>
      </c>
      <c r="CH1046" t="s">
        <v>111</v>
      </c>
      <c r="CI1046" t="s">
        <v>111</v>
      </c>
      <c r="CJ1046" t="s">
        <v>111</v>
      </c>
      <c r="CK1046" t="s">
        <v>111</v>
      </c>
      <c r="CL1046" t="s">
        <v>111</v>
      </c>
      <c r="CM1046" t="s">
        <v>111</v>
      </c>
      <c r="CN1046" t="s">
        <v>111</v>
      </c>
      <c r="CO1046" t="s">
        <v>111</v>
      </c>
      <c r="CP1046" t="s">
        <v>111</v>
      </c>
      <c r="CQ1046">
        <v>0</v>
      </c>
      <c r="CR1046">
        <v>0</v>
      </c>
      <c r="CS1046">
        <v>0</v>
      </c>
      <c r="CT1046" t="s">
        <v>111</v>
      </c>
      <c r="CU1046">
        <v>0</v>
      </c>
      <c r="CV1046" t="s">
        <v>111</v>
      </c>
      <c r="CW1046" t="s">
        <v>111</v>
      </c>
      <c r="CX1046" t="s">
        <v>111</v>
      </c>
      <c r="CY1046">
        <v>0</v>
      </c>
      <c r="CZ1046" t="s">
        <v>111</v>
      </c>
      <c r="DA1046" t="s">
        <v>111</v>
      </c>
      <c r="DB1046" t="s">
        <v>204</v>
      </c>
      <c r="DC1046" s="1" t="s">
        <v>3278</v>
      </c>
    </row>
    <row r="1047" spans="1:107">
      <c r="A1047">
        <v>52</v>
      </c>
      <c r="B1047" t="s">
        <v>162</v>
      </c>
      <c r="C1047" t="s">
        <v>223</v>
      </c>
      <c r="D1047" t="s">
        <v>3279</v>
      </c>
      <c r="E1047" t="s">
        <v>3280</v>
      </c>
      <c r="F1047" t="s">
        <v>370</v>
      </c>
      <c r="G1047" t="s">
        <v>416</v>
      </c>
      <c r="H1047">
        <v>2.5</v>
      </c>
      <c r="I1047">
        <v>43</v>
      </c>
      <c r="J1047">
        <v>0</v>
      </c>
      <c r="K1047">
        <v>0</v>
      </c>
      <c r="L1047" t="s">
        <v>112</v>
      </c>
      <c r="M1047" t="s">
        <v>118</v>
      </c>
      <c r="N1047">
        <v>40</v>
      </c>
      <c r="O1047">
        <v>2</v>
      </c>
      <c r="P1047" t="s">
        <v>138</v>
      </c>
      <c r="Q1047">
        <v>35</v>
      </c>
      <c r="R1047">
        <v>0</v>
      </c>
      <c r="S1047">
        <v>0</v>
      </c>
      <c r="T1047">
        <v>0</v>
      </c>
      <c r="U1047" t="s">
        <v>1353</v>
      </c>
      <c r="V1047">
        <v>25</v>
      </c>
      <c r="W1047">
        <v>0</v>
      </c>
      <c r="X1047">
        <v>10</v>
      </c>
      <c r="Y1047">
        <v>0</v>
      </c>
      <c r="Z1047" t="s">
        <v>288</v>
      </c>
      <c r="AA1047">
        <v>1.75</v>
      </c>
      <c r="AB1047" t="s">
        <v>111</v>
      </c>
      <c r="AC1047">
        <v>0</v>
      </c>
      <c r="AD1047" t="s">
        <v>416</v>
      </c>
      <c r="AE1047">
        <v>2</v>
      </c>
      <c r="AF1047">
        <v>2</v>
      </c>
      <c r="AG1047" t="s">
        <v>691</v>
      </c>
      <c r="AH1047" t="s">
        <v>111</v>
      </c>
      <c r="AI1047">
        <v>38</v>
      </c>
      <c r="AJ1047" t="s">
        <v>111</v>
      </c>
      <c r="AK1047" t="s">
        <v>111</v>
      </c>
      <c r="AL1047" t="s">
        <v>111</v>
      </c>
      <c r="AM1047">
        <v>0</v>
      </c>
      <c r="AN1047">
        <v>0</v>
      </c>
      <c r="AO1047">
        <v>0</v>
      </c>
      <c r="AP1047" t="s">
        <v>366</v>
      </c>
      <c r="AQ1047" t="s">
        <v>111</v>
      </c>
      <c r="AR1047" t="s">
        <v>111</v>
      </c>
      <c r="AS1047" t="s">
        <v>111</v>
      </c>
      <c r="AT1047" t="s">
        <v>271</v>
      </c>
      <c r="AU1047" t="s">
        <v>111</v>
      </c>
      <c r="AV1047" t="s">
        <v>111</v>
      </c>
      <c r="AW1047" t="s">
        <v>111</v>
      </c>
      <c r="AX1047" t="s">
        <v>111</v>
      </c>
      <c r="AY1047" t="s">
        <v>111</v>
      </c>
      <c r="AZ1047" t="s">
        <v>111</v>
      </c>
      <c r="BA1047" t="s">
        <v>111</v>
      </c>
      <c r="BB1047" t="s">
        <v>111</v>
      </c>
      <c r="BC1047" t="s">
        <v>111</v>
      </c>
      <c r="BD1047" t="s">
        <v>111</v>
      </c>
      <c r="BE1047" t="s">
        <v>111</v>
      </c>
      <c r="BF1047" t="s">
        <v>111</v>
      </c>
      <c r="BG1047" t="s">
        <v>111</v>
      </c>
      <c r="BH1047" t="s">
        <v>111</v>
      </c>
      <c r="BI1047" t="s">
        <v>111</v>
      </c>
      <c r="BJ1047" t="s">
        <v>111</v>
      </c>
      <c r="BK1047" t="s">
        <v>111</v>
      </c>
      <c r="BL1047" t="s">
        <v>111</v>
      </c>
      <c r="BM1047" t="s">
        <v>111</v>
      </c>
      <c r="BN1047" t="s">
        <v>111</v>
      </c>
      <c r="BO1047" t="s">
        <v>111</v>
      </c>
      <c r="BP1047" t="s">
        <v>111</v>
      </c>
      <c r="BQ1047" t="s">
        <v>111</v>
      </c>
      <c r="BR1047" t="s">
        <v>111</v>
      </c>
      <c r="BS1047" t="s">
        <v>111</v>
      </c>
      <c r="BT1047" t="s">
        <v>111</v>
      </c>
      <c r="BU1047" t="s">
        <v>111</v>
      </c>
      <c r="BV1047" t="s">
        <v>111</v>
      </c>
      <c r="BW1047" t="s">
        <v>111</v>
      </c>
      <c r="BX1047" t="s">
        <v>111</v>
      </c>
      <c r="BY1047" t="s">
        <v>111</v>
      </c>
      <c r="BZ1047" t="s">
        <v>111</v>
      </c>
      <c r="CA1047" t="s">
        <v>111</v>
      </c>
      <c r="CB1047" t="s">
        <v>111</v>
      </c>
      <c r="CC1047" t="s">
        <v>111</v>
      </c>
      <c r="CD1047" t="s">
        <v>111</v>
      </c>
      <c r="CE1047" t="s">
        <v>111</v>
      </c>
      <c r="CF1047" t="s">
        <v>111</v>
      </c>
      <c r="CG1047" t="s">
        <v>111</v>
      </c>
      <c r="CH1047" t="s">
        <v>111</v>
      </c>
      <c r="CI1047" t="s">
        <v>111</v>
      </c>
      <c r="CJ1047" t="s">
        <v>111</v>
      </c>
      <c r="CK1047" t="s">
        <v>111</v>
      </c>
      <c r="CL1047" t="s">
        <v>234</v>
      </c>
      <c r="CM1047" t="s">
        <v>111</v>
      </c>
      <c r="CN1047" t="s">
        <v>111</v>
      </c>
      <c r="CO1047" t="s">
        <v>111</v>
      </c>
      <c r="CP1047" t="s">
        <v>111</v>
      </c>
      <c r="CQ1047">
        <v>0</v>
      </c>
      <c r="CR1047">
        <v>0</v>
      </c>
      <c r="CS1047">
        <v>0</v>
      </c>
      <c r="CT1047" t="s">
        <v>111</v>
      </c>
      <c r="CU1047">
        <v>0</v>
      </c>
      <c r="CV1047" t="s">
        <v>111</v>
      </c>
      <c r="CW1047" t="s">
        <v>111</v>
      </c>
      <c r="CX1047" t="s">
        <v>111</v>
      </c>
      <c r="CY1047">
        <v>0</v>
      </c>
      <c r="CZ1047" t="s">
        <v>111</v>
      </c>
      <c r="DA1047" t="s">
        <v>111</v>
      </c>
      <c r="DB1047" t="s">
        <v>204</v>
      </c>
      <c r="DC1047" s="1" t="s">
        <v>3032</v>
      </c>
    </row>
    <row r="1048" spans="1:107">
      <c r="A1048">
        <v>135</v>
      </c>
      <c r="B1048" t="s">
        <v>162</v>
      </c>
      <c r="C1048" t="s">
        <v>2952</v>
      </c>
      <c r="D1048" t="s">
        <v>3281</v>
      </c>
      <c r="E1048" t="s">
        <v>3282</v>
      </c>
      <c r="F1048" t="s">
        <v>431</v>
      </c>
      <c r="G1048" t="s">
        <v>416</v>
      </c>
      <c r="H1048">
        <v>1.1499999999999999</v>
      </c>
      <c r="I1048">
        <v>30.5</v>
      </c>
      <c r="J1048">
        <v>0</v>
      </c>
      <c r="K1048">
        <v>0</v>
      </c>
      <c r="L1048" t="s">
        <v>112</v>
      </c>
      <c r="M1048" t="s">
        <v>118</v>
      </c>
      <c r="N1048">
        <v>40</v>
      </c>
      <c r="O1048">
        <v>2</v>
      </c>
      <c r="P1048" t="s">
        <v>138</v>
      </c>
      <c r="Q1048">
        <v>30</v>
      </c>
      <c r="R1048">
        <v>0</v>
      </c>
      <c r="S1048">
        <v>0</v>
      </c>
      <c r="T1048">
        <v>0</v>
      </c>
      <c r="U1048" t="s">
        <v>153</v>
      </c>
      <c r="V1048">
        <v>0</v>
      </c>
      <c r="W1048">
        <v>25</v>
      </c>
      <c r="X1048">
        <v>8</v>
      </c>
      <c r="Y1048">
        <v>0</v>
      </c>
      <c r="Z1048" t="s">
        <v>111</v>
      </c>
      <c r="AA1048">
        <v>0</v>
      </c>
      <c r="AB1048" t="s">
        <v>111</v>
      </c>
      <c r="AC1048">
        <v>0</v>
      </c>
      <c r="AD1048" t="s">
        <v>111</v>
      </c>
      <c r="AE1048">
        <v>0</v>
      </c>
      <c r="AF1048">
        <v>0</v>
      </c>
      <c r="AG1048" t="s">
        <v>111</v>
      </c>
      <c r="AH1048" t="s">
        <v>111</v>
      </c>
      <c r="AI1048" t="s">
        <v>111</v>
      </c>
      <c r="AJ1048" t="s">
        <v>111</v>
      </c>
      <c r="AK1048" t="s">
        <v>111</v>
      </c>
      <c r="AL1048" t="s">
        <v>111</v>
      </c>
      <c r="AM1048">
        <v>0</v>
      </c>
      <c r="AN1048">
        <v>0</v>
      </c>
      <c r="AO1048">
        <v>0</v>
      </c>
      <c r="AP1048" t="s">
        <v>111</v>
      </c>
      <c r="AQ1048" t="s">
        <v>111</v>
      </c>
      <c r="AR1048" t="s">
        <v>111</v>
      </c>
      <c r="AS1048" t="s">
        <v>111</v>
      </c>
      <c r="AT1048" t="s">
        <v>111</v>
      </c>
      <c r="AU1048" t="s">
        <v>111</v>
      </c>
      <c r="AV1048" t="s">
        <v>111</v>
      </c>
      <c r="AW1048" t="s">
        <v>111</v>
      </c>
      <c r="AX1048" t="s">
        <v>111</v>
      </c>
      <c r="AY1048" t="s">
        <v>111</v>
      </c>
      <c r="AZ1048" t="s">
        <v>111</v>
      </c>
      <c r="BA1048" t="s">
        <v>111</v>
      </c>
      <c r="BB1048" t="s">
        <v>111</v>
      </c>
      <c r="BC1048" t="s">
        <v>111</v>
      </c>
      <c r="BD1048" t="s">
        <v>111</v>
      </c>
      <c r="BE1048" t="s">
        <v>111</v>
      </c>
      <c r="BF1048" t="s">
        <v>111</v>
      </c>
      <c r="BG1048" t="s">
        <v>111</v>
      </c>
      <c r="BH1048" t="s">
        <v>111</v>
      </c>
      <c r="BI1048" t="s">
        <v>111</v>
      </c>
      <c r="BJ1048" t="s">
        <v>111</v>
      </c>
      <c r="BK1048" t="s">
        <v>111</v>
      </c>
      <c r="BL1048" t="s">
        <v>111</v>
      </c>
      <c r="BM1048" t="s">
        <v>111</v>
      </c>
      <c r="BN1048" t="s">
        <v>111</v>
      </c>
      <c r="BO1048" t="s">
        <v>111</v>
      </c>
      <c r="BP1048" t="s">
        <v>111</v>
      </c>
      <c r="BQ1048" t="s">
        <v>111</v>
      </c>
      <c r="BR1048" t="s">
        <v>111</v>
      </c>
      <c r="BS1048" t="s">
        <v>111</v>
      </c>
      <c r="BT1048" t="s">
        <v>111</v>
      </c>
      <c r="BU1048" t="s">
        <v>111</v>
      </c>
      <c r="BV1048" t="s">
        <v>111</v>
      </c>
      <c r="BW1048" t="s">
        <v>111</v>
      </c>
      <c r="BX1048" t="s">
        <v>111</v>
      </c>
      <c r="BY1048" t="s">
        <v>111</v>
      </c>
      <c r="BZ1048" t="s">
        <v>111</v>
      </c>
      <c r="CA1048" t="s">
        <v>111</v>
      </c>
      <c r="CB1048" t="s">
        <v>111</v>
      </c>
      <c r="CC1048" t="s">
        <v>111</v>
      </c>
      <c r="CD1048" t="s">
        <v>111</v>
      </c>
      <c r="CE1048" t="s">
        <v>111</v>
      </c>
      <c r="CF1048" t="s">
        <v>111</v>
      </c>
      <c r="CG1048" t="s">
        <v>111</v>
      </c>
      <c r="CH1048" t="s">
        <v>111</v>
      </c>
      <c r="CI1048" t="s">
        <v>111</v>
      </c>
      <c r="CJ1048" t="s">
        <v>111</v>
      </c>
      <c r="CK1048" t="s">
        <v>111</v>
      </c>
      <c r="CL1048" t="s">
        <v>111</v>
      </c>
      <c r="CM1048" t="s">
        <v>198</v>
      </c>
      <c r="CN1048" t="s">
        <v>113</v>
      </c>
      <c r="CO1048" t="s">
        <v>111</v>
      </c>
      <c r="CP1048" t="s">
        <v>111</v>
      </c>
      <c r="CQ1048">
        <v>0</v>
      </c>
      <c r="CR1048">
        <v>0</v>
      </c>
      <c r="CS1048">
        <v>0</v>
      </c>
      <c r="CT1048" t="s">
        <v>3283</v>
      </c>
      <c r="CU1048">
        <v>0</v>
      </c>
      <c r="CV1048" t="s">
        <v>111</v>
      </c>
      <c r="CW1048" t="s">
        <v>111</v>
      </c>
      <c r="CX1048" t="s">
        <v>111</v>
      </c>
      <c r="CY1048">
        <v>0</v>
      </c>
      <c r="CZ1048" t="s">
        <v>111</v>
      </c>
      <c r="DA1048" t="s">
        <v>111</v>
      </c>
      <c r="DB1048" t="s">
        <v>558</v>
      </c>
      <c r="DC1048" s="1" t="s">
        <v>3284</v>
      </c>
    </row>
    <row r="1049" spans="1:107">
      <c r="A1049">
        <v>132</v>
      </c>
      <c r="B1049" t="s">
        <v>162</v>
      </c>
      <c r="C1049" t="s">
        <v>267</v>
      </c>
      <c r="D1049" t="s">
        <v>3285</v>
      </c>
      <c r="E1049" t="s">
        <v>3286</v>
      </c>
      <c r="F1049" t="s">
        <v>125</v>
      </c>
      <c r="G1049" t="s">
        <v>416</v>
      </c>
      <c r="H1049">
        <v>0.9</v>
      </c>
      <c r="I1049">
        <v>70</v>
      </c>
      <c r="J1049">
        <v>0</v>
      </c>
      <c r="K1049">
        <v>0</v>
      </c>
      <c r="L1049" t="s">
        <v>112</v>
      </c>
      <c r="M1049" t="s">
        <v>138</v>
      </c>
      <c r="N1049">
        <v>0</v>
      </c>
      <c r="O1049">
        <v>0</v>
      </c>
      <c r="P1049" t="s">
        <v>138</v>
      </c>
      <c r="Q1049">
        <v>45</v>
      </c>
      <c r="R1049">
        <v>0</v>
      </c>
      <c r="S1049">
        <v>0</v>
      </c>
      <c r="T1049">
        <v>0</v>
      </c>
      <c r="U1049" t="s">
        <v>153</v>
      </c>
      <c r="V1049">
        <v>25</v>
      </c>
      <c r="W1049">
        <v>0</v>
      </c>
      <c r="X1049">
        <v>8</v>
      </c>
      <c r="Y1049">
        <v>0</v>
      </c>
      <c r="Z1049" t="s">
        <v>111</v>
      </c>
      <c r="AA1049">
        <v>0</v>
      </c>
      <c r="AB1049" t="s">
        <v>111</v>
      </c>
      <c r="AC1049">
        <v>0</v>
      </c>
      <c r="AD1049" t="s">
        <v>111</v>
      </c>
      <c r="AE1049">
        <v>0</v>
      </c>
      <c r="AF1049">
        <v>0</v>
      </c>
      <c r="AG1049" t="s">
        <v>111</v>
      </c>
      <c r="AH1049" t="s">
        <v>111</v>
      </c>
      <c r="AI1049" t="s">
        <v>111</v>
      </c>
      <c r="AJ1049" t="s">
        <v>111</v>
      </c>
      <c r="AK1049" t="s">
        <v>111</v>
      </c>
      <c r="AL1049" t="s">
        <v>111</v>
      </c>
      <c r="AM1049">
        <v>0</v>
      </c>
      <c r="AN1049">
        <v>0</v>
      </c>
      <c r="AO1049">
        <v>0</v>
      </c>
      <c r="AP1049" t="s">
        <v>111</v>
      </c>
      <c r="AQ1049" t="s">
        <v>111</v>
      </c>
      <c r="AR1049" t="s">
        <v>111</v>
      </c>
      <c r="AS1049" t="s">
        <v>111</v>
      </c>
      <c r="AT1049" t="s">
        <v>111</v>
      </c>
      <c r="AU1049" t="s">
        <v>111</v>
      </c>
      <c r="AV1049" t="s">
        <v>111</v>
      </c>
      <c r="AW1049" t="s">
        <v>111</v>
      </c>
      <c r="AX1049" t="s">
        <v>111</v>
      </c>
      <c r="AY1049" t="s">
        <v>111</v>
      </c>
      <c r="AZ1049" t="s">
        <v>111</v>
      </c>
      <c r="BA1049" t="s">
        <v>111</v>
      </c>
      <c r="BB1049" t="s">
        <v>111</v>
      </c>
      <c r="BC1049" t="s">
        <v>111</v>
      </c>
      <c r="BD1049" t="s">
        <v>111</v>
      </c>
      <c r="BE1049" t="s">
        <v>111</v>
      </c>
      <c r="BF1049" t="s">
        <v>111</v>
      </c>
      <c r="BG1049" t="s">
        <v>111</v>
      </c>
      <c r="BH1049" t="s">
        <v>111</v>
      </c>
      <c r="BI1049" t="s">
        <v>111</v>
      </c>
      <c r="BJ1049" t="s">
        <v>111</v>
      </c>
      <c r="BK1049" t="s">
        <v>111</v>
      </c>
      <c r="BL1049" t="s">
        <v>111</v>
      </c>
      <c r="BM1049" t="s">
        <v>111</v>
      </c>
      <c r="BN1049" t="s">
        <v>111</v>
      </c>
      <c r="BO1049" t="s">
        <v>111</v>
      </c>
      <c r="BP1049" t="s">
        <v>111</v>
      </c>
      <c r="BQ1049" t="s">
        <v>111</v>
      </c>
      <c r="BR1049" t="s">
        <v>111</v>
      </c>
      <c r="BS1049" t="s">
        <v>111</v>
      </c>
      <c r="BT1049" t="s">
        <v>111</v>
      </c>
      <c r="BU1049" t="s">
        <v>111</v>
      </c>
      <c r="BV1049" t="s">
        <v>111</v>
      </c>
      <c r="BW1049" t="s">
        <v>111</v>
      </c>
      <c r="BX1049" t="s">
        <v>111</v>
      </c>
      <c r="BY1049" t="s">
        <v>111</v>
      </c>
      <c r="BZ1049" t="s">
        <v>111</v>
      </c>
      <c r="CA1049" t="s">
        <v>111</v>
      </c>
      <c r="CB1049" t="s">
        <v>111</v>
      </c>
      <c r="CC1049" t="s">
        <v>111</v>
      </c>
      <c r="CD1049" t="s">
        <v>111</v>
      </c>
      <c r="CE1049" t="s">
        <v>111</v>
      </c>
      <c r="CF1049" t="s">
        <v>111</v>
      </c>
      <c r="CG1049" t="s">
        <v>111</v>
      </c>
      <c r="CH1049" t="s">
        <v>111</v>
      </c>
      <c r="CI1049" t="s">
        <v>111</v>
      </c>
      <c r="CJ1049" t="s">
        <v>111</v>
      </c>
      <c r="CK1049" t="s">
        <v>111</v>
      </c>
      <c r="CL1049" t="s">
        <v>111</v>
      </c>
      <c r="CM1049" t="s">
        <v>198</v>
      </c>
      <c r="CN1049" t="s">
        <v>113</v>
      </c>
      <c r="CO1049" t="s">
        <v>111</v>
      </c>
      <c r="CP1049" t="s">
        <v>111</v>
      </c>
      <c r="CQ1049">
        <v>0</v>
      </c>
      <c r="CR1049">
        <v>0</v>
      </c>
      <c r="CS1049">
        <v>0</v>
      </c>
      <c r="CT1049" t="s">
        <v>168</v>
      </c>
      <c r="CU1049">
        <v>0</v>
      </c>
      <c r="CV1049" t="s">
        <v>111</v>
      </c>
      <c r="CW1049" t="s">
        <v>111</v>
      </c>
      <c r="CX1049" t="s">
        <v>111</v>
      </c>
      <c r="CY1049">
        <v>0</v>
      </c>
      <c r="CZ1049" t="s">
        <v>111</v>
      </c>
      <c r="DA1049" t="s">
        <v>111</v>
      </c>
      <c r="DB1049" t="s">
        <v>111</v>
      </c>
      <c r="DC1049" t="s">
        <v>111</v>
      </c>
    </row>
    <row r="1050" spans="1:107">
      <c r="A1050">
        <v>240</v>
      </c>
      <c r="B1050" t="s">
        <v>162</v>
      </c>
      <c r="C1050" t="s">
        <v>3287</v>
      </c>
      <c r="D1050" t="s">
        <v>3288</v>
      </c>
      <c r="E1050" t="s">
        <v>3289</v>
      </c>
      <c r="F1050" t="s">
        <v>370</v>
      </c>
      <c r="G1050" t="s">
        <v>416</v>
      </c>
      <c r="H1050">
        <v>3</v>
      </c>
      <c r="I1050">
        <v>78</v>
      </c>
      <c r="J1050">
        <v>0</v>
      </c>
      <c r="K1050">
        <v>0</v>
      </c>
      <c r="L1050" t="s">
        <v>117</v>
      </c>
      <c r="M1050" t="s">
        <v>118</v>
      </c>
      <c r="N1050">
        <v>40</v>
      </c>
      <c r="O1050">
        <v>2</v>
      </c>
      <c r="P1050" t="s">
        <v>138</v>
      </c>
      <c r="Q1050">
        <v>40</v>
      </c>
      <c r="R1050">
        <v>0</v>
      </c>
      <c r="S1050">
        <v>0</v>
      </c>
      <c r="T1050">
        <v>0</v>
      </c>
      <c r="U1050" t="s">
        <v>1353</v>
      </c>
      <c r="V1050">
        <v>25</v>
      </c>
      <c r="W1050">
        <v>0</v>
      </c>
      <c r="X1050">
        <v>8</v>
      </c>
      <c r="Y1050">
        <v>0</v>
      </c>
      <c r="Z1050" t="s">
        <v>288</v>
      </c>
      <c r="AA1050">
        <v>1.65</v>
      </c>
      <c r="AB1050" t="s">
        <v>111</v>
      </c>
      <c r="AC1050">
        <v>0</v>
      </c>
      <c r="AD1050" t="s">
        <v>416</v>
      </c>
      <c r="AE1050">
        <v>3</v>
      </c>
      <c r="AF1050">
        <v>2</v>
      </c>
      <c r="AG1050">
        <v>38</v>
      </c>
      <c r="AH1050" t="s">
        <v>111</v>
      </c>
      <c r="AI1050">
        <v>38</v>
      </c>
      <c r="AJ1050" t="s">
        <v>111</v>
      </c>
      <c r="AK1050" t="s">
        <v>111</v>
      </c>
      <c r="AL1050" t="s">
        <v>111</v>
      </c>
      <c r="AM1050">
        <v>0</v>
      </c>
      <c r="AN1050">
        <v>0</v>
      </c>
      <c r="AO1050">
        <v>0</v>
      </c>
      <c r="AP1050" t="s">
        <v>184</v>
      </c>
      <c r="AQ1050">
        <v>81118</v>
      </c>
      <c r="AR1050" t="s">
        <v>111</v>
      </c>
      <c r="AS1050" t="s">
        <v>111</v>
      </c>
      <c r="AT1050" t="s">
        <v>2774</v>
      </c>
      <c r="AU1050">
        <v>95303</v>
      </c>
      <c r="AV1050" t="s">
        <v>111</v>
      </c>
      <c r="AW1050" t="s">
        <v>111</v>
      </c>
      <c r="AX1050" t="s">
        <v>772</v>
      </c>
      <c r="AY1050">
        <v>95202</v>
      </c>
      <c r="AZ1050" t="s">
        <v>111</v>
      </c>
      <c r="BA1050" t="s">
        <v>111</v>
      </c>
      <c r="BB1050" t="s">
        <v>111</v>
      </c>
      <c r="BC1050" t="s">
        <v>111</v>
      </c>
      <c r="BD1050" t="s">
        <v>111</v>
      </c>
      <c r="BE1050" t="s">
        <v>111</v>
      </c>
      <c r="BF1050" t="s">
        <v>111</v>
      </c>
      <c r="BG1050" t="s">
        <v>111</v>
      </c>
      <c r="BH1050" t="s">
        <v>111</v>
      </c>
      <c r="BI1050" t="s">
        <v>111</v>
      </c>
      <c r="BJ1050" t="s">
        <v>111</v>
      </c>
      <c r="BK1050" t="s">
        <v>111</v>
      </c>
      <c r="BL1050" t="s">
        <v>111</v>
      </c>
      <c r="BM1050" t="s">
        <v>111</v>
      </c>
      <c r="BN1050" t="s">
        <v>111</v>
      </c>
      <c r="BO1050" t="s">
        <v>111</v>
      </c>
      <c r="BP1050" t="s">
        <v>111</v>
      </c>
      <c r="BQ1050" t="s">
        <v>111</v>
      </c>
      <c r="BR1050" t="s">
        <v>111</v>
      </c>
      <c r="BS1050" t="s">
        <v>111</v>
      </c>
      <c r="BT1050" t="s">
        <v>111</v>
      </c>
      <c r="BU1050" t="s">
        <v>111</v>
      </c>
      <c r="BV1050" t="s">
        <v>111</v>
      </c>
      <c r="BW1050" t="s">
        <v>111</v>
      </c>
      <c r="BX1050" t="s">
        <v>111</v>
      </c>
      <c r="BY1050" t="s">
        <v>111</v>
      </c>
      <c r="BZ1050" t="s">
        <v>111</v>
      </c>
      <c r="CA1050" t="s">
        <v>111</v>
      </c>
      <c r="CB1050" t="s">
        <v>111</v>
      </c>
      <c r="CC1050" t="s">
        <v>111</v>
      </c>
      <c r="CD1050" t="s">
        <v>111</v>
      </c>
      <c r="CE1050" t="s">
        <v>111</v>
      </c>
      <c r="CF1050" t="s">
        <v>111</v>
      </c>
      <c r="CG1050" t="s">
        <v>111</v>
      </c>
      <c r="CH1050" t="s">
        <v>111</v>
      </c>
      <c r="CI1050" t="s">
        <v>111</v>
      </c>
      <c r="CJ1050" t="s">
        <v>111</v>
      </c>
      <c r="CK1050" t="s">
        <v>111</v>
      </c>
      <c r="CL1050" t="s">
        <v>153</v>
      </c>
      <c r="CM1050" t="s">
        <v>198</v>
      </c>
      <c r="CN1050" t="s">
        <v>113</v>
      </c>
      <c r="CO1050" t="s">
        <v>111</v>
      </c>
      <c r="CP1050" t="s">
        <v>433</v>
      </c>
      <c r="CQ1050">
        <v>0</v>
      </c>
      <c r="CR1050">
        <v>0</v>
      </c>
      <c r="CS1050">
        <v>0</v>
      </c>
      <c r="CT1050" t="s">
        <v>419</v>
      </c>
      <c r="CU1050">
        <v>0</v>
      </c>
      <c r="CV1050" t="s">
        <v>111</v>
      </c>
      <c r="CW1050" t="s">
        <v>111</v>
      </c>
      <c r="CX1050" t="s">
        <v>111</v>
      </c>
      <c r="CY1050">
        <v>0</v>
      </c>
      <c r="CZ1050" t="s">
        <v>111</v>
      </c>
      <c r="DA1050" t="s">
        <v>111</v>
      </c>
      <c r="DB1050" t="s">
        <v>204</v>
      </c>
      <c r="DC1050" s="1" t="s">
        <v>3290</v>
      </c>
    </row>
    <row r="1051" spans="1:107">
      <c r="A1051">
        <v>82</v>
      </c>
      <c r="B1051" t="s">
        <v>162</v>
      </c>
      <c r="C1051" t="s">
        <v>2726</v>
      </c>
      <c r="D1051" t="s">
        <v>1789</v>
      </c>
      <c r="E1051" t="s">
        <v>1790</v>
      </c>
      <c r="F1051" t="s">
        <v>125</v>
      </c>
      <c r="G1051" t="s">
        <v>416</v>
      </c>
      <c r="H1051">
        <v>0.6</v>
      </c>
      <c r="I1051">
        <v>80</v>
      </c>
      <c r="J1051">
        <v>0</v>
      </c>
      <c r="K1051">
        <v>0</v>
      </c>
      <c r="L1051" t="s">
        <v>178</v>
      </c>
      <c r="M1051" t="s">
        <v>138</v>
      </c>
      <c r="N1051">
        <v>0</v>
      </c>
      <c r="O1051">
        <v>0</v>
      </c>
      <c r="P1051" t="s">
        <v>138</v>
      </c>
      <c r="Q1051">
        <v>35</v>
      </c>
      <c r="R1051">
        <v>0</v>
      </c>
      <c r="S1051">
        <v>0</v>
      </c>
      <c r="T1051">
        <v>0</v>
      </c>
      <c r="U1051" t="s">
        <v>153</v>
      </c>
      <c r="V1051">
        <v>25</v>
      </c>
      <c r="W1051">
        <v>0</v>
      </c>
      <c r="X1051">
        <v>10</v>
      </c>
      <c r="Y1051">
        <v>0</v>
      </c>
      <c r="Z1051" t="s">
        <v>111</v>
      </c>
      <c r="AA1051">
        <v>0</v>
      </c>
      <c r="AB1051" t="s">
        <v>111</v>
      </c>
      <c r="AC1051">
        <v>0</v>
      </c>
      <c r="AD1051" t="s">
        <v>111</v>
      </c>
      <c r="AE1051">
        <v>0</v>
      </c>
      <c r="AF1051">
        <v>0</v>
      </c>
      <c r="AG1051" t="s">
        <v>111</v>
      </c>
      <c r="AH1051" t="s">
        <v>111</v>
      </c>
      <c r="AI1051" t="s">
        <v>111</v>
      </c>
      <c r="AJ1051" t="s">
        <v>111</v>
      </c>
      <c r="AK1051" t="s">
        <v>111</v>
      </c>
      <c r="AL1051" t="s">
        <v>111</v>
      </c>
      <c r="AM1051">
        <v>0</v>
      </c>
      <c r="AN1051">
        <v>0</v>
      </c>
      <c r="AO1051">
        <v>0</v>
      </c>
      <c r="AP1051" t="s">
        <v>111</v>
      </c>
      <c r="AQ1051" t="s">
        <v>111</v>
      </c>
      <c r="AR1051" t="s">
        <v>111</v>
      </c>
      <c r="AS1051" t="s">
        <v>111</v>
      </c>
      <c r="AT1051" t="s">
        <v>111</v>
      </c>
      <c r="AU1051" t="s">
        <v>111</v>
      </c>
      <c r="AV1051" t="s">
        <v>111</v>
      </c>
      <c r="AW1051" t="s">
        <v>111</v>
      </c>
      <c r="AX1051" t="s">
        <v>111</v>
      </c>
      <c r="AY1051" t="s">
        <v>111</v>
      </c>
      <c r="AZ1051" t="s">
        <v>111</v>
      </c>
      <c r="BA1051" t="s">
        <v>111</v>
      </c>
      <c r="BB1051" t="s">
        <v>111</v>
      </c>
      <c r="BC1051" t="s">
        <v>111</v>
      </c>
      <c r="BD1051" t="s">
        <v>111</v>
      </c>
      <c r="BE1051" t="s">
        <v>111</v>
      </c>
      <c r="BF1051" t="s">
        <v>111</v>
      </c>
      <c r="BG1051" t="s">
        <v>111</v>
      </c>
      <c r="BH1051" t="s">
        <v>111</v>
      </c>
      <c r="BI1051" t="s">
        <v>111</v>
      </c>
      <c r="BJ1051" t="s">
        <v>111</v>
      </c>
      <c r="BK1051" t="s">
        <v>111</v>
      </c>
      <c r="BL1051" t="s">
        <v>111</v>
      </c>
      <c r="BM1051" t="s">
        <v>111</v>
      </c>
      <c r="BN1051" t="s">
        <v>111</v>
      </c>
      <c r="BO1051" t="s">
        <v>111</v>
      </c>
      <c r="BP1051" t="s">
        <v>111</v>
      </c>
      <c r="BQ1051" t="s">
        <v>111</v>
      </c>
      <c r="BR1051" t="s">
        <v>111</v>
      </c>
      <c r="BS1051" t="s">
        <v>111</v>
      </c>
      <c r="BT1051" t="s">
        <v>111</v>
      </c>
      <c r="BU1051" t="s">
        <v>111</v>
      </c>
      <c r="BV1051" t="s">
        <v>111</v>
      </c>
      <c r="BW1051" t="s">
        <v>111</v>
      </c>
      <c r="BX1051" t="s">
        <v>111</v>
      </c>
      <c r="BY1051" t="s">
        <v>111</v>
      </c>
      <c r="BZ1051" t="s">
        <v>111</v>
      </c>
      <c r="CA1051" t="s">
        <v>111</v>
      </c>
      <c r="CB1051" t="s">
        <v>111</v>
      </c>
      <c r="CC1051" t="s">
        <v>111</v>
      </c>
      <c r="CD1051" t="s">
        <v>111</v>
      </c>
      <c r="CE1051" t="s">
        <v>111</v>
      </c>
      <c r="CF1051" t="s">
        <v>111</v>
      </c>
      <c r="CG1051" t="s">
        <v>111</v>
      </c>
      <c r="CH1051" t="s">
        <v>111</v>
      </c>
      <c r="CI1051" t="s">
        <v>111</v>
      </c>
      <c r="CJ1051" t="s">
        <v>111</v>
      </c>
      <c r="CK1051" t="s">
        <v>111</v>
      </c>
      <c r="CL1051" t="s">
        <v>111</v>
      </c>
      <c r="CM1051" t="s">
        <v>198</v>
      </c>
      <c r="CN1051" t="s">
        <v>113</v>
      </c>
      <c r="CO1051" t="s">
        <v>111</v>
      </c>
      <c r="CP1051" t="s">
        <v>111</v>
      </c>
      <c r="CQ1051">
        <v>0</v>
      </c>
      <c r="CR1051">
        <v>0</v>
      </c>
      <c r="CS1051">
        <v>0</v>
      </c>
      <c r="CT1051" t="s">
        <v>168</v>
      </c>
      <c r="CU1051">
        <v>0</v>
      </c>
      <c r="CV1051" t="s">
        <v>111</v>
      </c>
      <c r="CW1051" t="s">
        <v>111</v>
      </c>
      <c r="CX1051" t="s">
        <v>111</v>
      </c>
      <c r="CY1051">
        <v>0</v>
      </c>
      <c r="CZ1051" t="s">
        <v>111</v>
      </c>
      <c r="DA1051" t="s">
        <v>111</v>
      </c>
      <c r="DB1051" t="s">
        <v>111</v>
      </c>
      <c r="DC1051" t="s">
        <v>111</v>
      </c>
    </row>
    <row r="1052" spans="1:107">
      <c r="A1052">
        <v>1378</v>
      </c>
      <c r="B1052" t="s">
        <v>107</v>
      </c>
      <c r="C1052" t="s">
        <v>114</v>
      </c>
      <c r="D1052" t="s">
        <v>489</v>
      </c>
      <c r="E1052" t="s">
        <v>3291</v>
      </c>
      <c r="F1052" t="s">
        <v>431</v>
      </c>
      <c r="G1052" t="s">
        <v>416</v>
      </c>
      <c r="H1052">
        <v>2.9</v>
      </c>
      <c r="I1052">
        <v>70</v>
      </c>
      <c r="J1052">
        <v>0</v>
      </c>
      <c r="K1052">
        <v>0</v>
      </c>
      <c r="L1052" t="s">
        <v>117</v>
      </c>
      <c r="M1052" t="s">
        <v>118</v>
      </c>
      <c r="N1052">
        <v>39</v>
      </c>
      <c r="O1052">
        <v>1</v>
      </c>
      <c r="P1052" t="s">
        <v>111</v>
      </c>
      <c r="Q1052">
        <v>20</v>
      </c>
      <c r="R1052">
        <v>0</v>
      </c>
      <c r="S1052">
        <v>0</v>
      </c>
      <c r="T1052">
        <v>5</v>
      </c>
      <c r="U1052" s="1" t="s">
        <v>3292</v>
      </c>
      <c r="V1052">
        <v>0</v>
      </c>
      <c r="W1052">
        <v>25</v>
      </c>
      <c r="X1052">
        <v>8</v>
      </c>
      <c r="Y1052">
        <v>0</v>
      </c>
      <c r="Z1052" t="s">
        <v>111</v>
      </c>
      <c r="AA1052">
        <v>0</v>
      </c>
      <c r="AB1052" t="s">
        <v>1840</v>
      </c>
      <c r="AC1052">
        <v>8</v>
      </c>
      <c r="AD1052" t="s">
        <v>493</v>
      </c>
      <c r="AE1052">
        <v>0</v>
      </c>
      <c r="AF1052">
        <v>0</v>
      </c>
      <c r="AG1052" t="s">
        <v>111</v>
      </c>
      <c r="AH1052" t="s">
        <v>128</v>
      </c>
      <c r="AI1052" t="s">
        <v>111</v>
      </c>
      <c r="AJ1052" t="s">
        <v>111</v>
      </c>
      <c r="AK1052" t="s">
        <v>111</v>
      </c>
      <c r="AL1052" t="s">
        <v>111</v>
      </c>
      <c r="AM1052">
        <v>0</v>
      </c>
      <c r="AN1052">
        <v>0</v>
      </c>
      <c r="AO1052">
        <v>0</v>
      </c>
      <c r="AP1052" t="s">
        <v>111</v>
      </c>
      <c r="AQ1052" t="s">
        <v>111</v>
      </c>
      <c r="AR1052" t="s">
        <v>111</v>
      </c>
      <c r="AS1052" t="s">
        <v>111</v>
      </c>
      <c r="AT1052" t="s">
        <v>111</v>
      </c>
      <c r="AU1052" t="s">
        <v>111</v>
      </c>
      <c r="AV1052" t="s">
        <v>111</v>
      </c>
      <c r="AW1052" t="s">
        <v>111</v>
      </c>
      <c r="AX1052" t="s">
        <v>111</v>
      </c>
      <c r="AY1052" t="s">
        <v>111</v>
      </c>
      <c r="AZ1052" t="s">
        <v>111</v>
      </c>
      <c r="BA1052" t="s">
        <v>111</v>
      </c>
      <c r="BB1052" t="s">
        <v>111</v>
      </c>
      <c r="BC1052" t="s">
        <v>111</v>
      </c>
      <c r="BD1052" t="s">
        <v>111</v>
      </c>
      <c r="BE1052" t="s">
        <v>111</v>
      </c>
      <c r="BF1052" t="s">
        <v>111</v>
      </c>
      <c r="BG1052" t="s">
        <v>111</v>
      </c>
      <c r="BH1052" t="s">
        <v>111</v>
      </c>
      <c r="BI1052" t="s">
        <v>111</v>
      </c>
      <c r="BJ1052" t="s">
        <v>111</v>
      </c>
      <c r="BK1052" t="s">
        <v>111</v>
      </c>
      <c r="BL1052" t="s">
        <v>111</v>
      </c>
      <c r="BM1052" t="s">
        <v>111</v>
      </c>
      <c r="BN1052" t="s">
        <v>111</v>
      </c>
      <c r="BO1052" t="s">
        <v>111</v>
      </c>
      <c r="BP1052" t="s">
        <v>111</v>
      </c>
      <c r="BQ1052" t="s">
        <v>111</v>
      </c>
      <c r="BR1052" t="s">
        <v>111</v>
      </c>
      <c r="BS1052" t="s">
        <v>111</v>
      </c>
      <c r="BT1052" t="s">
        <v>111</v>
      </c>
      <c r="BU1052" t="s">
        <v>111</v>
      </c>
      <c r="BV1052" t="s">
        <v>111</v>
      </c>
      <c r="BW1052" t="s">
        <v>111</v>
      </c>
      <c r="BX1052" t="s">
        <v>111</v>
      </c>
      <c r="BY1052" t="s">
        <v>111</v>
      </c>
      <c r="BZ1052" t="s">
        <v>111</v>
      </c>
      <c r="CA1052" t="s">
        <v>111</v>
      </c>
      <c r="CB1052" t="s">
        <v>111</v>
      </c>
      <c r="CC1052" t="s">
        <v>111</v>
      </c>
      <c r="CD1052" t="s">
        <v>111</v>
      </c>
      <c r="CE1052" t="s">
        <v>111</v>
      </c>
      <c r="CF1052" t="s">
        <v>111</v>
      </c>
      <c r="CG1052" t="s">
        <v>111</v>
      </c>
      <c r="CH1052" t="s">
        <v>111</v>
      </c>
      <c r="CI1052" t="s">
        <v>111</v>
      </c>
      <c r="CJ1052" t="s">
        <v>111</v>
      </c>
      <c r="CK1052" t="s">
        <v>111</v>
      </c>
      <c r="CL1052" t="s">
        <v>111</v>
      </c>
      <c r="CM1052" t="s">
        <v>135</v>
      </c>
      <c r="CN1052" t="s">
        <v>113</v>
      </c>
      <c r="CO1052" t="s">
        <v>111</v>
      </c>
      <c r="CP1052" t="e">
        <f>-MUESTRA</f>
        <v>#NAME?</v>
      </c>
      <c r="CQ1052">
        <v>48</v>
      </c>
      <c r="CR1052">
        <v>3000</v>
      </c>
      <c r="CS1052">
        <v>200</v>
      </c>
      <c r="CT1052" t="e">
        <f>-ALMACEN</f>
        <v>#NAME?</v>
      </c>
      <c r="CU1052">
        <v>0</v>
      </c>
      <c r="CV1052" t="s">
        <v>111</v>
      </c>
      <c r="CW1052" t="s">
        <v>111</v>
      </c>
      <c r="CX1052" t="s">
        <v>111</v>
      </c>
      <c r="CY1052">
        <v>0</v>
      </c>
      <c r="CZ1052" t="s">
        <v>111</v>
      </c>
      <c r="DA1052" t="s">
        <v>111</v>
      </c>
      <c r="DB1052" t="s">
        <v>111</v>
      </c>
      <c r="DC1052" t="s">
        <v>111</v>
      </c>
    </row>
    <row r="1053" spans="1:107">
      <c r="A1053">
        <v>114</v>
      </c>
      <c r="B1053" t="s">
        <v>162</v>
      </c>
      <c r="C1053" t="s">
        <v>713</v>
      </c>
      <c r="D1053" t="s">
        <v>3293</v>
      </c>
      <c r="E1053" t="s">
        <v>3294</v>
      </c>
      <c r="F1053" t="s">
        <v>125</v>
      </c>
      <c r="G1053" t="s">
        <v>416</v>
      </c>
      <c r="H1053">
        <v>0.9</v>
      </c>
      <c r="I1053">
        <v>60</v>
      </c>
      <c r="J1053">
        <v>0</v>
      </c>
      <c r="K1053">
        <v>0</v>
      </c>
      <c r="L1053" t="s">
        <v>112</v>
      </c>
      <c r="M1053" t="s">
        <v>138</v>
      </c>
      <c r="N1053">
        <v>0</v>
      </c>
      <c r="O1053">
        <v>0</v>
      </c>
      <c r="P1053" t="s">
        <v>138</v>
      </c>
      <c r="Q1053">
        <v>35</v>
      </c>
      <c r="R1053">
        <v>0</v>
      </c>
      <c r="S1053">
        <v>0</v>
      </c>
      <c r="T1053">
        <v>0</v>
      </c>
      <c r="U1053" t="s">
        <v>153</v>
      </c>
      <c r="V1053">
        <v>0</v>
      </c>
      <c r="W1053">
        <v>0</v>
      </c>
      <c r="X1053">
        <v>1</v>
      </c>
      <c r="Y1053">
        <v>0</v>
      </c>
      <c r="Z1053" t="s">
        <v>111</v>
      </c>
      <c r="AA1053">
        <v>0</v>
      </c>
      <c r="AB1053" t="s">
        <v>111</v>
      </c>
      <c r="AC1053">
        <v>0</v>
      </c>
      <c r="AD1053" t="s">
        <v>111</v>
      </c>
      <c r="AE1053">
        <v>0</v>
      </c>
      <c r="AF1053">
        <v>0</v>
      </c>
      <c r="AG1053" t="s">
        <v>111</v>
      </c>
      <c r="AH1053" t="s">
        <v>111</v>
      </c>
      <c r="AI1053" t="s">
        <v>111</v>
      </c>
      <c r="AJ1053" t="s">
        <v>111</v>
      </c>
      <c r="AK1053" t="s">
        <v>111</v>
      </c>
      <c r="AL1053" t="s">
        <v>111</v>
      </c>
      <c r="AM1053">
        <v>0</v>
      </c>
      <c r="AN1053">
        <v>0</v>
      </c>
      <c r="AO1053">
        <v>0</v>
      </c>
      <c r="AP1053" t="s">
        <v>111</v>
      </c>
      <c r="AQ1053" t="s">
        <v>111</v>
      </c>
      <c r="AR1053" t="s">
        <v>111</v>
      </c>
      <c r="AS1053" t="s">
        <v>111</v>
      </c>
      <c r="AT1053" t="s">
        <v>111</v>
      </c>
      <c r="AU1053" t="s">
        <v>111</v>
      </c>
      <c r="AV1053" t="s">
        <v>111</v>
      </c>
      <c r="AW1053" t="s">
        <v>111</v>
      </c>
      <c r="AX1053" t="s">
        <v>111</v>
      </c>
      <c r="AY1053" t="s">
        <v>111</v>
      </c>
      <c r="AZ1053" t="s">
        <v>111</v>
      </c>
      <c r="BA1053" t="s">
        <v>111</v>
      </c>
      <c r="BB1053" t="s">
        <v>111</v>
      </c>
      <c r="BC1053" t="s">
        <v>111</v>
      </c>
      <c r="BD1053" t="s">
        <v>111</v>
      </c>
      <c r="BE1053" t="s">
        <v>111</v>
      </c>
      <c r="BF1053" t="s">
        <v>111</v>
      </c>
      <c r="BG1053" t="s">
        <v>111</v>
      </c>
      <c r="BH1053" t="s">
        <v>111</v>
      </c>
      <c r="BI1053" t="s">
        <v>111</v>
      </c>
      <c r="BJ1053" t="s">
        <v>111</v>
      </c>
      <c r="BK1053" t="s">
        <v>111</v>
      </c>
      <c r="BL1053" t="s">
        <v>111</v>
      </c>
      <c r="BM1053" t="s">
        <v>111</v>
      </c>
      <c r="BN1053" t="s">
        <v>111</v>
      </c>
      <c r="BO1053" t="s">
        <v>111</v>
      </c>
      <c r="BP1053" t="s">
        <v>111</v>
      </c>
      <c r="BQ1053" t="s">
        <v>111</v>
      </c>
      <c r="BR1053" t="s">
        <v>111</v>
      </c>
      <c r="BS1053" t="s">
        <v>111</v>
      </c>
      <c r="BT1053" t="s">
        <v>111</v>
      </c>
      <c r="BU1053" t="s">
        <v>111</v>
      </c>
      <c r="BV1053" t="s">
        <v>111</v>
      </c>
      <c r="BW1053" t="s">
        <v>111</v>
      </c>
      <c r="BX1053" t="s">
        <v>111</v>
      </c>
      <c r="BY1053" t="s">
        <v>111</v>
      </c>
      <c r="BZ1053" t="s">
        <v>111</v>
      </c>
      <c r="CA1053" t="s">
        <v>111</v>
      </c>
      <c r="CB1053" t="s">
        <v>111</v>
      </c>
      <c r="CC1053" t="s">
        <v>111</v>
      </c>
      <c r="CD1053" t="s">
        <v>111</v>
      </c>
      <c r="CE1053" t="s">
        <v>111</v>
      </c>
      <c r="CF1053" t="s">
        <v>111</v>
      </c>
      <c r="CG1053" t="s">
        <v>111</v>
      </c>
      <c r="CH1053" t="s">
        <v>111</v>
      </c>
      <c r="CI1053" t="s">
        <v>111</v>
      </c>
      <c r="CJ1053" t="s">
        <v>111</v>
      </c>
      <c r="CK1053" t="s">
        <v>111</v>
      </c>
      <c r="CL1053" t="s">
        <v>111</v>
      </c>
      <c r="CM1053" t="s">
        <v>198</v>
      </c>
      <c r="CN1053" t="s">
        <v>128</v>
      </c>
      <c r="CO1053" t="s">
        <v>111</v>
      </c>
      <c r="CP1053" t="s">
        <v>111</v>
      </c>
      <c r="CQ1053">
        <v>0</v>
      </c>
      <c r="CR1053">
        <v>0</v>
      </c>
      <c r="CS1053">
        <v>0</v>
      </c>
      <c r="CT1053" t="s">
        <v>168</v>
      </c>
      <c r="CU1053">
        <v>0</v>
      </c>
      <c r="CV1053" t="s">
        <v>111</v>
      </c>
      <c r="CW1053" t="s">
        <v>111</v>
      </c>
      <c r="CX1053" t="s">
        <v>111</v>
      </c>
      <c r="CY1053">
        <v>0</v>
      </c>
      <c r="CZ1053" t="s">
        <v>111</v>
      </c>
      <c r="DA1053" t="s">
        <v>111</v>
      </c>
      <c r="DB1053" t="s">
        <v>111</v>
      </c>
      <c r="DC1053" t="s">
        <v>111</v>
      </c>
    </row>
    <row r="1054" spans="1:107">
      <c r="A1054">
        <v>1371</v>
      </c>
      <c r="B1054" t="s">
        <v>107</v>
      </c>
      <c r="C1054" t="s">
        <v>937</v>
      </c>
      <c r="D1054" t="s">
        <v>3295</v>
      </c>
      <c r="E1054" t="s">
        <v>3296</v>
      </c>
      <c r="F1054" t="s">
        <v>431</v>
      </c>
      <c r="G1054" t="s">
        <v>416</v>
      </c>
      <c r="H1054">
        <v>2.9</v>
      </c>
      <c r="I1054">
        <v>18.5</v>
      </c>
      <c r="J1054">
        <v>0</v>
      </c>
      <c r="K1054">
        <v>0</v>
      </c>
      <c r="L1054" t="s">
        <v>112</v>
      </c>
      <c r="M1054" t="s">
        <v>118</v>
      </c>
      <c r="N1054">
        <v>0</v>
      </c>
      <c r="O1054">
        <v>2</v>
      </c>
      <c r="P1054" t="s">
        <v>111</v>
      </c>
      <c r="Q1054">
        <v>20</v>
      </c>
      <c r="R1054">
        <v>0</v>
      </c>
      <c r="S1054">
        <v>0</v>
      </c>
      <c r="T1054">
        <v>5</v>
      </c>
      <c r="U1054" t="e">
        <f>-IMPRESION DARMA</f>
        <v>#NAME?</v>
      </c>
      <c r="V1054">
        <v>0</v>
      </c>
      <c r="W1054">
        <v>25</v>
      </c>
      <c r="X1054">
        <v>8</v>
      </c>
      <c r="Y1054">
        <v>0</v>
      </c>
      <c r="Z1054" t="s">
        <v>111</v>
      </c>
      <c r="AA1054">
        <v>0</v>
      </c>
      <c r="AB1054" t="s">
        <v>111</v>
      </c>
      <c r="AC1054">
        <v>0</v>
      </c>
      <c r="AD1054" t="s">
        <v>416</v>
      </c>
      <c r="AE1054">
        <v>0</v>
      </c>
      <c r="AF1054">
        <v>0</v>
      </c>
      <c r="AG1054" t="s">
        <v>111</v>
      </c>
      <c r="AH1054" t="s">
        <v>128</v>
      </c>
      <c r="AI1054" t="s">
        <v>111</v>
      </c>
      <c r="AJ1054" t="s">
        <v>111</v>
      </c>
      <c r="AK1054" t="s">
        <v>111</v>
      </c>
      <c r="AL1054" t="s">
        <v>111</v>
      </c>
      <c r="AM1054">
        <v>0</v>
      </c>
      <c r="AN1054">
        <v>0</v>
      </c>
      <c r="AO1054">
        <v>0</v>
      </c>
      <c r="AP1054" t="s">
        <v>111</v>
      </c>
      <c r="AQ1054" t="s">
        <v>111</v>
      </c>
      <c r="AR1054" t="s">
        <v>111</v>
      </c>
      <c r="AS1054" t="s">
        <v>111</v>
      </c>
      <c r="AT1054" t="s">
        <v>111</v>
      </c>
      <c r="AU1054" t="s">
        <v>111</v>
      </c>
      <c r="AV1054" t="s">
        <v>111</v>
      </c>
      <c r="AW1054" t="s">
        <v>111</v>
      </c>
      <c r="AX1054" t="s">
        <v>111</v>
      </c>
      <c r="AY1054" t="s">
        <v>111</v>
      </c>
      <c r="AZ1054" t="s">
        <v>111</v>
      </c>
      <c r="BA1054" t="s">
        <v>111</v>
      </c>
      <c r="BB1054" t="s">
        <v>111</v>
      </c>
      <c r="BC1054" t="s">
        <v>111</v>
      </c>
      <c r="BD1054" t="s">
        <v>111</v>
      </c>
      <c r="BE1054" t="s">
        <v>111</v>
      </c>
      <c r="BF1054" t="s">
        <v>111</v>
      </c>
      <c r="BG1054" t="s">
        <v>111</v>
      </c>
      <c r="BH1054" t="s">
        <v>111</v>
      </c>
      <c r="BI1054" t="s">
        <v>111</v>
      </c>
      <c r="BJ1054" t="s">
        <v>111</v>
      </c>
      <c r="BK1054" t="s">
        <v>111</v>
      </c>
      <c r="BL1054" t="s">
        <v>111</v>
      </c>
      <c r="BM1054" t="s">
        <v>111</v>
      </c>
      <c r="BN1054" t="s">
        <v>111</v>
      </c>
      <c r="BO1054" t="s">
        <v>111</v>
      </c>
      <c r="BP1054" t="s">
        <v>111</v>
      </c>
      <c r="BQ1054" t="s">
        <v>111</v>
      </c>
      <c r="BR1054" t="s">
        <v>111</v>
      </c>
      <c r="BS1054" t="s">
        <v>111</v>
      </c>
      <c r="BT1054" t="s">
        <v>111</v>
      </c>
      <c r="BU1054" t="s">
        <v>111</v>
      </c>
      <c r="BV1054" t="s">
        <v>111</v>
      </c>
      <c r="BW1054" t="s">
        <v>111</v>
      </c>
      <c r="BX1054" t="s">
        <v>111</v>
      </c>
      <c r="BY1054" t="s">
        <v>111</v>
      </c>
      <c r="BZ1054" t="s">
        <v>111</v>
      </c>
      <c r="CA1054" t="s">
        <v>111</v>
      </c>
      <c r="CB1054" t="s">
        <v>111</v>
      </c>
      <c r="CC1054" t="s">
        <v>111</v>
      </c>
      <c r="CD1054" t="s">
        <v>111</v>
      </c>
      <c r="CE1054" t="s">
        <v>111</v>
      </c>
      <c r="CF1054" t="s">
        <v>111</v>
      </c>
      <c r="CG1054" t="s">
        <v>111</v>
      </c>
      <c r="CH1054" t="s">
        <v>111</v>
      </c>
      <c r="CI1054" t="s">
        <v>111</v>
      </c>
      <c r="CJ1054" t="s">
        <v>111</v>
      </c>
      <c r="CK1054" t="s">
        <v>111</v>
      </c>
      <c r="CL1054" t="s">
        <v>111</v>
      </c>
      <c r="CM1054" t="s">
        <v>135</v>
      </c>
      <c r="CN1054" t="s">
        <v>128</v>
      </c>
      <c r="CO1054" t="s">
        <v>111</v>
      </c>
      <c r="CP1054" t="e">
        <f>-MUESTRA</f>
        <v>#NAME?</v>
      </c>
      <c r="CQ1054">
        <v>36</v>
      </c>
      <c r="CR1054">
        <v>4000</v>
      </c>
      <c r="CS1054">
        <v>100</v>
      </c>
      <c r="CT1054" t="e">
        <f>-ALMACEN</f>
        <v>#NAME?</v>
      </c>
      <c r="CU1054">
        <v>0</v>
      </c>
      <c r="CV1054" t="s">
        <v>111</v>
      </c>
      <c r="CW1054" t="s">
        <v>111</v>
      </c>
      <c r="CX1054" t="s">
        <v>111</v>
      </c>
      <c r="CY1054">
        <v>0</v>
      </c>
      <c r="CZ1054" t="s">
        <v>111</v>
      </c>
      <c r="DA1054" t="s">
        <v>111</v>
      </c>
      <c r="DB1054" t="s">
        <v>111</v>
      </c>
      <c r="DC1054" t="s">
        <v>111</v>
      </c>
    </row>
    <row r="1055" spans="1:107">
      <c r="A1055">
        <v>96</v>
      </c>
      <c r="B1055" t="s">
        <v>162</v>
      </c>
      <c r="C1055" t="s">
        <v>163</v>
      </c>
      <c r="D1055" t="s">
        <v>3297</v>
      </c>
      <c r="E1055" t="s">
        <v>3298</v>
      </c>
      <c r="F1055" t="s">
        <v>125</v>
      </c>
      <c r="G1055" t="s">
        <v>416</v>
      </c>
      <c r="H1055">
        <v>1.8</v>
      </c>
      <c r="I1055">
        <v>61</v>
      </c>
      <c r="J1055">
        <v>0</v>
      </c>
      <c r="K1055">
        <v>0</v>
      </c>
      <c r="L1055" t="s">
        <v>112</v>
      </c>
      <c r="M1055" t="s">
        <v>138</v>
      </c>
      <c r="N1055">
        <v>0</v>
      </c>
      <c r="O1055">
        <v>0</v>
      </c>
      <c r="P1055" t="s">
        <v>138</v>
      </c>
      <c r="Q1055">
        <v>35</v>
      </c>
      <c r="R1055">
        <v>0</v>
      </c>
      <c r="S1055">
        <v>0</v>
      </c>
      <c r="T1055">
        <v>0</v>
      </c>
      <c r="U1055" t="s">
        <v>153</v>
      </c>
      <c r="V1055">
        <v>25</v>
      </c>
      <c r="W1055">
        <v>0</v>
      </c>
      <c r="X1055">
        <v>6</v>
      </c>
      <c r="Y1055">
        <v>0</v>
      </c>
      <c r="Z1055" t="s">
        <v>288</v>
      </c>
      <c r="AA1055">
        <v>1.24</v>
      </c>
      <c r="AB1055" t="s">
        <v>111</v>
      </c>
      <c r="AC1055">
        <v>0</v>
      </c>
      <c r="AD1055" t="s">
        <v>111</v>
      </c>
      <c r="AE1055">
        <v>0</v>
      </c>
      <c r="AF1055">
        <v>0</v>
      </c>
      <c r="AG1055" t="s">
        <v>111</v>
      </c>
      <c r="AH1055" t="s">
        <v>111</v>
      </c>
      <c r="AI1055" t="s">
        <v>111</v>
      </c>
      <c r="AJ1055" t="s">
        <v>111</v>
      </c>
      <c r="AK1055" t="s">
        <v>111</v>
      </c>
      <c r="AL1055" t="s">
        <v>111</v>
      </c>
      <c r="AM1055">
        <v>0</v>
      </c>
      <c r="AN1055">
        <v>0</v>
      </c>
      <c r="AO1055">
        <v>0</v>
      </c>
      <c r="AP1055" t="s">
        <v>111</v>
      </c>
      <c r="AQ1055" t="s">
        <v>111</v>
      </c>
      <c r="AR1055" t="s">
        <v>111</v>
      </c>
      <c r="AS1055" t="s">
        <v>111</v>
      </c>
      <c r="AT1055" t="s">
        <v>111</v>
      </c>
      <c r="AU1055" t="s">
        <v>111</v>
      </c>
      <c r="AV1055" t="s">
        <v>111</v>
      </c>
      <c r="AW1055" t="s">
        <v>111</v>
      </c>
      <c r="AX1055" t="s">
        <v>111</v>
      </c>
      <c r="AY1055" t="s">
        <v>111</v>
      </c>
      <c r="AZ1055" t="s">
        <v>111</v>
      </c>
      <c r="BA1055" t="s">
        <v>111</v>
      </c>
      <c r="BB1055" t="s">
        <v>111</v>
      </c>
      <c r="BC1055" t="s">
        <v>111</v>
      </c>
      <c r="BD1055" t="s">
        <v>111</v>
      </c>
      <c r="BE1055" t="s">
        <v>111</v>
      </c>
      <c r="BF1055" t="s">
        <v>111</v>
      </c>
      <c r="BG1055" t="s">
        <v>111</v>
      </c>
      <c r="BH1055" t="s">
        <v>111</v>
      </c>
      <c r="BI1055" t="s">
        <v>111</v>
      </c>
      <c r="BJ1055" t="s">
        <v>111</v>
      </c>
      <c r="BK1055" t="s">
        <v>111</v>
      </c>
      <c r="BL1055" t="s">
        <v>111</v>
      </c>
      <c r="BM1055" t="s">
        <v>111</v>
      </c>
      <c r="BN1055" t="s">
        <v>111</v>
      </c>
      <c r="BO1055" t="s">
        <v>111</v>
      </c>
      <c r="BP1055" t="s">
        <v>111</v>
      </c>
      <c r="BQ1055" t="s">
        <v>111</v>
      </c>
      <c r="BR1055" t="s">
        <v>111</v>
      </c>
      <c r="BS1055" t="s">
        <v>111</v>
      </c>
      <c r="BT1055" t="s">
        <v>111</v>
      </c>
      <c r="BU1055" t="s">
        <v>111</v>
      </c>
      <c r="BV1055" t="s">
        <v>111</v>
      </c>
      <c r="BW1055" t="s">
        <v>111</v>
      </c>
      <c r="BX1055" t="s">
        <v>111</v>
      </c>
      <c r="BY1055" t="s">
        <v>111</v>
      </c>
      <c r="BZ1055" t="s">
        <v>111</v>
      </c>
      <c r="CA1055" t="s">
        <v>111</v>
      </c>
      <c r="CB1055" t="s">
        <v>111</v>
      </c>
      <c r="CC1055" t="s">
        <v>111</v>
      </c>
      <c r="CD1055" t="s">
        <v>111</v>
      </c>
      <c r="CE1055" t="s">
        <v>111</v>
      </c>
      <c r="CF1055" t="s">
        <v>111</v>
      </c>
      <c r="CG1055" t="s">
        <v>111</v>
      </c>
      <c r="CH1055" t="s">
        <v>111</v>
      </c>
      <c r="CI1055" t="s">
        <v>111</v>
      </c>
      <c r="CJ1055" t="s">
        <v>111</v>
      </c>
      <c r="CK1055" t="s">
        <v>111</v>
      </c>
      <c r="CL1055" t="s">
        <v>111</v>
      </c>
      <c r="CM1055" t="s">
        <v>198</v>
      </c>
      <c r="CN1055" t="s">
        <v>128</v>
      </c>
      <c r="CO1055" t="s">
        <v>222</v>
      </c>
      <c r="CP1055" t="s">
        <v>111</v>
      </c>
      <c r="CQ1055">
        <v>0</v>
      </c>
      <c r="CR1055">
        <v>0</v>
      </c>
      <c r="CS1055">
        <v>0</v>
      </c>
      <c r="CT1055" t="s">
        <v>168</v>
      </c>
      <c r="CU1055">
        <v>0</v>
      </c>
      <c r="CV1055" t="s">
        <v>111</v>
      </c>
      <c r="CW1055" t="s">
        <v>111</v>
      </c>
      <c r="CX1055" t="s">
        <v>111</v>
      </c>
      <c r="CY1055">
        <v>0</v>
      </c>
      <c r="CZ1055" t="s">
        <v>111</v>
      </c>
      <c r="DA1055" t="s">
        <v>111</v>
      </c>
      <c r="DB1055" t="s">
        <v>111</v>
      </c>
      <c r="DC1055" t="s">
        <v>111</v>
      </c>
    </row>
    <row r="1056" spans="1:107">
      <c r="A1056">
        <v>207</v>
      </c>
      <c r="B1056" t="s">
        <v>162</v>
      </c>
      <c r="C1056" t="s">
        <v>1342</v>
      </c>
      <c r="D1056" t="s">
        <v>3154</v>
      </c>
      <c r="E1056" t="s">
        <v>3299</v>
      </c>
      <c r="F1056" t="s">
        <v>370</v>
      </c>
      <c r="G1056" t="s">
        <v>416</v>
      </c>
      <c r="H1056">
        <v>0.9</v>
      </c>
      <c r="I1056">
        <v>46</v>
      </c>
      <c r="J1056">
        <v>0</v>
      </c>
      <c r="K1056">
        <v>0</v>
      </c>
      <c r="L1056" t="s">
        <v>112</v>
      </c>
      <c r="M1056" t="s">
        <v>118</v>
      </c>
      <c r="N1056">
        <v>40</v>
      </c>
      <c r="O1056">
        <v>2</v>
      </c>
      <c r="P1056" t="s">
        <v>138</v>
      </c>
      <c r="Q1056">
        <v>40</v>
      </c>
      <c r="R1056">
        <v>0</v>
      </c>
      <c r="S1056">
        <v>0</v>
      </c>
      <c r="T1056">
        <v>0</v>
      </c>
      <c r="U1056" t="s">
        <v>1353</v>
      </c>
      <c r="V1056">
        <v>25</v>
      </c>
      <c r="W1056">
        <v>0</v>
      </c>
      <c r="X1056">
        <v>12.5</v>
      </c>
      <c r="Y1056">
        <v>0</v>
      </c>
      <c r="Z1056" t="s">
        <v>288</v>
      </c>
      <c r="AA1056">
        <v>1.87</v>
      </c>
      <c r="AB1056" t="s">
        <v>111</v>
      </c>
      <c r="AC1056">
        <v>0</v>
      </c>
      <c r="AD1056" t="s">
        <v>416</v>
      </c>
      <c r="AE1056">
        <v>5</v>
      </c>
      <c r="AF1056">
        <v>2</v>
      </c>
      <c r="AG1056">
        <v>55</v>
      </c>
      <c r="AH1056" t="s">
        <v>111</v>
      </c>
      <c r="AI1056">
        <v>55</v>
      </c>
      <c r="AJ1056" t="s">
        <v>111</v>
      </c>
      <c r="AK1056" t="s">
        <v>111</v>
      </c>
      <c r="AL1056" t="s">
        <v>111</v>
      </c>
      <c r="AM1056">
        <v>0</v>
      </c>
      <c r="AN1056">
        <v>0</v>
      </c>
      <c r="AO1056">
        <v>0</v>
      </c>
      <c r="AP1056" t="s">
        <v>111</v>
      </c>
      <c r="AQ1056" t="s">
        <v>111</v>
      </c>
      <c r="AR1056" t="s">
        <v>111</v>
      </c>
      <c r="AS1056" t="s">
        <v>111</v>
      </c>
      <c r="AT1056" t="s">
        <v>111</v>
      </c>
      <c r="AU1056" t="s">
        <v>111</v>
      </c>
      <c r="AV1056" t="s">
        <v>111</v>
      </c>
      <c r="AW1056" t="s">
        <v>111</v>
      </c>
      <c r="AX1056" t="s">
        <v>111</v>
      </c>
      <c r="AY1056" t="s">
        <v>111</v>
      </c>
      <c r="AZ1056" t="s">
        <v>111</v>
      </c>
      <c r="BA1056" t="s">
        <v>111</v>
      </c>
      <c r="BB1056" t="s">
        <v>111</v>
      </c>
      <c r="BC1056" t="s">
        <v>111</v>
      </c>
      <c r="BD1056" t="s">
        <v>111</v>
      </c>
      <c r="BE1056" t="s">
        <v>111</v>
      </c>
      <c r="BF1056" t="s">
        <v>111</v>
      </c>
      <c r="BG1056" t="s">
        <v>111</v>
      </c>
      <c r="BH1056" t="s">
        <v>111</v>
      </c>
      <c r="BI1056" t="s">
        <v>111</v>
      </c>
      <c r="BJ1056" t="s">
        <v>111</v>
      </c>
      <c r="BK1056" t="s">
        <v>111</v>
      </c>
      <c r="BL1056" t="s">
        <v>111</v>
      </c>
      <c r="BM1056" t="s">
        <v>111</v>
      </c>
      <c r="BN1056" t="s">
        <v>111</v>
      </c>
      <c r="BO1056" t="s">
        <v>111</v>
      </c>
      <c r="BP1056" t="s">
        <v>111</v>
      </c>
      <c r="BQ1056" t="s">
        <v>111</v>
      </c>
      <c r="BR1056" t="s">
        <v>111</v>
      </c>
      <c r="BS1056" t="s">
        <v>111</v>
      </c>
      <c r="BT1056" t="s">
        <v>111</v>
      </c>
      <c r="BU1056" t="s">
        <v>111</v>
      </c>
      <c r="BV1056" t="s">
        <v>111</v>
      </c>
      <c r="BW1056" t="s">
        <v>111</v>
      </c>
      <c r="BX1056" t="s">
        <v>111</v>
      </c>
      <c r="BY1056" t="s">
        <v>111</v>
      </c>
      <c r="BZ1056" t="s">
        <v>111</v>
      </c>
      <c r="CA1056" t="s">
        <v>111</v>
      </c>
      <c r="CB1056" t="s">
        <v>111</v>
      </c>
      <c r="CC1056" t="s">
        <v>111</v>
      </c>
      <c r="CD1056" t="s">
        <v>111</v>
      </c>
      <c r="CE1056" t="s">
        <v>111</v>
      </c>
      <c r="CF1056" t="s">
        <v>111</v>
      </c>
      <c r="CG1056" t="s">
        <v>111</v>
      </c>
      <c r="CH1056" t="s">
        <v>111</v>
      </c>
      <c r="CI1056" t="s">
        <v>111</v>
      </c>
      <c r="CJ1056" t="s">
        <v>111</v>
      </c>
      <c r="CK1056" t="s">
        <v>111</v>
      </c>
      <c r="CL1056" t="s">
        <v>153</v>
      </c>
      <c r="CM1056" t="s">
        <v>198</v>
      </c>
      <c r="CN1056" t="s">
        <v>128</v>
      </c>
      <c r="CO1056" t="s">
        <v>974</v>
      </c>
      <c r="CP1056" t="s">
        <v>433</v>
      </c>
      <c r="CQ1056">
        <v>0</v>
      </c>
      <c r="CR1056">
        <v>0</v>
      </c>
      <c r="CS1056">
        <v>0</v>
      </c>
      <c r="CT1056" t="s">
        <v>419</v>
      </c>
      <c r="CU1056">
        <v>0</v>
      </c>
      <c r="CV1056" t="s">
        <v>111</v>
      </c>
      <c r="CW1056" t="s">
        <v>111</v>
      </c>
      <c r="CX1056" t="s">
        <v>111</v>
      </c>
      <c r="CY1056">
        <v>0</v>
      </c>
      <c r="CZ1056" t="s">
        <v>111</v>
      </c>
      <c r="DA1056" t="s">
        <v>111</v>
      </c>
      <c r="DB1056" t="s">
        <v>204</v>
      </c>
      <c r="DC1056" s="1" t="s">
        <v>1363</v>
      </c>
    </row>
    <row r="1057" spans="1:107">
      <c r="A1057">
        <v>128</v>
      </c>
      <c r="B1057" t="s">
        <v>162</v>
      </c>
      <c r="C1057" t="s">
        <v>267</v>
      </c>
      <c r="D1057" t="s">
        <v>3300</v>
      </c>
      <c r="E1057" t="s">
        <v>3301</v>
      </c>
      <c r="F1057" t="s">
        <v>125</v>
      </c>
      <c r="G1057" t="s">
        <v>416</v>
      </c>
      <c r="H1057">
        <v>0.9</v>
      </c>
      <c r="I1057">
        <v>50</v>
      </c>
      <c r="J1057">
        <v>0</v>
      </c>
      <c r="K1057">
        <v>0</v>
      </c>
      <c r="L1057" t="s">
        <v>112</v>
      </c>
      <c r="M1057" t="s">
        <v>138</v>
      </c>
      <c r="N1057">
        <v>0</v>
      </c>
      <c r="O1057">
        <v>0</v>
      </c>
      <c r="P1057" t="s">
        <v>138</v>
      </c>
      <c r="Q1057">
        <v>30</v>
      </c>
      <c r="R1057">
        <v>0</v>
      </c>
      <c r="S1057">
        <v>0</v>
      </c>
      <c r="T1057">
        <v>0</v>
      </c>
      <c r="U1057" t="s">
        <v>153</v>
      </c>
      <c r="V1057">
        <v>25</v>
      </c>
      <c r="W1057">
        <v>0</v>
      </c>
      <c r="X1057">
        <v>8</v>
      </c>
      <c r="Y1057">
        <v>0</v>
      </c>
      <c r="Z1057" t="s">
        <v>111</v>
      </c>
      <c r="AA1057">
        <v>0</v>
      </c>
      <c r="AB1057" t="s">
        <v>111</v>
      </c>
      <c r="AC1057">
        <v>0</v>
      </c>
      <c r="AD1057" t="s">
        <v>111</v>
      </c>
      <c r="AE1057">
        <v>0</v>
      </c>
      <c r="AF1057">
        <v>0</v>
      </c>
      <c r="AG1057" t="s">
        <v>111</v>
      </c>
      <c r="AH1057" t="s">
        <v>111</v>
      </c>
      <c r="AI1057" t="s">
        <v>111</v>
      </c>
      <c r="AJ1057" t="s">
        <v>111</v>
      </c>
      <c r="AK1057" t="s">
        <v>111</v>
      </c>
      <c r="AL1057" t="s">
        <v>111</v>
      </c>
      <c r="AM1057">
        <v>0</v>
      </c>
      <c r="AN1057">
        <v>0</v>
      </c>
      <c r="AO1057">
        <v>0</v>
      </c>
      <c r="AP1057" t="s">
        <v>111</v>
      </c>
      <c r="AQ1057" t="s">
        <v>111</v>
      </c>
      <c r="AR1057" t="s">
        <v>111</v>
      </c>
      <c r="AS1057" t="s">
        <v>111</v>
      </c>
      <c r="AT1057" t="s">
        <v>111</v>
      </c>
      <c r="AU1057" t="s">
        <v>111</v>
      </c>
      <c r="AV1057" t="s">
        <v>111</v>
      </c>
      <c r="AW1057" t="s">
        <v>111</v>
      </c>
      <c r="AX1057" t="s">
        <v>111</v>
      </c>
      <c r="AY1057" t="s">
        <v>111</v>
      </c>
      <c r="AZ1057" t="s">
        <v>111</v>
      </c>
      <c r="BA1057" t="s">
        <v>111</v>
      </c>
      <c r="BB1057" t="s">
        <v>111</v>
      </c>
      <c r="BC1057" t="s">
        <v>111</v>
      </c>
      <c r="BD1057" t="s">
        <v>111</v>
      </c>
      <c r="BE1057" t="s">
        <v>111</v>
      </c>
      <c r="BF1057" t="s">
        <v>111</v>
      </c>
      <c r="BG1057" t="s">
        <v>111</v>
      </c>
      <c r="BH1057" t="s">
        <v>111</v>
      </c>
      <c r="BI1057" t="s">
        <v>111</v>
      </c>
      <c r="BJ1057" t="s">
        <v>111</v>
      </c>
      <c r="BK1057" t="s">
        <v>111</v>
      </c>
      <c r="BL1057" t="s">
        <v>111</v>
      </c>
      <c r="BM1057" t="s">
        <v>111</v>
      </c>
      <c r="BN1057" t="s">
        <v>111</v>
      </c>
      <c r="BO1057" t="s">
        <v>111</v>
      </c>
      <c r="BP1057" t="s">
        <v>111</v>
      </c>
      <c r="BQ1057" t="s">
        <v>111</v>
      </c>
      <c r="BR1057" t="s">
        <v>111</v>
      </c>
      <c r="BS1057" t="s">
        <v>111</v>
      </c>
      <c r="BT1057" t="s">
        <v>111</v>
      </c>
      <c r="BU1057" t="s">
        <v>111</v>
      </c>
      <c r="BV1057" t="s">
        <v>111</v>
      </c>
      <c r="BW1057" t="s">
        <v>111</v>
      </c>
      <c r="BX1057" t="s">
        <v>111</v>
      </c>
      <c r="BY1057" t="s">
        <v>111</v>
      </c>
      <c r="BZ1057" t="s">
        <v>111</v>
      </c>
      <c r="CA1057" t="s">
        <v>111</v>
      </c>
      <c r="CB1057" t="s">
        <v>111</v>
      </c>
      <c r="CC1057" t="s">
        <v>111</v>
      </c>
      <c r="CD1057" t="s">
        <v>111</v>
      </c>
      <c r="CE1057" t="s">
        <v>111</v>
      </c>
      <c r="CF1057" t="s">
        <v>111</v>
      </c>
      <c r="CG1057" t="s">
        <v>111</v>
      </c>
      <c r="CH1057" t="s">
        <v>111</v>
      </c>
      <c r="CI1057" t="s">
        <v>111</v>
      </c>
      <c r="CJ1057" t="s">
        <v>111</v>
      </c>
      <c r="CK1057" t="s">
        <v>111</v>
      </c>
      <c r="CL1057" t="s">
        <v>111</v>
      </c>
      <c r="CM1057" t="s">
        <v>198</v>
      </c>
      <c r="CN1057" t="s">
        <v>113</v>
      </c>
      <c r="CO1057" t="s">
        <v>111</v>
      </c>
      <c r="CP1057" t="s">
        <v>111</v>
      </c>
      <c r="CQ1057">
        <v>0</v>
      </c>
      <c r="CR1057">
        <v>0</v>
      </c>
      <c r="CS1057">
        <v>0</v>
      </c>
      <c r="CT1057" t="s">
        <v>168</v>
      </c>
      <c r="CU1057">
        <v>0</v>
      </c>
      <c r="CV1057" t="s">
        <v>111</v>
      </c>
      <c r="CW1057" t="s">
        <v>111</v>
      </c>
      <c r="CX1057" t="s">
        <v>111</v>
      </c>
      <c r="CY1057">
        <v>0</v>
      </c>
      <c r="CZ1057" t="s">
        <v>111</v>
      </c>
      <c r="DA1057" t="s">
        <v>111</v>
      </c>
      <c r="DB1057" t="s">
        <v>111</v>
      </c>
      <c r="DC1057" t="s">
        <v>111</v>
      </c>
    </row>
    <row r="1058" spans="1:107">
      <c r="A1058">
        <v>520</v>
      </c>
      <c r="B1058" t="s">
        <v>162</v>
      </c>
      <c r="C1058" t="s">
        <v>226</v>
      </c>
      <c r="D1058" t="s">
        <v>3302</v>
      </c>
      <c r="E1058" t="s">
        <v>3303</v>
      </c>
      <c r="F1058" t="s">
        <v>192</v>
      </c>
      <c r="G1058" t="s">
        <v>416</v>
      </c>
      <c r="H1058">
        <v>1.5</v>
      </c>
      <c r="I1058">
        <v>37</v>
      </c>
      <c r="J1058">
        <v>0</v>
      </c>
      <c r="K1058">
        <v>0</v>
      </c>
      <c r="L1058" t="s">
        <v>178</v>
      </c>
      <c r="M1058" t="s">
        <v>138</v>
      </c>
      <c r="N1058">
        <v>0</v>
      </c>
      <c r="O1058">
        <v>0</v>
      </c>
      <c r="P1058" t="s">
        <v>138</v>
      </c>
      <c r="Q1058">
        <v>35</v>
      </c>
      <c r="R1058">
        <v>0</v>
      </c>
      <c r="S1058">
        <v>0</v>
      </c>
      <c r="T1058">
        <v>0</v>
      </c>
      <c r="U1058" t="s">
        <v>153</v>
      </c>
      <c r="V1058">
        <v>0</v>
      </c>
      <c r="W1058">
        <v>25</v>
      </c>
      <c r="X1058">
        <v>8</v>
      </c>
      <c r="Y1058">
        <v>0</v>
      </c>
      <c r="Z1058" t="s">
        <v>111</v>
      </c>
      <c r="AA1058">
        <v>0</v>
      </c>
      <c r="AB1058" t="s">
        <v>111</v>
      </c>
      <c r="AC1058">
        <v>0</v>
      </c>
      <c r="AD1058" t="s">
        <v>111</v>
      </c>
      <c r="AE1058">
        <v>0</v>
      </c>
      <c r="AF1058">
        <v>0</v>
      </c>
      <c r="AG1058" t="s">
        <v>111</v>
      </c>
      <c r="AH1058" t="s">
        <v>111</v>
      </c>
      <c r="AI1058" t="s">
        <v>111</v>
      </c>
      <c r="AJ1058" t="s">
        <v>111</v>
      </c>
      <c r="AK1058" t="s">
        <v>111</v>
      </c>
      <c r="AL1058" t="s">
        <v>111</v>
      </c>
      <c r="AM1058">
        <v>0</v>
      </c>
      <c r="AN1058">
        <v>0</v>
      </c>
      <c r="AO1058">
        <v>0</v>
      </c>
      <c r="AP1058" t="s">
        <v>111</v>
      </c>
      <c r="AQ1058" t="s">
        <v>111</v>
      </c>
      <c r="AR1058" t="s">
        <v>111</v>
      </c>
      <c r="AS1058" t="s">
        <v>111</v>
      </c>
      <c r="AT1058" t="s">
        <v>111</v>
      </c>
      <c r="AU1058" t="s">
        <v>111</v>
      </c>
      <c r="AV1058" t="s">
        <v>111</v>
      </c>
      <c r="AW1058" t="s">
        <v>111</v>
      </c>
      <c r="AX1058" t="s">
        <v>111</v>
      </c>
      <c r="AY1058" t="s">
        <v>111</v>
      </c>
      <c r="AZ1058" t="s">
        <v>111</v>
      </c>
      <c r="BA1058" t="s">
        <v>111</v>
      </c>
      <c r="BB1058" t="s">
        <v>111</v>
      </c>
      <c r="BC1058" t="s">
        <v>111</v>
      </c>
      <c r="BD1058" t="s">
        <v>111</v>
      </c>
      <c r="BE1058" t="s">
        <v>111</v>
      </c>
      <c r="BF1058" t="s">
        <v>111</v>
      </c>
      <c r="BG1058" t="s">
        <v>111</v>
      </c>
      <c r="BH1058" t="s">
        <v>111</v>
      </c>
      <c r="BI1058" t="s">
        <v>111</v>
      </c>
      <c r="BJ1058" t="s">
        <v>111</v>
      </c>
      <c r="BK1058" t="s">
        <v>111</v>
      </c>
      <c r="BL1058" t="s">
        <v>111</v>
      </c>
      <c r="BM1058" t="s">
        <v>111</v>
      </c>
      <c r="BN1058" t="s">
        <v>111</v>
      </c>
      <c r="BO1058" t="s">
        <v>111</v>
      </c>
      <c r="BP1058" t="s">
        <v>111</v>
      </c>
      <c r="BQ1058" t="s">
        <v>111</v>
      </c>
      <c r="BR1058" t="s">
        <v>111</v>
      </c>
      <c r="BS1058" t="s">
        <v>111</v>
      </c>
      <c r="BT1058" t="s">
        <v>111</v>
      </c>
      <c r="BU1058" t="s">
        <v>111</v>
      </c>
      <c r="BV1058" t="s">
        <v>111</v>
      </c>
      <c r="BW1058" t="s">
        <v>111</v>
      </c>
      <c r="BX1058" t="s">
        <v>111</v>
      </c>
      <c r="BY1058" t="s">
        <v>111</v>
      </c>
      <c r="BZ1058" t="s">
        <v>111</v>
      </c>
      <c r="CA1058" t="s">
        <v>111</v>
      </c>
      <c r="CB1058" t="s">
        <v>111</v>
      </c>
      <c r="CC1058" t="s">
        <v>111</v>
      </c>
      <c r="CD1058" t="s">
        <v>111</v>
      </c>
      <c r="CE1058" t="s">
        <v>111</v>
      </c>
      <c r="CF1058" t="s">
        <v>111</v>
      </c>
      <c r="CG1058" t="s">
        <v>111</v>
      </c>
      <c r="CH1058" t="s">
        <v>111</v>
      </c>
      <c r="CI1058" t="s">
        <v>111</v>
      </c>
      <c r="CJ1058" t="s">
        <v>111</v>
      </c>
      <c r="CK1058" t="s">
        <v>111</v>
      </c>
      <c r="CL1058" t="s">
        <v>111</v>
      </c>
      <c r="CM1058" t="s">
        <v>198</v>
      </c>
      <c r="CN1058" t="s">
        <v>113</v>
      </c>
      <c r="CO1058" t="s">
        <v>111</v>
      </c>
      <c r="CP1058" t="s">
        <v>111</v>
      </c>
      <c r="CQ1058">
        <v>0</v>
      </c>
      <c r="CR1058">
        <v>4000</v>
      </c>
      <c r="CS1058">
        <v>200</v>
      </c>
      <c r="CT1058" t="s">
        <v>168</v>
      </c>
      <c r="CU1058">
        <v>0</v>
      </c>
      <c r="CV1058" t="s">
        <v>111</v>
      </c>
      <c r="CW1058" t="s">
        <v>111</v>
      </c>
      <c r="CX1058" t="s">
        <v>111</v>
      </c>
      <c r="CY1058">
        <v>0</v>
      </c>
      <c r="CZ1058" t="s">
        <v>111</v>
      </c>
      <c r="DA1058" t="s">
        <v>111</v>
      </c>
      <c r="DB1058" t="s">
        <v>111</v>
      </c>
      <c r="DC1058" t="s">
        <v>111</v>
      </c>
    </row>
    <row r="1059" spans="1:107">
      <c r="A1059">
        <v>81</v>
      </c>
      <c r="B1059" t="s">
        <v>162</v>
      </c>
      <c r="C1059" t="s">
        <v>2726</v>
      </c>
      <c r="D1059" t="s">
        <v>3304</v>
      </c>
      <c r="E1059" t="s">
        <v>3305</v>
      </c>
      <c r="F1059" t="s">
        <v>125</v>
      </c>
      <c r="G1059" t="s">
        <v>416</v>
      </c>
      <c r="H1059">
        <v>0.8</v>
      </c>
      <c r="I1059">
        <v>56</v>
      </c>
      <c r="J1059">
        <v>0</v>
      </c>
      <c r="K1059">
        <v>0</v>
      </c>
      <c r="L1059" t="s">
        <v>112</v>
      </c>
      <c r="M1059" t="s">
        <v>138</v>
      </c>
      <c r="N1059">
        <v>0</v>
      </c>
      <c r="O1059">
        <v>0</v>
      </c>
      <c r="P1059" t="s">
        <v>138</v>
      </c>
      <c r="Q1059">
        <v>35</v>
      </c>
      <c r="R1059">
        <v>0</v>
      </c>
      <c r="S1059">
        <v>0</v>
      </c>
      <c r="T1059">
        <v>0</v>
      </c>
      <c r="U1059" t="s">
        <v>153</v>
      </c>
      <c r="V1059">
        <v>0</v>
      </c>
      <c r="W1059">
        <v>0</v>
      </c>
      <c r="X1059">
        <v>1</v>
      </c>
      <c r="Y1059">
        <v>0</v>
      </c>
      <c r="Z1059" t="s">
        <v>111</v>
      </c>
      <c r="AA1059">
        <v>0</v>
      </c>
      <c r="AB1059" t="s">
        <v>111</v>
      </c>
      <c r="AC1059">
        <v>0</v>
      </c>
      <c r="AD1059" t="s">
        <v>111</v>
      </c>
      <c r="AE1059">
        <v>0</v>
      </c>
      <c r="AF1059">
        <v>0</v>
      </c>
      <c r="AG1059" t="s">
        <v>111</v>
      </c>
      <c r="AH1059" t="s">
        <v>111</v>
      </c>
      <c r="AI1059" t="s">
        <v>111</v>
      </c>
      <c r="AJ1059" t="s">
        <v>111</v>
      </c>
      <c r="AK1059" t="s">
        <v>111</v>
      </c>
      <c r="AL1059" t="s">
        <v>111</v>
      </c>
      <c r="AM1059">
        <v>0</v>
      </c>
      <c r="AN1059">
        <v>0</v>
      </c>
      <c r="AO1059">
        <v>0</v>
      </c>
      <c r="AP1059" t="s">
        <v>111</v>
      </c>
      <c r="AQ1059" t="s">
        <v>111</v>
      </c>
      <c r="AR1059" t="s">
        <v>111</v>
      </c>
      <c r="AS1059" t="s">
        <v>111</v>
      </c>
      <c r="AT1059" t="s">
        <v>111</v>
      </c>
      <c r="AU1059" t="s">
        <v>111</v>
      </c>
      <c r="AV1059" t="s">
        <v>111</v>
      </c>
      <c r="AW1059" t="s">
        <v>111</v>
      </c>
      <c r="AX1059" t="s">
        <v>111</v>
      </c>
      <c r="AY1059" t="s">
        <v>111</v>
      </c>
      <c r="AZ1059" t="s">
        <v>111</v>
      </c>
      <c r="BA1059" t="s">
        <v>111</v>
      </c>
      <c r="BB1059" t="s">
        <v>111</v>
      </c>
      <c r="BC1059" t="s">
        <v>111</v>
      </c>
      <c r="BD1059" t="s">
        <v>111</v>
      </c>
      <c r="BE1059" t="s">
        <v>111</v>
      </c>
      <c r="BF1059" t="s">
        <v>111</v>
      </c>
      <c r="BG1059" t="s">
        <v>111</v>
      </c>
      <c r="BH1059" t="s">
        <v>111</v>
      </c>
      <c r="BI1059" t="s">
        <v>111</v>
      </c>
      <c r="BJ1059" t="s">
        <v>111</v>
      </c>
      <c r="BK1059" t="s">
        <v>111</v>
      </c>
      <c r="BL1059" t="s">
        <v>111</v>
      </c>
      <c r="BM1059" t="s">
        <v>111</v>
      </c>
      <c r="BN1059" t="s">
        <v>111</v>
      </c>
      <c r="BO1059" t="s">
        <v>111</v>
      </c>
      <c r="BP1059" t="s">
        <v>111</v>
      </c>
      <c r="BQ1059" t="s">
        <v>111</v>
      </c>
      <c r="BR1059" t="s">
        <v>111</v>
      </c>
      <c r="BS1059" t="s">
        <v>111</v>
      </c>
      <c r="BT1059" t="s">
        <v>111</v>
      </c>
      <c r="BU1059" t="s">
        <v>111</v>
      </c>
      <c r="BV1059" t="s">
        <v>111</v>
      </c>
      <c r="BW1059" t="s">
        <v>111</v>
      </c>
      <c r="BX1059" t="s">
        <v>111</v>
      </c>
      <c r="BY1059" t="s">
        <v>111</v>
      </c>
      <c r="BZ1059" t="s">
        <v>111</v>
      </c>
      <c r="CA1059" t="s">
        <v>111</v>
      </c>
      <c r="CB1059" t="s">
        <v>111</v>
      </c>
      <c r="CC1059" t="s">
        <v>111</v>
      </c>
      <c r="CD1059" t="s">
        <v>111</v>
      </c>
      <c r="CE1059" t="s">
        <v>111</v>
      </c>
      <c r="CF1059" t="s">
        <v>111</v>
      </c>
      <c r="CG1059" t="s">
        <v>111</v>
      </c>
      <c r="CH1059" t="s">
        <v>111</v>
      </c>
      <c r="CI1059" t="s">
        <v>111</v>
      </c>
      <c r="CJ1059" t="s">
        <v>111</v>
      </c>
      <c r="CK1059" t="s">
        <v>111</v>
      </c>
      <c r="CL1059" t="s">
        <v>111</v>
      </c>
      <c r="CM1059" t="s">
        <v>198</v>
      </c>
      <c r="CN1059" t="s">
        <v>113</v>
      </c>
      <c r="CO1059" t="s">
        <v>111</v>
      </c>
      <c r="CP1059" t="s">
        <v>111</v>
      </c>
      <c r="CQ1059">
        <v>0</v>
      </c>
      <c r="CR1059">
        <v>0</v>
      </c>
      <c r="CS1059">
        <v>0</v>
      </c>
      <c r="CT1059" t="s">
        <v>168</v>
      </c>
      <c r="CU1059">
        <v>0</v>
      </c>
      <c r="CV1059" t="s">
        <v>111</v>
      </c>
      <c r="CW1059" t="s">
        <v>111</v>
      </c>
      <c r="CX1059" t="s">
        <v>111</v>
      </c>
      <c r="CY1059">
        <v>0</v>
      </c>
      <c r="CZ1059" t="s">
        <v>111</v>
      </c>
      <c r="DA1059" t="s">
        <v>111</v>
      </c>
      <c r="DB1059" t="s">
        <v>111</v>
      </c>
      <c r="DC1059" t="s">
        <v>111</v>
      </c>
    </row>
    <row r="1060" spans="1:107">
      <c r="A1060">
        <v>289</v>
      </c>
      <c r="B1060" t="s">
        <v>162</v>
      </c>
      <c r="C1060" t="s">
        <v>200</v>
      </c>
      <c r="D1060" t="s">
        <v>3306</v>
      </c>
      <c r="E1060" t="s">
        <v>3307</v>
      </c>
      <c r="F1060" t="s">
        <v>125</v>
      </c>
      <c r="G1060" t="s">
        <v>416</v>
      </c>
      <c r="H1060">
        <v>3.4</v>
      </c>
      <c r="I1060">
        <v>96</v>
      </c>
      <c r="J1060">
        <v>0</v>
      </c>
      <c r="K1060">
        <v>0</v>
      </c>
      <c r="L1060" t="s">
        <v>112</v>
      </c>
      <c r="M1060" t="s">
        <v>138</v>
      </c>
      <c r="N1060">
        <v>0</v>
      </c>
      <c r="O1060">
        <v>0</v>
      </c>
      <c r="P1060" t="s">
        <v>138</v>
      </c>
      <c r="Q1060">
        <v>35</v>
      </c>
      <c r="R1060">
        <v>0</v>
      </c>
      <c r="S1060">
        <v>0</v>
      </c>
      <c r="T1060">
        <v>0</v>
      </c>
      <c r="U1060" t="s">
        <v>203</v>
      </c>
      <c r="V1060">
        <v>25</v>
      </c>
      <c r="W1060">
        <v>0</v>
      </c>
      <c r="X1060">
        <v>8</v>
      </c>
      <c r="Y1060">
        <v>0</v>
      </c>
      <c r="Z1060" t="s">
        <v>111</v>
      </c>
      <c r="AA1060">
        <v>0</v>
      </c>
      <c r="AB1060" t="s">
        <v>111</v>
      </c>
      <c r="AC1060">
        <v>0</v>
      </c>
      <c r="AD1060" t="s">
        <v>111</v>
      </c>
      <c r="AE1060">
        <v>0</v>
      </c>
      <c r="AF1060">
        <v>0</v>
      </c>
      <c r="AG1060" t="s">
        <v>111</v>
      </c>
      <c r="AH1060" t="s">
        <v>111</v>
      </c>
      <c r="AI1060" t="s">
        <v>111</v>
      </c>
      <c r="AJ1060" t="s">
        <v>111</v>
      </c>
      <c r="AK1060" t="s">
        <v>111</v>
      </c>
      <c r="AL1060" t="s">
        <v>111</v>
      </c>
      <c r="AM1060">
        <v>0</v>
      </c>
      <c r="AN1060">
        <v>0</v>
      </c>
      <c r="AO1060">
        <v>0</v>
      </c>
      <c r="AP1060" t="s">
        <v>111</v>
      </c>
      <c r="AQ1060" t="s">
        <v>111</v>
      </c>
      <c r="AR1060" t="s">
        <v>111</v>
      </c>
      <c r="AS1060" t="s">
        <v>111</v>
      </c>
      <c r="AT1060" t="s">
        <v>111</v>
      </c>
      <c r="AU1060" t="s">
        <v>111</v>
      </c>
      <c r="AV1060" t="s">
        <v>111</v>
      </c>
      <c r="AW1060" t="s">
        <v>111</v>
      </c>
      <c r="AX1060" t="s">
        <v>111</v>
      </c>
      <c r="AY1060" t="s">
        <v>111</v>
      </c>
      <c r="AZ1060" t="s">
        <v>111</v>
      </c>
      <c r="BA1060" t="s">
        <v>111</v>
      </c>
      <c r="BB1060" t="s">
        <v>111</v>
      </c>
      <c r="BC1060" t="s">
        <v>111</v>
      </c>
      <c r="BD1060" t="s">
        <v>111</v>
      </c>
      <c r="BE1060" t="s">
        <v>111</v>
      </c>
      <c r="BF1060" t="s">
        <v>111</v>
      </c>
      <c r="BG1060" t="s">
        <v>111</v>
      </c>
      <c r="BH1060" t="s">
        <v>111</v>
      </c>
      <c r="BI1060" t="s">
        <v>111</v>
      </c>
      <c r="BJ1060" t="s">
        <v>111</v>
      </c>
      <c r="BK1060" t="s">
        <v>111</v>
      </c>
      <c r="BL1060" t="s">
        <v>111</v>
      </c>
      <c r="BM1060" t="s">
        <v>111</v>
      </c>
      <c r="BN1060" t="s">
        <v>111</v>
      </c>
      <c r="BO1060" t="s">
        <v>111</v>
      </c>
      <c r="BP1060" t="s">
        <v>111</v>
      </c>
      <c r="BQ1060" t="s">
        <v>111</v>
      </c>
      <c r="BR1060" t="s">
        <v>111</v>
      </c>
      <c r="BS1060" t="s">
        <v>111</v>
      </c>
      <c r="BT1060" t="s">
        <v>111</v>
      </c>
      <c r="BU1060" t="s">
        <v>111</v>
      </c>
      <c r="BV1060" t="s">
        <v>111</v>
      </c>
      <c r="BW1060" t="s">
        <v>111</v>
      </c>
      <c r="BX1060" t="s">
        <v>111</v>
      </c>
      <c r="BY1060" t="s">
        <v>111</v>
      </c>
      <c r="BZ1060" t="s">
        <v>111</v>
      </c>
      <c r="CA1060" t="s">
        <v>111</v>
      </c>
      <c r="CB1060" t="s">
        <v>111</v>
      </c>
      <c r="CC1060" t="s">
        <v>111</v>
      </c>
      <c r="CD1060" t="s">
        <v>111</v>
      </c>
      <c r="CE1060" t="s">
        <v>111</v>
      </c>
      <c r="CF1060" t="s">
        <v>111</v>
      </c>
      <c r="CG1060" t="s">
        <v>111</v>
      </c>
      <c r="CH1060" t="s">
        <v>111</v>
      </c>
      <c r="CI1060" t="s">
        <v>111</v>
      </c>
      <c r="CJ1060" t="s">
        <v>111</v>
      </c>
      <c r="CK1060" t="s">
        <v>111</v>
      </c>
      <c r="CL1060" t="s">
        <v>111</v>
      </c>
      <c r="CM1060" t="s">
        <v>111</v>
      </c>
      <c r="CN1060" t="s">
        <v>111</v>
      </c>
      <c r="CO1060" t="s">
        <v>111</v>
      </c>
      <c r="CP1060" t="s">
        <v>111</v>
      </c>
      <c r="CQ1060">
        <v>0</v>
      </c>
      <c r="CR1060">
        <v>0</v>
      </c>
      <c r="CS1060">
        <v>0</v>
      </c>
      <c r="CT1060" t="s">
        <v>111</v>
      </c>
      <c r="CU1060">
        <v>0</v>
      </c>
      <c r="CV1060" t="s">
        <v>111</v>
      </c>
      <c r="CW1060" t="s">
        <v>111</v>
      </c>
      <c r="CX1060" t="s">
        <v>111</v>
      </c>
      <c r="CY1060">
        <v>0</v>
      </c>
      <c r="CZ1060" t="s">
        <v>111</v>
      </c>
      <c r="DA1060" t="s">
        <v>111</v>
      </c>
      <c r="DB1060" t="s">
        <v>204</v>
      </c>
      <c r="DC1060" s="1" t="s">
        <v>205</v>
      </c>
    </row>
    <row r="1061" spans="1:107">
      <c r="A1061">
        <v>288</v>
      </c>
      <c r="B1061" t="s">
        <v>162</v>
      </c>
      <c r="C1061" t="s">
        <v>454</v>
      </c>
      <c r="D1061" t="s">
        <v>3308</v>
      </c>
      <c r="E1061" t="s">
        <v>3309</v>
      </c>
      <c r="F1061" t="s">
        <v>875</v>
      </c>
      <c r="G1061" t="s">
        <v>416</v>
      </c>
      <c r="H1061">
        <v>2.5</v>
      </c>
      <c r="I1061">
        <v>50</v>
      </c>
      <c r="J1061">
        <v>0</v>
      </c>
      <c r="K1061">
        <v>0</v>
      </c>
      <c r="L1061" t="s">
        <v>112</v>
      </c>
      <c r="M1061" t="s">
        <v>138</v>
      </c>
      <c r="N1061">
        <v>0</v>
      </c>
      <c r="O1061">
        <v>0</v>
      </c>
      <c r="P1061" t="s">
        <v>138</v>
      </c>
      <c r="Q1061">
        <v>35</v>
      </c>
      <c r="R1061">
        <v>0</v>
      </c>
      <c r="S1061">
        <v>0</v>
      </c>
      <c r="T1061">
        <v>0</v>
      </c>
      <c r="U1061" t="s">
        <v>153</v>
      </c>
      <c r="V1061">
        <v>0</v>
      </c>
      <c r="W1061">
        <v>25</v>
      </c>
      <c r="X1061">
        <v>8</v>
      </c>
      <c r="Y1061">
        <v>0</v>
      </c>
      <c r="Z1061" t="s">
        <v>288</v>
      </c>
      <c r="AA1061">
        <v>1.65</v>
      </c>
      <c r="AB1061" t="s">
        <v>111</v>
      </c>
      <c r="AC1061">
        <v>0</v>
      </c>
      <c r="AD1061" t="s">
        <v>111</v>
      </c>
      <c r="AE1061">
        <v>0</v>
      </c>
      <c r="AF1061">
        <v>0</v>
      </c>
      <c r="AG1061" t="s">
        <v>111</v>
      </c>
      <c r="AH1061" t="s">
        <v>111</v>
      </c>
      <c r="AI1061" t="s">
        <v>111</v>
      </c>
      <c r="AJ1061" t="s">
        <v>111</v>
      </c>
      <c r="AK1061" t="s">
        <v>111</v>
      </c>
      <c r="AL1061" t="s">
        <v>111</v>
      </c>
      <c r="AM1061">
        <v>0</v>
      </c>
      <c r="AN1061">
        <v>0</v>
      </c>
      <c r="AO1061">
        <v>0</v>
      </c>
      <c r="AP1061" t="s">
        <v>111</v>
      </c>
      <c r="AQ1061" t="s">
        <v>111</v>
      </c>
      <c r="AR1061" t="s">
        <v>111</v>
      </c>
      <c r="AS1061" t="s">
        <v>111</v>
      </c>
      <c r="AT1061" t="s">
        <v>111</v>
      </c>
      <c r="AU1061" t="s">
        <v>111</v>
      </c>
      <c r="AV1061" t="s">
        <v>111</v>
      </c>
      <c r="AW1061" t="s">
        <v>111</v>
      </c>
      <c r="AX1061" t="s">
        <v>111</v>
      </c>
      <c r="AY1061" t="s">
        <v>111</v>
      </c>
      <c r="AZ1061" t="s">
        <v>111</v>
      </c>
      <c r="BA1061" t="s">
        <v>111</v>
      </c>
      <c r="BB1061" t="s">
        <v>111</v>
      </c>
      <c r="BC1061" t="s">
        <v>111</v>
      </c>
      <c r="BD1061" t="s">
        <v>111</v>
      </c>
      <c r="BE1061" t="s">
        <v>111</v>
      </c>
      <c r="BF1061" t="s">
        <v>111</v>
      </c>
      <c r="BG1061" t="s">
        <v>111</v>
      </c>
      <c r="BH1061" t="s">
        <v>111</v>
      </c>
      <c r="BI1061" t="s">
        <v>111</v>
      </c>
      <c r="BJ1061" t="s">
        <v>111</v>
      </c>
      <c r="BK1061" t="s">
        <v>111</v>
      </c>
      <c r="BL1061" t="s">
        <v>111</v>
      </c>
      <c r="BM1061" t="s">
        <v>111</v>
      </c>
      <c r="BN1061" t="s">
        <v>111</v>
      </c>
      <c r="BO1061" t="s">
        <v>111</v>
      </c>
      <c r="BP1061" t="s">
        <v>111</v>
      </c>
      <c r="BQ1061" t="s">
        <v>111</v>
      </c>
      <c r="BR1061" t="s">
        <v>111</v>
      </c>
      <c r="BS1061" t="s">
        <v>111</v>
      </c>
      <c r="BT1061" t="s">
        <v>111</v>
      </c>
      <c r="BU1061" t="s">
        <v>111</v>
      </c>
      <c r="BV1061" t="s">
        <v>111</v>
      </c>
      <c r="BW1061" t="s">
        <v>111</v>
      </c>
      <c r="BX1061" t="s">
        <v>111</v>
      </c>
      <c r="BY1061" t="s">
        <v>111</v>
      </c>
      <c r="BZ1061" t="s">
        <v>111</v>
      </c>
      <c r="CA1061" t="s">
        <v>111</v>
      </c>
      <c r="CB1061" t="s">
        <v>111</v>
      </c>
      <c r="CC1061" t="s">
        <v>111</v>
      </c>
      <c r="CD1061" t="s">
        <v>111</v>
      </c>
      <c r="CE1061" t="s">
        <v>111</v>
      </c>
      <c r="CF1061" t="s">
        <v>111</v>
      </c>
      <c r="CG1061" t="s">
        <v>111</v>
      </c>
      <c r="CH1061" t="s">
        <v>111</v>
      </c>
      <c r="CI1061" t="s">
        <v>111</v>
      </c>
      <c r="CJ1061" t="s">
        <v>111</v>
      </c>
      <c r="CK1061" t="s">
        <v>111</v>
      </c>
      <c r="CL1061" t="s">
        <v>111</v>
      </c>
      <c r="CM1061" t="s">
        <v>198</v>
      </c>
      <c r="CN1061" t="s">
        <v>113</v>
      </c>
      <c r="CO1061" t="s">
        <v>111</v>
      </c>
      <c r="CP1061" t="s">
        <v>111</v>
      </c>
      <c r="CQ1061">
        <v>0</v>
      </c>
      <c r="CR1061">
        <v>0</v>
      </c>
      <c r="CS1061">
        <v>0</v>
      </c>
      <c r="CT1061" t="s">
        <v>168</v>
      </c>
      <c r="CU1061">
        <v>0</v>
      </c>
      <c r="CV1061" t="s">
        <v>111</v>
      </c>
      <c r="CW1061" t="s">
        <v>111</v>
      </c>
      <c r="CX1061" t="s">
        <v>111</v>
      </c>
      <c r="CY1061">
        <v>0</v>
      </c>
      <c r="CZ1061" t="s">
        <v>111</v>
      </c>
      <c r="DA1061" t="s">
        <v>111</v>
      </c>
      <c r="DB1061" t="s">
        <v>111</v>
      </c>
      <c r="DC1061" t="s">
        <v>111</v>
      </c>
    </row>
    <row r="1062" spans="1:107">
      <c r="A1062">
        <v>31</v>
      </c>
      <c r="B1062" t="s">
        <v>162</v>
      </c>
      <c r="C1062" t="s">
        <v>2952</v>
      </c>
      <c r="D1062" t="s">
        <v>2953</v>
      </c>
      <c r="E1062" t="s">
        <v>3310</v>
      </c>
      <c r="F1062" t="s">
        <v>431</v>
      </c>
      <c r="G1062" t="s">
        <v>416</v>
      </c>
      <c r="H1062">
        <v>1.1000000000000001</v>
      </c>
      <c r="I1062">
        <v>42</v>
      </c>
      <c r="J1062">
        <v>0</v>
      </c>
      <c r="K1062">
        <v>0</v>
      </c>
      <c r="L1062" t="s">
        <v>178</v>
      </c>
      <c r="M1062" t="s">
        <v>118</v>
      </c>
      <c r="N1062">
        <v>40</v>
      </c>
      <c r="O1062">
        <v>2</v>
      </c>
      <c r="P1062" t="s">
        <v>138</v>
      </c>
      <c r="Q1062">
        <v>40</v>
      </c>
      <c r="R1062">
        <v>0</v>
      </c>
      <c r="S1062">
        <v>0</v>
      </c>
      <c r="T1062">
        <v>0</v>
      </c>
      <c r="U1062" s="1" t="s">
        <v>3311</v>
      </c>
      <c r="V1062">
        <v>0</v>
      </c>
      <c r="W1062">
        <v>25</v>
      </c>
      <c r="X1062">
        <v>8</v>
      </c>
      <c r="Y1062">
        <v>0</v>
      </c>
      <c r="Z1062" t="s">
        <v>111</v>
      </c>
      <c r="AA1062">
        <v>0</v>
      </c>
      <c r="AB1062" t="s">
        <v>111</v>
      </c>
      <c r="AC1062">
        <v>0</v>
      </c>
      <c r="AD1062" t="s">
        <v>416</v>
      </c>
      <c r="AE1062">
        <v>1</v>
      </c>
      <c r="AF1062">
        <v>1</v>
      </c>
      <c r="AG1062">
        <v>32</v>
      </c>
      <c r="AH1062" t="s">
        <v>111</v>
      </c>
      <c r="AI1062">
        <v>42</v>
      </c>
      <c r="AJ1062" t="s">
        <v>111</v>
      </c>
      <c r="AK1062" t="s">
        <v>111</v>
      </c>
      <c r="AL1062" t="s">
        <v>111</v>
      </c>
      <c r="AM1062">
        <v>0</v>
      </c>
      <c r="AN1062">
        <v>0</v>
      </c>
      <c r="AO1062">
        <v>0</v>
      </c>
      <c r="AP1062" t="s">
        <v>259</v>
      </c>
      <c r="AQ1062" t="s">
        <v>111</v>
      </c>
      <c r="AR1062" t="s">
        <v>111</v>
      </c>
      <c r="AS1062" t="s">
        <v>111</v>
      </c>
      <c r="AT1062" t="s">
        <v>111</v>
      </c>
      <c r="AU1062" t="s">
        <v>111</v>
      </c>
      <c r="AV1062" t="s">
        <v>111</v>
      </c>
      <c r="AW1062" t="s">
        <v>111</v>
      </c>
      <c r="AX1062" t="s">
        <v>111</v>
      </c>
      <c r="AY1062" t="s">
        <v>111</v>
      </c>
      <c r="AZ1062" t="s">
        <v>111</v>
      </c>
      <c r="BA1062" t="s">
        <v>111</v>
      </c>
      <c r="BB1062" t="s">
        <v>111</v>
      </c>
      <c r="BC1062" t="s">
        <v>111</v>
      </c>
      <c r="BD1062" t="s">
        <v>111</v>
      </c>
      <c r="BE1062" t="s">
        <v>111</v>
      </c>
      <c r="BF1062" t="s">
        <v>111</v>
      </c>
      <c r="BG1062" t="s">
        <v>111</v>
      </c>
      <c r="BH1062" t="s">
        <v>111</v>
      </c>
      <c r="BI1062" t="s">
        <v>111</v>
      </c>
      <c r="BJ1062" t="s">
        <v>111</v>
      </c>
      <c r="BK1062" t="s">
        <v>111</v>
      </c>
      <c r="BL1062" t="s">
        <v>111</v>
      </c>
      <c r="BM1062" t="s">
        <v>111</v>
      </c>
      <c r="BN1062" t="s">
        <v>111</v>
      </c>
      <c r="BO1062" t="s">
        <v>111</v>
      </c>
      <c r="BP1062" t="s">
        <v>111</v>
      </c>
      <c r="BQ1062" t="s">
        <v>111</v>
      </c>
      <c r="BR1062" t="s">
        <v>111</v>
      </c>
      <c r="BS1062" t="s">
        <v>111</v>
      </c>
      <c r="BT1062" t="s">
        <v>111</v>
      </c>
      <c r="BU1062" t="s">
        <v>111</v>
      </c>
      <c r="BV1062" t="s">
        <v>111</v>
      </c>
      <c r="BW1062" t="s">
        <v>111</v>
      </c>
      <c r="BX1062" t="s">
        <v>111</v>
      </c>
      <c r="BY1062" t="s">
        <v>111</v>
      </c>
      <c r="BZ1062" t="s">
        <v>111</v>
      </c>
      <c r="CA1062" t="s">
        <v>111</v>
      </c>
      <c r="CB1062" t="s">
        <v>111</v>
      </c>
      <c r="CC1062" t="s">
        <v>111</v>
      </c>
      <c r="CD1062" t="s">
        <v>111</v>
      </c>
      <c r="CE1062" t="s">
        <v>111</v>
      </c>
      <c r="CF1062" t="s">
        <v>111</v>
      </c>
      <c r="CG1062" t="s">
        <v>111</v>
      </c>
      <c r="CH1062" t="s">
        <v>111</v>
      </c>
      <c r="CI1062" t="s">
        <v>111</v>
      </c>
      <c r="CJ1062" t="s">
        <v>111</v>
      </c>
      <c r="CK1062" t="s">
        <v>111</v>
      </c>
      <c r="CL1062" t="s">
        <v>153</v>
      </c>
      <c r="CM1062" t="s">
        <v>198</v>
      </c>
      <c r="CN1062" t="s">
        <v>113</v>
      </c>
      <c r="CO1062" t="s">
        <v>111</v>
      </c>
      <c r="CP1062" t="s">
        <v>433</v>
      </c>
      <c r="CQ1062">
        <v>0</v>
      </c>
      <c r="CR1062">
        <v>4000</v>
      </c>
      <c r="CS1062">
        <v>200</v>
      </c>
      <c r="CT1062" s="1" t="s">
        <v>3311</v>
      </c>
      <c r="CU1062">
        <v>0</v>
      </c>
      <c r="CV1062" t="s">
        <v>111</v>
      </c>
      <c r="CW1062" t="s">
        <v>111</v>
      </c>
      <c r="CX1062" t="s">
        <v>111</v>
      </c>
      <c r="CY1062">
        <v>0</v>
      </c>
      <c r="CZ1062" t="s">
        <v>111</v>
      </c>
      <c r="DA1062" t="s">
        <v>111</v>
      </c>
      <c r="DB1062" t="s">
        <v>111</v>
      </c>
      <c r="DC1062" t="s">
        <v>111</v>
      </c>
    </row>
    <row r="1063" spans="1:107">
      <c r="A1063">
        <v>37</v>
      </c>
      <c r="B1063" t="s">
        <v>162</v>
      </c>
      <c r="C1063" t="s">
        <v>267</v>
      </c>
      <c r="D1063" t="s">
        <v>3035</v>
      </c>
      <c r="E1063" t="s">
        <v>3312</v>
      </c>
      <c r="F1063" t="s">
        <v>192</v>
      </c>
      <c r="G1063" t="s">
        <v>416</v>
      </c>
      <c r="H1063">
        <v>1</v>
      </c>
      <c r="I1063">
        <v>100</v>
      </c>
      <c r="J1063">
        <v>0</v>
      </c>
      <c r="K1063">
        <v>0</v>
      </c>
      <c r="L1063" t="s">
        <v>112</v>
      </c>
      <c r="M1063" t="s">
        <v>138</v>
      </c>
      <c r="N1063">
        <v>0</v>
      </c>
      <c r="O1063">
        <v>0</v>
      </c>
      <c r="P1063" t="s">
        <v>138</v>
      </c>
      <c r="Q1063">
        <v>40</v>
      </c>
      <c r="R1063">
        <v>0</v>
      </c>
      <c r="S1063">
        <v>0</v>
      </c>
      <c r="T1063">
        <v>0</v>
      </c>
      <c r="U1063" t="s">
        <v>419</v>
      </c>
      <c r="V1063">
        <v>0</v>
      </c>
      <c r="W1063">
        <v>25</v>
      </c>
      <c r="X1063">
        <v>6</v>
      </c>
      <c r="Y1063">
        <v>0</v>
      </c>
      <c r="Z1063" t="s">
        <v>111</v>
      </c>
      <c r="AA1063">
        <v>0</v>
      </c>
      <c r="AB1063" t="s">
        <v>111</v>
      </c>
      <c r="AC1063">
        <v>0</v>
      </c>
      <c r="AD1063" t="s">
        <v>111</v>
      </c>
      <c r="AE1063">
        <v>0</v>
      </c>
      <c r="AF1063">
        <v>0</v>
      </c>
      <c r="AG1063" t="s">
        <v>111</v>
      </c>
      <c r="AH1063" t="s">
        <v>111</v>
      </c>
      <c r="AI1063" t="s">
        <v>111</v>
      </c>
      <c r="AJ1063" t="s">
        <v>111</v>
      </c>
      <c r="AK1063" t="s">
        <v>111</v>
      </c>
      <c r="AL1063" t="s">
        <v>111</v>
      </c>
      <c r="AM1063">
        <v>0</v>
      </c>
      <c r="AN1063">
        <v>0</v>
      </c>
      <c r="AO1063">
        <v>0</v>
      </c>
      <c r="AP1063" t="s">
        <v>111</v>
      </c>
      <c r="AQ1063" t="s">
        <v>111</v>
      </c>
      <c r="AR1063" t="s">
        <v>111</v>
      </c>
      <c r="AS1063" t="s">
        <v>111</v>
      </c>
      <c r="AT1063" t="s">
        <v>111</v>
      </c>
      <c r="AU1063" t="s">
        <v>111</v>
      </c>
      <c r="AV1063" t="s">
        <v>111</v>
      </c>
      <c r="AW1063" t="s">
        <v>111</v>
      </c>
      <c r="AX1063" t="s">
        <v>111</v>
      </c>
      <c r="AY1063" t="s">
        <v>111</v>
      </c>
      <c r="AZ1063" t="s">
        <v>111</v>
      </c>
      <c r="BA1063" t="s">
        <v>111</v>
      </c>
      <c r="BB1063" t="s">
        <v>111</v>
      </c>
      <c r="BC1063" t="s">
        <v>111</v>
      </c>
      <c r="BD1063" t="s">
        <v>111</v>
      </c>
      <c r="BE1063" t="s">
        <v>111</v>
      </c>
      <c r="BF1063" t="s">
        <v>111</v>
      </c>
      <c r="BG1063" t="s">
        <v>111</v>
      </c>
      <c r="BH1063" t="s">
        <v>111</v>
      </c>
      <c r="BI1063" t="s">
        <v>111</v>
      </c>
      <c r="BJ1063" t="s">
        <v>111</v>
      </c>
      <c r="BK1063" t="s">
        <v>111</v>
      </c>
      <c r="BL1063" t="s">
        <v>111</v>
      </c>
      <c r="BM1063" t="s">
        <v>111</v>
      </c>
      <c r="BN1063" t="s">
        <v>111</v>
      </c>
      <c r="BO1063" t="s">
        <v>111</v>
      </c>
      <c r="BP1063" t="s">
        <v>111</v>
      </c>
      <c r="BQ1063" t="s">
        <v>111</v>
      </c>
      <c r="BR1063" t="s">
        <v>111</v>
      </c>
      <c r="BS1063" t="s">
        <v>111</v>
      </c>
      <c r="BT1063" t="s">
        <v>111</v>
      </c>
      <c r="BU1063" t="s">
        <v>111</v>
      </c>
      <c r="BV1063" t="s">
        <v>111</v>
      </c>
      <c r="BW1063" t="s">
        <v>111</v>
      </c>
      <c r="BX1063" t="s">
        <v>111</v>
      </c>
      <c r="BY1063" t="s">
        <v>111</v>
      </c>
      <c r="BZ1063" t="s">
        <v>111</v>
      </c>
      <c r="CA1063" t="s">
        <v>111</v>
      </c>
      <c r="CB1063" t="s">
        <v>111</v>
      </c>
      <c r="CC1063" t="s">
        <v>111</v>
      </c>
      <c r="CD1063" t="s">
        <v>111</v>
      </c>
      <c r="CE1063" t="s">
        <v>111</v>
      </c>
      <c r="CF1063" t="s">
        <v>111</v>
      </c>
      <c r="CG1063" t="s">
        <v>111</v>
      </c>
      <c r="CH1063" t="s">
        <v>111</v>
      </c>
      <c r="CI1063" t="s">
        <v>111</v>
      </c>
      <c r="CJ1063" t="s">
        <v>111</v>
      </c>
      <c r="CK1063" t="s">
        <v>111</v>
      </c>
      <c r="CL1063" t="s">
        <v>111</v>
      </c>
      <c r="CM1063" t="s">
        <v>111</v>
      </c>
      <c r="CN1063" t="s">
        <v>111</v>
      </c>
      <c r="CO1063" t="s">
        <v>111</v>
      </c>
      <c r="CP1063" t="s">
        <v>111</v>
      </c>
      <c r="CQ1063">
        <v>0</v>
      </c>
      <c r="CR1063">
        <v>0</v>
      </c>
      <c r="CS1063">
        <v>0</v>
      </c>
      <c r="CT1063" t="s">
        <v>111</v>
      </c>
      <c r="CU1063">
        <v>0</v>
      </c>
      <c r="CV1063" t="s">
        <v>111</v>
      </c>
      <c r="CW1063" t="s">
        <v>111</v>
      </c>
      <c r="CX1063" t="s">
        <v>111</v>
      </c>
      <c r="CY1063">
        <v>0</v>
      </c>
      <c r="CZ1063" t="s">
        <v>111</v>
      </c>
      <c r="DA1063" t="s">
        <v>111</v>
      </c>
      <c r="DB1063" t="s">
        <v>204</v>
      </c>
      <c r="DC1063" s="1" t="s">
        <v>3313</v>
      </c>
    </row>
    <row r="1064" spans="1:107">
      <c r="A1064">
        <v>287</v>
      </c>
      <c r="B1064" t="s">
        <v>162</v>
      </c>
      <c r="C1064" t="s">
        <v>3217</v>
      </c>
      <c r="D1064" t="s">
        <v>3314</v>
      </c>
      <c r="E1064" t="s">
        <v>3315</v>
      </c>
      <c r="F1064" t="s">
        <v>2945</v>
      </c>
      <c r="G1064" t="s">
        <v>416</v>
      </c>
      <c r="H1064">
        <v>4</v>
      </c>
      <c r="I1064">
        <v>15.3</v>
      </c>
      <c r="J1064">
        <v>0</v>
      </c>
      <c r="K1064">
        <v>0</v>
      </c>
      <c r="L1064" t="s">
        <v>112</v>
      </c>
      <c r="M1064" t="s">
        <v>118</v>
      </c>
      <c r="N1064">
        <v>40</v>
      </c>
      <c r="O1064">
        <v>1</v>
      </c>
      <c r="P1064" t="s">
        <v>138</v>
      </c>
      <c r="Q1064">
        <v>40</v>
      </c>
      <c r="R1064">
        <v>0</v>
      </c>
      <c r="S1064">
        <v>0</v>
      </c>
      <c r="T1064">
        <v>0</v>
      </c>
      <c r="U1064" t="s">
        <v>1353</v>
      </c>
      <c r="V1064">
        <v>0</v>
      </c>
      <c r="W1064">
        <v>25</v>
      </c>
      <c r="X1064">
        <v>12.5</v>
      </c>
      <c r="Y1064">
        <v>0</v>
      </c>
      <c r="Z1064" t="s">
        <v>288</v>
      </c>
      <c r="AA1064">
        <v>1.87</v>
      </c>
      <c r="AB1064" t="s">
        <v>111</v>
      </c>
      <c r="AC1064">
        <v>0</v>
      </c>
      <c r="AD1064" t="s">
        <v>416</v>
      </c>
      <c r="AE1064">
        <v>2</v>
      </c>
      <c r="AF1064">
        <v>1</v>
      </c>
      <c r="AG1064">
        <v>23</v>
      </c>
      <c r="AH1064" t="s">
        <v>111</v>
      </c>
      <c r="AI1064">
        <v>46</v>
      </c>
      <c r="AJ1064" t="s">
        <v>111</v>
      </c>
      <c r="AK1064" t="s">
        <v>111</v>
      </c>
      <c r="AL1064" t="s">
        <v>111</v>
      </c>
      <c r="AM1064">
        <v>0</v>
      </c>
      <c r="AN1064">
        <v>0</v>
      </c>
      <c r="AO1064">
        <v>0</v>
      </c>
      <c r="AP1064" t="s">
        <v>111</v>
      </c>
      <c r="AQ1064" t="s">
        <v>111</v>
      </c>
      <c r="AR1064" t="s">
        <v>111</v>
      </c>
      <c r="AS1064" t="s">
        <v>111</v>
      </c>
      <c r="AT1064" t="s">
        <v>111</v>
      </c>
      <c r="AU1064" t="s">
        <v>111</v>
      </c>
      <c r="AV1064" t="s">
        <v>111</v>
      </c>
      <c r="AW1064" t="s">
        <v>111</v>
      </c>
      <c r="AX1064" t="s">
        <v>111</v>
      </c>
      <c r="AY1064" t="s">
        <v>111</v>
      </c>
      <c r="AZ1064" t="s">
        <v>111</v>
      </c>
      <c r="BA1064" t="s">
        <v>111</v>
      </c>
      <c r="BB1064" t="s">
        <v>111</v>
      </c>
      <c r="BC1064" t="s">
        <v>111</v>
      </c>
      <c r="BD1064" t="s">
        <v>111</v>
      </c>
      <c r="BE1064" t="s">
        <v>111</v>
      </c>
      <c r="BF1064" t="s">
        <v>111</v>
      </c>
      <c r="BG1064" t="s">
        <v>111</v>
      </c>
      <c r="BH1064" t="s">
        <v>111</v>
      </c>
      <c r="BI1064" t="s">
        <v>111</v>
      </c>
      <c r="BJ1064" t="s">
        <v>111</v>
      </c>
      <c r="BK1064" t="s">
        <v>111</v>
      </c>
      <c r="BL1064" t="s">
        <v>111</v>
      </c>
      <c r="BM1064" t="s">
        <v>111</v>
      </c>
      <c r="BN1064" t="s">
        <v>111</v>
      </c>
      <c r="BO1064" t="s">
        <v>111</v>
      </c>
      <c r="BP1064" t="s">
        <v>111</v>
      </c>
      <c r="BQ1064" t="s">
        <v>111</v>
      </c>
      <c r="BR1064" t="s">
        <v>111</v>
      </c>
      <c r="BS1064" t="s">
        <v>111</v>
      </c>
      <c r="BT1064" t="s">
        <v>111</v>
      </c>
      <c r="BU1064" t="s">
        <v>111</v>
      </c>
      <c r="BV1064" t="s">
        <v>111</v>
      </c>
      <c r="BW1064" t="s">
        <v>111</v>
      </c>
      <c r="BX1064" t="s">
        <v>111</v>
      </c>
      <c r="BY1064" t="s">
        <v>111</v>
      </c>
      <c r="BZ1064" t="s">
        <v>111</v>
      </c>
      <c r="CA1064" t="s">
        <v>111</v>
      </c>
      <c r="CB1064" t="s">
        <v>111</v>
      </c>
      <c r="CC1064" t="s">
        <v>111</v>
      </c>
      <c r="CD1064" t="s">
        <v>111</v>
      </c>
      <c r="CE1064" t="s">
        <v>111</v>
      </c>
      <c r="CF1064" t="s">
        <v>111</v>
      </c>
      <c r="CG1064" t="s">
        <v>111</v>
      </c>
      <c r="CH1064" t="s">
        <v>111</v>
      </c>
      <c r="CI1064" t="s">
        <v>111</v>
      </c>
      <c r="CJ1064" t="s">
        <v>111</v>
      </c>
      <c r="CK1064" t="s">
        <v>111</v>
      </c>
      <c r="CL1064" t="s">
        <v>168</v>
      </c>
      <c r="CM1064" t="s">
        <v>111</v>
      </c>
      <c r="CN1064" t="s">
        <v>111</v>
      </c>
      <c r="CO1064" t="s">
        <v>111</v>
      </c>
      <c r="CP1064" t="s">
        <v>111</v>
      </c>
      <c r="CQ1064">
        <v>0</v>
      </c>
      <c r="CR1064">
        <v>0</v>
      </c>
      <c r="CS1064">
        <v>0</v>
      </c>
      <c r="CT1064" t="s">
        <v>111</v>
      </c>
      <c r="CU1064">
        <v>0</v>
      </c>
      <c r="CV1064" t="s">
        <v>111</v>
      </c>
      <c r="CW1064" t="s">
        <v>111</v>
      </c>
      <c r="CX1064" t="s">
        <v>111</v>
      </c>
      <c r="CY1064">
        <v>0</v>
      </c>
      <c r="CZ1064" t="s">
        <v>111</v>
      </c>
      <c r="DA1064" t="s">
        <v>111</v>
      </c>
      <c r="DB1064" t="s">
        <v>111</v>
      </c>
      <c r="DC1064" t="s">
        <v>111</v>
      </c>
    </row>
    <row r="1065" spans="1:107">
      <c r="A1065">
        <v>60</v>
      </c>
      <c r="B1065" t="s">
        <v>162</v>
      </c>
      <c r="C1065" t="s">
        <v>1508</v>
      </c>
      <c r="D1065" t="s">
        <v>3316</v>
      </c>
      <c r="E1065" t="s">
        <v>3317</v>
      </c>
      <c r="F1065" t="s">
        <v>739</v>
      </c>
      <c r="G1065" t="s">
        <v>416</v>
      </c>
      <c r="H1065">
        <v>2</v>
      </c>
      <c r="I1065">
        <v>56</v>
      </c>
      <c r="J1065">
        <v>0</v>
      </c>
      <c r="K1065">
        <v>0</v>
      </c>
      <c r="L1065" t="s">
        <v>117</v>
      </c>
      <c r="M1065" t="s">
        <v>118</v>
      </c>
      <c r="N1065">
        <v>40</v>
      </c>
      <c r="O1065">
        <v>2</v>
      </c>
      <c r="P1065" t="s">
        <v>138</v>
      </c>
      <c r="Q1065">
        <v>40</v>
      </c>
      <c r="R1065">
        <v>0</v>
      </c>
      <c r="S1065">
        <v>0</v>
      </c>
      <c r="T1065">
        <v>0</v>
      </c>
      <c r="U1065" t="s">
        <v>1353</v>
      </c>
      <c r="V1065">
        <v>0</v>
      </c>
      <c r="W1065">
        <v>0</v>
      </c>
      <c r="X1065">
        <v>1</v>
      </c>
      <c r="Y1065">
        <v>0</v>
      </c>
      <c r="Z1065" t="s">
        <v>288</v>
      </c>
      <c r="AA1065">
        <v>0</v>
      </c>
      <c r="AB1065" t="s">
        <v>111</v>
      </c>
      <c r="AC1065">
        <v>0</v>
      </c>
      <c r="AD1065" t="s">
        <v>416</v>
      </c>
      <c r="AE1065">
        <v>2</v>
      </c>
      <c r="AF1065">
        <v>2</v>
      </c>
      <c r="AG1065">
        <v>22</v>
      </c>
      <c r="AH1065" t="s">
        <v>111</v>
      </c>
      <c r="AI1065">
        <v>45</v>
      </c>
      <c r="AJ1065" t="s">
        <v>111</v>
      </c>
      <c r="AK1065" t="s">
        <v>111</v>
      </c>
      <c r="AL1065" t="s">
        <v>111</v>
      </c>
      <c r="AM1065">
        <v>0</v>
      </c>
      <c r="AN1065">
        <v>0</v>
      </c>
      <c r="AO1065">
        <v>0</v>
      </c>
      <c r="AP1065" t="s">
        <v>2705</v>
      </c>
      <c r="AQ1065" t="s">
        <v>111</v>
      </c>
      <c r="AR1065" t="s">
        <v>111</v>
      </c>
      <c r="AS1065" t="s">
        <v>111</v>
      </c>
      <c r="AT1065" t="s">
        <v>271</v>
      </c>
      <c r="AU1065" t="s">
        <v>3318</v>
      </c>
      <c r="AV1065" t="s">
        <v>111</v>
      </c>
      <c r="AW1065" t="s">
        <v>111</v>
      </c>
      <c r="AX1065" t="s">
        <v>111</v>
      </c>
      <c r="AY1065" t="s">
        <v>111</v>
      </c>
      <c r="AZ1065" t="s">
        <v>111</v>
      </c>
      <c r="BA1065" t="s">
        <v>111</v>
      </c>
      <c r="BB1065" t="s">
        <v>111</v>
      </c>
      <c r="BC1065" t="s">
        <v>111</v>
      </c>
      <c r="BD1065" t="s">
        <v>111</v>
      </c>
      <c r="BE1065" t="s">
        <v>111</v>
      </c>
      <c r="BF1065" t="s">
        <v>111</v>
      </c>
      <c r="BG1065" t="s">
        <v>111</v>
      </c>
      <c r="BH1065" t="s">
        <v>111</v>
      </c>
      <c r="BI1065" t="s">
        <v>111</v>
      </c>
      <c r="BJ1065" t="s">
        <v>111</v>
      </c>
      <c r="BK1065" t="s">
        <v>111</v>
      </c>
      <c r="BL1065" t="s">
        <v>111</v>
      </c>
      <c r="BM1065" t="s">
        <v>111</v>
      </c>
      <c r="BN1065" t="s">
        <v>111</v>
      </c>
      <c r="BO1065" t="s">
        <v>111</v>
      </c>
      <c r="BP1065" t="s">
        <v>111</v>
      </c>
      <c r="BQ1065" t="s">
        <v>111</v>
      </c>
      <c r="BR1065" t="s">
        <v>111</v>
      </c>
      <c r="BS1065" t="s">
        <v>111</v>
      </c>
      <c r="BT1065" t="s">
        <v>111</v>
      </c>
      <c r="BU1065" t="s">
        <v>111</v>
      </c>
      <c r="BV1065" t="s">
        <v>111</v>
      </c>
      <c r="BW1065" t="s">
        <v>111</v>
      </c>
      <c r="BX1065" t="s">
        <v>111</v>
      </c>
      <c r="BY1065" t="s">
        <v>111</v>
      </c>
      <c r="BZ1065" t="s">
        <v>111</v>
      </c>
      <c r="CA1065" t="s">
        <v>111</v>
      </c>
      <c r="CB1065" t="s">
        <v>111</v>
      </c>
      <c r="CC1065" t="s">
        <v>111</v>
      </c>
      <c r="CD1065" t="s">
        <v>111</v>
      </c>
      <c r="CE1065" t="s">
        <v>111</v>
      </c>
      <c r="CF1065" t="s">
        <v>111</v>
      </c>
      <c r="CG1065" t="s">
        <v>111</v>
      </c>
      <c r="CH1065" t="s">
        <v>111</v>
      </c>
      <c r="CI1065" t="s">
        <v>111</v>
      </c>
      <c r="CJ1065" t="s">
        <v>111</v>
      </c>
      <c r="CK1065" t="s">
        <v>111</v>
      </c>
      <c r="CL1065" t="s">
        <v>153</v>
      </c>
      <c r="CM1065" t="s">
        <v>198</v>
      </c>
      <c r="CN1065" t="s">
        <v>113</v>
      </c>
      <c r="CO1065" t="s">
        <v>111</v>
      </c>
      <c r="CP1065" t="s">
        <v>433</v>
      </c>
      <c r="CQ1065">
        <v>0</v>
      </c>
      <c r="CR1065">
        <v>0</v>
      </c>
      <c r="CS1065">
        <v>0</v>
      </c>
      <c r="CT1065" t="s">
        <v>168</v>
      </c>
      <c r="CU1065">
        <v>0</v>
      </c>
      <c r="CV1065" t="s">
        <v>111</v>
      </c>
      <c r="CW1065" t="s">
        <v>111</v>
      </c>
      <c r="CX1065" t="s">
        <v>111</v>
      </c>
      <c r="CY1065">
        <v>0</v>
      </c>
      <c r="CZ1065" t="s">
        <v>111</v>
      </c>
      <c r="DA1065" t="s">
        <v>111</v>
      </c>
      <c r="DB1065" t="s">
        <v>111</v>
      </c>
      <c r="DC1065" t="s">
        <v>111</v>
      </c>
    </row>
    <row r="1066" spans="1:107">
      <c r="A1066">
        <v>61</v>
      </c>
      <c r="B1066" t="s">
        <v>162</v>
      </c>
      <c r="C1066" t="s">
        <v>3319</v>
      </c>
      <c r="D1066" t="s">
        <v>3320</v>
      </c>
      <c r="E1066" t="s">
        <v>3321</v>
      </c>
      <c r="F1066" t="s">
        <v>125</v>
      </c>
      <c r="G1066" t="s">
        <v>416</v>
      </c>
      <c r="H1066">
        <v>1.4</v>
      </c>
      <c r="I1066">
        <v>80</v>
      </c>
      <c r="J1066">
        <v>0</v>
      </c>
      <c r="K1066">
        <v>0</v>
      </c>
      <c r="L1066" t="s">
        <v>112</v>
      </c>
      <c r="M1066" t="s">
        <v>138</v>
      </c>
      <c r="N1066">
        <v>0</v>
      </c>
      <c r="O1066">
        <v>0</v>
      </c>
      <c r="P1066" t="s">
        <v>138</v>
      </c>
      <c r="Q1066">
        <v>30</v>
      </c>
      <c r="R1066">
        <v>0</v>
      </c>
      <c r="S1066">
        <v>0</v>
      </c>
      <c r="T1066">
        <v>0</v>
      </c>
      <c r="U1066" t="s">
        <v>234</v>
      </c>
      <c r="V1066">
        <v>0</v>
      </c>
      <c r="W1066">
        <v>25</v>
      </c>
      <c r="X1066">
        <v>8</v>
      </c>
      <c r="Y1066">
        <v>0</v>
      </c>
      <c r="Z1066" t="s">
        <v>111</v>
      </c>
      <c r="AA1066">
        <v>0</v>
      </c>
      <c r="AB1066" t="s">
        <v>111</v>
      </c>
      <c r="AC1066">
        <v>0</v>
      </c>
      <c r="AD1066" t="s">
        <v>111</v>
      </c>
      <c r="AE1066">
        <v>0</v>
      </c>
      <c r="AF1066">
        <v>0</v>
      </c>
      <c r="AG1066" t="s">
        <v>111</v>
      </c>
      <c r="AH1066" t="s">
        <v>111</v>
      </c>
      <c r="AI1066" t="s">
        <v>111</v>
      </c>
      <c r="AJ1066" t="s">
        <v>111</v>
      </c>
      <c r="AK1066" t="s">
        <v>111</v>
      </c>
      <c r="AL1066" t="s">
        <v>111</v>
      </c>
      <c r="AM1066">
        <v>0</v>
      </c>
      <c r="AN1066">
        <v>0</v>
      </c>
      <c r="AO1066">
        <v>0</v>
      </c>
      <c r="AP1066" t="s">
        <v>111</v>
      </c>
      <c r="AQ1066" t="s">
        <v>111</v>
      </c>
      <c r="AR1066" t="s">
        <v>111</v>
      </c>
      <c r="AS1066" t="s">
        <v>111</v>
      </c>
      <c r="AT1066" t="s">
        <v>111</v>
      </c>
      <c r="AU1066" t="s">
        <v>111</v>
      </c>
      <c r="AV1066" t="s">
        <v>111</v>
      </c>
      <c r="AW1066" t="s">
        <v>111</v>
      </c>
      <c r="AX1066" t="s">
        <v>111</v>
      </c>
      <c r="AY1066" t="s">
        <v>111</v>
      </c>
      <c r="AZ1066" t="s">
        <v>111</v>
      </c>
      <c r="BA1066" t="s">
        <v>111</v>
      </c>
      <c r="BB1066" t="s">
        <v>111</v>
      </c>
      <c r="BC1066" t="s">
        <v>111</v>
      </c>
      <c r="BD1066" t="s">
        <v>111</v>
      </c>
      <c r="BE1066" t="s">
        <v>111</v>
      </c>
      <c r="BF1066" t="s">
        <v>111</v>
      </c>
      <c r="BG1066" t="s">
        <v>111</v>
      </c>
      <c r="BH1066" t="s">
        <v>111</v>
      </c>
      <c r="BI1066" t="s">
        <v>111</v>
      </c>
      <c r="BJ1066" t="s">
        <v>111</v>
      </c>
      <c r="BK1066" t="s">
        <v>111</v>
      </c>
      <c r="BL1066" t="s">
        <v>111</v>
      </c>
      <c r="BM1066" t="s">
        <v>111</v>
      </c>
      <c r="BN1066" t="s">
        <v>111</v>
      </c>
      <c r="BO1066" t="s">
        <v>111</v>
      </c>
      <c r="BP1066" t="s">
        <v>111</v>
      </c>
      <c r="BQ1066" t="s">
        <v>111</v>
      </c>
      <c r="BR1066" t="s">
        <v>111</v>
      </c>
      <c r="BS1066" t="s">
        <v>111</v>
      </c>
      <c r="BT1066" t="s">
        <v>111</v>
      </c>
      <c r="BU1066" t="s">
        <v>111</v>
      </c>
      <c r="BV1066" t="s">
        <v>111</v>
      </c>
      <c r="BW1066" t="s">
        <v>111</v>
      </c>
      <c r="BX1066" t="s">
        <v>111</v>
      </c>
      <c r="BY1066" t="s">
        <v>111</v>
      </c>
      <c r="BZ1066" t="s">
        <v>111</v>
      </c>
      <c r="CA1066" t="s">
        <v>111</v>
      </c>
      <c r="CB1066" t="s">
        <v>111</v>
      </c>
      <c r="CC1066" t="s">
        <v>111</v>
      </c>
      <c r="CD1066" t="s">
        <v>111</v>
      </c>
      <c r="CE1066" t="s">
        <v>111</v>
      </c>
      <c r="CF1066" t="s">
        <v>111</v>
      </c>
      <c r="CG1066" t="s">
        <v>111</v>
      </c>
      <c r="CH1066" t="s">
        <v>111</v>
      </c>
      <c r="CI1066" t="s">
        <v>111</v>
      </c>
      <c r="CJ1066" t="s">
        <v>111</v>
      </c>
      <c r="CK1066" t="s">
        <v>111</v>
      </c>
      <c r="CL1066" t="s">
        <v>111</v>
      </c>
      <c r="CM1066" t="s">
        <v>111</v>
      </c>
      <c r="CN1066" t="s">
        <v>111</v>
      </c>
      <c r="CO1066" t="s">
        <v>111</v>
      </c>
      <c r="CP1066" t="s">
        <v>111</v>
      </c>
      <c r="CQ1066">
        <v>0</v>
      </c>
      <c r="CR1066">
        <v>0</v>
      </c>
      <c r="CS1066">
        <v>0</v>
      </c>
      <c r="CT1066" t="s">
        <v>111</v>
      </c>
      <c r="CU1066">
        <v>0</v>
      </c>
      <c r="CV1066" t="s">
        <v>111</v>
      </c>
      <c r="CW1066" t="s">
        <v>111</v>
      </c>
      <c r="CX1066" t="s">
        <v>111</v>
      </c>
      <c r="CY1066">
        <v>0</v>
      </c>
      <c r="CZ1066" t="s">
        <v>111</v>
      </c>
      <c r="DA1066" t="s">
        <v>111</v>
      </c>
      <c r="DB1066" t="s">
        <v>204</v>
      </c>
      <c r="DC1066" s="1" t="s">
        <v>3032</v>
      </c>
    </row>
    <row r="1067" spans="1:107">
      <c r="A1067">
        <v>70</v>
      </c>
      <c r="B1067" t="s">
        <v>162</v>
      </c>
      <c r="C1067" t="s">
        <v>3322</v>
      </c>
      <c r="D1067" t="s">
        <v>3323</v>
      </c>
      <c r="E1067" t="s">
        <v>3324</v>
      </c>
      <c r="F1067" t="s">
        <v>3325</v>
      </c>
      <c r="G1067" t="s">
        <v>416</v>
      </c>
      <c r="H1067">
        <v>3.9</v>
      </c>
      <c r="I1067">
        <v>74</v>
      </c>
      <c r="J1067">
        <v>0</v>
      </c>
      <c r="K1067">
        <v>0</v>
      </c>
      <c r="L1067" t="s">
        <v>112</v>
      </c>
      <c r="M1067" t="s">
        <v>118</v>
      </c>
      <c r="N1067">
        <v>40</v>
      </c>
      <c r="O1067">
        <v>2</v>
      </c>
      <c r="P1067" t="s">
        <v>138</v>
      </c>
      <c r="Q1067">
        <v>40</v>
      </c>
      <c r="R1067">
        <v>0</v>
      </c>
      <c r="S1067">
        <v>0</v>
      </c>
      <c r="T1067">
        <v>0</v>
      </c>
      <c r="U1067" t="s">
        <v>419</v>
      </c>
      <c r="V1067">
        <v>0</v>
      </c>
      <c r="W1067">
        <v>25</v>
      </c>
      <c r="X1067">
        <v>12.5</v>
      </c>
      <c r="Y1067">
        <v>0</v>
      </c>
      <c r="Z1067" t="s">
        <v>2363</v>
      </c>
      <c r="AA1067">
        <v>1.5</v>
      </c>
      <c r="AB1067" t="s">
        <v>111</v>
      </c>
      <c r="AC1067">
        <v>0</v>
      </c>
      <c r="AD1067" t="s">
        <v>416</v>
      </c>
      <c r="AE1067">
        <v>1</v>
      </c>
      <c r="AF1067">
        <v>2</v>
      </c>
      <c r="AG1067">
        <v>50</v>
      </c>
      <c r="AH1067" t="s">
        <v>111</v>
      </c>
      <c r="AI1067">
        <v>50</v>
      </c>
      <c r="AJ1067" t="s">
        <v>111</v>
      </c>
      <c r="AK1067" t="s">
        <v>111</v>
      </c>
      <c r="AL1067" t="s">
        <v>111</v>
      </c>
      <c r="AM1067">
        <v>0</v>
      </c>
      <c r="AN1067">
        <v>0</v>
      </c>
      <c r="AO1067">
        <v>0</v>
      </c>
      <c r="AP1067" t="s">
        <v>111</v>
      </c>
      <c r="AQ1067" t="s">
        <v>111</v>
      </c>
      <c r="AR1067" t="s">
        <v>111</v>
      </c>
      <c r="AS1067" t="s">
        <v>111</v>
      </c>
      <c r="AT1067" t="s">
        <v>111</v>
      </c>
      <c r="AU1067" t="s">
        <v>111</v>
      </c>
      <c r="AV1067" t="s">
        <v>111</v>
      </c>
      <c r="AW1067" t="s">
        <v>111</v>
      </c>
      <c r="AX1067" t="s">
        <v>111</v>
      </c>
      <c r="AY1067" t="s">
        <v>111</v>
      </c>
      <c r="AZ1067" t="s">
        <v>111</v>
      </c>
      <c r="BA1067" t="s">
        <v>111</v>
      </c>
      <c r="BB1067" t="s">
        <v>111</v>
      </c>
      <c r="BC1067" t="s">
        <v>111</v>
      </c>
      <c r="BD1067" t="s">
        <v>111</v>
      </c>
      <c r="BE1067" t="s">
        <v>111</v>
      </c>
      <c r="BF1067" t="s">
        <v>111</v>
      </c>
      <c r="BG1067" t="s">
        <v>111</v>
      </c>
      <c r="BH1067" t="s">
        <v>111</v>
      </c>
      <c r="BI1067" t="s">
        <v>111</v>
      </c>
      <c r="BJ1067" t="s">
        <v>111</v>
      </c>
      <c r="BK1067" t="s">
        <v>111</v>
      </c>
      <c r="BL1067" t="s">
        <v>111</v>
      </c>
      <c r="BM1067" t="s">
        <v>111</v>
      </c>
      <c r="BN1067" t="s">
        <v>111</v>
      </c>
      <c r="BO1067" t="s">
        <v>111</v>
      </c>
      <c r="BP1067" t="s">
        <v>111</v>
      </c>
      <c r="BQ1067" t="s">
        <v>111</v>
      </c>
      <c r="BR1067" t="s">
        <v>111</v>
      </c>
      <c r="BS1067" t="s">
        <v>111</v>
      </c>
      <c r="BT1067" t="s">
        <v>111</v>
      </c>
      <c r="BU1067" t="s">
        <v>111</v>
      </c>
      <c r="BV1067" t="s">
        <v>111</v>
      </c>
      <c r="BW1067" t="s">
        <v>111</v>
      </c>
      <c r="BX1067" t="s">
        <v>111</v>
      </c>
      <c r="BY1067" t="s">
        <v>111</v>
      </c>
      <c r="BZ1067" t="s">
        <v>111</v>
      </c>
      <c r="CA1067" t="s">
        <v>111</v>
      </c>
      <c r="CB1067" t="s">
        <v>111</v>
      </c>
      <c r="CC1067" t="s">
        <v>111</v>
      </c>
      <c r="CD1067" t="s">
        <v>111</v>
      </c>
      <c r="CE1067" t="s">
        <v>111</v>
      </c>
      <c r="CF1067" t="s">
        <v>111</v>
      </c>
      <c r="CG1067" t="s">
        <v>111</v>
      </c>
      <c r="CH1067" t="s">
        <v>111</v>
      </c>
      <c r="CI1067" t="s">
        <v>111</v>
      </c>
      <c r="CJ1067" t="s">
        <v>111</v>
      </c>
      <c r="CK1067" t="s">
        <v>111</v>
      </c>
      <c r="CL1067" t="s">
        <v>153</v>
      </c>
      <c r="CM1067" t="s">
        <v>198</v>
      </c>
      <c r="CN1067" t="s">
        <v>113</v>
      </c>
      <c r="CO1067" t="s">
        <v>1348</v>
      </c>
      <c r="CP1067" t="s">
        <v>433</v>
      </c>
      <c r="CQ1067">
        <v>0</v>
      </c>
      <c r="CR1067">
        <v>0</v>
      </c>
      <c r="CS1067">
        <v>0</v>
      </c>
      <c r="CT1067" t="s">
        <v>419</v>
      </c>
      <c r="CU1067">
        <v>0</v>
      </c>
      <c r="CV1067" t="s">
        <v>111</v>
      </c>
      <c r="CW1067" t="s">
        <v>111</v>
      </c>
      <c r="CX1067" t="s">
        <v>111</v>
      </c>
      <c r="CY1067">
        <v>0</v>
      </c>
      <c r="CZ1067" t="s">
        <v>111</v>
      </c>
      <c r="DA1067" t="s">
        <v>111</v>
      </c>
      <c r="DB1067" t="s">
        <v>240</v>
      </c>
      <c r="DC1067" s="1" t="s">
        <v>3326</v>
      </c>
    </row>
    <row r="1068" spans="1:107">
      <c r="A1068">
        <v>71</v>
      </c>
      <c r="B1068" t="s">
        <v>162</v>
      </c>
      <c r="C1068" t="s">
        <v>3322</v>
      </c>
      <c r="D1068" t="s">
        <v>3327</v>
      </c>
      <c r="E1068" t="s">
        <v>3328</v>
      </c>
      <c r="F1068" t="s">
        <v>3325</v>
      </c>
      <c r="G1068" t="s">
        <v>416</v>
      </c>
      <c r="H1068">
        <v>3.9</v>
      </c>
      <c r="I1068">
        <v>56</v>
      </c>
      <c r="J1068">
        <v>0</v>
      </c>
      <c r="K1068">
        <v>0</v>
      </c>
      <c r="L1068" t="s">
        <v>112</v>
      </c>
      <c r="M1068" t="s">
        <v>118</v>
      </c>
      <c r="N1068">
        <v>40</v>
      </c>
      <c r="O1068">
        <v>2</v>
      </c>
      <c r="P1068" t="s">
        <v>138</v>
      </c>
      <c r="Q1068">
        <v>40</v>
      </c>
      <c r="R1068">
        <v>0</v>
      </c>
      <c r="S1068">
        <v>0</v>
      </c>
      <c r="T1068">
        <v>0</v>
      </c>
      <c r="U1068" t="s">
        <v>2890</v>
      </c>
      <c r="V1068">
        <v>0</v>
      </c>
      <c r="W1068">
        <v>25</v>
      </c>
      <c r="X1068">
        <v>12.5</v>
      </c>
      <c r="Y1068">
        <v>0</v>
      </c>
      <c r="Z1068" t="s">
        <v>2363</v>
      </c>
      <c r="AA1068">
        <v>1.5</v>
      </c>
      <c r="AB1068" t="s">
        <v>111</v>
      </c>
      <c r="AC1068">
        <v>0</v>
      </c>
      <c r="AD1068" t="s">
        <v>416</v>
      </c>
      <c r="AE1068">
        <v>1</v>
      </c>
      <c r="AF1068">
        <v>2</v>
      </c>
      <c r="AG1068">
        <v>45</v>
      </c>
      <c r="AH1068" t="s">
        <v>111</v>
      </c>
      <c r="AI1068">
        <v>45</v>
      </c>
      <c r="AJ1068" t="s">
        <v>111</v>
      </c>
      <c r="AK1068" t="s">
        <v>111</v>
      </c>
      <c r="AL1068" t="s">
        <v>111</v>
      </c>
      <c r="AM1068">
        <v>0</v>
      </c>
      <c r="AN1068">
        <v>0</v>
      </c>
      <c r="AO1068">
        <v>0</v>
      </c>
      <c r="AP1068" t="s">
        <v>2705</v>
      </c>
      <c r="AQ1068" t="s">
        <v>111</v>
      </c>
      <c r="AR1068" t="s">
        <v>111</v>
      </c>
      <c r="AS1068" t="s">
        <v>111</v>
      </c>
      <c r="AT1068" t="s">
        <v>111</v>
      </c>
      <c r="AU1068" t="s">
        <v>111</v>
      </c>
      <c r="AV1068" t="s">
        <v>111</v>
      </c>
      <c r="AW1068" t="s">
        <v>111</v>
      </c>
      <c r="AX1068" t="s">
        <v>111</v>
      </c>
      <c r="AY1068" t="s">
        <v>111</v>
      </c>
      <c r="AZ1068" t="s">
        <v>111</v>
      </c>
      <c r="BA1068" t="s">
        <v>111</v>
      </c>
      <c r="BB1068" t="s">
        <v>111</v>
      </c>
      <c r="BC1068" t="s">
        <v>111</v>
      </c>
      <c r="BD1068" t="s">
        <v>111</v>
      </c>
      <c r="BE1068" t="s">
        <v>111</v>
      </c>
      <c r="BF1068" t="s">
        <v>111</v>
      </c>
      <c r="BG1068" t="s">
        <v>111</v>
      </c>
      <c r="BH1068" t="s">
        <v>111</v>
      </c>
      <c r="BI1068" t="s">
        <v>111</v>
      </c>
      <c r="BJ1068" t="s">
        <v>111</v>
      </c>
      <c r="BK1068" t="s">
        <v>111</v>
      </c>
      <c r="BL1068" t="s">
        <v>111</v>
      </c>
      <c r="BM1068" t="s">
        <v>111</v>
      </c>
      <c r="BN1068" t="s">
        <v>111</v>
      </c>
      <c r="BO1068" t="s">
        <v>111</v>
      </c>
      <c r="BP1068" t="s">
        <v>111</v>
      </c>
      <c r="BQ1068" t="s">
        <v>111</v>
      </c>
      <c r="BR1068" t="s">
        <v>111</v>
      </c>
      <c r="BS1068" t="s">
        <v>111</v>
      </c>
      <c r="BT1068" t="s">
        <v>111</v>
      </c>
      <c r="BU1068" t="s">
        <v>111</v>
      </c>
      <c r="BV1068" t="s">
        <v>111</v>
      </c>
      <c r="BW1068" t="s">
        <v>111</v>
      </c>
      <c r="BX1068" t="s">
        <v>111</v>
      </c>
      <c r="BY1068" t="s">
        <v>111</v>
      </c>
      <c r="BZ1068" t="s">
        <v>111</v>
      </c>
      <c r="CA1068" t="s">
        <v>111</v>
      </c>
      <c r="CB1068" t="s">
        <v>111</v>
      </c>
      <c r="CC1068" t="s">
        <v>111</v>
      </c>
      <c r="CD1068" t="s">
        <v>111</v>
      </c>
      <c r="CE1068" t="s">
        <v>111</v>
      </c>
      <c r="CF1068" t="s">
        <v>111</v>
      </c>
      <c r="CG1068" t="s">
        <v>111</v>
      </c>
      <c r="CH1068" t="s">
        <v>111</v>
      </c>
      <c r="CI1068" t="s">
        <v>111</v>
      </c>
      <c r="CJ1068" t="s">
        <v>111</v>
      </c>
      <c r="CK1068" t="s">
        <v>111</v>
      </c>
      <c r="CL1068" t="s">
        <v>153</v>
      </c>
      <c r="CM1068" t="s">
        <v>198</v>
      </c>
      <c r="CN1068" t="s">
        <v>113</v>
      </c>
      <c r="CO1068" t="s">
        <v>1348</v>
      </c>
      <c r="CP1068" t="s">
        <v>433</v>
      </c>
      <c r="CQ1068">
        <v>0</v>
      </c>
      <c r="CR1068">
        <v>0</v>
      </c>
      <c r="CS1068">
        <v>0</v>
      </c>
      <c r="CT1068" t="s">
        <v>2890</v>
      </c>
      <c r="CU1068">
        <v>0</v>
      </c>
      <c r="CV1068" t="s">
        <v>111</v>
      </c>
      <c r="CW1068" t="s">
        <v>111</v>
      </c>
      <c r="CX1068" t="s">
        <v>111</v>
      </c>
      <c r="CY1068">
        <v>0</v>
      </c>
      <c r="CZ1068" t="s">
        <v>111</v>
      </c>
      <c r="DA1068" t="s">
        <v>111</v>
      </c>
      <c r="DB1068" t="s">
        <v>204</v>
      </c>
      <c r="DC1068" s="1" t="s">
        <v>1350</v>
      </c>
    </row>
    <row r="1069" spans="1:107">
      <c r="A1069">
        <v>1202</v>
      </c>
      <c r="B1069" t="s">
        <v>107</v>
      </c>
      <c r="C1069" t="s">
        <v>114</v>
      </c>
      <c r="D1069" t="s">
        <v>489</v>
      </c>
      <c r="E1069" t="s">
        <v>3329</v>
      </c>
      <c r="F1069" t="s">
        <v>431</v>
      </c>
      <c r="G1069" t="s">
        <v>416</v>
      </c>
      <c r="H1069">
        <v>3</v>
      </c>
      <c r="I1069">
        <v>16</v>
      </c>
      <c r="J1069">
        <v>0</v>
      </c>
      <c r="K1069">
        <v>0</v>
      </c>
      <c r="L1069" t="s">
        <v>112</v>
      </c>
      <c r="M1069" t="s">
        <v>118</v>
      </c>
      <c r="N1069">
        <v>39</v>
      </c>
      <c r="O1069">
        <v>2</v>
      </c>
      <c r="P1069" t="s">
        <v>111</v>
      </c>
      <c r="Q1069">
        <v>80</v>
      </c>
      <c r="R1069">
        <v>0</v>
      </c>
      <c r="S1069">
        <v>0</v>
      </c>
      <c r="T1069">
        <v>5</v>
      </c>
      <c r="U1069" t="e">
        <f>-IMPRESINO DARMA</f>
        <v>#NAME?</v>
      </c>
      <c r="V1069">
        <v>0</v>
      </c>
      <c r="W1069">
        <v>25</v>
      </c>
      <c r="X1069">
        <v>7.5</v>
      </c>
      <c r="Y1069">
        <v>0</v>
      </c>
      <c r="Z1069" t="s">
        <v>111</v>
      </c>
      <c r="AA1069">
        <v>0</v>
      </c>
      <c r="AB1069" t="s">
        <v>619</v>
      </c>
      <c r="AC1069">
        <v>7.5</v>
      </c>
      <c r="AD1069" t="s">
        <v>416</v>
      </c>
      <c r="AE1069">
        <v>0</v>
      </c>
      <c r="AF1069">
        <v>0</v>
      </c>
      <c r="AG1069" t="s">
        <v>111</v>
      </c>
      <c r="AH1069" t="s">
        <v>128</v>
      </c>
      <c r="AI1069" t="s">
        <v>111</v>
      </c>
      <c r="AJ1069" t="s">
        <v>111</v>
      </c>
      <c r="AK1069" t="s">
        <v>111</v>
      </c>
      <c r="AL1069" t="s">
        <v>111</v>
      </c>
      <c r="AM1069">
        <v>0</v>
      </c>
      <c r="AN1069">
        <v>0</v>
      </c>
      <c r="AO1069">
        <v>0</v>
      </c>
      <c r="AP1069" t="s">
        <v>111</v>
      </c>
      <c r="AQ1069" t="s">
        <v>111</v>
      </c>
      <c r="AR1069" t="s">
        <v>111</v>
      </c>
      <c r="AS1069" t="s">
        <v>111</v>
      </c>
      <c r="AT1069" t="s">
        <v>111</v>
      </c>
      <c r="AU1069" t="s">
        <v>111</v>
      </c>
      <c r="AV1069" t="s">
        <v>111</v>
      </c>
      <c r="AW1069" t="s">
        <v>111</v>
      </c>
      <c r="AX1069" t="s">
        <v>111</v>
      </c>
      <c r="AY1069" t="s">
        <v>111</v>
      </c>
      <c r="AZ1069" t="s">
        <v>111</v>
      </c>
      <c r="BA1069" t="s">
        <v>111</v>
      </c>
      <c r="BB1069" t="s">
        <v>111</v>
      </c>
      <c r="BC1069" t="s">
        <v>111</v>
      </c>
      <c r="BD1069" t="s">
        <v>111</v>
      </c>
      <c r="BE1069" t="s">
        <v>111</v>
      </c>
      <c r="BF1069" t="s">
        <v>111</v>
      </c>
      <c r="BG1069" t="s">
        <v>111</v>
      </c>
      <c r="BH1069" t="s">
        <v>111</v>
      </c>
      <c r="BI1069" t="s">
        <v>111</v>
      </c>
      <c r="BJ1069" t="s">
        <v>111</v>
      </c>
      <c r="BK1069" t="s">
        <v>111</v>
      </c>
      <c r="BL1069" t="s">
        <v>111</v>
      </c>
      <c r="BM1069" t="s">
        <v>111</v>
      </c>
      <c r="BN1069" t="s">
        <v>111</v>
      </c>
      <c r="BO1069" t="s">
        <v>111</v>
      </c>
      <c r="BP1069" t="s">
        <v>111</v>
      </c>
      <c r="BQ1069" t="s">
        <v>111</v>
      </c>
      <c r="BR1069" t="s">
        <v>111</v>
      </c>
      <c r="BS1069" t="s">
        <v>111</v>
      </c>
      <c r="BT1069" t="s">
        <v>111</v>
      </c>
      <c r="BU1069" t="s">
        <v>111</v>
      </c>
      <c r="BV1069" t="s">
        <v>111</v>
      </c>
      <c r="BW1069" t="s">
        <v>111</v>
      </c>
      <c r="BX1069" t="s">
        <v>111</v>
      </c>
      <c r="BY1069" t="s">
        <v>111</v>
      </c>
      <c r="BZ1069" t="s">
        <v>111</v>
      </c>
      <c r="CA1069" t="s">
        <v>111</v>
      </c>
      <c r="CB1069" t="s">
        <v>111</v>
      </c>
      <c r="CC1069" t="s">
        <v>111</v>
      </c>
      <c r="CD1069" t="s">
        <v>111</v>
      </c>
      <c r="CE1069" t="s">
        <v>111</v>
      </c>
      <c r="CF1069" t="s">
        <v>111</v>
      </c>
      <c r="CG1069" t="s">
        <v>111</v>
      </c>
      <c r="CH1069" t="s">
        <v>111</v>
      </c>
      <c r="CI1069" t="s">
        <v>111</v>
      </c>
      <c r="CJ1069" t="s">
        <v>111</v>
      </c>
      <c r="CK1069" t="s">
        <v>111</v>
      </c>
      <c r="CL1069" t="e">
        <f>-DESTINO SELLADO</f>
        <v>#NAME?</v>
      </c>
      <c r="CM1069" t="s">
        <v>135</v>
      </c>
      <c r="CN1069" t="s">
        <v>128</v>
      </c>
      <c r="CO1069" t="s">
        <v>111</v>
      </c>
      <c r="CP1069" t="s">
        <v>111</v>
      </c>
      <c r="CQ1069">
        <v>0</v>
      </c>
      <c r="CR1069">
        <v>3000</v>
      </c>
      <c r="CS1069">
        <v>100</v>
      </c>
      <c r="CT1069" t="e">
        <f>-DESTINO ALMACEN</f>
        <v>#NAME?</v>
      </c>
      <c r="CU1069">
        <v>0</v>
      </c>
      <c r="CV1069" t="s">
        <v>111</v>
      </c>
      <c r="CW1069" t="s">
        <v>111</v>
      </c>
      <c r="CX1069" t="s">
        <v>111</v>
      </c>
      <c r="CY1069">
        <v>0</v>
      </c>
      <c r="CZ1069" t="s">
        <v>111</v>
      </c>
      <c r="DA1069" t="s">
        <v>111</v>
      </c>
      <c r="DB1069" t="s">
        <v>111</v>
      </c>
      <c r="DC1069" t="s">
        <v>111</v>
      </c>
    </row>
    <row r="1070" spans="1:107">
      <c r="A1070">
        <v>79</v>
      </c>
      <c r="B1070" t="s">
        <v>162</v>
      </c>
      <c r="C1070" t="s">
        <v>3217</v>
      </c>
      <c r="D1070" t="s">
        <v>3330</v>
      </c>
      <c r="E1070" t="s">
        <v>3331</v>
      </c>
      <c r="F1070" t="s">
        <v>157</v>
      </c>
      <c r="G1070" t="s">
        <v>416</v>
      </c>
      <c r="H1070">
        <v>3</v>
      </c>
      <c r="I1070">
        <v>9</v>
      </c>
      <c r="J1070">
        <v>0</v>
      </c>
      <c r="K1070">
        <v>0</v>
      </c>
      <c r="L1070" t="s">
        <v>112</v>
      </c>
      <c r="M1070" t="s">
        <v>138</v>
      </c>
      <c r="N1070">
        <v>0</v>
      </c>
      <c r="O1070">
        <v>0</v>
      </c>
      <c r="P1070" t="s">
        <v>138</v>
      </c>
      <c r="Q1070">
        <v>30</v>
      </c>
      <c r="R1070">
        <v>0</v>
      </c>
      <c r="S1070">
        <v>0</v>
      </c>
      <c r="T1070">
        <v>0</v>
      </c>
      <c r="U1070" t="s">
        <v>168</v>
      </c>
      <c r="V1070">
        <v>0</v>
      </c>
      <c r="W1070">
        <v>25</v>
      </c>
      <c r="X1070">
        <v>8</v>
      </c>
      <c r="Y1070">
        <v>0</v>
      </c>
      <c r="Z1070" t="s">
        <v>288</v>
      </c>
      <c r="AA1070">
        <v>1.65</v>
      </c>
      <c r="AB1070" t="s">
        <v>111</v>
      </c>
      <c r="AC1070">
        <v>0</v>
      </c>
      <c r="AD1070" t="s">
        <v>111</v>
      </c>
      <c r="AE1070">
        <v>0</v>
      </c>
      <c r="AF1070">
        <v>0</v>
      </c>
      <c r="AG1070" t="s">
        <v>111</v>
      </c>
      <c r="AH1070" t="s">
        <v>111</v>
      </c>
      <c r="AI1070" t="s">
        <v>111</v>
      </c>
      <c r="AJ1070" t="s">
        <v>111</v>
      </c>
      <c r="AK1070" t="s">
        <v>111</v>
      </c>
      <c r="AL1070" t="s">
        <v>111</v>
      </c>
      <c r="AM1070">
        <v>0</v>
      </c>
      <c r="AN1070">
        <v>0</v>
      </c>
      <c r="AO1070">
        <v>0</v>
      </c>
      <c r="AP1070" t="s">
        <v>111</v>
      </c>
      <c r="AQ1070" t="s">
        <v>111</v>
      </c>
      <c r="AR1070" t="s">
        <v>111</v>
      </c>
      <c r="AS1070" t="s">
        <v>111</v>
      </c>
      <c r="AT1070" t="s">
        <v>111</v>
      </c>
      <c r="AU1070" t="s">
        <v>111</v>
      </c>
      <c r="AV1070" t="s">
        <v>111</v>
      </c>
      <c r="AW1070" t="s">
        <v>111</v>
      </c>
      <c r="AX1070" t="s">
        <v>111</v>
      </c>
      <c r="AY1070" t="s">
        <v>111</v>
      </c>
      <c r="AZ1070" t="s">
        <v>111</v>
      </c>
      <c r="BA1070" t="s">
        <v>111</v>
      </c>
      <c r="BB1070" t="s">
        <v>111</v>
      </c>
      <c r="BC1070" t="s">
        <v>111</v>
      </c>
      <c r="BD1070" t="s">
        <v>111</v>
      </c>
      <c r="BE1070" t="s">
        <v>111</v>
      </c>
      <c r="BF1070" t="s">
        <v>111</v>
      </c>
      <c r="BG1070" t="s">
        <v>111</v>
      </c>
      <c r="BH1070" t="s">
        <v>111</v>
      </c>
      <c r="BI1070" t="s">
        <v>111</v>
      </c>
      <c r="BJ1070" t="s">
        <v>111</v>
      </c>
      <c r="BK1070" t="s">
        <v>111</v>
      </c>
      <c r="BL1070" t="s">
        <v>111</v>
      </c>
      <c r="BM1070" t="s">
        <v>111</v>
      </c>
      <c r="BN1070" t="s">
        <v>111</v>
      </c>
      <c r="BO1070" t="s">
        <v>111</v>
      </c>
      <c r="BP1070" t="s">
        <v>111</v>
      </c>
      <c r="BQ1070" t="s">
        <v>111</v>
      </c>
      <c r="BR1070" t="s">
        <v>111</v>
      </c>
      <c r="BS1070" t="s">
        <v>111</v>
      </c>
      <c r="BT1070" t="s">
        <v>111</v>
      </c>
      <c r="BU1070" t="s">
        <v>111</v>
      </c>
      <c r="BV1070" t="s">
        <v>111</v>
      </c>
      <c r="BW1070" t="s">
        <v>111</v>
      </c>
      <c r="BX1070" t="s">
        <v>111</v>
      </c>
      <c r="BY1070" t="s">
        <v>111</v>
      </c>
      <c r="BZ1070" t="s">
        <v>111</v>
      </c>
      <c r="CA1070" t="s">
        <v>111</v>
      </c>
      <c r="CB1070" t="s">
        <v>111</v>
      </c>
      <c r="CC1070" t="s">
        <v>111</v>
      </c>
      <c r="CD1070" t="s">
        <v>111</v>
      </c>
      <c r="CE1070" t="s">
        <v>111</v>
      </c>
      <c r="CF1070" t="s">
        <v>111</v>
      </c>
      <c r="CG1070" t="s">
        <v>111</v>
      </c>
      <c r="CH1070" t="s">
        <v>111</v>
      </c>
      <c r="CI1070" t="s">
        <v>111</v>
      </c>
      <c r="CJ1070" t="s">
        <v>111</v>
      </c>
      <c r="CK1070" t="s">
        <v>111</v>
      </c>
      <c r="CL1070" t="s">
        <v>111</v>
      </c>
      <c r="CM1070" t="s">
        <v>111</v>
      </c>
      <c r="CN1070" t="s">
        <v>111</v>
      </c>
      <c r="CO1070" t="s">
        <v>111</v>
      </c>
      <c r="CP1070" t="s">
        <v>111</v>
      </c>
      <c r="CQ1070">
        <v>0</v>
      </c>
      <c r="CR1070">
        <v>0</v>
      </c>
      <c r="CS1070">
        <v>0</v>
      </c>
      <c r="CT1070" t="s">
        <v>111</v>
      </c>
      <c r="CU1070">
        <v>0</v>
      </c>
      <c r="CV1070" t="s">
        <v>111</v>
      </c>
      <c r="CW1070" t="s">
        <v>111</v>
      </c>
      <c r="CX1070" t="s">
        <v>111</v>
      </c>
      <c r="CY1070">
        <v>0</v>
      </c>
      <c r="CZ1070" t="s">
        <v>111</v>
      </c>
      <c r="DA1070" t="s">
        <v>111</v>
      </c>
      <c r="DB1070" t="s">
        <v>111</v>
      </c>
      <c r="DC1070" t="s">
        <v>111</v>
      </c>
    </row>
    <row r="1071" spans="1:107">
      <c r="A1071">
        <v>54</v>
      </c>
      <c r="B1071" t="s">
        <v>162</v>
      </c>
      <c r="C1071" t="s">
        <v>223</v>
      </c>
      <c r="D1071" t="s">
        <v>3332</v>
      </c>
      <c r="E1071" t="s">
        <v>3333</v>
      </c>
      <c r="F1071" t="s">
        <v>370</v>
      </c>
      <c r="G1071" t="s">
        <v>416</v>
      </c>
      <c r="H1071">
        <v>2.5</v>
      </c>
      <c r="I1071">
        <v>60</v>
      </c>
      <c r="J1071">
        <v>0</v>
      </c>
      <c r="K1071">
        <v>0</v>
      </c>
      <c r="L1071" t="s">
        <v>112</v>
      </c>
      <c r="M1071" t="s">
        <v>118</v>
      </c>
      <c r="N1071">
        <v>40</v>
      </c>
      <c r="O1071">
        <v>2</v>
      </c>
      <c r="P1071" t="s">
        <v>138</v>
      </c>
      <c r="Q1071">
        <v>40</v>
      </c>
      <c r="R1071">
        <v>0</v>
      </c>
      <c r="S1071">
        <v>0</v>
      </c>
      <c r="T1071">
        <v>1</v>
      </c>
      <c r="U1071" s="1" t="s">
        <v>3334</v>
      </c>
      <c r="V1071">
        <v>25</v>
      </c>
      <c r="W1071">
        <v>0</v>
      </c>
      <c r="X1071">
        <v>10</v>
      </c>
      <c r="Y1071">
        <v>0</v>
      </c>
      <c r="Z1071" t="s">
        <v>288</v>
      </c>
      <c r="AA1071">
        <v>1.75</v>
      </c>
      <c r="AB1071" t="s">
        <v>327</v>
      </c>
      <c r="AC1071">
        <v>3</v>
      </c>
      <c r="AD1071" t="s">
        <v>416</v>
      </c>
      <c r="AE1071">
        <v>2</v>
      </c>
      <c r="AF1071">
        <v>2</v>
      </c>
      <c r="AG1071" t="s">
        <v>691</v>
      </c>
      <c r="AH1071" t="s">
        <v>111</v>
      </c>
      <c r="AI1071">
        <v>38</v>
      </c>
      <c r="AJ1071" t="s">
        <v>111</v>
      </c>
      <c r="AK1071" t="s">
        <v>111</v>
      </c>
      <c r="AL1071" t="s">
        <v>111</v>
      </c>
      <c r="AM1071">
        <v>0</v>
      </c>
      <c r="AN1071">
        <v>0</v>
      </c>
      <c r="AO1071">
        <v>0</v>
      </c>
      <c r="AP1071" t="s">
        <v>111</v>
      </c>
      <c r="AQ1071" t="s">
        <v>111</v>
      </c>
      <c r="AR1071" t="s">
        <v>111</v>
      </c>
      <c r="AS1071" t="s">
        <v>111</v>
      </c>
      <c r="AT1071" t="s">
        <v>366</v>
      </c>
      <c r="AU1071" t="s">
        <v>111</v>
      </c>
      <c r="AV1071" t="s">
        <v>111</v>
      </c>
      <c r="AW1071" t="s">
        <v>111</v>
      </c>
      <c r="AX1071" t="s">
        <v>271</v>
      </c>
      <c r="AY1071" t="s">
        <v>111</v>
      </c>
      <c r="AZ1071" t="s">
        <v>111</v>
      </c>
      <c r="BA1071" t="s">
        <v>111</v>
      </c>
      <c r="BB1071" t="s">
        <v>111</v>
      </c>
      <c r="BC1071" t="s">
        <v>111</v>
      </c>
      <c r="BD1071" t="s">
        <v>111</v>
      </c>
      <c r="BE1071" t="s">
        <v>111</v>
      </c>
      <c r="BF1071" t="s">
        <v>111</v>
      </c>
      <c r="BG1071" t="s">
        <v>111</v>
      </c>
      <c r="BH1071" t="s">
        <v>111</v>
      </c>
      <c r="BI1071" t="s">
        <v>111</v>
      </c>
      <c r="BJ1071" t="s">
        <v>111</v>
      </c>
      <c r="BK1071" t="s">
        <v>111</v>
      </c>
      <c r="BL1071" t="s">
        <v>111</v>
      </c>
      <c r="BM1071" t="s">
        <v>111</v>
      </c>
      <c r="BN1071" t="s">
        <v>111</v>
      </c>
      <c r="BO1071" t="s">
        <v>111</v>
      </c>
      <c r="BP1071" t="s">
        <v>111</v>
      </c>
      <c r="BQ1071" t="s">
        <v>111</v>
      </c>
      <c r="BR1071" t="s">
        <v>111</v>
      </c>
      <c r="BS1071" t="s">
        <v>111</v>
      </c>
      <c r="BT1071" t="s">
        <v>111</v>
      </c>
      <c r="BU1071" t="s">
        <v>111</v>
      </c>
      <c r="BV1071" t="s">
        <v>111</v>
      </c>
      <c r="BW1071" t="s">
        <v>111</v>
      </c>
      <c r="BX1071" t="s">
        <v>111</v>
      </c>
      <c r="BY1071" t="s">
        <v>111</v>
      </c>
      <c r="BZ1071" t="s">
        <v>111</v>
      </c>
      <c r="CA1071" t="s">
        <v>111</v>
      </c>
      <c r="CB1071" t="s">
        <v>111</v>
      </c>
      <c r="CC1071" t="s">
        <v>111</v>
      </c>
      <c r="CD1071" t="s">
        <v>111</v>
      </c>
      <c r="CE1071" t="s">
        <v>111</v>
      </c>
      <c r="CF1071" t="s">
        <v>111</v>
      </c>
      <c r="CG1071" t="s">
        <v>111</v>
      </c>
      <c r="CH1071" t="s">
        <v>111</v>
      </c>
      <c r="CI1071" t="s">
        <v>111</v>
      </c>
      <c r="CJ1071" t="s">
        <v>111</v>
      </c>
      <c r="CK1071" t="s">
        <v>111</v>
      </c>
      <c r="CL1071" t="s">
        <v>234</v>
      </c>
      <c r="CM1071" t="s">
        <v>111</v>
      </c>
      <c r="CN1071" t="s">
        <v>111</v>
      </c>
      <c r="CO1071" t="s">
        <v>111</v>
      </c>
      <c r="CP1071" t="s">
        <v>111</v>
      </c>
      <c r="CQ1071">
        <v>0</v>
      </c>
      <c r="CR1071">
        <v>200</v>
      </c>
      <c r="CS1071">
        <v>20</v>
      </c>
      <c r="CT1071" t="s">
        <v>1353</v>
      </c>
      <c r="CU1071">
        <v>0</v>
      </c>
      <c r="CV1071" t="s">
        <v>111</v>
      </c>
      <c r="CW1071" t="s">
        <v>111</v>
      </c>
      <c r="CX1071" t="s">
        <v>111</v>
      </c>
      <c r="CY1071">
        <v>0</v>
      </c>
      <c r="CZ1071" t="s">
        <v>111</v>
      </c>
      <c r="DA1071" t="s">
        <v>111</v>
      </c>
      <c r="DB1071" t="s">
        <v>204</v>
      </c>
      <c r="DC1071" s="1" t="s">
        <v>3032</v>
      </c>
    </row>
    <row r="1072" spans="1:107">
      <c r="A1072">
        <v>274</v>
      </c>
      <c r="B1072" t="s">
        <v>162</v>
      </c>
      <c r="C1072" t="s">
        <v>226</v>
      </c>
      <c r="D1072" t="s">
        <v>3335</v>
      </c>
      <c r="E1072" t="s">
        <v>3336</v>
      </c>
      <c r="F1072" t="s">
        <v>125</v>
      </c>
      <c r="G1072" t="s">
        <v>416</v>
      </c>
      <c r="H1072">
        <v>0.85</v>
      </c>
      <c r="I1072">
        <v>50</v>
      </c>
      <c r="J1072">
        <v>0</v>
      </c>
      <c r="K1072">
        <v>0</v>
      </c>
      <c r="L1072" t="s">
        <v>112</v>
      </c>
      <c r="M1072" t="s">
        <v>138</v>
      </c>
      <c r="N1072">
        <v>0</v>
      </c>
      <c r="O1072">
        <v>0</v>
      </c>
      <c r="P1072" t="s">
        <v>138</v>
      </c>
      <c r="Q1072">
        <v>35</v>
      </c>
      <c r="R1072">
        <v>0</v>
      </c>
      <c r="S1072">
        <v>0</v>
      </c>
      <c r="T1072">
        <v>0</v>
      </c>
      <c r="U1072" t="s">
        <v>168</v>
      </c>
      <c r="V1072">
        <v>25</v>
      </c>
      <c r="W1072">
        <v>0</v>
      </c>
      <c r="X1072">
        <v>8</v>
      </c>
      <c r="Y1072">
        <v>0</v>
      </c>
      <c r="Z1072" t="s">
        <v>111</v>
      </c>
      <c r="AA1072">
        <v>0</v>
      </c>
      <c r="AB1072" t="s">
        <v>111</v>
      </c>
      <c r="AC1072">
        <v>0</v>
      </c>
      <c r="AD1072" t="s">
        <v>111</v>
      </c>
      <c r="AE1072">
        <v>0</v>
      </c>
      <c r="AF1072">
        <v>0</v>
      </c>
      <c r="AG1072" t="s">
        <v>111</v>
      </c>
      <c r="AH1072" t="s">
        <v>111</v>
      </c>
      <c r="AI1072" t="s">
        <v>111</v>
      </c>
      <c r="AJ1072" t="s">
        <v>111</v>
      </c>
      <c r="AK1072" t="s">
        <v>111</v>
      </c>
      <c r="AL1072" t="s">
        <v>111</v>
      </c>
      <c r="AM1072">
        <v>0</v>
      </c>
      <c r="AN1072">
        <v>0</v>
      </c>
      <c r="AO1072">
        <v>0</v>
      </c>
      <c r="AP1072" t="s">
        <v>111</v>
      </c>
      <c r="AQ1072" t="s">
        <v>111</v>
      </c>
      <c r="AR1072" t="s">
        <v>111</v>
      </c>
      <c r="AS1072" t="s">
        <v>111</v>
      </c>
      <c r="AT1072" t="s">
        <v>111</v>
      </c>
      <c r="AU1072" t="s">
        <v>111</v>
      </c>
      <c r="AV1072" t="s">
        <v>111</v>
      </c>
      <c r="AW1072" t="s">
        <v>111</v>
      </c>
      <c r="AX1072" t="s">
        <v>111</v>
      </c>
      <c r="AY1072" t="s">
        <v>111</v>
      </c>
      <c r="AZ1072" t="s">
        <v>111</v>
      </c>
      <c r="BA1072" t="s">
        <v>111</v>
      </c>
      <c r="BB1072" t="s">
        <v>111</v>
      </c>
      <c r="BC1072" t="s">
        <v>111</v>
      </c>
      <c r="BD1072" t="s">
        <v>111</v>
      </c>
      <c r="BE1072" t="s">
        <v>111</v>
      </c>
      <c r="BF1072" t="s">
        <v>111</v>
      </c>
      <c r="BG1072" t="s">
        <v>111</v>
      </c>
      <c r="BH1072" t="s">
        <v>111</v>
      </c>
      <c r="BI1072" t="s">
        <v>111</v>
      </c>
      <c r="BJ1072" t="s">
        <v>111</v>
      </c>
      <c r="BK1072" t="s">
        <v>111</v>
      </c>
      <c r="BL1072" t="s">
        <v>111</v>
      </c>
      <c r="BM1072" t="s">
        <v>111</v>
      </c>
      <c r="BN1072" t="s">
        <v>111</v>
      </c>
      <c r="BO1072" t="s">
        <v>111</v>
      </c>
      <c r="BP1072" t="s">
        <v>111</v>
      </c>
      <c r="BQ1072" t="s">
        <v>111</v>
      </c>
      <c r="BR1072" t="s">
        <v>111</v>
      </c>
      <c r="BS1072" t="s">
        <v>111</v>
      </c>
      <c r="BT1072" t="s">
        <v>111</v>
      </c>
      <c r="BU1072" t="s">
        <v>111</v>
      </c>
      <c r="BV1072" t="s">
        <v>111</v>
      </c>
      <c r="BW1072" t="s">
        <v>111</v>
      </c>
      <c r="BX1072" t="s">
        <v>111</v>
      </c>
      <c r="BY1072" t="s">
        <v>111</v>
      </c>
      <c r="BZ1072" t="s">
        <v>111</v>
      </c>
      <c r="CA1072" t="s">
        <v>111</v>
      </c>
      <c r="CB1072" t="s">
        <v>111</v>
      </c>
      <c r="CC1072" t="s">
        <v>111</v>
      </c>
      <c r="CD1072" t="s">
        <v>111</v>
      </c>
      <c r="CE1072" t="s">
        <v>111</v>
      </c>
      <c r="CF1072" t="s">
        <v>111</v>
      </c>
      <c r="CG1072" t="s">
        <v>111</v>
      </c>
      <c r="CH1072" t="s">
        <v>111</v>
      </c>
      <c r="CI1072" t="s">
        <v>111</v>
      </c>
      <c r="CJ1072" t="s">
        <v>111</v>
      </c>
      <c r="CK1072" t="s">
        <v>111</v>
      </c>
      <c r="CL1072" t="s">
        <v>111</v>
      </c>
      <c r="CM1072" t="s">
        <v>198</v>
      </c>
      <c r="CN1072" t="s">
        <v>113</v>
      </c>
      <c r="CO1072" t="s">
        <v>111</v>
      </c>
      <c r="CP1072" t="s">
        <v>111</v>
      </c>
      <c r="CQ1072">
        <v>0</v>
      </c>
      <c r="CR1072">
        <v>0</v>
      </c>
      <c r="CS1072">
        <v>0</v>
      </c>
      <c r="CT1072" t="s">
        <v>168</v>
      </c>
      <c r="CU1072">
        <v>0</v>
      </c>
      <c r="CV1072" t="s">
        <v>111</v>
      </c>
      <c r="CW1072" t="s">
        <v>111</v>
      </c>
      <c r="CX1072" t="s">
        <v>111</v>
      </c>
      <c r="CY1072">
        <v>0</v>
      </c>
      <c r="CZ1072" t="s">
        <v>111</v>
      </c>
      <c r="DA1072" t="s">
        <v>111</v>
      </c>
      <c r="DB1072" t="s">
        <v>111</v>
      </c>
      <c r="DC1072" t="s">
        <v>111</v>
      </c>
    </row>
    <row r="1073" spans="1:107">
      <c r="A1073">
        <v>139</v>
      </c>
      <c r="B1073" t="s">
        <v>162</v>
      </c>
      <c r="C1073" t="s">
        <v>1176</v>
      </c>
      <c r="D1073" t="s">
        <v>3337</v>
      </c>
      <c r="E1073" t="s">
        <v>3338</v>
      </c>
      <c r="F1073" t="s">
        <v>192</v>
      </c>
      <c r="G1073" t="s">
        <v>416</v>
      </c>
      <c r="H1073">
        <v>2.5</v>
      </c>
      <c r="I1073">
        <v>90</v>
      </c>
      <c r="J1073">
        <v>7.5</v>
      </c>
      <c r="K1073">
        <v>7.5</v>
      </c>
      <c r="L1073" t="s">
        <v>112</v>
      </c>
      <c r="M1073" t="s">
        <v>138</v>
      </c>
      <c r="N1073">
        <v>0</v>
      </c>
      <c r="O1073">
        <v>0</v>
      </c>
      <c r="P1073" t="s">
        <v>138</v>
      </c>
      <c r="Q1073">
        <v>35</v>
      </c>
      <c r="R1073">
        <v>0</v>
      </c>
      <c r="S1073">
        <v>0</v>
      </c>
      <c r="T1073">
        <v>0</v>
      </c>
      <c r="U1073" t="s">
        <v>203</v>
      </c>
      <c r="V1073">
        <v>0</v>
      </c>
      <c r="W1073">
        <v>25</v>
      </c>
      <c r="X1073">
        <v>10</v>
      </c>
      <c r="Y1073">
        <v>0</v>
      </c>
      <c r="Z1073" t="s">
        <v>111</v>
      </c>
      <c r="AA1073">
        <v>0</v>
      </c>
      <c r="AB1073" t="s">
        <v>111</v>
      </c>
      <c r="AC1073">
        <v>0</v>
      </c>
      <c r="AD1073" t="s">
        <v>111</v>
      </c>
      <c r="AE1073">
        <v>0</v>
      </c>
      <c r="AF1073">
        <v>0</v>
      </c>
      <c r="AG1073" t="s">
        <v>111</v>
      </c>
      <c r="AH1073" t="s">
        <v>111</v>
      </c>
      <c r="AI1073" t="s">
        <v>111</v>
      </c>
      <c r="AJ1073" t="s">
        <v>111</v>
      </c>
      <c r="AK1073" t="s">
        <v>111</v>
      </c>
      <c r="AL1073" t="s">
        <v>111</v>
      </c>
      <c r="AM1073">
        <v>0</v>
      </c>
      <c r="AN1073">
        <v>0</v>
      </c>
      <c r="AO1073">
        <v>0</v>
      </c>
      <c r="AP1073" t="s">
        <v>111</v>
      </c>
      <c r="AQ1073" t="s">
        <v>111</v>
      </c>
      <c r="AR1073" t="s">
        <v>111</v>
      </c>
      <c r="AS1073" t="s">
        <v>111</v>
      </c>
      <c r="AT1073" t="s">
        <v>111</v>
      </c>
      <c r="AU1073" t="s">
        <v>111</v>
      </c>
      <c r="AV1073" t="s">
        <v>111</v>
      </c>
      <c r="AW1073" t="s">
        <v>111</v>
      </c>
      <c r="AX1073" t="s">
        <v>111</v>
      </c>
      <c r="AY1073" t="s">
        <v>111</v>
      </c>
      <c r="AZ1073" t="s">
        <v>111</v>
      </c>
      <c r="BA1073" t="s">
        <v>111</v>
      </c>
      <c r="BB1073" t="s">
        <v>111</v>
      </c>
      <c r="BC1073" t="s">
        <v>111</v>
      </c>
      <c r="BD1073" t="s">
        <v>111</v>
      </c>
      <c r="BE1073" t="s">
        <v>111</v>
      </c>
      <c r="BF1073" t="s">
        <v>111</v>
      </c>
      <c r="BG1073" t="s">
        <v>111</v>
      </c>
      <c r="BH1073" t="s">
        <v>111</v>
      </c>
      <c r="BI1073" t="s">
        <v>111</v>
      </c>
      <c r="BJ1073" t="s">
        <v>111</v>
      </c>
      <c r="BK1073" t="s">
        <v>111</v>
      </c>
      <c r="BL1073" t="s">
        <v>111</v>
      </c>
      <c r="BM1073" t="s">
        <v>111</v>
      </c>
      <c r="BN1073" t="s">
        <v>111</v>
      </c>
      <c r="BO1073" t="s">
        <v>111</v>
      </c>
      <c r="BP1073" t="s">
        <v>111</v>
      </c>
      <c r="BQ1073" t="s">
        <v>111</v>
      </c>
      <c r="BR1073" t="s">
        <v>111</v>
      </c>
      <c r="BS1073" t="s">
        <v>111</v>
      </c>
      <c r="BT1073" t="s">
        <v>111</v>
      </c>
      <c r="BU1073" t="s">
        <v>111</v>
      </c>
      <c r="BV1073" t="s">
        <v>111</v>
      </c>
      <c r="BW1073" t="s">
        <v>111</v>
      </c>
      <c r="BX1073" t="s">
        <v>111</v>
      </c>
      <c r="BY1073" t="s">
        <v>111</v>
      </c>
      <c r="BZ1073" t="s">
        <v>111</v>
      </c>
      <c r="CA1073" t="s">
        <v>111</v>
      </c>
      <c r="CB1073" t="s">
        <v>111</v>
      </c>
      <c r="CC1073" t="s">
        <v>111</v>
      </c>
      <c r="CD1073" t="s">
        <v>111</v>
      </c>
      <c r="CE1073" t="s">
        <v>111</v>
      </c>
      <c r="CF1073" t="s">
        <v>111</v>
      </c>
      <c r="CG1073" t="s">
        <v>111</v>
      </c>
      <c r="CH1073" t="s">
        <v>111</v>
      </c>
      <c r="CI1073" t="s">
        <v>111</v>
      </c>
      <c r="CJ1073" t="s">
        <v>111</v>
      </c>
      <c r="CK1073" t="s">
        <v>111</v>
      </c>
      <c r="CL1073" t="s">
        <v>111</v>
      </c>
      <c r="CM1073" t="s">
        <v>111</v>
      </c>
      <c r="CN1073" t="s">
        <v>111</v>
      </c>
      <c r="CO1073" t="s">
        <v>111</v>
      </c>
      <c r="CP1073" t="s">
        <v>111</v>
      </c>
      <c r="CQ1073">
        <v>0</v>
      </c>
      <c r="CR1073">
        <v>0</v>
      </c>
      <c r="CS1073">
        <v>0</v>
      </c>
      <c r="CT1073" t="s">
        <v>203</v>
      </c>
      <c r="CU1073">
        <v>0</v>
      </c>
      <c r="CV1073" t="s">
        <v>111</v>
      </c>
      <c r="CW1073" t="s">
        <v>111</v>
      </c>
      <c r="CX1073" t="s">
        <v>111</v>
      </c>
      <c r="CY1073">
        <v>0</v>
      </c>
      <c r="CZ1073" t="s">
        <v>111</v>
      </c>
      <c r="DA1073" t="s">
        <v>111</v>
      </c>
      <c r="DB1073" t="s">
        <v>204</v>
      </c>
      <c r="DC1073" s="1" t="s">
        <v>3278</v>
      </c>
    </row>
    <row r="1074" spans="1:107">
      <c r="A1074">
        <v>161</v>
      </c>
      <c r="B1074" t="s">
        <v>162</v>
      </c>
      <c r="C1074" t="s">
        <v>2991</v>
      </c>
      <c r="D1074" t="s">
        <v>2992</v>
      </c>
      <c r="E1074" t="s">
        <v>1134</v>
      </c>
      <c r="F1074" t="s">
        <v>561</v>
      </c>
      <c r="G1074" t="s">
        <v>416</v>
      </c>
      <c r="H1074">
        <v>2.5</v>
      </c>
      <c r="I1074">
        <v>45</v>
      </c>
      <c r="J1074">
        <v>0</v>
      </c>
      <c r="K1074">
        <v>0</v>
      </c>
      <c r="L1074" t="s">
        <v>112</v>
      </c>
      <c r="M1074" t="s">
        <v>118</v>
      </c>
      <c r="N1074">
        <v>40</v>
      </c>
      <c r="O1074">
        <v>2</v>
      </c>
      <c r="P1074" t="s">
        <v>138</v>
      </c>
      <c r="Q1074">
        <v>40</v>
      </c>
      <c r="R1074">
        <v>0</v>
      </c>
      <c r="S1074">
        <v>0</v>
      </c>
      <c r="T1074">
        <v>0</v>
      </c>
      <c r="U1074" t="s">
        <v>1353</v>
      </c>
      <c r="V1074">
        <v>25</v>
      </c>
      <c r="W1074">
        <v>0</v>
      </c>
      <c r="X1074">
        <v>8</v>
      </c>
      <c r="Y1074">
        <v>0</v>
      </c>
      <c r="Z1074" t="s">
        <v>1091</v>
      </c>
      <c r="AA1074">
        <v>1.65</v>
      </c>
      <c r="AB1074" t="s">
        <v>111</v>
      </c>
      <c r="AC1074">
        <v>0</v>
      </c>
      <c r="AD1074" t="s">
        <v>416</v>
      </c>
      <c r="AE1074">
        <v>0</v>
      </c>
      <c r="AF1074">
        <v>0</v>
      </c>
      <c r="AG1074">
        <v>40</v>
      </c>
      <c r="AH1074" t="s">
        <v>111</v>
      </c>
      <c r="AI1074">
        <v>40</v>
      </c>
      <c r="AJ1074" t="s">
        <v>111</v>
      </c>
      <c r="AK1074" t="s">
        <v>111</v>
      </c>
      <c r="AL1074" t="s">
        <v>111</v>
      </c>
      <c r="AM1074">
        <v>0</v>
      </c>
      <c r="AN1074">
        <v>0</v>
      </c>
      <c r="AO1074">
        <v>0</v>
      </c>
      <c r="AP1074" t="s">
        <v>111</v>
      </c>
      <c r="AQ1074" t="s">
        <v>111</v>
      </c>
      <c r="AR1074" t="s">
        <v>111</v>
      </c>
      <c r="AS1074" t="s">
        <v>111</v>
      </c>
      <c r="AT1074" t="s">
        <v>111</v>
      </c>
      <c r="AU1074" t="s">
        <v>111</v>
      </c>
      <c r="AV1074" t="s">
        <v>111</v>
      </c>
      <c r="AW1074" t="s">
        <v>111</v>
      </c>
      <c r="AX1074" t="s">
        <v>111</v>
      </c>
      <c r="AY1074" t="s">
        <v>111</v>
      </c>
      <c r="AZ1074" t="s">
        <v>111</v>
      </c>
      <c r="BA1074" t="s">
        <v>111</v>
      </c>
      <c r="BB1074" t="s">
        <v>111</v>
      </c>
      <c r="BC1074" t="s">
        <v>111</v>
      </c>
      <c r="BD1074" t="s">
        <v>111</v>
      </c>
      <c r="BE1074" t="s">
        <v>111</v>
      </c>
      <c r="BF1074" t="s">
        <v>111</v>
      </c>
      <c r="BG1074" t="s">
        <v>111</v>
      </c>
      <c r="BH1074" t="s">
        <v>111</v>
      </c>
      <c r="BI1074" t="s">
        <v>111</v>
      </c>
      <c r="BJ1074" t="s">
        <v>111</v>
      </c>
      <c r="BK1074" t="s">
        <v>111</v>
      </c>
      <c r="BL1074" t="s">
        <v>111</v>
      </c>
      <c r="BM1074" t="s">
        <v>111</v>
      </c>
      <c r="BN1074" t="s">
        <v>111</v>
      </c>
      <c r="BO1074" t="s">
        <v>111</v>
      </c>
      <c r="BP1074" t="s">
        <v>111</v>
      </c>
      <c r="BQ1074" t="s">
        <v>111</v>
      </c>
      <c r="BR1074" t="s">
        <v>111</v>
      </c>
      <c r="BS1074" t="s">
        <v>111</v>
      </c>
      <c r="BT1074" t="s">
        <v>111</v>
      </c>
      <c r="BU1074" t="s">
        <v>111</v>
      </c>
      <c r="BV1074" t="s">
        <v>111</v>
      </c>
      <c r="BW1074" t="s">
        <v>111</v>
      </c>
      <c r="BX1074" t="s">
        <v>111</v>
      </c>
      <c r="BY1074" t="s">
        <v>111</v>
      </c>
      <c r="BZ1074" t="s">
        <v>111</v>
      </c>
      <c r="CA1074" t="s">
        <v>111</v>
      </c>
      <c r="CB1074" t="s">
        <v>111</v>
      </c>
      <c r="CC1074" t="s">
        <v>111</v>
      </c>
      <c r="CD1074" t="s">
        <v>111</v>
      </c>
      <c r="CE1074" t="s">
        <v>111</v>
      </c>
      <c r="CF1074" t="s">
        <v>111</v>
      </c>
      <c r="CG1074" t="s">
        <v>111</v>
      </c>
      <c r="CH1074" t="s">
        <v>111</v>
      </c>
      <c r="CI1074" t="s">
        <v>111</v>
      </c>
      <c r="CJ1074" t="s">
        <v>111</v>
      </c>
      <c r="CK1074" t="s">
        <v>111</v>
      </c>
      <c r="CL1074" s="1" t="s">
        <v>2994</v>
      </c>
      <c r="CM1074" t="s">
        <v>198</v>
      </c>
      <c r="CN1074" t="s">
        <v>113</v>
      </c>
      <c r="CO1074" t="s">
        <v>111</v>
      </c>
      <c r="CP1074" t="s">
        <v>433</v>
      </c>
      <c r="CQ1074">
        <v>0</v>
      </c>
      <c r="CR1074">
        <v>0</v>
      </c>
      <c r="CS1074">
        <v>0</v>
      </c>
      <c r="CT1074" t="s">
        <v>419</v>
      </c>
      <c r="CU1074">
        <v>0</v>
      </c>
      <c r="CV1074" t="s">
        <v>111</v>
      </c>
      <c r="CW1074" t="s">
        <v>111</v>
      </c>
      <c r="CX1074" t="s">
        <v>111</v>
      </c>
      <c r="CY1074">
        <v>0</v>
      </c>
      <c r="CZ1074" t="s">
        <v>111</v>
      </c>
      <c r="DA1074" t="s">
        <v>111</v>
      </c>
      <c r="DB1074" t="s">
        <v>240</v>
      </c>
      <c r="DC1074" s="1" t="s">
        <v>3018</v>
      </c>
    </row>
    <row r="1075" spans="1:107">
      <c r="A1075">
        <v>1218</v>
      </c>
      <c r="B1075" t="s">
        <v>107</v>
      </c>
      <c r="C1075" t="s">
        <v>3339</v>
      </c>
      <c r="D1075" t="s">
        <v>1133</v>
      </c>
      <c r="E1075" t="s">
        <v>2993</v>
      </c>
      <c r="F1075" t="s">
        <v>1135</v>
      </c>
      <c r="G1075" t="s">
        <v>416</v>
      </c>
      <c r="H1075">
        <v>2.4</v>
      </c>
      <c r="I1075">
        <v>45</v>
      </c>
      <c r="J1075">
        <v>0</v>
      </c>
      <c r="K1075">
        <v>0</v>
      </c>
      <c r="L1075" t="s">
        <v>112</v>
      </c>
      <c r="M1075" t="s">
        <v>118</v>
      </c>
      <c r="N1075">
        <v>39</v>
      </c>
      <c r="O1075">
        <v>2</v>
      </c>
      <c r="P1075" t="s">
        <v>111</v>
      </c>
      <c r="Q1075">
        <v>30</v>
      </c>
      <c r="R1075">
        <v>0</v>
      </c>
      <c r="S1075">
        <v>0</v>
      </c>
      <c r="T1075">
        <v>5</v>
      </c>
      <c r="U1075" t="e">
        <f>-IMPRESION DAARMA</f>
        <v>#NAME?</v>
      </c>
      <c r="V1075">
        <v>25</v>
      </c>
      <c r="W1075">
        <v>0</v>
      </c>
      <c r="X1075">
        <v>8</v>
      </c>
      <c r="Y1075">
        <v>0</v>
      </c>
      <c r="Z1075" t="s">
        <v>1091</v>
      </c>
      <c r="AA1075">
        <v>1.3</v>
      </c>
      <c r="AB1075" t="s">
        <v>111</v>
      </c>
      <c r="AC1075">
        <v>0</v>
      </c>
      <c r="AD1075" t="s">
        <v>416</v>
      </c>
      <c r="AE1075">
        <v>0</v>
      </c>
      <c r="AF1075">
        <v>0</v>
      </c>
      <c r="AG1075" t="s">
        <v>111</v>
      </c>
      <c r="AH1075" t="s">
        <v>113</v>
      </c>
      <c r="AI1075" t="s">
        <v>111</v>
      </c>
      <c r="AJ1075" t="s">
        <v>111</v>
      </c>
      <c r="AK1075" t="s">
        <v>111</v>
      </c>
      <c r="AL1075" t="s">
        <v>111</v>
      </c>
      <c r="AM1075">
        <v>0</v>
      </c>
      <c r="AN1075">
        <v>0</v>
      </c>
      <c r="AO1075">
        <v>0</v>
      </c>
      <c r="AP1075" t="s">
        <v>111</v>
      </c>
      <c r="AQ1075" t="s">
        <v>111</v>
      </c>
      <c r="AR1075" t="s">
        <v>111</v>
      </c>
      <c r="AS1075" t="s">
        <v>111</v>
      </c>
      <c r="AT1075" t="s">
        <v>111</v>
      </c>
      <c r="AU1075" t="s">
        <v>111</v>
      </c>
      <c r="AV1075" t="s">
        <v>111</v>
      </c>
      <c r="AW1075" t="s">
        <v>111</v>
      </c>
      <c r="AX1075" t="s">
        <v>111</v>
      </c>
      <c r="AY1075" t="s">
        <v>111</v>
      </c>
      <c r="AZ1075" t="s">
        <v>111</v>
      </c>
      <c r="BA1075" t="s">
        <v>111</v>
      </c>
      <c r="BB1075" t="s">
        <v>111</v>
      </c>
      <c r="BC1075" t="s">
        <v>111</v>
      </c>
      <c r="BD1075" t="s">
        <v>111</v>
      </c>
      <c r="BE1075" t="s">
        <v>111</v>
      </c>
      <c r="BF1075" t="s">
        <v>111</v>
      </c>
      <c r="BG1075" t="s">
        <v>111</v>
      </c>
      <c r="BH1075" t="s">
        <v>111</v>
      </c>
      <c r="BI1075" t="s">
        <v>111</v>
      </c>
      <c r="BJ1075" t="s">
        <v>111</v>
      </c>
      <c r="BK1075" t="s">
        <v>111</v>
      </c>
      <c r="BL1075" t="s">
        <v>111</v>
      </c>
      <c r="BM1075" t="s">
        <v>111</v>
      </c>
      <c r="BN1075" t="s">
        <v>111</v>
      </c>
      <c r="BO1075" t="s">
        <v>111</v>
      </c>
      <c r="BP1075" t="s">
        <v>111</v>
      </c>
      <c r="BQ1075" t="s">
        <v>111</v>
      </c>
      <c r="BR1075" t="s">
        <v>111</v>
      </c>
      <c r="BS1075" t="s">
        <v>111</v>
      </c>
      <c r="BT1075" t="s">
        <v>111</v>
      </c>
      <c r="BU1075" t="s">
        <v>111</v>
      </c>
      <c r="BV1075" t="s">
        <v>111</v>
      </c>
      <c r="BW1075" t="s">
        <v>111</v>
      </c>
      <c r="BX1075" t="s">
        <v>111</v>
      </c>
      <c r="BY1075" t="s">
        <v>111</v>
      </c>
      <c r="BZ1075" t="s">
        <v>111</v>
      </c>
      <c r="CA1075" t="s">
        <v>111</v>
      </c>
      <c r="CB1075" t="s">
        <v>111</v>
      </c>
      <c r="CC1075" t="s">
        <v>111</v>
      </c>
      <c r="CD1075" t="s">
        <v>111</v>
      </c>
      <c r="CE1075" t="s">
        <v>111</v>
      </c>
      <c r="CF1075" t="s">
        <v>111</v>
      </c>
      <c r="CG1075" t="s">
        <v>111</v>
      </c>
      <c r="CH1075" t="s">
        <v>111</v>
      </c>
      <c r="CI1075" t="s">
        <v>111</v>
      </c>
      <c r="CJ1075" t="s">
        <v>111</v>
      </c>
      <c r="CK1075" t="s">
        <v>111</v>
      </c>
      <c r="CL1075" t="e">
        <f>-DESTINNO SELLADO</f>
        <v>#NAME?</v>
      </c>
      <c r="CM1075" t="s">
        <v>135</v>
      </c>
      <c r="CN1075" t="s">
        <v>111</v>
      </c>
      <c r="CO1075" t="s">
        <v>111</v>
      </c>
      <c r="CP1075" t="s">
        <v>111</v>
      </c>
      <c r="CQ1075">
        <v>40</v>
      </c>
      <c r="CR1075">
        <v>3000</v>
      </c>
      <c r="CS1075">
        <v>100</v>
      </c>
      <c r="CT1075" t="e">
        <f>-MANIJA FLEXIBLE PLTA</f>
        <v>#NAME?</v>
      </c>
      <c r="CU1075">
        <v>0</v>
      </c>
      <c r="CV1075" t="s">
        <v>111</v>
      </c>
      <c r="CW1075" t="s">
        <v>111</v>
      </c>
      <c r="CX1075" t="s">
        <v>111</v>
      </c>
      <c r="CY1075">
        <v>0</v>
      </c>
      <c r="CZ1075" t="s">
        <v>111</v>
      </c>
      <c r="DA1075" t="s">
        <v>111</v>
      </c>
      <c r="DB1075" t="e">
        <f>-INTERNO</f>
        <v>#NAME?</v>
      </c>
      <c r="DC1075" t="s">
        <v>3340</v>
      </c>
    </row>
    <row r="1076" spans="1:107">
      <c r="A1076">
        <v>162</v>
      </c>
      <c r="B1076" t="s">
        <v>162</v>
      </c>
      <c r="C1076" t="s">
        <v>2991</v>
      </c>
      <c r="D1076" t="s">
        <v>2992</v>
      </c>
      <c r="E1076" t="s">
        <v>3017</v>
      </c>
      <c r="F1076" t="s">
        <v>561</v>
      </c>
      <c r="G1076" t="s">
        <v>416</v>
      </c>
      <c r="H1076">
        <v>2.5</v>
      </c>
      <c r="I1076">
        <v>45</v>
      </c>
      <c r="J1076">
        <v>0</v>
      </c>
      <c r="K1076">
        <v>0</v>
      </c>
      <c r="L1076" t="s">
        <v>112</v>
      </c>
      <c r="M1076" t="s">
        <v>118</v>
      </c>
      <c r="N1076">
        <v>40</v>
      </c>
      <c r="O1076">
        <v>2</v>
      </c>
      <c r="P1076" t="s">
        <v>138</v>
      </c>
      <c r="Q1076">
        <v>40</v>
      </c>
      <c r="R1076">
        <v>0</v>
      </c>
      <c r="S1076">
        <v>0</v>
      </c>
      <c r="T1076">
        <v>0</v>
      </c>
      <c r="U1076" t="s">
        <v>1353</v>
      </c>
      <c r="V1076">
        <v>25</v>
      </c>
      <c r="W1076">
        <v>0</v>
      </c>
      <c r="X1076">
        <v>8</v>
      </c>
      <c r="Y1076">
        <v>0</v>
      </c>
      <c r="Z1076" t="s">
        <v>1091</v>
      </c>
      <c r="AA1076">
        <v>1.65</v>
      </c>
      <c r="AB1076" t="s">
        <v>111</v>
      </c>
      <c r="AC1076">
        <v>0</v>
      </c>
      <c r="AD1076" t="s">
        <v>416</v>
      </c>
      <c r="AE1076">
        <v>0</v>
      </c>
      <c r="AF1076">
        <v>0</v>
      </c>
      <c r="AG1076">
        <v>40</v>
      </c>
      <c r="AH1076" t="s">
        <v>111</v>
      </c>
      <c r="AI1076">
        <v>40</v>
      </c>
      <c r="AJ1076" t="s">
        <v>111</v>
      </c>
      <c r="AK1076" t="s">
        <v>111</v>
      </c>
      <c r="AL1076" t="s">
        <v>111</v>
      </c>
      <c r="AM1076">
        <v>0</v>
      </c>
      <c r="AN1076">
        <v>0</v>
      </c>
      <c r="AO1076">
        <v>0</v>
      </c>
      <c r="AP1076" t="s">
        <v>111</v>
      </c>
      <c r="AQ1076" t="s">
        <v>111</v>
      </c>
      <c r="AR1076" t="s">
        <v>111</v>
      </c>
      <c r="AS1076" t="s">
        <v>111</v>
      </c>
      <c r="AT1076" t="s">
        <v>111</v>
      </c>
      <c r="AU1076" t="s">
        <v>111</v>
      </c>
      <c r="AV1076" t="s">
        <v>111</v>
      </c>
      <c r="AW1076" t="s">
        <v>111</v>
      </c>
      <c r="AX1076" t="s">
        <v>111</v>
      </c>
      <c r="AY1076" t="s">
        <v>111</v>
      </c>
      <c r="AZ1076" t="s">
        <v>111</v>
      </c>
      <c r="BA1076" t="s">
        <v>111</v>
      </c>
      <c r="BB1076" t="s">
        <v>111</v>
      </c>
      <c r="BC1076" t="s">
        <v>111</v>
      </c>
      <c r="BD1076" t="s">
        <v>111</v>
      </c>
      <c r="BE1076" t="s">
        <v>111</v>
      </c>
      <c r="BF1076" t="s">
        <v>111</v>
      </c>
      <c r="BG1076" t="s">
        <v>111</v>
      </c>
      <c r="BH1076" t="s">
        <v>111</v>
      </c>
      <c r="BI1076" t="s">
        <v>111</v>
      </c>
      <c r="BJ1076" t="s">
        <v>111</v>
      </c>
      <c r="BK1076" t="s">
        <v>111</v>
      </c>
      <c r="BL1076" t="s">
        <v>111</v>
      </c>
      <c r="BM1076" t="s">
        <v>111</v>
      </c>
      <c r="BN1076" t="s">
        <v>111</v>
      </c>
      <c r="BO1076" t="s">
        <v>111</v>
      </c>
      <c r="BP1076" t="s">
        <v>111</v>
      </c>
      <c r="BQ1076" t="s">
        <v>111</v>
      </c>
      <c r="BR1076" t="s">
        <v>111</v>
      </c>
      <c r="BS1076" t="s">
        <v>111</v>
      </c>
      <c r="BT1076" t="s">
        <v>111</v>
      </c>
      <c r="BU1076" t="s">
        <v>111</v>
      </c>
      <c r="BV1076" t="s">
        <v>111</v>
      </c>
      <c r="BW1076" t="s">
        <v>111</v>
      </c>
      <c r="BX1076" t="s">
        <v>111</v>
      </c>
      <c r="BY1076" t="s">
        <v>111</v>
      </c>
      <c r="BZ1076" t="s">
        <v>111</v>
      </c>
      <c r="CA1076" t="s">
        <v>111</v>
      </c>
      <c r="CB1076" t="s">
        <v>111</v>
      </c>
      <c r="CC1076" t="s">
        <v>111</v>
      </c>
      <c r="CD1076" t="s">
        <v>111</v>
      </c>
      <c r="CE1076" t="s">
        <v>111</v>
      </c>
      <c r="CF1076" t="s">
        <v>111</v>
      </c>
      <c r="CG1076" t="s">
        <v>111</v>
      </c>
      <c r="CH1076" t="s">
        <v>111</v>
      </c>
      <c r="CI1076" t="s">
        <v>111</v>
      </c>
      <c r="CJ1076" t="s">
        <v>111</v>
      </c>
      <c r="CK1076" t="s">
        <v>111</v>
      </c>
      <c r="CL1076" s="1" t="s">
        <v>2994</v>
      </c>
      <c r="CM1076" t="s">
        <v>198</v>
      </c>
      <c r="CN1076" t="s">
        <v>113</v>
      </c>
      <c r="CO1076" t="s">
        <v>111</v>
      </c>
      <c r="CP1076" t="s">
        <v>433</v>
      </c>
      <c r="CQ1076">
        <v>0</v>
      </c>
      <c r="CR1076">
        <v>0</v>
      </c>
      <c r="CS1076">
        <v>0</v>
      </c>
      <c r="CT1076" t="s">
        <v>419</v>
      </c>
      <c r="CU1076">
        <v>0</v>
      </c>
      <c r="CV1076" t="s">
        <v>111</v>
      </c>
      <c r="CW1076" t="s">
        <v>111</v>
      </c>
      <c r="CX1076" t="s">
        <v>111</v>
      </c>
      <c r="CY1076">
        <v>0</v>
      </c>
      <c r="CZ1076" t="s">
        <v>111</v>
      </c>
      <c r="DA1076" t="s">
        <v>111</v>
      </c>
      <c r="DB1076" t="s">
        <v>240</v>
      </c>
      <c r="DC1076" s="1" t="s">
        <v>3018</v>
      </c>
    </row>
    <row r="1077" spans="1:107">
      <c r="A1077">
        <v>261</v>
      </c>
      <c r="B1077" t="s">
        <v>162</v>
      </c>
      <c r="C1077" s="2">
        <v>43827301</v>
      </c>
      <c r="D1077" t="s">
        <v>3341</v>
      </c>
      <c r="E1077" t="s">
        <v>3342</v>
      </c>
      <c r="F1077" t="s">
        <v>431</v>
      </c>
      <c r="G1077" t="s">
        <v>416</v>
      </c>
      <c r="H1077">
        <v>3</v>
      </c>
      <c r="I1077">
        <v>39</v>
      </c>
      <c r="J1077">
        <v>0</v>
      </c>
      <c r="K1077">
        <v>0</v>
      </c>
      <c r="L1077" t="s">
        <v>112</v>
      </c>
      <c r="M1077" t="s">
        <v>118</v>
      </c>
      <c r="N1077">
        <v>40</v>
      </c>
      <c r="O1077">
        <v>2</v>
      </c>
      <c r="P1077" t="s">
        <v>138</v>
      </c>
      <c r="Q1077">
        <v>30</v>
      </c>
      <c r="R1077">
        <v>0</v>
      </c>
      <c r="S1077">
        <v>0</v>
      </c>
      <c r="T1077">
        <v>0</v>
      </c>
      <c r="U1077" t="s">
        <v>1353</v>
      </c>
      <c r="V1077">
        <v>0</v>
      </c>
      <c r="W1077">
        <v>25</v>
      </c>
      <c r="X1077">
        <v>10</v>
      </c>
      <c r="Y1077">
        <v>0</v>
      </c>
      <c r="Z1077" t="s">
        <v>3343</v>
      </c>
      <c r="AA1077">
        <v>1.75</v>
      </c>
      <c r="AB1077" t="s">
        <v>111</v>
      </c>
      <c r="AC1077">
        <v>0</v>
      </c>
      <c r="AD1077" t="s">
        <v>416</v>
      </c>
      <c r="AE1077">
        <v>1</v>
      </c>
      <c r="AF1077">
        <v>2</v>
      </c>
      <c r="AG1077">
        <v>38</v>
      </c>
      <c r="AH1077" t="s">
        <v>111</v>
      </c>
      <c r="AI1077">
        <v>38</v>
      </c>
      <c r="AJ1077" t="s">
        <v>111</v>
      </c>
      <c r="AK1077" t="s">
        <v>111</v>
      </c>
      <c r="AL1077" t="s">
        <v>111</v>
      </c>
      <c r="AM1077">
        <v>0</v>
      </c>
      <c r="AN1077">
        <v>0</v>
      </c>
      <c r="AO1077">
        <v>0</v>
      </c>
      <c r="AP1077" t="s">
        <v>111</v>
      </c>
      <c r="AQ1077" t="s">
        <v>111</v>
      </c>
      <c r="AR1077" t="s">
        <v>111</v>
      </c>
      <c r="AS1077" t="s">
        <v>111</v>
      </c>
      <c r="AT1077" t="s">
        <v>111</v>
      </c>
      <c r="AU1077" t="s">
        <v>111</v>
      </c>
      <c r="AV1077" t="s">
        <v>111</v>
      </c>
      <c r="AW1077" t="s">
        <v>111</v>
      </c>
      <c r="AX1077" t="s">
        <v>111</v>
      </c>
      <c r="AY1077" t="s">
        <v>111</v>
      </c>
      <c r="AZ1077" t="s">
        <v>111</v>
      </c>
      <c r="BA1077" t="s">
        <v>111</v>
      </c>
      <c r="BB1077" t="s">
        <v>111</v>
      </c>
      <c r="BC1077" t="s">
        <v>111</v>
      </c>
      <c r="BD1077" t="s">
        <v>111</v>
      </c>
      <c r="BE1077" t="s">
        <v>111</v>
      </c>
      <c r="BF1077" t="s">
        <v>111</v>
      </c>
      <c r="BG1077" t="s">
        <v>111</v>
      </c>
      <c r="BH1077" t="s">
        <v>111</v>
      </c>
      <c r="BI1077" t="s">
        <v>111</v>
      </c>
      <c r="BJ1077" t="s">
        <v>111</v>
      </c>
      <c r="BK1077" t="s">
        <v>111</v>
      </c>
      <c r="BL1077" t="s">
        <v>111</v>
      </c>
      <c r="BM1077" t="s">
        <v>111</v>
      </c>
      <c r="BN1077" t="s">
        <v>111</v>
      </c>
      <c r="BO1077" t="s">
        <v>111</v>
      </c>
      <c r="BP1077" t="s">
        <v>111</v>
      </c>
      <c r="BQ1077" t="s">
        <v>111</v>
      </c>
      <c r="BR1077" t="s">
        <v>111</v>
      </c>
      <c r="BS1077" t="s">
        <v>111</v>
      </c>
      <c r="BT1077" t="s">
        <v>111</v>
      </c>
      <c r="BU1077" t="s">
        <v>111</v>
      </c>
      <c r="BV1077" t="s">
        <v>111</v>
      </c>
      <c r="BW1077" t="s">
        <v>111</v>
      </c>
      <c r="BX1077" t="s">
        <v>111</v>
      </c>
      <c r="BY1077" t="s">
        <v>111</v>
      </c>
      <c r="BZ1077" t="s">
        <v>111</v>
      </c>
      <c r="CA1077" t="s">
        <v>111</v>
      </c>
      <c r="CB1077" t="s">
        <v>111</v>
      </c>
      <c r="CC1077" t="s">
        <v>111</v>
      </c>
      <c r="CD1077" t="s">
        <v>111</v>
      </c>
      <c r="CE1077" t="s">
        <v>111</v>
      </c>
      <c r="CF1077" t="s">
        <v>111</v>
      </c>
      <c r="CG1077" t="s">
        <v>111</v>
      </c>
      <c r="CH1077" t="s">
        <v>111</v>
      </c>
      <c r="CI1077" t="s">
        <v>111</v>
      </c>
      <c r="CJ1077" t="s">
        <v>111</v>
      </c>
      <c r="CK1077" t="s">
        <v>111</v>
      </c>
      <c r="CL1077" t="s">
        <v>153</v>
      </c>
      <c r="CM1077" t="s">
        <v>198</v>
      </c>
      <c r="CN1077" t="s">
        <v>113</v>
      </c>
      <c r="CO1077" t="s">
        <v>111</v>
      </c>
      <c r="CP1077" t="s">
        <v>433</v>
      </c>
      <c r="CQ1077">
        <v>0</v>
      </c>
      <c r="CR1077">
        <v>0</v>
      </c>
      <c r="CS1077">
        <v>0</v>
      </c>
      <c r="CT1077" t="s">
        <v>2890</v>
      </c>
      <c r="CU1077">
        <v>0</v>
      </c>
      <c r="CV1077" t="s">
        <v>111</v>
      </c>
      <c r="CW1077" t="s">
        <v>111</v>
      </c>
      <c r="CX1077" t="s">
        <v>111</v>
      </c>
      <c r="CY1077">
        <v>0</v>
      </c>
      <c r="CZ1077" t="s">
        <v>111</v>
      </c>
      <c r="DA1077" t="s">
        <v>111</v>
      </c>
      <c r="DB1077" t="s">
        <v>240</v>
      </c>
      <c r="DC1077" s="1" t="s">
        <v>3344</v>
      </c>
    </row>
    <row r="1078" spans="1:107">
      <c r="A1078">
        <v>260</v>
      </c>
      <c r="B1078" t="s">
        <v>162</v>
      </c>
      <c r="C1078" t="s">
        <v>1756</v>
      </c>
      <c r="D1078" t="s">
        <v>2972</v>
      </c>
      <c r="E1078" t="s">
        <v>3345</v>
      </c>
      <c r="F1078" t="s">
        <v>431</v>
      </c>
      <c r="G1078" t="s">
        <v>416</v>
      </c>
      <c r="H1078">
        <v>6</v>
      </c>
      <c r="I1078">
        <v>52</v>
      </c>
      <c r="J1078">
        <v>0</v>
      </c>
      <c r="K1078">
        <v>0</v>
      </c>
      <c r="L1078" t="s">
        <v>112</v>
      </c>
      <c r="M1078" t="s">
        <v>118</v>
      </c>
      <c r="N1078">
        <v>40</v>
      </c>
      <c r="O1078">
        <v>1</v>
      </c>
      <c r="P1078" t="s">
        <v>138</v>
      </c>
      <c r="Q1078">
        <v>40</v>
      </c>
      <c r="R1078">
        <v>0</v>
      </c>
      <c r="S1078">
        <v>0</v>
      </c>
      <c r="T1078">
        <v>0</v>
      </c>
      <c r="U1078" t="s">
        <v>1353</v>
      </c>
      <c r="V1078">
        <v>0</v>
      </c>
      <c r="W1078">
        <v>25</v>
      </c>
      <c r="X1078">
        <v>8</v>
      </c>
      <c r="Y1078">
        <v>0</v>
      </c>
      <c r="Z1078" t="s">
        <v>111</v>
      </c>
      <c r="AA1078">
        <v>0</v>
      </c>
      <c r="AB1078" t="s">
        <v>111</v>
      </c>
      <c r="AC1078">
        <v>0</v>
      </c>
      <c r="AD1078" t="s">
        <v>416</v>
      </c>
      <c r="AE1078">
        <v>3</v>
      </c>
      <c r="AF1078">
        <v>1</v>
      </c>
      <c r="AG1078">
        <v>80</v>
      </c>
      <c r="AH1078" t="s">
        <v>111</v>
      </c>
      <c r="AI1078">
        <v>40</v>
      </c>
      <c r="AJ1078" t="s">
        <v>111</v>
      </c>
      <c r="AK1078" t="s">
        <v>111</v>
      </c>
      <c r="AL1078" t="s">
        <v>111</v>
      </c>
      <c r="AM1078">
        <v>0</v>
      </c>
      <c r="AN1078">
        <v>0</v>
      </c>
      <c r="AO1078">
        <v>0</v>
      </c>
      <c r="AP1078" t="s">
        <v>259</v>
      </c>
      <c r="AQ1078" t="s">
        <v>111</v>
      </c>
      <c r="AR1078" t="s">
        <v>111</v>
      </c>
      <c r="AS1078" t="s">
        <v>111</v>
      </c>
      <c r="AT1078" t="s">
        <v>288</v>
      </c>
      <c r="AU1078" t="s">
        <v>111</v>
      </c>
      <c r="AV1078" t="s">
        <v>111</v>
      </c>
      <c r="AW1078" t="s">
        <v>111</v>
      </c>
      <c r="AX1078" t="s">
        <v>271</v>
      </c>
      <c r="AY1078" t="s">
        <v>111</v>
      </c>
      <c r="AZ1078" t="s">
        <v>111</v>
      </c>
      <c r="BA1078" t="s">
        <v>111</v>
      </c>
      <c r="BB1078" t="s">
        <v>111</v>
      </c>
      <c r="BC1078" t="s">
        <v>111</v>
      </c>
      <c r="BD1078" t="s">
        <v>111</v>
      </c>
      <c r="BE1078" t="s">
        <v>111</v>
      </c>
      <c r="BF1078" t="s">
        <v>111</v>
      </c>
      <c r="BG1078" t="s">
        <v>111</v>
      </c>
      <c r="BH1078" t="s">
        <v>111</v>
      </c>
      <c r="BI1078" t="s">
        <v>111</v>
      </c>
      <c r="BJ1078" t="s">
        <v>111</v>
      </c>
      <c r="BK1078" t="s">
        <v>111</v>
      </c>
      <c r="BL1078" t="s">
        <v>111</v>
      </c>
      <c r="BM1078" t="s">
        <v>111</v>
      </c>
      <c r="BN1078" t="s">
        <v>111</v>
      </c>
      <c r="BO1078" t="s">
        <v>111</v>
      </c>
      <c r="BP1078" t="s">
        <v>111</v>
      </c>
      <c r="BQ1078" t="s">
        <v>111</v>
      </c>
      <c r="BR1078" t="s">
        <v>111</v>
      </c>
      <c r="BS1078" t="s">
        <v>111</v>
      </c>
      <c r="BT1078" t="s">
        <v>111</v>
      </c>
      <c r="BU1078" t="s">
        <v>111</v>
      </c>
      <c r="BV1078" t="s">
        <v>111</v>
      </c>
      <c r="BW1078" t="s">
        <v>111</v>
      </c>
      <c r="BX1078" t="s">
        <v>111</v>
      </c>
      <c r="BY1078" t="s">
        <v>111</v>
      </c>
      <c r="BZ1078" t="s">
        <v>111</v>
      </c>
      <c r="CA1078" t="s">
        <v>111</v>
      </c>
      <c r="CB1078" t="s">
        <v>111</v>
      </c>
      <c r="CC1078" t="s">
        <v>111</v>
      </c>
      <c r="CD1078" t="s">
        <v>111</v>
      </c>
      <c r="CE1078" t="s">
        <v>111</v>
      </c>
      <c r="CF1078" t="s">
        <v>111</v>
      </c>
      <c r="CG1078" t="s">
        <v>111</v>
      </c>
      <c r="CH1078" t="s">
        <v>111</v>
      </c>
      <c r="CI1078" t="s">
        <v>111</v>
      </c>
      <c r="CJ1078" t="s">
        <v>111</v>
      </c>
      <c r="CK1078" t="s">
        <v>111</v>
      </c>
      <c r="CL1078" t="s">
        <v>153</v>
      </c>
      <c r="CM1078" t="s">
        <v>198</v>
      </c>
      <c r="CN1078" t="s">
        <v>128</v>
      </c>
      <c r="CO1078" t="s">
        <v>111</v>
      </c>
      <c r="CP1078" t="s">
        <v>433</v>
      </c>
      <c r="CQ1078">
        <v>0</v>
      </c>
      <c r="CR1078">
        <v>0</v>
      </c>
      <c r="CS1078">
        <v>0</v>
      </c>
      <c r="CT1078" t="s">
        <v>168</v>
      </c>
      <c r="CU1078">
        <v>0</v>
      </c>
      <c r="CV1078" t="s">
        <v>111</v>
      </c>
      <c r="CW1078" t="s">
        <v>111</v>
      </c>
      <c r="CX1078" t="s">
        <v>111</v>
      </c>
      <c r="CY1078">
        <v>0</v>
      </c>
      <c r="CZ1078" t="s">
        <v>111</v>
      </c>
      <c r="DA1078" t="s">
        <v>111</v>
      </c>
      <c r="DB1078" t="s">
        <v>111</v>
      </c>
      <c r="DC1078" t="s">
        <v>111</v>
      </c>
    </row>
    <row r="1079" spans="1:107">
      <c r="A1079">
        <v>257</v>
      </c>
      <c r="B1079" t="s">
        <v>162</v>
      </c>
      <c r="C1079" t="s">
        <v>267</v>
      </c>
      <c r="D1079" t="s">
        <v>3346</v>
      </c>
      <c r="E1079" t="s">
        <v>3347</v>
      </c>
      <c r="F1079" t="s">
        <v>157</v>
      </c>
      <c r="G1079" t="s">
        <v>416</v>
      </c>
      <c r="H1079">
        <v>1.5</v>
      </c>
      <c r="I1079">
        <v>11</v>
      </c>
      <c r="J1079">
        <v>0</v>
      </c>
      <c r="K1079">
        <v>0</v>
      </c>
      <c r="L1079" t="s">
        <v>112</v>
      </c>
      <c r="M1079" t="s">
        <v>138</v>
      </c>
      <c r="N1079">
        <v>0</v>
      </c>
      <c r="O1079">
        <v>0</v>
      </c>
      <c r="P1079" t="s">
        <v>138</v>
      </c>
      <c r="Q1079">
        <v>25</v>
      </c>
      <c r="R1079">
        <v>0</v>
      </c>
      <c r="S1079">
        <v>0</v>
      </c>
      <c r="T1079">
        <v>0</v>
      </c>
      <c r="U1079" t="s">
        <v>168</v>
      </c>
      <c r="V1079">
        <v>0</v>
      </c>
      <c r="W1079">
        <v>25</v>
      </c>
      <c r="X1079">
        <v>6</v>
      </c>
      <c r="Y1079">
        <v>0</v>
      </c>
      <c r="Z1079" t="s">
        <v>111</v>
      </c>
      <c r="AA1079">
        <v>0</v>
      </c>
      <c r="AB1079" t="s">
        <v>111</v>
      </c>
      <c r="AC1079">
        <v>0</v>
      </c>
      <c r="AD1079" t="s">
        <v>111</v>
      </c>
      <c r="AE1079">
        <v>0</v>
      </c>
      <c r="AF1079">
        <v>0</v>
      </c>
      <c r="AG1079" t="s">
        <v>111</v>
      </c>
      <c r="AH1079" t="s">
        <v>111</v>
      </c>
      <c r="AI1079" t="s">
        <v>111</v>
      </c>
      <c r="AJ1079" t="s">
        <v>111</v>
      </c>
      <c r="AK1079" t="s">
        <v>111</v>
      </c>
      <c r="AL1079" t="s">
        <v>111</v>
      </c>
      <c r="AM1079">
        <v>0</v>
      </c>
      <c r="AN1079">
        <v>0</v>
      </c>
      <c r="AO1079">
        <v>0</v>
      </c>
      <c r="AP1079" t="s">
        <v>111</v>
      </c>
      <c r="AQ1079" t="s">
        <v>111</v>
      </c>
      <c r="AR1079" t="s">
        <v>111</v>
      </c>
      <c r="AS1079" t="s">
        <v>111</v>
      </c>
      <c r="AT1079" t="s">
        <v>111</v>
      </c>
      <c r="AU1079" t="s">
        <v>111</v>
      </c>
      <c r="AV1079" t="s">
        <v>111</v>
      </c>
      <c r="AW1079" t="s">
        <v>111</v>
      </c>
      <c r="AX1079" t="s">
        <v>111</v>
      </c>
      <c r="AY1079" t="s">
        <v>111</v>
      </c>
      <c r="AZ1079" t="s">
        <v>111</v>
      </c>
      <c r="BA1079" t="s">
        <v>111</v>
      </c>
      <c r="BB1079" t="s">
        <v>111</v>
      </c>
      <c r="BC1079" t="s">
        <v>111</v>
      </c>
      <c r="BD1079" t="s">
        <v>111</v>
      </c>
      <c r="BE1079" t="s">
        <v>111</v>
      </c>
      <c r="BF1079" t="s">
        <v>111</v>
      </c>
      <c r="BG1079" t="s">
        <v>111</v>
      </c>
      <c r="BH1079" t="s">
        <v>111</v>
      </c>
      <c r="BI1079" t="s">
        <v>111</v>
      </c>
      <c r="BJ1079" t="s">
        <v>111</v>
      </c>
      <c r="BK1079" t="s">
        <v>111</v>
      </c>
      <c r="BL1079" t="s">
        <v>111</v>
      </c>
      <c r="BM1079" t="s">
        <v>111</v>
      </c>
      <c r="BN1079" t="s">
        <v>111</v>
      </c>
      <c r="BO1079" t="s">
        <v>111</v>
      </c>
      <c r="BP1079" t="s">
        <v>111</v>
      </c>
      <c r="BQ1079" t="s">
        <v>111</v>
      </c>
      <c r="BR1079" t="s">
        <v>111</v>
      </c>
      <c r="BS1079" t="s">
        <v>111</v>
      </c>
      <c r="BT1079" t="s">
        <v>111</v>
      </c>
      <c r="BU1079" t="s">
        <v>111</v>
      </c>
      <c r="BV1079" t="s">
        <v>111</v>
      </c>
      <c r="BW1079" t="s">
        <v>111</v>
      </c>
      <c r="BX1079" t="s">
        <v>111</v>
      </c>
      <c r="BY1079" t="s">
        <v>111</v>
      </c>
      <c r="BZ1079" t="s">
        <v>111</v>
      </c>
      <c r="CA1079" t="s">
        <v>111</v>
      </c>
      <c r="CB1079" t="s">
        <v>111</v>
      </c>
      <c r="CC1079" t="s">
        <v>111</v>
      </c>
      <c r="CD1079" t="s">
        <v>111</v>
      </c>
      <c r="CE1079" t="s">
        <v>111</v>
      </c>
      <c r="CF1079" t="s">
        <v>111</v>
      </c>
      <c r="CG1079" t="s">
        <v>111</v>
      </c>
      <c r="CH1079" t="s">
        <v>111</v>
      </c>
      <c r="CI1079" t="s">
        <v>111</v>
      </c>
      <c r="CJ1079" t="s">
        <v>111</v>
      </c>
      <c r="CK1079" t="s">
        <v>111</v>
      </c>
      <c r="CL1079" t="s">
        <v>111</v>
      </c>
      <c r="CM1079" t="s">
        <v>111</v>
      </c>
      <c r="CN1079" t="s">
        <v>111</v>
      </c>
      <c r="CO1079" t="s">
        <v>111</v>
      </c>
      <c r="CP1079" t="s">
        <v>111</v>
      </c>
      <c r="CQ1079">
        <v>0</v>
      </c>
      <c r="CR1079">
        <v>0</v>
      </c>
      <c r="CS1079">
        <v>0</v>
      </c>
      <c r="CT1079" t="s">
        <v>111</v>
      </c>
      <c r="CU1079">
        <v>0</v>
      </c>
      <c r="CV1079" t="s">
        <v>111</v>
      </c>
      <c r="CW1079" t="s">
        <v>111</v>
      </c>
      <c r="CX1079" t="s">
        <v>111</v>
      </c>
      <c r="CY1079">
        <v>0</v>
      </c>
      <c r="CZ1079" t="s">
        <v>111</v>
      </c>
      <c r="DA1079" t="s">
        <v>111</v>
      </c>
      <c r="DB1079" t="s">
        <v>111</v>
      </c>
      <c r="DC1079" t="s">
        <v>111</v>
      </c>
    </row>
    <row r="1080" spans="1:107">
      <c r="A1080">
        <v>255</v>
      </c>
      <c r="B1080" t="s">
        <v>162</v>
      </c>
      <c r="C1080" t="s">
        <v>226</v>
      </c>
      <c r="D1080" t="s">
        <v>2925</v>
      </c>
      <c r="E1080" t="s">
        <v>3348</v>
      </c>
      <c r="F1080" t="s">
        <v>125</v>
      </c>
      <c r="G1080" t="s">
        <v>416</v>
      </c>
      <c r="H1080">
        <v>0.57999999999999996</v>
      </c>
      <c r="I1080">
        <v>60</v>
      </c>
      <c r="J1080">
        <v>0</v>
      </c>
      <c r="K1080">
        <v>0</v>
      </c>
      <c r="L1080" t="s">
        <v>112</v>
      </c>
      <c r="M1080" t="s">
        <v>138</v>
      </c>
      <c r="N1080">
        <v>0</v>
      </c>
      <c r="O1080">
        <v>0</v>
      </c>
      <c r="P1080" t="s">
        <v>138</v>
      </c>
      <c r="Q1080">
        <v>35</v>
      </c>
      <c r="R1080">
        <v>0</v>
      </c>
      <c r="S1080">
        <v>0</v>
      </c>
      <c r="T1080">
        <v>0</v>
      </c>
      <c r="U1080" t="s">
        <v>153</v>
      </c>
      <c r="V1080">
        <v>25</v>
      </c>
      <c r="W1080">
        <v>0</v>
      </c>
      <c r="X1080">
        <v>10</v>
      </c>
      <c r="Y1080">
        <v>0</v>
      </c>
      <c r="Z1080" t="s">
        <v>111</v>
      </c>
      <c r="AA1080">
        <v>0</v>
      </c>
      <c r="AB1080" t="s">
        <v>111</v>
      </c>
      <c r="AC1080">
        <v>0</v>
      </c>
      <c r="AD1080" t="s">
        <v>111</v>
      </c>
      <c r="AE1080">
        <v>0</v>
      </c>
      <c r="AF1080">
        <v>0</v>
      </c>
      <c r="AG1080" t="s">
        <v>111</v>
      </c>
      <c r="AH1080" t="s">
        <v>111</v>
      </c>
      <c r="AI1080" t="s">
        <v>111</v>
      </c>
      <c r="AJ1080" t="s">
        <v>111</v>
      </c>
      <c r="AK1080" t="s">
        <v>111</v>
      </c>
      <c r="AL1080" t="s">
        <v>111</v>
      </c>
      <c r="AM1080">
        <v>0</v>
      </c>
      <c r="AN1080">
        <v>0</v>
      </c>
      <c r="AO1080">
        <v>0</v>
      </c>
      <c r="AP1080" t="s">
        <v>111</v>
      </c>
      <c r="AQ1080" t="s">
        <v>111</v>
      </c>
      <c r="AR1080" t="s">
        <v>111</v>
      </c>
      <c r="AS1080" t="s">
        <v>111</v>
      </c>
      <c r="AT1080" t="s">
        <v>111</v>
      </c>
      <c r="AU1080" t="s">
        <v>111</v>
      </c>
      <c r="AV1080" t="s">
        <v>111</v>
      </c>
      <c r="AW1080" t="s">
        <v>111</v>
      </c>
      <c r="AX1080" t="s">
        <v>111</v>
      </c>
      <c r="AY1080" t="s">
        <v>111</v>
      </c>
      <c r="AZ1080" t="s">
        <v>111</v>
      </c>
      <c r="BA1080" t="s">
        <v>111</v>
      </c>
      <c r="BB1080" t="s">
        <v>111</v>
      </c>
      <c r="BC1080" t="s">
        <v>111</v>
      </c>
      <c r="BD1080" t="s">
        <v>111</v>
      </c>
      <c r="BE1080" t="s">
        <v>111</v>
      </c>
      <c r="BF1080" t="s">
        <v>111</v>
      </c>
      <c r="BG1080" t="s">
        <v>111</v>
      </c>
      <c r="BH1080" t="s">
        <v>111</v>
      </c>
      <c r="BI1080" t="s">
        <v>111</v>
      </c>
      <c r="BJ1080" t="s">
        <v>111</v>
      </c>
      <c r="BK1080" t="s">
        <v>111</v>
      </c>
      <c r="BL1080" t="s">
        <v>111</v>
      </c>
      <c r="BM1080" t="s">
        <v>111</v>
      </c>
      <c r="BN1080" t="s">
        <v>111</v>
      </c>
      <c r="BO1080" t="s">
        <v>111</v>
      </c>
      <c r="BP1080" t="s">
        <v>111</v>
      </c>
      <c r="BQ1080" t="s">
        <v>111</v>
      </c>
      <c r="BR1080" t="s">
        <v>111</v>
      </c>
      <c r="BS1080" t="s">
        <v>111</v>
      </c>
      <c r="BT1080" t="s">
        <v>111</v>
      </c>
      <c r="BU1080" t="s">
        <v>111</v>
      </c>
      <c r="BV1080" t="s">
        <v>111</v>
      </c>
      <c r="BW1080" t="s">
        <v>111</v>
      </c>
      <c r="BX1080" t="s">
        <v>111</v>
      </c>
      <c r="BY1080" t="s">
        <v>111</v>
      </c>
      <c r="BZ1080" t="s">
        <v>111</v>
      </c>
      <c r="CA1080" t="s">
        <v>111</v>
      </c>
      <c r="CB1080" t="s">
        <v>111</v>
      </c>
      <c r="CC1080" t="s">
        <v>111</v>
      </c>
      <c r="CD1080" t="s">
        <v>111</v>
      </c>
      <c r="CE1080" t="s">
        <v>111</v>
      </c>
      <c r="CF1080" t="s">
        <v>111</v>
      </c>
      <c r="CG1080" t="s">
        <v>111</v>
      </c>
      <c r="CH1080" t="s">
        <v>111</v>
      </c>
      <c r="CI1080" t="s">
        <v>111</v>
      </c>
      <c r="CJ1080" t="s">
        <v>111</v>
      </c>
      <c r="CK1080" t="s">
        <v>111</v>
      </c>
      <c r="CL1080" t="s">
        <v>111</v>
      </c>
      <c r="CM1080" t="s">
        <v>198</v>
      </c>
      <c r="CN1080" t="s">
        <v>128</v>
      </c>
      <c r="CO1080" t="s">
        <v>222</v>
      </c>
      <c r="CP1080" t="s">
        <v>111</v>
      </c>
      <c r="CQ1080">
        <v>0</v>
      </c>
      <c r="CR1080">
        <v>0</v>
      </c>
      <c r="CS1080">
        <v>0</v>
      </c>
      <c r="CT1080" t="s">
        <v>168</v>
      </c>
      <c r="CU1080">
        <v>0</v>
      </c>
      <c r="CV1080" t="s">
        <v>111</v>
      </c>
      <c r="CW1080" t="s">
        <v>111</v>
      </c>
      <c r="CX1080" t="s">
        <v>111</v>
      </c>
      <c r="CY1080">
        <v>0</v>
      </c>
      <c r="CZ1080" t="s">
        <v>111</v>
      </c>
      <c r="DA1080" t="s">
        <v>111</v>
      </c>
      <c r="DB1080" t="s">
        <v>111</v>
      </c>
      <c r="DC1080" t="s">
        <v>111</v>
      </c>
    </row>
    <row r="1081" spans="1:107">
      <c r="A1081">
        <v>254</v>
      </c>
      <c r="B1081" t="s">
        <v>162</v>
      </c>
      <c r="C1081" t="s">
        <v>347</v>
      </c>
      <c r="D1081" t="s">
        <v>2972</v>
      </c>
      <c r="E1081" t="s">
        <v>3349</v>
      </c>
      <c r="F1081" t="s">
        <v>431</v>
      </c>
      <c r="G1081" t="s">
        <v>416</v>
      </c>
      <c r="H1081">
        <v>6</v>
      </c>
      <c r="I1081">
        <v>52</v>
      </c>
      <c r="J1081">
        <v>0</v>
      </c>
      <c r="K1081">
        <v>0</v>
      </c>
      <c r="L1081" t="s">
        <v>112</v>
      </c>
      <c r="M1081" t="s">
        <v>118</v>
      </c>
      <c r="N1081">
        <v>40</v>
      </c>
      <c r="O1081">
        <v>1</v>
      </c>
      <c r="P1081" t="s">
        <v>138</v>
      </c>
      <c r="Q1081">
        <v>35</v>
      </c>
      <c r="R1081">
        <v>0</v>
      </c>
      <c r="S1081">
        <v>0</v>
      </c>
      <c r="T1081">
        <v>0</v>
      </c>
      <c r="U1081" t="s">
        <v>1353</v>
      </c>
      <c r="V1081">
        <v>0</v>
      </c>
      <c r="W1081">
        <v>25</v>
      </c>
      <c r="X1081">
        <v>10</v>
      </c>
      <c r="Y1081">
        <v>0</v>
      </c>
      <c r="Z1081" t="s">
        <v>111</v>
      </c>
      <c r="AA1081">
        <v>0</v>
      </c>
      <c r="AB1081" t="s">
        <v>111</v>
      </c>
      <c r="AC1081">
        <v>0</v>
      </c>
      <c r="AD1081" t="s">
        <v>416</v>
      </c>
      <c r="AE1081">
        <v>3</v>
      </c>
      <c r="AF1081">
        <v>1</v>
      </c>
      <c r="AG1081">
        <v>80</v>
      </c>
      <c r="AH1081" t="s">
        <v>111</v>
      </c>
      <c r="AI1081">
        <v>40</v>
      </c>
      <c r="AJ1081" t="s">
        <v>111</v>
      </c>
      <c r="AK1081" t="s">
        <v>111</v>
      </c>
      <c r="AL1081" t="s">
        <v>111</v>
      </c>
      <c r="AM1081">
        <v>0</v>
      </c>
      <c r="AN1081">
        <v>0</v>
      </c>
      <c r="AO1081">
        <v>0</v>
      </c>
      <c r="AP1081" t="s">
        <v>259</v>
      </c>
      <c r="AQ1081" t="s">
        <v>111</v>
      </c>
      <c r="AR1081" t="s">
        <v>111</v>
      </c>
      <c r="AS1081" t="s">
        <v>111</v>
      </c>
      <c r="AT1081" t="s">
        <v>288</v>
      </c>
      <c r="AU1081" t="s">
        <v>111</v>
      </c>
      <c r="AV1081" t="s">
        <v>111</v>
      </c>
      <c r="AW1081" t="s">
        <v>111</v>
      </c>
      <c r="AX1081" t="s">
        <v>271</v>
      </c>
      <c r="AY1081" t="s">
        <v>111</v>
      </c>
      <c r="AZ1081" t="s">
        <v>111</v>
      </c>
      <c r="BA1081" t="s">
        <v>111</v>
      </c>
      <c r="BB1081" t="s">
        <v>111</v>
      </c>
      <c r="BC1081" t="s">
        <v>111</v>
      </c>
      <c r="BD1081" t="s">
        <v>111</v>
      </c>
      <c r="BE1081" t="s">
        <v>111</v>
      </c>
      <c r="BF1081" t="s">
        <v>111</v>
      </c>
      <c r="BG1081" t="s">
        <v>111</v>
      </c>
      <c r="BH1081" t="s">
        <v>111</v>
      </c>
      <c r="BI1081" t="s">
        <v>111</v>
      </c>
      <c r="BJ1081" t="s">
        <v>111</v>
      </c>
      <c r="BK1081" t="s">
        <v>111</v>
      </c>
      <c r="BL1081" t="s">
        <v>111</v>
      </c>
      <c r="BM1081" t="s">
        <v>111</v>
      </c>
      <c r="BN1081" t="s">
        <v>111</v>
      </c>
      <c r="BO1081" t="s">
        <v>111</v>
      </c>
      <c r="BP1081" t="s">
        <v>111</v>
      </c>
      <c r="BQ1081" t="s">
        <v>111</v>
      </c>
      <c r="BR1081" t="s">
        <v>111</v>
      </c>
      <c r="BS1081" t="s">
        <v>111</v>
      </c>
      <c r="BT1081" t="s">
        <v>111</v>
      </c>
      <c r="BU1081" t="s">
        <v>111</v>
      </c>
      <c r="BV1081" t="s">
        <v>111</v>
      </c>
      <c r="BW1081" t="s">
        <v>111</v>
      </c>
      <c r="BX1081" t="s">
        <v>111</v>
      </c>
      <c r="BY1081" t="s">
        <v>111</v>
      </c>
      <c r="BZ1081" t="s">
        <v>111</v>
      </c>
      <c r="CA1081" t="s">
        <v>111</v>
      </c>
      <c r="CB1081" t="s">
        <v>111</v>
      </c>
      <c r="CC1081" t="s">
        <v>111</v>
      </c>
      <c r="CD1081" t="s">
        <v>111</v>
      </c>
      <c r="CE1081" t="s">
        <v>111</v>
      </c>
      <c r="CF1081" t="s">
        <v>111</v>
      </c>
      <c r="CG1081" t="s">
        <v>111</v>
      </c>
      <c r="CH1081" t="s">
        <v>111</v>
      </c>
      <c r="CI1081" t="s">
        <v>111</v>
      </c>
      <c r="CJ1081" t="s">
        <v>111</v>
      </c>
      <c r="CK1081" t="s">
        <v>111</v>
      </c>
      <c r="CL1081" t="s">
        <v>153</v>
      </c>
      <c r="CM1081" t="s">
        <v>198</v>
      </c>
      <c r="CN1081" t="s">
        <v>128</v>
      </c>
      <c r="CO1081" t="s">
        <v>111</v>
      </c>
      <c r="CP1081" t="s">
        <v>433</v>
      </c>
      <c r="CQ1081">
        <v>0</v>
      </c>
      <c r="CR1081">
        <v>0</v>
      </c>
      <c r="CS1081">
        <v>0</v>
      </c>
      <c r="CT1081" t="s">
        <v>168</v>
      </c>
      <c r="CU1081">
        <v>0</v>
      </c>
      <c r="CV1081" t="s">
        <v>111</v>
      </c>
      <c r="CW1081" t="s">
        <v>111</v>
      </c>
      <c r="CX1081" t="s">
        <v>111</v>
      </c>
      <c r="CY1081">
        <v>0</v>
      </c>
      <c r="CZ1081" t="s">
        <v>111</v>
      </c>
      <c r="DA1081" t="s">
        <v>111</v>
      </c>
      <c r="DB1081" t="s">
        <v>111</v>
      </c>
      <c r="DC1081" t="s">
        <v>111</v>
      </c>
    </row>
    <row r="1082" spans="1:107">
      <c r="A1082">
        <v>185</v>
      </c>
      <c r="B1082" t="s">
        <v>162</v>
      </c>
      <c r="C1082" t="s">
        <v>3350</v>
      </c>
      <c r="D1082" t="s">
        <v>3351</v>
      </c>
      <c r="E1082" t="s">
        <v>3352</v>
      </c>
      <c r="F1082" t="s">
        <v>125</v>
      </c>
      <c r="G1082" t="s">
        <v>416</v>
      </c>
      <c r="H1082">
        <v>1.3</v>
      </c>
      <c r="I1082">
        <v>62</v>
      </c>
      <c r="J1082">
        <v>0</v>
      </c>
      <c r="K1082">
        <v>0</v>
      </c>
      <c r="L1082" t="s">
        <v>112</v>
      </c>
      <c r="M1082" t="s">
        <v>138</v>
      </c>
      <c r="N1082">
        <v>0</v>
      </c>
      <c r="O1082">
        <v>0</v>
      </c>
      <c r="P1082" t="s">
        <v>138</v>
      </c>
      <c r="Q1082">
        <v>40</v>
      </c>
      <c r="R1082">
        <v>0</v>
      </c>
      <c r="S1082">
        <v>0</v>
      </c>
      <c r="T1082">
        <v>0</v>
      </c>
      <c r="U1082" s="1" t="s">
        <v>3353</v>
      </c>
      <c r="V1082">
        <v>0</v>
      </c>
      <c r="W1082">
        <v>0</v>
      </c>
      <c r="X1082">
        <v>1</v>
      </c>
      <c r="Y1082">
        <v>0</v>
      </c>
      <c r="Z1082" t="s">
        <v>111</v>
      </c>
      <c r="AA1082">
        <v>0</v>
      </c>
      <c r="AB1082" t="s">
        <v>111</v>
      </c>
      <c r="AC1082">
        <v>0</v>
      </c>
      <c r="AD1082" t="s">
        <v>111</v>
      </c>
      <c r="AE1082">
        <v>0</v>
      </c>
      <c r="AF1082">
        <v>0</v>
      </c>
      <c r="AG1082" t="s">
        <v>111</v>
      </c>
      <c r="AH1082" t="s">
        <v>111</v>
      </c>
      <c r="AI1082" t="s">
        <v>111</v>
      </c>
      <c r="AJ1082" t="s">
        <v>111</v>
      </c>
      <c r="AK1082" t="s">
        <v>111</v>
      </c>
      <c r="AL1082" t="s">
        <v>111</v>
      </c>
      <c r="AM1082">
        <v>0</v>
      </c>
      <c r="AN1082">
        <v>0</v>
      </c>
      <c r="AO1082">
        <v>0</v>
      </c>
      <c r="AP1082" t="s">
        <v>111</v>
      </c>
      <c r="AQ1082" t="s">
        <v>111</v>
      </c>
      <c r="AR1082" t="s">
        <v>111</v>
      </c>
      <c r="AS1082" t="s">
        <v>111</v>
      </c>
      <c r="AT1082" t="s">
        <v>111</v>
      </c>
      <c r="AU1082" t="s">
        <v>111</v>
      </c>
      <c r="AV1082" t="s">
        <v>111</v>
      </c>
      <c r="AW1082" t="s">
        <v>111</v>
      </c>
      <c r="AX1082" t="s">
        <v>111</v>
      </c>
      <c r="AY1082" t="s">
        <v>111</v>
      </c>
      <c r="AZ1082" t="s">
        <v>111</v>
      </c>
      <c r="BA1082" t="s">
        <v>111</v>
      </c>
      <c r="BB1082" t="s">
        <v>111</v>
      </c>
      <c r="BC1082" t="s">
        <v>111</v>
      </c>
      <c r="BD1082" t="s">
        <v>111</v>
      </c>
      <c r="BE1082" t="s">
        <v>111</v>
      </c>
      <c r="BF1082" t="s">
        <v>111</v>
      </c>
      <c r="BG1082" t="s">
        <v>111</v>
      </c>
      <c r="BH1082" t="s">
        <v>111</v>
      </c>
      <c r="BI1082" t="s">
        <v>111</v>
      </c>
      <c r="BJ1082" t="s">
        <v>111</v>
      </c>
      <c r="BK1082" t="s">
        <v>111</v>
      </c>
      <c r="BL1082" t="s">
        <v>111</v>
      </c>
      <c r="BM1082" t="s">
        <v>111</v>
      </c>
      <c r="BN1082" t="s">
        <v>111</v>
      </c>
      <c r="BO1082" t="s">
        <v>111</v>
      </c>
      <c r="BP1082" t="s">
        <v>111</v>
      </c>
      <c r="BQ1082" t="s">
        <v>111</v>
      </c>
      <c r="BR1082" t="s">
        <v>111</v>
      </c>
      <c r="BS1082" t="s">
        <v>111</v>
      </c>
      <c r="BT1082" t="s">
        <v>111</v>
      </c>
      <c r="BU1082" t="s">
        <v>111</v>
      </c>
      <c r="BV1082" t="s">
        <v>111</v>
      </c>
      <c r="BW1082" t="s">
        <v>111</v>
      </c>
      <c r="BX1082" t="s">
        <v>111</v>
      </c>
      <c r="BY1082" t="s">
        <v>111</v>
      </c>
      <c r="BZ1082" t="s">
        <v>111</v>
      </c>
      <c r="CA1082" t="s">
        <v>111</v>
      </c>
      <c r="CB1082" t="s">
        <v>111</v>
      </c>
      <c r="CC1082" t="s">
        <v>111</v>
      </c>
      <c r="CD1082" t="s">
        <v>111</v>
      </c>
      <c r="CE1082" t="s">
        <v>111</v>
      </c>
      <c r="CF1082" t="s">
        <v>111</v>
      </c>
      <c r="CG1082" t="s">
        <v>111</v>
      </c>
      <c r="CH1082" t="s">
        <v>111</v>
      </c>
      <c r="CI1082" t="s">
        <v>111</v>
      </c>
      <c r="CJ1082" t="s">
        <v>111</v>
      </c>
      <c r="CK1082" t="s">
        <v>111</v>
      </c>
      <c r="CL1082" t="s">
        <v>111</v>
      </c>
      <c r="CM1082" t="s">
        <v>198</v>
      </c>
      <c r="CN1082" t="s">
        <v>128</v>
      </c>
      <c r="CO1082" t="s">
        <v>111</v>
      </c>
      <c r="CP1082" t="s">
        <v>111</v>
      </c>
      <c r="CQ1082">
        <v>0</v>
      </c>
      <c r="CR1082">
        <v>0</v>
      </c>
      <c r="CS1082">
        <v>0</v>
      </c>
      <c r="CT1082" t="s">
        <v>168</v>
      </c>
      <c r="CU1082">
        <v>0</v>
      </c>
      <c r="CV1082" t="s">
        <v>111</v>
      </c>
      <c r="CW1082" t="s">
        <v>111</v>
      </c>
      <c r="CX1082" t="s">
        <v>111</v>
      </c>
      <c r="CY1082">
        <v>0</v>
      </c>
      <c r="CZ1082" t="s">
        <v>111</v>
      </c>
      <c r="DA1082" t="s">
        <v>111</v>
      </c>
      <c r="DB1082" t="s">
        <v>111</v>
      </c>
      <c r="DC1082" t="s">
        <v>111</v>
      </c>
    </row>
    <row r="1083" spans="1:107">
      <c r="A1083">
        <v>1241</v>
      </c>
      <c r="B1083" t="s">
        <v>107</v>
      </c>
      <c r="C1083" t="s">
        <v>226</v>
      </c>
      <c r="D1083" t="s">
        <v>3354</v>
      </c>
      <c r="E1083" t="s">
        <v>3355</v>
      </c>
      <c r="F1083" t="s">
        <v>431</v>
      </c>
      <c r="G1083" t="s">
        <v>416</v>
      </c>
      <c r="H1083">
        <v>1.5</v>
      </c>
      <c r="I1083">
        <v>77</v>
      </c>
      <c r="J1083">
        <v>0</v>
      </c>
      <c r="K1083">
        <v>0</v>
      </c>
      <c r="L1083" t="s">
        <v>117</v>
      </c>
      <c r="M1083" t="s">
        <v>118</v>
      </c>
      <c r="N1083">
        <v>40</v>
      </c>
      <c r="O1083">
        <v>1</v>
      </c>
      <c r="P1083" t="s">
        <v>111</v>
      </c>
      <c r="Q1083">
        <v>45</v>
      </c>
      <c r="R1083">
        <v>0</v>
      </c>
      <c r="S1083">
        <v>0</v>
      </c>
      <c r="T1083">
        <v>5</v>
      </c>
      <c r="U1083" t="s">
        <v>3356</v>
      </c>
      <c r="V1083">
        <v>0</v>
      </c>
      <c r="W1083">
        <v>25</v>
      </c>
      <c r="X1083">
        <v>8</v>
      </c>
      <c r="Y1083">
        <v>0</v>
      </c>
      <c r="Z1083" t="s">
        <v>111</v>
      </c>
      <c r="AA1083">
        <v>0</v>
      </c>
      <c r="AB1083" t="s">
        <v>111</v>
      </c>
      <c r="AC1083">
        <v>0</v>
      </c>
      <c r="AD1083" t="s">
        <v>427</v>
      </c>
      <c r="AE1083">
        <v>0</v>
      </c>
      <c r="AF1083">
        <v>0</v>
      </c>
      <c r="AG1083" t="s">
        <v>111</v>
      </c>
      <c r="AH1083" t="s">
        <v>113</v>
      </c>
      <c r="AI1083" t="s">
        <v>111</v>
      </c>
      <c r="AJ1083" t="s">
        <v>111</v>
      </c>
      <c r="AK1083" t="s">
        <v>111</v>
      </c>
      <c r="AL1083" t="s">
        <v>111</v>
      </c>
      <c r="AM1083">
        <v>0</v>
      </c>
      <c r="AN1083">
        <v>0</v>
      </c>
      <c r="AO1083">
        <v>0</v>
      </c>
      <c r="AP1083" t="s">
        <v>111</v>
      </c>
      <c r="AQ1083" t="s">
        <v>111</v>
      </c>
      <c r="AR1083" t="s">
        <v>111</v>
      </c>
      <c r="AS1083" t="s">
        <v>111</v>
      </c>
      <c r="AT1083" t="s">
        <v>111</v>
      </c>
      <c r="AU1083" t="s">
        <v>111</v>
      </c>
      <c r="AV1083" t="s">
        <v>111</v>
      </c>
      <c r="AW1083" t="s">
        <v>111</v>
      </c>
      <c r="AX1083" t="s">
        <v>111</v>
      </c>
      <c r="AY1083" t="s">
        <v>111</v>
      </c>
      <c r="AZ1083" t="s">
        <v>111</v>
      </c>
      <c r="BA1083" t="s">
        <v>111</v>
      </c>
      <c r="BB1083" t="s">
        <v>111</v>
      </c>
      <c r="BC1083" t="s">
        <v>111</v>
      </c>
      <c r="BD1083" t="s">
        <v>111</v>
      </c>
      <c r="BE1083" t="s">
        <v>111</v>
      </c>
      <c r="BF1083" t="s">
        <v>111</v>
      </c>
      <c r="BG1083" t="s">
        <v>111</v>
      </c>
      <c r="BH1083" t="s">
        <v>111</v>
      </c>
      <c r="BI1083" t="s">
        <v>111</v>
      </c>
      <c r="BJ1083" t="s">
        <v>111</v>
      </c>
      <c r="BK1083" t="s">
        <v>111</v>
      </c>
      <c r="BL1083" t="s">
        <v>111</v>
      </c>
      <c r="BM1083" t="s">
        <v>111</v>
      </c>
      <c r="BN1083" t="s">
        <v>111</v>
      </c>
      <c r="BO1083" t="s">
        <v>111</v>
      </c>
      <c r="BP1083" t="s">
        <v>111</v>
      </c>
      <c r="BQ1083" t="s">
        <v>111</v>
      </c>
      <c r="BR1083" t="s">
        <v>111</v>
      </c>
      <c r="BS1083" t="s">
        <v>111</v>
      </c>
      <c r="BT1083" t="s">
        <v>111</v>
      </c>
      <c r="BU1083" t="s">
        <v>111</v>
      </c>
      <c r="BV1083" t="s">
        <v>111</v>
      </c>
      <c r="BW1083" t="s">
        <v>111</v>
      </c>
      <c r="BX1083" t="s">
        <v>111</v>
      </c>
      <c r="BY1083" t="s">
        <v>111</v>
      </c>
      <c r="BZ1083" t="s">
        <v>111</v>
      </c>
      <c r="CA1083" t="s">
        <v>111</v>
      </c>
      <c r="CB1083" t="s">
        <v>111</v>
      </c>
      <c r="CC1083" t="s">
        <v>111</v>
      </c>
      <c r="CD1083" t="s">
        <v>111</v>
      </c>
      <c r="CE1083" t="s">
        <v>111</v>
      </c>
      <c r="CF1083" t="s">
        <v>111</v>
      </c>
      <c r="CG1083" t="s">
        <v>111</v>
      </c>
      <c r="CH1083" t="s">
        <v>111</v>
      </c>
      <c r="CI1083" t="s">
        <v>111</v>
      </c>
      <c r="CJ1083" t="s">
        <v>111</v>
      </c>
      <c r="CK1083" t="s">
        <v>111</v>
      </c>
      <c r="CL1083" t="s">
        <v>111</v>
      </c>
      <c r="CM1083" t="s">
        <v>135</v>
      </c>
      <c r="CN1083" t="s">
        <v>113</v>
      </c>
      <c r="CO1083" t="s">
        <v>111</v>
      </c>
      <c r="CP1083" t="e">
        <f>-MUESTRA</f>
        <v>#NAME?</v>
      </c>
      <c r="CQ1083">
        <v>72</v>
      </c>
      <c r="CR1083">
        <v>4000</v>
      </c>
      <c r="CS1083">
        <v>200</v>
      </c>
      <c r="CT1083" s="1" t="s">
        <v>3357</v>
      </c>
      <c r="CU1083">
        <v>0</v>
      </c>
      <c r="CV1083" t="s">
        <v>111</v>
      </c>
      <c r="CW1083" t="s">
        <v>111</v>
      </c>
      <c r="CX1083" t="s">
        <v>111</v>
      </c>
      <c r="CY1083">
        <v>0</v>
      </c>
      <c r="CZ1083" t="s">
        <v>111</v>
      </c>
      <c r="DA1083" t="s">
        <v>111</v>
      </c>
      <c r="DB1083" t="s">
        <v>111</v>
      </c>
      <c r="DC1083" t="s">
        <v>111</v>
      </c>
    </row>
    <row r="1084" spans="1:107">
      <c r="A1084">
        <v>1244</v>
      </c>
      <c r="B1084" t="s">
        <v>107</v>
      </c>
      <c r="C1084" t="s">
        <v>180</v>
      </c>
      <c r="D1084" t="s">
        <v>1044</v>
      </c>
      <c r="E1084" t="s">
        <v>3358</v>
      </c>
      <c r="F1084" t="s">
        <v>1046</v>
      </c>
      <c r="G1084" t="s">
        <v>416</v>
      </c>
      <c r="H1084">
        <v>3</v>
      </c>
      <c r="I1084">
        <v>74</v>
      </c>
      <c r="J1084">
        <v>0</v>
      </c>
      <c r="K1084">
        <v>0</v>
      </c>
      <c r="L1084" t="s">
        <v>112</v>
      </c>
      <c r="M1084" t="s">
        <v>111</v>
      </c>
      <c r="N1084">
        <v>0</v>
      </c>
      <c r="O1084">
        <v>0</v>
      </c>
      <c r="P1084" t="s">
        <v>111</v>
      </c>
      <c r="Q1084">
        <v>40</v>
      </c>
      <c r="R1084">
        <v>0</v>
      </c>
      <c r="S1084">
        <v>0</v>
      </c>
      <c r="T1084">
        <v>5</v>
      </c>
      <c r="U1084" s="1" t="s">
        <v>3359</v>
      </c>
      <c r="V1084">
        <v>0</v>
      </c>
      <c r="W1084">
        <v>25</v>
      </c>
      <c r="X1084">
        <v>8</v>
      </c>
      <c r="Y1084">
        <v>0</v>
      </c>
      <c r="Z1084" t="s">
        <v>366</v>
      </c>
      <c r="AA1084">
        <v>1</v>
      </c>
      <c r="AB1084" t="s">
        <v>111</v>
      </c>
      <c r="AC1084">
        <v>0</v>
      </c>
      <c r="AD1084" t="s">
        <v>111</v>
      </c>
      <c r="AE1084">
        <v>0</v>
      </c>
      <c r="AF1084">
        <v>0</v>
      </c>
      <c r="AG1084" t="s">
        <v>111</v>
      </c>
      <c r="AH1084" t="s">
        <v>111</v>
      </c>
      <c r="AI1084" t="s">
        <v>111</v>
      </c>
      <c r="AJ1084" t="s">
        <v>111</v>
      </c>
      <c r="AK1084" t="s">
        <v>111</v>
      </c>
      <c r="AL1084" t="s">
        <v>111</v>
      </c>
      <c r="AM1084">
        <v>0</v>
      </c>
      <c r="AN1084">
        <v>0</v>
      </c>
      <c r="AO1084">
        <v>0</v>
      </c>
      <c r="AP1084" t="s">
        <v>111</v>
      </c>
      <c r="AQ1084" t="s">
        <v>111</v>
      </c>
      <c r="AR1084" t="s">
        <v>111</v>
      </c>
      <c r="AS1084" t="s">
        <v>111</v>
      </c>
      <c r="AT1084" t="s">
        <v>111</v>
      </c>
      <c r="AU1084" t="s">
        <v>111</v>
      </c>
      <c r="AV1084" t="s">
        <v>111</v>
      </c>
      <c r="AW1084" t="s">
        <v>111</v>
      </c>
      <c r="AX1084" t="s">
        <v>111</v>
      </c>
      <c r="AY1084" t="s">
        <v>111</v>
      </c>
      <c r="AZ1084" t="s">
        <v>111</v>
      </c>
      <c r="BA1084" t="s">
        <v>111</v>
      </c>
      <c r="BB1084" t="s">
        <v>111</v>
      </c>
      <c r="BC1084" t="s">
        <v>111</v>
      </c>
      <c r="BD1084" t="s">
        <v>111</v>
      </c>
      <c r="BE1084" t="s">
        <v>111</v>
      </c>
      <c r="BF1084" t="s">
        <v>111</v>
      </c>
      <c r="BG1084" t="s">
        <v>111</v>
      </c>
      <c r="BH1084" t="s">
        <v>111</v>
      </c>
      <c r="BI1084" t="s">
        <v>111</v>
      </c>
      <c r="BJ1084" t="s">
        <v>111</v>
      </c>
      <c r="BK1084" t="s">
        <v>111</v>
      </c>
      <c r="BL1084" t="s">
        <v>111</v>
      </c>
      <c r="BM1084" t="s">
        <v>111</v>
      </c>
      <c r="BN1084" t="s">
        <v>111</v>
      </c>
      <c r="BO1084" t="s">
        <v>111</v>
      </c>
      <c r="BP1084" t="s">
        <v>111</v>
      </c>
      <c r="BQ1084" t="s">
        <v>111</v>
      </c>
      <c r="BR1084" t="s">
        <v>111</v>
      </c>
      <c r="BS1084" t="s">
        <v>111</v>
      </c>
      <c r="BT1084" t="s">
        <v>111</v>
      </c>
      <c r="BU1084" t="s">
        <v>111</v>
      </c>
      <c r="BV1084" t="s">
        <v>111</v>
      </c>
      <c r="BW1084" t="s">
        <v>111</v>
      </c>
      <c r="BX1084" t="s">
        <v>111</v>
      </c>
      <c r="BY1084" t="s">
        <v>111</v>
      </c>
      <c r="BZ1084" t="s">
        <v>111</v>
      </c>
      <c r="CA1084" t="s">
        <v>111</v>
      </c>
      <c r="CB1084" t="s">
        <v>111</v>
      </c>
      <c r="CC1084" t="s">
        <v>111</v>
      </c>
      <c r="CD1084" t="s">
        <v>111</v>
      </c>
      <c r="CE1084" t="s">
        <v>111</v>
      </c>
      <c r="CF1084" t="s">
        <v>111</v>
      </c>
      <c r="CG1084" t="s">
        <v>111</v>
      </c>
      <c r="CH1084" t="s">
        <v>111</v>
      </c>
      <c r="CI1084" t="s">
        <v>111</v>
      </c>
      <c r="CJ1084" t="s">
        <v>111</v>
      </c>
      <c r="CK1084" t="s">
        <v>111</v>
      </c>
      <c r="CL1084" t="s">
        <v>111</v>
      </c>
      <c r="CM1084" t="s">
        <v>135</v>
      </c>
      <c r="CN1084" t="s">
        <v>128</v>
      </c>
      <c r="CO1084" t="s">
        <v>111</v>
      </c>
      <c r="CP1084" t="s">
        <v>111</v>
      </c>
      <c r="CQ1084">
        <v>0</v>
      </c>
      <c r="CR1084">
        <v>300</v>
      </c>
      <c r="CS1084">
        <v>10</v>
      </c>
      <c r="CT1084" t="s">
        <v>111</v>
      </c>
      <c r="CU1084">
        <v>0</v>
      </c>
      <c r="CV1084" t="s">
        <v>111</v>
      </c>
      <c r="CW1084" t="s">
        <v>111</v>
      </c>
      <c r="CX1084" t="s">
        <v>111</v>
      </c>
      <c r="CY1084">
        <v>0</v>
      </c>
      <c r="CZ1084" t="s">
        <v>111</v>
      </c>
      <c r="DA1084" t="s">
        <v>111</v>
      </c>
      <c r="DB1084" t="e">
        <f>-EXTERNO</f>
        <v>#NAME?</v>
      </c>
      <c r="DC1084" t="e">
        <f>-CORTE</f>
        <v>#NAME?</v>
      </c>
    </row>
    <row r="1085" spans="1:107">
      <c r="A1085">
        <v>205</v>
      </c>
      <c r="B1085" t="s">
        <v>162</v>
      </c>
      <c r="C1085" t="s">
        <v>215</v>
      </c>
      <c r="D1085" t="s">
        <v>3360</v>
      </c>
      <c r="E1085" t="s">
        <v>3361</v>
      </c>
      <c r="F1085" t="s">
        <v>192</v>
      </c>
      <c r="G1085" t="s">
        <v>416</v>
      </c>
      <c r="H1085">
        <v>3.9</v>
      </c>
      <c r="I1085">
        <v>40</v>
      </c>
      <c r="J1085">
        <v>0</v>
      </c>
      <c r="K1085">
        <v>0</v>
      </c>
      <c r="L1085" t="s">
        <v>112</v>
      </c>
      <c r="M1085" t="s">
        <v>138</v>
      </c>
      <c r="N1085">
        <v>0</v>
      </c>
      <c r="O1085">
        <v>0</v>
      </c>
      <c r="P1085" t="s">
        <v>138</v>
      </c>
      <c r="Q1085">
        <v>35</v>
      </c>
      <c r="R1085">
        <v>0</v>
      </c>
      <c r="S1085">
        <v>0</v>
      </c>
      <c r="T1085">
        <v>0</v>
      </c>
      <c r="U1085" t="s">
        <v>153</v>
      </c>
      <c r="V1085">
        <v>0</v>
      </c>
      <c r="W1085">
        <v>25</v>
      </c>
      <c r="X1085">
        <v>8</v>
      </c>
      <c r="Y1085">
        <v>0</v>
      </c>
      <c r="Z1085" t="s">
        <v>111</v>
      </c>
      <c r="AA1085">
        <v>0</v>
      </c>
      <c r="AB1085" t="s">
        <v>111</v>
      </c>
      <c r="AC1085">
        <v>0</v>
      </c>
      <c r="AD1085" t="s">
        <v>111</v>
      </c>
      <c r="AE1085">
        <v>0</v>
      </c>
      <c r="AF1085">
        <v>0</v>
      </c>
      <c r="AG1085" t="s">
        <v>111</v>
      </c>
      <c r="AH1085" t="s">
        <v>111</v>
      </c>
      <c r="AI1085" t="s">
        <v>111</v>
      </c>
      <c r="AJ1085" t="s">
        <v>111</v>
      </c>
      <c r="AK1085" t="s">
        <v>111</v>
      </c>
      <c r="AL1085" t="s">
        <v>111</v>
      </c>
      <c r="AM1085">
        <v>0</v>
      </c>
      <c r="AN1085">
        <v>0</v>
      </c>
      <c r="AO1085">
        <v>0</v>
      </c>
      <c r="AP1085" t="s">
        <v>111</v>
      </c>
      <c r="AQ1085" t="s">
        <v>111</v>
      </c>
      <c r="AR1085" t="s">
        <v>111</v>
      </c>
      <c r="AS1085" t="s">
        <v>111</v>
      </c>
      <c r="AT1085" t="s">
        <v>111</v>
      </c>
      <c r="AU1085" t="s">
        <v>111</v>
      </c>
      <c r="AV1085" t="s">
        <v>111</v>
      </c>
      <c r="AW1085" t="s">
        <v>111</v>
      </c>
      <c r="AX1085" t="s">
        <v>111</v>
      </c>
      <c r="AY1085" t="s">
        <v>111</v>
      </c>
      <c r="AZ1085" t="s">
        <v>111</v>
      </c>
      <c r="BA1085" t="s">
        <v>111</v>
      </c>
      <c r="BB1085" t="s">
        <v>111</v>
      </c>
      <c r="BC1085" t="s">
        <v>111</v>
      </c>
      <c r="BD1085" t="s">
        <v>111</v>
      </c>
      <c r="BE1085" t="s">
        <v>111</v>
      </c>
      <c r="BF1085" t="s">
        <v>111</v>
      </c>
      <c r="BG1085" t="s">
        <v>111</v>
      </c>
      <c r="BH1085" t="s">
        <v>111</v>
      </c>
      <c r="BI1085" t="s">
        <v>111</v>
      </c>
      <c r="BJ1085" t="s">
        <v>111</v>
      </c>
      <c r="BK1085" t="s">
        <v>111</v>
      </c>
      <c r="BL1085" t="s">
        <v>111</v>
      </c>
      <c r="BM1085" t="s">
        <v>111</v>
      </c>
      <c r="BN1085" t="s">
        <v>111</v>
      </c>
      <c r="BO1085" t="s">
        <v>111</v>
      </c>
      <c r="BP1085" t="s">
        <v>111</v>
      </c>
      <c r="BQ1085" t="s">
        <v>111</v>
      </c>
      <c r="BR1085" t="s">
        <v>111</v>
      </c>
      <c r="BS1085" t="s">
        <v>111</v>
      </c>
      <c r="BT1085" t="s">
        <v>111</v>
      </c>
      <c r="BU1085" t="s">
        <v>111</v>
      </c>
      <c r="BV1085" t="s">
        <v>111</v>
      </c>
      <c r="BW1085" t="s">
        <v>111</v>
      </c>
      <c r="BX1085" t="s">
        <v>111</v>
      </c>
      <c r="BY1085" t="s">
        <v>111</v>
      </c>
      <c r="BZ1085" t="s">
        <v>111</v>
      </c>
      <c r="CA1085" t="s">
        <v>111</v>
      </c>
      <c r="CB1085" t="s">
        <v>111</v>
      </c>
      <c r="CC1085" t="s">
        <v>111</v>
      </c>
      <c r="CD1085" t="s">
        <v>111</v>
      </c>
      <c r="CE1085" t="s">
        <v>111</v>
      </c>
      <c r="CF1085" t="s">
        <v>111</v>
      </c>
      <c r="CG1085" t="s">
        <v>111</v>
      </c>
      <c r="CH1085" t="s">
        <v>111</v>
      </c>
      <c r="CI1085" t="s">
        <v>111</v>
      </c>
      <c r="CJ1085" t="s">
        <v>111</v>
      </c>
      <c r="CK1085" t="s">
        <v>111</v>
      </c>
      <c r="CL1085" t="s">
        <v>111</v>
      </c>
      <c r="CM1085" t="s">
        <v>198</v>
      </c>
      <c r="CN1085" t="s">
        <v>113</v>
      </c>
      <c r="CO1085" t="s">
        <v>111</v>
      </c>
      <c r="CP1085" t="s">
        <v>111</v>
      </c>
      <c r="CQ1085">
        <v>0</v>
      </c>
      <c r="CR1085">
        <v>0</v>
      </c>
      <c r="CS1085">
        <v>0</v>
      </c>
      <c r="CT1085" t="s">
        <v>168</v>
      </c>
      <c r="CU1085">
        <v>0</v>
      </c>
      <c r="CV1085" t="s">
        <v>111</v>
      </c>
      <c r="CW1085" t="s">
        <v>111</v>
      </c>
      <c r="CX1085" t="s">
        <v>111</v>
      </c>
      <c r="CY1085">
        <v>0</v>
      </c>
      <c r="CZ1085" t="s">
        <v>111</v>
      </c>
      <c r="DA1085" t="s">
        <v>111</v>
      </c>
      <c r="DB1085" t="s">
        <v>111</v>
      </c>
      <c r="DC1085" t="s">
        <v>111</v>
      </c>
    </row>
    <row r="1086" spans="1:107">
      <c r="A1086">
        <v>80</v>
      </c>
      <c r="B1086" t="s">
        <v>162</v>
      </c>
      <c r="C1086" t="s">
        <v>223</v>
      </c>
      <c r="D1086" t="s">
        <v>2268</v>
      </c>
      <c r="E1086" t="s">
        <v>3362</v>
      </c>
      <c r="F1086" t="s">
        <v>370</v>
      </c>
      <c r="G1086" t="s">
        <v>416</v>
      </c>
      <c r="H1086">
        <v>2.5</v>
      </c>
      <c r="I1086">
        <v>35</v>
      </c>
      <c r="J1086">
        <v>0</v>
      </c>
      <c r="K1086">
        <v>0</v>
      </c>
      <c r="L1086" t="s">
        <v>112</v>
      </c>
      <c r="M1086" t="s">
        <v>118</v>
      </c>
      <c r="N1086">
        <v>40</v>
      </c>
      <c r="O1086">
        <v>2</v>
      </c>
      <c r="P1086" t="s">
        <v>138</v>
      </c>
      <c r="Q1086">
        <v>35</v>
      </c>
      <c r="R1086">
        <v>0</v>
      </c>
      <c r="S1086">
        <v>0</v>
      </c>
      <c r="T1086">
        <v>0</v>
      </c>
      <c r="U1086" t="s">
        <v>1353</v>
      </c>
      <c r="V1086">
        <v>25</v>
      </c>
      <c r="W1086">
        <v>0</v>
      </c>
      <c r="X1086">
        <v>10</v>
      </c>
      <c r="Y1086">
        <v>0</v>
      </c>
      <c r="Z1086" t="s">
        <v>288</v>
      </c>
      <c r="AA1086">
        <v>1.75</v>
      </c>
      <c r="AB1086" t="s">
        <v>111</v>
      </c>
      <c r="AC1086">
        <v>0</v>
      </c>
      <c r="AD1086" t="s">
        <v>416</v>
      </c>
      <c r="AE1086">
        <v>2</v>
      </c>
      <c r="AF1086">
        <v>2</v>
      </c>
      <c r="AG1086" t="s">
        <v>691</v>
      </c>
      <c r="AH1086" t="s">
        <v>111</v>
      </c>
      <c r="AI1086">
        <v>38</v>
      </c>
      <c r="AJ1086" t="s">
        <v>111</v>
      </c>
      <c r="AK1086" t="s">
        <v>111</v>
      </c>
      <c r="AL1086" t="s">
        <v>111</v>
      </c>
      <c r="AM1086">
        <v>0</v>
      </c>
      <c r="AN1086">
        <v>0</v>
      </c>
      <c r="AO1086">
        <v>0</v>
      </c>
      <c r="AP1086" t="s">
        <v>366</v>
      </c>
      <c r="AQ1086" t="s">
        <v>111</v>
      </c>
      <c r="AR1086" t="s">
        <v>111</v>
      </c>
      <c r="AS1086" t="s">
        <v>111</v>
      </c>
      <c r="AT1086" t="s">
        <v>271</v>
      </c>
      <c r="AU1086" t="s">
        <v>111</v>
      </c>
      <c r="AV1086" t="s">
        <v>111</v>
      </c>
      <c r="AW1086" t="s">
        <v>111</v>
      </c>
      <c r="AX1086" t="s">
        <v>111</v>
      </c>
      <c r="AY1086" t="s">
        <v>111</v>
      </c>
      <c r="AZ1086" t="s">
        <v>111</v>
      </c>
      <c r="BA1086" t="s">
        <v>111</v>
      </c>
      <c r="BB1086" t="s">
        <v>111</v>
      </c>
      <c r="BC1086" t="s">
        <v>111</v>
      </c>
      <c r="BD1086" t="s">
        <v>111</v>
      </c>
      <c r="BE1086" t="s">
        <v>111</v>
      </c>
      <c r="BF1086" t="s">
        <v>111</v>
      </c>
      <c r="BG1086" t="s">
        <v>111</v>
      </c>
      <c r="BH1086" t="s">
        <v>111</v>
      </c>
      <c r="BI1086" t="s">
        <v>111</v>
      </c>
      <c r="BJ1086" t="s">
        <v>111</v>
      </c>
      <c r="BK1086" t="s">
        <v>111</v>
      </c>
      <c r="BL1086" t="s">
        <v>111</v>
      </c>
      <c r="BM1086" t="s">
        <v>111</v>
      </c>
      <c r="BN1086" t="s">
        <v>111</v>
      </c>
      <c r="BO1086" t="s">
        <v>111</v>
      </c>
      <c r="BP1086" t="s">
        <v>111</v>
      </c>
      <c r="BQ1086" t="s">
        <v>111</v>
      </c>
      <c r="BR1086" t="s">
        <v>111</v>
      </c>
      <c r="BS1086" t="s">
        <v>111</v>
      </c>
      <c r="BT1086" t="s">
        <v>111</v>
      </c>
      <c r="BU1086" t="s">
        <v>111</v>
      </c>
      <c r="BV1086" t="s">
        <v>111</v>
      </c>
      <c r="BW1086" t="s">
        <v>111</v>
      </c>
      <c r="BX1086" t="s">
        <v>111</v>
      </c>
      <c r="BY1086" t="s">
        <v>111</v>
      </c>
      <c r="BZ1086" t="s">
        <v>111</v>
      </c>
      <c r="CA1086" t="s">
        <v>111</v>
      </c>
      <c r="CB1086" t="s">
        <v>111</v>
      </c>
      <c r="CC1086" t="s">
        <v>111</v>
      </c>
      <c r="CD1086" t="s">
        <v>111</v>
      </c>
      <c r="CE1086" t="s">
        <v>111</v>
      </c>
      <c r="CF1086" t="s">
        <v>111</v>
      </c>
      <c r="CG1086" t="s">
        <v>111</v>
      </c>
      <c r="CH1086" t="s">
        <v>111</v>
      </c>
      <c r="CI1086" t="s">
        <v>111</v>
      </c>
      <c r="CJ1086" t="s">
        <v>111</v>
      </c>
      <c r="CK1086" t="s">
        <v>111</v>
      </c>
      <c r="CL1086" t="s">
        <v>419</v>
      </c>
      <c r="CM1086" t="s">
        <v>111</v>
      </c>
      <c r="CN1086" t="s">
        <v>111</v>
      </c>
      <c r="CO1086" t="s">
        <v>111</v>
      </c>
      <c r="CP1086" t="s">
        <v>111</v>
      </c>
      <c r="CQ1086">
        <v>0</v>
      </c>
      <c r="CR1086">
        <v>0</v>
      </c>
      <c r="CS1086">
        <v>0</v>
      </c>
      <c r="CT1086" t="s">
        <v>111</v>
      </c>
      <c r="CU1086">
        <v>0</v>
      </c>
      <c r="CV1086" t="s">
        <v>111</v>
      </c>
      <c r="CW1086" t="s">
        <v>111</v>
      </c>
      <c r="CX1086" t="s">
        <v>111</v>
      </c>
      <c r="CY1086">
        <v>0</v>
      </c>
      <c r="CZ1086" t="s">
        <v>111</v>
      </c>
      <c r="DA1086" t="s">
        <v>111</v>
      </c>
      <c r="DB1086" t="s">
        <v>204</v>
      </c>
      <c r="DC1086" s="1" t="s">
        <v>3032</v>
      </c>
    </row>
    <row r="1087" spans="1:107">
      <c r="A1087">
        <v>111</v>
      </c>
      <c r="B1087" t="s">
        <v>162</v>
      </c>
      <c r="C1087" t="s">
        <v>215</v>
      </c>
      <c r="D1087" t="s">
        <v>3363</v>
      </c>
      <c r="E1087" t="s">
        <v>3364</v>
      </c>
      <c r="F1087" t="s">
        <v>157</v>
      </c>
      <c r="G1087" t="s">
        <v>416</v>
      </c>
      <c r="H1087">
        <v>4</v>
      </c>
      <c r="I1087">
        <v>15</v>
      </c>
      <c r="J1087">
        <v>0</v>
      </c>
      <c r="K1087">
        <v>0</v>
      </c>
      <c r="L1087" t="s">
        <v>112</v>
      </c>
      <c r="M1087" t="s">
        <v>138</v>
      </c>
      <c r="N1087">
        <v>0</v>
      </c>
      <c r="O1087">
        <v>0</v>
      </c>
      <c r="P1087" t="s">
        <v>138</v>
      </c>
      <c r="Q1087">
        <v>30</v>
      </c>
      <c r="R1087">
        <v>0</v>
      </c>
      <c r="S1087">
        <v>0</v>
      </c>
      <c r="T1087">
        <v>0</v>
      </c>
      <c r="U1087" t="s">
        <v>168</v>
      </c>
      <c r="V1087">
        <v>0</v>
      </c>
      <c r="W1087">
        <v>25</v>
      </c>
      <c r="X1087">
        <v>10</v>
      </c>
      <c r="Y1087">
        <v>0</v>
      </c>
      <c r="Z1087" t="s">
        <v>111</v>
      </c>
      <c r="AA1087">
        <v>0</v>
      </c>
      <c r="AB1087" t="s">
        <v>111</v>
      </c>
      <c r="AC1087">
        <v>0</v>
      </c>
      <c r="AD1087" t="s">
        <v>111</v>
      </c>
      <c r="AE1087">
        <v>0</v>
      </c>
      <c r="AF1087">
        <v>0</v>
      </c>
      <c r="AG1087" t="s">
        <v>111</v>
      </c>
      <c r="AH1087" t="s">
        <v>111</v>
      </c>
      <c r="AI1087" t="s">
        <v>111</v>
      </c>
      <c r="AJ1087" t="s">
        <v>111</v>
      </c>
      <c r="AK1087" t="s">
        <v>111</v>
      </c>
      <c r="AL1087" t="s">
        <v>111</v>
      </c>
      <c r="AM1087">
        <v>0</v>
      </c>
      <c r="AN1087">
        <v>0</v>
      </c>
      <c r="AO1087">
        <v>0</v>
      </c>
      <c r="AP1087" t="s">
        <v>111</v>
      </c>
      <c r="AQ1087" t="s">
        <v>111</v>
      </c>
      <c r="AR1087" t="s">
        <v>111</v>
      </c>
      <c r="AS1087" t="s">
        <v>111</v>
      </c>
      <c r="AT1087" t="s">
        <v>111</v>
      </c>
      <c r="AU1087" t="s">
        <v>111</v>
      </c>
      <c r="AV1087" t="s">
        <v>111</v>
      </c>
      <c r="AW1087" t="s">
        <v>111</v>
      </c>
      <c r="AX1087" t="s">
        <v>111</v>
      </c>
      <c r="AY1087" t="s">
        <v>111</v>
      </c>
      <c r="AZ1087" t="s">
        <v>111</v>
      </c>
      <c r="BA1087" t="s">
        <v>111</v>
      </c>
      <c r="BB1087" t="s">
        <v>111</v>
      </c>
      <c r="BC1087" t="s">
        <v>111</v>
      </c>
      <c r="BD1087" t="s">
        <v>111</v>
      </c>
      <c r="BE1087" t="s">
        <v>111</v>
      </c>
      <c r="BF1087" t="s">
        <v>111</v>
      </c>
      <c r="BG1087" t="s">
        <v>111</v>
      </c>
      <c r="BH1087" t="s">
        <v>111</v>
      </c>
      <c r="BI1087" t="s">
        <v>111</v>
      </c>
      <c r="BJ1087" t="s">
        <v>111</v>
      </c>
      <c r="BK1087" t="s">
        <v>111</v>
      </c>
      <c r="BL1087" t="s">
        <v>111</v>
      </c>
      <c r="BM1087" t="s">
        <v>111</v>
      </c>
      <c r="BN1087" t="s">
        <v>111</v>
      </c>
      <c r="BO1087" t="s">
        <v>111</v>
      </c>
      <c r="BP1087" t="s">
        <v>111</v>
      </c>
      <c r="BQ1087" t="s">
        <v>111</v>
      </c>
      <c r="BR1087" t="s">
        <v>111</v>
      </c>
      <c r="BS1087" t="s">
        <v>111</v>
      </c>
      <c r="BT1087" t="s">
        <v>111</v>
      </c>
      <c r="BU1087" t="s">
        <v>111</v>
      </c>
      <c r="BV1087" t="s">
        <v>111</v>
      </c>
      <c r="BW1087" t="s">
        <v>111</v>
      </c>
      <c r="BX1087" t="s">
        <v>111</v>
      </c>
      <c r="BY1087" t="s">
        <v>111</v>
      </c>
      <c r="BZ1087" t="s">
        <v>111</v>
      </c>
      <c r="CA1087" t="s">
        <v>111</v>
      </c>
      <c r="CB1087" t="s">
        <v>111</v>
      </c>
      <c r="CC1087" t="s">
        <v>111</v>
      </c>
      <c r="CD1087" t="s">
        <v>111</v>
      </c>
      <c r="CE1087" t="s">
        <v>111</v>
      </c>
      <c r="CF1087" t="s">
        <v>111</v>
      </c>
      <c r="CG1087" t="s">
        <v>111</v>
      </c>
      <c r="CH1087" t="s">
        <v>111</v>
      </c>
      <c r="CI1087" t="s">
        <v>111</v>
      </c>
      <c r="CJ1087" t="s">
        <v>111</v>
      </c>
      <c r="CK1087" t="s">
        <v>111</v>
      </c>
      <c r="CL1087" t="s">
        <v>111</v>
      </c>
      <c r="CM1087" t="s">
        <v>111</v>
      </c>
      <c r="CN1087" t="s">
        <v>111</v>
      </c>
      <c r="CO1087" t="s">
        <v>111</v>
      </c>
      <c r="CP1087" t="s">
        <v>111</v>
      </c>
      <c r="CQ1087">
        <v>0</v>
      </c>
      <c r="CR1087">
        <v>0</v>
      </c>
      <c r="CS1087">
        <v>0</v>
      </c>
      <c r="CT1087" t="s">
        <v>111</v>
      </c>
      <c r="CU1087">
        <v>0</v>
      </c>
      <c r="CV1087" t="s">
        <v>111</v>
      </c>
      <c r="CW1087" t="s">
        <v>111</v>
      </c>
      <c r="CX1087" t="s">
        <v>111</v>
      </c>
      <c r="CY1087">
        <v>0</v>
      </c>
      <c r="CZ1087" t="s">
        <v>111</v>
      </c>
      <c r="DA1087" t="s">
        <v>111</v>
      </c>
      <c r="DB1087" t="s">
        <v>111</v>
      </c>
      <c r="DC1087" t="s">
        <v>111</v>
      </c>
    </row>
    <row r="1088" spans="1:107">
      <c r="A1088">
        <v>206</v>
      </c>
      <c r="B1088" t="s">
        <v>162</v>
      </c>
      <c r="C1088" t="s">
        <v>1342</v>
      </c>
      <c r="D1088" t="s">
        <v>1343</v>
      </c>
      <c r="E1088" t="s">
        <v>3365</v>
      </c>
      <c r="F1088" t="s">
        <v>370</v>
      </c>
      <c r="G1088" t="s">
        <v>416</v>
      </c>
      <c r="H1088">
        <v>0.9</v>
      </c>
      <c r="I1088">
        <v>34</v>
      </c>
      <c r="J1088">
        <v>0</v>
      </c>
      <c r="K1088">
        <v>0</v>
      </c>
      <c r="L1088" t="s">
        <v>112</v>
      </c>
      <c r="M1088" t="s">
        <v>118</v>
      </c>
      <c r="N1088">
        <v>40</v>
      </c>
      <c r="O1088">
        <v>2</v>
      </c>
      <c r="P1088" t="s">
        <v>138</v>
      </c>
      <c r="Q1088">
        <v>40</v>
      </c>
      <c r="R1088">
        <v>0</v>
      </c>
      <c r="S1088">
        <v>0</v>
      </c>
      <c r="T1088">
        <v>0</v>
      </c>
      <c r="U1088" t="s">
        <v>419</v>
      </c>
      <c r="V1088">
        <v>25</v>
      </c>
      <c r="W1088">
        <v>0</v>
      </c>
      <c r="X1088">
        <v>12.5</v>
      </c>
      <c r="Y1088">
        <v>0</v>
      </c>
      <c r="Z1088" t="s">
        <v>288</v>
      </c>
      <c r="AA1088">
        <v>1.87</v>
      </c>
      <c r="AB1088" t="s">
        <v>111</v>
      </c>
      <c r="AC1088">
        <v>0</v>
      </c>
      <c r="AD1088" t="s">
        <v>416</v>
      </c>
      <c r="AE1088">
        <v>5</v>
      </c>
      <c r="AF1088">
        <v>2</v>
      </c>
      <c r="AG1088">
        <v>35</v>
      </c>
      <c r="AH1088" t="s">
        <v>111</v>
      </c>
      <c r="AI1088">
        <v>35</v>
      </c>
      <c r="AJ1088" t="s">
        <v>111</v>
      </c>
      <c r="AK1088" t="s">
        <v>111</v>
      </c>
      <c r="AL1088" t="s">
        <v>111</v>
      </c>
      <c r="AM1088">
        <v>0</v>
      </c>
      <c r="AN1088">
        <v>0</v>
      </c>
      <c r="AO1088">
        <v>0</v>
      </c>
      <c r="AP1088" t="s">
        <v>111</v>
      </c>
      <c r="AQ1088" t="s">
        <v>111</v>
      </c>
      <c r="AR1088" t="s">
        <v>111</v>
      </c>
      <c r="AS1088" t="s">
        <v>111</v>
      </c>
      <c r="AT1088" t="s">
        <v>111</v>
      </c>
      <c r="AU1088" t="s">
        <v>111</v>
      </c>
      <c r="AV1088" t="s">
        <v>111</v>
      </c>
      <c r="AW1088" t="s">
        <v>111</v>
      </c>
      <c r="AX1088" t="s">
        <v>111</v>
      </c>
      <c r="AY1088" t="s">
        <v>111</v>
      </c>
      <c r="AZ1088" t="s">
        <v>111</v>
      </c>
      <c r="BA1088" t="s">
        <v>111</v>
      </c>
      <c r="BB1088" t="s">
        <v>111</v>
      </c>
      <c r="BC1088" t="s">
        <v>111</v>
      </c>
      <c r="BD1088" t="s">
        <v>111</v>
      </c>
      <c r="BE1088" t="s">
        <v>111</v>
      </c>
      <c r="BF1088" t="s">
        <v>111</v>
      </c>
      <c r="BG1088" t="s">
        <v>111</v>
      </c>
      <c r="BH1088" t="s">
        <v>111</v>
      </c>
      <c r="BI1088" t="s">
        <v>111</v>
      </c>
      <c r="BJ1088" t="s">
        <v>111</v>
      </c>
      <c r="BK1088" t="s">
        <v>111</v>
      </c>
      <c r="BL1088" t="s">
        <v>111</v>
      </c>
      <c r="BM1088" t="s">
        <v>111</v>
      </c>
      <c r="BN1088" t="s">
        <v>111</v>
      </c>
      <c r="BO1088" t="s">
        <v>111</v>
      </c>
      <c r="BP1088" t="s">
        <v>111</v>
      </c>
      <c r="BQ1088" t="s">
        <v>111</v>
      </c>
      <c r="BR1088" t="s">
        <v>111</v>
      </c>
      <c r="BS1088" t="s">
        <v>111</v>
      </c>
      <c r="BT1088" t="s">
        <v>111</v>
      </c>
      <c r="BU1088" t="s">
        <v>111</v>
      </c>
      <c r="BV1088" t="s">
        <v>111</v>
      </c>
      <c r="BW1088" t="s">
        <v>111</v>
      </c>
      <c r="BX1088" t="s">
        <v>111</v>
      </c>
      <c r="BY1088" t="s">
        <v>111</v>
      </c>
      <c r="BZ1088" t="s">
        <v>111</v>
      </c>
      <c r="CA1088" t="s">
        <v>111</v>
      </c>
      <c r="CB1088" t="s">
        <v>111</v>
      </c>
      <c r="CC1088" t="s">
        <v>111</v>
      </c>
      <c r="CD1088" t="s">
        <v>111</v>
      </c>
      <c r="CE1088" t="s">
        <v>111</v>
      </c>
      <c r="CF1088" t="s">
        <v>111</v>
      </c>
      <c r="CG1088" t="s">
        <v>111</v>
      </c>
      <c r="CH1088" t="s">
        <v>111</v>
      </c>
      <c r="CI1088" t="s">
        <v>111</v>
      </c>
      <c r="CJ1088" t="s">
        <v>111</v>
      </c>
      <c r="CK1088" t="s">
        <v>111</v>
      </c>
      <c r="CL1088" t="s">
        <v>153</v>
      </c>
      <c r="CM1088" t="s">
        <v>198</v>
      </c>
      <c r="CN1088" t="s">
        <v>128</v>
      </c>
      <c r="CO1088" t="s">
        <v>974</v>
      </c>
      <c r="CP1088" t="s">
        <v>433</v>
      </c>
      <c r="CQ1088">
        <v>0</v>
      </c>
      <c r="CR1088">
        <v>0</v>
      </c>
      <c r="CS1088">
        <v>0</v>
      </c>
      <c r="CT1088" t="s">
        <v>419</v>
      </c>
      <c r="CU1088">
        <v>0</v>
      </c>
      <c r="CV1088" t="s">
        <v>111</v>
      </c>
      <c r="CW1088" t="s">
        <v>111</v>
      </c>
      <c r="CX1088" t="s">
        <v>111</v>
      </c>
      <c r="CY1088">
        <v>0</v>
      </c>
      <c r="CZ1088" t="s">
        <v>111</v>
      </c>
      <c r="DA1088" t="s">
        <v>111</v>
      </c>
      <c r="DB1088" t="s">
        <v>204</v>
      </c>
      <c r="DC1088" s="1" t="s">
        <v>1363</v>
      </c>
    </row>
    <row r="1089" spans="1:107">
      <c r="A1089">
        <v>27</v>
      </c>
      <c r="B1089" t="s">
        <v>162</v>
      </c>
      <c r="C1089" t="s">
        <v>223</v>
      </c>
      <c r="D1089" t="s">
        <v>3366</v>
      </c>
      <c r="E1089" t="s">
        <v>3367</v>
      </c>
      <c r="F1089" t="s">
        <v>370</v>
      </c>
      <c r="G1089" t="s">
        <v>416</v>
      </c>
      <c r="H1089">
        <v>3</v>
      </c>
      <c r="I1089">
        <v>35</v>
      </c>
      <c r="J1089">
        <v>0</v>
      </c>
      <c r="K1089">
        <v>0</v>
      </c>
      <c r="L1089" t="s">
        <v>112</v>
      </c>
      <c r="M1089" t="s">
        <v>118</v>
      </c>
      <c r="N1089">
        <v>40</v>
      </c>
      <c r="O1089">
        <v>2</v>
      </c>
      <c r="P1089" t="s">
        <v>138</v>
      </c>
      <c r="Q1089">
        <v>40</v>
      </c>
      <c r="R1089">
        <v>0</v>
      </c>
      <c r="S1089">
        <v>0</v>
      </c>
      <c r="T1089">
        <v>0</v>
      </c>
      <c r="U1089" t="s">
        <v>1353</v>
      </c>
      <c r="V1089">
        <v>25</v>
      </c>
      <c r="W1089">
        <v>0</v>
      </c>
      <c r="X1089">
        <v>10</v>
      </c>
      <c r="Y1089">
        <v>0</v>
      </c>
      <c r="Z1089" t="s">
        <v>288</v>
      </c>
      <c r="AA1089">
        <v>1.75</v>
      </c>
      <c r="AB1089" t="s">
        <v>111</v>
      </c>
      <c r="AC1089">
        <v>0</v>
      </c>
      <c r="AD1089" t="s">
        <v>416</v>
      </c>
      <c r="AE1089">
        <v>2</v>
      </c>
      <c r="AF1089">
        <v>2</v>
      </c>
      <c r="AG1089" t="s">
        <v>691</v>
      </c>
      <c r="AH1089" t="s">
        <v>111</v>
      </c>
      <c r="AI1089">
        <v>38</v>
      </c>
      <c r="AJ1089" t="s">
        <v>111</v>
      </c>
      <c r="AK1089" t="s">
        <v>111</v>
      </c>
      <c r="AL1089" t="s">
        <v>111</v>
      </c>
      <c r="AM1089">
        <v>0</v>
      </c>
      <c r="AN1089">
        <v>0</v>
      </c>
      <c r="AO1089">
        <v>0</v>
      </c>
      <c r="AP1089" t="s">
        <v>366</v>
      </c>
      <c r="AQ1089" t="s">
        <v>111</v>
      </c>
      <c r="AR1089" t="s">
        <v>111</v>
      </c>
      <c r="AS1089" t="s">
        <v>111</v>
      </c>
      <c r="AT1089" t="s">
        <v>271</v>
      </c>
      <c r="AU1089" t="s">
        <v>111</v>
      </c>
      <c r="AV1089" t="s">
        <v>111</v>
      </c>
      <c r="AW1089" t="s">
        <v>111</v>
      </c>
      <c r="AX1089" t="s">
        <v>111</v>
      </c>
      <c r="AY1089" t="s">
        <v>111</v>
      </c>
      <c r="AZ1089" t="s">
        <v>111</v>
      </c>
      <c r="BA1089" t="s">
        <v>111</v>
      </c>
      <c r="BB1089" t="s">
        <v>111</v>
      </c>
      <c r="BC1089" t="s">
        <v>111</v>
      </c>
      <c r="BD1089" t="s">
        <v>111</v>
      </c>
      <c r="BE1089" t="s">
        <v>111</v>
      </c>
      <c r="BF1089" t="s">
        <v>111</v>
      </c>
      <c r="BG1089" t="s">
        <v>111</v>
      </c>
      <c r="BH1089" t="s">
        <v>111</v>
      </c>
      <c r="BI1089" t="s">
        <v>111</v>
      </c>
      <c r="BJ1089" t="s">
        <v>111</v>
      </c>
      <c r="BK1089" t="s">
        <v>111</v>
      </c>
      <c r="BL1089" t="s">
        <v>111</v>
      </c>
      <c r="BM1089" t="s">
        <v>111</v>
      </c>
      <c r="BN1089" t="s">
        <v>111</v>
      </c>
      <c r="BO1089" t="s">
        <v>111</v>
      </c>
      <c r="BP1089" t="s">
        <v>111</v>
      </c>
      <c r="BQ1089" t="s">
        <v>111</v>
      </c>
      <c r="BR1089" t="s">
        <v>111</v>
      </c>
      <c r="BS1089" t="s">
        <v>111</v>
      </c>
      <c r="BT1089" t="s">
        <v>111</v>
      </c>
      <c r="BU1089" t="s">
        <v>111</v>
      </c>
      <c r="BV1089" t="s">
        <v>111</v>
      </c>
      <c r="BW1089" t="s">
        <v>111</v>
      </c>
      <c r="BX1089" t="s">
        <v>111</v>
      </c>
      <c r="BY1089" t="s">
        <v>111</v>
      </c>
      <c r="BZ1089" t="s">
        <v>111</v>
      </c>
      <c r="CA1089" t="s">
        <v>111</v>
      </c>
      <c r="CB1089" t="s">
        <v>111</v>
      </c>
      <c r="CC1089" t="s">
        <v>111</v>
      </c>
      <c r="CD1089" t="s">
        <v>111</v>
      </c>
      <c r="CE1089" t="s">
        <v>111</v>
      </c>
      <c r="CF1089" t="s">
        <v>111</v>
      </c>
      <c r="CG1089" t="s">
        <v>111</v>
      </c>
      <c r="CH1089" t="s">
        <v>111</v>
      </c>
      <c r="CI1089" t="s">
        <v>111</v>
      </c>
      <c r="CJ1089" t="s">
        <v>111</v>
      </c>
      <c r="CK1089" t="s">
        <v>111</v>
      </c>
      <c r="CL1089" t="s">
        <v>419</v>
      </c>
      <c r="CM1089" t="s">
        <v>111</v>
      </c>
      <c r="CN1089" t="s">
        <v>111</v>
      </c>
      <c r="CO1089" t="s">
        <v>111</v>
      </c>
      <c r="CP1089" t="s">
        <v>111</v>
      </c>
      <c r="CQ1089">
        <v>0</v>
      </c>
      <c r="CR1089">
        <v>0</v>
      </c>
      <c r="CS1089">
        <v>0</v>
      </c>
      <c r="CT1089" t="s">
        <v>111</v>
      </c>
      <c r="CU1089">
        <v>0</v>
      </c>
      <c r="CV1089" t="s">
        <v>111</v>
      </c>
      <c r="CW1089" t="s">
        <v>111</v>
      </c>
      <c r="CX1089" t="s">
        <v>111</v>
      </c>
      <c r="CY1089">
        <v>0</v>
      </c>
      <c r="CZ1089" t="s">
        <v>111</v>
      </c>
      <c r="DA1089" t="s">
        <v>111</v>
      </c>
      <c r="DB1089" t="s">
        <v>204</v>
      </c>
      <c r="DC1089" s="1" t="s">
        <v>3032</v>
      </c>
    </row>
    <row r="1090" spans="1:107">
      <c r="A1090">
        <v>241</v>
      </c>
      <c r="B1090" t="s">
        <v>162</v>
      </c>
      <c r="C1090" t="s">
        <v>3287</v>
      </c>
      <c r="D1090" t="s">
        <v>3288</v>
      </c>
      <c r="E1090" t="s">
        <v>3368</v>
      </c>
      <c r="F1090" t="s">
        <v>370</v>
      </c>
      <c r="G1090" t="s">
        <v>416</v>
      </c>
      <c r="H1090">
        <v>3</v>
      </c>
      <c r="I1090">
        <v>78</v>
      </c>
      <c r="J1090">
        <v>0</v>
      </c>
      <c r="K1090">
        <v>0</v>
      </c>
      <c r="L1090" t="s">
        <v>117</v>
      </c>
      <c r="M1090" t="s">
        <v>118</v>
      </c>
      <c r="N1090">
        <v>40</v>
      </c>
      <c r="O1090">
        <v>2</v>
      </c>
      <c r="P1090" t="s">
        <v>138</v>
      </c>
      <c r="Q1090">
        <v>40</v>
      </c>
      <c r="R1090">
        <v>0</v>
      </c>
      <c r="S1090">
        <v>0</v>
      </c>
      <c r="T1090">
        <v>0</v>
      </c>
      <c r="U1090" t="s">
        <v>1353</v>
      </c>
      <c r="V1090">
        <v>25</v>
      </c>
      <c r="W1090">
        <v>0</v>
      </c>
      <c r="X1090">
        <v>8</v>
      </c>
      <c r="Y1090">
        <v>0</v>
      </c>
      <c r="Z1090" t="s">
        <v>288</v>
      </c>
      <c r="AA1090">
        <v>1.65</v>
      </c>
      <c r="AB1090" t="s">
        <v>111</v>
      </c>
      <c r="AC1090">
        <v>0</v>
      </c>
      <c r="AD1090" t="s">
        <v>416</v>
      </c>
      <c r="AE1090">
        <v>3</v>
      </c>
      <c r="AF1090">
        <v>2</v>
      </c>
      <c r="AG1090">
        <v>38</v>
      </c>
      <c r="AH1090" t="s">
        <v>111</v>
      </c>
      <c r="AI1090">
        <v>38</v>
      </c>
      <c r="AJ1090" t="s">
        <v>111</v>
      </c>
      <c r="AK1090" t="s">
        <v>111</v>
      </c>
      <c r="AL1090" t="s">
        <v>111</v>
      </c>
      <c r="AM1090">
        <v>0</v>
      </c>
      <c r="AN1090">
        <v>0</v>
      </c>
      <c r="AO1090">
        <v>0</v>
      </c>
      <c r="AP1090" t="s">
        <v>184</v>
      </c>
      <c r="AQ1090">
        <v>81118</v>
      </c>
      <c r="AR1090" t="s">
        <v>111</v>
      </c>
      <c r="AS1090" t="s">
        <v>111</v>
      </c>
      <c r="AT1090" t="s">
        <v>2774</v>
      </c>
      <c r="AU1090">
        <v>95303</v>
      </c>
      <c r="AV1090" t="s">
        <v>111</v>
      </c>
      <c r="AW1090" t="s">
        <v>111</v>
      </c>
      <c r="AX1090" t="s">
        <v>772</v>
      </c>
      <c r="AY1090">
        <v>95202</v>
      </c>
      <c r="AZ1090" t="s">
        <v>111</v>
      </c>
      <c r="BA1090" t="s">
        <v>111</v>
      </c>
      <c r="BB1090" t="s">
        <v>111</v>
      </c>
      <c r="BC1090" t="s">
        <v>111</v>
      </c>
      <c r="BD1090" t="s">
        <v>111</v>
      </c>
      <c r="BE1090" t="s">
        <v>111</v>
      </c>
      <c r="BF1090" t="s">
        <v>111</v>
      </c>
      <c r="BG1090" t="s">
        <v>111</v>
      </c>
      <c r="BH1090" t="s">
        <v>111</v>
      </c>
      <c r="BI1090" t="s">
        <v>111</v>
      </c>
      <c r="BJ1090" t="s">
        <v>111</v>
      </c>
      <c r="BK1090" t="s">
        <v>111</v>
      </c>
      <c r="BL1090" t="s">
        <v>111</v>
      </c>
      <c r="BM1090" t="s">
        <v>111</v>
      </c>
      <c r="BN1090" t="s">
        <v>111</v>
      </c>
      <c r="BO1090" t="s">
        <v>111</v>
      </c>
      <c r="BP1090" t="s">
        <v>111</v>
      </c>
      <c r="BQ1090" t="s">
        <v>111</v>
      </c>
      <c r="BR1090" t="s">
        <v>111</v>
      </c>
      <c r="BS1090" t="s">
        <v>111</v>
      </c>
      <c r="BT1090" t="s">
        <v>111</v>
      </c>
      <c r="BU1090" t="s">
        <v>111</v>
      </c>
      <c r="BV1090" t="s">
        <v>111</v>
      </c>
      <c r="BW1090" t="s">
        <v>111</v>
      </c>
      <c r="BX1090" t="s">
        <v>111</v>
      </c>
      <c r="BY1090" t="s">
        <v>111</v>
      </c>
      <c r="BZ1090" t="s">
        <v>111</v>
      </c>
      <c r="CA1090" t="s">
        <v>111</v>
      </c>
      <c r="CB1090" t="s">
        <v>111</v>
      </c>
      <c r="CC1090" t="s">
        <v>111</v>
      </c>
      <c r="CD1090" t="s">
        <v>111</v>
      </c>
      <c r="CE1090" t="s">
        <v>111</v>
      </c>
      <c r="CF1090" t="s">
        <v>111</v>
      </c>
      <c r="CG1090" t="s">
        <v>111</v>
      </c>
      <c r="CH1090" t="s">
        <v>111</v>
      </c>
      <c r="CI1090" t="s">
        <v>111</v>
      </c>
      <c r="CJ1090" t="s">
        <v>111</v>
      </c>
      <c r="CK1090" t="s">
        <v>111</v>
      </c>
      <c r="CL1090" t="s">
        <v>153</v>
      </c>
      <c r="CM1090" t="s">
        <v>198</v>
      </c>
      <c r="CN1090" t="s">
        <v>113</v>
      </c>
      <c r="CO1090" t="s">
        <v>111</v>
      </c>
      <c r="CP1090" t="s">
        <v>433</v>
      </c>
      <c r="CQ1090">
        <v>0</v>
      </c>
      <c r="CR1090">
        <v>0</v>
      </c>
      <c r="CS1090">
        <v>0</v>
      </c>
      <c r="CT1090" t="s">
        <v>419</v>
      </c>
      <c r="CU1090">
        <v>0</v>
      </c>
      <c r="CV1090" t="s">
        <v>111</v>
      </c>
      <c r="CW1090" t="s">
        <v>111</v>
      </c>
      <c r="CX1090" t="s">
        <v>111</v>
      </c>
      <c r="CY1090">
        <v>0</v>
      </c>
      <c r="CZ1090" t="s">
        <v>111</v>
      </c>
      <c r="DA1090" t="s">
        <v>111</v>
      </c>
      <c r="DB1090" t="s">
        <v>204</v>
      </c>
      <c r="DC1090" s="1" t="s">
        <v>3290</v>
      </c>
    </row>
    <row r="1091" spans="1:107">
      <c r="A1091">
        <v>28</v>
      </c>
      <c r="B1091" t="s">
        <v>162</v>
      </c>
      <c r="C1091" t="s">
        <v>223</v>
      </c>
      <c r="D1091" t="s">
        <v>688</v>
      </c>
      <c r="E1091" t="s">
        <v>3369</v>
      </c>
      <c r="F1091" t="s">
        <v>370</v>
      </c>
      <c r="G1091" t="s">
        <v>416</v>
      </c>
      <c r="H1091">
        <v>2.5</v>
      </c>
      <c r="I1091">
        <v>50</v>
      </c>
      <c r="J1091">
        <v>0</v>
      </c>
      <c r="K1091">
        <v>0</v>
      </c>
      <c r="L1091" t="s">
        <v>112</v>
      </c>
      <c r="M1091" t="s">
        <v>118</v>
      </c>
      <c r="N1091">
        <v>40</v>
      </c>
      <c r="O1091">
        <v>2</v>
      </c>
      <c r="P1091" t="s">
        <v>138</v>
      </c>
      <c r="Q1091">
        <v>40</v>
      </c>
      <c r="R1091">
        <v>0</v>
      </c>
      <c r="S1091">
        <v>0</v>
      </c>
      <c r="T1091">
        <v>0</v>
      </c>
      <c r="U1091" t="s">
        <v>1353</v>
      </c>
      <c r="V1091">
        <v>25</v>
      </c>
      <c r="W1091">
        <v>0</v>
      </c>
      <c r="X1091">
        <v>10</v>
      </c>
      <c r="Y1091">
        <v>0</v>
      </c>
      <c r="Z1091" t="s">
        <v>288</v>
      </c>
      <c r="AA1091">
        <v>1.75</v>
      </c>
      <c r="AB1091" t="s">
        <v>111</v>
      </c>
      <c r="AC1091">
        <v>0</v>
      </c>
      <c r="AD1091" t="s">
        <v>416</v>
      </c>
      <c r="AE1091">
        <v>2</v>
      </c>
      <c r="AF1091">
        <v>2</v>
      </c>
      <c r="AG1091" t="s">
        <v>691</v>
      </c>
      <c r="AH1091" t="s">
        <v>111</v>
      </c>
      <c r="AI1091">
        <v>38</v>
      </c>
      <c r="AJ1091" t="s">
        <v>111</v>
      </c>
      <c r="AK1091" t="s">
        <v>111</v>
      </c>
      <c r="AL1091" t="s">
        <v>111</v>
      </c>
      <c r="AM1091">
        <v>0</v>
      </c>
      <c r="AN1091">
        <v>0</v>
      </c>
      <c r="AO1091">
        <v>0</v>
      </c>
      <c r="AP1091" t="s">
        <v>366</v>
      </c>
      <c r="AQ1091" t="s">
        <v>111</v>
      </c>
      <c r="AR1091" t="s">
        <v>111</v>
      </c>
      <c r="AS1091" t="s">
        <v>111</v>
      </c>
      <c r="AT1091" t="s">
        <v>271</v>
      </c>
      <c r="AU1091" t="s">
        <v>111</v>
      </c>
      <c r="AV1091" t="s">
        <v>111</v>
      </c>
      <c r="AW1091" t="s">
        <v>111</v>
      </c>
      <c r="AX1091" t="s">
        <v>111</v>
      </c>
      <c r="AY1091" t="s">
        <v>111</v>
      </c>
      <c r="AZ1091" t="s">
        <v>111</v>
      </c>
      <c r="BA1091" t="s">
        <v>111</v>
      </c>
      <c r="BB1091" t="s">
        <v>111</v>
      </c>
      <c r="BC1091" t="s">
        <v>111</v>
      </c>
      <c r="BD1091" t="s">
        <v>111</v>
      </c>
      <c r="BE1091" t="s">
        <v>111</v>
      </c>
      <c r="BF1091" t="s">
        <v>111</v>
      </c>
      <c r="BG1091" t="s">
        <v>111</v>
      </c>
      <c r="BH1091" t="s">
        <v>111</v>
      </c>
      <c r="BI1091" t="s">
        <v>111</v>
      </c>
      <c r="BJ1091" t="s">
        <v>111</v>
      </c>
      <c r="BK1091" t="s">
        <v>111</v>
      </c>
      <c r="BL1091" t="s">
        <v>111</v>
      </c>
      <c r="BM1091" t="s">
        <v>111</v>
      </c>
      <c r="BN1091" t="s">
        <v>111</v>
      </c>
      <c r="BO1091" t="s">
        <v>111</v>
      </c>
      <c r="BP1091" t="s">
        <v>111</v>
      </c>
      <c r="BQ1091" t="s">
        <v>111</v>
      </c>
      <c r="BR1091" t="s">
        <v>111</v>
      </c>
      <c r="BS1091" t="s">
        <v>111</v>
      </c>
      <c r="BT1091" t="s">
        <v>111</v>
      </c>
      <c r="BU1091" t="s">
        <v>111</v>
      </c>
      <c r="BV1091" t="s">
        <v>111</v>
      </c>
      <c r="BW1091" t="s">
        <v>111</v>
      </c>
      <c r="BX1091" t="s">
        <v>111</v>
      </c>
      <c r="BY1091" t="s">
        <v>111</v>
      </c>
      <c r="BZ1091" t="s">
        <v>111</v>
      </c>
      <c r="CA1091" t="s">
        <v>111</v>
      </c>
      <c r="CB1091" t="s">
        <v>111</v>
      </c>
      <c r="CC1091" t="s">
        <v>111</v>
      </c>
      <c r="CD1091" t="s">
        <v>111</v>
      </c>
      <c r="CE1091" t="s">
        <v>111</v>
      </c>
      <c r="CF1091" t="s">
        <v>111</v>
      </c>
      <c r="CG1091" t="s">
        <v>111</v>
      </c>
      <c r="CH1091" t="s">
        <v>111</v>
      </c>
      <c r="CI1091" t="s">
        <v>111</v>
      </c>
      <c r="CJ1091" t="s">
        <v>111</v>
      </c>
      <c r="CK1091" t="s">
        <v>111</v>
      </c>
      <c r="CL1091" t="s">
        <v>2890</v>
      </c>
      <c r="CM1091" t="s">
        <v>111</v>
      </c>
      <c r="CN1091" t="s">
        <v>111</v>
      </c>
      <c r="CO1091" t="s">
        <v>111</v>
      </c>
      <c r="CP1091" t="s">
        <v>111</v>
      </c>
      <c r="CQ1091">
        <v>0</v>
      </c>
      <c r="CR1091">
        <v>0</v>
      </c>
      <c r="CS1091">
        <v>0</v>
      </c>
      <c r="CT1091" t="s">
        <v>111</v>
      </c>
      <c r="CU1091">
        <v>0</v>
      </c>
      <c r="CV1091" t="s">
        <v>111</v>
      </c>
      <c r="CW1091" t="s">
        <v>111</v>
      </c>
      <c r="CX1091" t="s">
        <v>111</v>
      </c>
      <c r="CY1091">
        <v>0</v>
      </c>
      <c r="CZ1091" t="s">
        <v>111</v>
      </c>
      <c r="DA1091" t="s">
        <v>111</v>
      </c>
      <c r="DB1091" t="s">
        <v>204</v>
      </c>
      <c r="DC1091" s="1" t="s">
        <v>3032</v>
      </c>
    </row>
    <row r="1092" spans="1:107">
      <c r="A1092">
        <v>221</v>
      </c>
      <c r="B1092" t="s">
        <v>162</v>
      </c>
      <c r="C1092" t="s">
        <v>719</v>
      </c>
      <c r="D1092" t="s">
        <v>3370</v>
      </c>
      <c r="E1092" t="s">
        <v>3371</v>
      </c>
      <c r="F1092" t="s">
        <v>561</v>
      </c>
      <c r="G1092" t="s">
        <v>416</v>
      </c>
      <c r="H1092">
        <v>3.4</v>
      </c>
      <c r="I1092">
        <v>72</v>
      </c>
      <c r="J1092">
        <v>0</v>
      </c>
      <c r="K1092">
        <v>0</v>
      </c>
      <c r="L1092" t="s">
        <v>112</v>
      </c>
      <c r="M1092" t="s">
        <v>118</v>
      </c>
      <c r="N1092">
        <v>40</v>
      </c>
      <c r="O1092">
        <v>2</v>
      </c>
      <c r="P1092" t="s">
        <v>138</v>
      </c>
      <c r="Q1092">
        <v>40</v>
      </c>
      <c r="R1092">
        <v>0</v>
      </c>
      <c r="S1092">
        <v>0</v>
      </c>
      <c r="T1092">
        <v>0</v>
      </c>
      <c r="U1092" t="s">
        <v>1353</v>
      </c>
      <c r="V1092">
        <v>25</v>
      </c>
      <c r="W1092">
        <v>0</v>
      </c>
      <c r="X1092">
        <v>8</v>
      </c>
      <c r="Y1092">
        <v>0</v>
      </c>
      <c r="Z1092" t="s">
        <v>288</v>
      </c>
      <c r="AA1092">
        <v>1.65</v>
      </c>
      <c r="AB1092" t="s">
        <v>111</v>
      </c>
      <c r="AC1092">
        <v>0</v>
      </c>
      <c r="AD1092" t="s">
        <v>416</v>
      </c>
      <c r="AE1092">
        <v>2</v>
      </c>
      <c r="AF1092">
        <v>2</v>
      </c>
      <c r="AG1092">
        <v>50</v>
      </c>
      <c r="AH1092" t="s">
        <v>111</v>
      </c>
      <c r="AI1092">
        <v>50</v>
      </c>
      <c r="AJ1092" t="s">
        <v>111</v>
      </c>
      <c r="AK1092" t="s">
        <v>111</v>
      </c>
      <c r="AL1092" t="s">
        <v>111</v>
      </c>
      <c r="AM1092">
        <v>0</v>
      </c>
      <c r="AN1092">
        <v>0</v>
      </c>
      <c r="AO1092">
        <v>0</v>
      </c>
      <c r="AP1092" t="s">
        <v>188</v>
      </c>
      <c r="AQ1092" t="s">
        <v>111</v>
      </c>
      <c r="AR1092" t="s">
        <v>111</v>
      </c>
      <c r="AS1092" t="s">
        <v>111</v>
      </c>
      <c r="AT1092" t="s">
        <v>271</v>
      </c>
      <c r="AU1092" t="s">
        <v>111</v>
      </c>
      <c r="AV1092" t="s">
        <v>111</v>
      </c>
      <c r="AW1092" t="s">
        <v>111</v>
      </c>
      <c r="AX1092" t="s">
        <v>111</v>
      </c>
      <c r="AY1092" t="s">
        <v>111</v>
      </c>
      <c r="AZ1092" t="s">
        <v>111</v>
      </c>
      <c r="BA1092" t="s">
        <v>111</v>
      </c>
      <c r="BB1092" t="s">
        <v>111</v>
      </c>
      <c r="BC1092" t="s">
        <v>111</v>
      </c>
      <c r="BD1092" t="s">
        <v>111</v>
      </c>
      <c r="BE1092" t="s">
        <v>111</v>
      </c>
      <c r="BF1092" t="s">
        <v>111</v>
      </c>
      <c r="BG1092" t="s">
        <v>111</v>
      </c>
      <c r="BH1092" t="s">
        <v>111</v>
      </c>
      <c r="BI1092" t="s">
        <v>111</v>
      </c>
      <c r="BJ1092" t="s">
        <v>111</v>
      </c>
      <c r="BK1092" t="s">
        <v>111</v>
      </c>
      <c r="BL1092" t="s">
        <v>111</v>
      </c>
      <c r="BM1092" t="s">
        <v>111</v>
      </c>
      <c r="BN1092" t="s">
        <v>111</v>
      </c>
      <c r="BO1092" t="s">
        <v>111</v>
      </c>
      <c r="BP1092" t="s">
        <v>111</v>
      </c>
      <c r="BQ1092" t="s">
        <v>111</v>
      </c>
      <c r="BR1092" t="s">
        <v>111</v>
      </c>
      <c r="BS1092" t="s">
        <v>111</v>
      </c>
      <c r="BT1092" t="s">
        <v>111</v>
      </c>
      <c r="BU1092" t="s">
        <v>111</v>
      </c>
      <c r="BV1092" t="s">
        <v>111</v>
      </c>
      <c r="BW1092" t="s">
        <v>111</v>
      </c>
      <c r="BX1092" t="s">
        <v>111</v>
      </c>
      <c r="BY1092" t="s">
        <v>111</v>
      </c>
      <c r="BZ1092" t="s">
        <v>111</v>
      </c>
      <c r="CA1092" t="s">
        <v>111</v>
      </c>
      <c r="CB1092" t="s">
        <v>111</v>
      </c>
      <c r="CC1092" t="s">
        <v>111</v>
      </c>
      <c r="CD1092" t="s">
        <v>111</v>
      </c>
      <c r="CE1092" t="s">
        <v>111</v>
      </c>
      <c r="CF1092" t="s">
        <v>111</v>
      </c>
      <c r="CG1092" t="s">
        <v>111</v>
      </c>
      <c r="CH1092" t="s">
        <v>111</v>
      </c>
      <c r="CI1092" t="s">
        <v>111</v>
      </c>
      <c r="CJ1092" t="s">
        <v>111</v>
      </c>
      <c r="CK1092" t="s">
        <v>111</v>
      </c>
      <c r="CL1092" t="s">
        <v>153</v>
      </c>
      <c r="CM1092" t="s">
        <v>198</v>
      </c>
      <c r="CN1092" t="s">
        <v>113</v>
      </c>
      <c r="CO1092" t="s">
        <v>1348</v>
      </c>
      <c r="CP1092" t="s">
        <v>433</v>
      </c>
      <c r="CQ1092">
        <v>0</v>
      </c>
      <c r="CR1092">
        <v>0</v>
      </c>
      <c r="CS1092">
        <v>0</v>
      </c>
      <c r="CT1092" t="s">
        <v>419</v>
      </c>
      <c r="CU1092">
        <v>0</v>
      </c>
      <c r="CV1092" t="s">
        <v>111</v>
      </c>
      <c r="CW1092" t="s">
        <v>111</v>
      </c>
      <c r="CX1092" t="s">
        <v>111</v>
      </c>
      <c r="CY1092">
        <v>0</v>
      </c>
      <c r="CZ1092" t="s">
        <v>111</v>
      </c>
      <c r="DA1092" t="s">
        <v>111</v>
      </c>
      <c r="DB1092" t="s">
        <v>204</v>
      </c>
      <c r="DC1092" s="1" t="s">
        <v>1350</v>
      </c>
    </row>
    <row r="1093" spans="1:107">
      <c r="A1093">
        <v>39</v>
      </c>
      <c r="B1093" t="s">
        <v>162</v>
      </c>
      <c r="C1093" t="s">
        <v>638</v>
      </c>
      <c r="D1093" t="s">
        <v>3228</v>
      </c>
      <c r="E1093" t="s">
        <v>3372</v>
      </c>
      <c r="F1093" t="s">
        <v>192</v>
      </c>
      <c r="G1093" t="s">
        <v>416</v>
      </c>
      <c r="H1093">
        <v>3.8</v>
      </c>
      <c r="I1093">
        <v>40</v>
      </c>
      <c r="J1093">
        <v>0</v>
      </c>
      <c r="K1093">
        <v>0</v>
      </c>
      <c r="L1093" t="s">
        <v>112</v>
      </c>
      <c r="M1093" t="s">
        <v>138</v>
      </c>
      <c r="N1093">
        <v>0</v>
      </c>
      <c r="O1093">
        <v>0</v>
      </c>
      <c r="P1093" t="s">
        <v>138</v>
      </c>
      <c r="Q1093">
        <v>40</v>
      </c>
      <c r="R1093">
        <v>0</v>
      </c>
      <c r="S1093">
        <v>0</v>
      </c>
      <c r="T1093">
        <v>0</v>
      </c>
      <c r="U1093" t="s">
        <v>168</v>
      </c>
      <c r="V1093">
        <v>0</v>
      </c>
      <c r="W1093">
        <v>25</v>
      </c>
      <c r="X1093">
        <v>8</v>
      </c>
      <c r="Y1093">
        <v>0</v>
      </c>
      <c r="Z1093" t="s">
        <v>111</v>
      </c>
      <c r="AA1093">
        <v>0</v>
      </c>
      <c r="AB1093" t="s">
        <v>111</v>
      </c>
      <c r="AC1093">
        <v>0</v>
      </c>
      <c r="AD1093" t="s">
        <v>111</v>
      </c>
      <c r="AE1093">
        <v>0</v>
      </c>
      <c r="AF1093">
        <v>0</v>
      </c>
      <c r="AG1093" t="s">
        <v>111</v>
      </c>
      <c r="AH1093" t="s">
        <v>111</v>
      </c>
      <c r="AI1093" t="s">
        <v>111</v>
      </c>
      <c r="AJ1093" t="s">
        <v>111</v>
      </c>
      <c r="AK1093" t="s">
        <v>111</v>
      </c>
      <c r="AL1093" t="s">
        <v>111</v>
      </c>
      <c r="AM1093">
        <v>0</v>
      </c>
      <c r="AN1093">
        <v>0</v>
      </c>
      <c r="AO1093">
        <v>0</v>
      </c>
      <c r="AP1093" t="s">
        <v>111</v>
      </c>
      <c r="AQ1093" t="s">
        <v>111</v>
      </c>
      <c r="AR1093" t="s">
        <v>111</v>
      </c>
      <c r="AS1093" t="s">
        <v>111</v>
      </c>
      <c r="AT1093" t="s">
        <v>111</v>
      </c>
      <c r="AU1093" t="s">
        <v>111</v>
      </c>
      <c r="AV1093" t="s">
        <v>111</v>
      </c>
      <c r="AW1093" t="s">
        <v>111</v>
      </c>
      <c r="AX1093" t="s">
        <v>111</v>
      </c>
      <c r="AY1093" t="s">
        <v>111</v>
      </c>
      <c r="AZ1093" t="s">
        <v>111</v>
      </c>
      <c r="BA1093" t="s">
        <v>111</v>
      </c>
      <c r="BB1093" t="s">
        <v>111</v>
      </c>
      <c r="BC1093" t="s">
        <v>111</v>
      </c>
      <c r="BD1093" t="s">
        <v>111</v>
      </c>
      <c r="BE1093" t="s">
        <v>111</v>
      </c>
      <c r="BF1093" t="s">
        <v>111</v>
      </c>
      <c r="BG1093" t="s">
        <v>111</v>
      </c>
      <c r="BH1093" t="s">
        <v>111</v>
      </c>
      <c r="BI1093" t="s">
        <v>111</v>
      </c>
      <c r="BJ1093" t="s">
        <v>111</v>
      </c>
      <c r="BK1093" t="s">
        <v>111</v>
      </c>
      <c r="BL1093" t="s">
        <v>111</v>
      </c>
      <c r="BM1093" t="s">
        <v>111</v>
      </c>
      <c r="BN1093" t="s">
        <v>111</v>
      </c>
      <c r="BO1093" t="s">
        <v>111</v>
      </c>
      <c r="BP1093" t="s">
        <v>111</v>
      </c>
      <c r="BQ1093" t="s">
        <v>111</v>
      </c>
      <c r="BR1093" t="s">
        <v>111</v>
      </c>
      <c r="BS1093" t="s">
        <v>111</v>
      </c>
      <c r="BT1093" t="s">
        <v>111</v>
      </c>
      <c r="BU1093" t="s">
        <v>111</v>
      </c>
      <c r="BV1093" t="s">
        <v>111</v>
      </c>
      <c r="BW1093" t="s">
        <v>111</v>
      </c>
      <c r="BX1093" t="s">
        <v>111</v>
      </c>
      <c r="BY1093" t="s">
        <v>111</v>
      </c>
      <c r="BZ1093" t="s">
        <v>111</v>
      </c>
      <c r="CA1093" t="s">
        <v>111</v>
      </c>
      <c r="CB1093" t="s">
        <v>111</v>
      </c>
      <c r="CC1093" t="s">
        <v>111</v>
      </c>
      <c r="CD1093" t="s">
        <v>111</v>
      </c>
      <c r="CE1093" t="s">
        <v>111</v>
      </c>
      <c r="CF1093" t="s">
        <v>111</v>
      </c>
      <c r="CG1093" t="s">
        <v>111</v>
      </c>
      <c r="CH1093" t="s">
        <v>111</v>
      </c>
      <c r="CI1093" t="s">
        <v>111</v>
      </c>
      <c r="CJ1093" t="s">
        <v>111</v>
      </c>
      <c r="CK1093" t="s">
        <v>111</v>
      </c>
      <c r="CL1093" t="s">
        <v>111</v>
      </c>
      <c r="CM1093" t="s">
        <v>198</v>
      </c>
      <c r="CN1093" t="s">
        <v>128</v>
      </c>
      <c r="CO1093" t="s">
        <v>111</v>
      </c>
      <c r="CP1093" t="s">
        <v>111</v>
      </c>
      <c r="CQ1093">
        <v>0</v>
      </c>
      <c r="CR1093">
        <v>0</v>
      </c>
      <c r="CS1093">
        <v>0</v>
      </c>
      <c r="CT1093" t="s">
        <v>3373</v>
      </c>
      <c r="CU1093">
        <v>0</v>
      </c>
      <c r="CV1093" t="s">
        <v>111</v>
      </c>
      <c r="CW1093" t="s">
        <v>111</v>
      </c>
      <c r="CX1093" t="s">
        <v>111</v>
      </c>
      <c r="CY1093">
        <v>0</v>
      </c>
      <c r="CZ1093" t="s">
        <v>111</v>
      </c>
      <c r="DA1093" t="s">
        <v>111</v>
      </c>
      <c r="DB1093" t="s">
        <v>111</v>
      </c>
      <c r="DC1093" t="s">
        <v>111</v>
      </c>
    </row>
    <row r="1094" spans="1:107">
      <c r="A1094">
        <v>1482</v>
      </c>
      <c r="B1094" t="s">
        <v>107</v>
      </c>
      <c r="C1094" t="s">
        <v>412</v>
      </c>
      <c r="D1094" t="s">
        <v>3374</v>
      </c>
      <c r="E1094" t="s">
        <v>3375</v>
      </c>
      <c r="F1094" t="s">
        <v>431</v>
      </c>
      <c r="G1094" t="s">
        <v>416</v>
      </c>
      <c r="H1094">
        <v>1.9</v>
      </c>
      <c r="I1094">
        <v>37</v>
      </c>
      <c r="J1094">
        <v>0</v>
      </c>
      <c r="K1094">
        <v>0</v>
      </c>
      <c r="L1094" t="s">
        <v>112</v>
      </c>
      <c r="M1094" t="s">
        <v>118</v>
      </c>
      <c r="N1094">
        <v>40</v>
      </c>
      <c r="O1094">
        <v>1</v>
      </c>
      <c r="P1094" t="s">
        <v>111</v>
      </c>
      <c r="Q1094">
        <v>33.6</v>
      </c>
      <c r="R1094">
        <v>0</v>
      </c>
      <c r="S1094">
        <v>0</v>
      </c>
      <c r="T1094">
        <v>5</v>
      </c>
      <c r="U1094" s="1" t="s">
        <v>3376</v>
      </c>
      <c r="V1094">
        <v>0</v>
      </c>
      <c r="W1094">
        <v>25</v>
      </c>
      <c r="X1094">
        <v>7.5</v>
      </c>
      <c r="Y1094">
        <v>0</v>
      </c>
      <c r="Z1094" t="s">
        <v>111</v>
      </c>
      <c r="AA1094">
        <v>0</v>
      </c>
      <c r="AB1094" t="s">
        <v>111</v>
      </c>
      <c r="AC1094">
        <v>0</v>
      </c>
      <c r="AD1094" t="s">
        <v>416</v>
      </c>
      <c r="AE1094">
        <v>0</v>
      </c>
      <c r="AF1094">
        <v>0</v>
      </c>
      <c r="AG1094" t="s">
        <v>111</v>
      </c>
      <c r="AH1094" t="s">
        <v>111</v>
      </c>
      <c r="AI1094" t="s">
        <v>111</v>
      </c>
      <c r="AJ1094" t="s">
        <v>111</v>
      </c>
      <c r="AK1094" t="s">
        <v>111</v>
      </c>
      <c r="AL1094" t="s">
        <v>111</v>
      </c>
      <c r="AM1094">
        <v>0</v>
      </c>
      <c r="AN1094">
        <v>0</v>
      </c>
      <c r="AO1094">
        <v>0</v>
      </c>
      <c r="AP1094" t="s">
        <v>111</v>
      </c>
      <c r="AQ1094" t="s">
        <v>111</v>
      </c>
      <c r="AR1094" t="s">
        <v>111</v>
      </c>
      <c r="AS1094" t="s">
        <v>111</v>
      </c>
      <c r="AT1094" t="s">
        <v>111</v>
      </c>
      <c r="AU1094" t="s">
        <v>111</v>
      </c>
      <c r="AV1094" t="s">
        <v>111</v>
      </c>
      <c r="AW1094" t="s">
        <v>111</v>
      </c>
      <c r="AX1094" t="s">
        <v>111</v>
      </c>
      <c r="AY1094" t="s">
        <v>111</v>
      </c>
      <c r="AZ1094" t="s">
        <v>111</v>
      </c>
      <c r="BA1094" t="s">
        <v>111</v>
      </c>
      <c r="BB1094" t="s">
        <v>111</v>
      </c>
      <c r="BC1094" t="s">
        <v>111</v>
      </c>
      <c r="BD1094" t="s">
        <v>111</v>
      </c>
      <c r="BE1094" t="s">
        <v>111</v>
      </c>
      <c r="BF1094" t="s">
        <v>111</v>
      </c>
      <c r="BG1094" t="s">
        <v>111</v>
      </c>
      <c r="BH1094" t="s">
        <v>111</v>
      </c>
      <c r="BI1094" t="s">
        <v>111</v>
      </c>
      <c r="BJ1094" t="s">
        <v>111</v>
      </c>
      <c r="BK1094" t="s">
        <v>111</v>
      </c>
      <c r="BL1094" t="s">
        <v>111</v>
      </c>
      <c r="BM1094" t="s">
        <v>111</v>
      </c>
      <c r="BN1094" t="s">
        <v>111</v>
      </c>
      <c r="BO1094" t="s">
        <v>111</v>
      </c>
      <c r="BP1094" t="s">
        <v>111</v>
      </c>
      <c r="BQ1094" t="s">
        <v>111</v>
      </c>
      <c r="BR1094" t="s">
        <v>111</v>
      </c>
      <c r="BS1094" t="s">
        <v>111</v>
      </c>
      <c r="BT1094" t="s">
        <v>111</v>
      </c>
      <c r="BU1094" t="s">
        <v>111</v>
      </c>
      <c r="BV1094" t="s">
        <v>111</v>
      </c>
      <c r="BW1094" t="s">
        <v>111</v>
      </c>
      <c r="BX1094" t="s">
        <v>111</v>
      </c>
      <c r="BY1094" t="s">
        <v>111</v>
      </c>
      <c r="BZ1094" t="s">
        <v>111</v>
      </c>
      <c r="CA1094" t="s">
        <v>111</v>
      </c>
      <c r="CB1094" t="s">
        <v>111</v>
      </c>
      <c r="CC1094" t="s">
        <v>111</v>
      </c>
      <c r="CD1094" t="s">
        <v>111</v>
      </c>
      <c r="CE1094" t="s">
        <v>111</v>
      </c>
      <c r="CF1094" t="s">
        <v>111</v>
      </c>
      <c r="CG1094" t="s">
        <v>111</v>
      </c>
      <c r="CH1094" t="s">
        <v>111</v>
      </c>
      <c r="CI1094" t="s">
        <v>111</v>
      </c>
      <c r="CJ1094" t="s">
        <v>111</v>
      </c>
      <c r="CK1094" t="s">
        <v>111</v>
      </c>
      <c r="CL1094" t="s">
        <v>111</v>
      </c>
      <c r="CM1094" t="s">
        <v>135</v>
      </c>
      <c r="CN1094" t="s">
        <v>113</v>
      </c>
      <c r="CO1094" t="s">
        <v>367</v>
      </c>
      <c r="CP1094" t="s">
        <v>111</v>
      </c>
      <c r="CQ1094">
        <v>0</v>
      </c>
      <c r="CR1094">
        <v>3000</v>
      </c>
      <c r="CS1094">
        <v>50</v>
      </c>
      <c r="CT1094" s="1" t="s">
        <v>904</v>
      </c>
      <c r="CU1094">
        <v>0</v>
      </c>
      <c r="CV1094" t="s">
        <v>111</v>
      </c>
      <c r="CW1094" t="s">
        <v>111</v>
      </c>
      <c r="CX1094" t="s">
        <v>111</v>
      </c>
      <c r="CY1094">
        <v>0</v>
      </c>
      <c r="CZ1094" t="s">
        <v>111</v>
      </c>
      <c r="DA1094" t="s">
        <v>111</v>
      </c>
      <c r="DB1094" t="e">
        <f>-INTERNO</f>
        <v>#NAME?</v>
      </c>
      <c r="DC1094" t="e">
        <f>-TROQUEL RIÑON</f>
        <v>#NAME?</v>
      </c>
    </row>
    <row r="1095" spans="1:107">
      <c r="A1095">
        <v>213</v>
      </c>
      <c r="B1095" t="s">
        <v>162</v>
      </c>
      <c r="C1095" t="s">
        <v>428</v>
      </c>
      <c r="D1095" t="s">
        <v>1364</v>
      </c>
      <c r="E1095" t="s">
        <v>3377</v>
      </c>
      <c r="F1095" t="s">
        <v>192</v>
      </c>
      <c r="G1095" t="s">
        <v>416</v>
      </c>
      <c r="H1095">
        <v>2</v>
      </c>
      <c r="I1095">
        <v>40</v>
      </c>
      <c r="J1095">
        <v>0</v>
      </c>
      <c r="K1095">
        <v>0</v>
      </c>
      <c r="L1095" t="s">
        <v>178</v>
      </c>
      <c r="M1095" t="s">
        <v>138</v>
      </c>
      <c r="N1095">
        <v>0</v>
      </c>
      <c r="O1095">
        <v>0</v>
      </c>
      <c r="P1095" t="s">
        <v>138</v>
      </c>
      <c r="Q1095">
        <v>35</v>
      </c>
      <c r="R1095">
        <v>0</v>
      </c>
      <c r="S1095">
        <v>0</v>
      </c>
      <c r="T1095">
        <v>0</v>
      </c>
      <c r="U1095" t="s">
        <v>153</v>
      </c>
      <c r="V1095">
        <v>0</v>
      </c>
      <c r="W1095">
        <v>25</v>
      </c>
      <c r="X1095">
        <v>8</v>
      </c>
      <c r="Y1095">
        <v>0</v>
      </c>
      <c r="Z1095" t="s">
        <v>111</v>
      </c>
      <c r="AA1095">
        <v>0</v>
      </c>
      <c r="AB1095" t="s">
        <v>111</v>
      </c>
      <c r="AC1095">
        <v>0</v>
      </c>
      <c r="AD1095" t="s">
        <v>111</v>
      </c>
      <c r="AE1095">
        <v>0</v>
      </c>
      <c r="AF1095">
        <v>0</v>
      </c>
      <c r="AG1095" t="s">
        <v>111</v>
      </c>
      <c r="AH1095" t="s">
        <v>111</v>
      </c>
      <c r="AI1095" t="s">
        <v>111</v>
      </c>
      <c r="AJ1095" t="s">
        <v>111</v>
      </c>
      <c r="AK1095" t="s">
        <v>111</v>
      </c>
      <c r="AL1095" t="s">
        <v>111</v>
      </c>
      <c r="AM1095">
        <v>0</v>
      </c>
      <c r="AN1095">
        <v>0</v>
      </c>
      <c r="AO1095">
        <v>0</v>
      </c>
      <c r="AP1095" t="s">
        <v>111</v>
      </c>
      <c r="AQ1095" t="s">
        <v>111</v>
      </c>
      <c r="AR1095" t="s">
        <v>111</v>
      </c>
      <c r="AS1095" t="s">
        <v>111</v>
      </c>
      <c r="AT1095" t="s">
        <v>111</v>
      </c>
      <c r="AU1095" t="s">
        <v>111</v>
      </c>
      <c r="AV1095" t="s">
        <v>111</v>
      </c>
      <c r="AW1095" t="s">
        <v>111</v>
      </c>
      <c r="AX1095" t="s">
        <v>111</v>
      </c>
      <c r="AY1095" t="s">
        <v>111</v>
      </c>
      <c r="AZ1095" t="s">
        <v>111</v>
      </c>
      <c r="BA1095" t="s">
        <v>111</v>
      </c>
      <c r="BB1095" t="s">
        <v>111</v>
      </c>
      <c r="BC1095" t="s">
        <v>111</v>
      </c>
      <c r="BD1095" t="s">
        <v>111</v>
      </c>
      <c r="BE1095" t="s">
        <v>111</v>
      </c>
      <c r="BF1095" t="s">
        <v>111</v>
      </c>
      <c r="BG1095" t="s">
        <v>111</v>
      </c>
      <c r="BH1095" t="s">
        <v>111</v>
      </c>
      <c r="BI1095" t="s">
        <v>111</v>
      </c>
      <c r="BJ1095" t="s">
        <v>111</v>
      </c>
      <c r="BK1095" t="s">
        <v>111</v>
      </c>
      <c r="BL1095" t="s">
        <v>111</v>
      </c>
      <c r="BM1095" t="s">
        <v>111</v>
      </c>
      <c r="BN1095" t="s">
        <v>111</v>
      </c>
      <c r="BO1095" t="s">
        <v>111</v>
      </c>
      <c r="BP1095" t="s">
        <v>111</v>
      </c>
      <c r="BQ1095" t="s">
        <v>111</v>
      </c>
      <c r="BR1095" t="s">
        <v>111</v>
      </c>
      <c r="BS1095" t="s">
        <v>111</v>
      </c>
      <c r="BT1095" t="s">
        <v>111</v>
      </c>
      <c r="BU1095" t="s">
        <v>111</v>
      </c>
      <c r="BV1095" t="s">
        <v>111</v>
      </c>
      <c r="BW1095" t="s">
        <v>111</v>
      </c>
      <c r="BX1095" t="s">
        <v>111</v>
      </c>
      <c r="BY1095" t="s">
        <v>111</v>
      </c>
      <c r="BZ1095" t="s">
        <v>111</v>
      </c>
      <c r="CA1095" t="s">
        <v>111</v>
      </c>
      <c r="CB1095" t="s">
        <v>111</v>
      </c>
      <c r="CC1095" t="s">
        <v>111</v>
      </c>
      <c r="CD1095" t="s">
        <v>111</v>
      </c>
      <c r="CE1095" t="s">
        <v>111</v>
      </c>
      <c r="CF1095" t="s">
        <v>111</v>
      </c>
      <c r="CG1095" t="s">
        <v>111</v>
      </c>
      <c r="CH1095" t="s">
        <v>111</v>
      </c>
      <c r="CI1095" t="s">
        <v>111</v>
      </c>
      <c r="CJ1095" t="s">
        <v>111</v>
      </c>
      <c r="CK1095" t="s">
        <v>111</v>
      </c>
      <c r="CL1095" t="s">
        <v>111</v>
      </c>
      <c r="CM1095" t="s">
        <v>198</v>
      </c>
      <c r="CN1095" t="s">
        <v>113</v>
      </c>
      <c r="CO1095" t="s">
        <v>111</v>
      </c>
      <c r="CP1095" t="s">
        <v>111</v>
      </c>
      <c r="CQ1095">
        <v>0</v>
      </c>
      <c r="CR1095">
        <v>0</v>
      </c>
      <c r="CS1095">
        <v>0</v>
      </c>
      <c r="CT1095" t="s">
        <v>168</v>
      </c>
      <c r="CU1095">
        <v>0</v>
      </c>
      <c r="CV1095" t="s">
        <v>111</v>
      </c>
      <c r="CW1095" t="s">
        <v>111</v>
      </c>
      <c r="CX1095" t="s">
        <v>111</v>
      </c>
      <c r="CY1095">
        <v>0</v>
      </c>
      <c r="CZ1095" t="s">
        <v>111</v>
      </c>
      <c r="DA1095" t="s">
        <v>111</v>
      </c>
      <c r="DB1095" t="s">
        <v>111</v>
      </c>
      <c r="DC1095" t="s">
        <v>111</v>
      </c>
    </row>
    <row r="1096" spans="1:107">
      <c r="A1096">
        <v>17</v>
      </c>
      <c r="B1096" t="s">
        <v>162</v>
      </c>
      <c r="C1096" s="2">
        <v>93385719</v>
      </c>
      <c r="D1096" t="s">
        <v>422</v>
      </c>
      <c r="E1096" t="s">
        <v>3378</v>
      </c>
      <c r="F1096" t="s">
        <v>370</v>
      </c>
      <c r="G1096" t="s">
        <v>416</v>
      </c>
      <c r="H1096">
        <v>2.9</v>
      </c>
      <c r="I1096">
        <v>55</v>
      </c>
      <c r="J1096">
        <v>0</v>
      </c>
      <c r="K1096">
        <v>0</v>
      </c>
      <c r="L1096" t="s">
        <v>112</v>
      </c>
      <c r="M1096" t="s">
        <v>118</v>
      </c>
      <c r="N1096">
        <v>40</v>
      </c>
      <c r="O1096">
        <v>2</v>
      </c>
      <c r="P1096" t="s">
        <v>138</v>
      </c>
      <c r="Q1096">
        <v>40</v>
      </c>
      <c r="R1096">
        <v>0</v>
      </c>
      <c r="S1096">
        <v>0</v>
      </c>
      <c r="T1096">
        <v>0</v>
      </c>
      <c r="U1096" t="s">
        <v>1353</v>
      </c>
      <c r="V1096">
        <v>25</v>
      </c>
      <c r="W1096">
        <v>0</v>
      </c>
      <c r="X1096">
        <v>5</v>
      </c>
      <c r="Y1096">
        <v>0</v>
      </c>
      <c r="Z1096" t="s">
        <v>288</v>
      </c>
      <c r="AA1096">
        <v>0.3</v>
      </c>
      <c r="AB1096" t="s">
        <v>111</v>
      </c>
      <c r="AC1096">
        <v>0</v>
      </c>
      <c r="AD1096" t="s">
        <v>416</v>
      </c>
      <c r="AE1096">
        <v>2</v>
      </c>
      <c r="AF1096">
        <v>2</v>
      </c>
      <c r="AG1096">
        <v>40</v>
      </c>
      <c r="AH1096" t="s">
        <v>111</v>
      </c>
      <c r="AI1096">
        <v>40</v>
      </c>
      <c r="AJ1096" t="s">
        <v>111</v>
      </c>
      <c r="AK1096" t="s">
        <v>111</v>
      </c>
      <c r="AL1096" t="s">
        <v>111</v>
      </c>
      <c r="AM1096">
        <v>0</v>
      </c>
      <c r="AN1096">
        <v>0</v>
      </c>
      <c r="AO1096">
        <v>0</v>
      </c>
      <c r="AP1096" t="s">
        <v>366</v>
      </c>
      <c r="AQ1096" t="s">
        <v>111</v>
      </c>
      <c r="AR1096" t="s">
        <v>111</v>
      </c>
      <c r="AS1096" t="s">
        <v>111</v>
      </c>
      <c r="AT1096" t="s">
        <v>259</v>
      </c>
      <c r="AU1096" t="s">
        <v>111</v>
      </c>
      <c r="AV1096" t="s">
        <v>111</v>
      </c>
      <c r="AW1096" t="s">
        <v>111</v>
      </c>
      <c r="AX1096" t="s">
        <v>111</v>
      </c>
      <c r="AY1096" t="s">
        <v>111</v>
      </c>
      <c r="AZ1096" t="s">
        <v>111</v>
      </c>
      <c r="BA1096" t="s">
        <v>111</v>
      </c>
      <c r="BB1096" t="s">
        <v>111</v>
      </c>
      <c r="BC1096" t="s">
        <v>111</v>
      </c>
      <c r="BD1096" t="s">
        <v>111</v>
      </c>
      <c r="BE1096" t="s">
        <v>111</v>
      </c>
      <c r="BF1096" t="s">
        <v>111</v>
      </c>
      <c r="BG1096" t="s">
        <v>111</v>
      </c>
      <c r="BH1096" t="s">
        <v>111</v>
      </c>
      <c r="BI1096" t="s">
        <v>111</v>
      </c>
      <c r="BJ1096" t="s">
        <v>111</v>
      </c>
      <c r="BK1096" t="s">
        <v>111</v>
      </c>
      <c r="BL1096" t="s">
        <v>111</v>
      </c>
      <c r="BM1096" t="s">
        <v>111</v>
      </c>
      <c r="BN1096" t="s">
        <v>111</v>
      </c>
      <c r="BO1096" t="s">
        <v>111</v>
      </c>
      <c r="BP1096" t="s">
        <v>111</v>
      </c>
      <c r="BQ1096" t="s">
        <v>111</v>
      </c>
      <c r="BR1096" t="s">
        <v>111</v>
      </c>
      <c r="BS1096" t="s">
        <v>111</v>
      </c>
      <c r="BT1096" t="s">
        <v>111</v>
      </c>
      <c r="BU1096" t="s">
        <v>111</v>
      </c>
      <c r="BV1096" t="s">
        <v>111</v>
      </c>
      <c r="BW1096" t="s">
        <v>111</v>
      </c>
      <c r="BX1096" t="s">
        <v>111</v>
      </c>
      <c r="BY1096" t="s">
        <v>111</v>
      </c>
      <c r="BZ1096" t="s">
        <v>111</v>
      </c>
      <c r="CA1096" t="s">
        <v>111</v>
      </c>
      <c r="CB1096" t="s">
        <v>111</v>
      </c>
      <c r="CC1096" t="s">
        <v>111</v>
      </c>
      <c r="CD1096" t="s">
        <v>111</v>
      </c>
      <c r="CE1096" t="s">
        <v>111</v>
      </c>
      <c r="CF1096" t="s">
        <v>111</v>
      </c>
      <c r="CG1096" t="s">
        <v>111</v>
      </c>
      <c r="CH1096" t="s">
        <v>111</v>
      </c>
      <c r="CI1096" t="s">
        <v>111</v>
      </c>
      <c r="CJ1096" t="s">
        <v>111</v>
      </c>
      <c r="CK1096" t="s">
        <v>111</v>
      </c>
      <c r="CL1096" t="s">
        <v>153</v>
      </c>
      <c r="CM1096" t="s">
        <v>198</v>
      </c>
      <c r="CN1096" t="s">
        <v>113</v>
      </c>
      <c r="CO1096" t="s">
        <v>111</v>
      </c>
      <c r="CP1096" t="s">
        <v>433</v>
      </c>
      <c r="CQ1096">
        <v>0</v>
      </c>
      <c r="CR1096">
        <v>0</v>
      </c>
      <c r="CS1096">
        <v>0</v>
      </c>
      <c r="CT1096" t="s">
        <v>419</v>
      </c>
      <c r="CU1096">
        <v>0</v>
      </c>
      <c r="CV1096" t="s">
        <v>111</v>
      </c>
      <c r="CW1096" t="s">
        <v>111</v>
      </c>
      <c r="CX1096" t="s">
        <v>111</v>
      </c>
      <c r="CY1096">
        <v>0</v>
      </c>
      <c r="CZ1096" t="s">
        <v>111</v>
      </c>
      <c r="DA1096" t="s">
        <v>111</v>
      </c>
      <c r="DB1096" t="s">
        <v>204</v>
      </c>
      <c r="DC1096" s="1" t="s">
        <v>2768</v>
      </c>
    </row>
    <row r="1097" spans="1:107">
      <c r="A1097">
        <v>112</v>
      </c>
      <c r="B1097" t="s">
        <v>162</v>
      </c>
      <c r="C1097" t="s">
        <v>215</v>
      </c>
      <c r="D1097" t="s">
        <v>3379</v>
      </c>
      <c r="E1097" t="s">
        <v>3380</v>
      </c>
      <c r="F1097" t="s">
        <v>157</v>
      </c>
      <c r="G1097" t="s">
        <v>416</v>
      </c>
      <c r="H1097">
        <v>4</v>
      </c>
      <c r="I1097">
        <v>30</v>
      </c>
      <c r="J1097">
        <v>0</v>
      </c>
      <c r="K1097">
        <v>0</v>
      </c>
      <c r="L1097" t="s">
        <v>112</v>
      </c>
      <c r="M1097" t="s">
        <v>138</v>
      </c>
      <c r="N1097">
        <v>0</v>
      </c>
      <c r="O1097">
        <v>0</v>
      </c>
      <c r="P1097" t="s">
        <v>138</v>
      </c>
      <c r="Q1097">
        <v>30</v>
      </c>
      <c r="R1097">
        <v>0</v>
      </c>
      <c r="S1097">
        <v>0</v>
      </c>
      <c r="T1097">
        <v>0</v>
      </c>
      <c r="U1097" t="s">
        <v>153</v>
      </c>
      <c r="V1097">
        <v>0</v>
      </c>
      <c r="W1097">
        <v>25</v>
      </c>
      <c r="X1097">
        <v>10</v>
      </c>
      <c r="Y1097">
        <v>0</v>
      </c>
      <c r="Z1097" t="s">
        <v>111</v>
      </c>
      <c r="AA1097">
        <v>0</v>
      </c>
      <c r="AB1097" t="s">
        <v>111</v>
      </c>
      <c r="AC1097">
        <v>0</v>
      </c>
      <c r="AD1097" t="s">
        <v>111</v>
      </c>
      <c r="AE1097">
        <v>0</v>
      </c>
      <c r="AF1097">
        <v>0</v>
      </c>
      <c r="AG1097" t="s">
        <v>111</v>
      </c>
      <c r="AH1097" t="s">
        <v>111</v>
      </c>
      <c r="AI1097" t="s">
        <v>111</v>
      </c>
      <c r="AJ1097" t="s">
        <v>111</v>
      </c>
      <c r="AK1097" t="s">
        <v>111</v>
      </c>
      <c r="AL1097" t="s">
        <v>111</v>
      </c>
      <c r="AM1097">
        <v>0</v>
      </c>
      <c r="AN1097">
        <v>0</v>
      </c>
      <c r="AO1097">
        <v>0</v>
      </c>
      <c r="AP1097" t="s">
        <v>111</v>
      </c>
      <c r="AQ1097" t="s">
        <v>111</v>
      </c>
      <c r="AR1097" t="s">
        <v>111</v>
      </c>
      <c r="AS1097" t="s">
        <v>111</v>
      </c>
      <c r="AT1097" t="s">
        <v>111</v>
      </c>
      <c r="AU1097" t="s">
        <v>111</v>
      </c>
      <c r="AV1097" t="s">
        <v>111</v>
      </c>
      <c r="AW1097" t="s">
        <v>111</v>
      </c>
      <c r="AX1097" t="s">
        <v>111</v>
      </c>
      <c r="AY1097" t="s">
        <v>111</v>
      </c>
      <c r="AZ1097" t="s">
        <v>111</v>
      </c>
      <c r="BA1097" t="s">
        <v>111</v>
      </c>
      <c r="BB1097" t="s">
        <v>111</v>
      </c>
      <c r="BC1097" t="s">
        <v>111</v>
      </c>
      <c r="BD1097" t="s">
        <v>111</v>
      </c>
      <c r="BE1097" t="s">
        <v>111</v>
      </c>
      <c r="BF1097" t="s">
        <v>111</v>
      </c>
      <c r="BG1097" t="s">
        <v>111</v>
      </c>
      <c r="BH1097" t="s">
        <v>111</v>
      </c>
      <c r="BI1097" t="s">
        <v>111</v>
      </c>
      <c r="BJ1097" t="s">
        <v>111</v>
      </c>
      <c r="BK1097" t="s">
        <v>111</v>
      </c>
      <c r="BL1097" t="s">
        <v>111</v>
      </c>
      <c r="BM1097" t="s">
        <v>111</v>
      </c>
      <c r="BN1097" t="s">
        <v>111</v>
      </c>
      <c r="BO1097" t="s">
        <v>111</v>
      </c>
      <c r="BP1097" t="s">
        <v>111</v>
      </c>
      <c r="BQ1097" t="s">
        <v>111</v>
      </c>
      <c r="BR1097" t="s">
        <v>111</v>
      </c>
      <c r="BS1097" t="s">
        <v>111</v>
      </c>
      <c r="BT1097" t="s">
        <v>111</v>
      </c>
      <c r="BU1097" t="s">
        <v>111</v>
      </c>
      <c r="BV1097" t="s">
        <v>111</v>
      </c>
      <c r="BW1097" t="s">
        <v>111</v>
      </c>
      <c r="BX1097" t="s">
        <v>111</v>
      </c>
      <c r="BY1097" t="s">
        <v>111</v>
      </c>
      <c r="BZ1097" t="s">
        <v>111</v>
      </c>
      <c r="CA1097" t="s">
        <v>111</v>
      </c>
      <c r="CB1097" t="s">
        <v>111</v>
      </c>
      <c r="CC1097" t="s">
        <v>111</v>
      </c>
      <c r="CD1097" t="s">
        <v>111</v>
      </c>
      <c r="CE1097" t="s">
        <v>111</v>
      </c>
      <c r="CF1097" t="s">
        <v>111</v>
      </c>
      <c r="CG1097" t="s">
        <v>111</v>
      </c>
      <c r="CH1097" t="s">
        <v>111</v>
      </c>
      <c r="CI1097" t="s">
        <v>111</v>
      </c>
      <c r="CJ1097" t="s">
        <v>111</v>
      </c>
      <c r="CK1097" t="s">
        <v>111</v>
      </c>
      <c r="CL1097" t="s">
        <v>111</v>
      </c>
      <c r="CM1097" t="s">
        <v>198</v>
      </c>
      <c r="CN1097" t="s">
        <v>113</v>
      </c>
      <c r="CO1097" t="s">
        <v>111</v>
      </c>
      <c r="CP1097" t="s">
        <v>111</v>
      </c>
      <c r="CQ1097">
        <v>0</v>
      </c>
      <c r="CR1097">
        <v>0</v>
      </c>
      <c r="CS1097">
        <v>0</v>
      </c>
      <c r="CT1097" t="s">
        <v>168</v>
      </c>
      <c r="CU1097">
        <v>0</v>
      </c>
      <c r="CV1097" t="s">
        <v>111</v>
      </c>
      <c r="CW1097" t="s">
        <v>111</v>
      </c>
      <c r="CX1097" t="s">
        <v>111</v>
      </c>
      <c r="CY1097">
        <v>0</v>
      </c>
      <c r="CZ1097" t="s">
        <v>111</v>
      </c>
      <c r="DA1097" t="s">
        <v>111</v>
      </c>
      <c r="DB1097" t="s">
        <v>111</v>
      </c>
      <c r="DC1097" t="s">
        <v>111</v>
      </c>
    </row>
    <row r="1098" spans="1:107">
      <c r="A1098">
        <v>50</v>
      </c>
      <c r="B1098" t="s">
        <v>162</v>
      </c>
      <c r="C1098" t="s">
        <v>223</v>
      </c>
      <c r="D1098" t="s">
        <v>3381</v>
      </c>
      <c r="E1098" t="s">
        <v>3382</v>
      </c>
      <c r="F1098" t="s">
        <v>125</v>
      </c>
      <c r="G1098" t="s">
        <v>416</v>
      </c>
      <c r="H1098">
        <v>2.5</v>
      </c>
      <c r="I1098">
        <v>50</v>
      </c>
      <c r="J1098">
        <v>0</v>
      </c>
      <c r="K1098">
        <v>0</v>
      </c>
      <c r="L1098" t="s">
        <v>112</v>
      </c>
      <c r="M1098" t="s">
        <v>138</v>
      </c>
      <c r="N1098">
        <v>0</v>
      </c>
      <c r="O1098">
        <v>0</v>
      </c>
      <c r="P1098" t="s">
        <v>138</v>
      </c>
      <c r="Q1098">
        <v>30</v>
      </c>
      <c r="R1098">
        <v>0</v>
      </c>
      <c r="S1098">
        <v>0</v>
      </c>
      <c r="T1098">
        <v>0</v>
      </c>
      <c r="U1098" t="s">
        <v>234</v>
      </c>
      <c r="V1098">
        <v>25</v>
      </c>
      <c r="W1098">
        <v>0</v>
      </c>
      <c r="X1098">
        <v>8</v>
      </c>
      <c r="Y1098">
        <v>0</v>
      </c>
      <c r="Z1098" t="s">
        <v>288</v>
      </c>
      <c r="AA1098">
        <v>1.65</v>
      </c>
      <c r="AB1098" t="s">
        <v>111</v>
      </c>
      <c r="AC1098">
        <v>0</v>
      </c>
      <c r="AD1098" t="s">
        <v>111</v>
      </c>
      <c r="AE1098">
        <v>0</v>
      </c>
      <c r="AF1098">
        <v>0</v>
      </c>
      <c r="AG1098" t="s">
        <v>111</v>
      </c>
      <c r="AH1098" t="s">
        <v>111</v>
      </c>
      <c r="AI1098" t="s">
        <v>111</v>
      </c>
      <c r="AJ1098" t="s">
        <v>111</v>
      </c>
      <c r="AK1098" t="s">
        <v>111</v>
      </c>
      <c r="AL1098" t="s">
        <v>111</v>
      </c>
      <c r="AM1098">
        <v>0</v>
      </c>
      <c r="AN1098">
        <v>0</v>
      </c>
      <c r="AO1098">
        <v>0</v>
      </c>
      <c r="AP1098" t="s">
        <v>111</v>
      </c>
      <c r="AQ1098" t="s">
        <v>111</v>
      </c>
      <c r="AR1098" t="s">
        <v>111</v>
      </c>
      <c r="AS1098" t="s">
        <v>111</v>
      </c>
      <c r="AT1098" t="s">
        <v>111</v>
      </c>
      <c r="AU1098" t="s">
        <v>111</v>
      </c>
      <c r="AV1098" t="s">
        <v>111</v>
      </c>
      <c r="AW1098" t="s">
        <v>111</v>
      </c>
      <c r="AX1098" t="s">
        <v>111</v>
      </c>
      <c r="AY1098" t="s">
        <v>111</v>
      </c>
      <c r="AZ1098" t="s">
        <v>111</v>
      </c>
      <c r="BA1098" t="s">
        <v>111</v>
      </c>
      <c r="BB1098" t="s">
        <v>111</v>
      </c>
      <c r="BC1098" t="s">
        <v>111</v>
      </c>
      <c r="BD1098" t="s">
        <v>111</v>
      </c>
      <c r="BE1098" t="s">
        <v>111</v>
      </c>
      <c r="BF1098" t="s">
        <v>111</v>
      </c>
      <c r="BG1098" t="s">
        <v>111</v>
      </c>
      <c r="BH1098" t="s">
        <v>111</v>
      </c>
      <c r="BI1098" t="s">
        <v>111</v>
      </c>
      <c r="BJ1098" t="s">
        <v>111</v>
      </c>
      <c r="BK1098" t="s">
        <v>111</v>
      </c>
      <c r="BL1098" t="s">
        <v>111</v>
      </c>
      <c r="BM1098" t="s">
        <v>111</v>
      </c>
      <c r="BN1098" t="s">
        <v>111</v>
      </c>
      <c r="BO1098" t="s">
        <v>111</v>
      </c>
      <c r="BP1098" t="s">
        <v>111</v>
      </c>
      <c r="BQ1098" t="s">
        <v>111</v>
      </c>
      <c r="BR1098" t="s">
        <v>111</v>
      </c>
      <c r="BS1098" t="s">
        <v>111</v>
      </c>
      <c r="BT1098" t="s">
        <v>111</v>
      </c>
      <c r="BU1098" t="s">
        <v>111</v>
      </c>
      <c r="BV1098" t="s">
        <v>111</v>
      </c>
      <c r="BW1098" t="s">
        <v>111</v>
      </c>
      <c r="BX1098" t="s">
        <v>111</v>
      </c>
      <c r="BY1098" t="s">
        <v>111</v>
      </c>
      <c r="BZ1098" t="s">
        <v>111</v>
      </c>
      <c r="CA1098" t="s">
        <v>111</v>
      </c>
      <c r="CB1098" t="s">
        <v>111</v>
      </c>
      <c r="CC1098" t="s">
        <v>111</v>
      </c>
      <c r="CD1098" t="s">
        <v>111</v>
      </c>
      <c r="CE1098" t="s">
        <v>111</v>
      </c>
      <c r="CF1098" t="s">
        <v>111</v>
      </c>
      <c r="CG1098" t="s">
        <v>111</v>
      </c>
      <c r="CH1098" t="s">
        <v>111</v>
      </c>
      <c r="CI1098" t="s">
        <v>111</v>
      </c>
      <c r="CJ1098" t="s">
        <v>111</v>
      </c>
      <c r="CK1098" t="s">
        <v>111</v>
      </c>
      <c r="CL1098" t="s">
        <v>111</v>
      </c>
      <c r="CM1098" t="s">
        <v>111</v>
      </c>
      <c r="CN1098" t="s">
        <v>111</v>
      </c>
      <c r="CO1098" t="s">
        <v>111</v>
      </c>
      <c r="CP1098" t="s">
        <v>111</v>
      </c>
      <c r="CQ1098">
        <v>0</v>
      </c>
      <c r="CR1098">
        <v>0</v>
      </c>
      <c r="CS1098">
        <v>0</v>
      </c>
      <c r="CT1098" t="s">
        <v>234</v>
      </c>
      <c r="CU1098">
        <v>0</v>
      </c>
      <c r="CV1098" t="s">
        <v>111</v>
      </c>
      <c r="CW1098" t="s">
        <v>111</v>
      </c>
      <c r="CX1098" t="s">
        <v>111</v>
      </c>
      <c r="CY1098">
        <v>0</v>
      </c>
      <c r="CZ1098" t="s">
        <v>111</v>
      </c>
      <c r="DA1098" t="s">
        <v>111</v>
      </c>
      <c r="DB1098" t="s">
        <v>204</v>
      </c>
      <c r="DC1098" s="1" t="s">
        <v>3032</v>
      </c>
    </row>
    <row r="1099" spans="1:107">
      <c r="A1099">
        <v>243</v>
      </c>
      <c r="B1099" t="s">
        <v>162</v>
      </c>
      <c r="C1099" t="s">
        <v>3287</v>
      </c>
      <c r="D1099" t="s">
        <v>3288</v>
      </c>
      <c r="E1099" t="s">
        <v>3383</v>
      </c>
      <c r="F1099" t="s">
        <v>370</v>
      </c>
      <c r="G1099" t="s">
        <v>416</v>
      </c>
      <c r="H1099">
        <v>3</v>
      </c>
      <c r="I1099">
        <v>78</v>
      </c>
      <c r="J1099">
        <v>0</v>
      </c>
      <c r="K1099">
        <v>0</v>
      </c>
      <c r="L1099" t="s">
        <v>117</v>
      </c>
      <c r="M1099" t="s">
        <v>118</v>
      </c>
      <c r="N1099">
        <v>40</v>
      </c>
      <c r="O1099">
        <v>2</v>
      </c>
      <c r="P1099" t="s">
        <v>138</v>
      </c>
      <c r="Q1099">
        <v>40</v>
      </c>
      <c r="R1099">
        <v>0</v>
      </c>
      <c r="S1099">
        <v>0</v>
      </c>
      <c r="T1099">
        <v>0</v>
      </c>
      <c r="U1099" t="s">
        <v>1353</v>
      </c>
      <c r="V1099">
        <v>25</v>
      </c>
      <c r="W1099">
        <v>0</v>
      </c>
      <c r="X1099">
        <v>8</v>
      </c>
      <c r="Y1099">
        <v>0</v>
      </c>
      <c r="Z1099" t="s">
        <v>288</v>
      </c>
      <c r="AA1099">
        <v>1.65</v>
      </c>
      <c r="AB1099" t="s">
        <v>111</v>
      </c>
      <c r="AC1099">
        <v>0</v>
      </c>
      <c r="AD1099" t="s">
        <v>416</v>
      </c>
      <c r="AE1099">
        <v>3</v>
      </c>
      <c r="AF1099">
        <v>2</v>
      </c>
      <c r="AG1099">
        <v>38</v>
      </c>
      <c r="AH1099" t="s">
        <v>111</v>
      </c>
      <c r="AI1099">
        <v>38</v>
      </c>
      <c r="AJ1099" t="s">
        <v>111</v>
      </c>
      <c r="AK1099" t="s">
        <v>111</v>
      </c>
      <c r="AL1099" t="s">
        <v>111</v>
      </c>
      <c r="AM1099">
        <v>0</v>
      </c>
      <c r="AN1099">
        <v>0</v>
      </c>
      <c r="AO1099">
        <v>0</v>
      </c>
      <c r="AP1099" t="s">
        <v>184</v>
      </c>
      <c r="AQ1099">
        <v>81118</v>
      </c>
      <c r="AR1099" t="s">
        <v>111</v>
      </c>
      <c r="AS1099" t="s">
        <v>111</v>
      </c>
      <c r="AT1099" t="s">
        <v>2774</v>
      </c>
      <c r="AU1099">
        <v>95303</v>
      </c>
      <c r="AV1099" t="s">
        <v>111</v>
      </c>
      <c r="AW1099" t="s">
        <v>111</v>
      </c>
      <c r="AX1099" t="s">
        <v>772</v>
      </c>
      <c r="AY1099">
        <v>95202</v>
      </c>
      <c r="AZ1099" t="s">
        <v>111</v>
      </c>
      <c r="BA1099" t="s">
        <v>111</v>
      </c>
      <c r="BB1099" t="s">
        <v>111</v>
      </c>
      <c r="BC1099" t="s">
        <v>111</v>
      </c>
      <c r="BD1099" t="s">
        <v>111</v>
      </c>
      <c r="BE1099" t="s">
        <v>111</v>
      </c>
      <c r="BF1099" t="s">
        <v>111</v>
      </c>
      <c r="BG1099" t="s">
        <v>111</v>
      </c>
      <c r="BH1099" t="s">
        <v>111</v>
      </c>
      <c r="BI1099" t="s">
        <v>111</v>
      </c>
      <c r="BJ1099" t="s">
        <v>111</v>
      </c>
      <c r="BK1099" t="s">
        <v>111</v>
      </c>
      <c r="BL1099" t="s">
        <v>111</v>
      </c>
      <c r="BM1099" t="s">
        <v>111</v>
      </c>
      <c r="BN1099" t="s">
        <v>111</v>
      </c>
      <c r="BO1099" t="s">
        <v>111</v>
      </c>
      <c r="BP1099" t="s">
        <v>111</v>
      </c>
      <c r="BQ1099" t="s">
        <v>111</v>
      </c>
      <c r="BR1099" t="s">
        <v>111</v>
      </c>
      <c r="BS1099" t="s">
        <v>111</v>
      </c>
      <c r="BT1099" t="s">
        <v>111</v>
      </c>
      <c r="BU1099" t="s">
        <v>111</v>
      </c>
      <c r="BV1099" t="s">
        <v>111</v>
      </c>
      <c r="BW1099" t="s">
        <v>111</v>
      </c>
      <c r="BX1099" t="s">
        <v>111</v>
      </c>
      <c r="BY1099" t="s">
        <v>111</v>
      </c>
      <c r="BZ1099" t="s">
        <v>111</v>
      </c>
      <c r="CA1099" t="s">
        <v>111</v>
      </c>
      <c r="CB1099" t="s">
        <v>111</v>
      </c>
      <c r="CC1099" t="s">
        <v>111</v>
      </c>
      <c r="CD1099" t="s">
        <v>111</v>
      </c>
      <c r="CE1099" t="s">
        <v>111</v>
      </c>
      <c r="CF1099" t="s">
        <v>111</v>
      </c>
      <c r="CG1099" t="s">
        <v>111</v>
      </c>
      <c r="CH1099" t="s">
        <v>111</v>
      </c>
      <c r="CI1099" t="s">
        <v>111</v>
      </c>
      <c r="CJ1099" t="s">
        <v>111</v>
      </c>
      <c r="CK1099" t="s">
        <v>111</v>
      </c>
      <c r="CL1099" t="s">
        <v>153</v>
      </c>
      <c r="CM1099" t="s">
        <v>198</v>
      </c>
      <c r="CN1099" t="s">
        <v>113</v>
      </c>
      <c r="CO1099" t="s">
        <v>111</v>
      </c>
      <c r="CP1099" t="s">
        <v>433</v>
      </c>
      <c r="CQ1099">
        <v>0</v>
      </c>
      <c r="CR1099">
        <v>0</v>
      </c>
      <c r="CS1099">
        <v>0</v>
      </c>
      <c r="CT1099" t="s">
        <v>419</v>
      </c>
      <c r="CU1099">
        <v>0</v>
      </c>
      <c r="CV1099" t="s">
        <v>111</v>
      </c>
      <c r="CW1099" t="s">
        <v>111</v>
      </c>
      <c r="CX1099" t="s">
        <v>111</v>
      </c>
      <c r="CY1099">
        <v>0</v>
      </c>
      <c r="CZ1099" t="s">
        <v>111</v>
      </c>
      <c r="DA1099" t="s">
        <v>111</v>
      </c>
      <c r="DB1099" t="s">
        <v>204</v>
      </c>
      <c r="DC1099" s="1" t="s">
        <v>3290</v>
      </c>
    </row>
    <row r="1100" spans="1:107">
      <c r="A1100">
        <v>66</v>
      </c>
      <c r="B1100" t="s">
        <v>162</v>
      </c>
      <c r="C1100" t="s">
        <v>267</v>
      </c>
      <c r="D1100" t="s">
        <v>3384</v>
      </c>
      <c r="E1100" t="s">
        <v>3385</v>
      </c>
      <c r="F1100" t="s">
        <v>125</v>
      </c>
      <c r="G1100" t="s">
        <v>416</v>
      </c>
      <c r="H1100">
        <v>0.95</v>
      </c>
      <c r="I1100">
        <v>50</v>
      </c>
      <c r="J1100">
        <v>0</v>
      </c>
      <c r="K1100">
        <v>0</v>
      </c>
      <c r="L1100" t="s">
        <v>112</v>
      </c>
      <c r="M1100" t="s">
        <v>138</v>
      </c>
      <c r="N1100">
        <v>0</v>
      </c>
      <c r="O1100">
        <v>0</v>
      </c>
      <c r="P1100" t="s">
        <v>138</v>
      </c>
      <c r="Q1100">
        <v>40</v>
      </c>
      <c r="R1100">
        <v>0</v>
      </c>
      <c r="S1100">
        <v>0</v>
      </c>
      <c r="T1100">
        <v>0</v>
      </c>
      <c r="U1100" t="s">
        <v>153</v>
      </c>
      <c r="V1100">
        <v>25</v>
      </c>
      <c r="W1100">
        <v>0</v>
      </c>
      <c r="X1100">
        <v>8</v>
      </c>
      <c r="Y1100">
        <v>0</v>
      </c>
      <c r="Z1100" t="s">
        <v>111</v>
      </c>
      <c r="AA1100">
        <v>0</v>
      </c>
      <c r="AB1100" t="s">
        <v>111</v>
      </c>
      <c r="AC1100">
        <v>0</v>
      </c>
      <c r="AD1100" t="s">
        <v>111</v>
      </c>
      <c r="AE1100">
        <v>0</v>
      </c>
      <c r="AF1100">
        <v>0</v>
      </c>
      <c r="AG1100" t="s">
        <v>111</v>
      </c>
      <c r="AH1100" t="s">
        <v>111</v>
      </c>
      <c r="AI1100" t="s">
        <v>111</v>
      </c>
      <c r="AJ1100" t="s">
        <v>111</v>
      </c>
      <c r="AK1100" t="s">
        <v>111</v>
      </c>
      <c r="AL1100" t="s">
        <v>111</v>
      </c>
      <c r="AM1100">
        <v>0</v>
      </c>
      <c r="AN1100">
        <v>0</v>
      </c>
      <c r="AO1100">
        <v>0</v>
      </c>
      <c r="AP1100" t="s">
        <v>111</v>
      </c>
      <c r="AQ1100" t="s">
        <v>111</v>
      </c>
      <c r="AR1100" t="s">
        <v>111</v>
      </c>
      <c r="AS1100" t="s">
        <v>111</v>
      </c>
      <c r="AT1100" t="s">
        <v>111</v>
      </c>
      <c r="AU1100" t="s">
        <v>111</v>
      </c>
      <c r="AV1100" t="s">
        <v>111</v>
      </c>
      <c r="AW1100" t="s">
        <v>111</v>
      </c>
      <c r="AX1100" t="s">
        <v>111</v>
      </c>
      <c r="AY1100" t="s">
        <v>111</v>
      </c>
      <c r="AZ1100" t="s">
        <v>111</v>
      </c>
      <c r="BA1100" t="s">
        <v>111</v>
      </c>
      <c r="BB1100" t="s">
        <v>111</v>
      </c>
      <c r="BC1100" t="s">
        <v>111</v>
      </c>
      <c r="BD1100" t="s">
        <v>111</v>
      </c>
      <c r="BE1100" t="s">
        <v>111</v>
      </c>
      <c r="BF1100" t="s">
        <v>111</v>
      </c>
      <c r="BG1100" t="s">
        <v>111</v>
      </c>
      <c r="BH1100" t="s">
        <v>111</v>
      </c>
      <c r="BI1100" t="s">
        <v>111</v>
      </c>
      <c r="BJ1100" t="s">
        <v>111</v>
      </c>
      <c r="BK1100" t="s">
        <v>111</v>
      </c>
      <c r="BL1100" t="s">
        <v>111</v>
      </c>
      <c r="BM1100" t="s">
        <v>111</v>
      </c>
      <c r="BN1100" t="s">
        <v>111</v>
      </c>
      <c r="BO1100" t="s">
        <v>111</v>
      </c>
      <c r="BP1100" t="s">
        <v>111</v>
      </c>
      <c r="BQ1100" t="s">
        <v>111</v>
      </c>
      <c r="BR1100" t="s">
        <v>111</v>
      </c>
      <c r="BS1100" t="s">
        <v>111</v>
      </c>
      <c r="BT1100" t="s">
        <v>111</v>
      </c>
      <c r="BU1100" t="s">
        <v>111</v>
      </c>
      <c r="BV1100" t="s">
        <v>111</v>
      </c>
      <c r="BW1100" t="s">
        <v>111</v>
      </c>
      <c r="BX1100" t="s">
        <v>111</v>
      </c>
      <c r="BY1100" t="s">
        <v>111</v>
      </c>
      <c r="BZ1100" t="s">
        <v>111</v>
      </c>
      <c r="CA1100" t="s">
        <v>111</v>
      </c>
      <c r="CB1100" t="s">
        <v>111</v>
      </c>
      <c r="CC1100" t="s">
        <v>111</v>
      </c>
      <c r="CD1100" t="s">
        <v>111</v>
      </c>
      <c r="CE1100" t="s">
        <v>111</v>
      </c>
      <c r="CF1100" t="s">
        <v>111</v>
      </c>
      <c r="CG1100" t="s">
        <v>111</v>
      </c>
      <c r="CH1100" t="s">
        <v>111</v>
      </c>
      <c r="CI1100" t="s">
        <v>111</v>
      </c>
      <c r="CJ1100" t="s">
        <v>111</v>
      </c>
      <c r="CK1100" t="s">
        <v>111</v>
      </c>
      <c r="CL1100" t="s">
        <v>111</v>
      </c>
      <c r="CM1100" t="s">
        <v>198</v>
      </c>
      <c r="CN1100" t="s">
        <v>113</v>
      </c>
      <c r="CO1100" t="s">
        <v>111</v>
      </c>
      <c r="CP1100" t="s">
        <v>111</v>
      </c>
      <c r="CQ1100">
        <v>0</v>
      </c>
      <c r="CR1100">
        <v>0</v>
      </c>
      <c r="CS1100">
        <v>0</v>
      </c>
      <c r="CT1100" t="s">
        <v>168</v>
      </c>
      <c r="CU1100">
        <v>0</v>
      </c>
      <c r="CV1100" t="s">
        <v>111</v>
      </c>
      <c r="CW1100" t="s">
        <v>111</v>
      </c>
      <c r="CX1100" t="s">
        <v>111</v>
      </c>
      <c r="CY1100">
        <v>0</v>
      </c>
      <c r="CZ1100" t="s">
        <v>111</v>
      </c>
      <c r="DA1100" t="s">
        <v>111</v>
      </c>
      <c r="DB1100" t="s">
        <v>111</v>
      </c>
      <c r="DC1100" t="s">
        <v>111</v>
      </c>
    </row>
    <row r="1101" spans="1:107">
      <c r="A1101">
        <v>244</v>
      </c>
      <c r="B1101" t="s">
        <v>162</v>
      </c>
      <c r="C1101" t="s">
        <v>3287</v>
      </c>
      <c r="D1101" t="s">
        <v>3288</v>
      </c>
      <c r="E1101" t="s">
        <v>3386</v>
      </c>
      <c r="F1101" t="s">
        <v>370</v>
      </c>
      <c r="G1101" t="s">
        <v>416</v>
      </c>
      <c r="H1101">
        <v>3</v>
      </c>
      <c r="I1101">
        <v>78</v>
      </c>
      <c r="J1101">
        <v>0</v>
      </c>
      <c r="K1101">
        <v>0</v>
      </c>
      <c r="L1101" t="s">
        <v>117</v>
      </c>
      <c r="M1101" t="s">
        <v>118</v>
      </c>
      <c r="N1101">
        <v>40</v>
      </c>
      <c r="O1101">
        <v>2</v>
      </c>
      <c r="P1101" t="s">
        <v>138</v>
      </c>
      <c r="Q1101">
        <v>40</v>
      </c>
      <c r="R1101">
        <v>0</v>
      </c>
      <c r="S1101">
        <v>0</v>
      </c>
      <c r="T1101">
        <v>0</v>
      </c>
      <c r="U1101" t="s">
        <v>1353</v>
      </c>
      <c r="V1101">
        <v>25</v>
      </c>
      <c r="W1101">
        <v>0</v>
      </c>
      <c r="X1101">
        <v>8</v>
      </c>
      <c r="Y1101">
        <v>0</v>
      </c>
      <c r="Z1101" t="s">
        <v>288</v>
      </c>
      <c r="AA1101">
        <v>1.65</v>
      </c>
      <c r="AB1101" t="s">
        <v>111</v>
      </c>
      <c r="AC1101">
        <v>0</v>
      </c>
      <c r="AD1101" t="s">
        <v>416</v>
      </c>
      <c r="AE1101">
        <v>3</v>
      </c>
      <c r="AF1101">
        <v>2</v>
      </c>
      <c r="AG1101">
        <v>38</v>
      </c>
      <c r="AH1101" t="s">
        <v>111</v>
      </c>
      <c r="AI1101">
        <v>38</v>
      </c>
      <c r="AJ1101" t="s">
        <v>111</v>
      </c>
      <c r="AK1101" t="s">
        <v>111</v>
      </c>
      <c r="AL1101" t="s">
        <v>111</v>
      </c>
      <c r="AM1101">
        <v>0</v>
      </c>
      <c r="AN1101">
        <v>0</v>
      </c>
      <c r="AO1101">
        <v>0</v>
      </c>
      <c r="AP1101" t="s">
        <v>184</v>
      </c>
      <c r="AQ1101">
        <v>81118</v>
      </c>
      <c r="AR1101" t="s">
        <v>111</v>
      </c>
      <c r="AS1101" t="s">
        <v>111</v>
      </c>
      <c r="AT1101" t="s">
        <v>2774</v>
      </c>
      <c r="AU1101">
        <v>95303</v>
      </c>
      <c r="AV1101" t="s">
        <v>111</v>
      </c>
      <c r="AW1101" t="s">
        <v>111</v>
      </c>
      <c r="AX1101" t="s">
        <v>772</v>
      </c>
      <c r="AY1101">
        <v>95202</v>
      </c>
      <c r="AZ1101" t="s">
        <v>111</v>
      </c>
      <c r="BA1101" t="s">
        <v>111</v>
      </c>
      <c r="BB1101" t="s">
        <v>111</v>
      </c>
      <c r="BC1101" t="s">
        <v>111</v>
      </c>
      <c r="BD1101" t="s">
        <v>111</v>
      </c>
      <c r="BE1101" t="s">
        <v>111</v>
      </c>
      <c r="BF1101" t="s">
        <v>111</v>
      </c>
      <c r="BG1101" t="s">
        <v>111</v>
      </c>
      <c r="BH1101" t="s">
        <v>111</v>
      </c>
      <c r="BI1101" t="s">
        <v>111</v>
      </c>
      <c r="BJ1101" t="s">
        <v>111</v>
      </c>
      <c r="BK1101" t="s">
        <v>111</v>
      </c>
      <c r="BL1101" t="s">
        <v>111</v>
      </c>
      <c r="BM1101" t="s">
        <v>111</v>
      </c>
      <c r="BN1101" t="s">
        <v>111</v>
      </c>
      <c r="BO1101" t="s">
        <v>111</v>
      </c>
      <c r="BP1101" t="s">
        <v>111</v>
      </c>
      <c r="BQ1101" t="s">
        <v>111</v>
      </c>
      <c r="BR1101" t="s">
        <v>111</v>
      </c>
      <c r="BS1101" t="s">
        <v>111</v>
      </c>
      <c r="BT1101" t="s">
        <v>111</v>
      </c>
      <c r="BU1101" t="s">
        <v>111</v>
      </c>
      <c r="BV1101" t="s">
        <v>111</v>
      </c>
      <c r="BW1101" t="s">
        <v>111</v>
      </c>
      <c r="BX1101" t="s">
        <v>111</v>
      </c>
      <c r="BY1101" t="s">
        <v>111</v>
      </c>
      <c r="BZ1101" t="s">
        <v>111</v>
      </c>
      <c r="CA1101" t="s">
        <v>111</v>
      </c>
      <c r="CB1101" t="s">
        <v>111</v>
      </c>
      <c r="CC1101" t="s">
        <v>111</v>
      </c>
      <c r="CD1101" t="s">
        <v>111</v>
      </c>
      <c r="CE1101" t="s">
        <v>111</v>
      </c>
      <c r="CF1101" t="s">
        <v>111</v>
      </c>
      <c r="CG1101" t="s">
        <v>111</v>
      </c>
      <c r="CH1101" t="s">
        <v>111</v>
      </c>
      <c r="CI1101" t="s">
        <v>111</v>
      </c>
      <c r="CJ1101" t="s">
        <v>111</v>
      </c>
      <c r="CK1101" t="s">
        <v>111</v>
      </c>
      <c r="CL1101" t="s">
        <v>153</v>
      </c>
      <c r="CM1101" t="s">
        <v>198</v>
      </c>
      <c r="CN1101" t="s">
        <v>113</v>
      </c>
      <c r="CO1101" t="s">
        <v>111</v>
      </c>
      <c r="CP1101" t="s">
        <v>433</v>
      </c>
      <c r="CQ1101">
        <v>0</v>
      </c>
      <c r="CR1101">
        <v>0</v>
      </c>
      <c r="CS1101">
        <v>0</v>
      </c>
      <c r="CT1101" t="s">
        <v>419</v>
      </c>
      <c r="CU1101">
        <v>0</v>
      </c>
      <c r="CV1101" t="s">
        <v>111</v>
      </c>
      <c r="CW1101" t="s">
        <v>111</v>
      </c>
      <c r="CX1101" t="s">
        <v>111</v>
      </c>
      <c r="CY1101">
        <v>0</v>
      </c>
      <c r="CZ1101" t="s">
        <v>111</v>
      </c>
      <c r="DA1101" t="s">
        <v>111</v>
      </c>
      <c r="DB1101" t="s">
        <v>204</v>
      </c>
      <c r="DC1101" s="1" t="s">
        <v>3290</v>
      </c>
    </row>
    <row r="1102" spans="1:107">
      <c r="A1102">
        <v>67</v>
      </c>
      <c r="B1102" t="s">
        <v>162</v>
      </c>
      <c r="C1102" t="s">
        <v>681</v>
      </c>
      <c r="D1102" t="s">
        <v>3147</v>
      </c>
      <c r="E1102" t="s">
        <v>3387</v>
      </c>
      <c r="F1102" t="s">
        <v>684</v>
      </c>
      <c r="G1102" t="s">
        <v>416</v>
      </c>
      <c r="H1102">
        <v>0.45</v>
      </c>
      <c r="I1102">
        <v>50</v>
      </c>
      <c r="J1102">
        <v>0</v>
      </c>
      <c r="K1102">
        <v>0</v>
      </c>
      <c r="L1102" t="s">
        <v>112</v>
      </c>
      <c r="M1102" t="s">
        <v>138</v>
      </c>
      <c r="N1102">
        <v>0</v>
      </c>
      <c r="O1102">
        <v>0</v>
      </c>
      <c r="P1102" t="s">
        <v>138</v>
      </c>
      <c r="Q1102">
        <v>40</v>
      </c>
      <c r="R1102">
        <v>0</v>
      </c>
      <c r="S1102">
        <v>0</v>
      </c>
      <c r="T1102">
        <v>0</v>
      </c>
      <c r="U1102" t="s">
        <v>111</v>
      </c>
      <c r="V1102">
        <v>25</v>
      </c>
      <c r="W1102">
        <v>0</v>
      </c>
      <c r="X1102">
        <v>5</v>
      </c>
      <c r="Y1102">
        <v>0</v>
      </c>
      <c r="Z1102" t="s">
        <v>111</v>
      </c>
      <c r="AA1102">
        <v>0</v>
      </c>
      <c r="AB1102" t="s">
        <v>111</v>
      </c>
      <c r="AC1102">
        <v>0</v>
      </c>
      <c r="AD1102" t="s">
        <v>111</v>
      </c>
      <c r="AE1102">
        <v>0</v>
      </c>
      <c r="AF1102">
        <v>0</v>
      </c>
      <c r="AG1102" t="s">
        <v>111</v>
      </c>
      <c r="AH1102" t="s">
        <v>111</v>
      </c>
      <c r="AI1102" t="s">
        <v>111</v>
      </c>
      <c r="AJ1102" t="s">
        <v>111</v>
      </c>
      <c r="AK1102" t="s">
        <v>111</v>
      </c>
      <c r="AL1102" t="s">
        <v>111</v>
      </c>
      <c r="AM1102">
        <v>0</v>
      </c>
      <c r="AN1102">
        <v>0</v>
      </c>
      <c r="AO1102">
        <v>0</v>
      </c>
      <c r="AP1102" t="s">
        <v>111</v>
      </c>
      <c r="AQ1102" t="s">
        <v>111</v>
      </c>
      <c r="AR1102" t="s">
        <v>111</v>
      </c>
      <c r="AS1102" t="s">
        <v>111</v>
      </c>
      <c r="AT1102" t="s">
        <v>111</v>
      </c>
      <c r="AU1102" t="s">
        <v>111</v>
      </c>
      <c r="AV1102" t="s">
        <v>111</v>
      </c>
      <c r="AW1102" t="s">
        <v>111</v>
      </c>
      <c r="AX1102" t="s">
        <v>111</v>
      </c>
      <c r="AY1102" t="s">
        <v>111</v>
      </c>
      <c r="AZ1102" t="s">
        <v>111</v>
      </c>
      <c r="BA1102" t="s">
        <v>111</v>
      </c>
      <c r="BB1102" t="s">
        <v>111</v>
      </c>
      <c r="BC1102" t="s">
        <v>111</v>
      </c>
      <c r="BD1102" t="s">
        <v>111</v>
      </c>
      <c r="BE1102" t="s">
        <v>111</v>
      </c>
      <c r="BF1102" t="s">
        <v>111</v>
      </c>
      <c r="BG1102" t="s">
        <v>111</v>
      </c>
      <c r="BH1102" t="s">
        <v>111</v>
      </c>
      <c r="BI1102" t="s">
        <v>111</v>
      </c>
      <c r="BJ1102" t="s">
        <v>111</v>
      </c>
      <c r="BK1102" t="s">
        <v>111</v>
      </c>
      <c r="BL1102" t="s">
        <v>111</v>
      </c>
      <c r="BM1102" t="s">
        <v>111</v>
      </c>
      <c r="BN1102" t="s">
        <v>111</v>
      </c>
      <c r="BO1102" t="s">
        <v>111</v>
      </c>
      <c r="BP1102" t="s">
        <v>111</v>
      </c>
      <c r="BQ1102" t="s">
        <v>111</v>
      </c>
      <c r="BR1102" t="s">
        <v>111</v>
      </c>
      <c r="BS1102" t="s">
        <v>111</v>
      </c>
      <c r="BT1102" t="s">
        <v>111</v>
      </c>
      <c r="BU1102" t="s">
        <v>111</v>
      </c>
      <c r="BV1102" t="s">
        <v>111</v>
      </c>
      <c r="BW1102" t="s">
        <v>111</v>
      </c>
      <c r="BX1102" t="s">
        <v>111</v>
      </c>
      <c r="BY1102" t="s">
        <v>111</v>
      </c>
      <c r="BZ1102" t="s">
        <v>111</v>
      </c>
      <c r="CA1102" t="s">
        <v>111</v>
      </c>
      <c r="CB1102" t="s">
        <v>111</v>
      </c>
      <c r="CC1102" t="s">
        <v>111</v>
      </c>
      <c r="CD1102" t="s">
        <v>111</v>
      </c>
      <c r="CE1102" t="s">
        <v>111</v>
      </c>
      <c r="CF1102" t="s">
        <v>111</v>
      </c>
      <c r="CG1102" t="s">
        <v>111</v>
      </c>
      <c r="CH1102" t="s">
        <v>111</v>
      </c>
      <c r="CI1102" t="s">
        <v>111</v>
      </c>
      <c r="CJ1102" t="s">
        <v>111</v>
      </c>
      <c r="CK1102" t="s">
        <v>111</v>
      </c>
      <c r="CL1102" t="s">
        <v>111</v>
      </c>
      <c r="CM1102" t="s">
        <v>111</v>
      </c>
      <c r="CN1102" t="s">
        <v>111</v>
      </c>
      <c r="CO1102" t="s">
        <v>111</v>
      </c>
      <c r="CP1102" t="s">
        <v>111</v>
      </c>
      <c r="CQ1102">
        <v>0</v>
      </c>
      <c r="CR1102">
        <v>1000</v>
      </c>
      <c r="CS1102">
        <v>100</v>
      </c>
      <c r="CT1102" t="s">
        <v>111</v>
      </c>
      <c r="CU1102">
        <v>0</v>
      </c>
      <c r="CV1102" t="s">
        <v>111</v>
      </c>
      <c r="CW1102" t="s">
        <v>111</v>
      </c>
      <c r="CX1102" t="s">
        <v>111</v>
      </c>
      <c r="CY1102">
        <v>0</v>
      </c>
      <c r="CZ1102" t="s">
        <v>111</v>
      </c>
      <c r="DA1102" t="s">
        <v>111</v>
      </c>
      <c r="DB1102" t="s">
        <v>204</v>
      </c>
      <c r="DC1102" s="1" t="s">
        <v>3388</v>
      </c>
    </row>
    <row r="1103" spans="1:107">
      <c r="A1103">
        <v>68</v>
      </c>
      <c r="B1103" t="s">
        <v>162</v>
      </c>
      <c r="C1103" t="s">
        <v>681</v>
      </c>
      <c r="D1103" t="s">
        <v>3171</v>
      </c>
      <c r="E1103" t="s">
        <v>3389</v>
      </c>
      <c r="F1103" t="s">
        <v>684</v>
      </c>
      <c r="G1103" t="s">
        <v>416</v>
      </c>
      <c r="H1103">
        <v>0.45</v>
      </c>
      <c r="I1103">
        <v>45</v>
      </c>
      <c r="J1103">
        <v>0</v>
      </c>
      <c r="K1103">
        <v>0</v>
      </c>
      <c r="L1103" t="s">
        <v>112</v>
      </c>
      <c r="M1103" t="s">
        <v>138</v>
      </c>
      <c r="N1103">
        <v>0</v>
      </c>
      <c r="O1103">
        <v>0</v>
      </c>
      <c r="P1103" t="s">
        <v>138</v>
      </c>
      <c r="Q1103">
        <v>30</v>
      </c>
      <c r="R1103">
        <v>0</v>
      </c>
      <c r="S1103">
        <v>0</v>
      </c>
      <c r="T1103">
        <v>0</v>
      </c>
      <c r="U1103" t="s">
        <v>419</v>
      </c>
      <c r="V1103">
        <v>25</v>
      </c>
      <c r="W1103">
        <v>0</v>
      </c>
      <c r="X1103">
        <v>5</v>
      </c>
      <c r="Y1103">
        <v>0</v>
      </c>
      <c r="Z1103" t="s">
        <v>111</v>
      </c>
      <c r="AA1103">
        <v>0</v>
      </c>
      <c r="AB1103" t="s">
        <v>111</v>
      </c>
      <c r="AC1103">
        <v>0</v>
      </c>
      <c r="AD1103" t="s">
        <v>111</v>
      </c>
      <c r="AE1103">
        <v>0</v>
      </c>
      <c r="AF1103">
        <v>0</v>
      </c>
      <c r="AG1103" t="s">
        <v>111</v>
      </c>
      <c r="AH1103" t="s">
        <v>111</v>
      </c>
      <c r="AI1103" t="s">
        <v>111</v>
      </c>
      <c r="AJ1103" t="s">
        <v>111</v>
      </c>
      <c r="AK1103" t="s">
        <v>111</v>
      </c>
      <c r="AL1103" t="s">
        <v>111</v>
      </c>
      <c r="AM1103">
        <v>0</v>
      </c>
      <c r="AN1103">
        <v>0</v>
      </c>
      <c r="AO1103">
        <v>0</v>
      </c>
      <c r="AP1103" t="s">
        <v>111</v>
      </c>
      <c r="AQ1103" t="s">
        <v>111</v>
      </c>
      <c r="AR1103" t="s">
        <v>111</v>
      </c>
      <c r="AS1103" t="s">
        <v>111</v>
      </c>
      <c r="AT1103" t="s">
        <v>111</v>
      </c>
      <c r="AU1103" t="s">
        <v>111</v>
      </c>
      <c r="AV1103" t="s">
        <v>111</v>
      </c>
      <c r="AW1103" t="s">
        <v>111</v>
      </c>
      <c r="AX1103" t="s">
        <v>111</v>
      </c>
      <c r="AY1103" t="s">
        <v>111</v>
      </c>
      <c r="AZ1103" t="s">
        <v>111</v>
      </c>
      <c r="BA1103" t="s">
        <v>111</v>
      </c>
      <c r="BB1103" t="s">
        <v>111</v>
      </c>
      <c r="BC1103" t="s">
        <v>111</v>
      </c>
      <c r="BD1103" t="s">
        <v>111</v>
      </c>
      <c r="BE1103" t="s">
        <v>111</v>
      </c>
      <c r="BF1103" t="s">
        <v>111</v>
      </c>
      <c r="BG1103" t="s">
        <v>111</v>
      </c>
      <c r="BH1103" t="s">
        <v>111</v>
      </c>
      <c r="BI1103" t="s">
        <v>111</v>
      </c>
      <c r="BJ1103" t="s">
        <v>111</v>
      </c>
      <c r="BK1103" t="s">
        <v>111</v>
      </c>
      <c r="BL1103" t="s">
        <v>111</v>
      </c>
      <c r="BM1103" t="s">
        <v>111</v>
      </c>
      <c r="BN1103" t="s">
        <v>111</v>
      </c>
      <c r="BO1103" t="s">
        <v>111</v>
      </c>
      <c r="BP1103" t="s">
        <v>111</v>
      </c>
      <c r="BQ1103" t="s">
        <v>111</v>
      </c>
      <c r="BR1103" t="s">
        <v>111</v>
      </c>
      <c r="BS1103" t="s">
        <v>111</v>
      </c>
      <c r="BT1103" t="s">
        <v>111</v>
      </c>
      <c r="BU1103" t="s">
        <v>111</v>
      </c>
      <c r="BV1103" t="s">
        <v>111</v>
      </c>
      <c r="BW1103" t="s">
        <v>111</v>
      </c>
      <c r="BX1103" t="s">
        <v>111</v>
      </c>
      <c r="BY1103" t="s">
        <v>111</v>
      </c>
      <c r="BZ1103" t="s">
        <v>111</v>
      </c>
      <c r="CA1103" t="s">
        <v>111</v>
      </c>
      <c r="CB1103" t="s">
        <v>111</v>
      </c>
      <c r="CC1103" t="s">
        <v>111</v>
      </c>
      <c r="CD1103" t="s">
        <v>111</v>
      </c>
      <c r="CE1103" t="s">
        <v>111</v>
      </c>
      <c r="CF1103" t="s">
        <v>111</v>
      </c>
      <c r="CG1103" t="s">
        <v>111</v>
      </c>
      <c r="CH1103" t="s">
        <v>111</v>
      </c>
      <c r="CI1103" t="s">
        <v>111</v>
      </c>
      <c r="CJ1103" t="s">
        <v>111</v>
      </c>
      <c r="CK1103" t="s">
        <v>111</v>
      </c>
      <c r="CL1103" t="s">
        <v>111</v>
      </c>
      <c r="CM1103" t="s">
        <v>111</v>
      </c>
      <c r="CN1103" t="s">
        <v>111</v>
      </c>
      <c r="CO1103" t="s">
        <v>111</v>
      </c>
      <c r="CP1103" t="s">
        <v>111</v>
      </c>
      <c r="CQ1103">
        <v>0</v>
      </c>
      <c r="CR1103">
        <v>1000</v>
      </c>
      <c r="CS1103">
        <v>100</v>
      </c>
      <c r="CT1103" t="s">
        <v>111</v>
      </c>
      <c r="CU1103">
        <v>0</v>
      </c>
      <c r="CV1103" t="s">
        <v>111</v>
      </c>
      <c r="CW1103" t="s">
        <v>111</v>
      </c>
      <c r="CX1103" t="s">
        <v>111</v>
      </c>
      <c r="CY1103">
        <v>0</v>
      </c>
      <c r="CZ1103" t="s">
        <v>111</v>
      </c>
      <c r="DA1103" t="s">
        <v>111</v>
      </c>
      <c r="DB1103" t="s">
        <v>204</v>
      </c>
      <c r="DC1103" s="1" t="s">
        <v>804</v>
      </c>
    </row>
    <row r="1104" spans="1:107">
      <c r="A1104">
        <v>109</v>
      </c>
      <c r="B1104" t="s">
        <v>107</v>
      </c>
      <c r="C1104" t="s">
        <v>226</v>
      </c>
      <c r="D1104" t="s">
        <v>3335</v>
      </c>
      <c r="E1104" t="s">
        <v>3390</v>
      </c>
      <c r="F1104" t="s">
        <v>125</v>
      </c>
      <c r="G1104" t="s">
        <v>416</v>
      </c>
      <c r="H1104">
        <v>0.8</v>
      </c>
      <c r="I1104">
        <v>50</v>
      </c>
      <c r="J1104">
        <v>0</v>
      </c>
      <c r="K1104">
        <v>0</v>
      </c>
      <c r="L1104" t="s">
        <v>112</v>
      </c>
      <c r="M1104" t="s">
        <v>138</v>
      </c>
      <c r="N1104">
        <v>0</v>
      </c>
      <c r="O1104">
        <v>0</v>
      </c>
      <c r="P1104" t="s">
        <v>138</v>
      </c>
      <c r="Q1104">
        <v>49</v>
      </c>
      <c r="R1104">
        <v>0</v>
      </c>
      <c r="S1104">
        <v>0</v>
      </c>
      <c r="T1104">
        <v>5</v>
      </c>
      <c r="U1104" s="1" t="s">
        <v>3391</v>
      </c>
      <c r="V1104">
        <v>25</v>
      </c>
      <c r="W1104">
        <v>0</v>
      </c>
      <c r="X1104">
        <v>8</v>
      </c>
      <c r="Y1104">
        <v>0</v>
      </c>
      <c r="Z1104" t="s">
        <v>111</v>
      </c>
      <c r="AA1104">
        <v>0</v>
      </c>
      <c r="AB1104" t="s">
        <v>111</v>
      </c>
      <c r="AC1104">
        <v>0</v>
      </c>
      <c r="AD1104" t="s">
        <v>111</v>
      </c>
      <c r="AE1104">
        <v>0</v>
      </c>
      <c r="AF1104">
        <v>0</v>
      </c>
      <c r="AG1104" t="s">
        <v>111</v>
      </c>
      <c r="AH1104" t="s">
        <v>111</v>
      </c>
      <c r="AI1104" t="s">
        <v>111</v>
      </c>
      <c r="AJ1104" t="s">
        <v>111</v>
      </c>
      <c r="AK1104" t="s">
        <v>111</v>
      </c>
      <c r="AL1104" t="s">
        <v>111</v>
      </c>
      <c r="AM1104">
        <v>0</v>
      </c>
      <c r="AN1104">
        <v>0</v>
      </c>
      <c r="AO1104">
        <v>0</v>
      </c>
      <c r="AP1104" t="s">
        <v>111</v>
      </c>
      <c r="AQ1104" t="s">
        <v>111</v>
      </c>
      <c r="AR1104" t="s">
        <v>111</v>
      </c>
      <c r="AS1104" t="s">
        <v>111</v>
      </c>
      <c r="AT1104" t="s">
        <v>111</v>
      </c>
      <c r="AU1104" t="s">
        <v>111</v>
      </c>
      <c r="AV1104" t="s">
        <v>111</v>
      </c>
      <c r="AW1104" t="s">
        <v>111</v>
      </c>
      <c r="AX1104" t="s">
        <v>111</v>
      </c>
      <c r="AY1104" t="s">
        <v>111</v>
      </c>
      <c r="AZ1104" t="s">
        <v>111</v>
      </c>
      <c r="BA1104" t="s">
        <v>111</v>
      </c>
      <c r="BB1104" t="s">
        <v>111</v>
      </c>
      <c r="BC1104" t="s">
        <v>111</v>
      </c>
      <c r="BD1104" t="s">
        <v>111</v>
      </c>
      <c r="BE1104" t="s">
        <v>111</v>
      </c>
      <c r="BF1104" t="s">
        <v>111</v>
      </c>
      <c r="BG1104" t="s">
        <v>111</v>
      </c>
      <c r="BH1104" t="s">
        <v>111</v>
      </c>
      <c r="BI1104" t="s">
        <v>111</v>
      </c>
      <c r="BJ1104" t="s">
        <v>111</v>
      </c>
      <c r="BK1104" t="s">
        <v>111</v>
      </c>
      <c r="BL1104" t="s">
        <v>111</v>
      </c>
      <c r="BM1104" t="s">
        <v>111</v>
      </c>
      <c r="BN1104" t="s">
        <v>111</v>
      </c>
      <c r="BO1104" t="s">
        <v>111</v>
      </c>
      <c r="BP1104" t="s">
        <v>111</v>
      </c>
      <c r="BQ1104" t="s">
        <v>111</v>
      </c>
      <c r="BR1104" t="s">
        <v>111</v>
      </c>
      <c r="BS1104" t="s">
        <v>111</v>
      </c>
      <c r="BT1104" t="s">
        <v>111</v>
      </c>
      <c r="BU1104" t="s">
        <v>111</v>
      </c>
      <c r="BV1104" t="s">
        <v>111</v>
      </c>
      <c r="BW1104" t="s">
        <v>111</v>
      </c>
      <c r="BX1104" t="s">
        <v>111</v>
      </c>
      <c r="BY1104" t="s">
        <v>111</v>
      </c>
      <c r="BZ1104" t="s">
        <v>111</v>
      </c>
      <c r="CA1104" t="s">
        <v>111</v>
      </c>
      <c r="CB1104" t="s">
        <v>111</v>
      </c>
      <c r="CC1104" t="s">
        <v>111</v>
      </c>
      <c r="CD1104" t="s">
        <v>111</v>
      </c>
      <c r="CE1104" t="s">
        <v>111</v>
      </c>
      <c r="CF1104" t="s">
        <v>111</v>
      </c>
      <c r="CG1104" t="s">
        <v>111</v>
      </c>
      <c r="CH1104" t="s">
        <v>111</v>
      </c>
      <c r="CI1104" t="s">
        <v>111</v>
      </c>
      <c r="CJ1104" t="s">
        <v>111</v>
      </c>
      <c r="CK1104" t="s">
        <v>111</v>
      </c>
      <c r="CL1104" t="s">
        <v>111</v>
      </c>
      <c r="CM1104" t="s">
        <v>198</v>
      </c>
      <c r="CN1104" t="s">
        <v>113</v>
      </c>
      <c r="CO1104" t="s">
        <v>111</v>
      </c>
      <c r="CP1104" t="s">
        <v>111</v>
      </c>
      <c r="CQ1104">
        <v>98</v>
      </c>
      <c r="CR1104">
        <v>4000</v>
      </c>
      <c r="CS1104">
        <v>200</v>
      </c>
      <c r="CT1104" t="s">
        <v>1908</v>
      </c>
      <c r="CU1104">
        <v>0</v>
      </c>
      <c r="CV1104" t="s">
        <v>111</v>
      </c>
      <c r="CW1104" t="s">
        <v>111</v>
      </c>
      <c r="CX1104" t="s">
        <v>111</v>
      </c>
      <c r="CY1104">
        <v>0</v>
      </c>
      <c r="CZ1104" t="s">
        <v>111</v>
      </c>
      <c r="DA1104" t="s">
        <v>111</v>
      </c>
      <c r="DB1104" t="s">
        <v>111</v>
      </c>
      <c r="DC1104" t="s">
        <v>111</v>
      </c>
    </row>
    <row r="1105" spans="1:107">
      <c r="A1105">
        <v>69</v>
      </c>
      <c r="B1105" t="s">
        <v>162</v>
      </c>
      <c r="C1105" t="s">
        <v>3319</v>
      </c>
      <c r="D1105" t="s">
        <v>3392</v>
      </c>
      <c r="E1105" t="s">
        <v>3393</v>
      </c>
      <c r="F1105" t="s">
        <v>125</v>
      </c>
      <c r="G1105" t="s">
        <v>416</v>
      </c>
      <c r="H1105">
        <v>0.8</v>
      </c>
      <c r="I1105">
        <v>64</v>
      </c>
      <c r="J1105">
        <v>0</v>
      </c>
      <c r="K1105">
        <v>0</v>
      </c>
      <c r="L1105" t="s">
        <v>112</v>
      </c>
      <c r="M1105" t="s">
        <v>138</v>
      </c>
      <c r="N1105">
        <v>0</v>
      </c>
      <c r="O1105">
        <v>0</v>
      </c>
      <c r="P1105" t="s">
        <v>138</v>
      </c>
      <c r="Q1105">
        <v>30</v>
      </c>
      <c r="R1105">
        <v>0</v>
      </c>
      <c r="S1105">
        <v>0</v>
      </c>
      <c r="T1105">
        <v>0</v>
      </c>
      <c r="U1105" t="s">
        <v>111</v>
      </c>
      <c r="V1105">
        <v>25</v>
      </c>
      <c r="W1105">
        <v>0</v>
      </c>
      <c r="X1105">
        <v>8</v>
      </c>
      <c r="Y1105">
        <v>0</v>
      </c>
      <c r="Z1105" t="s">
        <v>111</v>
      </c>
      <c r="AA1105">
        <v>0</v>
      </c>
      <c r="AB1105" t="s">
        <v>111</v>
      </c>
      <c r="AC1105">
        <v>0</v>
      </c>
      <c r="AD1105" t="s">
        <v>111</v>
      </c>
      <c r="AE1105">
        <v>0</v>
      </c>
      <c r="AF1105">
        <v>0</v>
      </c>
      <c r="AG1105" t="s">
        <v>111</v>
      </c>
      <c r="AH1105" t="s">
        <v>111</v>
      </c>
      <c r="AI1105" t="s">
        <v>111</v>
      </c>
      <c r="AJ1105" t="s">
        <v>111</v>
      </c>
      <c r="AK1105" t="s">
        <v>111</v>
      </c>
      <c r="AL1105" t="s">
        <v>111</v>
      </c>
      <c r="AM1105">
        <v>0</v>
      </c>
      <c r="AN1105">
        <v>0</v>
      </c>
      <c r="AO1105">
        <v>0</v>
      </c>
      <c r="AP1105" t="s">
        <v>111</v>
      </c>
      <c r="AQ1105" t="s">
        <v>111</v>
      </c>
      <c r="AR1105" t="s">
        <v>111</v>
      </c>
      <c r="AS1105" t="s">
        <v>111</v>
      </c>
      <c r="AT1105" t="s">
        <v>111</v>
      </c>
      <c r="AU1105" t="s">
        <v>111</v>
      </c>
      <c r="AV1105" t="s">
        <v>111</v>
      </c>
      <c r="AW1105" t="s">
        <v>111</v>
      </c>
      <c r="AX1105" t="s">
        <v>111</v>
      </c>
      <c r="AY1105" t="s">
        <v>111</v>
      </c>
      <c r="AZ1105" t="s">
        <v>111</v>
      </c>
      <c r="BA1105" t="s">
        <v>111</v>
      </c>
      <c r="BB1105" t="s">
        <v>111</v>
      </c>
      <c r="BC1105" t="s">
        <v>111</v>
      </c>
      <c r="BD1105" t="s">
        <v>111</v>
      </c>
      <c r="BE1105" t="s">
        <v>111</v>
      </c>
      <c r="BF1105" t="s">
        <v>111</v>
      </c>
      <c r="BG1105" t="s">
        <v>111</v>
      </c>
      <c r="BH1105" t="s">
        <v>111</v>
      </c>
      <c r="BI1105" t="s">
        <v>111</v>
      </c>
      <c r="BJ1105" t="s">
        <v>111</v>
      </c>
      <c r="BK1105" t="s">
        <v>111</v>
      </c>
      <c r="BL1105" t="s">
        <v>111</v>
      </c>
      <c r="BM1105" t="s">
        <v>111</v>
      </c>
      <c r="BN1105" t="s">
        <v>111</v>
      </c>
      <c r="BO1105" t="s">
        <v>111</v>
      </c>
      <c r="BP1105" t="s">
        <v>111</v>
      </c>
      <c r="BQ1105" t="s">
        <v>111</v>
      </c>
      <c r="BR1105" t="s">
        <v>111</v>
      </c>
      <c r="BS1105" t="s">
        <v>111</v>
      </c>
      <c r="BT1105" t="s">
        <v>111</v>
      </c>
      <c r="BU1105" t="s">
        <v>111</v>
      </c>
      <c r="BV1105" t="s">
        <v>111</v>
      </c>
      <c r="BW1105" t="s">
        <v>111</v>
      </c>
      <c r="BX1105" t="s">
        <v>111</v>
      </c>
      <c r="BY1105" t="s">
        <v>111</v>
      </c>
      <c r="BZ1105" t="s">
        <v>111</v>
      </c>
      <c r="CA1105" t="s">
        <v>111</v>
      </c>
      <c r="CB1105" t="s">
        <v>111</v>
      </c>
      <c r="CC1105" t="s">
        <v>111</v>
      </c>
      <c r="CD1105" t="s">
        <v>111</v>
      </c>
      <c r="CE1105" t="s">
        <v>111</v>
      </c>
      <c r="CF1105" t="s">
        <v>111</v>
      </c>
      <c r="CG1105" t="s">
        <v>111</v>
      </c>
      <c r="CH1105" t="s">
        <v>111</v>
      </c>
      <c r="CI1105" t="s">
        <v>111</v>
      </c>
      <c r="CJ1105" t="s">
        <v>111</v>
      </c>
      <c r="CK1105" t="s">
        <v>111</v>
      </c>
      <c r="CL1105" t="s">
        <v>111</v>
      </c>
      <c r="CM1105" t="s">
        <v>111</v>
      </c>
      <c r="CN1105" t="s">
        <v>111</v>
      </c>
      <c r="CO1105" t="s">
        <v>111</v>
      </c>
      <c r="CP1105" t="s">
        <v>111</v>
      </c>
      <c r="CQ1105">
        <v>0</v>
      </c>
      <c r="CR1105">
        <v>500</v>
      </c>
      <c r="CS1105">
        <v>50</v>
      </c>
      <c r="CT1105" t="s">
        <v>111</v>
      </c>
      <c r="CU1105">
        <v>0</v>
      </c>
      <c r="CV1105" t="s">
        <v>111</v>
      </c>
      <c r="CW1105" t="s">
        <v>111</v>
      </c>
      <c r="CX1105" t="s">
        <v>111</v>
      </c>
      <c r="CY1105">
        <v>0</v>
      </c>
      <c r="CZ1105" t="s">
        <v>111</v>
      </c>
      <c r="DA1105" t="s">
        <v>111</v>
      </c>
      <c r="DB1105" t="s">
        <v>204</v>
      </c>
      <c r="DC1105" s="1" t="s">
        <v>3032</v>
      </c>
    </row>
    <row r="1106" spans="1:107">
      <c r="A1106">
        <v>101</v>
      </c>
      <c r="B1106" t="s">
        <v>162</v>
      </c>
      <c r="C1106" t="s">
        <v>2952</v>
      </c>
      <c r="D1106" t="s">
        <v>2953</v>
      </c>
      <c r="E1106" t="s">
        <v>3394</v>
      </c>
      <c r="F1106" t="s">
        <v>431</v>
      </c>
      <c r="G1106" t="s">
        <v>416</v>
      </c>
      <c r="H1106">
        <v>1.1000000000000001</v>
      </c>
      <c r="I1106">
        <v>42</v>
      </c>
      <c r="J1106">
        <v>0</v>
      </c>
      <c r="K1106">
        <v>0</v>
      </c>
      <c r="L1106" t="s">
        <v>178</v>
      </c>
      <c r="M1106" t="s">
        <v>118</v>
      </c>
      <c r="N1106">
        <v>40</v>
      </c>
      <c r="O1106">
        <v>2</v>
      </c>
      <c r="P1106" t="s">
        <v>138</v>
      </c>
      <c r="Q1106">
        <v>35</v>
      </c>
      <c r="R1106">
        <v>0</v>
      </c>
      <c r="S1106">
        <v>0</v>
      </c>
      <c r="T1106">
        <v>0</v>
      </c>
      <c r="U1106" s="1" t="s">
        <v>3183</v>
      </c>
      <c r="V1106">
        <v>0</v>
      </c>
      <c r="W1106">
        <v>25</v>
      </c>
      <c r="X1106">
        <v>8</v>
      </c>
      <c r="Y1106">
        <v>0</v>
      </c>
      <c r="Z1106" t="s">
        <v>111</v>
      </c>
      <c r="AA1106">
        <v>0</v>
      </c>
      <c r="AB1106" t="s">
        <v>111</v>
      </c>
      <c r="AC1106">
        <v>0</v>
      </c>
      <c r="AD1106" t="s">
        <v>416</v>
      </c>
      <c r="AE1106">
        <v>1</v>
      </c>
      <c r="AF1106">
        <v>1</v>
      </c>
      <c r="AG1106">
        <v>32</v>
      </c>
      <c r="AH1106" t="s">
        <v>111</v>
      </c>
      <c r="AI1106">
        <v>42</v>
      </c>
      <c r="AJ1106" t="s">
        <v>111</v>
      </c>
      <c r="AK1106" t="s">
        <v>111</v>
      </c>
      <c r="AL1106" t="s">
        <v>111</v>
      </c>
      <c r="AM1106">
        <v>0</v>
      </c>
      <c r="AN1106">
        <v>0</v>
      </c>
      <c r="AO1106">
        <v>0</v>
      </c>
      <c r="AP1106" t="s">
        <v>111</v>
      </c>
      <c r="AQ1106" t="s">
        <v>111</v>
      </c>
      <c r="AR1106" t="s">
        <v>111</v>
      </c>
      <c r="AS1106" t="s">
        <v>111</v>
      </c>
      <c r="AT1106" t="s">
        <v>111</v>
      </c>
      <c r="AU1106" t="s">
        <v>111</v>
      </c>
      <c r="AV1106" t="s">
        <v>111</v>
      </c>
      <c r="AW1106" t="s">
        <v>111</v>
      </c>
      <c r="AX1106" t="s">
        <v>111</v>
      </c>
      <c r="AY1106" t="s">
        <v>111</v>
      </c>
      <c r="AZ1106" t="s">
        <v>111</v>
      </c>
      <c r="BA1106" t="s">
        <v>111</v>
      </c>
      <c r="BB1106" t="s">
        <v>111</v>
      </c>
      <c r="BC1106" t="s">
        <v>111</v>
      </c>
      <c r="BD1106" t="s">
        <v>111</v>
      </c>
      <c r="BE1106" t="s">
        <v>111</v>
      </c>
      <c r="BF1106" t="s">
        <v>111</v>
      </c>
      <c r="BG1106" t="s">
        <v>111</v>
      </c>
      <c r="BH1106" t="s">
        <v>111</v>
      </c>
      <c r="BI1106" t="s">
        <v>111</v>
      </c>
      <c r="BJ1106" t="s">
        <v>111</v>
      </c>
      <c r="BK1106" t="s">
        <v>111</v>
      </c>
      <c r="BL1106" t="s">
        <v>111</v>
      </c>
      <c r="BM1106" t="s">
        <v>111</v>
      </c>
      <c r="BN1106" t="s">
        <v>111</v>
      </c>
      <c r="BO1106" t="s">
        <v>111</v>
      </c>
      <c r="BP1106" t="s">
        <v>111</v>
      </c>
      <c r="BQ1106" t="s">
        <v>111</v>
      </c>
      <c r="BR1106" t="s">
        <v>111</v>
      </c>
      <c r="BS1106" t="s">
        <v>111</v>
      </c>
      <c r="BT1106" t="s">
        <v>111</v>
      </c>
      <c r="BU1106" t="s">
        <v>111</v>
      </c>
      <c r="BV1106" t="s">
        <v>111</v>
      </c>
      <c r="BW1106" t="s">
        <v>111</v>
      </c>
      <c r="BX1106" t="s">
        <v>111</v>
      </c>
      <c r="BY1106" t="s">
        <v>111</v>
      </c>
      <c r="BZ1106" t="s">
        <v>111</v>
      </c>
      <c r="CA1106" t="s">
        <v>111</v>
      </c>
      <c r="CB1106" t="s">
        <v>111</v>
      </c>
      <c r="CC1106" t="s">
        <v>111</v>
      </c>
      <c r="CD1106" t="s">
        <v>111</v>
      </c>
      <c r="CE1106" t="s">
        <v>111</v>
      </c>
      <c r="CF1106" t="s">
        <v>111</v>
      </c>
      <c r="CG1106" t="s">
        <v>111</v>
      </c>
      <c r="CH1106" t="s">
        <v>111</v>
      </c>
      <c r="CI1106" t="s">
        <v>111</v>
      </c>
      <c r="CJ1106" t="s">
        <v>111</v>
      </c>
      <c r="CK1106" t="s">
        <v>111</v>
      </c>
      <c r="CL1106" t="s">
        <v>153</v>
      </c>
      <c r="CM1106" t="s">
        <v>198</v>
      </c>
      <c r="CN1106" t="s">
        <v>113</v>
      </c>
      <c r="CO1106" t="s">
        <v>111</v>
      </c>
      <c r="CP1106" t="s">
        <v>433</v>
      </c>
      <c r="CQ1106">
        <v>0</v>
      </c>
      <c r="CR1106">
        <v>0</v>
      </c>
      <c r="CS1106">
        <v>0</v>
      </c>
      <c r="CT1106" t="s">
        <v>168</v>
      </c>
      <c r="CU1106">
        <v>0</v>
      </c>
      <c r="CV1106" t="s">
        <v>111</v>
      </c>
      <c r="CW1106" t="s">
        <v>111</v>
      </c>
      <c r="CX1106" t="s">
        <v>111</v>
      </c>
      <c r="CY1106">
        <v>0</v>
      </c>
      <c r="CZ1106" t="s">
        <v>111</v>
      </c>
      <c r="DA1106" t="s">
        <v>111</v>
      </c>
      <c r="DB1106" t="s">
        <v>111</v>
      </c>
      <c r="DC1106" t="s">
        <v>111</v>
      </c>
    </row>
    <row r="1107" spans="1:107">
      <c r="A1107">
        <v>100</v>
      </c>
      <c r="B1107" t="s">
        <v>162</v>
      </c>
      <c r="C1107" t="s">
        <v>2952</v>
      </c>
      <c r="D1107" t="s">
        <v>2953</v>
      </c>
      <c r="E1107" t="s">
        <v>3395</v>
      </c>
      <c r="F1107" t="s">
        <v>431</v>
      </c>
      <c r="G1107" t="s">
        <v>416</v>
      </c>
      <c r="H1107">
        <v>1.1000000000000001</v>
      </c>
      <c r="I1107">
        <v>42</v>
      </c>
      <c r="J1107">
        <v>0</v>
      </c>
      <c r="K1107">
        <v>0</v>
      </c>
      <c r="L1107" t="s">
        <v>178</v>
      </c>
      <c r="M1107" t="s">
        <v>118</v>
      </c>
      <c r="N1107">
        <v>40</v>
      </c>
      <c r="O1107">
        <v>2</v>
      </c>
      <c r="P1107" t="s">
        <v>138</v>
      </c>
      <c r="Q1107">
        <v>35</v>
      </c>
      <c r="R1107">
        <v>0</v>
      </c>
      <c r="S1107">
        <v>0</v>
      </c>
      <c r="T1107">
        <v>0</v>
      </c>
      <c r="U1107" s="1" t="s">
        <v>3183</v>
      </c>
      <c r="V1107">
        <v>0</v>
      </c>
      <c r="W1107">
        <v>25</v>
      </c>
      <c r="X1107">
        <v>8</v>
      </c>
      <c r="Y1107">
        <v>0</v>
      </c>
      <c r="Z1107" t="s">
        <v>111</v>
      </c>
      <c r="AA1107">
        <v>0</v>
      </c>
      <c r="AB1107" t="s">
        <v>111</v>
      </c>
      <c r="AC1107">
        <v>0</v>
      </c>
      <c r="AD1107" t="s">
        <v>416</v>
      </c>
      <c r="AE1107">
        <v>1</v>
      </c>
      <c r="AF1107">
        <v>1</v>
      </c>
      <c r="AG1107">
        <v>32</v>
      </c>
      <c r="AH1107" t="s">
        <v>111</v>
      </c>
      <c r="AI1107">
        <v>42</v>
      </c>
      <c r="AJ1107" t="s">
        <v>111</v>
      </c>
      <c r="AK1107" t="s">
        <v>111</v>
      </c>
      <c r="AL1107" t="s">
        <v>111</v>
      </c>
      <c r="AM1107">
        <v>0</v>
      </c>
      <c r="AN1107">
        <v>0</v>
      </c>
      <c r="AO1107">
        <v>0</v>
      </c>
      <c r="AP1107" t="s">
        <v>111</v>
      </c>
      <c r="AQ1107" t="s">
        <v>111</v>
      </c>
      <c r="AR1107" t="s">
        <v>111</v>
      </c>
      <c r="AS1107" t="s">
        <v>111</v>
      </c>
      <c r="AT1107" t="s">
        <v>111</v>
      </c>
      <c r="AU1107" t="s">
        <v>111</v>
      </c>
      <c r="AV1107" t="s">
        <v>111</v>
      </c>
      <c r="AW1107" t="s">
        <v>111</v>
      </c>
      <c r="AX1107" t="s">
        <v>111</v>
      </c>
      <c r="AY1107" t="s">
        <v>111</v>
      </c>
      <c r="AZ1107" t="s">
        <v>111</v>
      </c>
      <c r="BA1107" t="s">
        <v>111</v>
      </c>
      <c r="BB1107" t="s">
        <v>111</v>
      </c>
      <c r="BC1107" t="s">
        <v>111</v>
      </c>
      <c r="BD1107" t="s">
        <v>111</v>
      </c>
      <c r="BE1107" t="s">
        <v>111</v>
      </c>
      <c r="BF1107" t="s">
        <v>111</v>
      </c>
      <c r="BG1107" t="s">
        <v>111</v>
      </c>
      <c r="BH1107" t="s">
        <v>111</v>
      </c>
      <c r="BI1107" t="s">
        <v>111</v>
      </c>
      <c r="BJ1107" t="s">
        <v>111</v>
      </c>
      <c r="BK1107" t="s">
        <v>111</v>
      </c>
      <c r="BL1107" t="s">
        <v>111</v>
      </c>
      <c r="BM1107" t="s">
        <v>111</v>
      </c>
      <c r="BN1107" t="s">
        <v>111</v>
      </c>
      <c r="BO1107" t="s">
        <v>111</v>
      </c>
      <c r="BP1107" t="s">
        <v>111</v>
      </c>
      <c r="BQ1107" t="s">
        <v>111</v>
      </c>
      <c r="BR1107" t="s">
        <v>111</v>
      </c>
      <c r="BS1107" t="s">
        <v>111</v>
      </c>
      <c r="BT1107" t="s">
        <v>111</v>
      </c>
      <c r="BU1107" t="s">
        <v>111</v>
      </c>
      <c r="BV1107" t="s">
        <v>111</v>
      </c>
      <c r="BW1107" t="s">
        <v>111</v>
      </c>
      <c r="BX1107" t="s">
        <v>111</v>
      </c>
      <c r="BY1107" t="s">
        <v>111</v>
      </c>
      <c r="BZ1107" t="s">
        <v>111</v>
      </c>
      <c r="CA1107" t="s">
        <v>111</v>
      </c>
      <c r="CB1107" t="s">
        <v>111</v>
      </c>
      <c r="CC1107" t="s">
        <v>111</v>
      </c>
      <c r="CD1107" t="s">
        <v>111</v>
      </c>
      <c r="CE1107" t="s">
        <v>111</v>
      </c>
      <c r="CF1107" t="s">
        <v>111</v>
      </c>
      <c r="CG1107" t="s">
        <v>111</v>
      </c>
      <c r="CH1107" t="s">
        <v>111</v>
      </c>
      <c r="CI1107" t="s">
        <v>111</v>
      </c>
      <c r="CJ1107" t="s">
        <v>111</v>
      </c>
      <c r="CK1107" t="s">
        <v>111</v>
      </c>
      <c r="CL1107" t="s">
        <v>153</v>
      </c>
      <c r="CM1107" t="s">
        <v>198</v>
      </c>
      <c r="CN1107" t="s">
        <v>113</v>
      </c>
      <c r="CO1107" t="s">
        <v>111</v>
      </c>
      <c r="CP1107" t="s">
        <v>433</v>
      </c>
      <c r="CQ1107">
        <v>0</v>
      </c>
      <c r="CR1107">
        <v>0</v>
      </c>
      <c r="CS1107">
        <v>0</v>
      </c>
      <c r="CT1107" t="s">
        <v>168</v>
      </c>
      <c r="CU1107">
        <v>0</v>
      </c>
      <c r="CV1107" t="s">
        <v>111</v>
      </c>
      <c r="CW1107" t="s">
        <v>111</v>
      </c>
      <c r="CX1107" t="s">
        <v>111</v>
      </c>
      <c r="CY1107">
        <v>0</v>
      </c>
      <c r="CZ1107" t="s">
        <v>111</v>
      </c>
      <c r="DA1107" t="s">
        <v>111</v>
      </c>
      <c r="DB1107" t="s">
        <v>111</v>
      </c>
      <c r="DC1107" t="s">
        <v>111</v>
      </c>
    </row>
    <row r="1108" spans="1:107">
      <c r="A1108">
        <v>32</v>
      </c>
      <c r="B1108" t="s">
        <v>162</v>
      </c>
      <c r="C1108" s="2">
        <v>43404862</v>
      </c>
      <c r="D1108" t="s">
        <v>3396</v>
      </c>
      <c r="E1108" t="s">
        <v>3397</v>
      </c>
      <c r="F1108" t="s">
        <v>365</v>
      </c>
      <c r="G1108" t="s">
        <v>416</v>
      </c>
      <c r="H1108">
        <v>2.5</v>
      </c>
      <c r="I1108">
        <v>45</v>
      </c>
      <c r="J1108">
        <v>0</v>
      </c>
      <c r="K1108">
        <v>0</v>
      </c>
      <c r="L1108" t="s">
        <v>112</v>
      </c>
      <c r="M1108" t="s">
        <v>118</v>
      </c>
      <c r="N1108">
        <v>40</v>
      </c>
      <c r="O1108">
        <v>2</v>
      </c>
      <c r="P1108" t="s">
        <v>138</v>
      </c>
      <c r="Q1108">
        <v>40</v>
      </c>
      <c r="R1108">
        <v>0</v>
      </c>
      <c r="S1108">
        <v>0</v>
      </c>
      <c r="T1108">
        <v>0</v>
      </c>
      <c r="U1108" t="s">
        <v>1353</v>
      </c>
      <c r="V1108">
        <v>25</v>
      </c>
      <c r="W1108">
        <v>0</v>
      </c>
      <c r="X1108">
        <v>6</v>
      </c>
      <c r="Y1108">
        <v>0</v>
      </c>
      <c r="Z1108" t="s">
        <v>366</v>
      </c>
      <c r="AA1108">
        <v>1.5</v>
      </c>
      <c r="AB1108" t="s">
        <v>111</v>
      </c>
      <c r="AC1108">
        <v>0</v>
      </c>
      <c r="AD1108" t="s">
        <v>416</v>
      </c>
      <c r="AE1108">
        <v>2</v>
      </c>
      <c r="AF1108">
        <v>2</v>
      </c>
      <c r="AG1108">
        <v>40</v>
      </c>
      <c r="AH1108" t="s">
        <v>111</v>
      </c>
      <c r="AI1108">
        <v>40</v>
      </c>
      <c r="AJ1108" t="s">
        <v>111</v>
      </c>
      <c r="AK1108" t="s">
        <v>111</v>
      </c>
      <c r="AL1108" t="s">
        <v>111</v>
      </c>
      <c r="AM1108">
        <v>0</v>
      </c>
      <c r="AN1108">
        <v>0</v>
      </c>
      <c r="AO1108">
        <v>0</v>
      </c>
      <c r="AP1108" t="s">
        <v>271</v>
      </c>
      <c r="AQ1108" t="s">
        <v>111</v>
      </c>
      <c r="AR1108" t="s">
        <v>111</v>
      </c>
      <c r="AS1108" t="s">
        <v>111</v>
      </c>
      <c r="AT1108" t="s">
        <v>3398</v>
      </c>
      <c r="AU1108" t="s">
        <v>111</v>
      </c>
      <c r="AV1108" t="s">
        <v>111</v>
      </c>
      <c r="AW1108" t="s">
        <v>111</v>
      </c>
      <c r="AX1108" t="s">
        <v>111</v>
      </c>
      <c r="AY1108" t="s">
        <v>111</v>
      </c>
      <c r="AZ1108" t="s">
        <v>111</v>
      </c>
      <c r="BA1108" t="s">
        <v>111</v>
      </c>
      <c r="BB1108" t="s">
        <v>111</v>
      </c>
      <c r="BC1108" t="s">
        <v>111</v>
      </c>
      <c r="BD1108" t="s">
        <v>111</v>
      </c>
      <c r="BE1108" t="s">
        <v>111</v>
      </c>
      <c r="BF1108" t="s">
        <v>111</v>
      </c>
      <c r="BG1108" t="s">
        <v>111</v>
      </c>
      <c r="BH1108" t="s">
        <v>111</v>
      </c>
      <c r="BI1108" t="s">
        <v>111</v>
      </c>
      <c r="BJ1108" t="s">
        <v>111</v>
      </c>
      <c r="BK1108" t="s">
        <v>111</v>
      </c>
      <c r="BL1108" t="s">
        <v>111</v>
      </c>
      <c r="BM1108" t="s">
        <v>111</v>
      </c>
      <c r="BN1108" t="s">
        <v>111</v>
      </c>
      <c r="BO1108" t="s">
        <v>111</v>
      </c>
      <c r="BP1108" t="s">
        <v>111</v>
      </c>
      <c r="BQ1108" t="s">
        <v>111</v>
      </c>
      <c r="BR1108" t="s">
        <v>111</v>
      </c>
      <c r="BS1108" t="s">
        <v>111</v>
      </c>
      <c r="BT1108" t="s">
        <v>111</v>
      </c>
      <c r="BU1108" t="s">
        <v>111</v>
      </c>
      <c r="BV1108" t="s">
        <v>111</v>
      </c>
      <c r="BW1108" t="s">
        <v>111</v>
      </c>
      <c r="BX1108" t="s">
        <v>111</v>
      </c>
      <c r="BY1108" t="s">
        <v>111</v>
      </c>
      <c r="BZ1108" t="s">
        <v>111</v>
      </c>
      <c r="CA1108" t="s">
        <v>111</v>
      </c>
      <c r="CB1108" t="s">
        <v>111</v>
      </c>
      <c r="CC1108" t="s">
        <v>111</v>
      </c>
      <c r="CD1108" t="s">
        <v>111</v>
      </c>
      <c r="CE1108" t="s">
        <v>111</v>
      </c>
      <c r="CF1108" t="s">
        <v>111</v>
      </c>
      <c r="CG1108" t="s">
        <v>111</v>
      </c>
      <c r="CH1108" t="s">
        <v>111</v>
      </c>
      <c r="CI1108" t="s">
        <v>111</v>
      </c>
      <c r="CJ1108" t="s">
        <v>111</v>
      </c>
      <c r="CK1108" t="s">
        <v>111</v>
      </c>
      <c r="CL1108" t="s">
        <v>153</v>
      </c>
      <c r="CM1108" t="s">
        <v>198</v>
      </c>
      <c r="CN1108" t="s">
        <v>113</v>
      </c>
      <c r="CO1108" t="s">
        <v>111</v>
      </c>
      <c r="CP1108" t="s">
        <v>433</v>
      </c>
      <c r="CQ1108">
        <v>0</v>
      </c>
      <c r="CR1108">
        <v>0</v>
      </c>
      <c r="CS1108">
        <v>0</v>
      </c>
      <c r="CT1108" t="s">
        <v>419</v>
      </c>
      <c r="CU1108">
        <v>0</v>
      </c>
      <c r="CV1108" t="s">
        <v>111</v>
      </c>
      <c r="CW1108" t="s">
        <v>111</v>
      </c>
      <c r="CX1108" t="s">
        <v>111</v>
      </c>
      <c r="CY1108">
        <v>0</v>
      </c>
      <c r="CZ1108" t="s">
        <v>111</v>
      </c>
      <c r="DA1108" t="s">
        <v>111</v>
      </c>
      <c r="DB1108" t="s">
        <v>240</v>
      </c>
      <c r="DC1108" s="1" t="s">
        <v>3018</v>
      </c>
    </row>
    <row r="1109" spans="1:107">
      <c r="A1109">
        <v>99</v>
      </c>
      <c r="B1109" t="s">
        <v>162</v>
      </c>
      <c r="C1109" t="s">
        <v>2952</v>
      </c>
      <c r="D1109" t="s">
        <v>2953</v>
      </c>
      <c r="E1109" t="s">
        <v>3399</v>
      </c>
      <c r="F1109" t="s">
        <v>431</v>
      </c>
      <c r="G1109" t="s">
        <v>416</v>
      </c>
      <c r="H1109">
        <v>1.1000000000000001</v>
      </c>
      <c r="I1109">
        <v>42</v>
      </c>
      <c r="J1109">
        <v>0</v>
      </c>
      <c r="K1109">
        <v>0</v>
      </c>
      <c r="L1109" t="s">
        <v>178</v>
      </c>
      <c r="M1109" t="s">
        <v>118</v>
      </c>
      <c r="N1109">
        <v>40</v>
      </c>
      <c r="O1109">
        <v>2</v>
      </c>
      <c r="P1109" t="s">
        <v>138</v>
      </c>
      <c r="Q1109">
        <v>35</v>
      </c>
      <c r="R1109">
        <v>0</v>
      </c>
      <c r="S1109">
        <v>0</v>
      </c>
      <c r="T1109">
        <v>0</v>
      </c>
      <c r="U1109" s="1" t="s">
        <v>3183</v>
      </c>
      <c r="V1109">
        <v>0</v>
      </c>
      <c r="W1109">
        <v>25</v>
      </c>
      <c r="X1109">
        <v>8</v>
      </c>
      <c r="Y1109">
        <v>0</v>
      </c>
      <c r="Z1109" t="s">
        <v>111</v>
      </c>
      <c r="AA1109">
        <v>0</v>
      </c>
      <c r="AB1109" t="s">
        <v>111</v>
      </c>
      <c r="AC1109">
        <v>0</v>
      </c>
      <c r="AD1109" t="s">
        <v>416</v>
      </c>
      <c r="AE1109">
        <v>1</v>
      </c>
      <c r="AF1109">
        <v>1</v>
      </c>
      <c r="AG1109">
        <v>32</v>
      </c>
      <c r="AH1109" t="s">
        <v>111</v>
      </c>
      <c r="AI1109">
        <v>42</v>
      </c>
      <c r="AJ1109" t="s">
        <v>111</v>
      </c>
      <c r="AK1109" t="s">
        <v>111</v>
      </c>
      <c r="AL1109" t="s">
        <v>111</v>
      </c>
      <c r="AM1109">
        <v>0</v>
      </c>
      <c r="AN1109">
        <v>0</v>
      </c>
      <c r="AO1109">
        <v>0</v>
      </c>
      <c r="AP1109" t="s">
        <v>111</v>
      </c>
      <c r="AQ1109" t="s">
        <v>111</v>
      </c>
      <c r="AR1109" t="s">
        <v>111</v>
      </c>
      <c r="AS1109" t="s">
        <v>111</v>
      </c>
      <c r="AT1109" t="s">
        <v>111</v>
      </c>
      <c r="AU1109" t="s">
        <v>111</v>
      </c>
      <c r="AV1109" t="s">
        <v>111</v>
      </c>
      <c r="AW1109" t="s">
        <v>111</v>
      </c>
      <c r="AX1109" t="s">
        <v>111</v>
      </c>
      <c r="AY1109" t="s">
        <v>111</v>
      </c>
      <c r="AZ1109" t="s">
        <v>111</v>
      </c>
      <c r="BA1109" t="s">
        <v>111</v>
      </c>
      <c r="BB1109" t="s">
        <v>111</v>
      </c>
      <c r="BC1109" t="s">
        <v>111</v>
      </c>
      <c r="BD1109" t="s">
        <v>111</v>
      </c>
      <c r="BE1109" t="s">
        <v>111</v>
      </c>
      <c r="BF1109" t="s">
        <v>111</v>
      </c>
      <c r="BG1109" t="s">
        <v>111</v>
      </c>
      <c r="BH1109" t="s">
        <v>111</v>
      </c>
      <c r="BI1109" t="s">
        <v>111</v>
      </c>
      <c r="BJ1109" t="s">
        <v>111</v>
      </c>
      <c r="BK1109" t="s">
        <v>111</v>
      </c>
      <c r="BL1109" t="s">
        <v>111</v>
      </c>
      <c r="BM1109" t="s">
        <v>111</v>
      </c>
      <c r="BN1109" t="s">
        <v>111</v>
      </c>
      <c r="BO1109" t="s">
        <v>111</v>
      </c>
      <c r="BP1109" t="s">
        <v>111</v>
      </c>
      <c r="BQ1109" t="s">
        <v>111</v>
      </c>
      <c r="BR1109" t="s">
        <v>111</v>
      </c>
      <c r="BS1109" t="s">
        <v>111</v>
      </c>
      <c r="BT1109" t="s">
        <v>111</v>
      </c>
      <c r="BU1109" t="s">
        <v>111</v>
      </c>
      <c r="BV1109" t="s">
        <v>111</v>
      </c>
      <c r="BW1109" t="s">
        <v>111</v>
      </c>
      <c r="BX1109" t="s">
        <v>111</v>
      </c>
      <c r="BY1109" t="s">
        <v>111</v>
      </c>
      <c r="BZ1109" t="s">
        <v>111</v>
      </c>
      <c r="CA1109" t="s">
        <v>111</v>
      </c>
      <c r="CB1109" t="s">
        <v>111</v>
      </c>
      <c r="CC1109" t="s">
        <v>111</v>
      </c>
      <c r="CD1109" t="s">
        <v>111</v>
      </c>
      <c r="CE1109" t="s">
        <v>111</v>
      </c>
      <c r="CF1109" t="s">
        <v>111</v>
      </c>
      <c r="CG1109" t="s">
        <v>111</v>
      </c>
      <c r="CH1109" t="s">
        <v>111</v>
      </c>
      <c r="CI1109" t="s">
        <v>111</v>
      </c>
      <c r="CJ1109" t="s">
        <v>111</v>
      </c>
      <c r="CK1109" t="s">
        <v>111</v>
      </c>
      <c r="CL1109" t="s">
        <v>153</v>
      </c>
      <c r="CM1109" t="s">
        <v>198</v>
      </c>
      <c r="CN1109" t="s">
        <v>113</v>
      </c>
      <c r="CO1109" t="s">
        <v>111</v>
      </c>
      <c r="CP1109" t="s">
        <v>433</v>
      </c>
      <c r="CQ1109">
        <v>0</v>
      </c>
      <c r="CR1109">
        <v>0</v>
      </c>
      <c r="CS1109">
        <v>0</v>
      </c>
      <c r="CT1109" t="s">
        <v>168</v>
      </c>
      <c r="CU1109">
        <v>0</v>
      </c>
      <c r="CV1109" t="s">
        <v>111</v>
      </c>
      <c r="CW1109" t="s">
        <v>111</v>
      </c>
      <c r="CX1109" t="s">
        <v>111</v>
      </c>
      <c r="CY1109">
        <v>0</v>
      </c>
      <c r="CZ1109" t="s">
        <v>111</v>
      </c>
      <c r="DA1109" t="s">
        <v>111</v>
      </c>
      <c r="DB1109" t="s">
        <v>111</v>
      </c>
      <c r="DC1109" t="s">
        <v>111</v>
      </c>
    </row>
    <row r="1110" spans="1:107">
      <c r="A1110">
        <v>83</v>
      </c>
      <c r="B1110" t="s">
        <v>162</v>
      </c>
      <c r="C1110" t="s">
        <v>2726</v>
      </c>
      <c r="D1110" t="s">
        <v>704</v>
      </c>
      <c r="E1110" t="s">
        <v>705</v>
      </c>
      <c r="F1110" t="s">
        <v>125</v>
      </c>
      <c r="G1110" t="s">
        <v>416</v>
      </c>
      <c r="H1110">
        <v>0.6</v>
      </c>
      <c r="I1110">
        <v>60</v>
      </c>
      <c r="J1110">
        <v>0</v>
      </c>
      <c r="K1110">
        <v>0</v>
      </c>
      <c r="L1110" t="s">
        <v>112</v>
      </c>
      <c r="M1110" t="s">
        <v>138</v>
      </c>
      <c r="N1110">
        <v>0</v>
      </c>
      <c r="O1110">
        <v>0</v>
      </c>
      <c r="P1110" t="s">
        <v>138</v>
      </c>
      <c r="Q1110">
        <v>40</v>
      </c>
      <c r="R1110">
        <v>0</v>
      </c>
      <c r="S1110">
        <v>0</v>
      </c>
      <c r="T1110">
        <v>0</v>
      </c>
      <c r="U1110" t="s">
        <v>419</v>
      </c>
      <c r="V1110">
        <v>25</v>
      </c>
      <c r="W1110">
        <v>0</v>
      </c>
      <c r="X1110">
        <v>10</v>
      </c>
      <c r="Y1110">
        <v>0</v>
      </c>
      <c r="Z1110" t="s">
        <v>111</v>
      </c>
      <c r="AA1110">
        <v>0</v>
      </c>
      <c r="AB1110" t="s">
        <v>111</v>
      </c>
      <c r="AC1110">
        <v>0</v>
      </c>
      <c r="AD1110" t="s">
        <v>111</v>
      </c>
      <c r="AE1110">
        <v>0</v>
      </c>
      <c r="AF1110">
        <v>0</v>
      </c>
      <c r="AG1110" t="s">
        <v>111</v>
      </c>
      <c r="AH1110" t="s">
        <v>111</v>
      </c>
      <c r="AI1110" t="s">
        <v>111</v>
      </c>
      <c r="AJ1110" t="s">
        <v>111</v>
      </c>
      <c r="AK1110" t="s">
        <v>111</v>
      </c>
      <c r="AL1110" t="s">
        <v>111</v>
      </c>
      <c r="AM1110">
        <v>0</v>
      </c>
      <c r="AN1110">
        <v>0</v>
      </c>
      <c r="AO1110">
        <v>0</v>
      </c>
      <c r="AP1110" t="s">
        <v>111</v>
      </c>
      <c r="AQ1110" t="s">
        <v>111</v>
      </c>
      <c r="AR1110" t="s">
        <v>111</v>
      </c>
      <c r="AS1110" t="s">
        <v>111</v>
      </c>
      <c r="AT1110" t="s">
        <v>111</v>
      </c>
      <c r="AU1110" t="s">
        <v>111</v>
      </c>
      <c r="AV1110" t="s">
        <v>111</v>
      </c>
      <c r="AW1110" t="s">
        <v>111</v>
      </c>
      <c r="AX1110" t="s">
        <v>111</v>
      </c>
      <c r="AY1110" t="s">
        <v>111</v>
      </c>
      <c r="AZ1110" t="s">
        <v>111</v>
      </c>
      <c r="BA1110" t="s">
        <v>111</v>
      </c>
      <c r="BB1110" t="s">
        <v>111</v>
      </c>
      <c r="BC1110" t="s">
        <v>111</v>
      </c>
      <c r="BD1110" t="s">
        <v>111</v>
      </c>
      <c r="BE1110" t="s">
        <v>111</v>
      </c>
      <c r="BF1110" t="s">
        <v>111</v>
      </c>
      <c r="BG1110" t="s">
        <v>111</v>
      </c>
      <c r="BH1110" t="s">
        <v>111</v>
      </c>
      <c r="BI1110" t="s">
        <v>111</v>
      </c>
      <c r="BJ1110" t="s">
        <v>111</v>
      </c>
      <c r="BK1110" t="s">
        <v>111</v>
      </c>
      <c r="BL1110" t="s">
        <v>111</v>
      </c>
      <c r="BM1110" t="s">
        <v>111</v>
      </c>
      <c r="BN1110" t="s">
        <v>111</v>
      </c>
      <c r="BO1110" t="s">
        <v>111</v>
      </c>
      <c r="BP1110" t="s">
        <v>111</v>
      </c>
      <c r="BQ1110" t="s">
        <v>111</v>
      </c>
      <c r="BR1110" t="s">
        <v>111</v>
      </c>
      <c r="BS1110" t="s">
        <v>111</v>
      </c>
      <c r="BT1110" t="s">
        <v>111</v>
      </c>
      <c r="BU1110" t="s">
        <v>111</v>
      </c>
      <c r="BV1110" t="s">
        <v>111</v>
      </c>
      <c r="BW1110" t="s">
        <v>111</v>
      </c>
      <c r="BX1110" t="s">
        <v>111</v>
      </c>
      <c r="BY1110" t="s">
        <v>111</v>
      </c>
      <c r="BZ1110" t="s">
        <v>111</v>
      </c>
      <c r="CA1110" t="s">
        <v>111</v>
      </c>
      <c r="CB1110" t="s">
        <v>111</v>
      </c>
      <c r="CC1110" t="s">
        <v>111</v>
      </c>
      <c r="CD1110" t="s">
        <v>111</v>
      </c>
      <c r="CE1110" t="s">
        <v>111</v>
      </c>
      <c r="CF1110" t="s">
        <v>111</v>
      </c>
      <c r="CG1110" t="s">
        <v>111</v>
      </c>
      <c r="CH1110" t="s">
        <v>111</v>
      </c>
      <c r="CI1110" t="s">
        <v>111</v>
      </c>
      <c r="CJ1110" t="s">
        <v>111</v>
      </c>
      <c r="CK1110" t="s">
        <v>111</v>
      </c>
      <c r="CL1110" t="s">
        <v>111</v>
      </c>
      <c r="CM1110" t="s">
        <v>111</v>
      </c>
      <c r="CN1110" t="s">
        <v>111</v>
      </c>
      <c r="CO1110" t="s">
        <v>111</v>
      </c>
      <c r="CP1110" t="s">
        <v>111</v>
      </c>
      <c r="CQ1110">
        <v>0</v>
      </c>
      <c r="CR1110">
        <v>0</v>
      </c>
      <c r="CS1110">
        <v>0</v>
      </c>
      <c r="CT1110" t="s">
        <v>111</v>
      </c>
      <c r="CU1110">
        <v>0</v>
      </c>
      <c r="CV1110" t="s">
        <v>111</v>
      </c>
      <c r="CW1110" t="s">
        <v>111</v>
      </c>
      <c r="CX1110" t="s">
        <v>111</v>
      </c>
      <c r="CY1110">
        <v>0</v>
      </c>
      <c r="CZ1110" t="s">
        <v>111</v>
      </c>
      <c r="DA1110" t="s">
        <v>111</v>
      </c>
      <c r="DB1110" t="s">
        <v>204</v>
      </c>
      <c r="DC1110" s="1" t="s">
        <v>3400</v>
      </c>
    </row>
    <row r="1111" spans="1:107">
      <c r="A1111">
        <v>65</v>
      </c>
      <c r="B1111" t="s">
        <v>162</v>
      </c>
      <c r="C1111" t="s">
        <v>267</v>
      </c>
      <c r="D1111" t="s">
        <v>3300</v>
      </c>
      <c r="E1111" t="s">
        <v>3401</v>
      </c>
      <c r="F1111" t="s">
        <v>125</v>
      </c>
      <c r="G1111" t="s">
        <v>416</v>
      </c>
      <c r="H1111">
        <v>0.95</v>
      </c>
      <c r="I1111">
        <v>50</v>
      </c>
      <c r="J1111">
        <v>0</v>
      </c>
      <c r="K1111">
        <v>0</v>
      </c>
      <c r="L1111" t="s">
        <v>112</v>
      </c>
      <c r="M1111" t="s">
        <v>138</v>
      </c>
      <c r="N1111">
        <v>0</v>
      </c>
      <c r="O1111">
        <v>0</v>
      </c>
      <c r="P1111" t="s">
        <v>138</v>
      </c>
      <c r="Q1111">
        <v>40</v>
      </c>
      <c r="R1111">
        <v>0</v>
      </c>
      <c r="S1111">
        <v>0</v>
      </c>
      <c r="T1111">
        <v>0</v>
      </c>
      <c r="U1111" t="s">
        <v>153</v>
      </c>
      <c r="V1111">
        <v>25</v>
      </c>
      <c r="W1111">
        <v>0</v>
      </c>
      <c r="X1111">
        <v>8</v>
      </c>
      <c r="Y1111">
        <v>0</v>
      </c>
      <c r="Z1111" t="s">
        <v>111</v>
      </c>
      <c r="AA1111">
        <v>0</v>
      </c>
      <c r="AB1111" t="s">
        <v>111</v>
      </c>
      <c r="AC1111">
        <v>0</v>
      </c>
      <c r="AD1111" t="s">
        <v>111</v>
      </c>
      <c r="AE1111">
        <v>0</v>
      </c>
      <c r="AF1111">
        <v>0</v>
      </c>
      <c r="AG1111" t="s">
        <v>111</v>
      </c>
      <c r="AH1111" t="s">
        <v>111</v>
      </c>
      <c r="AI1111" t="s">
        <v>111</v>
      </c>
      <c r="AJ1111" t="s">
        <v>111</v>
      </c>
      <c r="AK1111" t="s">
        <v>111</v>
      </c>
      <c r="AL1111" t="s">
        <v>111</v>
      </c>
      <c r="AM1111">
        <v>0</v>
      </c>
      <c r="AN1111">
        <v>0</v>
      </c>
      <c r="AO1111">
        <v>0</v>
      </c>
      <c r="AP1111" t="s">
        <v>111</v>
      </c>
      <c r="AQ1111" t="s">
        <v>111</v>
      </c>
      <c r="AR1111" t="s">
        <v>111</v>
      </c>
      <c r="AS1111" t="s">
        <v>111</v>
      </c>
      <c r="AT1111" t="s">
        <v>111</v>
      </c>
      <c r="AU1111" t="s">
        <v>111</v>
      </c>
      <c r="AV1111" t="s">
        <v>111</v>
      </c>
      <c r="AW1111" t="s">
        <v>111</v>
      </c>
      <c r="AX1111" t="s">
        <v>111</v>
      </c>
      <c r="AY1111" t="s">
        <v>111</v>
      </c>
      <c r="AZ1111" t="s">
        <v>111</v>
      </c>
      <c r="BA1111" t="s">
        <v>111</v>
      </c>
      <c r="BB1111" t="s">
        <v>111</v>
      </c>
      <c r="BC1111" t="s">
        <v>111</v>
      </c>
      <c r="BD1111" t="s">
        <v>111</v>
      </c>
      <c r="BE1111" t="s">
        <v>111</v>
      </c>
      <c r="BF1111" t="s">
        <v>111</v>
      </c>
      <c r="BG1111" t="s">
        <v>111</v>
      </c>
      <c r="BH1111" t="s">
        <v>111</v>
      </c>
      <c r="BI1111" t="s">
        <v>111</v>
      </c>
      <c r="BJ1111" t="s">
        <v>111</v>
      </c>
      <c r="BK1111" t="s">
        <v>111</v>
      </c>
      <c r="BL1111" t="s">
        <v>111</v>
      </c>
      <c r="BM1111" t="s">
        <v>111</v>
      </c>
      <c r="BN1111" t="s">
        <v>111</v>
      </c>
      <c r="BO1111" t="s">
        <v>111</v>
      </c>
      <c r="BP1111" t="s">
        <v>111</v>
      </c>
      <c r="BQ1111" t="s">
        <v>111</v>
      </c>
      <c r="BR1111" t="s">
        <v>111</v>
      </c>
      <c r="BS1111" t="s">
        <v>111</v>
      </c>
      <c r="BT1111" t="s">
        <v>111</v>
      </c>
      <c r="BU1111" t="s">
        <v>111</v>
      </c>
      <c r="BV1111" t="s">
        <v>111</v>
      </c>
      <c r="BW1111" t="s">
        <v>111</v>
      </c>
      <c r="BX1111" t="s">
        <v>111</v>
      </c>
      <c r="BY1111" t="s">
        <v>111</v>
      </c>
      <c r="BZ1111" t="s">
        <v>111</v>
      </c>
      <c r="CA1111" t="s">
        <v>111</v>
      </c>
      <c r="CB1111" t="s">
        <v>111</v>
      </c>
      <c r="CC1111" t="s">
        <v>111</v>
      </c>
      <c r="CD1111" t="s">
        <v>111</v>
      </c>
      <c r="CE1111" t="s">
        <v>111</v>
      </c>
      <c r="CF1111" t="s">
        <v>111</v>
      </c>
      <c r="CG1111" t="s">
        <v>111</v>
      </c>
      <c r="CH1111" t="s">
        <v>111</v>
      </c>
      <c r="CI1111" t="s">
        <v>111</v>
      </c>
      <c r="CJ1111" t="s">
        <v>111</v>
      </c>
      <c r="CK1111" t="s">
        <v>111</v>
      </c>
      <c r="CL1111" t="s">
        <v>111</v>
      </c>
      <c r="CM1111" t="s">
        <v>198</v>
      </c>
      <c r="CN1111" t="s">
        <v>113</v>
      </c>
      <c r="CO1111" t="s">
        <v>111</v>
      </c>
      <c r="CP1111" t="s">
        <v>111</v>
      </c>
      <c r="CQ1111">
        <v>0</v>
      </c>
      <c r="CR1111">
        <v>0</v>
      </c>
      <c r="CS1111">
        <v>0</v>
      </c>
      <c r="CT1111" t="s">
        <v>168</v>
      </c>
      <c r="CU1111">
        <v>0</v>
      </c>
      <c r="CV1111" t="s">
        <v>111</v>
      </c>
      <c r="CW1111" t="s">
        <v>111</v>
      </c>
      <c r="CX1111" t="s">
        <v>111</v>
      </c>
      <c r="CY1111">
        <v>0</v>
      </c>
      <c r="CZ1111" t="s">
        <v>111</v>
      </c>
      <c r="DA1111" t="s">
        <v>111</v>
      </c>
      <c r="DB1111" t="s">
        <v>111</v>
      </c>
      <c r="DC1111" t="s">
        <v>111</v>
      </c>
    </row>
    <row r="1112" spans="1:107">
      <c r="A1112">
        <v>64</v>
      </c>
      <c r="B1112" t="s">
        <v>162</v>
      </c>
      <c r="C1112" t="s">
        <v>267</v>
      </c>
      <c r="D1112" t="s">
        <v>3285</v>
      </c>
      <c r="E1112" t="s">
        <v>3402</v>
      </c>
      <c r="F1112" t="s">
        <v>125</v>
      </c>
      <c r="G1112" t="s">
        <v>416</v>
      </c>
      <c r="H1112">
        <v>0.95</v>
      </c>
      <c r="I1112">
        <v>70</v>
      </c>
      <c r="J1112">
        <v>0</v>
      </c>
      <c r="K1112">
        <v>0</v>
      </c>
      <c r="L1112" t="s">
        <v>112</v>
      </c>
      <c r="M1112" t="s">
        <v>138</v>
      </c>
      <c r="N1112">
        <v>0</v>
      </c>
      <c r="O1112">
        <v>0</v>
      </c>
      <c r="P1112" t="s">
        <v>138</v>
      </c>
      <c r="Q1112">
        <v>40</v>
      </c>
      <c r="R1112">
        <v>0</v>
      </c>
      <c r="S1112">
        <v>0</v>
      </c>
      <c r="T1112">
        <v>0</v>
      </c>
      <c r="U1112" t="s">
        <v>153</v>
      </c>
      <c r="V1112">
        <v>25</v>
      </c>
      <c r="W1112">
        <v>0</v>
      </c>
      <c r="X1112">
        <v>8</v>
      </c>
      <c r="Y1112">
        <v>0</v>
      </c>
      <c r="Z1112" t="s">
        <v>111</v>
      </c>
      <c r="AA1112">
        <v>0</v>
      </c>
      <c r="AB1112" t="s">
        <v>111</v>
      </c>
      <c r="AC1112">
        <v>0</v>
      </c>
      <c r="AD1112" t="s">
        <v>111</v>
      </c>
      <c r="AE1112">
        <v>0</v>
      </c>
      <c r="AF1112">
        <v>0</v>
      </c>
      <c r="AG1112" t="s">
        <v>111</v>
      </c>
      <c r="AH1112" t="s">
        <v>111</v>
      </c>
      <c r="AI1112" t="s">
        <v>111</v>
      </c>
      <c r="AJ1112" t="s">
        <v>111</v>
      </c>
      <c r="AK1112" t="s">
        <v>111</v>
      </c>
      <c r="AL1112" t="s">
        <v>111</v>
      </c>
      <c r="AM1112">
        <v>0</v>
      </c>
      <c r="AN1112">
        <v>0</v>
      </c>
      <c r="AO1112">
        <v>0</v>
      </c>
      <c r="AP1112" t="s">
        <v>111</v>
      </c>
      <c r="AQ1112" t="s">
        <v>111</v>
      </c>
      <c r="AR1112" t="s">
        <v>111</v>
      </c>
      <c r="AS1112" t="s">
        <v>111</v>
      </c>
      <c r="AT1112" t="s">
        <v>111</v>
      </c>
      <c r="AU1112" t="s">
        <v>111</v>
      </c>
      <c r="AV1112" t="s">
        <v>111</v>
      </c>
      <c r="AW1112" t="s">
        <v>111</v>
      </c>
      <c r="AX1112" t="s">
        <v>111</v>
      </c>
      <c r="AY1112" t="s">
        <v>111</v>
      </c>
      <c r="AZ1112" t="s">
        <v>111</v>
      </c>
      <c r="BA1112" t="s">
        <v>111</v>
      </c>
      <c r="BB1112" t="s">
        <v>111</v>
      </c>
      <c r="BC1112" t="s">
        <v>111</v>
      </c>
      <c r="BD1112" t="s">
        <v>111</v>
      </c>
      <c r="BE1112" t="s">
        <v>111</v>
      </c>
      <c r="BF1112" t="s">
        <v>111</v>
      </c>
      <c r="BG1112" t="s">
        <v>111</v>
      </c>
      <c r="BH1112" t="s">
        <v>111</v>
      </c>
      <c r="BI1112" t="s">
        <v>111</v>
      </c>
      <c r="BJ1112" t="s">
        <v>111</v>
      </c>
      <c r="BK1112" t="s">
        <v>111</v>
      </c>
      <c r="BL1112" t="s">
        <v>111</v>
      </c>
      <c r="BM1112" t="s">
        <v>111</v>
      </c>
      <c r="BN1112" t="s">
        <v>111</v>
      </c>
      <c r="BO1112" t="s">
        <v>111</v>
      </c>
      <c r="BP1112" t="s">
        <v>111</v>
      </c>
      <c r="BQ1112" t="s">
        <v>111</v>
      </c>
      <c r="BR1112" t="s">
        <v>111</v>
      </c>
      <c r="BS1112" t="s">
        <v>111</v>
      </c>
      <c r="BT1112" t="s">
        <v>111</v>
      </c>
      <c r="BU1112" t="s">
        <v>111</v>
      </c>
      <c r="BV1112" t="s">
        <v>111</v>
      </c>
      <c r="BW1112" t="s">
        <v>111</v>
      </c>
      <c r="BX1112" t="s">
        <v>111</v>
      </c>
      <c r="BY1112" t="s">
        <v>111</v>
      </c>
      <c r="BZ1112" t="s">
        <v>111</v>
      </c>
      <c r="CA1112" t="s">
        <v>111</v>
      </c>
      <c r="CB1112" t="s">
        <v>111</v>
      </c>
      <c r="CC1112" t="s">
        <v>111</v>
      </c>
      <c r="CD1112" t="s">
        <v>111</v>
      </c>
      <c r="CE1112" t="s">
        <v>111</v>
      </c>
      <c r="CF1112" t="s">
        <v>111</v>
      </c>
      <c r="CG1112" t="s">
        <v>111</v>
      </c>
      <c r="CH1112" t="s">
        <v>111</v>
      </c>
      <c r="CI1112" t="s">
        <v>111</v>
      </c>
      <c r="CJ1112" t="s">
        <v>111</v>
      </c>
      <c r="CK1112" t="s">
        <v>111</v>
      </c>
      <c r="CL1112" t="s">
        <v>111</v>
      </c>
      <c r="CM1112" t="s">
        <v>198</v>
      </c>
      <c r="CN1112" t="s">
        <v>113</v>
      </c>
      <c r="CO1112" t="s">
        <v>111</v>
      </c>
      <c r="CP1112" t="s">
        <v>111</v>
      </c>
      <c r="CQ1112">
        <v>0</v>
      </c>
      <c r="CR1112">
        <v>0</v>
      </c>
      <c r="CS1112">
        <v>0</v>
      </c>
      <c r="CT1112" t="s">
        <v>168</v>
      </c>
      <c r="CU1112">
        <v>0</v>
      </c>
      <c r="CV1112" t="s">
        <v>111</v>
      </c>
      <c r="CW1112" t="s">
        <v>111</v>
      </c>
      <c r="CX1112" t="s">
        <v>111</v>
      </c>
      <c r="CY1112">
        <v>0</v>
      </c>
      <c r="CZ1112" t="s">
        <v>111</v>
      </c>
      <c r="DA1112" t="s">
        <v>111</v>
      </c>
      <c r="DB1112" t="s">
        <v>111</v>
      </c>
      <c r="DC1112" t="s">
        <v>111</v>
      </c>
    </row>
    <row r="1113" spans="1:107">
      <c r="A1113">
        <v>62</v>
      </c>
      <c r="B1113" t="s">
        <v>162</v>
      </c>
      <c r="C1113" t="s">
        <v>3403</v>
      </c>
      <c r="D1113" t="s">
        <v>3404</v>
      </c>
      <c r="E1113" t="s">
        <v>3405</v>
      </c>
      <c r="F1113" t="s">
        <v>431</v>
      </c>
      <c r="G1113" t="s">
        <v>416</v>
      </c>
      <c r="H1113">
        <v>2</v>
      </c>
      <c r="I1113">
        <v>45</v>
      </c>
      <c r="J1113">
        <v>0</v>
      </c>
      <c r="K1113">
        <v>0</v>
      </c>
      <c r="L1113" t="s">
        <v>178</v>
      </c>
      <c r="M1113" t="s">
        <v>118</v>
      </c>
      <c r="N1113">
        <v>40</v>
      </c>
      <c r="O1113">
        <v>2</v>
      </c>
      <c r="P1113" t="s">
        <v>138</v>
      </c>
      <c r="Q1113">
        <v>40</v>
      </c>
      <c r="R1113">
        <v>0</v>
      </c>
      <c r="S1113">
        <v>0</v>
      </c>
      <c r="T1113">
        <v>0</v>
      </c>
      <c r="U1113" t="s">
        <v>168</v>
      </c>
      <c r="V1113">
        <v>0</v>
      </c>
      <c r="W1113">
        <v>25</v>
      </c>
      <c r="X1113">
        <v>6</v>
      </c>
      <c r="Y1113">
        <v>0</v>
      </c>
      <c r="Z1113" t="s">
        <v>111</v>
      </c>
      <c r="AA1113">
        <v>0</v>
      </c>
      <c r="AB1113" t="s">
        <v>111</v>
      </c>
      <c r="AC1113">
        <v>0</v>
      </c>
      <c r="AD1113" t="s">
        <v>416</v>
      </c>
      <c r="AE1113">
        <v>1</v>
      </c>
      <c r="AF1113">
        <v>1</v>
      </c>
      <c r="AG1113">
        <v>30</v>
      </c>
      <c r="AH1113" t="s">
        <v>111</v>
      </c>
      <c r="AI1113">
        <v>30</v>
      </c>
      <c r="AJ1113" t="s">
        <v>111</v>
      </c>
      <c r="AK1113" t="s">
        <v>111</v>
      </c>
      <c r="AL1113" t="s">
        <v>111</v>
      </c>
      <c r="AM1113">
        <v>0</v>
      </c>
      <c r="AN1113">
        <v>0</v>
      </c>
      <c r="AO1113">
        <v>0</v>
      </c>
      <c r="AP1113" t="s">
        <v>288</v>
      </c>
      <c r="AQ1113" t="s">
        <v>111</v>
      </c>
      <c r="AR1113" t="s">
        <v>111</v>
      </c>
      <c r="AS1113" t="s">
        <v>111</v>
      </c>
      <c r="AT1113" t="s">
        <v>772</v>
      </c>
      <c r="AU1113" t="s">
        <v>111</v>
      </c>
      <c r="AV1113" t="s">
        <v>111</v>
      </c>
      <c r="AW1113" t="s">
        <v>111</v>
      </c>
      <c r="AX1113" t="s">
        <v>259</v>
      </c>
      <c r="AY1113" t="s">
        <v>111</v>
      </c>
      <c r="AZ1113" t="s">
        <v>111</v>
      </c>
      <c r="BA1113" t="s">
        <v>111</v>
      </c>
      <c r="BB1113" t="s">
        <v>111</v>
      </c>
      <c r="BC1113" t="s">
        <v>111</v>
      </c>
      <c r="BD1113" t="s">
        <v>111</v>
      </c>
      <c r="BE1113" t="s">
        <v>111</v>
      </c>
      <c r="BF1113" t="s">
        <v>111</v>
      </c>
      <c r="BG1113" t="s">
        <v>111</v>
      </c>
      <c r="BH1113" t="s">
        <v>111</v>
      </c>
      <c r="BI1113" t="s">
        <v>111</v>
      </c>
      <c r="BJ1113" t="s">
        <v>111</v>
      </c>
      <c r="BK1113" t="s">
        <v>111</v>
      </c>
      <c r="BL1113" t="s">
        <v>111</v>
      </c>
      <c r="BM1113" t="s">
        <v>111</v>
      </c>
      <c r="BN1113" t="s">
        <v>111</v>
      </c>
      <c r="BO1113" t="s">
        <v>111</v>
      </c>
      <c r="BP1113" t="s">
        <v>111</v>
      </c>
      <c r="BQ1113" t="s">
        <v>111</v>
      </c>
      <c r="BR1113" t="s">
        <v>111</v>
      </c>
      <c r="BS1113" t="s">
        <v>111</v>
      </c>
      <c r="BT1113" t="s">
        <v>111</v>
      </c>
      <c r="BU1113" t="s">
        <v>111</v>
      </c>
      <c r="BV1113" t="s">
        <v>111</v>
      </c>
      <c r="BW1113" t="s">
        <v>111</v>
      </c>
      <c r="BX1113" t="s">
        <v>111</v>
      </c>
      <c r="BY1113" t="s">
        <v>111</v>
      </c>
      <c r="BZ1113" t="s">
        <v>111</v>
      </c>
      <c r="CA1113" t="s">
        <v>111</v>
      </c>
      <c r="CB1113" t="s">
        <v>111</v>
      </c>
      <c r="CC1113" t="s">
        <v>111</v>
      </c>
      <c r="CD1113" t="s">
        <v>111</v>
      </c>
      <c r="CE1113" t="s">
        <v>111</v>
      </c>
      <c r="CF1113" t="s">
        <v>111</v>
      </c>
      <c r="CG1113" t="s">
        <v>111</v>
      </c>
      <c r="CH1113" t="s">
        <v>111</v>
      </c>
      <c r="CI1113" t="s">
        <v>111</v>
      </c>
      <c r="CJ1113" t="s">
        <v>111</v>
      </c>
      <c r="CK1113" t="s">
        <v>111</v>
      </c>
      <c r="CL1113" t="s">
        <v>153</v>
      </c>
      <c r="CM1113" t="s">
        <v>198</v>
      </c>
      <c r="CN1113" t="s">
        <v>113</v>
      </c>
      <c r="CO1113" t="s">
        <v>111</v>
      </c>
      <c r="CP1113" t="s">
        <v>433</v>
      </c>
      <c r="CQ1113">
        <v>0</v>
      </c>
      <c r="CR1113">
        <v>0</v>
      </c>
      <c r="CS1113">
        <v>0</v>
      </c>
      <c r="CT1113" t="s">
        <v>168</v>
      </c>
      <c r="CU1113">
        <v>0</v>
      </c>
      <c r="CV1113" t="s">
        <v>111</v>
      </c>
      <c r="CW1113" t="s">
        <v>111</v>
      </c>
      <c r="CX1113" t="s">
        <v>111</v>
      </c>
      <c r="CY1113">
        <v>0</v>
      </c>
      <c r="CZ1113" t="s">
        <v>111</v>
      </c>
      <c r="DA1113" t="s">
        <v>111</v>
      </c>
      <c r="DB1113" t="s">
        <v>111</v>
      </c>
      <c r="DC1113" t="s">
        <v>111</v>
      </c>
    </row>
    <row r="1114" spans="1:107">
      <c r="A1114">
        <v>51</v>
      </c>
      <c r="B1114" t="s">
        <v>162</v>
      </c>
      <c r="C1114" t="s">
        <v>223</v>
      </c>
      <c r="D1114" t="s">
        <v>3406</v>
      </c>
      <c r="E1114" t="s">
        <v>3407</v>
      </c>
      <c r="F1114" t="s">
        <v>192</v>
      </c>
      <c r="G1114" t="s">
        <v>416</v>
      </c>
      <c r="H1114">
        <v>3</v>
      </c>
      <c r="I1114">
        <v>35</v>
      </c>
      <c r="J1114">
        <v>0</v>
      </c>
      <c r="K1114">
        <v>0</v>
      </c>
      <c r="L1114" t="s">
        <v>112</v>
      </c>
      <c r="M1114" t="s">
        <v>138</v>
      </c>
      <c r="N1114">
        <v>0</v>
      </c>
      <c r="O1114">
        <v>0</v>
      </c>
      <c r="P1114" t="s">
        <v>138</v>
      </c>
      <c r="Q1114">
        <v>30</v>
      </c>
      <c r="R1114">
        <v>0</v>
      </c>
      <c r="S1114">
        <v>0</v>
      </c>
      <c r="T1114">
        <v>0</v>
      </c>
      <c r="U1114" t="s">
        <v>234</v>
      </c>
      <c r="V1114">
        <v>0</v>
      </c>
      <c r="W1114">
        <v>25</v>
      </c>
      <c r="X1114">
        <v>8</v>
      </c>
      <c r="Y1114">
        <v>0</v>
      </c>
      <c r="Z1114" t="s">
        <v>288</v>
      </c>
      <c r="AA1114">
        <v>1.65</v>
      </c>
      <c r="AB1114" t="s">
        <v>111</v>
      </c>
      <c r="AC1114">
        <v>0</v>
      </c>
      <c r="AD1114" t="s">
        <v>111</v>
      </c>
      <c r="AE1114">
        <v>0</v>
      </c>
      <c r="AF1114">
        <v>0</v>
      </c>
      <c r="AG1114" t="s">
        <v>111</v>
      </c>
      <c r="AH1114" t="s">
        <v>111</v>
      </c>
      <c r="AI1114" t="s">
        <v>111</v>
      </c>
      <c r="AJ1114" t="s">
        <v>111</v>
      </c>
      <c r="AK1114" t="s">
        <v>111</v>
      </c>
      <c r="AL1114" t="s">
        <v>111</v>
      </c>
      <c r="AM1114">
        <v>0</v>
      </c>
      <c r="AN1114">
        <v>0</v>
      </c>
      <c r="AO1114">
        <v>0</v>
      </c>
      <c r="AP1114" t="s">
        <v>111</v>
      </c>
      <c r="AQ1114" t="s">
        <v>111</v>
      </c>
      <c r="AR1114" t="s">
        <v>111</v>
      </c>
      <c r="AS1114" t="s">
        <v>111</v>
      </c>
      <c r="AT1114" t="s">
        <v>111</v>
      </c>
      <c r="AU1114" t="s">
        <v>111</v>
      </c>
      <c r="AV1114" t="s">
        <v>111</v>
      </c>
      <c r="AW1114" t="s">
        <v>111</v>
      </c>
      <c r="AX1114" t="s">
        <v>111</v>
      </c>
      <c r="AY1114" t="s">
        <v>111</v>
      </c>
      <c r="AZ1114" t="s">
        <v>111</v>
      </c>
      <c r="BA1114" t="s">
        <v>111</v>
      </c>
      <c r="BB1114" t="s">
        <v>111</v>
      </c>
      <c r="BC1114" t="s">
        <v>111</v>
      </c>
      <c r="BD1114" t="s">
        <v>111</v>
      </c>
      <c r="BE1114" t="s">
        <v>111</v>
      </c>
      <c r="BF1114" t="s">
        <v>111</v>
      </c>
      <c r="BG1114" t="s">
        <v>111</v>
      </c>
      <c r="BH1114" t="s">
        <v>111</v>
      </c>
      <c r="BI1114" t="s">
        <v>111</v>
      </c>
      <c r="BJ1114" t="s">
        <v>111</v>
      </c>
      <c r="BK1114" t="s">
        <v>111</v>
      </c>
      <c r="BL1114" t="s">
        <v>111</v>
      </c>
      <c r="BM1114" t="s">
        <v>111</v>
      </c>
      <c r="BN1114" t="s">
        <v>111</v>
      </c>
      <c r="BO1114" t="s">
        <v>111</v>
      </c>
      <c r="BP1114" t="s">
        <v>111</v>
      </c>
      <c r="BQ1114" t="s">
        <v>111</v>
      </c>
      <c r="BR1114" t="s">
        <v>111</v>
      </c>
      <c r="BS1114" t="s">
        <v>111</v>
      </c>
      <c r="BT1114" t="s">
        <v>111</v>
      </c>
      <c r="BU1114" t="s">
        <v>111</v>
      </c>
      <c r="BV1114" t="s">
        <v>111</v>
      </c>
      <c r="BW1114" t="s">
        <v>111</v>
      </c>
      <c r="BX1114" t="s">
        <v>111</v>
      </c>
      <c r="BY1114" t="s">
        <v>111</v>
      </c>
      <c r="BZ1114" t="s">
        <v>111</v>
      </c>
      <c r="CA1114" t="s">
        <v>111</v>
      </c>
      <c r="CB1114" t="s">
        <v>111</v>
      </c>
      <c r="CC1114" t="s">
        <v>111</v>
      </c>
      <c r="CD1114" t="s">
        <v>111</v>
      </c>
      <c r="CE1114" t="s">
        <v>111</v>
      </c>
      <c r="CF1114" t="s">
        <v>111</v>
      </c>
      <c r="CG1114" t="s">
        <v>111</v>
      </c>
      <c r="CH1114" t="s">
        <v>111</v>
      </c>
      <c r="CI1114" t="s">
        <v>111</v>
      </c>
      <c r="CJ1114" t="s">
        <v>111</v>
      </c>
      <c r="CK1114" t="s">
        <v>111</v>
      </c>
      <c r="CL1114" t="s">
        <v>111</v>
      </c>
      <c r="CM1114" t="s">
        <v>111</v>
      </c>
      <c r="CN1114" t="s">
        <v>111</v>
      </c>
      <c r="CO1114" t="s">
        <v>111</v>
      </c>
      <c r="CP1114" t="s">
        <v>111</v>
      </c>
      <c r="CQ1114">
        <v>0</v>
      </c>
      <c r="CR1114">
        <v>0</v>
      </c>
      <c r="CS1114">
        <v>0</v>
      </c>
      <c r="CT1114" t="s">
        <v>111</v>
      </c>
      <c r="CU1114">
        <v>0</v>
      </c>
      <c r="CV1114" t="s">
        <v>111</v>
      </c>
      <c r="CW1114" t="s">
        <v>111</v>
      </c>
      <c r="CX1114" t="s">
        <v>111</v>
      </c>
      <c r="CY1114">
        <v>0</v>
      </c>
      <c r="CZ1114" t="s">
        <v>111</v>
      </c>
      <c r="DA1114" t="s">
        <v>111</v>
      </c>
      <c r="DB1114" t="s">
        <v>204</v>
      </c>
      <c r="DC1114" s="1" t="s">
        <v>3032</v>
      </c>
    </row>
    <row r="1115" spans="1:107">
      <c r="A1115">
        <v>249</v>
      </c>
      <c r="B1115" t="s">
        <v>162</v>
      </c>
      <c r="C1115" t="s">
        <v>144</v>
      </c>
      <c r="D1115" t="s">
        <v>3408</v>
      </c>
      <c r="E1115" t="s">
        <v>3409</v>
      </c>
      <c r="F1115" t="s">
        <v>239</v>
      </c>
      <c r="G1115" t="s">
        <v>416</v>
      </c>
      <c r="H1115">
        <v>1.2</v>
      </c>
      <c r="I1115">
        <v>100</v>
      </c>
      <c r="J1115">
        <v>0</v>
      </c>
      <c r="K1115">
        <v>0</v>
      </c>
      <c r="L1115" t="s">
        <v>112</v>
      </c>
      <c r="M1115" t="s">
        <v>138</v>
      </c>
      <c r="N1115">
        <v>0</v>
      </c>
      <c r="O1115">
        <v>0</v>
      </c>
      <c r="P1115" t="s">
        <v>138</v>
      </c>
      <c r="Q1115">
        <v>35</v>
      </c>
      <c r="R1115">
        <v>0</v>
      </c>
      <c r="S1115">
        <v>0</v>
      </c>
      <c r="T1115">
        <v>3</v>
      </c>
      <c r="U1115" t="e">
        <f>-DESTINO MANUALES</f>
        <v>#NAME?</v>
      </c>
      <c r="V1115">
        <v>25</v>
      </c>
      <c r="W1115">
        <v>0</v>
      </c>
      <c r="X1115">
        <v>8</v>
      </c>
      <c r="Y1115">
        <v>0</v>
      </c>
      <c r="Z1115" t="s">
        <v>147</v>
      </c>
      <c r="AA1115">
        <v>1.32</v>
      </c>
      <c r="AB1115" t="s">
        <v>111</v>
      </c>
      <c r="AC1115">
        <v>0</v>
      </c>
      <c r="AD1115" t="s">
        <v>111</v>
      </c>
      <c r="AE1115">
        <v>0</v>
      </c>
      <c r="AF1115">
        <v>0</v>
      </c>
      <c r="AG1115" t="s">
        <v>111</v>
      </c>
      <c r="AH1115" t="s">
        <v>111</v>
      </c>
      <c r="AI1115" t="s">
        <v>111</v>
      </c>
      <c r="AJ1115" t="s">
        <v>111</v>
      </c>
      <c r="AK1115" t="s">
        <v>111</v>
      </c>
      <c r="AL1115" t="s">
        <v>111</v>
      </c>
      <c r="AM1115">
        <v>0</v>
      </c>
      <c r="AN1115">
        <v>0</v>
      </c>
      <c r="AO1115">
        <v>0</v>
      </c>
      <c r="AP1115" t="s">
        <v>111</v>
      </c>
      <c r="AQ1115" t="s">
        <v>111</v>
      </c>
      <c r="AR1115" t="s">
        <v>111</v>
      </c>
      <c r="AS1115" t="s">
        <v>111</v>
      </c>
      <c r="AT1115" t="s">
        <v>111</v>
      </c>
      <c r="AU1115" t="s">
        <v>111</v>
      </c>
      <c r="AV1115" t="s">
        <v>111</v>
      </c>
      <c r="AW1115" t="s">
        <v>111</v>
      </c>
      <c r="AX1115" t="s">
        <v>111</v>
      </c>
      <c r="AY1115" t="s">
        <v>111</v>
      </c>
      <c r="AZ1115" t="s">
        <v>111</v>
      </c>
      <c r="BA1115" t="s">
        <v>111</v>
      </c>
      <c r="BB1115" t="s">
        <v>111</v>
      </c>
      <c r="BC1115" t="s">
        <v>111</v>
      </c>
      <c r="BD1115" t="s">
        <v>111</v>
      </c>
      <c r="BE1115" t="s">
        <v>111</v>
      </c>
      <c r="BF1115" t="s">
        <v>111</v>
      </c>
      <c r="BG1115" t="s">
        <v>111</v>
      </c>
      <c r="BH1115" t="s">
        <v>111</v>
      </c>
      <c r="BI1115" t="s">
        <v>111</v>
      </c>
      <c r="BJ1115" t="s">
        <v>111</v>
      </c>
      <c r="BK1115" t="s">
        <v>111</v>
      </c>
      <c r="BL1115" t="s">
        <v>111</v>
      </c>
      <c r="BM1115" t="s">
        <v>111</v>
      </c>
      <c r="BN1115" t="s">
        <v>111</v>
      </c>
      <c r="BO1115" t="s">
        <v>111</v>
      </c>
      <c r="BP1115" t="s">
        <v>111</v>
      </c>
      <c r="BQ1115" t="s">
        <v>111</v>
      </c>
      <c r="BR1115" t="s">
        <v>111</v>
      </c>
      <c r="BS1115" t="s">
        <v>111</v>
      </c>
      <c r="BT1115" t="s">
        <v>111</v>
      </c>
      <c r="BU1115" t="s">
        <v>111</v>
      </c>
      <c r="BV1115" t="s">
        <v>111</v>
      </c>
      <c r="BW1115" t="s">
        <v>111</v>
      </c>
      <c r="BX1115" t="s">
        <v>111</v>
      </c>
      <c r="BY1115" t="s">
        <v>111</v>
      </c>
      <c r="BZ1115" t="s">
        <v>111</v>
      </c>
      <c r="CA1115" t="s">
        <v>111</v>
      </c>
      <c r="CB1115" t="s">
        <v>111</v>
      </c>
      <c r="CC1115" t="s">
        <v>111</v>
      </c>
      <c r="CD1115" t="s">
        <v>111</v>
      </c>
      <c r="CE1115" t="s">
        <v>111</v>
      </c>
      <c r="CF1115" t="s">
        <v>111</v>
      </c>
      <c r="CG1115" t="s">
        <v>111</v>
      </c>
      <c r="CH1115" t="s">
        <v>111</v>
      </c>
      <c r="CI1115" t="s">
        <v>111</v>
      </c>
      <c r="CJ1115" t="s">
        <v>111</v>
      </c>
      <c r="CK1115" t="s">
        <v>111</v>
      </c>
      <c r="CL1115" t="s">
        <v>111</v>
      </c>
      <c r="CM1115" t="s">
        <v>111</v>
      </c>
      <c r="CN1115" t="s">
        <v>111</v>
      </c>
      <c r="CO1115" t="s">
        <v>111</v>
      </c>
      <c r="CP1115" t="s">
        <v>111</v>
      </c>
      <c r="CQ1115">
        <v>0</v>
      </c>
      <c r="CR1115">
        <v>340</v>
      </c>
      <c r="CS1115">
        <v>20</v>
      </c>
      <c r="CT1115" t="s">
        <v>111</v>
      </c>
      <c r="CU1115">
        <v>0</v>
      </c>
      <c r="CV1115" t="s">
        <v>111</v>
      </c>
      <c r="CW1115" t="s">
        <v>111</v>
      </c>
      <c r="CX1115" t="s">
        <v>111</v>
      </c>
      <c r="CY1115">
        <v>0</v>
      </c>
      <c r="CZ1115" t="s">
        <v>111</v>
      </c>
      <c r="DA1115" t="s">
        <v>111</v>
      </c>
      <c r="DB1115" t="e">
        <f>-INTERNO</f>
        <v>#NAME?</v>
      </c>
      <c r="DC1115" t="s">
        <v>281</v>
      </c>
    </row>
    <row r="1116" spans="1:107">
      <c r="A1116">
        <v>237</v>
      </c>
      <c r="B1116" t="s">
        <v>162</v>
      </c>
      <c r="C1116" t="s">
        <v>333</v>
      </c>
      <c r="D1116" t="s">
        <v>3410</v>
      </c>
      <c r="E1116" t="s">
        <v>3411</v>
      </c>
      <c r="F1116" t="s">
        <v>404</v>
      </c>
      <c r="G1116" t="s">
        <v>416</v>
      </c>
      <c r="H1116">
        <v>0.5</v>
      </c>
      <c r="I1116">
        <v>40</v>
      </c>
      <c r="J1116">
        <v>0</v>
      </c>
      <c r="K1116">
        <v>0</v>
      </c>
      <c r="L1116" t="s">
        <v>112</v>
      </c>
      <c r="M1116" t="s">
        <v>138</v>
      </c>
      <c r="N1116">
        <v>0</v>
      </c>
      <c r="O1116">
        <v>0</v>
      </c>
      <c r="P1116" t="s">
        <v>138</v>
      </c>
      <c r="Q1116">
        <v>35</v>
      </c>
      <c r="R1116">
        <v>0</v>
      </c>
      <c r="S1116">
        <v>0</v>
      </c>
      <c r="T1116">
        <v>0</v>
      </c>
      <c r="U1116" t="s">
        <v>153</v>
      </c>
      <c r="V1116">
        <v>25</v>
      </c>
      <c r="W1116">
        <v>0</v>
      </c>
      <c r="X1116">
        <v>8</v>
      </c>
      <c r="Y1116">
        <v>0</v>
      </c>
      <c r="Z1116" t="s">
        <v>366</v>
      </c>
      <c r="AA1116">
        <v>1.65</v>
      </c>
      <c r="AB1116" t="s">
        <v>111</v>
      </c>
      <c r="AC1116">
        <v>0</v>
      </c>
      <c r="AD1116" t="s">
        <v>111</v>
      </c>
      <c r="AE1116">
        <v>0</v>
      </c>
      <c r="AF1116">
        <v>0</v>
      </c>
      <c r="AG1116" t="s">
        <v>111</v>
      </c>
      <c r="AH1116" t="s">
        <v>111</v>
      </c>
      <c r="AI1116" t="s">
        <v>111</v>
      </c>
      <c r="AJ1116" t="s">
        <v>111</v>
      </c>
      <c r="AK1116" t="s">
        <v>111</v>
      </c>
      <c r="AL1116" t="s">
        <v>111</v>
      </c>
      <c r="AM1116">
        <v>0</v>
      </c>
      <c r="AN1116">
        <v>0</v>
      </c>
      <c r="AO1116">
        <v>0</v>
      </c>
      <c r="AP1116" t="s">
        <v>111</v>
      </c>
      <c r="AQ1116" t="s">
        <v>111</v>
      </c>
      <c r="AR1116" t="s">
        <v>111</v>
      </c>
      <c r="AS1116" t="s">
        <v>111</v>
      </c>
      <c r="AT1116" t="s">
        <v>111</v>
      </c>
      <c r="AU1116" t="s">
        <v>111</v>
      </c>
      <c r="AV1116" t="s">
        <v>111</v>
      </c>
      <c r="AW1116" t="s">
        <v>111</v>
      </c>
      <c r="AX1116" t="s">
        <v>111</v>
      </c>
      <c r="AY1116" t="s">
        <v>111</v>
      </c>
      <c r="AZ1116" t="s">
        <v>111</v>
      </c>
      <c r="BA1116" t="s">
        <v>111</v>
      </c>
      <c r="BB1116" t="s">
        <v>111</v>
      </c>
      <c r="BC1116" t="s">
        <v>111</v>
      </c>
      <c r="BD1116" t="s">
        <v>111</v>
      </c>
      <c r="BE1116" t="s">
        <v>111</v>
      </c>
      <c r="BF1116" t="s">
        <v>111</v>
      </c>
      <c r="BG1116" t="s">
        <v>111</v>
      </c>
      <c r="BH1116" t="s">
        <v>111</v>
      </c>
      <c r="BI1116" t="s">
        <v>111</v>
      </c>
      <c r="BJ1116" t="s">
        <v>111</v>
      </c>
      <c r="BK1116" t="s">
        <v>111</v>
      </c>
      <c r="BL1116" t="s">
        <v>111</v>
      </c>
      <c r="BM1116" t="s">
        <v>111</v>
      </c>
      <c r="BN1116" t="s">
        <v>111</v>
      </c>
      <c r="BO1116" t="s">
        <v>111</v>
      </c>
      <c r="BP1116" t="s">
        <v>111</v>
      </c>
      <c r="BQ1116" t="s">
        <v>111</v>
      </c>
      <c r="BR1116" t="s">
        <v>111</v>
      </c>
      <c r="BS1116" t="s">
        <v>111</v>
      </c>
      <c r="BT1116" t="s">
        <v>111</v>
      </c>
      <c r="BU1116" t="s">
        <v>111</v>
      </c>
      <c r="BV1116" t="s">
        <v>111</v>
      </c>
      <c r="BW1116" t="s">
        <v>111</v>
      </c>
      <c r="BX1116" t="s">
        <v>111</v>
      </c>
      <c r="BY1116" t="s">
        <v>111</v>
      </c>
      <c r="BZ1116" t="s">
        <v>111</v>
      </c>
      <c r="CA1116" t="s">
        <v>111</v>
      </c>
      <c r="CB1116" t="s">
        <v>111</v>
      </c>
      <c r="CC1116" t="s">
        <v>111</v>
      </c>
      <c r="CD1116" t="s">
        <v>111</v>
      </c>
      <c r="CE1116" t="s">
        <v>111</v>
      </c>
      <c r="CF1116" t="s">
        <v>111</v>
      </c>
      <c r="CG1116" t="s">
        <v>111</v>
      </c>
      <c r="CH1116" t="s">
        <v>111</v>
      </c>
      <c r="CI1116" t="s">
        <v>111</v>
      </c>
      <c r="CJ1116" t="s">
        <v>111</v>
      </c>
      <c r="CK1116" t="s">
        <v>111</v>
      </c>
      <c r="CL1116" t="s">
        <v>111</v>
      </c>
      <c r="CM1116" t="s">
        <v>198</v>
      </c>
      <c r="CN1116" t="s">
        <v>113</v>
      </c>
      <c r="CO1116" t="s">
        <v>111</v>
      </c>
      <c r="CP1116" t="s">
        <v>111</v>
      </c>
      <c r="CQ1116">
        <v>0</v>
      </c>
      <c r="CR1116">
        <v>0</v>
      </c>
      <c r="CS1116">
        <v>0</v>
      </c>
      <c r="CT1116" t="s">
        <v>168</v>
      </c>
      <c r="CU1116">
        <v>0</v>
      </c>
      <c r="CV1116" t="s">
        <v>111</v>
      </c>
      <c r="CW1116" t="s">
        <v>111</v>
      </c>
      <c r="CX1116" t="s">
        <v>111</v>
      </c>
      <c r="CY1116">
        <v>0</v>
      </c>
      <c r="CZ1116" t="s">
        <v>111</v>
      </c>
      <c r="DA1116" t="s">
        <v>111</v>
      </c>
      <c r="DB1116" t="s">
        <v>111</v>
      </c>
      <c r="DC1116" t="s">
        <v>111</v>
      </c>
    </row>
    <row r="1117" spans="1:107">
      <c r="A1117">
        <v>293</v>
      </c>
      <c r="B1117" t="s">
        <v>162</v>
      </c>
      <c r="C1117" t="s">
        <v>1251</v>
      </c>
      <c r="D1117" t="s">
        <v>3412</v>
      </c>
      <c r="E1117" t="s">
        <v>3413</v>
      </c>
      <c r="F1117" t="s">
        <v>192</v>
      </c>
      <c r="G1117" t="s">
        <v>416</v>
      </c>
      <c r="H1117">
        <v>4</v>
      </c>
      <c r="I1117">
        <v>40</v>
      </c>
      <c r="J1117">
        <v>0</v>
      </c>
      <c r="K1117">
        <v>0</v>
      </c>
      <c r="L1117" t="s">
        <v>112</v>
      </c>
      <c r="M1117" t="s">
        <v>138</v>
      </c>
      <c r="N1117">
        <v>0</v>
      </c>
      <c r="O1117">
        <v>0</v>
      </c>
      <c r="P1117" t="s">
        <v>138</v>
      </c>
      <c r="Q1117">
        <v>40</v>
      </c>
      <c r="R1117">
        <v>0</v>
      </c>
      <c r="S1117">
        <v>0</v>
      </c>
      <c r="T1117">
        <v>0</v>
      </c>
      <c r="U1117" t="s">
        <v>153</v>
      </c>
      <c r="V1117">
        <v>0</v>
      </c>
      <c r="W1117">
        <v>25</v>
      </c>
      <c r="X1117">
        <v>8</v>
      </c>
      <c r="Y1117">
        <v>0</v>
      </c>
      <c r="Z1117" t="s">
        <v>111</v>
      </c>
      <c r="AA1117">
        <v>0</v>
      </c>
      <c r="AB1117" t="s">
        <v>111</v>
      </c>
      <c r="AC1117">
        <v>0</v>
      </c>
      <c r="AD1117" t="s">
        <v>111</v>
      </c>
      <c r="AE1117">
        <v>0</v>
      </c>
      <c r="AF1117">
        <v>0</v>
      </c>
      <c r="AG1117" t="s">
        <v>111</v>
      </c>
      <c r="AH1117" t="s">
        <v>111</v>
      </c>
      <c r="AI1117" t="s">
        <v>111</v>
      </c>
      <c r="AJ1117" t="s">
        <v>111</v>
      </c>
      <c r="AK1117" t="s">
        <v>111</v>
      </c>
      <c r="AL1117" t="s">
        <v>111</v>
      </c>
      <c r="AM1117">
        <v>0</v>
      </c>
      <c r="AN1117">
        <v>0</v>
      </c>
      <c r="AO1117">
        <v>0</v>
      </c>
      <c r="AP1117" t="s">
        <v>111</v>
      </c>
      <c r="AQ1117" t="s">
        <v>111</v>
      </c>
      <c r="AR1117" t="s">
        <v>111</v>
      </c>
      <c r="AS1117" t="s">
        <v>111</v>
      </c>
      <c r="AT1117" t="s">
        <v>111</v>
      </c>
      <c r="AU1117" t="s">
        <v>111</v>
      </c>
      <c r="AV1117" t="s">
        <v>111</v>
      </c>
      <c r="AW1117" t="s">
        <v>111</v>
      </c>
      <c r="AX1117" t="s">
        <v>111</v>
      </c>
      <c r="AY1117" t="s">
        <v>111</v>
      </c>
      <c r="AZ1117" t="s">
        <v>111</v>
      </c>
      <c r="BA1117" t="s">
        <v>111</v>
      </c>
      <c r="BB1117" t="s">
        <v>111</v>
      </c>
      <c r="BC1117" t="s">
        <v>111</v>
      </c>
      <c r="BD1117" t="s">
        <v>111</v>
      </c>
      <c r="BE1117" t="s">
        <v>111</v>
      </c>
      <c r="BF1117" t="s">
        <v>111</v>
      </c>
      <c r="BG1117" t="s">
        <v>111</v>
      </c>
      <c r="BH1117" t="s">
        <v>111</v>
      </c>
      <c r="BI1117" t="s">
        <v>111</v>
      </c>
      <c r="BJ1117" t="s">
        <v>111</v>
      </c>
      <c r="BK1117" t="s">
        <v>111</v>
      </c>
      <c r="BL1117" t="s">
        <v>111</v>
      </c>
      <c r="BM1117" t="s">
        <v>111</v>
      </c>
      <c r="BN1117" t="s">
        <v>111</v>
      </c>
      <c r="BO1117" t="s">
        <v>111</v>
      </c>
      <c r="BP1117" t="s">
        <v>111</v>
      </c>
      <c r="BQ1117" t="s">
        <v>111</v>
      </c>
      <c r="BR1117" t="s">
        <v>111</v>
      </c>
      <c r="BS1117" t="s">
        <v>111</v>
      </c>
      <c r="BT1117" t="s">
        <v>111</v>
      </c>
      <c r="BU1117" t="s">
        <v>111</v>
      </c>
      <c r="BV1117" t="s">
        <v>111</v>
      </c>
      <c r="BW1117" t="s">
        <v>111</v>
      </c>
      <c r="BX1117" t="s">
        <v>111</v>
      </c>
      <c r="BY1117" t="s">
        <v>111</v>
      </c>
      <c r="BZ1117" t="s">
        <v>111</v>
      </c>
      <c r="CA1117" t="s">
        <v>111</v>
      </c>
      <c r="CB1117" t="s">
        <v>111</v>
      </c>
      <c r="CC1117" t="s">
        <v>111</v>
      </c>
      <c r="CD1117" t="s">
        <v>111</v>
      </c>
      <c r="CE1117" t="s">
        <v>111</v>
      </c>
      <c r="CF1117" t="s">
        <v>111</v>
      </c>
      <c r="CG1117" t="s">
        <v>111</v>
      </c>
      <c r="CH1117" t="s">
        <v>111</v>
      </c>
      <c r="CI1117" t="s">
        <v>111</v>
      </c>
      <c r="CJ1117" t="s">
        <v>111</v>
      </c>
      <c r="CK1117" t="s">
        <v>111</v>
      </c>
      <c r="CL1117" t="s">
        <v>111</v>
      </c>
      <c r="CM1117" t="s">
        <v>198</v>
      </c>
      <c r="CN1117" t="s">
        <v>113</v>
      </c>
      <c r="CO1117" t="s">
        <v>111</v>
      </c>
      <c r="CP1117" t="s">
        <v>111</v>
      </c>
      <c r="CQ1117">
        <v>0</v>
      </c>
      <c r="CR1117">
        <v>0</v>
      </c>
      <c r="CS1117">
        <v>0</v>
      </c>
      <c r="CT1117" t="s">
        <v>168</v>
      </c>
      <c r="CU1117">
        <v>0</v>
      </c>
      <c r="CV1117" t="s">
        <v>111</v>
      </c>
      <c r="CW1117" t="s">
        <v>111</v>
      </c>
      <c r="CX1117" t="s">
        <v>111</v>
      </c>
      <c r="CY1117">
        <v>0</v>
      </c>
      <c r="CZ1117" t="s">
        <v>111</v>
      </c>
      <c r="DA1117" t="s">
        <v>111</v>
      </c>
      <c r="DB1117" t="s">
        <v>111</v>
      </c>
      <c r="DC1117" t="s">
        <v>111</v>
      </c>
    </row>
    <row r="1118" spans="1:107">
      <c r="A1118">
        <v>130</v>
      </c>
      <c r="B1118" t="s">
        <v>162</v>
      </c>
      <c r="C1118" t="s">
        <v>267</v>
      </c>
      <c r="D1118" t="s">
        <v>3414</v>
      </c>
      <c r="E1118" t="s">
        <v>3415</v>
      </c>
      <c r="F1118" t="s">
        <v>125</v>
      </c>
      <c r="G1118" t="s">
        <v>416</v>
      </c>
      <c r="H1118">
        <v>0.9</v>
      </c>
      <c r="I1118">
        <v>40</v>
      </c>
      <c r="J1118">
        <v>0</v>
      </c>
      <c r="K1118">
        <v>0</v>
      </c>
      <c r="L1118" t="s">
        <v>112</v>
      </c>
      <c r="M1118" t="s">
        <v>138</v>
      </c>
      <c r="N1118">
        <v>0</v>
      </c>
      <c r="O1118">
        <v>0</v>
      </c>
      <c r="P1118" t="s">
        <v>138</v>
      </c>
      <c r="Q1118">
        <v>30</v>
      </c>
      <c r="R1118">
        <v>0</v>
      </c>
      <c r="S1118">
        <v>0</v>
      </c>
      <c r="T1118">
        <v>0</v>
      </c>
      <c r="U1118" t="s">
        <v>153</v>
      </c>
      <c r="V1118">
        <v>25</v>
      </c>
      <c r="W1118">
        <v>0</v>
      </c>
      <c r="X1118">
        <v>8</v>
      </c>
      <c r="Y1118">
        <v>0</v>
      </c>
      <c r="Z1118" t="s">
        <v>111</v>
      </c>
      <c r="AA1118">
        <v>0</v>
      </c>
      <c r="AB1118" t="s">
        <v>111</v>
      </c>
      <c r="AC1118">
        <v>0</v>
      </c>
      <c r="AD1118" t="s">
        <v>111</v>
      </c>
      <c r="AE1118">
        <v>0</v>
      </c>
      <c r="AF1118">
        <v>0</v>
      </c>
      <c r="AG1118" t="s">
        <v>111</v>
      </c>
      <c r="AH1118" t="s">
        <v>111</v>
      </c>
      <c r="AI1118" t="s">
        <v>111</v>
      </c>
      <c r="AJ1118" t="s">
        <v>111</v>
      </c>
      <c r="AK1118" t="s">
        <v>111</v>
      </c>
      <c r="AL1118" t="s">
        <v>111</v>
      </c>
      <c r="AM1118">
        <v>0</v>
      </c>
      <c r="AN1118">
        <v>0</v>
      </c>
      <c r="AO1118">
        <v>0</v>
      </c>
      <c r="AP1118" t="s">
        <v>111</v>
      </c>
      <c r="AQ1118" t="s">
        <v>111</v>
      </c>
      <c r="AR1118" t="s">
        <v>111</v>
      </c>
      <c r="AS1118" t="s">
        <v>111</v>
      </c>
      <c r="AT1118" t="s">
        <v>111</v>
      </c>
      <c r="AU1118" t="s">
        <v>111</v>
      </c>
      <c r="AV1118" t="s">
        <v>111</v>
      </c>
      <c r="AW1118" t="s">
        <v>111</v>
      </c>
      <c r="AX1118" t="s">
        <v>111</v>
      </c>
      <c r="AY1118" t="s">
        <v>111</v>
      </c>
      <c r="AZ1118" t="s">
        <v>111</v>
      </c>
      <c r="BA1118" t="s">
        <v>111</v>
      </c>
      <c r="BB1118" t="s">
        <v>111</v>
      </c>
      <c r="BC1118" t="s">
        <v>111</v>
      </c>
      <c r="BD1118" t="s">
        <v>111</v>
      </c>
      <c r="BE1118" t="s">
        <v>111</v>
      </c>
      <c r="BF1118" t="s">
        <v>111</v>
      </c>
      <c r="BG1118" t="s">
        <v>111</v>
      </c>
      <c r="BH1118" t="s">
        <v>111</v>
      </c>
      <c r="BI1118" t="s">
        <v>111</v>
      </c>
      <c r="BJ1118" t="s">
        <v>111</v>
      </c>
      <c r="BK1118" t="s">
        <v>111</v>
      </c>
      <c r="BL1118" t="s">
        <v>111</v>
      </c>
      <c r="BM1118" t="s">
        <v>111</v>
      </c>
      <c r="BN1118" t="s">
        <v>111</v>
      </c>
      <c r="BO1118" t="s">
        <v>111</v>
      </c>
      <c r="BP1118" t="s">
        <v>111</v>
      </c>
      <c r="BQ1118" t="s">
        <v>111</v>
      </c>
      <c r="BR1118" t="s">
        <v>111</v>
      </c>
      <c r="BS1118" t="s">
        <v>111</v>
      </c>
      <c r="BT1118" t="s">
        <v>111</v>
      </c>
      <c r="BU1118" t="s">
        <v>111</v>
      </c>
      <c r="BV1118" t="s">
        <v>111</v>
      </c>
      <c r="BW1118" t="s">
        <v>111</v>
      </c>
      <c r="BX1118" t="s">
        <v>111</v>
      </c>
      <c r="BY1118" t="s">
        <v>111</v>
      </c>
      <c r="BZ1118" t="s">
        <v>111</v>
      </c>
      <c r="CA1118" t="s">
        <v>111</v>
      </c>
      <c r="CB1118" t="s">
        <v>111</v>
      </c>
      <c r="CC1118" t="s">
        <v>111</v>
      </c>
      <c r="CD1118" t="s">
        <v>111</v>
      </c>
      <c r="CE1118" t="s">
        <v>111</v>
      </c>
      <c r="CF1118" t="s">
        <v>111</v>
      </c>
      <c r="CG1118" t="s">
        <v>111</v>
      </c>
      <c r="CH1118" t="s">
        <v>111</v>
      </c>
      <c r="CI1118" t="s">
        <v>111</v>
      </c>
      <c r="CJ1118" t="s">
        <v>111</v>
      </c>
      <c r="CK1118" t="s">
        <v>111</v>
      </c>
      <c r="CL1118" t="s">
        <v>111</v>
      </c>
      <c r="CM1118" t="s">
        <v>198</v>
      </c>
      <c r="CN1118" t="s">
        <v>113</v>
      </c>
      <c r="CO1118" t="s">
        <v>111</v>
      </c>
      <c r="CP1118" t="s">
        <v>111</v>
      </c>
      <c r="CQ1118">
        <v>0</v>
      </c>
      <c r="CR1118">
        <v>0</v>
      </c>
      <c r="CS1118">
        <v>0</v>
      </c>
      <c r="CT1118" t="s">
        <v>168</v>
      </c>
      <c r="CU1118">
        <v>0</v>
      </c>
      <c r="CV1118" t="s">
        <v>111</v>
      </c>
      <c r="CW1118" t="s">
        <v>111</v>
      </c>
      <c r="CX1118" t="s">
        <v>111</v>
      </c>
      <c r="CY1118">
        <v>0</v>
      </c>
      <c r="CZ1118" t="s">
        <v>111</v>
      </c>
      <c r="DA1118" t="s">
        <v>111</v>
      </c>
      <c r="DB1118" t="s">
        <v>111</v>
      </c>
      <c r="DC1118" t="s">
        <v>111</v>
      </c>
    </row>
    <row r="1119" spans="1:107">
      <c r="A1119">
        <v>131</v>
      </c>
      <c r="B1119" t="s">
        <v>162</v>
      </c>
      <c r="C1119" t="s">
        <v>267</v>
      </c>
      <c r="D1119" t="s">
        <v>3416</v>
      </c>
      <c r="E1119" t="s">
        <v>3417</v>
      </c>
      <c r="F1119" t="s">
        <v>125</v>
      </c>
      <c r="G1119" t="s">
        <v>416</v>
      </c>
      <c r="H1119">
        <v>0.9</v>
      </c>
      <c r="I1119">
        <v>60</v>
      </c>
      <c r="J1119">
        <v>0</v>
      </c>
      <c r="K1119">
        <v>0</v>
      </c>
      <c r="L1119" t="s">
        <v>112</v>
      </c>
      <c r="M1119" t="s">
        <v>138</v>
      </c>
      <c r="N1119">
        <v>0</v>
      </c>
      <c r="O1119">
        <v>0</v>
      </c>
      <c r="P1119" t="s">
        <v>138</v>
      </c>
      <c r="Q1119">
        <v>40</v>
      </c>
      <c r="R1119">
        <v>0</v>
      </c>
      <c r="S1119">
        <v>0</v>
      </c>
      <c r="T1119">
        <v>0</v>
      </c>
      <c r="U1119" t="s">
        <v>153</v>
      </c>
      <c r="V1119">
        <v>25</v>
      </c>
      <c r="W1119">
        <v>0</v>
      </c>
      <c r="X1119">
        <v>8</v>
      </c>
      <c r="Y1119">
        <v>0</v>
      </c>
      <c r="Z1119" t="s">
        <v>111</v>
      </c>
      <c r="AA1119">
        <v>0</v>
      </c>
      <c r="AB1119" t="s">
        <v>111</v>
      </c>
      <c r="AC1119">
        <v>0</v>
      </c>
      <c r="AD1119" t="s">
        <v>111</v>
      </c>
      <c r="AE1119">
        <v>0</v>
      </c>
      <c r="AF1119">
        <v>0</v>
      </c>
      <c r="AG1119" t="s">
        <v>111</v>
      </c>
      <c r="AH1119" t="s">
        <v>111</v>
      </c>
      <c r="AI1119" t="s">
        <v>111</v>
      </c>
      <c r="AJ1119" t="s">
        <v>111</v>
      </c>
      <c r="AK1119" t="s">
        <v>111</v>
      </c>
      <c r="AL1119" t="s">
        <v>111</v>
      </c>
      <c r="AM1119">
        <v>0</v>
      </c>
      <c r="AN1119">
        <v>0</v>
      </c>
      <c r="AO1119">
        <v>0</v>
      </c>
      <c r="AP1119" t="s">
        <v>111</v>
      </c>
      <c r="AQ1119" t="s">
        <v>111</v>
      </c>
      <c r="AR1119" t="s">
        <v>111</v>
      </c>
      <c r="AS1119" t="s">
        <v>111</v>
      </c>
      <c r="AT1119" t="s">
        <v>111</v>
      </c>
      <c r="AU1119" t="s">
        <v>111</v>
      </c>
      <c r="AV1119" t="s">
        <v>111</v>
      </c>
      <c r="AW1119" t="s">
        <v>111</v>
      </c>
      <c r="AX1119" t="s">
        <v>111</v>
      </c>
      <c r="AY1119" t="s">
        <v>111</v>
      </c>
      <c r="AZ1119" t="s">
        <v>111</v>
      </c>
      <c r="BA1119" t="s">
        <v>111</v>
      </c>
      <c r="BB1119" t="s">
        <v>111</v>
      </c>
      <c r="BC1119" t="s">
        <v>111</v>
      </c>
      <c r="BD1119" t="s">
        <v>111</v>
      </c>
      <c r="BE1119" t="s">
        <v>111</v>
      </c>
      <c r="BF1119" t="s">
        <v>111</v>
      </c>
      <c r="BG1119" t="s">
        <v>111</v>
      </c>
      <c r="BH1119" t="s">
        <v>111</v>
      </c>
      <c r="BI1119" t="s">
        <v>111</v>
      </c>
      <c r="BJ1119" t="s">
        <v>111</v>
      </c>
      <c r="BK1119" t="s">
        <v>111</v>
      </c>
      <c r="BL1119" t="s">
        <v>111</v>
      </c>
      <c r="BM1119" t="s">
        <v>111</v>
      </c>
      <c r="BN1119" t="s">
        <v>111</v>
      </c>
      <c r="BO1119" t="s">
        <v>111</v>
      </c>
      <c r="BP1119" t="s">
        <v>111</v>
      </c>
      <c r="BQ1119" t="s">
        <v>111</v>
      </c>
      <c r="BR1119" t="s">
        <v>111</v>
      </c>
      <c r="BS1119" t="s">
        <v>111</v>
      </c>
      <c r="BT1119" t="s">
        <v>111</v>
      </c>
      <c r="BU1119" t="s">
        <v>111</v>
      </c>
      <c r="BV1119" t="s">
        <v>111</v>
      </c>
      <c r="BW1119" t="s">
        <v>111</v>
      </c>
      <c r="BX1119" t="s">
        <v>111</v>
      </c>
      <c r="BY1119" t="s">
        <v>111</v>
      </c>
      <c r="BZ1119" t="s">
        <v>111</v>
      </c>
      <c r="CA1119" t="s">
        <v>111</v>
      </c>
      <c r="CB1119" t="s">
        <v>111</v>
      </c>
      <c r="CC1119" t="s">
        <v>111</v>
      </c>
      <c r="CD1119" t="s">
        <v>111</v>
      </c>
      <c r="CE1119" t="s">
        <v>111</v>
      </c>
      <c r="CF1119" t="s">
        <v>111</v>
      </c>
      <c r="CG1119" t="s">
        <v>111</v>
      </c>
      <c r="CH1119" t="s">
        <v>111</v>
      </c>
      <c r="CI1119" t="s">
        <v>111</v>
      </c>
      <c r="CJ1119" t="s">
        <v>111</v>
      </c>
      <c r="CK1119" t="s">
        <v>111</v>
      </c>
      <c r="CL1119" t="s">
        <v>111</v>
      </c>
      <c r="CM1119" t="s">
        <v>198</v>
      </c>
      <c r="CN1119" t="s">
        <v>113</v>
      </c>
      <c r="CO1119" t="s">
        <v>111</v>
      </c>
      <c r="CP1119" t="s">
        <v>111</v>
      </c>
      <c r="CQ1119">
        <v>0</v>
      </c>
      <c r="CR1119">
        <v>0</v>
      </c>
      <c r="CS1119">
        <v>0</v>
      </c>
      <c r="CT1119" t="s">
        <v>168</v>
      </c>
      <c r="CU1119">
        <v>0</v>
      </c>
      <c r="CV1119" t="s">
        <v>111</v>
      </c>
      <c r="CW1119" t="s">
        <v>111</v>
      </c>
      <c r="CX1119" t="s">
        <v>111</v>
      </c>
      <c r="CY1119">
        <v>0</v>
      </c>
      <c r="CZ1119" t="s">
        <v>111</v>
      </c>
      <c r="DA1119" t="s">
        <v>111</v>
      </c>
      <c r="DB1119" t="s">
        <v>111</v>
      </c>
      <c r="DC1119" t="s">
        <v>111</v>
      </c>
    </row>
    <row r="1120" spans="1:107">
      <c r="A1120">
        <v>136</v>
      </c>
      <c r="B1120" t="s">
        <v>162</v>
      </c>
      <c r="C1120" t="s">
        <v>114</v>
      </c>
      <c r="D1120" t="s">
        <v>3418</v>
      </c>
      <c r="E1120" t="s">
        <v>3419</v>
      </c>
      <c r="F1120" t="s">
        <v>431</v>
      </c>
      <c r="G1120" t="s">
        <v>416</v>
      </c>
      <c r="H1120">
        <v>3</v>
      </c>
      <c r="I1120">
        <v>22.5</v>
      </c>
      <c r="J1120">
        <v>0</v>
      </c>
      <c r="K1120">
        <v>0</v>
      </c>
      <c r="L1120" t="s">
        <v>112</v>
      </c>
      <c r="M1120" t="s">
        <v>118</v>
      </c>
      <c r="N1120">
        <v>40</v>
      </c>
      <c r="O1120">
        <v>2</v>
      </c>
      <c r="P1120" t="s">
        <v>138</v>
      </c>
      <c r="Q1120">
        <v>35</v>
      </c>
      <c r="R1120">
        <v>0</v>
      </c>
      <c r="S1120">
        <v>0</v>
      </c>
      <c r="T1120">
        <v>5</v>
      </c>
      <c r="U1120" t="s">
        <v>1353</v>
      </c>
      <c r="V1120">
        <v>0</v>
      </c>
      <c r="W1120">
        <v>25</v>
      </c>
      <c r="X1120">
        <v>8</v>
      </c>
      <c r="Y1120">
        <v>0</v>
      </c>
      <c r="Z1120" t="s">
        <v>111</v>
      </c>
      <c r="AA1120">
        <v>0</v>
      </c>
      <c r="AB1120" t="s">
        <v>111</v>
      </c>
      <c r="AC1120">
        <v>0</v>
      </c>
      <c r="AD1120" t="s">
        <v>416</v>
      </c>
      <c r="AE1120">
        <v>4</v>
      </c>
      <c r="AF1120">
        <v>2</v>
      </c>
      <c r="AG1120">
        <v>45</v>
      </c>
      <c r="AH1120" t="s">
        <v>111</v>
      </c>
      <c r="AI1120">
        <v>45</v>
      </c>
      <c r="AJ1120" t="s">
        <v>111</v>
      </c>
      <c r="AK1120" t="s">
        <v>111</v>
      </c>
      <c r="AL1120" t="s">
        <v>111</v>
      </c>
      <c r="AM1120">
        <v>0</v>
      </c>
      <c r="AN1120">
        <v>0</v>
      </c>
      <c r="AO1120">
        <v>0</v>
      </c>
      <c r="AP1120" t="s">
        <v>147</v>
      </c>
      <c r="AQ1120" t="s">
        <v>111</v>
      </c>
      <c r="AR1120" t="s">
        <v>111</v>
      </c>
      <c r="AS1120" t="s">
        <v>111</v>
      </c>
      <c r="AT1120" t="s">
        <v>288</v>
      </c>
      <c r="AU1120" t="s">
        <v>111</v>
      </c>
      <c r="AV1120" t="s">
        <v>111</v>
      </c>
      <c r="AW1120" t="s">
        <v>111</v>
      </c>
      <c r="AX1120" t="s">
        <v>3420</v>
      </c>
      <c r="AY1120" t="s">
        <v>111</v>
      </c>
      <c r="AZ1120" t="s">
        <v>111</v>
      </c>
      <c r="BA1120" t="s">
        <v>111</v>
      </c>
      <c r="BB1120" t="s">
        <v>184</v>
      </c>
      <c r="BC1120" t="s">
        <v>111</v>
      </c>
      <c r="BD1120" t="s">
        <v>111</v>
      </c>
      <c r="BE1120" t="s">
        <v>111</v>
      </c>
      <c r="BF1120" t="s">
        <v>111</v>
      </c>
      <c r="BG1120" t="s">
        <v>111</v>
      </c>
      <c r="BH1120" t="s">
        <v>111</v>
      </c>
      <c r="BI1120" t="s">
        <v>111</v>
      </c>
      <c r="BJ1120" t="s">
        <v>111</v>
      </c>
      <c r="BK1120" t="s">
        <v>111</v>
      </c>
      <c r="BL1120" t="s">
        <v>111</v>
      </c>
      <c r="BM1120" t="s">
        <v>111</v>
      </c>
      <c r="BN1120" t="s">
        <v>111</v>
      </c>
      <c r="BO1120" t="s">
        <v>111</v>
      </c>
      <c r="BP1120" t="s">
        <v>111</v>
      </c>
      <c r="BQ1120" t="s">
        <v>111</v>
      </c>
      <c r="BR1120" t="s">
        <v>111</v>
      </c>
      <c r="BS1120" t="s">
        <v>111</v>
      </c>
      <c r="BT1120" t="s">
        <v>111</v>
      </c>
      <c r="BU1120" t="s">
        <v>111</v>
      </c>
      <c r="BV1120" t="s">
        <v>111</v>
      </c>
      <c r="BW1120" t="s">
        <v>111</v>
      </c>
      <c r="BX1120" t="s">
        <v>111</v>
      </c>
      <c r="BY1120" t="s">
        <v>111</v>
      </c>
      <c r="BZ1120" t="s">
        <v>111</v>
      </c>
      <c r="CA1120" t="s">
        <v>111</v>
      </c>
      <c r="CB1120" t="s">
        <v>111</v>
      </c>
      <c r="CC1120" t="s">
        <v>111</v>
      </c>
      <c r="CD1120" t="s">
        <v>111</v>
      </c>
      <c r="CE1120" t="s">
        <v>111</v>
      </c>
      <c r="CF1120" t="s">
        <v>111</v>
      </c>
      <c r="CG1120" t="s">
        <v>111</v>
      </c>
      <c r="CH1120" t="s">
        <v>111</v>
      </c>
      <c r="CI1120" t="s">
        <v>111</v>
      </c>
      <c r="CJ1120" t="s">
        <v>111</v>
      </c>
      <c r="CK1120" t="s">
        <v>111</v>
      </c>
      <c r="CL1120" t="s">
        <v>153</v>
      </c>
      <c r="CM1120" t="s">
        <v>198</v>
      </c>
      <c r="CN1120" t="s">
        <v>128</v>
      </c>
      <c r="CO1120" t="s">
        <v>111</v>
      </c>
      <c r="CP1120" t="s">
        <v>433</v>
      </c>
      <c r="CQ1120">
        <v>30</v>
      </c>
      <c r="CR1120">
        <v>0</v>
      </c>
      <c r="CS1120">
        <v>0</v>
      </c>
      <c r="CT1120" t="s">
        <v>419</v>
      </c>
      <c r="CU1120">
        <v>0</v>
      </c>
      <c r="CV1120" t="s">
        <v>111</v>
      </c>
      <c r="CW1120" t="s">
        <v>111</v>
      </c>
      <c r="CX1120" t="s">
        <v>111</v>
      </c>
      <c r="CY1120">
        <v>0</v>
      </c>
      <c r="CZ1120" t="s">
        <v>111</v>
      </c>
      <c r="DA1120" t="s">
        <v>111</v>
      </c>
      <c r="DB1120" t="s">
        <v>204</v>
      </c>
      <c r="DC1120" s="1" t="s">
        <v>3421</v>
      </c>
    </row>
    <row r="1121" spans="1:107">
      <c r="A1121">
        <v>137</v>
      </c>
      <c r="B1121" t="s">
        <v>162</v>
      </c>
      <c r="C1121" t="s">
        <v>174</v>
      </c>
      <c r="D1121" t="s">
        <v>1010</v>
      </c>
      <c r="E1121" t="s">
        <v>3422</v>
      </c>
      <c r="F1121" t="s">
        <v>192</v>
      </c>
      <c r="G1121" t="s">
        <v>416</v>
      </c>
      <c r="H1121">
        <v>3</v>
      </c>
      <c r="I1121">
        <v>37</v>
      </c>
      <c r="J1121">
        <v>0</v>
      </c>
      <c r="K1121">
        <v>0</v>
      </c>
      <c r="L1121" t="s">
        <v>112</v>
      </c>
      <c r="M1121" t="s">
        <v>138</v>
      </c>
      <c r="N1121">
        <v>0</v>
      </c>
      <c r="O1121">
        <v>0</v>
      </c>
      <c r="P1121" t="s">
        <v>138</v>
      </c>
      <c r="Q1121">
        <v>40</v>
      </c>
      <c r="R1121">
        <v>0</v>
      </c>
      <c r="S1121">
        <v>0</v>
      </c>
      <c r="T1121">
        <v>0</v>
      </c>
      <c r="U1121" t="s">
        <v>153</v>
      </c>
      <c r="V1121">
        <v>0</v>
      </c>
      <c r="W1121">
        <v>25</v>
      </c>
      <c r="X1121">
        <v>8</v>
      </c>
      <c r="Y1121">
        <v>0</v>
      </c>
      <c r="Z1121" t="s">
        <v>111</v>
      </c>
      <c r="AA1121">
        <v>0</v>
      </c>
      <c r="AB1121" t="s">
        <v>111</v>
      </c>
      <c r="AC1121">
        <v>0</v>
      </c>
      <c r="AD1121" t="s">
        <v>111</v>
      </c>
      <c r="AE1121">
        <v>0</v>
      </c>
      <c r="AF1121">
        <v>0</v>
      </c>
      <c r="AG1121" t="s">
        <v>111</v>
      </c>
      <c r="AH1121" t="s">
        <v>111</v>
      </c>
      <c r="AI1121" t="s">
        <v>111</v>
      </c>
      <c r="AJ1121" t="s">
        <v>111</v>
      </c>
      <c r="AK1121" t="s">
        <v>111</v>
      </c>
      <c r="AL1121" t="s">
        <v>111</v>
      </c>
      <c r="AM1121">
        <v>0</v>
      </c>
      <c r="AN1121">
        <v>0</v>
      </c>
      <c r="AO1121">
        <v>0</v>
      </c>
      <c r="AP1121" t="s">
        <v>111</v>
      </c>
      <c r="AQ1121" t="s">
        <v>111</v>
      </c>
      <c r="AR1121" t="s">
        <v>111</v>
      </c>
      <c r="AS1121" t="s">
        <v>111</v>
      </c>
      <c r="AT1121" t="s">
        <v>111</v>
      </c>
      <c r="AU1121" t="s">
        <v>111</v>
      </c>
      <c r="AV1121" t="s">
        <v>111</v>
      </c>
      <c r="AW1121" t="s">
        <v>111</v>
      </c>
      <c r="AX1121" t="s">
        <v>111</v>
      </c>
      <c r="AY1121" t="s">
        <v>111</v>
      </c>
      <c r="AZ1121" t="s">
        <v>111</v>
      </c>
      <c r="BA1121" t="s">
        <v>111</v>
      </c>
      <c r="BB1121" t="s">
        <v>111</v>
      </c>
      <c r="BC1121" t="s">
        <v>111</v>
      </c>
      <c r="BD1121" t="s">
        <v>111</v>
      </c>
      <c r="BE1121" t="s">
        <v>111</v>
      </c>
      <c r="BF1121" t="s">
        <v>111</v>
      </c>
      <c r="BG1121" t="s">
        <v>111</v>
      </c>
      <c r="BH1121" t="s">
        <v>111</v>
      </c>
      <c r="BI1121" t="s">
        <v>111</v>
      </c>
      <c r="BJ1121" t="s">
        <v>111</v>
      </c>
      <c r="BK1121" t="s">
        <v>111</v>
      </c>
      <c r="BL1121" t="s">
        <v>111</v>
      </c>
      <c r="BM1121" t="s">
        <v>111</v>
      </c>
      <c r="BN1121" t="s">
        <v>111</v>
      </c>
      <c r="BO1121" t="s">
        <v>111</v>
      </c>
      <c r="BP1121" t="s">
        <v>111</v>
      </c>
      <c r="BQ1121" t="s">
        <v>111</v>
      </c>
      <c r="BR1121" t="s">
        <v>111</v>
      </c>
      <c r="BS1121" t="s">
        <v>111</v>
      </c>
      <c r="BT1121" t="s">
        <v>111</v>
      </c>
      <c r="BU1121" t="s">
        <v>111</v>
      </c>
      <c r="BV1121" t="s">
        <v>111</v>
      </c>
      <c r="BW1121" t="s">
        <v>111</v>
      </c>
      <c r="BX1121" t="s">
        <v>111</v>
      </c>
      <c r="BY1121" t="s">
        <v>111</v>
      </c>
      <c r="BZ1121" t="s">
        <v>111</v>
      </c>
      <c r="CA1121" t="s">
        <v>111</v>
      </c>
      <c r="CB1121" t="s">
        <v>111</v>
      </c>
      <c r="CC1121" t="s">
        <v>111</v>
      </c>
      <c r="CD1121" t="s">
        <v>111</v>
      </c>
      <c r="CE1121" t="s">
        <v>111</v>
      </c>
      <c r="CF1121" t="s">
        <v>111</v>
      </c>
      <c r="CG1121" t="s">
        <v>111</v>
      </c>
      <c r="CH1121" t="s">
        <v>111</v>
      </c>
      <c r="CI1121" t="s">
        <v>111</v>
      </c>
      <c r="CJ1121" t="s">
        <v>111</v>
      </c>
      <c r="CK1121" t="s">
        <v>111</v>
      </c>
      <c r="CL1121" t="s">
        <v>111</v>
      </c>
      <c r="CM1121" t="s">
        <v>198</v>
      </c>
      <c r="CN1121" t="s">
        <v>113</v>
      </c>
      <c r="CO1121" t="s">
        <v>111</v>
      </c>
      <c r="CP1121" t="s">
        <v>111</v>
      </c>
      <c r="CQ1121">
        <v>0</v>
      </c>
      <c r="CR1121">
        <v>0</v>
      </c>
      <c r="CS1121">
        <v>0</v>
      </c>
      <c r="CT1121" s="1" t="s">
        <v>3423</v>
      </c>
      <c r="CU1121">
        <v>0</v>
      </c>
      <c r="CV1121" t="s">
        <v>111</v>
      </c>
      <c r="CW1121" t="s">
        <v>111</v>
      </c>
      <c r="CX1121" t="s">
        <v>111</v>
      </c>
      <c r="CY1121">
        <v>0</v>
      </c>
      <c r="CZ1121" t="s">
        <v>111</v>
      </c>
      <c r="DA1121" t="s">
        <v>111</v>
      </c>
      <c r="DB1121" t="s">
        <v>111</v>
      </c>
      <c r="DC1121" t="s">
        <v>111</v>
      </c>
    </row>
    <row r="1122" spans="1:107">
      <c r="A1122">
        <v>1395</v>
      </c>
      <c r="B1122" t="s">
        <v>107</v>
      </c>
      <c r="C1122" t="s">
        <v>114</v>
      </c>
      <c r="D1122" t="s">
        <v>489</v>
      </c>
      <c r="E1122" t="s">
        <v>3424</v>
      </c>
      <c r="F1122" t="s">
        <v>431</v>
      </c>
      <c r="G1122" t="s">
        <v>416</v>
      </c>
      <c r="H1122">
        <v>2.5</v>
      </c>
      <c r="I1122">
        <v>16</v>
      </c>
      <c r="J1122">
        <v>0</v>
      </c>
      <c r="K1122">
        <v>0</v>
      </c>
      <c r="L1122" t="s">
        <v>112</v>
      </c>
      <c r="M1122" t="s">
        <v>118</v>
      </c>
      <c r="N1122">
        <v>40</v>
      </c>
      <c r="O1122">
        <v>2</v>
      </c>
      <c r="P1122" t="s">
        <v>111</v>
      </c>
      <c r="Q1122">
        <v>20</v>
      </c>
      <c r="R1122">
        <v>0</v>
      </c>
      <c r="S1122">
        <v>0</v>
      </c>
      <c r="T1122">
        <v>5</v>
      </c>
      <c r="U1122" t="e">
        <f>-IMPRESION DARMA</f>
        <v>#NAME?</v>
      </c>
      <c r="V1122">
        <v>0</v>
      </c>
      <c r="W1122">
        <v>25</v>
      </c>
      <c r="X1122">
        <v>8</v>
      </c>
      <c r="Y1122">
        <v>0</v>
      </c>
      <c r="Z1122" t="s">
        <v>111</v>
      </c>
      <c r="AA1122">
        <v>0</v>
      </c>
      <c r="AB1122" t="s">
        <v>111</v>
      </c>
      <c r="AC1122">
        <v>0</v>
      </c>
      <c r="AD1122" t="s">
        <v>416</v>
      </c>
      <c r="AE1122">
        <v>0</v>
      </c>
      <c r="AF1122">
        <v>0</v>
      </c>
      <c r="AG1122" t="s">
        <v>111</v>
      </c>
      <c r="AH1122" t="s">
        <v>128</v>
      </c>
      <c r="AI1122" t="s">
        <v>111</v>
      </c>
      <c r="AJ1122" t="s">
        <v>111</v>
      </c>
      <c r="AK1122" t="s">
        <v>111</v>
      </c>
      <c r="AL1122" t="s">
        <v>111</v>
      </c>
      <c r="AM1122">
        <v>0</v>
      </c>
      <c r="AN1122">
        <v>0</v>
      </c>
      <c r="AO1122">
        <v>0</v>
      </c>
      <c r="AP1122" t="s">
        <v>111</v>
      </c>
      <c r="AQ1122" t="s">
        <v>111</v>
      </c>
      <c r="AR1122" t="s">
        <v>111</v>
      </c>
      <c r="AS1122" t="s">
        <v>111</v>
      </c>
      <c r="AT1122" t="s">
        <v>111</v>
      </c>
      <c r="AU1122" t="s">
        <v>111</v>
      </c>
      <c r="AV1122" t="s">
        <v>111</v>
      </c>
      <c r="AW1122" t="s">
        <v>111</v>
      </c>
      <c r="AX1122" t="s">
        <v>111</v>
      </c>
      <c r="AY1122" t="s">
        <v>111</v>
      </c>
      <c r="AZ1122" t="s">
        <v>111</v>
      </c>
      <c r="BA1122" t="s">
        <v>111</v>
      </c>
      <c r="BB1122" t="s">
        <v>111</v>
      </c>
      <c r="BC1122" t="s">
        <v>111</v>
      </c>
      <c r="BD1122" t="s">
        <v>111</v>
      </c>
      <c r="BE1122" t="s">
        <v>111</v>
      </c>
      <c r="BF1122" t="s">
        <v>111</v>
      </c>
      <c r="BG1122" t="s">
        <v>111</v>
      </c>
      <c r="BH1122" t="s">
        <v>111</v>
      </c>
      <c r="BI1122" t="s">
        <v>111</v>
      </c>
      <c r="BJ1122" t="s">
        <v>111</v>
      </c>
      <c r="BK1122" t="s">
        <v>111</v>
      </c>
      <c r="BL1122" t="s">
        <v>111</v>
      </c>
      <c r="BM1122" t="s">
        <v>111</v>
      </c>
      <c r="BN1122" t="s">
        <v>111</v>
      </c>
      <c r="BO1122" t="s">
        <v>111</v>
      </c>
      <c r="BP1122" t="s">
        <v>111</v>
      </c>
      <c r="BQ1122" t="s">
        <v>111</v>
      </c>
      <c r="BR1122" t="s">
        <v>111</v>
      </c>
      <c r="BS1122" t="s">
        <v>111</v>
      </c>
      <c r="BT1122" t="s">
        <v>111</v>
      </c>
      <c r="BU1122" t="s">
        <v>111</v>
      </c>
      <c r="BV1122" t="s">
        <v>111</v>
      </c>
      <c r="BW1122" t="s">
        <v>111</v>
      </c>
      <c r="BX1122" t="s">
        <v>111</v>
      </c>
      <c r="BY1122" t="s">
        <v>111</v>
      </c>
      <c r="BZ1122" t="s">
        <v>111</v>
      </c>
      <c r="CA1122" t="s">
        <v>111</v>
      </c>
      <c r="CB1122" t="s">
        <v>111</v>
      </c>
      <c r="CC1122" t="s">
        <v>111</v>
      </c>
      <c r="CD1122" t="s">
        <v>111</v>
      </c>
      <c r="CE1122" t="s">
        <v>111</v>
      </c>
      <c r="CF1122" t="s">
        <v>111</v>
      </c>
      <c r="CG1122" t="s">
        <v>111</v>
      </c>
      <c r="CH1122" t="s">
        <v>111</v>
      </c>
      <c r="CI1122" t="s">
        <v>111</v>
      </c>
      <c r="CJ1122" t="s">
        <v>111</v>
      </c>
      <c r="CK1122" t="s">
        <v>111</v>
      </c>
      <c r="CL1122" t="s">
        <v>111</v>
      </c>
      <c r="CM1122" t="s">
        <v>135</v>
      </c>
      <c r="CN1122" t="s">
        <v>128</v>
      </c>
      <c r="CO1122" t="s">
        <v>111</v>
      </c>
      <c r="CP1122" t="s">
        <v>111</v>
      </c>
      <c r="CQ1122">
        <v>0</v>
      </c>
      <c r="CR1122">
        <v>4000</v>
      </c>
      <c r="CS1122">
        <v>100</v>
      </c>
      <c r="CT1122" t="e">
        <f>-ALMACEN</f>
        <v>#NAME?</v>
      </c>
      <c r="CU1122">
        <v>0</v>
      </c>
      <c r="CV1122" t="s">
        <v>111</v>
      </c>
      <c r="CW1122" t="s">
        <v>111</v>
      </c>
      <c r="CX1122" t="s">
        <v>111</v>
      </c>
      <c r="CY1122">
        <v>0</v>
      </c>
      <c r="CZ1122" t="s">
        <v>111</v>
      </c>
      <c r="DA1122" t="s">
        <v>111</v>
      </c>
      <c r="DB1122" t="s">
        <v>111</v>
      </c>
      <c r="DC1122" t="s">
        <v>111</v>
      </c>
    </row>
    <row r="1123" spans="1:107">
      <c r="A1123">
        <v>138</v>
      </c>
      <c r="B1123" t="s">
        <v>162</v>
      </c>
      <c r="C1123" t="s">
        <v>1896</v>
      </c>
      <c r="D1123" t="s">
        <v>1897</v>
      </c>
      <c r="E1123" t="s">
        <v>3425</v>
      </c>
      <c r="F1123" t="s">
        <v>1409</v>
      </c>
      <c r="G1123" t="s">
        <v>416</v>
      </c>
      <c r="H1123">
        <v>3</v>
      </c>
      <c r="I1123">
        <v>65</v>
      </c>
      <c r="J1123">
        <v>0</v>
      </c>
      <c r="K1123">
        <v>0</v>
      </c>
      <c r="L1123" t="s">
        <v>112</v>
      </c>
      <c r="M1123" t="s">
        <v>118</v>
      </c>
      <c r="N1123">
        <v>40</v>
      </c>
      <c r="O1123">
        <v>2</v>
      </c>
      <c r="P1123" t="s">
        <v>138</v>
      </c>
      <c r="Q1123">
        <v>35</v>
      </c>
      <c r="R1123">
        <v>0</v>
      </c>
      <c r="S1123">
        <v>0</v>
      </c>
      <c r="T1123">
        <v>0</v>
      </c>
      <c r="U1123" t="s">
        <v>153</v>
      </c>
      <c r="V1123">
        <v>0</v>
      </c>
      <c r="W1123">
        <v>25</v>
      </c>
      <c r="X1123">
        <v>8</v>
      </c>
      <c r="Y1123">
        <v>0</v>
      </c>
      <c r="Z1123" t="s">
        <v>147</v>
      </c>
      <c r="AA1123">
        <v>1.65</v>
      </c>
      <c r="AB1123" t="s">
        <v>111</v>
      </c>
      <c r="AC1123">
        <v>0</v>
      </c>
      <c r="AD1123" t="s">
        <v>111</v>
      </c>
      <c r="AE1123">
        <v>0</v>
      </c>
      <c r="AF1123">
        <v>0</v>
      </c>
      <c r="AG1123" t="s">
        <v>111</v>
      </c>
      <c r="AH1123" t="s">
        <v>111</v>
      </c>
      <c r="AI1123" t="s">
        <v>111</v>
      </c>
      <c r="AJ1123" t="s">
        <v>111</v>
      </c>
      <c r="AK1123" t="s">
        <v>111</v>
      </c>
      <c r="AL1123" t="s">
        <v>111</v>
      </c>
      <c r="AM1123">
        <v>0</v>
      </c>
      <c r="AN1123">
        <v>0</v>
      </c>
      <c r="AO1123">
        <v>0</v>
      </c>
      <c r="AP1123" t="s">
        <v>111</v>
      </c>
      <c r="AQ1123" t="s">
        <v>111</v>
      </c>
      <c r="AR1123" t="s">
        <v>111</v>
      </c>
      <c r="AS1123" t="s">
        <v>111</v>
      </c>
      <c r="AT1123" t="s">
        <v>111</v>
      </c>
      <c r="AU1123" t="s">
        <v>111</v>
      </c>
      <c r="AV1123" t="s">
        <v>111</v>
      </c>
      <c r="AW1123" t="s">
        <v>111</v>
      </c>
      <c r="AX1123" t="s">
        <v>111</v>
      </c>
      <c r="AY1123" t="s">
        <v>111</v>
      </c>
      <c r="AZ1123" t="s">
        <v>111</v>
      </c>
      <c r="BA1123" t="s">
        <v>111</v>
      </c>
      <c r="BB1123" t="s">
        <v>111</v>
      </c>
      <c r="BC1123" t="s">
        <v>111</v>
      </c>
      <c r="BD1123" t="s">
        <v>111</v>
      </c>
      <c r="BE1123" t="s">
        <v>111</v>
      </c>
      <c r="BF1123" t="s">
        <v>111</v>
      </c>
      <c r="BG1123" t="s">
        <v>111</v>
      </c>
      <c r="BH1123" t="s">
        <v>111</v>
      </c>
      <c r="BI1123" t="s">
        <v>111</v>
      </c>
      <c r="BJ1123" t="s">
        <v>111</v>
      </c>
      <c r="BK1123" t="s">
        <v>111</v>
      </c>
      <c r="BL1123" t="s">
        <v>111</v>
      </c>
      <c r="BM1123" t="s">
        <v>111</v>
      </c>
      <c r="BN1123" t="s">
        <v>111</v>
      </c>
      <c r="BO1123" t="s">
        <v>111</v>
      </c>
      <c r="BP1123" t="s">
        <v>111</v>
      </c>
      <c r="BQ1123" t="s">
        <v>111</v>
      </c>
      <c r="BR1123" t="s">
        <v>111</v>
      </c>
      <c r="BS1123" t="s">
        <v>111</v>
      </c>
      <c r="BT1123" t="s">
        <v>111</v>
      </c>
      <c r="BU1123" t="s">
        <v>111</v>
      </c>
      <c r="BV1123" t="s">
        <v>111</v>
      </c>
      <c r="BW1123" t="s">
        <v>111</v>
      </c>
      <c r="BX1123" t="s">
        <v>111</v>
      </c>
      <c r="BY1123" t="s">
        <v>111</v>
      </c>
      <c r="BZ1123" t="s">
        <v>111</v>
      </c>
      <c r="CA1123" t="s">
        <v>111</v>
      </c>
      <c r="CB1123" t="s">
        <v>111</v>
      </c>
      <c r="CC1123" t="s">
        <v>111</v>
      </c>
      <c r="CD1123" t="s">
        <v>111</v>
      </c>
      <c r="CE1123" t="s">
        <v>111</v>
      </c>
      <c r="CF1123" t="s">
        <v>111</v>
      </c>
      <c r="CG1123" t="s">
        <v>111</v>
      </c>
      <c r="CH1123" t="s">
        <v>111</v>
      </c>
      <c r="CI1123" t="s">
        <v>111</v>
      </c>
      <c r="CJ1123" t="s">
        <v>111</v>
      </c>
      <c r="CK1123" t="s">
        <v>111</v>
      </c>
      <c r="CL1123" t="s">
        <v>111</v>
      </c>
      <c r="CM1123" t="s">
        <v>198</v>
      </c>
      <c r="CN1123" t="s">
        <v>128</v>
      </c>
      <c r="CO1123" t="s">
        <v>111</v>
      </c>
      <c r="CP1123" t="s">
        <v>111</v>
      </c>
      <c r="CQ1123">
        <v>0</v>
      </c>
      <c r="CR1123">
        <v>0</v>
      </c>
      <c r="CS1123">
        <v>0</v>
      </c>
      <c r="CT1123" t="s">
        <v>3426</v>
      </c>
      <c r="CU1123">
        <v>0</v>
      </c>
      <c r="CV1123" t="s">
        <v>111</v>
      </c>
      <c r="CW1123" t="s">
        <v>111</v>
      </c>
      <c r="CX1123" t="s">
        <v>111</v>
      </c>
      <c r="CY1123">
        <v>0</v>
      </c>
      <c r="CZ1123" t="s">
        <v>111</v>
      </c>
      <c r="DA1123" t="s">
        <v>111</v>
      </c>
      <c r="DB1123" t="s">
        <v>558</v>
      </c>
      <c r="DC1123" s="1" t="s">
        <v>3427</v>
      </c>
    </row>
    <row r="1124" spans="1:107">
      <c r="A1124">
        <v>12</v>
      </c>
      <c r="B1124" t="s">
        <v>162</v>
      </c>
      <c r="C1124" t="s">
        <v>2952</v>
      </c>
      <c r="D1124" t="s">
        <v>3428</v>
      </c>
      <c r="E1124" t="s">
        <v>3429</v>
      </c>
      <c r="F1124" t="s">
        <v>1014</v>
      </c>
      <c r="G1124" t="s">
        <v>416</v>
      </c>
      <c r="H1124">
        <v>1.2</v>
      </c>
      <c r="I1124">
        <v>48</v>
      </c>
      <c r="J1124">
        <v>0</v>
      </c>
      <c r="K1124">
        <v>0</v>
      </c>
      <c r="L1124" t="s">
        <v>112</v>
      </c>
      <c r="M1124" t="s">
        <v>118</v>
      </c>
      <c r="N1124">
        <v>40</v>
      </c>
      <c r="O1124">
        <v>2</v>
      </c>
      <c r="P1124" t="s">
        <v>138</v>
      </c>
      <c r="Q1124">
        <v>30</v>
      </c>
      <c r="R1124">
        <v>0</v>
      </c>
      <c r="S1124">
        <v>0</v>
      </c>
      <c r="T1124">
        <v>0</v>
      </c>
      <c r="U1124" s="1" t="s">
        <v>3183</v>
      </c>
      <c r="V1124">
        <v>0</v>
      </c>
      <c r="W1124">
        <v>25</v>
      </c>
      <c r="X1124">
        <v>6</v>
      </c>
      <c r="Y1124">
        <v>0</v>
      </c>
      <c r="Z1124" t="s">
        <v>111</v>
      </c>
      <c r="AA1124">
        <v>0</v>
      </c>
      <c r="AB1124" t="s">
        <v>111</v>
      </c>
      <c r="AC1124">
        <v>0</v>
      </c>
      <c r="AD1124" t="s">
        <v>416</v>
      </c>
      <c r="AE1124">
        <v>1</v>
      </c>
      <c r="AF1124">
        <v>2</v>
      </c>
      <c r="AG1124">
        <v>92</v>
      </c>
      <c r="AH1124" t="s">
        <v>111</v>
      </c>
      <c r="AI1124">
        <v>46</v>
      </c>
      <c r="AJ1124" t="s">
        <v>111</v>
      </c>
      <c r="AK1124" t="s">
        <v>111</v>
      </c>
      <c r="AL1124" t="s">
        <v>111</v>
      </c>
      <c r="AM1124">
        <v>0</v>
      </c>
      <c r="AN1124">
        <v>0</v>
      </c>
      <c r="AO1124">
        <v>0</v>
      </c>
      <c r="AP1124" t="s">
        <v>111</v>
      </c>
      <c r="AQ1124" t="s">
        <v>111</v>
      </c>
      <c r="AR1124" t="s">
        <v>111</v>
      </c>
      <c r="AS1124" t="s">
        <v>111</v>
      </c>
      <c r="AT1124" t="s">
        <v>111</v>
      </c>
      <c r="AU1124" t="s">
        <v>111</v>
      </c>
      <c r="AV1124" t="s">
        <v>111</v>
      </c>
      <c r="AW1124" t="s">
        <v>111</v>
      </c>
      <c r="AX1124" t="s">
        <v>111</v>
      </c>
      <c r="AY1124" t="s">
        <v>111</v>
      </c>
      <c r="AZ1124" t="s">
        <v>111</v>
      </c>
      <c r="BA1124" t="s">
        <v>111</v>
      </c>
      <c r="BB1124" t="s">
        <v>111</v>
      </c>
      <c r="BC1124" t="s">
        <v>111</v>
      </c>
      <c r="BD1124" t="s">
        <v>111</v>
      </c>
      <c r="BE1124" t="s">
        <v>111</v>
      </c>
      <c r="BF1124" t="s">
        <v>111</v>
      </c>
      <c r="BG1124" t="s">
        <v>111</v>
      </c>
      <c r="BH1124" t="s">
        <v>111</v>
      </c>
      <c r="BI1124" t="s">
        <v>111</v>
      </c>
      <c r="BJ1124" t="s">
        <v>111</v>
      </c>
      <c r="BK1124" t="s">
        <v>111</v>
      </c>
      <c r="BL1124" t="s">
        <v>111</v>
      </c>
      <c r="BM1124" t="s">
        <v>111</v>
      </c>
      <c r="BN1124" t="s">
        <v>111</v>
      </c>
      <c r="BO1124" t="s">
        <v>111</v>
      </c>
      <c r="BP1124" t="s">
        <v>111</v>
      </c>
      <c r="BQ1124" t="s">
        <v>111</v>
      </c>
      <c r="BR1124" t="s">
        <v>111</v>
      </c>
      <c r="BS1124" t="s">
        <v>111</v>
      </c>
      <c r="BT1124" t="s">
        <v>111</v>
      </c>
      <c r="BU1124" t="s">
        <v>111</v>
      </c>
      <c r="BV1124" t="s">
        <v>111</v>
      </c>
      <c r="BW1124" t="s">
        <v>111</v>
      </c>
      <c r="BX1124" t="s">
        <v>111</v>
      </c>
      <c r="BY1124" t="s">
        <v>111</v>
      </c>
      <c r="BZ1124" t="s">
        <v>111</v>
      </c>
      <c r="CA1124" t="s">
        <v>111</v>
      </c>
      <c r="CB1124" t="s">
        <v>111</v>
      </c>
      <c r="CC1124" t="s">
        <v>111</v>
      </c>
      <c r="CD1124" t="s">
        <v>111</v>
      </c>
      <c r="CE1124" t="s">
        <v>111</v>
      </c>
      <c r="CF1124" t="s">
        <v>111</v>
      </c>
      <c r="CG1124" t="s">
        <v>111</v>
      </c>
      <c r="CH1124" t="s">
        <v>111</v>
      </c>
      <c r="CI1124" t="s">
        <v>111</v>
      </c>
      <c r="CJ1124" t="s">
        <v>111</v>
      </c>
      <c r="CK1124" t="s">
        <v>111</v>
      </c>
      <c r="CL1124" t="s">
        <v>153</v>
      </c>
      <c r="CM1124" t="s">
        <v>198</v>
      </c>
      <c r="CN1124" t="s">
        <v>128</v>
      </c>
      <c r="CO1124" t="s">
        <v>111</v>
      </c>
      <c r="CP1124" t="s">
        <v>433</v>
      </c>
      <c r="CQ1124">
        <v>0</v>
      </c>
      <c r="CR1124">
        <v>0</v>
      </c>
      <c r="CS1124">
        <v>0</v>
      </c>
      <c r="CT1124" t="s">
        <v>168</v>
      </c>
      <c r="CU1124">
        <v>0</v>
      </c>
      <c r="CV1124" t="s">
        <v>111</v>
      </c>
      <c r="CW1124" t="s">
        <v>111</v>
      </c>
      <c r="CX1124" t="s">
        <v>111</v>
      </c>
      <c r="CY1124">
        <v>0</v>
      </c>
      <c r="CZ1124" t="s">
        <v>111</v>
      </c>
      <c r="DA1124" t="s">
        <v>111</v>
      </c>
      <c r="DB1124" t="s">
        <v>111</v>
      </c>
      <c r="DC1124" t="s">
        <v>111</v>
      </c>
    </row>
    <row r="1125" spans="1:107">
      <c r="A1125">
        <v>13</v>
      </c>
      <c r="B1125" t="s">
        <v>162</v>
      </c>
      <c r="C1125" t="s">
        <v>2952</v>
      </c>
      <c r="D1125" t="s">
        <v>3428</v>
      </c>
      <c r="E1125" t="s">
        <v>3430</v>
      </c>
      <c r="F1125" t="s">
        <v>1014</v>
      </c>
      <c r="G1125" t="s">
        <v>416</v>
      </c>
      <c r="H1125">
        <v>1.2</v>
      </c>
      <c r="I1125">
        <v>48</v>
      </c>
      <c r="J1125">
        <v>0</v>
      </c>
      <c r="K1125">
        <v>0</v>
      </c>
      <c r="L1125" t="s">
        <v>112</v>
      </c>
      <c r="M1125" t="s">
        <v>138</v>
      </c>
      <c r="N1125">
        <v>40</v>
      </c>
      <c r="O1125">
        <v>0</v>
      </c>
      <c r="P1125" t="s">
        <v>138</v>
      </c>
      <c r="Q1125">
        <v>30</v>
      </c>
      <c r="R1125">
        <v>0</v>
      </c>
      <c r="S1125">
        <v>0</v>
      </c>
      <c r="T1125">
        <v>0</v>
      </c>
      <c r="U1125" s="1" t="s">
        <v>3183</v>
      </c>
      <c r="V1125">
        <v>0</v>
      </c>
      <c r="W1125">
        <v>25</v>
      </c>
      <c r="X1125">
        <v>6</v>
      </c>
      <c r="Y1125">
        <v>0</v>
      </c>
      <c r="Z1125" t="s">
        <v>111</v>
      </c>
      <c r="AA1125">
        <v>0</v>
      </c>
      <c r="AB1125" t="s">
        <v>111</v>
      </c>
      <c r="AC1125">
        <v>0</v>
      </c>
      <c r="AD1125" t="s">
        <v>416</v>
      </c>
      <c r="AE1125">
        <v>1</v>
      </c>
      <c r="AF1125">
        <v>2</v>
      </c>
      <c r="AG1125">
        <v>92</v>
      </c>
      <c r="AH1125" t="s">
        <v>111</v>
      </c>
      <c r="AI1125">
        <v>46</v>
      </c>
      <c r="AJ1125" t="s">
        <v>111</v>
      </c>
      <c r="AK1125" t="s">
        <v>111</v>
      </c>
      <c r="AL1125" t="s">
        <v>111</v>
      </c>
      <c r="AM1125">
        <v>0</v>
      </c>
      <c r="AN1125">
        <v>0</v>
      </c>
      <c r="AO1125">
        <v>0</v>
      </c>
      <c r="AP1125" t="s">
        <v>111</v>
      </c>
      <c r="AQ1125" t="s">
        <v>111</v>
      </c>
      <c r="AR1125" t="s">
        <v>111</v>
      </c>
      <c r="AS1125" t="s">
        <v>111</v>
      </c>
      <c r="AT1125" t="s">
        <v>111</v>
      </c>
      <c r="AU1125" t="s">
        <v>111</v>
      </c>
      <c r="AV1125" t="s">
        <v>111</v>
      </c>
      <c r="AW1125" t="s">
        <v>111</v>
      </c>
      <c r="AX1125" t="s">
        <v>111</v>
      </c>
      <c r="AY1125" t="s">
        <v>111</v>
      </c>
      <c r="AZ1125" t="s">
        <v>111</v>
      </c>
      <c r="BA1125" t="s">
        <v>111</v>
      </c>
      <c r="BB1125" t="s">
        <v>111</v>
      </c>
      <c r="BC1125" t="s">
        <v>111</v>
      </c>
      <c r="BD1125" t="s">
        <v>111</v>
      </c>
      <c r="BE1125" t="s">
        <v>111</v>
      </c>
      <c r="BF1125" t="s">
        <v>111</v>
      </c>
      <c r="BG1125" t="s">
        <v>111</v>
      </c>
      <c r="BH1125" t="s">
        <v>111</v>
      </c>
      <c r="BI1125" t="s">
        <v>111</v>
      </c>
      <c r="BJ1125" t="s">
        <v>111</v>
      </c>
      <c r="BK1125" t="s">
        <v>111</v>
      </c>
      <c r="BL1125" t="s">
        <v>111</v>
      </c>
      <c r="BM1125" t="s">
        <v>111</v>
      </c>
      <c r="BN1125" t="s">
        <v>111</v>
      </c>
      <c r="BO1125" t="s">
        <v>111</v>
      </c>
      <c r="BP1125" t="s">
        <v>111</v>
      </c>
      <c r="BQ1125" t="s">
        <v>111</v>
      </c>
      <c r="BR1125" t="s">
        <v>111</v>
      </c>
      <c r="BS1125" t="s">
        <v>111</v>
      </c>
      <c r="BT1125" t="s">
        <v>111</v>
      </c>
      <c r="BU1125" t="s">
        <v>111</v>
      </c>
      <c r="BV1125" t="s">
        <v>111</v>
      </c>
      <c r="BW1125" t="s">
        <v>111</v>
      </c>
      <c r="BX1125" t="s">
        <v>111</v>
      </c>
      <c r="BY1125" t="s">
        <v>111</v>
      </c>
      <c r="BZ1125" t="s">
        <v>111</v>
      </c>
      <c r="CA1125" t="s">
        <v>111</v>
      </c>
      <c r="CB1125" t="s">
        <v>111</v>
      </c>
      <c r="CC1125" t="s">
        <v>111</v>
      </c>
      <c r="CD1125" t="s">
        <v>111</v>
      </c>
      <c r="CE1125" t="s">
        <v>111</v>
      </c>
      <c r="CF1125" t="s">
        <v>111</v>
      </c>
      <c r="CG1125" t="s">
        <v>111</v>
      </c>
      <c r="CH1125" t="s">
        <v>111</v>
      </c>
      <c r="CI1125" t="s">
        <v>111</v>
      </c>
      <c r="CJ1125" t="s">
        <v>111</v>
      </c>
      <c r="CK1125" t="s">
        <v>111</v>
      </c>
      <c r="CL1125" t="s">
        <v>153</v>
      </c>
      <c r="CM1125" t="s">
        <v>198</v>
      </c>
      <c r="CN1125" t="s">
        <v>128</v>
      </c>
      <c r="CO1125" t="s">
        <v>111</v>
      </c>
      <c r="CP1125" t="s">
        <v>433</v>
      </c>
      <c r="CQ1125">
        <v>0</v>
      </c>
      <c r="CR1125">
        <v>0</v>
      </c>
      <c r="CS1125">
        <v>0</v>
      </c>
      <c r="CT1125" t="s">
        <v>168</v>
      </c>
      <c r="CU1125">
        <v>0</v>
      </c>
      <c r="CV1125" t="s">
        <v>111</v>
      </c>
      <c r="CW1125" t="s">
        <v>111</v>
      </c>
      <c r="CX1125" t="s">
        <v>111</v>
      </c>
      <c r="CY1125">
        <v>0</v>
      </c>
      <c r="CZ1125" t="s">
        <v>111</v>
      </c>
      <c r="DA1125" t="s">
        <v>111</v>
      </c>
      <c r="DB1125" t="s">
        <v>111</v>
      </c>
      <c r="DC1125" t="s">
        <v>111</v>
      </c>
    </row>
    <row r="1126" spans="1:107">
      <c r="A1126">
        <v>1649</v>
      </c>
      <c r="B1126" t="s">
        <v>107</v>
      </c>
      <c r="C1126" t="s">
        <v>726</v>
      </c>
      <c r="D1126" t="s">
        <v>2533</v>
      </c>
      <c r="E1126" t="s">
        <v>2534</v>
      </c>
      <c r="F1126" t="s">
        <v>192</v>
      </c>
      <c r="G1126" t="s">
        <v>416</v>
      </c>
      <c r="H1126">
        <v>3.4</v>
      </c>
      <c r="I1126">
        <v>30.5</v>
      </c>
      <c r="J1126">
        <v>0</v>
      </c>
      <c r="K1126">
        <v>0</v>
      </c>
      <c r="L1126" t="s">
        <v>112</v>
      </c>
      <c r="M1126" t="s">
        <v>111</v>
      </c>
      <c r="N1126">
        <v>0</v>
      </c>
      <c r="O1126">
        <v>0</v>
      </c>
      <c r="P1126" t="s">
        <v>111</v>
      </c>
      <c r="Q1126">
        <v>25</v>
      </c>
      <c r="R1126">
        <v>0</v>
      </c>
      <c r="S1126">
        <v>0</v>
      </c>
      <c r="T1126">
        <v>5</v>
      </c>
      <c r="U1126" t="e">
        <f>-SELLADO</f>
        <v>#NAME?</v>
      </c>
      <c r="V1126">
        <v>0</v>
      </c>
      <c r="W1126">
        <v>25</v>
      </c>
      <c r="X1126">
        <v>8</v>
      </c>
      <c r="Y1126">
        <v>0</v>
      </c>
      <c r="Z1126" t="s">
        <v>111</v>
      </c>
      <c r="AA1126">
        <v>0</v>
      </c>
      <c r="AB1126" t="s">
        <v>111</v>
      </c>
      <c r="AC1126">
        <v>0</v>
      </c>
      <c r="AD1126" t="s">
        <v>111</v>
      </c>
      <c r="AE1126">
        <v>0</v>
      </c>
      <c r="AF1126">
        <v>0</v>
      </c>
      <c r="AG1126" t="s">
        <v>111</v>
      </c>
      <c r="AH1126" t="s">
        <v>111</v>
      </c>
      <c r="AI1126" t="s">
        <v>111</v>
      </c>
      <c r="AJ1126" t="s">
        <v>111</v>
      </c>
      <c r="AK1126" t="s">
        <v>111</v>
      </c>
      <c r="AL1126" t="s">
        <v>111</v>
      </c>
      <c r="AM1126">
        <v>0</v>
      </c>
      <c r="AN1126">
        <v>0</v>
      </c>
      <c r="AO1126">
        <v>0</v>
      </c>
      <c r="AP1126" t="s">
        <v>111</v>
      </c>
      <c r="AQ1126" t="s">
        <v>111</v>
      </c>
      <c r="AR1126" t="s">
        <v>111</v>
      </c>
      <c r="AS1126" t="s">
        <v>111</v>
      </c>
      <c r="AT1126" t="s">
        <v>111</v>
      </c>
      <c r="AU1126" t="s">
        <v>111</v>
      </c>
      <c r="AV1126" t="s">
        <v>111</v>
      </c>
      <c r="AW1126" t="s">
        <v>111</v>
      </c>
      <c r="AX1126" t="s">
        <v>111</v>
      </c>
      <c r="AY1126" t="s">
        <v>111</v>
      </c>
      <c r="AZ1126" t="s">
        <v>111</v>
      </c>
      <c r="BA1126" t="s">
        <v>111</v>
      </c>
      <c r="BB1126" t="s">
        <v>111</v>
      </c>
      <c r="BC1126" t="s">
        <v>111</v>
      </c>
      <c r="BD1126" t="s">
        <v>111</v>
      </c>
      <c r="BE1126" t="s">
        <v>111</v>
      </c>
      <c r="BF1126" t="s">
        <v>111</v>
      </c>
      <c r="BG1126" t="s">
        <v>111</v>
      </c>
      <c r="BH1126" t="s">
        <v>111</v>
      </c>
      <c r="BI1126" t="s">
        <v>111</v>
      </c>
      <c r="BJ1126" t="s">
        <v>111</v>
      </c>
      <c r="BK1126" t="s">
        <v>111</v>
      </c>
      <c r="BL1126" t="s">
        <v>111</v>
      </c>
      <c r="BM1126" t="s">
        <v>111</v>
      </c>
      <c r="BN1126" t="s">
        <v>111</v>
      </c>
      <c r="BO1126" t="s">
        <v>111</v>
      </c>
      <c r="BP1126" t="s">
        <v>111</v>
      </c>
      <c r="BQ1126" t="s">
        <v>111</v>
      </c>
      <c r="BR1126" t="s">
        <v>111</v>
      </c>
      <c r="BS1126" t="s">
        <v>111</v>
      </c>
      <c r="BT1126" t="s">
        <v>111</v>
      </c>
      <c r="BU1126" t="s">
        <v>111</v>
      </c>
      <c r="BV1126" t="s">
        <v>111</v>
      </c>
      <c r="BW1126" t="s">
        <v>111</v>
      </c>
      <c r="BX1126" t="s">
        <v>111</v>
      </c>
      <c r="BY1126" t="s">
        <v>111</v>
      </c>
      <c r="BZ1126" t="s">
        <v>111</v>
      </c>
      <c r="CA1126" t="s">
        <v>111</v>
      </c>
      <c r="CB1126" t="s">
        <v>111</v>
      </c>
      <c r="CC1126" t="s">
        <v>111</v>
      </c>
      <c r="CD1126" t="s">
        <v>111</v>
      </c>
      <c r="CE1126" t="s">
        <v>111</v>
      </c>
      <c r="CF1126" t="s">
        <v>111</v>
      </c>
      <c r="CG1126" t="s">
        <v>111</v>
      </c>
      <c r="CH1126" t="s">
        <v>111</v>
      </c>
      <c r="CI1126" t="s">
        <v>111</v>
      </c>
      <c r="CJ1126" t="s">
        <v>111</v>
      </c>
      <c r="CK1126" t="s">
        <v>111</v>
      </c>
      <c r="CL1126" t="s">
        <v>111</v>
      </c>
      <c r="CM1126" t="s">
        <v>438</v>
      </c>
      <c r="CN1126" t="s">
        <v>113</v>
      </c>
      <c r="CO1126" t="s">
        <v>111</v>
      </c>
      <c r="CP1126" t="s">
        <v>111</v>
      </c>
      <c r="CQ1126">
        <v>0</v>
      </c>
      <c r="CR1126">
        <v>5000</v>
      </c>
      <c r="CS1126">
        <v>100</v>
      </c>
      <c r="CT1126" t="e">
        <f>-ALMACEN</f>
        <v>#NAME?</v>
      </c>
      <c r="CU1126">
        <v>0</v>
      </c>
      <c r="CV1126" t="s">
        <v>111</v>
      </c>
      <c r="CX1126" t="s">
        <v>111</v>
      </c>
      <c r="CY1126">
        <v>0</v>
      </c>
      <c r="CZ1126" t="s">
        <v>111</v>
      </c>
      <c r="DA1126" t="s">
        <v>111</v>
      </c>
      <c r="DB1126" t="s">
        <v>111</v>
      </c>
      <c r="DC1126" t="s">
        <v>111</v>
      </c>
    </row>
    <row r="1127" spans="1:107">
      <c r="A1127">
        <v>242</v>
      </c>
      <c r="B1127" t="s">
        <v>162</v>
      </c>
      <c r="C1127" t="s">
        <v>3287</v>
      </c>
      <c r="D1127" t="s">
        <v>3288</v>
      </c>
      <c r="E1127" t="s">
        <v>3431</v>
      </c>
      <c r="F1127" t="s">
        <v>370</v>
      </c>
      <c r="G1127" t="s">
        <v>416</v>
      </c>
      <c r="H1127">
        <v>3</v>
      </c>
      <c r="I1127">
        <v>78</v>
      </c>
      <c r="J1127">
        <v>0</v>
      </c>
      <c r="K1127">
        <v>0</v>
      </c>
      <c r="L1127" t="s">
        <v>117</v>
      </c>
      <c r="M1127" t="s">
        <v>118</v>
      </c>
      <c r="N1127">
        <v>40</v>
      </c>
      <c r="O1127">
        <v>2</v>
      </c>
      <c r="P1127" t="s">
        <v>138</v>
      </c>
      <c r="Q1127">
        <v>40</v>
      </c>
      <c r="R1127">
        <v>0</v>
      </c>
      <c r="S1127">
        <v>0</v>
      </c>
      <c r="T1127">
        <v>0</v>
      </c>
      <c r="U1127" t="s">
        <v>1353</v>
      </c>
      <c r="V1127">
        <v>25</v>
      </c>
      <c r="W1127">
        <v>0</v>
      </c>
      <c r="X1127">
        <v>8</v>
      </c>
      <c r="Y1127">
        <v>0</v>
      </c>
      <c r="Z1127" t="s">
        <v>288</v>
      </c>
      <c r="AA1127">
        <v>1.65</v>
      </c>
      <c r="AB1127" t="s">
        <v>111</v>
      </c>
      <c r="AC1127">
        <v>0</v>
      </c>
      <c r="AD1127" t="s">
        <v>416</v>
      </c>
      <c r="AE1127">
        <v>3</v>
      </c>
      <c r="AF1127">
        <v>2</v>
      </c>
      <c r="AG1127">
        <v>38</v>
      </c>
      <c r="AH1127" t="s">
        <v>111</v>
      </c>
      <c r="AI1127">
        <v>38</v>
      </c>
      <c r="AJ1127" t="s">
        <v>111</v>
      </c>
      <c r="AK1127" t="s">
        <v>111</v>
      </c>
      <c r="AL1127" t="s">
        <v>111</v>
      </c>
      <c r="AM1127">
        <v>0</v>
      </c>
      <c r="AN1127">
        <v>0</v>
      </c>
      <c r="AO1127">
        <v>0</v>
      </c>
      <c r="AP1127" t="s">
        <v>184</v>
      </c>
      <c r="AQ1127">
        <v>81118</v>
      </c>
      <c r="AR1127" t="s">
        <v>111</v>
      </c>
      <c r="AS1127" t="s">
        <v>111</v>
      </c>
      <c r="AT1127" t="s">
        <v>2774</v>
      </c>
      <c r="AU1127">
        <v>95303</v>
      </c>
      <c r="AV1127" t="s">
        <v>111</v>
      </c>
      <c r="AW1127" t="s">
        <v>111</v>
      </c>
      <c r="AX1127" t="s">
        <v>772</v>
      </c>
      <c r="AY1127">
        <v>95202</v>
      </c>
      <c r="AZ1127" t="s">
        <v>111</v>
      </c>
      <c r="BA1127" t="s">
        <v>111</v>
      </c>
      <c r="BB1127" t="s">
        <v>111</v>
      </c>
      <c r="BC1127" t="s">
        <v>111</v>
      </c>
      <c r="BD1127" t="s">
        <v>111</v>
      </c>
      <c r="BE1127" t="s">
        <v>111</v>
      </c>
      <c r="BF1127" t="s">
        <v>111</v>
      </c>
      <c r="BG1127" t="s">
        <v>111</v>
      </c>
      <c r="BH1127" t="s">
        <v>111</v>
      </c>
      <c r="BI1127" t="s">
        <v>111</v>
      </c>
      <c r="BJ1127" t="s">
        <v>111</v>
      </c>
      <c r="BK1127" t="s">
        <v>111</v>
      </c>
      <c r="BL1127" t="s">
        <v>111</v>
      </c>
      <c r="BM1127" t="s">
        <v>111</v>
      </c>
      <c r="BN1127" t="s">
        <v>111</v>
      </c>
      <c r="BO1127" t="s">
        <v>111</v>
      </c>
      <c r="BP1127" t="s">
        <v>111</v>
      </c>
      <c r="BQ1127" t="s">
        <v>111</v>
      </c>
      <c r="BR1127" t="s">
        <v>111</v>
      </c>
      <c r="BS1127" t="s">
        <v>111</v>
      </c>
      <c r="BT1127" t="s">
        <v>111</v>
      </c>
      <c r="BU1127" t="s">
        <v>111</v>
      </c>
      <c r="BV1127" t="s">
        <v>111</v>
      </c>
      <c r="BW1127" t="s">
        <v>111</v>
      </c>
      <c r="BX1127" t="s">
        <v>111</v>
      </c>
      <c r="BY1127" t="s">
        <v>111</v>
      </c>
      <c r="BZ1127" t="s">
        <v>111</v>
      </c>
      <c r="CA1127" t="s">
        <v>111</v>
      </c>
      <c r="CB1127" t="s">
        <v>111</v>
      </c>
      <c r="CC1127" t="s">
        <v>111</v>
      </c>
      <c r="CD1127" t="s">
        <v>111</v>
      </c>
      <c r="CE1127" t="s">
        <v>111</v>
      </c>
      <c r="CF1127" t="s">
        <v>111</v>
      </c>
      <c r="CG1127" t="s">
        <v>111</v>
      </c>
      <c r="CH1127" t="s">
        <v>111</v>
      </c>
      <c r="CI1127" t="s">
        <v>111</v>
      </c>
      <c r="CJ1127" t="s">
        <v>111</v>
      </c>
      <c r="CK1127" t="s">
        <v>111</v>
      </c>
      <c r="CL1127" t="s">
        <v>153</v>
      </c>
      <c r="CM1127" t="s">
        <v>198</v>
      </c>
      <c r="CN1127" t="s">
        <v>113</v>
      </c>
      <c r="CO1127" t="s">
        <v>111</v>
      </c>
      <c r="CP1127" t="s">
        <v>433</v>
      </c>
      <c r="CQ1127">
        <v>0</v>
      </c>
      <c r="CR1127">
        <v>0</v>
      </c>
      <c r="CS1127">
        <v>0</v>
      </c>
      <c r="CT1127" t="s">
        <v>419</v>
      </c>
      <c r="CU1127">
        <v>0</v>
      </c>
      <c r="CV1127" t="s">
        <v>111</v>
      </c>
      <c r="CW1127" t="s">
        <v>111</v>
      </c>
      <c r="CX1127" t="s">
        <v>111</v>
      </c>
      <c r="CY1127">
        <v>0</v>
      </c>
      <c r="CZ1127" t="s">
        <v>111</v>
      </c>
      <c r="DA1127" t="s">
        <v>111</v>
      </c>
      <c r="DB1127" t="s">
        <v>204</v>
      </c>
      <c r="DC1127" s="1" t="s">
        <v>3432</v>
      </c>
    </row>
    <row r="1128" spans="1:107">
      <c r="A1128">
        <v>1427</v>
      </c>
      <c r="B1128" t="s">
        <v>107</v>
      </c>
      <c r="C1128" t="s">
        <v>793</v>
      </c>
      <c r="D1128" t="s">
        <v>3433</v>
      </c>
      <c r="E1128" t="s">
        <v>3434</v>
      </c>
      <c r="F1128" t="s">
        <v>431</v>
      </c>
      <c r="G1128" t="s">
        <v>416</v>
      </c>
      <c r="H1128">
        <v>1.8</v>
      </c>
      <c r="I1128">
        <v>66</v>
      </c>
      <c r="J1128">
        <v>0</v>
      </c>
      <c r="K1128">
        <v>0</v>
      </c>
      <c r="L1128" t="s">
        <v>112</v>
      </c>
      <c r="M1128" t="s">
        <v>111</v>
      </c>
      <c r="N1128">
        <v>0</v>
      </c>
      <c r="O1128">
        <v>0</v>
      </c>
      <c r="P1128" t="s">
        <v>111</v>
      </c>
      <c r="Q1128">
        <v>20</v>
      </c>
      <c r="R1128">
        <v>0</v>
      </c>
      <c r="S1128">
        <v>0</v>
      </c>
      <c r="T1128">
        <v>0</v>
      </c>
      <c r="U1128" t="e">
        <f>-SELLADO</f>
        <v>#NAME?</v>
      </c>
      <c r="V1128">
        <v>0</v>
      </c>
      <c r="W1128">
        <v>25</v>
      </c>
      <c r="X1128">
        <v>5</v>
      </c>
      <c r="Y1128">
        <v>0</v>
      </c>
      <c r="Z1128" t="s">
        <v>111</v>
      </c>
      <c r="AA1128">
        <v>0</v>
      </c>
      <c r="AB1128" t="s">
        <v>111</v>
      </c>
      <c r="AC1128">
        <v>0</v>
      </c>
      <c r="AD1128" t="s">
        <v>111</v>
      </c>
      <c r="AE1128">
        <v>0</v>
      </c>
      <c r="AF1128">
        <v>0</v>
      </c>
      <c r="AG1128" t="s">
        <v>111</v>
      </c>
      <c r="AH1128" t="s">
        <v>111</v>
      </c>
      <c r="AI1128" t="s">
        <v>111</v>
      </c>
      <c r="AJ1128" t="s">
        <v>111</v>
      </c>
      <c r="AK1128" t="s">
        <v>111</v>
      </c>
      <c r="AL1128" t="s">
        <v>111</v>
      </c>
      <c r="AM1128">
        <v>0</v>
      </c>
      <c r="AN1128">
        <v>0</v>
      </c>
      <c r="AO1128">
        <v>0</v>
      </c>
      <c r="AP1128" t="s">
        <v>111</v>
      </c>
      <c r="AQ1128" t="s">
        <v>111</v>
      </c>
      <c r="AR1128" t="s">
        <v>111</v>
      </c>
      <c r="AS1128" t="s">
        <v>111</v>
      </c>
      <c r="AT1128" t="s">
        <v>111</v>
      </c>
      <c r="AU1128" t="s">
        <v>111</v>
      </c>
      <c r="AV1128" t="s">
        <v>111</v>
      </c>
      <c r="AW1128" t="s">
        <v>111</v>
      </c>
      <c r="AX1128" t="s">
        <v>111</v>
      </c>
      <c r="AY1128" t="s">
        <v>111</v>
      </c>
      <c r="AZ1128" t="s">
        <v>111</v>
      </c>
      <c r="BA1128" t="s">
        <v>111</v>
      </c>
      <c r="BB1128" t="s">
        <v>111</v>
      </c>
      <c r="BC1128" t="s">
        <v>111</v>
      </c>
      <c r="BD1128" t="s">
        <v>111</v>
      </c>
      <c r="BE1128" t="s">
        <v>111</v>
      </c>
      <c r="BF1128" t="s">
        <v>111</v>
      </c>
      <c r="BG1128" t="s">
        <v>111</v>
      </c>
      <c r="BH1128" t="s">
        <v>111</v>
      </c>
      <c r="BI1128" t="s">
        <v>111</v>
      </c>
      <c r="BJ1128" t="s">
        <v>111</v>
      </c>
      <c r="BK1128" t="s">
        <v>111</v>
      </c>
      <c r="BL1128" t="s">
        <v>111</v>
      </c>
      <c r="BM1128" t="s">
        <v>111</v>
      </c>
      <c r="BN1128" t="s">
        <v>111</v>
      </c>
      <c r="BO1128" t="s">
        <v>111</v>
      </c>
      <c r="BP1128" t="s">
        <v>111</v>
      </c>
      <c r="BQ1128" t="s">
        <v>111</v>
      </c>
      <c r="BR1128" t="s">
        <v>111</v>
      </c>
      <c r="BS1128" t="s">
        <v>111</v>
      </c>
      <c r="BT1128" t="s">
        <v>111</v>
      </c>
      <c r="BU1128" t="s">
        <v>111</v>
      </c>
      <c r="BV1128" t="s">
        <v>111</v>
      </c>
      <c r="BW1128" t="s">
        <v>111</v>
      </c>
      <c r="BX1128" t="s">
        <v>111</v>
      </c>
      <c r="BY1128" t="s">
        <v>111</v>
      </c>
      <c r="BZ1128" t="s">
        <v>111</v>
      </c>
      <c r="CA1128" t="s">
        <v>111</v>
      </c>
      <c r="CB1128" t="s">
        <v>111</v>
      </c>
      <c r="CC1128" t="s">
        <v>111</v>
      </c>
      <c r="CD1128" t="s">
        <v>111</v>
      </c>
      <c r="CE1128" t="s">
        <v>111</v>
      </c>
      <c r="CF1128" t="s">
        <v>111</v>
      </c>
      <c r="CG1128" t="s">
        <v>111</v>
      </c>
      <c r="CH1128" t="s">
        <v>111</v>
      </c>
      <c r="CI1128" t="s">
        <v>111</v>
      </c>
      <c r="CJ1128" t="s">
        <v>111</v>
      </c>
      <c r="CK1128" t="s">
        <v>111</v>
      </c>
      <c r="CL1128" t="s">
        <v>111</v>
      </c>
      <c r="CM1128" t="s">
        <v>135</v>
      </c>
      <c r="CN1128" t="s">
        <v>128</v>
      </c>
      <c r="CO1128" t="s">
        <v>111</v>
      </c>
      <c r="CP1128" t="s">
        <v>111</v>
      </c>
      <c r="CQ1128">
        <v>0</v>
      </c>
      <c r="CR1128">
        <v>0</v>
      </c>
      <c r="CS1128">
        <v>100</v>
      </c>
      <c r="CT1128" t="e">
        <f>-ALMACEN</f>
        <v>#NAME?</v>
      </c>
      <c r="CU1128">
        <v>0</v>
      </c>
      <c r="CV1128" t="s">
        <v>111</v>
      </c>
      <c r="CW1128" t="s">
        <v>111</v>
      </c>
      <c r="CX1128" t="s">
        <v>111</v>
      </c>
      <c r="CY1128">
        <v>0</v>
      </c>
      <c r="CZ1128" t="s">
        <v>111</v>
      </c>
      <c r="DA1128" t="s">
        <v>111</v>
      </c>
      <c r="DB1128" t="s">
        <v>111</v>
      </c>
      <c r="DC1128" t="s">
        <v>111</v>
      </c>
    </row>
    <row r="1129" spans="1:107">
      <c r="A1129">
        <v>129</v>
      </c>
      <c r="B1129" t="s">
        <v>162</v>
      </c>
      <c r="C1129" t="s">
        <v>267</v>
      </c>
      <c r="D1129" t="s">
        <v>3435</v>
      </c>
      <c r="E1129" t="s">
        <v>3436</v>
      </c>
      <c r="F1129" t="s">
        <v>125</v>
      </c>
      <c r="G1129" t="s">
        <v>416</v>
      </c>
      <c r="H1129">
        <v>0.9</v>
      </c>
      <c r="I1129">
        <v>50</v>
      </c>
      <c r="J1129">
        <v>0</v>
      </c>
      <c r="K1129">
        <v>0</v>
      </c>
      <c r="L1129" t="s">
        <v>112</v>
      </c>
      <c r="M1129" t="s">
        <v>138</v>
      </c>
      <c r="N1129">
        <v>0</v>
      </c>
      <c r="O1129">
        <v>0</v>
      </c>
      <c r="P1129" t="s">
        <v>138</v>
      </c>
      <c r="Q1129">
        <v>30</v>
      </c>
      <c r="R1129">
        <v>0</v>
      </c>
      <c r="S1129">
        <v>0</v>
      </c>
      <c r="T1129">
        <v>0</v>
      </c>
      <c r="U1129" t="s">
        <v>153</v>
      </c>
      <c r="V1129">
        <v>25</v>
      </c>
      <c r="W1129">
        <v>0</v>
      </c>
      <c r="X1129">
        <v>8</v>
      </c>
      <c r="Y1129">
        <v>0</v>
      </c>
      <c r="Z1129" t="s">
        <v>111</v>
      </c>
      <c r="AA1129">
        <v>0</v>
      </c>
      <c r="AB1129" t="s">
        <v>111</v>
      </c>
      <c r="AC1129">
        <v>0</v>
      </c>
      <c r="AD1129" t="s">
        <v>111</v>
      </c>
      <c r="AE1129">
        <v>0</v>
      </c>
      <c r="AF1129">
        <v>0</v>
      </c>
      <c r="AG1129" t="s">
        <v>111</v>
      </c>
      <c r="AH1129" t="s">
        <v>111</v>
      </c>
      <c r="AI1129" t="s">
        <v>111</v>
      </c>
      <c r="AJ1129" t="s">
        <v>111</v>
      </c>
      <c r="AK1129" t="s">
        <v>111</v>
      </c>
      <c r="AL1129" t="s">
        <v>111</v>
      </c>
      <c r="AM1129">
        <v>0</v>
      </c>
      <c r="AN1129">
        <v>0</v>
      </c>
      <c r="AO1129">
        <v>0</v>
      </c>
      <c r="AP1129" t="s">
        <v>111</v>
      </c>
      <c r="AQ1129" t="s">
        <v>111</v>
      </c>
      <c r="AR1129" t="s">
        <v>111</v>
      </c>
      <c r="AS1129" t="s">
        <v>111</v>
      </c>
      <c r="AT1129" t="s">
        <v>111</v>
      </c>
      <c r="AU1129" t="s">
        <v>111</v>
      </c>
      <c r="AV1129" t="s">
        <v>111</v>
      </c>
      <c r="AW1129" t="s">
        <v>111</v>
      </c>
      <c r="AX1129" t="s">
        <v>111</v>
      </c>
      <c r="AY1129" t="s">
        <v>111</v>
      </c>
      <c r="AZ1129" t="s">
        <v>111</v>
      </c>
      <c r="BA1129" t="s">
        <v>111</v>
      </c>
      <c r="BB1129" t="s">
        <v>111</v>
      </c>
      <c r="BC1129" t="s">
        <v>111</v>
      </c>
      <c r="BD1129" t="s">
        <v>111</v>
      </c>
      <c r="BE1129" t="s">
        <v>111</v>
      </c>
      <c r="BF1129" t="s">
        <v>111</v>
      </c>
      <c r="BG1129" t="s">
        <v>111</v>
      </c>
      <c r="BH1129" t="s">
        <v>111</v>
      </c>
      <c r="BI1129" t="s">
        <v>111</v>
      </c>
      <c r="BJ1129" t="s">
        <v>111</v>
      </c>
      <c r="BK1129" t="s">
        <v>111</v>
      </c>
      <c r="BL1129" t="s">
        <v>111</v>
      </c>
      <c r="BM1129" t="s">
        <v>111</v>
      </c>
      <c r="BN1129" t="s">
        <v>111</v>
      </c>
      <c r="BO1129" t="s">
        <v>111</v>
      </c>
      <c r="BP1129" t="s">
        <v>111</v>
      </c>
      <c r="BQ1129" t="s">
        <v>111</v>
      </c>
      <c r="BR1129" t="s">
        <v>111</v>
      </c>
      <c r="BS1129" t="s">
        <v>111</v>
      </c>
      <c r="BT1129" t="s">
        <v>111</v>
      </c>
      <c r="BU1129" t="s">
        <v>111</v>
      </c>
      <c r="BV1129" t="s">
        <v>111</v>
      </c>
      <c r="BW1129" t="s">
        <v>111</v>
      </c>
      <c r="BX1129" t="s">
        <v>111</v>
      </c>
      <c r="BY1129" t="s">
        <v>111</v>
      </c>
      <c r="BZ1129" t="s">
        <v>111</v>
      </c>
      <c r="CA1129" t="s">
        <v>111</v>
      </c>
      <c r="CB1129" t="s">
        <v>111</v>
      </c>
      <c r="CC1129" t="s">
        <v>111</v>
      </c>
      <c r="CD1129" t="s">
        <v>111</v>
      </c>
      <c r="CE1129" t="s">
        <v>111</v>
      </c>
      <c r="CF1129" t="s">
        <v>111</v>
      </c>
      <c r="CG1129" t="s">
        <v>111</v>
      </c>
      <c r="CH1129" t="s">
        <v>111</v>
      </c>
      <c r="CI1129" t="s">
        <v>111</v>
      </c>
      <c r="CJ1129" t="s">
        <v>111</v>
      </c>
      <c r="CK1129" t="s">
        <v>111</v>
      </c>
      <c r="CL1129" t="s">
        <v>111</v>
      </c>
      <c r="CM1129" t="s">
        <v>198</v>
      </c>
      <c r="CN1129" t="s">
        <v>113</v>
      </c>
      <c r="CO1129" t="s">
        <v>111</v>
      </c>
      <c r="CP1129" t="s">
        <v>111</v>
      </c>
      <c r="CQ1129">
        <v>0</v>
      </c>
      <c r="CR1129">
        <v>0</v>
      </c>
      <c r="CS1129">
        <v>0</v>
      </c>
      <c r="CT1129" t="s">
        <v>168</v>
      </c>
      <c r="CU1129">
        <v>0</v>
      </c>
      <c r="CV1129" t="s">
        <v>111</v>
      </c>
      <c r="CW1129" t="s">
        <v>111</v>
      </c>
      <c r="CX1129" t="s">
        <v>111</v>
      </c>
      <c r="CY1129">
        <v>0</v>
      </c>
      <c r="CZ1129" t="s">
        <v>111</v>
      </c>
      <c r="DA1129" t="s">
        <v>111</v>
      </c>
      <c r="DB1129" t="s">
        <v>111</v>
      </c>
      <c r="DC1129" t="s">
        <v>111</v>
      </c>
    </row>
    <row r="1130" spans="1:107">
      <c r="A1130">
        <v>1429</v>
      </c>
      <c r="B1130" t="s">
        <v>107</v>
      </c>
      <c r="C1130" t="s">
        <v>174</v>
      </c>
      <c r="D1130" t="s">
        <v>3258</v>
      </c>
      <c r="E1130" t="s">
        <v>3437</v>
      </c>
      <c r="F1130" t="s">
        <v>431</v>
      </c>
      <c r="G1130" t="s">
        <v>416</v>
      </c>
      <c r="H1130">
        <v>3</v>
      </c>
      <c r="I1130">
        <v>15</v>
      </c>
      <c r="J1130">
        <v>5</v>
      </c>
      <c r="K1130">
        <v>5</v>
      </c>
      <c r="L1130" t="s">
        <v>112</v>
      </c>
      <c r="M1130" t="s">
        <v>118</v>
      </c>
      <c r="N1130">
        <v>40</v>
      </c>
      <c r="O1130">
        <v>2</v>
      </c>
      <c r="P1130" t="s">
        <v>111</v>
      </c>
      <c r="Q1130">
        <v>20</v>
      </c>
      <c r="R1130">
        <v>0</v>
      </c>
      <c r="S1130">
        <v>0</v>
      </c>
      <c r="T1130">
        <v>5</v>
      </c>
      <c r="U1130" s="1" t="s">
        <v>587</v>
      </c>
      <c r="V1130">
        <v>0</v>
      </c>
      <c r="W1130">
        <v>25</v>
      </c>
      <c r="X1130">
        <v>8</v>
      </c>
      <c r="Y1130">
        <v>0</v>
      </c>
      <c r="Z1130" t="s">
        <v>111</v>
      </c>
      <c r="AA1130">
        <v>0</v>
      </c>
      <c r="AB1130" t="s">
        <v>111</v>
      </c>
      <c r="AC1130">
        <v>0</v>
      </c>
      <c r="AD1130" t="s">
        <v>416</v>
      </c>
      <c r="AE1130">
        <v>0</v>
      </c>
      <c r="AF1130">
        <v>0</v>
      </c>
      <c r="AG1130" t="s">
        <v>111</v>
      </c>
      <c r="AH1130" t="s">
        <v>128</v>
      </c>
      <c r="AI1130" t="s">
        <v>111</v>
      </c>
      <c r="AJ1130" t="s">
        <v>111</v>
      </c>
      <c r="AK1130" t="s">
        <v>111</v>
      </c>
      <c r="AL1130" t="s">
        <v>111</v>
      </c>
      <c r="AM1130">
        <v>0</v>
      </c>
      <c r="AN1130">
        <v>0</v>
      </c>
      <c r="AO1130">
        <v>0</v>
      </c>
      <c r="AP1130" t="s">
        <v>111</v>
      </c>
      <c r="AQ1130" t="s">
        <v>111</v>
      </c>
      <c r="AR1130" t="s">
        <v>111</v>
      </c>
      <c r="AS1130" t="s">
        <v>111</v>
      </c>
      <c r="AT1130" t="s">
        <v>111</v>
      </c>
      <c r="AU1130" t="s">
        <v>111</v>
      </c>
      <c r="AV1130" t="s">
        <v>111</v>
      </c>
      <c r="AW1130" t="s">
        <v>111</v>
      </c>
      <c r="AX1130" t="s">
        <v>111</v>
      </c>
      <c r="AY1130" t="s">
        <v>111</v>
      </c>
      <c r="AZ1130" t="s">
        <v>111</v>
      </c>
      <c r="BA1130" t="s">
        <v>111</v>
      </c>
      <c r="BB1130" t="s">
        <v>111</v>
      </c>
      <c r="BC1130" t="s">
        <v>111</v>
      </c>
      <c r="BD1130" t="s">
        <v>111</v>
      </c>
      <c r="BE1130" t="s">
        <v>111</v>
      </c>
      <c r="BF1130" t="s">
        <v>111</v>
      </c>
      <c r="BG1130" t="s">
        <v>111</v>
      </c>
      <c r="BH1130" t="s">
        <v>111</v>
      </c>
      <c r="BI1130" t="s">
        <v>111</v>
      </c>
      <c r="BJ1130" t="s">
        <v>111</v>
      </c>
      <c r="BK1130" t="s">
        <v>111</v>
      </c>
      <c r="BL1130" t="s">
        <v>111</v>
      </c>
      <c r="BM1130" t="s">
        <v>111</v>
      </c>
      <c r="BN1130" t="s">
        <v>111</v>
      </c>
      <c r="BO1130" t="s">
        <v>111</v>
      </c>
      <c r="BP1130" t="s">
        <v>111</v>
      </c>
      <c r="BQ1130" t="s">
        <v>111</v>
      </c>
      <c r="BR1130" t="s">
        <v>111</v>
      </c>
      <c r="BS1130" t="s">
        <v>111</v>
      </c>
      <c r="BT1130" t="s">
        <v>111</v>
      </c>
      <c r="BU1130" t="s">
        <v>111</v>
      </c>
      <c r="BV1130" t="s">
        <v>111</v>
      </c>
      <c r="BW1130" t="s">
        <v>111</v>
      </c>
      <c r="BX1130" t="s">
        <v>111</v>
      </c>
      <c r="BY1130" t="s">
        <v>111</v>
      </c>
      <c r="BZ1130" t="s">
        <v>111</v>
      </c>
      <c r="CA1130" t="s">
        <v>111</v>
      </c>
      <c r="CB1130" t="s">
        <v>111</v>
      </c>
      <c r="CC1130" t="s">
        <v>111</v>
      </c>
      <c r="CD1130" t="s">
        <v>111</v>
      </c>
      <c r="CE1130" t="s">
        <v>111</v>
      </c>
      <c r="CF1130" t="s">
        <v>111</v>
      </c>
      <c r="CG1130" t="s">
        <v>111</v>
      </c>
      <c r="CH1130" t="s">
        <v>111</v>
      </c>
      <c r="CI1130" t="s">
        <v>111</v>
      </c>
      <c r="CJ1130" t="s">
        <v>111</v>
      </c>
      <c r="CK1130" t="s">
        <v>111</v>
      </c>
      <c r="CL1130" t="s">
        <v>111</v>
      </c>
      <c r="CM1130" t="s">
        <v>135</v>
      </c>
      <c r="CN1130" t="s">
        <v>128</v>
      </c>
      <c r="CO1130" t="s">
        <v>111</v>
      </c>
      <c r="CP1130" t="s">
        <v>111</v>
      </c>
      <c r="CQ1130">
        <v>0</v>
      </c>
      <c r="CR1130">
        <v>1000</v>
      </c>
      <c r="CS1130">
        <v>50</v>
      </c>
      <c r="CT1130" t="e">
        <f>-ALMAACEN</f>
        <v>#NAME?</v>
      </c>
      <c r="CU1130">
        <v>0</v>
      </c>
      <c r="CV1130" t="s">
        <v>111</v>
      </c>
      <c r="CW1130" t="s">
        <v>111</v>
      </c>
      <c r="CX1130" t="s">
        <v>111</v>
      </c>
      <c r="CY1130">
        <v>0</v>
      </c>
      <c r="CZ1130" t="s">
        <v>111</v>
      </c>
      <c r="DA1130" t="s">
        <v>111</v>
      </c>
      <c r="DB1130" t="e">
        <f>-EXTERNO</f>
        <v>#NAME?</v>
      </c>
      <c r="DC1130" t="e">
        <f>-ENFUELLAR</f>
        <v>#NAME?</v>
      </c>
    </row>
    <row r="1131" spans="1:107">
      <c r="A1131">
        <v>1430</v>
      </c>
      <c r="B1131" t="s">
        <v>107</v>
      </c>
      <c r="C1131" t="s">
        <v>793</v>
      </c>
      <c r="D1131" t="s">
        <v>3438</v>
      </c>
      <c r="E1131" t="s">
        <v>3439</v>
      </c>
      <c r="F1131" t="s">
        <v>2945</v>
      </c>
      <c r="G1131" t="s">
        <v>416</v>
      </c>
      <c r="H1131">
        <v>1.8</v>
      </c>
      <c r="I1131">
        <v>66</v>
      </c>
      <c r="J1131">
        <v>0</v>
      </c>
      <c r="K1131">
        <v>0</v>
      </c>
      <c r="L1131" t="s">
        <v>112</v>
      </c>
      <c r="M1131" t="s">
        <v>118</v>
      </c>
      <c r="N1131">
        <v>0</v>
      </c>
      <c r="O1131">
        <v>1</v>
      </c>
      <c r="P1131" t="s">
        <v>111</v>
      </c>
      <c r="Q1131">
        <v>20</v>
      </c>
      <c r="R1131">
        <v>0</v>
      </c>
      <c r="S1131">
        <v>0</v>
      </c>
      <c r="T1131">
        <v>0</v>
      </c>
      <c r="U1131" t="e">
        <f>-SELLADO</f>
        <v>#NAME?</v>
      </c>
      <c r="V1131">
        <v>0</v>
      </c>
      <c r="W1131">
        <v>0</v>
      </c>
      <c r="X1131">
        <v>10</v>
      </c>
      <c r="Y1131">
        <v>0</v>
      </c>
      <c r="Z1131" t="s">
        <v>111</v>
      </c>
      <c r="AA1131">
        <v>0</v>
      </c>
      <c r="AB1131" t="s">
        <v>111</v>
      </c>
      <c r="AC1131">
        <v>0</v>
      </c>
      <c r="AD1131" t="s">
        <v>111</v>
      </c>
      <c r="AE1131">
        <v>0</v>
      </c>
      <c r="AF1131">
        <v>0</v>
      </c>
      <c r="AG1131" t="s">
        <v>111</v>
      </c>
      <c r="AH1131" t="s">
        <v>111</v>
      </c>
      <c r="AI1131" t="s">
        <v>111</v>
      </c>
      <c r="AJ1131" t="s">
        <v>111</v>
      </c>
      <c r="AK1131" t="s">
        <v>111</v>
      </c>
      <c r="AL1131" t="s">
        <v>111</v>
      </c>
      <c r="AM1131">
        <v>0</v>
      </c>
      <c r="AN1131">
        <v>0</v>
      </c>
      <c r="AO1131">
        <v>0</v>
      </c>
      <c r="AP1131" t="s">
        <v>111</v>
      </c>
      <c r="AQ1131" t="s">
        <v>111</v>
      </c>
      <c r="AR1131" t="s">
        <v>111</v>
      </c>
      <c r="AS1131" t="s">
        <v>111</v>
      </c>
      <c r="AT1131" t="s">
        <v>111</v>
      </c>
      <c r="AU1131" t="s">
        <v>111</v>
      </c>
      <c r="AV1131" t="s">
        <v>111</v>
      </c>
      <c r="AW1131" t="s">
        <v>111</v>
      </c>
      <c r="AX1131" t="s">
        <v>111</v>
      </c>
      <c r="AY1131" t="s">
        <v>111</v>
      </c>
      <c r="AZ1131" t="s">
        <v>111</v>
      </c>
      <c r="BA1131" t="s">
        <v>111</v>
      </c>
      <c r="BB1131" t="s">
        <v>111</v>
      </c>
      <c r="BC1131" t="s">
        <v>111</v>
      </c>
      <c r="BD1131" t="s">
        <v>111</v>
      </c>
      <c r="BE1131" t="s">
        <v>111</v>
      </c>
      <c r="BF1131" t="s">
        <v>111</v>
      </c>
      <c r="BG1131" t="s">
        <v>111</v>
      </c>
      <c r="BH1131" t="s">
        <v>111</v>
      </c>
      <c r="BI1131" t="s">
        <v>111</v>
      </c>
      <c r="BJ1131" t="s">
        <v>111</v>
      </c>
      <c r="BK1131" t="s">
        <v>111</v>
      </c>
      <c r="BL1131" t="s">
        <v>111</v>
      </c>
      <c r="BM1131" t="s">
        <v>111</v>
      </c>
      <c r="BN1131" t="s">
        <v>111</v>
      </c>
      <c r="BO1131" t="s">
        <v>111</v>
      </c>
      <c r="BP1131" t="s">
        <v>111</v>
      </c>
      <c r="BQ1131" t="s">
        <v>111</v>
      </c>
      <c r="BR1131" t="s">
        <v>111</v>
      </c>
      <c r="BS1131" t="s">
        <v>111</v>
      </c>
      <c r="BT1131" t="s">
        <v>111</v>
      </c>
      <c r="BU1131" t="s">
        <v>111</v>
      </c>
      <c r="BV1131" t="s">
        <v>111</v>
      </c>
      <c r="BW1131" t="s">
        <v>111</v>
      </c>
      <c r="BX1131" t="s">
        <v>111</v>
      </c>
      <c r="BY1131" t="s">
        <v>111</v>
      </c>
      <c r="BZ1131" t="s">
        <v>111</v>
      </c>
      <c r="CA1131" t="s">
        <v>111</v>
      </c>
      <c r="CB1131" t="s">
        <v>111</v>
      </c>
      <c r="CC1131" t="s">
        <v>111</v>
      </c>
      <c r="CD1131" t="s">
        <v>111</v>
      </c>
      <c r="CE1131" t="s">
        <v>111</v>
      </c>
      <c r="CF1131" t="s">
        <v>111</v>
      </c>
      <c r="CG1131" t="s">
        <v>111</v>
      </c>
      <c r="CH1131" t="s">
        <v>111</v>
      </c>
      <c r="CI1131" t="s">
        <v>111</v>
      </c>
      <c r="CJ1131" t="s">
        <v>111</v>
      </c>
      <c r="CK1131" t="s">
        <v>111</v>
      </c>
      <c r="CL1131" t="s">
        <v>111</v>
      </c>
      <c r="CM1131" t="s">
        <v>135</v>
      </c>
      <c r="CN1131" t="s">
        <v>128</v>
      </c>
      <c r="CO1131" t="s">
        <v>111</v>
      </c>
      <c r="CP1131" t="s">
        <v>111</v>
      </c>
      <c r="CQ1131">
        <v>0</v>
      </c>
      <c r="CR1131">
        <v>600</v>
      </c>
      <c r="CS1131">
        <v>50</v>
      </c>
      <c r="CT1131" t="e">
        <f>-ALMACEN</f>
        <v>#NAME?</v>
      </c>
      <c r="CU1131">
        <v>0</v>
      </c>
      <c r="CV1131" t="s">
        <v>111</v>
      </c>
      <c r="CW1131" t="s">
        <v>111</v>
      </c>
      <c r="CX1131" t="s">
        <v>111</v>
      </c>
      <c r="CY1131">
        <v>0</v>
      </c>
      <c r="CZ1131" t="s">
        <v>111</v>
      </c>
      <c r="DA1131" t="s">
        <v>111</v>
      </c>
      <c r="DB1131" t="s">
        <v>111</v>
      </c>
      <c r="DC1131" t="s">
        <v>111</v>
      </c>
    </row>
    <row r="1132" spans="1:107">
      <c r="A1132">
        <v>248</v>
      </c>
      <c r="B1132" t="s">
        <v>162</v>
      </c>
      <c r="C1132" t="s">
        <v>144</v>
      </c>
      <c r="D1132" t="s">
        <v>3440</v>
      </c>
      <c r="E1132" t="s">
        <v>3441</v>
      </c>
      <c r="F1132" t="s">
        <v>125</v>
      </c>
      <c r="G1132" t="s">
        <v>416</v>
      </c>
      <c r="H1132">
        <v>1.2</v>
      </c>
      <c r="I1132">
        <v>100</v>
      </c>
      <c r="J1132">
        <v>0</v>
      </c>
      <c r="K1132">
        <v>0</v>
      </c>
      <c r="L1132" t="s">
        <v>112</v>
      </c>
      <c r="M1132" t="s">
        <v>138</v>
      </c>
      <c r="N1132">
        <v>0</v>
      </c>
      <c r="O1132">
        <v>0</v>
      </c>
      <c r="P1132" t="s">
        <v>138</v>
      </c>
      <c r="Q1132">
        <v>35</v>
      </c>
      <c r="R1132">
        <v>0</v>
      </c>
      <c r="S1132">
        <v>0</v>
      </c>
      <c r="T1132">
        <v>0</v>
      </c>
      <c r="U1132" s="1" t="s">
        <v>3442</v>
      </c>
      <c r="V1132">
        <v>25</v>
      </c>
      <c r="W1132">
        <v>0</v>
      </c>
      <c r="X1132">
        <v>8</v>
      </c>
      <c r="Y1132">
        <v>0</v>
      </c>
      <c r="Z1132" t="s">
        <v>188</v>
      </c>
      <c r="AA1132">
        <v>1.32</v>
      </c>
      <c r="AB1132" t="s">
        <v>111</v>
      </c>
      <c r="AC1132">
        <v>0</v>
      </c>
      <c r="AD1132" t="s">
        <v>111</v>
      </c>
      <c r="AE1132">
        <v>0</v>
      </c>
      <c r="AF1132">
        <v>0</v>
      </c>
      <c r="AG1132" t="s">
        <v>111</v>
      </c>
      <c r="AH1132" t="s">
        <v>111</v>
      </c>
      <c r="AI1132" t="s">
        <v>111</v>
      </c>
      <c r="AJ1132" t="s">
        <v>111</v>
      </c>
      <c r="AK1132" t="s">
        <v>111</v>
      </c>
      <c r="AL1132" t="s">
        <v>111</v>
      </c>
      <c r="AM1132">
        <v>0</v>
      </c>
      <c r="AN1132">
        <v>0</v>
      </c>
      <c r="AO1132">
        <v>0</v>
      </c>
      <c r="AP1132" t="s">
        <v>111</v>
      </c>
      <c r="AQ1132" t="s">
        <v>111</v>
      </c>
      <c r="AR1132" t="s">
        <v>111</v>
      </c>
      <c r="AS1132" t="s">
        <v>111</v>
      </c>
      <c r="AT1132" t="s">
        <v>111</v>
      </c>
      <c r="AU1132" t="s">
        <v>111</v>
      </c>
      <c r="AV1132" t="s">
        <v>111</v>
      </c>
      <c r="AW1132" t="s">
        <v>111</v>
      </c>
      <c r="AX1132" t="s">
        <v>111</v>
      </c>
      <c r="AY1132" t="s">
        <v>111</v>
      </c>
      <c r="AZ1132" t="s">
        <v>111</v>
      </c>
      <c r="BA1132" t="s">
        <v>111</v>
      </c>
      <c r="BB1132" t="s">
        <v>111</v>
      </c>
      <c r="BC1132" t="s">
        <v>111</v>
      </c>
      <c r="BD1132" t="s">
        <v>111</v>
      </c>
      <c r="BE1132" t="s">
        <v>111</v>
      </c>
      <c r="BF1132" t="s">
        <v>111</v>
      </c>
      <c r="BG1132" t="s">
        <v>111</v>
      </c>
      <c r="BH1132" t="s">
        <v>111</v>
      </c>
      <c r="BI1132" t="s">
        <v>111</v>
      </c>
      <c r="BJ1132" t="s">
        <v>111</v>
      </c>
      <c r="BK1132" t="s">
        <v>111</v>
      </c>
      <c r="BL1132" t="s">
        <v>111</v>
      </c>
      <c r="BM1132" t="s">
        <v>111</v>
      </c>
      <c r="BN1132" t="s">
        <v>111</v>
      </c>
      <c r="BO1132" t="s">
        <v>111</v>
      </c>
      <c r="BP1132" t="s">
        <v>111</v>
      </c>
      <c r="BQ1132" t="s">
        <v>111</v>
      </c>
      <c r="BR1132" t="s">
        <v>111</v>
      </c>
      <c r="BS1132" t="s">
        <v>111</v>
      </c>
      <c r="BT1132" t="s">
        <v>111</v>
      </c>
      <c r="BU1132" t="s">
        <v>111</v>
      </c>
      <c r="BV1132" t="s">
        <v>111</v>
      </c>
      <c r="BW1132" t="s">
        <v>111</v>
      </c>
      <c r="BX1132" t="s">
        <v>111</v>
      </c>
      <c r="BY1132" t="s">
        <v>111</v>
      </c>
      <c r="BZ1132" t="s">
        <v>111</v>
      </c>
      <c r="CA1132" t="s">
        <v>111</v>
      </c>
      <c r="CB1132" t="s">
        <v>111</v>
      </c>
      <c r="CC1132" t="s">
        <v>111</v>
      </c>
      <c r="CD1132" t="s">
        <v>111</v>
      </c>
      <c r="CE1132" t="s">
        <v>111</v>
      </c>
      <c r="CF1132" t="s">
        <v>111</v>
      </c>
      <c r="CG1132" t="s">
        <v>111</v>
      </c>
      <c r="CH1132" t="s">
        <v>111</v>
      </c>
      <c r="CI1132" t="s">
        <v>111</v>
      </c>
      <c r="CJ1132" t="s">
        <v>111</v>
      </c>
      <c r="CK1132" t="s">
        <v>111</v>
      </c>
      <c r="CL1132" t="s">
        <v>111</v>
      </c>
      <c r="CM1132" t="s">
        <v>111</v>
      </c>
      <c r="CN1132" t="s">
        <v>111</v>
      </c>
      <c r="CO1132" t="s">
        <v>111</v>
      </c>
      <c r="CP1132" t="s">
        <v>111</v>
      </c>
      <c r="CQ1132">
        <v>0</v>
      </c>
      <c r="CR1132">
        <v>0</v>
      </c>
      <c r="CS1132">
        <v>0</v>
      </c>
      <c r="CT1132" t="s">
        <v>111</v>
      </c>
      <c r="CU1132">
        <v>0</v>
      </c>
      <c r="CV1132" t="s">
        <v>111</v>
      </c>
      <c r="CW1132" t="s">
        <v>111</v>
      </c>
      <c r="CX1132" t="s">
        <v>111</v>
      </c>
      <c r="CY1132">
        <v>0</v>
      </c>
      <c r="CZ1132" t="s">
        <v>111</v>
      </c>
      <c r="DA1132" t="s">
        <v>111</v>
      </c>
      <c r="DB1132" t="s">
        <v>204</v>
      </c>
      <c r="DC1132" s="1" t="s">
        <v>205</v>
      </c>
    </row>
    <row r="1133" spans="1:107">
      <c r="A1133">
        <v>1435</v>
      </c>
      <c r="B1133" t="s">
        <v>107</v>
      </c>
      <c r="C1133" t="s">
        <v>114</v>
      </c>
      <c r="D1133" t="s">
        <v>489</v>
      </c>
      <c r="E1133" t="s">
        <v>3443</v>
      </c>
      <c r="F1133" t="s">
        <v>431</v>
      </c>
      <c r="G1133" t="s">
        <v>416</v>
      </c>
      <c r="H1133">
        <v>3</v>
      </c>
      <c r="I1133">
        <v>16</v>
      </c>
      <c r="J1133">
        <v>0</v>
      </c>
      <c r="K1133">
        <v>0</v>
      </c>
      <c r="L1133" t="s">
        <v>112</v>
      </c>
      <c r="M1133" t="s">
        <v>118</v>
      </c>
      <c r="N1133">
        <v>40</v>
      </c>
      <c r="O1133">
        <v>2</v>
      </c>
      <c r="P1133" t="s">
        <v>111</v>
      </c>
      <c r="Q1133">
        <v>20</v>
      </c>
      <c r="R1133">
        <v>0</v>
      </c>
      <c r="S1133">
        <v>0</v>
      </c>
      <c r="T1133">
        <v>5</v>
      </c>
      <c r="U1133" t="e">
        <f>-IMORESION DARMA</f>
        <v>#NAME?</v>
      </c>
      <c r="V1133">
        <v>0</v>
      </c>
      <c r="W1133">
        <v>0</v>
      </c>
      <c r="X1133">
        <v>10</v>
      </c>
      <c r="Y1133">
        <v>0</v>
      </c>
      <c r="Z1133" t="s">
        <v>111</v>
      </c>
      <c r="AA1133">
        <v>0</v>
      </c>
      <c r="AB1133" t="s">
        <v>111</v>
      </c>
      <c r="AC1133">
        <v>0</v>
      </c>
      <c r="AD1133" t="s">
        <v>416</v>
      </c>
      <c r="AE1133">
        <v>0</v>
      </c>
      <c r="AF1133">
        <v>0</v>
      </c>
      <c r="AG1133" t="s">
        <v>111</v>
      </c>
      <c r="AH1133" t="s">
        <v>128</v>
      </c>
      <c r="AI1133" t="s">
        <v>111</v>
      </c>
      <c r="AJ1133" t="s">
        <v>111</v>
      </c>
      <c r="AK1133" t="s">
        <v>111</v>
      </c>
      <c r="AL1133" t="s">
        <v>111</v>
      </c>
      <c r="AM1133">
        <v>0</v>
      </c>
      <c r="AN1133">
        <v>0</v>
      </c>
      <c r="AO1133">
        <v>0</v>
      </c>
      <c r="AP1133" t="s">
        <v>111</v>
      </c>
      <c r="AQ1133" t="s">
        <v>111</v>
      </c>
      <c r="AR1133" t="s">
        <v>111</v>
      </c>
      <c r="AS1133" t="s">
        <v>111</v>
      </c>
      <c r="AT1133" t="s">
        <v>111</v>
      </c>
      <c r="AU1133" t="s">
        <v>111</v>
      </c>
      <c r="AV1133" t="s">
        <v>111</v>
      </c>
      <c r="AW1133" t="s">
        <v>111</v>
      </c>
      <c r="AX1133" t="s">
        <v>111</v>
      </c>
      <c r="AY1133" t="s">
        <v>111</v>
      </c>
      <c r="AZ1133" t="s">
        <v>111</v>
      </c>
      <c r="BA1133" t="s">
        <v>111</v>
      </c>
      <c r="BB1133" t="s">
        <v>111</v>
      </c>
      <c r="BC1133" t="s">
        <v>111</v>
      </c>
      <c r="BD1133" t="s">
        <v>111</v>
      </c>
      <c r="BE1133" t="s">
        <v>111</v>
      </c>
      <c r="BF1133" t="s">
        <v>111</v>
      </c>
      <c r="BG1133" t="s">
        <v>111</v>
      </c>
      <c r="BH1133" t="s">
        <v>111</v>
      </c>
      <c r="BI1133" t="s">
        <v>111</v>
      </c>
      <c r="BJ1133" t="s">
        <v>111</v>
      </c>
      <c r="BK1133" t="s">
        <v>111</v>
      </c>
      <c r="BL1133" t="s">
        <v>111</v>
      </c>
      <c r="BM1133" t="s">
        <v>111</v>
      </c>
      <c r="BN1133" t="s">
        <v>111</v>
      </c>
      <c r="BO1133" t="s">
        <v>111</v>
      </c>
      <c r="BP1133" t="s">
        <v>111</v>
      </c>
      <c r="BQ1133" t="s">
        <v>111</v>
      </c>
      <c r="BR1133" t="s">
        <v>111</v>
      </c>
      <c r="BS1133" t="s">
        <v>111</v>
      </c>
      <c r="BT1133" t="s">
        <v>111</v>
      </c>
      <c r="BU1133" t="s">
        <v>111</v>
      </c>
      <c r="BV1133" t="s">
        <v>111</v>
      </c>
      <c r="BW1133" t="s">
        <v>111</v>
      </c>
      <c r="BX1133" t="s">
        <v>111</v>
      </c>
      <c r="BY1133" t="s">
        <v>111</v>
      </c>
      <c r="BZ1133" t="s">
        <v>111</v>
      </c>
      <c r="CA1133" t="s">
        <v>111</v>
      </c>
      <c r="CB1133" t="s">
        <v>111</v>
      </c>
      <c r="CC1133" t="s">
        <v>111</v>
      </c>
      <c r="CD1133" t="s">
        <v>111</v>
      </c>
      <c r="CE1133" t="s">
        <v>111</v>
      </c>
      <c r="CF1133" t="s">
        <v>111</v>
      </c>
      <c r="CG1133" t="s">
        <v>111</v>
      </c>
      <c r="CH1133" t="s">
        <v>111</v>
      </c>
      <c r="CI1133" t="s">
        <v>111</v>
      </c>
      <c r="CJ1133" t="s">
        <v>111</v>
      </c>
      <c r="CK1133" t="s">
        <v>111</v>
      </c>
      <c r="CL1133" t="s">
        <v>111</v>
      </c>
      <c r="CM1133" t="s">
        <v>135</v>
      </c>
      <c r="CN1133" t="s">
        <v>128</v>
      </c>
      <c r="CO1133" t="s">
        <v>111</v>
      </c>
      <c r="CP1133" t="s">
        <v>111</v>
      </c>
      <c r="CQ1133">
        <v>0</v>
      </c>
      <c r="CR1133">
        <v>3000</v>
      </c>
      <c r="CS1133">
        <v>100</v>
      </c>
      <c r="CT1133" t="e">
        <f>-ALMACEN</f>
        <v>#NAME?</v>
      </c>
      <c r="CU1133">
        <v>0</v>
      </c>
      <c r="CV1133" t="s">
        <v>111</v>
      </c>
      <c r="CW1133" t="s">
        <v>111</v>
      </c>
      <c r="CX1133" t="s">
        <v>111</v>
      </c>
      <c r="CY1133">
        <v>0</v>
      </c>
      <c r="CZ1133" t="s">
        <v>111</v>
      </c>
      <c r="DA1133" t="s">
        <v>111</v>
      </c>
      <c r="DB1133" t="s">
        <v>111</v>
      </c>
      <c r="DC1133" t="s">
        <v>111</v>
      </c>
    </row>
    <row r="1134" spans="1:107">
      <c r="A1134">
        <v>23</v>
      </c>
      <c r="B1134" t="s">
        <v>162</v>
      </c>
      <c r="C1134" s="2">
        <v>15380169</v>
      </c>
      <c r="D1134" t="s">
        <v>3201</v>
      </c>
      <c r="E1134" t="s">
        <v>3202</v>
      </c>
      <c r="F1134" t="s">
        <v>431</v>
      </c>
      <c r="G1134" t="s">
        <v>416</v>
      </c>
      <c r="H1134">
        <v>3.4</v>
      </c>
      <c r="I1134">
        <v>54</v>
      </c>
      <c r="J1134">
        <v>0</v>
      </c>
      <c r="K1134">
        <v>0</v>
      </c>
      <c r="L1134" t="s">
        <v>117</v>
      </c>
      <c r="M1134" t="s">
        <v>118</v>
      </c>
      <c r="N1134">
        <v>40</v>
      </c>
      <c r="O1134">
        <v>1</v>
      </c>
      <c r="P1134" t="s">
        <v>138</v>
      </c>
      <c r="Q1134">
        <v>40</v>
      </c>
      <c r="R1134">
        <v>0</v>
      </c>
      <c r="S1134">
        <v>0</v>
      </c>
      <c r="T1134">
        <v>0</v>
      </c>
      <c r="U1134" t="s">
        <v>1353</v>
      </c>
      <c r="V1134">
        <v>0</v>
      </c>
      <c r="W1134">
        <v>25</v>
      </c>
      <c r="X1134">
        <v>10</v>
      </c>
      <c r="Y1134">
        <v>0</v>
      </c>
      <c r="Z1134" t="s">
        <v>111</v>
      </c>
      <c r="AA1134">
        <v>0</v>
      </c>
      <c r="AB1134" t="s">
        <v>111</v>
      </c>
      <c r="AC1134">
        <v>0</v>
      </c>
      <c r="AD1134" t="s">
        <v>416</v>
      </c>
      <c r="AE1134">
        <v>4</v>
      </c>
      <c r="AF1134">
        <v>2</v>
      </c>
      <c r="AG1134">
        <v>20</v>
      </c>
      <c r="AH1134" t="s">
        <v>111</v>
      </c>
      <c r="AI1134">
        <v>40</v>
      </c>
      <c r="AJ1134" t="s">
        <v>111</v>
      </c>
      <c r="AK1134" t="s">
        <v>111</v>
      </c>
      <c r="AL1134" t="s">
        <v>111</v>
      </c>
      <c r="AM1134">
        <v>0</v>
      </c>
      <c r="AN1134">
        <v>0</v>
      </c>
      <c r="AO1134">
        <v>0</v>
      </c>
      <c r="AP1134" t="s">
        <v>188</v>
      </c>
      <c r="AQ1134" t="s">
        <v>111</v>
      </c>
      <c r="AR1134" t="s">
        <v>111</v>
      </c>
      <c r="AS1134" t="s">
        <v>111</v>
      </c>
      <c r="AT1134" t="s">
        <v>147</v>
      </c>
      <c r="AU1134" t="s">
        <v>111</v>
      </c>
      <c r="AV1134" t="s">
        <v>111</v>
      </c>
      <c r="AW1134" t="s">
        <v>111</v>
      </c>
      <c r="AX1134" t="s">
        <v>288</v>
      </c>
      <c r="AY1134" t="s">
        <v>111</v>
      </c>
      <c r="AZ1134" t="s">
        <v>111</v>
      </c>
      <c r="BA1134" t="s">
        <v>111</v>
      </c>
      <c r="BB1134" t="s">
        <v>271</v>
      </c>
      <c r="BC1134" t="s">
        <v>111</v>
      </c>
      <c r="BD1134" t="s">
        <v>111</v>
      </c>
      <c r="BE1134" t="s">
        <v>111</v>
      </c>
      <c r="BF1134" t="s">
        <v>111</v>
      </c>
      <c r="BG1134" t="s">
        <v>111</v>
      </c>
      <c r="BH1134" t="s">
        <v>111</v>
      </c>
      <c r="BI1134" t="s">
        <v>111</v>
      </c>
      <c r="BJ1134" t="s">
        <v>111</v>
      </c>
      <c r="BK1134" t="s">
        <v>111</v>
      </c>
      <c r="BL1134" t="s">
        <v>111</v>
      </c>
      <c r="BM1134" t="s">
        <v>111</v>
      </c>
      <c r="BN1134" t="s">
        <v>111</v>
      </c>
      <c r="BO1134" t="s">
        <v>111</v>
      </c>
      <c r="BP1134" t="s">
        <v>111</v>
      </c>
      <c r="BQ1134" t="s">
        <v>111</v>
      </c>
      <c r="BR1134" t="s">
        <v>111</v>
      </c>
      <c r="BS1134" t="s">
        <v>111</v>
      </c>
      <c r="BT1134" t="s">
        <v>111</v>
      </c>
      <c r="BU1134" t="s">
        <v>111</v>
      </c>
      <c r="BV1134" t="s">
        <v>111</v>
      </c>
      <c r="BW1134" t="s">
        <v>111</v>
      </c>
      <c r="BX1134" t="s">
        <v>111</v>
      </c>
      <c r="BY1134" t="s">
        <v>111</v>
      </c>
      <c r="BZ1134" t="s">
        <v>111</v>
      </c>
      <c r="CA1134" t="s">
        <v>111</v>
      </c>
      <c r="CB1134" t="s">
        <v>111</v>
      </c>
      <c r="CC1134" t="s">
        <v>111</v>
      </c>
      <c r="CD1134" t="s">
        <v>111</v>
      </c>
      <c r="CE1134" t="s">
        <v>111</v>
      </c>
      <c r="CF1134" t="s">
        <v>111</v>
      </c>
      <c r="CG1134" t="s">
        <v>111</v>
      </c>
      <c r="CH1134" t="s">
        <v>111</v>
      </c>
      <c r="CI1134" t="s">
        <v>111</v>
      </c>
      <c r="CJ1134" t="s">
        <v>111</v>
      </c>
      <c r="CK1134" t="s">
        <v>111</v>
      </c>
      <c r="CL1134" t="s">
        <v>153</v>
      </c>
      <c r="CM1134" t="s">
        <v>198</v>
      </c>
      <c r="CN1134" t="s">
        <v>113</v>
      </c>
      <c r="CO1134" t="s">
        <v>111</v>
      </c>
      <c r="CP1134" t="s">
        <v>433</v>
      </c>
      <c r="CQ1134">
        <v>0</v>
      </c>
      <c r="CR1134">
        <v>0</v>
      </c>
      <c r="CS1134">
        <v>0</v>
      </c>
      <c r="CT1134" t="s">
        <v>168</v>
      </c>
      <c r="CU1134">
        <v>0</v>
      </c>
      <c r="CV1134" t="s">
        <v>111</v>
      </c>
      <c r="CW1134" t="s">
        <v>111</v>
      </c>
      <c r="CX1134" t="s">
        <v>111</v>
      </c>
      <c r="CY1134">
        <v>0</v>
      </c>
      <c r="CZ1134" t="s">
        <v>111</v>
      </c>
      <c r="DA1134" t="s">
        <v>111</v>
      </c>
      <c r="DB1134" t="s">
        <v>111</v>
      </c>
      <c r="DC1134" t="s">
        <v>111</v>
      </c>
    </row>
    <row r="1135" spans="1:107">
      <c r="A1135">
        <v>247</v>
      </c>
      <c r="B1135" t="s">
        <v>162</v>
      </c>
      <c r="C1135" t="s">
        <v>144</v>
      </c>
      <c r="D1135" t="s">
        <v>145</v>
      </c>
      <c r="E1135" t="s">
        <v>3444</v>
      </c>
      <c r="F1135" t="s">
        <v>125</v>
      </c>
      <c r="G1135" t="s">
        <v>416</v>
      </c>
      <c r="H1135">
        <v>0.8</v>
      </c>
      <c r="I1135">
        <v>65</v>
      </c>
      <c r="J1135">
        <v>0</v>
      </c>
      <c r="K1135">
        <v>0</v>
      </c>
      <c r="L1135" t="s">
        <v>112</v>
      </c>
      <c r="M1135" t="s">
        <v>138</v>
      </c>
      <c r="N1135">
        <v>0</v>
      </c>
      <c r="O1135">
        <v>0</v>
      </c>
      <c r="P1135" t="s">
        <v>138</v>
      </c>
      <c r="Q1135">
        <v>35</v>
      </c>
      <c r="R1135">
        <v>0</v>
      </c>
      <c r="S1135">
        <v>0</v>
      </c>
      <c r="T1135">
        <v>0</v>
      </c>
      <c r="U1135" s="1" t="s">
        <v>2957</v>
      </c>
      <c r="V1135">
        <v>25</v>
      </c>
      <c r="W1135">
        <v>0</v>
      </c>
      <c r="X1135">
        <v>8</v>
      </c>
      <c r="Y1135">
        <v>0</v>
      </c>
      <c r="Z1135" t="s">
        <v>3445</v>
      </c>
      <c r="AA1135">
        <v>1.32</v>
      </c>
      <c r="AB1135" t="s">
        <v>111</v>
      </c>
      <c r="AC1135">
        <v>0</v>
      </c>
      <c r="AD1135" t="s">
        <v>111</v>
      </c>
      <c r="AE1135">
        <v>0</v>
      </c>
      <c r="AF1135">
        <v>0</v>
      </c>
      <c r="AG1135" t="s">
        <v>111</v>
      </c>
      <c r="AH1135" t="s">
        <v>111</v>
      </c>
      <c r="AI1135" t="s">
        <v>111</v>
      </c>
      <c r="AJ1135" t="s">
        <v>111</v>
      </c>
      <c r="AK1135" t="s">
        <v>111</v>
      </c>
      <c r="AL1135" t="s">
        <v>111</v>
      </c>
      <c r="AM1135">
        <v>0</v>
      </c>
      <c r="AN1135">
        <v>0</v>
      </c>
      <c r="AO1135">
        <v>0</v>
      </c>
      <c r="AP1135" t="s">
        <v>111</v>
      </c>
      <c r="AQ1135" t="s">
        <v>111</v>
      </c>
      <c r="AR1135" t="s">
        <v>111</v>
      </c>
      <c r="AS1135" t="s">
        <v>111</v>
      </c>
      <c r="AT1135" t="s">
        <v>111</v>
      </c>
      <c r="AU1135" t="s">
        <v>111</v>
      </c>
      <c r="AV1135" t="s">
        <v>111</v>
      </c>
      <c r="AW1135" t="s">
        <v>111</v>
      </c>
      <c r="AX1135" t="s">
        <v>111</v>
      </c>
      <c r="AY1135" t="s">
        <v>111</v>
      </c>
      <c r="AZ1135" t="s">
        <v>111</v>
      </c>
      <c r="BA1135" t="s">
        <v>111</v>
      </c>
      <c r="BB1135" t="s">
        <v>111</v>
      </c>
      <c r="BC1135" t="s">
        <v>111</v>
      </c>
      <c r="BD1135" t="s">
        <v>111</v>
      </c>
      <c r="BE1135" t="s">
        <v>111</v>
      </c>
      <c r="BF1135" t="s">
        <v>111</v>
      </c>
      <c r="BG1135" t="s">
        <v>111</v>
      </c>
      <c r="BH1135" t="s">
        <v>111</v>
      </c>
      <c r="BI1135" t="s">
        <v>111</v>
      </c>
      <c r="BJ1135" t="s">
        <v>111</v>
      </c>
      <c r="BK1135" t="s">
        <v>111</v>
      </c>
      <c r="BL1135" t="s">
        <v>111</v>
      </c>
      <c r="BM1135" t="s">
        <v>111</v>
      </c>
      <c r="BN1135" t="s">
        <v>111</v>
      </c>
      <c r="BO1135" t="s">
        <v>111</v>
      </c>
      <c r="BP1135" t="s">
        <v>111</v>
      </c>
      <c r="BQ1135" t="s">
        <v>111</v>
      </c>
      <c r="BR1135" t="s">
        <v>111</v>
      </c>
      <c r="BS1135" t="s">
        <v>111</v>
      </c>
      <c r="BT1135" t="s">
        <v>111</v>
      </c>
      <c r="BU1135" t="s">
        <v>111</v>
      </c>
      <c r="BV1135" t="s">
        <v>111</v>
      </c>
      <c r="BW1135" t="s">
        <v>111</v>
      </c>
      <c r="BX1135" t="s">
        <v>111</v>
      </c>
      <c r="BY1135" t="s">
        <v>111</v>
      </c>
      <c r="BZ1135" t="s">
        <v>111</v>
      </c>
      <c r="CA1135" t="s">
        <v>111</v>
      </c>
      <c r="CB1135" t="s">
        <v>111</v>
      </c>
      <c r="CC1135" t="s">
        <v>111</v>
      </c>
      <c r="CD1135" t="s">
        <v>111</v>
      </c>
      <c r="CE1135" t="s">
        <v>111</v>
      </c>
      <c r="CF1135" t="s">
        <v>111</v>
      </c>
      <c r="CG1135" t="s">
        <v>111</v>
      </c>
      <c r="CH1135" t="s">
        <v>111</v>
      </c>
      <c r="CI1135" t="s">
        <v>111</v>
      </c>
      <c r="CJ1135" t="s">
        <v>111</v>
      </c>
      <c r="CK1135" t="s">
        <v>111</v>
      </c>
      <c r="CL1135" t="s">
        <v>111</v>
      </c>
      <c r="CM1135" t="s">
        <v>198</v>
      </c>
      <c r="CN1135" t="s">
        <v>128</v>
      </c>
      <c r="CO1135" t="s">
        <v>111</v>
      </c>
      <c r="CP1135" t="s">
        <v>111</v>
      </c>
      <c r="CQ1135">
        <v>0</v>
      </c>
      <c r="CR1135">
        <v>0</v>
      </c>
      <c r="CS1135">
        <v>0</v>
      </c>
      <c r="CT1135" t="s">
        <v>168</v>
      </c>
      <c r="CU1135">
        <v>0</v>
      </c>
      <c r="CV1135" t="s">
        <v>111</v>
      </c>
      <c r="CW1135" t="s">
        <v>111</v>
      </c>
      <c r="CX1135" t="s">
        <v>111</v>
      </c>
      <c r="CY1135">
        <v>0</v>
      </c>
      <c r="CZ1135" t="s">
        <v>111</v>
      </c>
      <c r="DA1135" t="s">
        <v>111</v>
      </c>
      <c r="DB1135" t="s">
        <v>111</v>
      </c>
      <c r="DC1135" t="s">
        <v>111</v>
      </c>
    </row>
    <row r="1136" spans="1:107">
      <c r="A1136">
        <v>246</v>
      </c>
      <c r="B1136" t="s">
        <v>162</v>
      </c>
      <c r="C1136" t="s">
        <v>144</v>
      </c>
      <c r="D1136" t="s">
        <v>145</v>
      </c>
      <c r="E1136" t="s">
        <v>3446</v>
      </c>
      <c r="F1136" t="s">
        <v>125</v>
      </c>
      <c r="G1136" t="s">
        <v>416</v>
      </c>
      <c r="H1136">
        <v>0.8</v>
      </c>
      <c r="I1136">
        <v>65</v>
      </c>
      <c r="J1136">
        <v>0</v>
      </c>
      <c r="K1136">
        <v>0</v>
      </c>
      <c r="L1136" t="s">
        <v>112</v>
      </c>
      <c r="M1136" t="s">
        <v>138</v>
      </c>
      <c r="N1136">
        <v>0</v>
      </c>
      <c r="O1136">
        <v>0</v>
      </c>
      <c r="P1136" t="s">
        <v>138</v>
      </c>
      <c r="Q1136">
        <v>35</v>
      </c>
      <c r="R1136">
        <v>0</v>
      </c>
      <c r="S1136">
        <v>0</v>
      </c>
      <c r="T1136">
        <v>0</v>
      </c>
      <c r="U1136" s="1" t="s">
        <v>2957</v>
      </c>
      <c r="V1136">
        <v>25</v>
      </c>
      <c r="W1136">
        <v>0</v>
      </c>
      <c r="X1136">
        <v>8</v>
      </c>
      <c r="Y1136">
        <v>0</v>
      </c>
      <c r="Z1136" t="s">
        <v>188</v>
      </c>
      <c r="AA1136">
        <v>1.32</v>
      </c>
      <c r="AB1136" t="s">
        <v>111</v>
      </c>
      <c r="AC1136">
        <v>0</v>
      </c>
      <c r="AD1136" t="s">
        <v>111</v>
      </c>
      <c r="AE1136">
        <v>0</v>
      </c>
      <c r="AF1136">
        <v>0</v>
      </c>
      <c r="AG1136" t="s">
        <v>111</v>
      </c>
      <c r="AH1136" t="s">
        <v>111</v>
      </c>
      <c r="AI1136" t="s">
        <v>111</v>
      </c>
      <c r="AJ1136" t="s">
        <v>111</v>
      </c>
      <c r="AK1136" t="s">
        <v>111</v>
      </c>
      <c r="AL1136" t="s">
        <v>111</v>
      </c>
      <c r="AM1136">
        <v>0</v>
      </c>
      <c r="AN1136">
        <v>0</v>
      </c>
      <c r="AO1136">
        <v>0</v>
      </c>
      <c r="AP1136" t="s">
        <v>111</v>
      </c>
      <c r="AQ1136" t="s">
        <v>111</v>
      </c>
      <c r="AR1136" t="s">
        <v>111</v>
      </c>
      <c r="AS1136" t="s">
        <v>111</v>
      </c>
      <c r="AT1136" t="s">
        <v>111</v>
      </c>
      <c r="AU1136" t="s">
        <v>111</v>
      </c>
      <c r="AV1136" t="s">
        <v>111</v>
      </c>
      <c r="AW1136" t="s">
        <v>111</v>
      </c>
      <c r="AX1136" t="s">
        <v>111</v>
      </c>
      <c r="AY1136" t="s">
        <v>111</v>
      </c>
      <c r="AZ1136" t="s">
        <v>111</v>
      </c>
      <c r="BA1136" t="s">
        <v>111</v>
      </c>
      <c r="BB1136" t="s">
        <v>111</v>
      </c>
      <c r="BC1136" t="s">
        <v>111</v>
      </c>
      <c r="BD1136" t="s">
        <v>111</v>
      </c>
      <c r="BE1136" t="s">
        <v>111</v>
      </c>
      <c r="BF1136" t="s">
        <v>111</v>
      </c>
      <c r="BG1136" t="s">
        <v>111</v>
      </c>
      <c r="BH1136" t="s">
        <v>111</v>
      </c>
      <c r="BI1136" t="s">
        <v>111</v>
      </c>
      <c r="BJ1136" t="s">
        <v>111</v>
      </c>
      <c r="BK1136" t="s">
        <v>111</v>
      </c>
      <c r="BL1136" t="s">
        <v>111</v>
      </c>
      <c r="BM1136" t="s">
        <v>111</v>
      </c>
      <c r="BN1136" t="s">
        <v>111</v>
      </c>
      <c r="BO1136" t="s">
        <v>111</v>
      </c>
      <c r="BP1136" t="s">
        <v>111</v>
      </c>
      <c r="BQ1136" t="s">
        <v>111</v>
      </c>
      <c r="BR1136" t="s">
        <v>111</v>
      </c>
      <c r="BS1136" t="s">
        <v>111</v>
      </c>
      <c r="BT1136" t="s">
        <v>111</v>
      </c>
      <c r="BU1136" t="s">
        <v>111</v>
      </c>
      <c r="BV1136" t="s">
        <v>111</v>
      </c>
      <c r="BW1136" t="s">
        <v>111</v>
      </c>
      <c r="BX1136" t="s">
        <v>111</v>
      </c>
      <c r="BY1136" t="s">
        <v>111</v>
      </c>
      <c r="BZ1136" t="s">
        <v>111</v>
      </c>
      <c r="CA1136" t="s">
        <v>111</v>
      </c>
      <c r="CB1136" t="s">
        <v>111</v>
      </c>
      <c r="CC1136" t="s">
        <v>111</v>
      </c>
      <c r="CD1136" t="s">
        <v>111</v>
      </c>
      <c r="CE1136" t="s">
        <v>111</v>
      </c>
      <c r="CF1136" t="s">
        <v>111</v>
      </c>
      <c r="CG1136" t="s">
        <v>111</v>
      </c>
      <c r="CH1136" t="s">
        <v>111</v>
      </c>
      <c r="CI1136" t="s">
        <v>111</v>
      </c>
      <c r="CJ1136" t="s">
        <v>111</v>
      </c>
      <c r="CK1136" t="s">
        <v>111</v>
      </c>
      <c r="CL1136" t="s">
        <v>111</v>
      </c>
      <c r="CM1136" t="s">
        <v>198</v>
      </c>
      <c r="CN1136" t="s">
        <v>128</v>
      </c>
      <c r="CO1136" t="s">
        <v>111</v>
      </c>
      <c r="CP1136" t="s">
        <v>111</v>
      </c>
      <c r="CQ1136">
        <v>0</v>
      </c>
      <c r="CR1136">
        <v>0</v>
      </c>
      <c r="CS1136">
        <v>0</v>
      </c>
      <c r="CT1136" t="s">
        <v>168</v>
      </c>
      <c r="CU1136">
        <v>0</v>
      </c>
      <c r="CV1136" t="s">
        <v>111</v>
      </c>
      <c r="CW1136" t="s">
        <v>111</v>
      </c>
      <c r="CX1136" t="s">
        <v>111</v>
      </c>
      <c r="CY1136">
        <v>0</v>
      </c>
      <c r="CZ1136" t="s">
        <v>111</v>
      </c>
      <c r="DA1136" t="s">
        <v>111</v>
      </c>
      <c r="DB1136" t="s">
        <v>111</v>
      </c>
      <c r="DC1136" t="s">
        <v>111</v>
      </c>
    </row>
    <row r="1137" spans="1:107">
      <c r="A1137">
        <v>24</v>
      </c>
      <c r="B1137" t="s">
        <v>162</v>
      </c>
      <c r="C1137" t="s">
        <v>3217</v>
      </c>
      <c r="D1137" t="s">
        <v>3447</v>
      </c>
      <c r="E1137" t="s">
        <v>3448</v>
      </c>
      <c r="F1137" t="s">
        <v>431</v>
      </c>
      <c r="G1137" t="s">
        <v>416</v>
      </c>
      <c r="H1137">
        <v>1</v>
      </c>
      <c r="I1137">
        <v>47</v>
      </c>
      <c r="J1137">
        <v>0</v>
      </c>
      <c r="K1137">
        <v>0</v>
      </c>
      <c r="L1137" t="s">
        <v>112</v>
      </c>
      <c r="M1137" t="s">
        <v>118</v>
      </c>
      <c r="N1137">
        <v>40</v>
      </c>
      <c r="O1137">
        <v>2</v>
      </c>
      <c r="P1137" t="s">
        <v>138</v>
      </c>
      <c r="Q1137">
        <v>40</v>
      </c>
      <c r="R1137">
        <v>0</v>
      </c>
      <c r="S1137">
        <v>0</v>
      </c>
      <c r="T1137">
        <v>0</v>
      </c>
      <c r="U1137" t="s">
        <v>168</v>
      </c>
      <c r="V1137">
        <v>0</v>
      </c>
      <c r="W1137">
        <v>25</v>
      </c>
      <c r="X1137">
        <v>8</v>
      </c>
      <c r="Y1137">
        <v>0</v>
      </c>
      <c r="Z1137" t="s">
        <v>111</v>
      </c>
      <c r="AA1137">
        <v>0</v>
      </c>
      <c r="AB1137" t="s">
        <v>111</v>
      </c>
      <c r="AC1137">
        <v>0</v>
      </c>
      <c r="AD1137" t="s">
        <v>416</v>
      </c>
      <c r="AE1137">
        <v>3</v>
      </c>
      <c r="AF1137">
        <v>1</v>
      </c>
      <c r="AG1137" t="s">
        <v>3449</v>
      </c>
      <c r="AH1137" t="s">
        <v>111</v>
      </c>
      <c r="AI1137">
        <v>50</v>
      </c>
      <c r="AJ1137" t="s">
        <v>111</v>
      </c>
      <c r="AK1137" t="s">
        <v>111</v>
      </c>
      <c r="AL1137" t="s">
        <v>111</v>
      </c>
      <c r="AM1137">
        <v>0</v>
      </c>
      <c r="AN1137">
        <v>0</v>
      </c>
      <c r="AO1137">
        <v>0</v>
      </c>
      <c r="AP1137" t="s">
        <v>288</v>
      </c>
      <c r="AQ1137" t="s">
        <v>111</v>
      </c>
      <c r="AR1137" t="s">
        <v>111</v>
      </c>
      <c r="AS1137" t="s">
        <v>111</v>
      </c>
      <c r="AT1137" t="s">
        <v>147</v>
      </c>
      <c r="AU1137" t="s">
        <v>111</v>
      </c>
      <c r="AV1137" t="s">
        <v>111</v>
      </c>
      <c r="AW1137" t="s">
        <v>111</v>
      </c>
      <c r="AX1137" t="s">
        <v>259</v>
      </c>
      <c r="AY1137" t="s">
        <v>111</v>
      </c>
      <c r="AZ1137" t="s">
        <v>111</v>
      </c>
      <c r="BA1137" t="s">
        <v>111</v>
      </c>
      <c r="BB1137" t="s">
        <v>111</v>
      </c>
      <c r="BC1137" t="s">
        <v>111</v>
      </c>
      <c r="BD1137" t="s">
        <v>111</v>
      </c>
      <c r="BE1137" t="s">
        <v>111</v>
      </c>
      <c r="BF1137" t="s">
        <v>111</v>
      </c>
      <c r="BG1137" t="s">
        <v>111</v>
      </c>
      <c r="BH1137" t="s">
        <v>111</v>
      </c>
      <c r="BI1137" t="s">
        <v>111</v>
      </c>
      <c r="BJ1137" t="s">
        <v>111</v>
      </c>
      <c r="BK1137" t="s">
        <v>111</v>
      </c>
      <c r="BL1137" t="s">
        <v>111</v>
      </c>
      <c r="BM1137" t="s">
        <v>111</v>
      </c>
      <c r="BN1137" t="s">
        <v>111</v>
      </c>
      <c r="BO1137" t="s">
        <v>111</v>
      </c>
      <c r="BP1137" t="s">
        <v>111</v>
      </c>
      <c r="BQ1137" t="s">
        <v>111</v>
      </c>
      <c r="BR1137" t="s">
        <v>111</v>
      </c>
      <c r="BS1137" t="s">
        <v>111</v>
      </c>
      <c r="BT1137" t="s">
        <v>111</v>
      </c>
      <c r="BU1137" t="s">
        <v>111</v>
      </c>
      <c r="BV1137" t="s">
        <v>111</v>
      </c>
      <c r="BW1137" t="s">
        <v>111</v>
      </c>
      <c r="BX1137" t="s">
        <v>111</v>
      </c>
      <c r="BY1137" t="s">
        <v>111</v>
      </c>
      <c r="BZ1137" t="s">
        <v>111</v>
      </c>
      <c r="CA1137" t="s">
        <v>111</v>
      </c>
      <c r="CB1137" t="s">
        <v>111</v>
      </c>
      <c r="CC1137" t="s">
        <v>111</v>
      </c>
      <c r="CD1137" t="s">
        <v>111</v>
      </c>
      <c r="CE1137" t="s">
        <v>111</v>
      </c>
      <c r="CF1137" t="s">
        <v>111</v>
      </c>
      <c r="CG1137" t="s">
        <v>111</v>
      </c>
      <c r="CH1137" t="s">
        <v>111</v>
      </c>
      <c r="CI1137" t="s">
        <v>111</v>
      </c>
      <c r="CJ1137" t="s">
        <v>111</v>
      </c>
      <c r="CK1137" t="s">
        <v>111</v>
      </c>
      <c r="CL1137" t="s">
        <v>153</v>
      </c>
      <c r="CM1137" t="s">
        <v>198</v>
      </c>
      <c r="CN1137" t="s">
        <v>113</v>
      </c>
      <c r="CO1137" t="s">
        <v>111</v>
      </c>
      <c r="CP1137" t="s">
        <v>433</v>
      </c>
      <c r="CQ1137">
        <v>0</v>
      </c>
      <c r="CR1137">
        <v>15000</v>
      </c>
      <c r="CS1137">
        <v>500</v>
      </c>
      <c r="CT1137" t="s">
        <v>168</v>
      </c>
      <c r="CU1137">
        <v>0</v>
      </c>
      <c r="CV1137" t="s">
        <v>111</v>
      </c>
      <c r="CW1137" t="s">
        <v>111</v>
      </c>
      <c r="CX1137" t="s">
        <v>111</v>
      </c>
      <c r="CY1137">
        <v>0</v>
      </c>
      <c r="CZ1137" t="s">
        <v>111</v>
      </c>
      <c r="DA1137" t="s">
        <v>111</v>
      </c>
      <c r="DB1137" t="s">
        <v>111</v>
      </c>
      <c r="DC1137" t="s">
        <v>111</v>
      </c>
    </row>
    <row r="1138" spans="1:107">
      <c r="A1138">
        <v>1513</v>
      </c>
      <c r="B1138" t="s">
        <v>107</v>
      </c>
      <c r="C1138" t="s">
        <v>2589</v>
      </c>
      <c r="D1138" t="s">
        <v>3450</v>
      </c>
      <c r="E1138" t="s">
        <v>3451</v>
      </c>
      <c r="F1138" t="s">
        <v>858</v>
      </c>
      <c r="G1138" t="s">
        <v>416</v>
      </c>
      <c r="H1138">
        <v>3.5</v>
      </c>
      <c r="I1138">
        <v>37</v>
      </c>
      <c r="J1138">
        <v>0</v>
      </c>
      <c r="K1138">
        <v>0</v>
      </c>
      <c r="L1138" t="s">
        <v>112</v>
      </c>
      <c r="M1138" t="s">
        <v>118</v>
      </c>
      <c r="N1138">
        <v>40</v>
      </c>
      <c r="O1138">
        <v>2</v>
      </c>
      <c r="P1138" t="s">
        <v>111</v>
      </c>
      <c r="Q1138">
        <v>40</v>
      </c>
      <c r="R1138">
        <v>0</v>
      </c>
      <c r="S1138">
        <v>0</v>
      </c>
      <c r="T1138">
        <v>5</v>
      </c>
      <c r="U1138" s="1" t="s">
        <v>662</v>
      </c>
      <c r="V1138">
        <v>25</v>
      </c>
      <c r="W1138">
        <v>0</v>
      </c>
      <c r="X1138">
        <v>10</v>
      </c>
      <c r="Y1138">
        <v>0</v>
      </c>
      <c r="Z1138" t="s">
        <v>111</v>
      </c>
      <c r="AA1138">
        <v>0</v>
      </c>
      <c r="AB1138" t="s">
        <v>111</v>
      </c>
      <c r="AC1138">
        <v>0</v>
      </c>
      <c r="AD1138" t="s">
        <v>416</v>
      </c>
      <c r="AE1138">
        <v>0</v>
      </c>
      <c r="AF1138">
        <v>0</v>
      </c>
      <c r="AG1138" t="s">
        <v>111</v>
      </c>
      <c r="AH1138" t="s">
        <v>113</v>
      </c>
      <c r="AI1138" t="s">
        <v>111</v>
      </c>
      <c r="AJ1138" t="s">
        <v>111</v>
      </c>
      <c r="AK1138" t="s">
        <v>111</v>
      </c>
      <c r="AL1138" t="s">
        <v>111</v>
      </c>
      <c r="AM1138">
        <v>0</v>
      </c>
      <c r="AN1138">
        <v>0</v>
      </c>
      <c r="AO1138">
        <v>0</v>
      </c>
      <c r="AP1138" t="s">
        <v>111</v>
      </c>
      <c r="AQ1138" t="s">
        <v>111</v>
      </c>
      <c r="AR1138" t="s">
        <v>111</v>
      </c>
      <c r="AS1138" t="s">
        <v>111</v>
      </c>
      <c r="AT1138" t="s">
        <v>111</v>
      </c>
      <c r="AU1138" t="s">
        <v>111</v>
      </c>
      <c r="AV1138" t="s">
        <v>111</v>
      </c>
      <c r="AW1138" t="s">
        <v>111</v>
      </c>
      <c r="AX1138" t="s">
        <v>111</v>
      </c>
      <c r="AY1138" t="s">
        <v>111</v>
      </c>
      <c r="AZ1138" t="s">
        <v>111</v>
      </c>
      <c r="BA1138" t="s">
        <v>111</v>
      </c>
      <c r="BB1138" t="s">
        <v>111</v>
      </c>
      <c r="BC1138" t="s">
        <v>111</v>
      </c>
      <c r="BD1138" t="s">
        <v>111</v>
      </c>
      <c r="BE1138" t="s">
        <v>111</v>
      </c>
      <c r="BF1138" t="s">
        <v>111</v>
      </c>
      <c r="BG1138" t="s">
        <v>111</v>
      </c>
      <c r="BH1138" t="s">
        <v>111</v>
      </c>
      <c r="BI1138" t="s">
        <v>111</v>
      </c>
      <c r="BJ1138" t="s">
        <v>111</v>
      </c>
      <c r="BK1138" t="s">
        <v>111</v>
      </c>
      <c r="BL1138" t="s">
        <v>111</v>
      </c>
      <c r="BM1138" t="s">
        <v>111</v>
      </c>
      <c r="BN1138" t="s">
        <v>111</v>
      </c>
      <c r="BO1138" t="s">
        <v>111</v>
      </c>
      <c r="BP1138" t="s">
        <v>111</v>
      </c>
      <c r="BQ1138" t="s">
        <v>111</v>
      </c>
      <c r="BR1138" t="s">
        <v>111</v>
      </c>
      <c r="BS1138" t="s">
        <v>111</v>
      </c>
      <c r="BT1138" t="s">
        <v>111</v>
      </c>
      <c r="BU1138" t="s">
        <v>111</v>
      </c>
      <c r="BV1138" t="s">
        <v>111</v>
      </c>
      <c r="BW1138" t="s">
        <v>111</v>
      </c>
      <c r="BX1138" t="s">
        <v>111</v>
      </c>
      <c r="BY1138" t="s">
        <v>111</v>
      </c>
      <c r="BZ1138" t="s">
        <v>111</v>
      </c>
      <c r="CA1138" t="s">
        <v>111</v>
      </c>
      <c r="CB1138" t="s">
        <v>111</v>
      </c>
      <c r="CC1138" t="s">
        <v>111</v>
      </c>
      <c r="CD1138" t="s">
        <v>111</v>
      </c>
      <c r="CE1138" t="s">
        <v>111</v>
      </c>
      <c r="CF1138" t="s">
        <v>111</v>
      </c>
      <c r="CG1138" t="s">
        <v>111</v>
      </c>
      <c r="CH1138" t="s">
        <v>111</v>
      </c>
      <c r="CI1138" t="s">
        <v>111</v>
      </c>
      <c r="CJ1138" t="s">
        <v>111</v>
      </c>
      <c r="CK1138" t="s">
        <v>111</v>
      </c>
      <c r="CL1138" t="s">
        <v>111</v>
      </c>
      <c r="CM1138" t="s">
        <v>360</v>
      </c>
      <c r="CN1138" t="s">
        <v>113</v>
      </c>
      <c r="CO1138" t="s">
        <v>111</v>
      </c>
      <c r="CP1138" t="e">
        <f>-MUESTRA</f>
        <v>#NAME?</v>
      </c>
      <c r="CQ1138">
        <v>0</v>
      </c>
      <c r="CR1138">
        <v>1000</v>
      </c>
      <c r="CS1138">
        <v>50</v>
      </c>
      <c r="CT1138" s="1" t="s">
        <v>3452</v>
      </c>
      <c r="CU1138">
        <v>0</v>
      </c>
      <c r="CV1138" t="s">
        <v>111</v>
      </c>
      <c r="CW1138" t="s">
        <v>111</v>
      </c>
      <c r="CX1138" t="s">
        <v>111</v>
      </c>
      <c r="CY1138">
        <v>0</v>
      </c>
      <c r="CZ1138" t="s">
        <v>111</v>
      </c>
      <c r="DA1138" t="s">
        <v>111</v>
      </c>
      <c r="DB1138" t="e">
        <f>-EXTERNO</f>
        <v>#NAME?</v>
      </c>
      <c r="DC1138" t="e">
        <f>-TIRA ROJA</f>
        <v>#NAME?</v>
      </c>
    </row>
    <row r="1139" spans="1:107">
      <c r="A1139">
        <v>245</v>
      </c>
      <c r="B1139" t="s">
        <v>162</v>
      </c>
      <c r="C1139" t="s">
        <v>144</v>
      </c>
      <c r="D1139" t="s">
        <v>145</v>
      </c>
      <c r="E1139" t="s">
        <v>1435</v>
      </c>
      <c r="F1139" t="s">
        <v>125</v>
      </c>
      <c r="G1139" t="s">
        <v>416</v>
      </c>
      <c r="H1139">
        <v>0.8</v>
      </c>
      <c r="I1139">
        <v>65</v>
      </c>
      <c r="J1139">
        <v>0</v>
      </c>
      <c r="K1139">
        <v>0</v>
      </c>
      <c r="L1139" t="s">
        <v>112</v>
      </c>
      <c r="M1139" t="s">
        <v>138</v>
      </c>
      <c r="N1139">
        <v>0</v>
      </c>
      <c r="O1139">
        <v>0</v>
      </c>
      <c r="P1139" t="s">
        <v>138</v>
      </c>
      <c r="Q1139">
        <v>35</v>
      </c>
      <c r="R1139">
        <v>0</v>
      </c>
      <c r="S1139">
        <v>0</v>
      </c>
      <c r="T1139">
        <v>0</v>
      </c>
      <c r="U1139" s="1" t="s">
        <v>2957</v>
      </c>
      <c r="V1139">
        <v>25</v>
      </c>
      <c r="W1139">
        <v>0</v>
      </c>
      <c r="X1139">
        <v>8</v>
      </c>
      <c r="Y1139">
        <v>0</v>
      </c>
      <c r="Z1139" t="s">
        <v>147</v>
      </c>
      <c r="AA1139">
        <v>1.32</v>
      </c>
      <c r="AB1139" t="s">
        <v>111</v>
      </c>
      <c r="AC1139">
        <v>0</v>
      </c>
      <c r="AD1139" t="s">
        <v>111</v>
      </c>
      <c r="AE1139">
        <v>0</v>
      </c>
      <c r="AF1139">
        <v>0</v>
      </c>
      <c r="AG1139" t="s">
        <v>111</v>
      </c>
      <c r="AH1139" t="s">
        <v>111</v>
      </c>
      <c r="AI1139" t="s">
        <v>111</v>
      </c>
      <c r="AJ1139" t="s">
        <v>111</v>
      </c>
      <c r="AK1139" t="s">
        <v>111</v>
      </c>
      <c r="AL1139" t="s">
        <v>111</v>
      </c>
      <c r="AM1139">
        <v>0</v>
      </c>
      <c r="AN1139">
        <v>0</v>
      </c>
      <c r="AO1139">
        <v>0</v>
      </c>
      <c r="AP1139" t="s">
        <v>111</v>
      </c>
      <c r="AQ1139" t="s">
        <v>111</v>
      </c>
      <c r="AR1139" t="s">
        <v>111</v>
      </c>
      <c r="AS1139" t="s">
        <v>111</v>
      </c>
      <c r="AT1139" t="s">
        <v>111</v>
      </c>
      <c r="AU1139" t="s">
        <v>111</v>
      </c>
      <c r="AV1139" t="s">
        <v>111</v>
      </c>
      <c r="AW1139" t="s">
        <v>111</v>
      </c>
      <c r="AX1139" t="s">
        <v>111</v>
      </c>
      <c r="AY1139" t="s">
        <v>111</v>
      </c>
      <c r="AZ1139" t="s">
        <v>111</v>
      </c>
      <c r="BA1139" t="s">
        <v>111</v>
      </c>
      <c r="BB1139" t="s">
        <v>111</v>
      </c>
      <c r="BC1139" t="s">
        <v>111</v>
      </c>
      <c r="BD1139" t="s">
        <v>111</v>
      </c>
      <c r="BE1139" t="s">
        <v>111</v>
      </c>
      <c r="BF1139" t="s">
        <v>111</v>
      </c>
      <c r="BG1139" t="s">
        <v>111</v>
      </c>
      <c r="BH1139" t="s">
        <v>111</v>
      </c>
      <c r="BI1139" t="s">
        <v>111</v>
      </c>
      <c r="BJ1139" t="s">
        <v>111</v>
      </c>
      <c r="BK1139" t="s">
        <v>111</v>
      </c>
      <c r="BL1139" t="s">
        <v>111</v>
      </c>
      <c r="BM1139" t="s">
        <v>111</v>
      </c>
      <c r="BN1139" t="s">
        <v>111</v>
      </c>
      <c r="BO1139" t="s">
        <v>111</v>
      </c>
      <c r="BP1139" t="s">
        <v>111</v>
      </c>
      <c r="BQ1139" t="s">
        <v>111</v>
      </c>
      <c r="BR1139" t="s">
        <v>111</v>
      </c>
      <c r="BS1139" t="s">
        <v>111</v>
      </c>
      <c r="BT1139" t="s">
        <v>111</v>
      </c>
      <c r="BU1139" t="s">
        <v>111</v>
      </c>
      <c r="BV1139" t="s">
        <v>111</v>
      </c>
      <c r="BW1139" t="s">
        <v>111</v>
      </c>
      <c r="BX1139" t="s">
        <v>111</v>
      </c>
      <c r="BY1139" t="s">
        <v>111</v>
      </c>
      <c r="BZ1139" t="s">
        <v>111</v>
      </c>
      <c r="CA1139" t="s">
        <v>111</v>
      </c>
      <c r="CB1139" t="s">
        <v>111</v>
      </c>
      <c r="CC1139" t="s">
        <v>111</v>
      </c>
      <c r="CD1139" t="s">
        <v>111</v>
      </c>
      <c r="CE1139" t="s">
        <v>111</v>
      </c>
      <c r="CF1139" t="s">
        <v>111</v>
      </c>
      <c r="CG1139" t="s">
        <v>111</v>
      </c>
      <c r="CH1139" t="s">
        <v>111</v>
      </c>
      <c r="CI1139" t="s">
        <v>111</v>
      </c>
      <c r="CJ1139" t="s">
        <v>111</v>
      </c>
      <c r="CK1139" t="s">
        <v>111</v>
      </c>
      <c r="CL1139" t="s">
        <v>111</v>
      </c>
      <c r="CM1139" t="s">
        <v>198</v>
      </c>
      <c r="CN1139" t="s">
        <v>128</v>
      </c>
      <c r="CO1139" t="s">
        <v>111</v>
      </c>
      <c r="CP1139" t="s">
        <v>111</v>
      </c>
      <c r="CQ1139">
        <v>0</v>
      </c>
      <c r="CR1139">
        <v>0</v>
      </c>
      <c r="CS1139">
        <v>0</v>
      </c>
      <c r="CT1139" t="s">
        <v>168</v>
      </c>
      <c r="CU1139">
        <v>0</v>
      </c>
      <c r="CV1139" t="s">
        <v>111</v>
      </c>
      <c r="CW1139" t="s">
        <v>111</v>
      </c>
      <c r="CX1139" t="s">
        <v>111</v>
      </c>
      <c r="CY1139">
        <v>0</v>
      </c>
      <c r="CZ1139" t="s">
        <v>111</v>
      </c>
      <c r="DA1139" t="s">
        <v>111</v>
      </c>
      <c r="DB1139" t="s">
        <v>111</v>
      </c>
      <c r="DC1139" t="s">
        <v>111</v>
      </c>
    </row>
    <row r="1140" spans="1:107">
      <c r="A1140">
        <v>25</v>
      </c>
      <c r="B1140" t="s">
        <v>162</v>
      </c>
      <c r="C1140" s="2">
        <v>93385719</v>
      </c>
      <c r="D1140" t="s">
        <v>1640</v>
      </c>
      <c r="E1140" t="s">
        <v>3453</v>
      </c>
      <c r="F1140" t="s">
        <v>370</v>
      </c>
      <c r="G1140" t="s">
        <v>416</v>
      </c>
      <c r="H1140">
        <v>2.9</v>
      </c>
      <c r="I1140">
        <v>45</v>
      </c>
      <c r="J1140">
        <v>0</v>
      </c>
      <c r="K1140">
        <v>0</v>
      </c>
      <c r="L1140" t="s">
        <v>112</v>
      </c>
      <c r="M1140" t="s">
        <v>118</v>
      </c>
      <c r="N1140">
        <v>40</v>
      </c>
      <c r="O1140">
        <v>2</v>
      </c>
      <c r="P1140" t="s">
        <v>138</v>
      </c>
      <c r="Q1140">
        <v>40</v>
      </c>
      <c r="R1140">
        <v>0</v>
      </c>
      <c r="S1140">
        <v>0</v>
      </c>
      <c r="T1140">
        <v>0</v>
      </c>
      <c r="U1140" t="s">
        <v>1353</v>
      </c>
      <c r="V1140">
        <v>25</v>
      </c>
      <c r="W1140">
        <v>0</v>
      </c>
      <c r="X1140">
        <v>5</v>
      </c>
      <c r="Y1140">
        <v>0</v>
      </c>
      <c r="Z1140" t="s">
        <v>288</v>
      </c>
      <c r="AA1140">
        <v>0.3</v>
      </c>
      <c r="AB1140" t="s">
        <v>111</v>
      </c>
      <c r="AC1140">
        <v>0</v>
      </c>
      <c r="AD1140" t="s">
        <v>416</v>
      </c>
      <c r="AE1140">
        <v>2</v>
      </c>
      <c r="AF1140">
        <v>2</v>
      </c>
      <c r="AG1140">
        <v>30</v>
      </c>
      <c r="AH1140" t="s">
        <v>111</v>
      </c>
      <c r="AI1140">
        <v>30</v>
      </c>
      <c r="AJ1140" t="s">
        <v>111</v>
      </c>
      <c r="AK1140" t="s">
        <v>111</v>
      </c>
      <c r="AL1140" t="s">
        <v>111</v>
      </c>
      <c r="AM1140">
        <v>0</v>
      </c>
      <c r="AN1140">
        <v>0</v>
      </c>
      <c r="AO1140">
        <v>0</v>
      </c>
      <c r="AP1140" t="s">
        <v>259</v>
      </c>
      <c r="AQ1140" t="s">
        <v>111</v>
      </c>
      <c r="AR1140" t="s">
        <v>111</v>
      </c>
      <c r="AS1140" t="s">
        <v>111</v>
      </c>
      <c r="AT1140" t="s">
        <v>366</v>
      </c>
      <c r="AU1140" t="s">
        <v>111</v>
      </c>
      <c r="AV1140" t="s">
        <v>111</v>
      </c>
      <c r="AW1140" t="s">
        <v>111</v>
      </c>
      <c r="AX1140" t="s">
        <v>111</v>
      </c>
      <c r="AY1140" t="s">
        <v>111</v>
      </c>
      <c r="AZ1140" t="s">
        <v>111</v>
      </c>
      <c r="BA1140" t="s">
        <v>111</v>
      </c>
      <c r="BB1140" t="s">
        <v>111</v>
      </c>
      <c r="BC1140" t="s">
        <v>111</v>
      </c>
      <c r="BD1140" t="s">
        <v>111</v>
      </c>
      <c r="BE1140" t="s">
        <v>111</v>
      </c>
      <c r="BF1140" t="s">
        <v>111</v>
      </c>
      <c r="BG1140" t="s">
        <v>111</v>
      </c>
      <c r="BH1140" t="s">
        <v>111</v>
      </c>
      <c r="BI1140" t="s">
        <v>111</v>
      </c>
      <c r="BJ1140" t="s">
        <v>111</v>
      </c>
      <c r="BK1140" t="s">
        <v>111</v>
      </c>
      <c r="BL1140" t="s">
        <v>111</v>
      </c>
      <c r="BM1140" t="s">
        <v>111</v>
      </c>
      <c r="BN1140" t="s">
        <v>111</v>
      </c>
      <c r="BO1140" t="s">
        <v>111</v>
      </c>
      <c r="BP1140" t="s">
        <v>111</v>
      </c>
      <c r="BQ1140" t="s">
        <v>111</v>
      </c>
      <c r="BR1140" t="s">
        <v>111</v>
      </c>
      <c r="BS1140" t="s">
        <v>111</v>
      </c>
      <c r="BT1140" t="s">
        <v>111</v>
      </c>
      <c r="BU1140" t="s">
        <v>111</v>
      </c>
      <c r="BV1140" t="s">
        <v>111</v>
      </c>
      <c r="BW1140" t="s">
        <v>111</v>
      </c>
      <c r="BX1140" t="s">
        <v>111</v>
      </c>
      <c r="BY1140" t="s">
        <v>111</v>
      </c>
      <c r="BZ1140" t="s">
        <v>111</v>
      </c>
      <c r="CA1140" t="s">
        <v>111</v>
      </c>
      <c r="CB1140" t="s">
        <v>111</v>
      </c>
      <c r="CC1140" t="s">
        <v>111</v>
      </c>
      <c r="CD1140" t="s">
        <v>111</v>
      </c>
      <c r="CE1140" t="s">
        <v>111</v>
      </c>
      <c r="CF1140" t="s">
        <v>111</v>
      </c>
      <c r="CG1140" t="s">
        <v>111</v>
      </c>
      <c r="CH1140" t="s">
        <v>111</v>
      </c>
      <c r="CI1140" t="s">
        <v>111</v>
      </c>
      <c r="CJ1140" t="s">
        <v>111</v>
      </c>
      <c r="CK1140" t="s">
        <v>111</v>
      </c>
      <c r="CL1140" t="s">
        <v>153</v>
      </c>
      <c r="CM1140" t="s">
        <v>198</v>
      </c>
      <c r="CN1140" t="s">
        <v>113</v>
      </c>
      <c r="CO1140" t="s">
        <v>111</v>
      </c>
      <c r="CP1140" t="s">
        <v>433</v>
      </c>
      <c r="CQ1140">
        <v>0</v>
      </c>
      <c r="CR1140">
        <v>0</v>
      </c>
      <c r="CS1140">
        <v>0</v>
      </c>
      <c r="CT1140" t="s">
        <v>419</v>
      </c>
      <c r="CU1140">
        <v>0</v>
      </c>
      <c r="CV1140" t="s">
        <v>111</v>
      </c>
      <c r="CW1140" t="s">
        <v>111</v>
      </c>
      <c r="CX1140" t="s">
        <v>111</v>
      </c>
      <c r="CY1140">
        <v>0</v>
      </c>
      <c r="CZ1140" t="s">
        <v>111</v>
      </c>
      <c r="DA1140" t="s">
        <v>111</v>
      </c>
      <c r="DB1140" t="s">
        <v>240</v>
      </c>
      <c r="DC1140" s="1" t="s">
        <v>2768</v>
      </c>
    </row>
    <row r="1141" spans="1:107">
      <c r="A1141">
        <v>26</v>
      </c>
      <c r="B1141" t="s">
        <v>162</v>
      </c>
      <c r="C1141" t="s">
        <v>3287</v>
      </c>
      <c r="D1141" t="s">
        <v>3288</v>
      </c>
      <c r="E1141" t="s">
        <v>3454</v>
      </c>
      <c r="F1141" t="s">
        <v>370</v>
      </c>
      <c r="G1141" t="s">
        <v>416</v>
      </c>
      <c r="H1141">
        <v>3</v>
      </c>
      <c r="I1141">
        <v>78</v>
      </c>
      <c r="J1141">
        <v>0</v>
      </c>
      <c r="K1141">
        <v>0</v>
      </c>
      <c r="L1141" t="s">
        <v>117</v>
      </c>
      <c r="M1141" t="s">
        <v>118</v>
      </c>
      <c r="N1141">
        <v>40</v>
      </c>
      <c r="O1141">
        <v>2</v>
      </c>
      <c r="P1141" t="s">
        <v>138</v>
      </c>
      <c r="Q1141">
        <v>40</v>
      </c>
      <c r="R1141">
        <v>0</v>
      </c>
      <c r="S1141">
        <v>0</v>
      </c>
      <c r="T1141">
        <v>0</v>
      </c>
      <c r="U1141" t="s">
        <v>419</v>
      </c>
      <c r="V1141">
        <v>25</v>
      </c>
      <c r="W1141">
        <v>0</v>
      </c>
      <c r="X1141">
        <v>8</v>
      </c>
      <c r="Y1141">
        <v>0</v>
      </c>
      <c r="Z1141" t="s">
        <v>288</v>
      </c>
      <c r="AA1141">
        <v>1.65</v>
      </c>
      <c r="AB1141" t="s">
        <v>111</v>
      </c>
      <c r="AC1141">
        <v>0</v>
      </c>
      <c r="AD1141" t="s">
        <v>416</v>
      </c>
      <c r="AE1141">
        <v>3</v>
      </c>
      <c r="AF1141">
        <v>2</v>
      </c>
      <c r="AG1141">
        <v>38</v>
      </c>
      <c r="AH1141" t="s">
        <v>111</v>
      </c>
      <c r="AI1141">
        <v>38</v>
      </c>
      <c r="AJ1141" t="s">
        <v>111</v>
      </c>
      <c r="AK1141" t="s">
        <v>111</v>
      </c>
      <c r="AL1141" t="s">
        <v>111</v>
      </c>
      <c r="AM1141">
        <v>0</v>
      </c>
      <c r="AN1141">
        <v>0</v>
      </c>
      <c r="AO1141">
        <v>0</v>
      </c>
      <c r="AP1141" t="s">
        <v>3455</v>
      </c>
      <c r="AQ1141">
        <v>81118</v>
      </c>
      <c r="AR1141" t="s">
        <v>111</v>
      </c>
      <c r="AS1141" t="s">
        <v>111</v>
      </c>
      <c r="AT1141" t="s">
        <v>2774</v>
      </c>
      <c r="AU1141">
        <v>95303</v>
      </c>
      <c r="AV1141" t="s">
        <v>111</v>
      </c>
      <c r="AW1141" t="s">
        <v>111</v>
      </c>
      <c r="AX1141" t="s">
        <v>772</v>
      </c>
      <c r="AY1141">
        <v>95202</v>
      </c>
      <c r="AZ1141" t="s">
        <v>111</v>
      </c>
      <c r="BA1141" t="s">
        <v>111</v>
      </c>
      <c r="BB1141" t="s">
        <v>111</v>
      </c>
      <c r="BC1141" t="s">
        <v>111</v>
      </c>
      <c r="BD1141" t="s">
        <v>111</v>
      </c>
      <c r="BE1141" t="s">
        <v>111</v>
      </c>
      <c r="BF1141" t="s">
        <v>111</v>
      </c>
      <c r="BG1141" t="s">
        <v>111</v>
      </c>
      <c r="BH1141" t="s">
        <v>111</v>
      </c>
      <c r="BI1141" t="s">
        <v>111</v>
      </c>
      <c r="BJ1141" t="s">
        <v>111</v>
      </c>
      <c r="BK1141" t="s">
        <v>111</v>
      </c>
      <c r="BL1141" t="s">
        <v>111</v>
      </c>
      <c r="BM1141" t="s">
        <v>111</v>
      </c>
      <c r="BN1141" t="s">
        <v>111</v>
      </c>
      <c r="BO1141" t="s">
        <v>111</v>
      </c>
      <c r="BP1141" t="s">
        <v>111</v>
      </c>
      <c r="BQ1141" t="s">
        <v>111</v>
      </c>
      <c r="BR1141" t="s">
        <v>111</v>
      </c>
      <c r="BS1141" t="s">
        <v>111</v>
      </c>
      <c r="BT1141" t="s">
        <v>111</v>
      </c>
      <c r="BU1141" t="s">
        <v>111</v>
      </c>
      <c r="BV1141" t="s">
        <v>111</v>
      </c>
      <c r="BW1141" t="s">
        <v>111</v>
      </c>
      <c r="BX1141" t="s">
        <v>111</v>
      </c>
      <c r="BY1141" t="s">
        <v>111</v>
      </c>
      <c r="BZ1141" t="s">
        <v>111</v>
      </c>
      <c r="CA1141" t="s">
        <v>111</v>
      </c>
      <c r="CB1141" t="s">
        <v>111</v>
      </c>
      <c r="CC1141" t="s">
        <v>111</v>
      </c>
      <c r="CD1141" t="s">
        <v>111</v>
      </c>
      <c r="CE1141" t="s">
        <v>111</v>
      </c>
      <c r="CF1141" t="s">
        <v>111</v>
      </c>
      <c r="CG1141" t="s">
        <v>111</v>
      </c>
      <c r="CH1141" t="s">
        <v>111</v>
      </c>
      <c r="CI1141" t="s">
        <v>111</v>
      </c>
      <c r="CJ1141" t="s">
        <v>111</v>
      </c>
      <c r="CK1141" t="s">
        <v>111</v>
      </c>
      <c r="CL1141" t="s">
        <v>153</v>
      </c>
      <c r="CM1141" t="s">
        <v>198</v>
      </c>
      <c r="CN1141" t="s">
        <v>113</v>
      </c>
      <c r="CO1141" t="s">
        <v>111</v>
      </c>
      <c r="CP1141" t="s">
        <v>433</v>
      </c>
      <c r="CQ1141">
        <v>0</v>
      </c>
      <c r="CR1141">
        <v>0</v>
      </c>
      <c r="CS1141">
        <v>0</v>
      </c>
      <c r="CT1141" t="s">
        <v>419</v>
      </c>
      <c r="CU1141">
        <v>0</v>
      </c>
      <c r="CV1141" t="s">
        <v>111</v>
      </c>
      <c r="CW1141" t="s">
        <v>111</v>
      </c>
      <c r="CX1141" t="s">
        <v>111</v>
      </c>
      <c r="CY1141">
        <v>0</v>
      </c>
      <c r="CZ1141" t="s">
        <v>111</v>
      </c>
      <c r="DA1141" t="s">
        <v>111</v>
      </c>
      <c r="DB1141" t="s">
        <v>240</v>
      </c>
      <c r="DC1141" s="1" t="s">
        <v>3290</v>
      </c>
    </row>
    <row r="1142" spans="1:107">
      <c r="A1142">
        <v>250</v>
      </c>
      <c r="B1142" t="s">
        <v>162</v>
      </c>
      <c r="C1142" t="s">
        <v>144</v>
      </c>
      <c r="D1142" t="s">
        <v>3440</v>
      </c>
      <c r="E1142" t="s">
        <v>3456</v>
      </c>
      <c r="F1142" t="s">
        <v>125</v>
      </c>
      <c r="G1142" t="s">
        <v>416</v>
      </c>
      <c r="H1142">
        <v>1.2</v>
      </c>
      <c r="I1142">
        <v>100</v>
      </c>
      <c r="J1142">
        <v>0</v>
      </c>
      <c r="K1142">
        <v>0</v>
      </c>
      <c r="L1142" t="s">
        <v>112</v>
      </c>
      <c r="M1142" t="s">
        <v>138</v>
      </c>
      <c r="N1142">
        <v>0</v>
      </c>
      <c r="O1142">
        <v>0</v>
      </c>
      <c r="P1142" t="s">
        <v>138</v>
      </c>
      <c r="Q1142">
        <v>35</v>
      </c>
      <c r="R1142">
        <v>0</v>
      </c>
      <c r="S1142">
        <v>0</v>
      </c>
      <c r="T1142">
        <v>0</v>
      </c>
      <c r="U1142" s="1" t="s">
        <v>3442</v>
      </c>
      <c r="V1142">
        <v>25</v>
      </c>
      <c r="W1142">
        <v>0</v>
      </c>
      <c r="X1142">
        <v>8</v>
      </c>
      <c r="Y1142">
        <v>0</v>
      </c>
      <c r="Z1142" t="s">
        <v>366</v>
      </c>
      <c r="AA1142">
        <v>1.32</v>
      </c>
      <c r="AB1142" t="s">
        <v>111</v>
      </c>
      <c r="AC1142">
        <v>0</v>
      </c>
      <c r="AD1142" t="s">
        <v>111</v>
      </c>
      <c r="AE1142">
        <v>0</v>
      </c>
      <c r="AF1142">
        <v>0</v>
      </c>
      <c r="AG1142" t="s">
        <v>111</v>
      </c>
      <c r="AH1142" t="s">
        <v>111</v>
      </c>
      <c r="AI1142" t="s">
        <v>111</v>
      </c>
      <c r="AJ1142" t="s">
        <v>111</v>
      </c>
      <c r="AK1142" t="s">
        <v>111</v>
      </c>
      <c r="AL1142" t="s">
        <v>111</v>
      </c>
      <c r="AM1142">
        <v>0</v>
      </c>
      <c r="AN1142">
        <v>0</v>
      </c>
      <c r="AO1142">
        <v>0</v>
      </c>
      <c r="AP1142" t="s">
        <v>111</v>
      </c>
      <c r="AQ1142" t="s">
        <v>111</v>
      </c>
      <c r="AR1142" t="s">
        <v>111</v>
      </c>
      <c r="AS1142" t="s">
        <v>111</v>
      </c>
      <c r="AT1142" t="s">
        <v>111</v>
      </c>
      <c r="AU1142" t="s">
        <v>111</v>
      </c>
      <c r="AV1142" t="s">
        <v>111</v>
      </c>
      <c r="AW1142" t="s">
        <v>111</v>
      </c>
      <c r="AX1142" t="s">
        <v>111</v>
      </c>
      <c r="AY1142" t="s">
        <v>111</v>
      </c>
      <c r="AZ1142" t="s">
        <v>111</v>
      </c>
      <c r="BA1142" t="s">
        <v>111</v>
      </c>
      <c r="BB1142" t="s">
        <v>111</v>
      </c>
      <c r="BC1142" t="s">
        <v>111</v>
      </c>
      <c r="BD1142" t="s">
        <v>111</v>
      </c>
      <c r="BE1142" t="s">
        <v>111</v>
      </c>
      <c r="BF1142" t="s">
        <v>111</v>
      </c>
      <c r="BG1142" t="s">
        <v>111</v>
      </c>
      <c r="BH1142" t="s">
        <v>111</v>
      </c>
      <c r="BI1142" t="s">
        <v>111</v>
      </c>
      <c r="BJ1142" t="s">
        <v>111</v>
      </c>
      <c r="BK1142" t="s">
        <v>111</v>
      </c>
      <c r="BL1142" t="s">
        <v>111</v>
      </c>
      <c r="BM1142" t="s">
        <v>111</v>
      </c>
      <c r="BN1142" t="s">
        <v>111</v>
      </c>
      <c r="BO1142" t="s">
        <v>111</v>
      </c>
      <c r="BP1142" t="s">
        <v>111</v>
      </c>
      <c r="BQ1142" t="s">
        <v>111</v>
      </c>
      <c r="BR1142" t="s">
        <v>111</v>
      </c>
      <c r="BS1142" t="s">
        <v>111</v>
      </c>
      <c r="BT1142" t="s">
        <v>111</v>
      </c>
      <c r="BU1142" t="s">
        <v>111</v>
      </c>
      <c r="BV1142" t="s">
        <v>111</v>
      </c>
      <c r="BW1142" t="s">
        <v>111</v>
      </c>
      <c r="BX1142" t="s">
        <v>111</v>
      </c>
      <c r="BY1142" t="s">
        <v>111</v>
      </c>
      <c r="BZ1142" t="s">
        <v>111</v>
      </c>
      <c r="CA1142" t="s">
        <v>111</v>
      </c>
      <c r="CB1142" t="s">
        <v>111</v>
      </c>
      <c r="CC1142" t="s">
        <v>111</v>
      </c>
      <c r="CD1142" t="s">
        <v>111</v>
      </c>
      <c r="CE1142" t="s">
        <v>111</v>
      </c>
      <c r="CF1142" t="s">
        <v>111</v>
      </c>
      <c r="CG1142" t="s">
        <v>111</v>
      </c>
      <c r="CH1142" t="s">
        <v>111</v>
      </c>
      <c r="CI1142" t="s">
        <v>111</v>
      </c>
      <c r="CJ1142" t="s">
        <v>111</v>
      </c>
      <c r="CK1142" t="s">
        <v>111</v>
      </c>
      <c r="CL1142" t="s">
        <v>111</v>
      </c>
      <c r="CM1142" t="s">
        <v>111</v>
      </c>
      <c r="CN1142" t="s">
        <v>111</v>
      </c>
      <c r="CO1142" t="s">
        <v>111</v>
      </c>
      <c r="CP1142" t="s">
        <v>111</v>
      </c>
      <c r="CQ1142">
        <v>0</v>
      </c>
      <c r="CR1142">
        <v>0</v>
      </c>
      <c r="CS1142">
        <v>0</v>
      </c>
      <c r="CT1142" t="s">
        <v>111</v>
      </c>
      <c r="CU1142">
        <v>0</v>
      </c>
      <c r="CV1142" t="s">
        <v>111</v>
      </c>
      <c r="CW1142" t="s">
        <v>111</v>
      </c>
      <c r="CX1142" t="s">
        <v>111</v>
      </c>
      <c r="CY1142">
        <v>0</v>
      </c>
      <c r="CZ1142" t="s">
        <v>111</v>
      </c>
      <c r="DA1142" t="s">
        <v>111</v>
      </c>
      <c r="DB1142" t="s">
        <v>204</v>
      </c>
      <c r="DC1142" s="1" t="s">
        <v>205</v>
      </c>
    </row>
    <row r="1143" spans="1:107">
      <c r="A1143">
        <v>10</v>
      </c>
      <c r="B1143" t="s">
        <v>162</v>
      </c>
      <c r="C1143" t="s">
        <v>2952</v>
      </c>
      <c r="D1143" t="s">
        <v>3428</v>
      </c>
      <c r="E1143" t="s">
        <v>3457</v>
      </c>
      <c r="F1143" t="s">
        <v>1014</v>
      </c>
      <c r="G1143" t="s">
        <v>416</v>
      </c>
      <c r="H1143">
        <v>1.2</v>
      </c>
      <c r="I1143">
        <v>48</v>
      </c>
      <c r="J1143">
        <v>0</v>
      </c>
      <c r="K1143">
        <v>0</v>
      </c>
      <c r="L1143" t="s">
        <v>112</v>
      </c>
      <c r="M1143" t="s">
        <v>118</v>
      </c>
      <c r="N1143">
        <v>40</v>
      </c>
      <c r="O1143">
        <v>2</v>
      </c>
      <c r="P1143" t="s">
        <v>138</v>
      </c>
      <c r="Q1143">
        <v>30</v>
      </c>
      <c r="R1143">
        <v>0</v>
      </c>
      <c r="S1143">
        <v>0</v>
      </c>
      <c r="T1143">
        <v>0</v>
      </c>
      <c r="U1143" s="1" t="s">
        <v>3183</v>
      </c>
      <c r="V1143">
        <v>0</v>
      </c>
      <c r="W1143">
        <v>25</v>
      </c>
      <c r="X1143">
        <v>6</v>
      </c>
      <c r="Y1143">
        <v>0</v>
      </c>
      <c r="Z1143" t="s">
        <v>111</v>
      </c>
      <c r="AA1143">
        <v>0</v>
      </c>
      <c r="AB1143" t="s">
        <v>111</v>
      </c>
      <c r="AC1143">
        <v>0</v>
      </c>
      <c r="AD1143" t="s">
        <v>416</v>
      </c>
      <c r="AE1143">
        <v>1</v>
      </c>
      <c r="AF1143">
        <v>2</v>
      </c>
      <c r="AG1143">
        <v>92</v>
      </c>
      <c r="AH1143" t="s">
        <v>111</v>
      </c>
      <c r="AI1143">
        <v>46</v>
      </c>
      <c r="AJ1143" t="s">
        <v>111</v>
      </c>
      <c r="AK1143" t="s">
        <v>111</v>
      </c>
      <c r="AL1143" t="s">
        <v>111</v>
      </c>
      <c r="AM1143">
        <v>0</v>
      </c>
      <c r="AN1143">
        <v>0</v>
      </c>
      <c r="AO1143">
        <v>0</v>
      </c>
      <c r="AP1143" t="s">
        <v>111</v>
      </c>
      <c r="AQ1143" t="s">
        <v>111</v>
      </c>
      <c r="AR1143" t="s">
        <v>111</v>
      </c>
      <c r="AS1143" t="s">
        <v>111</v>
      </c>
      <c r="AT1143" t="s">
        <v>111</v>
      </c>
      <c r="AU1143" t="s">
        <v>111</v>
      </c>
      <c r="AV1143" t="s">
        <v>111</v>
      </c>
      <c r="AW1143" t="s">
        <v>111</v>
      </c>
      <c r="AX1143" t="s">
        <v>111</v>
      </c>
      <c r="AY1143" t="s">
        <v>111</v>
      </c>
      <c r="AZ1143" t="s">
        <v>111</v>
      </c>
      <c r="BA1143" t="s">
        <v>111</v>
      </c>
      <c r="BB1143" t="s">
        <v>111</v>
      </c>
      <c r="BC1143" t="s">
        <v>111</v>
      </c>
      <c r="BD1143" t="s">
        <v>111</v>
      </c>
      <c r="BE1143" t="s">
        <v>111</v>
      </c>
      <c r="BF1143" t="s">
        <v>111</v>
      </c>
      <c r="BG1143" t="s">
        <v>111</v>
      </c>
      <c r="BH1143" t="s">
        <v>111</v>
      </c>
      <c r="BI1143" t="s">
        <v>111</v>
      </c>
      <c r="BJ1143" t="s">
        <v>111</v>
      </c>
      <c r="BK1143" t="s">
        <v>111</v>
      </c>
      <c r="BL1143" t="s">
        <v>111</v>
      </c>
      <c r="BM1143" t="s">
        <v>111</v>
      </c>
      <c r="BN1143" t="s">
        <v>111</v>
      </c>
      <c r="BO1143" t="s">
        <v>111</v>
      </c>
      <c r="BP1143" t="s">
        <v>111</v>
      </c>
      <c r="BQ1143" t="s">
        <v>111</v>
      </c>
      <c r="BR1143" t="s">
        <v>111</v>
      </c>
      <c r="BS1143" t="s">
        <v>111</v>
      </c>
      <c r="BT1143" t="s">
        <v>111</v>
      </c>
      <c r="BU1143" t="s">
        <v>111</v>
      </c>
      <c r="BV1143" t="s">
        <v>111</v>
      </c>
      <c r="BW1143" t="s">
        <v>111</v>
      </c>
      <c r="BX1143" t="s">
        <v>111</v>
      </c>
      <c r="BY1143" t="s">
        <v>111</v>
      </c>
      <c r="BZ1143" t="s">
        <v>111</v>
      </c>
      <c r="CA1143" t="s">
        <v>111</v>
      </c>
      <c r="CB1143" t="s">
        <v>111</v>
      </c>
      <c r="CC1143" t="s">
        <v>111</v>
      </c>
      <c r="CD1143" t="s">
        <v>111</v>
      </c>
      <c r="CE1143" t="s">
        <v>111</v>
      </c>
      <c r="CF1143" t="s">
        <v>111</v>
      </c>
      <c r="CG1143" t="s">
        <v>111</v>
      </c>
      <c r="CH1143" t="s">
        <v>111</v>
      </c>
      <c r="CI1143" t="s">
        <v>111</v>
      </c>
      <c r="CJ1143" t="s">
        <v>111</v>
      </c>
      <c r="CK1143" t="s">
        <v>111</v>
      </c>
      <c r="CL1143" t="s">
        <v>153</v>
      </c>
      <c r="CM1143" t="s">
        <v>198</v>
      </c>
      <c r="CN1143" t="s">
        <v>128</v>
      </c>
      <c r="CO1143" t="s">
        <v>111</v>
      </c>
      <c r="CP1143" t="s">
        <v>433</v>
      </c>
      <c r="CQ1143">
        <v>0</v>
      </c>
      <c r="CR1143">
        <v>0</v>
      </c>
      <c r="CS1143">
        <v>0</v>
      </c>
      <c r="CT1143" t="s">
        <v>168</v>
      </c>
      <c r="CU1143">
        <v>0</v>
      </c>
      <c r="CV1143" t="s">
        <v>111</v>
      </c>
      <c r="CW1143" t="s">
        <v>111</v>
      </c>
      <c r="CX1143" t="s">
        <v>111</v>
      </c>
      <c r="CY1143">
        <v>0</v>
      </c>
      <c r="CZ1143" t="s">
        <v>111</v>
      </c>
      <c r="DA1143" t="s">
        <v>111</v>
      </c>
      <c r="DB1143" t="s">
        <v>111</v>
      </c>
      <c r="DC1143" t="s">
        <v>111</v>
      </c>
    </row>
    <row r="1144" spans="1:107">
      <c r="A1144">
        <v>7</v>
      </c>
      <c r="B1144" t="s">
        <v>162</v>
      </c>
      <c r="C1144" t="s">
        <v>2952</v>
      </c>
      <c r="D1144" t="s">
        <v>3458</v>
      </c>
      <c r="E1144" t="s">
        <v>3459</v>
      </c>
      <c r="F1144" t="s">
        <v>1014</v>
      </c>
      <c r="G1144" t="s">
        <v>416</v>
      </c>
      <c r="H1144">
        <v>1.2</v>
      </c>
      <c r="I1144">
        <v>43</v>
      </c>
      <c r="J1144">
        <v>0</v>
      </c>
      <c r="K1144">
        <v>0</v>
      </c>
      <c r="L1144" t="s">
        <v>112</v>
      </c>
      <c r="M1144" t="s">
        <v>118</v>
      </c>
      <c r="N1144">
        <v>40</v>
      </c>
      <c r="O1144">
        <v>2</v>
      </c>
      <c r="P1144" t="s">
        <v>138</v>
      </c>
      <c r="Q1144">
        <v>30</v>
      </c>
      <c r="R1144">
        <v>0</v>
      </c>
      <c r="S1144">
        <v>0</v>
      </c>
      <c r="T1144">
        <v>0</v>
      </c>
      <c r="U1144" s="1" t="s">
        <v>3183</v>
      </c>
      <c r="V1144">
        <v>0</v>
      </c>
      <c r="W1144">
        <v>25</v>
      </c>
      <c r="X1144">
        <v>6</v>
      </c>
      <c r="Y1144">
        <v>0</v>
      </c>
      <c r="Z1144" t="s">
        <v>111</v>
      </c>
      <c r="AA1144">
        <v>0</v>
      </c>
      <c r="AB1144" t="s">
        <v>111</v>
      </c>
      <c r="AC1144">
        <v>0</v>
      </c>
      <c r="AD1144" t="s">
        <v>416</v>
      </c>
      <c r="AE1144">
        <v>1</v>
      </c>
      <c r="AF1144">
        <v>2</v>
      </c>
      <c r="AG1144">
        <v>76</v>
      </c>
      <c r="AH1144" t="s">
        <v>111</v>
      </c>
      <c r="AI1144">
        <v>38</v>
      </c>
      <c r="AJ1144" t="s">
        <v>111</v>
      </c>
      <c r="AK1144" t="s">
        <v>111</v>
      </c>
      <c r="AL1144" t="s">
        <v>111</v>
      </c>
      <c r="AM1144">
        <v>0</v>
      </c>
      <c r="AN1144">
        <v>0</v>
      </c>
      <c r="AO1144">
        <v>0</v>
      </c>
      <c r="AP1144" t="s">
        <v>111</v>
      </c>
      <c r="AQ1144" t="s">
        <v>111</v>
      </c>
      <c r="AR1144" t="s">
        <v>111</v>
      </c>
      <c r="AS1144" t="s">
        <v>111</v>
      </c>
      <c r="AT1144" t="s">
        <v>111</v>
      </c>
      <c r="AU1144" t="s">
        <v>111</v>
      </c>
      <c r="AV1144" t="s">
        <v>111</v>
      </c>
      <c r="AW1144" t="s">
        <v>111</v>
      </c>
      <c r="AX1144" t="s">
        <v>111</v>
      </c>
      <c r="AY1144" t="s">
        <v>111</v>
      </c>
      <c r="AZ1144" t="s">
        <v>111</v>
      </c>
      <c r="BA1144" t="s">
        <v>111</v>
      </c>
      <c r="BB1144" t="s">
        <v>111</v>
      </c>
      <c r="BC1144" t="s">
        <v>111</v>
      </c>
      <c r="BD1144" t="s">
        <v>111</v>
      </c>
      <c r="BE1144" t="s">
        <v>111</v>
      </c>
      <c r="BF1144" t="s">
        <v>111</v>
      </c>
      <c r="BG1144" t="s">
        <v>111</v>
      </c>
      <c r="BH1144" t="s">
        <v>111</v>
      </c>
      <c r="BI1144" t="s">
        <v>111</v>
      </c>
      <c r="BJ1144" t="s">
        <v>111</v>
      </c>
      <c r="BK1144" t="s">
        <v>111</v>
      </c>
      <c r="BL1144" t="s">
        <v>111</v>
      </c>
      <c r="BM1144" t="s">
        <v>111</v>
      </c>
      <c r="BN1144" t="s">
        <v>111</v>
      </c>
      <c r="BO1144" t="s">
        <v>111</v>
      </c>
      <c r="BP1144" t="s">
        <v>111</v>
      </c>
      <c r="BQ1144" t="s">
        <v>111</v>
      </c>
      <c r="BR1144" t="s">
        <v>111</v>
      </c>
      <c r="BS1144" t="s">
        <v>111</v>
      </c>
      <c r="BT1144" t="s">
        <v>111</v>
      </c>
      <c r="BU1144" t="s">
        <v>111</v>
      </c>
      <c r="BV1144" t="s">
        <v>111</v>
      </c>
      <c r="BW1144" t="s">
        <v>111</v>
      </c>
      <c r="BX1144" t="s">
        <v>111</v>
      </c>
      <c r="BY1144" t="s">
        <v>111</v>
      </c>
      <c r="BZ1144" t="s">
        <v>111</v>
      </c>
      <c r="CA1144" t="s">
        <v>111</v>
      </c>
      <c r="CB1144" t="s">
        <v>111</v>
      </c>
      <c r="CC1144" t="s">
        <v>111</v>
      </c>
      <c r="CD1144" t="s">
        <v>111</v>
      </c>
      <c r="CE1144" t="s">
        <v>111</v>
      </c>
      <c r="CF1144" t="s">
        <v>111</v>
      </c>
      <c r="CG1144" t="s">
        <v>111</v>
      </c>
      <c r="CH1144" t="s">
        <v>111</v>
      </c>
      <c r="CI1144" t="s">
        <v>111</v>
      </c>
      <c r="CJ1144" t="s">
        <v>111</v>
      </c>
      <c r="CK1144" t="s">
        <v>111</v>
      </c>
      <c r="CL1144" t="s">
        <v>153</v>
      </c>
      <c r="CM1144" t="s">
        <v>198</v>
      </c>
      <c r="CN1144" t="s">
        <v>128</v>
      </c>
      <c r="CO1144" t="s">
        <v>111</v>
      </c>
      <c r="CP1144" t="s">
        <v>433</v>
      </c>
      <c r="CQ1144">
        <v>0</v>
      </c>
      <c r="CR1144">
        <v>0</v>
      </c>
      <c r="CS1144">
        <v>0</v>
      </c>
      <c r="CT1144" t="s">
        <v>168</v>
      </c>
      <c r="CU1144">
        <v>0</v>
      </c>
      <c r="CV1144" t="s">
        <v>111</v>
      </c>
      <c r="CW1144" t="s">
        <v>111</v>
      </c>
      <c r="CX1144" t="s">
        <v>111</v>
      </c>
      <c r="CY1144">
        <v>0</v>
      </c>
      <c r="CZ1144" t="s">
        <v>111</v>
      </c>
      <c r="DA1144" t="s">
        <v>111</v>
      </c>
      <c r="DB1144" t="s">
        <v>111</v>
      </c>
      <c r="DC1144" t="s">
        <v>111</v>
      </c>
    </row>
    <row r="1145" spans="1:107">
      <c r="A1145">
        <v>193</v>
      </c>
      <c r="B1145" t="s">
        <v>162</v>
      </c>
      <c r="C1145" t="s">
        <v>267</v>
      </c>
      <c r="D1145" t="s">
        <v>2955</v>
      </c>
      <c r="E1145" t="s">
        <v>3460</v>
      </c>
      <c r="F1145" t="s">
        <v>125</v>
      </c>
      <c r="G1145" t="s">
        <v>416</v>
      </c>
      <c r="H1145">
        <v>0.95</v>
      </c>
      <c r="I1145">
        <v>50</v>
      </c>
      <c r="J1145">
        <v>0</v>
      </c>
      <c r="K1145">
        <v>0</v>
      </c>
      <c r="L1145" t="s">
        <v>112</v>
      </c>
      <c r="M1145" t="s">
        <v>138</v>
      </c>
      <c r="N1145">
        <v>0</v>
      </c>
      <c r="O1145">
        <v>0</v>
      </c>
      <c r="P1145" t="s">
        <v>138</v>
      </c>
      <c r="Q1145">
        <v>35</v>
      </c>
      <c r="R1145">
        <v>0</v>
      </c>
      <c r="S1145">
        <v>0</v>
      </c>
      <c r="T1145">
        <v>0</v>
      </c>
      <c r="U1145" t="s">
        <v>168</v>
      </c>
      <c r="V1145">
        <v>25</v>
      </c>
      <c r="W1145">
        <v>0</v>
      </c>
      <c r="X1145">
        <v>8</v>
      </c>
      <c r="Y1145">
        <v>0</v>
      </c>
      <c r="Z1145" t="s">
        <v>111</v>
      </c>
      <c r="AA1145">
        <v>0</v>
      </c>
      <c r="AB1145" t="s">
        <v>111</v>
      </c>
      <c r="AC1145">
        <v>0</v>
      </c>
      <c r="AD1145" t="s">
        <v>111</v>
      </c>
      <c r="AE1145">
        <v>0</v>
      </c>
      <c r="AF1145">
        <v>0</v>
      </c>
      <c r="AG1145" t="s">
        <v>111</v>
      </c>
      <c r="AH1145" t="s">
        <v>111</v>
      </c>
      <c r="AI1145" t="s">
        <v>111</v>
      </c>
      <c r="AJ1145" t="s">
        <v>111</v>
      </c>
      <c r="AK1145" t="s">
        <v>111</v>
      </c>
      <c r="AL1145" t="s">
        <v>111</v>
      </c>
      <c r="AM1145">
        <v>0</v>
      </c>
      <c r="AN1145">
        <v>0</v>
      </c>
      <c r="AO1145">
        <v>0</v>
      </c>
      <c r="AP1145" t="s">
        <v>111</v>
      </c>
      <c r="AQ1145" t="s">
        <v>111</v>
      </c>
      <c r="AR1145" t="s">
        <v>111</v>
      </c>
      <c r="AS1145" t="s">
        <v>111</v>
      </c>
      <c r="AT1145" t="s">
        <v>111</v>
      </c>
      <c r="AU1145" t="s">
        <v>111</v>
      </c>
      <c r="AV1145" t="s">
        <v>111</v>
      </c>
      <c r="AW1145" t="s">
        <v>111</v>
      </c>
      <c r="AX1145" t="s">
        <v>111</v>
      </c>
      <c r="AY1145" t="s">
        <v>111</v>
      </c>
      <c r="AZ1145" t="s">
        <v>111</v>
      </c>
      <c r="BA1145" t="s">
        <v>111</v>
      </c>
      <c r="BB1145" t="s">
        <v>111</v>
      </c>
      <c r="BC1145" t="s">
        <v>111</v>
      </c>
      <c r="BD1145" t="s">
        <v>111</v>
      </c>
      <c r="BE1145" t="s">
        <v>111</v>
      </c>
      <c r="BF1145" t="s">
        <v>111</v>
      </c>
      <c r="BG1145" t="s">
        <v>111</v>
      </c>
      <c r="BH1145" t="s">
        <v>111</v>
      </c>
      <c r="BI1145" t="s">
        <v>111</v>
      </c>
      <c r="BJ1145" t="s">
        <v>111</v>
      </c>
      <c r="BK1145" t="s">
        <v>111</v>
      </c>
      <c r="BL1145" t="s">
        <v>111</v>
      </c>
      <c r="BM1145" t="s">
        <v>111</v>
      </c>
      <c r="BN1145" t="s">
        <v>111</v>
      </c>
      <c r="BO1145" t="s">
        <v>111</v>
      </c>
      <c r="BP1145" t="s">
        <v>111</v>
      </c>
      <c r="BQ1145" t="s">
        <v>111</v>
      </c>
      <c r="BR1145" t="s">
        <v>111</v>
      </c>
      <c r="BS1145" t="s">
        <v>111</v>
      </c>
      <c r="BT1145" t="s">
        <v>111</v>
      </c>
      <c r="BU1145" t="s">
        <v>111</v>
      </c>
      <c r="BV1145" t="s">
        <v>111</v>
      </c>
      <c r="BW1145" t="s">
        <v>111</v>
      </c>
      <c r="BX1145" t="s">
        <v>111</v>
      </c>
      <c r="BY1145" t="s">
        <v>111</v>
      </c>
      <c r="BZ1145" t="s">
        <v>111</v>
      </c>
      <c r="CA1145" t="s">
        <v>111</v>
      </c>
      <c r="CB1145" t="s">
        <v>111</v>
      </c>
      <c r="CC1145" t="s">
        <v>111</v>
      </c>
      <c r="CD1145" t="s">
        <v>111</v>
      </c>
      <c r="CE1145" t="s">
        <v>111</v>
      </c>
      <c r="CF1145" t="s">
        <v>111</v>
      </c>
      <c r="CG1145" t="s">
        <v>111</v>
      </c>
      <c r="CH1145" t="s">
        <v>111</v>
      </c>
      <c r="CI1145" t="s">
        <v>111</v>
      </c>
      <c r="CJ1145" t="s">
        <v>111</v>
      </c>
      <c r="CK1145" t="s">
        <v>111</v>
      </c>
      <c r="CL1145" t="s">
        <v>111</v>
      </c>
      <c r="CM1145" t="s">
        <v>198</v>
      </c>
      <c r="CN1145" t="s">
        <v>128</v>
      </c>
      <c r="CO1145" t="s">
        <v>111</v>
      </c>
      <c r="CP1145" t="s">
        <v>111</v>
      </c>
      <c r="CQ1145">
        <v>0</v>
      </c>
      <c r="CR1145">
        <v>0</v>
      </c>
      <c r="CS1145">
        <v>0</v>
      </c>
      <c r="CT1145" t="s">
        <v>168</v>
      </c>
      <c r="CU1145">
        <v>0</v>
      </c>
      <c r="CV1145" t="s">
        <v>111</v>
      </c>
      <c r="CW1145" t="s">
        <v>111</v>
      </c>
      <c r="CX1145" t="s">
        <v>111</v>
      </c>
      <c r="CY1145">
        <v>0</v>
      </c>
      <c r="CZ1145" t="s">
        <v>111</v>
      </c>
      <c r="DA1145" t="s">
        <v>111</v>
      </c>
      <c r="DB1145" t="s">
        <v>111</v>
      </c>
      <c r="DC1145" t="s">
        <v>111</v>
      </c>
    </row>
    <row r="1146" spans="1:107">
      <c r="A1146">
        <v>8</v>
      </c>
      <c r="B1146" t="s">
        <v>162</v>
      </c>
      <c r="C1146" t="s">
        <v>2952</v>
      </c>
      <c r="D1146" t="s">
        <v>3458</v>
      </c>
      <c r="E1146" t="s">
        <v>3461</v>
      </c>
      <c r="F1146" t="s">
        <v>1014</v>
      </c>
      <c r="G1146" t="s">
        <v>416</v>
      </c>
      <c r="H1146">
        <v>1.2</v>
      </c>
      <c r="I1146">
        <v>43</v>
      </c>
      <c r="J1146">
        <v>0</v>
      </c>
      <c r="K1146">
        <v>0</v>
      </c>
      <c r="L1146" t="s">
        <v>112</v>
      </c>
      <c r="M1146" t="s">
        <v>118</v>
      </c>
      <c r="N1146">
        <v>40</v>
      </c>
      <c r="O1146">
        <v>2</v>
      </c>
      <c r="P1146" t="s">
        <v>138</v>
      </c>
      <c r="Q1146">
        <v>30</v>
      </c>
      <c r="R1146">
        <v>0</v>
      </c>
      <c r="S1146">
        <v>0</v>
      </c>
      <c r="T1146">
        <v>0</v>
      </c>
      <c r="U1146" s="1" t="s">
        <v>3183</v>
      </c>
      <c r="V1146">
        <v>0</v>
      </c>
      <c r="W1146">
        <v>25</v>
      </c>
      <c r="X1146">
        <v>6</v>
      </c>
      <c r="Y1146">
        <v>0</v>
      </c>
      <c r="Z1146" t="s">
        <v>111</v>
      </c>
      <c r="AA1146">
        <v>0</v>
      </c>
      <c r="AB1146" t="s">
        <v>111</v>
      </c>
      <c r="AC1146">
        <v>0</v>
      </c>
      <c r="AD1146" t="s">
        <v>416</v>
      </c>
      <c r="AE1146">
        <v>1</v>
      </c>
      <c r="AF1146">
        <v>2</v>
      </c>
      <c r="AG1146">
        <v>76</v>
      </c>
      <c r="AH1146" t="s">
        <v>111</v>
      </c>
      <c r="AI1146">
        <v>38</v>
      </c>
      <c r="AJ1146" t="s">
        <v>111</v>
      </c>
      <c r="AK1146" t="s">
        <v>111</v>
      </c>
      <c r="AL1146" t="s">
        <v>111</v>
      </c>
      <c r="AM1146">
        <v>0</v>
      </c>
      <c r="AN1146">
        <v>0</v>
      </c>
      <c r="AO1146">
        <v>0</v>
      </c>
      <c r="AP1146" t="s">
        <v>111</v>
      </c>
      <c r="AQ1146" t="s">
        <v>111</v>
      </c>
      <c r="AR1146" t="s">
        <v>111</v>
      </c>
      <c r="AS1146" t="s">
        <v>111</v>
      </c>
      <c r="AT1146" t="s">
        <v>111</v>
      </c>
      <c r="AU1146" t="s">
        <v>111</v>
      </c>
      <c r="AV1146" t="s">
        <v>111</v>
      </c>
      <c r="AW1146" t="s">
        <v>111</v>
      </c>
      <c r="AX1146" t="s">
        <v>111</v>
      </c>
      <c r="AY1146" t="s">
        <v>111</v>
      </c>
      <c r="AZ1146" t="s">
        <v>111</v>
      </c>
      <c r="BA1146" t="s">
        <v>111</v>
      </c>
      <c r="BB1146" t="s">
        <v>111</v>
      </c>
      <c r="BC1146" t="s">
        <v>111</v>
      </c>
      <c r="BD1146" t="s">
        <v>111</v>
      </c>
      <c r="BE1146" t="s">
        <v>111</v>
      </c>
      <c r="BF1146" t="s">
        <v>111</v>
      </c>
      <c r="BG1146" t="s">
        <v>111</v>
      </c>
      <c r="BH1146" t="s">
        <v>111</v>
      </c>
      <c r="BI1146" t="s">
        <v>111</v>
      </c>
      <c r="BJ1146" t="s">
        <v>111</v>
      </c>
      <c r="BK1146" t="s">
        <v>111</v>
      </c>
      <c r="BL1146" t="s">
        <v>111</v>
      </c>
      <c r="BM1146" t="s">
        <v>111</v>
      </c>
      <c r="BN1146" t="s">
        <v>111</v>
      </c>
      <c r="BO1146" t="s">
        <v>111</v>
      </c>
      <c r="BP1146" t="s">
        <v>111</v>
      </c>
      <c r="BQ1146" t="s">
        <v>111</v>
      </c>
      <c r="BR1146" t="s">
        <v>111</v>
      </c>
      <c r="BS1146" t="s">
        <v>111</v>
      </c>
      <c r="BT1146" t="s">
        <v>111</v>
      </c>
      <c r="BU1146" t="s">
        <v>111</v>
      </c>
      <c r="BV1146" t="s">
        <v>111</v>
      </c>
      <c r="BW1146" t="s">
        <v>111</v>
      </c>
      <c r="BX1146" t="s">
        <v>111</v>
      </c>
      <c r="BY1146" t="s">
        <v>111</v>
      </c>
      <c r="BZ1146" t="s">
        <v>111</v>
      </c>
      <c r="CA1146" t="s">
        <v>111</v>
      </c>
      <c r="CB1146" t="s">
        <v>111</v>
      </c>
      <c r="CC1146" t="s">
        <v>111</v>
      </c>
      <c r="CD1146" t="s">
        <v>111</v>
      </c>
      <c r="CE1146" t="s">
        <v>111</v>
      </c>
      <c r="CF1146" t="s">
        <v>111</v>
      </c>
      <c r="CG1146" t="s">
        <v>111</v>
      </c>
      <c r="CH1146" t="s">
        <v>111</v>
      </c>
      <c r="CI1146" t="s">
        <v>111</v>
      </c>
      <c r="CJ1146" t="s">
        <v>111</v>
      </c>
      <c r="CK1146" t="s">
        <v>111</v>
      </c>
      <c r="CL1146" t="s">
        <v>153</v>
      </c>
      <c r="CM1146" t="s">
        <v>198</v>
      </c>
      <c r="CN1146" t="s">
        <v>128</v>
      </c>
      <c r="CO1146" t="s">
        <v>111</v>
      </c>
      <c r="CP1146" t="s">
        <v>433</v>
      </c>
      <c r="CQ1146">
        <v>0</v>
      </c>
      <c r="CR1146">
        <v>0</v>
      </c>
      <c r="CS1146">
        <v>0</v>
      </c>
      <c r="CT1146" t="s">
        <v>168</v>
      </c>
      <c r="CU1146">
        <v>0</v>
      </c>
      <c r="CV1146" t="s">
        <v>111</v>
      </c>
      <c r="CW1146" t="s">
        <v>111</v>
      </c>
      <c r="CX1146" t="s">
        <v>111</v>
      </c>
      <c r="CY1146">
        <v>0</v>
      </c>
      <c r="CZ1146" t="s">
        <v>111</v>
      </c>
      <c r="DA1146" t="s">
        <v>111</v>
      </c>
      <c r="DB1146" t="s">
        <v>111</v>
      </c>
      <c r="DC1146" t="s">
        <v>111</v>
      </c>
    </row>
    <row r="1147" spans="1:107">
      <c r="A1147">
        <v>317</v>
      </c>
      <c r="B1147" t="s">
        <v>162</v>
      </c>
      <c r="C1147" t="s">
        <v>3462</v>
      </c>
      <c r="D1147" t="s">
        <v>3463</v>
      </c>
      <c r="E1147" t="s">
        <v>3464</v>
      </c>
      <c r="F1147" t="s">
        <v>370</v>
      </c>
      <c r="G1147" t="s">
        <v>416</v>
      </c>
      <c r="H1147">
        <v>2</v>
      </c>
      <c r="I1147">
        <v>30.4</v>
      </c>
      <c r="J1147">
        <v>0</v>
      </c>
      <c r="K1147">
        <v>0</v>
      </c>
      <c r="L1147" t="s">
        <v>112</v>
      </c>
      <c r="M1147" t="s">
        <v>118</v>
      </c>
      <c r="N1147">
        <v>40</v>
      </c>
      <c r="O1147">
        <v>2</v>
      </c>
      <c r="P1147" t="s">
        <v>138</v>
      </c>
      <c r="Q1147">
        <v>40</v>
      </c>
      <c r="R1147">
        <v>0</v>
      </c>
      <c r="S1147">
        <v>0</v>
      </c>
      <c r="T1147">
        <v>0</v>
      </c>
      <c r="U1147" t="s">
        <v>168</v>
      </c>
      <c r="V1147">
        <v>25</v>
      </c>
      <c r="W1147">
        <v>0</v>
      </c>
      <c r="X1147">
        <v>8</v>
      </c>
      <c r="Y1147">
        <v>0</v>
      </c>
      <c r="Z1147" t="s">
        <v>288</v>
      </c>
      <c r="AA1147">
        <v>1.65</v>
      </c>
      <c r="AB1147" t="s">
        <v>111</v>
      </c>
      <c r="AC1147">
        <v>0</v>
      </c>
      <c r="AD1147" t="s">
        <v>416</v>
      </c>
      <c r="AE1147">
        <v>2</v>
      </c>
      <c r="AF1147">
        <v>2</v>
      </c>
      <c r="AG1147">
        <v>21</v>
      </c>
      <c r="AH1147" t="s">
        <v>111</v>
      </c>
      <c r="AI1147">
        <v>42</v>
      </c>
      <c r="AJ1147" t="s">
        <v>111</v>
      </c>
      <c r="AK1147" t="s">
        <v>111</v>
      </c>
      <c r="AL1147" t="s">
        <v>111</v>
      </c>
      <c r="AM1147">
        <v>0</v>
      </c>
      <c r="AN1147">
        <v>0</v>
      </c>
      <c r="AO1147">
        <v>0</v>
      </c>
      <c r="AP1147" t="s">
        <v>147</v>
      </c>
      <c r="AQ1147" t="s">
        <v>111</v>
      </c>
      <c r="AR1147" t="s">
        <v>111</v>
      </c>
      <c r="AS1147" t="s">
        <v>111</v>
      </c>
      <c r="AT1147" t="s">
        <v>259</v>
      </c>
      <c r="AU1147" t="s">
        <v>111</v>
      </c>
      <c r="AV1147" t="s">
        <v>111</v>
      </c>
      <c r="AW1147" t="s">
        <v>111</v>
      </c>
      <c r="AX1147" t="s">
        <v>111</v>
      </c>
      <c r="AY1147" t="s">
        <v>111</v>
      </c>
      <c r="AZ1147" t="s">
        <v>111</v>
      </c>
      <c r="BA1147" t="s">
        <v>111</v>
      </c>
      <c r="BB1147" t="s">
        <v>111</v>
      </c>
      <c r="BC1147" t="s">
        <v>111</v>
      </c>
      <c r="BD1147" t="s">
        <v>111</v>
      </c>
      <c r="BE1147" t="s">
        <v>111</v>
      </c>
      <c r="BF1147" t="s">
        <v>111</v>
      </c>
      <c r="BG1147" t="s">
        <v>111</v>
      </c>
      <c r="BH1147" t="s">
        <v>111</v>
      </c>
      <c r="BI1147" t="s">
        <v>111</v>
      </c>
      <c r="BJ1147" t="s">
        <v>111</v>
      </c>
      <c r="BK1147" t="s">
        <v>111</v>
      </c>
      <c r="BL1147" t="s">
        <v>111</v>
      </c>
      <c r="BM1147" t="s">
        <v>111</v>
      </c>
      <c r="BN1147" t="s">
        <v>111</v>
      </c>
      <c r="BO1147" t="s">
        <v>111</v>
      </c>
      <c r="BP1147" t="s">
        <v>111</v>
      </c>
      <c r="BQ1147" t="s">
        <v>111</v>
      </c>
      <c r="BR1147" t="s">
        <v>111</v>
      </c>
      <c r="BS1147" t="s">
        <v>111</v>
      </c>
      <c r="BT1147" t="s">
        <v>111</v>
      </c>
      <c r="BU1147" t="s">
        <v>111</v>
      </c>
      <c r="BV1147" t="s">
        <v>111</v>
      </c>
      <c r="BW1147" t="s">
        <v>111</v>
      </c>
      <c r="BX1147" t="s">
        <v>111</v>
      </c>
      <c r="BY1147" t="s">
        <v>111</v>
      </c>
      <c r="BZ1147" t="s">
        <v>111</v>
      </c>
      <c r="CA1147" t="s">
        <v>111</v>
      </c>
      <c r="CB1147" t="s">
        <v>111</v>
      </c>
      <c r="CC1147" t="s">
        <v>111</v>
      </c>
      <c r="CD1147" t="s">
        <v>111</v>
      </c>
      <c r="CE1147" t="s">
        <v>111</v>
      </c>
      <c r="CF1147" t="s">
        <v>111</v>
      </c>
      <c r="CG1147" t="s">
        <v>111</v>
      </c>
      <c r="CH1147" t="s">
        <v>111</v>
      </c>
      <c r="CI1147" t="s">
        <v>111</v>
      </c>
      <c r="CJ1147" t="s">
        <v>111</v>
      </c>
      <c r="CK1147" t="s">
        <v>111</v>
      </c>
      <c r="CL1147" t="s">
        <v>153</v>
      </c>
      <c r="CM1147" t="s">
        <v>198</v>
      </c>
      <c r="CN1147" t="s">
        <v>113</v>
      </c>
      <c r="CO1147" t="s">
        <v>1348</v>
      </c>
      <c r="CP1147" t="s">
        <v>433</v>
      </c>
      <c r="CQ1147">
        <v>0</v>
      </c>
      <c r="CR1147">
        <v>0</v>
      </c>
      <c r="CS1147">
        <v>0</v>
      </c>
      <c r="CT1147" t="s">
        <v>168</v>
      </c>
      <c r="CU1147">
        <v>0</v>
      </c>
      <c r="CV1147" t="s">
        <v>111</v>
      </c>
      <c r="CW1147" t="s">
        <v>111</v>
      </c>
      <c r="CX1147" t="s">
        <v>111</v>
      </c>
      <c r="CY1147">
        <v>0</v>
      </c>
      <c r="CZ1147" t="s">
        <v>111</v>
      </c>
      <c r="DA1147" t="s">
        <v>111</v>
      </c>
      <c r="DB1147" t="s">
        <v>204</v>
      </c>
      <c r="DC1147" s="1" t="s">
        <v>1350</v>
      </c>
    </row>
    <row r="1148" spans="1:107">
      <c r="A1148">
        <v>316</v>
      </c>
      <c r="B1148" t="s">
        <v>162</v>
      </c>
      <c r="C1148" t="s">
        <v>3462</v>
      </c>
      <c r="D1148" t="s">
        <v>3465</v>
      </c>
      <c r="E1148" t="s">
        <v>3466</v>
      </c>
      <c r="F1148" t="s">
        <v>370</v>
      </c>
      <c r="G1148" t="s">
        <v>416</v>
      </c>
      <c r="H1148">
        <v>2.9</v>
      </c>
      <c r="I1148">
        <v>53</v>
      </c>
      <c r="J1148">
        <v>0</v>
      </c>
      <c r="K1148">
        <v>0</v>
      </c>
      <c r="L1148" t="s">
        <v>112</v>
      </c>
      <c r="M1148" t="s">
        <v>118</v>
      </c>
      <c r="N1148">
        <v>40</v>
      </c>
      <c r="O1148">
        <v>2</v>
      </c>
      <c r="P1148" t="s">
        <v>138</v>
      </c>
      <c r="Q1148">
        <v>40</v>
      </c>
      <c r="R1148">
        <v>0</v>
      </c>
      <c r="S1148">
        <v>0</v>
      </c>
      <c r="T1148">
        <v>0</v>
      </c>
      <c r="U1148" t="s">
        <v>168</v>
      </c>
      <c r="V1148">
        <v>25</v>
      </c>
      <c r="W1148">
        <v>0</v>
      </c>
      <c r="X1148">
        <v>8</v>
      </c>
      <c r="Y1148">
        <v>0</v>
      </c>
      <c r="Z1148" t="s">
        <v>288</v>
      </c>
      <c r="AA1148">
        <v>1.65</v>
      </c>
      <c r="AB1148" t="s">
        <v>111</v>
      </c>
      <c r="AC1148">
        <v>0</v>
      </c>
      <c r="AD1148" t="s">
        <v>416</v>
      </c>
      <c r="AE1148">
        <v>2</v>
      </c>
      <c r="AF1148">
        <v>2</v>
      </c>
      <c r="AG1148">
        <v>55</v>
      </c>
      <c r="AH1148" t="s">
        <v>111</v>
      </c>
      <c r="AI1148">
        <v>55</v>
      </c>
      <c r="AJ1148" t="s">
        <v>111</v>
      </c>
      <c r="AK1148" t="s">
        <v>111</v>
      </c>
      <c r="AL1148" t="s">
        <v>111</v>
      </c>
      <c r="AM1148">
        <v>0</v>
      </c>
      <c r="AN1148">
        <v>0</v>
      </c>
      <c r="AO1148">
        <v>0</v>
      </c>
      <c r="AP1148" t="s">
        <v>147</v>
      </c>
      <c r="AQ1148" t="s">
        <v>111</v>
      </c>
      <c r="AR1148" t="s">
        <v>111</v>
      </c>
      <c r="AS1148" t="s">
        <v>111</v>
      </c>
      <c r="AT1148" t="s">
        <v>259</v>
      </c>
      <c r="AU1148" t="s">
        <v>111</v>
      </c>
      <c r="AV1148" t="s">
        <v>111</v>
      </c>
      <c r="AW1148" t="s">
        <v>111</v>
      </c>
      <c r="AX1148" t="s">
        <v>111</v>
      </c>
      <c r="AY1148" t="s">
        <v>111</v>
      </c>
      <c r="AZ1148" t="s">
        <v>111</v>
      </c>
      <c r="BA1148" t="s">
        <v>111</v>
      </c>
      <c r="BB1148" t="s">
        <v>111</v>
      </c>
      <c r="BC1148" t="s">
        <v>111</v>
      </c>
      <c r="BD1148" t="s">
        <v>111</v>
      </c>
      <c r="BE1148" t="s">
        <v>111</v>
      </c>
      <c r="BF1148" t="s">
        <v>111</v>
      </c>
      <c r="BG1148" t="s">
        <v>111</v>
      </c>
      <c r="BH1148" t="s">
        <v>111</v>
      </c>
      <c r="BI1148" t="s">
        <v>111</v>
      </c>
      <c r="BJ1148" t="s">
        <v>111</v>
      </c>
      <c r="BK1148" t="s">
        <v>111</v>
      </c>
      <c r="BL1148" t="s">
        <v>111</v>
      </c>
      <c r="BM1148" t="s">
        <v>111</v>
      </c>
      <c r="BN1148" t="s">
        <v>111</v>
      </c>
      <c r="BO1148" t="s">
        <v>111</v>
      </c>
      <c r="BP1148" t="s">
        <v>111</v>
      </c>
      <c r="BQ1148" t="s">
        <v>111</v>
      </c>
      <c r="BR1148" t="s">
        <v>111</v>
      </c>
      <c r="BS1148" t="s">
        <v>111</v>
      </c>
      <c r="BT1148" t="s">
        <v>111</v>
      </c>
      <c r="BU1148" t="s">
        <v>111</v>
      </c>
      <c r="BV1148" t="s">
        <v>111</v>
      </c>
      <c r="BW1148" t="s">
        <v>111</v>
      </c>
      <c r="BX1148" t="s">
        <v>111</v>
      </c>
      <c r="BY1148" t="s">
        <v>111</v>
      </c>
      <c r="BZ1148" t="s">
        <v>111</v>
      </c>
      <c r="CA1148" t="s">
        <v>111</v>
      </c>
      <c r="CB1148" t="s">
        <v>111</v>
      </c>
      <c r="CC1148" t="s">
        <v>111</v>
      </c>
      <c r="CD1148" t="s">
        <v>111</v>
      </c>
      <c r="CE1148" t="s">
        <v>111</v>
      </c>
      <c r="CF1148" t="s">
        <v>111</v>
      </c>
      <c r="CG1148" t="s">
        <v>111</v>
      </c>
      <c r="CH1148" t="s">
        <v>111</v>
      </c>
      <c r="CI1148" t="s">
        <v>111</v>
      </c>
      <c r="CJ1148" t="s">
        <v>111</v>
      </c>
      <c r="CK1148" t="s">
        <v>111</v>
      </c>
      <c r="CL1148" t="s">
        <v>153</v>
      </c>
      <c r="CM1148" t="s">
        <v>198</v>
      </c>
      <c r="CN1148" t="s">
        <v>128</v>
      </c>
      <c r="CO1148" t="s">
        <v>1348</v>
      </c>
      <c r="CP1148" t="s">
        <v>433</v>
      </c>
      <c r="CQ1148">
        <v>0</v>
      </c>
      <c r="CR1148">
        <v>0</v>
      </c>
      <c r="CS1148">
        <v>0</v>
      </c>
      <c r="CT1148" t="s">
        <v>168</v>
      </c>
      <c r="CU1148">
        <v>0</v>
      </c>
      <c r="CV1148" t="s">
        <v>111</v>
      </c>
      <c r="CW1148" t="s">
        <v>111</v>
      </c>
      <c r="CX1148" t="s">
        <v>111</v>
      </c>
      <c r="CY1148">
        <v>0</v>
      </c>
      <c r="CZ1148" t="s">
        <v>111</v>
      </c>
      <c r="DA1148" t="s">
        <v>111</v>
      </c>
      <c r="DB1148" t="s">
        <v>204</v>
      </c>
      <c r="DC1148" s="1" t="s">
        <v>1350</v>
      </c>
    </row>
    <row r="1149" spans="1:107">
      <c r="A1149">
        <v>1155</v>
      </c>
      <c r="B1149" t="s">
        <v>107</v>
      </c>
      <c r="C1149" s="2">
        <v>70085947</v>
      </c>
      <c r="D1149" t="s">
        <v>3467</v>
      </c>
      <c r="E1149" t="s">
        <v>3468</v>
      </c>
      <c r="F1149" t="s">
        <v>2870</v>
      </c>
      <c r="G1149" t="s">
        <v>416</v>
      </c>
      <c r="H1149">
        <v>2</v>
      </c>
      <c r="I1149">
        <v>21</v>
      </c>
      <c r="J1149">
        <v>0</v>
      </c>
      <c r="K1149">
        <v>0</v>
      </c>
      <c r="L1149" t="s">
        <v>112</v>
      </c>
      <c r="M1149" t="s">
        <v>118</v>
      </c>
      <c r="N1149">
        <v>39</v>
      </c>
      <c r="O1149">
        <v>2</v>
      </c>
      <c r="P1149" t="s">
        <v>111</v>
      </c>
      <c r="Q1149">
        <v>20</v>
      </c>
      <c r="R1149">
        <v>0</v>
      </c>
      <c r="S1149">
        <v>0</v>
      </c>
      <c r="T1149">
        <v>5</v>
      </c>
      <c r="U1149" t="s">
        <v>501</v>
      </c>
      <c r="V1149">
        <v>25</v>
      </c>
      <c r="W1149">
        <v>0</v>
      </c>
      <c r="X1149">
        <v>8</v>
      </c>
      <c r="Y1149">
        <v>0</v>
      </c>
      <c r="Z1149" t="s">
        <v>111</v>
      </c>
      <c r="AA1149">
        <v>0</v>
      </c>
      <c r="AB1149" t="s">
        <v>111</v>
      </c>
      <c r="AC1149">
        <v>0</v>
      </c>
      <c r="AD1149" t="s">
        <v>416</v>
      </c>
      <c r="AE1149">
        <v>0</v>
      </c>
      <c r="AF1149">
        <v>0</v>
      </c>
      <c r="AG1149" t="s">
        <v>111</v>
      </c>
      <c r="AH1149" t="s">
        <v>113</v>
      </c>
      <c r="AI1149" t="s">
        <v>111</v>
      </c>
      <c r="AJ1149" t="s">
        <v>111</v>
      </c>
      <c r="AK1149" t="s">
        <v>111</v>
      </c>
      <c r="AL1149" t="s">
        <v>111</v>
      </c>
      <c r="AM1149">
        <v>0</v>
      </c>
      <c r="AN1149">
        <v>0</v>
      </c>
      <c r="AO1149">
        <v>0</v>
      </c>
      <c r="AP1149" t="s">
        <v>111</v>
      </c>
      <c r="AQ1149" t="s">
        <v>111</v>
      </c>
      <c r="AR1149" t="s">
        <v>111</v>
      </c>
      <c r="AS1149" t="s">
        <v>111</v>
      </c>
      <c r="AT1149" t="s">
        <v>111</v>
      </c>
      <c r="AU1149" t="s">
        <v>111</v>
      </c>
      <c r="AV1149" t="s">
        <v>111</v>
      </c>
      <c r="AW1149" t="s">
        <v>111</v>
      </c>
      <c r="AX1149" t="s">
        <v>111</v>
      </c>
      <c r="AY1149" t="s">
        <v>111</v>
      </c>
      <c r="AZ1149" t="s">
        <v>111</v>
      </c>
      <c r="BA1149" t="s">
        <v>111</v>
      </c>
      <c r="BB1149" t="s">
        <v>111</v>
      </c>
      <c r="BC1149" t="s">
        <v>111</v>
      </c>
      <c r="BD1149" t="s">
        <v>111</v>
      </c>
      <c r="BE1149" t="s">
        <v>111</v>
      </c>
      <c r="BF1149" t="s">
        <v>111</v>
      </c>
      <c r="BG1149" t="s">
        <v>111</v>
      </c>
      <c r="BH1149" t="s">
        <v>111</v>
      </c>
      <c r="BI1149" t="s">
        <v>111</v>
      </c>
      <c r="BJ1149" t="s">
        <v>111</v>
      </c>
      <c r="BK1149" t="s">
        <v>111</v>
      </c>
      <c r="BL1149" t="s">
        <v>111</v>
      </c>
      <c r="BM1149" t="s">
        <v>111</v>
      </c>
      <c r="BN1149" t="s">
        <v>111</v>
      </c>
      <c r="BO1149" t="s">
        <v>111</v>
      </c>
      <c r="BP1149" t="s">
        <v>111</v>
      </c>
      <c r="BQ1149" t="s">
        <v>111</v>
      </c>
      <c r="BR1149" t="s">
        <v>111</v>
      </c>
      <c r="BS1149" t="s">
        <v>111</v>
      </c>
      <c r="BT1149" t="s">
        <v>111</v>
      </c>
      <c r="BU1149" t="s">
        <v>111</v>
      </c>
      <c r="BV1149" t="s">
        <v>111</v>
      </c>
      <c r="BW1149" t="s">
        <v>111</v>
      </c>
      <c r="BX1149" t="s">
        <v>111</v>
      </c>
      <c r="BY1149" t="s">
        <v>111</v>
      </c>
      <c r="BZ1149" t="s">
        <v>111</v>
      </c>
      <c r="CA1149" t="s">
        <v>111</v>
      </c>
      <c r="CB1149" t="s">
        <v>111</v>
      </c>
      <c r="CC1149" t="s">
        <v>111</v>
      </c>
      <c r="CD1149" t="s">
        <v>111</v>
      </c>
      <c r="CE1149" t="s">
        <v>111</v>
      </c>
      <c r="CF1149" t="s">
        <v>111</v>
      </c>
      <c r="CG1149" t="s">
        <v>111</v>
      </c>
      <c r="CH1149" t="s">
        <v>111</v>
      </c>
      <c r="CI1149" t="s">
        <v>111</v>
      </c>
      <c r="CJ1149" t="s">
        <v>111</v>
      </c>
      <c r="CK1149" t="s">
        <v>111</v>
      </c>
      <c r="CL1149" t="e">
        <f>-DESTINO ALMACEN</f>
        <v>#NAME?</v>
      </c>
      <c r="CM1149" t="s">
        <v>111</v>
      </c>
      <c r="CN1149" t="s">
        <v>111</v>
      </c>
      <c r="CO1149" t="s">
        <v>111</v>
      </c>
      <c r="CP1149" t="s">
        <v>111</v>
      </c>
      <c r="CQ1149">
        <v>0</v>
      </c>
      <c r="CR1149">
        <v>0</v>
      </c>
      <c r="CS1149">
        <v>0</v>
      </c>
      <c r="CT1149" t="s">
        <v>111</v>
      </c>
      <c r="CU1149">
        <v>0</v>
      </c>
      <c r="CV1149" t="s">
        <v>111</v>
      </c>
      <c r="CW1149" t="s">
        <v>111</v>
      </c>
      <c r="CX1149" t="s">
        <v>111</v>
      </c>
      <c r="CY1149">
        <v>0</v>
      </c>
      <c r="CZ1149" t="s">
        <v>111</v>
      </c>
      <c r="DA1149" t="s">
        <v>111</v>
      </c>
      <c r="DB1149" t="s">
        <v>111</v>
      </c>
      <c r="DC1149" t="s">
        <v>111</v>
      </c>
    </row>
    <row r="1150" spans="1:107">
      <c r="A1150">
        <v>310</v>
      </c>
      <c r="B1150" t="s">
        <v>162</v>
      </c>
      <c r="C1150" t="s">
        <v>122</v>
      </c>
      <c r="D1150" t="s">
        <v>2940</v>
      </c>
      <c r="E1150" t="s">
        <v>3469</v>
      </c>
      <c r="F1150" t="s">
        <v>125</v>
      </c>
      <c r="G1150" t="s">
        <v>416</v>
      </c>
      <c r="H1150">
        <v>0.45</v>
      </c>
      <c r="I1150">
        <v>61</v>
      </c>
      <c r="J1150">
        <v>0</v>
      </c>
      <c r="K1150">
        <v>0</v>
      </c>
      <c r="L1150" t="s">
        <v>112</v>
      </c>
      <c r="M1150" t="s">
        <v>138</v>
      </c>
      <c r="N1150">
        <v>0</v>
      </c>
      <c r="O1150">
        <v>0</v>
      </c>
      <c r="P1150" t="s">
        <v>138</v>
      </c>
      <c r="Q1150">
        <v>40</v>
      </c>
      <c r="R1150">
        <v>0</v>
      </c>
      <c r="S1150">
        <v>0</v>
      </c>
      <c r="T1150">
        <v>0</v>
      </c>
      <c r="U1150" s="1" t="s">
        <v>3470</v>
      </c>
      <c r="V1150">
        <v>0</v>
      </c>
      <c r="W1150">
        <v>0</v>
      </c>
      <c r="X1150">
        <v>1</v>
      </c>
      <c r="Y1150">
        <v>0</v>
      </c>
      <c r="Z1150" t="s">
        <v>111</v>
      </c>
      <c r="AA1150">
        <v>0</v>
      </c>
      <c r="AB1150" t="s">
        <v>111</v>
      </c>
      <c r="AC1150">
        <v>0</v>
      </c>
      <c r="AD1150" t="s">
        <v>111</v>
      </c>
      <c r="AE1150">
        <v>0</v>
      </c>
      <c r="AF1150">
        <v>0</v>
      </c>
      <c r="AG1150" t="s">
        <v>111</v>
      </c>
      <c r="AH1150" t="s">
        <v>111</v>
      </c>
      <c r="AI1150" t="s">
        <v>111</v>
      </c>
      <c r="AJ1150" t="s">
        <v>111</v>
      </c>
      <c r="AK1150" t="s">
        <v>111</v>
      </c>
      <c r="AL1150" t="s">
        <v>111</v>
      </c>
      <c r="AM1150">
        <v>0</v>
      </c>
      <c r="AN1150">
        <v>0</v>
      </c>
      <c r="AO1150">
        <v>0</v>
      </c>
      <c r="AP1150" t="s">
        <v>111</v>
      </c>
      <c r="AQ1150" t="s">
        <v>111</v>
      </c>
      <c r="AR1150" t="s">
        <v>111</v>
      </c>
      <c r="AS1150" t="s">
        <v>111</v>
      </c>
      <c r="AT1150" t="s">
        <v>111</v>
      </c>
      <c r="AU1150" t="s">
        <v>111</v>
      </c>
      <c r="AV1150" t="s">
        <v>111</v>
      </c>
      <c r="AW1150" t="s">
        <v>111</v>
      </c>
      <c r="AX1150" t="s">
        <v>111</v>
      </c>
      <c r="AY1150" t="s">
        <v>111</v>
      </c>
      <c r="AZ1150" t="s">
        <v>111</v>
      </c>
      <c r="BA1150" t="s">
        <v>111</v>
      </c>
      <c r="BB1150" t="s">
        <v>111</v>
      </c>
      <c r="BC1150" t="s">
        <v>111</v>
      </c>
      <c r="BD1150" t="s">
        <v>111</v>
      </c>
      <c r="BE1150" t="s">
        <v>111</v>
      </c>
      <c r="BF1150" t="s">
        <v>111</v>
      </c>
      <c r="BG1150" t="s">
        <v>111</v>
      </c>
      <c r="BH1150" t="s">
        <v>111</v>
      </c>
      <c r="BI1150" t="s">
        <v>111</v>
      </c>
      <c r="BJ1150" t="s">
        <v>111</v>
      </c>
      <c r="BK1150" t="s">
        <v>111</v>
      </c>
      <c r="BL1150" t="s">
        <v>111</v>
      </c>
      <c r="BM1150" t="s">
        <v>111</v>
      </c>
      <c r="BN1150" t="s">
        <v>111</v>
      </c>
      <c r="BO1150" t="s">
        <v>111</v>
      </c>
      <c r="BP1150" t="s">
        <v>111</v>
      </c>
      <c r="BQ1150" t="s">
        <v>111</v>
      </c>
      <c r="BR1150" t="s">
        <v>111</v>
      </c>
      <c r="BS1150" t="s">
        <v>111</v>
      </c>
      <c r="BT1150" t="s">
        <v>111</v>
      </c>
      <c r="BU1150" t="s">
        <v>111</v>
      </c>
      <c r="BV1150" t="s">
        <v>111</v>
      </c>
      <c r="BW1150" t="s">
        <v>111</v>
      </c>
      <c r="BX1150" t="s">
        <v>111</v>
      </c>
      <c r="BY1150" t="s">
        <v>111</v>
      </c>
      <c r="BZ1150" t="s">
        <v>111</v>
      </c>
      <c r="CA1150" t="s">
        <v>111</v>
      </c>
      <c r="CB1150" t="s">
        <v>111</v>
      </c>
      <c r="CC1150" t="s">
        <v>111</v>
      </c>
      <c r="CD1150" t="s">
        <v>111</v>
      </c>
      <c r="CE1150" t="s">
        <v>111</v>
      </c>
      <c r="CF1150" t="s">
        <v>111</v>
      </c>
      <c r="CG1150" t="s">
        <v>111</v>
      </c>
      <c r="CH1150" t="s">
        <v>111</v>
      </c>
      <c r="CI1150" t="s">
        <v>111</v>
      </c>
      <c r="CJ1150" t="s">
        <v>111</v>
      </c>
      <c r="CK1150" t="s">
        <v>111</v>
      </c>
      <c r="CL1150" t="s">
        <v>111</v>
      </c>
      <c r="CM1150" t="s">
        <v>127</v>
      </c>
      <c r="CN1150" t="s">
        <v>128</v>
      </c>
      <c r="CO1150" t="s">
        <v>111</v>
      </c>
      <c r="CP1150" t="s">
        <v>111</v>
      </c>
      <c r="CQ1150">
        <v>0</v>
      </c>
      <c r="CR1150">
        <v>0</v>
      </c>
      <c r="CS1150">
        <v>0</v>
      </c>
      <c r="CT1150" t="s">
        <v>168</v>
      </c>
      <c r="CU1150">
        <v>0</v>
      </c>
      <c r="CV1150" t="s">
        <v>111</v>
      </c>
      <c r="CW1150" t="s">
        <v>111</v>
      </c>
      <c r="CX1150" t="s">
        <v>111</v>
      </c>
      <c r="CY1150">
        <v>0</v>
      </c>
      <c r="CZ1150" t="s">
        <v>111</v>
      </c>
      <c r="DA1150" t="s">
        <v>111</v>
      </c>
      <c r="DB1150" t="s">
        <v>111</v>
      </c>
      <c r="DC1150" t="s">
        <v>111</v>
      </c>
    </row>
    <row r="1151" spans="1:107">
      <c r="A1151">
        <v>1012</v>
      </c>
      <c r="B1151" t="s">
        <v>107</v>
      </c>
      <c r="C1151" t="s">
        <v>937</v>
      </c>
      <c r="D1151" t="s">
        <v>938</v>
      </c>
      <c r="E1151" t="s">
        <v>3471</v>
      </c>
      <c r="F1151" t="s">
        <v>431</v>
      </c>
      <c r="G1151" t="s">
        <v>416</v>
      </c>
      <c r="H1151">
        <v>3</v>
      </c>
      <c r="I1151">
        <v>540</v>
      </c>
      <c r="J1151">
        <v>0</v>
      </c>
      <c r="K1151">
        <v>0</v>
      </c>
      <c r="L1151" t="s">
        <v>117</v>
      </c>
      <c r="M1151" t="s">
        <v>118</v>
      </c>
      <c r="N1151">
        <v>39</v>
      </c>
      <c r="O1151">
        <v>1</v>
      </c>
      <c r="P1151" t="s">
        <v>138</v>
      </c>
      <c r="Q1151">
        <v>27</v>
      </c>
      <c r="R1151">
        <v>0</v>
      </c>
      <c r="S1151">
        <v>0</v>
      </c>
      <c r="T1151">
        <v>5</v>
      </c>
      <c r="U1151" t="s">
        <v>1511</v>
      </c>
      <c r="V1151">
        <v>0</v>
      </c>
      <c r="W1151">
        <v>25</v>
      </c>
      <c r="X1151">
        <v>8</v>
      </c>
      <c r="Y1151">
        <v>0</v>
      </c>
      <c r="Z1151" t="s">
        <v>111</v>
      </c>
      <c r="AA1151">
        <v>0</v>
      </c>
      <c r="AB1151" t="s">
        <v>940</v>
      </c>
      <c r="AC1151">
        <v>8</v>
      </c>
      <c r="AD1151" t="s">
        <v>416</v>
      </c>
      <c r="AE1151">
        <v>0</v>
      </c>
      <c r="AF1151">
        <v>0</v>
      </c>
      <c r="AG1151" t="s">
        <v>111</v>
      </c>
      <c r="AH1151" t="s">
        <v>111</v>
      </c>
      <c r="AI1151" t="s">
        <v>111</v>
      </c>
      <c r="AJ1151" t="s">
        <v>111</v>
      </c>
      <c r="AK1151" t="s">
        <v>111</v>
      </c>
      <c r="AL1151" t="s">
        <v>111</v>
      </c>
      <c r="AM1151">
        <v>0</v>
      </c>
      <c r="AN1151">
        <v>0</v>
      </c>
      <c r="AO1151">
        <v>0</v>
      </c>
      <c r="AP1151" t="s">
        <v>111</v>
      </c>
      <c r="AQ1151" t="s">
        <v>111</v>
      </c>
      <c r="AR1151" t="s">
        <v>111</v>
      </c>
      <c r="AS1151" t="s">
        <v>111</v>
      </c>
      <c r="AT1151" t="s">
        <v>111</v>
      </c>
      <c r="AU1151" t="s">
        <v>111</v>
      </c>
      <c r="AV1151" t="s">
        <v>111</v>
      </c>
      <c r="AW1151" t="s">
        <v>111</v>
      </c>
      <c r="AX1151" t="s">
        <v>111</v>
      </c>
      <c r="AY1151" t="s">
        <v>111</v>
      </c>
      <c r="AZ1151" t="s">
        <v>111</v>
      </c>
      <c r="BA1151" t="s">
        <v>111</v>
      </c>
      <c r="BB1151" t="s">
        <v>111</v>
      </c>
      <c r="BC1151" t="s">
        <v>111</v>
      </c>
      <c r="BD1151" t="s">
        <v>111</v>
      </c>
      <c r="BE1151" t="s">
        <v>111</v>
      </c>
      <c r="BF1151" t="s">
        <v>111</v>
      </c>
      <c r="BG1151" t="s">
        <v>111</v>
      </c>
      <c r="BH1151" t="s">
        <v>111</v>
      </c>
      <c r="BI1151" t="s">
        <v>111</v>
      </c>
      <c r="BJ1151" t="s">
        <v>111</v>
      </c>
      <c r="BK1151" t="s">
        <v>111</v>
      </c>
      <c r="BL1151" t="s">
        <v>111</v>
      </c>
      <c r="BM1151" t="s">
        <v>111</v>
      </c>
      <c r="BN1151" t="s">
        <v>111</v>
      </c>
      <c r="BO1151" t="s">
        <v>111</v>
      </c>
      <c r="BP1151" t="s">
        <v>111</v>
      </c>
      <c r="BQ1151" t="s">
        <v>111</v>
      </c>
      <c r="BR1151" t="s">
        <v>111</v>
      </c>
      <c r="BS1151" t="s">
        <v>111</v>
      </c>
      <c r="BT1151" t="s">
        <v>111</v>
      </c>
      <c r="BU1151" t="s">
        <v>111</v>
      </c>
      <c r="BV1151" t="s">
        <v>111</v>
      </c>
      <c r="BW1151" t="s">
        <v>111</v>
      </c>
      <c r="BX1151" t="s">
        <v>111</v>
      </c>
      <c r="BY1151" t="s">
        <v>111</v>
      </c>
      <c r="BZ1151" t="s">
        <v>111</v>
      </c>
      <c r="CA1151" t="s">
        <v>111</v>
      </c>
      <c r="CB1151" t="s">
        <v>111</v>
      </c>
      <c r="CC1151" t="s">
        <v>111</v>
      </c>
      <c r="CD1151" t="s">
        <v>111</v>
      </c>
      <c r="CE1151" t="s">
        <v>111</v>
      </c>
      <c r="CF1151" t="s">
        <v>111</v>
      </c>
      <c r="CG1151" t="s">
        <v>111</v>
      </c>
      <c r="CH1151" t="s">
        <v>111</v>
      </c>
      <c r="CI1151" t="s">
        <v>111</v>
      </c>
      <c r="CJ1151" t="s">
        <v>111</v>
      </c>
      <c r="CK1151" t="s">
        <v>111</v>
      </c>
      <c r="CL1151" t="e">
        <f>-DESTINO SELLADO</f>
        <v>#NAME?</v>
      </c>
      <c r="CM1151" t="s">
        <v>135</v>
      </c>
      <c r="CN1151" t="s">
        <v>3472</v>
      </c>
      <c r="CO1151" t="s">
        <v>111</v>
      </c>
      <c r="CP1151" t="e">
        <f>-MUESTRA</f>
        <v>#NAME?</v>
      </c>
      <c r="CQ1151">
        <v>40</v>
      </c>
      <c r="CR1151">
        <v>4000</v>
      </c>
      <c r="CS1151">
        <v>100</v>
      </c>
      <c r="CT1151" s="1" t="s">
        <v>1748</v>
      </c>
      <c r="CU1151">
        <v>0</v>
      </c>
      <c r="CV1151" t="s">
        <v>111</v>
      </c>
      <c r="CW1151" t="s">
        <v>111</v>
      </c>
      <c r="CX1151" t="s">
        <v>111</v>
      </c>
      <c r="CY1151">
        <v>0</v>
      </c>
      <c r="CZ1151" t="s">
        <v>111</v>
      </c>
      <c r="DA1151" t="s">
        <v>111</v>
      </c>
      <c r="DB1151" t="s">
        <v>111</v>
      </c>
      <c r="DC1151" t="s">
        <v>111</v>
      </c>
    </row>
    <row r="1152" spans="1:107">
      <c r="A1152">
        <v>194</v>
      </c>
      <c r="B1152" t="s">
        <v>162</v>
      </c>
      <c r="C1152" t="s">
        <v>267</v>
      </c>
      <c r="D1152" t="s">
        <v>3208</v>
      </c>
      <c r="E1152" t="s">
        <v>3473</v>
      </c>
      <c r="F1152" t="s">
        <v>125</v>
      </c>
      <c r="G1152" t="s">
        <v>416</v>
      </c>
      <c r="H1152">
        <v>0.95</v>
      </c>
      <c r="I1152">
        <v>42</v>
      </c>
      <c r="J1152">
        <v>0</v>
      </c>
      <c r="K1152">
        <v>0</v>
      </c>
      <c r="L1152" t="s">
        <v>178</v>
      </c>
      <c r="M1152" t="s">
        <v>138</v>
      </c>
      <c r="N1152">
        <v>0</v>
      </c>
      <c r="O1152">
        <v>0</v>
      </c>
      <c r="P1152" t="s">
        <v>138</v>
      </c>
      <c r="Q1152">
        <v>35</v>
      </c>
      <c r="R1152">
        <v>0</v>
      </c>
      <c r="S1152">
        <v>0</v>
      </c>
      <c r="T1152">
        <v>0</v>
      </c>
      <c r="U1152" t="s">
        <v>153</v>
      </c>
      <c r="V1152">
        <v>25</v>
      </c>
      <c r="W1152">
        <v>0</v>
      </c>
      <c r="X1152">
        <v>8</v>
      </c>
      <c r="Y1152">
        <v>0</v>
      </c>
      <c r="Z1152" t="s">
        <v>111</v>
      </c>
      <c r="AA1152">
        <v>0</v>
      </c>
      <c r="AB1152" t="s">
        <v>111</v>
      </c>
      <c r="AC1152">
        <v>0</v>
      </c>
      <c r="AD1152" t="s">
        <v>111</v>
      </c>
      <c r="AE1152">
        <v>0</v>
      </c>
      <c r="AF1152">
        <v>0</v>
      </c>
      <c r="AG1152" t="s">
        <v>111</v>
      </c>
      <c r="AH1152" t="s">
        <v>111</v>
      </c>
      <c r="AI1152" t="s">
        <v>111</v>
      </c>
      <c r="AJ1152" t="s">
        <v>111</v>
      </c>
      <c r="AK1152" t="s">
        <v>111</v>
      </c>
      <c r="AL1152" t="s">
        <v>111</v>
      </c>
      <c r="AM1152">
        <v>0</v>
      </c>
      <c r="AN1152">
        <v>0</v>
      </c>
      <c r="AO1152">
        <v>0</v>
      </c>
      <c r="AP1152" t="s">
        <v>111</v>
      </c>
      <c r="AQ1152" t="s">
        <v>111</v>
      </c>
      <c r="AR1152" t="s">
        <v>111</v>
      </c>
      <c r="AS1152" t="s">
        <v>111</v>
      </c>
      <c r="AT1152" t="s">
        <v>111</v>
      </c>
      <c r="AU1152" t="s">
        <v>111</v>
      </c>
      <c r="AV1152" t="s">
        <v>111</v>
      </c>
      <c r="AW1152" t="s">
        <v>111</v>
      </c>
      <c r="AX1152" t="s">
        <v>111</v>
      </c>
      <c r="AY1152" t="s">
        <v>111</v>
      </c>
      <c r="AZ1152" t="s">
        <v>111</v>
      </c>
      <c r="BA1152" t="s">
        <v>111</v>
      </c>
      <c r="BB1152" t="s">
        <v>111</v>
      </c>
      <c r="BC1152" t="s">
        <v>111</v>
      </c>
      <c r="BD1152" t="s">
        <v>111</v>
      </c>
      <c r="BE1152" t="s">
        <v>111</v>
      </c>
      <c r="BF1152" t="s">
        <v>111</v>
      </c>
      <c r="BG1152" t="s">
        <v>111</v>
      </c>
      <c r="BH1152" t="s">
        <v>111</v>
      </c>
      <c r="BI1152" t="s">
        <v>111</v>
      </c>
      <c r="BJ1152" t="s">
        <v>111</v>
      </c>
      <c r="BK1152" t="s">
        <v>111</v>
      </c>
      <c r="BL1152" t="s">
        <v>111</v>
      </c>
      <c r="BM1152" t="s">
        <v>111</v>
      </c>
      <c r="BN1152" t="s">
        <v>111</v>
      </c>
      <c r="BO1152" t="s">
        <v>111</v>
      </c>
      <c r="BP1152" t="s">
        <v>111</v>
      </c>
      <c r="BQ1152" t="s">
        <v>111</v>
      </c>
      <c r="BR1152" t="s">
        <v>111</v>
      </c>
      <c r="BS1152" t="s">
        <v>111</v>
      </c>
      <c r="BT1152" t="s">
        <v>111</v>
      </c>
      <c r="BU1152" t="s">
        <v>111</v>
      </c>
      <c r="BV1152" t="s">
        <v>111</v>
      </c>
      <c r="BW1152" t="s">
        <v>111</v>
      </c>
      <c r="BX1152" t="s">
        <v>111</v>
      </c>
      <c r="BY1152" t="s">
        <v>111</v>
      </c>
      <c r="BZ1152" t="s">
        <v>111</v>
      </c>
      <c r="CA1152" t="s">
        <v>111</v>
      </c>
      <c r="CB1152" t="s">
        <v>111</v>
      </c>
      <c r="CC1152" t="s">
        <v>111</v>
      </c>
      <c r="CD1152" t="s">
        <v>111</v>
      </c>
      <c r="CE1152" t="s">
        <v>111</v>
      </c>
      <c r="CF1152" t="s">
        <v>111</v>
      </c>
      <c r="CG1152" t="s">
        <v>111</v>
      </c>
      <c r="CH1152" t="s">
        <v>111</v>
      </c>
      <c r="CI1152" t="s">
        <v>111</v>
      </c>
      <c r="CJ1152" t="s">
        <v>111</v>
      </c>
      <c r="CK1152" t="s">
        <v>111</v>
      </c>
      <c r="CL1152" t="s">
        <v>111</v>
      </c>
      <c r="CM1152" t="s">
        <v>198</v>
      </c>
      <c r="CN1152" t="s">
        <v>113</v>
      </c>
      <c r="CO1152" t="s">
        <v>111</v>
      </c>
      <c r="CP1152" t="s">
        <v>111</v>
      </c>
      <c r="CQ1152">
        <v>0</v>
      </c>
      <c r="CR1152">
        <v>0</v>
      </c>
      <c r="CS1152">
        <v>0</v>
      </c>
      <c r="CT1152" t="s">
        <v>168</v>
      </c>
      <c r="CU1152">
        <v>0</v>
      </c>
      <c r="CV1152" t="s">
        <v>111</v>
      </c>
      <c r="CW1152" t="s">
        <v>111</v>
      </c>
      <c r="CX1152" t="s">
        <v>111</v>
      </c>
      <c r="CY1152">
        <v>0</v>
      </c>
      <c r="CZ1152" t="s">
        <v>111</v>
      </c>
      <c r="DA1152" t="s">
        <v>111</v>
      </c>
      <c r="DB1152" t="s">
        <v>111</v>
      </c>
      <c r="DC1152" t="s">
        <v>111</v>
      </c>
    </row>
    <row r="1153" spans="1:107">
      <c r="A1153">
        <v>358</v>
      </c>
      <c r="B1153" t="s">
        <v>162</v>
      </c>
      <c r="C1153" t="s">
        <v>454</v>
      </c>
      <c r="D1153" t="s">
        <v>3474</v>
      </c>
      <c r="E1153" t="s">
        <v>3475</v>
      </c>
      <c r="F1153" t="s">
        <v>3476</v>
      </c>
      <c r="G1153" t="s">
        <v>416</v>
      </c>
      <c r="H1153">
        <v>2.2999999999999998</v>
      </c>
      <c r="I1153">
        <v>50</v>
      </c>
      <c r="J1153">
        <v>0</v>
      </c>
      <c r="K1153">
        <v>0</v>
      </c>
      <c r="L1153" t="s">
        <v>112</v>
      </c>
      <c r="M1153" t="s">
        <v>118</v>
      </c>
      <c r="N1153">
        <v>40</v>
      </c>
      <c r="O1153">
        <v>1</v>
      </c>
      <c r="P1153" t="s">
        <v>138</v>
      </c>
      <c r="Q1153">
        <v>40</v>
      </c>
      <c r="R1153">
        <v>0</v>
      </c>
      <c r="S1153">
        <v>0</v>
      </c>
      <c r="T1153">
        <v>5</v>
      </c>
      <c r="U1153" s="1" t="s">
        <v>3477</v>
      </c>
      <c r="V1153">
        <v>0</v>
      </c>
      <c r="W1153">
        <v>25</v>
      </c>
      <c r="X1153">
        <v>8</v>
      </c>
      <c r="Y1153">
        <v>0</v>
      </c>
      <c r="Z1153" t="s">
        <v>1728</v>
      </c>
      <c r="AA1153">
        <v>1.2</v>
      </c>
      <c r="AB1153" t="s">
        <v>111</v>
      </c>
      <c r="AC1153">
        <v>0</v>
      </c>
      <c r="AD1153" t="s">
        <v>416</v>
      </c>
      <c r="AE1153">
        <v>2</v>
      </c>
      <c r="AF1153">
        <v>1</v>
      </c>
      <c r="AG1153">
        <v>40</v>
      </c>
      <c r="AH1153" t="s">
        <v>111</v>
      </c>
      <c r="AI1153">
        <v>40</v>
      </c>
      <c r="AJ1153" t="s">
        <v>111</v>
      </c>
      <c r="AK1153" t="s">
        <v>111</v>
      </c>
      <c r="AL1153" t="s">
        <v>111</v>
      </c>
      <c r="AM1153">
        <v>0</v>
      </c>
      <c r="AN1153">
        <v>0</v>
      </c>
      <c r="AO1153">
        <v>0</v>
      </c>
      <c r="AP1153" t="s">
        <v>288</v>
      </c>
      <c r="AQ1153" t="s">
        <v>111</v>
      </c>
      <c r="AR1153" t="s">
        <v>111</v>
      </c>
      <c r="AS1153" t="s">
        <v>111</v>
      </c>
      <c r="AT1153" t="s">
        <v>184</v>
      </c>
      <c r="AU1153" t="s">
        <v>111</v>
      </c>
      <c r="AV1153" t="s">
        <v>111</v>
      </c>
      <c r="AW1153" t="s">
        <v>111</v>
      </c>
      <c r="AX1153" t="s">
        <v>111</v>
      </c>
      <c r="AY1153" t="s">
        <v>111</v>
      </c>
      <c r="AZ1153" t="s">
        <v>111</v>
      </c>
      <c r="BA1153" t="s">
        <v>111</v>
      </c>
      <c r="BB1153" t="s">
        <v>111</v>
      </c>
      <c r="BC1153" t="s">
        <v>111</v>
      </c>
      <c r="BD1153" t="s">
        <v>111</v>
      </c>
      <c r="BE1153" t="s">
        <v>111</v>
      </c>
      <c r="BF1153" t="s">
        <v>111</v>
      </c>
      <c r="BG1153" t="s">
        <v>111</v>
      </c>
      <c r="BH1153" t="s">
        <v>111</v>
      </c>
      <c r="BI1153" t="s">
        <v>111</v>
      </c>
      <c r="BJ1153" t="s">
        <v>111</v>
      </c>
      <c r="BK1153" t="s">
        <v>111</v>
      </c>
      <c r="BL1153" t="s">
        <v>111</v>
      </c>
      <c r="BM1153" t="s">
        <v>111</v>
      </c>
      <c r="BN1153" t="s">
        <v>111</v>
      </c>
      <c r="BO1153" t="s">
        <v>111</v>
      </c>
      <c r="BP1153" t="s">
        <v>111</v>
      </c>
      <c r="BQ1153" t="s">
        <v>111</v>
      </c>
      <c r="BR1153" t="s">
        <v>111</v>
      </c>
      <c r="BS1153" t="s">
        <v>111</v>
      </c>
      <c r="BT1153" t="s">
        <v>111</v>
      </c>
      <c r="BU1153" t="s">
        <v>111</v>
      </c>
      <c r="BV1153" t="s">
        <v>111</v>
      </c>
      <c r="BW1153" t="s">
        <v>111</v>
      </c>
      <c r="BX1153" t="s">
        <v>111</v>
      </c>
      <c r="BY1153" t="s">
        <v>111</v>
      </c>
      <c r="BZ1153" t="s">
        <v>111</v>
      </c>
      <c r="CA1153" t="s">
        <v>111</v>
      </c>
      <c r="CB1153" t="s">
        <v>111</v>
      </c>
      <c r="CC1153" t="s">
        <v>111</v>
      </c>
      <c r="CD1153" t="s">
        <v>111</v>
      </c>
      <c r="CE1153" t="s">
        <v>111</v>
      </c>
      <c r="CF1153" t="s">
        <v>111</v>
      </c>
      <c r="CG1153" t="s">
        <v>111</v>
      </c>
      <c r="CH1153" t="s">
        <v>111</v>
      </c>
      <c r="CI1153" t="s">
        <v>111</v>
      </c>
      <c r="CJ1153" t="s">
        <v>111</v>
      </c>
      <c r="CK1153" t="s">
        <v>111</v>
      </c>
      <c r="CL1153" t="s">
        <v>153</v>
      </c>
      <c r="CM1153" t="s">
        <v>198</v>
      </c>
      <c r="CN1153" t="s">
        <v>113</v>
      </c>
      <c r="CO1153" t="s">
        <v>111</v>
      </c>
      <c r="CP1153" t="s">
        <v>433</v>
      </c>
      <c r="CQ1153">
        <v>64</v>
      </c>
      <c r="CR1153">
        <v>1000</v>
      </c>
      <c r="CS1153">
        <v>50</v>
      </c>
      <c r="CT1153" t="s">
        <v>168</v>
      </c>
      <c r="CU1153">
        <v>0</v>
      </c>
      <c r="CV1153" t="s">
        <v>111</v>
      </c>
      <c r="CW1153" t="s">
        <v>111</v>
      </c>
      <c r="CX1153" t="s">
        <v>111</v>
      </c>
      <c r="CY1153">
        <v>0</v>
      </c>
      <c r="CZ1153" t="s">
        <v>111</v>
      </c>
      <c r="DA1153" t="s">
        <v>111</v>
      </c>
      <c r="DB1153" t="s">
        <v>111</v>
      </c>
      <c r="DC1153" t="s">
        <v>111</v>
      </c>
    </row>
    <row r="1154" spans="1:107">
      <c r="A1154">
        <v>1053</v>
      </c>
      <c r="B1154" t="s">
        <v>107</v>
      </c>
      <c r="C1154" s="2">
        <v>70085947</v>
      </c>
      <c r="D1154" t="s">
        <v>3478</v>
      </c>
      <c r="E1154" t="s">
        <v>3479</v>
      </c>
      <c r="F1154" t="s">
        <v>2870</v>
      </c>
      <c r="G1154" t="s">
        <v>416</v>
      </c>
      <c r="H1154">
        <v>2.2000000000000002</v>
      </c>
      <c r="I1154">
        <v>17</v>
      </c>
      <c r="J1154">
        <v>0</v>
      </c>
      <c r="K1154">
        <v>0</v>
      </c>
      <c r="L1154" t="s">
        <v>112</v>
      </c>
      <c r="M1154" t="s">
        <v>118</v>
      </c>
      <c r="N1154">
        <v>0</v>
      </c>
      <c r="O1154">
        <v>2</v>
      </c>
      <c r="P1154" t="s">
        <v>138</v>
      </c>
      <c r="Q1154">
        <v>15</v>
      </c>
      <c r="R1154">
        <v>0</v>
      </c>
      <c r="S1154">
        <v>0</v>
      </c>
      <c r="T1154">
        <v>5</v>
      </c>
      <c r="U1154" s="1" t="s">
        <v>1261</v>
      </c>
      <c r="V1154">
        <v>0</v>
      </c>
      <c r="W1154">
        <v>25</v>
      </c>
      <c r="X1154">
        <v>8</v>
      </c>
      <c r="Y1154">
        <v>0</v>
      </c>
      <c r="Z1154" t="s">
        <v>111</v>
      </c>
      <c r="AA1154">
        <v>0</v>
      </c>
      <c r="AB1154" t="s">
        <v>111</v>
      </c>
      <c r="AC1154">
        <v>0</v>
      </c>
      <c r="AD1154" t="s">
        <v>416</v>
      </c>
      <c r="AE1154">
        <v>0</v>
      </c>
      <c r="AF1154">
        <v>0</v>
      </c>
      <c r="AG1154" t="s">
        <v>111</v>
      </c>
      <c r="AH1154" t="s">
        <v>111</v>
      </c>
      <c r="AI1154" t="s">
        <v>111</v>
      </c>
      <c r="AJ1154" t="s">
        <v>111</v>
      </c>
      <c r="AK1154" t="s">
        <v>111</v>
      </c>
      <c r="AL1154" t="s">
        <v>111</v>
      </c>
      <c r="AM1154">
        <v>0</v>
      </c>
      <c r="AN1154">
        <v>0</v>
      </c>
      <c r="AO1154">
        <v>0</v>
      </c>
      <c r="AP1154" t="s">
        <v>111</v>
      </c>
      <c r="AQ1154" t="s">
        <v>111</v>
      </c>
      <c r="AR1154" t="s">
        <v>111</v>
      </c>
      <c r="AS1154" t="s">
        <v>111</v>
      </c>
      <c r="AT1154" t="s">
        <v>111</v>
      </c>
      <c r="AU1154" t="s">
        <v>111</v>
      </c>
      <c r="AV1154" t="s">
        <v>111</v>
      </c>
      <c r="AW1154" t="s">
        <v>111</v>
      </c>
      <c r="AX1154" t="s">
        <v>111</v>
      </c>
      <c r="AY1154" t="s">
        <v>111</v>
      </c>
      <c r="AZ1154" t="s">
        <v>111</v>
      </c>
      <c r="BA1154" t="s">
        <v>111</v>
      </c>
      <c r="BB1154" t="s">
        <v>111</v>
      </c>
      <c r="BC1154" t="s">
        <v>111</v>
      </c>
      <c r="BD1154" t="s">
        <v>111</v>
      </c>
      <c r="BE1154" t="s">
        <v>111</v>
      </c>
      <c r="BF1154" t="s">
        <v>111</v>
      </c>
      <c r="BG1154" t="s">
        <v>111</v>
      </c>
      <c r="BH1154" t="s">
        <v>111</v>
      </c>
      <c r="BI1154" t="s">
        <v>111</v>
      </c>
      <c r="BJ1154" t="s">
        <v>111</v>
      </c>
      <c r="BK1154" t="s">
        <v>111</v>
      </c>
      <c r="BL1154" t="s">
        <v>111</v>
      </c>
      <c r="BM1154" t="s">
        <v>111</v>
      </c>
      <c r="BN1154" t="s">
        <v>111</v>
      </c>
      <c r="BO1154" t="s">
        <v>111</v>
      </c>
      <c r="BP1154" t="s">
        <v>111</v>
      </c>
      <c r="BQ1154" t="s">
        <v>111</v>
      </c>
      <c r="BR1154" t="s">
        <v>111</v>
      </c>
      <c r="BS1154" t="s">
        <v>111</v>
      </c>
      <c r="BT1154" t="s">
        <v>111</v>
      </c>
      <c r="BU1154" t="s">
        <v>111</v>
      </c>
      <c r="BV1154" t="s">
        <v>111</v>
      </c>
      <c r="BW1154" t="s">
        <v>111</v>
      </c>
      <c r="BX1154" t="s">
        <v>111</v>
      </c>
      <c r="BY1154" t="s">
        <v>111</v>
      </c>
      <c r="BZ1154" t="s">
        <v>111</v>
      </c>
      <c r="CA1154" t="s">
        <v>111</v>
      </c>
      <c r="CB1154" t="s">
        <v>111</v>
      </c>
      <c r="CC1154" t="s">
        <v>111</v>
      </c>
      <c r="CD1154" t="s">
        <v>111</v>
      </c>
      <c r="CE1154" t="s">
        <v>111</v>
      </c>
      <c r="CF1154" t="s">
        <v>111</v>
      </c>
      <c r="CG1154" t="s">
        <v>111</v>
      </c>
      <c r="CH1154" t="s">
        <v>111</v>
      </c>
      <c r="CI1154" t="s">
        <v>111</v>
      </c>
      <c r="CJ1154" t="s">
        <v>111</v>
      </c>
      <c r="CK1154" t="s">
        <v>111</v>
      </c>
      <c r="CL1154" t="e">
        <f>-DESTINO ALMACEN</f>
        <v>#NAME?</v>
      </c>
      <c r="CM1154" t="s">
        <v>111</v>
      </c>
      <c r="CN1154" t="s">
        <v>111</v>
      </c>
      <c r="CO1154" t="s">
        <v>111</v>
      </c>
      <c r="CP1154" t="s">
        <v>111</v>
      </c>
      <c r="CQ1154">
        <v>0</v>
      </c>
      <c r="CR1154">
        <v>0</v>
      </c>
      <c r="CS1154">
        <v>0</v>
      </c>
      <c r="CT1154" t="s">
        <v>111</v>
      </c>
      <c r="CU1154">
        <v>0</v>
      </c>
      <c r="CV1154" t="s">
        <v>111</v>
      </c>
      <c r="CW1154" t="s">
        <v>111</v>
      </c>
      <c r="CX1154" t="s">
        <v>111</v>
      </c>
      <c r="CY1154">
        <v>0</v>
      </c>
      <c r="CZ1154" t="s">
        <v>111</v>
      </c>
      <c r="DA1154" t="s">
        <v>111</v>
      </c>
      <c r="DB1154" t="s">
        <v>111</v>
      </c>
      <c r="DC1154" t="s">
        <v>111</v>
      </c>
    </row>
    <row r="1155" spans="1:107">
      <c r="A1155">
        <v>1070</v>
      </c>
      <c r="B1155" t="s">
        <v>107</v>
      </c>
      <c r="C1155" t="s">
        <v>937</v>
      </c>
      <c r="D1155" t="s">
        <v>2927</v>
      </c>
      <c r="E1155" t="s">
        <v>3480</v>
      </c>
      <c r="F1155" t="s">
        <v>431</v>
      </c>
      <c r="G1155" t="s">
        <v>416</v>
      </c>
      <c r="H1155">
        <v>3</v>
      </c>
      <c r="I1155">
        <v>20.5</v>
      </c>
      <c r="J1155">
        <v>0</v>
      </c>
      <c r="K1155">
        <v>0</v>
      </c>
      <c r="L1155" t="s">
        <v>112</v>
      </c>
      <c r="M1155" t="s">
        <v>118</v>
      </c>
      <c r="N1155">
        <v>40</v>
      </c>
      <c r="O1155">
        <v>2</v>
      </c>
      <c r="P1155" t="s">
        <v>138</v>
      </c>
      <c r="Q1155">
        <v>20</v>
      </c>
      <c r="R1155">
        <v>0</v>
      </c>
      <c r="S1155">
        <v>0</v>
      </c>
      <c r="T1155">
        <v>5</v>
      </c>
      <c r="U1155" t="s">
        <v>1511</v>
      </c>
      <c r="V1155">
        <v>0</v>
      </c>
      <c r="W1155">
        <v>25</v>
      </c>
      <c r="X1155">
        <v>10</v>
      </c>
      <c r="Y1155">
        <v>0</v>
      </c>
      <c r="Z1155" t="s">
        <v>111</v>
      </c>
      <c r="AA1155">
        <v>0</v>
      </c>
      <c r="AB1155" t="s">
        <v>111</v>
      </c>
      <c r="AC1155">
        <v>0</v>
      </c>
      <c r="AD1155" t="s">
        <v>1520</v>
      </c>
      <c r="AE1155">
        <v>0</v>
      </c>
      <c r="AF1155">
        <v>0</v>
      </c>
      <c r="AG1155" t="s">
        <v>111</v>
      </c>
      <c r="AH1155" t="s">
        <v>111</v>
      </c>
      <c r="AI1155" t="s">
        <v>111</v>
      </c>
      <c r="AJ1155" t="s">
        <v>111</v>
      </c>
      <c r="AK1155" t="s">
        <v>111</v>
      </c>
      <c r="AL1155" t="s">
        <v>111</v>
      </c>
      <c r="AM1155">
        <v>0</v>
      </c>
      <c r="AN1155">
        <v>0</v>
      </c>
      <c r="AO1155">
        <v>0</v>
      </c>
      <c r="AP1155" t="s">
        <v>111</v>
      </c>
      <c r="AQ1155" t="s">
        <v>111</v>
      </c>
      <c r="AR1155" t="s">
        <v>111</v>
      </c>
      <c r="AS1155" t="s">
        <v>111</v>
      </c>
      <c r="AT1155" t="s">
        <v>111</v>
      </c>
      <c r="AU1155" t="s">
        <v>111</v>
      </c>
      <c r="AV1155" t="s">
        <v>111</v>
      </c>
      <c r="AW1155" t="s">
        <v>111</v>
      </c>
      <c r="AX1155" t="s">
        <v>111</v>
      </c>
      <c r="AY1155" t="s">
        <v>111</v>
      </c>
      <c r="AZ1155" t="s">
        <v>111</v>
      </c>
      <c r="BA1155" t="s">
        <v>111</v>
      </c>
      <c r="BB1155" t="s">
        <v>111</v>
      </c>
      <c r="BC1155" t="s">
        <v>111</v>
      </c>
      <c r="BD1155" t="s">
        <v>111</v>
      </c>
      <c r="BE1155" t="s">
        <v>111</v>
      </c>
      <c r="BF1155" t="s">
        <v>111</v>
      </c>
      <c r="BG1155" t="s">
        <v>111</v>
      </c>
      <c r="BH1155" t="s">
        <v>111</v>
      </c>
      <c r="BI1155" t="s">
        <v>111</v>
      </c>
      <c r="BJ1155" t="s">
        <v>111</v>
      </c>
      <c r="BK1155" t="s">
        <v>111</v>
      </c>
      <c r="BL1155" t="s">
        <v>111</v>
      </c>
      <c r="BM1155" t="s">
        <v>111</v>
      </c>
      <c r="BN1155" t="s">
        <v>111</v>
      </c>
      <c r="BO1155" t="s">
        <v>111</v>
      </c>
      <c r="BP1155" t="s">
        <v>111</v>
      </c>
      <c r="BQ1155" t="s">
        <v>111</v>
      </c>
      <c r="BR1155" t="s">
        <v>111</v>
      </c>
      <c r="BS1155" t="s">
        <v>111</v>
      </c>
      <c r="BT1155" t="s">
        <v>111</v>
      </c>
      <c r="BU1155" t="s">
        <v>111</v>
      </c>
      <c r="BV1155" t="s">
        <v>111</v>
      </c>
      <c r="BW1155" t="s">
        <v>111</v>
      </c>
      <c r="BX1155" t="s">
        <v>111</v>
      </c>
      <c r="BY1155" t="s">
        <v>111</v>
      </c>
      <c r="BZ1155" t="s">
        <v>111</v>
      </c>
      <c r="CA1155" t="s">
        <v>111</v>
      </c>
      <c r="CB1155" t="s">
        <v>111</v>
      </c>
      <c r="CC1155" t="s">
        <v>111</v>
      </c>
      <c r="CD1155" t="s">
        <v>111</v>
      </c>
      <c r="CE1155" t="s">
        <v>111</v>
      </c>
      <c r="CF1155" t="s">
        <v>111</v>
      </c>
      <c r="CG1155" t="s">
        <v>111</v>
      </c>
      <c r="CH1155" t="s">
        <v>111</v>
      </c>
      <c r="CI1155" t="s">
        <v>111</v>
      </c>
      <c r="CJ1155" t="s">
        <v>111</v>
      </c>
      <c r="CK1155" t="s">
        <v>111</v>
      </c>
      <c r="CL1155" t="e">
        <f>-DESTINO DELLADO</f>
        <v>#NAME?</v>
      </c>
      <c r="CM1155" t="s">
        <v>135</v>
      </c>
      <c r="CN1155" t="s">
        <v>128</v>
      </c>
      <c r="CO1155" t="s">
        <v>111</v>
      </c>
      <c r="CP1155" t="e">
        <f>-MUESTRA</f>
        <v>#NAME?</v>
      </c>
      <c r="CQ1155">
        <v>0</v>
      </c>
      <c r="CR1155">
        <v>3000</v>
      </c>
      <c r="CS1155">
        <v>100</v>
      </c>
      <c r="CT1155" t="s">
        <v>3481</v>
      </c>
      <c r="CU1155">
        <v>0</v>
      </c>
      <c r="CV1155" t="s">
        <v>111</v>
      </c>
      <c r="CW1155" t="s">
        <v>111</v>
      </c>
      <c r="CX1155" t="s">
        <v>111</v>
      </c>
      <c r="CY1155">
        <v>0</v>
      </c>
      <c r="CZ1155" t="s">
        <v>111</v>
      </c>
      <c r="DA1155" t="s">
        <v>111</v>
      </c>
      <c r="DB1155" t="s">
        <v>111</v>
      </c>
      <c r="DC1155" t="s">
        <v>111</v>
      </c>
    </row>
    <row r="1156" spans="1:107">
      <c r="A1156">
        <v>1069</v>
      </c>
      <c r="B1156" t="s">
        <v>107</v>
      </c>
      <c r="C1156" t="s">
        <v>937</v>
      </c>
      <c r="D1156" t="s">
        <v>2927</v>
      </c>
      <c r="E1156" t="s">
        <v>3482</v>
      </c>
      <c r="F1156" t="s">
        <v>431</v>
      </c>
      <c r="G1156" t="s">
        <v>416</v>
      </c>
      <c r="H1156">
        <v>3</v>
      </c>
      <c r="I1156">
        <v>20.5</v>
      </c>
      <c r="J1156">
        <v>0</v>
      </c>
      <c r="K1156">
        <v>0</v>
      </c>
      <c r="L1156" t="s">
        <v>112</v>
      </c>
      <c r="M1156" t="s">
        <v>118</v>
      </c>
      <c r="N1156">
        <v>40</v>
      </c>
      <c r="O1156">
        <v>2</v>
      </c>
      <c r="P1156" t="s">
        <v>138</v>
      </c>
      <c r="Q1156">
        <v>20</v>
      </c>
      <c r="R1156">
        <v>0</v>
      </c>
      <c r="S1156">
        <v>0</v>
      </c>
      <c r="T1156">
        <v>5</v>
      </c>
      <c r="U1156" s="1" t="s">
        <v>3483</v>
      </c>
      <c r="V1156">
        <v>0</v>
      </c>
      <c r="W1156">
        <v>25</v>
      </c>
      <c r="X1156">
        <v>10</v>
      </c>
      <c r="Y1156">
        <v>0</v>
      </c>
      <c r="Z1156" t="s">
        <v>111</v>
      </c>
      <c r="AA1156">
        <v>0</v>
      </c>
      <c r="AB1156" t="s">
        <v>111</v>
      </c>
      <c r="AC1156">
        <v>0</v>
      </c>
      <c r="AD1156" t="s">
        <v>416</v>
      </c>
      <c r="AE1156">
        <v>0</v>
      </c>
      <c r="AF1156">
        <v>0</v>
      </c>
      <c r="AG1156" t="s">
        <v>111</v>
      </c>
      <c r="AH1156" t="s">
        <v>111</v>
      </c>
      <c r="AI1156" t="s">
        <v>111</v>
      </c>
      <c r="AJ1156" t="s">
        <v>111</v>
      </c>
      <c r="AK1156" t="s">
        <v>111</v>
      </c>
      <c r="AL1156" t="s">
        <v>111</v>
      </c>
      <c r="AM1156">
        <v>0</v>
      </c>
      <c r="AN1156">
        <v>0</v>
      </c>
      <c r="AO1156">
        <v>0</v>
      </c>
      <c r="AP1156" t="s">
        <v>111</v>
      </c>
      <c r="AQ1156" t="s">
        <v>111</v>
      </c>
      <c r="AR1156" t="s">
        <v>111</v>
      </c>
      <c r="AS1156" t="s">
        <v>111</v>
      </c>
      <c r="AT1156" t="s">
        <v>111</v>
      </c>
      <c r="AU1156" t="s">
        <v>111</v>
      </c>
      <c r="AV1156" t="s">
        <v>111</v>
      </c>
      <c r="AW1156" t="s">
        <v>111</v>
      </c>
      <c r="AX1156" t="s">
        <v>111</v>
      </c>
      <c r="AY1156" t="s">
        <v>111</v>
      </c>
      <c r="AZ1156" t="s">
        <v>111</v>
      </c>
      <c r="BA1156" t="s">
        <v>111</v>
      </c>
      <c r="BB1156" t="s">
        <v>111</v>
      </c>
      <c r="BC1156" t="s">
        <v>111</v>
      </c>
      <c r="BD1156" t="s">
        <v>111</v>
      </c>
      <c r="BE1156" t="s">
        <v>111</v>
      </c>
      <c r="BF1156" t="s">
        <v>111</v>
      </c>
      <c r="BG1156" t="s">
        <v>111</v>
      </c>
      <c r="BH1156" t="s">
        <v>111</v>
      </c>
      <c r="BI1156" t="s">
        <v>111</v>
      </c>
      <c r="BJ1156" t="s">
        <v>111</v>
      </c>
      <c r="BK1156" t="s">
        <v>111</v>
      </c>
      <c r="BL1156" t="s">
        <v>111</v>
      </c>
      <c r="BM1156" t="s">
        <v>111</v>
      </c>
      <c r="BN1156" t="s">
        <v>111</v>
      </c>
      <c r="BO1156" t="s">
        <v>111</v>
      </c>
      <c r="BP1156" t="s">
        <v>111</v>
      </c>
      <c r="BQ1156" t="s">
        <v>111</v>
      </c>
      <c r="BR1156" t="s">
        <v>111</v>
      </c>
      <c r="BS1156" t="s">
        <v>111</v>
      </c>
      <c r="BT1156" t="s">
        <v>111</v>
      </c>
      <c r="BU1156" t="s">
        <v>111</v>
      </c>
      <c r="BV1156" t="s">
        <v>111</v>
      </c>
      <c r="BW1156" t="s">
        <v>111</v>
      </c>
      <c r="BX1156" t="s">
        <v>111</v>
      </c>
      <c r="BY1156" t="s">
        <v>111</v>
      </c>
      <c r="BZ1156" t="s">
        <v>111</v>
      </c>
      <c r="CA1156" t="s">
        <v>111</v>
      </c>
      <c r="CB1156" t="s">
        <v>111</v>
      </c>
      <c r="CC1156" t="s">
        <v>111</v>
      </c>
      <c r="CD1156" t="s">
        <v>111</v>
      </c>
      <c r="CE1156" t="s">
        <v>111</v>
      </c>
      <c r="CF1156" t="s">
        <v>111</v>
      </c>
      <c r="CG1156" t="s">
        <v>111</v>
      </c>
      <c r="CH1156" t="s">
        <v>111</v>
      </c>
      <c r="CI1156" t="s">
        <v>111</v>
      </c>
      <c r="CJ1156" t="s">
        <v>111</v>
      </c>
      <c r="CK1156" t="s">
        <v>111</v>
      </c>
      <c r="CL1156" t="e">
        <f>-DERSTO SELLADO</f>
        <v>#NAME?</v>
      </c>
      <c r="CM1156" t="s">
        <v>135</v>
      </c>
      <c r="CN1156" t="s">
        <v>113</v>
      </c>
      <c r="CO1156" t="s">
        <v>111</v>
      </c>
      <c r="CP1156" t="e">
        <f>-MUESTRA</f>
        <v>#NAME?</v>
      </c>
      <c r="CQ1156">
        <v>0</v>
      </c>
      <c r="CR1156">
        <v>3000</v>
      </c>
      <c r="CS1156">
        <v>100</v>
      </c>
      <c r="CT1156" t="s">
        <v>3484</v>
      </c>
      <c r="CU1156">
        <v>0</v>
      </c>
      <c r="CV1156" t="s">
        <v>111</v>
      </c>
      <c r="CW1156" t="s">
        <v>111</v>
      </c>
      <c r="CX1156" t="s">
        <v>111</v>
      </c>
      <c r="CY1156">
        <v>0</v>
      </c>
      <c r="CZ1156" t="s">
        <v>111</v>
      </c>
      <c r="DA1156" t="s">
        <v>111</v>
      </c>
      <c r="DB1156" t="s">
        <v>111</v>
      </c>
      <c r="DC1156" t="s">
        <v>111</v>
      </c>
    </row>
    <row r="1157" spans="1:107">
      <c r="A1157">
        <v>150</v>
      </c>
      <c r="B1157" t="s">
        <v>162</v>
      </c>
      <c r="C1157" t="s">
        <v>3138</v>
      </c>
      <c r="D1157" t="s">
        <v>3141</v>
      </c>
      <c r="E1157" t="s">
        <v>3485</v>
      </c>
      <c r="F1157" t="s">
        <v>370</v>
      </c>
      <c r="G1157" t="s">
        <v>416</v>
      </c>
      <c r="H1157">
        <v>0.6</v>
      </c>
      <c r="I1157">
        <v>44</v>
      </c>
      <c r="J1157">
        <v>0</v>
      </c>
      <c r="K1157">
        <v>0</v>
      </c>
      <c r="L1157" t="s">
        <v>112</v>
      </c>
      <c r="M1157" t="s">
        <v>118</v>
      </c>
      <c r="N1157">
        <v>40</v>
      </c>
      <c r="O1157">
        <v>2</v>
      </c>
      <c r="P1157" t="s">
        <v>138</v>
      </c>
      <c r="Q1157">
        <v>40</v>
      </c>
      <c r="R1157">
        <v>0</v>
      </c>
      <c r="S1157">
        <v>0</v>
      </c>
      <c r="T1157">
        <v>0</v>
      </c>
      <c r="U1157" t="s">
        <v>1353</v>
      </c>
      <c r="V1157">
        <v>25</v>
      </c>
      <c r="W1157">
        <v>0</v>
      </c>
      <c r="X1157">
        <v>8</v>
      </c>
      <c r="Y1157">
        <v>0</v>
      </c>
      <c r="Z1157" t="s">
        <v>288</v>
      </c>
      <c r="AA1157">
        <v>0</v>
      </c>
      <c r="AB1157" t="s">
        <v>111</v>
      </c>
      <c r="AC1157">
        <v>0</v>
      </c>
      <c r="AD1157" t="s">
        <v>416</v>
      </c>
      <c r="AE1157">
        <v>2</v>
      </c>
      <c r="AF1157">
        <v>2</v>
      </c>
      <c r="AG1157">
        <v>50</v>
      </c>
      <c r="AH1157" t="s">
        <v>111</v>
      </c>
      <c r="AI1157">
        <v>50</v>
      </c>
      <c r="AJ1157" t="s">
        <v>111</v>
      </c>
      <c r="AK1157" t="s">
        <v>111</v>
      </c>
      <c r="AL1157" t="s">
        <v>111</v>
      </c>
      <c r="AM1157">
        <v>0</v>
      </c>
      <c r="AN1157">
        <v>0</v>
      </c>
      <c r="AO1157">
        <v>0</v>
      </c>
      <c r="AP1157" t="s">
        <v>772</v>
      </c>
      <c r="AQ1157" t="s">
        <v>111</v>
      </c>
      <c r="AR1157" t="s">
        <v>111</v>
      </c>
      <c r="AS1157" t="s">
        <v>111</v>
      </c>
      <c r="AT1157" t="s">
        <v>259</v>
      </c>
      <c r="AU1157" t="s">
        <v>111</v>
      </c>
      <c r="AV1157" t="s">
        <v>111</v>
      </c>
      <c r="AW1157" t="s">
        <v>111</v>
      </c>
      <c r="AX1157" t="s">
        <v>111</v>
      </c>
      <c r="AY1157" t="s">
        <v>111</v>
      </c>
      <c r="AZ1157" t="s">
        <v>111</v>
      </c>
      <c r="BA1157" t="s">
        <v>111</v>
      </c>
      <c r="BB1157" t="s">
        <v>111</v>
      </c>
      <c r="BC1157" t="s">
        <v>111</v>
      </c>
      <c r="BD1157" t="s">
        <v>111</v>
      </c>
      <c r="BE1157" t="s">
        <v>111</v>
      </c>
      <c r="BF1157" t="s">
        <v>111</v>
      </c>
      <c r="BG1157" t="s">
        <v>111</v>
      </c>
      <c r="BH1157" t="s">
        <v>111</v>
      </c>
      <c r="BI1157" t="s">
        <v>111</v>
      </c>
      <c r="BJ1157" t="s">
        <v>111</v>
      </c>
      <c r="BK1157" t="s">
        <v>111</v>
      </c>
      <c r="BL1157" t="s">
        <v>111</v>
      </c>
      <c r="BM1157" t="s">
        <v>111</v>
      </c>
      <c r="BN1157" t="s">
        <v>111</v>
      </c>
      <c r="BO1157" t="s">
        <v>111</v>
      </c>
      <c r="BP1157" t="s">
        <v>111</v>
      </c>
      <c r="BQ1157" t="s">
        <v>111</v>
      </c>
      <c r="BR1157" t="s">
        <v>111</v>
      </c>
      <c r="BS1157" t="s">
        <v>111</v>
      </c>
      <c r="BT1157" t="s">
        <v>111</v>
      </c>
      <c r="BU1157" t="s">
        <v>111</v>
      </c>
      <c r="BV1157" t="s">
        <v>111</v>
      </c>
      <c r="BW1157" t="s">
        <v>111</v>
      </c>
      <c r="BX1157" t="s">
        <v>111</v>
      </c>
      <c r="BY1157" t="s">
        <v>111</v>
      </c>
      <c r="BZ1157" t="s">
        <v>111</v>
      </c>
      <c r="CA1157" t="s">
        <v>111</v>
      </c>
      <c r="CB1157" t="s">
        <v>111</v>
      </c>
      <c r="CC1157" t="s">
        <v>111</v>
      </c>
      <c r="CD1157" t="s">
        <v>111</v>
      </c>
      <c r="CE1157" t="s">
        <v>111</v>
      </c>
      <c r="CF1157" t="s">
        <v>111</v>
      </c>
      <c r="CG1157" t="s">
        <v>111</v>
      </c>
      <c r="CH1157" t="s">
        <v>111</v>
      </c>
      <c r="CI1157" t="s">
        <v>111</v>
      </c>
      <c r="CJ1157" t="s">
        <v>111</v>
      </c>
      <c r="CK1157" t="s">
        <v>111</v>
      </c>
      <c r="CL1157" t="s">
        <v>153</v>
      </c>
      <c r="CM1157" t="s">
        <v>198</v>
      </c>
      <c r="CN1157" t="s">
        <v>128</v>
      </c>
      <c r="CO1157" t="s">
        <v>111</v>
      </c>
      <c r="CP1157" t="s">
        <v>433</v>
      </c>
      <c r="CQ1157">
        <v>0</v>
      </c>
      <c r="CR1157">
        <v>0</v>
      </c>
      <c r="CS1157">
        <v>0</v>
      </c>
      <c r="CT1157" t="s">
        <v>168</v>
      </c>
      <c r="CU1157">
        <v>0</v>
      </c>
      <c r="CV1157" t="s">
        <v>111</v>
      </c>
      <c r="CW1157" t="s">
        <v>111</v>
      </c>
      <c r="CX1157" t="s">
        <v>111</v>
      </c>
      <c r="CY1157">
        <v>0</v>
      </c>
      <c r="CZ1157" t="s">
        <v>111</v>
      </c>
      <c r="DA1157" t="s">
        <v>111</v>
      </c>
      <c r="DB1157" t="s">
        <v>111</v>
      </c>
      <c r="DC1157" t="s">
        <v>111</v>
      </c>
    </row>
    <row r="1158" spans="1:107">
      <c r="A1158">
        <v>1017</v>
      </c>
      <c r="B1158" t="s">
        <v>107</v>
      </c>
      <c r="C1158" s="2">
        <v>70085947</v>
      </c>
      <c r="D1158" t="s">
        <v>3486</v>
      </c>
      <c r="E1158" t="s">
        <v>3487</v>
      </c>
      <c r="F1158" t="s">
        <v>2870</v>
      </c>
      <c r="G1158" t="s">
        <v>416</v>
      </c>
      <c r="H1158">
        <v>1.7</v>
      </c>
      <c r="I1158">
        <v>13</v>
      </c>
      <c r="J1158">
        <v>0</v>
      </c>
      <c r="K1158">
        <v>0</v>
      </c>
      <c r="L1158" t="s">
        <v>112</v>
      </c>
      <c r="M1158" t="s">
        <v>118</v>
      </c>
      <c r="N1158">
        <v>39</v>
      </c>
      <c r="O1158">
        <v>2</v>
      </c>
      <c r="P1158" t="s">
        <v>138</v>
      </c>
      <c r="Q1158">
        <v>20</v>
      </c>
      <c r="R1158">
        <v>0</v>
      </c>
      <c r="S1158">
        <v>0</v>
      </c>
      <c r="T1158">
        <v>0</v>
      </c>
      <c r="U1158" t="s">
        <v>501</v>
      </c>
      <c r="V1158">
        <v>0</v>
      </c>
      <c r="W1158">
        <v>25</v>
      </c>
      <c r="X1158">
        <v>5</v>
      </c>
      <c r="Y1158">
        <v>0</v>
      </c>
      <c r="Z1158" t="s">
        <v>111</v>
      </c>
      <c r="AA1158">
        <v>0</v>
      </c>
      <c r="AB1158" t="s">
        <v>111</v>
      </c>
      <c r="AC1158">
        <v>0</v>
      </c>
      <c r="AD1158" t="s">
        <v>416</v>
      </c>
      <c r="AE1158">
        <v>0</v>
      </c>
      <c r="AF1158">
        <v>0</v>
      </c>
      <c r="AG1158" t="s">
        <v>111</v>
      </c>
      <c r="AH1158" t="s">
        <v>111</v>
      </c>
      <c r="AI1158" t="s">
        <v>111</v>
      </c>
      <c r="AJ1158" t="s">
        <v>111</v>
      </c>
      <c r="AK1158" t="s">
        <v>111</v>
      </c>
      <c r="AL1158" t="s">
        <v>111</v>
      </c>
      <c r="AM1158">
        <v>0</v>
      </c>
      <c r="AN1158">
        <v>0</v>
      </c>
      <c r="AO1158">
        <v>0</v>
      </c>
      <c r="AP1158" t="s">
        <v>111</v>
      </c>
      <c r="AQ1158" t="s">
        <v>111</v>
      </c>
      <c r="AR1158" t="s">
        <v>111</v>
      </c>
      <c r="AS1158" t="s">
        <v>111</v>
      </c>
      <c r="AT1158" t="s">
        <v>111</v>
      </c>
      <c r="AU1158" t="s">
        <v>111</v>
      </c>
      <c r="AV1158" t="s">
        <v>111</v>
      </c>
      <c r="AW1158" t="s">
        <v>111</v>
      </c>
      <c r="AX1158" t="s">
        <v>111</v>
      </c>
      <c r="AY1158" t="s">
        <v>111</v>
      </c>
      <c r="AZ1158" t="s">
        <v>111</v>
      </c>
      <c r="BA1158" t="s">
        <v>111</v>
      </c>
      <c r="BB1158" t="s">
        <v>111</v>
      </c>
      <c r="BC1158" t="s">
        <v>111</v>
      </c>
      <c r="BD1158" t="s">
        <v>111</v>
      </c>
      <c r="BE1158" t="s">
        <v>111</v>
      </c>
      <c r="BF1158" t="s">
        <v>111</v>
      </c>
      <c r="BG1158" t="s">
        <v>111</v>
      </c>
      <c r="BH1158" t="s">
        <v>111</v>
      </c>
      <c r="BI1158" t="s">
        <v>111</v>
      </c>
      <c r="BJ1158" t="s">
        <v>111</v>
      </c>
      <c r="BK1158" t="s">
        <v>111</v>
      </c>
      <c r="BL1158" t="s">
        <v>111</v>
      </c>
      <c r="BM1158" t="s">
        <v>111</v>
      </c>
      <c r="BN1158" t="s">
        <v>111</v>
      </c>
      <c r="BO1158" t="s">
        <v>111</v>
      </c>
      <c r="BP1158" t="s">
        <v>111</v>
      </c>
      <c r="BQ1158" t="s">
        <v>111</v>
      </c>
      <c r="BR1158" t="s">
        <v>111</v>
      </c>
      <c r="BS1158" t="s">
        <v>111</v>
      </c>
      <c r="BT1158" t="s">
        <v>111</v>
      </c>
      <c r="BU1158" t="s">
        <v>111</v>
      </c>
      <c r="BV1158" t="s">
        <v>111</v>
      </c>
      <c r="BW1158" t="s">
        <v>111</v>
      </c>
      <c r="BX1158" t="s">
        <v>111</v>
      </c>
      <c r="BY1158" t="s">
        <v>111</v>
      </c>
      <c r="BZ1158" t="s">
        <v>111</v>
      </c>
      <c r="CA1158" t="s">
        <v>111</v>
      </c>
      <c r="CB1158" t="s">
        <v>111</v>
      </c>
      <c r="CC1158" t="s">
        <v>111</v>
      </c>
      <c r="CD1158" t="s">
        <v>111</v>
      </c>
      <c r="CE1158" t="s">
        <v>111</v>
      </c>
      <c r="CF1158" t="s">
        <v>111</v>
      </c>
      <c r="CG1158" t="s">
        <v>111</v>
      </c>
      <c r="CH1158" t="s">
        <v>111</v>
      </c>
      <c r="CI1158" t="s">
        <v>111</v>
      </c>
      <c r="CJ1158" t="s">
        <v>111</v>
      </c>
      <c r="CK1158" t="s">
        <v>111</v>
      </c>
      <c r="CL1158" t="e">
        <f>-DESTINO ALMACEN</f>
        <v>#NAME?</v>
      </c>
      <c r="CM1158" t="s">
        <v>111</v>
      </c>
      <c r="CN1158" t="s">
        <v>111</v>
      </c>
      <c r="CO1158" t="s">
        <v>111</v>
      </c>
      <c r="CP1158" t="s">
        <v>111</v>
      </c>
      <c r="CQ1158">
        <v>0</v>
      </c>
      <c r="CR1158">
        <v>0</v>
      </c>
      <c r="CS1158">
        <v>0</v>
      </c>
      <c r="CT1158" t="s">
        <v>111</v>
      </c>
      <c r="CU1158">
        <v>0</v>
      </c>
      <c r="CV1158" t="s">
        <v>111</v>
      </c>
      <c r="CW1158" t="s">
        <v>111</v>
      </c>
      <c r="CX1158" t="s">
        <v>111</v>
      </c>
      <c r="CY1158">
        <v>0</v>
      </c>
      <c r="CZ1158" t="s">
        <v>111</v>
      </c>
      <c r="DA1158" t="s">
        <v>111</v>
      </c>
      <c r="DB1158" t="s">
        <v>111</v>
      </c>
      <c r="DC1158" t="s">
        <v>111</v>
      </c>
    </row>
    <row r="1159" spans="1:107">
      <c r="A1159">
        <v>339</v>
      </c>
      <c r="B1159" t="s">
        <v>162</v>
      </c>
      <c r="C1159" t="s">
        <v>3462</v>
      </c>
      <c r="D1159" t="s">
        <v>3488</v>
      </c>
      <c r="E1159" t="s">
        <v>3489</v>
      </c>
      <c r="F1159" t="s">
        <v>370</v>
      </c>
      <c r="G1159" t="s">
        <v>416</v>
      </c>
      <c r="H1159">
        <v>2.5</v>
      </c>
      <c r="I1159">
        <v>41</v>
      </c>
      <c r="J1159">
        <v>0</v>
      </c>
      <c r="K1159">
        <v>0</v>
      </c>
      <c r="L1159" t="s">
        <v>112</v>
      </c>
      <c r="M1159" t="s">
        <v>118</v>
      </c>
      <c r="N1159">
        <v>40</v>
      </c>
      <c r="O1159">
        <v>2</v>
      </c>
      <c r="P1159" t="s">
        <v>138</v>
      </c>
      <c r="Q1159">
        <v>40</v>
      </c>
      <c r="R1159">
        <v>0</v>
      </c>
      <c r="S1159">
        <v>0</v>
      </c>
      <c r="T1159">
        <v>0</v>
      </c>
      <c r="U1159" t="s">
        <v>1353</v>
      </c>
      <c r="V1159">
        <v>25</v>
      </c>
      <c r="W1159">
        <v>0</v>
      </c>
      <c r="X1159">
        <v>8</v>
      </c>
      <c r="Y1159">
        <v>0</v>
      </c>
      <c r="Z1159" t="s">
        <v>288</v>
      </c>
      <c r="AA1159">
        <v>1.65</v>
      </c>
      <c r="AB1159" t="s">
        <v>111</v>
      </c>
      <c r="AC1159">
        <v>0</v>
      </c>
      <c r="AD1159" t="s">
        <v>416</v>
      </c>
      <c r="AE1159">
        <v>2</v>
      </c>
      <c r="AF1159">
        <v>2</v>
      </c>
      <c r="AG1159">
        <v>26</v>
      </c>
      <c r="AH1159" t="s">
        <v>111</v>
      </c>
      <c r="AI1159">
        <v>26</v>
      </c>
      <c r="AJ1159" t="s">
        <v>111</v>
      </c>
      <c r="AK1159" t="s">
        <v>111</v>
      </c>
      <c r="AL1159" t="s">
        <v>111</v>
      </c>
      <c r="AM1159">
        <v>0</v>
      </c>
      <c r="AN1159">
        <v>0</v>
      </c>
      <c r="AO1159">
        <v>0</v>
      </c>
      <c r="AP1159" t="s">
        <v>147</v>
      </c>
      <c r="AQ1159" t="s">
        <v>111</v>
      </c>
      <c r="AR1159" t="s">
        <v>111</v>
      </c>
      <c r="AS1159" t="s">
        <v>111</v>
      </c>
      <c r="AT1159" t="s">
        <v>259</v>
      </c>
      <c r="AU1159" t="s">
        <v>111</v>
      </c>
      <c r="AV1159" t="s">
        <v>111</v>
      </c>
      <c r="AW1159" t="s">
        <v>111</v>
      </c>
      <c r="AX1159" t="s">
        <v>111</v>
      </c>
      <c r="AY1159" t="s">
        <v>111</v>
      </c>
      <c r="AZ1159" t="s">
        <v>111</v>
      </c>
      <c r="BA1159" t="s">
        <v>111</v>
      </c>
      <c r="BB1159" t="s">
        <v>111</v>
      </c>
      <c r="BC1159" t="s">
        <v>111</v>
      </c>
      <c r="BD1159" t="s">
        <v>111</v>
      </c>
      <c r="BE1159" t="s">
        <v>111</v>
      </c>
      <c r="BF1159" t="s">
        <v>111</v>
      </c>
      <c r="BG1159" t="s">
        <v>111</v>
      </c>
      <c r="BH1159" t="s">
        <v>111</v>
      </c>
      <c r="BI1159" t="s">
        <v>111</v>
      </c>
      <c r="BJ1159" t="s">
        <v>111</v>
      </c>
      <c r="BK1159" t="s">
        <v>111</v>
      </c>
      <c r="BL1159" t="s">
        <v>111</v>
      </c>
      <c r="BM1159" t="s">
        <v>111</v>
      </c>
      <c r="BN1159" t="s">
        <v>111</v>
      </c>
      <c r="BO1159" t="s">
        <v>111</v>
      </c>
      <c r="BP1159" t="s">
        <v>111</v>
      </c>
      <c r="BQ1159" t="s">
        <v>111</v>
      </c>
      <c r="BR1159" t="s">
        <v>111</v>
      </c>
      <c r="BS1159" t="s">
        <v>111</v>
      </c>
      <c r="BT1159" t="s">
        <v>111</v>
      </c>
      <c r="BU1159" t="s">
        <v>111</v>
      </c>
      <c r="BV1159" t="s">
        <v>111</v>
      </c>
      <c r="BW1159" t="s">
        <v>111</v>
      </c>
      <c r="BX1159" t="s">
        <v>111</v>
      </c>
      <c r="BY1159" t="s">
        <v>111</v>
      </c>
      <c r="BZ1159" t="s">
        <v>111</v>
      </c>
      <c r="CA1159" t="s">
        <v>111</v>
      </c>
      <c r="CB1159" t="s">
        <v>111</v>
      </c>
      <c r="CC1159" t="s">
        <v>111</v>
      </c>
      <c r="CD1159" t="s">
        <v>111</v>
      </c>
      <c r="CE1159" t="s">
        <v>111</v>
      </c>
      <c r="CF1159" t="s">
        <v>111</v>
      </c>
      <c r="CG1159" t="s">
        <v>111</v>
      </c>
      <c r="CH1159" t="s">
        <v>111</v>
      </c>
      <c r="CI1159" t="s">
        <v>111</v>
      </c>
      <c r="CJ1159" t="s">
        <v>111</v>
      </c>
      <c r="CK1159" t="s">
        <v>111</v>
      </c>
      <c r="CL1159" t="s">
        <v>153</v>
      </c>
      <c r="CM1159" t="s">
        <v>198</v>
      </c>
      <c r="CN1159" t="s">
        <v>113</v>
      </c>
      <c r="CO1159" t="s">
        <v>1348</v>
      </c>
      <c r="CP1159" t="s">
        <v>433</v>
      </c>
      <c r="CQ1159">
        <v>0</v>
      </c>
      <c r="CR1159">
        <v>0</v>
      </c>
      <c r="CS1159">
        <v>0</v>
      </c>
      <c r="CT1159" t="s">
        <v>2850</v>
      </c>
      <c r="CU1159">
        <v>0</v>
      </c>
      <c r="CV1159" t="s">
        <v>111</v>
      </c>
      <c r="CW1159" t="s">
        <v>111</v>
      </c>
      <c r="CX1159" t="s">
        <v>111</v>
      </c>
      <c r="CY1159">
        <v>0</v>
      </c>
      <c r="CZ1159" t="s">
        <v>111</v>
      </c>
      <c r="DA1159" t="s">
        <v>111</v>
      </c>
      <c r="DB1159" t="s">
        <v>204</v>
      </c>
      <c r="DC1159" s="1" t="s">
        <v>1350</v>
      </c>
    </row>
    <row r="1160" spans="1:107">
      <c r="A1160">
        <v>9</v>
      </c>
      <c r="B1160" t="s">
        <v>162</v>
      </c>
      <c r="C1160" t="s">
        <v>2952</v>
      </c>
      <c r="D1160" t="s">
        <v>3458</v>
      </c>
      <c r="E1160" t="s">
        <v>3490</v>
      </c>
      <c r="F1160" t="s">
        <v>1014</v>
      </c>
      <c r="G1160" t="s">
        <v>416</v>
      </c>
      <c r="H1160">
        <v>1.2</v>
      </c>
      <c r="I1160">
        <v>43</v>
      </c>
      <c r="J1160">
        <v>0</v>
      </c>
      <c r="K1160">
        <v>0</v>
      </c>
      <c r="L1160" t="s">
        <v>112</v>
      </c>
      <c r="M1160" t="s">
        <v>118</v>
      </c>
      <c r="N1160">
        <v>40</v>
      </c>
      <c r="O1160">
        <v>2</v>
      </c>
      <c r="P1160" t="s">
        <v>138</v>
      </c>
      <c r="Q1160">
        <v>30</v>
      </c>
      <c r="R1160">
        <v>0</v>
      </c>
      <c r="S1160">
        <v>0</v>
      </c>
      <c r="T1160">
        <v>0</v>
      </c>
      <c r="U1160" s="1" t="s">
        <v>3183</v>
      </c>
      <c r="V1160">
        <v>0</v>
      </c>
      <c r="W1160">
        <v>25</v>
      </c>
      <c r="X1160">
        <v>6</v>
      </c>
      <c r="Y1160">
        <v>0</v>
      </c>
      <c r="Z1160" t="s">
        <v>111</v>
      </c>
      <c r="AA1160">
        <v>0</v>
      </c>
      <c r="AB1160" t="s">
        <v>111</v>
      </c>
      <c r="AC1160">
        <v>0</v>
      </c>
      <c r="AD1160" t="s">
        <v>416</v>
      </c>
      <c r="AE1160">
        <v>1</v>
      </c>
      <c r="AF1160">
        <v>2</v>
      </c>
      <c r="AG1160">
        <v>76</v>
      </c>
      <c r="AH1160" t="s">
        <v>111</v>
      </c>
      <c r="AI1160">
        <v>38</v>
      </c>
      <c r="AJ1160" t="s">
        <v>111</v>
      </c>
      <c r="AK1160" t="s">
        <v>111</v>
      </c>
      <c r="AL1160" t="s">
        <v>111</v>
      </c>
      <c r="AM1160">
        <v>0</v>
      </c>
      <c r="AN1160">
        <v>0</v>
      </c>
      <c r="AO1160">
        <v>0</v>
      </c>
      <c r="AP1160" t="s">
        <v>111</v>
      </c>
      <c r="AQ1160" t="s">
        <v>111</v>
      </c>
      <c r="AR1160" t="s">
        <v>111</v>
      </c>
      <c r="AS1160" t="s">
        <v>111</v>
      </c>
      <c r="AT1160" t="s">
        <v>111</v>
      </c>
      <c r="AU1160" t="s">
        <v>111</v>
      </c>
      <c r="AV1160" t="s">
        <v>111</v>
      </c>
      <c r="AW1160" t="s">
        <v>111</v>
      </c>
      <c r="AX1160" t="s">
        <v>111</v>
      </c>
      <c r="AY1160" t="s">
        <v>111</v>
      </c>
      <c r="AZ1160" t="s">
        <v>111</v>
      </c>
      <c r="BA1160" t="s">
        <v>111</v>
      </c>
      <c r="BB1160" t="s">
        <v>111</v>
      </c>
      <c r="BC1160" t="s">
        <v>111</v>
      </c>
      <c r="BD1160" t="s">
        <v>111</v>
      </c>
      <c r="BE1160" t="s">
        <v>111</v>
      </c>
      <c r="BF1160" t="s">
        <v>111</v>
      </c>
      <c r="BG1160" t="s">
        <v>111</v>
      </c>
      <c r="BH1160" t="s">
        <v>111</v>
      </c>
      <c r="BI1160" t="s">
        <v>111</v>
      </c>
      <c r="BJ1160" t="s">
        <v>111</v>
      </c>
      <c r="BK1160" t="s">
        <v>111</v>
      </c>
      <c r="BL1160" t="s">
        <v>111</v>
      </c>
      <c r="BM1160" t="s">
        <v>111</v>
      </c>
      <c r="BN1160" t="s">
        <v>111</v>
      </c>
      <c r="BO1160" t="s">
        <v>111</v>
      </c>
      <c r="BP1160" t="s">
        <v>111</v>
      </c>
      <c r="BQ1160" t="s">
        <v>111</v>
      </c>
      <c r="BR1160" t="s">
        <v>111</v>
      </c>
      <c r="BS1160" t="s">
        <v>111</v>
      </c>
      <c r="BT1160" t="s">
        <v>111</v>
      </c>
      <c r="BU1160" t="s">
        <v>111</v>
      </c>
      <c r="BV1160" t="s">
        <v>111</v>
      </c>
      <c r="BW1160" t="s">
        <v>111</v>
      </c>
      <c r="BX1160" t="s">
        <v>111</v>
      </c>
      <c r="BY1160" t="s">
        <v>111</v>
      </c>
      <c r="BZ1160" t="s">
        <v>111</v>
      </c>
      <c r="CA1160" t="s">
        <v>111</v>
      </c>
      <c r="CB1160" t="s">
        <v>111</v>
      </c>
      <c r="CC1160" t="s">
        <v>111</v>
      </c>
      <c r="CD1160" t="s">
        <v>111</v>
      </c>
      <c r="CE1160" t="s">
        <v>111</v>
      </c>
      <c r="CF1160" t="s">
        <v>111</v>
      </c>
      <c r="CG1160" t="s">
        <v>111</v>
      </c>
      <c r="CH1160" t="s">
        <v>111</v>
      </c>
      <c r="CI1160" t="s">
        <v>111</v>
      </c>
      <c r="CJ1160" t="s">
        <v>111</v>
      </c>
      <c r="CK1160" t="s">
        <v>111</v>
      </c>
      <c r="CL1160" t="s">
        <v>153</v>
      </c>
      <c r="CM1160" t="s">
        <v>198</v>
      </c>
      <c r="CN1160" t="s">
        <v>128</v>
      </c>
      <c r="CO1160" t="s">
        <v>111</v>
      </c>
      <c r="CP1160" t="s">
        <v>433</v>
      </c>
      <c r="CQ1160">
        <v>0</v>
      </c>
      <c r="CR1160">
        <v>0</v>
      </c>
      <c r="CS1160">
        <v>0</v>
      </c>
      <c r="CT1160" t="s">
        <v>168</v>
      </c>
      <c r="CU1160">
        <v>0</v>
      </c>
      <c r="CV1160" t="s">
        <v>111</v>
      </c>
      <c r="CW1160" t="s">
        <v>111</v>
      </c>
      <c r="CX1160" t="s">
        <v>111</v>
      </c>
      <c r="CY1160">
        <v>0</v>
      </c>
      <c r="CZ1160" t="s">
        <v>111</v>
      </c>
      <c r="DA1160" t="s">
        <v>111</v>
      </c>
      <c r="DB1160" t="s">
        <v>111</v>
      </c>
      <c r="DC1160" t="s">
        <v>111</v>
      </c>
    </row>
    <row r="1161" spans="1:107">
      <c r="A1161">
        <v>322</v>
      </c>
      <c r="B1161" t="s">
        <v>162</v>
      </c>
      <c r="C1161" t="s">
        <v>3322</v>
      </c>
      <c r="D1161" t="s">
        <v>3327</v>
      </c>
      <c r="E1161" t="s">
        <v>3491</v>
      </c>
      <c r="F1161" t="s">
        <v>3325</v>
      </c>
      <c r="G1161" t="s">
        <v>416</v>
      </c>
      <c r="H1161">
        <v>3.9</v>
      </c>
      <c r="I1161">
        <v>47</v>
      </c>
      <c r="J1161">
        <v>0</v>
      </c>
      <c r="K1161">
        <v>0</v>
      </c>
      <c r="L1161" t="s">
        <v>112</v>
      </c>
      <c r="M1161" t="s">
        <v>118</v>
      </c>
      <c r="N1161">
        <v>40</v>
      </c>
      <c r="O1161">
        <v>2</v>
      </c>
      <c r="P1161" t="s">
        <v>138</v>
      </c>
      <c r="Q1161">
        <v>40</v>
      </c>
      <c r="R1161">
        <v>0</v>
      </c>
      <c r="S1161">
        <v>0</v>
      </c>
      <c r="T1161">
        <v>0</v>
      </c>
      <c r="U1161" t="s">
        <v>1353</v>
      </c>
      <c r="V1161">
        <v>0</v>
      </c>
      <c r="W1161">
        <v>25</v>
      </c>
      <c r="X1161">
        <v>12.5</v>
      </c>
      <c r="Y1161">
        <v>0</v>
      </c>
      <c r="Z1161" t="s">
        <v>111</v>
      </c>
      <c r="AA1161">
        <v>0</v>
      </c>
      <c r="AB1161" t="s">
        <v>111</v>
      </c>
      <c r="AC1161">
        <v>0</v>
      </c>
      <c r="AD1161" t="s">
        <v>416</v>
      </c>
      <c r="AE1161">
        <v>1</v>
      </c>
      <c r="AF1161">
        <v>2</v>
      </c>
      <c r="AG1161">
        <v>32</v>
      </c>
      <c r="AH1161" t="s">
        <v>113</v>
      </c>
      <c r="AI1161">
        <v>32</v>
      </c>
      <c r="AJ1161" t="s">
        <v>111</v>
      </c>
      <c r="AK1161" t="s">
        <v>111</v>
      </c>
      <c r="AL1161" t="s">
        <v>111</v>
      </c>
      <c r="AM1161">
        <v>0</v>
      </c>
      <c r="AN1161">
        <v>0</v>
      </c>
      <c r="AO1161">
        <v>0</v>
      </c>
      <c r="AP1161" t="s">
        <v>2705</v>
      </c>
      <c r="AQ1161" t="s">
        <v>111</v>
      </c>
      <c r="AR1161" t="s">
        <v>111</v>
      </c>
      <c r="AS1161" t="s">
        <v>111</v>
      </c>
      <c r="AT1161" t="s">
        <v>111</v>
      </c>
      <c r="AU1161" t="s">
        <v>111</v>
      </c>
      <c r="AV1161" t="s">
        <v>111</v>
      </c>
      <c r="AW1161" t="s">
        <v>111</v>
      </c>
      <c r="AX1161" t="s">
        <v>111</v>
      </c>
      <c r="AY1161" t="s">
        <v>111</v>
      </c>
      <c r="AZ1161" t="s">
        <v>111</v>
      </c>
      <c r="BA1161" t="s">
        <v>111</v>
      </c>
      <c r="BB1161" t="s">
        <v>111</v>
      </c>
      <c r="BC1161" t="s">
        <v>111</v>
      </c>
      <c r="BD1161" t="s">
        <v>111</v>
      </c>
      <c r="BE1161" t="s">
        <v>111</v>
      </c>
      <c r="BF1161" t="s">
        <v>111</v>
      </c>
      <c r="BG1161" t="s">
        <v>111</v>
      </c>
      <c r="BH1161" t="s">
        <v>111</v>
      </c>
      <c r="BI1161" t="s">
        <v>111</v>
      </c>
      <c r="BJ1161" t="s">
        <v>111</v>
      </c>
      <c r="BK1161" t="s">
        <v>111</v>
      </c>
      <c r="BL1161" t="s">
        <v>111</v>
      </c>
      <c r="BM1161" t="s">
        <v>111</v>
      </c>
      <c r="BN1161" t="s">
        <v>2705</v>
      </c>
      <c r="BO1161" t="s">
        <v>111</v>
      </c>
      <c r="BP1161" t="s">
        <v>111</v>
      </c>
      <c r="BQ1161" t="s">
        <v>111</v>
      </c>
      <c r="BR1161" t="s">
        <v>111</v>
      </c>
      <c r="BS1161" t="s">
        <v>111</v>
      </c>
      <c r="BT1161" t="s">
        <v>111</v>
      </c>
      <c r="BU1161" t="s">
        <v>111</v>
      </c>
      <c r="BV1161" t="s">
        <v>111</v>
      </c>
      <c r="BW1161" t="s">
        <v>111</v>
      </c>
      <c r="BX1161" t="s">
        <v>111</v>
      </c>
      <c r="BY1161" t="s">
        <v>111</v>
      </c>
      <c r="BZ1161" t="s">
        <v>111</v>
      </c>
      <c r="CA1161" t="s">
        <v>111</v>
      </c>
      <c r="CB1161" t="s">
        <v>111</v>
      </c>
      <c r="CC1161" t="s">
        <v>111</v>
      </c>
      <c r="CD1161" t="s">
        <v>111</v>
      </c>
      <c r="CE1161" t="s">
        <v>111</v>
      </c>
      <c r="CF1161" t="s">
        <v>111</v>
      </c>
      <c r="CG1161" t="s">
        <v>111</v>
      </c>
      <c r="CH1161" t="s">
        <v>111</v>
      </c>
      <c r="CI1161" t="s">
        <v>111</v>
      </c>
      <c r="CJ1161" t="s">
        <v>111</v>
      </c>
      <c r="CK1161" t="s">
        <v>111</v>
      </c>
      <c r="CL1161" t="s">
        <v>153</v>
      </c>
      <c r="CM1161" t="s">
        <v>198</v>
      </c>
      <c r="CN1161" t="s">
        <v>113</v>
      </c>
      <c r="CO1161" t="s">
        <v>1348</v>
      </c>
      <c r="CP1161" t="s">
        <v>433</v>
      </c>
      <c r="CQ1161">
        <v>0</v>
      </c>
      <c r="CR1161">
        <v>1000</v>
      </c>
      <c r="CS1161">
        <v>50</v>
      </c>
      <c r="CT1161" s="1" t="s">
        <v>3492</v>
      </c>
      <c r="CU1161">
        <v>0</v>
      </c>
      <c r="CV1161" t="s">
        <v>111</v>
      </c>
      <c r="CW1161" t="s">
        <v>111</v>
      </c>
      <c r="CX1161" t="s">
        <v>111</v>
      </c>
      <c r="CY1161">
        <v>0</v>
      </c>
      <c r="CZ1161" t="s">
        <v>111</v>
      </c>
      <c r="DA1161" t="s">
        <v>111</v>
      </c>
      <c r="DB1161" t="s">
        <v>204</v>
      </c>
      <c r="DC1161" s="1" t="s">
        <v>1350</v>
      </c>
    </row>
    <row r="1162" spans="1:107">
      <c r="A1162">
        <v>1835</v>
      </c>
      <c r="B1162" t="s">
        <v>107</v>
      </c>
      <c r="C1162" t="s">
        <v>2695</v>
      </c>
      <c r="D1162" t="s">
        <v>3493</v>
      </c>
      <c r="E1162" t="s">
        <v>3494</v>
      </c>
      <c r="F1162" t="s">
        <v>116</v>
      </c>
      <c r="G1162" t="s">
        <v>416</v>
      </c>
      <c r="H1162">
        <v>2.5</v>
      </c>
      <c r="I1162">
        <v>94</v>
      </c>
      <c r="J1162">
        <v>2.5</v>
      </c>
      <c r="K1162">
        <v>0</v>
      </c>
      <c r="L1162" t="s">
        <v>117</v>
      </c>
      <c r="M1162" t="s">
        <v>118</v>
      </c>
      <c r="N1162">
        <v>40</v>
      </c>
      <c r="O1162">
        <v>1</v>
      </c>
      <c r="P1162" t="s">
        <v>111</v>
      </c>
      <c r="Q1162">
        <v>70</v>
      </c>
      <c r="R1162">
        <v>0</v>
      </c>
      <c r="S1162">
        <v>0</v>
      </c>
      <c r="T1162">
        <v>5</v>
      </c>
      <c r="U1162" t="e">
        <f>-REFILADO</f>
        <v>#NAME?</v>
      </c>
      <c r="V1162">
        <v>0</v>
      </c>
      <c r="W1162">
        <v>25</v>
      </c>
      <c r="X1162">
        <v>8</v>
      </c>
      <c r="Y1162">
        <v>0</v>
      </c>
      <c r="Z1162" t="s">
        <v>111</v>
      </c>
      <c r="AA1162">
        <v>0</v>
      </c>
      <c r="AB1162" t="s">
        <v>111</v>
      </c>
      <c r="AC1162">
        <v>0</v>
      </c>
      <c r="AD1162" t="s">
        <v>111</v>
      </c>
      <c r="AE1162">
        <v>0</v>
      </c>
      <c r="AF1162">
        <v>0</v>
      </c>
      <c r="AG1162" t="s">
        <v>111</v>
      </c>
      <c r="AH1162" t="s">
        <v>111</v>
      </c>
      <c r="AI1162" t="s">
        <v>111</v>
      </c>
      <c r="AJ1162" t="s">
        <v>111</v>
      </c>
      <c r="AK1162" t="s">
        <v>111</v>
      </c>
      <c r="AL1162" t="s">
        <v>111</v>
      </c>
      <c r="AM1162">
        <v>0</v>
      </c>
      <c r="AN1162">
        <v>0</v>
      </c>
      <c r="AO1162">
        <v>0</v>
      </c>
      <c r="AP1162" t="s">
        <v>111</v>
      </c>
      <c r="AQ1162" t="s">
        <v>111</v>
      </c>
      <c r="AR1162" t="s">
        <v>111</v>
      </c>
      <c r="AS1162" t="s">
        <v>111</v>
      </c>
      <c r="AT1162" t="s">
        <v>111</v>
      </c>
      <c r="AU1162" t="s">
        <v>111</v>
      </c>
      <c r="AV1162" t="s">
        <v>111</v>
      </c>
      <c r="AW1162" t="s">
        <v>111</v>
      </c>
      <c r="AX1162" t="s">
        <v>111</v>
      </c>
      <c r="AY1162" t="s">
        <v>111</v>
      </c>
      <c r="AZ1162" t="s">
        <v>111</v>
      </c>
      <c r="BA1162" t="s">
        <v>111</v>
      </c>
      <c r="BB1162" t="s">
        <v>111</v>
      </c>
      <c r="BC1162" t="s">
        <v>111</v>
      </c>
      <c r="BD1162" t="s">
        <v>111</v>
      </c>
      <c r="BE1162" t="s">
        <v>111</v>
      </c>
      <c r="BF1162" t="s">
        <v>111</v>
      </c>
      <c r="BG1162" t="s">
        <v>111</v>
      </c>
      <c r="BH1162" t="s">
        <v>111</v>
      </c>
      <c r="BI1162" t="s">
        <v>111</v>
      </c>
      <c r="BJ1162" t="s">
        <v>111</v>
      </c>
      <c r="BK1162" t="s">
        <v>111</v>
      </c>
      <c r="BL1162" t="s">
        <v>111</v>
      </c>
      <c r="BM1162" t="s">
        <v>111</v>
      </c>
      <c r="BN1162" t="s">
        <v>111</v>
      </c>
      <c r="BO1162" t="s">
        <v>111</v>
      </c>
      <c r="BP1162" t="s">
        <v>111</v>
      </c>
      <c r="BQ1162" t="s">
        <v>111</v>
      </c>
      <c r="BR1162" t="s">
        <v>111</v>
      </c>
      <c r="BS1162" t="s">
        <v>111</v>
      </c>
      <c r="BT1162" t="s">
        <v>111</v>
      </c>
      <c r="BU1162" t="s">
        <v>111</v>
      </c>
      <c r="BV1162" t="s">
        <v>111</v>
      </c>
      <c r="BW1162" t="s">
        <v>111</v>
      </c>
      <c r="BX1162" t="s">
        <v>111</v>
      </c>
      <c r="BY1162" t="s">
        <v>111</v>
      </c>
      <c r="BZ1162" t="s">
        <v>111</v>
      </c>
      <c r="CA1162" t="s">
        <v>111</v>
      </c>
      <c r="CB1162" t="s">
        <v>111</v>
      </c>
      <c r="CC1162" t="s">
        <v>111</v>
      </c>
      <c r="CD1162" t="s">
        <v>111</v>
      </c>
      <c r="CE1162" t="s">
        <v>111</v>
      </c>
      <c r="CF1162" t="s">
        <v>111</v>
      </c>
      <c r="CG1162" t="s">
        <v>111</v>
      </c>
      <c r="CH1162" t="s">
        <v>111</v>
      </c>
      <c r="CI1162" t="s">
        <v>111</v>
      </c>
      <c r="CJ1162" t="s">
        <v>111</v>
      </c>
      <c r="CK1162" t="s">
        <v>111</v>
      </c>
      <c r="CL1162" t="s">
        <v>111</v>
      </c>
      <c r="CM1162" t="s">
        <v>111</v>
      </c>
      <c r="CN1162" t="s">
        <v>111</v>
      </c>
      <c r="CO1162" t="s">
        <v>111</v>
      </c>
      <c r="CP1162" t="s">
        <v>111</v>
      </c>
      <c r="CQ1162">
        <v>0</v>
      </c>
      <c r="CR1162">
        <v>0</v>
      </c>
      <c r="CS1162">
        <v>0</v>
      </c>
      <c r="CT1162" t="s">
        <v>111</v>
      </c>
      <c r="CU1162">
        <v>47</v>
      </c>
      <c r="CV1162" t="s">
        <v>111</v>
      </c>
      <c r="CX1162" t="s">
        <v>111</v>
      </c>
      <c r="CY1162">
        <v>35</v>
      </c>
      <c r="CZ1162" t="s">
        <v>117</v>
      </c>
      <c r="DA1162" s="1" t="s">
        <v>3495</v>
      </c>
      <c r="DB1162" t="s">
        <v>111</v>
      </c>
      <c r="DC1162" t="s">
        <v>111</v>
      </c>
    </row>
    <row r="1163" spans="1:107">
      <c r="A1163">
        <v>1084</v>
      </c>
      <c r="B1163" t="s">
        <v>107</v>
      </c>
      <c r="C1163" t="s">
        <v>114</v>
      </c>
      <c r="D1163" t="s">
        <v>3496</v>
      </c>
      <c r="E1163" t="s">
        <v>3497</v>
      </c>
      <c r="F1163" t="s">
        <v>2665</v>
      </c>
      <c r="G1163" t="s">
        <v>416</v>
      </c>
      <c r="H1163">
        <v>2.5</v>
      </c>
      <c r="I1163">
        <v>48</v>
      </c>
      <c r="J1163">
        <v>0</v>
      </c>
      <c r="K1163">
        <v>0</v>
      </c>
      <c r="L1163" t="s">
        <v>117</v>
      </c>
      <c r="M1163" t="s">
        <v>118</v>
      </c>
      <c r="N1163">
        <v>400</v>
      </c>
      <c r="O1163">
        <v>1</v>
      </c>
      <c r="P1163">
        <v>20</v>
      </c>
      <c r="Q1163">
        <v>200</v>
      </c>
      <c r="R1163">
        <v>0</v>
      </c>
      <c r="S1163">
        <v>0</v>
      </c>
      <c r="T1163">
        <v>5</v>
      </c>
      <c r="U1163" t="s">
        <v>3498</v>
      </c>
      <c r="V1163">
        <v>100</v>
      </c>
      <c r="W1163">
        <v>0</v>
      </c>
      <c r="X1163">
        <v>10</v>
      </c>
      <c r="Y1163">
        <v>0</v>
      </c>
      <c r="Z1163" t="s">
        <v>111</v>
      </c>
      <c r="AA1163">
        <v>0</v>
      </c>
      <c r="AB1163" t="s">
        <v>111</v>
      </c>
      <c r="AC1163">
        <v>0</v>
      </c>
      <c r="AD1163" t="s">
        <v>416</v>
      </c>
      <c r="AE1163">
        <v>0</v>
      </c>
      <c r="AF1163">
        <v>0</v>
      </c>
      <c r="AG1163" t="s">
        <v>111</v>
      </c>
      <c r="AH1163" t="s">
        <v>111</v>
      </c>
      <c r="AI1163" t="s">
        <v>111</v>
      </c>
      <c r="AJ1163" t="s">
        <v>111</v>
      </c>
      <c r="AK1163" t="s">
        <v>111</v>
      </c>
      <c r="AL1163" t="s">
        <v>111</v>
      </c>
      <c r="AM1163">
        <v>0</v>
      </c>
      <c r="AN1163">
        <v>0</v>
      </c>
      <c r="AO1163">
        <v>0</v>
      </c>
      <c r="AP1163" t="s">
        <v>111</v>
      </c>
      <c r="AQ1163" t="s">
        <v>111</v>
      </c>
      <c r="AR1163" t="s">
        <v>111</v>
      </c>
      <c r="AS1163" t="s">
        <v>111</v>
      </c>
      <c r="AT1163" t="s">
        <v>111</v>
      </c>
      <c r="AU1163" t="s">
        <v>111</v>
      </c>
      <c r="AV1163" t="s">
        <v>111</v>
      </c>
      <c r="AW1163" t="s">
        <v>111</v>
      </c>
      <c r="AX1163" t="s">
        <v>111</v>
      </c>
      <c r="AY1163" t="s">
        <v>111</v>
      </c>
      <c r="AZ1163" t="s">
        <v>111</v>
      </c>
      <c r="BA1163" t="s">
        <v>111</v>
      </c>
      <c r="BB1163" t="s">
        <v>111</v>
      </c>
      <c r="BC1163" t="s">
        <v>111</v>
      </c>
      <c r="BD1163" t="s">
        <v>111</v>
      </c>
      <c r="BE1163" t="s">
        <v>111</v>
      </c>
      <c r="BF1163" t="s">
        <v>111</v>
      </c>
      <c r="BG1163" t="s">
        <v>111</v>
      </c>
      <c r="BH1163" t="s">
        <v>111</v>
      </c>
      <c r="BI1163" t="s">
        <v>111</v>
      </c>
      <c r="BJ1163" t="s">
        <v>111</v>
      </c>
      <c r="BK1163" t="s">
        <v>111</v>
      </c>
      <c r="BL1163" t="s">
        <v>111</v>
      </c>
      <c r="BM1163" t="s">
        <v>111</v>
      </c>
      <c r="BN1163" t="s">
        <v>111</v>
      </c>
      <c r="BO1163" t="s">
        <v>111</v>
      </c>
      <c r="BP1163" t="s">
        <v>111</v>
      </c>
      <c r="BQ1163" t="s">
        <v>111</v>
      </c>
      <c r="BR1163" t="s">
        <v>111</v>
      </c>
      <c r="BS1163" t="s">
        <v>111</v>
      </c>
      <c r="BT1163" t="s">
        <v>111</v>
      </c>
      <c r="BU1163" t="s">
        <v>111</v>
      </c>
      <c r="BV1163" t="s">
        <v>111</v>
      </c>
      <c r="BW1163" t="s">
        <v>111</v>
      </c>
      <c r="BX1163" t="s">
        <v>111</v>
      </c>
      <c r="BY1163" t="s">
        <v>111</v>
      </c>
      <c r="BZ1163" t="s">
        <v>111</v>
      </c>
      <c r="CA1163" t="s">
        <v>111</v>
      </c>
      <c r="CB1163" t="s">
        <v>111</v>
      </c>
      <c r="CC1163" t="s">
        <v>111</v>
      </c>
      <c r="CD1163" t="s">
        <v>111</v>
      </c>
      <c r="CE1163" t="s">
        <v>111</v>
      </c>
      <c r="CF1163" t="s">
        <v>111</v>
      </c>
      <c r="CG1163" t="s">
        <v>111</v>
      </c>
      <c r="CH1163" t="s">
        <v>111</v>
      </c>
      <c r="CI1163" t="s">
        <v>111</v>
      </c>
      <c r="CJ1163" t="s">
        <v>111</v>
      </c>
      <c r="CK1163" t="s">
        <v>111</v>
      </c>
      <c r="CL1163" t="e">
        <f>-DESTINO ALMACEN</f>
        <v>#NAME?</v>
      </c>
      <c r="CM1163" t="s">
        <v>111</v>
      </c>
      <c r="CN1163" t="s">
        <v>111</v>
      </c>
      <c r="CO1163" t="s">
        <v>111</v>
      </c>
      <c r="CP1163" t="s">
        <v>111</v>
      </c>
      <c r="CQ1163">
        <v>0</v>
      </c>
      <c r="CR1163">
        <v>0</v>
      </c>
      <c r="CS1163">
        <v>0</v>
      </c>
      <c r="CT1163" t="s">
        <v>111</v>
      </c>
      <c r="CU1163">
        <v>0</v>
      </c>
      <c r="CV1163" t="s">
        <v>111</v>
      </c>
      <c r="CW1163" t="s">
        <v>111</v>
      </c>
      <c r="CX1163" t="s">
        <v>111</v>
      </c>
      <c r="CY1163">
        <v>0</v>
      </c>
      <c r="CZ1163" t="s">
        <v>111</v>
      </c>
      <c r="DA1163" t="s">
        <v>111</v>
      </c>
      <c r="DB1163" t="s">
        <v>111</v>
      </c>
      <c r="DC1163" t="s">
        <v>111</v>
      </c>
    </row>
    <row r="1164" spans="1:107">
      <c r="A1164">
        <v>4</v>
      </c>
      <c r="B1164" t="s">
        <v>162</v>
      </c>
      <c r="C1164" t="s">
        <v>215</v>
      </c>
      <c r="D1164" t="s">
        <v>3499</v>
      </c>
      <c r="E1164" t="s">
        <v>3500</v>
      </c>
      <c r="F1164" t="s">
        <v>157</v>
      </c>
      <c r="G1164" t="s">
        <v>416</v>
      </c>
      <c r="H1164">
        <v>4</v>
      </c>
      <c r="I1164">
        <v>10</v>
      </c>
      <c r="J1164">
        <v>0</v>
      </c>
      <c r="K1164">
        <v>0</v>
      </c>
      <c r="L1164" t="s">
        <v>112</v>
      </c>
      <c r="M1164" t="s">
        <v>138</v>
      </c>
      <c r="N1164">
        <v>0</v>
      </c>
      <c r="O1164">
        <v>0</v>
      </c>
      <c r="P1164" t="s">
        <v>138</v>
      </c>
      <c r="Q1164">
        <v>20</v>
      </c>
      <c r="R1164">
        <v>0</v>
      </c>
      <c r="S1164">
        <v>0</v>
      </c>
      <c r="T1164">
        <v>0</v>
      </c>
      <c r="U1164" t="s">
        <v>168</v>
      </c>
      <c r="V1164">
        <v>0</v>
      </c>
      <c r="W1164">
        <v>25</v>
      </c>
      <c r="X1164">
        <v>10</v>
      </c>
      <c r="Y1164">
        <v>0</v>
      </c>
      <c r="Z1164" t="s">
        <v>111</v>
      </c>
      <c r="AA1164">
        <v>0</v>
      </c>
      <c r="AB1164" t="s">
        <v>111</v>
      </c>
      <c r="AC1164">
        <v>0</v>
      </c>
      <c r="AD1164" t="s">
        <v>111</v>
      </c>
      <c r="AE1164">
        <v>0</v>
      </c>
      <c r="AF1164">
        <v>0</v>
      </c>
      <c r="AG1164" t="s">
        <v>111</v>
      </c>
      <c r="AH1164" t="s">
        <v>111</v>
      </c>
      <c r="AI1164" t="s">
        <v>111</v>
      </c>
      <c r="AJ1164" t="s">
        <v>111</v>
      </c>
      <c r="AK1164" t="s">
        <v>111</v>
      </c>
      <c r="AL1164" t="s">
        <v>111</v>
      </c>
      <c r="AM1164">
        <v>0</v>
      </c>
      <c r="AN1164">
        <v>0</v>
      </c>
      <c r="AO1164">
        <v>0</v>
      </c>
      <c r="AP1164" t="s">
        <v>111</v>
      </c>
      <c r="AQ1164" t="s">
        <v>111</v>
      </c>
      <c r="AR1164" t="s">
        <v>111</v>
      </c>
      <c r="AS1164" t="s">
        <v>111</v>
      </c>
      <c r="AT1164" t="s">
        <v>111</v>
      </c>
      <c r="AU1164" t="s">
        <v>111</v>
      </c>
      <c r="AV1164" t="s">
        <v>111</v>
      </c>
      <c r="AW1164" t="s">
        <v>111</v>
      </c>
      <c r="AX1164" t="s">
        <v>111</v>
      </c>
      <c r="AY1164" t="s">
        <v>111</v>
      </c>
      <c r="AZ1164" t="s">
        <v>111</v>
      </c>
      <c r="BA1164" t="s">
        <v>111</v>
      </c>
      <c r="BB1164" t="s">
        <v>111</v>
      </c>
      <c r="BC1164" t="s">
        <v>111</v>
      </c>
      <c r="BD1164" t="s">
        <v>111</v>
      </c>
      <c r="BE1164" t="s">
        <v>111</v>
      </c>
      <c r="BF1164" t="s">
        <v>111</v>
      </c>
      <c r="BG1164" t="s">
        <v>111</v>
      </c>
      <c r="BH1164" t="s">
        <v>111</v>
      </c>
      <c r="BI1164" t="s">
        <v>111</v>
      </c>
      <c r="BJ1164" t="s">
        <v>111</v>
      </c>
      <c r="BK1164" t="s">
        <v>111</v>
      </c>
      <c r="BL1164" t="s">
        <v>111</v>
      </c>
      <c r="BM1164" t="s">
        <v>111</v>
      </c>
      <c r="BN1164" t="s">
        <v>111</v>
      </c>
      <c r="BO1164" t="s">
        <v>111</v>
      </c>
      <c r="BP1164" t="s">
        <v>111</v>
      </c>
      <c r="BQ1164" t="s">
        <v>111</v>
      </c>
      <c r="BR1164" t="s">
        <v>111</v>
      </c>
      <c r="BS1164" t="s">
        <v>111</v>
      </c>
      <c r="BT1164" t="s">
        <v>111</v>
      </c>
      <c r="BU1164" t="s">
        <v>111</v>
      </c>
      <c r="BV1164" t="s">
        <v>111</v>
      </c>
      <c r="BW1164" t="s">
        <v>111</v>
      </c>
      <c r="BX1164" t="s">
        <v>111</v>
      </c>
      <c r="BY1164" t="s">
        <v>111</v>
      </c>
      <c r="BZ1164" t="s">
        <v>111</v>
      </c>
      <c r="CA1164" t="s">
        <v>111</v>
      </c>
      <c r="CB1164" t="s">
        <v>111</v>
      </c>
      <c r="CC1164" t="s">
        <v>111</v>
      </c>
      <c r="CD1164" t="s">
        <v>111</v>
      </c>
      <c r="CE1164" t="s">
        <v>111</v>
      </c>
      <c r="CF1164" t="s">
        <v>111</v>
      </c>
      <c r="CG1164" t="s">
        <v>111</v>
      </c>
      <c r="CH1164" t="s">
        <v>111</v>
      </c>
      <c r="CI1164" t="s">
        <v>111</v>
      </c>
      <c r="CJ1164" t="s">
        <v>111</v>
      </c>
      <c r="CK1164" t="s">
        <v>111</v>
      </c>
      <c r="CL1164" t="s">
        <v>111</v>
      </c>
      <c r="CM1164" t="s">
        <v>111</v>
      </c>
      <c r="CN1164" t="s">
        <v>111</v>
      </c>
      <c r="CO1164" t="s">
        <v>111</v>
      </c>
      <c r="CP1164" t="s">
        <v>111</v>
      </c>
      <c r="CQ1164">
        <v>0</v>
      </c>
      <c r="CR1164">
        <v>0</v>
      </c>
      <c r="CS1164">
        <v>0</v>
      </c>
      <c r="CT1164" t="s">
        <v>111</v>
      </c>
      <c r="CU1164">
        <v>0</v>
      </c>
      <c r="CV1164" t="s">
        <v>111</v>
      </c>
      <c r="CW1164" t="s">
        <v>111</v>
      </c>
      <c r="CX1164" t="s">
        <v>111</v>
      </c>
      <c r="CY1164">
        <v>0</v>
      </c>
      <c r="CZ1164" t="s">
        <v>111</v>
      </c>
      <c r="DA1164" t="s">
        <v>111</v>
      </c>
      <c r="DB1164" t="s">
        <v>111</v>
      </c>
      <c r="DC1164" t="s">
        <v>111</v>
      </c>
    </row>
    <row r="1165" spans="1:107">
      <c r="A1165">
        <v>153</v>
      </c>
      <c r="B1165" t="s">
        <v>162</v>
      </c>
      <c r="C1165" t="s">
        <v>2952</v>
      </c>
      <c r="D1165" t="s">
        <v>3501</v>
      </c>
      <c r="E1165" t="s">
        <v>3502</v>
      </c>
      <c r="F1165" t="s">
        <v>431</v>
      </c>
      <c r="G1165" t="s">
        <v>416</v>
      </c>
      <c r="H1165">
        <v>1.1499999999999999</v>
      </c>
      <c r="I1165">
        <v>34.5</v>
      </c>
      <c r="J1165">
        <v>0</v>
      </c>
      <c r="K1165">
        <v>0</v>
      </c>
      <c r="L1165" t="s">
        <v>112</v>
      </c>
      <c r="M1165" t="s">
        <v>138</v>
      </c>
      <c r="N1165">
        <v>0</v>
      </c>
      <c r="O1165">
        <v>0</v>
      </c>
      <c r="P1165" t="s">
        <v>138</v>
      </c>
      <c r="Q1165">
        <v>40</v>
      </c>
      <c r="R1165">
        <v>0</v>
      </c>
      <c r="S1165">
        <v>0</v>
      </c>
      <c r="T1165">
        <v>0</v>
      </c>
      <c r="U1165" t="s">
        <v>153</v>
      </c>
      <c r="V1165">
        <v>0</v>
      </c>
      <c r="W1165">
        <v>25</v>
      </c>
      <c r="X1165">
        <v>8</v>
      </c>
      <c r="Y1165">
        <v>0</v>
      </c>
      <c r="Z1165" t="s">
        <v>111</v>
      </c>
      <c r="AA1165">
        <v>0</v>
      </c>
      <c r="AB1165" t="s">
        <v>111</v>
      </c>
      <c r="AC1165">
        <v>0</v>
      </c>
      <c r="AD1165" t="s">
        <v>111</v>
      </c>
      <c r="AE1165">
        <v>0</v>
      </c>
      <c r="AF1165">
        <v>0</v>
      </c>
      <c r="AG1165" t="s">
        <v>111</v>
      </c>
      <c r="AH1165" t="s">
        <v>111</v>
      </c>
      <c r="AI1165" t="s">
        <v>111</v>
      </c>
      <c r="AJ1165" t="s">
        <v>111</v>
      </c>
      <c r="AK1165" t="s">
        <v>111</v>
      </c>
      <c r="AL1165" t="s">
        <v>111</v>
      </c>
      <c r="AM1165">
        <v>0</v>
      </c>
      <c r="AN1165">
        <v>0</v>
      </c>
      <c r="AO1165">
        <v>0</v>
      </c>
      <c r="AP1165" t="s">
        <v>111</v>
      </c>
      <c r="AQ1165" t="s">
        <v>111</v>
      </c>
      <c r="AR1165" t="s">
        <v>111</v>
      </c>
      <c r="AS1165" t="s">
        <v>111</v>
      </c>
      <c r="AT1165" t="s">
        <v>111</v>
      </c>
      <c r="AU1165" t="s">
        <v>111</v>
      </c>
      <c r="AV1165" t="s">
        <v>111</v>
      </c>
      <c r="AW1165" t="s">
        <v>111</v>
      </c>
      <c r="AX1165" t="s">
        <v>111</v>
      </c>
      <c r="AY1165" t="s">
        <v>111</v>
      </c>
      <c r="AZ1165" t="s">
        <v>111</v>
      </c>
      <c r="BA1165" t="s">
        <v>111</v>
      </c>
      <c r="BB1165" t="s">
        <v>111</v>
      </c>
      <c r="BC1165" t="s">
        <v>111</v>
      </c>
      <c r="BD1165" t="s">
        <v>111</v>
      </c>
      <c r="BE1165" t="s">
        <v>111</v>
      </c>
      <c r="BF1165" t="s">
        <v>111</v>
      </c>
      <c r="BG1165" t="s">
        <v>111</v>
      </c>
      <c r="BH1165" t="s">
        <v>111</v>
      </c>
      <c r="BI1165" t="s">
        <v>111</v>
      </c>
      <c r="BJ1165" t="s">
        <v>111</v>
      </c>
      <c r="BK1165" t="s">
        <v>111</v>
      </c>
      <c r="BL1165" t="s">
        <v>111</v>
      </c>
      <c r="BM1165" t="s">
        <v>111</v>
      </c>
      <c r="BN1165" t="s">
        <v>111</v>
      </c>
      <c r="BO1165" t="s">
        <v>111</v>
      </c>
      <c r="BP1165" t="s">
        <v>111</v>
      </c>
      <c r="BQ1165" t="s">
        <v>111</v>
      </c>
      <c r="BR1165" t="s">
        <v>111</v>
      </c>
      <c r="BS1165" t="s">
        <v>111</v>
      </c>
      <c r="BT1165" t="s">
        <v>111</v>
      </c>
      <c r="BU1165" t="s">
        <v>111</v>
      </c>
      <c r="BV1165" t="s">
        <v>111</v>
      </c>
      <c r="BW1165" t="s">
        <v>111</v>
      </c>
      <c r="BX1165" t="s">
        <v>111</v>
      </c>
      <c r="BY1165" t="s">
        <v>111</v>
      </c>
      <c r="BZ1165" t="s">
        <v>111</v>
      </c>
      <c r="CA1165" t="s">
        <v>111</v>
      </c>
      <c r="CB1165" t="s">
        <v>111</v>
      </c>
      <c r="CC1165" t="s">
        <v>111</v>
      </c>
      <c r="CD1165" t="s">
        <v>111</v>
      </c>
      <c r="CE1165" t="s">
        <v>111</v>
      </c>
      <c r="CF1165" t="s">
        <v>111</v>
      </c>
      <c r="CG1165" t="s">
        <v>111</v>
      </c>
      <c r="CH1165" t="s">
        <v>111</v>
      </c>
      <c r="CI1165" t="s">
        <v>111</v>
      </c>
      <c r="CJ1165" t="s">
        <v>111</v>
      </c>
      <c r="CK1165" t="s">
        <v>111</v>
      </c>
      <c r="CL1165" t="s">
        <v>111</v>
      </c>
      <c r="CM1165" t="s">
        <v>198</v>
      </c>
      <c r="CN1165" t="s">
        <v>113</v>
      </c>
      <c r="CO1165" t="s">
        <v>111</v>
      </c>
      <c r="CP1165" t="s">
        <v>111</v>
      </c>
      <c r="CQ1165">
        <v>0</v>
      </c>
      <c r="CR1165">
        <v>0</v>
      </c>
      <c r="CS1165">
        <v>0</v>
      </c>
      <c r="CT1165" t="s">
        <v>3503</v>
      </c>
      <c r="CU1165">
        <v>0</v>
      </c>
      <c r="CV1165" t="s">
        <v>111</v>
      </c>
      <c r="CW1165" t="s">
        <v>111</v>
      </c>
      <c r="CX1165" t="s">
        <v>111</v>
      </c>
      <c r="CY1165">
        <v>0</v>
      </c>
      <c r="CZ1165" t="s">
        <v>111</v>
      </c>
      <c r="DA1165" t="s">
        <v>111</v>
      </c>
      <c r="DB1165" t="s">
        <v>240</v>
      </c>
      <c r="DC1165" s="1" t="s">
        <v>3284</v>
      </c>
    </row>
    <row r="1166" spans="1:107">
      <c r="A1166">
        <v>302</v>
      </c>
      <c r="B1166" t="s">
        <v>162</v>
      </c>
      <c r="C1166" t="s">
        <v>171</v>
      </c>
      <c r="D1166" t="s">
        <v>3504</v>
      </c>
      <c r="E1166" t="s">
        <v>3505</v>
      </c>
      <c r="F1166" t="s">
        <v>431</v>
      </c>
      <c r="G1166" t="s">
        <v>416</v>
      </c>
      <c r="H1166">
        <v>3.4</v>
      </c>
      <c r="I1166">
        <v>58</v>
      </c>
      <c r="J1166">
        <v>0</v>
      </c>
      <c r="K1166">
        <v>0</v>
      </c>
      <c r="L1166" t="s">
        <v>117</v>
      </c>
      <c r="M1166" t="s">
        <v>118</v>
      </c>
      <c r="N1166">
        <v>40</v>
      </c>
      <c r="O1166">
        <v>2</v>
      </c>
      <c r="P1166" t="s">
        <v>138</v>
      </c>
      <c r="Q1166">
        <v>40</v>
      </c>
      <c r="R1166">
        <v>0</v>
      </c>
      <c r="S1166">
        <v>0</v>
      </c>
      <c r="T1166">
        <v>0</v>
      </c>
      <c r="U1166" t="s">
        <v>1353</v>
      </c>
      <c r="V1166">
        <v>0</v>
      </c>
      <c r="W1166">
        <v>25</v>
      </c>
      <c r="X1166">
        <v>10</v>
      </c>
      <c r="Y1166">
        <v>0</v>
      </c>
      <c r="Z1166" t="s">
        <v>111</v>
      </c>
      <c r="AA1166">
        <v>0</v>
      </c>
      <c r="AB1166" t="s">
        <v>111</v>
      </c>
      <c r="AC1166">
        <v>0</v>
      </c>
      <c r="AD1166" t="s">
        <v>416</v>
      </c>
      <c r="AE1166">
        <v>4</v>
      </c>
      <c r="AF1166">
        <v>1</v>
      </c>
      <c r="AG1166" t="s">
        <v>2861</v>
      </c>
      <c r="AH1166" t="s">
        <v>111</v>
      </c>
      <c r="AI1166">
        <v>30</v>
      </c>
      <c r="AJ1166" t="s">
        <v>111</v>
      </c>
      <c r="AK1166" t="s">
        <v>111</v>
      </c>
      <c r="AL1166" t="s">
        <v>111</v>
      </c>
      <c r="AM1166">
        <v>0</v>
      </c>
      <c r="AN1166">
        <v>0</v>
      </c>
      <c r="AO1166">
        <v>0</v>
      </c>
      <c r="AP1166" t="s">
        <v>188</v>
      </c>
      <c r="AQ1166" t="s">
        <v>111</v>
      </c>
      <c r="AR1166" t="s">
        <v>111</v>
      </c>
      <c r="AS1166" t="s">
        <v>111</v>
      </c>
      <c r="AT1166" t="s">
        <v>147</v>
      </c>
      <c r="AU1166" t="s">
        <v>111</v>
      </c>
      <c r="AV1166" t="s">
        <v>111</v>
      </c>
      <c r="AW1166" t="s">
        <v>111</v>
      </c>
      <c r="AX1166" t="s">
        <v>288</v>
      </c>
      <c r="AY1166" t="s">
        <v>111</v>
      </c>
      <c r="AZ1166" t="s">
        <v>111</v>
      </c>
      <c r="BA1166" t="s">
        <v>111</v>
      </c>
      <c r="BB1166" t="s">
        <v>271</v>
      </c>
      <c r="BC1166" t="s">
        <v>111</v>
      </c>
      <c r="BD1166" t="s">
        <v>111</v>
      </c>
      <c r="BE1166" t="s">
        <v>111</v>
      </c>
      <c r="BF1166" t="s">
        <v>111</v>
      </c>
      <c r="BG1166" t="s">
        <v>111</v>
      </c>
      <c r="BH1166" t="s">
        <v>111</v>
      </c>
      <c r="BI1166" t="s">
        <v>111</v>
      </c>
      <c r="BJ1166" t="s">
        <v>111</v>
      </c>
      <c r="BK1166" t="s">
        <v>111</v>
      </c>
      <c r="BL1166" t="s">
        <v>111</v>
      </c>
      <c r="BM1166" t="s">
        <v>111</v>
      </c>
      <c r="BN1166" t="s">
        <v>111</v>
      </c>
      <c r="BO1166" t="s">
        <v>111</v>
      </c>
      <c r="BP1166" t="s">
        <v>111</v>
      </c>
      <c r="BQ1166" t="s">
        <v>111</v>
      </c>
      <c r="BR1166" t="s">
        <v>111</v>
      </c>
      <c r="BS1166" t="s">
        <v>111</v>
      </c>
      <c r="BT1166" t="s">
        <v>111</v>
      </c>
      <c r="BU1166" t="s">
        <v>111</v>
      </c>
      <c r="BV1166" t="s">
        <v>111</v>
      </c>
      <c r="BW1166" t="s">
        <v>111</v>
      </c>
      <c r="BX1166" t="s">
        <v>111</v>
      </c>
      <c r="BY1166" t="s">
        <v>111</v>
      </c>
      <c r="BZ1166" t="s">
        <v>111</v>
      </c>
      <c r="CA1166" t="s">
        <v>111</v>
      </c>
      <c r="CB1166" t="s">
        <v>111</v>
      </c>
      <c r="CC1166" t="s">
        <v>111</v>
      </c>
      <c r="CD1166" t="s">
        <v>111</v>
      </c>
      <c r="CE1166" t="s">
        <v>111</v>
      </c>
      <c r="CF1166" t="s">
        <v>111</v>
      </c>
      <c r="CG1166" t="s">
        <v>111</v>
      </c>
      <c r="CH1166" t="s">
        <v>111</v>
      </c>
      <c r="CI1166" t="s">
        <v>111</v>
      </c>
      <c r="CJ1166" t="s">
        <v>111</v>
      </c>
      <c r="CK1166" t="s">
        <v>111</v>
      </c>
      <c r="CL1166" t="s">
        <v>153</v>
      </c>
      <c r="CM1166" t="s">
        <v>198</v>
      </c>
      <c r="CN1166" t="s">
        <v>113</v>
      </c>
      <c r="CO1166" t="s">
        <v>111</v>
      </c>
      <c r="CP1166" t="s">
        <v>433</v>
      </c>
      <c r="CQ1166">
        <v>0</v>
      </c>
      <c r="CR1166">
        <v>0</v>
      </c>
      <c r="CS1166">
        <v>0</v>
      </c>
      <c r="CT1166" t="s">
        <v>168</v>
      </c>
      <c r="CU1166">
        <v>0</v>
      </c>
      <c r="CV1166" t="s">
        <v>111</v>
      </c>
      <c r="CW1166" t="s">
        <v>111</v>
      </c>
      <c r="CX1166" t="s">
        <v>111</v>
      </c>
      <c r="CY1166">
        <v>0</v>
      </c>
      <c r="CZ1166" t="s">
        <v>111</v>
      </c>
      <c r="DA1166" t="s">
        <v>111</v>
      </c>
      <c r="DB1166" t="s">
        <v>111</v>
      </c>
      <c r="DC1166" t="s">
        <v>111</v>
      </c>
    </row>
    <row r="1167" spans="1:107">
      <c r="A1167">
        <v>303</v>
      </c>
      <c r="B1167" t="s">
        <v>162</v>
      </c>
      <c r="C1167" t="s">
        <v>171</v>
      </c>
      <c r="D1167" t="s">
        <v>727</v>
      </c>
      <c r="E1167" t="s">
        <v>3506</v>
      </c>
      <c r="F1167" t="s">
        <v>431</v>
      </c>
      <c r="G1167" t="s">
        <v>416</v>
      </c>
      <c r="H1167">
        <v>3.4</v>
      </c>
      <c r="I1167">
        <v>61</v>
      </c>
      <c r="J1167">
        <v>0</v>
      </c>
      <c r="K1167">
        <v>0</v>
      </c>
      <c r="L1167" t="s">
        <v>117</v>
      </c>
      <c r="M1167" t="s">
        <v>118</v>
      </c>
      <c r="N1167">
        <v>40</v>
      </c>
      <c r="O1167">
        <v>2</v>
      </c>
      <c r="P1167" t="s">
        <v>138</v>
      </c>
      <c r="Q1167">
        <v>40</v>
      </c>
      <c r="R1167">
        <v>0</v>
      </c>
      <c r="S1167">
        <v>0</v>
      </c>
      <c r="T1167">
        <v>0</v>
      </c>
      <c r="U1167" t="s">
        <v>1353</v>
      </c>
      <c r="V1167">
        <v>0</v>
      </c>
      <c r="W1167">
        <v>25</v>
      </c>
      <c r="X1167">
        <v>10</v>
      </c>
      <c r="Y1167">
        <v>0</v>
      </c>
      <c r="Z1167" t="s">
        <v>111</v>
      </c>
      <c r="AA1167">
        <v>0</v>
      </c>
      <c r="AB1167" t="s">
        <v>111</v>
      </c>
      <c r="AC1167">
        <v>0</v>
      </c>
      <c r="AD1167" t="s">
        <v>416</v>
      </c>
      <c r="AE1167">
        <v>4</v>
      </c>
      <c r="AF1167">
        <v>1</v>
      </c>
      <c r="AG1167" t="s">
        <v>2542</v>
      </c>
      <c r="AH1167" t="s">
        <v>111</v>
      </c>
      <c r="AI1167">
        <v>42</v>
      </c>
      <c r="AJ1167" t="s">
        <v>111</v>
      </c>
      <c r="AK1167" t="s">
        <v>111</v>
      </c>
      <c r="AL1167" t="s">
        <v>111</v>
      </c>
      <c r="AM1167">
        <v>0</v>
      </c>
      <c r="AN1167">
        <v>0</v>
      </c>
      <c r="AO1167">
        <v>0</v>
      </c>
      <c r="AP1167" t="s">
        <v>188</v>
      </c>
      <c r="AQ1167" t="s">
        <v>111</v>
      </c>
      <c r="AR1167" t="s">
        <v>111</v>
      </c>
      <c r="AS1167" t="s">
        <v>111</v>
      </c>
      <c r="AT1167" t="s">
        <v>147</v>
      </c>
      <c r="AU1167" t="s">
        <v>111</v>
      </c>
      <c r="AV1167" t="s">
        <v>111</v>
      </c>
      <c r="AW1167" t="s">
        <v>111</v>
      </c>
      <c r="AX1167" t="s">
        <v>288</v>
      </c>
      <c r="AY1167" t="s">
        <v>111</v>
      </c>
      <c r="AZ1167" t="s">
        <v>111</v>
      </c>
      <c r="BA1167" t="s">
        <v>111</v>
      </c>
      <c r="BB1167" t="s">
        <v>271</v>
      </c>
      <c r="BC1167" t="s">
        <v>111</v>
      </c>
      <c r="BD1167" t="s">
        <v>111</v>
      </c>
      <c r="BE1167" t="s">
        <v>111</v>
      </c>
      <c r="BF1167" t="s">
        <v>111</v>
      </c>
      <c r="BG1167" t="s">
        <v>111</v>
      </c>
      <c r="BH1167" t="s">
        <v>111</v>
      </c>
      <c r="BI1167" t="s">
        <v>111</v>
      </c>
      <c r="BJ1167" t="s">
        <v>111</v>
      </c>
      <c r="BK1167" t="s">
        <v>111</v>
      </c>
      <c r="BL1167" t="s">
        <v>111</v>
      </c>
      <c r="BM1167" t="s">
        <v>111</v>
      </c>
      <c r="BN1167" t="s">
        <v>111</v>
      </c>
      <c r="BO1167" t="s">
        <v>111</v>
      </c>
      <c r="BP1167" t="s">
        <v>111</v>
      </c>
      <c r="BQ1167" t="s">
        <v>111</v>
      </c>
      <c r="BR1167" t="s">
        <v>111</v>
      </c>
      <c r="BS1167" t="s">
        <v>111</v>
      </c>
      <c r="BT1167" t="s">
        <v>111</v>
      </c>
      <c r="BU1167" t="s">
        <v>111</v>
      </c>
      <c r="BV1167" t="s">
        <v>111</v>
      </c>
      <c r="BW1167" t="s">
        <v>111</v>
      </c>
      <c r="BX1167" t="s">
        <v>111</v>
      </c>
      <c r="BY1167" t="s">
        <v>111</v>
      </c>
      <c r="BZ1167" t="s">
        <v>111</v>
      </c>
      <c r="CA1167" t="s">
        <v>111</v>
      </c>
      <c r="CB1167" t="s">
        <v>111</v>
      </c>
      <c r="CC1167" t="s">
        <v>111</v>
      </c>
      <c r="CD1167" t="s">
        <v>111</v>
      </c>
      <c r="CE1167" t="s">
        <v>111</v>
      </c>
      <c r="CF1167" t="s">
        <v>111</v>
      </c>
      <c r="CG1167" t="s">
        <v>111</v>
      </c>
      <c r="CH1167" t="s">
        <v>111</v>
      </c>
      <c r="CI1167" t="s">
        <v>111</v>
      </c>
      <c r="CJ1167" t="s">
        <v>111</v>
      </c>
      <c r="CK1167" t="s">
        <v>111</v>
      </c>
      <c r="CL1167" t="s">
        <v>153</v>
      </c>
      <c r="CM1167" t="s">
        <v>198</v>
      </c>
      <c r="CN1167" t="s">
        <v>113</v>
      </c>
      <c r="CO1167" t="s">
        <v>111</v>
      </c>
      <c r="CP1167" t="s">
        <v>433</v>
      </c>
      <c r="CQ1167">
        <v>0</v>
      </c>
      <c r="CR1167">
        <v>4000</v>
      </c>
      <c r="CS1167">
        <v>200</v>
      </c>
      <c r="CT1167" t="s">
        <v>168</v>
      </c>
      <c r="CU1167">
        <v>0</v>
      </c>
      <c r="CV1167" t="s">
        <v>111</v>
      </c>
      <c r="CW1167" t="s">
        <v>111</v>
      </c>
      <c r="CX1167" t="s">
        <v>111</v>
      </c>
      <c r="CY1167">
        <v>0</v>
      </c>
      <c r="CZ1167" t="s">
        <v>111</v>
      </c>
      <c r="DA1167" t="s">
        <v>111</v>
      </c>
      <c r="DB1167" t="s">
        <v>111</v>
      </c>
      <c r="DC1167" t="s">
        <v>111</v>
      </c>
    </row>
    <row r="1168" spans="1:107">
      <c r="A1168">
        <v>311</v>
      </c>
      <c r="B1168" t="s">
        <v>162</v>
      </c>
      <c r="C1168" t="s">
        <v>681</v>
      </c>
      <c r="D1168" t="s">
        <v>3147</v>
      </c>
      <c r="E1168" t="s">
        <v>3507</v>
      </c>
      <c r="F1168" t="s">
        <v>684</v>
      </c>
      <c r="G1168" t="s">
        <v>416</v>
      </c>
      <c r="H1168">
        <v>0.45</v>
      </c>
      <c r="I1168">
        <v>50</v>
      </c>
      <c r="J1168">
        <v>0</v>
      </c>
      <c r="K1168">
        <v>0</v>
      </c>
      <c r="L1168" t="s">
        <v>112</v>
      </c>
      <c r="M1168" t="s">
        <v>118</v>
      </c>
      <c r="N1168">
        <v>0</v>
      </c>
      <c r="O1168">
        <v>0</v>
      </c>
      <c r="P1168" t="s">
        <v>138</v>
      </c>
      <c r="Q1168">
        <v>30</v>
      </c>
      <c r="R1168">
        <v>0</v>
      </c>
      <c r="S1168">
        <v>0</v>
      </c>
      <c r="T1168">
        <v>0</v>
      </c>
      <c r="U1168" t="s">
        <v>419</v>
      </c>
      <c r="V1168">
        <v>25</v>
      </c>
      <c r="W1168">
        <v>0</v>
      </c>
      <c r="X1168">
        <v>5</v>
      </c>
      <c r="Y1168">
        <v>0</v>
      </c>
      <c r="Z1168" t="s">
        <v>111</v>
      </c>
      <c r="AA1168">
        <v>0</v>
      </c>
      <c r="AB1168" t="s">
        <v>111</v>
      </c>
      <c r="AC1168">
        <v>0</v>
      </c>
      <c r="AD1168" t="s">
        <v>111</v>
      </c>
      <c r="AE1168">
        <v>0</v>
      </c>
      <c r="AF1168">
        <v>0</v>
      </c>
      <c r="AG1168" t="s">
        <v>111</v>
      </c>
      <c r="AH1168" t="s">
        <v>111</v>
      </c>
      <c r="AI1168" t="s">
        <v>111</v>
      </c>
      <c r="AJ1168" t="s">
        <v>111</v>
      </c>
      <c r="AK1168" t="s">
        <v>111</v>
      </c>
      <c r="AL1168" t="s">
        <v>111</v>
      </c>
      <c r="AM1168">
        <v>0</v>
      </c>
      <c r="AN1168">
        <v>0</v>
      </c>
      <c r="AO1168">
        <v>0</v>
      </c>
      <c r="AP1168" t="s">
        <v>111</v>
      </c>
      <c r="AQ1168" t="s">
        <v>111</v>
      </c>
      <c r="AR1168" t="s">
        <v>111</v>
      </c>
      <c r="AS1168" t="s">
        <v>111</v>
      </c>
      <c r="AT1168" t="s">
        <v>111</v>
      </c>
      <c r="AU1168" t="s">
        <v>111</v>
      </c>
      <c r="AV1168" t="s">
        <v>111</v>
      </c>
      <c r="AW1168" t="s">
        <v>111</v>
      </c>
      <c r="AX1168" t="s">
        <v>111</v>
      </c>
      <c r="AY1168" t="s">
        <v>111</v>
      </c>
      <c r="AZ1168" t="s">
        <v>111</v>
      </c>
      <c r="BA1168" t="s">
        <v>111</v>
      </c>
      <c r="BB1168" t="s">
        <v>111</v>
      </c>
      <c r="BC1168" t="s">
        <v>111</v>
      </c>
      <c r="BD1168" t="s">
        <v>111</v>
      </c>
      <c r="BE1168" t="s">
        <v>111</v>
      </c>
      <c r="BF1168" t="s">
        <v>111</v>
      </c>
      <c r="BG1168" t="s">
        <v>111</v>
      </c>
      <c r="BH1168" t="s">
        <v>111</v>
      </c>
      <c r="BI1168" t="s">
        <v>111</v>
      </c>
      <c r="BJ1168" t="s">
        <v>111</v>
      </c>
      <c r="BK1168" t="s">
        <v>111</v>
      </c>
      <c r="BL1168" t="s">
        <v>111</v>
      </c>
      <c r="BM1168" t="s">
        <v>111</v>
      </c>
      <c r="BN1168" t="s">
        <v>111</v>
      </c>
      <c r="BO1168" t="s">
        <v>111</v>
      </c>
      <c r="BP1168" t="s">
        <v>111</v>
      </c>
      <c r="BQ1168" t="s">
        <v>111</v>
      </c>
      <c r="BR1168" t="s">
        <v>111</v>
      </c>
      <c r="BS1168" t="s">
        <v>111</v>
      </c>
      <c r="BT1168" t="s">
        <v>111</v>
      </c>
      <c r="BU1168" t="s">
        <v>111</v>
      </c>
      <c r="BV1168" t="s">
        <v>111</v>
      </c>
      <c r="BW1168" t="s">
        <v>111</v>
      </c>
      <c r="BX1168" t="s">
        <v>111</v>
      </c>
      <c r="BY1168" t="s">
        <v>111</v>
      </c>
      <c r="BZ1168" t="s">
        <v>111</v>
      </c>
      <c r="CA1168" t="s">
        <v>111</v>
      </c>
      <c r="CB1168" t="s">
        <v>111</v>
      </c>
      <c r="CC1168" t="s">
        <v>111</v>
      </c>
      <c r="CD1168" t="s">
        <v>111</v>
      </c>
      <c r="CE1168" t="s">
        <v>111</v>
      </c>
      <c r="CF1168" t="s">
        <v>111</v>
      </c>
      <c r="CG1168" t="s">
        <v>111</v>
      </c>
      <c r="CH1168" t="s">
        <v>111</v>
      </c>
      <c r="CI1168" t="s">
        <v>111</v>
      </c>
      <c r="CJ1168" t="s">
        <v>111</v>
      </c>
      <c r="CK1168" t="s">
        <v>111</v>
      </c>
      <c r="CL1168" t="s">
        <v>111</v>
      </c>
      <c r="CM1168" t="s">
        <v>111</v>
      </c>
      <c r="CN1168" t="s">
        <v>111</v>
      </c>
      <c r="CO1168" t="s">
        <v>111</v>
      </c>
      <c r="CP1168" t="s">
        <v>111</v>
      </c>
      <c r="CQ1168">
        <v>0</v>
      </c>
      <c r="CR1168">
        <v>0</v>
      </c>
      <c r="CS1168">
        <v>0</v>
      </c>
      <c r="CT1168" t="s">
        <v>111</v>
      </c>
      <c r="CU1168">
        <v>0</v>
      </c>
      <c r="CV1168" t="s">
        <v>111</v>
      </c>
      <c r="CW1168" t="s">
        <v>111</v>
      </c>
      <c r="CX1168" t="s">
        <v>111</v>
      </c>
      <c r="CY1168">
        <v>0</v>
      </c>
      <c r="CZ1168" t="s">
        <v>111</v>
      </c>
      <c r="DA1168" t="s">
        <v>111</v>
      </c>
      <c r="DB1168" t="s">
        <v>204</v>
      </c>
      <c r="DC1168" s="1" t="s">
        <v>804</v>
      </c>
    </row>
    <row r="1169" spans="1:107">
      <c r="A1169">
        <v>1013</v>
      </c>
      <c r="B1169" t="s">
        <v>107</v>
      </c>
      <c r="C1169" t="s">
        <v>937</v>
      </c>
      <c r="D1169" t="s">
        <v>938</v>
      </c>
      <c r="E1169" t="s">
        <v>3508</v>
      </c>
      <c r="F1169" t="s">
        <v>431</v>
      </c>
      <c r="G1169" t="s">
        <v>416</v>
      </c>
      <c r="H1169">
        <v>3</v>
      </c>
      <c r="I1169">
        <v>54</v>
      </c>
      <c r="J1169">
        <v>0</v>
      </c>
      <c r="K1169">
        <v>0</v>
      </c>
      <c r="L1169" t="s">
        <v>117</v>
      </c>
      <c r="M1169" t="s">
        <v>118</v>
      </c>
      <c r="N1169">
        <v>39</v>
      </c>
      <c r="O1169">
        <v>1</v>
      </c>
      <c r="P1169" t="s">
        <v>138</v>
      </c>
      <c r="Q1169">
        <v>27</v>
      </c>
      <c r="R1169">
        <v>0</v>
      </c>
      <c r="S1169">
        <v>0</v>
      </c>
      <c r="T1169">
        <v>5</v>
      </c>
      <c r="U1169" t="s">
        <v>1511</v>
      </c>
      <c r="V1169">
        <v>0</v>
      </c>
      <c r="W1169">
        <v>25</v>
      </c>
      <c r="X1169">
        <v>8</v>
      </c>
      <c r="Y1169">
        <v>0</v>
      </c>
      <c r="Z1169" t="s">
        <v>111</v>
      </c>
      <c r="AA1169">
        <v>0</v>
      </c>
      <c r="AB1169" t="s">
        <v>940</v>
      </c>
      <c r="AC1169">
        <v>8</v>
      </c>
      <c r="AD1169" t="s">
        <v>416</v>
      </c>
      <c r="AE1169">
        <v>0</v>
      </c>
      <c r="AF1169">
        <v>0</v>
      </c>
      <c r="AG1169" t="s">
        <v>111</v>
      </c>
      <c r="AH1169" t="s">
        <v>111</v>
      </c>
      <c r="AI1169" t="s">
        <v>111</v>
      </c>
      <c r="AJ1169" t="s">
        <v>111</v>
      </c>
      <c r="AK1169" t="s">
        <v>111</v>
      </c>
      <c r="AL1169" t="s">
        <v>111</v>
      </c>
      <c r="AM1169">
        <v>0</v>
      </c>
      <c r="AN1169">
        <v>0</v>
      </c>
      <c r="AO1169">
        <v>0</v>
      </c>
      <c r="AP1169" t="s">
        <v>111</v>
      </c>
      <c r="AQ1169" t="s">
        <v>111</v>
      </c>
      <c r="AR1169" t="s">
        <v>111</v>
      </c>
      <c r="AS1169" t="s">
        <v>111</v>
      </c>
      <c r="AT1169" t="s">
        <v>111</v>
      </c>
      <c r="AU1169" t="s">
        <v>111</v>
      </c>
      <c r="AV1169" t="s">
        <v>111</v>
      </c>
      <c r="AW1169" t="s">
        <v>111</v>
      </c>
      <c r="AX1169" t="s">
        <v>111</v>
      </c>
      <c r="AY1169" t="s">
        <v>111</v>
      </c>
      <c r="AZ1169" t="s">
        <v>111</v>
      </c>
      <c r="BA1169" t="s">
        <v>111</v>
      </c>
      <c r="BB1169" t="s">
        <v>111</v>
      </c>
      <c r="BC1169" t="s">
        <v>111</v>
      </c>
      <c r="BD1169" t="s">
        <v>111</v>
      </c>
      <c r="BE1169" t="s">
        <v>111</v>
      </c>
      <c r="BF1169" t="s">
        <v>111</v>
      </c>
      <c r="BG1169" t="s">
        <v>111</v>
      </c>
      <c r="BH1169" t="s">
        <v>111</v>
      </c>
      <c r="BI1169" t="s">
        <v>111</v>
      </c>
      <c r="BJ1169" t="s">
        <v>111</v>
      </c>
      <c r="BK1169" t="s">
        <v>111</v>
      </c>
      <c r="BL1169" t="s">
        <v>111</v>
      </c>
      <c r="BM1169" t="s">
        <v>111</v>
      </c>
      <c r="BN1169" t="s">
        <v>111</v>
      </c>
      <c r="BO1169" t="s">
        <v>111</v>
      </c>
      <c r="BP1169" t="s">
        <v>111</v>
      </c>
      <c r="BQ1169" t="s">
        <v>111</v>
      </c>
      <c r="BR1169" t="s">
        <v>111</v>
      </c>
      <c r="BS1169" t="s">
        <v>111</v>
      </c>
      <c r="BT1169" t="s">
        <v>111</v>
      </c>
      <c r="BU1169" t="s">
        <v>111</v>
      </c>
      <c r="BV1169" t="s">
        <v>111</v>
      </c>
      <c r="BW1169" t="s">
        <v>111</v>
      </c>
      <c r="BX1169" t="s">
        <v>111</v>
      </c>
      <c r="BY1169" t="s">
        <v>111</v>
      </c>
      <c r="BZ1169" t="s">
        <v>111</v>
      </c>
      <c r="CA1169" t="s">
        <v>111</v>
      </c>
      <c r="CB1169" t="s">
        <v>111</v>
      </c>
      <c r="CC1169" t="s">
        <v>111</v>
      </c>
      <c r="CD1169" t="s">
        <v>111</v>
      </c>
      <c r="CE1169" t="s">
        <v>111</v>
      </c>
      <c r="CF1169" t="s">
        <v>111</v>
      </c>
      <c r="CG1169" t="s">
        <v>111</v>
      </c>
      <c r="CH1169" t="s">
        <v>111</v>
      </c>
      <c r="CI1169" t="s">
        <v>111</v>
      </c>
      <c r="CJ1169" t="s">
        <v>111</v>
      </c>
      <c r="CK1169" t="s">
        <v>111</v>
      </c>
      <c r="CL1169" t="e">
        <f>-DESTINO SELLADO</f>
        <v>#NAME?</v>
      </c>
      <c r="CM1169" t="s">
        <v>135</v>
      </c>
      <c r="CN1169" t="s">
        <v>941</v>
      </c>
      <c r="CO1169" t="s">
        <v>111</v>
      </c>
      <c r="CP1169" t="e">
        <f>-MUESTRA</f>
        <v>#NAME?</v>
      </c>
      <c r="CQ1169">
        <v>40</v>
      </c>
      <c r="CR1169">
        <v>4000</v>
      </c>
      <c r="CS1169">
        <v>100</v>
      </c>
      <c r="CT1169" s="1" t="s">
        <v>3509</v>
      </c>
      <c r="CU1169">
        <v>0</v>
      </c>
      <c r="CV1169" t="s">
        <v>111</v>
      </c>
      <c r="CW1169" t="s">
        <v>111</v>
      </c>
      <c r="CX1169" t="s">
        <v>111</v>
      </c>
      <c r="CY1169">
        <v>0</v>
      </c>
      <c r="CZ1169" t="s">
        <v>111</v>
      </c>
      <c r="DA1169" t="s">
        <v>111</v>
      </c>
      <c r="DB1169" t="s">
        <v>111</v>
      </c>
      <c r="DC1169" t="s">
        <v>111</v>
      </c>
    </row>
    <row r="1170" spans="1:107">
      <c r="A1170">
        <v>321</v>
      </c>
      <c r="B1170" t="s">
        <v>162</v>
      </c>
      <c r="C1170" t="s">
        <v>801</v>
      </c>
      <c r="D1170" t="s">
        <v>3510</v>
      </c>
      <c r="E1170" t="s">
        <v>3511</v>
      </c>
      <c r="F1170" t="s">
        <v>125</v>
      </c>
      <c r="G1170" t="s">
        <v>416</v>
      </c>
      <c r="H1170">
        <v>0.9</v>
      </c>
      <c r="I1170">
        <v>47</v>
      </c>
      <c r="J1170">
        <v>0</v>
      </c>
      <c r="K1170">
        <v>0</v>
      </c>
      <c r="L1170" t="s">
        <v>112</v>
      </c>
      <c r="M1170" t="s">
        <v>138</v>
      </c>
      <c r="N1170">
        <v>0</v>
      </c>
      <c r="O1170">
        <v>0</v>
      </c>
      <c r="P1170" t="s">
        <v>138</v>
      </c>
      <c r="Q1170">
        <v>40</v>
      </c>
      <c r="R1170">
        <v>0</v>
      </c>
      <c r="S1170">
        <v>0</v>
      </c>
      <c r="T1170">
        <v>0</v>
      </c>
      <c r="U1170" t="s">
        <v>153</v>
      </c>
      <c r="V1170">
        <v>25</v>
      </c>
      <c r="W1170">
        <v>0</v>
      </c>
      <c r="X1170">
        <v>8</v>
      </c>
      <c r="Y1170">
        <v>0</v>
      </c>
      <c r="Z1170" t="s">
        <v>111</v>
      </c>
      <c r="AA1170">
        <v>0</v>
      </c>
      <c r="AB1170" t="s">
        <v>111</v>
      </c>
      <c r="AC1170">
        <v>0</v>
      </c>
      <c r="AD1170" t="s">
        <v>111</v>
      </c>
      <c r="AE1170">
        <v>0</v>
      </c>
      <c r="AF1170">
        <v>0</v>
      </c>
      <c r="AG1170" t="s">
        <v>111</v>
      </c>
      <c r="AH1170" t="s">
        <v>111</v>
      </c>
      <c r="AI1170" t="s">
        <v>111</v>
      </c>
      <c r="AJ1170" t="s">
        <v>111</v>
      </c>
      <c r="AK1170" t="s">
        <v>111</v>
      </c>
      <c r="AL1170" t="s">
        <v>111</v>
      </c>
      <c r="AM1170">
        <v>0</v>
      </c>
      <c r="AN1170">
        <v>0</v>
      </c>
      <c r="AO1170">
        <v>0</v>
      </c>
      <c r="AP1170" t="s">
        <v>111</v>
      </c>
      <c r="AQ1170" t="s">
        <v>111</v>
      </c>
      <c r="AR1170" t="s">
        <v>111</v>
      </c>
      <c r="AS1170" t="s">
        <v>111</v>
      </c>
      <c r="AT1170" t="s">
        <v>111</v>
      </c>
      <c r="AU1170" t="s">
        <v>111</v>
      </c>
      <c r="AV1170" t="s">
        <v>111</v>
      </c>
      <c r="AW1170" t="s">
        <v>111</v>
      </c>
      <c r="AX1170" t="s">
        <v>111</v>
      </c>
      <c r="AY1170" t="s">
        <v>111</v>
      </c>
      <c r="AZ1170" t="s">
        <v>111</v>
      </c>
      <c r="BA1170" t="s">
        <v>111</v>
      </c>
      <c r="BB1170" t="s">
        <v>111</v>
      </c>
      <c r="BC1170" t="s">
        <v>111</v>
      </c>
      <c r="BD1170" t="s">
        <v>111</v>
      </c>
      <c r="BE1170" t="s">
        <v>111</v>
      </c>
      <c r="BF1170" t="s">
        <v>111</v>
      </c>
      <c r="BG1170" t="s">
        <v>111</v>
      </c>
      <c r="BH1170" t="s">
        <v>111</v>
      </c>
      <c r="BI1170" t="s">
        <v>111</v>
      </c>
      <c r="BJ1170" t="s">
        <v>111</v>
      </c>
      <c r="BK1170" t="s">
        <v>111</v>
      </c>
      <c r="BL1170" t="s">
        <v>111</v>
      </c>
      <c r="BM1170" t="s">
        <v>111</v>
      </c>
      <c r="BN1170" t="s">
        <v>111</v>
      </c>
      <c r="BO1170" t="s">
        <v>111</v>
      </c>
      <c r="BP1170" t="s">
        <v>111</v>
      </c>
      <c r="BQ1170" t="s">
        <v>111</v>
      </c>
      <c r="BR1170" t="s">
        <v>111</v>
      </c>
      <c r="BS1170" t="s">
        <v>111</v>
      </c>
      <c r="BT1170" t="s">
        <v>111</v>
      </c>
      <c r="BU1170" t="s">
        <v>111</v>
      </c>
      <c r="BV1170" t="s">
        <v>111</v>
      </c>
      <c r="BW1170" t="s">
        <v>111</v>
      </c>
      <c r="BX1170" t="s">
        <v>111</v>
      </c>
      <c r="BY1170" t="s">
        <v>111</v>
      </c>
      <c r="BZ1170" t="s">
        <v>111</v>
      </c>
      <c r="CA1170" t="s">
        <v>111</v>
      </c>
      <c r="CB1170" t="s">
        <v>111</v>
      </c>
      <c r="CC1170" t="s">
        <v>111</v>
      </c>
      <c r="CD1170" t="s">
        <v>111</v>
      </c>
      <c r="CE1170" t="s">
        <v>111</v>
      </c>
      <c r="CF1170" t="s">
        <v>111</v>
      </c>
      <c r="CG1170" t="s">
        <v>111</v>
      </c>
      <c r="CH1170" t="s">
        <v>111</v>
      </c>
      <c r="CI1170" t="s">
        <v>111</v>
      </c>
      <c r="CJ1170" t="s">
        <v>111</v>
      </c>
      <c r="CK1170" t="s">
        <v>111</v>
      </c>
      <c r="CL1170" t="s">
        <v>111</v>
      </c>
      <c r="CM1170" t="s">
        <v>198</v>
      </c>
      <c r="CN1170" t="s">
        <v>128</v>
      </c>
      <c r="CO1170" t="s">
        <v>111</v>
      </c>
      <c r="CP1170" t="s">
        <v>111</v>
      </c>
      <c r="CQ1170">
        <v>0</v>
      </c>
      <c r="CR1170">
        <v>0</v>
      </c>
      <c r="CS1170">
        <v>0</v>
      </c>
      <c r="CT1170" t="s">
        <v>168</v>
      </c>
      <c r="CU1170">
        <v>0</v>
      </c>
      <c r="CV1170" t="s">
        <v>111</v>
      </c>
      <c r="CW1170" t="s">
        <v>111</v>
      </c>
      <c r="CX1170" t="s">
        <v>111</v>
      </c>
      <c r="CY1170">
        <v>0</v>
      </c>
      <c r="CZ1170" t="s">
        <v>111</v>
      </c>
      <c r="DA1170" t="s">
        <v>111</v>
      </c>
      <c r="DB1170" t="s">
        <v>111</v>
      </c>
      <c r="DC1170" t="s">
        <v>111</v>
      </c>
    </row>
    <row r="1171" spans="1:107">
      <c r="A1171">
        <v>367</v>
      </c>
      <c r="B1171" t="s">
        <v>162</v>
      </c>
      <c r="C1171" t="s">
        <v>226</v>
      </c>
      <c r="D1171" t="s">
        <v>2989</v>
      </c>
      <c r="E1171" t="s">
        <v>3512</v>
      </c>
      <c r="F1171" t="s">
        <v>192</v>
      </c>
      <c r="G1171" t="s">
        <v>416</v>
      </c>
      <c r="H1171">
        <v>1.9</v>
      </c>
      <c r="I1171">
        <v>45</v>
      </c>
      <c r="J1171">
        <v>0</v>
      </c>
      <c r="K1171">
        <v>0</v>
      </c>
      <c r="L1171" t="s">
        <v>112</v>
      </c>
      <c r="M1171" t="s">
        <v>138</v>
      </c>
      <c r="N1171">
        <v>0</v>
      </c>
      <c r="O1171">
        <v>0</v>
      </c>
      <c r="P1171" t="s">
        <v>138</v>
      </c>
      <c r="Q1171">
        <v>30</v>
      </c>
      <c r="R1171">
        <v>0</v>
      </c>
      <c r="S1171">
        <v>0</v>
      </c>
      <c r="T1171">
        <v>0</v>
      </c>
      <c r="U1171" t="s">
        <v>153</v>
      </c>
      <c r="V1171">
        <v>0</v>
      </c>
      <c r="W1171">
        <v>25</v>
      </c>
      <c r="X1171">
        <v>8</v>
      </c>
      <c r="Y1171">
        <v>0</v>
      </c>
      <c r="Z1171" t="s">
        <v>111</v>
      </c>
      <c r="AA1171">
        <v>0</v>
      </c>
      <c r="AB1171" t="s">
        <v>111</v>
      </c>
      <c r="AC1171">
        <v>0</v>
      </c>
      <c r="AD1171" t="s">
        <v>111</v>
      </c>
      <c r="AE1171">
        <v>0</v>
      </c>
      <c r="AF1171">
        <v>0</v>
      </c>
      <c r="AG1171" t="s">
        <v>111</v>
      </c>
      <c r="AH1171" t="s">
        <v>111</v>
      </c>
      <c r="AI1171" t="s">
        <v>111</v>
      </c>
      <c r="AJ1171" t="s">
        <v>111</v>
      </c>
      <c r="AK1171" t="s">
        <v>111</v>
      </c>
      <c r="AL1171" t="s">
        <v>111</v>
      </c>
      <c r="AM1171">
        <v>0</v>
      </c>
      <c r="AN1171">
        <v>0</v>
      </c>
      <c r="AO1171">
        <v>0</v>
      </c>
      <c r="AP1171" t="s">
        <v>111</v>
      </c>
      <c r="AQ1171" t="s">
        <v>111</v>
      </c>
      <c r="AR1171" t="s">
        <v>111</v>
      </c>
      <c r="AS1171" t="s">
        <v>111</v>
      </c>
      <c r="AT1171" t="s">
        <v>111</v>
      </c>
      <c r="AU1171" t="s">
        <v>111</v>
      </c>
      <c r="AV1171" t="s">
        <v>111</v>
      </c>
      <c r="AW1171" t="s">
        <v>111</v>
      </c>
      <c r="AX1171" t="s">
        <v>111</v>
      </c>
      <c r="AY1171" t="s">
        <v>111</v>
      </c>
      <c r="AZ1171" t="s">
        <v>111</v>
      </c>
      <c r="BA1171" t="s">
        <v>111</v>
      </c>
      <c r="BB1171" t="s">
        <v>111</v>
      </c>
      <c r="BC1171" t="s">
        <v>111</v>
      </c>
      <c r="BD1171" t="s">
        <v>111</v>
      </c>
      <c r="BE1171" t="s">
        <v>111</v>
      </c>
      <c r="BF1171" t="s">
        <v>111</v>
      </c>
      <c r="BG1171" t="s">
        <v>111</v>
      </c>
      <c r="BH1171" t="s">
        <v>111</v>
      </c>
      <c r="BI1171" t="s">
        <v>111</v>
      </c>
      <c r="BJ1171" t="s">
        <v>111</v>
      </c>
      <c r="BK1171" t="s">
        <v>111</v>
      </c>
      <c r="BL1171" t="s">
        <v>111</v>
      </c>
      <c r="BM1171" t="s">
        <v>111</v>
      </c>
      <c r="BN1171" t="s">
        <v>111</v>
      </c>
      <c r="BO1171" t="s">
        <v>111</v>
      </c>
      <c r="BP1171" t="s">
        <v>111</v>
      </c>
      <c r="BQ1171" t="s">
        <v>111</v>
      </c>
      <c r="BR1171" t="s">
        <v>111</v>
      </c>
      <c r="BS1171" t="s">
        <v>111</v>
      </c>
      <c r="BT1171" t="s">
        <v>111</v>
      </c>
      <c r="BU1171" t="s">
        <v>111</v>
      </c>
      <c r="BV1171" t="s">
        <v>111</v>
      </c>
      <c r="BW1171" t="s">
        <v>111</v>
      </c>
      <c r="BX1171" t="s">
        <v>111</v>
      </c>
      <c r="BY1171" t="s">
        <v>111</v>
      </c>
      <c r="BZ1171" t="s">
        <v>111</v>
      </c>
      <c r="CA1171" t="s">
        <v>111</v>
      </c>
      <c r="CB1171" t="s">
        <v>111</v>
      </c>
      <c r="CC1171" t="s">
        <v>111</v>
      </c>
      <c r="CD1171" t="s">
        <v>111</v>
      </c>
      <c r="CE1171" t="s">
        <v>111</v>
      </c>
      <c r="CF1171" t="s">
        <v>111</v>
      </c>
      <c r="CG1171" t="s">
        <v>111</v>
      </c>
      <c r="CH1171" t="s">
        <v>111</v>
      </c>
      <c r="CI1171" t="s">
        <v>111</v>
      </c>
      <c r="CJ1171" t="s">
        <v>111</v>
      </c>
      <c r="CK1171" t="s">
        <v>111</v>
      </c>
      <c r="CL1171" t="s">
        <v>111</v>
      </c>
      <c r="CM1171" t="s">
        <v>198</v>
      </c>
      <c r="CN1171" t="s">
        <v>113</v>
      </c>
      <c r="CO1171" t="s">
        <v>111</v>
      </c>
      <c r="CP1171" t="s">
        <v>111</v>
      </c>
      <c r="CQ1171">
        <v>0</v>
      </c>
      <c r="CR1171">
        <v>0</v>
      </c>
      <c r="CS1171">
        <v>0</v>
      </c>
      <c r="CT1171" t="s">
        <v>168</v>
      </c>
      <c r="CU1171">
        <v>0</v>
      </c>
      <c r="CV1171" t="s">
        <v>111</v>
      </c>
      <c r="CW1171" t="s">
        <v>111</v>
      </c>
      <c r="CX1171" t="s">
        <v>111</v>
      </c>
      <c r="CY1171">
        <v>0</v>
      </c>
      <c r="CZ1171" t="s">
        <v>111</v>
      </c>
      <c r="DA1171" t="s">
        <v>111</v>
      </c>
      <c r="DB1171" t="s">
        <v>111</v>
      </c>
      <c r="DC1171" t="s">
        <v>111</v>
      </c>
    </row>
    <row r="1172" spans="1:107">
      <c r="A1172">
        <v>351</v>
      </c>
      <c r="B1172" t="s">
        <v>162</v>
      </c>
      <c r="C1172" t="s">
        <v>226</v>
      </c>
      <c r="D1172" t="s">
        <v>2925</v>
      </c>
      <c r="E1172" t="s">
        <v>3513</v>
      </c>
      <c r="F1172" t="s">
        <v>125</v>
      </c>
      <c r="G1172" t="s">
        <v>416</v>
      </c>
      <c r="H1172">
        <v>0.57999999999999996</v>
      </c>
      <c r="I1172">
        <v>60</v>
      </c>
      <c r="J1172">
        <v>0</v>
      </c>
      <c r="K1172">
        <v>0</v>
      </c>
      <c r="L1172" t="s">
        <v>112</v>
      </c>
      <c r="M1172" t="s">
        <v>138</v>
      </c>
      <c r="N1172">
        <v>0</v>
      </c>
      <c r="O1172">
        <v>0</v>
      </c>
      <c r="P1172" t="s">
        <v>138</v>
      </c>
      <c r="Q1172">
        <v>40</v>
      </c>
      <c r="R1172">
        <v>0</v>
      </c>
      <c r="S1172">
        <v>0</v>
      </c>
      <c r="T1172">
        <v>0</v>
      </c>
      <c r="U1172" t="s">
        <v>153</v>
      </c>
      <c r="V1172">
        <v>25</v>
      </c>
      <c r="W1172">
        <v>0</v>
      </c>
      <c r="X1172">
        <v>8</v>
      </c>
      <c r="Y1172">
        <v>0</v>
      </c>
      <c r="Z1172" t="s">
        <v>111</v>
      </c>
      <c r="AA1172">
        <v>0</v>
      </c>
      <c r="AB1172" t="s">
        <v>111</v>
      </c>
      <c r="AC1172">
        <v>0</v>
      </c>
      <c r="AD1172" t="s">
        <v>111</v>
      </c>
      <c r="AE1172">
        <v>0</v>
      </c>
      <c r="AF1172">
        <v>0</v>
      </c>
      <c r="AG1172" t="s">
        <v>111</v>
      </c>
      <c r="AH1172" t="s">
        <v>111</v>
      </c>
      <c r="AI1172" t="s">
        <v>111</v>
      </c>
      <c r="AJ1172" t="s">
        <v>111</v>
      </c>
      <c r="AK1172" t="s">
        <v>111</v>
      </c>
      <c r="AL1172" t="s">
        <v>111</v>
      </c>
      <c r="AM1172">
        <v>0</v>
      </c>
      <c r="AN1172">
        <v>0</v>
      </c>
      <c r="AO1172">
        <v>0</v>
      </c>
      <c r="AP1172" t="s">
        <v>111</v>
      </c>
      <c r="AQ1172" t="s">
        <v>111</v>
      </c>
      <c r="AR1172" t="s">
        <v>111</v>
      </c>
      <c r="AS1172" t="s">
        <v>111</v>
      </c>
      <c r="AT1172" t="s">
        <v>111</v>
      </c>
      <c r="AU1172" t="s">
        <v>111</v>
      </c>
      <c r="AV1172" t="s">
        <v>111</v>
      </c>
      <c r="AW1172" t="s">
        <v>111</v>
      </c>
      <c r="AX1172" t="s">
        <v>111</v>
      </c>
      <c r="AY1172" t="s">
        <v>111</v>
      </c>
      <c r="AZ1172" t="s">
        <v>111</v>
      </c>
      <c r="BA1172" t="s">
        <v>111</v>
      </c>
      <c r="BB1172" t="s">
        <v>111</v>
      </c>
      <c r="BC1172" t="s">
        <v>111</v>
      </c>
      <c r="BD1172" t="s">
        <v>111</v>
      </c>
      <c r="BE1172" t="s">
        <v>111</v>
      </c>
      <c r="BF1172" t="s">
        <v>111</v>
      </c>
      <c r="BG1172" t="s">
        <v>111</v>
      </c>
      <c r="BH1172" t="s">
        <v>111</v>
      </c>
      <c r="BI1172" t="s">
        <v>111</v>
      </c>
      <c r="BJ1172" t="s">
        <v>111</v>
      </c>
      <c r="BK1172" t="s">
        <v>111</v>
      </c>
      <c r="BL1172" t="s">
        <v>111</v>
      </c>
      <c r="BM1172" t="s">
        <v>111</v>
      </c>
      <c r="BN1172" t="s">
        <v>111</v>
      </c>
      <c r="BO1172" t="s">
        <v>111</v>
      </c>
      <c r="BP1172" t="s">
        <v>111</v>
      </c>
      <c r="BQ1172" t="s">
        <v>111</v>
      </c>
      <c r="BR1172" t="s">
        <v>111</v>
      </c>
      <c r="BS1172" t="s">
        <v>111</v>
      </c>
      <c r="BT1172" t="s">
        <v>111</v>
      </c>
      <c r="BU1172" t="s">
        <v>111</v>
      </c>
      <c r="BV1172" t="s">
        <v>111</v>
      </c>
      <c r="BW1172" t="s">
        <v>111</v>
      </c>
      <c r="BX1172" t="s">
        <v>111</v>
      </c>
      <c r="BY1172" t="s">
        <v>111</v>
      </c>
      <c r="BZ1172" t="s">
        <v>111</v>
      </c>
      <c r="CA1172" t="s">
        <v>111</v>
      </c>
      <c r="CB1172" t="s">
        <v>111</v>
      </c>
      <c r="CC1172" t="s">
        <v>111</v>
      </c>
      <c r="CD1172" t="s">
        <v>111</v>
      </c>
      <c r="CE1172" t="s">
        <v>111</v>
      </c>
      <c r="CF1172" t="s">
        <v>111</v>
      </c>
      <c r="CG1172" t="s">
        <v>111</v>
      </c>
      <c r="CH1172" t="s">
        <v>111</v>
      </c>
      <c r="CI1172" t="s">
        <v>111</v>
      </c>
      <c r="CJ1172" t="s">
        <v>111</v>
      </c>
      <c r="CK1172" t="s">
        <v>111</v>
      </c>
      <c r="CL1172" t="s">
        <v>111</v>
      </c>
      <c r="CM1172" t="s">
        <v>198</v>
      </c>
      <c r="CN1172" t="s">
        <v>128</v>
      </c>
      <c r="CO1172" t="s">
        <v>222</v>
      </c>
      <c r="CP1172" t="s">
        <v>111</v>
      </c>
      <c r="CQ1172">
        <v>0</v>
      </c>
      <c r="CR1172">
        <v>1000</v>
      </c>
      <c r="CS1172">
        <v>100</v>
      </c>
      <c r="CT1172" t="s">
        <v>168</v>
      </c>
      <c r="CU1172">
        <v>0</v>
      </c>
      <c r="CV1172" t="s">
        <v>111</v>
      </c>
      <c r="CW1172" t="s">
        <v>111</v>
      </c>
      <c r="CX1172" t="s">
        <v>111</v>
      </c>
      <c r="CY1172">
        <v>0</v>
      </c>
      <c r="CZ1172" t="s">
        <v>111</v>
      </c>
      <c r="DA1172" t="s">
        <v>111</v>
      </c>
      <c r="DB1172" t="s">
        <v>111</v>
      </c>
      <c r="DC1172" t="s">
        <v>111</v>
      </c>
    </row>
    <row r="1173" spans="1:107">
      <c r="A1173">
        <v>301</v>
      </c>
      <c r="B1173" t="s">
        <v>162</v>
      </c>
      <c r="C1173" t="s">
        <v>171</v>
      </c>
      <c r="D1173" t="s">
        <v>3514</v>
      </c>
      <c r="E1173" t="s">
        <v>3515</v>
      </c>
      <c r="F1173" t="s">
        <v>431</v>
      </c>
      <c r="G1173" t="s">
        <v>416</v>
      </c>
      <c r="H1173">
        <v>3.4</v>
      </c>
      <c r="I1173">
        <v>62</v>
      </c>
      <c r="J1173">
        <v>0</v>
      </c>
      <c r="K1173">
        <v>0</v>
      </c>
      <c r="L1173" t="s">
        <v>117</v>
      </c>
      <c r="M1173" t="s">
        <v>118</v>
      </c>
      <c r="N1173">
        <v>40</v>
      </c>
      <c r="O1173">
        <v>1</v>
      </c>
      <c r="P1173" t="s">
        <v>138</v>
      </c>
      <c r="Q1173">
        <v>40</v>
      </c>
      <c r="R1173">
        <v>0</v>
      </c>
      <c r="S1173">
        <v>0</v>
      </c>
      <c r="T1173">
        <v>0</v>
      </c>
      <c r="U1173" s="1" t="s">
        <v>3203</v>
      </c>
      <c r="V1173">
        <v>0</v>
      </c>
      <c r="W1173">
        <v>25</v>
      </c>
      <c r="X1173">
        <v>10</v>
      </c>
      <c r="Y1173">
        <v>0</v>
      </c>
      <c r="Z1173" t="s">
        <v>111</v>
      </c>
      <c r="AA1173">
        <v>0</v>
      </c>
      <c r="AB1173" t="s">
        <v>111</v>
      </c>
      <c r="AC1173">
        <v>0</v>
      </c>
      <c r="AD1173" t="s">
        <v>416</v>
      </c>
      <c r="AE1173">
        <v>4</v>
      </c>
      <c r="AF1173">
        <v>2</v>
      </c>
      <c r="AG1173">
        <v>18</v>
      </c>
      <c r="AH1173" t="s">
        <v>111</v>
      </c>
      <c r="AI1173">
        <v>36</v>
      </c>
      <c r="AJ1173" t="s">
        <v>111</v>
      </c>
      <c r="AK1173" t="s">
        <v>111</v>
      </c>
      <c r="AL1173" t="s">
        <v>111</v>
      </c>
      <c r="AM1173">
        <v>0</v>
      </c>
      <c r="AN1173">
        <v>0</v>
      </c>
      <c r="AO1173">
        <v>0</v>
      </c>
      <c r="AP1173" t="s">
        <v>188</v>
      </c>
      <c r="AQ1173" t="s">
        <v>111</v>
      </c>
      <c r="AR1173" t="s">
        <v>111</v>
      </c>
      <c r="AS1173" t="s">
        <v>111</v>
      </c>
      <c r="AT1173" t="s">
        <v>147</v>
      </c>
      <c r="AU1173" t="s">
        <v>111</v>
      </c>
      <c r="AV1173" t="s">
        <v>111</v>
      </c>
      <c r="AW1173" t="s">
        <v>111</v>
      </c>
      <c r="AX1173" t="s">
        <v>288</v>
      </c>
      <c r="AY1173" t="s">
        <v>111</v>
      </c>
      <c r="AZ1173" t="s">
        <v>111</v>
      </c>
      <c r="BA1173" t="s">
        <v>111</v>
      </c>
      <c r="BB1173" t="s">
        <v>271</v>
      </c>
      <c r="BC1173" t="s">
        <v>111</v>
      </c>
      <c r="BD1173" t="s">
        <v>111</v>
      </c>
      <c r="BE1173" t="s">
        <v>111</v>
      </c>
      <c r="BF1173" t="s">
        <v>111</v>
      </c>
      <c r="BG1173" t="s">
        <v>111</v>
      </c>
      <c r="BH1173" t="s">
        <v>111</v>
      </c>
      <c r="BI1173" t="s">
        <v>111</v>
      </c>
      <c r="BJ1173" t="s">
        <v>111</v>
      </c>
      <c r="BK1173" t="s">
        <v>111</v>
      </c>
      <c r="BL1173" t="s">
        <v>111</v>
      </c>
      <c r="BM1173" t="s">
        <v>111</v>
      </c>
      <c r="BN1173" t="s">
        <v>111</v>
      </c>
      <c r="BO1173" t="s">
        <v>111</v>
      </c>
      <c r="BP1173" t="s">
        <v>111</v>
      </c>
      <c r="BQ1173" t="s">
        <v>111</v>
      </c>
      <c r="BR1173" t="s">
        <v>111</v>
      </c>
      <c r="BS1173" t="s">
        <v>111</v>
      </c>
      <c r="BT1173" t="s">
        <v>111</v>
      </c>
      <c r="BU1173" t="s">
        <v>111</v>
      </c>
      <c r="BV1173" t="s">
        <v>111</v>
      </c>
      <c r="BW1173" t="s">
        <v>111</v>
      </c>
      <c r="BX1173" t="s">
        <v>111</v>
      </c>
      <c r="BY1173" t="s">
        <v>111</v>
      </c>
      <c r="BZ1173" t="s">
        <v>111</v>
      </c>
      <c r="CA1173" t="s">
        <v>111</v>
      </c>
      <c r="CB1173" t="s">
        <v>111</v>
      </c>
      <c r="CC1173" t="s">
        <v>111</v>
      </c>
      <c r="CD1173" t="s">
        <v>111</v>
      </c>
      <c r="CE1173" t="s">
        <v>111</v>
      </c>
      <c r="CF1173" t="s">
        <v>111</v>
      </c>
      <c r="CG1173" t="s">
        <v>111</v>
      </c>
      <c r="CH1173" t="s">
        <v>111</v>
      </c>
      <c r="CI1173" t="s">
        <v>111</v>
      </c>
      <c r="CJ1173" t="s">
        <v>111</v>
      </c>
      <c r="CK1173" t="s">
        <v>111</v>
      </c>
      <c r="CL1173" t="s">
        <v>153</v>
      </c>
      <c r="CM1173" t="s">
        <v>198</v>
      </c>
      <c r="CN1173" t="s">
        <v>113</v>
      </c>
      <c r="CO1173" t="s">
        <v>1348</v>
      </c>
      <c r="CP1173" t="s">
        <v>433</v>
      </c>
      <c r="CQ1173">
        <v>0</v>
      </c>
      <c r="CR1173">
        <v>0</v>
      </c>
      <c r="CS1173">
        <v>0</v>
      </c>
      <c r="CT1173" t="s">
        <v>419</v>
      </c>
      <c r="CU1173">
        <v>0</v>
      </c>
      <c r="CV1173" t="s">
        <v>111</v>
      </c>
      <c r="CW1173" t="s">
        <v>111</v>
      </c>
      <c r="CX1173" t="s">
        <v>111</v>
      </c>
      <c r="CY1173">
        <v>0</v>
      </c>
      <c r="CZ1173" t="s">
        <v>111</v>
      </c>
      <c r="DA1173" t="s">
        <v>111</v>
      </c>
      <c r="DB1173" t="s">
        <v>204</v>
      </c>
      <c r="DC1173" s="1" t="s">
        <v>1350</v>
      </c>
    </row>
    <row r="1174" spans="1:107">
      <c r="A1174">
        <v>352</v>
      </c>
      <c r="B1174" t="s">
        <v>162</v>
      </c>
      <c r="C1174" t="s">
        <v>171</v>
      </c>
      <c r="D1174" t="s">
        <v>2533</v>
      </c>
      <c r="E1174" t="s">
        <v>2534</v>
      </c>
      <c r="F1174" t="s">
        <v>192</v>
      </c>
      <c r="G1174" t="s">
        <v>416</v>
      </c>
      <c r="H1174">
        <v>3.4</v>
      </c>
      <c r="I1174">
        <v>30.5</v>
      </c>
      <c r="J1174">
        <v>0</v>
      </c>
      <c r="K1174">
        <v>0</v>
      </c>
      <c r="L1174" t="s">
        <v>178</v>
      </c>
      <c r="M1174" t="s">
        <v>138</v>
      </c>
      <c r="N1174">
        <v>0</v>
      </c>
      <c r="O1174">
        <v>0</v>
      </c>
      <c r="P1174" t="s">
        <v>138</v>
      </c>
      <c r="Q1174">
        <v>35</v>
      </c>
      <c r="R1174">
        <v>0</v>
      </c>
      <c r="S1174">
        <v>0</v>
      </c>
      <c r="T1174">
        <v>0</v>
      </c>
      <c r="U1174" t="s">
        <v>153</v>
      </c>
      <c r="V1174">
        <v>0</v>
      </c>
      <c r="W1174">
        <v>25</v>
      </c>
      <c r="X1174">
        <v>8</v>
      </c>
      <c r="Y1174">
        <v>0</v>
      </c>
      <c r="Z1174" t="s">
        <v>111</v>
      </c>
      <c r="AA1174">
        <v>0</v>
      </c>
      <c r="AB1174" t="s">
        <v>111</v>
      </c>
      <c r="AC1174">
        <v>0</v>
      </c>
      <c r="AD1174" t="s">
        <v>111</v>
      </c>
      <c r="AE1174">
        <v>0</v>
      </c>
      <c r="AF1174">
        <v>0</v>
      </c>
      <c r="AG1174" t="s">
        <v>111</v>
      </c>
      <c r="AH1174" t="s">
        <v>111</v>
      </c>
      <c r="AI1174" t="s">
        <v>111</v>
      </c>
      <c r="AJ1174" t="s">
        <v>111</v>
      </c>
      <c r="AK1174" t="s">
        <v>111</v>
      </c>
      <c r="AL1174" t="s">
        <v>111</v>
      </c>
      <c r="AM1174">
        <v>0</v>
      </c>
      <c r="AN1174">
        <v>0</v>
      </c>
      <c r="AO1174">
        <v>0</v>
      </c>
      <c r="AP1174" t="s">
        <v>111</v>
      </c>
      <c r="AQ1174" t="s">
        <v>111</v>
      </c>
      <c r="AR1174" t="s">
        <v>111</v>
      </c>
      <c r="AS1174" t="s">
        <v>111</v>
      </c>
      <c r="AT1174" t="s">
        <v>111</v>
      </c>
      <c r="AU1174" t="s">
        <v>111</v>
      </c>
      <c r="AV1174" t="s">
        <v>111</v>
      </c>
      <c r="AW1174" t="s">
        <v>111</v>
      </c>
      <c r="AX1174" t="s">
        <v>111</v>
      </c>
      <c r="AY1174" t="s">
        <v>111</v>
      </c>
      <c r="AZ1174" t="s">
        <v>111</v>
      </c>
      <c r="BA1174" t="s">
        <v>111</v>
      </c>
      <c r="BB1174" t="s">
        <v>111</v>
      </c>
      <c r="BC1174" t="s">
        <v>111</v>
      </c>
      <c r="BD1174" t="s">
        <v>111</v>
      </c>
      <c r="BE1174" t="s">
        <v>111</v>
      </c>
      <c r="BF1174" t="s">
        <v>111</v>
      </c>
      <c r="BG1174" t="s">
        <v>111</v>
      </c>
      <c r="BH1174" t="s">
        <v>111</v>
      </c>
      <c r="BI1174" t="s">
        <v>111</v>
      </c>
      <c r="BJ1174" t="s">
        <v>111</v>
      </c>
      <c r="BK1174" t="s">
        <v>111</v>
      </c>
      <c r="BL1174" t="s">
        <v>111</v>
      </c>
      <c r="BM1174" t="s">
        <v>111</v>
      </c>
      <c r="BN1174" t="s">
        <v>111</v>
      </c>
      <c r="BO1174" t="s">
        <v>111</v>
      </c>
      <c r="BP1174" t="s">
        <v>111</v>
      </c>
      <c r="BQ1174" t="s">
        <v>111</v>
      </c>
      <c r="BR1174" t="s">
        <v>111</v>
      </c>
      <c r="BS1174" t="s">
        <v>111</v>
      </c>
      <c r="BT1174" t="s">
        <v>111</v>
      </c>
      <c r="BU1174" t="s">
        <v>111</v>
      </c>
      <c r="BV1174" t="s">
        <v>111</v>
      </c>
      <c r="BW1174" t="s">
        <v>111</v>
      </c>
      <c r="BX1174" t="s">
        <v>111</v>
      </c>
      <c r="BY1174" t="s">
        <v>111</v>
      </c>
      <c r="BZ1174" t="s">
        <v>111</v>
      </c>
      <c r="CA1174" t="s">
        <v>111</v>
      </c>
      <c r="CB1174" t="s">
        <v>111</v>
      </c>
      <c r="CC1174" t="s">
        <v>111</v>
      </c>
      <c r="CD1174" t="s">
        <v>111</v>
      </c>
      <c r="CE1174" t="s">
        <v>111</v>
      </c>
      <c r="CF1174" t="s">
        <v>111</v>
      </c>
      <c r="CG1174" t="s">
        <v>111</v>
      </c>
      <c r="CH1174" t="s">
        <v>111</v>
      </c>
      <c r="CI1174" t="s">
        <v>111</v>
      </c>
      <c r="CJ1174" t="s">
        <v>111</v>
      </c>
      <c r="CK1174" t="s">
        <v>111</v>
      </c>
      <c r="CL1174" t="s">
        <v>111</v>
      </c>
      <c r="CM1174" t="s">
        <v>198</v>
      </c>
      <c r="CN1174" t="s">
        <v>113</v>
      </c>
      <c r="CO1174" t="s">
        <v>111</v>
      </c>
      <c r="CP1174" t="s">
        <v>111</v>
      </c>
      <c r="CQ1174">
        <v>0</v>
      </c>
      <c r="CR1174">
        <v>0</v>
      </c>
      <c r="CS1174">
        <v>0</v>
      </c>
      <c r="CT1174" t="s">
        <v>168</v>
      </c>
      <c r="CU1174">
        <v>0</v>
      </c>
      <c r="CV1174" t="s">
        <v>111</v>
      </c>
      <c r="CW1174" t="s">
        <v>111</v>
      </c>
      <c r="CX1174" t="s">
        <v>111</v>
      </c>
      <c r="CY1174">
        <v>0</v>
      </c>
      <c r="CZ1174" t="s">
        <v>111</v>
      </c>
      <c r="DA1174" t="s">
        <v>111</v>
      </c>
      <c r="DB1174" t="s">
        <v>111</v>
      </c>
      <c r="DC1174" t="s">
        <v>111</v>
      </c>
    </row>
    <row r="1175" spans="1:107">
      <c r="A1175">
        <v>197</v>
      </c>
      <c r="B1175" t="s">
        <v>162</v>
      </c>
      <c r="C1175" t="s">
        <v>1176</v>
      </c>
      <c r="D1175" t="s">
        <v>3276</v>
      </c>
      <c r="E1175" t="s">
        <v>3516</v>
      </c>
      <c r="F1175" t="s">
        <v>192</v>
      </c>
      <c r="G1175" t="s">
        <v>416</v>
      </c>
      <c r="H1175">
        <v>2.5</v>
      </c>
      <c r="I1175">
        <v>90</v>
      </c>
      <c r="J1175">
        <v>0</v>
      </c>
      <c r="K1175">
        <v>0</v>
      </c>
      <c r="L1175" t="s">
        <v>112</v>
      </c>
      <c r="M1175" t="s">
        <v>138</v>
      </c>
      <c r="N1175">
        <v>0</v>
      </c>
      <c r="O1175">
        <v>0</v>
      </c>
      <c r="P1175" t="s">
        <v>138</v>
      </c>
      <c r="Q1175">
        <v>40</v>
      </c>
      <c r="R1175">
        <v>0</v>
      </c>
      <c r="S1175">
        <v>0</v>
      </c>
      <c r="T1175">
        <v>0</v>
      </c>
      <c r="U1175" t="s">
        <v>203</v>
      </c>
      <c r="V1175">
        <v>0</v>
      </c>
      <c r="W1175">
        <v>25</v>
      </c>
      <c r="X1175">
        <v>10</v>
      </c>
      <c r="Y1175">
        <v>0</v>
      </c>
      <c r="Z1175" t="s">
        <v>111</v>
      </c>
      <c r="AA1175">
        <v>0</v>
      </c>
      <c r="AB1175" t="s">
        <v>111</v>
      </c>
      <c r="AC1175">
        <v>0</v>
      </c>
      <c r="AD1175" t="s">
        <v>111</v>
      </c>
      <c r="AE1175">
        <v>0</v>
      </c>
      <c r="AF1175">
        <v>0</v>
      </c>
      <c r="AG1175" t="s">
        <v>111</v>
      </c>
      <c r="AH1175" t="s">
        <v>111</v>
      </c>
      <c r="AI1175" t="s">
        <v>111</v>
      </c>
      <c r="AJ1175" t="s">
        <v>111</v>
      </c>
      <c r="AK1175" t="s">
        <v>111</v>
      </c>
      <c r="AL1175" t="s">
        <v>111</v>
      </c>
      <c r="AM1175">
        <v>0</v>
      </c>
      <c r="AN1175">
        <v>0</v>
      </c>
      <c r="AO1175">
        <v>0</v>
      </c>
      <c r="AP1175" t="s">
        <v>111</v>
      </c>
      <c r="AQ1175" t="s">
        <v>111</v>
      </c>
      <c r="AR1175" t="s">
        <v>111</v>
      </c>
      <c r="AS1175" t="s">
        <v>111</v>
      </c>
      <c r="AT1175" t="s">
        <v>111</v>
      </c>
      <c r="AU1175" t="s">
        <v>111</v>
      </c>
      <c r="AV1175" t="s">
        <v>111</v>
      </c>
      <c r="AW1175" t="s">
        <v>111</v>
      </c>
      <c r="AX1175" t="s">
        <v>111</v>
      </c>
      <c r="AY1175" t="s">
        <v>111</v>
      </c>
      <c r="AZ1175" t="s">
        <v>111</v>
      </c>
      <c r="BA1175" t="s">
        <v>111</v>
      </c>
      <c r="BB1175" t="s">
        <v>111</v>
      </c>
      <c r="BC1175" t="s">
        <v>111</v>
      </c>
      <c r="BD1175" t="s">
        <v>111</v>
      </c>
      <c r="BE1175" t="s">
        <v>111</v>
      </c>
      <c r="BF1175" t="s">
        <v>111</v>
      </c>
      <c r="BG1175" t="s">
        <v>111</v>
      </c>
      <c r="BH1175" t="s">
        <v>111</v>
      </c>
      <c r="BI1175" t="s">
        <v>111</v>
      </c>
      <c r="BJ1175" t="s">
        <v>111</v>
      </c>
      <c r="BK1175" t="s">
        <v>111</v>
      </c>
      <c r="BL1175" t="s">
        <v>111</v>
      </c>
      <c r="BM1175" t="s">
        <v>111</v>
      </c>
      <c r="BN1175" t="s">
        <v>111</v>
      </c>
      <c r="BO1175" t="s">
        <v>111</v>
      </c>
      <c r="BP1175" t="s">
        <v>111</v>
      </c>
      <c r="BQ1175" t="s">
        <v>111</v>
      </c>
      <c r="BR1175" t="s">
        <v>111</v>
      </c>
      <c r="BS1175" t="s">
        <v>111</v>
      </c>
      <c r="BT1175" t="s">
        <v>111</v>
      </c>
      <c r="BU1175" t="s">
        <v>111</v>
      </c>
      <c r="BV1175" t="s">
        <v>111</v>
      </c>
      <c r="BW1175" t="s">
        <v>111</v>
      </c>
      <c r="BX1175" t="s">
        <v>111</v>
      </c>
      <c r="BY1175" t="s">
        <v>111</v>
      </c>
      <c r="BZ1175" t="s">
        <v>111</v>
      </c>
      <c r="CA1175" t="s">
        <v>111</v>
      </c>
      <c r="CB1175" t="s">
        <v>111</v>
      </c>
      <c r="CC1175" t="s">
        <v>111</v>
      </c>
      <c r="CD1175" t="s">
        <v>111</v>
      </c>
      <c r="CE1175" t="s">
        <v>111</v>
      </c>
      <c r="CF1175" t="s">
        <v>111</v>
      </c>
      <c r="CG1175" t="s">
        <v>111</v>
      </c>
      <c r="CH1175" t="s">
        <v>111</v>
      </c>
      <c r="CI1175" t="s">
        <v>111</v>
      </c>
      <c r="CJ1175" t="s">
        <v>111</v>
      </c>
      <c r="CK1175" t="s">
        <v>111</v>
      </c>
      <c r="CL1175" t="s">
        <v>111</v>
      </c>
      <c r="CM1175" t="s">
        <v>111</v>
      </c>
      <c r="CN1175" t="s">
        <v>111</v>
      </c>
      <c r="CO1175" t="s">
        <v>111</v>
      </c>
      <c r="CP1175" t="s">
        <v>111</v>
      </c>
      <c r="CQ1175">
        <v>0</v>
      </c>
      <c r="CR1175">
        <v>0</v>
      </c>
      <c r="CS1175">
        <v>0</v>
      </c>
      <c r="CT1175" t="s">
        <v>111</v>
      </c>
      <c r="CU1175">
        <v>0</v>
      </c>
      <c r="CV1175" t="s">
        <v>111</v>
      </c>
      <c r="CW1175" t="s">
        <v>111</v>
      </c>
      <c r="CX1175" t="s">
        <v>111</v>
      </c>
      <c r="CY1175">
        <v>0</v>
      </c>
      <c r="CZ1175" t="s">
        <v>111</v>
      </c>
      <c r="DA1175" t="s">
        <v>111</v>
      </c>
      <c r="DB1175" t="s">
        <v>204</v>
      </c>
      <c r="DC1175" s="1" t="s">
        <v>205</v>
      </c>
    </row>
    <row r="1176" spans="1:107">
      <c r="A1176">
        <v>6</v>
      </c>
      <c r="B1176" t="s">
        <v>162</v>
      </c>
      <c r="C1176" t="s">
        <v>2952</v>
      </c>
      <c r="D1176" t="s">
        <v>3458</v>
      </c>
      <c r="E1176" t="s">
        <v>3517</v>
      </c>
      <c r="F1176" t="s">
        <v>1014</v>
      </c>
      <c r="G1176" t="s">
        <v>416</v>
      </c>
      <c r="H1176">
        <v>1.2</v>
      </c>
      <c r="I1176">
        <v>43</v>
      </c>
      <c r="J1176">
        <v>0</v>
      </c>
      <c r="K1176">
        <v>0</v>
      </c>
      <c r="L1176" t="s">
        <v>112</v>
      </c>
      <c r="M1176" t="s">
        <v>118</v>
      </c>
      <c r="N1176">
        <v>40</v>
      </c>
      <c r="O1176">
        <v>2</v>
      </c>
      <c r="P1176" t="s">
        <v>138</v>
      </c>
      <c r="Q1176">
        <v>30</v>
      </c>
      <c r="R1176">
        <v>0</v>
      </c>
      <c r="S1176">
        <v>0</v>
      </c>
      <c r="T1176">
        <v>0</v>
      </c>
      <c r="U1176" s="1" t="s">
        <v>3183</v>
      </c>
      <c r="V1176">
        <v>0</v>
      </c>
      <c r="W1176">
        <v>25</v>
      </c>
      <c r="X1176">
        <v>6</v>
      </c>
      <c r="Y1176">
        <v>0</v>
      </c>
      <c r="Z1176" t="s">
        <v>111</v>
      </c>
      <c r="AA1176">
        <v>0</v>
      </c>
      <c r="AB1176" t="s">
        <v>111</v>
      </c>
      <c r="AC1176">
        <v>0</v>
      </c>
      <c r="AD1176" t="s">
        <v>416</v>
      </c>
      <c r="AE1176">
        <v>1</v>
      </c>
      <c r="AF1176">
        <v>2</v>
      </c>
      <c r="AG1176">
        <v>76</v>
      </c>
      <c r="AH1176" t="s">
        <v>111</v>
      </c>
      <c r="AI1176">
        <v>38</v>
      </c>
      <c r="AJ1176" t="s">
        <v>111</v>
      </c>
      <c r="AK1176" t="s">
        <v>111</v>
      </c>
      <c r="AL1176" t="s">
        <v>111</v>
      </c>
      <c r="AM1176">
        <v>0</v>
      </c>
      <c r="AN1176">
        <v>0</v>
      </c>
      <c r="AO1176">
        <v>0</v>
      </c>
      <c r="AP1176" t="s">
        <v>111</v>
      </c>
      <c r="AQ1176" t="s">
        <v>111</v>
      </c>
      <c r="AR1176" t="s">
        <v>111</v>
      </c>
      <c r="AS1176" t="s">
        <v>111</v>
      </c>
      <c r="AT1176" t="s">
        <v>111</v>
      </c>
      <c r="AU1176" t="s">
        <v>111</v>
      </c>
      <c r="AV1176" t="s">
        <v>111</v>
      </c>
      <c r="AW1176" t="s">
        <v>111</v>
      </c>
      <c r="AX1176" t="s">
        <v>111</v>
      </c>
      <c r="AY1176" t="s">
        <v>111</v>
      </c>
      <c r="AZ1176" t="s">
        <v>111</v>
      </c>
      <c r="BA1176" t="s">
        <v>111</v>
      </c>
      <c r="BB1176" t="s">
        <v>111</v>
      </c>
      <c r="BC1176" t="s">
        <v>111</v>
      </c>
      <c r="BD1176" t="s">
        <v>111</v>
      </c>
      <c r="BE1176" t="s">
        <v>111</v>
      </c>
      <c r="BF1176" t="s">
        <v>111</v>
      </c>
      <c r="BG1176" t="s">
        <v>111</v>
      </c>
      <c r="BH1176" t="s">
        <v>111</v>
      </c>
      <c r="BI1176" t="s">
        <v>111</v>
      </c>
      <c r="BJ1176" t="s">
        <v>111</v>
      </c>
      <c r="BK1176" t="s">
        <v>111</v>
      </c>
      <c r="BL1176" t="s">
        <v>111</v>
      </c>
      <c r="BM1176" t="s">
        <v>111</v>
      </c>
      <c r="BN1176" t="s">
        <v>111</v>
      </c>
      <c r="BO1176" t="s">
        <v>111</v>
      </c>
      <c r="BP1176" t="s">
        <v>111</v>
      </c>
      <c r="BQ1176" t="s">
        <v>111</v>
      </c>
      <c r="BR1176" t="s">
        <v>111</v>
      </c>
      <c r="BS1176" t="s">
        <v>111</v>
      </c>
      <c r="BT1176" t="s">
        <v>111</v>
      </c>
      <c r="BU1176" t="s">
        <v>111</v>
      </c>
      <c r="BV1176" t="s">
        <v>111</v>
      </c>
      <c r="BW1176" t="s">
        <v>111</v>
      </c>
      <c r="BX1176" t="s">
        <v>111</v>
      </c>
      <c r="BY1176" t="s">
        <v>111</v>
      </c>
      <c r="BZ1176" t="s">
        <v>111</v>
      </c>
      <c r="CA1176" t="s">
        <v>111</v>
      </c>
      <c r="CB1176" t="s">
        <v>111</v>
      </c>
      <c r="CC1176" t="s">
        <v>111</v>
      </c>
      <c r="CD1176" t="s">
        <v>111</v>
      </c>
      <c r="CE1176" t="s">
        <v>111</v>
      </c>
      <c r="CF1176" t="s">
        <v>111</v>
      </c>
      <c r="CG1176" t="s">
        <v>111</v>
      </c>
      <c r="CH1176" t="s">
        <v>111</v>
      </c>
      <c r="CI1176" t="s">
        <v>111</v>
      </c>
      <c r="CJ1176" t="s">
        <v>111</v>
      </c>
      <c r="CK1176" t="s">
        <v>111</v>
      </c>
      <c r="CL1176" s="1" t="s">
        <v>835</v>
      </c>
      <c r="CM1176" t="s">
        <v>198</v>
      </c>
      <c r="CN1176" t="s">
        <v>128</v>
      </c>
      <c r="CO1176" t="s">
        <v>111</v>
      </c>
      <c r="CP1176" t="s">
        <v>433</v>
      </c>
      <c r="CQ1176">
        <v>0</v>
      </c>
      <c r="CR1176">
        <v>0</v>
      </c>
      <c r="CS1176">
        <v>0</v>
      </c>
      <c r="CT1176" t="s">
        <v>168</v>
      </c>
      <c r="CU1176">
        <v>0</v>
      </c>
      <c r="CV1176" t="s">
        <v>111</v>
      </c>
      <c r="CW1176" t="s">
        <v>111</v>
      </c>
      <c r="CX1176" t="s">
        <v>111</v>
      </c>
      <c r="CY1176">
        <v>0</v>
      </c>
      <c r="CZ1176" t="s">
        <v>111</v>
      </c>
      <c r="DA1176" t="s">
        <v>111</v>
      </c>
      <c r="DB1176" t="s">
        <v>111</v>
      </c>
      <c r="DC1176" t="s">
        <v>111</v>
      </c>
    </row>
    <row r="1177" spans="1:107">
      <c r="A1177">
        <v>1078</v>
      </c>
      <c r="B1177" t="s">
        <v>107</v>
      </c>
      <c r="C1177" t="s">
        <v>277</v>
      </c>
      <c r="D1177" t="s">
        <v>3518</v>
      </c>
      <c r="E1177" t="s">
        <v>3519</v>
      </c>
      <c r="F1177" t="s">
        <v>411</v>
      </c>
      <c r="G1177" t="s">
        <v>416</v>
      </c>
      <c r="H1177">
        <v>2</v>
      </c>
      <c r="I1177">
        <v>25</v>
      </c>
      <c r="J1177">
        <v>0</v>
      </c>
      <c r="K1177">
        <v>0</v>
      </c>
      <c r="L1177" t="s">
        <v>178</v>
      </c>
      <c r="M1177" t="s">
        <v>111</v>
      </c>
      <c r="N1177">
        <v>0</v>
      </c>
      <c r="O1177">
        <v>0</v>
      </c>
      <c r="P1177" t="s">
        <v>111</v>
      </c>
      <c r="Q1177">
        <v>25</v>
      </c>
      <c r="R1177">
        <v>0</v>
      </c>
      <c r="S1177">
        <v>0</v>
      </c>
      <c r="T1177">
        <v>0</v>
      </c>
      <c r="U1177" s="1" t="s">
        <v>3520</v>
      </c>
      <c r="V1177">
        <v>0</v>
      </c>
      <c r="W1177">
        <v>25</v>
      </c>
      <c r="X1177">
        <v>5</v>
      </c>
      <c r="Y1177">
        <v>0</v>
      </c>
      <c r="Z1177" t="s">
        <v>111</v>
      </c>
      <c r="AA1177">
        <v>0</v>
      </c>
      <c r="AB1177" t="s">
        <v>111</v>
      </c>
      <c r="AC1177">
        <v>0</v>
      </c>
      <c r="AD1177" t="s">
        <v>111</v>
      </c>
      <c r="AE1177">
        <v>0</v>
      </c>
      <c r="AF1177">
        <v>0</v>
      </c>
      <c r="AG1177" t="s">
        <v>111</v>
      </c>
      <c r="AH1177" t="s">
        <v>111</v>
      </c>
      <c r="AI1177" t="s">
        <v>111</v>
      </c>
      <c r="AJ1177" t="s">
        <v>111</v>
      </c>
      <c r="AK1177" t="s">
        <v>111</v>
      </c>
      <c r="AL1177" t="s">
        <v>111</v>
      </c>
      <c r="AM1177">
        <v>0</v>
      </c>
      <c r="AN1177">
        <v>0</v>
      </c>
      <c r="AO1177">
        <v>0</v>
      </c>
      <c r="AP1177" t="s">
        <v>111</v>
      </c>
      <c r="AQ1177" t="s">
        <v>111</v>
      </c>
      <c r="AR1177" t="s">
        <v>111</v>
      </c>
      <c r="AS1177" t="s">
        <v>111</v>
      </c>
      <c r="AT1177" t="s">
        <v>111</v>
      </c>
      <c r="AU1177" t="s">
        <v>111</v>
      </c>
      <c r="AV1177" t="s">
        <v>111</v>
      </c>
      <c r="AW1177" t="s">
        <v>111</v>
      </c>
      <c r="AX1177" t="s">
        <v>111</v>
      </c>
      <c r="AY1177" t="s">
        <v>111</v>
      </c>
      <c r="AZ1177" t="s">
        <v>111</v>
      </c>
      <c r="BA1177" t="s">
        <v>111</v>
      </c>
      <c r="BB1177" t="s">
        <v>111</v>
      </c>
      <c r="BC1177" t="s">
        <v>111</v>
      </c>
      <c r="BD1177" t="s">
        <v>111</v>
      </c>
      <c r="BE1177" t="s">
        <v>111</v>
      </c>
      <c r="BF1177" t="s">
        <v>111</v>
      </c>
      <c r="BG1177" t="s">
        <v>111</v>
      </c>
      <c r="BH1177" t="s">
        <v>111</v>
      </c>
      <c r="BI1177" t="s">
        <v>111</v>
      </c>
      <c r="BJ1177" t="s">
        <v>111</v>
      </c>
      <c r="BK1177" t="s">
        <v>111</v>
      </c>
      <c r="BL1177" t="s">
        <v>111</v>
      </c>
      <c r="BM1177" t="s">
        <v>111</v>
      </c>
      <c r="BN1177" t="s">
        <v>111</v>
      </c>
      <c r="BO1177" t="s">
        <v>111</v>
      </c>
      <c r="BP1177" t="s">
        <v>111</v>
      </c>
      <c r="BQ1177" t="s">
        <v>111</v>
      </c>
      <c r="BR1177" t="s">
        <v>111</v>
      </c>
      <c r="BS1177" t="s">
        <v>111</v>
      </c>
      <c r="BT1177" t="s">
        <v>111</v>
      </c>
      <c r="BU1177" t="s">
        <v>111</v>
      </c>
      <c r="BV1177" t="s">
        <v>111</v>
      </c>
      <c r="BW1177" t="s">
        <v>111</v>
      </c>
      <c r="BX1177" t="s">
        <v>111</v>
      </c>
      <c r="BY1177" t="s">
        <v>111</v>
      </c>
      <c r="BZ1177" t="s">
        <v>111</v>
      </c>
      <c r="CA1177" t="s">
        <v>111</v>
      </c>
      <c r="CB1177" t="s">
        <v>111</v>
      </c>
      <c r="CC1177" t="s">
        <v>111</v>
      </c>
      <c r="CD1177" t="s">
        <v>111</v>
      </c>
      <c r="CE1177" t="s">
        <v>111</v>
      </c>
      <c r="CF1177" t="s">
        <v>111</v>
      </c>
      <c r="CG1177" t="s">
        <v>111</v>
      </c>
      <c r="CH1177" t="s">
        <v>111</v>
      </c>
      <c r="CI1177" t="s">
        <v>111</v>
      </c>
      <c r="CJ1177" t="s">
        <v>111</v>
      </c>
      <c r="CK1177" t="s">
        <v>111</v>
      </c>
      <c r="CL1177" t="s">
        <v>111</v>
      </c>
      <c r="CM1177" t="s">
        <v>111</v>
      </c>
      <c r="CN1177" t="s">
        <v>111</v>
      </c>
      <c r="CO1177" t="s">
        <v>111</v>
      </c>
      <c r="CP1177" t="s">
        <v>111</v>
      </c>
      <c r="CQ1177">
        <v>0</v>
      </c>
      <c r="CR1177">
        <v>0</v>
      </c>
      <c r="CS1177">
        <v>0</v>
      </c>
      <c r="CT1177" t="s">
        <v>111</v>
      </c>
      <c r="CU1177">
        <v>0</v>
      </c>
      <c r="CV1177" t="s">
        <v>111</v>
      </c>
      <c r="CW1177" t="s">
        <v>111</v>
      </c>
      <c r="CX1177" t="s">
        <v>111</v>
      </c>
      <c r="CY1177">
        <v>0</v>
      </c>
      <c r="CZ1177" t="s">
        <v>111</v>
      </c>
      <c r="DA1177" t="s">
        <v>111</v>
      </c>
      <c r="DB1177" t="s">
        <v>111</v>
      </c>
      <c r="DC1177" t="s">
        <v>111</v>
      </c>
    </row>
    <row r="1178" spans="1:107">
      <c r="A1178">
        <v>151</v>
      </c>
      <c r="B1178" t="s">
        <v>162</v>
      </c>
      <c r="C1178" t="s">
        <v>174</v>
      </c>
      <c r="D1178" t="s">
        <v>3521</v>
      </c>
      <c r="E1178" t="s">
        <v>3522</v>
      </c>
      <c r="F1178" t="s">
        <v>125</v>
      </c>
      <c r="G1178" t="s">
        <v>416</v>
      </c>
      <c r="H1178">
        <v>0.5</v>
      </c>
      <c r="I1178">
        <v>63</v>
      </c>
      <c r="J1178">
        <v>0</v>
      </c>
      <c r="K1178">
        <v>0</v>
      </c>
      <c r="L1178" t="s">
        <v>112</v>
      </c>
      <c r="M1178" t="s">
        <v>138</v>
      </c>
      <c r="N1178">
        <v>0</v>
      </c>
      <c r="O1178">
        <v>0</v>
      </c>
      <c r="P1178" t="s">
        <v>138</v>
      </c>
      <c r="Q1178">
        <v>35</v>
      </c>
      <c r="R1178">
        <v>0</v>
      </c>
      <c r="S1178">
        <v>0</v>
      </c>
      <c r="T1178">
        <v>0</v>
      </c>
      <c r="U1178" t="s">
        <v>153</v>
      </c>
      <c r="V1178">
        <v>25</v>
      </c>
      <c r="W1178">
        <v>0</v>
      </c>
      <c r="X1178">
        <v>8</v>
      </c>
      <c r="Y1178">
        <v>0</v>
      </c>
      <c r="Z1178" t="s">
        <v>111</v>
      </c>
      <c r="AA1178">
        <v>0</v>
      </c>
      <c r="AB1178" t="s">
        <v>111</v>
      </c>
      <c r="AC1178">
        <v>0</v>
      </c>
      <c r="AD1178" t="s">
        <v>111</v>
      </c>
      <c r="AE1178">
        <v>0</v>
      </c>
      <c r="AF1178">
        <v>0</v>
      </c>
      <c r="AG1178" t="s">
        <v>111</v>
      </c>
      <c r="AH1178" t="s">
        <v>111</v>
      </c>
      <c r="AI1178" t="s">
        <v>111</v>
      </c>
      <c r="AJ1178" t="s">
        <v>111</v>
      </c>
      <c r="AK1178" t="s">
        <v>111</v>
      </c>
      <c r="AL1178" t="s">
        <v>111</v>
      </c>
      <c r="AM1178">
        <v>0</v>
      </c>
      <c r="AN1178">
        <v>0</v>
      </c>
      <c r="AO1178">
        <v>0</v>
      </c>
      <c r="AP1178" t="s">
        <v>111</v>
      </c>
      <c r="AQ1178" t="s">
        <v>111</v>
      </c>
      <c r="AR1178" t="s">
        <v>111</v>
      </c>
      <c r="AS1178" t="s">
        <v>111</v>
      </c>
      <c r="AT1178" t="s">
        <v>111</v>
      </c>
      <c r="AU1178" t="s">
        <v>111</v>
      </c>
      <c r="AV1178" t="s">
        <v>111</v>
      </c>
      <c r="AW1178" t="s">
        <v>111</v>
      </c>
      <c r="AX1178" t="s">
        <v>111</v>
      </c>
      <c r="AY1178" t="s">
        <v>111</v>
      </c>
      <c r="AZ1178" t="s">
        <v>111</v>
      </c>
      <c r="BA1178" t="s">
        <v>111</v>
      </c>
      <c r="BB1178" t="s">
        <v>111</v>
      </c>
      <c r="BC1178" t="s">
        <v>111</v>
      </c>
      <c r="BD1178" t="s">
        <v>111</v>
      </c>
      <c r="BE1178" t="s">
        <v>111</v>
      </c>
      <c r="BF1178" t="s">
        <v>111</v>
      </c>
      <c r="BG1178" t="s">
        <v>111</v>
      </c>
      <c r="BH1178" t="s">
        <v>111</v>
      </c>
      <c r="BI1178" t="s">
        <v>111</v>
      </c>
      <c r="BJ1178" t="s">
        <v>111</v>
      </c>
      <c r="BK1178" t="s">
        <v>111</v>
      </c>
      <c r="BL1178" t="s">
        <v>111</v>
      </c>
      <c r="BM1178" t="s">
        <v>111</v>
      </c>
      <c r="BN1178" t="s">
        <v>111</v>
      </c>
      <c r="BO1178" t="s">
        <v>111</v>
      </c>
      <c r="BP1178" t="s">
        <v>111</v>
      </c>
      <c r="BQ1178" t="s">
        <v>111</v>
      </c>
      <c r="BR1178" t="s">
        <v>111</v>
      </c>
      <c r="BS1178" t="s">
        <v>111</v>
      </c>
      <c r="BT1178" t="s">
        <v>111</v>
      </c>
      <c r="BU1178" t="s">
        <v>111</v>
      </c>
      <c r="BV1178" t="s">
        <v>111</v>
      </c>
      <c r="BW1178" t="s">
        <v>111</v>
      </c>
      <c r="BX1178" t="s">
        <v>111</v>
      </c>
      <c r="BY1178" t="s">
        <v>111</v>
      </c>
      <c r="BZ1178" t="s">
        <v>111</v>
      </c>
      <c r="CA1178" t="s">
        <v>111</v>
      </c>
      <c r="CB1178" t="s">
        <v>111</v>
      </c>
      <c r="CC1178" t="s">
        <v>111</v>
      </c>
      <c r="CD1178" t="s">
        <v>111</v>
      </c>
      <c r="CE1178" t="s">
        <v>111</v>
      </c>
      <c r="CF1178" t="s">
        <v>111</v>
      </c>
      <c r="CG1178" t="s">
        <v>111</v>
      </c>
      <c r="CH1178" t="s">
        <v>111</v>
      </c>
      <c r="CI1178" t="s">
        <v>111</v>
      </c>
      <c r="CJ1178" t="s">
        <v>111</v>
      </c>
      <c r="CK1178" t="s">
        <v>111</v>
      </c>
      <c r="CL1178" t="s">
        <v>111</v>
      </c>
      <c r="CM1178" t="s">
        <v>198</v>
      </c>
      <c r="CN1178" t="s">
        <v>113</v>
      </c>
      <c r="CO1178" t="s">
        <v>111</v>
      </c>
      <c r="CP1178" t="s">
        <v>111</v>
      </c>
      <c r="CQ1178">
        <v>0</v>
      </c>
      <c r="CR1178">
        <v>0</v>
      </c>
      <c r="CS1178">
        <v>100</v>
      </c>
      <c r="CT1178" t="s">
        <v>153</v>
      </c>
      <c r="CU1178">
        <v>0</v>
      </c>
      <c r="CV1178" t="s">
        <v>111</v>
      </c>
      <c r="CW1178" t="s">
        <v>111</v>
      </c>
      <c r="CX1178" t="s">
        <v>111</v>
      </c>
      <c r="CY1178">
        <v>0</v>
      </c>
      <c r="CZ1178" t="s">
        <v>111</v>
      </c>
      <c r="DA1178" t="s">
        <v>111</v>
      </c>
      <c r="DB1178" t="s">
        <v>111</v>
      </c>
      <c r="DC1178" t="s">
        <v>111</v>
      </c>
    </row>
    <row r="1179" spans="1:107">
      <c r="A1179">
        <v>314</v>
      </c>
      <c r="B1179" t="s">
        <v>162</v>
      </c>
      <c r="C1179" t="s">
        <v>638</v>
      </c>
      <c r="D1179" t="s">
        <v>3523</v>
      </c>
      <c r="E1179" t="s">
        <v>3524</v>
      </c>
      <c r="F1179" t="s">
        <v>192</v>
      </c>
      <c r="G1179" t="s">
        <v>416</v>
      </c>
      <c r="H1179">
        <v>2.7</v>
      </c>
      <c r="I1179">
        <v>40</v>
      </c>
      <c r="J1179">
        <v>0</v>
      </c>
      <c r="K1179">
        <v>0</v>
      </c>
      <c r="L1179" t="s">
        <v>112</v>
      </c>
      <c r="M1179" t="s">
        <v>138</v>
      </c>
      <c r="N1179">
        <v>0</v>
      </c>
      <c r="O1179">
        <v>0</v>
      </c>
      <c r="P1179" t="s">
        <v>138</v>
      </c>
      <c r="Q1179">
        <v>35</v>
      </c>
      <c r="R1179">
        <v>0</v>
      </c>
      <c r="S1179">
        <v>0</v>
      </c>
      <c r="T1179">
        <v>0</v>
      </c>
      <c r="U1179" t="s">
        <v>153</v>
      </c>
      <c r="V1179">
        <v>0</v>
      </c>
      <c r="W1179">
        <v>25</v>
      </c>
      <c r="X1179">
        <v>8</v>
      </c>
      <c r="Y1179">
        <v>0</v>
      </c>
      <c r="Z1179" t="s">
        <v>111</v>
      </c>
      <c r="AA1179">
        <v>0</v>
      </c>
      <c r="AB1179" t="s">
        <v>111</v>
      </c>
      <c r="AC1179">
        <v>0</v>
      </c>
      <c r="AD1179" t="s">
        <v>111</v>
      </c>
      <c r="AE1179">
        <v>0</v>
      </c>
      <c r="AF1179">
        <v>0</v>
      </c>
      <c r="AG1179" t="s">
        <v>111</v>
      </c>
      <c r="AH1179" t="s">
        <v>111</v>
      </c>
      <c r="AI1179" t="s">
        <v>111</v>
      </c>
      <c r="AJ1179" t="s">
        <v>111</v>
      </c>
      <c r="AK1179" t="s">
        <v>111</v>
      </c>
      <c r="AL1179" t="s">
        <v>111</v>
      </c>
      <c r="AM1179">
        <v>0</v>
      </c>
      <c r="AN1179">
        <v>0</v>
      </c>
      <c r="AO1179">
        <v>0</v>
      </c>
      <c r="AP1179" t="s">
        <v>111</v>
      </c>
      <c r="AQ1179" t="s">
        <v>111</v>
      </c>
      <c r="AR1179" t="s">
        <v>111</v>
      </c>
      <c r="AS1179" t="s">
        <v>111</v>
      </c>
      <c r="AT1179" t="s">
        <v>111</v>
      </c>
      <c r="AU1179" t="s">
        <v>111</v>
      </c>
      <c r="AV1179" t="s">
        <v>111</v>
      </c>
      <c r="AW1179" t="s">
        <v>111</v>
      </c>
      <c r="AX1179" t="s">
        <v>111</v>
      </c>
      <c r="AY1179" t="s">
        <v>111</v>
      </c>
      <c r="AZ1179" t="s">
        <v>111</v>
      </c>
      <c r="BA1179" t="s">
        <v>111</v>
      </c>
      <c r="BB1179" t="s">
        <v>111</v>
      </c>
      <c r="BC1179" t="s">
        <v>111</v>
      </c>
      <c r="BD1179" t="s">
        <v>111</v>
      </c>
      <c r="BE1179" t="s">
        <v>111</v>
      </c>
      <c r="BF1179" t="s">
        <v>111</v>
      </c>
      <c r="BG1179" t="s">
        <v>111</v>
      </c>
      <c r="BH1179" t="s">
        <v>111</v>
      </c>
      <c r="BI1179" t="s">
        <v>111</v>
      </c>
      <c r="BJ1179" t="s">
        <v>111</v>
      </c>
      <c r="BK1179" t="s">
        <v>111</v>
      </c>
      <c r="BL1179" t="s">
        <v>111</v>
      </c>
      <c r="BM1179" t="s">
        <v>111</v>
      </c>
      <c r="BN1179" t="s">
        <v>111</v>
      </c>
      <c r="BO1179" t="s">
        <v>111</v>
      </c>
      <c r="BP1179" t="s">
        <v>111</v>
      </c>
      <c r="BQ1179" t="s">
        <v>111</v>
      </c>
      <c r="BR1179" t="s">
        <v>111</v>
      </c>
      <c r="BS1179" t="s">
        <v>111</v>
      </c>
      <c r="BT1179" t="s">
        <v>111</v>
      </c>
      <c r="BU1179" t="s">
        <v>111</v>
      </c>
      <c r="BV1179" t="s">
        <v>111</v>
      </c>
      <c r="BW1179" t="s">
        <v>111</v>
      </c>
      <c r="BX1179" t="s">
        <v>111</v>
      </c>
      <c r="BY1179" t="s">
        <v>111</v>
      </c>
      <c r="BZ1179" t="s">
        <v>111</v>
      </c>
      <c r="CA1179" t="s">
        <v>111</v>
      </c>
      <c r="CB1179" t="s">
        <v>111</v>
      </c>
      <c r="CC1179" t="s">
        <v>111</v>
      </c>
      <c r="CD1179" t="s">
        <v>111</v>
      </c>
      <c r="CE1179" t="s">
        <v>111</v>
      </c>
      <c r="CF1179" t="s">
        <v>111</v>
      </c>
      <c r="CG1179" t="s">
        <v>111</v>
      </c>
      <c r="CH1179" t="s">
        <v>111</v>
      </c>
      <c r="CI1179" t="s">
        <v>111</v>
      </c>
      <c r="CJ1179" t="s">
        <v>111</v>
      </c>
      <c r="CK1179" t="s">
        <v>111</v>
      </c>
      <c r="CL1179" t="s">
        <v>111</v>
      </c>
      <c r="CM1179" t="s">
        <v>198</v>
      </c>
      <c r="CN1179" t="s">
        <v>128</v>
      </c>
      <c r="CO1179" t="s">
        <v>111</v>
      </c>
      <c r="CP1179" t="s">
        <v>111</v>
      </c>
      <c r="CQ1179">
        <v>0</v>
      </c>
      <c r="CR1179">
        <v>0</v>
      </c>
      <c r="CS1179">
        <v>0</v>
      </c>
      <c r="CT1179" t="s">
        <v>168</v>
      </c>
      <c r="CU1179">
        <v>0</v>
      </c>
      <c r="CV1179" t="s">
        <v>111</v>
      </c>
      <c r="CW1179" t="s">
        <v>111</v>
      </c>
      <c r="CX1179" t="s">
        <v>111</v>
      </c>
      <c r="CY1179">
        <v>0</v>
      </c>
      <c r="CZ1179" t="s">
        <v>111</v>
      </c>
      <c r="DA1179" t="s">
        <v>111</v>
      </c>
      <c r="DB1179" t="s">
        <v>111</v>
      </c>
      <c r="DC1179" t="s">
        <v>111</v>
      </c>
    </row>
    <row r="1180" spans="1:107">
      <c r="A1180">
        <v>305</v>
      </c>
      <c r="B1180" t="s">
        <v>162</v>
      </c>
      <c r="C1180" t="s">
        <v>171</v>
      </c>
      <c r="D1180" t="s">
        <v>1946</v>
      </c>
      <c r="E1180" t="s">
        <v>1947</v>
      </c>
      <c r="F1180" t="s">
        <v>192</v>
      </c>
      <c r="G1180" t="s">
        <v>416</v>
      </c>
      <c r="H1180">
        <v>1.9</v>
      </c>
      <c r="I1180">
        <v>58</v>
      </c>
      <c r="J1180">
        <v>0</v>
      </c>
      <c r="K1180">
        <v>0</v>
      </c>
      <c r="L1180" t="s">
        <v>112</v>
      </c>
      <c r="M1180" t="s">
        <v>138</v>
      </c>
      <c r="N1180">
        <v>0</v>
      </c>
      <c r="O1180">
        <v>0</v>
      </c>
      <c r="P1180" t="s">
        <v>138</v>
      </c>
      <c r="Q1180">
        <v>40</v>
      </c>
      <c r="R1180">
        <v>0</v>
      </c>
      <c r="S1180">
        <v>0</v>
      </c>
      <c r="T1180">
        <v>0</v>
      </c>
      <c r="U1180" t="s">
        <v>153</v>
      </c>
      <c r="V1180">
        <v>0</v>
      </c>
      <c r="W1180">
        <v>25</v>
      </c>
      <c r="X1180">
        <v>8</v>
      </c>
      <c r="Y1180">
        <v>0</v>
      </c>
      <c r="Z1180" t="s">
        <v>111</v>
      </c>
      <c r="AA1180">
        <v>0</v>
      </c>
      <c r="AB1180" t="s">
        <v>111</v>
      </c>
      <c r="AC1180">
        <v>0</v>
      </c>
      <c r="AD1180" t="s">
        <v>111</v>
      </c>
      <c r="AE1180">
        <v>0</v>
      </c>
      <c r="AF1180">
        <v>0</v>
      </c>
      <c r="AG1180" t="s">
        <v>111</v>
      </c>
      <c r="AH1180" t="s">
        <v>111</v>
      </c>
      <c r="AI1180" t="s">
        <v>111</v>
      </c>
      <c r="AJ1180" t="s">
        <v>111</v>
      </c>
      <c r="AK1180" t="s">
        <v>111</v>
      </c>
      <c r="AL1180" t="s">
        <v>111</v>
      </c>
      <c r="AM1180">
        <v>0</v>
      </c>
      <c r="AN1180">
        <v>0</v>
      </c>
      <c r="AO1180">
        <v>0</v>
      </c>
      <c r="AP1180" t="s">
        <v>111</v>
      </c>
      <c r="AQ1180" t="s">
        <v>111</v>
      </c>
      <c r="AR1180" t="s">
        <v>111</v>
      </c>
      <c r="AS1180" t="s">
        <v>111</v>
      </c>
      <c r="AT1180" t="s">
        <v>111</v>
      </c>
      <c r="AU1180" t="s">
        <v>111</v>
      </c>
      <c r="AV1180" t="s">
        <v>111</v>
      </c>
      <c r="AW1180" t="s">
        <v>111</v>
      </c>
      <c r="AX1180" t="s">
        <v>111</v>
      </c>
      <c r="AY1180" t="s">
        <v>111</v>
      </c>
      <c r="AZ1180" t="s">
        <v>111</v>
      </c>
      <c r="BA1180" t="s">
        <v>111</v>
      </c>
      <c r="BB1180" t="s">
        <v>111</v>
      </c>
      <c r="BC1180" t="s">
        <v>111</v>
      </c>
      <c r="BD1180" t="s">
        <v>111</v>
      </c>
      <c r="BE1180" t="s">
        <v>111</v>
      </c>
      <c r="BF1180" t="s">
        <v>111</v>
      </c>
      <c r="BG1180" t="s">
        <v>111</v>
      </c>
      <c r="BH1180" t="s">
        <v>111</v>
      </c>
      <c r="BI1180" t="s">
        <v>111</v>
      </c>
      <c r="BJ1180" t="s">
        <v>111</v>
      </c>
      <c r="BK1180" t="s">
        <v>111</v>
      </c>
      <c r="BL1180" t="s">
        <v>111</v>
      </c>
      <c r="BM1180" t="s">
        <v>111</v>
      </c>
      <c r="BN1180" t="s">
        <v>111</v>
      </c>
      <c r="BO1180" t="s">
        <v>111</v>
      </c>
      <c r="BP1180" t="s">
        <v>111</v>
      </c>
      <c r="BQ1180" t="s">
        <v>111</v>
      </c>
      <c r="BR1180" t="s">
        <v>111</v>
      </c>
      <c r="BS1180" t="s">
        <v>111</v>
      </c>
      <c r="BT1180" t="s">
        <v>111</v>
      </c>
      <c r="BU1180" t="s">
        <v>111</v>
      </c>
      <c r="BV1180" t="s">
        <v>111</v>
      </c>
      <c r="BW1180" t="s">
        <v>111</v>
      </c>
      <c r="BX1180" t="s">
        <v>111</v>
      </c>
      <c r="BY1180" t="s">
        <v>111</v>
      </c>
      <c r="BZ1180" t="s">
        <v>111</v>
      </c>
      <c r="CA1180" t="s">
        <v>111</v>
      </c>
      <c r="CB1180" t="s">
        <v>111</v>
      </c>
      <c r="CC1180" t="s">
        <v>111</v>
      </c>
      <c r="CD1180" t="s">
        <v>111</v>
      </c>
      <c r="CE1180" t="s">
        <v>111</v>
      </c>
      <c r="CF1180" t="s">
        <v>111</v>
      </c>
      <c r="CG1180" t="s">
        <v>111</v>
      </c>
      <c r="CH1180" t="s">
        <v>111</v>
      </c>
      <c r="CI1180" t="s">
        <v>111</v>
      </c>
      <c r="CJ1180" t="s">
        <v>111</v>
      </c>
      <c r="CK1180" t="s">
        <v>111</v>
      </c>
      <c r="CL1180" t="s">
        <v>111</v>
      </c>
      <c r="CM1180" t="s">
        <v>198</v>
      </c>
      <c r="CN1180" t="s">
        <v>113</v>
      </c>
      <c r="CO1180" t="s">
        <v>111</v>
      </c>
      <c r="CP1180" t="s">
        <v>111</v>
      </c>
      <c r="CQ1180">
        <v>0</v>
      </c>
      <c r="CR1180">
        <v>0</v>
      </c>
      <c r="CS1180">
        <v>0</v>
      </c>
      <c r="CT1180" t="s">
        <v>168</v>
      </c>
      <c r="CU1180">
        <v>0</v>
      </c>
      <c r="CV1180" t="s">
        <v>111</v>
      </c>
      <c r="CW1180" t="s">
        <v>111</v>
      </c>
      <c r="CX1180" t="s">
        <v>111</v>
      </c>
      <c r="CY1180">
        <v>0</v>
      </c>
      <c r="CZ1180" t="s">
        <v>111</v>
      </c>
      <c r="DA1180" t="s">
        <v>111</v>
      </c>
      <c r="DB1180" t="s">
        <v>111</v>
      </c>
      <c r="DC1180" t="s">
        <v>111</v>
      </c>
    </row>
    <row r="1181" spans="1:107">
      <c r="A1181">
        <v>361</v>
      </c>
      <c r="B1181" t="s">
        <v>162</v>
      </c>
      <c r="C1181" t="s">
        <v>2726</v>
      </c>
      <c r="D1181" t="s">
        <v>3525</v>
      </c>
      <c r="E1181" t="s">
        <v>1394</v>
      </c>
      <c r="F1181" t="s">
        <v>370</v>
      </c>
      <c r="G1181" t="s">
        <v>416</v>
      </c>
      <c r="H1181">
        <v>0.9</v>
      </c>
      <c r="I1181">
        <v>37</v>
      </c>
      <c r="J1181">
        <v>0</v>
      </c>
      <c r="K1181">
        <v>0</v>
      </c>
      <c r="L1181" t="s">
        <v>112</v>
      </c>
      <c r="M1181" t="s">
        <v>118</v>
      </c>
      <c r="N1181">
        <v>40</v>
      </c>
      <c r="O1181">
        <v>2</v>
      </c>
      <c r="P1181" t="s">
        <v>138</v>
      </c>
      <c r="Q1181">
        <v>40</v>
      </c>
      <c r="R1181">
        <v>0</v>
      </c>
      <c r="S1181">
        <v>0</v>
      </c>
      <c r="T1181">
        <v>0</v>
      </c>
      <c r="U1181" t="s">
        <v>1353</v>
      </c>
      <c r="V1181">
        <v>25</v>
      </c>
      <c r="W1181">
        <v>0</v>
      </c>
      <c r="X1181">
        <v>8</v>
      </c>
      <c r="Y1181">
        <v>0</v>
      </c>
      <c r="Z1181" t="s">
        <v>288</v>
      </c>
      <c r="AA1181">
        <v>1.65</v>
      </c>
      <c r="AB1181" t="s">
        <v>111</v>
      </c>
      <c r="AC1181">
        <v>0</v>
      </c>
      <c r="AD1181" t="s">
        <v>416</v>
      </c>
      <c r="AE1181">
        <v>1</v>
      </c>
      <c r="AF1181">
        <v>1</v>
      </c>
      <c r="AG1181">
        <v>30</v>
      </c>
      <c r="AH1181" t="s">
        <v>111</v>
      </c>
      <c r="AI1181">
        <v>30</v>
      </c>
      <c r="AJ1181" t="s">
        <v>111</v>
      </c>
      <c r="AK1181" t="s">
        <v>111</v>
      </c>
      <c r="AL1181" t="s">
        <v>111</v>
      </c>
      <c r="AM1181">
        <v>0</v>
      </c>
      <c r="AN1181">
        <v>0</v>
      </c>
      <c r="AO1181">
        <v>0</v>
      </c>
      <c r="AP1181" t="s">
        <v>147</v>
      </c>
      <c r="AQ1181" t="s">
        <v>111</v>
      </c>
      <c r="AR1181" t="s">
        <v>111</v>
      </c>
      <c r="AS1181" t="s">
        <v>111</v>
      </c>
      <c r="AT1181" t="s">
        <v>111</v>
      </c>
      <c r="AU1181" t="s">
        <v>111</v>
      </c>
      <c r="AV1181" t="s">
        <v>111</v>
      </c>
      <c r="AW1181" t="s">
        <v>111</v>
      </c>
      <c r="AX1181" t="s">
        <v>111</v>
      </c>
      <c r="AY1181" t="s">
        <v>111</v>
      </c>
      <c r="AZ1181" t="s">
        <v>111</v>
      </c>
      <c r="BA1181" t="s">
        <v>111</v>
      </c>
      <c r="BB1181" t="s">
        <v>111</v>
      </c>
      <c r="BC1181" t="s">
        <v>111</v>
      </c>
      <c r="BD1181" t="s">
        <v>111</v>
      </c>
      <c r="BE1181" t="s">
        <v>111</v>
      </c>
      <c r="BF1181" t="s">
        <v>111</v>
      </c>
      <c r="BG1181" t="s">
        <v>111</v>
      </c>
      <c r="BH1181" t="s">
        <v>111</v>
      </c>
      <c r="BI1181" t="s">
        <v>111</v>
      </c>
      <c r="BJ1181" t="s">
        <v>111</v>
      </c>
      <c r="BK1181" t="s">
        <v>111</v>
      </c>
      <c r="BL1181" t="s">
        <v>111</v>
      </c>
      <c r="BM1181" t="s">
        <v>111</v>
      </c>
      <c r="BN1181" t="s">
        <v>111</v>
      </c>
      <c r="BO1181" t="s">
        <v>111</v>
      </c>
      <c r="BP1181" t="s">
        <v>111</v>
      </c>
      <c r="BQ1181" t="s">
        <v>111</v>
      </c>
      <c r="BR1181" t="s">
        <v>111</v>
      </c>
      <c r="BS1181" t="s">
        <v>111</v>
      </c>
      <c r="BT1181" t="s">
        <v>111</v>
      </c>
      <c r="BU1181" t="s">
        <v>111</v>
      </c>
      <c r="BV1181" t="s">
        <v>111</v>
      </c>
      <c r="BW1181" t="s">
        <v>111</v>
      </c>
      <c r="BX1181" t="s">
        <v>111</v>
      </c>
      <c r="BY1181" t="s">
        <v>111</v>
      </c>
      <c r="BZ1181" t="s">
        <v>111</v>
      </c>
      <c r="CA1181" t="s">
        <v>111</v>
      </c>
      <c r="CB1181" t="s">
        <v>111</v>
      </c>
      <c r="CC1181" t="s">
        <v>111</v>
      </c>
      <c r="CD1181" t="s">
        <v>111</v>
      </c>
      <c r="CE1181" t="s">
        <v>111</v>
      </c>
      <c r="CF1181" t="s">
        <v>111</v>
      </c>
      <c r="CG1181" t="s">
        <v>111</v>
      </c>
      <c r="CH1181" t="s">
        <v>111</v>
      </c>
      <c r="CI1181" t="s">
        <v>111</v>
      </c>
      <c r="CJ1181" t="s">
        <v>111</v>
      </c>
      <c r="CK1181" t="s">
        <v>111</v>
      </c>
      <c r="CL1181" t="s">
        <v>153</v>
      </c>
      <c r="CM1181" t="s">
        <v>198</v>
      </c>
      <c r="CN1181" t="s">
        <v>128</v>
      </c>
      <c r="CO1181" t="s">
        <v>974</v>
      </c>
      <c r="CP1181" t="s">
        <v>433</v>
      </c>
      <c r="CQ1181">
        <v>0</v>
      </c>
      <c r="CR1181">
        <v>0</v>
      </c>
      <c r="CS1181">
        <v>0</v>
      </c>
      <c r="CT1181" t="s">
        <v>2850</v>
      </c>
      <c r="CU1181">
        <v>0</v>
      </c>
      <c r="CV1181" t="s">
        <v>111</v>
      </c>
      <c r="CW1181" t="s">
        <v>111</v>
      </c>
      <c r="CX1181" t="s">
        <v>111</v>
      </c>
      <c r="CY1181">
        <v>0</v>
      </c>
      <c r="CZ1181" t="s">
        <v>111</v>
      </c>
      <c r="DA1181" t="s">
        <v>111</v>
      </c>
      <c r="DB1181" t="s">
        <v>204</v>
      </c>
      <c r="DC1181" s="1" t="s">
        <v>1363</v>
      </c>
    </row>
    <row r="1182" spans="1:107">
      <c r="A1182">
        <v>1009</v>
      </c>
      <c r="B1182" t="s">
        <v>107</v>
      </c>
      <c r="C1182" t="s">
        <v>937</v>
      </c>
      <c r="D1182" t="s">
        <v>938</v>
      </c>
      <c r="E1182" t="s">
        <v>3222</v>
      </c>
      <c r="F1182" t="s">
        <v>431</v>
      </c>
      <c r="G1182" t="s">
        <v>416</v>
      </c>
      <c r="H1182">
        <v>3</v>
      </c>
      <c r="I1182">
        <v>54</v>
      </c>
      <c r="J1182">
        <v>0</v>
      </c>
      <c r="K1182">
        <v>0</v>
      </c>
      <c r="L1182" t="s">
        <v>117</v>
      </c>
      <c r="M1182" t="s">
        <v>118</v>
      </c>
      <c r="N1182">
        <v>390</v>
      </c>
      <c r="O1182">
        <v>1</v>
      </c>
      <c r="P1182" t="s">
        <v>118</v>
      </c>
      <c r="Q1182">
        <v>27</v>
      </c>
      <c r="R1182">
        <v>0</v>
      </c>
      <c r="S1182">
        <v>0</v>
      </c>
      <c r="T1182">
        <v>5</v>
      </c>
      <c r="U1182" t="s">
        <v>1511</v>
      </c>
      <c r="V1182">
        <v>25</v>
      </c>
      <c r="W1182">
        <v>0</v>
      </c>
      <c r="X1182">
        <v>8</v>
      </c>
      <c r="Y1182">
        <v>0</v>
      </c>
      <c r="Z1182" t="s">
        <v>111</v>
      </c>
      <c r="AA1182">
        <v>0</v>
      </c>
      <c r="AB1182" t="s">
        <v>940</v>
      </c>
      <c r="AC1182">
        <v>8</v>
      </c>
      <c r="AD1182" t="s">
        <v>416</v>
      </c>
      <c r="AE1182">
        <v>0</v>
      </c>
      <c r="AF1182">
        <v>0</v>
      </c>
      <c r="AG1182" t="s">
        <v>111</v>
      </c>
      <c r="AH1182" t="s">
        <v>111</v>
      </c>
      <c r="AI1182" t="s">
        <v>111</v>
      </c>
      <c r="AJ1182" t="s">
        <v>111</v>
      </c>
      <c r="AK1182" t="s">
        <v>111</v>
      </c>
      <c r="AL1182" t="s">
        <v>111</v>
      </c>
      <c r="AM1182">
        <v>0</v>
      </c>
      <c r="AN1182">
        <v>0</v>
      </c>
      <c r="AO1182">
        <v>0</v>
      </c>
      <c r="AP1182" t="s">
        <v>111</v>
      </c>
      <c r="AQ1182" t="s">
        <v>111</v>
      </c>
      <c r="AR1182" t="s">
        <v>111</v>
      </c>
      <c r="AS1182" t="s">
        <v>111</v>
      </c>
      <c r="AT1182" t="s">
        <v>111</v>
      </c>
      <c r="AU1182" t="s">
        <v>111</v>
      </c>
      <c r="AV1182" t="s">
        <v>111</v>
      </c>
      <c r="AW1182" t="s">
        <v>111</v>
      </c>
      <c r="AX1182" t="s">
        <v>111</v>
      </c>
      <c r="AY1182" t="s">
        <v>111</v>
      </c>
      <c r="AZ1182" t="s">
        <v>111</v>
      </c>
      <c r="BA1182" t="s">
        <v>111</v>
      </c>
      <c r="BB1182" t="s">
        <v>111</v>
      </c>
      <c r="BC1182" t="s">
        <v>111</v>
      </c>
      <c r="BD1182" t="s">
        <v>111</v>
      </c>
      <c r="BE1182" t="s">
        <v>111</v>
      </c>
      <c r="BF1182" t="s">
        <v>111</v>
      </c>
      <c r="BG1182" t="s">
        <v>111</v>
      </c>
      <c r="BH1182" t="s">
        <v>111</v>
      </c>
      <c r="BI1182" t="s">
        <v>111</v>
      </c>
      <c r="BJ1182" t="s">
        <v>111</v>
      </c>
      <c r="BK1182" t="s">
        <v>111</v>
      </c>
      <c r="BL1182" t="s">
        <v>111</v>
      </c>
      <c r="BM1182" t="s">
        <v>111</v>
      </c>
      <c r="BN1182" t="s">
        <v>111</v>
      </c>
      <c r="BO1182" t="s">
        <v>111</v>
      </c>
      <c r="BP1182" t="s">
        <v>111</v>
      </c>
      <c r="BQ1182" t="s">
        <v>111</v>
      </c>
      <c r="BR1182" t="s">
        <v>111</v>
      </c>
      <c r="BS1182" t="s">
        <v>111</v>
      </c>
      <c r="BT1182" t="s">
        <v>111</v>
      </c>
      <c r="BU1182" t="s">
        <v>111</v>
      </c>
      <c r="BV1182" t="s">
        <v>111</v>
      </c>
      <c r="BW1182" t="s">
        <v>111</v>
      </c>
      <c r="BX1182" t="s">
        <v>111</v>
      </c>
      <c r="BY1182" t="s">
        <v>111</v>
      </c>
      <c r="BZ1182" t="s">
        <v>111</v>
      </c>
      <c r="CA1182" t="s">
        <v>111</v>
      </c>
      <c r="CB1182" t="s">
        <v>111</v>
      </c>
      <c r="CC1182" t="s">
        <v>111</v>
      </c>
      <c r="CD1182" t="s">
        <v>111</v>
      </c>
      <c r="CE1182" t="s">
        <v>111</v>
      </c>
      <c r="CF1182" t="s">
        <v>111</v>
      </c>
      <c r="CG1182" t="s">
        <v>111</v>
      </c>
      <c r="CH1182" t="s">
        <v>111</v>
      </c>
      <c r="CI1182" t="s">
        <v>111</v>
      </c>
      <c r="CJ1182" t="s">
        <v>111</v>
      </c>
      <c r="CK1182" t="s">
        <v>111</v>
      </c>
      <c r="CL1182" t="s">
        <v>111</v>
      </c>
      <c r="CM1182" t="s">
        <v>135</v>
      </c>
      <c r="CN1182" t="s">
        <v>941</v>
      </c>
      <c r="CO1182" t="s">
        <v>885</v>
      </c>
      <c r="CP1182" t="e">
        <f>-MUESTRA</f>
        <v>#NAME?</v>
      </c>
      <c r="CQ1182">
        <v>40</v>
      </c>
      <c r="CR1182">
        <v>4000</v>
      </c>
      <c r="CS1182">
        <v>100</v>
      </c>
      <c r="CT1182" s="1" t="s">
        <v>3526</v>
      </c>
      <c r="CU1182">
        <v>0</v>
      </c>
      <c r="CV1182" t="s">
        <v>111</v>
      </c>
      <c r="CW1182" t="s">
        <v>111</v>
      </c>
      <c r="CX1182" t="s">
        <v>111</v>
      </c>
      <c r="CY1182">
        <v>0</v>
      </c>
      <c r="CZ1182" t="s">
        <v>111</v>
      </c>
      <c r="DA1182" t="s">
        <v>111</v>
      </c>
      <c r="DB1182" t="s">
        <v>111</v>
      </c>
      <c r="DC1182" t="s">
        <v>111</v>
      </c>
    </row>
    <row r="1183" spans="1:107">
      <c r="A1183">
        <v>364</v>
      </c>
      <c r="B1183" t="s">
        <v>162</v>
      </c>
      <c r="C1183" t="s">
        <v>333</v>
      </c>
      <c r="D1183" t="s">
        <v>3527</v>
      </c>
      <c r="E1183" t="s">
        <v>3528</v>
      </c>
      <c r="F1183" t="s">
        <v>404</v>
      </c>
      <c r="G1183" t="s">
        <v>416</v>
      </c>
      <c r="H1183">
        <v>0.5</v>
      </c>
      <c r="I1183">
        <v>45</v>
      </c>
      <c r="J1183">
        <v>0</v>
      </c>
      <c r="K1183">
        <v>0</v>
      </c>
      <c r="L1183" t="s">
        <v>112</v>
      </c>
      <c r="M1183" t="s">
        <v>138</v>
      </c>
      <c r="N1183">
        <v>0</v>
      </c>
      <c r="O1183">
        <v>0</v>
      </c>
      <c r="P1183" t="s">
        <v>138</v>
      </c>
      <c r="Q1183">
        <v>30</v>
      </c>
      <c r="R1183">
        <v>0</v>
      </c>
      <c r="S1183">
        <v>0</v>
      </c>
      <c r="T1183">
        <v>0</v>
      </c>
      <c r="U1183" t="s">
        <v>153</v>
      </c>
      <c r="V1183">
        <v>25</v>
      </c>
      <c r="W1183">
        <v>0</v>
      </c>
      <c r="X1183">
        <v>9</v>
      </c>
      <c r="Y1183">
        <v>0</v>
      </c>
      <c r="Z1183" t="s">
        <v>366</v>
      </c>
      <c r="AA1183">
        <v>1.7</v>
      </c>
      <c r="AB1183" t="s">
        <v>111</v>
      </c>
      <c r="AC1183">
        <v>0</v>
      </c>
      <c r="AD1183" t="s">
        <v>111</v>
      </c>
      <c r="AE1183">
        <v>0</v>
      </c>
      <c r="AF1183">
        <v>0</v>
      </c>
      <c r="AG1183" t="s">
        <v>111</v>
      </c>
      <c r="AH1183" t="s">
        <v>111</v>
      </c>
      <c r="AI1183" t="s">
        <v>111</v>
      </c>
      <c r="AJ1183" t="s">
        <v>111</v>
      </c>
      <c r="AK1183" t="s">
        <v>111</v>
      </c>
      <c r="AL1183" t="s">
        <v>111</v>
      </c>
      <c r="AM1183">
        <v>0</v>
      </c>
      <c r="AN1183">
        <v>0</v>
      </c>
      <c r="AO1183">
        <v>0</v>
      </c>
      <c r="AP1183" t="s">
        <v>111</v>
      </c>
      <c r="AQ1183" t="s">
        <v>111</v>
      </c>
      <c r="AR1183" t="s">
        <v>111</v>
      </c>
      <c r="AS1183" t="s">
        <v>111</v>
      </c>
      <c r="AT1183" t="s">
        <v>111</v>
      </c>
      <c r="AU1183" t="s">
        <v>111</v>
      </c>
      <c r="AV1183" t="s">
        <v>111</v>
      </c>
      <c r="AW1183" t="s">
        <v>111</v>
      </c>
      <c r="AX1183" t="s">
        <v>111</v>
      </c>
      <c r="AY1183" t="s">
        <v>111</v>
      </c>
      <c r="AZ1183" t="s">
        <v>111</v>
      </c>
      <c r="BA1183" t="s">
        <v>111</v>
      </c>
      <c r="BB1183" t="s">
        <v>111</v>
      </c>
      <c r="BC1183" t="s">
        <v>111</v>
      </c>
      <c r="BD1183" t="s">
        <v>111</v>
      </c>
      <c r="BE1183" t="s">
        <v>111</v>
      </c>
      <c r="BF1183" t="s">
        <v>111</v>
      </c>
      <c r="BG1183" t="s">
        <v>111</v>
      </c>
      <c r="BH1183" t="s">
        <v>111</v>
      </c>
      <c r="BI1183" t="s">
        <v>111</v>
      </c>
      <c r="BJ1183" t="s">
        <v>111</v>
      </c>
      <c r="BK1183" t="s">
        <v>111</v>
      </c>
      <c r="BL1183" t="s">
        <v>111</v>
      </c>
      <c r="BM1183" t="s">
        <v>111</v>
      </c>
      <c r="BN1183" t="s">
        <v>111</v>
      </c>
      <c r="BO1183" t="s">
        <v>111</v>
      </c>
      <c r="BP1183" t="s">
        <v>111</v>
      </c>
      <c r="BQ1183" t="s">
        <v>111</v>
      </c>
      <c r="BR1183" t="s">
        <v>111</v>
      </c>
      <c r="BS1183" t="s">
        <v>111</v>
      </c>
      <c r="BT1183" t="s">
        <v>111</v>
      </c>
      <c r="BU1183" t="s">
        <v>111</v>
      </c>
      <c r="BV1183" t="s">
        <v>111</v>
      </c>
      <c r="BW1183" t="s">
        <v>111</v>
      </c>
      <c r="BX1183" t="s">
        <v>111</v>
      </c>
      <c r="BY1183" t="s">
        <v>111</v>
      </c>
      <c r="BZ1183" t="s">
        <v>111</v>
      </c>
      <c r="CA1183" t="s">
        <v>111</v>
      </c>
      <c r="CB1183" t="s">
        <v>111</v>
      </c>
      <c r="CC1183" t="s">
        <v>111</v>
      </c>
      <c r="CD1183" t="s">
        <v>111</v>
      </c>
      <c r="CE1183" t="s">
        <v>111</v>
      </c>
      <c r="CF1183" t="s">
        <v>111</v>
      </c>
      <c r="CG1183" t="s">
        <v>111</v>
      </c>
      <c r="CH1183" t="s">
        <v>111</v>
      </c>
      <c r="CI1183" t="s">
        <v>111</v>
      </c>
      <c r="CJ1183" t="s">
        <v>111</v>
      </c>
      <c r="CK1183" t="s">
        <v>111</v>
      </c>
      <c r="CL1183" t="s">
        <v>111</v>
      </c>
      <c r="CM1183" t="s">
        <v>198</v>
      </c>
      <c r="CN1183" t="s">
        <v>113</v>
      </c>
      <c r="CO1183" t="s">
        <v>111</v>
      </c>
      <c r="CP1183" t="s">
        <v>111</v>
      </c>
      <c r="CQ1183">
        <v>0</v>
      </c>
      <c r="CR1183">
        <v>0</v>
      </c>
      <c r="CS1183">
        <v>0</v>
      </c>
      <c r="CT1183" t="s">
        <v>168</v>
      </c>
      <c r="CU1183">
        <v>0</v>
      </c>
      <c r="CV1183" t="s">
        <v>111</v>
      </c>
      <c r="CW1183" t="s">
        <v>111</v>
      </c>
      <c r="CX1183" t="s">
        <v>111</v>
      </c>
      <c r="CY1183">
        <v>0</v>
      </c>
      <c r="CZ1183" t="s">
        <v>111</v>
      </c>
      <c r="DA1183" t="s">
        <v>111</v>
      </c>
      <c r="DB1183" t="s">
        <v>111</v>
      </c>
      <c r="DC1183" t="s">
        <v>111</v>
      </c>
    </row>
    <row r="1184" spans="1:107">
      <c r="A1184">
        <v>170</v>
      </c>
      <c r="B1184" t="s">
        <v>162</v>
      </c>
      <c r="C1184" t="s">
        <v>831</v>
      </c>
      <c r="D1184" t="s">
        <v>3033</v>
      </c>
      <c r="E1184" t="s">
        <v>3529</v>
      </c>
      <c r="F1184" t="s">
        <v>125</v>
      </c>
      <c r="G1184" t="s">
        <v>416</v>
      </c>
      <c r="H1184">
        <v>1.8</v>
      </c>
      <c r="I1184">
        <v>59</v>
      </c>
      <c r="J1184">
        <v>0</v>
      </c>
      <c r="K1184">
        <v>0</v>
      </c>
      <c r="L1184" t="s">
        <v>112</v>
      </c>
      <c r="M1184" t="s">
        <v>138</v>
      </c>
      <c r="N1184">
        <v>0</v>
      </c>
      <c r="O1184">
        <v>0</v>
      </c>
      <c r="P1184" t="s">
        <v>138</v>
      </c>
      <c r="Q1184">
        <v>40</v>
      </c>
      <c r="R1184">
        <v>0</v>
      </c>
      <c r="S1184">
        <v>0</v>
      </c>
      <c r="T1184">
        <v>0</v>
      </c>
      <c r="U1184" t="s">
        <v>153</v>
      </c>
      <c r="V1184">
        <v>0</v>
      </c>
      <c r="W1184">
        <v>0</v>
      </c>
      <c r="X1184">
        <v>1</v>
      </c>
      <c r="Y1184">
        <v>0</v>
      </c>
      <c r="Z1184" t="s">
        <v>111</v>
      </c>
      <c r="AA1184">
        <v>0</v>
      </c>
      <c r="AB1184" t="s">
        <v>111</v>
      </c>
      <c r="AC1184">
        <v>0</v>
      </c>
      <c r="AD1184" t="s">
        <v>111</v>
      </c>
      <c r="AE1184">
        <v>0</v>
      </c>
      <c r="AF1184">
        <v>0</v>
      </c>
      <c r="AG1184" t="s">
        <v>111</v>
      </c>
      <c r="AH1184" t="s">
        <v>111</v>
      </c>
      <c r="AI1184" t="s">
        <v>111</v>
      </c>
      <c r="AJ1184" t="s">
        <v>111</v>
      </c>
      <c r="AK1184" t="s">
        <v>111</v>
      </c>
      <c r="AL1184" t="s">
        <v>111</v>
      </c>
      <c r="AM1184">
        <v>0</v>
      </c>
      <c r="AN1184">
        <v>0</v>
      </c>
      <c r="AO1184">
        <v>0</v>
      </c>
      <c r="AP1184" t="s">
        <v>111</v>
      </c>
      <c r="AQ1184" t="s">
        <v>111</v>
      </c>
      <c r="AR1184" t="s">
        <v>111</v>
      </c>
      <c r="AS1184" t="s">
        <v>111</v>
      </c>
      <c r="AT1184" t="s">
        <v>111</v>
      </c>
      <c r="AU1184" t="s">
        <v>111</v>
      </c>
      <c r="AV1184" t="s">
        <v>111</v>
      </c>
      <c r="AW1184" t="s">
        <v>111</v>
      </c>
      <c r="AX1184" t="s">
        <v>111</v>
      </c>
      <c r="AY1184" t="s">
        <v>111</v>
      </c>
      <c r="AZ1184" t="s">
        <v>111</v>
      </c>
      <c r="BA1184" t="s">
        <v>111</v>
      </c>
      <c r="BB1184" t="s">
        <v>111</v>
      </c>
      <c r="BC1184" t="s">
        <v>111</v>
      </c>
      <c r="BD1184" t="s">
        <v>111</v>
      </c>
      <c r="BE1184" t="s">
        <v>111</v>
      </c>
      <c r="BF1184" t="s">
        <v>111</v>
      </c>
      <c r="BG1184" t="s">
        <v>111</v>
      </c>
      <c r="BH1184" t="s">
        <v>111</v>
      </c>
      <c r="BI1184" t="s">
        <v>111</v>
      </c>
      <c r="BJ1184" t="s">
        <v>111</v>
      </c>
      <c r="BK1184" t="s">
        <v>111</v>
      </c>
      <c r="BL1184" t="s">
        <v>111</v>
      </c>
      <c r="BM1184" t="s">
        <v>111</v>
      </c>
      <c r="BN1184" t="s">
        <v>111</v>
      </c>
      <c r="BO1184" t="s">
        <v>111</v>
      </c>
      <c r="BP1184" t="s">
        <v>111</v>
      </c>
      <c r="BQ1184" t="s">
        <v>111</v>
      </c>
      <c r="BR1184" t="s">
        <v>111</v>
      </c>
      <c r="BS1184" t="s">
        <v>111</v>
      </c>
      <c r="BT1184" t="s">
        <v>111</v>
      </c>
      <c r="BU1184" t="s">
        <v>111</v>
      </c>
      <c r="BV1184" t="s">
        <v>111</v>
      </c>
      <c r="BW1184" t="s">
        <v>111</v>
      </c>
      <c r="BX1184" t="s">
        <v>111</v>
      </c>
      <c r="BY1184" t="s">
        <v>111</v>
      </c>
      <c r="BZ1184" t="s">
        <v>111</v>
      </c>
      <c r="CA1184" t="s">
        <v>111</v>
      </c>
      <c r="CB1184" t="s">
        <v>111</v>
      </c>
      <c r="CC1184" t="s">
        <v>111</v>
      </c>
      <c r="CD1184" t="s">
        <v>111</v>
      </c>
      <c r="CE1184" t="s">
        <v>111</v>
      </c>
      <c r="CF1184" t="s">
        <v>111</v>
      </c>
      <c r="CG1184" t="s">
        <v>111</v>
      </c>
      <c r="CH1184" t="s">
        <v>111</v>
      </c>
      <c r="CI1184" t="s">
        <v>111</v>
      </c>
      <c r="CJ1184" t="s">
        <v>111</v>
      </c>
      <c r="CK1184" t="s">
        <v>111</v>
      </c>
      <c r="CL1184" t="s">
        <v>111</v>
      </c>
      <c r="CM1184" t="s">
        <v>198</v>
      </c>
      <c r="CN1184" t="s">
        <v>128</v>
      </c>
      <c r="CO1184" t="s">
        <v>222</v>
      </c>
      <c r="CP1184" t="s">
        <v>111</v>
      </c>
      <c r="CQ1184">
        <v>0</v>
      </c>
      <c r="CR1184">
        <v>0</v>
      </c>
      <c r="CS1184">
        <v>0</v>
      </c>
      <c r="CT1184" t="s">
        <v>168</v>
      </c>
      <c r="CU1184">
        <v>0</v>
      </c>
      <c r="CV1184" t="s">
        <v>111</v>
      </c>
      <c r="CW1184" t="s">
        <v>111</v>
      </c>
      <c r="CX1184" t="s">
        <v>111</v>
      </c>
      <c r="CY1184">
        <v>0</v>
      </c>
      <c r="CZ1184" t="s">
        <v>111</v>
      </c>
      <c r="DA1184" t="s">
        <v>111</v>
      </c>
      <c r="DB1184" t="s">
        <v>111</v>
      </c>
      <c r="DC1184" t="s">
        <v>111</v>
      </c>
    </row>
    <row r="1185" spans="1:107">
      <c r="A1185">
        <v>334</v>
      </c>
      <c r="B1185" t="s">
        <v>162</v>
      </c>
      <c r="C1185" t="s">
        <v>638</v>
      </c>
      <c r="D1185" t="s">
        <v>3530</v>
      </c>
      <c r="E1185" t="s">
        <v>3531</v>
      </c>
      <c r="F1185" t="s">
        <v>192</v>
      </c>
      <c r="G1185" t="s">
        <v>416</v>
      </c>
      <c r="H1185">
        <v>1.8</v>
      </c>
      <c r="I1185">
        <v>36</v>
      </c>
      <c r="J1185">
        <v>0</v>
      </c>
      <c r="K1185">
        <v>0</v>
      </c>
      <c r="L1185" t="s">
        <v>112</v>
      </c>
      <c r="M1185" t="s">
        <v>138</v>
      </c>
      <c r="N1185">
        <v>0</v>
      </c>
      <c r="O1185">
        <v>0</v>
      </c>
      <c r="P1185" t="s">
        <v>138</v>
      </c>
      <c r="Q1185">
        <v>30</v>
      </c>
      <c r="R1185">
        <v>0</v>
      </c>
      <c r="S1185">
        <v>0</v>
      </c>
      <c r="T1185">
        <v>0</v>
      </c>
      <c r="U1185" t="s">
        <v>168</v>
      </c>
      <c r="V1185">
        <v>0</v>
      </c>
      <c r="W1185">
        <v>25</v>
      </c>
      <c r="X1185">
        <v>8</v>
      </c>
      <c r="Y1185">
        <v>0</v>
      </c>
      <c r="Z1185" t="s">
        <v>111</v>
      </c>
      <c r="AA1185">
        <v>0</v>
      </c>
      <c r="AB1185" t="s">
        <v>111</v>
      </c>
      <c r="AC1185">
        <v>0</v>
      </c>
      <c r="AD1185" t="s">
        <v>111</v>
      </c>
      <c r="AE1185">
        <v>0</v>
      </c>
      <c r="AF1185">
        <v>0</v>
      </c>
      <c r="AG1185" t="s">
        <v>111</v>
      </c>
      <c r="AH1185" t="s">
        <v>111</v>
      </c>
      <c r="AI1185" t="s">
        <v>111</v>
      </c>
      <c r="AJ1185" t="s">
        <v>111</v>
      </c>
      <c r="AK1185" t="s">
        <v>111</v>
      </c>
      <c r="AL1185" t="s">
        <v>111</v>
      </c>
      <c r="AM1185">
        <v>0</v>
      </c>
      <c r="AN1185">
        <v>0</v>
      </c>
      <c r="AO1185">
        <v>0</v>
      </c>
      <c r="AP1185" t="s">
        <v>111</v>
      </c>
      <c r="AQ1185" t="s">
        <v>111</v>
      </c>
      <c r="AR1185" t="s">
        <v>111</v>
      </c>
      <c r="AS1185" t="s">
        <v>111</v>
      </c>
      <c r="AT1185" t="s">
        <v>111</v>
      </c>
      <c r="AU1185" t="s">
        <v>111</v>
      </c>
      <c r="AV1185" t="s">
        <v>111</v>
      </c>
      <c r="AW1185" t="s">
        <v>111</v>
      </c>
      <c r="AX1185" t="s">
        <v>111</v>
      </c>
      <c r="AY1185" t="s">
        <v>111</v>
      </c>
      <c r="AZ1185" t="s">
        <v>111</v>
      </c>
      <c r="BA1185" t="s">
        <v>111</v>
      </c>
      <c r="BB1185" t="s">
        <v>111</v>
      </c>
      <c r="BC1185" t="s">
        <v>111</v>
      </c>
      <c r="BD1185" t="s">
        <v>111</v>
      </c>
      <c r="BE1185" t="s">
        <v>111</v>
      </c>
      <c r="BF1185" t="s">
        <v>111</v>
      </c>
      <c r="BG1185" t="s">
        <v>111</v>
      </c>
      <c r="BH1185" t="s">
        <v>111</v>
      </c>
      <c r="BI1185" t="s">
        <v>111</v>
      </c>
      <c r="BJ1185" t="s">
        <v>111</v>
      </c>
      <c r="BK1185" t="s">
        <v>111</v>
      </c>
      <c r="BL1185" t="s">
        <v>111</v>
      </c>
      <c r="BM1185" t="s">
        <v>111</v>
      </c>
      <c r="BN1185" t="s">
        <v>111</v>
      </c>
      <c r="BO1185" t="s">
        <v>111</v>
      </c>
      <c r="BP1185" t="s">
        <v>111</v>
      </c>
      <c r="BQ1185" t="s">
        <v>111</v>
      </c>
      <c r="BR1185" t="s">
        <v>111</v>
      </c>
      <c r="BS1185" t="s">
        <v>111</v>
      </c>
      <c r="BT1185" t="s">
        <v>111</v>
      </c>
      <c r="BU1185" t="s">
        <v>111</v>
      </c>
      <c r="BV1185" t="s">
        <v>111</v>
      </c>
      <c r="BW1185" t="s">
        <v>111</v>
      </c>
      <c r="BX1185" t="s">
        <v>111</v>
      </c>
      <c r="BY1185" t="s">
        <v>111</v>
      </c>
      <c r="BZ1185" t="s">
        <v>111</v>
      </c>
      <c r="CA1185" t="s">
        <v>111</v>
      </c>
      <c r="CB1185" t="s">
        <v>111</v>
      </c>
      <c r="CC1185" t="s">
        <v>111</v>
      </c>
      <c r="CD1185" t="s">
        <v>111</v>
      </c>
      <c r="CE1185" t="s">
        <v>111</v>
      </c>
      <c r="CF1185" t="s">
        <v>111</v>
      </c>
      <c r="CG1185" t="s">
        <v>111</v>
      </c>
      <c r="CH1185" t="s">
        <v>111</v>
      </c>
      <c r="CI1185" t="s">
        <v>111</v>
      </c>
      <c r="CJ1185" t="s">
        <v>111</v>
      </c>
      <c r="CK1185" t="s">
        <v>111</v>
      </c>
      <c r="CL1185" t="s">
        <v>111</v>
      </c>
      <c r="CM1185" t="s">
        <v>198</v>
      </c>
      <c r="CN1185" t="s">
        <v>128</v>
      </c>
      <c r="CO1185" t="s">
        <v>111</v>
      </c>
      <c r="CP1185" t="s">
        <v>111</v>
      </c>
      <c r="CQ1185">
        <v>0</v>
      </c>
      <c r="CR1185">
        <v>0</v>
      </c>
      <c r="CS1185">
        <v>0</v>
      </c>
      <c r="CT1185" t="s">
        <v>168</v>
      </c>
      <c r="CU1185">
        <v>0</v>
      </c>
      <c r="CV1185" t="s">
        <v>111</v>
      </c>
      <c r="CW1185" t="s">
        <v>111</v>
      </c>
      <c r="CX1185" t="s">
        <v>111</v>
      </c>
      <c r="CY1185">
        <v>0</v>
      </c>
      <c r="CZ1185" t="s">
        <v>111</v>
      </c>
      <c r="DA1185" t="s">
        <v>111</v>
      </c>
      <c r="DB1185" t="s">
        <v>111</v>
      </c>
      <c r="DC1185" t="s">
        <v>111</v>
      </c>
    </row>
    <row r="1186" spans="1:107">
      <c r="A1186">
        <v>253</v>
      </c>
      <c r="B1186" t="s">
        <v>162</v>
      </c>
      <c r="C1186" t="s">
        <v>347</v>
      </c>
      <c r="D1186" t="s">
        <v>3532</v>
      </c>
      <c r="E1186" t="s">
        <v>3533</v>
      </c>
      <c r="F1186" t="s">
        <v>431</v>
      </c>
      <c r="G1186" t="s">
        <v>416</v>
      </c>
      <c r="H1186">
        <v>4.8</v>
      </c>
      <c r="I1186">
        <v>30</v>
      </c>
      <c r="J1186">
        <v>0</v>
      </c>
      <c r="K1186">
        <v>0</v>
      </c>
      <c r="L1186" t="s">
        <v>112</v>
      </c>
      <c r="M1186" t="s">
        <v>118</v>
      </c>
      <c r="N1186">
        <v>40</v>
      </c>
      <c r="O1186">
        <v>1</v>
      </c>
      <c r="P1186" t="s">
        <v>138</v>
      </c>
      <c r="Q1186">
        <v>35</v>
      </c>
      <c r="R1186">
        <v>0</v>
      </c>
      <c r="S1186">
        <v>0</v>
      </c>
      <c r="T1186">
        <v>0</v>
      </c>
      <c r="U1186" t="s">
        <v>1353</v>
      </c>
      <c r="V1186">
        <v>0</v>
      </c>
      <c r="W1186">
        <v>25</v>
      </c>
      <c r="X1186">
        <v>12.5</v>
      </c>
      <c r="Y1186">
        <v>0</v>
      </c>
      <c r="Z1186" t="s">
        <v>288</v>
      </c>
      <c r="AA1186">
        <v>1.87</v>
      </c>
      <c r="AB1186" t="s">
        <v>111</v>
      </c>
      <c r="AC1186">
        <v>0</v>
      </c>
      <c r="AD1186" t="s">
        <v>416</v>
      </c>
      <c r="AE1186">
        <v>2</v>
      </c>
      <c r="AF1186">
        <v>2</v>
      </c>
      <c r="AG1186">
        <v>40</v>
      </c>
      <c r="AH1186" t="s">
        <v>111</v>
      </c>
      <c r="AI1186">
        <v>40</v>
      </c>
      <c r="AJ1186" t="s">
        <v>111</v>
      </c>
      <c r="AK1186" t="s">
        <v>111</v>
      </c>
      <c r="AL1186" t="s">
        <v>111</v>
      </c>
      <c r="AM1186">
        <v>0</v>
      </c>
      <c r="AN1186">
        <v>0</v>
      </c>
      <c r="AO1186">
        <v>0</v>
      </c>
      <c r="AP1186" t="s">
        <v>111</v>
      </c>
      <c r="AQ1186" t="s">
        <v>111</v>
      </c>
      <c r="AR1186" t="s">
        <v>111</v>
      </c>
      <c r="AS1186" t="s">
        <v>111</v>
      </c>
      <c r="AT1186" t="s">
        <v>111</v>
      </c>
      <c r="AU1186" t="s">
        <v>111</v>
      </c>
      <c r="AV1186" t="s">
        <v>111</v>
      </c>
      <c r="AW1186" t="s">
        <v>111</v>
      </c>
      <c r="AX1186" t="s">
        <v>111</v>
      </c>
      <c r="AY1186" t="s">
        <v>111</v>
      </c>
      <c r="AZ1186" t="s">
        <v>111</v>
      </c>
      <c r="BA1186" t="s">
        <v>111</v>
      </c>
      <c r="BB1186" t="s">
        <v>111</v>
      </c>
      <c r="BC1186" t="s">
        <v>111</v>
      </c>
      <c r="BD1186" t="s">
        <v>111</v>
      </c>
      <c r="BE1186" t="s">
        <v>111</v>
      </c>
      <c r="BF1186" t="s">
        <v>111</v>
      </c>
      <c r="BG1186" t="s">
        <v>111</v>
      </c>
      <c r="BH1186" t="s">
        <v>111</v>
      </c>
      <c r="BI1186" t="s">
        <v>111</v>
      </c>
      <c r="BJ1186" t="s">
        <v>111</v>
      </c>
      <c r="BK1186" t="s">
        <v>111</v>
      </c>
      <c r="BL1186" t="s">
        <v>111</v>
      </c>
      <c r="BM1186" t="s">
        <v>111</v>
      </c>
      <c r="BN1186" t="s">
        <v>111</v>
      </c>
      <c r="BO1186" t="s">
        <v>111</v>
      </c>
      <c r="BP1186" t="s">
        <v>111</v>
      </c>
      <c r="BQ1186" t="s">
        <v>111</v>
      </c>
      <c r="BR1186" t="s">
        <v>111</v>
      </c>
      <c r="BS1186" t="s">
        <v>111</v>
      </c>
      <c r="BT1186" t="s">
        <v>111</v>
      </c>
      <c r="BU1186" t="s">
        <v>111</v>
      </c>
      <c r="BV1186" t="s">
        <v>111</v>
      </c>
      <c r="BW1186" t="s">
        <v>111</v>
      </c>
      <c r="BX1186" t="s">
        <v>111</v>
      </c>
      <c r="BY1186" t="s">
        <v>111</v>
      </c>
      <c r="BZ1186" t="s">
        <v>111</v>
      </c>
      <c r="CA1186" t="s">
        <v>111</v>
      </c>
      <c r="CB1186" t="s">
        <v>111</v>
      </c>
      <c r="CC1186" t="s">
        <v>111</v>
      </c>
      <c r="CD1186" t="s">
        <v>111</v>
      </c>
      <c r="CE1186" t="s">
        <v>111</v>
      </c>
      <c r="CF1186" t="s">
        <v>111</v>
      </c>
      <c r="CG1186" t="s">
        <v>111</v>
      </c>
      <c r="CH1186" t="s">
        <v>111</v>
      </c>
      <c r="CI1186" t="s">
        <v>111</v>
      </c>
      <c r="CJ1186" t="s">
        <v>111</v>
      </c>
      <c r="CK1186" t="s">
        <v>111</v>
      </c>
      <c r="CL1186" t="s">
        <v>153</v>
      </c>
      <c r="CM1186" t="s">
        <v>198</v>
      </c>
      <c r="CN1186" t="s">
        <v>128</v>
      </c>
      <c r="CO1186" t="s">
        <v>111</v>
      </c>
      <c r="CP1186" t="s">
        <v>433</v>
      </c>
      <c r="CQ1186">
        <v>0</v>
      </c>
      <c r="CR1186">
        <v>0</v>
      </c>
      <c r="CS1186">
        <v>0</v>
      </c>
      <c r="CT1186" t="s">
        <v>168</v>
      </c>
      <c r="CU1186">
        <v>0</v>
      </c>
      <c r="CV1186" t="s">
        <v>111</v>
      </c>
      <c r="CW1186" t="s">
        <v>111</v>
      </c>
      <c r="CX1186" t="s">
        <v>111</v>
      </c>
      <c r="CY1186">
        <v>0</v>
      </c>
      <c r="CZ1186" t="s">
        <v>111</v>
      </c>
      <c r="DA1186" t="s">
        <v>111</v>
      </c>
      <c r="DB1186" t="s">
        <v>111</v>
      </c>
      <c r="DC1186" t="s">
        <v>111</v>
      </c>
    </row>
    <row r="1187" spans="1:107">
      <c r="A1187">
        <v>160</v>
      </c>
      <c r="B1187" t="s">
        <v>162</v>
      </c>
      <c r="C1187" t="s">
        <v>3319</v>
      </c>
      <c r="D1187" t="s">
        <v>3392</v>
      </c>
      <c r="E1187" t="s">
        <v>3534</v>
      </c>
      <c r="F1187" t="s">
        <v>125</v>
      </c>
      <c r="G1187" t="s">
        <v>416</v>
      </c>
      <c r="H1187">
        <v>0.8</v>
      </c>
      <c r="I1187">
        <v>64</v>
      </c>
      <c r="J1187">
        <v>0</v>
      </c>
      <c r="K1187">
        <v>0</v>
      </c>
      <c r="L1187" t="s">
        <v>112</v>
      </c>
      <c r="M1187" t="s">
        <v>138</v>
      </c>
      <c r="N1187">
        <v>0</v>
      </c>
      <c r="O1187">
        <v>0</v>
      </c>
      <c r="P1187" t="s">
        <v>138</v>
      </c>
      <c r="Q1187">
        <v>40</v>
      </c>
      <c r="R1187">
        <v>0</v>
      </c>
      <c r="S1187">
        <v>0</v>
      </c>
      <c r="T1187">
        <v>0</v>
      </c>
      <c r="U1187" t="s">
        <v>203</v>
      </c>
      <c r="V1187">
        <v>25</v>
      </c>
      <c r="W1187">
        <v>0</v>
      </c>
      <c r="X1187">
        <v>8</v>
      </c>
      <c r="Y1187">
        <v>0</v>
      </c>
      <c r="Z1187" t="s">
        <v>111</v>
      </c>
      <c r="AA1187">
        <v>0</v>
      </c>
      <c r="AB1187" t="s">
        <v>111</v>
      </c>
      <c r="AC1187">
        <v>0</v>
      </c>
      <c r="AD1187" t="s">
        <v>111</v>
      </c>
      <c r="AE1187">
        <v>0</v>
      </c>
      <c r="AF1187">
        <v>0</v>
      </c>
      <c r="AG1187" t="s">
        <v>111</v>
      </c>
      <c r="AH1187" t="s">
        <v>111</v>
      </c>
      <c r="AI1187" t="s">
        <v>111</v>
      </c>
      <c r="AJ1187" t="s">
        <v>111</v>
      </c>
      <c r="AK1187" t="s">
        <v>111</v>
      </c>
      <c r="AL1187" t="s">
        <v>111</v>
      </c>
      <c r="AM1187">
        <v>0</v>
      </c>
      <c r="AN1187">
        <v>0</v>
      </c>
      <c r="AO1187">
        <v>0</v>
      </c>
      <c r="AP1187" t="s">
        <v>111</v>
      </c>
      <c r="AQ1187" t="s">
        <v>111</v>
      </c>
      <c r="AR1187" t="s">
        <v>111</v>
      </c>
      <c r="AS1187" t="s">
        <v>111</v>
      </c>
      <c r="AT1187" t="s">
        <v>111</v>
      </c>
      <c r="AU1187" t="s">
        <v>111</v>
      </c>
      <c r="AV1187" t="s">
        <v>111</v>
      </c>
      <c r="AW1187" t="s">
        <v>111</v>
      </c>
      <c r="AX1187" t="s">
        <v>111</v>
      </c>
      <c r="AY1187" t="s">
        <v>111</v>
      </c>
      <c r="AZ1187" t="s">
        <v>111</v>
      </c>
      <c r="BA1187" t="s">
        <v>111</v>
      </c>
      <c r="BB1187" t="s">
        <v>111</v>
      </c>
      <c r="BC1187" t="s">
        <v>111</v>
      </c>
      <c r="BD1187" t="s">
        <v>111</v>
      </c>
      <c r="BE1187" t="s">
        <v>111</v>
      </c>
      <c r="BF1187" t="s">
        <v>111</v>
      </c>
      <c r="BG1187" t="s">
        <v>111</v>
      </c>
      <c r="BH1187" t="s">
        <v>111</v>
      </c>
      <c r="BI1187" t="s">
        <v>111</v>
      </c>
      <c r="BJ1187" t="s">
        <v>111</v>
      </c>
      <c r="BK1187" t="s">
        <v>111</v>
      </c>
      <c r="BL1187" t="s">
        <v>111</v>
      </c>
      <c r="BM1187" t="s">
        <v>111</v>
      </c>
      <c r="BN1187" t="s">
        <v>111</v>
      </c>
      <c r="BO1187" t="s">
        <v>111</v>
      </c>
      <c r="BP1187" t="s">
        <v>111</v>
      </c>
      <c r="BQ1187" t="s">
        <v>111</v>
      </c>
      <c r="BR1187" t="s">
        <v>111</v>
      </c>
      <c r="BS1187" t="s">
        <v>111</v>
      </c>
      <c r="BT1187" t="s">
        <v>111</v>
      </c>
      <c r="BU1187" t="s">
        <v>111</v>
      </c>
      <c r="BV1187" t="s">
        <v>111</v>
      </c>
      <c r="BW1187" t="s">
        <v>111</v>
      </c>
      <c r="BX1187" t="s">
        <v>111</v>
      </c>
      <c r="BY1187" t="s">
        <v>111</v>
      </c>
      <c r="BZ1187" t="s">
        <v>111</v>
      </c>
      <c r="CA1187" t="s">
        <v>111</v>
      </c>
      <c r="CB1187" t="s">
        <v>111</v>
      </c>
      <c r="CC1187" t="s">
        <v>111</v>
      </c>
      <c r="CD1187" t="s">
        <v>111</v>
      </c>
      <c r="CE1187" t="s">
        <v>111</v>
      </c>
      <c r="CF1187" t="s">
        <v>111</v>
      </c>
      <c r="CG1187" t="s">
        <v>111</v>
      </c>
      <c r="CH1187" t="s">
        <v>111</v>
      </c>
      <c r="CI1187" t="s">
        <v>111</v>
      </c>
      <c r="CJ1187" t="s">
        <v>111</v>
      </c>
      <c r="CK1187" t="s">
        <v>111</v>
      </c>
      <c r="CL1187" t="s">
        <v>111</v>
      </c>
      <c r="CM1187" t="s">
        <v>111</v>
      </c>
      <c r="CN1187" t="s">
        <v>111</v>
      </c>
      <c r="CO1187" t="s">
        <v>111</v>
      </c>
      <c r="CP1187" t="s">
        <v>111</v>
      </c>
      <c r="CQ1187">
        <v>0</v>
      </c>
      <c r="CR1187">
        <v>0</v>
      </c>
      <c r="CS1187">
        <v>0</v>
      </c>
      <c r="CT1187" t="s">
        <v>111</v>
      </c>
      <c r="CU1187">
        <v>0</v>
      </c>
      <c r="CV1187" t="s">
        <v>111</v>
      </c>
      <c r="CW1187" t="s">
        <v>111</v>
      </c>
      <c r="CX1187" t="s">
        <v>111</v>
      </c>
      <c r="CY1187">
        <v>0</v>
      </c>
      <c r="CZ1187" t="s">
        <v>111</v>
      </c>
      <c r="DA1187" t="s">
        <v>111</v>
      </c>
      <c r="DB1187" t="s">
        <v>204</v>
      </c>
      <c r="DC1187" s="1" t="s">
        <v>205</v>
      </c>
    </row>
    <row r="1188" spans="1:107">
      <c r="A1188">
        <v>11</v>
      </c>
      <c r="B1188" t="s">
        <v>162</v>
      </c>
      <c r="C1188" t="s">
        <v>2952</v>
      </c>
      <c r="D1188" t="s">
        <v>3428</v>
      </c>
      <c r="E1188" t="s">
        <v>3535</v>
      </c>
      <c r="F1188" t="s">
        <v>1014</v>
      </c>
      <c r="G1188" t="s">
        <v>416</v>
      </c>
      <c r="H1188">
        <v>1.2</v>
      </c>
      <c r="I1188">
        <v>48</v>
      </c>
      <c r="J1188">
        <v>0</v>
      </c>
      <c r="K1188">
        <v>0</v>
      </c>
      <c r="L1188" t="s">
        <v>112</v>
      </c>
      <c r="M1188" t="s">
        <v>118</v>
      </c>
      <c r="N1188">
        <v>40</v>
      </c>
      <c r="O1188">
        <v>2</v>
      </c>
      <c r="P1188" t="s">
        <v>138</v>
      </c>
      <c r="Q1188">
        <v>30</v>
      </c>
      <c r="R1188">
        <v>0</v>
      </c>
      <c r="S1188">
        <v>0</v>
      </c>
      <c r="T1188">
        <v>0</v>
      </c>
      <c r="U1188" s="1" t="s">
        <v>3183</v>
      </c>
      <c r="V1188">
        <v>0</v>
      </c>
      <c r="W1188">
        <v>25</v>
      </c>
      <c r="X1188">
        <v>6</v>
      </c>
      <c r="Y1188">
        <v>0</v>
      </c>
      <c r="Z1188" t="s">
        <v>111</v>
      </c>
      <c r="AA1188">
        <v>0</v>
      </c>
      <c r="AB1188" t="s">
        <v>111</v>
      </c>
      <c r="AC1188">
        <v>0</v>
      </c>
      <c r="AD1188" t="s">
        <v>416</v>
      </c>
      <c r="AE1188">
        <v>1</v>
      </c>
      <c r="AF1188">
        <v>2</v>
      </c>
      <c r="AG1188">
        <v>92</v>
      </c>
      <c r="AH1188" t="s">
        <v>111</v>
      </c>
      <c r="AI1188">
        <v>46</v>
      </c>
      <c r="AJ1188" t="s">
        <v>111</v>
      </c>
      <c r="AK1188" t="s">
        <v>111</v>
      </c>
      <c r="AL1188" t="s">
        <v>111</v>
      </c>
      <c r="AM1188">
        <v>0</v>
      </c>
      <c r="AN1188">
        <v>0</v>
      </c>
      <c r="AO1188">
        <v>0</v>
      </c>
      <c r="AP1188" t="s">
        <v>111</v>
      </c>
      <c r="AQ1188" t="s">
        <v>111</v>
      </c>
      <c r="AR1188" t="s">
        <v>111</v>
      </c>
      <c r="AS1188" t="s">
        <v>111</v>
      </c>
      <c r="AT1188" t="s">
        <v>111</v>
      </c>
      <c r="AU1188" t="s">
        <v>111</v>
      </c>
      <c r="AV1188" t="s">
        <v>111</v>
      </c>
      <c r="AW1188" t="s">
        <v>111</v>
      </c>
      <c r="AX1188" t="s">
        <v>111</v>
      </c>
      <c r="AY1188" t="s">
        <v>111</v>
      </c>
      <c r="AZ1188" t="s">
        <v>111</v>
      </c>
      <c r="BA1188" t="s">
        <v>111</v>
      </c>
      <c r="BB1188" t="s">
        <v>111</v>
      </c>
      <c r="BC1188" t="s">
        <v>111</v>
      </c>
      <c r="BD1188" t="s">
        <v>111</v>
      </c>
      <c r="BE1188" t="s">
        <v>111</v>
      </c>
      <c r="BF1188" t="s">
        <v>111</v>
      </c>
      <c r="BG1188" t="s">
        <v>111</v>
      </c>
      <c r="BH1188" t="s">
        <v>111</v>
      </c>
      <c r="BI1188" t="s">
        <v>111</v>
      </c>
      <c r="BJ1188" t="s">
        <v>111</v>
      </c>
      <c r="BK1188" t="s">
        <v>111</v>
      </c>
      <c r="BL1188" t="s">
        <v>111</v>
      </c>
      <c r="BM1188" t="s">
        <v>111</v>
      </c>
      <c r="BN1188" t="s">
        <v>111</v>
      </c>
      <c r="BO1188" t="s">
        <v>111</v>
      </c>
      <c r="BP1188" t="s">
        <v>111</v>
      </c>
      <c r="BQ1188" t="s">
        <v>111</v>
      </c>
      <c r="BR1188" t="s">
        <v>111</v>
      </c>
      <c r="BS1188" t="s">
        <v>111</v>
      </c>
      <c r="BT1188" t="s">
        <v>111</v>
      </c>
      <c r="BU1188" t="s">
        <v>111</v>
      </c>
      <c r="BV1188" t="s">
        <v>111</v>
      </c>
      <c r="BW1188" t="s">
        <v>111</v>
      </c>
      <c r="BX1188" t="s">
        <v>111</v>
      </c>
      <c r="BY1188" t="s">
        <v>111</v>
      </c>
      <c r="BZ1188" t="s">
        <v>111</v>
      </c>
      <c r="CA1188" t="s">
        <v>111</v>
      </c>
      <c r="CB1188" t="s">
        <v>111</v>
      </c>
      <c r="CC1188" t="s">
        <v>111</v>
      </c>
      <c r="CD1188" t="s">
        <v>111</v>
      </c>
      <c r="CE1188" t="s">
        <v>111</v>
      </c>
      <c r="CF1188" t="s">
        <v>111</v>
      </c>
      <c r="CG1188" t="s">
        <v>111</v>
      </c>
      <c r="CH1188" t="s">
        <v>111</v>
      </c>
      <c r="CI1188" t="s">
        <v>111</v>
      </c>
      <c r="CJ1188" t="s">
        <v>111</v>
      </c>
      <c r="CK1188" t="s">
        <v>111</v>
      </c>
      <c r="CL1188" t="s">
        <v>153</v>
      </c>
      <c r="CM1188" t="s">
        <v>198</v>
      </c>
      <c r="CN1188" t="s">
        <v>128</v>
      </c>
      <c r="CO1188" t="s">
        <v>111</v>
      </c>
      <c r="CP1188" t="s">
        <v>433</v>
      </c>
      <c r="CQ1188">
        <v>0</v>
      </c>
      <c r="CR1188">
        <v>0</v>
      </c>
      <c r="CS1188">
        <v>0</v>
      </c>
      <c r="CT1188" t="s">
        <v>168</v>
      </c>
      <c r="CU1188">
        <v>0</v>
      </c>
      <c r="CV1188" t="s">
        <v>111</v>
      </c>
      <c r="CW1188" t="s">
        <v>111</v>
      </c>
      <c r="CX1188" t="s">
        <v>111</v>
      </c>
      <c r="CY1188">
        <v>0</v>
      </c>
      <c r="CZ1188" t="s">
        <v>111</v>
      </c>
      <c r="DA1188" t="s">
        <v>111</v>
      </c>
      <c r="DB1188" t="s">
        <v>111</v>
      </c>
      <c r="DC1188" t="s">
        <v>111</v>
      </c>
    </row>
    <row r="1189" spans="1:107">
      <c r="A1189">
        <v>333</v>
      </c>
      <c r="B1189" t="s">
        <v>162</v>
      </c>
      <c r="C1189" t="s">
        <v>638</v>
      </c>
      <c r="D1189" t="s">
        <v>3536</v>
      </c>
      <c r="E1189" t="s">
        <v>3537</v>
      </c>
      <c r="F1189" t="s">
        <v>192</v>
      </c>
      <c r="G1189" t="s">
        <v>416</v>
      </c>
      <c r="H1189">
        <v>1.8</v>
      </c>
      <c r="I1189">
        <v>36</v>
      </c>
      <c r="J1189">
        <v>0</v>
      </c>
      <c r="K1189">
        <v>0</v>
      </c>
      <c r="L1189" t="s">
        <v>112</v>
      </c>
      <c r="M1189" t="s">
        <v>138</v>
      </c>
      <c r="N1189">
        <v>0</v>
      </c>
      <c r="O1189">
        <v>0</v>
      </c>
      <c r="P1189" t="s">
        <v>138</v>
      </c>
      <c r="Q1189">
        <v>30</v>
      </c>
      <c r="R1189">
        <v>0</v>
      </c>
      <c r="S1189">
        <v>0</v>
      </c>
      <c r="T1189">
        <v>0</v>
      </c>
      <c r="U1189" t="s">
        <v>153</v>
      </c>
      <c r="V1189">
        <v>25</v>
      </c>
      <c r="W1189">
        <v>0</v>
      </c>
      <c r="X1189">
        <v>8</v>
      </c>
      <c r="Y1189">
        <v>0</v>
      </c>
      <c r="Z1189" t="s">
        <v>111</v>
      </c>
      <c r="AA1189">
        <v>0</v>
      </c>
      <c r="AB1189" t="s">
        <v>111</v>
      </c>
      <c r="AC1189">
        <v>0</v>
      </c>
      <c r="AD1189" t="s">
        <v>111</v>
      </c>
      <c r="AE1189">
        <v>0</v>
      </c>
      <c r="AF1189">
        <v>0</v>
      </c>
      <c r="AG1189" t="s">
        <v>111</v>
      </c>
      <c r="AH1189" t="s">
        <v>111</v>
      </c>
      <c r="AI1189" t="s">
        <v>111</v>
      </c>
      <c r="AJ1189" t="s">
        <v>111</v>
      </c>
      <c r="AK1189" t="s">
        <v>111</v>
      </c>
      <c r="AL1189" t="s">
        <v>111</v>
      </c>
      <c r="AM1189">
        <v>0</v>
      </c>
      <c r="AN1189">
        <v>0</v>
      </c>
      <c r="AO1189">
        <v>0</v>
      </c>
      <c r="AP1189" t="s">
        <v>111</v>
      </c>
      <c r="AQ1189" t="s">
        <v>111</v>
      </c>
      <c r="AR1189" t="s">
        <v>111</v>
      </c>
      <c r="AS1189" t="s">
        <v>111</v>
      </c>
      <c r="AT1189" t="s">
        <v>111</v>
      </c>
      <c r="AU1189" t="s">
        <v>111</v>
      </c>
      <c r="AV1189" t="s">
        <v>111</v>
      </c>
      <c r="AW1189" t="s">
        <v>111</v>
      </c>
      <c r="AX1189" t="s">
        <v>111</v>
      </c>
      <c r="AY1189" t="s">
        <v>111</v>
      </c>
      <c r="AZ1189" t="s">
        <v>111</v>
      </c>
      <c r="BA1189" t="s">
        <v>111</v>
      </c>
      <c r="BB1189" t="s">
        <v>111</v>
      </c>
      <c r="BC1189" t="s">
        <v>111</v>
      </c>
      <c r="BD1189" t="s">
        <v>111</v>
      </c>
      <c r="BE1189" t="s">
        <v>111</v>
      </c>
      <c r="BF1189" t="s">
        <v>111</v>
      </c>
      <c r="BG1189" t="s">
        <v>111</v>
      </c>
      <c r="BH1189" t="s">
        <v>111</v>
      </c>
      <c r="BI1189" t="s">
        <v>111</v>
      </c>
      <c r="BJ1189" t="s">
        <v>111</v>
      </c>
      <c r="BK1189" t="s">
        <v>111</v>
      </c>
      <c r="BL1189" t="s">
        <v>111</v>
      </c>
      <c r="BM1189" t="s">
        <v>111</v>
      </c>
      <c r="BN1189" t="s">
        <v>111</v>
      </c>
      <c r="BO1189" t="s">
        <v>111</v>
      </c>
      <c r="BP1189" t="s">
        <v>111</v>
      </c>
      <c r="BQ1189" t="s">
        <v>111</v>
      </c>
      <c r="BR1189" t="s">
        <v>111</v>
      </c>
      <c r="BS1189" t="s">
        <v>111</v>
      </c>
      <c r="BT1189" t="s">
        <v>111</v>
      </c>
      <c r="BU1189" t="s">
        <v>111</v>
      </c>
      <c r="BV1189" t="s">
        <v>111</v>
      </c>
      <c r="BW1189" t="s">
        <v>111</v>
      </c>
      <c r="BX1189" t="s">
        <v>111</v>
      </c>
      <c r="BY1189" t="s">
        <v>111</v>
      </c>
      <c r="BZ1189" t="s">
        <v>111</v>
      </c>
      <c r="CA1189" t="s">
        <v>111</v>
      </c>
      <c r="CB1189" t="s">
        <v>111</v>
      </c>
      <c r="CC1189" t="s">
        <v>111</v>
      </c>
      <c r="CD1189" t="s">
        <v>111</v>
      </c>
      <c r="CE1189" t="s">
        <v>111</v>
      </c>
      <c r="CF1189" t="s">
        <v>111</v>
      </c>
      <c r="CG1189" t="s">
        <v>111</v>
      </c>
      <c r="CH1189" t="s">
        <v>111</v>
      </c>
      <c r="CI1189" t="s">
        <v>111</v>
      </c>
      <c r="CJ1189" t="s">
        <v>111</v>
      </c>
      <c r="CK1189" t="s">
        <v>111</v>
      </c>
      <c r="CL1189" t="s">
        <v>111</v>
      </c>
      <c r="CM1189" t="s">
        <v>198</v>
      </c>
      <c r="CN1189" t="s">
        <v>113</v>
      </c>
      <c r="CO1189" t="s">
        <v>111</v>
      </c>
      <c r="CP1189" t="s">
        <v>111</v>
      </c>
      <c r="CQ1189">
        <v>0</v>
      </c>
      <c r="CR1189">
        <v>0</v>
      </c>
      <c r="CS1189">
        <v>0</v>
      </c>
      <c r="CT1189" t="s">
        <v>168</v>
      </c>
      <c r="CU1189">
        <v>0</v>
      </c>
      <c r="CV1189" t="s">
        <v>111</v>
      </c>
      <c r="CW1189" t="s">
        <v>111</v>
      </c>
      <c r="CX1189" t="s">
        <v>111</v>
      </c>
      <c r="CY1189">
        <v>0</v>
      </c>
      <c r="CZ1189" t="s">
        <v>111</v>
      </c>
      <c r="DA1189" t="s">
        <v>111</v>
      </c>
      <c r="DB1189" t="s">
        <v>111</v>
      </c>
      <c r="DC1189" t="s">
        <v>111</v>
      </c>
    </row>
    <row r="1190" spans="1:107">
      <c r="A1190">
        <v>335</v>
      </c>
      <c r="B1190" t="s">
        <v>162</v>
      </c>
      <c r="C1190" t="s">
        <v>328</v>
      </c>
      <c r="D1190" t="s">
        <v>2967</v>
      </c>
      <c r="E1190" t="s">
        <v>3299</v>
      </c>
      <c r="F1190" t="s">
        <v>287</v>
      </c>
      <c r="G1190" t="s">
        <v>416</v>
      </c>
      <c r="H1190">
        <v>1</v>
      </c>
      <c r="I1190">
        <v>44</v>
      </c>
      <c r="J1190">
        <v>0</v>
      </c>
      <c r="K1190">
        <v>0</v>
      </c>
      <c r="L1190" t="s">
        <v>112</v>
      </c>
      <c r="M1190" t="s">
        <v>138</v>
      </c>
      <c r="N1190">
        <v>0</v>
      </c>
      <c r="O1190">
        <v>0</v>
      </c>
      <c r="P1190" t="s">
        <v>138</v>
      </c>
      <c r="Q1190">
        <v>40</v>
      </c>
      <c r="R1190">
        <v>0</v>
      </c>
      <c r="S1190">
        <v>0</v>
      </c>
      <c r="T1190">
        <v>0</v>
      </c>
      <c r="U1190" t="s">
        <v>153</v>
      </c>
      <c r="V1190">
        <v>25</v>
      </c>
      <c r="W1190">
        <v>0</v>
      </c>
      <c r="X1190">
        <v>8</v>
      </c>
      <c r="Y1190">
        <v>0</v>
      </c>
      <c r="Z1190" t="s">
        <v>288</v>
      </c>
      <c r="AA1190">
        <v>1.65</v>
      </c>
      <c r="AB1190" t="s">
        <v>111</v>
      </c>
      <c r="AC1190">
        <v>0</v>
      </c>
      <c r="AD1190" t="s">
        <v>111</v>
      </c>
      <c r="AE1190">
        <v>0</v>
      </c>
      <c r="AF1190">
        <v>0</v>
      </c>
      <c r="AG1190" t="s">
        <v>111</v>
      </c>
      <c r="AH1190" t="s">
        <v>111</v>
      </c>
      <c r="AI1190" t="s">
        <v>111</v>
      </c>
      <c r="AJ1190" t="s">
        <v>111</v>
      </c>
      <c r="AK1190" t="s">
        <v>111</v>
      </c>
      <c r="AL1190" t="s">
        <v>111</v>
      </c>
      <c r="AM1190">
        <v>0</v>
      </c>
      <c r="AN1190">
        <v>0</v>
      </c>
      <c r="AO1190">
        <v>0</v>
      </c>
      <c r="AP1190" t="s">
        <v>111</v>
      </c>
      <c r="AQ1190" t="s">
        <v>111</v>
      </c>
      <c r="AR1190" t="s">
        <v>111</v>
      </c>
      <c r="AS1190" t="s">
        <v>111</v>
      </c>
      <c r="AT1190" t="s">
        <v>111</v>
      </c>
      <c r="AU1190" t="s">
        <v>111</v>
      </c>
      <c r="AV1190" t="s">
        <v>111</v>
      </c>
      <c r="AW1190" t="s">
        <v>111</v>
      </c>
      <c r="AX1190" t="s">
        <v>111</v>
      </c>
      <c r="AY1190" t="s">
        <v>111</v>
      </c>
      <c r="AZ1190" t="s">
        <v>111</v>
      </c>
      <c r="BA1190" t="s">
        <v>111</v>
      </c>
      <c r="BB1190" t="s">
        <v>111</v>
      </c>
      <c r="BC1190" t="s">
        <v>111</v>
      </c>
      <c r="BD1190" t="s">
        <v>111</v>
      </c>
      <c r="BE1190" t="s">
        <v>111</v>
      </c>
      <c r="BF1190" t="s">
        <v>111</v>
      </c>
      <c r="BG1190" t="s">
        <v>111</v>
      </c>
      <c r="BH1190" t="s">
        <v>111</v>
      </c>
      <c r="BI1190" t="s">
        <v>111</v>
      </c>
      <c r="BJ1190" t="s">
        <v>111</v>
      </c>
      <c r="BK1190" t="s">
        <v>111</v>
      </c>
      <c r="BL1190" t="s">
        <v>111</v>
      </c>
      <c r="BM1190" t="s">
        <v>111</v>
      </c>
      <c r="BN1190" t="s">
        <v>111</v>
      </c>
      <c r="BO1190" t="s">
        <v>111</v>
      </c>
      <c r="BP1190" t="s">
        <v>111</v>
      </c>
      <c r="BQ1190" t="s">
        <v>111</v>
      </c>
      <c r="BR1190" t="s">
        <v>111</v>
      </c>
      <c r="BS1190" t="s">
        <v>111</v>
      </c>
      <c r="BT1190" t="s">
        <v>111</v>
      </c>
      <c r="BU1190" t="s">
        <v>111</v>
      </c>
      <c r="BV1190" t="s">
        <v>111</v>
      </c>
      <c r="BW1190" t="s">
        <v>111</v>
      </c>
      <c r="BX1190" t="s">
        <v>111</v>
      </c>
      <c r="BY1190" t="s">
        <v>111</v>
      </c>
      <c r="BZ1190" t="s">
        <v>111</v>
      </c>
      <c r="CA1190" t="s">
        <v>111</v>
      </c>
      <c r="CB1190" t="s">
        <v>111</v>
      </c>
      <c r="CC1190" t="s">
        <v>111</v>
      </c>
      <c r="CD1190" t="s">
        <v>111</v>
      </c>
      <c r="CE1190" t="s">
        <v>111</v>
      </c>
      <c r="CF1190" t="s">
        <v>111</v>
      </c>
      <c r="CG1190" t="s">
        <v>111</v>
      </c>
      <c r="CH1190" t="s">
        <v>111</v>
      </c>
      <c r="CI1190" t="s">
        <v>111</v>
      </c>
      <c r="CJ1190" t="s">
        <v>111</v>
      </c>
      <c r="CK1190" t="s">
        <v>111</v>
      </c>
      <c r="CL1190" t="s">
        <v>111</v>
      </c>
      <c r="CM1190" t="s">
        <v>198</v>
      </c>
      <c r="CN1190" t="s">
        <v>128</v>
      </c>
      <c r="CO1190" t="s">
        <v>974</v>
      </c>
      <c r="CP1190" t="s">
        <v>111</v>
      </c>
      <c r="CQ1190">
        <v>0</v>
      </c>
      <c r="CR1190">
        <v>0</v>
      </c>
      <c r="CS1190">
        <v>0</v>
      </c>
      <c r="CT1190" t="s">
        <v>2850</v>
      </c>
      <c r="CU1190">
        <v>0</v>
      </c>
      <c r="CV1190" t="s">
        <v>111</v>
      </c>
      <c r="CW1190" t="s">
        <v>111</v>
      </c>
      <c r="CX1190" t="s">
        <v>111</v>
      </c>
      <c r="CY1190">
        <v>0</v>
      </c>
      <c r="CZ1190" t="s">
        <v>111</v>
      </c>
      <c r="DA1190" t="s">
        <v>111</v>
      </c>
      <c r="DB1190" t="s">
        <v>204</v>
      </c>
      <c r="DC1190" s="1" t="s">
        <v>1363</v>
      </c>
    </row>
    <row r="1191" spans="1:107">
      <c r="A1191">
        <v>336</v>
      </c>
      <c r="B1191" t="s">
        <v>162</v>
      </c>
      <c r="C1191" t="s">
        <v>328</v>
      </c>
      <c r="D1191" t="s">
        <v>3538</v>
      </c>
      <c r="E1191" t="s">
        <v>3365</v>
      </c>
      <c r="F1191" t="s">
        <v>287</v>
      </c>
      <c r="G1191" t="s">
        <v>416</v>
      </c>
      <c r="H1191">
        <v>1</v>
      </c>
      <c r="I1191">
        <v>32</v>
      </c>
      <c r="J1191">
        <v>0</v>
      </c>
      <c r="K1191">
        <v>0</v>
      </c>
      <c r="L1191" t="s">
        <v>112</v>
      </c>
      <c r="M1191" t="s">
        <v>138</v>
      </c>
      <c r="N1191">
        <v>0</v>
      </c>
      <c r="O1191">
        <v>0</v>
      </c>
      <c r="P1191" t="s">
        <v>138</v>
      </c>
      <c r="Q1191">
        <v>40</v>
      </c>
      <c r="R1191">
        <v>0</v>
      </c>
      <c r="S1191">
        <v>0</v>
      </c>
      <c r="T1191">
        <v>0</v>
      </c>
      <c r="U1191" t="s">
        <v>153</v>
      </c>
      <c r="V1191">
        <v>25</v>
      </c>
      <c r="W1191">
        <v>0</v>
      </c>
      <c r="X1191">
        <v>8</v>
      </c>
      <c r="Y1191">
        <v>0</v>
      </c>
      <c r="Z1191" t="s">
        <v>288</v>
      </c>
      <c r="AA1191">
        <v>1.65</v>
      </c>
      <c r="AB1191" t="s">
        <v>111</v>
      </c>
      <c r="AC1191">
        <v>0</v>
      </c>
      <c r="AD1191" t="s">
        <v>111</v>
      </c>
      <c r="AE1191">
        <v>0</v>
      </c>
      <c r="AF1191">
        <v>0</v>
      </c>
      <c r="AG1191" t="s">
        <v>111</v>
      </c>
      <c r="AH1191" t="s">
        <v>111</v>
      </c>
      <c r="AI1191" t="s">
        <v>111</v>
      </c>
      <c r="AJ1191" t="s">
        <v>111</v>
      </c>
      <c r="AK1191" t="s">
        <v>111</v>
      </c>
      <c r="AL1191" t="s">
        <v>111</v>
      </c>
      <c r="AM1191">
        <v>0</v>
      </c>
      <c r="AN1191">
        <v>0</v>
      </c>
      <c r="AO1191">
        <v>0</v>
      </c>
      <c r="AP1191" t="s">
        <v>111</v>
      </c>
      <c r="AQ1191" t="s">
        <v>111</v>
      </c>
      <c r="AR1191" t="s">
        <v>111</v>
      </c>
      <c r="AS1191" t="s">
        <v>111</v>
      </c>
      <c r="AT1191" t="s">
        <v>111</v>
      </c>
      <c r="AU1191" t="s">
        <v>111</v>
      </c>
      <c r="AV1191" t="s">
        <v>111</v>
      </c>
      <c r="AW1191" t="s">
        <v>111</v>
      </c>
      <c r="AX1191" t="s">
        <v>111</v>
      </c>
      <c r="AY1191" t="s">
        <v>111</v>
      </c>
      <c r="AZ1191" t="s">
        <v>111</v>
      </c>
      <c r="BA1191" t="s">
        <v>111</v>
      </c>
      <c r="BB1191" t="s">
        <v>111</v>
      </c>
      <c r="BC1191" t="s">
        <v>111</v>
      </c>
      <c r="BD1191" t="s">
        <v>111</v>
      </c>
      <c r="BE1191" t="s">
        <v>111</v>
      </c>
      <c r="BF1191" t="s">
        <v>111</v>
      </c>
      <c r="BG1191" t="s">
        <v>111</v>
      </c>
      <c r="BH1191" t="s">
        <v>111</v>
      </c>
      <c r="BI1191" t="s">
        <v>111</v>
      </c>
      <c r="BJ1191" t="s">
        <v>111</v>
      </c>
      <c r="BK1191" t="s">
        <v>111</v>
      </c>
      <c r="BL1191" t="s">
        <v>111</v>
      </c>
      <c r="BM1191" t="s">
        <v>111</v>
      </c>
      <c r="BN1191" t="s">
        <v>111</v>
      </c>
      <c r="BO1191" t="s">
        <v>111</v>
      </c>
      <c r="BP1191" t="s">
        <v>111</v>
      </c>
      <c r="BQ1191" t="s">
        <v>111</v>
      </c>
      <c r="BR1191" t="s">
        <v>111</v>
      </c>
      <c r="BS1191" t="s">
        <v>111</v>
      </c>
      <c r="BT1191" t="s">
        <v>111</v>
      </c>
      <c r="BU1191" t="s">
        <v>111</v>
      </c>
      <c r="BV1191" t="s">
        <v>111</v>
      </c>
      <c r="BW1191" t="s">
        <v>111</v>
      </c>
      <c r="BX1191" t="s">
        <v>111</v>
      </c>
      <c r="BY1191" t="s">
        <v>111</v>
      </c>
      <c r="BZ1191" t="s">
        <v>111</v>
      </c>
      <c r="CA1191" t="s">
        <v>111</v>
      </c>
      <c r="CB1191" t="s">
        <v>111</v>
      </c>
      <c r="CC1191" t="s">
        <v>111</v>
      </c>
      <c r="CD1191" t="s">
        <v>111</v>
      </c>
      <c r="CE1191" t="s">
        <v>111</v>
      </c>
      <c r="CF1191" t="s">
        <v>111</v>
      </c>
      <c r="CG1191" t="s">
        <v>111</v>
      </c>
      <c r="CH1191" t="s">
        <v>111</v>
      </c>
      <c r="CI1191" t="s">
        <v>111</v>
      </c>
      <c r="CJ1191" t="s">
        <v>111</v>
      </c>
      <c r="CK1191" t="s">
        <v>111</v>
      </c>
      <c r="CL1191" t="s">
        <v>111</v>
      </c>
      <c r="CM1191" t="s">
        <v>198</v>
      </c>
      <c r="CN1191" t="s">
        <v>128</v>
      </c>
      <c r="CO1191" t="s">
        <v>974</v>
      </c>
      <c r="CP1191" t="s">
        <v>111</v>
      </c>
      <c r="CQ1191">
        <v>0</v>
      </c>
      <c r="CR1191">
        <v>0</v>
      </c>
      <c r="CS1191">
        <v>0</v>
      </c>
      <c r="CT1191" t="s">
        <v>2850</v>
      </c>
      <c r="CU1191">
        <v>0</v>
      </c>
      <c r="CV1191" t="s">
        <v>111</v>
      </c>
      <c r="CW1191" t="s">
        <v>111</v>
      </c>
      <c r="CX1191" t="s">
        <v>111</v>
      </c>
      <c r="CY1191">
        <v>0</v>
      </c>
      <c r="CZ1191" t="s">
        <v>111</v>
      </c>
      <c r="DA1191" t="s">
        <v>111</v>
      </c>
      <c r="DB1191" t="s">
        <v>204</v>
      </c>
      <c r="DC1191" s="1" t="s">
        <v>1363</v>
      </c>
    </row>
    <row r="1192" spans="1:107">
      <c r="A1192">
        <v>359</v>
      </c>
      <c r="B1192" t="s">
        <v>162</v>
      </c>
      <c r="C1192" t="s">
        <v>2726</v>
      </c>
      <c r="D1192" t="s">
        <v>3237</v>
      </c>
      <c r="E1192" t="s">
        <v>1399</v>
      </c>
      <c r="F1192" t="s">
        <v>370</v>
      </c>
      <c r="G1192" t="s">
        <v>416</v>
      </c>
      <c r="H1192">
        <v>1</v>
      </c>
      <c r="I1192">
        <v>42</v>
      </c>
      <c r="J1192">
        <v>0</v>
      </c>
      <c r="K1192">
        <v>0</v>
      </c>
      <c r="L1192" t="s">
        <v>112</v>
      </c>
      <c r="M1192" t="s">
        <v>118</v>
      </c>
      <c r="N1192">
        <v>40</v>
      </c>
      <c r="O1192">
        <v>2</v>
      </c>
      <c r="P1192" t="s">
        <v>138</v>
      </c>
      <c r="Q1192">
        <v>40</v>
      </c>
      <c r="R1192">
        <v>0</v>
      </c>
      <c r="S1192">
        <v>0</v>
      </c>
      <c r="T1192">
        <v>0</v>
      </c>
      <c r="U1192" t="s">
        <v>1353</v>
      </c>
      <c r="V1192">
        <v>25</v>
      </c>
      <c r="W1192">
        <v>0</v>
      </c>
      <c r="X1192">
        <v>8</v>
      </c>
      <c r="Y1192">
        <v>0</v>
      </c>
      <c r="Z1192" t="s">
        <v>288</v>
      </c>
      <c r="AA1192">
        <v>1.65</v>
      </c>
      <c r="AB1192" t="s">
        <v>111</v>
      </c>
      <c r="AC1192">
        <v>0</v>
      </c>
      <c r="AD1192" t="s">
        <v>416</v>
      </c>
      <c r="AE1192">
        <v>1</v>
      </c>
      <c r="AF1192">
        <v>1</v>
      </c>
      <c r="AG1192">
        <v>66</v>
      </c>
      <c r="AH1192" t="s">
        <v>111</v>
      </c>
      <c r="AI1192">
        <v>66</v>
      </c>
      <c r="AJ1192" t="s">
        <v>111</v>
      </c>
      <c r="AK1192" t="s">
        <v>111</v>
      </c>
      <c r="AL1192" t="s">
        <v>111</v>
      </c>
      <c r="AM1192">
        <v>0</v>
      </c>
      <c r="AN1192">
        <v>0</v>
      </c>
      <c r="AO1192">
        <v>0</v>
      </c>
      <c r="AP1192" t="s">
        <v>111</v>
      </c>
      <c r="AQ1192" t="s">
        <v>111</v>
      </c>
      <c r="AR1192" t="s">
        <v>111</v>
      </c>
      <c r="AS1192" t="s">
        <v>111</v>
      </c>
      <c r="AT1192" t="s">
        <v>111</v>
      </c>
      <c r="AU1192" t="s">
        <v>111</v>
      </c>
      <c r="AV1192" t="s">
        <v>111</v>
      </c>
      <c r="AW1192" t="s">
        <v>111</v>
      </c>
      <c r="AX1192" t="s">
        <v>111</v>
      </c>
      <c r="AY1192" t="s">
        <v>111</v>
      </c>
      <c r="AZ1192" t="s">
        <v>111</v>
      </c>
      <c r="BA1192" t="s">
        <v>111</v>
      </c>
      <c r="BB1192" t="s">
        <v>111</v>
      </c>
      <c r="BC1192" t="s">
        <v>111</v>
      </c>
      <c r="BD1192" t="s">
        <v>111</v>
      </c>
      <c r="BE1192" t="s">
        <v>111</v>
      </c>
      <c r="BF1192" t="s">
        <v>111</v>
      </c>
      <c r="BG1192" t="s">
        <v>111</v>
      </c>
      <c r="BH1192" t="s">
        <v>111</v>
      </c>
      <c r="BI1192" t="s">
        <v>111</v>
      </c>
      <c r="BJ1192" t="s">
        <v>111</v>
      </c>
      <c r="BK1192" t="s">
        <v>111</v>
      </c>
      <c r="BL1192" t="s">
        <v>111</v>
      </c>
      <c r="BM1192" t="s">
        <v>111</v>
      </c>
      <c r="BN1192" t="s">
        <v>111</v>
      </c>
      <c r="BO1192" t="s">
        <v>111</v>
      </c>
      <c r="BP1192" t="s">
        <v>111</v>
      </c>
      <c r="BQ1192" t="s">
        <v>111</v>
      </c>
      <c r="BR1192" t="s">
        <v>111</v>
      </c>
      <c r="BS1192" t="s">
        <v>111</v>
      </c>
      <c r="BT1192" t="s">
        <v>111</v>
      </c>
      <c r="BU1192" t="s">
        <v>111</v>
      </c>
      <c r="BV1192" t="s">
        <v>111</v>
      </c>
      <c r="BW1192" t="s">
        <v>111</v>
      </c>
      <c r="BX1192" t="s">
        <v>111</v>
      </c>
      <c r="BY1192" t="s">
        <v>111</v>
      </c>
      <c r="BZ1192" t="s">
        <v>111</v>
      </c>
      <c r="CA1192" t="s">
        <v>111</v>
      </c>
      <c r="CB1192" t="s">
        <v>111</v>
      </c>
      <c r="CC1192" t="s">
        <v>111</v>
      </c>
      <c r="CD1192" t="s">
        <v>111</v>
      </c>
      <c r="CE1192" t="s">
        <v>111</v>
      </c>
      <c r="CF1192" t="s">
        <v>111</v>
      </c>
      <c r="CG1192" t="s">
        <v>111</v>
      </c>
      <c r="CH1192" t="s">
        <v>111</v>
      </c>
      <c r="CI1192" t="s">
        <v>111</v>
      </c>
      <c r="CJ1192" t="s">
        <v>111</v>
      </c>
      <c r="CK1192" t="s">
        <v>111</v>
      </c>
      <c r="CL1192" t="s">
        <v>153</v>
      </c>
      <c r="CM1192" t="s">
        <v>198</v>
      </c>
      <c r="CN1192" t="s">
        <v>128</v>
      </c>
      <c r="CO1192" t="s">
        <v>974</v>
      </c>
      <c r="CP1192" t="s">
        <v>433</v>
      </c>
      <c r="CQ1192">
        <v>0</v>
      </c>
      <c r="CR1192">
        <v>0</v>
      </c>
      <c r="CS1192">
        <v>0</v>
      </c>
      <c r="CT1192" t="s">
        <v>2850</v>
      </c>
      <c r="CU1192">
        <v>0</v>
      </c>
      <c r="CV1192" t="s">
        <v>111</v>
      </c>
      <c r="CW1192" t="s">
        <v>111</v>
      </c>
      <c r="CX1192" t="s">
        <v>111</v>
      </c>
      <c r="CY1192">
        <v>0</v>
      </c>
      <c r="CZ1192" t="s">
        <v>111</v>
      </c>
      <c r="DA1192" t="s">
        <v>111</v>
      </c>
      <c r="DB1192" t="s">
        <v>204</v>
      </c>
      <c r="DC1192" s="1" t="s">
        <v>1363</v>
      </c>
    </row>
    <row r="1193" spans="1:107">
      <c r="A1193">
        <v>360</v>
      </c>
      <c r="B1193" t="s">
        <v>162</v>
      </c>
      <c r="C1193" t="s">
        <v>2726</v>
      </c>
      <c r="D1193" t="s">
        <v>2999</v>
      </c>
      <c r="E1193" t="s">
        <v>3539</v>
      </c>
      <c r="F1193" t="s">
        <v>370</v>
      </c>
      <c r="G1193" t="s">
        <v>416</v>
      </c>
      <c r="H1193">
        <v>0.9</v>
      </c>
      <c r="I1193">
        <v>32</v>
      </c>
      <c r="J1193">
        <v>0</v>
      </c>
      <c r="K1193">
        <v>0</v>
      </c>
      <c r="L1193" t="s">
        <v>112</v>
      </c>
      <c r="M1193" t="s">
        <v>118</v>
      </c>
      <c r="N1193">
        <v>40</v>
      </c>
      <c r="O1193">
        <v>2</v>
      </c>
      <c r="P1193" t="s">
        <v>138</v>
      </c>
      <c r="Q1193">
        <v>40</v>
      </c>
      <c r="R1193">
        <v>0</v>
      </c>
      <c r="S1193">
        <v>0</v>
      </c>
      <c r="T1193">
        <v>0</v>
      </c>
      <c r="U1193" t="s">
        <v>1353</v>
      </c>
      <c r="V1193">
        <v>25</v>
      </c>
      <c r="W1193">
        <v>0</v>
      </c>
      <c r="X1193">
        <v>8</v>
      </c>
      <c r="Y1193">
        <v>0</v>
      </c>
      <c r="Z1193" t="s">
        <v>288</v>
      </c>
      <c r="AA1193">
        <v>1.65</v>
      </c>
      <c r="AB1193" t="s">
        <v>111</v>
      </c>
      <c r="AC1193">
        <v>0</v>
      </c>
      <c r="AD1193" t="s">
        <v>416</v>
      </c>
      <c r="AE1193">
        <v>1</v>
      </c>
      <c r="AF1193">
        <v>1</v>
      </c>
      <c r="AG1193">
        <v>40</v>
      </c>
      <c r="AH1193" t="s">
        <v>111</v>
      </c>
      <c r="AI1193">
        <v>40</v>
      </c>
      <c r="AJ1193" t="s">
        <v>111</v>
      </c>
      <c r="AK1193" t="s">
        <v>111</v>
      </c>
      <c r="AL1193" t="s">
        <v>111</v>
      </c>
      <c r="AM1193">
        <v>0</v>
      </c>
      <c r="AN1193">
        <v>0</v>
      </c>
      <c r="AO1193">
        <v>0</v>
      </c>
      <c r="AP1193" t="s">
        <v>147</v>
      </c>
      <c r="AQ1193" t="s">
        <v>111</v>
      </c>
      <c r="AR1193" t="s">
        <v>111</v>
      </c>
      <c r="AS1193" t="s">
        <v>111</v>
      </c>
      <c r="AT1193" t="s">
        <v>111</v>
      </c>
      <c r="AU1193" t="s">
        <v>111</v>
      </c>
      <c r="AV1193" t="s">
        <v>111</v>
      </c>
      <c r="AW1193" t="s">
        <v>111</v>
      </c>
      <c r="AX1193" t="s">
        <v>111</v>
      </c>
      <c r="AY1193" t="s">
        <v>111</v>
      </c>
      <c r="AZ1193" t="s">
        <v>111</v>
      </c>
      <c r="BA1193" t="s">
        <v>111</v>
      </c>
      <c r="BB1193" t="s">
        <v>111</v>
      </c>
      <c r="BC1193" t="s">
        <v>111</v>
      </c>
      <c r="BD1193" t="s">
        <v>111</v>
      </c>
      <c r="BE1193" t="s">
        <v>111</v>
      </c>
      <c r="BF1193" t="s">
        <v>111</v>
      </c>
      <c r="BG1193" t="s">
        <v>111</v>
      </c>
      <c r="BH1193" t="s">
        <v>111</v>
      </c>
      <c r="BI1193" t="s">
        <v>111</v>
      </c>
      <c r="BJ1193" t="s">
        <v>111</v>
      </c>
      <c r="BK1193" t="s">
        <v>111</v>
      </c>
      <c r="BL1193" t="s">
        <v>111</v>
      </c>
      <c r="BM1193" t="s">
        <v>111</v>
      </c>
      <c r="BN1193" t="s">
        <v>111</v>
      </c>
      <c r="BO1193" t="s">
        <v>111</v>
      </c>
      <c r="BP1193" t="s">
        <v>111</v>
      </c>
      <c r="BQ1193" t="s">
        <v>111</v>
      </c>
      <c r="BR1193" t="s">
        <v>111</v>
      </c>
      <c r="BS1193" t="s">
        <v>111</v>
      </c>
      <c r="BT1193" t="s">
        <v>111</v>
      </c>
      <c r="BU1193" t="s">
        <v>111</v>
      </c>
      <c r="BV1193" t="s">
        <v>111</v>
      </c>
      <c r="BW1193" t="s">
        <v>111</v>
      </c>
      <c r="BX1193" t="s">
        <v>111</v>
      </c>
      <c r="BY1193" t="s">
        <v>111</v>
      </c>
      <c r="BZ1193" t="s">
        <v>111</v>
      </c>
      <c r="CA1193" t="s">
        <v>111</v>
      </c>
      <c r="CB1193" t="s">
        <v>111</v>
      </c>
      <c r="CC1193" t="s">
        <v>111</v>
      </c>
      <c r="CD1193" t="s">
        <v>111</v>
      </c>
      <c r="CE1193" t="s">
        <v>111</v>
      </c>
      <c r="CF1193" t="s">
        <v>111</v>
      </c>
      <c r="CG1193" t="s">
        <v>111</v>
      </c>
      <c r="CH1193" t="s">
        <v>111</v>
      </c>
      <c r="CI1193" t="s">
        <v>111</v>
      </c>
      <c r="CJ1193" t="s">
        <v>111</v>
      </c>
      <c r="CK1193" t="s">
        <v>111</v>
      </c>
      <c r="CL1193" t="s">
        <v>153</v>
      </c>
      <c r="CM1193" t="s">
        <v>198</v>
      </c>
      <c r="CN1193" t="s">
        <v>128</v>
      </c>
      <c r="CO1193" t="s">
        <v>974</v>
      </c>
      <c r="CP1193" t="s">
        <v>433</v>
      </c>
      <c r="CQ1193">
        <v>0</v>
      </c>
      <c r="CR1193">
        <v>0</v>
      </c>
      <c r="CS1193">
        <v>0</v>
      </c>
      <c r="CT1193" t="s">
        <v>2850</v>
      </c>
      <c r="CU1193">
        <v>0</v>
      </c>
      <c r="CV1193" t="s">
        <v>111</v>
      </c>
      <c r="CW1193" t="s">
        <v>111</v>
      </c>
      <c r="CX1193" t="s">
        <v>111</v>
      </c>
      <c r="CY1193">
        <v>0</v>
      </c>
      <c r="CZ1193" t="s">
        <v>111</v>
      </c>
      <c r="DA1193" t="s">
        <v>111</v>
      </c>
      <c r="DB1193" t="s">
        <v>204</v>
      </c>
      <c r="DC1193" s="1" t="s">
        <v>1363</v>
      </c>
    </row>
    <row r="1194" spans="1:107">
      <c r="A1194">
        <v>304</v>
      </c>
      <c r="B1194" t="s">
        <v>162</v>
      </c>
      <c r="C1194" t="s">
        <v>2952</v>
      </c>
      <c r="D1194" t="s">
        <v>3540</v>
      </c>
      <c r="E1194" t="s">
        <v>3541</v>
      </c>
      <c r="F1194" t="s">
        <v>192</v>
      </c>
      <c r="G1194" t="s">
        <v>416</v>
      </c>
      <c r="H1194">
        <v>1.2</v>
      </c>
      <c r="I1194">
        <v>34</v>
      </c>
      <c r="J1194">
        <v>0</v>
      </c>
      <c r="K1194">
        <v>0</v>
      </c>
      <c r="L1194" t="s">
        <v>112</v>
      </c>
      <c r="M1194" t="s">
        <v>138</v>
      </c>
      <c r="N1194">
        <v>0</v>
      </c>
      <c r="O1194">
        <v>0</v>
      </c>
      <c r="P1194" t="s">
        <v>138</v>
      </c>
      <c r="Q1194">
        <v>30</v>
      </c>
      <c r="R1194">
        <v>0</v>
      </c>
      <c r="S1194">
        <v>0</v>
      </c>
      <c r="T1194">
        <v>0</v>
      </c>
      <c r="U1194" t="s">
        <v>153</v>
      </c>
      <c r="V1194">
        <v>0</v>
      </c>
      <c r="W1194">
        <v>25</v>
      </c>
      <c r="X1194">
        <v>6</v>
      </c>
      <c r="Y1194">
        <v>0</v>
      </c>
      <c r="Z1194" t="s">
        <v>111</v>
      </c>
      <c r="AA1194">
        <v>0</v>
      </c>
      <c r="AB1194" t="s">
        <v>111</v>
      </c>
      <c r="AC1194">
        <v>0</v>
      </c>
      <c r="AD1194" t="s">
        <v>111</v>
      </c>
      <c r="AE1194">
        <v>0</v>
      </c>
      <c r="AF1194">
        <v>0</v>
      </c>
      <c r="AG1194" t="s">
        <v>111</v>
      </c>
      <c r="AH1194" t="s">
        <v>111</v>
      </c>
      <c r="AI1194" t="s">
        <v>111</v>
      </c>
      <c r="AJ1194" t="s">
        <v>111</v>
      </c>
      <c r="AK1194" t="s">
        <v>111</v>
      </c>
      <c r="AL1194" t="s">
        <v>111</v>
      </c>
      <c r="AM1194">
        <v>0</v>
      </c>
      <c r="AN1194">
        <v>0</v>
      </c>
      <c r="AO1194">
        <v>0</v>
      </c>
      <c r="AP1194" t="s">
        <v>111</v>
      </c>
      <c r="AQ1194" t="s">
        <v>111</v>
      </c>
      <c r="AR1194" t="s">
        <v>111</v>
      </c>
      <c r="AS1194" t="s">
        <v>111</v>
      </c>
      <c r="AT1194" t="s">
        <v>111</v>
      </c>
      <c r="AU1194" t="s">
        <v>111</v>
      </c>
      <c r="AV1194" t="s">
        <v>111</v>
      </c>
      <c r="AW1194" t="s">
        <v>111</v>
      </c>
      <c r="AX1194" t="s">
        <v>111</v>
      </c>
      <c r="AY1194" t="s">
        <v>111</v>
      </c>
      <c r="AZ1194" t="s">
        <v>111</v>
      </c>
      <c r="BA1194" t="s">
        <v>111</v>
      </c>
      <c r="BB1194" t="s">
        <v>111</v>
      </c>
      <c r="BC1194" t="s">
        <v>111</v>
      </c>
      <c r="BD1194" t="s">
        <v>111</v>
      </c>
      <c r="BE1194" t="s">
        <v>111</v>
      </c>
      <c r="BF1194" t="s">
        <v>111</v>
      </c>
      <c r="BG1194" t="s">
        <v>111</v>
      </c>
      <c r="BH1194" t="s">
        <v>111</v>
      </c>
      <c r="BI1194" t="s">
        <v>111</v>
      </c>
      <c r="BJ1194" t="s">
        <v>111</v>
      </c>
      <c r="BK1194" t="s">
        <v>111</v>
      </c>
      <c r="BL1194" t="s">
        <v>111</v>
      </c>
      <c r="BM1194" t="s">
        <v>111</v>
      </c>
      <c r="BN1194" t="s">
        <v>111</v>
      </c>
      <c r="BO1194" t="s">
        <v>111</v>
      </c>
      <c r="BP1194" t="s">
        <v>111</v>
      </c>
      <c r="BQ1194" t="s">
        <v>111</v>
      </c>
      <c r="BR1194" t="s">
        <v>111</v>
      </c>
      <c r="BS1194" t="s">
        <v>111</v>
      </c>
      <c r="BT1194" t="s">
        <v>111</v>
      </c>
      <c r="BU1194" t="s">
        <v>111</v>
      </c>
      <c r="BV1194" t="s">
        <v>111</v>
      </c>
      <c r="BW1194" t="s">
        <v>111</v>
      </c>
      <c r="BX1194" t="s">
        <v>111</v>
      </c>
      <c r="BY1194" t="s">
        <v>111</v>
      </c>
      <c r="BZ1194" t="s">
        <v>111</v>
      </c>
      <c r="CA1194" t="s">
        <v>111</v>
      </c>
      <c r="CB1194" t="s">
        <v>111</v>
      </c>
      <c r="CC1194" t="s">
        <v>111</v>
      </c>
      <c r="CD1194" t="s">
        <v>111</v>
      </c>
      <c r="CE1194" t="s">
        <v>111</v>
      </c>
      <c r="CF1194" t="s">
        <v>111</v>
      </c>
      <c r="CG1194" t="s">
        <v>111</v>
      </c>
      <c r="CH1194" t="s">
        <v>111</v>
      </c>
      <c r="CI1194" t="s">
        <v>111</v>
      </c>
      <c r="CJ1194" t="s">
        <v>111</v>
      </c>
      <c r="CK1194" t="s">
        <v>111</v>
      </c>
      <c r="CL1194" t="s">
        <v>111</v>
      </c>
      <c r="CM1194" t="s">
        <v>198</v>
      </c>
      <c r="CN1194" t="s">
        <v>113</v>
      </c>
      <c r="CO1194" t="s">
        <v>111</v>
      </c>
      <c r="CP1194" t="s">
        <v>111</v>
      </c>
      <c r="CQ1194">
        <v>0</v>
      </c>
      <c r="CR1194">
        <v>0</v>
      </c>
      <c r="CS1194">
        <v>0</v>
      </c>
      <c r="CT1194" t="s">
        <v>168</v>
      </c>
      <c r="CU1194">
        <v>0</v>
      </c>
      <c r="CV1194" t="s">
        <v>111</v>
      </c>
      <c r="CW1194" t="s">
        <v>111</v>
      </c>
      <c r="CX1194" t="s">
        <v>111</v>
      </c>
      <c r="CY1194">
        <v>0</v>
      </c>
      <c r="CZ1194" t="s">
        <v>111</v>
      </c>
      <c r="DA1194" t="s">
        <v>111</v>
      </c>
      <c r="DB1194" t="s">
        <v>111</v>
      </c>
      <c r="DC1194" t="s">
        <v>111</v>
      </c>
    </row>
    <row r="1195" spans="1:107">
      <c r="A1195">
        <v>1094</v>
      </c>
      <c r="B1195" t="s">
        <v>107</v>
      </c>
      <c r="C1195" s="2">
        <v>70085947</v>
      </c>
      <c r="D1195" t="s">
        <v>3486</v>
      </c>
      <c r="E1195" t="s">
        <v>3542</v>
      </c>
      <c r="F1195" t="s">
        <v>2870</v>
      </c>
      <c r="G1195" t="s">
        <v>416</v>
      </c>
      <c r="H1195">
        <v>1.7</v>
      </c>
      <c r="I1195">
        <v>13</v>
      </c>
      <c r="J1195">
        <v>0</v>
      </c>
      <c r="K1195">
        <v>0</v>
      </c>
      <c r="L1195" t="s">
        <v>112</v>
      </c>
      <c r="M1195" t="s">
        <v>118</v>
      </c>
      <c r="N1195">
        <v>0</v>
      </c>
      <c r="O1195">
        <v>2</v>
      </c>
      <c r="P1195" t="s">
        <v>138</v>
      </c>
      <c r="Q1195">
        <v>200</v>
      </c>
      <c r="R1195">
        <v>0</v>
      </c>
      <c r="S1195">
        <v>0</v>
      </c>
      <c r="T1195">
        <v>5</v>
      </c>
      <c r="U1195" t="e">
        <f>-IMPRESION DARMA</f>
        <v>#NAME?</v>
      </c>
      <c r="V1195">
        <v>0</v>
      </c>
      <c r="W1195">
        <v>25</v>
      </c>
      <c r="X1195">
        <v>8</v>
      </c>
      <c r="Y1195">
        <v>0</v>
      </c>
      <c r="Z1195" t="s">
        <v>111</v>
      </c>
      <c r="AA1195">
        <v>0</v>
      </c>
      <c r="AB1195" t="s">
        <v>111</v>
      </c>
      <c r="AC1195">
        <v>0</v>
      </c>
      <c r="AD1195" t="s">
        <v>416</v>
      </c>
      <c r="AE1195">
        <v>0</v>
      </c>
      <c r="AF1195">
        <v>0</v>
      </c>
      <c r="AG1195" t="s">
        <v>111</v>
      </c>
      <c r="AH1195" t="s">
        <v>128</v>
      </c>
      <c r="AI1195" t="s">
        <v>111</v>
      </c>
      <c r="AJ1195" t="s">
        <v>111</v>
      </c>
      <c r="AK1195" t="s">
        <v>111</v>
      </c>
      <c r="AL1195" t="s">
        <v>111</v>
      </c>
      <c r="AM1195">
        <v>0</v>
      </c>
      <c r="AN1195">
        <v>0</v>
      </c>
      <c r="AO1195">
        <v>0</v>
      </c>
      <c r="AP1195" t="s">
        <v>111</v>
      </c>
      <c r="AQ1195" t="s">
        <v>111</v>
      </c>
      <c r="AR1195" t="s">
        <v>111</v>
      </c>
      <c r="AS1195" t="s">
        <v>111</v>
      </c>
      <c r="AT1195" t="s">
        <v>111</v>
      </c>
      <c r="AU1195" t="s">
        <v>111</v>
      </c>
      <c r="AV1195" t="s">
        <v>111</v>
      </c>
      <c r="AW1195" t="s">
        <v>111</v>
      </c>
      <c r="AX1195" t="s">
        <v>111</v>
      </c>
      <c r="AY1195" t="s">
        <v>111</v>
      </c>
      <c r="AZ1195" t="s">
        <v>111</v>
      </c>
      <c r="BA1195" t="s">
        <v>111</v>
      </c>
      <c r="BB1195" t="s">
        <v>111</v>
      </c>
      <c r="BC1195" t="s">
        <v>111</v>
      </c>
      <c r="BD1195" t="s">
        <v>111</v>
      </c>
      <c r="BE1195" t="s">
        <v>111</v>
      </c>
      <c r="BF1195" t="s">
        <v>111</v>
      </c>
      <c r="BG1195" t="s">
        <v>111</v>
      </c>
      <c r="BH1195" t="s">
        <v>111</v>
      </c>
      <c r="BI1195" t="s">
        <v>111</v>
      </c>
      <c r="BJ1195" t="s">
        <v>111</v>
      </c>
      <c r="BK1195" t="s">
        <v>111</v>
      </c>
      <c r="BL1195" t="s">
        <v>111</v>
      </c>
      <c r="BM1195" t="s">
        <v>111</v>
      </c>
      <c r="BN1195" t="s">
        <v>111</v>
      </c>
      <c r="BO1195" t="s">
        <v>111</v>
      </c>
      <c r="BP1195" t="s">
        <v>111</v>
      </c>
      <c r="BQ1195" t="s">
        <v>111</v>
      </c>
      <c r="BR1195" t="s">
        <v>111</v>
      </c>
      <c r="BS1195" t="s">
        <v>111</v>
      </c>
      <c r="BT1195" t="s">
        <v>111</v>
      </c>
      <c r="BU1195" t="s">
        <v>111</v>
      </c>
      <c r="BV1195" t="s">
        <v>111</v>
      </c>
      <c r="BW1195" t="s">
        <v>111</v>
      </c>
      <c r="BX1195" t="s">
        <v>111</v>
      </c>
      <c r="BY1195" t="s">
        <v>111</v>
      </c>
      <c r="BZ1195" t="s">
        <v>111</v>
      </c>
      <c r="CA1195" t="s">
        <v>111</v>
      </c>
      <c r="CB1195" t="s">
        <v>111</v>
      </c>
      <c r="CC1195" t="s">
        <v>111</v>
      </c>
      <c r="CD1195" t="s">
        <v>111</v>
      </c>
      <c r="CE1195" t="s">
        <v>111</v>
      </c>
      <c r="CF1195" t="s">
        <v>111</v>
      </c>
      <c r="CG1195" t="s">
        <v>111</v>
      </c>
      <c r="CH1195" t="s">
        <v>111</v>
      </c>
      <c r="CI1195" t="s">
        <v>111</v>
      </c>
      <c r="CJ1195" t="s">
        <v>111</v>
      </c>
      <c r="CK1195" t="s">
        <v>111</v>
      </c>
      <c r="CL1195" t="e">
        <f>-DESTINO ALMACEN</f>
        <v>#NAME?</v>
      </c>
      <c r="CM1195" t="s">
        <v>111</v>
      </c>
      <c r="CN1195" t="s">
        <v>111</v>
      </c>
      <c r="CO1195" t="s">
        <v>111</v>
      </c>
      <c r="CP1195" t="s">
        <v>111</v>
      </c>
      <c r="CQ1195">
        <v>0</v>
      </c>
      <c r="CR1195">
        <v>0</v>
      </c>
      <c r="CS1195">
        <v>0</v>
      </c>
      <c r="CT1195" t="s">
        <v>111</v>
      </c>
      <c r="CU1195">
        <v>0</v>
      </c>
      <c r="CV1195" t="s">
        <v>111</v>
      </c>
      <c r="CW1195" t="s">
        <v>111</v>
      </c>
      <c r="CX1195" t="s">
        <v>111</v>
      </c>
      <c r="CY1195">
        <v>0</v>
      </c>
      <c r="CZ1195" t="s">
        <v>111</v>
      </c>
      <c r="DA1195" t="s">
        <v>111</v>
      </c>
      <c r="DB1195" t="s">
        <v>111</v>
      </c>
      <c r="DC1195" t="s">
        <v>111</v>
      </c>
    </row>
    <row r="1196" spans="1:107">
      <c r="A1196">
        <v>371</v>
      </c>
      <c r="B1196" t="s">
        <v>162</v>
      </c>
      <c r="C1196" t="s">
        <v>154</v>
      </c>
      <c r="D1196" t="s">
        <v>3543</v>
      </c>
      <c r="E1196" t="s">
        <v>3544</v>
      </c>
      <c r="F1196" t="s">
        <v>370</v>
      </c>
      <c r="G1196" t="s">
        <v>416</v>
      </c>
      <c r="H1196">
        <v>1.5</v>
      </c>
      <c r="I1196">
        <v>28</v>
      </c>
      <c r="J1196">
        <v>6</v>
      </c>
      <c r="K1196">
        <v>6</v>
      </c>
      <c r="L1196" t="s">
        <v>112</v>
      </c>
      <c r="M1196" t="s">
        <v>118</v>
      </c>
      <c r="N1196">
        <v>40</v>
      </c>
      <c r="O1196">
        <v>2</v>
      </c>
      <c r="P1196" t="s">
        <v>138</v>
      </c>
      <c r="Q1196">
        <v>40</v>
      </c>
      <c r="R1196">
        <v>0</v>
      </c>
      <c r="S1196">
        <v>0</v>
      </c>
      <c r="T1196">
        <v>0</v>
      </c>
      <c r="U1196" t="s">
        <v>1353</v>
      </c>
      <c r="V1196">
        <v>25</v>
      </c>
      <c r="W1196">
        <v>0</v>
      </c>
      <c r="X1196">
        <v>6</v>
      </c>
      <c r="Y1196">
        <v>0</v>
      </c>
      <c r="Z1196" t="s">
        <v>288</v>
      </c>
      <c r="AA1196">
        <v>1.55</v>
      </c>
      <c r="AB1196" t="s">
        <v>111</v>
      </c>
      <c r="AC1196">
        <v>0</v>
      </c>
      <c r="AD1196" t="s">
        <v>416</v>
      </c>
      <c r="AE1196">
        <v>2</v>
      </c>
      <c r="AF1196">
        <v>2</v>
      </c>
      <c r="AG1196">
        <v>54</v>
      </c>
      <c r="AH1196" t="s">
        <v>111</v>
      </c>
      <c r="AI1196">
        <v>54</v>
      </c>
      <c r="AJ1196" t="s">
        <v>111</v>
      </c>
      <c r="AK1196" t="s">
        <v>111</v>
      </c>
      <c r="AL1196" t="s">
        <v>111</v>
      </c>
      <c r="AM1196">
        <v>0</v>
      </c>
      <c r="AN1196">
        <v>0</v>
      </c>
      <c r="AO1196">
        <v>0</v>
      </c>
      <c r="AP1196" t="s">
        <v>1235</v>
      </c>
      <c r="AQ1196" t="s">
        <v>111</v>
      </c>
      <c r="AR1196" t="s">
        <v>111</v>
      </c>
      <c r="AS1196" t="s">
        <v>111</v>
      </c>
      <c r="AT1196" t="s">
        <v>188</v>
      </c>
      <c r="AU1196" t="s">
        <v>111</v>
      </c>
      <c r="AV1196" t="s">
        <v>111</v>
      </c>
      <c r="AW1196" t="s">
        <v>111</v>
      </c>
      <c r="AX1196" t="s">
        <v>111</v>
      </c>
      <c r="AY1196" t="s">
        <v>111</v>
      </c>
      <c r="AZ1196" t="s">
        <v>111</v>
      </c>
      <c r="BA1196" t="s">
        <v>111</v>
      </c>
      <c r="BB1196" t="s">
        <v>111</v>
      </c>
      <c r="BC1196" t="s">
        <v>111</v>
      </c>
      <c r="BD1196" t="s">
        <v>111</v>
      </c>
      <c r="BE1196" t="s">
        <v>111</v>
      </c>
      <c r="BF1196" t="s">
        <v>111</v>
      </c>
      <c r="BG1196" t="s">
        <v>111</v>
      </c>
      <c r="BH1196" t="s">
        <v>111</v>
      </c>
      <c r="BI1196" t="s">
        <v>111</v>
      </c>
      <c r="BJ1196" t="s">
        <v>111</v>
      </c>
      <c r="BK1196" t="s">
        <v>111</v>
      </c>
      <c r="BL1196" t="s">
        <v>111</v>
      </c>
      <c r="BM1196" t="s">
        <v>111</v>
      </c>
      <c r="BN1196" t="s">
        <v>111</v>
      </c>
      <c r="BO1196" t="s">
        <v>111</v>
      </c>
      <c r="BP1196" t="s">
        <v>111</v>
      </c>
      <c r="BQ1196" t="s">
        <v>111</v>
      </c>
      <c r="BR1196" t="s">
        <v>111</v>
      </c>
      <c r="BS1196" t="s">
        <v>111</v>
      </c>
      <c r="BT1196" t="s">
        <v>111</v>
      </c>
      <c r="BU1196" t="s">
        <v>111</v>
      </c>
      <c r="BV1196" t="s">
        <v>111</v>
      </c>
      <c r="BW1196" t="s">
        <v>111</v>
      </c>
      <c r="BX1196" t="s">
        <v>111</v>
      </c>
      <c r="BY1196" t="s">
        <v>111</v>
      </c>
      <c r="BZ1196" t="s">
        <v>111</v>
      </c>
      <c r="CA1196" t="s">
        <v>111</v>
      </c>
      <c r="CB1196" t="s">
        <v>111</v>
      </c>
      <c r="CC1196" t="s">
        <v>111</v>
      </c>
      <c r="CD1196" t="s">
        <v>111</v>
      </c>
      <c r="CE1196" t="s">
        <v>111</v>
      </c>
      <c r="CF1196" t="s">
        <v>111</v>
      </c>
      <c r="CG1196" t="s">
        <v>111</v>
      </c>
      <c r="CH1196" t="s">
        <v>111</v>
      </c>
      <c r="CI1196" t="s">
        <v>111</v>
      </c>
      <c r="CJ1196" t="s">
        <v>111</v>
      </c>
      <c r="CK1196" t="s">
        <v>111</v>
      </c>
      <c r="CL1196" t="s">
        <v>153</v>
      </c>
      <c r="CM1196" t="s">
        <v>198</v>
      </c>
      <c r="CN1196" t="s">
        <v>128</v>
      </c>
      <c r="CO1196" t="s">
        <v>974</v>
      </c>
      <c r="CP1196" t="s">
        <v>433</v>
      </c>
      <c r="CQ1196">
        <v>0</v>
      </c>
      <c r="CR1196">
        <v>0</v>
      </c>
      <c r="CS1196">
        <v>0</v>
      </c>
      <c r="CT1196" t="s">
        <v>2850</v>
      </c>
      <c r="CU1196">
        <v>0</v>
      </c>
      <c r="CV1196" t="s">
        <v>111</v>
      </c>
      <c r="CW1196" t="s">
        <v>111</v>
      </c>
      <c r="CX1196" t="s">
        <v>111</v>
      </c>
      <c r="CY1196">
        <v>0</v>
      </c>
      <c r="CZ1196" t="s">
        <v>111</v>
      </c>
      <c r="DA1196" t="s">
        <v>111</v>
      </c>
      <c r="DB1196" t="s">
        <v>204</v>
      </c>
      <c r="DC1196" s="1" t="s">
        <v>1363</v>
      </c>
    </row>
    <row r="1197" spans="1:107">
      <c r="A1197">
        <v>306</v>
      </c>
      <c r="B1197" t="s">
        <v>162</v>
      </c>
      <c r="C1197" t="s">
        <v>3319</v>
      </c>
      <c r="D1197" t="s">
        <v>3545</v>
      </c>
      <c r="E1197" t="s">
        <v>3546</v>
      </c>
      <c r="F1197" t="s">
        <v>166</v>
      </c>
      <c r="G1197" t="s">
        <v>416</v>
      </c>
      <c r="H1197">
        <v>1.8</v>
      </c>
      <c r="I1197">
        <v>65</v>
      </c>
      <c r="J1197">
        <v>0</v>
      </c>
      <c r="K1197">
        <v>0</v>
      </c>
      <c r="L1197" t="s">
        <v>112</v>
      </c>
      <c r="M1197" t="s">
        <v>138</v>
      </c>
      <c r="N1197">
        <v>0</v>
      </c>
      <c r="O1197">
        <v>0</v>
      </c>
      <c r="P1197" t="s">
        <v>138</v>
      </c>
      <c r="Q1197">
        <v>33</v>
      </c>
      <c r="R1197">
        <v>0</v>
      </c>
      <c r="S1197">
        <v>0</v>
      </c>
      <c r="T1197">
        <v>0</v>
      </c>
      <c r="U1197" t="s">
        <v>168</v>
      </c>
      <c r="V1197">
        <v>25</v>
      </c>
      <c r="W1197">
        <v>0</v>
      </c>
      <c r="X1197">
        <v>12.5</v>
      </c>
      <c r="Y1197">
        <v>0</v>
      </c>
      <c r="Z1197" t="s">
        <v>111</v>
      </c>
      <c r="AA1197">
        <v>0</v>
      </c>
      <c r="AB1197" t="s">
        <v>111</v>
      </c>
      <c r="AC1197">
        <v>0</v>
      </c>
      <c r="AD1197" t="s">
        <v>111</v>
      </c>
      <c r="AE1197">
        <v>0</v>
      </c>
      <c r="AF1197">
        <v>0</v>
      </c>
      <c r="AG1197" t="s">
        <v>111</v>
      </c>
      <c r="AH1197" t="s">
        <v>111</v>
      </c>
      <c r="AI1197" t="s">
        <v>111</v>
      </c>
      <c r="AJ1197" t="s">
        <v>111</v>
      </c>
      <c r="AK1197" t="s">
        <v>111</v>
      </c>
      <c r="AL1197" t="s">
        <v>111</v>
      </c>
      <c r="AM1197">
        <v>0</v>
      </c>
      <c r="AN1197">
        <v>0</v>
      </c>
      <c r="AO1197">
        <v>0</v>
      </c>
      <c r="AP1197" t="s">
        <v>111</v>
      </c>
      <c r="AQ1197" t="s">
        <v>111</v>
      </c>
      <c r="AR1197" t="s">
        <v>111</v>
      </c>
      <c r="AS1197" t="s">
        <v>111</v>
      </c>
      <c r="AT1197" t="s">
        <v>111</v>
      </c>
      <c r="AU1197" t="s">
        <v>111</v>
      </c>
      <c r="AV1197" t="s">
        <v>111</v>
      </c>
      <c r="AW1197" t="s">
        <v>111</v>
      </c>
      <c r="AX1197" t="s">
        <v>111</v>
      </c>
      <c r="AY1197" t="s">
        <v>111</v>
      </c>
      <c r="AZ1197" t="s">
        <v>111</v>
      </c>
      <c r="BA1197" t="s">
        <v>111</v>
      </c>
      <c r="BB1197" t="s">
        <v>111</v>
      </c>
      <c r="BC1197" t="s">
        <v>111</v>
      </c>
      <c r="BD1197" t="s">
        <v>111</v>
      </c>
      <c r="BE1197" t="s">
        <v>111</v>
      </c>
      <c r="BF1197" t="s">
        <v>111</v>
      </c>
      <c r="BG1197" t="s">
        <v>111</v>
      </c>
      <c r="BH1197" t="s">
        <v>111</v>
      </c>
      <c r="BI1197" t="s">
        <v>111</v>
      </c>
      <c r="BJ1197" t="s">
        <v>111</v>
      </c>
      <c r="BK1197" t="s">
        <v>111</v>
      </c>
      <c r="BL1197" t="s">
        <v>111</v>
      </c>
      <c r="BM1197" t="s">
        <v>111</v>
      </c>
      <c r="BN1197" t="s">
        <v>111</v>
      </c>
      <c r="BO1197" t="s">
        <v>111</v>
      </c>
      <c r="BP1197" t="s">
        <v>111</v>
      </c>
      <c r="BQ1197" t="s">
        <v>111</v>
      </c>
      <c r="BR1197" t="s">
        <v>111</v>
      </c>
      <c r="BS1197" t="s">
        <v>111</v>
      </c>
      <c r="BT1197" t="s">
        <v>111</v>
      </c>
      <c r="BU1197" t="s">
        <v>111</v>
      </c>
      <c r="BV1197" t="s">
        <v>111</v>
      </c>
      <c r="BW1197" t="s">
        <v>111</v>
      </c>
      <c r="BX1197" t="s">
        <v>111</v>
      </c>
      <c r="BY1197" t="s">
        <v>111</v>
      </c>
      <c r="BZ1197" t="s">
        <v>111</v>
      </c>
      <c r="CA1197" t="s">
        <v>111</v>
      </c>
      <c r="CB1197" t="s">
        <v>111</v>
      </c>
      <c r="CC1197" t="s">
        <v>111</v>
      </c>
      <c r="CD1197" t="s">
        <v>111</v>
      </c>
      <c r="CE1197" t="s">
        <v>111</v>
      </c>
      <c r="CF1197" t="s">
        <v>111</v>
      </c>
      <c r="CG1197" t="s">
        <v>111</v>
      </c>
      <c r="CH1197" t="s">
        <v>111</v>
      </c>
      <c r="CI1197" t="s">
        <v>111</v>
      </c>
      <c r="CJ1197" t="s">
        <v>111</v>
      </c>
      <c r="CK1197" t="s">
        <v>111</v>
      </c>
      <c r="CL1197" t="s">
        <v>111</v>
      </c>
      <c r="CM1197" t="s">
        <v>111</v>
      </c>
      <c r="CN1197" t="s">
        <v>111</v>
      </c>
      <c r="CO1197" t="s">
        <v>111</v>
      </c>
      <c r="CP1197" t="s">
        <v>111</v>
      </c>
      <c r="CQ1197">
        <v>0</v>
      </c>
      <c r="CR1197">
        <v>0</v>
      </c>
      <c r="CS1197">
        <v>0</v>
      </c>
      <c r="CT1197" t="s">
        <v>111</v>
      </c>
      <c r="CU1197">
        <v>0</v>
      </c>
      <c r="CV1197" t="s">
        <v>111</v>
      </c>
      <c r="CW1197" t="s">
        <v>111</v>
      </c>
      <c r="CX1197" t="s">
        <v>111</v>
      </c>
      <c r="CY1197">
        <v>0</v>
      </c>
      <c r="CZ1197" t="s">
        <v>111</v>
      </c>
      <c r="DA1197" t="s">
        <v>111</v>
      </c>
      <c r="DB1197" t="s">
        <v>111</v>
      </c>
      <c r="DC1197" t="s">
        <v>111</v>
      </c>
    </row>
    <row r="1198" spans="1:107">
      <c r="A1198">
        <v>1068</v>
      </c>
      <c r="B1198" t="s">
        <v>107</v>
      </c>
      <c r="C1198" t="s">
        <v>937</v>
      </c>
      <c r="D1198" t="s">
        <v>2927</v>
      </c>
      <c r="E1198" t="s">
        <v>3547</v>
      </c>
      <c r="F1198" t="s">
        <v>431</v>
      </c>
      <c r="G1198" t="s">
        <v>416</v>
      </c>
      <c r="H1198">
        <v>3</v>
      </c>
      <c r="I1198">
        <v>20.5</v>
      </c>
      <c r="J1198">
        <v>0</v>
      </c>
      <c r="K1198">
        <v>0</v>
      </c>
      <c r="L1198" t="s">
        <v>112</v>
      </c>
      <c r="M1198" t="s">
        <v>118</v>
      </c>
      <c r="N1198">
        <v>40</v>
      </c>
      <c r="O1198">
        <v>2</v>
      </c>
      <c r="P1198" t="s">
        <v>138</v>
      </c>
      <c r="Q1198">
        <v>20</v>
      </c>
      <c r="R1198">
        <v>0</v>
      </c>
      <c r="S1198">
        <v>0</v>
      </c>
      <c r="T1198">
        <v>5</v>
      </c>
      <c r="U1198" t="s">
        <v>501</v>
      </c>
      <c r="V1198">
        <v>0</v>
      </c>
      <c r="W1198">
        <v>25</v>
      </c>
      <c r="X1198">
        <v>10</v>
      </c>
      <c r="Y1198">
        <v>0</v>
      </c>
      <c r="Z1198" t="s">
        <v>111</v>
      </c>
      <c r="AA1198">
        <v>0</v>
      </c>
      <c r="AB1198" t="s">
        <v>111</v>
      </c>
      <c r="AC1198">
        <v>0</v>
      </c>
      <c r="AD1198" t="s">
        <v>416</v>
      </c>
      <c r="AE1198">
        <v>0</v>
      </c>
      <c r="AF1198">
        <v>0</v>
      </c>
      <c r="AG1198" t="s">
        <v>111</v>
      </c>
      <c r="AH1198" t="s">
        <v>111</v>
      </c>
      <c r="AI1198" t="s">
        <v>111</v>
      </c>
      <c r="AJ1198" t="s">
        <v>111</v>
      </c>
      <c r="AK1198" t="s">
        <v>111</v>
      </c>
      <c r="AL1198" t="s">
        <v>111</v>
      </c>
      <c r="AM1198">
        <v>0</v>
      </c>
      <c r="AN1198">
        <v>0</v>
      </c>
      <c r="AO1198">
        <v>0</v>
      </c>
      <c r="AP1198" t="s">
        <v>111</v>
      </c>
      <c r="AQ1198" t="s">
        <v>111</v>
      </c>
      <c r="AR1198" t="s">
        <v>111</v>
      </c>
      <c r="AS1198" t="s">
        <v>111</v>
      </c>
      <c r="AT1198" t="s">
        <v>111</v>
      </c>
      <c r="AU1198" t="s">
        <v>111</v>
      </c>
      <c r="AV1198" t="s">
        <v>111</v>
      </c>
      <c r="AW1198" t="s">
        <v>111</v>
      </c>
      <c r="AX1198" t="s">
        <v>111</v>
      </c>
      <c r="AY1198" t="s">
        <v>111</v>
      </c>
      <c r="AZ1198" t="s">
        <v>111</v>
      </c>
      <c r="BA1198" t="s">
        <v>111</v>
      </c>
      <c r="BB1198" t="s">
        <v>111</v>
      </c>
      <c r="BC1198" t="s">
        <v>111</v>
      </c>
      <c r="BD1198" t="s">
        <v>111</v>
      </c>
      <c r="BE1198" t="s">
        <v>111</v>
      </c>
      <c r="BF1198" t="s">
        <v>111</v>
      </c>
      <c r="BG1198" t="s">
        <v>111</v>
      </c>
      <c r="BH1198" t="s">
        <v>111</v>
      </c>
      <c r="BI1198" t="s">
        <v>111</v>
      </c>
      <c r="BJ1198" t="s">
        <v>111</v>
      </c>
      <c r="BK1198" t="s">
        <v>111</v>
      </c>
      <c r="BL1198" t="s">
        <v>111</v>
      </c>
      <c r="BM1198" t="s">
        <v>111</v>
      </c>
      <c r="BN1198" t="s">
        <v>111</v>
      </c>
      <c r="BO1198" t="s">
        <v>111</v>
      </c>
      <c r="BP1198" t="s">
        <v>111</v>
      </c>
      <c r="BQ1198" t="s">
        <v>111</v>
      </c>
      <c r="BR1198" t="s">
        <v>111</v>
      </c>
      <c r="BS1198" t="s">
        <v>111</v>
      </c>
      <c r="BT1198" t="s">
        <v>111</v>
      </c>
      <c r="BU1198" t="s">
        <v>111</v>
      </c>
      <c r="BV1198" t="s">
        <v>111</v>
      </c>
      <c r="BW1198" t="s">
        <v>111</v>
      </c>
      <c r="BX1198" t="s">
        <v>111</v>
      </c>
      <c r="BY1198" t="s">
        <v>111</v>
      </c>
      <c r="BZ1198" t="s">
        <v>111</v>
      </c>
      <c r="CA1198" t="s">
        <v>111</v>
      </c>
      <c r="CB1198" t="s">
        <v>111</v>
      </c>
      <c r="CC1198" t="s">
        <v>111</v>
      </c>
      <c r="CD1198" t="s">
        <v>111</v>
      </c>
      <c r="CE1198" t="s">
        <v>111</v>
      </c>
      <c r="CF1198" t="s">
        <v>111</v>
      </c>
      <c r="CG1198" t="s">
        <v>111</v>
      </c>
      <c r="CH1198" t="s">
        <v>111</v>
      </c>
      <c r="CI1198" t="s">
        <v>111</v>
      </c>
      <c r="CJ1198" t="s">
        <v>111</v>
      </c>
      <c r="CK1198" t="s">
        <v>111</v>
      </c>
      <c r="CL1198" t="e">
        <f>-DESTINO SELLADO</f>
        <v>#NAME?</v>
      </c>
      <c r="CM1198" t="s">
        <v>135</v>
      </c>
      <c r="CN1198" t="s">
        <v>128</v>
      </c>
      <c r="CO1198" t="s">
        <v>111</v>
      </c>
      <c r="CP1198" t="e">
        <f>-MUESTRA</f>
        <v>#NAME?</v>
      </c>
      <c r="CQ1198">
        <v>0</v>
      </c>
      <c r="CR1198">
        <v>3000</v>
      </c>
      <c r="CS1198">
        <v>100</v>
      </c>
      <c r="CT1198" t="s">
        <v>394</v>
      </c>
      <c r="CU1198">
        <v>0</v>
      </c>
      <c r="CV1198" t="s">
        <v>111</v>
      </c>
      <c r="CW1198" t="s">
        <v>111</v>
      </c>
      <c r="CX1198" t="s">
        <v>111</v>
      </c>
      <c r="CY1198">
        <v>0</v>
      </c>
      <c r="CZ1198" t="s">
        <v>111</v>
      </c>
      <c r="DA1198" t="s">
        <v>111</v>
      </c>
      <c r="DB1198" t="s">
        <v>111</v>
      </c>
      <c r="DC1198" t="s">
        <v>111</v>
      </c>
    </row>
    <row r="1199" spans="1:107">
      <c r="A1199">
        <v>1067</v>
      </c>
      <c r="B1199" t="s">
        <v>107</v>
      </c>
      <c r="C1199" t="s">
        <v>937</v>
      </c>
      <c r="D1199" t="s">
        <v>2927</v>
      </c>
      <c r="E1199" t="s">
        <v>3548</v>
      </c>
      <c r="F1199" t="s">
        <v>431</v>
      </c>
      <c r="G1199" t="s">
        <v>416</v>
      </c>
      <c r="H1199">
        <v>3</v>
      </c>
      <c r="I1199">
        <v>20.5</v>
      </c>
      <c r="J1199">
        <v>0</v>
      </c>
      <c r="K1199">
        <v>0</v>
      </c>
      <c r="L1199" t="s">
        <v>112</v>
      </c>
      <c r="M1199" t="s">
        <v>118</v>
      </c>
      <c r="N1199">
        <v>40</v>
      </c>
      <c r="O1199">
        <v>2</v>
      </c>
      <c r="P1199">
        <v>20</v>
      </c>
      <c r="Q1199">
        <v>20</v>
      </c>
      <c r="R1199">
        <v>0</v>
      </c>
      <c r="S1199">
        <v>0</v>
      </c>
      <c r="T1199">
        <v>5</v>
      </c>
      <c r="U1199" t="s">
        <v>1511</v>
      </c>
      <c r="V1199">
        <v>0</v>
      </c>
      <c r="W1199">
        <v>25</v>
      </c>
      <c r="X1199">
        <v>100</v>
      </c>
      <c r="Y1199">
        <v>0</v>
      </c>
      <c r="Z1199" t="s">
        <v>111</v>
      </c>
      <c r="AA1199">
        <v>0</v>
      </c>
      <c r="AB1199" t="s">
        <v>111</v>
      </c>
      <c r="AC1199">
        <v>0</v>
      </c>
      <c r="AD1199" t="s">
        <v>416</v>
      </c>
      <c r="AE1199">
        <v>0</v>
      </c>
      <c r="AF1199">
        <v>0</v>
      </c>
      <c r="AG1199" t="s">
        <v>111</v>
      </c>
      <c r="AH1199" t="s">
        <v>111</v>
      </c>
      <c r="AI1199" t="s">
        <v>111</v>
      </c>
      <c r="AJ1199" t="s">
        <v>111</v>
      </c>
      <c r="AK1199" t="s">
        <v>111</v>
      </c>
      <c r="AL1199" t="s">
        <v>111</v>
      </c>
      <c r="AM1199">
        <v>0</v>
      </c>
      <c r="AN1199">
        <v>0</v>
      </c>
      <c r="AO1199">
        <v>0</v>
      </c>
      <c r="AP1199" t="s">
        <v>111</v>
      </c>
      <c r="AQ1199" t="s">
        <v>111</v>
      </c>
      <c r="AR1199" t="s">
        <v>111</v>
      </c>
      <c r="AS1199" t="s">
        <v>111</v>
      </c>
      <c r="AT1199" t="s">
        <v>111</v>
      </c>
      <c r="AU1199" t="s">
        <v>111</v>
      </c>
      <c r="AV1199" t="s">
        <v>111</v>
      </c>
      <c r="AW1199" t="s">
        <v>111</v>
      </c>
      <c r="AX1199" t="s">
        <v>111</v>
      </c>
      <c r="AY1199" t="s">
        <v>111</v>
      </c>
      <c r="AZ1199" t="s">
        <v>111</v>
      </c>
      <c r="BA1199" t="s">
        <v>111</v>
      </c>
      <c r="BB1199" t="s">
        <v>111</v>
      </c>
      <c r="BC1199" t="s">
        <v>111</v>
      </c>
      <c r="BD1199" t="s">
        <v>111</v>
      </c>
      <c r="BE1199" t="s">
        <v>111</v>
      </c>
      <c r="BF1199" t="s">
        <v>111</v>
      </c>
      <c r="BG1199" t="s">
        <v>111</v>
      </c>
      <c r="BH1199" t="s">
        <v>111</v>
      </c>
      <c r="BI1199" t="s">
        <v>111</v>
      </c>
      <c r="BJ1199" t="s">
        <v>111</v>
      </c>
      <c r="BK1199" t="s">
        <v>111</v>
      </c>
      <c r="BL1199" t="s">
        <v>111</v>
      </c>
      <c r="BM1199" t="s">
        <v>111</v>
      </c>
      <c r="BN1199" t="s">
        <v>111</v>
      </c>
      <c r="BO1199" t="s">
        <v>111</v>
      </c>
      <c r="BP1199" t="s">
        <v>111</v>
      </c>
      <c r="BQ1199" t="s">
        <v>111</v>
      </c>
      <c r="BR1199" t="s">
        <v>111</v>
      </c>
      <c r="BS1199" t="s">
        <v>111</v>
      </c>
      <c r="BT1199" t="s">
        <v>111</v>
      </c>
      <c r="BU1199" t="s">
        <v>111</v>
      </c>
      <c r="BV1199" t="s">
        <v>111</v>
      </c>
      <c r="BW1199" t="s">
        <v>111</v>
      </c>
      <c r="BX1199" t="s">
        <v>111</v>
      </c>
      <c r="BY1199" t="s">
        <v>111</v>
      </c>
      <c r="BZ1199" t="s">
        <v>111</v>
      </c>
      <c r="CA1199" t="s">
        <v>111</v>
      </c>
      <c r="CB1199" t="s">
        <v>111</v>
      </c>
      <c r="CC1199" t="s">
        <v>111</v>
      </c>
      <c r="CD1199" t="s">
        <v>111</v>
      </c>
      <c r="CE1199" t="s">
        <v>111</v>
      </c>
      <c r="CF1199" t="s">
        <v>111</v>
      </c>
      <c r="CG1199" t="s">
        <v>111</v>
      </c>
      <c r="CH1199" t="s">
        <v>111</v>
      </c>
      <c r="CI1199" t="s">
        <v>111</v>
      </c>
      <c r="CJ1199" t="s">
        <v>111</v>
      </c>
      <c r="CK1199" t="s">
        <v>111</v>
      </c>
      <c r="CL1199" t="e">
        <f>-DESTINO SELLADO</f>
        <v>#NAME?</v>
      </c>
      <c r="CM1199" t="s">
        <v>135</v>
      </c>
      <c r="CN1199" t="s">
        <v>128</v>
      </c>
      <c r="CO1199" t="s">
        <v>111</v>
      </c>
      <c r="CP1199" t="e">
        <f>-MUESTRA</f>
        <v>#NAME?</v>
      </c>
      <c r="CQ1199">
        <v>0</v>
      </c>
      <c r="CR1199">
        <v>3000</v>
      </c>
      <c r="CS1199">
        <v>100</v>
      </c>
      <c r="CT1199" t="s">
        <v>3481</v>
      </c>
      <c r="CU1199">
        <v>0</v>
      </c>
      <c r="CV1199" t="s">
        <v>111</v>
      </c>
      <c r="CW1199" t="s">
        <v>111</v>
      </c>
      <c r="CX1199" t="s">
        <v>111</v>
      </c>
      <c r="CY1199">
        <v>0</v>
      </c>
      <c r="CZ1199" t="s">
        <v>111</v>
      </c>
      <c r="DA1199" t="s">
        <v>111</v>
      </c>
      <c r="DB1199" t="s">
        <v>111</v>
      </c>
      <c r="DC1199" t="s">
        <v>111</v>
      </c>
    </row>
    <row r="1200" spans="1:107">
      <c r="A1200">
        <v>307</v>
      </c>
      <c r="B1200" t="s">
        <v>162</v>
      </c>
      <c r="C1200" s="2">
        <v>15380169</v>
      </c>
      <c r="D1200" t="s">
        <v>1335</v>
      </c>
      <c r="E1200" t="s">
        <v>1336</v>
      </c>
      <c r="F1200" t="s">
        <v>125</v>
      </c>
      <c r="G1200" t="s">
        <v>416</v>
      </c>
      <c r="H1200">
        <v>0.7</v>
      </c>
      <c r="I1200">
        <v>49</v>
      </c>
      <c r="J1200">
        <v>0</v>
      </c>
      <c r="K1200">
        <v>0</v>
      </c>
      <c r="L1200" t="s">
        <v>117</v>
      </c>
      <c r="M1200" t="s">
        <v>138</v>
      </c>
      <c r="N1200">
        <v>0</v>
      </c>
      <c r="O1200">
        <v>0</v>
      </c>
      <c r="P1200" t="s">
        <v>138</v>
      </c>
      <c r="Q1200">
        <v>40</v>
      </c>
      <c r="R1200">
        <v>0</v>
      </c>
      <c r="S1200">
        <v>0</v>
      </c>
      <c r="T1200">
        <v>0</v>
      </c>
      <c r="U1200" s="1" t="s">
        <v>3549</v>
      </c>
      <c r="V1200">
        <v>25</v>
      </c>
      <c r="W1200">
        <v>0</v>
      </c>
      <c r="X1200">
        <v>6</v>
      </c>
      <c r="Y1200">
        <v>0</v>
      </c>
      <c r="Z1200" t="s">
        <v>111</v>
      </c>
      <c r="AA1200">
        <v>0</v>
      </c>
      <c r="AB1200" t="s">
        <v>111</v>
      </c>
      <c r="AC1200">
        <v>0</v>
      </c>
      <c r="AD1200" t="s">
        <v>111</v>
      </c>
      <c r="AE1200">
        <v>0</v>
      </c>
      <c r="AF1200">
        <v>0</v>
      </c>
      <c r="AG1200" t="s">
        <v>111</v>
      </c>
      <c r="AH1200" t="s">
        <v>111</v>
      </c>
      <c r="AI1200" t="s">
        <v>111</v>
      </c>
      <c r="AJ1200" t="s">
        <v>111</v>
      </c>
      <c r="AK1200" t="s">
        <v>111</v>
      </c>
      <c r="AL1200" t="s">
        <v>111</v>
      </c>
      <c r="AM1200">
        <v>0</v>
      </c>
      <c r="AN1200">
        <v>0</v>
      </c>
      <c r="AO1200">
        <v>0</v>
      </c>
      <c r="AP1200" t="s">
        <v>111</v>
      </c>
      <c r="AQ1200" t="s">
        <v>111</v>
      </c>
      <c r="AR1200" t="s">
        <v>111</v>
      </c>
      <c r="AS1200" t="s">
        <v>111</v>
      </c>
      <c r="AT1200" t="s">
        <v>111</v>
      </c>
      <c r="AU1200" t="s">
        <v>111</v>
      </c>
      <c r="AV1200" t="s">
        <v>111</v>
      </c>
      <c r="AW1200" t="s">
        <v>111</v>
      </c>
      <c r="AX1200" t="s">
        <v>111</v>
      </c>
      <c r="AY1200" t="s">
        <v>111</v>
      </c>
      <c r="AZ1200" t="s">
        <v>111</v>
      </c>
      <c r="BA1200" t="s">
        <v>111</v>
      </c>
      <c r="BB1200" t="s">
        <v>111</v>
      </c>
      <c r="BC1200" t="s">
        <v>111</v>
      </c>
      <c r="BD1200" t="s">
        <v>111</v>
      </c>
      <c r="BE1200" t="s">
        <v>111</v>
      </c>
      <c r="BF1200" t="s">
        <v>111</v>
      </c>
      <c r="BG1200" t="s">
        <v>111</v>
      </c>
      <c r="BH1200" t="s">
        <v>111</v>
      </c>
      <c r="BI1200" t="s">
        <v>111</v>
      </c>
      <c r="BJ1200" t="s">
        <v>111</v>
      </c>
      <c r="BK1200" t="s">
        <v>111</v>
      </c>
      <c r="BL1200" t="s">
        <v>111</v>
      </c>
      <c r="BM1200" t="s">
        <v>111</v>
      </c>
      <c r="BN1200" t="s">
        <v>111</v>
      </c>
      <c r="BO1200" t="s">
        <v>111</v>
      </c>
      <c r="BP1200" t="s">
        <v>111</v>
      </c>
      <c r="BQ1200" t="s">
        <v>111</v>
      </c>
      <c r="BR1200" t="s">
        <v>111</v>
      </c>
      <c r="BS1200" t="s">
        <v>111</v>
      </c>
      <c r="BT1200" t="s">
        <v>111</v>
      </c>
      <c r="BU1200" t="s">
        <v>111</v>
      </c>
      <c r="BV1200" t="s">
        <v>111</v>
      </c>
      <c r="BW1200" t="s">
        <v>111</v>
      </c>
      <c r="BX1200" t="s">
        <v>111</v>
      </c>
      <c r="BY1200" t="s">
        <v>111</v>
      </c>
      <c r="BZ1200" t="s">
        <v>111</v>
      </c>
      <c r="CA1200" t="s">
        <v>111</v>
      </c>
      <c r="CB1200" t="s">
        <v>111</v>
      </c>
      <c r="CC1200" t="s">
        <v>111</v>
      </c>
      <c r="CD1200" t="s">
        <v>111</v>
      </c>
      <c r="CE1200" t="s">
        <v>111</v>
      </c>
      <c r="CF1200" t="s">
        <v>111</v>
      </c>
      <c r="CG1200" t="s">
        <v>111</v>
      </c>
      <c r="CH1200" t="s">
        <v>111</v>
      </c>
      <c r="CI1200" t="s">
        <v>111</v>
      </c>
      <c r="CJ1200" t="s">
        <v>111</v>
      </c>
      <c r="CK1200" t="s">
        <v>111</v>
      </c>
      <c r="CL1200" t="s">
        <v>111</v>
      </c>
      <c r="CM1200" t="s">
        <v>111</v>
      </c>
      <c r="CN1200" t="s">
        <v>111</v>
      </c>
      <c r="CO1200" t="s">
        <v>111</v>
      </c>
      <c r="CP1200" t="s">
        <v>111</v>
      </c>
      <c r="CQ1200">
        <v>0</v>
      </c>
      <c r="CR1200">
        <v>0</v>
      </c>
      <c r="CS1200">
        <v>0</v>
      </c>
      <c r="CT1200" t="s">
        <v>111</v>
      </c>
      <c r="CU1200">
        <v>0</v>
      </c>
      <c r="CV1200" t="s">
        <v>111</v>
      </c>
      <c r="CW1200" t="s">
        <v>111</v>
      </c>
      <c r="CX1200" t="s">
        <v>111</v>
      </c>
      <c r="CY1200">
        <v>0</v>
      </c>
      <c r="CZ1200" t="s">
        <v>111</v>
      </c>
      <c r="DA1200" t="s">
        <v>111</v>
      </c>
      <c r="DB1200" t="s">
        <v>111</v>
      </c>
      <c r="DC1200" t="s">
        <v>111</v>
      </c>
    </row>
    <row r="1201" spans="1:107">
      <c r="A1201">
        <v>1011</v>
      </c>
      <c r="B1201" t="s">
        <v>107</v>
      </c>
      <c r="C1201" t="s">
        <v>937</v>
      </c>
      <c r="D1201" t="s">
        <v>938</v>
      </c>
      <c r="E1201" t="s">
        <v>3550</v>
      </c>
      <c r="F1201" t="s">
        <v>431</v>
      </c>
      <c r="G1201" t="s">
        <v>416</v>
      </c>
      <c r="H1201">
        <v>3</v>
      </c>
      <c r="I1201">
        <v>54</v>
      </c>
      <c r="J1201">
        <v>0</v>
      </c>
      <c r="K1201">
        <v>0</v>
      </c>
      <c r="L1201" t="s">
        <v>117</v>
      </c>
      <c r="M1201" t="s">
        <v>118</v>
      </c>
      <c r="N1201">
        <v>39</v>
      </c>
      <c r="O1201">
        <v>1</v>
      </c>
      <c r="P1201" t="s">
        <v>138</v>
      </c>
      <c r="Q1201">
        <v>40</v>
      </c>
      <c r="R1201">
        <v>0</v>
      </c>
      <c r="S1201">
        <v>0</v>
      </c>
      <c r="T1201">
        <v>5</v>
      </c>
      <c r="U1201" t="s">
        <v>1511</v>
      </c>
      <c r="V1201">
        <v>0</v>
      </c>
      <c r="W1201">
        <v>25</v>
      </c>
      <c r="X1201">
        <v>8</v>
      </c>
      <c r="Y1201">
        <v>0</v>
      </c>
      <c r="Z1201" t="s">
        <v>111</v>
      </c>
      <c r="AA1201">
        <v>0</v>
      </c>
      <c r="AB1201" t="s">
        <v>940</v>
      </c>
      <c r="AC1201">
        <v>8</v>
      </c>
      <c r="AD1201" t="s">
        <v>416</v>
      </c>
      <c r="AE1201">
        <v>0</v>
      </c>
      <c r="AF1201">
        <v>0</v>
      </c>
      <c r="AG1201" t="s">
        <v>111</v>
      </c>
      <c r="AH1201" t="s">
        <v>111</v>
      </c>
      <c r="AI1201" t="s">
        <v>111</v>
      </c>
      <c r="AJ1201" t="s">
        <v>111</v>
      </c>
      <c r="AK1201" t="s">
        <v>111</v>
      </c>
      <c r="AL1201" t="s">
        <v>111</v>
      </c>
      <c r="AM1201">
        <v>0</v>
      </c>
      <c r="AN1201">
        <v>0</v>
      </c>
      <c r="AO1201">
        <v>0</v>
      </c>
      <c r="AP1201" t="s">
        <v>111</v>
      </c>
      <c r="AQ1201" t="s">
        <v>111</v>
      </c>
      <c r="AR1201" t="s">
        <v>111</v>
      </c>
      <c r="AS1201" t="s">
        <v>111</v>
      </c>
      <c r="AT1201" t="s">
        <v>111</v>
      </c>
      <c r="AU1201" t="s">
        <v>111</v>
      </c>
      <c r="AV1201" t="s">
        <v>111</v>
      </c>
      <c r="AW1201" t="s">
        <v>111</v>
      </c>
      <c r="AX1201" t="s">
        <v>111</v>
      </c>
      <c r="AY1201" t="s">
        <v>111</v>
      </c>
      <c r="AZ1201" t="s">
        <v>111</v>
      </c>
      <c r="BA1201" t="s">
        <v>111</v>
      </c>
      <c r="BB1201" t="s">
        <v>111</v>
      </c>
      <c r="BC1201" t="s">
        <v>111</v>
      </c>
      <c r="BD1201" t="s">
        <v>111</v>
      </c>
      <c r="BE1201" t="s">
        <v>111</v>
      </c>
      <c r="BF1201" t="s">
        <v>111</v>
      </c>
      <c r="BG1201" t="s">
        <v>111</v>
      </c>
      <c r="BH1201" t="s">
        <v>111</v>
      </c>
      <c r="BI1201" t="s">
        <v>111</v>
      </c>
      <c r="BJ1201" t="s">
        <v>111</v>
      </c>
      <c r="BK1201" t="s">
        <v>111</v>
      </c>
      <c r="BL1201" t="s">
        <v>111</v>
      </c>
      <c r="BM1201" t="s">
        <v>111</v>
      </c>
      <c r="BN1201" t="s">
        <v>111</v>
      </c>
      <c r="BO1201" t="s">
        <v>111</v>
      </c>
      <c r="BP1201" t="s">
        <v>111</v>
      </c>
      <c r="BQ1201" t="s">
        <v>111</v>
      </c>
      <c r="BR1201" t="s">
        <v>111</v>
      </c>
      <c r="BS1201" t="s">
        <v>111</v>
      </c>
      <c r="BT1201" t="s">
        <v>111</v>
      </c>
      <c r="BU1201" t="s">
        <v>111</v>
      </c>
      <c r="BV1201" t="s">
        <v>111</v>
      </c>
      <c r="BW1201" t="s">
        <v>111</v>
      </c>
      <c r="BX1201" t="s">
        <v>111</v>
      </c>
      <c r="BY1201" t="s">
        <v>111</v>
      </c>
      <c r="BZ1201" t="s">
        <v>111</v>
      </c>
      <c r="CA1201" t="s">
        <v>111</v>
      </c>
      <c r="CB1201" t="s">
        <v>111</v>
      </c>
      <c r="CC1201" t="s">
        <v>111</v>
      </c>
      <c r="CD1201" t="s">
        <v>111</v>
      </c>
      <c r="CE1201" t="s">
        <v>111</v>
      </c>
      <c r="CF1201" t="s">
        <v>111</v>
      </c>
      <c r="CG1201" t="s">
        <v>111</v>
      </c>
      <c r="CH1201" t="s">
        <v>111</v>
      </c>
      <c r="CI1201" t="s">
        <v>111</v>
      </c>
      <c r="CJ1201" t="s">
        <v>111</v>
      </c>
      <c r="CK1201" t="s">
        <v>111</v>
      </c>
      <c r="CL1201" t="e">
        <f>-DESTINO SELLADO</f>
        <v>#NAME?</v>
      </c>
      <c r="CM1201" t="s">
        <v>135</v>
      </c>
      <c r="CN1201" t="s">
        <v>3551</v>
      </c>
      <c r="CO1201" t="s">
        <v>111</v>
      </c>
      <c r="CP1201" t="e">
        <f>-MUESTRA</f>
        <v>#NAME?</v>
      </c>
      <c r="CQ1201">
        <v>40</v>
      </c>
      <c r="CR1201">
        <v>4000</v>
      </c>
      <c r="CS1201">
        <v>100</v>
      </c>
      <c r="CT1201" t="e">
        <f>-ALMACEN</f>
        <v>#NAME?</v>
      </c>
      <c r="CU1201">
        <v>0</v>
      </c>
      <c r="CV1201" t="s">
        <v>111</v>
      </c>
      <c r="CW1201" t="s">
        <v>111</v>
      </c>
      <c r="CX1201" t="s">
        <v>111</v>
      </c>
      <c r="CY1201">
        <v>0</v>
      </c>
      <c r="CZ1201" t="s">
        <v>111</v>
      </c>
      <c r="DA1201" t="s">
        <v>111</v>
      </c>
      <c r="DB1201" t="s">
        <v>111</v>
      </c>
      <c r="DC1201" t="s">
        <v>111</v>
      </c>
    </row>
    <row r="1202" spans="1:107">
      <c r="A1202">
        <v>309</v>
      </c>
      <c r="B1202" t="s">
        <v>162</v>
      </c>
      <c r="C1202" t="s">
        <v>1251</v>
      </c>
      <c r="D1202" t="s">
        <v>3552</v>
      </c>
      <c r="E1202" t="s">
        <v>3553</v>
      </c>
      <c r="F1202" t="s">
        <v>2299</v>
      </c>
      <c r="G1202" t="s">
        <v>416</v>
      </c>
      <c r="H1202">
        <v>3.9</v>
      </c>
      <c r="I1202">
        <v>70</v>
      </c>
      <c r="J1202">
        <v>0</v>
      </c>
      <c r="K1202">
        <v>0</v>
      </c>
      <c r="L1202" t="s">
        <v>112</v>
      </c>
      <c r="M1202" t="s">
        <v>138</v>
      </c>
      <c r="N1202">
        <v>0</v>
      </c>
      <c r="O1202">
        <v>0</v>
      </c>
      <c r="P1202" t="s">
        <v>138</v>
      </c>
      <c r="Q1202">
        <v>35</v>
      </c>
      <c r="R1202">
        <v>0</v>
      </c>
      <c r="S1202">
        <v>0</v>
      </c>
      <c r="T1202">
        <v>0</v>
      </c>
      <c r="U1202" t="s">
        <v>203</v>
      </c>
      <c r="V1202">
        <v>0</v>
      </c>
      <c r="W1202">
        <v>25</v>
      </c>
      <c r="X1202">
        <v>8</v>
      </c>
      <c r="Y1202">
        <v>0</v>
      </c>
      <c r="Z1202" t="s">
        <v>271</v>
      </c>
      <c r="AA1202">
        <v>1.32</v>
      </c>
      <c r="AB1202" t="s">
        <v>111</v>
      </c>
      <c r="AC1202">
        <v>0</v>
      </c>
      <c r="AD1202" t="s">
        <v>111</v>
      </c>
      <c r="AE1202">
        <v>0</v>
      </c>
      <c r="AF1202">
        <v>0</v>
      </c>
      <c r="AG1202" t="s">
        <v>111</v>
      </c>
      <c r="AH1202" t="s">
        <v>111</v>
      </c>
      <c r="AI1202" t="s">
        <v>111</v>
      </c>
      <c r="AJ1202" t="s">
        <v>111</v>
      </c>
      <c r="AK1202" t="s">
        <v>111</v>
      </c>
      <c r="AL1202" t="s">
        <v>111</v>
      </c>
      <c r="AM1202">
        <v>0</v>
      </c>
      <c r="AN1202">
        <v>0</v>
      </c>
      <c r="AO1202">
        <v>0</v>
      </c>
      <c r="AP1202" t="s">
        <v>111</v>
      </c>
      <c r="AQ1202" t="s">
        <v>111</v>
      </c>
      <c r="AR1202" t="s">
        <v>111</v>
      </c>
      <c r="AS1202" t="s">
        <v>111</v>
      </c>
      <c r="AT1202" t="s">
        <v>111</v>
      </c>
      <c r="AU1202" t="s">
        <v>111</v>
      </c>
      <c r="AV1202" t="s">
        <v>111</v>
      </c>
      <c r="AW1202" t="s">
        <v>111</v>
      </c>
      <c r="AX1202" t="s">
        <v>111</v>
      </c>
      <c r="AY1202" t="s">
        <v>111</v>
      </c>
      <c r="AZ1202" t="s">
        <v>111</v>
      </c>
      <c r="BA1202" t="s">
        <v>111</v>
      </c>
      <c r="BB1202" t="s">
        <v>111</v>
      </c>
      <c r="BC1202" t="s">
        <v>111</v>
      </c>
      <c r="BD1202" t="s">
        <v>111</v>
      </c>
      <c r="BE1202" t="s">
        <v>111</v>
      </c>
      <c r="BF1202" t="s">
        <v>111</v>
      </c>
      <c r="BG1202" t="s">
        <v>111</v>
      </c>
      <c r="BH1202" t="s">
        <v>111</v>
      </c>
      <c r="BI1202" t="s">
        <v>111</v>
      </c>
      <c r="BJ1202" t="s">
        <v>111</v>
      </c>
      <c r="BK1202" t="s">
        <v>111</v>
      </c>
      <c r="BL1202" t="s">
        <v>111</v>
      </c>
      <c r="BM1202" t="s">
        <v>111</v>
      </c>
      <c r="BN1202" t="s">
        <v>111</v>
      </c>
      <c r="BO1202" t="s">
        <v>111</v>
      </c>
      <c r="BP1202" t="s">
        <v>111</v>
      </c>
      <c r="BQ1202" t="s">
        <v>111</v>
      </c>
      <c r="BR1202" t="s">
        <v>111</v>
      </c>
      <c r="BS1202" t="s">
        <v>111</v>
      </c>
      <c r="BT1202" t="s">
        <v>111</v>
      </c>
      <c r="BU1202" t="s">
        <v>111</v>
      </c>
      <c r="BV1202" t="s">
        <v>111</v>
      </c>
      <c r="BW1202" t="s">
        <v>111</v>
      </c>
      <c r="BX1202" t="s">
        <v>111</v>
      </c>
      <c r="BY1202" t="s">
        <v>111</v>
      </c>
      <c r="BZ1202" t="s">
        <v>111</v>
      </c>
      <c r="CA1202" t="s">
        <v>111</v>
      </c>
      <c r="CB1202" t="s">
        <v>111</v>
      </c>
      <c r="CC1202" t="s">
        <v>111</v>
      </c>
      <c r="CD1202" t="s">
        <v>111</v>
      </c>
      <c r="CE1202" t="s">
        <v>111</v>
      </c>
      <c r="CF1202" t="s">
        <v>111</v>
      </c>
      <c r="CG1202" t="s">
        <v>111</v>
      </c>
      <c r="CH1202" t="s">
        <v>111</v>
      </c>
      <c r="CI1202" t="s">
        <v>111</v>
      </c>
      <c r="CJ1202" t="s">
        <v>111</v>
      </c>
      <c r="CK1202" t="s">
        <v>111</v>
      </c>
      <c r="CL1202" t="s">
        <v>111</v>
      </c>
      <c r="CM1202" t="s">
        <v>111</v>
      </c>
      <c r="CN1202" t="s">
        <v>111</v>
      </c>
      <c r="CO1202" t="s">
        <v>111</v>
      </c>
      <c r="CP1202" t="s">
        <v>111</v>
      </c>
      <c r="CQ1202">
        <v>0</v>
      </c>
      <c r="CR1202">
        <v>0</v>
      </c>
      <c r="CS1202">
        <v>0</v>
      </c>
      <c r="CT1202" t="s">
        <v>111</v>
      </c>
      <c r="CU1202">
        <v>0</v>
      </c>
      <c r="CV1202" t="s">
        <v>111</v>
      </c>
      <c r="CW1202" t="s">
        <v>111</v>
      </c>
      <c r="CX1202" t="s">
        <v>111</v>
      </c>
      <c r="CY1202">
        <v>0</v>
      </c>
      <c r="CZ1202" t="s">
        <v>111</v>
      </c>
      <c r="DA1202" t="s">
        <v>111</v>
      </c>
      <c r="DB1202" t="s">
        <v>204</v>
      </c>
      <c r="DC1202" s="1" t="s">
        <v>3554</v>
      </c>
    </row>
    <row r="1203" spans="1:107">
      <c r="A1203">
        <v>1066</v>
      </c>
      <c r="B1203" t="s">
        <v>107</v>
      </c>
      <c r="C1203" t="s">
        <v>937</v>
      </c>
      <c r="D1203" t="s">
        <v>2927</v>
      </c>
      <c r="E1203" t="s">
        <v>3555</v>
      </c>
      <c r="F1203" t="s">
        <v>431</v>
      </c>
      <c r="G1203" t="s">
        <v>416</v>
      </c>
      <c r="H1203">
        <v>3</v>
      </c>
      <c r="I1203">
        <v>20.5</v>
      </c>
      <c r="J1203">
        <v>0</v>
      </c>
      <c r="K1203">
        <v>0</v>
      </c>
      <c r="L1203" t="s">
        <v>112</v>
      </c>
      <c r="M1203" t="s">
        <v>118</v>
      </c>
      <c r="N1203">
        <v>39</v>
      </c>
      <c r="O1203">
        <v>2</v>
      </c>
      <c r="P1203" t="s">
        <v>138</v>
      </c>
      <c r="Q1203">
        <v>20</v>
      </c>
      <c r="R1203">
        <v>0</v>
      </c>
      <c r="S1203">
        <v>0</v>
      </c>
      <c r="T1203">
        <v>5</v>
      </c>
      <c r="U1203" t="s">
        <v>1511</v>
      </c>
      <c r="V1203">
        <v>0</v>
      </c>
      <c r="W1203">
        <v>25</v>
      </c>
      <c r="X1203">
        <v>10</v>
      </c>
      <c r="Y1203">
        <v>0</v>
      </c>
      <c r="Z1203" t="s">
        <v>111</v>
      </c>
      <c r="AA1203">
        <v>0</v>
      </c>
      <c r="AB1203" t="s">
        <v>111</v>
      </c>
      <c r="AC1203">
        <v>0</v>
      </c>
      <c r="AD1203" t="s">
        <v>416</v>
      </c>
      <c r="AE1203">
        <v>0</v>
      </c>
      <c r="AF1203">
        <v>0</v>
      </c>
      <c r="AG1203" t="s">
        <v>111</v>
      </c>
      <c r="AH1203" t="s">
        <v>111</v>
      </c>
      <c r="AI1203" t="s">
        <v>111</v>
      </c>
      <c r="AJ1203" t="s">
        <v>111</v>
      </c>
      <c r="AK1203" t="s">
        <v>111</v>
      </c>
      <c r="AL1203" t="s">
        <v>111</v>
      </c>
      <c r="AM1203">
        <v>0</v>
      </c>
      <c r="AN1203">
        <v>0</v>
      </c>
      <c r="AO1203">
        <v>0</v>
      </c>
      <c r="AP1203" t="s">
        <v>111</v>
      </c>
      <c r="AQ1203" t="s">
        <v>111</v>
      </c>
      <c r="AR1203" t="s">
        <v>111</v>
      </c>
      <c r="AS1203" t="s">
        <v>111</v>
      </c>
      <c r="AT1203" t="s">
        <v>111</v>
      </c>
      <c r="AU1203" t="s">
        <v>111</v>
      </c>
      <c r="AV1203" t="s">
        <v>111</v>
      </c>
      <c r="AW1203" t="s">
        <v>111</v>
      </c>
      <c r="AX1203" t="s">
        <v>111</v>
      </c>
      <c r="AY1203" t="s">
        <v>111</v>
      </c>
      <c r="AZ1203" t="s">
        <v>111</v>
      </c>
      <c r="BA1203" t="s">
        <v>111</v>
      </c>
      <c r="BB1203" t="s">
        <v>111</v>
      </c>
      <c r="BC1203" t="s">
        <v>111</v>
      </c>
      <c r="BD1203" t="s">
        <v>111</v>
      </c>
      <c r="BE1203" t="s">
        <v>111</v>
      </c>
      <c r="BF1203" t="s">
        <v>111</v>
      </c>
      <c r="BG1203" t="s">
        <v>111</v>
      </c>
      <c r="BH1203" t="s">
        <v>111</v>
      </c>
      <c r="BI1203" t="s">
        <v>111</v>
      </c>
      <c r="BJ1203" t="s">
        <v>111</v>
      </c>
      <c r="BK1203" t="s">
        <v>111</v>
      </c>
      <c r="BL1203" t="s">
        <v>111</v>
      </c>
      <c r="BM1203" t="s">
        <v>111</v>
      </c>
      <c r="BN1203" t="s">
        <v>111</v>
      </c>
      <c r="BO1203" t="s">
        <v>111</v>
      </c>
      <c r="BP1203" t="s">
        <v>111</v>
      </c>
      <c r="BQ1203" t="s">
        <v>111</v>
      </c>
      <c r="BR1203" t="s">
        <v>111</v>
      </c>
      <c r="BS1203" t="s">
        <v>111</v>
      </c>
      <c r="BT1203" t="s">
        <v>111</v>
      </c>
      <c r="BU1203" t="s">
        <v>111</v>
      </c>
      <c r="BV1203" t="s">
        <v>111</v>
      </c>
      <c r="BW1203" t="s">
        <v>111</v>
      </c>
      <c r="BX1203" t="s">
        <v>111</v>
      </c>
      <c r="BY1203" t="s">
        <v>111</v>
      </c>
      <c r="BZ1203" t="s">
        <v>111</v>
      </c>
      <c r="CA1203" t="s">
        <v>111</v>
      </c>
      <c r="CB1203" t="s">
        <v>111</v>
      </c>
      <c r="CC1203" t="s">
        <v>111</v>
      </c>
      <c r="CD1203" t="s">
        <v>111</v>
      </c>
      <c r="CE1203" t="s">
        <v>111</v>
      </c>
      <c r="CF1203" t="s">
        <v>111</v>
      </c>
      <c r="CG1203" t="s">
        <v>111</v>
      </c>
      <c r="CH1203" t="s">
        <v>111</v>
      </c>
      <c r="CI1203" t="s">
        <v>111</v>
      </c>
      <c r="CJ1203" t="s">
        <v>111</v>
      </c>
      <c r="CK1203" t="s">
        <v>111</v>
      </c>
      <c r="CL1203" t="e">
        <f>-DESTINO SELLADO</f>
        <v>#NAME?</v>
      </c>
      <c r="CM1203" t="s">
        <v>135</v>
      </c>
      <c r="CN1203" t="s">
        <v>128</v>
      </c>
      <c r="CO1203" t="s">
        <v>111</v>
      </c>
      <c r="CP1203" t="e">
        <f>-MUESTRA</f>
        <v>#NAME?</v>
      </c>
      <c r="CQ1203">
        <v>0</v>
      </c>
      <c r="CR1203">
        <v>3000</v>
      </c>
      <c r="CS1203">
        <v>100</v>
      </c>
      <c r="CT1203" t="s">
        <v>394</v>
      </c>
      <c r="CU1203">
        <v>0</v>
      </c>
      <c r="CV1203" t="s">
        <v>111</v>
      </c>
      <c r="CW1203" t="s">
        <v>111</v>
      </c>
      <c r="CX1203" t="s">
        <v>111</v>
      </c>
      <c r="CY1203">
        <v>0</v>
      </c>
      <c r="CZ1203" t="s">
        <v>111</v>
      </c>
      <c r="DA1203" t="s">
        <v>111</v>
      </c>
      <c r="DB1203" t="s">
        <v>111</v>
      </c>
      <c r="DC1203" t="s">
        <v>111</v>
      </c>
    </row>
    <row r="1204" spans="1:107">
      <c r="A1204">
        <v>1010</v>
      </c>
      <c r="B1204" t="s">
        <v>107</v>
      </c>
      <c r="C1204" t="s">
        <v>937</v>
      </c>
      <c r="D1204" t="s">
        <v>938</v>
      </c>
      <c r="E1204" t="s">
        <v>3556</v>
      </c>
      <c r="F1204" t="s">
        <v>431</v>
      </c>
      <c r="G1204" t="s">
        <v>416</v>
      </c>
      <c r="H1204">
        <v>3</v>
      </c>
      <c r="I1204">
        <v>54</v>
      </c>
      <c r="J1204">
        <v>0</v>
      </c>
      <c r="K1204">
        <v>0</v>
      </c>
      <c r="L1204" t="s">
        <v>117</v>
      </c>
      <c r="M1204" t="s">
        <v>118</v>
      </c>
      <c r="N1204">
        <v>39</v>
      </c>
      <c r="O1204">
        <v>1</v>
      </c>
      <c r="P1204" t="s">
        <v>138</v>
      </c>
      <c r="Q1204">
        <v>27</v>
      </c>
      <c r="R1204">
        <v>0</v>
      </c>
      <c r="S1204">
        <v>0</v>
      </c>
      <c r="T1204">
        <v>5</v>
      </c>
      <c r="U1204" t="s">
        <v>1511</v>
      </c>
      <c r="V1204">
        <v>0</v>
      </c>
      <c r="W1204">
        <v>25</v>
      </c>
      <c r="X1204">
        <v>8</v>
      </c>
      <c r="Y1204">
        <v>0</v>
      </c>
      <c r="Z1204" t="s">
        <v>111</v>
      </c>
      <c r="AA1204">
        <v>0</v>
      </c>
      <c r="AB1204" t="s">
        <v>940</v>
      </c>
      <c r="AC1204">
        <v>8</v>
      </c>
      <c r="AD1204" t="s">
        <v>416</v>
      </c>
      <c r="AE1204">
        <v>0</v>
      </c>
      <c r="AF1204">
        <v>0</v>
      </c>
      <c r="AG1204" t="s">
        <v>111</v>
      </c>
      <c r="AH1204" t="s">
        <v>111</v>
      </c>
      <c r="AI1204" t="s">
        <v>111</v>
      </c>
      <c r="AJ1204" t="s">
        <v>111</v>
      </c>
      <c r="AK1204" t="s">
        <v>111</v>
      </c>
      <c r="AL1204" t="s">
        <v>111</v>
      </c>
      <c r="AM1204">
        <v>0</v>
      </c>
      <c r="AN1204">
        <v>0</v>
      </c>
      <c r="AO1204">
        <v>0</v>
      </c>
      <c r="AP1204" t="s">
        <v>111</v>
      </c>
      <c r="AQ1204" t="s">
        <v>111</v>
      </c>
      <c r="AR1204" t="s">
        <v>111</v>
      </c>
      <c r="AS1204" t="s">
        <v>111</v>
      </c>
      <c r="AT1204" t="s">
        <v>111</v>
      </c>
      <c r="AU1204" t="s">
        <v>111</v>
      </c>
      <c r="AV1204" t="s">
        <v>111</v>
      </c>
      <c r="AW1204" t="s">
        <v>111</v>
      </c>
      <c r="AX1204" t="s">
        <v>111</v>
      </c>
      <c r="AY1204" t="s">
        <v>111</v>
      </c>
      <c r="AZ1204" t="s">
        <v>111</v>
      </c>
      <c r="BA1204" t="s">
        <v>111</v>
      </c>
      <c r="BB1204" t="s">
        <v>111</v>
      </c>
      <c r="BC1204" t="s">
        <v>111</v>
      </c>
      <c r="BD1204" t="s">
        <v>111</v>
      </c>
      <c r="BE1204" t="s">
        <v>111</v>
      </c>
      <c r="BF1204" t="s">
        <v>111</v>
      </c>
      <c r="BG1204" t="s">
        <v>111</v>
      </c>
      <c r="BH1204" t="s">
        <v>111</v>
      </c>
      <c r="BI1204" t="s">
        <v>111</v>
      </c>
      <c r="BJ1204" t="s">
        <v>111</v>
      </c>
      <c r="BK1204" t="s">
        <v>111</v>
      </c>
      <c r="BL1204" t="s">
        <v>111</v>
      </c>
      <c r="BM1204" t="s">
        <v>111</v>
      </c>
      <c r="BN1204" t="s">
        <v>111</v>
      </c>
      <c r="BO1204" t="s">
        <v>111</v>
      </c>
      <c r="BP1204" t="s">
        <v>111</v>
      </c>
      <c r="BQ1204" t="s">
        <v>111</v>
      </c>
      <c r="BR1204" t="s">
        <v>111</v>
      </c>
      <c r="BS1204" t="s">
        <v>111</v>
      </c>
      <c r="BT1204" t="s">
        <v>111</v>
      </c>
      <c r="BU1204" t="s">
        <v>111</v>
      </c>
      <c r="BV1204" t="s">
        <v>111</v>
      </c>
      <c r="BW1204" t="s">
        <v>111</v>
      </c>
      <c r="BX1204" t="s">
        <v>111</v>
      </c>
      <c r="BY1204" t="s">
        <v>111</v>
      </c>
      <c r="BZ1204" t="s">
        <v>111</v>
      </c>
      <c r="CA1204" t="s">
        <v>111</v>
      </c>
      <c r="CB1204" t="s">
        <v>111</v>
      </c>
      <c r="CC1204" t="s">
        <v>111</v>
      </c>
      <c r="CD1204" t="s">
        <v>111</v>
      </c>
      <c r="CE1204" t="s">
        <v>111</v>
      </c>
      <c r="CF1204" t="s">
        <v>111</v>
      </c>
      <c r="CG1204" t="s">
        <v>111</v>
      </c>
      <c r="CH1204" t="s">
        <v>111</v>
      </c>
      <c r="CI1204" t="s">
        <v>111</v>
      </c>
      <c r="CJ1204" t="s">
        <v>111</v>
      </c>
      <c r="CK1204" t="s">
        <v>111</v>
      </c>
      <c r="CL1204" t="s">
        <v>111</v>
      </c>
      <c r="CM1204" t="s">
        <v>135</v>
      </c>
      <c r="CN1204" t="s">
        <v>3557</v>
      </c>
      <c r="CO1204" t="s">
        <v>111</v>
      </c>
      <c r="CP1204" t="e">
        <f>-MUESTRA</f>
        <v>#NAME?</v>
      </c>
      <c r="CQ1204">
        <v>40</v>
      </c>
      <c r="CR1204">
        <v>4000</v>
      </c>
      <c r="CS1204">
        <v>100</v>
      </c>
      <c r="CT1204" s="1" t="s">
        <v>1748</v>
      </c>
      <c r="CU1204">
        <v>0</v>
      </c>
      <c r="CV1204" t="s">
        <v>111</v>
      </c>
      <c r="CW1204" t="s">
        <v>111</v>
      </c>
      <c r="CX1204" t="s">
        <v>111</v>
      </c>
      <c r="CY1204">
        <v>0</v>
      </c>
      <c r="CZ1204" t="s">
        <v>111</v>
      </c>
      <c r="DA1204" t="s">
        <v>111</v>
      </c>
      <c r="DB1204" t="s">
        <v>111</v>
      </c>
      <c r="DC1204" t="s">
        <v>111</v>
      </c>
    </row>
    <row r="1205" spans="1:107">
      <c r="A1205">
        <v>308</v>
      </c>
      <c r="B1205" t="s">
        <v>162</v>
      </c>
      <c r="C1205" t="s">
        <v>1251</v>
      </c>
      <c r="D1205" t="s">
        <v>3558</v>
      </c>
      <c r="E1205" t="s">
        <v>3559</v>
      </c>
      <c r="F1205" t="s">
        <v>657</v>
      </c>
      <c r="G1205" t="s">
        <v>416</v>
      </c>
      <c r="H1205">
        <v>3.9</v>
      </c>
      <c r="I1205">
        <v>70</v>
      </c>
      <c r="J1205">
        <v>0</v>
      </c>
      <c r="K1205">
        <v>0</v>
      </c>
      <c r="L1205" t="s">
        <v>112</v>
      </c>
      <c r="M1205" t="s">
        <v>138</v>
      </c>
      <c r="N1205">
        <v>0</v>
      </c>
      <c r="O1205">
        <v>0</v>
      </c>
      <c r="P1205" t="s">
        <v>138</v>
      </c>
      <c r="Q1205">
        <v>40</v>
      </c>
      <c r="R1205">
        <v>0</v>
      </c>
      <c r="S1205">
        <v>0</v>
      </c>
      <c r="T1205">
        <v>0</v>
      </c>
      <c r="U1205" t="s">
        <v>203</v>
      </c>
      <c r="V1205">
        <v>0</v>
      </c>
      <c r="W1205">
        <v>25</v>
      </c>
      <c r="X1205">
        <v>8</v>
      </c>
      <c r="Y1205">
        <v>0</v>
      </c>
      <c r="Z1205" t="s">
        <v>147</v>
      </c>
      <c r="AA1205">
        <v>1.3</v>
      </c>
      <c r="AB1205" t="s">
        <v>111</v>
      </c>
      <c r="AC1205">
        <v>0</v>
      </c>
      <c r="AD1205" t="s">
        <v>111</v>
      </c>
      <c r="AE1205">
        <v>0</v>
      </c>
      <c r="AF1205">
        <v>0</v>
      </c>
      <c r="AG1205" t="s">
        <v>111</v>
      </c>
      <c r="AH1205" t="s">
        <v>111</v>
      </c>
      <c r="AI1205" t="s">
        <v>111</v>
      </c>
      <c r="AJ1205" t="s">
        <v>111</v>
      </c>
      <c r="AK1205" t="s">
        <v>111</v>
      </c>
      <c r="AL1205" t="s">
        <v>111</v>
      </c>
      <c r="AM1205">
        <v>0</v>
      </c>
      <c r="AN1205">
        <v>0</v>
      </c>
      <c r="AO1205">
        <v>0</v>
      </c>
      <c r="AP1205" t="s">
        <v>111</v>
      </c>
      <c r="AQ1205" t="s">
        <v>111</v>
      </c>
      <c r="AR1205" t="s">
        <v>111</v>
      </c>
      <c r="AS1205" t="s">
        <v>111</v>
      </c>
      <c r="AT1205" t="s">
        <v>111</v>
      </c>
      <c r="AU1205" t="s">
        <v>111</v>
      </c>
      <c r="AV1205" t="s">
        <v>111</v>
      </c>
      <c r="AW1205" t="s">
        <v>111</v>
      </c>
      <c r="AX1205" t="s">
        <v>111</v>
      </c>
      <c r="AY1205" t="s">
        <v>111</v>
      </c>
      <c r="AZ1205" t="s">
        <v>111</v>
      </c>
      <c r="BA1205" t="s">
        <v>111</v>
      </c>
      <c r="BB1205" t="s">
        <v>111</v>
      </c>
      <c r="BC1205" t="s">
        <v>111</v>
      </c>
      <c r="BD1205" t="s">
        <v>111</v>
      </c>
      <c r="BE1205" t="s">
        <v>111</v>
      </c>
      <c r="BF1205" t="s">
        <v>111</v>
      </c>
      <c r="BG1205" t="s">
        <v>111</v>
      </c>
      <c r="BH1205" t="s">
        <v>111</v>
      </c>
      <c r="BI1205" t="s">
        <v>111</v>
      </c>
      <c r="BJ1205" t="s">
        <v>111</v>
      </c>
      <c r="BK1205" t="s">
        <v>111</v>
      </c>
      <c r="BL1205" t="s">
        <v>111</v>
      </c>
      <c r="BM1205" t="s">
        <v>111</v>
      </c>
      <c r="BN1205" t="s">
        <v>111</v>
      </c>
      <c r="BO1205" t="s">
        <v>111</v>
      </c>
      <c r="BP1205" t="s">
        <v>111</v>
      </c>
      <c r="BQ1205" t="s">
        <v>111</v>
      </c>
      <c r="BR1205" t="s">
        <v>111</v>
      </c>
      <c r="BS1205" t="s">
        <v>111</v>
      </c>
      <c r="BT1205" t="s">
        <v>111</v>
      </c>
      <c r="BU1205" t="s">
        <v>111</v>
      </c>
      <c r="BV1205" t="s">
        <v>111</v>
      </c>
      <c r="BW1205" t="s">
        <v>111</v>
      </c>
      <c r="BX1205" t="s">
        <v>111</v>
      </c>
      <c r="BY1205" t="s">
        <v>111</v>
      </c>
      <c r="BZ1205" t="s">
        <v>111</v>
      </c>
      <c r="CA1205" t="s">
        <v>111</v>
      </c>
      <c r="CB1205" t="s">
        <v>111</v>
      </c>
      <c r="CC1205" t="s">
        <v>111</v>
      </c>
      <c r="CD1205" t="s">
        <v>111</v>
      </c>
      <c r="CE1205" t="s">
        <v>111</v>
      </c>
      <c r="CF1205" t="s">
        <v>111</v>
      </c>
      <c r="CG1205" t="s">
        <v>111</v>
      </c>
      <c r="CH1205" t="s">
        <v>111</v>
      </c>
      <c r="CI1205" t="s">
        <v>111</v>
      </c>
      <c r="CJ1205" t="s">
        <v>111</v>
      </c>
      <c r="CK1205" t="s">
        <v>111</v>
      </c>
      <c r="CL1205" t="s">
        <v>111</v>
      </c>
      <c r="CM1205" t="s">
        <v>111</v>
      </c>
      <c r="CN1205" t="s">
        <v>111</v>
      </c>
      <c r="CO1205" t="s">
        <v>111</v>
      </c>
      <c r="CP1205" t="s">
        <v>111</v>
      </c>
      <c r="CQ1205">
        <v>0</v>
      </c>
      <c r="CR1205">
        <v>0</v>
      </c>
      <c r="CS1205">
        <v>0</v>
      </c>
      <c r="CT1205" t="s">
        <v>111</v>
      </c>
      <c r="CU1205">
        <v>0</v>
      </c>
      <c r="CV1205" t="s">
        <v>111</v>
      </c>
      <c r="CW1205" t="s">
        <v>111</v>
      </c>
      <c r="CX1205" t="s">
        <v>111</v>
      </c>
      <c r="CY1205">
        <v>0</v>
      </c>
      <c r="CZ1205" t="s">
        <v>111</v>
      </c>
      <c r="DA1205" t="s">
        <v>111</v>
      </c>
      <c r="DB1205" t="s">
        <v>204</v>
      </c>
      <c r="DC1205" s="1" t="s">
        <v>3560</v>
      </c>
    </row>
    <row r="1206" spans="1:107">
      <c r="A1206">
        <v>2080</v>
      </c>
      <c r="B1206" t="s">
        <v>376</v>
      </c>
      <c r="C1206" t="s">
        <v>119</v>
      </c>
      <c r="D1206" t="s">
        <v>3561</v>
      </c>
      <c r="E1206" t="s">
        <v>3562</v>
      </c>
      <c r="F1206" t="s">
        <v>1651</v>
      </c>
      <c r="G1206" t="s">
        <v>3563</v>
      </c>
      <c r="H1206">
        <v>1.3</v>
      </c>
      <c r="I1206">
        <v>50</v>
      </c>
      <c r="J1206">
        <v>0</v>
      </c>
      <c r="K1206">
        <v>0</v>
      </c>
      <c r="L1206" t="s">
        <v>117</v>
      </c>
      <c r="M1206" t="s">
        <v>118</v>
      </c>
      <c r="N1206">
        <v>0</v>
      </c>
      <c r="O1206">
        <v>0</v>
      </c>
      <c r="P1206" t="s">
        <v>111</v>
      </c>
      <c r="Q1206">
        <v>54</v>
      </c>
      <c r="R1206">
        <v>0</v>
      </c>
      <c r="S1206">
        <v>0</v>
      </c>
      <c r="T1206">
        <v>5</v>
      </c>
      <c r="U1206" t="e">
        <f>- DESTINO SELLADO</f>
        <v>#NAME?</v>
      </c>
      <c r="V1206">
        <v>0</v>
      </c>
      <c r="W1206">
        <v>0</v>
      </c>
      <c r="X1206">
        <v>0</v>
      </c>
      <c r="Y1206">
        <v>25</v>
      </c>
      <c r="Z1206" t="s">
        <v>111</v>
      </c>
      <c r="AA1206">
        <v>0</v>
      </c>
      <c r="AB1206" t="s">
        <v>111</v>
      </c>
      <c r="AC1206">
        <v>0</v>
      </c>
      <c r="AD1206" t="s">
        <v>111</v>
      </c>
      <c r="AE1206">
        <v>0</v>
      </c>
      <c r="AF1206">
        <v>0</v>
      </c>
      <c r="AG1206" t="s">
        <v>111</v>
      </c>
      <c r="AH1206" t="s">
        <v>111</v>
      </c>
      <c r="AI1206" t="s">
        <v>111</v>
      </c>
      <c r="AJ1206" t="s">
        <v>111</v>
      </c>
      <c r="AK1206" t="s">
        <v>111</v>
      </c>
      <c r="AL1206" t="s">
        <v>111</v>
      </c>
      <c r="AM1206">
        <v>0</v>
      </c>
      <c r="AN1206">
        <v>0</v>
      </c>
      <c r="AO1206">
        <v>0</v>
      </c>
      <c r="AP1206" t="s">
        <v>111</v>
      </c>
      <c r="AQ1206" t="s">
        <v>111</v>
      </c>
      <c r="AR1206" t="s">
        <v>111</v>
      </c>
      <c r="AS1206" t="s">
        <v>111</v>
      </c>
      <c r="AT1206" t="s">
        <v>111</v>
      </c>
      <c r="AU1206" t="s">
        <v>111</v>
      </c>
      <c r="AV1206" t="s">
        <v>111</v>
      </c>
      <c r="AW1206" t="s">
        <v>111</v>
      </c>
      <c r="AX1206" t="s">
        <v>111</v>
      </c>
      <c r="AY1206" t="s">
        <v>111</v>
      </c>
      <c r="AZ1206" t="s">
        <v>111</v>
      </c>
      <c r="BA1206" t="s">
        <v>111</v>
      </c>
      <c r="BB1206" t="s">
        <v>111</v>
      </c>
      <c r="BC1206" t="s">
        <v>111</v>
      </c>
      <c r="BD1206" t="s">
        <v>111</v>
      </c>
      <c r="BE1206" t="s">
        <v>111</v>
      </c>
      <c r="BF1206" t="s">
        <v>111</v>
      </c>
      <c r="BG1206" t="s">
        <v>111</v>
      </c>
      <c r="BH1206" t="s">
        <v>111</v>
      </c>
      <c r="BI1206" t="s">
        <v>111</v>
      </c>
      <c r="BJ1206" t="s">
        <v>111</v>
      </c>
      <c r="BK1206" t="s">
        <v>111</v>
      </c>
      <c r="BL1206" t="s">
        <v>111</v>
      </c>
      <c r="BM1206" t="s">
        <v>111</v>
      </c>
      <c r="BN1206" t="s">
        <v>111</v>
      </c>
      <c r="BO1206" t="s">
        <v>111</v>
      </c>
      <c r="BP1206" t="s">
        <v>111</v>
      </c>
      <c r="BQ1206" t="s">
        <v>111</v>
      </c>
      <c r="BR1206" t="s">
        <v>111</v>
      </c>
      <c r="BS1206" t="s">
        <v>111</v>
      </c>
      <c r="BT1206" t="s">
        <v>111</v>
      </c>
      <c r="BU1206" t="s">
        <v>111</v>
      </c>
      <c r="BV1206" t="s">
        <v>111</v>
      </c>
      <c r="BW1206" t="s">
        <v>111</v>
      </c>
      <c r="BX1206" t="s">
        <v>111</v>
      </c>
      <c r="BY1206" t="s">
        <v>111</v>
      </c>
      <c r="BZ1206" t="s">
        <v>111</v>
      </c>
      <c r="CA1206" t="s">
        <v>111</v>
      </c>
      <c r="CB1206" t="s">
        <v>111</v>
      </c>
      <c r="CC1206" t="s">
        <v>111</v>
      </c>
      <c r="CD1206" t="s">
        <v>111</v>
      </c>
      <c r="CE1206" t="s">
        <v>111</v>
      </c>
      <c r="CF1206" t="s">
        <v>111</v>
      </c>
      <c r="CG1206" t="s">
        <v>111</v>
      </c>
      <c r="CH1206" t="s">
        <v>111</v>
      </c>
      <c r="CI1206" t="s">
        <v>111</v>
      </c>
      <c r="CJ1206" t="s">
        <v>111</v>
      </c>
      <c r="CK1206" t="s">
        <v>111</v>
      </c>
      <c r="CL1206" t="s">
        <v>111</v>
      </c>
      <c r="CM1206" t="s">
        <v>438</v>
      </c>
      <c r="CN1206" t="s">
        <v>113</v>
      </c>
      <c r="CO1206" t="s">
        <v>111</v>
      </c>
      <c r="CP1206" t="s">
        <v>111</v>
      </c>
      <c r="CQ1206">
        <v>0</v>
      </c>
      <c r="CR1206">
        <v>4000</v>
      </c>
      <c r="CS1206">
        <v>200</v>
      </c>
      <c r="CT1206" t="e">
        <f>- DESTINO ALMACEN</f>
        <v>#NAME?</v>
      </c>
      <c r="CU1206">
        <v>0</v>
      </c>
      <c r="CV1206" t="s">
        <v>111</v>
      </c>
      <c r="CX1206" t="s">
        <v>111</v>
      </c>
      <c r="CY1206">
        <v>0</v>
      </c>
      <c r="CZ1206" t="s">
        <v>111</v>
      </c>
      <c r="DA1206" t="s">
        <v>111</v>
      </c>
      <c r="DB1206" t="s">
        <v>111</v>
      </c>
      <c r="DC1206" t="s">
        <v>111</v>
      </c>
    </row>
    <row r="1207" spans="1:107">
      <c r="A1207">
        <v>1971</v>
      </c>
      <c r="B1207" t="s">
        <v>107</v>
      </c>
      <c r="C1207" t="s">
        <v>3564</v>
      </c>
      <c r="D1207" t="s">
        <v>3565</v>
      </c>
      <c r="E1207" t="s">
        <v>3566</v>
      </c>
      <c r="F1207" t="s">
        <v>3567</v>
      </c>
      <c r="G1207" t="s">
        <v>3563</v>
      </c>
      <c r="H1207">
        <v>1.2</v>
      </c>
      <c r="I1207">
        <v>40</v>
      </c>
      <c r="J1207">
        <v>0</v>
      </c>
      <c r="K1207">
        <v>0</v>
      </c>
      <c r="L1207" t="s">
        <v>117</v>
      </c>
      <c r="M1207" t="s">
        <v>111</v>
      </c>
      <c r="N1207">
        <v>0</v>
      </c>
      <c r="O1207">
        <v>0</v>
      </c>
      <c r="P1207" t="s">
        <v>111</v>
      </c>
      <c r="Q1207">
        <v>20</v>
      </c>
      <c r="R1207">
        <v>0</v>
      </c>
      <c r="S1207">
        <v>0</v>
      </c>
      <c r="T1207">
        <v>0</v>
      </c>
      <c r="U1207" s="1" t="s">
        <v>3568</v>
      </c>
      <c r="V1207">
        <v>0</v>
      </c>
      <c r="W1207">
        <v>0</v>
      </c>
      <c r="X1207">
        <v>0</v>
      </c>
      <c r="Y1207">
        <v>25</v>
      </c>
      <c r="Z1207" t="s">
        <v>111</v>
      </c>
      <c r="AA1207">
        <v>0</v>
      </c>
      <c r="AB1207" t="s">
        <v>111</v>
      </c>
      <c r="AC1207">
        <v>0</v>
      </c>
      <c r="AD1207" t="s">
        <v>111</v>
      </c>
      <c r="AE1207">
        <v>0</v>
      </c>
      <c r="AF1207">
        <v>0</v>
      </c>
      <c r="AG1207" t="s">
        <v>111</v>
      </c>
      <c r="AH1207" t="s">
        <v>111</v>
      </c>
      <c r="AI1207" t="s">
        <v>111</v>
      </c>
      <c r="AJ1207" t="s">
        <v>111</v>
      </c>
      <c r="AK1207" t="s">
        <v>111</v>
      </c>
      <c r="AL1207" t="s">
        <v>111</v>
      </c>
      <c r="AM1207">
        <v>0</v>
      </c>
      <c r="AN1207">
        <v>0</v>
      </c>
      <c r="AO1207">
        <v>0</v>
      </c>
      <c r="AP1207" t="s">
        <v>111</v>
      </c>
      <c r="AQ1207" t="s">
        <v>111</v>
      </c>
      <c r="AR1207" t="s">
        <v>111</v>
      </c>
      <c r="AS1207" t="s">
        <v>111</v>
      </c>
      <c r="AT1207" t="s">
        <v>111</v>
      </c>
      <c r="AU1207" t="s">
        <v>111</v>
      </c>
      <c r="AV1207" t="s">
        <v>111</v>
      </c>
      <c r="AW1207" t="s">
        <v>111</v>
      </c>
      <c r="AX1207" t="s">
        <v>111</v>
      </c>
      <c r="AY1207" t="s">
        <v>111</v>
      </c>
      <c r="AZ1207" t="s">
        <v>111</v>
      </c>
      <c r="BA1207" t="s">
        <v>111</v>
      </c>
      <c r="BB1207" t="s">
        <v>111</v>
      </c>
      <c r="BC1207" t="s">
        <v>111</v>
      </c>
      <c r="BD1207" t="s">
        <v>111</v>
      </c>
      <c r="BE1207" t="s">
        <v>111</v>
      </c>
      <c r="BF1207" t="s">
        <v>111</v>
      </c>
      <c r="BG1207" t="s">
        <v>111</v>
      </c>
      <c r="BH1207" t="s">
        <v>111</v>
      </c>
      <c r="BI1207" t="s">
        <v>111</v>
      </c>
      <c r="BJ1207" t="s">
        <v>111</v>
      </c>
      <c r="BK1207" t="s">
        <v>111</v>
      </c>
      <c r="BL1207" t="s">
        <v>111</v>
      </c>
      <c r="BM1207" t="s">
        <v>111</v>
      </c>
      <c r="BN1207" t="s">
        <v>111</v>
      </c>
      <c r="BO1207" t="s">
        <v>111</v>
      </c>
      <c r="BP1207" t="s">
        <v>111</v>
      </c>
      <c r="BQ1207" t="s">
        <v>111</v>
      </c>
      <c r="BR1207" t="s">
        <v>111</v>
      </c>
      <c r="BS1207" t="s">
        <v>111</v>
      </c>
      <c r="BT1207" t="s">
        <v>111</v>
      </c>
      <c r="BU1207" t="s">
        <v>111</v>
      </c>
      <c r="BV1207" t="s">
        <v>111</v>
      </c>
      <c r="BW1207" t="s">
        <v>111</v>
      </c>
      <c r="BX1207" t="s">
        <v>111</v>
      </c>
      <c r="BY1207" t="s">
        <v>111</v>
      </c>
      <c r="BZ1207" t="s">
        <v>111</v>
      </c>
      <c r="CA1207" t="s">
        <v>111</v>
      </c>
      <c r="CB1207" t="s">
        <v>111</v>
      </c>
      <c r="CC1207" t="s">
        <v>111</v>
      </c>
      <c r="CD1207" t="s">
        <v>111</v>
      </c>
      <c r="CE1207" t="s">
        <v>111</v>
      </c>
      <c r="CF1207" t="s">
        <v>111</v>
      </c>
      <c r="CG1207" t="s">
        <v>111</v>
      </c>
      <c r="CH1207" t="s">
        <v>111</v>
      </c>
      <c r="CI1207" t="s">
        <v>111</v>
      </c>
      <c r="CJ1207" t="s">
        <v>111</v>
      </c>
      <c r="CK1207" t="s">
        <v>111</v>
      </c>
      <c r="CL1207" t="s">
        <v>111</v>
      </c>
      <c r="CM1207" t="s">
        <v>111</v>
      </c>
      <c r="CN1207" t="s">
        <v>111</v>
      </c>
      <c r="CO1207" t="s">
        <v>111</v>
      </c>
      <c r="CP1207" t="s">
        <v>111</v>
      </c>
      <c r="CQ1207">
        <v>0</v>
      </c>
      <c r="CR1207">
        <v>0</v>
      </c>
      <c r="CS1207">
        <v>0</v>
      </c>
      <c r="CT1207" t="s">
        <v>111</v>
      </c>
      <c r="CU1207">
        <v>22</v>
      </c>
      <c r="CV1207" t="s">
        <v>111</v>
      </c>
      <c r="CX1207" t="s">
        <v>111</v>
      </c>
      <c r="CY1207">
        <v>10</v>
      </c>
      <c r="CZ1207" t="s">
        <v>117</v>
      </c>
      <c r="DA1207" t="e">
        <f>-ROLLOS BIEN EMPACADOS</f>
        <v>#NAME?</v>
      </c>
      <c r="DB1207" t="s">
        <v>111</v>
      </c>
      <c r="DC1207" t="s">
        <v>111</v>
      </c>
    </row>
    <row r="1208" spans="1:107">
      <c r="A1208">
        <v>1972</v>
      </c>
      <c r="B1208" t="s">
        <v>107</v>
      </c>
      <c r="C1208" t="s">
        <v>3564</v>
      </c>
      <c r="D1208" t="s">
        <v>3569</v>
      </c>
      <c r="E1208" t="s">
        <v>3570</v>
      </c>
      <c r="F1208" t="s">
        <v>3567</v>
      </c>
      <c r="G1208" t="s">
        <v>3563</v>
      </c>
      <c r="H1208">
        <v>1.2</v>
      </c>
      <c r="I1208">
        <v>32</v>
      </c>
      <c r="J1208">
        <v>0</v>
      </c>
      <c r="K1208">
        <v>0</v>
      </c>
      <c r="L1208" t="s">
        <v>117</v>
      </c>
      <c r="M1208" t="s">
        <v>111</v>
      </c>
      <c r="N1208">
        <v>0</v>
      </c>
      <c r="O1208">
        <v>0</v>
      </c>
      <c r="P1208" t="s">
        <v>111</v>
      </c>
      <c r="Q1208">
        <v>40</v>
      </c>
      <c r="R1208">
        <v>0</v>
      </c>
      <c r="S1208">
        <v>0</v>
      </c>
      <c r="T1208">
        <v>0</v>
      </c>
      <c r="U1208" t="e">
        <f>-REFILADO</f>
        <v>#NAME?</v>
      </c>
      <c r="V1208">
        <v>0</v>
      </c>
      <c r="W1208">
        <v>0</v>
      </c>
      <c r="X1208">
        <v>0</v>
      </c>
      <c r="Y1208">
        <v>25</v>
      </c>
      <c r="Z1208" t="s">
        <v>111</v>
      </c>
      <c r="AA1208">
        <v>0</v>
      </c>
      <c r="AB1208" t="s">
        <v>111</v>
      </c>
      <c r="AC1208">
        <v>0</v>
      </c>
      <c r="AD1208" t="s">
        <v>111</v>
      </c>
      <c r="AE1208">
        <v>0</v>
      </c>
      <c r="AF1208">
        <v>0</v>
      </c>
      <c r="AG1208" t="s">
        <v>111</v>
      </c>
      <c r="AH1208" t="s">
        <v>111</v>
      </c>
      <c r="AI1208" t="s">
        <v>111</v>
      </c>
      <c r="AJ1208" t="s">
        <v>111</v>
      </c>
      <c r="AK1208" t="s">
        <v>111</v>
      </c>
      <c r="AL1208" t="s">
        <v>111</v>
      </c>
      <c r="AM1208">
        <v>0</v>
      </c>
      <c r="AN1208">
        <v>0</v>
      </c>
      <c r="AO1208">
        <v>0</v>
      </c>
      <c r="AP1208" t="s">
        <v>111</v>
      </c>
      <c r="AQ1208" t="s">
        <v>111</v>
      </c>
      <c r="AR1208" t="s">
        <v>111</v>
      </c>
      <c r="AS1208" t="s">
        <v>111</v>
      </c>
      <c r="AT1208" t="s">
        <v>111</v>
      </c>
      <c r="AU1208" t="s">
        <v>111</v>
      </c>
      <c r="AV1208" t="s">
        <v>111</v>
      </c>
      <c r="AW1208" t="s">
        <v>111</v>
      </c>
      <c r="AX1208" t="s">
        <v>111</v>
      </c>
      <c r="AY1208" t="s">
        <v>111</v>
      </c>
      <c r="AZ1208" t="s">
        <v>111</v>
      </c>
      <c r="BA1208" t="s">
        <v>111</v>
      </c>
      <c r="BB1208" t="s">
        <v>111</v>
      </c>
      <c r="BC1208" t="s">
        <v>111</v>
      </c>
      <c r="BD1208" t="s">
        <v>111</v>
      </c>
      <c r="BE1208" t="s">
        <v>111</v>
      </c>
      <c r="BF1208" t="s">
        <v>111</v>
      </c>
      <c r="BG1208" t="s">
        <v>111</v>
      </c>
      <c r="BH1208" t="s">
        <v>111</v>
      </c>
      <c r="BI1208" t="s">
        <v>111</v>
      </c>
      <c r="BJ1208" t="s">
        <v>111</v>
      </c>
      <c r="BK1208" t="s">
        <v>111</v>
      </c>
      <c r="BL1208" t="s">
        <v>111</v>
      </c>
      <c r="BM1208" t="s">
        <v>111</v>
      </c>
      <c r="BN1208" t="s">
        <v>111</v>
      </c>
      <c r="BO1208" t="s">
        <v>111</v>
      </c>
      <c r="BP1208" t="s">
        <v>111</v>
      </c>
      <c r="BQ1208" t="s">
        <v>111</v>
      </c>
      <c r="BR1208" t="s">
        <v>111</v>
      </c>
      <c r="BS1208" t="s">
        <v>111</v>
      </c>
      <c r="BT1208" t="s">
        <v>111</v>
      </c>
      <c r="BU1208" t="s">
        <v>111</v>
      </c>
      <c r="BV1208" t="s">
        <v>111</v>
      </c>
      <c r="BW1208" t="s">
        <v>111</v>
      </c>
      <c r="BX1208" t="s">
        <v>111</v>
      </c>
      <c r="BY1208" t="s">
        <v>111</v>
      </c>
      <c r="BZ1208" t="s">
        <v>111</v>
      </c>
      <c r="CA1208" t="s">
        <v>111</v>
      </c>
      <c r="CB1208" t="s">
        <v>111</v>
      </c>
      <c r="CC1208" t="s">
        <v>111</v>
      </c>
      <c r="CD1208" t="s">
        <v>111</v>
      </c>
      <c r="CE1208" t="s">
        <v>111</v>
      </c>
      <c r="CF1208" t="s">
        <v>111</v>
      </c>
      <c r="CG1208" t="s">
        <v>111</v>
      </c>
      <c r="CH1208" t="s">
        <v>111</v>
      </c>
      <c r="CI1208" t="s">
        <v>111</v>
      </c>
      <c r="CJ1208" t="s">
        <v>111</v>
      </c>
      <c r="CK1208" t="s">
        <v>111</v>
      </c>
      <c r="CL1208" t="s">
        <v>111</v>
      </c>
      <c r="CM1208" t="s">
        <v>111</v>
      </c>
      <c r="CN1208" t="s">
        <v>111</v>
      </c>
      <c r="CO1208" t="s">
        <v>111</v>
      </c>
      <c r="CP1208" t="s">
        <v>111</v>
      </c>
      <c r="CQ1208">
        <v>0</v>
      </c>
      <c r="CR1208">
        <v>0</v>
      </c>
      <c r="CS1208">
        <v>0</v>
      </c>
      <c r="CT1208" t="s">
        <v>111</v>
      </c>
      <c r="CU1208">
        <v>32</v>
      </c>
      <c r="CV1208" t="s">
        <v>111</v>
      </c>
      <c r="CX1208" t="s">
        <v>111</v>
      </c>
      <c r="CY1208">
        <v>15</v>
      </c>
      <c r="CZ1208" t="s">
        <v>117</v>
      </c>
      <c r="DA1208" t="e">
        <f>-ROLLOS BIEN EMPACADOS</f>
        <v>#NAME?</v>
      </c>
      <c r="DB1208" t="s">
        <v>111</v>
      </c>
      <c r="DC1208" t="s">
        <v>111</v>
      </c>
    </row>
    <row r="1209" spans="1:107">
      <c r="A1209">
        <v>1962</v>
      </c>
      <c r="B1209" t="s">
        <v>107</v>
      </c>
      <c r="C1209" t="s">
        <v>593</v>
      </c>
      <c r="D1209" t="s">
        <v>3571</v>
      </c>
      <c r="E1209" t="s">
        <v>3572</v>
      </c>
      <c r="F1209" t="s">
        <v>3003</v>
      </c>
      <c r="G1209" t="s">
        <v>3563</v>
      </c>
      <c r="H1209">
        <v>1.2</v>
      </c>
      <c r="I1209">
        <v>40</v>
      </c>
      <c r="J1209">
        <v>0</v>
      </c>
      <c r="K1209">
        <v>0</v>
      </c>
      <c r="L1209" t="s">
        <v>117</v>
      </c>
      <c r="M1209" t="s">
        <v>118</v>
      </c>
      <c r="N1209">
        <v>0</v>
      </c>
      <c r="O1209">
        <v>1</v>
      </c>
      <c r="P1209" t="s">
        <v>111</v>
      </c>
      <c r="Q1209">
        <v>50</v>
      </c>
      <c r="R1209">
        <v>0</v>
      </c>
      <c r="S1209">
        <v>0</v>
      </c>
      <c r="T1209">
        <v>0</v>
      </c>
      <c r="U1209" t="e">
        <f>-IMPRESION DARMA</f>
        <v>#NAME?</v>
      </c>
      <c r="V1209">
        <v>0</v>
      </c>
      <c r="W1209">
        <v>0</v>
      </c>
      <c r="X1209">
        <v>0</v>
      </c>
      <c r="Y1209">
        <v>25</v>
      </c>
      <c r="Z1209" t="s">
        <v>111</v>
      </c>
      <c r="AA1209">
        <v>0</v>
      </c>
      <c r="AB1209" t="s">
        <v>111</v>
      </c>
      <c r="AC1209">
        <v>0</v>
      </c>
      <c r="AD1209" t="s">
        <v>416</v>
      </c>
      <c r="AE1209">
        <v>0</v>
      </c>
      <c r="AF1209">
        <v>0</v>
      </c>
      <c r="AG1209" t="s">
        <v>111</v>
      </c>
      <c r="AH1209" t="s">
        <v>111</v>
      </c>
      <c r="AI1209" t="s">
        <v>111</v>
      </c>
      <c r="AJ1209" t="s">
        <v>111</v>
      </c>
      <c r="AK1209" t="s">
        <v>111</v>
      </c>
      <c r="AL1209" t="s">
        <v>111</v>
      </c>
      <c r="AM1209">
        <v>0</v>
      </c>
      <c r="AN1209">
        <v>0</v>
      </c>
      <c r="AO1209">
        <v>0</v>
      </c>
      <c r="AP1209" t="s">
        <v>111</v>
      </c>
      <c r="AQ1209" t="s">
        <v>111</v>
      </c>
      <c r="AR1209" t="s">
        <v>111</v>
      </c>
      <c r="AS1209" t="s">
        <v>111</v>
      </c>
      <c r="AT1209" t="s">
        <v>111</v>
      </c>
      <c r="AU1209" t="s">
        <v>111</v>
      </c>
      <c r="AV1209" t="s">
        <v>111</v>
      </c>
      <c r="AW1209" t="s">
        <v>111</v>
      </c>
      <c r="AX1209" t="s">
        <v>111</v>
      </c>
      <c r="AY1209" t="s">
        <v>111</v>
      </c>
      <c r="AZ1209" t="s">
        <v>111</v>
      </c>
      <c r="BA1209" t="s">
        <v>111</v>
      </c>
      <c r="BB1209" t="s">
        <v>111</v>
      </c>
      <c r="BC1209" t="s">
        <v>111</v>
      </c>
      <c r="BD1209" t="s">
        <v>111</v>
      </c>
      <c r="BE1209" t="s">
        <v>111</v>
      </c>
      <c r="BF1209" t="s">
        <v>111</v>
      </c>
      <c r="BG1209" t="s">
        <v>111</v>
      </c>
      <c r="BH1209" t="s">
        <v>111</v>
      </c>
      <c r="BI1209" t="s">
        <v>111</v>
      </c>
      <c r="BJ1209" t="s">
        <v>111</v>
      </c>
      <c r="BK1209" t="s">
        <v>111</v>
      </c>
      <c r="BL1209" t="s">
        <v>111</v>
      </c>
      <c r="BM1209" t="s">
        <v>111</v>
      </c>
      <c r="BN1209" t="s">
        <v>111</v>
      </c>
      <c r="BO1209" t="s">
        <v>111</v>
      </c>
      <c r="BP1209" t="s">
        <v>111</v>
      </c>
      <c r="BQ1209" t="s">
        <v>111</v>
      </c>
      <c r="BR1209" t="s">
        <v>111</v>
      </c>
      <c r="BS1209" t="s">
        <v>111</v>
      </c>
      <c r="BT1209" t="s">
        <v>111</v>
      </c>
      <c r="BU1209" t="s">
        <v>111</v>
      </c>
      <c r="BV1209" t="s">
        <v>111</v>
      </c>
      <c r="BW1209" t="s">
        <v>111</v>
      </c>
      <c r="BX1209" t="s">
        <v>111</v>
      </c>
      <c r="BY1209" t="s">
        <v>111</v>
      </c>
      <c r="BZ1209" t="s">
        <v>111</v>
      </c>
      <c r="CA1209" t="s">
        <v>111</v>
      </c>
      <c r="CB1209" t="s">
        <v>111</v>
      </c>
      <c r="CC1209" t="s">
        <v>111</v>
      </c>
      <c r="CD1209" t="s">
        <v>111</v>
      </c>
      <c r="CE1209" t="s">
        <v>111</v>
      </c>
      <c r="CF1209" t="s">
        <v>111</v>
      </c>
      <c r="CG1209" t="s">
        <v>111</v>
      </c>
      <c r="CH1209" t="s">
        <v>111</v>
      </c>
      <c r="CI1209" t="s">
        <v>111</v>
      </c>
      <c r="CJ1209" t="s">
        <v>111</v>
      </c>
      <c r="CK1209" t="s">
        <v>111</v>
      </c>
      <c r="CL1209" t="s">
        <v>111</v>
      </c>
      <c r="CM1209" t="s">
        <v>111</v>
      </c>
      <c r="CN1209" t="s">
        <v>111</v>
      </c>
      <c r="CO1209" t="s">
        <v>111</v>
      </c>
      <c r="CP1209" t="s">
        <v>111</v>
      </c>
      <c r="CQ1209">
        <v>0</v>
      </c>
      <c r="CR1209">
        <v>0</v>
      </c>
      <c r="CS1209">
        <v>0</v>
      </c>
      <c r="CT1209" t="s">
        <v>111</v>
      </c>
      <c r="CU1209">
        <v>40</v>
      </c>
      <c r="CV1209" t="s">
        <v>111</v>
      </c>
      <c r="CX1209" t="s">
        <v>111</v>
      </c>
      <c r="CY1209">
        <v>15</v>
      </c>
      <c r="CZ1209" t="s">
        <v>117</v>
      </c>
      <c r="DA1209" s="1" t="s">
        <v>3573</v>
      </c>
      <c r="DB1209" t="s">
        <v>111</v>
      </c>
      <c r="DC1209" t="s">
        <v>111</v>
      </c>
    </row>
    <row r="1210" spans="1:107">
      <c r="A1210">
        <v>2047</v>
      </c>
      <c r="B1210" t="s">
        <v>376</v>
      </c>
      <c r="C1210" t="s">
        <v>114</v>
      </c>
      <c r="D1210" t="s">
        <v>1876</v>
      </c>
      <c r="E1210" t="s">
        <v>1969</v>
      </c>
      <c r="F1210" t="s">
        <v>431</v>
      </c>
      <c r="G1210" t="s">
        <v>3563</v>
      </c>
      <c r="H1210">
        <v>2.4</v>
      </c>
      <c r="I1210">
        <v>70</v>
      </c>
      <c r="J1210">
        <v>0</v>
      </c>
      <c r="K1210">
        <v>0</v>
      </c>
      <c r="L1210" t="s">
        <v>117</v>
      </c>
      <c r="M1210" t="s">
        <v>118</v>
      </c>
      <c r="N1210">
        <v>40</v>
      </c>
      <c r="O1210">
        <v>1</v>
      </c>
      <c r="P1210" t="s">
        <v>111</v>
      </c>
      <c r="Q1210">
        <v>38</v>
      </c>
      <c r="R1210">
        <v>0</v>
      </c>
      <c r="S1210">
        <v>0</v>
      </c>
      <c r="T1210">
        <v>5</v>
      </c>
      <c r="U1210" s="1" t="s">
        <v>3574</v>
      </c>
      <c r="V1210">
        <v>0</v>
      </c>
      <c r="W1210">
        <v>25</v>
      </c>
      <c r="X1210">
        <v>8</v>
      </c>
      <c r="Y1210">
        <v>0</v>
      </c>
      <c r="Z1210" t="s">
        <v>111</v>
      </c>
      <c r="AA1210">
        <v>0</v>
      </c>
      <c r="AB1210" t="s">
        <v>111</v>
      </c>
      <c r="AC1210">
        <v>0</v>
      </c>
      <c r="AD1210" t="s">
        <v>493</v>
      </c>
      <c r="AE1210">
        <v>0</v>
      </c>
      <c r="AF1210">
        <v>0</v>
      </c>
      <c r="AG1210" t="s">
        <v>111</v>
      </c>
      <c r="AH1210" t="s">
        <v>111</v>
      </c>
      <c r="AI1210" t="s">
        <v>111</v>
      </c>
      <c r="AJ1210" t="s">
        <v>111</v>
      </c>
      <c r="AK1210" t="s">
        <v>111</v>
      </c>
      <c r="AL1210" t="s">
        <v>111</v>
      </c>
      <c r="AM1210">
        <v>0</v>
      </c>
      <c r="AN1210">
        <v>0</v>
      </c>
      <c r="AO1210">
        <v>0</v>
      </c>
      <c r="AP1210" t="s">
        <v>111</v>
      </c>
      <c r="AQ1210" t="s">
        <v>111</v>
      </c>
      <c r="AR1210" t="s">
        <v>111</v>
      </c>
      <c r="AS1210" t="s">
        <v>111</v>
      </c>
      <c r="AT1210" t="s">
        <v>111</v>
      </c>
      <c r="AU1210" t="s">
        <v>111</v>
      </c>
      <c r="AV1210" t="s">
        <v>111</v>
      </c>
      <c r="AW1210" t="s">
        <v>111</v>
      </c>
      <c r="AX1210" t="s">
        <v>111</v>
      </c>
      <c r="AY1210" t="s">
        <v>111</v>
      </c>
      <c r="AZ1210" t="s">
        <v>111</v>
      </c>
      <c r="BA1210" t="s">
        <v>111</v>
      </c>
      <c r="BB1210" t="s">
        <v>111</v>
      </c>
      <c r="BC1210" t="s">
        <v>111</v>
      </c>
      <c r="BD1210" t="s">
        <v>111</v>
      </c>
      <c r="BE1210" t="s">
        <v>111</v>
      </c>
      <c r="BF1210" t="s">
        <v>111</v>
      </c>
      <c r="BG1210" t="s">
        <v>111</v>
      </c>
      <c r="BH1210" t="s">
        <v>111</v>
      </c>
      <c r="BI1210" t="s">
        <v>111</v>
      </c>
      <c r="BJ1210" t="s">
        <v>111</v>
      </c>
      <c r="BK1210" t="s">
        <v>111</v>
      </c>
      <c r="BL1210" t="s">
        <v>111</v>
      </c>
      <c r="BM1210" t="s">
        <v>111</v>
      </c>
      <c r="BN1210" t="s">
        <v>111</v>
      </c>
      <c r="BO1210" t="s">
        <v>111</v>
      </c>
      <c r="BP1210" t="s">
        <v>111</v>
      </c>
      <c r="BQ1210" t="s">
        <v>111</v>
      </c>
      <c r="BR1210" t="s">
        <v>111</v>
      </c>
      <c r="BS1210" t="s">
        <v>111</v>
      </c>
      <c r="BT1210" t="s">
        <v>111</v>
      </c>
      <c r="BU1210" t="s">
        <v>111</v>
      </c>
      <c r="BV1210" t="s">
        <v>111</v>
      </c>
      <c r="BW1210" t="s">
        <v>111</v>
      </c>
      <c r="BX1210" t="s">
        <v>111</v>
      </c>
      <c r="BY1210" t="s">
        <v>111</v>
      </c>
      <c r="BZ1210" t="s">
        <v>111</v>
      </c>
      <c r="CA1210" t="s">
        <v>111</v>
      </c>
      <c r="CB1210" t="s">
        <v>111</v>
      </c>
      <c r="CC1210" t="s">
        <v>111</v>
      </c>
      <c r="CD1210" t="s">
        <v>111</v>
      </c>
      <c r="CE1210" t="s">
        <v>111</v>
      </c>
      <c r="CF1210" t="s">
        <v>111</v>
      </c>
      <c r="CG1210" t="s">
        <v>111</v>
      </c>
      <c r="CH1210" t="s">
        <v>111</v>
      </c>
      <c r="CI1210" t="s">
        <v>111</v>
      </c>
      <c r="CJ1210" t="s">
        <v>111</v>
      </c>
      <c r="CK1210" t="s">
        <v>111</v>
      </c>
      <c r="CL1210" t="s">
        <v>111</v>
      </c>
      <c r="CM1210" t="s">
        <v>135</v>
      </c>
      <c r="CN1210" t="s">
        <v>113</v>
      </c>
      <c r="CO1210" t="s">
        <v>111</v>
      </c>
      <c r="CP1210" t="e">
        <f>-MUESTRA</f>
        <v>#NAME?</v>
      </c>
      <c r="CQ1210">
        <v>0</v>
      </c>
      <c r="CR1210">
        <v>3000</v>
      </c>
      <c r="CS1210">
        <v>100</v>
      </c>
      <c r="CT1210" t="e">
        <f>- DESTINO ALMACEN</f>
        <v>#NAME?</v>
      </c>
      <c r="CU1210">
        <v>0</v>
      </c>
      <c r="CV1210" t="s">
        <v>111</v>
      </c>
      <c r="CX1210" t="s">
        <v>111</v>
      </c>
      <c r="CY1210">
        <v>0</v>
      </c>
      <c r="CZ1210" t="s">
        <v>111</v>
      </c>
      <c r="DA1210" t="s">
        <v>111</v>
      </c>
      <c r="DB1210" t="s">
        <v>111</v>
      </c>
      <c r="DC1210" t="s">
        <v>111</v>
      </c>
    </row>
    <row r="1211" spans="1:107">
      <c r="A1211">
        <v>2067</v>
      </c>
      <c r="B1211" t="s">
        <v>376</v>
      </c>
      <c r="C1211" t="s">
        <v>119</v>
      </c>
      <c r="D1211" t="s">
        <v>3575</v>
      </c>
      <c r="E1211" t="s">
        <v>3576</v>
      </c>
      <c r="F1211" t="s">
        <v>125</v>
      </c>
      <c r="G1211" t="s">
        <v>3563</v>
      </c>
      <c r="H1211">
        <v>0.7</v>
      </c>
      <c r="I1211">
        <v>66</v>
      </c>
      <c r="J1211">
        <v>0</v>
      </c>
      <c r="K1211">
        <v>0</v>
      </c>
      <c r="L1211" t="s">
        <v>112</v>
      </c>
      <c r="M1211" t="s">
        <v>111</v>
      </c>
      <c r="N1211">
        <v>0</v>
      </c>
      <c r="O1211">
        <v>0</v>
      </c>
      <c r="P1211" t="s">
        <v>111</v>
      </c>
      <c r="Q1211">
        <v>44.3</v>
      </c>
      <c r="R1211">
        <v>0</v>
      </c>
      <c r="S1211">
        <v>0</v>
      </c>
      <c r="T1211">
        <v>5</v>
      </c>
      <c r="U1211" t="e">
        <f>- DESTINO SELLADO</f>
        <v>#NAME?</v>
      </c>
      <c r="V1211">
        <v>25</v>
      </c>
      <c r="W1211">
        <v>0</v>
      </c>
      <c r="X1211">
        <v>8</v>
      </c>
      <c r="Y1211">
        <v>0</v>
      </c>
      <c r="Z1211" t="s">
        <v>111</v>
      </c>
      <c r="AA1211">
        <v>0</v>
      </c>
      <c r="AB1211" t="s">
        <v>111</v>
      </c>
      <c r="AC1211">
        <v>0</v>
      </c>
      <c r="AD1211" t="s">
        <v>111</v>
      </c>
      <c r="AE1211">
        <v>0</v>
      </c>
      <c r="AF1211">
        <v>0</v>
      </c>
      <c r="AG1211" t="s">
        <v>111</v>
      </c>
      <c r="AH1211" t="s">
        <v>111</v>
      </c>
      <c r="AI1211" t="s">
        <v>111</v>
      </c>
      <c r="AJ1211" t="s">
        <v>111</v>
      </c>
      <c r="AK1211" t="s">
        <v>111</v>
      </c>
      <c r="AL1211" t="s">
        <v>111</v>
      </c>
      <c r="AM1211">
        <v>0</v>
      </c>
      <c r="AN1211">
        <v>0</v>
      </c>
      <c r="AO1211">
        <v>0</v>
      </c>
      <c r="AP1211" t="s">
        <v>111</v>
      </c>
      <c r="AQ1211" t="s">
        <v>111</v>
      </c>
      <c r="AR1211" t="s">
        <v>111</v>
      </c>
      <c r="AS1211" t="s">
        <v>111</v>
      </c>
      <c r="AT1211" t="s">
        <v>111</v>
      </c>
      <c r="AU1211" t="s">
        <v>111</v>
      </c>
      <c r="AV1211" t="s">
        <v>111</v>
      </c>
      <c r="AW1211" t="s">
        <v>111</v>
      </c>
      <c r="AX1211" t="s">
        <v>111</v>
      </c>
      <c r="AY1211" t="s">
        <v>111</v>
      </c>
      <c r="AZ1211" t="s">
        <v>111</v>
      </c>
      <c r="BA1211" t="s">
        <v>111</v>
      </c>
      <c r="BB1211" t="s">
        <v>111</v>
      </c>
      <c r="BC1211" t="s">
        <v>111</v>
      </c>
      <c r="BD1211" t="s">
        <v>111</v>
      </c>
      <c r="BE1211" t="s">
        <v>111</v>
      </c>
      <c r="BF1211" t="s">
        <v>111</v>
      </c>
      <c r="BG1211" t="s">
        <v>111</v>
      </c>
      <c r="BH1211" t="s">
        <v>111</v>
      </c>
      <c r="BI1211" t="s">
        <v>111</v>
      </c>
      <c r="BJ1211" t="s">
        <v>111</v>
      </c>
      <c r="BK1211" t="s">
        <v>111</v>
      </c>
      <c r="BL1211" t="s">
        <v>111</v>
      </c>
      <c r="BM1211" t="s">
        <v>111</v>
      </c>
      <c r="BN1211" t="s">
        <v>111</v>
      </c>
      <c r="BO1211" t="s">
        <v>111</v>
      </c>
      <c r="BP1211" t="s">
        <v>111</v>
      </c>
      <c r="BQ1211" t="s">
        <v>111</v>
      </c>
      <c r="BR1211" t="s">
        <v>111</v>
      </c>
      <c r="BS1211" t="s">
        <v>111</v>
      </c>
      <c r="BT1211" t="s">
        <v>111</v>
      </c>
      <c r="BU1211" t="s">
        <v>111</v>
      </c>
      <c r="BV1211" t="s">
        <v>111</v>
      </c>
      <c r="BW1211" t="s">
        <v>111</v>
      </c>
      <c r="BX1211" t="s">
        <v>111</v>
      </c>
      <c r="BY1211" t="s">
        <v>111</v>
      </c>
      <c r="BZ1211" t="s">
        <v>111</v>
      </c>
      <c r="CA1211" t="s">
        <v>111</v>
      </c>
      <c r="CB1211" t="s">
        <v>111</v>
      </c>
      <c r="CC1211" t="s">
        <v>111</v>
      </c>
      <c r="CD1211" t="s">
        <v>111</v>
      </c>
      <c r="CE1211" t="s">
        <v>111</v>
      </c>
      <c r="CF1211" t="s">
        <v>111</v>
      </c>
      <c r="CG1211" t="s">
        <v>111</v>
      </c>
      <c r="CH1211" t="s">
        <v>111</v>
      </c>
      <c r="CI1211" t="s">
        <v>111</v>
      </c>
      <c r="CJ1211" t="s">
        <v>111</v>
      </c>
      <c r="CK1211" t="s">
        <v>111</v>
      </c>
      <c r="CL1211" t="s">
        <v>111</v>
      </c>
      <c r="CM1211" t="s">
        <v>127</v>
      </c>
      <c r="CN1211" t="s">
        <v>128</v>
      </c>
      <c r="CO1211" t="s">
        <v>111</v>
      </c>
      <c r="CP1211" t="s">
        <v>111</v>
      </c>
      <c r="CQ1211">
        <v>0</v>
      </c>
      <c r="CR1211">
        <v>0</v>
      </c>
      <c r="CS1211">
        <v>0</v>
      </c>
      <c r="CT1211" t="e">
        <f>- DESTINO ALMACEN</f>
        <v>#NAME?</v>
      </c>
      <c r="CU1211">
        <v>0</v>
      </c>
      <c r="CV1211" t="s">
        <v>111</v>
      </c>
      <c r="CX1211" t="s">
        <v>111</v>
      </c>
      <c r="CY1211">
        <v>0</v>
      </c>
      <c r="CZ1211" t="s">
        <v>111</v>
      </c>
      <c r="DA1211" t="s">
        <v>111</v>
      </c>
      <c r="DB1211" t="s">
        <v>111</v>
      </c>
      <c r="DC1211" t="s">
        <v>111</v>
      </c>
    </row>
    <row r="1212" spans="1:107">
      <c r="A1212">
        <v>1440</v>
      </c>
      <c r="B1212" t="s">
        <v>107</v>
      </c>
      <c r="C1212" t="s">
        <v>351</v>
      </c>
      <c r="D1212" t="s">
        <v>3577</v>
      </c>
      <c r="E1212" t="s">
        <v>3578</v>
      </c>
      <c r="F1212" t="s">
        <v>404</v>
      </c>
      <c r="G1212" t="s">
        <v>240</v>
      </c>
      <c r="H1212">
        <v>1</v>
      </c>
      <c r="I1212">
        <v>65</v>
      </c>
      <c r="J1212">
        <v>0</v>
      </c>
      <c r="K1212">
        <v>0</v>
      </c>
      <c r="L1212" t="s">
        <v>112</v>
      </c>
      <c r="M1212" t="s">
        <v>111</v>
      </c>
      <c r="N1212">
        <v>0</v>
      </c>
      <c r="O1212">
        <v>0</v>
      </c>
      <c r="P1212" t="s">
        <v>111</v>
      </c>
      <c r="Q1212">
        <v>20</v>
      </c>
      <c r="R1212">
        <v>0</v>
      </c>
      <c r="S1212">
        <v>0</v>
      </c>
      <c r="T1212">
        <v>0</v>
      </c>
      <c r="U1212" t="e">
        <f>-ALMACEN</f>
        <v>#NAME?</v>
      </c>
      <c r="V1212">
        <v>0</v>
      </c>
      <c r="W1212">
        <v>0</v>
      </c>
      <c r="X1212">
        <v>10</v>
      </c>
      <c r="Y1212">
        <v>0</v>
      </c>
      <c r="Z1212" t="s">
        <v>111</v>
      </c>
      <c r="AA1212">
        <v>0</v>
      </c>
      <c r="AB1212" t="s">
        <v>111</v>
      </c>
      <c r="AC1212">
        <v>0</v>
      </c>
      <c r="AD1212" t="s">
        <v>111</v>
      </c>
      <c r="AE1212">
        <v>0</v>
      </c>
      <c r="AF1212">
        <v>0</v>
      </c>
      <c r="AG1212" t="s">
        <v>111</v>
      </c>
      <c r="AH1212" t="s">
        <v>111</v>
      </c>
      <c r="AI1212" t="s">
        <v>111</v>
      </c>
      <c r="AJ1212" t="s">
        <v>111</v>
      </c>
      <c r="AK1212" t="s">
        <v>111</v>
      </c>
      <c r="AL1212" t="s">
        <v>111</v>
      </c>
      <c r="AM1212">
        <v>0</v>
      </c>
      <c r="AN1212">
        <v>0</v>
      </c>
      <c r="AO1212">
        <v>0</v>
      </c>
      <c r="AP1212" t="s">
        <v>111</v>
      </c>
      <c r="AQ1212" t="s">
        <v>111</v>
      </c>
      <c r="AR1212" t="s">
        <v>111</v>
      </c>
      <c r="AS1212" t="s">
        <v>111</v>
      </c>
      <c r="AT1212" t="s">
        <v>111</v>
      </c>
      <c r="AU1212" t="s">
        <v>111</v>
      </c>
      <c r="AV1212" t="s">
        <v>111</v>
      </c>
      <c r="AW1212" t="s">
        <v>111</v>
      </c>
      <c r="AX1212" t="s">
        <v>111</v>
      </c>
      <c r="AY1212" t="s">
        <v>111</v>
      </c>
      <c r="AZ1212" t="s">
        <v>111</v>
      </c>
      <c r="BA1212" t="s">
        <v>111</v>
      </c>
      <c r="BB1212" t="s">
        <v>111</v>
      </c>
      <c r="BC1212" t="s">
        <v>111</v>
      </c>
      <c r="BD1212" t="s">
        <v>111</v>
      </c>
      <c r="BE1212" t="s">
        <v>111</v>
      </c>
      <c r="BF1212" t="s">
        <v>111</v>
      </c>
      <c r="BG1212" t="s">
        <v>111</v>
      </c>
      <c r="BH1212" t="s">
        <v>111</v>
      </c>
      <c r="BI1212" t="s">
        <v>111</v>
      </c>
      <c r="BJ1212" t="s">
        <v>111</v>
      </c>
      <c r="BK1212" t="s">
        <v>111</v>
      </c>
      <c r="BL1212" t="s">
        <v>111</v>
      </c>
      <c r="BM1212" t="s">
        <v>111</v>
      </c>
      <c r="BN1212" t="s">
        <v>111</v>
      </c>
      <c r="BO1212" t="s">
        <v>111</v>
      </c>
      <c r="BP1212" t="s">
        <v>111</v>
      </c>
      <c r="BQ1212" t="s">
        <v>111</v>
      </c>
      <c r="BR1212" t="s">
        <v>111</v>
      </c>
      <c r="BS1212" t="s">
        <v>111</v>
      </c>
      <c r="BT1212" t="s">
        <v>111</v>
      </c>
      <c r="BU1212" t="s">
        <v>111</v>
      </c>
      <c r="BV1212" t="s">
        <v>111</v>
      </c>
      <c r="BW1212" t="s">
        <v>111</v>
      </c>
      <c r="BX1212" t="s">
        <v>111</v>
      </c>
      <c r="BY1212" t="s">
        <v>111</v>
      </c>
      <c r="BZ1212" t="s">
        <v>111</v>
      </c>
      <c r="CA1212" t="s">
        <v>111</v>
      </c>
      <c r="CB1212" t="s">
        <v>111</v>
      </c>
      <c r="CC1212" t="s">
        <v>111</v>
      </c>
      <c r="CD1212" t="s">
        <v>111</v>
      </c>
      <c r="CE1212" t="s">
        <v>111</v>
      </c>
      <c r="CF1212" t="s">
        <v>111</v>
      </c>
      <c r="CG1212" t="s">
        <v>111</v>
      </c>
      <c r="CH1212" t="s">
        <v>111</v>
      </c>
      <c r="CI1212" t="s">
        <v>111</v>
      </c>
      <c r="CJ1212" t="s">
        <v>111</v>
      </c>
      <c r="CK1212" t="s">
        <v>111</v>
      </c>
      <c r="CL1212" t="s">
        <v>111</v>
      </c>
      <c r="CM1212" t="s">
        <v>3579</v>
      </c>
      <c r="CN1212" t="s">
        <v>128</v>
      </c>
      <c r="CO1212" t="s">
        <v>111</v>
      </c>
      <c r="CP1212" t="s">
        <v>111</v>
      </c>
      <c r="CQ1212">
        <v>0</v>
      </c>
      <c r="CR1212">
        <v>0</v>
      </c>
      <c r="CS1212">
        <v>0</v>
      </c>
      <c r="CT1212" t="e">
        <f>-ALMACEN</f>
        <v>#NAME?</v>
      </c>
      <c r="CU1212">
        <v>0</v>
      </c>
      <c r="CV1212" t="s">
        <v>111</v>
      </c>
      <c r="CW1212" t="s">
        <v>111</v>
      </c>
      <c r="CX1212" t="s">
        <v>111</v>
      </c>
      <c r="CY1212">
        <v>0</v>
      </c>
      <c r="CZ1212" t="s">
        <v>111</v>
      </c>
      <c r="DA1212" t="s">
        <v>111</v>
      </c>
      <c r="DB1212" t="s">
        <v>111</v>
      </c>
      <c r="DC1212" t="s">
        <v>111</v>
      </c>
    </row>
    <row r="1213" spans="1:107">
      <c r="A1213">
        <v>2085</v>
      </c>
      <c r="B1213" t="s">
        <v>376</v>
      </c>
      <c r="C1213" t="s">
        <v>2359</v>
      </c>
      <c r="D1213" t="s">
        <v>3580</v>
      </c>
      <c r="E1213" t="s">
        <v>3581</v>
      </c>
      <c r="F1213" t="s">
        <v>404</v>
      </c>
      <c r="G1213" t="s">
        <v>240</v>
      </c>
      <c r="H1213">
        <v>0.5</v>
      </c>
      <c r="I1213">
        <v>60</v>
      </c>
      <c r="J1213">
        <v>0</v>
      </c>
      <c r="K1213">
        <v>0</v>
      </c>
      <c r="L1213" t="s">
        <v>112</v>
      </c>
      <c r="M1213" t="s">
        <v>111</v>
      </c>
      <c r="N1213">
        <v>0</v>
      </c>
      <c r="O1213">
        <v>0</v>
      </c>
      <c r="P1213" t="s">
        <v>111</v>
      </c>
      <c r="Q1213">
        <v>2</v>
      </c>
      <c r="R1213">
        <v>0</v>
      </c>
      <c r="S1213">
        <v>0</v>
      </c>
      <c r="T1213">
        <v>5</v>
      </c>
      <c r="U1213" s="1" t="s">
        <v>3582</v>
      </c>
      <c r="V1213">
        <v>25</v>
      </c>
      <c r="W1213">
        <v>0</v>
      </c>
      <c r="X1213">
        <v>8</v>
      </c>
      <c r="Y1213">
        <v>0</v>
      </c>
      <c r="Z1213" t="s">
        <v>111</v>
      </c>
      <c r="AA1213">
        <v>0</v>
      </c>
      <c r="AB1213" t="s">
        <v>111</v>
      </c>
      <c r="AC1213">
        <v>0</v>
      </c>
      <c r="AD1213" t="s">
        <v>111</v>
      </c>
      <c r="AE1213">
        <v>0</v>
      </c>
      <c r="AF1213">
        <v>0</v>
      </c>
      <c r="AG1213" t="s">
        <v>111</v>
      </c>
      <c r="AH1213" t="s">
        <v>111</v>
      </c>
      <c r="AI1213" t="s">
        <v>111</v>
      </c>
      <c r="AJ1213" t="s">
        <v>111</v>
      </c>
      <c r="AK1213" t="s">
        <v>111</v>
      </c>
      <c r="AL1213" t="s">
        <v>111</v>
      </c>
      <c r="AM1213">
        <v>0</v>
      </c>
      <c r="AN1213">
        <v>0</v>
      </c>
      <c r="AO1213">
        <v>0</v>
      </c>
      <c r="AP1213" t="s">
        <v>111</v>
      </c>
      <c r="AQ1213" t="s">
        <v>111</v>
      </c>
      <c r="AR1213" t="s">
        <v>111</v>
      </c>
      <c r="AS1213" t="s">
        <v>111</v>
      </c>
      <c r="AT1213" t="s">
        <v>111</v>
      </c>
      <c r="AU1213" t="s">
        <v>111</v>
      </c>
      <c r="AV1213" t="s">
        <v>111</v>
      </c>
      <c r="AW1213" t="s">
        <v>111</v>
      </c>
      <c r="AX1213" t="s">
        <v>111</v>
      </c>
      <c r="AY1213" t="s">
        <v>111</v>
      </c>
      <c r="AZ1213" t="s">
        <v>111</v>
      </c>
      <c r="BA1213" t="s">
        <v>111</v>
      </c>
      <c r="BB1213" t="s">
        <v>111</v>
      </c>
      <c r="BC1213" t="s">
        <v>111</v>
      </c>
      <c r="BD1213" t="s">
        <v>111</v>
      </c>
      <c r="BE1213" t="s">
        <v>111</v>
      </c>
      <c r="BF1213" t="s">
        <v>111</v>
      </c>
      <c r="BG1213" t="s">
        <v>111</v>
      </c>
      <c r="BH1213" t="s">
        <v>111</v>
      </c>
      <c r="BI1213" t="s">
        <v>111</v>
      </c>
      <c r="BJ1213" t="s">
        <v>111</v>
      </c>
      <c r="BK1213" t="s">
        <v>111</v>
      </c>
      <c r="BL1213" t="s">
        <v>111</v>
      </c>
      <c r="BM1213" t="s">
        <v>111</v>
      </c>
      <c r="BN1213" t="s">
        <v>111</v>
      </c>
      <c r="BO1213" t="s">
        <v>111</v>
      </c>
      <c r="BP1213" t="s">
        <v>111</v>
      </c>
      <c r="BQ1213" t="s">
        <v>111</v>
      </c>
      <c r="BR1213" t="s">
        <v>111</v>
      </c>
      <c r="BS1213" t="s">
        <v>111</v>
      </c>
      <c r="BT1213" t="s">
        <v>111</v>
      </c>
      <c r="BU1213" t="s">
        <v>111</v>
      </c>
      <c r="BV1213" t="s">
        <v>111</v>
      </c>
      <c r="BW1213" t="s">
        <v>111</v>
      </c>
      <c r="BX1213" t="s">
        <v>111</v>
      </c>
      <c r="BY1213" t="s">
        <v>111</v>
      </c>
      <c r="BZ1213" t="s">
        <v>111</v>
      </c>
      <c r="CA1213" t="s">
        <v>111</v>
      </c>
      <c r="CB1213" t="s">
        <v>111</v>
      </c>
      <c r="CC1213" t="s">
        <v>111</v>
      </c>
      <c r="CD1213" t="s">
        <v>111</v>
      </c>
      <c r="CE1213" t="s">
        <v>111</v>
      </c>
      <c r="CF1213" t="s">
        <v>111</v>
      </c>
      <c r="CG1213" t="s">
        <v>111</v>
      </c>
      <c r="CH1213" t="s">
        <v>111</v>
      </c>
      <c r="CI1213" t="s">
        <v>111</v>
      </c>
      <c r="CJ1213" t="s">
        <v>111</v>
      </c>
      <c r="CK1213" t="s">
        <v>111</v>
      </c>
      <c r="CL1213" t="s">
        <v>111</v>
      </c>
      <c r="CM1213" t="s">
        <v>240</v>
      </c>
      <c r="CN1213" t="s">
        <v>113</v>
      </c>
      <c r="CO1213" t="s">
        <v>111</v>
      </c>
      <c r="CP1213" t="s">
        <v>111</v>
      </c>
      <c r="CQ1213">
        <v>0</v>
      </c>
      <c r="CR1213">
        <v>300</v>
      </c>
      <c r="CS1213">
        <v>300</v>
      </c>
      <c r="CT1213" t="e">
        <f>-  DESTINO ALMACEN</f>
        <v>#NAME?</v>
      </c>
      <c r="CU1213">
        <v>0</v>
      </c>
      <c r="CV1213" t="s">
        <v>111</v>
      </c>
      <c r="CX1213" t="s">
        <v>111</v>
      </c>
      <c r="CY1213">
        <v>0</v>
      </c>
      <c r="CZ1213" t="s">
        <v>111</v>
      </c>
      <c r="DA1213" t="s">
        <v>111</v>
      </c>
      <c r="DB1213" t="s">
        <v>111</v>
      </c>
      <c r="DC1213" t="s">
        <v>111</v>
      </c>
    </row>
    <row r="1214" spans="1:107">
      <c r="A1214">
        <v>1487</v>
      </c>
      <c r="B1214" t="s">
        <v>107</v>
      </c>
      <c r="C1214" t="s">
        <v>1590</v>
      </c>
      <c r="D1214" t="s">
        <v>3583</v>
      </c>
      <c r="E1214" t="s">
        <v>3584</v>
      </c>
      <c r="F1214" t="s">
        <v>192</v>
      </c>
      <c r="G1214" t="s">
        <v>240</v>
      </c>
      <c r="H1214">
        <v>1.2</v>
      </c>
      <c r="I1214">
        <v>20</v>
      </c>
      <c r="J1214">
        <v>0</v>
      </c>
      <c r="K1214">
        <v>0</v>
      </c>
      <c r="L1214" t="s">
        <v>112</v>
      </c>
      <c r="M1214" t="s">
        <v>111</v>
      </c>
      <c r="N1214">
        <v>0</v>
      </c>
      <c r="O1214">
        <v>0</v>
      </c>
      <c r="P1214" t="s">
        <v>111</v>
      </c>
      <c r="Q1214">
        <v>20</v>
      </c>
      <c r="R1214">
        <v>0</v>
      </c>
      <c r="S1214">
        <v>0</v>
      </c>
      <c r="T1214">
        <v>0</v>
      </c>
      <c r="U1214" t="e">
        <f>-ALMACEN</f>
        <v>#NAME?</v>
      </c>
      <c r="V1214">
        <v>0</v>
      </c>
      <c r="W1214">
        <v>25</v>
      </c>
      <c r="X1214">
        <v>1</v>
      </c>
      <c r="Y1214">
        <v>0</v>
      </c>
      <c r="Z1214" t="s">
        <v>111</v>
      </c>
      <c r="AA1214">
        <v>0</v>
      </c>
      <c r="AB1214" t="s">
        <v>111</v>
      </c>
      <c r="AC1214">
        <v>0</v>
      </c>
      <c r="AD1214" t="s">
        <v>111</v>
      </c>
      <c r="AE1214">
        <v>0</v>
      </c>
      <c r="AF1214">
        <v>0</v>
      </c>
      <c r="AG1214" t="s">
        <v>111</v>
      </c>
      <c r="AH1214" t="s">
        <v>111</v>
      </c>
      <c r="AI1214" t="s">
        <v>111</v>
      </c>
      <c r="AJ1214" t="s">
        <v>111</v>
      </c>
      <c r="AK1214" t="s">
        <v>111</v>
      </c>
      <c r="AL1214" t="s">
        <v>111</v>
      </c>
      <c r="AM1214">
        <v>0</v>
      </c>
      <c r="AN1214">
        <v>0</v>
      </c>
      <c r="AO1214">
        <v>0</v>
      </c>
      <c r="AP1214" t="s">
        <v>111</v>
      </c>
      <c r="AQ1214" t="s">
        <v>111</v>
      </c>
      <c r="AR1214" t="s">
        <v>111</v>
      </c>
      <c r="AS1214" t="s">
        <v>111</v>
      </c>
      <c r="AT1214" t="s">
        <v>111</v>
      </c>
      <c r="AU1214" t="s">
        <v>111</v>
      </c>
      <c r="AV1214" t="s">
        <v>111</v>
      </c>
      <c r="AW1214" t="s">
        <v>111</v>
      </c>
      <c r="AX1214" t="s">
        <v>111</v>
      </c>
      <c r="AY1214" t="s">
        <v>111</v>
      </c>
      <c r="AZ1214" t="s">
        <v>111</v>
      </c>
      <c r="BA1214" t="s">
        <v>111</v>
      </c>
      <c r="BB1214" t="s">
        <v>111</v>
      </c>
      <c r="BC1214" t="s">
        <v>111</v>
      </c>
      <c r="BD1214" t="s">
        <v>111</v>
      </c>
      <c r="BE1214" t="s">
        <v>111</v>
      </c>
      <c r="BF1214" t="s">
        <v>111</v>
      </c>
      <c r="BG1214" t="s">
        <v>111</v>
      </c>
      <c r="BH1214" t="s">
        <v>111</v>
      </c>
      <c r="BI1214" t="s">
        <v>111</v>
      </c>
      <c r="BJ1214" t="s">
        <v>111</v>
      </c>
      <c r="BK1214" t="s">
        <v>111</v>
      </c>
      <c r="BL1214" t="s">
        <v>111</v>
      </c>
      <c r="BM1214" t="s">
        <v>111</v>
      </c>
      <c r="BN1214" t="s">
        <v>111</v>
      </c>
      <c r="BO1214" t="s">
        <v>111</v>
      </c>
      <c r="BP1214" t="s">
        <v>111</v>
      </c>
      <c r="BQ1214" t="s">
        <v>111</v>
      </c>
      <c r="BR1214" t="s">
        <v>111</v>
      </c>
      <c r="BS1214" t="s">
        <v>111</v>
      </c>
      <c r="BT1214" t="s">
        <v>111</v>
      </c>
      <c r="BU1214" t="s">
        <v>111</v>
      </c>
      <c r="BV1214" t="s">
        <v>111</v>
      </c>
      <c r="BW1214" t="s">
        <v>111</v>
      </c>
      <c r="BX1214" t="s">
        <v>111</v>
      </c>
      <c r="BY1214" t="s">
        <v>111</v>
      </c>
      <c r="BZ1214" t="s">
        <v>111</v>
      </c>
      <c r="CA1214" t="s">
        <v>111</v>
      </c>
      <c r="CB1214" t="s">
        <v>111</v>
      </c>
      <c r="CC1214" t="s">
        <v>111</v>
      </c>
      <c r="CD1214" t="s">
        <v>111</v>
      </c>
      <c r="CE1214" t="s">
        <v>111</v>
      </c>
      <c r="CF1214" t="s">
        <v>111</v>
      </c>
      <c r="CG1214" t="s">
        <v>111</v>
      </c>
      <c r="CH1214" t="s">
        <v>111</v>
      </c>
      <c r="CI1214" t="s">
        <v>111</v>
      </c>
      <c r="CJ1214" t="s">
        <v>111</v>
      </c>
      <c r="CK1214" t="s">
        <v>111</v>
      </c>
      <c r="CL1214" t="s">
        <v>111</v>
      </c>
      <c r="CM1214" t="s">
        <v>3579</v>
      </c>
      <c r="CN1214" t="s">
        <v>111</v>
      </c>
      <c r="CO1214" t="s">
        <v>111</v>
      </c>
      <c r="CP1214" t="s">
        <v>111</v>
      </c>
      <c r="CQ1214">
        <v>0</v>
      </c>
      <c r="CR1214">
        <v>0</v>
      </c>
      <c r="CS1214">
        <v>0</v>
      </c>
      <c r="CT1214" t="s">
        <v>111</v>
      </c>
      <c r="CU1214">
        <v>0</v>
      </c>
      <c r="CV1214" t="s">
        <v>111</v>
      </c>
      <c r="CW1214" t="s">
        <v>111</v>
      </c>
      <c r="CX1214" t="s">
        <v>111</v>
      </c>
      <c r="CY1214">
        <v>0</v>
      </c>
      <c r="CZ1214" t="s">
        <v>111</v>
      </c>
      <c r="DA1214" t="s">
        <v>111</v>
      </c>
      <c r="DB1214" t="s">
        <v>111</v>
      </c>
      <c r="DC1214" t="s">
        <v>111</v>
      </c>
    </row>
    <row r="1215" spans="1:107">
      <c r="A1215">
        <v>1431</v>
      </c>
      <c r="B1215" t="s">
        <v>107</v>
      </c>
      <c r="C1215" t="s">
        <v>3585</v>
      </c>
      <c r="D1215" t="s">
        <v>3586</v>
      </c>
      <c r="E1215" t="s">
        <v>3587</v>
      </c>
      <c r="F1215" t="s">
        <v>3003</v>
      </c>
      <c r="G1215" t="s">
        <v>240</v>
      </c>
      <c r="H1215">
        <v>0.25</v>
      </c>
      <c r="I1215">
        <v>22</v>
      </c>
      <c r="J1215">
        <v>0</v>
      </c>
      <c r="K1215">
        <v>0</v>
      </c>
      <c r="L1215" t="s">
        <v>117</v>
      </c>
      <c r="M1215" t="s">
        <v>118</v>
      </c>
      <c r="N1215">
        <v>0</v>
      </c>
      <c r="O1215">
        <v>1</v>
      </c>
      <c r="P1215" t="s">
        <v>111</v>
      </c>
      <c r="Q1215">
        <v>5</v>
      </c>
      <c r="R1215">
        <v>0</v>
      </c>
      <c r="S1215">
        <v>0</v>
      </c>
      <c r="T1215">
        <v>0</v>
      </c>
      <c r="U1215" t="e">
        <f>-IMPRESION DARMA</f>
        <v>#NAME?</v>
      </c>
      <c r="V1215">
        <v>0</v>
      </c>
      <c r="W1215">
        <v>0</v>
      </c>
      <c r="X1215">
        <v>10</v>
      </c>
      <c r="Y1215">
        <v>0</v>
      </c>
      <c r="Z1215" t="s">
        <v>111</v>
      </c>
      <c r="AA1215">
        <v>0</v>
      </c>
      <c r="AB1215" t="s">
        <v>111</v>
      </c>
      <c r="AC1215">
        <v>0</v>
      </c>
      <c r="AD1215" t="s">
        <v>416</v>
      </c>
      <c r="AE1215">
        <v>0</v>
      </c>
      <c r="AF1215">
        <v>0</v>
      </c>
      <c r="AG1215" t="s">
        <v>111</v>
      </c>
      <c r="AH1215" t="s">
        <v>128</v>
      </c>
      <c r="AI1215" t="s">
        <v>111</v>
      </c>
      <c r="AJ1215" t="s">
        <v>111</v>
      </c>
      <c r="AK1215" t="s">
        <v>111</v>
      </c>
      <c r="AL1215" t="s">
        <v>111</v>
      </c>
      <c r="AM1215">
        <v>0</v>
      </c>
      <c r="AN1215">
        <v>0</v>
      </c>
      <c r="AO1215">
        <v>0</v>
      </c>
      <c r="AP1215" t="s">
        <v>111</v>
      </c>
      <c r="AQ1215" t="s">
        <v>111</v>
      </c>
      <c r="AR1215" t="s">
        <v>111</v>
      </c>
      <c r="AS1215" t="s">
        <v>111</v>
      </c>
      <c r="AT1215" t="s">
        <v>111</v>
      </c>
      <c r="AU1215" t="s">
        <v>111</v>
      </c>
      <c r="AV1215" t="s">
        <v>111</v>
      </c>
      <c r="AW1215" t="s">
        <v>111</v>
      </c>
      <c r="AX1215" t="s">
        <v>111</v>
      </c>
      <c r="AY1215" t="s">
        <v>111</v>
      </c>
      <c r="AZ1215" t="s">
        <v>111</v>
      </c>
      <c r="BA1215" t="s">
        <v>111</v>
      </c>
      <c r="BB1215" t="s">
        <v>111</v>
      </c>
      <c r="BC1215" t="s">
        <v>111</v>
      </c>
      <c r="BD1215" t="s">
        <v>111</v>
      </c>
      <c r="BE1215" t="s">
        <v>111</v>
      </c>
      <c r="BF1215" t="s">
        <v>111</v>
      </c>
      <c r="BG1215" t="s">
        <v>111</v>
      </c>
      <c r="BH1215" t="s">
        <v>111</v>
      </c>
      <c r="BI1215" t="s">
        <v>111</v>
      </c>
      <c r="BJ1215" t="s">
        <v>111</v>
      </c>
      <c r="BK1215" t="s">
        <v>111</v>
      </c>
      <c r="BL1215" t="s">
        <v>111</v>
      </c>
      <c r="BM1215" t="s">
        <v>111</v>
      </c>
      <c r="BN1215" t="s">
        <v>111</v>
      </c>
      <c r="BO1215" t="s">
        <v>111</v>
      </c>
      <c r="BP1215" t="s">
        <v>111</v>
      </c>
      <c r="BQ1215" t="s">
        <v>111</v>
      </c>
      <c r="BR1215" t="s">
        <v>111</v>
      </c>
      <c r="BS1215" t="s">
        <v>111</v>
      </c>
      <c r="BT1215" t="s">
        <v>111</v>
      </c>
      <c r="BU1215" t="s">
        <v>111</v>
      </c>
      <c r="BV1215" t="s">
        <v>111</v>
      </c>
      <c r="BW1215" t="s">
        <v>111</v>
      </c>
      <c r="BX1215" t="s">
        <v>111</v>
      </c>
      <c r="BY1215" t="s">
        <v>111</v>
      </c>
      <c r="BZ1215" t="s">
        <v>111</v>
      </c>
      <c r="CA1215" t="s">
        <v>111</v>
      </c>
      <c r="CB1215" t="s">
        <v>111</v>
      </c>
      <c r="CC1215" t="s">
        <v>111</v>
      </c>
      <c r="CD1215" t="s">
        <v>111</v>
      </c>
      <c r="CE1215" t="s">
        <v>111</v>
      </c>
      <c r="CF1215" t="s">
        <v>111</v>
      </c>
      <c r="CG1215" t="s">
        <v>111</v>
      </c>
      <c r="CH1215" t="s">
        <v>111</v>
      </c>
      <c r="CI1215" t="s">
        <v>111</v>
      </c>
      <c r="CJ1215" t="s">
        <v>111</v>
      </c>
      <c r="CK1215" t="s">
        <v>111</v>
      </c>
      <c r="CL1215" t="e">
        <f>-ALMACEN</f>
        <v>#NAME?</v>
      </c>
      <c r="CM1215" t="s">
        <v>111</v>
      </c>
      <c r="CN1215" t="s">
        <v>111</v>
      </c>
      <c r="CO1215" t="s">
        <v>111</v>
      </c>
      <c r="CP1215" t="s">
        <v>111</v>
      </c>
      <c r="CQ1215">
        <v>0</v>
      </c>
      <c r="CR1215">
        <v>0</v>
      </c>
      <c r="CS1215">
        <v>0</v>
      </c>
      <c r="CT1215" t="s">
        <v>111</v>
      </c>
      <c r="CU1215">
        <v>0</v>
      </c>
      <c r="CV1215" t="s">
        <v>111</v>
      </c>
      <c r="CW1215" t="s">
        <v>111</v>
      </c>
      <c r="CX1215" t="s">
        <v>111</v>
      </c>
      <c r="CY1215">
        <v>0</v>
      </c>
      <c r="CZ1215" t="s">
        <v>111</v>
      </c>
      <c r="DA1215" t="s">
        <v>111</v>
      </c>
      <c r="DB1215" t="s">
        <v>111</v>
      </c>
      <c r="DC1215" t="s">
        <v>111</v>
      </c>
    </row>
    <row r="1216" spans="1:107">
      <c r="A1216">
        <v>2084</v>
      </c>
      <c r="B1216" t="s">
        <v>376</v>
      </c>
      <c r="C1216" t="s">
        <v>2359</v>
      </c>
      <c r="D1216" t="s">
        <v>3588</v>
      </c>
      <c r="E1216" t="s">
        <v>3589</v>
      </c>
      <c r="F1216" t="s">
        <v>2362</v>
      </c>
      <c r="G1216" t="s">
        <v>240</v>
      </c>
      <c r="H1216">
        <v>0.5</v>
      </c>
      <c r="I1216">
        <v>60</v>
      </c>
      <c r="J1216">
        <v>0</v>
      </c>
      <c r="K1216">
        <v>0</v>
      </c>
      <c r="L1216" t="s">
        <v>111</v>
      </c>
      <c r="M1216" t="s">
        <v>111</v>
      </c>
      <c r="N1216">
        <v>0</v>
      </c>
      <c r="O1216">
        <v>0</v>
      </c>
      <c r="P1216" t="s">
        <v>111</v>
      </c>
      <c r="Q1216">
        <v>2</v>
      </c>
      <c r="R1216">
        <v>0</v>
      </c>
      <c r="S1216">
        <v>0</v>
      </c>
      <c r="T1216">
        <v>5</v>
      </c>
      <c r="U1216" s="1" t="s">
        <v>3590</v>
      </c>
      <c r="V1216">
        <v>25</v>
      </c>
      <c r="W1216">
        <v>0</v>
      </c>
      <c r="X1216">
        <v>8</v>
      </c>
      <c r="Y1216">
        <v>0</v>
      </c>
      <c r="Z1216" t="s">
        <v>111</v>
      </c>
      <c r="AA1216">
        <v>0</v>
      </c>
      <c r="AB1216" t="s">
        <v>111</v>
      </c>
      <c r="AC1216">
        <v>0</v>
      </c>
      <c r="AD1216" t="s">
        <v>111</v>
      </c>
      <c r="AE1216">
        <v>0</v>
      </c>
      <c r="AF1216">
        <v>0</v>
      </c>
      <c r="AG1216" t="s">
        <v>111</v>
      </c>
      <c r="AH1216" t="s">
        <v>111</v>
      </c>
      <c r="AI1216" t="s">
        <v>111</v>
      </c>
      <c r="AJ1216" t="s">
        <v>111</v>
      </c>
      <c r="AK1216" t="s">
        <v>111</v>
      </c>
      <c r="AL1216" t="s">
        <v>111</v>
      </c>
      <c r="AM1216">
        <v>0</v>
      </c>
      <c r="AN1216">
        <v>0</v>
      </c>
      <c r="AO1216">
        <v>0</v>
      </c>
      <c r="AP1216" t="s">
        <v>111</v>
      </c>
      <c r="AQ1216" t="s">
        <v>111</v>
      </c>
      <c r="AR1216" t="s">
        <v>111</v>
      </c>
      <c r="AS1216" t="s">
        <v>111</v>
      </c>
      <c r="AT1216" t="s">
        <v>111</v>
      </c>
      <c r="AU1216" t="s">
        <v>111</v>
      </c>
      <c r="AV1216" t="s">
        <v>111</v>
      </c>
      <c r="AW1216" t="s">
        <v>111</v>
      </c>
      <c r="AX1216" t="s">
        <v>111</v>
      </c>
      <c r="AY1216" t="s">
        <v>111</v>
      </c>
      <c r="AZ1216" t="s">
        <v>111</v>
      </c>
      <c r="BA1216" t="s">
        <v>111</v>
      </c>
      <c r="BB1216" t="s">
        <v>111</v>
      </c>
      <c r="BC1216" t="s">
        <v>111</v>
      </c>
      <c r="BD1216" t="s">
        <v>111</v>
      </c>
      <c r="BE1216" t="s">
        <v>111</v>
      </c>
      <c r="BF1216" t="s">
        <v>111</v>
      </c>
      <c r="BG1216" t="s">
        <v>111</v>
      </c>
      <c r="BH1216" t="s">
        <v>111</v>
      </c>
      <c r="BI1216" t="s">
        <v>111</v>
      </c>
      <c r="BJ1216" t="s">
        <v>111</v>
      </c>
      <c r="BK1216" t="s">
        <v>111</v>
      </c>
      <c r="BL1216" t="s">
        <v>111</v>
      </c>
      <c r="BM1216" t="s">
        <v>111</v>
      </c>
      <c r="BN1216" t="s">
        <v>111</v>
      </c>
      <c r="BO1216" t="s">
        <v>111</v>
      </c>
      <c r="BP1216" t="s">
        <v>111</v>
      </c>
      <c r="BQ1216" t="s">
        <v>111</v>
      </c>
      <c r="BR1216" t="s">
        <v>111</v>
      </c>
      <c r="BS1216" t="s">
        <v>111</v>
      </c>
      <c r="BT1216" t="s">
        <v>111</v>
      </c>
      <c r="BU1216" t="s">
        <v>111</v>
      </c>
      <c r="BV1216" t="s">
        <v>111</v>
      </c>
      <c r="BW1216" t="s">
        <v>111</v>
      </c>
      <c r="BX1216" t="s">
        <v>111</v>
      </c>
      <c r="BY1216" t="s">
        <v>111</v>
      </c>
      <c r="BZ1216" t="s">
        <v>111</v>
      </c>
      <c r="CA1216" t="s">
        <v>111</v>
      </c>
      <c r="CB1216" t="s">
        <v>111</v>
      </c>
      <c r="CC1216" t="s">
        <v>111</v>
      </c>
      <c r="CD1216" t="s">
        <v>111</v>
      </c>
      <c r="CE1216" t="s">
        <v>111</v>
      </c>
      <c r="CF1216" t="s">
        <v>111</v>
      </c>
      <c r="CG1216" t="s">
        <v>111</v>
      </c>
      <c r="CH1216" t="s">
        <v>111</v>
      </c>
      <c r="CI1216" t="s">
        <v>111</v>
      </c>
      <c r="CJ1216" t="s">
        <v>111</v>
      </c>
      <c r="CK1216" t="s">
        <v>111</v>
      </c>
      <c r="CL1216" t="s">
        <v>111</v>
      </c>
      <c r="CM1216" t="s">
        <v>240</v>
      </c>
      <c r="CN1216" t="s">
        <v>113</v>
      </c>
      <c r="CO1216" t="s">
        <v>111</v>
      </c>
      <c r="CP1216" t="s">
        <v>111</v>
      </c>
      <c r="CQ1216">
        <v>0</v>
      </c>
      <c r="CR1216">
        <v>300</v>
      </c>
      <c r="CS1216">
        <v>300</v>
      </c>
      <c r="CT1216" t="e">
        <f>- DESTINO ALMACEN</f>
        <v>#NAME?</v>
      </c>
      <c r="CU1216">
        <v>0</v>
      </c>
      <c r="CV1216" t="s">
        <v>111</v>
      </c>
      <c r="CX1216" t="s">
        <v>111</v>
      </c>
      <c r="CY1216">
        <v>0</v>
      </c>
      <c r="CZ1216" t="s">
        <v>111</v>
      </c>
      <c r="DA1216" t="s">
        <v>111</v>
      </c>
      <c r="DB1216" t="s">
        <v>111</v>
      </c>
      <c r="DC1216" t="s">
        <v>111</v>
      </c>
    </row>
    <row r="1217" spans="1:107">
      <c r="A1217">
        <v>1488</v>
      </c>
      <c r="B1217" t="s">
        <v>107</v>
      </c>
      <c r="C1217" t="s">
        <v>3591</v>
      </c>
      <c r="D1217" t="s">
        <v>3592</v>
      </c>
      <c r="E1217" t="s">
        <v>3593</v>
      </c>
      <c r="F1217" t="s">
        <v>157</v>
      </c>
      <c r="G1217" t="s">
        <v>240</v>
      </c>
      <c r="H1217">
        <v>4</v>
      </c>
      <c r="I1217">
        <v>5</v>
      </c>
      <c r="J1217">
        <v>0</v>
      </c>
      <c r="K1217">
        <v>0</v>
      </c>
      <c r="L1217" t="s">
        <v>112</v>
      </c>
      <c r="M1217" t="s">
        <v>138</v>
      </c>
      <c r="N1217">
        <v>0</v>
      </c>
      <c r="O1217">
        <v>0</v>
      </c>
      <c r="P1217" t="s">
        <v>111</v>
      </c>
      <c r="Q1217">
        <v>10</v>
      </c>
      <c r="R1217">
        <v>0</v>
      </c>
      <c r="S1217">
        <v>0</v>
      </c>
      <c r="T1217">
        <v>0</v>
      </c>
      <c r="U1217" t="e">
        <f>-ALMACEN</f>
        <v>#NAME?</v>
      </c>
      <c r="V1217">
        <v>0</v>
      </c>
      <c r="W1217">
        <v>25</v>
      </c>
      <c r="X1217">
        <v>5</v>
      </c>
      <c r="Y1217">
        <v>0</v>
      </c>
      <c r="Z1217" t="s">
        <v>111</v>
      </c>
      <c r="AA1217">
        <v>0</v>
      </c>
      <c r="AB1217" t="s">
        <v>111</v>
      </c>
      <c r="AC1217">
        <v>0</v>
      </c>
      <c r="AD1217" t="s">
        <v>111</v>
      </c>
      <c r="AE1217">
        <v>0</v>
      </c>
      <c r="AF1217">
        <v>0</v>
      </c>
      <c r="AG1217" t="s">
        <v>111</v>
      </c>
      <c r="AH1217" t="s">
        <v>111</v>
      </c>
      <c r="AI1217" t="s">
        <v>111</v>
      </c>
      <c r="AJ1217" t="s">
        <v>111</v>
      </c>
      <c r="AK1217" t="s">
        <v>111</v>
      </c>
      <c r="AL1217" t="s">
        <v>111</v>
      </c>
      <c r="AM1217">
        <v>0</v>
      </c>
      <c r="AN1217">
        <v>0</v>
      </c>
      <c r="AO1217">
        <v>0</v>
      </c>
      <c r="AP1217" t="s">
        <v>111</v>
      </c>
      <c r="AQ1217" t="s">
        <v>111</v>
      </c>
      <c r="AR1217" t="s">
        <v>111</v>
      </c>
      <c r="AS1217" t="s">
        <v>111</v>
      </c>
      <c r="AT1217" t="s">
        <v>111</v>
      </c>
      <c r="AU1217" t="s">
        <v>111</v>
      </c>
      <c r="AV1217" t="s">
        <v>111</v>
      </c>
      <c r="AW1217" t="s">
        <v>111</v>
      </c>
      <c r="AX1217" t="s">
        <v>111</v>
      </c>
      <c r="AY1217" t="s">
        <v>111</v>
      </c>
      <c r="AZ1217" t="s">
        <v>111</v>
      </c>
      <c r="BA1217" t="s">
        <v>111</v>
      </c>
      <c r="BB1217" t="s">
        <v>111</v>
      </c>
      <c r="BC1217" t="s">
        <v>111</v>
      </c>
      <c r="BD1217" t="s">
        <v>111</v>
      </c>
      <c r="BE1217" t="s">
        <v>111</v>
      </c>
      <c r="BF1217" t="s">
        <v>111</v>
      </c>
      <c r="BG1217" t="s">
        <v>111</v>
      </c>
      <c r="BH1217" t="s">
        <v>111</v>
      </c>
      <c r="BI1217" t="s">
        <v>111</v>
      </c>
      <c r="BJ1217" t="s">
        <v>111</v>
      </c>
      <c r="BK1217" t="s">
        <v>111</v>
      </c>
      <c r="BL1217" t="s">
        <v>111</v>
      </c>
      <c r="BM1217" t="s">
        <v>111</v>
      </c>
      <c r="BN1217" t="s">
        <v>111</v>
      </c>
      <c r="BO1217" t="s">
        <v>111</v>
      </c>
      <c r="BP1217" t="s">
        <v>111</v>
      </c>
      <c r="BQ1217" t="s">
        <v>111</v>
      </c>
      <c r="BR1217" t="s">
        <v>111</v>
      </c>
      <c r="BS1217" t="s">
        <v>111</v>
      </c>
      <c r="BT1217" t="s">
        <v>111</v>
      </c>
      <c r="BU1217" t="s">
        <v>111</v>
      </c>
      <c r="BV1217" t="s">
        <v>111</v>
      </c>
      <c r="BW1217" t="s">
        <v>111</v>
      </c>
      <c r="BX1217" t="s">
        <v>111</v>
      </c>
      <c r="BY1217" t="s">
        <v>111</v>
      </c>
      <c r="BZ1217" t="s">
        <v>111</v>
      </c>
      <c r="CA1217" t="s">
        <v>111</v>
      </c>
      <c r="CB1217" t="s">
        <v>111</v>
      </c>
      <c r="CC1217" t="s">
        <v>111</v>
      </c>
      <c r="CD1217" t="s">
        <v>111</v>
      </c>
      <c r="CE1217" t="s">
        <v>111</v>
      </c>
      <c r="CF1217" t="s">
        <v>111</v>
      </c>
      <c r="CG1217" t="s">
        <v>111</v>
      </c>
      <c r="CH1217" t="s">
        <v>111</v>
      </c>
      <c r="CI1217" t="s">
        <v>111</v>
      </c>
      <c r="CJ1217" t="s">
        <v>111</v>
      </c>
      <c r="CK1217" t="s">
        <v>111</v>
      </c>
      <c r="CL1217" t="s">
        <v>111</v>
      </c>
      <c r="CM1217" t="s">
        <v>111</v>
      </c>
      <c r="CN1217" t="s">
        <v>111</v>
      </c>
      <c r="CO1217" t="s">
        <v>111</v>
      </c>
      <c r="CP1217" t="s">
        <v>111</v>
      </c>
      <c r="CQ1217">
        <v>0</v>
      </c>
      <c r="CR1217">
        <v>0</v>
      </c>
      <c r="CS1217">
        <v>0</v>
      </c>
      <c r="CT1217" t="s">
        <v>111</v>
      </c>
      <c r="CU1217">
        <v>0</v>
      </c>
      <c r="CV1217" t="s">
        <v>111</v>
      </c>
      <c r="CW1217" t="s">
        <v>111</v>
      </c>
      <c r="CX1217" t="s">
        <v>111</v>
      </c>
      <c r="CY1217">
        <v>0</v>
      </c>
      <c r="CZ1217" t="s">
        <v>111</v>
      </c>
      <c r="DA1217" t="s">
        <v>111</v>
      </c>
      <c r="DB1217" t="s">
        <v>111</v>
      </c>
      <c r="DC1217" t="s">
        <v>111</v>
      </c>
    </row>
    <row r="1218" spans="1:107">
      <c r="A1218">
        <v>947</v>
      </c>
      <c r="B1218" t="s">
        <v>107</v>
      </c>
      <c r="C1218" t="s">
        <v>1590</v>
      </c>
      <c r="D1218" t="s">
        <v>3594</v>
      </c>
      <c r="E1218" t="s">
        <v>3595</v>
      </c>
      <c r="F1218" t="s">
        <v>192</v>
      </c>
      <c r="G1218" t="s">
        <v>240</v>
      </c>
      <c r="H1218">
        <v>2</v>
      </c>
      <c r="I1218">
        <v>80</v>
      </c>
      <c r="J1218">
        <v>0</v>
      </c>
      <c r="K1218">
        <v>0</v>
      </c>
      <c r="L1218" t="s">
        <v>112</v>
      </c>
      <c r="M1218" t="s">
        <v>111</v>
      </c>
      <c r="N1218">
        <v>0</v>
      </c>
      <c r="O1218">
        <v>0</v>
      </c>
      <c r="P1218" t="s">
        <v>111</v>
      </c>
      <c r="Q1218">
        <v>40</v>
      </c>
      <c r="R1218">
        <v>0</v>
      </c>
      <c r="S1218">
        <v>0</v>
      </c>
      <c r="T1218">
        <v>0</v>
      </c>
      <c r="U1218" t="e">
        <f>-DESTINO SELLADO MANUALES</f>
        <v>#NAME?</v>
      </c>
      <c r="V1218">
        <v>0</v>
      </c>
      <c r="W1218">
        <v>0</v>
      </c>
      <c r="X1218">
        <v>1</v>
      </c>
      <c r="Y1218">
        <v>0</v>
      </c>
      <c r="Z1218" t="s">
        <v>111</v>
      </c>
      <c r="AA1218">
        <v>0</v>
      </c>
      <c r="AB1218" t="s">
        <v>111</v>
      </c>
      <c r="AC1218">
        <v>0</v>
      </c>
      <c r="AD1218" t="s">
        <v>111</v>
      </c>
      <c r="AE1218">
        <v>0</v>
      </c>
      <c r="AF1218">
        <v>0</v>
      </c>
      <c r="AG1218" t="s">
        <v>111</v>
      </c>
      <c r="AH1218" t="s">
        <v>111</v>
      </c>
      <c r="AI1218" t="s">
        <v>111</v>
      </c>
      <c r="AJ1218" t="s">
        <v>111</v>
      </c>
      <c r="AK1218" t="s">
        <v>111</v>
      </c>
      <c r="AL1218" t="s">
        <v>111</v>
      </c>
      <c r="AM1218">
        <v>0</v>
      </c>
      <c r="AN1218">
        <v>0</v>
      </c>
      <c r="AO1218">
        <v>0</v>
      </c>
      <c r="AP1218" t="s">
        <v>111</v>
      </c>
      <c r="AQ1218" t="s">
        <v>111</v>
      </c>
      <c r="AR1218" t="s">
        <v>111</v>
      </c>
      <c r="AS1218" t="s">
        <v>111</v>
      </c>
      <c r="AT1218" t="s">
        <v>111</v>
      </c>
      <c r="AU1218" t="s">
        <v>111</v>
      </c>
      <c r="AV1218" t="s">
        <v>111</v>
      </c>
      <c r="AW1218" t="s">
        <v>111</v>
      </c>
      <c r="AX1218" t="s">
        <v>111</v>
      </c>
      <c r="AY1218" t="s">
        <v>111</v>
      </c>
      <c r="AZ1218" t="s">
        <v>111</v>
      </c>
      <c r="BA1218" t="s">
        <v>111</v>
      </c>
      <c r="BB1218" t="s">
        <v>111</v>
      </c>
      <c r="BC1218" t="s">
        <v>111</v>
      </c>
      <c r="BD1218" t="s">
        <v>111</v>
      </c>
      <c r="BE1218" t="s">
        <v>111</v>
      </c>
      <c r="BF1218" t="s">
        <v>111</v>
      </c>
      <c r="BG1218" t="s">
        <v>111</v>
      </c>
      <c r="BH1218" t="s">
        <v>111</v>
      </c>
      <c r="BI1218" t="s">
        <v>111</v>
      </c>
      <c r="BJ1218" t="s">
        <v>111</v>
      </c>
      <c r="BK1218" t="s">
        <v>111</v>
      </c>
      <c r="BL1218" t="s">
        <v>111</v>
      </c>
      <c r="BM1218" t="s">
        <v>111</v>
      </c>
      <c r="BN1218" t="s">
        <v>111</v>
      </c>
      <c r="BO1218" t="s">
        <v>111</v>
      </c>
      <c r="BP1218" t="s">
        <v>111</v>
      </c>
      <c r="BQ1218" t="s">
        <v>111</v>
      </c>
      <c r="BR1218" t="s">
        <v>111</v>
      </c>
      <c r="BS1218" t="s">
        <v>111</v>
      </c>
      <c r="BT1218" t="s">
        <v>111</v>
      </c>
      <c r="BU1218" t="s">
        <v>111</v>
      </c>
      <c r="BV1218" t="s">
        <v>111</v>
      </c>
      <c r="BW1218" t="s">
        <v>111</v>
      </c>
      <c r="BX1218" t="s">
        <v>111</v>
      </c>
      <c r="BY1218" t="s">
        <v>111</v>
      </c>
      <c r="BZ1218" t="s">
        <v>111</v>
      </c>
      <c r="CA1218" t="s">
        <v>111</v>
      </c>
      <c r="CB1218" t="s">
        <v>111</v>
      </c>
      <c r="CC1218" t="s">
        <v>111</v>
      </c>
      <c r="CD1218" t="s">
        <v>111</v>
      </c>
      <c r="CE1218" t="s">
        <v>111</v>
      </c>
      <c r="CF1218" t="s">
        <v>111</v>
      </c>
      <c r="CG1218" t="s">
        <v>111</v>
      </c>
      <c r="CH1218" t="s">
        <v>111</v>
      </c>
      <c r="CI1218" t="s">
        <v>111</v>
      </c>
      <c r="CJ1218" t="s">
        <v>111</v>
      </c>
      <c r="CK1218" t="s">
        <v>111</v>
      </c>
      <c r="CL1218" t="s">
        <v>111</v>
      </c>
      <c r="CM1218" t="s">
        <v>111</v>
      </c>
      <c r="CN1218" t="s">
        <v>111</v>
      </c>
      <c r="CO1218" t="s">
        <v>111</v>
      </c>
      <c r="CP1218" t="s">
        <v>111</v>
      </c>
      <c r="CQ1218">
        <v>0</v>
      </c>
      <c r="CR1218">
        <v>200</v>
      </c>
      <c r="CS1218">
        <v>20</v>
      </c>
      <c r="CT1218" t="s">
        <v>111</v>
      </c>
      <c r="CU1218">
        <v>0</v>
      </c>
      <c r="CV1218" t="s">
        <v>111</v>
      </c>
      <c r="CW1218" t="s">
        <v>111</v>
      </c>
      <c r="CX1218" t="s">
        <v>111</v>
      </c>
      <c r="CY1218">
        <v>0</v>
      </c>
      <c r="CZ1218" t="s">
        <v>111</v>
      </c>
      <c r="DA1218" t="s">
        <v>111</v>
      </c>
      <c r="DB1218" t="s">
        <v>240</v>
      </c>
      <c r="DC1218" t="s">
        <v>281</v>
      </c>
    </row>
    <row r="1219" spans="1:107">
      <c r="A1219">
        <v>1322</v>
      </c>
      <c r="B1219" t="s">
        <v>107</v>
      </c>
      <c r="C1219" t="s">
        <v>638</v>
      </c>
      <c r="D1219" t="s">
        <v>2989</v>
      </c>
      <c r="E1219" t="s">
        <v>3596</v>
      </c>
      <c r="F1219" t="s">
        <v>192</v>
      </c>
      <c r="G1219" t="s">
        <v>240</v>
      </c>
      <c r="H1219">
        <v>2</v>
      </c>
      <c r="I1219">
        <v>40</v>
      </c>
      <c r="J1219">
        <v>0</v>
      </c>
      <c r="K1219">
        <v>0</v>
      </c>
      <c r="L1219" t="s">
        <v>112</v>
      </c>
      <c r="M1219" t="s">
        <v>111</v>
      </c>
      <c r="N1219">
        <v>0</v>
      </c>
      <c r="O1219">
        <v>0</v>
      </c>
      <c r="P1219" t="s">
        <v>111</v>
      </c>
      <c r="Q1219">
        <v>40</v>
      </c>
      <c r="R1219">
        <v>0</v>
      </c>
      <c r="S1219">
        <v>0</v>
      </c>
      <c r="T1219">
        <v>0</v>
      </c>
      <c r="U1219" t="e">
        <f>-ALMACEN</f>
        <v>#NAME?</v>
      </c>
      <c r="V1219">
        <v>0</v>
      </c>
      <c r="W1219">
        <v>250</v>
      </c>
      <c r="X1219">
        <v>80</v>
      </c>
      <c r="Y1219">
        <v>0</v>
      </c>
      <c r="Z1219" t="s">
        <v>111</v>
      </c>
      <c r="AA1219">
        <v>0</v>
      </c>
      <c r="AB1219" t="s">
        <v>111</v>
      </c>
      <c r="AC1219">
        <v>0</v>
      </c>
      <c r="AD1219" t="s">
        <v>111</v>
      </c>
      <c r="AE1219">
        <v>0</v>
      </c>
      <c r="AF1219">
        <v>0</v>
      </c>
      <c r="AG1219" t="s">
        <v>111</v>
      </c>
      <c r="AH1219" t="s">
        <v>111</v>
      </c>
      <c r="AI1219" t="s">
        <v>111</v>
      </c>
      <c r="AJ1219" t="s">
        <v>111</v>
      </c>
      <c r="AK1219" t="s">
        <v>111</v>
      </c>
      <c r="AL1219" t="s">
        <v>111</v>
      </c>
      <c r="AM1219">
        <v>0</v>
      </c>
      <c r="AN1219">
        <v>0</v>
      </c>
      <c r="AO1219">
        <v>0</v>
      </c>
      <c r="AP1219" t="s">
        <v>111</v>
      </c>
      <c r="AQ1219" t="s">
        <v>111</v>
      </c>
      <c r="AR1219" t="s">
        <v>111</v>
      </c>
      <c r="AS1219" t="s">
        <v>111</v>
      </c>
      <c r="AT1219" t="s">
        <v>111</v>
      </c>
      <c r="AU1219" t="s">
        <v>111</v>
      </c>
      <c r="AV1219" t="s">
        <v>111</v>
      </c>
      <c r="AW1219" t="s">
        <v>111</v>
      </c>
      <c r="AX1219" t="s">
        <v>111</v>
      </c>
      <c r="AY1219" t="s">
        <v>111</v>
      </c>
      <c r="AZ1219" t="s">
        <v>111</v>
      </c>
      <c r="BA1219" t="s">
        <v>111</v>
      </c>
      <c r="BB1219" t="s">
        <v>111</v>
      </c>
      <c r="BC1219" t="s">
        <v>111</v>
      </c>
      <c r="BD1219" t="s">
        <v>111</v>
      </c>
      <c r="BE1219" t="s">
        <v>111</v>
      </c>
      <c r="BF1219" t="s">
        <v>111</v>
      </c>
      <c r="BG1219" t="s">
        <v>111</v>
      </c>
      <c r="BH1219" t="s">
        <v>111</v>
      </c>
      <c r="BI1219" t="s">
        <v>111</v>
      </c>
      <c r="BJ1219" t="s">
        <v>111</v>
      </c>
      <c r="BK1219" t="s">
        <v>111</v>
      </c>
      <c r="BL1219" t="s">
        <v>111</v>
      </c>
      <c r="BM1219" t="s">
        <v>111</v>
      </c>
      <c r="BN1219" t="s">
        <v>111</v>
      </c>
      <c r="BO1219" t="s">
        <v>111</v>
      </c>
      <c r="BP1219" t="s">
        <v>111</v>
      </c>
      <c r="BQ1219" t="s">
        <v>111</v>
      </c>
      <c r="BR1219" t="s">
        <v>111</v>
      </c>
      <c r="BS1219" t="s">
        <v>111</v>
      </c>
      <c r="BT1219" t="s">
        <v>111</v>
      </c>
      <c r="BU1219" t="s">
        <v>111</v>
      </c>
      <c r="BV1219" t="s">
        <v>111</v>
      </c>
      <c r="BW1219" t="s">
        <v>111</v>
      </c>
      <c r="BX1219" t="s">
        <v>111</v>
      </c>
      <c r="BY1219" t="s">
        <v>111</v>
      </c>
      <c r="BZ1219" t="s">
        <v>111</v>
      </c>
      <c r="CA1219" t="s">
        <v>111</v>
      </c>
      <c r="CB1219" t="s">
        <v>111</v>
      </c>
      <c r="CC1219" t="s">
        <v>111</v>
      </c>
      <c r="CD1219" t="s">
        <v>111</v>
      </c>
      <c r="CE1219" t="s">
        <v>111</v>
      </c>
      <c r="CF1219" t="s">
        <v>111</v>
      </c>
      <c r="CG1219" t="s">
        <v>111</v>
      </c>
      <c r="CH1219" t="s">
        <v>111</v>
      </c>
      <c r="CI1219" t="s">
        <v>111</v>
      </c>
      <c r="CJ1219" t="s">
        <v>111</v>
      </c>
      <c r="CK1219" t="s">
        <v>111</v>
      </c>
      <c r="CL1219" t="s">
        <v>111</v>
      </c>
      <c r="CM1219" t="s">
        <v>135</v>
      </c>
      <c r="CN1219" t="s">
        <v>128</v>
      </c>
      <c r="CO1219" t="s">
        <v>111</v>
      </c>
      <c r="CP1219" t="s">
        <v>111</v>
      </c>
      <c r="CQ1219">
        <v>0</v>
      </c>
      <c r="CR1219">
        <v>1000</v>
      </c>
      <c r="CS1219">
        <v>100</v>
      </c>
      <c r="CT1219" t="e">
        <f>-ALMACEN</f>
        <v>#NAME?</v>
      </c>
      <c r="CU1219">
        <v>0</v>
      </c>
      <c r="CV1219" t="s">
        <v>111</v>
      </c>
      <c r="CW1219" t="s">
        <v>111</v>
      </c>
      <c r="CX1219" t="s">
        <v>111</v>
      </c>
      <c r="CY1219">
        <v>0</v>
      </c>
      <c r="CZ1219" t="s">
        <v>111</v>
      </c>
      <c r="DA1219" t="s">
        <v>111</v>
      </c>
      <c r="DB1219" t="s">
        <v>111</v>
      </c>
      <c r="DC1219" t="s">
        <v>111</v>
      </c>
    </row>
    <row r="1220" spans="1:107">
      <c r="A1220">
        <v>1627</v>
      </c>
      <c r="B1220" t="s">
        <v>107</v>
      </c>
      <c r="C1220" t="s">
        <v>3597</v>
      </c>
      <c r="D1220" t="s">
        <v>2075</v>
      </c>
      <c r="E1220" t="s">
        <v>3598</v>
      </c>
      <c r="F1220" t="s">
        <v>739</v>
      </c>
      <c r="G1220" t="s">
        <v>240</v>
      </c>
      <c r="H1220">
        <v>3</v>
      </c>
      <c r="I1220">
        <v>11</v>
      </c>
      <c r="J1220">
        <v>0</v>
      </c>
      <c r="K1220">
        <v>0</v>
      </c>
      <c r="L1220" t="s">
        <v>112</v>
      </c>
      <c r="M1220" t="s">
        <v>118</v>
      </c>
      <c r="N1220">
        <v>39</v>
      </c>
      <c r="O1220">
        <v>2</v>
      </c>
      <c r="P1220" t="s">
        <v>111</v>
      </c>
      <c r="Q1220">
        <v>20</v>
      </c>
      <c r="R1220">
        <v>0</v>
      </c>
      <c r="S1220">
        <v>0</v>
      </c>
      <c r="T1220">
        <v>5</v>
      </c>
      <c r="U1220" t="e">
        <f>-DARMA</f>
        <v>#NAME?</v>
      </c>
      <c r="V1220">
        <v>0</v>
      </c>
      <c r="W1220">
        <v>25</v>
      </c>
      <c r="X1220">
        <v>8</v>
      </c>
      <c r="Y1220">
        <v>0</v>
      </c>
      <c r="Z1220" t="s">
        <v>288</v>
      </c>
      <c r="AA1220">
        <v>1</v>
      </c>
      <c r="AB1220" t="s">
        <v>111</v>
      </c>
      <c r="AC1220">
        <v>0</v>
      </c>
      <c r="AD1220" t="s">
        <v>416</v>
      </c>
      <c r="AE1220">
        <v>0</v>
      </c>
      <c r="AF1220">
        <v>0</v>
      </c>
      <c r="AG1220" t="s">
        <v>111</v>
      </c>
      <c r="AH1220" t="s">
        <v>128</v>
      </c>
      <c r="AI1220" t="s">
        <v>111</v>
      </c>
      <c r="AJ1220" t="s">
        <v>111</v>
      </c>
      <c r="AK1220" t="s">
        <v>111</v>
      </c>
      <c r="AL1220" t="s">
        <v>111</v>
      </c>
      <c r="AM1220">
        <v>0</v>
      </c>
      <c r="AN1220">
        <v>0</v>
      </c>
      <c r="AO1220">
        <v>0</v>
      </c>
      <c r="AP1220" t="s">
        <v>111</v>
      </c>
      <c r="AQ1220" t="s">
        <v>111</v>
      </c>
      <c r="AR1220" t="s">
        <v>111</v>
      </c>
      <c r="AS1220" t="s">
        <v>111</v>
      </c>
      <c r="AT1220" t="s">
        <v>111</v>
      </c>
      <c r="AU1220" t="s">
        <v>111</v>
      </c>
      <c r="AV1220" t="s">
        <v>111</v>
      </c>
      <c r="AW1220" t="s">
        <v>111</v>
      </c>
      <c r="AX1220" t="s">
        <v>111</v>
      </c>
      <c r="AY1220" t="s">
        <v>111</v>
      </c>
      <c r="AZ1220" t="s">
        <v>111</v>
      </c>
      <c r="BA1220" t="s">
        <v>111</v>
      </c>
      <c r="BB1220" t="s">
        <v>111</v>
      </c>
      <c r="BC1220" t="s">
        <v>111</v>
      </c>
      <c r="BD1220" t="s">
        <v>111</v>
      </c>
      <c r="BE1220" t="s">
        <v>111</v>
      </c>
      <c r="BF1220" t="s">
        <v>111</v>
      </c>
      <c r="BG1220" t="s">
        <v>111</v>
      </c>
      <c r="BH1220" t="s">
        <v>111</v>
      </c>
      <c r="BI1220" t="s">
        <v>111</v>
      </c>
      <c r="BJ1220" t="s">
        <v>111</v>
      </c>
      <c r="BK1220" t="s">
        <v>111</v>
      </c>
      <c r="BL1220" t="s">
        <v>111</v>
      </c>
      <c r="BM1220" t="s">
        <v>111</v>
      </c>
      <c r="BN1220" t="s">
        <v>111</v>
      </c>
      <c r="BO1220" t="s">
        <v>111</v>
      </c>
      <c r="BP1220" t="s">
        <v>111</v>
      </c>
      <c r="BQ1220" t="s">
        <v>111</v>
      </c>
      <c r="BR1220" t="s">
        <v>111</v>
      </c>
      <c r="BS1220" t="s">
        <v>111</v>
      </c>
      <c r="BT1220" t="s">
        <v>111</v>
      </c>
      <c r="BU1220" t="s">
        <v>111</v>
      </c>
      <c r="BV1220" t="s">
        <v>111</v>
      </c>
      <c r="BW1220" t="s">
        <v>111</v>
      </c>
      <c r="BX1220" t="s">
        <v>111</v>
      </c>
      <c r="BY1220" t="s">
        <v>111</v>
      </c>
      <c r="BZ1220" t="s">
        <v>111</v>
      </c>
      <c r="CA1220" t="s">
        <v>111</v>
      </c>
      <c r="CB1220" t="s">
        <v>111</v>
      </c>
      <c r="CC1220" t="s">
        <v>111</v>
      </c>
      <c r="CD1220" t="s">
        <v>111</v>
      </c>
      <c r="CE1220" t="s">
        <v>111</v>
      </c>
      <c r="CF1220" t="s">
        <v>111</v>
      </c>
      <c r="CG1220" t="s">
        <v>111</v>
      </c>
      <c r="CH1220" t="s">
        <v>111</v>
      </c>
      <c r="CI1220" t="s">
        <v>111</v>
      </c>
      <c r="CJ1220" t="s">
        <v>111</v>
      </c>
      <c r="CK1220" t="s">
        <v>111</v>
      </c>
      <c r="CL1220" t="s">
        <v>111</v>
      </c>
      <c r="CM1220" t="s">
        <v>135</v>
      </c>
      <c r="CN1220" t="s">
        <v>128</v>
      </c>
      <c r="CO1220" t="s">
        <v>111</v>
      </c>
      <c r="CP1220" t="s">
        <v>111</v>
      </c>
      <c r="CQ1220">
        <v>0</v>
      </c>
      <c r="CR1220">
        <v>0</v>
      </c>
      <c r="CS1220">
        <v>50</v>
      </c>
      <c r="CT1220" t="e">
        <f>-ALMACEN</f>
        <v>#NAME?</v>
      </c>
      <c r="CU1220">
        <v>0</v>
      </c>
      <c r="CV1220" t="s">
        <v>111</v>
      </c>
      <c r="CW1220" t="s">
        <v>111</v>
      </c>
      <c r="CX1220" t="s">
        <v>111</v>
      </c>
      <c r="CY1220">
        <v>0</v>
      </c>
      <c r="CZ1220" t="s">
        <v>111</v>
      </c>
      <c r="DA1220" t="s">
        <v>111</v>
      </c>
      <c r="DB1220" t="s">
        <v>111</v>
      </c>
      <c r="DC1220" t="s">
        <v>111</v>
      </c>
    </row>
    <row r="1221" spans="1:107">
      <c r="A1221">
        <v>1321</v>
      </c>
      <c r="B1221" t="s">
        <v>107</v>
      </c>
      <c r="C1221" t="s">
        <v>638</v>
      </c>
      <c r="D1221" t="s">
        <v>2989</v>
      </c>
      <c r="E1221" t="s">
        <v>3599</v>
      </c>
      <c r="F1221" t="s">
        <v>192</v>
      </c>
      <c r="G1221" t="s">
        <v>240</v>
      </c>
      <c r="H1221">
        <v>2</v>
      </c>
      <c r="I1221">
        <v>30</v>
      </c>
      <c r="J1221">
        <v>0</v>
      </c>
      <c r="K1221">
        <v>0</v>
      </c>
      <c r="L1221" t="s">
        <v>112</v>
      </c>
      <c r="M1221" t="s">
        <v>111</v>
      </c>
      <c r="N1221">
        <v>0</v>
      </c>
      <c r="O1221">
        <v>0</v>
      </c>
      <c r="P1221" t="s">
        <v>111</v>
      </c>
      <c r="Q1221">
        <v>20</v>
      </c>
      <c r="R1221">
        <v>0</v>
      </c>
      <c r="S1221">
        <v>0</v>
      </c>
      <c r="T1221">
        <v>3</v>
      </c>
      <c r="U1221" t="e">
        <f>-DESTINO DELLADO</f>
        <v>#NAME?</v>
      </c>
      <c r="V1221">
        <v>0</v>
      </c>
      <c r="W1221">
        <v>25</v>
      </c>
      <c r="X1221">
        <v>8</v>
      </c>
      <c r="Y1221">
        <v>0</v>
      </c>
      <c r="Z1221" t="s">
        <v>111</v>
      </c>
      <c r="AA1221">
        <v>0</v>
      </c>
      <c r="AB1221" t="s">
        <v>111</v>
      </c>
      <c r="AC1221">
        <v>0</v>
      </c>
      <c r="AD1221" t="s">
        <v>111</v>
      </c>
      <c r="AE1221">
        <v>0</v>
      </c>
      <c r="AF1221">
        <v>0</v>
      </c>
      <c r="AG1221" t="s">
        <v>111</v>
      </c>
      <c r="AH1221" t="s">
        <v>111</v>
      </c>
      <c r="AI1221" t="s">
        <v>111</v>
      </c>
      <c r="AJ1221" t="s">
        <v>111</v>
      </c>
      <c r="AK1221" t="s">
        <v>111</v>
      </c>
      <c r="AL1221" t="s">
        <v>111</v>
      </c>
      <c r="AM1221">
        <v>0</v>
      </c>
      <c r="AN1221">
        <v>0</v>
      </c>
      <c r="AO1221">
        <v>0</v>
      </c>
      <c r="AP1221" t="s">
        <v>111</v>
      </c>
      <c r="AQ1221" t="s">
        <v>111</v>
      </c>
      <c r="AR1221" t="s">
        <v>111</v>
      </c>
      <c r="AS1221" t="s">
        <v>111</v>
      </c>
      <c r="AT1221" t="s">
        <v>111</v>
      </c>
      <c r="AU1221" t="s">
        <v>111</v>
      </c>
      <c r="AV1221" t="s">
        <v>111</v>
      </c>
      <c r="AW1221" t="s">
        <v>111</v>
      </c>
      <c r="AX1221" t="s">
        <v>111</v>
      </c>
      <c r="AY1221" t="s">
        <v>111</v>
      </c>
      <c r="AZ1221" t="s">
        <v>111</v>
      </c>
      <c r="BA1221" t="s">
        <v>111</v>
      </c>
      <c r="BB1221" t="s">
        <v>111</v>
      </c>
      <c r="BC1221" t="s">
        <v>111</v>
      </c>
      <c r="BD1221" t="s">
        <v>111</v>
      </c>
      <c r="BE1221" t="s">
        <v>111</v>
      </c>
      <c r="BF1221" t="s">
        <v>111</v>
      </c>
      <c r="BG1221" t="s">
        <v>111</v>
      </c>
      <c r="BH1221" t="s">
        <v>111</v>
      </c>
      <c r="BI1221" t="s">
        <v>111</v>
      </c>
      <c r="BJ1221" t="s">
        <v>111</v>
      </c>
      <c r="BK1221" t="s">
        <v>111</v>
      </c>
      <c r="BL1221" t="s">
        <v>111</v>
      </c>
      <c r="BM1221" t="s">
        <v>111</v>
      </c>
      <c r="BN1221" t="s">
        <v>111</v>
      </c>
      <c r="BO1221" t="s">
        <v>111</v>
      </c>
      <c r="BP1221" t="s">
        <v>111</v>
      </c>
      <c r="BQ1221" t="s">
        <v>111</v>
      </c>
      <c r="BR1221" t="s">
        <v>111</v>
      </c>
      <c r="BS1221" t="s">
        <v>111</v>
      </c>
      <c r="BT1221" t="s">
        <v>111</v>
      </c>
      <c r="BU1221" t="s">
        <v>111</v>
      </c>
      <c r="BV1221" t="s">
        <v>111</v>
      </c>
      <c r="BW1221" t="s">
        <v>111</v>
      </c>
      <c r="BX1221" t="s">
        <v>111</v>
      </c>
      <c r="BY1221" t="s">
        <v>111</v>
      </c>
      <c r="BZ1221" t="s">
        <v>111</v>
      </c>
      <c r="CA1221" t="s">
        <v>111</v>
      </c>
      <c r="CB1221" t="s">
        <v>111</v>
      </c>
      <c r="CC1221" t="s">
        <v>111</v>
      </c>
      <c r="CD1221" t="s">
        <v>111</v>
      </c>
      <c r="CE1221" t="s">
        <v>111</v>
      </c>
      <c r="CF1221" t="s">
        <v>111</v>
      </c>
      <c r="CG1221" t="s">
        <v>111</v>
      </c>
      <c r="CH1221" t="s">
        <v>111</v>
      </c>
      <c r="CI1221" t="s">
        <v>111</v>
      </c>
      <c r="CJ1221" t="s">
        <v>111</v>
      </c>
      <c r="CK1221" t="s">
        <v>111</v>
      </c>
      <c r="CL1221" t="s">
        <v>111</v>
      </c>
      <c r="CM1221" t="s">
        <v>135</v>
      </c>
      <c r="CN1221" t="s">
        <v>128</v>
      </c>
      <c r="CO1221" t="s">
        <v>111</v>
      </c>
      <c r="CP1221" t="s">
        <v>111</v>
      </c>
      <c r="CQ1221">
        <v>0</v>
      </c>
      <c r="CR1221">
        <v>500</v>
      </c>
      <c r="CS1221">
        <v>100</v>
      </c>
      <c r="CT1221" t="e">
        <f>-ALMACEN</f>
        <v>#NAME?</v>
      </c>
      <c r="CU1221">
        <v>0</v>
      </c>
      <c r="CV1221" t="s">
        <v>111</v>
      </c>
      <c r="CW1221" t="s">
        <v>111</v>
      </c>
      <c r="CX1221" t="s">
        <v>111</v>
      </c>
      <c r="CY1221">
        <v>0</v>
      </c>
      <c r="CZ1221" t="s">
        <v>111</v>
      </c>
      <c r="DA1221" t="s">
        <v>111</v>
      </c>
      <c r="DB1221" t="s">
        <v>111</v>
      </c>
      <c r="DC1221" t="s">
        <v>111</v>
      </c>
    </row>
    <row r="1222" spans="1:107">
      <c r="A1222">
        <v>2082</v>
      </c>
      <c r="B1222" t="s">
        <v>376</v>
      </c>
      <c r="C1222" t="s">
        <v>2359</v>
      </c>
      <c r="D1222" t="s">
        <v>3600</v>
      </c>
      <c r="E1222" t="s">
        <v>3601</v>
      </c>
      <c r="F1222" t="s">
        <v>287</v>
      </c>
      <c r="G1222" t="s">
        <v>240</v>
      </c>
      <c r="H1222">
        <v>0.5</v>
      </c>
      <c r="I1222">
        <v>60</v>
      </c>
      <c r="J1222">
        <v>0</v>
      </c>
      <c r="K1222">
        <v>0</v>
      </c>
      <c r="L1222" t="s">
        <v>112</v>
      </c>
      <c r="M1222" t="s">
        <v>111</v>
      </c>
      <c r="N1222">
        <v>0</v>
      </c>
      <c r="O1222">
        <v>0</v>
      </c>
      <c r="P1222" t="s">
        <v>111</v>
      </c>
      <c r="Q1222">
        <v>2</v>
      </c>
      <c r="R1222">
        <v>0</v>
      </c>
      <c r="S1222">
        <v>0</v>
      </c>
      <c r="T1222">
        <v>5</v>
      </c>
      <c r="U1222" s="1" t="s">
        <v>3602</v>
      </c>
      <c r="V1222">
        <v>25</v>
      </c>
      <c r="W1222">
        <v>0</v>
      </c>
      <c r="X1222">
        <v>8</v>
      </c>
      <c r="Y1222">
        <v>0</v>
      </c>
      <c r="Z1222" t="s">
        <v>111</v>
      </c>
      <c r="AA1222">
        <v>0</v>
      </c>
      <c r="AB1222" t="s">
        <v>111</v>
      </c>
      <c r="AC1222">
        <v>0</v>
      </c>
      <c r="AD1222" t="s">
        <v>111</v>
      </c>
      <c r="AE1222">
        <v>0</v>
      </c>
      <c r="AF1222">
        <v>0</v>
      </c>
      <c r="AG1222" t="s">
        <v>111</v>
      </c>
      <c r="AH1222" t="s">
        <v>111</v>
      </c>
      <c r="AI1222" t="s">
        <v>111</v>
      </c>
      <c r="AJ1222" t="s">
        <v>111</v>
      </c>
      <c r="AK1222" t="s">
        <v>111</v>
      </c>
      <c r="AL1222" t="s">
        <v>111</v>
      </c>
      <c r="AM1222">
        <v>0</v>
      </c>
      <c r="AN1222">
        <v>0</v>
      </c>
      <c r="AO1222">
        <v>0</v>
      </c>
      <c r="AP1222" t="s">
        <v>111</v>
      </c>
      <c r="AQ1222" t="s">
        <v>111</v>
      </c>
      <c r="AR1222" t="s">
        <v>111</v>
      </c>
      <c r="AS1222" t="s">
        <v>111</v>
      </c>
      <c r="AT1222" t="s">
        <v>111</v>
      </c>
      <c r="AU1222" t="s">
        <v>111</v>
      </c>
      <c r="AV1222" t="s">
        <v>111</v>
      </c>
      <c r="AW1222" t="s">
        <v>111</v>
      </c>
      <c r="AX1222" t="s">
        <v>111</v>
      </c>
      <c r="AY1222" t="s">
        <v>111</v>
      </c>
      <c r="AZ1222" t="s">
        <v>111</v>
      </c>
      <c r="BA1222" t="s">
        <v>111</v>
      </c>
      <c r="BB1222" t="s">
        <v>111</v>
      </c>
      <c r="BC1222" t="s">
        <v>111</v>
      </c>
      <c r="BD1222" t="s">
        <v>111</v>
      </c>
      <c r="BE1222" t="s">
        <v>111</v>
      </c>
      <c r="BF1222" t="s">
        <v>111</v>
      </c>
      <c r="BG1222" t="s">
        <v>111</v>
      </c>
      <c r="BH1222" t="s">
        <v>111</v>
      </c>
      <c r="BI1222" t="s">
        <v>111</v>
      </c>
      <c r="BJ1222" t="s">
        <v>111</v>
      </c>
      <c r="BK1222" t="s">
        <v>111</v>
      </c>
      <c r="BL1222" t="s">
        <v>111</v>
      </c>
      <c r="BM1222" t="s">
        <v>111</v>
      </c>
      <c r="BN1222" t="s">
        <v>111</v>
      </c>
      <c r="BO1222" t="s">
        <v>111</v>
      </c>
      <c r="BP1222" t="s">
        <v>111</v>
      </c>
      <c r="BQ1222" t="s">
        <v>111</v>
      </c>
      <c r="BR1222" t="s">
        <v>111</v>
      </c>
      <c r="BS1222" t="s">
        <v>111</v>
      </c>
      <c r="BT1222" t="s">
        <v>111</v>
      </c>
      <c r="BU1222" t="s">
        <v>111</v>
      </c>
      <c r="BV1222" t="s">
        <v>111</v>
      </c>
      <c r="BW1222" t="s">
        <v>111</v>
      </c>
      <c r="BX1222" t="s">
        <v>111</v>
      </c>
      <c r="BY1222" t="s">
        <v>111</v>
      </c>
      <c r="BZ1222" t="s">
        <v>111</v>
      </c>
      <c r="CA1222" t="s">
        <v>111</v>
      </c>
      <c r="CB1222" t="s">
        <v>111</v>
      </c>
      <c r="CC1222" t="s">
        <v>111</v>
      </c>
      <c r="CD1222" t="s">
        <v>111</v>
      </c>
      <c r="CE1222" t="s">
        <v>111</v>
      </c>
      <c r="CF1222" t="s">
        <v>111</v>
      </c>
      <c r="CG1222" t="s">
        <v>111</v>
      </c>
      <c r="CH1222" t="s">
        <v>111</v>
      </c>
      <c r="CI1222" t="s">
        <v>111</v>
      </c>
      <c r="CJ1222" t="s">
        <v>111</v>
      </c>
      <c r="CK1222" t="s">
        <v>111</v>
      </c>
      <c r="CL1222" t="s">
        <v>111</v>
      </c>
      <c r="CM1222" t="s">
        <v>240</v>
      </c>
      <c r="CN1222" t="s">
        <v>113</v>
      </c>
      <c r="CO1222" t="s">
        <v>111</v>
      </c>
      <c r="CP1222" t="s">
        <v>111</v>
      </c>
      <c r="CQ1222">
        <v>0</v>
      </c>
      <c r="CR1222">
        <v>300</v>
      </c>
      <c r="CS1222">
        <v>300</v>
      </c>
      <c r="CT1222" s="1" t="s">
        <v>3603</v>
      </c>
      <c r="CU1222">
        <v>0</v>
      </c>
      <c r="CV1222" t="s">
        <v>111</v>
      </c>
      <c r="CX1222" t="s">
        <v>111</v>
      </c>
      <c r="CY1222">
        <v>0</v>
      </c>
      <c r="CZ1222" t="s">
        <v>111</v>
      </c>
      <c r="DA1222" t="s">
        <v>111</v>
      </c>
      <c r="DB1222" t="s">
        <v>111</v>
      </c>
      <c r="DC1222" t="s">
        <v>111</v>
      </c>
    </row>
    <row r="1223" spans="1:107">
      <c r="A1223">
        <v>2083</v>
      </c>
      <c r="B1223" t="s">
        <v>376</v>
      </c>
      <c r="C1223" t="s">
        <v>2359</v>
      </c>
      <c r="D1223" t="s">
        <v>3604</v>
      </c>
      <c r="E1223" t="s">
        <v>3605</v>
      </c>
      <c r="F1223" t="s">
        <v>257</v>
      </c>
      <c r="G1223" t="s">
        <v>240</v>
      </c>
      <c r="H1223">
        <v>0.5</v>
      </c>
      <c r="I1223">
        <v>60</v>
      </c>
      <c r="J1223">
        <v>0</v>
      </c>
      <c r="K1223">
        <v>0</v>
      </c>
      <c r="L1223" t="s">
        <v>112</v>
      </c>
      <c r="M1223" t="s">
        <v>111</v>
      </c>
      <c r="N1223">
        <v>0</v>
      </c>
      <c r="O1223">
        <v>0</v>
      </c>
      <c r="P1223" t="s">
        <v>111</v>
      </c>
      <c r="Q1223">
        <v>2</v>
      </c>
      <c r="R1223">
        <v>0</v>
      </c>
      <c r="S1223">
        <v>0</v>
      </c>
      <c r="T1223">
        <v>5</v>
      </c>
      <c r="U1223" s="1" t="s">
        <v>3606</v>
      </c>
      <c r="V1223">
        <v>25</v>
      </c>
      <c r="W1223">
        <v>0</v>
      </c>
      <c r="X1223">
        <v>8</v>
      </c>
      <c r="Y1223">
        <v>0</v>
      </c>
      <c r="Z1223" t="s">
        <v>111</v>
      </c>
      <c r="AA1223">
        <v>0</v>
      </c>
      <c r="AB1223" t="s">
        <v>111</v>
      </c>
      <c r="AC1223">
        <v>0</v>
      </c>
      <c r="AD1223" t="s">
        <v>111</v>
      </c>
      <c r="AE1223">
        <v>0</v>
      </c>
      <c r="AF1223">
        <v>0</v>
      </c>
      <c r="AG1223" t="s">
        <v>111</v>
      </c>
      <c r="AH1223" t="s">
        <v>111</v>
      </c>
      <c r="AI1223" t="s">
        <v>111</v>
      </c>
      <c r="AJ1223" t="s">
        <v>111</v>
      </c>
      <c r="AK1223" t="s">
        <v>111</v>
      </c>
      <c r="AL1223" t="s">
        <v>111</v>
      </c>
      <c r="AM1223">
        <v>0</v>
      </c>
      <c r="AN1223">
        <v>0</v>
      </c>
      <c r="AO1223">
        <v>0</v>
      </c>
      <c r="AP1223" t="s">
        <v>111</v>
      </c>
      <c r="AQ1223" t="s">
        <v>111</v>
      </c>
      <c r="AR1223" t="s">
        <v>111</v>
      </c>
      <c r="AS1223" t="s">
        <v>111</v>
      </c>
      <c r="AT1223" t="s">
        <v>111</v>
      </c>
      <c r="AU1223" t="s">
        <v>111</v>
      </c>
      <c r="AV1223" t="s">
        <v>111</v>
      </c>
      <c r="AW1223" t="s">
        <v>111</v>
      </c>
      <c r="AX1223" t="s">
        <v>111</v>
      </c>
      <c r="AY1223" t="s">
        <v>111</v>
      </c>
      <c r="AZ1223" t="s">
        <v>111</v>
      </c>
      <c r="BA1223" t="s">
        <v>111</v>
      </c>
      <c r="BB1223" t="s">
        <v>111</v>
      </c>
      <c r="BC1223" t="s">
        <v>111</v>
      </c>
      <c r="BD1223" t="s">
        <v>111</v>
      </c>
      <c r="BE1223" t="s">
        <v>111</v>
      </c>
      <c r="BF1223" t="s">
        <v>111</v>
      </c>
      <c r="BG1223" t="s">
        <v>111</v>
      </c>
      <c r="BH1223" t="s">
        <v>111</v>
      </c>
      <c r="BI1223" t="s">
        <v>111</v>
      </c>
      <c r="BJ1223" t="s">
        <v>111</v>
      </c>
      <c r="BK1223" t="s">
        <v>111</v>
      </c>
      <c r="BL1223" t="s">
        <v>111</v>
      </c>
      <c r="BM1223" t="s">
        <v>111</v>
      </c>
      <c r="BN1223" t="s">
        <v>111</v>
      </c>
      <c r="BO1223" t="s">
        <v>111</v>
      </c>
      <c r="BP1223" t="s">
        <v>111</v>
      </c>
      <c r="BQ1223" t="s">
        <v>111</v>
      </c>
      <c r="BR1223" t="s">
        <v>111</v>
      </c>
      <c r="BS1223" t="s">
        <v>111</v>
      </c>
      <c r="BT1223" t="s">
        <v>111</v>
      </c>
      <c r="BU1223" t="s">
        <v>111</v>
      </c>
      <c r="BV1223" t="s">
        <v>111</v>
      </c>
      <c r="BW1223" t="s">
        <v>111</v>
      </c>
      <c r="BX1223" t="s">
        <v>111</v>
      </c>
      <c r="BY1223" t="s">
        <v>111</v>
      </c>
      <c r="BZ1223" t="s">
        <v>111</v>
      </c>
      <c r="CA1223" t="s">
        <v>111</v>
      </c>
      <c r="CB1223" t="s">
        <v>111</v>
      </c>
      <c r="CC1223" t="s">
        <v>111</v>
      </c>
      <c r="CD1223" t="s">
        <v>111</v>
      </c>
      <c r="CE1223" t="s">
        <v>111</v>
      </c>
      <c r="CF1223" t="s">
        <v>111</v>
      </c>
      <c r="CG1223" t="s">
        <v>111</v>
      </c>
      <c r="CH1223" t="s">
        <v>111</v>
      </c>
      <c r="CI1223" t="s">
        <v>111</v>
      </c>
      <c r="CJ1223" t="s">
        <v>111</v>
      </c>
      <c r="CK1223" t="s">
        <v>111</v>
      </c>
      <c r="CL1223" t="s">
        <v>111</v>
      </c>
      <c r="CM1223" t="s">
        <v>240</v>
      </c>
      <c r="CN1223" t="s">
        <v>113</v>
      </c>
      <c r="CO1223" t="s">
        <v>111</v>
      </c>
      <c r="CP1223" t="s">
        <v>111</v>
      </c>
      <c r="CQ1223">
        <v>0</v>
      </c>
      <c r="CR1223">
        <v>300</v>
      </c>
      <c r="CS1223">
        <v>300</v>
      </c>
      <c r="CT1223" t="e">
        <f>- DESTINO ALMACEN</f>
        <v>#NAME?</v>
      </c>
      <c r="CU1223">
        <v>0</v>
      </c>
      <c r="CV1223" t="s">
        <v>111</v>
      </c>
      <c r="CX1223" t="s">
        <v>111</v>
      </c>
      <c r="CY1223">
        <v>0</v>
      </c>
      <c r="CZ1223" t="s">
        <v>111</v>
      </c>
      <c r="DA1223" t="s">
        <v>111</v>
      </c>
      <c r="DB1223" t="s">
        <v>111</v>
      </c>
      <c r="DC1223" t="s">
        <v>111</v>
      </c>
    </row>
    <row r="1224" spans="1:107">
      <c r="A1224">
        <v>1493</v>
      </c>
      <c r="B1224" t="s">
        <v>107</v>
      </c>
      <c r="C1224" t="s">
        <v>504</v>
      </c>
      <c r="D1224" t="s">
        <v>172</v>
      </c>
      <c r="E1224" t="s">
        <v>3607</v>
      </c>
      <c r="F1224" t="s">
        <v>166</v>
      </c>
      <c r="G1224" t="s">
        <v>240</v>
      </c>
      <c r="H1224">
        <v>0.7</v>
      </c>
      <c r="I1224">
        <v>30</v>
      </c>
      <c r="J1224">
        <v>0</v>
      </c>
      <c r="K1224">
        <v>0</v>
      </c>
      <c r="L1224" t="s">
        <v>112</v>
      </c>
      <c r="M1224" t="s">
        <v>111</v>
      </c>
      <c r="N1224">
        <v>0</v>
      </c>
      <c r="O1224">
        <v>0</v>
      </c>
      <c r="P1224" t="s">
        <v>111</v>
      </c>
      <c r="Q1224">
        <v>20</v>
      </c>
      <c r="R1224">
        <v>0</v>
      </c>
      <c r="S1224">
        <v>0</v>
      </c>
      <c r="T1224">
        <v>0</v>
      </c>
      <c r="U1224" t="e">
        <f>-ALMACEN</f>
        <v>#NAME?</v>
      </c>
      <c r="V1224">
        <v>25</v>
      </c>
      <c r="W1224">
        <v>0</v>
      </c>
      <c r="X1224">
        <v>8</v>
      </c>
      <c r="Y1224">
        <v>0</v>
      </c>
      <c r="Z1224" t="s">
        <v>259</v>
      </c>
      <c r="AA1224">
        <v>1.5</v>
      </c>
      <c r="AB1224" t="s">
        <v>2364</v>
      </c>
      <c r="AC1224">
        <v>250</v>
      </c>
      <c r="AD1224" t="s">
        <v>111</v>
      </c>
      <c r="AE1224">
        <v>0</v>
      </c>
      <c r="AF1224">
        <v>0</v>
      </c>
      <c r="AG1224" t="s">
        <v>111</v>
      </c>
      <c r="AH1224" t="s">
        <v>111</v>
      </c>
      <c r="AI1224" t="s">
        <v>111</v>
      </c>
      <c r="AJ1224" t="s">
        <v>111</v>
      </c>
      <c r="AK1224" t="s">
        <v>111</v>
      </c>
      <c r="AL1224" t="s">
        <v>111</v>
      </c>
      <c r="AM1224">
        <v>0</v>
      </c>
      <c r="AN1224">
        <v>0</v>
      </c>
      <c r="AO1224">
        <v>0</v>
      </c>
      <c r="AP1224" t="s">
        <v>111</v>
      </c>
      <c r="AQ1224" t="s">
        <v>111</v>
      </c>
      <c r="AR1224" t="s">
        <v>111</v>
      </c>
      <c r="AS1224" t="s">
        <v>111</v>
      </c>
      <c r="AT1224" t="s">
        <v>111</v>
      </c>
      <c r="AU1224" t="s">
        <v>111</v>
      </c>
      <c r="AV1224" t="s">
        <v>111</v>
      </c>
      <c r="AW1224" t="s">
        <v>111</v>
      </c>
      <c r="AX1224" t="s">
        <v>111</v>
      </c>
      <c r="AY1224" t="s">
        <v>111</v>
      </c>
      <c r="AZ1224" t="s">
        <v>111</v>
      </c>
      <c r="BA1224" t="s">
        <v>111</v>
      </c>
      <c r="BB1224" t="s">
        <v>111</v>
      </c>
      <c r="BC1224" t="s">
        <v>111</v>
      </c>
      <c r="BD1224" t="s">
        <v>111</v>
      </c>
      <c r="BE1224" t="s">
        <v>111</v>
      </c>
      <c r="BF1224" t="s">
        <v>111</v>
      </c>
      <c r="BG1224" t="s">
        <v>111</v>
      </c>
      <c r="BH1224" t="s">
        <v>111</v>
      </c>
      <c r="BI1224" t="s">
        <v>111</v>
      </c>
      <c r="BJ1224" t="s">
        <v>111</v>
      </c>
      <c r="BK1224" t="s">
        <v>111</v>
      </c>
      <c r="BL1224" t="s">
        <v>111</v>
      </c>
      <c r="BM1224" t="s">
        <v>111</v>
      </c>
      <c r="BN1224" t="s">
        <v>111</v>
      </c>
      <c r="BO1224" t="s">
        <v>111</v>
      </c>
      <c r="BP1224" t="s">
        <v>111</v>
      </c>
      <c r="BQ1224" t="s">
        <v>111</v>
      </c>
      <c r="BR1224" t="s">
        <v>111</v>
      </c>
      <c r="BS1224" t="s">
        <v>111</v>
      </c>
      <c r="BT1224" t="s">
        <v>111</v>
      </c>
      <c r="BU1224" t="s">
        <v>111</v>
      </c>
      <c r="BV1224" t="s">
        <v>111</v>
      </c>
      <c r="BW1224" t="s">
        <v>111</v>
      </c>
      <c r="BX1224" t="s">
        <v>111</v>
      </c>
      <c r="BY1224" t="s">
        <v>111</v>
      </c>
      <c r="BZ1224" t="s">
        <v>111</v>
      </c>
      <c r="CA1224" t="s">
        <v>111</v>
      </c>
      <c r="CB1224" t="s">
        <v>111</v>
      </c>
      <c r="CC1224" t="s">
        <v>111</v>
      </c>
      <c r="CD1224" t="s">
        <v>111</v>
      </c>
      <c r="CE1224" t="s">
        <v>111</v>
      </c>
      <c r="CF1224" t="s">
        <v>111</v>
      </c>
      <c r="CG1224" t="s">
        <v>111</v>
      </c>
      <c r="CH1224" t="s">
        <v>111</v>
      </c>
      <c r="CI1224" t="s">
        <v>111</v>
      </c>
      <c r="CJ1224" t="s">
        <v>111</v>
      </c>
      <c r="CK1224" t="s">
        <v>111</v>
      </c>
      <c r="CL1224" t="s">
        <v>111</v>
      </c>
      <c r="CM1224" t="s">
        <v>111</v>
      </c>
      <c r="CN1224" t="s">
        <v>111</v>
      </c>
      <c r="CO1224" t="s">
        <v>111</v>
      </c>
      <c r="CP1224" t="s">
        <v>111</v>
      </c>
      <c r="CQ1224">
        <v>0</v>
      </c>
      <c r="CR1224">
        <v>0</v>
      </c>
      <c r="CS1224">
        <v>0</v>
      </c>
      <c r="CT1224" t="s">
        <v>111</v>
      </c>
      <c r="CU1224">
        <v>0</v>
      </c>
      <c r="CV1224" t="s">
        <v>111</v>
      </c>
      <c r="CW1224" t="s">
        <v>111</v>
      </c>
      <c r="CX1224" t="s">
        <v>111</v>
      </c>
      <c r="CY1224">
        <v>0</v>
      </c>
      <c r="CZ1224" t="s">
        <v>111</v>
      </c>
      <c r="DA1224" t="s">
        <v>111</v>
      </c>
      <c r="DB1224" t="s">
        <v>111</v>
      </c>
      <c r="DC1224" t="s">
        <v>111</v>
      </c>
    </row>
    <row r="1225" spans="1:107">
      <c r="A1225">
        <v>1065</v>
      </c>
      <c r="B1225" t="s">
        <v>107</v>
      </c>
      <c r="C1225" t="s">
        <v>3608</v>
      </c>
      <c r="D1225" t="s">
        <v>3609</v>
      </c>
      <c r="E1225" t="s">
        <v>3610</v>
      </c>
      <c r="F1225" t="s">
        <v>393</v>
      </c>
      <c r="G1225" t="s">
        <v>240</v>
      </c>
      <c r="H1225">
        <v>0.8</v>
      </c>
      <c r="I1225">
        <v>65</v>
      </c>
      <c r="J1225">
        <v>0</v>
      </c>
      <c r="K1225">
        <v>0</v>
      </c>
      <c r="L1225" t="s">
        <v>112</v>
      </c>
      <c r="M1225" t="s">
        <v>111</v>
      </c>
      <c r="N1225">
        <v>0</v>
      </c>
      <c r="O1225">
        <v>0</v>
      </c>
      <c r="P1225" t="s">
        <v>111</v>
      </c>
      <c r="Q1225">
        <v>10</v>
      </c>
      <c r="R1225">
        <v>0</v>
      </c>
      <c r="S1225">
        <v>0</v>
      </c>
      <c r="T1225">
        <v>0</v>
      </c>
      <c r="U1225" t="s">
        <v>296</v>
      </c>
      <c r="V1225">
        <v>0</v>
      </c>
      <c r="W1225">
        <v>25</v>
      </c>
      <c r="X1225">
        <v>0</v>
      </c>
      <c r="Y1225">
        <v>0</v>
      </c>
      <c r="Z1225" t="s">
        <v>111</v>
      </c>
      <c r="AA1225">
        <v>0</v>
      </c>
      <c r="AB1225" t="s">
        <v>111</v>
      </c>
      <c r="AC1225">
        <v>0</v>
      </c>
      <c r="AD1225" t="s">
        <v>111</v>
      </c>
      <c r="AE1225">
        <v>0</v>
      </c>
      <c r="AF1225">
        <v>0</v>
      </c>
      <c r="AG1225" t="s">
        <v>111</v>
      </c>
      <c r="AH1225" t="s">
        <v>111</v>
      </c>
      <c r="AI1225" t="s">
        <v>111</v>
      </c>
      <c r="AJ1225" t="s">
        <v>111</v>
      </c>
      <c r="AK1225" t="s">
        <v>111</v>
      </c>
      <c r="AL1225" t="s">
        <v>111</v>
      </c>
      <c r="AM1225">
        <v>0</v>
      </c>
      <c r="AN1225">
        <v>0</v>
      </c>
      <c r="AO1225">
        <v>0</v>
      </c>
      <c r="AP1225" t="s">
        <v>111</v>
      </c>
      <c r="AQ1225" t="s">
        <v>111</v>
      </c>
      <c r="AR1225" t="s">
        <v>111</v>
      </c>
      <c r="AS1225" t="s">
        <v>111</v>
      </c>
      <c r="AT1225" t="s">
        <v>111</v>
      </c>
      <c r="AU1225" t="s">
        <v>111</v>
      </c>
      <c r="AV1225" t="s">
        <v>111</v>
      </c>
      <c r="AW1225" t="s">
        <v>111</v>
      </c>
      <c r="AX1225" t="s">
        <v>111</v>
      </c>
      <c r="AY1225" t="s">
        <v>111</v>
      </c>
      <c r="AZ1225" t="s">
        <v>111</v>
      </c>
      <c r="BA1225" t="s">
        <v>111</v>
      </c>
      <c r="BB1225" t="s">
        <v>111</v>
      </c>
      <c r="BC1225" t="s">
        <v>111</v>
      </c>
      <c r="BD1225" t="s">
        <v>111</v>
      </c>
      <c r="BE1225" t="s">
        <v>111</v>
      </c>
      <c r="BF1225" t="s">
        <v>111</v>
      </c>
      <c r="BG1225" t="s">
        <v>111</v>
      </c>
      <c r="BH1225" t="s">
        <v>111</v>
      </c>
      <c r="BI1225" t="s">
        <v>111</v>
      </c>
      <c r="BJ1225" t="s">
        <v>111</v>
      </c>
      <c r="BK1225" t="s">
        <v>111</v>
      </c>
      <c r="BL1225" t="s">
        <v>111</v>
      </c>
      <c r="BM1225" t="s">
        <v>111</v>
      </c>
      <c r="BN1225" t="s">
        <v>111</v>
      </c>
      <c r="BO1225" t="s">
        <v>111</v>
      </c>
      <c r="BP1225" t="s">
        <v>111</v>
      </c>
      <c r="BQ1225" t="s">
        <v>111</v>
      </c>
      <c r="BR1225" t="s">
        <v>111</v>
      </c>
      <c r="BS1225" t="s">
        <v>111</v>
      </c>
      <c r="BT1225" t="s">
        <v>111</v>
      </c>
      <c r="BU1225" t="s">
        <v>111</v>
      </c>
      <c r="BV1225" t="s">
        <v>111</v>
      </c>
      <c r="BW1225" t="s">
        <v>111</v>
      </c>
      <c r="BX1225" t="s">
        <v>111</v>
      </c>
      <c r="BY1225" t="s">
        <v>111</v>
      </c>
      <c r="BZ1225" t="s">
        <v>111</v>
      </c>
      <c r="CA1225" t="s">
        <v>111</v>
      </c>
      <c r="CB1225" t="s">
        <v>111</v>
      </c>
      <c r="CC1225" t="s">
        <v>111</v>
      </c>
      <c r="CD1225" t="s">
        <v>111</v>
      </c>
      <c r="CE1225" t="s">
        <v>111</v>
      </c>
      <c r="CF1225" t="s">
        <v>111</v>
      </c>
      <c r="CG1225" t="s">
        <v>111</v>
      </c>
      <c r="CH1225" t="s">
        <v>111</v>
      </c>
      <c r="CI1225" t="s">
        <v>111</v>
      </c>
      <c r="CJ1225" t="s">
        <v>111</v>
      </c>
      <c r="CK1225" t="s">
        <v>111</v>
      </c>
      <c r="CL1225" t="s">
        <v>111</v>
      </c>
      <c r="CM1225" t="s">
        <v>127</v>
      </c>
      <c r="CN1225" t="s">
        <v>113</v>
      </c>
      <c r="CO1225" t="s">
        <v>111</v>
      </c>
      <c r="CP1225" t="s">
        <v>111</v>
      </c>
      <c r="CQ1225">
        <v>0</v>
      </c>
      <c r="CR1225">
        <v>1000</v>
      </c>
      <c r="CS1225">
        <v>100</v>
      </c>
      <c r="CT1225" t="e">
        <f>-ALMACEN</f>
        <v>#NAME?</v>
      </c>
      <c r="CU1225">
        <v>0</v>
      </c>
      <c r="CV1225" t="s">
        <v>111</v>
      </c>
      <c r="CW1225" t="s">
        <v>111</v>
      </c>
      <c r="CX1225" t="s">
        <v>111</v>
      </c>
      <c r="CY1225">
        <v>0</v>
      </c>
      <c r="CZ1225" t="s">
        <v>111</v>
      </c>
      <c r="DA1225" t="s">
        <v>111</v>
      </c>
      <c r="DB1225" t="s">
        <v>111</v>
      </c>
      <c r="DC1225" t="s">
        <v>111</v>
      </c>
    </row>
    <row r="1226" spans="1:107">
      <c r="A1226">
        <v>1941</v>
      </c>
      <c r="B1226" t="s">
        <v>107</v>
      </c>
      <c r="C1226" t="s">
        <v>593</v>
      </c>
      <c r="D1226" t="s">
        <v>3611</v>
      </c>
      <c r="E1226" t="s">
        <v>3612</v>
      </c>
      <c r="F1226" t="s">
        <v>3567</v>
      </c>
      <c r="G1226" t="s">
        <v>240</v>
      </c>
      <c r="H1226">
        <v>1</v>
      </c>
      <c r="I1226">
        <v>30</v>
      </c>
      <c r="J1226">
        <v>0</v>
      </c>
      <c r="K1226">
        <v>0</v>
      </c>
      <c r="L1226" t="s">
        <v>117</v>
      </c>
      <c r="M1226" t="s">
        <v>111</v>
      </c>
      <c r="N1226">
        <v>0</v>
      </c>
      <c r="O1226">
        <v>0</v>
      </c>
      <c r="P1226" t="s">
        <v>111</v>
      </c>
      <c r="Q1226">
        <v>15</v>
      </c>
      <c r="R1226">
        <v>0</v>
      </c>
      <c r="S1226">
        <v>0</v>
      </c>
      <c r="T1226">
        <v>0</v>
      </c>
      <c r="U1226" t="e">
        <f>-REFILADO</f>
        <v>#NAME?</v>
      </c>
      <c r="V1226">
        <v>0</v>
      </c>
      <c r="W1226">
        <v>0</v>
      </c>
      <c r="X1226">
        <v>0</v>
      </c>
      <c r="Y1226">
        <v>25</v>
      </c>
      <c r="Z1226" t="s">
        <v>111</v>
      </c>
      <c r="AA1226">
        <v>0</v>
      </c>
      <c r="AB1226" t="s">
        <v>111</v>
      </c>
      <c r="AC1226">
        <v>0</v>
      </c>
      <c r="AD1226" t="s">
        <v>111</v>
      </c>
      <c r="AE1226">
        <v>0</v>
      </c>
      <c r="AF1226">
        <v>0</v>
      </c>
      <c r="AG1226" t="s">
        <v>111</v>
      </c>
      <c r="AH1226" t="s">
        <v>111</v>
      </c>
      <c r="AI1226" t="s">
        <v>111</v>
      </c>
      <c r="AJ1226" t="s">
        <v>111</v>
      </c>
      <c r="AK1226" t="s">
        <v>111</v>
      </c>
      <c r="AL1226" t="s">
        <v>111</v>
      </c>
      <c r="AM1226">
        <v>0</v>
      </c>
      <c r="AN1226">
        <v>0</v>
      </c>
      <c r="AO1226">
        <v>0</v>
      </c>
      <c r="AP1226" t="s">
        <v>111</v>
      </c>
      <c r="AQ1226" t="s">
        <v>111</v>
      </c>
      <c r="AR1226" t="s">
        <v>111</v>
      </c>
      <c r="AS1226" t="s">
        <v>111</v>
      </c>
      <c r="AT1226" t="s">
        <v>111</v>
      </c>
      <c r="AU1226" t="s">
        <v>111</v>
      </c>
      <c r="AV1226" t="s">
        <v>111</v>
      </c>
      <c r="AW1226" t="s">
        <v>111</v>
      </c>
      <c r="AX1226" t="s">
        <v>111</v>
      </c>
      <c r="AY1226" t="s">
        <v>111</v>
      </c>
      <c r="AZ1226" t="s">
        <v>111</v>
      </c>
      <c r="BA1226" t="s">
        <v>111</v>
      </c>
      <c r="BB1226" t="s">
        <v>111</v>
      </c>
      <c r="BC1226" t="s">
        <v>111</v>
      </c>
      <c r="BD1226" t="s">
        <v>111</v>
      </c>
      <c r="BE1226" t="s">
        <v>111</v>
      </c>
      <c r="BF1226" t="s">
        <v>111</v>
      </c>
      <c r="BG1226" t="s">
        <v>111</v>
      </c>
      <c r="BH1226" t="s">
        <v>111</v>
      </c>
      <c r="BI1226" t="s">
        <v>111</v>
      </c>
      <c r="BJ1226" t="s">
        <v>111</v>
      </c>
      <c r="BK1226" t="s">
        <v>111</v>
      </c>
      <c r="BL1226" t="s">
        <v>111</v>
      </c>
      <c r="BM1226" t="s">
        <v>111</v>
      </c>
      <c r="BN1226" t="s">
        <v>111</v>
      </c>
      <c r="BO1226" t="s">
        <v>111</v>
      </c>
      <c r="BP1226" t="s">
        <v>111</v>
      </c>
      <c r="BQ1226" t="s">
        <v>111</v>
      </c>
      <c r="BR1226" t="s">
        <v>111</v>
      </c>
      <c r="BS1226" t="s">
        <v>111</v>
      </c>
      <c r="BT1226" t="s">
        <v>111</v>
      </c>
      <c r="BU1226" t="s">
        <v>111</v>
      </c>
      <c r="BV1226" t="s">
        <v>111</v>
      </c>
      <c r="BW1226" t="s">
        <v>111</v>
      </c>
      <c r="BX1226" t="s">
        <v>111</v>
      </c>
      <c r="BY1226" t="s">
        <v>111</v>
      </c>
      <c r="BZ1226" t="s">
        <v>111</v>
      </c>
      <c r="CA1226" t="s">
        <v>111</v>
      </c>
      <c r="CB1226" t="s">
        <v>111</v>
      </c>
      <c r="CC1226" t="s">
        <v>111</v>
      </c>
      <c r="CD1226" t="s">
        <v>111</v>
      </c>
      <c r="CE1226" t="s">
        <v>111</v>
      </c>
      <c r="CF1226" t="s">
        <v>111</v>
      </c>
      <c r="CG1226" t="s">
        <v>111</v>
      </c>
      <c r="CH1226" t="s">
        <v>111</v>
      </c>
      <c r="CI1226" t="s">
        <v>111</v>
      </c>
      <c r="CJ1226" t="s">
        <v>111</v>
      </c>
      <c r="CK1226" t="s">
        <v>111</v>
      </c>
      <c r="CL1226" t="s">
        <v>111</v>
      </c>
      <c r="CM1226" t="s">
        <v>111</v>
      </c>
      <c r="CN1226" t="s">
        <v>111</v>
      </c>
      <c r="CO1226" t="s">
        <v>111</v>
      </c>
      <c r="CP1226" t="s">
        <v>111</v>
      </c>
      <c r="CQ1226">
        <v>0</v>
      </c>
      <c r="CR1226">
        <v>0</v>
      </c>
      <c r="CS1226">
        <v>0</v>
      </c>
      <c r="CT1226" t="s">
        <v>111</v>
      </c>
      <c r="CU1226">
        <v>30</v>
      </c>
      <c r="CV1226" t="s">
        <v>111</v>
      </c>
      <c r="CX1226" t="s">
        <v>111</v>
      </c>
      <c r="CY1226">
        <v>15</v>
      </c>
      <c r="CZ1226" t="s">
        <v>117</v>
      </c>
      <c r="DA1226" s="1" t="s">
        <v>3613</v>
      </c>
      <c r="DB1226" t="s">
        <v>111</v>
      </c>
      <c r="DC1226" t="s">
        <v>111</v>
      </c>
    </row>
    <row r="1227" spans="1:107">
      <c r="A1227">
        <v>1397</v>
      </c>
      <c r="B1227" t="s">
        <v>1314</v>
      </c>
      <c r="C1227" t="s">
        <v>328</v>
      </c>
      <c r="D1227" t="s">
        <v>3614</v>
      </c>
      <c r="E1227" t="s">
        <v>3615</v>
      </c>
      <c r="F1227" t="s">
        <v>192</v>
      </c>
      <c r="G1227" t="s">
        <v>240</v>
      </c>
      <c r="H1227">
        <v>1</v>
      </c>
      <c r="I1227">
        <v>50</v>
      </c>
      <c r="J1227">
        <v>0</v>
      </c>
      <c r="K1227">
        <v>0</v>
      </c>
      <c r="L1227" t="s">
        <v>112</v>
      </c>
      <c r="M1227" t="s">
        <v>111</v>
      </c>
      <c r="N1227">
        <v>0</v>
      </c>
      <c r="O1227">
        <v>0</v>
      </c>
      <c r="P1227" t="s">
        <v>111</v>
      </c>
      <c r="Q1227">
        <v>10</v>
      </c>
      <c r="R1227">
        <v>0</v>
      </c>
      <c r="S1227">
        <v>0</v>
      </c>
      <c r="T1227">
        <v>0</v>
      </c>
      <c r="U1227" t="e">
        <f>-ALMACEN</f>
        <v>#NAME?</v>
      </c>
      <c r="V1227">
        <v>0</v>
      </c>
      <c r="W1227">
        <v>2500</v>
      </c>
      <c r="X1227">
        <v>10</v>
      </c>
      <c r="Y1227">
        <v>0</v>
      </c>
      <c r="Z1227" t="s">
        <v>111</v>
      </c>
      <c r="AA1227">
        <v>0</v>
      </c>
      <c r="AB1227" t="s">
        <v>111</v>
      </c>
      <c r="AC1227">
        <v>0</v>
      </c>
      <c r="AD1227" t="s">
        <v>111</v>
      </c>
      <c r="AE1227">
        <v>0</v>
      </c>
      <c r="AF1227">
        <v>0</v>
      </c>
      <c r="AG1227" t="s">
        <v>111</v>
      </c>
      <c r="AH1227" t="s">
        <v>111</v>
      </c>
      <c r="AI1227" t="s">
        <v>111</v>
      </c>
      <c r="AJ1227" t="s">
        <v>111</v>
      </c>
      <c r="AK1227" t="s">
        <v>111</v>
      </c>
      <c r="AL1227" t="s">
        <v>111</v>
      </c>
      <c r="AM1227">
        <v>0</v>
      </c>
      <c r="AN1227">
        <v>0</v>
      </c>
      <c r="AO1227">
        <v>0</v>
      </c>
      <c r="AP1227" t="s">
        <v>111</v>
      </c>
      <c r="AQ1227" t="s">
        <v>111</v>
      </c>
      <c r="AR1227" t="s">
        <v>111</v>
      </c>
      <c r="AS1227" t="s">
        <v>111</v>
      </c>
      <c r="AT1227" t="s">
        <v>111</v>
      </c>
      <c r="AU1227" t="s">
        <v>111</v>
      </c>
      <c r="AV1227" t="s">
        <v>111</v>
      </c>
      <c r="AW1227" t="s">
        <v>111</v>
      </c>
      <c r="AX1227" t="s">
        <v>111</v>
      </c>
      <c r="AY1227" t="s">
        <v>111</v>
      </c>
      <c r="AZ1227" t="s">
        <v>111</v>
      </c>
      <c r="BA1227" t="s">
        <v>111</v>
      </c>
      <c r="BB1227" t="s">
        <v>111</v>
      </c>
      <c r="BC1227" t="s">
        <v>111</v>
      </c>
      <c r="BD1227" t="s">
        <v>111</v>
      </c>
      <c r="BE1227" t="s">
        <v>111</v>
      </c>
      <c r="BF1227" t="s">
        <v>111</v>
      </c>
      <c r="BG1227" t="s">
        <v>111</v>
      </c>
      <c r="BH1227" t="s">
        <v>111</v>
      </c>
      <c r="BI1227" t="s">
        <v>111</v>
      </c>
      <c r="BJ1227" t="s">
        <v>111</v>
      </c>
      <c r="BK1227" t="s">
        <v>111</v>
      </c>
      <c r="BL1227" t="s">
        <v>111</v>
      </c>
      <c r="BM1227" t="s">
        <v>111</v>
      </c>
      <c r="BN1227" t="s">
        <v>111</v>
      </c>
      <c r="BO1227" t="s">
        <v>111</v>
      </c>
      <c r="BP1227" t="s">
        <v>111</v>
      </c>
      <c r="BQ1227" t="s">
        <v>111</v>
      </c>
      <c r="BR1227" t="s">
        <v>111</v>
      </c>
      <c r="BS1227" t="s">
        <v>111</v>
      </c>
      <c r="BT1227" t="s">
        <v>111</v>
      </c>
      <c r="BU1227" t="s">
        <v>111</v>
      </c>
      <c r="BV1227" t="s">
        <v>111</v>
      </c>
      <c r="BW1227" t="s">
        <v>111</v>
      </c>
      <c r="BX1227" t="s">
        <v>111</v>
      </c>
      <c r="BY1227" t="s">
        <v>111</v>
      </c>
      <c r="BZ1227" t="s">
        <v>111</v>
      </c>
      <c r="CA1227" t="s">
        <v>111</v>
      </c>
      <c r="CB1227" t="s">
        <v>111</v>
      </c>
      <c r="CC1227" t="s">
        <v>111</v>
      </c>
      <c r="CD1227" t="s">
        <v>111</v>
      </c>
      <c r="CE1227" t="s">
        <v>111</v>
      </c>
      <c r="CF1227" t="s">
        <v>111</v>
      </c>
      <c r="CG1227" t="s">
        <v>111</v>
      </c>
      <c r="CH1227" t="s">
        <v>111</v>
      </c>
      <c r="CI1227" t="s">
        <v>111</v>
      </c>
      <c r="CJ1227" t="s">
        <v>111</v>
      </c>
      <c r="CK1227" t="s">
        <v>111</v>
      </c>
      <c r="CL1227" t="s">
        <v>111</v>
      </c>
      <c r="CM1227" t="s">
        <v>3579</v>
      </c>
      <c r="CN1227" t="s">
        <v>111</v>
      </c>
      <c r="CO1227" t="s">
        <v>111</v>
      </c>
      <c r="CP1227" t="s">
        <v>111</v>
      </c>
      <c r="CQ1227">
        <v>0</v>
      </c>
      <c r="CR1227">
        <v>2000</v>
      </c>
      <c r="CS1227">
        <v>100</v>
      </c>
      <c r="CT1227" t="e">
        <f>-ALMACEN</f>
        <v>#NAME?</v>
      </c>
      <c r="CU1227">
        <v>0</v>
      </c>
      <c r="CV1227" t="s">
        <v>111</v>
      </c>
      <c r="CW1227" t="s">
        <v>111</v>
      </c>
      <c r="CX1227" t="s">
        <v>111</v>
      </c>
      <c r="CY1227">
        <v>0</v>
      </c>
      <c r="CZ1227" t="s">
        <v>111</v>
      </c>
      <c r="DA1227" t="s">
        <v>111</v>
      </c>
      <c r="DB1227" t="s">
        <v>111</v>
      </c>
      <c r="DC1227" t="s">
        <v>111</v>
      </c>
    </row>
    <row r="1228" spans="1:107">
      <c r="A1228">
        <v>1400</v>
      </c>
      <c r="B1228" t="s">
        <v>107</v>
      </c>
      <c r="C1228" t="s">
        <v>226</v>
      </c>
      <c r="D1228" t="s">
        <v>3616</v>
      </c>
      <c r="E1228" t="s">
        <v>3617</v>
      </c>
      <c r="F1228" t="s">
        <v>3003</v>
      </c>
      <c r="G1228" t="s">
        <v>240</v>
      </c>
      <c r="H1228">
        <v>1.2</v>
      </c>
      <c r="I1228">
        <v>36</v>
      </c>
      <c r="J1228">
        <v>0</v>
      </c>
      <c r="K1228">
        <v>0</v>
      </c>
      <c r="L1228" t="s">
        <v>117</v>
      </c>
      <c r="M1228" t="s">
        <v>111</v>
      </c>
      <c r="N1228">
        <v>0</v>
      </c>
      <c r="O1228">
        <v>0</v>
      </c>
      <c r="P1228" t="s">
        <v>111</v>
      </c>
      <c r="Q1228">
        <v>20</v>
      </c>
      <c r="R1228">
        <v>0</v>
      </c>
      <c r="S1228">
        <v>0</v>
      </c>
      <c r="T1228">
        <v>0</v>
      </c>
      <c r="U1228" t="e">
        <f>-IMPRESION CORREA</f>
        <v>#NAME?</v>
      </c>
      <c r="V1228">
        <v>0</v>
      </c>
      <c r="W1228">
        <v>0</v>
      </c>
      <c r="X1228">
        <v>0</v>
      </c>
      <c r="Y1228">
        <v>25</v>
      </c>
      <c r="Z1228" t="s">
        <v>111</v>
      </c>
      <c r="AA1228">
        <v>0</v>
      </c>
      <c r="AB1228" t="s">
        <v>111</v>
      </c>
      <c r="AC1228">
        <v>0</v>
      </c>
      <c r="AD1228" t="s">
        <v>427</v>
      </c>
      <c r="AE1228">
        <v>0</v>
      </c>
      <c r="AF1228">
        <v>0</v>
      </c>
      <c r="AG1228" t="s">
        <v>111</v>
      </c>
      <c r="AH1228" t="s">
        <v>128</v>
      </c>
      <c r="AI1228" t="s">
        <v>111</v>
      </c>
      <c r="AJ1228" t="s">
        <v>111</v>
      </c>
      <c r="AK1228" t="s">
        <v>111</v>
      </c>
      <c r="AL1228" t="s">
        <v>111</v>
      </c>
      <c r="AM1228">
        <v>0</v>
      </c>
      <c r="AN1228">
        <v>0</v>
      </c>
      <c r="AO1228">
        <v>0</v>
      </c>
      <c r="AP1228" t="s">
        <v>111</v>
      </c>
      <c r="AQ1228" t="s">
        <v>111</v>
      </c>
      <c r="AR1228" t="s">
        <v>111</v>
      </c>
      <c r="AS1228" t="s">
        <v>111</v>
      </c>
      <c r="AT1228" t="s">
        <v>111</v>
      </c>
      <c r="AU1228" t="s">
        <v>111</v>
      </c>
      <c r="AV1228" t="s">
        <v>111</v>
      </c>
      <c r="AW1228" t="s">
        <v>111</v>
      </c>
      <c r="AX1228" t="s">
        <v>111</v>
      </c>
      <c r="AY1228" t="s">
        <v>111</v>
      </c>
      <c r="AZ1228" t="s">
        <v>111</v>
      </c>
      <c r="BA1228" t="s">
        <v>111</v>
      </c>
      <c r="BB1228" t="s">
        <v>111</v>
      </c>
      <c r="BC1228" t="s">
        <v>111</v>
      </c>
      <c r="BD1228" t="s">
        <v>111</v>
      </c>
      <c r="BE1228" t="s">
        <v>111</v>
      </c>
      <c r="BF1228" t="s">
        <v>111</v>
      </c>
      <c r="BG1228" t="s">
        <v>111</v>
      </c>
      <c r="BH1228" t="s">
        <v>111</v>
      </c>
      <c r="BI1228" t="s">
        <v>111</v>
      </c>
      <c r="BJ1228" t="s">
        <v>111</v>
      </c>
      <c r="BK1228" t="s">
        <v>111</v>
      </c>
      <c r="BL1228" t="s">
        <v>111</v>
      </c>
      <c r="BM1228" t="s">
        <v>111</v>
      </c>
      <c r="BN1228" t="s">
        <v>111</v>
      </c>
      <c r="BO1228" t="s">
        <v>111</v>
      </c>
      <c r="BP1228" t="s">
        <v>111</v>
      </c>
      <c r="BQ1228" t="s">
        <v>111</v>
      </c>
      <c r="BR1228" t="s">
        <v>111</v>
      </c>
      <c r="BS1228" t="s">
        <v>111</v>
      </c>
      <c r="BT1228" t="s">
        <v>111</v>
      </c>
      <c r="BU1228" t="s">
        <v>111</v>
      </c>
      <c r="BV1228" t="s">
        <v>111</v>
      </c>
      <c r="BW1228" t="s">
        <v>111</v>
      </c>
      <c r="BX1228" t="s">
        <v>111</v>
      </c>
      <c r="BY1228" t="s">
        <v>111</v>
      </c>
      <c r="BZ1228" t="s">
        <v>111</v>
      </c>
      <c r="CA1228" t="s">
        <v>111</v>
      </c>
      <c r="CB1228" t="s">
        <v>111</v>
      </c>
      <c r="CC1228" t="s">
        <v>111</v>
      </c>
      <c r="CD1228" t="s">
        <v>111</v>
      </c>
      <c r="CE1228" t="s">
        <v>111</v>
      </c>
      <c r="CF1228" t="s">
        <v>111</v>
      </c>
      <c r="CG1228" t="s">
        <v>111</v>
      </c>
      <c r="CH1228" t="s">
        <v>111</v>
      </c>
      <c r="CI1228" t="s">
        <v>111</v>
      </c>
      <c r="CJ1228" t="s">
        <v>111</v>
      </c>
      <c r="CK1228" t="s">
        <v>111</v>
      </c>
      <c r="CL1228" t="s">
        <v>111</v>
      </c>
      <c r="CM1228" t="s">
        <v>111</v>
      </c>
      <c r="CN1228" t="s">
        <v>111</v>
      </c>
      <c r="CO1228" t="s">
        <v>111</v>
      </c>
      <c r="CP1228" t="s">
        <v>111</v>
      </c>
      <c r="CQ1228">
        <v>0</v>
      </c>
      <c r="CR1228">
        <v>0</v>
      </c>
      <c r="CS1228">
        <v>0</v>
      </c>
      <c r="CT1228" t="s">
        <v>111</v>
      </c>
      <c r="CU1228">
        <v>36</v>
      </c>
      <c r="CV1228" t="e">
        <f>-A RAZ DE GUIA</f>
        <v>#NAME?</v>
      </c>
      <c r="CW1228" t="s">
        <v>111</v>
      </c>
      <c r="CX1228">
        <v>-1</v>
      </c>
      <c r="CY1228">
        <v>15</v>
      </c>
      <c r="CZ1228" t="s">
        <v>117</v>
      </c>
      <c r="DA1228" s="1" t="s">
        <v>3618</v>
      </c>
      <c r="DB1228" t="s">
        <v>111</v>
      </c>
      <c r="DC1228" t="s">
        <v>111</v>
      </c>
    </row>
    <row r="1229" spans="1:107">
      <c r="A1229">
        <v>2068</v>
      </c>
      <c r="B1229" t="s">
        <v>376</v>
      </c>
      <c r="C1229" t="s">
        <v>180</v>
      </c>
      <c r="D1229" t="s">
        <v>3619</v>
      </c>
      <c r="E1229" t="s">
        <v>3620</v>
      </c>
      <c r="F1229" t="s">
        <v>1071</v>
      </c>
      <c r="G1229" t="s">
        <v>240</v>
      </c>
      <c r="H1229">
        <v>1.3</v>
      </c>
      <c r="I1229">
        <v>23</v>
      </c>
      <c r="J1229">
        <v>0</v>
      </c>
      <c r="K1229">
        <v>0</v>
      </c>
      <c r="L1229" t="s">
        <v>112</v>
      </c>
      <c r="M1229" t="s">
        <v>138</v>
      </c>
      <c r="N1229">
        <v>0</v>
      </c>
      <c r="O1229">
        <v>0</v>
      </c>
      <c r="P1229" t="s">
        <v>111</v>
      </c>
      <c r="Q1229">
        <v>45</v>
      </c>
      <c r="R1229">
        <v>0</v>
      </c>
      <c r="S1229">
        <v>0</v>
      </c>
      <c r="T1229">
        <v>5</v>
      </c>
      <c r="U1229" s="1" t="s">
        <v>3621</v>
      </c>
      <c r="V1229">
        <v>0</v>
      </c>
      <c r="W1229">
        <v>0</v>
      </c>
      <c r="X1229">
        <v>0</v>
      </c>
      <c r="Y1229">
        <v>25</v>
      </c>
      <c r="Z1229" t="s">
        <v>111</v>
      </c>
      <c r="AA1229">
        <v>0</v>
      </c>
      <c r="AB1229" t="s">
        <v>111</v>
      </c>
      <c r="AC1229">
        <v>0</v>
      </c>
      <c r="AD1229" t="s">
        <v>111</v>
      </c>
      <c r="AE1229">
        <v>0</v>
      </c>
      <c r="AF1229">
        <v>0</v>
      </c>
      <c r="AG1229" t="s">
        <v>111</v>
      </c>
      <c r="AH1229" t="s">
        <v>111</v>
      </c>
      <c r="AI1229" t="s">
        <v>111</v>
      </c>
      <c r="AJ1229" t="s">
        <v>111</v>
      </c>
      <c r="AK1229" t="s">
        <v>111</v>
      </c>
      <c r="AL1229" t="s">
        <v>111</v>
      </c>
      <c r="AM1229">
        <v>0</v>
      </c>
      <c r="AN1229">
        <v>0</v>
      </c>
      <c r="AO1229">
        <v>0</v>
      </c>
      <c r="AP1229" t="s">
        <v>111</v>
      </c>
      <c r="AQ1229" t="s">
        <v>111</v>
      </c>
      <c r="AR1229" t="s">
        <v>111</v>
      </c>
      <c r="AS1229" t="s">
        <v>111</v>
      </c>
      <c r="AT1229" t="s">
        <v>111</v>
      </c>
      <c r="AU1229" t="s">
        <v>111</v>
      </c>
      <c r="AV1229" t="s">
        <v>111</v>
      </c>
      <c r="AW1229" t="s">
        <v>111</v>
      </c>
      <c r="AX1229" t="s">
        <v>111</v>
      </c>
      <c r="AY1229" t="s">
        <v>111</v>
      </c>
      <c r="AZ1229" t="s">
        <v>111</v>
      </c>
      <c r="BA1229" t="s">
        <v>111</v>
      </c>
      <c r="BB1229" t="s">
        <v>111</v>
      </c>
      <c r="BC1229" t="s">
        <v>111</v>
      </c>
      <c r="BD1229" t="s">
        <v>111</v>
      </c>
      <c r="BE1229" t="s">
        <v>111</v>
      </c>
      <c r="BF1229" t="s">
        <v>111</v>
      </c>
      <c r="BG1229" t="s">
        <v>111</v>
      </c>
      <c r="BH1229" t="s">
        <v>111</v>
      </c>
      <c r="BI1229" t="s">
        <v>111</v>
      </c>
      <c r="BJ1229" t="s">
        <v>111</v>
      </c>
      <c r="BK1229" t="s">
        <v>111</v>
      </c>
      <c r="BL1229" t="s">
        <v>111</v>
      </c>
      <c r="BM1229" t="s">
        <v>111</v>
      </c>
      <c r="BN1229" t="s">
        <v>111</v>
      </c>
      <c r="BO1229" t="s">
        <v>111</v>
      </c>
      <c r="BP1229" t="s">
        <v>111</v>
      </c>
      <c r="BQ1229" t="s">
        <v>111</v>
      </c>
      <c r="BR1229" t="s">
        <v>111</v>
      </c>
      <c r="BS1229" t="s">
        <v>111</v>
      </c>
      <c r="BT1229" t="s">
        <v>111</v>
      </c>
      <c r="BU1229" t="s">
        <v>111</v>
      </c>
      <c r="BV1229" t="s">
        <v>111</v>
      </c>
      <c r="BW1229" t="s">
        <v>111</v>
      </c>
      <c r="BX1229" t="s">
        <v>111</v>
      </c>
      <c r="BY1229" t="s">
        <v>111</v>
      </c>
      <c r="BZ1229" t="s">
        <v>111</v>
      </c>
      <c r="CA1229" t="s">
        <v>111</v>
      </c>
      <c r="CB1229" t="s">
        <v>111</v>
      </c>
      <c r="CC1229" t="s">
        <v>111</v>
      </c>
      <c r="CD1229" t="s">
        <v>111</v>
      </c>
      <c r="CE1229" t="s">
        <v>111</v>
      </c>
      <c r="CF1229" t="s">
        <v>111</v>
      </c>
      <c r="CG1229" t="s">
        <v>111</v>
      </c>
      <c r="CH1229" t="s">
        <v>111</v>
      </c>
      <c r="CI1229" t="s">
        <v>111</v>
      </c>
      <c r="CJ1229" t="s">
        <v>111</v>
      </c>
      <c r="CK1229" t="s">
        <v>111</v>
      </c>
      <c r="CL1229" t="s">
        <v>111</v>
      </c>
      <c r="CM1229" t="s">
        <v>240</v>
      </c>
      <c r="CN1229" t="s">
        <v>113</v>
      </c>
      <c r="CO1229" t="s">
        <v>111</v>
      </c>
      <c r="CP1229" t="s">
        <v>111</v>
      </c>
      <c r="CQ1229">
        <v>0</v>
      </c>
      <c r="CR1229">
        <v>1000</v>
      </c>
      <c r="CS1229">
        <v>200</v>
      </c>
      <c r="CT1229" t="s">
        <v>111</v>
      </c>
      <c r="CU1229">
        <v>0</v>
      </c>
      <c r="CV1229" t="s">
        <v>111</v>
      </c>
      <c r="CX1229" t="s">
        <v>111</v>
      </c>
      <c r="CY1229">
        <v>0</v>
      </c>
      <c r="CZ1229" t="s">
        <v>111</v>
      </c>
      <c r="DA1229" t="e">
        <f>- ALMACEN</f>
        <v>#NAME?</v>
      </c>
      <c r="DB1229" t="s">
        <v>111</v>
      </c>
      <c r="DC1229" t="s">
        <v>111</v>
      </c>
    </row>
    <row r="1230" spans="1:107">
      <c r="A1230">
        <v>1343</v>
      </c>
      <c r="B1230" t="s">
        <v>107</v>
      </c>
      <c r="C1230" t="s">
        <v>593</v>
      </c>
      <c r="D1230" t="s">
        <v>3622</v>
      </c>
      <c r="E1230" t="s">
        <v>3623</v>
      </c>
      <c r="F1230" t="s">
        <v>2211</v>
      </c>
      <c r="G1230" t="s">
        <v>240</v>
      </c>
      <c r="H1230">
        <v>1</v>
      </c>
      <c r="I1230">
        <v>25</v>
      </c>
      <c r="J1230">
        <v>0</v>
      </c>
      <c r="K1230">
        <v>0</v>
      </c>
      <c r="L1230" t="s">
        <v>117</v>
      </c>
      <c r="M1230" t="s">
        <v>118</v>
      </c>
      <c r="N1230">
        <v>0</v>
      </c>
      <c r="O1230">
        <v>1</v>
      </c>
      <c r="P1230" t="s">
        <v>111</v>
      </c>
      <c r="Q1230">
        <v>25</v>
      </c>
      <c r="R1230">
        <v>0</v>
      </c>
      <c r="S1230">
        <v>0</v>
      </c>
      <c r="T1230">
        <v>0</v>
      </c>
      <c r="U1230" t="e">
        <f>-ALMACEN</f>
        <v>#NAME?</v>
      </c>
      <c r="V1230">
        <v>0</v>
      </c>
      <c r="W1230">
        <v>0</v>
      </c>
      <c r="X1230">
        <v>0</v>
      </c>
      <c r="Y1230">
        <v>25</v>
      </c>
      <c r="Z1230" t="s">
        <v>111</v>
      </c>
      <c r="AA1230">
        <v>0</v>
      </c>
      <c r="AB1230" t="s">
        <v>111</v>
      </c>
      <c r="AC1230">
        <v>0</v>
      </c>
      <c r="AD1230" t="s">
        <v>111</v>
      </c>
      <c r="AE1230">
        <v>0</v>
      </c>
      <c r="AF1230">
        <v>0</v>
      </c>
      <c r="AG1230" t="s">
        <v>111</v>
      </c>
      <c r="AH1230" t="s">
        <v>111</v>
      </c>
      <c r="AI1230" t="s">
        <v>111</v>
      </c>
      <c r="AJ1230" t="s">
        <v>111</v>
      </c>
      <c r="AK1230" t="s">
        <v>111</v>
      </c>
      <c r="AL1230" t="s">
        <v>111</v>
      </c>
      <c r="AM1230">
        <v>0</v>
      </c>
      <c r="AN1230">
        <v>0</v>
      </c>
      <c r="AO1230">
        <v>0</v>
      </c>
      <c r="AP1230" t="s">
        <v>111</v>
      </c>
      <c r="AQ1230" t="s">
        <v>111</v>
      </c>
      <c r="AR1230" t="s">
        <v>111</v>
      </c>
      <c r="AS1230" t="s">
        <v>111</v>
      </c>
      <c r="AT1230" t="s">
        <v>111</v>
      </c>
      <c r="AU1230" t="s">
        <v>111</v>
      </c>
      <c r="AV1230" t="s">
        <v>111</v>
      </c>
      <c r="AW1230" t="s">
        <v>111</v>
      </c>
      <c r="AX1230" t="s">
        <v>111</v>
      </c>
      <c r="AY1230" t="s">
        <v>111</v>
      </c>
      <c r="AZ1230" t="s">
        <v>111</v>
      </c>
      <c r="BA1230" t="s">
        <v>111</v>
      </c>
      <c r="BB1230" t="s">
        <v>111</v>
      </c>
      <c r="BC1230" t="s">
        <v>111</v>
      </c>
      <c r="BD1230" t="s">
        <v>111</v>
      </c>
      <c r="BE1230" t="s">
        <v>111</v>
      </c>
      <c r="BF1230" t="s">
        <v>111</v>
      </c>
      <c r="BG1230" t="s">
        <v>111</v>
      </c>
      <c r="BH1230" t="s">
        <v>111</v>
      </c>
      <c r="BI1230" t="s">
        <v>111</v>
      </c>
      <c r="BJ1230" t="s">
        <v>111</v>
      </c>
      <c r="BK1230" t="s">
        <v>111</v>
      </c>
      <c r="BL1230" t="s">
        <v>111</v>
      </c>
      <c r="BM1230" t="s">
        <v>111</v>
      </c>
      <c r="BN1230" t="s">
        <v>111</v>
      </c>
      <c r="BO1230" t="s">
        <v>111</v>
      </c>
      <c r="BP1230" t="s">
        <v>111</v>
      </c>
      <c r="BQ1230" t="s">
        <v>111</v>
      </c>
      <c r="BR1230" t="s">
        <v>111</v>
      </c>
      <c r="BS1230" t="s">
        <v>111</v>
      </c>
      <c r="BT1230" t="s">
        <v>111</v>
      </c>
      <c r="BU1230" t="s">
        <v>111</v>
      </c>
      <c r="BV1230" t="s">
        <v>111</v>
      </c>
      <c r="BW1230" t="s">
        <v>111</v>
      </c>
      <c r="BX1230" t="s">
        <v>111</v>
      </c>
      <c r="BY1230" t="s">
        <v>111</v>
      </c>
      <c r="BZ1230" t="s">
        <v>111</v>
      </c>
      <c r="CA1230" t="s">
        <v>111</v>
      </c>
      <c r="CB1230" t="s">
        <v>111</v>
      </c>
      <c r="CC1230" t="s">
        <v>111</v>
      </c>
      <c r="CD1230" t="s">
        <v>111</v>
      </c>
      <c r="CE1230" t="s">
        <v>111</v>
      </c>
      <c r="CF1230" t="s">
        <v>111</v>
      </c>
      <c r="CG1230" t="s">
        <v>111</v>
      </c>
      <c r="CH1230" t="s">
        <v>111</v>
      </c>
      <c r="CI1230" t="s">
        <v>111</v>
      </c>
      <c r="CJ1230" t="s">
        <v>111</v>
      </c>
      <c r="CK1230" t="s">
        <v>111</v>
      </c>
      <c r="CL1230" t="s">
        <v>111</v>
      </c>
      <c r="CM1230" t="s">
        <v>111</v>
      </c>
      <c r="CN1230" t="s">
        <v>111</v>
      </c>
      <c r="CO1230" t="s">
        <v>111</v>
      </c>
      <c r="CP1230" t="s">
        <v>111</v>
      </c>
      <c r="CQ1230">
        <v>0</v>
      </c>
      <c r="CR1230">
        <v>0</v>
      </c>
      <c r="CS1230">
        <v>0</v>
      </c>
      <c r="CT1230" t="s">
        <v>111</v>
      </c>
      <c r="CU1230">
        <v>0</v>
      </c>
      <c r="CV1230" t="s">
        <v>111</v>
      </c>
      <c r="CW1230" t="s">
        <v>111</v>
      </c>
      <c r="CX1230" t="s">
        <v>111</v>
      </c>
      <c r="CY1230">
        <v>0</v>
      </c>
      <c r="CZ1230" t="s">
        <v>111</v>
      </c>
      <c r="DA1230" t="s">
        <v>111</v>
      </c>
      <c r="DB1230" t="s">
        <v>111</v>
      </c>
      <c r="DC1230" t="s">
        <v>111</v>
      </c>
    </row>
    <row r="1231" spans="1:107">
      <c r="A1231">
        <v>1277</v>
      </c>
      <c r="B1231" t="s">
        <v>107</v>
      </c>
      <c r="C1231" t="s">
        <v>226</v>
      </c>
      <c r="D1231" t="s">
        <v>3624</v>
      </c>
      <c r="E1231" t="s">
        <v>3625</v>
      </c>
      <c r="F1231" t="s">
        <v>1260</v>
      </c>
      <c r="G1231" t="s">
        <v>240</v>
      </c>
      <c r="H1231">
        <v>0.25</v>
      </c>
      <c r="I1231">
        <v>21</v>
      </c>
      <c r="J1231">
        <v>0</v>
      </c>
      <c r="K1231">
        <v>0</v>
      </c>
      <c r="L1231" t="s">
        <v>111</v>
      </c>
      <c r="M1231" t="s">
        <v>111</v>
      </c>
      <c r="N1231">
        <v>0</v>
      </c>
      <c r="O1231">
        <v>0</v>
      </c>
      <c r="P1231" t="s">
        <v>111</v>
      </c>
      <c r="Q1231">
        <v>25</v>
      </c>
      <c r="R1231">
        <v>0</v>
      </c>
      <c r="S1231">
        <v>0</v>
      </c>
      <c r="T1231">
        <v>5</v>
      </c>
      <c r="U1231" s="1" t="s">
        <v>3626</v>
      </c>
      <c r="V1231">
        <v>0</v>
      </c>
      <c r="W1231">
        <v>0</v>
      </c>
      <c r="X1231">
        <v>0</v>
      </c>
      <c r="Y1231">
        <v>25</v>
      </c>
      <c r="Z1231" t="s">
        <v>111</v>
      </c>
      <c r="AA1231">
        <v>0</v>
      </c>
      <c r="AB1231" t="s">
        <v>111</v>
      </c>
      <c r="AC1231">
        <v>0</v>
      </c>
      <c r="AD1231" t="s">
        <v>427</v>
      </c>
      <c r="AE1231">
        <v>0</v>
      </c>
      <c r="AF1231">
        <v>0</v>
      </c>
      <c r="AG1231" t="s">
        <v>111</v>
      </c>
      <c r="AH1231" t="s">
        <v>128</v>
      </c>
      <c r="AI1231" t="s">
        <v>111</v>
      </c>
      <c r="AJ1231" t="s">
        <v>111</v>
      </c>
      <c r="AK1231" t="s">
        <v>111</v>
      </c>
      <c r="AL1231" t="s">
        <v>111</v>
      </c>
      <c r="AM1231">
        <v>0</v>
      </c>
      <c r="AN1231">
        <v>0</v>
      </c>
      <c r="AO1231">
        <v>0</v>
      </c>
      <c r="AP1231" t="s">
        <v>111</v>
      </c>
      <c r="AQ1231" t="s">
        <v>111</v>
      </c>
      <c r="AR1231" t="s">
        <v>111</v>
      </c>
      <c r="AS1231" t="s">
        <v>111</v>
      </c>
      <c r="AT1231" t="s">
        <v>111</v>
      </c>
      <c r="AU1231" t="s">
        <v>111</v>
      </c>
      <c r="AV1231" t="s">
        <v>111</v>
      </c>
      <c r="AW1231" t="s">
        <v>111</v>
      </c>
      <c r="AX1231" t="s">
        <v>111</v>
      </c>
      <c r="AY1231" t="s">
        <v>111</v>
      </c>
      <c r="AZ1231" t="s">
        <v>111</v>
      </c>
      <c r="BA1231" t="s">
        <v>111</v>
      </c>
      <c r="BB1231" t="s">
        <v>111</v>
      </c>
      <c r="BC1231" t="s">
        <v>111</v>
      </c>
      <c r="BD1231" t="s">
        <v>111</v>
      </c>
      <c r="BE1231" t="s">
        <v>111</v>
      </c>
      <c r="BF1231" t="s">
        <v>111</v>
      </c>
      <c r="BG1231" t="s">
        <v>111</v>
      </c>
      <c r="BH1231" t="s">
        <v>111</v>
      </c>
      <c r="BI1231" t="s">
        <v>111</v>
      </c>
      <c r="BJ1231" t="s">
        <v>111</v>
      </c>
      <c r="BK1231" t="s">
        <v>111</v>
      </c>
      <c r="BL1231" t="s">
        <v>111</v>
      </c>
      <c r="BM1231" t="s">
        <v>111</v>
      </c>
      <c r="BN1231" t="s">
        <v>111</v>
      </c>
      <c r="BO1231" t="s">
        <v>111</v>
      </c>
      <c r="BP1231" t="s">
        <v>111</v>
      </c>
      <c r="BQ1231" t="s">
        <v>111</v>
      </c>
      <c r="BR1231" t="s">
        <v>111</v>
      </c>
      <c r="BS1231" t="s">
        <v>111</v>
      </c>
      <c r="BT1231" t="s">
        <v>111</v>
      </c>
      <c r="BU1231" t="s">
        <v>111</v>
      </c>
      <c r="BV1231" t="s">
        <v>111</v>
      </c>
      <c r="BW1231" t="s">
        <v>111</v>
      </c>
      <c r="BX1231" t="s">
        <v>111</v>
      </c>
      <c r="BY1231" t="s">
        <v>111</v>
      </c>
      <c r="BZ1231" t="s">
        <v>111</v>
      </c>
      <c r="CA1231" t="s">
        <v>111</v>
      </c>
      <c r="CB1231" t="s">
        <v>111</v>
      </c>
      <c r="CC1231" t="s">
        <v>111</v>
      </c>
      <c r="CD1231" t="s">
        <v>111</v>
      </c>
      <c r="CE1231" t="s">
        <v>111</v>
      </c>
      <c r="CF1231" t="s">
        <v>111</v>
      </c>
      <c r="CG1231" t="s">
        <v>111</v>
      </c>
      <c r="CH1231" t="s">
        <v>111</v>
      </c>
      <c r="CI1231" t="s">
        <v>111</v>
      </c>
      <c r="CJ1231" t="s">
        <v>111</v>
      </c>
      <c r="CK1231" t="s">
        <v>111</v>
      </c>
      <c r="CL1231" t="e">
        <f>-ALMAMACEN</f>
        <v>#NAME?</v>
      </c>
      <c r="CM1231" t="s">
        <v>111</v>
      </c>
      <c r="CN1231" t="s">
        <v>111</v>
      </c>
      <c r="CO1231" t="s">
        <v>111</v>
      </c>
      <c r="CP1231" t="s">
        <v>111</v>
      </c>
      <c r="CQ1231">
        <v>0</v>
      </c>
      <c r="CR1231">
        <v>0</v>
      </c>
      <c r="CS1231">
        <v>0</v>
      </c>
      <c r="CT1231" t="s">
        <v>111</v>
      </c>
      <c r="CU1231">
        <v>0</v>
      </c>
      <c r="CV1231" t="s">
        <v>111</v>
      </c>
      <c r="CW1231" t="s">
        <v>111</v>
      </c>
      <c r="CX1231" t="s">
        <v>111</v>
      </c>
      <c r="CY1231">
        <v>0</v>
      </c>
      <c r="CZ1231" t="s">
        <v>111</v>
      </c>
      <c r="DA1231" t="s">
        <v>111</v>
      </c>
      <c r="DB1231" t="s">
        <v>111</v>
      </c>
      <c r="DC1231" t="s">
        <v>111</v>
      </c>
    </row>
    <row r="1232" spans="1:107">
      <c r="A1232">
        <v>1960</v>
      </c>
      <c r="B1232" t="s">
        <v>107</v>
      </c>
      <c r="C1232" t="s">
        <v>593</v>
      </c>
      <c r="D1232" t="s">
        <v>3627</v>
      </c>
      <c r="E1232" t="s">
        <v>3628</v>
      </c>
      <c r="F1232" t="s">
        <v>3003</v>
      </c>
      <c r="G1232" t="s">
        <v>240</v>
      </c>
      <c r="H1232">
        <v>1</v>
      </c>
      <c r="I1232">
        <v>52</v>
      </c>
      <c r="J1232">
        <v>0</v>
      </c>
      <c r="K1232">
        <v>0</v>
      </c>
      <c r="L1232" t="s">
        <v>117</v>
      </c>
      <c r="M1232" t="s">
        <v>118</v>
      </c>
      <c r="N1232">
        <v>38</v>
      </c>
      <c r="O1232">
        <v>1</v>
      </c>
      <c r="P1232" t="s">
        <v>111</v>
      </c>
      <c r="Q1232">
        <v>50</v>
      </c>
      <c r="R1232">
        <v>0</v>
      </c>
      <c r="S1232">
        <v>0</v>
      </c>
      <c r="T1232">
        <v>0</v>
      </c>
      <c r="U1232" t="e">
        <f>-IMPRESION DARMA</f>
        <v>#NAME?</v>
      </c>
      <c r="V1232">
        <v>0</v>
      </c>
      <c r="W1232">
        <v>0</v>
      </c>
      <c r="X1232">
        <v>0</v>
      </c>
      <c r="Y1232">
        <v>25</v>
      </c>
      <c r="Z1232" t="s">
        <v>111</v>
      </c>
      <c r="AA1232">
        <v>0</v>
      </c>
      <c r="AB1232" t="s">
        <v>111</v>
      </c>
      <c r="AC1232">
        <v>0</v>
      </c>
      <c r="AD1232" t="s">
        <v>416</v>
      </c>
      <c r="AE1232">
        <v>0</v>
      </c>
      <c r="AF1232">
        <v>0</v>
      </c>
      <c r="AG1232" t="s">
        <v>111</v>
      </c>
      <c r="AH1232" t="s">
        <v>111</v>
      </c>
      <c r="AI1232" t="s">
        <v>111</v>
      </c>
      <c r="AJ1232" t="s">
        <v>111</v>
      </c>
      <c r="AK1232" t="s">
        <v>111</v>
      </c>
      <c r="AL1232" t="s">
        <v>111</v>
      </c>
      <c r="AM1232">
        <v>0</v>
      </c>
      <c r="AN1232">
        <v>0</v>
      </c>
      <c r="AO1232">
        <v>0</v>
      </c>
      <c r="AP1232" t="s">
        <v>111</v>
      </c>
      <c r="AQ1232" t="s">
        <v>111</v>
      </c>
      <c r="AR1232" t="s">
        <v>111</v>
      </c>
      <c r="AS1232" t="s">
        <v>111</v>
      </c>
      <c r="AT1232" t="s">
        <v>111</v>
      </c>
      <c r="AU1232" t="s">
        <v>111</v>
      </c>
      <c r="AV1232" t="s">
        <v>111</v>
      </c>
      <c r="AW1232" t="s">
        <v>111</v>
      </c>
      <c r="AX1232" t="s">
        <v>111</v>
      </c>
      <c r="AY1232" t="s">
        <v>111</v>
      </c>
      <c r="AZ1232" t="s">
        <v>111</v>
      </c>
      <c r="BA1232" t="s">
        <v>111</v>
      </c>
      <c r="BB1232" t="s">
        <v>111</v>
      </c>
      <c r="BC1232" t="s">
        <v>111</v>
      </c>
      <c r="BD1232" t="s">
        <v>111</v>
      </c>
      <c r="BE1232" t="s">
        <v>111</v>
      </c>
      <c r="BF1232" t="s">
        <v>111</v>
      </c>
      <c r="BG1232" t="s">
        <v>111</v>
      </c>
      <c r="BH1232" t="s">
        <v>111</v>
      </c>
      <c r="BI1232" t="s">
        <v>111</v>
      </c>
      <c r="BJ1232" t="s">
        <v>111</v>
      </c>
      <c r="BK1232" t="s">
        <v>111</v>
      </c>
      <c r="BL1232" t="s">
        <v>111</v>
      </c>
      <c r="BM1232" t="s">
        <v>111</v>
      </c>
      <c r="BN1232" t="s">
        <v>111</v>
      </c>
      <c r="BO1232" t="s">
        <v>111</v>
      </c>
      <c r="BP1232" t="s">
        <v>111</v>
      </c>
      <c r="BQ1232" t="s">
        <v>111</v>
      </c>
      <c r="BR1232" t="s">
        <v>111</v>
      </c>
      <c r="BS1232" t="s">
        <v>111</v>
      </c>
      <c r="BT1232" t="s">
        <v>111</v>
      </c>
      <c r="BU1232" t="s">
        <v>111</v>
      </c>
      <c r="BV1232" t="s">
        <v>111</v>
      </c>
      <c r="BW1232" t="s">
        <v>111</v>
      </c>
      <c r="BX1232" t="s">
        <v>111</v>
      </c>
      <c r="BY1232" t="s">
        <v>111</v>
      </c>
      <c r="BZ1232" t="s">
        <v>111</v>
      </c>
      <c r="CA1232" t="s">
        <v>111</v>
      </c>
      <c r="CB1232" t="s">
        <v>111</v>
      </c>
      <c r="CC1232" t="s">
        <v>111</v>
      </c>
      <c r="CD1232" t="s">
        <v>111</v>
      </c>
      <c r="CE1232" t="s">
        <v>111</v>
      </c>
      <c r="CF1232" t="s">
        <v>111</v>
      </c>
      <c r="CG1232" t="s">
        <v>111</v>
      </c>
      <c r="CH1232" t="s">
        <v>111</v>
      </c>
      <c r="CI1232" t="s">
        <v>111</v>
      </c>
      <c r="CJ1232" t="s">
        <v>111</v>
      </c>
      <c r="CK1232" t="s">
        <v>111</v>
      </c>
      <c r="CL1232" t="s">
        <v>111</v>
      </c>
      <c r="CM1232" t="s">
        <v>111</v>
      </c>
      <c r="CN1232" t="s">
        <v>111</v>
      </c>
      <c r="CO1232" t="s">
        <v>111</v>
      </c>
      <c r="CP1232" t="s">
        <v>111</v>
      </c>
      <c r="CQ1232">
        <v>0</v>
      </c>
      <c r="CR1232">
        <v>0</v>
      </c>
      <c r="CS1232">
        <v>0</v>
      </c>
      <c r="CT1232" t="s">
        <v>111</v>
      </c>
      <c r="CU1232">
        <v>26</v>
      </c>
      <c r="CV1232" t="s">
        <v>2747</v>
      </c>
      <c r="CX1232">
        <v>-1</v>
      </c>
      <c r="CY1232">
        <v>15</v>
      </c>
      <c r="CZ1232" t="s">
        <v>117</v>
      </c>
      <c r="DA1232" t="e">
        <f>-ROLLOS BIEN EMPACADOS</f>
        <v>#NAME?</v>
      </c>
      <c r="DB1232" t="s">
        <v>111</v>
      </c>
      <c r="DC1232" t="s">
        <v>111</v>
      </c>
    </row>
    <row r="1233" spans="1:107">
      <c r="A1233">
        <v>2086</v>
      </c>
      <c r="B1233" t="s">
        <v>376</v>
      </c>
      <c r="C1233" t="s">
        <v>2359</v>
      </c>
      <c r="D1233" t="s">
        <v>3629</v>
      </c>
      <c r="E1233" t="s">
        <v>3630</v>
      </c>
      <c r="F1233" t="s">
        <v>270</v>
      </c>
      <c r="G1233" t="s">
        <v>240</v>
      </c>
      <c r="H1233">
        <v>0.5</v>
      </c>
      <c r="I1233">
        <v>60</v>
      </c>
      <c r="J1233">
        <v>0</v>
      </c>
      <c r="K1233">
        <v>0</v>
      </c>
      <c r="L1233" t="s">
        <v>112</v>
      </c>
      <c r="M1233" t="s">
        <v>111</v>
      </c>
      <c r="N1233">
        <v>0</v>
      </c>
      <c r="O1233">
        <v>0</v>
      </c>
      <c r="P1233" t="s">
        <v>111</v>
      </c>
      <c r="Q1233">
        <v>2</v>
      </c>
      <c r="R1233">
        <v>0</v>
      </c>
      <c r="S1233">
        <v>0</v>
      </c>
      <c r="T1233">
        <v>5</v>
      </c>
      <c r="U1233" s="1" t="s">
        <v>3582</v>
      </c>
      <c r="V1233">
        <v>25</v>
      </c>
      <c r="W1233">
        <v>0</v>
      </c>
      <c r="X1233">
        <v>8</v>
      </c>
      <c r="Y1233">
        <v>0</v>
      </c>
      <c r="Z1233" t="s">
        <v>111</v>
      </c>
      <c r="AA1233">
        <v>0</v>
      </c>
      <c r="AB1233" t="s">
        <v>111</v>
      </c>
      <c r="AC1233">
        <v>0</v>
      </c>
      <c r="AD1233" t="s">
        <v>111</v>
      </c>
      <c r="AE1233">
        <v>0</v>
      </c>
      <c r="AF1233">
        <v>0</v>
      </c>
      <c r="AG1233" t="s">
        <v>111</v>
      </c>
      <c r="AH1233" t="s">
        <v>111</v>
      </c>
      <c r="AI1233" t="s">
        <v>111</v>
      </c>
      <c r="AJ1233" t="s">
        <v>111</v>
      </c>
      <c r="AK1233" t="s">
        <v>111</v>
      </c>
      <c r="AL1233" t="s">
        <v>111</v>
      </c>
      <c r="AM1233">
        <v>0</v>
      </c>
      <c r="AN1233">
        <v>0</v>
      </c>
      <c r="AO1233">
        <v>0</v>
      </c>
      <c r="AP1233" t="s">
        <v>111</v>
      </c>
      <c r="AQ1233" t="s">
        <v>111</v>
      </c>
      <c r="AR1233" t="s">
        <v>111</v>
      </c>
      <c r="AS1233" t="s">
        <v>111</v>
      </c>
      <c r="AT1233" t="s">
        <v>111</v>
      </c>
      <c r="AU1233" t="s">
        <v>111</v>
      </c>
      <c r="AV1233" t="s">
        <v>111</v>
      </c>
      <c r="AW1233" t="s">
        <v>111</v>
      </c>
      <c r="AX1233" t="s">
        <v>111</v>
      </c>
      <c r="AY1233" t="s">
        <v>111</v>
      </c>
      <c r="AZ1233" t="s">
        <v>111</v>
      </c>
      <c r="BA1233" t="s">
        <v>111</v>
      </c>
      <c r="BB1233" t="s">
        <v>111</v>
      </c>
      <c r="BC1233" t="s">
        <v>111</v>
      </c>
      <c r="BD1233" t="s">
        <v>111</v>
      </c>
      <c r="BE1233" t="s">
        <v>111</v>
      </c>
      <c r="BF1233" t="s">
        <v>111</v>
      </c>
      <c r="BG1233" t="s">
        <v>111</v>
      </c>
      <c r="BH1233" t="s">
        <v>111</v>
      </c>
      <c r="BI1233" t="s">
        <v>111</v>
      </c>
      <c r="BJ1233" t="s">
        <v>111</v>
      </c>
      <c r="BK1233" t="s">
        <v>111</v>
      </c>
      <c r="BL1233" t="s">
        <v>111</v>
      </c>
      <c r="BM1233" t="s">
        <v>111</v>
      </c>
      <c r="BN1233" t="s">
        <v>111</v>
      </c>
      <c r="BO1233" t="s">
        <v>111</v>
      </c>
      <c r="BP1233" t="s">
        <v>111</v>
      </c>
      <c r="BQ1233" t="s">
        <v>111</v>
      </c>
      <c r="BR1233" t="s">
        <v>111</v>
      </c>
      <c r="BS1233" t="s">
        <v>111</v>
      </c>
      <c r="BT1233" t="s">
        <v>111</v>
      </c>
      <c r="BU1233" t="s">
        <v>111</v>
      </c>
      <c r="BV1233" t="s">
        <v>111</v>
      </c>
      <c r="BW1233" t="s">
        <v>111</v>
      </c>
      <c r="BX1233" t="s">
        <v>111</v>
      </c>
      <c r="BY1233" t="s">
        <v>111</v>
      </c>
      <c r="BZ1233" t="s">
        <v>111</v>
      </c>
      <c r="CA1233" t="s">
        <v>111</v>
      </c>
      <c r="CB1233" t="s">
        <v>111</v>
      </c>
      <c r="CC1233" t="s">
        <v>111</v>
      </c>
      <c r="CD1233" t="s">
        <v>111</v>
      </c>
      <c r="CE1233" t="s">
        <v>111</v>
      </c>
      <c r="CF1233" t="s">
        <v>111</v>
      </c>
      <c r="CG1233" t="s">
        <v>111</v>
      </c>
      <c r="CH1233" t="s">
        <v>111</v>
      </c>
      <c r="CI1233" t="s">
        <v>111</v>
      </c>
      <c r="CJ1233" t="s">
        <v>111</v>
      </c>
      <c r="CK1233" t="s">
        <v>111</v>
      </c>
      <c r="CL1233" t="s">
        <v>111</v>
      </c>
      <c r="CM1233" t="s">
        <v>240</v>
      </c>
      <c r="CN1233" t="s">
        <v>113</v>
      </c>
      <c r="CO1233" t="s">
        <v>111</v>
      </c>
      <c r="CP1233" t="s">
        <v>111</v>
      </c>
      <c r="CQ1233">
        <v>0</v>
      </c>
      <c r="CR1233">
        <v>300</v>
      </c>
      <c r="CS1233">
        <v>300</v>
      </c>
      <c r="CT1233" t="e">
        <f>- DESTINO ALMACEN</f>
        <v>#NAME?</v>
      </c>
      <c r="CU1233">
        <v>0</v>
      </c>
      <c r="CV1233" t="s">
        <v>111</v>
      </c>
      <c r="CX1233" t="s">
        <v>111</v>
      </c>
      <c r="CY1233">
        <v>0</v>
      </c>
      <c r="CZ1233" t="s">
        <v>111</v>
      </c>
      <c r="DA1233" t="s">
        <v>111</v>
      </c>
      <c r="DB1233" t="s">
        <v>111</v>
      </c>
      <c r="DC1233" t="s">
        <v>111</v>
      </c>
    </row>
    <row r="1234" spans="1:107">
      <c r="A1234">
        <v>1138</v>
      </c>
      <c r="B1234" t="s">
        <v>107</v>
      </c>
      <c r="C1234" t="s">
        <v>3631</v>
      </c>
      <c r="D1234" t="s">
        <v>3632</v>
      </c>
      <c r="E1234" t="s">
        <v>3633</v>
      </c>
      <c r="F1234" t="s">
        <v>370</v>
      </c>
      <c r="G1234" t="s">
        <v>240</v>
      </c>
      <c r="H1234">
        <v>2</v>
      </c>
      <c r="I1234">
        <v>34</v>
      </c>
      <c r="J1234">
        <v>4</v>
      </c>
      <c r="K1234">
        <v>7</v>
      </c>
      <c r="L1234" t="s">
        <v>112</v>
      </c>
      <c r="M1234" t="s">
        <v>118</v>
      </c>
      <c r="N1234">
        <v>40</v>
      </c>
      <c r="O1234">
        <v>1</v>
      </c>
      <c r="P1234" t="s">
        <v>118</v>
      </c>
      <c r="Q1234">
        <v>10</v>
      </c>
      <c r="R1234">
        <v>0</v>
      </c>
      <c r="S1234">
        <v>0</v>
      </c>
      <c r="T1234">
        <v>0</v>
      </c>
      <c r="U1234" t="s">
        <v>394</v>
      </c>
      <c r="V1234">
        <v>0</v>
      </c>
      <c r="W1234">
        <v>0</v>
      </c>
      <c r="X1234">
        <v>1</v>
      </c>
      <c r="Y1234">
        <v>0</v>
      </c>
      <c r="Z1234" t="s">
        <v>111</v>
      </c>
      <c r="AA1234">
        <v>0</v>
      </c>
      <c r="AB1234" t="s">
        <v>111</v>
      </c>
      <c r="AC1234">
        <v>0</v>
      </c>
      <c r="AD1234" t="s">
        <v>111</v>
      </c>
      <c r="AE1234">
        <v>0</v>
      </c>
      <c r="AF1234">
        <v>0</v>
      </c>
      <c r="AG1234" t="s">
        <v>111</v>
      </c>
      <c r="AH1234" t="s">
        <v>111</v>
      </c>
      <c r="AI1234" t="s">
        <v>111</v>
      </c>
      <c r="AJ1234" t="s">
        <v>111</v>
      </c>
      <c r="AK1234" t="s">
        <v>111</v>
      </c>
      <c r="AL1234" t="s">
        <v>111</v>
      </c>
      <c r="AM1234">
        <v>0</v>
      </c>
      <c r="AN1234">
        <v>0</v>
      </c>
      <c r="AO1234">
        <v>0</v>
      </c>
      <c r="AP1234" t="s">
        <v>111</v>
      </c>
      <c r="AQ1234" t="s">
        <v>111</v>
      </c>
      <c r="AR1234" t="s">
        <v>111</v>
      </c>
      <c r="AS1234" t="s">
        <v>111</v>
      </c>
      <c r="AT1234" t="s">
        <v>111</v>
      </c>
      <c r="AU1234" t="s">
        <v>111</v>
      </c>
      <c r="AV1234" t="s">
        <v>111</v>
      </c>
      <c r="AW1234" t="s">
        <v>111</v>
      </c>
      <c r="AX1234" t="s">
        <v>111</v>
      </c>
      <c r="AY1234" t="s">
        <v>111</v>
      </c>
      <c r="AZ1234" t="s">
        <v>111</v>
      </c>
      <c r="BA1234" t="s">
        <v>111</v>
      </c>
      <c r="BB1234" t="s">
        <v>111</v>
      </c>
      <c r="BC1234" t="s">
        <v>111</v>
      </c>
      <c r="BD1234" t="s">
        <v>111</v>
      </c>
      <c r="BE1234" t="s">
        <v>111</v>
      </c>
      <c r="BF1234" t="s">
        <v>111</v>
      </c>
      <c r="BG1234" t="s">
        <v>111</v>
      </c>
      <c r="BH1234" t="s">
        <v>111</v>
      </c>
      <c r="BI1234" t="s">
        <v>111</v>
      </c>
      <c r="BJ1234" t="s">
        <v>111</v>
      </c>
      <c r="BK1234" t="s">
        <v>111</v>
      </c>
      <c r="BL1234" t="s">
        <v>111</v>
      </c>
      <c r="BM1234" t="s">
        <v>111</v>
      </c>
      <c r="BN1234" t="s">
        <v>111</v>
      </c>
      <c r="BO1234" t="s">
        <v>111</v>
      </c>
      <c r="BP1234" t="s">
        <v>111</v>
      </c>
      <c r="BQ1234" t="s">
        <v>111</v>
      </c>
      <c r="BR1234" t="s">
        <v>111</v>
      </c>
      <c r="BS1234" t="s">
        <v>111</v>
      </c>
      <c r="BT1234" t="s">
        <v>111</v>
      </c>
      <c r="BU1234" t="s">
        <v>111</v>
      </c>
      <c r="BV1234" t="s">
        <v>111</v>
      </c>
      <c r="BW1234" t="s">
        <v>111</v>
      </c>
      <c r="BX1234" t="s">
        <v>111</v>
      </c>
      <c r="BY1234" t="s">
        <v>111</v>
      </c>
      <c r="BZ1234" t="s">
        <v>111</v>
      </c>
      <c r="CA1234" t="s">
        <v>111</v>
      </c>
      <c r="CB1234" t="s">
        <v>111</v>
      </c>
      <c r="CC1234" t="s">
        <v>111</v>
      </c>
      <c r="CD1234" t="s">
        <v>111</v>
      </c>
      <c r="CE1234" t="s">
        <v>111</v>
      </c>
      <c r="CF1234" t="s">
        <v>111</v>
      </c>
      <c r="CG1234" t="s">
        <v>111</v>
      </c>
      <c r="CH1234" t="s">
        <v>111</v>
      </c>
      <c r="CI1234" t="s">
        <v>111</v>
      </c>
      <c r="CJ1234" t="s">
        <v>111</v>
      </c>
      <c r="CK1234" t="s">
        <v>111</v>
      </c>
      <c r="CL1234" t="s">
        <v>111</v>
      </c>
      <c r="CM1234" t="s">
        <v>558</v>
      </c>
      <c r="CN1234" t="s">
        <v>111</v>
      </c>
      <c r="CO1234" t="s">
        <v>111</v>
      </c>
      <c r="CP1234" t="s">
        <v>111</v>
      </c>
      <c r="CQ1234">
        <v>0</v>
      </c>
      <c r="CR1234">
        <v>0</v>
      </c>
      <c r="CS1234">
        <v>0</v>
      </c>
      <c r="CT1234" t="s">
        <v>111</v>
      </c>
      <c r="CU1234">
        <v>0</v>
      </c>
      <c r="CV1234" t="s">
        <v>111</v>
      </c>
      <c r="CW1234" t="s">
        <v>111</v>
      </c>
      <c r="CX1234" t="s">
        <v>111</v>
      </c>
      <c r="CY1234">
        <v>0</v>
      </c>
      <c r="CZ1234" t="s">
        <v>111</v>
      </c>
      <c r="DA1234" t="s">
        <v>111</v>
      </c>
      <c r="DB1234" t="e">
        <f>-EXTERNO</f>
        <v>#NAME?</v>
      </c>
      <c r="DC1234" t="s">
        <v>111</v>
      </c>
    </row>
    <row r="1235" spans="1:107">
      <c r="A1235">
        <v>857</v>
      </c>
      <c r="B1235" t="s">
        <v>107</v>
      </c>
      <c r="C1235" t="s">
        <v>1828</v>
      </c>
      <c r="D1235" t="s">
        <v>3634</v>
      </c>
      <c r="E1235" t="s">
        <v>3635</v>
      </c>
      <c r="F1235" t="s">
        <v>1831</v>
      </c>
      <c r="G1235" t="s">
        <v>240</v>
      </c>
      <c r="H1235">
        <v>1.4</v>
      </c>
      <c r="I1235">
        <v>46</v>
      </c>
      <c r="J1235">
        <v>2.5</v>
      </c>
      <c r="K1235">
        <v>2.5</v>
      </c>
      <c r="L1235" t="s">
        <v>112</v>
      </c>
      <c r="M1235" t="s">
        <v>138</v>
      </c>
      <c r="N1235">
        <v>0</v>
      </c>
      <c r="O1235">
        <v>0</v>
      </c>
      <c r="P1235" t="s">
        <v>138</v>
      </c>
      <c r="Q1235">
        <v>30</v>
      </c>
      <c r="R1235">
        <v>0</v>
      </c>
      <c r="S1235">
        <v>0</v>
      </c>
      <c r="T1235">
        <v>0</v>
      </c>
      <c r="U1235" s="1" t="s">
        <v>3636</v>
      </c>
      <c r="V1235">
        <v>0</v>
      </c>
      <c r="W1235">
        <v>0</v>
      </c>
      <c r="X1235">
        <v>1</v>
      </c>
      <c r="Y1235">
        <v>0</v>
      </c>
      <c r="Z1235" t="s">
        <v>259</v>
      </c>
      <c r="AA1235">
        <v>1.3</v>
      </c>
      <c r="AB1235" t="s">
        <v>1832</v>
      </c>
      <c r="AC1235">
        <v>25</v>
      </c>
      <c r="AD1235" t="s">
        <v>111</v>
      </c>
      <c r="AE1235">
        <v>0</v>
      </c>
      <c r="AF1235">
        <v>0</v>
      </c>
      <c r="AG1235" t="s">
        <v>111</v>
      </c>
      <c r="AH1235" t="s">
        <v>111</v>
      </c>
      <c r="AI1235" t="s">
        <v>111</v>
      </c>
      <c r="AJ1235" t="s">
        <v>111</v>
      </c>
      <c r="AK1235" t="s">
        <v>111</v>
      </c>
      <c r="AL1235" t="s">
        <v>111</v>
      </c>
      <c r="AM1235">
        <v>0</v>
      </c>
      <c r="AN1235">
        <v>0</v>
      </c>
      <c r="AO1235">
        <v>0</v>
      </c>
      <c r="AP1235" t="s">
        <v>111</v>
      </c>
      <c r="AQ1235" t="s">
        <v>111</v>
      </c>
      <c r="AR1235" t="s">
        <v>111</v>
      </c>
      <c r="AS1235" t="s">
        <v>111</v>
      </c>
      <c r="AT1235" t="s">
        <v>111</v>
      </c>
      <c r="AU1235" t="s">
        <v>111</v>
      </c>
      <c r="AV1235" t="s">
        <v>111</v>
      </c>
      <c r="AW1235" t="s">
        <v>111</v>
      </c>
      <c r="AX1235" t="s">
        <v>111</v>
      </c>
      <c r="AY1235" t="s">
        <v>111</v>
      </c>
      <c r="AZ1235" t="s">
        <v>111</v>
      </c>
      <c r="BA1235" t="s">
        <v>111</v>
      </c>
      <c r="BB1235" t="s">
        <v>111</v>
      </c>
      <c r="BC1235" t="s">
        <v>111</v>
      </c>
      <c r="BD1235" t="s">
        <v>111</v>
      </c>
      <c r="BE1235" t="s">
        <v>111</v>
      </c>
      <c r="BF1235" t="s">
        <v>111</v>
      </c>
      <c r="BG1235" t="s">
        <v>111</v>
      </c>
      <c r="BH1235" t="s">
        <v>111</v>
      </c>
      <c r="BI1235" t="s">
        <v>111</v>
      </c>
      <c r="BJ1235" t="s">
        <v>111</v>
      </c>
      <c r="BK1235" t="s">
        <v>111</v>
      </c>
      <c r="BL1235" t="s">
        <v>111</v>
      </c>
      <c r="BM1235" t="s">
        <v>111</v>
      </c>
      <c r="BN1235" t="s">
        <v>111</v>
      </c>
      <c r="BO1235" t="s">
        <v>111</v>
      </c>
      <c r="BP1235" t="s">
        <v>111</v>
      </c>
      <c r="BQ1235" t="s">
        <v>111</v>
      </c>
      <c r="BR1235" t="s">
        <v>111</v>
      </c>
      <c r="BS1235" t="s">
        <v>111</v>
      </c>
      <c r="BT1235" t="s">
        <v>111</v>
      </c>
      <c r="BU1235" t="s">
        <v>111</v>
      </c>
      <c r="BV1235" t="s">
        <v>111</v>
      </c>
      <c r="BW1235" t="s">
        <v>111</v>
      </c>
      <c r="BX1235" t="s">
        <v>111</v>
      </c>
      <c r="BY1235" t="s">
        <v>111</v>
      </c>
      <c r="BZ1235" t="s">
        <v>111</v>
      </c>
      <c r="CA1235" t="s">
        <v>111</v>
      </c>
      <c r="CB1235" t="s">
        <v>111</v>
      </c>
      <c r="CC1235" t="s">
        <v>111</v>
      </c>
      <c r="CD1235" t="s">
        <v>111</v>
      </c>
      <c r="CE1235" t="s">
        <v>111</v>
      </c>
      <c r="CF1235" t="s">
        <v>111</v>
      </c>
      <c r="CG1235" t="s">
        <v>111</v>
      </c>
      <c r="CH1235" t="s">
        <v>111</v>
      </c>
      <c r="CI1235" t="s">
        <v>111</v>
      </c>
      <c r="CJ1235" t="s">
        <v>111</v>
      </c>
      <c r="CK1235" t="s">
        <v>111</v>
      </c>
      <c r="CL1235" t="s">
        <v>111</v>
      </c>
      <c r="CM1235" t="s">
        <v>198</v>
      </c>
      <c r="CN1235" t="s">
        <v>113</v>
      </c>
      <c r="CO1235" t="s">
        <v>637</v>
      </c>
      <c r="CP1235" t="s">
        <v>111</v>
      </c>
      <c r="CQ1235">
        <v>0</v>
      </c>
      <c r="CR1235">
        <v>10000</v>
      </c>
      <c r="CS1235">
        <v>200</v>
      </c>
      <c r="CT1235" s="1" t="s">
        <v>3637</v>
      </c>
      <c r="CU1235">
        <v>0</v>
      </c>
      <c r="CV1235" t="s">
        <v>111</v>
      </c>
      <c r="CW1235" t="s">
        <v>111</v>
      </c>
      <c r="CX1235" t="s">
        <v>111</v>
      </c>
      <c r="CY1235">
        <v>0</v>
      </c>
      <c r="CZ1235" t="s">
        <v>111</v>
      </c>
      <c r="DA1235" t="s">
        <v>111</v>
      </c>
      <c r="DB1235" t="s">
        <v>111</v>
      </c>
      <c r="DC1235" t="s">
        <v>111</v>
      </c>
    </row>
    <row r="1236" spans="1:107">
      <c r="A1236">
        <v>1820</v>
      </c>
      <c r="B1236" t="s">
        <v>107</v>
      </c>
      <c r="C1236" t="s">
        <v>399</v>
      </c>
      <c r="D1236" t="s">
        <v>3638</v>
      </c>
      <c r="E1236" t="s">
        <v>3639</v>
      </c>
      <c r="F1236" t="s">
        <v>192</v>
      </c>
      <c r="G1236" t="s">
        <v>240</v>
      </c>
      <c r="H1236">
        <v>2</v>
      </c>
      <c r="I1236">
        <v>14</v>
      </c>
      <c r="J1236">
        <v>0</v>
      </c>
      <c r="K1236">
        <v>0</v>
      </c>
      <c r="L1236" t="s">
        <v>112</v>
      </c>
      <c r="M1236" t="s">
        <v>111</v>
      </c>
      <c r="N1236">
        <v>0</v>
      </c>
      <c r="O1236">
        <v>0</v>
      </c>
      <c r="P1236" t="s">
        <v>111</v>
      </c>
      <c r="Q1236">
        <v>10</v>
      </c>
      <c r="R1236">
        <v>0</v>
      </c>
      <c r="S1236">
        <v>0</v>
      </c>
      <c r="T1236">
        <v>0</v>
      </c>
      <c r="U1236" t="e">
        <f>-ALMACEN</f>
        <v>#NAME?</v>
      </c>
      <c r="V1236">
        <v>0</v>
      </c>
      <c r="W1236">
        <v>0</v>
      </c>
      <c r="X1236">
        <v>10</v>
      </c>
      <c r="Y1236">
        <v>0</v>
      </c>
      <c r="Z1236" t="s">
        <v>111</v>
      </c>
      <c r="AA1236">
        <v>0</v>
      </c>
      <c r="AB1236" t="s">
        <v>111</v>
      </c>
      <c r="AC1236">
        <v>0</v>
      </c>
      <c r="AD1236" t="s">
        <v>111</v>
      </c>
      <c r="AE1236">
        <v>0</v>
      </c>
      <c r="AF1236">
        <v>0</v>
      </c>
      <c r="AG1236" t="s">
        <v>111</v>
      </c>
      <c r="AH1236" t="s">
        <v>111</v>
      </c>
      <c r="AI1236" t="s">
        <v>111</v>
      </c>
      <c r="AJ1236" t="s">
        <v>111</v>
      </c>
      <c r="AK1236" t="s">
        <v>111</v>
      </c>
      <c r="AL1236" t="s">
        <v>111</v>
      </c>
      <c r="AM1236">
        <v>0</v>
      </c>
      <c r="AN1236">
        <v>0</v>
      </c>
      <c r="AO1236">
        <v>0</v>
      </c>
      <c r="AP1236" t="s">
        <v>111</v>
      </c>
      <c r="AQ1236" t="s">
        <v>111</v>
      </c>
      <c r="AR1236" t="s">
        <v>111</v>
      </c>
      <c r="AS1236" t="s">
        <v>111</v>
      </c>
      <c r="AT1236" t="s">
        <v>111</v>
      </c>
      <c r="AU1236" t="s">
        <v>111</v>
      </c>
      <c r="AV1236" t="s">
        <v>111</v>
      </c>
      <c r="AW1236" t="s">
        <v>111</v>
      </c>
      <c r="AX1236" t="s">
        <v>111</v>
      </c>
      <c r="AY1236" t="s">
        <v>111</v>
      </c>
      <c r="AZ1236" t="s">
        <v>111</v>
      </c>
      <c r="BA1236" t="s">
        <v>111</v>
      </c>
      <c r="BB1236" t="s">
        <v>111</v>
      </c>
      <c r="BC1236" t="s">
        <v>111</v>
      </c>
      <c r="BD1236" t="s">
        <v>111</v>
      </c>
      <c r="BE1236" t="s">
        <v>111</v>
      </c>
      <c r="BF1236" t="s">
        <v>111</v>
      </c>
      <c r="BG1236" t="s">
        <v>111</v>
      </c>
      <c r="BH1236" t="s">
        <v>111</v>
      </c>
      <c r="BI1236" t="s">
        <v>111</v>
      </c>
      <c r="BJ1236" t="s">
        <v>111</v>
      </c>
      <c r="BK1236" t="s">
        <v>111</v>
      </c>
      <c r="BL1236" t="s">
        <v>111</v>
      </c>
      <c r="BM1236" t="s">
        <v>111</v>
      </c>
      <c r="BN1236" t="s">
        <v>111</v>
      </c>
      <c r="BO1236" t="s">
        <v>111</v>
      </c>
      <c r="BP1236" t="s">
        <v>111</v>
      </c>
      <c r="BQ1236" t="s">
        <v>111</v>
      </c>
      <c r="BR1236" t="s">
        <v>111</v>
      </c>
      <c r="BS1236" t="s">
        <v>111</v>
      </c>
      <c r="BT1236" t="s">
        <v>111</v>
      </c>
      <c r="BU1236" t="s">
        <v>111</v>
      </c>
      <c r="BV1236" t="s">
        <v>111</v>
      </c>
      <c r="BW1236" t="s">
        <v>111</v>
      </c>
      <c r="BX1236" t="s">
        <v>111</v>
      </c>
      <c r="BY1236" t="s">
        <v>111</v>
      </c>
      <c r="BZ1236" t="s">
        <v>111</v>
      </c>
      <c r="CA1236" t="s">
        <v>111</v>
      </c>
      <c r="CB1236" t="s">
        <v>111</v>
      </c>
      <c r="CC1236" t="s">
        <v>111</v>
      </c>
      <c r="CD1236" t="s">
        <v>111</v>
      </c>
      <c r="CE1236" t="s">
        <v>111</v>
      </c>
      <c r="CF1236" t="s">
        <v>111</v>
      </c>
      <c r="CG1236" t="s">
        <v>111</v>
      </c>
      <c r="CH1236" t="s">
        <v>111</v>
      </c>
      <c r="CI1236" t="s">
        <v>111</v>
      </c>
      <c r="CJ1236" t="s">
        <v>111</v>
      </c>
      <c r="CK1236" t="s">
        <v>111</v>
      </c>
      <c r="CL1236" t="s">
        <v>111</v>
      </c>
      <c r="CM1236" t="s">
        <v>3579</v>
      </c>
      <c r="CN1236" t="s">
        <v>113</v>
      </c>
      <c r="CO1236" t="s">
        <v>111</v>
      </c>
      <c r="CP1236" t="s">
        <v>111</v>
      </c>
      <c r="CQ1236">
        <v>0</v>
      </c>
      <c r="CR1236">
        <v>100</v>
      </c>
      <c r="CS1236">
        <v>100</v>
      </c>
      <c r="CT1236" t="e">
        <f>-ALMACEN</f>
        <v>#NAME?</v>
      </c>
      <c r="CU1236">
        <v>0</v>
      </c>
      <c r="CV1236" t="s">
        <v>111</v>
      </c>
      <c r="CX1236" t="s">
        <v>111</v>
      </c>
      <c r="CY1236">
        <v>0</v>
      </c>
      <c r="CZ1236" t="s">
        <v>111</v>
      </c>
      <c r="DA1236" t="s">
        <v>111</v>
      </c>
      <c r="DB1236" t="s">
        <v>111</v>
      </c>
      <c r="DC1236" t="s">
        <v>111</v>
      </c>
    </row>
    <row r="1237" spans="1:107">
      <c r="A1237">
        <v>1814</v>
      </c>
      <c r="B1237" t="s">
        <v>107</v>
      </c>
      <c r="C1237" t="s">
        <v>1508</v>
      </c>
      <c r="D1237" t="s">
        <v>3640</v>
      </c>
      <c r="E1237" t="s">
        <v>3641</v>
      </c>
      <c r="F1237" t="s">
        <v>875</v>
      </c>
      <c r="G1237" t="s">
        <v>240</v>
      </c>
      <c r="H1237">
        <v>2.8</v>
      </c>
      <c r="I1237">
        <v>12</v>
      </c>
      <c r="J1237">
        <v>0</v>
      </c>
      <c r="K1237">
        <v>0</v>
      </c>
      <c r="L1237" t="s">
        <v>112</v>
      </c>
      <c r="M1237" t="s">
        <v>118</v>
      </c>
      <c r="N1237">
        <v>0</v>
      </c>
      <c r="O1237">
        <v>2</v>
      </c>
      <c r="P1237" t="s">
        <v>111</v>
      </c>
      <c r="Q1237">
        <v>10</v>
      </c>
      <c r="R1237">
        <v>0</v>
      </c>
      <c r="S1237">
        <v>0</v>
      </c>
      <c r="T1237">
        <v>0</v>
      </c>
      <c r="U1237" t="e">
        <f>-ALMACEN</f>
        <v>#NAME?</v>
      </c>
      <c r="V1237">
        <v>0</v>
      </c>
      <c r="W1237">
        <v>20</v>
      </c>
      <c r="X1237">
        <v>1</v>
      </c>
      <c r="Y1237">
        <v>0</v>
      </c>
      <c r="Z1237" t="s">
        <v>111</v>
      </c>
      <c r="AA1237">
        <v>0</v>
      </c>
      <c r="AB1237" t="s">
        <v>111</v>
      </c>
      <c r="AC1237">
        <v>0</v>
      </c>
      <c r="AD1237" t="s">
        <v>111</v>
      </c>
      <c r="AE1237">
        <v>0</v>
      </c>
      <c r="AF1237">
        <v>0</v>
      </c>
      <c r="AG1237" t="s">
        <v>111</v>
      </c>
      <c r="AH1237" t="s">
        <v>111</v>
      </c>
      <c r="AI1237" t="s">
        <v>111</v>
      </c>
      <c r="AJ1237" t="s">
        <v>111</v>
      </c>
      <c r="AK1237" t="s">
        <v>111</v>
      </c>
      <c r="AL1237" t="s">
        <v>111</v>
      </c>
      <c r="AM1237">
        <v>0</v>
      </c>
      <c r="AN1237">
        <v>0</v>
      </c>
      <c r="AO1237">
        <v>0</v>
      </c>
      <c r="AP1237" t="s">
        <v>111</v>
      </c>
      <c r="AQ1237" t="s">
        <v>111</v>
      </c>
      <c r="AR1237" t="s">
        <v>111</v>
      </c>
      <c r="AS1237" t="s">
        <v>111</v>
      </c>
      <c r="AT1237" t="s">
        <v>111</v>
      </c>
      <c r="AU1237" t="s">
        <v>111</v>
      </c>
      <c r="AV1237" t="s">
        <v>111</v>
      </c>
      <c r="AW1237" t="s">
        <v>111</v>
      </c>
      <c r="AX1237" t="s">
        <v>111</v>
      </c>
      <c r="AY1237" t="s">
        <v>111</v>
      </c>
      <c r="AZ1237" t="s">
        <v>111</v>
      </c>
      <c r="BA1237" t="s">
        <v>111</v>
      </c>
      <c r="BB1237" t="s">
        <v>111</v>
      </c>
      <c r="BC1237" t="s">
        <v>111</v>
      </c>
      <c r="BD1237" t="s">
        <v>111</v>
      </c>
      <c r="BE1237" t="s">
        <v>111</v>
      </c>
      <c r="BF1237" t="s">
        <v>111</v>
      </c>
      <c r="BG1237" t="s">
        <v>111</v>
      </c>
      <c r="BH1237" t="s">
        <v>111</v>
      </c>
      <c r="BI1237" t="s">
        <v>111</v>
      </c>
      <c r="BJ1237" t="s">
        <v>111</v>
      </c>
      <c r="BK1237" t="s">
        <v>111</v>
      </c>
      <c r="BL1237" t="s">
        <v>111</v>
      </c>
      <c r="BM1237" t="s">
        <v>111</v>
      </c>
      <c r="BN1237" t="s">
        <v>111</v>
      </c>
      <c r="BO1237" t="s">
        <v>111</v>
      </c>
      <c r="BP1237" t="s">
        <v>111</v>
      </c>
      <c r="BQ1237" t="s">
        <v>111</v>
      </c>
      <c r="BR1237" t="s">
        <v>111</v>
      </c>
      <c r="BS1237" t="s">
        <v>111</v>
      </c>
      <c r="BT1237" t="s">
        <v>111</v>
      </c>
      <c r="BU1237" t="s">
        <v>111</v>
      </c>
      <c r="BV1237" t="s">
        <v>111</v>
      </c>
      <c r="BW1237" t="s">
        <v>111</v>
      </c>
      <c r="BX1237" t="s">
        <v>111</v>
      </c>
      <c r="BY1237" t="s">
        <v>111</v>
      </c>
      <c r="BZ1237" t="s">
        <v>111</v>
      </c>
      <c r="CA1237" t="s">
        <v>111</v>
      </c>
      <c r="CB1237" t="s">
        <v>111</v>
      </c>
      <c r="CC1237" t="s">
        <v>111</v>
      </c>
      <c r="CD1237" t="s">
        <v>111</v>
      </c>
      <c r="CE1237" t="s">
        <v>111</v>
      </c>
      <c r="CF1237" t="s">
        <v>111</v>
      </c>
      <c r="CG1237" t="s">
        <v>111</v>
      </c>
      <c r="CH1237" t="s">
        <v>111</v>
      </c>
      <c r="CI1237" t="s">
        <v>111</v>
      </c>
      <c r="CJ1237" t="s">
        <v>111</v>
      </c>
      <c r="CK1237" t="s">
        <v>111</v>
      </c>
      <c r="CL1237" t="s">
        <v>111</v>
      </c>
      <c r="CM1237" t="s">
        <v>111</v>
      </c>
      <c r="CN1237" t="s">
        <v>111</v>
      </c>
      <c r="CO1237" t="s">
        <v>111</v>
      </c>
      <c r="CP1237" t="s">
        <v>111</v>
      </c>
      <c r="CQ1237">
        <v>0</v>
      </c>
      <c r="CR1237">
        <v>0</v>
      </c>
      <c r="CS1237">
        <v>0</v>
      </c>
      <c r="CT1237" t="s">
        <v>111</v>
      </c>
      <c r="CU1237">
        <v>0</v>
      </c>
      <c r="CV1237" t="s">
        <v>111</v>
      </c>
      <c r="CX1237" t="s">
        <v>111</v>
      </c>
      <c r="CY1237">
        <v>0</v>
      </c>
      <c r="CZ1237" t="s">
        <v>111</v>
      </c>
      <c r="DA1237" t="s">
        <v>111</v>
      </c>
      <c r="DB1237" t="e">
        <f>-EXTERNO</f>
        <v>#NAME?</v>
      </c>
      <c r="DC1237" t="s">
        <v>111</v>
      </c>
    </row>
    <row r="1238" spans="1:107">
      <c r="A1238">
        <v>1978</v>
      </c>
      <c r="B1238" t="s">
        <v>107</v>
      </c>
      <c r="C1238" t="s">
        <v>593</v>
      </c>
      <c r="D1238" t="s">
        <v>3642</v>
      </c>
      <c r="E1238" t="s">
        <v>3643</v>
      </c>
      <c r="F1238" t="s">
        <v>3003</v>
      </c>
      <c r="G1238" t="s">
        <v>240</v>
      </c>
      <c r="H1238">
        <v>1.2</v>
      </c>
      <c r="I1238">
        <v>30</v>
      </c>
      <c r="J1238">
        <v>0</v>
      </c>
      <c r="K1238">
        <v>0</v>
      </c>
      <c r="L1238" t="s">
        <v>117</v>
      </c>
      <c r="M1238" t="s">
        <v>118</v>
      </c>
      <c r="N1238">
        <v>40</v>
      </c>
      <c r="O1238">
        <v>1</v>
      </c>
      <c r="P1238" t="s">
        <v>111</v>
      </c>
      <c r="Q1238">
        <v>50</v>
      </c>
      <c r="R1238">
        <v>0</v>
      </c>
      <c r="S1238">
        <v>0</v>
      </c>
      <c r="T1238">
        <v>0</v>
      </c>
      <c r="U1238" t="e">
        <f>-DARMA</f>
        <v>#NAME?</v>
      </c>
      <c r="V1238">
        <v>0</v>
      </c>
      <c r="W1238">
        <v>0</v>
      </c>
      <c r="X1238">
        <v>0</v>
      </c>
      <c r="Y1238">
        <v>25</v>
      </c>
      <c r="Z1238" t="s">
        <v>111</v>
      </c>
      <c r="AA1238">
        <v>0</v>
      </c>
      <c r="AB1238" t="s">
        <v>111</v>
      </c>
      <c r="AC1238">
        <v>0</v>
      </c>
      <c r="AD1238" t="s">
        <v>416</v>
      </c>
      <c r="AE1238">
        <v>0</v>
      </c>
      <c r="AF1238">
        <v>0</v>
      </c>
      <c r="AG1238" t="s">
        <v>111</v>
      </c>
      <c r="AH1238" t="s">
        <v>111</v>
      </c>
      <c r="AI1238" t="s">
        <v>111</v>
      </c>
      <c r="AJ1238" t="s">
        <v>111</v>
      </c>
      <c r="AK1238" t="s">
        <v>111</v>
      </c>
      <c r="AL1238" t="s">
        <v>111</v>
      </c>
      <c r="AM1238">
        <v>0</v>
      </c>
      <c r="AN1238">
        <v>0</v>
      </c>
      <c r="AO1238">
        <v>0</v>
      </c>
      <c r="AP1238" t="s">
        <v>111</v>
      </c>
      <c r="AQ1238" t="s">
        <v>111</v>
      </c>
      <c r="AR1238" t="s">
        <v>111</v>
      </c>
      <c r="AS1238" t="s">
        <v>111</v>
      </c>
      <c r="AT1238" t="s">
        <v>111</v>
      </c>
      <c r="AU1238" t="s">
        <v>111</v>
      </c>
      <c r="AV1238" t="s">
        <v>111</v>
      </c>
      <c r="AW1238" t="s">
        <v>111</v>
      </c>
      <c r="AX1238" t="s">
        <v>111</v>
      </c>
      <c r="AY1238" t="s">
        <v>111</v>
      </c>
      <c r="AZ1238" t="s">
        <v>111</v>
      </c>
      <c r="BA1238" t="s">
        <v>111</v>
      </c>
      <c r="BB1238" t="s">
        <v>111</v>
      </c>
      <c r="BC1238" t="s">
        <v>111</v>
      </c>
      <c r="BD1238" t="s">
        <v>111</v>
      </c>
      <c r="BE1238" t="s">
        <v>111</v>
      </c>
      <c r="BF1238" t="s">
        <v>111</v>
      </c>
      <c r="BG1238" t="s">
        <v>111</v>
      </c>
      <c r="BH1238" t="s">
        <v>111</v>
      </c>
      <c r="BI1238" t="s">
        <v>111</v>
      </c>
      <c r="BJ1238" t="s">
        <v>111</v>
      </c>
      <c r="BK1238" t="s">
        <v>111</v>
      </c>
      <c r="BL1238" t="s">
        <v>111</v>
      </c>
      <c r="BM1238" t="s">
        <v>111</v>
      </c>
      <c r="BN1238" t="s">
        <v>111</v>
      </c>
      <c r="BO1238" t="s">
        <v>111</v>
      </c>
      <c r="BP1238" t="s">
        <v>111</v>
      </c>
      <c r="BQ1238" t="s">
        <v>111</v>
      </c>
      <c r="BR1238" t="s">
        <v>111</v>
      </c>
      <c r="BS1238" t="s">
        <v>111</v>
      </c>
      <c r="BT1238" t="s">
        <v>111</v>
      </c>
      <c r="BU1238" t="s">
        <v>111</v>
      </c>
      <c r="BV1238" t="s">
        <v>111</v>
      </c>
      <c r="BW1238" t="s">
        <v>111</v>
      </c>
      <c r="BX1238" t="s">
        <v>111</v>
      </c>
      <c r="BY1238" t="s">
        <v>111</v>
      </c>
      <c r="BZ1238" t="s">
        <v>111</v>
      </c>
      <c r="CA1238" t="s">
        <v>111</v>
      </c>
      <c r="CB1238" t="s">
        <v>111</v>
      </c>
      <c r="CC1238" t="s">
        <v>111</v>
      </c>
      <c r="CD1238" t="s">
        <v>111</v>
      </c>
      <c r="CE1238" t="s">
        <v>111</v>
      </c>
      <c r="CF1238" t="s">
        <v>111</v>
      </c>
      <c r="CG1238" t="s">
        <v>111</v>
      </c>
      <c r="CH1238" t="s">
        <v>111</v>
      </c>
      <c r="CI1238" t="s">
        <v>111</v>
      </c>
      <c r="CJ1238" t="s">
        <v>111</v>
      </c>
      <c r="CK1238" t="s">
        <v>111</v>
      </c>
      <c r="CL1238" t="s">
        <v>111</v>
      </c>
      <c r="CM1238" t="s">
        <v>111</v>
      </c>
      <c r="CN1238" t="s">
        <v>111</v>
      </c>
      <c r="CO1238" t="s">
        <v>111</v>
      </c>
      <c r="CP1238" t="s">
        <v>111</v>
      </c>
      <c r="CQ1238">
        <v>0</v>
      </c>
      <c r="CR1238">
        <v>0</v>
      </c>
      <c r="CS1238">
        <v>0</v>
      </c>
      <c r="CT1238" t="s">
        <v>111</v>
      </c>
      <c r="CU1238">
        <v>30</v>
      </c>
      <c r="CV1238" t="s">
        <v>3644</v>
      </c>
      <c r="CX1238">
        <v>-1</v>
      </c>
      <c r="CY1238">
        <v>15</v>
      </c>
      <c r="CZ1238" t="s">
        <v>117</v>
      </c>
      <c r="DA1238" t="e">
        <f>-ROLLOS BIEN EMPCADOS</f>
        <v>#NAME?</v>
      </c>
      <c r="DB1238" t="s">
        <v>111</v>
      </c>
      <c r="DC1238" t="s">
        <v>111</v>
      </c>
    </row>
    <row r="1239" spans="1:107">
      <c r="A1239">
        <v>1494</v>
      </c>
      <c r="B1239" t="s">
        <v>107</v>
      </c>
      <c r="C1239" t="s">
        <v>154</v>
      </c>
      <c r="D1239" t="s">
        <v>3645</v>
      </c>
      <c r="E1239" t="s">
        <v>3646</v>
      </c>
      <c r="F1239" t="s">
        <v>192</v>
      </c>
      <c r="G1239" t="s">
        <v>240</v>
      </c>
      <c r="H1239">
        <v>2</v>
      </c>
      <c r="I1239">
        <v>84</v>
      </c>
      <c r="J1239">
        <v>0</v>
      </c>
      <c r="K1239">
        <v>0</v>
      </c>
      <c r="L1239" t="s">
        <v>112</v>
      </c>
      <c r="M1239" t="s">
        <v>111</v>
      </c>
      <c r="N1239">
        <v>0</v>
      </c>
      <c r="O1239">
        <v>0</v>
      </c>
      <c r="P1239" t="s">
        <v>111</v>
      </c>
      <c r="Q1239">
        <v>40</v>
      </c>
      <c r="R1239">
        <v>0</v>
      </c>
      <c r="S1239">
        <v>0</v>
      </c>
      <c r="T1239">
        <v>5</v>
      </c>
      <c r="U1239" t="e">
        <f>-DESTINO SELLADO</f>
        <v>#NAME?</v>
      </c>
      <c r="V1239">
        <v>12.5</v>
      </c>
      <c r="W1239">
        <v>12.5</v>
      </c>
      <c r="X1239">
        <v>0</v>
      </c>
      <c r="Y1239">
        <v>0</v>
      </c>
      <c r="Z1239" t="s">
        <v>111</v>
      </c>
      <c r="AA1239">
        <v>0</v>
      </c>
      <c r="AB1239" t="s">
        <v>3647</v>
      </c>
      <c r="AC1239">
        <v>0</v>
      </c>
      <c r="AD1239" t="s">
        <v>111</v>
      </c>
      <c r="AE1239">
        <v>0</v>
      </c>
      <c r="AF1239">
        <v>0</v>
      </c>
      <c r="AG1239" t="s">
        <v>111</v>
      </c>
      <c r="AH1239" t="s">
        <v>111</v>
      </c>
      <c r="AI1239" t="s">
        <v>111</v>
      </c>
      <c r="AJ1239" t="s">
        <v>111</v>
      </c>
      <c r="AK1239" t="s">
        <v>111</v>
      </c>
      <c r="AL1239" t="s">
        <v>111</v>
      </c>
      <c r="AM1239">
        <v>0</v>
      </c>
      <c r="AN1239">
        <v>0</v>
      </c>
      <c r="AO1239">
        <v>0</v>
      </c>
      <c r="AP1239" t="s">
        <v>111</v>
      </c>
      <c r="AQ1239" t="s">
        <v>111</v>
      </c>
      <c r="AR1239" t="s">
        <v>111</v>
      </c>
      <c r="AS1239" t="s">
        <v>111</v>
      </c>
      <c r="AT1239" t="s">
        <v>111</v>
      </c>
      <c r="AU1239" t="s">
        <v>111</v>
      </c>
      <c r="AV1239" t="s">
        <v>111</v>
      </c>
      <c r="AW1239" t="s">
        <v>111</v>
      </c>
      <c r="AX1239" t="s">
        <v>111</v>
      </c>
      <c r="AY1239" t="s">
        <v>111</v>
      </c>
      <c r="AZ1239" t="s">
        <v>111</v>
      </c>
      <c r="BA1239" t="s">
        <v>111</v>
      </c>
      <c r="BB1239" t="s">
        <v>111</v>
      </c>
      <c r="BC1239" t="s">
        <v>111</v>
      </c>
      <c r="BD1239" t="s">
        <v>111</v>
      </c>
      <c r="BE1239" t="s">
        <v>111</v>
      </c>
      <c r="BF1239" t="s">
        <v>111</v>
      </c>
      <c r="BG1239" t="s">
        <v>111</v>
      </c>
      <c r="BH1239" t="s">
        <v>111</v>
      </c>
      <c r="BI1239" t="s">
        <v>111</v>
      </c>
      <c r="BJ1239" t="s">
        <v>111</v>
      </c>
      <c r="BK1239" t="s">
        <v>111</v>
      </c>
      <c r="BL1239" t="s">
        <v>111</v>
      </c>
      <c r="BM1239" t="s">
        <v>111</v>
      </c>
      <c r="BN1239" t="s">
        <v>111</v>
      </c>
      <c r="BO1239" t="s">
        <v>111</v>
      </c>
      <c r="BP1239" t="s">
        <v>111</v>
      </c>
      <c r="BQ1239" t="s">
        <v>111</v>
      </c>
      <c r="BR1239" t="s">
        <v>111</v>
      </c>
      <c r="BS1239" t="s">
        <v>111</v>
      </c>
      <c r="BT1239" t="s">
        <v>111</v>
      </c>
      <c r="BU1239" t="s">
        <v>111</v>
      </c>
      <c r="BV1239" t="s">
        <v>111</v>
      </c>
      <c r="BW1239" t="s">
        <v>111</v>
      </c>
      <c r="BX1239" t="s">
        <v>111</v>
      </c>
      <c r="BY1239" t="s">
        <v>111</v>
      </c>
      <c r="BZ1239" t="s">
        <v>111</v>
      </c>
      <c r="CA1239" t="s">
        <v>111</v>
      </c>
      <c r="CB1239" t="s">
        <v>111</v>
      </c>
      <c r="CC1239" t="s">
        <v>111</v>
      </c>
      <c r="CD1239" t="s">
        <v>111</v>
      </c>
      <c r="CE1239" t="s">
        <v>111</v>
      </c>
      <c r="CF1239" t="s">
        <v>111</v>
      </c>
      <c r="CG1239" t="s">
        <v>111</v>
      </c>
      <c r="CH1239" t="s">
        <v>111</v>
      </c>
      <c r="CI1239" t="s">
        <v>111</v>
      </c>
      <c r="CJ1239" t="s">
        <v>111</v>
      </c>
      <c r="CK1239" t="s">
        <v>111</v>
      </c>
      <c r="CL1239" t="s">
        <v>111</v>
      </c>
      <c r="CM1239" t="s">
        <v>135</v>
      </c>
      <c r="CN1239" t="s">
        <v>128</v>
      </c>
      <c r="CO1239" t="s">
        <v>111</v>
      </c>
      <c r="CP1239" t="s">
        <v>111</v>
      </c>
      <c r="CQ1239">
        <v>0</v>
      </c>
      <c r="CR1239">
        <v>500</v>
      </c>
      <c r="CS1239">
        <v>25</v>
      </c>
      <c r="CT1239" t="e">
        <f>-ALMACEN</f>
        <v>#NAME?</v>
      </c>
      <c r="CU1239">
        <v>0</v>
      </c>
      <c r="CV1239" t="s">
        <v>111</v>
      </c>
      <c r="CW1239" t="s">
        <v>111</v>
      </c>
      <c r="CX1239" t="s">
        <v>111</v>
      </c>
      <c r="CY1239">
        <v>0</v>
      </c>
      <c r="CZ1239" t="s">
        <v>111</v>
      </c>
      <c r="DA1239" t="s">
        <v>111</v>
      </c>
      <c r="DB1239" t="s">
        <v>111</v>
      </c>
      <c r="DC1239" t="s">
        <v>111</v>
      </c>
    </row>
    <row r="1240" spans="1:107">
      <c r="A1240">
        <v>285</v>
      </c>
      <c r="B1240" t="s">
        <v>162</v>
      </c>
      <c r="C1240" t="s">
        <v>200</v>
      </c>
      <c r="D1240" t="s">
        <v>3648</v>
      </c>
      <c r="E1240" t="s">
        <v>3649</v>
      </c>
      <c r="F1240" t="s">
        <v>166</v>
      </c>
      <c r="G1240" t="s">
        <v>3650</v>
      </c>
      <c r="H1240">
        <v>1</v>
      </c>
      <c r="I1240">
        <v>30</v>
      </c>
      <c r="J1240">
        <v>0</v>
      </c>
      <c r="K1240">
        <v>0</v>
      </c>
      <c r="L1240" t="s">
        <v>112</v>
      </c>
      <c r="M1240" t="s">
        <v>138</v>
      </c>
      <c r="N1240">
        <v>0</v>
      </c>
      <c r="O1240">
        <v>0</v>
      </c>
      <c r="P1240" t="s">
        <v>138</v>
      </c>
      <c r="Q1240">
        <v>35</v>
      </c>
      <c r="R1240">
        <v>0</v>
      </c>
      <c r="S1240">
        <v>0</v>
      </c>
      <c r="T1240">
        <v>0</v>
      </c>
      <c r="U1240" t="s">
        <v>168</v>
      </c>
      <c r="V1240">
        <v>0</v>
      </c>
      <c r="W1240">
        <v>0</v>
      </c>
      <c r="X1240">
        <v>1</v>
      </c>
      <c r="Y1240">
        <v>0</v>
      </c>
      <c r="Z1240" t="s">
        <v>111</v>
      </c>
      <c r="AA1240">
        <v>0</v>
      </c>
      <c r="AB1240" t="s">
        <v>111</v>
      </c>
      <c r="AC1240">
        <v>0</v>
      </c>
      <c r="AD1240" t="s">
        <v>111</v>
      </c>
      <c r="AE1240">
        <v>0</v>
      </c>
      <c r="AF1240">
        <v>0</v>
      </c>
      <c r="AG1240" t="s">
        <v>111</v>
      </c>
      <c r="AH1240" t="s">
        <v>111</v>
      </c>
      <c r="AI1240" t="s">
        <v>111</v>
      </c>
      <c r="AJ1240" t="s">
        <v>111</v>
      </c>
      <c r="AK1240" t="s">
        <v>111</v>
      </c>
      <c r="AL1240" t="s">
        <v>111</v>
      </c>
      <c r="AM1240">
        <v>0</v>
      </c>
      <c r="AN1240">
        <v>0</v>
      </c>
      <c r="AO1240">
        <v>0</v>
      </c>
      <c r="AP1240" t="s">
        <v>111</v>
      </c>
      <c r="AQ1240" t="s">
        <v>111</v>
      </c>
      <c r="AR1240" t="s">
        <v>111</v>
      </c>
      <c r="AS1240" t="s">
        <v>111</v>
      </c>
      <c r="AT1240" t="s">
        <v>111</v>
      </c>
      <c r="AU1240" t="s">
        <v>111</v>
      </c>
      <c r="AV1240" t="s">
        <v>111</v>
      </c>
      <c r="AW1240" t="s">
        <v>111</v>
      </c>
      <c r="AX1240" t="s">
        <v>111</v>
      </c>
      <c r="AY1240" t="s">
        <v>111</v>
      </c>
      <c r="AZ1240" t="s">
        <v>111</v>
      </c>
      <c r="BA1240" t="s">
        <v>111</v>
      </c>
      <c r="BB1240" t="s">
        <v>111</v>
      </c>
      <c r="BC1240" t="s">
        <v>111</v>
      </c>
      <c r="BD1240" t="s">
        <v>111</v>
      </c>
      <c r="BE1240" t="s">
        <v>111</v>
      </c>
      <c r="BF1240" t="s">
        <v>111</v>
      </c>
      <c r="BG1240" t="s">
        <v>111</v>
      </c>
      <c r="BH1240" t="s">
        <v>111</v>
      </c>
      <c r="BI1240" t="s">
        <v>111</v>
      </c>
      <c r="BJ1240" t="s">
        <v>111</v>
      </c>
      <c r="BK1240" t="s">
        <v>111</v>
      </c>
      <c r="BL1240" t="s">
        <v>111</v>
      </c>
      <c r="BM1240" t="s">
        <v>111</v>
      </c>
      <c r="BN1240" t="s">
        <v>111</v>
      </c>
      <c r="BO1240" t="s">
        <v>111</v>
      </c>
      <c r="BP1240" t="s">
        <v>111</v>
      </c>
      <c r="BQ1240" t="s">
        <v>111</v>
      </c>
      <c r="BR1240" t="s">
        <v>111</v>
      </c>
      <c r="BS1240" t="s">
        <v>111</v>
      </c>
      <c r="BT1240" t="s">
        <v>111</v>
      </c>
      <c r="BU1240" t="s">
        <v>111</v>
      </c>
      <c r="BV1240" t="s">
        <v>111</v>
      </c>
      <c r="BW1240" t="s">
        <v>111</v>
      </c>
      <c r="BX1240" t="s">
        <v>111</v>
      </c>
      <c r="BY1240" t="s">
        <v>111</v>
      </c>
      <c r="BZ1240" t="s">
        <v>111</v>
      </c>
      <c r="CA1240" t="s">
        <v>111</v>
      </c>
      <c r="CB1240" t="s">
        <v>111</v>
      </c>
      <c r="CC1240" t="s">
        <v>111</v>
      </c>
      <c r="CD1240" t="s">
        <v>111</v>
      </c>
      <c r="CE1240" t="s">
        <v>111</v>
      </c>
      <c r="CF1240" t="s">
        <v>111</v>
      </c>
      <c r="CG1240" t="s">
        <v>111</v>
      </c>
      <c r="CH1240" t="s">
        <v>111</v>
      </c>
      <c r="CI1240" t="s">
        <v>111</v>
      </c>
      <c r="CJ1240" t="s">
        <v>111</v>
      </c>
      <c r="CK1240" t="s">
        <v>111</v>
      </c>
      <c r="CL1240" t="s">
        <v>111</v>
      </c>
      <c r="CM1240" t="s">
        <v>111</v>
      </c>
      <c r="CN1240" t="s">
        <v>111</v>
      </c>
      <c r="CO1240" t="s">
        <v>111</v>
      </c>
      <c r="CP1240" t="s">
        <v>111</v>
      </c>
      <c r="CQ1240">
        <v>0</v>
      </c>
      <c r="CR1240">
        <v>0</v>
      </c>
      <c r="CS1240">
        <v>0</v>
      </c>
      <c r="CT1240" t="s">
        <v>111</v>
      </c>
      <c r="CU1240">
        <v>0</v>
      </c>
      <c r="CV1240" t="s">
        <v>111</v>
      </c>
      <c r="CW1240" t="s">
        <v>111</v>
      </c>
      <c r="CX1240" t="s">
        <v>111</v>
      </c>
      <c r="CY1240">
        <v>0</v>
      </c>
      <c r="CZ1240" t="s">
        <v>111</v>
      </c>
      <c r="DA1240" t="s">
        <v>111</v>
      </c>
      <c r="DB1240" t="s">
        <v>111</v>
      </c>
      <c r="DC1240" t="s">
        <v>111</v>
      </c>
    </row>
    <row r="1241" spans="1:107">
      <c r="A1241">
        <v>284</v>
      </c>
      <c r="B1241" t="s">
        <v>162</v>
      </c>
      <c r="C1241" t="s">
        <v>200</v>
      </c>
      <c r="D1241" t="s">
        <v>3651</v>
      </c>
      <c r="E1241" t="s">
        <v>3652</v>
      </c>
      <c r="F1241" t="s">
        <v>166</v>
      </c>
      <c r="G1241" t="s">
        <v>3650</v>
      </c>
      <c r="H1241">
        <v>1</v>
      </c>
      <c r="I1241">
        <v>25.5</v>
      </c>
      <c r="J1241">
        <v>0</v>
      </c>
      <c r="K1241">
        <v>0</v>
      </c>
      <c r="L1241" t="s">
        <v>112</v>
      </c>
      <c r="M1241" t="s">
        <v>138</v>
      </c>
      <c r="N1241">
        <v>0</v>
      </c>
      <c r="O1241">
        <v>0</v>
      </c>
      <c r="P1241" t="s">
        <v>138</v>
      </c>
      <c r="Q1241">
        <v>10</v>
      </c>
      <c r="R1241">
        <v>0</v>
      </c>
      <c r="S1241">
        <v>0</v>
      </c>
      <c r="T1241">
        <v>0</v>
      </c>
      <c r="U1241" t="s">
        <v>168</v>
      </c>
      <c r="V1241">
        <v>0</v>
      </c>
      <c r="W1241">
        <v>0</v>
      </c>
      <c r="X1241">
        <v>1</v>
      </c>
      <c r="Y1241">
        <v>0</v>
      </c>
      <c r="Z1241" t="s">
        <v>111</v>
      </c>
      <c r="AA1241">
        <v>0</v>
      </c>
      <c r="AB1241" t="s">
        <v>111</v>
      </c>
      <c r="AC1241">
        <v>0</v>
      </c>
      <c r="AD1241" t="s">
        <v>111</v>
      </c>
      <c r="AE1241">
        <v>0</v>
      </c>
      <c r="AF1241">
        <v>0</v>
      </c>
      <c r="AG1241" t="s">
        <v>111</v>
      </c>
      <c r="AH1241" t="s">
        <v>111</v>
      </c>
      <c r="AI1241" t="s">
        <v>111</v>
      </c>
      <c r="AJ1241" t="s">
        <v>111</v>
      </c>
      <c r="AK1241" t="s">
        <v>111</v>
      </c>
      <c r="AL1241" t="s">
        <v>111</v>
      </c>
      <c r="AM1241">
        <v>0</v>
      </c>
      <c r="AN1241">
        <v>0</v>
      </c>
      <c r="AO1241">
        <v>0</v>
      </c>
      <c r="AP1241" t="s">
        <v>111</v>
      </c>
      <c r="AQ1241" t="s">
        <v>111</v>
      </c>
      <c r="AR1241" t="s">
        <v>111</v>
      </c>
      <c r="AS1241" t="s">
        <v>111</v>
      </c>
      <c r="AT1241" t="s">
        <v>111</v>
      </c>
      <c r="AU1241" t="s">
        <v>111</v>
      </c>
      <c r="AV1241" t="s">
        <v>111</v>
      </c>
      <c r="AW1241" t="s">
        <v>111</v>
      </c>
      <c r="AX1241" t="s">
        <v>111</v>
      </c>
      <c r="AY1241" t="s">
        <v>111</v>
      </c>
      <c r="AZ1241" t="s">
        <v>111</v>
      </c>
      <c r="BA1241" t="s">
        <v>111</v>
      </c>
      <c r="BB1241" t="s">
        <v>111</v>
      </c>
      <c r="BC1241" t="s">
        <v>111</v>
      </c>
      <c r="BD1241" t="s">
        <v>111</v>
      </c>
      <c r="BE1241" t="s">
        <v>111</v>
      </c>
      <c r="BF1241" t="s">
        <v>111</v>
      </c>
      <c r="BG1241" t="s">
        <v>111</v>
      </c>
      <c r="BH1241" t="s">
        <v>111</v>
      </c>
      <c r="BI1241" t="s">
        <v>111</v>
      </c>
      <c r="BJ1241" t="s">
        <v>111</v>
      </c>
      <c r="BK1241" t="s">
        <v>111</v>
      </c>
      <c r="BL1241" t="s">
        <v>111</v>
      </c>
      <c r="BM1241" t="s">
        <v>111</v>
      </c>
      <c r="BN1241" t="s">
        <v>111</v>
      </c>
      <c r="BO1241" t="s">
        <v>111</v>
      </c>
      <c r="BP1241" t="s">
        <v>111</v>
      </c>
      <c r="BQ1241" t="s">
        <v>111</v>
      </c>
      <c r="BR1241" t="s">
        <v>111</v>
      </c>
      <c r="BS1241" t="s">
        <v>111</v>
      </c>
      <c r="BT1241" t="s">
        <v>111</v>
      </c>
      <c r="BU1241" t="s">
        <v>111</v>
      </c>
      <c r="BV1241" t="s">
        <v>111</v>
      </c>
      <c r="BW1241" t="s">
        <v>111</v>
      </c>
      <c r="BX1241" t="s">
        <v>111</v>
      </c>
      <c r="BY1241" t="s">
        <v>111</v>
      </c>
      <c r="BZ1241" t="s">
        <v>111</v>
      </c>
      <c r="CA1241" t="s">
        <v>111</v>
      </c>
      <c r="CB1241" t="s">
        <v>111</v>
      </c>
      <c r="CC1241" t="s">
        <v>111</v>
      </c>
      <c r="CD1241" t="s">
        <v>111</v>
      </c>
      <c r="CE1241" t="s">
        <v>111</v>
      </c>
      <c r="CF1241" t="s">
        <v>111</v>
      </c>
      <c r="CG1241" t="s">
        <v>111</v>
      </c>
      <c r="CH1241" t="s">
        <v>111</v>
      </c>
      <c r="CI1241" t="s">
        <v>111</v>
      </c>
      <c r="CJ1241" t="s">
        <v>111</v>
      </c>
      <c r="CK1241" t="s">
        <v>111</v>
      </c>
      <c r="CL1241" t="s">
        <v>111</v>
      </c>
      <c r="CM1241" t="s">
        <v>111</v>
      </c>
      <c r="CN1241" t="s">
        <v>111</v>
      </c>
      <c r="CO1241" t="s">
        <v>111</v>
      </c>
      <c r="CP1241" t="s">
        <v>111</v>
      </c>
      <c r="CQ1241">
        <v>0</v>
      </c>
      <c r="CR1241">
        <v>0</v>
      </c>
      <c r="CS1241">
        <v>0</v>
      </c>
      <c r="CT1241" t="s">
        <v>111</v>
      </c>
      <c r="CU1241">
        <v>0</v>
      </c>
      <c r="CV1241" t="s">
        <v>111</v>
      </c>
      <c r="CW1241" t="s">
        <v>111</v>
      </c>
      <c r="CX1241" t="s">
        <v>111</v>
      </c>
      <c r="CY1241">
        <v>0</v>
      </c>
      <c r="CZ1241" t="s">
        <v>111</v>
      </c>
      <c r="DA1241" t="s">
        <v>111</v>
      </c>
      <c r="DB1241" t="s">
        <v>111</v>
      </c>
      <c r="DC1241" t="s">
        <v>111</v>
      </c>
    </row>
    <row r="1242" spans="1:107">
      <c r="A1242">
        <v>22</v>
      </c>
      <c r="B1242" t="s">
        <v>162</v>
      </c>
      <c r="C1242" s="2">
        <v>93385719</v>
      </c>
      <c r="D1242" t="s">
        <v>3653</v>
      </c>
      <c r="E1242" t="s">
        <v>3654</v>
      </c>
      <c r="F1242" t="s">
        <v>157</v>
      </c>
      <c r="G1242" t="s">
        <v>3650</v>
      </c>
      <c r="H1242">
        <v>3</v>
      </c>
      <c r="I1242">
        <v>50</v>
      </c>
      <c r="J1242">
        <v>0</v>
      </c>
      <c r="K1242">
        <v>0</v>
      </c>
      <c r="L1242" t="s">
        <v>112</v>
      </c>
      <c r="M1242" t="s">
        <v>138</v>
      </c>
      <c r="N1242">
        <v>0</v>
      </c>
      <c r="O1242">
        <v>0</v>
      </c>
      <c r="P1242" t="s">
        <v>138</v>
      </c>
      <c r="Q1242">
        <v>30</v>
      </c>
      <c r="R1242">
        <v>0</v>
      </c>
      <c r="S1242">
        <v>0</v>
      </c>
      <c r="T1242">
        <v>0</v>
      </c>
      <c r="U1242" t="s">
        <v>168</v>
      </c>
      <c r="V1242">
        <v>0</v>
      </c>
      <c r="W1242">
        <v>0</v>
      </c>
      <c r="X1242">
        <v>1</v>
      </c>
      <c r="Y1242">
        <v>0</v>
      </c>
      <c r="Z1242" t="s">
        <v>111</v>
      </c>
      <c r="AA1242">
        <v>0</v>
      </c>
      <c r="AB1242" t="s">
        <v>111</v>
      </c>
      <c r="AC1242">
        <v>0</v>
      </c>
      <c r="AD1242" t="s">
        <v>111</v>
      </c>
      <c r="AE1242">
        <v>0</v>
      </c>
      <c r="AF1242">
        <v>0</v>
      </c>
      <c r="AG1242" t="s">
        <v>111</v>
      </c>
      <c r="AH1242" t="s">
        <v>111</v>
      </c>
      <c r="AI1242" t="s">
        <v>111</v>
      </c>
      <c r="AJ1242" t="s">
        <v>111</v>
      </c>
      <c r="AK1242" t="s">
        <v>111</v>
      </c>
      <c r="AL1242" t="s">
        <v>111</v>
      </c>
      <c r="AM1242">
        <v>0</v>
      </c>
      <c r="AN1242">
        <v>0</v>
      </c>
      <c r="AO1242">
        <v>0</v>
      </c>
      <c r="AP1242" t="s">
        <v>111</v>
      </c>
      <c r="AQ1242" t="s">
        <v>111</v>
      </c>
      <c r="AR1242" t="s">
        <v>111</v>
      </c>
      <c r="AS1242" t="s">
        <v>111</v>
      </c>
      <c r="AT1242" t="s">
        <v>111</v>
      </c>
      <c r="AU1242" t="s">
        <v>111</v>
      </c>
      <c r="AV1242" t="s">
        <v>111</v>
      </c>
      <c r="AW1242" t="s">
        <v>111</v>
      </c>
      <c r="AX1242" t="s">
        <v>111</v>
      </c>
      <c r="AY1242" t="s">
        <v>111</v>
      </c>
      <c r="AZ1242" t="s">
        <v>111</v>
      </c>
      <c r="BA1242" t="s">
        <v>111</v>
      </c>
      <c r="BB1242" t="s">
        <v>111</v>
      </c>
      <c r="BC1242" t="s">
        <v>111</v>
      </c>
      <c r="BD1242" t="s">
        <v>111</v>
      </c>
      <c r="BE1242" t="s">
        <v>111</v>
      </c>
      <c r="BF1242" t="s">
        <v>111</v>
      </c>
      <c r="BG1242" t="s">
        <v>111</v>
      </c>
      <c r="BH1242" t="s">
        <v>111</v>
      </c>
      <c r="BI1242" t="s">
        <v>111</v>
      </c>
      <c r="BJ1242" t="s">
        <v>111</v>
      </c>
      <c r="BK1242" t="s">
        <v>111</v>
      </c>
      <c r="BL1242" t="s">
        <v>111</v>
      </c>
      <c r="BM1242" t="s">
        <v>111</v>
      </c>
      <c r="BN1242" t="s">
        <v>111</v>
      </c>
      <c r="BO1242" t="s">
        <v>111</v>
      </c>
      <c r="BP1242" t="s">
        <v>111</v>
      </c>
      <c r="BQ1242" t="s">
        <v>111</v>
      </c>
      <c r="BR1242" t="s">
        <v>111</v>
      </c>
      <c r="BS1242" t="s">
        <v>111</v>
      </c>
      <c r="BT1242" t="s">
        <v>111</v>
      </c>
      <c r="BU1242" t="s">
        <v>111</v>
      </c>
      <c r="BV1242" t="s">
        <v>111</v>
      </c>
      <c r="BW1242" t="s">
        <v>111</v>
      </c>
      <c r="BX1242" t="s">
        <v>111</v>
      </c>
      <c r="BY1242" t="s">
        <v>111</v>
      </c>
      <c r="BZ1242" t="s">
        <v>111</v>
      </c>
      <c r="CA1242" t="s">
        <v>111</v>
      </c>
      <c r="CB1242" t="s">
        <v>111</v>
      </c>
      <c r="CC1242" t="s">
        <v>111</v>
      </c>
      <c r="CD1242" t="s">
        <v>111</v>
      </c>
      <c r="CE1242" t="s">
        <v>111</v>
      </c>
      <c r="CF1242" t="s">
        <v>111</v>
      </c>
      <c r="CG1242" t="s">
        <v>111</v>
      </c>
      <c r="CH1242" t="s">
        <v>111</v>
      </c>
      <c r="CI1242" t="s">
        <v>111</v>
      </c>
      <c r="CJ1242" t="s">
        <v>111</v>
      </c>
      <c r="CK1242" t="s">
        <v>111</v>
      </c>
      <c r="CL1242" t="s">
        <v>111</v>
      </c>
      <c r="CM1242" t="s">
        <v>111</v>
      </c>
      <c r="CN1242" t="s">
        <v>111</v>
      </c>
      <c r="CO1242" t="s">
        <v>111</v>
      </c>
      <c r="CP1242" t="s">
        <v>111</v>
      </c>
      <c r="CQ1242">
        <v>0</v>
      </c>
      <c r="CR1242">
        <v>0</v>
      </c>
      <c r="CS1242">
        <v>0</v>
      </c>
      <c r="CT1242" t="s">
        <v>168</v>
      </c>
      <c r="CU1242">
        <v>0</v>
      </c>
      <c r="CV1242" t="s">
        <v>111</v>
      </c>
      <c r="CW1242" t="s">
        <v>111</v>
      </c>
      <c r="CX1242" t="s">
        <v>111</v>
      </c>
      <c r="CY1242">
        <v>0</v>
      </c>
      <c r="CZ1242" t="s">
        <v>111</v>
      </c>
      <c r="DA1242" t="s">
        <v>111</v>
      </c>
      <c r="DB1242" t="s">
        <v>111</v>
      </c>
      <c r="DC1242" t="s">
        <v>111</v>
      </c>
    </row>
    <row r="1243" spans="1:107">
      <c r="A1243">
        <v>1676</v>
      </c>
      <c r="B1243" t="s">
        <v>107</v>
      </c>
      <c r="C1243" t="s">
        <v>2543</v>
      </c>
      <c r="D1243" t="s">
        <v>3655</v>
      </c>
      <c r="E1243" t="s">
        <v>3656</v>
      </c>
      <c r="F1243" t="s">
        <v>1651</v>
      </c>
      <c r="G1243" t="s">
        <v>3657</v>
      </c>
      <c r="H1243">
        <v>1.4</v>
      </c>
      <c r="I1243">
        <v>70</v>
      </c>
      <c r="J1243">
        <v>0</v>
      </c>
      <c r="K1243">
        <v>0</v>
      </c>
      <c r="L1243" t="s">
        <v>117</v>
      </c>
      <c r="M1243" t="s">
        <v>118</v>
      </c>
      <c r="N1243">
        <v>39</v>
      </c>
      <c r="O1243">
        <v>1</v>
      </c>
      <c r="P1243" t="s">
        <v>111</v>
      </c>
      <c r="Q1243">
        <v>40</v>
      </c>
      <c r="R1243">
        <v>0</v>
      </c>
      <c r="S1243">
        <v>0</v>
      </c>
      <c r="T1243">
        <v>5</v>
      </c>
      <c r="U1243" t="e">
        <f>-IMPRESOIN DARMA</f>
        <v>#NAME?</v>
      </c>
      <c r="V1243">
        <v>0</v>
      </c>
      <c r="W1243">
        <v>0</v>
      </c>
      <c r="X1243">
        <v>0</v>
      </c>
      <c r="Y1243">
        <v>25</v>
      </c>
      <c r="Z1243" t="s">
        <v>111</v>
      </c>
      <c r="AA1243">
        <v>0</v>
      </c>
      <c r="AB1243" t="s">
        <v>111</v>
      </c>
      <c r="AC1243">
        <v>0</v>
      </c>
      <c r="AD1243" t="s">
        <v>416</v>
      </c>
      <c r="AE1243">
        <v>0</v>
      </c>
      <c r="AF1243">
        <v>0</v>
      </c>
      <c r="AG1243" t="s">
        <v>111</v>
      </c>
      <c r="AH1243" t="s">
        <v>113</v>
      </c>
      <c r="AI1243" t="s">
        <v>111</v>
      </c>
      <c r="AJ1243" t="s">
        <v>111</v>
      </c>
      <c r="AK1243" t="s">
        <v>111</v>
      </c>
      <c r="AL1243" t="s">
        <v>111</v>
      </c>
      <c r="AM1243">
        <v>0</v>
      </c>
      <c r="AN1243">
        <v>0</v>
      </c>
      <c r="AO1243">
        <v>0</v>
      </c>
      <c r="AP1243" t="s">
        <v>111</v>
      </c>
      <c r="AQ1243" t="s">
        <v>111</v>
      </c>
      <c r="AR1243" t="s">
        <v>111</v>
      </c>
      <c r="AS1243" t="s">
        <v>111</v>
      </c>
      <c r="AT1243" t="s">
        <v>111</v>
      </c>
      <c r="AU1243" t="s">
        <v>111</v>
      </c>
      <c r="AV1243" t="s">
        <v>111</v>
      </c>
      <c r="AW1243" t="s">
        <v>111</v>
      </c>
      <c r="AX1243" t="s">
        <v>111</v>
      </c>
      <c r="AY1243" t="s">
        <v>111</v>
      </c>
      <c r="AZ1243" t="s">
        <v>111</v>
      </c>
      <c r="BA1243" t="s">
        <v>111</v>
      </c>
      <c r="BB1243" t="s">
        <v>111</v>
      </c>
      <c r="BC1243" t="s">
        <v>111</v>
      </c>
      <c r="BD1243" t="s">
        <v>111</v>
      </c>
      <c r="BE1243" t="s">
        <v>111</v>
      </c>
      <c r="BF1243" t="s">
        <v>111</v>
      </c>
      <c r="BG1243" t="s">
        <v>111</v>
      </c>
      <c r="BH1243" t="s">
        <v>111</v>
      </c>
      <c r="BI1243" t="s">
        <v>111</v>
      </c>
      <c r="BJ1243" t="s">
        <v>111</v>
      </c>
      <c r="BK1243" t="s">
        <v>111</v>
      </c>
      <c r="BL1243" t="s">
        <v>111</v>
      </c>
      <c r="BM1243" t="s">
        <v>111</v>
      </c>
      <c r="BN1243" t="s">
        <v>111</v>
      </c>
      <c r="BO1243" t="s">
        <v>111</v>
      </c>
      <c r="BP1243" t="s">
        <v>111</v>
      </c>
      <c r="BQ1243" t="s">
        <v>111</v>
      </c>
      <c r="BR1243" t="s">
        <v>111</v>
      </c>
      <c r="BS1243" t="s">
        <v>111</v>
      </c>
      <c r="BT1243" t="s">
        <v>111</v>
      </c>
      <c r="BU1243" t="s">
        <v>111</v>
      </c>
      <c r="BV1243" t="s">
        <v>111</v>
      </c>
      <c r="BW1243" t="s">
        <v>111</v>
      </c>
      <c r="BX1243" t="s">
        <v>111</v>
      </c>
      <c r="BY1243" t="s">
        <v>111</v>
      </c>
      <c r="BZ1243" t="s">
        <v>111</v>
      </c>
      <c r="CA1243" t="s">
        <v>111</v>
      </c>
      <c r="CB1243" t="s">
        <v>111</v>
      </c>
      <c r="CC1243" t="s">
        <v>111</v>
      </c>
      <c r="CD1243" t="s">
        <v>111</v>
      </c>
      <c r="CE1243" t="s">
        <v>111</v>
      </c>
      <c r="CF1243" t="s">
        <v>111</v>
      </c>
      <c r="CG1243" t="s">
        <v>111</v>
      </c>
      <c r="CH1243" t="s">
        <v>111</v>
      </c>
      <c r="CI1243" t="s">
        <v>111</v>
      </c>
      <c r="CJ1243" t="s">
        <v>111</v>
      </c>
      <c r="CK1243" t="s">
        <v>111</v>
      </c>
      <c r="CL1243" t="s">
        <v>111</v>
      </c>
      <c r="CM1243" t="s">
        <v>135</v>
      </c>
      <c r="CN1243" t="s">
        <v>113</v>
      </c>
      <c r="CO1243" t="s">
        <v>111</v>
      </c>
      <c r="CP1243" t="s">
        <v>111</v>
      </c>
      <c r="CQ1243">
        <v>0</v>
      </c>
      <c r="CR1243">
        <v>6000</v>
      </c>
      <c r="CS1243">
        <v>250</v>
      </c>
      <c r="CT1243" t="e">
        <f>-ALMACEN</f>
        <v>#NAME?</v>
      </c>
      <c r="CU1243">
        <v>0</v>
      </c>
      <c r="CV1243" t="s">
        <v>111</v>
      </c>
      <c r="CX1243" t="s">
        <v>111</v>
      </c>
      <c r="CY1243">
        <v>0</v>
      </c>
      <c r="CZ1243" t="s">
        <v>111</v>
      </c>
      <c r="DA1243" t="s">
        <v>111</v>
      </c>
      <c r="DB1243" t="s">
        <v>111</v>
      </c>
      <c r="DC1243" t="s">
        <v>111</v>
      </c>
    </row>
    <row r="1244" spans="1:107">
      <c r="A1244">
        <v>581</v>
      </c>
      <c r="B1244" t="s">
        <v>107</v>
      </c>
      <c r="C1244" t="s">
        <v>827</v>
      </c>
      <c r="D1244" t="s">
        <v>3658</v>
      </c>
      <c r="E1244" t="s">
        <v>3659</v>
      </c>
      <c r="F1244" t="s">
        <v>1651</v>
      </c>
      <c r="G1244" t="s">
        <v>3657</v>
      </c>
      <c r="H1244">
        <v>1.5</v>
      </c>
      <c r="I1244">
        <v>66</v>
      </c>
      <c r="J1244">
        <v>0</v>
      </c>
      <c r="K1244">
        <v>0</v>
      </c>
      <c r="L1244" t="s">
        <v>117</v>
      </c>
      <c r="M1244" t="s">
        <v>118</v>
      </c>
      <c r="N1244">
        <v>39</v>
      </c>
      <c r="O1244">
        <v>1</v>
      </c>
      <c r="P1244">
        <v>2</v>
      </c>
      <c r="Q1244">
        <v>55</v>
      </c>
      <c r="R1244">
        <v>0</v>
      </c>
      <c r="S1244">
        <v>0</v>
      </c>
      <c r="T1244">
        <v>0</v>
      </c>
      <c r="U1244" t="s">
        <v>1384</v>
      </c>
      <c r="V1244">
        <v>0</v>
      </c>
      <c r="W1244">
        <v>0</v>
      </c>
      <c r="X1244">
        <v>0</v>
      </c>
      <c r="Y1244">
        <v>25</v>
      </c>
      <c r="Z1244" t="s">
        <v>111</v>
      </c>
      <c r="AA1244">
        <v>0</v>
      </c>
      <c r="AB1244" t="s">
        <v>111</v>
      </c>
      <c r="AC1244">
        <v>0</v>
      </c>
      <c r="AD1244" t="s">
        <v>416</v>
      </c>
      <c r="AE1244">
        <v>5</v>
      </c>
      <c r="AF1244">
        <v>2</v>
      </c>
      <c r="AG1244">
        <v>23</v>
      </c>
      <c r="AH1244" t="s">
        <v>111</v>
      </c>
      <c r="AI1244">
        <v>48</v>
      </c>
      <c r="AJ1244" t="s">
        <v>111</v>
      </c>
      <c r="AK1244" t="s">
        <v>111</v>
      </c>
      <c r="AL1244" t="s">
        <v>111</v>
      </c>
      <c r="AM1244">
        <v>0</v>
      </c>
      <c r="AN1244">
        <v>0</v>
      </c>
      <c r="AO1244">
        <v>0</v>
      </c>
      <c r="AP1244" t="s">
        <v>111</v>
      </c>
      <c r="AQ1244" t="s">
        <v>111</v>
      </c>
      <c r="AR1244" t="s">
        <v>111</v>
      </c>
      <c r="AS1244" t="s">
        <v>111</v>
      </c>
      <c r="AT1244" t="s">
        <v>111</v>
      </c>
      <c r="AU1244" t="s">
        <v>111</v>
      </c>
      <c r="AV1244" t="s">
        <v>111</v>
      </c>
      <c r="AW1244" t="s">
        <v>111</v>
      </c>
      <c r="AX1244" t="s">
        <v>111</v>
      </c>
      <c r="AY1244" t="s">
        <v>111</v>
      </c>
      <c r="AZ1244" t="s">
        <v>111</v>
      </c>
      <c r="BA1244" t="s">
        <v>111</v>
      </c>
      <c r="BB1244" t="s">
        <v>111</v>
      </c>
      <c r="BC1244" t="s">
        <v>111</v>
      </c>
      <c r="BD1244" t="s">
        <v>111</v>
      </c>
      <c r="BE1244" t="s">
        <v>111</v>
      </c>
      <c r="BF1244" t="s">
        <v>111</v>
      </c>
      <c r="BG1244" t="s">
        <v>111</v>
      </c>
      <c r="BH1244" t="s">
        <v>111</v>
      </c>
      <c r="BI1244" t="s">
        <v>111</v>
      </c>
      <c r="BJ1244" t="s">
        <v>111</v>
      </c>
      <c r="BK1244" t="s">
        <v>111</v>
      </c>
      <c r="BL1244" t="s">
        <v>111</v>
      </c>
      <c r="BM1244" t="s">
        <v>111</v>
      </c>
      <c r="BN1244" t="s">
        <v>111</v>
      </c>
      <c r="BO1244" t="s">
        <v>111</v>
      </c>
      <c r="BP1244" t="s">
        <v>111</v>
      </c>
      <c r="BQ1244" t="s">
        <v>111</v>
      </c>
      <c r="BR1244" t="s">
        <v>111</v>
      </c>
      <c r="BS1244" t="s">
        <v>111</v>
      </c>
      <c r="BT1244" t="s">
        <v>111</v>
      </c>
      <c r="BU1244" t="s">
        <v>111</v>
      </c>
      <c r="BV1244" t="s">
        <v>111</v>
      </c>
      <c r="BW1244" t="s">
        <v>111</v>
      </c>
      <c r="BX1244" t="s">
        <v>111</v>
      </c>
      <c r="BY1244" t="s">
        <v>111</v>
      </c>
      <c r="BZ1244" t="s">
        <v>111</v>
      </c>
      <c r="CA1244" t="s">
        <v>111</v>
      </c>
      <c r="CB1244" t="s">
        <v>111</v>
      </c>
      <c r="CC1244" t="s">
        <v>111</v>
      </c>
      <c r="CD1244" t="s">
        <v>111</v>
      </c>
      <c r="CE1244" t="s">
        <v>111</v>
      </c>
      <c r="CF1244" t="s">
        <v>111</v>
      </c>
      <c r="CG1244" t="s">
        <v>111</v>
      </c>
      <c r="CH1244" t="s">
        <v>111</v>
      </c>
      <c r="CI1244" t="s">
        <v>111</v>
      </c>
      <c r="CJ1244" t="s">
        <v>111</v>
      </c>
      <c r="CK1244" t="s">
        <v>111</v>
      </c>
      <c r="CL1244" t="s">
        <v>153</v>
      </c>
      <c r="CM1244" t="s">
        <v>198</v>
      </c>
      <c r="CN1244" t="s">
        <v>113</v>
      </c>
      <c r="CO1244" t="s">
        <v>111</v>
      </c>
      <c r="CP1244" t="s">
        <v>433</v>
      </c>
      <c r="CQ1244">
        <v>0</v>
      </c>
      <c r="CR1244">
        <v>5000</v>
      </c>
      <c r="CS1244">
        <v>200</v>
      </c>
      <c r="CT1244" s="1" t="s">
        <v>1792</v>
      </c>
      <c r="CU1244">
        <v>0</v>
      </c>
      <c r="CV1244" t="s">
        <v>111</v>
      </c>
      <c r="CW1244" t="s">
        <v>111</v>
      </c>
      <c r="CX1244" t="s">
        <v>111</v>
      </c>
      <c r="CY1244">
        <v>0</v>
      </c>
      <c r="CZ1244" t="s">
        <v>111</v>
      </c>
      <c r="DA1244" t="s">
        <v>111</v>
      </c>
      <c r="DB1244" t="s">
        <v>111</v>
      </c>
      <c r="DC1244" t="s">
        <v>111</v>
      </c>
    </row>
    <row r="1245" spans="1:107">
      <c r="A1245">
        <v>1433</v>
      </c>
      <c r="B1245" t="s">
        <v>107</v>
      </c>
      <c r="C1245" t="s">
        <v>827</v>
      </c>
      <c r="D1245" t="s">
        <v>3660</v>
      </c>
      <c r="E1245" t="s">
        <v>3661</v>
      </c>
      <c r="F1245" t="s">
        <v>1651</v>
      </c>
      <c r="G1245" t="s">
        <v>3657</v>
      </c>
      <c r="H1245">
        <v>1.5</v>
      </c>
      <c r="I1245">
        <v>61</v>
      </c>
      <c r="J1245">
        <v>0</v>
      </c>
      <c r="K1245">
        <v>0</v>
      </c>
      <c r="L1245" t="s">
        <v>117</v>
      </c>
      <c r="M1245" t="s">
        <v>118</v>
      </c>
      <c r="N1245">
        <v>0</v>
      </c>
      <c r="O1245">
        <v>1</v>
      </c>
      <c r="P1245" t="s">
        <v>111</v>
      </c>
      <c r="Q1245">
        <v>20</v>
      </c>
      <c r="R1245">
        <v>0</v>
      </c>
      <c r="S1245">
        <v>0</v>
      </c>
      <c r="T1245">
        <v>5</v>
      </c>
      <c r="U1245" t="e">
        <f>-IMPRESION DARMA</f>
        <v>#NAME?</v>
      </c>
      <c r="V1245">
        <v>0</v>
      </c>
      <c r="W1245">
        <v>0</v>
      </c>
      <c r="X1245">
        <v>0</v>
      </c>
      <c r="Y1245">
        <v>25</v>
      </c>
      <c r="Z1245" t="s">
        <v>111</v>
      </c>
      <c r="AA1245">
        <v>0</v>
      </c>
      <c r="AB1245" t="s">
        <v>111</v>
      </c>
      <c r="AC1245">
        <v>0</v>
      </c>
      <c r="AD1245" t="s">
        <v>416</v>
      </c>
      <c r="AE1245">
        <v>0</v>
      </c>
      <c r="AF1245">
        <v>0</v>
      </c>
      <c r="AG1245" t="s">
        <v>111</v>
      </c>
      <c r="AH1245" t="s">
        <v>113</v>
      </c>
      <c r="AI1245" t="s">
        <v>111</v>
      </c>
      <c r="AJ1245" t="s">
        <v>111</v>
      </c>
      <c r="AK1245" t="s">
        <v>111</v>
      </c>
      <c r="AL1245" t="s">
        <v>111</v>
      </c>
      <c r="AM1245">
        <v>0</v>
      </c>
      <c r="AN1245">
        <v>0</v>
      </c>
      <c r="AO1245">
        <v>0</v>
      </c>
      <c r="AP1245" t="s">
        <v>111</v>
      </c>
      <c r="AQ1245" t="s">
        <v>111</v>
      </c>
      <c r="AR1245" t="s">
        <v>111</v>
      </c>
      <c r="AS1245" t="s">
        <v>111</v>
      </c>
      <c r="AT1245" t="s">
        <v>111</v>
      </c>
      <c r="AU1245" t="s">
        <v>111</v>
      </c>
      <c r="AV1245" t="s">
        <v>111</v>
      </c>
      <c r="AW1245" t="s">
        <v>111</v>
      </c>
      <c r="AX1245" t="s">
        <v>111</v>
      </c>
      <c r="AY1245" t="s">
        <v>111</v>
      </c>
      <c r="AZ1245" t="s">
        <v>111</v>
      </c>
      <c r="BA1245" t="s">
        <v>111</v>
      </c>
      <c r="BB1245" t="s">
        <v>111</v>
      </c>
      <c r="BC1245" t="s">
        <v>111</v>
      </c>
      <c r="BD1245" t="s">
        <v>111</v>
      </c>
      <c r="BE1245" t="s">
        <v>111</v>
      </c>
      <c r="BF1245" t="s">
        <v>111</v>
      </c>
      <c r="BG1245" t="s">
        <v>111</v>
      </c>
      <c r="BH1245" t="s">
        <v>111</v>
      </c>
      <c r="BI1245" t="s">
        <v>111</v>
      </c>
      <c r="BJ1245" t="s">
        <v>111</v>
      </c>
      <c r="BK1245" t="s">
        <v>111</v>
      </c>
      <c r="BL1245" t="s">
        <v>111</v>
      </c>
      <c r="BM1245" t="s">
        <v>111</v>
      </c>
      <c r="BN1245" t="s">
        <v>111</v>
      </c>
      <c r="BO1245" t="s">
        <v>111</v>
      </c>
      <c r="BP1245" t="s">
        <v>111</v>
      </c>
      <c r="BQ1245" t="s">
        <v>111</v>
      </c>
      <c r="BR1245" t="s">
        <v>111</v>
      </c>
      <c r="BS1245" t="s">
        <v>111</v>
      </c>
      <c r="BT1245" t="s">
        <v>111</v>
      </c>
      <c r="BU1245" t="s">
        <v>111</v>
      </c>
      <c r="BV1245" t="s">
        <v>111</v>
      </c>
      <c r="BW1245" t="s">
        <v>111</v>
      </c>
      <c r="BX1245" t="s">
        <v>111</v>
      </c>
      <c r="BY1245" t="s">
        <v>111</v>
      </c>
      <c r="BZ1245" t="s">
        <v>111</v>
      </c>
      <c r="CA1245" t="s">
        <v>111</v>
      </c>
      <c r="CB1245" t="s">
        <v>111</v>
      </c>
      <c r="CC1245" t="s">
        <v>111</v>
      </c>
      <c r="CD1245" t="s">
        <v>111</v>
      </c>
      <c r="CE1245" t="s">
        <v>111</v>
      </c>
      <c r="CF1245" t="s">
        <v>111</v>
      </c>
      <c r="CG1245" t="s">
        <v>111</v>
      </c>
      <c r="CH1245" t="s">
        <v>111</v>
      </c>
      <c r="CI1245" t="s">
        <v>111</v>
      </c>
      <c r="CJ1245" t="s">
        <v>111</v>
      </c>
      <c r="CK1245" t="s">
        <v>111</v>
      </c>
      <c r="CL1245" t="s">
        <v>111</v>
      </c>
      <c r="CM1245" t="s">
        <v>135</v>
      </c>
      <c r="CN1245" t="s">
        <v>113</v>
      </c>
      <c r="CO1245" t="s">
        <v>111</v>
      </c>
      <c r="CP1245" t="s">
        <v>111</v>
      </c>
      <c r="CQ1245">
        <v>0</v>
      </c>
      <c r="CR1245">
        <v>10000</v>
      </c>
      <c r="CS1245">
        <v>250</v>
      </c>
      <c r="CT1245" t="e">
        <f>-AMACEN</f>
        <v>#NAME?</v>
      </c>
      <c r="CU1245">
        <v>0</v>
      </c>
      <c r="CV1245" t="s">
        <v>111</v>
      </c>
      <c r="CW1245" t="s">
        <v>111</v>
      </c>
      <c r="CX1245" t="s">
        <v>111</v>
      </c>
      <c r="CY1245">
        <v>0</v>
      </c>
      <c r="CZ1245" t="s">
        <v>111</v>
      </c>
      <c r="DA1245" t="s">
        <v>111</v>
      </c>
      <c r="DB1245" t="s">
        <v>111</v>
      </c>
      <c r="DC1245" t="s">
        <v>111</v>
      </c>
    </row>
    <row r="1246" spans="1:107">
      <c r="A1246">
        <v>842</v>
      </c>
      <c r="B1246" t="s">
        <v>107</v>
      </c>
      <c r="C1246" t="s">
        <v>827</v>
      </c>
      <c r="D1246" t="s">
        <v>3662</v>
      </c>
      <c r="E1246" t="s">
        <v>3663</v>
      </c>
      <c r="F1246" t="s">
        <v>1651</v>
      </c>
      <c r="G1246" t="s">
        <v>3657</v>
      </c>
      <c r="H1246">
        <v>1.5</v>
      </c>
      <c r="I1246">
        <v>60</v>
      </c>
      <c r="J1246">
        <v>0</v>
      </c>
      <c r="K1246">
        <v>0</v>
      </c>
      <c r="L1246" t="s">
        <v>117</v>
      </c>
      <c r="M1246" t="s">
        <v>118</v>
      </c>
      <c r="N1246">
        <v>40</v>
      </c>
      <c r="O1246">
        <v>1</v>
      </c>
      <c r="P1246" t="s">
        <v>138</v>
      </c>
      <c r="Q1246">
        <v>40</v>
      </c>
      <c r="R1246">
        <v>0</v>
      </c>
      <c r="S1246">
        <v>0</v>
      </c>
      <c r="T1246">
        <v>0</v>
      </c>
      <c r="U1246" t="s">
        <v>3664</v>
      </c>
      <c r="V1246">
        <v>0</v>
      </c>
      <c r="W1246">
        <v>0</v>
      </c>
      <c r="X1246">
        <v>0</v>
      </c>
      <c r="Y1246">
        <v>25</v>
      </c>
      <c r="Z1246" t="s">
        <v>111</v>
      </c>
      <c r="AA1246">
        <v>0</v>
      </c>
      <c r="AB1246" t="s">
        <v>111</v>
      </c>
      <c r="AC1246">
        <v>0</v>
      </c>
      <c r="AD1246" t="s">
        <v>416</v>
      </c>
      <c r="AE1246">
        <v>0</v>
      </c>
      <c r="AF1246">
        <v>0</v>
      </c>
      <c r="AG1246">
        <v>20</v>
      </c>
      <c r="AH1246" t="s">
        <v>113</v>
      </c>
      <c r="AI1246">
        <v>40</v>
      </c>
      <c r="AJ1246" t="s">
        <v>111</v>
      </c>
      <c r="AK1246" t="s">
        <v>111</v>
      </c>
      <c r="AL1246" t="s">
        <v>111</v>
      </c>
      <c r="AM1246">
        <v>0</v>
      </c>
      <c r="AN1246">
        <v>0</v>
      </c>
      <c r="AO1246">
        <v>0</v>
      </c>
      <c r="AP1246" t="s">
        <v>111</v>
      </c>
      <c r="AQ1246" t="s">
        <v>111</v>
      </c>
      <c r="AR1246" t="s">
        <v>111</v>
      </c>
      <c r="AS1246" t="s">
        <v>111</v>
      </c>
      <c r="AT1246" t="s">
        <v>111</v>
      </c>
      <c r="AU1246" t="s">
        <v>111</v>
      </c>
      <c r="AV1246" t="s">
        <v>111</v>
      </c>
      <c r="AW1246" t="s">
        <v>111</v>
      </c>
      <c r="AX1246" t="s">
        <v>111</v>
      </c>
      <c r="AY1246" t="s">
        <v>111</v>
      </c>
      <c r="AZ1246" t="s">
        <v>111</v>
      </c>
      <c r="BA1246" t="s">
        <v>111</v>
      </c>
      <c r="BB1246" t="s">
        <v>111</v>
      </c>
      <c r="BC1246" t="s">
        <v>111</v>
      </c>
      <c r="BD1246" t="s">
        <v>111</v>
      </c>
      <c r="BE1246" t="s">
        <v>111</v>
      </c>
      <c r="BF1246" t="s">
        <v>111</v>
      </c>
      <c r="BG1246" t="s">
        <v>111</v>
      </c>
      <c r="BH1246" t="s">
        <v>111</v>
      </c>
      <c r="BI1246" t="s">
        <v>111</v>
      </c>
      <c r="BJ1246" t="s">
        <v>111</v>
      </c>
      <c r="BK1246" t="s">
        <v>111</v>
      </c>
      <c r="BL1246" t="s">
        <v>111</v>
      </c>
      <c r="BM1246" t="s">
        <v>111</v>
      </c>
      <c r="BN1246" t="s">
        <v>111</v>
      </c>
      <c r="BO1246" t="s">
        <v>111</v>
      </c>
      <c r="BP1246" t="s">
        <v>111</v>
      </c>
      <c r="BQ1246" t="s">
        <v>111</v>
      </c>
      <c r="BR1246" t="s">
        <v>111</v>
      </c>
      <c r="BS1246" t="s">
        <v>111</v>
      </c>
      <c r="BT1246" t="s">
        <v>111</v>
      </c>
      <c r="BU1246" t="s">
        <v>111</v>
      </c>
      <c r="BV1246" t="s">
        <v>111</v>
      </c>
      <c r="BW1246" t="s">
        <v>111</v>
      </c>
      <c r="BX1246" t="s">
        <v>111</v>
      </c>
      <c r="BY1246" t="s">
        <v>111</v>
      </c>
      <c r="BZ1246" t="s">
        <v>111</v>
      </c>
      <c r="CA1246" t="s">
        <v>111</v>
      </c>
      <c r="CB1246" t="s">
        <v>111</v>
      </c>
      <c r="CC1246" t="s">
        <v>111</v>
      </c>
      <c r="CD1246" t="s">
        <v>111</v>
      </c>
      <c r="CE1246" t="s">
        <v>111</v>
      </c>
      <c r="CF1246" t="s">
        <v>111</v>
      </c>
      <c r="CG1246" t="s">
        <v>111</v>
      </c>
      <c r="CH1246" t="s">
        <v>111</v>
      </c>
      <c r="CI1246" t="s">
        <v>111</v>
      </c>
      <c r="CJ1246" t="s">
        <v>111</v>
      </c>
      <c r="CK1246" t="s">
        <v>111</v>
      </c>
      <c r="CL1246" t="s">
        <v>153</v>
      </c>
      <c r="CM1246" t="s">
        <v>198</v>
      </c>
      <c r="CN1246" t="s">
        <v>113</v>
      </c>
      <c r="CO1246" t="s">
        <v>111</v>
      </c>
      <c r="CP1246" t="s">
        <v>1166</v>
      </c>
      <c r="CQ1246">
        <v>90</v>
      </c>
      <c r="CR1246">
        <v>6000</v>
      </c>
      <c r="CS1246">
        <v>200</v>
      </c>
      <c r="CT1246" s="1" t="s">
        <v>3236</v>
      </c>
      <c r="CU1246">
        <v>0</v>
      </c>
      <c r="CV1246" t="s">
        <v>111</v>
      </c>
      <c r="CW1246" t="s">
        <v>111</v>
      </c>
      <c r="CX1246" t="s">
        <v>111</v>
      </c>
      <c r="CY1246">
        <v>0</v>
      </c>
      <c r="CZ1246" t="s">
        <v>111</v>
      </c>
      <c r="DA1246" t="s">
        <v>111</v>
      </c>
      <c r="DB1246" t="s">
        <v>111</v>
      </c>
      <c r="DC1246" t="s">
        <v>111</v>
      </c>
    </row>
    <row r="1247" spans="1:107">
      <c r="A1247">
        <v>1855</v>
      </c>
      <c r="B1247" t="s">
        <v>107</v>
      </c>
      <c r="C1247" t="s">
        <v>827</v>
      </c>
      <c r="D1247" t="s">
        <v>3665</v>
      </c>
      <c r="E1247" t="s">
        <v>3666</v>
      </c>
      <c r="F1247" t="s">
        <v>1651</v>
      </c>
      <c r="G1247" t="s">
        <v>3657</v>
      </c>
      <c r="H1247">
        <v>1.5</v>
      </c>
      <c r="I1247">
        <v>38</v>
      </c>
      <c r="J1247">
        <v>0</v>
      </c>
      <c r="K1247">
        <v>0</v>
      </c>
      <c r="L1247" t="s">
        <v>112</v>
      </c>
      <c r="M1247" t="s">
        <v>118</v>
      </c>
      <c r="N1247">
        <v>40</v>
      </c>
      <c r="O1247">
        <v>2</v>
      </c>
      <c r="P1247" t="s">
        <v>111</v>
      </c>
      <c r="Q1247">
        <v>40</v>
      </c>
      <c r="R1247">
        <v>0</v>
      </c>
      <c r="S1247">
        <v>0</v>
      </c>
      <c r="T1247">
        <v>5</v>
      </c>
      <c r="U1247" t="e">
        <f>-IMPRESION CORREA</f>
        <v>#NAME?</v>
      </c>
      <c r="V1247">
        <v>0</v>
      </c>
      <c r="W1247">
        <v>0</v>
      </c>
      <c r="X1247">
        <v>0</v>
      </c>
      <c r="Y1247">
        <v>25</v>
      </c>
      <c r="Z1247" t="s">
        <v>111</v>
      </c>
      <c r="AA1247">
        <v>0</v>
      </c>
      <c r="AB1247" t="s">
        <v>111</v>
      </c>
      <c r="AC1247">
        <v>0</v>
      </c>
      <c r="AD1247" t="s">
        <v>427</v>
      </c>
      <c r="AE1247">
        <v>0</v>
      </c>
      <c r="AF1247">
        <v>0</v>
      </c>
      <c r="AG1247" t="s">
        <v>111</v>
      </c>
      <c r="AH1247" t="s">
        <v>113</v>
      </c>
      <c r="AI1247" t="s">
        <v>111</v>
      </c>
      <c r="AJ1247" t="s">
        <v>111</v>
      </c>
      <c r="AK1247" t="s">
        <v>111</v>
      </c>
      <c r="AL1247" t="s">
        <v>111</v>
      </c>
      <c r="AM1247">
        <v>0</v>
      </c>
      <c r="AN1247">
        <v>0</v>
      </c>
      <c r="AO1247">
        <v>0</v>
      </c>
      <c r="AP1247" t="s">
        <v>111</v>
      </c>
      <c r="AQ1247" t="s">
        <v>111</v>
      </c>
      <c r="AR1247" t="s">
        <v>111</v>
      </c>
      <c r="AS1247" t="s">
        <v>111</v>
      </c>
      <c r="AT1247" t="s">
        <v>111</v>
      </c>
      <c r="AU1247" t="s">
        <v>111</v>
      </c>
      <c r="AV1247" t="s">
        <v>111</v>
      </c>
      <c r="AW1247" t="s">
        <v>111</v>
      </c>
      <c r="AX1247" t="s">
        <v>111</v>
      </c>
      <c r="AY1247" t="s">
        <v>111</v>
      </c>
      <c r="AZ1247" t="s">
        <v>111</v>
      </c>
      <c r="BA1247" t="s">
        <v>111</v>
      </c>
      <c r="BB1247" t="s">
        <v>111</v>
      </c>
      <c r="BC1247" t="s">
        <v>111</v>
      </c>
      <c r="BD1247" t="s">
        <v>111</v>
      </c>
      <c r="BE1247" t="s">
        <v>111</v>
      </c>
      <c r="BF1247" t="s">
        <v>111</v>
      </c>
      <c r="BG1247" t="s">
        <v>111</v>
      </c>
      <c r="BH1247" t="s">
        <v>111</v>
      </c>
      <c r="BI1247" t="s">
        <v>111</v>
      </c>
      <c r="BJ1247" t="s">
        <v>111</v>
      </c>
      <c r="BK1247" t="s">
        <v>111</v>
      </c>
      <c r="BL1247" t="s">
        <v>111</v>
      </c>
      <c r="BM1247" t="s">
        <v>111</v>
      </c>
      <c r="BN1247" t="s">
        <v>111</v>
      </c>
      <c r="BO1247" t="s">
        <v>111</v>
      </c>
      <c r="BP1247" t="s">
        <v>111</v>
      </c>
      <c r="BQ1247" t="s">
        <v>111</v>
      </c>
      <c r="BR1247" t="s">
        <v>111</v>
      </c>
      <c r="BS1247" t="s">
        <v>111</v>
      </c>
      <c r="BT1247" t="s">
        <v>111</v>
      </c>
      <c r="BU1247" t="s">
        <v>111</v>
      </c>
      <c r="BV1247" t="s">
        <v>111</v>
      </c>
      <c r="BW1247" t="s">
        <v>111</v>
      </c>
      <c r="BX1247" t="s">
        <v>111</v>
      </c>
      <c r="BY1247" t="s">
        <v>111</v>
      </c>
      <c r="BZ1247" t="s">
        <v>111</v>
      </c>
      <c r="CA1247" t="s">
        <v>111</v>
      </c>
      <c r="CB1247" t="s">
        <v>111</v>
      </c>
      <c r="CC1247" t="s">
        <v>111</v>
      </c>
      <c r="CD1247" t="s">
        <v>111</v>
      </c>
      <c r="CE1247" t="s">
        <v>111</v>
      </c>
      <c r="CF1247" t="s">
        <v>111</v>
      </c>
      <c r="CG1247" t="s">
        <v>111</v>
      </c>
      <c r="CH1247" t="s">
        <v>111</v>
      </c>
      <c r="CI1247" t="s">
        <v>111</v>
      </c>
      <c r="CJ1247" t="s">
        <v>111</v>
      </c>
      <c r="CK1247" t="s">
        <v>111</v>
      </c>
      <c r="CL1247" t="s">
        <v>111</v>
      </c>
      <c r="CM1247" t="s">
        <v>135</v>
      </c>
      <c r="CN1247" t="s">
        <v>113</v>
      </c>
      <c r="CO1247" t="s">
        <v>111</v>
      </c>
      <c r="CP1247" t="s">
        <v>111</v>
      </c>
      <c r="CQ1247">
        <v>78</v>
      </c>
      <c r="CR1247">
        <v>3000</v>
      </c>
      <c r="CS1247">
        <v>200</v>
      </c>
      <c r="CT1247" t="e">
        <f>-ALMACEN</f>
        <v>#NAME?</v>
      </c>
      <c r="CU1247">
        <v>0</v>
      </c>
      <c r="CV1247" t="s">
        <v>111</v>
      </c>
      <c r="CX1247" t="s">
        <v>111</v>
      </c>
      <c r="CY1247">
        <v>0</v>
      </c>
      <c r="CZ1247" t="s">
        <v>111</v>
      </c>
      <c r="DA1247" t="s">
        <v>111</v>
      </c>
      <c r="DB1247" t="s">
        <v>111</v>
      </c>
      <c r="DC1247" t="s">
        <v>111</v>
      </c>
    </row>
    <row r="1248" spans="1:107">
      <c r="A1248">
        <v>1215</v>
      </c>
      <c r="B1248" t="s">
        <v>107</v>
      </c>
      <c r="C1248" t="s">
        <v>1338</v>
      </c>
      <c r="D1248" t="s">
        <v>3655</v>
      </c>
      <c r="E1248" t="s">
        <v>3656</v>
      </c>
      <c r="F1248" t="s">
        <v>1651</v>
      </c>
      <c r="G1248" t="s">
        <v>3657</v>
      </c>
      <c r="H1248">
        <v>1.4</v>
      </c>
      <c r="I1248">
        <v>70</v>
      </c>
      <c r="J1248">
        <v>0</v>
      </c>
      <c r="K1248">
        <v>0</v>
      </c>
      <c r="L1248" t="s">
        <v>117</v>
      </c>
      <c r="M1248" t="s">
        <v>118</v>
      </c>
      <c r="N1248">
        <v>40</v>
      </c>
      <c r="O1248">
        <v>1</v>
      </c>
      <c r="P1248" t="s">
        <v>111</v>
      </c>
      <c r="Q1248">
        <v>30</v>
      </c>
      <c r="R1248">
        <v>0</v>
      </c>
      <c r="S1248">
        <v>0</v>
      </c>
      <c r="T1248">
        <v>5</v>
      </c>
      <c r="U1248" t="e">
        <f>-DESTINO ALMACEN</f>
        <v>#NAME?</v>
      </c>
      <c r="V1248">
        <v>0</v>
      </c>
      <c r="W1248">
        <v>0</v>
      </c>
      <c r="X1248">
        <v>0</v>
      </c>
      <c r="Y1248">
        <v>25</v>
      </c>
      <c r="Z1248" t="s">
        <v>111</v>
      </c>
      <c r="AA1248">
        <v>0</v>
      </c>
      <c r="AB1248" t="s">
        <v>111</v>
      </c>
      <c r="AC1248">
        <v>0</v>
      </c>
      <c r="AD1248" t="s">
        <v>416</v>
      </c>
      <c r="AE1248">
        <v>0</v>
      </c>
      <c r="AF1248">
        <v>1</v>
      </c>
      <c r="AG1248" t="s">
        <v>111</v>
      </c>
      <c r="AH1248" t="s">
        <v>113</v>
      </c>
      <c r="AI1248" t="s">
        <v>111</v>
      </c>
      <c r="AJ1248" t="s">
        <v>111</v>
      </c>
      <c r="AK1248" t="s">
        <v>111</v>
      </c>
      <c r="AL1248" t="s">
        <v>111</v>
      </c>
      <c r="AM1248">
        <v>0</v>
      </c>
      <c r="AN1248">
        <v>0</v>
      </c>
      <c r="AO1248">
        <v>0</v>
      </c>
      <c r="AP1248" t="s">
        <v>111</v>
      </c>
      <c r="AQ1248" t="s">
        <v>111</v>
      </c>
      <c r="AR1248" t="s">
        <v>111</v>
      </c>
      <c r="AS1248" t="s">
        <v>111</v>
      </c>
      <c r="AT1248" t="s">
        <v>111</v>
      </c>
      <c r="AU1248" t="s">
        <v>111</v>
      </c>
      <c r="AV1248" t="s">
        <v>111</v>
      </c>
      <c r="AW1248" t="s">
        <v>111</v>
      </c>
      <c r="AX1248" t="s">
        <v>111</v>
      </c>
      <c r="AY1248" t="s">
        <v>111</v>
      </c>
      <c r="AZ1248" t="s">
        <v>111</v>
      </c>
      <c r="BA1248" t="s">
        <v>111</v>
      </c>
      <c r="BB1248" t="s">
        <v>111</v>
      </c>
      <c r="BC1248" t="s">
        <v>111</v>
      </c>
      <c r="BD1248" t="s">
        <v>111</v>
      </c>
      <c r="BE1248" t="s">
        <v>111</v>
      </c>
      <c r="BF1248" t="s">
        <v>111</v>
      </c>
      <c r="BG1248" t="s">
        <v>111</v>
      </c>
      <c r="BH1248" t="s">
        <v>111</v>
      </c>
      <c r="BI1248" t="s">
        <v>111</v>
      </c>
      <c r="BJ1248" t="s">
        <v>111</v>
      </c>
      <c r="BK1248" t="s">
        <v>111</v>
      </c>
      <c r="BL1248" t="s">
        <v>111</v>
      </c>
      <c r="BM1248" t="s">
        <v>111</v>
      </c>
      <c r="BN1248" t="s">
        <v>111</v>
      </c>
      <c r="BO1248" t="s">
        <v>111</v>
      </c>
      <c r="BP1248" t="s">
        <v>111</v>
      </c>
      <c r="BQ1248" t="s">
        <v>111</v>
      </c>
      <c r="BR1248" t="s">
        <v>111</v>
      </c>
      <c r="BS1248" t="s">
        <v>111</v>
      </c>
      <c r="BT1248" t="s">
        <v>111</v>
      </c>
      <c r="BU1248" t="s">
        <v>111</v>
      </c>
      <c r="BV1248" t="s">
        <v>111</v>
      </c>
      <c r="BW1248" t="s">
        <v>111</v>
      </c>
      <c r="BX1248" t="s">
        <v>111</v>
      </c>
      <c r="BY1248" t="s">
        <v>111</v>
      </c>
      <c r="BZ1248" t="s">
        <v>111</v>
      </c>
      <c r="CA1248" t="s">
        <v>111</v>
      </c>
      <c r="CB1248" t="s">
        <v>111</v>
      </c>
      <c r="CC1248" t="s">
        <v>111</v>
      </c>
      <c r="CD1248" t="s">
        <v>111</v>
      </c>
      <c r="CE1248" t="s">
        <v>111</v>
      </c>
      <c r="CF1248" t="s">
        <v>111</v>
      </c>
      <c r="CG1248" t="s">
        <v>111</v>
      </c>
      <c r="CH1248" t="s">
        <v>111</v>
      </c>
      <c r="CI1248" t="s">
        <v>111</v>
      </c>
      <c r="CJ1248" t="s">
        <v>111</v>
      </c>
      <c r="CK1248" t="s">
        <v>111</v>
      </c>
      <c r="CL1248" t="e">
        <f>-DESTINO SELLADO</f>
        <v>#NAME?</v>
      </c>
      <c r="CM1248" t="s">
        <v>135</v>
      </c>
      <c r="CN1248" t="s">
        <v>113</v>
      </c>
      <c r="CO1248" t="s">
        <v>111</v>
      </c>
      <c r="CP1248" t="s">
        <v>563</v>
      </c>
      <c r="CQ1248">
        <v>80</v>
      </c>
      <c r="CR1248">
        <v>5000</v>
      </c>
      <c r="CS1248">
        <v>200</v>
      </c>
      <c r="CT1248" t="e">
        <f>-DESTINO ALMACEN</f>
        <v>#NAME?</v>
      </c>
      <c r="CU1248">
        <v>0</v>
      </c>
      <c r="CV1248" t="s">
        <v>111</v>
      </c>
      <c r="CW1248" t="s">
        <v>111</v>
      </c>
      <c r="CX1248" t="s">
        <v>111</v>
      </c>
      <c r="CY1248">
        <v>0</v>
      </c>
      <c r="CZ1248" t="s">
        <v>111</v>
      </c>
      <c r="DA1248" t="s">
        <v>111</v>
      </c>
      <c r="DB1248" t="s">
        <v>111</v>
      </c>
      <c r="DC1248" t="s">
        <v>111</v>
      </c>
    </row>
    <row r="1249" spans="1:107">
      <c r="A1249">
        <v>1646</v>
      </c>
      <c r="B1249" t="s">
        <v>107</v>
      </c>
      <c r="C1249" t="s">
        <v>2543</v>
      </c>
      <c r="D1249" t="s">
        <v>3667</v>
      </c>
      <c r="E1249" t="s">
        <v>3668</v>
      </c>
      <c r="F1249" t="s">
        <v>1651</v>
      </c>
      <c r="G1249" t="s">
        <v>3657</v>
      </c>
      <c r="H1249">
        <v>1.5</v>
      </c>
      <c r="I1249">
        <v>80</v>
      </c>
      <c r="J1249">
        <v>0</v>
      </c>
      <c r="K1249">
        <v>0</v>
      </c>
      <c r="L1249" t="s">
        <v>117</v>
      </c>
      <c r="M1249" t="s">
        <v>118</v>
      </c>
      <c r="N1249">
        <v>40</v>
      </c>
      <c r="O1249">
        <v>1</v>
      </c>
      <c r="P1249" t="s">
        <v>111</v>
      </c>
      <c r="Q1249">
        <v>40</v>
      </c>
      <c r="R1249">
        <v>0</v>
      </c>
      <c r="S1249">
        <v>0</v>
      </c>
      <c r="T1249">
        <v>5</v>
      </c>
      <c r="U1249" s="1" t="s">
        <v>662</v>
      </c>
      <c r="V1249">
        <v>0</v>
      </c>
      <c r="W1249">
        <v>0</v>
      </c>
      <c r="X1249">
        <v>0</v>
      </c>
      <c r="Y1249">
        <v>25</v>
      </c>
      <c r="Z1249" t="s">
        <v>111</v>
      </c>
      <c r="AA1249">
        <v>0</v>
      </c>
      <c r="AB1249" t="s">
        <v>111</v>
      </c>
      <c r="AC1249">
        <v>0</v>
      </c>
      <c r="AD1249" t="s">
        <v>416</v>
      </c>
      <c r="AE1249">
        <v>0</v>
      </c>
      <c r="AF1249">
        <v>0</v>
      </c>
      <c r="AG1249" t="s">
        <v>111</v>
      </c>
      <c r="AH1249" t="s">
        <v>113</v>
      </c>
      <c r="AI1249" t="s">
        <v>111</v>
      </c>
      <c r="AJ1249" t="s">
        <v>111</v>
      </c>
      <c r="AK1249" t="s">
        <v>111</v>
      </c>
      <c r="AL1249" t="s">
        <v>111</v>
      </c>
      <c r="AM1249">
        <v>0</v>
      </c>
      <c r="AN1249">
        <v>0</v>
      </c>
      <c r="AO1249">
        <v>0</v>
      </c>
      <c r="AP1249" t="s">
        <v>111</v>
      </c>
      <c r="AQ1249" t="s">
        <v>111</v>
      </c>
      <c r="AR1249" t="s">
        <v>111</v>
      </c>
      <c r="AS1249" t="s">
        <v>111</v>
      </c>
      <c r="AT1249" t="s">
        <v>111</v>
      </c>
      <c r="AU1249" t="s">
        <v>111</v>
      </c>
      <c r="AV1249" t="s">
        <v>111</v>
      </c>
      <c r="AW1249" t="s">
        <v>111</v>
      </c>
      <c r="AX1249" t="s">
        <v>111</v>
      </c>
      <c r="AY1249" t="s">
        <v>111</v>
      </c>
      <c r="AZ1249" t="s">
        <v>111</v>
      </c>
      <c r="BA1249" t="s">
        <v>111</v>
      </c>
      <c r="BB1249" t="s">
        <v>111</v>
      </c>
      <c r="BC1249" t="s">
        <v>111</v>
      </c>
      <c r="BD1249" t="s">
        <v>111</v>
      </c>
      <c r="BE1249" t="s">
        <v>111</v>
      </c>
      <c r="BF1249" t="s">
        <v>111</v>
      </c>
      <c r="BG1249" t="s">
        <v>111</v>
      </c>
      <c r="BH1249" t="s">
        <v>111</v>
      </c>
      <c r="BI1249" t="s">
        <v>111</v>
      </c>
      <c r="BJ1249" t="s">
        <v>111</v>
      </c>
      <c r="BK1249" t="s">
        <v>111</v>
      </c>
      <c r="BL1249" t="s">
        <v>111</v>
      </c>
      <c r="BM1249" t="s">
        <v>111</v>
      </c>
      <c r="BN1249" t="s">
        <v>111</v>
      </c>
      <c r="BO1249" t="s">
        <v>111</v>
      </c>
      <c r="BP1249" t="s">
        <v>111</v>
      </c>
      <c r="BQ1249" t="s">
        <v>111</v>
      </c>
      <c r="BR1249" t="s">
        <v>111</v>
      </c>
      <c r="BS1249" t="s">
        <v>111</v>
      </c>
      <c r="BT1249" t="s">
        <v>111</v>
      </c>
      <c r="BU1249" t="s">
        <v>111</v>
      </c>
      <c r="BV1249" t="s">
        <v>111</v>
      </c>
      <c r="BW1249" t="s">
        <v>111</v>
      </c>
      <c r="BX1249" t="s">
        <v>111</v>
      </c>
      <c r="BY1249" t="s">
        <v>111</v>
      </c>
      <c r="BZ1249" t="s">
        <v>111</v>
      </c>
      <c r="CA1249" t="s">
        <v>111</v>
      </c>
      <c r="CB1249" t="s">
        <v>111</v>
      </c>
      <c r="CC1249" t="s">
        <v>111</v>
      </c>
      <c r="CD1249" t="s">
        <v>111</v>
      </c>
      <c r="CE1249" t="s">
        <v>111</v>
      </c>
      <c r="CF1249" t="s">
        <v>111</v>
      </c>
      <c r="CG1249" t="s">
        <v>111</v>
      </c>
      <c r="CH1249" t="s">
        <v>111</v>
      </c>
      <c r="CI1249" t="s">
        <v>111</v>
      </c>
      <c r="CJ1249" t="s">
        <v>111</v>
      </c>
      <c r="CK1249" t="s">
        <v>111</v>
      </c>
      <c r="CL1249" t="s">
        <v>111</v>
      </c>
      <c r="CM1249" t="s">
        <v>135</v>
      </c>
      <c r="CN1249" t="s">
        <v>113</v>
      </c>
      <c r="CO1249" t="s">
        <v>111</v>
      </c>
      <c r="CP1249" t="s">
        <v>111</v>
      </c>
      <c r="CQ1249">
        <v>0</v>
      </c>
      <c r="CR1249">
        <v>4000</v>
      </c>
      <c r="CS1249">
        <v>250</v>
      </c>
      <c r="CT1249" t="e">
        <f>-ALMACEN</f>
        <v>#NAME?</v>
      </c>
      <c r="CU1249">
        <v>0</v>
      </c>
      <c r="CV1249" t="s">
        <v>111</v>
      </c>
      <c r="CX1249" t="s">
        <v>111</v>
      </c>
      <c r="CY1249">
        <v>0</v>
      </c>
      <c r="CZ1249" t="s">
        <v>111</v>
      </c>
      <c r="DA1249" t="s">
        <v>111</v>
      </c>
      <c r="DB1249" t="s">
        <v>111</v>
      </c>
      <c r="DC1249" t="s">
        <v>111</v>
      </c>
    </row>
    <row r="1250" spans="1:107">
      <c r="A1250">
        <v>1739</v>
      </c>
      <c r="B1250" t="s">
        <v>107</v>
      </c>
      <c r="C1250" t="s">
        <v>827</v>
      </c>
      <c r="D1250" t="s">
        <v>3660</v>
      </c>
      <c r="E1250" t="s">
        <v>3669</v>
      </c>
      <c r="F1250" t="s">
        <v>1651</v>
      </c>
      <c r="G1250" t="s">
        <v>3657</v>
      </c>
      <c r="H1250">
        <v>1.5</v>
      </c>
      <c r="I1250">
        <v>60</v>
      </c>
      <c r="J1250">
        <v>0</v>
      </c>
      <c r="K1250">
        <v>0</v>
      </c>
      <c r="L1250" t="s">
        <v>117</v>
      </c>
      <c r="M1250" t="s">
        <v>118</v>
      </c>
      <c r="N1250">
        <v>39</v>
      </c>
      <c r="O1250">
        <v>1</v>
      </c>
      <c r="P1250" t="s">
        <v>111</v>
      </c>
      <c r="Q1250">
        <v>46.3</v>
      </c>
      <c r="R1250">
        <v>0</v>
      </c>
      <c r="S1250">
        <v>0</v>
      </c>
      <c r="T1250">
        <v>5</v>
      </c>
      <c r="U1250" t="e">
        <f>-IMPRESION DARMA</f>
        <v>#NAME?</v>
      </c>
      <c r="V1250">
        <v>0</v>
      </c>
      <c r="W1250">
        <v>0</v>
      </c>
      <c r="X1250">
        <v>0</v>
      </c>
      <c r="Y1250">
        <v>25</v>
      </c>
      <c r="Z1250" t="s">
        <v>111</v>
      </c>
      <c r="AA1250">
        <v>0</v>
      </c>
      <c r="AB1250" t="s">
        <v>111</v>
      </c>
      <c r="AC1250">
        <v>0</v>
      </c>
      <c r="AD1250" t="s">
        <v>416</v>
      </c>
      <c r="AE1250">
        <v>0</v>
      </c>
      <c r="AF1250">
        <v>0</v>
      </c>
      <c r="AG1250" t="s">
        <v>111</v>
      </c>
      <c r="AH1250" t="s">
        <v>113</v>
      </c>
      <c r="AI1250" t="s">
        <v>111</v>
      </c>
      <c r="AJ1250" t="s">
        <v>111</v>
      </c>
      <c r="AK1250" t="s">
        <v>111</v>
      </c>
      <c r="AL1250" t="s">
        <v>111</v>
      </c>
      <c r="AM1250">
        <v>0</v>
      </c>
      <c r="AN1250">
        <v>0</v>
      </c>
      <c r="AO1250">
        <v>0</v>
      </c>
      <c r="AP1250" t="s">
        <v>111</v>
      </c>
      <c r="AQ1250" t="s">
        <v>111</v>
      </c>
      <c r="AR1250" t="s">
        <v>111</v>
      </c>
      <c r="AS1250" t="s">
        <v>111</v>
      </c>
      <c r="AT1250" t="s">
        <v>111</v>
      </c>
      <c r="AU1250" t="s">
        <v>111</v>
      </c>
      <c r="AV1250" t="s">
        <v>111</v>
      </c>
      <c r="AW1250" t="s">
        <v>111</v>
      </c>
      <c r="AX1250" t="s">
        <v>111</v>
      </c>
      <c r="AY1250" t="s">
        <v>111</v>
      </c>
      <c r="AZ1250" t="s">
        <v>111</v>
      </c>
      <c r="BA1250" t="s">
        <v>111</v>
      </c>
      <c r="BB1250" t="s">
        <v>111</v>
      </c>
      <c r="BC1250" t="s">
        <v>111</v>
      </c>
      <c r="BD1250" t="s">
        <v>111</v>
      </c>
      <c r="BE1250" t="s">
        <v>111</v>
      </c>
      <c r="BF1250" t="s">
        <v>111</v>
      </c>
      <c r="BG1250" t="s">
        <v>111</v>
      </c>
      <c r="BH1250" t="s">
        <v>111</v>
      </c>
      <c r="BI1250" t="s">
        <v>111</v>
      </c>
      <c r="BJ1250" t="s">
        <v>111</v>
      </c>
      <c r="BK1250" t="s">
        <v>111</v>
      </c>
      <c r="BL1250" t="s">
        <v>111</v>
      </c>
      <c r="BM1250" t="s">
        <v>111</v>
      </c>
      <c r="BN1250" t="s">
        <v>111</v>
      </c>
      <c r="BO1250" t="s">
        <v>111</v>
      </c>
      <c r="BP1250" t="s">
        <v>111</v>
      </c>
      <c r="BQ1250" t="s">
        <v>111</v>
      </c>
      <c r="BR1250" t="s">
        <v>111</v>
      </c>
      <c r="BS1250" t="s">
        <v>111</v>
      </c>
      <c r="BT1250" t="s">
        <v>111</v>
      </c>
      <c r="BU1250" t="s">
        <v>111</v>
      </c>
      <c r="BV1250" t="s">
        <v>111</v>
      </c>
      <c r="BW1250" t="s">
        <v>111</v>
      </c>
      <c r="BX1250" t="s">
        <v>111</v>
      </c>
      <c r="BY1250" t="s">
        <v>111</v>
      </c>
      <c r="BZ1250" t="s">
        <v>111</v>
      </c>
      <c r="CA1250" t="s">
        <v>111</v>
      </c>
      <c r="CB1250" t="s">
        <v>111</v>
      </c>
      <c r="CC1250" t="s">
        <v>111</v>
      </c>
      <c r="CD1250" t="s">
        <v>111</v>
      </c>
      <c r="CE1250" t="s">
        <v>111</v>
      </c>
      <c r="CF1250" t="s">
        <v>111</v>
      </c>
      <c r="CG1250" t="s">
        <v>111</v>
      </c>
      <c r="CH1250" t="s">
        <v>111</v>
      </c>
      <c r="CI1250" t="s">
        <v>111</v>
      </c>
      <c r="CJ1250" t="s">
        <v>111</v>
      </c>
      <c r="CK1250" t="s">
        <v>111</v>
      </c>
      <c r="CL1250" t="s">
        <v>111</v>
      </c>
      <c r="CM1250" t="s">
        <v>438</v>
      </c>
      <c r="CN1250" t="s">
        <v>113</v>
      </c>
      <c r="CO1250" t="s">
        <v>111</v>
      </c>
      <c r="CP1250" t="s">
        <v>111</v>
      </c>
      <c r="CQ1250">
        <v>0</v>
      </c>
      <c r="CR1250">
        <v>5000</v>
      </c>
      <c r="CS1250">
        <v>200</v>
      </c>
      <c r="CT1250" t="e">
        <f>-ALMACEN</f>
        <v>#NAME?</v>
      </c>
      <c r="CU1250">
        <v>0</v>
      </c>
      <c r="CV1250" t="s">
        <v>111</v>
      </c>
      <c r="CX1250" t="s">
        <v>111</v>
      </c>
      <c r="CY1250">
        <v>0</v>
      </c>
      <c r="CZ1250" t="s">
        <v>111</v>
      </c>
      <c r="DA1250" t="s">
        <v>111</v>
      </c>
      <c r="DB1250" t="s">
        <v>111</v>
      </c>
      <c r="DC1250" t="s">
        <v>111</v>
      </c>
    </row>
    <row r="1251" spans="1:107">
      <c r="A1251">
        <v>582</v>
      </c>
      <c r="B1251" t="s">
        <v>107</v>
      </c>
      <c r="C1251" t="s">
        <v>827</v>
      </c>
      <c r="D1251" t="s">
        <v>3658</v>
      </c>
      <c r="E1251" t="s">
        <v>3670</v>
      </c>
      <c r="F1251" t="s">
        <v>1651</v>
      </c>
      <c r="G1251" t="s">
        <v>3657</v>
      </c>
      <c r="H1251">
        <v>1.45</v>
      </c>
      <c r="I1251">
        <v>66</v>
      </c>
      <c r="J1251">
        <v>0</v>
      </c>
      <c r="K1251">
        <v>0</v>
      </c>
      <c r="L1251" t="s">
        <v>117</v>
      </c>
      <c r="M1251" t="s">
        <v>118</v>
      </c>
      <c r="N1251">
        <v>39</v>
      </c>
      <c r="O1251">
        <v>1</v>
      </c>
      <c r="P1251" t="s">
        <v>138</v>
      </c>
      <c r="Q1251">
        <v>55</v>
      </c>
      <c r="R1251">
        <v>0</v>
      </c>
      <c r="S1251">
        <v>0</v>
      </c>
      <c r="T1251">
        <v>0</v>
      </c>
      <c r="U1251" t="s">
        <v>3671</v>
      </c>
      <c r="V1251">
        <v>0</v>
      </c>
      <c r="W1251">
        <v>0</v>
      </c>
      <c r="X1251">
        <v>0</v>
      </c>
      <c r="Y1251">
        <v>25</v>
      </c>
      <c r="Z1251" t="s">
        <v>111</v>
      </c>
      <c r="AA1251">
        <v>0</v>
      </c>
      <c r="AB1251" t="s">
        <v>111</v>
      </c>
      <c r="AC1251">
        <v>0</v>
      </c>
      <c r="AD1251" t="s">
        <v>416</v>
      </c>
      <c r="AE1251">
        <v>5</v>
      </c>
      <c r="AF1251">
        <v>2</v>
      </c>
      <c r="AG1251">
        <v>23</v>
      </c>
      <c r="AH1251" t="s">
        <v>111</v>
      </c>
      <c r="AI1251">
        <v>48</v>
      </c>
      <c r="AJ1251" t="s">
        <v>111</v>
      </c>
      <c r="AK1251" t="s">
        <v>111</v>
      </c>
      <c r="AL1251" t="s">
        <v>111</v>
      </c>
      <c r="AM1251">
        <v>0</v>
      </c>
      <c r="AN1251">
        <v>0</v>
      </c>
      <c r="AO1251">
        <v>0</v>
      </c>
      <c r="AP1251" t="s">
        <v>111</v>
      </c>
      <c r="AQ1251" t="s">
        <v>111</v>
      </c>
      <c r="AR1251" t="s">
        <v>111</v>
      </c>
      <c r="AS1251" t="s">
        <v>111</v>
      </c>
      <c r="AT1251" t="s">
        <v>111</v>
      </c>
      <c r="AU1251" t="s">
        <v>111</v>
      </c>
      <c r="AV1251" t="s">
        <v>111</v>
      </c>
      <c r="AW1251" t="s">
        <v>111</v>
      </c>
      <c r="AX1251" t="s">
        <v>111</v>
      </c>
      <c r="AY1251" t="s">
        <v>111</v>
      </c>
      <c r="AZ1251" t="s">
        <v>111</v>
      </c>
      <c r="BA1251" t="s">
        <v>111</v>
      </c>
      <c r="BB1251" t="s">
        <v>111</v>
      </c>
      <c r="BC1251" t="s">
        <v>111</v>
      </c>
      <c r="BD1251" t="s">
        <v>111</v>
      </c>
      <c r="BE1251" t="s">
        <v>111</v>
      </c>
      <c r="BF1251" t="s">
        <v>111</v>
      </c>
      <c r="BG1251" t="s">
        <v>111</v>
      </c>
      <c r="BH1251" t="s">
        <v>111</v>
      </c>
      <c r="BI1251" t="s">
        <v>111</v>
      </c>
      <c r="BJ1251" t="s">
        <v>111</v>
      </c>
      <c r="BK1251" t="s">
        <v>111</v>
      </c>
      <c r="BL1251" t="s">
        <v>111</v>
      </c>
      <c r="BM1251" t="s">
        <v>111</v>
      </c>
      <c r="BN1251" t="s">
        <v>111</v>
      </c>
      <c r="BO1251" t="s">
        <v>111</v>
      </c>
      <c r="BP1251" t="s">
        <v>111</v>
      </c>
      <c r="BQ1251" t="s">
        <v>111</v>
      </c>
      <c r="BR1251" t="s">
        <v>111</v>
      </c>
      <c r="BS1251" t="s">
        <v>111</v>
      </c>
      <c r="BT1251" t="s">
        <v>111</v>
      </c>
      <c r="BU1251" t="s">
        <v>111</v>
      </c>
      <c r="BV1251" t="s">
        <v>111</v>
      </c>
      <c r="BW1251" t="s">
        <v>111</v>
      </c>
      <c r="BX1251" t="s">
        <v>111</v>
      </c>
      <c r="BY1251" t="s">
        <v>111</v>
      </c>
      <c r="BZ1251" t="s">
        <v>111</v>
      </c>
      <c r="CA1251" t="s">
        <v>111</v>
      </c>
      <c r="CB1251" t="s">
        <v>111</v>
      </c>
      <c r="CC1251" t="s">
        <v>111</v>
      </c>
      <c r="CD1251" t="s">
        <v>111</v>
      </c>
      <c r="CE1251" t="s">
        <v>111</v>
      </c>
      <c r="CF1251" t="s">
        <v>111</v>
      </c>
      <c r="CG1251" t="s">
        <v>111</v>
      </c>
      <c r="CH1251" t="s">
        <v>111</v>
      </c>
      <c r="CI1251" t="s">
        <v>111</v>
      </c>
      <c r="CJ1251" t="s">
        <v>111</v>
      </c>
      <c r="CK1251" t="s">
        <v>111</v>
      </c>
      <c r="CL1251" t="s">
        <v>168</v>
      </c>
      <c r="CM1251" t="s">
        <v>198</v>
      </c>
      <c r="CN1251" t="s">
        <v>113</v>
      </c>
      <c r="CO1251" t="s">
        <v>111</v>
      </c>
      <c r="CP1251" t="s">
        <v>433</v>
      </c>
      <c r="CQ1251">
        <v>0</v>
      </c>
      <c r="CR1251">
        <v>5000</v>
      </c>
      <c r="CS1251">
        <v>200</v>
      </c>
      <c r="CT1251" s="1" t="s">
        <v>3672</v>
      </c>
      <c r="CU1251">
        <v>0</v>
      </c>
      <c r="CV1251" t="s">
        <v>111</v>
      </c>
      <c r="CW1251" t="s">
        <v>111</v>
      </c>
      <c r="CX1251" t="s">
        <v>111</v>
      </c>
      <c r="CY1251">
        <v>0</v>
      </c>
      <c r="CZ1251" t="s">
        <v>111</v>
      </c>
      <c r="DA1251" t="s">
        <v>111</v>
      </c>
      <c r="DB1251" t="s">
        <v>111</v>
      </c>
      <c r="DC1251" t="s">
        <v>111</v>
      </c>
    </row>
    <row r="1252" spans="1:107">
      <c r="A1252">
        <v>1434</v>
      </c>
      <c r="B1252" t="s">
        <v>107</v>
      </c>
      <c r="C1252" t="s">
        <v>827</v>
      </c>
      <c r="D1252" t="s">
        <v>3660</v>
      </c>
      <c r="E1252" t="s">
        <v>3673</v>
      </c>
      <c r="F1252" t="s">
        <v>1651</v>
      </c>
      <c r="G1252" t="s">
        <v>3657</v>
      </c>
      <c r="H1252">
        <v>1.5</v>
      </c>
      <c r="I1252">
        <v>61</v>
      </c>
      <c r="J1252">
        <v>0</v>
      </c>
      <c r="K1252">
        <v>0</v>
      </c>
      <c r="L1252" t="s">
        <v>117</v>
      </c>
      <c r="M1252" t="s">
        <v>118</v>
      </c>
      <c r="N1252">
        <v>0</v>
      </c>
      <c r="O1252">
        <v>1</v>
      </c>
      <c r="P1252" t="s">
        <v>111</v>
      </c>
      <c r="Q1252">
        <v>20</v>
      </c>
      <c r="R1252">
        <v>0</v>
      </c>
      <c r="S1252">
        <v>0</v>
      </c>
      <c r="T1252">
        <v>5</v>
      </c>
      <c r="U1252" t="e">
        <f>-IMPRESION DARAMA</f>
        <v>#NAME?</v>
      </c>
      <c r="V1252">
        <v>0</v>
      </c>
      <c r="W1252">
        <v>0</v>
      </c>
      <c r="X1252">
        <v>0</v>
      </c>
      <c r="Y1252">
        <v>25</v>
      </c>
      <c r="Z1252" t="s">
        <v>111</v>
      </c>
      <c r="AA1252">
        <v>0</v>
      </c>
      <c r="AB1252" t="s">
        <v>111</v>
      </c>
      <c r="AC1252">
        <v>0</v>
      </c>
      <c r="AD1252" t="s">
        <v>416</v>
      </c>
      <c r="AE1252">
        <v>0</v>
      </c>
      <c r="AF1252">
        <v>0</v>
      </c>
      <c r="AG1252" t="s">
        <v>111</v>
      </c>
      <c r="AH1252" t="s">
        <v>113</v>
      </c>
      <c r="AI1252" t="s">
        <v>111</v>
      </c>
      <c r="AJ1252" t="s">
        <v>111</v>
      </c>
      <c r="AK1252" t="s">
        <v>111</v>
      </c>
      <c r="AL1252" t="s">
        <v>111</v>
      </c>
      <c r="AM1252">
        <v>0</v>
      </c>
      <c r="AN1252">
        <v>0</v>
      </c>
      <c r="AO1252">
        <v>0</v>
      </c>
      <c r="AP1252" t="s">
        <v>111</v>
      </c>
      <c r="AQ1252" t="s">
        <v>111</v>
      </c>
      <c r="AR1252" t="s">
        <v>111</v>
      </c>
      <c r="AS1252" t="s">
        <v>111</v>
      </c>
      <c r="AT1252" t="s">
        <v>111</v>
      </c>
      <c r="AU1252" t="s">
        <v>111</v>
      </c>
      <c r="AV1252" t="s">
        <v>111</v>
      </c>
      <c r="AW1252" t="s">
        <v>111</v>
      </c>
      <c r="AX1252" t="s">
        <v>111</v>
      </c>
      <c r="AY1252" t="s">
        <v>111</v>
      </c>
      <c r="AZ1252" t="s">
        <v>111</v>
      </c>
      <c r="BA1252" t="s">
        <v>111</v>
      </c>
      <c r="BB1252" t="s">
        <v>111</v>
      </c>
      <c r="BC1252" t="s">
        <v>111</v>
      </c>
      <c r="BD1252" t="s">
        <v>111</v>
      </c>
      <c r="BE1252" t="s">
        <v>111</v>
      </c>
      <c r="BF1252" t="s">
        <v>111</v>
      </c>
      <c r="BG1252" t="s">
        <v>111</v>
      </c>
      <c r="BH1252" t="s">
        <v>111</v>
      </c>
      <c r="BI1252" t="s">
        <v>111</v>
      </c>
      <c r="BJ1252" t="s">
        <v>111</v>
      </c>
      <c r="BK1252" t="s">
        <v>111</v>
      </c>
      <c r="BL1252" t="s">
        <v>111</v>
      </c>
      <c r="BM1252" t="s">
        <v>111</v>
      </c>
      <c r="BN1252" t="s">
        <v>111</v>
      </c>
      <c r="BO1252" t="s">
        <v>111</v>
      </c>
      <c r="BP1252" t="s">
        <v>111</v>
      </c>
      <c r="BQ1252" t="s">
        <v>111</v>
      </c>
      <c r="BR1252" t="s">
        <v>111</v>
      </c>
      <c r="BS1252" t="s">
        <v>111</v>
      </c>
      <c r="BT1252" t="s">
        <v>111</v>
      </c>
      <c r="BU1252" t="s">
        <v>111</v>
      </c>
      <c r="BV1252" t="s">
        <v>111</v>
      </c>
      <c r="BW1252" t="s">
        <v>111</v>
      </c>
      <c r="BX1252" t="s">
        <v>111</v>
      </c>
      <c r="BY1252" t="s">
        <v>111</v>
      </c>
      <c r="BZ1252" t="s">
        <v>111</v>
      </c>
      <c r="CA1252" t="s">
        <v>111</v>
      </c>
      <c r="CB1252" t="s">
        <v>111</v>
      </c>
      <c r="CC1252" t="s">
        <v>111</v>
      </c>
      <c r="CD1252" t="s">
        <v>111</v>
      </c>
      <c r="CE1252" t="s">
        <v>111</v>
      </c>
      <c r="CF1252" t="s">
        <v>111</v>
      </c>
      <c r="CG1252" t="s">
        <v>111</v>
      </c>
      <c r="CH1252" t="s">
        <v>111</v>
      </c>
      <c r="CI1252" t="s">
        <v>111</v>
      </c>
      <c r="CJ1252" t="s">
        <v>111</v>
      </c>
      <c r="CK1252" t="s">
        <v>111</v>
      </c>
      <c r="CL1252" t="s">
        <v>111</v>
      </c>
      <c r="CM1252" t="s">
        <v>135</v>
      </c>
      <c r="CN1252" t="s">
        <v>113</v>
      </c>
      <c r="CO1252" t="s">
        <v>111</v>
      </c>
      <c r="CP1252" t="s">
        <v>111</v>
      </c>
      <c r="CQ1252">
        <v>0</v>
      </c>
      <c r="CR1252">
        <v>10000</v>
      </c>
      <c r="CS1252">
        <v>250</v>
      </c>
      <c r="CT1252" t="e">
        <f>-ALMACEN</f>
        <v>#NAME?</v>
      </c>
      <c r="CU1252">
        <v>0</v>
      </c>
      <c r="CV1252" t="s">
        <v>111</v>
      </c>
      <c r="CW1252" t="s">
        <v>111</v>
      </c>
      <c r="CX1252" t="s">
        <v>111</v>
      </c>
      <c r="CY1252">
        <v>0</v>
      </c>
      <c r="CZ1252" t="s">
        <v>111</v>
      </c>
      <c r="DA1252" t="s">
        <v>111</v>
      </c>
      <c r="DB1252" t="s">
        <v>111</v>
      </c>
      <c r="DC1252" t="s">
        <v>111</v>
      </c>
    </row>
    <row r="1253" spans="1:107">
      <c r="A1253">
        <v>1231</v>
      </c>
      <c r="B1253" t="s">
        <v>107</v>
      </c>
      <c r="C1253" t="s">
        <v>1338</v>
      </c>
      <c r="D1253" t="s">
        <v>3674</v>
      </c>
      <c r="E1253" t="s">
        <v>3675</v>
      </c>
      <c r="F1253" t="s">
        <v>1651</v>
      </c>
      <c r="G1253" t="s">
        <v>3657</v>
      </c>
      <c r="H1253">
        <v>1.5</v>
      </c>
      <c r="I1253">
        <v>80</v>
      </c>
      <c r="J1253">
        <v>0</v>
      </c>
      <c r="K1253">
        <v>0</v>
      </c>
      <c r="L1253" t="s">
        <v>117</v>
      </c>
      <c r="M1253" t="s">
        <v>118</v>
      </c>
      <c r="N1253">
        <v>40</v>
      </c>
      <c r="O1253">
        <v>1</v>
      </c>
      <c r="P1253" t="s">
        <v>138</v>
      </c>
      <c r="Q1253">
        <v>50</v>
      </c>
      <c r="R1253">
        <v>0</v>
      </c>
      <c r="S1253">
        <v>0</v>
      </c>
      <c r="T1253">
        <v>5</v>
      </c>
      <c r="U1253" t="e">
        <f>-IMPRESION DARMA</f>
        <v>#NAME?</v>
      </c>
      <c r="V1253">
        <v>0</v>
      </c>
      <c r="W1253">
        <v>0</v>
      </c>
      <c r="X1253">
        <v>0</v>
      </c>
      <c r="Y1253">
        <v>25</v>
      </c>
      <c r="Z1253" t="s">
        <v>111</v>
      </c>
      <c r="AA1253">
        <v>0</v>
      </c>
      <c r="AB1253" t="s">
        <v>111</v>
      </c>
      <c r="AC1253">
        <v>0</v>
      </c>
      <c r="AD1253" t="s">
        <v>416</v>
      </c>
      <c r="AE1253">
        <v>0</v>
      </c>
      <c r="AF1253">
        <v>0</v>
      </c>
      <c r="AG1253" t="s">
        <v>111</v>
      </c>
      <c r="AH1253" t="s">
        <v>113</v>
      </c>
      <c r="AI1253" t="s">
        <v>111</v>
      </c>
      <c r="AJ1253" t="s">
        <v>111</v>
      </c>
      <c r="AK1253" t="s">
        <v>111</v>
      </c>
      <c r="AL1253" t="s">
        <v>111</v>
      </c>
      <c r="AM1253">
        <v>0</v>
      </c>
      <c r="AN1253">
        <v>0</v>
      </c>
      <c r="AO1253">
        <v>0</v>
      </c>
      <c r="AP1253" t="s">
        <v>111</v>
      </c>
      <c r="AQ1253" t="s">
        <v>111</v>
      </c>
      <c r="AR1253" t="s">
        <v>111</v>
      </c>
      <c r="AS1253" t="s">
        <v>111</v>
      </c>
      <c r="AT1253" t="s">
        <v>111</v>
      </c>
      <c r="AU1253" t="s">
        <v>111</v>
      </c>
      <c r="AV1253" t="s">
        <v>111</v>
      </c>
      <c r="AW1253" t="s">
        <v>111</v>
      </c>
      <c r="AX1253" t="s">
        <v>111</v>
      </c>
      <c r="AY1253" t="s">
        <v>111</v>
      </c>
      <c r="AZ1253" t="s">
        <v>111</v>
      </c>
      <c r="BA1253" t="s">
        <v>111</v>
      </c>
      <c r="BB1253" t="s">
        <v>111</v>
      </c>
      <c r="BC1253" t="s">
        <v>111</v>
      </c>
      <c r="BD1253" t="s">
        <v>111</v>
      </c>
      <c r="BE1253" t="s">
        <v>111</v>
      </c>
      <c r="BF1253" t="s">
        <v>111</v>
      </c>
      <c r="BG1253" t="s">
        <v>111</v>
      </c>
      <c r="BH1253" t="s">
        <v>111</v>
      </c>
      <c r="BI1253" t="s">
        <v>111</v>
      </c>
      <c r="BJ1253" t="s">
        <v>111</v>
      </c>
      <c r="BK1253" t="s">
        <v>111</v>
      </c>
      <c r="BL1253" t="s">
        <v>111</v>
      </c>
      <c r="BM1253" t="s">
        <v>111</v>
      </c>
      <c r="BN1253" t="s">
        <v>111</v>
      </c>
      <c r="BO1253" t="s">
        <v>111</v>
      </c>
      <c r="BP1253" t="s">
        <v>111</v>
      </c>
      <c r="BQ1253" t="s">
        <v>111</v>
      </c>
      <c r="BR1253" t="s">
        <v>111</v>
      </c>
      <c r="BS1253" t="s">
        <v>111</v>
      </c>
      <c r="BT1253" t="s">
        <v>111</v>
      </c>
      <c r="BU1253" t="s">
        <v>111</v>
      </c>
      <c r="BV1253" t="s">
        <v>111</v>
      </c>
      <c r="BW1253" t="s">
        <v>111</v>
      </c>
      <c r="BX1253" t="s">
        <v>111</v>
      </c>
      <c r="BY1253" t="s">
        <v>111</v>
      </c>
      <c r="BZ1253" t="s">
        <v>111</v>
      </c>
      <c r="CA1253" t="s">
        <v>111</v>
      </c>
      <c r="CB1253" t="s">
        <v>111</v>
      </c>
      <c r="CC1253" t="s">
        <v>111</v>
      </c>
      <c r="CD1253" t="s">
        <v>111</v>
      </c>
      <c r="CE1253" t="s">
        <v>111</v>
      </c>
      <c r="CF1253" t="s">
        <v>111</v>
      </c>
      <c r="CG1253" t="s">
        <v>111</v>
      </c>
      <c r="CH1253" t="s">
        <v>111</v>
      </c>
      <c r="CI1253" t="s">
        <v>111</v>
      </c>
      <c r="CJ1253" t="s">
        <v>111</v>
      </c>
      <c r="CK1253" t="s">
        <v>111</v>
      </c>
      <c r="CL1253" t="s">
        <v>111</v>
      </c>
      <c r="CM1253" t="s">
        <v>135</v>
      </c>
      <c r="CN1253" t="s">
        <v>113</v>
      </c>
      <c r="CO1253" t="s">
        <v>111</v>
      </c>
      <c r="CP1253" t="e">
        <f>-MUESTRA</f>
        <v>#NAME?</v>
      </c>
      <c r="CQ1253">
        <v>72</v>
      </c>
      <c r="CR1253">
        <v>5000</v>
      </c>
      <c r="CS1253">
        <v>250</v>
      </c>
      <c r="CT1253" t="e">
        <f>-DESTINO ALMACEN</f>
        <v>#NAME?</v>
      </c>
      <c r="CU1253">
        <v>0</v>
      </c>
      <c r="CV1253" t="s">
        <v>111</v>
      </c>
      <c r="CW1253" t="s">
        <v>111</v>
      </c>
      <c r="CX1253" t="s">
        <v>111</v>
      </c>
      <c r="CY1253">
        <v>0</v>
      </c>
      <c r="CZ1253" t="s">
        <v>111</v>
      </c>
      <c r="DA1253" t="s">
        <v>111</v>
      </c>
      <c r="DB1253" t="s">
        <v>111</v>
      </c>
      <c r="DC1253" t="s">
        <v>111</v>
      </c>
    </row>
    <row r="1254" spans="1:107">
      <c r="A1254">
        <v>843</v>
      </c>
      <c r="B1254" t="s">
        <v>107</v>
      </c>
      <c r="C1254" t="s">
        <v>827</v>
      </c>
      <c r="D1254" t="s">
        <v>3662</v>
      </c>
      <c r="E1254" t="s">
        <v>3676</v>
      </c>
      <c r="F1254" t="s">
        <v>1651</v>
      </c>
      <c r="G1254" t="s">
        <v>3657</v>
      </c>
      <c r="H1254">
        <v>1.5</v>
      </c>
      <c r="I1254">
        <v>600</v>
      </c>
      <c r="J1254">
        <v>0</v>
      </c>
      <c r="K1254">
        <v>0</v>
      </c>
      <c r="L1254" t="s">
        <v>117</v>
      </c>
      <c r="M1254" t="s">
        <v>118</v>
      </c>
      <c r="N1254">
        <v>40</v>
      </c>
      <c r="O1254">
        <v>1</v>
      </c>
      <c r="P1254" t="s">
        <v>138</v>
      </c>
      <c r="Q1254">
        <v>40</v>
      </c>
      <c r="R1254">
        <v>0</v>
      </c>
      <c r="S1254">
        <v>0</v>
      </c>
      <c r="T1254">
        <v>0</v>
      </c>
      <c r="U1254" t="s">
        <v>3110</v>
      </c>
      <c r="V1254">
        <v>0</v>
      </c>
      <c r="W1254">
        <v>0</v>
      </c>
      <c r="X1254">
        <v>0</v>
      </c>
      <c r="Y1254">
        <v>25</v>
      </c>
      <c r="Z1254" t="s">
        <v>111</v>
      </c>
      <c r="AA1254">
        <v>0</v>
      </c>
      <c r="AB1254" t="s">
        <v>111</v>
      </c>
      <c r="AC1254">
        <v>0</v>
      </c>
      <c r="AD1254" t="s">
        <v>416</v>
      </c>
      <c r="AE1254">
        <v>0</v>
      </c>
      <c r="AF1254">
        <v>1</v>
      </c>
      <c r="AG1254" t="s">
        <v>3677</v>
      </c>
      <c r="AH1254" t="s">
        <v>113</v>
      </c>
      <c r="AI1254">
        <v>40</v>
      </c>
      <c r="AJ1254" t="s">
        <v>111</v>
      </c>
      <c r="AK1254" t="s">
        <v>111</v>
      </c>
      <c r="AL1254" t="s">
        <v>111</v>
      </c>
      <c r="AM1254">
        <v>0</v>
      </c>
      <c r="AN1254">
        <v>0</v>
      </c>
      <c r="AO1254">
        <v>0</v>
      </c>
      <c r="AP1254" t="s">
        <v>111</v>
      </c>
      <c r="AQ1254" t="s">
        <v>111</v>
      </c>
      <c r="AR1254" t="s">
        <v>111</v>
      </c>
      <c r="AS1254" t="s">
        <v>111</v>
      </c>
      <c r="AT1254" t="s">
        <v>111</v>
      </c>
      <c r="AU1254" t="s">
        <v>111</v>
      </c>
      <c r="AV1254" t="s">
        <v>111</v>
      </c>
      <c r="AW1254" t="s">
        <v>111</v>
      </c>
      <c r="AX1254" t="s">
        <v>111</v>
      </c>
      <c r="AY1254" t="s">
        <v>111</v>
      </c>
      <c r="AZ1254" t="s">
        <v>111</v>
      </c>
      <c r="BA1254" t="s">
        <v>111</v>
      </c>
      <c r="BB1254" t="s">
        <v>111</v>
      </c>
      <c r="BC1254" t="s">
        <v>111</v>
      </c>
      <c r="BD1254" t="s">
        <v>111</v>
      </c>
      <c r="BE1254" t="s">
        <v>111</v>
      </c>
      <c r="BF1254" t="s">
        <v>111</v>
      </c>
      <c r="BG1254" t="s">
        <v>111</v>
      </c>
      <c r="BH1254" t="s">
        <v>111</v>
      </c>
      <c r="BI1254" t="s">
        <v>111</v>
      </c>
      <c r="BJ1254" t="s">
        <v>111</v>
      </c>
      <c r="BK1254" t="s">
        <v>111</v>
      </c>
      <c r="BL1254" t="s">
        <v>111</v>
      </c>
      <c r="BM1254" t="s">
        <v>111</v>
      </c>
      <c r="BN1254" t="s">
        <v>111</v>
      </c>
      <c r="BO1254" t="s">
        <v>111</v>
      </c>
      <c r="BP1254" t="s">
        <v>111</v>
      </c>
      <c r="BQ1254" t="s">
        <v>111</v>
      </c>
      <c r="BR1254" t="s">
        <v>111</v>
      </c>
      <c r="BS1254" t="s">
        <v>111</v>
      </c>
      <c r="BT1254" t="s">
        <v>111</v>
      </c>
      <c r="BU1254" t="s">
        <v>111</v>
      </c>
      <c r="BV1254" t="s">
        <v>111</v>
      </c>
      <c r="BW1254" t="s">
        <v>111</v>
      </c>
      <c r="BX1254" t="s">
        <v>111</v>
      </c>
      <c r="BY1254" t="s">
        <v>111</v>
      </c>
      <c r="BZ1254" t="s">
        <v>111</v>
      </c>
      <c r="CA1254" t="s">
        <v>111</v>
      </c>
      <c r="CB1254" t="s">
        <v>111</v>
      </c>
      <c r="CC1254" t="s">
        <v>111</v>
      </c>
      <c r="CD1254" t="s">
        <v>111</v>
      </c>
      <c r="CE1254" t="s">
        <v>111</v>
      </c>
      <c r="CF1254" t="s">
        <v>111</v>
      </c>
      <c r="CG1254" t="s">
        <v>111</v>
      </c>
      <c r="CH1254" t="s">
        <v>111</v>
      </c>
      <c r="CI1254" t="s">
        <v>111</v>
      </c>
      <c r="CJ1254" t="s">
        <v>111</v>
      </c>
      <c r="CK1254" t="s">
        <v>111</v>
      </c>
      <c r="CL1254" t="e">
        <f>-DESTINO SELLADO</f>
        <v>#NAME?</v>
      </c>
      <c r="CM1254" t="s">
        <v>198</v>
      </c>
      <c r="CN1254" t="s">
        <v>113</v>
      </c>
      <c r="CO1254" t="s">
        <v>111</v>
      </c>
      <c r="CP1254" t="s">
        <v>3678</v>
      </c>
      <c r="CQ1254">
        <v>90</v>
      </c>
      <c r="CR1254">
        <v>6000</v>
      </c>
      <c r="CS1254">
        <v>200</v>
      </c>
      <c r="CT1254" s="1" t="s">
        <v>3679</v>
      </c>
      <c r="CU1254">
        <v>0</v>
      </c>
      <c r="CV1254" t="s">
        <v>111</v>
      </c>
      <c r="CW1254" t="s">
        <v>111</v>
      </c>
      <c r="CX1254" t="s">
        <v>111</v>
      </c>
      <c r="CY1254">
        <v>0</v>
      </c>
      <c r="CZ1254" t="s">
        <v>111</v>
      </c>
      <c r="DA1254" t="s">
        <v>111</v>
      </c>
      <c r="DB1254" t="s">
        <v>111</v>
      </c>
      <c r="DC1254" t="s">
        <v>111</v>
      </c>
    </row>
    <row r="1255" spans="1:107">
      <c r="A1255">
        <v>1136</v>
      </c>
      <c r="B1255" t="s">
        <v>107</v>
      </c>
      <c r="C1255" t="s">
        <v>1567</v>
      </c>
      <c r="D1255" t="s">
        <v>3680</v>
      </c>
      <c r="E1255" t="s">
        <v>3681</v>
      </c>
      <c r="F1255" t="s">
        <v>3682</v>
      </c>
      <c r="G1255" t="s">
        <v>3657</v>
      </c>
      <c r="H1255">
        <v>1.3</v>
      </c>
      <c r="I1255">
        <v>60</v>
      </c>
      <c r="J1255">
        <v>0</v>
      </c>
      <c r="K1255">
        <v>0</v>
      </c>
      <c r="L1255" t="s">
        <v>112</v>
      </c>
      <c r="M1255" t="s">
        <v>111</v>
      </c>
      <c r="N1255">
        <v>0</v>
      </c>
      <c r="O1255">
        <v>0</v>
      </c>
      <c r="P1255" t="s">
        <v>111</v>
      </c>
      <c r="Q1255">
        <v>40</v>
      </c>
      <c r="R1255">
        <v>0</v>
      </c>
      <c r="S1255">
        <v>0</v>
      </c>
      <c r="T1255">
        <v>5</v>
      </c>
      <c r="U1255" t="s">
        <v>296</v>
      </c>
      <c r="V1255">
        <v>0</v>
      </c>
      <c r="W1255">
        <v>0</v>
      </c>
      <c r="X1255">
        <v>0</v>
      </c>
      <c r="Y1255">
        <v>25</v>
      </c>
      <c r="Z1255" t="s">
        <v>111</v>
      </c>
      <c r="AA1255">
        <v>0</v>
      </c>
      <c r="AB1255" t="s">
        <v>111</v>
      </c>
      <c r="AC1255">
        <v>0</v>
      </c>
      <c r="AD1255" t="s">
        <v>111</v>
      </c>
      <c r="AE1255">
        <v>0</v>
      </c>
      <c r="AF1255">
        <v>0</v>
      </c>
      <c r="AG1255" t="s">
        <v>111</v>
      </c>
      <c r="AH1255" t="s">
        <v>111</v>
      </c>
      <c r="AI1255" t="s">
        <v>111</v>
      </c>
      <c r="AJ1255" t="s">
        <v>111</v>
      </c>
      <c r="AK1255" t="s">
        <v>111</v>
      </c>
      <c r="AL1255" t="s">
        <v>111</v>
      </c>
      <c r="AM1255">
        <v>0</v>
      </c>
      <c r="AN1255">
        <v>0</v>
      </c>
      <c r="AO1255">
        <v>0</v>
      </c>
      <c r="AP1255" t="s">
        <v>111</v>
      </c>
      <c r="AQ1255" t="s">
        <v>111</v>
      </c>
      <c r="AR1255" t="s">
        <v>111</v>
      </c>
      <c r="AS1255" t="s">
        <v>111</v>
      </c>
      <c r="AT1255" t="s">
        <v>111</v>
      </c>
      <c r="AU1255" t="s">
        <v>111</v>
      </c>
      <c r="AV1255" t="s">
        <v>111</v>
      </c>
      <c r="AW1255" t="s">
        <v>111</v>
      </c>
      <c r="AX1255" t="s">
        <v>111</v>
      </c>
      <c r="AY1255" t="s">
        <v>111</v>
      </c>
      <c r="AZ1255" t="s">
        <v>111</v>
      </c>
      <c r="BA1255" t="s">
        <v>111</v>
      </c>
      <c r="BB1255" t="s">
        <v>111</v>
      </c>
      <c r="BC1255" t="s">
        <v>111</v>
      </c>
      <c r="BD1255" t="s">
        <v>111</v>
      </c>
      <c r="BE1255" t="s">
        <v>111</v>
      </c>
      <c r="BF1255" t="s">
        <v>111</v>
      </c>
      <c r="BG1255" t="s">
        <v>111</v>
      </c>
      <c r="BH1255" t="s">
        <v>111</v>
      </c>
      <c r="BI1255" t="s">
        <v>111</v>
      </c>
      <c r="BJ1255" t="s">
        <v>111</v>
      </c>
      <c r="BK1255" t="s">
        <v>111</v>
      </c>
      <c r="BL1255" t="s">
        <v>111</v>
      </c>
      <c r="BM1255" t="s">
        <v>111</v>
      </c>
      <c r="BN1255" t="s">
        <v>111</v>
      </c>
      <c r="BO1255" t="s">
        <v>111</v>
      </c>
      <c r="BP1255" t="s">
        <v>111</v>
      </c>
      <c r="BQ1255" t="s">
        <v>111</v>
      </c>
      <c r="BR1255" t="s">
        <v>111</v>
      </c>
      <c r="BS1255" t="s">
        <v>111</v>
      </c>
      <c r="BT1255" t="s">
        <v>111</v>
      </c>
      <c r="BU1255" t="s">
        <v>111</v>
      </c>
      <c r="BV1255" t="s">
        <v>111</v>
      </c>
      <c r="BW1255" t="s">
        <v>111</v>
      </c>
      <c r="BX1255" t="s">
        <v>111</v>
      </c>
      <c r="BY1255" t="s">
        <v>111</v>
      </c>
      <c r="BZ1255" t="s">
        <v>111</v>
      </c>
      <c r="CA1255" t="s">
        <v>111</v>
      </c>
      <c r="CB1255" t="s">
        <v>111</v>
      </c>
      <c r="CC1255" t="s">
        <v>111</v>
      </c>
      <c r="CD1255" t="s">
        <v>111</v>
      </c>
      <c r="CE1255" t="s">
        <v>111</v>
      </c>
      <c r="CF1255" t="s">
        <v>111</v>
      </c>
      <c r="CG1255" t="s">
        <v>111</v>
      </c>
      <c r="CH1255" t="s">
        <v>111</v>
      </c>
      <c r="CI1255" t="s">
        <v>111</v>
      </c>
      <c r="CJ1255" t="s">
        <v>111</v>
      </c>
      <c r="CK1255" t="s">
        <v>111</v>
      </c>
      <c r="CL1255" t="s">
        <v>111</v>
      </c>
      <c r="CM1255" t="s">
        <v>135</v>
      </c>
      <c r="CN1255" t="s">
        <v>113</v>
      </c>
      <c r="CO1255" t="s">
        <v>885</v>
      </c>
      <c r="CP1255" t="s">
        <v>111</v>
      </c>
      <c r="CQ1255">
        <v>52</v>
      </c>
      <c r="CR1255">
        <v>1000</v>
      </c>
      <c r="CS1255">
        <v>100</v>
      </c>
      <c r="CT1255" t="s">
        <v>394</v>
      </c>
      <c r="CU1255">
        <v>0</v>
      </c>
      <c r="CV1255" t="s">
        <v>111</v>
      </c>
      <c r="CW1255" t="s">
        <v>111</v>
      </c>
      <c r="CX1255" t="s">
        <v>111</v>
      </c>
      <c r="CY1255">
        <v>0</v>
      </c>
      <c r="CZ1255" t="s">
        <v>111</v>
      </c>
      <c r="DA1255" t="s">
        <v>111</v>
      </c>
      <c r="DB1255" t="s">
        <v>111</v>
      </c>
      <c r="DC1255" t="s">
        <v>111</v>
      </c>
    </row>
    <row r="1256" spans="1:107">
      <c r="A1256">
        <v>1647</v>
      </c>
      <c r="B1256" t="s">
        <v>107</v>
      </c>
      <c r="C1256" t="s">
        <v>2543</v>
      </c>
      <c r="D1256" t="s">
        <v>3667</v>
      </c>
      <c r="E1256" t="s">
        <v>3683</v>
      </c>
      <c r="F1256" t="s">
        <v>1651</v>
      </c>
      <c r="G1256" t="s">
        <v>3657</v>
      </c>
      <c r="H1256">
        <v>1.5</v>
      </c>
      <c r="I1256">
        <v>80</v>
      </c>
      <c r="J1256">
        <v>0</v>
      </c>
      <c r="K1256">
        <v>0</v>
      </c>
      <c r="L1256" t="s">
        <v>117</v>
      </c>
      <c r="M1256" t="s">
        <v>118</v>
      </c>
      <c r="N1256">
        <v>40</v>
      </c>
      <c r="O1256">
        <v>1</v>
      </c>
      <c r="P1256" t="s">
        <v>111</v>
      </c>
      <c r="Q1256">
        <v>40</v>
      </c>
      <c r="R1256">
        <v>0</v>
      </c>
      <c r="S1256">
        <v>0</v>
      </c>
      <c r="T1256">
        <v>5</v>
      </c>
      <c r="U1256" s="1" t="s">
        <v>662</v>
      </c>
      <c r="V1256">
        <v>0</v>
      </c>
      <c r="W1256">
        <v>0</v>
      </c>
      <c r="X1256">
        <v>0</v>
      </c>
      <c r="Y1256">
        <v>25</v>
      </c>
      <c r="Z1256" t="s">
        <v>111</v>
      </c>
      <c r="AA1256">
        <v>0</v>
      </c>
      <c r="AB1256" t="s">
        <v>111</v>
      </c>
      <c r="AC1256">
        <v>0</v>
      </c>
      <c r="AD1256" t="s">
        <v>416</v>
      </c>
      <c r="AE1256">
        <v>0</v>
      </c>
      <c r="AF1256">
        <v>0</v>
      </c>
      <c r="AG1256" t="s">
        <v>111</v>
      </c>
      <c r="AH1256" t="s">
        <v>113</v>
      </c>
      <c r="AI1256" t="s">
        <v>111</v>
      </c>
      <c r="AJ1256" t="s">
        <v>111</v>
      </c>
      <c r="AK1256" t="s">
        <v>111</v>
      </c>
      <c r="AL1256" t="s">
        <v>111</v>
      </c>
      <c r="AM1256">
        <v>0</v>
      </c>
      <c r="AN1256">
        <v>0</v>
      </c>
      <c r="AO1256">
        <v>0</v>
      </c>
      <c r="AP1256" t="s">
        <v>111</v>
      </c>
      <c r="AQ1256" t="s">
        <v>111</v>
      </c>
      <c r="AR1256" t="s">
        <v>111</v>
      </c>
      <c r="AS1256" t="s">
        <v>111</v>
      </c>
      <c r="AT1256" t="s">
        <v>111</v>
      </c>
      <c r="AU1256" t="s">
        <v>111</v>
      </c>
      <c r="AV1256" t="s">
        <v>111</v>
      </c>
      <c r="AW1256" t="s">
        <v>111</v>
      </c>
      <c r="AX1256" t="s">
        <v>111</v>
      </c>
      <c r="AY1256" t="s">
        <v>111</v>
      </c>
      <c r="AZ1256" t="s">
        <v>111</v>
      </c>
      <c r="BA1256" t="s">
        <v>111</v>
      </c>
      <c r="BB1256" t="s">
        <v>111</v>
      </c>
      <c r="BC1256" t="s">
        <v>111</v>
      </c>
      <c r="BD1256" t="s">
        <v>111</v>
      </c>
      <c r="BE1256" t="s">
        <v>111</v>
      </c>
      <c r="BF1256" t="s">
        <v>111</v>
      </c>
      <c r="BG1256" t="s">
        <v>111</v>
      </c>
      <c r="BH1256" t="s">
        <v>111</v>
      </c>
      <c r="BI1256" t="s">
        <v>111</v>
      </c>
      <c r="BJ1256" t="s">
        <v>111</v>
      </c>
      <c r="BK1256" t="s">
        <v>111</v>
      </c>
      <c r="BL1256" t="s">
        <v>111</v>
      </c>
      <c r="BM1256" t="s">
        <v>111</v>
      </c>
      <c r="BN1256" t="s">
        <v>111</v>
      </c>
      <c r="BO1256" t="s">
        <v>111</v>
      </c>
      <c r="BP1256" t="s">
        <v>111</v>
      </c>
      <c r="BQ1256" t="s">
        <v>111</v>
      </c>
      <c r="BR1256" t="s">
        <v>111</v>
      </c>
      <c r="BS1256" t="s">
        <v>111</v>
      </c>
      <c r="BT1256" t="s">
        <v>111</v>
      </c>
      <c r="BU1256" t="s">
        <v>111</v>
      </c>
      <c r="BV1256" t="s">
        <v>111</v>
      </c>
      <c r="BW1256" t="s">
        <v>111</v>
      </c>
      <c r="BX1256" t="s">
        <v>111</v>
      </c>
      <c r="BY1256" t="s">
        <v>111</v>
      </c>
      <c r="BZ1256" t="s">
        <v>111</v>
      </c>
      <c r="CA1256" t="s">
        <v>111</v>
      </c>
      <c r="CB1256" t="s">
        <v>111</v>
      </c>
      <c r="CC1256" t="s">
        <v>111</v>
      </c>
      <c r="CD1256" t="s">
        <v>111</v>
      </c>
      <c r="CE1256" t="s">
        <v>111</v>
      </c>
      <c r="CF1256" t="s">
        <v>111</v>
      </c>
      <c r="CG1256" t="s">
        <v>111</v>
      </c>
      <c r="CH1256" t="s">
        <v>111</v>
      </c>
      <c r="CI1256" t="s">
        <v>111</v>
      </c>
      <c r="CJ1256" t="s">
        <v>111</v>
      </c>
      <c r="CK1256" t="s">
        <v>111</v>
      </c>
      <c r="CL1256" t="s">
        <v>111</v>
      </c>
      <c r="CM1256" t="s">
        <v>135</v>
      </c>
      <c r="CN1256" t="s">
        <v>113</v>
      </c>
      <c r="CO1256" t="s">
        <v>111</v>
      </c>
      <c r="CP1256" t="s">
        <v>111</v>
      </c>
      <c r="CQ1256">
        <v>0</v>
      </c>
      <c r="CR1256">
        <v>4000</v>
      </c>
      <c r="CS1256">
        <v>250</v>
      </c>
      <c r="CT1256" t="e">
        <f>-ALMACEN</f>
        <v>#NAME?</v>
      </c>
      <c r="CU1256">
        <v>0</v>
      </c>
      <c r="CV1256" t="s">
        <v>111</v>
      </c>
      <c r="CX1256" t="s">
        <v>111</v>
      </c>
      <c r="CY1256">
        <v>0</v>
      </c>
      <c r="CZ1256" t="s">
        <v>111</v>
      </c>
      <c r="DA1256" t="s">
        <v>111</v>
      </c>
      <c r="DB1256" t="s">
        <v>111</v>
      </c>
      <c r="DC1256" t="s">
        <v>111</v>
      </c>
    </row>
    <row r="1257" spans="1:107">
      <c r="A1257">
        <v>1675</v>
      </c>
      <c r="B1257" t="s">
        <v>107</v>
      </c>
      <c r="C1257" t="s">
        <v>2543</v>
      </c>
      <c r="D1257" t="s">
        <v>3684</v>
      </c>
      <c r="E1257" t="s">
        <v>3685</v>
      </c>
      <c r="F1257" t="s">
        <v>1651</v>
      </c>
      <c r="G1257" t="s">
        <v>3657</v>
      </c>
      <c r="H1257">
        <v>1.4</v>
      </c>
      <c r="I1257">
        <v>70</v>
      </c>
      <c r="J1257">
        <v>0</v>
      </c>
      <c r="K1257">
        <v>0</v>
      </c>
      <c r="L1257" t="s">
        <v>117</v>
      </c>
      <c r="M1257" t="s">
        <v>118</v>
      </c>
      <c r="N1257">
        <v>40</v>
      </c>
      <c r="O1257">
        <v>1</v>
      </c>
      <c r="P1257" t="s">
        <v>111</v>
      </c>
      <c r="Q1257">
        <v>40</v>
      </c>
      <c r="R1257">
        <v>0</v>
      </c>
      <c r="S1257">
        <v>0</v>
      </c>
      <c r="T1257">
        <v>5</v>
      </c>
      <c r="U1257" t="e">
        <f>-IPMRESION DARMA</f>
        <v>#NAME?</v>
      </c>
      <c r="V1257">
        <v>0</v>
      </c>
      <c r="W1257">
        <v>0</v>
      </c>
      <c r="X1257">
        <v>0</v>
      </c>
      <c r="Y1257">
        <v>25</v>
      </c>
      <c r="Z1257" t="s">
        <v>111</v>
      </c>
      <c r="AA1257">
        <v>0</v>
      </c>
      <c r="AB1257" t="s">
        <v>111</v>
      </c>
      <c r="AC1257">
        <v>0</v>
      </c>
      <c r="AD1257" t="s">
        <v>416</v>
      </c>
      <c r="AE1257">
        <v>0</v>
      </c>
      <c r="AF1257">
        <v>0</v>
      </c>
      <c r="AG1257" t="s">
        <v>111</v>
      </c>
      <c r="AH1257" t="s">
        <v>113</v>
      </c>
      <c r="AI1257" t="s">
        <v>111</v>
      </c>
      <c r="AJ1257" t="s">
        <v>111</v>
      </c>
      <c r="AK1257" t="s">
        <v>111</v>
      </c>
      <c r="AL1257" t="s">
        <v>111</v>
      </c>
      <c r="AM1257">
        <v>0</v>
      </c>
      <c r="AN1257">
        <v>0</v>
      </c>
      <c r="AO1257">
        <v>0</v>
      </c>
      <c r="AP1257" t="s">
        <v>111</v>
      </c>
      <c r="AQ1257" t="s">
        <v>111</v>
      </c>
      <c r="AR1257" t="s">
        <v>111</v>
      </c>
      <c r="AS1257" t="s">
        <v>111</v>
      </c>
      <c r="AT1257" t="s">
        <v>111</v>
      </c>
      <c r="AU1257" t="s">
        <v>111</v>
      </c>
      <c r="AV1257" t="s">
        <v>111</v>
      </c>
      <c r="AW1257" t="s">
        <v>111</v>
      </c>
      <c r="AX1257" t="s">
        <v>111</v>
      </c>
      <c r="AY1257" t="s">
        <v>111</v>
      </c>
      <c r="AZ1257" t="s">
        <v>111</v>
      </c>
      <c r="BA1257" t="s">
        <v>111</v>
      </c>
      <c r="BB1257" t="s">
        <v>111</v>
      </c>
      <c r="BC1257" t="s">
        <v>111</v>
      </c>
      <c r="BD1257" t="s">
        <v>111</v>
      </c>
      <c r="BE1257" t="s">
        <v>111</v>
      </c>
      <c r="BF1257" t="s">
        <v>111</v>
      </c>
      <c r="BG1257" t="s">
        <v>111</v>
      </c>
      <c r="BH1257" t="s">
        <v>111</v>
      </c>
      <c r="BI1257" t="s">
        <v>111</v>
      </c>
      <c r="BJ1257" t="s">
        <v>111</v>
      </c>
      <c r="BK1257" t="s">
        <v>111</v>
      </c>
      <c r="BL1257" t="s">
        <v>111</v>
      </c>
      <c r="BM1257" t="s">
        <v>111</v>
      </c>
      <c r="BN1257" t="s">
        <v>111</v>
      </c>
      <c r="BO1257" t="s">
        <v>111</v>
      </c>
      <c r="BP1257" t="s">
        <v>111</v>
      </c>
      <c r="BQ1257" t="s">
        <v>111</v>
      </c>
      <c r="BR1257" t="s">
        <v>111</v>
      </c>
      <c r="BS1257" t="s">
        <v>111</v>
      </c>
      <c r="BT1257" t="s">
        <v>111</v>
      </c>
      <c r="BU1257" t="s">
        <v>111</v>
      </c>
      <c r="BV1257" t="s">
        <v>111</v>
      </c>
      <c r="BW1257" t="s">
        <v>111</v>
      </c>
      <c r="BX1257" t="s">
        <v>111</v>
      </c>
      <c r="BY1257" t="s">
        <v>111</v>
      </c>
      <c r="BZ1257" t="s">
        <v>111</v>
      </c>
      <c r="CA1257" t="s">
        <v>111</v>
      </c>
      <c r="CB1257" t="s">
        <v>111</v>
      </c>
      <c r="CC1257" t="s">
        <v>111</v>
      </c>
      <c r="CD1257" t="s">
        <v>111</v>
      </c>
      <c r="CE1257" t="s">
        <v>111</v>
      </c>
      <c r="CF1257" t="s">
        <v>111</v>
      </c>
      <c r="CG1257" t="s">
        <v>111</v>
      </c>
      <c r="CH1257" t="s">
        <v>111</v>
      </c>
      <c r="CI1257" t="s">
        <v>111</v>
      </c>
      <c r="CJ1257" t="s">
        <v>111</v>
      </c>
      <c r="CK1257" t="s">
        <v>111</v>
      </c>
      <c r="CL1257" t="s">
        <v>111</v>
      </c>
      <c r="CM1257" t="s">
        <v>135</v>
      </c>
      <c r="CN1257" t="s">
        <v>113</v>
      </c>
      <c r="CO1257" t="s">
        <v>111</v>
      </c>
      <c r="CP1257" t="s">
        <v>111</v>
      </c>
      <c r="CQ1257">
        <v>0</v>
      </c>
      <c r="CR1257">
        <v>6000</v>
      </c>
      <c r="CS1257">
        <v>2000</v>
      </c>
      <c r="CT1257" t="e">
        <f>-ALMACEN</f>
        <v>#NAME?</v>
      </c>
      <c r="CU1257">
        <v>0</v>
      </c>
      <c r="CV1257" t="s">
        <v>111</v>
      </c>
      <c r="CX1257" t="s">
        <v>111</v>
      </c>
      <c r="CY1257">
        <v>0</v>
      </c>
      <c r="CZ1257" t="s">
        <v>111</v>
      </c>
      <c r="DA1257" t="s">
        <v>111</v>
      </c>
      <c r="DB1257" t="s">
        <v>111</v>
      </c>
      <c r="DC1257" t="s">
        <v>111</v>
      </c>
    </row>
    <row r="1258" spans="1:107">
      <c r="A1258">
        <v>1216</v>
      </c>
      <c r="B1258" t="s">
        <v>107</v>
      </c>
      <c r="C1258" t="s">
        <v>1338</v>
      </c>
      <c r="D1258" t="s">
        <v>3655</v>
      </c>
      <c r="E1258" t="s">
        <v>3686</v>
      </c>
      <c r="F1258" t="s">
        <v>1651</v>
      </c>
      <c r="G1258" t="s">
        <v>3657</v>
      </c>
      <c r="H1258">
        <v>1.5</v>
      </c>
      <c r="I1258">
        <v>70</v>
      </c>
      <c r="J1258">
        <v>0</v>
      </c>
      <c r="K1258">
        <v>0</v>
      </c>
      <c r="L1258" t="s">
        <v>117</v>
      </c>
      <c r="M1258" t="s">
        <v>118</v>
      </c>
      <c r="N1258">
        <v>40</v>
      </c>
      <c r="O1258">
        <v>1</v>
      </c>
      <c r="P1258" t="s">
        <v>111</v>
      </c>
      <c r="Q1258">
        <v>40</v>
      </c>
      <c r="R1258">
        <v>0</v>
      </c>
      <c r="S1258">
        <v>0</v>
      </c>
      <c r="T1258">
        <v>5</v>
      </c>
      <c r="U1258" t="e">
        <f>-IPRESION DARMA</f>
        <v>#NAME?</v>
      </c>
      <c r="V1258">
        <v>0</v>
      </c>
      <c r="W1258">
        <v>0</v>
      </c>
      <c r="X1258">
        <v>0</v>
      </c>
      <c r="Y1258">
        <v>25</v>
      </c>
      <c r="Z1258" t="s">
        <v>111</v>
      </c>
      <c r="AA1258">
        <v>0</v>
      </c>
      <c r="AB1258" t="s">
        <v>111</v>
      </c>
      <c r="AC1258">
        <v>0</v>
      </c>
      <c r="AD1258" t="s">
        <v>416</v>
      </c>
      <c r="AE1258">
        <v>0</v>
      </c>
      <c r="AF1258">
        <v>0</v>
      </c>
      <c r="AG1258" t="s">
        <v>111</v>
      </c>
      <c r="AH1258" t="s">
        <v>113</v>
      </c>
      <c r="AI1258" t="s">
        <v>111</v>
      </c>
      <c r="AJ1258" t="s">
        <v>111</v>
      </c>
      <c r="AK1258" t="s">
        <v>111</v>
      </c>
      <c r="AL1258" t="s">
        <v>111</v>
      </c>
      <c r="AM1258">
        <v>0</v>
      </c>
      <c r="AN1258">
        <v>0</v>
      </c>
      <c r="AO1258">
        <v>0</v>
      </c>
      <c r="AP1258" t="s">
        <v>111</v>
      </c>
      <c r="AQ1258" t="s">
        <v>111</v>
      </c>
      <c r="AR1258" t="s">
        <v>111</v>
      </c>
      <c r="AS1258" t="s">
        <v>111</v>
      </c>
      <c r="AT1258" t="s">
        <v>111</v>
      </c>
      <c r="AU1258" t="s">
        <v>111</v>
      </c>
      <c r="AV1258" t="s">
        <v>111</v>
      </c>
      <c r="AW1258" t="s">
        <v>111</v>
      </c>
      <c r="AX1258" t="s">
        <v>111</v>
      </c>
      <c r="AY1258" t="s">
        <v>111</v>
      </c>
      <c r="AZ1258" t="s">
        <v>111</v>
      </c>
      <c r="BA1258" t="s">
        <v>111</v>
      </c>
      <c r="BB1258" t="s">
        <v>111</v>
      </c>
      <c r="BC1258" t="s">
        <v>111</v>
      </c>
      <c r="BD1258" t="s">
        <v>111</v>
      </c>
      <c r="BE1258" t="s">
        <v>111</v>
      </c>
      <c r="BF1258" t="s">
        <v>111</v>
      </c>
      <c r="BG1258" t="s">
        <v>111</v>
      </c>
      <c r="BH1258" t="s">
        <v>111</v>
      </c>
      <c r="BI1258" t="s">
        <v>111</v>
      </c>
      <c r="BJ1258" t="s">
        <v>111</v>
      </c>
      <c r="BK1258" t="s">
        <v>111</v>
      </c>
      <c r="BL1258" t="s">
        <v>111</v>
      </c>
      <c r="BM1258" t="s">
        <v>111</v>
      </c>
      <c r="BN1258" t="s">
        <v>111</v>
      </c>
      <c r="BO1258" t="s">
        <v>111</v>
      </c>
      <c r="BP1258" t="s">
        <v>111</v>
      </c>
      <c r="BQ1258" t="s">
        <v>111</v>
      </c>
      <c r="BR1258" t="s">
        <v>111</v>
      </c>
      <c r="BS1258" t="s">
        <v>111</v>
      </c>
      <c r="BT1258" t="s">
        <v>111</v>
      </c>
      <c r="BU1258" t="s">
        <v>111</v>
      </c>
      <c r="BV1258" t="s">
        <v>111</v>
      </c>
      <c r="BW1258" t="s">
        <v>111</v>
      </c>
      <c r="BX1258" t="s">
        <v>111</v>
      </c>
      <c r="BY1258" t="s">
        <v>111</v>
      </c>
      <c r="BZ1258" t="s">
        <v>111</v>
      </c>
      <c r="CA1258" t="s">
        <v>111</v>
      </c>
      <c r="CB1258" t="s">
        <v>111</v>
      </c>
      <c r="CC1258" t="s">
        <v>111</v>
      </c>
      <c r="CD1258" t="s">
        <v>111</v>
      </c>
      <c r="CE1258" t="s">
        <v>111</v>
      </c>
      <c r="CF1258" t="s">
        <v>111</v>
      </c>
      <c r="CG1258" t="s">
        <v>111</v>
      </c>
      <c r="CH1258" t="s">
        <v>111</v>
      </c>
      <c r="CI1258" t="s">
        <v>111</v>
      </c>
      <c r="CJ1258" t="s">
        <v>111</v>
      </c>
      <c r="CK1258" t="s">
        <v>111</v>
      </c>
      <c r="CL1258" t="e">
        <f>-DESTINO SELLADO</f>
        <v>#NAME?</v>
      </c>
      <c r="CM1258" t="s">
        <v>135</v>
      </c>
      <c r="CN1258" t="s">
        <v>113</v>
      </c>
      <c r="CO1258" t="s">
        <v>111</v>
      </c>
      <c r="CP1258" t="s">
        <v>563</v>
      </c>
      <c r="CQ1258">
        <v>80</v>
      </c>
      <c r="CR1258">
        <v>5000</v>
      </c>
      <c r="CS1258">
        <v>200</v>
      </c>
      <c r="CT1258" t="e">
        <f>-DESTINO ALMACEN</f>
        <v>#NAME?</v>
      </c>
      <c r="CU1258">
        <v>0</v>
      </c>
      <c r="CV1258" t="s">
        <v>111</v>
      </c>
      <c r="CW1258" t="s">
        <v>111</v>
      </c>
      <c r="CX1258" t="s">
        <v>111</v>
      </c>
      <c r="CY1258">
        <v>0</v>
      </c>
      <c r="CZ1258" t="s">
        <v>111</v>
      </c>
      <c r="DA1258" t="s">
        <v>111</v>
      </c>
      <c r="DB1258" t="s">
        <v>111</v>
      </c>
      <c r="DC1258" t="s">
        <v>111</v>
      </c>
    </row>
    <row r="1259" spans="1:107">
      <c r="A1259">
        <v>699</v>
      </c>
      <c r="B1259" t="s">
        <v>162</v>
      </c>
      <c r="C1259" t="s">
        <v>1338</v>
      </c>
      <c r="D1259" t="s">
        <v>3684</v>
      </c>
      <c r="E1259" t="s">
        <v>3685</v>
      </c>
      <c r="F1259" t="s">
        <v>1651</v>
      </c>
      <c r="G1259" t="s">
        <v>3657</v>
      </c>
      <c r="H1259">
        <v>1.5</v>
      </c>
      <c r="I1259">
        <v>35</v>
      </c>
      <c r="J1259">
        <v>0</v>
      </c>
      <c r="K1259">
        <v>0</v>
      </c>
      <c r="L1259" t="s">
        <v>178</v>
      </c>
      <c r="M1259" t="s">
        <v>118</v>
      </c>
      <c r="N1259">
        <v>40</v>
      </c>
      <c r="O1259">
        <v>2</v>
      </c>
      <c r="P1259" t="s">
        <v>138</v>
      </c>
      <c r="Q1259">
        <v>30</v>
      </c>
      <c r="R1259">
        <v>0</v>
      </c>
      <c r="S1259">
        <v>0</v>
      </c>
      <c r="T1259">
        <v>5</v>
      </c>
      <c r="U1259" t="s">
        <v>1384</v>
      </c>
      <c r="V1259">
        <v>0</v>
      </c>
      <c r="W1259">
        <v>0</v>
      </c>
      <c r="X1259">
        <v>0</v>
      </c>
      <c r="Y1259">
        <v>25</v>
      </c>
      <c r="Z1259" t="s">
        <v>111</v>
      </c>
      <c r="AA1259">
        <v>0</v>
      </c>
      <c r="AB1259" t="s">
        <v>111</v>
      </c>
      <c r="AC1259">
        <v>0</v>
      </c>
      <c r="AD1259" t="s">
        <v>416</v>
      </c>
      <c r="AE1259">
        <v>4</v>
      </c>
      <c r="AF1259">
        <v>2</v>
      </c>
      <c r="AG1259">
        <v>18</v>
      </c>
      <c r="AH1259" t="s">
        <v>113</v>
      </c>
      <c r="AI1259">
        <v>37</v>
      </c>
      <c r="AJ1259" t="s">
        <v>111</v>
      </c>
      <c r="AK1259" t="s">
        <v>111</v>
      </c>
      <c r="AL1259" t="s">
        <v>111</v>
      </c>
      <c r="AM1259">
        <v>0</v>
      </c>
      <c r="AN1259">
        <v>0</v>
      </c>
      <c r="AO1259">
        <v>0</v>
      </c>
      <c r="AP1259" t="s">
        <v>111</v>
      </c>
      <c r="AQ1259" t="s">
        <v>111</v>
      </c>
      <c r="AR1259" t="s">
        <v>111</v>
      </c>
      <c r="AS1259" t="s">
        <v>111</v>
      </c>
      <c r="AT1259" t="s">
        <v>111</v>
      </c>
      <c r="AU1259" t="s">
        <v>111</v>
      </c>
      <c r="AV1259" t="s">
        <v>111</v>
      </c>
      <c r="AW1259" t="s">
        <v>111</v>
      </c>
      <c r="AX1259" t="s">
        <v>111</v>
      </c>
      <c r="AY1259" t="s">
        <v>111</v>
      </c>
      <c r="AZ1259" t="s">
        <v>111</v>
      </c>
      <c r="BA1259" t="s">
        <v>111</v>
      </c>
      <c r="BB1259" t="s">
        <v>111</v>
      </c>
      <c r="BC1259" t="s">
        <v>111</v>
      </c>
      <c r="BD1259" t="s">
        <v>111</v>
      </c>
      <c r="BE1259" t="s">
        <v>111</v>
      </c>
      <c r="BF1259" t="s">
        <v>111</v>
      </c>
      <c r="BG1259" t="s">
        <v>111</v>
      </c>
      <c r="BH1259" t="s">
        <v>111</v>
      </c>
      <c r="BI1259" t="s">
        <v>111</v>
      </c>
      <c r="BJ1259" t="s">
        <v>111</v>
      </c>
      <c r="BK1259" t="s">
        <v>111</v>
      </c>
      <c r="BL1259" t="s">
        <v>111</v>
      </c>
      <c r="BM1259" t="s">
        <v>111</v>
      </c>
      <c r="BN1259" t="s">
        <v>111</v>
      </c>
      <c r="BO1259" t="s">
        <v>111</v>
      </c>
      <c r="BP1259" t="s">
        <v>111</v>
      </c>
      <c r="BQ1259" t="s">
        <v>111</v>
      </c>
      <c r="BR1259" t="s">
        <v>111</v>
      </c>
      <c r="BS1259" t="s">
        <v>111</v>
      </c>
      <c r="BT1259" t="s">
        <v>111</v>
      </c>
      <c r="BU1259" t="s">
        <v>111</v>
      </c>
      <c r="BV1259" t="s">
        <v>111</v>
      </c>
      <c r="BW1259" t="s">
        <v>111</v>
      </c>
      <c r="BX1259" t="s">
        <v>111</v>
      </c>
      <c r="BY1259" t="s">
        <v>111</v>
      </c>
      <c r="BZ1259" t="s">
        <v>111</v>
      </c>
      <c r="CA1259" t="s">
        <v>111</v>
      </c>
      <c r="CB1259" t="s">
        <v>111</v>
      </c>
      <c r="CC1259" t="s">
        <v>111</v>
      </c>
      <c r="CD1259" t="s">
        <v>111</v>
      </c>
      <c r="CE1259" t="s">
        <v>111</v>
      </c>
      <c r="CF1259" t="s">
        <v>111</v>
      </c>
      <c r="CG1259" t="s">
        <v>111</v>
      </c>
      <c r="CH1259" t="s">
        <v>111</v>
      </c>
      <c r="CI1259" t="s">
        <v>111</v>
      </c>
      <c r="CJ1259" t="s">
        <v>111</v>
      </c>
      <c r="CK1259" t="s">
        <v>111</v>
      </c>
      <c r="CL1259" t="s">
        <v>153</v>
      </c>
      <c r="CM1259" t="s">
        <v>198</v>
      </c>
      <c r="CN1259" t="s">
        <v>113</v>
      </c>
      <c r="CO1259" t="s">
        <v>111</v>
      </c>
      <c r="CP1259" t="s">
        <v>433</v>
      </c>
      <c r="CQ1259">
        <v>80</v>
      </c>
      <c r="CR1259">
        <v>6000</v>
      </c>
      <c r="CS1259">
        <v>200</v>
      </c>
      <c r="CT1259" s="1" t="s">
        <v>3687</v>
      </c>
      <c r="CU1259">
        <v>0</v>
      </c>
      <c r="CV1259" t="s">
        <v>111</v>
      </c>
      <c r="CW1259" t="s">
        <v>111</v>
      </c>
      <c r="CX1259" t="s">
        <v>111</v>
      </c>
      <c r="CY1259">
        <v>0</v>
      </c>
      <c r="CZ1259" t="s">
        <v>111</v>
      </c>
      <c r="DA1259" t="s">
        <v>111</v>
      </c>
      <c r="DB1259" t="s">
        <v>111</v>
      </c>
      <c r="DC1259" t="s">
        <v>111</v>
      </c>
    </row>
    <row r="1260" spans="1:107">
      <c r="A1260">
        <v>1609</v>
      </c>
      <c r="B1260" t="s">
        <v>107</v>
      </c>
      <c r="C1260" t="s">
        <v>2543</v>
      </c>
      <c r="D1260" t="s">
        <v>3688</v>
      </c>
      <c r="E1260" t="s">
        <v>3689</v>
      </c>
      <c r="F1260" t="s">
        <v>1651</v>
      </c>
      <c r="G1260" t="s">
        <v>3657</v>
      </c>
      <c r="H1260">
        <v>1.5</v>
      </c>
      <c r="I1260">
        <v>66</v>
      </c>
      <c r="J1260">
        <v>0</v>
      </c>
      <c r="K1260">
        <v>0</v>
      </c>
      <c r="L1260" t="s">
        <v>117</v>
      </c>
      <c r="M1260" t="s">
        <v>118</v>
      </c>
      <c r="N1260">
        <v>0</v>
      </c>
      <c r="O1260">
        <v>1</v>
      </c>
      <c r="P1260" t="s">
        <v>111</v>
      </c>
      <c r="Q1260">
        <v>30</v>
      </c>
      <c r="R1260">
        <v>0</v>
      </c>
      <c r="S1260">
        <v>0</v>
      </c>
      <c r="T1260">
        <v>5</v>
      </c>
      <c r="U1260" s="1" t="s">
        <v>587</v>
      </c>
      <c r="V1260">
        <v>0</v>
      </c>
      <c r="W1260">
        <v>0</v>
      </c>
      <c r="X1260">
        <v>0</v>
      </c>
      <c r="Y1260">
        <v>25</v>
      </c>
      <c r="Z1260" t="s">
        <v>111</v>
      </c>
      <c r="AA1260">
        <v>0</v>
      </c>
      <c r="AB1260" t="s">
        <v>111</v>
      </c>
      <c r="AC1260">
        <v>0</v>
      </c>
      <c r="AD1260" t="s">
        <v>416</v>
      </c>
      <c r="AE1260">
        <v>0</v>
      </c>
      <c r="AF1260">
        <v>0</v>
      </c>
      <c r="AG1260" t="s">
        <v>111</v>
      </c>
      <c r="AH1260" t="s">
        <v>113</v>
      </c>
      <c r="AI1260" t="s">
        <v>111</v>
      </c>
      <c r="AJ1260" t="s">
        <v>111</v>
      </c>
      <c r="AK1260" t="s">
        <v>111</v>
      </c>
      <c r="AL1260" t="s">
        <v>111</v>
      </c>
      <c r="AM1260">
        <v>0</v>
      </c>
      <c r="AN1260">
        <v>0</v>
      </c>
      <c r="AO1260">
        <v>0</v>
      </c>
      <c r="AP1260" t="s">
        <v>111</v>
      </c>
      <c r="AQ1260" t="s">
        <v>111</v>
      </c>
      <c r="AR1260" t="s">
        <v>111</v>
      </c>
      <c r="AS1260" t="s">
        <v>111</v>
      </c>
      <c r="AT1260" t="s">
        <v>111</v>
      </c>
      <c r="AU1260" t="s">
        <v>111</v>
      </c>
      <c r="AV1260" t="s">
        <v>111</v>
      </c>
      <c r="AW1260" t="s">
        <v>111</v>
      </c>
      <c r="AX1260" t="s">
        <v>111</v>
      </c>
      <c r="AY1260" t="s">
        <v>111</v>
      </c>
      <c r="AZ1260" t="s">
        <v>111</v>
      </c>
      <c r="BA1260" t="s">
        <v>111</v>
      </c>
      <c r="BB1260" t="s">
        <v>111</v>
      </c>
      <c r="BC1260" t="s">
        <v>111</v>
      </c>
      <c r="BD1260" t="s">
        <v>111</v>
      </c>
      <c r="BE1260" t="s">
        <v>111</v>
      </c>
      <c r="BF1260" t="s">
        <v>111</v>
      </c>
      <c r="BG1260" t="s">
        <v>111</v>
      </c>
      <c r="BH1260" t="s">
        <v>111</v>
      </c>
      <c r="BI1260" t="s">
        <v>111</v>
      </c>
      <c r="BJ1260" t="s">
        <v>111</v>
      </c>
      <c r="BK1260" t="s">
        <v>111</v>
      </c>
      <c r="BL1260" t="s">
        <v>111</v>
      </c>
      <c r="BM1260" t="s">
        <v>111</v>
      </c>
      <c r="BN1260" t="s">
        <v>111</v>
      </c>
      <c r="BO1260" t="s">
        <v>111</v>
      </c>
      <c r="BP1260" t="s">
        <v>111</v>
      </c>
      <c r="BQ1260" t="s">
        <v>111</v>
      </c>
      <c r="BR1260" t="s">
        <v>111</v>
      </c>
      <c r="BS1260" t="s">
        <v>111</v>
      </c>
      <c r="BT1260" t="s">
        <v>111</v>
      </c>
      <c r="BU1260" t="s">
        <v>111</v>
      </c>
      <c r="BV1260" t="s">
        <v>111</v>
      </c>
      <c r="BW1260" t="s">
        <v>111</v>
      </c>
      <c r="BX1260" t="s">
        <v>111</v>
      </c>
      <c r="BY1260" t="s">
        <v>111</v>
      </c>
      <c r="BZ1260" t="s">
        <v>111</v>
      </c>
      <c r="CA1260" t="s">
        <v>111</v>
      </c>
      <c r="CB1260" t="s">
        <v>111</v>
      </c>
      <c r="CC1260" t="s">
        <v>111</v>
      </c>
      <c r="CD1260" t="s">
        <v>111</v>
      </c>
      <c r="CE1260" t="s">
        <v>111</v>
      </c>
      <c r="CF1260" t="s">
        <v>111</v>
      </c>
      <c r="CG1260" t="s">
        <v>111</v>
      </c>
      <c r="CH1260" t="s">
        <v>111</v>
      </c>
      <c r="CI1260" t="s">
        <v>111</v>
      </c>
      <c r="CJ1260" t="s">
        <v>111</v>
      </c>
      <c r="CK1260" t="s">
        <v>111</v>
      </c>
      <c r="CL1260" t="s">
        <v>111</v>
      </c>
      <c r="CM1260" t="s">
        <v>135</v>
      </c>
      <c r="CN1260" t="s">
        <v>113</v>
      </c>
      <c r="CO1260" t="s">
        <v>111</v>
      </c>
      <c r="CP1260" t="s">
        <v>111</v>
      </c>
      <c r="CQ1260">
        <v>86</v>
      </c>
      <c r="CR1260">
        <v>5000</v>
      </c>
      <c r="CS1260">
        <v>250</v>
      </c>
      <c r="CT1260" t="e">
        <f>-ALMACEN</f>
        <v>#NAME?</v>
      </c>
      <c r="CU1260">
        <v>0</v>
      </c>
      <c r="CV1260" t="s">
        <v>111</v>
      </c>
      <c r="CW1260" t="s">
        <v>111</v>
      </c>
      <c r="CX1260" t="s">
        <v>111</v>
      </c>
      <c r="CY1260">
        <v>0</v>
      </c>
      <c r="CZ1260" t="s">
        <v>111</v>
      </c>
      <c r="DA1260" t="s">
        <v>111</v>
      </c>
      <c r="DB1260" t="s">
        <v>111</v>
      </c>
      <c r="DC1260" t="s">
        <v>111</v>
      </c>
    </row>
    <row r="1261" spans="1:107">
      <c r="A1261">
        <v>1595</v>
      </c>
      <c r="B1261" t="s">
        <v>107</v>
      </c>
      <c r="C1261" t="s">
        <v>2543</v>
      </c>
      <c r="D1261" t="s">
        <v>3690</v>
      </c>
      <c r="E1261" t="s">
        <v>3691</v>
      </c>
      <c r="F1261" t="s">
        <v>1651</v>
      </c>
      <c r="G1261" t="s">
        <v>3657</v>
      </c>
      <c r="H1261">
        <v>1.5</v>
      </c>
      <c r="I1261">
        <v>80</v>
      </c>
      <c r="J1261">
        <v>0</v>
      </c>
      <c r="K1261">
        <v>0</v>
      </c>
      <c r="L1261" t="s">
        <v>117</v>
      </c>
      <c r="M1261" t="s">
        <v>118</v>
      </c>
      <c r="N1261">
        <v>40</v>
      </c>
      <c r="O1261">
        <v>1</v>
      </c>
      <c r="P1261" t="s">
        <v>111</v>
      </c>
      <c r="Q1261">
        <v>50</v>
      </c>
      <c r="R1261">
        <v>0</v>
      </c>
      <c r="S1261">
        <v>0</v>
      </c>
      <c r="T1261">
        <v>5</v>
      </c>
      <c r="U1261" s="1" t="s">
        <v>662</v>
      </c>
      <c r="V1261">
        <v>0</v>
      </c>
      <c r="W1261">
        <v>0</v>
      </c>
      <c r="X1261">
        <v>0</v>
      </c>
      <c r="Y1261">
        <v>25</v>
      </c>
      <c r="Z1261" t="s">
        <v>111</v>
      </c>
      <c r="AA1261">
        <v>0</v>
      </c>
      <c r="AB1261" t="s">
        <v>111</v>
      </c>
      <c r="AC1261">
        <v>0</v>
      </c>
      <c r="AD1261" t="s">
        <v>416</v>
      </c>
      <c r="AE1261">
        <v>0</v>
      </c>
      <c r="AF1261">
        <v>0</v>
      </c>
      <c r="AG1261" t="s">
        <v>111</v>
      </c>
      <c r="AH1261" t="s">
        <v>113</v>
      </c>
      <c r="AI1261" t="s">
        <v>111</v>
      </c>
      <c r="AJ1261" t="s">
        <v>111</v>
      </c>
      <c r="AK1261" t="s">
        <v>111</v>
      </c>
      <c r="AL1261" t="s">
        <v>111</v>
      </c>
      <c r="AM1261">
        <v>0</v>
      </c>
      <c r="AN1261">
        <v>0</v>
      </c>
      <c r="AO1261">
        <v>0</v>
      </c>
      <c r="AP1261" t="s">
        <v>111</v>
      </c>
      <c r="AQ1261" t="s">
        <v>111</v>
      </c>
      <c r="AR1261" t="s">
        <v>111</v>
      </c>
      <c r="AS1261" t="s">
        <v>111</v>
      </c>
      <c r="AT1261" t="s">
        <v>111</v>
      </c>
      <c r="AU1261" t="s">
        <v>111</v>
      </c>
      <c r="AV1261" t="s">
        <v>111</v>
      </c>
      <c r="AW1261" t="s">
        <v>111</v>
      </c>
      <c r="AX1261" t="s">
        <v>111</v>
      </c>
      <c r="AY1261" t="s">
        <v>111</v>
      </c>
      <c r="AZ1261" t="s">
        <v>111</v>
      </c>
      <c r="BA1261" t="s">
        <v>111</v>
      </c>
      <c r="BB1261" t="s">
        <v>111</v>
      </c>
      <c r="BC1261" t="s">
        <v>111</v>
      </c>
      <c r="BD1261" t="s">
        <v>111</v>
      </c>
      <c r="BE1261" t="s">
        <v>111</v>
      </c>
      <c r="BF1261" t="s">
        <v>111</v>
      </c>
      <c r="BG1261" t="s">
        <v>111</v>
      </c>
      <c r="BH1261" t="s">
        <v>111</v>
      </c>
      <c r="BI1261" t="s">
        <v>111</v>
      </c>
      <c r="BJ1261" t="s">
        <v>111</v>
      </c>
      <c r="BK1261" t="s">
        <v>111</v>
      </c>
      <c r="BL1261" t="s">
        <v>111</v>
      </c>
      <c r="BM1261" t="s">
        <v>111</v>
      </c>
      <c r="BN1261" t="s">
        <v>111</v>
      </c>
      <c r="BO1261" t="s">
        <v>111</v>
      </c>
      <c r="BP1261" t="s">
        <v>111</v>
      </c>
      <c r="BQ1261" t="s">
        <v>111</v>
      </c>
      <c r="BR1261" t="s">
        <v>111</v>
      </c>
      <c r="BS1261" t="s">
        <v>111</v>
      </c>
      <c r="BT1261" t="s">
        <v>111</v>
      </c>
      <c r="BU1261" t="s">
        <v>111</v>
      </c>
      <c r="BV1261" t="s">
        <v>111</v>
      </c>
      <c r="BW1261" t="s">
        <v>111</v>
      </c>
      <c r="BX1261" t="s">
        <v>111</v>
      </c>
      <c r="BY1261" t="s">
        <v>111</v>
      </c>
      <c r="BZ1261" t="s">
        <v>111</v>
      </c>
      <c r="CA1261" t="s">
        <v>111</v>
      </c>
      <c r="CB1261" t="s">
        <v>111</v>
      </c>
      <c r="CC1261" t="s">
        <v>111</v>
      </c>
      <c r="CD1261" t="s">
        <v>111</v>
      </c>
      <c r="CE1261" t="s">
        <v>111</v>
      </c>
      <c r="CF1261" t="s">
        <v>111</v>
      </c>
      <c r="CG1261" t="s">
        <v>111</v>
      </c>
      <c r="CH1261" t="s">
        <v>111</v>
      </c>
      <c r="CI1261" t="s">
        <v>111</v>
      </c>
      <c r="CJ1261" t="s">
        <v>111</v>
      </c>
      <c r="CK1261" t="s">
        <v>111</v>
      </c>
      <c r="CL1261" t="s">
        <v>111</v>
      </c>
      <c r="CM1261" t="s">
        <v>135</v>
      </c>
      <c r="CN1261" t="s">
        <v>113</v>
      </c>
      <c r="CO1261" t="s">
        <v>111</v>
      </c>
      <c r="CP1261" t="s">
        <v>111</v>
      </c>
      <c r="CQ1261">
        <v>0</v>
      </c>
      <c r="CR1261">
        <v>4000</v>
      </c>
      <c r="CS1261">
        <v>200</v>
      </c>
      <c r="CT1261" t="e">
        <f>-ALMACEN</f>
        <v>#NAME?</v>
      </c>
      <c r="CU1261">
        <v>0</v>
      </c>
      <c r="CV1261" t="s">
        <v>111</v>
      </c>
      <c r="CW1261" t="s">
        <v>111</v>
      </c>
      <c r="CX1261" t="s">
        <v>111</v>
      </c>
      <c r="CY1261">
        <v>0</v>
      </c>
      <c r="CZ1261" t="s">
        <v>111</v>
      </c>
      <c r="DA1261" t="s">
        <v>111</v>
      </c>
      <c r="DB1261" t="s">
        <v>111</v>
      </c>
      <c r="DC1261" t="s">
        <v>111</v>
      </c>
    </row>
    <row r="1262" spans="1:107">
      <c r="A1262">
        <v>526</v>
      </c>
      <c r="B1262" t="s">
        <v>162</v>
      </c>
      <c r="C1262" t="s">
        <v>1322</v>
      </c>
      <c r="D1262" t="s">
        <v>3692</v>
      </c>
      <c r="E1262" t="s">
        <v>3693</v>
      </c>
      <c r="F1262" t="s">
        <v>1651</v>
      </c>
      <c r="G1262" t="s">
        <v>3657</v>
      </c>
      <c r="H1262">
        <v>1.4</v>
      </c>
      <c r="I1262">
        <v>70</v>
      </c>
      <c r="J1262">
        <v>0</v>
      </c>
      <c r="K1262">
        <v>0</v>
      </c>
      <c r="L1262" t="s">
        <v>117</v>
      </c>
      <c r="M1262" t="s">
        <v>118</v>
      </c>
      <c r="N1262">
        <v>40</v>
      </c>
      <c r="O1262">
        <v>2</v>
      </c>
      <c r="P1262" t="s">
        <v>138</v>
      </c>
      <c r="Q1262">
        <v>40</v>
      </c>
      <c r="R1262">
        <v>0</v>
      </c>
      <c r="S1262">
        <v>0</v>
      </c>
      <c r="T1262">
        <v>0</v>
      </c>
      <c r="U1262" t="s">
        <v>1353</v>
      </c>
      <c r="V1262">
        <v>0</v>
      </c>
      <c r="W1262">
        <v>0</v>
      </c>
      <c r="X1262">
        <v>0</v>
      </c>
      <c r="Y1262">
        <v>25</v>
      </c>
      <c r="Z1262" t="s">
        <v>111</v>
      </c>
      <c r="AA1262">
        <v>0</v>
      </c>
      <c r="AB1262" t="s">
        <v>111</v>
      </c>
      <c r="AC1262">
        <v>0</v>
      </c>
      <c r="AD1262" t="s">
        <v>416</v>
      </c>
      <c r="AE1262">
        <v>4</v>
      </c>
      <c r="AF1262">
        <v>2</v>
      </c>
      <c r="AG1262">
        <v>22</v>
      </c>
      <c r="AH1262" t="s">
        <v>111</v>
      </c>
      <c r="AI1262">
        <v>44</v>
      </c>
      <c r="AJ1262" t="s">
        <v>111</v>
      </c>
      <c r="AK1262" t="s">
        <v>111</v>
      </c>
      <c r="AL1262" t="s">
        <v>111</v>
      </c>
      <c r="AM1262">
        <v>0</v>
      </c>
      <c r="AN1262">
        <v>0</v>
      </c>
      <c r="AO1262">
        <v>0</v>
      </c>
      <c r="AP1262" t="s">
        <v>111</v>
      </c>
      <c r="AQ1262" t="s">
        <v>111</v>
      </c>
      <c r="AR1262" t="s">
        <v>111</v>
      </c>
      <c r="AS1262" t="s">
        <v>111</v>
      </c>
      <c r="AT1262" t="s">
        <v>111</v>
      </c>
      <c r="AU1262" t="s">
        <v>111</v>
      </c>
      <c r="AV1262" t="s">
        <v>111</v>
      </c>
      <c r="AW1262" t="s">
        <v>111</v>
      </c>
      <c r="AX1262" t="s">
        <v>111</v>
      </c>
      <c r="AY1262" t="s">
        <v>111</v>
      </c>
      <c r="AZ1262" t="s">
        <v>111</v>
      </c>
      <c r="BA1262" t="s">
        <v>111</v>
      </c>
      <c r="BB1262" t="s">
        <v>111</v>
      </c>
      <c r="BC1262" t="s">
        <v>111</v>
      </c>
      <c r="BD1262" t="s">
        <v>111</v>
      </c>
      <c r="BE1262" t="s">
        <v>111</v>
      </c>
      <c r="BF1262" t="s">
        <v>111</v>
      </c>
      <c r="BG1262" t="s">
        <v>111</v>
      </c>
      <c r="BH1262" t="s">
        <v>111</v>
      </c>
      <c r="BI1262" t="s">
        <v>111</v>
      </c>
      <c r="BJ1262" t="s">
        <v>111</v>
      </c>
      <c r="BK1262" t="s">
        <v>111</v>
      </c>
      <c r="BL1262" t="s">
        <v>111</v>
      </c>
      <c r="BM1262" t="s">
        <v>111</v>
      </c>
      <c r="BN1262" t="s">
        <v>111</v>
      </c>
      <c r="BO1262" t="s">
        <v>111</v>
      </c>
      <c r="BP1262" t="s">
        <v>111</v>
      </c>
      <c r="BQ1262" t="s">
        <v>111</v>
      </c>
      <c r="BR1262" t="s">
        <v>111</v>
      </c>
      <c r="BS1262" t="s">
        <v>111</v>
      </c>
      <c r="BT1262" t="s">
        <v>111</v>
      </c>
      <c r="BU1262" t="s">
        <v>111</v>
      </c>
      <c r="BV1262" t="s">
        <v>111</v>
      </c>
      <c r="BW1262" t="s">
        <v>111</v>
      </c>
      <c r="BX1262" t="s">
        <v>111</v>
      </c>
      <c r="BY1262" t="s">
        <v>111</v>
      </c>
      <c r="BZ1262" t="s">
        <v>111</v>
      </c>
      <c r="CA1262" t="s">
        <v>111</v>
      </c>
      <c r="CB1262" t="s">
        <v>111</v>
      </c>
      <c r="CC1262" t="s">
        <v>111</v>
      </c>
      <c r="CD1262" t="s">
        <v>111</v>
      </c>
      <c r="CE1262" t="s">
        <v>111</v>
      </c>
      <c r="CF1262" t="s">
        <v>111</v>
      </c>
      <c r="CG1262" t="s">
        <v>111</v>
      </c>
      <c r="CH1262" t="s">
        <v>111</v>
      </c>
      <c r="CI1262" t="s">
        <v>111</v>
      </c>
      <c r="CJ1262" t="s">
        <v>111</v>
      </c>
      <c r="CK1262" t="s">
        <v>111</v>
      </c>
      <c r="CL1262" t="s">
        <v>153</v>
      </c>
      <c r="CM1262" t="s">
        <v>198</v>
      </c>
      <c r="CN1262" t="s">
        <v>113</v>
      </c>
      <c r="CO1262" t="s">
        <v>111</v>
      </c>
      <c r="CP1262" t="s">
        <v>433</v>
      </c>
      <c r="CQ1262">
        <v>0</v>
      </c>
      <c r="CR1262">
        <v>4000</v>
      </c>
      <c r="CS1262">
        <v>200</v>
      </c>
      <c r="CT1262" s="1" t="s">
        <v>3694</v>
      </c>
      <c r="CU1262">
        <v>0</v>
      </c>
      <c r="CV1262" t="s">
        <v>111</v>
      </c>
      <c r="CW1262" t="s">
        <v>111</v>
      </c>
      <c r="CX1262" t="s">
        <v>111</v>
      </c>
      <c r="CY1262">
        <v>0</v>
      </c>
      <c r="CZ1262" t="s">
        <v>111</v>
      </c>
      <c r="DA1262" t="s">
        <v>111</v>
      </c>
      <c r="DB1262" t="s">
        <v>111</v>
      </c>
      <c r="DC1262" t="s">
        <v>111</v>
      </c>
    </row>
    <row r="1263" spans="1:107">
      <c r="A1263">
        <v>440</v>
      </c>
      <c r="B1263" t="s">
        <v>162</v>
      </c>
      <c r="C1263" t="s">
        <v>267</v>
      </c>
      <c r="D1263" t="s">
        <v>3695</v>
      </c>
      <c r="E1263" t="s">
        <v>3696</v>
      </c>
      <c r="F1263" t="s">
        <v>2211</v>
      </c>
      <c r="G1263" t="s">
        <v>3657</v>
      </c>
      <c r="H1263">
        <v>1.5</v>
      </c>
      <c r="I1263">
        <v>75</v>
      </c>
      <c r="J1263">
        <v>0</v>
      </c>
      <c r="K1263">
        <v>0</v>
      </c>
      <c r="L1263" t="s">
        <v>117</v>
      </c>
      <c r="M1263" t="s">
        <v>118</v>
      </c>
      <c r="N1263">
        <v>40</v>
      </c>
      <c r="O1263">
        <v>2</v>
      </c>
      <c r="P1263" t="s">
        <v>138</v>
      </c>
      <c r="Q1263">
        <v>30</v>
      </c>
      <c r="R1263">
        <v>0</v>
      </c>
      <c r="S1263">
        <v>0</v>
      </c>
      <c r="T1263">
        <v>0</v>
      </c>
      <c r="U1263" t="s">
        <v>168</v>
      </c>
      <c r="V1263">
        <v>0</v>
      </c>
      <c r="W1263">
        <v>0</v>
      </c>
      <c r="X1263">
        <v>0</v>
      </c>
      <c r="Y1263">
        <v>25</v>
      </c>
      <c r="Z1263" t="s">
        <v>111</v>
      </c>
      <c r="AA1263">
        <v>0</v>
      </c>
      <c r="AB1263" t="s">
        <v>111</v>
      </c>
      <c r="AC1263">
        <v>0</v>
      </c>
      <c r="AD1263" t="s">
        <v>111</v>
      </c>
      <c r="AE1263">
        <v>0</v>
      </c>
      <c r="AF1263">
        <v>0</v>
      </c>
      <c r="AG1263" t="s">
        <v>111</v>
      </c>
      <c r="AH1263" t="s">
        <v>111</v>
      </c>
      <c r="AI1263" t="s">
        <v>111</v>
      </c>
      <c r="AJ1263" t="s">
        <v>111</v>
      </c>
      <c r="AK1263" t="s">
        <v>111</v>
      </c>
      <c r="AL1263" t="s">
        <v>111</v>
      </c>
      <c r="AM1263">
        <v>0</v>
      </c>
      <c r="AN1263">
        <v>0</v>
      </c>
      <c r="AO1263">
        <v>0</v>
      </c>
      <c r="AP1263" t="s">
        <v>111</v>
      </c>
      <c r="AQ1263" t="s">
        <v>111</v>
      </c>
      <c r="AR1263" t="s">
        <v>111</v>
      </c>
      <c r="AS1263" t="s">
        <v>111</v>
      </c>
      <c r="AT1263" t="s">
        <v>111</v>
      </c>
      <c r="AU1263" t="s">
        <v>111</v>
      </c>
      <c r="AV1263" t="s">
        <v>111</v>
      </c>
      <c r="AW1263" t="s">
        <v>111</v>
      </c>
      <c r="AX1263" t="s">
        <v>111</v>
      </c>
      <c r="AY1263" t="s">
        <v>111</v>
      </c>
      <c r="AZ1263" t="s">
        <v>111</v>
      </c>
      <c r="BA1263" t="s">
        <v>111</v>
      </c>
      <c r="BB1263" t="s">
        <v>111</v>
      </c>
      <c r="BC1263" t="s">
        <v>111</v>
      </c>
      <c r="BD1263" t="s">
        <v>111</v>
      </c>
      <c r="BE1263" t="s">
        <v>111</v>
      </c>
      <c r="BF1263" t="s">
        <v>111</v>
      </c>
      <c r="BG1263" t="s">
        <v>111</v>
      </c>
      <c r="BH1263" t="s">
        <v>111</v>
      </c>
      <c r="BI1263" t="s">
        <v>111</v>
      </c>
      <c r="BJ1263" t="s">
        <v>111</v>
      </c>
      <c r="BK1263" t="s">
        <v>111</v>
      </c>
      <c r="BL1263" t="s">
        <v>111</v>
      </c>
      <c r="BM1263" t="s">
        <v>111</v>
      </c>
      <c r="BN1263" t="s">
        <v>111</v>
      </c>
      <c r="BO1263" t="s">
        <v>111</v>
      </c>
      <c r="BP1263" t="s">
        <v>111</v>
      </c>
      <c r="BQ1263" t="s">
        <v>111</v>
      </c>
      <c r="BR1263" t="s">
        <v>111</v>
      </c>
      <c r="BS1263" t="s">
        <v>111</v>
      </c>
      <c r="BT1263" t="s">
        <v>111</v>
      </c>
      <c r="BU1263" t="s">
        <v>111</v>
      </c>
      <c r="BV1263" t="s">
        <v>111</v>
      </c>
      <c r="BW1263" t="s">
        <v>111</v>
      </c>
      <c r="BX1263" t="s">
        <v>111</v>
      </c>
      <c r="BY1263" t="s">
        <v>111</v>
      </c>
      <c r="BZ1263" t="s">
        <v>111</v>
      </c>
      <c r="CA1263" t="s">
        <v>111</v>
      </c>
      <c r="CB1263" t="s">
        <v>111</v>
      </c>
      <c r="CC1263" t="s">
        <v>111</v>
      </c>
      <c r="CD1263" t="s">
        <v>111</v>
      </c>
      <c r="CE1263" t="s">
        <v>111</v>
      </c>
      <c r="CF1263" t="s">
        <v>111</v>
      </c>
      <c r="CG1263" t="s">
        <v>111</v>
      </c>
      <c r="CH1263" t="s">
        <v>111</v>
      </c>
      <c r="CI1263" t="s">
        <v>111</v>
      </c>
      <c r="CJ1263" t="s">
        <v>111</v>
      </c>
      <c r="CK1263" t="s">
        <v>111</v>
      </c>
      <c r="CL1263" t="s">
        <v>111</v>
      </c>
      <c r="CM1263" t="s">
        <v>111</v>
      </c>
      <c r="CN1263" t="s">
        <v>111</v>
      </c>
      <c r="CO1263" t="s">
        <v>111</v>
      </c>
      <c r="CP1263" t="s">
        <v>111</v>
      </c>
      <c r="CQ1263">
        <v>0</v>
      </c>
      <c r="CR1263">
        <v>0</v>
      </c>
      <c r="CS1263">
        <v>0</v>
      </c>
      <c r="CT1263" t="s">
        <v>111</v>
      </c>
      <c r="CU1263">
        <v>0</v>
      </c>
      <c r="CV1263" t="s">
        <v>111</v>
      </c>
      <c r="CW1263" t="s">
        <v>111</v>
      </c>
      <c r="CX1263" t="s">
        <v>111</v>
      </c>
      <c r="CY1263">
        <v>0</v>
      </c>
      <c r="CZ1263" t="s">
        <v>111</v>
      </c>
      <c r="DA1263" t="s">
        <v>111</v>
      </c>
      <c r="DB1263" t="s">
        <v>111</v>
      </c>
      <c r="DC1263" t="s">
        <v>111</v>
      </c>
    </row>
    <row r="1264" spans="1:107">
      <c r="A1264">
        <v>1320</v>
      </c>
      <c r="B1264" t="s">
        <v>107</v>
      </c>
      <c r="C1264" t="s">
        <v>180</v>
      </c>
      <c r="D1264" t="s">
        <v>3680</v>
      </c>
      <c r="E1264" t="s">
        <v>3681</v>
      </c>
      <c r="F1264" t="s">
        <v>3682</v>
      </c>
      <c r="G1264" t="s">
        <v>3657</v>
      </c>
      <c r="H1264">
        <v>1.3</v>
      </c>
      <c r="I1264">
        <v>60</v>
      </c>
      <c r="J1264">
        <v>0</v>
      </c>
      <c r="K1264">
        <v>0</v>
      </c>
      <c r="L1264" t="s">
        <v>112</v>
      </c>
      <c r="M1264" t="s">
        <v>111</v>
      </c>
      <c r="N1264">
        <v>0</v>
      </c>
      <c r="O1264">
        <v>0</v>
      </c>
      <c r="P1264" t="s">
        <v>111</v>
      </c>
      <c r="Q1264">
        <v>40</v>
      </c>
      <c r="R1264">
        <v>0</v>
      </c>
      <c r="S1264">
        <v>0</v>
      </c>
      <c r="T1264">
        <v>5</v>
      </c>
      <c r="U1264" t="e">
        <f>-DESTINO SELLADO</f>
        <v>#NAME?</v>
      </c>
      <c r="V1264">
        <v>0</v>
      </c>
      <c r="W1264">
        <v>0</v>
      </c>
      <c r="X1264">
        <v>0</v>
      </c>
      <c r="Y1264">
        <v>25</v>
      </c>
      <c r="Z1264" t="s">
        <v>111</v>
      </c>
      <c r="AA1264">
        <v>0</v>
      </c>
      <c r="AB1264" t="s">
        <v>111</v>
      </c>
      <c r="AC1264">
        <v>0</v>
      </c>
      <c r="AD1264" t="s">
        <v>111</v>
      </c>
      <c r="AE1264">
        <v>0</v>
      </c>
      <c r="AF1264">
        <v>0</v>
      </c>
      <c r="AG1264" t="s">
        <v>111</v>
      </c>
      <c r="AH1264" t="s">
        <v>111</v>
      </c>
      <c r="AI1264" t="s">
        <v>111</v>
      </c>
      <c r="AJ1264" t="s">
        <v>111</v>
      </c>
      <c r="AK1264" t="s">
        <v>111</v>
      </c>
      <c r="AL1264" t="s">
        <v>111</v>
      </c>
      <c r="AM1264">
        <v>0</v>
      </c>
      <c r="AN1264">
        <v>0</v>
      </c>
      <c r="AO1264">
        <v>0</v>
      </c>
      <c r="AP1264" t="s">
        <v>111</v>
      </c>
      <c r="AQ1264" t="s">
        <v>111</v>
      </c>
      <c r="AR1264" t="s">
        <v>111</v>
      </c>
      <c r="AS1264" t="s">
        <v>111</v>
      </c>
      <c r="AT1264" t="s">
        <v>111</v>
      </c>
      <c r="AU1264" t="s">
        <v>111</v>
      </c>
      <c r="AV1264" t="s">
        <v>111</v>
      </c>
      <c r="AW1264" t="s">
        <v>111</v>
      </c>
      <c r="AX1264" t="s">
        <v>111</v>
      </c>
      <c r="AY1264" t="s">
        <v>111</v>
      </c>
      <c r="AZ1264" t="s">
        <v>111</v>
      </c>
      <c r="BA1264" t="s">
        <v>111</v>
      </c>
      <c r="BB1264" t="s">
        <v>111</v>
      </c>
      <c r="BC1264" t="s">
        <v>111</v>
      </c>
      <c r="BD1264" t="s">
        <v>111</v>
      </c>
      <c r="BE1264" t="s">
        <v>111</v>
      </c>
      <c r="BF1264" t="s">
        <v>111</v>
      </c>
      <c r="BG1264" t="s">
        <v>111</v>
      </c>
      <c r="BH1264" t="s">
        <v>111</v>
      </c>
      <c r="BI1264" t="s">
        <v>111</v>
      </c>
      <c r="BJ1264" t="s">
        <v>111</v>
      </c>
      <c r="BK1264" t="s">
        <v>111</v>
      </c>
      <c r="BL1264" t="s">
        <v>111</v>
      </c>
      <c r="BM1264" t="s">
        <v>111</v>
      </c>
      <c r="BN1264" t="s">
        <v>111</v>
      </c>
      <c r="BO1264" t="s">
        <v>111</v>
      </c>
      <c r="BP1264" t="s">
        <v>111</v>
      </c>
      <c r="BQ1264" t="s">
        <v>111</v>
      </c>
      <c r="BR1264" t="s">
        <v>111</v>
      </c>
      <c r="BS1264" t="s">
        <v>111</v>
      </c>
      <c r="BT1264" t="s">
        <v>111</v>
      </c>
      <c r="BU1264" t="s">
        <v>111</v>
      </c>
      <c r="BV1264" t="s">
        <v>111</v>
      </c>
      <c r="BW1264" t="s">
        <v>111</v>
      </c>
      <c r="BX1264" t="s">
        <v>111</v>
      </c>
      <c r="BY1264" t="s">
        <v>111</v>
      </c>
      <c r="BZ1264" t="s">
        <v>111</v>
      </c>
      <c r="CA1264" t="s">
        <v>111</v>
      </c>
      <c r="CB1264" t="s">
        <v>111</v>
      </c>
      <c r="CC1264" t="s">
        <v>111</v>
      </c>
      <c r="CD1264" t="s">
        <v>111</v>
      </c>
      <c r="CE1264" t="s">
        <v>111</v>
      </c>
      <c r="CF1264" t="s">
        <v>111</v>
      </c>
      <c r="CG1264" t="s">
        <v>111</v>
      </c>
      <c r="CH1264" t="s">
        <v>111</v>
      </c>
      <c r="CI1264" t="s">
        <v>111</v>
      </c>
      <c r="CJ1264" t="s">
        <v>111</v>
      </c>
      <c r="CK1264" t="s">
        <v>111</v>
      </c>
      <c r="CL1264" t="s">
        <v>111</v>
      </c>
      <c r="CM1264" t="s">
        <v>135</v>
      </c>
      <c r="CN1264" t="s">
        <v>113</v>
      </c>
      <c r="CO1264" t="s">
        <v>885</v>
      </c>
      <c r="CP1264" t="s">
        <v>111</v>
      </c>
      <c r="CQ1264">
        <v>52</v>
      </c>
      <c r="CR1264">
        <v>2000</v>
      </c>
      <c r="CS1264">
        <v>100</v>
      </c>
      <c r="CT1264" s="1" t="s">
        <v>3697</v>
      </c>
      <c r="CU1264">
        <v>0</v>
      </c>
      <c r="CV1264" t="s">
        <v>111</v>
      </c>
      <c r="CW1264" t="s">
        <v>111</v>
      </c>
      <c r="CX1264" t="s">
        <v>111</v>
      </c>
      <c r="CY1264">
        <v>0</v>
      </c>
      <c r="CZ1264" t="s">
        <v>111</v>
      </c>
      <c r="DA1264" t="s">
        <v>111</v>
      </c>
      <c r="DB1264" t="s">
        <v>111</v>
      </c>
      <c r="DC1264" t="s">
        <v>111</v>
      </c>
    </row>
    <row r="1265" spans="1:107">
      <c r="A1265">
        <v>548</v>
      </c>
      <c r="B1265" t="s">
        <v>162</v>
      </c>
      <c r="C1265" t="s">
        <v>827</v>
      </c>
      <c r="D1265" t="s">
        <v>3698</v>
      </c>
      <c r="E1265" t="s">
        <v>3699</v>
      </c>
      <c r="F1265" t="s">
        <v>1260</v>
      </c>
      <c r="G1265" t="s">
        <v>3700</v>
      </c>
      <c r="H1265">
        <v>1</v>
      </c>
      <c r="I1265">
        <v>44</v>
      </c>
      <c r="J1265">
        <v>0</v>
      </c>
      <c r="K1265">
        <v>0</v>
      </c>
      <c r="L1265" t="s">
        <v>117</v>
      </c>
      <c r="M1265" t="s">
        <v>118</v>
      </c>
      <c r="N1265">
        <v>40</v>
      </c>
      <c r="O1265">
        <v>1</v>
      </c>
      <c r="P1265" t="s">
        <v>138</v>
      </c>
      <c r="Q1265">
        <v>30</v>
      </c>
      <c r="R1265">
        <v>0</v>
      </c>
      <c r="S1265">
        <v>0</v>
      </c>
      <c r="T1265">
        <v>0</v>
      </c>
      <c r="U1265" t="s">
        <v>1353</v>
      </c>
      <c r="V1265">
        <v>0</v>
      </c>
      <c r="W1265">
        <v>0</v>
      </c>
      <c r="X1265">
        <v>0</v>
      </c>
      <c r="Y1265">
        <v>25</v>
      </c>
      <c r="Z1265" t="s">
        <v>111</v>
      </c>
      <c r="AA1265">
        <v>0</v>
      </c>
      <c r="AB1265" t="s">
        <v>111</v>
      </c>
      <c r="AC1265">
        <v>0</v>
      </c>
      <c r="AD1265" t="s">
        <v>416</v>
      </c>
      <c r="AE1265">
        <v>4</v>
      </c>
      <c r="AF1265">
        <v>1</v>
      </c>
      <c r="AG1265">
        <v>26</v>
      </c>
      <c r="AH1265" t="s">
        <v>111</v>
      </c>
      <c r="AI1265">
        <v>26</v>
      </c>
      <c r="AJ1265" t="s">
        <v>111</v>
      </c>
      <c r="AK1265" t="s">
        <v>111</v>
      </c>
      <c r="AL1265" t="s">
        <v>111</v>
      </c>
      <c r="AM1265">
        <v>0</v>
      </c>
      <c r="AN1265">
        <v>0</v>
      </c>
      <c r="AO1265">
        <v>0</v>
      </c>
      <c r="AP1265" t="s">
        <v>259</v>
      </c>
      <c r="AQ1265" t="s">
        <v>111</v>
      </c>
      <c r="AR1265" t="s">
        <v>111</v>
      </c>
      <c r="AS1265" t="s">
        <v>111</v>
      </c>
      <c r="AT1265" t="s">
        <v>288</v>
      </c>
      <c r="AU1265" t="s">
        <v>111</v>
      </c>
      <c r="AV1265" t="s">
        <v>111</v>
      </c>
      <c r="AW1265" t="s">
        <v>111</v>
      </c>
      <c r="AX1265" t="s">
        <v>184</v>
      </c>
      <c r="AY1265" t="s">
        <v>111</v>
      </c>
      <c r="AZ1265" t="s">
        <v>111</v>
      </c>
      <c r="BA1265" t="s">
        <v>111</v>
      </c>
      <c r="BB1265" t="s">
        <v>772</v>
      </c>
      <c r="BC1265" t="s">
        <v>111</v>
      </c>
      <c r="BD1265" t="s">
        <v>111</v>
      </c>
      <c r="BE1265" t="s">
        <v>111</v>
      </c>
      <c r="BF1265" t="s">
        <v>111</v>
      </c>
      <c r="BG1265" t="s">
        <v>111</v>
      </c>
      <c r="BH1265" t="s">
        <v>111</v>
      </c>
      <c r="BI1265" t="s">
        <v>111</v>
      </c>
      <c r="BJ1265" t="s">
        <v>111</v>
      </c>
      <c r="BK1265" t="s">
        <v>111</v>
      </c>
      <c r="BL1265" t="s">
        <v>111</v>
      </c>
      <c r="BM1265" t="s">
        <v>111</v>
      </c>
      <c r="BN1265" t="s">
        <v>111</v>
      </c>
      <c r="BO1265" t="s">
        <v>111</v>
      </c>
      <c r="BP1265" t="s">
        <v>111</v>
      </c>
      <c r="BQ1265" t="s">
        <v>111</v>
      </c>
      <c r="BR1265" t="s">
        <v>111</v>
      </c>
      <c r="BS1265" t="s">
        <v>111</v>
      </c>
      <c r="BT1265" t="s">
        <v>111</v>
      </c>
      <c r="BU1265" t="s">
        <v>111</v>
      </c>
      <c r="BV1265" t="s">
        <v>111</v>
      </c>
      <c r="BW1265" t="s">
        <v>111</v>
      </c>
      <c r="BX1265" t="s">
        <v>111</v>
      </c>
      <c r="BY1265" t="s">
        <v>111</v>
      </c>
      <c r="BZ1265" t="s">
        <v>111</v>
      </c>
      <c r="CA1265" t="s">
        <v>111</v>
      </c>
      <c r="CB1265" t="s">
        <v>111</v>
      </c>
      <c r="CC1265" t="s">
        <v>111</v>
      </c>
      <c r="CD1265" t="s">
        <v>111</v>
      </c>
      <c r="CE1265" t="s">
        <v>111</v>
      </c>
      <c r="CF1265" t="s">
        <v>111</v>
      </c>
      <c r="CG1265" t="s">
        <v>111</v>
      </c>
      <c r="CH1265" t="s">
        <v>111</v>
      </c>
      <c r="CI1265" t="s">
        <v>111</v>
      </c>
      <c r="CJ1265" t="s">
        <v>111</v>
      </c>
      <c r="CK1265" t="s">
        <v>111</v>
      </c>
      <c r="CL1265" t="s">
        <v>168</v>
      </c>
      <c r="CM1265" t="s">
        <v>111</v>
      </c>
      <c r="CN1265" t="s">
        <v>111</v>
      </c>
      <c r="CO1265" t="s">
        <v>111</v>
      </c>
      <c r="CP1265" t="s">
        <v>111</v>
      </c>
      <c r="CQ1265">
        <v>0</v>
      </c>
      <c r="CR1265">
        <v>0</v>
      </c>
      <c r="CS1265">
        <v>0</v>
      </c>
      <c r="CT1265" t="s">
        <v>111</v>
      </c>
      <c r="CU1265">
        <v>43.5</v>
      </c>
      <c r="CV1265" t="s">
        <v>111</v>
      </c>
      <c r="CW1265" t="s">
        <v>111</v>
      </c>
      <c r="CX1265">
        <v>1</v>
      </c>
      <c r="CY1265">
        <v>15</v>
      </c>
      <c r="CZ1265" t="s">
        <v>117</v>
      </c>
      <c r="DA1265" t="e">
        <f>-ROLLOS BIEN EMPACADOS</f>
        <v>#NAME?</v>
      </c>
      <c r="DB1265" t="s">
        <v>111</v>
      </c>
      <c r="DC1265" t="s">
        <v>111</v>
      </c>
    </row>
    <row r="1266" spans="1:107">
      <c r="A1266">
        <v>547</v>
      </c>
      <c r="B1266" t="s">
        <v>162</v>
      </c>
      <c r="C1266" t="s">
        <v>827</v>
      </c>
      <c r="D1266" t="s">
        <v>3701</v>
      </c>
      <c r="E1266" t="s">
        <v>3702</v>
      </c>
      <c r="F1266" t="s">
        <v>1260</v>
      </c>
      <c r="G1266" t="s">
        <v>3700</v>
      </c>
      <c r="H1266">
        <v>1</v>
      </c>
      <c r="I1266">
        <v>44</v>
      </c>
      <c r="J1266">
        <v>0</v>
      </c>
      <c r="K1266">
        <v>0</v>
      </c>
      <c r="L1266" t="s">
        <v>117</v>
      </c>
      <c r="M1266" t="s">
        <v>118</v>
      </c>
      <c r="N1266">
        <v>40</v>
      </c>
      <c r="O1266">
        <v>1</v>
      </c>
      <c r="P1266" t="s">
        <v>138</v>
      </c>
      <c r="Q1266">
        <v>30</v>
      </c>
      <c r="R1266">
        <v>0</v>
      </c>
      <c r="S1266">
        <v>0</v>
      </c>
      <c r="T1266">
        <v>0</v>
      </c>
      <c r="U1266" t="s">
        <v>111</v>
      </c>
      <c r="V1266">
        <v>0</v>
      </c>
      <c r="W1266">
        <v>0</v>
      </c>
      <c r="X1266">
        <v>0</v>
      </c>
      <c r="Y1266">
        <v>25</v>
      </c>
      <c r="Z1266" t="s">
        <v>111</v>
      </c>
      <c r="AA1266">
        <v>0</v>
      </c>
      <c r="AB1266" t="s">
        <v>111</v>
      </c>
      <c r="AC1266">
        <v>0</v>
      </c>
      <c r="AD1266" t="s">
        <v>416</v>
      </c>
      <c r="AE1266">
        <v>4</v>
      </c>
      <c r="AF1266">
        <v>1</v>
      </c>
      <c r="AG1266">
        <v>26</v>
      </c>
      <c r="AH1266" t="s">
        <v>111</v>
      </c>
      <c r="AI1266">
        <v>26</v>
      </c>
      <c r="AJ1266" t="s">
        <v>111</v>
      </c>
      <c r="AK1266" t="s">
        <v>111</v>
      </c>
      <c r="AL1266" t="s">
        <v>111</v>
      </c>
      <c r="AM1266">
        <v>0</v>
      </c>
      <c r="AN1266">
        <v>0</v>
      </c>
      <c r="AO1266">
        <v>0</v>
      </c>
      <c r="AP1266" t="s">
        <v>259</v>
      </c>
      <c r="AQ1266" t="s">
        <v>111</v>
      </c>
      <c r="AR1266" t="s">
        <v>111</v>
      </c>
      <c r="AS1266" t="s">
        <v>111</v>
      </c>
      <c r="AT1266" t="s">
        <v>288</v>
      </c>
      <c r="AU1266" t="s">
        <v>111</v>
      </c>
      <c r="AV1266" t="s">
        <v>111</v>
      </c>
      <c r="AW1266" t="s">
        <v>111</v>
      </c>
      <c r="AX1266" t="s">
        <v>184</v>
      </c>
      <c r="AY1266" t="s">
        <v>111</v>
      </c>
      <c r="AZ1266" t="s">
        <v>111</v>
      </c>
      <c r="BA1266" t="s">
        <v>111</v>
      </c>
      <c r="BB1266" t="s">
        <v>772</v>
      </c>
      <c r="BC1266" t="s">
        <v>111</v>
      </c>
      <c r="BD1266" t="s">
        <v>111</v>
      </c>
      <c r="BE1266" t="s">
        <v>111</v>
      </c>
      <c r="BF1266" t="s">
        <v>111</v>
      </c>
      <c r="BG1266" t="s">
        <v>111</v>
      </c>
      <c r="BH1266" t="s">
        <v>111</v>
      </c>
      <c r="BI1266" t="s">
        <v>111</v>
      </c>
      <c r="BJ1266" t="s">
        <v>111</v>
      </c>
      <c r="BK1266" t="s">
        <v>111</v>
      </c>
      <c r="BL1266" t="s">
        <v>111</v>
      </c>
      <c r="BM1266" t="s">
        <v>111</v>
      </c>
      <c r="BN1266" t="s">
        <v>259</v>
      </c>
      <c r="BO1266" t="s">
        <v>111</v>
      </c>
      <c r="BP1266" t="s">
        <v>111</v>
      </c>
      <c r="BQ1266" t="s">
        <v>111</v>
      </c>
      <c r="BR1266" t="s">
        <v>111</v>
      </c>
      <c r="BS1266" t="s">
        <v>111</v>
      </c>
      <c r="BT1266" t="s">
        <v>111</v>
      </c>
      <c r="BU1266" t="s">
        <v>111</v>
      </c>
      <c r="BV1266" t="s">
        <v>111</v>
      </c>
      <c r="BW1266" t="s">
        <v>111</v>
      </c>
      <c r="BX1266" t="s">
        <v>111</v>
      </c>
      <c r="BY1266" t="s">
        <v>111</v>
      </c>
      <c r="BZ1266" t="s">
        <v>111</v>
      </c>
      <c r="CA1266" t="s">
        <v>111</v>
      </c>
      <c r="CB1266" t="s">
        <v>111</v>
      </c>
      <c r="CC1266" t="s">
        <v>111</v>
      </c>
      <c r="CD1266" t="s">
        <v>111</v>
      </c>
      <c r="CE1266" t="s">
        <v>111</v>
      </c>
      <c r="CF1266" t="s">
        <v>111</v>
      </c>
      <c r="CG1266" t="s">
        <v>111</v>
      </c>
      <c r="CH1266" t="s">
        <v>111</v>
      </c>
      <c r="CI1266" t="s">
        <v>111</v>
      </c>
      <c r="CJ1266" t="s">
        <v>111</v>
      </c>
      <c r="CK1266" t="s">
        <v>111</v>
      </c>
      <c r="CL1266" t="s">
        <v>168</v>
      </c>
      <c r="CM1266" t="s">
        <v>111</v>
      </c>
      <c r="CN1266" t="s">
        <v>111</v>
      </c>
      <c r="CO1266" t="s">
        <v>111</v>
      </c>
      <c r="CP1266" t="s">
        <v>111</v>
      </c>
      <c r="CQ1266">
        <v>0</v>
      </c>
      <c r="CR1266">
        <v>0</v>
      </c>
      <c r="CS1266">
        <v>0</v>
      </c>
      <c r="CT1266" t="s">
        <v>111</v>
      </c>
      <c r="CU1266">
        <v>0</v>
      </c>
      <c r="CV1266" t="s">
        <v>111</v>
      </c>
      <c r="CW1266" t="s">
        <v>111</v>
      </c>
      <c r="CX1266" t="s">
        <v>111</v>
      </c>
      <c r="CY1266">
        <v>0</v>
      </c>
      <c r="CZ1266" t="s">
        <v>111</v>
      </c>
      <c r="DA1266" t="s">
        <v>111</v>
      </c>
      <c r="DB1266" t="s">
        <v>111</v>
      </c>
      <c r="DC1266" t="s">
        <v>111</v>
      </c>
    </row>
    <row r="1267" spans="1:107">
      <c r="A1267">
        <v>963</v>
      </c>
      <c r="B1267" t="s">
        <v>107</v>
      </c>
      <c r="C1267" t="s">
        <v>3703</v>
      </c>
      <c r="D1267" t="s">
        <v>3704</v>
      </c>
      <c r="E1267" t="s">
        <v>3705</v>
      </c>
      <c r="F1267" t="s">
        <v>2211</v>
      </c>
      <c r="G1267" t="s">
        <v>3700</v>
      </c>
      <c r="H1267">
        <v>1.1000000000000001</v>
      </c>
      <c r="I1267">
        <v>40</v>
      </c>
      <c r="J1267">
        <v>0</v>
      </c>
      <c r="K1267">
        <v>0</v>
      </c>
      <c r="L1267" t="s">
        <v>117</v>
      </c>
      <c r="M1267" t="s">
        <v>111</v>
      </c>
      <c r="N1267">
        <v>0</v>
      </c>
      <c r="O1267">
        <v>0</v>
      </c>
      <c r="P1267" t="s">
        <v>111</v>
      </c>
      <c r="Q1267">
        <v>40</v>
      </c>
      <c r="R1267">
        <v>0</v>
      </c>
      <c r="S1267">
        <v>0</v>
      </c>
      <c r="T1267">
        <v>0</v>
      </c>
      <c r="U1267" t="s">
        <v>416</v>
      </c>
      <c r="V1267">
        <v>0</v>
      </c>
      <c r="W1267">
        <v>0</v>
      </c>
      <c r="X1267">
        <v>0</v>
      </c>
      <c r="Y1267">
        <v>25</v>
      </c>
      <c r="Z1267" t="s">
        <v>111</v>
      </c>
      <c r="AA1267">
        <v>0</v>
      </c>
      <c r="AB1267" t="s">
        <v>111</v>
      </c>
      <c r="AC1267">
        <v>0</v>
      </c>
      <c r="AD1267" t="s">
        <v>111</v>
      </c>
      <c r="AE1267">
        <v>0</v>
      </c>
      <c r="AF1267">
        <v>0</v>
      </c>
      <c r="AG1267" t="s">
        <v>111</v>
      </c>
      <c r="AH1267" t="s">
        <v>111</v>
      </c>
      <c r="AI1267" t="s">
        <v>111</v>
      </c>
      <c r="AJ1267" t="s">
        <v>111</v>
      </c>
      <c r="AK1267" t="s">
        <v>111</v>
      </c>
      <c r="AL1267" t="s">
        <v>111</v>
      </c>
      <c r="AM1267">
        <v>0</v>
      </c>
      <c r="AN1267">
        <v>0</v>
      </c>
      <c r="AO1267">
        <v>0</v>
      </c>
      <c r="AP1267" t="s">
        <v>111</v>
      </c>
      <c r="AQ1267" t="s">
        <v>111</v>
      </c>
      <c r="AR1267" t="s">
        <v>111</v>
      </c>
      <c r="AS1267" t="s">
        <v>111</v>
      </c>
      <c r="AT1267" t="s">
        <v>111</v>
      </c>
      <c r="AU1267" t="s">
        <v>111</v>
      </c>
      <c r="AV1267" t="s">
        <v>111</v>
      </c>
      <c r="AW1267" t="s">
        <v>111</v>
      </c>
      <c r="AX1267" t="s">
        <v>111</v>
      </c>
      <c r="AY1267" t="s">
        <v>111</v>
      </c>
      <c r="AZ1267" t="s">
        <v>111</v>
      </c>
      <c r="BA1267" t="s">
        <v>111</v>
      </c>
      <c r="BB1267" t="s">
        <v>111</v>
      </c>
      <c r="BC1267" t="s">
        <v>111</v>
      </c>
      <c r="BD1267" t="s">
        <v>111</v>
      </c>
      <c r="BE1267" t="s">
        <v>111</v>
      </c>
      <c r="BF1267" t="s">
        <v>111</v>
      </c>
      <c r="BG1267" t="s">
        <v>111</v>
      </c>
      <c r="BH1267" t="s">
        <v>111</v>
      </c>
      <c r="BI1267" t="s">
        <v>111</v>
      </c>
      <c r="BJ1267" t="s">
        <v>111</v>
      </c>
      <c r="BK1267" t="s">
        <v>111</v>
      </c>
      <c r="BL1267" t="s">
        <v>111</v>
      </c>
      <c r="BM1267" t="s">
        <v>111</v>
      </c>
      <c r="BN1267" t="s">
        <v>111</v>
      </c>
      <c r="BO1267" t="s">
        <v>111</v>
      </c>
      <c r="BP1267" t="s">
        <v>111</v>
      </c>
      <c r="BQ1267" t="s">
        <v>111</v>
      </c>
      <c r="BR1267" t="s">
        <v>111</v>
      </c>
      <c r="BS1267" t="s">
        <v>111</v>
      </c>
      <c r="BT1267" t="s">
        <v>111</v>
      </c>
      <c r="BU1267" t="s">
        <v>111</v>
      </c>
      <c r="BV1267" t="s">
        <v>111</v>
      </c>
      <c r="BW1267" t="s">
        <v>111</v>
      </c>
      <c r="BX1267" t="s">
        <v>111</v>
      </c>
      <c r="BY1267" t="s">
        <v>111</v>
      </c>
      <c r="BZ1267" t="s">
        <v>111</v>
      </c>
      <c r="CA1267" t="s">
        <v>111</v>
      </c>
      <c r="CB1267" t="s">
        <v>111</v>
      </c>
      <c r="CC1267" t="s">
        <v>111</v>
      </c>
      <c r="CD1267" t="s">
        <v>111</v>
      </c>
      <c r="CE1267" t="s">
        <v>111</v>
      </c>
      <c r="CF1267" t="s">
        <v>111</v>
      </c>
      <c r="CG1267" t="s">
        <v>111</v>
      </c>
      <c r="CH1267" t="s">
        <v>111</v>
      </c>
      <c r="CI1267" t="s">
        <v>111</v>
      </c>
      <c r="CJ1267" t="s">
        <v>111</v>
      </c>
      <c r="CK1267" t="s">
        <v>111</v>
      </c>
      <c r="CL1267" t="e">
        <f>-DESTINO ALMACEN</f>
        <v>#NAME?</v>
      </c>
      <c r="CM1267" t="s">
        <v>111</v>
      </c>
      <c r="CN1267" t="s">
        <v>111</v>
      </c>
      <c r="CO1267" t="s">
        <v>111</v>
      </c>
      <c r="CP1267" t="s">
        <v>111</v>
      </c>
      <c r="CQ1267">
        <v>0</v>
      </c>
      <c r="CR1267">
        <v>0</v>
      </c>
      <c r="CS1267">
        <v>0</v>
      </c>
      <c r="CT1267" t="s">
        <v>111</v>
      </c>
      <c r="CU1267">
        <v>0</v>
      </c>
      <c r="CV1267" t="s">
        <v>111</v>
      </c>
      <c r="CW1267" t="s">
        <v>111</v>
      </c>
      <c r="CX1267" t="s">
        <v>111</v>
      </c>
      <c r="CY1267">
        <v>0</v>
      </c>
      <c r="CZ1267" t="s">
        <v>111</v>
      </c>
      <c r="DA1267" t="s">
        <v>111</v>
      </c>
      <c r="DB1267" t="s">
        <v>111</v>
      </c>
      <c r="DC1267" t="s">
        <v>111</v>
      </c>
    </row>
    <row r="1268" spans="1:107">
      <c r="A1268">
        <v>182</v>
      </c>
      <c r="B1268" t="s">
        <v>162</v>
      </c>
      <c r="C1268" t="s">
        <v>1025</v>
      </c>
      <c r="D1268" t="s">
        <v>3706</v>
      </c>
      <c r="E1268" t="s">
        <v>3707</v>
      </c>
      <c r="F1268" t="s">
        <v>2211</v>
      </c>
      <c r="G1268" t="s">
        <v>3700</v>
      </c>
      <c r="H1268">
        <v>25</v>
      </c>
      <c r="I1268">
        <v>50</v>
      </c>
      <c r="J1268">
        <v>0</v>
      </c>
      <c r="K1268">
        <v>0</v>
      </c>
      <c r="L1268" t="s">
        <v>117</v>
      </c>
      <c r="M1268" t="s">
        <v>138</v>
      </c>
      <c r="N1268">
        <v>0</v>
      </c>
      <c r="O1268">
        <v>0</v>
      </c>
      <c r="P1268" t="s">
        <v>138</v>
      </c>
      <c r="Q1268">
        <v>30</v>
      </c>
      <c r="R1268">
        <v>0</v>
      </c>
      <c r="S1268">
        <v>0</v>
      </c>
      <c r="T1268">
        <v>0</v>
      </c>
      <c r="U1268" t="s">
        <v>168</v>
      </c>
      <c r="V1268">
        <v>0</v>
      </c>
      <c r="W1268">
        <v>0</v>
      </c>
      <c r="X1268">
        <v>1</v>
      </c>
      <c r="Y1268">
        <v>0</v>
      </c>
      <c r="Z1268" t="s">
        <v>111</v>
      </c>
      <c r="AA1268">
        <v>0</v>
      </c>
      <c r="AB1268" t="s">
        <v>111</v>
      </c>
      <c r="AC1268">
        <v>0</v>
      </c>
      <c r="AD1268" t="s">
        <v>111</v>
      </c>
      <c r="AE1268">
        <v>0</v>
      </c>
      <c r="AF1268">
        <v>0</v>
      </c>
      <c r="AG1268" t="s">
        <v>111</v>
      </c>
      <c r="AH1268" t="s">
        <v>111</v>
      </c>
      <c r="AI1268" t="s">
        <v>111</v>
      </c>
      <c r="AJ1268" t="s">
        <v>111</v>
      </c>
      <c r="AK1268" t="s">
        <v>111</v>
      </c>
      <c r="AL1268" t="s">
        <v>111</v>
      </c>
      <c r="AM1268">
        <v>0</v>
      </c>
      <c r="AN1268">
        <v>0</v>
      </c>
      <c r="AO1268">
        <v>0</v>
      </c>
      <c r="AP1268" t="s">
        <v>111</v>
      </c>
      <c r="AQ1268" t="s">
        <v>111</v>
      </c>
      <c r="AR1268" t="s">
        <v>111</v>
      </c>
      <c r="AS1268" t="s">
        <v>111</v>
      </c>
      <c r="AT1268" t="s">
        <v>111</v>
      </c>
      <c r="AU1268" t="s">
        <v>111</v>
      </c>
      <c r="AV1268" t="s">
        <v>111</v>
      </c>
      <c r="AW1268" t="s">
        <v>111</v>
      </c>
      <c r="AX1268" t="s">
        <v>111</v>
      </c>
      <c r="AY1268" t="s">
        <v>111</v>
      </c>
      <c r="AZ1268" t="s">
        <v>111</v>
      </c>
      <c r="BA1268" t="s">
        <v>111</v>
      </c>
      <c r="BB1268" t="s">
        <v>111</v>
      </c>
      <c r="BC1268" t="s">
        <v>111</v>
      </c>
      <c r="BD1268" t="s">
        <v>111</v>
      </c>
      <c r="BE1268" t="s">
        <v>111</v>
      </c>
      <c r="BF1268" t="s">
        <v>111</v>
      </c>
      <c r="BG1268" t="s">
        <v>111</v>
      </c>
      <c r="BH1268" t="s">
        <v>111</v>
      </c>
      <c r="BI1268" t="s">
        <v>111</v>
      </c>
      <c r="BJ1268" t="s">
        <v>111</v>
      </c>
      <c r="BK1268" t="s">
        <v>111</v>
      </c>
      <c r="BL1268" t="s">
        <v>111</v>
      </c>
      <c r="BM1268" t="s">
        <v>111</v>
      </c>
      <c r="BN1268" t="s">
        <v>111</v>
      </c>
      <c r="BO1268" t="s">
        <v>111</v>
      </c>
      <c r="BP1268" t="s">
        <v>111</v>
      </c>
      <c r="BQ1268" t="s">
        <v>111</v>
      </c>
      <c r="BR1268" t="s">
        <v>111</v>
      </c>
      <c r="BS1268" t="s">
        <v>111</v>
      </c>
      <c r="BT1268" t="s">
        <v>111</v>
      </c>
      <c r="BU1268" t="s">
        <v>111</v>
      </c>
      <c r="BV1268" t="s">
        <v>111</v>
      </c>
      <c r="BW1268" t="s">
        <v>111</v>
      </c>
      <c r="BX1268" t="s">
        <v>111</v>
      </c>
      <c r="BY1268" t="s">
        <v>111</v>
      </c>
      <c r="BZ1268" t="s">
        <v>111</v>
      </c>
      <c r="CA1268" t="s">
        <v>111</v>
      </c>
      <c r="CB1268" t="s">
        <v>111</v>
      </c>
      <c r="CC1268" t="s">
        <v>111</v>
      </c>
      <c r="CD1268" t="s">
        <v>111</v>
      </c>
      <c r="CE1268" t="s">
        <v>111</v>
      </c>
      <c r="CF1268" t="s">
        <v>111</v>
      </c>
      <c r="CG1268" t="s">
        <v>111</v>
      </c>
      <c r="CH1268" t="s">
        <v>111</v>
      </c>
      <c r="CI1268" t="s">
        <v>111</v>
      </c>
      <c r="CJ1268" t="s">
        <v>111</v>
      </c>
      <c r="CK1268" t="s">
        <v>111</v>
      </c>
      <c r="CL1268" t="s">
        <v>111</v>
      </c>
      <c r="CM1268" t="s">
        <v>111</v>
      </c>
      <c r="CN1268" t="s">
        <v>111</v>
      </c>
      <c r="CO1268" t="s">
        <v>111</v>
      </c>
      <c r="CP1268" t="s">
        <v>111</v>
      </c>
      <c r="CQ1268">
        <v>0</v>
      </c>
      <c r="CR1268">
        <v>0</v>
      </c>
      <c r="CS1268">
        <v>0</v>
      </c>
      <c r="CT1268" t="s">
        <v>111</v>
      </c>
      <c r="CU1268">
        <v>0</v>
      </c>
      <c r="CV1268" t="s">
        <v>111</v>
      </c>
      <c r="CW1268" t="s">
        <v>111</v>
      </c>
      <c r="CX1268" t="s">
        <v>111</v>
      </c>
      <c r="CY1268">
        <v>0</v>
      </c>
      <c r="CZ1268" t="s">
        <v>111</v>
      </c>
      <c r="DA1268" t="s">
        <v>111</v>
      </c>
      <c r="DB1268" t="s">
        <v>111</v>
      </c>
      <c r="DC1268" t="s">
        <v>111</v>
      </c>
    </row>
    <row r="1269" spans="1:107">
      <c r="A1269">
        <v>589</v>
      </c>
      <c r="B1269" t="s">
        <v>162</v>
      </c>
      <c r="C1269" t="s">
        <v>827</v>
      </c>
      <c r="D1269" t="s">
        <v>3708</v>
      </c>
      <c r="E1269" t="s">
        <v>3709</v>
      </c>
      <c r="F1269" t="s">
        <v>2211</v>
      </c>
      <c r="G1269" t="s">
        <v>3700</v>
      </c>
      <c r="H1269">
        <v>1</v>
      </c>
      <c r="I1269">
        <v>37</v>
      </c>
      <c r="J1269">
        <v>0</v>
      </c>
      <c r="K1269">
        <v>0</v>
      </c>
      <c r="L1269" t="s">
        <v>117</v>
      </c>
      <c r="M1269" t="s">
        <v>118</v>
      </c>
      <c r="N1269">
        <v>39</v>
      </c>
      <c r="O1269">
        <v>1</v>
      </c>
      <c r="P1269" t="s">
        <v>138</v>
      </c>
      <c r="Q1269">
        <v>40</v>
      </c>
      <c r="R1269">
        <v>0</v>
      </c>
      <c r="S1269">
        <v>0</v>
      </c>
      <c r="T1269">
        <v>0</v>
      </c>
      <c r="U1269" t="s">
        <v>1353</v>
      </c>
      <c r="V1269">
        <v>0</v>
      </c>
      <c r="W1269">
        <v>0</v>
      </c>
      <c r="X1269">
        <v>0</v>
      </c>
      <c r="Y1269">
        <v>25</v>
      </c>
      <c r="Z1269" t="s">
        <v>111</v>
      </c>
      <c r="AA1269">
        <v>0</v>
      </c>
      <c r="AB1269" t="s">
        <v>111</v>
      </c>
      <c r="AC1269">
        <v>0</v>
      </c>
      <c r="AD1269" t="s">
        <v>416</v>
      </c>
      <c r="AE1269">
        <v>3</v>
      </c>
      <c r="AF1269">
        <v>1</v>
      </c>
      <c r="AG1269">
        <v>26</v>
      </c>
      <c r="AH1269" t="s">
        <v>111</v>
      </c>
      <c r="AI1269">
        <v>26</v>
      </c>
      <c r="AJ1269" t="s">
        <v>111</v>
      </c>
      <c r="AK1269" t="s">
        <v>111</v>
      </c>
      <c r="AL1269" t="s">
        <v>111</v>
      </c>
      <c r="AM1269">
        <v>0</v>
      </c>
      <c r="AN1269">
        <v>0</v>
      </c>
      <c r="AO1269">
        <v>0</v>
      </c>
      <c r="AP1269" t="s">
        <v>111</v>
      </c>
      <c r="AQ1269" t="s">
        <v>111</v>
      </c>
      <c r="AR1269" t="s">
        <v>111</v>
      </c>
      <c r="AS1269" t="s">
        <v>111</v>
      </c>
      <c r="AT1269" t="s">
        <v>111</v>
      </c>
      <c r="AU1269" t="s">
        <v>111</v>
      </c>
      <c r="AV1269" t="s">
        <v>111</v>
      </c>
      <c r="AW1269" t="s">
        <v>111</v>
      </c>
      <c r="AX1269" t="s">
        <v>111</v>
      </c>
      <c r="AY1269" t="s">
        <v>111</v>
      </c>
      <c r="AZ1269" t="s">
        <v>111</v>
      </c>
      <c r="BA1269" t="s">
        <v>111</v>
      </c>
      <c r="BB1269" t="s">
        <v>111</v>
      </c>
      <c r="BC1269" t="s">
        <v>111</v>
      </c>
      <c r="BD1269" t="s">
        <v>111</v>
      </c>
      <c r="BE1269" t="s">
        <v>111</v>
      </c>
      <c r="BF1269" t="s">
        <v>111</v>
      </c>
      <c r="BG1269" t="s">
        <v>111</v>
      </c>
      <c r="BH1269" t="s">
        <v>111</v>
      </c>
      <c r="BI1269" t="s">
        <v>111</v>
      </c>
      <c r="BJ1269" t="s">
        <v>111</v>
      </c>
      <c r="BK1269" t="s">
        <v>111</v>
      </c>
      <c r="BL1269" t="s">
        <v>111</v>
      </c>
      <c r="BM1269" t="s">
        <v>111</v>
      </c>
      <c r="BN1269" t="s">
        <v>111</v>
      </c>
      <c r="BO1269" t="s">
        <v>111</v>
      </c>
      <c r="BP1269" t="s">
        <v>111</v>
      </c>
      <c r="BQ1269" t="s">
        <v>111</v>
      </c>
      <c r="BR1269" t="s">
        <v>111</v>
      </c>
      <c r="BS1269" t="s">
        <v>111</v>
      </c>
      <c r="BT1269" t="s">
        <v>111</v>
      </c>
      <c r="BU1269" t="s">
        <v>111</v>
      </c>
      <c r="BV1269" t="s">
        <v>111</v>
      </c>
      <c r="BW1269" t="s">
        <v>111</v>
      </c>
      <c r="BX1269" t="s">
        <v>111</v>
      </c>
      <c r="BY1269" t="s">
        <v>111</v>
      </c>
      <c r="BZ1269" t="s">
        <v>111</v>
      </c>
      <c r="CA1269" t="s">
        <v>111</v>
      </c>
      <c r="CB1269" t="s">
        <v>111</v>
      </c>
      <c r="CC1269" t="s">
        <v>111</v>
      </c>
      <c r="CD1269" t="s">
        <v>111</v>
      </c>
      <c r="CE1269" t="s">
        <v>111</v>
      </c>
      <c r="CF1269" t="s">
        <v>111</v>
      </c>
      <c r="CG1269" t="s">
        <v>111</v>
      </c>
      <c r="CH1269" t="s">
        <v>111</v>
      </c>
      <c r="CI1269" t="s">
        <v>111</v>
      </c>
      <c r="CJ1269" t="s">
        <v>111</v>
      </c>
      <c r="CK1269" t="s">
        <v>111</v>
      </c>
      <c r="CL1269" t="s">
        <v>168</v>
      </c>
      <c r="CM1269" t="s">
        <v>111</v>
      </c>
      <c r="CN1269" t="s">
        <v>111</v>
      </c>
      <c r="CO1269" t="s">
        <v>111</v>
      </c>
      <c r="CP1269" t="s">
        <v>111</v>
      </c>
      <c r="CQ1269">
        <v>0</v>
      </c>
      <c r="CR1269">
        <v>0</v>
      </c>
      <c r="CS1269">
        <v>0</v>
      </c>
      <c r="CT1269" t="s">
        <v>111</v>
      </c>
      <c r="CU1269">
        <v>0</v>
      </c>
      <c r="CV1269" t="s">
        <v>111</v>
      </c>
      <c r="CW1269" t="s">
        <v>111</v>
      </c>
      <c r="CX1269" t="s">
        <v>111</v>
      </c>
      <c r="CY1269">
        <v>0</v>
      </c>
      <c r="CZ1269" t="s">
        <v>111</v>
      </c>
      <c r="DA1269" t="s">
        <v>111</v>
      </c>
      <c r="DB1269" t="s">
        <v>111</v>
      </c>
      <c r="DC1269" t="s">
        <v>111</v>
      </c>
    </row>
    <row r="1270" spans="1:107">
      <c r="A1270">
        <v>1909</v>
      </c>
      <c r="B1270" t="s">
        <v>107</v>
      </c>
      <c r="C1270" t="s">
        <v>3564</v>
      </c>
      <c r="D1270" t="s">
        <v>3710</v>
      </c>
      <c r="E1270" t="s">
        <v>3711</v>
      </c>
      <c r="F1270" t="s">
        <v>3567</v>
      </c>
      <c r="G1270" t="s">
        <v>3700</v>
      </c>
      <c r="H1270">
        <v>1.2</v>
      </c>
      <c r="I1270">
        <v>25</v>
      </c>
      <c r="J1270">
        <v>0</v>
      </c>
      <c r="K1270">
        <v>0</v>
      </c>
      <c r="L1270" t="s">
        <v>117</v>
      </c>
      <c r="M1270" t="s">
        <v>111</v>
      </c>
      <c r="N1270">
        <v>0</v>
      </c>
      <c r="O1270">
        <v>0</v>
      </c>
      <c r="P1270" t="s">
        <v>111</v>
      </c>
      <c r="Q1270">
        <v>20</v>
      </c>
      <c r="R1270">
        <v>0</v>
      </c>
      <c r="S1270">
        <v>0</v>
      </c>
      <c r="T1270">
        <v>0</v>
      </c>
      <c r="U1270" t="e">
        <f>-REFILADO</f>
        <v>#NAME?</v>
      </c>
      <c r="V1270">
        <v>0</v>
      </c>
      <c r="W1270">
        <v>0</v>
      </c>
      <c r="X1270">
        <v>0</v>
      </c>
      <c r="Y1270">
        <v>25</v>
      </c>
      <c r="Z1270" t="s">
        <v>111</v>
      </c>
      <c r="AA1270">
        <v>0</v>
      </c>
      <c r="AB1270" t="s">
        <v>111</v>
      </c>
      <c r="AC1270">
        <v>0</v>
      </c>
      <c r="AD1270" t="s">
        <v>111</v>
      </c>
      <c r="AE1270">
        <v>0</v>
      </c>
      <c r="AF1270">
        <v>0</v>
      </c>
      <c r="AG1270" t="s">
        <v>111</v>
      </c>
      <c r="AH1270" t="s">
        <v>111</v>
      </c>
      <c r="AI1270" t="s">
        <v>111</v>
      </c>
      <c r="AJ1270" t="s">
        <v>111</v>
      </c>
      <c r="AK1270" t="s">
        <v>111</v>
      </c>
      <c r="AL1270" t="s">
        <v>111</v>
      </c>
      <c r="AM1270">
        <v>0</v>
      </c>
      <c r="AN1270">
        <v>0</v>
      </c>
      <c r="AO1270">
        <v>0</v>
      </c>
      <c r="AP1270" t="s">
        <v>111</v>
      </c>
      <c r="AQ1270" t="s">
        <v>111</v>
      </c>
      <c r="AR1270" t="s">
        <v>111</v>
      </c>
      <c r="AS1270" t="s">
        <v>111</v>
      </c>
      <c r="AT1270" t="s">
        <v>111</v>
      </c>
      <c r="AU1270" t="s">
        <v>111</v>
      </c>
      <c r="AV1270" t="s">
        <v>111</v>
      </c>
      <c r="AW1270" t="s">
        <v>111</v>
      </c>
      <c r="AX1270" t="s">
        <v>111</v>
      </c>
      <c r="AY1270" t="s">
        <v>111</v>
      </c>
      <c r="AZ1270" t="s">
        <v>111</v>
      </c>
      <c r="BA1270" t="s">
        <v>111</v>
      </c>
      <c r="BB1270" t="s">
        <v>111</v>
      </c>
      <c r="BC1270" t="s">
        <v>111</v>
      </c>
      <c r="BD1270" t="s">
        <v>111</v>
      </c>
      <c r="BE1270" t="s">
        <v>111</v>
      </c>
      <c r="BF1270" t="s">
        <v>111</v>
      </c>
      <c r="BG1270" t="s">
        <v>111</v>
      </c>
      <c r="BH1270" t="s">
        <v>111</v>
      </c>
      <c r="BI1270" t="s">
        <v>111</v>
      </c>
      <c r="BJ1270" t="s">
        <v>111</v>
      </c>
      <c r="BK1270" t="s">
        <v>111</v>
      </c>
      <c r="BL1270" t="s">
        <v>111</v>
      </c>
      <c r="BM1270" t="s">
        <v>111</v>
      </c>
      <c r="BN1270" t="s">
        <v>111</v>
      </c>
      <c r="BO1270" t="s">
        <v>111</v>
      </c>
      <c r="BP1270" t="s">
        <v>111</v>
      </c>
      <c r="BQ1270" t="s">
        <v>111</v>
      </c>
      <c r="BR1270" t="s">
        <v>111</v>
      </c>
      <c r="BS1270" t="s">
        <v>111</v>
      </c>
      <c r="BT1270" t="s">
        <v>111</v>
      </c>
      <c r="BU1270" t="s">
        <v>111</v>
      </c>
      <c r="BV1270" t="s">
        <v>111</v>
      </c>
      <c r="BW1270" t="s">
        <v>111</v>
      </c>
      <c r="BX1270" t="s">
        <v>111</v>
      </c>
      <c r="BY1270" t="s">
        <v>111</v>
      </c>
      <c r="BZ1270" t="s">
        <v>111</v>
      </c>
      <c r="CA1270" t="s">
        <v>111</v>
      </c>
      <c r="CB1270" t="s">
        <v>111</v>
      </c>
      <c r="CC1270" t="s">
        <v>111</v>
      </c>
      <c r="CD1270" t="s">
        <v>111</v>
      </c>
      <c r="CE1270" t="s">
        <v>111</v>
      </c>
      <c r="CF1270" t="s">
        <v>111</v>
      </c>
      <c r="CG1270" t="s">
        <v>111</v>
      </c>
      <c r="CH1270" t="s">
        <v>111</v>
      </c>
      <c r="CI1270" t="s">
        <v>111</v>
      </c>
      <c r="CJ1270" t="s">
        <v>111</v>
      </c>
      <c r="CK1270" t="s">
        <v>111</v>
      </c>
      <c r="CL1270" t="s">
        <v>111</v>
      </c>
      <c r="CM1270" t="s">
        <v>111</v>
      </c>
      <c r="CN1270" t="s">
        <v>111</v>
      </c>
      <c r="CO1270" t="s">
        <v>111</v>
      </c>
      <c r="CP1270" t="s">
        <v>111</v>
      </c>
      <c r="CQ1270">
        <v>0</v>
      </c>
      <c r="CR1270">
        <v>0</v>
      </c>
      <c r="CS1270">
        <v>0</v>
      </c>
      <c r="CT1270" t="s">
        <v>111</v>
      </c>
      <c r="CU1270">
        <v>25</v>
      </c>
      <c r="CV1270" t="s">
        <v>111</v>
      </c>
      <c r="CX1270" t="s">
        <v>111</v>
      </c>
      <c r="CY1270">
        <v>17</v>
      </c>
      <c r="CZ1270" t="s">
        <v>117</v>
      </c>
      <c r="DA1270" t="e">
        <f>-ROLLOS BIEN EMPACADOS</f>
        <v>#NAME?</v>
      </c>
      <c r="DB1270" t="s">
        <v>111</v>
      </c>
      <c r="DC1270" t="s">
        <v>111</v>
      </c>
    </row>
    <row r="1271" spans="1:107">
      <c r="A1271">
        <v>2011</v>
      </c>
      <c r="B1271" t="s">
        <v>107</v>
      </c>
      <c r="C1271" t="s">
        <v>226</v>
      </c>
      <c r="D1271" t="s">
        <v>3616</v>
      </c>
      <c r="E1271" t="s">
        <v>3712</v>
      </c>
      <c r="F1271" t="s">
        <v>3003</v>
      </c>
      <c r="G1271" t="s">
        <v>3700</v>
      </c>
      <c r="H1271">
        <v>1.2</v>
      </c>
      <c r="I1271">
        <v>36</v>
      </c>
      <c r="J1271">
        <v>0</v>
      </c>
      <c r="K1271">
        <v>0</v>
      </c>
      <c r="L1271" t="s">
        <v>117</v>
      </c>
      <c r="M1271" t="s">
        <v>118</v>
      </c>
      <c r="N1271">
        <v>0</v>
      </c>
      <c r="O1271">
        <v>1</v>
      </c>
      <c r="P1271" t="s">
        <v>138</v>
      </c>
      <c r="Q1271">
        <v>50</v>
      </c>
      <c r="R1271">
        <v>0</v>
      </c>
      <c r="S1271">
        <v>0</v>
      </c>
      <c r="T1271">
        <v>10</v>
      </c>
      <c r="U1271" t="e">
        <f>-IMPRESION DEMES</f>
        <v>#NAME?</v>
      </c>
      <c r="V1271">
        <v>0</v>
      </c>
      <c r="W1271">
        <v>0</v>
      </c>
      <c r="X1271">
        <v>0</v>
      </c>
      <c r="Y1271">
        <v>25</v>
      </c>
      <c r="Z1271" t="s">
        <v>111</v>
      </c>
      <c r="AA1271">
        <v>0</v>
      </c>
      <c r="AB1271" t="s">
        <v>111</v>
      </c>
      <c r="AC1271">
        <v>0</v>
      </c>
      <c r="AD1271" t="s">
        <v>493</v>
      </c>
      <c r="AE1271">
        <v>0</v>
      </c>
      <c r="AF1271">
        <v>0</v>
      </c>
      <c r="AG1271" t="s">
        <v>111</v>
      </c>
      <c r="AH1271" t="s">
        <v>111</v>
      </c>
      <c r="AI1271" t="s">
        <v>111</v>
      </c>
      <c r="AJ1271" t="s">
        <v>111</v>
      </c>
      <c r="AK1271" t="s">
        <v>111</v>
      </c>
      <c r="AL1271" t="s">
        <v>111</v>
      </c>
      <c r="AM1271">
        <v>0</v>
      </c>
      <c r="AN1271">
        <v>0</v>
      </c>
      <c r="AO1271">
        <v>0</v>
      </c>
      <c r="AP1271" t="s">
        <v>111</v>
      </c>
      <c r="AQ1271" t="s">
        <v>111</v>
      </c>
      <c r="AR1271" t="s">
        <v>111</v>
      </c>
      <c r="AS1271" t="s">
        <v>111</v>
      </c>
      <c r="AT1271" t="s">
        <v>111</v>
      </c>
      <c r="AU1271" t="s">
        <v>111</v>
      </c>
      <c r="AV1271" t="s">
        <v>111</v>
      </c>
      <c r="AW1271" t="s">
        <v>111</v>
      </c>
      <c r="AX1271" t="s">
        <v>111</v>
      </c>
      <c r="AY1271" t="s">
        <v>111</v>
      </c>
      <c r="AZ1271" t="s">
        <v>111</v>
      </c>
      <c r="BA1271" t="s">
        <v>111</v>
      </c>
      <c r="BB1271" t="s">
        <v>111</v>
      </c>
      <c r="BC1271" t="s">
        <v>111</v>
      </c>
      <c r="BD1271" t="s">
        <v>111</v>
      </c>
      <c r="BE1271" t="s">
        <v>111</v>
      </c>
      <c r="BF1271" t="s">
        <v>111</v>
      </c>
      <c r="BG1271" t="s">
        <v>111</v>
      </c>
      <c r="BH1271" t="s">
        <v>111</v>
      </c>
      <c r="BI1271" t="s">
        <v>111</v>
      </c>
      <c r="BJ1271" t="s">
        <v>111</v>
      </c>
      <c r="BK1271" t="s">
        <v>111</v>
      </c>
      <c r="BL1271" t="s">
        <v>111</v>
      </c>
      <c r="BM1271" t="s">
        <v>111</v>
      </c>
      <c r="BN1271" t="s">
        <v>111</v>
      </c>
      <c r="BO1271" t="s">
        <v>111</v>
      </c>
      <c r="BP1271" t="s">
        <v>111</v>
      </c>
      <c r="BQ1271" t="s">
        <v>111</v>
      </c>
      <c r="BR1271" t="s">
        <v>111</v>
      </c>
      <c r="BS1271" t="s">
        <v>111</v>
      </c>
      <c r="BT1271" t="s">
        <v>111</v>
      </c>
      <c r="BU1271" t="s">
        <v>111</v>
      </c>
      <c r="BV1271" t="s">
        <v>111</v>
      </c>
      <c r="BW1271" t="s">
        <v>111</v>
      </c>
      <c r="BX1271" t="s">
        <v>111</v>
      </c>
      <c r="BY1271" t="s">
        <v>111</v>
      </c>
      <c r="BZ1271" t="s">
        <v>111</v>
      </c>
      <c r="CA1271" t="s">
        <v>111</v>
      </c>
      <c r="CB1271" t="s">
        <v>111</v>
      </c>
      <c r="CC1271" t="s">
        <v>111</v>
      </c>
      <c r="CD1271" t="s">
        <v>111</v>
      </c>
      <c r="CE1271" t="s">
        <v>111</v>
      </c>
      <c r="CF1271" t="s">
        <v>111</v>
      </c>
      <c r="CG1271" t="s">
        <v>111</v>
      </c>
      <c r="CH1271" t="s">
        <v>111</v>
      </c>
      <c r="CI1271" t="s">
        <v>111</v>
      </c>
      <c r="CJ1271" t="s">
        <v>111</v>
      </c>
      <c r="CK1271" t="s">
        <v>111</v>
      </c>
      <c r="CL1271" t="s">
        <v>111</v>
      </c>
      <c r="CM1271" t="s">
        <v>111</v>
      </c>
      <c r="CN1271" t="s">
        <v>111</v>
      </c>
      <c r="CO1271" t="s">
        <v>111</v>
      </c>
      <c r="CP1271" t="s">
        <v>111</v>
      </c>
      <c r="CQ1271">
        <v>0</v>
      </c>
      <c r="CR1271">
        <v>0</v>
      </c>
      <c r="CS1271">
        <v>0</v>
      </c>
      <c r="CT1271" t="s">
        <v>111</v>
      </c>
      <c r="CU1271">
        <v>36</v>
      </c>
      <c r="CV1271" t="e">
        <f>-A RZ DE GUIA</f>
        <v>#NAME?</v>
      </c>
      <c r="CX1271">
        <v>-1</v>
      </c>
      <c r="CY1271">
        <v>15</v>
      </c>
      <c r="CZ1271" t="s">
        <v>117</v>
      </c>
      <c r="DA1271" t="e">
        <f>-ROLLOS BIEN EMPACADOS</f>
        <v>#NAME?</v>
      </c>
      <c r="DB1271" t="s">
        <v>111</v>
      </c>
      <c r="DC1271" t="s">
        <v>111</v>
      </c>
    </row>
    <row r="1272" spans="1:107">
      <c r="A1272">
        <v>1525</v>
      </c>
      <c r="B1272" t="s">
        <v>107</v>
      </c>
      <c r="C1272" t="s">
        <v>226</v>
      </c>
      <c r="D1272" t="s">
        <v>3713</v>
      </c>
      <c r="E1272" t="s">
        <v>3714</v>
      </c>
      <c r="F1272" t="s">
        <v>3003</v>
      </c>
      <c r="G1272" t="s">
        <v>3700</v>
      </c>
      <c r="H1272">
        <v>1</v>
      </c>
      <c r="I1272">
        <v>50</v>
      </c>
      <c r="J1272">
        <v>0</v>
      </c>
      <c r="K1272">
        <v>0</v>
      </c>
      <c r="L1272" t="s">
        <v>117</v>
      </c>
      <c r="M1272" t="s">
        <v>118</v>
      </c>
      <c r="N1272">
        <v>40</v>
      </c>
      <c r="O1272">
        <v>1</v>
      </c>
      <c r="P1272" t="s">
        <v>111</v>
      </c>
      <c r="Q1272">
        <v>20</v>
      </c>
      <c r="R1272">
        <v>0</v>
      </c>
      <c r="S1272">
        <v>0</v>
      </c>
      <c r="T1272">
        <v>5</v>
      </c>
      <c r="U1272" t="e">
        <f>-IMPRESION CORREA</f>
        <v>#NAME?</v>
      </c>
      <c r="V1272">
        <v>0</v>
      </c>
      <c r="W1272">
        <v>0</v>
      </c>
      <c r="X1272">
        <v>0</v>
      </c>
      <c r="Y1272">
        <v>25</v>
      </c>
      <c r="Z1272" t="s">
        <v>111</v>
      </c>
      <c r="AA1272">
        <v>0</v>
      </c>
      <c r="AB1272" t="s">
        <v>111</v>
      </c>
      <c r="AC1272">
        <v>0</v>
      </c>
      <c r="AD1272" t="s">
        <v>427</v>
      </c>
      <c r="AE1272">
        <v>0</v>
      </c>
      <c r="AF1272">
        <v>0</v>
      </c>
      <c r="AG1272" t="s">
        <v>111</v>
      </c>
      <c r="AH1272" t="s">
        <v>128</v>
      </c>
      <c r="AI1272" t="s">
        <v>111</v>
      </c>
      <c r="AJ1272" t="s">
        <v>111</v>
      </c>
      <c r="AK1272" t="s">
        <v>111</v>
      </c>
      <c r="AL1272" t="s">
        <v>111</v>
      </c>
      <c r="AM1272">
        <v>0</v>
      </c>
      <c r="AN1272">
        <v>0</v>
      </c>
      <c r="AO1272">
        <v>0</v>
      </c>
      <c r="AP1272" t="s">
        <v>111</v>
      </c>
      <c r="AQ1272" t="s">
        <v>111</v>
      </c>
      <c r="AR1272" t="s">
        <v>111</v>
      </c>
      <c r="AS1272" t="s">
        <v>111</v>
      </c>
      <c r="AT1272" t="s">
        <v>111</v>
      </c>
      <c r="AU1272" t="s">
        <v>111</v>
      </c>
      <c r="AV1272" t="s">
        <v>111</v>
      </c>
      <c r="AW1272" t="s">
        <v>111</v>
      </c>
      <c r="AX1272" t="s">
        <v>111</v>
      </c>
      <c r="AY1272" t="s">
        <v>111</v>
      </c>
      <c r="AZ1272" t="s">
        <v>111</v>
      </c>
      <c r="BA1272" t="s">
        <v>111</v>
      </c>
      <c r="BB1272" t="s">
        <v>111</v>
      </c>
      <c r="BC1272" t="s">
        <v>111</v>
      </c>
      <c r="BD1272" t="s">
        <v>111</v>
      </c>
      <c r="BE1272" t="s">
        <v>111</v>
      </c>
      <c r="BF1272" t="s">
        <v>111</v>
      </c>
      <c r="BG1272" t="s">
        <v>111</v>
      </c>
      <c r="BH1272" t="s">
        <v>111</v>
      </c>
      <c r="BI1272" t="s">
        <v>111</v>
      </c>
      <c r="BJ1272" t="s">
        <v>111</v>
      </c>
      <c r="BK1272" t="s">
        <v>111</v>
      </c>
      <c r="BL1272" t="s">
        <v>111</v>
      </c>
      <c r="BM1272" t="s">
        <v>111</v>
      </c>
      <c r="BN1272" t="s">
        <v>111</v>
      </c>
      <c r="BO1272" t="s">
        <v>111</v>
      </c>
      <c r="BP1272" t="s">
        <v>111</v>
      </c>
      <c r="BQ1272" t="s">
        <v>111</v>
      </c>
      <c r="BR1272" t="s">
        <v>111</v>
      </c>
      <c r="BS1272" t="s">
        <v>111</v>
      </c>
      <c r="BT1272" t="s">
        <v>111</v>
      </c>
      <c r="BU1272" t="s">
        <v>111</v>
      </c>
      <c r="BV1272" t="s">
        <v>111</v>
      </c>
      <c r="BW1272" t="s">
        <v>111</v>
      </c>
      <c r="BX1272" t="s">
        <v>111</v>
      </c>
      <c r="BY1272" t="s">
        <v>111</v>
      </c>
      <c r="BZ1272" t="s">
        <v>111</v>
      </c>
      <c r="CA1272" t="s">
        <v>111</v>
      </c>
      <c r="CB1272" t="s">
        <v>111</v>
      </c>
      <c r="CC1272" t="s">
        <v>111</v>
      </c>
      <c r="CD1272" t="s">
        <v>111</v>
      </c>
      <c r="CE1272" t="s">
        <v>111</v>
      </c>
      <c r="CF1272" t="s">
        <v>111</v>
      </c>
      <c r="CG1272" t="s">
        <v>111</v>
      </c>
      <c r="CH1272" t="s">
        <v>111</v>
      </c>
      <c r="CI1272" t="s">
        <v>111</v>
      </c>
      <c r="CJ1272" t="s">
        <v>111</v>
      </c>
      <c r="CK1272" t="s">
        <v>111</v>
      </c>
      <c r="CL1272" t="s">
        <v>111</v>
      </c>
      <c r="CM1272" t="s">
        <v>111</v>
      </c>
      <c r="CN1272" t="s">
        <v>111</v>
      </c>
      <c r="CO1272" t="s">
        <v>111</v>
      </c>
      <c r="CP1272" t="s">
        <v>111</v>
      </c>
      <c r="CQ1272">
        <v>0</v>
      </c>
      <c r="CR1272">
        <v>0</v>
      </c>
      <c r="CS1272">
        <v>0</v>
      </c>
      <c r="CT1272" t="s">
        <v>111</v>
      </c>
      <c r="CU1272">
        <v>23.5</v>
      </c>
      <c r="CV1272" t="s">
        <v>3715</v>
      </c>
      <c r="CW1272" t="s">
        <v>111</v>
      </c>
      <c r="CX1272">
        <v>1</v>
      </c>
      <c r="CY1272">
        <v>8</v>
      </c>
      <c r="CZ1272" t="s">
        <v>117</v>
      </c>
      <c r="DA1272" s="1" t="s">
        <v>3716</v>
      </c>
      <c r="DB1272" t="s">
        <v>111</v>
      </c>
      <c r="DC1272" t="s">
        <v>111</v>
      </c>
    </row>
    <row r="1273" spans="1:107">
      <c r="A1273">
        <v>1767</v>
      </c>
      <c r="B1273" t="s">
        <v>107</v>
      </c>
      <c r="C1273" t="s">
        <v>226</v>
      </c>
      <c r="D1273" t="s">
        <v>3642</v>
      </c>
      <c r="E1273" t="s">
        <v>3717</v>
      </c>
      <c r="F1273" t="s">
        <v>3003</v>
      </c>
      <c r="G1273" t="s">
        <v>3700</v>
      </c>
      <c r="H1273">
        <v>1.2</v>
      </c>
      <c r="I1273">
        <v>60.3</v>
      </c>
      <c r="J1273">
        <v>0</v>
      </c>
      <c r="K1273">
        <v>0</v>
      </c>
      <c r="L1273" t="s">
        <v>117</v>
      </c>
      <c r="M1273" t="s">
        <v>118</v>
      </c>
      <c r="N1273">
        <v>40</v>
      </c>
      <c r="O1273">
        <v>1</v>
      </c>
      <c r="P1273" t="s">
        <v>138</v>
      </c>
      <c r="Q1273">
        <v>20</v>
      </c>
      <c r="R1273">
        <v>0</v>
      </c>
      <c r="S1273">
        <v>0</v>
      </c>
      <c r="T1273">
        <v>0</v>
      </c>
      <c r="U1273" t="e">
        <f>-IMPRESION CORREA</f>
        <v>#NAME?</v>
      </c>
      <c r="V1273">
        <v>0</v>
      </c>
      <c r="W1273">
        <v>0</v>
      </c>
      <c r="X1273">
        <v>0</v>
      </c>
      <c r="Y1273">
        <v>25</v>
      </c>
      <c r="Z1273" t="s">
        <v>111</v>
      </c>
      <c r="AA1273">
        <v>0</v>
      </c>
      <c r="AB1273" t="s">
        <v>111</v>
      </c>
      <c r="AC1273">
        <v>0</v>
      </c>
      <c r="AD1273" t="s">
        <v>427</v>
      </c>
      <c r="AE1273">
        <v>0</v>
      </c>
      <c r="AF1273">
        <v>0</v>
      </c>
      <c r="AG1273" t="s">
        <v>111</v>
      </c>
      <c r="AH1273" t="s">
        <v>111</v>
      </c>
      <c r="AI1273" t="s">
        <v>111</v>
      </c>
      <c r="AJ1273" t="s">
        <v>111</v>
      </c>
      <c r="AK1273" t="s">
        <v>111</v>
      </c>
      <c r="AL1273" t="s">
        <v>111</v>
      </c>
      <c r="AM1273">
        <v>0</v>
      </c>
      <c r="AN1273">
        <v>0</v>
      </c>
      <c r="AO1273">
        <v>0</v>
      </c>
      <c r="AP1273" t="s">
        <v>111</v>
      </c>
      <c r="AQ1273" t="s">
        <v>111</v>
      </c>
      <c r="AR1273" t="s">
        <v>111</v>
      </c>
      <c r="AS1273" t="s">
        <v>111</v>
      </c>
      <c r="AT1273" t="s">
        <v>111</v>
      </c>
      <c r="AU1273" t="s">
        <v>111</v>
      </c>
      <c r="AV1273" t="s">
        <v>111</v>
      </c>
      <c r="AW1273" t="s">
        <v>111</v>
      </c>
      <c r="AX1273" t="s">
        <v>111</v>
      </c>
      <c r="AY1273" t="s">
        <v>111</v>
      </c>
      <c r="AZ1273" t="s">
        <v>111</v>
      </c>
      <c r="BA1273" t="s">
        <v>111</v>
      </c>
      <c r="BB1273" t="s">
        <v>111</v>
      </c>
      <c r="BC1273" t="s">
        <v>111</v>
      </c>
      <c r="BD1273" t="s">
        <v>111</v>
      </c>
      <c r="BE1273" t="s">
        <v>111</v>
      </c>
      <c r="BF1273" t="s">
        <v>111</v>
      </c>
      <c r="BG1273" t="s">
        <v>111</v>
      </c>
      <c r="BH1273" t="s">
        <v>111</v>
      </c>
      <c r="BI1273" t="s">
        <v>111</v>
      </c>
      <c r="BJ1273" t="s">
        <v>111</v>
      </c>
      <c r="BK1273" t="s">
        <v>111</v>
      </c>
      <c r="BL1273" t="s">
        <v>111</v>
      </c>
      <c r="BM1273" t="s">
        <v>111</v>
      </c>
      <c r="BN1273" t="s">
        <v>111</v>
      </c>
      <c r="BO1273" t="s">
        <v>111</v>
      </c>
      <c r="BP1273" t="s">
        <v>111</v>
      </c>
      <c r="BQ1273" t="s">
        <v>111</v>
      </c>
      <c r="BR1273" t="s">
        <v>111</v>
      </c>
      <c r="BS1273" t="s">
        <v>111</v>
      </c>
      <c r="BT1273" t="s">
        <v>111</v>
      </c>
      <c r="BU1273" t="s">
        <v>111</v>
      </c>
      <c r="BV1273" t="s">
        <v>111</v>
      </c>
      <c r="BW1273" t="s">
        <v>111</v>
      </c>
      <c r="BX1273" t="s">
        <v>111</v>
      </c>
      <c r="BY1273" t="s">
        <v>111</v>
      </c>
      <c r="BZ1273" t="s">
        <v>111</v>
      </c>
      <c r="CA1273" t="s">
        <v>111</v>
      </c>
      <c r="CB1273" t="s">
        <v>111</v>
      </c>
      <c r="CC1273" t="s">
        <v>111</v>
      </c>
      <c r="CD1273" t="s">
        <v>111</v>
      </c>
      <c r="CE1273" t="s">
        <v>111</v>
      </c>
      <c r="CF1273" t="s">
        <v>111</v>
      </c>
      <c r="CG1273" t="s">
        <v>111</v>
      </c>
      <c r="CH1273" t="s">
        <v>111</v>
      </c>
      <c r="CI1273" t="s">
        <v>111</v>
      </c>
      <c r="CJ1273" t="s">
        <v>111</v>
      </c>
      <c r="CK1273" t="s">
        <v>111</v>
      </c>
      <c r="CL1273" t="s">
        <v>111</v>
      </c>
      <c r="CM1273" t="s">
        <v>111</v>
      </c>
      <c r="CN1273" t="s">
        <v>111</v>
      </c>
      <c r="CO1273" t="s">
        <v>111</v>
      </c>
      <c r="CP1273" t="s">
        <v>111</v>
      </c>
      <c r="CQ1273">
        <v>0</v>
      </c>
      <c r="CR1273">
        <v>0</v>
      </c>
      <c r="CS1273">
        <v>0</v>
      </c>
      <c r="CT1273" t="s">
        <v>111</v>
      </c>
      <c r="CU1273">
        <v>30.5</v>
      </c>
      <c r="CV1273" t="s">
        <v>3715</v>
      </c>
      <c r="CX1273">
        <v>1</v>
      </c>
      <c r="CY1273">
        <v>8</v>
      </c>
      <c r="CZ1273" t="s">
        <v>117</v>
      </c>
      <c r="DA1273" s="1" t="s">
        <v>3718</v>
      </c>
      <c r="DB1273" t="s">
        <v>111</v>
      </c>
      <c r="DC1273" t="s">
        <v>111</v>
      </c>
    </row>
    <row r="1274" spans="1:107">
      <c r="A1274">
        <v>1296</v>
      </c>
      <c r="B1274" t="s">
        <v>107</v>
      </c>
      <c r="C1274" t="s">
        <v>827</v>
      </c>
      <c r="D1274" t="s">
        <v>3701</v>
      </c>
      <c r="E1274" t="s">
        <v>3719</v>
      </c>
      <c r="F1274" t="s">
        <v>1260</v>
      </c>
      <c r="G1274" t="s">
        <v>3700</v>
      </c>
      <c r="H1274">
        <v>1.25</v>
      </c>
      <c r="I1274">
        <v>43</v>
      </c>
      <c r="J1274">
        <v>0</v>
      </c>
      <c r="K1274">
        <v>0</v>
      </c>
      <c r="L1274" t="s">
        <v>117</v>
      </c>
      <c r="M1274" t="s">
        <v>118</v>
      </c>
      <c r="N1274">
        <v>40</v>
      </c>
      <c r="O1274">
        <v>1</v>
      </c>
      <c r="P1274" t="s">
        <v>138</v>
      </c>
      <c r="Q1274">
        <v>20</v>
      </c>
      <c r="R1274">
        <v>0</v>
      </c>
      <c r="S1274">
        <v>0</v>
      </c>
      <c r="T1274">
        <v>5</v>
      </c>
      <c r="U1274" s="1" t="s">
        <v>662</v>
      </c>
      <c r="V1274">
        <v>0</v>
      </c>
      <c r="W1274">
        <v>0</v>
      </c>
      <c r="X1274">
        <v>0</v>
      </c>
      <c r="Y1274">
        <v>25</v>
      </c>
      <c r="Z1274" t="s">
        <v>111</v>
      </c>
      <c r="AA1274">
        <v>0</v>
      </c>
      <c r="AB1274" t="s">
        <v>111</v>
      </c>
      <c r="AC1274">
        <v>0</v>
      </c>
      <c r="AD1274" t="s">
        <v>416</v>
      </c>
      <c r="AE1274">
        <v>0</v>
      </c>
      <c r="AF1274">
        <v>0</v>
      </c>
      <c r="AG1274" t="s">
        <v>111</v>
      </c>
      <c r="AH1274" t="s">
        <v>128</v>
      </c>
      <c r="AI1274" t="s">
        <v>111</v>
      </c>
      <c r="AJ1274" t="s">
        <v>111</v>
      </c>
      <c r="AK1274" t="s">
        <v>111</v>
      </c>
      <c r="AL1274" t="s">
        <v>111</v>
      </c>
      <c r="AM1274">
        <v>0</v>
      </c>
      <c r="AN1274">
        <v>0</v>
      </c>
      <c r="AO1274">
        <v>0</v>
      </c>
      <c r="AP1274" t="s">
        <v>111</v>
      </c>
      <c r="AQ1274" t="s">
        <v>111</v>
      </c>
      <c r="AR1274" t="s">
        <v>111</v>
      </c>
      <c r="AS1274" t="s">
        <v>111</v>
      </c>
      <c r="AT1274" t="s">
        <v>111</v>
      </c>
      <c r="AU1274" t="s">
        <v>111</v>
      </c>
      <c r="AV1274" t="s">
        <v>111</v>
      </c>
      <c r="AW1274" t="s">
        <v>111</v>
      </c>
      <c r="AX1274" t="s">
        <v>111</v>
      </c>
      <c r="AY1274" t="s">
        <v>111</v>
      </c>
      <c r="AZ1274" t="s">
        <v>111</v>
      </c>
      <c r="BA1274" t="s">
        <v>111</v>
      </c>
      <c r="BB1274" t="s">
        <v>111</v>
      </c>
      <c r="BC1274" t="s">
        <v>111</v>
      </c>
      <c r="BD1274" t="s">
        <v>111</v>
      </c>
      <c r="BE1274" t="s">
        <v>111</v>
      </c>
      <c r="BF1274" t="s">
        <v>111</v>
      </c>
      <c r="BG1274" t="s">
        <v>111</v>
      </c>
      <c r="BH1274" t="s">
        <v>111</v>
      </c>
      <c r="BI1274" t="s">
        <v>111</v>
      </c>
      <c r="BJ1274" t="s">
        <v>111</v>
      </c>
      <c r="BK1274" t="s">
        <v>111</v>
      </c>
      <c r="BL1274" t="s">
        <v>111</v>
      </c>
      <c r="BM1274" t="s">
        <v>111</v>
      </c>
      <c r="BN1274" t="s">
        <v>111</v>
      </c>
      <c r="BO1274" t="s">
        <v>111</v>
      </c>
      <c r="BP1274" t="s">
        <v>111</v>
      </c>
      <c r="BQ1274" t="s">
        <v>111</v>
      </c>
      <c r="BR1274" t="s">
        <v>111</v>
      </c>
      <c r="BS1274" t="s">
        <v>111</v>
      </c>
      <c r="BT1274" t="s">
        <v>111</v>
      </c>
      <c r="BU1274" t="s">
        <v>111</v>
      </c>
      <c r="BV1274" t="s">
        <v>111</v>
      </c>
      <c r="BW1274" t="s">
        <v>111</v>
      </c>
      <c r="BX1274" t="s">
        <v>111</v>
      </c>
      <c r="BY1274" t="s">
        <v>111</v>
      </c>
      <c r="BZ1274" t="s">
        <v>111</v>
      </c>
      <c r="CA1274" t="s">
        <v>111</v>
      </c>
      <c r="CB1274" t="s">
        <v>111</v>
      </c>
      <c r="CC1274" t="s">
        <v>111</v>
      </c>
      <c r="CD1274" t="s">
        <v>111</v>
      </c>
      <c r="CE1274" t="s">
        <v>111</v>
      </c>
      <c r="CF1274" t="s">
        <v>111</v>
      </c>
      <c r="CG1274" t="s">
        <v>111</v>
      </c>
      <c r="CH1274" t="s">
        <v>111</v>
      </c>
      <c r="CI1274" t="s">
        <v>111</v>
      </c>
      <c r="CJ1274" t="s">
        <v>111</v>
      </c>
      <c r="CK1274" t="s">
        <v>111</v>
      </c>
      <c r="CL1274" t="s">
        <v>111</v>
      </c>
      <c r="CM1274" t="s">
        <v>111</v>
      </c>
      <c r="CN1274" t="s">
        <v>111</v>
      </c>
      <c r="CO1274" t="s">
        <v>111</v>
      </c>
      <c r="CP1274" t="s">
        <v>111</v>
      </c>
      <c r="CQ1274">
        <v>0</v>
      </c>
      <c r="CR1274">
        <v>0</v>
      </c>
      <c r="CS1274">
        <v>0</v>
      </c>
      <c r="CT1274" t="s">
        <v>111</v>
      </c>
      <c r="CU1274">
        <v>42.5</v>
      </c>
      <c r="CV1274" t="s">
        <v>111</v>
      </c>
      <c r="CW1274" t="s">
        <v>111</v>
      </c>
      <c r="CX1274">
        <v>1</v>
      </c>
      <c r="CY1274">
        <v>15</v>
      </c>
      <c r="CZ1274" t="s">
        <v>117</v>
      </c>
      <c r="DA1274" t="e">
        <f>-ROLLOS BIEN EMPACADAOS</f>
        <v>#NAME?</v>
      </c>
      <c r="DB1274" t="s">
        <v>111</v>
      </c>
      <c r="DC1274" t="s">
        <v>111</v>
      </c>
    </row>
    <row r="1275" spans="1:107">
      <c r="A1275">
        <v>1935</v>
      </c>
      <c r="B1275" t="s">
        <v>107</v>
      </c>
      <c r="C1275" t="s">
        <v>1828</v>
      </c>
      <c r="D1275" t="s">
        <v>3720</v>
      </c>
      <c r="E1275" t="s">
        <v>3721</v>
      </c>
      <c r="F1275" t="s">
        <v>192</v>
      </c>
      <c r="G1275" t="s">
        <v>3722</v>
      </c>
      <c r="H1275">
        <v>0.8</v>
      </c>
      <c r="I1275">
        <v>10.199999999999999</v>
      </c>
      <c r="J1275">
        <v>0</v>
      </c>
      <c r="K1275">
        <v>0</v>
      </c>
      <c r="L1275" t="s">
        <v>112</v>
      </c>
      <c r="M1275" t="s">
        <v>111</v>
      </c>
      <c r="N1275">
        <v>0</v>
      </c>
      <c r="O1275">
        <v>0</v>
      </c>
      <c r="P1275" t="s">
        <v>111</v>
      </c>
      <c r="Q1275">
        <v>5</v>
      </c>
      <c r="R1275">
        <v>0</v>
      </c>
      <c r="S1275">
        <v>0</v>
      </c>
      <c r="T1275">
        <v>0</v>
      </c>
      <c r="U1275" t="e">
        <f>-ALMACEN</f>
        <v>#NAME?</v>
      </c>
      <c r="V1275">
        <v>0</v>
      </c>
      <c r="W1275">
        <v>25</v>
      </c>
      <c r="X1275">
        <v>5</v>
      </c>
      <c r="Y1275">
        <v>0</v>
      </c>
      <c r="Z1275" t="s">
        <v>111</v>
      </c>
      <c r="AA1275">
        <v>0</v>
      </c>
      <c r="AB1275" t="s">
        <v>111</v>
      </c>
      <c r="AC1275">
        <v>0</v>
      </c>
      <c r="AD1275" t="s">
        <v>111</v>
      </c>
      <c r="AE1275">
        <v>0</v>
      </c>
      <c r="AF1275">
        <v>0</v>
      </c>
      <c r="AG1275" t="s">
        <v>111</v>
      </c>
      <c r="AH1275" t="s">
        <v>111</v>
      </c>
      <c r="AI1275" t="s">
        <v>111</v>
      </c>
      <c r="AJ1275" t="s">
        <v>111</v>
      </c>
      <c r="AK1275" t="s">
        <v>111</v>
      </c>
      <c r="AL1275" t="s">
        <v>111</v>
      </c>
      <c r="AM1275">
        <v>0</v>
      </c>
      <c r="AN1275">
        <v>0</v>
      </c>
      <c r="AO1275">
        <v>0</v>
      </c>
      <c r="AP1275" t="s">
        <v>111</v>
      </c>
      <c r="AQ1275" t="s">
        <v>111</v>
      </c>
      <c r="AR1275" t="s">
        <v>111</v>
      </c>
      <c r="AS1275" t="s">
        <v>111</v>
      </c>
      <c r="AT1275" t="s">
        <v>111</v>
      </c>
      <c r="AU1275" t="s">
        <v>111</v>
      </c>
      <c r="AV1275" t="s">
        <v>111</v>
      </c>
      <c r="AW1275" t="s">
        <v>111</v>
      </c>
      <c r="AX1275" t="s">
        <v>111</v>
      </c>
      <c r="AY1275" t="s">
        <v>111</v>
      </c>
      <c r="AZ1275" t="s">
        <v>111</v>
      </c>
      <c r="BA1275" t="s">
        <v>111</v>
      </c>
      <c r="BB1275" t="s">
        <v>111</v>
      </c>
      <c r="BC1275" t="s">
        <v>111</v>
      </c>
      <c r="BD1275" t="s">
        <v>111</v>
      </c>
      <c r="BE1275" t="s">
        <v>111</v>
      </c>
      <c r="BF1275" t="s">
        <v>111</v>
      </c>
      <c r="BG1275" t="s">
        <v>111</v>
      </c>
      <c r="BH1275" t="s">
        <v>111</v>
      </c>
      <c r="BI1275" t="s">
        <v>111</v>
      </c>
      <c r="BJ1275" t="s">
        <v>111</v>
      </c>
      <c r="BK1275" t="s">
        <v>111</v>
      </c>
      <c r="BL1275" t="s">
        <v>111</v>
      </c>
      <c r="BM1275" t="s">
        <v>111</v>
      </c>
      <c r="BN1275" t="s">
        <v>111</v>
      </c>
      <c r="BO1275" t="s">
        <v>111</v>
      </c>
      <c r="BP1275" t="s">
        <v>111</v>
      </c>
      <c r="BQ1275" t="s">
        <v>111</v>
      </c>
      <c r="BR1275" t="s">
        <v>111</v>
      </c>
      <c r="BS1275" t="s">
        <v>111</v>
      </c>
      <c r="BT1275" t="s">
        <v>111</v>
      </c>
      <c r="BU1275" t="s">
        <v>111</v>
      </c>
      <c r="BV1275" t="s">
        <v>111</v>
      </c>
      <c r="BW1275" t="s">
        <v>111</v>
      </c>
      <c r="BX1275" t="s">
        <v>111</v>
      </c>
      <c r="BY1275" t="s">
        <v>111</v>
      </c>
      <c r="BZ1275" t="s">
        <v>111</v>
      </c>
      <c r="CA1275" t="s">
        <v>111</v>
      </c>
      <c r="CB1275" t="s">
        <v>111</v>
      </c>
      <c r="CC1275" t="s">
        <v>111</v>
      </c>
      <c r="CD1275" t="s">
        <v>111</v>
      </c>
      <c r="CE1275" t="s">
        <v>111</v>
      </c>
      <c r="CF1275" t="s">
        <v>111</v>
      </c>
      <c r="CG1275" t="s">
        <v>111</v>
      </c>
      <c r="CH1275" t="s">
        <v>111</v>
      </c>
      <c r="CI1275" t="s">
        <v>111</v>
      </c>
      <c r="CJ1275" t="s">
        <v>111</v>
      </c>
      <c r="CK1275" t="s">
        <v>111</v>
      </c>
      <c r="CL1275" t="s">
        <v>111</v>
      </c>
      <c r="CM1275" t="s">
        <v>3723</v>
      </c>
      <c r="CN1275" t="s">
        <v>113</v>
      </c>
      <c r="CO1275" t="s">
        <v>111</v>
      </c>
      <c r="CP1275" t="s">
        <v>111</v>
      </c>
      <c r="CQ1275">
        <v>0</v>
      </c>
      <c r="CR1275">
        <v>4000</v>
      </c>
      <c r="CS1275">
        <v>200</v>
      </c>
      <c r="CT1275" t="e">
        <f>-ALMACEN</f>
        <v>#NAME?</v>
      </c>
      <c r="CU1275">
        <v>0</v>
      </c>
      <c r="CV1275" t="s">
        <v>111</v>
      </c>
      <c r="CX1275" t="s">
        <v>111</v>
      </c>
      <c r="CY1275">
        <v>0</v>
      </c>
      <c r="CZ1275" t="s">
        <v>111</v>
      </c>
      <c r="DA1275" t="s">
        <v>111</v>
      </c>
      <c r="DB1275" t="s">
        <v>111</v>
      </c>
      <c r="DC1275" t="s">
        <v>111</v>
      </c>
    </row>
    <row r="1276" spans="1:107">
      <c r="A1276">
        <v>612</v>
      </c>
      <c r="B1276" t="s">
        <v>162</v>
      </c>
      <c r="C1276" t="s">
        <v>1828</v>
      </c>
      <c r="D1276" t="s">
        <v>3724</v>
      </c>
      <c r="E1276" t="s">
        <v>3725</v>
      </c>
      <c r="F1276" t="s">
        <v>192</v>
      </c>
      <c r="G1276" t="s">
        <v>3726</v>
      </c>
      <c r="H1276">
        <v>1</v>
      </c>
      <c r="I1276">
        <v>45.8</v>
      </c>
      <c r="J1276">
        <v>2.5</v>
      </c>
      <c r="K1276">
        <v>2.5</v>
      </c>
      <c r="L1276" t="s">
        <v>112</v>
      </c>
      <c r="M1276" t="s">
        <v>138</v>
      </c>
      <c r="N1276">
        <v>0</v>
      </c>
      <c r="O1276">
        <v>0</v>
      </c>
      <c r="P1276" t="s">
        <v>138</v>
      </c>
      <c r="Q1276">
        <v>25</v>
      </c>
      <c r="R1276">
        <v>0</v>
      </c>
      <c r="S1276">
        <v>0</v>
      </c>
      <c r="T1276">
        <v>0</v>
      </c>
      <c r="U1276" t="s">
        <v>153</v>
      </c>
      <c r="V1276">
        <v>0</v>
      </c>
      <c r="W1276">
        <v>0</v>
      </c>
      <c r="X1276">
        <v>1</v>
      </c>
      <c r="Y1276">
        <v>0</v>
      </c>
      <c r="Z1276" t="s">
        <v>111</v>
      </c>
      <c r="AA1276">
        <v>0</v>
      </c>
      <c r="AB1276" t="s">
        <v>111</v>
      </c>
      <c r="AC1276">
        <v>0</v>
      </c>
      <c r="AD1276" t="s">
        <v>111</v>
      </c>
      <c r="AE1276">
        <v>0</v>
      </c>
      <c r="AF1276">
        <v>0</v>
      </c>
      <c r="AG1276" t="s">
        <v>111</v>
      </c>
      <c r="AH1276" t="s">
        <v>111</v>
      </c>
      <c r="AI1276" t="s">
        <v>111</v>
      </c>
      <c r="AJ1276" t="s">
        <v>111</v>
      </c>
      <c r="AK1276" t="s">
        <v>111</v>
      </c>
      <c r="AL1276" t="s">
        <v>111</v>
      </c>
      <c r="AM1276">
        <v>0</v>
      </c>
      <c r="AN1276">
        <v>0</v>
      </c>
      <c r="AO1276">
        <v>0</v>
      </c>
      <c r="AP1276" t="s">
        <v>111</v>
      </c>
      <c r="AQ1276" t="s">
        <v>111</v>
      </c>
      <c r="AR1276" t="s">
        <v>111</v>
      </c>
      <c r="AS1276" t="s">
        <v>111</v>
      </c>
      <c r="AT1276" t="s">
        <v>111</v>
      </c>
      <c r="AU1276" t="s">
        <v>111</v>
      </c>
      <c r="AV1276" t="s">
        <v>111</v>
      </c>
      <c r="AW1276" t="s">
        <v>111</v>
      </c>
      <c r="AX1276" t="s">
        <v>111</v>
      </c>
      <c r="AY1276" t="s">
        <v>111</v>
      </c>
      <c r="AZ1276" t="s">
        <v>111</v>
      </c>
      <c r="BA1276" t="s">
        <v>111</v>
      </c>
      <c r="BB1276" t="s">
        <v>111</v>
      </c>
      <c r="BC1276" t="s">
        <v>111</v>
      </c>
      <c r="BD1276" t="s">
        <v>111</v>
      </c>
      <c r="BE1276" t="s">
        <v>111</v>
      </c>
      <c r="BF1276" t="s">
        <v>111</v>
      </c>
      <c r="BG1276" t="s">
        <v>111</v>
      </c>
      <c r="BH1276" t="s">
        <v>111</v>
      </c>
      <c r="BI1276" t="s">
        <v>111</v>
      </c>
      <c r="BJ1276" t="s">
        <v>111</v>
      </c>
      <c r="BK1276" t="s">
        <v>111</v>
      </c>
      <c r="BL1276" t="s">
        <v>111</v>
      </c>
      <c r="BM1276" t="s">
        <v>111</v>
      </c>
      <c r="BN1276" t="s">
        <v>111</v>
      </c>
      <c r="BO1276" t="s">
        <v>111</v>
      </c>
      <c r="BP1276" t="s">
        <v>111</v>
      </c>
      <c r="BQ1276" t="s">
        <v>111</v>
      </c>
      <c r="BR1276" t="s">
        <v>111</v>
      </c>
      <c r="BS1276" t="s">
        <v>111</v>
      </c>
      <c r="BT1276" t="s">
        <v>111</v>
      </c>
      <c r="BU1276" t="s">
        <v>111</v>
      </c>
      <c r="BV1276" t="s">
        <v>111</v>
      </c>
      <c r="BW1276" t="s">
        <v>111</v>
      </c>
      <c r="BX1276" t="s">
        <v>111</v>
      </c>
      <c r="BY1276" t="s">
        <v>111</v>
      </c>
      <c r="BZ1276" t="s">
        <v>111</v>
      </c>
      <c r="CA1276" t="s">
        <v>111</v>
      </c>
      <c r="CB1276" t="s">
        <v>111</v>
      </c>
      <c r="CC1276" t="s">
        <v>111</v>
      </c>
      <c r="CD1276" t="s">
        <v>111</v>
      </c>
      <c r="CE1276" t="s">
        <v>111</v>
      </c>
      <c r="CF1276" t="s">
        <v>111</v>
      </c>
      <c r="CG1276" t="s">
        <v>111</v>
      </c>
      <c r="CH1276" t="s">
        <v>111</v>
      </c>
      <c r="CI1276" t="s">
        <v>111</v>
      </c>
      <c r="CJ1276" t="s">
        <v>111</v>
      </c>
      <c r="CK1276" t="s">
        <v>111</v>
      </c>
      <c r="CL1276" t="s">
        <v>111</v>
      </c>
      <c r="CM1276" t="s">
        <v>198</v>
      </c>
      <c r="CN1276" t="s">
        <v>113</v>
      </c>
      <c r="CO1276" t="s">
        <v>222</v>
      </c>
      <c r="CP1276" t="s">
        <v>111</v>
      </c>
      <c r="CQ1276">
        <v>0</v>
      </c>
      <c r="CR1276">
        <v>0</v>
      </c>
      <c r="CS1276">
        <v>0</v>
      </c>
      <c r="CT1276" s="1" t="s">
        <v>3727</v>
      </c>
      <c r="CU1276">
        <v>0</v>
      </c>
      <c r="CV1276" t="s">
        <v>111</v>
      </c>
      <c r="CW1276" t="s">
        <v>111</v>
      </c>
      <c r="CX1276" t="s">
        <v>111</v>
      </c>
      <c r="CY1276">
        <v>0</v>
      </c>
      <c r="CZ1276" t="s">
        <v>111</v>
      </c>
      <c r="DA1276" t="s">
        <v>111</v>
      </c>
      <c r="DB1276" t="s">
        <v>111</v>
      </c>
      <c r="DC1276" t="s">
        <v>111</v>
      </c>
    </row>
    <row r="1277" spans="1:107">
      <c r="A1277">
        <v>616</v>
      </c>
      <c r="B1277" t="s">
        <v>162</v>
      </c>
      <c r="C1277" t="s">
        <v>1828</v>
      </c>
      <c r="D1277" t="s">
        <v>3724</v>
      </c>
      <c r="E1277" t="s">
        <v>3728</v>
      </c>
      <c r="F1277" t="s">
        <v>192</v>
      </c>
      <c r="G1277" t="s">
        <v>3726</v>
      </c>
      <c r="H1277">
        <v>1</v>
      </c>
      <c r="I1277">
        <v>45.8</v>
      </c>
      <c r="J1277">
        <v>2.5</v>
      </c>
      <c r="K1277">
        <v>2.5</v>
      </c>
      <c r="L1277" t="s">
        <v>112</v>
      </c>
      <c r="M1277" t="s">
        <v>138</v>
      </c>
      <c r="N1277">
        <v>0</v>
      </c>
      <c r="O1277">
        <v>0</v>
      </c>
      <c r="P1277" t="s">
        <v>138</v>
      </c>
      <c r="Q1277">
        <v>25</v>
      </c>
      <c r="R1277">
        <v>0</v>
      </c>
      <c r="S1277">
        <v>0</v>
      </c>
      <c r="T1277">
        <v>0</v>
      </c>
      <c r="U1277" t="s">
        <v>153</v>
      </c>
      <c r="V1277">
        <v>0</v>
      </c>
      <c r="W1277">
        <v>0</v>
      </c>
      <c r="X1277">
        <v>1</v>
      </c>
      <c r="Y1277">
        <v>0</v>
      </c>
      <c r="Z1277" t="s">
        <v>111</v>
      </c>
      <c r="AA1277">
        <v>0</v>
      </c>
      <c r="AB1277" t="s">
        <v>111</v>
      </c>
      <c r="AC1277">
        <v>0</v>
      </c>
      <c r="AD1277" t="s">
        <v>111</v>
      </c>
      <c r="AE1277">
        <v>0</v>
      </c>
      <c r="AF1277">
        <v>0</v>
      </c>
      <c r="AG1277" t="s">
        <v>111</v>
      </c>
      <c r="AH1277" t="s">
        <v>111</v>
      </c>
      <c r="AI1277" t="s">
        <v>111</v>
      </c>
      <c r="AJ1277" t="s">
        <v>111</v>
      </c>
      <c r="AK1277" t="s">
        <v>111</v>
      </c>
      <c r="AL1277" t="s">
        <v>111</v>
      </c>
      <c r="AM1277">
        <v>0</v>
      </c>
      <c r="AN1277">
        <v>0</v>
      </c>
      <c r="AO1277">
        <v>0</v>
      </c>
      <c r="AP1277" t="s">
        <v>111</v>
      </c>
      <c r="AQ1277" t="s">
        <v>111</v>
      </c>
      <c r="AR1277" t="s">
        <v>111</v>
      </c>
      <c r="AS1277" t="s">
        <v>111</v>
      </c>
      <c r="AT1277" t="s">
        <v>111</v>
      </c>
      <c r="AU1277" t="s">
        <v>111</v>
      </c>
      <c r="AV1277" t="s">
        <v>111</v>
      </c>
      <c r="AW1277" t="s">
        <v>111</v>
      </c>
      <c r="AX1277" t="s">
        <v>111</v>
      </c>
      <c r="AY1277" t="s">
        <v>111</v>
      </c>
      <c r="AZ1277" t="s">
        <v>111</v>
      </c>
      <c r="BA1277" t="s">
        <v>111</v>
      </c>
      <c r="BB1277" t="s">
        <v>111</v>
      </c>
      <c r="BC1277" t="s">
        <v>111</v>
      </c>
      <c r="BD1277" t="s">
        <v>111</v>
      </c>
      <c r="BE1277" t="s">
        <v>111</v>
      </c>
      <c r="BF1277" t="s">
        <v>111</v>
      </c>
      <c r="BG1277" t="s">
        <v>111</v>
      </c>
      <c r="BH1277" t="s">
        <v>111</v>
      </c>
      <c r="BI1277" t="s">
        <v>111</v>
      </c>
      <c r="BJ1277" t="s">
        <v>111</v>
      </c>
      <c r="BK1277" t="s">
        <v>111</v>
      </c>
      <c r="BL1277" t="s">
        <v>111</v>
      </c>
      <c r="BM1277" t="s">
        <v>111</v>
      </c>
      <c r="BN1277" t="s">
        <v>111</v>
      </c>
      <c r="BO1277" t="s">
        <v>111</v>
      </c>
      <c r="BP1277" t="s">
        <v>111</v>
      </c>
      <c r="BQ1277" t="s">
        <v>111</v>
      </c>
      <c r="BR1277" t="s">
        <v>111</v>
      </c>
      <c r="BS1277" t="s">
        <v>111</v>
      </c>
      <c r="BT1277" t="s">
        <v>111</v>
      </c>
      <c r="BU1277" t="s">
        <v>111</v>
      </c>
      <c r="BV1277" t="s">
        <v>111</v>
      </c>
      <c r="BW1277" t="s">
        <v>111</v>
      </c>
      <c r="BX1277" t="s">
        <v>111</v>
      </c>
      <c r="BY1277" t="s">
        <v>111</v>
      </c>
      <c r="BZ1277" t="s">
        <v>111</v>
      </c>
      <c r="CA1277" t="s">
        <v>111</v>
      </c>
      <c r="CB1277" t="s">
        <v>111</v>
      </c>
      <c r="CC1277" t="s">
        <v>111</v>
      </c>
      <c r="CD1277" t="s">
        <v>111</v>
      </c>
      <c r="CE1277" t="s">
        <v>111</v>
      </c>
      <c r="CF1277" t="s">
        <v>111</v>
      </c>
      <c r="CG1277" t="s">
        <v>111</v>
      </c>
      <c r="CH1277" t="s">
        <v>111</v>
      </c>
      <c r="CI1277" t="s">
        <v>111</v>
      </c>
      <c r="CJ1277" t="s">
        <v>111</v>
      </c>
      <c r="CK1277" t="s">
        <v>111</v>
      </c>
      <c r="CL1277" t="s">
        <v>111</v>
      </c>
      <c r="CM1277" t="s">
        <v>198</v>
      </c>
      <c r="CN1277" t="s">
        <v>113</v>
      </c>
      <c r="CO1277" t="s">
        <v>222</v>
      </c>
      <c r="CP1277" t="s">
        <v>111</v>
      </c>
      <c r="CQ1277">
        <v>0</v>
      </c>
      <c r="CR1277">
        <v>0</v>
      </c>
      <c r="CS1277">
        <v>0</v>
      </c>
      <c r="CT1277" s="1" t="s">
        <v>3727</v>
      </c>
      <c r="CU1277">
        <v>0</v>
      </c>
      <c r="CV1277" t="s">
        <v>111</v>
      </c>
      <c r="CW1277" t="s">
        <v>111</v>
      </c>
      <c r="CX1277" t="s">
        <v>111</v>
      </c>
      <c r="CY1277">
        <v>0</v>
      </c>
      <c r="CZ1277" t="s">
        <v>111</v>
      </c>
      <c r="DA1277" t="s">
        <v>111</v>
      </c>
      <c r="DB1277" t="s">
        <v>111</v>
      </c>
      <c r="DC1277" t="s">
        <v>111</v>
      </c>
    </row>
    <row r="1278" spans="1:107">
      <c r="A1278">
        <v>615</v>
      </c>
      <c r="B1278" t="s">
        <v>162</v>
      </c>
      <c r="C1278" t="s">
        <v>1828</v>
      </c>
      <c r="D1278" t="s">
        <v>3724</v>
      </c>
      <c r="E1278" t="s">
        <v>3729</v>
      </c>
      <c r="F1278" t="s">
        <v>192</v>
      </c>
      <c r="G1278" t="s">
        <v>3726</v>
      </c>
      <c r="H1278">
        <v>1</v>
      </c>
      <c r="I1278">
        <v>45.8</v>
      </c>
      <c r="J1278">
        <v>2.5</v>
      </c>
      <c r="K1278">
        <v>2.5</v>
      </c>
      <c r="L1278" t="s">
        <v>112</v>
      </c>
      <c r="M1278" t="s">
        <v>138</v>
      </c>
      <c r="N1278">
        <v>0</v>
      </c>
      <c r="O1278">
        <v>0</v>
      </c>
      <c r="P1278" t="s">
        <v>138</v>
      </c>
      <c r="Q1278">
        <v>25</v>
      </c>
      <c r="R1278">
        <v>0</v>
      </c>
      <c r="S1278">
        <v>0</v>
      </c>
      <c r="T1278">
        <v>0</v>
      </c>
      <c r="U1278" t="s">
        <v>153</v>
      </c>
      <c r="V1278">
        <v>0</v>
      </c>
      <c r="W1278">
        <v>0</v>
      </c>
      <c r="X1278">
        <v>0</v>
      </c>
      <c r="Y1278">
        <v>0</v>
      </c>
      <c r="Z1278" t="s">
        <v>111</v>
      </c>
      <c r="AA1278">
        <v>0</v>
      </c>
      <c r="AB1278" t="s">
        <v>111</v>
      </c>
      <c r="AC1278">
        <v>0</v>
      </c>
      <c r="AD1278" t="s">
        <v>111</v>
      </c>
      <c r="AE1278">
        <v>0</v>
      </c>
      <c r="AF1278">
        <v>0</v>
      </c>
      <c r="AG1278" t="s">
        <v>111</v>
      </c>
      <c r="AH1278" t="s">
        <v>111</v>
      </c>
      <c r="AI1278" t="s">
        <v>111</v>
      </c>
      <c r="AJ1278" t="s">
        <v>111</v>
      </c>
      <c r="AK1278" t="s">
        <v>111</v>
      </c>
      <c r="AL1278" t="s">
        <v>111</v>
      </c>
      <c r="AM1278">
        <v>0</v>
      </c>
      <c r="AN1278">
        <v>0</v>
      </c>
      <c r="AO1278">
        <v>0</v>
      </c>
      <c r="AP1278" t="s">
        <v>111</v>
      </c>
      <c r="AQ1278" t="s">
        <v>111</v>
      </c>
      <c r="AR1278" t="s">
        <v>111</v>
      </c>
      <c r="AS1278" t="s">
        <v>111</v>
      </c>
      <c r="AT1278" t="s">
        <v>111</v>
      </c>
      <c r="AU1278" t="s">
        <v>111</v>
      </c>
      <c r="AV1278" t="s">
        <v>111</v>
      </c>
      <c r="AW1278" t="s">
        <v>111</v>
      </c>
      <c r="AX1278" t="s">
        <v>111</v>
      </c>
      <c r="AY1278" t="s">
        <v>111</v>
      </c>
      <c r="AZ1278" t="s">
        <v>111</v>
      </c>
      <c r="BA1278" t="s">
        <v>111</v>
      </c>
      <c r="BB1278" t="s">
        <v>111</v>
      </c>
      <c r="BC1278" t="s">
        <v>111</v>
      </c>
      <c r="BD1278" t="s">
        <v>111</v>
      </c>
      <c r="BE1278" t="s">
        <v>111</v>
      </c>
      <c r="BF1278" t="s">
        <v>111</v>
      </c>
      <c r="BG1278" t="s">
        <v>111</v>
      </c>
      <c r="BH1278" t="s">
        <v>111</v>
      </c>
      <c r="BI1278" t="s">
        <v>111</v>
      </c>
      <c r="BJ1278" t="s">
        <v>111</v>
      </c>
      <c r="BK1278" t="s">
        <v>111</v>
      </c>
      <c r="BL1278" t="s">
        <v>111</v>
      </c>
      <c r="BM1278" t="s">
        <v>111</v>
      </c>
      <c r="BN1278" t="s">
        <v>111</v>
      </c>
      <c r="BO1278" t="s">
        <v>111</v>
      </c>
      <c r="BP1278" t="s">
        <v>111</v>
      </c>
      <c r="BQ1278" t="s">
        <v>111</v>
      </c>
      <c r="BR1278" t="s">
        <v>111</v>
      </c>
      <c r="BS1278" t="s">
        <v>111</v>
      </c>
      <c r="BT1278" t="s">
        <v>111</v>
      </c>
      <c r="BU1278" t="s">
        <v>111</v>
      </c>
      <c r="BV1278" t="s">
        <v>111</v>
      </c>
      <c r="BW1278" t="s">
        <v>111</v>
      </c>
      <c r="BX1278" t="s">
        <v>111</v>
      </c>
      <c r="BY1278" t="s">
        <v>111</v>
      </c>
      <c r="BZ1278" t="s">
        <v>111</v>
      </c>
      <c r="CA1278" t="s">
        <v>111</v>
      </c>
      <c r="CB1278" t="s">
        <v>111</v>
      </c>
      <c r="CC1278" t="s">
        <v>111</v>
      </c>
      <c r="CD1278" t="s">
        <v>111</v>
      </c>
      <c r="CE1278" t="s">
        <v>111</v>
      </c>
      <c r="CF1278" t="s">
        <v>111</v>
      </c>
      <c r="CG1278" t="s">
        <v>111</v>
      </c>
      <c r="CH1278" t="s">
        <v>111</v>
      </c>
      <c r="CI1278" t="s">
        <v>111</v>
      </c>
      <c r="CJ1278" t="s">
        <v>111</v>
      </c>
      <c r="CK1278" t="s">
        <v>111</v>
      </c>
      <c r="CL1278" t="s">
        <v>111</v>
      </c>
      <c r="CM1278" t="s">
        <v>198</v>
      </c>
      <c r="CN1278" t="s">
        <v>113</v>
      </c>
      <c r="CO1278" t="s">
        <v>222</v>
      </c>
      <c r="CP1278" t="s">
        <v>111</v>
      </c>
      <c r="CQ1278">
        <v>0</v>
      </c>
      <c r="CR1278">
        <v>0</v>
      </c>
      <c r="CS1278">
        <v>0</v>
      </c>
      <c r="CT1278" s="1" t="s">
        <v>3727</v>
      </c>
      <c r="CU1278">
        <v>0</v>
      </c>
      <c r="CV1278" t="s">
        <v>111</v>
      </c>
      <c r="CW1278" t="s">
        <v>111</v>
      </c>
      <c r="CX1278" t="s">
        <v>111</v>
      </c>
      <c r="CY1278">
        <v>0</v>
      </c>
      <c r="CZ1278" t="s">
        <v>111</v>
      </c>
      <c r="DA1278" t="s">
        <v>111</v>
      </c>
      <c r="DB1278" t="s">
        <v>111</v>
      </c>
      <c r="DC1278" t="s">
        <v>111</v>
      </c>
    </row>
    <row r="1279" spans="1:107">
      <c r="A1279">
        <v>614</v>
      </c>
      <c r="B1279" t="s">
        <v>162</v>
      </c>
      <c r="C1279" t="s">
        <v>1828</v>
      </c>
      <c r="D1279" t="s">
        <v>3724</v>
      </c>
      <c r="E1279" t="s">
        <v>3730</v>
      </c>
      <c r="F1279" t="s">
        <v>192</v>
      </c>
      <c r="G1279" t="s">
        <v>3726</v>
      </c>
      <c r="H1279">
        <v>1</v>
      </c>
      <c r="I1279">
        <v>45.8</v>
      </c>
      <c r="J1279">
        <v>2.5</v>
      </c>
      <c r="K1279">
        <v>2.5</v>
      </c>
      <c r="L1279" t="s">
        <v>112</v>
      </c>
      <c r="M1279" t="s">
        <v>138</v>
      </c>
      <c r="N1279">
        <v>0</v>
      </c>
      <c r="O1279">
        <v>0</v>
      </c>
      <c r="P1279" t="s">
        <v>138</v>
      </c>
      <c r="Q1279">
        <v>25</v>
      </c>
      <c r="R1279">
        <v>0</v>
      </c>
      <c r="S1279">
        <v>0</v>
      </c>
      <c r="T1279">
        <v>0</v>
      </c>
      <c r="U1279" t="s">
        <v>153</v>
      </c>
      <c r="V1279">
        <v>0</v>
      </c>
      <c r="W1279">
        <v>0</v>
      </c>
      <c r="X1279">
        <v>0</v>
      </c>
      <c r="Y1279">
        <v>0</v>
      </c>
      <c r="Z1279" t="s">
        <v>111</v>
      </c>
      <c r="AA1279">
        <v>0</v>
      </c>
      <c r="AB1279" t="s">
        <v>111</v>
      </c>
      <c r="AC1279">
        <v>0</v>
      </c>
      <c r="AD1279" t="s">
        <v>111</v>
      </c>
      <c r="AE1279">
        <v>0</v>
      </c>
      <c r="AF1279">
        <v>0</v>
      </c>
      <c r="AG1279" t="s">
        <v>111</v>
      </c>
      <c r="AH1279" t="s">
        <v>111</v>
      </c>
      <c r="AI1279" t="s">
        <v>111</v>
      </c>
      <c r="AJ1279" t="s">
        <v>111</v>
      </c>
      <c r="AK1279" t="s">
        <v>111</v>
      </c>
      <c r="AL1279" t="s">
        <v>111</v>
      </c>
      <c r="AM1279">
        <v>0</v>
      </c>
      <c r="AN1279">
        <v>0</v>
      </c>
      <c r="AO1279">
        <v>0</v>
      </c>
      <c r="AP1279" t="s">
        <v>111</v>
      </c>
      <c r="AQ1279" t="s">
        <v>111</v>
      </c>
      <c r="AR1279" t="s">
        <v>111</v>
      </c>
      <c r="AS1279" t="s">
        <v>111</v>
      </c>
      <c r="AT1279" t="s">
        <v>111</v>
      </c>
      <c r="AU1279" t="s">
        <v>111</v>
      </c>
      <c r="AV1279" t="s">
        <v>111</v>
      </c>
      <c r="AW1279" t="s">
        <v>111</v>
      </c>
      <c r="AX1279" t="s">
        <v>111</v>
      </c>
      <c r="AY1279" t="s">
        <v>111</v>
      </c>
      <c r="AZ1279" t="s">
        <v>111</v>
      </c>
      <c r="BA1279" t="s">
        <v>111</v>
      </c>
      <c r="BB1279" t="s">
        <v>111</v>
      </c>
      <c r="BC1279" t="s">
        <v>111</v>
      </c>
      <c r="BD1279" t="s">
        <v>111</v>
      </c>
      <c r="BE1279" t="s">
        <v>111</v>
      </c>
      <c r="BF1279" t="s">
        <v>111</v>
      </c>
      <c r="BG1279" t="s">
        <v>111</v>
      </c>
      <c r="BH1279" t="s">
        <v>111</v>
      </c>
      <c r="BI1279" t="s">
        <v>111</v>
      </c>
      <c r="BJ1279" t="s">
        <v>111</v>
      </c>
      <c r="BK1279" t="s">
        <v>111</v>
      </c>
      <c r="BL1279" t="s">
        <v>111</v>
      </c>
      <c r="BM1279" t="s">
        <v>111</v>
      </c>
      <c r="BN1279" t="s">
        <v>111</v>
      </c>
      <c r="BO1279" t="s">
        <v>111</v>
      </c>
      <c r="BP1279" t="s">
        <v>111</v>
      </c>
      <c r="BQ1279" t="s">
        <v>111</v>
      </c>
      <c r="BR1279" t="s">
        <v>111</v>
      </c>
      <c r="BS1279" t="s">
        <v>111</v>
      </c>
      <c r="BT1279" t="s">
        <v>111</v>
      </c>
      <c r="BU1279" t="s">
        <v>111</v>
      </c>
      <c r="BV1279" t="s">
        <v>111</v>
      </c>
      <c r="BW1279" t="s">
        <v>111</v>
      </c>
      <c r="BX1279" t="s">
        <v>111</v>
      </c>
      <c r="BY1279" t="s">
        <v>111</v>
      </c>
      <c r="BZ1279" t="s">
        <v>111</v>
      </c>
      <c r="CA1279" t="s">
        <v>111</v>
      </c>
      <c r="CB1279" t="s">
        <v>111</v>
      </c>
      <c r="CC1279" t="s">
        <v>111</v>
      </c>
      <c r="CD1279" t="s">
        <v>111</v>
      </c>
      <c r="CE1279" t="s">
        <v>111</v>
      </c>
      <c r="CF1279" t="s">
        <v>111</v>
      </c>
      <c r="CG1279" t="s">
        <v>111</v>
      </c>
      <c r="CH1279" t="s">
        <v>111</v>
      </c>
      <c r="CI1279" t="s">
        <v>111</v>
      </c>
      <c r="CJ1279" t="s">
        <v>111</v>
      </c>
      <c r="CK1279" t="s">
        <v>111</v>
      </c>
      <c r="CL1279" t="s">
        <v>111</v>
      </c>
      <c r="CM1279" t="s">
        <v>198</v>
      </c>
      <c r="CN1279" t="s">
        <v>113</v>
      </c>
      <c r="CO1279" t="s">
        <v>222</v>
      </c>
      <c r="CP1279" t="s">
        <v>111</v>
      </c>
      <c r="CQ1279">
        <v>0</v>
      </c>
      <c r="CR1279">
        <v>0</v>
      </c>
      <c r="CS1279">
        <v>0</v>
      </c>
      <c r="CT1279" s="1" t="s">
        <v>3727</v>
      </c>
      <c r="CU1279">
        <v>0</v>
      </c>
      <c r="CV1279" t="s">
        <v>111</v>
      </c>
      <c r="CW1279" t="s">
        <v>111</v>
      </c>
      <c r="CX1279" t="s">
        <v>111</v>
      </c>
      <c r="CY1279">
        <v>0</v>
      </c>
      <c r="CZ1279" t="s">
        <v>111</v>
      </c>
      <c r="DA1279" t="s">
        <v>111</v>
      </c>
      <c r="DB1279" t="s">
        <v>111</v>
      </c>
      <c r="DC1279" t="s">
        <v>111</v>
      </c>
    </row>
    <row r="1280" spans="1:107">
      <c r="A1280">
        <v>617</v>
      </c>
      <c r="B1280" t="s">
        <v>162</v>
      </c>
      <c r="C1280" t="s">
        <v>1828</v>
      </c>
      <c r="D1280" t="s">
        <v>3724</v>
      </c>
      <c r="E1280" t="s">
        <v>3731</v>
      </c>
      <c r="F1280" t="s">
        <v>192</v>
      </c>
      <c r="G1280" t="s">
        <v>3726</v>
      </c>
      <c r="H1280">
        <v>1</v>
      </c>
      <c r="I1280">
        <v>45.8</v>
      </c>
      <c r="J1280">
        <v>2.5</v>
      </c>
      <c r="K1280">
        <v>2.5</v>
      </c>
      <c r="L1280" t="s">
        <v>112</v>
      </c>
      <c r="M1280" t="s">
        <v>138</v>
      </c>
      <c r="N1280">
        <v>0</v>
      </c>
      <c r="O1280">
        <v>0</v>
      </c>
      <c r="P1280" t="s">
        <v>138</v>
      </c>
      <c r="Q1280">
        <v>25</v>
      </c>
      <c r="R1280">
        <v>0</v>
      </c>
      <c r="S1280">
        <v>0</v>
      </c>
      <c r="T1280">
        <v>0</v>
      </c>
      <c r="U1280" t="s">
        <v>153</v>
      </c>
      <c r="V1280">
        <v>0</v>
      </c>
      <c r="W1280">
        <v>0</v>
      </c>
      <c r="X1280">
        <v>1</v>
      </c>
      <c r="Y1280">
        <v>0</v>
      </c>
      <c r="Z1280" t="s">
        <v>111</v>
      </c>
      <c r="AA1280">
        <v>0</v>
      </c>
      <c r="AB1280" t="s">
        <v>111</v>
      </c>
      <c r="AC1280">
        <v>0</v>
      </c>
      <c r="AD1280" t="s">
        <v>111</v>
      </c>
      <c r="AE1280">
        <v>0</v>
      </c>
      <c r="AF1280">
        <v>0</v>
      </c>
      <c r="AG1280" t="s">
        <v>111</v>
      </c>
      <c r="AH1280" t="s">
        <v>111</v>
      </c>
      <c r="AI1280" t="s">
        <v>111</v>
      </c>
      <c r="AJ1280" t="s">
        <v>111</v>
      </c>
      <c r="AK1280" t="s">
        <v>111</v>
      </c>
      <c r="AL1280" t="s">
        <v>111</v>
      </c>
      <c r="AM1280">
        <v>0</v>
      </c>
      <c r="AN1280">
        <v>0</v>
      </c>
      <c r="AO1280">
        <v>0</v>
      </c>
      <c r="AP1280" t="s">
        <v>111</v>
      </c>
      <c r="AQ1280" t="s">
        <v>111</v>
      </c>
      <c r="AR1280" t="s">
        <v>111</v>
      </c>
      <c r="AS1280" t="s">
        <v>111</v>
      </c>
      <c r="AT1280" t="s">
        <v>111</v>
      </c>
      <c r="AU1280" t="s">
        <v>111</v>
      </c>
      <c r="AV1280" t="s">
        <v>111</v>
      </c>
      <c r="AW1280" t="s">
        <v>111</v>
      </c>
      <c r="AX1280" t="s">
        <v>111</v>
      </c>
      <c r="AY1280" t="s">
        <v>111</v>
      </c>
      <c r="AZ1280" t="s">
        <v>111</v>
      </c>
      <c r="BA1280" t="s">
        <v>111</v>
      </c>
      <c r="BB1280" t="s">
        <v>111</v>
      </c>
      <c r="BC1280" t="s">
        <v>111</v>
      </c>
      <c r="BD1280" t="s">
        <v>111</v>
      </c>
      <c r="BE1280" t="s">
        <v>111</v>
      </c>
      <c r="BF1280" t="s">
        <v>111</v>
      </c>
      <c r="BG1280" t="s">
        <v>111</v>
      </c>
      <c r="BH1280" t="s">
        <v>111</v>
      </c>
      <c r="BI1280" t="s">
        <v>111</v>
      </c>
      <c r="BJ1280" t="s">
        <v>111</v>
      </c>
      <c r="BK1280" t="s">
        <v>111</v>
      </c>
      <c r="BL1280" t="s">
        <v>111</v>
      </c>
      <c r="BM1280" t="s">
        <v>111</v>
      </c>
      <c r="BN1280" t="s">
        <v>111</v>
      </c>
      <c r="BO1280" t="s">
        <v>111</v>
      </c>
      <c r="BP1280" t="s">
        <v>111</v>
      </c>
      <c r="BQ1280" t="s">
        <v>111</v>
      </c>
      <c r="BR1280" t="s">
        <v>111</v>
      </c>
      <c r="BS1280" t="s">
        <v>111</v>
      </c>
      <c r="BT1280" t="s">
        <v>111</v>
      </c>
      <c r="BU1280" t="s">
        <v>111</v>
      </c>
      <c r="BV1280" t="s">
        <v>111</v>
      </c>
      <c r="BW1280" t="s">
        <v>111</v>
      </c>
      <c r="BX1280" t="s">
        <v>111</v>
      </c>
      <c r="BY1280" t="s">
        <v>111</v>
      </c>
      <c r="BZ1280" t="s">
        <v>111</v>
      </c>
      <c r="CA1280" t="s">
        <v>111</v>
      </c>
      <c r="CB1280" t="s">
        <v>111</v>
      </c>
      <c r="CC1280" t="s">
        <v>111</v>
      </c>
      <c r="CD1280" t="s">
        <v>111</v>
      </c>
      <c r="CE1280" t="s">
        <v>111</v>
      </c>
      <c r="CF1280" t="s">
        <v>111</v>
      </c>
      <c r="CG1280" t="s">
        <v>111</v>
      </c>
      <c r="CH1280" t="s">
        <v>111</v>
      </c>
      <c r="CI1280" t="s">
        <v>111</v>
      </c>
      <c r="CJ1280" t="s">
        <v>111</v>
      </c>
      <c r="CK1280" t="s">
        <v>111</v>
      </c>
      <c r="CL1280" t="s">
        <v>111</v>
      </c>
      <c r="CM1280" t="s">
        <v>198</v>
      </c>
      <c r="CN1280" t="s">
        <v>113</v>
      </c>
      <c r="CO1280" t="s">
        <v>222</v>
      </c>
      <c r="CP1280" t="s">
        <v>111</v>
      </c>
      <c r="CQ1280">
        <v>0</v>
      </c>
      <c r="CR1280">
        <v>0</v>
      </c>
      <c r="CS1280">
        <v>0</v>
      </c>
      <c r="CT1280" s="1" t="s">
        <v>3727</v>
      </c>
      <c r="CU1280">
        <v>0</v>
      </c>
      <c r="CV1280" t="s">
        <v>111</v>
      </c>
      <c r="CW1280" t="s">
        <v>111</v>
      </c>
      <c r="CX1280" t="s">
        <v>111</v>
      </c>
      <c r="CY1280">
        <v>0</v>
      </c>
      <c r="CZ1280" t="s">
        <v>111</v>
      </c>
      <c r="DA1280" t="s">
        <v>111</v>
      </c>
      <c r="DB1280" t="s">
        <v>111</v>
      </c>
      <c r="DC1280" t="s">
        <v>111</v>
      </c>
    </row>
    <row r="1281" spans="1:107">
      <c r="A1281">
        <v>613</v>
      </c>
      <c r="B1281" t="s">
        <v>162</v>
      </c>
      <c r="C1281" t="s">
        <v>1828</v>
      </c>
      <c r="D1281" t="s">
        <v>3724</v>
      </c>
      <c r="E1281" t="s">
        <v>3732</v>
      </c>
      <c r="F1281" t="s">
        <v>192</v>
      </c>
      <c r="G1281" t="s">
        <v>3726</v>
      </c>
      <c r="H1281">
        <v>1</v>
      </c>
      <c r="I1281">
        <v>45.8</v>
      </c>
      <c r="J1281">
        <v>2.5</v>
      </c>
      <c r="K1281">
        <v>2.5</v>
      </c>
      <c r="L1281" t="s">
        <v>112</v>
      </c>
      <c r="M1281" t="s">
        <v>138</v>
      </c>
      <c r="N1281">
        <v>0</v>
      </c>
      <c r="O1281">
        <v>0</v>
      </c>
      <c r="P1281" t="s">
        <v>138</v>
      </c>
      <c r="Q1281">
        <v>25</v>
      </c>
      <c r="R1281">
        <v>0</v>
      </c>
      <c r="S1281">
        <v>0</v>
      </c>
      <c r="T1281">
        <v>0</v>
      </c>
      <c r="U1281" t="s">
        <v>153</v>
      </c>
      <c r="V1281">
        <v>0</v>
      </c>
      <c r="W1281">
        <v>0</v>
      </c>
      <c r="X1281">
        <v>1</v>
      </c>
      <c r="Y1281">
        <v>0</v>
      </c>
      <c r="Z1281" t="s">
        <v>111</v>
      </c>
      <c r="AA1281">
        <v>0</v>
      </c>
      <c r="AB1281" t="s">
        <v>111</v>
      </c>
      <c r="AC1281">
        <v>0</v>
      </c>
      <c r="AD1281" t="s">
        <v>111</v>
      </c>
      <c r="AE1281">
        <v>0</v>
      </c>
      <c r="AF1281">
        <v>0</v>
      </c>
      <c r="AG1281" t="s">
        <v>111</v>
      </c>
      <c r="AH1281" t="s">
        <v>111</v>
      </c>
      <c r="AI1281" t="s">
        <v>111</v>
      </c>
      <c r="AJ1281" t="s">
        <v>111</v>
      </c>
      <c r="AK1281" t="s">
        <v>111</v>
      </c>
      <c r="AL1281" t="s">
        <v>111</v>
      </c>
      <c r="AM1281">
        <v>0</v>
      </c>
      <c r="AN1281">
        <v>0</v>
      </c>
      <c r="AO1281">
        <v>0</v>
      </c>
      <c r="AP1281" t="s">
        <v>111</v>
      </c>
      <c r="AQ1281" t="s">
        <v>111</v>
      </c>
      <c r="AR1281" t="s">
        <v>111</v>
      </c>
      <c r="AS1281" t="s">
        <v>111</v>
      </c>
      <c r="AT1281" t="s">
        <v>111</v>
      </c>
      <c r="AU1281" t="s">
        <v>111</v>
      </c>
      <c r="AV1281" t="s">
        <v>111</v>
      </c>
      <c r="AW1281" t="s">
        <v>111</v>
      </c>
      <c r="AX1281" t="s">
        <v>111</v>
      </c>
      <c r="AY1281" t="s">
        <v>111</v>
      </c>
      <c r="AZ1281" t="s">
        <v>111</v>
      </c>
      <c r="BA1281" t="s">
        <v>111</v>
      </c>
      <c r="BB1281" t="s">
        <v>111</v>
      </c>
      <c r="BC1281" t="s">
        <v>111</v>
      </c>
      <c r="BD1281" t="s">
        <v>111</v>
      </c>
      <c r="BE1281" t="s">
        <v>111</v>
      </c>
      <c r="BF1281" t="s">
        <v>111</v>
      </c>
      <c r="BG1281" t="s">
        <v>111</v>
      </c>
      <c r="BH1281" t="s">
        <v>111</v>
      </c>
      <c r="BI1281" t="s">
        <v>111</v>
      </c>
      <c r="BJ1281" t="s">
        <v>111</v>
      </c>
      <c r="BK1281" t="s">
        <v>111</v>
      </c>
      <c r="BL1281" t="s">
        <v>111</v>
      </c>
      <c r="BM1281" t="s">
        <v>111</v>
      </c>
      <c r="BN1281" t="s">
        <v>111</v>
      </c>
      <c r="BO1281" t="s">
        <v>111</v>
      </c>
      <c r="BP1281" t="s">
        <v>111</v>
      </c>
      <c r="BQ1281" t="s">
        <v>111</v>
      </c>
      <c r="BR1281" t="s">
        <v>111</v>
      </c>
      <c r="BS1281" t="s">
        <v>111</v>
      </c>
      <c r="BT1281" t="s">
        <v>111</v>
      </c>
      <c r="BU1281" t="s">
        <v>111</v>
      </c>
      <c r="BV1281" t="s">
        <v>111</v>
      </c>
      <c r="BW1281" t="s">
        <v>111</v>
      </c>
      <c r="BX1281" t="s">
        <v>111</v>
      </c>
      <c r="BY1281" t="s">
        <v>111</v>
      </c>
      <c r="BZ1281" t="s">
        <v>111</v>
      </c>
      <c r="CA1281" t="s">
        <v>111</v>
      </c>
      <c r="CB1281" t="s">
        <v>111</v>
      </c>
      <c r="CC1281" t="s">
        <v>111</v>
      </c>
      <c r="CD1281" t="s">
        <v>111</v>
      </c>
      <c r="CE1281" t="s">
        <v>111</v>
      </c>
      <c r="CF1281" t="s">
        <v>111</v>
      </c>
      <c r="CG1281" t="s">
        <v>111</v>
      </c>
      <c r="CH1281" t="s">
        <v>111</v>
      </c>
      <c r="CI1281" t="s">
        <v>111</v>
      </c>
      <c r="CJ1281" t="s">
        <v>111</v>
      </c>
      <c r="CK1281" t="s">
        <v>111</v>
      </c>
      <c r="CL1281" t="s">
        <v>111</v>
      </c>
      <c r="CM1281" t="s">
        <v>198</v>
      </c>
      <c r="CN1281" t="s">
        <v>113</v>
      </c>
      <c r="CO1281" t="s">
        <v>222</v>
      </c>
      <c r="CP1281" t="s">
        <v>111</v>
      </c>
      <c r="CQ1281">
        <v>0</v>
      </c>
      <c r="CR1281">
        <v>0</v>
      </c>
      <c r="CS1281">
        <v>0</v>
      </c>
      <c r="CT1281" s="1" t="s">
        <v>3727</v>
      </c>
      <c r="CU1281">
        <v>0</v>
      </c>
      <c r="CV1281" t="s">
        <v>111</v>
      </c>
      <c r="CW1281" t="s">
        <v>111</v>
      </c>
      <c r="CX1281" t="s">
        <v>111</v>
      </c>
      <c r="CY1281">
        <v>0</v>
      </c>
      <c r="CZ1281" t="s">
        <v>111</v>
      </c>
      <c r="DA1281" t="s">
        <v>111</v>
      </c>
      <c r="DB1281" t="s">
        <v>111</v>
      </c>
      <c r="DC1281" t="s">
        <v>111</v>
      </c>
    </row>
    <row r="1282" spans="1:107">
      <c r="A1282">
        <v>611</v>
      </c>
      <c r="B1282" t="s">
        <v>162</v>
      </c>
      <c r="C1282" t="s">
        <v>1828</v>
      </c>
      <c r="D1282" t="s">
        <v>3724</v>
      </c>
      <c r="E1282" t="s">
        <v>3733</v>
      </c>
      <c r="F1282" t="s">
        <v>192</v>
      </c>
      <c r="G1282" t="s">
        <v>3726</v>
      </c>
      <c r="H1282">
        <v>1</v>
      </c>
      <c r="I1282">
        <v>45.8</v>
      </c>
      <c r="J1282">
        <v>2.5</v>
      </c>
      <c r="K1282">
        <v>2.5</v>
      </c>
      <c r="L1282" t="s">
        <v>112</v>
      </c>
      <c r="M1282" t="s">
        <v>138</v>
      </c>
      <c r="N1282">
        <v>0</v>
      </c>
      <c r="O1282">
        <v>0</v>
      </c>
      <c r="P1282" t="s">
        <v>138</v>
      </c>
      <c r="Q1282">
        <v>25</v>
      </c>
      <c r="R1282">
        <v>0</v>
      </c>
      <c r="S1282">
        <v>0</v>
      </c>
      <c r="T1282">
        <v>0</v>
      </c>
      <c r="U1282" t="s">
        <v>168</v>
      </c>
      <c r="V1282">
        <v>0</v>
      </c>
      <c r="W1282">
        <v>0</v>
      </c>
      <c r="X1282">
        <v>1</v>
      </c>
      <c r="Y1282">
        <v>0</v>
      </c>
      <c r="Z1282" t="s">
        <v>111</v>
      </c>
      <c r="AA1282">
        <v>0</v>
      </c>
      <c r="AB1282" t="s">
        <v>111</v>
      </c>
      <c r="AC1282">
        <v>0</v>
      </c>
      <c r="AD1282" t="s">
        <v>111</v>
      </c>
      <c r="AE1282">
        <v>0</v>
      </c>
      <c r="AF1282">
        <v>0</v>
      </c>
      <c r="AG1282" t="s">
        <v>111</v>
      </c>
      <c r="AH1282" t="s">
        <v>111</v>
      </c>
      <c r="AI1282" t="s">
        <v>111</v>
      </c>
      <c r="AJ1282" t="s">
        <v>111</v>
      </c>
      <c r="AK1282" t="s">
        <v>111</v>
      </c>
      <c r="AL1282" t="s">
        <v>111</v>
      </c>
      <c r="AM1282">
        <v>0</v>
      </c>
      <c r="AN1282">
        <v>0</v>
      </c>
      <c r="AO1282">
        <v>0</v>
      </c>
      <c r="AP1282" t="s">
        <v>111</v>
      </c>
      <c r="AQ1282" t="s">
        <v>111</v>
      </c>
      <c r="AR1282" t="s">
        <v>111</v>
      </c>
      <c r="AS1282" t="s">
        <v>111</v>
      </c>
      <c r="AT1282" t="s">
        <v>111</v>
      </c>
      <c r="AU1282" t="s">
        <v>111</v>
      </c>
      <c r="AV1282" t="s">
        <v>111</v>
      </c>
      <c r="AW1282" t="s">
        <v>111</v>
      </c>
      <c r="AX1282" t="s">
        <v>111</v>
      </c>
      <c r="AY1282" t="s">
        <v>111</v>
      </c>
      <c r="AZ1282" t="s">
        <v>111</v>
      </c>
      <c r="BA1282" t="s">
        <v>111</v>
      </c>
      <c r="BB1282" t="s">
        <v>111</v>
      </c>
      <c r="BC1282" t="s">
        <v>111</v>
      </c>
      <c r="BD1282" t="s">
        <v>111</v>
      </c>
      <c r="BE1282" t="s">
        <v>111</v>
      </c>
      <c r="BF1282" t="s">
        <v>111</v>
      </c>
      <c r="BG1282" t="s">
        <v>111</v>
      </c>
      <c r="BH1282" t="s">
        <v>111</v>
      </c>
      <c r="BI1282" t="s">
        <v>111</v>
      </c>
      <c r="BJ1282" t="s">
        <v>111</v>
      </c>
      <c r="BK1282" t="s">
        <v>111</v>
      </c>
      <c r="BL1282" t="s">
        <v>111</v>
      </c>
      <c r="BM1282" t="s">
        <v>111</v>
      </c>
      <c r="BN1282" t="s">
        <v>111</v>
      </c>
      <c r="BO1282" t="s">
        <v>111</v>
      </c>
      <c r="BP1282" t="s">
        <v>111</v>
      </c>
      <c r="BQ1282" t="s">
        <v>111</v>
      </c>
      <c r="BR1282" t="s">
        <v>111</v>
      </c>
      <c r="BS1282" t="s">
        <v>111</v>
      </c>
      <c r="BT1282" t="s">
        <v>111</v>
      </c>
      <c r="BU1282" t="s">
        <v>111</v>
      </c>
      <c r="BV1282" t="s">
        <v>111</v>
      </c>
      <c r="BW1282" t="s">
        <v>111</v>
      </c>
      <c r="BX1282" t="s">
        <v>111</v>
      </c>
      <c r="BY1282" t="s">
        <v>111</v>
      </c>
      <c r="BZ1282" t="s">
        <v>111</v>
      </c>
      <c r="CA1282" t="s">
        <v>111</v>
      </c>
      <c r="CB1282" t="s">
        <v>111</v>
      </c>
      <c r="CC1282" t="s">
        <v>111</v>
      </c>
      <c r="CD1282" t="s">
        <v>111</v>
      </c>
      <c r="CE1282" t="s">
        <v>111</v>
      </c>
      <c r="CF1282" t="s">
        <v>111</v>
      </c>
      <c r="CG1282" t="s">
        <v>111</v>
      </c>
      <c r="CH1282" t="s">
        <v>111</v>
      </c>
      <c r="CI1282" t="s">
        <v>111</v>
      </c>
      <c r="CJ1282" t="s">
        <v>111</v>
      </c>
      <c r="CK1282" t="s">
        <v>111</v>
      </c>
      <c r="CL1282" t="s">
        <v>111</v>
      </c>
      <c r="CM1282" t="s">
        <v>198</v>
      </c>
      <c r="CN1282" t="s">
        <v>113</v>
      </c>
      <c r="CO1282" t="s">
        <v>222</v>
      </c>
      <c r="CP1282" t="s">
        <v>111</v>
      </c>
      <c r="CQ1282">
        <v>0</v>
      </c>
      <c r="CR1282">
        <v>0</v>
      </c>
      <c r="CS1282">
        <v>0</v>
      </c>
      <c r="CT1282" s="1" t="s">
        <v>3727</v>
      </c>
      <c r="CU1282">
        <v>0</v>
      </c>
      <c r="CV1282" t="s">
        <v>111</v>
      </c>
      <c r="CW1282" t="s">
        <v>111</v>
      </c>
      <c r="CX1282" t="s">
        <v>111</v>
      </c>
      <c r="CY1282">
        <v>0</v>
      </c>
      <c r="CZ1282" t="s">
        <v>111</v>
      </c>
      <c r="DA1282" t="s">
        <v>111</v>
      </c>
      <c r="DB1282" t="s">
        <v>111</v>
      </c>
      <c r="DC1282" t="s">
        <v>111</v>
      </c>
    </row>
    <row r="1283" spans="1:107">
      <c r="A1283">
        <v>610</v>
      </c>
      <c r="B1283" t="s">
        <v>162</v>
      </c>
      <c r="C1283" t="s">
        <v>1828</v>
      </c>
      <c r="D1283" t="s">
        <v>3724</v>
      </c>
      <c r="E1283" t="s">
        <v>3734</v>
      </c>
      <c r="F1283" t="s">
        <v>192</v>
      </c>
      <c r="G1283" t="s">
        <v>3726</v>
      </c>
      <c r="H1283">
        <v>1</v>
      </c>
      <c r="I1283">
        <v>45.8</v>
      </c>
      <c r="J1283">
        <v>2.5</v>
      </c>
      <c r="K1283">
        <v>2.5</v>
      </c>
      <c r="L1283" t="s">
        <v>112</v>
      </c>
      <c r="M1283" t="s">
        <v>138</v>
      </c>
      <c r="N1283">
        <v>0</v>
      </c>
      <c r="O1283">
        <v>0</v>
      </c>
      <c r="P1283" t="s">
        <v>138</v>
      </c>
      <c r="Q1283">
        <v>25</v>
      </c>
      <c r="R1283">
        <v>0</v>
      </c>
      <c r="S1283">
        <v>0</v>
      </c>
      <c r="T1283">
        <v>0</v>
      </c>
      <c r="U1283" t="s">
        <v>153</v>
      </c>
      <c r="V1283">
        <v>0</v>
      </c>
      <c r="W1283">
        <v>0</v>
      </c>
      <c r="X1283">
        <v>1</v>
      </c>
      <c r="Y1283">
        <v>0</v>
      </c>
      <c r="Z1283" t="s">
        <v>111</v>
      </c>
      <c r="AA1283">
        <v>0</v>
      </c>
      <c r="AB1283" t="s">
        <v>111</v>
      </c>
      <c r="AC1283">
        <v>0</v>
      </c>
      <c r="AD1283" t="s">
        <v>111</v>
      </c>
      <c r="AE1283">
        <v>0</v>
      </c>
      <c r="AF1283">
        <v>0</v>
      </c>
      <c r="AG1283" t="s">
        <v>111</v>
      </c>
      <c r="AH1283" t="s">
        <v>111</v>
      </c>
      <c r="AI1283" t="s">
        <v>111</v>
      </c>
      <c r="AJ1283" t="s">
        <v>111</v>
      </c>
      <c r="AK1283" t="s">
        <v>111</v>
      </c>
      <c r="AL1283" t="s">
        <v>111</v>
      </c>
      <c r="AM1283">
        <v>0</v>
      </c>
      <c r="AN1283">
        <v>0</v>
      </c>
      <c r="AO1283">
        <v>0</v>
      </c>
      <c r="AP1283" t="s">
        <v>111</v>
      </c>
      <c r="AQ1283" t="s">
        <v>111</v>
      </c>
      <c r="AR1283" t="s">
        <v>111</v>
      </c>
      <c r="AS1283" t="s">
        <v>111</v>
      </c>
      <c r="AT1283" t="s">
        <v>111</v>
      </c>
      <c r="AU1283" t="s">
        <v>111</v>
      </c>
      <c r="AV1283" t="s">
        <v>111</v>
      </c>
      <c r="AW1283" t="s">
        <v>111</v>
      </c>
      <c r="AX1283" t="s">
        <v>111</v>
      </c>
      <c r="AY1283" t="s">
        <v>111</v>
      </c>
      <c r="AZ1283" t="s">
        <v>111</v>
      </c>
      <c r="BA1283" t="s">
        <v>111</v>
      </c>
      <c r="BB1283" t="s">
        <v>111</v>
      </c>
      <c r="BC1283" t="s">
        <v>111</v>
      </c>
      <c r="BD1283" t="s">
        <v>111</v>
      </c>
      <c r="BE1283" t="s">
        <v>111</v>
      </c>
      <c r="BF1283" t="s">
        <v>111</v>
      </c>
      <c r="BG1283" t="s">
        <v>111</v>
      </c>
      <c r="BH1283" t="s">
        <v>111</v>
      </c>
      <c r="BI1283" t="s">
        <v>111</v>
      </c>
      <c r="BJ1283" t="s">
        <v>111</v>
      </c>
      <c r="BK1283" t="s">
        <v>111</v>
      </c>
      <c r="BL1283" t="s">
        <v>111</v>
      </c>
      <c r="BM1283" t="s">
        <v>111</v>
      </c>
      <c r="BN1283" t="s">
        <v>111</v>
      </c>
      <c r="BO1283" t="s">
        <v>111</v>
      </c>
      <c r="BP1283" t="s">
        <v>111</v>
      </c>
      <c r="BQ1283" t="s">
        <v>111</v>
      </c>
      <c r="BR1283" t="s">
        <v>111</v>
      </c>
      <c r="BS1283" t="s">
        <v>111</v>
      </c>
      <c r="BT1283" t="s">
        <v>111</v>
      </c>
      <c r="BU1283" t="s">
        <v>111</v>
      </c>
      <c r="BV1283" t="s">
        <v>111</v>
      </c>
      <c r="BW1283" t="s">
        <v>111</v>
      </c>
      <c r="BX1283" t="s">
        <v>111</v>
      </c>
      <c r="BY1283" t="s">
        <v>111</v>
      </c>
      <c r="BZ1283" t="s">
        <v>111</v>
      </c>
      <c r="CA1283" t="s">
        <v>111</v>
      </c>
      <c r="CB1283" t="s">
        <v>111</v>
      </c>
      <c r="CC1283" t="s">
        <v>111</v>
      </c>
      <c r="CD1283" t="s">
        <v>111</v>
      </c>
      <c r="CE1283" t="s">
        <v>111</v>
      </c>
      <c r="CF1283" t="s">
        <v>111</v>
      </c>
      <c r="CG1283" t="s">
        <v>111</v>
      </c>
      <c r="CH1283" t="s">
        <v>111</v>
      </c>
      <c r="CI1283" t="s">
        <v>111</v>
      </c>
      <c r="CJ1283" t="s">
        <v>111</v>
      </c>
      <c r="CK1283" t="s">
        <v>111</v>
      </c>
      <c r="CL1283" t="s">
        <v>111</v>
      </c>
      <c r="CM1283" t="s">
        <v>198</v>
      </c>
      <c r="CN1283" t="s">
        <v>113</v>
      </c>
      <c r="CO1283" t="s">
        <v>222</v>
      </c>
      <c r="CP1283" t="s">
        <v>111</v>
      </c>
      <c r="CQ1283">
        <v>0</v>
      </c>
      <c r="CR1283">
        <v>0</v>
      </c>
      <c r="CS1283">
        <v>0</v>
      </c>
      <c r="CT1283" s="1" t="s">
        <v>3727</v>
      </c>
      <c r="CU1283">
        <v>0</v>
      </c>
      <c r="CV1283" t="s">
        <v>111</v>
      </c>
      <c r="CW1283" t="s">
        <v>111</v>
      </c>
      <c r="CX1283" t="s">
        <v>111</v>
      </c>
      <c r="CY1283">
        <v>0</v>
      </c>
      <c r="CZ1283" t="s">
        <v>111</v>
      </c>
      <c r="DA1283" t="s">
        <v>111</v>
      </c>
      <c r="DB1283" t="s">
        <v>111</v>
      </c>
      <c r="DC1283" t="s">
        <v>111</v>
      </c>
    </row>
    <row r="1284" spans="1:107">
      <c r="A1284">
        <v>650</v>
      </c>
      <c r="B1284" t="s">
        <v>162</v>
      </c>
      <c r="C1284" t="s">
        <v>336</v>
      </c>
      <c r="D1284" t="s">
        <v>1145</v>
      </c>
      <c r="E1284" t="s">
        <v>3735</v>
      </c>
      <c r="F1284" t="s">
        <v>166</v>
      </c>
      <c r="G1284" t="s">
        <v>3726</v>
      </c>
      <c r="H1284">
        <v>4</v>
      </c>
      <c r="I1284">
        <v>60</v>
      </c>
      <c r="J1284">
        <v>0</v>
      </c>
      <c r="K1284">
        <v>0</v>
      </c>
      <c r="L1284" t="s">
        <v>112</v>
      </c>
      <c r="M1284" t="s">
        <v>138</v>
      </c>
      <c r="N1284">
        <v>0</v>
      </c>
      <c r="O1284">
        <v>0</v>
      </c>
      <c r="P1284" t="s">
        <v>138</v>
      </c>
      <c r="Q1284">
        <v>35</v>
      </c>
      <c r="R1284">
        <v>0</v>
      </c>
      <c r="S1284">
        <v>0</v>
      </c>
      <c r="T1284">
        <v>0</v>
      </c>
      <c r="U1284" s="1" t="s">
        <v>3215</v>
      </c>
      <c r="V1284">
        <v>25</v>
      </c>
      <c r="W1284">
        <v>0</v>
      </c>
      <c r="X1284">
        <v>10</v>
      </c>
      <c r="Y1284">
        <v>0</v>
      </c>
      <c r="Z1284" t="s">
        <v>111</v>
      </c>
      <c r="AA1284">
        <v>0</v>
      </c>
      <c r="AB1284" t="s">
        <v>111</v>
      </c>
      <c r="AC1284">
        <v>0</v>
      </c>
      <c r="AD1284" t="s">
        <v>111</v>
      </c>
      <c r="AE1284">
        <v>0</v>
      </c>
      <c r="AF1284">
        <v>0</v>
      </c>
      <c r="AG1284" t="s">
        <v>111</v>
      </c>
      <c r="AH1284" t="s">
        <v>111</v>
      </c>
      <c r="AI1284" t="s">
        <v>111</v>
      </c>
      <c r="AJ1284" t="s">
        <v>111</v>
      </c>
      <c r="AK1284" t="s">
        <v>111</v>
      </c>
      <c r="AL1284" t="s">
        <v>111</v>
      </c>
      <c r="AM1284">
        <v>0</v>
      </c>
      <c r="AN1284">
        <v>0</v>
      </c>
      <c r="AO1284">
        <v>0</v>
      </c>
      <c r="AP1284" t="s">
        <v>111</v>
      </c>
      <c r="AQ1284" t="s">
        <v>111</v>
      </c>
      <c r="AR1284" t="s">
        <v>111</v>
      </c>
      <c r="AS1284" t="s">
        <v>111</v>
      </c>
      <c r="AT1284" t="s">
        <v>111</v>
      </c>
      <c r="AU1284" t="s">
        <v>111</v>
      </c>
      <c r="AV1284" t="s">
        <v>111</v>
      </c>
      <c r="AW1284" t="s">
        <v>111</v>
      </c>
      <c r="AX1284" t="s">
        <v>111</v>
      </c>
      <c r="AY1284" t="s">
        <v>111</v>
      </c>
      <c r="AZ1284" t="s">
        <v>111</v>
      </c>
      <c r="BA1284" t="s">
        <v>111</v>
      </c>
      <c r="BB1284" t="s">
        <v>111</v>
      </c>
      <c r="BC1284" t="s">
        <v>111</v>
      </c>
      <c r="BD1284" t="s">
        <v>111</v>
      </c>
      <c r="BE1284" t="s">
        <v>111</v>
      </c>
      <c r="BF1284" t="s">
        <v>111</v>
      </c>
      <c r="BG1284" t="s">
        <v>111</v>
      </c>
      <c r="BH1284" t="s">
        <v>111</v>
      </c>
      <c r="BI1284" t="s">
        <v>111</v>
      </c>
      <c r="BJ1284" t="s">
        <v>111</v>
      </c>
      <c r="BK1284" t="s">
        <v>111</v>
      </c>
      <c r="BL1284" t="s">
        <v>111</v>
      </c>
      <c r="BM1284" t="s">
        <v>111</v>
      </c>
      <c r="BN1284" t="s">
        <v>111</v>
      </c>
      <c r="BO1284" t="s">
        <v>111</v>
      </c>
      <c r="BP1284" t="s">
        <v>111</v>
      </c>
      <c r="BQ1284" t="s">
        <v>111</v>
      </c>
      <c r="BR1284" t="s">
        <v>111</v>
      </c>
      <c r="BS1284" t="s">
        <v>111</v>
      </c>
      <c r="BT1284" t="s">
        <v>111</v>
      </c>
      <c r="BU1284" t="s">
        <v>111</v>
      </c>
      <c r="BV1284" t="s">
        <v>111</v>
      </c>
      <c r="BW1284" t="s">
        <v>111</v>
      </c>
      <c r="BX1284" t="s">
        <v>111</v>
      </c>
      <c r="BY1284" t="s">
        <v>111</v>
      </c>
      <c r="BZ1284" t="s">
        <v>111</v>
      </c>
      <c r="CA1284" t="s">
        <v>111</v>
      </c>
      <c r="CB1284" t="s">
        <v>111</v>
      </c>
      <c r="CC1284" t="s">
        <v>111</v>
      </c>
      <c r="CD1284" t="s">
        <v>111</v>
      </c>
      <c r="CE1284" t="s">
        <v>111</v>
      </c>
      <c r="CF1284" t="s">
        <v>111</v>
      </c>
      <c r="CG1284" t="s">
        <v>111</v>
      </c>
      <c r="CH1284" t="s">
        <v>111</v>
      </c>
      <c r="CI1284" t="s">
        <v>111</v>
      </c>
      <c r="CJ1284" t="s">
        <v>111</v>
      </c>
      <c r="CK1284" t="s">
        <v>111</v>
      </c>
      <c r="CL1284" t="s">
        <v>111</v>
      </c>
      <c r="CM1284" t="s">
        <v>111</v>
      </c>
      <c r="CN1284" t="s">
        <v>111</v>
      </c>
      <c r="CO1284" t="s">
        <v>111</v>
      </c>
      <c r="CP1284" t="s">
        <v>111</v>
      </c>
      <c r="CQ1284">
        <v>0</v>
      </c>
      <c r="CR1284">
        <v>0</v>
      </c>
      <c r="CS1284">
        <v>0</v>
      </c>
      <c r="CT1284" t="s">
        <v>111</v>
      </c>
      <c r="CU1284">
        <v>0</v>
      </c>
      <c r="CV1284" t="s">
        <v>111</v>
      </c>
      <c r="CW1284" t="s">
        <v>111</v>
      </c>
      <c r="CX1284" t="s">
        <v>111</v>
      </c>
      <c r="CY1284">
        <v>0</v>
      </c>
      <c r="CZ1284" t="s">
        <v>111</v>
      </c>
      <c r="DA1284" t="s">
        <v>111</v>
      </c>
      <c r="DB1284" t="s">
        <v>111</v>
      </c>
      <c r="DC1284" t="s">
        <v>111</v>
      </c>
    </row>
    <row r="1285" spans="1:107">
      <c r="A1285">
        <v>618</v>
      </c>
      <c r="B1285" t="s">
        <v>162</v>
      </c>
      <c r="C1285" t="s">
        <v>1828</v>
      </c>
      <c r="D1285" t="s">
        <v>3724</v>
      </c>
      <c r="E1285" t="s">
        <v>3736</v>
      </c>
      <c r="F1285" t="s">
        <v>192</v>
      </c>
      <c r="G1285" t="s">
        <v>3726</v>
      </c>
      <c r="H1285">
        <v>1</v>
      </c>
      <c r="I1285">
        <v>45.8</v>
      </c>
      <c r="J1285">
        <v>2.5</v>
      </c>
      <c r="K1285">
        <v>2.5</v>
      </c>
      <c r="L1285" t="s">
        <v>112</v>
      </c>
      <c r="M1285" t="s">
        <v>138</v>
      </c>
      <c r="N1285">
        <v>0</v>
      </c>
      <c r="O1285">
        <v>0</v>
      </c>
      <c r="P1285" t="s">
        <v>138</v>
      </c>
      <c r="Q1285">
        <v>25</v>
      </c>
      <c r="R1285">
        <v>0</v>
      </c>
      <c r="S1285">
        <v>0</v>
      </c>
      <c r="T1285">
        <v>0</v>
      </c>
      <c r="U1285" t="s">
        <v>153</v>
      </c>
      <c r="V1285">
        <v>0</v>
      </c>
      <c r="W1285">
        <v>0</v>
      </c>
      <c r="X1285">
        <v>1</v>
      </c>
      <c r="Y1285">
        <v>0</v>
      </c>
      <c r="Z1285" t="s">
        <v>111</v>
      </c>
      <c r="AA1285">
        <v>0</v>
      </c>
      <c r="AB1285" t="s">
        <v>111</v>
      </c>
      <c r="AC1285">
        <v>0</v>
      </c>
      <c r="AD1285" t="s">
        <v>111</v>
      </c>
      <c r="AE1285">
        <v>0</v>
      </c>
      <c r="AF1285">
        <v>0</v>
      </c>
      <c r="AG1285" t="s">
        <v>111</v>
      </c>
      <c r="AH1285" t="s">
        <v>111</v>
      </c>
      <c r="AI1285" t="s">
        <v>111</v>
      </c>
      <c r="AJ1285" t="s">
        <v>111</v>
      </c>
      <c r="AK1285" t="s">
        <v>111</v>
      </c>
      <c r="AL1285" t="s">
        <v>111</v>
      </c>
      <c r="AM1285">
        <v>0</v>
      </c>
      <c r="AN1285">
        <v>0</v>
      </c>
      <c r="AO1285">
        <v>0</v>
      </c>
      <c r="AP1285" t="s">
        <v>111</v>
      </c>
      <c r="AQ1285" t="s">
        <v>111</v>
      </c>
      <c r="AR1285" t="s">
        <v>111</v>
      </c>
      <c r="AS1285" t="s">
        <v>111</v>
      </c>
      <c r="AT1285" t="s">
        <v>111</v>
      </c>
      <c r="AU1285" t="s">
        <v>111</v>
      </c>
      <c r="AV1285" t="s">
        <v>111</v>
      </c>
      <c r="AW1285" t="s">
        <v>111</v>
      </c>
      <c r="AX1285" t="s">
        <v>111</v>
      </c>
      <c r="AY1285" t="s">
        <v>111</v>
      </c>
      <c r="AZ1285" t="s">
        <v>111</v>
      </c>
      <c r="BA1285" t="s">
        <v>111</v>
      </c>
      <c r="BB1285" t="s">
        <v>111</v>
      </c>
      <c r="BC1285" t="s">
        <v>111</v>
      </c>
      <c r="BD1285" t="s">
        <v>111</v>
      </c>
      <c r="BE1285" t="s">
        <v>111</v>
      </c>
      <c r="BF1285" t="s">
        <v>111</v>
      </c>
      <c r="BG1285" t="s">
        <v>111</v>
      </c>
      <c r="BH1285" t="s">
        <v>111</v>
      </c>
      <c r="BI1285" t="s">
        <v>111</v>
      </c>
      <c r="BJ1285" t="s">
        <v>111</v>
      </c>
      <c r="BK1285" t="s">
        <v>111</v>
      </c>
      <c r="BL1285" t="s">
        <v>111</v>
      </c>
      <c r="BM1285" t="s">
        <v>111</v>
      </c>
      <c r="BN1285" t="s">
        <v>111</v>
      </c>
      <c r="BO1285" t="s">
        <v>111</v>
      </c>
      <c r="BP1285" t="s">
        <v>111</v>
      </c>
      <c r="BQ1285" t="s">
        <v>111</v>
      </c>
      <c r="BR1285" t="s">
        <v>111</v>
      </c>
      <c r="BS1285" t="s">
        <v>111</v>
      </c>
      <c r="BT1285" t="s">
        <v>111</v>
      </c>
      <c r="BU1285" t="s">
        <v>111</v>
      </c>
      <c r="BV1285" t="s">
        <v>111</v>
      </c>
      <c r="BW1285" t="s">
        <v>111</v>
      </c>
      <c r="BX1285" t="s">
        <v>111</v>
      </c>
      <c r="BY1285" t="s">
        <v>111</v>
      </c>
      <c r="BZ1285" t="s">
        <v>111</v>
      </c>
      <c r="CA1285" t="s">
        <v>111</v>
      </c>
      <c r="CB1285" t="s">
        <v>111</v>
      </c>
      <c r="CC1285" t="s">
        <v>111</v>
      </c>
      <c r="CD1285" t="s">
        <v>111</v>
      </c>
      <c r="CE1285" t="s">
        <v>111</v>
      </c>
      <c r="CF1285" t="s">
        <v>111</v>
      </c>
      <c r="CG1285" t="s">
        <v>111</v>
      </c>
      <c r="CH1285" t="s">
        <v>111</v>
      </c>
      <c r="CI1285" t="s">
        <v>111</v>
      </c>
      <c r="CJ1285" t="s">
        <v>111</v>
      </c>
      <c r="CK1285" t="s">
        <v>111</v>
      </c>
      <c r="CL1285" t="s">
        <v>111</v>
      </c>
      <c r="CM1285" t="s">
        <v>198</v>
      </c>
      <c r="CN1285" t="s">
        <v>113</v>
      </c>
      <c r="CO1285" t="s">
        <v>222</v>
      </c>
      <c r="CP1285" t="s">
        <v>111</v>
      </c>
      <c r="CQ1285">
        <v>0</v>
      </c>
      <c r="CR1285">
        <v>0</v>
      </c>
      <c r="CS1285">
        <v>0</v>
      </c>
      <c r="CT1285" s="1" t="s">
        <v>3727</v>
      </c>
      <c r="CU1285">
        <v>0</v>
      </c>
      <c r="CV1285" t="s">
        <v>111</v>
      </c>
      <c r="CW1285" t="s">
        <v>111</v>
      </c>
      <c r="CX1285" t="s">
        <v>111</v>
      </c>
      <c r="CY1285">
        <v>0</v>
      </c>
      <c r="CZ1285" t="s">
        <v>111</v>
      </c>
      <c r="DA1285" t="s">
        <v>111</v>
      </c>
      <c r="DB1285" t="s">
        <v>111</v>
      </c>
      <c r="DC1285" t="s">
        <v>111</v>
      </c>
    </row>
    <row r="1286" spans="1:107">
      <c r="A1286">
        <v>625</v>
      </c>
      <c r="B1286" t="s">
        <v>162</v>
      </c>
      <c r="C1286" t="s">
        <v>1828</v>
      </c>
      <c r="D1286" t="s">
        <v>3724</v>
      </c>
      <c r="E1286" t="s">
        <v>3737</v>
      </c>
      <c r="F1286" t="s">
        <v>192</v>
      </c>
      <c r="G1286" t="s">
        <v>3726</v>
      </c>
      <c r="H1286">
        <v>1</v>
      </c>
      <c r="I1286">
        <v>45.8</v>
      </c>
      <c r="J1286">
        <v>2.5</v>
      </c>
      <c r="K1286">
        <v>2.5</v>
      </c>
      <c r="L1286" t="s">
        <v>112</v>
      </c>
      <c r="M1286" t="s">
        <v>138</v>
      </c>
      <c r="N1286">
        <v>0</v>
      </c>
      <c r="O1286">
        <v>0</v>
      </c>
      <c r="P1286" t="s">
        <v>138</v>
      </c>
      <c r="Q1286">
        <v>25</v>
      </c>
      <c r="R1286">
        <v>0</v>
      </c>
      <c r="S1286">
        <v>0</v>
      </c>
      <c r="T1286">
        <v>0</v>
      </c>
      <c r="U1286" t="s">
        <v>153</v>
      </c>
      <c r="V1286">
        <v>0</v>
      </c>
      <c r="W1286">
        <v>0</v>
      </c>
      <c r="X1286">
        <v>1</v>
      </c>
      <c r="Y1286">
        <v>0</v>
      </c>
      <c r="Z1286" t="s">
        <v>111</v>
      </c>
      <c r="AA1286">
        <v>0</v>
      </c>
      <c r="AB1286" t="s">
        <v>111</v>
      </c>
      <c r="AC1286">
        <v>0</v>
      </c>
      <c r="AD1286" t="s">
        <v>111</v>
      </c>
      <c r="AE1286">
        <v>0</v>
      </c>
      <c r="AF1286">
        <v>0</v>
      </c>
      <c r="AG1286" t="s">
        <v>111</v>
      </c>
      <c r="AH1286" t="s">
        <v>111</v>
      </c>
      <c r="AI1286" t="s">
        <v>111</v>
      </c>
      <c r="AJ1286" t="s">
        <v>111</v>
      </c>
      <c r="AK1286" t="s">
        <v>111</v>
      </c>
      <c r="AL1286" t="s">
        <v>111</v>
      </c>
      <c r="AM1286">
        <v>0</v>
      </c>
      <c r="AN1286">
        <v>0</v>
      </c>
      <c r="AO1286">
        <v>0</v>
      </c>
      <c r="AP1286" t="s">
        <v>111</v>
      </c>
      <c r="AQ1286" t="s">
        <v>111</v>
      </c>
      <c r="AR1286" t="s">
        <v>111</v>
      </c>
      <c r="AS1286" t="s">
        <v>111</v>
      </c>
      <c r="AT1286" t="s">
        <v>111</v>
      </c>
      <c r="AU1286" t="s">
        <v>111</v>
      </c>
      <c r="AV1286" t="s">
        <v>111</v>
      </c>
      <c r="AW1286" t="s">
        <v>111</v>
      </c>
      <c r="AX1286" t="s">
        <v>111</v>
      </c>
      <c r="AY1286" t="s">
        <v>111</v>
      </c>
      <c r="AZ1286" t="s">
        <v>111</v>
      </c>
      <c r="BA1286" t="s">
        <v>111</v>
      </c>
      <c r="BB1286" t="s">
        <v>111</v>
      </c>
      <c r="BC1286" t="s">
        <v>111</v>
      </c>
      <c r="BD1286" t="s">
        <v>111</v>
      </c>
      <c r="BE1286" t="s">
        <v>111</v>
      </c>
      <c r="BF1286" t="s">
        <v>111</v>
      </c>
      <c r="BG1286" t="s">
        <v>111</v>
      </c>
      <c r="BH1286" t="s">
        <v>111</v>
      </c>
      <c r="BI1286" t="s">
        <v>111</v>
      </c>
      <c r="BJ1286" t="s">
        <v>111</v>
      </c>
      <c r="BK1286" t="s">
        <v>111</v>
      </c>
      <c r="BL1286" t="s">
        <v>111</v>
      </c>
      <c r="BM1286" t="s">
        <v>111</v>
      </c>
      <c r="BN1286" t="s">
        <v>111</v>
      </c>
      <c r="BO1286" t="s">
        <v>111</v>
      </c>
      <c r="BP1286" t="s">
        <v>111</v>
      </c>
      <c r="BQ1286" t="s">
        <v>111</v>
      </c>
      <c r="BR1286" t="s">
        <v>111</v>
      </c>
      <c r="BS1286" t="s">
        <v>111</v>
      </c>
      <c r="BT1286" t="s">
        <v>111</v>
      </c>
      <c r="BU1286" t="s">
        <v>111</v>
      </c>
      <c r="BV1286" t="s">
        <v>111</v>
      </c>
      <c r="BW1286" t="s">
        <v>111</v>
      </c>
      <c r="BX1286" t="s">
        <v>111</v>
      </c>
      <c r="BY1286" t="s">
        <v>111</v>
      </c>
      <c r="BZ1286" t="s">
        <v>111</v>
      </c>
      <c r="CA1286" t="s">
        <v>111</v>
      </c>
      <c r="CB1286" t="s">
        <v>111</v>
      </c>
      <c r="CC1286" t="s">
        <v>111</v>
      </c>
      <c r="CD1286" t="s">
        <v>111</v>
      </c>
      <c r="CE1286" t="s">
        <v>111</v>
      </c>
      <c r="CF1286" t="s">
        <v>111</v>
      </c>
      <c r="CG1286" t="s">
        <v>111</v>
      </c>
      <c r="CH1286" t="s">
        <v>111</v>
      </c>
      <c r="CI1286" t="s">
        <v>111</v>
      </c>
      <c r="CJ1286" t="s">
        <v>111</v>
      </c>
      <c r="CK1286" t="s">
        <v>111</v>
      </c>
      <c r="CL1286" t="s">
        <v>111</v>
      </c>
      <c r="CM1286" t="s">
        <v>198</v>
      </c>
      <c r="CN1286" t="s">
        <v>113</v>
      </c>
      <c r="CO1286" t="s">
        <v>222</v>
      </c>
      <c r="CP1286" t="s">
        <v>111</v>
      </c>
      <c r="CQ1286">
        <v>0</v>
      </c>
      <c r="CR1286">
        <v>0</v>
      </c>
      <c r="CS1286">
        <v>0</v>
      </c>
      <c r="CT1286" s="1" t="s">
        <v>3727</v>
      </c>
      <c r="CU1286">
        <v>0</v>
      </c>
      <c r="CV1286" t="s">
        <v>111</v>
      </c>
      <c r="CW1286" t="s">
        <v>111</v>
      </c>
      <c r="CX1286" t="s">
        <v>111</v>
      </c>
      <c r="CY1286">
        <v>0</v>
      </c>
      <c r="CZ1286" t="s">
        <v>111</v>
      </c>
      <c r="DA1286" t="s">
        <v>111</v>
      </c>
      <c r="DB1286" t="s">
        <v>111</v>
      </c>
      <c r="DC1286" t="s">
        <v>111</v>
      </c>
    </row>
    <row r="1287" spans="1:107">
      <c r="A1287">
        <v>620</v>
      </c>
      <c r="B1287" t="s">
        <v>162</v>
      </c>
      <c r="C1287" t="s">
        <v>1828</v>
      </c>
      <c r="D1287" t="s">
        <v>3738</v>
      </c>
      <c r="E1287" t="s">
        <v>3739</v>
      </c>
      <c r="F1287" t="s">
        <v>1831</v>
      </c>
      <c r="G1287" t="s">
        <v>3726</v>
      </c>
      <c r="H1287">
        <v>1</v>
      </c>
      <c r="I1287">
        <v>45.8</v>
      </c>
      <c r="J1287">
        <v>2.5</v>
      </c>
      <c r="K1287">
        <v>2.5</v>
      </c>
      <c r="L1287" t="s">
        <v>112</v>
      </c>
      <c r="M1287" t="s">
        <v>138</v>
      </c>
      <c r="N1287">
        <v>0</v>
      </c>
      <c r="O1287">
        <v>0</v>
      </c>
      <c r="P1287" t="s">
        <v>138</v>
      </c>
      <c r="Q1287">
        <v>25</v>
      </c>
      <c r="R1287">
        <v>0</v>
      </c>
      <c r="S1287">
        <v>0</v>
      </c>
      <c r="T1287">
        <v>0</v>
      </c>
      <c r="U1287" t="s">
        <v>153</v>
      </c>
      <c r="V1287">
        <v>0</v>
      </c>
      <c r="W1287">
        <v>0</v>
      </c>
      <c r="X1287">
        <v>1</v>
      </c>
      <c r="Y1287">
        <v>0</v>
      </c>
      <c r="Z1287" t="s">
        <v>111</v>
      </c>
      <c r="AA1287">
        <v>0</v>
      </c>
      <c r="AB1287" t="s">
        <v>111</v>
      </c>
      <c r="AC1287">
        <v>0</v>
      </c>
      <c r="AD1287" t="s">
        <v>111</v>
      </c>
      <c r="AE1287">
        <v>0</v>
      </c>
      <c r="AF1287">
        <v>0</v>
      </c>
      <c r="AG1287" t="s">
        <v>111</v>
      </c>
      <c r="AH1287" t="s">
        <v>111</v>
      </c>
      <c r="AI1287" t="s">
        <v>111</v>
      </c>
      <c r="AJ1287" t="s">
        <v>111</v>
      </c>
      <c r="AK1287" t="s">
        <v>111</v>
      </c>
      <c r="AL1287" t="s">
        <v>111</v>
      </c>
      <c r="AM1287">
        <v>0</v>
      </c>
      <c r="AN1287">
        <v>0</v>
      </c>
      <c r="AO1287">
        <v>0</v>
      </c>
      <c r="AP1287" t="s">
        <v>111</v>
      </c>
      <c r="AQ1287" t="s">
        <v>111</v>
      </c>
      <c r="AR1287" t="s">
        <v>111</v>
      </c>
      <c r="AS1287" t="s">
        <v>111</v>
      </c>
      <c r="AT1287" t="s">
        <v>111</v>
      </c>
      <c r="AU1287" t="s">
        <v>111</v>
      </c>
      <c r="AV1287" t="s">
        <v>111</v>
      </c>
      <c r="AW1287" t="s">
        <v>111</v>
      </c>
      <c r="AX1287" t="s">
        <v>111</v>
      </c>
      <c r="AY1287" t="s">
        <v>111</v>
      </c>
      <c r="AZ1287" t="s">
        <v>111</v>
      </c>
      <c r="BA1287" t="s">
        <v>111</v>
      </c>
      <c r="BB1287" t="s">
        <v>111</v>
      </c>
      <c r="BC1287" t="s">
        <v>111</v>
      </c>
      <c r="BD1287" t="s">
        <v>111</v>
      </c>
      <c r="BE1287" t="s">
        <v>111</v>
      </c>
      <c r="BF1287" t="s">
        <v>111</v>
      </c>
      <c r="BG1287" t="s">
        <v>111</v>
      </c>
      <c r="BH1287" t="s">
        <v>111</v>
      </c>
      <c r="BI1287" t="s">
        <v>111</v>
      </c>
      <c r="BJ1287" t="s">
        <v>111</v>
      </c>
      <c r="BK1287" t="s">
        <v>111</v>
      </c>
      <c r="BL1287" t="s">
        <v>111</v>
      </c>
      <c r="BM1287" t="s">
        <v>111</v>
      </c>
      <c r="BN1287" t="s">
        <v>111</v>
      </c>
      <c r="BO1287" t="s">
        <v>111</v>
      </c>
      <c r="BP1287" t="s">
        <v>111</v>
      </c>
      <c r="BQ1287" t="s">
        <v>111</v>
      </c>
      <c r="BR1287" t="s">
        <v>111</v>
      </c>
      <c r="BS1287" t="s">
        <v>111</v>
      </c>
      <c r="BT1287" t="s">
        <v>111</v>
      </c>
      <c r="BU1287" t="s">
        <v>111</v>
      </c>
      <c r="BV1287" t="s">
        <v>111</v>
      </c>
      <c r="BW1287" t="s">
        <v>111</v>
      </c>
      <c r="BX1287" t="s">
        <v>111</v>
      </c>
      <c r="BY1287" t="s">
        <v>111</v>
      </c>
      <c r="BZ1287" t="s">
        <v>111</v>
      </c>
      <c r="CA1287" t="s">
        <v>111</v>
      </c>
      <c r="CB1287" t="s">
        <v>111</v>
      </c>
      <c r="CC1287" t="s">
        <v>111</v>
      </c>
      <c r="CD1287" t="s">
        <v>111</v>
      </c>
      <c r="CE1287" t="s">
        <v>111</v>
      </c>
      <c r="CF1287" t="s">
        <v>111</v>
      </c>
      <c r="CG1287" t="s">
        <v>111</v>
      </c>
      <c r="CH1287" t="s">
        <v>111</v>
      </c>
      <c r="CI1287" t="s">
        <v>111</v>
      </c>
      <c r="CJ1287" t="s">
        <v>111</v>
      </c>
      <c r="CK1287" t="s">
        <v>111</v>
      </c>
      <c r="CL1287" t="s">
        <v>111</v>
      </c>
      <c r="CM1287" t="s">
        <v>198</v>
      </c>
      <c r="CN1287" t="s">
        <v>113</v>
      </c>
      <c r="CO1287" t="s">
        <v>222</v>
      </c>
      <c r="CP1287" t="s">
        <v>111</v>
      </c>
      <c r="CQ1287">
        <v>0</v>
      </c>
      <c r="CR1287">
        <v>15000</v>
      </c>
      <c r="CS1287">
        <v>200</v>
      </c>
      <c r="CT1287" s="1" t="s">
        <v>3727</v>
      </c>
      <c r="CU1287">
        <v>0</v>
      </c>
      <c r="CV1287" t="s">
        <v>111</v>
      </c>
      <c r="CW1287" t="s">
        <v>111</v>
      </c>
      <c r="CX1287" t="s">
        <v>111</v>
      </c>
      <c r="CY1287">
        <v>0</v>
      </c>
      <c r="CZ1287" t="s">
        <v>111</v>
      </c>
      <c r="DA1287" t="s">
        <v>111</v>
      </c>
      <c r="DB1287" t="s">
        <v>111</v>
      </c>
      <c r="DC1287" t="s">
        <v>111</v>
      </c>
    </row>
    <row r="1288" spans="1:107">
      <c r="A1288">
        <v>631</v>
      </c>
      <c r="B1288" t="s">
        <v>162</v>
      </c>
      <c r="C1288" t="s">
        <v>1828</v>
      </c>
      <c r="D1288" t="s">
        <v>3724</v>
      </c>
      <c r="E1288" t="s">
        <v>3740</v>
      </c>
      <c r="F1288" t="s">
        <v>192</v>
      </c>
      <c r="G1288" t="s">
        <v>3726</v>
      </c>
      <c r="H1288">
        <v>1</v>
      </c>
      <c r="I1288">
        <v>45.8</v>
      </c>
      <c r="J1288">
        <v>2.5</v>
      </c>
      <c r="K1288">
        <v>2.5</v>
      </c>
      <c r="L1288" t="s">
        <v>112</v>
      </c>
      <c r="M1288" t="s">
        <v>138</v>
      </c>
      <c r="N1288">
        <v>0</v>
      </c>
      <c r="O1288">
        <v>0</v>
      </c>
      <c r="P1288" t="s">
        <v>138</v>
      </c>
      <c r="Q1288">
        <v>25</v>
      </c>
      <c r="R1288">
        <v>0</v>
      </c>
      <c r="S1288">
        <v>0</v>
      </c>
      <c r="T1288">
        <v>0</v>
      </c>
      <c r="U1288" t="s">
        <v>153</v>
      </c>
      <c r="V1288">
        <v>0</v>
      </c>
      <c r="W1288">
        <v>0</v>
      </c>
      <c r="X1288">
        <v>1</v>
      </c>
      <c r="Y1288">
        <v>0</v>
      </c>
      <c r="Z1288" t="s">
        <v>111</v>
      </c>
      <c r="AA1288">
        <v>0</v>
      </c>
      <c r="AB1288" t="s">
        <v>111</v>
      </c>
      <c r="AC1288">
        <v>0</v>
      </c>
      <c r="AD1288" t="s">
        <v>111</v>
      </c>
      <c r="AE1288">
        <v>0</v>
      </c>
      <c r="AF1288">
        <v>0</v>
      </c>
      <c r="AG1288" t="s">
        <v>111</v>
      </c>
      <c r="AH1288" t="s">
        <v>111</v>
      </c>
      <c r="AI1288" t="s">
        <v>111</v>
      </c>
      <c r="AJ1288" t="s">
        <v>111</v>
      </c>
      <c r="AK1288" t="s">
        <v>111</v>
      </c>
      <c r="AL1288" t="s">
        <v>111</v>
      </c>
      <c r="AM1288">
        <v>0</v>
      </c>
      <c r="AN1288">
        <v>0</v>
      </c>
      <c r="AO1288">
        <v>0</v>
      </c>
      <c r="AP1288" t="s">
        <v>111</v>
      </c>
      <c r="AQ1288" t="s">
        <v>111</v>
      </c>
      <c r="AR1288" t="s">
        <v>111</v>
      </c>
      <c r="AS1288" t="s">
        <v>111</v>
      </c>
      <c r="AT1288" t="s">
        <v>111</v>
      </c>
      <c r="AU1288" t="s">
        <v>111</v>
      </c>
      <c r="AV1288" t="s">
        <v>111</v>
      </c>
      <c r="AW1288" t="s">
        <v>111</v>
      </c>
      <c r="AX1288" t="s">
        <v>111</v>
      </c>
      <c r="AY1288" t="s">
        <v>111</v>
      </c>
      <c r="AZ1288" t="s">
        <v>111</v>
      </c>
      <c r="BA1288" t="s">
        <v>111</v>
      </c>
      <c r="BB1288" t="s">
        <v>111</v>
      </c>
      <c r="BC1288" t="s">
        <v>111</v>
      </c>
      <c r="BD1288" t="s">
        <v>111</v>
      </c>
      <c r="BE1288" t="s">
        <v>111</v>
      </c>
      <c r="BF1288" t="s">
        <v>111</v>
      </c>
      <c r="BG1288" t="s">
        <v>111</v>
      </c>
      <c r="BH1288" t="s">
        <v>111</v>
      </c>
      <c r="BI1288" t="s">
        <v>111</v>
      </c>
      <c r="BJ1288" t="s">
        <v>111</v>
      </c>
      <c r="BK1288" t="s">
        <v>111</v>
      </c>
      <c r="BL1288" t="s">
        <v>111</v>
      </c>
      <c r="BM1288" t="s">
        <v>111</v>
      </c>
      <c r="BN1288" t="s">
        <v>111</v>
      </c>
      <c r="BO1288" t="s">
        <v>111</v>
      </c>
      <c r="BP1288" t="s">
        <v>111</v>
      </c>
      <c r="BQ1288" t="s">
        <v>111</v>
      </c>
      <c r="BR1288" t="s">
        <v>111</v>
      </c>
      <c r="BS1288" t="s">
        <v>111</v>
      </c>
      <c r="BT1288" t="s">
        <v>111</v>
      </c>
      <c r="BU1288" t="s">
        <v>111</v>
      </c>
      <c r="BV1288" t="s">
        <v>111</v>
      </c>
      <c r="BW1288" t="s">
        <v>111</v>
      </c>
      <c r="BX1288" t="s">
        <v>111</v>
      </c>
      <c r="BY1288" t="s">
        <v>111</v>
      </c>
      <c r="BZ1288" t="s">
        <v>111</v>
      </c>
      <c r="CA1288" t="s">
        <v>111</v>
      </c>
      <c r="CB1288" t="s">
        <v>111</v>
      </c>
      <c r="CC1288" t="s">
        <v>111</v>
      </c>
      <c r="CD1288" t="s">
        <v>111</v>
      </c>
      <c r="CE1288" t="s">
        <v>111</v>
      </c>
      <c r="CF1288" t="s">
        <v>111</v>
      </c>
      <c r="CG1288" t="s">
        <v>111</v>
      </c>
      <c r="CH1288" t="s">
        <v>111</v>
      </c>
      <c r="CI1288" t="s">
        <v>111</v>
      </c>
      <c r="CJ1288" t="s">
        <v>111</v>
      </c>
      <c r="CK1288" t="s">
        <v>111</v>
      </c>
      <c r="CL1288" t="s">
        <v>111</v>
      </c>
      <c r="CM1288" t="s">
        <v>3741</v>
      </c>
      <c r="CN1288" t="s">
        <v>113</v>
      </c>
      <c r="CO1288" t="s">
        <v>222</v>
      </c>
      <c r="CP1288" t="s">
        <v>111</v>
      </c>
      <c r="CQ1288">
        <v>0</v>
      </c>
      <c r="CR1288">
        <v>0</v>
      </c>
      <c r="CS1288">
        <v>0</v>
      </c>
      <c r="CT1288" s="1" t="s">
        <v>3727</v>
      </c>
      <c r="CU1288">
        <v>0</v>
      </c>
      <c r="CV1288" t="s">
        <v>111</v>
      </c>
      <c r="CW1288" t="s">
        <v>111</v>
      </c>
      <c r="CX1288" t="s">
        <v>111</v>
      </c>
      <c r="CY1288">
        <v>0</v>
      </c>
      <c r="CZ1288" t="s">
        <v>111</v>
      </c>
      <c r="DA1288" t="s">
        <v>111</v>
      </c>
      <c r="DB1288" t="s">
        <v>111</v>
      </c>
      <c r="DC1288" t="s">
        <v>111</v>
      </c>
    </row>
    <row r="1289" spans="1:107">
      <c r="A1289">
        <v>629</v>
      </c>
      <c r="B1289" t="s">
        <v>162</v>
      </c>
      <c r="C1289" t="s">
        <v>1828</v>
      </c>
      <c r="D1289" t="s">
        <v>3724</v>
      </c>
      <c r="E1289" t="s">
        <v>3742</v>
      </c>
      <c r="F1289" t="s">
        <v>192</v>
      </c>
      <c r="G1289" t="s">
        <v>3726</v>
      </c>
      <c r="H1289">
        <v>1</v>
      </c>
      <c r="I1289">
        <v>45.8</v>
      </c>
      <c r="J1289">
        <v>2.5</v>
      </c>
      <c r="K1289">
        <v>2.5</v>
      </c>
      <c r="L1289" t="s">
        <v>112</v>
      </c>
      <c r="M1289" t="s">
        <v>138</v>
      </c>
      <c r="N1289">
        <v>0</v>
      </c>
      <c r="O1289">
        <v>0</v>
      </c>
      <c r="P1289" t="s">
        <v>138</v>
      </c>
      <c r="Q1289">
        <v>25</v>
      </c>
      <c r="R1289">
        <v>0</v>
      </c>
      <c r="S1289">
        <v>0</v>
      </c>
      <c r="T1289">
        <v>0</v>
      </c>
      <c r="U1289" t="s">
        <v>153</v>
      </c>
      <c r="V1289">
        <v>0</v>
      </c>
      <c r="W1289">
        <v>0</v>
      </c>
      <c r="X1289">
        <v>1</v>
      </c>
      <c r="Y1289">
        <v>0</v>
      </c>
      <c r="Z1289" t="s">
        <v>111</v>
      </c>
      <c r="AA1289">
        <v>0</v>
      </c>
      <c r="AB1289" t="s">
        <v>111</v>
      </c>
      <c r="AC1289">
        <v>0</v>
      </c>
      <c r="AD1289" t="s">
        <v>111</v>
      </c>
      <c r="AE1289">
        <v>0</v>
      </c>
      <c r="AF1289">
        <v>0</v>
      </c>
      <c r="AG1289" t="s">
        <v>111</v>
      </c>
      <c r="AH1289" t="s">
        <v>111</v>
      </c>
      <c r="AI1289" t="s">
        <v>111</v>
      </c>
      <c r="AJ1289" t="s">
        <v>111</v>
      </c>
      <c r="AK1289" t="s">
        <v>111</v>
      </c>
      <c r="AL1289" t="s">
        <v>111</v>
      </c>
      <c r="AM1289">
        <v>0</v>
      </c>
      <c r="AN1289">
        <v>0</v>
      </c>
      <c r="AO1289">
        <v>0</v>
      </c>
      <c r="AP1289" t="s">
        <v>111</v>
      </c>
      <c r="AQ1289" t="s">
        <v>111</v>
      </c>
      <c r="AR1289" t="s">
        <v>111</v>
      </c>
      <c r="AS1289" t="s">
        <v>111</v>
      </c>
      <c r="AT1289" t="s">
        <v>111</v>
      </c>
      <c r="AU1289" t="s">
        <v>111</v>
      </c>
      <c r="AV1289" t="s">
        <v>111</v>
      </c>
      <c r="AW1289" t="s">
        <v>111</v>
      </c>
      <c r="AX1289" t="s">
        <v>111</v>
      </c>
      <c r="AY1289" t="s">
        <v>111</v>
      </c>
      <c r="AZ1289" t="s">
        <v>111</v>
      </c>
      <c r="BA1289" t="s">
        <v>111</v>
      </c>
      <c r="BB1289" t="s">
        <v>111</v>
      </c>
      <c r="BC1289" t="s">
        <v>111</v>
      </c>
      <c r="BD1289" t="s">
        <v>111</v>
      </c>
      <c r="BE1289" t="s">
        <v>111</v>
      </c>
      <c r="BF1289" t="s">
        <v>111</v>
      </c>
      <c r="BG1289" t="s">
        <v>111</v>
      </c>
      <c r="BH1289" t="s">
        <v>111</v>
      </c>
      <c r="BI1289" t="s">
        <v>111</v>
      </c>
      <c r="BJ1289" t="s">
        <v>111</v>
      </c>
      <c r="BK1289" t="s">
        <v>111</v>
      </c>
      <c r="BL1289" t="s">
        <v>111</v>
      </c>
      <c r="BM1289" t="s">
        <v>111</v>
      </c>
      <c r="BN1289" t="s">
        <v>111</v>
      </c>
      <c r="BO1289" t="s">
        <v>111</v>
      </c>
      <c r="BP1289" t="s">
        <v>111</v>
      </c>
      <c r="BQ1289" t="s">
        <v>111</v>
      </c>
      <c r="BR1289" t="s">
        <v>111</v>
      </c>
      <c r="BS1289" t="s">
        <v>111</v>
      </c>
      <c r="BT1289" t="s">
        <v>111</v>
      </c>
      <c r="BU1289" t="s">
        <v>111</v>
      </c>
      <c r="BV1289" t="s">
        <v>111</v>
      </c>
      <c r="BW1289" t="s">
        <v>111</v>
      </c>
      <c r="BX1289" t="s">
        <v>111</v>
      </c>
      <c r="BY1289" t="s">
        <v>111</v>
      </c>
      <c r="BZ1289" t="s">
        <v>111</v>
      </c>
      <c r="CA1289" t="s">
        <v>111</v>
      </c>
      <c r="CB1289" t="s">
        <v>111</v>
      </c>
      <c r="CC1289" t="s">
        <v>111</v>
      </c>
      <c r="CD1289" t="s">
        <v>111</v>
      </c>
      <c r="CE1289" t="s">
        <v>111</v>
      </c>
      <c r="CF1289" t="s">
        <v>111</v>
      </c>
      <c r="CG1289" t="s">
        <v>111</v>
      </c>
      <c r="CH1289" t="s">
        <v>111</v>
      </c>
      <c r="CI1289" t="s">
        <v>111</v>
      </c>
      <c r="CJ1289" t="s">
        <v>111</v>
      </c>
      <c r="CK1289" t="s">
        <v>111</v>
      </c>
      <c r="CL1289" t="s">
        <v>111</v>
      </c>
      <c r="CM1289" t="s">
        <v>198</v>
      </c>
      <c r="CN1289" t="s">
        <v>113</v>
      </c>
      <c r="CO1289" t="s">
        <v>222</v>
      </c>
      <c r="CP1289" t="s">
        <v>111</v>
      </c>
      <c r="CQ1289">
        <v>0</v>
      </c>
      <c r="CR1289">
        <v>0</v>
      </c>
      <c r="CS1289">
        <v>0</v>
      </c>
      <c r="CT1289" s="1" t="s">
        <v>3727</v>
      </c>
      <c r="CU1289">
        <v>0</v>
      </c>
      <c r="CV1289" t="s">
        <v>111</v>
      </c>
      <c r="CW1289" t="s">
        <v>111</v>
      </c>
      <c r="CX1289" t="s">
        <v>111</v>
      </c>
      <c r="CY1289">
        <v>0</v>
      </c>
      <c r="CZ1289" t="s">
        <v>111</v>
      </c>
      <c r="DA1289" t="s">
        <v>111</v>
      </c>
      <c r="DB1289" t="s">
        <v>111</v>
      </c>
      <c r="DC1289" t="s">
        <v>111</v>
      </c>
    </row>
    <row r="1290" spans="1:107">
      <c r="A1290">
        <v>628</v>
      </c>
      <c r="B1290" t="s">
        <v>162</v>
      </c>
      <c r="C1290" t="s">
        <v>1828</v>
      </c>
      <c r="D1290" t="s">
        <v>3724</v>
      </c>
      <c r="E1290" t="s">
        <v>3743</v>
      </c>
      <c r="F1290" t="s">
        <v>192</v>
      </c>
      <c r="G1290" t="s">
        <v>3726</v>
      </c>
      <c r="H1290">
        <v>1</v>
      </c>
      <c r="I1290">
        <v>45.8</v>
      </c>
      <c r="J1290">
        <v>2.5</v>
      </c>
      <c r="K1290">
        <v>2.5</v>
      </c>
      <c r="L1290" t="s">
        <v>112</v>
      </c>
      <c r="M1290" t="s">
        <v>138</v>
      </c>
      <c r="N1290">
        <v>0</v>
      </c>
      <c r="O1290">
        <v>0</v>
      </c>
      <c r="P1290" t="s">
        <v>138</v>
      </c>
      <c r="Q1290">
        <v>25</v>
      </c>
      <c r="R1290">
        <v>0</v>
      </c>
      <c r="S1290">
        <v>0</v>
      </c>
      <c r="T1290">
        <v>0</v>
      </c>
      <c r="U1290" t="s">
        <v>153</v>
      </c>
      <c r="V1290">
        <v>0</v>
      </c>
      <c r="W1290">
        <v>0</v>
      </c>
      <c r="X1290">
        <v>1</v>
      </c>
      <c r="Y1290">
        <v>0</v>
      </c>
      <c r="Z1290" t="s">
        <v>111</v>
      </c>
      <c r="AA1290">
        <v>0</v>
      </c>
      <c r="AB1290" t="s">
        <v>111</v>
      </c>
      <c r="AC1290">
        <v>0</v>
      </c>
      <c r="AD1290" t="s">
        <v>111</v>
      </c>
      <c r="AE1290">
        <v>0</v>
      </c>
      <c r="AF1290">
        <v>0</v>
      </c>
      <c r="AG1290" t="s">
        <v>111</v>
      </c>
      <c r="AH1290" t="s">
        <v>111</v>
      </c>
      <c r="AI1290" t="s">
        <v>111</v>
      </c>
      <c r="AJ1290" t="s">
        <v>111</v>
      </c>
      <c r="AK1290" t="s">
        <v>111</v>
      </c>
      <c r="AL1290" t="s">
        <v>111</v>
      </c>
      <c r="AM1290">
        <v>0</v>
      </c>
      <c r="AN1290">
        <v>0</v>
      </c>
      <c r="AO1290">
        <v>0</v>
      </c>
      <c r="AP1290" t="s">
        <v>111</v>
      </c>
      <c r="AQ1290" t="s">
        <v>111</v>
      </c>
      <c r="AR1290" t="s">
        <v>111</v>
      </c>
      <c r="AS1290" t="s">
        <v>111</v>
      </c>
      <c r="AT1290" t="s">
        <v>111</v>
      </c>
      <c r="AU1290" t="s">
        <v>111</v>
      </c>
      <c r="AV1290" t="s">
        <v>111</v>
      </c>
      <c r="AW1290" t="s">
        <v>111</v>
      </c>
      <c r="AX1290" t="s">
        <v>111</v>
      </c>
      <c r="AY1290" t="s">
        <v>111</v>
      </c>
      <c r="AZ1290" t="s">
        <v>111</v>
      </c>
      <c r="BA1290" t="s">
        <v>111</v>
      </c>
      <c r="BB1290" t="s">
        <v>111</v>
      </c>
      <c r="BC1290" t="s">
        <v>111</v>
      </c>
      <c r="BD1290" t="s">
        <v>111</v>
      </c>
      <c r="BE1290" t="s">
        <v>111</v>
      </c>
      <c r="BF1290" t="s">
        <v>111</v>
      </c>
      <c r="BG1290" t="s">
        <v>111</v>
      </c>
      <c r="BH1290" t="s">
        <v>111</v>
      </c>
      <c r="BI1290" t="s">
        <v>111</v>
      </c>
      <c r="BJ1290" t="s">
        <v>111</v>
      </c>
      <c r="BK1290" t="s">
        <v>111</v>
      </c>
      <c r="BL1290" t="s">
        <v>111</v>
      </c>
      <c r="BM1290" t="s">
        <v>111</v>
      </c>
      <c r="BN1290" t="s">
        <v>111</v>
      </c>
      <c r="BO1290" t="s">
        <v>111</v>
      </c>
      <c r="BP1290" t="s">
        <v>111</v>
      </c>
      <c r="BQ1290" t="s">
        <v>111</v>
      </c>
      <c r="BR1290" t="s">
        <v>111</v>
      </c>
      <c r="BS1290" t="s">
        <v>111</v>
      </c>
      <c r="BT1290" t="s">
        <v>111</v>
      </c>
      <c r="BU1290" t="s">
        <v>111</v>
      </c>
      <c r="BV1290" t="s">
        <v>111</v>
      </c>
      <c r="BW1290" t="s">
        <v>111</v>
      </c>
      <c r="BX1290" t="s">
        <v>111</v>
      </c>
      <c r="BY1290" t="s">
        <v>111</v>
      </c>
      <c r="BZ1290" t="s">
        <v>111</v>
      </c>
      <c r="CA1290" t="s">
        <v>111</v>
      </c>
      <c r="CB1290" t="s">
        <v>111</v>
      </c>
      <c r="CC1290" t="s">
        <v>111</v>
      </c>
      <c r="CD1290" t="s">
        <v>111</v>
      </c>
      <c r="CE1290" t="s">
        <v>111</v>
      </c>
      <c r="CF1290" t="s">
        <v>111</v>
      </c>
      <c r="CG1290" t="s">
        <v>111</v>
      </c>
      <c r="CH1290" t="s">
        <v>111</v>
      </c>
      <c r="CI1290" t="s">
        <v>111</v>
      </c>
      <c r="CJ1290" t="s">
        <v>111</v>
      </c>
      <c r="CK1290" t="s">
        <v>111</v>
      </c>
      <c r="CL1290" t="s">
        <v>111</v>
      </c>
      <c r="CM1290" t="s">
        <v>198</v>
      </c>
      <c r="CN1290" t="s">
        <v>113</v>
      </c>
      <c r="CO1290" t="s">
        <v>222</v>
      </c>
      <c r="CP1290" t="s">
        <v>111</v>
      </c>
      <c r="CQ1290">
        <v>0</v>
      </c>
      <c r="CR1290">
        <v>0</v>
      </c>
      <c r="CS1290">
        <v>0</v>
      </c>
      <c r="CT1290" s="1" t="s">
        <v>3727</v>
      </c>
      <c r="CU1290">
        <v>0</v>
      </c>
      <c r="CV1290" t="s">
        <v>111</v>
      </c>
      <c r="CW1290" t="s">
        <v>111</v>
      </c>
      <c r="CX1290" t="s">
        <v>111</v>
      </c>
      <c r="CY1290">
        <v>0</v>
      </c>
      <c r="CZ1290" t="s">
        <v>111</v>
      </c>
      <c r="DA1290" t="s">
        <v>111</v>
      </c>
      <c r="DB1290" t="s">
        <v>111</v>
      </c>
      <c r="DC1290" t="s">
        <v>111</v>
      </c>
    </row>
    <row r="1291" spans="1:107">
      <c r="A1291">
        <v>621</v>
      </c>
      <c r="B1291" t="s">
        <v>162</v>
      </c>
      <c r="C1291" t="s">
        <v>1828</v>
      </c>
      <c r="D1291" t="s">
        <v>3724</v>
      </c>
      <c r="E1291" t="s">
        <v>3744</v>
      </c>
      <c r="F1291" t="s">
        <v>192</v>
      </c>
      <c r="G1291" t="s">
        <v>3726</v>
      </c>
      <c r="H1291">
        <v>1</v>
      </c>
      <c r="I1291">
        <v>45.8</v>
      </c>
      <c r="J1291">
        <v>2.5</v>
      </c>
      <c r="K1291">
        <v>2.5</v>
      </c>
      <c r="L1291" t="s">
        <v>112</v>
      </c>
      <c r="M1291" t="s">
        <v>138</v>
      </c>
      <c r="N1291">
        <v>0</v>
      </c>
      <c r="O1291">
        <v>0</v>
      </c>
      <c r="P1291" t="s">
        <v>138</v>
      </c>
      <c r="Q1291">
        <v>25</v>
      </c>
      <c r="R1291">
        <v>0</v>
      </c>
      <c r="S1291">
        <v>0</v>
      </c>
      <c r="T1291">
        <v>0</v>
      </c>
      <c r="U1291" t="s">
        <v>153</v>
      </c>
      <c r="V1291">
        <v>0</v>
      </c>
      <c r="W1291">
        <v>0</v>
      </c>
      <c r="X1291">
        <v>1</v>
      </c>
      <c r="Y1291">
        <v>0</v>
      </c>
      <c r="Z1291" t="s">
        <v>111</v>
      </c>
      <c r="AA1291">
        <v>0</v>
      </c>
      <c r="AB1291" t="s">
        <v>111</v>
      </c>
      <c r="AC1291">
        <v>0</v>
      </c>
      <c r="AD1291" t="s">
        <v>111</v>
      </c>
      <c r="AE1291">
        <v>0</v>
      </c>
      <c r="AF1291">
        <v>0</v>
      </c>
      <c r="AG1291" t="s">
        <v>111</v>
      </c>
      <c r="AH1291" t="s">
        <v>111</v>
      </c>
      <c r="AI1291" t="s">
        <v>111</v>
      </c>
      <c r="AJ1291" t="s">
        <v>111</v>
      </c>
      <c r="AK1291" t="s">
        <v>111</v>
      </c>
      <c r="AL1291" t="s">
        <v>111</v>
      </c>
      <c r="AM1291">
        <v>0</v>
      </c>
      <c r="AN1291">
        <v>0</v>
      </c>
      <c r="AO1291">
        <v>0</v>
      </c>
      <c r="AP1291" t="s">
        <v>111</v>
      </c>
      <c r="AQ1291" t="s">
        <v>111</v>
      </c>
      <c r="AR1291" t="s">
        <v>111</v>
      </c>
      <c r="AS1291" t="s">
        <v>111</v>
      </c>
      <c r="AT1291" t="s">
        <v>111</v>
      </c>
      <c r="AU1291" t="s">
        <v>111</v>
      </c>
      <c r="AV1291" t="s">
        <v>111</v>
      </c>
      <c r="AW1291" t="s">
        <v>111</v>
      </c>
      <c r="AX1291" t="s">
        <v>111</v>
      </c>
      <c r="AY1291" t="s">
        <v>111</v>
      </c>
      <c r="AZ1291" t="s">
        <v>111</v>
      </c>
      <c r="BA1291" t="s">
        <v>111</v>
      </c>
      <c r="BB1291" t="s">
        <v>111</v>
      </c>
      <c r="BC1291" t="s">
        <v>111</v>
      </c>
      <c r="BD1291" t="s">
        <v>111</v>
      </c>
      <c r="BE1291" t="s">
        <v>111</v>
      </c>
      <c r="BF1291" t="s">
        <v>111</v>
      </c>
      <c r="BG1291" t="s">
        <v>111</v>
      </c>
      <c r="BH1291" t="s">
        <v>111</v>
      </c>
      <c r="BI1291" t="s">
        <v>111</v>
      </c>
      <c r="BJ1291" t="s">
        <v>111</v>
      </c>
      <c r="BK1291" t="s">
        <v>111</v>
      </c>
      <c r="BL1291" t="s">
        <v>111</v>
      </c>
      <c r="BM1291" t="s">
        <v>111</v>
      </c>
      <c r="BN1291" t="s">
        <v>111</v>
      </c>
      <c r="BO1291" t="s">
        <v>111</v>
      </c>
      <c r="BP1291" t="s">
        <v>111</v>
      </c>
      <c r="BQ1291" t="s">
        <v>111</v>
      </c>
      <c r="BR1291" t="s">
        <v>111</v>
      </c>
      <c r="BS1291" t="s">
        <v>111</v>
      </c>
      <c r="BT1291" t="s">
        <v>111</v>
      </c>
      <c r="BU1291" t="s">
        <v>111</v>
      </c>
      <c r="BV1291" t="s">
        <v>111</v>
      </c>
      <c r="BW1291" t="s">
        <v>111</v>
      </c>
      <c r="BX1291" t="s">
        <v>111</v>
      </c>
      <c r="BY1291" t="s">
        <v>111</v>
      </c>
      <c r="BZ1291" t="s">
        <v>111</v>
      </c>
      <c r="CA1291" t="s">
        <v>111</v>
      </c>
      <c r="CB1291" t="s">
        <v>111</v>
      </c>
      <c r="CC1291" t="s">
        <v>111</v>
      </c>
      <c r="CD1291" t="s">
        <v>111</v>
      </c>
      <c r="CE1291" t="s">
        <v>111</v>
      </c>
      <c r="CF1291" t="s">
        <v>111</v>
      </c>
      <c r="CG1291" t="s">
        <v>111</v>
      </c>
      <c r="CH1291" t="s">
        <v>111</v>
      </c>
      <c r="CI1291" t="s">
        <v>111</v>
      </c>
      <c r="CJ1291" t="s">
        <v>111</v>
      </c>
      <c r="CK1291" t="s">
        <v>111</v>
      </c>
      <c r="CL1291" t="s">
        <v>111</v>
      </c>
      <c r="CM1291" t="s">
        <v>198</v>
      </c>
      <c r="CN1291" t="s">
        <v>113</v>
      </c>
      <c r="CO1291" t="s">
        <v>222</v>
      </c>
      <c r="CP1291" t="s">
        <v>111</v>
      </c>
      <c r="CQ1291">
        <v>0</v>
      </c>
      <c r="CR1291">
        <v>0</v>
      </c>
      <c r="CS1291">
        <v>0</v>
      </c>
      <c r="CT1291" s="1" t="s">
        <v>3727</v>
      </c>
      <c r="CU1291">
        <v>0</v>
      </c>
      <c r="CV1291" t="s">
        <v>111</v>
      </c>
      <c r="CW1291" t="s">
        <v>111</v>
      </c>
      <c r="CX1291" t="s">
        <v>111</v>
      </c>
      <c r="CY1291">
        <v>0</v>
      </c>
      <c r="CZ1291" t="s">
        <v>111</v>
      </c>
      <c r="DA1291" t="s">
        <v>111</v>
      </c>
      <c r="DB1291" t="s">
        <v>111</v>
      </c>
      <c r="DC1291" t="s">
        <v>111</v>
      </c>
    </row>
    <row r="1292" spans="1:107">
      <c r="A1292">
        <v>622</v>
      </c>
      <c r="B1292" t="s">
        <v>162</v>
      </c>
      <c r="C1292" t="s">
        <v>1828</v>
      </c>
      <c r="D1292" t="s">
        <v>3724</v>
      </c>
      <c r="E1292" t="s">
        <v>3745</v>
      </c>
      <c r="F1292" t="s">
        <v>192</v>
      </c>
      <c r="G1292" t="s">
        <v>3726</v>
      </c>
      <c r="H1292">
        <v>1</v>
      </c>
      <c r="I1292">
        <v>45.8</v>
      </c>
      <c r="J1292">
        <v>2.5</v>
      </c>
      <c r="K1292">
        <v>2.5</v>
      </c>
      <c r="L1292" t="s">
        <v>112</v>
      </c>
      <c r="M1292" t="s">
        <v>138</v>
      </c>
      <c r="N1292">
        <v>0</v>
      </c>
      <c r="O1292">
        <v>0</v>
      </c>
      <c r="P1292" t="s">
        <v>138</v>
      </c>
      <c r="Q1292">
        <v>25</v>
      </c>
      <c r="R1292">
        <v>0</v>
      </c>
      <c r="S1292">
        <v>0</v>
      </c>
      <c r="T1292">
        <v>0</v>
      </c>
      <c r="U1292" t="s">
        <v>153</v>
      </c>
      <c r="V1292">
        <v>0</v>
      </c>
      <c r="W1292">
        <v>0</v>
      </c>
      <c r="X1292">
        <v>1</v>
      </c>
      <c r="Y1292">
        <v>0</v>
      </c>
      <c r="Z1292" t="s">
        <v>111</v>
      </c>
      <c r="AA1292">
        <v>0</v>
      </c>
      <c r="AB1292" t="s">
        <v>111</v>
      </c>
      <c r="AC1292">
        <v>0</v>
      </c>
      <c r="AD1292" t="s">
        <v>111</v>
      </c>
      <c r="AE1292">
        <v>0</v>
      </c>
      <c r="AF1292">
        <v>0</v>
      </c>
      <c r="AG1292" t="s">
        <v>111</v>
      </c>
      <c r="AH1292" t="s">
        <v>111</v>
      </c>
      <c r="AI1292" t="s">
        <v>111</v>
      </c>
      <c r="AJ1292" t="s">
        <v>111</v>
      </c>
      <c r="AK1292" t="s">
        <v>111</v>
      </c>
      <c r="AL1292" t="s">
        <v>111</v>
      </c>
      <c r="AM1292">
        <v>0</v>
      </c>
      <c r="AN1292">
        <v>0</v>
      </c>
      <c r="AO1292">
        <v>0</v>
      </c>
      <c r="AP1292" t="s">
        <v>111</v>
      </c>
      <c r="AQ1292" t="s">
        <v>111</v>
      </c>
      <c r="AR1292" t="s">
        <v>111</v>
      </c>
      <c r="AS1292" t="s">
        <v>111</v>
      </c>
      <c r="AT1292" t="s">
        <v>111</v>
      </c>
      <c r="AU1292" t="s">
        <v>111</v>
      </c>
      <c r="AV1292" t="s">
        <v>111</v>
      </c>
      <c r="AW1292" t="s">
        <v>111</v>
      </c>
      <c r="AX1292" t="s">
        <v>111</v>
      </c>
      <c r="AY1292" t="s">
        <v>111</v>
      </c>
      <c r="AZ1292" t="s">
        <v>111</v>
      </c>
      <c r="BA1292" t="s">
        <v>111</v>
      </c>
      <c r="BB1292" t="s">
        <v>111</v>
      </c>
      <c r="BC1292" t="s">
        <v>111</v>
      </c>
      <c r="BD1292" t="s">
        <v>111</v>
      </c>
      <c r="BE1292" t="s">
        <v>111</v>
      </c>
      <c r="BF1292" t="s">
        <v>111</v>
      </c>
      <c r="BG1292" t="s">
        <v>111</v>
      </c>
      <c r="BH1292" t="s">
        <v>111</v>
      </c>
      <c r="BI1292" t="s">
        <v>111</v>
      </c>
      <c r="BJ1292" t="s">
        <v>111</v>
      </c>
      <c r="BK1292" t="s">
        <v>111</v>
      </c>
      <c r="BL1292" t="s">
        <v>111</v>
      </c>
      <c r="BM1292" t="s">
        <v>111</v>
      </c>
      <c r="BN1292" t="s">
        <v>111</v>
      </c>
      <c r="BO1292" t="s">
        <v>111</v>
      </c>
      <c r="BP1292" t="s">
        <v>111</v>
      </c>
      <c r="BQ1292" t="s">
        <v>111</v>
      </c>
      <c r="BR1292" t="s">
        <v>111</v>
      </c>
      <c r="BS1292" t="s">
        <v>111</v>
      </c>
      <c r="BT1292" t="s">
        <v>111</v>
      </c>
      <c r="BU1292" t="s">
        <v>111</v>
      </c>
      <c r="BV1292" t="s">
        <v>111</v>
      </c>
      <c r="BW1292" t="s">
        <v>111</v>
      </c>
      <c r="BX1292" t="s">
        <v>111</v>
      </c>
      <c r="BY1292" t="s">
        <v>111</v>
      </c>
      <c r="BZ1292" t="s">
        <v>111</v>
      </c>
      <c r="CA1292" t="s">
        <v>111</v>
      </c>
      <c r="CB1292" t="s">
        <v>111</v>
      </c>
      <c r="CC1292" t="s">
        <v>111</v>
      </c>
      <c r="CD1292" t="s">
        <v>111</v>
      </c>
      <c r="CE1292" t="s">
        <v>111</v>
      </c>
      <c r="CF1292" t="s">
        <v>111</v>
      </c>
      <c r="CG1292" t="s">
        <v>111</v>
      </c>
      <c r="CH1292" t="s">
        <v>111</v>
      </c>
      <c r="CI1292" t="s">
        <v>111</v>
      </c>
      <c r="CJ1292" t="s">
        <v>111</v>
      </c>
      <c r="CK1292" t="s">
        <v>111</v>
      </c>
      <c r="CL1292" t="s">
        <v>111</v>
      </c>
      <c r="CM1292" t="s">
        <v>198</v>
      </c>
      <c r="CN1292" t="s">
        <v>113</v>
      </c>
      <c r="CO1292" t="s">
        <v>222</v>
      </c>
      <c r="CP1292" t="s">
        <v>111</v>
      </c>
      <c r="CQ1292">
        <v>0</v>
      </c>
      <c r="CR1292">
        <v>0</v>
      </c>
      <c r="CS1292">
        <v>0</v>
      </c>
      <c r="CT1292" s="1" t="s">
        <v>3727</v>
      </c>
      <c r="CU1292">
        <v>0</v>
      </c>
      <c r="CV1292" t="s">
        <v>111</v>
      </c>
      <c r="CW1292" t="s">
        <v>111</v>
      </c>
      <c r="CX1292" t="s">
        <v>111</v>
      </c>
      <c r="CY1292">
        <v>0</v>
      </c>
      <c r="CZ1292" t="s">
        <v>111</v>
      </c>
      <c r="DA1292" t="s">
        <v>111</v>
      </c>
      <c r="DB1292" t="s">
        <v>111</v>
      </c>
      <c r="DC1292" t="s">
        <v>111</v>
      </c>
    </row>
    <row r="1293" spans="1:107">
      <c r="A1293">
        <v>627</v>
      </c>
      <c r="B1293" t="s">
        <v>162</v>
      </c>
      <c r="C1293" t="s">
        <v>1828</v>
      </c>
      <c r="D1293" t="s">
        <v>3724</v>
      </c>
      <c r="E1293" t="s">
        <v>3746</v>
      </c>
      <c r="F1293" t="s">
        <v>192</v>
      </c>
      <c r="G1293" t="s">
        <v>3726</v>
      </c>
      <c r="H1293">
        <v>1</v>
      </c>
      <c r="I1293">
        <v>45.8</v>
      </c>
      <c r="J1293">
        <v>2.5</v>
      </c>
      <c r="K1293">
        <v>2.5</v>
      </c>
      <c r="L1293" t="s">
        <v>112</v>
      </c>
      <c r="M1293" t="s">
        <v>138</v>
      </c>
      <c r="N1293">
        <v>0</v>
      </c>
      <c r="O1293">
        <v>0</v>
      </c>
      <c r="P1293" t="s">
        <v>138</v>
      </c>
      <c r="Q1293">
        <v>25</v>
      </c>
      <c r="R1293">
        <v>0</v>
      </c>
      <c r="S1293">
        <v>0</v>
      </c>
      <c r="T1293">
        <v>0</v>
      </c>
      <c r="U1293" t="s">
        <v>153</v>
      </c>
      <c r="V1293">
        <v>0</v>
      </c>
      <c r="W1293">
        <v>0</v>
      </c>
      <c r="X1293">
        <v>1</v>
      </c>
      <c r="Y1293">
        <v>0</v>
      </c>
      <c r="Z1293" t="s">
        <v>111</v>
      </c>
      <c r="AA1293">
        <v>0</v>
      </c>
      <c r="AB1293" t="s">
        <v>111</v>
      </c>
      <c r="AC1293">
        <v>0</v>
      </c>
      <c r="AD1293" t="s">
        <v>111</v>
      </c>
      <c r="AE1293">
        <v>0</v>
      </c>
      <c r="AF1293">
        <v>0</v>
      </c>
      <c r="AG1293" t="s">
        <v>111</v>
      </c>
      <c r="AH1293" t="s">
        <v>111</v>
      </c>
      <c r="AI1293" t="s">
        <v>111</v>
      </c>
      <c r="AJ1293" t="s">
        <v>111</v>
      </c>
      <c r="AK1293" t="s">
        <v>111</v>
      </c>
      <c r="AL1293" t="s">
        <v>111</v>
      </c>
      <c r="AM1293">
        <v>0</v>
      </c>
      <c r="AN1293">
        <v>0</v>
      </c>
      <c r="AO1293">
        <v>0</v>
      </c>
      <c r="AP1293" t="s">
        <v>111</v>
      </c>
      <c r="AQ1293" t="s">
        <v>111</v>
      </c>
      <c r="AR1293" t="s">
        <v>111</v>
      </c>
      <c r="AS1293" t="s">
        <v>111</v>
      </c>
      <c r="AT1293" t="s">
        <v>111</v>
      </c>
      <c r="AU1293" t="s">
        <v>111</v>
      </c>
      <c r="AV1293" t="s">
        <v>111</v>
      </c>
      <c r="AW1293" t="s">
        <v>111</v>
      </c>
      <c r="AX1293" t="s">
        <v>111</v>
      </c>
      <c r="AY1293" t="s">
        <v>111</v>
      </c>
      <c r="AZ1293" t="s">
        <v>111</v>
      </c>
      <c r="BA1293" t="s">
        <v>111</v>
      </c>
      <c r="BB1293" t="s">
        <v>111</v>
      </c>
      <c r="BC1293" t="s">
        <v>111</v>
      </c>
      <c r="BD1293" t="s">
        <v>111</v>
      </c>
      <c r="BE1293" t="s">
        <v>111</v>
      </c>
      <c r="BF1293" t="s">
        <v>111</v>
      </c>
      <c r="BG1293" t="s">
        <v>111</v>
      </c>
      <c r="BH1293" t="s">
        <v>111</v>
      </c>
      <c r="BI1293" t="s">
        <v>111</v>
      </c>
      <c r="BJ1293" t="s">
        <v>111</v>
      </c>
      <c r="BK1293" t="s">
        <v>111</v>
      </c>
      <c r="BL1293" t="s">
        <v>111</v>
      </c>
      <c r="BM1293" t="s">
        <v>111</v>
      </c>
      <c r="BN1293" t="s">
        <v>111</v>
      </c>
      <c r="BO1293" t="s">
        <v>111</v>
      </c>
      <c r="BP1293" t="s">
        <v>111</v>
      </c>
      <c r="BQ1293" t="s">
        <v>111</v>
      </c>
      <c r="BR1293" t="s">
        <v>111</v>
      </c>
      <c r="BS1293" t="s">
        <v>111</v>
      </c>
      <c r="BT1293" t="s">
        <v>111</v>
      </c>
      <c r="BU1293" t="s">
        <v>111</v>
      </c>
      <c r="BV1293" t="s">
        <v>111</v>
      </c>
      <c r="BW1293" t="s">
        <v>111</v>
      </c>
      <c r="BX1293" t="s">
        <v>111</v>
      </c>
      <c r="BY1293" t="s">
        <v>111</v>
      </c>
      <c r="BZ1293" t="s">
        <v>111</v>
      </c>
      <c r="CA1293" t="s">
        <v>111</v>
      </c>
      <c r="CB1293" t="s">
        <v>111</v>
      </c>
      <c r="CC1293" t="s">
        <v>111</v>
      </c>
      <c r="CD1293" t="s">
        <v>111</v>
      </c>
      <c r="CE1293" t="s">
        <v>111</v>
      </c>
      <c r="CF1293" t="s">
        <v>111</v>
      </c>
      <c r="CG1293" t="s">
        <v>111</v>
      </c>
      <c r="CH1293" t="s">
        <v>111</v>
      </c>
      <c r="CI1293" t="s">
        <v>111</v>
      </c>
      <c r="CJ1293" t="s">
        <v>111</v>
      </c>
      <c r="CK1293" t="s">
        <v>111</v>
      </c>
      <c r="CL1293" t="s">
        <v>111</v>
      </c>
      <c r="CM1293" t="s">
        <v>198</v>
      </c>
      <c r="CN1293" t="s">
        <v>113</v>
      </c>
      <c r="CO1293" t="s">
        <v>222</v>
      </c>
      <c r="CP1293" t="s">
        <v>111</v>
      </c>
      <c r="CQ1293">
        <v>0</v>
      </c>
      <c r="CR1293">
        <v>0</v>
      </c>
      <c r="CS1293">
        <v>0</v>
      </c>
      <c r="CT1293" s="1" t="s">
        <v>3727</v>
      </c>
      <c r="CU1293">
        <v>0</v>
      </c>
      <c r="CV1293" t="s">
        <v>111</v>
      </c>
      <c r="CW1293" t="s">
        <v>111</v>
      </c>
      <c r="CX1293" t="s">
        <v>111</v>
      </c>
      <c r="CY1293">
        <v>0</v>
      </c>
      <c r="CZ1293" t="s">
        <v>111</v>
      </c>
      <c r="DA1293" t="s">
        <v>111</v>
      </c>
      <c r="DB1293" t="s">
        <v>111</v>
      </c>
      <c r="DC1293" t="s">
        <v>111</v>
      </c>
    </row>
    <row r="1294" spans="1:107">
      <c r="A1294">
        <v>626</v>
      </c>
      <c r="B1294" t="s">
        <v>162</v>
      </c>
      <c r="C1294" t="s">
        <v>1828</v>
      </c>
      <c r="D1294" t="s">
        <v>3724</v>
      </c>
      <c r="E1294" t="s">
        <v>3747</v>
      </c>
      <c r="F1294" t="s">
        <v>192</v>
      </c>
      <c r="G1294" t="s">
        <v>3726</v>
      </c>
      <c r="H1294">
        <v>1</v>
      </c>
      <c r="I1294">
        <v>45.8</v>
      </c>
      <c r="J1294">
        <v>2.5</v>
      </c>
      <c r="K1294">
        <v>2.5</v>
      </c>
      <c r="L1294" t="s">
        <v>112</v>
      </c>
      <c r="M1294" t="s">
        <v>138</v>
      </c>
      <c r="N1294">
        <v>0</v>
      </c>
      <c r="O1294">
        <v>0</v>
      </c>
      <c r="P1294" t="s">
        <v>138</v>
      </c>
      <c r="Q1294">
        <v>25</v>
      </c>
      <c r="R1294">
        <v>0</v>
      </c>
      <c r="S1294">
        <v>0</v>
      </c>
      <c r="T1294">
        <v>0</v>
      </c>
      <c r="U1294" t="s">
        <v>153</v>
      </c>
      <c r="V1294">
        <v>0</v>
      </c>
      <c r="W1294">
        <v>0</v>
      </c>
      <c r="X1294">
        <v>1</v>
      </c>
      <c r="Y1294">
        <v>0</v>
      </c>
      <c r="Z1294" t="s">
        <v>111</v>
      </c>
      <c r="AA1294">
        <v>0</v>
      </c>
      <c r="AB1294" t="s">
        <v>111</v>
      </c>
      <c r="AC1294">
        <v>0</v>
      </c>
      <c r="AD1294" t="s">
        <v>111</v>
      </c>
      <c r="AE1294">
        <v>0</v>
      </c>
      <c r="AF1294">
        <v>0</v>
      </c>
      <c r="AG1294" t="s">
        <v>111</v>
      </c>
      <c r="AH1294" t="s">
        <v>111</v>
      </c>
      <c r="AI1294" t="s">
        <v>111</v>
      </c>
      <c r="AJ1294" t="s">
        <v>111</v>
      </c>
      <c r="AK1294" t="s">
        <v>111</v>
      </c>
      <c r="AL1294" t="s">
        <v>111</v>
      </c>
      <c r="AM1294">
        <v>0</v>
      </c>
      <c r="AN1294">
        <v>0</v>
      </c>
      <c r="AO1294">
        <v>0</v>
      </c>
      <c r="AP1294" t="s">
        <v>111</v>
      </c>
      <c r="AQ1294" t="s">
        <v>111</v>
      </c>
      <c r="AR1294" t="s">
        <v>111</v>
      </c>
      <c r="AS1294" t="s">
        <v>111</v>
      </c>
      <c r="AT1294" t="s">
        <v>111</v>
      </c>
      <c r="AU1294" t="s">
        <v>111</v>
      </c>
      <c r="AV1294" t="s">
        <v>111</v>
      </c>
      <c r="AW1294" t="s">
        <v>111</v>
      </c>
      <c r="AX1294" t="s">
        <v>111</v>
      </c>
      <c r="AY1294" t="s">
        <v>111</v>
      </c>
      <c r="AZ1294" t="s">
        <v>111</v>
      </c>
      <c r="BA1294" t="s">
        <v>111</v>
      </c>
      <c r="BB1294" t="s">
        <v>111</v>
      </c>
      <c r="BC1294" t="s">
        <v>111</v>
      </c>
      <c r="BD1294" t="s">
        <v>111</v>
      </c>
      <c r="BE1294" t="s">
        <v>111</v>
      </c>
      <c r="BF1294" t="s">
        <v>111</v>
      </c>
      <c r="BG1294" t="s">
        <v>111</v>
      </c>
      <c r="BH1294" t="s">
        <v>111</v>
      </c>
      <c r="BI1294" t="s">
        <v>111</v>
      </c>
      <c r="BJ1294" t="s">
        <v>111</v>
      </c>
      <c r="BK1294" t="s">
        <v>111</v>
      </c>
      <c r="BL1294" t="s">
        <v>111</v>
      </c>
      <c r="BM1294" t="s">
        <v>111</v>
      </c>
      <c r="BN1294" t="s">
        <v>111</v>
      </c>
      <c r="BO1294" t="s">
        <v>111</v>
      </c>
      <c r="BP1294" t="s">
        <v>111</v>
      </c>
      <c r="BQ1294" t="s">
        <v>111</v>
      </c>
      <c r="BR1294" t="s">
        <v>111</v>
      </c>
      <c r="BS1294" t="s">
        <v>111</v>
      </c>
      <c r="BT1294" t="s">
        <v>111</v>
      </c>
      <c r="BU1294" t="s">
        <v>111</v>
      </c>
      <c r="BV1294" t="s">
        <v>111</v>
      </c>
      <c r="BW1294" t="s">
        <v>111</v>
      </c>
      <c r="BX1294" t="s">
        <v>111</v>
      </c>
      <c r="BY1294" t="s">
        <v>111</v>
      </c>
      <c r="BZ1294" t="s">
        <v>111</v>
      </c>
      <c r="CA1294" t="s">
        <v>111</v>
      </c>
      <c r="CB1294" t="s">
        <v>111</v>
      </c>
      <c r="CC1294" t="s">
        <v>111</v>
      </c>
      <c r="CD1294" t="s">
        <v>111</v>
      </c>
      <c r="CE1294" t="s">
        <v>111</v>
      </c>
      <c r="CF1294" t="s">
        <v>111</v>
      </c>
      <c r="CG1294" t="s">
        <v>111</v>
      </c>
      <c r="CH1294" t="s">
        <v>111</v>
      </c>
      <c r="CI1294" t="s">
        <v>111</v>
      </c>
      <c r="CJ1294" t="s">
        <v>111</v>
      </c>
      <c r="CK1294" t="s">
        <v>111</v>
      </c>
      <c r="CL1294" t="s">
        <v>111</v>
      </c>
      <c r="CM1294" t="s">
        <v>198</v>
      </c>
      <c r="CN1294" t="s">
        <v>113</v>
      </c>
      <c r="CO1294" t="s">
        <v>222</v>
      </c>
      <c r="CP1294" t="s">
        <v>111</v>
      </c>
      <c r="CQ1294">
        <v>0</v>
      </c>
      <c r="CR1294">
        <v>0</v>
      </c>
      <c r="CS1294">
        <v>0</v>
      </c>
      <c r="CT1294" s="1" t="s">
        <v>3727</v>
      </c>
      <c r="CU1294">
        <v>0</v>
      </c>
      <c r="CV1294" t="s">
        <v>111</v>
      </c>
      <c r="CW1294" t="s">
        <v>111</v>
      </c>
      <c r="CX1294" t="s">
        <v>111</v>
      </c>
      <c r="CY1294">
        <v>0</v>
      </c>
      <c r="CZ1294" t="s">
        <v>111</v>
      </c>
      <c r="DA1294" t="s">
        <v>111</v>
      </c>
      <c r="DB1294" t="s">
        <v>111</v>
      </c>
      <c r="DC1294" t="s">
        <v>111</v>
      </c>
    </row>
    <row r="1295" spans="1:107">
      <c r="A1295">
        <v>623</v>
      </c>
      <c r="B1295" t="s">
        <v>162</v>
      </c>
      <c r="C1295" t="s">
        <v>1828</v>
      </c>
      <c r="D1295" t="s">
        <v>3724</v>
      </c>
      <c r="E1295" t="s">
        <v>3748</v>
      </c>
      <c r="F1295" t="s">
        <v>192</v>
      </c>
      <c r="G1295" t="s">
        <v>3726</v>
      </c>
      <c r="H1295">
        <v>1</v>
      </c>
      <c r="I1295">
        <v>45.8</v>
      </c>
      <c r="J1295">
        <v>2.5</v>
      </c>
      <c r="K1295">
        <v>2.5</v>
      </c>
      <c r="L1295" t="s">
        <v>112</v>
      </c>
      <c r="M1295" t="s">
        <v>138</v>
      </c>
      <c r="N1295">
        <v>0</v>
      </c>
      <c r="O1295">
        <v>0</v>
      </c>
      <c r="P1295" t="s">
        <v>138</v>
      </c>
      <c r="Q1295">
        <v>25</v>
      </c>
      <c r="R1295">
        <v>0</v>
      </c>
      <c r="S1295">
        <v>0</v>
      </c>
      <c r="T1295">
        <v>0</v>
      </c>
      <c r="U1295" t="s">
        <v>153</v>
      </c>
      <c r="V1295">
        <v>0</v>
      </c>
      <c r="W1295">
        <v>0</v>
      </c>
      <c r="X1295">
        <v>1</v>
      </c>
      <c r="Y1295">
        <v>0</v>
      </c>
      <c r="Z1295" t="s">
        <v>111</v>
      </c>
      <c r="AA1295">
        <v>0</v>
      </c>
      <c r="AB1295" t="s">
        <v>111</v>
      </c>
      <c r="AC1295">
        <v>0</v>
      </c>
      <c r="AD1295" t="s">
        <v>111</v>
      </c>
      <c r="AE1295">
        <v>0</v>
      </c>
      <c r="AF1295">
        <v>0</v>
      </c>
      <c r="AG1295" t="s">
        <v>111</v>
      </c>
      <c r="AH1295" t="s">
        <v>111</v>
      </c>
      <c r="AI1295" t="s">
        <v>111</v>
      </c>
      <c r="AJ1295" t="s">
        <v>111</v>
      </c>
      <c r="AK1295" t="s">
        <v>111</v>
      </c>
      <c r="AL1295" t="s">
        <v>111</v>
      </c>
      <c r="AM1295">
        <v>0</v>
      </c>
      <c r="AN1295">
        <v>0</v>
      </c>
      <c r="AO1295">
        <v>0</v>
      </c>
      <c r="AP1295" t="s">
        <v>111</v>
      </c>
      <c r="AQ1295" t="s">
        <v>111</v>
      </c>
      <c r="AR1295" t="s">
        <v>111</v>
      </c>
      <c r="AS1295" t="s">
        <v>111</v>
      </c>
      <c r="AT1295" t="s">
        <v>111</v>
      </c>
      <c r="AU1295" t="s">
        <v>111</v>
      </c>
      <c r="AV1295" t="s">
        <v>111</v>
      </c>
      <c r="AW1295" t="s">
        <v>111</v>
      </c>
      <c r="AX1295" t="s">
        <v>111</v>
      </c>
      <c r="AY1295" t="s">
        <v>111</v>
      </c>
      <c r="AZ1295" t="s">
        <v>111</v>
      </c>
      <c r="BA1295" t="s">
        <v>111</v>
      </c>
      <c r="BB1295" t="s">
        <v>111</v>
      </c>
      <c r="BC1295" t="s">
        <v>111</v>
      </c>
      <c r="BD1295" t="s">
        <v>111</v>
      </c>
      <c r="BE1295" t="s">
        <v>111</v>
      </c>
      <c r="BF1295" t="s">
        <v>111</v>
      </c>
      <c r="BG1295" t="s">
        <v>111</v>
      </c>
      <c r="BH1295" t="s">
        <v>111</v>
      </c>
      <c r="BI1295" t="s">
        <v>111</v>
      </c>
      <c r="BJ1295" t="s">
        <v>111</v>
      </c>
      <c r="BK1295" t="s">
        <v>111</v>
      </c>
      <c r="BL1295" t="s">
        <v>111</v>
      </c>
      <c r="BM1295" t="s">
        <v>111</v>
      </c>
      <c r="BN1295" t="s">
        <v>111</v>
      </c>
      <c r="BO1295" t="s">
        <v>111</v>
      </c>
      <c r="BP1295" t="s">
        <v>111</v>
      </c>
      <c r="BQ1295" t="s">
        <v>111</v>
      </c>
      <c r="BR1295" t="s">
        <v>111</v>
      </c>
      <c r="BS1295" t="s">
        <v>111</v>
      </c>
      <c r="BT1295" t="s">
        <v>111</v>
      </c>
      <c r="BU1295" t="s">
        <v>111</v>
      </c>
      <c r="BV1295" t="s">
        <v>111</v>
      </c>
      <c r="BW1295" t="s">
        <v>111</v>
      </c>
      <c r="BX1295" t="s">
        <v>111</v>
      </c>
      <c r="BY1295" t="s">
        <v>111</v>
      </c>
      <c r="BZ1295" t="s">
        <v>111</v>
      </c>
      <c r="CA1295" t="s">
        <v>111</v>
      </c>
      <c r="CB1295" t="s">
        <v>111</v>
      </c>
      <c r="CC1295" t="s">
        <v>111</v>
      </c>
      <c r="CD1295" t="s">
        <v>111</v>
      </c>
      <c r="CE1295" t="s">
        <v>111</v>
      </c>
      <c r="CF1295" t="s">
        <v>111</v>
      </c>
      <c r="CG1295" t="s">
        <v>111</v>
      </c>
      <c r="CH1295" t="s">
        <v>111</v>
      </c>
      <c r="CI1295" t="s">
        <v>111</v>
      </c>
      <c r="CJ1295" t="s">
        <v>111</v>
      </c>
      <c r="CK1295" t="s">
        <v>111</v>
      </c>
      <c r="CL1295" t="s">
        <v>111</v>
      </c>
      <c r="CM1295" t="s">
        <v>198</v>
      </c>
      <c r="CN1295" t="s">
        <v>113</v>
      </c>
      <c r="CO1295" t="s">
        <v>222</v>
      </c>
      <c r="CP1295" t="s">
        <v>111</v>
      </c>
      <c r="CQ1295">
        <v>0</v>
      </c>
      <c r="CR1295">
        <v>0</v>
      </c>
      <c r="CS1295">
        <v>0</v>
      </c>
      <c r="CT1295" s="1" t="s">
        <v>3727</v>
      </c>
      <c r="CU1295">
        <v>0</v>
      </c>
      <c r="CV1295" t="s">
        <v>111</v>
      </c>
      <c r="CW1295" t="s">
        <v>111</v>
      </c>
      <c r="CX1295" t="s">
        <v>111</v>
      </c>
      <c r="CY1295">
        <v>0</v>
      </c>
      <c r="CZ1295" t="s">
        <v>111</v>
      </c>
      <c r="DA1295" t="s">
        <v>111</v>
      </c>
      <c r="DB1295" t="s">
        <v>111</v>
      </c>
      <c r="DC1295" t="s">
        <v>111</v>
      </c>
    </row>
    <row r="1296" spans="1:107">
      <c r="A1296">
        <v>624</v>
      </c>
      <c r="B1296" t="s">
        <v>162</v>
      </c>
      <c r="C1296" t="s">
        <v>1828</v>
      </c>
      <c r="D1296" t="s">
        <v>3724</v>
      </c>
      <c r="E1296" t="s">
        <v>3749</v>
      </c>
      <c r="F1296" t="s">
        <v>192</v>
      </c>
      <c r="G1296" t="s">
        <v>3726</v>
      </c>
      <c r="H1296">
        <v>1</v>
      </c>
      <c r="I1296">
        <v>45.8</v>
      </c>
      <c r="J1296">
        <v>2.5</v>
      </c>
      <c r="K1296">
        <v>2.5</v>
      </c>
      <c r="L1296" t="s">
        <v>112</v>
      </c>
      <c r="M1296" t="s">
        <v>138</v>
      </c>
      <c r="N1296">
        <v>0</v>
      </c>
      <c r="O1296">
        <v>0</v>
      </c>
      <c r="P1296" t="s">
        <v>138</v>
      </c>
      <c r="Q1296">
        <v>25</v>
      </c>
      <c r="R1296">
        <v>0</v>
      </c>
      <c r="S1296">
        <v>0</v>
      </c>
      <c r="T1296">
        <v>0</v>
      </c>
      <c r="U1296" t="s">
        <v>153</v>
      </c>
      <c r="V1296">
        <v>0</v>
      </c>
      <c r="W1296">
        <v>0</v>
      </c>
      <c r="X1296">
        <v>1</v>
      </c>
      <c r="Y1296">
        <v>0</v>
      </c>
      <c r="Z1296" t="s">
        <v>111</v>
      </c>
      <c r="AA1296">
        <v>0</v>
      </c>
      <c r="AB1296" t="s">
        <v>111</v>
      </c>
      <c r="AC1296">
        <v>0</v>
      </c>
      <c r="AD1296" t="s">
        <v>111</v>
      </c>
      <c r="AE1296">
        <v>0</v>
      </c>
      <c r="AF1296">
        <v>0</v>
      </c>
      <c r="AG1296" t="s">
        <v>111</v>
      </c>
      <c r="AH1296" t="s">
        <v>111</v>
      </c>
      <c r="AI1296" t="s">
        <v>111</v>
      </c>
      <c r="AJ1296" t="s">
        <v>111</v>
      </c>
      <c r="AK1296" t="s">
        <v>111</v>
      </c>
      <c r="AL1296" t="s">
        <v>111</v>
      </c>
      <c r="AM1296">
        <v>0</v>
      </c>
      <c r="AN1296">
        <v>0</v>
      </c>
      <c r="AO1296">
        <v>0</v>
      </c>
      <c r="AP1296" t="s">
        <v>111</v>
      </c>
      <c r="AQ1296" t="s">
        <v>111</v>
      </c>
      <c r="AR1296" t="s">
        <v>111</v>
      </c>
      <c r="AS1296" t="s">
        <v>111</v>
      </c>
      <c r="AT1296" t="s">
        <v>111</v>
      </c>
      <c r="AU1296" t="s">
        <v>111</v>
      </c>
      <c r="AV1296" t="s">
        <v>111</v>
      </c>
      <c r="AW1296" t="s">
        <v>111</v>
      </c>
      <c r="AX1296" t="s">
        <v>111</v>
      </c>
      <c r="AY1296" t="s">
        <v>111</v>
      </c>
      <c r="AZ1296" t="s">
        <v>111</v>
      </c>
      <c r="BA1296" t="s">
        <v>111</v>
      </c>
      <c r="BB1296" t="s">
        <v>111</v>
      </c>
      <c r="BC1296" t="s">
        <v>111</v>
      </c>
      <c r="BD1296" t="s">
        <v>111</v>
      </c>
      <c r="BE1296" t="s">
        <v>111</v>
      </c>
      <c r="BF1296" t="s">
        <v>111</v>
      </c>
      <c r="BG1296" t="s">
        <v>111</v>
      </c>
      <c r="BH1296" t="s">
        <v>111</v>
      </c>
      <c r="BI1296" t="s">
        <v>111</v>
      </c>
      <c r="BJ1296" t="s">
        <v>111</v>
      </c>
      <c r="BK1296" t="s">
        <v>111</v>
      </c>
      <c r="BL1296" t="s">
        <v>111</v>
      </c>
      <c r="BM1296" t="s">
        <v>111</v>
      </c>
      <c r="BN1296" t="s">
        <v>111</v>
      </c>
      <c r="BO1296" t="s">
        <v>111</v>
      </c>
      <c r="BP1296" t="s">
        <v>111</v>
      </c>
      <c r="BQ1296" t="s">
        <v>111</v>
      </c>
      <c r="BR1296" t="s">
        <v>111</v>
      </c>
      <c r="BS1296" t="s">
        <v>111</v>
      </c>
      <c r="BT1296" t="s">
        <v>111</v>
      </c>
      <c r="BU1296" t="s">
        <v>111</v>
      </c>
      <c r="BV1296" t="s">
        <v>111</v>
      </c>
      <c r="BW1296" t="s">
        <v>111</v>
      </c>
      <c r="BX1296" t="s">
        <v>111</v>
      </c>
      <c r="BY1296" t="s">
        <v>111</v>
      </c>
      <c r="BZ1296" t="s">
        <v>111</v>
      </c>
      <c r="CA1296" t="s">
        <v>111</v>
      </c>
      <c r="CB1296" t="s">
        <v>111</v>
      </c>
      <c r="CC1296" t="s">
        <v>111</v>
      </c>
      <c r="CD1296" t="s">
        <v>111</v>
      </c>
      <c r="CE1296" t="s">
        <v>111</v>
      </c>
      <c r="CF1296" t="s">
        <v>111</v>
      </c>
      <c r="CG1296" t="s">
        <v>111</v>
      </c>
      <c r="CH1296" t="s">
        <v>111</v>
      </c>
      <c r="CI1296" t="s">
        <v>111</v>
      </c>
      <c r="CJ1296" t="s">
        <v>111</v>
      </c>
      <c r="CK1296" t="s">
        <v>111</v>
      </c>
      <c r="CL1296" t="s">
        <v>111</v>
      </c>
      <c r="CM1296" t="s">
        <v>198</v>
      </c>
      <c r="CN1296" t="s">
        <v>113</v>
      </c>
      <c r="CO1296" t="s">
        <v>222</v>
      </c>
      <c r="CP1296" t="s">
        <v>111</v>
      </c>
      <c r="CQ1296">
        <v>0</v>
      </c>
      <c r="CR1296">
        <v>0</v>
      </c>
      <c r="CS1296">
        <v>0</v>
      </c>
      <c r="CT1296" s="1" t="s">
        <v>3727</v>
      </c>
      <c r="CU1296">
        <v>0</v>
      </c>
      <c r="CV1296" t="s">
        <v>111</v>
      </c>
      <c r="CW1296" t="s">
        <v>111</v>
      </c>
      <c r="CX1296" t="s">
        <v>111</v>
      </c>
      <c r="CY1296">
        <v>0</v>
      </c>
      <c r="CZ1296" t="s">
        <v>111</v>
      </c>
      <c r="DA1296" t="s">
        <v>111</v>
      </c>
      <c r="DB1296" t="s">
        <v>111</v>
      </c>
      <c r="DC1296" t="s">
        <v>111</v>
      </c>
    </row>
    <row r="1297" spans="1:107">
      <c r="A1297">
        <v>619</v>
      </c>
      <c r="B1297" t="s">
        <v>162</v>
      </c>
      <c r="C1297" t="s">
        <v>1828</v>
      </c>
      <c r="D1297" t="s">
        <v>3724</v>
      </c>
      <c r="E1297" t="s">
        <v>3750</v>
      </c>
      <c r="F1297" t="s">
        <v>192</v>
      </c>
      <c r="G1297" t="s">
        <v>3726</v>
      </c>
      <c r="H1297">
        <v>1</v>
      </c>
      <c r="I1297">
        <v>45.8</v>
      </c>
      <c r="J1297">
        <v>2.5</v>
      </c>
      <c r="K1297">
        <v>2.5</v>
      </c>
      <c r="L1297" t="s">
        <v>112</v>
      </c>
      <c r="M1297" t="s">
        <v>138</v>
      </c>
      <c r="N1297">
        <v>0</v>
      </c>
      <c r="O1297">
        <v>0</v>
      </c>
      <c r="P1297" t="s">
        <v>138</v>
      </c>
      <c r="Q1297">
        <v>25</v>
      </c>
      <c r="R1297">
        <v>0</v>
      </c>
      <c r="S1297">
        <v>0</v>
      </c>
      <c r="T1297">
        <v>0</v>
      </c>
      <c r="U1297" t="s">
        <v>153</v>
      </c>
      <c r="V1297">
        <v>0</v>
      </c>
      <c r="W1297">
        <v>0</v>
      </c>
      <c r="X1297">
        <v>1</v>
      </c>
      <c r="Y1297">
        <v>0</v>
      </c>
      <c r="Z1297" t="s">
        <v>111</v>
      </c>
      <c r="AA1297">
        <v>0</v>
      </c>
      <c r="AB1297" t="s">
        <v>111</v>
      </c>
      <c r="AC1297">
        <v>0</v>
      </c>
      <c r="AD1297" t="s">
        <v>111</v>
      </c>
      <c r="AE1297">
        <v>0</v>
      </c>
      <c r="AF1297">
        <v>0</v>
      </c>
      <c r="AG1297" t="s">
        <v>111</v>
      </c>
      <c r="AH1297" t="s">
        <v>111</v>
      </c>
      <c r="AI1297" t="s">
        <v>111</v>
      </c>
      <c r="AJ1297" t="s">
        <v>111</v>
      </c>
      <c r="AK1297" t="s">
        <v>111</v>
      </c>
      <c r="AL1297" t="s">
        <v>111</v>
      </c>
      <c r="AM1297">
        <v>0</v>
      </c>
      <c r="AN1297">
        <v>0</v>
      </c>
      <c r="AO1297">
        <v>0</v>
      </c>
      <c r="AP1297" t="s">
        <v>111</v>
      </c>
      <c r="AQ1297" t="s">
        <v>111</v>
      </c>
      <c r="AR1297" t="s">
        <v>111</v>
      </c>
      <c r="AS1297" t="s">
        <v>111</v>
      </c>
      <c r="AT1297" t="s">
        <v>111</v>
      </c>
      <c r="AU1297" t="s">
        <v>111</v>
      </c>
      <c r="AV1297" t="s">
        <v>111</v>
      </c>
      <c r="AW1297" t="s">
        <v>111</v>
      </c>
      <c r="AX1297" t="s">
        <v>111</v>
      </c>
      <c r="AY1297" t="s">
        <v>111</v>
      </c>
      <c r="AZ1297" t="s">
        <v>111</v>
      </c>
      <c r="BA1297" t="s">
        <v>111</v>
      </c>
      <c r="BB1297" t="s">
        <v>111</v>
      </c>
      <c r="BC1297" t="s">
        <v>111</v>
      </c>
      <c r="BD1297" t="s">
        <v>111</v>
      </c>
      <c r="BE1297" t="s">
        <v>111</v>
      </c>
      <c r="BF1297" t="s">
        <v>111</v>
      </c>
      <c r="BG1297" t="s">
        <v>111</v>
      </c>
      <c r="BH1297" t="s">
        <v>111</v>
      </c>
      <c r="BI1297" t="s">
        <v>111</v>
      </c>
      <c r="BJ1297" t="s">
        <v>111</v>
      </c>
      <c r="BK1297" t="s">
        <v>111</v>
      </c>
      <c r="BL1297" t="s">
        <v>111</v>
      </c>
      <c r="BM1297" t="s">
        <v>111</v>
      </c>
      <c r="BN1297" t="s">
        <v>111</v>
      </c>
      <c r="BO1297" t="s">
        <v>111</v>
      </c>
      <c r="BP1297" t="s">
        <v>111</v>
      </c>
      <c r="BQ1297" t="s">
        <v>111</v>
      </c>
      <c r="BR1297" t="s">
        <v>111</v>
      </c>
      <c r="BS1297" t="s">
        <v>111</v>
      </c>
      <c r="BT1297" t="s">
        <v>111</v>
      </c>
      <c r="BU1297" t="s">
        <v>111</v>
      </c>
      <c r="BV1297" t="s">
        <v>111</v>
      </c>
      <c r="BW1297" t="s">
        <v>111</v>
      </c>
      <c r="BX1297" t="s">
        <v>111</v>
      </c>
      <c r="BY1297" t="s">
        <v>111</v>
      </c>
      <c r="BZ1297" t="s">
        <v>111</v>
      </c>
      <c r="CA1297" t="s">
        <v>111</v>
      </c>
      <c r="CB1297" t="s">
        <v>111</v>
      </c>
      <c r="CC1297" t="s">
        <v>111</v>
      </c>
      <c r="CD1297" t="s">
        <v>111</v>
      </c>
      <c r="CE1297" t="s">
        <v>111</v>
      </c>
      <c r="CF1297" t="s">
        <v>111</v>
      </c>
      <c r="CG1297" t="s">
        <v>111</v>
      </c>
      <c r="CH1297" t="s">
        <v>111</v>
      </c>
      <c r="CI1297" t="s">
        <v>111</v>
      </c>
      <c r="CJ1297" t="s">
        <v>111</v>
      </c>
      <c r="CK1297" t="s">
        <v>111</v>
      </c>
      <c r="CL1297" t="s">
        <v>111</v>
      </c>
      <c r="CM1297" t="s">
        <v>198</v>
      </c>
      <c r="CN1297" t="s">
        <v>113</v>
      </c>
      <c r="CO1297" t="s">
        <v>222</v>
      </c>
      <c r="CP1297" t="s">
        <v>111</v>
      </c>
      <c r="CQ1297">
        <v>0</v>
      </c>
      <c r="CR1297">
        <v>0</v>
      </c>
      <c r="CS1297">
        <v>0</v>
      </c>
      <c r="CT1297" s="1" t="s">
        <v>3727</v>
      </c>
      <c r="CU1297">
        <v>0</v>
      </c>
      <c r="CV1297" t="s">
        <v>111</v>
      </c>
      <c r="CW1297" t="s">
        <v>111</v>
      </c>
      <c r="CX1297" t="s">
        <v>111</v>
      </c>
      <c r="CY1297">
        <v>0</v>
      </c>
      <c r="CZ1297" t="s">
        <v>111</v>
      </c>
      <c r="DA1297" t="s">
        <v>111</v>
      </c>
      <c r="DB1297" t="s">
        <v>111</v>
      </c>
      <c r="DC1297" t="s">
        <v>111</v>
      </c>
    </row>
    <row r="1298" spans="1:107">
      <c r="A1298">
        <v>595</v>
      </c>
      <c r="B1298" t="s">
        <v>162</v>
      </c>
      <c r="C1298" t="s">
        <v>1828</v>
      </c>
      <c r="D1298" t="s">
        <v>3724</v>
      </c>
      <c r="E1298" t="s">
        <v>3751</v>
      </c>
      <c r="F1298" t="s">
        <v>192</v>
      </c>
      <c r="G1298" t="s">
        <v>3726</v>
      </c>
      <c r="H1298">
        <v>1</v>
      </c>
      <c r="I1298">
        <v>45.8</v>
      </c>
      <c r="J1298">
        <v>2.5</v>
      </c>
      <c r="K1298">
        <v>2.5</v>
      </c>
      <c r="L1298" t="s">
        <v>112</v>
      </c>
      <c r="M1298" t="s">
        <v>138</v>
      </c>
      <c r="N1298">
        <v>0</v>
      </c>
      <c r="O1298">
        <v>0</v>
      </c>
      <c r="P1298" t="s">
        <v>138</v>
      </c>
      <c r="Q1298">
        <v>25</v>
      </c>
      <c r="R1298">
        <v>0</v>
      </c>
      <c r="S1298">
        <v>0</v>
      </c>
      <c r="T1298">
        <v>0</v>
      </c>
      <c r="U1298" t="s">
        <v>153</v>
      </c>
      <c r="V1298">
        <v>0</v>
      </c>
      <c r="W1298">
        <v>0</v>
      </c>
      <c r="X1298">
        <v>1</v>
      </c>
      <c r="Y1298">
        <v>0</v>
      </c>
      <c r="Z1298" t="s">
        <v>111</v>
      </c>
      <c r="AA1298">
        <v>0</v>
      </c>
      <c r="AB1298" t="s">
        <v>111</v>
      </c>
      <c r="AC1298">
        <v>0</v>
      </c>
      <c r="AD1298" t="s">
        <v>111</v>
      </c>
      <c r="AE1298">
        <v>0</v>
      </c>
      <c r="AF1298">
        <v>0</v>
      </c>
      <c r="AG1298" t="s">
        <v>111</v>
      </c>
      <c r="AH1298" t="s">
        <v>111</v>
      </c>
      <c r="AI1298" t="s">
        <v>111</v>
      </c>
      <c r="AJ1298" t="s">
        <v>111</v>
      </c>
      <c r="AK1298" t="s">
        <v>111</v>
      </c>
      <c r="AL1298" t="s">
        <v>111</v>
      </c>
      <c r="AM1298">
        <v>0</v>
      </c>
      <c r="AN1298">
        <v>0</v>
      </c>
      <c r="AO1298">
        <v>0</v>
      </c>
      <c r="AP1298" t="s">
        <v>111</v>
      </c>
      <c r="AQ1298" t="s">
        <v>111</v>
      </c>
      <c r="AR1298" t="s">
        <v>111</v>
      </c>
      <c r="AS1298" t="s">
        <v>111</v>
      </c>
      <c r="AT1298" t="s">
        <v>111</v>
      </c>
      <c r="AU1298" t="s">
        <v>111</v>
      </c>
      <c r="AV1298" t="s">
        <v>111</v>
      </c>
      <c r="AW1298" t="s">
        <v>111</v>
      </c>
      <c r="AX1298" t="s">
        <v>111</v>
      </c>
      <c r="AY1298" t="s">
        <v>111</v>
      </c>
      <c r="AZ1298" t="s">
        <v>111</v>
      </c>
      <c r="BA1298" t="s">
        <v>111</v>
      </c>
      <c r="BB1298" t="s">
        <v>111</v>
      </c>
      <c r="BC1298" t="s">
        <v>111</v>
      </c>
      <c r="BD1298" t="s">
        <v>111</v>
      </c>
      <c r="BE1298" t="s">
        <v>111</v>
      </c>
      <c r="BF1298" t="s">
        <v>111</v>
      </c>
      <c r="BG1298" t="s">
        <v>111</v>
      </c>
      <c r="BH1298" t="s">
        <v>111</v>
      </c>
      <c r="BI1298" t="s">
        <v>111</v>
      </c>
      <c r="BJ1298" t="s">
        <v>111</v>
      </c>
      <c r="BK1298" t="s">
        <v>111</v>
      </c>
      <c r="BL1298" t="s">
        <v>111</v>
      </c>
      <c r="BM1298" t="s">
        <v>111</v>
      </c>
      <c r="BN1298" t="s">
        <v>111</v>
      </c>
      <c r="BO1298" t="s">
        <v>111</v>
      </c>
      <c r="BP1298" t="s">
        <v>111</v>
      </c>
      <c r="BQ1298" t="s">
        <v>111</v>
      </c>
      <c r="BR1298" t="s">
        <v>111</v>
      </c>
      <c r="BS1298" t="s">
        <v>111</v>
      </c>
      <c r="BT1298" t="s">
        <v>111</v>
      </c>
      <c r="BU1298" t="s">
        <v>111</v>
      </c>
      <c r="BV1298" t="s">
        <v>111</v>
      </c>
      <c r="BW1298" t="s">
        <v>111</v>
      </c>
      <c r="BX1298" t="s">
        <v>111</v>
      </c>
      <c r="BY1298" t="s">
        <v>111</v>
      </c>
      <c r="BZ1298" t="s">
        <v>111</v>
      </c>
      <c r="CA1298" t="s">
        <v>111</v>
      </c>
      <c r="CB1298" t="s">
        <v>111</v>
      </c>
      <c r="CC1298" t="s">
        <v>111</v>
      </c>
      <c r="CD1298" t="s">
        <v>111</v>
      </c>
      <c r="CE1298" t="s">
        <v>111</v>
      </c>
      <c r="CF1298" t="s">
        <v>111</v>
      </c>
      <c r="CG1298" t="s">
        <v>111</v>
      </c>
      <c r="CH1298" t="s">
        <v>111</v>
      </c>
      <c r="CI1298" t="s">
        <v>111</v>
      </c>
      <c r="CJ1298" t="s">
        <v>111</v>
      </c>
      <c r="CK1298" t="s">
        <v>111</v>
      </c>
      <c r="CL1298" t="s">
        <v>111</v>
      </c>
      <c r="CM1298" t="s">
        <v>198</v>
      </c>
      <c r="CN1298" t="s">
        <v>113</v>
      </c>
      <c r="CO1298" t="s">
        <v>637</v>
      </c>
      <c r="CP1298" t="s">
        <v>111</v>
      </c>
      <c r="CQ1298">
        <v>0</v>
      </c>
      <c r="CR1298">
        <v>0</v>
      </c>
      <c r="CS1298">
        <v>0</v>
      </c>
      <c r="CT1298" s="1" t="s">
        <v>3727</v>
      </c>
      <c r="CU1298">
        <v>0</v>
      </c>
      <c r="CV1298" t="s">
        <v>111</v>
      </c>
      <c r="CW1298" t="s">
        <v>111</v>
      </c>
      <c r="CX1298" t="s">
        <v>111</v>
      </c>
      <c r="CY1298">
        <v>0</v>
      </c>
      <c r="CZ1298" t="s">
        <v>111</v>
      </c>
      <c r="DA1298" t="s">
        <v>111</v>
      </c>
      <c r="DB1298" t="s">
        <v>111</v>
      </c>
      <c r="DC1298" t="s">
        <v>111</v>
      </c>
    </row>
    <row r="1299" spans="1:107">
      <c r="A1299">
        <v>585</v>
      </c>
      <c r="B1299" t="s">
        <v>162</v>
      </c>
      <c r="C1299" t="s">
        <v>681</v>
      </c>
      <c r="D1299" t="s">
        <v>3752</v>
      </c>
      <c r="E1299" t="s">
        <v>3753</v>
      </c>
      <c r="F1299" t="s">
        <v>684</v>
      </c>
      <c r="G1299" t="s">
        <v>3726</v>
      </c>
      <c r="H1299">
        <v>0.45</v>
      </c>
      <c r="I1299">
        <v>50</v>
      </c>
      <c r="J1299">
        <v>0</v>
      </c>
      <c r="K1299">
        <v>0</v>
      </c>
      <c r="L1299" t="s">
        <v>112</v>
      </c>
      <c r="M1299" t="s">
        <v>138</v>
      </c>
      <c r="N1299">
        <v>0</v>
      </c>
      <c r="O1299">
        <v>0</v>
      </c>
      <c r="P1299" t="s">
        <v>138</v>
      </c>
      <c r="Q1299">
        <v>30</v>
      </c>
      <c r="R1299">
        <v>0</v>
      </c>
      <c r="S1299">
        <v>0</v>
      </c>
      <c r="T1299">
        <v>0</v>
      </c>
      <c r="U1299" t="s">
        <v>419</v>
      </c>
      <c r="V1299">
        <v>25</v>
      </c>
      <c r="W1299">
        <v>0</v>
      </c>
      <c r="X1299">
        <v>6</v>
      </c>
      <c r="Y1299">
        <v>0</v>
      </c>
      <c r="Z1299" t="s">
        <v>111</v>
      </c>
      <c r="AA1299">
        <v>0</v>
      </c>
      <c r="AB1299" t="s">
        <v>111</v>
      </c>
      <c r="AC1299">
        <v>0</v>
      </c>
      <c r="AD1299" t="s">
        <v>111</v>
      </c>
      <c r="AE1299">
        <v>0</v>
      </c>
      <c r="AF1299">
        <v>0</v>
      </c>
      <c r="AG1299" t="s">
        <v>111</v>
      </c>
      <c r="AH1299" t="s">
        <v>111</v>
      </c>
      <c r="AI1299" t="s">
        <v>111</v>
      </c>
      <c r="AJ1299" t="s">
        <v>111</v>
      </c>
      <c r="AK1299" t="s">
        <v>111</v>
      </c>
      <c r="AL1299" t="s">
        <v>111</v>
      </c>
      <c r="AM1299">
        <v>0</v>
      </c>
      <c r="AN1299">
        <v>0</v>
      </c>
      <c r="AO1299">
        <v>0</v>
      </c>
      <c r="AP1299" t="s">
        <v>111</v>
      </c>
      <c r="AQ1299" t="s">
        <v>111</v>
      </c>
      <c r="AR1299" t="s">
        <v>111</v>
      </c>
      <c r="AS1299" t="s">
        <v>111</v>
      </c>
      <c r="AT1299" t="s">
        <v>111</v>
      </c>
      <c r="AU1299" t="s">
        <v>111</v>
      </c>
      <c r="AV1299" t="s">
        <v>111</v>
      </c>
      <c r="AW1299" t="s">
        <v>111</v>
      </c>
      <c r="AX1299" t="s">
        <v>111</v>
      </c>
      <c r="AY1299" t="s">
        <v>111</v>
      </c>
      <c r="AZ1299" t="s">
        <v>111</v>
      </c>
      <c r="BA1299" t="s">
        <v>111</v>
      </c>
      <c r="BB1299" t="s">
        <v>111</v>
      </c>
      <c r="BC1299" t="s">
        <v>111</v>
      </c>
      <c r="BD1299" t="s">
        <v>111</v>
      </c>
      <c r="BE1299" t="s">
        <v>111</v>
      </c>
      <c r="BF1299" t="s">
        <v>111</v>
      </c>
      <c r="BG1299" t="s">
        <v>111</v>
      </c>
      <c r="BH1299" t="s">
        <v>111</v>
      </c>
      <c r="BI1299" t="s">
        <v>111</v>
      </c>
      <c r="BJ1299" t="s">
        <v>111</v>
      </c>
      <c r="BK1299" t="s">
        <v>111</v>
      </c>
      <c r="BL1299" t="s">
        <v>111</v>
      </c>
      <c r="BM1299" t="s">
        <v>111</v>
      </c>
      <c r="BN1299" t="s">
        <v>111</v>
      </c>
      <c r="BO1299" t="s">
        <v>111</v>
      </c>
      <c r="BP1299" t="s">
        <v>111</v>
      </c>
      <c r="BQ1299" t="s">
        <v>111</v>
      </c>
      <c r="BR1299" t="s">
        <v>111</v>
      </c>
      <c r="BS1299" t="s">
        <v>111</v>
      </c>
      <c r="BT1299" t="s">
        <v>111</v>
      </c>
      <c r="BU1299" t="s">
        <v>111</v>
      </c>
      <c r="BV1299" t="s">
        <v>111</v>
      </c>
      <c r="BW1299" t="s">
        <v>111</v>
      </c>
      <c r="BX1299" t="s">
        <v>111</v>
      </c>
      <c r="BY1299" t="s">
        <v>111</v>
      </c>
      <c r="BZ1299" t="s">
        <v>111</v>
      </c>
      <c r="CA1299" t="s">
        <v>111</v>
      </c>
      <c r="CB1299" t="s">
        <v>111</v>
      </c>
      <c r="CC1299" t="s">
        <v>111</v>
      </c>
      <c r="CD1299" t="s">
        <v>111</v>
      </c>
      <c r="CE1299" t="s">
        <v>111</v>
      </c>
      <c r="CF1299" t="s">
        <v>111</v>
      </c>
      <c r="CG1299" t="s">
        <v>111</v>
      </c>
      <c r="CH1299" t="s">
        <v>111</v>
      </c>
      <c r="CI1299" t="s">
        <v>111</v>
      </c>
      <c r="CJ1299" t="s">
        <v>111</v>
      </c>
      <c r="CK1299" t="s">
        <v>111</v>
      </c>
      <c r="CL1299" t="s">
        <v>111</v>
      </c>
      <c r="CM1299" t="s">
        <v>111</v>
      </c>
      <c r="CN1299" t="s">
        <v>111</v>
      </c>
      <c r="CO1299" t="s">
        <v>111</v>
      </c>
      <c r="CP1299" t="s">
        <v>111</v>
      </c>
      <c r="CQ1299">
        <v>0</v>
      </c>
      <c r="CR1299">
        <v>1500</v>
      </c>
      <c r="CS1299">
        <v>100</v>
      </c>
      <c r="CT1299" t="s">
        <v>111</v>
      </c>
      <c r="CU1299">
        <v>0</v>
      </c>
      <c r="CV1299" t="s">
        <v>111</v>
      </c>
      <c r="CW1299" t="s">
        <v>111</v>
      </c>
      <c r="CX1299" t="s">
        <v>111</v>
      </c>
      <c r="CY1299">
        <v>0</v>
      </c>
      <c r="CZ1299" t="s">
        <v>111</v>
      </c>
      <c r="DA1299" t="s">
        <v>111</v>
      </c>
      <c r="DB1299" t="s">
        <v>204</v>
      </c>
      <c r="DC1299" s="1" t="s">
        <v>804</v>
      </c>
    </row>
    <row r="1300" spans="1:107">
      <c r="A1300">
        <v>609</v>
      </c>
      <c r="B1300" t="s">
        <v>162</v>
      </c>
      <c r="C1300" t="s">
        <v>1828</v>
      </c>
      <c r="D1300" t="s">
        <v>3724</v>
      </c>
      <c r="E1300" t="s">
        <v>3754</v>
      </c>
      <c r="F1300" t="s">
        <v>192</v>
      </c>
      <c r="G1300" t="s">
        <v>3726</v>
      </c>
      <c r="H1300">
        <v>1</v>
      </c>
      <c r="I1300">
        <v>45.8</v>
      </c>
      <c r="J1300">
        <v>0</v>
      </c>
      <c r="K1300">
        <v>0</v>
      </c>
      <c r="L1300" t="s">
        <v>112</v>
      </c>
      <c r="M1300" t="s">
        <v>138</v>
      </c>
      <c r="N1300">
        <v>0</v>
      </c>
      <c r="O1300">
        <v>0</v>
      </c>
      <c r="P1300" t="s">
        <v>138</v>
      </c>
      <c r="Q1300">
        <v>25</v>
      </c>
      <c r="R1300">
        <v>0</v>
      </c>
      <c r="S1300">
        <v>0</v>
      </c>
      <c r="T1300">
        <v>0</v>
      </c>
      <c r="U1300" t="s">
        <v>153</v>
      </c>
      <c r="V1300">
        <v>0</v>
      </c>
      <c r="W1300">
        <v>0</v>
      </c>
      <c r="X1300">
        <v>1</v>
      </c>
      <c r="Y1300">
        <v>0</v>
      </c>
      <c r="Z1300" t="s">
        <v>111</v>
      </c>
      <c r="AA1300">
        <v>0</v>
      </c>
      <c r="AB1300" t="s">
        <v>111</v>
      </c>
      <c r="AC1300">
        <v>0</v>
      </c>
      <c r="AD1300" t="s">
        <v>111</v>
      </c>
      <c r="AE1300">
        <v>0</v>
      </c>
      <c r="AF1300">
        <v>0</v>
      </c>
      <c r="AG1300" t="s">
        <v>111</v>
      </c>
      <c r="AH1300" t="s">
        <v>111</v>
      </c>
      <c r="AI1300" t="s">
        <v>111</v>
      </c>
      <c r="AJ1300" t="s">
        <v>111</v>
      </c>
      <c r="AK1300" t="s">
        <v>111</v>
      </c>
      <c r="AL1300" t="s">
        <v>111</v>
      </c>
      <c r="AM1300">
        <v>0</v>
      </c>
      <c r="AN1300">
        <v>0</v>
      </c>
      <c r="AO1300">
        <v>0</v>
      </c>
      <c r="AP1300" t="s">
        <v>111</v>
      </c>
      <c r="AQ1300" t="s">
        <v>111</v>
      </c>
      <c r="AR1300" t="s">
        <v>111</v>
      </c>
      <c r="AS1300" t="s">
        <v>111</v>
      </c>
      <c r="AT1300" t="s">
        <v>111</v>
      </c>
      <c r="AU1300" t="s">
        <v>111</v>
      </c>
      <c r="AV1300" t="s">
        <v>111</v>
      </c>
      <c r="AW1300" t="s">
        <v>111</v>
      </c>
      <c r="AX1300" t="s">
        <v>111</v>
      </c>
      <c r="AY1300" t="s">
        <v>111</v>
      </c>
      <c r="AZ1300" t="s">
        <v>111</v>
      </c>
      <c r="BA1300" t="s">
        <v>111</v>
      </c>
      <c r="BB1300" t="s">
        <v>111</v>
      </c>
      <c r="BC1300" t="s">
        <v>111</v>
      </c>
      <c r="BD1300" t="s">
        <v>111</v>
      </c>
      <c r="BE1300" t="s">
        <v>111</v>
      </c>
      <c r="BF1300" t="s">
        <v>111</v>
      </c>
      <c r="BG1300" t="s">
        <v>111</v>
      </c>
      <c r="BH1300" t="s">
        <v>111</v>
      </c>
      <c r="BI1300" t="s">
        <v>111</v>
      </c>
      <c r="BJ1300" t="s">
        <v>111</v>
      </c>
      <c r="BK1300" t="s">
        <v>111</v>
      </c>
      <c r="BL1300" t="s">
        <v>111</v>
      </c>
      <c r="BM1300" t="s">
        <v>111</v>
      </c>
      <c r="BN1300" t="s">
        <v>111</v>
      </c>
      <c r="BO1300" t="s">
        <v>111</v>
      </c>
      <c r="BP1300" t="s">
        <v>111</v>
      </c>
      <c r="BQ1300" t="s">
        <v>111</v>
      </c>
      <c r="BR1300" t="s">
        <v>111</v>
      </c>
      <c r="BS1300" t="s">
        <v>111</v>
      </c>
      <c r="BT1300" t="s">
        <v>111</v>
      </c>
      <c r="BU1300" t="s">
        <v>111</v>
      </c>
      <c r="BV1300" t="s">
        <v>111</v>
      </c>
      <c r="BW1300" t="s">
        <v>111</v>
      </c>
      <c r="BX1300" t="s">
        <v>111</v>
      </c>
      <c r="BY1300" t="s">
        <v>111</v>
      </c>
      <c r="BZ1300" t="s">
        <v>111</v>
      </c>
      <c r="CA1300" t="s">
        <v>111</v>
      </c>
      <c r="CB1300" t="s">
        <v>111</v>
      </c>
      <c r="CC1300" t="s">
        <v>111</v>
      </c>
      <c r="CD1300" t="s">
        <v>111</v>
      </c>
      <c r="CE1300" t="s">
        <v>111</v>
      </c>
      <c r="CF1300" t="s">
        <v>111</v>
      </c>
      <c r="CG1300" t="s">
        <v>111</v>
      </c>
      <c r="CH1300" t="s">
        <v>111</v>
      </c>
      <c r="CI1300" t="s">
        <v>111</v>
      </c>
      <c r="CJ1300" t="s">
        <v>111</v>
      </c>
      <c r="CK1300" t="s">
        <v>111</v>
      </c>
      <c r="CL1300" t="s">
        <v>111</v>
      </c>
      <c r="CM1300" t="s">
        <v>198</v>
      </c>
      <c r="CN1300" t="s">
        <v>113</v>
      </c>
      <c r="CO1300" t="s">
        <v>222</v>
      </c>
      <c r="CP1300" t="s">
        <v>111</v>
      </c>
      <c r="CQ1300">
        <v>0</v>
      </c>
      <c r="CR1300">
        <v>0</v>
      </c>
      <c r="CS1300">
        <v>0</v>
      </c>
      <c r="CT1300" s="1" t="s">
        <v>3727</v>
      </c>
      <c r="CU1300">
        <v>0</v>
      </c>
      <c r="CV1300" t="s">
        <v>111</v>
      </c>
      <c r="CW1300" t="s">
        <v>111</v>
      </c>
      <c r="CX1300" t="s">
        <v>111</v>
      </c>
      <c r="CY1300">
        <v>0</v>
      </c>
      <c r="CZ1300" t="s">
        <v>111</v>
      </c>
      <c r="DA1300" t="s">
        <v>111</v>
      </c>
      <c r="DB1300" t="s">
        <v>111</v>
      </c>
      <c r="DC1300" t="s">
        <v>111</v>
      </c>
    </row>
    <row r="1301" spans="1:107">
      <c r="A1301">
        <v>608</v>
      </c>
      <c r="B1301" t="s">
        <v>162</v>
      </c>
      <c r="C1301" t="s">
        <v>1828</v>
      </c>
      <c r="D1301" t="s">
        <v>3724</v>
      </c>
      <c r="E1301" t="s">
        <v>3755</v>
      </c>
      <c r="F1301" t="s">
        <v>192</v>
      </c>
      <c r="G1301" t="s">
        <v>3726</v>
      </c>
      <c r="H1301">
        <v>1</v>
      </c>
      <c r="I1301">
        <v>45.8</v>
      </c>
      <c r="J1301">
        <v>2.5</v>
      </c>
      <c r="K1301">
        <v>2.5</v>
      </c>
      <c r="L1301" t="s">
        <v>112</v>
      </c>
      <c r="M1301" t="s">
        <v>138</v>
      </c>
      <c r="N1301">
        <v>0</v>
      </c>
      <c r="O1301">
        <v>0</v>
      </c>
      <c r="P1301" t="s">
        <v>138</v>
      </c>
      <c r="Q1301">
        <v>25</v>
      </c>
      <c r="R1301">
        <v>0</v>
      </c>
      <c r="S1301">
        <v>0</v>
      </c>
      <c r="T1301">
        <v>0</v>
      </c>
      <c r="U1301" t="s">
        <v>153</v>
      </c>
      <c r="V1301">
        <v>0</v>
      </c>
      <c r="W1301">
        <v>0</v>
      </c>
      <c r="X1301">
        <v>1</v>
      </c>
      <c r="Y1301">
        <v>0</v>
      </c>
      <c r="Z1301" t="s">
        <v>111</v>
      </c>
      <c r="AA1301">
        <v>0</v>
      </c>
      <c r="AB1301" t="s">
        <v>111</v>
      </c>
      <c r="AC1301">
        <v>0</v>
      </c>
      <c r="AD1301" t="s">
        <v>111</v>
      </c>
      <c r="AE1301">
        <v>0</v>
      </c>
      <c r="AF1301">
        <v>0</v>
      </c>
      <c r="AG1301" t="s">
        <v>111</v>
      </c>
      <c r="AH1301" t="s">
        <v>111</v>
      </c>
      <c r="AI1301" t="s">
        <v>111</v>
      </c>
      <c r="AJ1301" t="s">
        <v>111</v>
      </c>
      <c r="AK1301" t="s">
        <v>111</v>
      </c>
      <c r="AL1301" t="s">
        <v>111</v>
      </c>
      <c r="AM1301">
        <v>0</v>
      </c>
      <c r="AN1301">
        <v>0</v>
      </c>
      <c r="AO1301">
        <v>0</v>
      </c>
      <c r="AP1301" t="s">
        <v>111</v>
      </c>
      <c r="AQ1301" t="s">
        <v>111</v>
      </c>
      <c r="AR1301" t="s">
        <v>111</v>
      </c>
      <c r="AS1301" t="s">
        <v>111</v>
      </c>
      <c r="AT1301" t="s">
        <v>111</v>
      </c>
      <c r="AU1301" t="s">
        <v>111</v>
      </c>
      <c r="AV1301" t="s">
        <v>111</v>
      </c>
      <c r="AW1301" t="s">
        <v>111</v>
      </c>
      <c r="AX1301" t="s">
        <v>111</v>
      </c>
      <c r="AY1301" t="s">
        <v>111</v>
      </c>
      <c r="AZ1301" t="s">
        <v>111</v>
      </c>
      <c r="BA1301" t="s">
        <v>111</v>
      </c>
      <c r="BB1301" t="s">
        <v>111</v>
      </c>
      <c r="BC1301" t="s">
        <v>111</v>
      </c>
      <c r="BD1301" t="s">
        <v>111</v>
      </c>
      <c r="BE1301" t="s">
        <v>111</v>
      </c>
      <c r="BF1301" t="s">
        <v>111</v>
      </c>
      <c r="BG1301" t="s">
        <v>111</v>
      </c>
      <c r="BH1301" t="s">
        <v>111</v>
      </c>
      <c r="BI1301" t="s">
        <v>111</v>
      </c>
      <c r="BJ1301" t="s">
        <v>111</v>
      </c>
      <c r="BK1301" t="s">
        <v>111</v>
      </c>
      <c r="BL1301" t="s">
        <v>111</v>
      </c>
      <c r="BM1301" t="s">
        <v>111</v>
      </c>
      <c r="BN1301" t="s">
        <v>111</v>
      </c>
      <c r="BO1301" t="s">
        <v>111</v>
      </c>
      <c r="BP1301" t="s">
        <v>111</v>
      </c>
      <c r="BQ1301" t="s">
        <v>111</v>
      </c>
      <c r="BR1301" t="s">
        <v>111</v>
      </c>
      <c r="BS1301" t="s">
        <v>111</v>
      </c>
      <c r="BT1301" t="s">
        <v>111</v>
      </c>
      <c r="BU1301" t="s">
        <v>111</v>
      </c>
      <c r="BV1301" t="s">
        <v>111</v>
      </c>
      <c r="BW1301" t="s">
        <v>111</v>
      </c>
      <c r="BX1301" t="s">
        <v>111</v>
      </c>
      <c r="BY1301" t="s">
        <v>111</v>
      </c>
      <c r="BZ1301" t="s">
        <v>111</v>
      </c>
      <c r="CA1301" t="s">
        <v>111</v>
      </c>
      <c r="CB1301" t="s">
        <v>111</v>
      </c>
      <c r="CC1301" t="s">
        <v>111</v>
      </c>
      <c r="CD1301" t="s">
        <v>111</v>
      </c>
      <c r="CE1301" t="s">
        <v>111</v>
      </c>
      <c r="CF1301" t="s">
        <v>111</v>
      </c>
      <c r="CG1301" t="s">
        <v>111</v>
      </c>
      <c r="CH1301" t="s">
        <v>111</v>
      </c>
      <c r="CI1301" t="s">
        <v>111</v>
      </c>
      <c r="CJ1301" t="s">
        <v>111</v>
      </c>
      <c r="CK1301" t="s">
        <v>111</v>
      </c>
      <c r="CL1301" t="s">
        <v>111</v>
      </c>
      <c r="CM1301" t="s">
        <v>198</v>
      </c>
      <c r="CN1301" t="s">
        <v>113</v>
      </c>
      <c r="CO1301" t="s">
        <v>222</v>
      </c>
      <c r="CP1301" t="s">
        <v>111</v>
      </c>
      <c r="CQ1301">
        <v>0</v>
      </c>
      <c r="CR1301">
        <v>0</v>
      </c>
      <c r="CS1301">
        <v>0</v>
      </c>
      <c r="CT1301" s="1" t="s">
        <v>3756</v>
      </c>
      <c r="CU1301">
        <v>0</v>
      </c>
      <c r="CV1301" t="s">
        <v>111</v>
      </c>
      <c r="CW1301" t="s">
        <v>111</v>
      </c>
      <c r="CX1301" t="s">
        <v>111</v>
      </c>
      <c r="CY1301">
        <v>0</v>
      </c>
      <c r="CZ1301" t="s">
        <v>111</v>
      </c>
      <c r="DA1301" t="s">
        <v>111</v>
      </c>
      <c r="DB1301" t="s">
        <v>111</v>
      </c>
      <c r="DC1301" t="s">
        <v>111</v>
      </c>
    </row>
    <row r="1302" spans="1:107">
      <c r="A1302">
        <v>590</v>
      </c>
      <c r="B1302" t="s">
        <v>162</v>
      </c>
      <c r="C1302" t="s">
        <v>428</v>
      </c>
      <c r="D1302" t="s">
        <v>3757</v>
      </c>
      <c r="E1302" t="s">
        <v>3758</v>
      </c>
      <c r="F1302" t="s">
        <v>684</v>
      </c>
      <c r="G1302" t="s">
        <v>3726</v>
      </c>
      <c r="H1302">
        <v>0.45</v>
      </c>
      <c r="I1302">
        <v>50</v>
      </c>
      <c r="J1302">
        <v>0</v>
      </c>
      <c r="K1302">
        <v>0</v>
      </c>
      <c r="L1302" t="s">
        <v>112</v>
      </c>
      <c r="M1302" t="s">
        <v>138</v>
      </c>
      <c r="N1302">
        <v>0</v>
      </c>
      <c r="O1302">
        <v>0</v>
      </c>
      <c r="P1302" t="s">
        <v>138</v>
      </c>
      <c r="Q1302">
        <v>30</v>
      </c>
      <c r="R1302">
        <v>0</v>
      </c>
      <c r="S1302">
        <v>0</v>
      </c>
      <c r="T1302">
        <v>0</v>
      </c>
      <c r="U1302" t="s">
        <v>419</v>
      </c>
      <c r="V1302">
        <v>25</v>
      </c>
      <c r="W1302">
        <v>0</v>
      </c>
      <c r="X1302">
        <v>6</v>
      </c>
      <c r="Y1302">
        <v>0</v>
      </c>
      <c r="Z1302" t="s">
        <v>111</v>
      </c>
      <c r="AA1302">
        <v>0</v>
      </c>
      <c r="AB1302" t="s">
        <v>111</v>
      </c>
      <c r="AC1302">
        <v>0</v>
      </c>
      <c r="AD1302" t="s">
        <v>111</v>
      </c>
      <c r="AE1302">
        <v>0</v>
      </c>
      <c r="AF1302">
        <v>0</v>
      </c>
      <c r="AG1302" t="s">
        <v>111</v>
      </c>
      <c r="AH1302" t="s">
        <v>111</v>
      </c>
      <c r="AI1302" t="s">
        <v>111</v>
      </c>
      <c r="AJ1302" t="s">
        <v>111</v>
      </c>
      <c r="AK1302" t="s">
        <v>111</v>
      </c>
      <c r="AL1302" t="s">
        <v>111</v>
      </c>
      <c r="AM1302">
        <v>0</v>
      </c>
      <c r="AN1302">
        <v>0</v>
      </c>
      <c r="AO1302">
        <v>0</v>
      </c>
      <c r="AP1302" t="s">
        <v>111</v>
      </c>
      <c r="AQ1302" t="s">
        <v>111</v>
      </c>
      <c r="AR1302" t="s">
        <v>111</v>
      </c>
      <c r="AS1302" t="s">
        <v>111</v>
      </c>
      <c r="AT1302" t="s">
        <v>111</v>
      </c>
      <c r="AU1302" t="s">
        <v>111</v>
      </c>
      <c r="AV1302" t="s">
        <v>111</v>
      </c>
      <c r="AW1302" t="s">
        <v>111</v>
      </c>
      <c r="AX1302" t="s">
        <v>111</v>
      </c>
      <c r="AY1302" t="s">
        <v>111</v>
      </c>
      <c r="AZ1302" t="s">
        <v>111</v>
      </c>
      <c r="BA1302" t="s">
        <v>111</v>
      </c>
      <c r="BB1302" t="s">
        <v>111</v>
      </c>
      <c r="BC1302" t="s">
        <v>111</v>
      </c>
      <c r="BD1302" t="s">
        <v>111</v>
      </c>
      <c r="BE1302" t="s">
        <v>111</v>
      </c>
      <c r="BF1302" t="s">
        <v>111</v>
      </c>
      <c r="BG1302" t="s">
        <v>111</v>
      </c>
      <c r="BH1302" t="s">
        <v>111</v>
      </c>
      <c r="BI1302" t="s">
        <v>111</v>
      </c>
      <c r="BJ1302" t="s">
        <v>111</v>
      </c>
      <c r="BK1302" t="s">
        <v>111</v>
      </c>
      <c r="BL1302" t="s">
        <v>111</v>
      </c>
      <c r="BM1302" t="s">
        <v>111</v>
      </c>
      <c r="BN1302" t="s">
        <v>111</v>
      </c>
      <c r="BO1302" t="s">
        <v>111</v>
      </c>
      <c r="BP1302" t="s">
        <v>111</v>
      </c>
      <c r="BQ1302" t="s">
        <v>111</v>
      </c>
      <c r="BR1302" t="s">
        <v>111</v>
      </c>
      <c r="BS1302" t="s">
        <v>111</v>
      </c>
      <c r="BT1302" t="s">
        <v>111</v>
      </c>
      <c r="BU1302" t="s">
        <v>111</v>
      </c>
      <c r="BV1302" t="s">
        <v>111</v>
      </c>
      <c r="BW1302" t="s">
        <v>111</v>
      </c>
      <c r="BX1302" t="s">
        <v>111</v>
      </c>
      <c r="BY1302" t="s">
        <v>111</v>
      </c>
      <c r="BZ1302" t="s">
        <v>111</v>
      </c>
      <c r="CA1302" t="s">
        <v>111</v>
      </c>
      <c r="CB1302" t="s">
        <v>111</v>
      </c>
      <c r="CC1302" t="s">
        <v>111</v>
      </c>
      <c r="CD1302" t="s">
        <v>111</v>
      </c>
      <c r="CE1302" t="s">
        <v>111</v>
      </c>
      <c r="CF1302" t="s">
        <v>111</v>
      </c>
      <c r="CG1302" t="s">
        <v>111</v>
      </c>
      <c r="CH1302" t="s">
        <v>111</v>
      </c>
      <c r="CI1302" t="s">
        <v>111</v>
      </c>
      <c r="CJ1302" t="s">
        <v>111</v>
      </c>
      <c r="CK1302" t="s">
        <v>111</v>
      </c>
      <c r="CL1302" t="s">
        <v>111</v>
      </c>
      <c r="CM1302" t="s">
        <v>111</v>
      </c>
      <c r="CN1302" t="s">
        <v>111</v>
      </c>
      <c r="CO1302" t="s">
        <v>111</v>
      </c>
      <c r="CP1302" t="s">
        <v>111</v>
      </c>
      <c r="CQ1302">
        <v>0</v>
      </c>
      <c r="CR1302">
        <v>0</v>
      </c>
      <c r="CS1302">
        <v>0</v>
      </c>
      <c r="CT1302" t="s">
        <v>111</v>
      </c>
      <c r="CU1302">
        <v>0</v>
      </c>
      <c r="CV1302" t="s">
        <v>111</v>
      </c>
      <c r="CW1302" t="s">
        <v>111</v>
      </c>
      <c r="CX1302" t="s">
        <v>111</v>
      </c>
      <c r="CY1302">
        <v>0</v>
      </c>
      <c r="CZ1302" t="s">
        <v>111</v>
      </c>
      <c r="DA1302" t="s">
        <v>111</v>
      </c>
      <c r="DB1302" t="s">
        <v>204</v>
      </c>
      <c r="DC1302" s="1" t="s">
        <v>3759</v>
      </c>
    </row>
    <row r="1303" spans="1:107">
      <c r="A1303">
        <v>593</v>
      </c>
      <c r="B1303" t="s">
        <v>162</v>
      </c>
      <c r="C1303" t="s">
        <v>1828</v>
      </c>
      <c r="D1303" t="s">
        <v>3724</v>
      </c>
      <c r="E1303" t="s">
        <v>3760</v>
      </c>
      <c r="F1303" t="s">
        <v>192</v>
      </c>
      <c r="G1303" t="s">
        <v>3726</v>
      </c>
      <c r="H1303">
        <v>1</v>
      </c>
      <c r="I1303">
        <v>45.8</v>
      </c>
      <c r="J1303">
        <v>2.5</v>
      </c>
      <c r="K1303">
        <v>2.5</v>
      </c>
      <c r="L1303" t="s">
        <v>112</v>
      </c>
      <c r="M1303" t="s">
        <v>138</v>
      </c>
      <c r="N1303">
        <v>0</v>
      </c>
      <c r="O1303">
        <v>0</v>
      </c>
      <c r="P1303" t="s">
        <v>138</v>
      </c>
      <c r="Q1303">
        <v>25</v>
      </c>
      <c r="R1303">
        <v>0</v>
      </c>
      <c r="S1303">
        <v>0</v>
      </c>
      <c r="T1303">
        <v>0</v>
      </c>
      <c r="U1303" t="s">
        <v>153</v>
      </c>
      <c r="V1303">
        <v>0</v>
      </c>
      <c r="W1303">
        <v>0</v>
      </c>
      <c r="X1303">
        <v>1</v>
      </c>
      <c r="Y1303">
        <v>0</v>
      </c>
      <c r="Z1303" t="s">
        <v>111</v>
      </c>
      <c r="AA1303">
        <v>0</v>
      </c>
      <c r="AB1303" t="s">
        <v>111</v>
      </c>
      <c r="AC1303">
        <v>0</v>
      </c>
      <c r="AD1303" t="s">
        <v>111</v>
      </c>
      <c r="AE1303">
        <v>0</v>
      </c>
      <c r="AF1303">
        <v>0</v>
      </c>
      <c r="AG1303" t="s">
        <v>111</v>
      </c>
      <c r="AH1303" t="s">
        <v>111</v>
      </c>
      <c r="AI1303" t="s">
        <v>111</v>
      </c>
      <c r="AJ1303" t="s">
        <v>111</v>
      </c>
      <c r="AK1303" t="s">
        <v>111</v>
      </c>
      <c r="AL1303" t="s">
        <v>111</v>
      </c>
      <c r="AM1303">
        <v>0</v>
      </c>
      <c r="AN1303">
        <v>0</v>
      </c>
      <c r="AO1303">
        <v>0</v>
      </c>
      <c r="AP1303" t="s">
        <v>111</v>
      </c>
      <c r="AQ1303" t="s">
        <v>111</v>
      </c>
      <c r="AR1303" t="s">
        <v>111</v>
      </c>
      <c r="AS1303" t="s">
        <v>111</v>
      </c>
      <c r="AT1303" t="s">
        <v>111</v>
      </c>
      <c r="AU1303" t="s">
        <v>111</v>
      </c>
      <c r="AV1303" t="s">
        <v>111</v>
      </c>
      <c r="AW1303" t="s">
        <v>111</v>
      </c>
      <c r="AX1303" t="s">
        <v>111</v>
      </c>
      <c r="AY1303" t="s">
        <v>111</v>
      </c>
      <c r="AZ1303" t="s">
        <v>111</v>
      </c>
      <c r="BA1303" t="s">
        <v>111</v>
      </c>
      <c r="BB1303" t="s">
        <v>111</v>
      </c>
      <c r="BC1303" t="s">
        <v>111</v>
      </c>
      <c r="BD1303" t="s">
        <v>111</v>
      </c>
      <c r="BE1303" t="s">
        <v>111</v>
      </c>
      <c r="BF1303" t="s">
        <v>111</v>
      </c>
      <c r="BG1303" t="s">
        <v>111</v>
      </c>
      <c r="BH1303" t="s">
        <v>111</v>
      </c>
      <c r="BI1303" t="s">
        <v>111</v>
      </c>
      <c r="BJ1303" t="s">
        <v>111</v>
      </c>
      <c r="BK1303" t="s">
        <v>111</v>
      </c>
      <c r="BL1303" t="s">
        <v>111</v>
      </c>
      <c r="BM1303" t="s">
        <v>111</v>
      </c>
      <c r="BN1303" t="s">
        <v>111</v>
      </c>
      <c r="BO1303" t="s">
        <v>111</v>
      </c>
      <c r="BP1303" t="s">
        <v>111</v>
      </c>
      <c r="BQ1303" t="s">
        <v>111</v>
      </c>
      <c r="BR1303" t="s">
        <v>111</v>
      </c>
      <c r="BS1303" t="s">
        <v>111</v>
      </c>
      <c r="BT1303" t="s">
        <v>111</v>
      </c>
      <c r="BU1303" t="s">
        <v>111</v>
      </c>
      <c r="BV1303" t="s">
        <v>111</v>
      </c>
      <c r="BW1303" t="s">
        <v>111</v>
      </c>
      <c r="BX1303" t="s">
        <v>111</v>
      </c>
      <c r="BY1303" t="s">
        <v>111</v>
      </c>
      <c r="BZ1303" t="s">
        <v>111</v>
      </c>
      <c r="CA1303" t="s">
        <v>111</v>
      </c>
      <c r="CB1303" t="s">
        <v>111</v>
      </c>
      <c r="CC1303" t="s">
        <v>111</v>
      </c>
      <c r="CD1303" t="s">
        <v>111</v>
      </c>
      <c r="CE1303" t="s">
        <v>111</v>
      </c>
      <c r="CF1303" t="s">
        <v>111</v>
      </c>
      <c r="CG1303" t="s">
        <v>111</v>
      </c>
      <c r="CH1303" t="s">
        <v>111</v>
      </c>
      <c r="CI1303" t="s">
        <v>111</v>
      </c>
      <c r="CJ1303" t="s">
        <v>111</v>
      </c>
      <c r="CK1303" t="s">
        <v>111</v>
      </c>
      <c r="CL1303" t="s">
        <v>111</v>
      </c>
      <c r="CM1303" t="s">
        <v>198</v>
      </c>
      <c r="CN1303" t="s">
        <v>113</v>
      </c>
      <c r="CO1303" t="s">
        <v>222</v>
      </c>
      <c r="CP1303" t="s">
        <v>111</v>
      </c>
      <c r="CQ1303">
        <v>0</v>
      </c>
      <c r="CR1303">
        <v>0</v>
      </c>
      <c r="CS1303">
        <v>0</v>
      </c>
      <c r="CT1303" s="1" t="s">
        <v>3727</v>
      </c>
      <c r="CU1303">
        <v>0</v>
      </c>
      <c r="CV1303" t="s">
        <v>111</v>
      </c>
      <c r="CW1303" t="s">
        <v>111</v>
      </c>
      <c r="CX1303" t="s">
        <v>111</v>
      </c>
      <c r="CY1303">
        <v>0</v>
      </c>
      <c r="CZ1303" t="s">
        <v>111</v>
      </c>
      <c r="DA1303" t="s">
        <v>111</v>
      </c>
      <c r="DB1303" t="s">
        <v>111</v>
      </c>
      <c r="DC1303" t="s">
        <v>111</v>
      </c>
    </row>
    <row r="1304" spans="1:107">
      <c r="A1304">
        <v>594</v>
      </c>
      <c r="B1304" t="s">
        <v>162</v>
      </c>
      <c r="C1304" t="s">
        <v>1828</v>
      </c>
      <c r="D1304" t="s">
        <v>3724</v>
      </c>
      <c r="E1304" t="s">
        <v>3761</v>
      </c>
      <c r="F1304" t="s">
        <v>192</v>
      </c>
      <c r="G1304" t="s">
        <v>3726</v>
      </c>
      <c r="H1304">
        <v>1</v>
      </c>
      <c r="I1304">
        <v>45.8</v>
      </c>
      <c r="J1304">
        <v>2.5</v>
      </c>
      <c r="K1304">
        <v>2.5</v>
      </c>
      <c r="L1304" t="s">
        <v>112</v>
      </c>
      <c r="M1304" t="s">
        <v>138</v>
      </c>
      <c r="N1304">
        <v>0</v>
      </c>
      <c r="O1304">
        <v>0</v>
      </c>
      <c r="P1304" t="s">
        <v>138</v>
      </c>
      <c r="Q1304">
        <v>25</v>
      </c>
      <c r="R1304">
        <v>0</v>
      </c>
      <c r="S1304">
        <v>0</v>
      </c>
      <c r="T1304">
        <v>0</v>
      </c>
      <c r="U1304" t="s">
        <v>153</v>
      </c>
      <c r="V1304">
        <v>0</v>
      </c>
      <c r="W1304">
        <v>0</v>
      </c>
      <c r="X1304">
        <v>1</v>
      </c>
      <c r="Y1304">
        <v>0</v>
      </c>
      <c r="Z1304" t="s">
        <v>111</v>
      </c>
      <c r="AA1304">
        <v>0</v>
      </c>
      <c r="AB1304" t="s">
        <v>111</v>
      </c>
      <c r="AC1304">
        <v>0</v>
      </c>
      <c r="AD1304" t="s">
        <v>111</v>
      </c>
      <c r="AE1304">
        <v>0</v>
      </c>
      <c r="AF1304">
        <v>0</v>
      </c>
      <c r="AG1304" t="s">
        <v>111</v>
      </c>
      <c r="AH1304" t="s">
        <v>111</v>
      </c>
      <c r="AI1304" t="s">
        <v>111</v>
      </c>
      <c r="AJ1304" t="s">
        <v>111</v>
      </c>
      <c r="AK1304" t="s">
        <v>111</v>
      </c>
      <c r="AL1304" t="s">
        <v>111</v>
      </c>
      <c r="AM1304">
        <v>0</v>
      </c>
      <c r="AN1304">
        <v>0</v>
      </c>
      <c r="AO1304">
        <v>0</v>
      </c>
      <c r="AP1304" t="s">
        <v>111</v>
      </c>
      <c r="AQ1304" t="s">
        <v>111</v>
      </c>
      <c r="AR1304" t="s">
        <v>111</v>
      </c>
      <c r="AS1304" t="s">
        <v>111</v>
      </c>
      <c r="AT1304" t="s">
        <v>111</v>
      </c>
      <c r="AU1304" t="s">
        <v>111</v>
      </c>
      <c r="AV1304" t="s">
        <v>111</v>
      </c>
      <c r="AW1304" t="s">
        <v>111</v>
      </c>
      <c r="AX1304" t="s">
        <v>111</v>
      </c>
      <c r="AY1304" t="s">
        <v>111</v>
      </c>
      <c r="AZ1304" t="s">
        <v>111</v>
      </c>
      <c r="BA1304" t="s">
        <v>111</v>
      </c>
      <c r="BB1304" t="s">
        <v>111</v>
      </c>
      <c r="BC1304" t="s">
        <v>111</v>
      </c>
      <c r="BD1304" t="s">
        <v>111</v>
      </c>
      <c r="BE1304" t="s">
        <v>111</v>
      </c>
      <c r="BF1304" t="s">
        <v>111</v>
      </c>
      <c r="BG1304" t="s">
        <v>111</v>
      </c>
      <c r="BH1304" t="s">
        <v>111</v>
      </c>
      <c r="BI1304" t="s">
        <v>111</v>
      </c>
      <c r="BJ1304" t="s">
        <v>111</v>
      </c>
      <c r="BK1304" t="s">
        <v>111</v>
      </c>
      <c r="BL1304" t="s">
        <v>111</v>
      </c>
      <c r="BM1304" t="s">
        <v>111</v>
      </c>
      <c r="BN1304" t="s">
        <v>111</v>
      </c>
      <c r="BO1304" t="s">
        <v>111</v>
      </c>
      <c r="BP1304" t="s">
        <v>111</v>
      </c>
      <c r="BQ1304" t="s">
        <v>111</v>
      </c>
      <c r="BR1304" t="s">
        <v>111</v>
      </c>
      <c r="BS1304" t="s">
        <v>111</v>
      </c>
      <c r="BT1304" t="s">
        <v>111</v>
      </c>
      <c r="BU1304" t="s">
        <v>111</v>
      </c>
      <c r="BV1304" t="s">
        <v>111</v>
      </c>
      <c r="BW1304" t="s">
        <v>111</v>
      </c>
      <c r="BX1304" t="s">
        <v>111</v>
      </c>
      <c r="BY1304" t="s">
        <v>111</v>
      </c>
      <c r="BZ1304" t="s">
        <v>111</v>
      </c>
      <c r="CA1304" t="s">
        <v>111</v>
      </c>
      <c r="CB1304" t="s">
        <v>111</v>
      </c>
      <c r="CC1304" t="s">
        <v>111</v>
      </c>
      <c r="CD1304" t="s">
        <v>111</v>
      </c>
      <c r="CE1304" t="s">
        <v>111</v>
      </c>
      <c r="CF1304" t="s">
        <v>111</v>
      </c>
      <c r="CG1304" t="s">
        <v>111</v>
      </c>
      <c r="CH1304" t="s">
        <v>111</v>
      </c>
      <c r="CI1304" t="s">
        <v>111</v>
      </c>
      <c r="CJ1304" t="s">
        <v>111</v>
      </c>
      <c r="CK1304" t="s">
        <v>111</v>
      </c>
      <c r="CL1304" t="s">
        <v>111</v>
      </c>
      <c r="CM1304" t="s">
        <v>198</v>
      </c>
      <c r="CN1304" t="s">
        <v>113</v>
      </c>
      <c r="CO1304" t="s">
        <v>222</v>
      </c>
      <c r="CP1304" t="s">
        <v>111</v>
      </c>
      <c r="CQ1304">
        <v>0</v>
      </c>
      <c r="CR1304">
        <v>0</v>
      </c>
      <c r="CS1304">
        <v>0</v>
      </c>
      <c r="CT1304" s="1" t="s">
        <v>3727</v>
      </c>
      <c r="CU1304">
        <v>0</v>
      </c>
      <c r="CV1304" t="s">
        <v>111</v>
      </c>
      <c r="CW1304" t="s">
        <v>111</v>
      </c>
      <c r="CX1304" t="s">
        <v>111</v>
      </c>
      <c r="CY1304">
        <v>0</v>
      </c>
      <c r="CZ1304" t="s">
        <v>111</v>
      </c>
      <c r="DA1304" t="s">
        <v>111</v>
      </c>
      <c r="DB1304" t="s">
        <v>111</v>
      </c>
      <c r="DC1304" t="s">
        <v>111</v>
      </c>
    </row>
    <row r="1305" spans="1:107">
      <c r="A1305">
        <v>1842</v>
      </c>
      <c r="B1305" t="s">
        <v>107</v>
      </c>
      <c r="C1305" t="s">
        <v>2386</v>
      </c>
      <c r="D1305" t="s">
        <v>2387</v>
      </c>
      <c r="E1305" t="s">
        <v>3762</v>
      </c>
      <c r="F1305" t="s">
        <v>1651</v>
      </c>
      <c r="G1305" t="s">
        <v>3726</v>
      </c>
      <c r="H1305">
        <v>1.9</v>
      </c>
      <c r="I1305">
        <v>35</v>
      </c>
      <c r="J1305">
        <v>0</v>
      </c>
      <c r="K1305">
        <v>0</v>
      </c>
      <c r="L1305" t="s">
        <v>112</v>
      </c>
      <c r="M1305" t="s">
        <v>118</v>
      </c>
      <c r="N1305">
        <v>39</v>
      </c>
      <c r="O1305">
        <v>2</v>
      </c>
      <c r="P1305" t="s">
        <v>111</v>
      </c>
      <c r="Q1305">
        <v>44.8</v>
      </c>
      <c r="R1305">
        <v>0</v>
      </c>
      <c r="S1305">
        <v>0</v>
      </c>
      <c r="T1305">
        <v>5</v>
      </c>
      <c r="U1305" t="e">
        <f>-IMPRESION DARMA</f>
        <v>#NAME?</v>
      </c>
      <c r="V1305">
        <v>0</v>
      </c>
      <c r="W1305">
        <v>0</v>
      </c>
      <c r="X1305">
        <v>0</v>
      </c>
      <c r="Y1305">
        <v>25</v>
      </c>
      <c r="Z1305" t="s">
        <v>111</v>
      </c>
      <c r="AA1305">
        <v>0</v>
      </c>
      <c r="AB1305" t="s">
        <v>111</v>
      </c>
      <c r="AC1305">
        <v>0</v>
      </c>
      <c r="AD1305" t="s">
        <v>416</v>
      </c>
      <c r="AE1305">
        <v>0</v>
      </c>
      <c r="AF1305">
        <v>0</v>
      </c>
      <c r="AG1305" t="s">
        <v>111</v>
      </c>
      <c r="AH1305" t="s">
        <v>113</v>
      </c>
      <c r="AI1305" t="s">
        <v>111</v>
      </c>
      <c r="AJ1305" t="s">
        <v>111</v>
      </c>
      <c r="AK1305" t="s">
        <v>111</v>
      </c>
      <c r="AL1305" t="s">
        <v>111</v>
      </c>
      <c r="AM1305">
        <v>0</v>
      </c>
      <c r="AN1305">
        <v>0</v>
      </c>
      <c r="AO1305">
        <v>0</v>
      </c>
      <c r="AP1305" t="s">
        <v>111</v>
      </c>
      <c r="AQ1305" t="s">
        <v>111</v>
      </c>
      <c r="AR1305" t="s">
        <v>111</v>
      </c>
      <c r="AS1305" t="s">
        <v>111</v>
      </c>
      <c r="AT1305" t="s">
        <v>111</v>
      </c>
      <c r="AU1305" t="s">
        <v>111</v>
      </c>
      <c r="AV1305" t="s">
        <v>111</v>
      </c>
      <c r="AW1305" t="s">
        <v>111</v>
      </c>
      <c r="AX1305" t="s">
        <v>111</v>
      </c>
      <c r="AY1305" t="s">
        <v>111</v>
      </c>
      <c r="AZ1305" t="s">
        <v>111</v>
      </c>
      <c r="BA1305" t="s">
        <v>111</v>
      </c>
      <c r="BB1305" t="s">
        <v>111</v>
      </c>
      <c r="BC1305" t="s">
        <v>111</v>
      </c>
      <c r="BD1305" t="s">
        <v>111</v>
      </c>
      <c r="BE1305" t="s">
        <v>111</v>
      </c>
      <c r="BF1305" t="s">
        <v>111</v>
      </c>
      <c r="BG1305" t="s">
        <v>111</v>
      </c>
      <c r="BH1305" t="s">
        <v>111</v>
      </c>
      <c r="BI1305" t="s">
        <v>111</v>
      </c>
      <c r="BJ1305" t="s">
        <v>111</v>
      </c>
      <c r="BK1305" t="s">
        <v>111</v>
      </c>
      <c r="BL1305" t="s">
        <v>111</v>
      </c>
      <c r="BM1305" t="s">
        <v>111</v>
      </c>
      <c r="BN1305" t="s">
        <v>111</v>
      </c>
      <c r="BO1305" t="s">
        <v>111</v>
      </c>
      <c r="BP1305" t="s">
        <v>111</v>
      </c>
      <c r="BQ1305" t="s">
        <v>111</v>
      </c>
      <c r="BR1305" t="s">
        <v>111</v>
      </c>
      <c r="BS1305" t="s">
        <v>111</v>
      </c>
      <c r="BT1305" t="s">
        <v>111</v>
      </c>
      <c r="BU1305" t="s">
        <v>111</v>
      </c>
      <c r="BV1305" t="s">
        <v>111</v>
      </c>
      <c r="BW1305" t="s">
        <v>111</v>
      </c>
      <c r="BX1305" t="s">
        <v>111</v>
      </c>
      <c r="BY1305" t="s">
        <v>111</v>
      </c>
      <c r="BZ1305" t="s">
        <v>111</v>
      </c>
      <c r="CA1305" t="s">
        <v>111</v>
      </c>
      <c r="CB1305" t="s">
        <v>111</v>
      </c>
      <c r="CC1305" t="s">
        <v>111</v>
      </c>
      <c r="CD1305" t="s">
        <v>111</v>
      </c>
      <c r="CE1305" t="s">
        <v>111</v>
      </c>
      <c r="CF1305" t="s">
        <v>111</v>
      </c>
      <c r="CG1305" t="s">
        <v>111</v>
      </c>
      <c r="CH1305" t="s">
        <v>111</v>
      </c>
      <c r="CI1305" t="s">
        <v>111</v>
      </c>
      <c r="CJ1305" t="s">
        <v>111</v>
      </c>
      <c r="CK1305" t="s">
        <v>111</v>
      </c>
      <c r="CL1305" t="s">
        <v>111</v>
      </c>
      <c r="CM1305" t="s">
        <v>135</v>
      </c>
      <c r="CN1305" t="s">
        <v>113</v>
      </c>
      <c r="CO1305" t="s">
        <v>2070</v>
      </c>
      <c r="CP1305" t="s">
        <v>111</v>
      </c>
      <c r="CQ1305">
        <v>0</v>
      </c>
      <c r="CR1305">
        <v>5000</v>
      </c>
      <c r="CS1305">
        <v>200</v>
      </c>
      <c r="CT1305" t="e">
        <f>-ALMACEN</f>
        <v>#NAME?</v>
      </c>
      <c r="CU1305">
        <v>0</v>
      </c>
      <c r="CV1305" t="s">
        <v>111</v>
      </c>
      <c r="CX1305" t="s">
        <v>111</v>
      </c>
      <c r="CY1305">
        <v>0</v>
      </c>
      <c r="CZ1305" t="s">
        <v>111</v>
      </c>
      <c r="DA1305" t="s">
        <v>111</v>
      </c>
      <c r="DB1305" t="s">
        <v>111</v>
      </c>
      <c r="DC1305" t="s">
        <v>111</v>
      </c>
    </row>
    <row r="1306" spans="1:107">
      <c r="A1306">
        <v>596</v>
      </c>
      <c r="B1306" t="s">
        <v>162</v>
      </c>
      <c r="C1306" t="s">
        <v>1828</v>
      </c>
      <c r="D1306" t="s">
        <v>3724</v>
      </c>
      <c r="E1306" t="s">
        <v>3763</v>
      </c>
      <c r="F1306" t="s">
        <v>192</v>
      </c>
      <c r="G1306" t="s">
        <v>3726</v>
      </c>
      <c r="H1306">
        <v>1</v>
      </c>
      <c r="I1306">
        <v>45.8</v>
      </c>
      <c r="J1306">
        <v>2.5</v>
      </c>
      <c r="K1306">
        <v>2.5</v>
      </c>
      <c r="L1306" t="s">
        <v>112</v>
      </c>
      <c r="M1306" t="s">
        <v>138</v>
      </c>
      <c r="N1306">
        <v>0</v>
      </c>
      <c r="O1306">
        <v>0</v>
      </c>
      <c r="P1306" t="s">
        <v>138</v>
      </c>
      <c r="Q1306">
        <v>25</v>
      </c>
      <c r="R1306">
        <v>0</v>
      </c>
      <c r="S1306">
        <v>0</v>
      </c>
      <c r="T1306">
        <v>0</v>
      </c>
      <c r="U1306" t="s">
        <v>153</v>
      </c>
      <c r="V1306">
        <v>0</v>
      </c>
      <c r="W1306">
        <v>0</v>
      </c>
      <c r="X1306">
        <v>1</v>
      </c>
      <c r="Y1306">
        <v>0</v>
      </c>
      <c r="Z1306" t="s">
        <v>111</v>
      </c>
      <c r="AA1306">
        <v>0</v>
      </c>
      <c r="AB1306" t="s">
        <v>111</v>
      </c>
      <c r="AC1306">
        <v>0</v>
      </c>
      <c r="AD1306" t="s">
        <v>111</v>
      </c>
      <c r="AE1306">
        <v>0</v>
      </c>
      <c r="AF1306">
        <v>0</v>
      </c>
      <c r="AG1306" t="s">
        <v>111</v>
      </c>
      <c r="AH1306" t="s">
        <v>111</v>
      </c>
      <c r="AI1306" t="s">
        <v>111</v>
      </c>
      <c r="AJ1306" t="s">
        <v>111</v>
      </c>
      <c r="AK1306" t="s">
        <v>111</v>
      </c>
      <c r="AL1306" t="s">
        <v>111</v>
      </c>
      <c r="AM1306">
        <v>0</v>
      </c>
      <c r="AN1306">
        <v>0</v>
      </c>
      <c r="AO1306">
        <v>0</v>
      </c>
      <c r="AP1306" t="s">
        <v>111</v>
      </c>
      <c r="AQ1306" t="s">
        <v>111</v>
      </c>
      <c r="AR1306" t="s">
        <v>111</v>
      </c>
      <c r="AS1306" t="s">
        <v>111</v>
      </c>
      <c r="AT1306" t="s">
        <v>111</v>
      </c>
      <c r="AU1306" t="s">
        <v>111</v>
      </c>
      <c r="AV1306" t="s">
        <v>111</v>
      </c>
      <c r="AW1306" t="s">
        <v>111</v>
      </c>
      <c r="AX1306" t="s">
        <v>111</v>
      </c>
      <c r="AY1306" t="s">
        <v>111</v>
      </c>
      <c r="AZ1306" t="s">
        <v>111</v>
      </c>
      <c r="BA1306" t="s">
        <v>111</v>
      </c>
      <c r="BB1306" t="s">
        <v>111</v>
      </c>
      <c r="BC1306" t="s">
        <v>111</v>
      </c>
      <c r="BD1306" t="s">
        <v>111</v>
      </c>
      <c r="BE1306" t="s">
        <v>111</v>
      </c>
      <c r="BF1306" t="s">
        <v>111</v>
      </c>
      <c r="BG1306" t="s">
        <v>111</v>
      </c>
      <c r="BH1306" t="s">
        <v>111</v>
      </c>
      <c r="BI1306" t="s">
        <v>111</v>
      </c>
      <c r="BJ1306" t="s">
        <v>111</v>
      </c>
      <c r="BK1306" t="s">
        <v>111</v>
      </c>
      <c r="BL1306" t="s">
        <v>111</v>
      </c>
      <c r="BM1306" t="s">
        <v>111</v>
      </c>
      <c r="BN1306" t="s">
        <v>111</v>
      </c>
      <c r="BO1306" t="s">
        <v>111</v>
      </c>
      <c r="BP1306" t="s">
        <v>111</v>
      </c>
      <c r="BQ1306" t="s">
        <v>111</v>
      </c>
      <c r="BR1306" t="s">
        <v>111</v>
      </c>
      <c r="BS1306" t="s">
        <v>111</v>
      </c>
      <c r="BT1306" t="s">
        <v>111</v>
      </c>
      <c r="BU1306" t="s">
        <v>111</v>
      </c>
      <c r="BV1306" t="s">
        <v>111</v>
      </c>
      <c r="BW1306" t="s">
        <v>111</v>
      </c>
      <c r="BX1306" t="s">
        <v>111</v>
      </c>
      <c r="BY1306" t="s">
        <v>111</v>
      </c>
      <c r="BZ1306" t="s">
        <v>111</v>
      </c>
      <c r="CA1306" t="s">
        <v>111</v>
      </c>
      <c r="CB1306" t="s">
        <v>111</v>
      </c>
      <c r="CC1306" t="s">
        <v>111</v>
      </c>
      <c r="CD1306" t="s">
        <v>111</v>
      </c>
      <c r="CE1306" t="s">
        <v>111</v>
      </c>
      <c r="CF1306" t="s">
        <v>111</v>
      </c>
      <c r="CG1306" t="s">
        <v>111</v>
      </c>
      <c r="CH1306" t="s">
        <v>111</v>
      </c>
      <c r="CI1306" t="s">
        <v>111</v>
      </c>
      <c r="CJ1306" t="s">
        <v>111</v>
      </c>
      <c r="CK1306" t="s">
        <v>111</v>
      </c>
      <c r="CL1306" t="s">
        <v>111</v>
      </c>
      <c r="CM1306" t="s">
        <v>198</v>
      </c>
      <c r="CN1306" t="s">
        <v>113</v>
      </c>
      <c r="CO1306" t="s">
        <v>637</v>
      </c>
      <c r="CP1306" t="s">
        <v>111</v>
      </c>
      <c r="CQ1306">
        <v>0</v>
      </c>
      <c r="CR1306">
        <v>0</v>
      </c>
      <c r="CS1306">
        <v>0</v>
      </c>
      <c r="CT1306" s="1" t="s">
        <v>3727</v>
      </c>
      <c r="CU1306">
        <v>0</v>
      </c>
      <c r="CV1306" t="s">
        <v>111</v>
      </c>
      <c r="CW1306" t="s">
        <v>111</v>
      </c>
      <c r="CX1306" t="s">
        <v>111</v>
      </c>
      <c r="CY1306">
        <v>0</v>
      </c>
      <c r="CZ1306" t="s">
        <v>111</v>
      </c>
      <c r="DA1306" t="s">
        <v>111</v>
      </c>
      <c r="DB1306" t="s">
        <v>111</v>
      </c>
      <c r="DC1306" t="s">
        <v>111</v>
      </c>
    </row>
    <row r="1307" spans="1:107">
      <c r="A1307">
        <v>597</v>
      </c>
      <c r="B1307" t="s">
        <v>162</v>
      </c>
      <c r="C1307" t="s">
        <v>1828</v>
      </c>
      <c r="D1307" t="s">
        <v>3724</v>
      </c>
      <c r="E1307" t="s">
        <v>3764</v>
      </c>
      <c r="F1307" t="s">
        <v>192</v>
      </c>
      <c r="G1307" t="s">
        <v>3726</v>
      </c>
      <c r="H1307">
        <v>10</v>
      </c>
      <c r="I1307">
        <v>45.8</v>
      </c>
      <c r="J1307">
        <v>2.5</v>
      </c>
      <c r="K1307">
        <v>2.5</v>
      </c>
      <c r="L1307" t="s">
        <v>112</v>
      </c>
      <c r="M1307" t="s">
        <v>138</v>
      </c>
      <c r="N1307">
        <v>0</v>
      </c>
      <c r="O1307">
        <v>0</v>
      </c>
      <c r="P1307" t="s">
        <v>111</v>
      </c>
      <c r="Q1307">
        <v>25</v>
      </c>
      <c r="R1307">
        <v>0</v>
      </c>
      <c r="S1307">
        <v>0</v>
      </c>
      <c r="T1307">
        <v>0</v>
      </c>
      <c r="U1307" t="s">
        <v>153</v>
      </c>
      <c r="V1307">
        <v>0</v>
      </c>
      <c r="W1307">
        <v>0</v>
      </c>
      <c r="X1307">
        <v>1</v>
      </c>
      <c r="Y1307">
        <v>0</v>
      </c>
      <c r="Z1307" t="s">
        <v>111</v>
      </c>
      <c r="AA1307">
        <v>0</v>
      </c>
      <c r="AB1307" t="s">
        <v>111</v>
      </c>
      <c r="AC1307">
        <v>0</v>
      </c>
      <c r="AD1307" t="s">
        <v>111</v>
      </c>
      <c r="AE1307">
        <v>0</v>
      </c>
      <c r="AF1307">
        <v>0</v>
      </c>
      <c r="AG1307" t="s">
        <v>111</v>
      </c>
      <c r="AH1307" t="s">
        <v>111</v>
      </c>
      <c r="AI1307" t="s">
        <v>111</v>
      </c>
      <c r="AJ1307" t="s">
        <v>111</v>
      </c>
      <c r="AK1307" t="s">
        <v>111</v>
      </c>
      <c r="AL1307" t="s">
        <v>111</v>
      </c>
      <c r="AM1307">
        <v>0</v>
      </c>
      <c r="AN1307">
        <v>0</v>
      </c>
      <c r="AO1307">
        <v>0</v>
      </c>
      <c r="AP1307" t="s">
        <v>111</v>
      </c>
      <c r="AQ1307" t="s">
        <v>111</v>
      </c>
      <c r="AR1307" t="s">
        <v>111</v>
      </c>
      <c r="AS1307" t="s">
        <v>111</v>
      </c>
      <c r="AT1307" t="s">
        <v>111</v>
      </c>
      <c r="AU1307" t="s">
        <v>111</v>
      </c>
      <c r="AV1307" t="s">
        <v>111</v>
      </c>
      <c r="AW1307" t="s">
        <v>111</v>
      </c>
      <c r="AX1307" t="s">
        <v>111</v>
      </c>
      <c r="AY1307" t="s">
        <v>111</v>
      </c>
      <c r="AZ1307" t="s">
        <v>111</v>
      </c>
      <c r="BA1307" t="s">
        <v>111</v>
      </c>
      <c r="BB1307" t="s">
        <v>111</v>
      </c>
      <c r="BC1307" t="s">
        <v>111</v>
      </c>
      <c r="BD1307" t="s">
        <v>111</v>
      </c>
      <c r="BE1307" t="s">
        <v>111</v>
      </c>
      <c r="BF1307" t="s">
        <v>111</v>
      </c>
      <c r="BG1307" t="s">
        <v>111</v>
      </c>
      <c r="BH1307" t="s">
        <v>111</v>
      </c>
      <c r="BI1307" t="s">
        <v>111</v>
      </c>
      <c r="BJ1307" t="s">
        <v>111</v>
      </c>
      <c r="BK1307" t="s">
        <v>111</v>
      </c>
      <c r="BL1307" t="s">
        <v>111</v>
      </c>
      <c r="BM1307" t="s">
        <v>111</v>
      </c>
      <c r="BN1307" t="s">
        <v>111</v>
      </c>
      <c r="BO1307" t="s">
        <v>111</v>
      </c>
      <c r="BP1307" t="s">
        <v>111</v>
      </c>
      <c r="BQ1307" t="s">
        <v>111</v>
      </c>
      <c r="BR1307" t="s">
        <v>111</v>
      </c>
      <c r="BS1307" t="s">
        <v>111</v>
      </c>
      <c r="BT1307" t="s">
        <v>111</v>
      </c>
      <c r="BU1307" t="s">
        <v>111</v>
      </c>
      <c r="BV1307" t="s">
        <v>111</v>
      </c>
      <c r="BW1307" t="s">
        <v>111</v>
      </c>
      <c r="BX1307" t="s">
        <v>111</v>
      </c>
      <c r="BY1307" t="s">
        <v>111</v>
      </c>
      <c r="BZ1307" t="s">
        <v>111</v>
      </c>
      <c r="CA1307" t="s">
        <v>111</v>
      </c>
      <c r="CB1307" t="s">
        <v>111</v>
      </c>
      <c r="CC1307" t="s">
        <v>111</v>
      </c>
      <c r="CD1307" t="s">
        <v>111</v>
      </c>
      <c r="CE1307" t="s">
        <v>111</v>
      </c>
      <c r="CF1307" t="s">
        <v>111</v>
      </c>
      <c r="CG1307" t="s">
        <v>111</v>
      </c>
      <c r="CH1307" t="s">
        <v>111</v>
      </c>
      <c r="CI1307" t="s">
        <v>111</v>
      </c>
      <c r="CJ1307" t="s">
        <v>111</v>
      </c>
      <c r="CK1307" t="s">
        <v>111</v>
      </c>
      <c r="CL1307" t="s">
        <v>111</v>
      </c>
      <c r="CM1307" t="s">
        <v>198</v>
      </c>
      <c r="CN1307" t="s">
        <v>113</v>
      </c>
      <c r="CO1307" t="s">
        <v>222</v>
      </c>
      <c r="CP1307" t="s">
        <v>111</v>
      </c>
      <c r="CQ1307">
        <v>0</v>
      </c>
      <c r="CR1307">
        <v>0</v>
      </c>
      <c r="CS1307">
        <v>0</v>
      </c>
      <c r="CT1307" s="1" t="s">
        <v>3727</v>
      </c>
      <c r="CU1307">
        <v>0</v>
      </c>
      <c r="CV1307" t="s">
        <v>111</v>
      </c>
      <c r="CW1307" t="s">
        <v>111</v>
      </c>
      <c r="CX1307" t="s">
        <v>111</v>
      </c>
      <c r="CY1307">
        <v>0</v>
      </c>
      <c r="CZ1307" t="s">
        <v>111</v>
      </c>
      <c r="DA1307" t="s">
        <v>111</v>
      </c>
      <c r="DB1307" t="s">
        <v>111</v>
      </c>
      <c r="DC1307" t="s">
        <v>111</v>
      </c>
    </row>
    <row r="1308" spans="1:107">
      <c r="A1308">
        <v>598</v>
      </c>
      <c r="B1308" t="s">
        <v>162</v>
      </c>
      <c r="C1308" t="s">
        <v>1828</v>
      </c>
      <c r="D1308" t="s">
        <v>3724</v>
      </c>
      <c r="E1308" t="s">
        <v>3765</v>
      </c>
      <c r="F1308" t="s">
        <v>192</v>
      </c>
      <c r="G1308" t="s">
        <v>3726</v>
      </c>
      <c r="H1308">
        <v>1</v>
      </c>
      <c r="I1308">
        <v>45.8</v>
      </c>
      <c r="J1308">
        <v>2.5</v>
      </c>
      <c r="K1308">
        <v>2.5</v>
      </c>
      <c r="L1308" t="s">
        <v>112</v>
      </c>
      <c r="M1308" t="s">
        <v>138</v>
      </c>
      <c r="N1308">
        <v>0</v>
      </c>
      <c r="O1308">
        <v>0</v>
      </c>
      <c r="P1308" t="s">
        <v>111</v>
      </c>
      <c r="Q1308">
        <v>25</v>
      </c>
      <c r="R1308">
        <v>0</v>
      </c>
      <c r="S1308">
        <v>0</v>
      </c>
      <c r="T1308">
        <v>0</v>
      </c>
      <c r="U1308" t="s">
        <v>153</v>
      </c>
      <c r="V1308">
        <v>0</v>
      </c>
      <c r="W1308">
        <v>0</v>
      </c>
      <c r="X1308">
        <v>1</v>
      </c>
      <c r="Y1308">
        <v>0</v>
      </c>
      <c r="Z1308" t="s">
        <v>111</v>
      </c>
      <c r="AA1308">
        <v>0</v>
      </c>
      <c r="AB1308" t="s">
        <v>111</v>
      </c>
      <c r="AC1308">
        <v>0</v>
      </c>
      <c r="AD1308" t="s">
        <v>111</v>
      </c>
      <c r="AE1308">
        <v>0</v>
      </c>
      <c r="AF1308">
        <v>0</v>
      </c>
      <c r="AG1308" t="s">
        <v>111</v>
      </c>
      <c r="AH1308" t="s">
        <v>111</v>
      </c>
      <c r="AI1308" t="s">
        <v>111</v>
      </c>
      <c r="AJ1308" t="s">
        <v>111</v>
      </c>
      <c r="AK1308" t="s">
        <v>111</v>
      </c>
      <c r="AL1308" t="s">
        <v>111</v>
      </c>
      <c r="AM1308">
        <v>0</v>
      </c>
      <c r="AN1308">
        <v>0</v>
      </c>
      <c r="AO1308">
        <v>0</v>
      </c>
      <c r="AP1308" t="s">
        <v>111</v>
      </c>
      <c r="AQ1308" t="s">
        <v>111</v>
      </c>
      <c r="AR1308" t="s">
        <v>111</v>
      </c>
      <c r="AS1308" t="s">
        <v>111</v>
      </c>
      <c r="AT1308" t="s">
        <v>111</v>
      </c>
      <c r="AU1308" t="s">
        <v>111</v>
      </c>
      <c r="AV1308" t="s">
        <v>111</v>
      </c>
      <c r="AW1308" t="s">
        <v>111</v>
      </c>
      <c r="AX1308" t="s">
        <v>111</v>
      </c>
      <c r="AY1308" t="s">
        <v>111</v>
      </c>
      <c r="AZ1308" t="s">
        <v>111</v>
      </c>
      <c r="BA1308" t="s">
        <v>111</v>
      </c>
      <c r="BB1308" t="s">
        <v>111</v>
      </c>
      <c r="BC1308" t="s">
        <v>111</v>
      </c>
      <c r="BD1308" t="s">
        <v>111</v>
      </c>
      <c r="BE1308" t="s">
        <v>111</v>
      </c>
      <c r="BF1308" t="s">
        <v>111</v>
      </c>
      <c r="BG1308" t="s">
        <v>111</v>
      </c>
      <c r="BH1308" t="s">
        <v>111</v>
      </c>
      <c r="BI1308" t="s">
        <v>111</v>
      </c>
      <c r="BJ1308" t="s">
        <v>111</v>
      </c>
      <c r="BK1308" t="s">
        <v>111</v>
      </c>
      <c r="BL1308" t="s">
        <v>111</v>
      </c>
      <c r="BM1308" t="s">
        <v>111</v>
      </c>
      <c r="BN1308" t="s">
        <v>111</v>
      </c>
      <c r="BO1308" t="s">
        <v>111</v>
      </c>
      <c r="BP1308" t="s">
        <v>111</v>
      </c>
      <c r="BQ1308" t="s">
        <v>111</v>
      </c>
      <c r="BR1308" t="s">
        <v>111</v>
      </c>
      <c r="BS1308" t="s">
        <v>111</v>
      </c>
      <c r="BT1308" t="s">
        <v>111</v>
      </c>
      <c r="BU1308" t="s">
        <v>111</v>
      </c>
      <c r="BV1308" t="s">
        <v>111</v>
      </c>
      <c r="BW1308" t="s">
        <v>111</v>
      </c>
      <c r="BX1308" t="s">
        <v>111</v>
      </c>
      <c r="BY1308" t="s">
        <v>111</v>
      </c>
      <c r="BZ1308" t="s">
        <v>111</v>
      </c>
      <c r="CA1308" t="s">
        <v>111</v>
      </c>
      <c r="CB1308" t="s">
        <v>111</v>
      </c>
      <c r="CC1308" t="s">
        <v>111</v>
      </c>
      <c r="CD1308" t="s">
        <v>111</v>
      </c>
      <c r="CE1308" t="s">
        <v>111</v>
      </c>
      <c r="CF1308" t="s">
        <v>111</v>
      </c>
      <c r="CG1308" t="s">
        <v>111</v>
      </c>
      <c r="CH1308" t="s">
        <v>111</v>
      </c>
      <c r="CI1308" t="s">
        <v>111</v>
      </c>
      <c r="CJ1308" t="s">
        <v>111</v>
      </c>
      <c r="CK1308" t="s">
        <v>111</v>
      </c>
      <c r="CL1308" t="s">
        <v>111</v>
      </c>
      <c r="CM1308" t="s">
        <v>198</v>
      </c>
      <c r="CN1308" t="s">
        <v>113</v>
      </c>
      <c r="CO1308" t="s">
        <v>222</v>
      </c>
      <c r="CP1308" t="s">
        <v>111</v>
      </c>
      <c r="CQ1308">
        <v>0</v>
      </c>
      <c r="CR1308">
        <v>0</v>
      </c>
      <c r="CS1308">
        <v>0</v>
      </c>
      <c r="CT1308" s="1" t="s">
        <v>3727</v>
      </c>
      <c r="CU1308">
        <v>0</v>
      </c>
      <c r="CV1308" t="s">
        <v>111</v>
      </c>
      <c r="CW1308" t="s">
        <v>111</v>
      </c>
      <c r="CX1308" t="s">
        <v>111</v>
      </c>
      <c r="CY1308">
        <v>0</v>
      </c>
      <c r="CZ1308" t="s">
        <v>111</v>
      </c>
      <c r="DA1308" t="s">
        <v>111</v>
      </c>
      <c r="DB1308" t="s">
        <v>111</v>
      </c>
      <c r="DC1308" t="s">
        <v>111</v>
      </c>
    </row>
    <row r="1309" spans="1:107">
      <c r="A1309">
        <v>599</v>
      </c>
      <c r="B1309" t="s">
        <v>162</v>
      </c>
      <c r="C1309" t="s">
        <v>1828</v>
      </c>
      <c r="D1309" t="s">
        <v>3724</v>
      </c>
      <c r="E1309" t="s">
        <v>3766</v>
      </c>
      <c r="F1309" t="s">
        <v>192</v>
      </c>
      <c r="G1309" t="s">
        <v>3726</v>
      </c>
      <c r="H1309">
        <v>1</v>
      </c>
      <c r="I1309">
        <v>45.8</v>
      </c>
      <c r="J1309">
        <v>2.5</v>
      </c>
      <c r="K1309">
        <v>2.5</v>
      </c>
      <c r="L1309" t="s">
        <v>112</v>
      </c>
      <c r="M1309" t="s">
        <v>138</v>
      </c>
      <c r="N1309">
        <v>0</v>
      </c>
      <c r="O1309">
        <v>0</v>
      </c>
      <c r="P1309" t="s">
        <v>111</v>
      </c>
      <c r="Q1309">
        <v>25</v>
      </c>
      <c r="R1309">
        <v>0</v>
      </c>
      <c r="S1309">
        <v>0</v>
      </c>
      <c r="T1309">
        <v>0</v>
      </c>
      <c r="U1309" t="s">
        <v>153</v>
      </c>
      <c r="V1309">
        <v>0</v>
      </c>
      <c r="W1309">
        <v>0</v>
      </c>
      <c r="X1309">
        <v>1</v>
      </c>
      <c r="Y1309">
        <v>0</v>
      </c>
      <c r="Z1309" t="s">
        <v>111</v>
      </c>
      <c r="AA1309">
        <v>0</v>
      </c>
      <c r="AB1309" t="s">
        <v>111</v>
      </c>
      <c r="AC1309">
        <v>0</v>
      </c>
      <c r="AD1309" t="s">
        <v>111</v>
      </c>
      <c r="AE1309">
        <v>0</v>
      </c>
      <c r="AF1309">
        <v>0</v>
      </c>
      <c r="AG1309" t="s">
        <v>111</v>
      </c>
      <c r="AH1309" t="s">
        <v>111</v>
      </c>
      <c r="AI1309" t="s">
        <v>111</v>
      </c>
      <c r="AJ1309" t="s">
        <v>111</v>
      </c>
      <c r="AK1309" t="s">
        <v>111</v>
      </c>
      <c r="AL1309" t="s">
        <v>111</v>
      </c>
      <c r="AM1309">
        <v>0</v>
      </c>
      <c r="AN1309">
        <v>0</v>
      </c>
      <c r="AO1309">
        <v>0</v>
      </c>
      <c r="AP1309" t="s">
        <v>111</v>
      </c>
      <c r="AQ1309" t="s">
        <v>111</v>
      </c>
      <c r="AR1309" t="s">
        <v>111</v>
      </c>
      <c r="AS1309" t="s">
        <v>111</v>
      </c>
      <c r="AT1309" t="s">
        <v>111</v>
      </c>
      <c r="AU1309" t="s">
        <v>111</v>
      </c>
      <c r="AV1309" t="s">
        <v>111</v>
      </c>
      <c r="AW1309" t="s">
        <v>111</v>
      </c>
      <c r="AX1309" t="s">
        <v>111</v>
      </c>
      <c r="AY1309" t="s">
        <v>111</v>
      </c>
      <c r="AZ1309" t="s">
        <v>111</v>
      </c>
      <c r="BA1309" t="s">
        <v>111</v>
      </c>
      <c r="BB1309" t="s">
        <v>111</v>
      </c>
      <c r="BC1309" t="s">
        <v>111</v>
      </c>
      <c r="BD1309" t="s">
        <v>111</v>
      </c>
      <c r="BE1309" t="s">
        <v>111</v>
      </c>
      <c r="BF1309" t="s">
        <v>111</v>
      </c>
      <c r="BG1309" t="s">
        <v>111</v>
      </c>
      <c r="BH1309" t="s">
        <v>111</v>
      </c>
      <c r="BI1309" t="s">
        <v>111</v>
      </c>
      <c r="BJ1309" t="s">
        <v>111</v>
      </c>
      <c r="BK1309" t="s">
        <v>111</v>
      </c>
      <c r="BL1309" t="s">
        <v>111</v>
      </c>
      <c r="BM1309" t="s">
        <v>111</v>
      </c>
      <c r="BN1309" t="s">
        <v>111</v>
      </c>
      <c r="BO1309" t="s">
        <v>111</v>
      </c>
      <c r="BP1309" t="s">
        <v>111</v>
      </c>
      <c r="BQ1309" t="s">
        <v>111</v>
      </c>
      <c r="BR1309" t="s">
        <v>111</v>
      </c>
      <c r="BS1309" t="s">
        <v>111</v>
      </c>
      <c r="BT1309" t="s">
        <v>111</v>
      </c>
      <c r="BU1309" t="s">
        <v>111</v>
      </c>
      <c r="BV1309" t="s">
        <v>111</v>
      </c>
      <c r="BW1309" t="s">
        <v>111</v>
      </c>
      <c r="BX1309" t="s">
        <v>111</v>
      </c>
      <c r="BY1309" t="s">
        <v>111</v>
      </c>
      <c r="BZ1309" t="s">
        <v>111</v>
      </c>
      <c r="CA1309" t="s">
        <v>111</v>
      </c>
      <c r="CB1309" t="s">
        <v>111</v>
      </c>
      <c r="CC1309" t="s">
        <v>111</v>
      </c>
      <c r="CD1309" t="s">
        <v>111</v>
      </c>
      <c r="CE1309" t="s">
        <v>111</v>
      </c>
      <c r="CF1309" t="s">
        <v>111</v>
      </c>
      <c r="CG1309" t="s">
        <v>111</v>
      </c>
      <c r="CH1309" t="s">
        <v>111</v>
      </c>
      <c r="CI1309" t="s">
        <v>111</v>
      </c>
      <c r="CJ1309" t="s">
        <v>111</v>
      </c>
      <c r="CK1309" t="s">
        <v>111</v>
      </c>
      <c r="CL1309" t="s">
        <v>111</v>
      </c>
      <c r="CM1309" t="s">
        <v>198</v>
      </c>
      <c r="CN1309" t="s">
        <v>113</v>
      </c>
      <c r="CO1309" t="s">
        <v>222</v>
      </c>
      <c r="CP1309" t="s">
        <v>111</v>
      </c>
      <c r="CQ1309">
        <v>0</v>
      </c>
      <c r="CR1309">
        <v>0</v>
      </c>
      <c r="CS1309">
        <v>0</v>
      </c>
      <c r="CT1309" s="1" t="s">
        <v>3727</v>
      </c>
      <c r="CU1309">
        <v>0</v>
      </c>
      <c r="CV1309" t="s">
        <v>111</v>
      </c>
      <c r="CW1309" t="s">
        <v>111</v>
      </c>
      <c r="CX1309" t="s">
        <v>111</v>
      </c>
      <c r="CY1309">
        <v>0</v>
      </c>
      <c r="CZ1309" t="s">
        <v>111</v>
      </c>
      <c r="DA1309" t="s">
        <v>111</v>
      </c>
      <c r="DB1309" t="s">
        <v>111</v>
      </c>
      <c r="DC1309" t="s">
        <v>111</v>
      </c>
    </row>
    <row r="1310" spans="1:107">
      <c r="A1310">
        <v>600</v>
      </c>
      <c r="B1310" t="s">
        <v>162</v>
      </c>
      <c r="C1310" t="s">
        <v>1828</v>
      </c>
      <c r="D1310" t="s">
        <v>3724</v>
      </c>
      <c r="E1310" t="s">
        <v>3767</v>
      </c>
      <c r="F1310" t="s">
        <v>192</v>
      </c>
      <c r="G1310" t="s">
        <v>3726</v>
      </c>
      <c r="H1310">
        <v>1</v>
      </c>
      <c r="I1310">
        <v>45.8</v>
      </c>
      <c r="J1310">
        <v>2.5</v>
      </c>
      <c r="K1310">
        <v>2.5</v>
      </c>
      <c r="L1310" t="s">
        <v>112</v>
      </c>
      <c r="M1310" t="s">
        <v>138</v>
      </c>
      <c r="N1310">
        <v>0</v>
      </c>
      <c r="O1310">
        <v>0</v>
      </c>
      <c r="P1310" t="s">
        <v>111</v>
      </c>
      <c r="Q1310">
        <v>25</v>
      </c>
      <c r="R1310">
        <v>0</v>
      </c>
      <c r="S1310">
        <v>0</v>
      </c>
      <c r="T1310">
        <v>0</v>
      </c>
      <c r="U1310" t="s">
        <v>153</v>
      </c>
      <c r="V1310">
        <v>0</v>
      </c>
      <c r="W1310">
        <v>0</v>
      </c>
      <c r="X1310">
        <v>1</v>
      </c>
      <c r="Y1310">
        <v>0</v>
      </c>
      <c r="Z1310" t="s">
        <v>111</v>
      </c>
      <c r="AA1310">
        <v>0</v>
      </c>
      <c r="AB1310" t="s">
        <v>111</v>
      </c>
      <c r="AC1310">
        <v>0</v>
      </c>
      <c r="AD1310" t="s">
        <v>111</v>
      </c>
      <c r="AE1310">
        <v>0</v>
      </c>
      <c r="AF1310">
        <v>0</v>
      </c>
      <c r="AG1310" t="s">
        <v>111</v>
      </c>
      <c r="AH1310" t="s">
        <v>111</v>
      </c>
      <c r="AI1310" t="s">
        <v>111</v>
      </c>
      <c r="AJ1310" t="s">
        <v>111</v>
      </c>
      <c r="AK1310" t="s">
        <v>111</v>
      </c>
      <c r="AL1310" t="s">
        <v>111</v>
      </c>
      <c r="AM1310">
        <v>0</v>
      </c>
      <c r="AN1310">
        <v>0</v>
      </c>
      <c r="AO1310">
        <v>0</v>
      </c>
      <c r="AP1310" t="s">
        <v>111</v>
      </c>
      <c r="AQ1310" t="s">
        <v>111</v>
      </c>
      <c r="AR1310" t="s">
        <v>111</v>
      </c>
      <c r="AS1310" t="s">
        <v>111</v>
      </c>
      <c r="AT1310" t="s">
        <v>111</v>
      </c>
      <c r="AU1310" t="s">
        <v>111</v>
      </c>
      <c r="AV1310" t="s">
        <v>111</v>
      </c>
      <c r="AW1310" t="s">
        <v>111</v>
      </c>
      <c r="AX1310" t="s">
        <v>111</v>
      </c>
      <c r="AY1310" t="s">
        <v>111</v>
      </c>
      <c r="AZ1310" t="s">
        <v>111</v>
      </c>
      <c r="BA1310" t="s">
        <v>111</v>
      </c>
      <c r="BB1310" t="s">
        <v>111</v>
      </c>
      <c r="BC1310" t="s">
        <v>111</v>
      </c>
      <c r="BD1310" t="s">
        <v>111</v>
      </c>
      <c r="BE1310" t="s">
        <v>111</v>
      </c>
      <c r="BF1310" t="s">
        <v>111</v>
      </c>
      <c r="BG1310" t="s">
        <v>111</v>
      </c>
      <c r="BH1310" t="s">
        <v>111</v>
      </c>
      <c r="BI1310" t="s">
        <v>111</v>
      </c>
      <c r="BJ1310" t="s">
        <v>111</v>
      </c>
      <c r="BK1310" t="s">
        <v>111</v>
      </c>
      <c r="BL1310" t="s">
        <v>111</v>
      </c>
      <c r="BM1310" t="s">
        <v>111</v>
      </c>
      <c r="BN1310" t="s">
        <v>111</v>
      </c>
      <c r="BO1310" t="s">
        <v>111</v>
      </c>
      <c r="BP1310" t="s">
        <v>111</v>
      </c>
      <c r="BQ1310" t="s">
        <v>111</v>
      </c>
      <c r="BR1310" t="s">
        <v>111</v>
      </c>
      <c r="BS1310" t="s">
        <v>111</v>
      </c>
      <c r="BT1310" t="s">
        <v>111</v>
      </c>
      <c r="BU1310" t="s">
        <v>111</v>
      </c>
      <c r="BV1310" t="s">
        <v>111</v>
      </c>
      <c r="BW1310" t="s">
        <v>111</v>
      </c>
      <c r="BX1310" t="s">
        <v>111</v>
      </c>
      <c r="BY1310" t="s">
        <v>111</v>
      </c>
      <c r="BZ1310" t="s">
        <v>111</v>
      </c>
      <c r="CA1310" t="s">
        <v>111</v>
      </c>
      <c r="CB1310" t="s">
        <v>111</v>
      </c>
      <c r="CC1310" t="s">
        <v>111</v>
      </c>
      <c r="CD1310" t="s">
        <v>111</v>
      </c>
      <c r="CE1310" t="s">
        <v>111</v>
      </c>
      <c r="CF1310" t="s">
        <v>111</v>
      </c>
      <c r="CG1310" t="s">
        <v>111</v>
      </c>
      <c r="CH1310" t="s">
        <v>111</v>
      </c>
      <c r="CI1310" t="s">
        <v>111</v>
      </c>
      <c r="CJ1310" t="s">
        <v>111</v>
      </c>
      <c r="CK1310" t="s">
        <v>111</v>
      </c>
      <c r="CL1310" t="s">
        <v>111</v>
      </c>
      <c r="CM1310" t="s">
        <v>198</v>
      </c>
      <c r="CN1310" t="s">
        <v>113</v>
      </c>
      <c r="CO1310" t="s">
        <v>222</v>
      </c>
      <c r="CP1310" t="s">
        <v>111</v>
      </c>
      <c r="CQ1310">
        <v>0</v>
      </c>
      <c r="CR1310">
        <v>0</v>
      </c>
      <c r="CS1310">
        <v>0</v>
      </c>
      <c r="CT1310" s="1" t="s">
        <v>3727</v>
      </c>
      <c r="CU1310">
        <v>0</v>
      </c>
      <c r="CV1310" t="s">
        <v>111</v>
      </c>
      <c r="CW1310" t="s">
        <v>111</v>
      </c>
      <c r="CX1310" t="s">
        <v>111</v>
      </c>
      <c r="CY1310">
        <v>0</v>
      </c>
      <c r="CZ1310" t="s">
        <v>111</v>
      </c>
      <c r="DA1310" t="s">
        <v>111</v>
      </c>
      <c r="DB1310" t="s">
        <v>111</v>
      </c>
      <c r="DC1310" t="s">
        <v>111</v>
      </c>
    </row>
    <row r="1311" spans="1:107">
      <c r="A1311">
        <v>1246</v>
      </c>
      <c r="B1311" t="s">
        <v>107</v>
      </c>
      <c r="C1311" t="s">
        <v>215</v>
      </c>
      <c r="D1311" t="s">
        <v>3768</v>
      </c>
      <c r="E1311" t="s">
        <v>3769</v>
      </c>
      <c r="F1311" t="s">
        <v>192</v>
      </c>
      <c r="G1311" t="s">
        <v>3726</v>
      </c>
      <c r="H1311">
        <v>4</v>
      </c>
      <c r="I1311">
        <v>90</v>
      </c>
      <c r="J1311">
        <v>0</v>
      </c>
      <c r="K1311">
        <v>0</v>
      </c>
      <c r="L1311" t="s">
        <v>112</v>
      </c>
      <c r="M1311" t="s">
        <v>111</v>
      </c>
      <c r="N1311">
        <v>0</v>
      </c>
      <c r="O1311">
        <v>0</v>
      </c>
      <c r="P1311" t="s">
        <v>111</v>
      </c>
      <c r="Q1311">
        <v>40</v>
      </c>
      <c r="R1311">
        <v>0</v>
      </c>
      <c r="S1311">
        <v>0</v>
      </c>
      <c r="T1311">
        <v>5</v>
      </c>
      <c r="U1311" t="e">
        <f>-DESTINO MANUALES</f>
        <v>#NAME?</v>
      </c>
      <c r="V1311">
        <v>0</v>
      </c>
      <c r="W1311">
        <v>25</v>
      </c>
      <c r="X1311">
        <v>8</v>
      </c>
      <c r="Y1311">
        <v>0</v>
      </c>
      <c r="Z1311" t="s">
        <v>111</v>
      </c>
      <c r="AA1311">
        <v>0</v>
      </c>
      <c r="AB1311" t="s">
        <v>111</v>
      </c>
      <c r="AC1311">
        <v>0</v>
      </c>
      <c r="AD1311" t="s">
        <v>111</v>
      </c>
      <c r="AE1311">
        <v>0</v>
      </c>
      <c r="AF1311">
        <v>0</v>
      </c>
      <c r="AG1311" t="s">
        <v>111</v>
      </c>
      <c r="AH1311" t="s">
        <v>111</v>
      </c>
      <c r="AI1311" t="s">
        <v>111</v>
      </c>
      <c r="AJ1311" t="s">
        <v>111</v>
      </c>
      <c r="AK1311" t="s">
        <v>111</v>
      </c>
      <c r="AL1311" t="s">
        <v>111</v>
      </c>
      <c r="AM1311">
        <v>0</v>
      </c>
      <c r="AN1311">
        <v>0</v>
      </c>
      <c r="AO1311">
        <v>0</v>
      </c>
      <c r="AP1311" t="s">
        <v>111</v>
      </c>
      <c r="AQ1311" t="s">
        <v>111</v>
      </c>
      <c r="AR1311" t="s">
        <v>111</v>
      </c>
      <c r="AS1311" t="s">
        <v>111</v>
      </c>
      <c r="AT1311" t="s">
        <v>111</v>
      </c>
      <c r="AU1311" t="s">
        <v>111</v>
      </c>
      <c r="AV1311" t="s">
        <v>111</v>
      </c>
      <c r="AW1311" t="s">
        <v>111</v>
      </c>
      <c r="AX1311" t="s">
        <v>111</v>
      </c>
      <c r="AY1311" t="s">
        <v>111</v>
      </c>
      <c r="AZ1311" t="s">
        <v>111</v>
      </c>
      <c r="BA1311" t="s">
        <v>111</v>
      </c>
      <c r="BB1311" t="s">
        <v>111</v>
      </c>
      <c r="BC1311" t="s">
        <v>111</v>
      </c>
      <c r="BD1311" t="s">
        <v>111</v>
      </c>
      <c r="BE1311" t="s">
        <v>111</v>
      </c>
      <c r="BF1311" t="s">
        <v>111</v>
      </c>
      <c r="BG1311" t="s">
        <v>111</v>
      </c>
      <c r="BH1311" t="s">
        <v>111</v>
      </c>
      <c r="BI1311" t="s">
        <v>111</v>
      </c>
      <c r="BJ1311" t="s">
        <v>111</v>
      </c>
      <c r="BK1311" t="s">
        <v>111</v>
      </c>
      <c r="BL1311" t="s">
        <v>111</v>
      </c>
      <c r="BM1311" t="s">
        <v>111</v>
      </c>
      <c r="BN1311" t="s">
        <v>111</v>
      </c>
      <c r="BO1311" t="s">
        <v>111</v>
      </c>
      <c r="BP1311" t="s">
        <v>111</v>
      </c>
      <c r="BQ1311" t="s">
        <v>111</v>
      </c>
      <c r="BR1311" t="s">
        <v>111</v>
      </c>
      <c r="BS1311" t="s">
        <v>111</v>
      </c>
      <c r="BT1311" t="s">
        <v>111</v>
      </c>
      <c r="BU1311" t="s">
        <v>111</v>
      </c>
      <c r="BV1311" t="s">
        <v>111</v>
      </c>
      <c r="BW1311" t="s">
        <v>111</v>
      </c>
      <c r="BX1311" t="s">
        <v>111</v>
      </c>
      <c r="BY1311" t="s">
        <v>111</v>
      </c>
      <c r="BZ1311" t="s">
        <v>111</v>
      </c>
      <c r="CA1311" t="s">
        <v>111</v>
      </c>
      <c r="CB1311" t="s">
        <v>111</v>
      </c>
      <c r="CC1311" t="s">
        <v>111</v>
      </c>
      <c r="CD1311" t="s">
        <v>111</v>
      </c>
      <c r="CE1311" t="s">
        <v>111</v>
      </c>
      <c r="CF1311" t="s">
        <v>111</v>
      </c>
      <c r="CG1311" t="s">
        <v>111</v>
      </c>
      <c r="CH1311" t="s">
        <v>111</v>
      </c>
      <c r="CI1311" t="s">
        <v>111</v>
      </c>
      <c r="CJ1311" t="s">
        <v>111</v>
      </c>
      <c r="CK1311" t="s">
        <v>111</v>
      </c>
      <c r="CL1311" t="s">
        <v>111</v>
      </c>
      <c r="CM1311" t="s">
        <v>111</v>
      </c>
      <c r="CN1311" t="s">
        <v>111</v>
      </c>
      <c r="CO1311" t="s">
        <v>111</v>
      </c>
      <c r="CP1311" t="s">
        <v>111</v>
      </c>
      <c r="CQ1311">
        <v>0</v>
      </c>
      <c r="CR1311">
        <v>200</v>
      </c>
      <c r="CS1311">
        <v>10</v>
      </c>
      <c r="CT1311" t="s">
        <v>111</v>
      </c>
      <c r="CU1311">
        <v>0</v>
      </c>
      <c r="CV1311" t="s">
        <v>111</v>
      </c>
      <c r="CW1311" t="s">
        <v>111</v>
      </c>
      <c r="CX1311" t="s">
        <v>111</v>
      </c>
      <c r="CY1311">
        <v>0</v>
      </c>
      <c r="CZ1311" t="s">
        <v>111</v>
      </c>
      <c r="DA1311" t="s">
        <v>111</v>
      </c>
      <c r="DB1311" t="e">
        <f>-EXTERNO</f>
        <v>#NAME?</v>
      </c>
      <c r="DC1311" t="e">
        <f>-CORTE Y SELLE</f>
        <v>#NAME?</v>
      </c>
    </row>
    <row r="1312" spans="1:107">
      <c r="A1312">
        <v>602</v>
      </c>
      <c r="B1312" t="s">
        <v>162</v>
      </c>
      <c r="C1312" t="s">
        <v>1828</v>
      </c>
      <c r="D1312" t="s">
        <v>3724</v>
      </c>
      <c r="E1312" t="s">
        <v>3770</v>
      </c>
      <c r="F1312" t="s">
        <v>192</v>
      </c>
      <c r="G1312" t="s">
        <v>3726</v>
      </c>
      <c r="H1312">
        <v>1</v>
      </c>
      <c r="I1312">
        <v>45.8</v>
      </c>
      <c r="J1312">
        <v>0</v>
      </c>
      <c r="K1312">
        <v>0</v>
      </c>
      <c r="L1312" t="s">
        <v>112</v>
      </c>
      <c r="M1312" t="s">
        <v>138</v>
      </c>
      <c r="N1312">
        <v>0</v>
      </c>
      <c r="O1312">
        <v>0</v>
      </c>
      <c r="P1312" t="s">
        <v>138</v>
      </c>
      <c r="Q1312">
        <v>25</v>
      </c>
      <c r="R1312">
        <v>0</v>
      </c>
      <c r="S1312">
        <v>0</v>
      </c>
      <c r="T1312">
        <v>0</v>
      </c>
      <c r="U1312" t="s">
        <v>153</v>
      </c>
      <c r="V1312">
        <v>0</v>
      </c>
      <c r="W1312">
        <v>0</v>
      </c>
      <c r="X1312">
        <v>1</v>
      </c>
      <c r="Y1312">
        <v>0</v>
      </c>
      <c r="Z1312" t="s">
        <v>111</v>
      </c>
      <c r="AA1312">
        <v>0</v>
      </c>
      <c r="AB1312" t="s">
        <v>111</v>
      </c>
      <c r="AC1312">
        <v>0</v>
      </c>
      <c r="AD1312" t="s">
        <v>111</v>
      </c>
      <c r="AE1312">
        <v>0</v>
      </c>
      <c r="AF1312">
        <v>0</v>
      </c>
      <c r="AG1312" t="s">
        <v>111</v>
      </c>
      <c r="AH1312" t="s">
        <v>111</v>
      </c>
      <c r="AI1312" t="s">
        <v>111</v>
      </c>
      <c r="AJ1312" t="s">
        <v>111</v>
      </c>
      <c r="AK1312" t="s">
        <v>111</v>
      </c>
      <c r="AL1312" t="s">
        <v>111</v>
      </c>
      <c r="AM1312">
        <v>0</v>
      </c>
      <c r="AN1312">
        <v>0</v>
      </c>
      <c r="AO1312">
        <v>0</v>
      </c>
      <c r="AP1312" t="s">
        <v>111</v>
      </c>
      <c r="AQ1312" t="s">
        <v>111</v>
      </c>
      <c r="AR1312" t="s">
        <v>111</v>
      </c>
      <c r="AS1312" t="s">
        <v>111</v>
      </c>
      <c r="AT1312" t="s">
        <v>111</v>
      </c>
      <c r="AU1312" t="s">
        <v>111</v>
      </c>
      <c r="AV1312" t="s">
        <v>111</v>
      </c>
      <c r="AW1312" t="s">
        <v>111</v>
      </c>
      <c r="AX1312" t="s">
        <v>111</v>
      </c>
      <c r="AY1312" t="s">
        <v>111</v>
      </c>
      <c r="AZ1312" t="s">
        <v>111</v>
      </c>
      <c r="BA1312" t="s">
        <v>111</v>
      </c>
      <c r="BB1312" t="s">
        <v>111</v>
      </c>
      <c r="BC1312" t="s">
        <v>111</v>
      </c>
      <c r="BD1312" t="s">
        <v>111</v>
      </c>
      <c r="BE1312" t="s">
        <v>111</v>
      </c>
      <c r="BF1312" t="s">
        <v>111</v>
      </c>
      <c r="BG1312" t="s">
        <v>111</v>
      </c>
      <c r="BH1312" t="s">
        <v>111</v>
      </c>
      <c r="BI1312" t="s">
        <v>111</v>
      </c>
      <c r="BJ1312" t="s">
        <v>111</v>
      </c>
      <c r="BK1312" t="s">
        <v>111</v>
      </c>
      <c r="BL1312" t="s">
        <v>111</v>
      </c>
      <c r="BM1312" t="s">
        <v>111</v>
      </c>
      <c r="BN1312" t="s">
        <v>111</v>
      </c>
      <c r="BO1312" t="s">
        <v>111</v>
      </c>
      <c r="BP1312" t="s">
        <v>111</v>
      </c>
      <c r="BQ1312" t="s">
        <v>111</v>
      </c>
      <c r="BR1312" t="s">
        <v>111</v>
      </c>
      <c r="BS1312" t="s">
        <v>111</v>
      </c>
      <c r="BT1312" t="s">
        <v>111</v>
      </c>
      <c r="BU1312" t="s">
        <v>111</v>
      </c>
      <c r="BV1312" t="s">
        <v>111</v>
      </c>
      <c r="BW1312" t="s">
        <v>111</v>
      </c>
      <c r="BX1312" t="s">
        <v>111</v>
      </c>
      <c r="BY1312" t="s">
        <v>111</v>
      </c>
      <c r="BZ1312" t="s">
        <v>111</v>
      </c>
      <c r="CA1312" t="s">
        <v>111</v>
      </c>
      <c r="CB1312" t="s">
        <v>111</v>
      </c>
      <c r="CC1312" t="s">
        <v>111</v>
      </c>
      <c r="CD1312" t="s">
        <v>111</v>
      </c>
      <c r="CE1312" t="s">
        <v>111</v>
      </c>
      <c r="CF1312" t="s">
        <v>111</v>
      </c>
      <c r="CG1312" t="s">
        <v>111</v>
      </c>
      <c r="CH1312" t="s">
        <v>111</v>
      </c>
      <c r="CI1312" t="s">
        <v>111</v>
      </c>
      <c r="CJ1312" t="s">
        <v>111</v>
      </c>
      <c r="CK1312" t="s">
        <v>111</v>
      </c>
      <c r="CL1312" t="s">
        <v>111</v>
      </c>
      <c r="CM1312" t="s">
        <v>198</v>
      </c>
      <c r="CN1312" t="s">
        <v>113</v>
      </c>
      <c r="CO1312" t="s">
        <v>222</v>
      </c>
      <c r="CP1312" t="s">
        <v>111</v>
      </c>
      <c r="CQ1312">
        <v>0</v>
      </c>
      <c r="CR1312">
        <v>0</v>
      </c>
      <c r="CS1312">
        <v>0</v>
      </c>
      <c r="CT1312" s="1" t="s">
        <v>3727</v>
      </c>
      <c r="CU1312">
        <v>0</v>
      </c>
      <c r="CV1312" t="s">
        <v>111</v>
      </c>
      <c r="CW1312" t="s">
        <v>111</v>
      </c>
      <c r="CX1312" t="s">
        <v>111</v>
      </c>
      <c r="CY1312">
        <v>0</v>
      </c>
      <c r="CZ1312" t="s">
        <v>111</v>
      </c>
      <c r="DA1312" t="s">
        <v>111</v>
      </c>
      <c r="DB1312" t="s">
        <v>111</v>
      </c>
      <c r="DC1312" t="s">
        <v>111</v>
      </c>
    </row>
    <row r="1313" spans="1:107">
      <c r="A1313">
        <v>603</v>
      </c>
      <c r="B1313" t="s">
        <v>162</v>
      </c>
      <c r="C1313" t="s">
        <v>1828</v>
      </c>
      <c r="D1313" t="s">
        <v>3724</v>
      </c>
      <c r="E1313" t="s">
        <v>3771</v>
      </c>
      <c r="F1313" t="s">
        <v>192</v>
      </c>
      <c r="G1313" t="s">
        <v>3726</v>
      </c>
      <c r="H1313">
        <v>1</v>
      </c>
      <c r="I1313">
        <v>45.8</v>
      </c>
      <c r="J1313">
        <v>0</v>
      </c>
      <c r="K1313">
        <v>0</v>
      </c>
      <c r="L1313" t="s">
        <v>112</v>
      </c>
      <c r="M1313" t="s">
        <v>138</v>
      </c>
      <c r="N1313">
        <v>0</v>
      </c>
      <c r="O1313">
        <v>0</v>
      </c>
      <c r="P1313" t="s">
        <v>138</v>
      </c>
      <c r="Q1313">
        <v>25</v>
      </c>
      <c r="R1313">
        <v>0</v>
      </c>
      <c r="S1313">
        <v>0</v>
      </c>
      <c r="T1313">
        <v>0</v>
      </c>
      <c r="U1313" t="s">
        <v>153</v>
      </c>
      <c r="V1313">
        <v>0</v>
      </c>
      <c r="W1313">
        <v>0</v>
      </c>
      <c r="X1313">
        <v>1</v>
      </c>
      <c r="Y1313">
        <v>0</v>
      </c>
      <c r="Z1313" t="s">
        <v>111</v>
      </c>
      <c r="AA1313">
        <v>0</v>
      </c>
      <c r="AB1313" t="s">
        <v>111</v>
      </c>
      <c r="AC1313">
        <v>0</v>
      </c>
      <c r="AD1313" t="s">
        <v>111</v>
      </c>
      <c r="AE1313">
        <v>0</v>
      </c>
      <c r="AF1313">
        <v>0</v>
      </c>
      <c r="AG1313" t="s">
        <v>111</v>
      </c>
      <c r="AH1313" t="s">
        <v>111</v>
      </c>
      <c r="AI1313" t="s">
        <v>111</v>
      </c>
      <c r="AJ1313" t="s">
        <v>111</v>
      </c>
      <c r="AK1313" t="s">
        <v>111</v>
      </c>
      <c r="AL1313" t="s">
        <v>111</v>
      </c>
      <c r="AM1313">
        <v>0</v>
      </c>
      <c r="AN1313">
        <v>0</v>
      </c>
      <c r="AO1313">
        <v>0</v>
      </c>
      <c r="AP1313" t="s">
        <v>111</v>
      </c>
      <c r="AQ1313" t="s">
        <v>111</v>
      </c>
      <c r="AR1313" t="s">
        <v>111</v>
      </c>
      <c r="AS1313" t="s">
        <v>111</v>
      </c>
      <c r="AT1313" t="s">
        <v>111</v>
      </c>
      <c r="AU1313" t="s">
        <v>111</v>
      </c>
      <c r="AV1313" t="s">
        <v>111</v>
      </c>
      <c r="AW1313" t="s">
        <v>111</v>
      </c>
      <c r="AX1313" t="s">
        <v>111</v>
      </c>
      <c r="AY1313" t="s">
        <v>111</v>
      </c>
      <c r="AZ1313" t="s">
        <v>111</v>
      </c>
      <c r="BA1313" t="s">
        <v>111</v>
      </c>
      <c r="BB1313" t="s">
        <v>111</v>
      </c>
      <c r="BC1313" t="s">
        <v>111</v>
      </c>
      <c r="BD1313" t="s">
        <v>111</v>
      </c>
      <c r="BE1313" t="s">
        <v>111</v>
      </c>
      <c r="BF1313" t="s">
        <v>111</v>
      </c>
      <c r="BG1313" t="s">
        <v>111</v>
      </c>
      <c r="BH1313" t="s">
        <v>111</v>
      </c>
      <c r="BI1313" t="s">
        <v>111</v>
      </c>
      <c r="BJ1313" t="s">
        <v>111</v>
      </c>
      <c r="BK1313" t="s">
        <v>111</v>
      </c>
      <c r="BL1313" t="s">
        <v>111</v>
      </c>
      <c r="BM1313" t="s">
        <v>111</v>
      </c>
      <c r="BN1313" t="s">
        <v>111</v>
      </c>
      <c r="BO1313" t="s">
        <v>111</v>
      </c>
      <c r="BP1313" t="s">
        <v>111</v>
      </c>
      <c r="BQ1313" t="s">
        <v>111</v>
      </c>
      <c r="BR1313" t="s">
        <v>111</v>
      </c>
      <c r="BS1313" t="s">
        <v>111</v>
      </c>
      <c r="BT1313" t="s">
        <v>111</v>
      </c>
      <c r="BU1313" t="s">
        <v>111</v>
      </c>
      <c r="BV1313" t="s">
        <v>111</v>
      </c>
      <c r="BW1313" t="s">
        <v>111</v>
      </c>
      <c r="BX1313" t="s">
        <v>111</v>
      </c>
      <c r="BY1313" t="s">
        <v>111</v>
      </c>
      <c r="BZ1313" t="s">
        <v>111</v>
      </c>
      <c r="CA1313" t="s">
        <v>111</v>
      </c>
      <c r="CB1313" t="s">
        <v>111</v>
      </c>
      <c r="CC1313" t="s">
        <v>111</v>
      </c>
      <c r="CD1313" t="s">
        <v>111</v>
      </c>
      <c r="CE1313" t="s">
        <v>111</v>
      </c>
      <c r="CF1313" t="s">
        <v>111</v>
      </c>
      <c r="CG1313" t="s">
        <v>111</v>
      </c>
      <c r="CH1313" t="s">
        <v>111</v>
      </c>
      <c r="CI1313" t="s">
        <v>111</v>
      </c>
      <c r="CJ1313" t="s">
        <v>111</v>
      </c>
      <c r="CK1313" t="s">
        <v>111</v>
      </c>
      <c r="CL1313" t="s">
        <v>111</v>
      </c>
      <c r="CM1313" t="s">
        <v>198</v>
      </c>
      <c r="CN1313" t="s">
        <v>113</v>
      </c>
      <c r="CO1313" t="s">
        <v>222</v>
      </c>
      <c r="CP1313" t="s">
        <v>111</v>
      </c>
      <c r="CQ1313">
        <v>0</v>
      </c>
      <c r="CR1313">
        <v>0</v>
      </c>
      <c r="CS1313">
        <v>0</v>
      </c>
      <c r="CT1313" s="1" t="s">
        <v>3727</v>
      </c>
      <c r="CU1313">
        <v>0</v>
      </c>
      <c r="CV1313" t="s">
        <v>111</v>
      </c>
      <c r="CW1313" t="s">
        <v>111</v>
      </c>
      <c r="CX1313" t="s">
        <v>111</v>
      </c>
      <c r="CY1313">
        <v>0</v>
      </c>
      <c r="CZ1313" t="s">
        <v>111</v>
      </c>
      <c r="DA1313" t="s">
        <v>111</v>
      </c>
      <c r="DB1313" t="s">
        <v>111</v>
      </c>
      <c r="DC1313" t="s">
        <v>111</v>
      </c>
    </row>
    <row r="1314" spans="1:107">
      <c r="A1314">
        <v>601</v>
      </c>
      <c r="B1314" t="s">
        <v>162</v>
      </c>
      <c r="C1314" t="s">
        <v>1828</v>
      </c>
      <c r="D1314" t="s">
        <v>3724</v>
      </c>
      <c r="E1314" t="s">
        <v>3772</v>
      </c>
      <c r="F1314" t="s">
        <v>192</v>
      </c>
      <c r="G1314" t="s">
        <v>3726</v>
      </c>
      <c r="H1314">
        <v>1</v>
      </c>
      <c r="I1314">
        <v>45.8</v>
      </c>
      <c r="J1314">
        <v>2.5</v>
      </c>
      <c r="K1314">
        <v>2.5</v>
      </c>
      <c r="L1314" t="s">
        <v>112</v>
      </c>
      <c r="M1314" t="s">
        <v>138</v>
      </c>
      <c r="N1314">
        <v>0</v>
      </c>
      <c r="O1314">
        <v>0</v>
      </c>
      <c r="P1314" t="s">
        <v>138</v>
      </c>
      <c r="Q1314">
        <v>25</v>
      </c>
      <c r="R1314">
        <v>0</v>
      </c>
      <c r="S1314">
        <v>0</v>
      </c>
      <c r="T1314">
        <v>0</v>
      </c>
      <c r="U1314" t="s">
        <v>153</v>
      </c>
      <c r="V1314">
        <v>0</v>
      </c>
      <c r="W1314">
        <v>0</v>
      </c>
      <c r="X1314">
        <v>1</v>
      </c>
      <c r="Y1314">
        <v>0</v>
      </c>
      <c r="Z1314" t="s">
        <v>111</v>
      </c>
      <c r="AA1314">
        <v>0</v>
      </c>
      <c r="AB1314" t="s">
        <v>111</v>
      </c>
      <c r="AC1314">
        <v>0</v>
      </c>
      <c r="AD1314" t="s">
        <v>111</v>
      </c>
      <c r="AE1314">
        <v>0</v>
      </c>
      <c r="AF1314">
        <v>0</v>
      </c>
      <c r="AG1314" t="s">
        <v>111</v>
      </c>
      <c r="AH1314" t="s">
        <v>111</v>
      </c>
      <c r="AI1314" t="s">
        <v>111</v>
      </c>
      <c r="AJ1314" t="s">
        <v>111</v>
      </c>
      <c r="AK1314" t="s">
        <v>111</v>
      </c>
      <c r="AL1314" t="s">
        <v>111</v>
      </c>
      <c r="AM1314">
        <v>0</v>
      </c>
      <c r="AN1314">
        <v>0</v>
      </c>
      <c r="AO1314">
        <v>0</v>
      </c>
      <c r="AP1314" t="s">
        <v>111</v>
      </c>
      <c r="AQ1314" t="s">
        <v>111</v>
      </c>
      <c r="AR1314" t="s">
        <v>111</v>
      </c>
      <c r="AS1314" t="s">
        <v>111</v>
      </c>
      <c r="AT1314" t="s">
        <v>111</v>
      </c>
      <c r="AU1314" t="s">
        <v>111</v>
      </c>
      <c r="AV1314" t="s">
        <v>111</v>
      </c>
      <c r="AW1314" t="s">
        <v>111</v>
      </c>
      <c r="AX1314" t="s">
        <v>111</v>
      </c>
      <c r="AY1314" t="s">
        <v>111</v>
      </c>
      <c r="AZ1314" t="s">
        <v>111</v>
      </c>
      <c r="BA1314" t="s">
        <v>111</v>
      </c>
      <c r="BB1314" t="s">
        <v>111</v>
      </c>
      <c r="BC1314" t="s">
        <v>111</v>
      </c>
      <c r="BD1314" t="s">
        <v>111</v>
      </c>
      <c r="BE1314" t="s">
        <v>111</v>
      </c>
      <c r="BF1314" t="s">
        <v>111</v>
      </c>
      <c r="BG1314" t="s">
        <v>111</v>
      </c>
      <c r="BH1314" t="s">
        <v>111</v>
      </c>
      <c r="BI1314" t="s">
        <v>111</v>
      </c>
      <c r="BJ1314" t="s">
        <v>111</v>
      </c>
      <c r="BK1314" t="s">
        <v>111</v>
      </c>
      <c r="BL1314" t="s">
        <v>111</v>
      </c>
      <c r="BM1314" t="s">
        <v>111</v>
      </c>
      <c r="BN1314" t="s">
        <v>111</v>
      </c>
      <c r="BO1314" t="s">
        <v>111</v>
      </c>
      <c r="BP1314" t="s">
        <v>111</v>
      </c>
      <c r="BQ1314" t="s">
        <v>111</v>
      </c>
      <c r="BR1314" t="s">
        <v>111</v>
      </c>
      <c r="BS1314" t="s">
        <v>111</v>
      </c>
      <c r="BT1314" t="s">
        <v>111</v>
      </c>
      <c r="BU1314" t="s">
        <v>111</v>
      </c>
      <c r="BV1314" t="s">
        <v>111</v>
      </c>
      <c r="BW1314" t="s">
        <v>111</v>
      </c>
      <c r="BX1314" t="s">
        <v>111</v>
      </c>
      <c r="BY1314" t="s">
        <v>111</v>
      </c>
      <c r="BZ1314" t="s">
        <v>111</v>
      </c>
      <c r="CA1314" t="s">
        <v>111</v>
      </c>
      <c r="CB1314" t="s">
        <v>111</v>
      </c>
      <c r="CC1314" t="s">
        <v>111</v>
      </c>
      <c r="CD1314" t="s">
        <v>111</v>
      </c>
      <c r="CE1314" t="s">
        <v>111</v>
      </c>
      <c r="CF1314" t="s">
        <v>111</v>
      </c>
      <c r="CG1314" t="s">
        <v>111</v>
      </c>
      <c r="CH1314" t="s">
        <v>111</v>
      </c>
      <c r="CI1314" t="s">
        <v>111</v>
      </c>
      <c r="CJ1314" t="s">
        <v>111</v>
      </c>
      <c r="CK1314" t="s">
        <v>111</v>
      </c>
      <c r="CL1314" t="s">
        <v>111</v>
      </c>
      <c r="CM1314" t="s">
        <v>198</v>
      </c>
      <c r="CN1314" t="s">
        <v>113</v>
      </c>
      <c r="CO1314" t="s">
        <v>222</v>
      </c>
      <c r="CP1314" t="s">
        <v>111</v>
      </c>
      <c r="CQ1314">
        <v>0</v>
      </c>
      <c r="CR1314">
        <v>0</v>
      </c>
      <c r="CS1314">
        <v>0</v>
      </c>
      <c r="CT1314" s="1" t="s">
        <v>3727</v>
      </c>
      <c r="CU1314">
        <v>0</v>
      </c>
      <c r="CV1314" t="s">
        <v>111</v>
      </c>
      <c r="CW1314" t="s">
        <v>111</v>
      </c>
      <c r="CX1314" t="s">
        <v>111</v>
      </c>
      <c r="CY1314">
        <v>0</v>
      </c>
      <c r="CZ1314" t="s">
        <v>111</v>
      </c>
      <c r="DA1314" t="s">
        <v>111</v>
      </c>
      <c r="DB1314" t="s">
        <v>111</v>
      </c>
      <c r="DC1314" t="s">
        <v>111</v>
      </c>
    </row>
    <row r="1315" spans="1:107">
      <c r="A1315">
        <v>606</v>
      </c>
      <c r="B1315" t="s">
        <v>162</v>
      </c>
      <c r="C1315" t="s">
        <v>1828</v>
      </c>
      <c r="D1315" t="s">
        <v>3724</v>
      </c>
      <c r="E1315" t="s">
        <v>3773</v>
      </c>
      <c r="F1315" t="s">
        <v>192</v>
      </c>
      <c r="G1315" t="s">
        <v>3726</v>
      </c>
      <c r="H1315">
        <v>1</v>
      </c>
      <c r="I1315">
        <v>45.8</v>
      </c>
      <c r="J1315">
        <v>2.5</v>
      </c>
      <c r="K1315">
        <v>2.5</v>
      </c>
      <c r="L1315" t="s">
        <v>112</v>
      </c>
      <c r="M1315" t="s">
        <v>138</v>
      </c>
      <c r="N1315">
        <v>0</v>
      </c>
      <c r="O1315">
        <v>0</v>
      </c>
      <c r="P1315" t="s">
        <v>138</v>
      </c>
      <c r="Q1315">
        <v>25</v>
      </c>
      <c r="R1315">
        <v>0</v>
      </c>
      <c r="S1315">
        <v>0</v>
      </c>
      <c r="T1315">
        <v>0</v>
      </c>
      <c r="U1315" t="s">
        <v>153</v>
      </c>
      <c r="V1315">
        <v>0</v>
      </c>
      <c r="W1315">
        <v>0</v>
      </c>
      <c r="X1315">
        <v>1</v>
      </c>
      <c r="Y1315">
        <v>0</v>
      </c>
      <c r="Z1315" t="s">
        <v>111</v>
      </c>
      <c r="AA1315">
        <v>0</v>
      </c>
      <c r="AB1315" t="s">
        <v>111</v>
      </c>
      <c r="AC1315">
        <v>0</v>
      </c>
      <c r="AD1315" t="s">
        <v>111</v>
      </c>
      <c r="AE1315">
        <v>0</v>
      </c>
      <c r="AF1315">
        <v>0</v>
      </c>
      <c r="AG1315" t="s">
        <v>111</v>
      </c>
      <c r="AH1315" t="s">
        <v>111</v>
      </c>
      <c r="AI1315" t="s">
        <v>111</v>
      </c>
      <c r="AJ1315" t="s">
        <v>111</v>
      </c>
      <c r="AK1315" t="s">
        <v>111</v>
      </c>
      <c r="AL1315" t="s">
        <v>111</v>
      </c>
      <c r="AM1315">
        <v>0</v>
      </c>
      <c r="AN1315">
        <v>0</v>
      </c>
      <c r="AO1315">
        <v>0</v>
      </c>
      <c r="AP1315" t="s">
        <v>111</v>
      </c>
      <c r="AQ1315" t="s">
        <v>111</v>
      </c>
      <c r="AR1315" t="s">
        <v>111</v>
      </c>
      <c r="AS1315" t="s">
        <v>111</v>
      </c>
      <c r="AT1315" t="s">
        <v>111</v>
      </c>
      <c r="AU1315" t="s">
        <v>111</v>
      </c>
      <c r="AV1315" t="s">
        <v>111</v>
      </c>
      <c r="AW1315" t="s">
        <v>111</v>
      </c>
      <c r="AX1315" t="s">
        <v>111</v>
      </c>
      <c r="AY1315" t="s">
        <v>111</v>
      </c>
      <c r="AZ1315" t="s">
        <v>111</v>
      </c>
      <c r="BA1315" t="s">
        <v>111</v>
      </c>
      <c r="BB1315" t="s">
        <v>111</v>
      </c>
      <c r="BC1315" t="s">
        <v>111</v>
      </c>
      <c r="BD1315" t="s">
        <v>111</v>
      </c>
      <c r="BE1315" t="s">
        <v>111</v>
      </c>
      <c r="BF1315" t="s">
        <v>111</v>
      </c>
      <c r="BG1315" t="s">
        <v>111</v>
      </c>
      <c r="BH1315" t="s">
        <v>111</v>
      </c>
      <c r="BI1315" t="s">
        <v>111</v>
      </c>
      <c r="BJ1315" t="s">
        <v>111</v>
      </c>
      <c r="BK1315" t="s">
        <v>111</v>
      </c>
      <c r="BL1315" t="s">
        <v>111</v>
      </c>
      <c r="BM1315" t="s">
        <v>111</v>
      </c>
      <c r="BN1315" t="s">
        <v>111</v>
      </c>
      <c r="BO1315" t="s">
        <v>111</v>
      </c>
      <c r="BP1315" t="s">
        <v>111</v>
      </c>
      <c r="BQ1315" t="s">
        <v>111</v>
      </c>
      <c r="BR1315" t="s">
        <v>111</v>
      </c>
      <c r="BS1315" t="s">
        <v>111</v>
      </c>
      <c r="BT1315" t="s">
        <v>111</v>
      </c>
      <c r="BU1315" t="s">
        <v>111</v>
      </c>
      <c r="BV1315" t="s">
        <v>111</v>
      </c>
      <c r="BW1315" t="s">
        <v>111</v>
      </c>
      <c r="BX1315" t="s">
        <v>111</v>
      </c>
      <c r="BY1315" t="s">
        <v>111</v>
      </c>
      <c r="BZ1315" t="s">
        <v>111</v>
      </c>
      <c r="CA1315" t="s">
        <v>111</v>
      </c>
      <c r="CB1315" t="s">
        <v>111</v>
      </c>
      <c r="CC1315" t="s">
        <v>111</v>
      </c>
      <c r="CD1315" t="s">
        <v>111</v>
      </c>
      <c r="CE1315" t="s">
        <v>111</v>
      </c>
      <c r="CF1315" t="s">
        <v>111</v>
      </c>
      <c r="CG1315" t="s">
        <v>111</v>
      </c>
      <c r="CH1315" t="s">
        <v>111</v>
      </c>
      <c r="CI1315" t="s">
        <v>111</v>
      </c>
      <c r="CJ1315" t="s">
        <v>111</v>
      </c>
      <c r="CK1315" t="s">
        <v>111</v>
      </c>
      <c r="CL1315" t="s">
        <v>111</v>
      </c>
      <c r="CM1315" t="s">
        <v>198</v>
      </c>
      <c r="CN1315" t="s">
        <v>113</v>
      </c>
      <c r="CO1315" t="s">
        <v>222</v>
      </c>
      <c r="CP1315" t="s">
        <v>111</v>
      </c>
      <c r="CQ1315">
        <v>0</v>
      </c>
      <c r="CR1315">
        <v>0</v>
      </c>
      <c r="CS1315">
        <v>0</v>
      </c>
      <c r="CT1315" s="1" t="s">
        <v>3727</v>
      </c>
      <c r="CU1315">
        <v>0</v>
      </c>
      <c r="CV1315" t="s">
        <v>111</v>
      </c>
      <c r="CW1315" t="s">
        <v>111</v>
      </c>
      <c r="CX1315" t="s">
        <v>111</v>
      </c>
      <c r="CY1315">
        <v>0</v>
      </c>
      <c r="CZ1315" t="s">
        <v>111</v>
      </c>
      <c r="DA1315" t="s">
        <v>111</v>
      </c>
      <c r="DB1315" t="s">
        <v>111</v>
      </c>
      <c r="DC1315" t="s">
        <v>111</v>
      </c>
    </row>
    <row r="1316" spans="1:107">
      <c r="A1316">
        <v>605</v>
      </c>
      <c r="B1316" t="s">
        <v>162</v>
      </c>
      <c r="C1316" t="s">
        <v>1828</v>
      </c>
      <c r="D1316" t="s">
        <v>3724</v>
      </c>
      <c r="E1316" t="s">
        <v>3774</v>
      </c>
      <c r="F1316" t="s">
        <v>192</v>
      </c>
      <c r="G1316" t="s">
        <v>3726</v>
      </c>
      <c r="H1316">
        <v>1</v>
      </c>
      <c r="I1316">
        <v>45.8</v>
      </c>
      <c r="J1316">
        <v>2.5</v>
      </c>
      <c r="K1316">
        <v>2.5</v>
      </c>
      <c r="L1316" t="s">
        <v>112</v>
      </c>
      <c r="M1316" t="s">
        <v>138</v>
      </c>
      <c r="N1316">
        <v>0</v>
      </c>
      <c r="O1316">
        <v>0</v>
      </c>
      <c r="P1316" t="s">
        <v>138</v>
      </c>
      <c r="Q1316">
        <v>25</v>
      </c>
      <c r="R1316">
        <v>0</v>
      </c>
      <c r="S1316">
        <v>0</v>
      </c>
      <c r="T1316">
        <v>0</v>
      </c>
      <c r="U1316" t="s">
        <v>153</v>
      </c>
      <c r="V1316">
        <v>0</v>
      </c>
      <c r="W1316">
        <v>0</v>
      </c>
      <c r="X1316">
        <v>1</v>
      </c>
      <c r="Y1316">
        <v>0</v>
      </c>
      <c r="Z1316" t="s">
        <v>111</v>
      </c>
      <c r="AA1316">
        <v>0</v>
      </c>
      <c r="AB1316" t="s">
        <v>111</v>
      </c>
      <c r="AC1316">
        <v>0</v>
      </c>
      <c r="AD1316" t="s">
        <v>111</v>
      </c>
      <c r="AE1316">
        <v>0</v>
      </c>
      <c r="AF1316">
        <v>0</v>
      </c>
      <c r="AG1316" t="s">
        <v>111</v>
      </c>
      <c r="AH1316" t="s">
        <v>111</v>
      </c>
      <c r="AI1316" t="s">
        <v>111</v>
      </c>
      <c r="AJ1316" t="s">
        <v>111</v>
      </c>
      <c r="AK1316" t="s">
        <v>111</v>
      </c>
      <c r="AL1316" t="s">
        <v>111</v>
      </c>
      <c r="AM1316">
        <v>0</v>
      </c>
      <c r="AN1316">
        <v>0</v>
      </c>
      <c r="AO1316">
        <v>0</v>
      </c>
      <c r="AP1316" t="s">
        <v>111</v>
      </c>
      <c r="AQ1316" t="s">
        <v>111</v>
      </c>
      <c r="AR1316" t="s">
        <v>111</v>
      </c>
      <c r="AS1316" t="s">
        <v>111</v>
      </c>
      <c r="AT1316" t="s">
        <v>111</v>
      </c>
      <c r="AU1316" t="s">
        <v>111</v>
      </c>
      <c r="AV1316" t="s">
        <v>111</v>
      </c>
      <c r="AW1316" t="s">
        <v>111</v>
      </c>
      <c r="AX1316" t="s">
        <v>111</v>
      </c>
      <c r="AY1316" t="s">
        <v>111</v>
      </c>
      <c r="AZ1316" t="s">
        <v>111</v>
      </c>
      <c r="BA1316" t="s">
        <v>111</v>
      </c>
      <c r="BB1316" t="s">
        <v>111</v>
      </c>
      <c r="BC1316" t="s">
        <v>111</v>
      </c>
      <c r="BD1316" t="s">
        <v>111</v>
      </c>
      <c r="BE1316" t="s">
        <v>111</v>
      </c>
      <c r="BF1316" t="s">
        <v>111</v>
      </c>
      <c r="BG1316" t="s">
        <v>111</v>
      </c>
      <c r="BH1316" t="s">
        <v>111</v>
      </c>
      <c r="BI1316" t="s">
        <v>111</v>
      </c>
      <c r="BJ1316" t="s">
        <v>111</v>
      </c>
      <c r="BK1316" t="s">
        <v>111</v>
      </c>
      <c r="BL1316" t="s">
        <v>111</v>
      </c>
      <c r="BM1316" t="s">
        <v>111</v>
      </c>
      <c r="BN1316" t="s">
        <v>111</v>
      </c>
      <c r="BO1316" t="s">
        <v>111</v>
      </c>
      <c r="BP1316" t="s">
        <v>111</v>
      </c>
      <c r="BQ1316" t="s">
        <v>111</v>
      </c>
      <c r="BR1316" t="s">
        <v>111</v>
      </c>
      <c r="BS1316" t="s">
        <v>111</v>
      </c>
      <c r="BT1316" t="s">
        <v>111</v>
      </c>
      <c r="BU1316" t="s">
        <v>111</v>
      </c>
      <c r="BV1316" t="s">
        <v>111</v>
      </c>
      <c r="BW1316" t="s">
        <v>111</v>
      </c>
      <c r="BX1316" t="s">
        <v>111</v>
      </c>
      <c r="BY1316" t="s">
        <v>111</v>
      </c>
      <c r="BZ1316" t="s">
        <v>111</v>
      </c>
      <c r="CA1316" t="s">
        <v>111</v>
      </c>
      <c r="CB1316" t="s">
        <v>111</v>
      </c>
      <c r="CC1316" t="s">
        <v>111</v>
      </c>
      <c r="CD1316" t="s">
        <v>111</v>
      </c>
      <c r="CE1316" t="s">
        <v>111</v>
      </c>
      <c r="CF1316" t="s">
        <v>111</v>
      </c>
      <c r="CG1316" t="s">
        <v>111</v>
      </c>
      <c r="CH1316" t="s">
        <v>111</v>
      </c>
      <c r="CI1316" t="s">
        <v>111</v>
      </c>
      <c r="CJ1316" t="s">
        <v>111</v>
      </c>
      <c r="CK1316" t="s">
        <v>111</v>
      </c>
      <c r="CL1316" t="s">
        <v>111</v>
      </c>
      <c r="CM1316" t="s">
        <v>198</v>
      </c>
      <c r="CN1316" t="s">
        <v>113</v>
      </c>
      <c r="CO1316" t="s">
        <v>222</v>
      </c>
      <c r="CP1316" t="s">
        <v>111</v>
      </c>
      <c r="CQ1316">
        <v>0</v>
      </c>
      <c r="CR1316">
        <v>0</v>
      </c>
      <c r="CS1316">
        <v>0</v>
      </c>
      <c r="CT1316" s="1" t="s">
        <v>3727</v>
      </c>
      <c r="CU1316">
        <v>0</v>
      </c>
      <c r="CV1316" t="s">
        <v>111</v>
      </c>
      <c r="CW1316" t="s">
        <v>111</v>
      </c>
      <c r="CX1316" t="s">
        <v>111</v>
      </c>
      <c r="CY1316">
        <v>0</v>
      </c>
      <c r="CZ1316" t="s">
        <v>111</v>
      </c>
      <c r="DA1316" t="s">
        <v>111</v>
      </c>
      <c r="DB1316" t="s">
        <v>111</v>
      </c>
      <c r="DC1316" t="s">
        <v>111</v>
      </c>
    </row>
    <row r="1317" spans="1:107">
      <c r="A1317">
        <v>607</v>
      </c>
      <c r="B1317" t="s">
        <v>162</v>
      </c>
      <c r="C1317" t="s">
        <v>1828</v>
      </c>
      <c r="D1317" t="s">
        <v>3724</v>
      </c>
      <c r="E1317" t="s">
        <v>3775</v>
      </c>
      <c r="F1317" t="s">
        <v>192</v>
      </c>
      <c r="G1317" t="s">
        <v>3726</v>
      </c>
      <c r="H1317">
        <v>1</v>
      </c>
      <c r="I1317">
        <v>45.8</v>
      </c>
      <c r="J1317">
        <v>0</v>
      </c>
      <c r="K1317">
        <v>0</v>
      </c>
      <c r="L1317" t="s">
        <v>112</v>
      </c>
      <c r="M1317" t="s">
        <v>138</v>
      </c>
      <c r="N1317">
        <v>0</v>
      </c>
      <c r="O1317">
        <v>0</v>
      </c>
      <c r="P1317" t="s">
        <v>138</v>
      </c>
      <c r="Q1317">
        <v>25</v>
      </c>
      <c r="R1317">
        <v>0</v>
      </c>
      <c r="S1317">
        <v>0</v>
      </c>
      <c r="T1317">
        <v>0</v>
      </c>
      <c r="U1317" t="s">
        <v>153</v>
      </c>
      <c r="V1317">
        <v>0</v>
      </c>
      <c r="W1317">
        <v>0</v>
      </c>
      <c r="X1317">
        <v>1</v>
      </c>
      <c r="Y1317">
        <v>0</v>
      </c>
      <c r="Z1317" t="s">
        <v>111</v>
      </c>
      <c r="AA1317">
        <v>0</v>
      </c>
      <c r="AB1317" t="s">
        <v>111</v>
      </c>
      <c r="AC1317">
        <v>0</v>
      </c>
      <c r="AD1317" t="s">
        <v>111</v>
      </c>
      <c r="AE1317">
        <v>0</v>
      </c>
      <c r="AF1317">
        <v>0</v>
      </c>
      <c r="AG1317" t="s">
        <v>111</v>
      </c>
      <c r="AH1317" t="s">
        <v>111</v>
      </c>
      <c r="AI1317" t="s">
        <v>111</v>
      </c>
      <c r="AJ1317" t="s">
        <v>111</v>
      </c>
      <c r="AK1317" t="s">
        <v>111</v>
      </c>
      <c r="AL1317" t="s">
        <v>111</v>
      </c>
      <c r="AM1317">
        <v>0</v>
      </c>
      <c r="AN1317">
        <v>0</v>
      </c>
      <c r="AO1317">
        <v>0</v>
      </c>
      <c r="AP1317" t="s">
        <v>111</v>
      </c>
      <c r="AQ1317" t="s">
        <v>111</v>
      </c>
      <c r="AR1317" t="s">
        <v>111</v>
      </c>
      <c r="AS1317" t="s">
        <v>111</v>
      </c>
      <c r="AT1317" t="s">
        <v>111</v>
      </c>
      <c r="AU1317" t="s">
        <v>111</v>
      </c>
      <c r="AV1317" t="s">
        <v>111</v>
      </c>
      <c r="AW1317" t="s">
        <v>111</v>
      </c>
      <c r="AX1317" t="s">
        <v>111</v>
      </c>
      <c r="AY1317" t="s">
        <v>111</v>
      </c>
      <c r="AZ1317" t="s">
        <v>111</v>
      </c>
      <c r="BA1317" t="s">
        <v>111</v>
      </c>
      <c r="BB1317" t="s">
        <v>111</v>
      </c>
      <c r="BC1317" t="s">
        <v>111</v>
      </c>
      <c r="BD1317" t="s">
        <v>111</v>
      </c>
      <c r="BE1317" t="s">
        <v>111</v>
      </c>
      <c r="BF1317" t="s">
        <v>111</v>
      </c>
      <c r="BG1317" t="s">
        <v>111</v>
      </c>
      <c r="BH1317" t="s">
        <v>111</v>
      </c>
      <c r="BI1317" t="s">
        <v>111</v>
      </c>
      <c r="BJ1317" t="s">
        <v>111</v>
      </c>
      <c r="BK1317" t="s">
        <v>111</v>
      </c>
      <c r="BL1317" t="s">
        <v>111</v>
      </c>
      <c r="BM1317" t="s">
        <v>111</v>
      </c>
      <c r="BN1317" t="s">
        <v>111</v>
      </c>
      <c r="BO1317" t="s">
        <v>111</v>
      </c>
      <c r="BP1317" t="s">
        <v>111</v>
      </c>
      <c r="BQ1317" t="s">
        <v>111</v>
      </c>
      <c r="BR1317" t="s">
        <v>111</v>
      </c>
      <c r="BS1317" t="s">
        <v>111</v>
      </c>
      <c r="BT1317" t="s">
        <v>111</v>
      </c>
      <c r="BU1317" t="s">
        <v>111</v>
      </c>
      <c r="BV1317" t="s">
        <v>111</v>
      </c>
      <c r="BW1317" t="s">
        <v>111</v>
      </c>
      <c r="BX1317" t="s">
        <v>111</v>
      </c>
      <c r="BY1317" t="s">
        <v>111</v>
      </c>
      <c r="BZ1317" t="s">
        <v>111</v>
      </c>
      <c r="CA1317" t="s">
        <v>111</v>
      </c>
      <c r="CB1317" t="s">
        <v>111</v>
      </c>
      <c r="CC1317" t="s">
        <v>111</v>
      </c>
      <c r="CD1317" t="s">
        <v>111</v>
      </c>
      <c r="CE1317" t="s">
        <v>111</v>
      </c>
      <c r="CF1317" t="s">
        <v>111</v>
      </c>
      <c r="CG1317" t="s">
        <v>111</v>
      </c>
      <c r="CH1317" t="s">
        <v>111</v>
      </c>
      <c r="CI1317" t="s">
        <v>111</v>
      </c>
      <c r="CJ1317" t="s">
        <v>111</v>
      </c>
      <c r="CK1317" t="s">
        <v>111</v>
      </c>
      <c r="CL1317" t="s">
        <v>111</v>
      </c>
      <c r="CM1317" t="s">
        <v>198</v>
      </c>
      <c r="CN1317" t="s">
        <v>113</v>
      </c>
      <c r="CO1317" t="s">
        <v>222</v>
      </c>
      <c r="CP1317" t="s">
        <v>111</v>
      </c>
      <c r="CQ1317">
        <v>0</v>
      </c>
      <c r="CR1317">
        <v>0</v>
      </c>
      <c r="CS1317">
        <v>0</v>
      </c>
      <c r="CT1317" s="1" t="s">
        <v>3727</v>
      </c>
      <c r="CU1317">
        <v>0</v>
      </c>
      <c r="CV1317" t="s">
        <v>111</v>
      </c>
      <c r="CW1317" t="s">
        <v>111</v>
      </c>
      <c r="CX1317" t="s">
        <v>111</v>
      </c>
      <c r="CY1317">
        <v>0</v>
      </c>
      <c r="CZ1317" t="s">
        <v>111</v>
      </c>
      <c r="DA1317" t="s">
        <v>111</v>
      </c>
      <c r="DB1317" t="s">
        <v>111</v>
      </c>
      <c r="DC1317" t="s">
        <v>111</v>
      </c>
    </row>
    <row r="1318" spans="1:107">
      <c r="A1318">
        <v>604</v>
      </c>
      <c r="B1318" t="s">
        <v>162</v>
      </c>
      <c r="C1318" t="s">
        <v>1828</v>
      </c>
      <c r="D1318" t="s">
        <v>3724</v>
      </c>
      <c r="E1318" t="s">
        <v>3776</v>
      </c>
      <c r="F1318" t="s">
        <v>192</v>
      </c>
      <c r="G1318" t="s">
        <v>3726</v>
      </c>
      <c r="H1318">
        <v>1</v>
      </c>
      <c r="I1318">
        <v>45.8</v>
      </c>
      <c r="J1318">
        <v>2.5</v>
      </c>
      <c r="K1318">
        <v>2.5</v>
      </c>
      <c r="L1318" t="s">
        <v>112</v>
      </c>
      <c r="M1318" t="s">
        <v>138</v>
      </c>
      <c r="N1318">
        <v>0</v>
      </c>
      <c r="O1318">
        <v>0</v>
      </c>
      <c r="P1318" t="s">
        <v>138</v>
      </c>
      <c r="Q1318">
        <v>25</v>
      </c>
      <c r="R1318">
        <v>0</v>
      </c>
      <c r="S1318">
        <v>0</v>
      </c>
      <c r="T1318">
        <v>0</v>
      </c>
      <c r="U1318" t="s">
        <v>153</v>
      </c>
      <c r="V1318">
        <v>0</v>
      </c>
      <c r="W1318">
        <v>0</v>
      </c>
      <c r="X1318">
        <v>1</v>
      </c>
      <c r="Y1318">
        <v>0</v>
      </c>
      <c r="Z1318" t="s">
        <v>111</v>
      </c>
      <c r="AA1318">
        <v>0</v>
      </c>
      <c r="AB1318" t="s">
        <v>111</v>
      </c>
      <c r="AC1318">
        <v>0</v>
      </c>
      <c r="AD1318" t="s">
        <v>111</v>
      </c>
      <c r="AE1318">
        <v>0</v>
      </c>
      <c r="AF1318">
        <v>0</v>
      </c>
      <c r="AG1318" t="s">
        <v>111</v>
      </c>
      <c r="AH1318" t="s">
        <v>111</v>
      </c>
      <c r="AI1318" t="s">
        <v>111</v>
      </c>
      <c r="AJ1318" t="s">
        <v>111</v>
      </c>
      <c r="AK1318" t="s">
        <v>111</v>
      </c>
      <c r="AL1318" t="s">
        <v>111</v>
      </c>
      <c r="AM1318">
        <v>0</v>
      </c>
      <c r="AN1318">
        <v>0</v>
      </c>
      <c r="AO1318">
        <v>0</v>
      </c>
      <c r="AP1318" t="s">
        <v>111</v>
      </c>
      <c r="AQ1318" t="s">
        <v>111</v>
      </c>
      <c r="AR1318" t="s">
        <v>111</v>
      </c>
      <c r="AS1318" t="s">
        <v>111</v>
      </c>
      <c r="AT1318" t="s">
        <v>111</v>
      </c>
      <c r="AU1318" t="s">
        <v>111</v>
      </c>
      <c r="AV1318" t="s">
        <v>111</v>
      </c>
      <c r="AW1318" t="s">
        <v>111</v>
      </c>
      <c r="AX1318" t="s">
        <v>111</v>
      </c>
      <c r="AY1318" t="s">
        <v>111</v>
      </c>
      <c r="AZ1318" t="s">
        <v>111</v>
      </c>
      <c r="BA1318" t="s">
        <v>111</v>
      </c>
      <c r="BB1318" t="s">
        <v>111</v>
      </c>
      <c r="BC1318" t="s">
        <v>111</v>
      </c>
      <c r="BD1318" t="s">
        <v>111</v>
      </c>
      <c r="BE1318" t="s">
        <v>111</v>
      </c>
      <c r="BF1318" t="s">
        <v>111</v>
      </c>
      <c r="BG1318" t="s">
        <v>111</v>
      </c>
      <c r="BH1318" t="s">
        <v>111</v>
      </c>
      <c r="BI1318" t="s">
        <v>111</v>
      </c>
      <c r="BJ1318" t="s">
        <v>111</v>
      </c>
      <c r="BK1318" t="s">
        <v>111</v>
      </c>
      <c r="BL1318" t="s">
        <v>111</v>
      </c>
      <c r="BM1318" t="s">
        <v>111</v>
      </c>
      <c r="BN1318" t="s">
        <v>111</v>
      </c>
      <c r="BO1318" t="s">
        <v>111</v>
      </c>
      <c r="BP1318" t="s">
        <v>111</v>
      </c>
      <c r="BQ1318" t="s">
        <v>111</v>
      </c>
      <c r="BR1318" t="s">
        <v>111</v>
      </c>
      <c r="BS1318" t="s">
        <v>111</v>
      </c>
      <c r="BT1318" t="s">
        <v>111</v>
      </c>
      <c r="BU1318" t="s">
        <v>111</v>
      </c>
      <c r="BV1318" t="s">
        <v>111</v>
      </c>
      <c r="BW1318" t="s">
        <v>111</v>
      </c>
      <c r="BX1318" t="s">
        <v>111</v>
      </c>
      <c r="BY1318" t="s">
        <v>111</v>
      </c>
      <c r="BZ1318" t="s">
        <v>111</v>
      </c>
      <c r="CA1318" t="s">
        <v>111</v>
      </c>
      <c r="CB1318" t="s">
        <v>111</v>
      </c>
      <c r="CC1318" t="s">
        <v>111</v>
      </c>
      <c r="CD1318" t="s">
        <v>111</v>
      </c>
      <c r="CE1318" t="s">
        <v>111</v>
      </c>
      <c r="CF1318" t="s">
        <v>111</v>
      </c>
      <c r="CG1318" t="s">
        <v>111</v>
      </c>
      <c r="CH1318" t="s">
        <v>111</v>
      </c>
      <c r="CI1318" t="s">
        <v>111</v>
      </c>
      <c r="CJ1318" t="s">
        <v>111</v>
      </c>
      <c r="CK1318" t="s">
        <v>111</v>
      </c>
      <c r="CL1318" t="s">
        <v>111</v>
      </c>
      <c r="CM1318" t="s">
        <v>198</v>
      </c>
      <c r="CN1318" t="s">
        <v>113</v>
      </c>
      <c r="CO1318" t="s">
        <v>222</v>
      </c>
      <c r="CP1318" t="s">
        <v>111</v>
      </c>
      <c r="CQ1318">
        <v>0</v>
      </c>
      <c r="CR1318">
        <v>0</v>
      </c>
      <c r="CS1318">
        <v>0</v>
      </c>
      <c r="CT1318" s="1" t="s">
        <v>3727</v>
      </c>
      <c r="CU1318">
        <v>0</v>
      </c>
      <c r="CV1318" t="s">
        <v>111</v>
      </c>
      <c r="CW1318" t="s">
        <v>111</v>
      </c>
      <c r="CX1318" t="s">
        <v>111</v>
      </c>
      <c r="CY1318">
        <v>0</v>
      </c>
      <c r="CZ1318" t="s">
        <v>111</v>
      </c>
      <c r="DA1318" t="s">
        <v>111</v>
      </c>
      <c r="DB1318" t="s">
        <v>111</v>
      </c>
      <c r="DC1318" t="s">
        <v>111</v>
      </c>
    </row>
    <row r="1319" spans="1:107">
      <c r="A1319">
        <v>104</v>
      </c>
      <c r="B1319" t="s">
        <v>162</v>
      </c>
      <c r="C1319" t="s">
        <v>3777</v>
      </c>
      <c r="D1319" t="s">
        <v>3778</v>
      </c>
      <c r="E1319" t="s">
        <v>3779</v>
      </c>
      <c r="F1319" t="s">
        <v>2211</v>
      </c>
      <c r="G1319" t="s">
        <v>24</v>
      </c>
      <c r="H1319">
        <v>1.4</v>
      </c>
      <c r="I1319">
        <v>45</v>
      </c>
      <c r="J1319">
        <v>0</v>
      </c>
      <c r="K1319">
        <v>0</v>
      </c>
      <c r="L1319" t="s">
        <v>117</v>
      </c>
      <c r="M1319" t="s">
        <v>118</v>
      </c>
      <c r="N1319">
        <v>40</v>
      </c>
      <c r="O1319">
        <v>2</v>
      </c>
      <c r="P1319" t="s">
        <v>138</v>
      </c>
      <c r="Q1319">
        <v>35</v>
      </c>
      <c r="R1319">
        <v>0</v>
      </c>
      <c r="S1319">
        <v>0</v>
      </c>
      <c r="T1319">
        <v>0</v>
      </c>
      <c r="U1319" s="1" t="s">
        <v>3780</v>
      </c>
      <c r="V1319">
        <v>0</v>
      </c>
      <c r="W1319">
        <v>0</v>
      </c>
      <c r="X1319">
        <v>0</v>
      </c>
      <c r="Y1319">
        <v>25</v>
      </c>
      <c r="Z1319" t="s">
        <v>111</v>
      </c>
      <c r="AA1319">
        <v>0</v>
      </c>
      <c r="AB1319" t="s">
        <v>111</v>
      </c>
      <c r="AC1319">
        <v>0</v>
      </c>
      <c r="AD1319" t="s">
        <v>111</v>
      </c>
      <c r="AE1319">
        <v>0</v>
      </c>
      <c r="AF1319">
        <v>0</v>
      </c>
      <c r="AG1319" t="s">
        <v>111</v>
      </c>
      <c r="AH1319" t="s">
        <v>111</v>
      </c>
      <c r="AI1319" t="s">
        <v>111</v>
      </c>
      <c r="AJ1319" t="s">
        <v>111</v>
      </c>
      <c r="AK1319" t="s">
        <v>111</v>
      </c>
      <c r="AL1319" t="s">
        <v>111</v>
      </c>
      <c r="AM1319">
        <v>0</v>
      </c>
      <c r="AN1319">
        <v>0</v>
      </c>
      <c r="AO1319">
        <v>0</v>
      </c>
      <c r="AP1319" t="s">
        <v>111</v>
      </c>
      <c r="AQ1319" t="s">
        <v>111</v>
      </c>
      <c r="AR1319" t="s">
        <v>111</v>
      </c>
      <c r="AS1319" t="s">
        <v>111</v>
      </c>
      <c r="AT1319" t="s">
        <v>111</v>
      </c>
      <c r="AU1319" t="s">
        <v>111</v>
      </c>
      <c r="AV1319" t="s">
        <v>111</v>
      </c>
      <c r="AW1319" t="s">
        <v>111</v>
      </c>
      <c r="AX1319" t="s">
        <v>111</v>
      </c>
      <c r="AY1319" t="s">
        <v>111</v>
      </c>
      <c r="AZ1319" t="s">
        <v>111</v>
      </c>
      <c r="BA1319" t="s">
        <v>111</v>
      </c>
      <c r="BB1319" t="s">
        <v>111</v>
      </c>
      <c r="BC1319" t="s">
        <v>111</v>
      </c>
      <c r="BD1319" t="s">
        <v>111</v>
      </c>
      <c r="BE1319" t="s">
        <v>111</v>
      </c>
      <c r="BF1319" t="s">
        <v>111</v>
      </c>
      <c r="BG1319" t="s">
        <v>111</v>
      </c>
      <c r="BH1319" t="s">
        <v>111</v>
      </c>
      <c r="BI1319" t="s">
        <v>111</v>
      </c>
      <c r="BJ1319" t="s">
        <v>111</v>
      </c>
      <c r="BK1319" t="s">
        <v>111</v>
      </c>
      <c r="BL1319" t="s">
        <v>111</v>
      </c>
      <c r="BM1319" t="s">
        <v>111</v>
      </c>
      <c r="BN1319" t="s">
        <v>111</v>
      </c>
      <c r="BO1319" t="s">
        <v>111</v>
      </c>
      <c r="BP1319" t="s">
        <v>111</v>
      </c>
      <c r="BQ1319" t="s">
        <v>111</v>
      </c>
      <c r="BR1319" t="s">
        <v>111</v>
      </c>
      <c r="BS1319" t="s">
        <v>111</v>
      </c>
      <c r="BT1319" t="s">
        <v>111</v>
      </c>
      <c r="BU1319" t="s">
        <v>111</v>
      </c>
      <c r="BV1319" t="s">
        <v>111</v>
      </c>
      <c r="BW1319" t="s">
        <v>111</v>
      </c>
      <c r="BX1319" t="s">
        <v>111</v>
      </c>
      <c r="BY1319" t="s">
        <v>111</v>
      </c>
      <c r="BZ1319" t="s">
        <v>111</v>
      </c>
      <c r="CA1319" t="s">
        <v>111</v>
      </c>
      <c r="CB1319" t="s">
        <v>111</v>
      </c>
      <c r="CC1319" t="s">
        <v>111</v>
      </c>
      <c r="CD1319" t="s">
        <v>111</v>
      </c>
      <c r="CE1319" t="s">
        <v>111</v>
      </c>
      <c r="CF1319" t="s">
        <v>111</v>
      </c>
      <c r="CG1319" t="s">
        <v>111</v>
      </c>
      <c r="CH1319" t="s">
        <v>111</v>
      </c>
      <c r="CI1319" t="s">
        <v>111</v>
      </c>
      <c r="CJ1319" t="s">
        <v>111</v>
      </c>
      <c r="CK1319" t="s">
        <v>111</v>
      </c>
      <c r="CL1319" t="s">
        <v>111</v>
      </c>
      <c r="CM1319" t="s">
        <v>111</v>
      </c>
      <c r="CN1319" t="s">
        <v>111</v>
      </c>
      <c r="CO1319" t="s">
        <v>111</v>
      </c>
      <c r="CP1319" t="s">
        <v>111</v>
      </c>
      <c r="CQ1319">
        <v>0</v>
      </c>
      <c r="CR1319">
        <v>0</v>
      </c>
      <c r="CS1319">
        <v>0</v>
      </c>
      <c r="CT1319" s="1" t="s">
        <v>3780</v>
      </c>
      <c r="CU1319">
        <v>0</v>
      </c>
      <c r="CV1319" t="s">
        <v>111</v>
      </c>
      <c r="CW1319" t="s">
        <v>111</v>
      </c>
      <c r="CX1319" t="s">
        <v>111</v>
      </c>
      <c r="CY1319">
        <v>0</v>
      </c>
      <c r="CZ1319" t="s">
        <v>111</v>
      </c>
      <c r="DA1319" t="s">
        <v>111</v>
      </c>
      <c r="DB1319" t="s">
        <v>111</v>
      </c>
      <c r="DC1319" t="s">
        <v>111</v>
      </c>
    </row>
    <row r="1320" spans="1:107">
      <c r="A1320">
        <v>269</v>
      </c>
      <c r="B1320" t="s">
        <v>162</v>
      </c>
      <c r="C1320" t="s">
        <v>3123</v>
      </c>
      <c r="D1320" t="s">
        <v>3781</v>
      </c>
      <c r="E1320" t="s">
        <v>3782</v>
      </c>
      <c r="F1320" t="s">
        <v>1651</v>
      </c>
      <c r="G1320" t="s">
        <v>24</v>
      </c>
      <c r="H1320">
        <v>1.5</v>
      </c>
      <c r="I1320">
        <v>35</v>
      </c>
      <c r="J1320">
        <v>0</v>
      </c>
      <c r="K1320">
        <v>0</v>
      </c>
      <c r="L1320" t="s">
        <v>112</v>
      </c>
      <c r="M1320" t="s">
        <v>118</v>
      </c>
      <c r="N1320">
        <v>40</v>
      </c>
      <c r="O1320">
        <v>2</v>
      </c>
      <c r="P1320" t="s">
        <v>138</v>
      </c>
      <c r="Q1320">
        <v>35</v>
      </c>
      <c r="R1320">
        <v>0</v>
      </c>
      <c r="S1320">
        <v>0</v>
      </c>
      <c r="T1320">
        <v>0</v>
      </c>
      <c r="U1320" t="s">
        <v>1353</v>
      </c>
      <c r="V1320">
        <v>0</v>
      </c>
      <c r="W1320">
        <v>0</v>
      </c>
      <c r="X1320">
        <v>0</v>
      </c>
      <c r="Y1320">
        <v>25</v>
      </c>
      <c r="Z1320" t="s">
        <v>111</v>
      </c>
      <c r="AA1320">
        <v>0</v>
      </c>
      <c r="AB1320" t="s">
        <v>111</v>
      </c>
      <c r="AC1320">
        <v>0</v>
      </c>
      <c r="AD1320" t="s">
        <v>416</v>
      </c>
      <c r="AE1320">
        <v>0</v>
      </c>
      <c r="AF1320">
        <v>2</v>
      </c>
      <c r="AG1320">
        <v>20</v>
      </c>
      <c r="AH1320" t="s">
        <v>111</v>
      </c>
      <c r="AI1320">
        <v>40</v>
      </c>
      <c r="AJ1320" t="s">
        <v>111</v>
      </c>
      <c r="AK1320" t="s">
        <v>111</v>
      </c>
      <c r="AL1320" t="s">
        <v>111</v>
      </c>
      <c r="AM1320">
        <v>0</v>
      </c>
      <c r="AN1320">
        <v>0</v>
      </c>
      <c r="AO1320">
        <v>0</v>
      </c>
      <c r="AP1320" t="s">
        <v>111</v>
      </c>
      <c r="AQ1320" t="s">
        <v>111</v>
      </c>
      <c r="AR1320" t="s">
        <v>111</v>
      </c>
      <c r="AS1320" t="s">
        <v>111</v>
      </c>
      <c r="AT1320" t="s">
        <v>111</v>
      </c>
      <c r="AU1320" t="s">
        <v>111</v>
      </c>
      <c r="AV1320" t="s">
        <v>111</v>
      </c>
      <c r="AW1320" t="s">
        <v>111</v>
      </c>
      <c r="AX1320" t="s">
        <v>111</v>
      </c>
      <c r="AY1320" t="s">
        <v>111</v>
      </c>
      <c r="AZ1320" t="s">
        <v>111</v>
      </c>
      <c r="BA1320" t="s">
        <v>111</v>
      </c>
      <c r="BB1320" t="s">
        <v>111</v>
      </c>
      <c r="BC1320" t="s">
        <v>111</v>
      </c>
      <c r="BD1320" t="s">
        <v>111</v>
      </c>
      <c r="BE1320" t="s">
        <v>111</v>
      </c>
      <c r="BF1320" t="s">
        <v>111</v>
      </c>
      <c r="BG1320" t="s">
        <v>111</v>
      </c>
      <c r="BH1320" t="s">
        <v>111</v>
      </c>
      <c r="BI1320" t="s">
        <v>111</v>
      </c>
      <c r="BJ1320" t="s">
        <v>111</v>
      </c>
      <c r="BK1320" t="s">
        <v>111</v>
      </c>
      <c r="BL1320" t="s">
        <v>111</v>
      </c>
      <c r="BM1320" t="s">
        <v>111</v>
      </c>
      <c r="BN1320" t="s">
        <v>111</v>
      </c>
      <c r="BO1320" t="s">
        <v>111</v>
      </c>
      <c r="BP1320" t="s">
        <v>111</v>
      </c>
      <c r="BQ1320" t="s">
        <v>111</v>
      </c>
      <c r="BR1320" t="s">
        <v>111</v>
      </c>
      <c r="BS1320" t="s">
        <v>111</v>
      </c>
      <c r="BT1320" t="s">
        <v>111</v>
      </c>
      <c r="BU1320" t="s">
        <v>111</v>
      </c>
      <c r="BV1320" t="s">
        <v>111</v>
      </c>
      <c r="BW1320" t="s">
        <v>111</v>
      </c>
      <c r="BX1320" t="s">
        <v>111</v>
      </c>
      <c r="BY1320" t="s">
        <v>111</v>
      </c>
      <c r="BZ1320" t="s">
        <v>111</v>
      </c>
      <c r="CA1320" t="s">
        <v>111</v>
      </c>
      <c r="CB1320" t="s">
        <v>111</v>
      </c>
      <c r="CC1320" t="s">
        <v>111</v>
      </c>
      <c r="CD1320" t="s">
        <v>111</v>
      </c>
      <c r="CE1320" t="s">
        <v>111</v>
      </c>
      <c r="CF1320" t="s">
        <v>111</v>
      </c>
      <c r="CG1320" t="s">
        <v>111</v>
      </c>
      <c r="CH1320" t="s">
        <v>111</v>
      </c>
      <c r="CI1320" t="s">
        <v>111</v>
      </c>
      <c r="CJ1320" t="s">
        <v>111</v>
      </c>
      <c r="CK1320" t="s">
        <v>111</v>
      </c>
      <c r="CL1320" t="s">
        <v>153</v>
      </c>
      <c r="CM1320" t="s">
        <v>198</v>
      </c>
      <c r="CN1320" t="s">
        <v>113</v>
      </c>
      <c r="CO1320" t="s">
        <v>111</v>
      </c>
      <c r="CP1320" t="s">
        <v>433</v>
      </c>
      <c r="CQ1320">
        <v>0</v>
      </c>
      <c r="CR1320">
        <v>0</v>
      </c>
      <c r="CS1320">
        <v>0</v>
      </c>
      <c r="CT1320" t="s">
        <v>168</v>
      </c>
      <c r="CU1320">
        <v>0</v>
      </c>
      <c r="CV1320" t="s">
        <v>111</v>
      </c>
      <c r="CW1320" t="s">
        <v>111</v>
      </c>
      <c r="CX1320" t="s">
        <v>111</v>
      </c>
      <c r="CY1320">
        <v>0</v>
      </c>
      <c r="CZ1320" t="s">
        <v>111</v>
      </c>
      <c r="DA1320" t="s">
        <v>111</v>
      </c>
      <c r="DB1320" t="s">
        <v>111</v>
      </c>
      <c r="DC1320" t="s">
        <v>111</v>
      </c>
    </row>
    <row r="1321" spans="1:107">
      <c r="A1321">
        <v>18</v>
      </c>
      <c r="B1321" t="s">
        <v>162</v>
      </c>
      <c r="C1321" t="s">
        <v>3783</v>
      </c>
      <c r="D1321" t="s">
        <v>3784</v>
      </c>
      <c r="E1321" t="s">
        <v>3785</v>
      </c>
      <c r="F1321" t="s">
        <v>1260</v>
      </c>
      <c r="G1321" t="s">
        <v>24</v>
      </c>
      <c r="H1321">
        <v>2</v>
      </c>
      <c r="I1321">
        <v>40</v>
      </c>
      <c r="J1321">
        <v>0</v>
      </c>
      <c r="K1321">
        <v>0</v>
      </c>
      <c r="L1321" t="s">
        <v>117</v>
      </c>
      <c r="M1321" t="s">
        <v>118</v>
      </c>
      <c r="N1321">
        <v>40</v>
      </c>
      <c r="O1321">
        <v>1</v>
      </c>
      <c r="P1321" t="s">
        <v>138</v>
      </c>
      <c r="Q1321">
        <v>35</v>
      </c>
      <c r="R1321">
        <v>0</v>
      </c>
      <c r="S1321">
        <v>0</v>
      </c>
      <c r="T1321">
        <v>0</v>
      </c>
      <c r="U1321" t="s">
        <v>168</v>
      </c>
      <c r="V1321">
        <v>0</v>
      </c>
      <c r="W1321">
        <v>0</v>
      </c>
      <c r="X1321">
        <v>0</v>
      </c>
      <c r="Y1321">
        <v>25</v>
      </c>
      <c r="Z1321" t="s">
        <v>111</v>
      </c>
      <c r="AA1321">
        <v>0</v>
      </c>
      <c r="AB1321" t="s">
        <v>111</v>
      </c>
      <c r="AC1321">
        <v>0</v>
      </c>
      <c r="AD1321" t="s">
        <v>416</v>
      </c>
      <c r="AE1321">
        <v>4</v>
      </c>
      <c r="AF1321">
        <v>1</v>
      </c>
      <c r="AG1321">
        <v>8</v>
      </c>
      <c r="AH1321" t="s">
        <v>111</v>
      </c>
      <c r="AI1321">
        <v>25</v>
      </c>
      <c r="AJ1321" t="s">
        <v>111</v>
      </c>
      <c r="AK1321" t="s">
        <v>111</v>
      </c>
      <c r="AL1321" t="s">
        <v>111</v>
      </c>
      <c r="AM1321">
        <v>0</v>
      </c>
      <c r="AN1321">
        <v>0</v>
      </c>
      <c r="AO1321">
        <v>0</v>
      </c>
      <c r="AP1321" t="s">
        <v>288</v>
      </c>
      <c r="AQ1321" t="s">
        <v>111</v>
      </c>
      <c r="AR1321" t="s">
        <v>111</v>
      </c>
      <c r="AS1321" t="s">
        <v>111</v>
      </c>
      <c r="AT1321" t="s">
        <v>188</v>
      </c>
      <c r="AU1321" t="s">
        <v>111</v>
      </c>
      <c r="AV1321" t="s">
        <v>111</v>
      </c>
      <c r="AW1321" t="s">
        <v>111</v>
      </c>
      <c r="AX1321" t="s">
        <v>147</v>
      </c>
      <c r="AY1321" t="s">
        <v>111</v>
      </c>
      <c r="AZ1321" t="s">
        <v>111</v>
      </c>
      <c r="BA1321" t="s">
        <v>111</v>
      </c>
      <c r="BB1321" t="s">
        <v>772</v>
      </c>
      <c r="BC1321" t="s">
        <v>111</v>
      </c>
      <c r="BD1321" t="s">
        <v>111</v>
      </c>
      <c r="BE1321" t="s">
        <v>111</v>
      </c>
      <c r="BF1321" t="s">
        <v>111</v>
      </c>
      <c r="BG1321" t="s">
        <v>111</v>
      </c>
      <c r="BH1321" t="s">
        <v>111</v>
      </c>
      <c r="BI1321" t="s">
        <v>111</v>
      </c>
      <c r="BJ1321" t="s">
        <v>111</v>
      </c>
      <c r="BK1321" t="s">
        <v>111</v>
      </c>
      <c r="BL1321" t="s">
        <v>111</v>
      </c>
      <c r="BM1321" t="s">
        <v>111</v>
      </c>
      <c r="BN1321" t="s">
        <v>111</v>
      </c>
      <c r="BO1321" t="s">
        <v>111</v>
      </c>
      <c r="BP1321" t="s">
        <v>111</v>
      </c>
      <c r="BQ1321" t="s">
        <v>111</v>
      </c>
      <c r="BR1321" t="s">
        <v>111</v>
      </c>
      <c r="BS1321" t="s">
        <v>111</v>
      </c>
      <c r="BT1321" t="s">
        <v>111</v>
      </c>
      <c r="BU1321" t="s">
        <v>111</v>
      </c>
      <c r="BV1321" t="s">
        <v>111</v>
      </c>
      <c r="BW1321" t="s">
        <v>111</v>
      </c>
      <c r="BX1321" t="s">
        <v>111</v>
      </c>
      <c r="BY1321" t="s">
        <v>111</v>
      </c>
      <c r="BZ1321" t="s">
        <v>111</v>
      </c>
      <c r="CA1321" t="s">
        <v>111</v>
      </c>
      <c r="CB1321" t="s">
        <v>111</v>
      </c>
      <c r="CC1321" t="s">
        <v>111</v>
      </c>
      <c r="CD1321" t="s">
        <v>111</v>
      </c>
      <c r="CE1321" t="s">
        <v>111</v>
      </c>
      <c r="CF1321" t="s">
        <v>111</v>
      </c>
      <c r="CG1321" t="s">
        <v>111</v>
      </c>
      <c r="CH1321" t="s">
        <v>111</v>
      </c>
      <c r="CI1321" t="s">
        <v>111</v>
      </c>
      <c r="CJ1321" t="s">
        <v>111</v>
      </c>
      <c r="CK1321" t="s">
        <v>111</v>
      </c>
      <c r="CL1321" t="s">
        <v>153</v>
      </c>
      <c r="CM1321" t="s">
        <v>198</v>
      </c>
      <c r="CN1321" t="s">
        <v>113</v>
      </c>
      <c r="CO1321" t="s">
        <v>111</v>
      </c>
      <c r="CP1321" t="s">
        <v>433</v>
      </c>
      <c r="CQ1321">
        <v>0</v>
      </c>
      <c r="CR1321">
        <v>0</v>
      </c>
      <c r="CS1321">
        <v>0</v>
      </c>
      <c r="CT1321" t="s">
        <v>168</v>
      </c>
      <c r="CU1321">
        <v>0</v>
      </c>
      <c r="CV1321" t="s">
        <v>111</v>
      </c>
      <c r="CW1321" t="s">
        <v>111</v>
      </c>
      <c r="CX1321" t="s">
        <v>111</v>
      </c>
      <c r="CY1321">
        <v>0</v>
      </c>
      <c r="CZ1321" t="s">
        <v>111</v>
      </c>
      <c r="DA1321" t="s">
        <v>111</v>
      </c>
      <c r="DB1321" t="s">
        <v>111</v>
      </c>
      <c r="DC1321" t="s">
        <v>111</v>
      </c>
    </row>
    <row r="1322" spans="1:107">
      <c r="A1322">
        <v>98</v>
      </c>
      <c r="B1322" t="s">
        <v>162</v>
      </c>
      <c r="C1322" t="s">
        <v>2952</v>
      </c>
      <c r="D1322" t="s">
        <v>3786</v>
      </c>
      <c r="E1322" t="s">
        <v>3787</v>
      </c>
      <c r="F1322" t="s">
        <v>1071</v>
      </c>
      <c r="G1322" t="s">
        <v>24</v>
      </c>
      <c r="H1322">
        <v>1.05</v>
      </c>
      <c r="I1322">
        <v>40</v>
      </c>
      <c r="J1322">
        <v>0</v>
      </c>
      <c r="K1322">
        <v>0</v>
      </c>
      <c r="L1322" t="s">
        <v>112</v>
      </c>
      <c r="M1322" t="s">
        <v>138</v>
      </c>
      <c r="N1322">
        <v>0</v>
      </c>
      <c r="O1322">
        <v>0</v>
      </c>
      <c r="P1322" t="s">
        <v>138</v>
      </c>
      <c r="Q1322">
        <v>35</v>
      </c>
      <c r="R1322">
        <v>0</v>
      </c>
      <c r="S1322">
        <v>0</v>
      </c>
      <c r="T1322">
        <v>0</v>
      </c>
      <c r="U1322" t="s">
        <v>153</v>
      </c>
      <c r="V1322">
        <v>0</v>
      </c>
      <c r="W1322">
        <v>0</v>
      </c>
      <c r="X1322">
        <v>0</v>
      </c>
      <c r="Y1322">
        <v>25</v>
      </c>
      <c r="Z1322" t="s">
        <v>111</v>
      </c>
      <c r="AA1322">
        <v>0</v>
      </c>
      <c r="AB1322" t="s">
        <v>111</v>
      </c>
      <c r="AC1322">
        <v>0</v>
      </c>
      <c r="AD1322" t="s">
        <v>111</v>
      </c>
      <c r="AE1322">
        <v>0</v>
      </c>
      <c r="AF1322">
        <v>0</v>
      </c>
      <c r="AG1322" t="s">
        <v>111</v>
      </c>
      <c r="AH1322" t="s">
        <v>111</v>
      </c>
      <c r="AI1322" t="s">
        <v>111</v>
      </c>
      <c r="AJ1322" t="s">
        <v>111</v>
      </c>
      <c r="AK1322" t="s">
        <v>111</v>
      </c>
      <c r="AL1322" t="s">
        <v>111</v>
      </c>
      <c r="AM1322">
        <v>0</v>
      </c>
      <c r="AN1322">
        <v>0</v>
      </c>
      <c r="AO1322">
        <v>0</v>
      </c>
      <c r="AP1322" t="s">
        <v>111</v>
      </c>
      <c r="AQ1322" t="s">
        <v>111</v>
      </c>
      <c r="AR1322" t="s">
        <v>111</v>
      </c>
      <c r="AS1322" t="s">
        <v>111</v>
      </c>
      <c r="AT1322" t="s">
        <v>111</v>
      </c>
      <c r="AU1322" t="s">
        <v>111</v>
      </c>
      <c r="AV1322" t="s">
        <v>111</v>
      </c>
      <c r="AW1322" t="s">
        <v>111</v>
      </c>
      <c r="AX1322" t="s">
        <v>111</v>
      </c>
      <c r="AY1322" t="s">
        <v>111</v>
      </c>
      <c r="AZ1322" t="s">
        <v>111</v>
      </c>
      <c r="BA1322" t="s">
        <v>111</v>
      </c>
      <c r="BB1322" t="s">
        <v>111</v>
      </c>
      <c r="BC1322" t="s">
        <v>111</v>
      </c>
      <c r="BD1322" t="s">
        <v>111</v>
      </c>
      <c r="BE1322" t="s">
        <v>111</v>
      </c>
      <c r="BF1322" t="s">
        <v>111</v>
      </c>
      <c r="BG1322" t="s">
        <v>111</v>
      </c>
      <c r="BH1322" t="s">
        <v>111</v>
      </c>
      <c r="BI1322" t="s">
        <v>111</v>
      </c>
      <c r="BJ1322" t="s">
        <v>111</v>
      </c>
      <c r="BK1322" t="s">
        <v>111</v>
      </c>
      <c r="BL1322" t="s">
        <v>111</v>
      </c>
      <c r="BM1322" t="s">
        <v>111</v>
      </c>
      <c r="BN1322" t="s">
        <v>111</v>
      </c>
      <c r="BO1322" t="s">
        <v>111</v>
      </c>
      <c r="BP1322" t="s">
        <v>111</v>
      </c>
      <c r="BQ1322" t="s">
        <v>111</v>
      </c>
      <c r="BR1322" t="s">
        <v>111</v>
      </c>
      <c r="BS1322" t="s">
        <v>111</v>
      </c>
      <c r="BT1322" t="s">
        <v>111</v>
      </c>
      <c r="BU1322" t="s">
        <v>111</v>
      </c>
      <c r="BV1322" t="s">
        <v>111</v>
      </c>
      <c r="BW1322" t="s">
        <v>111</v>
      </c>
      <c r="BX1322" t="s">
        <v>111</v>
      </c>
      <c r="BY1322" t="s">
        <v>111</v>
      </c>
      <c r="BZ1322" t="s">
        <v>111</v>
      </c>
      <c r="CA1322" t="s">
        <v>111</v>
      </c>
      <c r="CB1322" t="s">
        <v>111</v>
      </c>
      <c r="CC1322" t="s">
        <v>111</v>
      </c>
      <c r="CD1322" t="s">
        <v>111</v>
      </c>
      <c r="CE1322" t="s">
        <v>111</v>
      </c>
      <c r="CF1322" t="s">
        <v>111</v>
      </c>
      <c r="CG1322" t="s">
        <v>111</v>
      </c>
      <c r="CH1322" t="s">
        <v>111</v>
      </c>
      <c r="CI1322" t="s">
        <v>111</v>
      </c>
      <c r="CJ1322" t="s">
        <v>111</v>
      </c>
      <c r="CK1322" t="s">
        <v>111</v>
      </c>
      <c r="CL1322" t="s">
        <v>111</v>
      </c>
      <c r="CM1322" t="s">
        <v>198</v>
      </c>
      <c r="CN1322" t="s">
        <v>113</v>
      </c>
      <c r="CO1322" t="s">
        <v>111</v>
      </c>
      <c r="CP1322" t="s">
        <v>111</v>
      </c>
      <c r="CQ1322">
        <v>0</v>
      </c>
      <c r="CR1322">
        <v>0</v>
      </c>
      <c r="CS1322">
        <v>0</v>
      </c>
      <c r="CT1322" t="s">
        <v>168</v>
      </c>
      <c r="CU1322">
        <v>0</v>
      </c>
      <c r="CV1322" t="s">
        <v>111</v>
      </c>
      <c r="CW1322" t="s">
        <v>111</v>
      </c>
      <c r="CX1322" t="s">
        <v>111</v>
      </c>
      <c r="CY1322">
        <v>0</v>
      </c>
      <c r="CZ1322" t="s">
        <v>111</v>
      </c>
      <c r="DA1322" t="s">
        <v>111</v>
      </c>
      <c r="DB1322" t="s">
        <v>111</v>
      </c>
      <c r="DC1322" t="s">
        <v>111</v>
      </c>
    </row>
    <row r="1323" spans="1:107">
      <c r="A1323">
        <v>105</v>
      </c>
      <c r="B1323" t="s">
        <v>162</v>
      </c>
      <c r="C1323" t="s">
        <v>3788</v>
      </c>
      <c r="D1323" t="s">
        <v>3789</v>
      </c>
      <c r="E1323" t="s">
        <v>3790</v>
      </c>
      <c r="F1323" t="s">
        <v>1651</v>
      </c>
      <c r="G1323" t="s">
        <v>24</v>
      </c>
      <c r="H1323">
        <v>1.5</v>
      </c>
      <c r="I1323">
        <v>25</v>
      </c>
      <c r="J1323">
        <v>0</v>
      </c>
      <c r="K1323">
        <v>0</v>
      </c>
      <c r="L1323" t="s">
        <v>112</v>
      </c>
      <c r="M1323" t="s">
        <v>118</v>
      </c>
      <c r="N1323">
        <v>40</v>
      </c>
      <c r="O1323">
        <v>2</v>
      </c>
      <c r="P1323" t="s">
        <v>138</v>
      </c>
      <c r="Q1323">
        <v>35</v>
      </c>
      <c r="R1323">
        <v>0</v>
      </c>
      <c r="S1323">
        <v>0</v>
      </c>
      <c r="T1323">
        <v>0</v>
      </c>
      <c r="U1323" t="s">
        <v>1353</v>
      </c>
      <c r="V1323">
        <v>0</v>
      </c>
      <c r="W1323">
        <v>0</v>
      </c>
      <c r="X1323">
        <v>0</v>
      </c>
      <c r="Y1323">
        <v>25</v>
      </c>
      <c r="Z1323" t="s">
        <v>111</v>
      </c>
      <c r="AA1323">
        <v>0</v>
      </c>
      <c r="AB1323" t="s">
        <v>111</v>
      </c>
      <c r="AC1323">
        <v>0</v>
      </c>
      <c r="AD1323" t="s">
        <v>416</v>
      </c>
      <c r="AE1323">
        <v>0</v>
      </c>
      <c r="AF1323">
        <v>2</v>
      </c>
      <c r="AG1323">
        <v>13</v>
      </c>
      <c r="AH1323" t="s">
        <v>111</v>
      </c>
      <c r="AI1323">
        <v>26</v>
      </c>
      <c r="AJ1323" t="s">
        <v>111</v>
      </c>
      <c r="AK1323" t="s">
        <v>111</v>
      </c>
      <c r="AL1323" t="s">
        <v>111</v>
      </c>
      <c r="AM1323">
        <v>0</v>
      </c>
      <c r="AN1323">
        <v>0</v>
      </c>
      <c r="AO1323">
        <v>0</v>
      </c>
      <c r="AP1323" t="s">
        <v>111</v>
      </c>
      <c r="AQ1323" t="s">
        <v>111</v>
      </c>
      <c r="AR1323" t="s">
        <v>111</v>
      </c>
      <c r="AS1323" t="s">
        <v>111</v>
      </c>
      <c r="AT1323" t="s">
        <v>111</v>
      </c>
      <c r="AU1323" t="s">
        <v>111</v>
      </c>
      <c r="AV1323" t="s">
        <v>111</v>
      </c>
      <c r="AW1323" t="s">
        <v>111</v>
      </c>
      <c r="AX1323" t="s">
        <v>111</v>
      </c>
      <c r="AY1323" t="s">
        <v>111</v>
      </c>
      <c r="AZ1323" t="s">
        <v>111</v>
      </c>
      <c r="BA1323" t="s">
        <v>111</v>
      </c>
      <c r="BB1323" t="s">
        <v>111</v>
      </c>
      <c r="BC1323" t="s">
        <v>111</v>
      </c>
      <c r="BD1323" t="s">
        <v>111</v>
      </c>
      <c r="BE1323" t="s">
        <v>111</v>
      </c>
      <c r="BF1323" t="s">
        <v>111</v>
      </c>
      <c r="BG1323" t="s">
        <v>111</v>
      </c>
      <c r="BH1323" t="s">
        <v>111</v>
      </c>
      <c r="BI1323" t="s">
        <v>111</v>
      </c>
      <c r="BJ1323" t="s">
        <v>111</v>
      </c>
      <c r="BK1323" t="s">
        <v>111</v>
      </c>
      <c r="BL1323" t="s">
        <v>111</v>
      </c>
      <c r="BM1323" t="s">
        <v>111</v>
      </c>
      <c r="BN1323" t="s">
        <v>111</v>
      </c>
      <c r="BO1323" t="s">
        <v>111</v>
      </c>
      <c r="BP1323" t="s">
        <v>111</v>
      </c>
      <c r="BQ1323" t="s">
        <v>111</v>
      </c>
      <c r="BR1323" t="s">
        <v>111</v>
      </c>
      <c r="BS1323" t="s">
        <v>111</v>
      </c>
      <c r="BT1323" t="s">
        <v>111</v>
      </c>
      <c r="BU1323" t="s">
        <v>111</v>
      </c>
      <c r="BV1323" t="s">
        <v>111</v>
      </c>
      <c r="BW1323" t="s">
        <v>111</v>
      </c>
      <c r="BX1323" t="s">
        <v>111</v>
      </c>
      <c r="BY1323" t="s">
        <v>111</v>
      </c>
      <c r="BZ1323" t="s">
        <v>111</v>
      </c>
      <c r="CA1323" t="s">
        <v>111</v>
      </c>
      <c r="CB1323" t="s">
        <v>111</v>
      </c>
      <c r="CC1323" t="s">
        <v>111</v>
      </c>
      <c r="CD1323" t="s">
        <v>111</v>
      </c>
      <c r="CE1323" t="s">
        <v>111</v>
      </c>
      <c r="CF1323" t="s">
        <v>111</v>
      </c>
      <c r="CG1323" t="s">
        <v>111</v>
      </c>
      <c r="CH1323" t="s">
        <v>111</v>
      </c>
      <c r="CI1323" t="s">
        <v>111</v>
      </c>
      <c r="CJ1323" t="s">
        <v>111</v>
      </c>
      <c r="CK1323" t="s">
        <v>111</v>
      </c>
      <c r="CL1323" t="s">
        <v>153</v>
      </c>
      <c r="CM1323" t="s">
        <v>198</v>
      </c>
      <c r="CN1323" t="s">
        <v>113</v>
      </c>
      <c r="CO1323" t="s">
        <v>111</v>
      </c>
      <c r="CP1323" t="s">
        <v>433</v>
      </c>
      <c r="CQ1323">
        <v>0</v>
      </c>
      <c r="CR1323">
        <v>0</v>
      </c>
      <c r="CS1323">
        <v>0</v>
      </c>
      <c r="CT1323" t="s">
        <v>168</v>
      </c>
      <c r="CU1323">
        <v>0</v>
      </c>
      <c r="CV1323" t="s">
        <v>111</v>
      </c>
      <c r="CW1323" t="s">
        <v>111</v>
      </c>
      <c r="CX1323" t="s">
        <v>111</v>
      </c>
      <c r="CY1323">
        <v>0</v>
      </c>
      <c r="CZ1323" t="s">
        <v>111</v>
      </c>
      <c r="DA1323" t="s">
        <v>111</v>
      </c>
      <c r="DB1323" t="s">
        <v>111</v>
      </c>
      <c r="DC1323" t="s">
        <v>111</v>
      </c>
    </row>
    <row r="1324" spans="1:107">
      <c r="A1324">
        <v>106</v>
      </c>
      <c r="B1324" t="s">
        <v>162</v>
      </c>
      <c r="C1324" t="s">
        <v>3788</v>
      </c>
      <c r="D1324" t="s">
        <v>3791</v>
      </c>
      <c r="E1324" t="s">
        <v>3792</v>
      </c>
      <c r="F1324" t="s">
        <v>1651</v>
      </c>
      <c r="G1324" t="s">
        <v>24</v>
      </c>
      <c r="H1324">
        <v>1.5</v>
      </c>
      <c r="I1324">
        <v>33</v>
      </c>
      <c r="J1324">
        <v>0</v>
      </c>
      <c r="K1324">
        <v>0</v>
      </c>
      <c r="L1324" t="s">
        <v>112</v>
      </c>
      <c r="M1324" t="s">
        <v>118</v>
      </c>
      <c r="N1324">
        <v>40</v>
      </c>
      <c r="O1324">
        <v>2</v>
      </c>
      <c r="P1324" t="s">
        <v>138</v>
      </c>
      <c r="Q1324">
        <v>35</v>
      </c>
      <c r="R1324">
        <v>0</v>
      </c>
      <c r="S1324">
        <v>0</v>
      </c>
      <c r="T1324">
        <v>0</v>
      </c>
      <c r="U1324" t="s">
        <v>1353</v>
      </c>
      <c r="V1324">
        <v>0</v>
      </c>
      <c r="W1324">
        <v>0</v>
      </c>
      <c r="X1324">
        <v>0</v>
      </c>
      <c r="Y1324">
        <v>25</v>
      </c>
      <c r="Z1324" t="s">
        <v>111</v>
      </c>
      <c r="AA1324">
        <v>0</v>
      </c>
      <c r="AB1324" t="s">
        <v>111</v>
      </c>
      <c r="AC1324">
        <v>0</v>
      </c>
      <c r="AD1324" t="s">
        <v>416</v>
      </c>
      <c r="AE1324">
        <v>0</v>
      </c>
      <c r="AF1324">
        <v>2</v>
      </c>
      <c r="AG1324">
        <v>20</v>
      </c>
      <c r="AH1324" t="s">
        <v>111</v>
      </c>
      <c r="AI1324">
        <v>40</v>
      </c>
      <c r="AJ1324" t="s">
        <v>111</v>
      </c>
      <c r="AK1324" t="s">
        <v>111</v>
      </c>
      <c r="AL1324" t="s">
        <v>111</v>
      </c>
      <c r="AM1324">
        <v>0</v>
      </c>
      <c r="AN1324">
        <v>0</v>
      </c>
      <c r="AO1324">
        <v>0</v>
      </c>
      <c r="AP1324" t="s">
        <v>111</v>
      </c>
      <c r="AQ1324" t="s">
        <v>111</v>
      </c>
      <c r="AR1324" t="s">
        <v>111</v>
      </c>
      <c r="AS1324" t="s">
        <v>111</v>
      </c>
      <c r="AT1324" t="s">
        <v>111</v>
      </c>
      <c r="AU1324" t="s">
        <v>111</v>
      </c>
      <c r="AV1324" t="s">
        <v>111</v>
      </c>
      <c r="AW1324" t="s">
        <v>111</v>
      </c>
      <c r="AX1324" t="s">
        <v>111</v>
      </c>
      <c r="AY1324" t="s">
        <v>111</v>
      </c>
      <c r="AZ1324" t="s">
        <v>111</v>
      </c>
      <c r="BA1324" t="s">
        <v>111</v>
      </c>
      <c r="BB1324" t="s">
        <v>111</v>
      </c>
      <c r="BC1324" t="s">
        <v>111</v>
      </c>
      <c r="BD1324" t="s">
        <v>111</v>
      </c>
      <c r="BE1324" t="s">
        <v>111</v>
      </c>
      <c r="BF1324" t="s">
        <v>111</v>
      </c>
      <c r="BG1324" t="s">
        <v>111</v>
      </c>
      <c r="BH1324" t="s">
        <v>111</v>
      </c>
      <c r="BI1324" t="s">
        <v>111</v>
      </c>
      <c r="BJ1324" t="s">
        <v>111</v>
      </c>
      <c r="BK1324" t="s">
        <v>111</v>
      </c>
      <c r="BL1324" t="s">
        <v>111</v>
      </c>
      <c r="BM1324" t="s">
        <v>111</v>
      </c>
      <c r="BN1324" t="s">
        <v>111</v>
      </c>
      <c r="BO1324" t="s">
        <v>111</v>
      </c>
      <c r="BP1324" t="s">
        <v>111</v>
      </c>
      <c r="BQ1324" t="s">
        <v>111</v>
      </c>
      <c r="BR1324" t="s">
        <v>111</v>
      </c>
      <c r="BS1324" t="s">
        <v>111</v>
      </c>
      <c r="BT1324" t="s">
        <v>111</v>
      </c>
      <c r="BU1324" t="s">
        <v>111</v>
      </c>
      <c r="BV1324" t="s">
        <v>111</v>
      </c>
      <c r="BW1324" t="s">
        <v>111</v>
      </c>
      <c r="BX1324" t="s">
        <v>111</v>
      </c>
      <c r="BY1324" t="s">
        <v>111</v>
      </c>
      <c r="BZ1324" t="s">
        <v>111</v>
      </c>
      <c r="CA1324" t="s">
        <v>111</v>
      </c>
      <c r="CB1324" t="s">
        <v>111</v>
      </c>
      <c r="CC1324" t="s">
        <v>111</v>
      </c>
      <c r="CD1324" t="s">
        <v>111</v>
      </c>
      <c r="CE1324" t="s">
        <v>111</v>
      </c>
      <c r="CF1324" t="s">
        <v>111</v>
      </c>
      <c r="CG1324" t="s">
        <v>111</v>
      </c>
      <c r="CH1324" t="s">
        <v>111</v>
      </c>
      <c r="CI1324" t="s">
        <v>111</v>
      </c>
      <c r="CJ1324" t="s">
        <v>111</v>
      </c>
      <c r="CK1324" t="s">
        <v>111</v>
      </c>
      <c r="CL1324" t="s">
        <v>153</v>
      </c>
      <c r="CM1324" t="s">
        <v>198</v>
      </c>
      <c r="CN1324" t="s">
        <v>113</v>
      </c>
      <c r="CO1324" t="s">
        <v>111</v>
      </c>
      <c r="CP1324" t="s">
        <v>433</v>
      </c>
      <c r="CQ1324">
        <v>0</v>
      </c>
      <c r="CR1324">
        <v>0</v>
      </c>
      <c r="CS1324">
        <v>0</v>
      </c>
      <c r="CT1324" t="s">
        <v>168</v>
      </c>
      <c r="CU1324">
        <v>0</v>
      </c>
      <c r="CV1324" t="s">
        <v>111</v>
      </c>
      <c r="CW1324" t="s">
        <v>111</v>
      </c>
      <c r="CX1324" t="s">
        <v>111</v>
      </c>
      <c r="CY1324">
        <v>0</v>
      </c>
      <c r="CZ1324" t="s">
        <v>111</v>
      </c>
      <c r="DA1324" t="s">
        <v>111</v>
      </c>
      <c r="DB1324" t="s">
        <v>111</v>
      </c>
      <c r="DC1324" t="s">
        <v>111</v>
      </c>
    </row>
    <row r="1325" spans="1:107">
      <c r="A1325">
        <v>16</v>
      </c>
      <c r="B1325" t="s">
        <v>162</v>
      </c>
      <c r="C1325" t="s">
        <v>1643</v>
      </c>
      <c r="D1325" t="s">
        <v>3793</v>
      </c>
      <c r="E1325" t="s">
        <v>3794</v>
      </c>
      <c r="F1325" t="s">
        <v>2211</v>
      </c>
      <c r="G1325" t="s">
        <v>24</v>
      </c>
      <c r="H1325">
        <v>1.25</v>
      </c>
      <c r="I1325">
        <v>50</v>
      </c>
      <c r="J1325">
        <v>0</v>
      </c>
      <c r="K1325">
        <v>0</v>
      </c>
      <c r="L1325" t="s">
        <v>117</v>
      </c>
      <c r="M1325" t="s">
        <v>138</v>
      </c>
      <c r="N1325">
        <v>0</v>
      </c>
      <c r="O1325">
        <v>0</v>
      </c>
      <c r="P1325" t="s">
        <v>138</v>
      </c>
      <c r="Q1325">
        <v>35</v>
      </c>
      <c r="R1325">
        <v>0</v>
      </c>
      <c r="S1325">
        <v>0</v>
      </c>
      <c r="T1325">
        <v>0</v>
      </c>
      <c r="U1325" s="1" t="s">
        <v>3795</v>
      </c>
      <c r="V1325">
        <v>0</v>
      </c>
      <c r="W1325">
        <v>0</v>
      </c>
      <c r="X1325">
        <v>0</v>
      </c>
      <c r="Y1325">
        <v>25</v>
      </c>
      <c r="Z1325" t="s">
        <v>111</v>
      </c>
      <c r="AA1325">
        <v>0</v>
      </c>
      <c r="AB1325" t="s">
        <v>111</v>
      </c>
      <c r="AC1325">
        <v>0</v>
      </c>
      <c r="AD1325" t="s">
        <v>111</v>
      </c>
      <c r="AE1325">
        <v>0</v>
      </c>
      <c r="AF1325">
        <v>0</v>
      </c>
      <c r="AG1325" t="s">
        <v>111</v>
      </c>
      <c r="AH1325" t="s">
        <v>111</v>
      </c>
      <c r="AI1325" t="s">
        <v>111</v>
      </c>
      <c r="AJ1325" t="s">
        <v>111</v>
      </c>
      <c r="AK1325" t="s">
        <v>111</v>
      </c>
      <c r="AL1325" t="s">
        <v>111</v>
      </c>
      <c r="AM1325">
        <v>0</v>
      </c>
      <c r="AN1325">
        <v>0</v>
      </c>
      <c r="AO1325">
        <v>0</v>
      </c>
      <c r="AP1325" t="s">
        <v>111</v>
      </c>
      <c r="AQ1325" t="s">
        <v>111</v>
      </c>
      <c r="AR1325" t="s">
        <v>111</v>
      </c>
      <c r="AS1325" t="s">
        <v>111</v>
      </c>
      <c r="AT1325" t="s">
        <v>111</v>
      </c>
      <c r="AU1325" t="s">
        <v>111</v>
      </c>
      <c r="AV1325" t="s">
        <v>111</v>
      </c>
      <c r="AW1325" t="s">
        <v>111</v>
      </c>
      <c r="AX1325" t="s">
        <v>111</v>
      </c>
      <c r="AY1325" t="s">
        <v>111</v>
      </c>
      <c r="AZ1325" t="s">
        <v>111</v>
      </c>
      <c r="BA1325" t="s">
        <v>111</v>
      </c>
      <c r="BB1325" t="s">
        <v>111</v>
      </c>
      <c r="BC1325" t="s">
        <v>111</v>
      </c>
      <c r="BD1325" t="s">
        <v>111</v>
      </c>
      <c r="BE1325" t="s">
        <v>111</v>
      </c>
      <c r="BF1325" t="s">
        <v>111</v>
      </c>
      <c r="BG1325" t="s">
        <v>111</v>
      </c>
      <c r="BH1325" t="s">
        <v>111</v>
      </c>
      <c r="BI1325" t="s">
        <v>111</v>
      </c>
      <c r="BJ1325" t="s">
        <v>111</v>
      </c>
      <c r="BK1325" t="s">
        <v>111</v>
      </c>
      <c r="BL1325" t="s">
        <v>111</v>
      </c>
      <c r="BM1325" t="s">
        <v>111</v>
      </c>
      <c r="BN1325" t="s">
        <v>111</v>
      </c>
      <c r="BO1325" t="s">
        <v>111</v>
      </c>
      <c r="BP1325" t="s">
        <v>111</v>
      </c>
      <c r="BQ1325" t="s">
        <v>111</v>
      </c>
      <c r="BR1325" t="s">
        <v>111</v>
      </c>
      <c r="BS1325" t="s">
        <v>111</v>
      </c>
      <c r="BT1325" t="s">
        <v>111</v>
      </c>
      <c r="BU1325" t="s">
        <v>111</v>
      </c>
      <c r="BV1325" t="s">
        <v>111</v>
      </c>
      <c r="BW1325" t="s">
        <v>111</v>
      </c>
      <c r="BX1325" t="s">
        <v>111</v>
      </c>
      <c r="BY1325" t="s">
        <v>111</v>
      </c>
      <c r="BZ1325" t="s">
        <v>111</v>
      </c>
      <c r="CA1325" t="s">
        <v>111</v>
      </c>
      <c r="CB1325" t="s">
        <v>111</v>
      </c>
      <c r="CC1325" t="s">
        <v>111</v>
      </c>
      <c r="CD1325" t="s">
        <v>111</v>
      </c>
      <c r="CE1325" t="s">
        <v>111</v>
      </c>
      <c r="CF1325" t="s">
        <v>111</v>
      </c>
      <c r="CG1325" t="s">
        <v>111</v>
      </c>
      <c r="CH1325" t="s">
        <v>111</v>
      </c>
      <c r="CI1325" t="s">
        <v>111</v>
      </c>
      <c r="CJ1325" t="s">
        <v>111</v>
      </c>
      <c r="CK1325" t="s">
        <v>111</v>
      </c>
      <c r="CL1325" t="s">
        <v>111</v>
      </c>
      <c r="CM1325" t="s">
        <v>111</v>
      </c>
      <c r="CN1325" t="s">
        <v>111</v>
      </c>
      <c r="CO1325" t="s">
        <v>111</v>
      </c>
      <c r="CP1325" t="s">
        <v>111</v>
      </c>
      <c r="CQ1325">
        <v>0</v>
      </c>
      <c r="CR1325">
        <v>0</v>
      </c>
      <c r="CS1325">
        <v>0</v>
      </c>
      <c r="CT1325" t="s">
        <v>111</v>
      </c>
      <c r="CU1325">
        <v>0</v>
      </c>
      <c r="CV1325" t="s">
        <v>111</v>
      </c>
      <c r="CW1325" t="s">
        <v>111</v>
      </c>
      <c r="CX1325" t="s">
        <v>111</v>
      </c>
      <c r="CY1325">
        <v>0</v>
      </c>
      <c r="CZ1325" t="s">
        <v>111</v>
      </c>
      <c r="DA1325" t="s">
        <v>111</v>
      </c>
      <c r="DB1325" t="s">
        <v>111</v>
      </c>
      <c r="DC1325" t="s">
        <v>111</v>
      </c>
    </row>
    <row r="1326" spans="1:107">
      <c r="A1326">
        <v>73</v>
      </c>
      <c r="B1326" t="s">
        <v>162</v>
      </c>
      <c r="C1326" t="s">
        <v>1106</v>
      </c>
      <c r="D1326" t="s">
        <v>3796</v>
      </c>
      <c r="E1326" t="s">
        <v>3797</v>
      </c>
      <c r="F1326" t="s">
        <v>1651</v>
      </c>
      <c r="G1326" t="s">
        <v>24</v>
      </c>
      <c r="H1326">
        <v>1.45</v>
      </c>
      <c r="I1326">
        <v>30</v>
      </c>
      <c r="J1326">
        <v>0</v>
      </c>
      <c r="K1326">
        <v>0</v>
      </c>
      <c r="L1326" t="s">
        <v>112</v>
      </c>
      <c r="M1326" t="s">
        <v>118</v>
      </c>
      <c r="N1326">
        <v>40</v>
      </c>
      <c r="O1326">
        <v>1</v>
      </c>
      <c r="P1326" t="s">
        <v>138</v>
      </c>
      <c r="Q1326">
        <v>35</v>
      </c>
      <c r="R1326">
        <v>0</v>
      </c>
      <c r="S1326">
        <v>0</v>
      </c>
      <c r="T1326">
        <v>0</v>
      </c>
      <c r="U1326" t="s">
        <v>1353</v>
      </c>
      <c r="V1326">
        <v>0</v>
      </c>
      <c r="W1326">
        <v>0</v>
      </c>
      <c r="X1326">
        <v>0</v>
      </c>
      <c r="Y1326">
        <v>25</v>
      </c>
      <c r="Z1326" t="s">
        <v>111</v>
      </c>
      <c r="AA1326">
        <v>0</v>
      </c>
      <c r="AB1326" t="s">
        <v>111</v>
      </c>
      <c r="AC1326">
        <v>0</v>
      </c>
      <c r="AD1326" t="s">
        <v>416</v>
      </c>
      <c r="AE1326">
        <v>4</v>
      </c>
      <c r="AF1326">
        <v>1</v>
      </c>
      <c r="AG1326">
        <v>25</v>
      </c>
      <c r="AH1326" t="s">
        <v>111</v>
      </c>
      <c r="AI1326">
        <v>50</v>
      </c>
      <c r="AJ1326" t="s">
        <v>111</v>
      </c>
      <c r="AK1326" t="s">
        <v>111</v>
      </c>
      <c r="AL1326" t="s">
        <v>111</v>
      </c>
      <c r="AM1326">
        <v>0</v>
      </c>
      <c r="AN1326">
        <v>0</v>
      </c>
      <c r="AO1326">
        <v>0</v>
      </c>
      <c r="AP1326" t="s">
        <v>184</v>
      </c>
      <c r="AQ1326" t="s">
        <v>111</v>
      </c>
      <c r="AR1326" t="s">
        <v>111</v>
      </c>
      <c r="AS1326" t="s">
        <v>111</v>
      </c>
      <c r="AT1326" t="s">
        <v>188</v>
      </c>
      <c r="AU1326" t="s">
        <v>111</v>
      </c>
      <c r="AV1326" t="s">
        <v>111</v>
      </c>
      <c r="AW1326" t="s">
        <v>111</v>
      </c>
      <c r="AX1326" t="s">
        <v>288</v>
      </c>
      <c r="AY1326" t="s">
        <v>111</v>
      </c>
      <c r="AZ1326" t="s">
        <v>111</v>
      </c>
      <c r="BA1326" t="s">
        <v>111</v>
      </c>
      <c r="BB1326" t="s">
        <v>259</v>
      </c>
      <c r="BC1326" t="s">
        <v>111</v>
      </c>
      <c r="BD1326" t="s">
        <v>111</v>
      </c>
      <c r="BE1326" t="s">
        <v>111</v>
      </c>
      <c r="BF1326" t="s">
        <v>111</v>
      </c>
      <c r="BG1326" t="s">
        <v>111</v>
      </c>
      <c r="BH1326" t="s">
        <v>111</v>
      </c>
      <c r="BI1326" t="s">
        <v>111</v>
      </c>
      <c r="BJ1326" t="s">
        <v>111</v>
      </c>
      <c r="BK1326" t="s">
        <v>111</v>
      </c>
      <c r="BL1326" t="s">
        <v>111</v>
      </c>
      <c r="BM1326" t="s">
        <v>111</v>
      </c>
      <c r="BN1326" t="s">
        <v>111</v>
      </c>
      <c r="BO1326" t="s">
        <v>111</v>
      </c>
      <c r="BP1326" t="s">
        <v>111</v>
      </c>
      <c r="BQ1326" t="s">
        <v>111</v>
      </c>
      <c r="BR1326" t="s">
        <v>111</v>
      </c>
      <c r="BS1326" t="s">
        <v>111</v>
      </c>
      <c r="BT1326" t="s">
        <v>111</v>
      </c>
      <c r="BU1326" t="s">
        <v>111</v>
      </c>
      <c r="BV1326" t="s">
        <v>111</v>
      </c>
      <c r="BW1326" t="s">
        <v>111</v>
      </c>
      <c r="BX1326" t="s">
        <v>111</v>
      </c>
      <c r="BY1326" t="s">
        <v>111</v>
      </c>
      <c r="BZ1326" t="s">
        <v>111</v>
      </c>
      <c r="CA1326" t="s">
        <v>111</v>
      </c>
      <c r="CB1326" t="s">
        <v>111</v>
      </c>
      <c r="CC1326" t="s">
        <v>111</v>
      </c>
      <c r="CD1326" t="s">
        <v>111</v>
      </c>
      <c r="CE1326" t="s">
        <v>111</v>
      </c>
      <c r="CF1326" t="s">
        <v>111</v>
      </c>
      <c r="CG1326" t="s">
        <v>111</v>
      </c>
      <c r="CH1326" t="s">
        <v>111</v>
      </c>
      <c r="CI1326" t="s">
        <v>111</v>
      </c>
      <c r="CJ1326" t="s">
        <v>111</v>
      </c>
      <c r="CK1326" t="s">
        <v>111</v>
      </c>
      <c r="CL1326" t="s">
        <v>153</v>
      </c>
      <c r="CM1326" t="s">
        <v>198</v>
      </c>
      <c r="CN1326" t="s">
        <v>113</v>
      </c>
      <c r="CO1326" t="s">
        <v>111</v>
      </c>
      <c r="CP1326" t="s">
        <v>433</v>
      </c>
      <c r="CQ1326">
        <v>0</v>
      </c>
      <c r="CR1326">
        <v>0</v>
      </c>
      <c r="CS1326">
        <v>0</v>
      </c>
      <c r="CT1326" t="s">
        <v>168</v>
      </c>
      <c r="CU1326">
        <v>0</v>
      </c>
      <c r="CV1326" t="s">
        <v>111</v>
      </c>
      <c r="CW1326" t="s">
        <v>111</v>
      </c>
      <c r="CX1326" t="s">
        <v>111</v>
      </c>
      <c r="CY1326">
        <v>0</v>
      </c>
      <c r="CZ1326" t="s">
        <v>111</v>
      </c>
      <c r="DA1326" t="s">
        <v>111</v>
      </c>
      <c r="DB1326" t="s">
        <v>111</v>
      </c>
      <c r="DC1326" t="s">
        <v>111</v>
      </c>
    </row>
    <row r="1327" spans="1:107">
      <c r="A1327">
        <v>365</v>
      </c>
      <c r="B1327" t="s">
        <v>162</v>
      </c>
      <c r="C1327" t="s">
        <v>928</v>
      </c>
      <c r="D1327" t="s">
        <v>3798</v>
      </c>
      <c r="E1327" t="s">
        <v>3799</v>
      </c>
      <c r="F1327" t="s">
        <v>1651</v>
      </c>
      <c r="G1327" t="s">
        <v>24</v>
      </c>
      <c r="H1327">
        <v>1.1499999999999999</v>
      </c>
      <c r="I1327">
        <v>35</v>
      </c>
      <c r="J1327">
        <v>0</v>
      </c>
      <c r="K1327">
        <v>0</v>
      </c>
      <c r="L1327" t="s">
        <v>112</v>
      </c>
      <c r="M1327" t="s">
        <v>118</v>
      </c>
      <c r="N1327">
        <v>40</v>
      </c>
      <c r="O1327">
        <v>2</v>
      </c>
      <c r="P1327" t="s">
        <v>138</v>
      </c>
      <c r="Q1327">
        <v>40</v>
      </c>
      <c r="R1327">
        <v>0</v>
      </c>
      <c r="S1327">
        <v>0</v>
      </c>
      <c r="T1327">
        <v>0</v>
      </c>
      <c r="U1327" s="1" t="s">
        <v>3800</v>
      </c>
      <c r="V1327">
        <v>0</v>
      </c>
      <c r="W1327">
        <v>0</v>
      </c>
      <c r="X1327">
        <v>0</v>
      </c>
      <c r="Y1327">
        <v>25</v>
      </c>
      <c r="Z1327" t="s">
        <v>111</v>
      </c>
      <c r="AA1327">
        <v>0</v>
      </c>
      <c r="AB1327" t="s">
        <v>111</v>
      </c>
      <c r="AC1327">
        <v>0</v>
      </c>
      <c r="AD1327" t="s">
        <v>427</v>
      </c>
      <c r="AE1327">
        <v>0</v>
      </c>
      <c r="AF1327">
        <v>2</v>
      </c>
      <c r="AG1327">
        <v>26</v>
      </c>
      <c r="AH1327" t="s">
        <v>111</v>
      </c>
      <c r="AI1327">
        <v>52</v>
      </c>
      <c r="AJ1327" t="s">
        <v>111</v>
      </c>
      <c r="AK1327" t="s">
        <v>111</v>
      </c>
      <c r="AL1327" t="s">
        <v>111</v>
      </c>
      <c r="AM1327">
        <v>0</v>
      </c>
      <c r="AN1327">
        <v>0</v>
      </c>
      <c r="AO1327">
        <v>0</v>
      </c>
      <c r="AP1327" t="s">
        <v>111</v>
      </c>
      <c r="AQ1327" t="s">
        <v>111</v>
      </c>
      <c r="AR1327" t="s">
        <v>111</v>
      </c>
      <c r="AS1327" t="s">
        <v>111</v>
      </c>
      <c r="AT1327" t="s">
        <v>111</v>
      </c>
      <c r="AU1327" t="s">
        <v>111</v>
      </c>
      <c r="AV1327" t="s">
        <v>111</v>
      </c>
      <c r="AW1327" t="s">
        <v>111</v>
      </c>
      <c r="AX1327" t="s">
        <v>111</v>
      </c>
      <c r="AY1327" t="s">
        <v>111</v>
      </c>
      <c r="AZ1327" t="s">
        <v>111</v>
      </c>
      <c r="BA1327" t="s">
        <v>111</v>
      </c>
      <c r="BB1327" t="s">
        <v>111</v>
      </c>
      <c r="BC1327" t="s">
        <v>111</v>
      </c>
      <c r="BD1327" t="s">
        <v>111</v>
      </c>
      <c r="BE1327" t="s">
        <v>111</v>
      </c>
      <c r="BF1327" t="s">
        <v>111</v>
      </c>
      <c r="BG1327" t="s">
        <v>111</v>
      </c>
      <c r="BH1327" t="s">
        <v>111</v>
      </c>
      <c r="BI1327" t="s">
        <v>111</v>
      </c>
      <c r="BJ1327" t="s">
        <v>111</v>
      </c>
      <c r="BK1327" t="s">
        <v>111</v>
      </c>
      <c r="BL1327" t="s">
        <v>111</v>
      </c>
      <c r="BM1327" t="s">
        <v>111</v>
      </c>
      <c r="BN1327" t="s">
        <v>111</v>
      </c>
      <c r="BO1327" t="s">
        <v>111</v>
      </c>
      <c r="BP1327" t="s">
        <v>111</v>
      </c>
      <c r="BQ1327" t="s">
        <v>111</v>
      </c>
      <c r="BR1327" t="s">
        <v>111</v>
      </c>
      <c r="BS1327" t="s">
        <v>111</v>
      </c>
      <c r="BT1327" t="s">
        <v>111</v>
      </c>
      <c r="BU1327" t="s">
        <v>111</v>
      </c>
      <c r="BV1327" t="s">
        <v>111</v>
      </c>
      <c r="BW1327" t="s">
        <v>111</v>
      </c>
      <c r="BX1327" t="s">
        <v>111</v>
      </c>
      <c r="BY1327" t="s">
        <v>111</v>
      </c>
      <c r="BZ1327" t="s">
        <v>111</v>
      </c>
      <c r="CA1327" t="s">
        <v>111</v>
      </c>
      <c r="CB1327" t="s">
        <v>111</v>
      </c>
      <c r="CC1327" t="s">
        <v>111</v>
      </c>
      <c r="CD1327" t="s">
        <v>111</v>
      </c>
      <c r="CE1327" t="s">
        <v>111</v>
      </c>
      <c r="CF1327" t="s">
        <v>111</v>
      </c>
      <c r="CG1327" t="s">
        <v>111</v>
      </c>
      <c r="CH1327" t="s">
        <v>111</v>
      </c>
      <c r="CI1327" t="s">
        <v>111</v>
      </c>
      <c r="CJ1327" t="s">
        <v>111</v>
      </c>
      <c r="CK1327" t="s">
        <v>111</v>
      </c>
      <c r="CL1327" t="s">
        <v>153</v>
      </c>
      <c r="CM1327" t="s">
        <v>198</v>
      </c>
      <c r="CN1327" t="s">
        <v>113</v>
      </c>
      <c r="CO1327" t="s">
        <v>222</v>
      </c>
      <c r="CP1327" t="s">
        <v>433</v>
      </c>
      <c r="CQ1327">
        <v>0</v>
      </c>
      <c r="CR1327">
        <v>5000</v>
      </c>
      <c r="CS1327">
        <v>250</v>
      </c>
      <c r="CT1327" s="1" t="s">
        <v>3800</v>
      </c>
      <c r="CU1327">
        <v>0</v>
      </c>
      <c r="CV1327" t="s">
        <v>111</v>
      </c>
      <c r="CW1327" t="s">
        <v>111</v>
      </c>
      <c r="CX1327" t="s">
        <v>111</v>
      </c>
      <c r="CY1327">
        <v>0</v>
      </c>
      <c r="CZ1327" t="s">
        <v>111</v>
      </c>
      <c r="DA1327" t="s">
        <v>111</v>
      </c>
      <c r="DB1327" t="s">
        <v>111</v>
      </c>
      <c r="DC1327" t="s">
        <v>111</v>
      </c>
    </row>
    <row r="1328" spans="1:107">
      <c r="A1328">
        <v>86</v>
      </c>
      <c r="B1328" t="s">
        <v>162</v>
      </c>
      <c r="C1328" t="s">
        <v>3801</v>
      </c>
      <c r="D1328" t="s">
        <v>3802</v>
      </c>
      <c r="E1328" t="s">
        <v>3803</v>
      </c>
      <c r="F1328" t="s">
        <v>110</v>
      </c>
      <c r="G1328" t="s">
        <v>24</v>
      </c>
      <c r="H1328">
        <v>1.3</v>
      </c>
      <c r="I1328">
        <v>25</v>
      </c>
      <c r="J1328">
        <v>0</v>
      </c>
      <c r="K1328">
        <v>0</v>
      </c>
      <c r="L1328" t="s">
        <v>112</v>
      </c>
      <c r="M1328" t="s">
        <v>138</v>
      </c>
      <c r="N1328">
        <v>0</v>
      </c>
      <c r="O1328">
        <v>0</v>
      </c>
      <c r="P1328" t="s">
        <v>138</v>
      </c>
      <c r="Q1328">
        <v>35</v>
      </c>
      <c r="R1328">
        <v>0</v>
      </c>
      <c r="S1328">
        <v>0</v>
      </c>
      <c r="T1328">
        <v>0</v>
      </c>
      <c r="U1328" t="s">
        <v>211</v>
      </c>
      <c r="V1328">
        <v>0</v>
      </c>
      <c r="W1328">
        <v>0</v>
      </c>
      <c r="X1328">
        <v>0</v>
      </c>
      <c r="Y1328">
        <v>25</v>
      </c>
      <c r="Z1328" t="s">
        <v>111</v>
      </c>
      <c r="AA1328">
        <v>0</v>
      </c>
      <c r="AB1328" t="s">
        <v>111</v>
      </c>
      <c r="AC1328">
        <v>0</v>
      </c>
      <c r="AD1328" t="s">
        <v>111</v>
      </c>
      <c r="AE1328">
        <v>0</v>
      </c>
      <c r="AF1328">
        <v>0</v>
      </c>
      <c r="AG1328" t="s">
        <v>111</v>
      </c>
      <c r="AH1328" t="s">
        <v>111</v>
      </c>
      <c r="AI1328" t="s">
        <v>111</v>
      </c>
      <c r="AJ1328" t="s">
        <v>111</v>
      </c>
      <c r="AK1328" t="s">
        <v>111</v>
      </c>
      <c r="AL1328" t="s">
        <v>111</v>
      </c>
      <c r="AM1328">
        <v>0</v>
      </c>
      <c r="AN1328">
        <v>0</v>
      </c>
      <c r="AO1328">
        <v>0</v>
      </c>
      <c r="AP1328" t="s">
        <v>111</v>
      </c>
      <c r="AQ1328" t="s">
        <v>111</v>
      </c>
      <c r="AR1328" t="s">
        <v>111</v>
      </c>
      <c r="AS1328" t="s">
        <v>111</v>
      </c>
      <c r="AT1328" t="s">
        <v>111</v>
      </c>
      <c r="AU1328" t="s">
        <v>111</v>
      </c>
      <c r="AV1328" t="s">
        <v>111</v>
      </c>
      <c r="AW1328" t="s">
        <v>111</v>
      </c>
      <c r="AX1328" t="s">
        <v>111</v>
      </c>
      <c r="AY1328" t="s">
        <v>111</v>
      </c>
      <c r="AZ1328" t="s">
        <v>111</v>
      </c>
      <c r="BA1328" t="s">
        <v>111</v>
      </c>
      <c r="BB1328" t="s">
        <v>111</v>
      </c>
      <c r="BC1328" t="s">
        <v>111</v>
      </c>
      <c r="BD1328" t="s">
        <v>111</v>
      </c>
      <c r="BE1328" t="s">
        <v>111</v>
      </c>
      <c r="BF1328" t="s">
        <v>111</v>
      </c>
      <c r="BG1328" t="s">
        <v>111</v>
      </c>
      <c r="BH1328" t="s">
        <v>111</v>
      </c>
      <c r="BI1328" t="s">
        <v>111</v>
      </c>
      <c r="BJ1328" t="s">
        <v>111</v>
      </c>
      <c r="BK1328" t="s">
        <v>111</v>
      </c>
      <c r="BL1328" t="s">
        <v>111</v>
      </c>
      <c r="BM1328" t="s">
        <v>111</v>
      </c>
      <c r="BN1328" t="s">
        <v>111</v>
      </c>
      <c r="BO1328" t="s">
        <v>111</v>
      </c>
      <c r="BP1328" t="s">
        <v>111</v>
      </c>
      <c r="BQ1328" t="s">
        <v>111</v>
      </c>
      <c r="BR1328" t="s">
        <v>111</v>
      </c>
      <c r="BS1328" t="s">
        <v>111</v>
      </c>
      <c r="BT1328" t="s">
        <v>111</v>
      </c>
      <c r="BU1328" t="s">
        <v>111</v>
      </c>
      <c r="BV1328" t="s">
        <v>111</v>
      </c>
      <c r="BW1328" t="s">
        <v>111</v>
      </c>
      <c r="BX1328" t="s">
        <v>111</v>
      </c>
      <c r="BY1328" t="s">
        <v>111</v>
      </c>
      <c r="BZ1328" t="s">
        <v>111</v>
      </c>
      <c r="CA1328" t="s">
        <v>111</v>
      </c>
      <c r="CB1328" t="s">
        <v>111</v>
      </c>
      <c r="CC1328" t="s">
        <v>111</v>
      </c>
      <c r="CD1328" t="s">
        <v>111</v>
      </c>
      <c r="CE1328" t="s">
        <v>111</v>
      </c>
      <c r="CF1328" t="s">
        <v>111</v>
      </c>
      <c r="CG1328" t="s">
        <v>111</v>
      </c>
      <c r="CH1328" t="s">
        <v>111</v>
      </c>
      <c r="CI1328" t="s">
        <v>111</v>
      </c>
      <c r="CJ1328" t="s">
        <v>111</v>
      </c>
      <c r="CK1328" t="s">
        <v>111</v>
      </c>
      <c r="CL1328" t="s">
        <v>111</v>
      </c>
      <c r="CM1328" t="s">
        <v>111</v>
      </c>
      <c r="CN1328" t="s">
        <v>111</v>
      </c>
      <c r="CO1328" t="s">
        <v>111</v>
      </c>
      <c r="CP1328" t="s">
        <v>111</v>
      </c>
      <c r="CQ1328">
        <v>0</v>
      </c>
      <c r="CR1328">
        <v>0</v>
      </c>
      <c r="CS1328">
        <v>0</v>
      </c>
      <c r="CT1328" t="s">
        <v>111</v>
      </c>
      <c r="CU1328">
        <v>0</v>
      </c>
      <c r="CV1328" t="s">
        <v>111</v>
      </c>
      <c r="CW1328" t="s">
        <v>111</v>
      </c>
      <c r="CX1328" t="s">
        <v>111</v>
      </c>
      <c r="CY1328">
        <v>0</v>
      </c>
      <c r="CZ1328" t="s">
        <v>111</v>
      </c>
      <c r="DA1328" t="s">
        <v>111</v>
      </c>
      <c r="DB1328" t="s">
        <v>111</v>
      </c>
      <c r="DC1328" t="s">
        <v>111</v>
      </c>
    </row>
    <row r="1329" spans="1:107">
      <c r="A1329">
        <v>341</v>
      </c>
      <c r="B1329" t="s">
        <v>162</v>
      </c>
      <c r="C1329" t="s">
        <v>827</v>
      </c>
      <c r="D1329" t="s">
        <v>3804</v>
      </c>
      <c r="E1329" t="s">
        <v>3805</v>
      </c>
      <c r="F1329" t="s">
        <v>1651</v>
      </c>
      <c r="G1329" t="s">
        <v>24</v>
      </c>
      <c r="H1329">
        <v>1.4</v>
      </c>
      <c r="I1329">
        <v>50</v>
      </c>
      <c r="J1329">
        <v>0</v>
      </c>
      <c r="K1329">
        <v>0</v>
      </c>
      <c r="L1329" t="s">
        <v>112</v>
      </c>
      <c r="M1329" t="s">
        <v>118</v>
      </c>
      <c r="N1329">
        <v>40</v>
      </c>
      <c r="O1329">
        <v>2</v>
      </c>
      <c r="P1329" t="s">
        <v>138</v>
      </c>
      <c r="Q1329">
        <v>40</v>
      </c>
      <c r="R1329">
        <v>0</v>
      </c>
      <c r="S1329">
        <v>0</v>
      </c>
      <c r="T1329">
        <v>0</v>
      </c>
      <c r="U1329" t="s">
        <v>2685</v>
      </c>
      <c r="V1329">
        <v>0</v>
      </c>
      <c r="W1329">
        <v>0</v>
      </c>
      <c r="X1329">
        <v>0</v>
      </c>
      <c r="Y1329">
        <v>25</v>
      </c>
      <c r="Z1329" t="s">
        <v>111</v>
      </c>
      <c r="AA1329">
        <v>0</v>
      </c>
      <c r="AB1329" t="s">
        <v>111</v>
      </c>
      <c r="AC1329">
        <v>0</v>
      </c>
      <c r="AD1329" t="s">
        <v>427</v>
      </c>
      <c r="AE1329">
        <v>4</v>
      </c>
      <c r="AF1329">
        <v>2</v>
      </c>
      <c r="AG1329">
        <v>32</v>
      </c>
      <c r="AH1329" t="s">
        <v>113</v>
      </c>
      <c r="AI1329">
        <v>32</v>
      </c>
      <c r="AJ1329" t="s">
        <v>111</v>
      </c>
      <c r="AK1329" t="s">
        <v>111</v>
      </c>
      <c r="AL1329" t="s">
        <v>111</v>
      </c>
      <c r="AM1329">
        <v>0</v>
      </c>
      <c r="AN1329">
        <v>0</v>
      </c>
      <c r="AO1329">
        <v>0</v>
      </c>
      <c r="AP1329" t="s">
        <v>288</v>
      </c>
      <c r="AQ1329" t="s">
        <v>111</v>
      </c>
      <c r="AR1329" t="s">
        <v>111</v>
      </c>
      <c r="AS1329" t="s">
        <v>111</v>
      </c>
      <c r="AT1329" t="s">
        <v>259</v>
      </c>
      <c r="AU1329" t="s">
        <v>111</v>
      </c>
      <c r="AV1329" t="s">
        <v>111</v>
      </c>
      <c r="AW1329" t="s">
        <v>111</v>
      </c>
      <c r="AX1329" t="s">
        <v>184</v>
      </c>
      <c r="AY1329" t="s">
        <v>111</v>
      </c>
      <c r="AZ1329" t="s">
        <v>111</v>
      </c>
      <c r="BA1329" t="s">
        <v>111</v>
      </c>
      <c r="BB1329" t="s">
        <v>772</v>
      </c>
      <c r="BC1329" t="s">
        <v>111</v>
      </c>
      <c r="BD1329" t="s">
        <v>111</v>
      </c>
      <c r="BE1329" t="s">
        <v>111</v>
      </c>
      <c r="BF1329" t="s">
        <v>111</v>
      </c>
      <c r="BG1329" t="s">
        <v>111</v>
      </c>
      <c r="BH1329" t="s">
        <v>111</v>
      </c>
      <c r="BI1329" t="s">
        <v>111</v>
      </c>
      <c r="BJ1329" t="s">
        <v>111</v>
      </c>
      <c r="BK1329" t="s">
        <v>111</v>
      </c>
      <c r="BL1329" t="s">
        <v>111</v>
      </c>
      <c r="BM1329" t="s">
        <v>111</v>
      </c>
      <c r="BN1329" t="s">
        <v>111</v>
      </c>
      <c r="BO1329" t="s">
        <v>111</v>
      </c>
      <c r="BP1329" t="s">
        <v>111</v>
      </c>
      <c r="BQ1329" t="s">
        <v>111</v>
      </c>
      <c r="BR1329" t="s">
        <v>111</v>
      </c>
      <c r="BS1329" t="s">
        <v>111</v>
      </c>
      <c r="BT1329" t="s">
        <v>111</v>
      </c>
      <c r="BU1329" t="s">
        <v>111</v>
      </c>
      <c r="BV1329" t="s">
        <v>111</v>
      </c>
      <c r="BW1329" t="s">
        <v>111</v>
      </c>
      <c r="BX1329" t="s">
        <v>111</v>
      </c>
      <c r="BY1329" t="s">
        <v>111</v>
      </c>
      <c r="BZ1329" t="s">
        <v>111</v>
      </c>
      <c r="CA1329" t="s">
        <v>111</v>
      </c>
      <c r="CB1329" t="s">
        <v>111</v>
      </c>
      <c r="CC1329" t="s">
        <v>111</v>
      </c>
      <c r="CD1329" t="s">
        <v>111</v>
      </c>
      <c r="CE1329" t="s">
        <v>111</v>
      </c>
      <c r="CF1329" t="s">
        <v>111</v>
      </c>
      <c r="CG1329" t="s">
        <v>111</v>
      </c>
      <c r="CH1329" t="s">
        <v>111</v>
      </c>
      <c r="CI1329" t="s">
        <v>111</v>
      </c>
      <c r="CJ1329" t="s">
        <v>111</v>
      </c>
      <c r="CK1329" t="s">
        <v>111</v>
      </c>
      <c r="CL1329" t="s">
        <v>153</v>
      </c>
      <c r="CM1329" t="s">
        <v>198</v>
      </c>
      <c r="CN1329" t="s">
        <v>113</v>
      </c>
      <c r="CO1329" t="s">
        <v>111</v>
      </c>
      <c r="CP1329" t="s">
        <v>433</v>
      </c>
      <c r="CQ1329">
        <v>0</v>
      </c>
      <c r="CR1329">
        <v>3000</v>
      </c>
      <c r="CS1329">
        <v>200</v>
      </c>
      <c r="CT1329" t="s">
        <v>168</v>
      </c>
      <c r="CU1329">
        <v>0</v>
      </c>
      <c r="CV1329" t="s">
        <v>111</v>
      </c>
      <c r="CW1329" t="s">
        <v>111</v>
      </c>
      <c r="CX1329" t="s">
        <v>111</v>
      </c>
      <c r="CY1329">
        <v>0</v>
      </c>
      <c r="CZ1329" t="s">
        <v>111</v>
      </c>
      <c r="DA1329" t="s">
        <v>111</v>
      </c>
      <c r="DB1329" t="s">
        <v>111</v>
      </c>
      <c r="DC1329" t="s">
        <v>111</v>
      </c>
    </row>
    <row r="1330" spans="1:107">
      <c r="A1330">
        <v>84</v>
      </c>
      <c r="B1330" t="s">
        <v>162</v>
      </c>
      <c r="C1330" t="s">
        <v>3801</v>
      </c>
      <c r="D1330" t="s">
        <v>3806</v>
      </c>
      <c r="E1330" t="s">
        <v>3807</v>
      </c>
      <c r="F1330" t="s">
        <v>110</v>
      </c>
      <c r="G1330" t="s">
        <v>24</v>
      </c>
      <c r="H1330">
        <v>1.3</v>
      </c>
      <c r="I1330">
        <v>40</v>
      </c>
      <c r="J1330">
        <v>0</v>
      </c>
      <c r="K1330">
        <v>0</v>
      </c>
      <c r="L1330" t="s">
        <v>112</v>
      </c>
      <c r="M1330" t="s">
        <v>138</v>
      </c>
      <c r="N1330">
        <v>0</v>
      </c>
      <c r="O1330">
        <v>0</v>
      </c>
      <c r="P1330" t="s">
        <v>138</v>
      </c>
      <c r="Q1330">
        <v>40</v>
      </c>
      <c r="R1330">
        <v>0</v>
      </c>
      <c r="S1330">
        <v>0</v>
      </c>
      <c r="T1330">
        <v>0</v>
      </c>
      <c r="U1330" t="s">
        <v>211</v>
      </c>
      <c r="V1330">
        <v>0</v>
      </c>
      <c r="W1330">
        <v>0</v>
      </c>
      <c r="X1330">
        <v>0</v>
      </c>
      <c r="Y1330">
        <v>25</v>
      </c>
      <c r="Z1330" t="s">
        <v>111</v>
      </c>
      <c r="AA1330">
        <v>0</v>
      </c>
      <c r="AB1330" t="s">
        <v>111</v>
      </c>
      <c r="AC1330">
        <v>0</v>
      </c>
      <c r="AD1330" t="s">
        <v>111</v>
      </c>
      <c r="AE1330">
        <v>0</v>
      </c>
      <c r="AF1330">
        <v>0</v>
      </c>
      <c r="AG1330" t="s">
        <v>111</v>
      </c>
      <c r="AH1330" t="s">
        <v>111</v>
      </c>
      <c r="AI1330" t="s">
        <v>111</v>
      </c>
      <c r="AJ1330" t="s">
        <v>111</v>
      </c>
      <c r="AK1330" t="s">
        <v>111</v>
      </c>
      <c r="AL1330" t="s">
        <v>111</v>
      </c>
      <c r="AM1330">
        <v>0</v>
      </c>
      <c r="AN1330">
        <v>0</v>
      </c>
      <c r="AO1330">
        <v>0</v>
      </c>
      <c r="AP1330" t="s">
        <v>111</v>
      </c>
      <c r="AQ1330" t="s">
        <v>111</v>
      </c>
      <c r="AR1330" t="s">
        <v>111</v>
      </c>
      <c r="AS1330" t="s">
        <v>111</v>
      </c>
      <c r="AT1330" t="s">
        <v>111</v>
      </c>
      <c r="AU1330" t="s">
        <v>111</v>
      </c>
      <c r="AV1330" t="s">
        <v>111</v>
      </c>
      <c r="AW1330" t="s">
        <v>111</v>
      </c>
      <c r="AX1330" t="s">
        <v>111</v>
      </c>
      <c r="AY1330" t="s">
        <v>111</v>
      </c>
      <c r="AZ1330" t="s">
        <v>111</v>
      </c>
      <c r="BA1330" t="s">
        <v>111</v>
      </c>
      <c r="BB1330" t="s">
        <v>111</v>
      </c>
      <c r="BC1330" t="s">
        <v>111</v>
      </c>
      <c r="BD1330" t="s">
        <v>111</v>
      </c>
      <c r="BE1330" t="s">
        <v>111</v>
      </c>
      <c r="BF1330" t="s">
        <v>111</v>
      </c>
      <c r="BG1330" t="s">
        <v>111</v>
      </c>
      <c r="BH1330" t="s">
        <v>111</v>
      </c>
      <c r="BI1330" t="s">
        <v>111</v>
      </c>
      <c r="BJ1330" t="s">
        <v>111</v>
      </c>
      <c r="BK1330" t="s">
        <v>111</v>
      </c>
      <c r="BL1330" t="s">
        <v>111</v>
      </c>
      <c r="BM1330" t="s">
        <v>111</v>
      </c>
      <c r="BN1330" t="s">
        <v>111</v>
      </c>
      <c r="BO1330" t="s">
        <v>111</v>
      </c>
      <c r="BP1330" t="s">
        <v>111</v>
      </c>
      <c r="BQ1330" t="s">
        <v>111</v>
      </c>
      <c r="BR1330" t="s">
        <v>111</v>
      </c>
      <c r="BS1330" t="s">
        <v>111</v>
      </c>
      <c r="BT1330" t="s">
        <v>111</v>
      </c>
      <c r="BU1330" t="s">
        <v>111</v>
      </c>
      <c r="BV1330" t="s">
        <v>111</v>
      </c>
      <c r="BW1330" t="s">
        <v>111</v>
      </c>
      <c r="BX1330" t="s">
        <v>111</v>
      </c>
      <c r="BY1330" t="s">
        <v>111</v>
      </c>
      <c r="BZ1330" t="s">
        <v>111</v>
      </c>
      <c r="CA1330" t="s">
        <v>111</v>
      </c>
      <c r="CB1330" t="s">
        <v>111</v>
      </c>
      <c r="CC1330" t="s">
        <v>111</v>
      </c>
      <c r="CD1330" t="s">
        <v>111</v>
      </c>
      <c r="CE1330" t="s">
        <v>111</v>
      </c>
      <c r="CF1330" t="s">
        <v>111</v>
      </c>
      <c r="CG1330" t="s">
        <v>111</v>
      </c>
      <c r="CH1330" t="s">
        <v>111</v>
      </c>
      <c r="CI1330" t="s">
        <v>111</v>
      </c>
      <c r="CJ1330" t="s">
        <v>111</v>
      </c>
      <c r="CK1330" t="s">
        <v>111</v>
      </c>
      <c r="CL1330" t="s">
        <v>111</v>
      </c>
      <c r="CM1330" t="s">
        <v>111</v>
      </c>
      <c r="CN1330" t="s">
        <v>111</v>
      </c>
      <c r="CO1330" t="s">
        <v>111</v>
      </c>
      <c r="CP1330" t="s">
        <v>111</v>
      </c>
      <c r="CQ1330">
        <v>0</v>
      </c>
      <c r="CR1330">
        <v>0</v>
      </c>
      <c r="CS1330">
        <v>0</v>
      </c>
      <c r="CT1330" t="s">
        <v>111</v>
      </c>
      <c r="CU1330">
        <v>0</v>
      </c>
      <c r="CV1330" t="s">
        <v>111</v>
      </c>
      <c r="CW1330" t="s">
        <v>111</v>
      </c>
      <c r="CX1330" t="s">
        <v>111</v>
      </c>
      <c r="CY1330">
        <v>0</v>
      </c>
      <c r="CZ1330" t="s">
        <v>111</v>
      </c>
      <c r="DA1330" t="s">
        <v>111</v>
      </c>
      <c r="DB1330" t="s">
        <v>111</v>
      </c>
      <c r="DC1330" t="s">
        <v>111</v>
      </c>
    </row>
    <row r="1331" spans="1:107">
      <c r="A1331">
        <v>519</v>
      </c>
      <c r="B1331" t="s">
        <v>162</v>
      </c>
      <c r="C1331" t="s">
        <v>827</v>
      </c>
      <c r="D1331" t="s">
        <v>1694</v>
      </c>
      <c r="E1331" t="s">
        <v>3808</v>
      </c>
      <c r="F1331" t="s">
        <v>1651</v>
      </c>
      <c r="G1331" t="s">
        <v>24</v>
      </c>
      <c r="H1331">
        <v>1.5</v>
      </c>
      <c r="I1331">
        <v>45</v>
      </c>
      <c r="J1331">
        <v>0</v>
      </c>
      <c r="K1331">
        <v>0</v>
      </c>
      <c r="L1331" t="s">
        <v>112</v>
      </c>
      <c r="M1331" t="s">
        <v>118</v>
      </c>
      <c r="N1331">
        <v>40</v>
      </c>
      <c r="O1331">
        <v>2</v>
      </c>
      <c r="P1331" t="s">
        <v>138</v>
      </c>
      <c r="Q1331">
        <v>40</v>
      </c>
      <c r="R1331">
        <v>0</v>
      </c>
      <c r="S1331">
        <v>0</v>
      </c>
      <c r="T1331">
        <v>0</v>
      </c>
      <c r="U1331" t="s">
        <v>1353</v>
      </c>
      <c r="V1331">
        <v>0</v>
      </c>
      <c r="W1331">
        <v>0</v>
      </c>
      <c r="X1331">
        <v>0</v>
      </c>
      <c r="Y1331">
        <v>25</v>
      </c>
      <c r="Z1331" t="s">
        <v>111</v>
      </c>
      <c r="AA1331">
        <v>0</v>
      </c>
      <c r="AB1331" t="s">
        <v>111</v>
      </c>
      <c r="AC1331">
        <v>0</v>
      </c>
      <c r="AD1331" t="s">
        <v>416</v>
      </c>
      <c r="AE1331">
        <v>3</v>
      </c>
      <c r="AF1331">
        <v>2</v>
      </c>
      <c r="AG1331">
        <v>20</v>
      </c>
      <c r="AH1331" t="s">
        <v>111</v>
      </c>
      <c r="AI1331">
        <v>40</v>
      </c>
      <c r="AJ1331" t="s">
        <v>111</v>
      </c>
      <c r="AK1331" t="s">
        <v>111</v>
      </c>
      <c r="AL1331" t="s">
        <v>111</v>
      </c>
      <c r="AM1331">
        <v>0</v>
      </c>
      <c r="AN1331">
        <v>0</v>
      </c>
      <c r="AO1331">
        <v>0</v>
      </c>
      <c r="AP1331" t="s">
        <v>111</v>
      </c>
      <c r="AQ1331" t="s">
        <v>111</v>
      </c>
      <c r="AR1331" t="s">
        <v>111</v>
      </c>
      <c r="AS1331" t="s">
        <v>111</v>
      </c>
      <c r="AT1331" t="s">
        <v>111</v>
      </c>
      <c r="AU1331" t="s">
        <v>111</v>
      </c>
      <c r="AV1331" t="s">
        <v>111</v>
      </c>
      <c r="AW1331" t="s">
        <v>111</v>
      </c>
      <c r="AX1331" t="s">
        <v>111</v>
      </c>
      <c r="AY1331" t="s">
        <v>111</v>
      </c>
      <c r="AZ1331" t="s">
        <v>111</v>
      </c>
      <c r="BA1331" t="s">
        <v>111</v>
      </c>
      <c r="BB1331" t="s">
        <v>111</v>
      </c>
      <c r="BC1331" t="s">
        <v>111</v>
      </c>
      <c r="BD1331" t="s">
        <v>111</v>
      </c>
      <c r="BE1331" t="s">
        <v>111</v>
      </c>
      <c r="BF1331" t="s">
        <v>111</v>
      </c>
      <c r="BG1331" t="s">
        <v>111</v>
      </c>
      <c r="BH1331" t="s">
        <v>111</v>
      </c>
      <c r="BI1331" t="s">
        <v>111</v>
      </c>
      <c r="BJ1331" t="s">
        <v>111</v>
      </c>
      <c r="BK1331" t="s">
        <v>111</v>
      </c>
      <c r="BL1331" t="s">
        <v>111</v>
      </c>
      <c r="BM1331" t="s">
        <v>111</v>
      </c>
      <c r="BN1331" t="s">
        <v>111</v>
      </c>
      <c r="BO1331" t="s">
        <v>111</v>
      </c>
      <c r="BP1331" t="s">
        <v>111</v>
      </c>
      <c r="BQ1331" t="s">
        <v>111</v>
      </c>
      <c r="BR1331" t="s">
        <v>111</v>
      </c>
      <c r="BS1331" t="s">
        <v>111</v>
      </c>
      <c r="BT1331" t="s">
        <v>111</v>
      </c>
      <c r="BU1331" t="s">
        <v>111</v>
      </c>
      <c r="BV1331" t="s">
        <v>111</v>
      </c>
      <c r="BW1331" t="s">
        <v>111</v>
      </c>
      <c r="BX1331" t="s">
        <v>111</v>
      </c>
      <c r="BY1331" t="s">
        <v>111</v>
      </c>
      <c r="BZ1331" t="s">
        <v>111</v>
      </c>
      <c r="CA1331" t="s">
        <v>111</v>
      </c>
      <c r="CB1331" t="s">
        <v>111</v>
      </c>
      <c r="CC1331" t="s">
        <v>111</v>
      </c>
      <c r="CD1331" t="s">
        <v>111</v>
      </c>
      <c r="CE1331" t="s">
        <v>111</v>
      </c>
      <c r="CF1331" t="s">
        <v>111</v>
      </c>
      <c r="CG1331" t="s">
        <v>111</v>
      </c>
      <c r="CH1331" t="s">
        <v>111</v>
      </c>
      <c r="CI1331" t="s">
        <v>111</v>
      </c>
      <c r="CJ1331" t="s">
        <v>111</v>
      </c>
      <c r="CK1331" t="s">
        <v>111</v>
      </c>
      <c r="CL1331" t="s">
        <v>153</v>
      </c>
      <c r="CM1331" t="s">
        <v>198</v>
      </c>
      <c r="CN1331" t="s">
        <v>113</v>
      </c>
      <c r="CO1331" t="s">
        <v>111</v>
      </c>
      <c r="CP1331" t="s">
        <v>433</v>
      </c>
      <c r="CQ1331">
        <v>0</v>
      </c>
      <c r="CR1331">
        <v>0</v>
      </c>
      <c r="CS1331">
        <v>0</v>
      </c>
      <c r="CT1331" t="s">
        <v>168</v>
      </c>
      <c r="CU1331">
        <v>0</v>
      </c>
      <c r="CV1331" t="s">
        <v>111</v>
      </c>
      <c r="CW1331" t="s">
        <v>111</v>
      </c>
      <c r="CX1331" t="s">
        <v>111</v>
      </c>
      <c r="CY1331">
        <v>0</v>
      </c>
      <c r="CZ1331" t="s">
        <v>111</v>
      </c>
      <c r="DA1331" t="s">
        <v>111</v>
      </c>
      <c r="DB1331" t="s">
        <v>111</v>
      </c>
      <c r="DC1331" t="s">
        <v>111</v>
      </c>
    </row>
    <row r="1332" spans="1:107">
      <c r="A1332">
        <v>500</v>
      </c>
      <c r="B1332" t="s">
        <v>162</v>
      </c>
      <c r="C1332" t="s">
        <v>3809</v>
      </c>
      <c r="D1332" t="s">
        <v>3810</v>
      </c>
      <c r="E1332" t="s">
        <v>3811</v>
      </c>
      <c r="F1332" t="s">
        <v>1651</v>
      </c>
      <c r="G1332" t="s">
        <v>24</v>
      </c>
      <c r="H1332">
        <v>2.8</v>
      </c>
      <c r="I1332">
        <v>40</v>
      </c>
      <c r="J1332">
        <v>0</v>
      </c>
      <c r="K1332">
        <v>0</v>
      </c>
      <c r="L1332" t="s">
        <v>112</v>
      </c>
      <c r="M1332" t="s">
        <v>118</v>
      </c>
      <c r="N1332">
        <v>40</v>
      </c>
      <c r="O1332">
        <v>2</v>
      </c>
      <c r="P1332" t="s">
        <v>138</v>
      </c>
      <c r="Q1332">
        <v>40</v>
      </c>
      <c r="R1332">
        <v>0</v>
      </c>
      <c r="S1332">
        <v>0</v>
      </c>
      <c r="T1332">
        <v>0</v>
      </c>
      <c r="U1332" t="s">
        <v>1353</v>
      </c>
      <c r="V1332">
        <v>0</v>
      </c>
      <c r="W1332">
        <v>0</v>
      </c>
      <c r="X1332">
        <v>0</v>
      </c>
      <c r="Y1332">
        <v>25</v>
      </c>
      <c r="Z1332" t="s">
        <v>111</v>
      </c>
      <c r="AA1332">
        <v>0</v>
      </c>
      <c r="AB1332" t="s">
        <v>111</v>
      </c>
      <c r="AC1332">
        <v>0</v>
      </c>
      <c r="AD1332" t="s">
        <v>416</v>
      </c>
      <c r="AE1332">
        <v>3</v>
      </c>
      <c r="AF1332">
        <v>2</v>
      </c>
      <c r="AG1332">
        <v>32</v>
      </c>
      <c r="AH1332" t="s">
        <v>111</v>
      </c>
      <c r="AI1332">
        <v>32</v>
      </c>
      <c r="AJ1332" t="s">
        <v>111</v>
      </c>
      <c r="AK1332" t="s">
        <v>111</v>
      </c>
      <c r="AL1332" t="s">
        <v>111</v>
      </c>
      <c r="AM1332">
        <v>0</v>
      </c>
      <c r="AN1332">
        <v>0</v>
      </c>
      <c r="AO1332">
        <v>0</v>
      </c>
      <c r="AP1332" t="s">
        <v>111</v>
      </c>
      <c r="AQ1332" t="s">
        <v>111</v>
      </c>
      <c r="AR1332" t="s">
        <v>111</v>
      </c>
      <c r="AS1332" t="s">
        <v>111</v>
      </c>
      <c r="AT1332" t="s">
        <v>111</v>
      </c>
      <c r="AU1332" t="s">
        <v>111</v>
      </c>
      <c r="AV1332" t="s">
        <v>111</v>
      </c>
      <c r="AW1332" t="s">
        <v>111</v>
      </c>
      <c r="AX1332" t="s">
        <v>111</v>
      </c>
      <c r="AY1332" t="s">
        <v>111</v>
      </c>
      <c r="AZ1332" t="s">
        <v>111</v>
      </c>
      <c r="BA1332" t="s">
        <v>111</v>
      </c>
      <c r="BB1332" t="s">
        <v>111</v>
      </c>
      <c r="BC1332" t="s">
        <v>111</v>
      </c>
      <c r="BD1332" t="s">
        <v>111</v>
      </c>
      <c r="BE1332" t="s">
        <v>111</v>
      </c>
      <c r="BF1332" t="s">
        <v>111</v>
      </c>
      <c r="BG1332" t="s">
        <v>111</v>
      </c>
      <c r="BH1332" t="s">
        <v>111</v>
      </c>
      <c r="BI1332" t="s">
        <v>111</v>
      </c>
      <c r="BJ1332" t="s">
        <v>111</v>
      </c>
      <c r="BK1332" t="s">
        <v>111</v>
      </c>
      <c r="BL1332" t="s">
        <v>111</v>
      </c>
      <c r="BM1332" t="s">
        <v>111</v>
      </c>
      <c r="BN1332" t="s">
        <v>111</v>
      </c>
      <c r="BO1332" t="s">
        <v>111</v>
      </c>
      <c r="BP1332" t="s">
        <v>111</v>
      </c>
      <c r="BQ1332" t="s">
        <v>111</v>
      </c>
      <c r="BR1332" t="s">
        <v>111</v>
      </c>
      <c r="BS1332" t="s">
        <v>111</v>
      </c>
      <c r="BT1332" t="s">
        <v>111</v>
      </c>
      <c r="BU1332" t="s">
        <v>111</v>
      </c>
      <c r="BV1332" t="s">
        <v>111</v>
      </c>
      <c r="BW1332" t="s">
        <v>111</v>
      </c>
      <c r="BX1332" t="s">
        <v>111</v>
      </c>
      <c r="BY1332" t="s">
        <v>111</v>
      </c>
      <c r="BZ1332" t="s">
        <v>111</v>
      </c>
      <c r="CA1332" t="s">
        <v>111</v>
      </c>
      <c r="CB1332" t="s">
        <v>111</v>
      </c>
      <c r="CC1332" t="s">
        <v>111</v>
      </c>
      <c r="CD1332" t="s">
        <v>111</v>
      </c>
      <c r="CE1332" t="s">
        <v>111</v>
      </c>
      <c r="CF1332" t="s">
        <v>111</v>
      </c>
      <c r="CG1332" t="s">
        <v>111</v>
      </c>
      <c r="CH1332" t="s">
        <v>111</v>
      </c>
      <c r="CI1332" t="s">
        <v>111</v>
      </c>
      <c r="CJ1332" t="s">
        <v>111</v>
      </c>
      <c r="CK1332" t="s">
        <v>111</v>
      </c>
      <c r="CL1332" t="s">
        <v>153</v>
      </c>
      <c r="CM1332" t="s">
        <v>198</v>
      </c>
      <c r="CN1332" t="s">
        <v>113</v>
      </c>
      <c r="CO1332" t="s">
        <v>111</v>
      </c>
      <c r="CP1332" t="s">
        <v>433</v>
      </c>
      <c r="CQ1332">
        <v>0</v>
      </c>
      <c r="CR1332">
        <v>0</v>
      </c>
      <c r="CS1332">
        <v>0</v>
      </c>
      <c r="CT1332" t="s">
        <v>168</v>
      </c>
      <c r="CU1332">
        <v>0</v>
      </c>
      <c r="CV1332" t="s">
        <v>111</v>
      </c>
      <c r="CW1332" t="s">
        <v>111</v>
      </c>
      <c r="CX1332" t="s">
        <v>111</v>
      </c>
      <c r="CY1332">
        <v>0</v>
      </c>
      <c r="CZ1332" t="s">
        <v>111</v>
      </c>
      <c r="DA1332" t="s">
        <v>111</v>
      </c>
      <c r="DB1332" t="s">
        <v>111</v>
      </c>
      <c r="DC1332" t="s">
        <v>111</v>
      </c>
    </row>
    <row r="1333" spans="1:107">
      <c r="A1333">
        <v>103</v>
      </c>
      <c r="B1333" t="s">
        <v>162</v>
      </c>
      <c r="C1333" t="s">
        <v>3777</v>
      </c>
      <c r="D1333" t="s">
        <v>3812</v>
      </c>
      <c r="E1333" t="s">
        <v>3813</v>
      </c>
      <c r="F1333" t="s">
        <v>110</v>
      </c>
      <c r="G1333" t="s">
        <v>24</v>
      </c>
      <c r="H1333">
        <v>1.6</v>
      </c>
      <c r="I1333">
        <v>35</v>
      </c>
      <c r="J1333">
        <v>0</v>
      </c>
      <c r="K1333">
        <v>0</v>
      </c>
      <c r="L1333" t="s">
        <v>112</v>
      </c>
      <c r="M1333" t="s">
        <v>138</v>
      </c>
      <c r="N1333">
        <v>0</v>
      </c>
      <c r="O1333">
        <v>0</v>
      </c>
      <c r="P1333" t="s">
        <v>138</v>
      </c>
      <c r="Q1333">
        <v>30</v>
      </c>
      <c r="R1333">
        <v>0</v>
      </c>
      <c r="S1333">
        <v>0</v>
      </c>
      <c r="T1333">
        <v>0</v>
      </c>
      <c r="U1333" s="1" t="s">
        <v>3780</v>
      </c>
      <c r="V1333">
        <v>0</v>
      </c>
      <c r="W1333">
        <v>0</v>
      </c>
      <c r="X1333">
        <v>0</v>
      </c>
      <c r="Y1333">
        <v>25</v>
      </c>
      <c r="Z1333" t="s">
        <v>111</v>
      </c>
      <c r="AA1333">
        <v>0</v>
      </c>
      <c r="AB1333" t="s">
        <v>111</v>
      </c>
      <c r="AC1333">
        <v>0</v>
      </c>
      <c r="AD1333" t="s">
        <v>111</v>
      </c>
      <c r="AE1333">
        <v>0</v>
      </c>
      <c r="AF1333">
        <v>0</v>
      </c>
      <c r="AG1333" t="s">
        <v>111</v>
      </c>
      <c r="AH1333" t="s">
        <v>111</v>
      </c>
      <c r="AI1333" t="s">
        <v>111</v>
      </c>
      <c r="AJ1333" t="s">
        <v>111</v>
      </c>
      <c r="AK1333" t="s">
        <v>111</v>
      </c>
      <c r="AL1333" t="s">
        <v>111</v>
      </c>
      <c r="AM1333">
        <v>0</v>
      </c>
      <c r="AN1333">
        <v>0</v>
      </c>
      <c r="AO1333">
        <v>0</v>
      </c>
      <c r="AP1333" t="s">
        <v>111</v>
      </c>
      <c r="AQ1333" t="s">
        <v>111</v>
      </c>
      <c r="AR1333" t="s">
        <v>111</v>
      </c>
      <c r="AS1333" t="s">
        <v>111</v>
      </c>
      <c r="AT1333" t="s">
        <v>111</v>
      </c>
      <c r="AU1333" t="s">
        <v>111</v>
      </c>
      <c r="AV1333" t="s">
        <v>111</v>
      </c>
      <c r="AW1333" t="s">
        <v>111</v>
      </c>
      <c r="AX1333" t="s">
        <v>111</v>
      </c>
      <c r="AY1333" t="s">
        <v>111</v>
      </c>
      <c r="AZ1333" t="s">
        <v>111</v>
      </c>
      <c r="BA1333" t="s">
        <v>111</v>
      </c>
      <c r="BB1333" t="s">
        <v>111</v>
      </c>
      <c r="BC1333" t="s">
        <v>111</v>
      </c>
      <c r="BD1333" t="s">
        <v>111</v>
      </c>
      <c r="BE1333" t="s">
        <v>111</v>
      </c>
      <c r="BF1333" t="s">
        <v>111</v>
      </c>
      <c r="BG1333" t="s">
        <v>111</v>
      </c>
      <c r="BH1333" t="s">
        <v>111</v>
      </c>
      <c r="BI1333" t="s">
        <v>111</v>
      </c>
      <c r="BJ1333" t="s">
        <v>111</v>
      </c>
      <c r="BK1333" t="s">
        <v>111</v>
      </c>
      <c r="BL1333" t="s">
        <v>111</v>
      </c>
      <c r="BM1333" t="s">
        <v>111</v>
      </c>
      <c r="BN1333" t="s">
        <v>111</v>
      </c>
      <c r="BO1333" t="s">
        <v>111</v>
      </c>
      <c r="BP1333" t="s">
        <v>111</v>
      </c>
      <c r="BQ1333" t="s">
        <v>111</v>
      </c>
      <c r="BR1333" t="s">
        <v>111</v>
      </c>
      <c r="BS1333" t="s">
        <v>111</v>
      </c>
      <c r="BT1333" t="s">
        <v>111</v>
      </c>
      <c r="BU1333" t="s">
        <v>111</v>
      </c>
      <c r="BV1333" t="s">
        <v>111</v>
      </c>
      <c r="BW1333" t="s">
        <v>111</v>
      </c>
      <c r="BX1333" t="s">
        <v>111</v>
      </c>
      <c r="BY1333" t="s">
        <v>111</v>
      </c>
      <c r="BZ1333" t="s">
        <v>111</v>
      </c>
      <c r="CA1333" t="s">
        <v>111</v>
      </c>
      <c r="CB1333" t="s">
        <v>111</v>
      </c>
      <c r="CC1333" t="s">
        <v>111</v>
      </c>
      <c r="CD1333" t="s">
        <v>111</v>
      </c>
      <c r="CE1333" t="s">
        <v>111</v>
      </c>
      <c r="CF1333" t="s">
        <v>111</v>
      </c>
      <c r="CG1333" t="s">
        <v>111</v>
      </c>
      <c r="CH1333" t="s">
        <v>111</v>
      </c>
      <c r="CI1333" t="s">
        <v>111</v>
      </c>
      <c r="CJ1333" t="s">
        <v>111</v>
      </c>
      <c r="CK1333" t="s">
        <v>111</v>
      </c>
      <c r="CL1333" t="s">
        <v>111</v>
      </c>
      <c r="CM1333" t="s">
        <v>111</v>
      </c>
      <c r="CN1333" t="s">
        <v>111</v>
      </c>
      <c r="CO1333" t="s">
        <v>111</v>
      </c>
      <c r="CP1333" t="s">
        <v>111</v>
      </c>
      <c r="CQ1333">
        <v>0</v>
      </c>
      <c r="CR1333">
        <v>0</v>
      </c>
      <c r="CS1333">
        <v>0</v>
      </c>
      <c r="CT1333" s="1" t="s">
        <v>3780</v>
      </c>
      <c r="CU1333">
        <v>0</v>
      </c>
      <c r="CV1333" t="s">
        <v>111</v>
      </c>
      <c r="CW1333" t="s">
        <v>111</v>
      </c>
      <c r="CX1333" t="s">
        <v>111</v>
      </c>
      <c r="CY1333">
        <v>0</v>
      </c>
      <c r="CZ1333" t="s">
        <v>111</v>
      </c>
      <c r="DA1333" t="s">
        <v>111</v>
      </c>
      <c r="DB1333" t="s">
        <v>111</v>
      </c>
      <c r="DC1333" t="s">
        <v>111</v>
      </c>
    </row>
    <row r="1334" spans="1:107">
      <c r="A1334">
        <v>502</v>
      </c>
      <c r="B1334" t="s">
        <v>162</v>
      </c>
      <c r="C1334" t="s">
        <v>1322</v>
      </c>
      <c r="D1334" t="s">
        <v>3814</v>
      </c>
      <c r="E1334" t="s">
        <v>3815</v>
      </c>
      <c r="F1334" t="s">
        <v>1651</v>
      </c>
      <c r="G1334" t="s">
        <v>24</v>
      </c>
      <c r="H1334">
        <v>1.5</v>
      </c>
      <c r="I1334">
        <v>35</v>
      </c>
      <c r="J1334">
        <v>0</v>
      </c>
      <c r="K1334">
        <v>0</v>
      </c>
      <c r="L1334" t="s">
        <v>112</v>
      </c>
      <c r="M1334" t="s">
        <v>118</v>
      </c>
      <c r="N1334">
        <v>40</v>
      </c>
      <c r="O1334">
        <v>2</v>
      </c>
      <c r="P1334" t="s">
        <v>138</v>
      </c>
      <c r="Q1334">
        <v>38.6</v>
      </c>
      <c r="R1334">
        <v>0</v>
      </c>
      <c r="S1334">
        <v>0</v>
      </c>
      <c r="T1334">
        <v>5</v>
      </c>
      <c r="U1334" s="1" t="s">
        <v>3816</v>
      </c>
      <c r="V1334">
        <v>0</v>
      </c>
      <c r="W1334">
        <v>0</v>
      </c>
      <c r="X1334">
        <v>0</v>
      </c>
      <c r="Y1334">
        <v>25</v>
      </c>
      <c r="Z1334" t="s">
        <v>111</v>
      </c>
      <c r="AA1334">
        <v>0</v>
      </c>
      <c r="AB1334" t="s">
        <v>111</v>
      </c>
      <c r="AC1334">
        <v>0</v>
      </c>
      <c r="AD1334" t="s">
        <v>416</v>
      </c>
      <c r="AE1334">
        <v>4</v>
      </c>
      <c r="AF1334">
        <v>2</v>
      </c>
      <c r="AG1334">
        <v>28</v>
      </c>
      <c r="AH1334" t="s">
        <v>111</v>
      </c>
      <c r="AI1334">
        <v>56</v>
      </c>
      <c r="AJ1334" t="s">
        <v>111</v>
      </c>
      <c r="AK1334" t="s">
        <v>111</v>
      </c>
      <c r="AL1334" t="s">
        <v>111</v>
      </c>
      <c r="AM1334">
        <v>0</v>
      </c>
      <c r="AN1334">
        <v>0</v>
      </c>
      <c r="AO1334">
        <v>0</v>
      </c>
      <c r="AP1334" t="s">
        <v>111</v>
      </c>
      <c r="AQ1334" t="s">
        <v>111</v>
      </c>
      <c r="AR1334" t="s">
        <v>111</v>
      </c>
      <c r="AS1334" t="s">
        <v>111</v>
      </c>
      <c r="AT1334" t="s">
        <v>111</v>
      </c>
      <c r="AU1334" t="s">
        <v>111</v>
      </c>
      <c r="AV1334" t="s">
        <v>111</v>
      </c>
      <c r="AW1334" t="s">
        <v>111</v>
      </c>
      <c r="AX1334" t="s">
        <v>111</v>
      </c>
      <c r="AY1334" t="s">
        <v>111</v>
      </c>
      <c r="AZ1334" t="s">
        <v>111</v>
      </c>
      <c r="BA1334" t="s">
        <v>111</v>
      </c>
      <c r="BB1334" t="s">
        <v>111</v>
      </c>
      <c r="BC1334" t="s">
        <v>111</v>
      </c>
      <c r="BD1334" t="s">
        <v>111</v>
      </c>
      <c r="BE1334" t="s">
        <v>111</v>
      </c>
      <c r="BF1334" t="s">
        <v>111</v>
      </c>
      <c r="BG1334" t="s">
        <v>111</v>
      </c>
      <c r="BH1334" t="s">
        <v>111</v>
      </c>
      <c r="BI1334" t="s">
        <v>111</v>
      </c>
      <c r="BJ1334" t="s">
        <v>111</v>
      </c>
      <c r="BK1334" t="s">
        <v>111</v>
      </c>
      <c r="BL1334" t="s">
        <v>111</v>
      </c>
      <c r="BM1334" t="s">
        <v>111</v>
      </c>
      <c r="BN1334" t="s">
        <v>111</v>
      </c>
      <c r="BO1334" t="s">
        <v>111</v>
      </c>
      <c r="BP1334" t="s">
        <v>111</v>
      </c>
      <c r="BQ1334" t="s">
        <v>111</v>
      </c>
      <c r="BR1334" t="s">
        <v>111</v>
      </c>
      <c r="BS1334" t="s">
        <v>111</v>
      </c>
      <c r="BT1334" t="s">
        <v>111</v>
      </c>
      <c r="BU1334" t="s">
        <v>111</v>
      </c>
      <c r="BV1334" t="s">
        <v>111</v>
      </c>
      <c r="BW1334" t="s">
        <v>111</v>
      </c>
      <c r="BX1334" t="s">
        <v>111</v>
      </c>
      <c r="BY1334" t="s">
        <v>111</v>
      </c>
      <c r="BZ1334" t="s">
        <v>111</v>
      </c>
      <c r="CA1334" t="s">
        <v>111</v>
      </c>
      <c r="CB1334" t="s">
        <v>111</v>
      </c>
      <c r="CC1334" t="s">
        <v>111</v>
      </c>
      <c r="CD1334" t="s">
        <v>111</v>
      </c>
      <c r="CE1334" t="s">
        <v>111</v>
      </c>
      <c r="CF1334" t="s">
        <v>111</v>
      </c>
      <c r="CG1334" t="s">
        <v>111</v>
      </c>
      <c r="CH1334" t="s">
        <v>111</v>
      </c>
      <c r="CI1334" t="s">
        <v>111</v>
      </c>
      <c r="CJ1334" t="s">
        <v>111</v>
      </c>
      <c r="CK1334" t="s">
        <v>111</v>
      </c>
      <c r="CL1334" t="s">
        <v>153</v>
      </c>
      <c r="CM1334" t="s">
        <v>198</v>
      </c>
      <c r="CN1334" t="s">
        <v>113</v>
      </c>
      <c r="CO1334" t="s">
        <v>111</v>
      </c>
      <c r="CP1334" t="s">
        <v>433</v>
      </c>
      <c r="CQ1334">
        <v>78</v>
      </c>
      <c r="CR1334">
        <v>4000</v>
      </c>
      <c r="CS1334">
        <v>200</v>
      </c>
      <c r="CT1334" s="1" t="s">
        <v>3817</v>
      </c>
      <c r="CU1334">
        <v>0</v>
      </c>
      <c r="CV1334" t="s">
        <v>111</v>
      </c>
      <c r="CW1334" t="s">
        <v>111</v>
      </c>
      <c r="CX1334" t="s">
        <v>111</v>
      </c>
      <c r="CY1334">
        <v>0</v>
      </c>
      <c r="CZ1334" t="s">
        <v>111</v>
      </c>
      <c r="DA1334" t="s">
        <v>111</v>
      </c>
      <c r="DB1334" t="s">
        <v>111</v>
      </c>
      <c r="DC1334" t="s">
        <v>111</v>
      </c>
    </row>
    <row r="1335" spans="1:107">
      <c r="A1335">
        <v>501</v>
      </c>
      <c r="B1335" t="s">
        <v>162</v>
      </c>
      <c r="C1335" t="s">
        <v>421</v>
      </c>
      <c r="D1335" t="s">
        <v>3818</v>
      </c>
      <c r="E1335" t="s">
        <v>3819</v>
      </c>
      <c r="F1335" t="s">
        <v>1651</v>
      </c>
      <c r="G1335" t="s">
        <v>24</v>
      </c>
      <c r="H1335">
        <v>1.5</v>
      </c>
      <c r="I1335">
        <v>33</v>
      </c>
      <c r="J1335">
        <v>0</v>
      </c>
      <c r="K1335">
        <v>0</v>
      </c>
      <c r="L1335" t="s">
        <v>112</v>
      </c>
      <c r="M1335" t="s">
        <v>118</v>
      </c>
      <c r="N1335">
        <v>40</v>
      </c>
      <c r="O1335">
        <v>1</v>
      </c>
      <c r="P1335" t="s">
        <v>138</v>
      </c>
      <c r="Q1335">
        <v>40</v>
      </c>
      <c r="R1335">
        <v>0</v>
      </c>
      <c r="S1335">
        <v>0</v>
      </c>
      <c r="T1335">
        <v>0</v>
      </c>
      <c r="U1335" t="s">
        <v>1384</v>
      </c>
      <c r="V1335">
        <v>0</v>
      </c>
      <c r="W1335">
        <v>0</v>
      </c>
      <c r="X1335">
        <v>0</v>
      </c>
      <c r="Y1335">
        <v>25</v>
      </c>
      <c r="Z1335" t="s">
        <v>111</v>
      </c>
      <c r="AA1335">
        <v>0</v>
      </c>
      <c r="AB1335" t="s">
        <v>111</v>
      </c>
      <c r="AC1335">
        <v>0</v>
      </c>
      <c r="AD1335" t="s">
        <v>416</v>
      </c>
      <c r="AE1335">
        <v>4</v>
      </c>
      <c r="AF1335">
        <v>1</v>
      </c>
      <c r="AG1335">
        <v>24</v>
      </c>
      <c r="AH1335" t="s">
        <v>111</v>
      </c>
      <c r="AI1335">
        <v>48</v>
      </c>
      <c r="AJ1335" t="s">
        <v>111</v>
      </c>
      <c r="AK1335" t="s">
        <v>111</v>
      </c>
      <c r="AL1335" t="s">
        <v>111</v>
      </c>
      <c r="AM1335">
        <v>0</v>
      </c>
      <c r="AN1335">
        <v>0</v>
      </c>
      <c r="AO1335">
        <v>0</v>
      </c>
      <c r="AP1335" t="s">
        <v>188</v>
      </c>
      <c r="AQ1335" t="s">
        <v>111</v>
      </c>
      <c r="AR1335" t="s">
        <v>111</v>
      </c>
      <c r="AS1335" t="s">
        <v>111</v>
      </c>
      <c r="AT1335" t="s">
        <v>271</v>
      </c>
      <c r="AU1335" t="s">
        <v>111</v>
      </c>
      <c r="AV1335" t="s">
        <v>111</v>
      </c>
      <c r="AW1335" t="s">
        <v>111</v>
      </c>
      <c r="AX1335" t="s">
        <v>1091</v>
      </c>
      <c r="AY1335" t="s">
        <v>111</v>
      </c>
      <c r="AZ1335" t="s">
        <v>111</v>
      </c>
      <c r="BA1335" t="s">
        <v>111</v>
      </c>
      <c r="BB1335" t="s">
        <v>288</v>
      </c>
      <c r="BC1335" t="s">
        <v>111</v>
      </c>
      <c r="BD1335" t="s">
        <v>111</v>
      </c>
      <c r="BE1335" t="s">
        <v>111</v>
      </c>
      <c r="BF1335" t="s">
        <v>111</v>
      </c>
      <c r="BG1335" t="s">
        <v>111</v>
      </c>
      <c r="BH1335" t="s">
        <v>111</v>
      </c>
      <c r="BI1335" t="s">
        <v>111</v>
      </c>
      <c r="BJ1335" t="s">
        <v>111</v>
      </c>
      <c r="BK1335" t="s">
        <v>111</v>
      </c>
      <c r="BL1335" t="s">
        <v>111</v>
      </c>
      <c r="BM1335" t="s">
        <v>111</v>
      </c>
      <c r="BN1335" t="s">
        <v>111</v>
      </c>
      <c r="BO1335" t="s">
        <v>111</v>
      </c>
      <c r="BP1335" t="s">
        <v>111</v>
      </c>
      <c r="BQ1335" t="s">
        <v>111</v>
      </c>
      <c r="BR1335" t="s">
        <v>111</v>
      </c>
      <c r="BS1335" t="s">
        <v>111</v>
      </c>
      <c r="BT1335" t="s">
        <v>111</v>
      </c>
      <c r="BU1335" t="s">
        <v>111</v>
      </c>
      <c r="BV1335" t="s">
        <v>111</v>
      </c>
      <c r="BW1335" t="s">
        <v>111</v>
      </c>
      <c r="BX1335" t="s">
        <v>111</v>
      </c>
      <c r="BY1335" t="s">
        <v>111</v>
      </c>
      <c r="BZ1335" t="s">
        <v>111</v>
      </c>
      <c r="CA1335" t="s">
        <v>111</v>
      </c>
      <c r="CB1335" t="s">
        <v>111</v>
      </c>
      <c r="CC1335" t="s">
        <v>111</v>
      </c>
      <c r="CD1335" t="s">
        <v>111</v>
      </c>
      <c r="CE1335" t="s">
        <v>111</v>
      </c>
      <c r="CF1335" t="s">
        <v>111</v>
      </c>
      <c r="CG1335" t="s">
        <v>111</v>
      </c>
      <c r="CH1335" t="s">
        <v>111</v>
      </c>
      <c r="CI1335" t="s">
        <v>111</v>
      </c>
      <c r="CJ1335" t="s">
        <v>111</v>
      </c>
      <c r="CK1335" t="s">
        <v>111</v>
      </c>
      <c r="CL1335" t="s">
        <v>153</v>
      </c>
      <c r="CM1335" t="s">
        <v>198</v>
      </c>
      <c r="CN1335" t="s">
        <v>113</v>
      </c>
      <c r="CO1335" t="s">
        <v>111</v>
      </c>
      <c r="CP1335" t="s">
        <v>433</v>
      </c>
      <c r="CQ1335">
        <v>0</v>
      </c>
      <c r="CR1335">
        <v>4000</v>
      </c>
      <c r="CS1335">
        <v>200</v>
      </c>
      <c r="CT1335" s="1" t="s">
        <v>3820</v>
      </c>
      <c r="CU1335">
        <v>0</v>
      </c>
      <c r="CV1335" t="s">
        <v>111</v>
      </c>
      <c r="CW1335" t="s">
        <v>111</v>
      </c>
      <c r="CX1335" t="s">
        <v>111</v>
      </c>
      <c r="CY1335">
        <v>0</v>
      </c>
      <c r="CZ1335" t="s">
        <v>111</v>
      </c>
      <c r="DA1335" t="s">
        <v>111</v>
      </c>
      <c r="DB1335" t="s">
        <v>111</v>
      </c>
      <c r="DC1335" t="s">
        <v>111</v>
      </c>
    </row>
    <row r="1336" spans="1:107">
      <c r="A1336">
        <v>47</v>
      </c>
      <c r="B1336" t="s">
        <v>162</v>
      </c>
      <c r="C1336" t="s">
        <v>2711</v>
      </c>
      <c r="D1336" t="s">
        <v>3821</v>
      </c>
      <c r="E1336" t="s">
        <v>3822</v>
      </c>
      <c r="F1336" t="s">
        <v>1071</v>
      </c>
      <c r="G1336" t="s">
        <v>24</v>
      </c>
      <c r="H1336">
        <v>1.1000000000000001</v>
      </c>
      <c r="I1336">
        <v>35</v>
      </c>
      <c r="J1336">
        <v>0</v>
      </c>
      <c r="K1336">
        <v>0</v>
      </c>
      <c r="L1336" t="s">
        <v>112</v>
      </c>
      <c r="M1336" t="s">
        <v>138</v>
      </c>
      <c r="N1336">
        <v>0</v>
      </c>
      <c r="O1336">
        <v>0</v>
      </c>
      <c r="P1336" t="s">
        <v>138</v>
      </c>
      <c r="Q1336">
        <v>40</v>
      </c>
      <c r="R1336">
        <v>0</v>
      </c>
      <c r="S1336">
        <v>0</v>
      </c>
      <c r="T1336">
        <v>0</v>
      </c>
      <c r="U1336" s="1" t="s">
        <v>3823</v>
      </c>
      <c r="V1336">
        <v>0</v>
      </c>
      <c r="W1336">
        <v>0</v>
      </c>
      <c r="X1336">
        <v>0</v>
      </c>
      <c r="Y1336">
        <v>25</v>
      </c>
      <c r="Z1336" t="s">
        <v>111</v>
      </c>
      <c r="AA1336">
        <v>0</v>
      </c>
      <c r="AB1336" t="s">
        <v>111</v>
      </c>
      <c r="AC1336">
        <v>0</v>
      </c>
      <c r="AD1336" t="s">
        <v>111</v>
      </c>
      <c r="AE1336">
        <v>0</v>
      </c>
      <c r="AF1336">
        <v>0</v>
      </c>
      <c r="AG1336" t="s">
        <v>111</v>
      </c>
      <c r="AH1336" t="s">
        <v>111</v>
      </c>
      <c r="AI1336" t="s">
        <v>111</v>
      </c>
      <c r="AJ1336" t="s">
        <v>111</v>
      </c>
      <c r="AK1336" t="s">
        <v>111</v>
      </c>
      <c r="AL1336" t="s">
        <v>111</v>
      </c>
      <c r="AM1336">
        <v>0</v>
      </c>
      <c r="AN1336">
        <v>0</v>
      </c>
      <c r="AO1336">
        <v>0</v>
      </c>
      <c r="AP1336" t="s">
        <v>111</v>
      </c>
      <c r="AQ1336" t="s">
        <v>111</v>
      </c>
      <c r="AR1336" t="s">
        <v>111</v>
      </c>
      <c r="AS1336" t="s">
        <v>111</v>
      </c>
      <c r="AT1336" t="s">
        <v>111</v>
      </c>
      <c r="AU1336" t="s">
        <v>111</v>
      </c>
      <c r="AV1336" t="s">
        <v>111</v>
      </c>
      <c r="AW1336" t="s">
        <v>111</v>
      </c>
      <c r="AX1336" t="s">
        <v>111</v>
      </c>
      <c r="AY1336" t="s">
        <v>111</v>
      </c>
      <c r="AZ1336" t="s">
        <v>111</v>
      </c>
      <c r="BA1336" t="s">
        <v>111</v>
      </c>
      <c r="BB1336" t="s">
        <v>111</v>
      </c>
      <c r="BC1336" t="s">
        <v>111</v>
      </c>
      <c r="BD1336" t="s">
        <v>111</v>
      </c>
      <c r="BE1336" t="s">
        <v>111</v>
      </c>
      <c r="BF1336" t="s">
        <v>111</v>
      </c>
      <c r="BG1336" t="s">
        <v>111</v>
      </c>
      <c r="BH1336" t="s">
        <v>111</v>
      </c>
      <c r="BI1336" t="s">
        <v>111</v>
      </c>
      <c r="BJ1336" t="s">
        <v>111</v>
      </c>
      <c r="BK1336" t="s">
        <v>111</v>
      </c>
      <c r="BL1336" t="s">
        <v>111</v>
      </c>
      <c r="BM1336" t="s">
        <v>111</v>
      </c>
      <c r="BN1336" t="s">
        <v>111</v>
      </c>
      <c r="BO1336" t="s">
        <v>111</v>
      </c>
      <c r="BP1336" t="s">
        <v>111</v>
      </c>
      <c r="BQ1336" t="s">
        <v>111</v>
      </c>
      <c r="BR1336" t="s">
        <v>111</v>
      </c>
      <c r="BS1336" t="s">
        <v>111</v>
      </c>
      <c r="BT1336" t="s">
        <v>111</v>
      </c>
      <c r="BU1336" t="s">
        <v>111</v>
      </c>
      <c r="BV1336" t="s">
        <v>111</v>
      </c>
      <c r="BW1336" t="s">
        <v>111</v>
      </c>
      <c r="BX1336" t="s">
        <v>111</v>
      </c>
      <c r="BY1336" t="s">
        <v>111</v>
      </c>
      <c r="BZ1336" t="s">
        <v>111</v>
      </c>
      <c r="CA1336" t="s">
        <v>111</v>
      </c>
      <c r="CB1336" t="s">
        <v>111</v>
      </c>
      <c r="CC1336" t="s">
        <v>111</v>
      </c>
      <c r="CD1336" t="s">
        <v>111</v>
      </c>
      <c r="CE1336" t="s">
        <v>111</v>
      </c>
      <c r="CF1336" t="s">
        <v>111</v>
      </c>
      <c r="CG1336" t="s">
        <v>111</v>
      </c>
      <c r="CH1336" t="s">
        <v>111</v>
      </c>
      <c r="CI1336" t="s">
        <v>111</v>
      </c>
      <c r="CJ1336" t="s">
        <v>111</v>
      </c>
      <c r="CK1336" t="s">
        <v>111</v>
      </c>
      <c r="CL1336" t="s">
        <v>111</v>
      </c>
      <c r="CM1336" t="s">
        <v>198</v>
      </c>
      <c r="CN1336" t="s">
        <v>113</v>
      </c>
      <c r="CO1336" t="s">
        <v>222</v>
      </c>
      <c r="CP1336" t="s">
        <v>111</v>
      </c>
      <c r="CQ1336">
        <v>0</v>
      </c>
      <c r="CR1336">
        <v>0</v>
      </c>
      <c r="CS1336">
        <v>0</v>
      </c>
      <c r="CT1336" s="1" t="s">
        <v>3824</v>
      </c>
      <c r="CU1336">
        <v>0</v>
      </c>
      <c r="CV1336" t="s">
        <v>111</v>
      </c>
      <c r="CW1336" t="s">
        <v>111</v>
      </c>
      <c r="CX1336" t="s">
        <v>111</v>
      </c>
      <c r="CY1336">
        <v>0</v>
      </c>
      <c r="CZ1336" t="s">
        <v>111</v>
      </c>
      <c r="DA1336" t="s">
        <v>111</v>
      </c>
      <c r="DB1336" t="s">
        <v>111</v>
      </c>
      <c r="DC1336" t="s">
        <v>111</v>
      </c>
    </row>
    <row r="1337" spans="1:107">
      <c r="A1337">
        <v>34</v>
      </c>
      <c r="B1337" t="s">
        <v>162</v>
      </c>
      <c r="C1337" t="s">
        <v>3777</v>
      </c>
      <c r="D1337" t="s">
        <v>3825</v>
      </c>
      <c r="E1337" t="s">
        <v>3826</v>
      </c>
      <c r="F1337" t="s">
        <v>110</v>
      </c>
      <c r="G1337" t="s">
        <v>24</v>
      </c>
      <c r="H1337">
        <v>1.2</v>
      </c>
      <c r="I1337">
        <v>45</v>
      </c>
      <c r="J1337">
        <v>0</v>
      </c>
      <c r="K1337">
        <v>0</v>
      </c>
      <c r="L1337" t="s">
        <v>112</v>
      </c>
      <c r="M1337" t="s">
        <v>118</v>
      </c>
      <c r="N1337">
        <v>40</v>
      </c>
      <c r="O1337">
        <v>2</v>
      </c>
      <c r="P1337" t="s">
        <v>138</v>
      </c>
      <c r="Q1337">
        <v>40</v>
      </c>
      <c r="R1337">
        <v>0</v>
      </c>
      <c r="S1337">
        <v>0</v>
      </c>
      <c r="T1337">
        <v>0</v>
      </c>
      <c r="U1337" s="1" t="s">
        <v>3827</v>
      </c>
      <c r="V1337">
        <v>0</v>
      </c>
      <c r="W1337">
        <v>0</v>
      </c>
      <c r="X1337">
        <v>0</v>
      </c>
      <c r="Y1337">
        <v>25</v>
      </c>
      <c r="Z1337" t="s">
        <v>111</v>
      </c>
      <c r="AA1337">
        <v>0</v>
      </c>
      <c r="AB1337" t="s">
        <v>111</v>
      </c>
      <c r="AC1337">
        <v>0</v>
      </c>
      <c r="AD1337" t="s">
        <v>111</v>
      </c>
      <c r="AE1337">
        <v>0</v>
      </c>
      <c r="AF1337">
        <v>0</v>
      </c>
      <c r="AG1337" t="s">
        <v>111</v>
      </c>
      <c r="AH1337" t="s">
        <v>111</v>
      </c>
      <c r="AI1337" t="s">
        <v>111</v>
      </c>
      <c r="AJ1337" t="s">
        <v>111</v>
      </c>
      <c r="AK1337" t="s">
        <v>111</v>
      </c>
      <c r="AL1337" t="s">
        <v>111</v>
      </c>
      <c r="AM1337">
        <v>0</v>
      </c>
      <c r="AN1337">
        <v>0</v>
      </c>
      <c r="AO1337">
        <v>0</v>
      </c>
      <c r="AP1337" t="s">
        <v>111</v>
      </c>
      <c r="AQ1337" t="s">
        <v>111</v>
      </c>
      <c r="AR1337" t="s">
        <v>111</v>
      </c>
      <c r="AS1337" t="s">
        <v>111</v>
      </c>
      <c r="AT1337" t="s">
        <v>111</v>
      </c>
      <c r="AU1337" t="s">
        <v>111</v>
      </c>
      <c r="AV1337" t="s">
        <v>111</v>
      </c>
      <c r="AW1337" t="s">
        <v>111</v>
      </c>
      <c r="AX1337" t="s">
        <v>111</v>
      </c>
      <c r="AY1337" t="s">
        <v>111</v>
      </c>
      <c r="AZ1337" t="s">
        <v>111</v>
      </c>
      <c r="BA1337" t="s">
        <v>111</v>
      </c>
      <c r="BB1337" t="s">
        <v>111</v>
      </c>
      <c r="BC1337" t="s">
        <v>111</v>
      </c>
      <c r="BD1337" t="s">
        <v>111</v>
      </c>
      <c r="BE1337" t="s">
        <v>111</v>
      </c>
      <c r="BF1337" t="s">
        <v>111</v>
      </c>
      <c r="BG1337" t="s">
        <v>111</v>
      </c>
      <c r="BH1337" t="s">
        <v>111</v>
      </c>
      <c r="BI1337" t="s">
        <v>111</v>
      </c>
      <c r="BJ1337" t="s">
        <v>111</v>
      </c>
      <c r="BK1337" t="s">
        <v>111</v>
      </c>
      <c r="BL1337" t="s">
        <v>111</v>
      </c>
      <c r="BM1337" t="s">
        <v>111</v>
      </c>
      <c r="BN1337" t="s">
        <v>111</v>
      </c>
      <c r="BO1337" t="s">
        <v>111</v>
      </c>
      <c r="BP1337" t="s">
        <v>111</v>
      </c>
      <c r="BQ1337" t="s">
        <v>111</v>
      </c>
      <c r="BR1337" t="s">
        <v>111</v>
      </c>
      <c r="BS1337" t="s">
        <v>111</v>
      </c>
      <c r="BT1337" t="s">
        <v>111</v>
      </c>
      <c r="BU1337" t="s">
        <v>111</v>
      </c>
      <c r="BV1337" t="s">
        <v>111</v>
      </c>
      <c r="BW1337" t="s">
        <v>111</v>
      </c>
      <c r="BX1337" t="s">
        <v>111</v>
      </c>
      <c r="BY1337" t="s">
        <v>111</v>
      </c>
      <c r="BZ1337" t="s">
        <v>111</v>
      </c>
      <c r="CA1337" t="s">
        <v>111</v>
      </c>
      <c r="CB1337" t="s">
        <v>111</v>
      </c>
      <c r="CC1337" t="s">
        <v>111</v>
      </c>
      <c r="CD1337" t="s">
        <v>111</v>
      </c>
      <c r="CE1337" t="s">
        <v>111</v>
      </c>
      <c r="CF1337" t="s">
        <v>111</v>
      </c>
      <c r="CG1337" t="s">
        <v>111</v>
      </c>
      <c r="CH1337" t="s">
        <v>111</v>
      </c>
      <c r="CI1337" t="s">
        <v>111</v>
      </c>
      <c r="CJ1337" t="s">
        <v>111</v>
      </c>
      <c r="CK1337" t="s">
        <v>111</v>
      </c>
      <c r="CL1337" t="s">
        <v>111</v>
      </c>
      <c r="CM1337" t="s">
        <v>111</v>
      </c>
      <c r="CN1337" t="s">
        <v>111</v>
      </c>
      <c r="CO1337" t="s">
        <v>111</v>
      </c>
      <c r="CP1337" t="s">
        <v>111</v>
      </c>
      <c r="CQ1337">
        <v>0</v>
      </c>
      <c r="CR1337">
        <v>0</v>
      </c>
      <c r="CS1337">
        <v>0</v>
      </c>
      <c r="CT1337" t="s">
        <v>111</v>
      </c>
      <c r="CU1337">
        <v>0</v>
      </c>
      <c r="CV1337" t="s">
        <v>111</v>
      </c>
      <c r="CW1337" t="s">
        <v>111</v>
      </c>
      <c r="CX1337" t="s">
        <v>111</v>
      </c>
      <c r="CY1337">
        <v>0</v>
      </c>
      <c r="CZ1337" t="s">
        <v>111</v>
      </c>
      <c r="DA1337" t="s">
        <v>111</v>
      </c>
      <c r="DB1337" t="s">
        <v>111</v>
      </c>
      <c r="DC1337" t="s">
        <v>111</v>
      </c>
    </row>
    <row r="1338" spans="1:107">
      <c r="A1338">
        <v>340</v>
      </c>
      <c r="B1338" t="s">
        <v>162</v>
      </c>
      <c r="C1338" t="s">
        <v>827</v>
      </c>
      <c r="D1338" t="s">
        <v>3828</v>
      </c>
      <c r="E1338" t="s">
        <v>3829</v>
      </c>
      <c r="F1338" t="s">
        <v>1651</v>
      </c>
      <c r="G1338" t="s">
        <v>24</v>
      </c>
      <c r="H1338">
        <v>1.4</v>
      </c>
      <c r="I1338">
        <v>40</v>
      </c>
      <c r="J1338">
        <v>0</v>
      </c>
      <c r="K1338">
        <v>0</v>
      </c>
      <c r="L1338" t="s">
        <v>112</v>
      </c>
      <c r="M1338" t="s">
        <v>118</v>
      </c>
      <c r="N1338">
        <v>40</v>
      </c>
      <c r="O1338">
        <v>2</v>
      </c>
      <c r="P1338" t="s">
        <v>138</v>
      </c>
      <c r="Q1338">
        <v>40</v>
      </c>
      <c r="R1338">
        <v>0</v>
      </c>
      <c r="S1338">
        <v>0</v>
      </c>
      <c r="T1338">
        <v>0</v>
      </c>
      <c r="U1338" t="s">
        <v>2685</v>
      </c>
      <c r="V1338">
        <v>0</v>
      </c>
      <c r="W1338">
        <v>0</v>
      </c>
      <c r="X1338">
        <v>0</v>
      </c>
      <c r="Y1338">
        <v>25</v>
      </c>
      <c r="Z1338" t="s">
        <v>111</v>
      </c>
      <c r="AA1338">
        <v>0</v>
      </c>
      <c r="AB1338" t="s">
        <v>111</v>
      </c>
      <c r="AC1338">
        <v>0</v>
      </c>
      <c r="AD1338" t="s">
        <v>427</v>
      </c>
      <c r="AE1338">
        <v>4</v>
      </c>
      <c r="AF1338">
        <v>2</v>
      </c>
      <c r="AG1338">
        <v>32</v>
      </c>
      <c r="AH1338" t="s">
        <v>111</v>
      </c>
      <c r="AI1338">
        <v>32</v>
      </c>
      <c r="AJ1338" t="s">
        <v>111</v>
      </c>
      <c r="AK1338" t="s">
        <v>111</v>
      </c>
      <c r="AL1338" t="s">
        <v>111</v>
      </c>
      <c r="AM1338">
        <v>0</v>
      </c>
      <c r="AN1338">
        <v>0</v>
      </c>
      <c r="AO1338">
        <v>0</v>
      </c>
      <c r="AP1338" t="s">
        <v>288</v>
      </c>
      <c r="AQ1338" t="s">
        <v>111</v>
      </c>
      <c r="AR1338" t="s">
        <v>111</v>
      </c>
      <c r="AS1338" t="s">
        <v>111</v>
      </c>
      <c r="AT1338" t="s">
        <v>259</v>
      </c>
      <c r="AU1338" t="s">
        <v>111</v>
      </c>
      <c r="AV1338" t="s">
        <v>111</v>
      </c>
      <c r="AW1338" t="s">
        <v>111</v>
      </c>
      <c r="AX1338" t="s">
        <v>772</v>
      </c>
      <c r="AY1338" t="s">
        <v>111</v>
      </c>
      <c r="AZ1338" t="s">
        <v>111</v>
      </c>
      <c r="BA1338" t="s">
        <v>111</v>
      </c>
      <c r="BB1338" t="s">
        <v>184</v>
      </c>
      <c r="BC1338" t="s">
        <v>111</v>
      </c>
      <c r="BD1338" t="s">
        <v>111</v>
      </c>
      <c r="BE1338" t="s">
        <v>111</v>
      </c>
      <c r="BF1338" t="s">
        <v>111</v>
      </c>
      <c r="BG1338" t="s">
        <v>111</v>
      </c>
      <c r="BH1338" t="s">
        <v>111</v>
      </c>
      <c r="BI1338" t="s">
        <v>111</v>
      </c>
      <c r="BJ1338" t="s">
        <v>111</v>
      </c>
      <c r="BK1338" t="s">
        <v>111</v>
      </c>
      <c r="BL1338" t="s">
        <v>111</v>
      </c>
      <c r="BM1338" t="s">
        <v>111</v>
      </c>
      <c r="BN1338" t="s">
        <v>111</v>
      </c>
      <c r="BO1338" t="s">
        <v>111</v>
      </c>
      <c r="BP1338" t="s">
        <v>111</v>
      </c>
      <c r="BQ1338" t="s">
        <v>111</v>
      </c>
      <c r="BR1338" t="s">
        <v>111</v>
      </c>
      <c r="BS1338" t="s">
        <v>111</v>
      </c>
      <c r="BT1338" t="s">
        <v>111</v>
      </c>
      <c r="BU1338" t="s">
        <v>111</v>
      </c>
      <c r="BV1338" t="s">
        <v>111</v>
      </c>
      <c r="BW1338" t="s">
        <v>111</v>
      </c>
      <c r="BX1338" t="s">
        <v>111</v>
      </c>
      <c r="BY1338" t="s">
        <v>111</v>
      </c>
      <c r="BZ1338" t="s">
        <v>111</v>
      </c>
      <c r="CA1338" t="s">
        <v>111</v>
      </c>
      <c r="CB1338" t="s">
        <v>111</v>
      </c>
      <c r="CC1338" t="s">
        <v>111</v>
      </c>
      <c r="CD1338" t="s">
        <v>111</v>
      </c>
      <c r="CE1338" t="s">
        <v>111</v>
      </c>
      <c r="CF1338" t="s">
        <v>111</v>
      </c>
      <c r="CG1338" t="s">
        <v>111</v>
      </c>
      <c r="CH1338" t="s">
        <v>111</v>
      </c>
      <c r="CI1338" t="s">
        <v>111</v>
      </c>
      <c r="CJ1338" t="s">
        <v>111</v>
      </c>
      <c r="CK1338" t="s">
        <v>111</v>
      </c>
      <c r="CL1338" t="s">
        <v>153</v>
      </c>
      <c r="CM1338" t="s">
        <v>198</v>
      </c>
      <c r="CN1338" t="s">
        <v>113</v>
      </c>
      <c r="CO1338" t="s">
        <v>111</v>
      </c>
      <c r="CP1338" t="s">
        <v>433</v>
      </c>
      <c r="CQ1338">
        <v>0</v>
      </c>
      <c r="CR1338">
        <v>0</v>
      </c>
      <c r="CS1338">
        <v>0</v>
      </c>
      <c r="CT1338" t="s">
        <v>2685</v>
      </c>
      <c r="CU1338">
        <v>0</v>
      </c>
      <c r="CV1338" t="s">
        <v>111</v>
      </c>
      <c r="CW1338" t="s">
        <v>111</v>
      </c>
      <c r="CX1338" t="s">
        <v>111</v>
      </c>
      <c r="CY1338">
        <v>0</v>
      </c>
      <c r="CZ1338" t="s">
        <v>111</v>
      </c>
      <c r="DA1338" t="s">
        <v>111</v>
      </c>
      <c r="DB1338" t="s">
        <v>111</v>
      </c>
      <c r="DC1338" t="s">
        <v>111</v>
      </c>
    </row>
    <row r="1339" spans="1:107">
      <c r="A1339">
        <v>85</v>
      </c>
      <c r="B1339" t="s">
        <v>162</v>
      </c>
      <c r="C1339" t="s">
        <v>3801</v>
      </c>
      <c r="D1339" t="s">
        <v>3830</v>
      </c>
      <c r="E1339" t="s">
        <v>3831</v>
      </c>
      <c r="F1339" t="s">
        <v>110</v>
      </c>
      <c r="G1339" t="s">
        <v>24</v>
      </c>
      <c r="H1339">
        <v>1.3</v>
      </c>
      <c r="I1339">
        <v>20</v>
      </c>
      <c r="J1339">
        <v>0</v>
      </c>
      <c r="K1339">
        <v>0</v>
      </c>
      <c r="L1339" t="s">
        <v>112</v>
      </c>
      <c r="M1339" t="s">
        <v>138</v>
      </c>
      <c r="N1339">
        <v>0</v>
      </c>
      <c r="O1339">
        <v>0</v>
      </c>
      <c r="P1339" t="s">
        <v>138</v>
      </c>
      <c r="Q1339">
        <v>35</v>
      </c>
      <c r="R1339">
        <v>0</v>
      </c>
      <c r="S1339">
        <v>0</v>
      </c>
      <c r="T1339">
        <v>0</v>
      </c>
      <c r="U1339" t="s">
        <v>211</v>
      </c>
      <c r="V1339">
        <v>0</v>
      </c>
      <c r="W1339">
        <v>0</v>
      </c>
      <c r="X1339">
        <v>0</v>
      </c>
      <c r="Y1339">
        <v>25</v>
      </c>
      <c r="Z1339" t="s">
        <v>111</v>
      </c>
      <c r="AA1339">
        <v>0</v>
      </c>
      <c r="AB1339" t="s">
        <v>111</v>
      </c>
      <c r="AC1339">
        <v>0</v>
      </c>
      <c r="AD1339" t="s">
        <v>111</v>
      </c>
      <c r="AE1339">
        <v>0</v>
      </c>
      <c r="AF1339">
        <v>0</v>
      </c>
      <c r="AG1339" t="s">
        <v>111</v>
      </c>
      <c r="AH1339" t="s">
        <v>111</v>
      </c>
      <c r="AI1339" t="s">
        <v>111</v>
      </c>
      <c r="AJ1339" t="s">
        <v>111</v>
      </c>
      <c r="AK1339" t="s">
        <v>111</v>
      </c>
      <c r="AL1339" t="s">
        <v>111</v>
      </c>
      <c r="AM1339">
        <v>0</v>
      </c>
      <c r="AN1339">
        <v>0</v>
      </c>
      <c r="AO1339">
        <v>0</v>
      </c>
      <c r="AP1339" t="s">
        <v>111</v>
      </c>
      <c r="AQ1339" t="s">
        <v>111</v>
      </c>
      <c r="AR1339" t="s">
        <v>111</v>
      </c>
      <c r="AS1339" t="s">
        <v>111</v>
      </c>
      <c r="AT1339" t="s">
        <v>111</v>
      </c>
      <c r="AU1339" t="s">
        <v>111</v>
      </c>
      <c r="AV1339" t="s">
        <v>111</v>
      </c>
      <c r="AW1339" t="s">
        <v>111</v>
      </c>
      <c r="AX1339" t="s">
        <v>111</v>
      </c>
      <c r="AY1339" t="s">
        <v>111</v>
      </c>
      <c r="AZ1339" t="s">
        <v>111</v>
      </c>
      <c r="BA1339" t="s">
        <v>111</v>
      </c>
      <c r="BB1339" t="s">
        <v>111</v>
      </c>
      <c r="BC1339" t="s">
        <v>111</v>
      </c>
      <c r="BD1339" t="s">
        <v>111</v>
      </c>
      <c r="BE1339" t="s">
        <v>111</v>
      </c>
      <c r="BF1339" t="s">
        <v>111</v>
      </c>
      <c r="BG1339" t="s">
        <v>111</v>
      </c>
      <c r="BH1339" t="s">
        <v>111</v>
      </c>
      <c r="BI1339" t="s">
        <v>111</v>
      </c>
      <c r="BJ1339" t="s">
        <v>111</v>
      </c>
      <c r="BK1339" t="s">
        <v>111</v>
      </c>
      <c r="BL1339" t="s">
        <v>111</v>
      </c>
      <c r="BM1339" t="s">
        <v>111</v>
      </c>
      <c r="BN1339" t="s">
        <v>111</v>
      </c>
      <c r="BO1339" t="s">
        <v>111</v>
      </c>
      <c r="BP1339" t="s">
        <v>111</v>
      </c>
      <c r="BQ1339" t="s">
        <v>111</v>
      </c>
      <c r="BR1339" t="s">
        <v>111</v>
      </c>
      <c r="BS1339" t="s">
        <v>111</v>
      </c>
      <c r="BT1339" t="s">
        <v>111</v>
      </c>
      <c r="BU1339" t="s">
        <v>111</v>
      </c>
      <c r="BV1339" t="s">
        <v>111</v>
      </c>
      <c r="BW1339" t="s">
        <v>111</v>
      </c>
      <c r="BX1339" t="s">
        <v>111</v>
      </c>
      <c r="BY1339" t="s">
        <v>111</v>
      </c>
      <c r="BZ1339" t="s">
        <v>111</v>
      </c>
      <c r="CA1339" t="s">
        <v>111</v>
      </c>
      <c r="CB1339" t="s">
        <v>111</v>
      </c>
      <c r="CC1339" t="s">
        <v>111</v>
      </c>
      <c r="CD1339" t="s">
        <v>111</v>
      </c>
      <c r="CE1339" t="s">
        <v>111</v>
      </c>
      <c r="CF1339" t="s">
        <v>111</v>
      </c>
      <c r="CG1339" t="s">
        <v>111</v>
      </c>
      <c r="CH1339" t="s">
        <v>111</v>
      </c>
      <c r="CI1339" t="s">
        <v>111</v>
      </c>
      <c r="CJ1339" t="s">
        <v>111</v>
      </c>
      <c r="CK1339" t="s">
        <v>111</v>
      </c>
      <c r="CL1339" t="s">
        <v>111</v>
      </c>
      <c r="CM1339" t="s">
        <v>111</v>
      </c>
      <c r="CN1339" t="s">
        <v>111</v>
      </c>
      <c r="CO1339" t="s">
        <v>111</v>
      </c>
      <c r="CP1339" t="s">
        <v>111</v>
      </c>
      <c r="CQ1339">
        <v>0</v>
      </c>
      <c r="CR1339">
        <v>0</v>
      </c>
      <c r="CS1339">
        <v>0</v>
      </c>
      <c r="CT1339" t="s">
        <v>111</v>
      </c>
      <c r="CU1339">
        <v>0</v>
      </c>
      <c r="CV1339" t="s">
        <v>111</v>
      </c>
      <c r="CW1339" t="s">
        <v>111</v>
      </c>
      <c r="CX1339" t="s">
        <v>111</v>
      </c>
      <c r="CY1339">
        <v>0</v>
      </c>
      <c r="CZ1339" t="s">
        <v>111</v>
      </c>
      <c r="DA1339" t="s">
        <v>111</v>
      </c>
      <c r="DB1339" t="s">
        <v>111</v>
      </c>
      <c r="DC1339" t="s">
        <v>111</v>
      </c>
    </row>
    <row r="1340" spans="1:107">
      <c r="A1340">
        <v>102</v>
      </c>
      <c r="B1340" t="s">
        <v>162</v>
      </c>
      <c r="C1340" t="s">
        <v>3777</v>
      </c>
      <c r="D1340" t="s">
        <v>3832</v>
      </c>
      <c r="E1340" t="s">
        <v>3833</v>
      </c>
      <c r="F1340" t="s">
        <v>110</v>
      </c>
      <c r="G1340" t="s">
        <v>24</v>
      </c>
      <c r="H1340">
        <v>1.8</v>
      </c>
      <c r="I1340">
        <v>38</v>
      </c>
      <c r="J1340">
        <v>0</v>
      </c>
      <c r="K1340">
        <v>0</v>
      </c>
      <c r="L1340" t="s">
        <v>112</v>
      </c>
      <c r="M1340" t="s">
        <v>118</v>
      </c>
      <c r="N1340">
        <v>40</v>
      </c>
      <c r="O1340">
        <v>1</v>
      </c>
      <c r="P1340" t="s">
        <v>138</v>
      </c>
      <c r="Q1340">
        <v>30</v>
      </c>
      <c r="R1340">
        <v>0</v>
      </c>
      <c r="S1340">
        <v>0</v>
      </c>
      <c r="T1340">
        <v>0</v>
      </c>
      <c r="U1340" s="1" t="s">
        <v>3780</v>
      </c>
      <c r="V1340">
        <v>0</v>
      </c>
      <c r="W1340">
        <v>0</v>
      </c>
      <c r="X1340">
        <v>0</v>
      </c>
      <c r="Y1340">
        <v>25</v>
      </c>
      <c r="Z1340" t="s">
        <v>111</v>
      </c>
      <c r="AA1340">
        <v>0</v>
      </c>
      <c r="AB1340" t="s">
        <v>111</v>
      </c>
      <c r="AC1340">
        <v>0</v>
      </c>
      <c r="AD1340" t="s">
        <v>111</v>
      </c>
      <c r="AE1340">
        <v>0</v>
      </c>
      <c r="AF1340">
        <v>0</v>
      </c>
      <c r="AG1340" t="s">
        <v>111</v>
      </c>
      <c r="AH1340" t="s">
        <v>111</v>
      </c>
      <c r="AI1340" t="s">
        <v>111</v>
      </c>
      <c r="AJ1340" t="s">
        <v>111</v>
      </c>
      <c r="AK1340" t="s">
        <v>111</v>
      </c>
      <c r="AL1340" t="s">
        <v>111</v>
      </c>
      <c r="AM1340">
        <v>0</v>
      </c>
      <c r="AN1340">
        <v>0</v>
      </c>
      <c r="AO1340">
        <v>0</v>
      </c>
      <c r="AP1340" t="s">
        <v>111</v>
      </c>
      <c r="AQ1340" t="s">
        <v>111</v>
      </c>
      <c r="AR1340" t="s">
        <v>111</v>
      </c>
      <c r="AS1340" t="s">
        <v>111</v>
      </c>
      <c r="AT1340" t="s">
        <v>111</v>
      </c>
      <c r="AU1340" t="s">
        <v>111</v>
      </c>
      <c r="AV1340" t="s">
        <v>111</v>
      </c>
      <c r="AW1340" t="s">
        <v>111</v>
      </c>
      <c r="AX1340" t="s">
        <v>111</v>
      </c>
      <c r="AY1340" t="s">
        <v>111</v>
      </c>
      <c r="AZ1340" t="s">
        <v>111</v>
      </c>
      <c r="BA1340" t="s">
        <v>111</v>
      </c>
      <c r="BB1340" t="s">
        <v>111</v>
      </c>
      <c r="BC1340" t="s">
        <v>111</v>
      </c>
      <c r="BD1340" t="s">
        <v>111</v>
      </c>
      <c r="BE1340" t="s">
        <v>111</v>
      </c>
      <c r="BF1340" t="s">
        <v>111</v>
      </c>
      <c r="BG1340" t="s">
        <v>111</v>
      </c>
      <c r="BH1340" t="s">
        <v>111</v>
      </c>
      <c r="BI1340" t="s">
        <v>111</v>
      </c>
      <c r="BJ1340" t="s">
        <v>111</v>
      </c>
      <c r="BK1340" t="s">
        <v>111</v>
      </c>
      <c r="BL1340" t="s">
        <v>111</v>
      </c>
      <c r="BM1340" t="s">
        <v>111</v>
      </c>
      <c r="BN1340" t="s">
        <v>111</v>
      </c>
      <c r="BO1340" t="s">
        <v>111</v>
      </c>
      <c r="BP1340" t="s">
        <v>111</v>
      </c>
      <c r="BQ1340" t="s">
        <v>111</v>
      </c>
      <c r="BR1340" t="s">
        <v>111</v>
      </c>
      <c r="BS1340" t="s">
        <v>111</v>
      </c>
      <c r="BT1340" t="s">
        <v>111</v>
      </c>
      <c r="BU1340" t="s">
        <v>111</v>
      </c>
      <c r="BV1340" t="s">
        <v>111</v>
      </c>
      <c r="BW1340" t="s">
        <v>111</v>
      </c>
      <c r="BX1340" t="s">
        <v>111</v>
      </c>
      <c r="BY1340" t="s">
        <v>111</v>
      </c>
      <c r="BZ1340" t="s">
        <v>111</v>
      </c>
      <c r="CA1340" t="s">
        <v>111</v>
      </c>
      <c r="CB1340" t="s">
        <v>111</v>
      </c>
      <c r="CC1340" t="s">
        <v>111</v>
      </c>
      <c r="CD1340" t="s">
        <v>111</v>
      </c>
      <c r="CE1340" t="s">
        <v>111</v>
      </c>
      <c r="CF1340" t="s">
        <v>111</v>
      </c>
      <c r="CG1340" t="s">
        <v>111</v>
      </c>
      <c r="CH1340" t="s">
        <v>111</v>
      </c>
      <c r="CI1340" t="s">
        <v>111</v>
      </c>
      <c r="CJ1340" t="s">
        <v>111</v>
      </c>
      <c r="CK1340" t="s">
        <v>111</v>
      </c>
      <c r="CL1340" t="s">
        <v>111</v>
      </c>
      <c r="CM1340" t="s">
        <v>111</v>
      </c>
      <c r="CN1340" t="s">
        <v>111</v>
      </c>
      <c r="CO1340" t="s">
        <v>111</v>
      </c>
      <c r="CP1340" t="s">
        <v>111</v>
      </c>
      <c r="CQ1340">
        <v>40</v>
      </c>
      <c r="CR1340">
        <v>0</v>
      </c>
      <c r="CS1340">
        <v>0</v>
      </c>
      <c r="CT1340" s="1" t="s">
        <v>3780</v>
      </c>
      <c r="CU1340">
        <v>0</v>
      </c>
      <c r="CV1340" t="s">
        <v>111</v>
      </c>
      <c r="CW1340" t="s">
        <v>111</v>
      </c>
      <c r="CX1340" t="s">
        <v>111</v>
      </c>
      <c r="CY1340">
        <v>0</v>
      </c>
      <c r="CZ1340" t="s">
        <v>111</v>
      </c>
      <c r="DA1340" t="s">
        <v>111</v>
      </c>
      <c r="DB1340" t="s">
        <v>111</v>
      </c>
      <c r="DC1340" t="s">
        <v>111</v>
      </c>
    </row>
    <row r="1341" spans="1:107">
      <c r="A1341">
        <v>46</v>
      </c>
      <c r="B1341" t="s">
        <v>162</v>
      </c>
      <c r="C1341" t="s">
        <v>928</v>
      </c>
      <c r="D1341" t="s">
        <v>3798</v>
      </c>
      <c r="E1341" t="s">
        <v>3834</v>
      </c>
      <c r="F1341" t="s">
        <v>1651</v>
      </c>
      <c r="G1341" t="s">
        <v>24</v>
      </c>
      <c r="H1341">
        <v>1.06</v>
      </c>
      <c r="I1341">
        <v>35</v>
      </c>
      <c r="J1341">
        <v>0</v>
      </c>
      <c r="K1341">
        <v>0</v>
      </c>
      <c r="L1341" t="s">
        <v>112</v>
      </c>
      <c r="M1341" t="s">
        <v>118</v>
      </c>
      <c r="N1341">
        <v>40</v>
      </c>
      <c r="O1341">
        <v>2</v>
      </c>
      <c r="P1341" t="s">
        <v>138</v>
      </c>
      <c r="Q1341">
        <v>40.5</v>
      </c>
      <c r="R1341">
        <v>0</v>
      </c>
      <c r="S1341">
        <v>0</v>
      </c>
      <c r="T1341">
        <v>12</v>
      </c>
      <c r="U1341" s="1" t="s">
        <v>3835</v>
      </c>
      <c r="V1341">
        <v>0</v>
      </c>
      <c r="W1341">
        <v>0</v>
      </c>
      <c r="X1341">
        <v>0</v>
      </c>
      <c r="Y1341">
        <v>25</v>
      </c>
      <c r="Z1341" t="s">
        <v>111</v>
      </c>
      <c r="AA1341">
        <v>0</v>
      </c>
      <c r="AB1341" t="s">
        <v>111</v>
      </c>
      <c r="AC1341">
        <v>0</v>
      </c>
      <c r="AD1341" t="s">
        <v>427</v>
      </c>
      <c r="AE1341">
        <v>0</v>
      </c>
      <c r="AF1341">
        <v>2</v>
      </c>
      <c r="AG1341">
        <v>26</v>
      </c>
      <c r="AH1341" t="s">
        <v>113</v>
      </c>
      <c r="AI1341">
        <v>52</v>
      </c>
      <c r="AJ1341" t="s">
        <v>111</v>
      </c>
      <c r="AK1341" t="s">
        <v>111</v>
      </c>
      <c r="AL1341" t="s">
        <v>111</v>
      </c>
      <c r="AM1341">
        <v>0</v>
      </c>
      <c r="AN1341">
        <v>0</v>
      </c>
      <c r="AO1341">
        <v>0</v>
      </c>
      <c r="AP1341" t="e">
        <f>-S. ARTE</f>
        <v>#NAME?</v>
      </c>
      <c r="AQ1341" t="s">
        <v>111</v>
      </c>
      <c r="AR1341" t="s">
        <v>111</v>
      </c>
      <c r="AS1341" t="s">
        <v>111</v>
      </c>
      <c r="AT1341" t="s">
        <v>111</v>
      </c>
      <c r="AU1341" t="s">
        <v>111</v>
      </c>
      <c r="AV1341" t="s">
        <v>111</v>
      </c>
      <c r="AW1341" t="s">
        <v>111</v>
      </c>
      <c r="AX1341" t="s">
        <v>111</v>
      </c>
      <c r="AY1341" t="s">
        <v>111</v>
      </c>
      <c r="AZ1341" t="s">
        <v>111</v>
      </c>
      <c r="BA1341" t="s">
        <v>111</v>
      </c>
      <c r="BB1341" t="s">
        <v>111</v>
      </c>
      <c r="BC1341" t="s">
        <v>111</v>
      </c>
      <c r="BD1341" t="s">
        <v>111</v>
      </c>
      <c r="BE1341" t="s">
        <v>111</v>
      </c>
      <c r="BF1341" t="s">
        <v>111</v>
      </c>
      <c r="BG1341" t="s">
        <v>111</v>
      </c>
      <c r="BH1341" t="s">
        <v>111</v>
      </c>
      <c r="BI1341" t="s">
        <v>111</v>
      </c>
      <c r="BJ1341" t="s">
        <v>111</v>
      </c>
      <c r="BK1341" t="s">
        <v>111</v>
      </c>
      <c r="BL1341" t="s">
        <v>111</v>
      </c>
      <c r="BM1341" t="s">
        <v>111</v>
      </c>
      <c r="BN1341" t="s">
        <v>3836</v>
      </c>
      <c r="BO1341" t="s">
        <v>111</v>
      </c>
      <c r="BP1341" t="s">
        <v>111</v>
      </c>
      <c r="BQ1341" t="s">
        <v>111</v>
      </c>
      <c r="BR1341" t="s">
        <v>111</v>
      </c>
      <c r="BS1341" t="s">
        <v>111</v>
      </c>
      <c r="BT1341" t="s">
        <v>111</v>
      </c>
      <c r="BU1341" t="s">
        <v>111</v>
      </c>
      <c r="BV1341" t="s">
        <v>111</v>
      </c>
      <c r="BW1341" t="s">
        <v>111</v>
      </c>
      <c r="BX1341" t="s">
        <v>111</v>
      </c>
      <c r="BY1341" t="s">
        <v>111</v>
      </c>
      <c r="BZ1341" t="s">
        <v>111</v>
      </c>
      <c r="CA1341" t="s">
        <v>111</v>
      </c>
      <c r="CB1341" t="s">
        <v>111</v>
      </c>
      <c r="CC1341" t="s">
        <v>111</v>
      </c>
      <c r="CD1341" t="s">
        <v>111</v>
      </c>
      <c r="CE1341" t="s">
        <v>111</v>
      </c>
      <c r="CF1341" t="s">
        <v>111</v>
      </c>
      <c r="CG1341" t="s">
        <v>111</v>
      </c>
      <c r="CH1341" t="s">
        <v>111</v>
      </c>
      <c r="CI1341" t="s">
        <v>111</v>
      </c>
      <c r="CJ1341" t="s">
        <v>3837</v>
      </c>
      <c r="CK1341" t="s">
        <v>111</v>
      </c>
      <c r="CL1341" t="s">
        <v>153</v>
      </c>
      <c r="CM1341" t="s">
        <v>198</v>
      </c>
      <c r="CN1341" t="s">
        <v>113</v>
      </c>
      <c r="CO1341" t="s">
        <v>222</v>
      </c>
      <c r="CP1341" t="s">
        <v>433</v>
      </c>
      <c r="CQ1341">
        <v>105</v>
      </c>
      <c r="CR1341">
        <v>5000</v>
      </c>
      <c r="CS1341">
        <v>100</v>
      </c>
      <c r="CT1341" s="1" t="s">
        <v>3838</v>
      </c>
      <c r="CU1341">
        <v>0</v>
      </c>
      <c r="CV1341" t="s">
        <v>111</v>
      </c>
      <c r="CW1341" t="s">
        <v>111</v>
      </c>
      <c r="CX1341" t="s">
        <v>111</v>
      </c>
      <c r="CY1341">
        <v>0</v>
      </c>
      <c r="CZ1341" t="s">
        <v>111</v>
      </c>
      <c r="DA1341" t="s">
        <v>111</v>
      </c>
      <c r="DB1341" t="s">
        <v>111</v>
      </c>
      <c r="DC1341" t="s">
        <v>111</v>
      </c>
    </row>
    <row r="1342" spans="1:107">
      <c r="A1342">
        <v>508</v>
      </c>
      <c r="B1342" t="s">
        <v>162</v>
      </c>
      <c r="C1342" t="s">
        <v>827</v>
      </c>
      <c r="D1342" t="s">
        <v>1694</v>
      </c>
      <c r="E1342" t="s">
        <v>3839</v>
      </c>
      <c r="F1342" t="s">
        <v>1651</v>
      </c>
      <c r="G1342" t="s">
        <v>24</v>
      </c>
      <c r="H1342">
        <v>1.5</v>
      </c>
      <c r="I1342">
        <v>45</v>
      </c>
      <c r="J1342">
        <v>0</v>
      </c>
      <c r="K1342">
        <v>0</v>
      </c>
      <c r="L1342" t="s">
        <v>112</v>
      </c>
      <c r="M1342" t="s">
        <v>118</v>
      </c>
      <c r="N1342">
        <v>40</v>
      </c>
      <c r="O1342">
        <v>2</v>
      </c>
      <c r="P1342" t="s">
        <v>138</v>
      </c>
      <c r="Q1342">
        <v>40</v>
      </c>
      <c r="R1342">
        <v>0</v>
      </c>
      <c r="S1342">
        <v>0</v>
      </c>
      <c r="T1342">
        <v>0</v>
      </c>
      <c r="U1342" s="1" t="s">
        <v>3840</v>
      </c>
      <c r="V1342">
        <v>0</v>
      </c>
      <c r="W1342">
        <v>0</v>
      </c>
      <c r="X1342">
        <v>0</v>
      </c>
      <c r="Y1342">
        <v>25</v>
      </c>
      <c r="Z1342" t="s">
        <v>111</v>
      </c>
      <c r="AA1342">
        <v>0</v>
      </c>
      <c r="AB1342" t="s">
        <v>111</v>
      </c>
      <c r="AC1342">
        <v>0</v>
      </c>
      <c r="AD1342" t="s">
        <v>427</v>
      </c>
      <c r="AE1342">
        <v>5</v>
      </c>
      <c r="AF1342">
        <v>2</v>
      </c>
      <c r="AG1342">
        <v>20</v>
      </c>
      <c r="AH1342" t="s">
        <v>113</v>
      </c>
      <c r="AI1342">
        <v>240</v>
      </c>
      <c r="AJ1342" t="s">
        <v>111</v>
      </c>
      <c r="AK1342" t="s">
        <v>111</v>
      </c>
      <c r="AL1342" t="s">
        <v>111</v>
      </c>
      <c r="AM1342">
        <v>0</v>
      </c>
      <c r="AN1342">
        <v>0</v>
      </c>
      <c r="AO1342">
        <v>0</v>
      </c>
      <c r="AP1342" t="s">
        <v>259</v>
      </c>
      <c r="AQ1342" t="s">
        <v>111</v>
      </c>
      <c r="AR1342" t="s">
        <v>111</v>
      </c>
      <c r="AS1342" t="s">
        <v>111</v>
      </c>
      <c r="AT1342" t="s">
        <v>288</v>
      </c>
      <c r="AU1342" t="s">
        <v>111</v>
      </c>
      <c r="AV1342" t="s">
        <v>111</v>
      </c>
      <c r="AW1342" t="s">
        <v>111</v>
      </c>
      <c r="AX1342" t="s">
        <v>184</v>
      </c>
      <c r="AY1342" t="s">
        <v>111</v>
      </c>
      <c r="AZ1342" t="s">
        <v>111</v>
      </c>
      <c r="BA1342" t="s">
        <v>111</v>
      </c>
      <c r="BB1342" t="s">
        <v>772</v>
      </c>
      <c r="BC1342" t="s">
        <v>111</v>
      </c>
      <c r="BD1342" t="s">
        <v>111</v>
      </c>
      <c r="BE1342" t="s">
        <v>111</v>
      </c>
      <c r="BF1342" t="s">
        <v>188</v>
      </c>
      <c r="BG1342" t="s">
        <v>111</v>
      </c>
      <c r="BH1342" t="s">
        <v>111</v>
      </c>
      <c r="BI1342" t="s">
        <v>111</v>
      </c>
      <c r="BJ1342" t="s">
        <v>111</v>
      </c>
      <c r="BK1342" t="s">
        <v>111</v>
      </c>
      <c r="BL1342" t="s">
        <v>111</v>
      </c>
      <c r="BM1342" t="s">
        <v>111</v>
      </c>
      <c r="BN1342" t="s">
        <v>111</v>
      </c>
      <c r="BO1342" t="s">
        <v>111</v>
      </c>
      <c r="BP1342" t="s">
        <v>111</v>
      </c>
      <c r="BQ1342" t="s">
        <v>111</v>
      </c>
      <c r="BR1342" t="s">
        <v>111</v>
      </c>
      <c r="BS1342" t="s">
        <v>111</v>
      </c>
      <c r="BT1342" t="s">
        <v>111</v>
      </c>
      <c r="BU1342" t="s">
        <v>111</v>
      </c>
      <c r="BV1342" t="s">
        <v>111</v>
      </c>
      <c r="BW1342" t="s">
        <v>111</v>
      </c>
      <c r="BX1342" t="s">
        <v>111</v>
      </c>
      <c r="BY1342" t="s">
        <v>111</v>
      </c>
      <c r="BZ1342" t="s">
        <v>111</v>
      </c>
      <c r="CA1342" t="s">
        <v>111</v>
      </c>
      <c r="CB1342" t="s">
        <v>111</v>
      </c>
      <c r="CC1342" t="s">
        <v>111</v>
      </c>
      <c r="CD1342" t="s">
        <v>111</v>
      </c>
      <c r="CE1342" t="s">
        <v>111</v>
      </c>
      <c r="CF1342" t="s">
        <v>111</v>
      </c>
      <c r="CG1342" t="s">
        <v>111</v>
      </c>
      <c r="CH1342" t="s">
        <v>111</v>
      </c>
      <c r="CI1342" t="s">
        <v>111</v>
      </c>
      <c r="CJ1342" t="s">
        <v>111</v>
      </c>
      <c r="CK1342" t="s">
        <v>111</v>
      </c>
      <c r="CL1342" t="s">
        <v>153</v>
      </c>
      <c r="CM1342" t="s">
        <v>198</v>
      </c>
      <c r="CN1342" t="s">
        <v>113</v>
      </c>
      <c r="CO1342" t="s">
        <v>111</v>
      </c>
      <c r="CP1342" t="s">
        <v>433</v>
      </c>
      <c r="CQ1342">
        <v>0</v>
      </c>
      <c r="CR1342">
        <v>5000</v>
      </c>
      <c r="CS1342">
        <v>200</v>
      </c>
      <c r="CT1342" s="1" t="s">
        <v>3180</v>
      </c>
      <c r="CU1342">
        <v>0</v>
      </c>
      <c r="CV1342" t="s">
        <v>111</v>
      </c>
      <c r="CW1342" t="s">
        <v>111</v>
      </c>
      <c r="CX1342" t="s">
        <v>111</v>
      </c>
      <c r="CY1342">
        <v>0</v>
      </c>
      <c r="CZ1342" t="s">
        <v>111</v>
      </c>
      <c r="DA1342" t="s">
        <v>111</v>
      </c>
      <c r="DB1342" t="s">
        <v>111</v>
      </c>
      <c r="DC1342" t="s">
        <v>111</v>
      </c>
    </row>
    <row r="1343" spans="1:107">
      <c r="A1343">
        <v>509</v>
      </c>
      <c r="B1343" t="s">
        <v>162</v>
      </c>
      <c r="C1343" t="s">
        <v>3841</v>
      </c>
      <c r="D1343" t="s">
        <v>3842</v>
      </c>
      <c r="E1343" t="s">
        <v>3843</v>
      </c>
      <c r="F1343" t="s">
        <v>1260</v>
      </c>
      <c r="G1343" t="s">
        <v>24</v>
      </c>
      <c r="H1343">
        <v>1.6</v>
      </c>
      <c r="I1343">
        <v>45</v>
      </c>
      <c r="J1343">
        <v>0</v>
      </c>
      <c r="K1343">
        <v>0</v>
      </c>
      <c r="L1343" t="s">
        <v>117</v>
      </c>
      <c r="M1343" t="s">
        <v>118</v>
      </c>
      <c r="N1343">
        <v>40</v>
      </c>
      <c r="O1343">
        <v>2</v>
      </c>
      <c r="P1343" t="s">
        <v>138</v>
      </c>
      <c r="Q1343">
        <v>37.5</v>
      </c>
      <c r="R1343">
        <v>0</v>
      </c>
      <c r="S1343">
        <v>0</v>
      </c>
      <c r="T1343">
        <v>0</v>
      </c>
      <c r="U1343" t="s">
        <v>1353</v>
      </c>
      <c r="V1343">
        <v>0</v>
      </c>
      <c r="W1343">
        <v>0</v>
      </c>
      <c r="X1343">
        <v>0</v>
      </c>
      <c r="Y1343">
        <v>25</v>
      </c>
      <c r="Z1343" t="s">
        <v>111</v>
      </c>
      <c r="AA1343">
        <v>0</v>
      </c>
      <c r="AB1343" t="s">
        <v>111</v>
      </c>
      <c r="AC1343">
        <v>0</v>
      </c>
      <c r="AD1343" t="s">
        <v>416</v>
      </c>
      <c r="AE1343">
        <v>4</v>
      </c>
      <c r="AF1343">
        <v>2</v>
      </c>
      <c r="AG1343" t="s">
        <v>3844</v>
      </c>
      <c r="AH1343" t="s">
        <v>111</v>
      </c>
      <c r="AI1343">
        <v>42</v>
      </c>
      <c r="AJ1343" t="s">
        <v>111</v>
      </c>
      <c r="AK1343" t="s">
        <v>111</v>
      </c>
      <c r="AL1343" t="s">
        <v>111</v>
      </c>
      <c r="AM1343">
        <v>0</v>
      </c>
      <c r="AN1343">
        <v>0</v>
      </c>
      <c r="AO1343">
        <v>0</v>
      </c>
      <c r="AP1343" t="s">
        <v>111</v>
      </c>
      <c r="AQ1343" t="s">
        <v>111</v>
      </c>
      <c r="AR1343" t="s">
        <v>111</v>
      </c>
      <c r="AS1343" t="s">
        <v>111</v>
      </c>
      <c r="AT1343" t="s">
        <v>111</v>
      </c>
      <c r="AU1343" t="s">
        <v>111</v>
      </c>
      <c r="AV1343" t="s">
        <v>111</v>
      </c>
      <c r="AW1343" t="s">
        <v>111</v>
      </c>
      <c r="AX1343" t="s">
        <v>111</v>
      </c>
      <c r="AY1343" t="s">
        <v>111</v>
      </c>
      <c r="AZ1343" t="s">
        <v>111</v>
      </c>
      <c r="BA1343" t="s">
        <v>111</v>
      </c>
      <c r="BB1343" t="s">
        <v>111</v>
      </c>
      <c r="BC1343" t="s">
        <v>111</v>
      </c>
      <c r="BD1343" t="s">
        <v>111</v>
      </c>
      <c r="BE1343" t="s">
        <v>111</v>
      </c>
      <c r="BF1343" t="s">
        <v>111</v>
      </c>
      <c r="BG1343" t="s">
        <v>111</v>
      </c>
      <c r="BH1343" t="s">
        <v>111</v>
      </c>
      <c r="BI1343" t="s">
        <v>111</v>
      </c>
      <c r="BJ1343" t="s">
        <v>111</v>
      </c>
      <c r="BK1343" t="s">
        <v>111</v>
      </c>
      <c r="BL1343" t="s">
        <v>111</v>
      </c>
      <c r="BM1343" t="s">
        <v>111</v>
      </c>
      <c r="BN1343" t="s">
        <v>111</v>
      </c>
      <c r="BO1343" t="s">
        <v>111</v>
      </c>
      <c r="BP1343" t="s">
        <v>111</v>
      </c>
      <c r="BQ1343" t="s">
        <v>111</v>
      </c>
      <c r="BR1343" t="s">
        <v>111</v>
      </c>
      <c r="BS1343" t="s">
        <v>111</v>
      </c>
      <c r="BT1343" t="s">
        <v>111</v>
      </c>
      <c r="BU1343" t="s">
        <v>111</v>
      </c>
      <c r="BV1343" t="s">
        <v>111</v>
      </c>
      <c r="BW1343" t="s">
        <v>111</v>
      </c>
      <c r="BX1343" t="s">
        <v>111</v>
      </c>
      <c r="BY1343" t="s">
        <v>111</v>
      </c>
      <c r="BZ1343" t="s">
        <v>111</v>
      </c>
      <c r="CA1343" t="s">
        <v>111</v>
      </c>
      <c r="CB1343" t="s">
        <v>111</v>
      </c>
      <c r="CC1343" t="s">
        <v>111</v>
      </c>
      <c r="CD1343" t="s">
        <v>111</v>
      </c>
      <c r="CE1343" t="s">
        <v>111</v>
      </c>
      <c r="CF1343" t="s">
        <v>111</v>
      </c>
      <c r="CG1343" t="s">
        <v>111</v>
      </c>
      <c r="CH1343" t="s">
        <v>111</v>
      </c>
      <c r="CI1343" t="s">
        <v>111</v>
      </c>
      <c r="CJ1343" t="s">
        <v>111</v>
      </c>
      <c r="CK1343" t="s">
        <v>111</v>
      </c>
      <c r="CL1343" t="s">
        <v>168</v>
      </c>
      <c r="CM1343" t="s">
        <v>111</v>
      </c>
      <c r="CN1343" t="s">
        <v>111</v>
      </c>
      <c r="CO1343" t="s">
        <v>111</v>
      </c>
      <c r="CP1343" t="s">
        <v>111</v>
      </c>
      <c r="CQ1343">
        <v>0</v>
      </c>
      <c r="CR1343">
        <v>0</v>
      </c>
      <c r="CS1343">
        <v>0</v>
      </c>
      <c r="CT1343" t="s">
        <v>111</v>
      </c>
      <c r="CU1343">
        <v>0</v>
      </c>
      <c r="CV1343" t="s">
        <v>111</v>
      </c>
      <c r="CW1343" t="s">
        <v>111</v>
      </c>
      <c r="CX1343" t="s">
        <v>111</v>
      </c>
      <c r="CY1343">
        <v>0</v>
      </c>
      <c r="CZ1343" t="s">
        <v>111</v>
      </c>
      <c r="DA1343" t="s">
        <v>111</v>
      </c>
      <c r="DB1343" t="s">
        <v>111</v>
      </c>
      <c r="DC1343" t="s">
        <v>111</v>
      </c>
    </row>
    <row r="1344" spans="1:107">
      <c r="A1344">
        <v>510</v>
      </c>
      <c r="B1344" t="s">
        <v>162</v>
      </c>
      <c r="C1344" t="s">
        <v>3841</v>
      </c>
      <c r="D1344" t="s">
        <v>3842</v>
      </c>
      <c r="E1344" t="s">
        <v>3845</v>
      </c>
      <c r="F1344" t="s">
        <v>1260</v>
      </c>
      <c r="G1344" t="s">
        <v>24</v>
      </c>
      <c r="H1344">
        <v>1.6</v>
      </c>
      <c r="I1344">
        <v>45</v>
      </c>
      <c r="J1344">
        <v>0</v>
      </c>
      <c r="K1344">
        <v>0</v>
      </c>
      <c r="L1344" t="s">
        <v>117</v>
      </c>
      <c r="M1344" t="s">
        <v>118</v>
      </c>
      <c r="N1344">
        <v>40</v>
      </c>
      <c r="O1344">
        <v>2</v>
      </c>
      <c r="P1344" t="s">
        <v>138</v>
      </c>
      <c r="Q1344">
        <v>37.5</v>
      </c>
      <c r="R1344">
        <v>0</v>
      </c>
      <c r="S1344">
        <v>0</v>
      </c>
      <c r="T1344">
        <v>0</v>
      </c>
      <c r="U1344" t="s">
        <v>1353</v>
      </c>
      <c r="V1344">
        <v>0</v>
      </c>
      <c r="W1344">
        <v>0</v>
      </c>
      <c r="X1344">
        <v>0</v>
      </c>
      <c r="Y1344">
        <v>25</v>
      </c>
      <c r="Z1344" t="s">
        <v>111</v>
      </c>
      <c r="AA1344">
        <v>0</v>
      </c>
      <c r="AB1344" t="s">
        <v>111</v>
      </c>
      <c r="AC1344">
        <v>0</v>
      </c>
      <c r="AD1344" t="s">
        <v>416</v>
      </c>
      <c r="AE1344">
        <v>4</v>
      </c>
      <c r="AF1344">
        <v>2</v>
      </c>
      <c r="AG1344" t="s">
        <v>3844</v>
      </c>
      <c r="AH1344" t="s">
        <v>111</v>
      </c>
      <c r="AI1344">
        <v>42</v>
      </c>
      <c r="AJ1344" t="s">
        <v>111</v>
      </c>
      <c r="AK1344" t="s">
        <v>111</v>
      </c>
      <c r="AL1344" t="s">
        <v>111</v>
      </c>
      <c r="AM1344">
        <v>0</v>
      </c>
      <c r="AN1344">
        <v>0</v>
      </c>
      <c r="AO1344">
        <v>0</v>
      </c>
      <c r="AP1344" t="s">
        <v>111</v>
      </c>
      <c r="AQ1344" t="s">
        <v>111</v>
      </c>
      <c r="AR1344" t="s">
        <v>111</v>
      </c>
      <c r="AS1344" t="s">
        <v>111</v>
      </c>
      <c r="AT1344" t="s">
        <v>111</v>
      </c>
      <c r="AU1344" t="s">
        <v>111</v>
      </c>
      <c r="AV1344" t="s">
        <v>111</v>
      </c>
      <c r="AW1344" t="s">
        <v>111</v>
      </c>
      <c r="AX1344" t="s">
        <v>111</v>
      </c>
      <c r="AY1344" t="s">
        <v>111</v>
      </c>
      <c r="AZ1344" t="s">
        <v>111</v>
      </c>
      <c r="BA1344" t="s">
        <v>111</v>
      </c>
      <c r="BB1344" t="s">
        <v>111</v>
      </c>
      <c r="BC1344" t="s">
        <v>111</v>
      </c>
      <c r="BD1344" t="s">
        <v>111</v>
      </c>
      <c r="BE1344" t="s">
        <v>111</v>
      </c>
      <c r="BF1344" t="s">
        <v>111</v>
      </c>
      <c r="BG1344" t="s">
        <v>111</v>
      </c>
      <c r="BH1344" t="s">
        <v>111</v>
      </c>
      <c r="BI1344" t="s">
        <v>111</v>
      </c>
      <c r="BJ1344" t="s">
        <v>111</v>
      </c>
      <c r="BK1344" t="s">
        <v>111</v>
      </c>
      <c r="BL1344" t="s">
        <v>111</v>
      </c>
      <c r="BM1344" t="s">
        <v>111</v>
      </c>
      <c r="BN1344" t="s">
        <v>111</v>
      </c>
      <c r="BO1344" t="s">
        <v>111</v>
      </c>
      <c r="BP1344" t="s">
        <v>111</v>
      </c>
      <c r="BQ1344" t="s">
        <v>111</v>
      </c>
      <c r="BR1344" t="s">
        <v>111</v>
      </c>
      <c r="BS1344" t="s">
        <v>111</v>
      </c>
      <c r="BT1344" t="s">
        <v>111</v>
      </c>
      <c r="BU1344" t="s">
        <v>111</v>
      </c>
      <c r="BV1344" t="s">
        <v>111</v>
      </c>
      <c r="BW1344" t="s">
        <v>111</v>
      </c>
      <c r="BX1344" t="s">
        <v>111</v>
      </c>
      <c r="BY1344" t="s">
        <v>111</v>
      </c>
      <c r="BZ1344" t="s">
        <v>111</v>
      </c>
      <c r="CA1344" t="s">
        <v>111</v>
      </c>
      <c r="CB1344" t="s">
        <v>111</v>
      </c>
      <c r="CC1344" t="s">
        <v>111</v>
      </c>
      <c r="CD1344" t="s">
        <v>111</v>
      </c>
      <c r="CE1344" t="s">
        <v>111</v>
      </c>
      <c r="CF1344" t="s">
        <v>111</v>
      </c>
      <c r="CG1344" t="s">
        <v>111</v>
      </c>
      <c r="CH1344" t="s">
        <v>111</v>
      </c>
      <c r="CI1344" t="s">
        <v>111</v>
      </c>
      <c r="CJ1344" t="s">
        <v>111</v>
      </c>
      <c r="CK1344" t="s">
        <v>111</v>
      </c>
      <c r="CL1344" t="s">
        <v>168</v>
      </c>
      <c r="CM1344" t="s">
        <v>111</v>
      </c>
      <c r="CN1344" t="s">
        <v>111</v>
      </c>
      <c r="CO1344" t="s">
        <v>111</v>
      </c>
      <c r="CP1344" t="s">
        <v>111</v>
      </c>
      <c r="CQ1344">
        <v>0</v>
      </c>
      <c r="CR1344">
        <v>0</v>
      </c>
      <c r="CS1344">
        <v>0</v>
      </c>
      <c r="CT1344" t="s">
        <v>111</v>
      </c>
      <c r="CU1344">
        <v>0</v>
      </c>
      <c r="CV1344" t="s">
        <v>111</v>
      </c>
      <c r="CW1344" t="s">
        <v>111</v>
      </c>
      <c r="CX1344" t="s">
        <v>111</v>
      </c>
      <c r="CY1344">
        <v>0</v>
      </c>
      <c r="CZ1344" t="s">
        <v>111</v>
      </c>
      <c r="DA1344" t="s">
        <v>111</v>
      </c>
      <c r="DB1344" t="s">
        <v>111</v>
      </c>
      <c r="DC1344" t="s">
        <v>111</v>
      </c>
    </row>
    <row r="1345" spans="1:107">
      <c r="A1345">
        <v>45</v>
      </c>
      <c r="B1345" t="s">
        <v>162</v>
      </c>
      <c r="C1345" t="s">
        <v>3777</v>
      </c>
      <c r="D1345" t="s">
        <v>3846</v>
      </c>
      <c r="E1345" t="s">
        <v>3847</v>
      </c>
      <c r="F1345" t="s">
        <v>2211</v>
      </c>
      <c r="G1345" t="s">
        <v>24</v>
      </c>
      <c r="H1345">
        <v>1.2</v>
      </c>
      <c r="I1345">
        <v>55</v>
      </c>
      <c r="J1345">
        <v>0</v>
      </c>
      <c r="K1345">
        <v>0</v>
      </c>
      <c r="L1345" t="s">
        <v>117</v>
      </c>
      <c r="M1345" t="s">
        <v>118</v>
      </c>
      <c r="N1345">
        <v>40</v>
      </c>
      <c r="O1345">
        <v>2</v>
      </c>
      <c r="P1345" t="s">
        <v>138</v>
      </c>
      <c r="Q1345">
        <v>35</v>
      </c>
      <c r="R1345">
        <v>0</v>
      </c>
      <c r="S1345">
        <v>0</v>
      </c>
      <c r="T1345">
        <v>0</v>
      </c>
      <c r="U1345" t="s">
        <v>168</v>
      </c>
      <c r="V1345">
        <v>0</v>
      </c>
      <c r="W1345">
        <v>0</v>
      </c>
      <c r="X1345">
        <v>0</v>
      </c>
      <c r="Y1345">
        <v>25</v>
      </c>
      <c r="Z1345" t="s">
        <v>111</v>
      </c>
      <c r="AA1345">
        <v>0</v>
      </c>
      <c r="AB1345" t="s">
        <v>111</v>
      </c>
      <c r="AC1345">
        <v>0</v>
      </c>
      <c r="AD1345" t="s">
        <v>111</v>
      </c>
      <c r="AE1345">
        <v>0</v>
      </c>
      <c r="AF1345">
        <v>0</v>
      </c>
      <c r="AG1345" t="s">
        <v>111</v>
      </c>
      <c r="AH1345" t="s">
        <v>111</v>
      </c>
      <c r="AI1345" t="s">
        <v>111</v>
      </c>
      <c r="AJ1345" t="s">
        <v>111</v>
      </c>
      <c r="AK1345" t="s">
        <v>111</v>
      </c>
      <c r="AL1345" t="s">
        <v>111</v>
      </c>
      <c r="AM1345">
        <v>0</v>
      </c>
      <c r="AN1345">
        <v>0</v>
      </c>
      <c r="AO1345">
        <v>0</v>
      </c>
      <c r="AP1345" t="s">
        <v>111</v>
      </c>
      <c r="AQ1345" t="s">
        <v>111</v>
      </c>
      <c r="AR1345" t="s">
        <v>111</v>
      </c>
      <c r="AS1345" t="s">
        <v>111</v>
      </c>
      <c r="AT1345" t="s">
        <v>111</v>
      </c>
      <c r="AU1345" t="s">
        <v>111</v>
      </c>
      <c r="AV1345" t="s">
        <v>111</v>
      </c>
      <c r="AW1345" t="s">
        <v>111</v>
      </c>
      <c r="AX1345" t="s">
        <v>111</v>
      </c>
      <c r="AY1345" t="s">
        <v>111</v>
      </c>
      <c r="AZ1345" t="s">
        <v>111</v>
      </c>
      <c r="BA1345" t="s">
        <v>111</v>
      </c>
      <c r="BB1345" t="s">
        <v>111</v>
      </c>
      <c r="BC1345" t="s">
        <v>111</v>
      </c>
      <c r="BD1345" t="s">
        <v>111</v>
      </c>
      <c r="BE1345" t="s">
        <v>111</v>
      </c>
      <c r="BF1345" t="s">
        <v>111</v>
      </c>
      <c r="BG1345" t="s">
        <v>111</v>
      </c>
      <c r="BH1345" t="s">
        <v>111</v>
      </c>
      <c r="BI1345" t="s">
        <v>111</v>
      </c>
      <c r="BJ1345" t="s">
        <v>111</v>
      </c>
      <c r="BK1345" t="s">
        <v>111</v>
      </c>
      <c r="BL1345" t="s">
        <v>111</v>
      </c>
      <c r="BM1345" t="s">
        <v>111</v>
      </c>
      <c r="BN1345" t="s">
        <v>111</v>
      </c>
      <c r="BO1345" t="s">
        <v>111</v>
      </c>
      <c r="BP1345" t="s">
        <v>111</v>
      </c>
      <c r="BQ1345" t="s">
        <v>111</v>
      </c>
      <c r="BR1345" t="s">
        <v>111</v>
      </c>
      <c r="BS1345" t="s">
        <v>111</v>
      </c>
      <c r="BT1345" t="s">
        <v>111</v>
      </c>
      <c r="BU1345" t="s">
        <v>111</v>
      </c>
      <c r="BV1345" t="s">
        <v>111</v>
      </c>
      <c r="BW1345" t="s">
        <v>111</v>
      </c>
      <c r="BX1345" t="s">
        <v>111</v>
      </c>
      <c r="BY1345" t="s">
        <v>111</v>
      </c>
      <c r="BZ1345" t="s">
        <v>111</v>
      </c>
      <c r="CA1345" t="s">
        <v>111</v>
      </c>
      <c r="CB1345" t="s">
        <v>111</v>
      </c>
      <c r="CC1345" t="s">
        <v>111</v>
      </c>
      <c r="CD1345" t="s">
        <v>111</v>
      </c>
      <c r="CE1345" t="s">
        <v>111</v>
      </c>
      <c r="CF1345" t="s">
        <v>111</v>
      </c>
      <c r="CG1345" t="s">
        <v>111</v>
      </c>
      <c r="CH1345" t="s">
        <v>111</v>
      </c>
      <c r="CI1345" t="s">
        <v>111</v>
      </c>
      <c r="CJ1345" t="s">
        <v>111</v>
      </c>
      <c r="CK1345" t="s">
        <v>111</v>
      </c>
      <c r="CL1345" t="s">
        <v>111</v>
      </c>
      <c r="CM1345" t="s">
        <v>111</v>
      </c>
      <c r="CN1345" t="s">
        <v>111</v>
      </c>
      <c r="CO1345" t="s">
        <v>111</v>
      </c>
      <c r="CP1345" t="s">
        <v>111</v>
      </c>
      <c r="CQ1345">
        <v>0</v>
      </c>
      <c r="CR1345">
        <v>0</v>
      </c>
      <c r="CS1345">
        <v>0</v>
      </c>
      <c r="CT1345" t="s">
        <v>111</v>
      </c>
      <c r="CU1345">
        <v>0</v>
      </c>
      <c r="CV1345" t="s">
        <v>111</v>
      </c>
      <c r="CW1345" t="s">
        <v>111</v>
      </c>
      <c r="CX1345" t="s">
        <v>111</v>
      </c>
      <c r="CY1345">
        <v>0</v>
      </c>
      <c r="CZ1345" t="s">
        <v>111</v>
      </c>
      <c r="DA1345" t="s">
        <v>111</v>
      </c>
      <c r="DB1345" t="s">
        <v>111</v>
      </c>
      <c r="DC1345" t="s">
        <v>111</v>
      </c>
    </row>
    <row r="1346" spans="1:107">
      <c r="A1346">
        <v>511</v>
      </c>
      <c r="B1346" t="s">
        <v>162</v>
      </c>
      <c r="C1346" t="s">
        <v>3841</v>
      </c>
      <c r="D1346" t="s">
        <v>3842</v>
      </c>
      <c r="E1346" t="s">
        <v>3848</v>
      </c>
      <c r="F1346" t="s">
        <v>1260</v>
      </c>
      <c r="G1346" t="s">
        <v>24</v>
      </c>
      <c r="H1346">
        <v>1.6</v>
      </c>
      <c r="I1346">
        <v>45</v>
      </c>
      <c r="J1346">
        <v>0</v>
      </c>
      <c r="K1346">
        <v>0</v>
      </c>
      <c r="L1346" t="s">
        <v>117</v>
      </c>
      <c r="M1346" t="s">
        <v>118</v>
      </c>
      <c r="N1346">
        <v>40</v>
      </c>
      <c r="O1346">
        <v>2</v>
      </c>
      <c r="P1346" t="s">
        <v>138</v>
      </c>
      <c r="Q1346">
        <v>37.5</v>
      </c>
      <c r="R1346">
        <v>0</v>
      </c>
      <c r="S1346">
        <v>0</v>
      </c>
      <c r="T1346">
        <v>0</v>
      </c>
      <c r="U1346" t="s">
        <v>1353</v>
      </c>
      <c r="V1346">
        <v>0</v>
      </c>
      <c r="W1346">
        <v>0</v>
      </c>
      <c r="X1346">
        <v>0</v>
      </c>
      <c r="Y1346">
        <v>25</v>
      </c>
      <c r="Z1346" t="s">
        <v>111</v>
      </c>
      <c r="AA1346">
        <v>0</v>
      </c>
      <c r="AB1346" t="s">
        <v>111</v>
      </c>
      <c r="AC1346">
        <v>0</v>
      </c>
      <c r="AD1346" t="s">
        <v>416</v>
      </c>
      <c r="AE1346">
        <v>4</v>
      </c>
      <c r="AF1346">
        <v>2</v>
      </c>
      <c r="AG1346" t="s">
        <v>3844</v>
      </c>
      <c r="AH1346" t="s">
        <v>111</v>
      </c>
      <c r="AI1346">
        <v>42</v>
      </c>
      <c r="AJ1346" t="s">
        <v>111</v>
      </c>
      <c r="AK1346" t="s">
        <v>111</v>
      </c>
      <c r="AL1346" t="s">
        <v>111</v>
      </c>
      <c r="AM1346">
        <v>0</v>
      </c>
      <c r="AN1346">
        <v>0</v>
      </c>
      <c r="AO1346">
        <v>0</v>
      </c>
      <c r="AP1346" t="s">
        <v>111</v>
      </c>
      <c r="AQ1346" t="s">
        <v>111</v>
      </c>
      <c r="AR1346" t="s">
        <v>111</v>
      </c>
      <c r="AS1346" t="s">
        <v>111</v>
      </c>
      <c r="AT1346" t="s">
        <v>111</v>
      </c>
      <c r="AU1346" t="s">
        <v>111</v>
      </c>
      <c r="AV1346" t="s">
        <v>111</v>
      </c>
      <c r="AW1346" t="s">
        <v>111</v>
      </c>
      <c r="AX1346" t="s">
        <v>111</v>
      </c>
      <c r="AY1346" t="s">
        <v>111</v>
      </c>
      <c r="AZ1346" t="s">
        <v>111</v>
      </c>
      <c r="BA1346" t="s">
        <v>111</v>
      </c>
      <c r="BB1346" t="s">
        <v>111</v>
      </c>
      <c r="BC1346" t="s">
        <v>111</v>
      </c>
      <c r="BD1346" t="s">
        <v>111</v>
      </c>
      <c r="BE1346" t="s">
        <v>111</v>
      </c>
      <c r="BF1346" t="s">
        <v>111</v>
      </c>
      <c r="BG1346" t="s">
        <v>111</v>
      </c>
      <c r="BH1346" t="s">
        <v>111</v>
      </c>
      <c r="BI1346" t="s">
        <v>111</v>
      </c>
      <c r="BJ1346" t="s">
        <v>111</v>
      </c>
      <c r="BK1346" t="s">
        <v>111</v>
      </c>
      <c r="BL1346" t="s">
        <v>111</v>
      </c>
      <c r="BM1346" t="s">
        <v>111</v>
      </c>
      <c r="BN1346" t="s">
        <v>111</v>
      </c>
      <c r="BO1346" t="s">
        <v>111</v>
      </c>
      <c r="BP1346" t="s">
        <v>111</v>
      </c>
      <c r="BQ1346" t="s">
        <v>111</v>
      </c>
      <c r="BR1346" t="s">
        <v>111</v>
      </c>
      <c r="BS1346" t="s">
        <v>111</v>
      </c>
      <c r="BT1346" t="s">
        <v>111</v>
      </c>
      <c r="BU1346" t="s">
        <v>111</v>
      </c>
      <c r="BV1346" t="s">
        <v>111</v>
      </c>
      <c r="BW1346" t="s">
        <v>111</v>
      </c>
      <c r="BX1346" t="s">
        <v>111</v>
      </c>
      <c r="BY1346" t="s">
        <v>111</v>
      </c>
      <c r="BZ1346" t="s">
        <v>111</v>
      </c>
      <c r="CA1346" t="s">
        <v>111</v>
      </c>
      <c r="CB1346" t="s">
        <v>111</v>
      </c>
      <c r="CC1346" t="s">
        <v>111</v>
      </c>
      <c r="CD1346" t="s">
        <v>111</v>
      </c>
      <c r="CE1346" t="s">
        <v>111</v>
      </c>
      <c r="CF1346" t="s">
        <v>111</v>
      </c>
      <c r="CG1346" t="s">
        <v>111</v>
      </c>
      <c r="CH1346" t="s">
        <v>111</v>
      </c>
      <c r="CI1346" t="s">
        <v>111</v>
      </c>
      <c r="CJ1346" t="s">
        <v>111</v>
      </c>
      <c r="CK1346" t="s">
        <v>111</v>
      </c>
      <c r="CL1346" t="s">
        <v>168</v>
      </c>
      <c r="CM1346" t="s">
        <v>111</v>
      </c>
      <c r="CN1346" t="s">
        <v>111</v>
      </c>
      <c r="CO1346" t="s">
        <v>111</v>
      </c>
      <c r="CP1346" t="s">
        <v>111</v>
      </c>
      <c r="CQ1346">
        <v>0</v>
      </c>
      <c r="CR1346">
        <v>0</v>
      </c>
      <c r="CS1346">
        <v>0</v>
      </c>
      <c r="CT1346" t="s">
        <v>111</v>
      </c>
      <c r="CU1346">
        <v>0</v>
      </c>
      <c r="CV1346" t="s">
        <v>111</v>
      </c>
      <c r="CW1346" t="s">
        <v>111</v>
      </c>
      <c r="CX1346" t="s">
        <v>111</v>
      </c>
      <c r="CY1346">
        <v>0</v>
      </c>
      <c r="CZ1346" t="s">
        <v>111</v>
      </c>
      <c r="DA1346" t="s">
        <v>111</v>
      </c>
      <c r="DB1346" t="s">
        <v>111</v>
      </c>
      <c r="DC1346" t="s">
        <v>111</v>
      </c>
    </row>
    <row r="1347" spans="1:107">
      <c r="A1347">
        <v>366</v>
      </c>
      <c r="B1347" t="s">
        <v>162</v>
      </c>
      <c r="C1347" t="s">
        <v>928</v>
      </c>
      <c r="D1347" t="s">
        <v>3849</v>
      </c>
      <c r="E1347" t="s">
        <v>3850</v>
      </c>
      <c r="F1347" t="s">
        <v>1651</v>
      </c>
      <c r="G1347" t="s">
        <v>24</v>
      </c>
      <c r="H1347">
        <v>1</v>
      </c>
      <c r="I1347">
        <v>41</v>
      </c>
      <c r="J1347">
        <v>0</v>
      </c>
      <c r="K1347">
        <v>0</v>
      </c>
      <c r="L1347" t="s">
        <v>112</v>
      </c>
      <c r="M1347" t="s">
        <v>118</v>
      </c>
      <c r="N1347">
        <v>40</v>
      </c>
      <c r="O1347">
        <v>2</v>
      </c>
      <c r="P1347" t="s">
        <v>138</v>
      </c>
      <c r="Q1347">
        <v>40</v>
      </c>
      <c r="R1347">
        <v>0</v>
      </c>
      <c r="S1347">
        <v>0</v>
      </c>
      <c r="T1347">
        <v>5</v>
      </c>
      <c r="U1347" s="1" t="s">
        <v>3851</v>
      </c>
      <c r="V1347">
        <v>0</v>
      </c>
      <c r="W1347">
        <v>0</v>
      </c>
      <c r="X1347">
        <v>0</v>
      </c>
      <c r="Y1347">
        <v>25</v>
      </c>
      <c r="Z1347" t="s">
        <v>111</v>
      </c>
      <c r="AA1347">
        <v>0</v>
      </c>
      <c r="AB1347" t="s">
        <v>111</v>
      </c>
      <c r="AC1347">
        <v>0</v>
      </c>
      <c r="AD1347" t="s">
        <v>427</v>
      </c>
      <c r="AE1347">
        <v>5</v>
      </c>
      <c r="AF1347">
        <v>2</v>
      </c>
      <c r="AG1347">
        <v>26</v>
      </c>
      <c r="AH1347" t="s">
        <v>113</v>
      </c>
      <c r="AI1347">
        <v>52</v>
      </c>
      <c r="AJ1347" t="s">
        <v>111</v>
      </c>
      <c r="AK1347" t="s">
        <v>111</v>
      </c>
      <c r="AL1347" t="s">
        <v>111</v>
      </c>
      <c r="AM1347">
        <v>0</v>
      </c>
      <c r="AN1347">
        <v>0</v>
      </c>
      <c r="AO1347">
        <v>0</v>
      </c>
      <c r="AP1347" t="s">
        <v>3852</v>
      </c>
      <c r="AQ1347" t="s">
        <v>111</v>
      </c>
      <c r="AR1347" t="s">
        <v>111</v>
      </c>
      <c r="AS1347" t="s">
        <v>111</v>
      </c>
      <c r="AT1347" t="s">
        <v>147</v>
      </c>
      <c r="AU1347" t="s">
        <v>111</v>
      </c>
      <c r="AV1347" t="s">
        <v>111</v>
      </c>
      <c r="AW1347" t="s">
        <v>111</v>
      </c>
      <c r="AX1347" t="s">
        <v>147</v>
      </c>
      <c r="AY1347" t="s">
        <v>111</v>
      </c>
      <c r="AZ1347" t="s">
        <v>111</v>
      </c>
      <c r="BA1347" t="s">
        <v>111</v>
      </c>
      <c r="BB1347" t="s">
        <v>184</v>
      </c>
      <c r="BC1347" t="s">
        <v>111</v>
      </c>
      <c r="BD1347" t="s">
        <v>111</v>
      </c>
      <c r="BE1347" t="s">
        <v>111</v>
      </c>
      <c r="BF1347" t="s">
        <v>271</v>
      </c>
      <c r="BG1347" t="s">
        <v>111</v>
      </c>
      <c r="BH1347" t="s">
        <v>111</v>
      </c>
      <c r="BI1347" t="s">
        <v>111</v>
      </c>
      <c r="BJ1347" t="s">
        <v>111</v>
      </c>
      <c r="BK1347" t="s">
        <v>111</v>
      </c>
      <c r="BL1347" t="s">
        <v>111</v>
      </c>
      <c r="BM1347" t="s">
        <v>111</v>
      </c>
      <c r="BN1347" t="s">
        <v>679</v>
      </c>
      <c r="BO1347" t="s">
        <v>111</v>
      </c>
      <c r="BP1347" t="s">
        <v>111</v>
      </c>
      <c r="BQ1347" t="s">
        <v>111</v>
      </c>
      <c r="BR1347" t="s">
        <v>147</v>
      </c>
      <c r="BS1347" t="s">
        <v>111</v>
      </c>
      <c r="BT1347" t="s">
        <v>111</v>
      </c>
      <c r="BU1347" t="s">
        <v>111</v>
      </c>
      <c r="BV1347" t="s">
        <v>147</v>
      </c>
      <c r="BW1347" t="s">
        <v>111</v>
      </c>
      <c r="BX1347" t="s">
        <v>111</v>
      </c>
      <c r="BY1347" t="s">
        <v>111</v>
      </c>
      <c r="BZ1347" t="s">
        <v>3853</v>
      </c>
      <c r="CA1347" t="s">
        <v>111</v>
      </c>
      <c r="CB1347" t="s">
        <v>111</v>
      </c>
      <c r="CC1347" t="s">
        <v>111</v>
      </c>
      <c r="CD1347" t="s">
        <v>271</v>
      </c>
      <c r="CE1347" t="s">
        <v>111</v>
      </c>
      <c r="CF1347" t="s">
        <v>111</v>
      </c>
      <c r="CG1347" t="s">
        <v>111</v>
      </c>
      <c r="CH1347" t="s">
        <v>111</v>
      </c>
      <c r="CI1347" t="s">
        <v>111</v>
      </c>
      <c r="CJ1347" t="s">
        <v>111</v>
      </c>
      <c r="CK1347" t="s">
        <v>111</v>
      </c>
      <c r="CL1347" t="s">
        <v>153</v>
      </c>
      <c r="CM1347" t="s">
        <v>198</v>
      </c>
      <c r="CN1347" t="s">
        <v>113</v>
      </c>
      <c r="CO1347" t="s">
        <v>222</v>
      </c>
      <c r="CP1347" t="s">
        <v>433</v>
      </c>
      <c r="CQ1347">
        <v>0</v>
      </c>
      <c r="CR1347">
        <v>5000</v>
      </c>
      <c r="CS1347">
        <v>100</v>
      </c>
      <c r="CT1347" s="1" t="s">
        <v>3854</v>
      </c>
      <c r="CU1347">
        <v>0</v>
      </c>
      <c r="CV1347" t="s">
        <v>111</v>
      </c>
      <c r="CW1347" t="s">
        <v>111</v>
      </c>
      <c r="CX1347" t="s">
        <v>111</v>
      </c>
      <c r="CY1347">
        <v>0</v>
      </c>
      <c r="CZ1347" t="s">
        <v>111</v>
      </c>
      <c r="DA1347" t="s">
        <v>111</v>
      </c>
      <c r="DB1347" t="s">
        <v>111</v>
      </c>
      <c r="DC1347" t="s">
        <v>111</v>
      </c>
    </row>
    <row r="1348" spans="1:107">
      <c r="A1348">
        <v>494</v>
      </c>
      <c r="B1348" t="s">
        <v>162</v>
      </c>
      <c r="C1348" t="s">
        <v>3855</v>
      </c>
      <c r="D1348" t="s">
        <v>3856</v>
      </c>
      <c r="E1348" t="s">
        <v>3857</v>
      </c>
      <c r="F1348" t="s">
        <v>1651</v>
      </c>
      <c r="G1348" t="s">
        <v>24</v>
      </c>
      <c r="H1348">
        <v>1.2</v>
      </c>
      <c r="I1348">
        <v>25</v>
      </c>
      <c r="J1348">
        <v>0</v>
      </c>
      <c r="K1348">
        <v>0</v>
      </c>
      <c r="L1348" t="s">
        <v>112</v>
      </c>
      <c r="M1348" t="s">
        <v>118</v>
      </c>
      <c r="N1348">
        <v>40</v>
      </c>
      <c r="O1348">
        <v>1</v>
      </c>
      <c r="P1348" t="s">
        <v>138</v>
      </c>
      <c r="Q1348">
        <v>30</v>
      </c>
      <c r="R1348">
        <v>0</v>
      </c>
      <c r="S1348">
        <v>0</v>
      </c>
      <c r="T1348">
        <v>0</v>
      </c>
      <c r="U1348" t="s">
        <v>1353</v>
      </c>
      <c r="V1348">
        <v>0</v>
      </c>
      <c r="W1348">
        <v>0</v>
      </c>
      <c r="X1348">
        <v>0</v>
      </c>
      <c r="Y1348">
        <v>25</v>
      </c>
      <c r="Z1348" t="s">
        <v>111</v>
      </c>
      <c r="AA1348">
        <v>0</v>
      </c>
      <c r="AB1348" t="s">
        <v>111</v>
      </c>
      <c r="AC1348">
        <v>0</v>
      </c>
      <c r="AD1348" t="s">
        <v>416</v>
      </c>
      <c r="AE1348">
        <v>2</v>
      </c>
      <c r="AF1348">
        <v>1</v>
      </c>
      <c r="AG1348">
        <v>13</v>
      </c>
      <c r="AH1348" t="s">
        <v>111</v>
      </c>
      <c r="AI1348">
        <v>26</v>
      </c>
      <c r="AJ1348" t="s">
        <v>111</v>
      </c>
      <c r="AK1348" t="s">
        <v>111</v>
      </c>
      <c r="AL1348" t="s">
        <v>111</v>
      </c>
      <c r="AM1348">
        <v>0</v>
      </c>
      <c r="AN1348">
        <v>0</v>
      </c>
      <c r="AO1348">
        <v>0</v>
      </c>
      <c r="AP1348" t="s">
        <v>188</v>
      </c>
      <c r="AQ1348" t="s">
        <v>111</v>
      </c>
      <c r="AR1348" t="s">
        <v>111</v>
      </c>
      <c r="AS1348" t="s">
        <v>111</v>
      </c>
      <c r="AT1348" t="s">
        <v>288</v>
      </c>
      <c r="AU1348" t="s">
        <v>111</v>
      </c>
      <c r="AV1348" t="s">
        <v>111</v>
      </c>
      <c r="AW1348" t="s">
        <v>111</v>
      </c>
      <c r="AX1348" t="s">
        <v>111</v>
      </c>
      <c r="AY1348" t="s">
        <v>111</v>
      </c>
      <c r="AZ1348" t="s">
        <v>111</v>
      </c>
      <c r="BA1348" t="s">
        <v>111</v>
      </c>
      <c r="BB1348" t="s">
        <v>111</v>
      </c>
      <c r="BC1348" t="s">
        <v>111</v>
      </c>
      <c r="BD1348" t="s">
        <v>111</v>
      </c>
      <c r="BE1348" t="s">
        <v>111</v>
      </c>
      <c r="BF1348" t="s">
        <v>111</v>
      </c>
      <c r="BG1348" t="s">
        <v>111</v>
      </c>
      <c r="BH1348" t="s">
        <v>111</v>
      </c>
      <c r="BI1348" t="s">
        <v>111</v>
      </c>
      <c r="BJ1348" t="s">
        <v>111</v>
      </c>
      <c r="BK1348" t="s">
        <v>111</v>
      </c>
      <c r="BL1348" t="s">
        <v>111</v>
      </c>
      <c r="BM1348" t="s">
        <v>111</v>
      </c>
      <c r="BN1348" t="s">
        <v>111</v>
      </c>
      <c r="BO1348" t="s">
        <v>111</v>
      </c>
      <c r="BP1348" t="s">
        <v>111</v>
      </c>
      <c r="BQ1348" t="s">
        <v>111</v>
      </c>
      <c r="BR1348" t="s">
        <v>111</v>
      </c>
      <c r="BS1348" t="s">
        <v>111</v>
      </c>
      <c r="BT1348" t="s">
        <v>111</v>
      </c>
      <c r="BU1348" t="s">
        <v>111</v>
      </c>
      <c r="BV1348" t="s">
        <v>111</v>
      </c>
      <c r="BW1348" t="s">
        <v>111</v>
      </c>
      <c r="BX1348" t="s">
        <v>111</v>
      </c>
      <c r="BY1348" t="s">
        <v>111</v>
      </c>
      <c r="BZ1348" t="s">
        <v>111</v>
      </c>
      <c r="CA1348" t="s">
        <v>111</v>
      </c>
      <c r="CB1348" t="s">
        <v>111</v>
      </c>
      <c r="CC1348" t="s">
        <v>111</v>
      </c>
      <c r="CD1348" t="s">
        <v>111</v>
      </c>
      <c r="CE1348" t="s">
        <v>111</v>
      </c>
      <c r="CF1348" t="s">
        <v>111</v>
      </c>
      <c r="CG1348" t="s">
        <v>111</v>
      </c>
      <c r="CH1348" t="s">
        <v>111</v>
      </c>
      <c r="CI1348" t="s">
        <v>111</v>
      </c>
      <c r="CJ1348" t="s">
        <v>111</v>
      </c>
      <c r="CK1348" t="s">
        <v>111</v>
      </c>
      <c r="CL1348" t="s">
        <v>153</v>
      </c>
      <c r="CM1348" t="s">
        <v>198</v>
      </c>
      <c r="CN1348" t="s">
        <v>113</v>
      </c>
      <c r="CO1348" t="s">
        <v>111</v>
      </c>
      <c r="CP1348" t="s">
        <v>433</v>
      </c>
      <c r="CQ1348">
        <v>0</v>
      </c>
      <c r="CR1348">
        <v>0</v>
      </c>
      <c r="CS1348">
        <v>0</v>
      </c>
      <c r="CT1348" t="s">
        <v>168</v>
      </c>
      <c r="CU1348">
        <v>0</v>
      </c>
      <c r="CV1348" t="s">
        <v>111</v>
      </c>
      <c r="CW1348" t="s">
        <v>111</v>
      </c>
      <c r="CX1348" t="s">
        <v>111</v>
      </c>
      <c r="CY1348">
        <v>0</v>
      </c>
      <c r="CZ1348" t="s">
        <v>111</v>
      </c>
      <c r="DA1348" t="s">
        <v>111</v>
      </c>
      <c r="DB1348" t="s">
        <v>111</v>
      </c>
      <c r="DC1348" t="s">
        <v>111</v>
      </c>
    </row>
    <row r="1349" spans="1:107">
      <c r="A1349">
        <v>512</v>
      </c>
      <c r="B1349" t="s">
        <v>162</v>
      </c>
      <c r="C1349" t="s">
        <v>3841</v>
      </c>
      <c r="D1349" t="s">
        <v>3842</v>
      </c>
      <c r="E1349" t="s">
        <v>3858</v>
      </c>
      <c r="F1349" t="s">
        <v>1260</v>
      </c>
      <c r="G1349" t="s">
        <v>24</v>
      </c>
      <c r="H1349">
        <v>1.6</v>
      </c>
      <c r="I1349">
        <v>45</v>
      </c>
      <c r="J1349">
        <v>0</v>
      </c>
      <c r="K1349">
        <v>0</v>
      </c>
      <c r="L1349" t="s">
        <v>117</v>
      </c>
      <c r="M1349" t="s">
        <v>118</v>
      </c>
      <c r="N1349">
        <v>40</v>
      </c>
      <c r="O1349">
        <v>2</v>
      </c>
      <c r="P1349" t="s">
        <v>138</v>
      </c>
      <c r="Q1349">
        <v>37.5</v>
      </c>
      <c r="R1349">
        <v>0</v>
      </c>
      <c r="S1349">
        <v>0</v>
      </c>
      <c r="T1349">
        <v>0</v>
      </c>
      <c r="U1349" t="s">
        <v>1353</v>
      </c>
      <c r="V1349">
        <v>0</v>
      </c>
      <c r="W1349">
        <v>0</v>
      </c>
      <c r="X1349">
        <v>0</v>
      </c>
      <c r="Y1349">
        <v>25</v>
      </c>
      <c r="Z1349" t="s">
        <v>111</v>
      </c>
      <c r="AA1349">
        <v>0</v>
      </c>
      <c r="AB1349" t="s">
        <v>111</v>
      </c>
      <c r="AC1349">
        <v>0</v>
      </c>
      <c r="AD1349" t="s">
        <v>416</v>
      </c>
      <c r="AE1349">
        <v>4</v>
      </c>
      <c r="AF1349">
        <v>2</v>
      </c>
      <c r="AG1349" t="s">
        <v>3844</v>
      </c>
      <c r="AH1349" t="s">
        <v>111</v>
      </c>
      <c r="AI1349">
        <v>42</v>
      </c>
      <c r="AJ1349" t="s">
        <v>111</v>
      </c>
      <c r="AK1349" t="s">
        <v>111</v>
      </c>
      <c r="AL1349" t="s">
        <v>111</v>
      </c>
      <c r="AM1349">
        <v>0</v>
      </c>
      <c r="AN1349">
        <v>0</v>
      </c>
      <c r="AO1349">
        <v>0</v>
      </c>
      <c r="AP1349" t="s">
        <v>111</v>
      </c>
      <c r="AQ1349" t="s">
        <v>111</v>
      </c>
      <c r="AR1349" t="s">
        <v>111</v>
      </c>
      <c r="AS1349" t="s">
        <v>111</v>
      </c>
      <c r="AT1349" t="s">
        <v>111</v>
      </c>
      <c r="AU1349" t="s">
        <v>111</v>
      </c>
      <c r="AV1349" t="s">
        <v>111</v>
      </c>
      <c r="AW1349" t="s">
        <v>111</v>
      </c>
      <c r="AX1349" t="s">
        <v>111</v>
      </c>
      <c r="AY1349" t="s">
        <v>111</v>
      </c>
      <c r="AZ1349" t="s">
        <v>111</v>
      </c>
      <c r="BA1349" t="s">
        <v>111</v>
      </c>
      <c r="BB1349" t="s">
        <v>111</v>
      </c>
      <c r="BC1349" t="s">
        <v>111</v>
      </c>
      <c r="BD1349" t="s">
        <v>111</v>
      </c>
      <c r="BE1349" t="s">
        <v>111</v>
      </c>
      <c r="BF1349" t="s">
        <v>111</v>
      </c>
      <c r="BG1349" t="s">
        <v>111</v>
      </c>
      <c r="BH1349" t="s">
        <v>111</v>
      </c>
      <c r="BI1349" t="s">
        <v>111</v>
      </c>
      <c r="BJ1349" t="s">
        <v>111</v>
      </c>
      <c r="BK1349" t="s">
        <v>111</v>
      </c>
      <c r="BL1349" t="s">
        <v>111</v>
      </c>
      <c r="BM1349" t="s">
        <v>111</v>
      </c>
      <c r="BN1349" t="s">
        <v>111</v>
      </c>
      <c r="BO1349" t="s">
        <v>111</v>
      </c>
      <c r="BP1349" t="s">
        <v>111</v>
      </c>
      <c r="BQ1349" t="s">
        <v>111</v>
      </c>
      <c r="BR1349" t="s">
        <v>111</v>
      </c>
      <c r="BS1349" t="s">
        <v>111</v>
      </c>
      <c r="BT1349" t="s">
        <v>111</v>
      </c>
      <c r="BU1349" t="s">
        <v>111</v>
      </c>
      <c r="BV1349" t="s">
        <v>111</v>
      </c>
      <c r="BW1349" t="s">
        <v>111</v>
      </c>
      <c r="BX1349" t="s">
        <v>111</v>
      </c>
      <c r="BY1349" t="s">
        <v>111</v>
      </c>
      <c r="BZ1349" t="s">
        <v>111</v>
      </c>
      <c r="CA1349" t="s">
        <v>111</v>
      </c>
      <c r="CB1349" t="s">
        <v>111</v>
      </c>
      <c r="CC1349" t="s">
        <v>111</v>
      </c>
      <c r="CD1349" t="s">
        <v>111</v>
      </c>
      <c r="CE1349" t="s">
        <v>111</v>
      </c>
      <c r="CF1349" t="s">
        <v>111</v>
      </c>
      <c r="CG1349" t="s">
        <v>111</v>
      </c>
      <c r="CH1349" t="s">
        <v>111</v>
      </c>
      <c r="CI1349" t="s">
        <v>111</v>
      </c>
      <c r="CJ1349" t="s">
        <v>111</v>
      </c>
      <c r="CK1349" t="s">
        <v>111</v>
      </c>
      <c r="CL1349" t="s">
        <v>168</v>
      </c>
      <c r="CM1349" t="s">
        <v>111</v>
      </c>
      <c r="CN1349" t="s">
        <v>111</v>
      </c>
      <c r="CO1349" t="s">
        <v>111</v>
      </c>
      <c r="CP1349" t="s">
        <v>111</v>
      </c>
      <c r="CQ1349">
        <v>0</v>
      </c>
      <c r="CR1349">
        <v>0</v>
      </c>
      <c r="CS1349">
        <v>0</v>
      </c>
      <c r="CT1349" t="s">
        <v>111</v>
      </c>
      <c r="CU1349">
        <v>0</v>
      </c>
      <c r="CV1349" t="s">
        <v>111</v>
      </c>
      <c r="CW1349" t="s">
        <v>111</v>
      </c>
      <c r="CX1349" t="s">
        <v>111</v>
      </c>
      <c r="CY1349">
        <v>0</v>
      </c>
      <c r="CZ1349" t="s">
        <v>111</v>
      </c>
      <c r="DA1349" t="s">
        <v>111</v>
      </c>
      <c r="DB1349" t="s">
        <v>111</v>
      </c>
      <c r="DC1349" t="s">
        <v>111</v>
      </c>
    </row>
    <row r="1350" spans="1:107">
      <c r="A1350">
        <v>504</v>
      </c>
      <c r="B1350" t="s">
        <v>107</v>
      </c>
      <c r="C1350" t="s">
        <v>174</v>
      </c>
      <c r="D1350" t="s">
        <v>3859</v>
      </c>
      <c r="E1350" t="s">
        <v>3860</v>
      </c>
      <c r="F1350" t="s">
        <v>1651</v>
      </c>
      <c r="G1350" t="s">
        <v>24</v>
      </c>
      <c r="H1350">
        <v>1.9</v>
      </c>
      <c r="I1350">
        <v>48</v>
      </c>
      <c r="J1350">
        <v>0</v>
      </c>
      <c r="K1350">
        <v>0</v>
      </c>
      <c r="L1350" t="s">
        <v>117</v>
      </c>
      <c r="M1350" t="s">
        <v>118</v>
      </c>
      <c r="N1350">
        <v>40</v>
      </c>
      <c r="O1350">
        <v>1</v>
      </c>
      <c r="P1350" t="s">
        <v>138</v>
      </c>
      <c r="Q1350">
        <v>30</v>
      </c>
      <c r="R1350">
        <v>0</v>
      </c>
      <c r="S1350">
        <v>0</v>
      </c>
      <c r="T1350">
        <v>0</v>
      </c>
      <c r="U1350" s="1" t="s">
        <v>3861</v>
      </c>
      <c r="V1350">
        <v>0</v>
      </c>
      <c r="W1350">
        <v>0</v>
      </c>
      <c r="X1350">
        <v>0</v>
      </c>
      <c r="Y1350">
        <v>25</v>
      </c>
      <c r="Z1350" t="s">
        <v>111</v>
      </c>
      <c r="AA1350">
        <v>0</v>
      </c>
      <c r="AB1350" t="s">
        <v>111</v>
      </c>
      <c r="AC1350">
        <v>0</v>
      </c>
      <c r="AD1350" t="s">
        <v>416</v>
      </c>
      <c r="AE1350">
        <v>4</v>
      </c>
      <c r="AF1350">
        <v>2</v>
      </c>
      <c r="AG1350">
        <v>15</v>
      </c>
      <c r="AH1350" t="s">
        <v>111</v>
      </c>
      <c r="AI1350">
        <v>30</v>
      </c>
      <c r="AJ1350" t="s">
        <v>111</v>
      </c>
      <c r="AK1350" t="s">
        <v>111</v>
      </c>
      <c r="AL1350" t="s">
        <v>111</v>
      </c>
      <c r="AM1350">
        <v>0</v>
      </c>
      <c r="AN1350">
        <v>0</v>
      </c>
      <c r="AO1350">
        <v>0</v>
      </c>
      <c r="AP1350" t="s">
        <v>679</v>
      </c>
      <c r="AQ1350" t="s">
        <v>111</v>
      </c>
      <c r="AR1350" t="s">
        <v>111</v>
      </c>
      <c r="AS1350" t="s">
        <v>111</v>
      </c>
      <c r="AT1350" t="s">
        <v>147</v>
      </c>
      <c r="AU1350" t="s">
        <v>111</v>
      </c>
      <c r="AV1350" t="s">
        <v>111</v>
      </c>
      <c r="AW1350" t="s">
        <v>111</v>
      </c>
      <c r="AX1350" t="s">
        <v>1235</v>
      </c>
      <c r="AY1350" t="s">
        <v>111</v>
      </c>
      <c r="AZ1350" t="s">
        <v>111</v>
      </c>
      <c r="BA1350" t="s">
        <v>111</v>
      </c>
      <c r="BB1350" t="s">
        <v>184</v>
      </c>
      <c r="BC1350" t="s">
        <v>111</v>
      </c>
      <c r="BD1350" t="s">
        <v>111</v>
      </c>
      <c r="BE1350" t="s">
        <v>111</v>
      </c>
      <c r="BF1350" t="s">
        <v>111</v>
      </c>
      <c r="BG1350" t="s">
        <v>111</v>
      </c>
      <c r="BH1350" t="s">
        <v>111</v>
      </c>
      <c r="BI1350" t="s">
        <v>111</v>
      </c>
      <c r="BJ1350" t="s">
        <v>111</v>
      </c>
      <c r="BK1350" t="s">
        <v>111</v>
      </c>
      <c r="BL1350" t="s">
        <v>111</v>
      </c>
      <c r="BM1350" t="s">
        <v>111</v>
      </c>
      <c r="BN1350" t="s">
        <v>111</v>
      </c>
      <c r="BO1350" t="s">
        <v>111</v>
      </c>
      <c r="BP1350" t="s">
        <v>111</v>
      </c>
      <c r="BQ1350" t="s">
        <v>111</v>
      </c>
      <c r="BR1350" t="s">
        <v>111</v>
      </c>
      <c r="BS1350" t="s">
        <v>111</v>
      </c>
      <c r="BT1350" t="s">
        <v>111</v>
      </c>
      <c r="BU1350" t="s">
        <v>111</v>
      </c>
      <c r="BV1350" t="s">
        <v>111</v>
      </c>
      <c r="BW1350" t="s">
        <v>111</v>
      </c>
      <c r="BX1350" t="s">
        <v>111</v>
      </c>
      <c r="BY1350" t="s">
        <v>111</v>
      </c>
      <c r="BZ1350" t="s">
        <v>111</v>
      </c>
      <c r="CA1350" t="s">
        <v>111</v>
      </c>
      <c r="CB1350" t="s">
        <v>111</v>
      </c>
      <c r="CC1350" t="s">
        <v>111</v>
      </c>
      <c r="CD1350" t="s">
        <v>111</v>
      </c>
      <c r="CE1350" t="s">
        <v>111</v>
      </c>
      <c r="CF1350" t="s">
        <v>111</v>
      </c>
      <c r="CG1350" t="s">
        <v>111</v>
      </c>
      <c r="CH1350" t="s">
        <v>111</v>
      </c>
      <c r="CI1350" t="s">
        <v>111</v>
      </c>
      <c r="CJ1350" t="s">
        <v>111</v>
      </c>
      <c r="CK1350" t="s">
        <v>111</v>
      </c>
      <c r="CL1350" t="s">
        <v>153</v>
      </c>
      <c r="CM1350" t="s">
        <v>198</v>
      </c>
      <c r="CN1350" t="s">
        <v>113</v>
      </c>
      <c r="CO1350" t="s">
        <v>111</v>
      </c>
      <c r="CP1350" t="s">
        <v>433</v>
      </c>
      <c r="CQ1350">
        <v>92</v>
      </c>
      <c r="CR1350">
        <v>8000</v>
      </c>
      <c r="CS1350">
        <v>200</v>
      </c>
      <c r="CT1350" s="1" t="s">
        <v>1902</v>
      </c>
      <c r="CU1350">
        <v>0</v>
      </c>
      <c r="CV1350" t="s">
        <v>111</v>
      </c>
      <c r="CW1350" t="s">
        <v>111</v>
      </c>
      <c r="CX1350" t="s">
        <v>111</v>
      </c>
      <c r="CY1350">
        <v>0</v>
      </c>
      <c r="CZ1350" t="s">
        <v>111</v>
      </c>
      <c r="DA1350" t="s">
        <v>111</v>
      </c>
      <c r="DB1350" t="s">
        <v>111</v>
      </c>
      <c r="DC1350" t="s">
        <v>111</v>
      </c>
    </row>
    <row r="1351" spans="1:107">
      <c r="A1351">
        <v>495</v>
      </c>
      <c r="B1351" t="s">
        <v>162</v>
      </c>
      <c r="C1351" t="s">
        <v>3855</v>
      </c>
      <c r="D1351" t="s">
        <v>3862</v>
      </c>
      <c r="E1351" t="s">
        <v>3863</v>
      </c>
      <c r="F1351" t="s">
        <v>1651</v>
      </c>
      <c r="G1351" t="s">
        <v>24</v>
      </c>
      <c r="H1351">
        <v>1.2</v>
      </c>
      <c r="I1351">
        <v>20</v>
      </c>
      <c r="J1351">
        <v>0</v>
      </c>
      <c r="K1351">
        <v>0</v>
      </c>
      <c r="L1351" t="s">
        <v>112</v>
      </c>
      <c r="M1351" t="s">
        <v>118</v>
      </c>
      <c r="N1351">
        <v>40</v>
      </c>
      <c r="O1351">
        <v>1</v>
      </c>
      <c r="P1351" t="s">
        <v>138</v>
      </c>
      <c r="Q1351">
        <v>30</v>
      </c>
      <c r="R1351">
        <v>0</v>
      </c>
      <c r="S1351">
        <v>0</v>
      </c>
      <c r="T1351">
        <v>0</v>
      </c>
      <c r="U1351" s="1" t="s">
        <v>3864</v>
      </c>
      <c r="V1351">
        <v>0</v>
      </c>
      <c r="W1351">
        <v>0</v>
      </c>
      <c r="X1351">
        <v>0</v>
      </c>
      <c r="Y1351">
        <v>25</v>
      </c>
      <c r="Z1351" t="s">
        <v>111</v>
      </c>
      <c r="AA1351">
        <v>0</v>
      </c>
      <c r="AB1351" t="s">
        <v>111</v>
      </c>
      <c r="AC1351">
        <v>0</v>
      </c>
      <c r="AD1351" t="s">
        <v>416</v>
      </c>
      <c r="AE1351">
        <v>2</v>
      </c>
      <c r="AF1351">
        <v>1</v>
      </c>
      <c r="AG1351">
        <v>13</v>
      </c>
      <c r="AH1351" t="s">
        <v>111</v>
      </c>
      <c r="AI1351">
        <v>26</v>
      </c>
      <c r="AJ1351" t="s">
        <v>111</v>
      </c>
      <c r="AK1351" t="s">
        <v>111</v>
      </c>
      <c r="AL1351" t="s">
        <v>111</v>
      </c>
      <c r="AM1351">
        <v>0</v>
      </c>
      <c r="AN1351">
        <v>0</v>
      </c>
      <c r="AO1351">
        <v>0</v>
      </c>
      <c r="AP1351" t="s">
        <v>188</v>
      </c>
      <c r="AQ1351" t="s">
        <v>111</v>
      </c>
      <c r="AR1351" t="s">
        <v>111</v>
      </c>
      <c r="AS1351" t="s">
        <v>111</v>
      </c>
      <c r="AT1351" t="s">
        <v>288</v>
      </c>
      <c r="AU1351" t="s">
        <v>111</v>
      </c>
      <c r="AV1351" t="s">
        <v>111</v>
      </c>
      <c r="AW1351" t="s">
        <v>111</v>
      </c>
      <c r="AX1351" t="s">
        <v>111</v>
      </c>
      <c r="AY1351" t="s">
        <v>111</v>
      </c>
      <c r="AZ1351" t="s">
        <v>111</v>
      </c>
      <c r="BA1351" t="s">
        <v>111</v>
      </c>
      <c r="BB1351" t="s">
        <v>111</v>
      </c>
      <c r="BC1351" t="s">
        <v>111</v>
      </c>
      <c r="BD1351" t="s">
        <v>111</v>
      </c>
      <c r="BE1351" t="s">
        <v>111</v>
      </c>
      <c r="BF1351" t="s">
        <v>111</v>
      </c>
      <c r="BG1351" t="s">
        <v>111</v>
      </c>
      <c r="BH1351" t="s">
        <v>111</v>
      </c>
      <c r="BI1351" t="s">
        <v>111</v>
      </c>
      <c r="BJ1351" t="s">
        <v>111</v>
      </c>
      <c r="BK1351" t="s">
        <v>111</v>
      </c>
      <c r="BL1351" t="s">
        <v>111</v>
      </c>
      <c r="BM1351" t="s">
        <v>111</v>
      </c>
      <c r="BN1351" t="s">
        <v>111</v>
      </c>
      <c r="BO1351" t="s">
        <v>111</v>
      </c>
      <c r="BP1351" t="s">
        <v>111</v>
      </c>
      <c r="BQ1351" t="s">
        <v>111</v>
      </c>
      <c r="BR1351" t="s">
        <v>111</v>
      </c>
      <c r="BS1351" t="s">
        <v>111</v>
      </c>
      <c r="BT1351" t="s">
        <v>111</v>
      </c>
      <c r="BU1351" t="s">
        <v>111</v>
      </c>
      <c r="BV1351" t="s">
        <v>111</v>
      </c>
      <c r="BW1351" t="s">
        <v>111</v>
      </c>
      <c r="BX1351" t="s">
        <v>111</v>
      </c>
      <c r="BY1351" t="s">
        <v>111</v>
      </c>
      <c r="BZ1351" t="s">
        <v>111</v>
      </c>
      <c r="CA1351" t="s">
        <v>111</v>
      </c>
      <c r="CB1351" t="s">
        <v>111</v>
      </c>
      <c r="CC1351" t="s">
        <v>111</v>
      </c>
      <c r="CD1351" t="s">
        <v>111</v>
      </c>
      <c r="CE1351" t="s">
        <v>111</v>
      </c>
      <c r="CF1351" t="s">
        <v>111</v>
      </c>
      <c r="CG1351" t="s">
        <v>111</v>
      </c>
      <c r="CH1351" t="s">
        <v>111</v>
      </c>
      <c r="CI1351" t="s">
        <v>111</v>
      </c>
      <c r="CJ1351" t="s">
        <v>111</v>
      </c>
      <c r="CK1351" t="s">
        <v>111</v>
      </c>
      <c r="CL1351" t="s">
        <v>153</v>
      </c>
      <c r="CM1351" t="s">
        <v>198</v>
      </c>
      <c r="CN1351" t="s">
        <v>113</v>
      </c>
      <c r="CO1351" t="s">
        <v>111</v>
      </c>
      <c r="CP1351" t="s">
        <v>433</v>
      </c>
      <c r="CQ1351">
        <v>0</v>
      </c>
      <c r="CR1351">
        <v>15000</v>
      </c>
      <c r="CS1351">
        <v>500</v>
      </c>
      <c r="CT1351" t="s">
        <v>168</v>
      </c>
      <c r="CU1351">
        <v>0</v>
      </c>
      <c r="CV1351" t="s">
        <v>111</v>
      </c>
      <c r="CW1351" t="s">
        <v>111</v>
      </c>
      <c r="CX1351" t="s">
        <v>111</v>
      </c>
      <c r="CY1351">
        <v>0</v>
      </c>
      <c r="CZ1351" t="s">
        <v>111</v>
      </c>
      <c r="DA1351" t="s">
        <v>111</v>
      </c>
      <c r="DB1351" t="s">
        <v>111</v>
      </c>
      <c r="DC1351" t="s">
        <v>111</v>
      </c>
    </row>
    <row r="1352" spans="1:107">
      <c r="A1352">
        <v>342</v>
      </c>
      <c r="B1352" t="s">
        <v>162</v>
      </c>
      <c r="C1352" t="s">
        <v>827</v>
      </c>
      <c r="D1352" t="s">
        <v>3865</v>
      </c>
      <c r="E1352" t="s">
        <v>3866</v>
      </c>
      <c r="F1352" t="s">
        <v>1651</v>
      </c>
      <c r="G1352" t="s">
        <v>24</v>
      </c>
      <c r="H1352">
        <v>1.4</v>
      </c>
      <c r="I1352">
        <v>45</v>
      </c>
      <c r="J1352">
        <v>0</v>
      </c>
      <c r="K1352">
        <v>0</v>
      </c>
      <c r="L1352" t="s">
        <v>112</v>
      </c>
      <c r="M1352" t="s">
        <v>118</v>
      </c>
      <c r="N1352">
        <v>40</v>
      </c>
      <c r="O1352">
        <v>2</v>
      </c>
      <c r="P1352" t="s">
        <v>138</v>
      </c>
      <c r="Q1352">
        <v>40</v>
      </c>
      <c r="R1352">
        <v>0</v>
      </c>
      <c r="S1352">
        <v>0</v>
      </c>
      <c r="T1352">
        <v>0</v>
      </c>
      <c r="U1352" t="s">
        <v>2685</v>
      </c>
      <c r="V1352">
        <v>0</v>
      </c>
      <c r="W1352">
        <v>0</v>
      </c>
      <c r="X1352">
        <v>0</v>
      </c>
      <c r="Y1352">
        <v>25</v>
      </c>
      <c r="Z1352" t="s">
        <v>111</v>
      </c>
      <c r="AA1352">
        <v>0</v>
      </c>
      <c r="AB1352" t="s">
        <v>111</v>
      </c>
      <c r="AC1352">
        <v>0</v>
      </c>
      <c r="AD1352" t="s">
        <v>427</v>
      </c>
      <c r="AE1352">
        <v>4</v>
      </c>
      <c r="AF1352">
        <v>2</v>
      </c>
      <c r="AG1352">
        <v>32</v>
      </c>
      <c r="AH1352" t="s">
        <v>111</v>
      </c>
      <c r="AI1352">
        <v>32</v>
      </c>
      <c r="AJ1352" t="s">
        <v>111</v>
      </c>
      <c r="AK1352" t="s">
        <v>111</v>
      </c>
      <c r="AL1352" t="s">
        <v>111</v>
      </c>
      <c r="AM1352">
        <v>0</v>
      </c>
      <c r="AN1352">
        <v>0</v>
      </c>
      <c r="AO1352">
        <v>0</v>
      </c>
      <c r="AP1352" t="s">
        <v>288</v>
      </c>
      <c r="AQ1352" t="s">
        <v>111</v>
      </c>
      <c r="AR1352" t="s">
        <v>111</v>
      </c>
      <c r="AS1352" t="s">
        <v>111</v>
      </c>
      <c r="AT1352" t="s">
        <v>184</v>
      </c>
      <c r="AU1352" t="s">
        <v>111</v>
      </c>
      <c r="AV1352" t="s">
        <v>111</v>
      </c>
      <c r="AW1352" t="s">
        <v>111</v>
      </c>
      <c r="AX1352" t="s">
        <v>772</v>
      </c>
      <c r="AY1352" t="s">
        <v>111</v>
      </c>
      <c r="AZ1352" t="s">
        <v>111</v>
      </c>
      <c r="BA1352" t="s">
        <v>111</v>
      </c>
      <c r="BB1352" t="s">
        <v>259</v>
      </c>
      <c r="BC1352" t="s">
        <v>111</v>
      </c>
      <c r="BD1352" t="s">
        <v>111</v>
      </c>
      <c r="BE1352" t="s">
        <v>111</v>
      </c>
      <c r="BF1352" t="s">
        <v>111</v>
      </c>
      <c r="BG1352" t="s">
        <v>111</v>
      </c>
      <c r="BH1352" t="s">
        <v>111</v>
      </c>
      <c r="BI1352" t="s">
        <v>111</v>
      </c>
      <c r="BJ1352" t="s">
        <v>111</v>
      </c>
      <c r="BK1352" t="s">
        <v>111</v>
      </c>
      <c r="BL1352" t="s">
        <v>111</v>
      </c>
      <c r="BM1352" t="s">
        <v>111</v>
      </c>
      <c r="BN1352" t="s">
        <v>111</v>
      </c>
      <c r="BO1352" t="s">
        <v>111</v>
      </c>
      <c r="BP1352" t="s">
        <v>111</v>
      </c>
      <c r="BQ1352" t="s">
        <v>111</v>
      </c>
      <c r="BR1352" t="s">
        <v>111</v>
      </c>
      <c r="BS1352" t="s">
        <v>111</v>
      </c>
      <c r="BT1352" t="s">
        <v>111</v>
      </c>
      <c r="BU1352" t="s">
        <v>111</v>
      </c>
      <c r="BV1352" t="s">
        <v>111</v>
      </c>
      <c r="BW1352" t="s">
        <v>111</v>
      </c>
      <c r="BX1352" t="s">
        <v>111</v>
      </c>
      <c r="BY1352" t="s">
        <v>111</v>
      </c>
      <c r="BZ1352" t="s">
        <v>111</v>
      </c>
      <c r="CA1352" t="s">
        <v>111</v>
      </c>
      <c r="CB1352" t="s">
        <v>111</v>
      </c>
      <c r="CC1352" t="s">
        <v>111</v>
      </c>
      <c r="CD1352" t="s">
        <v>111</v>
      </c>
      <c r="CE1352" t="s">
        <v>111</v>
      </c>
      <c r="CF1352" t="s">
        <v>111</v>
      </c>
      <c r="CG1352" t="s">
        <v>111</v>
      </c>
      <c r="CH1352" t="s">
        <v>111</v>
      </c>
      <c r="CI1352" t="s">
        <v>111</v>
      </c>
      <c r="CJ1352" t="s">
        <v>111</v>
      </c>
      <c r="CK1352" t="s">
        <v>111</v>
      </c>
      <c r="CL1352" t="s">
        <v>153</v>
      </c>
      <c r="CM1352" t="s">
        <v>198</v>
      </c>
      <c r="CN1352" t="s">
        <v>113</v>
      </c>
      <c r="CO1352" t="s">
        <v>111</v>
      </c>
      <c r="CP1352" t="s">
        <v>433</v>
      </c>
      <c r="CQ1352">
        <v>0</v>
      </c>
      <c r="CR1352">
        <v>0</v>
      </c>
      <c r="CS1352">
        <v>0</v>
      </c>
      <c r="CT1352" t="s">
        <v>168</v>
      </c>
      <c r="CU1352">
        <v>0</v>
      </c>
      <c r="CV1352" t="s">
        <v>111</v>
      </c>
      <c r="CW1352" t="s">
        <v>111</v>
      </c>
      <c r="CX1352" t="s">
        <v>111</v>
      </c>
      <c r="CY1352">
        <v>0</v>
      </c>
      <c r="CZ1352" t="s">
        <v>111</v>
      </c>
      <c r="DA1352" t="s">
        <v>111</v>
      </c>
      <c r="DB1352" t="s">
        <v>111</v>
      </c>
      <c r="DC1352" t="s">
        <v>111</v>
      </c>
    </row>
    <row r="1353" spans="1:107">
      <c r="A1353">
        <v>41</v>
      </c>
      <c r="B1353" t="s">
        <v>162</v>
      </c>
      <c r="C1353" t="s">
        <v>3801</v>
      </c>
      <c r="D1353" t="s">
        <v>3867</v>
      </c>
      <c r="E1353" t="s">
        <v>3868</v>
      </c>
      <c r="F1353" t="s">
        <v>110</v>
      </c>
      <c r="G1353" t="s">
        <v>3869</v>
      </c>
      <c r="H1353">
        <v>1.7</v>
      </c>
      <c r="I1353">
        <v>45</v>
      </c>
      <c r="J1353">
        <v>0</v>
      </c>
      <c r="K1353">
        <v>0</v>
      </c>
      <c r="L1353" t="s">
        <v>112</v>
      </c>
      <c r="M1353" t="s">
        <v>138</v>
      </c>
      <c r="N1353">
        <v>0</v>
      </c>
      <c r="O1353">
        <v>0</v>
      </c>
      <c r="P1353" t="s">
        <v>138</v>
      </c>
      <c r="Q1353">
        <v>35</v>
      </c>
      <c r="R1353">
        <v>0</v>
      </c>
      <c r="S1353">
        <v>0</v>
      </c>
      <c r="T1353">
        <v>0</v>
      </c>
      <c r="U1353" t="s">
        <v>211</v>
      </c>
      <c r="V1353">
        <v>0</v>
      </c>
      <c r="W1353">
        <v>0</v>
      </c>
      <c r="X1353">
        <v>0</v>
      </c>
      <c r="Y1353">
        <v>25</v>
      </c>
      <c r="Z1353" t="s">
        <v>111</v>
      </c>
      <c r="AA1353">
        <v>0</v>
      </c>
      <c r="AB1353" t="s">
        <v>111</v>
      </c>
      <c r="AC1353">
        <v>0</v>
      </c>
      <c r="AD1353" t="s">
        <v>111</v>
      </c>
      <c r="AE1353">
        <v>0</v>
      </c>
      <c r="AF1353">
        <v>0</v>
      </c>
      <c r="AG1353" t="s">
        <v>111</v>
      </c>
      <c r="AH1353" t="s">
        <v>111</v>
      </c>
      <c r="AI1353" t="s">
        <v>111</v>
      </c>
      <c r="AJ1353" t="s">
        <v>111</v>
      </c>
      <c r="AK1353" t="s">
        <v>111</v>
      </c>
      <c r="AL1353" t="s">
        <v>111</v>
      </c>
      <c r="AM1353">
        <v>0</v>
      </c>
      <c r="AN1353">
        <v>0</v>
      </c>
      <c r="AO1353">
        <v>0</v>
      </c>
      <c r="AP1353" t="s">
        <v>111</v>
      </c>
      <c r="AQ1353" t="s">
        <v>111</v>
      </c>
      <c r="AR1353" t="s">
        <v>111</v>
      </c>
      <c r="AS1353" t="s">
        <v>111</v>
      </c>
      <c r="AT1353" t="s">
        <v>111</v>
      </c>
      <c r="AU1353" t="s">
        <v>111</v>
      </c>
      <c r="AV1353" t="s">
        <v>111</v>
      </c>
      <c r="AW1353" t="s">
        <v>111</v>
      </c>
      <c r="AX1353" t="s">
        <v>111</v>
      </c>
      <c r="AY1353" t="s">
        <v>111</v>
      </c>
      <c r="AZ1353" t="s">
        <v>111</v>
      </c>
      <c r="BA1353" t="s">
        <v>111</v>
      </c>
      <c r="BB1353" t="s">
        <v>111</v>
      </c>
      <c r="BC1353" t="s">
        <v>111</v>
      </c>
      <c r="BD1353" t="s">
        <v>111</v>
      </c>
      <c r="BE1353" t="s">
        <v>111</v>
      </c>
      <c r="BF1353" t="s">
        <v>111</v>
      </c>
      <c r="BG1353" t="s">
        <v>111</v>
      </c>
      <c r="BH1353" t="s">
        <v>111</v>
      </c>
      <c r="BI1353" t="s">
        <v>111</v>
      </c>
      <c r="BJ1353" t="s">
        <v>111</v>
      </c>
      <c r="BK1353" t="s">
        <v>111</v>
      </c>
      <c r="BL1353" t="s">
        <v>111</v>
      </c>
      <c r="BM1353" t="s">
        <v>111</v>
      </c>
      <c r="BN1353" t="s">
        <v>111</v>
      </c>
      <c r="BO1353" t="s">
        <v>111</v>
      </c>
      <c r="BP1353" t="s">
        <v>111</v>
      </c>
      <c r="BQ1353" t="s">
        <v>111</v>
      </c>
      <c r="BR1353" t="s">
        <v>111</v>
      </c>
      <c r="BS1353" t="s">
        <v>111</v>
      </c>
      <c r="BT1353" t="s">
        <v>111</v>
      </c>
      <c r="BU1353" t="s">
        <v>111</v>
      </c>
      <c r="BV1353" t="s">
        <v>111</v>
      </c>
      <c r="BW1353" t="s">
        <v>111</v>
      </c>
      <c r="BX1353" t="s">
        <v>111</v>
      </c>
      <c r="BY1353" t="s">
        <v>111</v>
      </c>
      <c r="BZ1353" t="s">
        <v>111</v>
      </c>
      <c r="CA1353" t="s">
        <v>111</v>
      </c>
      <c r="CB1353" t="s">
        <v>111</v>
      </c>
      <c r="CC1353" t="s">
        <v>111</v>
      </c>
      <c r="CD1353" t="s">
        <v>111</v>
      </c>
      <c r="CE1353" t="s">
        <v>111</v>
      </c>
      <c r="CF1353" t="s">
        <v>111</v>
      </c>
      <c r="CG1353" t="s">
        <v>111</v>
      </c>
      <c r="CH1353" t="s">
        <v>111</v>
      </c>
      <c r="CI1353" t="s">
        <v>111</v>
      </c>
      <c r="CJ1353" t="s">
        <v>111</v>
      </c>
      <c r="CK1353" t="s">
        <v>111</v>
      </c>
      <c r="CL1353" t="s">
        <v>111</v>
      </c>
      <c r="CM1353" t="s">
        <v>111</v>
      </c>
      <c r="CN1353" t="s">
        <v>111</v>
      </c>
      <c r="CO1353" t="s">
        <v>111</v>
      </c>
      <c r="CP1353" t="s">
        <v>111</v>
      </c>
      <c r="CQ1353">
        <v>0</v>
      </c>
      <c r="CR1353">
        <v>0</v>
      </c>
      <c r="CS1353">
        <v>0</v>
      </c>
      <c r="CT1353" t="s">
        <v>111</v>
      </c>
      <c r="CU1353">
        <v>0</v>
      </c>
      <c r="CV1353" t="s">
        <v>111</v>
      </c>
      <c r="CW1353" t="s">
        <v>111</v>
      </c>
      <c r="CX1353" t="s">
        <v>111</v>
      </c>
      <c r="CY1353">
        <v>0</v>
      </c>
      <c r="CZ1353" t="s">
        <v>111</v>
      </c>
      <c r="DA1353" t="s">
        <v>111</v>
      </c>
      <c r="DB1353" t="s">
        <v>111</v>
      </c>
      <c r="DC1353" t="s">
        <v>111</v>
      </c>
    </row>
    <row r="1354" spans="1:107">
      <c r="A1354">
        <v>42</v>
      </c>
      <c r="B1354" t="s">
        <v>162</v>
      </c>
      <c r="C1354" t="s">
        <v>3801</v>
      </c>
      <c r="D1354" t="s">
        <v>3870</v>
      </c>
      <c r="E1354" t="s">
        <v>3871</v>
      </c>
      <c r="F1354" t="s">
        <v>110</v>
      </c>
      <c r="G1354" t="s">
        <v>24</v>
      </c>
      <c r="H1354">
        <v>1.7</v>
      </c>
      <c r="I1354">
        <v>35</v>
      </c>
      <c r="J1354">
        <v>0</v>
      </c>
      <c r="K1354">
        <v>0</v>
      </c>
      <c r="L1354" t="s">
        <v>112</v>
      </c>
      <c r="M1354" t="s">
        <v>138</v>
      </c>
      <c r="N1354">
        <v>0</v>
      </c>
      <c r="O1354">
        <v>0</v>
      </c>
      <c r="P1354" t="s">
        <v>138</v>
      </c>
      <c r="Q1354">
        <v>35</v>
      </c>
      <c r="R1354">
        <v>0</v>
      </c>
      <c r="S1354">
        <v>0</v>
      </c>
      <c r="T1354">
        <v>0</v>
      </c>
      <c r="U1354" t="s">
        <v>211</v>
      </c>
      <c r="V1354">
        <v>0</v>
      </c>
      <c r="W1354">
        <v>0</v>
      </c>
      <c r="X1354">
        <v>0</v>
      </c>
      <c r="Y1354">
        <v>25</v>
      </c>
      <c r="Z1354" t="s">
        <v>111</v>
      </c>
      <c r="AA1354">
        <v>0</v>
      </c>
      <c r="AB1354" t="s">
        <v>111</v>
      </c>
      <c r="AC1354">
        <v>0</v>
      </c>
      <c r="AD1354" t="s">
        <v>111</v>
      </c>
      <c r="AE1354">
        <v>0</v>
      </c>
      <c r="AF1354">
        <v>0</v>
      </c>
      <c r="AG1354" t="s">
        <v>111</v>
      </c>
      <c r="AH1354" t="s">
        <v>111</v>
      </c>
      <c r="AI1354" t="s">
        <v>111</v>
      </c>
      <c r="AJ1354" t="s">
        <v>111</v>
      </c>
      <c r="AK1354" t="s">
        <v>111</v>
      </c>
      <c r="AL1354" t="s">
        <v>111</v>
      </c>
      <c r="AM1354">
        <v>0</v>
      </c>
      <c r="AN1354">
        <v>0</v>
      </c>
      <c r="AO1354">
        <v>0</v>
      </c>
      <c r="AP1354" t="s">
        <v>111</v>
      </c>
      <c r="AQ1354" t="s">
        <v>111</v>
      </c>
      <c r="AR1354" t="s">
        <v>111</v>
      </c>
      <c r="AS1354" t="s">
        <v>111</v>
      </c>
      <c r="AT1354" t="s">
        <v>111</v>
      </c>
      <c r="AU1354" t="s">
        <v>111</v>
      </c>
      <c r="AV1354" t="s">
        <v>111</v>
      </c>
      <c r="AW1354" t="s">
        <v>111</v>
      </c>
      <c r="AX1354" t="s">
        <v>111</v>
      </c>
      <c r="AY1354" t="s">
        <v>111</v>
      </c>
      <c r="AZ1354" t="s">
        <v>111</v>
      </c>
      <c r="BA1354" t="s">
        <v>111</v>
      </c>
      <c r="BB1354" t="s">
        <v>111</v>
      </c>
      <c r="BC1354" t="s">
        <v>111</v>
      </c>
      <c r="BD1354" t="s">
        <v>111</v>
      </c>
      <c r="BE1354" t="s">
        <v>111</v>
      </c>
      <c r="BF1354" t="s">
        <v>111</v>
      </c>
      <c r="BG1354" t="s">
        <v>111</v>
      </c>
      <c r="BH1354" t="s">
        <v>111</v>
      </c>
      <c r="BI1354" t="s">
        <v>111</v>
      </c>
      <c r="BJ1354" t="s">
        <v>111</v>
      </c>
      <c r="BK1354" t="s">
        <v>111</v>
      </c>
      <c r="BL1354" t="s">
        <v>111</v>
      </c>
      <c r="BM1354" t="s">
        <v>111</v>
      </c>
      <c r="BN1354" t="s">
        <v>111</v>
      </c>
      <c r="BO1354" t="s">
        <v>111</v>
      </c>
      <c r="BP1354" t="s">
        <v>111</v>
      </c>
      <c r="BQ1354" t="s">
        <v>111</v>
      </c>
      <c r="BR1354" t="s">
        <v>111</v>
      </c>
      <c r="BS1354" t="s">
        <v>111</v>
      </c>
      <c r="BT1354" t="s">
        <v>111</v>
      </c>
      <c r="BU1354" t="s">
        <v>111</v>
      </c>
      <c r="BV1354" t="s">
        <v>111</v>
      </c>
      <c r="BW1354" t="s">
        <v>111</v>
      </c>
      <c r="BX1354" t="s">
        <v>111</v>
      </c>
      <c r="BY1354" t="s">
        <v>111</v>
      </c>
      <c r="BZ1354" t="s">
        <v>111</v>
      </c>
      <c r="CA1354" t="s">
        <v>111</v>
      </c>
      <c r="CB1354" t="s">
        <v>111</v>
      </c>
      <c r="CC1354" t="s">
        <v>111</v>
      </c>
      <c r="CD1354" t="s">
        <v>111</v>
      </c>
      <c r="CE1354" t="s">
        <v>111</v>
      </c>
      <c r="CF1354" t="s">
        <v>111</v>
      </c>
      <c r="CG1354" t="s">
        <v>111</v>
      </c>
      <c r="CH1354" t="s">
        <v>111</v>
      </c>
      <c r="CI1354" t="s">
        <v>111</v>
      </c>
      <c r="CJ1354" t="s">
        <v>111</v>
      </c>
      <c r="CK1354" t="s">
        <v>111</v>
      </c>
      <c r="CL1354" t="s">
        <v>111</v>
      </c>
      <c r="CM1354" t="s">
        <v>111</v>
      </c>
      <c r="CN1354" t="s">
        <v>111</v>
      </c>
      <c r="CO1354" t="s">
        <v>111</v>
      </c>
      <c r="CP1354" t="s">
        <v>111</v>
      </c>
      <c r="CQ1354">
        <v>0</v>
      </c>
      <c r="CR1354">
        <v>0</v>
      </c>
      <c r="CS1354">
        <v>0</v>
      </c>
      <c r="CT1354" t="s">
        <v>111</v>
      </c>
      <c r="CU1354">
        <v>0</v>
      </c>
      <c r="CV1354" t="s">
        <v>111</v>
      </c>
      <c r="CW1354" t="s">
        <v>111</v>
      </c>
      <c r="CX1354" t="s">
        <v>111</v>
      </c>
      <c r="CY1354">
        <v>0</v>
      </c>
      <c r="CZ1354" t="s">
        <v>111</v>
      </c>
      <c r="DA1354" t="s">
        <v>111</v>
      </c>
      <c r="DB1354" t="s">
        <v>111</v>
      </c>
      <c r="DC1354" t="s">
        <v>111</v>
      </c>
    </row>
    <row r="1355" spans="1:107">
      <c r="A1355">
        <v>124</v>
      </c>
      <c r="B1355" t="s">
        <v>162</v>
      </c>
      <c r="C1355" t="s">
        <v>719</v>
      </c>
      <c r="D1355" t="s">
        <v>3872</v>
      </c>
      <c r="E1355" t="s">
        <v>3873</v>
      </c>
      <c r="F1355" t="s">
        <v>1651</v>
      </c>
      <c r="G1355" t="s">
        <v>24</v>
      </c>
      <c r="H1355">
        <v>2.4</v>
      </c>
      <c r="I1355">
        <v>45</v>
      </c>
      <c r="J1355">
        <v>0</v>
      </c>
      <c r="K1355">
        <v>0</v>
      </c>
      <c r="L1355" t="s">
        <v>112</v>
      </c>
      <c r="M1355" t="s">
        <v>138</v>
      </c>
      <c r="N1355">
        <v>0</v>
      </c>
      <c r="O1355">
        <v>0</v>
      </c>
      <c r="P1355" t="s">
        <v>138</v>
      </c>
      <c r="Q1355">
        <v>40</v>
      </c>
      <c r="R1355">
        <v>0</v>
      </c>
      <c r="S1355">
        <v>0</v>
      </c>
      <c r="T1355">
        <v>0</v>
      </c>
      <c r="U1355" t="s">
        <v>3874</v>
      </c>
      <c r="V1355">
        <v>0</v>
      </c>
      <c r="W1355">
        <v>0</v>
      </c>
      <c r="X1355">
        <v>0</v>
      </c>
      <c r="Y1355">
        <v>25</v>
      </c>
      <c r="Z1355" t="s">
        <v>111</v>
      </c>
      <c r="AA1355">
        <v>0</v>
      </c>
      <c r="AB1355" t="s">
        <v>111</v>
      </c>
      <c r="AC1355">
        <v>0</v>
      </c>
      <c r="AD1355" t="s">
        <v>3650</v>
      </c>
      <c r="AE1355">
        <v>3</v>
      </c>
      <c r="AF1355">
        <v>2</v>
      </c>
      <c r="AG1355">
        <v>32</v>
      </c>
      <c r="AH1355" t="s">
        <v>111</v>
      </c>
      <c r="AI1355">
        <v>32</v>
      </c>
      <c r="AJ1355" t="s">
        <v>111</v>
      </c>
      <c r="AK1355" t="s">
        <v>111</v>
      </c>
      <c r="AL1355" t="s">
        <v>111</v>
      </c>
      <c r="AM1355">
        <v>0</v>
      </c>
      <c r="AN1355">
        <v>0</v>
      </c>
      <c r="AO1355">
        <v>0</v>
      </c>
      <c r="AP1355" t="s">
        <v>188</v>
      </c>
      <c r="AQ1355" t="s">
        <v>111</v>
      </c>
      <c r="AR1355" t="s">
        <v>111</v>
      </c>
      <c r="AS1355" t="s">
        <v>111</v>
      </c>
      <c r="AT1355" t="s">
        <v>288</v>
      </c>
      <c r="AU1355" t="s">
        <v>111</v>
      </c>
      <c r="AV1355" t="s">
        <v>111</v>
      </c>
      <c r="AW1355" t="s">
        <v>111</v>
      </c>
      <c r="AX1355" t="s">
        <v>772</v>
      </c>
      <c r="AY1355" t="s">
        <v>111</v>
      </c>
      <c r="AZ1355" t="s">
        <v>111</v>
      </c>
      <c r="BA1355" t="s">
        <v>111</v>
      </c>
      <c r="BB1355" t="s">
        <v>111</v>
      </c>
      <c r="BC1355" t="s">
        <v>111</v>
      </c>
      <c r="BD1355" t="s">
        <v>111</v>
      </c>
      <c r="BE1355" t="s">
        <v>111</v>
      </c>
      <c r="BF1355" t="s">
        <v>111</v>
      </c>
      <c r="BG1355" t="s">
        <v>111</v>
      </c>
      <c r="BH1355" t="s">
        <v>111</v>
      </c>
      <c r="BI1355" t="s">
        <v>111</v>
      </c>
      <c r="BJ1355" t="s">
        <v>111</v>
      </c>
      <c r="BK1355" t="s">
        <v>111</v>
      </c>
      <c r="BL1355" t="s">
        <v>111</v>
      </c>
      <c r="BM1355" t="s">
        <v>111</v>
      </c>
      <c r="BN1355" t="s">
        <v>111</v>
      </c>
      <c r="BO1355" t="s">
        <v>111</v>
      </c>
      <c r="BP1355" t="s">
        <v>111</v>
      </c>
      <c r="BQ1355" t="s">
        <v>111</v>
      </c>
      <c r="BR1355" t="s">
        <v>111</v>
      </c>
      <c r="BS1355" t="s">
        <v>111</v>
      </c>
      <c r="BT1355" t="s">
        <v>111</v>
      </c>
      <c r="BU1355" t="s">
        <v>111</v>
      </c>
      <c r="BV1355" t="s">
        <v>111</v>
      </c>
      <c r="BW1355" t="s">
        <v>111</v>
      </c>
      <c r="BX1355" t="s">
        <v>111</v>
      </c>
      <c r="BY1355" t="s">
        <v>111</v>
      </c>
      <c r="BZ1355" t="s">
        <v>111</v>
      </c>
      <c r="CA1355" t="s">
        <v>111</v>
      </c>
      <c r="CB1355" t="s">
        <v>111</v>
      </c>
      <c r="CC1355" t="s">
        <v>111</v>
      </c>
      <c r="CD1355" t="s">
        <v>111</v>
      </c>
      <c r="CE1355" t="s">
        <v>111</v>
      </c>
      <c r="CF1355" t="s">
        <v>111</v>
      </c>
      <c r="CG1355" t="s">
        <v>111</v>
      </c>
      <c r="CH1355" t="s">
        <v>111</v>
      </c>
      <c r="CI1355" t="s">
        <v>111</v>
      </c>
      <c r="CJ1355" t="s">
        <v>111</v>
      </c>
      <c r="CK1355" t="s">
        <v>111</v>
      </c>
      <c r="CL1355" t="s">
        <v>153</v>
      </c>
      <c r="CM1355" t="s">
        <v>198</v>
      </c>
      <c r="CN1355" t="s">
        <v>113</v>
      </c>
      <c r="CO1355" t="s">
        <v>111</v>
      </c>
      <c r="CP1355" t="s">
        <v>433</v>
      </c>
      <c r="CQ1355">
        <v>0</v>
      </c>
      <c r="CR1355">
        <v>0</v>
      </c>
      <c r="CS1355">
        <v>0</v>
      </c>
      <c r="CT1355" t="s">
        <v>3874</v>
      </c>
      <c r="CU1355">
        <v>0</v>
      </c>
      <c r="CV1355" t="s">
        <v>111</v>
      </c>
      <c r="CW1355" t="s">
        <v>111</v>
      </c>
      <c r="CX1355" t="s">
        <v>111</v>
      </c>
      <c r="CY1355">
        <v>0</v>
      </c>
      <c r="CZ1355" t="s">
        <v>111</v>
      </c>
      <c r="DA1355" t="s">
        <v>111</v>
      </c>
      <c r="DB1355" t="s">
        <v>111</v>
      </c>
      <c r="DC1355" t="s">
        <v>111</v>
      </c>
    </row>
    <row r="1356" spans="1:107">
      <c r="A1356">
        <v>44</v>
      </c>
      <c r="B1356" t="s">
        <v>162</v>
      </c>
      <c r="C1356" t="s">
        <v>3777</v>
      </c>
      <c r="D1356" t="s">
        <v>3875</v>
      </c>
      <c r="E1356" t="s">
        <v>3876</v>
      </c>
      <c r="F1356" t="s">
        <v>110</v>
      </c>
      <c r="G1356" t="s">
        <v>24</v>
      </c>
      <c r="H1356">
        <v>0.8</v>
      </c>
      <c r="I1356">
        <v>40</v>
      </c>
      <c r="J1356">
        <v>0</v>
      </c>
      <c r="K1356">
        <v>0</v>
      </c>
      <c r="L1356" t="s">
        <v>112</v>
      </c>
      <c r="M1356" t="s">
        <v>138</v>
      </c>
      <c r="N1356">
        <v>0</v>
      </c>
      <c r="O1356">
        <v>0</v>
      </c>
      <c r="P1356" t="s">
        <v>138</v>
      </c>
      <c r="Q1356">
        <v>35</v>
      </c>
      <c r="R1356">
        <v>0</v>
      </c>
      <c r="S1356">
        <v>0</v>
      </c>
      <c r="T1356">
        <v>0</v>
      </c>
      <c r="U1356" t="s">
        <v>168</v>
      </c>
      <c r="V1356">
        <v>0</v>
      </c>
      <c r="W1356">
        <v>0</v>
      </c>
      <c r="X1356">
        <v>0</v>
      </c>
      <c r="Y1356">
        <v>25</v>
      </c>
      <c r="Z1356" t="s">
        <v>111</v>
      </c>
      <c r="AA1356">
        <v>0</v>
      </c>
      <c r="AB1356" t="s">
        <v>111</v>
      </c>
      <c r="AC1356">
        <v>0</v>
      </c>
      <c r="AD1356" t="s">
        <v>111</v>
      </c>
      <c r="AE1356">
        <v>0</v>
      </c>
      <c r="AF1356">
        <v>0</v>
      </c>
      <c r="AG1356" t="s">
        <v>111</v>
      </c>
      <c r="AH1356" t="s">
        <v>111</v>
      </c>
      <c r="AI1356" t="s">
        <v>111</v>
      </c>
      <c r="AJ1356" t="s">
        <v>111</v>
      </c>
      <c r="AK1356" t="s">
        <v>111</v>
      </c>
      <c r="AL1356" t="s">
        <v>111</v>
      </c>
      <c r="AM1356">
        <v>0</v>
      </c>
      <c r="AN1356">
        <v>0</v>
      </c>
      <c r="AO1356">
        <v>0</v>
      </c>
      <c r="AP1356" t="s">
        <v>111</v>
      </c>
      <c r="AQ1356" t="s">
        <v>111</v>
      </c>
      <c r="AR1356" t="s">
        <v>111</v>
      </c>
      <c r="AS1356" t="s">
        <v>111</v>
      </c>
      <c r="AT1356" t="s">
        <v>111</v>
      </c>
      <c r="AU1356" t="s">
        <v>111</v>
      </c>
      <c r="AV1356" t="s">
        <v>111</v>
      </c>
      <c r="AW1356" t="s">
        <v>111</v>
      </c>
      <c r="AX1356" t="s">
        <v>111</v>
      </c>
      <c r="AY1356" t="s">
        <v>111</v>
      </c>
      <c r="AZ1356" t="s">
        <v>111</v>
      </c>
      <c r="BA1356" t="s">
        <v>111</v>
      </c>
      <c r="BB1356" t="s">
        <v>111</v>
      </c>
      <c r="BC1356" t="s">
        <v>111</v>
      </c>
      <c r="BD1356" t="s">
        <v>111</v>
      </c>
      <c r="BE1356" t="s">
        <v>111</v>
      </c>
      <c r="BF1356" t="s">
        <v>111</v>
      </c>
      <c r="BG1356" t="s">
        <v>111</v>
      </c>
      <c r="BH1356" t="s">
        <v>111</v>
      </c>
      <c r="BI1356" t="s">
        <v>111</v>
      </c>
      <c r="BJ1356" t="s">
        <v>111</v>
      </c>
      <c r="BK1356" t="s">
        <v>111</v>
      </c>
      <c r="BL1356" t="s">
        <v>111</v>
      </c>
      <c r="BM1356" t="s">
        <v>111</v>
      </c>
      <c r="BN1356" t="s">
        <v>111</v>
      </c>
      <c r="BO1356" t="s">
        <v>111</v>
      </c>
      <c r="BP1356" t="s">
        <v>111</v>
      </c>
      <c r="BQ1356" t="s">
        <v>111</v>
      </c>
      <c r="BR1356" t="s">
        <v>111</v>
      </c>
      <c r="BS1356" t="s">
        <v>111</v>
      </c>
      <c r="BT1356" t="s">
        <v>111</v>
      </c>
      <c r="BU1356" t="s">
        <v>111</v>
      </c>
      <c r="BV1356" t="s">
        <v>111</v>
      </c>
      <c r="BW1356" t="s">
        <v>111</v>
      </c>
      <c r="BX1356" t="s">
        <v>111</v>
      </c>
      <c r="BY1356" t="s">
        <v>111</v>
      </c>
      <c r="BZ1356" t="s">
        <v>111</v>
      </c>
      <c r="CA1356" t="s">
        <v>111</v>
      </c>
      <c r="CB1356" t="s">
        <v>111</v>
      </c>
      <c r="CC1356" t="s">
        <v>111</v>
      </c>
      <c r="CD1356" t="s">
        <v>111</v>
      </c>
      <c r="CE1356" t="s">
        <v>111</v>
      </c>
      <c r="CF1356" t="s">
        <v>111</v>
      </c>
      <c r="CG1356" t="s">
        <v>111</v>
      </c>
      <c r="CH1356" t="s">
        <v>111</v>
      </c>
      <c r="CI1356" t="s">
        <v>111</v>
      </c>
      <c r="CJ1356" t="s">
        <v>111</v>
      </c>
      <c r="CK1356" t="s">
        <v>111</v>
      </c>
      <c r="CL1356" t="s">
        <v>111</v>
      </c>
      <c r="CM1356" t="s">
        <v>111</v>
      </c>
      <c r="CN1356" t="s">
        <v>111</v>
      </c>
      <c r="CO1356" t="s">
        <v>111</v>
      </c>
      <c r="CP1356" t="s">
        <v>111</v>
      </c>
      <c r="CQ1356">
        <v>0</v>
      </c>
      <c r="CR1356">
        <v>0</v>
      </c>
      <c r="CS1356">
        <v>0</v>
      </c>
      <c r="CT1356" t="s">
        <v>111</v>
      </c>
      <c r="CU1356">
        <v>0</v>
      </c>
      <c r="CV1356" t="s">
        <v>111</v>
      </c>
      <c r="CW1356" t="s">
        <v>111</v>
      </c>
      <c r="CX1356" t="s">
        <v>111</v>
      </c>
      <c r="CY1356">
        <v>0</v>
      </c>
      <c r="CZ1356" t="s">
        <v>111</v>
      </c>
      <c r="DA1356" t="s">
        <v>111</v>
      </c>
      <c r="DB1356" t="s">
        <v>111</v>
      </c>
      <c r="DC1356" t="s">
        <v>111</v>
      </c>
    </row>
    <row r="1357" spans="1:107">
      <c r="A1357">
        <v>503</v>
      </c>
      <c r="B1357" t="s">
        <v>162</v>
      </c>
      <c r="C1357" t="s">
        <v>421</v>
      </c>
      <c r="D1357" t="s">
        <v>3877</v>
      </c>
      <c r="E1357" t="s">
        <v>3878</v>
      </c>
      <c r="F1357" t="s">
        <v>1651</v>
      </c>
      <c r="G1357" t="s">
        <v>24</v>
      </c>
      <c r="H1357">
        <v>1.5</v>
      </c>
      <c r="I1357">
        <v>35</v>
      </c>
      <c r="J1357">
        <v>0</v>
      </c>
      <c r="K1357">
        <v>0</v>
      </c>
      <c r="L1357" t="s">
        <v>112</v>
      </c>
      <c r="M1357" t="s">
        <v>118</v>
      </c>
      <c r="N1357">
        <v>40</v>
      </c>
      <c r="O1357">
        <v>1</v>
      </c>
      <c r="P1357" t="s">
        <v>138</v>
      </c>
      <c r="Q1357">
        <v>30</v>
      </c>
      <c r="R1357">
        <v>0</v>
      </c>
      <c r="S1357">
        <v>0</v>
      </c>
      <c r="T1357">
        <v>0</v>
      </c>
      <c r="U1357" t="s">
        <v>1353</v>
      </c>
      <c r="V1357">
        <v>0</v>
      </c>
      <c r="W1357">
        <v>0</v>
      </c>
      <c r="X1357">
        <v>0</v>
      </c>
      <c r="Y1357">
        <v>25</v>
      </c>
      <c r="Z1357" t="s">
        <v>111</v>
      </c>
      <c r="AA1357">
        <v>0</v>
      </c>
      <c r="AB1357" t="s">
        <v>111</v>
      </c>
      <c r="AC1357">
        <v>0</v>
      </c>
      <c r="AD1357" t="s">
        <v>416</v>
      </c>
      <c r="AE1357">
        <v>4</v>
      </c>
      <c r="AF1357">
        <v>1</v>
      </c>
      <c r="AG1357">
        <v>28</v>
      </c>
      <c r="AH1357" t="s">
        <v>113</v>
      </c>
      <c r="AI1357">
        <v>56</v>
      </c>
      <c r="AJ1357" t="s">
        <v>111</v>
      </c>
      <c r="AK1357" t="s">
        <v>111</v>
      </c>
      <c r="AL1357" t="s">
        <v>111</v>
      </c>
      <c r="AM1357">
        <v>0</v>
      </c>
      <c r="AN1357">
        <v>0</v>
      </c>
      <c r="AO1357">
        <v>0</v>
      </c>
      <c r="AP1357" t="s">
        <v>188</v>
      </c>
      <c r="AQ1357" t="s">
        <v>111</v>
      </c>
      <c r="AR1357" t="s">
        <v>111</v>
      </c>
      <c r="AS1357" t="s">
        <v>111</v>
      </c>
      <c r="AT1357" t="s">
        <v>271</v>
      </c>
      <c r="AU1357" t="s">
        <v>111</v>
      </c>
      <c r="AV1357" t="s">
        <v>111</v>
      </c>
      <c r="AW1357" t="s">
        <v>111</v>
      </c>
      <c r="AX1357" t="s">
        <v>1091</v>
      </c>
      <c r="AY1357" t="s">
        <v>111</v>
      </c>
      <c r="AZ1357" t="s">
        <v>111</v>
      </c>
      <c r="BA1357" t="s">
        <v>111</v>
      </c>
      <c r="BB1357" t="s">
        <v>288</v>
      </c>
      <c r="BC1357" t="s">
        <v>111</v>
      </c>
      <c r="BD1357" t="s">
        <v>111</v>
      </c>
      <c r="BE1357" t="s">
        <v>111</v>
      </c>
      <c r="BF1357" t="s">
        <v>111</v>
      </c>
      <c r="BG1357" t="s">
        <v>111</v>
      </c>
      <c r="BH1357" t="s">
        <v>111</v>
      </c>
      <c r="BI1357" t="s">
        <v>111</v>
      </c>
      <c r="BJ1357" t="s">
        <v>111</v>
      </c>
      <c r="BK1357" t="s">
        <v>111</v>
      </c>
      <c r="BL1357" t="s">
        <v>111</v>
      </c>
      <c r="BM1357" t="s">
        <v>111</v>
      </c>
      <c r="BN1357" t="s">
        <v>111</v>
      </c>
      <c r="BO1357" t="s">
        <v>111</v>
      </c>
      <c r="BP1357" t="s">
        <v>111</v>
      </c>
      <c r="BQ1357" t="s">
        <v>111</v>
      </c>
      <c r="BR1357" t="s">
        <v>111</v>
      </c>
      <c r="BS1357" t="s">
        <v>111</v>
      </c>
      <c r="BT1357" t="s">
        <v>111</v>
      </c>
      <c r="BU1357" t="s">
        <v>111</v>
      </c>
      <c r="BV1357" t="s">
        <v>111</v>
      </c>
      <c r="BW1357" t="s">
        <v>111</v>
      </c>
      <c r="BX1357" t="s">
        <v>111</v>
      </c>
      <c r="BY1357" t="s">
        <v>111</v>
      </c>
      <c r="BZ1357" t="s">
        <v>111</v>
      </c>
      <c r="CA1357" t="s">
        <v>111</v>
      </c>
      <c r="CB1357" t="s">
        <v>111</v>
      </c>
      <c r="CC1357" t="s">
        <v>111</v>
      </c>
      <c r="CD1357" t="s">
        <v>111</v>
      </c>
      <c r="CE1357" t="s">
        <v>111</v>
      </c>
      <c r="CF1357" t="s">
        <v>111</v>
      </c>
      <c r="CG1357" t="s">
        <v>111</v>
      </c>
      <c r="CH1357" t="s">
        <v>111</v>
      </c>
      <c r="CI1357" t="s">
        <v>111</v>
      </c>
      <c r="CJ1357" t="s">
        <v>111</v>
      </c>
      <c r="CK1357" t="s">
        <v>111</v>
      </c>
      <c r="CL1357" t="s">
        <v>153</v>
      </c>
      <c r="CM1357" t="s">
        <v>198</v>
      </c>
      <c r="CN1357" t="s">
        <v>113</v>
      </c>
      <c r="CO1357" t="s">
        <v>111</v>
      </c>
      <c r="CP1357" t="s">
        <v>433</v>
      </c>
      <c r="CQ1357">
        <v>0</v>
      </c>
      <c r="CR1357">
        <v>4000</v>
      </c>
      <c r="CS1357">
        <v>200</v>
      </c>
      <c r="CT1357" s="1" t="s">
        <v>3180</v>
      </c>
      <c r="CU1357">
        <v>0</v>
      </c>
      <c r="CV1357" t="s">
        <v>111</v>
      </c>
      <c r="CW1357" t="s">
        <v>111</v>
      </c>
      <c r="CX1357" t="s">
        <v>111</v>
      </c>
      <c r="CY1357">
        <v>0</v>
      </c>
      <c r="CZ1357" t="s">
        <v>111</v>
      </c>
      <c r="DA1357" t="s">
        <v>111</v>
      </c>
      <c r="DB1357" t="s">
        <v>111</v>
      </c>
      <c r="DC1357" t="s">
        <v>111</v>
      </c>
    </row>
    <row r="1358" spans="1:107">
      <c r="A1358">
        <v>271</v>
      </c>
      <c r="B1358" t="s">
        <v>162</v>
      </c>
      <c r="C1358" t="s">
        <v>3123</v>
      </c>
      <c r="D1358" t="s">
        <v>3781</v>
      </c>
      <c r="E1358" t="s">
        <v>3879</v>
      </c>
      <c r="F1358" t="s">
        <v>1651</v>
      </c>
      <c r="G1358" t="s">
        <v>24</v>
      </c>
      <c r="H1358">
        <v>1.5</v>
      </c>
      <c r="I1358">
        <v>35</v>
      </c>
      <c r="J1358">
        <v>0</v>
      </c>
      <c r="K1358">
        <v>0</v>
      </c>
      <c r="L1358" t="s">
        <v>112</v>
      </c>
      <c r="M1358" t="s">
        <v>118</v>
      </c>
      <c r="N1358">
        <v>40</v>
      </c>
      <c r="O1358">
        <v>2</v>
      </c>
      <c r="P1358" t="s">
        <v>138</v>
      </c>
      <c r="Q1358">
        <v>35</v>
      </c>
      <c r="R1358">
        <v>0</v>
      </c>
      <c r="S1358">
        <v>0</v>
      </c>
      <c r="T1358">
        <v>0</v>
      </c>
      <c r="U1358" t="s">
        <v>1353</v>
      </c>
      <c r="V1358">
        <v>0</v>
      </c>
      <c r="W1358">
        <v>0</v>
      </c>
      <c r="X1358">
        <v>0</v>
      </c>
      <c r="Y1358">
        <v>25</v>
      </c>
      <c r="Z1358" t="s">
        <v>111</v>
      </c>
      <c r="AA1358">
        <v>0</v>
      </c>
      <c r="AB1358" t="s">
        <v>111</v>
      </c>
      <c r="AC1358">
        <v>0</v>
      </c>
      <c r="AD1358" t="s">
        <v>416</v>
      </c>
      <c r="AE1358">
        <v>0</v>
      </c>
      <c r="AF1358">
        <v>2</v>
      </c>
      <c r="AG1358">
        <v>20</v>
      </c>
      <c r="AH1358" t="s">
        <v>111</v>
      </c>
      <c r="AI1358">
        <v>40</v>
      </c>
      <c r="AJ1358" t="s">
        <v>111</v>
      </c>
      <c r="AK1358" t="s">
        <v>111</v>
      </c>
      <c r="AL1358" t="s">
        <v>111</v>
      </c>
      <c r="AM1358">
        <v>0</v>
      </c>
      <c r="AN1358">
        <v>0</v>
      </c>
      <c r="AO1358">
        <v>0</v>
      </c>
      <c r="AP1358" t="s">
        <v>111</v>
      </c>
      <c r="AQ1358" t="s">
        <v>111</v>
      </c>
      <c r="AR1358" t="s">
        <v>111</v>
      </c>
      <c r="AS1358" t="s">
        <v>111</v>
      </c>
      <c r="AT1358" t="s">
        <v>111</v>
      </c>
      <c r="AU1358" t="s">
        <v>111</v>
      </c>
      <c r="AV1358" t="s">
        <v>111</v>
      </c>
      <c r="AW1358" t="s">
        <v>111</v>
      </c>
      <c r="AX1358" t="s">
        <v>111</v>
      </c>
      <c r="AY1358" t="s">
        <v>111</v>
      </c>
      <c r="AZ1358" t="s">
        <v>111</v>
      </c>
      <c r="BA1358" t="s">
        <v>111</v>
      </c>
      <c r="BB1358" t="s">
        <v>111</v>
      </c>
      <c r="BC1358" t="s">
        <v>111</v>
      </c>
      <c r="BD1358" t="s">
        <v>111</v>
      </c>
      <c r="BE1358" t="s">
        <v>111</v>
      </c>
      <c r="BF1358" t="s">
        <v>111</v>
      </c>
      <c r="BG1358" t="s">
        <v>111</v>
      </c>
      <c r="BH1358" t="s">
        <v>111</v>
      </c>
      <c r="BI1358" t="s">
        <v>111</v>
      </c>
      <c r="BJ1358" t="s">
        <v>111</v>
      </c>
      <c r="BK1358" t="s">
        <v>111</v>
      </c>
      <c r="BL1358" t="s">
        <v>111</v>
      </c>
      <c r="BM1358" t="s">
        <v>111</v>
      </c>
      <c r="BN1358" t="s">
        <v>111</v>
      </c>
      <c r="BO1358" t="s">
        <v>111</v>
      </c>
      <c r="BP1358" t="s">
        <v>111</v>
      </c>
      <c r="BQ1358" t="s">
        <v>111</v>
      </c>
      <c r="BR1358" t="s">
        <v>111</v>
      </c>
      <c r="BS1358" t="s">
        <v>111</v>
      </c>
      <c r="BT1358" t="s">
        <v>111</v>
      </c>
      <c r="BU1358" t="s">
        <v>111</v>
      </c>
      <c r="BV1358" t="s">
        <v>111</v>
      </c>
      <c r="BW1358" t="s">
        <v>111</v>
      </c>
      <c r="BX1358" t="s">
        <v>111</v>
      </c>
      <c r="BY1358" t="s">
        <v>111</v>
      </c>
      <c r="BZ1358" t="s">
        <v>111</v>
      </c>
      <c r="CA1358" t="s">
        <v>111</v>
      </c>
      <c r="CB1358" t="s">
        <v>111</v>
      </c>
      <c r="CC1358" t="s">
        <v>111</v>
      </c>
      <c r="CD1358" t="s">
        <v>111</v>
      </c>
      <c r="CE1358" t="s">
        <v>111</v>
      </c>
      <c r="CF1358" t="s">
        <v>111</v>
      </c>
      <c r="CG1358" t="s">
        <v>111</v>
      </c>
      <c r="CH1358" t="s">
        <v>111</v>
      </c>
      <c r="CI1358" t="s">
        <v>111</v>
      </c>
      <c r="CJ1358" t="s">
        <v>111</v>
      </c>
      <c r="CK1358" t="s">
        <v>111</v>
      </c>
      <c r="CL1358" t="s">
        <v>153</v>
      </c>
      <c r="CM1358" t="s">
        <v>198</v>
      </c>
      <c r="CN1358" t="s">
        <v>113</v>
      </c>
      <c r="CO1358" t="s">
        <v>111</v>
      </c>
      <c r="CP1358" t="s">
        <v>433</v>
      </c>
      <c r="CQ1358">
        <v>0</v>
      </c>
      <c r="CR1358">
        <v>0</v>
      </c>
      <c r="CS1358">
        <v>0</v>
      </c>
      <c r="CT1358" t="s">
        <v>168</v>
      </c>
      <c r="CU1358">
        <v>0</v>
      </c>
      <c r="CV1358" t="s">
        <v>111</v>
      </c>
      <c r="CW1358" t="s">
        <v>111</v>
      </c>
      <c r="CX1358" t="s">
        <v>111</v>
      </c>
      <c r="CY1358">
        <v>0</v>
      </c>
      <c r="CZ1358" t="s">
        <v>111</v>
      </c>
      <c r="DA1358" t="s">
        <v>111</v>
      </c>
      <c r="DB1358" t="s">
        <v>111</v>
      </c>
      <c r="DC1358" t="s">
        <v>111</v>
      </c>
    </row>
    <row r="1359" spans="1:107">
      <c r="A1359">
        <v>497</v>
      </c>
      <c r="B1359" t="s">
        <v>162</v>
      </c>
      <c r="C1359" t="s">
        <v>1322</v>
      </c>
      <c r="D1359" t="s">
        <v>3880</v>
      </c>
      <c r="E1359" t="s">
        <v>3881</v>
      </c>
      <c r="F1359" t="s">
        <v>1651</v>
      </c>
      <c r="G1359" t="s">
        <v>24</v>
      </c>
      <c r="H1359">
        <v>1.4</v>
      </c>
      <c r="I1359">
        <v>45</v>
      </c>
      <c r="J1359">
        <v>0</v>
      </c>
      <c r="K1359">
        <v>0</v>
      </c>
      <c r="L1359" t="s">
        <v>117</v>
      </c>
      <c r="M1359" t="s">
        <v>118</v>
      </c>
      <c r="N1359">
        <v>40</v>
      </c>
      <c r="O1359">
        <v>2</v>
      </c>
      <c r="P1359" t="s">
        <v>138</v>
      </c>
      <c r="Q1359">
        <v>30</v>
      </c>
      <c r="R1359">
        <v>0</v>
      </c>
      <c r="S1359">
        <v>0</v>
      </c>
      <c r="T1359">
        <v>0</v>
      </c>
      <c r="U1359" t="s">
        <v>1353</v>
      </c>
      <c r="V1359">
        <v>0</v>
      </c>
      <c r="W1359">
        <v>0</v>
      </c>
      <c r="X1359">
        <v>0</v>
      </c>
      <c r="Y1359">
        <v>25</v>
      </c>
      <c r="Z1359" t="s">
        <v>111</v>
      </c>
      <c r="AA1359">
        <v>0</v>
      </c>
      <c r="AB1359" t="s">
        <v>111</v>
      </c>
      <c r="AC1359">
        <v>0</v>
      </c>
      <c r="AD1359" t="s">
        <v>416</v>
      </c>
      <c r="AE1359">
        <v>4</v>
      </c>
      <c r="AF1359">
        <v>2</v>
      </c>
      <c r="AG1359">
        <v>16</v>
      </c>
      <c r="AH1359" t="s">
        <v>111</v>
      </c>
      <c r="AI1359">
        <v>32</v>
      </c>
      <c r="AJ1359" t="s">
        <v>111</v>
      </c>
      <c r="AK1359" t="s">
        <v>111</v>
      </c>
      <c r="AL1359" t="s">
        <v>111</v>
      </c>
      <c r="AM1359">
        <v>0</v>
      </c>
      <c r="AN1359">
        <v>0</v>
      </c>
      <c r="AO1359">
        <v>0</v>
      </c>
      <c r="AP1359" t="s">
        <v>111</v>
      </c>
      <c r="AQ1359" t="s">
        <v>111</v>
      </c>
      <c r="AR1359" t="s">
        <v>111</v>
      </c>
      <c r="AS1359" t="s">
        <v>111</v>
      </c>
      <c r="AT1359" t="s">
        <v>111</v>
      </c>
      <c r="AU1359" t="s">
        <v>111</v>
      </c>
      <c r="AV1359" t="s">
        <v>111</v>
      </c>
      <c r="AW1359" t="s">
        <v>111</v>
      </c>
      <c r="AX1359" t="s">
        <v>111</v>
      </c>
      <c r="AY1359" t="s">
        <v>111</v>
      </c>
      <c r="AZ1359" t="s">
        <v>111</v>
      </c>
      <c r="BA1359" t="s">
        <v>111</v>
      </c>
      <c r="BB1359" t="s">
        <v>111</v>
      </c>
      <c r="BC1359" t="s">
        <v>111</v>
      </c>
      <c r="BD1359" t="s">
        <v>111</v>
      </c>
      <c r="BE1359" t="s">
        <v>111</v>
      </c>
      <c r="BF1359" t="s">
        <v>111</v>
      </c>
      <c r="BG1359" t="s">
        <v>111</v>
      </c>
      <c r="BH1359" t="s">
        <v>111</v>
      </c>
      <c r="BI1359" t="s">
        <v>111</v>
      </c>
      <c r="BJ1359" t="s">
        <v>111</v>
      </c>
      <c r="BK1359" t="s">
        <v>111</v>
      </c>
      <c r="BL1359" t="s">
        <v>111</v>
      </c>
      <c r="BM1359" t="s">
        <v>111</v>
      </c>
      <c r="BN1359" t="s">
        <v>111</v>
      </c>
      <c r="BO1359" t="s">
        <v>111</v>
      </c>
      <c r="BP1359" t="s">
        <v>111</v>
      </c>
      <c r="BQ1359" t="s">
        <v>111</v>
      </c>
      <c r="BR1359" t="s">
        <v>111</v>
      </c>
      <c r="BS1359" t="s">
        <v>111</v>
      </c>
      <c r="BT1359" t="s">
        <v>111</v>
      </c>
      <c r="BU1359" t="s">
        <v>111</v>
      </c>
      <c r="BV1359" t="s">
        <v>111</v>
      </c>
      <c r="BW1359" t="s">
        <v>111</v>
      </c>
      <c r="BX1359" t="s">
        <v>111</v>
      </c>
      <c r="BY1359" t="s">
        <v>111</v>
      </c>
      <c r="BZ1359" t="s">
        <v>111</v>
      </c>
      <c r="CA1359" t="s">
        <v>111</v>
      </c>
      <c r="CB1359" t="s">
        <v>111</v>
      </c>
      <c r="CC1359" t="s">
        <v>111</v>
      </c>
      <c r="CD1359" t="s">
        <v>111</v>
      </c>
      <c r="CE1359" t="s">
        <v>111</v>
      </c>
      <c r="CF1359" t="s">
        <v>111</v>
      </c>
      <c r="CG1359" t="s">
        <v>111</v>
      </c>
      <c r="CH1359" t="s">
        <v>111</v>
      </c>
      <c r="CI1359" t="s">
        <v>111</v>
      </c>
      <c r="CJ1359" t="s">
        <v>111</v>
      </c>
      <c r="CK1359" t="s">
        <v>111</v>
      </c>
      <c r="CL1359" t="s">
        <v>153</v>
      </c>
      <c r="CM1359" t="s">
        <v>198</v>
      </c>
      <c r="CN1359" t="s">
        <v>113</v>
      </c>
      <c r="CO1359" t="s">
        <v>111</v>
      </c>
      <c r="CP1359" t="s">
        <v>433</v>
      </c>
      <c r="CQ1359">
        <v>0</v>
      </c>
      <c r="CR1359">
        <v>0</v>
      </c>
      <c r="CS1359">
        <v>0</v>
      </c>
      <c r="CT1359" t="s">
        <v>168</v>
      </c>
      <c r="CU1359">
        <v>0</v>
      </c>
      <c r="CV1359" t="s">
        <v>111</v>
      </c>
      <c r="CW1359" t="s">
        <v>111</v>
      </c>
      <c r="CX1359" t="s">
        <v>111</v>
      </c>
      <c r="CY1359">
        <v>0</v>
      </c>
      <c r="CZ1359" t="s">
        <v>111</v>
      </c>
      <c r="DA1359" t="s">
        <v>111</v>
      </c>
      <c r="DB1359" t="s">
        <v>111</v>
      </c>
      <c r="DC1359" t="s">
        <v>111</v>
      </c>
    </row>
    <row r="1360" spans="1:107">
      <c r="A1360">
        <v>43</v>
      </c>
      <c r="B1360" t="s">
        <v>162</v>
      </c>
      <c r="C1360" t="s">
        <v>3801</v>
      </c>
      <c r="D1360" t="s">
        <v>3882</v>
      </c>
      <c r="E1360" t="s">
        <v>3883</v>
      </c>
      <c r="F1360" t="s">
        <v>110</v>
      </c>
      <c r="G1360" t="s">
        <v>24</v>
      </c>
      <c r="H1360">
        <v>1.3</v>
      </c>
      <c r="I1360">
        <v>35</v>
      </c>
      <c r="J1360">
        <v>0</v>
      </c>
      <c r="K1360">
        <v>0</v>
      </c>
      <c r="L1360" t="s">
        <v>112</v>
      </c>
      <c r="M1360" t="s">
        <v>138</v>
      </c>
      <c r="N1360">
        <v>0</v>
      </c>
      <c r="O1360">
        <v>0</v>
      </c>
      <c r="P1360" t="s">
        <v>138</v>
      </c>
      <c r="Q1360">
        <v>35</v>
      </c>
      <c r="R1360">
        <v>0</v>
      </c>
      <c r="S1360">
        <v>0</v>
      </c>
      <c r="T1360">
        <v>0</v>
      </c>
      <c r="U1360" t="s">
        <v>211</v>
      </c>
      <c r="V1360">
        <v>0</v>
      </c>
      <c r="W1360">
        <v>0</v>
      </c>
      <c r="X1360">
        <v>0</v>
      </c>
      <c r="Y1360">
        <v>25</v>
      </c>
      <c r="Z1360" t="s">
        <v>111</v>
      </c>
      <c r="AA1360">
        <v>0</v>
      </c>
      <c r="AB1360" t="s">
        <v>111</v>
      </c>
      <c r="AC1360">
        <v>0</v>
      </c>
      <c r="AD1360" t="s">
        <v>111</v>
      </c>
      <c r="AE1360">
        <v>0</v>
      </c>
      <c r="AF1360">
        <v>0</v>
      </c>
      <c r="AG1360" t="s">
        <v>111</v>
      </c>
      <c r="AH1360" t="s">
        <v>111</v>
      </c>
      <c r="AI1360" t="s">
        <v>111</v>
      </c>
      <c r="AJ1360" t="s">
        <v>111</v>
      </c>
      <c r="AK1360" t="s">
        <v>111</v>
      </c>
      <c r="AL1360" t="s">
        <v>111</v>
      </c>
      <c r="AM1360">
        <v>0</v>
      </c>
      <c r="AN1360">
        <v>0</v>
      </c>
      <c r="AO1360">
        <v>0</v>
      </c>
      <c r="AP1360" t="s">
        <v>111</v>
      </c>
      <c r="AQ1360" t="s">
        <v>111</v>
      </c>
      <c r="AR1360" t="s">
        <v>111</v>
      </c>
      <c r="AS1360" t="s">
        <v>111</v>
      </c>
      <c r="AT1360" t="s">
        <v>111</v>
      </c>
      <c r="AU1360" t="s">
        <v>111</v>
      </c>
      <c r="AV1360" t="s">
        <v>111</v>
      </c>
      <c r="AW1360" t="s">
        <v>111</v>
      </c>
      <c r="AX1360" t="s">
        <v>111</v>
      </c>
      <c r="AY1360" t="s">
        <v>111</v>
      </c>
      <c r="AZ1360" t="s">
        <v>111</v>
      </c>
      <c r="BA1360" t="s">
        <v>111</v>
      </c>
      <c r="BB1360" t="s">
        <v>111</v>
      </c>
      <c r="BC1360" t="s">
        <v>111</v>
      </c>
      <c r="BD1360" t="s">
        <v>111</v>
      </c>
      <c r="BE1360" t="s">
        <v>111</v>
      </c>
      <c r="BF1360" t="s">
        <v>111</v>
      </c>
      <c r="BG1360" t="s">
        <v>111</v>
      </c>
      <c r="BH1360" t="s">
        <v>111</v>
      </c>
      <c r="BI1360" t="s">
        <v>111</v>
      </c>
      <c r="BJ1360" t="s">
        <v>111</v>
      </c>
      <c r="BK1360" t="s">
        <v>111</v>
      </c>
      <c r="BL1360" t="s">
        <v>111</v>
      </c>
      <c r="BM1360" t="s">
        <v>111</v>
      </c>
      <c r="BN1360" t="s">
        <v>111</v>
      </c>
      <c r="BO1360" t="s">
        <v>111</v>
      </c>
      <c r="BP1360" t="s">
        <v>111</v>
      </c>
      <c r="BQ1360" t="s">
        <v>111</v>
      </c>
      <c r="BR1360" t="s">
        <v>111</v>
      </c>
      <c r="BS1360" t="s">
        <v>111</v>
      </c>
      <c r="BT1360" t="s">
        <v>111</v>
      </c>
      <c r="BU1360" t="s">
        <v>111</v>
      </c>
      <c r="BV1360" t="s">
        <v>111</v>
      </c>
      <c r="BW1360" t="s">
        <v>111</v>
      </c>
      <c r="BX1360" t="s">
        <v>111</v>
      </c>
      <c r="BY1360" t="s">
        <v>111</v>
      </c>
      <c r="BZ1360" t="s">
        <v>111</v>
      </c>
      <c r="CA1360" t="s">
        <v>111</v>
      </c>
      <c r="CB1360" t="s">
        <v>111</v>
      </c>
      <c r="CC1360" t="s">
        <v>111</v>
      </c>
      <c r="CD1360" t="s">
        <v>111</v>
      </c>
      <c r="CE1360" t="s">
        <v>111</v>
      </c>
      <c r="CF1360" t="s">
        <v>111</v>
      </c>
      <c r="CG1360" t="s">
        <v>111</v>
      </c>
      <c r="CH1360" t="s">
        <v>111</v>
      </c>
      <c r="CI1360" t="s">
        <v>111</v>
      </c>
      <c r="CJ1360" t="s">
        <v>111</v>
      </c>
      <c r="CK1360" t="s">
        <v>111</v>
      </c>
      <c r="CL1360" t="s">
        <v>111</v>
      </c>
      <c r="CM1360" t="s">
        <v>111</v>
      </c>
      <c r="CN1360" t="s">
        <v>111</v>
      </c>
      <c r="CO1360" t="s">
        <v>111</v>
      </c>
      <c r="CP1360" t="s">
        <v>111</v>
      </c>
      <c r="CQ1360">
        <v>0</v>
      </c>
      <c r="CR1360">
        <v>0</v>
      </c>
      <c r="CS1360">
        <v>0</v>
      </c>
      <c r="CT1360" t="s">
        <v>111</v>
      </c>
      <c r="CU1360">
        <v>0</v>
      </c>
      <c r="CV1360" t="s">
        <v>111</v>
      </c>
      <c r="CW1360" t="s">
        <v>111</v>
      </c>
      <c r="CX1360" t="s">
        <v>111</v>
      </c>
      <c r="CY1360">
        <v>0</v>
      </c>
      <c r="CZ1360" t="s">
        <v>111</v>
      </c>
      <c r="DA1360" t="s">
        <v>111</v>
      </c>
      <c r="DB1360" t="s">
        <v>111</v>
      </c>
      <c r="DC1360" t="s">
        <v>111</v>
      </c>
    </row>
    <row r="1361" spans="1:107">
      <c r="A1361">
        <v>516</v>
      </c>
      <c r="B1361" t="s">
        <v>162</v>
      </c>
      <c r="C1361" t="s">
        <v>226</v>
      </c>
      <c r="D1361" t="s">
        <v>3884</v>
      </c>
      <c r="E1361" t="s">
        <v>3885</v>
      </c>
      <c r="F1361" t="s">
        <v>1071</v>
      </c>
      <c r="G1361" t="s">
        <v>24</v>
      </c>
      <c r="H1361">
        <v>1.7</v>
      </c>
      <c r="I1361">
        <v>55</v>
      </c>
      <c r="J1361">
        <v>0</v>
      </c>
      <c r="K1361">
        <v>0</v>
      </c>
      <c r="L1361" t="s">
        <v>112</v>
      </c>
      <c r="M1361" t="s">
        <v>138</v>
      </c>
      <c r="N1361">
        <v>0</v>
      </c>
      <c r="O1361">
        <v>0</v>
      </c>
      <c r="P1361" t="s">
        <v>138</v>
      </c>
      <c r="Q1361">
        <v>40</v>
      </c>
      <c r="R1361">
        <v>0</v>
      </c>
      <c r="S1361">
        <v>0</v>
      </c>
      <c r="T1361">
        <v>0</v>
      </c>
      <c r="U1361" t="s">
        <v>153</v>
      </c>
      <c r="V1361">
        <v>0</v>
      </c>
      <c r="W1361">
        <v>0</v>
      </c>
      <c r="X1361">
        <v>0</v>
      </c>
      <c r="Y1361">
        <v>25</v>
      </c>
      <c r="Z1361" t="s">
        <v>111</v>
      </c>
      <c r="AA1361">
        <v>0</v>
      </c>
      <c r="AB1361" t="s">
        <v>111</v>
      </c>
      <c r="AC1361">
        <v>0</v>
      </c>
      <c r="AD1361" t="s">
        <v>111</v>
      </c>
      <c r="AE1361">
        <v>0</v>
      </c>
      <c r="AF1361">
        <v>0</v>
      </c>
      <c r="AG1361" t="s">
        <v>111</v>
      </c>
      <c r="AH1361" t="s">
        <v>111</v>
      </c>
      <c r="AI1361" t="s">
        <v>111</v>
      </c>
      <c r="AJ1361" t="s">
        <v>111</v>
      </c>
      <c r="AK1361" t="s">
        <v>111</v>
      </c>
      <c r="AL1361" t="s">
        <v>111</v>
      </c>
      <c r="AM1361">
        <v>0</v>
      </c>
      <c r="AN1361">
        <v>0</v>
      </c>
      <c r="AO1361">
        <v>0</v>
      </c>
      <c r="AP1361" t="s">
        <v>111</v>
      </c>
      <c r="AQ1361" t="s">
        <v>111</v>
      </c>
      <c r="AR1361" t="s">
        <v>111</v>
      </c>
      <c r="AS1361" t="s">
        <v>111</v>
      </c>
      <c r="AT1361" t="s">
        <v>111</v>
      </c>
      <c r="AU1361" t="s">
        <v>111</v>
      </c>
      <c r="AV1361" t="s">
        <v>111</v>
      </c>
      <c r="AW1361" t="s">
        <v>111</v>
      </c>
      <c r="AX1361" t="s">
        <v>111</v>
      </c>
      <c r="AY1361" t="s">
        <v>111</v>
      </c>
      <c r="AZ1361" t="s">
        <v>111</v>
      </c>
      <c r="BA1361" t="s">
        <v>111</v>
      </c>
      <c r="BB1361" t="s">
        <v>111</v>
      </c>
      <c r="BC1361" t="s">
        <v>111</v>
      </c>
      <c r="BD1361" t="s">
        <v>111</v>
      </c>
      <c r="BE1361" t="s">
        <v>111</v>
      </c>
      <c r="BF1361" t="s">
        <v>111</v>
      </c>
      <c r="BG1361" t="s">
        <v>111</v>
      </c>
      <c r="BH1361" t="s">
        <v>111</v>
      </c>
      <c r="BI1361" t="s">
        <v>111</v>
      </c>
      <c r="BJ1361" t="s">
        <v>111</v>
      </c>
      <c r="BK1361" t="s">
        <v>111</v>
      </c>
      <c r="BL1361" t="s">
        <v>111</v>
      </c>
      <c r="BM1361" t="s">
        <v>111</v>
      </c>
      <c r="BN1361" t="s">
        <v>111</v>
      </c>
      <c r="BO1361" t="s">
        <v>111</v>
      </c>
      <c r="BP1361" t="s">
        <v>111</v>
      </c>
      <c r="BQ1361" t="s">
        <v>111</v>
      </c>
      <c r="BR1361" t="s">
        <v>111</v>
      </c>
      <c r="BS1361" t="s">
        <v>111</v>
      </c>
      <c r="BT1361" t="s">
        <v>111</v>
      </c>
      <c r="BU1361" t="s">
        <v>111</v>
      </c>
      <c r="BV1361" t="s">
        <v>111</v>
      </c>
      <c r="BW1361" t="s">
        <v>111</v>
      </c>
      <c r="BX1361" t="s">
        <v>111</v>
      </c>
      <c r="BY1361" t="s">
        <v>111</v>
      </c>
      <c r="BZ1361" t="s">
        <v>111</v>
      </c>
      <c r="CA1361" t="s">
        <v>111</v>
      </c>
      <c r="CB1361" t="s">
        <v>111</v>
      </c>
      <c r="CC1361" t="s">
        <v>111</v>
      </c>
      <c r="CD1361" t="s">
        <v>111</v>
      </c>
      <c r="CE1361" t="s">
        <v>111</v>
      </c>
      <c r="CF1361" t="s">
        <v>111</v>
      </c>
      <c r="CG1361" t="s">
        <v>111</v>
      </c>
      <c r="CH1361" t="s">
        <v>111</v>
      </c>
      <c r="CI1361" t="s">
        <v>111</v>
      </c>
      <c r="CJ1361" t="s">
        <v>111</v>
      </c>
      <c r="CK1361" t="s">
        <v>111</v>
      </c>
      <c r="CL1361" t="s">
        <v>111</v>
      </c>
      <c r="CM1361" t="s">
        <v>198</v>
      </c>
      <c r="CN1361" t="s">
        <v>113</v>
      </c>
      <c r="CO1361" t="s">
        <v>111</v>
      </c>
      <c r="CP1361" t="s">
        <v>111</v>
      </c>
      <c r="CQ1361">
        <v>0</v>
      </c>
      <c r="CR1361">
        <v>0</v>
      </c>
      <c r="CS1361">
        <v>0</v>
      </c>
      <c r="CT1361" t="s">
        <v>168</v>
      </c>
      <c r="CU1361">
        <v>0</v>
      </c>
      <c r="CV1361" t="s">
        <v>111</v>
      </c>
      <c r="CW1361" t="s">
        <v>111</v>
      </c>
      <c r="CX1361" t="s">
        <v>111</v>
      </c>
      <c r="CY1361">
        <v>0</v>
      </c>
      <c r="CZ1361" t="s">
        <v>111</v>
      </c>
      <c r="DA1361" t="s">
        <v>111</v>
      </c>
      <c r="DB1361" t="s">
        <v>111</v>
      </c>
      <c r="DC1361" t="s">
        <v>111</v>
      </c>
    </row>
    <row r="1362" spans="1:107">
      <c r="A1362">
        <v>505</v>
      </c>
      <c r="B1362" t="s">
        <v>162</v>
      </c>
      <c r="C1362" t="s">
        <v>2274</v>
      </c>
      <c r="D1362" t="s">
        <v>3886</v>
      </c>
      <c r="E1362" t="s">
        <v>3887</v>
      </c>
      <c r="F1362" t="s">
        <v>1651</v>
      </c>
      <c r="G1362" t="s">
        <v>24</v>
      </c>
      <c r="H1362">
        <v>1.2</v>
      </c>
      <c r="I1362">
        <v>45</v>
      </c>
      <c r="J1362">
        <v>0</v>
      </c>
      <c r="K1362">
        <v>0</v>
      </c>
      <c r="L1362" t="s">
        <v>112</v>
      </c>
      <c r="M1362" t="s">
        <v>118</v>
      </c>
      <c r="N1362">
        <v>40</v>
      </c>
      <c r="O1362">
        <v>2</v>
      </c>
      <c r="P1362" t="s">
        <v>138</v>
      </c>
      <c r="Q1362">
        <v>35</v>
      </c>
      <c r="R1362">
        <v>0</v>
      </c>
      <c r="S1362">
        <v>0</v>
      </c>
      <c r="T1362">
        <v>0</v>
      </c>
      <c r="U1362" t="s">
        <v>1353</v>
      </c>
      <c r="V1362">
        <v>0</v>
      </c>
      <c r="W1362">
        <v>0</v>
      </c>
      <c r="X1362">
        <v>0</v>
      </c>
      <c r="Y1362">
        <v>25</v>
      </c>
      <c r="Z1362" t="s">
        <v>111</v>
      </c>
      <c r="AA1362">
        <v>0</v>
      </c>
      <c r="AB1362" t="s">
        <v>111</v>
      </c>
      <c r="AC1362">
        <v>0</v>
      </c>
      <c r="AD1362" t="s">
        <v>416</v>
      </c>
      <c r="AE1362">
        <v>3</v>
      </c>
      <c r="AF1362">
        <v>2</v>
      </c>
      <c r="AG1362">
        <v>31</v>
      </c>
      <c r="AH1362" t="s">
        <v>111</v>
      </c>
      <c r="AI1362">
        <v>32</v>
      </c>
      <c r="AJ1362" t="s">
        <v>111</v>
      </c>
      <c r="AK1362" t="s">
        <v>111</v>
      </c>
      <c r="AL1362" t="s">
        <v>111</v>
      </c>
      <c r="AM1362">
        <v>0</v>
      </c>
      <c r="AN1362">
        <v>0</v>
      </c>
      <c r="AO1362">
        <v>0</v>
      </c>
      <c r="AP1362" t="s">
        <v>111</v>
      </c>
      <c r="AQ1362" t="s">
        <v>111</v>
      </c>
      <c r="AR1362" t="s">
        <v>111</v>
      </c>
      <c r="AS1362" t="s">
        <v>111</v>
      </c>
      <c r="AT1362" t="s">
        <v>111</v>
      </c>
      <c r="AU1362" t="s">
        <v>111</v>
      </c>
      <c r="AV1362" t="s">
        <v>111</v>
      </c>
      <c r="AW1362" t="s">
        <v>111</v>
      </c>
      <c r="AX1362" t="s">
        <v>111</v>
      </c>
      <c r="AY1362" t="s">
        <v>111</v>
      </c>
      <c r="AZ1362" t="s">
        <v>111</v>
      </c>
      <c r="BA1362" t="s">
        <v>111</v>
      </c>
      <c r="BB1362" t="s">
        <v>111</v>
      </c>
      <c r="BC1362" t="s">
        <v>111</v>
      </c>
      <c r="BD1362" t="s">
        <v>111</v>
      </c>
      <c r="BE1362" t="s">
        <v>111</v>
      </c>
      <c r="BF1362" t="s">
        <v>111</v>
      </c>
      <c r="BG1362" t="s">
        <v>111</v>
      </c>
      <c r="BH1362" t="s">
        <v>111</v>
      </c>
      <c r="BI1362" t="s">
        <v>111</v>
      </c>
      <c r="BJ1362" t="s">
        <v>111</v>
      </c>
      <c r="BK1362" t="s">
        <v>111</v>
      </c>
      <c r="BL1362" t="s">
        <v>111</v>
      </c>
      <c r="BM1362" t="s">
        <v>111</v>
      </c>
      <c r="BN1362" t="s">
        <v>111</v>
      </c>
      <c r="BO1362" t="s">
        <v>111</v>
      </c>
      <c r="BP1362" t="s">
        <v>111</v>
      </c>
      <c r="BQ1362" t="s">
        <v>111</v>
      </c>
      <c r="BR1362" t="s">
        <v>111</v>
      </c>
      <c r="BS1362" t="s">
        <v>111</v>
      </c>
      <c r="BT1362" t="s">
        <v>111</v>
      </c>
      <c r="BU1362" t="s">
        <v>111</v>
      </c>
      <c r="BV1362" t="s">
        <v>111</v>
      </c>
      <c r="BW1362" t="s">
        <v>111</v>
      </c>
      <c r="BX1362" t="s">
        <v>111</v>
      </c>
      <c r="BY1362" t="s">
        <v>111</v>
      </c>
      <c r="BZ1362" t="s">
        <v>111</v>
      </c>
      <c r="CA1362" t="s">
        <v>111</v>
      </c>
      <c r="CB1362" t="s">
        <v>111</v>
      </c>
      <c r="CC1362" t="s">
        <v>111</v>
      </c>
      <c r="CD1362" t="s">
        <v>111</v>
      </c>
      <c r="CE1362" t="s">
        <v>111</v>
      </c>
      <c r="CF1362" t="s">
        <v>111</v>
      </c>
      <c r="CG1362" t="s">
        <v>111</v>
      </c>
      <c r="CH1362" t="s">
        <v>111</v>
      </c>
      <c r="CI1362" t="s">
        <v>111</v>
      </c>
      <c r="CJ1362" t="s">
        <v>111</v>
      </c>
      <c r="CK1362" t="s">
        <v>111</v>
      </c>
      <c r="CL1362" t="s">
        <v>153</v>
      </c>
      <c r="CM1362" t="s">
        <v>198</v>
      </c>
      <c r="CN1362" t="s">
        <v>113</v>
      </c>
      <c r="CO1362" t="s">
        <v>111</v>
      </c>
      <c r="CP1362" t="s">
        <v>433</v>
      </c>
      <c r="CQ1362">
        <v>0</v>
      </c>
      <c r="CR1362">
        <v>0</v>
      </c>
      <c r="CS1362">
        <v>0</v>
      </c>
      <c r="CT1362" t="s">
        <v>168</v>
      </c>
      <c r="CU1362">
        <v>0</v>
      </c>
      <c r="CV1362" t="s">
        <v>111</v>
      </c>
      <c r="CW1362" t="s">
        <v>111</v>
      </c>
      <c r="CX1362" t="s">
        <v>111</v>
      </c>
      <c r="CY1362">
        <v>0</v>
      </c>
      <c r="CZ1362" t="s">
        <v>111</v>
      </c>
      <c r="DA1362" t="s">
        <v>111</v>
      </c>
      <c r="DB1362" t="s">
        <v>111</v>
      </c>
      <c r="DC1362" t="s">
        <v>111</v>
      </c>
    </row>
    <row r="1363" spans="1:107">
      <c r="A1363">
        <v>437</v>
      </c>
      <c r="B1363" t="s">
        <v>162</v>
      </c>
      <c r="C1363" s="2">
        <v>91226680</v>
      </c>
      <c r="D1363" t="s">
        <v>3875</v>
      </c>
      <c r="E1363" t="s">
        <v>3888</v>
      </c>
      <c r="F1363" t="s">
        <v>110</v>
      </c>
      <c r="G1363" t="s">
        <v>24</v>
      </c>
      <c r="H1363">
        <v>0.8</v>
      </c>
      <c r="I1363">
        <v>40</v>
      </c>
      <c r="J1363">
        <v>0</v>
      </c>
      <c r="K1363">
        <v>0</v>
      </c>
      <c r="L1363" t="s">
        <v>112</v>
      </c>
      <c r="M1363" t="s">
        <v>138</v>
      </c>
      <c r="N1363">
        <v>0</v>
      </c>
      <c r="O1363">
        <v>0</v>
      </c>
      <c r="P1363" t="s">
        <v>138</v>
      </c>
      <c r="Q1363">
        <v>30</v>
      </c>
      <c r="R1363">
        <v>0</v>
      </c>
      <c r="S1363">
        <v>0</v>
      </c>
      <c r="T1363">
        <v>0</v>
      </c>
      <c r="U1363" t="s">
        <v>211</v>
      </c>
      <c r="V1363">
        <v>0</v>
      </c>
      <c r="W1363">
        <v>0</v>
      </c>
      <c r="X1363">
        <v>0</v>
      </c>
      <c r="Y1363">
        <v>25</v>
      </c>
      <c r="Z1363" t="s">
        <v>111</v>
      </c>
      <c r="AA1363">
        <v>0</v>
      </c>
      <c r="AB1363" t="s">
        <v>111</v>
      </c>
      <c r="AC1363">
        <v>0</v>
      </c>
      <c r="AD1363" t="s">
        <v>111</v>
      </c>
      <c r="AE1363">
        <v>0</v>
      </c>
      <c r="AF1363">
        <v>0</v>
      </c>
      <c r="AG1363" t="s">
        <v>111</v>
      </c>
      <c r="AH1363" t="s">
        <v>111</v>
      </c>
      <c r="AI1363" t="s">
        <v>111</v>
      </c>
      <c r="AJ1363" t="s">
        <v>111</v>
      </c>
      <c r="AK1363" t="s">
        <v>111</v>
      </c>
      <c r="AL1363" t="s">
        <v>111</v>
      </c>
      <c r="AM1363">
        <v>0</v>
      </c>
      <c r="AN1363">
        <v>0</v>
      </c>
      <c r="AO1363">
        <v>0</v>
      </c>
      <c r="AP1363" t="s">
        <v>111</v>
      </c>
      <c r="AQ1363" t="s">
        <v>111</v>
      </c>
      <c r="AR1363" t="s">
        <v>111</v>
      </c>
      <c r="AS1363" t="s">
        <v>111</v>
      </c>
      <c r="AT1363" t="s">
        <v>111</v>
      </c>
      <c r="AU1363" t="s">
        <v>111</v>
      </c>
      <c r="AV1363" t="s">
        <v>111</v>
      </c>
      <c r="AW1363" t="s">
        <v>111</v>
      </c>
      <c r="AX1363" t="s">
        <v>111</v>
      </c>
      <c r="AY1363" t="s">
        <v>111</v>
      </c>
      <c r="AZ1363" t="s">
        <v>111</v>
      </c>
      <c r="BA1363" t="s">
        <v>111</v>
      </c>
      <c r="BB1363" t="s">
        <v>111</v>
      </c>
      <c r="BC1363" t="s">
        <v>111</v>
      </c>
      <c r="BD1363" t="s">
        <v>111</v>
      </c>
      <c r="BE1363" t="s">
        <v>111</v>
      </c>
      <c r="BF1363" t="s">
        <v>111</v>
      </c>
      <c r="BG1363" t="s">
        <v>111</v>
      </c>
      <c r="BH1363" t="s">
        <v>111</v>
      </c>
      <c r="BI1363" t="s">
        <v>111</v>
      </c>
      <c r="BJ1363" t="s">
        <v>111</v>
      </c>
      <c r="BK1363" t="s">
        <v>111</v>
      </c>
      <c r="BL1363" t="s">
        <v>111</v>
      </c>
      <c r="BM1363" t="s">
        <v>111</v>
      </c>
      <c r="BN1363" t="s">
        <v>111</v>
      </c>
      <c r="BO1363" t="s">
        <v>111</v>
      </c>
      <c r="BP1363" t="s">
        <v>111</v>
      </c>
      <c r="BQ1363" t="s">
        <v>111</v>
      </c>
      <c r="BR1363" t="s">
        <v>111</v>
      </c>
      <c r="BS1363" t="s">
        <v>111</v>
      </c>
      <c r="BT1363" t="s">
        <v>111</v>
      </c>
      <c r="BU1363" t="s">
        <v>111</v>
      </c>
      <c r="BV1363" t="s">
        <v>111</v>
      </c>
      <c r="BW1363" t="s">
        <v>111</v>
      </c>
      <c r="BX1363" t="s">
        <v>111</v>
      </c>
      <c r="BY1363" t="s">
        <v>111</v>
      </c>
      <c r="BZ1363" t="s">
        <v>111</v>
      </c>
      <c r="CA1363" t="s">
        <v>111</v>
      </c>
      <c r="CB1363" t="s">
        <v>111</v>
      </c>
      <c r="CC1363" t="s">
        <v>111</v>
      </c>
      <c r="CD1363" t="s">
        <v>111</v>
      </c>
      <c r="CE1363" t="s">
        <v>111</v>
      </c>
      <c r="CF1363" t="s">
        <v>111</v>
      </c>
      <c r="CG1363" t="s">
        <v>111</v>
      </c>
      <c r="CH1363" t="s">
        <v>111</v>
      </c>
      <c r="CI1363" t="s">
        <v>111</v>
      </c>
      <c r="CJ1363" t="s">
        <v>111</v>
      </c>
      <c r="CK1363" t="s">
        <v>111</v>
      </c>
      <c r="CL1363" t="s">
        <v>111</v>
      </c>
      <c r="CM1363" t="s">
        <v>111</v>
      </c>
      <c r="CN1363" t="s">
        <v>111</v>
      </c>
      <c r="CO1363" t="s">
        <v>111</v>
      </c>
      <c r="CP1363" t="s">
        <v>111</v>
      </c>
      <c r="CQ1363">
        <v>0</v>
      </c>
      <c r="CR1363">
        <v>0</v>
      </c>
      <c r="CS1363">
        <v>0</v>
      </c>
      <c r="CT1363" t="s">
        <v>111</v>
      </c>
      <c r="CU1363">
        <v>0</v>
      </c>
      <c r="CV1363" t="s">
        <v>111</v>
      </c>
      <c r="CW1363" t="s">
        <v>111</v>
      </c>
      <c r="CX1363" t="s">
        <v>111</v>
      </c>
      <c r="CY1363">
        <v>0</v>
      </c>
      <c r="CZ1363" t="s">
        <v>111</v>
      </c>
      <c r="DA1363" t="s">
        <v>111</v>
      </c>
      <c r="DB1363" t="s">
        <v>111</v>
      </c>
      <c r="DC1363" t="s">
        <v>111</v>
      </c>
    </row>
    <row r="1364" spans="1:107">
      <c r="A1364">
        <v>258</v>
      </c>
      <c r="B1364" t="s">
        <v>162</v>
      </c>
      <c r="C1364" s="2">
        <v>93385719</v>
      </c>
      <c r="D1364" t="s">
        <v>3889</v>
      </c>
      <c r="E1364" t="s">
        <v>3890</v>
      </c>
      <c r="F1364" t="s">
        <v>1651</v>
      </c>
      <c r="G1364" t="s">
        <v>24</v>
      </c>
      <c r="H1364">
        <v>1.5</v>
      </c>
      <c r="I1364">
        <v>42</v>
      </c>
      <c r="J1364">
        <v>0</v>
      </c>
      <c r="K1364">
        <v>0</v>
      </c>
      <c r="L1364" t="s">
        <v>112</v>
      </c>
      <c r="M1364" t="s">
        <v>118</v>
      </c>
      <c r="N1364">
        <v>40</v>
      </c>
      <c r="O1364">
        <v>1</v>
      </c>
      <c r="P1364" t="s">
        <v>138</v>
      </c>
      <c r="Q1364">
        <v>40</v>
      </c>
      <c r="R1364">
        <v>0</v>
      </c>
      <c r="S1364">
        <v>0</v>
      </c>
      <c r="T1364">
        <v>0</v>
      </c>
      <c r="U1364" t="s">
        <v>1353</v>
      </c>
      <c r="V1364">
        <v>0</v>
      </c>
      <c r="W1364">
        <v>0</v>
      </c>
      <c r="X1364">
        <v>0</v>
      </c>
      <c r="Y1364">
        <v>25</v>
      </c>
      <c r="Z1364" t="s">
        <v>111</v>
      </c>
      <c r="AA1364">
        <v>0</v>
      </c>
      <c r="AB1364" t="s">
        <v>111</v>
      </c>
      <c r="AC1364">
        <v>0</v>
      </c>
      <c r="AD1364" t="s">
        <v>416</v>
      </c>
      <c r="AE1364">
        <v>1</v>
      </c>
      <c r="AF1364">
        <v>1</v>
      </c>
      <c r="AG1364" t="s">
        <v>3891</v>
      </c>
      <c r="AH1364" t="s">
        <v>111</v>
      </c>
      <c r="AI1364">
        <v>35</v>
      </c>
      <c r="AJ1364" t="s">
        <v>111</v>
      </c>
      <c r="AK1364" t="s">
        <v>111</v>
      </c>
      <c r="AL1364" t="s">
        <v>111</v>
      </c>
      <c r="AM1364">
        <v>0</v>
      </c>
      <c r="AN1364">
        <v>0</v>
      </c>
      <c r="AO1364">
        <v>0</v>
      </c>
      <c r="AP1364" t="s">
        <v>1091</v>
      </c>
      <c r="AQ1364" t="s">
        <v>111</v>
      </c>
      <c r="AR1364" t="s">
        <v>111</v>
      </c>
      <c r="AS1364" t="s">
        <v>111</v>
      </c>
      <c r="AT1364" t="s">
        <v>111</v>
      </c>
      <c r="AU1364" t="s">
        <v>111</v>
      </c>
      <c r="AV1364" t="s">
        <v>111</v>
      </c>
      <c r="AW1364" t="s">
        <v>111</v>
      </c>
      <c r="AX1364" t="s">
        <v>111</v>
      </c>
      <c r="AY1364" t="s">
        <v>111</v>
      </c>
      <c r="AZ1364" t="s">
        <v>111</v>
      </c>
      <c r="BA1364" t="s">
        <v>111</v>
      </c>
      <c r="BB1364" t="s">
        <v>111</v>
      </c>
      <c r="BC1364" t="s">
        <v>111</v>
      </c>
      <c r="BD1364" t="s">
        <v>111</v>
      </c>
      <c r="BE1364" t="s">
        <v>111</v>
      </c>
      <c r="BF1364" t="s">
        <v>111</v>
      </c>
      <c r="BG1364" t="s">
        <v>111</v>
      </c>
      <c r="BH1364" t="s">
        <v>111</v>
      </c>
      <c r="BI1364" t="s">
        <v>111</v>
      </c>
      <c r="BJ1364" t="s">
        <v>111</v>
      </c>
      <c r="BK1364" t="s">
        <v>111</v>
      </c>
      <c r="BL1364" t="s">
        <v>111</v>
      </c>
      <c r="BM1364" t="s">
        <v>111</v>
      </c>
      <c r="BN1364" t="s">
        <v>111</v>
      </c>
      <c r="BO1364" t="s">
        <v>111</v>
      </c>
      <c r="BP1364" t="s">
        <v>111</v>
      </c>
      <c r="BQ1364" t="s">
        <v>111</v>
      </c>
      <c r="BR1364" t="s">
        <v>111</v>
      </c>
      <c r="BS1364" t="s">
        <v>111</v>
      </c>
      <c r="BT1364" t="s">
        <v>111</v>
      </c>
      <c r="BU1364" t="s">
        <v>111</v>
      </c>
      <c r="BV1364" t="s">
        <v>111</v>
      </c>
      <c r="BW1364" t="s">
        <v>111</v>
      </c>
      <c r="BX1364" t="s">
        <v>111</v>
      </c>
      <c r="BY1364" t="s">
        <v>111</v>
      </c>
      <c r="BZ1364" t="s">
        <v>111</v>
      </c>
      <c r="CA1364" t="s">
        <v>111</v>
      </c>
      <c r="CB1364" t="s">
        <v>111</v>
      </c>
      <c r="CC1364" t="s">
        <v>111</v>
      </c>
      <c r="CD1364" t="s">
        <v>111</v>
      </c>
      <c r="CE1364" t="s">
        <v>111</v>
      </c>
      <c r="CF1364" t="s">
        <v>111</v>
      </c>
      <c r="CG1364" t="s">
        <v>111</v>
      </c>
      <c r="CH1364" t="s">
        <v>111</v>
      </c>
      <c r="CI1364" t="s">
        <v>111</v>
      </c>
      <c r="CJ1364" t="s">
        <v>111</v>
      </c>
      <c r="CK1364" t="s">
        <v>111</v>
      </c>
      <c r="CL1364" t="s">
        <v>153</v>
      </c>
      <c r="CM1364" t="s">
        <v>198</v>
      </c>
      <c r="CN1364" t="s">
        <v>113</v>
      </c>
      <c r="CO1364" t="s">
        <v>111</v>
      </c>
      <c r="CP1364" t="s">
        <v>433</v>
      </c>
      <c r="CQ1364">
        <v>0</v>
      </c>
      <c r="CR1364">
        <v>0</v>
      </c>
      <c r="CS1364">
        <v>0</v>
      </c>
      <c r="CT1364" t="s">
        <v>168</v>
      </c>
      <c r="CU1364">
        <v>0</v>
      </c>
      <c r="CV1364" t="s">
        <v>111</v>
      </c>
      <c r="CW1364" t="s">
        <v>111</v>
      </c>
      <c r="CX1364" t="s">
        <v>111</v>
      </c>
      <c r="CY1364">
        <v>0</v>
      </c>
      <c r="CZ1364" t="s">
        <v>111</v>
      </c>
      <c r="DA1364" t="s">
        <v>111</v>
      </c>
      <c r="DB1364" t="s">
        <v>111</v>
      </c>
      <c r="DC1364" t="s">
        <v>111</v>
      </c>
    </row>
    <row r="1365" spans="1:107">
      <c r="A1365">
        <v>256</v>
      </c>
      <c r="B1365" t="s">
        <v>162</v>
      </c>
      <c r="C1365" t="s">
        <v>226</v>
      </c>
      <c r="D1365" t="s">
        <v>3892</v>
      </c>
      <c r="E1365" t="s">
        <v>3893</v>
      </c>
      <c r="F1365" t="s">
        <v>1071</v>
      </c>
      <c r="G1365" t="s">
        <v>24</v>
      </c>
      <c r="H1365">
        <v>1.3</v>
      </c>
      <c r="I1365">
        <v>55</v>
      </c>
      <c r="J1365">
        <v>0</v>
      </c>
      <c r="K1365">
        <v>0</v>
      </c>
      <c r="L1365" t="s">
        <v>112</v>
      </c>
      <c r="M1365" t="s">
        <v>138</v>
      </c>
      <c r="N1365">
        <v>0</v>
      </c>
      <c r="O1365">
        <v>0</v>
      </c>
      <c r="P1365" t="s">
        <v>138</v>
      </c>
      <c r="Q1365">
        <v>35</v>
      </c>
      <c r="R1365">
        <v>0</v>
      </c>
      <c r="S1365">
        <v>0</v>
      </c>
      <c r="T1365">
        <v>0</v>
      </c>
      <c r="U1365" t="s">
        <v>153</v>
      </c>
      <c r="V1365">
        <v>0</v>
      </c>
      <c r="W1365">
        <v>0</v>
      </c>
      <c r="X1365">
        <v>0</v>
      </c>
      <c r="Y1365">
        <v>25</v>
      </c>
      <c r="Z1365" t="s">
        <v>111</v>
      </c>
      <c r="AA1365">
        <v>0</v>
      </c>
      <c r="AB1365" t="s">
        <v>111</v>
      </c>
      <c r="AC1365">
        <v>0</v>
      </c>
      <c r="AD1365" t="s">
        <v>111</v>
      </c>
      <c r="AE1365">
        <v>0</v>
      </c>
      <c r="AF1365">
        <v>0</v>
      </c>
      <c r="AG1365" t="s">
        <v>111</v>
      </c>
      <c r="AH1365" t="s">
        <v>111</v>
      </c>
      <c r="AI1365" t="s">
        <v>111</v>
      </c>
      <c r="AJ1365" t="s">
        <v>111</v>
      </c>
      <c r="AK1365" t="s">
        <v>111</v>
      </c>
      <c r="AL1365" t="s">
        <v>111</v>
      </c>
      <c r="AM1365">
        <v>0</v>
      </c>
      <c r="AN1365">
        <v>0</v>
      </c>
      <c r="AO1365">
        <v>0</v>
      </c>
      <c r="AP1365" t="s">
        <v>111</v>
      </c>
      <c r="AQ1365" t="s">
        <v>111</v>
      </c>
      <c r="AR1365" t="s">
        <v>111</v>
      </c>
      <c r="AS1365" t="s">
        <v>111</v>
      </c>
      <c r="AT1365" t="s">
        <v>111</v>
      </c>
      <c r="AU1365" t="s">
        <v>111</v>
      </c>
      <c r="AV1365" t="s">
        <v>111</v>
      </c>
      <c r="AW1365" t="s">
        <v>111</v>
      </c>
      <c r="AX1365" t="s">
        <v>111</v>
      </c>
      <c r="AY1365" t="s">
        <v>111</v>
      </c>
      <c r="AZ1365" t="s">
        <v>111</v>
      </c>
      <c r="BA1365" t="s">
        <v>111</v>
      </c>
      <c r="BB1365" t="s">
        <v>111</v>
      </c>
      <c r="BC1365" t="s">
        <v>111</v>
      </c>
      <c r="BD1365" t="s">
        <v>111</v>
      </c>
      <c r="BE1365" t="s">
        <v>111</v>
      </c>
      <c r="BF1365" t="s">
        <v>111</v>
      </c>
      <c r="BG1365" t="s">
        <v>111</v>
      </c>
      <c r="BH1365" t="s">
        <v>111</v>
      </c>
      <c r="BI1365" t="s">
        <v>111</v>
      </c>
      <c r="BJ1365" t="s">
        <v>111</v>
      </c>
      <c r="BK1365" t="s">
        <v>111</v>
      </c>
      <c r="BL1365" t="s">
        <v>111</v>
      </c>
      <c r="BM1365" t="s">
        <v>111</v>
      </c>
      <c r="BN1365" t="s">
        <v>111</v>
      </c>
      <c r="BO1365" t="s">
        <v>111</v>
      </c>
      <c r="BP1365" t="s">
        <v>111</v>
      </c>
      <c r="BQ1365" t="s">
        <v>111</v>
      </c>
      <c r="BR1365" t="s">
        <v>111</v>
      </c>
      <c r="BS1365" t="s">
        <v>111</v>
      </c>
      <c r="BT1365" t="s">
        <v>111</v>
      </c>
      <c r="BU1365" t="s">
        <v>111</v>
      </c>
      <c r="BV1365" t="s">
        <v>111</v>
      </c>
      <c r="BW1365" t="s">
        <v>111</v>
      </c>
      <c r="BX1365" t="s">
        <v>111</v>
      </c>
      <c r="BY1365" t="s">
        <v>111</v>
      </c>
      <c r="BZ1365" t="s">
        <v>111</v>
      </c>
      <c r="CA1365" t="s">
        <v>111</v>
      </c>
      <c r="CB1365" t="s">
        <v>111</v>
      </c>
      <c r="CC1365" t="s">
        <v>111</v>
      </c>
      <c r="CD1365" t="s">
        <v>111</v>
      </c>
      <c r="CE1365" t="s">
        <v>111</v>
      </c>
      <c r="CF1365" t="s">
        <v>111</v>
      </c>
      <c r="CG1365" t="s">
        <v>111</v>
      </c>
      <c r="CH1365" t="s">
        <v>111</v>
      </c>
      <c r="CI1365" t="s">
        <v>111</v>
      </c>
      <c r="CJ1365" t="s">
        <v>111</v>
      </c>
      <c r="CK1365" t="s">
        <v>111</v>
      </c>
      <c r="CL1365" t="s">
        <v>111</v>
      </c>
      <c r="CM1365" t="s">
        <v>198</v>
      </c>
      <c r="CN1365" t="s">
        <v>113</v>
      </c>
      <c r="CO1365" t="s">
        <v>111</v>
      </c>
      <c r="CP1365" t="s">
        <v>111</v>
      </c>
      <c r="CQ1365">
        <v>0</v>
      </c>
      <c r="CR1365">
        <v>0</v>
      </c>
      <c r="CS1365">
        <v>0</v>
      </c>
      <c r="CT1365" t="s">
        <v>168</v>
      </c>
      <c r="CU1365">
        <v>0</v>
      </c>
      <c r="CV1365" t="s">
        <v>111</v>
      </c>
      <c r="CW1365" t="s">
        <v>111</v>
      </c>
      <c r="CX1365" t="s">
        <v>111</v>
      </c>
      <c r="CY1365">
        <v>0</v>
      </c>
      <c r="CZ1365" t="s">
        <v>111</v>
      </c>
      <c r="DA1365" t="s">
        <v>111</v>
      </c>
      <c r="DB1365" t="s">
        <v>111</v>
      </c>
      <c r="DC1365" t="s">
        <v>111</v>
      </c>
    </row>
    <row r="1366" spans="1:107">
      <c r="A1366">
        <v>411</v>
      </c>
      <c r="B1366" t="s">
        <v>162</v>
      </c>
      <c r="C1366" t="s">
        <v>231</v>
      </c>
      <c r="D1366" t="s">
        <v>3894</v>
      </c>
      <c r="E1366" t="s">
        <v>3895</v>
      </c>
      <c r="F1366" t="s">
        <v>1071</v>
      </c>
      <c r="G1366" t="s">
        <v>24</v>
      </c>
      <c r="H1366">
        <v>1.5</v>
      </c>
      <c r="I1366">
        <v>35</v>
      </c>
      <c r="J1366">
        <v>0</v>
      </c>
      <c r="K1366">
        <v>0</v>
      </c>
      <c r="L1366" t="s">
        <v>112</v>
      </c>
      <c r="M1366" t="s">
        <v>118</v>
      </c>
      <c r="N1366">
        <v>36</v>
      </c>
      <c r="O1366">
        <v>2</v>
      </c>
      <c r="P1366" t="s">
        <v>138</v>
      </c>
      <c r="Q1366">
        <v>40</v>
      </c>
      <c r="R1366">
        <v>0</v>
      </c>
      <c r="S1366">
        <v>0</v>
      </c>
      <c r="T1366">
        <v>0</v>
      </c>
      <c r="U1366" t="s">
        <v>153</v>
      </c>
      <c r="V1366">
        <v>0</v>
      </c>
      <c r="W1366">
        <v>0</v>
      </c>
      <c r="X1366">
        <v>0</v>
      </c>
      <c r="Y1366">
        <v>25</v>
      </c>
      <c r="Z1366" t="s">
        <v>111</v>
      </c>
      <c r="AA1366">
        <v>0</v>
      </c>
      <c r="AB1366" t="s">
        <v>111</v>
      </c>
      <c r="AC1366">
        <v>0</v>
      </c>
      <c r="AD1366" t="s">
        <v>111</v>
      </c>
      <c r="AE1366">
        <v>0</v>
      </c>
      <c r="AF1366">
        <v>0</v>
      </c>
      <c r="AG1366" t="s">
        <v>111</v>
      </c>
      <c r="AH1366" t="s">
        <v>111</v>
      </c>
      <c r="AI1366" t="s">
        <v>111</v>
      </c>
      <c r="AJ1366" t="s">
        <v>111</v>
      </c>
      <c r="AK1366" t="s">
        <v>111</v>
      </c>
      <c r="AL1366" t="s">
        <v>111</v>
      </c>
      <c r="AM1366">
        <v>0</v>
      </c>
      <c r="AN1366">
        <v>0</v>
      </c>
      <c r="AO1366">
        <v>0</v>
      </c>
      <c r="AP1366" t="s">
        <v>111</v>
      </c>
      <c r="AQ1366" t="s">
        <v>111</v>
      </c>
      <c r="AR1366" t="s">
        <v>111</v>
      </c>
      <c r="AS1366" t="s">
        <v>111</v>
      </c>
      <c r="AT1366" t="s">
        <v>111</v>
      </c>
      <c r="AU1366" t="s">
        <v>111</v>
      </c>
      <c r="AV1366" t="s">
        <v>111</v>
      </c>
      <c r="AW1366" t="s">
        <v>111</v>
      </c>
      <c r="AX1366" t="s">
        <v>111</v>
      </c>
      <c r="AY1366" t="s">
        <v>111</v>
      </c>
      <c r="AZ1366" t="s">
        <v>111</v>
      </c>
      <c r="BA1366" t="s">
        <v>111</v>
      </c>
      <c r="BB1366" t="s">
        <v>111</v>
      </c>
      <c r="BC1366" t="s">
        <v>111</v>
      </c>
      <c r="BD1366" t="s">
        <v>111</v>
      </c>
      <c r="BE1366" t="s">
        <v>111</v>
      </c>
      <c r="BF1366" t="s">
        <v>111</v>
      </c>
      <c r="BG1366" t="s">
        <v>111</v>
      </c>
      <c r="BH1366" t="s">
        <v>111</v>
      </c>
      <c r="BI1366" t="s">
        <v>111</v>
      </c>
      <c r="BJ1366" t="s">
        <v>111</v>
      </c>
      <c r="BK1366" t="s">
        <v>111</v>
      </c>
      <c r="BL1366" t="s">
        <v>111</v>
      </c>
      <c r="BM1366" t="s">
        <v>111</v>
      </c>
      <c r="BN1366" t="s">
        <v>111</v>
      </c>
      <c r="BO1366" t="s">
        <v>111</v>
      </c>
      <c r="BP1366" t="s">
        <v>111</v>
      </c>
      <c r="BQ1366" t="s">
        <v>111</v>
      </c>
      <c r="BR1366" t="s">
        <v>111</v>
      </c>
      <c r="BS1366" t="s">
        <v>111</v>
      </c>
      <c r="BT1366" t="s">
        <v>111</v>
      </c>
      <c r="BU1366" t="s">
        <v>111</v>
      </c>
      <c r="BV1366" t="s">
        <v>111</v>
      </c>
      <c r="BW1366" t="s">
        <v>111</v>
      </c>
      <c r="BX1366" t="s">
        <v>111</v>
      </c>
      <c r="BY1366" t="s">
        <v>111</v>
      </c>
      <c r="BZ1366" t="s">
        <v>111</v>
      </c>
      <c r="CA1366" t="s">
        <v>111</v>
      </c>
      <c r="CB1366" t="s">
        <v>111</v>
      </c>
      <c r="CC1366" t="s">
        <v>111</v>
      </c>
      <c r="CD1366" t="s">
        <v>111</v>
      </c>
      <c r="CE1366" t="s">
        <v>111</v>
      </c>
      <c r="CF1366" t="s">
        <v>111</v>
      </c>
      <c r="CG1366" t="s">
        <v>111</v>
      </c>
      <c r="CH1366" t="s">
        <v>111</v>
      </c>
      <c r="CI1366" t="s">
        <v>111</v>
      </c>
      <c r="CJ1366" t="s">
        <v>111</v>
      </c>
      <c r="CK1366" t="s">
        <v>111</v>
      </c>
      <c r="CL1366" t="s">
        <v>111</v>
      </c>
      <c r="CM1366" t="s">
        <v>198</v>
      </c>
      <c r="CN1366" t="s">
        <v>113</v>
      </c>
      <c r="CO1366" t="s">
        <v>111</v>
      </c>
      <c r="CP1366" t="s">
        <v>111</v>
      </c>
      <c r="CQ1366">
        <v>0</v>
      </c>
      <c r="CR1366">
        <v>0</v>
      </c>
      <c r="CS1366">
        <v>0</v>
      </c>
      <c r="CT1366" s="1" t="s">
        <v>3896</v>
      </c>
      <c r="CU1366">
        <v>0</v>
      </c>
      <c r="CV1366" t="s">
        <v>111</v>
      </c>
      <c r="CW1366" t="s">
        <v>111</v>
      </c>
      <c r="CX1366" t="s">
        <v>111</v>
      </c>
      <c r="CY1366">
        <v>0</v>
      </c>
      <c r="CZ1366" t="s">
        <v>111</v>
      </c>
      <c r="DA1366" t="s">
        <v>111</v>
      </c>
      <c r="DB1366" t="s">
        <v>240</v>
      </c>
      <c r="DC1366" s="1" t="s">
        <v>3897</v>
      </c>
    </row>
    <row r="1367" spans="1:107">
      <c r="A1367">
        <v>412</v>
      </c>
      <c r="B1367" t="s">
        <v>107</v>
      </c>
      <c r="C1367" t="s">
        <v>226</v>
      </c>
      <c r="D1367" t="s">
        <v>3898</v>
      </c>
      <c r="E1367" t="s">
        <v>3899</v>
      </c>
      <c r="F1367" t="s">
        <v>1071</v>
      </c>
      <c r="G1367" t="s">
        <v>24</v>
      </c>
      <c r="H1367">
        <v>1</v>
      </c>
      <c r="I1367">
        <v>50</v>
      </c>
      <c r="J1367">
        <v>0</v>
      </c>
      <c r="K1367">
        <v>0</v>
      </c>
      <c r="L1367" t="s">
        <v>112</v>
      </c>
      <c r="M1367" t="s">
        <v>138</v>
      </c>
      <c r="N1367">
        <v>0</v>
      </c>
      <c r="O1367">
        <v>0</v>
      </c>
      <c r="P1367" t="s">
        <v>138</v>
      </c>
      <c r="Q1367">
        <v>36.200000000000003</v>
      </c>
      <c r="R1367">
        <v>0</v>
      </c>
      <c r="S1367">
        <v>0</v>
      </c>
      <c r="T1367">
        <v>5</v>
      </c>
      <c r="U1367" s="1" t="s">
        <v>3900</v>
      </c>
      <c r="V1367">
        <v>0</v>
      </c>
      <c r="W1367">
        <v>0</v>
      </c>
      <c r="X1367">
        <v>0</v>
      </c>
      <c r="Y1367">
        <v>25</v>
      </c>
      <c r="Z1367" t="s">
        <v>111</v>
      </c>
      <c r="AA1367">
        <v>0</v>
      </c>
      <c r="AB1367" t="s">
        <v>111</v>
      </c>
      <c r="AC1367">
        <v>0</v>
      </c>
      <c r="AD1367" t="s">
        <v>111</v>
      </c>
      <c r="AE1367">
        <v>0</v>
      </c>
      <c r="AF1367">
        <v>0</v>
      </c>
      <c r="AG1367" t="s">
        <v>111</v>
      </c>
      <c r="AH1367" t="s">
        <v>111</v>
      </c>
      <c r="AI1367" t="s">
        <v>111</v>
      </c>
      <c r="AJ1367" t="s">
        <v>111</v>
      </c>
      <c r="AK1367" t="s">
        <v>111</v>
      </c>
      <c r="AL1367" t="s">
        <v>111</v>
      </c>
      <c r="AM1367">
        <v>0</v>
      </c>
      <c r="AN1367">
        <v>0</v>
      </c>
      <c r="AO1367">
        <v>0</v>
      </c>
      <c r="AP1367" t="s">
        <v>111</v>
      </c>
      <c r="AQ1367" t="s">
        <v>111</v>
      </c>
      <c r="AR1367" t="s">
        <v>111</v>
      </c>
      <c r="AS1367" t="s">
        <v>111</v>
      </c>
      <c r="AT1367" t="s">
        <v>111</v>
      </c>
      <c r="AU1367" t="s">
        <v>111</v>
      </c>
      <c r="AV1367" t="s">
        <v>111</v>
      </c>
      <c r="AW1367" t="s">
        <v>111</v>
      </c>
      <c r="AX1367" t="s">
        <v>111</v>
      </c>
      <c r="AY1367" t="s">
        <v>111</v>
      </c>
      <c r="AZ1367" t="s">
        <v>111</v>
      </c>
      <c r="BA1367" t="s">
        <v>111</v>
      </c>
      <c r="BB1367" t="s">
        <v>111</v>
      </c>
      <c r="BC1367" t="s">
        <v>111</v>
      </c>
      <c r="BD1367" t="s">
        <v>111</v>
      </c>
      <c r="BE1367" t="s">
        <v>111</v>
      </c>
      <c r="BF1367" t="s">
        <v>111</v>
      </c>
      <c r="BG1367" t="s">
        <v>111</v>
      </c>
      <c r="BH1367" t="s">
        <v>111</v>
      </c>
      <c r="BI1367" t="s">
        <v>111</v>
      </c>
      <c r="BJ1367" t="s">
        <v>111</v>
      </c>
      <c r="BK1367" t="s">
        <v>111</v>
      </c>
      <c r="BL1367" t="s">
        <v>111</v>
      </c>
      <c r="BM1367" t="s">
        <v>111</v>
      </c>
      <c r="BN1367" t="s">
        <v>111</v>
      </c>
      <c r="BO1367" t="s">
        <v>111</v>
      </c>
      <c r="BP1367" t="s">
        <v>111</v>
      </c>
      <c r="BQ1367" t="s">
        <v>111</v>
      </c>
      <c r="BR1367" t="s">
        <v>111</v>
      </c>
      <c r="BS1367" t="s">
        <v>111</v>
      </c>
      <c r="BT1367" t="s">
        <v>111</v>
      </c>
      <c r="BU1367" t="s">
        <v>111</v>
      </c>
      <c r="BV1367" t="s">
        <v>111</v>
      </c>
      <c r="BW1367" t="s">
        <v>111</v>
      </c>
      <c r="BX1367" t="s">
        <v>111</v>
      </c>
      <c r="BY1367" t="s">
        <v>111</v>
      </c>
      <c r="BZ1367" t="s">
        <v>111</v>
      </c>
      <c r="CA1367" t="s">
        <v>111</v>
      </c>
      <c r="CB1367" t="s">
        <v>111</v>
      </c>
      <c r="CC1367" t="s">
        <v>111</v>
      </c>
      <c r="CD1367" t="s">
        <v>111</v>
      </c>
      <c r="CE1367" t="s">
        <v>111</v>
      </c>
      <c r="CF1367" t="s">
        <v>111</v>
      </c>
      <c r="CG1367" t="s">
        <v>111</v>
      </c>
      <c r="CH1367" t="s">
        <v>111</v>
      </c>
      <c r="CI1367" t="s">
        <v>111</v>
      </c>
      <c r="CJ1367" t="s">
        <v>111</v>
      </c>
      <c r="CK1367" t="s">
        <v>111</v>
      </c>
      <c r="CL1367" t="s">
        <v>111</v>
      </c>
      <c r="CM1367" t="s">
        <v>198</v>
      </c>
      <c r="CN1367" t="s">
        <v>113</v>
      </c>
      <c r="CO1367" t="s">
        <v>111</v>
      </c>
      <c r="CP1367" t="s">
        <v>111</v>
      </c>
      <c r="CQ1367">
        <v>82</v>
      </c>
      <c r="CR1367">
        <v>3000</v>
      </c>
      <c r="CS1367">
        <v>200</v>
      </c>
      <c r="CT1367" s="1" t="s">
        <v>3901</v>
      </c>
      <c r="CU1367">
        <v>0</v>
      </c>
      <c r="CV1367" t="s">
        <v>111</v>
      </c>
      <c r="CW1367" t="s">
        <v>111</v>
      </c>
      <c r="CX1367" t="s">
        <v>111</v>
      </c>
      <c r="CY1367">
        <v>0</v>
      </c>
      <c r="CZ1367" t="s">
        <v>111</v>
      </c>
      <c r="DA1367" t="s">
        <v>111</v>
      </c>
      <c r="DB1367" t="s">
        <v>111</v>
      </c>
      <c r="DC1367" t="s">
        <v>111</v>
      </c>
    </row>
    <row r="1368" spans="1:107">
      <c r="A1368">
        <v>422</v>
      </c>
      <c r="B1368" t="s">
        <v>162</v>
      </c>
      <c r="C1368" t="s">
        <v>855</v>
      </c>
      <c r="D1368" t="s">
        <v>3902</v>
      </c>
      <c r="E1368" t="s">
        <v>3903</v>
      </c>
      <c r="F1368" t="s">
        <v>1071</v>
      </c>
      <c r="G1368" t="s">
        <v>24</v>
      </c>
      <c r="H1368">
        <v>1.2</v>
      </c>
      <c r="I1368">
        <v>40</v>
      </c>
      <c r="J1368">
        <v>0</v>
      </c>
      <c r="K1368">
        <v>0</v>
      </c>
      <c r="L1368" t="s">
        <v>112</v>
      </c>
      <c r="M1368" t="s">
        <v>138</v>
      </c>
      <c r="N1368">
        <v>0</v>
      </c>
      <c r="O1368">
        <v>0</v>
      </c>
      <c r="P1368" t="s">
        <v>138</v>
      </c>
      <c r="Q1368">
        <v>35</v>
      </c>
      <c r="R1368">
        <v>0</v>
      </c>
      <c r="S1368">
        <v>0</v>
      </c>
      <c r="T1368">
        <v>5</v>
      </c>
      <c r="U1368" t="s">
        <v>153</v>
      </c>
      <c r="V1368">
        <v>0</v>
      </c>
      <c r="W1368">
        <v>0</v>
      </c>
      <c r="X1368">
        <v>0</v>
      </c>
      <c r="Y1368">
        <v>25</v>
      </c>
      <c r="Z1368" t="s">
        <v>111</v>
      </c>
      <c r="AA1368">
        <v>0</v>
      </c>
      <c r="AB1368" t="s">
        <v>111</v>
      </c>
      <c r="AC1368">
        <v>0</v>
      </c>
      <c r="AD1368" t="s">
        <v>111</v>
      </c>
      <c r="AE1368">
        <v>0</v>
      </c>
      <c r="AF1368">
        <v>0</v>
      </c>
      <c r="AG1368" t="s">
        <v>111</v>
      </c>
      <c r="AH1368" t="s">
        <v>111</v>
      </c>
      <c r="AI1368" t="s">
        <v>111</v>
      </c>
      <c r="AJ1368" t="s">
        <v>111</v>
      </c>
      <c r="AK1368" t="s">
        <v>111</v>
      </c>
      <c r="AL1368" t="s">
        <v>111</v>
      </c>
      <c r="AM1368">
        <v>0</v>
      </c>
      <c r="AN1368">
        <v>0</v>
      </c>
      <c r="AO1368">
        <v>0</v>
      </c>
      <c r="AP1368" t="s">
        <v>111</v>
      </c>
      <c r="AQ1368" t="s">
        <v>111</v>
      </c>
      <c r="AR1368" t="s">
        <v>111</v>
      </c>
      <c r="AS1368" t="s">
        <v>111</v>
      </c>
      <c r="AT1368" t="s">
        <v>111</v>
      </c>
      <c r="AU1368" t="s">
        <v>111</v>
      </c>
      <c r="AV1368" t="s">
        <v>111</v>
      </c>
      <c r="AW1368" t="s">
        <v>111</v>
      </c>
      <c r="AX1368" t="s">
        <v>111</v>
      </c>
      <c r="AY1368" t="s">
        <v>111</v>
      </c>
      <c r="AZ1368" t="s">
        <v>111</v>
      </c>
      <c r="BA1368" t="s">
        <v>111</v>
      </c>
      <c r="BB1368" t="s">
        <v>111</v>
      </c>
      <c r="BC1368" t="s">
        <v>111</v>
      </c>
      <c r="BD1368" t="s">
        <v>111</v>
      </c>
      <c r="BE1368" t="s">
        <v>111</v>
      </c>
      <c r="BF1368" t="s">
        <v>111</v>
      </c>
      <c r="BG1368" t="s">
        <v>111</v>
      </c>
      <c r="BH1368" t="s">
        <v>111</v>
      </c>
      <c r="BI1368" t="s">
        <v>111</v>
      </c>
      <c r="BJ1368" t="s">
        <v>111</v>
      </c>
      <c r="BK1368" t="s">
        <v>111</v>
      </c>
      <c r="BL1368" t="s">
        <v>111</v>
      </c>
      <c r="BM1368" t="s">
        <v>111</v>
      </c>
      <c r="BN1368" t="s">
        <v>111</v>
      </c>
      <c r="BO1368" t="s">
        <v>111</v>
      </c>
      <c r="BP1368" t="s">
        <v>111</v>
      </c>
      <c r="BQ1368" t="s">
        <v>111</v>
      </c>
      <c r="BR1368" t="s">
        <v>111</v>
      </c>
      <c r="BS1368" t="s">
        <v>111</v>
      </c>
      <c r="BT1368" t="s">
        <v>111</v>
      </c>
      <c r="BU1368" t="s">
        <v>111</v>
      </c>
      <c r="BV1368" t="s">
        <v>111</v>
      </c>
      <c r="BW1368" t="s">
        <v>111</v>
      </c>
      <c r="BX1368" t="s">
        <v>111</v>
      </c>
      <c r="BY1368" t="s">
        <v>111</v>
      </c>
      <c r="BZ1368" t="s">
        <v>111</v>
      </c>
      <c r="CA1368" t="s">
        <v>111</v>
      </c>
      <c r="CB1368" t="s">
        <v>111</v>
      </c>
      <c r="CC1368" t="s">
        <v>111</v>
      </c>
      <c r="CD1368" t="s">
        <v>111</v>
      </c>
      <c r="CE1368" t="s">
        <v>111</v>
      </c>
      <c r="CF1368" t="s">
        <v>111</v>
      </c>
      <c r="CG1368" t="s">
        <v>111</v>
      </c>
      <c r="CH1368" t="s">
        <v>111</v>
      </c>
      <c r="CI1368" t="s">
        <v>111</v>
      </c>
      <c r="CJ1368" t="s">
        <v>111</v>
      </c>
      <c r="CK1368" t="s">
        <v>111</v>
      </c>
      <c r="CL1368" t="s">
        <v>111</v>
      </c>
      <c r="CM1368" t="s">
        <v>198</v>
      </c>
      <c r="CN1368" t="s">
        <v>113</v>
      </c>
      <c r="CO1368" t="s">
        <v>111</v>
      </c>
      <c r="CP1368" t="s">
        <v>111</v>
      </c>
      <c r="CQ1368">
        <v>80</v>
      </c>
      <c r="CR1368">
        <v>4000</v>
      </c>
      <c r="CS1368">
        <v>200</v>
      </c>
      <c r="CT1368" t="s">
        <v>168</v>
      </c>
      <c r="CU1368">
        <v>0</v>
      </c>
      <c r="CV1368" t="s">
        <v>111</v>
      </c>
      <c r="CW1368" t="s">
        <v>111</v>
      </c>
      <c r="CX1368" t="s">
        <v>111</v>
      </c>
      <c r="CY1368">
        <v>0</v>
      </c>
      <c r="CZ1368" t="s">
        <v>111</v>
      </c>
      <c r="DA1368" t="s">
        <v>111</v>
      </c>
      <c r="DB1368" t="s">
        <v>111</v>
      </c>
      <c r="DC1368" t="s">
        <v>111</v>
      </c>
    </row>
    <row r="1369" spans="1:107">
      <c r="A1369">
        <v>5</v>
      </c>
      <c r="B1369" t="s">
        <v>162</v>
      </c>
      <c r="C1369" t="s">
        <v>3904</v>
      </c>
      <c r="D1369" t="s">
        <v>3905</v>
      </c>
      <c r="E1369" t="s">
        <v>3906</v>
      </c>
      <c r="F1369" t="s">
        <v>2211</v>
      </c>
      <c r="G1369" t="s">
        <v>24</v>
      </c>
      <c r="H1369">
        <v>2</v>
      </c>
      <c r="I1369">
        <v>45</v>
      </c>
      <c r="J1369">
        <v>0</v>
      </c>
      <c r="K1369">
        <v>0</v>
      </c>
      <c r="L1369" t="s">
        <v>117</v>
      </c>
      <c r="M1369" t="s">
        <v>118</v>
      </c>
      <c r="N1369">
        <v>40</v>
      </c>
      <c r="O1369">
        <v>2</v>
      </c>
      <c r="P1369" t="s">
        <v>138</v>
      </c>
      <c r="Q1369">
        <v>45</v>
      </c>
      <c r="R1369">
        <v>0</v>
      </c>
      <c r="S1369">
        <v>0</v>
      </c>
      <c r="T1369">
        <v>0</v>
      </c>
      <c r="U1369" s="1" t="s">
        <v>3907</v>
      </c>
      <c r="V1369">
        <v>0</v>
      </c>
      <c r="W1369">
        <v>0</v>
      </c>
      <c r="X1369">
        <v>0</v>
      </c>
      <c r="Y1369">
        <v>25</v>
      </c>
      <c r="Z1369" t="s">
        <v>111</v>
      </c>
      <c r="AA1369">
        <v>0</v>
      </c>
      <c r="AB1369" t="s">
        <v>111</v>
      </c>
      <c r="AC1369">
        <v>0</v>
      </c>
      <c r="AD1369" t="s">
        <v>111</v>
      </c>
      <c r="AE1369">
        <v>0</v>
      </c>
      <c r="AF1369">
        <v>0</v>
      </c>
      <c r="AG1369" t="s">
        <v>111</v>
      </c>
      <c r="AH1369" t="s">
        <v>111</v>
      </c>
      <c r="AI1369" t="s">
        <v>111</v>
      </c>
      <c r="AJ1369" t="s">
        <v>111</v>
      </c>
      <c r="AK1369" t="s">
        <v>111</v>
      </c>
      <c r="AL1369" t="s">
        <v>111</v>
      </c>
      <c r="AM1369">
        <v>0</v>
      </c>
      <c r="AN1369">
        <v>0</v>
      </c>
      <c r="AO1369">
        <v>0</v>
      </c>
      <c r="AP1369" t="s">
        <v>111</v>
      </c>
      <c r="AQ1369" t="s">
        <v>111</v>
      </c>
      <c r="AR1369" t="s">
        <v>111</v>
      </c>
      <c r="AS1369" t="s">
        <v>111</v>
      </c>
      <c r="AT1369" t="s">
        <v>111</v>
      </c>
      <c r="AU1369" t="s">
        <v>111</v>
      </c>
      <c r="AV1369" t="s">
        <v>111</v>
      </c>
      <c r="AW1369" t="s">
        <v>111</v>
      </c>
      <c r="AX1369" t="s">
        <v>111</v>
      </c>
      <c r="AY1369" t="s">
        <v>111</v>
      </c>
      <c r="AZ1369" t="s">
        <v>111</v>
      </c>
      <c r="BA1369" t="s">
        <v>111</v>
      </c>
      <c r="BB1369" t="s">
        <v>111</v>
      </c>
      <c r="BC1369" t="s">
        <v>111</v>
      </c>
      <c r="BD1369" t="s">
        <v>111</v>
      </c>
      <c r="BE1369" t="s">
        <v>111</v>
      </c>
      <c r="BF1369" t="s">
        <v>111</v>
      </c>
      <c r="BG1369" t="s">
        <v>111</v>
      </c>
      <c r="BH1369" t="s">
        <v>111</v>
      </c>
      <c r="BI1369" t="s">
        <v>111</v>
      </c>
      <c r="BJ1369" t="s">
        <v>111</v>
      </c>
      <c r="BK1369" t="s">
        <v>111</v>
      </c>
      <c r="BL1369" t="s">
        <v>111</v>
      </c>
      <c r="BM1369" t="s">
        <v>111</v>
      </c>
      <c r="BN1369" t="s">
        <v>111</v>
      </c>
      <c r="BO1369" t="s">
        <v>111</v>
      </c>
      <c r="BP1369" t="s">
        <v>111</v>
      </c>
      <c r="BQ1369" t="s">
        <v>111</v>
      </c>
      <c r="BR1369" t="s">
        <v>111</v>
      </c>
      <c r="BS1369" t="s">
        <v>111</v>
      </c>
      <c r="BT1369" t="s">
        <v>111</v>
      </c>
      <c r="BU1369" t="s">
        <v>111</v>
      </c>
      <c r="BV1369" t="s">
        <v>111</v>
      </c>
      <c r="BW1369" t="s">
        <v>111</v>
      </c>
      <c r="BX1369" t="s">
        <v>111</v>
      </c>
      <c r="BY1369" t="s">
        <v>111</v>
      </c>
      <c r="BZ1369" t="s">
        <v>111</v>
      </c>
      <c r="CA1369" t="s">
        <v>111</v>
      </c>
      <c r="CB1369" t="s">
        <v>111</v>
      </c>
      <c r="CC1369" t="s">
        <v>111</v>
      </c>
      <c r="CD1369" t="s">
        <v>111</v>
      </c>
      <c r="CE1369" t="s">
        <v>111</v>
      </c>
      <c r="CF1369" t="s">
        <v>111</v>
      </c>
      <c r="CG1369" t="s">
        <v>111</v>
      </c>
      <c r="CH1369" t="s">
        <v>111</v>
      </c>
      <c r="CI1369" t="s">
        <v>111</v>
      </c>
      <c r="CJ1369" t="s">
        <v>111</v>
      </c>
      <c r="CK1369" t="s">
        <v>111</v>
      </c>
      <c r="CL1369" t="s">
        <v>111</v>
      </c>
      <c r="CM1369" t="s">
        <v>111</v>
      </c>
      <c r="CN1369" t="s">
        <v>111</v>
      </c>
      <c r="CO1369" t="s">
        <v>111</v>
      </c>
      <c r="CP1369" t="s">
        <v>111</v>
      </c>
      <c r="CQ1369">
        <v>0</v>
      </c>
      <c r="CR1369">
        <v>0</v>
      </c>
      <c r="CS1369">
        <v>0</v>
      </c>
      <c r="CT1369" t="s">
        <v>111</v>
      </c>
      <c r="CU1369">
        <v>0</v>
      </c>
      <c r="CV1369" t="s">
        <v>111</v>
      </c>
      <c r="CW1369" t="s">
        <v>111</v>
      </c>
      <c r="CX1369" t="s">
        <v>111</v>
      </c>
      <c r="CY1369">
        <v>0</v>
      </c>
      <c r="CZ1369" t="s">
        <v>111</v>
      </c>
      <c r="DA1369" t="s">
        <v>111</v>
      </c>
      <c r="DB1369" t="s">
        <v>111</v>
      </c>
      <c r="DC1369" t="s">
        <v>111</v>
      </c>
    </row>
    <row r="1370" spans="1:107">
      <c r="A1370">
        <v>423</v>
      </c>
      <c r="B1370" t="s">
        <v>162</v>
      </c>
      <c r="C1370" t="s">
        <v>1643</v>
      </c>
      <c r="D1370" t="s">
        <v>3908</v>
      </c>
      <c r="E1370" t="s">
        <v>3909</v>
      </c>
      <c r="F1370" t="s">
        <v>2211</v>
      </c>
      <c r="G1370" t="s">
        <v>24</v>
      </c>
      <c r="H1370">
        <v>1.2</v>
      </c>
      <c r="I1370">
        <v>25</v>
      </c>
      <c r="J1370">
        <v>0</v>
      </c>
      <c r="K1370">
        <v>0</v>
      </c>
      <c r="L1370" t="s">
        <v>2494</v>
      </c>
      <c r="M1370" t="s">
        <v>138</v>
      </c>
      <c r="N1370">
        <v>0</v>
      </c>
      <c r="O1370">
        <v>0</v>
      </c>
      <c r="P1370" t="s">
        <v>138</v>
      </c>
      <c r="Q1370">
        <v>25</v>
      </c>
      <c r="R1370">
        <v>0</v>
      </c>
      <c r="S1370">
        <v>0</v>
      </c>
      <c r="T1370">
        <v>0</v>
      </c>
      <c r="U1370" s="1" t="s">
        <v>3910</v>
      </c>
      <c r="V1370">
        <v>0</v>
      </c>
      <c r="W1370">
        <v>0</v>
      </c>
      <c r="X1370">
        <v>0</v>
      </c>
      <c r="Y1370">
        <v>25</v>
      </c>
      <c r="Z1370" t="s">
        <v>111</v>
      </c>
      <c r="AA1370">
        <v>0</v>
      </c>
      <c r="AB1370" t="s">
        <v>3911</v>
      </c>
      <c r="AC1370">
        <v>0</v>
      </c>
      <c r="AD1370" t="s">
        <v>111</v>
      </c>
      <c r="AE1370">
        <v>0</v>
      </c>
      <c r="AF1370">
        <v>0</v>
      </c>
      <c r="AG1370" t="s">
        <v>111</v>
      </c>
      <c r="AH1370" t="s">
        <v>111</v>
      </c>
      <c r="AI1370" t="s">
        <v>111</v>
      </c>
      <c r="AJ1370" t="s">
        <v>111</v>
      </c>
      <c r="AK1370" t="s">
        <v>111</v>
      </c>
      <c r="AL1370" t="s">
        <v>111</v>
      </c>
      <c r="AM1370">
        <v>0</v>
      </c>
      <c r="AN1370">
        <v>0</v>
      </c>
      <c r="AO1370">
        <v>0</v>
      </c>
      <c r="AP1370" t="s">
        <v>111</v>
      </c>
      <c r="AQ1370" t="s">
        <v>111</v>
      </c>
      <c r="AR1370" t="s">
        <v>111</v>
      </c>
      <c r="AS1370" t="s">
        <v>111</v>
      </c>
      <c r="AT1370" t="s">
        <v>111</v>
      </c>
      <c r="AU1370" t="s">
        <v>111</v>
      </c>
      <c r="AV1370" t="s">
        <v>111</v>
      </c>
      <c r="AW1370" t="s">
        <v>111</v>
      </c>
      <c r="AX1370" t="s">
        <v>111</v>
      </c>
      <c r="AY1370" t="s">
        <v>111</v>
      </c>
      <c r="AZ1370" t="s">
        <v>111</v>
      </c>
      <c r="BA1370" t="s">
        <v>111</v>
      </c>
      <c r="BB1370" t="s">
        <v>111</v>
      </c>
      <c r="BC1370" t="s">
        <v>111</v>
      </c>
      <c r="BD1370" t="s">
        <v>111</v>
      </c>
      <c r="BE1370" t="s">
        <v>111</v>
      </c>
      <c r="BF1370" t="s">
        <v>111</v>
      </c>
      <c r="BG1370" t="s">
        <v>111</v>
      </c>
      <c r="BH1370" t="s">
        <v>111</v>
      </c>
      <c r="BI1370" t="s">
        <v>111</v>
      </c>
      <c r="BJ1370" t="s">
        <v>111</v>
      </c>
      <c r="BK1370" t="s">
        <v>111</v>
      </c>
      <c r="BL1370" t="s">
        <v>111</v>
      </c>
      <c r="BM1370" t="s">
        <v>111</v>
      </c>
      <c r="BN1370" t="s">
        <v>111</v>
      </c>
      <c r="BO1370" t="s">
        <v>111</v>
      </c>
      <c r="BP1370" t="s">
        <v>111</v>
      </c>
      <c r="BQ1370" t="s">
        <v>111</v>
      </c>
      <c r="BR1370" t="s">
        <v>111</v>
      </c>
      <c r="BS1370" t="s">
        <v>111</v>
      </c>
      <c r="BT1370" t="s">
        <v>111</v>
      </c>
      <c r="BU1370" t="s">
        <v>111</v>
      </c>
      <c r="BV1370" t="s">
        <v>111</v>
      </c>
      <c r="BW1370" t="s">
        <v>111</v>
      </c>
      <c r="BX1370" t="s">
        <v>111</v>
      </c>
      <c r="BY1370" t="s">
        <v>111</v>
      </c>
      <c r="BZ1370" t="s">
        <v>111</v>
      </c>
      <c r="CA1370" t="s">
        <v>111</v>
      </c>
      <c r="CB1370" t="s">
        <v>111</v>
      </c>
      <c r="CC1370" t="s">
        <v>111</v>
      </c>
      <c r="CD1370" t="s">
        <v>111</v>
      </c>
      <c r="CE1370" t="s">
        <v>111</v>
      </c>
      <c r="CF1370" t="s">
        <v>111</v>
      </c>
      <c r="CG1370" t="s">
        <v>111</v>
      </c>
      <c r="CH1370" t="s">
        <v>111</v>
      </c>
      <c r="CI1370" t="s">
        <v>111</v>
      </c>
      <c r="CJ1370" t="s">
        <v>111</v>
      </c>
      <c r="CK1370" t="s">
        <v>111</v>
      </c>
      <c r="CL1370" t="s">
        <v>111</v>
      </c>
      <c r="CM1370" t="s">
        <v>111</v>
      </c>
      <c r="CN1370" t="s">
        <v>111</v>
      </c>
      <c r="CO1370" t="s">
        <v>111</v>
      </c>
      <c r="CP1370" t="s">
        <v>111</v>
      </c>
      <c r="CQ1370">
        <v>0</v>
      </c>
      <c r="CR1370">
        <v>0</v>
      </c>
      <c r="CS1370">
        <v>0</v>
      </c>
      <c r="CT1370" t="s">
        <v>111</v>
      </c>
      <c r="CU1370">
        <v>0</v>
      </c>
      <c r="CV1370" t="s">
        <v>111</v>
      </c>
      <c r="CW1370" t="s">
        <v>111</v>
      </c>
      <c r="CX1370" t="s">
        <v>111</v>
      </c>
      <c r="CY1370">
        <v>0</v>
      </c>
      <c r="CZ1370" t="s">
        <v>111</v>
      </c>
      <c r="DA1370" t="s">
        <v>111</v>
      </c>
      <c r="DB1370" t="s">
        <v>111</v>
      </c>
      <c r="DC1370" t="s">
        <v>111</v>
      </c>
    </row>
    <row r="1371" spans="1:107">
      <c r="A1371">
        <v>424</v>
      </c>
      <c r="B1371" t="s">
        <v>107</v>
      </c>
      <c r="C1371" t="s">
        <v>1643</v>
      </c>
      <c r="D1371" t="s">
        <v>3912</v>
      </c>
      <c r="E1371" t="s">
        <v>3913</v>
      </c>
      <c r="F1371" t="s">
        <v>2211</v>
      </c>
      <c r="G1371" t="s">
        <v>24</v>
      </c>
      <c r="H1371">
        <v>1.1499999999999999</v>
      </c>
      <c r="I1371">
        <v>28</v>
      </c>
      <c r="J1371">
        <v>0</v>
      </c>
      <c r="K1371">
        <v>0</v>
      </c>
      <c r="L1371" t="s">
        <v>2494</v>
      </c>
      <c r="M1371" t="s">
        <v>138</v>
      </c>
      <c r="N1371">
        <v>0</v>
      </c>
      <c r="O1371">
        <v>0</v>
      </c>
      <c r="P1371" t="s">
        <v>138</v>
      </c>
      <c r="Q1371">
        <v>35</v>
      </c>
      <c r="R1371">
        <v>0</v>
      </c>
      <c r="S1371">
        <v>0</v>
      </c>
      <c r="T1371">
        <v>0</v>
      </c>
      <c r="U1371" s="1" t="s">
        <v>3914</v>
      </c>
      <c r="V1371">
        <v>0</v>
      </c>
      <c r="W1371">
        <v>0</v>
      </c>
      <c r="X1371">
        <v>0</v>
      </c>
      <c r="Y1371">
        <v>25</v>
      </c>
      <c r="Z1371" t="s">
        <v>111</v>
      </c>
      <c r="AA1371">
        <v>0</v>
      </c>
      <c r="AB1371" t="s">
        <v>3915</v>
      </c>
      <c r="AC1371">
        <v>300</v>
      </c>
      <c r="AD1371" t="s">
        <v>111</v>
      </c>
      <c r="AE1371">
        <v>0</v>
      </c>
      <c r="AF1371">
        <v>0</v>
      </c>
      <c r="AG1371" t="s">
        <v>111</v>
      </c>
      <c r="AH1371" t="s">
        <v>111</v>
      </c>
      <c r="AI1371" t="s">
        <v>111</v>
      </c>
      <c r="AJ1371" t="s">
        <v>111</v>
      </c>
      <c r="AK1371" t="s">
        <v>111</v>
      </c>
      <c r="AL1371" t="s">
        <v>111</v>
      </c>
      <c r="AM1371">
        <v>0</v>
      </c>
      <c r="AN1371">
        <v>0</v>
      </c>
      <c r="AO1371">
        <v>0</v>
      </c>
      <c r="AP1371" t="s">
        <v>111</v>
      </c>
      <c r="AQ1371" t="s">
        <v>111</v>
      </c>
      <c r="AR1371" t="s">
        <v>111</v>
      </c>
      <c r="AS1371" t="s">
        <v>111</v>
      </c>
      <c r="AT1371" t="s">
        <v>111</v>
      </c>
      <c r="AU1371" t="s">
        <v>111</v>
      </c>
      <c r="AV1371" t="s">
        <v>111</v>
      </c>
      <c r="AW1371" t="s">
        <v>111</v>
      </c>
      <c r="AX1371" t="s">
        <v>111</v>
      </c>
      <c r="AY1371" t="s">
        <v>111</v>
      </c>
      <c r="AZ1371" t="s">
        <v>111</v>
      </c>
      <c r="BA1371" t="s">
        <v>111</v>
      </c>
      <c r="BB1371" t="s">
        <v>111</v>
      </c>
      <c r="BC1371" t="s">
        <v>111</v>
      </c>
      <c r="BD1371" t="s">
        <v>111</v>
      </c>
      <c r="BE1371" t="s">
        <v>111</v>
      </c>
      <c r="BF1371" t="s">
        <v>111</v>
      </c>
      <c r="BG1371" t="s">
        <v>111</v>
      </c>
      <c r="BH1371" t="s">
        <v>111</v>
      </c>
      <c r="BI1371" t="s">
        <v>111</v>
      </c>
      <c r="BJ1371" t="s">
        <v>111</v>
      </c>
      <c r="BK1371" t="s">
        <v>111</v>
      </c>
      <c r="BL1371" t="s">
        <v>111</v>
      </c>
      <c r="BM1371" t="s">
        <v>111</v>
      </c>
      <c r="BN1371" t="s">
        <v>111</v>
      </c>
      <c r="BO1371" t="s">
        <v>111</v>
      </c>
      <c r="BP1371" t="s">
        <v>111</v>
      </c>
      <c r="BQ1371" t="s">
        <v>111</v>
      </c>
      <c r="BR1371" t="s">
        <v>111</v>
      </c>
      <c r="BS1371" t="s">
        <v>111</v>
      </c>
      <c r="BT1371" t="s">
        <v>111</v>
      </c>
      <c r="BU1371" t="s">
        <v>111</v>
      </c>
      <c r="BV1371" t="s">
        <v>111</v>
      </c>
      <c r="BW1371" t="s">
        <v>111</v>
      </c>
      <c r="BX1371" t="s">
        <v>111</v>
      </c>
      <c r="BY1371" t="s">
        <v>111</v>
      </c>
      <c r="BZ1371" t="s">
        <v>111</v>
      </c>
      <c r="CA1371" t="s">
        <v>111</v>
      </c>
      <c r="CB1371" t="s">
        <v>111</v>
      </c>
      <c r="CC1371" t="s">
        <v>111</v>
      </c>
      <c r="CD1371" t="s">
        <v>111</v>
      </c>
      <c r="CE1371" t="s">
        <v>111</v>
      </c>
      <c r="CF1371" t="s">
        <v>111</v>
      </c>
      <c r="CG1371" t="s">
        <v>111</v>
      </c>
      <c r="CH1371" t="s">
        <v>111</v>
      </c>
      <c r="CI1371" t="s">
        <v>111</v>
      </c>
      <c r="CJ1371" t="s">
        <v>111</v>
      </c>
      <c r="CK1371" t="s">
        <v>111</v>
      </c>
      <c r="CL1371" t="s">
        <v>111</v>
      </c>
      <c r="CM1371" t="s">
        <v>111</v>
      </c>
      <c r="CN1371" t="s">
        <v>111</v>
      </c>
      <c r="CO1371" t="s">
        <v>111</v>
      </c>
      <c r="CP1371" t="s">
        <v>111</v>
      </c>
      <c r="CQ1371">
        <v>0</v>
      </c>
      <c r="CR1371">
        <v>0</v>
      </c>
      <c r="CS1371">
        <v>0</v>
      </c>
      <c r="CT1371" t="s">
        <v>111</v>
      </c>
      <c r="CU1371">
        <v>0</v>
      </c>
      <c r="CV1371" t="s">
        <v>111</v>
      </c>
      <c r="CW1371" t="s">
        <v>111</v>
      </c>
      <c r="CX1371" t="s">
        <v>111</v>
      </c>
      <c r="CY1371">
        <v>0</v>
      </c>
      <c r="CZ1371" t="s">
        <v>111</v>
      </c>
      <c r="DA1371" t="s">
        <v>111</v>
      </c>
      <c r="DB1371" t="s">
        <v>111</v>
      </c>
      <c r="DC1371" t="s">
        <v>111</v>
      </c>
    </row>
    <row r="1372" spans="1:107">
      <c r="A1372">
        <v>432</v>
      </c>
      <c r="B1372" t="s">
        <v>162</v>
      </c>
      <c r="C1372" t="s">
        <v>3916</v>
      </c>
      <c r="D1372" t="s">
        <v>3917</v>
      </c>
      <c r="E1372" t="s">
        <v>3918</v>
      </c>
      <c r="F1372" t="s">
        <v>110</v>
      </c>
      <c r="G1372" t="s">
        <v>24</v>
      </c>
      <c r="H1372">
        <v>1</v>
      </c>
      <c r="I1372">
        <v>50</v>
      </c>
      <c r="J1372">
        <v>0</v>
      </c>
      <c r="K1372">
        <v>0</v>
      </c>
      <c r="L1372" t="s">
        <v>112</v>
      </c>
      <c r="M1372" t="s">
        <v>138</v>
      </c>
      <c r="N1372">
        <v>0</v>
      </c>
      <c r="O1372">
        <v>0</v>
      </c>
      <c r="P1372" t="s">
        <v>138</v>
      </c>
      <c r="Q1372">
        <v>40</v>
      </c>
      <c r="R1372">
        <v>0</v>
      </c>
      <c r="S1372">
        <v>0</v>
      </c>
      <c r="T1372">
        <v>0</v>
      </c>
      <c r="U1372" s="1" t="s">
        <v>3780</v>
      </c>
      <c r="V1372">
        <v>0</v>
      </c>
      <c r="W1372">
        <v>0</v>
      </c>
      <c r="X1372">
        <v>0</v>
      </c>
      <c r="Y1372">
        <v>25</v>
      </c>
      <c r="Z1372" t="s">
        <v>111</v>
      </c>
      <c r="AA1372">
        <v>0</v>
      </c>
      <c r="AB1372" t="s">
        <v>111</v>
      </c>
      <c r="AC1372">
        <v>0</v>
      </c>
      <c r="AD1372" t="s">
        <v>111</v>
      </c>
      <c r="AE1372">
        <v>0</v>
      </c>
      <c r="AF1372">
        <v>0</v>
      </c>
      <c r="AG1372" t="s">
        <v>111</v>
      </c>
      <c r="AH1372" t="s">
        <v>111</v>
      </c>
      <c r="AI1372" t="s">
        <v>111</v>
      </c>
      <c r="AJ1372" t="s">
        <v>111</v>
      </c>
      <c r="AK1372" t="s">
        <v>111</v>
      </c>
      <c r="AL1372" t="s">
        <v>111</v>
      </c>
      <c r="AM1372">
        <v>0</v>
      </c>
      <c r="AN1372">
        <v>0</v>
      </c>
      <c r="AO1372">
        <v>0</v>
      </c>
      <c r="AP1372" t="s">
        <v>111</v>
      </c>
      <c r="AQ1372" t="s">
        <v>111</v>
      </c>
      <c r="AR1372" t="s">
        <v>111</v>
      </c>
      <c r="AS1372" t="s">
        <v>111</v>
      </c>
      <c r="AT1372" t="s">
        <v>111</v>
      </c>
      <c r="AU1372" t="s">
        <v>111</v>
      </c>
      <c r="AV1372" t="s">
        <v>111</v>
      </c>
      <c r="AW1372" t="s">
        <v>111</v>
      </c>
      <c r="AX1372" t="s">
        <v>111</v>
      </c>
      <c r="AY1372" t="s">
        <v>111</v>
      </c>
      <c r="AZ1372" t="s">
        <v>111</v>
      </c>
      <c r="BA1372" t="s">
        <v>111</v>
      </c>
      <c r="BB1372" t="s">
        <v>111</v>
      </c>
      <c r="BC1372" t="s">
        <v>111</v>
      </c>
      <c r="BD1372" t="s">
        <v>111</v>
      </c>
      <c r="BE1372" t="s">
        <v>111</v>
      </c>
      <c r="BF1372" t="s">
        <v>111</v>
      </c>
      <c r="BG1372" t="s">
        <v>111</v>
      </c>
      <c r="BH1372" t="s">
        <v>111</v>
      </c>
      <c r="BI1372" t="s">
        <v>111</v>
      </c>
      <c r="BJ1372" t="s">
        <v>111</v>
      </c>
      <c r="BK1372" t="s">
        <v>111</v>
      </c>
      <c r="BL1372" t="s">
        <v>111</v>
      </c>
      <c r="BM1372" t="s">
        <v>111</v>
      </c>
      <c r="BN1372" t="s">
        <v>111</v>
      </c>
      <c r="BO1372" t="s">
        <v>111</v>
      </c>
      <c r="BP1372" t="s">
        <v>111</v>
      </c>
      <c r="BQ1372" t="s">
        <v>111</v>
      </c>
      <c r="BR1372" t="s">
        <v>111</v>
      </c>
      <c r="BS1372" t="s">
        <v>111</v>
      </c>
      <c r="BT1372" t="s">
        <v>111</v>
      </c>
      <c r="BU1372" t="s">
        <v>111</v>
      </c>
      <c r="BV1372" t="s">
        <v>111</v>
      </c>
      <c r="BW1372" t="s">
        <v>111</v>
      </c>
      <c r="BX1372" t="s">
        <v>111</v>
      </c>
      <c r="BY1372" t="s">
        <v>111</v>
      </c>
      <c r="BZ1372" t="s">
        <v>111</v>
      </c>
      <c r="CA1372" t="s">
        <v>111</v>
      </c>
      <c r="CB1372" t="s">
        <v>111</v>
      </c>
      <c r="CC1372" t="s">
        <v>111</v>
      </c>
      <c r="CD1372" t="s">
        <v>111</v>
      </c>
      <c r="CE1372" t="s">
        <v>111</v>
      </c>
      <c r="CF1372" t="s">
        <v>111</v>
      </c>
      <c r="CG1372" t="s">
        <v>111</v>
      </c>
      <c r="CH1372" t="s">
        <v>111</v>
      </c>
      <c r="CI1372" t="s">
        <v>111</v>
      </c>
      <c r="CJ1372" t="s">
        <v>111</v>
      </c>
      <c r="CK1372" t="s">
        <v>111</v>
      </c>
      <c r="CL1372" t="s">
        <v>111</v>
      </c>
      <c r="CM1372" t="s">
        <v>111</v>
      </c>
      <c r="CN1372" t="s">
        <v>111</v>
      </c>
      <c r="CO1372" t="s">
        <v>111</v>
      </c>
      <c r="CP1372" t="s">
        <v>111</v>
      </c>
      <c r="CQ1372">
        <v>0</v>
      </c>
      <c r="CR1372">
        <v>0</v>
      </c>
      <c r="CS1372">
        <v>0</v>
      </c>
      <c r="CT1372" t="s">
        <v>111</v>
      </c>
      <c r="CU1372">
        <v>0</v>
      </c>
      <c r="CV1372" t="s">
        <v>111</v>
      </c>
      <c r="CW1372" t="s">
        <v>111</v>
      </c>
      <c r="CX1372" t="s">
        <v>111</v>
      </c>
      <c r="CY1372">
        <v>0</v>
      </c>
      <c r="CZ1372" t="s">
        <v>111</v>
      </c>
      <c r="DA1372" t="s">
        <v>111</v>
      </c>
      <c r="DB1372" t="s">
        <v>111</v>
      </c>
      <c r="DC1372" t="s">
        <v>111</v>
      </c>
    </row>
    <row r="1373" spans="1:107">
      <c r="A1373">
        <v>187</v>
      </c>
      <c r="B1373" t="s">
        <v>162</v>
      </c>
      <c r="C1373" t="s">
        <v>3919</v>
      </c>
      <c r="D1373" t="s">
        <v>3920</v>
      </c>
      <c r="E1373" t="s">
        <v>3921</v>
      </c>
      <c r="F1373" t="s">
        <v>1071</v>
      </c>
      <c r="G1373" t="s">
        <v>24</v>
      </c>
      <c r="H1373">
        <v>1</v>
      </c>
      <c r="I1373">
        <v>40</v>
      </c>
      <c r="J1373">
        <v>0</v>
      </c>
      <c r="K1373">
        <v>0</v>
      </c>
      <c r="L1373" t="s">
        <v>112</v>
      </c>
      <c r="M1373" t="s">
        <v>138</v>
      </c>
      <c r="N1373">
        <v>0</v>
      </c>
      <c r="O1373">
        <v>0</v>
      </c>
      <c r="P1373" t="s">
        <v>138</v>
      </c>
      <c r="Q1373">
        <v>35</v>
      </c>
      <c r="R1373">
        <v>0</v>
      </c>
      <c r="S1373">
        <v>0</v>
      </c>
      <c r="T1373">
        <v>0</v>
      </c>
      <c r="U1373" t="s">
        <v>153</v>
      </c>
      <c r="V1373">
        <v>0</v>
      </c>
      <c r="W1373">
        <v>0</v>
      </c>
      <c r="X1373">
        <v>0</v>
      </c>
      <c r="Y1373">
        <v>25</v>
      </c>
      <c r="Z1373" t="s">
        <v>111</v>
      </c>
      <c r="AA1373">
        <v>0</v>
      </c>
      <c r="AB1373" t="s">
        <v>111</v>
      </c>
      <c r="AC1373">
        <v>0</v>
      </c>
      <c r="AD1373" t="s">
        <v>111</v>
      </c>
      <c r="AE1373">
        <v>0</v>
      </c>
      <c r="AF1373">
        <v>0</v>
      </c>
      <c r="AG1373" t="s">
        <v>111</v>
      </c>
      <c r="AH1373" t="s">
        <v>111</v>
      </c>
      <c r="AI1373" t="s">
        <v>111</v>
      </c>
      <c r="AJ1373" t="s">
        <v>111</v>
      </c>
      <c r="AK1373" t="s">
        <v>111</v>
      </c>
      <c r="AL1373" t="s">
        <v>111</v>
      </c>
      <c r="AM1373">
        <v>0</v>
      </c>
      <c r="AN1373">
        <v>0</v>
      </c>
      <c r="AO1373">
        <v>0</v>
      </c>
      <c r="AP1373" t="s">
        <v>111</v>
      </c>
      <c r="AQ1373" t="s">
        <v>111</v>
      </c>
      <c r="AR1373" t="s">
        <v>111</v>
      </c>
      <c r="AS1373" t="s">
        <v>111</v>
      </c>
      <c r="AT1373" t="s">
        <v>111</v>
      </c>
      <c r="AU1373" t="s">
        <v>111</v>
      </c>
      <c r="AV1373" t="s">
        <v>111</v>
      </c>
      <c r="AW1373" t="s">
        <v>111</v>
      </c>
      <c r="AX1373" t="s">
        <v>111</v>
      </c>
      <c r="AY1373" t="s">
        <v>111</v>
      </c>
      <c r="AZ1373" t="s">
        <v>111</v>
      </c>
      <c r="BA1373" t="s">
        <v>111</v>
      </c>
      <c r="BB1373" t="s">
        <v>111</v>
      </c>
      <c r="BC1373" t="s">
        <v>111</v>
      </c>
      <c r="BD1373" t="s">
        <v>111</v>
      </c>
      <c r="BE1373" t="s">
        <v>111</v>
      </c>
      <c r="BF1373" t="s">
        <v>111</v>
      </c>
      <c r="BG1373" t="s">
        <v>111</v>
      </c>
      <c r="BH1373" t="s">
        <v>111</v>
      </c>
      <c r="BI1373" t="s">
        <v>111</v>
      </c>
      <c r="BJ1373" t="s">
        <v>111</v>
      </c>
      <c r="BK1373" t="s">
        <v>111</v>
      </c>
      <c r="BL1373" t="s">
        <v>111</v>
      </c>
      <c r="BM1373" t="s">
        <v>111</v>
      </c>
      <c r="BN1373" t="s">
        <v>111</v>
      </c>
      <c r="BO1373" t="s">
        <v>111</v>
      </c>
      <c r="BP1373" t="s">
        <v>111</v>
      </c>
      <c r="BQ1373" t="s">
        <v>111</v>
      </c>
      <c r="BR1373" t="s">
        <v>111</v>
      </c>
      <c r="BS1373" t="s">
        <v>111</v>
      </c>
      <c r="BT1373" t="s">
        <v>111</v>
      </c>
      <c r="BU1373" t="s">
        <v>111</v>
      </c>
      <c r="BV1373" t="s">
        <v>111</v>
      </c>
      <c r="BW1373" t="s">
        <v>111</v>
      </c>
      <c r="BX1373" t="s">
        <v>111</v>
      </c>
      <c r="BY1373" t="s">
        <v>111</v>
      </c>
      <c r="BZ1373" t="s">
        <v>111</v>
      </c>
      <c r="CA1373" t="s">
        <v>111</v>
      </c>
      <c r="CB1373" t="s">
        <v>111</v>
      </c>
      <c r="CC1373" t="s">
        <v>111</v>
      </c>
      <c r="CD1373" t="s">
        <v>111</v>
      </c>
      <c r="CE1373" t="s">
        <v>111</v>
      </c>
      <c r="CF1373" t="s">
        <v>111</v>
      </c>
      <c r="CG1373" t="s">
        <v>111</v>
      </c>
      <c r="CH1373" t="s">
        <v>111</v>
      </c>
      <c r="CI1373" t="s">
        <v>111</v>
      </c>
      <c r="CJ1373" t="s">
        <v>111</v>
      </c>
      <c r="CK1373" t="s">
        <v>111</v>
      </c>
      <c r="CL1373" t="s">
        <v>111</v>
      </c>
      <c r="CM1373" t="s">
        <v>198</v>
      </c>
      <c r="CN1373" t="s">
        <v>113</v>
      </c>
      <c r="CO1373" t="s">
        <v>111</v>
      </c>
      <c r="CP1373" t="s">
        <v>111</v>
      </c>
      <c r="CQ1373">
        <v>0</v>
      </c>
      <c r="CR1373">
        <v>0</v>
      </c>
      <c r="CS1373">
        <v>0</v>
      </c>
      <c r="CT1373" s="1" t="s">
        <v>3922</v>
      </c>
      <c r="CU1373">
        <v>0</v>
      </c>
      <c r="CV1373" t="s">
        <v>111</v>
      </c>
      <c r="CW1373" t="s">
        <v>111</v>
      </c>
      <c r="CX1373" t="s">
        <v>111</v>
      </c>
      <c r="CY1373">
        <v>0</v>
      </c>
      <c r="CZ1373" t="s">
        <v>111</v>
      </c>
      <c r="DA1373" t="s">
        <v>111</v>
      </c>
      <c r="DB1373" t="s">
        <v>111</v>
      </c>
      <c r="DC1373" t="s">
        <v>111</v>
      </c>
    </row>
    <row r="1374" spans="1:107">
      <c r="A1374">
        <v>188</v>
      </c>
      <c r="B1374" t="s">
        <v>162</v>
      </c>
      <c r="C1374" t="s">
        <v>3919</v>
      </c>
      <c r="D1374" t="s">
        <v>3923</v>
      </c>
      <c r="E1374" t="s">
        <v>3924</v>
      </c>
      <c r="F1374" t="s">
        <v>1071</v>
      </c>
      <c r="G1374" t="s">
        <v>24</v>
      </c>
      <c r="H1374">
        <v>1</v>
      </c>
      <c r="I1374">
        <v>40</v>
      </c>
      <c r="J1374">
        <v>0</v>
      </c>
      <c r="K1374">
        <v>0</v>
      </c>
      <c r="L1374" t="s">
        <v>112</v>
      </c>
      <c r="M1374" t="s">
        <v>138</v>
      </c>
      <c r="N1374">
        <v>0</v>
      </c>
      <c r="O1374">
        <v>0</v>
      </c>
      <c r="P1374" t="s">
        <v>138</v>
      </c>
      <c r="Q1374">
        <v>35</v>
      </c>
      <c r="R1374">
        <v>0</v>
      </c>
      <c r="S1374">
        <v>0</v>
      </c>
      <c r="T1374">
        <v>0</v>
      </c>
      <c r="U1374" t="s">
        <v>153</v>
      </c>
      <c r="V1374">
        <v>0</v>
      </c>
      <c r="W1374">
        <v>0</v>
      </c>
      <c r="X1374">
        <v>0</v>
      </c>
      <c r="Y1374">
        <v>25</v>
      </c>
      <c r="Z1374" t="s">
        <v>111</v>
      </c>
      <c r="AA1374">
        <v>0</v>
      </c>
      <c r="AB1374" t="s">
        <v>111</v>
      </c>
      <c r="AC1374">
        <v>0</v>
      </c>
      <c r="AD1374" t="s">
        <v>111</v>
      </c>
      <c r="AE1374">
        <v>0</v>
      </c>
      <c r="AF1374">
        <v>0</v>
      </c>
      <c r="AG1374" t="s">
        <v>111</v>
      </c>
      <c r="AH1374" t="s">
        <v>111</v>
      </c>
      <c r="AI1374" t="s">
        <v>111</v>
      </c>
      <c r="AJ1374" t="s">
        <v>111</v>
      </c>
      <c r="AK1374" t="s">
        <v>111</v>
      </c>
      <c r="AL1374" t="s">
        <v>111</v>
      </c>
      <c r="AM1374">
        <v>0</v>
      </c>
      <c r="AN1374">
        <v>0</v>
      </c>
      <c r="AO1374">
        <v>0</v>
      </c>
      <c r="AP1374" t="s">
        <v>111</v>
      </c>
      <c r="AQ1374" t="s">
        <v>111</v>
      </c>
      <c r="AR1374" t="s">
        <v>111</v>
      </c>
      <c r="AS1374" t="s">
        <v>111</v>
      </c>
      <c r="AT1374" t="s">
        <v>111</v>
      </c>
      <c r="AU1374" t="s">
        <v>111</v>
      </c>
      <c r="AV1374" t="s">
        <v>111</v>
      </c>
      <c r="AW1374" t="s">
        <v>111</v>
      </c>
      <c r="AX1374" t="s">
        <v>111</v>
      </c>
      <c r="AY1374" t="s">
        <v>111</v>
      </c>
      <c r="AZ1374" t="s">
        <v>111</v>
      </c>
      <c r="BA1374" t="s">
        <v>111</v>
      </c>
      <c r="BB1374" t="s">
        <v>111</v>
      </c>
      <c r="BC1374" t="s">
        <v>111</v>
      </c>
      <c r="BD1374" t="s">
        <v>111</v>
      </c>
      <c r="BE1374" t="s">
        <v>111</v>
      </c>
      <c r="BF1374" t="s">
        <v>111</v>
      </c>
      <c r="BG1374" t="s">
        <v>111</v>
      </c>
      <c r="BH1374" t="s">
        <v>111</v>
      </c>
      <c r="BI1374" t="s">
        <v>111</v>
      </c>
      <c r="BJ1374" t="s">
        <v>111</v>
      </c>
      <c r="BK1374" t="s">
        <v>111</v>
      </c>
      <c r="BL1374" t="s">
        <v>111</v>
      </c>
      <c r="BM1374" t="s">
        <v>111</v>
      </c>
      <c r="BN1374" t="s">
        <v>111</v>
      </c>
      <c r="BO1374" t="s">
        <v>111</v>
      </c>
      <c r="BP1374" t="s">
        <v>111</v>
      </c>
      <c r="BQ1374" t="s">
        <v>111</v>
      </c>
      <c r="BR1374" t="s">
        <v>111</v>
      </c>
      <c r="BS1374" t="s">
        <v>111</v>
      </c>
      <c r="BT1374" t="s">
        <v>111</v>
      </c>
      <c r="BU1374" t="s">
        <v>111</v>
      </c>
      <c r="BV1374" t="s">
        <v>111</v>
      </c>
      <c r="BW1374" t="s">
        <v>111</v>
      </c>
      <c r="BX1374" t="s">
        <v>111</v>
      </c>
      <c r="BY1374" t="s">
        <v>111</v>
      </c>
      <c r="BZ1374" t="s">
        <v>111</v>
      </c>
      <c r="CA1374" t="s">
        <v>111</v>
      </c>
      <c r="CB1374" t="s">
        <v>111</v>
      </c>
      <c r="CC1374" t="s">
        <v>111</v>
      </c>
      <c r="CD1374" t="s">
        <v>111</v>
      </c>
      <c r="CE1374" t="s">
        <v>111</v>
      </c>
      <c r="CF1374" t="s">
        <v>111</v>
      </c>
      <c r="CG1374" t="s">
        <v>111</v>
      </c>
      <c r="CH1374" t="s">
        <v>111</v>
      </c>
      <c r="CI1374" t="s">
        <v>111</v>
      </c>
      <c r="CJ1374" t="s">
        <v>111</v>
      </c>
      <c r="CK1374" t="s">
        <v>111</v>
      </c>
      <c r="CL1374" t="s">
        <v>111</v>
      </c>
      <c r="CM1374" t="s">
        <v>198</v>
      </c>
      <c r="CN1374" t="s">
        <v>113</v>
      </c>
      <c r="CO1374" t="s">
        <v>111</v>
      </c>
      <c r="CP1374" t="s">
        <v>111</v>
      </c>
      <c r="CQ1374">
        <v>0</v>
      </c>
      <c r="CR1374">
        <v>0</v>
      </c>
      <c r="CS1374">
        <v>0</v>
      </c>
      <c r="CT1374" s="1" t="s">
        <v>3922</v>
      </c>
      <c r="CU1374">
        <v>0</v>
      </c>
      <c r="CV1374" t="s">
        <v>111</v>
      </c>
      <c r="CW1374" t="s">
        <v>111</v>
      </c>
      <c r="CX1374" t="s">
        <v>111</v>
      </c>
      <c r="CY1374">
        <v>0</v>
      </c>
      <c r="CZ1374" t="s">
        <v>111</v>
      </c>
      <c r="DA1374" t="s">
        <v>111</v>
      </c>
      <c r="DB1374" t="s">
        <v>111</v>
      </c>
      <c r="DC1374" t="s">
        <v>111</v>
      </c>
    </row>
    <row r="1375" spans="1:107">
      <c r="A1375">
        <v>200</v>
      </c>
      <c r="B1375" t="s">
        <v>162</v>
      </c>
      <c r="C1375" t="s">
        <v>3925</v>
      </c>
      <c r="D1375" t="s">
        <v>3926</v>
      </c>
      <c r="E1375" t="s">
        <v>3927</v>
      </c>
      <c r="F1375" t="s">
        <v>110</v>
      </c>
      <c r="G1375" t="s">
        <v>24</v>
      </c>
      <c r="H1375">
        <v>0.85</v>
      </c>
      <c r="I1375">
        <v>30</v>
      </c>
      <c r="J1375">
        <v>0</v>
      </c>
      <c r="K1375">
        <v>0</v>
      </c>
      <c r="L1375" t="s">
        <v>112</v>
      </c>
      <c r="M1375" t="s">
        <v>138</v>
      </c>
      <c r="N1375">
        <v>0</v>
      </c>
      <c r="O1375">
        <v>0</v>
      </c>
      <c r="P1375" t="s">
        <v>138</v>
      </c>
      <c r="Q1375">
        <v>40</v>
      </c>
      <c r="R1375">
        <v>0</v>
      </c>
      <c r="S1375">
        <v>0</v>
      </c>
      <c r="T1375">
        <v>0</v>
      </c>
      <c r="U1375" t="s">
        <v>168</v>
      </c>
      <c r="V1375">
        <v>0</v>
      </c>
      <c r="W1375">
        <v>0</v>
      </c>
      <c r="X1375">
        <v>0</v>
      </c>
      <c r="Y1375">
        <v>25</v>
      </c>
      <c r="Z1375" t="s">
        <v>111</v>
      </c>
      <c r="AA1375">
        <v>0</v>
      </c>
      <c r="AB1375" t="s">
        <v>111</v>
      </c>
      <c r="AC1375">
        <v>0</v>
      </c>
      <c r="AD1375" t="s">
        <v>111</v>
      </c>
      <c r="AE1375">
        <v>0</v>
      </c>
      <c r="AF1375">
        <v>0</v>
      </c>
      <c r="AG1375" t="s">
        <v>111</v>
      </c>
      <c r="AH1375" t="s">
        <v>111</v>
      </c>
      <c r="AI1375" t="s">
        <v>111</v>
      </c>
      <c r="AJ1375" t="s">
        <v>111</v>
      </c>
      <c r="AK1375" t="s">
        <v>111</v>
      </c>
      <c r="AL1375" t="s">
        <v>111</v>
      </c>
      <c r="AM1375">
        <v>0</v>
      </c>
      <c r="AN1375">
        <v>0</v>
      </c>
      <c r="AO1375">
        <v>0</v>
      </c>
      <c r="AP1375" t="s">
        <v>111</v>
      </c>
      <c r="AQ1375" t="s">
        <v>111</v>
      </c>
      <c r="AR1375" t="s">
        <v>111</v>
      </c>
      <c r="AS1375" t="s">
        <v>111</v>
      </c>
      <c r="AT1375" t="s">
        <v>111</v>
      </c>
      <c r="AU1375" t="s">
        <v>111</v>
      </c>
      <c r="AV1375" t="s">
        <v>111</v>
      </c>
      <c r="AW1375" t="s">
        <v>111</v>
      </c>
      <c r="AX1375" t="s">
        <v>111</v>
      </c>
      <c r="AY1375" t="s">
        <v>111</v>
      </c>
      <c r="AZ1375" t="s">
        <v>111</v>
      </c>
      <c r="BA1375" t="s">
        <v>111</v>
      </c>
      <c r="BB1375" t="s">
        <v>111</v>
      </c>
      <c r="BC1375" t="s">
        <v>111</v>
      </c>
      <c r="BD1375" t="s">
        <v>111</v>
      </c>
      <c r="BE1375" t="s">
        <v>111</v>
      </c>
      <c r="BF1375" t="s">
        <v>111</v>
      </c>
      <c r="BG1375" t="s">
        <v>111</v>
      </c>
      <c r="BH1375" t="s">
        <v>111</v>
      </c>
      <c r="BI1375" t="s">
        <v>111</v>
      </c>
      <c r="BJ1375" t="s">
        <v>111</v>
      </c>
      <c r="BK1375" t="s">
        <v>111</v>
      </c>
      <c r="BL1375" t="s">
        <v>111</v>
      </c>
      <c r="BM1375" t="s">
        <v>111</v>
      </c>
      <c r="BN1375" t="s">
        <v>111</v>
      </c>
      <c r="BO1375" t="s">
        <v>111</v>
      </c>
      <c r="BP1375" t="s">
        <v>111</v>
      </c>
      <c r="BQ1375" t="s">
        <v>111</v>
      </c>
      <c r="BR1375" t="s">
        <v>111</v>
      </c>
      <c r="BS1375" t="s">
        <v>111</v>
      </c>
      <c r="BT1375" t="s">
        <v>111</v>
      </c>
      <c r="BU1375" t="s">
        <v>111</v>
      </c>
      <c r="BV1375" t="s">
        <v>111</v>
      </c>
      <c r="BW1375" t="s">
        <v>111</v>
      </c>
      <c r="BX1375" t="s">
        <v>111</v>
      </c>
      <c r="BY1375" t="s">
        <v>111</v>
      </c>
      <c r="BZ1375" t="s">
        <v>111</v>
      </c>
      <c r="CA1375" t="s">
        <v>111</v>
      </c>
      <c r="CB1375" t="s">
        <v>111</v>
      </c>
      <c r="CC1375" t="s">
        <v>111</v>
      </c>
      <c r="CD1375" t="s">
        <v>111</v>
      </c>
      <c r="CE1375" t="s">
        <v>111</v>
      </c>
      <c r="CF1375" t="s">
        <v>111</v>
      </c>
      <c r="CG1375" t="s">
        <v>111</v>
      </c>
      <c r="CH1375" t="s">
        <v>111</v>
      </c>
      <c r="CI1375" t="s">
        <v>111</v>
      </c>
      <c r="CJ1375" t="s">
        <v>111</v>
      </c>
      <c r="CK1375" t="s">
        <v>111</v>
      </c>
      <c r="CL1375" t="s">
        <v>111</v>
      </c>
      <c r="CM1375" t="s">
        <v>111</v>
      </c>
      <c r="CN1375" t="s">
        <v>111</v>
      </c>
      <c r="CO1375" t="s">
        <v>111</v>
      </c>
      <c r="CP1375" t="s">
        <v>111</v>
      </c>
      <c r="CQ1375">
        <v>0</v>
      </c>
      <c r="CR1375">
        <v>0</v>
      </c>
      <c r="CS1375">
        <v>0</v>
      </c>
      <c r="CT1375" t="s">
        <v>111</v>
      </c>
      <c r="CU1375">
        <v>0</v>
      </c>
      <c r="CV1375" t="s">
        <v>111</v>
      </c>
      <c r="CW1375" t="s">
        <v>111</v>
      </c>
      <c r="CX1375" t="s">
        <v>111</v>
      </c>
      <c r="CY1375">
        <v>0</v>
      </c>
      <c r="CZ1375" t="s">
        <v>111</v>
      </c>
      <c r="DA1375" t="s">
        <v>111</v>
      </c>
      <c r="DB1375" t="s">
        <v>111</v>
      </c>
      <c r="DC1375" t="s">
        <v>111</v>
      </c>
    </row>
    <row r="1376" spans="1:107">
      <c r="A1376">
        <v>393</v>
      </c>
      <c r="B1376" t="s">
        <v>162</v>
      </c>
      <c r="C1376" t="s">
        <v>226</v>
      </c>
      <c r="D1376" t="s">
        <v>3928</v>
      </c>
      <c r="E1376" t="s">
        <v>3929</v>
      </c>
      <c r="F1376" t="s">
        <v>1071</v>
      </c>
      <c r="G1376" t="s">
        <v>24</v>
      </c>
      <c r="H1376">
        <v>1.5</v>
      </c>
      <c r="I1376">
        <v>45.5</v>
      </c>
      <c r="J1376">
        <v>0</v>
      </c>
      <c r="K1376">
        <v>0</v>
      </c>
      <c r="L1376" t="s">
        <v>112</v>
      </c>
      <c r="M1376" t="s">
        <v>138</v>
      </c>
      <c r="N1376">
        <v>0</v>
      </c>
      <c r="O1376">
        <v>0</v>
      </c>
      <c r="P1376" t="s">
        <v>138</v>
      </c>
      <c r="Q1376">
        <v>35</v>
      </c>
      <c r="R1376">
        <v>0</v>
      </c>
      <c r="S1376">
        <v>0</v>
      </c>
      <c r="T1376">
        <v>0</v>
      </c>
      <c r="U1376" t="s">
        <v>153</v>
      </c>
      <c r="V1376">
        <v>0</v>
      </c>
      <c r="W1376">
        <v>0</v>
      </c>
      <c r="X1376">
        <v>0</v>
      </c>
      <c r="Y1376">
        <v>25</v>
      </c>
      <c r="Z1376" t="s">
        <v>111</v>
      </c>
      <c r="AA1376">
        <v>0</v>
      </c>
      <c r="AB1376" t="s">
        <v>111</v>
      </c>
      <c r="AC1376">
        <v>0</v>
      </c>
      <c r="AD1376" t="s">
        <v>111</v>
      </c>
      <c r="AE1376">
        <v>0</v>
      </c>
      <c r="AF1376">
        <v>0</v>
      </c>
      <c r="AG1376" t="s">
        <v>111</v>
      </c>
      <c r="AH1376" t="s">
        <v>111</v>
      </c>
      <c r="AI1376" t="s">
        <v>111</v>
      </c>
      <c r="AJ1376" t="s">
        <v>111</v>
      </c>
      <c r="AK1376" t="s">
        <v>111</v>
      </c>
      <c r="AL1376" t="s">
        <v>111</v>
      </c>
      <c r="AM1376">
        <v>0</v>
      </c>
      <c r="AN1376">
        <v>0</v>
      </c>
      <c r="AO1376">
        <v>0</v>
      </c>
      <c r="AP1376" t="s">
        <v>111</v>
      </c>
      <c r="AQ1376" t="s">
        <v>111</v>
      </c>
      <c r="AR1376" t="s">
        <v>111</v>
      </c>
      <c r="AS1376" t="s">
        <v>111</v>
      </c>
      <c r="AT1376" t="s">
        <v>111</v>
      </c>
      <c r="AU1376" t="s">
        <v>111</v>
      </c>
      <c r="AV1376" t="s">
        <v>111</v>
      </c>
      <c r="AW1376" t="s">
        <v>111</v>
      </c>
      <c r="AX1376" t="s">
        <v>111</v>
      </c>
      <c r="AY1376" t="s">
        <v>111</v>
      </c>
      <c r="AZ1376" t="s">
        <v>111</v>
      </c>
      <c r="BA1376" t="s">
        <v>111</v>
      </c>
      <c r="BB1376" t="s">
        <v>111</v>
      </c>
      <c r="BC1376" t="s">
        <v>111</v>
      </c>
      <c r="BD1376" t="s">
        <v>111</v>
      </c>
      <c r="BE1376" t="s">
        <v>111</v>
      </c>
      <c r="BF1376" t="s">
        <v>111</v>
      </c>
      <c r="BG1376" t="s">
        <v>111</v>
      </c>
      <c r="BH1376" t="s">
        <v>111</v>
      </c>
      <c r="BI1376" t="s">
        <v>111</v>
      </c>
      <c r="BJ1376" t="s">
        <v>111</v>
      </c>
      <c r="BK1376" t="s">
        <v>111</v>
      </c>
      <c r="BL1376" t="s">
        <v>111</v>
      </c>
      <c r="BM1376" t="s">
        <v>111</v>
      </c>
      <c r="BN1376" t="s">
        <v>111</v>
      </c>
      <c r="BO1376" t="s">
        <v>111</v>
      </c>
      <c r="BP1376" t="s">
        <v>111</v>
      </c>
      <c r="BQ1376" t="s">
        <v>111</v>
      </c>
      <c r="BR1376" t="s">
        <v>111</v>
      </c>
      <c r="BS1376" t="s">
        <v>111</v>
      </c>
      <c r="BT1376" t="s">
        <v>111</v>
      </c>
      <c r="BU1376" t="s">
        <v>111</v>
      </c>
      <c r="BV1376" t="s">
        <v>111</v>
      </c>
      <c r="BW1376" t="s">
        <v>111</v>
      </c>
      <c r="BX1376" t="s">
        <v>111</v>
      </c>
      <c r="BY1376" t="s">
        <v>111</v>
      </c>
      <c r="BZ1376" t="s">
        <v>111</v>
      </c>
      <c r="CA1376" t="s">
        <v>111</v>
      </c>
      <c r="CB1376" t="s">
        <v>111</v>
      </c>
      <c r="CC1376" t="s">
        <v>111</v>
      </c>
      <c r="CD1376" t="s">
        <v>111</v>
      </c>
      <c r="CE1376" t="s">
        <v>111</v>
      </c>
      <c r="CF1376" t="s">
        <v>111</v>
      </c>
      <c r="CG1376" t="s">
        <v>111</v>
      </c>
      <c r="CH1376" t="s">
        <v>111</v>
      </c>
      <c r="CI1376" t="s">
        <v>111</v>
      </c>
      <c r="CJ1376" t="s">
        <v>111</v>
      </c>
      <c r="CK1376" t="s">
        <v>111</v>
      </c>
      <c r="CL1376" t="s">
        <v>111</v>
      </c>
      <c r="CM1376" t="s">
        <v>198</v>
      </c>
      <c r="CN1376" t="s">
        <v>113</v>
      </c>
      <c r="CO1376" t="s">
        <v>111</v>
      </c>
      <c r="CP1376" t="s">
        <v>111</v>
      </c>
      <c r="CQ1376">
        <v>0</v>
      </c>
      <c r="CR1376">
        <v>0</v>
      </c>
      <c r="CS1376">
        <v>0</v>
      </c>
      <c r="CT1376" t="s">
        <v>153</v>
      </c>
      <c r="CU1376">
        <v>0</v>
      </c>
      <c r="CV1376" t="s">
        <v>111</v>
      </c>
      <c r="CW1376" t="s">
        <v>111</v>
      </c>
      <c r="CX1376" t="s">
        <v>111</v>
      </c>
      <c r="CY1376">
        <v>0</v>
      </c>
      <c r="CZ1376" t="s">
        <v>111</v>
      </c>
      <c r="DA1376" t="s">
        <v>111</v>
      </c>
      <c r="DB1376" t="s">
        <v>111</v>
      </c>
      <c r="DC1376" t="s">
        <v>111</v>
      </c>
    </row>
    <row r="1377" spans="1:107">
      <c r="A1377">
        <v>275</v>
      </c>
      <c r="B1377" t="s">
        <v>162</v>
      </c>
      <c r="C1377" t="s">
        <v>3801</v>
      </c>
      <c r="D1377" t="s">
        <v>3930</v>
      </c>
      <c r="E1377" t="s">
        <v>3931</v>
      </c>
      <c r="F1377" t="s">
        <v>110</v>
      </c>
      <c r="G1377" t="s">
        <v>24</v>
      </c>
      <c r="H1377">
        <v>1</v>
      </c>
      <c r="I1377">
        <v>45</v>
      </c>
      <c r="J1377">
        <v>0</v>
      </c>
      <c r="K1377">
        <v>0</v>
      </c>
      <c r="L1377" t="s">
        <v>112</v>
      </c>
      <c r="M1377" t="s">
        <v>138</v>
      </c>
      <c r="N1377">
        <v>0</v>
      </c>
      <c r="O1377">
        <v>0</v>
      </c>
      <c r="P1377" t="s">
        <v>138</v>
      </c>
      <c r="Q1377">
        <v>40</v>
      </c>
      <c r="R1377">
        <v>0</v>
      </c>
      <c r="S1377">
        <v>0</v>
      </c>
      <c r="T1377">
        <v>0</v>
      </c>
      <c r="U1377" s="1" t="s">
        <v>3932</v>
      </c>
      <c r="V1377">
        <v>0</v>
      </c>
      <c r="W1377">
        <v>0</v>
      </c>
      <c r="X1377">
        <v>0</v>
      </c>
      <c r="Y1377">
        <v>25</v>
      </c>
      <c r="Z1377" t="s">
        <v>111</v>
      </c>
      <c r="AA1377">
        <v>0</v>
      </c>
      <c r="AB1377" t="s">
        <v>111</v>
      </c>
      <c r="AC1377">
        <v>0</v>
      </c>
      <c r="AD1377" t="s">
        <v>111</v>
      </c>
      <c r="AE1377">
        <v>0</v>
      </c>
      <c r="AF1377">
        <v>0</v>
      </c>
      <c r="AG1377" t="s">
        <v>111</v>
      </c>
      <c r="AH1377" t="s">
        <v>111</v>
      </c>
      <c r="AI1377" t="s">
        <v>111</v>
      </c>
      <c r="AJ1377" t="s">
        <v>111</v>
      </c>
      <c r="AK1377" t="s">
        <v>111</v>
      </c>
      <c r="AL1377" t="s">
        <v>111</v>
      </c>
      <c r="AM1377">
        <v>0</v>
      </c>
      <c r="AN1377">
        <v>0</v>
      </c>
      <c r="AO1377">
        <v>0</v>
      </c>
      <c r="AP1377" t="s">
        <v>111</v>
      </c>
      <c r="AQ1377" t="s">
        <v>111</v>
      </c>
      <c r="AR1377" t="s">
        <v>111</v>
      </c>
      <c r="AS1377" t="s">
        <v>111</v>
      </c>
      <c r="AT1377" t="s">
        <v>111</v>
      </c>
      <c r="AU1377" t="s">
        <v>111</v>
      </c>
      <c r="AV1377" t="s">
        <v>111</v>
      </c>
      <c r="AW1377" t="s">
        <v>111</v>
      </c>
      <c r="AX1377" t="s">
        <v>111</v>
      </c>
      <c r="AY1377" t="s">
        <v>111</v>
      </c>
      <c r="AZ1377" t="s">
        <v>111</v>
      </c>
      <c r="BA1377" t="s">
        <v>111</v>
      </c>
      <c r="BB1377" t="s">
        <v>111</v>
      </c>
      <c r="BC1377" t="s">
        <v>111</v>
      </c>
      <c r="BD1377" t="s">
        <v>111</v>
      </c>
      <c r="BE1377" t="s">
        <v>111</v>
      </c>
      <c r="BF1377" t="s">
        <v>111</v>
      </c>
      <c r="BG1377" t="s">
        <v>111</v>
      </c>
      <c r="BH1377" t="s">
        <v>111</v>
      </c>
      <c r="BI1377" t="s">
        <v>111</v>
      </c>
      <c r="BJ1377" t="s">
        <v>111</v>
      </c>
      <c r="BK1377" t="s">
        <v>111</v>
      </c>
      <c r="BL1377" t="s">
        <v>111</v>
      </c>
      <c r="BM1377" t="s">
        <v>111</v>
      </c>
      <c r="BN1377" t="s">
        <v>111</v>
      </c>
      <c r="BO1377" t="s">
        <v>111</v>
      </c>
      <c r="BP1377" t="s">
        <v>111</v>
      </c>
      <c r="BQ1377" t="s">
        <v>111</v>
      </c>
      <c r="BR1377" t="s">
        <v>111</v>
      </c>
      <c r="BS1377" t="s">
        <v>111</v>
      </c>
      <c r="BT1377" t="s">
        <v>111</v>
      </c>
      <c r="BU1377" t="s">
        <v>111</v>
      </c>
      <c r="BV1377" t="s">
        <v>111</v>
      </c>
      <c r="BW1377" t="s">
        <v>111</v>
      </c>
      <c r="BX1377" t="s">
        <v>111</v>
      </c>
      <c r="BY1377" t="s">
        <v>111</v>
      </c>
      <c r="BZ1377" t="s">
        <v>111</v>
      </c>
      <c r="CA1377" t="s">
        <v>111</v>
      </c>
      <c r="CB1377" t="s">
        <v>111</v>
      </c>
      <c r="CC1377" t="s">
        <v>111</v>
      </c>
      <c r="CD1377" t="s">
        <v>111</v>
      </c>
      <c r="CE1377" t="s">
        <v>111</v>
      </c>
      <c r="CF1377" t="s">
        <v>111</v>
      </c>
      <c r="CG1377" t="s">
        <v>111</v>
      </c>
      <c r="CH1377" t="s">
        <v>111</v>
      </c>
      <c r="CI1377" t="s">
        <v>111</v>
      </c>
      <c r="CJ1377" t="s">
        <v>111</v>
      </c>
      <c r="CK1377" t="s">
        <v>111</v>
      </c>
      <c r="CL1377" t="s">
        <v>111</v>
      </c>
      <c r="CM1377" t="s">
        <v>111</v>
      </c>
      <c r="CN1377" t="s">
        <v>111</v>
      </c>
      <c r="CO1377" t="s">
        <v>111</v>
      </c>
      <c r="CP1377" t="s">
        <v>111</v>
      </c>
      <c r="CQ1377">
        <v>0</v>
      </c>
      <c r="CR1377">
        <v>0</v>
      </c>
      <c r="CS1377">
        <v>0</v>
      </c>
      <c r="CT1377" t="s">
        <v>111</v>
      </c>
      <c r="CU1377">
        <v>0</v>
      </c>
      <c r="CV1377" t="s">
        <v>111</v>
      </c>
      <c r="CW1377" t="s">
        <v>111</v>
      </c>
      <c r="CX1377" t="s">
        <v>111</v>
      </c>
      <c r="CY1377">
        <v>0</v>
      </c>
      <c r="CZ1377" t="s">
        <v>111</v>
      </c>
      <c r="DA1377" t="s">
        <v>111</v>
      </c>
      <c r="DB1377" t="s">
        <v>111</v>
      </c>
      <c r="DC1377" t="s">
        <v>111</v>
      </c>
    </row>
    <row r="1378" spans="1:107">
      <c r="A1378">
        <v>184</v>
      </c>
      <c r="B1378" t="s">
        <v>162</v>
      </c>
      <c r="C1378" t="s">
        <v>3933</v>
      </c>
      <c r="D1378" t="s">
        <v>3934</v>
      </c>
      <c r="E1378" t="s">
        <v>3935</v>
      </c>
      <c r="F1378" t="s">
        <v>1071</v>
      </c>
      <c r="G1378" t="s">
        <v>24</v>
      </c>
      <c r="H1378">
        <v>2.4</v>
      </c>
      <c r="I1378">
        <v>55</v>
      </c>
      <c r="J1378">
        <v>0</v>
      </c>
      <c r="K1378">
        <v>0</v>
      </c>
      <c r="L1378" t="s">
        <v>112</v>
      </c>
      <c r="M1378" t="s">
        <v>138</v>
      </c>
      <c r="N1378">
        <v>0</v>
      </c>
      <c r="O1378">
        <v>0</v>
      </c>
      <c r="P1378" t="s">
        <v>138</v>
      </c>
      <c r="Q1378">
        <v>35</v>
      </c>
      <c r="R1378">
        <v>0</v>
      </c>
      <c r="S1378">
        <v>0</v>
      </c>
      <c r="T1378">
        <v>0</v>
      </c>
      <c r="U1378" t="s">
        <v>168</v>
      </c>
      <c r="V1378">
        <v>0</v>
      </c>
      <c r="W1378">
        <v>0</v>
      </c>
      <c r="X1378">
        <v>0</v>
      </c>
      <c r="Y1378">
        <v>25</v>
      </c>
      <c r="Z1378" t="s">
        <v>111</v>
      </c>
      <c r="AA1378">
        <v>0</v>
      </c>
      <c r="AB1378" t="s">
        <v>111</v>
      </c>
      <c r="AC1378">
        <v>0</v>
      </c>
      <c r="AD1378" t="s">
        <v>111</v>
      </c>
      <c r="AE1378">
        <v>0</v>
      </c>
      <c r="AF1378">
        <v>0</v>
      </c>
      <c r="AG1378" t="s">
        <v>111</v>
      </c>
      <c r="AH1378" t="s">
        <v>111</v>
      </c>
      <c r="AI1378" t="s">
        <v>111</v>
      </c>
      <c r="AJ1378" t="s">
        <v>111</v>
      </c>
      <c r="AK1378" t="s">
        <v>111</v>
      </c>
      <c r="AL1378" t="s">
        <v>111</v>
      </c>
      <c r="AM1378">
        <v>0</v>
      </c>
      <c r="AN1378">
        <v>0</v>
      </c>
      <c r="AO1378">
        <v>0</v>
      </c>
      <c r="AP1378" t="s">
        <v>111</v>
      </c>
      <c r="AQ1378" t="s">
        <v>111</v>
      </c>
      <c r="AR1378" t="s">
        <v>111</v>
      </c>
      <c r="AS1378" t="s">
        <v>111</v>
      </c>
      <c r="AT1378" t="s">
        <v>111</v>
      </c>
      <c r="AU1378" t="s">
        <v>111</v>
      </c>
      <c r="AV1378" t="s">
        <v>111</v>
      </c>
      <c r="AW1378" t="s">
        <v>111</v>
      </c>
      <c r="AX1378" t="s">
        <v>111</v>
      </c>
      <c r="AY1378" t="s">
        <v>111</v>
      </c>
      <c r="AZ1378" t="s">
        <v>111</v>
      </c>
      <c r="BA1378" t="s">
        <v>111</v>
      </c>
      <c r="BB1378" t="s">
        <v>111</v>
      </c>
      <c r="BC1378" t="s">
        <v>111</v>
      </c>
      <c r="BD1378" t="s">
        <v>111</v>
      </c>
      <c r="BE1378" t="s">
        <v>111</v>
      </c>
      <c r="BF1378" t="s">
        <v>111</v>
      </c>
      <c r="BG1378" t="s">
        <v>111</v>
      </c>
      <c r="BH1378" t="s">
        <v>111</v>
      </c>
      <c r="BI1378" t="s">
        <v>111</v>
      </c>
      <c r="BJ1378" t="s">
        <v>111</v>
      </c>
      <c r="BK1378" t="s">
        <v>111</v>
      </c>
      <c r="BL1378" t="s">
        <v>111</v>
      </c>
      <c r="BM1378" t="s">
        <v>111</v>
      </c>
      <c r="BN1378" t="s">
        <v>111</v>
      </c>
      <c r="BO1378" t="s">
        <v>111</v>
      </c>
      <c r="BP1378" t="s">
        <v>111</v>
      </c>
      <c r="BQ1378" t="s">
        <v>111</v>
      </c>
      <c r="BR1378" t="s">
        <v>111</v>
      </c>
      <c r="BS1378" t="s">
        <v>111</v>
      </c>
      <c r="BT1378" t="s">
        <v>111</v>
      </c>
      <c r="BU1378" t="s">
        <v>111</v>
      </c>
      <c r="BV1378" t="s">
        <v>111</v>
      </c>
      <c r="BW1378" t="s">
        <v>111</v>
      </c>
      <c r="BX1378" t="s">
        <v>111</v>
      </c>
      <c r="BY1378" t="s">
        <v>111</v>
      </c>
      <c r="BZ1378" t="s">
        <v>111</v>
      </c>
      <c r="CA1378" t="s">
        <v>111</v>
      </c>
      <c r="CB1378" t="s">
        <v>111</v>
      </c>
      <c r="CC1378" t="s">
        <v>111</v>
      </c>
      <c r="CD1378" t="s">
        <v>111</v>
      </c>
      <c r="CE1378" t="s">
        <v>111</v>
      </c>
      <c r="CF1378" t="s">
        <v>111</v>
      </c>
      <c r="CG1378" t="s">
        <v>111</v>
      </c>
      <c r="CH1378" t="s">
        <v>111</v>
      </c>
      <c r="CI1378" t="s">
        <v>111</v>
      </c>
      <c r="CJ1378" t="s">
        <v>111</v>
      </c>
      <c r="CK1378" t="s">
        <v>111</v>
      </c>
      <c r="CL1378" t="s">
        <v>111</v>
      </c>
      <c r="CM1378" t="s">
        <v>198</v>
      </c>
      <c r="CN1378" t="s">
        <v>113</v>
      </c>
      <c r="CO1378" t="s">
        <v>111</v>
      </c>
      <c r="CP1378" t="s">
        <v>111</v>
      </c>
      <c r="CQ1378">
        <v>0</v>
      </c>
      <c r="CR1378">
        <v>0</v>
      </c>
      <c r="CS1378">
        <v>0</v>
      </c>
      <c r="CT1378" t="s">
        <v>168</v>
      </c>
      <c r="CU1378">
        <v>0</v>
      </c>
      <c r="CV1378" t="s">
        <v>111</v>
      </c>
      <c r="CW1378" t="s">
        <v>111</v>
      </c>
      <c r="CX1378" t="s">
        <v>111</v>
      </c>
      <c r="CY1378">
        <v>0</v>
      </c>
      <c r="CZ1378" t="s">
        <v>111</v>
      </c>
      <c r="DA1378" t="s">
        <v>111</v>
      </c>
      <c r="DB1378" t="s">
        <v>111</v>
      </c>
      <c r="DC1378" t="s">
        <v>111</v>
      </c>
    </row>
    <row r="1379" spans="1:107">
      <c r="A1379">
        <v>92</v>
      </c>
      <c r="B1379" t="s">
        <v>162</v>
      </c>
      <c r="C1379" t="s">
        <v>1106</v>
      </c>
      <c r="D1379" t="s">
        <v>3936</v>
      </c>
      <c r="E1379" t="s">
        <v>3937</v>
      </c>
      <c r="F1379" t="s">
        <v>1651</v>
      </c>
      <c r="G1379" t="s">
        <v>24</v>
      </c>
      <c r="H1379">
        <v>1.45</v>
      </c>
      <c r="I1379">
        <v>30</v>
      </c>
      <c r="J1379">
        <v>0</v>
      </c>
      <c r="K1379">
        <v>0</v>
      </c>
      <c r="L1379" t="s">
        <v>112</v>
      </c>
      <c r="M1379" t="s">
        <v>118</v>
      </c>
      <c r="N1379">
        <v>40</v>
      </c>
      <c r="O1379">
        <v>1</v>
      </c>
      <c r="P1379" t="s">
        <v>138</v>
      </c>
      <c r="Q1379">
        <v>30</v>
      </c>
      <c r="R1379">
        <v>0</v>
      </c>
      <c r="S1379">
        <v>0</v>
      </c>
      <c r="T1379">
        <v>0</v>
      </c>
      <c r="U1379" t="s">
        <v>1353</v>
      </c>
      <c r="V1379">
        <v>0</v>
      </c>
      <c r="W1379">
        <v>0</v>
      </c>
      <c r="X1379">
        <v>1</v>
      </c>
      <c r="Y1379">
        <v>0</v>
      </c>
      <c r="Z1379" t="s">
        <v>111</v>
      </c>
      <c r="AA1379">
        <v>0</v>
      </c>
      <c r="AB1379" t="s">
        <v>111</v>
      </c>
      <c r="AC1379">
        <v>0</v>
      </c>
      <c r="AD1379" t="s">
        <v>416</v>
      </c>
      <c r="AE1379">
        <v>0</v>
      </c>
      <c r="AF1379">
        <v>1</v>
      </c>
      <c r="AG1379">
        <v>20</v>
      </c>
      <c r="AH1379" t="s">
        <v>111</v>
      </c>
      <c r="AI1379">
        <v>40</v>
      </c>
      <c r="AJ1379" t="s">
        <v>111</v>
      </c>
      <c r="AK1379" t="s">
        <v>111</v>
      </c>
      <c r="AL1379" t="s">
        <v>111</v>
      </c>
      <c r="AM1379">
        <v>0</v>
      </c>
      <c r="AN1379">
        <v>0</v>
      </c>
      <c r="AO1379">
        <v>0</v>
      </c>
      <c r="AP1379" t="s">
        <v>111</v>
      </c>
      <c r="AQ1379" t="s">
        <v>111</v>
      </c>
      <c r="AR1379" t="s">
        <v>111</v>
      </c>
      <c r="AS1379" t="s">
        <v>111</v>
      </c>
      <c r="AT1379" t="s">
        <v>111</v>
      </c>
      <c r="AU1379" t="s">
        <v>111</v>
      </c>
      <c r="AV1379" t="s">
        <v>111</v>
      </c>
      <c r="AW1379" t="s">
        <v>111</v>
      </c>
      <c r="AX1379" t="s">
        <v>111</v>
      </c>
      <c r="AY1379" t="s">
        <v>111</v>
      </c>
      <c r="AZ1379" t="s">
        <v>111</v>
      </c>
      <c r="BA1379" t="s">
        <v>111</v>
      </c>
      <c r="BB1379" t="s">
        <v>111</v>
      </c>
      <c r="BC1379" t="s">
        <v>111</v>
      </c>
      <c r="BD1379" t="s">
        <v>111</v>
      </c>
      <c r="BE1379" t="s">
        <v>111</v>
      </c>
      <c r="BF1379" t="s">
        <v>111</v>
      </c>
      <c r="BG1379" t="s">
        <v>111</v>
      </c>
      <c r="BH1379" t="s">
        <v>111</v>
      </c>
      <c r="BI1379" t="s">
        <v>111</v>
      </c>
      <c r="BJ1379" t="s">
        <v>111</v>
      </c>
      <c r="BK1379" t="s">
        <v>111</v>
      </c>
      <c r="BL1379" t="s">
        <v>111</v>
      </c>
      <c r="BM1379" t="s">
        <v>111</v>
      </c>
      <c r="BN1379" t="s">
        <v>111</v>
      </c>
      <c r="BO1379" t="s">
        <v>111</v>
      </c>
      <c r="BP1379" t="s">
        <v>111</v>
      </c>
      <c r="BQ1379" t="s">
        <v>111</v>
      </c>
      <c r="BR1379" t="s">
        <v>111</v>
      </c>
      <c r="BS1379" t="s">
        <v>111</v>
      </c>
      <c r="BT1379" t="s">
        <v>111</v>
      </c>
      <c r="BU1379" t="s">
        <v>111</v>
      </c>
      <c r="BV1379" t="s">
        <v>111</v>
      </c>
      <c r="BW1379" t="s">
        <v>111</v>
      </c>
      <c r="BX1379" t="s">
        <v>111</v>
      </c>
      <c r="BY1379" t="s">
        <v>111</v>
      </c>
      <c r="BZ1379" t="s">
        <v>111</v>
      </c>
      <c r="CA1379" t="s">
        <v>111</v>
      </c>
      <c r="CB1379" t="s">
        <v>111</v>
      </c>
      <c r="CC1379" t="s">
        <v>111</v>
      </c>
      <c r="CD1379" t="s">
        <v>111</v>
      </c>
      <c r="CE1379" t="s">
        <v>111</v>
      </c>
      <c r="CF1379" t="s">
        <v>111</v>
      </c>
      <c r="CG1379" t="s">
        <v>111</v>
      </c>
      <c r="CH1379" t="s">
        <v>111</v>
      </c>
      <c r="CI1379" t="s">
        <v>111</v>
      </c>
      <c r="CJ1379" t="s">
        <v>111</v>
      </c>
      <c r="CK1379" t="s">
        <v>111</v>
      </c>
      <c r="CL1379" t="s">
        <v>153</v>
      </c>
      <c r="CM1379" t="s">
        <v>198</v>
      </c>
      <c r="CN1379" t="s">
        <v>113</v>
      </c>
      <c r="CO1379" t="s">
        <v>111</v>
      </c>
      <c r="CP1379" t="s">
        <v>433</v>
      </c>
      <c r="CQ1379">
        <v>0</v>
      </c>
      <c r="CR1379">
        <v>0</v>
      </c>
      <c r="CS1379">
        <v>0</v>
      </c>
      <c r="CT1379" t="s">
        <v>168</v>
      </c>
      <c r="CU1379">
        <v>0</v>
      </c>
      <c r="CV1379" t="s">
        <v>111</v>
      </c>
      <c r="CW1379" t="s">
        <v>111</v>
      </c>
      <c r="CX1379" t="s">
        <v>111</v>
      </c>
      <c r="CY1379">
        <v>0</v>
      </c>
      <c r="CZ1379" t="s">
        <v>111</v>
      </c>
      <c r="DA1379" t="s">
        <v>111</v>
      </c>
      <c r="DB1379" t="s">
        <v>111</v>
      </c>
      <c r="DC1379" t="s">
        <v>111</v>
      </c>
    </row>
    <row r="1380" spans="1:107">
      <c r="A1380">
        <v>438</v>
      </c>
      <c r="B1380" t="s">
        <v>162</v>
      </c>
      <c r="C1380" s="2">
        <v>91226680</v>
      </c>
      <c r="D1380" t="s">
        <v>3938</v>
      </c>
      <c r="E1380" t="s">
        <v>3939</v>
      </c>
      <c r="F1380" t="s">
        <v>110</v>
      </c>
      <c r="G1380" t="s">
        <v>24</v>
      </c>
      <c r="H1380">
        <v>2</v>
      </c>
      <c r="I1380">
        <v>40</v>
      </c>
      <c r="J1380">
        <v>0</v>
      </c>
      <c r="K1380">
        <v>0</v>
      </c>
      <c r="L1380" t="s">
        <v>112</v>
      </c>
      <c r="M1380" t="s">
        <v>138</v>
      </c>
      <c r="N1380">
        <v>0</v>
      </c>
      <c r="O1380">
        <v>0</v>
      </c>
      <c r="P1380" t="s">
        <v>138</v>
      </c>
      <c r="Q1380">
        <v>30</v>
      </c>
      <c r="R1380">
        <v>0</v>
      </c>
      <c r="S1380">
        <v>0</v>
      </c>
      <c r="T1380">
        <v>0</v>
      </c>
      <c r="U1380" t="s">
        <v>168</v>
      </c>
      <c r="V1380">
        <v>0</v>
      </c>
      <c r="W1380">
        <v>0</v>
      </c>
      <c r="X1380">
        <v>0</v>
      </c>
      <c r="Y1380">
        <v>25</v>
      </c>
      <c r="Z1380" t="s">
        <v>111</v>
      </c>
      <c r="AA1380">
        <v>0</v>
      </c>
      <c r="AB1380" t="s">
        <v>111</v>
      </c>
      <c r="AC1380">
        <v>0</v>
      </c>
      <c r="AD1380" t="s">
        <v>111</v>
      </c>
      <c r="AE1380">
        <v>0</v>
      </c>
      <c r="AF1380">
        <v>0</v>
      </c>
      <c r="AG1380" t="s">
        <v>111</v>
      </c>
      <c r="AH1380" t="s">
        <v>111</v>
      </c>
      <c r="AI1380" t="s">
        <v>111</v>
      </c>
      <c r="AJ1380" t="s">
        <v>111</v>
      </c>
      <c r="AK1380" t="s">
        <v>111</v>
      </c>
      <c r="AL1380" t="s">
        <v>111</v>
      </c>
      <c r="AM1380">
        <v>0</v>
      </c>
      <c r="AN1380">
        <v>0</v>
      </c>
      <c r="AO1380">
        <v>0</v>
      </c>
      <c r="AP1380" t="s">
        <v>111</v>
      </c>
      <c r="AQ1380" t="s">
        <v>111</v>
      </c>
      <c r="AR1380" t="s">
        <v>111</v>
      </c>
      <c r="AS1380" t="s">
        <v>111</v>
      </c>
      <c r="AT1380" t="s">
        <v>111</v>
      </c>
      <c r="AU1380" t="s">
        <v>111</v>
      </c>
      <c r="AV1380" t="s">
        <v>111</v>
      </c>
      <c r="AW1380" t="s">
        <v>111</v>
      </c>
      <c r="AX1380" t="s">
        <v>111</v>
      </c>
      <c r="AY1380" t="s">
        <v>111</v>
      </c>
      <c r="AZ1380" t="s">
        <v>111</v>
      </c>
      <c r="BA1380" t="s">
        <v>111</v>
      </c>
      <c r="BB1380" t="s">
        <v>111</v>
      </c>
      <c r="BC1380" t="s">
        <v>111</v>
      </c>
      <c r="BD1380" t="s">
        <v>111</v>
      </c>
      <c r="BE1380" t="s">
        <v>111</v>
      </c>
      <c r="BF1380" t="s">
        <v>111</v>
      </c>
      <c r="BG1380" t="s">
        <v>111</v>
      </c>
      <c r="BH1380" t="s">
        <v>111</v>
      </c>
      <c r="BI1380" t="s">
        <v>111</v>
      </c>
      <c r="BJ1380" t="s">
        <v>111</v>
      </c>
      <c r="BK1380" t="s">
        <v>111</v>
      </c>
      <c r="BL1380" t="s">
        <v>111</v>
      </c>
      <c r="BM1380" t="s">
        <v>111</v>
      </c>
      <c r="BN1380" t="s">
        <v>111</v>
      </c>
      <c r="BO1380" t="s">
        <v>111</v>
      </c>
      <c r="BP1380" t="s">
        <v>111</v>
      </c>
      <c r="BQ1380" t="s">
        <v>111</v>
      </c>
      <c r="BR1380" t="s">
        <v>111</v>
      </c>
      <c r="BS1380" t="s">
        <v>111</v>
      </c>
      <c r="BT1380" t="s">
        <v>111</v>
      </c>
      <c r="BU1380" t="s">
        <v>111</v>
      </c>
      <c r="BV1380" t="s">
        <v>111</v>
      </c>
      <c r="BW1380" t="s">
        <v>111</v>
      </c>
      <c r="BX1380" t="s">
        <v>111</v>
      </c>
      <c r="BY1380" t="s">
        <v>111</v>
      </c>
      <c r="BZ1380" t="s">
        <v>111</v>
      </c>
      <c r="CA1380" t="s">
        <v>111</v>
      </c>
      <c r="CB1380" t="s">
        <v>111</v>
      </c>
      <c r="CC1380" t="s">
        <v>111</v>
      </c>
      <c r="CD1380" t="s">
        <v>111</v>
      </c>
      <c r="CE1380" t="s">
        <v>111</v>
      </c>
      <c r="CF1380" t="s">
        <v>111</v>
      </c>
      <c r="CG1380" t="s">
        <v>111</v>
      </c>
      <c r="CH1380" t="s">
        <v>111</v>
      </c>
      <c r="CI1380" t="s">
        <v>111</v>
      </c>
      <c r="CJ1380" t="s">
        <v>111</v>
      </c>
      <c r="CK1380" t="s">
        <v>111</v>
      </c>
      <c r="CL1380" t="s">
        <v>111</v>
      </c>
      <c r="CM1380" t="s">
        <v>111</v>
      </c>
      <c r="CN1380" t="s">
        <v>111</v>
      </c>
      <c r="CO1380" t="s">
        <v>111</v>
      </c>
      <c r="CP1380" t="s">
        <v>111</v>
      </c>
      <c r="CQ1380">
        <v>0</v>
      </c>
      <c r="CR1380">
        <v>0</v>
      </c>
      <c r="CS1380">
        <v>0</v>
      </c>
      <c r="CT1380" t="s">
        <v>111</v>
      </c>
      <c r="CU1380">
        <v>0</v>
      </c>
      <c r="CV1380" t="s">
        <v>111</v>
      </c>
      <c r="CW1380" t="s">
        <v>111</v>
      </c>
      <c r="CX1380" t="s">
        <v>111</v>
      </c>
      <c r="CY1380">
        <v>0</v>
      </c>
      <c r="CZ1380" t="s">
        <v>111</v>
      </c>
      <c r="DA1380" t="s">
        <v>111</v>
      </c>
      <c r="DB1380" t="s">
        <v>111</v>
      </c>
      <c r="DC1380" t="s">
        <v>111</v>
      </c>
    </row>
    <row r="1381" spans="1:107">
      <c r="A1381">
        <v>189</v>
      </c>
      <c r="B1381" t="s">
        <v>162</v>
      </c>
      <c r="C1381" t="s">
        <v>2711</v>
      </c>
      <c r="D1381" t="s">
        <v>3940</v>
      </c>
      <c r="E1381" t="s">
        <v>3941</v>
      </c>
      <c r="F1381" t="s">
        <v>1071</v>
      </c>
      <c r="G1381" t="s">
        <v>24</v>
      </c>
      <c r="H1381">
        <v>1.1000000000000001</v>
      </c>
      <c r="I1381">
        <v>35</v>
      </c>
      <c r="J1381">
        <v>0</v>
      </c>
      <c r="K1381">
        <v>0</v>
      </c>
      <c r="L1381" t="s">
        <v>112</v>
      </c>
      <c r="M1381" t="s">
        <v>138</v>
      </c>
      <c r="N1381">
        <v>0</v>
      </c>
      <c r="O1381">
        <v>0</v>
      </c>
      <c r="P1381" t="s">
        <v>138</v>
      </c>
      <c r="Q1381">
        <v>40</v>
      </c>
      <c r="R1381">
        <v>0</v>
      </c>
      <c r="S1381">
        <v>0</v>
      </c>
      <c r="T1381">
        <v>0</v>
      </c>
      <c r="U1381" t="s">
        <v>153</v>
      </c>
      <c r="V1381">
        <v>0</v>
      </c>
      <c r="W1381">
        <v>0</v>
      </c>
      <c r="X1381">
        <v>0</v>
      </c>
      <c r="Y1381">
        <v>25</v>
      </c>
      <c r="Z1381" t="s">
        <v>111</v>
      </c>
      <c r="AA1381">
        <v>0</v>
      </c>
      <c r="AB1381" t="s">
        <v>111</v>
      </c>
      <c r="AC1381">
        <v>0</v>
      </c>
      <c r="AD1381" t="s">
        <v>111</v>
      </c>
      <c r="AE1381">
        <v>0</v>
      </c>
      <c r="AF1381">
        <v>0</v>
      </c>
      <c r="AG1381" t="s">
        <v>111</v>
      </c>
      <c r="AH1381" t="s">
        <v>111</v>
      </c>
      <c r="AI1381" t="s">
        <v>111</v>
      </c>
      <c r="AJ1381" t="s">
        <v>111</v>
      </c>
      <c r="AK1381" t="s">
        <v>111</v>
      </c>
      <c r="AL1381" t="s">
        <v>111</v>
      </c>
      <c r="AM1381">
        <v>0</v>
      </c>
      <c r="AN1381">
        <v>0</v>
      </c>
      <c r="AO1381">
        <v>0</v>
      </c>
      <c r="AP1381" t="s">
        <v>111</v>
      </c>
      <c r="AQ1381" t="s">
        <v>111</v>
      </c>
      <c r="AR1381" t="s">
        <v>111</v>
      </c>
      <c r="AS1381" t="s">
        <v>111</v>
      </c>
      <c r="AT1381" t="s">
        <v>111</v>
      </c>
      <c r="AU1381" t="s">
        <v>111</v>
      </c>
      <c r="AV1381" t="s">
        <v>111</v>
      </c>
      <c r="AW1381" t="s">
        <v>111</v>
      </c>
      <c r="AX1381" t="s">
        <v>111</v>
      </c>
      <c r="AY1381" t="s">
        <v>111</v>
      </c>
      <c r="AZ1381" t="s">
        <v>111</v>
      </c>
      <c r="BA1381" t="s">
        <v>111</v>
      </c>
      <c r="BB1381" t="s">
        <v>111</v>
      </c>
      <c r="BC1381" t="s">
        <v>111</v>
      </c>
      <c r="BD1381" t="s">
        <v>111</v>
      </c>
      <c r="BE1381" t="s">
        <v>111</v>
      </c>
      <c r="BF1381" t="s">
        <v>111</v>
      </c>
      <c r="BG1381" t="s">
        <v>111</v>
      </c>
      <c r="BH1381" t="s">
        <v>111</v>
      </c>
      <c r="BI1381" t="s">
        <v>111</v>
      </c>
      <c r="BJ1381" t="s">
        <v>111</v>
      </c>
      <c r="BK1381" t="s">
        <v>111</v>
      </c>
      <c r="BL1381" t="s">
        <v>111</v>
      </c>
      <c r="BM1381" t="s">
        <v>111</v>
      </c>
      <c r="BN1381" t="s">
        <v>111</v>
      </c>
      <c r="BO1381" t="s">
        <v>111</v>
      </c>
      <c r="BP1381" t="s">
        <v>111</v>
      </c>
      <c r="BQ1381" t="s">
        <v>111</v>
      </c>
      <c r="BR1381" t="s">
        <v>111</v>
      </c>
      <c r="BS1381" t="s">
        <v>111</v>
      </c>
      <c r="BT1381" t="s">
        <v>111</v>
      </c>
      <c r="BU1381" t="s">
        <v>111</v>
      </c>
      <c r="BV1381" t="s">
        <v>111</v>
      </c>
      <c r="BW1381" t="s">
        <v>111</v>
      </c>
      <c r="BX1381" t="s">
        <v>111</v>
      </c>
      <c r="BY1381" t="s">
        <v>111</v>
      </c>
      <c r="BZ1381" t="s">
        <v>111</v>
      </c>
      <c r="CA1381" t="s">
        <v>111</v>
      </c>
      <c r="CB1381" t="s">
        <v>111</v>
      </c>
      <c r="CC1381" t="s">
        <v>111</v>
      </c>
      <c r="CD1381" t="s">
        <v>111</v>
      </c>
      <c r="CE1381" t="s">
        <v>111</v>
      </c>
      <c r="CF1381" t="s">
        <v>111</v>
      </c>
      <c r="CG1381" t="s">
        <v>111</v>
      </c>
      <c r="CH1381" t="s">
        <v>111</v>
      </c>
      <c r="CI1381" t="s">
        <v>111</v>
      </c>
      <c r="CJ1381" t="s">
        <v>111</v>
      </c>
      <c r="CK1381" t="s">
        <v>111</v>
      </c>
      <c r="CL1381" t="s">
        <v>111</v>
      </c>
      <c r="CM1381" t="s">
        <v>198</v>
      </c>
      <c r="CN1381" t="s">
        <v>113</v>
      </c>
      <c r="CO1381" t="s">
        <v>222</v>
      </c>
      <c r="CP1381" t="s">
        <v>433</v>
      </c>
      <c r="CQ1381">
        <v>0</v>
      </c>
      <c r="CR1381">
        <v>0</v>
      </c>
      <c r="CS1381">
        <v>0</v>
      </c>
      <c r="CT1381" s="1" t="s">
        <v>3942</v>
      </c>
      <c r="CU1381">
        <v>0</v>
      </c>
      <c r="CV1381" t="s">
        <v>111</v>
      </c>
      <c r="CW1381" t="s">
        <v>111</v>
      </c>
      <c r="CX1381" t="s">
        <v>111</v>
      </c>
      <c r="CY1381">
        <v>0</v>
      </c>
      <c r="CZ1381" t="s">
        <v>111</v>
      </c>
      <c r="DA1381" t="s">
        <v>111</v>
      </c>
      <c r="DB1381" t="s">
        <v>111</v>
      </c>
      <c r="DC1381" t="s">
        <v>111</v>
      </c>
    </row>
    <row r="1382" spans="1:107">
      <c r="A1382">
        <v>181</v>
      </c>
      <c r="B1382" t="s">
        <v>162</v>
      </c>
      <c r="C1382" t="s">
        <v>174</v>
      </c>
      <c r="D1382" t="s">
        <v>3943</v>
      </c>
      <c r="E1382" t="s">
        <v>3944</v>
      </c>
      <c r="F1382" t="s">
        <v>1071</v>
      </c>
      <c r="G1382" t="s">
        <v>24</v>
      </c>
      <c r="H1382">
        <v>1.5</v>
      </c>
      <c r="I1382">
        <v>17.5</v>
      </c>
      <c r="J1382">
        <v>0</v>
      </c>
      <c r="K1382">
        <v>0</v>
      </c>
      <c r="L1382" t="s">
        <v>112</v>
      </c>
      <c r="M1382" t="s">
        <v>138</v>
      </c>
      <c r="N1382">
        <v>0</v>
      </c>
      <c r="O1382">
        <v>0</v>
      </c>
      <c r="P1382" t="s">
        <v>138</v>
      </c>
      <c r="Q1382">
        <v>35</v>
      </c>
      <c r="R1382">
        <v>0</v>
      </c>
      <c r="S1382">
        <v>0</v>
      </c>
      <c r="T1382">
        <v>0</v>
      </c>
      <c r="U1382" t="s">
        <v>153</v>
      </c>
      <c r="V1382">
        <v>0</v>
      </c>
      <c r="W1382">
        <v>0</v>
      </c>
      <c r="X1382">
        <v>0</v>
      </c>
      <c r="Y1382">
        <v>25</v>
      </c>
      <c r="Z1382" t="s">
        <v>111</v>
      </c>
      <c r="AA1382">
        <v>0</v>
      </c>
      <c r="AB1382" t="s">
        <v>111</v>
      </c>
      <c r="AC1382">
        <v>0</v>
      </c>
      <c r="AD1382" t="s">
        <v>111</v>
      </c>
      <c r="AE1382">
        <v>0</v>
      </c>
      <c r="AF1382">
        <v>0</v>
      </c>
      <c r="AG1382" t="s">
        <v>111</v>
      </c>
      <c r="AH1382" t="s">
        <v>111</v>
      </c>
      <c r="AI1382" t="s">
        <v>111</v>
      </c>
      <c r="AJ1382" t="s">
        <v>111</v>
      </c>
      <c r="AK1382" t="s">
        <v>111</v>
      </c>
      <c r="AL1382" t="s">
        <v>111</v>
      </c>
      <c r="AM1382">
        <v>0</v>
      </c>
      <c r="AN1382">
        <v>0</v>
      </c>
      <c r="AO1382">
        <v>0</v>
      </c>
      <c r="AP1382" t="s">
        <v>111</v>
      </c>
      <c r="AQ1382" t="s">
        <v>111</v>
      </c>
      <c r="AR1382" t="s">
        <v>111</v>
      </c>
      <c r="AS1382" t="s">
        <v>111</v>
      </c>
      <c r="AT1382" t="s">
        <v>111</v>
      </c>
      <c r="AU1382" t="s">
        <v>111</v>
      </c>
      <c r="AV1382" t="s">
        <v>111</v>
      </c>
      <c r="AW1382" t="s">
        <v>111</v>
      </c>
      <c r="AX1382" t="s">
        <v>111</v>
      </c>
      <c r="AY1382" t="s">
        <v>111</v>
      </c>
      <c r="AZ1382" t="s">
        <v>111</v>
      </c>
      <c r="BA1382" t="s">
        <v>111</v>
      </c>
      <c r="BB1382" t="s">
        <v>111</v>
      </c>
      <c r="BC1382" t="s">
        <v>111</v>
      </c>
      <c r="BD1382" t="s">
        <v>111</v>
      </c>
      <c r="BE1382" t="s">
        <v>111</v>
      </c>
      <c r="BF1382" t="s">
        <v>111</v>
      </c>
      <c r="BG1382" t="s">
        <v>111</v>
      </c>
      <c r="BH1382" t="s">
        <v>111</v>
      </c>
      <c r="BI1382" t="s">
        <v>111</v>
      </c>
      <c r="BJ1382" t="s">
        <v>111</v>
      </c>
      <c r="BK1382" t="s">
        <v>111</v>
      </c>
      <c r="BL1382" t="s">
        <v>111</v>
      </c>
      <c r="BM1382" t="s">
        <v>111</v>
      </c>
      <c r="BN1382" t="s">
        <v>111</v>
      </c>
      <c r="BO1382" t="s">
        <v>111</v>
      </c>
      <c r="BP1382" t="s">
        <v>111</v>
      </c>
      <c r="BQ1382" t="s">
        <v>111</v>
      </c>
      <c r="BR1382" t="s">
        <v>111</v>
      </c>
      <c r="BS1382" t="s">
        <v>111</v>
      </c>
      <c r="BT1382" t="s">
        <v>111</v>
      </c>
      <c r="BU1382" t="s">
        <v>111</v>
      </c>
      <c r="BV1382" t="s">
        <v>111</v>
      </c>
      <c r="BW1382" t="s">
        <v>111</v>
      </c>
      <c r="BX1382" t="s">
        <v>111</v>
      </c>
      <c r="BY1382" t="s">
        <v>111</v>
      </c>
      <c r="BZ1382" t="s">
        <v>111</v>
      </c>
      <c r="CA1382" t="s">
        <v>111</v>
      </c>
      <c r="CB1382" t="s">
        <v>111</v>
      </c>
      <c r="CC1382" t="s">
        <v>111</v>
      </c>
      <c r="CD1382" t="s">
        <v>111</v>
      </c>
      <c r="CE1382" t="s">
        <v>111</v>
      </c>
      <c r="CF1382" t="s">
        <v>111</v>
      </c>
      <c r="CG1382" t="s">
        <v>111</v>
      </c>
      <c r="CH1382" t="s">
        <v>111</v>
      </c>
      <c r="CI1382" t="s">
        <v>111</v>
      </c>
      <c r="CJ1382" t="s">
        <v>111</v>
      </c>
      <c r="CK1382" t="s">
        <v>111</v>
      </c>
      <c r="CL1382" t="s">
        <v>111</v>
      </c>
      <c r="CM1382" t="s">
        <v>198</v>
      </c>
      <c r="CN1382" t="s">
        <v>113</v>
      </c>
      <c r="CO1382" t="s">
        <v>111</v>
      </c>
      <c r="CP1382" t="s">
        <v>111</v>
      </c>
      <c r="CQ1382">
        <v>0</v>
      </c>
      <c r="CR1382">
        <v>0</v>
      </c>
      <c r="CS1382">
        <v>0</v>
      </c>
      <c r="CT1382" t="s">
        <v>168</v>
      </c>
      <c r="CU1382">
        <v>0</v>
      </c>
      <c r="CV1382" t="s">
        <v>111</v>
      </c>
      <c r="CW1382" t="s">
        <v>111</v>
      </c>
      <c r="CX1382" t="s">
        <v>111</v>
      </c>
      <c r="CY1382">
        <v>0</v>
      </c>
      <c r="CZ1382" t="s">
        <v>111</v>
      </c>
      <c r="DA1382" t="s">
        <v>111</v>
      </c>
      <c r="DB1382" t="s">
        <v>111</v>
      </c>
      <c r="DC1382" t="s">
        <v>111</v>
      </c>
    </row>
    <row r="1383" spans="1:107">
      <c r="A1383">
        <v>191</v>
      </c>
      <c r="B1383" t="s">
        <v>162</v>
      </c>
      <c r="C1383" t="s">
        <v>3121</v>
      </c>
      <c r="D1383" t="s">
        <v>3945</v>
      </c>
      <c r="E1383" t="s">
        <v>3946</v>
      </c>
      <c r="F1383" t="s">
        <v>1651</v>
      </c>
      <c r="G1383" t="s">
        <v>24</v>
      </c>
      <c r="H1383">
        <v>1.45</v>
      </c>
      <c r="I1383">
        <v>30</v>
      </c>
      <c r="J1383">
        <v>0</v>
      </c>
      <c r="K1383">
        <v>0</v>
      </c>
      <c r="L1383" t="s">
        <v>112</v>
      </c>
      <c r="M1383" t="s">
        <v>118</v>
      </c>
      <c r="N1383">
        <v>40</v>
      </c>
      <c r="O1383">
        <v>2</v>
      </c>
      <c r="P1383" t="s">
        <v>138</v>
      </c>
      <c r="Q1383">
        <v>35</v>
      </c>
      <c r="R1383">
        <v>0</v>
      </c>
      <c r="S1383">
        <v>0</v>
      </c>
      <c r="T1383">
        <v>0</v>
      </c>
      <c r="U1383" t="s">
        <v>2685</v>
      </c>
      <c r="V1383">
        <v>0</v>
      </c>
      <c r="W1383">
        <v>0</v>
      </c>
      <c r="X1383">
        <v>0</v>
      </c>
      <c r="Y1383">
        <v>25</v>
      </c>
      <c r="Z1383" t="s">
        <v>111</v>
      </c>
      <c r="AA1383">
        <v>0</v>
      </c>
      <c r="AB1383" t="s">
        <v>111</v>
      </c>
      <c r="AC1383">
        <v>0</v>
      </c>
      <c r="AD1383" t="s">
        <v>427</v>
      </c>
      <c r="AE1383">
        <v>4</v>
      </c>
      <c r="AF1383">
        <v>2</v>
      </c>
      <c r="AG1383">
        <v>18</v>
      </c>
      <c r="AH1383" t="s">
        <v>111</v>
      </c>
      <c r="AI1383">
        <v>36</v>
      </c>
      <c r="AJ1383" t="s">
        <v>111</v>
      </c>
      <c r="AK1383" t="s">
        <v>111</v>
      </c>
      <c r="AL1383" t="s">
        <v>111</v>
      </c>
      <c r="AM1383">
        <v>0</v>
      </c>
      <c r="AN1383">
        <v>0</v>
      </c>
      <c r="AO1383">
        <v>0</v>
      </c>
      <c r="AP1383" t="s">
        <v>111</v>
      </c>
      <c r="AQ1383" t="s">
        <v>111</v>
      </c>
      <c r="AR1383" t="s">
        <v>111</v>
      </c>
      <c r="AS1383" t="s">
        <v>111</v>
      </c>
      <c r="AT1383" t="s">
        <v>111</v>
      </c>
      <c r="AU1383" t="s">
        <v>111</v>
      </c>
      <c r="AV1383" t="s">
        <v>111</v>
      </c>
      <c r="AW1383" t="s">
        <v>111</v>
      </c>
      <c r="AX1383" t="s">
        <v>111</v>
      </c>
      <c r="AY1383" t="s">
        <v>111</v>
      </c>
      <c r="AZ1383" t="s">
        <v>111</v>
      </c>
      <c r="BA1383" t="s">
        <v>111</v>
      </c>
      <c r="BB1383" t="s">
        <v>111</v>
      </c>
      <c r="BC1383" t="s">
        <v>111</v>
      </c>
      <c r="BD1383" t="s">
        <v>111</v>
      </c>
      <c r="BE1383" t="s">
        <v>111</v>
      </c>
      <c r="BF1383" t="s">
        <v>111</v>
      </c>
      <c r="BG1383" t="s">
        <v>111</v>
      </c>
      <c r="BH1383" t="s">
        <v>111</v>
      </c>
      <c r="BI1383" t="s">
        <v>111</v>
      </c>
      <c r="BJ1383" t="s">
        <v>111</v>
      </c>
      <c r="BK1383" t="s">
        <v>111</v>
      </c>
      <c r="BL1383" t="s">
        <v>111</v>
      </c>
      <c r="BM1383" t="s">
        <v>111</v>
      </c>
      <c r="BN1383" t="s">
        <v>111</v>
      </c>
      <c r="BO1383" t="s">
        <v>111</v>
      </c>
      <c r="BP1383" t="s">
        <v>111</v>
      </c>
      <c r="BQ1383" t="s">
        <v>111</v>
      </c>
      <c r="BR1383" t="s">
        <v>111</v>
      </c>
      <c r="BS1383" t="s">
        <v>111</v>
      </c>
      <c r="BT1383" t="s">
        <v>111</v>
      </c>
      <c r="BU1383" t="s">
        <v>111</v>
      </c>
      <c r="BV1383" t="s">
        <v>111</v>
      </c>
      <c r="BW1383" t="s">
        <v>111</v>
      </c>
      <c r="BX1383" t="s">
        <v>111</v>
      </c>
      <c r="BY1383" t="s">
        <v>111</v>
      </c>
      <c r="BZ1383" t="s">
        <v>111</v>
      </c>
      <c r="CA1383" t="s">
        <v>111</v>
      </c>
      <c r="CB1383" t="s">
        <v>111</v>
      </c>
      <c r="CC1383" t="s">
        <v>111</v>
      </c>
      <c r="CD1383" t="s">
        <v>111</v>
      </c>
      <c r="CE1383" t="s">
        <v>111</v>
      </c>
      <c r="CF1383" t="s">
        <v>111</v>
      </c>
      <c r="CG1383" t="s">
        <v>111</v>
      </c>
      <c r="CH1383" t="s">
        <v>111</v>
      </c>
      <c r="CI1383" t="s">
        <v>111</v>
      </c>
      <c r="CJ1383" t="s">
        <v>111</v>
      </c>
      <c r="CK1383" t="s">
        <v>111</v>
      </c>
      <c r="CL1383" t="s">
        <v>153</v>
      </c>
      <c r="CM1383" t="s">
        <v>198</v>
      </c>
      <c r="CN1383" t="s">
        <v>113</v>
      </c>
      <c r="CO1383" t="s">
        <v>111</v>
      </c>
      <c r="CP1383" t="s">
        <v>433</v>
      </c>
      <c r="CQ1383">
        <v>0</v>
      </c>
      <c r="CR1383">
        <v>0</v>
      </c>
      <c r="CS1383">
        <v>0</v>
      </c>
      <c r="CT1383" t="s">
        <v>168</v>
      </c>
      <c r="CU1383">
        <v>0</v>
      </c>
      <c r="CV1383" t="s">
        <v>111</v>
      </c>
      <c r="CW1383" t="s">
        <v>111</v>
      </c>
      <c r="CX1383" t="s">
        <v>111</v>
      </c>
      <c r="CY1383">
        <v>0</v>
      </c>
      <c r="CZ1383" t="s">
        <v>111</v>
      </c>
      <c r="DA1383" t="s">
        <v>111</v>
      </c>
      <c r="DB1383" t="s">
        <v>111</v>
      </c>
      <c r="DC1383" t="s">
        <v>111</v>
      </c>
    </row>
    <row r="1384" spans="1:107">
      <c r="A1384">
        <v>20</v>
      </c>
      <c r="B1384" t="s">
        <v>162</v>
      </c>
      <c r="C1384" t="s">
        <v>226</v>
      </c>
      <c r="D1384" t="s">
        <v>3947</v>
      </c>
      <c r="E1384" t="s">
        <v>3948</v>
      </c>
      <c r="F1384" t="s">
        <v>1071</v>
      </c>
      <c r="G1384" t="s">
        <v>24</v>
      </c>
      <c r="H1384">
        <v>1</v>
      </c>
      <c r="I1384">
        <v>55</v>
      </c>
      <c r="J1384">
        <v>0</v>
      </c>
      <c r="K1384">
        <v>0</v>
      </c>
      <c r="L1384" t="s">
        <v>112</v>
      </c>
      <c r="M1384" t="s">
        <v>138</v>
      </c>
      <c r="N1384">
        <v>0</v>
      </c>
      <c r="O1384">
        <v>0</v>
      </c>
      <c r="P1384" t="s">
        <v>138</v>
      </c>
      <c r="Q1384">
        <v>30</v>
      </c>
      <c r="R1384">
        <v>0</v>
      </c>
      <c r="S1384">
        <v>0</v>
      </c>
      <c r="T1384">
        <v>0</v>
      </c>
      <c r="U1384" t="s">
        <v>111</v>
      </c>
      <c r="V1384">
        <v>0</v>
      </c>
      <c r="W1384">
        <v>0</v>
      </c>
      <c r="X1384">
        <v>0</v>
      </c>
      <c r="Y1384">
        <v>25</v>
      </c>
      <c r="Z1384" t="s">
        <v>111</v>
      </c>
      <c r="AA1384">
        <v>0</v>
      </c>
      <c r="AB1384" t="s">
        <v>111</v>
      </c>
      <c r="AC1384">
        <v>0</v>
      </c>
      <c r="AD1384" t="s">
        <v>111</v>
      </c>
      <c r="AE1384">
        <v>0</v>
      </c>
      <c r="AF1384">
        <v>0</v>
      </c>
      <c r="AG1384" t="s">
        <v>111</v>
      </c>
      <c r="AH1384" t="s">
        <v>111</v>
      </c>
      <c r="AI1384" t="s">
        <v>111</v>
      </c>
      <c r="AJ1384" t="s">
        <v>111</v>
      </c>
      <c r="AK1384" t="s">
        <v>111</v>
      </c>
      <c r="AL1384" t="s">
        <v>111</v>
      </c>
      <c r="AM1384">
        <v>0</v>
      </c>
      <c r="AN1384">
        <v>0</v>
      </c>
      <c r="AO1384">
        <v>0</v>
      </c>
      <c r="AP1384" t="s">
        <v>111</v>
      </c>
      <c r="AQ1384" t="s">
        <v>111</v>
      </c>
      <c r="AR1384" t="s">
        <v>111</v>
      </c>
      <c r="AS1384" t="s">
        <v>111</v>
      </c>
      <c r="AT1384" t="s">
        <v>111</v>
      </c>
      <c r="AU1384" t="s">
        <v>111</v>
      </c>
      <c r="AV1384" t="s">
        <v>111</v>
      </c>
      <c r="AW1384" t="s">
        <v>111</v>
      </c>
      <c r="AX1384" t="s">
        <v>111</v>
      </c>
      <c r="AY1384" t="s">
        <v>111</v>
      </c>
      <c r="AZ1384" t="s">
        <v>111</v>
      </c>
      <c r="BA1384" t="s">
        <v>111</v>
      </c>
      <c r="BB1384" t="s">
        <v>111</v>
      </c>
      <c r="BC1384" t="s">
        <v>111</v>
      </c>
      <c r="BD1384" t="s">
        <v>111</v>
      </c>
      <c r="BE1384" t="s">
        <v>111</v>
      </c>
      <c r="BF1384" t="s">
        <v>111</v>
      </c>
      <c r="BG1384" t="s">
        <v>111</v>
      </c>
      <c r="BH1384" t="s">
        <v>111</v>
      </c>
      <c r="BI1384" t="s">
        <v>111</v>
      </c>
      <c r="BJ1384" t="s">
        <v>111</v>
      </c>
      <c r="BK1384" t="s">
        <v>111</v>
      </c>
      <c r="BL1384" t="s">
        <v>111</v>
      </c>
      <c r="BM1384" t="s">
        <v>111</v>
      </c>
      <c r="BN1384" t="s">
        <v>111</v>
      </c>
      <c r="BO1384" t="s">
        <v>111</v>
      </c>
      <c r="BP1384" t="s">
        <v>111</v>
      </c>
      <c r="BQ1384" t="s">
        <v>111</v>
      </c>
      <c r="BR1384" t="s">
        <v>111</v>
      </c>
      <c r="BS1384" t="s">
        <v>111</v>
      </c>
      <c r="BT1384" t="s">
        <v>111</v>
      </c>
      <c r="BU1384" t="s">
        <v>111</v>
      </c>
      <c r="BV1384" t="s">
        <v>111</v>
      </c>
      <c r="BW1384" t="s">
        <v>111</v>
      </c>
      <c r="BX1384" t="s">
        <v>111</v>
      </c>
      <c r="BY1384" t="s">
        <v>111</v>
      </c>
      <c r="BZ1384" t="s">
        <v>111</v>
      </c>
      <c r="CA1384" t="s">
        <v>111</v>
      </c>
      <c r="CB1384" t="s">
        <v>111</v>
      </c>
      <c r="CC1384" t="s">
        <v>111</v>
      </c>
      <c r="CD1384" t="s">
        <v>111</v>
      </c>
      <c r="CE1384" t="s">
        <v>111</v>
      </c>
      <c r="CF1384" t="s">
        <v>111</v>
      </c>
      <c r="CG1384" t="s">
        <v>111</v>
      </c>
      <c r="CH1384" t="s">
        <v>111</v>
      </c>
      <c r="CI1384" t="s">
        <v>111</v>
      </c>
      <c r="CJ1384" t="s">
        <v>111</v>
      </c>
      <c r="CK1384" t="s">
        <v>111</v>
      </c>
      <c r="CL1384" t="s">
        <v>111</v>
      </c>
      <c r="CM1384" t="s">
        <v>198</v>
      </c>
      <c r="CN1384" t="s">
        <v>113</v>
      </c>
      <c r="CO1384" t="s">
        <v>111</v>
      </c>
      <c r="CP1384" t="s">
        <v>111</v>
      </c>
      <c r="CQ1384">
        <v>0</v>
      </c>
      <c r="CR1384">
        <v>0</v>
      </c>
      <c r="CS1384">
        <v>0</v>
      </c>
      <c r="CT1384" t="s">
        <v>111</v>
      </c>
      <c r="CU1384">
        <v>0</v>
      </c>
      <c r="CV1384" t="s">
        <v>111</v>
      </c>
      <c r="CW1384" t="s">
        <v>111</v>
      </c>
      <c r="CX1384" t="s">
        <v>111</v>
      </c>
      <c r="CY1384">
        <v>0</v>
      </c>
      <c r="CZ1384" t="s">
        <v>111</v>
      </c>
      <c r="DA1384" t="s">
        <v>111</v>
      </c>
      <c r="DB1384" t="s">
        <v>111</v>
      </c>
      <c r="DC1384" t="s">
        <v>111</v>
      </c>
    </row>
    <row r="1385" spans="1:107">
      <c r="A1385">
        <v>203</v>
      </c>
      <c r="B1385" t="s">
        <v>162</v>
      </c>
      <c r="C1385" t="s">
        <v>3925</v>
      </c>
      <c r="D1385" t="s">
        <v>3949</v>
      </c>
      <c r="E1385" t="s">
        <v>3950</v>
      </c>
      <c r="F1385" t="s">
        <v>110</v>
      </c>
      <c r="G1385" t="s">
        <v>24</v>
      </c>
      <c r="H1385">
        <v>0.85</v>
      </c>
      <c r="I1385">
        <v>50</v>
      </c>
      <c r="J1385">
        <v>0</v>
      </c>
      <c r="K1385">
        <v>0</v>
      </c>
      <c r="L1385" t="s">
        <v>112</v>
      </c>
      <c r="M1385" t="s">
        <v>138</v>
      </c>
      <c r="N1385">
        <v>0</v>
      </c>
      <c r="O1385">
        <v>0</v>
      </c>
      <c r="P1385" t="s">
        <v>138</v>
      </c>
      <c r="Q1385">
        <v>40</v>
      </c>
      <c r="R1385">
        <v>0</v>
      </c>
      <c r="S1385">
        <v>0</v>
      </c>
      <c r="T1385">
        <v>0</v>
      </c>
      <c r="U1385" t="s">
        <v>168</v>
      </c>
      <c r="V1385">
        <v>0</v>
      </c>
      <c r="W1385">
        <v>0</v>
      </c>
      <c r="X1385">
        <v>0</v>
      </c>
      <c r="Y1385">
        <v>25</v>
      </c>
      <c r="Z1385" t="s">
        <v>111</v>
      </c>
      <c r="AA1385">
        <v>0</v>
      </c>
      <c r="AB1385" t="s">
        <v>111</v>
      </c>
      <c r="AC1385">
        <v>0</v>
      </c>
      <c r="AD1385" t="s">
        <v>111</v>
      </c>
      <c r="AE1385">
        <v>0</v>
      </c>
      <c r="AF1385">
        <v>0</v>
      </c>
      <c r="AG1385" t="s">
        <v>111</v>
      </c>
      <c r="AH1385" t="s">
        <v>111</v>
      </c>
      <c r="AI1385" t="s">
        <v>111</v>
      </c>
      <c r="AJ1385" t="s">
        <v>111</v>
      </c>
      <c r="AK1385" t="s">
        <v>111</v>
      </c>
      <c r="AL1385" t="s">
        <v>111</v>
      </c>
      <c r="AM1385">
        <v>0</v>
      </c>
      <c r="AN1385">
        <v>0</v>
      </c>
      <c r="AO1385">
        <v>0</v>
      </c>
      <c r="AP1385" t="s">
        <v>111</v>
      </c>
      <c r="AQ1385" t="s">
        <v>111</v>
      </c>
      <c r="AR1385" t="s">
        <v>111</v>
      </c>
      <c r="AS1385" t="s">
        <v>111</v>
      </c>
      <c r="AT1385" t="s">
        <v>111</v>
      </c>
      <c r="AU1385" t="s">
        <v>111</v>
      </c>
      <c r="AV1385" t="s">
        <v>111</v>
      </c>
      <c r="AW1385" t="s">
        <v>111</v>
      </c>
      <c r="AX1385" t="s">
        <v>111</v>
      </c>
      <c r="AY1385" t="s">
        <v>111</v>
      </c>
      <c r="AZ1385" t="s">
        <v>111</v>
      </c>
      <c r="BA1385" t="s">
        <v>111</v>
      </c>
      <c r="BB1385" t="s">
        <v>111</v>
      </c>
      <c r="BC1385" t="s">
        <v>111</v>
      </c>
      <c r="BD1385" t="s">
        <v>111</v>
      </c>
      <c r="BE1385" t="s">
        <v>111</v>
      </c>
      <c r="BF1385" t="s">
        <v>111</v>
      </c>
      <c r="BG1385" t="s">
        <v>111</v>
      </c>
      <c r="BH1385" t="s">
        <v>111</v>
      </c>
      <c r="BI1385" t="s">
        <v>111</v>
      </c>
      <c r="BJ1385" t="s">
        <v>111</v>
      </c>
      <c r="BK1385" t="s">
        <v>111</v>
      </c>
      <c r="BL1385" t="s">
        <v>111</v>
      </c>
      <c r="BM1385" t="s">
        <v>111</v>
      </c>
      <c r="BN1385" t="s">
        <v>111</v>
      </c>
      <c r="BO1385" t="s">
        <v>111</v>
      </c>
      <c r="BP1385" t="s">
        <v>111</v>
      </c>
      <c r="BQ1385" t="s">
        <v>111</v>
      </c>
      <c r="BR1385" t="s">
        <v>111</v>
      </c>
      <c r="BS1385" t="s">
        <v>111</v>
      </c>
      <c r="BT1385" t="s">
        <v>111</v>
      </c>
      <c r="BU1385" t="s">
        <v>111</v>
      </c>
      <c r="BV1385" t="s">
        <v>111</v>
      </c>
      <c r="BW1385" t="s">
        <v>111</v>
      </c>
      <c r="BX1385" t="s">
        <v>111</v>
      </c>
      <c r="BY1385" t="s">
        <v>111</v>
      </c>
      <c r="BZ1385" t="s">
        <v>111</v>
      </c>
      <c r="CA1385" t="s">
        <v>111</v>
      </c>
      <c r="CB1385" t="s">
        <v>111</v>
      </c>
      <c r="CC1385" t="s">
        <v>111</v>
      </c>
      <c r="CD1385" t="s">
        <v>111</v>
      </c>
      <c r="CE1385" t="s">
        <v>111</v>
      </c>
      <c r="CF1385" t="s">
        <v>111</v>
      </c>
      <c r="CG1385" t="s">
        <v>111</v>
      </c>
      <c r="CH1385" t="s">
        <v>111</v>
      </c>
      <c r="CI1385" t="s">
        <v>111</v>
      </c>
      <c r="CJ1385" t="s">
        <v>111</v>
      </c>
      <c r="CK1385" t="s">
        <v>111</v>
      </c>
      <c r="CL1385" t="s">
        <v>111</v>
      </c>
      <c r="CM1385" t="s">
        <v>111</v>
      </c>
      <c r="CN1385" t="s">
        <v>111</v>
      </c>
      <c r="CO1385" t="s">
        <v>111</v>
      </c>
      <c r="CP1385" t="s">
        <v>111</v>
      </c>
      <c r="CQ1385">
        <v>0</v>
      </c>
      <c r="CR1385">
        <v>0</v>
      </c>
      <c r="CS1385">
        <v>0</v>
      </c>
      <c r="CT1385" t="s">
        <v>111</v>
      </c>
      <c r="CU1385">
        <v>0</v>
      </c>
      <c r="CV1385" t="s">
        <v>111</v>
      </c>
      <c r="CW1385" t="s">
        <v>111</v>
      </c>
      <c r="CX1385" t="s">
        <v>111</v>
      </c>
      <c r="CY1385">
        <v>0</v>
      </c>
      <c r="CZ1385" t="s">
        <v>111</v>
      </c>
      <c r="DA1385" t="s">
        <v>111</v>
      </c>
      <c r="DB1385" t="s">
        <v>111</v>
      </c>
      <c r="DC1385" t="s">
        <v>111</v>
      </c>
    </row>
    <row r="1386" spans="1:107">
      <c r="A1386">
        <v>192</v>
      </c>
      <c r="B1386" t="s">
        <v>162</v>
      </c>
      <c r="C1386" s="2">
        <v>43116105</v>
      </c>
      <c r="D1386" t="s">
        <v>3951</v>
      </c>
      <c r="E1386" t="s">
        <v>3952</v>
      </c>
      <c r="F1386" t="s">
        <v>1651</v>
      </c>
      <c r="G1386" t="s">
        <v>24</v>
      </c>
      <c r="H1386">
        <v>1.4</v>
      </c>
      <c r="I1386">
        <v>35</v>
      </c>
      <c r="J1386">
        <v>0</v>
      </c>
      <c r="K1386">
        <v>0</v>
      </c>
      <c r="L1386" t="s">
        <v>112</v>
      </c>
      <c r="M1386" t="s">
        <v>118</v>
      </c>
      <c r="N1386">
        <v>40</v>
      </c>
      <c r="O1386">
        <v>2</v>
      </c>
      <c r="P1386" t="s">
        <v>138</v>
      </c>
      <c r="Q1386">
        <v>43.2</v>
      </c>
      <c r="R1386">
        <v>0</v>
      </c>
      <c r="S1386">
        <v>0</v>
      </c>
      <c r="T1386">
        <v>5</v>
      </c>
      <c r="U1386" s="1" t="s">
        <v>3953</v>
      </c>
      <c r="V1386">
        <v>0</v>
      </c>
      <c r="W1386">
        <v>0</v>
      </c>
      <c r="X1386">
        <v>0</v>
      </c>
      <c r="Y1386">
        <v>25</v>
      </c>
      <c r="Z1386" t="s">
        <v>111</v>
      </c>
      <c r="AA1386">
        <v>0</v>
      </c>
      <c r="AB1386" t="s">
        <v>3954</v>
      </c>
      <c r="AC1386">
        <v>3</v>
      </c>
      <c r="AD1386" t="s">
        <v>416</v>
      </c>
      <c r="AE1386">
        <v>2</v>
      </c>
      <c r="AF1386">
        <v>2</v>
      </c>
      <c r="AG1386">
        <v>18</v>
      </c>
      <c r="AH1386" t="s">
        <v>113</v>
      </c>
      <c r="AI1386">
        <v>36</v>
      </c>
      <c r="AJ1386" t="s">
        <v>111</v>
      </c>
      <c r="AK1386" t="s">
        <v>111</v>
      </c>
      <c r="AL1386" t="s">
        <v>111</v>
      </c>
      <c r="AM1386">
        <v>0</v>
      </c>
      <c r="AN1386">
        <v>0</v>
      </c>
      <c r="AO1386">
        <v>0</v>
      </c>
      <c r="AP1386" t="s">
        <v>184</v>
      </c>
      <c r="AQ1386" t="s">
        <v>111</v>
      </c>
      <c r="AR1386" t="s">
        <v>111</v>
      </c>
      <c r="AS1386" t="s">
        <v>111</v>
      </c>
      <c r="AT1386" t="s">
        <v>271</v>
      </c>
      <c r="AU1386" t="s">
        <v>111</v>
      </c>
      <c r="AV1386" t="s">
        <v>111</v>
      </c>
      <c r="AW1386" t="s">
        <v>111</v>
      </c>
      <c r="AX1386" t="s">
        <v>111</v>
      </c>
      <c r="AY1386" t="s">
        <v>111</v>
      </c>
      <c r="AZ1386" t="s">
        <v>111</v>
      </c>
      <c r="BA1386" t="s">
        <v>111</v>
      </c>
      <c r="BB1386" t="s">
        <v>111</v>
      </c>
      <c r="BC1386" t="s">
        <v>111</v>
      </c>
      <c r="BD1386" t="s">
        <v>111</v>
      </c>
      <c r="BE1386" t="s">
        <v>111</v>
      </c>
      <c r="BF1386" t="s">
        <v>111</v>
      </c>
      <c r="BG1386" t="s">
        <v>111</v>
      </c>
      <c r="BH1386" t="s">
        <v>111</v>
      </c>
      <c r="BI1386" t="s">
        <v>111</v>
      </c>
      <c r="BJ1386" t="s">
        <v>111</v>
      </c>
      <c r="BK1386" t="s">
        <v>111</v>
      </c>
      <c r="BL1386" t="s">
        <v>111</v>
      </c>
      <c r="BM1386" t="s">
        <v>111</v>
      </c>
      <c r="BN1386" t="s">
        <v>111</v>
      </c>
      <c r="BO1386" t="s">
        <v>111</v>
      </c>
      <c r="BP1386" t="s">
        <v>111</v>
      </c>
      <c r="BQ1386" t="s">
        <v>111</v>
      </c>
      <c r="BR1386" t="s">
        <v>111</v>
      </c>
      <c r="BS1386" t="s">
        <v>111</v>
      </c>
      <c r="BT1386" t="s">
        <v>111</v>
      </c>
      <c r="BU1386" t="s">
        <v>111</v>
      </c>
      <c r="BV1386" t="s">
        <v>111</v>
      </c>
      <c r="BW1386" t="s">
        <v>111</v>
      </c>
      <c r="BX1386" t="s">
        <v>111</v>
      </c>
      <c r="BY1386" t="s">
        <v>111</v>
      </c>
      <c r="BZ1386" t="s">
        <v>111</v>
      </c>
      <c r="CA1386" t="s">
        <v>111</v>
      </c>
      <c r="CB1386" t="s">
        <v>111</v>
      </c>
      <c r="CC1386" t="s">
        <v>111</v>
      </c>
      <c r="CD1386" t="s">
        <v>111</v>
      </c>
      <c r="CE1386" t="s">
        <v>111</v>
      </c>
      <c r="CF1386" t="s">
        <v>111</v>
      </c>
      <c r="CG1386" t="s">
        <v>111</v>
      </c>
      <c r="CH1386" t="s">
        <v>111</v>
      </c>
      <c r="CI1386" t="s">
        <v>111</v>
      </c>
      <c r="CJ1386" t="s">
        <v>111</v>
      </c>
      <c r="CK1386" t="s">
        <v>111</v>
      </c>
      <c r="CL1386" t="s">
        <v>153</v>
      </c>
      <c r="CM1386" t="s">
        <v>198</v>
      </c>
      <c r="CN1386" t="s">
        <v>113</v>
      </c>
      <c r="CO1386" t="s">
        <v>111</v>
      </c>
      <c r="CP1386" t="s">
        <v>433</v>
      </c>
      <c r="CQ1386">
        <v>98</v>
      </c>
      <c r="CR1386">
        <v>6000</v>
      </c>
      <c r="CS1386">
        <v>200</v>
      </c>
      <c r="CT1386" s="1" t="s">
        <v>3955</v>
      </c>
      <c r="CU1386">
        <v>0</v>
      </c>
      <c r="CV1386" t="s">
        <v>111</v>
      </c>
      <c r="CW1386" t="s">
        <v>111</v>
      </c>
      <c r="CX1386" t="s">
        <v>111</v>
      </c>
      <c r="CY1386">
        <v>0</v>
      </c>
      <c r="CZ1386" t="s">
        <v>111</v>
      </c>
      <c r="DA1386" t="s">
        <v>111</v>
      </c>
      <c r="DB1386" t="s">
        <v>111</v>
      </c>
      <c r="DC1386" t="s">
        <v>111</v>
      </c>
    </row>
    <row r="1387" spans="1:107">
      <c r="A1387">
        <v>202</v>
      </c>
      <c r="B1387" t="s">
        <v>162</v>
      </c>
      <c r="C1387" t="s">
        <v>3925</v>
      </c>
      <c r="D1387" t="s">
        <v>3956</v>
      </c>
      <c r="E1387" t="s">
        <v>3957</v>
      </c>
      <c r="F1387" t="s">
        <v>110</v>
      </c>
      <c r="G1387" t="s">
        <v>24</v>
      </c>
      <c r="H1387">
        <v>0.85</v>
      </c>
      <c r="I1387">
        <v>45</v>
      </c>
      <c r="J1387">
        <v>0</v>
      </c>
      <c r="K1387">
        <v>0</v>
      </c>
      <c r="L1387" t="s">
        <v>112</v>
      </c>
      <c r="M1387" t="s">
        <v>138</v>
      </c>
      <c r="N1387">
        <v>0</v>
      </c>
      <c r="O1387">
        <v>0</v>
      </c>
      <c r="P1387" t="s">
        <v>138</v>
      </c>
      <c r="Q1387">
        <v>40</v>
      </c>
      <c r="R1387">
        <v>0</v>
      </c>
      <c r="S1387">
        <v>0</v>
      </c>
      <c r="T1387">
        <v>0</v>
      </c>
      <c r="U1387" t="s">
        <v>168</v>
      </c>
      <c r="V1387">
        <v>0</v>
      </c>
      <c r="W1387">
        <v>0</v>
      </c>
      <c r="X1387">
        <v>0</v>
      </c>
      <c r="Y1387">
        <v>25</v>
      </c>
      <c r="Z1387" t="s">
        <v>111</v>
      </c>
      <c r="AA1387">
        <v>0</v>
      </c>
      <c r="AB1387" t="s">
        <v>111</v>
      </c>
      <c r="AC1387">
        <v>0</v>
      </c>
      <c r="AD1387" t="s">
        <v>111</v>
      </c>
      <c r="AE1387">
        <v>0</v>
      </c>
      <c r="AF1387">
        <v>0</v>
      </c>
      <c r="AG1387" t="s">
        <v>111</v>
      </c>
      <c r="AH1387" t="s">
        <v>111</v>
      </c>
      <c r="AI1387" t="s">
        <v>111</v>
      </c>
      <c r="AJ1387" t="s">
        <v>111</v>
      </c>
      <c r="AK1387" t="s">
        <v>111</v>
      </c>
      <c r="AL1387" t="s">
        <v>111</v>
      </c>
      <c r="AM1387">
        <v>0</v>
      </c>
      <c r="AN1387">
        <v>0</v>
      </c>
      <c r="AO1387">
        <v>0</v>
      </c>
      <c r="AP1387" t="s">
        <v>111</v>
      </c>
      <c r="AQ1387" t="s">
        <v>111</v>
      </c>
      <c r="AR1387" t="s">
        <v>111</v>
      </c>
      <c r="AS1387" t="s">
        <v>111</v>
      </c>
      <c r="AT1387" t="s">
        <v>111</v>
      </c>
      <c r="AU1387" t="s">
        <v>111</v>
      </c>
      <c r="AV1387" t="s">
        <v>111</v>
      </c>
      <c r="AW1387" t="s">
        <v>111</v>
      </c>
      <c r="AX1387" t="s">
        <v>111</v>
      </c>
      <c r="AY1387" t="s">
        <v>111</v>
      </c>
      <c r="AZ1387" t="s">
        <v>111</v>
      </c>
      <c r="BA1387" t="s">
        <v>111</v>
      </c>
      <c r="BB1387" t="s">
        <v>111</v>
      </c>
      <c r="BC1387" t="s">
        <v>111</v>
      </c>
      <c r="BD1387" t="s">
        <v>111</v>
      </c>
      <c r="BE1387" t="s">
        <v>111</v>
      </c>
      <c r="BF1387" t="s">
        <v>111</v>
      </c>
      <c r="BG1387" t="s">
        <v>111</v>
      </c>
      <c r="BH1387" t="s">
        <v>111</v>
      </c>
      <c r="BI1387" t="s">
        <v>111</v>
      </c>
      <c r="BJ1387" t="s">
        <v>111</v>
      </c>
      <c r="BK1387" t="s">
        <v>111</v>
      </c>
      <c r="BL1387" t="s">
        <v>111</v>
      </c>
      <c r="BM1387" t="s">
        <v>111</v>
      </c>
      <c r="BN1387" t="s">
        <v>111</v>
      </c>
      <c r="BO1387" t="s">
        <v>111</v>
      </c>
      <c r="BP1387" t="s">
        <v>111</v>
      </c>
      <c r="BQ1387" t="s">
        <v>111</v>
      </c>
      <c r="BR1387" t="s">
        <v>111</v>
      </c>
      <c r="BS1387" t="s">
        <v>111</v>
      </c>
      <c r="BT1387" t="s">
        <v>111</v>
      </c>
      <c r="BU1387" t="s">
        <v>111</v>
      </c>
      <c r="BV1387" t="s">
        <v>111</v>
      </c>
      <c r="BW1387" t="s">
        <v>111</v>
      </c>
      <c r="BX1387" t="s">
        <v>111</v>
      </c>
      <c r="BY1387" t="s">
        <v>111</v>
      </c>
      <c r="BZ1387" t="s">
        <v>111</v>
      </c>
      <c r="CA1387" t="s">
        <v>111</v>
      </c>
      <c r="CB1387" t="s">
        <v>111</v>
      </c>
      <c r="CC1387" t="s">
        <v>111</v>
      </c>
      <c r="CD1387" t="s">
        <v>111</v>
      </c>
      <c r="CE1387" t="s">
        <v>111</v>
      </c>
      <c r="CF1387" t="s">
        <v>111</v>
      </c>
      <c r="CG1387" t="s">
        <v>111</v>
      </c>
      <c r="CH1387" t="s">
        <v>111</v>
      </c>
      <c r="CI1387" t="s">
        <v>111</v>
      </c>
      <c r="CJ1387" t="s">
        <v>111</v>
      </c>
      <c r="CK1387" t="s">
        <v>111</v>
      </c>
      <c r="CL1387" t="s">
        <v>111</v>
      </c>
      <c r="CM1387" t="s">
        <v>111</v>
      </c>
      <c r="CN1387" t="s">
        <v>111</v>
      </c>
      <c r="CO1387" t="s">
        <v>111</v>
      </c>
      <c r="CP1387" t="s">
        <v>111</v>
      </c>
      <c r="CQ1387">
        <v>0</v>
      </c>
      <c r="CR1387">
        <v>0</v>
      </c>
      <c r="CS1387">
        <v>0</v>
      </c>
      <c r="CT1387" t="s">
        <v>111</v>
      </c>
      <c r="CU1387">
        <v>0</v>
      </c>
      <c r="CV1387" t="s">
        <v>111</v>
      </c>
      <c r="CW1387" t="s">
        <v>111</v>
      </c>
      <c r="CX1387" t="s">
        <v>111</v>
      </c>
      <c r="CY1387">
        <v>0</v>
      </c>
      <c r="CZ1387" t="s">
        <v>111</v>
      </c>
      <c r="DA1387" t="s">
        <v>111</v>
      </c>
      <c r="DB1387" t="s">
        <v>111</v>
      </c>
      <c r="DC1387" t="s">
        <v>111</v>
      </c>
    </row>
    <row r="1388" spans="1:107">
      <c r="A1388">
        <v>91</v>
      </c>
      <c r="B1388" t="s">
        <v>162</v>
      </c>
      <c r="C1388" t="s">
        <v>719</v>
      </c>
      <c r="D1388" t="s">
        <v>3958</v>
      </c>
      <c r="E1388" t="s">
        <v>3959</v>
      </c>
      <c r="F1388" t="s">
        <v>1651</v>
      </c>
      <c r="G1388" t="s">
        <v>24</v>
      </c>
      <c r="H1388">
        <v>2.4</v>
      </c>
      <c r="I1388">
        <v>38</v>
      </c>
      <c r="J1388">
        <v>0</v>
      </c>
      <c r="K1388">
        <v>0</v>
      </c>
      <c r="L1388" t="s">
        <v>112</v>
      </c>
      <c r="M1388" t="s">
        <v>118</v>
      </c>
      <c r="N1388">
        <v>40</v>
      </c>
      <c r="O1388">
        <v>2</v>
      </c>
      <c r="P1388" t="s">
        <v>138</v>
      </c>
      <c r="Q1388">
        <v>35</v>
      </c>
      <c r="R1388">
        <v>0</v>
      </c>
      <c r="S1388">
        <v>0</v>
      </c>
      <c r="T1388">
        <v>0</v>
      </c>
      <c r="U1388" t="s">
        <v>168</v>
      </c>
      <c r="V1388">
        <v>0</v>
      </c>
      <c r="W1388">
        <v>0</v>
      </c>
      <c r="X1388">
        <v>1</v>
      </c>
      <c r="Y1388">
        <v>0</v>
      </c>
      <c r="Z1388" t="s">
        <v>111</v>
      </c>
      <c r="AA1388">
        <v>0</v>
      </c>
      <c r="AB1388" t="s">
        <v>111</v>
      </c>
      <c r="AC1388">
        <v>0</v>
      </c>
      <c r="AD1388" t="s">
        <v>416</v>
      </c>
      <c r="AE1388">
        <v>3</v>
      </c>
      <c r="AF1388">
        <v>2</v>
      </c>
      <c r="AG1388">
        <v>26</v>
      </c>
      <c r="AH1388" t="s">
        <v>111</v>
      </c>
      <c r="AI1388">
        <v>53</v>
      </c>
      <c r="AJ1388" t="s">
        <v>111</v>
      </c>
      <c r="AK1388" t="s">
        <v>111</v>
      </c>
      <c r="AL1388" t="s">
        <v>111</v>
      </c>
      <c r="AM1388">
        <v>0</v>
      </c>
      <c r="AN1388">
        <v>0</v>
      </c>
      <c r="AO1388">
        <v>0</v>
      </c>
      <c r="AP1388" t="s">
        <v>188</v>
      </c>
      <c r="AQ1388" t="s">
        <v>111</v>
      </c>
      <c r="AR1388" t="s">
        <v>111</v>
      </c>
      <c r="AS1388" t="s">
        <v>111</v>
      </c>
      <c r="AT1388" t="s">
        <v>288</v>
      </c>
      <c r="AU1388" t="s">
        <v>111</v>
      </c>
      <c r="AV1388" t="s">
        <v>111</v>
      </c>
      <c r="AW1388" t="s">
        <v>111</v>
      </c>
      <c r="AX1388" t="s">
        <v>772</v>
      </c>
      <c r="AY1388" t="s">
        <v>111</v>
      </c>
      <c r="AZ1388" t="s">
        <v>111</v>
      </c>
      <c r="BA1388" t="s">
        <v>111</v>
      </c>
      <c r="BB1388" t="s">
        <v>111</v>
      </c>
      <c r="BC1388" t="s">
        <v>111</v>
      </c>
      <c r="BD1388" t="s">
        <v>111</v>
      </c>
      <c r="BE1388" t="s">
        <v>111</v>
      </c>
      <c r="BF1388" t="s">
        <v>111</v>
      </c>
      <c r="BG1388" t="s">
        <v>111</v>
      </c>
      <c r="BH1388" t="s">
        <v>111</v>
      </c>
      <c r="BI1388" t="s">
        <v>111</v>
      </c>
      <c r="BJ1388" t="s">
        <v>111</v>
      </c>
      <c r="BK1388" t="s">
        <v>111</v>
      </c>
      <c r="BL1388" t="s">
        <v>111</v>
      </c>
      <c r="BM1388" t="s">
        <v>111</v>
      </c>
      <c r="BN1388" t="s">
        <v>111</v>
      </c>
      <c r="BO1388" t="s">
        <v>111</v>
      </c>
      <c r="BP1388" t="s">
        <v>111</v>
      </c>
      <c r="BQ1388" t="s">
        <v>111</v>
      </c>
      <c r="BR1388" t="s">
        <v>111</v>
      </c>
      <c r="BS1388" t="s">
        <v>111</v>
      </c>
      <c r="BT1388" t="s">
        <v>111</v>
      </c>
      <c r="BU1388" t="s">
        <v>111</v>
      </c>
      <c r="BV1388" t="s">
        <v>111</v>
      </c>
      <c r="BW1388" t="s">
        <v>111</v>
      </c>
      <c r="BX1388" t="s">
        <v>111</v>
      </c>
      <c r="BY1388" t="s">
        <v>111</v>
      </c>
      <c r="BZ1388" t="s">
        <v>111</v>
      </c>
      <c r="CA1388" t="s">
        <v>111</v>
      </c>
      <c r="CB1388" t="s">
        <v>111</v>
      </c>
      <c r="CC1388" t="s">
        <v>111</v>
      </c>
      <c r="CD1388" t="s">
        <v>111</v>
      </c>
      <c r="CE1388" t="s">
        <v>111</v>
      </c>
      <c r="CF1388" t="s">
        <v>111</v>
      </c>
      <c r="CG1388" t="s">
        <v>111</v>
      </c>
      <c r="CH1388" t="s">
        <v>111</v>
      </c>
      <c r="CI1388" t="s">
        <v>111</v>
      </c>
      <c r="CJ1388" t="s">
        <v>111</v>
      </c>
      <c r="CK1388" t="s">
        <v>111</v>
      </c>
      <c r="CL1388" t="s">
        <v>153</v>
      </c>
      <c r="CM1388" t="s">
        <v>198</v>
      </c>
      <c r="CN1388" t="s">
        <v>113</v>
      </c>
      <c r="CO1388" t="s">
        <v>111</v>
      </c>
      <c r="CP1388" t="s">
        <v>433</v>
      </c>
      <c r="CQ1388">
        <v>0</v>
      </c>
      <c r="CR1388">
        <v>0</v>
      </c>
      <c r="CS1388">
        <v>0</v>
      </c>
      <c r="CT1388" t="s">
        <v>168</v>
      </c>
      <c r="CU1388">
        <v>0</v>
      </c>
      <c r="CV1388" t="s">
        <v>111</v>
      </c>
      <c r="CW1388" t="s">
        <v>111</v>
      </c>
      <c r="CX1388" t="s">
        <v>111</v>
      </c>
      <c r="CY1388">
        <v>0</v>
      </c>
      <c r="CZ1388" t="s">
        <v>111</v>
      </c>
      <c r="DA1388" t="s">
        <v>111</v>
      </c>
      <c r="DB1388" t="s">
        <v>111</v>
      </c>
      <c r="DC1388" t="s">
        <v>111</v>
      </c>
    </row>
    <row r="1389" spans="1:107">
      <c r="A1389">
        <v>398</v>
      </c>
      <c r="B1389" t="s">
        <v>162</v>
      </c>
      <c r="C1389" t="s">
        <v>3783</v>
      </c>
      <c r="D1389" t="s">
        <v>3960</v>
      </c>
      <c r="E1389" t="s">
        <v>3961</v>
      </c>
      <c r="F1389" t="s">
        <v>1260</v>
      </c>
      <c r="G1389" t="s">
        <v>24</v>
      </c>
      <c r="H1389">
        <v>2</v>
      </c>
      <c r="I1389">
        <v>40</v>
      </c>
      <c r="J1389">
        <v>0</v>
      </c>
      <c r="K1389">
        <v>0</v>
      </c>
      <c r="L1389" t="s">
        <v>117</v>
      </c>
      <c r="M1389" t="s">
        <v>138</v>
      </c>
      <c r="N1389">
        <v>0</v>
      </c>
      <c r="O1389">
        <v>0</v>
      </c>
      <c r="P1389" t="s">
        <v>138</v>
      </c>
      <c r="Q1389">
        <v>30</v>
      </c>
      <c r="R1389">
        <v>0</v>
      </c>
      <c r="S1389">
        <v>0</v>
      </c>
      <c r="T1389">
        <v>0</v>
      </c>
      <c r="U1389" t="s">
        <v>153</v>
      </c>
      <c r="V1389">
        <v>0</v>
      </c>
      <c r="W1389">
        <v>0</v>
      </c>
      <c r="X1389">
        <v>0</v>
      </c>
      <c r="Y1389">
        <v>25</v>
      </c>
      <c r="Z1389" t="s">
        <v>111</v>
      </c>
      <c r="AA1389">
        <v>0</v>
      </c>
      <c r="AB1389" t="s">
        <v>111</v>
      </c>
      <c r="AC1389">
        <v>0</v>
      </c>
      <c r="AD1389" t="s">
        <v>111</v>
      </c>
      <c r="AE1389">
        <v>0</v>
      </c>
      <c r="AF1389">
        <v>0</v>
      </c>
      <c r="AG1389" t="s">
        <v>111</v>
      </c>
      <c r="AH1389" t="s">
        <v>111</v>
      </c>
      <c r="AI1389" t="s">
        <v>111</v>
      </c>
      <c r="AJ1389" t="s">
        <v>111</v>
      </c>
      <c r="AK1389" t="s">
        <v>111</v>
      </c>
      <c r="AL1389" t="s">
        <v>111</v>
      </c>
      <c r="AM1389">
        <v>0</v>
      </c>
      <c r="AN1389">
        <v>0</v>
      </c>
      <c r="AO1389">
        <v>0</v>
      </c>
      <c r="AP1389" t="s">
        <v>111</v>
      </c>
      <c r="AQ1389" t="s">
        <v>111</v>
      </c>
      <c r="AR1389" t="s">
        <v>111</v>
      </c>
      <c r="AS1389" t="s">
        <v>111</v>
      </c>
      <c r="AT1389" t="s">
        <v>111</v>
      </c>
      <c r="AU1389" t="s">
        <v>111</v>
      </c>
      <c r="AV1389" t="s">
        <v>111</v>
      </c>
      <c r="AW1389" t="s">
        <v>111</v>
      </c>
      <c r="AX1389" t="s">
        <v>111</v>
      </c>
      <c r="AY1389" t="s">
        <v>111</v>
      </c>
      <c r="AZ1389" t="s">
        <v>111</v>
      </c>
      <c r="BA1389" t="s">
        <v>111</v>
      </c>
      <c r="BB1389" t="s">
        <v>111</v>
      </c>
      <c r="BC1389" t="s">
        <v>111</v>
      </c>
      <c r="BD1389" t="s">
        <v>111</v>
      </c>
      <c r="BE1389" t="s">
        <v>111</v>
      </c>
      <c r="BF1389" t="s">
        <v>111</v>
      </c>
      <c r="BG1389" t="s">
        <v>111</v>
      </c>
      <c r="BH1389" t="s">
        <v>111</v>
      </c>
      <c r="BI1389" t="s">
        <v>111</v>
      </c>
      <c r="BJ1389" t="s">
        <v>111</v>
      </c>
      <c r="BK1389" t="s">
        <v>111</v>
      </c>
      <c r="BL1389" t="s">
        <v>111</v>
      </c>
      <c r="BM1389" t="s">
        <v>111</v>
      </c>
      <c r="BN1389" t="s">
        <v>111</v>
      </c>
      <c r="BO1389" t="s">
        <v>111</v>
      </c>
      <c r="BP1389" t="s">
        <v>111</v>
      </c>
      <c r="BQ1389" t="s">
        <v>111</v>
      </c>
      <c r="BR1389" t="s">
        <v>111</v>
      </c>
      <c r="BS1389" t="s">
        <v>111</v>
      </c>
      <c r="BT1389" t="s">
        <v>111</v>
      </c>
      <c r="BU1389" t="s">
        <v>111</v>
      </c>
      <c r="BV1389" t="s">
        <v>111</v>
      </c>
      <c r="BW1389" t="s">
        <v>111</v>
      </c>
      <c r="BX1389" t="s">
        <v>111</v>
      </c>
      <c r="BY1389" t="s">
        <v>111</v>
      </c>
      <c r="BZ1389" t="s">
        <v>111</v>
      </c>
      <c r="CA1389" t="s">
        <v>111</v>
      </c>
      <c r="CB1389" t="s">
        <v>111</v>
      </c>
      <c r="CC1389" t="s">
        <v>111</v>
      </c>
      <c r="CD1389" t="s">
        <v>111</v>
      </c>
      <c r="CE1389" t="s">
        <v>111</v>
      </c>
      <c r="CF1389" t="s">
        <v>111</v>
      </c>
      <c r="CG1389" t="s">
        <v>111</v>
      </c>
      <c r="CH1389" t="s">
        <v>111</v>
      </c>
      <c r="CI1389" t="s">
        <v>111</v>
      </c>
      <c r="CJ1389" t="s">
        <v>111</v>
      </c>
      <c r="CK1389" t="s">
        <v>111</v>
      </c>
      <c r="CL1389" t="s">
        <v>111</v>
      </c>
      <c r="CM1389" t="s">
        <v>198</v>
      </c>
      <c r="CN1389" t="s">
        <v>113</v>
      </c>
      <c r="CO1389" t="s">
        <v>111</v>
      </c>
      <c r="CP1389" t="s">
        <v>111</v>
      </c>
      <c r="CQ1389">
        <v>0</v>
      </c>
      <c r="CR1389">
        <v>0</v>
      </c>
      <c r="CS1389">
        <v>0</v>
      </c>
      <c r="CT1389" t="s">
        <v>168</v>
      </c>
      <c r="CU1389">
        <v>0</v>
      </c>
      <c r="CV1389" t="s">
        <v>111</v>
      </c>
      <c r="CW1389" t="s">
        <v>111</v>
      </c>
      <c r="CX1389" t="s">
        <v>111</v>
      </c>
      <c r="CY1389">
        <v>0</v>
      </c>
      <c r="CZ1389" t="s">
        <v>111</v>
      </c>
      <c r="DA1389" t="s">
        <v>111</v>
      </c>
      <c r="DB1389" t="s">
        <v>111</v>
      </c>
      <c r="DC1389" t="s">
        <v>111</v>
      </c>
    </row>
    <row r="1390" spans="1:107">
      <c r="A1390">
        <v>21</v>
      </c>
      <c r="B1390" t="s">
        <v>162</v>
      </c>
      <c r="C1390" t="s">
        <v>226</v>
      </c>
      <c r="D1390" t="s">
        <v>3962</v>
      </c>
      <c r="E1390" t="s">
        <v>3963</v>
      </c>
      <c r="F1390" t="s">
        <v>1071</v>
      </c>
      <c r="G1390" t="s">
        <v>24</v>
      </c>
      <c r="H1390">
        <v>1.3</v>
      </c>
      <c r="I1390">
        <v>30</v>
      </c>
      <c r="J1390">
        <v>0</v>
      </c>
      <c r="K1390">
        <v>0</v>
      </c>
      <c r="L1390" t="s">
        <v>112</v>
      </c>
      <c r="M1390" t="s">
        <v>138</v>
      </c>
      <c r="N1390">
        <v>0</v>
      </c>
      <c r="O1390">
        <v>0</v>
      </c>
      <c r="P1390" t="s">
        <v>138</v>
      </c>
      <c r="Q1390">
        <v>30</v>
      </c>
      <c r="R1390">
        <v>0</v>
      </c>
      <c r="S1390">
        <v>0</v>
      </c>
      <c r="T1390">
        <v>0</v>
      </c>
      <c r="U1390" t="s">
        <v>111</v>
      </c>
      <c r="V1390">
        <v>0</v>
      </c>
      <c r="W1390">
        <v>0</v>
      </c>
      <c r="X1390">
        <v>0</v>
      </c>
      <c r="Y1390">
        <v>25</v>
      </c>
      <c r="Z1390" t="s">
        <v>111</v>
      </c>
      <c r="AA1390">
        <v>0</v>
      </c>
      <c r="AB1390" t="s">
        <v>111</v>
      </c>
      <c r="AC1390">
        <v>0</v>
      </c>
      <c r="AD1390" t="s">
        <v>111</v>
      </c>
      <c r="AE1390">
        <v>0</v>
      </c>
      <c r="AF1390">
        <v>0</v>
      </c>
      <c r="AG1390" t="s">
        <v>111</v>
      </c>
      <c r="AH1390" t="s">
        <v>111</v>
      </c>
      <c r="AI1390" t="s">
        <v>111</v>
      </c>
      <c r="AJ1390" t="s">
        <v>111</v>
      </c>
      <c r="AK1390" t="s">
        <v>111</v>
      </c>
      <c r="AL1390" t="s">
        <v>111</v>
      </c>
      <c r="AM1390">
        <v>0</v>
      </c>
      <c r="AN1390">
        <v>0</v>
      </c>
      <c r="AO1390">
        <v>0</v>
      </c>
      <c r="AP1390" t="s">
        <v>111</v>
      </c>
      <c r="AQ1390" t="s">
        <v>111</v>
      </c>
      <c r="AR1390" t="s">
        <v>111</v>
      </c>
      <c r="AS1390" t="s">
        <v>111</v>
      </c>
      <c r="AT1390" t="s">
        <v>111</v>
      </c>
      <c r="AU1390" t="s">
        <v>111</v>
      </c>
      <c r="AV1390" t="s">
        <v>111</v>
      </c>
      <c r="AW1390" t="s">
        <v>111</v>
      </c>
      <c r="AX1390" t="s">
        <v>111</v>
      </c>
      <c r="AY1390" t="s">
        <v>111</v>
      </c>
      <c r="AZ1390" t="s">
        <v>111</v>
      </c>
      <c r="BA1390" t="s">
        <v>111</v>
      </c>
      <c r="BB1390" t="s">
        <v>111</v>
      </c>
      <c r="BC1390" t="s">
        <v>111</v>
      </c>
      <c r="BD1390" t="s">
        <v>111</v>
      </c>
      <c r="BE1390" t="s">
        <v>111</v>
      </c>
      <c r="BF1390" t="s">
        <v>111</v>
      </c>
      <c r="BG1390" t="s">
        <v>111</v>
      </c>
      <c r="BH1390" t="s">
        <v>111</v>
      </c>
      <c r="BI1390" t="s">
        <v>111</v>
      </c>
      <c r="BJ1390" t="s">
        <v>111</v>
      </c>
      <c r="BK1390" t="s">
        <v>111</v>
      </c>
      <c r="BL1390" t="s">
        <v>111</v>
      </c>
      <c r="BM1390" t="s">
        <v>111</v>
      </c>
      <c r="BN1390" t="s">
        <v>111</v>
      </c>
      <c r="BO1390" t="s">
        <v>111</v>
      </c>
      <c r="BP1390" t="s">
        <v>111</v>
      </c>
      <c r="BQ1390" t="s">
        <v>111</v>
      </c>
      <c r="BR1390" t="s">
        <v>111</v>
      </c>
      <c r="BS1390" t="s">
        <v>111</v>
      </c>
      <c r="BT1390" t="s">
        <v>111</v>
      </c>
      <c r="BU1390" t="s">
        <v>111</v>
      </c>
      <c r="BV1390" t="s">
        <v>111</v>
      </c>
      <c r="BW1390" t="s">
        <v>111</v>
      </c>
      <c r="BX1390" t="s">
        <v>111</v>
      </c>
      <c r="BY1390" t="s">
        <v>111</v>
      </c>
      <c r="BZ1390" t="s">
        <v>111</v>
      </c>
      <c r="CA1390" t="s">
        <v>111</v>
      </c>
      <c r="CB1390" t="s">
        <v>111</v>
      </c>
      <c r="CC1390" t="s">
        <v>111</v>
      </c>
      <c r="CD1390" t="s">
        <v>111</v>
      </c>
      <c r="CE1390" t="s">
        <v>111</v>
      </c>
      <c r="CF1390" t="s">
        <v>111</v>
      </c>
      <c r="CG1390" t="s">
        <v>111</v>
      </c>
      <c r="CH1390" t="s">
        <v>111</v>
      </c>
      <c r="CI1390" t="s">
        <v>111</v>
      </c>
      <c r="CJ1390" t="s">
        <v>111</v>
      </c>
      <c r="CK1390" t="s">
        <v>111</v>
      </c>
      <c r="CL1390" t="s">
        <v>111</v>
      </c>
      <c r="CM1390" t="s">
        <v>198</v>
      </c>
      <c r="CN1390" t="s">
        <v>113</v>
      </c>
      <c r="CO1390" t="s">
        <v>111</v>
      </c>
      <c r="CP1390" t="s">
        <v>111</v>
      </c>
      <c r="CQ1390">
        <v>0</v>
      </c>
      <c r="CR1390">
        <v>0</v>
      </c>
      <c r="CS1390">
        <v>0</v>
      </c>
      <c r="CT1390" t="s">
        <v>111</v>
      </c>
      <c r="CU1390">
        <v>0</v>
      </c>
      <c r="CV1390" t="s">
        <v>111</v>
      </c>
      <c r="CW1390" t="s">
        <v>111</v>
      </c>
      <c r="CX1390" t="s">
        <v>111</v>
      </c>
      <c r="CY1390">
        <v>0</v>
      </c>
      <c r="CZ1390" t="s">
        <v>111</v>
      </c>
      <c r="DA1390" t="s">
        <v>111</v>
      </c>
      <c r="DB1390" t="s">
        <v>111</v>
      </c>
      <c r="DC1390" t="s">
        <v>111</v>
      </c>
    </row>
    <row r="1391" spans="1:107">
      <c r="A1391">
        <v>178</v>
      </c>
      <c r="B1391" t="s">
        <v>162</v>
      </c>
      <c r="C1391" t="s">
        <v>2690</v>
      </c>
      <c r="D1391" t="s">
        <v>3684</v>
      </c>
      <c r="E1391" t="s">
        <v>3685</v>
      </c>
      <c r="F1391" t="s">
        <v>1651</v>
      </c>
      <c r="G1391" t="s">
        <v>24</v>
      </c>
      <c r="H1391">
        <v>1.45</v>
      </c>
      <c r="I1391">
        <v>35</v>
      </c>
      <c r="J1391">
        <v>0</v>
      </c>
      <c r="K1391">
        <v>0</v>
      </c>
      <c r="L1391" t="s">
        <v>178</v>
      </c>
      <c r="M1391" t="s">
        <v>118</v>
      </c>
      <c r="N1391">
        <v>40</v>
      </c>
      <c r="O1391">
        <v>2</v>
      </c>
      <c r="P1391" t="s">
        <v>138</v>
      </c>
      <c r="Q1391">
        <v>40</v>
      </c>
      <c r="R1391">
        <v>0</v>
      </c>
      <c r="S1391">
        <v>0</v>
      </c>
      <c r="T1391">
        <v>0</v>
      </c>
      <c r="U1391" t="s">
        <v>2685</v>
      </c>
      <c r="V1391">
        <v>0</v>
      </c>
      <c r="W1391">
        <v>0</v>
      </c>
      <c r="X1391">
        <v>0</v>
      </c>
      <c r="Y1391">
        <v>25</v>
      </c>
      <c r="Z1391" t="s">
        <v>111</v>
      </c>
      <c r="AA1391">
        <v>0</v>
      </c>
      <c r="AB1391" t="s">
        <v>111</v>
      </c>
      <c r="AC1391">
        <v>0</v>
      </c>
      <c r="AD1391" t="s">
        <v>427</v>
      </c>
      <c r="AE1391">
        <v>0</v>
      </c>
      <c r="AF1391">
        <v>0</v>
      </c>
      <c r="AG1391">
        <v>18</v>
      </c>
      <c r="AH1391" t="s">
        <v>111</v>
      </c>
      <c r="AI1391">
        <v>36</v>
      </c>
      <c r="AJ1391" t="s">
        <v>111</v>
      </c>
      <c r="AK1391" t="s">
        <v>111</v>
      </c>
      <c r="AL1391" t="s">
        <v>111</v>
      </c>
      <c r="AM1391">
        <v>0</v>
      </c>
      <c r="AN1391">
        <v>0</v>
      </c>
      <c r="AO1391">
        <v>0</v>
      </c>
      <c r="AP1391" t="s">
        <v>111</v>
      </c>
      <c r="AQ1391" t="s">
        <v>111</v>
      </c>
      <c r="AR1391" t="s">
        <v>111</v>
      </c>
      <c r="AS1391" t="s">
        <v>111</v>
      </c>
      <c r="AT1391" t="s">
        <v>111</v>
      </c>
      <c r="AU1391" t="s">
        <v>111</v>
      </c>
      <c r="AV1391" t="s">
        <v>111</v>
      </c>
      <c r="AW1391" t="s">
        <v>111</v>
      </c>
      <c r="AX1391" t="s">
        <v>111</v>
      </c>
      <c r="AY1391" t="s">
        <v>111</v>
      </c>
      <c r="AZ1391" t="s">
        <v>111</v>
      </c>
      <c r="BA1391" t="s">
        <v>111</v>
      </c>
      <c r="BB1391" t="s">
        <v>111</v>
      </c>
      <c r="BC1391" t="s">
        <v>111</v>
      </c>
      <c r="BD1391" t="s">
        <v>111</v>
      </c>
      <c r="BE1391" t="s">
        <v>111</v>
      </c>
      <c r="BF1391" t="s">
        <v>111</v>
      </c>
      <c r="BG1391" t="s">
        <v>111</v>
      </c>
      <c r="BH1391" t="s">
        <v>111</v>
      </c>
      <c r="BI1391" t="s">
        <v>111</v>
      </c>
      <c r="BJ1391" t="s">
        <v>111</v>
      </c>
      <c r="BK1391" t="s">
        <v>111</v>
      </c>
      <c r="BL1391" t="s">
        <v>111</v>
      </c>
      <c r="BM1391" t="s">
        <v>111</v>
      </c>
      <c r="BN1391" t="s">
        <v>111</v>
      </c>
      <c r="BO1391" t="s">
        <v>111</v>
      </c>
      <c r="BP1391" t="s">
        <v>111</v>
      </c>
      <c r="BQ1391" t="s">
        <v>111</v>
      </c>
      <c r="BR1391" t="s">
        <v>111</v>
      </c>
      <c r="BS1391" t="s">
        <v>111</v>
      </c>
      <c r="BT1391" t="s">
        <v>111</v>
      </c>
      <c r="BU1391" t="s">
        <v>111</v>
      </c>
      <c r="BV1391" t="s">
        <v>111</v>
      </c>
      <c r="BW1391" t="s">
        <v>111</v>
      </c>
      <c r="BX1391" t="s">
        <v>111</v>
      </c>
      <c r="BY1391" t="s">
        <v>111</v>
      </c>
      <c r="BZ1391" t="s">
        <v>111</v>
      </c>
      <c r="CA1391" t="s">
        <v>111</v>
      </c>
      <c r="CB1391" t="s">
        <v>111</v>
      </c>
      <c r="CC1391" t="s">
        <v>111</v>
      </c>
      <c r="CD1391" t="s">
        <v>111</v>
      </c>
      <c r="CE1391" t="s">
        <v>111</v>
      </c>
      <c r="CF1391" t="s">
        <v>111</v>
      </c>
      <c r="CG1391" t="s">
        <v>111</v>
      </c>
      <c r="CH1391" t="s">
        <v>111</v>
      </c>
      <c r="CI1391" t="s">
        <v>111</v>
      </c>
      <c r="CJ1391" t="s">
        <v>111</v>
      </c>
      <c r="CK1391" t="s">
        <v>111</v>
      </c>
      <c r="CL1391" t="s">
        <v>153</v>
      </c>
      <c r="CM1391" t="s">
        <v>198</v>
      </c>
      <c r="CN1391" t="s">
        <v>113</v>
      </c>
      <c r="CO1391" t="s">
        <v>111</v>
      </c>
      <c r="CP1391" t="s">
        <v>433</v>
      </c>
      <c r="CQ1391">
        <v>0</v>
      </c>
      <c r="CR1391">
        <v>0</v>
      </c>
      <c r="CS1391">
        <v>0</v>
      </c>
      <c r="CT1391" t="s">
        <v>168</v>
      </c>
      <c r="CU1391">
        <v>0</v>
      </c>
      <c r="CV1391" t="s">
        <v>111</v>
      </c>
      <c r="CW1391" t="s">
        <v>111</v>
      </c>
      <c r="CX1391" t="s">
        <v>111</v>
      </c>
      <c r="CY1391">
        <v>0</v>
      </c>
      <c r="CZ1391" t="s">
        <v>111</v>
      </c>
      <c r="DA1391" t="s">
        <v>111</v>
      </c>
      <c r="DB1391" t="s">
        <v>111</v>
      </c>
      <c r="DC1391" t="s">
        <v>111</v>
      </c>
    </row>
    <row r="1392" spans="1:107">
      <c r="A1392">
        <v>298</v>
      </c>
      <c r="B1392" t="s">
        <v>162</v>
      </c>
      <c r="C1392" t="s">
        <v>3916</v>
      </c>
      <c r="D1392" t="s">
        <v>3964</v>
      </c>
      <c r="E1392" t="s">
        <v>3965</v>
      </c>
      <c r="F1392" t="s">
        <v>110</v>
      </c>
      <c r="G1392" t="s">
        <v>24</v>
      </c>
      <c r="H1392">
        <v>1</v>
      </c>
      <c r="I1392">
        <v>20</v>
      </c>
      <c r="J1392">
        <v>0</v>
      </c>
      <c r="K1392">
        <v>0</v>
      </c>
      <c r="L1392" t="s">
        <v>112</v>
      </c>
      <c r="M1392" t="s">
        <v>138</v>
      </c>
      <c r="N1392">
        <v>0</v>
      </c>
      <c r="O1392">
        <v>0</v>
      </c>
      <c r="P1392" t="s">
        <v>138</v>
      </c>
      <c r="Q1392">
        <v>35</v>
      </c>
      <c r="R1392">
        <v>0</v>
      </c>
      <c r="S1392">
        <v>0</v>
      </c>
      <c r="T1392">
        <v>0</v>
      </c>
      <c r="U1392" s="1" t="s">
        <v>3780</v>
      </c>
      <c r="V1392">
        <v>0</v>
      </c>
      <c r="W1392">
        <v>0</v>
      </c>
      <c r="X1392">
        <v>0</v>
      </c>
      <c r="Y1392">
        <v>25</v>
      </c>
      <c r="Z1392" t="s">
        <v>111</v>
      </c>
      <c r="AA1392">
        <v>0</v>
      </c>
      <c r="AB1392" t="s">
        <v>111</v>
      </c>
      <c r="AC1392">
        <v>0</v>
      </c>
      <c r="AD1392" t="s">
        <v>111</v>
      </c>
      <c r="AE1392">
        <v>0</v>
      </c>
      <c r="AF1392">
        <v>0</v>
      </c>
      <c r="AG1392" t="s">
        <v>111</v>
      </c>
      <c r="AH1392" t="s">
        <v>111</v>
      </c>
      <c r="AI1392" t="s">
        <v>111</v>
      </c>
      <c r="AJ1392" t="s">
        <v>111</v>
      </c>
      <c r="AK1392" t="s">
        <v>111</v>
      </c>
      <c r="AL1392" t="s">
        <v>111</v>
      </c>
      <c r="AM1392">
        <v>0</v>
      </c>
      <c r="AN1392">
        <v>0</v>
      </c>
      <c r="AO1392">
        <v>0</v>
      </c>
      <c r="AP1392" t="s">
        <v>111</v>
      </c>
      <c r="AQ1392" t="s">
        <v>111</v>
      </c>
      <c r="AR1392" t="s">
        <v>111</v>
      </c>
      <c r="AS1392" t="s">
        <v>111</v>
      </c>
      <c r="AT1392" t="s">
        <v>111</v>
      </c>
      <c r="AU1392" t="s">
        <v>111</v>
      </c>
      <c r="AV1392" t="s">
        <v>111</v>
      </c>
      <c r="AW1392" t="s">
        <v>111</v>
      </c>
      <c r="AX1392" t="s">
        <v>111</v>
      </c>
      <c r="AY1392" t="s">
        <v>111</v>
      </c>
      <c r="AZ1392" t="s">
        <v>111</v>
      </c>
      <c r="BA1392" t="s">
        <v>111</v>
      </c>
      <c r="BB1392" t="s">
        <v>111</v>
      </c>
      <c r="BC1392" t="s">
        <v>111</v>
      </c>
      <c r="BD1392" t="s">
        <v>111</v>
      </c>
      <c r="BE1392" t="s">
        <v>111</v>
      </c>
      <c r="BF1392" t="s">
        <v>111</v>
      </c>
      <c r="BG1392" t="s">
        <v>111</v>
      </c>
      <c r="BH1392" t="s">
        <v>111</v>
      </c>
      <c r="BI1392" t="s">
        <v>111</v>
      </c>
      <c r="BJ1392" t="s">
        <v>111</v>
      </c>
      <c r="BK1392" t="s">
        <v>111</v>
      </c>
      <c r="BL1392" t="s">
        <v>111</v>
      </c>
      <c r="BM1392" t="s">
        <v>111</v>
      </c>
      <c r="BN1392" t="s">
        <v>111</v>
      </c>
      <c r="BO1392" t="s">
        <v>111</v>
      </c>
      <c r="BP1392" t="s">
        <v>111</v>
      </c>
      <c r="BQ1392" t="s">
        <v>111</v>
      </c>
      <c r="BR1392" t="s">
        <v>111</v>
      </c>
      <c r="BS1392" t="s">
        <v>111</v>
      </c>
      <c r="BT1392" t="s">
        <v>111</v>
      </c>
      <c r="BU1392" t="s">
        <v>111</v>
      </c>
      <c r="BV1392" t="s">
        <v>111</v>
      </c>
      <c r="BW1392" t="s">
        <v>111</v>
      </c>
      <c r="BX1392" t="s">
        <v>111</v>
      </c>
      <c r="BY1392" t="s">
        <v>111</v>
      </c>
      <c r="BZ1392" t="s">
        <v>111</v>
      </c>
      <c r="CA1392" t="s">
        <v>111</v>
      </c>
      <c r="CB1392" t="s">
        <v>111</v>
      </c>
      <c r="CC1392" t="s">
        <v>111</v>
      </c>
      <c r="CD1392" t="s">
        <v>111</v>
      </c>
      <c r="CE1392" t="s">
        <v>111</v>
      </c>
      <c r="CF1392" t="s">
        <v>111</v>
      </c>
      <c r="CG1392" t="s">
        <v>111</v>
      </c>
      <c r="CH1392" t="s">
        <v>111</v>
      </c>
      <c r="CI1392" t="s">
        <v>111</v>
      </c>
      <c r="CJ1392" t="s">
        <v>111</v>
      </c>
      <c r="CK1392" t="s">
        <v>111</v>
      </c>
      <c r="CL1392" t="s">
        <v>111</v>
      </c>
      <c r="CM1392" t="s">
        <v>111</v>
      </c>
      <c r="CN1392" t="s">
        <v>111</v>
      </c>
      <c r="CO1392" t="s">
        <v>111</v>
      </c>
      <c r="CP1392" t="s">
        <v>111</v>
      </c>
      <c r="CQ1392">
        <v>0</v>
      </c>
      <c r="CR1392">
        <v>0</v>
      </c>
      <c r="CS1392">
        <v>0</v>
      </c>
      <c r="CT1392" t="s">
        <v>111</v>
      </c>
      <c r="CU1392">
        <v>0</v>
      </c>
      <c r="CV1392" t="s">
        <v>111</v>
      </c>
      <c r="CW1392" t="s">
        <v>111</v>
      </c>
      <c r="CX1392" t="s">
        <v>111</v>
      </c>
      <c r="CY1392">
        <v>0</v>
      </c>
      <c r="CZ1392" t="s">
        <v>111</v>
      </c>
      <c r="DA1392" t="s">
        <v>111</v>
      </c>
      <c r="DB1392" t="s">
        <v>111</v>
      </c>
      <c r="DC1392" t="s">
        <v>111</v>
      </c>
    </row>
    <row r="1393" spans="1:107">
      <c r="A1393">
        <v>297</v>
      </c>
      <c r="B1393" t="s">
        <v>162</v>
      </c>
      <c r="C1393" t="s">
        <v>3916</v>
      </c>
      <c r="D1393" t="s">
        <v>3966</v>
      </c>
      <c r="E1393" t="s">
        <v>3967</v>
      </c>
      <c r="F1393" t="s">
        <v>110</v>
      </c>
      <c r="G1393" t="s">
        <v>24</v>
      </c>
      <c r="H1393">
        <v>1</v>
      </c>
      <c r="I1393">
        <v>30</v>
      </c>
      <c r="J1393">
        <v>0</v>
      </c>
      <c r="K1393">
        <v>0</v>
      </c>
      <c r="L1393" t="s">
        <v>112</v>
      </c>
      <c r="M1393" t="s">
        <v>138</v>
      </c>
      <c r="N1393">
        <v>0</v>
      </c>
      <c r="O1393">
        <v>0</v>
      </c>
      <c r="P1393" t="s">
        <v>138</v>
      </c>
      <c r="Q1393">
        <v>35</v>
      </c>
      <c r="R1393">
        <v>0</v>
      </c>
      <c r="S1393">
        <v>0</v>
      </c>
      <c r="T1393">
        <v>0</v>
      </c>
      <c r="U1393" s="1" t="s">
        <v>3780</v>
      </c>
      <c r="V1393">
        <v>0</v>
      </c>
      <c r="W1393">
        <v>0</v>
      </c>
      <c r="X1393">
        <v>0</v>
      </c>
      <c r="Y1393">
        <v>25</v>
      </c>
      <c r="Z1393" t="s">
        <v>111</v>
      </c>
      <c r="AA1393">
        <v>0</v>
      </c>
      <c r="AB1393" t="s">
        <v>111</v>
      </c>
      <c r="AC1393">
        <v>0</v>
      </c>
      <c r="AD1393" t="s">
        <v>111</v>
      </c>
      <c r="AE1393">
        <v>0</v>
      </c>
      <c r="AF1393">
        <v>0</v>
      </c>
      <c r="AG1393" t="s">
        <v>111</v>
      </c>
      <c r="AH1393" t="s">
        <v>111</v>
      </c>
      <c r="AI1393" t="s">
        <v>111</v>
      </c>
      <c r="AJ1393" t="s">
        <v>111</v>
      </c>
      <c r="AK1393" t="s">
        <v>111</v>
      </c>
      <c r="AL1393" t="s">
        <v>111</v>
      </c>
      <c r="AM1393">
        <v>0</v>
      </c>
      <c r="AN1393">
        <v>0</v>
      </c>
      <c r="AO1393">
        <v>0</v>
      </c>
      <c r="AP1393" t="s">
        <v>111</v>
      </c>
      <c r="AQ1393" t="s">
        <v>111</v>
      </c>
      <c r="AR1393" t="s">
        <v>111</v>
      </c>
      <c r="AS1393" t="s">
        <v>111</v>
      </c>
      <c r="AT1393" t="s">
        <v>111</v>
      </c>
      <c r="AU1393" t="s">
        <v>111</v>
      </c>
      <c r="AV1393" t="s">
        <v>111</v>
      </c>
      <c r="AW1393" t="s">
        <v>111</v>
      </c>
      <c r="AX1393" t="s">
        <v>111</v>
      </c>
      <c r="AY1393" t="s">
        <v>111</v>
      </c>
      <c r="AZ1393" t="s">
        <v>111</v>
      </c>
      <c r="BA1393" t="s">
        <v>111</v>
      </c>
      <c r="BB1393" t="s">
        <v>111</v>
      </c>
      <c r="BC1393" t="s">
        <v>111</v>
      </c>
      <c r="BD1393" t="s">
        <v>111</v>
      </c>
      <c r="BE1393" t="s">
        <v>111</v>
      </c>
      <c r="BF1393" t="s">
        <v>111</v>
      </c>
      <c r="BG1393" t="s">
        <v>111</v>
      </c>
      <c r="BH1393" t="s">
        <v>111</v>
      </c>
      <c r="BI1393" t="s">
        <v>111</v>
      </c>
      <c r="BJ1393" t="s">
        <v>111</v>
      </c>
      <c r="BK1393" t="s">
        <v>111</v>
      </c>
      <c r="BL1393" t="s">
        <v>111</v>
      </c>
      <c r="BM1393" t="s">
        <v>111</v>
      </c>
      <c r="BN1393" t="s">
        <v>111</v>
      </c>
      <c r="BO1393" t="s">
        <v>111</v>
      </c>
      <c r="BP1393" t="s">
        <v>111</v>
      </c>
      <c r="BQ1393" t="s">
        <v>111</v>
      </c>
      <c r="BR1393" t="s">
        <v>111</v>
      </c>
      <c r="BS1393" t="s">
        <v>111</v>
      </c>
      <c r="BT1393" t="s">
        <v>111</v>
      </c>
      <c r="BU1393" t="s">
        <v>111</v>
      </c>
      <c r="BV1393" t="s">
        <v>111</v>
      </c>
      <c r="BW1393" t="s">
        <v>111</v>
      </c>
      <c r="BX1393" t="s">
        <v>111</v>
      </c>
      <c r="BY1393" t="s">
        <v>111</v>
      </c>
      <c r="BZ1393" t="s">
        <v>111</v>
      </c>
      <c r="CA1393" t="s">
        <v>111</v>
      </c>
      <c r="CB1393" t="s">
        <v>111</v>
      </c>
      <c r="CC1393" t="s">
        <v>111</v>
      </c>
      <c r="CD1393" t="s">
        <v>111</v>
      </c>
      <c r="CE1393" t="s">
        <v>111</v>
      </c>
      <c r="CF1393" t="s">
        <v>111</v>
      </c>
      <c r="CG1393" t="s">
        <v>111</v>
      </c>
      <c r="CH1393" t="s">
        <v>111</v>
      </c>
      <c r="CI1393" t="s">
        <v>111</v>
      </c>
      <c r="CJ1393" t="s">
        <v>111</v>
      </c>
      <c r="CK1393" t="s">
        <v>111</v>
      </c>
      <c r="CL1393" t="s">
        <v>111</v>
      </c>
      <c r="CM1393" t="s">
        <v>111</v>
      </c>
      <c r="CN1393" t="s">
        <v>111</v>
      </c>
      <c r="CO1393" t="s">
        <v>111</v>
      </c>
      <c r="CP1393" t="s">
        <v>111</v>
      </c>
      <c r="CQ1393">
        <v>0</v>
      </c>
      <c r="CR1393">
        <v>0</v>
      </c>
      <c r="CS1393">
        <v>0</v>
      </c>
      <c r="CT1393" t="s">
        <v>111</v>
      </c>
      <c r="CU1393">
        <v>0</v>
      </c>
      <c r="CV1393" t="s">
        <v>111</v>
      </c>
      <c r="CW1393" t="s">
        <v>111</v>
      </c>
      <c r="CX1393" t="s">
        <v>111</v>
      </c>
      <c r="CY1393">
        <v>0</v>
      </c>
      <c r="CZ1393" t="s">
        <v>111</v>
      </c>
      <c r="DA1393" t="s">
        <v>111</v>
      </c>
      <c r="DB1393" t="s">
        <v>111</v>
      </c>
      <c r="DC1393" t="s">
        <v>111</v>
      </c>
    </row>
    <row r="1394" spans="1:107">
      <c r="A1394">
        <v>296</v>
      </c>
      <c r="B1394" t="s">
        <v>162</v>
      </c>
      <c r="C1394" t="s">
        <v>3916</v>
      </c>
      <c r="D1394" t="s">
        <v>3968</v>
      </c>
      <c r="E1394" t="s">
        <v>3969</v>
      </c>
      <c r="F1394" t="s">
        <v>110</v>
      </c>
      <c r="G1394" t="s">
        <v>24</v>
      </c>
      <c r="H1394">
        <v>2.5</v>
      </c>
      <c r="I1394">
        <v>25</v>
      </c>
      <c r="J1394">
        <v>0</v>
      </c>
      <c r="K1394">
        <v>0</v>
      </c>
      <c r="L1394" t="s">
        <v>112</v>
      </c>
      <c r="M1394" t="s">
        <v>138</v>
      </c>
      <c r="N1394">
        <v>0</v>
      </c>
      <c r="O1394">
        <v>0</v>
      </c>
      <c r="P1394" t="s">
        <v>138</v>
      </c>
      <c r="Q1394">
        <v>35</v>
      </c>
      <c r="R1394">
        <v>0</v>
      </c>
      <c r="S1394">
        <v>0</v>
      </c>
      <c r="T1394">
        <v>0</v>
      </c>
      <c r="U1394" s="1" t="s">
        <v>3780</v>
      </c>
      <c r="V1394">
        <v>0</v>
      </c>
      <c r="W1394">
        <v>0</v>
      </c>
      <c r="X1394">
        <v>0</v>
      </c>
      <c r="Y1394">
        <v>25</v>
      </c>
      <c r="Z1394" t="s">
        <v>111</v>
      </c>
      <c r="AA1394">
        <v>0</v>
      </c>
      <c r="AB1394" t="s">
        <v>111</v>
      </c>
      <c r="AC1394">
        <v>0</v>
      </c>
      <c r="AD1394" t="s">
        <v>111</v>
      </c>
      <c r="AE1394">
        <v>0</v>
      </c>
      <c r="AF1394">
        <v>0</v>
      </c>
      <c r="AG1394" t="s">
        <v>111</v>
      </c>
      <c r="AH1394" t="s">
        <v>111</v>
      </c>
      <c r="AI1394" t="s">
        <v>111</v>
      </c>
      <c r="AJ1394" t="s">
        <v>111</v>
      </c>
      <c r="AK1394" t="s">
        <v>111</v>
      </c>
      <c r="AL1394" t="s">
        <v>111</v>
      </c>
      <c r="AM1394">
        <v>0</v>
      </c>
      <c r="AN1394">
        <v>0</v>
      </c>
      <c r="AO1394">
        <v>0</v>
      </c>
      <c r="AP1394" t="s">
        <v>111</v>
      </c>
      <c r="AQ1394" t="s">
        <v>111</v>
      </c>
      <c r="AR1394" t="s">
        <v>111</v>
      </c>
      <c r="AS1394" t="s">
        <v>111</v>
      </c>
      <c r="AT1394" t="s">
        <v>111</v>
      </c>
      <c r="AU1394" t="s">
        <v>111</v>
      </c>
      <c r="AV1394" t="s">
        <v>111</v>
      </c>
      <c r="AW1394" t="s">
        <v>111</v>
      </c>
      <c r="AX1394" t="s">
        <v>111</v>
      </c>
      <c r="AY1394" t="s">
        <v>111</v>
      </c>
      <c r="AZ1394" t="s">
        <v>111</v>
      </c>
      <c r="BA1394" t="s">
        <v>111</v>
      </c>
      <c r="BB1394" t="s">
        <v>111</v>
      </c>
      <c r="BC1394" t="s">
        <v>111</v>
      </c>
      <c r="BD1394" t="s">
        <v>111</v>
      </c>
      <c r="BE1394" t="s">
        <v>111</v>
      </c>
      <c r="BF1394" t="s">
        <v>111</v>
      </c>
      <c r="BG1394" t="s">
        <v>111</v>
      </c>
      <c r="BH1394" t="s">
        <v>111</v>
      </c>
      <c r="BI1394" t="s">
        <v>111</v>
      </c>
      <c r="BJ1394" t="s">
        <v>111</v>
      </c>
      <c r="BK1394" t="s">
        <v>111</v>
      </c>
      <c r="BL1394" t="s">
        <v>111</v>
      </c>
      <c r="BM1394" t="s">
        <v>111</v>
      </c>
      <c r="BN1394" t="s">
        <v>111</v>
      </c>
      <c r="BO1394" t="s">
        <v>111</v>
      </c>
      <c r="BP1394" t="s">
        <v>111</v>
      </c>
      <c r="BQ1394" t="s">
        <v>111</v>
      </c>
      <c r="BR1394" t="s">
        <v>111</v>
      </c>
      <c r="BS1394" t="s">
        <v>111</v>
      </c>
      <c r="BT1394" t="s">
        <v>111</v>
      </c>
      <c r="BU1394" t="s">
        <v>111</v>
      </c>
      <c r="BV1394" t="s">
        <v>111</v>
      </c>
      <c r="BW1394" t="s">
        <v>111</v>
      </c>
      <c r="BX1394" t="s">
        <v>111</v>
      </c>
      <c r="BY1394" t="s">
        <v>111</v>
      </c>
      <c r="BZ1394" t="s">
        <v>111</v>
      </c>
      <c r="CA1394" t="s">
        <v>111</v>
      </c>
      <c r="CB1394" t="s">
        <v>111</v>
      </c>
      <c r="CC1394" t="s">
        <v>111</v>
      </c>
      <c r="CD1394" t="s">
        <v>111</v>
      </c>
      <c r="CE1394" t="s">
        <v>111</v>
      </c>
      <c r="CF1394" t="s">
        <v>111</v>
      </c>
      <c r="CG1394" t="s">
        <v>111</v>
      </c>
      <c r="CH1394" t="s">
        <v>111</v>
      </c>
      <c r="CI1394" t="s">
        <v>111</v>
      </c>
      <c r="CJ1394" t="s">
        <v>111</v>
      </c>
      <c r="CK1394" t="s">
        <v>111</v>
      </c>
      <c r="CL1394" t="s">
        <v>111</v>
      </c>
      <c r="CM1394" t="s">
        <v>111</v>
      </c>
      <c r="CN1394" t="s">
        <v>111</v>
      </c>
      <c r="CO1394" t="s">
        <v>111</v>
      </c>
      <c r="CP1394" t="s">
        <v>111</v>
      </c>
      <c r="CQ1394">
        <v>0</v>
      </c>
      <c r="CR1394">
        <v>0</v>
      </c>
      <c r="CS1394">
        <v>0</v>
      </c>
      <c r="CT1394" t="s">
        <v>111</v>
      </c>
      <c r="CU1394">
        <v>0</v>
      </c>
      <c r="CV1394" t="s">
        <v>111</v>
      </c>
      <c r="CW1394" t="s">
        <v>111</v>
      </c>
      <c r="CX1394" t="s">
        <v>111</v>
      </c>
      <c r="CY1394">
        <v>0</v>
      </c>
      <c r="CZ1394" t="s">
        <v>111</v>
      </c>
      <c r="DA1394" t="s">
        <v>111</v>
      </c>
      <c r="DB1394" t="s">
        <v>111</v>
      </c>
      <c r="DC1394" t="s">
        <v>111</v>
      </c>
    </row>
    <row r="1395" spans="1:107">
      <c r="A1395">
        <v>403</v>
      </c>
      <c r="B1395" t="s">
        <v>162</v>
      </c>
      <c r="C1395" t="s">
        <v>3916</v>
      </c>
      <c r="D1395" t="s">
        <v>3970</v>
      </c>
      <c r="E1395" t="s">
        <v>3971</v>
      </c>
      <c r="F1395" t="s">
        <v>110</v>
      </c>
      <c r="G1395" t="s">
        <v>24</v>
      </c>
      <c r="H1395">
        <v>1</v>
      </c>
      <c r="I1395">
        <v>40</v>
      </c>
      <c r="J1395">
        <v>0</v>
      </c>
      <c r="K1395">
        <v>0</v>
      </c>
      <c r="L1395" t="s">
        <v>178</v>
      </c>
      <c r="M1395" t="s">
        <v>138</v>
      </c>
      <c r="N1395">
        <v>0</v>
      </c>
      <c r="O1395">
        <v>0</v>
      </c>
      <c r="P1395" t="s">
        <v>138</v>
      </c>
      <c r="Q1395">
        <v>35</v>
      </c>
      <c r="R1395">
        <v>0</v>
      </c>
      <c r="S1395">
        <v>0</v>
      </c>
      <c r="T1395">
        <v>0</v>
      </c>
      <c r="U1395" s="1" t="s">
        <v>3780</v>
      </c>
      <c r="V1395">
        <v>0</v>
      </c>
      <c r="W1395">
        <v>0</v>
      </c>
      <c r="X1395">
        <v>0</v>
      </c>
      <c r="Y1395">
        <v>25</v>
      </c>
      <c r="Z1395" t="s">
        <v>111</v>
      </c>
      <c r="AA1395">
        <v>0</v>
      </c>
      <c r="AB1395" t="s">
        <v>111</v>
      </c>
      <c r="AC1395">
        <v>0</v>
      </c>
      <c r="AD1395" t="s">
        <v>111</v>
      </c>
      <c r="AE1395">
        <v>0</v>
      </c>
      <c r="AF1395">
        <v>0</v>
      </c>
      <c r="AG1395" t="s">
        <v>111</v>
      </c>
      <c r="AH1395" t="s">
        <v>111</v>
      </c>
      <c r="AI1395" t="s">
        <v>111</v>
      </c>
      <c r="AJ1395" t="s">
        <v>111</v>
      </c>
      <c r="AK1395" t="s">
        <v>111</v>
      </c>
      <c r="AL1395" t="s">
        <v>111</v>
      </c>
      <c r="AM1395">
        <v>0</v>
      </c>
      <c r="AN1395">
        <v>0</v>
      </c>
      <c r="AO1395">
        <v>0</v>
      </c>
      <c r="AP1395" t="s">
        <v>111</v>
      </c>
      <c r="AQ1395" t="s">
        <v>111</v>
      </c>
      <c r="AR1395" t="s">
        <v>111</v>
      </c>
      <c r="AS1395" t="s">
        <v>111</v>
      </c>
      <c r="AT1395" t="s">
        <v>111</v>
      </c>
      <c r="AU1395" t="s">
        <v>111</v>
      </c>
      <c r="AV1395" t="s">
        <v>111</v>
      </c>
      <c r="AW1395" t="s">
        <v>111</v>
      </c>
      <c r="AX1395" t="s">
        <v>111</v>
      </c>
      <c r="AY1395" t="s">
        <v>111</v>
      </c>
      <c r="AZ1395" t="s">
        <v>111</v>
      </c>
      <c r="BA1395" t="s">
        <v>111</v>
      </c>
      <c r="BB1395" t="s">
        <v>111</v>
      </c>
      <c r="BC1395" t="s">
        <v>111</v>
      </c>
      <c r="BD1395" t="s">
        <v>111</v>
      </c>
      <c r="BE1395" t="s">
        <v>111</v>
      </c>
      <c r="BF1395" t="s">
        <v>111</v>
      </c>
      <c r="BG1395" t="s">
        <v>111</v>
      </c>
      <c r="BH1395" t="s">
        <v>111</v>
      </c>
      <c r="BI1395" t="s">
        <v>111</v>
      </c>
      <c r="BJ1395" t="s">
        <v>111</v>
      </c>
      <c r="BK1395" t="s">
        <v>111</v>
      </c>
      <c r="BL1395" t="s">
        <v>111</v>
      </c>
      <c r="BM1395" t="s">
        <v>111</v>
      </c>
      <c r="BN1395" t="s">
        <v>111</v>
      </c>
      <c r="BO1395" t="s">
        <v>111</v>
      </c>
      <c r="BP1395" t="s">
        <v>111</v>
      </c>
      <c r="BQ1395" t="s">
        <v>111</v>
      </c>
      <c r="BR1395" t="s">
        <v>111</v>
      </c>
      <c r="BS1395" t="s">
        <v>111</v>
      </c>
      <c r="BT1395" t="s">
        <v>111</v>
      </c>
      <c r="BU1395" t="s">
        <v>111</v>
      </c>
      <c r="BV1395" t="s">
        <v>111</v>
      </c>
      <c r="BW1395" t="s">
        <v>111</v>
      </c>
      <c r="BX1395" t="s">
        <v>111</v>
      </c>
      <c r="BY1395" t="s">
        <v>111</v>
      </c>
      <c r="BZ1395" t="s">
        <v>111</v>
      </c>
      <c r="CA1395" t="s">
        <v>111</v>
      </c>
      <c r="CB1395" t="s">
        <v>111</v>
      </c>
      <c r="CC1395" t="s">
        <v>111</v>
      </c>
      <c r="CD1395" t="s">
        <v>111</v>
      </c>
      <c r="CE1395" t="s">
        <v>111</v>
      </c>
      <c r="CF1395" t="s">
        <v>111</v>
      </c>
      <c r="CG1395" t="s">
        <v>111</v>
      </c>
      <c r="CH1395" t="s">
        <v>111</v>
      </c>
      <c r="CI1395" t="s">
        <v>111</v>
      </c>
      <c r="CJ1395" t="s">
        <v>111</v>
      </c>
      <c r="CK1395" t="s">
        <v>111</v>
      </c>
      <c r="CL1395" t="s">
        <v>111</v>
      </c>
      <c r="CM1395" t="s">
        <v>111</v>
      </c>
      <c r="CN1395" t="s">
        <v>111</v>
      </c>
      <c r="CO1395" t="s">
        <v>111</v>
      </c>
      <c r="CP1395" t="s">
        <v>111</v>
      </c>
      <c r="CQ1395">
        <v>0</v>
      </c>
      <c r="CR1395">
        <v>0</v>
      </c>
      <c r="CS1395">
        <v>0</v>
      </c>
      <c r="CT1395" t="s">
        <v>111</v>
      </c>
      <c r="CU1395">
        <v>0</v>
      </c>
      <c r="CV1395" t="s">
        <v>111</v>
      </c>
      <c r="CW1395" t="s">
        <v>111</v>
      </c>
      <c r="CX1395" t="s">
        <v>111</v>
      </c>
      <c r="CY1395">
        <v>0</v>
      </c>
      <c r="CZ1395" t="s">
        <v>111</v>
      </c>
      <c r="DA1395" t="s">
        <v>111</v>
      </c>
      <c r="DB1395" t="s">
        <v>111</v>
      </c>
      <c r="DC1395" t="s">
        <v>111</v>
      </c>
    </row>
    <row r="1396" spans="1:107">
      <c r="A1396">
        <v>295</v>
      </c>
      <c r="B1396" t="s">
        <v>162</v>
      </c>
      <c r="C1396" t="s">
        <v>3916</v>
      </c>
      <c r="D1396" t="s">
        <v>3930</v>
      </c>
      <c r="E1396" t="s">
        <v>3931</v>
      </c>
      <c r="F1396" t="s">
        <v>110</v>
      </c>
      <c r="G1396" t="s">
        <v>24</v>
      </c>
      <c r="H1396">
        <v>1</v>
      </c>
      <c r="I1396">
        <v>45</v>
      </c>
      <c r="J1396">
        <v>0</v>
      </c>
      <c r="K1396">
        <v>0</v>
      </c>
      <c r="L1396" t="s">
        <v>112</v>
      </c>
      <c r="M1396" t="s">
        <v>138</v>
      </c>
      <c r="N1396">
        <v>0</v>
      </c>
      <c r="O1396">
        <v>0</v>
      </c>
      <c r="P1396" t="s">
        <v>138</v>
      </c>
      <c r="Q1396">
        <v>35</v>
      </c>
      <c r="R1396">
        <v>0</v>
      </c>
      <c r="S1396">
        <v>0</v>
      </c>
      <c r="T1396">
        <v>0</v>
      </c>
      <c r="U1396" s="1" t="s">
        <v>3780</v>
      </c>
      <c r="V1396">
        <v>0</v>
      </c>
      <c r="W1396">
        <v>0</v>
      </c>
      <c r="X1396">
        <v>0</v>
      </c>
      <c r="Y1396">
        <v>25</v>
      </c>
      <c r="Z1396" t="s">
        <v>111</v>
      </c>
      <c r="AA1396">
        <v>0</v>
      </c>
      <c r="AB1396" t="s">
        <v>111</v>
      </c>
      <c r="AC1396">
        <v>0</v>
      </c>
      <c r="AD1396" t="s">
        <v>111</v>
      </c>
      <c r="AE1396">
        <v>0</v>
      </c>
      <c r="AF1396">
        <v>0</v>
      </c>
      <c r="AG1396" t="s">
        <v>111</v>
      </c>
      <c r="AH1396" t="s">
        <v>111</v>
      </c>
      <c r="AI1396" t="s">
        <v>111</v>
      </c>
      <c r="AJ1396" t="s">
        <v>111</v>
      </c>
      <c r="AK1396" t="s">
        <v>111</v>
      </c>
      <c r="AL1396" t="s">
        <v>111</v>
      </c>
      <c r="AM1396">
        <v>0</v>
      </c>
      <c r="AN1396">
        <v>0</v>
      </c>
      <c r="AO1396">
        <v>0</v>
      </c>
      <c r="AP1396" t="s">
        <v>111</v>
      </c>
      <c r="AQ1396" t="s">
        <v>111</v>
      </c>
      <c r="AR1396" t="s">
        <v>111</v>
      </c>
      <c r="AS1396" t="s">
        <v>111</v>
      </c>
      <c r="AT1396" t="s">
        <v>111</v>
      </c>
      <c r="AU1396" t="s">
        <v>111</v>
      </c>
      <c r="AV1396" t="s">
        <v>111</v>
      </c>
      <c r="AW1396" t="s">
        <v>111</v>
      </c>
      <c r="AX1396" t="s">
        <v>111</v>
      </c>
      <c r="AY1396" t="s">
        <v>111</v>
      </c>
      <c r="AZ1396" t="s">
        <v>111</v>
      </c>
      <c r="BA1396" t="s">
        <v>111</v>
      </c>
      <c r="BB1396" t="s">
        <v>111</v>
      </c>
      <c r="BC1396" t="s">
        <v>111</v>
      </c>
      <c r="BD1396" t="s">
        <v>111</v>
      </c>
      <c r="BE1396" t="s">
        <v>111</v>
      </c>
      <c r="BF1396" t="s">
        <v>111</v>
      </c>
      <c r="BG1396" t="s">
        <v>111</v>
      </c>
      <c r="BH1396" t="s">
        <v>111</v>
      </c>
      <c r="BI1396" t="s">
        <v>111</v>
      </c>
      <c r="BJ1396" t="s">
        <v>111</v>
      </c>
      <c r="BK1396" t="s">
        <v>111</v>
      </c>
      <c r="BL1396" t="s">
        <v>111</v>
      </c>
      <c r="BM1396" t="s">
        <v>111</v>
      </c>
      <c r="BN1396" t="s">
        <v>111</v>
      </c>
      <c r="BO1396" t="s">
        <v>111</v>
      </c>
      <c r="BP1396" t="s">
        <v>111</v>
      </c>
      <c r="BQ1396" t="s">
        <v>111</v>
      </c>
      <c r="BR1396" t="s">
        <v>111</v>
      </c>
      <c r="BS1396" t="s">
        <v>111</v>
      </c>
      <c r="BT1396" t="s">
        <v>111</v>
      </c>
      <c r="BU1396" t="s">
        <v>111</v>
      </c>
      <c r="BV1396" t="s">
        <v>111</v>
      </c>
      <c r="BW1396" t="s">
        <v>111</v>
      </c>
      <c r="BX1396" t="s">
        <v>111</v>
      </c>
      <c r="BY1396" t="s">
        <v>111</v>
      </c>
      <c r="BZ1396" t="s">
        <v>111</v>
      </c>
      <c r="CA1396" t="s">
        <v>111</v>
      </c>
      <c r="CB1396" t="s">
        <v>111</v>
      </c>
      <c r="CC1396" t="s">
        <v>111</v>
      </c>
      <c r="CD1396" t="s">
        <v>111</v>
      </c>
      <c r="CE1396" t="s">
        <v>111</v>
      </c>
      <c r="CF1396" t="s">
        <v>111</v>
      </c>
      <c r="CG1396" t="s">
        <v>111</v>
      </c>
      <c r="CH1396" t="s">
        <v>111</v>
      </c>
      <c r="CI1396" t="s">
        <v>111</v>
      </c>
      <c r="CJ1396" t="s">
        <v>111</v>
      </c>
      <c r="CK1396" t="s">
        <v>111</v>
      </c>
      <c r="CL1396" t="s">
        <v>111</v>
      </c>
      <c r="CM1396" t="s">
        <v>111</v>
      </c>
      <c r="CN1396" t="s">
        <v>111</v>
      </c>
      <c r="CO1396" t="s">
        <v>111</v>
      </c>
      <c r="CP1396" t="s">
        <v>111</v>
      </c>
      <c r="CQ1396">
        <v>0</v>
      </c>
      <c r="CR1396">
        <v>0</v>
      </c>
      <c r="CS1396">
        <v>0</v>
      </c>
      <c r="CT1396" t="s">
        <v>111</v>
      </c>
      <c r="CU1396">
        <v>0</v>
      </c>
      <c r="CV1396" t="s">
        <v>111</v>
      </c>
      <c r="CW1396" t="s">
        <v>111</v>
      </c>
      <c r="CX1396" t="s">
        <v>111</v>
      </c>
      <c r="CY1396">
        <v>0</v>
      </c>
      <c r="CZ1396" t="s">
        <v>111</v>
      </c>
      <c r="DA1396" t="s">
        <v>111</v>
      </c>
      <c r="DB1396" t="s">
        <v>111</v>
      </c>
      <c r="DC1396" t="s">
        <v>111</v>
      </c>
    </row>
    <row r="1397" spans="1:107">
      <c r="A1397">
        <v>404</v>
      </c>
      <c r="B1397" t="s">
        <v>162</v>
      </c>
      <c r="C1397" t="s">
        <v>3916</v>
      </c>
      <c r="D1397" t="s">
        <v>3930</v>
      </c>
      <c r="E1397" t="s">
        <v>3931</v>
      </c>
      <c r="F1397" t="s">
        <v>110</v>
      </c>
      <c r="G1397" t="s">
        <v>24</v>
      </c>
      <c r="H1397">
        <v>1</v>
      </c>
      <c r="I1397">
        <v>45</v>
      </c>
      <c r="J1397">
        <v>0</v>
      </c>
      <c r="K1397">
        <v>0</v>
      </c>
      <c r="L1397" t="s">
        <v>178</v>
      </c>
      <c r="M1397" t="s">
        <v>138</v>
      </c>
      <c r="N1397">
        <v>0</v>
      </c>
      <c r="O1397">
        <v>0</v>
      </c>
      <c r="P1397" t="s">
        <v>138</v>
      </c>
      <c r="Q1397">
        <v>35</v>
      </c>
      <c r="R1397">
        <v>0</v>
      </c>
      <c r="S1397">
        <v>0</v>
      </c>
      <c r="T1397">
        <v>0</v>
      </c>
      <c r="U1397" s="1" t="s">
        <v>3780</v>
      </c>
      <c r="V1397">
        <v>0</v>
      </c>
      <c r="W1397">
        <v>0</v>
      </c>
      <c r="X1397">
        <v>0</v>
      </c>
      <c r="Y1397">
        <v>25</v>
      </c>
      <c r="Z1397" t="s">
        <v>111</v>
      </c>
      <c r="AA1397">
        <v>0</v>
      </c>
      <c r="AB1397" t="s">
        <v>111</v>
      </c>
      <c r="AC1397">
        <v>0</v>
      </c>
      <c r="AD1397" t="s">
        <v>111</v>
      </c>
      <c r="AE1397">
        <v>0</v>
      </c>
      <c r="AF1397">
        <v>0</v>
      </c>
      <c r="AG1397" t="s">
        <v>111</v>
      </c>
      <c r="AH1397" t="s">
        <v>111</v>
      </c>
      <c r="AI1397" t="s">
        <v>111</v>
      </c>
      <c r="AJ1397" t="s">
        <v>111</v>
      </c>
      <c r="AK1397" t="s">
        <v>111</v>
      </c>
      <c r="AL1397" t="s">
        <v>111</v>
      </c>
      <c r="AM1397">
        <v>0</v>
      </c>
      <c r="AN1397">
        <v>0</v>
      </c>
      <c r="AO1397">
        <v>0</v>
      </c>
      <c r="AP1397" t="s">
        <v>111</v>
      </c>
      <c r="AQ1397" t="s">
        <v>111</v>
      </c>
      <c r="AR1397" t="s">
        <v>111</v>
      </c>
      <c r="AS1397" t="s">
        <v>111</v>
      </c>
      <c r="AT1397" t="s">
        <v>111</v>
      </c>
      <c r="AU1397" t="s">
        <v>111</v>
      </c>
      <c r="AV1397" t="s">
        <v>111</v>
      </c>
      <c r="AW1397" t="s">
        <v>111</v>
      </c>
      <c r="AX1397" t="s">
        <v>111</v>
      </c>
      <c r="AY1397" t="s">
        <v>111</v>
      </c>
      <c r="AZ1397" t="s">
        <v>111</v>
      </c>
      <c r="BA1397" t="s">
        <v>111</v>
      </c>
      <c r="BB1397" t="s">
        <v>111</v>
      </c>
      <c r="BC1397" t="s">
        <v>111</v>
      </c>
      <c r="BD1397" t="s">
        <v>111</v>
      </c>
      <c r="BE1397" t="s">
        <v>111</v>
      </c>
      <c r="BF1397" t="s">
        <v>111</v>
      </c>
      <c r="BG1397" t="s">
        <v>111</v>
      </c>
      <c r="BH1397" t="s">
        <v>111</v>
      </c>
      <c r="BI1397" t="s">
        <v>111</v>
      </c>
      <c r="BJ1397" t="s">
        <v>111</v>
      </c>
      <c r="BK1397" t="s">
        <v>111</v>
      </c>
      <c r="BL1397" t="s">
        <v>111</v>
      </c>
      <c r="BM1397" t="s">
        <v>111</v>
      </c>
      <c r="BN1397" t="s">
        <v>111</v>
      </c>
      <c r="BO1397" t="s">
        <v>111</v>
      </c>
      <c r="BP1397" t="s">
        <v>111</v>
      </c>
      <c r="BQ1397" t="s">
        <v>111</v>
      </c>
      <c r="BR1397" t="s">
        <v>111</v>
      </c>
      <c r="BS1397" t="s">
        <v>111</v>
      </c>
      <c r="BT1397" t="s">
        <v>111</v>
      </c>
      <c r="BU1397" t="s">
        <v>111</v>
      </c>
      <c r="BV1397" t="s">
        <v>111</v>
      </c>
      <c r="BW1397" t="s">
        <v>111</v>
      </c>
      <c r="BX1397" t="s">
        <v>111</v>
      </c>
      <c r="BY1397" t="s">
        <v>111</v>
      </c>
      <c r="BZ1397" t="s">
        <v>111</v>
      </c>
      <c r="CA1397" t="s">
        <v>111</v>
      </c>
      <c r="CB1397" t="s">
        <v>111</v>
      </c>
      <c r="CC1397" t="s">
        <v>111</v>
      </c>
      <c r="CD1397" t="s">
        <v>111</v>
      </c>
      <c r="CE1397" t="s">
        <v>111</v>
      </c>
      <c r="CF1397" t="s">
        <v>111</v>
      </c>
      <c r="CG1397" t="s">
        <v>111</v>
      </c>
      <c r="CH1397" t="s">
        <v>111</v>
      </c>
      <c r="CI1397" t="s">
        <v>111</v>
      </c>
      <c r="CJ1397" t="s">
        <v>111</v>
      </c>
      <c r="CK1397" t="s">
        <v>111</v>
      </c>
      <c r="CL1397" t="s">
        <v>111</v>
      </c>
      <c r="CM1397" t="s">
        <v>111</v>
      </c>
      <c r="CN1397" t="s">
        <v>111</v>
      </c>
      <c r="CO1397" t="s">
        <v>111</v>
      </c>
      <c r="CP1397" t="s">
        <v>111</v>
      </c>
      <c r="CQ1397">
        <v>0</v>
      </c>
      <c r="CR1397">
        <v>0</v>
      </c>
      <c r="CS1397">
        <v>0</v>
      </c>
      <c r="CT1397" t="s">
        <v>111</v>
      </c>
      <c r="CU1397">
        <v>0</v>
      </c>
      <c r="CV1397" t="s">
        <v>111</v>
      </c>
      <c r="CW1397" t="s">
        <v>111</v>
      </c>
      <c r="CX1397" t="s">
        <v>111</v>
      </c>
      <c r="CY1397">
        <v>0</v>
      </c>
      <c r="CZ1397" t="s">
        <v>111</v>
      </c>
      <c r="DA1397" t="s">
        <v>111</v>
      </c>
      <c r="DB1397" t="s">
        <v>111</v>
      </c>
      <c r="DC1397" t="s">
        <v>111</v>
      </c>
    </row>
    <row r="1398" spans="1:107">
      <c r="A1398">
        <v>145</v>
      </c>
      <c r="B1398" t="s">
        <v>162</v>
      </c>
      <c r="C1398" t="s">
        <v>855</v>
      </c>
      <c r="D1398" t="s">
        <v>3972</v>
      </c>
      <c r="E1398" t="s">
        <v>3973</v>
      </c>
      <c r="F1398" t="s">
        <v>1071</v>
      </c>
      <c r="G1398" t="s">
        <v>24</v>
      </c>
      <c r="H1398">
        <v>1.1000000000000001</v>
      </c>
      <c r="I1398">
        <v>30</v>
      </c>
      <c r="J1398">
        <v>0</v>
      </c>
      <c r="K1398">
        <v>0</v>
      </c>
      <c r="L1398" t="s">
        <v>112</v>
      </c>
      <c r="M1398" t="s">
        <v>138</v>
      </c>
      <c r="N1398">
        <v>0</v>
      </c>
      <c r="O1398">
        <v>0</v>
      </c>
      <c r="P1398" t="s">
        <v>138</v>
      </c>
      <c r="Q1398">
        <v>35</v>
      </c>
      <c r="R1398">
        <v>0</v>
      </c>
      <c r="S1398">
        <v>0</v>
      </c>
      <c r="T1398">
        <v>0</v>
      </c>
      <c r="U1398" t="s">
        <v>168</v>
      </c>
      <c r="V1398">
        <v>0</v>
      </c>
      <c r="W1398">
        <v>0</v>
      </c>
      <c r="X1398">
        <v>0</v>
      </c>
      <c r="Y1398">
        <v>25</v>
      </c>
      <c r="Z1398" t="s">
        <v>111</v>
      </c>
      <c r="AA1398">
        <v>0</v>
      </c>
      <c r="AB1398" t="s">
        <v>111</v>
      </c>
      <c r="AC1398">
        <v>0</v>
      </c>
      <c r="AD1398" t="s">
        <v>111</v>
      </c>
      <c r="AE1398">
        <v>0</v>
      </c>
      <c r="AF1398">
        <v>0</v>
      </c>
      <c r="AG1398" t="s">
        <v>111</v>
      </c>
      <c r="AH1398" t="s">
        <v>111</v>
      </c>
      <c r="AI1398" t="s">
        <v>111</v>
      </c>
      <c r="AJ1398" t="s">
        <v>111</v>
      </c>
      <c r="AK1398" t="s">
        <v>111</v>
      </c>
      <c r="AL1398" t="s">
        <v>111</v>
      </c>
      <c r="AM1398">
        <v>0</v>
      </c>
      <c r="AN1398">
        <v>0</v>
      </c>
      <c r="AO1398">
        <v>0</v>
      </c>
      <c r="AP1398" t="s">
        <v>111</v>
      </c>
      <c r="AQ1398" t="s">
        <v>111</v>
      </c>
      <c r="AR1398" t="s">
        <v>111</v>
      </c>
      <c r="AS1398" t="s">
        <v>111</v>
      </c>
      <c r="AT1398" t="s">
        <v>111</v>
      </c>
      <c r="AU1398" t="s">
        <v>111</v>
      </c>
      <c r="AV1398" t="s">
        <v>111</v>
      </c>
      <c r="AW1398" t="s">
        <v>111</v>
      </c>
      <c r="AX1398" t="s">
        <v>111</v>
      </c>
      <c r="AY1398" t="s">
        <v>111</v>
      </c>
      <c r="AZ1398" t="s">
        <v>111</v>
      </c>
      <c r="BA1398" t="s">
        <v>111</v>
      </c>
      <c r="BB1398" t="s">
        <v>111</v>
      </c>
      <c r="BC1398" t="s">
        <v>111</v>
      </c>
      <c r="BD1398" t="s">
        <v>111</v>
      </c>
      <c r="BE1398" t="s">
        <v>111</v>
      </c>
      <c r="BF1398" t="s">
        <v>111</v>
      </c>
      <c r="BG1398" t="s">
        <v>111</v>
      </c>
      <c r="BH1398" t="s">
        <v>111</v>
      </c>
      <c r="BI1398" t="s">
        <v>111</v>
      </c>
      <c r="BJ1398" t="s">
        <v>111</v>
      </c>
      <c r="BK1398" t="s">
        <v>111</v>
      </c>
      <c r="BL1398" t="s">
        <v>111</v>
      </c>
      <c r="BM1398" t="s">
        <v>111</v>
      </c>
      <c r="BN1398" t="s">
        <v>111</v>
      </c>
      <c r="BO1398" t="s">
        <v>111</v>
      </c>
      <c r="BP1398" t="s">
        <v>111</v>
      </c>
      <c r="BQ1398" t="s">
        <v>111</v>
      </c>
      <c r="BR1398" t="s">
        <v>111</v>
      </c>
      <c r="BS1398" t="s">
        <v>111</v>
      </c>
      <c r="BT1398" t="s">
        <v>111</v>
      </c>
      <c r="BU1398" t="s">
        <v>111</v>
      </c>
      <c r="BV1398" t="s">
        <v>111</v>
      </c>
      <c r="BW1398" t="s">
        <v>111</v>
      </c>
      <c r="BX1398" t="s">
        <v>111</v>
      </c>
      <c r="BY1398" t="s">
        <v>111</v>
      </c>
      <c r="BZ1398" t="s">
        <v>111</v>
      </c>
      <c r="CA1398" t="s">
        <v>111</v>
      </c>
      <c r="CB1398" t="s">
        <v>111</v>
      </c>
      <c r="CC1398" t="s">
        <v>111</v>
      </c>
      <c r="CD1398" t="s">
        <v>111</v>
      </c>
      <c r="CE1398" t="s">
        <v>111</v>
      </c>
      <c r="CF1398" t="s">
        <v>111</v>
      </c>
      <c r="CG1398" t="s">
        <v>111</v>
      </c>
      <c r="CH1398" t="s">
        <v>111</v>
      </c>
      <c r="CI1398" t="s">
        <v>111</v>
      </c>
      <c r="CJ1398" t="s">
        <v>111</v>
      </c>
      <c r="CK1398" t="s">
        <v>111</v>
      </c>
      <c r="CL1398" t="s">
        <v>111</v>
      </c>
      <c r="CM1398" t="s">
        <v>198</v>
      </c>
      <c r="CN1398" t="s">
        <v>113</v>
      </c>
      <c r="CO1398" t="s">
        <v>111</v>
      </c>
      <c r="CP1398" t="s">
        <v>111</v>
      </c>
      <c r="CQ1398">
        <v>0</v>
      </c>
      <c r="CR1398">
        <v>0</v>
      </c>
      <c r="CS1398">
        <v>0</v>
      </c>
      <c r="CT1398" t="s">
        <v>168</v>
      </c>
      <c r="CU1398">
        <v>0</v>
      </c>
      <c r="CV1398" t="s">
        <v>111</v>
      </c>
      <c r="CW1398" t="s">
        <v>111</v>
      </c>
      <c r="CX1398" t="s">
        <v>111</v>
      </c>
      <c r="CY1398">
        <v>0</v>
      </c>
      <c r="CZ1398" t="s">
        <v>111</v>
      </c>
      <c r="DA1398" t="s">
        <v>111</v>
      </c>
      <c r="DB1398" t="s">
        <v>111</v>
      </c>
      <c r="DC1398" t="s">
        <v>111</v>
      </c>
    </row>
    <row r="1399" spans="1:107">
      <c r="A1399">
        <v>405</v>
      </c>
      <c r="B1399" t="s">
        <v>162</v>
      </c>
      <c r="C1399" t="s">
        <v>1322</v>
      </c>
      <c r="D1399" t="s">
        <v>3974</v>
      </c>
      <c r="E1399" t="s">
        <v>3975</v>
      </c>
      <c r="F1399" t="s">
        <v>1651</v>
      </c>
      <c r="G1399" t="s">
        <v>24</v>
      </c>
      <c r="H1399">
        <v>1.4</v>
      </c>
      <c r="I1399">
        <v>60</v>
      </c>
      <c r="J1399">
        <v>0</v>
      </c>
      <c r="K1399">
        <v>0</v>
      </c>
      <c r="L1399" t="s">
        <v>117</v>
      </c>
      <c r="M1399" t="s">
        <v>118</v>
      </c>
      <c r="N1399">
        <v>40</v>
      </c>
      <c r="O1399">
        <v>1</v>
      </c>
      <c r="P1399" t="s">
        <v>138</v>
      </c>
      <c r="Q1399">
        <v>35</v>
      </c>
      <c r="R1399">
        <v>0</v>
      </c>
      <c r="S1399">
        <v>0</v>
      </c>
      <c r="T1399">
        <v>0</v>
      </c>
      <c r="U1399" t="s">
        <v>1353</v>
      </c>
      <c r="V1399">
        <v>0</v>
      </c>
      <c r="W1399">
        <v>0</v>
      </c>
      <c r="X1399">
        <v>0</v>
      </c>
      <c r="Y1399">
        <v>25</v>
      </c>
      <c r="Z1399" t="s">
        <v>111</v>
      </c>
      <c r="AA1399">
        <v>0</v>
      </c>
      <c r="AB1399" t="s">
        <v>111</v>
      </c>
      <c r="AC1399">
        <v>0</v>
      </c>
      <c r="AD1399" t="s">
        <v>416</v>
      </c>
      <c r="AE1399">
        <v>4</v>
      </c>
      <c r="AF1399">
        <v>2</v>
      </c>
      <c r="AG1399">
        <v>16</v>
      </c>
      <c r="AH1399" t="s">
        <v>111</v>
      </c>
      <c r="AI1399">
        <v>32</v>
      </c>
      <c r="AJ1399" t="s">
        <v>111</v>
      </c>
      <c r="AK1399" t="s">
        <v>111</v>
      </c>
      <c r="AL1399" t="s">
        <v>111</v>
      </c>
      <c r="AM1399">
        <v>0</v>
      </c>
      <c r="AN1399">
        <v>0</v>
      </c>
      <c r="AO1399">
        <v>0</v>
      </c>
      <c r="AP1399" t="s">
        <v>111</v>
      </c>
      <c r="AQ1399" t="s">
        <v>111</v>
      </c>
      <c r="AR1399" t="s">
        <v>111</v>
      </c>
      <c r="AS1399" t="s">
        <v>111</v>
      </c>
      <c r="AT1399" t="s">
        <v>111</v>
      </c>
      <c r="AU1399" t="s">
        <v>111</v>
      </c>
      <c r="AV1399" t="s">
        <v>111</v>
      </c>
      <c r="AW1399" t="s">
        <v>111</v>
      </c>
      <c r="AX1399" t="s">
        <v>111</v>
      </c>
      <c r="AY1399" t="s">
        <v>111</v>
      </c>
      <c r="AZ1399" t="s">
        <v>111</v>
      </c>
      <c r="BA1399" t="s">
        <v>111</v>
      </c>
      <c r="BB1399" t="s">
        <v>111</v>
      </c>
      <c r="BC1399" t="s">
        <v>111</v>
      </c>
      <c r="BD1399" t="s">
        <v>111</v>
      </c>
      <c r="BE1399" t="s">
        <v>111</v>
      </c>
      <c r="BF1399" t="s">
        <v>111</v>
      </c>
      <c r="BG1399" t="s">
        <v>111</v>
      </c>
      <c r="BH1399" t="s">
        <v>111</v>
      </c>
      <c r="BI1399" t="s">
        <v>111</v>
      </c>
      <c r="BJ1399" t="s">
        <v>111</v>
      </c>
      <c r="BK1399" t="s">
        <v>111</v>
      </c>
      <c r="BL1399" t="s">
        <v>111</v>
      </c>
      <c r="BM1399" t="s">
        <v>111</v>
      </c>
      <c r="BN1399" t="s">
        <v>111</v>
      </c>
      <c r="BO1399" t="s">
        <v>111</v>
      </c>
      <c r="BP1399" t="s">
        <v>111</v>
      </c>
      <c r="BQ1399" t="s">
        <v>111</v>
      </c>
      <c r="BR1399" t="s">
        <v>111</v>
      </c>
      <c r="BS1399" t="s">
        <v>111</v>
      </c>
      <c r="BT1399" t="s">
        <v>111</v>
      </c>
      <c r="BU1399" t="s">
        <v>111</v>
      </c>
      <c r="BV1399" t="s">
        <v>111</v>
      </c>
      <c r="BW1399" t="s">
        <v>111</v>
      </c>
      <c r="BX1399" t="s">
        <v>111</v>
      </c>
      <c r="BY1399" t="s">
        <v>111</v>
      </c>
      <c r="BZ1399" t="s">
        <v>111</v>
      </c>
      <c r="CA1399" t="s">
        <v>111</v>
      </c>
      <c r="CB1399" t="s">
        <v>111</v>
      </c>
      <c r="CC1399" t="s">
        <v>111</v>
      </c>
      <c r="CD1399" t="s">
        <v>111</v>
      </c>
      <c r="CE1399" t="s">
        <v>111</v>
      </c>
      <c r="CF1399" t="s">
        <v>111</v>
      </c>
      <c r="CG1399" t="s">
        <v>111</v>
      </c>
      <c r="CH1399" t="s">
        <v>111</v>
      </c>
      <c r="CI1399" t="s">
        <v>111</v>
      </c>
      <c r="CJ1399" t="s">
        <v>111</v>
      </c>
      <c r="CK1399" t="s">
        <v>111</v>
      </c>
      <c r="CL1399" t="s">
        <v>153</v>
      </c>
      <c r="CM1399" t="s">
        <v>198</v>
      </c>
      <c r="CN1399" t="s">
        <v>113</v>
      </c>
      <c r="CO1399" t="s">
        <v>111</v>
      </c>
      <c r="CP1399" t="s">
        <v>433</v>
      </c>
      <c r="CQ1399">
        <v>0</v>
      </c>
      <c r="CR1399">
        <v>0</v>
      </c>
      <c r="CS1399">
        <v>0</v>
      </c>
      <c r="CT1399" t="s">
        <v>168</v>
      </c>
      <c r="CU1399">
        <v>0</v>
      </c>
      <c r="CV1399" t="s">
        <v>111</v>
      </c>
      <c r="CW1399" t="s">
        <v>111</v>
      </c>
      <c r="CX1399" t="s">
        <v>111</v>
      </c>
      <c r="CY1399">
        <v>0</v>
      </c>
      <c r="CZ1399" t="s">
        <v>111</v>
      </c>
      <c r="DA1399" t="s">
        <v>111</v>
      </c>
      <c r="DB1399" t="s">
        <v>111</v>
      </c>
      <c r="DC1399" t="s">
        <v>111</v>
      </c>
    </row>
    <row r="1400" spans="1:107">
      <c r="A1400">
        <v>35</v>
      </c>
      <c r="B1400" t="s">
        <v>162</v>
      </c>
      <c r="C1400" t="s">
        <v>3976</v>
      </c>
      <c r="D1400" t="s">
        <v>3977</v>
      </c>
      <c r="E1400" t="s">
        <v>3978</v>
      </c>
      <c r="F1400" t="s">
        <v>2211</v>
      </c>
      <c r="G1400" t="s">
        <v>24</v>
      </c>
      <c r="H1400">
        <v>1.2</v>
      </c>
      <c r="I1400">
        <v>50</v>
      </c>
      <c r="J1400">
        <v>0</v>
      </c>
      <c r="K1400">
        <v>0</v>
      </c>
      <c r="L1400" t="s">
        <v>117</v>
      </c>
      <c r="M1400" t="s">
        <v>138</v>
      </c>
      <c r="N1400">
        <v>0</v>
      </c>
      <c r="O1400">
        <v>0</v>
      </c>
      <c r="P1400" t="s">
        <v>138</v>
      </c>
      <c r="Q1400">
        <v>30</v>
      </c>
      <c r="R1400">
        <v>0</v>
      </c>
      <c r="S1400">
        <v>0</v>
      </c>
      <c r="T1400">
        <v>0</v>
      </c>
      <c r="U1400" s="1" t="s">
        <v>3827</v>
      </c>
      <c r="V1400">
        <v>0</v>
      </c>
      <c r="W1400">
        <v>0</v>
      </c>
      <c r="X1400">
        <v>0</v>
      </c>
      <c r="Y1400">
        <v>25</v>
      </c>
      <c r="Z1400" t="s">
        <v>111</v>
      </c>
      <c r="AA1400">
        <v>0</v>
      </c>
      <c r="AB1400" t="s">
        <v>111</v>
      </c>
      <c r="AC1400">
        <v>0</v>
      </c>
      <c r="AD1400" t="s">
        <v>111</v>
      </c>
      <c r="AE1400">
        <v>0</v>
      </c>
      <c r="AF1400">
        <v>0</v>
      </c>
      <c r="AG1400" t="s">
        <v>111</v>
      </c>
      <c r="AH1400" t="s">
        <v>111</v>
      </c>
      <c r="AI1400" t="s">
        <v>111</v>
      </c>
      <c r="AJ1400" t="s">
        <v>111</v>
      </c>
      <c r="AK1400" t="s">
        <v>111</v>
      </c>
      <c r="AL1400" t="s">
        <v>111</v>
      </c>
      <c r="AM1400">
        <v>0</v>
      </c>
      <c r="AN1400">
        <v>0</v>
      </c>
      <c r="AO1400">
        <v>0</v>
      </c>
      <c r="AP1400" t="s">
        <v>111</v>
      </c>
      <c r="AQ1400" t="s">
        <v>111</v>
      </c>
      <c r="AR1400" t="s">
        <v>111</v>
      </c>
      <c r="AS1400" t="s">
        <v>111</v>
      </c>
      <c r="AT1400" t="s">
        <v>111</v>
      </c>
      <c r="AU1400" t="s">
        <v>111</v>
      </c>
      <c r="AV1400" t="s">
        <v>111</v>
      </c>
      <c r="AW1400" t="s">
        <v>111</v>
      </c>
      <c r="AX1400" t="s">
        <v>111</v>
      </c>
      <c r="AY1400" t="s">
        <v>111</v>
      </c>
      <c r="AZ1400" t="s">
        <v>111</v>
      </c>
      <c r="BA1400" t="s">
        <v>111</v>
      </c>
      <c r="BB1400" t="s">
        <v>111</v>
      </c>
      <c r="BC1400" t="s">
        <v>111</v>
      </c>
      <c r="BD1400" t="s">
        <v>111</v>
      </c>
      <c r="BE1400" t="s">
        <v>111</v>
      </c>
      <c r="BF1400" t="s">
        <v>111</v>
      </c>
      <c r="BG1400" t="s">
        <v>111</v>
      </c>
      <c r="BH1400" t="s">
        <v>111</v>
      </c>
      <c r="BI1400" t="s">
        <v>111</v>
      </c>
      <c r="BJ1400" t="s">
        <v>111</v>
      </c>
      <c r="BK1400" t="s">
        <v>111</v>
      </c>
      <c r="BL1400" t="s">
        <v>111</v>
      </c>
      <c r="BM1400" t="s">
        <v>111</v>
      </c>
      <c r="BN1400" t="s">
        <v>111</v>
      </c>
      <c r="BO1400" t="s">
        <v>111</v>
      </c>
      <c r="BP1400" t="s">
        <v>111</v>
      </c>
      <c r="BQ1400" t="s">
        <v>111</v>
      </c>
      <c r="BR1400" t="s">
        <v>111</v>
      </c>
      <c r="BS1400" t="s">
        <v>111</v>
      </c>
      <c r="BT1400" t="s">
        <v>111</v>
      </c>
      <c r="BU1400" t="s">
        <v>111</v>
      </c>
      <c r="BV1400" t="s">
        <v>111</v>
      </c>
      <c r="BW1400" t="s">
        <v>111</v>
      </c>
      <c r="BX1400" t="s">
        <v>111</v>
      </c>
      <c r="BY1400" t="s">
        <v>111</v>
      </c>
      <c r="BZ1400" t="s">
        <v>111</v>
      </c>
      <c r="CA1400" t="s">
        <v>111</v>
      </c>
      <c r="CB1400" t="s">
        <v>111</v>
      </c>
      <c r="CC1400" t="s">
        <v>111</v>
      </c>
      <c r="CD1400" t="s">
        <v>111</v>
      </c>
      <c r="CE1400" t="s">
        <v>111</v>
      </c>
      <c r="CF1400" t="s">
        <v>111</v>
      </c>
      <c r="CG1400" t="s">
        <v>111</v>
      </c>
      <c r="CH1400" t="s">
        <v>111</v>
      </c>
      <c r="CI1400" t="s">
        <v>111</v>
      </c>
      <c r="CJ1400" t="s">
        <v>111</v>
      </c>
      <c r="CK1400" t="s">
        <v>111</v>
      </c>
      <c r="CL1400" t="s">
        <v>111</v>
      </c>
      <c r="CM1400" t="s">
        <v>111</v>
      </c>
      <c r="CN1400" t="s">
        <v>111</v>
      </c>
      <c r="CO1400" t="s">
        <v>111</v>
      </c>
      <c r="CP1400" t="s">
        <v>111</v>
      </c>
      <c r="CQ1400">
        <v>0</v>
      </c>
      <c r="CR1400">
        <v>0</v>
      </c>
      <c r="CS1400">
        <v>0</v>
      </c>
      <c r="CT1400" t="s">
        <v>111</v>
      </c>
      <c r="CU1400">
        <v>0</v>
      </c>
      <c r="CV1400" t="s">
        <v>111</v>
      </c>
      <c r="CW1400" t="s">
        <v>111</v>
      </c>
      <c r="CX1400" t="s">
        <v>111</v>
      </c>
      <c r="CY1400">
        <v>0</v>
      </c>
      <c r="CZ1400" t="s">
        <v>111</v>
      </c>
      <c r="DA1400" t="s">
        <v>111</v>
      </c>
      <c r="DB1400" t="s">
        <v>111</v>
      </c>
      <c r="DC1400" t="s">
        <v>111</v>
      </c>
    </row>
    <row r="1401" spans="1:107">
      <c r="A1401">
        <v>406</v>
      </c>
      <c r="B1401" t="s">
        <v>162</v>
      </c>
      <c r="C1401" t="s">
        <v>827</v>
      </c>
      <c r="D1401" t="s">
        <v>3979</v>
      </c>
      <c r="E1401" t="s">
        <v>3980</v>
      </c>
      <c r="F1401" t="s">
        <v>1071</v>
      </c>
      <c r="G1401" t="s">
        <v>24</v>
      </c>
      <c r="H1401">
        <v>1.45</v>
      </c>
      <c r="I1401">
        <v>44</v>
      </c>
      <c r="J1401">
        <v>0</v>
      </c>
      <c r="K1401">
        <v>0</v>
      </c>
      <c r="L1401" t="s">
        <v>112</v>
      </c>
      <c r="M1401" t="s">
        <v>138</v>
      </c>
      <c r="N1401">
        <v>0</v>
      </c>
      <c r="O1401">
        <v>0</v>
      </c>
      <c r="P1401" t="s">
        <v>138</v>
      </c>
      <c r="Q1401">
        <v>40</v>
      </c>
      <c r="R1401">
        <v>0</v>
      </c>
      <c r="S1401">
        <v>0</v>
      </c>
      <c r="T1401">
        <v>0</v>
      </c>
      <c r="U1401" t="s">
        <v>153</v>
      </c>
      <c r="V1401">
        <v>0</v>
      </c>
      <c r="W1401">
        <v>0</v>
      </c>
      <c r="X1401">
        <v>0</v>
      </c>
      <c r="Y1401">
        <v>25</v>
      </c>
      <c r="Z1401" t="s">
        <v>111</v>
      </c>
      <c r="AA1401">
        <v>0</v>
      </c>
      <c r="AB1401" t="s">
        <v>111</v>
      </c>
      <c r="AC1401">
        <v>0</v>
      </c>
      <c r="AD1401" t="s">
        <v>111</v>
      </c>
      <c r="AE1401">
        <v>0</v>
      </c>
      <c r="AF1401">
        <v>0</v>
      </c>
      <c r="AG1401" t="s">
        <v>111</v>
      </c>
      <c r="AH1401" t="s">
        <v>111</v>
      </c>
      <c r="AI1401" t="s">
        <v>111</v>
      </c>
      <c r="AJ1401" t="s">
        <v>111</v>
      </c>
      <c r="AK1401" t="s">
        <v>111</v>
      </c>
      <c r="AL1401" t="s">
        <v>111</v>
      </c>
      <c r="AM1401">
        <v>0</v>
      </c>
      <c r="AN1401">
        <v>0</v>
      </c>
      <c r="AO1401">
        <v>0</v>
      </c>
      <c r="AP1401" t="s">
        <v>111</v>
      </c>
      <c r="AQ1401" t="s">
        <v>111</v>
      </c>
      <c r="AR1401" t="s">
        <v>111</v>
      </c>
      <c r="AS1401" t="s">
        <v>111</v>
      </c>
      <c r="AT1401" t="s">
        <v>111</v>
      </c>
      <c r="AU1401" t="s">
        <v>111</v>
      </c>
      <c r="AV1401" t="s">
        <v>111</v>
      </c>
      <c r="AW1401" t="s">
        <v>111</v>
      </c>
      <c r="AX1401" t="s">
        <v>111</v>
      </c>
      <c r="AY1401" t="s">
        <v>111</v>
      </c>
      <c r="AZ1401" t="s">
        <v>111</v>
      </c>
      <c r="BA1401" t="s">
        <v>111</v>
      </c>
      <c r="BB1401" t="s">
        <v>111</v>
      </c>
      <c r="BC1401" t="s">
        <v>111</v>
      </c>
      <c r="BD1401" t="s">
        <v>111</v>
      </c>
      <c r="BE1401" t="s">
        <v>111</v>
      </c>
      <c r="BF1401" t="s">
        <v>111</v>
      </c>
      <c r="BG1401" t="s">
        <v>111</v>
      </c>
      <c r="BH1401" t="s">
        <v>111</v>
      </c>
      <c r="BI1401" t="s">
        <v>111</v>
      </c>
      <c r="BJ1401" t="s">
        <v>111</v>
      </c>
      <c r="BK1401" t="s">
        <v>111</v>
      </c>
      <c r="BL1401" t="s">
        <v>111</v>
      </c>
      <c r="BM1401" t="s">
        <v>111</v>
      </c>
      <c r="BN1401" t="s">
        <v>111</v>
      </c>
      <c r="BO1401" t="s">
        <v>111</v>
      </c>
      <c r="BP1401" t="s">
        <v>111</v>
      </c>
      <c r="BQ1401" t="s">
        <v>111</v>
      </c>
      <c r="BR1401" t="s">
        <v>111</v>
      </c>
      <c r="BS1401" t="s">
        <v>111</v>
      </c>
      <c r="BT1401" t="s">
        <v>111</v>
      </c>
      <c r="BU1401" t="s">
        <v>111</v>
      </c>
      <c r="BV1401" t="s">
        <v>111</v>
      </c>
      <c r="BW1401" t="s">
        <v>111</v>
      </c>
      <c r="BX1401" t="s">
        <v>111</v>
      </c>
      <c r="BY1401" t="s">
        <v>111</v>
      </c>
      <c r="BZ1401" t="s">
        <v>111</v>
      </c>
      <c r="CA1401" t="s">
        <v>111</v>
      </c>
      <c r="CB1401" t="s">
        <v>111</v>
      </c>
      <c r="CC1401" t="s">
        <v>111</v>
      </c>
      <c r="CD1401" t="s">
        <v>111</v>
      </c>
      <c r="CE1401" t="s">
        <v>111</v>
      </c>
      <c r="CF1401" t="s">
        <v>111</v>
      </c>
      <c r="CG1401" t="s">
        <v>111</v>
      </c>
      <c r="CH1401" t="s">
        <v>111</v>
      </c>
      <c r="CI1401" t="s">
        <v>111</v>
      </c>
      <c r="CJ1401" t="s">
        <v>111</v>
      </c>
      <c r="CK1401" t="s">
        <v>111</v>
      </c>
      <c r="CL1401" t="s">
        <v>111</v>
      </c>
      <c r="CM1401" t="s">
        <v>198</v>
      </c>
      <c r="CN1401" t="s">
        <v>113</v>
      </c>
      <c r="CO1401" t="s">
        <v>111</v>
      </c>
      <c r="CP1401" t="s">
        <v>111</v>
      </c>
      <c r="CQ1401">
        <v>0</v>
      </c>
      <c r="CR1401">
        <v>4000</v>
      </c>
      <c r="CS1401">
        <v>200</v>
      </c>
      <c r="CT1401" t="s">
        <v>168</v>
      </c>
      <c r="CU1401">
        <v>0</v>
      </c>
      <c r="CV1401" t="s">
        <v>111</v>
      </c>
      <c r="CW1401" t="s">
        <v>111</v>
      </c>
      <c r="CX1401" t="s">
        <v>111</v>
      </c>
      <c r="CY1401">
        <v>0</v>
      </c>
      <c r="CZ1401" t="s">
        <v>111</v>
      </c>
      <c r="DA1401" t="s">
        <v>111</v>
      </c>
      <c r="DB1401" t="s">
        <v>111</v>
      </c>
      <c r="DC1401" t="s">
        <v>111</v>
      </c>
    </row>
    <row r="1402" spans="1:107">
      <c r="A1402">
        <v>40</v>
      </c>
      <c r="B1402" t="s">
        <v>162</v>
      </c>
      <c r="C1402" t="s">
        <v>3981</v>
      </c>
      <c r="D1402" t="s">
        <v>3982</v>
      </c>
      <c r="E1402" t="s">
        <v>3983</v>
      </c>
      <c r="F1402" t="s">
        <v>1071</v>
      </c>
      <c r="G1402" t="s">
        <v>24</v>
      </c>
      <c r="H1402">
        <v>1.8</v>
      </c>
      <c r="I1402">
        <v>45</v>
      </c>
      <c r="J1402">
        <v>0</v>
      </c>
      <c r="K1402">
        <v>0</v>
      </c>
      <c r="L1402" t="s">
        <v>112</v>
      </c>
      <c r="M1402" t="s">
        <v>138</v>
      </c>
      <c r="N1402">
        <v>0</v>
      </c>
      <c r="O1402">
        <v>0</v>
      </c>
      <c r="P1402" t="s">
        <v>138</v>
      </c>
      <c r="Q1402">
        <v>35</v>
      </c>
      <c r="R1402">
        <v>0</v>
      </c>
      <c r="S1402">
        <v>0</v>
      </c>
      <c r="T1402">
        <v>0</v>
      </c>
      <c r="U1402" t="s">
        <v>153</v>
      </c>
      <c r="V1402">
        <v>0</v>
      </c>
      <c r="W1402">
        <v>0</v>
      </c>
      <c r="X1402">
        <v>0</v>
      </c>
      <c r="Y1402">
        <v>25</v>
      </c>
      <c r="Z1402" t="s">
        <v>111</v>
      </c>
      <c r="AA1402">
        <v>0</v>
      </c>
      <c r="AB1402" t="s">
        <v>111</v>
      </c>
      <c r="AC1402">
        <v>0</v>
      </c>
      <c r="AD1402" t="s">
        <v>111</v>
      </c>
      <c r="AE1402">
        <v>0</v>
      </c>
      <c r="AF1402">
        <v>0</v>
      </c>
      <c r="AG1402" t="s">
        <v>111</v>
      </c>
      <c r="AH1402" t="s">
        <v>111</v>
      </c>
      <c r="AI1402" t="s">
        <v>111</v>
      </c>
      <c r="AJ1402" t="s">
        <v>111</v>
      </c>
      <c r="AK1402" t="s">
        <v>111</v>
      </c>
      <c r="AL1402" t="s">
        <v>111</v>
      </c>
      <c r="AM1402">
        <v>0</v>
      </c>
      <c r="AN1402">
        <v>0</v>
      </c>
      <c r="AO1402">
        <v>0</v>
      </c>
      <c r="AP1402" t="s">
        <v>111</v>
      </c>
      <c r="AQ1402" t="s">
        <v>111</v>
      </c>
      <c r="AR1402" t="s">
        <v>111</v>
      </c>
      <c r="AS1402" t="s">
        <v>111</v>
      </c>
      <c r="AT1402" t="s">
        <v>111</v>
      </c>
      <c r="AU1402" t="s">
        <v>111</v>
      </c>
      <c r="AV1402" t="s">
        <v>111</v>
      </c>
      <c r="AW1402" t="s">
        <v>111</v>
      </c>
      <c r="AX1402" t="s">
        <v>111</v>
      </c>
      <c r="AY1402" t="s">
        <v>111</v>
      </c>
      <c r="AZ1402" t="s">
        <v>111</v>
      </c>
      <c r="BA1402" t="s">
        <v>111</v>
      </c>
      <c r="BB1402" t="s">
        <v>111</v>
      </c>
      <c r="BC1402" t="s">
        <v>111</v>
      </c>
      <c r="BD1402" t="s">
        <v>111</v>
      </c>
      <c r="BE1402" t="s">
        <v>111</v>
      </c>
      <c r="BF1402" t="s">
        <v>111</v>
      </c>
      <c r="BG1402" t="s">
        <v>111</v>
      </c>
      <c r="BH1402" t="s">
        <v>111</v>
      </c>
      <c r="BI1402" t="s">
        <v>111</v>
      </c>
      <c r="BJ1402" t="s">
        <v>111</v>
      </c>
      <c r="BK1402" t="s">
        <v>111</v>
      </c>
      <c r="BL1402" t="s">
        <v>111</v>
      </c>
      <c r="BM1402" t="s">
        <v>111</v>
      </c>
      <c r="BN1402" t="s">
        <v>111</v>
      </c>
      <c r="BO1402" t="s">
        <v>111</v>
      </c>
      <c r="BP1402" t="s">
        <v>111</v>
      </c>
      <c r="BQ1402" t="s">
        <v>111</v>
      </c>
      <c r="BR1402" t="s">
        <v>111</v>
      </c>
      <c r="BS1402" t="s">
        <v>111</v>
      </c>
      <c r="BT1402" t="s">
        <v>111</v>
      </c>
      <c r="BU1402" t="s">
        <v>111</v>
      </c>
      <c r="BV1402" t="s">
        <v>111</v>
      </c>
      <c r="BW1402" t="s">
        <v>111</v>
      </c>
      <c r="BX1402" t="s">
        <v>111</v>
      </c>
      <c r="BY1402" t="s">
        <v>111</v>
      </c>
      <c r="BZ1402" t="s">
        <v>111</v>
      </c>
      <c r="CA1402" t="s">
        <v>111</v>
      </c>
      <c r="CB1402" t="s">
        <v>111</v>
      </c>
      <c r="CC1402" t="s">
        <v>111</v>
      </c>
      <c r="CD1402" t="s">
        <v>111</v>
      </c>
      <c r="CE1402" t="s">
        <v>111</v>
      </c>
      <c r="CF1402" t="s">
        <v>111</v>
      </c>
      <c r="CG1402" t="s">
        <v>111</v>
      </c>
      <c r="CH1402" t="s">
        <v>111</v>
      </c>
      <c r="CI1402" t="s">
        <v>111</v>
      </c>
      <c r="CJ1402" t="s">
        <v>111</v>
      </c>
      <c r="CK1402" t="s">
        <v>111</v>
      </c>
      <c r="CL1402" t="s">
        <v>111</v>
      </c>
      <c r="CM1402" t="s">
        <v>198</v>
      </c>
      <c r="CN1402" t="s">
        <v>113</v>
      </c>
      <c r="CO1402" t="s">
        <v>111</v>
      </c>
      <c r="CP1402" t="s">
        <v>111</v>
      </c>
      <c r="CQ1402">
        <v>0</v>
      </c>
      <c r="CR1402">
        <v>0</v>
      </c>
      <c r="CS1402">
        <v>0</v>
      </c>
      <c r="CT1402" s="1" t="s">
        <v>3984</v>
      </c>
      <c r="CU1402">
        <v>0</v>
      </c>
      <c r="CV1402" t="s">
        <v>111</v>
      </c>
      <c r="CW1402" t="s">
        <v>111</v>
      </c>
      <c r="CX1402" t="s">
        <v>111</v>
      </c>
      <c r="CY1402">
        <v>0</v>
      </c>
      <c r="CZ1402" t="s">
        <v>111</v>
      </c>
      <c r="DA1402" t="s">
        <v>111</v>
      </c>
      <c r="DB1402" t="s">
        <v>204</v>
      </c>
      <c r="DC1402" s="1" t="s">
        <v>3985</v>
      </c>
    </row>
    <row r="1403" spans="1:107">
      <c r="A1403">
        <v>397</v>
      </c>
      <c r="B1403" t="s">
        <v>162</v>
      </c>
      <c r="C1403" t="s">
        <v>2711</v>
      </c>
      <c r="D1403" t="s">
        <v>3986</v>
      </c>
      <c r="E1403" t="s">
        <v>3987</v>
      </c>
      <c r="F1403" t="s">
        <v>1651</v>
      </c>
      <c r="G1403" t="s">
        <v>24</v>
      </c>
      <c r="H1403">
        <v>1</v>
      </c>
      <c r="I1403">
        <v>35</v>
      </c>
      <c r="J1403">
        <v>0</v>
      </c>
      <c r="K1403">
        <v>0</v>
      </c>
      <c r="L1403" t="s">
        <v>112</v>
      </c>
      <c r="M1403" t="s">
        <v>118</v>
      </c>
      <c r="N1403">
        <v>40</v>
      </c>
      <c r="O1403">
        <v>2</v>
      </c>
      <c r="P1403" t="s">
        <v>138</v>
      </c>
      <c r="Q1403">
        <v>35</v>
      </c>
      <c r="R1403">
        <v>0</v>
      </c>
      <c r="S1403">
        <v>0</v>
      </c>
      <c r="T1403">
        <v>0</v>
      </c>
      <c r="U1403" t="s">
        <v>2685</v>
      </c>
      <c r="V1403">
        <v>0</v>
      </c>
      <c r="W1403">
        <v>0</v>
      </c>
      <c r="X1403">
        <v>1</v>
      </c>
      <c r="Y1403">
        <v>0</v>
      </c>
      <c r="Z1403" t="s">
        <v>111</v>
      </c>
      <c r="AA1403">
        <v>0</v>
      </c>
      <c r="AB1403" t="s">
        <v>111</v>
      </c>
      <c r="AC1403">
        <v>0</v>
      </c>
      <c r="AD1403" t="s">
        <v>427</v>
      </c>
      <c r="AE1403">
        <v>0</v>
      </c>
      <c r="AF1403">
        <v>2</v>
      </c>
      <c r="AG1403">
        <v>27</v>
      </c>
      <c r="AH1403" t="s">
        <v>111</v>
      </c>
      <c r="AI1403">
        <v>56</v>
      </c>
      <c r="AJ1403" t="s">
        <v>111</v>
      </c>
      <c r="AK1403" t="s">
        <v>111</v>
      </c>
      <c r="AL1403" t="s">
        <v>111</v>
      </c>
      <c r="AM1403">
        <v>0</v>
      </c>
      <c r="AN1403">
        <v>0</v>
      </c>
      <c r="AO1403">
        <v>0</v>
      </c>
      <c r="AP1403" t="s">
        <v>111</v>
      </c>
      <c r="AQ1403" t="s">
        <v>111</v>
      </c>
      <c r="AR1403" t="s">
        <v>111</v>
      </c>
      <c r="AS1403" t="s">
        <v>111</v>
      </c>
      <c r="AT1403" t="s">
        <v>111</v>
      </c>
      <c r="AU1403" t="s">
        <v>111</v>
      </c>
      <c r="AV1403" t="s">
        <v>111</v>
      </c>
      <c r="AW1403" t="s">
        <v>111</v>
      </c>
      <c r="AX1403" t="s">
        <v>111</v>
      </c>
      <c r="AY1403" t="s">
        <v>111</v>
      </c>
      <c r="AZ1403" t="s">
        <v>111</v>
      </c>
      <c r="BA1403" t="s">
        <v>111</v>
      </c>
      <c r="BB1403" t="s">
        <v>111</v>
      </c>
      <c r="BC1403" t="s">
        <v>111</v>
      </c>
      <c r="BD1403" t="s">
        <v>111</v>
      </c>
      <c r="BE1403" t="s">
        <v>111</v>
      </c>
      <c r="BF1403" t="s">
        <v>111</v>
      </c>
      <c r="BG1403" t="s">
        <v>111</v>
      </c>
      <c r="BH1403" t="s">
        <v>111</v>
      </c>
      <c r="BI1403" t="s">
        <v>111</v>
      </c>
      <c r="BJ1403" t="s">
        <v>111</v>
      </c>
      <c r="BK1403" t="s">
        <v>111</v>
      </c>
      <c r="BL1403" t="s">
        <v>111</v>
      </c>
      <c r="BM1403" t="s">
        <v>111</v>
      </c>
      <c r="BN1403" t="s">
        <v>111</v>
      </c>
      <c r="BO1403" t="s">
        <v>111</v>
      </c>
      <c r="BP1403" t="s">
        <v>111</v>
      </c>
      <c r="BQ1403" t="s">
        <v>111</v>
      </c>
      <c r="BR1403" t="s">
        <v>111</v>
      </c>
      <c r="BS1403" t="s">
        <v>111</v>
      </c>
      <c r="BT1403" t="s">
        <v>111</v>
      </c>
      <c r="BU1403" t="s">
        <v>111</v>
      </c>
      <c r="BV1403" t="s">
        <v>111</v>
      </c>
      <c r="BW1403" t="s">
        <v>111</v>
      </c>
      <c r="BX1403" t="s">
        <v>111</v>
      </c>
      <c r="BY1403" t="s">
        <v>111</v>
      </c>
      <c r="BZ1403" t="s">
        <v>111</v>
      </c>
      <c r="CA1403" t="s">
        <v>111</v>
      </c>
      <c r="CB1403" t="s">
        <v>111</v>
      </c>
      <c r="CC1403" t="s">
        <v>111</v>
      </c>
      <c r="CD1403" t="s">
        <v>111</v>
      </c>
      <c r="CE1403" t="s">
        <v>111</v>
      </c>
      <c r="CF1403" t="s">
        <v>111</v>
      </c>
      <c r="CG1403" t="s">
        <v>111</v>
      </c>
      <c r="CH1403" t="s">
        <v>111</v>
      </c>
      <c r="CI1403" t="s">
        <v>111</v>
      </c>
      <c r="CJ1403" t="s">
        <v>111</v>
      </c>
      <c r="CK1403" t="s">
        <v>111</v>
      </c>
      <c r="CL1403" t="s">
        <v>153</v>
      </c>
      <c r="CM1403" t="s">
        <v>198</v>
      </c>
      <c r="CN1403" t="s">
        <v>113</v>
      </c>
      <c r="CO1403" t="s">
        <v>222</v>
      </c>
      <c r="CP1403" t="s">
        <v>433</v>
      </c>
      <c r="CQ1403">
        <v>0</v>
      </c>
      <c r="CR1403">
        <v>0</v>
      </c>
      <c r="CS1403">
        <v>0</v>
      </c>
      <c r="CT1403" t="s">
        <v>168</v>
      </c>
      <c r="CU1403">
        <v>0</v>
      </c>
      <c r="CV1403" t="s">
        <v>111</v>
      </c>
      <c r="CW1403" t="s">
        <v>111</v>
      </c>
      <c r="CX1403" t="s">
        <v>111</v>
      </c>
      <c r="CY1403">
        <v>0</v>
      </c>
      <c r="CZ1403" t="s">
        <v>111</v>
      </c>
      <c r="DA1403" t="s">
        <v>111</v>
      </c>
      <c r="DB1403" t="s">
        <v>111</v>
      </c>
      <c r="DC1403" t="s">
        <v>111</v>
      </c>
    </row>
    <row r="1404" spans="1:107">
      <c r="A1404">
        <v>262</v>
      </c>
      <c r="B1404" t="s">
        <v>162</v>
      </c>
      <c r="C1404" s="2">
        <v>1020396785</v>
      </c>
      <c r="D1404" t="s">
        <v>3988</v>
      </c>
      <c r="E1404" t="s">
        <v>3989</v>
      </c>
      <c r="F1404" t="s">
        <v>1071</v>
      </c>
      <c r="G1404" t="s">
        <v>24</v>
      </c>
      <c r="H1404">
        <v>2.4</v>
      </c>
      <c r="I1404">
        <v>30</v>
      </c>
      <c r="J1404">
        <v>0</v>
      </c>
      <c r="K1404">
        <v>0</v>
      </c>
      <c r="L1404" t="s">
        <v>112</v>
      </c>
      <c r="M1404" t="s">
        <v>138</v>
      </c>
      <c r="N1404">
        <v>0</v>
      </c>
      <c r="O1404">
        <v>0</v>
      </c>
      <c r="P1404" t="s">
        <v>138</v>
      </c>
      <c r="Q1404">
        <v>30</v>
      </c>
      <c r="R1404">
        <v>0</v>
      </c>
      <c r="S1404">
        <v>0</v>
      </c>
      <c r="T1404">
        <v>0</v>
      </c>
      <c r="U1404" s="1" t="s">
        <v>3990</v>
      </c>
      <c r="V1404">
        <v>0</v>
      </c>
      <c r="W1404">
        <v>0</v>
      </c>
      <c r="X1404">
        <v>0</v>
      </c>
      <c r="Y1404">
        <v>25</v>
      </c>
      <c r="Z1404" t="s">
        <v>111</v>
      </c>
      <c r="AA1404">
        <v>0</v>
      </c>
      <c r="AB1404" t="s">
        <v>111</v>
      </c>
      <c r="AC1404">
        <v>0</v>
      </c>
      <c r="AD1404" t="s">
        <v>111</v>
      </c>
      <c r="AE1404">
        <v>0</v>
      </c>
      <c r="AF1404">
        <v>0</v>
      </c>
      <c r="AG1404" t="s">
        <v>111</v>
      </c>
      <c r="AH1404" t="s">
        <v>111</v>
      </c>
      <c r="AI1404" t="s">
        <v>111</v>
      </c>
      <c r="AJ1404" t="s">
        <v>111</v>
      </c>
      <c r="AK1404" t="s">
        <v>111</v>
      </c>
      <c r="AL1404" t="s">
        <v>111</v>
      </c>
      <c r="AM1404">
        <v>0</v>
      </c>
      <c r="AN1404">
        <v>0</v>
      </c>
      <c r="AO1404">
        <v>0</v>
      </c>
      <c r="AP1404" t="s">
        <v>111</v>
      </c>
      <c r="AQ1404" t="s">
        <v>111</v>
      </c>
      <c r="AR1404" t="s">
        <v>111</v>
      </c>
      <c r="AS1404" t="s">
        <v>111</v>
      </c>
      <c r="AT1404" t="s">
        <v>111</v>
      </c>
      <c r="AU1404" t="s">
        <v>111</v>
      </c>
      <c r="AV1404" t="s">
        <v>111</v>
      </c>
      <c r="AW1404" t="s">
        <v>111</v>
      </c>
      <c r="AX1404" t="s">
        <v>111</v>
      </c>
      <c r="AY1404" t="s">
        <v>111</v>
      </c>
      <c r="AZ1404" t="s">
        <v>111</v>
      </c>
      <c r="BA1404" t="s">
        <v>111</v>
      </c>
      <c r="BB1404" t="s">
        <v>111</v>
      </c>
      <c r="BC1404" t="s">
        <v>111</v>
      </c>
      <c r="BD1404" t="s">
        <v>111</v>
      </c>
      <c r="BE1404" t="s">
        <v>111</v>
      </c>
      <c r="BF1404" t="s">
        <v>111</v>
      </c>
      <c r="BG1404" t="s">
        <v>111</v>
      </c>
      <c r="BH1404" t="s">
        <v>111</v>
      </c>
      <c r="BI1404" t="s">
        <v>111</v>
      </c>
      <c r="BJ1404" t="s">
        <v>111</v>
      </c>
      <c r="BK1404" t="s">
        <v>111</v>
      </c>
      <c r="BL1404" t="s">
        <v>111</v>
      </c>
      <c r="BM1404" t="s">
        <v>111</v>
      </c>
      <c r="BN1404" t="s">
        <v>111</v>
      </c>
      <c r="BO1404" t="s">
        <v>111</v>
      </c>
      <c r="BP1404" t="s">
        <v>111</v>
      </c>
      <c r="BQ1404" t="s">
        <v>111</v>
      </c>
      <c r="BR1404" t="s">
        <v>111</v>
      </c>
      <c r="BS1404" t="s">
        <v>111</v>
      </c>
      <c r="BT1404" t="s">
        <v>111</v>
      </c>
      <c r="BU1404" t="s">
        <v>111</v>
      </c>
      <c r="BV1404" t="s">
        <v>111</v>
      </c>
      <c r="BW1404" t="s">
        <v>111</v>
      </c>
      <c r="BX1404" t="s">
        <v>111</v>
      </c>
      <c r="BY1404" t="s">
        <v>111</v>
      </c>
      <c r="BZ1404" t="s">
        <v>111</v>
      </c>
      <c r="CA1404" t="s">
        <v>111</v>
      </c>
      <c r="CB1404" t="s">
        <v>111</v>
      </c>
      <c r="CC1404" t="s">
        <v>111</v>
      </c>
      <c r="CD1404" t="s">
        <v>111</v>
      </c>
      <c r="CE1404" t="s">
        <v>111</v>
      </c>
      <c r="CF1404" t="s">
        <v>111</v>
      </c>
      <c r="CG1404" t="s">
        <v>111</v>
      </c>
      <c r="CH1404" t="s">
        <v>111</v>
      </c>
      <c r="CI1404" t="s">
        <v>111</v>
      </c>
      <c r="CJ1404" t="s">
        <v>111</v>
      </c>
      <c r="CK1404" t="s">
        <v>111</v>
      </c>
      <c r="CL1404" t="s">
        <v>111</v>
      </c>
      <c r="CM1404" t="s">
        <v>198</v>
      </c>
      <c r="CN1404" t="s">
        <v>113</v>
      </c>
      <c r="CO1404" t="s">
        <v>111</v>
      </c>
      <c r="CP1404" t="s">
        <v>111</v>
      </c>
      <c r="CQ1404">
        <v>0</v>
      </c>
      <c r="CR1404">
        <v>0</v>
      </c>
      <c r="CS1404">
        <v>0</v>
      </c>
      <c r="CT1404" t="s">
        <v>168</v>
      </c>
      <c r="CU1404">
        <v>0</v>
      </c>
      <c r="CV1404" t="s">
        <v>111</v>
      </c>
      <c r="CW1404" t="s">
        <v>111</v>
      </c>
      <c r="CX1404" t="s">
        <v>111</v>
      </c>
      <c r="CY1404">
        <v>0</v>
      </c>
      <c r="CZ1404" t="s">
        <v>111</v>
      </c>
      <c r="DA1404" t="s">
        <v>111</v>
      </c>
      <c r="DB1404" t="s">
        <v>111</v>
      </c>
      <c r="DC1404" t="s">
        <v>111</v>
      </c>
    </row>
    <row r="1405" spans="1:107">
      <c r="A1405">
        <v>59</v>
      </c>
      <c r="B1405" t="s">
        <v>162</v>
      </c>
      <c r="C1405" s="2">
        <v>93385719</v>
      </c>
      <c r="D1405" t="s">
        <v>3991</v>
      </c>
      <c r="E1405" t="s">
        <v>3992</v>
      </c>
      <c r="F1405" t="s">
        <v>1651</v>
      </c>
      <c r="G1405" t="s">
        <v>24</v>
      </c>
      <c r="H1405">
        <v>1.5</v>
      </c>
      <c r="I1405">
        <v>38</v>
      </c>
      <c r="J1405">
        <v>0</v>
      </c>
      <c r="K1405">
        <v>0</v>
      </c>
      <c r="L1405" t="s">
        <v>112</v>
      </c>
      <c r="M1405" t="s">
        <v>118</v>
      </c>
      <c r="N1405">
        <v>40</v>
      </c>
      <c r="O1405">
        <v>1</v>
      </c>
      <c r="P1405" t="s">
        <v>138</v>
      </c>
      <c r="Q1405">
        <v>40</v>
      </c>
      <c r="R1405">
        <v>0</v>
      </c>
      <c r="S1405">
        <v>0</v>
      </c>
      <c r="T1405">
        <v>0</v>
      </c>
      <c r="U1405" t="s">
        <v>1353</v>
      </c>
      <c r="V1405">
        <v>0</v>
      </c>
      <c r="W1405">
        <v>0</v>
      </c>
      <c r="X1405">
        <v>0</v>
      </c>
      <c r="Y1405">
        <v>25</v>
      </c>
      <c r="Z1405" t="s">
        <v>111</v>
      </c>
      <c r="AA1405">
        <v>0</v>
      </c>
      <c r="AB1405" t="s">
        <v>111</v>
      </c>
      <c r="AC1405">
        <v>0</v>
      </c>
      <c r="AD1405" t="s">
        <v>416</v>
      </c>
      <c r="AE1405">
        <v>1</v>
      </c>
      <c r="AF1405">
        <v>1</v>
      </c>
      <c r="AG1405">
        <v>30</v>
      </c>
      <c r="AH1405" t="s">
        <v>111</v>
      </c>
      <c r="AI1405">
        <v>30</v>
      </c>
      <c r="AJ1405" t="s">
        <v>111</v>
      </c>
      <c r="AK1405" t="s">
        <v>111</v>
      </c>
      <c r="AL1405" t="s">
        <v>111</v>
      </c>
      <c r="AM1405">
        <v>0</v>
      </c>
      <c r="AN1405">
        <v>0</v>
      </c>
      <c r="AO1405">
        <v>0</v>
      </c>
      <c r="AP1405" t="s">
        <v>1091</v>
      </c>
      <c r="AQ1405" t="s">
        <v>111</v>
      </c>
      <c r="AR1405" t="s">
        <v>111</v>
      </c>
      <c r="AS1405" t="s">
        <v>111</v>
      </c>
      <c r="AT1405" t="s">
        <v>111</v>
      </c>
      <c r="AU1405" t="s">
        <v>111</v>
      </c>
      <c r="AV1405" t="s">
        <v>111</v>
      </c>
      <c r="AW1405" t="s">
        <v>111</v>
      </c>
      <c r="AX1405" t="s">
        <v>111</v>
      </c>
      <c r="AY1405" t="s">
        <v>111</v>
      </c>
      <c r="AZ1405" t="s">
        <v>111</v>
      </c>
      <c r="BA1405" t="s">
        <v>111</v>
      </c>
      <c r="BB1405" t="s">
        <v>111</v>
      </c>
      <c r="BC1405" t="s">
        <v>111</v>
      </c>
      <c r="BD1405" t="s">
        <v>111</v>
      </c>
      <c r="BE1405" t="s">
        <v>111</v>
      </c>
      <c r="BF1405" t="s">
        <v>111</v>
      </c>
      <c r="BG1405" t="s">
        <v>111</v>
      </c>
      <c r="BH1405" t="s">
        <v>111</v>
      </c>
      <c r="BI1405" t="s">
        <v>111</v>
      </c>
      <c r="BJ1405" t="s">
        <v>111</v>
      </c>
      <c r="BK1405" t="s">
        <v>111</v>
      </c>
      <c r="BL1405" t="s">
        <v>111</v>
      </c>
      <c r="BM1405" t="s">
        <v>111</v>
      </c>
      <c r="BN1405" t="s">
        <v>111</v>
      </c>
      <c r="BO1405" t="s">
        <v>111</v>
      </c>
      <c r="BP1405" t="s">
        <v>111</v>
      </c>
      <c r="BQ1405" t="s">
        <v>111</v>
      </c>
      <c r="BR1405" t="s">
        <v>111</v>
      </c>
      <c r="BS1405" t="s">
        <v>111</v>
      </c>
      <c r="BT1405" t="s">
        <v>111</v>
      </c>
      <c r="BU1405" t="s">
        <v>111</v>
      </c>
      <c r="BV1405" t="s">
        <v>111</v>
      </c>
      <c r="BW1405" t="s">
        <v>111</v>
      </c>
      <c r="BX1405" t="s">
        <v>111</v>
      </c>
      <c r="BY1405" t="s">
        <v>111</v>
      </c>
      <c r="BZ1405" t="s">
        <v>111</v>
      </c>
      <c r="CA1405" t="s">
        <v>111</v>
      </c>
      <c r="CB1405" t="s">
        <v>111</v>
      </c>
      <c r="CC1405" t="s">
        <v>111</v>
      </c>
      <c r="CD1405" t="s">
        <v>111</v>
      </c>
      <c r="CE1405" t="s">
        <v>111</v>
      </c>
      <c r="CF1405" t="s">
        <v>111</v>
      </c>
      <c r="CG1405" t="s">
        <v>111</v>
      </c>
      <c r="CH1405" t="s">
        <v>111</v>
      </c>
      <c r="CI1405" t="s">
        <v>111</v>
      </c>
      <c r="CJ1405" t="s">
        <v>111</v>
      </c>
      <c r="CK1405" t="s">
        <v>111</v>
      </c>
      <c r="CL1405" t="s">
        <v>153</v>
      </c>
      <c r="CM1405" t="s">
        <v>198</v>
      </c>
      <c r="CN1405" t="s">
        <v>113</v>
      </c>
      <c r="CO1405" t="s">
        <v>111</v>
      </c>
      <c r="CP1405" t="s">
        <v>433</v>
      </c>
      <c r="CQ1405">
        <v>0</v>
      </c>
      <c r="CR1405">
        <v>0</v>
      </c>
      <c r="CS1405">
        <v>0</v>
      </c>
      <c r="CT1405" t="s">
        <v>168</v>
      </c>
      <c r="CU1405">
        <v>0</v>
      </c>
      <c r="CV1405" t="s">
        <v>111</v>
      </c>
      <c r="CW1405" t="s">
        <v>111</v>
      </c>
      <c r="CX1405" t="s">
        <v>111</v>
      </c>
      <c r="CY1405">
        <v>0</v>
      </c>
      <c r="CZ1405" t="s">
        <v>111</v>
      </c>
      <c r="DA1405" t="s">
        <v>111</v>
      </c>
      <c r="DB1405" t="s">
        <v>111</v>
      </c>
      <c r="DC1405" t="s">
        <v>111</v>
      </c>
    </row>
    <row r="1406" spans="1:107">
      <c r="A1406">
        <v>77</v>
      </c>
      <c r="B1406" t="s">
        <v>162</v>
      </c>
      <c r="C1406" t="s">
        <v>928</v>
      </c>
      <c r="D1406" t="s">
        <v>3849</v>
      </c>
      <c r="E1406" t="s">
        <v>3993</v>
      </c>
      <c r="F1406" t="s">
        <v>1651</v>
      </c>
      <c r="G1406" t="s">
        <v>24</v>
      </c>
      <c r="H1406">
        <v>1.1499999999999999</v>
      </c>
      <c r="I1406">
        <v>40.5</v>
      </c>
      <c r="J1406">
        <v>0</v>
      </c>
      <c r="K1406">
        <v>0</v>
      </c>
      <c r="L1406" t="s">
        <v>112</v>
      </c>
      <c r="M1406" t="s">
        <v>118</v>
      </c>
      <c r="N1406">
        <v>40</v>
      </c>
      <c r="O1406">
        <v>1</v>
      </c>
      <c r="P1406" t="s">
        <v>138</v>
      </c>
      <c r="Q1406">
        <v>40</v>
      </c>
      <c r="R1406">
        <v>0</v>
      </c>
      <c r="S1406">
        <v>0</v>
      </c>
      <c r="T1406">
        <v>0</v>
      </c>
      <c r="U1406" t="s">
        <v>1353</v>
      </c>
      <c r="V1406">
        <v>0</v>
      </c>
      <c r="W1406">
        <v>0</v>
      </c>
      <c r="X1406">
        <v>0</v>
      </c>
      <c r="Y1406">
        <v>25</v>
      </c>
      <c r="Z1406" t="s">
        <v>111</v>
      </c>
      <c r="AA1406">
        <v>0</v>
      </c>
      <c r="AB1406" t="s">
        <v>111</v>
      </c>
      <c r="AC1406">
        <v>0</v>
      </c>
      <c r="AD1406" t="s">
        <v>416</v>
      </c>
      <c r="AE1406">
        <v>1</v>
      </c>
      <c r="AF1406">
        <v>2</v>
      </c>
      <c r="AG1406">
        <v>23</v>
      </c>
      <c r="AH1406" t="s">
        <v>111</v>
      </c>
      <c r="AI1406">
        <v>46</v>
      </c>
      <c r="AJ1406" t="s">
        <v>111</v>
      </c>
      <c r="AK1406" t="s">
        <v>111</v>
      </c>
      <c r="AL1406" t="s">
        <v>111</v>
      </c>
      <c r="AM1406">
        <v>0</v>
      </c>
      <c r="AN1406">
        <v>0</v>
      </c>
      <c r="AO1406">
        <v>0</v>
      </c>
      <c r="AP1406" t="s">
        <v>288</v>
      </c>
      <c r="AQ1406" t="s">
        <v>111</v>
      </c>
      <c r="AR1406" t="s">
        <v>111</v>
      </c>
      <c r="AS1406" t="s">
        <v>111</v>
      </c>
      <c r="AT1406" t="s">
        <v>259</v>
      </c>
      <c r="AU1406" t="s">
        <v>111</v>
      </c>
      <c r="AV1406" t="s">
        <v>111</v>
      </c>
      <c r="AW1406" t="s">
        <v>111</v>
      </c>
      <c r="AX1406" t="s">
        <v>111</v>
      </c>
      <c r="AY1406" t="s">
        <v>111</v>
      </c>
      <c r="AZ1406" t="s">
        <v>111</v>
      </c>
      <c r="BA1406" t="s">
        <v>111</v>
      </c>
      <c r="BB1406" t="s">
        <v>111</v>
      </c>
      <c r="BC1406" t="s">
        <v>111</v>
      </c>
      <c r="BD1406" t="s">
        <v>111</v>
      </c>
      <c r="BE1406" t="s">
        <v>111</v>
      </c>
      <c r="BF1406" t="s">
        <v>111</v>
      </c>
      <c r="BG1406" t="s">
        <v>111</v>
      </c>
      <c r="BH1406" t="s">
        <v>111</v>
      </c>
      <c r="BI1406" t="s">
        <v>111</v>
      </c>
      <c r="BJ1406" t="s">
        <v>111</v>
      </c>
      <c r="BK1406" t="s">
        <v>111</v>
      </c>
      <c r="BL1406" t="s">
        <v>111</v>
      </c>
      <c r="BM1406" t="s">
        <v>111</v>
      </c>
      <c r="BN1406" t="s">
        <v>111</v>
      </c>
      <c r="BO1406" t="s">
        <v>111</v>
      </c>
      <c r="BP1406" t="s">
        <v>111</v>
      </c>
      <c r="BQ1406" t="s">
        <v>111</v>
      </c>
      <c r="BR1406" t="s">
        <v>111</v>
      </c>
      <c r="BS1406" t="s">
        <v>111</v>
      </c>
      <c r="BT1406" t="s">
        <v>111</v>
      </c>
      <c r="BU1406" t="s">
        <v>111</v>
      </c>
      <c r="BV1406" t="s">
        <v>111</v>
      </c>
      <c r="BW1406" t="s">
        <v>111</v>
      </c>
      <c r="BX1406" t="s">
        <v>111</v>
      </c>
      <c r="BY1406" t="s">
        <v>111</v>
      </c>
      <c r="BZ1406" t="s">
        <v>111</v>
      </c>
      <c r="CA1406" t="s">
        <v>111</v>
      </c>
      <c r="CB1406" t="s">
        <v>111</v>
      </c>
      <c r="CC1406" t="s">
        <v>111</v>
      </c>
      <c r="CD1406" t="s">
        <v>111</v>
      </c>
      <c r="CE1406" t="s">
        <v>111</v>
      </c>
      <c r="CF1406" t="s">
        <v>111</v>
      </c>
      <c r="CG1406" t="s">
        <v>111</v>
      </c>
      <c r="CH1406" t="s">
        <v>111</v>
      </c>
      <c r="CI1406" t="s">
        <v>111</v>
      </c>
      <c r="CJ1406" t="s">
        <v>111</v>
      </c>
      <c r="CK1406" t="s">
        <v>111</v>
      </c>
      <c r="CL1406" t="s">
        <v>153</v>
      </c>
      <c r="CM1406" t="s">
        <v>198</v>
      </c>
      <c r="CN1406" t="s">
        <v>113</v>
      </c>
      <c r="CO1406" t="s">
        <v>222</v>
      </c>
      <c r="CP1406" t="s">
        <v>433</v>
      </c>
      <c r="CQ1406">
        <v>0</v>
      </c>
      <c r="CR1406">
        <v>0</v>
      </c>
      <c r="CS1406">
        <v>0</v>
      </c>
      <c r="CT1406" s="1" t="s">
        <v>3994</v>
      </c>
      <c r="CU1406">
        <v>0</v>
      </c>
      <c r="CV1406" t="s">
        <v>111</v>
      </c>
      <c r="CW1406" t="s">
        <v>111</v>
      </c>
      <c r="CX1406" t="s">
        <v>111</v>
      </c>
      <c r="CY1406">
        <v>0</v>
      </c>
      <c r="CZ1406" t="s">
        <v>111</v>
      </c>
      <c r="DA1406" t="s">
        <v>111</v>
      </c>
      <c r="DB1406" t="s">
        <v>111</v>
      </c>
      <c r="DC1406" t="s">
        <v>111</v>
      </c>
    </row>
    <row r="1407" spans="1:107">
      <c r="A1407">
        <v>417</v>
      </c>
      <c r="B1407" t="s">
        <v>162</v>
      </c>
      <c r="C1407" t="s">
        <v>827</v>
      </c>
      <c r="D1407" t="s">
        <v>1694</v>
      </c>
      <c r="E1407" t="s">
        <v>3995</v>
      </c>
      <c r="F1407" t="s">
        <v>1651</v>
      </c>
      <c r="G1407" t="s">
        <v>24</v>
      </c>
      <c r="H1407">
        <v>1.45</v>
      </c>
      <c r="I1407">
        <v>45</v>
      </c>
      <c r="J1407">
        <v>0</v>
      </c>
      <c r="K1407">
        <v>0</v>
      </c>
      <c r="L1407" t="s">
        <v>112</v>
      </c>
      <c r="M1407" t="s">
        <v>118</v>
      </c>
      <c r="N1407">
        <v>40</v>
      </c>
      <c r="O1407">
        <v>2</v>
      </c>
      <c r="P1407" t="s">
        <v>138</v>
      </c>
      <c r="Q1407">
        <v>40</v>
      </c>
      <c r="R1407">
        <v>0</v>
      </c>
      <c r="S1407">
        <v>0</v>
      </c>
      <c r="T1407">
        <v>0</v>
      </c>
      <c r="U1407" t="s">
        <v>2685</v>
      </c>
      <c r="V1407">
        <v>0</v>
      </c>
      <c r="W1407">
        <v>0</v>
      </c>
      <c r="X1407">
        <v>0</v>
      </c>
      <c r="Y1407">
        <v>25</v>
      </c>
      <c r="Z1407" t="s">
        <v>111</v>
      </c>
      <c r="AA1407">
        <v>0</v>
      </c>
      <c r="AB1407" t="s">
        <v>111</v>
      </c>
      <c r="AC1407">
        <v>0</v>
      </c>
      <c r="AD1407" t="s">
        <v>427</v>
      </c>
      <c r="AE1407">
        <v>5</v>
      </c>
      <c r="AF1407">
        <v>2</v>
      </c>
      <c r="AG1407">
        <v>20</v>
      </c>
      <c r="AH1407" t="s">
        <v>111</v>
      </c>
      <c r="AI1407">
        <v>40</v>
      </c>
      <c r="AJ1407" t="s">
        <v>111</v>
      </c>
      <c r="AK1407" t="s">
        <v>111</v>
      </c>
      <c r="AL1407" t="s">
        <v>111</v>
      </c>
      <c r="AM1407">
        <v>0</v>
      </c>
      <c r="AN1407">
        <v>0</v>
      </c>
      <c r="AO1407">
        <v>0</v>
      </c>
      <c r="AP1407" t="s">
        <v>259</v>
      </c>
      <c r="AQ1407" t="s">
        <v>111</v>
      </c>
      <c r="AR1407" t="s">
        <v>111</v>
      </c>
      <c r="AS1407" t="s">
        <v>111</v>
      </c>
      <c r="AT1407" t="s">
        <v>288</v>
      </c>
      <c r="AU1407" t="s">
        <v>111</v>
      </c>
      <c r="AV1407" t="s">
        <v>111</v>
      </c>
      <c r="AW1407" t="s">
        <v>111</v>
      </c>
      <c r="AX1407" t="s">
        <v>184</v>
      </c>
      <c r="AY1407" t="s">
        <v>111</v>
      </c>
      <c r="AZ1407" t="s">
        <v>111</v>
      </c>
      <c r="BA1407" t="s">
        <v>111</v>
      </c>
      <c r="BB1407" t="s">
        <v>772</v>
      </c>
      <c r="BC1407" t="s">
        <v>111</v>
      </c>
      <c r="BD1407" t="s">
        <v>111</v>
      </c>
      <c r="BE1407" t="s">
        <v>111</v>
      </c>
      <c r="BF1407" t="s">
        <v>188</v>
      </c>
      <c r="BG1407" t="s">
        <v>111</v>
      </c>
      <c r="BH1407" t="s">
        <v>111</v>
      </c>
      <c r="BI1407" t="s">
        <v>111</v>
      </c>
      <c r="BJ1407" t="s">
        <v>111</v>
      </c>
      <c r="BK1407" t="s">
        <v>111</v>
      </c>
      <c r="BL1407" t="s">
        <v>111</v>
      </c>
      <c r="BM1407" t="s">
        <v>111</v>
      </c>
      <c r="BN1407" t="s">
        <v>111</v>
      </c>
      <c r="BO1407" t="s">
        <v>111</v>
      </c>
      <c r="BP1407" t="s">
        <v>111</v>
      </c>
      <c r="BQ1407" t="s">
        <v>111</v>
      </c>
      <c r="BR1407" t="s">
        <v>111</v>
      </c>
      <c r="BS1407" t="s">
        <v>111</v>
      </c>
      <c r="BT1407" t="s">
        <v>111</v>
      </c>
      <c r="BU1407" t="s">
        <v>111</v>
      </c>
      <c r="BV1407" t="s">
        <v>111</v>
      </c>
      <c r="BW1407" t="s">
        <v>111</v>
      </c>
      <c r="BX1407" t="s">
        <v>111</v>
      </c>
      <c r="BY1407" t="s">
        <v>111</v>
      </c>
      <c r="BZ1407" t="s">
        <v>111</v>
      </c>
      <c r="CA1407" t="s">
        <v>111</v>
      </c>
      <c r="CB1407" t="s">
        <v>111</v>
      </c>
      <c r="CC1407" t="s">
        <v>111</v>
      </c>
      <c r="CD1407" t="s">
        <v>111</v>
      </c>
      <c r="CE1407" t="s">
        <v>111</v>
      </c>
      <c r="CF1407" t="s">
        <v>111</v>
      </c>
      <c r="CG1407" t="s">
        <v>111</v>
      </c>
      <c r="CH1407" t="s">
        <v>111</v>
      </c>
      <c r="CI1407" t="s">
        <v>111</v>
      </c>
      <c r="CJ1407" t="s">
        <v>111</v>
      </c>
      <c r="CK1407" t="s">
        <v>111</v>
      </c>
      <c r="CL1407" t="s">
        <v>153</v>
      </c>
      <c r="CM1407" t="s">
        <v>198</v>
      </c>
      <c r="CN1407" t="s">
        <v>113</v>
      </c>
      <c r="CO1407" t="s">
        <v>111</v>
      </c>
      <c r="CP1407" t="s">
        <v>433</v>
      </c>
      <c r="CQ1407">
        <v>0</v>
      </c>
      <c r="CR1407">
        <v>0</v>
      </c>
      <c r="CS1407">
        <v>0</v>
      </c>
      <c r="CT1407" t="s">
        <v>168</v>
      </c>
      <c r="CU1407">
        <v>0</v>
      </c>
      <c r="CV1407" t="s">
        <v>111</v>
      </c>
      <c r="CW1407" t="s">
        <v>111</v>
      </c>
      <c r="CX1407" t="s">
        <v>111</v>
      </c>
      <c r="CY1407">
        <v>0</v>
      </c>
      <c r="CZ1407" t="s">
        <v>111</v>
      </c>
      <c r="DA1407" t="s">
        <v>111</v>
      </c>
      <c r="DB1407" t="s">
        <v>111</v>
      </c>
      <c r="DC1407" t="s">
        <v>111</v>
      </c>
    </row>
    <row r="1408" spans="1:107">
      <c r="A1408">
        <v>72</v>
      </c>
      <c r="B1408" t="s">
        <v>162</v>
      </c>
      <c r="C1408" t="s">
        <v>1106</v>
      </c>
      <c r="D1408" t="s">
        <v>3936</v>
      </c>
      <c r="E1408" t="s">
        <v>3996</v>
      </c>
      <c r="F1408" t="s">
        <v>1651</v>
      </c>
      <c r="G1408" t="s">
        <v>24</v>
      </c>
      <c r="H1408">
        <v>1.45</v>
      </c>
      <c r="I1408">
        <v>30</v>
      </c>
      <c r="J1408">
        <v>0</v>
      </c>
      <c r="K1408">
        <v>0</v>
      </c>
      <c r="L1408" t="s">
        <v>112</v>
      </c>
      <c r="M1408" t="s">
        <v>118</v>
      </c>
      <c r="N1408">
        <v>40</v>
      </c>
      <c r="O1408">
        <v>1</v>
      </c>
      <c r="P1408" t="s">
        <v>138</v>
      </c>
      <c r="Q1408">
        <v>35</v>
      </c>
      <c r="R1408">
        <v>0</v>
      </c>
      <c r="S1408">
        <v>0</v>
      </c>
      <c r="T1408">
        <v>5</v>
      </c>
      <c r="U1408" t="s">
        <v>1384</v>
      </c>
      <c r="V1408">
        <v>0</v>
      </c>
      <c r="W1408">
        <v>0</v>
      </c>
      <c r="X1408">
        <v>0</v>
      </c>
      <c r="Y1408">
        <v>25</v>
      </c>
      <c r="Z1408" t="s">
        <v>111</v>
      </c>
      <c r="AA1408">
        <v>0</v>
      </c>
      <c r="AB1408" t="s">
        <v>111</v>
      </c>
      <c r="AC1408">
        <v>0</v>
      </c>
      <c r="AD1408" t="s">
        <v>416</v>
      </c>
      <c r="AE1408">
        <v>4</v>
      </c>
      <c r="AF1408">
        <v>1</v>
      </c>
      <c r="AG1408">
        <v>20</v>
      </c>
      <c r="AH1408" t="s">
        <v>111</v>
      </c>
      <c r="AI1408">
        <v>40</v>
      </c>
      <c r="AJ1408" t="s">
        <v>111</v>
      </c>
      <c r="AK1408" t="s">
        <v>111</v>
      </c>
      <c r="AL1408" t="s">
        <v>111</v>
      </c>
      <c r="AM1408">
        <v>0</v>
      </c>
      <c r="AN1408">
        <v>0</v>
      </c>
      <c r="AO1408">
        <v>0</v>
      </c>
      <c r="AP1408" t="s">
        <v>184</v>
      </c>
      <c r="AQ1408" t="s">
        <v>111</v>
      </c>
      <c r="AR1408" t="s">
        <v>111</v>
      </c>
      <c r="AS1408" t="s">
        <v>111</v>
      </c>
      <c r="AT1408" t="s">
        <v>188</v>
      </c>
      <c r="AU1408" t="s">
        <v>111</v>
      </c>
      <c r="AV1408" t="s">
        <v>111</v>
      </c>
      <c r="AW1408" t="s">
        <v>111</v>
      </c>
      <c r="AX1408" t="s">
        <v>288</v>
      </c>
      <c r="AY1408" t="s">
        <v>111</v>
      </c>
      <c r="AZ1408" t="s">
        <v>111</v>
      </c>
      <c r="BA1408" t="s">
        <v>111</v>
      </c>
      <c r="BB1408" t="s">
        <v>259</v>
      </c>
      <c r="BC1408" t="s">
        <v>111</v>
      </c>
      <c r="BD1408" t="s">
        <v>111</v>
      </c>
      <c r="BE1408" t="s">
        <v>111</v>
      </c>
      <c r="BF1408" t="s">
        <v>111</v>
      </c>
      <c r="BG1408" t="s">
        <v>111</v>
      </c>
      <c r="BH1408" t="s">
        <v>111</v>
      </c>
      <c r="BI1408" t="s">
        <v>111</v>
      </c>
      <c r="BJ1408" t="s">
        <v>111</v>
      </c>
      <c r="BK1408" t="s">
        <v>111</v>
      </c>
      <c r="BL1408" t="s">
        <v>111</v>
      </c>
      <c r="BM1408" t="s">
        <v>111</v>
      </c>
      <c r="BN1408" t="s">
        <v>184</v>
      </c>
      <c r="BO1408" t="s">
        <v>111</v>
      </c>
      <c r="BP1408" t="s">
        <v>111</v>
      </c>
      <c r="BQ1408" t="s">
        <v>111</v>
      </c>
      <c r="BR1408" t="s">
        <v>111</v>
      </c>
      <c r="BS1408" t="s">
        <v>111</v>
      </c>
      <c r="BT1408" t="s">
        <v>111</v>
      </c>
      <c r="BU1408" t="s">
        <v>111</v>
      </c>
      <c r="BV1408" t="s">
        <v>111</v>
      </c>
      <c r="BW1408" t="s">
        <v>111</v>
      </c>
      <c r="BX1408" t="s">
        <v>111</v>
      </c>
      <c r="BY1408" t="s">
        <v>111</v>
      </c>
      <c r="BZ1408" t="s">
        <v>111</v>
      </c>
      <c r="CA1408" t="s">
        <v>111</v>
      </c>
      <c r="CB1408" t="s">
        <v>111</v>
      </c>
      <c r="CC1408" t="s">
        <v>111</v>
      </c>
      <c r="CD1408" t="s">
        <v>111</v>
      </c>
      <c r="CE1408" t="s">
        <v>111</v>
      </c>
      <c r="CF1408" t="s">
        <v>111</v>
      </c>
      <c r="CG1408" t="s">
        <v>111</v>
      </c>
      <c r="CH1408" t="s">
        <v>111</v>
      </c>
      <c r="CI1408" t="s">
        <v>111</v>
      </c>
      <c r="CJ1408" t="s">
        <v>111</v>
      </c>
      <c r="CK1408" t="s">
        <v>111</v>
      </c>
      <c r="CL1408" t="s">
        <v>153</v>
      </c>
      <c r="CM1408" t="s">
        <v>198</v>
      </c>
      <c r="CN1408" t="s">
        <v>113</v>
      </c>
      <c r="CO1408" t="s">
        <v>111</v>
      </c>
      <c r="CP1408" t="s">
        <v>563</v>
      </c>
      <c r="CQ1408">
        <v>0</v>
      </c>
      <c r="CR1408">
        <v>5000</v>
      </c>
      <c r="CS1408">
        <v>200</v>
      </c>
      <c r="CT1408" t="e">
        <f>-DESTINO ALMACEN</f>
        <v>#NAME?</v>
      </c>
      <c r="CU1408">
        <v>0</v>
      </c>
      <c r="CV1408" t="s">
        <v>111</v>
      </c>
      <c r="CW1408" t="s">
        <v>111</v>
      </c>
      <c r="CX1408" t="s">
        <v>111</v>
      </c>
      <c r="CY1408">
        <v>0</v>
      </c>
      <c r="CZ1408" t="s">
        <v>111</v>
      </c>
      <c r="DA1408" t="s">
        <v>111</v>
      </c>
      <c r="DB1408" t="s">
        <v>111</v>
      </c>
      <c r="DC1408" t="s">
        <v>111</v>
      </c>
    </row>
    <row r="1409" spans="1:107">
      <c r="A1409">
        <v>418</v>
      </c>
      <c r="B1409" t="s">
        <v>162</v>
      </c>
      <c r="C1409" t="s">
        <v>226</v>
      </c>
      <c r="D1409" t="s">
        <v>3997</v>
      </c>
      <c r="E1409" t="s">
        <v>3998</v>
      </c>
      <c r="F1409" t="s">
        <v>1071</v>
      </c>
      <c r="G1409" t="s">
        <v>24</v>
      </c>
      <c r="H1409">
        <v>1.5</v>
      </c>
      <c r="I1409">
        <v>40</v>
      </c>
      <c r="J1409">
        <v>0</v>
      </c>
      <c r="K1409">
        <v>0</v>
      </c>
      <c r="L1409" t="s">
        <v>112</v>
      </c>
      <c r="M1409" t="s">
        <v>138</v>
      </c>
      <c r="N1409">
        <v>0</v>
      </c>
      <c r="O1409">
        <v>0</v>
      </c>
      <c r="P1409" t="s">
        <v>138</v>
      </c>
      <c r="Q1409">
        <v>35</v>
      </c>
      <c r="R1409">
        <v>0</v>
      </c>
      <c r="S1409">
        <v>0</v>
      </c>
      <c r="T1409">
        <v>0</v>
      </c>
      <c r="U1409" t="s">
        <v>153</v>
      </c>
      <c r="V1409">
        <v>0</v>
      </c>
      <c r="W1409">
        <v>0</v>
      </c>
      <c r="X1409">
        <v>0</v>
      </c>
      <c r="Y1409">
        <v>25</v>
      </c>
      <c r="Z1409" t="s">
        <v>111</v>
      </c>
      <c r="AA1409">
        <v>0</v>
      </c>
      <c r="AB1409" t="s">
        <v>111</v>
      </c>
      <c r="AC1409">
        <v>0</v>
      </c>
      <c r="AD1409" t="s">
        <v>111</v>
      </c>
      <c r="AE1409">
        <v>0</v>
      </c>
      <c r="AF1409">
        <v>0</v>
      </c>
      <c r="AG1409" t="s">
        <v>111</v>
      </c>
      <c r="AH1409" t="s">
        <v>111</v>
      </c>
      <c r="AI1409" t="s">
        <v>111</v>
      </c>
      <c r="AJ1409" t="s">
        <v>111</v>
      </c>
      <c r="AK1409" t="s">
        <v>111</v>
      </c>
      <c r="AL1409" t="s">
        <v>111</v>
      </c>
      <c r="AM1409">
        <v>0</v>
      </c>
      <c r="AN1409">
        <v>0</v>
      </c>
      <c r="AO1409">
        <v>0</v>
      </c>
      <c r="AP1409" t="s">
        <v>111</v>
      </c>
      <c r="AQ1409" t="s">
        <v>111</v>
      </c>
      <c r="AR1409" t="s">
        <v>111</v>
      </c>
      <c r="AS1409" t="s">
        <v>111</v>
      </c>
      <c r="AT1409" t="s">
        <v>111</v>
      </c>
      <c r="AU1409" t="s">
        <v>111</v>
      </c>
      <c r="AV1409" t="s">
        <v>111</v>
      </c>
      <c r="AW1409" t="s">
        <v>111</v>
      </c>
      <c r="AX1409" t="s">
        <v>111</v>
      </c>
      <c r="AY1409" t="s">
        <v>111</v>
      </c>
      <c r="AZ1409" t="s">
        <v>111</v>
      </c>
      <c r="BA1409" t="s">
        <v>111</v>
      </c>
      <c r="BB1409" t="s">
        <v>111</v>
      </c>
      <c r="BC1409" t="s">
        <v>111</v>
      </c>
      <c r="BD1409" t="s">
        <v>111</v>
      </c>
      <c r="BE1409" t="s">
        <v>111</v>
      </c>
      <c r="BF1409" t="s">
        <v>111</v>
      </c>
      <c r="BG1409" t="s">
        <v>111</v>
      </c>
      <c r="BH1409" t="s">
        <v>111</v>
      </c>
      <c r="BI1409" t="s">
        <v>111</v>
      </c>
      <c r="BJ1409" t="s">
        <v>111</v>
      </c>
      <c r="BK1409" t="s">
        <v>111</v>
      </c>
      <c r="BL1409" t="s">
        <v>111</v>
      </c>
      <c r="BM1409" t="s">
        <v>111</v>
      </c>
      <c r="BN1409" t="s">
        <v>111</v>
      </c>
      <c r="BO1409" t="s">
        <v>111</v>
      </c>
      <c r="BP1409" t="s">
        <v>111</v>
      </c>
      <c r="BQ1409" t="s">
        <v>111</v>
      </c>
      <c r="BR1409" t="s">
        <v>111</v>
      </c>
      <c r="BS1409" t="s">
        <v>111</v>
      </c>
      <c r="BT1409" t="s">
        <v>111</v>
      </c>
      <c r="BU1409" t="s">
        <v>111</v>
      </c>
      <c r="BV1409" t="s">
        <v>111</v>
      </c>
      <c r="BW1409" t="s">
        <v>111</v>
      </c>
      <c r="BX1409" t="s">
        <v>111</v>
      </c>
      <c r="BY1409" t="s">
        <v>111</v>
      </c>
      <c r="BZ1409" t="s">
        <v>111</v>
      </c>
      <c r="CA1409" t="s">
        <v>111</v>
      </c>
      <c r="CB1409" t="s">
        <v>111</v>
      </c>
      <c r="CC1409" t="s">
        <v>111</v>
      </c>
      <c r="CD1409" t="s">
        <v>111</v>
      </c>
      <c r="CE1409" t="s">
        <v>111</v>
      </c>
      <c r="CF1409" t="s">
        <v>111</v>
      </c>
      <c r="CG1409" t="s">
        <v>111</v>
      </c>
      <c r="CH1409" t="s">
        <v>111</v>
      </c>
      <c r="CI1409" t="s">
        <v>111</v>
      </c>
      <c r="CJ1409" t="s">
        <v>111</v>
      </c>
      <c r="CK1409" t="s">
        <v>111</v>
      </c>
      <c r="CL1409" t="s">
        <v>111</v>
      </c>
      <c r="CM1409" t="s">
        <v>198</v>
      </c>
      <c r="CN1409" t="s">
        <v>113</v>
      </c>
      <c r="CO1409" t="s">
        <v>111</v>
      </c>
      <c r="CP1409" t="s">
        <v>111</v>
      </c>
      <c r="CQ1409">
        <v>0</v>
      </c>
      <c r="CR1409">
        <v>0</v>
      </c>
      <c r="CS1409">
        <v>0</v>
      </c>
      <c r="CT1409" t="s">
        <v>168</v>
      </c>
      <c r="CU1409">
        <v>0</v>
      </c>
      <c r="CV1409" t="s">
        <v>111</v>
      </c>
      <c r="CW1409" t="s">
        <v>111</v>
      </c>
      <c r="CX1409" t="s">
        <v>111</v>
      </c>
      <c r="CY1409">
        <v>0</v>
      </c>
      <c r="CZ1409" t="s">
        <v>111</v>
      </c>
      <c r="DA1409" t="s">
        <v>111</v>
      </c>
      <c r="DB1409" t="s">
        <v>111</v>
      </c>
      <c r="DC1409" t="s">
        <v>111</v>
      </c>
    </row>
    <row r="1410" spans="1:107">
      <c r="A1410">
        <v>394</v>
      </c>
      <c r="B1410" t="s">
        <v>162</v>
      </c>
      <c r="C1410" t="s">
        <v>226</v>
      </c>
      <c r="D1410" t="s">
        <v>3999</v>
      </c>
      <c r="E1410" t="s">
        <v>4000</v>
      </c>
      <c r="F1410" t="s">
        <v>1071</v>
      </c>
      <c r="G1410" t="s">
        <v>24</v>
      </c>
      <c r="H1410">
        <v>1.5</v>
      </c>
      <c r="I1410">
        <v>45.5</v>
      </c>
      <c r="J1410">
        <v>0</v>
      </c>
      <c r="K1410">
        <v>0</v>
      </c>
      <c r="L1410" t="s">
        <v>112</v>
      </c>
      <c r="M1410" t="s">
        <v>138</v>
      </c>
      <c r="N1410">
        <v>0</v>
      </c>
      <c r="O1410">
        <v>0</v>
      </c>
      <c r="P1410" t="s">
        <v>138</v>
      </c>
      <c r="Q1410">
        <v>35</v>
      </c>
      <c r="R1410">
        <v>0</v>
      </c>
      <c r="S1410">
        <v>0</v>
      </c>
      <c r="T1410">
        <v>0</v>
      </c>
      <c r="U1410" t="s">
        <v>153</v>
      </c>
      <c r="V1410">
        <v>0</v>
      </c>
      <c r="W1410">
        <v>0</v>
      </c>
      <c r="X1410">
        <v>0</v>
      </c>
      <c r="Y1410">
        <v>25</v>
      </c>
      <c r="Z1410" t="s">
        <v>111</v>
      </c>
      <c r="AA1410">
        <v>0</v>
      </c>
      <c r="AB1410" t="s">
        <v>111</v>
      </c>
      <c r="AC1410">
        <v>0</v>
      </c>
      <c r="AD1410" t="s">
        <v>111</v>
      </c>
      <c r="AE1410">
        <v>0</v>
      </c>
      <c r="AF1410">
        <v>0</v>
      </c>
      <c r="AG1410" t="s">
        <v>111</v>
      </c>
      <c r="AH1410" t="s">
        <v>111</v>
      </c>
      <c r="AI1410" t="s">
        <v>111</v>
      </c>
      <c r="AJ1410" t="s">
        <v>111</v>
      </c>
      <c r="AK1410" t="s">
        <v>111</v>
      </c>
      <c r="AL1410" t="s">
        <v>111</v>
      </c>
      <c r="AM1410">
        <v>0</v>
      </c>
      <c r="AN1410">
        <v>0</v>
      </c>
      <c r="AO1410">
        <v>0</v>
      </c>
      <c r="AP1410" t="s">
        <v>111</v>
      </c>
      <c r="AQ1410" t="s">
        <v>111</v>
      </c>
      <c r="AR1410" t="s">
        <v>111</v>
      </c>
      <c r="AS1410" t="s">
        <v>111</v>
      </c>
      <c r="AT1410" t="s">
        <v>111</v>
      </c>
      <c r="AU1410" t="s">
        <v>111</v>
      </c>
      <c r="AV1410" t="s">
        <v>111</v>
      </c>
      <c r="AW1410" t="s">
        <v>111</v>
      </c>
      <c r="AX1410" t="s">
        <v>111</v>
      </c>
      <c r="AY1410" t="s">
        <v>111</v>
      </c>
      <c r="AZ1410" t="s">
        <v>111</v>
      </c>
      <c r="BA1410" t="s">
        <v>111</v>
      </c>
      <c r="BB1410" t="s">
        <v>111</v>
      </c>
      <c r="BC1410" t="s">
        <v>111</v>
      </c>
      <c r="BD1410" t="s">
        <v>111</v>
      </c>
      <c r="BE1410" t="s">
        <v>111</v>
      </c>
      <c r="BF1410" t="s">
        <v>111</v>
      </c>
      <c r="BG1410" t="s">
        <v>111</v>
      </c>
      <c r="BH1410" t="s">
        <v>111</v>
      </c>
      <c r="BI1410" t="s">
        <v>111</v>
      </c>
      <c r="BJ1410" t="s">
        <v>111</v>
      </c>
      <c r="BK1410" t="s">
        <v>111</v>
      </c>
      <c r="BL1410" t="s">
        <v>111</v>
      </c>
      <c r="BM1410" t="s">
        <v>111</v>
      </c>
      <c r="BN1410" t="s">
        <v>111</v>
      </c>
      <c r="BO1410" t="s">
        <v>111</v>
      </c>
      <c r="BP1410" t="s">
        <v>111</v>
      </c>
      <c r="BQ1410" t="s">
        <v>111</v>
      </c>
      <c r="BR1410" t="s">
        <v>111</v>
      </c>
      <c r="BS1410" t="s">
        <v>111</v>
      </c>
      <c r="BT1410" t="s">
        <v>111</v>
      </c>
      <c r="BU1410" t="s">
        <v>111</v>
      </c>
      <c r="BV1410" t="s">
        <v>111</v>
      </c>
      <c r="BW1410" t="s">
        <v>111</v>
      </c>
      <c r="BX1410" t="s">
        <v>111</v>
      </c>
      <c r="BY1410" t="s">
        <v>111</v>
      </c>
      <c r="BZ1410" t="s">
        <v>111</v>
      </c>
      <c r="CA1410" t="s">
        <v>111</v>
      </c>
      <c r="CB1410" t="s">
        <v>111</v>
      </c>
      <c r="CC1410" t="s">
        <v>111</v>
      </c>
      <c r="CD1410" t="s">
        <v>111</v>
      </c>
      <c r="CE1410" t="s">
        <v>111</v>
      </c>
      <c r="CF1410" t="s">
        <v>111</v>
      </c>
      <c r="CG1410" t="s">
        <v>111</v>
      </c>
      <c r="CH1410" t="s">
        <v>111</v>
      </c>
      <c r="CI1410" t="s">
        <v>111</v>
      </c>
      <c r="CJ1410" t="s">
        <v>111</v>
      </c>
      <c r="CK1410" t="s">
        <v>111</v>
      </c>
      <c r="CL1410" t="s">
        <v>111</v>
      </c>
      <c r="CM1410" t="s">
        <v>198</v>
      </c>
      <c r="CN1410" t="s">
        <v>113</v>
      </c>
      <c r="CO1410" t="s">
        <v>111</v>
      </c>
      <c r="CP1410" t="s">
        <v>111</v>
      </c>
      <c r="CQ1410">
        <v>0</v>
      </c>
      <c r="CR1410">
        <v>0</v>
      </c>
      <c r="CS1410">
        <v>0</v>
      </c>
      <c r="CT1410" t="s">
        <v>168</v>
      </c>
      <c r="CU1410">
        <v>0</v>
      </c>
      <c r="CV1410" t="s">
        <v>111</v>
      </c>
      <c r="CW1410" t="s">
        <v>111</v>
      </c>
      <c r="CX1410" t="s">
        <v>111</v>
      </c>
      <c r="CY1410">
        <v>0</v>
      </c>
      <c r="CZ1410" t="s">
        <v>111</v>
      </c>
      <c r="DA1410" t="s">
        <v>111</v>
      </c>
      <c r="DB1410" t="s">
        <v>111</v>
      </c>
      <c r="DC1410" t="s">
        <v>111</v>
      </c>
    </row>
    <row r="1411" spans="1:107">
      <c r="A1411">
        <v>119</v>
      </c>
      <c r="B1411" t="s">
        <v>162</v>
      </c>
      <c r="C1411" t="s">
        <v>3777</v>
      </c>
      <c r="D1411" t="s">
        <v>4001</v>
      </c>
      <c r="E1411" t="s">
        <v>4002</v>
      </c>
      <c r="F1411" t="s">
        <v>110</v>
      </c>
      <c r="G1411" t="s">
        <v>24</v>
      </c>
      <c r="H1411">
        <v>1.2</v>
      </c>
      <c r="I1411">
        <v>40</v>
      </c>
      <c r="J1411">
        <v>0</v>
      </c>
      <c r="K1411">
        <v>0</v>
      </c>
      <c r="L1411" t="s">
        <v>112</v>
      </c>
      <c r="M1411" t="s">
        <v>118</v>
      </c>
      <c r="N1411">
        <v>40</v>
      </c>
      <c r="O1411">
        <v>2</v>
      </c>
      <c r="P1411" t="s">
        <v>138</v>
      </c>
      <c r="Q1411">
        <v>35</v>
      </c>
      <c r="R1411">
        <v>0</v>
      </c>
      <c r="S1411">
        <v>0</v>
      </c>
      <c r="T1411">
        <v>0</v>
      </c>
      <c r="U1411" s="1" t="s">
        <v>3780</v>
      </c>
      <c r="V1411">
        <v>0</v>
      </c>
      <c r="W1411">
        <v>0</v>
      </c>
      <c r="X1411">
        <v>0</v>
      </c>
      <c r="Y1411">
        <v>25</v>
      </c>
      <c r="Z1411" t="s">
        <v>111</v>
      </c>
      <c r="AA1411">
        <v>0</v>
      </c>
      <c r="AB1411" t="s">
        <v>111</v>
      </c>
      <c r="AC1411">
        <v>0</v>
      </c>
      <c r="AD1411" t="s">
        <v>111</v>
      </c>
      <c r="AE1411">
        <v>0</v>
      </c>
      <c r="AF1411">
        <v>0</v>
      </c>
      <c r="AG1411" t="s">
        <v>111</v>
      </c>
      <c r="AH1411" t="s">
        <v>111</v>
      </c>
      <c r="AI1411" t="s">
        <v>111</v>
      </c>
      <c r="AJ1411" t="s">
        <v>111</v>
      </c>
      <c r="AK1411" t="s">
        <v>111</v>
      </c>
      <c r="AL1411" t="s">
        <v>111</v>
      </c>
      <c r="AM1411">
        <v>0</v>
      </c>
      <c r="AN1411">
        <v>0</v>
      </c>
      <c r="AO1411">
        <v>0</v>
      </c>
      <c r="AP1411" t="s">
        <v>111</v>
      </c>
      <c r="AQ1411" t="s">
        <v>111</v>
      </c>
      <c r="AR1411" t="s">
        <v>111</v>
      </c>
      <c r="AS1411" t="s">
        <v>111</v>
      </c>
      <c r="AT1411" t="s">
        <v>111</v>
      </c>
      <c r="AU1411" t="s">
        <v>111</v>
      </c>
      <c r="AV1411" t="s">
        <v>111</v>
      </c>
      <c r="AW1411" t="s">
        <v>111</v>
      </c>
      <c r="AX1411" t="s">
        <v>111</v>
      </c>
      <c r="AY1411" t="s">
        <v>111</v>
      </c>
      <c r="AZ1411" t="s">
        <v>111</v>
      </c>
      <c r="BA1411" t="s">
        <v>111</v>
      </c>
      <c r="BB1411" t="s">
        <v>111</v>
      </c>
      <c r="BC1411" t="s">
        <v>111</v>
      </c>
      <c r="BD1411" t="s">
        <v>111</v>
      </c>
      <c r="BE1411" t="s">
        <v>111</v>
      </c>
      <c r="BF1411" t="s">
        <v>111</v>
      </c>
      <c r="BG1411" t="s">
        <v>111</v>
      </c>
      <c r="BH1411" t="s">
        <v>111</v>
      </c>
      <c r="BI1411" t="s">
        <v>111</v>
      </c>
      <c r="BJ1411" t="s">
        <v>111</v>
      </c>
      <c r="BK1411" t="s">
        <v>111</v>
      </c>
      <c r="BL1411" t="s">
        <v>111</v>
      </c>
      <c r="BM1411" t="s">
        <v>111</v>
      </c>
      <c r="BN1411" t="s">
        <v>111</v>
      </c>
      <c r="BO1411" t="s">
        <v>111</v>
      </c>
      <c r="BP1411" t="s">
        <v>111</v>
      </c>
      <c r="BQ1411" t="s">
        <v>111</v>
      </c>
      <c r="BR1411" t="s">
        <v>111</v>
      </c>
      <c r="BS1411" t="s">
        <v>111</v>
      </c>
      <c r="BT1411" t="s">
        <v>111</v>
      </c>
      <c r="BU1411" t="s">
        <v>111</v>
      </c>
      <c r="BV1411" t="s">
        <v>111</v>
      </c>
      <c r="BW1411" t="s">
        <v>111</v>
      </c>
      <c r="BX1411" t="s">
        <v>111</v>
      </c>
      <c r="BY1411" t="s">
        <v>111</v>
      </c>
      <c r="BZ1411" t="s">
        <v>111</v>
      </c>
      <c r="CA1411" t="s">
        <v>111</v>
      </c>
      <c r="CB1411" t="s">
        <v>111</v>
      </c>
      <c r="CC1411" t="s">
        <v>111</v>
      </c>
      <c r="CD1411" t="s">
        <v>111</v>
      </c>
      <c r="CE1411" t="s">
        <v>111</v>
      </c>
      <c r="CF1411" t="s">
        <v>111</v>
      </c>
      <c r="CG1411" t="s">
        <v>111</v>
      </c>
      <c r="CH1411" t="s">
        <v>111</v>
      </c>
      <c r="CI1411" t="s">
        <v>111</v>
      </c>
      <c r="CJ1411" t="s">
        <v>111</v>
      </c>
      <c r="CK1411" t="s">
        <v>111</v>
      </c>
      <c r="CL1411" t="s">
        <v>111</v>
      </c>
      <c r="CM1411" t="s">
        <v>111</v>
      </c>
      <c r="CN1411" t="s">
        <v>111</v>
      </c>
      <c r="CO1411" t="s">
        <v>111</v>
      </c>
      <c r="CP1411" t="s">
        <v>111</v>
      </c>
      <c r="CQ1411">
        <v>0</v>
      </c>
      <c r="CR1411">
        <v>0</v>
      </c>
      <c r="CS1411">
        <v>0</v>
      </c>
      <c r="CT1411" t="s">
        <v>111</v>
      </c>
      <c r="CU1411">
        <v>0</v>
      </c>
      <c r="CV1411" t="s">
        <v>111</v>
      </c>
      <c r="CW1411" t="s">
        <v>111</v>
      </c>
      <c r="CX1411" t="s">
        <v>111</v>
      </c>
      <c r="CY1411">
        <v>0</v>
      </c>
      <c r="CZ1411" t="s">
        <v>111</v>
      </c>
      <c r="DA1411" t="s">
        <v>111</v>
      </c>
      <c r="DB1411" t="s">
        <v>111</v>
      </c>
      <c r="DC1411" t="s">
        <v>111</v>
      </c>
    </row>
    <row r="1412" spans="1:107">
      <c r="A1412">
        <v>118</v>
      </c>
      <c r="B1412" t="s">
        <v>162</v>
      </c>
      <c r="C1412" t="s">
        <v>471</v>
      </c>
      <c r="D1412" t="s">
        <v>109</v>
      </c>
      <c r="E1412" t="s">
        <v>4003</v>
      </c>
      <c r="F1412" t="s">
        <v>110</v>
      </c>
      <c r="G1412" t="s">
        <v>24</v>
      </c>
      <c r="H1412">
        <v>1.4</v>
      </c>
      <c r="I1412">
        <v>30</v>
      </c>
      <c r="J1412">
        <v>0</v>
      </c>
      <c r="K1412">
        <v>0</v>
      </c>
      <c r="L1412" t="s">
        <v>112</v>
      </c>
      <c r="M1412" t="s">
        <v>138</v>
      </c>
      <c r="N1412">
        <v>0</v>
      </c>
      <c r="O1412">
        <v>0</v>
      </c>
      <c r="P1412" t="s">
        <v>138</v>
      </c>
      <c r="Q1412">
        <v>35</v>
      </c>
      <c r="R1412">
        <v>0</v>
      </c>
      <c r="S1412">
        <v>0</v>
      </c>
      <c r="T1412">
        <v>0</v>
      </c>
      <c r="U1412" t="s">
        <v>211</v>
      </c>
      <c r="V1412">
        <v>0</v>
      </c>
      <c r="W1412">
        <v>0</v>
      </c>
      <c r="X1412">
        <v>0</v>
      </c>
      <c r="Y1412">
        <v>25</v>
      </c>
      <c r="Z1412" t="s">
        <v>111</v>
      </c>
      <c r="AA1412">
        <v>0</v>
      </c>
      <c r="AB1412" t="s">
        <v>111</v>
      </c>
      <c r="AC1412">
        <v>0</v>
      </c>
      <c r="AD1412" t="s">
        <v>111</v>
      </c>
      <c r="AE1412">
        <v>0</v>
      </c>
      <c r="AF1412">
        <v>0</v>
      </c>
      <c r="AG1412" t="s">
        <v>111</v>
      </c>
      <c r="AH1412" t="s">
        <v>111</v>
      </c>
      <c r="AI1412" t="s">
        <v>111</v>
      </c>
      <c r="AJ1412" t="s">
        <v>111</v>
      </c>
      <c r="AK1412" t="s">
        <v>111</v>
      </c>
      <c r="AL1412" t="s">
        <v>111</v>
      </c>
      <c r="AM1412">
        <v>0</v>
      </c>
      <c r="AN1412">
        <v>0</v>
      </c>
      <c r="AO1412">
        <v>0</v>
      </c>
      <c r="AP1412" t="s">
        <v>111</v>
      </c>
      <c r="AQ1412" t="s">
        <v>111</v>
      </c>
      <c r="AR1412" t="s">
        <v>111</v>
      </c>
      <c r="AS1412" t="s">
        <v>111</v>
      </c>
      <c r="AT1412" t="s">
        <v>111</v>
      </c>
      <c r="AU1412" t="s">
        <v>111</v>
      </c>
      <c r="AV1412" t="s">
        <v>111</v>
      </c>
      <c r="AW1412" t="s">
        <v>111</v>
      </c>
      <c r="AX1412" t="s">
        <v>111</v>
      </c>
      <c r="AY1412" t="s">
        <v>111</v>
      </c>
      <c r="AZ1412" t="s">
        <v>111</v>
      </c>
      <c r="BA1412" t="s">
        <v>111</v>
      </c>
      <c r="BB1412" t="s">
        <v>111</v>
      </c>
      <c r="BC1412" t="s">
        <v>111</v>
      </c>
      <c r="BD1412" t="s">
        <v>111</v>
      </c>
      <c r="BE1412" t="s">
        <v>111</v>
      </c>
      <c r="BF1412" t="s">
        <v>111</v>
      </c>
      <c r="BG1412" t="s">
        <v>111</v>
      </c>
      <c r="BH1412" t="s">
        <v>111</v>
      </c>
      <c r="BI1412" t="s">
        <v>111</v>
      </c>
      <c r="BJ1412" t="s">
        <v>111</v>
      </c>
      <c r="BK1412" t="s">
        <v>111</v>
      </c>
      <c r="BL1412" t="s">
        <v>111</v>
      </c>
      <c r="BM1412" t="s">
        <v>111</v>
      </c>
      <c r="BN1412" t="s">
        <v>111</v>
      </c>
      <c r="BO1412" t="s">
        <v>111</v>
      </c>
      <c r="BP1412" t="s">
        <v>111</v>
      </c>
      <c r="BQ1412" t="s">
        <v>111</v>
      </c>
      <c r="BR1412" t="s">
        <v>111</v>
      </c>
      <c r="BS1412" t="s">
        <v>111</v>
      </c>
      <c r="BT1412" t="s">
        <v>111</v>
      </c>
      <c r="BU1412" t="s">
        <v>111</v>
      </c>
      <c r="BV1412" t="s">
        <v>111</v>
      </c>
      <c r="BW1412" t="s">
        <v>111</v>
      </c>
      <c r="BX1412" t="s">
        <v>111</v>
      </c>
      <c r="BY1412" t="s">
        <v>111</v>
      </c>
      <c r="BZ1412" t="s">
        <v>111</v>
      </c>
      <c r="CA1412" t="s">
        <v>111</v>
      </c>
      <c r="CB1412" t="s">
        <v>111</v>
      </c>
      <c r="CC1412" t="s">
        <v>111</v>
      </c>
      <c r="CD1412" t="s">
        <v>111</v>
      </c>
      <c r="CE1412" t="s">
        <v>111</v>
      </c>
      <c r="CF1412" t="s">
        <v>111</v>
      </c>
      <c r="CG1412" t="s">
        <v>111</v>
      </c>
      <c r="CH1412" t="s">
        <v>111</v>
      </c>
      <c r="CI1412" t="s">
        <v>111</v>
      </c>
      <c r="CJ1412" t="s">
        <v>111</v>
      </c>
      <c r="CK1412" t="s">
        <v>111</v>
      </c>
      <c r="CL1412" t="s">
        <v>111</v>
      </c>
      <c r="CM1412" t="s">
        <v>111</v>
      </c>
      <c r="CN1412" t="s">
        <v>111</v>
      </c>
      <c r="CO1412" t="s">
        <v>111</v>
      </c>
      <c r="CP1412" t="s">
        <v>111</v>
      </c>
      <c r="CQ1412">
        <v>0</v>
      </c>
      <c r="CR1412">
        <v>0</v>
      </c>
      <c r="CS1412">
        <v>0</v>
      </c>
      <c r="CT1412" t="s">
        <v>111</v>
      </c>
      <c r="CU1412">
        <v>0</v>
      </c>
      <c r="CV1412" t="s">
        <v>111</v>
      </c>
      <c r="CW1412" t="s">
        <v>111</v>
      </c>
      <c r="CX1412" t="s">
        <v>111</v>
      </c>
      <c r="CY1412">
        <v>0</v>
      </c>
      <c r="CZ1412" t="s">
        <v>111</v>
      </c>
      <c r="DA1412" t="s">
        <v>111</v>
      </c>
      <c r="DB1412" t="s">
        <v>111</v>
      </c>
      <c r="DC1412" t="s">
        <v>111</v>
      </c>
    </row>
    <row r="1413" spans="1:107">
      <c r="A1413">
        <v>117</v>
      </c>
      <c r="B1413" t="s">
        <v>162</v>
      </c>
      <c r="C1413" t="s">
        <v>471</v>
      </c>
      <c r="D1413" t="s">
        <v>4004</v>
      </c>
      <c r="E1413" t="s">
        <v>4005</v>
      </c>
      <c r="F1413" t="s">
        <v>110</v>
      </c>
      <c r="G1413" t="s">
        <v>24</v>
      </c>
      <c r="H1413">
        <v>1.4</v>
      </c>
      <c r="I1413">
        <v>38</v>
      </c>
      <c r="J1413">
        <v>0</v>
      </c>
      <c r="K1413">
        <v>0</v>
      </c>
      <c r="L1413" t="s">
        <v>112</v>
      </c>
      <c r="M1413" t="s">
        <v>138</v>
      </c>
      <c r="N1413">
        <v>0</v>
      </c>
      <c r="O1413">
        <v>0</v>
      </c>
      <c r="P1413" t="s">
        <v>138</v>
      </c>
      <c r="Q1413">
        <v>35</v>
      </c>
      <c r="R1413">
        <v>0</v>
      </c>
      <c r="S1413">
        <v>0</v>
      </c>
      <c r="T1413">
        <v>0</v>
      </c>
      <c r="U1413" t="s">
        <v>211</v>
      </c>
      <c r="V1413">
        <v>0</v>
      </c>
      <c r="W1413">
        <v>0</v>
      </c>
      <c r="X1413">
        <v>0</v>
      </c>
      <c r="Y1413">
        <v>25</v>
      </c>
      <c r="Z1413" t="s">
        <v>111</v>
      </c>
      <c r="AA1413">
        <v>0</v>
      </c>
      <c r="AB1413" t="s">
        <v>111</v>
      </c>
      <c r="AC1413">
        <v>0</v>
      </c>
      <c r="AD1413" t="s">
        <v>111</v>
      </c>
      <c r="AE1413">
        <v>0</v>
      </c>
      <c r="AF1413">
        <v>0</v>
      </c>
      <c r="AG1413" t="s">
        <v>111</v>
      </c>
      <c r="AH1413" t="s">
        <v>111</v>
      </c>
      <c r="AI1413" t="s">
        <v>111</v>
      </c>
      <c r="AJ1413" t="s">
        <v>111</v>
      </c>
      <c r="AK1413" t="s">
        <v>111</v>
      </c>
      <c r="AL1413" t="s">
        <v>111</v>
      </c>
      <c r="AM1413">
        <v>0</v>
      </c>
      <c r="AN1413">
        <v>0</v>
      </c>
      <c r="AO1413">
        <v>0</v>
      </c>
      <c r="AP1413" t="s">
        <v>111</v>
      </c>
      <c r="AQ1413" t="s">
        <v>111</v>
      </c>
      <c r="AR1413" t="s">
        <v>111</v>
      </c>
      <c r="AS1413" t="s">
        <v>111</v>
      </c>
      <c r="AT1413" t="s">
        <v>111</v>
      </c>
      <c r="AU1413" t="s">
        <v>111</v>
      </c>
      <c r="AV1413" t="s">
        <v>111</v>
      </c>
      <c r="AW1413" t="s">
        <v>111</v>
      </c>
      <c r="AX1413" t="s">
        <v>111</v>
      </c>
      <c r="AY1413" t="s">
        <v>111</v>
      </c>
      <c r="AZ1413" t="s">
        <v>111</v>
      </c>
      <c r="BA1413" t="s">
        <v>111</v>
      </c>
      <c r="BB1413" t="s">
        <v>111</v>
      </c>
      <c r="BC1413" t="s">
        <v>111</v>
      </c>
      <c r="BD1413" t="s">
        <v>111</v>
      </c>
      <c r="BE1413" t="s">
        <v>111</v>
      </c>
      <c r="BF1413" t="s">
        <v>111</v>
      </c>
      <c r="BG1413" t="s">
        <v>111</v>
      </c>
      <c r="BH1413" t="s">
        <v>111</v>
      </c>
      <c r="BI1413" t="s">
        <v>111</v>
      </c>
      <c r="BJ1413" t="s">
        <v>111</v>
      </c>
      <c r="BK1413" t="s">
        <v>111</v>
      </c>
      <c r="BL1413" t="s">
        <v>111</v>
      </c>
      <c r="BM1413" t="s">
        <v>111</v>
      </c>
      <c r="BN1413" t="s">
        <v>111</v>
      </c>
      <c r="BO1413" t="s">
        <v>111</v>
      </c>
      <c r="BP1413" t="s">
        <v>111</v>
      </c>
      <c r="BQ1413" t="s">
        <v>111</v>
      </c>
      <c r="BR1413" t="s">
        <v>111</v>
      </c>
      <c r="BS1413" t="s">
        <v>111</v>
      </c>
      <c r="BT1413" t="s">
        <v>111</v>
      </c>
      <c r="BU1413" t="s">
        <v>111</v>
      </c>
      <c r="BV1413" t="s">
        <v>111</v>
      </c>
      <c r="BW1413" t="s">
        <v>111</v>
      </c>
      <c r="BX1413" t="s">
        <v>111</v>
      </c>
      <c r="BY1413" t="s">
        <v>111</v>
      </c>
      <c r="BZ1413" t="s">
        <v>111</v>
      </c>
      <c r="CA1413" t="s">
        <v>111</v>
      </c>
      <c r="CB1413" t="s">
        <v>111</v>
      </c>
      <c r="CC1413" t="s">
        <v>111</v>
      </c>
      <c r="CD1413" t="s">
        <v>111</v>
      </c>
      <c r="CE1413" t="s">
        <v>111</v>
      </c>
      <c r="CF1413" t="s">
        <v>111</v>
      </c>
      <c r="CG1413" t="s">
        <v>111</v>
      </c>
      <c r="CH1413" t="s">
        <v>111</v>
      </c>
      <c r="CI1413" t="s">
        <v>111</v>
      </c>
      <c r="CJ1413" t="s">
        <v>111</v>
      </c>
      <c r="CK1413" t="s">
        <v>111</v>
      </c>
      <c r="CL1413" t="s">
        <v>111</v>
      </c>
      <c r="CM1413" t="s">
        <v>111</v>
      </c>
      <c r="CN1413" t="s">
        <v>111</v>
      </c>
      <c r="CO1413" t="s">
        <v>111</v>
      </c>
      <c r="CP1413" t="s">
        <v>111</v>
      </c>
      <c r="CQ1413">
        <v>0</v>
      </c>
      <c r="CR1413">
        <v>0</v>
      </c>
      <c r="CS1413">
        <v>0</v>
      </c>
      <c r="CT1413" t="s">
        <v>111</v>
      </c>
      <c r="CU1413">
        <v>0</v>
      </c>
      <c r="CV1413" t="s">
        <v>111</v>
      </c>
      <c r="CW1413" t="s">
        <v>111</v>
      </c>
      <c r="CX1413" t="s">
        <v>111</v>
      </c>
      <c r="CY1413">
        <v>0</v>
      </c>
      <c r="CZ1413" t="s">
        <v>111</v>
      </c>
      <c r="DA1413" t="s">
        <v>111</v>
      </c>
      <c r="DB1413" t="s">
        <v>111</v>
      </c>
      <c r="DC1413" t="s">
        <v>111</v>
      </c>
    </row>
    <row r="1414" spans="1:107">
      <c r="A1414">
        <v>282</v>
      </c>
      <c r="B1414" t="s">
        <v>162</v>
      </c>
      <c r="C1414" t="s">
        <v>3801</v>
      </c>
      <c r="D1414" t="s">
        <v>3970</v>
      </c>
      <c r="E1414" t="s">
        <v>3971</v>
      </c>
      <c r="F1414" t="s">
        <v>110</v>
      </c>
      <c r="G1414" t="s">
        <v>24</v>
      </c>
      <c r="H1414">
        <v>1</v>
      </c>
      <c r="I1414">
        <v>40</v>
      </c>
      <c r="J1414">
        <v>0</v>
      </c>
      <c r="K1414">
        <v>0</v>
      </c>
      <c r="L1414" t="s">
        <v>112</v>
      </c>
      <c r="M1414" t="s">
        <v>138</v>
      </c>
      <c r="N1414">
        <v>0</v>
      </c>
      <c r="O1414">
        <v>0</v>
      </c>
      <c r="P1414" t="s">
        <v>138</v>
      </c>
      <c r="Q1414">
        <v>35</v>
      </c>
      <c r="R1414">
        <v>0</v>
      </c>
      <c r="S1414">
        <v>0</v>
      </c>
      <c r="T1414">
        <v>0</v>
      </c>
      <c r="U1414" t="s">
        <v>211</v>
      </c>
      <c r="V1414">
        <v>0</v>
      </c>
      <c r="W1414">
        <v>0</v>
      </c>
      <c r="X1414">
        <v>0</v>
      </c>
      <c r="Y1414">
        <v>25</v>
      </c>
      <c r="Z1414" t="s">
        <v>111</v>
      </c>
      <c r="AA1414">
        <v>0</v>
      </c>
      <c r="AB1414" t="s">
        <v>111</v>
      </c>
      <c r="AC1414">
        <v>0</v>
      </c>
      <c r="AD1414" t="s">
        <v>111</v>
      </c>
      <c r="AE1414">
        <v>0</v>
      </c>
      <c r="AF1414">
        <v>0</v>
      </c>
      <c r="AG1414" t="s">
        <v>111</v>
      </c>
      <c r="AH1414" t="s">
        <v>111</v>
      </c>
      <c r="AI1414" t="s">
        <v>111</v>
      </c>
      <c r="AJ1414" t="s">
        <v>111</v>
      </c>
      <c r="AK1414" t="s">
        <v>111</v>
      </c>
      <c r="AL1414" t="s">
        <v>111</v>
      </c>
      <c r="AM1414">
        <v>0</v>
      </c>
      <c r="AN1414">
        <v>0</v>
      </c>
      <c r="AO1414">
        <v>0</v>
      </c>
      <c r="AP1414" t="s">
        <v>111</v>
      </c>
      <c r="AQ1414" t="s">
        <v>111</v>
      </c>
      <c r="AR1414" t="s">
        <v>111</v>
      </c>
      <c r="AS1414" t="s">
        <v>111</v>
      </c>
      <c r="AT1414" t="s">
        <v>111</v>
      </c>
      <c r="AU1414" t="s">
        <v>111</v>
      </c>
      <c r="AV1414" t="s">
        <v>111</v>
      </c>
      <c r="AW1414" t="s">
        <v>111</v>
      </c>
      <c r="AX1414" t="s">
        <v>111</v>
      </c>
      <c r="AY1414" t="s">
        <v>111</v>
      </c>
      <c r="AZ1414" t="s">
        <v>111</v>
      </c>
      <c r="BA1414" t="s">
        <v>111</v>
      </c>
      <c r="BB1414" t="s">
        <v>111</v>
      </c>
      <c r="BC1414" t="s">
        <v>111</v>
      </c>
      <c r="BD1414" t="s">
        <v>111</v>
      </c>
      <c r="BE1414" t="s">
        <v>111</v>
      </c>
      <c r="BF1414" t="s">
        <v>111</v>
      </c>
      <c r="BG1414" t="s">
        <v>111</v>
      </c>
      <c r="BH1414" t="s">
        <v>111</v>
      </c>
      <c r="BI1414" t="s">
        <v>111</v>
      </c>
      <c r="BJ1414" t="s">
        <v>111</v>
      </c>
      <c r="BK1414" t="s">
        <v>111</v>
      </c>
      <c r="BL1414" t="s">
        <v>111</v>
      </c>
      <c r="BM1414" t="s">
        <v>111</v>
      </c>
      <c r="BN1414" t="s">
        <v>111</v>
      </c>
      <c r="BO1414" t="s">
        <v>111</v>
      </c>
      <c r="BP1414" t="s">
        <v>111</v>
      </c>
      <c r="BQ1414" t="s">
        <v>111</v>
      </c>
      <c r="BR1414" t="s">
        <v>111</v>
      </c>
      <c r="BS1414" t="s">
        <v>111</v>
      </c>
      <c r="BT1414" t="s">
        <v>111</v>
      </c>
      <c r="BU1414" t="s">
        <v>111</v>
      </c>
      <c r="BV1414" t="s">
        <v>111</v>
      </c>
      <c r="BW1414" t="s">
        <v>111</v>
      </c>
      <c r="BX1414" t="s">
        <v>111</v>
      </c>
      <c r="BY1414" t="s">
        <v>111</v>
      </c>
      <c r="BZ1414" t="s">
        <v>111</v>
      </c>
      <c r="CA1414" t="s">
        <v>111</v>
      </c>
      <c r="CB1414" t="s">
        <v>111</v>
      </c>
      <c r="CC1414" t="s">
        <v>111</v>
      </c>
      <c r="CD1414" t="s">
        <v>111</v>
      </c>
      <c r="CE1414" t="s">
        <v>111</v>
      </c>
      <c r="CF1414" t="s">
        <v>111</v>
      </c>
      <c r="CG1414" t="s">
        <v>111</v>
      </c>
      <c r="CH1414" t="s">
        <v>111</v>
      </c>
      <c r="CI1414" t="s">
        <v>111</v>
      </c>
      <c r="CJ1414" t="s">
        <v>111</v>
      </c>
      <c r="CK1414" t="s">
        <v>111</v>
      </c>
      <c r="CL1414" t="s">
        <v>111</v>
      </c>
      <c r="CM1414" t="s">
        <v>111</v>
      </c>
      <c r="CN1414" t="s">
        <v>111</v>
      </c>
      <c r="CO1414" t="s">
        <v>111</v>
      </c>
      <c r="CP1414" t="s">
        <v>111</v>
      </c>
      <c r="CQ1414">
        <v>0</v>
      </c>
      <c r="CR1414">
        <v>0</v>
      </c>
      <c r="CS1414">
        <v>0</v>
      </c>
      <c r="CT1414" t="s">
        <v>111</v>
      </c>
      <c r="CU1414">
        <v>0</v>
      </c>
      <c r="CV1414" t="s">
        <v>111</v>
      </c>
      <c r="CW1414" t="s">
        <v>111</v>
      </c>
      <c r="CX1414" t="s">
        <v>111</v>
      </c>
      <c r="CY1414">
        <v>0</v>
      </c>
      <c r="CZ1414" t="s">
        <v>111</v>
      </c>
      <c r="DA1414" t="s">
        <v>111</v>
      </c>
      <c r="DB1414" t="s">
        <v>111</v>
      </c>
      <c r="DC1414" t="s">
        <v>111</v>
      </c>
    </row>
    <row r="1415" spans="1:107">
      <c r="A1415">
        <v>421</v>
      </c>
      <c r="B1415" t="s">
        <v>162</v>
      </c>
      <c r="C1415" t="s">
        <v>1068</v>
      </c>
      <c r="D1415" t="s">
        <v>4006</v>
      </c>
      <c r="E1415">
        <v>87010053</v>
      </c>
      <c r="F1415" t="s">
        <v>1071</v>
      </c>
      <c r="G1415" t="s">
        <v>24</v>
      </c>
      <c r="H1415">
        <v>2.8</v>
      </c>
      <c r="I1415">
        <v>33</v>
      </c>
      <c r="J1415">
        <v>0</v>
      </c>
      <c r="K1415">
        <v>0</v>
      </c>
      <c r="L1415" t="s">
        <v>112</v>
      </c>
      <c r="M1415" t="s">
        <v>138</v>
      </c>
      <c r="N1415">
        <v>0</v>
      </c>
      <c r="O1415">
        <v>0</v>
      </c>
      <c r="P1415" t="s">
        <v>138</v>
      </c>
      <c r="Q1415">
        <v>35</v>
      </c>
      <c r="R1415">
        <v>0</v>
      </c>
      <c r="S1415">
        <v>0</v>
      </c>
      <c r="T1415">
        <v>0</v>
      </c>
      <c r="U1415" t="s">
        <v>153</v>
      </c>
      <c r="V1415">
        <v>0</v>
      </c>
      <c r="W1415">
        <v>0</v>
      </c>
      <c r="X1415">
        <v>0</v>
      </c>
      <c r="Y1415">
        <v>25</v>
      </c>
      <c r="Z1415" t="s">
        <v>111</v>
      </c>
      <c r="AA1415">
        <v>0</v>
      </c>
      <c r="AB1415" t="s">
        <v>111</v>
      </c>
      <c r="AC1415">
        <v>0</v>
      </c>
      <c r="AD1415" t="s">
        <v>111</v>
      </c>
      <c r="AE1415">
        <v>0</v>
      </c>
      <c r="AF1415">
        <v>0</v>
      </c>
      <c r="AG1415" t="s">
        <v>111</v>
      </c>
      <c r="AH1415" t="s">
        <v>111</v>
      </c>
      <c r="AI1415" t="s">
        <v>111</v>
      </c>
      <c r="AJ1415" t="s">
        <v>111</v>
      </c>
      <c r="AK1415" t="s">
        <v>111</v>
      </c>
      <c r="AL1415" t="s">
        <v>111</v>
      </c>
      <c r="AM1415">
        <v>0</v>
      </c>
      <c r="AN1415">
        <v>0</v>
      </c>
      <c r="AO1415">
        <v>0</v>
      </c>
      <c r="AP1415" t="s">
        <v>111</v>
      </c>
      <c r="AQ1415" t="s">
        <v>111</v>
      </c>
      <c r="AR1415" t="s">
        <v>111</v>
      </c>
      <c r="AS1415" t="s">
        <v>111</v>
      </c>
      <c r="AT1415" t="s">
        <v>111</v>
      </c>
      <c r="AU1415" t="s">
        <v>111</v>
      </c>
      <c r="AV1415" t="s">
        <v>111</v>
      </c>
      <c r="AW1415" t="s">
        <v>111</v>
      </c>
      <c r="AX1415" t="s">
        <v>111</v>
      </c>
      <c r="AY1415" t="s">
        <v>111</v>
      </c>
      <c r="AZ1415" t="s">
        <v>111</v>
      </c>
      <c r="BA1415" t="s">
        <v>111</v>
      </c>
      <c r="BB1415" t="s">
        <v>111</v>
      </c>
      <c r="BC1415" t="s">
        <v>111</v>
      </c>
      <c r="BD1415" t="s">
        <v>111</v>
      </c>
      <c r="BE1415" t="s">
        <v>111</v>
      </c>
      <c r="BF1415" t="s">
        <v>111</v>
      </c>
      <c r="BG1415" t="s">
        <v>111</v>
      </c>
      <c r="BH1415" t="s">
        <v>111</v>
      </c>
      <c r="BI1415" t="s">
        <v>111</v>
      </c>
      <c r="BJ1415" t="s">
        <v>111</v>
      </c>
      <c r="BK1415" t="s">
        <v>111</v>
      </c>
      <c r="BL1415" t="s">
        <v>111</v>
      </c>
      <c r="BM1415" t="s">
        <v>111</v>
      </c>
      <c r="BN1415" t="s">
        <v>111</v>
      </c>
      <c r="BO1415" t="s">
        <v>111</v>
      </c>
      <c r="BP1415" t="s">
        <v>111</v>
      </c>
      <c r="BQ1415" t="s">
        <v>111</v>
      </c>
      <c r="BR1415" t="s">
        <v>111</v>
      </c>
      <c r="BS1415" t="s">
        <v>111</v>
      </c>
      <c r="BT1415" t="s">
        <v>111</v>
      </c>
      <c r="BU1415" t="s">
        <v>111</v>
      </c>
      <c r="BV1415" t="s">
        <v>111</v>
      </c>
      <c r="BW1415" t="s">
        <v>111</v>
      </c>
      <c r="BX1415" t="s">
        <v>111</v>
      </c>
      <c r="BY1415" t="s">
        <v>111</v>
      </c>
      <c r="BZ1415" t="s">
        <v>111</v>
      </c>
      <c r="CA1415" t="s">
        <v>111</v>
      </c>
      <c r="CB1415" t="s">
        <v>111</v>
      </c>
      <c r="CC1415" t="s">
        <v>111</v>
      </c>
      <c r="CD1415" t="s">
        <v>111</v>
      </c>
      <c r="CE1415" t="s">
        <v>111</v>
      </c>
      <c r="CF1415" t="s">
        <v>111</v>
      </c>
      <c r="CG1415" t="s">
        <v>111</v>
      </c>
      <c r="CH1415" t="s">
        <v>111</v>
      </c>
      <c r="CI1415" t="s">
        <v>111</v>
      </c>
      <c r="CJ1415" t="s">
        <v>111</v>
      </c>
      <c r="CK1415" t="s">
        <v>111</v>
      </c>
      <c r="CL1415" t="s">
        <v>111</v>
      </c>
      <c r="CM1415" t="s">
        <v>198</v>
      </c>
      <c r="CN1415" t="s">
        <v>113</v>
      </c>
      <c r="CO1415" t="s">
        <v>111</v>
      </c>
      <c r="CP1415" t="s">
        <v>111</v>
      </c>
      <c r="CQ1415">
        <v>0</v>
      </c>
      <c r="CR1415">
        <v>0</v>
      </c>
      <c r="CS1415">
        <v>0</v>
      </c>
      <c r="CT1415" t="s">
        <v>153</v>
      </c>
      <c r="CU1415">
        <v>0</v>
      </c>
      <c r="CV1415" t="s">
        <v>111</v>
      </c>
      <c r="CW1415" t="s">
        <v>111</v>
      </c>
      <c r="CX1415" t="s">
        <v>111</v>
      </c>
      <c r="CY1415">
        <v>0</v>
      </c>
      <c r="CZ1415" t="s">
        <v>111</v>
      </c>
      <c r="DA1415" t="s">
        <v>111</v>
      </c>
      <c r="DB1415" t="s">
        <v>204</v>
      </c>
      <c r="DC1415" s="1" t="s">
        <v>4007</v>
      </c>
    </row>
    <row r="1416" spans="1:107">
      <c r="A1416">
        <v>277</v>
      </c>
      <c r="B1416" t="s">
        <v>162</v>
      </c>
      <c r="C1416" t="s">
        <v>3801</v>
      </c>
      <c r="D1416" t="s">
        <v>120</v>
      </c>
      <c r="E1416" t="s">
        <v>121</v>
      </c>
      <c r="F1416" t="s">
        <v>110</v>
      </c>
      <c r="G1416" t="s">
        <v>24</v>
      </c>
      <c r="H1416">
        <v>1.3</v>
      </c>
      <c r="I1416">
        <v>50</v>
      </c>
      <c r="J1416">
        <v>0</v>
      </c>
      <c r="K1416">
        <v>0</v>
      </c>
      <c r="L1416" t="s">
        <v>112</v>
      </c>
      <c r="M1416" t="s">
        <v>138</v>
      </c>
      <c r="N1416">
        <v>0</v>
      </c>
      <c r="O1416">
        <v>0</v>
      </c>
      <c r="P1416" t="s">
        <v>138</v>
      </c>
      <c r="Q1416">
        <v>40</v>
      </c>
      <c r="R1416">
        <v>0</v>
      </c>
      <c r="S1416">
        <v>0</v>
      </c>
      <c r="T1416">
        <v>0</v>
      </c>
      <c r="U1416" s="1" t="s">
        <v>4008</v>
      </c>
      <c r="V1416">
        <v>0</v>
      </c>
      <c r="W1416">
        <v>0</v>
      </c>
      <c r="X1416">
        <v>0</v>
      </c>
      <c r="Y1416">
        <v>25</v>
      </c>
      <c r="Z1416" t="s">
        <v>111</v>
      </c>
      <c r="AA1416">
        <v>0</v>
      </c>
      <c r="AB1416" t="s">
        <v>111</v>
      </c>
      <c r="AC1416">
        <v>0</v>
      </c>
      <c r="AD1416" t="s">
        <v>111</v>
      </c>
      <c r="AE1416">
        <v>0</v>
      </c>
      <c r="AF1416">
        <v>0</v>
      </c>
      <c r="AG1416" t="s">
        <v>111</v>
      </c>
      <c r="AH1416" t="s">
        <v>111</v>
      </c>
      <c r="AI1416" t="s">
        <v>111</v>
      </c>
      <c r="AJ1416" t="s">
        <v>111</v>
      </c>
      <c r="AK1416" t="s">
        <v>111</v>
      </c>
      <c r="AL1416" t="s">
        <v>111</v>
      </c>
      <c r="AM1416">
        <v>0</v>
      </c>
      <c r="AN1416">
        <v>0</v>
      </c>
      <c r="AO1416">
        <v>0</v>
      </c>
      <c r="AP1416" t="s">
        <v>111</v>
      </c>
      <c r="AQ1416" t="s">
        <v>111</v>
      </c>
      <c r="AR1416" t="s">
        <v>111</v>
      </c>
      <c r="AS1416" t="s">
        <v>111</v>
      </c>
      <c r="AT1416" t="s">
        <v>111</v>
      </c>
      <c r="AU1416" t="s">
        <v>111</v>
      </c>
      <c r="AV1416" t="s">
        <v>111</v>
      </c>
      <c r="AW1416" t="s">
        <v>111</v>
      </c>
      <c r="AX1416" t="s">
        <v>111</v>
      </c>
      <c r="AY1416" t="s">
        <v>111</v>
      </c>
      <c r="AZ1416" t="s">
        <v>111</v>
      </c>
      <c r="BA1416" t="s">
        <v>111</v>
      </c>
      <c r="BB1416" t="s">
        <v>111</v>
      </c>
      <c r="BC1416" t="s">
        <v>111</v>
      </c>
      <c r="BD1416" t="s">
        <v>111</v>
      </c>
      <c r="BE1416" t="s">
        <v>111</v>
      </c>
      <c r="BF1416" t="s">
        <v>111</v>
      </c>
      <c r="BG1416" t="s">
        <v>111</v>
      </c>
      <c r="BH1416" t="s">
        <v>111</v>
      </c>
      <c r="BI1416" t="s">
        <v>111</v>
      </c>
      <c r="BJ1416" t="s">
        <v>111</v>
      </c>
      <c r="BK1416" t="s">
        <v>111</v>
      </c>
      <c r="BL1416" t="s">
        <v>111</v>
      </c>
      <c r="BM1416" t="s">
        <v>111</v>
      </c>
      <c r="BN1416" t="s">
        <v>111</v>
      </c>
      <c r="BO1416" t="s">
        <v>111</v>
      </c>
      <c r="BP1416" t="s">
        <v>111</v>
      </c>
      <c r="BQ1416" t="s">
        <v>111</v>
      </c>
      <c r="BR1416" t="s">
        <v>111</v>
      </c>
      <c r="BS1416" t="s">
        <v>111</v>
      </c>
      <c r="BT1416" t="s">
        <v>111</v>
      </c>
      <c r="BU1416" t="s">
        <v>111</v>
      </c>
      <c r="BV1416" t="s">
        <v>111</v>
      </c>
      <c r="BW1416" t="s">
        <v>111</v>
      </c>
      <c r="BX1416" t="s">
        <v>111</v>
      </c>
      <c r="BY1416" t="s">
        <v>111</v>
      </c>
      <c r="BZ1416" t="s">
        <v>111</v>
      </c>
      <c r="CA1416" t="s">
        <v>111</v>
      </c>
      <c r="CB1416" t="s">
        <v>111</v>
      </c>
      <c r="CC1416" t="s">
        <v>111</v>
      </c>
      <c r="CD1416" t="s">
        <v>111</v>
      </c>
      <c r="CE1416" t="s">
        <v>111</v>
      </c>
      <c r="CF1416" t="s">
        <v>111</v>
      </c>
      <c r="CG1416" t="s">
        <v>111</v>
      </c>
      <c r="CH1416" t="s">
        <v>111</v>
      </c>
      <c r="CI1416" t="s">
        <v>111</v>
      </c>
      <c r="CJ1416" t="s">
        <v>111</v>
      </c>
      <c r="CK1416" t="s">
        <v>111</v>
      </c>
      <c r="CL1416" t="s">
        <v>111</v>
      </c>
      <c r="CM1416" t="s">
        <v>111</v>
      </c>
      <c r="CN1416" t="s">
        <v>111</v>
      </c>
      <c r="CO1416" t="s">
        <v>111</v>
      </c>
      <c r="CP1416" t="s">
        <v>111</v>
      </c>
      <c r="CQ1416">
        <v>0</v>
      </c>
      <c r="CR1416">
        <v>0</v>
      </c>
      <c r="CS1416">
        <v>0</v>
      </c>
      <c r="CT1416" t="s">
        <v>111</v>
      </c>
      <c r="CU1416">
        <v>0</v>
      </c>
      <c r="CV1416" t="s">
        <v>111</v>
      </c>
      <c r="CW1416" t="s">
        <v>111</v>
      </c>
      <c r="CX1416" t="s">
        <v>111</v>
      </c>
      <c r="CY1416">
        <v>0</v>
      </c>
      <c r="CZ1416" t="s">
        <v>111</v>
      </c>
      <c r="DA1416" t="s">
        <v>111</v>
      </c>
      <c r="DB1416" t="s">
        <v>111</v>
      </c>
      <c r="DC1416" t="s">
        <v>111</v>
      </c>
    </row>
    <row r="1417" spans="1:107">
      <c r="A1417">
        <v>276</v>
      </c>
      <c r="B1417" t="s">
        <v>162</v>
      </c>
      <c r="C1417" t="s">
        <v>3801</v>
      </c>
      <c r="D1417" t="s">
        <v>3917</v>
      </c>
      <c r="E1417" t="s">
        <v>3918</v>
      </c>
      <c r="F1417" t="s">
        <v>110</v>
      </c>
      <c r="G1417" t="s">
        <v>24</v>
      </c>
      <c r="H1417">
        <v>1</v>
      </c>
      <c r="I1417">
        <v>50</v>
      </c>
      <c r="J1417">
        <v>0</v>
      </c>
      <c r="K1417">
        <v>0</v>
      </c>
      <c r="L1417" t="s">
        <v>112</v>
      </c>
      <c r="M1417" t="s">
        <v>138</v>
      </c>
      <c r="N1417">
        <v>0</v>
      </c>
      <c r="O1417">
        <v>0</v>
      </c>
      <c r="P1417" t="s">
        <v>138</v>
      </c>
      <c r="Q1417">
        <v>40</v>
      </c>
      <c r="R1417">
        <v>0</v>
      </c>
      <c r="S1417">
        <v>0</v>
      </c>
      <c r="T1417">
        <v>0</v>
      </c>
      <c r="U1417" s="1" t="s">
        <v>3932</v>
      </c>
      <c r="V1417">
        <v>0</v>
      </c>
      <c r="W1417">
        <v>0</v>
      </c>
      <c r="X1417">
        <v>0</v>
      </c>
      <c r="Y1417">
        <v>25</v>
      </c>
      <c r="Z1417" t="s">
        <v>111</v>
      </c>
      <c r="AA1417">
        <v>0</v>
      </c>
      <c r="AB1417" t="s">
        <v>111</v>
      </c>
      <c r="AC1417">
        <v>0</v>
      </c>
      <c r="AD1417" t="s">
        <v>111</v>
      </c>
      <c r="AE1417">
        <v>0</v>
      </c>
      <c r="AF1417">
        <v>0</v>
      </c>
      <c r="AG1417" t="s">
        <v>111</v>
      </c>
      <c r="AH1417" t="s">
        <v>111</v>
      </c>
      <c r="AI1417" t="s">
        <v>111</v>
      </c>
      <c r="AJ1417" t="s">
        <v>111</v>
      </c>
      <c r="AK1417" t="s">
        <v>111</v>
      </c>
      <c r="AL1417" t="s">
        <v>111</v>
      </c>
      <c r="AM1417">
        <v>0</v>
      </c>
      <c r="AN1417">
        <v>0</v>
      </c>
      <c r="AO1417">
        <v>0</v>
      </c>
      <c r="AP1417" t="s">
        <v>111</v>
      </c>
      <c r="AQ1417" t="s">
        <v>111</v>
      </c>
      <c r="AR1417" t="s">
        <v>111</v>
      </c>
      <c r="AS1417" t="s">
        <v>111</v>
      </c>
      <c r="AT1417" t="s">
        <v>111</v>
      </c>
      <c r="AU1417" t="s">
        <v>111</v>
      </c>
      <c r="AV1417" t="s">
        <v>111</v>
      </c>
      <c r="AW1417" t="s">
        <v>111</v>
      </c>
      <c r="AX1417" t="s">
        <v>111</v>
      </c>
      <c r="AY1417" t="s">
        <v>111</v>
      </c>
      <c r="AZ1417" t="s">
        <v>111</v>
      </c>
      <c r="BA1417" t="s">
        <v>111</v>
      </c>
      <c r="BB1417" t="s">
        <v>111</v>
      </c>
      <c r="BC1417" t="s">
        <v>111</v>
      </c>
      <c r="BD1417" t="s">
        <v>111</v>
      </c>
      <c r="BE1417" t="s">
        <v>111</v>
      </c>
      <c r="BF1417" t="s">
        <v>111</v>
      </c>
      <c r="BG1417" t="s">
        <v>111</v>
      </c>
      <c r="BH1417" t="s">
        <v>111</v>
      </c>
      <c r="BI1417" t="s">
        <v>111</v>
      </c>
      <c r="BJ1417" t="s">
        <v>111</v>
      </c>
      <c r="BK1417" t="s">
        <v>111</v>
      </c>
      <c r="BL1417" t="s">
        <v>111</v>
      </c>
      <c r="BM1417" t="s">
        <v>111</v>
      </c>
      <c r="BN1417" t="s">
        <v>111</v>
      </c>
      <c r="BO1417" t="s">
        <v>111</v>
      </c>
      <c r="BP1417" t="s">
        <v>111</v>
      </c>
      <c r="BQ1417" t="s">
        <v>111</v>
      </c>
      <c r="BR1417" t="s">
        <v>111</v>
      </c>
      <c r="BS1417" t="s">
        <v>111</v>
      </c>
      <c r="BT1417" t="s">
        <v>111</v>
      </c>
      <c r="BU1417" t="s">
        <v>111</v>
      </c>
      <c r="BV1417" t="s">
        <v>111</v>
      </c>
      <c r="BW1417" t="s">
        <v>111</v>
      </c>
      <c r="BX1417" t="s">
        <v>111</v>
      </c>
      <c r="BY1417" t="s">
        <v>111</v>
      </c>
      <c r="BZ1417" t="s">
        <v>111</v>
      </c>
      <c r="CA1417" t="s">
        <v>111</v>
      </c>
      <c r="CB1417" t="s">
        <v>111</v>
      </c>
      <c r="CC1417" t="s">
        <v>111</v>
      </c>
      <c r="CD1417" t="s">
        <v>111</v>
      </c>
      <c r="CE1417" t="s">
        <v>111</v>
      </c>
      <c r="CF1417" t="s">
        <v>111</v>
      </c>
      <c r="CG1417" t="s">
        <v>111</v>
      </c>
      <c r="CH1417" t="s">
        <v>111</v>
      </c>
      <c r="CI1417" t="s">
        <v>111</v>
      </c>
      <c r="CJ1417" t="s">
        <v>111</v>
      </c>
      <c r="CK1417" t="s">
        <v>111</v>
      </c>
      <c r="CL1417" t="s">
        <v>111</v>
      </c>
      <c r="CM1417" t="s">
        <v>111</v>
      </c>
      <c r="CN1417" t="s">
        <v>111</v>
      </c>
      <c r="CO1417" t="s">
        <v>111</v>
      </c>
      <c r="CP1417" t="s">
        <v>111</v>
      </c>
      <c r="CQ1417">
        <v>0</v>
      </c>
      <c r="CR1417">
        <v>0</v>
      </c>
      <c r="CS1417">
        <v>0</v>
      </c>
      <c r="CT1417" t="s">
        <v>111</v>
      </c>
      <c r="CU1417">
        <v>0</v>
      </c>
      <c r="CV1417" t="s">
        <v>111</v>
      </c>
      <c r="CW1417" t="s">
        <v>111</v>
      </c>
      <c r="CX1417" t="s">
        <v>111</v>
      </c>
      <c r="CY1417">
        <v>0</v>
      </c>
      <c r="CZ1417" t="s">
        <v>111</v>
      </c>
      <c r="DA1417" t="s">
        <v>111</v>
      </c>
      <c r="DB1417" t="s">
        <v>111</v>
      </c>
      <c r="DC1417" t="s">
        <v>111</v>
      </c>
    </row>
    <row r="1418" spans="1:107">
      <c r="A1418">
        <v>19</v>
      </c>
      <c r="B1418" t="s">
        <v>162</v>
      </c>
      <c r="C1418" t="s">
        <v>226</v>
      </c>
      <c r="D1418" t="s">
        <v>4009</v>
      </c>
      <c r="E1418" t="s">
        <v>4010</v>
      </c>
      <c r="F1418" t="s">
        <v>1071</v>
      </c>
      <c r="G1418" t="s">
        <v>24</v>
      </c>
      <c r="H1418">
        <v>1.3</v>
      </c>
      <c r="I1418">
        <v>33</v>
      </c>
      <c r="J1418">
        <v>0</v>
      </c>
      <c r="K1418">
        <v>0</v>
      </c>
      <c r="L1418" t="s">
        <v>112</v>
      </c>
      <c r="M1418" t="s">
        <v>138</v>
      </c>
      <c r="N1418">
        <v>0</v>
      </c>
      <c r="O1418">
        <v>0</v>
      </c>
      <c r="P1418" t="s">
        <v>138</v>
      </c>
      <c r="Q1418">
        <v>30</v>
      </c>
      <c r="R1418">
        <v>0</v>
      </c>
      <c r="S1418">
        <v>0</v>
      </c>
      <c r="T1418">
        <v>0</v>
      </c>
      <c r="U1418" t="s">
        <v>111</v>
      </c>
      <c r="V1418">
        <v>0</v>
      </c>
      <c r="W1418">
        <v>0</v>
      </c>
      <c r="X1418">
        <v>0</v>
      </c>
      <c r="Y1418">
        <v>25</v>
      </c>
      <c r="Z1418" t="s">
        <v>111</v>
      </c>
      <c r="AA1418">
        <v>0</v>
      </c>
      <c r="AB1418" t="s">
        <v>111</v>
      </c>
      <c r="AC1418">
        <v>0</v>
      </c>
      <c r="AD1418" t="s">
        <v>111</v>
      </c>
      <c r="AE1418">
        <v>0</v>
      </c>
      <c r="AF1418">
        <v>0</v>
      </c>
      <c r="AG1418" t="s">
        <v>111</v>
      </c>
      <c r="AH1418" t="s">
        <v>111</v>
      </c>
      <c r="AI1418" t="s">
        <v>111</v>
      </c>
      <c r="AJ1418" t="s">
        <v>111</v>
      </c>
      <c r="AK1418" t="s">
        <v>111</v>
      </c>
      <c r="AL1418" t="s">
        <v>111</v>
      </c>
      <c r="AM1418">
        <v>0</v>
      </c>
      <c r="AN1418">
        <v>0</v>
      </c>
      <c r="AO1418">
        <v>0</v>
      </c>
      <c r="AP1418" t="s">
        <v>111</v>
      </c>
      <c r="AQ1418" t="s">
        <v>111</v>
      </c>
      <c r="AR1418" t="s">
        <v>111</v>
      </c>
      <c r="AS1418" t="s">
        <v>111</v>
      </c>
      <c r="AT1418" t="s">
        <v>111</v>
      </c>
      <c r="AU1418" t="s">
        <v>111</v>
      </c>
      <c r="AV1418" t="s">
        <v>111</v>
      </c>
      <c r="AW1418" t="s">
        <v>111</v>
      </c>
      <c r="AX1418" t="s">
        <v>111</v>
      </c>
      <c r="AY1418" t="s">
        <v>111</v>
      </c>
      <c r="AZ1418" t="s">
        <v>111</v>
      </c>
      <c r="BA1418" t="s">
        <v>111</v>
      </c>
      <c r="BB1418" t="s">
        <v>111</v>
      </c>
      <c r="BC1418" t="s">
        <v>111</v>
      </c>
      <c r="BD1418" t="s">
        <v>111</v>
      </c>
      <c r="BE1418" t="s">
        <v>111</v>
      </c>
      <c r="BF1418" t="s">
        <v>111</v>
      </c>
      <c r="BG1418" t="s">
        <v>111</v>
      </c>
      <c r="BH1418" t="s">
        <v>111</v>
      </c>
      <c r="BI1418" t="s">
        <v>111</v>
      </c>
      <c r="BJ1418" t="s">
        <v>111</v>
      </c>
      <c r="BK1418" t="s">
        <v>111</v>
      </c>
      <c r="BL1418" t="s">
        <v>111</v>
      </c>
      <c r="BM1418" t="s">
        <v>111</v>
      </c>
      <c r="BN1418" t="s">
        <v>111</v>
      </c>
      <c r="BO1418" t="s">
        <v>111</v>
      </c>
      <c r="BP1418" t="s">
        <v>111</v>
      </c>
      <c r="BQ1418" t="s">
        <v>111</v>
      </c>
      <c r="BR1418" t="s">
        <v>111</v>
      </c>
      <c r="BS1418" t="s">
        <v>111</v>
      </c>
      <c r="BT1418" t="s">
        <v>111</v>
      </c>
      <c r="BU1418" t="s">
        <v>111</v>
      </c>
      <c r="BV1418" t="s">
        <v>111</v>
      </c>
      <c r="BW1418" t="s">
        <v>111</v>
      </c>
      <c r="BX1418" t="s">
        <v>111</v>
      </c>
      <c r="BY1418" t="s">
        <v>111</v>
      </c>
      <c r="BZ1418" t="s">
        <v>111</v>
      </c>
      <c r="CA1418" t="s">
        <v>111</v>
      </c>
      <c r="CB1418" t="s">
        <v>111</v>
      </c>
      <c r="CC1418" t="s">
        <v>111</v>
      </c>
      <c r="CD1418" t="s">
        <v>111</v>
      </c>
      <c r="CE1418" t="s">
        <v>111</v>
      </c>
      <c r="CF1418" t="s">
        <v>111</v>
      </c>
      <c r="CG1418" t="s">
        <v>111</v>
      </c>
      <c r="CH1418" t="s">
        <v>111</v>
      </c>
      <c r="CI1418" t="s">
        <v>111</v>
      </c>
      <c r="CJ1418" t="s">
        <v>111</v>
      </c>
      <c r="CK1418" t="s">
        <v>111</v>
      </c>
      <c r="CL1418" t="s">
        <v>111</v>
      </c>
      <c r="CM1418" t="s">
        <v>198</v>
      </c>
      <c r="CN1418" t="s">
        <v>113</v>
      </c>
      <c r="CO1418" t="s">
        <v>111</v>
      </c>
      <c r="CP1418" t="s">
        <v>111</v>
      </c>
      <c r="CQ1418">
        <v>0</v>
      </c>
      <c r="CR1418">
        <v>5000</v>
      </c>
      <c r="CS1418">
        <v>200</v>
      </c>
      <c r="CT1418" t="s">
        <v>111</v>
      </c>
      <c r="CU1418">
        <v>0</v>
      </c>
      <c r="CV1418" t="s">
        <v>111</v>
      </c>
      <c r="CW1418" t="s">
        <v>111</v>
      </c>
      <c r="CX1418" t="s">
        <v>111</v>
      </c>
      <c r="CY1418">
        <v>0</v>
      </c>
      <c r="CZ1418" t="s">
        <v>111</v>
      </c>
      <c r="DA1418" t="s">
        <v>111</v>
      </c>
      <c r="DB1418" t="s">
        <v>111</v>
      </c>
      <c r="DC1418" t="s">
        <v>111</v>
      </c>
    </row>
    <row r="1419" spans="1:107">
      <c r="A1419">
        <v>120</v>
      </c>
      <c r="B1419" t="s">
        <v>162</v>
      </c>
      <c r="C1419" t="s">
        <v>3121</v>
      </c>
      <c r="D1419" t="s">
        <v>4011</v>
      </c>
      <c r="E1419" t="s">
        <v>4012</v>
      </c>
      <c r="F1419" t="s">
        <v>1651</v>
      </c>
      <c r="G1419" t="s">
        <v>24</v>
      </c>
      <c r="H1419">
        <v>1.4</v>
      </c>
      <c r="I1419">
        <v>25</v>
      </c>
      <c r="J1419">
        <v>0</v>
      </c>
      <c r="K1419">
        <v>0</v>
      </c>
      <c r="L1419" t="s">
        <v>112</v>
      </c>
      <c r="M1419" t="s">
        <v>118</v>
      </c>
      <c r="N1419">
        <v>40</v>
      </c>
      <c r="O1419">
        <v>2</v>
      </c>
      <c r="P1419" t="s">
        <v>138</v>
      </c>
      <c r="Q1419">
        <v>35</v>
      </c>
      <c r="R1419">
        <v>0</v>
      </c>
      <c r="S1419">
        <v>0</v>
      </c>
      <c r="T1419">
        <v>0</v>
      </c>
      <c r="U1419" t="s">
        <v>168</v>
      </c>
      <c r="V1419">
        <v>0</v>
      </c>
      <c r="W1419">
        <v>0</v>
      </c>
      <c r="X1419">
        <v>0</v>
      </c>
      <c r="Y1419">
        <v>25</v>
      </c>
      <c r="Z1419" t="s">
        <v>111</v>
      </c>
      <c r="AA1419">
        <v>0</v>
      </c>
      <c r="AB1419" t="s">
        <v>111</v>
      </c>
      <c r="AC1419">
        <v>0</v>
      </c>
      <c r="AD1419" t="s">
        <v>416</v>
      </c>
      <c r="AE1419">
        <v>4</v>
      </c>
      <c r="AF1419">
        <v>2</v>
      </c>
      <c r="AG1419" t="s">
        <v>3220</v>
      </c>
      <c r="AH1419" t="s">
        <v>111</v>
      </c>
      <c r="AI1419">
        <v>40</v>
      </c>
      <c r="AJ1419" t="s">
        <v>111</v>
      </c>
      <c r="AK1419" t="s">
        <v>111</v>
      </c>
      <c r="AL1419" t="s">
        <v>111</v>
      </c>
      <c r="AM1419">
        <v>0</v>
      </c>
      <c r="AN1419">
        <v>0</v>
      </c>
      <c r="AO1419">
        <v>0</v>
      </c>
      <c r="AP1419" t="s">
        <v>271</v>
      </c>
      <c r="AQ1419" t="s">
        <v>111</v>
      </c>
      <c r="AR1419" t="s">
        <v>111</v>
      </c>
      <c r="AS1419" t="s">
        <v>111</v>
      </c>
      <c r="AT1419" t="s">
        <v>288</v>
      </c>
      <c r="AU1419" t="s">
        <v>111</v>
      </c>
      <c r="AV1419" t="s">
        <v>111</v>
      </c>
      <c r="AW1419" t="s">
        <v>111</v>
      </c>
      <c r="AX1419" t="s">
        <v>259</v>
      </c>
      <c r="AY1419" t="s">
        <v>111</v>
      </c>
      <c r="AZ1419" t="s">
        <v>111</v>
      </c>
      <c r="BA1419" t="s">
        <v>111</v>
      </c>
      <c r="BB1419" t="s">
        <v>4013</v>
      </c>
      <c r="BC1419" t="s">
        <v>111</v>
      </c>
      <c r="BD1419" t="s">
        <v>111</v>
      </c>
      <c r="BE1419" t="s">
        <v>111</v>
      </c>
      <c r="BF1419" t="s">
        <v>111</v>
      </c>
      <c r="BG1419" t="s">
        <v>111</v>
      </c>
      <c r="BH1419" t="s">
        <v>111</v>
      </c>
      <c r="BI1419" t="s">
        <v>111</v>
      </c>
      <c r="BJ1419" t="s">
        <v>111</v>
      </c>
      <c r="BK1419" t="s">
        <v>111</v>
      </c>
      <c r="BL1419" t="s">
        <v>111</v>
      </c>
      <c r="BM1419" t="s">
        <v>111</v>
      </c>
      <c r="BN1419" t="s">
        <v>111</v>
      </c>
      <c r="BO1419" t="s">
        <v>111</v>
      </c>
      <c r="BP1419" t="s">
        <v>111</v>
      </c>
      <c r="BQ1419" t="s">
        <v>111</v>
      </c>
      <c r="BR1419" t="s">
        <v>111</v>
      </c>
      <c r="BS1419" t="s">
        <v>111</v>
      </c>
      <c r="BT1419" t="s">
        <v>111</v>
      </c>
      <c r="BU1419" t="s">
        <v>111</v>
      </c>
      <c r="BV1419" t="s">
        <v>111</v>
      </c>
      <c r="BW1419" t="s">
        <v>111</v>
      </c>
      <c r="BX1419" t="s">
        <v>111</v>
      </c>
      <c r="BY1419" t="s">
        <v>111</v>
      </c>
      <c r="BZ1419" t="s">
        <v>111</v>
      </c>
      <c r="CA1419" t="s">
        <v>111</v>
      </c>
      <c r="CB1419" t="s">
        <v>111</v>
      </c>
      <c r="CC1419" t="s">
        <v>111</v>
      </c>
      <c r="CD1419" t="s">
        <v>111</v>
      </c>
      <c r="CE1419" t="s">
        <v>111</v>
      </c>
      <c r="CF1419" t="s">
        <v>111</v>
      </c>
      <c r="CG1419" t="s">
        <v>111</v>
      </c>
      <c r="CH1419" t="s">
        <v>111</v>
      </c>
      <c r="CI1419" t="s">
        <v>111</v>
      </c>
      <c r="CJ1419" t="s">
        <v>111</v>
      </c>
      <c r="CK1419" t="s">
        <v>111</v>
      </c>
      <c r="CL1419" t="s">
        <v>153</v>
      </c>
      <c r="CM1419" t="s">
        <v>198</v>
      </c>
      <c r="CN1419" t="s">
        <v>113</v>
      </c>
      <c r="CO1419" t="s">
        <v>111</v>
      </c>
      <c r="CP1419" t="s">
        <v>433</v>
      </c>
      <c r="CQ1419">
        <v>0</v>
      </c>
      <c r="CR1419">
        <v>0</v>
      </c>
      <c r="CS1419">
        <v>0</v>
      </c>
      <c r="CT1419" t="s">
        <v>168</v>
      </c>
      <c r="CU1419">
        <v>0</v>
      </c>
      <c r="CV1419" t="s">
        <v>111</v>
      </c>
      <c r="CW1419" t="s">
        <v>111</v>
      </c>
      <c r="CX1419" t="s">
        <v>111</v>
      </c>
      <c r="CY1419">
        <v>0</v>
      </c>
      <c r="CZ1419" t="s">
        <v>111</v>
      </c>
      <c r="DA1419" t="s">
        <v>111</v>
      </c>
      <c r="DB1419" t="s">
        <v>111</v>
      </c>
      <c r="DC1419" t="s">
        <v>111</v>
      </c>
    </row>
    <row r="1420" spans="1:107">
      <c r="A1420">
        <v>481</v>
      </c>
      <c r="B1420" t="s">
        <v>162</v>
      </c>
      <c r="C1420" t="s">
        <v>3121</v>
      </c>
      <c r="D1420" t="s">
        <v>4014</v>
      </c>
      <c r="E1420" t="s">
        <v>4015</v>
      </c>
      <c r="F1420" t="s">
        <v>1071</v>
      </c>
      <c r="G1420" t="s">
        <v>24</v>
      </c>
      <c r="H1420">
        <v>1.35</v>
      </c>
      <c r="I1420">
        <v>50</v>
      </c>
      <c r="J1420">
        <v>0</v>
      </c>
      <c r="K1420">
        <v>0</v>
      </c>
      <c r="L1420" t="s">
        <v>112</v>
      </c>
      <c r="M1420" t="s">
        <v>138</v>
      </c>
      <c r="N1420">
        <v>0</v>
      </c>
      <c r="O1420">
        <v>0</v>
      </c>
      <c r="P1420" t="s">
        <v>138</v>
      </c>
      <c r="Q1420">
        <v>40</v>
      </c>
      <c r="R1420">
        <v>0</v>
      </c>
      <c r="S1420">
        <v>0</v>
      </c>
      <c r="T1420">
        <v>0</v>
      </c>
      <c r="U1420" t="s">
        <v>168</v>
      </c>
      <c r="V1420">
        <v>0</v>
      </c>
      <c r="W1420">
        <v>0</v>
      </c>
      <c r="X1420">
        <v>0</v>
      </c>
      <c r="Y1420">
        <v>25</v>
      </c>
      <c r="Z1420" t="s">
        <v>111</v>
      </c>
      <c r="AA1420">
        <v>0</v>
      </c>
      <c r="AB1420" t="s">
        <v>111</v>
      </c>
      <c r="AC1420">
        <v>0</v>
      </c>
      <c r="AD1420" t="s">
        <v>111</v>
      </c>
      <c r="AE1420">
        <v>0</v>
      </c>
      <c r="AF1420">
        <v>0</v>
      </c>
      <c r="AG1420" t="s">
        <v>111</v>
      </c>
      <c r="AH1420" t="s">
        <v>111</v>
      </c>
      <c r="AI1420" t="s">
        <v>111</v>
      </c>
      <c r="AJ1420" t="s">
        <v>111</v>
      </c>
      <c r="AK1420" t="s">
        <v>111</v>
      </c>
      <c r="AL1420" t="s">
        <v>111</v>
      </c>
      <c r="AM1420">
        <v>0</v>
      </c>
      <c r="AN1420">
        <v>0</v>
      </c>
      <c r="AO1420">
        <v>0</v>
      </c>
      <c r="AP1420" t="s">
        <v>111</v>
      </c>
      <c r="AQ1420" t="s">
        <v>111</v>
      </c>
      <c r="AR1420" t="s">
        <v>111</v>
      </c>
      <c r="AS1420" t="s">
        <v>111</v>
      </c>
      <c r="AT1420" t="s">
        <v>111</v>
      </c>
      <c r="AU1420" t="s">
        <v>111</v>
      </c>
      <c r="AV1420" t="s">
        <v>111</v>
      </c>
      <c r="AW1420" t="s">
        <v>111</v>
      </c>
      <c r="AX1420" t="s">
        <v>111</v>
      </c>
      <c r="AY1420" t="s">
        <v>111</v>
      </c>
      <c r="AZ1420" t="s">
        <v>111</v>
      </c>
      <c r="BA1420" t="s">
        <v>111</v>
      </c>
      <c r="BB1420" t="s">
        <v>111</v>
      </c>
      <c r="BC1420" t="s">
        <v>111</v>
      </c>
      <c r="BD1420" t="s">
        <v>111</v>
      </c>
      <c r="BE1420" t="s">
        <v>111</v>
      </c>
      <c r="BF1420" t="s">
        <v>111</v>
      </c>
      <c r="BG1420" t="s">
        <v>111</v>
      </c>
      <c r="BH1420" t="s">
        <v>111</v>
      </c>
      <c r="BI1420" t="s">
        <v>111</v>
      </c>
      <c r="BJ1420" t="s">
        <v>111</v>
      </c>
      <c r="BK1420" t="s">
        <v>111</v>
      </c>
      <c r="BL1420" t="s">
        <v>111</v>
      </c>
      <c r="BM1420" t="s">
        <v>111</v>
      </c>
      <c r="BN1420" t="s">
        <v>111</v>
      </c>
      <c r="BO1420" t="s">
        <v>111</v>
      </c>
      <c r="BP1420" t="s">
        <v>111</v>
      </c>
      <c r="BQ1420" t="s">
        <v>111</v>
      </c>
      <c r="BR1420" t="s">
        <v>111</v>
      </c>
      <c r="BS1420" t="s">
        <v>111</v>
      </c>
      <c r="BT1420" t="s">
        <v>111</v>
      </c>
      <c r="BU1420" t="s">
        <v>111</v>
      </c>
      <c r="BV1420" t="s">
        <v>111</v>
      </c>
      <c r="BW1420" t="s">
        <v>111</v>
      </c>
      <c r="BX1420" t="s">
        <v>111</v>
      </c>
      <c r="BY1420" t="s">
        <v>111</v>
      </c>
      <c r="BZ1420" t="s">
        <v>111</v>
      </c>
      <c r="CA1420" t="s">
        <v>111</v>
      </c>
      <c r="CB1420" t="s">
        <v>111</v>
      </c>
      <c r="CC1420" t="s">
        <v>111</v>
      </c>
      <c r="CD1420" t="s">
        <v>111</v>
      </c>
      <c r="CE1420" t="s">
        <v>111</v>
      </c>
      <c r="CF1420" t="s">
        <v>111</v>
      </c>
      <c r="CG1420" t="s">
        <v>111</v>
      </c>
      <c r="CH1420" t="s">
        <v>111</v>
      </c>
      <c r="CI1420" t="s">
        <v>111</v>
      </c>
      <c r="CJ1420" t="s">
        <v>111</v>
      </c>
      <c r="CK1420" t="s">
        <v>111</v>
      </c>
      <c r="CL1420" t="s">
        <v>111</v>
      </c>
      <c r="CM1420" t="s">
        <v>198</v>
      </c>
      <c r="CN1420" t="s">
        <v>113</v>
      </c>
      <c r="CO1420" t="s">
        <v>111</v>
      </c>
      <c r="CP1420" t="s">
        <v>111</v>
      </c>
      <c r="CQ1420">
        <v>0</v>
      </c>
      <c r="CR1420">
        <v>0</v>
      </c>
      <c r="CS1420">
        <v>0</v>
      </c>
      <c r="CT1420" t="s">
        <v>168</v>
      </c>
      <c r="CU1420">
        <v>0</v>
      </c>
      <c r="CV1420" t="s">
        <v>111</v>
      </c>
      <c r="CW1420" t="s">
        <v>111</v>
      </c>
      <c r="CX1420" t="s">
        <v>111</v>
      </c>
      <c r="CY1420">
        <v>0</v>
      </c>
      <c r="CZ1420" t="s">
        <v>111</v>
      </c>
      <c r="DA1420" t="s">
        <v>111</v>
      </c>
      <c r="DB1420" t="s">
        <v>111</v>
      </c>
      <c r="DC1420" t="s">
        <v>111</v>
      </c>
    </row>
    <row r="1421" spans="1:107">
      <c r="A1421">
        <v>281</v>
      </c>
      <c r="B1421" t="s">
        <v>162</v>
      </c>
      <c r="C1421" t="s">
        <v>4016</v>
      </c>
      <c r="D1421" t="s">
        <v>4017</v>
      </c>
      <c r="E1421" t="s">
        <v>117</v>
      </c>
      <c r="F1421" t="s">
        <v>2211</v>
      </c>
      <c r="G1421" t="s">
        <v>24</v>
      </c>
      <c r="H1421">
        <v>1</v>
      </c>
      <c r="I1421">
        <v>30</v>
      </c>
      <c r="J1421">
        <v>0</v>
      </c>
      <c r="K1421">
        <v>0</v>
      </c>
      <c r="L1421" t="s">
        <v>117</v>
      </c>
      <c r="M1421" t="s">
        <v>138</v>
      </c>
      <c r="N1421">
        <v>0</v>
      </c>
      <c r="O1421">
        <v>0</v>
      </c>
      <c r="P1421" t="s">
        <v>138</v>
      </c>
      <c r="Q1421">
        <v>20</v>
      </c>
      <c r="R1421">
        <v>0</v>
      </c>
      <c r="S1421">
        <v>0</v>
      </c>
      <c r="T1421">
        <v>0</v>
      </c>
      <c r="U1421" t="s">
        <v>111</v>
      </c>
      <c r="V1421">
        <v>0</v>
      </c>
      <c r="W1421">
        <v>0</v>
      </c>
      <c r="X1421">
        <v>0</v>
      </c>
      <c r="Y1421">
        <v>25</v>
      </c>
      <c r="Z1421" t="s">
        <v>111</v>
      </c>
      <c r="AA1421">
        <v>0</v>
      </c>
      <c r="AB1421" t="s">
        <v>111</v>
      </c>
      <c r="AC1421">
        <v>0</v>
      </c>
      <c r="AD1421" t="s">
        <v>111</v>
      </c>
      <c r="AE1421">
        <v>0</v>
      </c>
      <c r="AF1421">
        <v>0</v>
      </c>
      <c r="AG1421" t="s">
        <v>111</v>
      </c>
      <c r="AH1421" t="s">
        <v>111</v>
      </c>
      <c r="AI1421" t="s">
        <v>111</v>
      </c>
      <c r="AJ1421" t="s">
        <v>111</v>
      </c>
      <c r="AK1421" t="s">
        <v>111</v>
      </c>
      <c r="AL1421" t="s">
        <v>111</v>
      </c>
      <c r="AM1421">
        <v>0</v>
      </c>
      <c r="AN1421">
        <v>0</v>
      </c>
      <c r="AO1421">
        <v>0</v>
      </c>
      <c r="AP1421" t="s">
        <v>111</v>
      </c>
      <c r="AQ1421" t="s">
        <v>111</v>
      </c>
      <c r="AR1421" t="s">
        <v>111</v>
      </c>
      <c r="AS1421" t="s">
        <v>111</v>
      </c>
      <c r="AT1421" t="s">
        <v>111</v>
      </c>
      <c r="AU1421" t="s">
        <v>111</v>
      </c>
      <c r="AV1421" t="s">
        <v>111</v>
      </c>
      <c r="AW1421" t="s">
        <v>111</v>
      </c>
      <c r="AX1421" t="s">
        <v>111</v>
      </c>
      <c r="AY1421" t="s">
        <v>111</v>
      </c>
      <c r="AZ1421" t="s">
        <v>111</v>
      </c>
      <c r="BA1421" t="s">
        <v>111</v>
      </c>
      <c r="BB1421" t="s">
        <v>111</v>
      </c>
      <c r="BC1421" t="s">
        <v>111</v>
      </c>
      <c r="BD1421" t="s">
        <v>111</v>
      </c>
      <c r="BE1421" t="s">
        <v>111</v>
      </c>
      <c r="BF1421" t="s">
        <v>111</v>
      </c>
      <c r="BG1421" t="s">
        <v>111</v>
      </c>
      <c r="BH1421" t="s">
        <v>111</v>
      </c>
      <c r="BI1421" t="s">
        <v>111</v>
      </c>
      <c r="BJ1421" t="s">
        <v>111</v>
      </c>
      <c r="BK1421" t="s">
        <v>111</v>
      </c>
      <c r="BL1421" t="s">
        <v>111</v>
      </c>
      <c r="BM1421" t="s">
        <v>111</v>
      </c>
      <c r="BN1421" t="s">
        <v>111</v>
      </c>
      <c r="BO1421" t="s">
        <v>111</v>
      </c>
      <c r="BP1421" t="s">
        <v>111</v>
      </c>
      <c r="BQ1421" t="s">
        <v>111</v>
      </c>
      <c r="BR1421" t="s">
        <v>111</v>
      </c>
      <c r="BS1421" t="s">
        <v>111</v>
      </c>
      <c r="BT1421" t="s">
        <v>111</v>
      </c>
      <c r="BU1421" t="s">
        <v>111</v>
      </c>
      <c r="BV1421" t="s">
        <v>111</v>
      </c>
      <c r="BW1421" t="s">
        <v>111</v>
      </c>
      <c r="BX1421" t="s">
        <v>111</v>
      </c>
      <c r="BY1421" t="s">
        <v>111</v>
      </c>
      <c r="BZ1421" t="s">
        <v>111</v>
      </c>
      <c r="CA1421" t="s">
        <v>111</v>
      </c>
      <c r="CB1421" t="s">
        <v>111</v>
      </c>
      <c r="CC1421" t="s">
        <v>111</v>
      </c>
      <c r="CD1421" t="s">
        <v>111</v>
      </c>
      <c r="CE1421" t="s">
        <v>111</v>
      </c>
      <c r="CF1421" t="s">
        <v>111</v>
      </c>
      <c r="CG1421" t="s">
        <v>111</v>
      </c>
      <c r="CH1421" t="s">
        <v>111</v>
      </c>
      <c r="CI1421" t="s">
        <v>111</v>
      </c>
      <c r="CJ1421" t="s">
        <v>111</v>
      </c>
      <c r="CK1421" t="s">
        <v>111</v>
      </c>
      <c r="CL1421" t="s">
        <v>111</v>
      </c>
      <c r="CM1421" t="s">
        <v>111</v>
      </c>
      <c r="CN1421" t="s">
        <v>111</v>
      </c>
      <c r="CO1421" t="s">
        <v>111</v>
      </c>
      <c r="CP1421" t="s">
        <v>111</v>
      </c>
      <c r="CQ1421">
        <v>0</v>
      </c>
      <c r="CR1421">
        <v>0</v>
      </c>
      <c r="CS1421">
        <v>0</v>
      </c>
      <c r="CT1421" t="s">
        <v>111</v>
      </c>
      <c r="CU1421">
        <v>0</v>
      </c>
      <c r="CV1421" t="s">
        <v>111</v>
      </c>
      <c r="CW1421" t="s">
        <v>111</v>
      </c>
      <c r="CX1421" t="s">
        <v>111</v>
      </c>
      <c r="CY1421">
        <v>0</v>
      </c>
      <c r="CZ1421" t="s">
        <v>111</v>
      </c>
      <c r="DA1421" t="s">
        <v>111</v>
      </c>
      <c r="DB1421" t="s">
        <v>111</v>
      </c>
      <c r="DC1421" t="s">
        <v>111</v>
      </c>
    </row>
    <row r="1422" spans="1:107">
      <c r="A1422">
        <v>279</v>
      </c>
      <c r="B1422" t="s">
        <v>162</v>
      </c>
      <c r="C1422" t="s">
        <v>428</v>
      </c>
      <c r="D1422" t="s">
        <v>4018</v>
      </c>
      <c r="E1422" t="s">
        <v>4019</v>
      </c>
      <c r="F1422" t="s">
        <v>1071</v>
      </c>
      <c r="G1422" t="s">
        <v>24</v>
      </c>
      <c r="H1422">
        <v>1.3</v>
      </c>
      <c r="I1422">
        <v>33</v>
      </c>
      <c r="J1422">
        <v>0</v>
      </c>
      <c r="K1422">
        <v>0</v>
      </c>
      <c r="L1422" t="s">
        <v>112</v>
      </c>
      <c r="M1422" t="s">
        <v>138</v>
      </c>
      <c r="N1422">
        <v>0</v>
      </c>
      <c r="O1422">
        <v>0</v>
      </c>
      <c r="P1422" t="s">
        <v>138</v>
      </c>
      <c r="Q1422">
        <v>40</v>
      </c>
      <c r="R1422">
        <v>0</v>
      </c>
      <c r="S1422">
        <v>0</v>
      </c>
      <c r="T1422">
        <v>0</v>
      </c>
      <c r="U1422" t="s">
        <v>153</v>
      </c>
      <c r="V1422">
        <v>0</v>
      </c>
      <c r="W1422">
        <v>0</v>
      </c>
      <c r="X1422">
        <v>0</v>
      </c>
      <c r="Y1422">
        <v>25</v>
      </c>
      <c r="Z1422" t="s">
        <v>111</v>
      </c>
      <c r="AA1422">
        <v>0</v>
      </c>
      <c r="AB1422" t="s">
        <v>111</v>
      </c>
      <c r="AC1422">
        <v>0</v>
      </c>
      <c r="AD1422" t="s">
        <v>111</v>
      </c>
      <c r="AE1422">
        <v>0</v>
      </c>
      <c r="AF1422">
        <v>0</v>
      </c>
      <c r="AG1422" t="s">
        <v>111</v>
      </c>
      <c r="AH1422" t="s">
        <v>111</v>
      </c>
      <c r="AI1422" t="s">
        <v>111</v>
      </c>
      <c r="AJ1422" t="s">
        <v>111</v>
      </c>
      <c r="AK1422" t="s">
        <v>111</v>
      </c>
      <c r="AL1422" t="s">
        <v>111</v>
      </c>
      <c r="AM1422">
        <v>0</v>
      </c>
      <c r="AN1422">
        <v>0</v>
      </c>
      <c r="AO1422">
        <v>0</v>
      </c>
      <c r="AP1422" t="s">
        <v>111</v>
      </c>
      <c r="AQ1422" t="s">
        <v>111</v>
      </c>
      <c r="AR1422" t="s">
        <v>111</v>
      </c>
      <c r="AS1422" t="s">
        <v>111</v>
      </c>
      <c r="AT1422" t="s">
        <v>111</v>
      </c>
      <c r="AU1422" t="s">
        <v>111</v>
      </c>
      <c r="AV1422" t="s">
        <v>111</v>
      </c>
      <c r="AW1422" t="s">
        <v>111</v>
      </c>
      <c r="AX1422" t="s">
        <v>111</v>
      </c>
      <c r="AY1422" t="s">
        <v>111</v>
      </c>
      <c r="AZ1422" t="s">
        <v>111</v>
      </c>
      <c r="BA1422" t="s">
        <v>111</v>
      </c>
      <c r="BB1422" t="s">
        <v>111</v>
      </c>
      <c r="BC1422" t="s">
        <v>111</v>
      </c>
      <c r="BD1422" t="s">
        <v>111</v>
      </c>
      <c r="BE1422" t="s">
        <v>111</v>
      </c>
      <c r="BF1422" t="s">
        <v>111</v>
      </c>
      <c r="BG1422" t="s">
        <v>111</v>
      </c>
      <c r="BH1422" t="s">
        <v>111</v>
      </c>
      <c r="BI1422" t="s">
        <v>111</v>
      </c>
      <c r="BJ1422" t="s">
        <v>111</v>
      </c>
      <c r="BK1422" t="s">
        <v>111</v>
      </c>
      <c r="BL1422" t="s">
        <v>111</v>
      </c>
      <c r="BM1422" t="s">
        <v>111</v>
      </c>
      <c r="BN1422" t="s">
        <v>111</v>
      </c>
      <c r="BO1422" t="s">
        <v>111</v>
      </c>
      <c r="BP1422" t="s">
        <v>111</v>
      </c>
      <c r="BQ1422" t="s">
        <v>111</v>
      </c>
      <c r="BR1422" t="s">
        <v>111</v>
      </c>
      <c r="BS1422" t="s">
        <v>111</v>
      </c>
      <c r="BT1422" t="s">
        <v>111</v>
      </c>
      <c r="BU1422" t="s">
        <v>111</v>
      </c>
      <c r="BV1422" t="s">
        <v>111</v>
      </c>
      <c r="BW1422" t="s">
        <v>111</v>
      </c>
      <c r="BX1422" t="s">
        <v>111</v>
      </c>
      <c r="BY1422" t="s">
        <v>111</v>
      </c>
      <c r="BZ1422" t="s">
        <v>111</v>
      </c>
      <c r="CA1422" t="s">
        <v>111</v>
      </c>
      <c r="CB1422" t="s">
        <v>111</v>
      </c>
      <c r="CC1422" t="s">
        <v>111</v>
      </c>
      <c r="CD1422" t="s">
        <v>111</v>
      </c>
      <c r="CE1422" t="s">
        <v>111</v>
      </c>
      <c r="CF1422" t="s">
        <v>111</v>
      </c>
      <c r="CG1422" t="s">
        <v>111</v>
      </c>
      <c r="CH1422" t="s">
        <v>111</v>
      </c>
      <c r="CI1422" t="s">
        <v>111</v>
      </c>
      <c r="CJ1422" t="s">
        <v>111</v>
      </c>
      <c r="CK1422" t="s">
        <v>111</v>
      </c>
      <c r="CL1422" t="s">
        <v>111</v>
      </c>
      <c r="CM1422" t="s">
        <v>198</v>
      </c>
      <c r="CN1422" t="s">
        <v>113</v>
      </c>
      <c r="CO1422" t="s">
        <v>111</v>
      </c>
      <c r="CP1422" t="s">
        <v>111</v>
      </c>
      <c r="CQ1422">
        <v>0</v>
      </c>
      <c r="CR1422">
        <v>0</v>
      </c>
      <c r="CS1422">
        <v>0</v>
      </c>
      <c r="CT1422" t="s">
        <v>168</v>
      </c>
      <c r="CU1422">
        <v>0</v>
      </c>
      <c r="CV1422" t="s">
        <v>111</v>
      </c>
      <c r="CW1422" t="s">
        <v>111</v>
      </c>
      <c r="CX1422" t="s">
        <v>111</v>
      </c>
      <c r="CY1422">
        <v>0</v>
      </c>
      <c r="CZ1422" t="s">
        <v>111</v>
      </c>
      <c r="DA1422" t="s">
        <v>111</v>
      </c>
      <c r="DB1422" t="s">
        <v>111</v>
      </c>
      <c r="DC1422" t="s">
        <v>111</v>
      </c>
    </row>
    <row r="1423" spans="1:107">
      <c r="A1423">
        <v>661</v>
      </c>
      <c r="B1423" t="s">
        <v>162</v>
      </c>
      <c r="C1423" t="s">
        <v>719</v>
      </c>
      <c r="D1423" t="s">
        <v>4020</v>
      </c>
      <c r="E1423" t="s">
        <v>4021</v>
      </c>
      <c r="F1423" t="s">
        <v>1651</v>
      </c>
      <c r="G1423" t="s">
        <v>24</v>
      </c>
      <c r="H1423">
        <v>2.4</v>
      </c>
      <c r="I1423">
        <v>48</v>
      </c>
      <c r="J1423">
        <v>0</v>
      </c>
      <c r="K1423">
        <v>0</v>
      </c>
      <c r="L1423" t="s">
        <v>178</v>
      </c>
      <c r="M1423" t="s">
        <v>118</v>
      </c>
      <c r="N1423">
        <v>40</v>
      </c>
      <c r="O1423">
        <v>2</v>
      </c>
      <c r="P1423" t="s">
        <v>138</v>
      </c>
      <c r="Q1423">
        <v>37</v>
      </c>
      <c r="R1423">
        <v>0</v>
      </c>
      <c r="S1423">
        <v>0</v>
      </c>
      <c r="T1423">
        <v>10</v>
      </c>
      <c r="U1423" t="s">
        <v>501</v>
      </c>
      <c r="V1423">
        <v>0</v>
      </c>
      <c r="W1423">
        <v>0</v>
      </c>
      <c r="X1423">
        <v>0</v>
      </c>
      <c r="Y1423">
        <v>25</v>
      </c>
      <c r="Z1423" t="s">
        <v>111</v>
      </c>
      <c r="AA1423">
        <v>0</v>
      </c>
      <c r="AB1423" t="s">
        <v>111</v>
      </c>
      <c r="AC1423">
        <v>0</v>
      </c>
      <c r="AD1423" t="s">
        <v>416</v>
      </c>
      <c r="AE1423">
        <v>3</v>
      </c>
      <c r="AF1423">
        <v>2</v>
      </c>
      <c r="AG1423">
        <v>32</v>
      </c>
      <c r="AH1423" t="s">
        <v>111</v>
      </c>
      <c r="AI1423">
        <v>32</v>
      </c>
      <c r="AJ1423" t="s">
        <v>111</v>
      </c>
      <c r="AK1423" t="s">
        <v>111</v>
      </c>
      <c r="AL1423" t="s">
        <v>111</v>
      </c>
      <c r="AM1423">
        <v>0</v>
      </c>
      <c r="AN1423">
        <v>0</v>
      </c>
      <c r="AO1423">
        <v>0</v>
      </c>
      <c r="AP1423" t="s">
        <v>271</v>
      </c>
      <c r="AQ1423" t="s">
        <v>111</v>
      </c>
      <c r="AR1423" t="s">
        <v>111</v>
      </c>
      <c r="AS1423" t="s">
        <v>111</v>
      </c>
      <c r="AT1423" t="s">
        <v>288</v>
      </c>
      <c r="AU1423" t="s">
        <v>111</v>
      </c>
      <c r="AV1423" t="s">
        <v>111</v>
      </c>
      <c r="AW1423" t="s">
        <v>111</v>
      </c>
      <c r="AX1423" t="s">
        <v>188</v>
      </c>
      <c r="AY1423" t="s">
        <v>111</v>
      </c>
      <c r="AZ1423" t="s">
        <v>111</v>
      </c>
      <c r="BA1423" t="s">
        <v>111</v>
      </c>
      <c r="BB1423" t="s">
        <v>111</v>
      </c>
      <c r="BC1423" t="s">
        <v>111</v>
      </c>
      <c r="BD1423" t="s">
        <v>111</v>
      </c>
      <c r="BE1423" t="s">
        <v>111</v>
      </c>
      <c r="BF1423" t="s">
        <v>111</v>
      </c>
      <c r="BG1423" t="s">
        <v>111</v>
      </c>
      <c r="BH1423" t="s">
        <v>111</v>
      </c>
      <c r="BI1423" t="s">
        <v>111</v>
      </c>
      <c r="BJ1423" t="s">
        <v>111</v>
      </c>
      <c r="BK1423" t="s">
        <v>111</v>
      </c>
      <c r="BL1423" t="s">
        <v>111</v>
      </c>
      <c r="BM1423" t="s">
        <v>111</v>
      </c>
      <c r="BN1423" t="s">
        <v>271</v>
      </c>
      <c r="BO1423" t="s">
        <v>111</v>
      </c>
      <c r="BP1423" t="s">
        <v>111</v>
      </c>
      <c r="BQ1423" t="s">
        <v>111</v>
      </c>
      <c r="BR1423" t="s">
        <v>111</v>
      </c>
      <c r="BS1423" t="s">
        <v>111</v>
      </c>
      <c r="BT1423" t="s">
        <v>111</v>
      </c>
      <c r="BU1423" t="s">
        <v>111</v>
      </c>
      <c r="BV1423" t="s">
        <v>111</v>
      </c>
      <c r="BW1423" t="s">
        <v>111</v>
      </c>
      <c r="BX1423" t="s">
        <v>111</v>
      </c>
      <c r="BY1423" t="s">
        <v>111</v>
      </c>
      <c r="BZ1423" t="s">
        <v>111</v>
      </c>
      <c r="CA1423" t="s">
        <v>111</v>
      </c>
      <c r="CB1423" t="s">
        <v>111</v>
      </c>
      <c r="CC1423" t="s">
        <v>111</v>
      </c>
      <c r="CD1423" t="s">
        <v>111</v>
      </c>
      <c r="CE1423" t="s">
        <v>111</v>
      </c>
      <c r="CF1423" t="s">
        <v>111</v>
      </c>
      <c r="CG1423" t="s">
        <v>111</v>
      </c>
      <c r="CH1423" t="s">
        <v>111</v>
      </c>
      <c r="CI1423" t="s">
        <v>111</v>
      </c>
      <c r="CJ1423" t="s">
        <v>111</v>
      </c>
      <c r="CK1423" t="s">
        <v>111</v>
      </c>
      <c r="CL1423" t="s">
        <v>153</v>
      </c>
      <c r="CM1423" t="s">
        <v>198</v>
      </c>
      <c r="CN1423" t="s">
        <v>113</v>
      </c>
      <c r="CO1423" t="s">
        <v>111</v>
      </c>
      <c r="CP1423" t="s">
        <v>433</v>
      </c>
      <c r="CQ1423">
        <v>40</v>
      </c>
      <c r="CR1423">
        <v>3000</v>
      </c>
      <c r="CS1423">
        <v>200</v>
      </c>
      <c r="CT1423" s="1" t="s">
        <v>1104</v>
      </c>
      <c r="CU1423">
        <v>0</v>
      </c>
      <c r="CV1423" t="s">
        <v>111</v>
      </c>
      <c r="CW1423" t="s">
        <v>111</v>
      </c>
      <c r="CX1423" t="s">
        <v>111</v>
      </c>
      <c r="CY1423">
        <v>0</v>
      </c>
      <c r="CZ1423" t="s">
        <v>111</v>
      </c>
      <c r="DA1423" t="s">
        <v>111</v>
      </c>
      <c r="DB1423" t="s">
        <v>111</v>
      </c>
      <c r="DC1423" t="s">
        <v>111</v>
      </c>
    </row>
    <row r="1424" spans="1:107">
      <c r="A1424">
        <v>399</v>
      </c>
      <c r="B1424" t="s">
        <v>107</v>
      </c>
      <c r="C1424" t="s">
        <v>1156</v>
      </c>
      <c r="D1424" t="s">
        <v>4022</v>
      </c>
      <c r="E1424" t="s">
        <v>4023</v>
      </c>
      <c r="F1424" t="s">
        <v>1651</v>
      </c>
      <c r="G1424" t="s">
        <v>24</v>
      </c>
      <c r="H1424">
        <v>1.4</v>
      </c>
      <c r="I1424">
        <v>33</v>
      </c>
      <c r="J1424">
        <v>0</v>
      </c>
      <c r="K1424">
        <v>0</v>
      </c>
      <c r="L1424" t="s">
        <v>112</v>
      </c>
      <c r="M1424" t="s">
        <v>118</v>
      </c>
      <c r="N1424">
        <v>40</v>
      </c>
      <c r="O1424">
        <v>1</v>
      </c>
      <c r="P1424" t="s">
        <v>138</v>
      </c>
      <c r="Q1424">
        <v>36.799999999999997</v>
      </c>
      <c r="R1424">
        <v>0</v>
      </c>
      <c r="S1424">
        <v>0</v>
      </c>
      <c r="T1424">
        <v>5</v>
      </c>
      <c r="U1424" t="s">
        <v>1353</v>
      </c>
      <c r="V1424">
        <v>0</v>
      </c>
      <c r="W1424">
        <v>0</v>
      </c>
      <c r="X1424">
        <v>0</v>
      </c>
      <c r="Y1424">
        <v>25</v>
      </c>
      <c r="Z1424" t="s">
        <v>111</v>
      </c>
      <c r="AA1424">
        <v>0</v>
      </c>
      <c r="AB1424" t="s">
        <v>111</v>
      </c>
      <c r="AC1424">
        <v>0</v>
      </c>
      <c r="AD1424" t="s">
        <v>416</v>
      </c>
      <c r="AE1424">
        <v>4</v>
      </c>
      <c r="AF1424">
        <v>1</v>
      </c>
      <c r="AG1424">
        <v>24</v>
      </c>
      <c r="AH1424" t="s">
        <v>111</v>
      </c>
      <c r="AI1424">
        <v>48</v>
      </c>
      <c r="AJ1424" t="s">
        <v>111</v>
      </c>
      <c r="AK1424" t="s">
        <v>111</v>
      </c>
      <c r="AL1424" t="s">
        <v>111</v>
      </c>
      <c r="AM1424">
        <v>0</v>
      </c>
      <c r="AN1424">
        <v>0</v>
      </c>
      <c r="AO1424">
        <v>0</v>
      </c>
      <c r="AP1424" t="s">
        <v>184</v>
      </c>
      <c r="AQ1424" t="s">
        <v>111</v>
      </c>
      <c r="AR1424" t="s">
        <v>111</v>
      </c>
      <c r="AS1424" t="s">
        <v>111</v>
      </c>
      <c r="AT1424" t="s">
        <v>271</v>
      </c>
      <c r="AU1424" t="s">
        <v>111</v>
      </c>
      <c r="AV1424" t="s">
        <v>111</v>
      </c>
      <c r="AW1424" t="s">
        <v>111</v>
      </c>
      <c r="AX1424" t="s">
        <v>147</v>
      </c>
      <c r="AY1424" t="s">
        <v>111</v>
      </c>
      <c r="AZ1424" t="s">
        <v>111</v>
      </c>
      <c r="BA1424" t="s">
        <v>111</v>
      </c>
      <c r="BB1424" t="s">
        <v>366</v>
      </c>
      <c r="BC1424" t="s">
        <v>111</v>
      </c>
      <c r="BD1424" t="s">
        <v>111</v>
      </c>
      <c r="BE1424" t="s">
        <v>111</v>
      </c>
      <c r="BF1424" t="s">
        <v>111</v>
      </c>
      <c r="BG1424" t="s">
        <v>111</v>
      </c>
      <c r="BH1424" t="s">
        <v>111</v>
      </c>
      <c r="BI1424" t="s">
        <v>111</v>
      </c>
      <c r="BJ1424" t="s">
        <v>111</v>
      </c>
      <c r="BK1424" t="s">
        <v>111</v>
      </c>
      <c r="BL1424" t="s">
        <v>111</v>
      </c>
      <c r="BM1424" t="s">
        <v>111</v>
      </c>
      <c r="BN1424" t="s">
        <v>111</v>
      </c>
      <c r="BO1424" t="s">
        <v>111</v>
      </c>
      <c r="BP1424" t="s">
        <v>111</v>
      </c>
      <c r="BQ1424" t="s">
        <v>111</v>
      </c>
      <c r="BR1424" t="s">
        <v>111</v>
      </c>
      <c r="BS1424" t="s">
        <v>111</v>
      </c>
      <c r="BT1424" t="s">
        <v>111</v>
      </c>
      <c r="BU1424" t="s">
        <v>111</v>
      </c>
      <c r="BV1424" t="s">
        <v>111</v>
      </c>
      <c r="BW1424" t="s">
        <v>111</v>
      </c>
      <c r="BX1424" t="s">
        <v>111</v>
      </c>
      <c r="BY1424" t="s">
        <v>111</v>
      </c>
      <c r="BZ1424" t="s">
        <v>111</v>
      </c>
      <c r="CA1424" t="s">
        <v>111</v>
      </c>
      <c r="CB1424" t="s">
        <v>111</v>
      </c>
      <c r="CC1424" t="s">
        <v>111</v>
      </c>
      <c r="CD1424" t="s">
        <v>111</v>
      </c>
      <c r="CE1424" t="s">
        <v>111</v>
      </c>
      <c r="CF1424" t="s">
        <v>111</v>
      </c>
      <c r="CG1424" t="s">
        <v>111</v>
      </c>
      <c r="CH1424" t="s">
        <v>111</v>
      </c>
      <c r="CI1424" t="s">
        <v>111</v>
      </c>
      <c r="CJ1424" t="s">
        <v>111</v>
      </c>
      <c r="CK1424" t="s">
        <v>111</v>
      </c>
      <c r="CL1424" t="s">
        <v>153</v>
      </c>
      <c r="CM1424" t="s">
        <v>198</v>
      </c>
      <c r="CN1424" t="s">
        <v>113</v>
      </c>
      <c r="CO1424" t="s">
        <v>111</v>
      </c>
      <c r="CP1424" t="s">
        <v>433</v>
      </c>
      <c r="CQ1424">
        <v>74</v>
      </c>
      <c r="CR1424">
        <v>5000</v>
      </c>
      <c r="CS1424">
        <v>200</v>
      </c>
      <c r="CT1424" t="s">
        <v>168</v>
      </c>
      <c r="CU1424">
        <v>0</v>
      </c>
      <c r="CV1424" t="s">
        <v>111</v>
      </c>
      <c r="CW1424" t="s">
        <v>111</v>
      </c>
      <c r="CX1424" t="s">
        <v>111</v>
      </c>
      <c r="CY1424">
        <v>0</v>
      </c>
      <c r="CZ1424" t="s">
        <v>111</v>
      </c>
      <c r="DA1424" t="s">
        <v>111</v>
      </c>
      <c r="DB1424" t="s">
        <v>111</v>
      </c>
      <c r="DC1424" t="s">
        <v>111</v>
      </c>
    </row>
    <row r="1425" spans="1:107">
      <c r="A1425">
        <v>474</v>
      </c>
      <c r="B1425" t="s">
        <v>162</v>
      </c>
      <c r="C1425" t="s">
        <v>3123</v>
      </c>
      <c r="D1425" t="s">
        <v>3781</v>
      </c>
      <c r="E1425" t="s">
        <v>4024</v>
      </c>
      <c r="F1425" t="s">
        <v>1651</v>
      </c>
      <c r="G1425" t="s">
        <v>24</v>
      </c>
      <c r="H1425">
        <v>1.5</v>
      </c>
      <c r="I1425">
        <v>35</v>
      </c>
      <c r="J1425">
        <v>0</v>
      </c>
      <c r="K1425">
        <v>0</v>
      </c>
      <c r="L1425" t="s">
        <v>112</v>
      </c>
      <c r="M1425" t="s">
        <v>118</v>
      </c>
      <c r="N1425">
        <v>40</v>
      </c>
      <c r="O1425">
        <v>2</v>
      </c>
      <c r="P1425" t="s">
        <v>138</v>
      </c>
      <c r="Q1425">
        <v>35</v>
      </c>
      <c r="R1425">
        <v>0</v>
      </c>
      <c r="S1425">
        <v>0</v>
      </c>
      <c r="T1425">
        <v>0</v>
      </c>
      <c r="U1425" t="s">
        <v>1353</v>
      </c>
      <c r="V1425">
        <v>0</v>
      </c>
      <c r="W1425">
        <v>0</v>
      </c>
      <c r="X1425">
        <v>0</v>
      </c>
      <c r="Y1425">
        <v>25</v>
      </c>
      <c r="Z1425" t="s">
        <v>111</v>
      </c>
      <c r="AA1425">
        <v>0</v>
      </c>
      <c r="AB1425" t="s">
        <v>111</v>
      </c>
      <c r="AC1425">
        <v>0</v>
      </c>
      <c r="AD1425" t="s">
        <v>416</v>
      </c>
      <c r="AE1425">
        <v>0</v>
      </c>
      <c r="AF1425">
        <v>2</v>
      </c>
      <c r="AG1425">
        <v>20</v>
      </c>
      <c r="AH1425" t="s">
        <v>111</v>
      </c>
      <c r="AI1425">
        <v>40</v>
      </c>
      <c r="AJ1425" t="s">
        <v>111</v>
      </c>
      <c r="AK1425" t="s">
        <v>111</v>
      </c>
      <c r="AL1425" t="s">
        <v>111</v>
      </c>
      <c r="AM1425">
        <v>0</v>
      </c>
      <c r="AN1425">
        <v>0</v>
      </c>
      <c r="AO1425">
        <v>0</v>
      </c>
      <c r="AP1425" t="s">
        <v>111</v>
      </c>
      <c r="AQ1425" t="s">
        <v>111</v>
      </c>
      <c r="AR1425" t="s">
        <v>111</v>
      </c>
      <c r="AS1425" t="s">
        <v>111</v>
      </c>
      <c r="AT1425" t="s">
        <v>111</v>
      </c>
      <c r="AU1425" t="s">
        <v>111</v>
      </c>
      <c r="AV1425" t="s">
        <v>111</v>
      </c>
      <c r="AW1425" t="s">
        <v>111</v>
      </c>
      <c r="AX1425" t="s">
        <v>111</v>
      </c>
      <c r="AY1425" t="s">
        <v>111</v>
      </c>
      <c r="AZ1425" t="s">
        <v>111</v>
      </c>
      <c r="BA1425" t="s">
        <v>111</v>
      </c>
      <c r="BB1425" t="s">
        <v>111</v>
      </c>
      <c r="BC1425" t="s">
        <v>111</v>
      </c>
      <c r="BD1425" t="s">
        <v>111</v>
      </c>
      <c r="BE1425" t="s">
        <v>111</v>
      </c>
      <c r="BF1425" t="s">
        <v>111</v>
      </c>
      <c r="BG1425" t="s">
        <v>111</v>
      </c>
      <c r="BH1425" t="s">
        <v>111</v>
      </c>
      <c r="BI1425" t="s">
        <v>111</v>
      </c>
      <c r="BJ1425" t="s">
        <v>111</v>
      </c>
      <c r="BK1425" t="s">
        <v>111</v>
      </c>
      <c r="BL1425" t="s">
        <v>111</v>
      </c>
      <c r="BM1425" t="s">
        <v>111</v>
      </c>
      <c r="BN1425" t="s">
        <v>111</v>
      </c>
      <c r="BO1425" t="s">
        <v>111</v>
      </c>
      <c r="BP1425" t="s">
        <v>111</v>
      </c>
      <c r="BQ1425" t="s">
        <v>111</v>
      </c>
      <c r="BR1425" t="s">
        <v>111</v>
      </c>
      <c r="BS1425" t="s">
        <v>111</v>
      </c>
      <c r="BT1425" t="s">
        <v>111</v>
      </c>
      <c r="BU1425" t="s">
        <v>111</v>
      </c>
      <c r="BV1425" t="s">
        <v>111</v>
      </c>
      <c r="BW1425" t="s">
        <v>111</v>
      </c>
      <c r="BX1425" t="s">
        <v>111</v>
      </c>
      <c r="BY1425" t="s">
        <v>111</v>
      </c>
      <c r="BZ1425" t="s">
        <v>111</v>
      </c>
      <c r="CA1425" t="s">
        <v>111</v>
      </c>
      <c r="CB1425" t="s">
        <v>111</v>
      </c>
      <c r="CC1425" t="s">
        <v>111</v>
      </c>
      <c r="CD1425" t="s">
        <v>111</v>
      </c>
      <c r="CE1425" t="s">
        <v>111</v>
      </c>
      <c r="CF1425" t="s">
        <v>111</v>
      </c>
      <c r="CG1425" t="s">
        <v>111</v>
      </c>
      <c r="CH1425" t="s">
        <v>111</v>
      </c>
      <c r="CI1425" t="s">
        <v>111</v>
      </c>
      <c r="CJ1425" t="s">
        <v>111</v>
      </c>
      <c r="CK1425" t="s">
        <v>111</v>
      </c>
      <c r="CL1425" t="s">
        <v>153</v>
      </c>
      <c r="CM1425" t="s">
        <v>198</v>
      </c>
      <c r="CN1425" t="s">
        <v>113</v>
      </c>
      <c r="CO1425" t="s">
        <v>111</v>
      </c>
      <c r="CP1425" t="s">
        <v>433</v>
      </c>
      <c r="CQ1425">
        <v>0</v>
      </c>
      <c r="CR1425">
        <v>0</v>
      </c>
      <c r="CS1425">
        <v>0</v>
      </c>
      <c r="CT1425" t="s">
        <v>168</v>
      </c>
      <c r="CU1425">
        <v>0</v>
      </c>
      <c r="CV1425" t="s">
        <v>111</v>
      </c>
      <c r="CW1425" t="s">
        <v>111</v>
      </c>
      <c r="CX1425" t="s">
        <v>111</v>
      </c>
      <c r="CY1425">
        <v>0</v>
      </c>
      <c r="CZ1425" t="s">
        <v>111</v>
      </c>
      <c r="DA1425" t="s">
        <v>111</v>
      </c>
      <c r="DB1425" t="s">
        <v>111</v>
      </c>
      <c r="DC1425" t="s">
        <v>111</v>
      </c>
    </row>
    <row r="1426" spans="1:107">
      <c r="A1426">
        <v>354</v>
      </c>
      <c r="B1426" t="s">
        <v>162</v>
      </c>
      <c r="C1426" s="2">
        <v>91226680</v>
      </c>
      <c r="D1426" t="s">
        <v>4025</v>
      </c>
      <c r="E1426" t="s">
        <v>4026</v>
      </c>
      <c r="F1426" t="s">
        <v>110</v>
      </c>
      <c r="G1426" t="s">
        <v>24</v>
      </c>
      <c r="H1426">
        <v>1.3</v>
      </c>
      <c r="I1426">
        <v>30</v>
      </c>
      <c r="J1426">
        <v>0</v>
      </c>
      <c r="K1426">
        <v>0</v>
      </c>
      <c r="L1426" t="s">
        <v>112</v>
      </c>
      <c r="M1426" t="s">
        <v>138</v>
      </c>
      <c r="N1426">
        <v>0</v>
      </c>
      <c r="O1426">
        <v>0</v>
      </c>
      <c r="P1426" t="s">
        <v>138</v>
      </c>
      <c r="Q1426">
        <v>30</v>
      </c>
      <c r="R1426">
        <v>0</v>
      </c>
      <c r="S1426">
        <v>0</v>
      </c>
      <c r="T1426">
        <v>0</v>
      </c>
      <c r="U1426" t="s">
        <v>211</v>
      </c>
      <c r="V1426">
        <v>0</v>
      </c>
      <c r="W1426">
        <v>0</v>
      </c>
      <c r="X1426">
        <v>0</v>
      </c>
      <c r="Y1426">
        <v>25</v>
      </c>
      <c r="Z1426" t="s">
        <v>111</v>
      </c>
      <c r="AA1426">
        <v>0</v>
      </c>
      <c r="AB1426" t="s">
        <v>111</v>
      </c>
      <c r="AC1426">
        <v>0</v>
      </c>
      <c r="AD1426" t="s">
        <v>111</v>
      </c>
      <c r="AE1426">
        <v>0</v>
      </c>
      <c r="AF1426">
        <v>0</v>
      </c>
      <c r="AG1426" t="s">
        <v>111</v>
      </c>
      <c r="AH1426" t="s">
        <v>111</v>
      </c>
      <c r="AI1426" t="s">
        <v>111</v>
      </c>
      <c r="AJ1426" t="s">
        <v>111</v>
      </c>
      <c r="AK1426" t="s">
        <v>111</v>
      </c>
      <c r="AL1426" t="s">
        <v>111</v>
      </c>
      <c r="AM1426">
        <v>0</v>
      </c>
      <c r="AN1426">
        <v>0</v>
      </c>
      <c r="AO1426">
        <v>0</v>
      </c>
      <c r="AP1426" t="s">
        <v>111</v>
      </c>
      <c r="AQ1426" t="s">
        <v>111</v>
      </c>
      <c r="AR1426" t="s">
        <v>111</v>
      </c>
      <c r="AS1426" t="s">
        <v>111</v>
      </c>
      <c r="AT1426" t="s">
        <v>111</v>
      </c>
      <c r="AU1426" t="s">
        <v>111</v>
      </c>
      <c r="AV1426" t="s">
        <v>111</v>
      </c>
      <c r="AW1426" t="s">
        <v>111</v>
      </c>
      <c r="AX1426" t="s">
        <v>111</v>
      </c>
      <c r="AY1426" t="s">
        <v>111</v>
      </c>
      <c r="AZ1426" t="s">
        <v>111</v>
      </c>
      <c r="BA1426" t="s">
        <v>111</v>
      </c>
      <c r="BB1426" t="s">
        <v>111</v>
      </c>
      <c r="BC1426" t="s">
        <v>111</v>
      </c>
      <c r="BD1426" t="s">
        <v>111</v>
      </c>
      <c r="BE1426" t="s">
        <v>111</v>
      </c>
      <c r="BF1426" t="s">
        <v>111</v>
      </c>
      <c r="BG1426" t="s">
        <v>111</v>
      </c>
      <c r="BH1426" t="s">
        <v>111</v>
      </c>
      <c r="BI1426" t="s">
        <v>111</v>
      </c>
      <c r="BJ1426" t="s">
        <v>111</v>
      </c>
      <c r="BK1426" t="s">
        <v>111</v>
      </c>
      <c r="BL1426" t="s">
        <v>111</v>
      </c>
      <c r="BM1426" t="s">
        <v>111</v>
      </c>
      <c r="BN1426" t="s">
        <v>111</v>
      </c>
      <c r="BO1426" t="s">
        <v>111</v>
      </c>
      <c r="BP1426" t="s">
        <v>111</v>
      </c>
      <c r="BQ1426" t="s">
        <v>111</v>
      </c>
      <c r="BR1426" t="s">
        <v>111</v>
      </c>
      <c r="BS1426" t="s">
        <v>111</v>
      </c>
      <c r="BT1426" t="s">
        <v>111</v>
      </c>
      <c r="BU1426" t="s">
        <v>111</v>
      </c>
      <c r="BV1426" t="s">
        <v>111</v>
      </c>
      <c r="BW1426" t="s">
        <v>111</v>
      </c>
      <c r="BX1426" t="s">
        <v>111</v>
      </c>
      <c r="BY1426" t="s">
        <v>111</v>
      </c>
      <c r="BZ1426" t="s">
        <v>111</v>
      </c>
      <c r="CA1426" t="s">
        <v>111</v>
      </c>
      <c r="CB1426" t="s">
        <v>111</v>
      </c>
      <c r="CC1426" t="s">
        <v>111</v>
      </c>
      <c r="CD1426" t="s">
        <v>111</v>
      </c>
      <c r="CE1426" t="s">
        <v>111</v>
      </c>
      <c r="CF1426" t="s">
        <v>111</v>
      </c>
      <c r="CG1426" t="s">
        <v>111</v>
      </c>
      <c r="CH1426" t="s">
        <v>111</v>
      </c>
      <c r="CI1426" t="s">
        <v>111</v>
      </c>
      <c r="CJ1426" t="s">
        <v>111</v>
      </c>
      <c r="CK1426" t="s">
        <v>111</v>
      </c>
      <c r="CL1426" t="s">
        <v>111</v>
      </c>
      <c r="CM1426" t="s">
        <v>111</v>
      </c>
      <c r="CN1426" t="s">
        <v>111</v>
      </c>
      <c r="CO1426" t="s">
        <v>111</v>
      </c>
      <c r="CP1426" t="s">
        <v>111</v>
      </c>
      <c r="CQ1426">
        <v>0</v>
      </c>
      <c r="CR1426">
        <v>0</v>
      </c>
      <c r="CS1426">
        <v>0</v>
      </c>
      <c r="CT1426" t="s">
        <v>111</v>
      </c>
      <c r="CU1426">
        <v>0</v>
      </c>
      <c r="CV1426" t="s">
        <v>111</v>
      </c>
      <c r="CW1426" t="s">
        <v>111</v>
      </c>
      <c r="CX1426" t="s">
        <v>111</v>
      </c>
      <c r="CY1426">
        <v>0</v>
      </c>
      <c r="CZ1426" t="s">
        <v>111</v>
      </c>
      <c r="DA1426" t="s">
        <v>111</v>
      </c>
      <c r="DB1426" t="s">
        <v>111</v>
      </c>
      <c r="DC1426" t="s">
        <v>111</v>
      </c>
    </row>
    <row r="1427" spans="1:107">
      <c r="A1427">
        <v>196</v>
      </c>
      <c r="B1427" t="s">
        <v>162</v>
      </c>
      <c r="C1427" s="2">
        <v>91226680</v>
      </c>
      <c r="D1427" t="s">
        <v>4027</v>
      </c>
      <c r="E1427" t="s">
        <v>4028</v>
      </c>
      <c r="F1427" t="s">
        <v>110</v>
      </c>
      <c r="G1427" t="s">
        <v>24</v>
      </c>
      <c r="H1427">
        <v>1</v>
      </c>
      <c r="I1427">
        <v>15</v>
      </c>
      <c r="J1427">
        <v>0</v>
      </c>
      <c r="K1427">
        <v>0</v>
      </c>
      <c r="L1427" t="s">
        <v>178</v>
      </c>
      <c r="M1427" t="s">
        <v>138</v>
      </c>
      <c r="N1427">
        <v>0</v>
      </c>
      <c r="O1427">
        <v>0</v>
      </c>
      <c r="P1427" t="s">
        <v>138</v>
      </c>
      <c r="Q1427">
        <v>12.5</v>
      </c>
      <c r="R1427">
        <v>0</v>
      </c>
      <c r="S1427">
        <v>0</v>
      </c>
      <c r="T1427">
        <v>0</v>
      </c>
      <c r="U1427" s="1" t="s">
        <v>4029</v>
      </c>
      <c r="V1427">
        <v>0</v>
      </c>
      <c r="W1427">
        <v>0</v>
      </c>
      <c r="X1427">
        <v>0</v>
      </c>
      <c r="Y1427">
        <v>25</v>
      </c>
      <c r="Z1427" t="s">
        <v>111</v>
      </c>
      <c r="AA1427">
        <v>0</v>
      </c>
      <c r="AB1427" t="s">
        <v>111</v>
      </c>
      <c r="AC1427">
        <v>0</v>
      </c>
      <c r="AD1427" t="s">
        <v>111</v>
      </c>
      <c r="AE1427">
        <v>0</v>
      </c>
      <c r="AF1427">
        <v>0</v>
      </c>
      <c r="AG1427" t="s">
        <v>111</v>
      </c>
      <c r="AH1427" t="s">
        <v>111</v>
      </c>
      <c r="AI1427" t="s">
        <v>111</v>
      </c>
      <c r="AJ1427" t="s">
        <v>111</v>
      </c>
      <c r="AK1427" t="s">
        <v>111</v>
      </c>
      <c r="AL1427" t="s">
        <v>111</v>
      </c>
      <c r="AM1427">
        <v>0</v>
      </c>
      <c r="AN1427">
        <v>0</v>
      </c>
      <c r="AO1427">
        <v>0</v>
      </c>
      <c r="AP1427" t="s">
        <v>111</v>
      </c>
      <c r="AQ1427" t="s">
        <v>111</v>
      </c>
      <c r="AR1427" t="s">
        <v>111</v>
      </c>
      <c r="AS1427" t="s">
        <v>111</v>
      </c>
      <c r="AT1427" t="s">
        <v>111</v>
      </c>
      <c r="AU1427" t="s">
        <v>111</v>
      </c>
      <c r="AV1427" t="s">
        <v>111</v>
      </c>
      <c r="AW1427" t="s">
        <v>111</v>
      </c>
      <c r="AX1427" t="s">
        <v>111</v>
      </c>
      <c r="AY1427" t="s">
        <v>111</v>
      </c>
      <c r="AZ1427" t="s">
        <v>111</v>
      </c>
      <c r="BA1427" t="s">
        <v>111</v>
      </c>
      <c r="BB1427" t="s">
        <v>111</v>
      </c>
      <c r="BC1427" t="s">
        <v>111</v>
      </c>
      <c r="BD1427" t="s">
        <v>111</v>
      </c>
      <c r="BE1427" t="s">
        <v>111</v>
      </c>
      <c r="BF1427" t="s">
        <v>111</v>
      </c>
      <c r="BG1427" t="s">
        <v>111</v>
      </c>
      <c r="BH1427" t="s">
        <v>111</v>
      </c>
      <c r="BI1427" t="s">
        <v>111</v>
      </c>
      <c r="BJ1427" t="s">
        <v>111</v>
      </c>
      <c r="BK1427" t="s">
        <v>111</v>
      </c>
      <c r="BL1427" t="s">
        <v>111</v>
      </c>
      <c r="BM1427" t="s">
        <v>111</v>
      </c>
      <c r="BN1427" t="s">
        <v>111</v>
      </c>
      <c r="BO1427" t="s">
        <v>111</v>
      </c>
      <c r="BP1427" t="s">
        <v>111</v>
      </c>
      <c r="BQ1427" t="s">
        <v>111</v>
      </c>
      <c r="BR1427" t="s">
        <v>111</v>
      </c>
      <c r="BS1427" t="s">
        <v>111</v>
      </c>
      <c r="BT1427" t="s">
        <v>111</v>
      </c>
      <c r="BU1427" t="s">
        <v>111</v>
      </c>
      <c r="BV1427" t="s">
        <v>111</v>
      </c>
      <c r="BW1427" t="s">
        <v>111</v>
      </c>
      <c r="BX1427" t="s">
        <v>111</v>
      </c>
      <c r="BY1427" t="s">
        <v>111</v>
      </c>
      <c r="BZ1427" t="s">
        <v>111</v>
      </c>
      <c r="CA1427" t="s">
        <v>111</v>
      </c>
      <c r="CB1427" t="s">
        <v>111</v>
      </c>
      <c r="CC1427" t="s">
        <v>111</v>
      </c>
      <c r="CD1427" t="s">
        <v>111</v>
      </c>
      <c r="CE1427" t="s">
        <v>111</v>
      </c>
      <c r="CF1427" t="s">
        <v>111</v>
      </c>
      <c r="CG1427" t="s">
        <v>111</v>
      </c>
      <c r="CH1427" t="s">
        <v>111</v>
      </c>
      <c r="CI1427" t="s">
        <v>111</v>
      </c>
      <c r="CJ1427" t="s">
        <v>111</v>
      </c>
      <c r="CK1427" t="s">
        <v>111</v>
      </c>
      <c r="CL1427" t="s">
        <v>111</v>
      </c>
      <c r="CM1427" t="s">
        <v>111</v>
      </c>
      <c r="CN1427" t="s">
        <v>111</v>
      </c>
      <c r="CO1427" t="s">
        <v>111</v>
      </c>
      <c r="CP1427" t="s">
        <v>111</v>
      </c>
      <c r="CQ1427">
        <v>0</v>
      </c>
      <c r="CR1427">
        <v>0</v>
      </c>
      <c r="CS1427">
        <v>0</v>
      </c>
      <c r="CT1427" t="s">
        <v>111</v>
      </c>
      <c r="CU1427">
        <v>0</v>
      </c>
      <c r="CV1427" t="s">
        <v>111</v>
      </c>
      <c r="CW1427" t="s">
        <v>111</v>
      </c>
      <c r="CX1427" t="s">
        <v>111</v>
      </c>
      <c r="CY1427">
        <v>0</v>
      </c>
      <c r="CZ1427" t="s">
        <v>111</v>
      </c>
      <c r="DA1427" t="s">
        <v>111</v>
      </c>
      <c r="DB1427" t="s">
        <v>111</v>
      </c>
      <c r="DC1427" t="s">
        <v>111</v>
      </c>
    </row>
    <row r="1428" spans="1:107">
      <c r="A1428">
        <v>272</v>
      </c>
      <c r="B1428" t="s">
        <v>162</v>
      </c>
      <c r="C1428" t="s">
        <v>3123</v>
      </c>
      <c r="D1428" t="s">
        <v>3781</v>
      </c>
      <c r="E1428" t="s">
        <v>4030</v>
      </c>
      <c r="F1428" t="s">
        <v>1651</v>
      </c>
      <c r="G1428" t="s">
        <v>24</v>
      </c>
      <c r="H1428">
        <v>1.5</v>
      </c>
      <c r="I1428">
        <v>35</v>
      </c>
      <c r="J1428">
        <v>0</v>
      </c>
      <c r="K1428">
        <v>0</v>
      </c>
      <c r="L1428" t="s">
        <v>112</v>
      </c>
      <c r="M1428" t="s">
        <v>118</v>
      </c>
      <c r="N1428">
        <v>40</v>
      </c>
      <c r="O1428">
        <v>2</v>
      </c>
      <c r="P1428" t="s">
        <v>138</v>
      </c>
      <c r="Q1428">
        <v>35</v>
      </c>
      <c r="R1428">
        <v>0</v>
      </c>
      <c r="S1428">
        <v>0</v>
      </c>
      <c r="T1428">
        <v>0</v>
      </c>
      <c r="U1428" t="s">
        <v>1353</v>
      </c>
      <c r="V1428">
        <v>0</v>
      </c>
      <c r="W1428">
        <v>0</v>
      </c>
      <c r="X1428">
        <v>0</v>
      </c>
      <c r="Y1428">
        <v>25</v>
      </c>
      <c r="Z1428" t="s">
        <v>111</v>
      </c>
      <c r="AA1428">
        <v>0</v>
      </c>
      <c r="AB1428" t="s">
        <v>111</v>
      </c>
      <c r="AC1428">
        <v>0</v>
      </c>
      <c r="AD1428" t="s">
        <v>416</v>
      </c>
      <c r="AE1428">
        <v>0</v>
      </c>
      <c r="AF1428">
        <v>2</v>
      </c>
      <c r="AG1428">
        <v>20</v>
      </c>
      <c r="AH1428" t="s">
        <v>111</v>
      </c>
      <c r="AI1428">
        <v>40</v>
      </c>
      <c r="AJ1428" t="s">
        <v>111</v>
      </c>
      <c r="AK1428" t="s">
        <v>111</v>
      </c>
      <c r="AL1428" t="s">
        <v>111</v>
      </c>
      <c r="AM1428">
        <v>0</v>
      </c>
      <c r="AN1428">
        <v>0</v>
      </c>
      <c r="AO1428">
        <v>0</v>
      </c>
      <c r="AP1428" t="s">
        <v>111</v>
      </c>
      <c r="AQ1428" t="s">
        <v>111</v>
      </c>
      <c r="AR1428" t="s">
        <v>111</v>
      </c>
      <c r="AS1428" t="s">
        <v>111</v>
      </c>
      <c r="AT1428" t="s">
        <v>111</v>
      </c>
      <c r="AU1428" t="s">
        <v>111</v>
      </c>
      <c r="AV1428" t="s">
        <v>111</v>
      </c>
      <c r="AW1428" t="s">
        <v>111</v>
      </c>
      <c r="AX1428" t="s">
        <v>111</v>
      </c>
      <c r="AY1428" t="s">
        <v>111</v>
      </c>
      <c r="AZ1428" t="s">
        <v>111</v>
      </c>
      <c r="BA1428" t="s">
        <v>111</v>
      </c>
      <c r="BB1428" t="s">
        <v>111</v>
      </c>
      <c r="BC1428" t="s">
        <v>111</v>
      </c>
      <c r="BD1428" t="s">
        <v>111</v>
      </c>
      <c r="BE1428" t="s">
        <v>111</v>
      </c>
      <c r="BF1428" t="s">
        <v>111</v>
      </c>
      <c r="BG1428" t="s">
        <v>111</v>
      </c>
      <c r="BH1428" t="s">
        <v>111</v>
      </c>
      <c r="BI1428" t="s">
        <v>111</v>
      </c>
      <c r="BJ1428" t="s">
        <v>111</v>
      </c>
      <c r="BK1428" t="s">
        <v>111</v>
      </c>
      <c r="BL1428" t="s">
        <v>111</v>
      </c>
      <c r="BM1428" t="s">
        <v>111</v>
      </c>
      <c r="BN1428" t="s">
        <v>111</v>
      </c>
      <c r="BO1428" t="s">
        <v>111</v>
      </c>
      <c r="BP1428" t="s">
        <v>111</v>
      </c>
      <c r="BQ1428" t="s">
        <v>111</v>
      </c>
      <c r="BR1428" t="s">
        <v>111</v>
      </c>
      <c r="BS1428" t="s">
        <v>111</v>
      </c>
      <c r="BT1428" t="s">
        <v>111</v>
      </c>
      <c r="BU1428" t="s">
        <v>111</v>
      </c>
      <c r="BV1428" t="s">
        <v>111</v>
      </c>
      <c r="BW1428" t="s">
        <v>111</v>
      </c>
      <c r="BX1428" t="s">
        <v>111</v>
      </c>
      <c r="BY1428" t="s">
        <v>111</v>
      </c>
      <c r="BZ1428" t="s">
        <v>111</v>
      </c>
      <c r="CA1428" t="s">
        <v>111</v>
      </c>
      <c r="CB1428" t="s">
        <v>111</v>
      </c>
      <c r="CC1428" t="s">
        <v>111</v>
      </c>
      <c r="CD1428" t="s">
        <v>111</v>
      </c>
      <c r="CE1428" t="s">
        <v>111</v>
      </c>
      <c r="CF1428" t="s">
        <v>111</v>
      </c>
      <c r="CG1428" t="s">
        <v>111</v>
      </c>
      <c r="CH1428" t="s">
        <v>111</v>
      </c>
      <c r="CI1428" t="s">
        <v>111</v>
      </c>
      <c r="CJ1428" t="s">
        <v>111</v>
      </c>
      <c r="CK1428" t="s">
        <v>111</v>
      </c>
      <c r="CL1428" t="s">
        <v>153</v>
      </c>
      <c r="CM1428" t="s">
        <v>198</v>
      </c>
      <c r="CN1428" t="s">
        <v>113</v>
      </c>
      <c r="CO1428" t="s">
        <v>111</v>
      </c>
      <c r="CP1428" t="s">
        <v>433</v>
      </c>
      <c r="CQ1428">
        <v>0</v>
      </c>
      <c r="CR1428">
        <v>0</v>
      </c>
      <c r="CS1428">
        <v>0</v>
      </c>
      <c r="CT1428" t="s">
        <v>168</v>
      </c>
      <c r="CU1428">
        <v>0</v>
      </c>
      <c r="CV1428" t="s">
        <v>111</v>
      </c>
      <c r="CW1428" t="s">
        <v>111</v>
      </c>
      <c r="CX1428" t="s">
        <v>111</v>
      </c>
      <c r="CY1428">
        <v>0</v>
      </c>
      <c r="CZ1428" t="s">
        <v>111</v>
      </c>
      <c r="DA1428" t="s">
        <v>111</v>
      </c>
      <c r="DB1428" t="s">
        <v>111</v>
      </c>
      <c r="DC1428" t="s">
        <v>111</v>
      </c>
    </row>
    <row r="1429" spans="1:107">
      <c r="A1429">
        <v>299</v>
      </c>
      <c r="B1429" t="s">
        <v>162</v>
      </c>
      <c r="C1429" t="s">
        <v>3916</v>
      </c>
      <c r="D1429" t="s">
        <v>4031</v>
      </c>
      <c r="E1429" t="s">
        <v>4032</v>
      </c>
      <c r="F1429" t="s">
        <v>110</v>
      </c>
      <c r="G1429" t="s">
        <v>24</v>
      </c>
      <c r="H1429">
        <v>1</v>
      </c>
      <c r="I1429">
        <v>25</v>
      </c>
      <c r="J1429">
        <v>0</v>
      </c>
      <c r="K1429">
        <v>0</v>
      </c>
      <c r="L1429" t="s">
        <v>112</v>
      </c>
      <c r="M1429" t="s">
        <v>138</v>
      </c>
      <c r="N1429">
        <v>0</v>
      </c>
      <c r="O1429">
        <v>0</v>
      </c>
      <c r="P1429" t="s">
        <v>138</v>
      </c>
      <c r="Q1429">
        <v>35</v>
      </c>
      <c r="R1429">
        <v>0</v>
      </c>
      <c r="S1429">
        <v>0</v>
      </c>
      <c r="T1429">
        <v>0</v>
      </c>
      <c r="U1429" s="1" t="s">
        <v>3780</v>
      </c>
      <c r="V1429">
        <v>0</v>
      </c>
      <c r="W1429">
        <v>0</v>
      </c>
      <c r="X1429">
        <v>0</v>
      </c>
      <c r="Y1429">
        <v>25</v>
      </c>
      <c r="Z1429" t="s">
        <v>111</v>
      </c>
      <c r="AA1429">
        <v>0</v>
      </c>
      <c r="AB1429" t="s">
        <v>111</v>
      </c>
      <c r="AC1429">
        <v>0</v>
      </c>
      <c r="AD1429" t="s">
        <v>111</v>
      </c>
      <c r="AE1429">
        <v>0</v>
      </c>
      <c r="AF1429">
        <v>0</v>
      </c>
      <c r="AG1429" t="s">
        <v>111</v>
      </c>
      <c r="AH1429" t="s">
        <v>111</v>
      </c>
      <c r="AI1429" t="s">
        <v>111</v>
      </c>
      <c r="AJ1429" t="s">
        <v>111</v>
      </c>
      <c r="AK1429" t="s">
        <v>111</v>
      </c>
      <c r="AL1429" t="s">
        <v>111</v>
      </c>
      <c r="AM1429">
        <v>0</v>
      </c>
      <c r="AN1429">
        <v>0</v>
      </c>
      <c r="AO1429">
        <v>0</v>
      </c>
      <c r="AP1429" t="s">
        <v>111</v>
      </c>
      <c r="AQ1429" t="s">
        <v>111</v>
      </c>
      <c r="AR1429" t="s">
        <v>111</v>
      </c>
      <c r="AS1429" t="s">
        <v>111</v>
      </c>
      <c r="AT1429" t="s">
        <v>111</v>
      </c>
      <c r="AU1429" t="s">
        <v>111</v>
      </c>
      <c r="AV1429" t="s">
        <v>111</v>
      </c>
      <c r="AW1429" t="s">
        <v>111</v>
      </c>
      <c r="AX1429" t="s">
        <v>111</v>
      </c>
      <c r="AY1429" t="s">
        <v>111</v>
      </c>
      <c r="AZ1429" t="s">
        <v>111</v>
      </c>
      <c r="BA1429" t="s">
        <v>111</v>
      </c>
      <c r="BB1429" t="s">
        <v>111</v>
      </c>
      <c r="BC1429" t="s">
        <v>111</v>
      </c>
      <c r="BD1429" t="s">
        <v>111</v>
      </c>
      <c r="BE1429" t="s">
        <v>111</v>
      </c>
      <c r="BF1429" t="s">
        <v>111</v>
      </c>
      <c r="BG1429" t="s">
        <v>111</v>
      </c>
      <c r="BH1429" t="s">
        <v>111</v>
      </c>
      <c r="BI1429" t="s">
        <v>111</v>
      </c>
      <c r="BJ1429" t="s">
        <v>111</v>
      </c>
      <c r="BK1429" t="s">
        <v>111</v>
      </c>
      <c r="BL1429" t="s">
        <v>111</v>
      </c>
      <c r="BM1429" t="s">
        <v>111</v>
      </c>
      <c r="BN1429" t="s">
        <v>111</v>
      </c>
      <c r="BO1429" t="s">
        <v>111</v>
      </c>
      <c r="BP1429" t="s">
        <v>111</v>
      </c>
      <c r="BQ1429" t="s">
        <v>111</v>
      </c>
      <c r="BR1429" t="s">
        <v>111</v>
      </c>
      <c r="BS1429" t="s">
        <v>111</v>
      </c>
      <c r="BT1429" t="s">
        <v>111</v>
      </c>
      <c r="BU1429" t="s">
        <v>111</v>
      </c>
      <c r="BV1429" t="s">
        <v>111</v>
      </c>
      <c r="BW1429" t="s">
        <v>111</v>
      </c>
      <c r="BX1429" t="s">
        <v>111</v>
      </c>
      <c r="BY1429" t="s">
        <v>111</v>
      </c>
      <c r="BZ1429" t="s">
        <v>111</v>
      </c>
      <c r="CA1429" t="s">
        <v>111</v>
      </c>
      <c r="CB1429" t="s">
        <v>111</v>
      </c>
      <c r="CC1429" t="s">
        <v>111</v>
      </c>
      <c r="CD1429" t="s">
        <v>111</v>
      </c>
      <c r="CE1429" t="s">
        <v>111</v>
      </c>
      <c r="CF1429" t="s">
        <v>111</v>
      </c>
      <c r="CG1429" t="s">
        <v>111</v>
      </c>
      <c r="CH1429" t="s">
        <v>111</v>
      </c>
      <c r="CI1429" t="s">
        <v>111</v>
      </c>
      <c r="CJ1429" t="s">
        <v>111</v>
      </c>
      <c r="CK1429" t="s">
        <v>111</v>
      </c>
      <c r="CL1429" t="s">
        <v>111</v>
      </c>
      <c r="CM1429" t="s">
        <v>111</v>
      </c>
      <c r="CN1429" t="s">
        <v>111</v>
      </c>
      <c r="CO1429" t="s">
        <v>111</v>
      </c>
      <c r="CP1429" t="s">
        <v>111</v>
      </c>
      <c r="CQ1429">
        <v>0</v>
      </c>
      <c r="CR1429">
        <v>0</v>
      </c>
      <c r="CS1429">
        <v>0</v>
      </c>
      <c r="CT1429" t="s">
        <v>111</v>
      </c>
      <c r="CU1429">
        <v>0</v>
      </c>
      <c r="CV1429" t="s">
        <v>111</v>
      </c>
      <c r="CW1429" t="s">
        <v>111</v>
      </c>
      <c r="CX1429" t="s">
        <v>111</v>
      </c>
      <c r="CY1429">
        <v>0</v>
      </c>
      <c r="CZ1429" t="s">
        <v>111</v>
      </c>
      <c r="DA1429" t="s">
        <v>111</v>
      </c>
      <c r="DB1429" t="s">
        <v>111</v>
      </c>
      <c r="DC1429" t="s">
        <v>111</v>
      </c>
    </row>
    <row r="1430" spans="1:107">
      <c r="A1430">
        <v>270</v>
      </c>
      <c r="B1430" t="s">
        <v>162</v>
      </c>
      <c r="C1430" t="s">
        <v>3123</v>
      </c>
      <c r="D1430" t="s">
        <v>3781</v>
      </c>
      <c r="E1430" t="s">
        <v>3508</v>
      </c>
      <c r="F1430" t="s">
        <v>1651</v>
      </c>
      <c r="G1430" t="s">
        <v>24</v>
      </c>
      <c r="H1430">
        <v>1.5</v>
      </c>
      <c r="I1430">
        <v>35</v>
      </c>
      <c r="J1430">
        <v>0</v>
      </c>
      <c r="K1430">
        <v>0</v>
      </c>
      <c r="L1430" t="s">
        <v>112</v>
      </c>
      <c r="M1430" t="s">
        <v>118</v>
      </c>
      <c r="N1430">
        <v>40</v>
      </c>
      <c r="O1430">
        <v>2</v>
      </c>
      <c r="P1430" t="s">
        <v>138</v>
      </c>
      <c r="Q1430">
        <v>35</v>
      </c>
      <c r="R1430">
        <v>0</v>
      </c>
      <c r="S1430">
        <v>0</v>
      </c>
      <c r="T1430">
        <v>0</v>
      </c>
      <c r="U1430" t="s">
        <v>1353</v>
      </c>
      <c r="V1430">
        <v>0</v>
      </c>
      <c r="W1430">
        <v>0</v>
      </c>
      <c r="X1430">
        <v>0</v>
      </c>
      <c r="Y1430">
        <v>25</v>
      </c>
      <c r="Z1430" t="s">
        <v>111</v>
      </c>
      <c r="AA1430">
        <v>0</v>
      </c>
      <c r="AB1430" t="s">
        <v>111</v>
      </c>
      <c r="AC1430">
        <v>0</v>
      </c>
      <c r="AD1430" t="s">
        <v>416</v>
      </c>
      <c r="AE1430">
        <v>0</v>
      </c>
      <c r="AF1430">
        <v>2</v>
      </c>
      <c r="AG1430">
        <v>20</v>
      </c>
      <c r="AH1430" t="s">
        <v>111</v>
      </c>
      <c r="AI1430">
        <v>40</v>
      </c>
      <c r="AJ1430" t="s">
        <v>111</v>
      </c>
      <c r="AK1430" t="s">
        <v>111</v>
      </c>
      <c r="AL1430" t="s">
        <v>111</v>
      </c>
      <c r="AM1430">
        <v>0</v>
      </c>
      <c r="AN1430">
        <v>0</v>
      </c>
      <c r="AO1430">
        <v>0</v>
      </c>
      <c r="AP1430" t="s">
        <v>111</v>
      </c>
      <c r="AQ1430" t="s">
        <v>111</v>
      </c>
      <c r="AR1430" t="s">
        <v>111</v>
      </c>
      <c r="AS1430" t="s">
        <v>111</v>
      </c>
      <c r="AT1430" t="s">
        <v>111</v>
      </c>
      <c r="AU1430" t="s">
        <v>111</v>
      </c>
      <c r="AV1430" t="s">
        <v>111</v>
      </c>
      <c r="AW1430" t="s">
        <v>111</v>
      </c>
      <c r="AX1430" t="s">
        <v>111</v>
      </c>
      <c r="AY1430" t="s">
        <v>111</v>
      </c>
      <c r="AZ1430" t="s">
        <v>111</v>
      </c>
      <c r="BA1430" t="s">
        <v>111</v>
      </c>
      <c r="BB1430" t="s">
        <v>111</v>
      </c>
      <c r="BC1430" t="s">
        <v>111</v>
      </c>
      <c r="BD1430" t="s">
        <v>111</v>
      </c>
      <c r="BE1430" t="s">
        <v>111</v>
      </c>
      <c r="BF1430" t="s">
        <v>111</v>
      </c>
      <c r="BG1430" t="s">
        <v>111</v>
      </c>
      <c r="BH1430" t="s">
        <v>111</v>
      </c>
      <c r="BI1430" t="s">
        <v>111</v>
      </c>
      <c r="BJ1430" t="s">
        <v>111</v>
      </c>
      <c r="BK1430" t="s">
        <v>111</v>
      </c>
      <c r="BL1430" t="s">
        <v>111</v>
      </c>
      <c r="BM1430" t="s">
        <v>111</v>
      </c>
      <c r="BN1430" t="s">
        <v>111</v>
      </c>
      <c r="BO1430" t="s">
        <v>111</v>
      </c>
      <c r="BP1430" t="s">
        <v>111</v>
      </c>
      <c r="BQ1430" t="s">
        <v>111</v>
      </c>
      <c r="BR1430" t="s">
        <v>111</v>
      </c>
      <c r="BS1430" t="s">
        <v>111</v>
      </c>
      <c r="BT1430" t="s">
        <v>111</v>
      </c>
      <c r="BU1430" t="s">
        <v>111</v>
      </c>
      <c r="BV1430" t="s">
        <v>111</v>
      </c>
      <c r="BW1430" t="s">
        <v>111</v>
      </c>
      <c r="BX1430" t="s">
        <v>111</v>
      </c>
      <c r="BY1430" t="s">
        <v>111</v>
      </c>
      <c r="BZ1430" t="s">
        <v>111</v>
      </c>
      <c r="CA1430" t="s">
        <v>111</v>
      </c>
      <c r="CB1430" t="s">
        <v>111</v>
      </c>
      <c r="CC1430" t="s">
        <v>111</v>
      </c>
      <c r="CD1430" t="s">
        <v>111</v>
      </c>
      <c r="CE1430" t="s">
        <v>111</v>
      </c>
      <c r="CF1430" t="s">
        <v>111</v>
      </c>
      <c r="CG1430" t="s">
        <v>111</v>
      </c>
      <c r="CH1430" t="s">
        <v>111</v>
      </c>
      <c r="CI1430" t="s">
        <v>111</v>
      </c>
      <c r="CJ1430" t="s">
        <v>111</v>
      </c>
      <c r="CK1430" t="s">
        <v>111</v>
      </c>
      <c r="CL1430" t="s">
        <v>153</v>
      </c>
      <c r="CM1430" t="s">
        <v>198</v>
      </c>
      <c r="CN1430" t="s">
        <v>113</v>
      </c>
      <c r="CO1430" t="s">
        <v>111</v>
      </c>
      <c r="CP1430" t="s">
        <v>433</v>
      </c>
      <c r="CQ1430">
        <v>0</v>
      </c>
      <c r="CR1430">
        <v>0</v>
      </c>
      <c r="CS1430">
        <v>0</v>
      </c>
      <c r="CT1430" t="s">
        <v>168</v>
      </c>
      <c r="CU1430">
        <v>0</v>
      </c>
      <c r="CV1430" t="s">
        <v>111</v>
      </c>
      <c r="CW1430" t="s">
        <v>111</v>
      </c>
      <c r="CX1430" t="s">
        <v>111</v>
      </c>
      <c r="CY1430">
        <v>0</v>
      </c>
      <c r="CZ1430" t="s">
        <v>111</v>
      </c>
      <c r="DA1430" t="s">
        <v>111</v>
      </c>
      <c r="DB1430" t="s">
        <v>111</v>
      </c>
      <c r="DC1430" t="s">
        <v>111</v>
      </c>
    </row>
    <row r="1431" spans="1:107">
      <c r="A1431">
        <v>446</v>
      </c>
      <c r="B1431" t="s">
        <v>162</v>
      </c>
      <c r="C1431" t="s">
        <v>1106</v>
      </c>
      <c r="D1431" t="s">
        <v>3936</v>
      </c>
      <c r="E1431" t="s">
        <v>4033</v>
      </c>
      <c r="F1431" t="s">
        <v>1651</v>
      </c>
      <c r="G1431" t="s">
        <v>24</v>
      </c>
      <c r="H1431">
        <v>1.4</v>
      </c>
      <c r="I1431">
        <v>30</v>
      </c>
      <c r="J1431">
        <v>0</v>
      </c>
      <c r="K1431">
        <v>0</v>
      </c>
      <c r="L1431" t="s">
        <v>112</v>
      </c>
      <c r="M1431" t="s">
        <v>118</v>
      </c>
      <c r="N1431">
        <v>40</v>
      </c>
      <c r="O1431">
        <v>1</v>
      </c>
      <c r="P1431" t="s">
        <v>138</v>
      </c>
      <c r="Q1431">
        <v>35</v>
      </c>
      <c r="R1431">
        <v>0</v>
      </c>
      <c r="S1431">
        <v>0</v>
      </c>
      <c r="T1431">
        <v>0</v>
      </c>
      <c r="U1431" s="1" t="s">
        <v>4034</v>
      </c>
      <c r="V1431">
        <v>0</v>
      </c>
      <c r="W1431">
        <v>0</v>
      </c>
      <c r="X1431">
        <v>0</v>
      </c>
      <c r="Y1431">
        <v>25</v>
      </c>
      <c r="Z1431" t="s">
        <v>111</v>
      </c>
      <c r="AA1431">
        <v>0</v>
      </c>
      <c r="AB1431" t="s">
        <v>111</v>
      </c>
      <c r="AC1431">
        <v>0</v>
      </c>
      <c r="AD1431" t="s">
        <v>416</v>
      </c>
      <c r="AE1431">
        <v>0</v>
      </c>
      <c r="AF1431">
        <v>1</v>
      </c>
      <c r="AG1431">
        <v>20</v>
      </c>
      <c r="AH1431" t="s">
        <v>111</v>
      </c>
      <c r="AI1431">
        <v>40</v>
      </c>
      <c r="AJ1431" t="s">
        <v>111</v>
      </c>
      <c r="AK1431" t="s">
        <v>111</v>
      </c>
      <c r="AL1431" t="s">
        <v>111</v>
      </c>
      <c r="AM1431">
        <v>0</v>
      </c>
      <c r="AN1431">
        <v>0</v>
      </c>
      <c r="AO1431">
        <v>0</v>
      </c>
      <c r="AP1431" t="s">
        <v>111</v>
      </c>
      <c r="AQ1431" t="s">
        <v>111</v>
      </c>
      <c r="AR1431" t="s">
        <v>111</v>
      </c>
      <c r="AS1431" t="s">
        <v>111</v>
      </c>
      <c r="AT1431" t="s">
        <v>259</v>
      </c>
      <c r="AU1431" t="s">
        <v>111</v>
      </c>
      <c r="AV1431" t="s">
        <v>111</v>
      </c>
      <c r="AW1431" t="s">
        <v>111</v>
      </c>
      <c r="AX1431" t="s">
        <v>1091</v>
      </c>
      <c r="AY1431" t="s">
        <v>111</v>
      </c>
      <c r="AZ1431" t="s">
        <v>111</v>
      </c>
      <c r="BA1431" t="s">
        <v>111</v>
      </c>
      <c r="BB1431" t="s">
        <v>111</v>
      </c>
      <c r="BC1431" t="s">
        <v>111</v>
      </c>
      <c r="BD1431" t="s">
        <v>111</v>
      </c>
      <c r="BE1431" t="s">
        <v>111</v>
      </c>
      <c r="BF1431" t="s">
        <v>111</v>
      </c>
      <c r="BG1431" t="s">
        <v>111</v>
      </c>
      <c r="BH1431" t="s">
        <v>111</v>
      </c>
      <c r="BI1431" t="s">
        <v>111</v>
      </c>
      <c r="BJ1431" t="s">
        <v>111</v>
      </c>
      <c r="BK1431" t="s">
        <v>111</v>
      </c>
      <c r="BL1431" t="s">
        <v>111</v>
      </c>
      <c r="BM1431" t="s">
        <v>111</v>
      </c>
      <c r="BN1431" t="s">
        <v>111</v>
      </c>
      <c r="BO1431" t="s">
        <v>111</v>
      </c>
      <c r="BP1431" t="s">
        <v>111</v>
      </c>
      <c r="BQ1431" t="s">
        <v>111</v>
      </c>
      <c r="BR1431" t="s">
        <v>111</v>
      </c>
      <c r="BS1431" t="s">
        <v>111</v>
      </c>
      <c r="BT1431" t="s">
        <v>111</v>
      </c>
      <c r="BU1431" t="s">
        <v>111</v>
      </c>
      <c r="BV1431" t="s">
        <v>111</v>
      </c>
      <c r="BW1431" t="s">
        <v>111</v>
      </c>
      <c r="BX1431" t="s">
        <v>111</v>
      </c>
      <c r="BY1431" t="s">
        <v>111</v>
      </c>
      <c r="BZ1431" t="s">
        <v>111</v>
      </c>
      <c r="CA1431" t="s">
        <v>111</v>
      </c>
      <c r="CB1431" t="s">
        <v>111</v>
      </c>
      <c r="CC1431" t="s">
        <v>111</v>
      </c>
      <c r="CD1431" t="s">
        <v>111</v>
      </c>
      <c r="CE1431" t="s">
        <v>111</v>
      </c>
      <c r="CF1431" t="s">
        <v>111</v>
      </c>
      <c r="CG1431" t="s">
        <v>111</v>
      </c>
      <c r="CH1431" t="s">
        <v>111</v>
      </c>
      <c r="CI1431" t="s">
        <v>111</v>
      </c>
      <c r="CJ1431" t="s">
        <v>111</v>
      </c>
      <c r="CK1431" t="s">
        <v>111</v>
      </c>
      <c r="CL1431" s="1" t="s">
        <v>4035</v>
      </c>
      <c r="CM1431" t="s">
        <v>198</v>
      </c>
      <c r="CN1431" t="s">
        <v>113</v>
      </c>
      <c r="CO1431" t="s">
        <v>111</v>
      </c>
      <c r="CP1431" t="s">
        <v>433</v>
      </c>
      <c r="CQ1431">
        <v>0</v>
      </c>
      <c r="CR1431">
        <v>7000</v>
      </c>
      <c r="CS1431">
        <v>200</v>
      </c>
      <c r="CT1431" s="1" t="s">
        <v>4036</v>
      </c>
      <c r="CU1431">
        <v>0</v>
      </c>
      <c r="CV1431" t="s">
        <v>111</v>
      </c>
      <c r="CW1431" t="s">
        <v>111</v>
      </c>
      <c r="CX1431" t="s">
        <v>111</v>
      </c>
      <c r="CY1431">
        <v>0</v>
      </c>
      <c r="CZ1431" t="s">
        <v>111</v>
      </c>
      <c r="DA1431" t="s">
        <v>111</v>
      </c>
      <c r="DB1431" t="s">
        <v>111</v>
      </c>
      <c r="DC1431" t="s">
        <v>111</v>
      </c>
    </row>
    <row r="1432" spans="1:107">
      <c r="A1432">
        <v>201</v>
      </c>
      <c r="B1432" t="s">
        <v>162</v>
      </c>
      <c r="C1432" t="s">
        <v>3925</v>
      </c>
      <c r="D1432" t="s">
        <v>4037</v>
      </c>
      <c r="E1432" t="s">
        <v>4038</v>
      </c>
      <c r="F1432" t="s">
        <v>110</v>
      </c>
      <c r="G1432" t="s">
        <v>24</v>
      </c>
      <c r="H1432">
        <v>0.85</v>
      </c>
      <c r="I1432">
        <v>35</v>
      </c>
      <c r="J1432">
        <v>0</v>
      </c>
      <c r="K1432">
        <v>0</v>
      </c>
      <c r="L1432" t="s">
        <v>112</v>
      </c>
      <c r="M1432" t="s">
        <v>138</v>
      </c>
      <c r="N1432">
        <v>0</v>
      </c>
      <c r="O1432">
        <v>0</v>
      </c>
      <c r="P1432" t="s">
        <v>138</v>
      </c>
      <c r="Q1432">
        <v>40</v>
      </c>
      <c r="R1432">
        <v>0</v>
      </c>
      <c r="S1432">
        <v>0</v>
      </c>
      <c r="T1432">
        <v>0</v>
      </c>
      <c r="U1432" t="s">
        <v>168</v>
      </c>
      <c r="V1432">
        <v>0</v>
      </c>
      <c r="W1432">
        <v>0</v>
      </c>
      <c r="X1432">
        <v>0</v>
      </c>
      <c r="Y1432">
        <v>25</v>
      </c>
      <c r="Z1432" t="s">
        <v>111</v>
      </c>
      <c r="AA1432">
        <v>0</v>
      </c>
      <c r="AB1432" t="s">
        <v>111</v>
      </c>
      <c r="AC1432">
        <v>0</v>
      </c>
      <c r="AD1432" t="s">
        <v>111</v>
      </c>
      <c r="AE1432">
        <v>0</v>
      </c>
      <c r="AF1432">
        <v>0</v>
      </c>
      <c r="AG1432" t="s">
        <v>111</v>
      </c>
      <c r="AH1432" t="s">
        <v>111</v>
      </c>
      <c r="AI1432" t="s">
        <v>111</v>
      </c>
      <c r="AJ1432" t="s">
        <v>111</v>
      </c>
      <c r="AK1432" t="s">
        <v>111</v>
      </c>
      <c r="AL1432" t="s">
        <v>111</v>
      </c>
      <c r="AM1432">
        <v>0</v>
      </c>
      <c r="AN1432">
        <v>0</v>
      </c>
      <c r="AO1432">
        <v>0</v>
      </c>
      <c r="AP1432" t="s">
        <v>111</v>
      </c>
      <c r="AQ1432" t="s">
        <v>111</v>
      </c>
      <c r="AR1432" t="s">
        <v>111</v>
      </c>
      <c r="AS1432" t="s">
        <v>111</v>
      </c>
      <c r="AT1432" t="s">
        <v>111</v>
      </c>
      <c r="AU1432" t="s">
        <v>111</v>
      </c>
      <c r="AV1432" t="s">
        <v>111</v>
      </c>
      <c r="AW1432" t="s">
        <v>111</v>
      </c>
      <c r="AX1432" t="s">
        <v>111</v>
      </c>
      <c r="AY1432" t="s">
        <v>111</v>
      </c>
      <c r="AZ1432" t="s">
        <v>111</v>
      </c>
      <c r="BA1432" t="s">
        <v>111</v>
      </c>
      <c r="BB1432" t="s">
        <v>111</v>
      </c>
      <c r="BC1432" t="s">
        <v>111</v>
      </c>
      <c r="BD1432" t="s">
        <v>111</v>
      </c>
      <c r="BE1432" t="s">
        <v>111</v>
      </c>
      <c r="BF1432" t="s">
        <v>111</v>
      </c>
      <c r="BG1432" t="s">
        <v>111</v>
      </c>
      <c r="BH1432" t="s">
        <v>111</v>
      </c>
      <c r="BI1432" t="s">
        <v>111</v>
      </c>
      <c r="BJ1432" t="s">
        <v>111</v>
      </c>
      <c r="BK1432" t="s">
        <v>111</v>
      </c>
      <c r="BL1432" t="s">
        <v>111</v>
      </c>
      <c r="BM1432" t="s">
        <v>111</v>
      </c>
      <c r="BN1432" t="s">
        <v>111</v>
      </c>
      <c r="BO1432" t="s">
        <v>111</v>
      </c>
      <c r="BP1432" t="s">
        <v>111</v>
      </c>
      <c r="BQ1432" t="s">
        <v>111</v>
      </c>
      <c r="BR1432" t="s">
        <v>111</v>
      </c>
      <c r="BS1432" t="s">
        <v>111</v>
      </c>
      <c r="BT1432" t="s">
        <v>111</v>
      </c>
      <c r="BU1432" t="s">
        <v>111</v>
      </c>
      <c r="BV1432" t="s">
        <v>111</v>
      </c>
      <c r="BW1432" t="s">
        <v>111</v>
      </c>
      <c r="BX1432" t="s">
        <v>111</v>
      </c>
      <c r="BY1432" t="s">
        <v>111</v>
      </c>
      <c r="BZ1432" t="s">
        <v>111</v>
      </c>
      <c r="CA1432" t="s">
        <v>111</v>
      </c>
      <c r="CB1432" t="s">
        <v>111</v>
      </c>
      <c r="CC1432" t="s">
        <v>111</v>
      </c>
      <c r="CD1432" t="s">
        <v>111</v>
      </c>
      <c r="CE1432" t="s">
        <v>111</v>
      </c>
      <c r="CF1432" t="s">
        <v>111</v>
      </c>
      <c r="CG1432" t="s">
        <v>111</v>
      </c>
      <c r="CH1432" t="s">
        <v>111</v>
      </c>
      <c r="CI1432" t="s">
        <v>111</v>
      </c>
      <c r="CJ1432" t="s">
        <v>111</v>
      </c>
      <c r="CK1432" t="s">
        <v>111</v>
      </c>
      <c r="CL1432" t="s">
        <v>111</v>
      </c>
      <c r="CM1432" t="s">
        <v>111</v>
      </c>
      <c r="CN1432" t="s">
        <v>111</v>
      </c>
      <c r="CO1432" t="s">
        <v>111</v>
      </c>
      <c r="CP1432" t="s">
        <v>111</v>
      </c>
      <c r="CQ1432">
        <v>0</v>
      </c>
      <c r="CR1432">
        <v>0</v>
      </c>
      <c r="CS1432">
        <v>0</v>
      </c>
      <c r="CT1432" t="s">
        <v>111</v>
      </c>
      <c r="CU1432">
        <v>0</v>
      </c>
      <c r="CV1432" t="s">
        <v>111</v>
      </c>
      <c r="CW1432" t="s">
        <v>111</v>
      </c>
      <c r="CX1432" t="s">
        <v>111</v>
      </c>
      <c r="CY1432">
        <v>0</v>
      </c>
      <c r="CZ1432" t="s">
        <v>111</v>
      </c>
      <c r="DA1432" t="s">
        <v>111</v>
      </c>
      <c r="DB1432" t="s">
        <v>111</v>
      </c>
      <c r="DC1432" t="s">
        <v>111</v>
      </c>
    </row>
    <row r="1433" spans="1:107">
      <c r="A1433">
        <v>355</v>
      </c>
      <c r="B1433" t="s">
        <v>162</v>
      </c>
      <c r="C1433" s="2">
        <v>91226680</v>
      </c>
      <c r="D1433" t="s">
        <v>4039</v>
      </c>
      <c r="E1433" t="s">
        <v>4040</v>
      </c>
      <c r="F1433" t="s">
        <v>110</v>
      </c>
      <c r="G1433" t="s">
        <v>24</v>
      </c>
      <c r="H1433">
        <v>1.5</v>
      </c>
      <c r="I1433">
        <v>30</v>
      </c>
      <c r="J1433">
        <v>0</v>
      </c>
      <c r="K1433">
        <v>0</v>
      </c>
      <c r="L1433" t="s">
        <v>112</v>
      </c>
      <c r="M1433" t="s">
        <v>138</v>
      </c>
      <c r="N1433">
        <v>0</v>
      </c>
      <c r="O1433">
        <v>0</v>
      </c>
      <c r="P1433" t="s">
        <v>138</v>
      </c>
      <c r="Q1433">
        <v>30</v>
      </c>
      <c r="R1433">
        <v>0</v>
      </c>
      <c r="S1433">
        <v>0</v>
      </c>
      <c r="T1433">
        <v>0</v>
      </c>
      <c r="U1433" t="s">
        <v>111</v>
      </c>
      <c r="V1433">
        <v>0</v>
      </c>
      <c r="W1433">
        <v>0</v>
      </c>
      <c r="X1433">
        <v>0</v>
      </c>
      <c r="Y1433">
        <v>25</v>
      </c>
      <c r="Z1433" t="s">
        <v>111</v>
      </c>
      <c r="AA1433">
        <v>0</v>
      </c>
      <c r="AB1433" t="s">
        <v>111</v>
      </c>
      <c r="AC1433">
        <v>0</v>
      </c>
      <c r="AD1433" t="s">
        <v>111</v>
      </c>
      <c r="AE1433">
        <v>0</v>
      </c>
      <c r="AF1433">
        <v>0</v>
      </c>
      <c r="AG1433" t="s">
        <v>111</v>
      </c>
      <c r="AH1433" t="s">
        <v>111</v>
      </c>
      <c r="AI1433" t="s">
        <v>111</v>
      </c>
      <c r="AJ1433" t="s">
        <v>111</v>
      </c>
      <c r="AK1433" t="s">
        <v>111</v>
      </c>
      <c r="AL1433" t="s">
        <v>111</v>
      </c>
      <c r="AM1433">
        <v>0</v>
      </c>
      <c r="AN1433">
        <v>0</v>
      </c>
      <c r="AO1433">
        <v>0</v>
      </c>
      <c r="AP1433" t="s">
        <v>111</v>
      </c>
      <c r="AQ1433" t="s">
        <v>111</v>
      </c>
      <c r="AR1433" t="s">
        <v>111</v>
      </c>
      <c r="AS1433" t="s">
        <v>111</v>
      </c>
      <c r="AT1433" t="s">
        <v>111</v>
      </c>
      <c r="AU1433" t="s">
        <v>111</v>
      </c>
      <c r="AV1433" t="s">
        <v>111</v>
      </c>
      <c r="AW1433" t="s">
        <v>111</v>
      </c>
      <c r="AX1433" t="s">
        <v>111</v>
      </c>
      <c r="AY1433" t="s">
        <v>111</v>
      </c>
      <c r="AZ1433" t="s">
        <v>111</v>
      </c>
      <c r="BA1433" t="s">
        <v>111</v>
      </c>
      <c r="BB1433" t="s">
        <v>111</v>
      </c>
      <c r="BC1433" t="s">
        <v>111</v>
      </c>
      <c r="BD1433" t="s">
        <v>111</v>
      </c>
      <c r="BE1433" t="s">
        <v>111</v>
      </c>
      <c r="BF1433" t="s">
        <v>111</v>
      </c>
      <c r="BG1433" t="s">
        <v>111</v>
      </c>
      <c r="BH1433" t="s">
        <v>111</v>
      </c>
      <c r="BI1433" t="s">
        <v>111</v>
      </c>
      <c r="BJ1433" t="s">
        <v>111</v>
      </c>
      <c r="BK1433" t="s">
        <v>111</v>
      </c>
      <c r="BL1433" t="s">
        <v>111</v>
      </c>
      <c r="BM1433" t="s">
        <v>111</v>
      </c>
      <c r="BN1433" t="s">
        <v>111</v>
      </c>
      <c r="BO1433" t="s">
        <v>111</v>
      </c>
      <c r="BP1433" t="s">
        <v>111</v>
      </c>
      <c r="BQ1433" t="s">
        <v>111</v>
      </c>
      <c r="BR1433" t="s">
        <v>111</v>
      </c>
      <c r="BS1433" t="s">
        <v>111</v>
      </c>
      <c r="BT1433" t="s">
        <v>111</v>
      </c>
      <c r="BU1433" t="s">
        <v>111</v>
      </c>
      <c r="BV1433" t="s">
        <v>111</v>
      </c>
      <c r="BW1433" t="s">
        <v>111</v>
      </c>
      <c r="BX1433" t="s">
        <v>111</v>
      </c>
      <c r="BY1433" t="s">
        <v>111</v>
      </c>
      <c r="BZ1433" t="s">
        <v>111</v>
      </c>
      <c r="CA1433" t="s">
        <v>111</v>
      </c>
      <c r="CB1433" t="s">
        <v>111</v>
      </c>
      <c r="CC1433" t="s">
        <v>111</v>
      </c>
      <c r="CD1433" t="s">
        <v>111</v>
      </c>
      <c r="CE1433" t="s">
        <v>111</v>
      </c>
      <c r="CF1433" t="s">
        <v>111</v>
      </c>
      <c r="CG1433" t="s">
        <v>111</v>
      </c>
      <c r="CH1433" t="s">
        <v>111</v>
      </c>
      <c r="CI1433" t="s">
        <v>111</v>
      </c>
      <c r="CJ1433" t="s">
        <v>111</v>
      </c>
      <c r="CK1433" t="s">
        <v>111</v>
      </c>
      <c r="CL1433" t="s">
        <v>111</v>
      </c>
      <c r="CM1433" t="s">
        <v>111</v>
      </c>
      <c r="CN1433" t="s">
        <v>111</v>
      </c>
      <c r="CO1433" t="s">
        <v>111</v>
      </c>
      <c r="CP1433" t="s">
        <v>111</v>
      </c>
      <c r="CQ1433">
        <v>0</v>
      </c>
      <c r="CR1433">
        <v>0</v>
      </c>
      <c r="CS1433">
        <v>0</v>
      </c>
      <c r="CT1433" t="s">
        <v>111</v>
      </c>
      <c r="CU1433">
        <v>0</v>
      </c>
      <c r="CV1433" t="s">
        <v>111</v>
      </c>
      <c r="CW1433" t="s">
        <v>111</v>
      </c>
      <c r="CX1433" t="s">
        <v>111</v>
      </c>
      <c r="CY1433">
        <v>0</v>
      </c>
      <c r="CZ1433" t="s">
        <v>111</v>
      </c>
      <c r="DA1433" t="s">
        <v>111</v>
      </c>
      <c r="DB1433" t="s">
        <v>111</v>
      </c>
      <c r="DC1433" t="s">
        <v>111</v>
      </c>
    </row>
    <row r="1434" spans="1:107">
      <c r="A1434">
        <v>651</v>
      </c>
      <c r="B1434" t="s">
        <v>107</v>
      </c>
      <c r="C1434" t="s">
        <v>4041</v>
      </c>
      <c r="D1434" t="s">
        <v>4042</v>
      </c>
      <c r="E1434" t="s">
        <v>4043</v>
      </c>
      <c r="F1434" t="s">
        <v>1651</v>
      </c>
      <c r="G1434" t="s">
        <v>24</v>
      </c>
      <c r="H1434">
        <v>1.4</v>
      </c>
      <c r="I1434">
        <v>50</v>
      </c>
      <c r="J1434">
        <v>0</v>
      </c>
      <c r="K1434">
        <v>0</v>
      </c>
      <c r="L1434" t="s">
        <v>178</v>
      </c>
      <c r="M1434" t="s">
        <v>118</v>
      </c>
      <c r="N1434">
        <v>39</v>
      </c>
      <c r="O1434">
        <v>2</v>
      </c>
      <c r="P1434" t="s">
        <v>138</v>
      </c>
      <c r="Q1434">
        <v>30.5</v>
      </c>
      <c r="R1434">
        <v>0</v>
      </c>
      <c r="S1434">
        <v>0</v>
      </c>
      <c r="T1434">
        <v>0</v>
      </c>
      <c r="U1434" s="1" t="s">
        <v>4044</v>
      </c>
      <c r="V1434">
        <v>0</v>
      </c>
      <c r="W1434">
        <v>0</v>
      </c>
      <c r="X1434">
        <v>0</v>
      </c>
      <c r="Y1434">
        <v>25</v>
      </c>
      <c r="Z1434" t="s">
        <v>111</v>
      </c>
      <c r="AA1434">
        <v>0</v>
      </c>
      <c r="AB1434" t="s">
        <v>111</v>
      </c>
      <c r="AC1434">
        <v>0</v>
      </c>
      <c r="AD1434" t="s">
        <v>416</v>
      </c>
      <c r="AE1434">
        <v>0</v>
      </c>
      <c r="AF1434">
        <v>2</v>
      </c>
      <c r="AG1434" t="s">
        <v>2560</v>
      </c>
      <c r="AH1434" t="s">
        <v>113</v>
      </c>
      <c r="AI1434">
        <v>35</v>
      </c>
      <c r="AJ1434" t="s">
        <v>111</v>
      </c>
      <c r="AK1434" t="s">
        <v>111</v>
      </c>
      <c r="AL1434" t="s">
        <v>111</v>
      </c>
      <c r="AM1434">
        <v>0</v>
      </c>
      <c r="AN1434">
        <v>0</v>
      </c>
      <c r="AO1434">
        <v>0</v>
      </c>
      <c r="AP1434" t="s">
        <v>111</v>
      </c>
      <c r="AQ1434" t="s">
        <v>111</v>
      </c>
      <c r="AR1434" t="s">
        <v>111</v>
      </c>
      <c r="AS1434" t="s">
        <v>111</v>
      </c>
      <c r="AT1434" t="s">
        <v>111</v>
      </c>
      <c r="AU1434" t="s">
        <v>111</v>
      </c>
      <c r="AV1434" t="s">
        <v>111</v>
      </c>
      <c r="AW1434" t="s">
        <v>111</v>
      </c>
      <c r="AX1434" t="s">
        <v>111</v>
      </c>
      <c r="AY1434" t="s">
        <v>111</v>
      </c>
      <c r="AZ1434" t="s">
        <v>111</v>
      </c>
      <c r="BA1434" t="s">
        <v>111</v>
      </c>
      <c r="BB1434" t="s">
        <v>111</v>
      </c>
      <c r="BC1434" t="s">
        <v>111</v>
      </c>
      <c r="BD1434" t="s">
        <v>111</v>
      </c>
      <c r="BE1434" t="s">
        <v>111</v>
      </c>
      <c r="BF1434" t="s">
        <v>111</v>
      </c>
      <c r="BG1434" t="s">
        <v>111</v>
      </c>
      <c r="BH1434" t="s">
        <v>111</v>
      </c>
      <c r="BI1434" t="s">
        <v>111</v>
      </c>
      <c r="BJ1434" t="s">
        <v>111</v>
      </c>
      <c r="BK1434" t="s">
        <v>111</v>
      </c>
      <c r="BL1434" t="s">
        <v>111</v>
      </c>
      <c r="BM1434" t="s">
        <v>111</v>
      </c>
      <c r="BN1434" t="s">
        <v>111</v>
      </c>
      <c r="BO1434" t="s">
        <v>111</v>
      </c>
      <c r="BP1434" t="s">
        <v>111</v>
      </c>
      <c r="BQ1434" t="s">
        <v>111</v>
      </c>
      <c r="BR1434" t="s">
        <v>111</v>
      </c>
      <c r="BS1434" t="s">
        <v>111</v>
      </c>
      <c r="BT1434" t="s">
        <v>111</v>
      </c>
      <c r="BU1434" t="s">
        <v>111</v>
      </c>
      <c r="BV1434" t="s">
        <v>111</v>
      </c>
      <c r="BW1434" t="s">
        <v>111</v>
      </c>
      <c r="BX1434" t="s">
        <v>111</v>
      </c>
      <c r="BY1434" t="s">
        <v>111</v>
      </c>
      <c r="BZ1434" t="s">
        <v>111</v>
      </c>
      <c r="CA1434" t="s">
        <v>111</v>
      </c>
      <c r="CB1434" t="s">
        <v>111</v>
      </c>
      <c r="CC1434" t="s">
        <v>111</v>
      </c>
      <c r="CD1434" t="s">
        <v>111</v>
      </c>
      <c r="CE1434" t="s">
        <v>111</v>
      </c>
      <c r="CF1434" t="s">
        <v>111</v>
      </c>
      <c r="CG1434" t="s">
        <v>111</v>
      </c>
      <c r="CH1434" t="s">
        <v>111</v>
      </c>
      <c r="CI1434" t="s">
        <v>111</v>
      </c>
      <c r="CJ1434" t="s">
        <v>111</v>
      </c>
      <c r="CK1434" t="s">
        <v>111</v>
      </c>
      <c r="CL1434" t="s">
        <v>153</v>
      </c>
      <c r="CM1434" t="s">
        <v>198</v>
      </c>
      <c r="CN1434" t="s">
        <v>113</v>
      </c>
      <c r="CO1434" t="s">
        <v>111</v>
      </c>
      <c r="CP1434" t="s">
        <v>433</v>
      </c>
      <c r="CQ1434">
        <v>0</v>
      </c>
      <c r="CR1434">
        <v>8000</v>
      </c>
      <c r="CS1434">
        <v>200</v>
      </c>
      <c r="CT1434" s="1" t="s">
        <v>1354</v>
      </c>
      <c r="CU1434">
        <v>0</v>
      </c>
      <c r="CV1434" t="s">
        <v>111</v>
      </c>
      <c r="CW1434" t="s">
        <v>111</v>
      </c>
      <c r="CX1434" t="s">
        <v>111</v>
      </c>
      <c r="CY1434">
        <v>0</v>
      </c>
      <c r="CZ1434" t="s">
        <v>111</v>
      </c>
      <c r="DA1434" t="s">
        <v>111</v>
      </c>
      <c r="DB1434" t="s">
        <v>111</v>
      </c>
      <c r="DC1434" t="s">
        <v>111</v>
      </c>
    </row>
    <row r="1435" spans="1:107">
      <c r="A1435">
        <v>482</v>
      </c>
      <c r="B1435" t="s">
        <v>162</v>
      </c>
      <c r="C1435" t="s">
        <v>428</v>
      </c>
      <c r="D1435" t="s">
        <v>4045</v>
      </c>
      <c r="E1435" t="s">
        <v>4046</v>
      </c>
      <c r="F1435" t="s">
        <v>1651</v>
      </c>
      <c r="G1435" t="s">
        <v>24</v>
      </c>
      <c r="H1435">
        <v>2.2000000000000002</v>
      </c>
      <c r="I1435">
        <v>30</v>
      </c>
      <c r="J1435">
        <v>0</v>
      </c>
      <c r="K1435">
        <v>0</v>
      </c>
      <c r="L1435" t="s">
        <v>112</v>
      </c>
      <c r="M1435" t="s">
        <v>118</v>
      </c>
      <c r="N1435">
        <v>40</v>
      </c>
      <c r="O1435">
        <v>1</v>
      </c>
      <c r="P1435" t="s">
        <v>138</v>
      </c>
      <c r="Q1435">
        <v>40</v>
      </c>
      <c r="R1435">
        <v>0</v>
      </c>
      <c r="S1435">
        <v>0</v>
      </c>
      <c r="T1435">
        <v>0</v>
      </c>
      <c r="U1435" t="s">
        <v>1353</v>
      </c>
      <c r="V1435">
        <v>0</v>
      </c>
      <c r="W1435">
        <v>0</v>
      </c>
      <c r="X1435">
        <v>0</v>
      </c>
      <c r="Y1435">
        <v>25</v>
      </c>
      <c r="Z1435" t="s">
        <v>111</v>
      </c>
      <c r="AA1435">
        <v>0</v>
      </c>
      <c r="AB1435" t="s">
        <v>111</v>
      </c>
      <c r="AC1435">
        <v>0</v>
      </c>
      <c r="AD1435" t="s">
        <v>416</v>
      </c>
      <c r="AE1435">
        <v>3</v>
      </c>
      <c r="AF1435">
        <v>1</v>
      </c>
      <c r="AG1435">
        <v>23</v>
      </c>
      <c r="AH1435" t="s">
        <v>111</v>
      </c>
      <c r="AI1435">
        <v>46</v>
      </c>
      <c r="AJ1435" t="s">
        <v>111</v>
      </c>
      <c r="AK1435" t="s">
        <v>111</v>
      </c>
      <c r="AL1435" t="s">
        <v>111</v>
      </c>
      <c r="AM1435">
        <v>0</v>
      </c>
      <c r="AN1435">
        <v>0</v>
      </c>
      <c r="AO1435">
        <v>0</v>
      </c>
      <c r="AP1435" t="s">
        <v>288</v>
      </c>
      <c r="AQ1435" t="s">
        <v>111</v>
      </c>
      <c r="AR1435" t="s">
        <v>111</v>
      </c>
      <c r="AS1435" t="s">
        <v>111</v>
      </c>
      <c r="AT1435" t="s">
        <v>1091</v>
      </c>
      <c r="AU1435" t="s">
        <v>111</v>
      </c>
      <c r="AV1435" t="s">
        <v>111</v>
      </c>
      <c r="AW1435" t="s">
        <v>111</v>
      </c>
      <c r="AX1435" t="s">
        <v>259</v>
      </c>
      <c r="AY1435" t="s">
        <v>111</v>
      </c>
      <c r="AZ1435" t="s">
        <v>111</v>
      </c>
      <c r="BA1435" t="s">
        <v>111</v>
      </c>
      <c r="BB1435" t="s">
        <v>111</v>
      </c>
      <c r="BC1435" t="s">
        <v>111</v>
      </c>
      <c r="BD1435" t="s">
        <v>111</v>
      </c>
      <c r="BE1435" t="s">
        <v>111</v>
      </c>
      <c r="BF1435" t="s">
        <v>111</v>
      </c>
      <c r="BG1435" t="s">
        <v>111</v>
      </c>
      <c r="BH1435" t="s">
        <v>111</v>
      </c>
      <c r="BI1435" t="s">
        <v>111</v>
      </c>
      <c r="BJ1435" t="s">
        <v>111</v>
      </c>
      <c r="BK1435" t="s">
        <v>111</v>
      </c>
      <c r="BL1435" t="s">
        <v>111</v>
      </c>
      <c r="BM1435" t="s">
        <v>111</v>
      </c>
      <c r="BN1435" t="s">
        <v>111</v>
      </c>
      <c r="BO1435" t="s">
        <v>111</v>
      </c>
      <c r="BP1435" t="s">
        <v>111</v>
      </c>
      <c r="BQ1435" t="s">
        <v>111</v>
      </c>
      <c r="BR1435" t="s">
        <v>111</v>
      </c>
      <c r="BS1435" t="s">
        <v>111</v>
      </c>
      <c r="BT1435" t="s">
        <v>111</v>
      </c>
      <c r="BU1435" t="s">
        <v>111</v>
      </c>
      <c r="BV1435" t="s">
        <v>111</v>
      </c>
      <c r="BW1435" t="s">
        <v>111</v>
      </c>
      <c r="BX1435" t="s">
        <v>111</v>
      </c>
      <c r="BY1435" t="s">
        <v>111</v>
      </c>
      <c r="BZ1435" t="s">
        <v>111</v>
      </c>
      <c r="CA1435" t="s">
        <v>111</v>
      </c>
      <c r="CB1435" t="s">
        <v>111</v>
      </c>
      <c r="CC1435" t="s">
        <v>111</v>
      </c>
      <c r="CD1435" t="s">
        <v>111</v>
      </c>
      <c r="CE1435" t="s">
        <v>111</v>
      </c>
      <c r="CF1435" t="s">
        <v>111</v>
      </c>
      <c r="CG1435" t="s">
        <v>111</v>
      </c>
      <c r="CH1435" t="s">
        <v>111</v>
      </c>
      <c r="CI1435" t="s">
        <v>111</v>
      </c>
      <c r="CJ1435" t="s">
        <v>111</v>
      </c>
      <c r="CK1435" t="s">
        <v>111</v>
      </c>
      <c r="CL1435" t="s">
        <v>153</v>
      </c>
      <c r="CM1435" t="s">
        <v>198</v>
      </c>
      <c r="CN1435" t="s">
        <v>113</v>
      </c>
      <c r="CO1435" t="s">
        <v>111</v>
      </c>
      <c r="CP1435" t="s">
        <v>433</v>
      </c>
      <c r="CQ1435">
        <v>0</v>
      </c>
      <c r="CR1435">
        <v>0</v>
      </c>
      <c r="CS1435">
        <v>0</v>
      </c>
      <c r="CT1435" t="s">
        <v>419</v>
      </c>
      <c r="CU1435">
        <v>0</v>
      </c>
      <c r="CV1435" t="s">
        <v>111</v>
      </c>
      <c r="CW1435" t="s">
        <v>111</v>
      </c>
      <c r="CX1435" t="s">
        <v>111</v>
      </c>
      <c r="CY1435">
        <v>0</v>
      </c>
      <c r="CZ1435" t="s">
        <v>111</v>
      </c>
      <c r="DA1435" t="s">
        <v>111</v>
      </c>
      <c r="DB1435" t="s">
        <v>240</v>
      </c>
      <c r="DC1435" s="1" t="s">
        <v>4047</v>
      </c>
    </row>
    <row r="1436" spans="1:107">
      <c r="A1436">
        <v>126</v>
      </c>
      <c r="B1436" t="s">
        <v>107</v>
      </c>
      <c r="C1436" t="s">
        <v>719</v>
      </c>
      <c r="D1436" t="s">
        <v>1649</v>
      </c>
      <c r="E1436" t="s">
        <v>4048</v>
      </c>
      <c r="F1436" t="s">
        <v>1651</v>
      </c>
      <c r="G1436" t="s">
        <v>24</v>
      </c>
      <c r="H1436">
        <v>2.4</v>
      </c>
      <c r="I1436">
        <v>40</v>
      </c>
      <c r="J1436">
        <v>0</v>
      </c>
      <c r="K1436">
        <v>0</v>
      </c>
      <c r="L1436" t="s">
        <v>112</v>
      </c>
      <c r="M1436" t="s">
        <v>118</v>
      </c>
      <c r="N1436">
        <v>40</v>
      </c>
      <c r="O1436">
        <v>2</v>
      </c>
      <c r="P1436" t="s">
        <v>138</v>
      </c>
      <c r="Q1436">
        <v>32.6</v>
      </c>
      <c r="R1436">
        <v>0</v>
      </c>
      <c r="S1436">
        <v>0</v>
      </c>
      <c r="T1436">
        <v>5</v>
      </c>
      <c r="U1436" s="1" t="s">
        <v>525</v>
      </c>
      <c r="V1436">
        <v>0</v>
      </c>
      <c r="W1436">
        <v>0</v>
      </c>
      <c r="X1436">
        <v>0</v>
      </c>
      <c r="Y1436">
        <v>25</v>
      </c>
      <c r="Z1436" t="s">
        <v>111</v>
      </c>
      <c r="AA1436">
        <v>0</v>
      </c>
      <c r="AB1436" t="s">
        <v>111</v>
      </c>
      <c r="AC1436">
        <v>0</v>
      </c>
      <c r="AD1436" t="s">
        <v>416</v>
      </c>
      <c r="AE1436">
        <v>3</v>
      </c>
      <c r="AF1436">
        <v>2</v>
      </c>
      <c r="AG1436">
        <v>27</v>
      </c>
      <c r="AH1436" t="s">
        <v>113</v>
      </c>
      <c r="AI1436">
        <v>26</v>
      </c>
      <c r="AJ1436" t="s">
        <v>111</v>
      </c>
      <c r="AK1436" t="s">
        <v>111</v>
      </c>
      <c r="AL1436" t="s">
        <v>111</v>
      </c>
      <c r="AM1436">
        <v>0</v>
      </c>
      <c r="AN1436">
        <v>0</v>
      </c>
      <c r="AO1436">
        <v>0</v>
      </c>
      <c r="AP1436" t="s">
        <v>111</v>
      </c>
      <c r="AQ1436" t="s">
        <v>111</v>
      </c>
      <c r="AR1436" t="s">
        <v>111</v>
      </c>
      <c r="AS1436" t="s">
        <v>111</v>
      </c>
      <c r="AT1436" t="s">
        <v>288</v>
      </c>
      <c r="AU1436" t="s">
        <v>111</v>
      </c>
      <c r="AV1436" t="s">
        <v>111</v>
      </c>
      <c r="AW1436" t="s">
        <v>111</v>
      </c>
      <c r="AX1436" t="s">
        <v>772</v>
      </c>
      <c r="AY1436" t="s">
        <v>111</v>
      </c>
      <c r="AZ1436" t="s">
        <v>111</v>
      </c>
      <c r="BA1436" t="s">
        <v>111</v>
      </c>
      <c r="BB1436" t="s">
        <v>111</v>
      </c>
      <c r="BC1436" t="s">
        <v>111</v>
      </c>
      <c r="BD1436" t="s">
        <v>111</v>
      </c>
      <c r="BE1436" t="s">
        <v>111</v>
      </c>
      <c r="BF1436" t="s">
        <v>111</v>
      </c>
      <c r="BG1436" t="s">
        <v>111</v>
      </c>
      <c r="BH1436" t="s">
        <v>111</v>
      </c>
      <c r="BI1436" t="s">
        <v>111</v>
      </c>
      <c r="BJ1436" t="s">
        <v>111</v>
      </c>
      <c r="BK1436" t="s">
        <v>111</v>
      </c>
      <c r="BL1436" t="s">
        <v>111</v>
      </c>
      <c r="BM1436" t="s">
        <v>111</v>
      </c>
      <c r="BN1436" t="s">
        <v>111</v>
      </c>
      <c r="BO1436" t="s">
        <v>111</v>
      </c>
      <c r="BP1436" t="s">
        <v>111</v>
      </c>
      <c r="BQ1436" t="s">
        <v>111</v>
      </c>
      <c r="BR1436" t="s">
        <v>111</v>
      </c>
      <c r="BS1436" t="s">
        <v>111</v>
      </c>
      <c r="BT1436" t="s">
        <v>111</v>
      </c>
      <c r="BU1436" t="s">
        <v>111</v>
      </c>
      <c r="BV1436" t="s">
        <v>111</v>
      </c>
      <c r="BW1436" t="s">
        <v>111</v>
      </c>
      <c r="BX1436" t="s">
        <v>111</v>
      </c>
      <c r="BY1436" t="s">
        <v>111</v>
      </c>
      <c r="BZ1436" t="s">
        <v>111</v>
      </c>
      <c r="CA1436" t="s">
        <v>111</v>
      </c>
      <c r="CB1436" t="s">
        <v>111</v>
      </c>
      <c r="CC1436" t="s">
        <v>111</v>
      </c>
      <c r="CD1436" t="s">
        <v>111</v>
      </c>
      <c r="CE1436" t="s">
        <v>111</v>
      </c>
      <c r="CF1436" t="s">
        <v>111</v>
      </c>
      <c r="CG1436" t="s">
        <v>111</v>
      </c>
      <c r="CH1436" t="s">
        <v>111</v>
      </c>
      <c r="CI1436" t="s">
        <v>111</v>
      </c>
      <c r="CJ1436" t="s">
        <v>111</v>
      </c>
      <c r="CK1436" t="s">
        <v>111</v>
      </c>
      <c r="CL1436" t="s">
        <v>153</v>
      </c>
      <c r="CM1436" t="s">
        <v>198</v>
      </c>
      <c r="CN1436" t="s">
        <v>113</v>
      </c>
      <c r="CO1436" t="s">
        <v>111</v>
      </c>
      <c r="CP1436" t="s">
        <v>433</v>
      </c>
      <c r="CQ1436">
        <v>54</v>
      </c>
      <c r="CR1436">
        <v>2000</v>
      </c>
      <c r="CS1436">
        <v>200</v>
      </c>
      <c r="CT1436" t="e">
        <f>-ALMACEN</f>
        <v>#NAME?</v>
      </c>
      <c r="CU1436">
        <v>0</v>
      </c>
      <c r="CV1436" t="s">
        <v>111</v>
      </c>
      <c r="CW1436" t="s">
        <v>111</v>
      </c>
      <c r="CX1436" t="s">
        <v>111</v>
      </c>
      <c r="CY1436">
        <v>0</v>
      </c>
      <c r="CZ1436" t="s">
        <v>111</v>
      </c>
      <c r="DA1436" t="s">
        <v>111</v>
      </c>
      <c r="DB1436" t="s">
        <v>111</v>
      </c>
      <c r="DC1436" t="s">
        <v>111</v>
      </c>
    </row>
    <row r="1437" spans="1:107">
      <c r="A1437">
        <v>487</v>
      </c>
      <c r="B1437" t="s">
        <v>162</v>
      </c>
      <c r="C1437" t="s">
        <v>4041</v>
      </c>
      <c r="D1437" t="s">
        <v>4049</v>
      </c>
      <c r="E1437" t="s">
        <v>4050</v>
      </c>
      <c r="F1437" t="s">
        <v>1651</v>
      </c>
      <c r="G1437" t="s">
        <v>24</v>
      </c>
      <c r="H1437">
        <v>1.5</v>
      </c>
      <c r="I1437">
        <v>22.5</v>
      </c>
      <c r="J1437">
        <v>0</v>
      </c>
      <c r="K1437">
        <v>0</v>
      </c>
      <c r="L1437" t="s">
        <v>178</v>
      </c>
      <c r="M1437" t="s">
        <v>118</v>
      </c>
      <c r="N1437">
        <v>40</v>
      </c>
      <c r="O1437">
        <v>2</v>
      </c>
      <c r="P1437" t="s">
        <v>138</v>
      </c>
      <c r="Q1437">
        <v>30</v>
      </c>
      <c r="R1437">
        <v>0</v>
      </c>
      <c r="S1437">
        <v>0</v>
      </c>
      <c r="T1437">
        <v>0</v>
      </c>
      <c r="U1437" t="s">
        <v>1353</v>
      </c>
      <c r="V1437">
        <v>0</v>
      </c>
      <c r="W1437">
        <v>0</v>
      </c>
      <c r="X1437">
        <v>0</v>
      </c>
      <c r="Y1437">
        <v>25</v>
      </c>
      <c r="Z1437" t="s">
        <v>111</v>
      </c>
      <c r="AA1437">
        <v>0</v>
      </c>
      <c r="AB1437" t="s">
        <v>111</v>
      </c>
      <c r="AC1437">
        <v>0</v>
      </c>
      <c r="AD1437" t="s">
        <v>416</v>
      </c>
      <c r="AE1437">
        <v>0</v>
      </c>
      <c r="AF1437">
        <v>2</v>
      </c>
      <c r="AG1437">
        <v>15</v>
      </c>
      <c r="AH1437" t="s">
        <v>111</v>
      </c>
      <c r="AI1437">
        <v>30</v>
      </c>
      <c r="AJ1437" t="s">
        <v>111</v>
      </c>
      <c r="AK1437" t="s">
        <v>111</v>
      </c>
      <c r="AL1437" t="s">
        <v>111</v>
      </c>
      <c r="AM1437">
        <v>0</v>
      </c>
      <c r="AN1437">
        <v>0</v>
      </c>
      <c r="AO1437">
        <v>0</v>
      </c>
      <c r="AP1437" t="s">
        <v>111</v>
      </c>
      <c r="AQ1437" t="s">
        <v>111</v>
      </c>
      <c r="AR1437" t="s">
        <v>111</v>
      </c>
      <c r="AS1437" t="s">
        <v>111</v>
      </c>
      <c r="AT1437" t="s">
        <v>111</v>
      </c>
      <c r="AU1437" t="s">
        <v>111</v>
      </c>
      <c r="AV1437" t="s">
        <v>111</v>
      </c>
      <c r="AW1437" t="s">
        <v>111</v>
      </c>
      <c r="AX1437" t="s">
        <v>111</v>
      </c>
      <c r="AY1437" t="s">
        <v>111</v>
      </c>
      <c r="AZ1437" t="s">
        <v>111</v>
      </c>
      <c r="BA1437" t="s">
        <v>111</v>
      </c>
      <c r="BB1437" t="s">
        <v>111</v>
      </c>
      <c r="BC1437" t="s">
        <v>111</v>
      </c>
      <c r="BD1437" t="s">
        <v>111</v>
      </c>
      <c r="BE1437" t="s">
        <v>111</v>
      </c>
      <c r="BF1437" t="s">
        <v>111</v>
      </c>
      <c r="BG1437" t="s">
        <v>111</v>
      </c>
      <c r="BH1437" t="s">
        <v>111</v>
      </c>
      <c r="BI1437" t="s">
        <v>111</v>
      </c>
      <c r="BJ1437" t="s">
        <v>111</v>
      </c>
      <c r="BK1437" t="s">
        <v>111</v>
      </c>
      <c r="BL1437" t="s">
        <v>111</v>
      </c>
      <c r="BM1437" t="s">
        <v>111</v>
      </c>
      <c r="BN1437" t="s">
        <v>111</v>
      </c>
      <c r="BO1437" t="s">
        <v>111</v>
      </c>
      <c r="BP1437" t="s">
        <v>111</v>
      </c>
      <c r="BQ1437" t="s">
        <v>111</v>
      </c>
      <c r="BR1437" t="s">
        <v>111</v>
      </c>
      <c r="BS1437" t="s">
        <v>111</v>
      </c>
      <c r="BT1437" t="s">
        <v>111</v>
      </c>
      <c r="BU1437" t="s">
        <v>111</v>
      </c>
      <c r="BV1437" t="s">
        <v>111</v>
      </c>
      <c r="BW1437" t="s">
        <v>111</v>
      </c>
      <c r="BX1437" t="s">
        <v>111</v>
      </c>
      <c r="BY1437" t="s">
        <v>111</v>
      </c>
      <c r="BZ1437" t="s">
        <v>111</v>
      </c>
      <c r="CA1437" t="s">
        <v>111</v>
      </c>
      <c r="CB1437" t="s">
        <v>111</v>
      </c>
      <c r="CC1437" t="s">
        <v>111</v>
      </c>
      <c r="CD1437" t="s">
        <v>111</v>
      </c>
      <c r="CE1437" t="s">
        <v>111</v>
      </c>
      <c r="CF1437" t="s">
        <v>111</v>
      </c>
      <c r="CG1437" t="s">
        <v>111</v>
      </c>
      <c r="CH1437" t="s">
        <v>111</v>
      </c>
      <c r="CI1437" t="s">
        <v>111</v>
      </c>
      <c r="CJ1437" t="s">
        <v>111</v>
      </c>
      <c r="CK1437" t="s">
        <v>111</v>
      </c>
      <c r="CL1437" t="s">
        <v>153</v>
      </c>
      <c r="CM1437" t="s">
        <v>198</v>
      </c>
      <c r="CN1437" t="s">
        <v>113</v>
      </c>
      <c r="CO1437" t="s">
        <v>111</v>
      </c>
      <c r="CP1437" t="s">
        <v>433</v>
      </c>
      <c r="CQ1437">
        <v>0</v>
      </c>
      <c r="CR1437">
        <v>0</v>
      </c>
      <c r="CS1437">
        <v>0</v>
      </c>
      <c r="CT1437" t="s">
        <v>168</v>
      </c>
      <c r="CU1437">
        <v>0</v>
      </c>
      <c r="CV1437" t="s">
        <v>111</v>
      </c>
      <c r="CW1437" t="s">
        <v>111</v>
      </c>
      <c r="CX1437" t="s">
        <v>111</v>
      </c>
      <c r="CY1437">
        <v>0</v>
      </c>
      <c r="CZ1437" t="s">
        <v>111</v>
      </c>
      <c r="DA1437" t="s">
        <v>111</v>
      </c>
      <c r="DB1437" t="s">
        <v>111</v>
      </c>
      <c r="DC1437" t="s">
        <v>111</v>
      </c>
    </row>
    <row r="1438" spans="1:107">
      <c r="A1438">
        <v>488</v>
      </c>
      <c r="B1438" t="s">
        <v>162</v>
      </c>
      <c r="C1438" t="s">
        <v>4041</v>
      </c>
      <c r="D1438" t="s">
        <v>4049</v>
      </c>
      <c r="E1438" t="s">
        <v>4051</v>
      </c>
      <c r="F1438" t="s">
        <v>1651</v>
      </c>
      <c r="G1438" t="s">
        <v>24</v>
      </c>
      <c r="H1438">
        <v>1.5</v>
      </c>
      <c r="I1438">
        <v>22.5</v>
      </c>
      <c r="J1438">
        <v>0</v>
      </c>
      <c r="K1438">
        <v>0</v>
      </c>
      <c r="L1438" t="s">
        <v>178</v>
      </c>
      <c r="M1438" t="s">
        <v>118</v>
      </c>
      <c r="N1438">
        <v>40</v>
      </c>
      <c r="O1438">
        <v>2</v>
      </c>
      <c r="P1438" t="s">
        <v>138</v>
      </c>
      <c r="Q1438">
        <v>30</v>
      </c>
      <c r="R1438">
        <v>0</v>
      </c>
      <c r="S1438">
        <v>0</v>
      </c>
      <c r="T1438">
        <v>0</v>
      </c>
      <c r="U1438" t="s">
        <v>1353</v>
      </c>
      <c r="V1438">
        <v>0</v>
      </c>
      <c r="W1438">
        <v>0</v>
      </c>
      <c r="X1438">
        <v>0</v>
      </c>
      <c r="Y1438">
        <v>25</v>
      </c>
      <c r="Z1438" t="s">
        <v>111</v>
      </c>
      <c r="AA1438">
        <v>0</v>
      </c>
      <c r="AB1438" t="s">
        <v>111</v>
      </c>
      <c r="AC1438">
        <v>0</v>
      </c>
      <c r="AD1438" t="s">
        <v>416</v>
      </c>
      <c r="AE1438">
        <v>0</v>
      </c>
      <c r="AF1438">
        <v>2</v>
      </c>
      <c r="AG1438">
        <v>15</v>
      </c>
      <c r="AH1438" t="s">
        <v>111</v>
      </c>
      <c r="AI1438">
        <v>30</v>
      </c>
      <c r="AJ1438" t="s">
        <v>111</v>
      </c>
      <c r="AK1438" t="s">
        <v>111</v>
      </c>
      <c r="AL1438" t="s">
        <v>111</v>
      </c>
      <c r="AM1438">
        <v>0</v>
      </c>
      <c r="AN1438">
        <v>0</v>
      </c>
      <c r="AO1438">
        <v>0</v>
      </c>
      <c r="AP1438" t="s">
        <v>111</v>
      </c>
      <c r="AQ1438" t="s">
        <v>111</v>
      </c>
      <c r="AR1438" t="s">
        <v>111</v>
      </c>
      <c r="AS1438" t="s">
        <v>111</v>
      </c>
      <c r="AT1438" t="s">
        <v>111</v>
      </c>
      <c r="AU1438" t="s">
        <v>111</v>
      </c>
      <c r="AV1438" t="s">
        <v>111</v>
      </c>
      <c r="AW1438" t="s">
        <v>111</v>
      </c>
      <c r="AX1438" t="s">
        <v>111</v>
      </c>
      <c r="AY1438" t="s">
        <v>111</v>
      </c>
      <c r="AZ1438" t="s">
        <v>111</v>
      </c>
      <c r="BA1438" t="s">
        <v>111</v>
      </c>
      <c r="BB1438" t="s">
        <v>111</v>
      </c>
      <c r="BC1438" t="s">
        <v>111</v>
      </c>
      <c r="BD1438" t="s">
        <v>111</v>
      </c>
      <c r="BE1438" t="s">
        <v>111</v>
      </c>
      <c r="BF1438" t="s">
        <v>111</v>
      </c>
      <c r="BG1438" t="s">
        <v>111</v>
      </c>
      <c r="BH1438" t="s">
        <v>111</v>
      </c>
      <c r="BI1438" t="s">
        <v>111</v>
      </c>
      <c r="BJ1438" t="s">
        <v>111</v>
      </c>
      <c r="BK1438" t="s">
        <v>111</v>
      </c>
      <c r="BL1438" t="s">
        <v>111</v>
      </c>
      <c r="BM1438" t="s">
        <v>111</v>
      </c>
      <c r="BN1438" t="s">
        <v>111</v>
      </c>
      <c r="BO1438" t="s">
        <v>111</v>
      </c>
      <c r="BP1438" t="s">
        <v>111</v>
      </c>
      <c r="BQ1438" t="s">
        <v>111</v>
      </c>
      <c r="BR1438" t="s">
        <v>111</v>
      </c>
      <c r="BS1438" t="s">
        <v>111</v>
      </c>
      <c r="BT1438" t="s">
        <v>111</v>
      </c>
      <c r="BU1438" t="s">
        <v>111</v>
      </c>
      <c r="BV1438" t="s">
        <v>111</v>
      </c>
      <c r="BW1438" t="s">
        <v>111</v>
      </c>
      <c r="BX1438" t="s">
        <v>111</v>
      </c>
      <c r="BY1438" t="s">
        <v>111</v>
      </c>
      <c r="BZ1438" t="s">
        <v>111</v>
      </c>
      <c r="CA1438" t="s">
        <v>111</v>
      </c>
      <c r="CB1438" t="s">
        <v>111</v>
      </c>
      <c r="CC1438" t="s">
        <v>111</v>
      </c>
      <c r="CD1438" t="s">
        <v>111</v>
      </c>
      <c r="CE1438" t="s">
        <v>111</v>
      </c>
      <c r="CF1438" t="s">
        <v>111</v>
      </c>
      <c r="CG1438" t="s">
        <v>111</v>
      </c>
      <c r="CH1438" t="s">
        <v>111</v>
      </c>
      <c r="CI1438" t="s">
        <v>111</v>
      </c>
      <c r="CJ1438" t="s">
        <v>111</v>
      </c>
      <c r="CK1438" t="s">
        <v>111</v>
      </c>
      <c r="CL1438" t="s">
        <v>153</v>
      </c>
      <c r="CM1438" t="s">
        <v>198</v>
      </c>
      <c r="CN1438" t="s">
        <v>113</v>
      </c>
      <c r="CO1438" t="s">
        <v>111</v>
      </c>
      <c r="CP1438" t="s">
        <v>433</v>
      </c>
      <c r="CQ1438">
        <v>0</v>
      </c>
      <c r="CR1438">
        <v>0</v>
      </c>
      <c r="CS1438">
        <v>0</v>
      </c>
      <c r="CT1438" t="s">
        <v>168</v>
      </c>
      <c r="CU1438">
        <v>0</v>
      </c>
      <c r="CV1438" t="s">
        <v>111</v>
      </c>
      <c r="CW1438" t="s">
        <v>111</v>
      </c>
      <c r="CX1438" t="s">
        <v>111</v>
      </c>
      <c r="CY1438">
        <v>0</v>
      </c>
      <c r="CZ1438" t="s">
        <v>111</v>
      </c>
      <c r="DA1438" t="s">
        <v>111</v>
      </c>
      <c r="DB1438" t="s">
        <v>111</v>
      </c>
      <c r="DC1438" t="s">
        <v>111</v>
      </c>
    </row>
    <row r="1439" spans="1:107">
      <c r="A1439">
        <v>347</v>
      </c>
      <c r="B1439" t="s">
        <v>107</v>
      </c>
      <c r="C1439" t="s">
        <v>1643</v>
      </c>
      <c r="D1439" t="s">
        <v>4052</v>
      </c>
      <c r="E1439" t="s">
        <v>4053</v>
      </c>
      <c r="F1439" t="s">
        <v>2211</v>
      </c>
      <c r="G1439" t="s">
        <v>24</v>
      </c>
      <c r="H1439">
        <v>1</v>
      </c>
      <c r="I1439">
        <v>28</v>
      </c>
      <c r="J1439">
        <v>0</v>
      </c>
      <c r="K1439">
        <v>0</v>
      </c>
      <c r="L1439" t="s">
        <v>117</v>
      </c>
      <c r="M1439" t="s">
        <v>138</v>
      </c>
      <c r="N1439">
        <v>0</v>
      </c>
      <c r="O1439">
        <v>0</v>
      </c>
      <c r="P1439" t="s">
        <v>138</v>
      </c>
      <c r="Q1439">
        <v>30</v>
      </c>
      <c r="R1439">
        <v>0</v>
      </c>
      <c r="S1439">
        <v>0</v>
      </c>
      <c r="T1439">
        <v>0</v>
      </c>
      <c r="U1439" s="1" t="s">
        <v>4054</v>
      </c>
      <c r="V1439">
        <v>0</v>
      </c>
      <c r="W1439">
        <v>0</v>
      </c>
      <c r="X1439">
        <v>0</v>
      </c>
      <c r="Y1439">
        <v>25</v>
      </c>
      <c r="Z1439" t="s">
        <v>111</v>
      </c>
      <c r="AA1439">
        <v>0</v>
      </c>
      <c r="AB1439" t="s">
        <v>4055</v>
      </c>
      <c r="AC1439">
        <v>0.3</v>
      </c>
      <c r="AD1439" t="s">
        <v>111</v>
      </c>
      <c r="AE1439">
        <v>0</v>
      </c>
      <c r="AF1439">
        <v>0</v>
      </c>
      <c r="AG1439" t="s">
        <v>111</v>
      </c>
      <c r="AH1439" t="s">
        <v>111</v>
      </c>
      <c r="AI1439" t="s">
        <v>111</v>
      </c>
      <c r="AJ1439" t="s">
        <v>111</v>
      </c>
      <c r="AK1439" t="s">
        <v>111</v>
      </c>
      <c r="AL1439" t="s">
        <v>111</v>
      </c>
      <c r="AM1439">
        <v>0</v>
      </c>
      <c r="AN1439">
        <v>0</v>
      </c>
      <c r="AO1439">
        <v>0</v>
      </c>
      <c r="AP1439" t="s">
        <v>111</v>
      </c>
      <c r="AQ1439" t="s">
        <v>111</v>
      </c>
      <c r="AR1439" t="s">
        <v>111</v>
      </c>
      <c r="AS1439" t="s">
        <v>111</v>
      </c>
      <c r="AT1439" t="s">
        <v>111</v>
      </c>
      <c r="AU1439" t="s">
        <v>111</v>
      </c>
      <c r="AV1439" t="s">
        <v>111</v>
      </c>
      <c r="AW1439" t="s">
        <v>111</v>
      </c>
      <c r="AX1439" t="s">
        <v>111</v>
      </c>
      <c r="AY1439" t="s">
        <v>111</v>
      </c>
      <c r="AZ1439" t="s">
        <v>111</v>
      </c>
      <c r="BA1439" t="s">
        <v>111</v>
      </c>
      <c r="BB1439" t="s">
        <v>111</v>
      </c>
      <c r="BC1439" t="s">
        <v>111</v>
      </c>
      <c r="BD1439" t="s">
        <v>111</v>
      </c>
      <c r="BE1439" t="s">
        <v>111</v>
      </c>
      <c r="BF1439" t="s">
        <v>111</v>
      </c>
      <c r="BG1439" t="s">
        <v>111</v>
      </c>
      <c r="BH1439" t="s">
        <v>111</v>
      </c>
      <c r="BI1439" t="s">
        <v>111</v>
      </c>
      <c r="BJ1439" t="s">
        <v>111</v>
      </c>
      <c r="BK1439" t="s">
        <v>111</v>
      </c>
      <c r="BL1439" t="s">
        <v>111</v>
      </c>
      <c r="BM1439" t="s">
        <v>111</v>
      </c>
      <c r="BN1439" t="s">
        <v>111</v>
      </c>
      <c r="BO1439" t="s">
        <v>111</v>
      </c>
      <c r="BP1439" t="s">
        <v>111</v>
      </c>
      <c r="BQ1439" t="s">
        <v>111</v>
      </c>
      <c r="BR1439" t="s">
        <v>111</v>
      </c>
      <c r="BS1439" t="s">
        <v>111</v>
      </c>
      <c r="BT1439" t="s">
        <v>111</v>
      </c>
      <c r="BU1439" t="s">
        <v>111</v>
      </c>
      <c r="BV1439" t="s">
        <v>111</v>
      </c>
      <c r="BW1439" t="s">
        <v>111</v>
      </c>
      <c r="BX1439" t="s">
        <v>111</v>
      </c>
      <c r="BY1439" t="s">
        <v>111</v>
      </c>
      <c r="BZ1439" t="s">
        <v>111</v>
      </c>
      <c r="CA1439" t="s">
        <v>111</v>
      </c>
      <c r="CB1439" t="s">
        <v>111</v>
      </c>
      <c r="CC1439" t="s">
        <v>111</v>
      </c>
      <c r="CD1439" t="s">
        <v>111</v>
      </c>
      <c r="CE1439" t="s">
        <v>111</v>
      </c>
      <c r="CF1439" t="s">
        <v>111</v>
      </c>
      <c r="CG1439" t="s">
        <v>111</v>
      </c>
      <c r="CH1439" t="s">
        <v>111</v>
      </c>
      <c r="CI1439" t="s">
        <v>111</v>
      </c>
      <c r="CJ1439" t="s">
        <v>111</v>
      </c>
      <c r="CK1439" t="s">
        <v>111</v>
      </c>
      <c r="CL1439" t="s">
        <v>111</v>
      </c>
      <c r="CM1439" t="s">
        <v>111</v>
      </c>
      <c r="CN1439" t="s">
        <v>111</v>
      </c>
      <c r="CO1439" t="s">
        <v>111</v>
      </c>
      <c r="CP1439" t="s">
        <v>111</v>
      </c>
      <c r="CQ1439">
        <v>0</v>
      </c>
      <c r="CR1439">
        <v>0</v>
      </c>
      <c r="CS1439">
        <v>0</v>
      </c>
      <c r="CT1439" t="s">
        <v>111</v>
      </c>
      <c r="CU1439">
        <v>0</v>
      </c>
      <c r="CV1439" t="s">
        <v>111</v>
      </c>
      <c r="CW1439" t="s">
        <v>111</v>
      </c>
      <c r="CX1439" t="s">
        <v>111</v>
      </c>
      <c r="CY1439">
        <v>0</v>
      </c>
      <c r="CZ1439" t="s">
        <v>111</v>
      </c>
      <c r="DA1439" t="s">
        <v>111</v>
      </c>
      <c r="DB1439" t="s">
        <v>111</v>
      </c>
      <c r="DC1439" t="s">
        <v>111</v>
      </c>
    </row>
    <row r="1440" spans="1:107">
      <c r="A1440">
        <v>15</v>
      </c>
      <c r="B1440" t="s">
        <v>162</v>
      </c>
      <c r="C1440" t="s">
        <v>1643</v>
      </c>
      <c r="D1440" t="s">
        <v>4056</v>
      </c>
      <c r="E1440" t="s">
        <v>4057</v>
      </c>
      <c r="F1440" t="s">
        <v>2211</v>
      </c>
      <c r="G1440" t="s">
        <v>24</v>
      </c>
      <c r="H1440">
        <v>1.2</v>
      </c>
      <c r="I1440">
        <v>28</v>
      </c>
      <c r="J1440">
        <v>0</v>
      </c>
      <c r="K1440">
        <v>0</v>
      </c>
      <c r="L1440" t="s">
        <v>117</v>
      </c>
      <c r="M1440" t="s">
        <v>138</v>
      </c>
      <c r="N1440">
        <v>0</v>
      </c>
      <c r="O1440">
        <v>0</v>
      </c>
      <c r="P1440" t="s">
        <v>138</v>
      </c>
      <c r="Q1440">
        <v>35</v>
      </c>
      <c r="R1440">
        <v>0</v>
      </c>
      <c r="S1440">
        <v>0</v>
      </c>
      <c r="T1440">
        <v>0</v>
      </c>
      <c r="U1440" t="s">
        <v>111</v>
      </c>
      <c r="V1440">
        <v>0</v>
      </c>
      <c r="W1440">
        <v>0</v>
      </c>
      <c r="X1440">
        <v>0</v>
      </c>
      <c r="Y1440">
        <v>25</v>
      </c>
      <c r="Z1440" t="s">
        <v>111</v>
      </c>
      <c r="AA1440">
        <v>0</v>
      </c>
      <c r="AB1440" t="s">
        <v>111</v>
      </c>
      <c r="AC1440">
        <v>0</v>
      </c>
      <c r="AD1440" t="s">
        <v>111</v>
      </c>
      <c r="AE1440">
        <v>0</v>
      </c>
      <c r="AF1440">
        <v>0</v>
      </c>
      <c r="AG1440" t="s">
        <v>111</v>
      </c>
      <c r="AH1440" t="s">
        <v>111</v>
      </c>
      <c r="AI1440" t="s">
        <v>111</v>
      </c>
      <c r="AJ1440" t="s">
        <v>111</v>
      </c>
      <c r="AK1440" t="s">
        <v>111</v>
      </c>
      <c r="AL1440" t="s">
        <v>111</v>
      </c>
      <c r="AM1440">
        <v>0</v>
      </c>
      <c r="AN1440">
        <v>0</v>
      </c>
      <c r="AO1440">
        <v>0</v>
      </c>
      <c r="AP1440" t="s">
        <v>111</v>
      </c>
      <c r="AQ1440" t="s">
        <v>111</v>
      </c>
      <c r="AR1440" t="s">
        <v>111</v>
      </c>
      <c r="AS1440" t="s">
        <v>111</v>
      </c>
      <c r="AT1440" t="s">
        <v>111</v>
      </c>
      <c r="AU1440" t="s">
        <v>111</v>
      </c>
      <c r="AV1440" t="s">
        <v>111</v>
      </c>
      <c r="AW1440" t="s">
        <v>111</v>
      </c>
      <c r="AX1440" t="s">
        <v>111</v>
      </c>
      <c r="AY1440" t="s">
        <v>111</v>
      </c>
      <c r="AZ1440" t="s">
        <v>111</v>
      </c>
      <c r="BA1440" t="s">
        <v>111</v>
      </c>
      <c r="BB1440" t="s">
        <v>111</v>
      </c>
      <c r="BC1440" t="s">
        <v>111</v>
      </c>
      <c r="BD1440" t="s">
        <v>111</v>
      </c>
      <c r="BE1440" t="s">
        <v>111</v>
      </c>
      <c r="BF1440" t="s">
        <v>111</v>
      </c>
      <c r="BG1440" t="s">
        <v>111</v>
      </c>
      <c r="BH1440" t="s">
        <v>111</v>
      </c>
      <c r="BI1440" t="s">
        <v>111</v>
      </c>
      <c r="BJ1440" t="s">
        <v>111</v>
      </c>
      <c r="BK1440" t="s">
        <v>111</v>
      </c>
      <c r="BL1440" t="s">
        <v>111</v>
      </c>
      <c r="BM1440" t="s">
        <v>111</v>
      </c>
      <c r="BN1440" t="s">
        <v>111</v>
      </c>
      <c r="BO1440" t="s">
        <v>111</v>
      </c>
      <c r="BP1440" t="s">
        <v>111</v>
      </c>
      <c r="BQ1440" t="s">
        <v>111</v>
      </c>
      <c r="BR1440" t="s">
        <v>111</v>
      </c>
      <c r="BS1440" t="s">
        <v>111</v>
      </c>
      <c r="BT1440" t="s">
        <v>111</v>
      </c>
      <c r="BU1440" t="s">
        <v>111</v>
      </c>
      <c r="BV1440" t="s">
        <v>111</v>
      </c>
      <c r="BW1440" t="s">
        <v>111</v>
      </c>
      <c r="BX1440" t="s">
        <v>111</v>
      </c>
      <c r="BY1440" t="s">
        <v>111</v>
      </c>
      <c r="BZ1440" t="s">
        <v>111</v>
      </c>
      <c r="CA1440" t="s">
        <v>111</v>
      </c>
      <c r="CB1440" t="s">
        <v>111</v>
      </c>
      <c r="CC1440" t="s">
        <v>111</v>
      </c>
      <c r="CD1440" t="s">
        <v>111</v>
      </c>
      <c r="CE1440" t="s">
        <v>111</v>
      </c>
      <c r="CF1440" t="s">
        <v>111</v>
      </c>
      <c r="CG1440" t="s">
        <v>111</v>
      </c>
      <c r="CH1440" t="s">
        <v>111</v>
      </c>
      <c r="CI1440" t="s">
        <v>111</v>
      </c>
      <c r="CJ1440" t="s">
        <v>111</v>
      </c>
      <c r="CK1440" t="s">
        <v>111</v>
      </c>
      <c r="CL1440" t="s">
        <v>111</v>
      </c>
      <c r="CM1440" t="s">
        <v>111</v>
      </c>
      <c r="CN1440" t="s">
        <v>111</v>
      </c>
      <c r="CO1440" t="s">
        <v>111</v>
      </c>
      <c r="CP1440" t="s">
        <v>111</v>
      </c>
      <c r="CQ1440">
        <v>0</v>
      </c>
      <c r="CR1440">
        <v>750</v>
      </c>
      <c r="CS1440">
        <v>50</v>
      </c>
      <c r="CT1440" t="s">
        <v>111</v>
      </c>
      <c r="CU1440">
        <v>0</v>
      </c>
      <c r="CV1440" t="s">
        <v>111</v>
      </c>
      <c r="CW1440" t="s">
        <v>111</v>
      </c>
      <c r="CX1440" t="s">
        <v>111</v>
      </c>
      <c r="CY1440">
        <v>0</v>
      </c>
      <c r="CZ1440" t="s">
        <v>111</v>
      </c>
      <c r="DA1440" t="s">
        <v>111</v>
      </c>
      <c r="DB1440" t="s">
        <v>111</v>
      </c>
      <c r="DC1440" t="s">
        <v>111</v>
      </c>
    </row>
    <row r="1441" spans="1:107">
      <c r="A1441">
        <v>489</v>
      </c>
      <c r="B1441" t="s">
        <v>162</v>
      </c>
      <c r="C1441" t="s">
        <v>1643</v>
      </c>
      <c r="D1441" t="s">
        <v>4058</v>
      </c>
      <c r="E1441" t="s">
        <v>4059</v>
      </c>
      <c r="F1441" t="s">
        <v>2211</v>
      </c>
      <c r="G1441" t="s">
        <v>24</v>
      </c>
      <c r="H1441">
        <v>1.3</v>
      </c>
      <c r="I1441">
        <v>30</v>
      </c>
      <c r="J1441">
        <v>0</v>
      </c>
      <c r="K1441">
        <v>0</v>
      </c>
      <c r="L1441" t="s">
        <v>117</v>
      </c>
      <c r="M1441" t="s">
        <v>138</v>
      </c>
      <c r="N1441">
        <v>0</v>
      </c>
      <c r="O1441">
        <v>0</v>
      </c>
      <c r="P1441" t="s">
        <v>138</v>
      </c>
      <c r="Q1441">
        <v>30</v>
      </c>
      <c r="R1441">
        <v>0</v>
      </c>
      <c r="S1441">
        <v>0</v>
      </c>
      <c r="T1441">
        <v>0</v>
      </c>
      <c r="U1441" s="1" t="s">
        <v>4060</v>
      </c>
      <c r="V1441">
        <v>0</v>
      </c>
      <c r="W1441">
        <v>0</v>
      </c>
      <c r="X1441">
        <v>0</v>
      </c>
      <c r="Y1441">
        <v>25</v>
      </c>
      <c r="Z1441" t="s">
        <v>111</v>
      </c>
      <c r="AA1441">
        <v>0</v>
      </c>
      <c r="AB1441" t="s">
        <v>111</v>
      </c>
      <c r="AC1441">
        <v>0</v>
      </c>
      <c r="AD1441" t="s">
        <v>111</v>
      </c>
      <c r="AE1441">
        <v>0</v>
      </c>
      <c r="AF1441">
        <v>0</v>
      </c>
      <c r="AG1441" t="s">
        <v>111</v>
      </c>
      <c r="AH1441" t="s">
        <v>111</v>
      </c>
      <c r="AI1441" t="s">
        <v>111</v>
      </c>
      <c r="AJ1441" t="s">
        <v>111</v>
      </c>
      <c r="AK1441" t="s">
        <v>111</v>
      </c>
      <c r="AL1441" t="s">
        <v>111</v>
      </c>
      <c r="AM1441">
        <v>0</v>
      </c>
      <c r="AN1441">
        <v>0</v>
      </c>
      <c r="AO1441">
        <v>0</v>
      </c>
      <c r="AP1441" t="s">
        <v>111</v>
      </c>
      <c r="AQ1441" t="s">
        <v>111</v>
      </c>
      <c r="AR1441" t="s">
        <v>111</v>
      </c>
      <c r="AS1441" t="s">
        <v>111</v>
      </c>
      <c r="AT1441" t="s">
        <v>111</v>
      </c>
      <c r="AU1441" t="s">
        <v>111</v>
      </c>
      <c r="AV1441" t="s">
        <v>111</v>
      </c>
      <c r="AW1441" t="s">
        <v>111</v>
      </c>
      <c r="AX1441" t="s">
        <v>111</v>
      </c>
      <c r="AY1441" t="s">
        <v>111</v>
      </c>
      <c r="AZ1441" t="s">
        <v>111</v>
      </c>
      <c r="BA1441" t="s">
        <v>111</v>
      </c>
      <c r="BB1441" t="s">
        <v>111</v>
      </c>
      <c r="BC1441" t="s">
        <v>111</v>
      </c>
      <c r="BD1441" t="s">
        <v>111</v>
      </c>
      <c r="BE1441" t="s">
        <v>111</v>
      </c>
      <c r="BF1441" t="s">
        <v>111</v>
      </c>
      <c r="BG1441" t="s">
        <v>111</v>
      </c>
      <c r="BH1441" t="s">
        <v>111</v>
      </c>
      <c r="BI1441" t="s">
        <v>111</v>
      </c>
      <c r="BJ1441" t="s">
        <v>111</v>
      </c>
      <c r="BK1441" t="s">
        <v>111</v>
      </c>
      <c r="BL1441" t="s">
        <v>111</v>
      </c>
      <c r="BM1441" t="s">
        <v>111</v>
      </c>
      <c r="BN1441" t="s">
        <v>111</v>
      </c>
      <c r="BO1441" t="s">
        <v>111</v>
      </c>
      <c r="BP1441" t="s">
        <v>111</v>
      </c>
      <c r="BQ1441" t="s">
        <v>111</v>
      </c>
      <c r="BR1441" t="s">
        <v>111</v>
      </c>
      <c r="BS1441" t="s">
        <v>111</v>
      </c>
      <c r="BT1441" t="s">
        <v>111</v>
      </c>
      <c r="BU1441" t="s">
        <v>111</v>
      </c>
      <c r="BV1441" t="s">
        <v>111</v>
      </c>
      <c r="BW1441" t="s">
        <v>111</v>
      </c>
      <c r="BX1441" t="s">
        <v>111</v>
      </c>
      <c r="BY1441" t="s">
        <v>111</v>
      </c>
      <c r="BZ1441" t="s">
        <v>111</v>
      </c>
      <c r="CA1441" t="s">
        <v>111</v>
      </c>
      <c r="CB1441" t="s">
        <v>111</v>
      </c>
      <c r="CC1441" t="s">
        <v>111</v>
      </c>
      <c r="CD1441" t="s">
        <v>111</v>
      </c>
      <c r="CE1441" t="s">
        <v>111</v>
      </c>
      <c r="CF1441" t="s">
        <v>111</v>
      </c>
      <c r="CG1441" t="s">
        <v>111</v>
      </c>
      <c r="CH1441" t="s">
        <v>111</v>
      </c>
      <c r="CI1441" t="s">
        <v>111</v>
      </c>
      <c r="CJ1441" t="s">
        <v>111</v>
      </c>
      <c r="CK1441" t="s">
        <v>111</v>
      </c>
      <c r="CL1441" t="s">
        <v>111</v>
      </c>
      <c r="CM1441" t="s">
        <v>111</v>
      </c>
      <c r="CN1441" t="s">
        <v>111</v>
      </c>
      <c r="CO1441" t="s">
        <v>111</v>
      </c>
      <c r="CP1441" t="s">
        <v>111</v>
      </c>
      <c r="CQ1441">
        <v>0</v>
      </c>
      <c r="CR1441">
        <v>0</v>
      </c>
      <c r="CS1441">
        <v>0</v>
      </c>
      <c r="CT1441" t="s">
        <v>111</v>
      </c>
      <c r="CU1441">
        <v>0</v>
      </c>
      <c r="CV1441" t="s">
        <v>111</v>
      </c>
      <c r="CW1441" t="s">
        <v>111</v>
      </c>
      <c r="CX1441" t="s">
        <v>111</v>
      </c>
      <c r="CY1441">
        <v>0</v>
      </c>
      <c r="CZ1441" t="s">
        <v>111</v>
      </c>
      <c r="DA1441" t="s">
        <v>111</v>
      </c>
      <c r="DB1441" t="s">
        <v>111</v>
      </c>
      <c r="DC1441" t="s">
        <v>111</v>
      </c>
    </row>
    <row r="1442" spans="1:107">
      <c r="A1442">
        <v>346</v>
      </c>
      <c r="B1442" t="s">
        <v>162</v>
      </c>
      <c r="C1442" t="s">
        <v>1643</v>
      </c>
      <c r="D1442" t="s">
        <v>3912</v>
      </c>
      <c r="E1442" t="s">
        <v>4061</v>
      </c>
      <c r="F1442" t="s">
        <v>2211</v>
      </c>
      <c r="G1442" t="s">
        <v>24</v>
      </c>
      <c r="H1442">
        <v>1.1499999999999999</v>
      </c>
      <c r="I1442">
        <v>28</v>
      </c>
      <c r="J1442">
        <v>0</v>
      </c>
      <c r="K1442">
        <v>0</v>
      </c>
      <c r="L1442" t="s">
        <v>2054</v>
      </c>
      <c r="M1442" t="s">
        <v>138</v>
      </c>
      <c r="N1442">
        <v>0</v>
      </c>
      <c r="O1442">
        <v>0</v>
      </c>
      <c r="P1442" t="s">
        <v>138</v>
      </c>
      <c r="Q1442">
        <v>30</v>
      </c>
      <c r="R1442">
        <v>0</v>
      </c>
      <c r="S1442">
        <v>0</v>
      </c>
      <c r="T1442">
        <v>0</v>
      </c>
      <c r="U1442" s="1" t="s">
        <v>4062</v>
      </c>
      <c r="V1442">
        <v>0</v>
      </c>
      <c r="W1442">
        <v>0</v>
      </c>
      <c r="X1442">
        <v>0</v>
      </c>
      <c r="Y1442">
        <v>25</v>
      </c>
      <c r="Z1442" t="s">
        <v>111</v>
      </c>
      <c r="AA1442">
        <v>0</v>
      </c>
      <c r="AB1442" t="s">
        <v>4063</v>
      </c>
      <c r="AC1442">
        <v>0</v>
      </c>
      <c r="AD1442" t="s">
        <v>111</v>
      </c>
      <c r="AE1442">
        <v>0</v>
      </c>
      <c r="AF1442">
        <v>0</v>
      </c>
      <c r="AG1442" t="s">
        <v>111</v>
      </c>
      <c r="AH1442" t="s">
        <v>111</v>
      </c>
      <c r="AI1442" t="s">
        <v>111</v>
      </c>
      <c r="AJ1442" t="s">
        <v>111</v>
      </c>
      <c r="AK1442" t="s">
        <v>111</v>
      </c>
      <c r="AL1442" t="s">
        <v>111</v>
      </c>
      <c r="AM1442">
        <v>0</v>
      </c>
      <c r="AN1442">
        <v>0</v>
      </c>
      <c r="AO1442">
        <v>0</v>
      </c>
      <c r="AP1442" t="s">
        <v>111</v>
      </c>
      <c r="AQ1442" t="s">
        <v>111</v>
      </c>
      <c r="AR1442" t="s">
        <v>111</v>
      </c>
      <c r="AS1442" t="s">
        <v>111</v>
      </c>
      <c r="AT1442" t="s">
        <v>111</v>
      </c>
      <c r="AU1442" t="s">
        <v>111</v>
      </c>
      <c r="AV1442" t="s">
        <v>111</v>
      </c>
      <c r="AW1442" t="s">
        <v>111</v>
      </c>
      <c r="AX1442" t="s">
        <v>111</v>
      </c>
      <c r="AY1442" t="s">
        <v>111</v>
      </c>
      <c r="AZ1442" t="s">
        <v>111</v>
      </c>
      <c r="BA1442" t="s">
        <v>111</v>
      </c>
      <c r="BB1442" t="s">
        <v>111</v>
      </c>
      <c r="BC1442" t="s">
        <v>111</v>
      </c>
      <c r="BD1442" t="s">
        <v>111</v>
      </c>
      <c r="BE1442" t="s">
        <v>111</v>
      </c>
      <c r="BF1442" t="s">
        <v>111</v>
      </c>
      <c r="BG1442" t="s">
        <v>111</v>
      </c>
      <c r="BH1442" t="s">
        <v>111</v>
      </c>
      <c r="BI1442" t="s">
        <v>111</v>
      </c>
      <c r="BJ1442" t="s">
        <v>111</v>
      </c>
      <c r="BK1442" t="s">
        <v>111</v>
      </c>
      <c r="BL1442" t="s">
        <v>111</v>
      </c>
      <c r="BM1442" t="s">
        <v>111</v>
      </c>
      <c r="BN1442" t="s">
        <v>111</v>
      </c>
      <c r="BO1442" t="s">
        <v>111</v>
      </c>
      <c r="BP1442" t="s">
        <v>111</v>
      </c>
      <c r="BQ1442" t="s">
        <v>111</v>
      </c>
      <c r="BR1442" t="s">
        <v>111</v>
      </c>
      <c r="BS1442" t="s">
        <v>111</v>
      </c>
      <c r="BT1442" t="s">
        <v>111</v>
      </c>
      <c r="BU1442" t="s">
        <v>111</v>
      </c>
      <c r="BV1442" t="s">
        <v>111</v>
      </c>
      <c r="BW1442" t="s">
        <v>111</v>
      </c>
      <c r="BX1442" t="s">
        <v>111</v>
      </c>
      <c r="BY1442" t="s">
        <v>111</v>
      </c>
      <c r="BZ1442" t="s">
        <v>111</v>
      </c>
      <c r="CA1442" t="s">
        <v>111</v>
      </c>
      <c r="CB1442" t="s">
        <v>111</v>
      </c>
      <c r="CC1442" t="s">
        <v>111</v>
      </c>
      <c r="CD1442" t="s">
        <v>111</v>
      </c>
      <c r="CE1442" t="s">
        <v>111</v>
      </c>
      <c r="CF1442" t="s">
        <v>111</v>
      </c>
      <c r="CG1442" t="s">
        <v>111</v>
      </c>
      <c r="CH1442" t="s">
        <v>111</v>
      </c>
      <c r="CI1442" t="s">
        <v>111</v>
      </c>
      <c r="CJ1442" t="s">
        <v>111</v>
      </c>
      <c r="CK1442" t="s">
        <v>111</v>
      </c>
      <c r="CL1442" t="s">
        <v>111</v>
      </c>
      <c r="CM1442" t="s">
        <v>111</v>
      </c>
      <c r="CN1442" t="s">
        <v>111</v>
      </c>
      <c r="CO1442" t="s">
        <v>111</v>
      </c>
      <c r="CP1442" t="s">
        <v>111</v>
      </c>
      <c r="CQ1442">
        <v>0</v>
      </c>
      <c r="CR1442">
        <v>0</v>
      </c>
      <c r="CS1442">
        <v>0</v>
      </c>
      <c r="CT1442" t="s">
        <v>111</v>
      </c>
      <c r="CU1442">
        <v>0</v>
      </c>
      <c r="CV1442" t="s">
        <v>111</v>
      </c>
      <c r="CW1442" t="s">
        <v>111</v>
      </c>
      <c r="CX1442" t="s">
        <v>111</v>
      </c>
      <c r="CY1442">
        <v>0</v>
      </c>
      <c r="CZ1442" t="s">
        <v>111</v>
      </c>
      <c r="DA1442" t="s">
        <v>111</v>
      </c>
      <c r="DB1442" t="s">
        <v>111</v>
      </c>
      <c r="DC1442" t="s">
        <v>111</v>
      </c>
    </row>
    <row r="1443" spans="1:107">
      <c r="A1443">
        <v>490</v>
      </c>
      <c r="B1443" t="s">
        <v>162</v>
      </c>
      <c r="C1443" t="s">
        <v>4064</v>
      </c>
      <c r="D1443" t="s">
        <v>4065</v>
      </c>
      <c r="E1443" t="s">
        <v>4066</v>
      </c>
      <c r="F1443" t="s">
        <v>1071</v>
      </c>
      <c r="G1443" t="s">
        <v>24</v>
      </c>
      <c r="H1443">
        <v>1.5</v>
      </c>
      <c r="I1443">
        <v>45</v>
      </c>
      <c r="J1443">
        <v>0</v>
      </c>
      <c r="K1443">
        <v>0</v>
      </c>
      <c r="L1443" t="s">
        <v>112</v>
      </c>
      <c r="M1443" t="s">
        <v>138</v>
      </c>
      <c r="N1443">
        <v>0</v>
      </c>
      <c r="O1443">
        <v>0</v>
      </c>
      <c r="P1443" t="s">
        <v>138</v>
      </c>
      <c r="Q1443">
        <v>30</v>
      </c>
      <c r="R1443">
        <v>0</v>
      </c>
      <c r="S1443">
        <v>0</v>
      </c>
      <c r="T1443">
        <v>0</v>
      </c>
      <c r="U1443" t="s">
        <v>153</v>
      </c>
      <c r="V1443">
        <v>0</v>
      </c>
      <c r="W1443">
        <v>0</v>
      </c>
      <c r="X1443">
        <v>0</v>
      </c>
      <c r="Y1443">
        <v>25</v>
      </c>
      <c r="Z1443" t="s">
        <v>111</v>
      </c>
      <c r="AA1443">
        <v>0</v>
      </c>
      <c r="AB1443" t="s">
        <v>111</v>
      </c>
      <c r="AC1443">
        <v>0</v>
      </c>
      <c r="AD1443" t="s">
        <v>111</v>
      </c>
      <c r="AE1443">
        <v>0</v>
      </c>
      <c r="AF1443">
        <v>0</v>
      </c>
      <c r="AG1443" t="s">
        <v>111</v>
      </c>
      <c r="AH1443" t="s">
        <v>111</v>
      </c>
      <c r="AI1443" t="s">
        <v>111</v>
      </c>
      <c r="AJ1443" t="s">
        <v>111</v>
      </c>
      <c r="AK1443" t="s">
        <v>111</v>
      </c>
      <c r="AL1443" t="s">
        <v>111</v>
      </c>
      <c r="AM1443">
        <v>0</v>
      </c>
      <c r="AN1443">
        <v>0</v>
      </c>
      <c r="AO1443">
        <v>0</v>
      </c>
      <c r="AP1443" t="s">
        <v>111</v>
      </c>
      <c r="AQ1443" t="s">
        <v>111</v>
      </c>
      <c r="AR1443" t="s">
        <v>111</v>
      </c>
      <c r="AS1443" t="s">
        <v>111</v>
      </c>
      <c r="AT1443" t="s">
        <v>111</v>
      </c>
      <c r="AU1443" t="s">
        <v>111</v>
      </c>
      <c r="AV1443" t="s">
        <v>111</v>
      </c>
      <c r="AW1443" t="s">
        <v>111</v>
      </c>
      <c r="AX1443" t="s">
        <v>111</v>
      </c>
      <c r="AY1443" t="s">
        <v>111</v>
      </c>
      <c r="AZ1443" t="s">
        <v>111</v>
      </c>
      <c r="BA1443" t="s">
        <v>111</v>
      </c>
      <c r="BB1443" t="s">
        <v>111</v>
      </c>
      <c r="BC1443" t="s">
        <v>111</v>
      </c>
      <c r="BD1443" t="s">
        <v>111</v>
      </c>
      <c r="BE1443" t="s">
        <v>111</v>
      </c>
      <c r="BF1443" t="s">
        <v>111</v>
      </c>
      <c r="BG1443" t="s">
        <v>111</v>
      </c>
      <c r="BH1443" t="s">
        <v>111</v>
      </c>
      <c r="BI1443" t="s">
        <v>111</v>
      </c>
      <c r="BJ1443" t="s">
        <v>111</v>
      </c>
      <c r="BK1443" t="s">
        <v>111</v>
      </c>
      <c r="BL1443" t="s">
        <v>111</v>
      </c>
      <c r="BM1443" t="s">
        <v>111</v>
      </c>
      <c r="BN1443" t="s">
        <v>111</v>
      </c>
      <c r="BO1443" t="s">
        <v>111</v>
      </c>
      <c r="BP1443" t="s">
        <v>111</v>
      </c>
      <c r="BQ1443" t="s">
        <v>111</v>
      </c>
      <c r="BR1443" t="s">
        <v>111</v>
      </c>
      <c r="BS1443" t="s">
        <v>111</v>
      </c>
      <c r="BT1443" t="s">
        <v>111</v>
      </c>
      <c r="BU1443" t="s">
        <v>111</v>
      </c>
      <c r="BV1443" t="s">
        <v>111</v>
      </c>
      <c r="BW1443" t="s">
        <v>111</v>
      </c>
      <c r="BX1443" t="s">
        <v>111</v>
      </c>
      <c r="BY1443" t="s">
        <v>111</v>
      </c>
      <c r="BZ1443" t="s">
        <v>111</v>
      </c>
      <c r="CA1443" t="s">
        <v>111</v>
      </c>
      <c r="CB1443" t="s">
        <v>111</v>
      </c>
      <c r="CC1443" t="s">
        <v>111</v>
      </c>
      <c r="CD1443" t="s">
        <v>111</v>
      </c>
      <c r="CE1443" t="s">
        <v>111</v>
      </c>
      <c r="CF1443" t="s">
        <v>111</v>
      </c>
      <c r="CG1443" t="s">
        <v>111</v>
      </c>
      <c r="CH1443" t="s">
        <v>111</v>
      </c>
      <c r="CI1443" t="s">
        <v>111</v>
      </c>
      <c r="CJ1443" t="s">
        <v>111</v>
      </c>
      <c r="CK1443" t="s">
        <v>111</v>
      </c>
      <c r="CL1443" t="s">
        <v>111</v>
      </c>
      <c r="CM1443" t="s">
        <v>198</v>
      </c>
      <c r="CN1443" t="s">
        <v>113</v>
      </c>
      <c r="CO1443" t="s">
        <v>111</v>
      </c>
      <c r="CP1443" t="s">
        <v>111</v>
      </c>
      <c r="CQ1443">
        <v>0</v>
      </c>
      <c r="CR1443">
        <v>0</v>
      </c>
      <c r="CS1443">
        <v>0</v>
      </c>
      <c r="CT1443" t="s">
        <v>168</v>
      </c>
      <c r="CU1443">
        <v>0</v>
      </c>
      <c r="CV1443" t="s">
        <v>111</v>
      </c>
      <c r="CW1443" t="s">
        <v>111</v>
      </c>
      <c r="CX1443" t="s">
        <v>111</v>
      </c>
      <c r="CY1443">
        <v>0</v>
      </c>
      <c r="CZ1443" t="s">
        <v>111</v>
      </c>
      <c r="DA1443" t="s">
        <v>111</v>
      </c>
      <c r="DB1443" t="s">
        <v>111</v>
      </c>
      <c r="DC1443" t="s">
        <v>111</v>
      </c>
    </row>
    <row r="1444" spans="1:107">
      <c r="A1444">
        <v>362</v>
      </c>
      <c r="B1444" t="s">
        <v>162</v>
      </c>
      <c r="C1444" t="s">
        <v>3123</v>
      </c>
      <c r="D1444" t="s">
        <v>4067</v>
      </c>
      <c r="E1444" t="s">
        <v>4068</v>
      </c>
      <c r="F1444" t="s">
        <v>1651</v>
      </c>
      <c r="G1444" t="s">
        <v>24</v>
      </c>
      <c r="H1444">
        <v>1.5</v>
      </c>
      <c r="I1444">
        <v>50</v>
      </c>
      <c r="J1444">
        <v>0</v>
      </c>
      <c r="K1444">
        <v>0</v>
      </c>
      <c r="L1444" t="s">
        <v>112</v>
      </c>
      <c r="M1444" t="s">
        <v>118</v>
      </c>
      <c r="N1444">
        <v>40</v>
      </c>
      <c r="O1444">
        <v>2</v>
      </c>
      <c r="P1444" t="s">
        <v>138</v>
      </c>
      <c r="Q1444">
        <v>45</v>
      </c>
      <c r="R1444">
        <v>0</v>
      </c>
      <c r="S1444">
        <v>0</v>
      </c>
      <c r="T1444">
        <v>0</v>
      </c>
      <c r="U1444" t="s">
        <v>168</v>
      </c>
      <c r="V1444">
        <v>0</v>
      </c>
      <c r="W1444">
        <v>0</v>
      </c>
      <c r="X1444">
        <v>1</v>
      </c>
      <c r="Y1444">
        <v>0</v>
      </c>
      <c r="Z1444" t="s">
        <v>111</v>
      </c>
      <c r="AA1444">
        <v>0</v>
      </c>
      <c r="AB1444" t="s">
        <v>111</v>
      </c>
      <c r="AC1444">
        <v>0</v>
      </c>
      <c r="AD1444" t="s">
        <v>416</v>
      </c>
      <c r="AE1444">
        <v>0</v>
      </c>
      <c r="AF1444">
        <v>2</v>
      </c>
      <c r="AG1444">
        <v>21</v>
      </c>
      <c r="AH1444" t="s">
        <v>111</v>
      </c>
      <c r="AI1444">
        <v>42</v>
      </c>
      <c r="AJ1444" t="s">
        <v>111</v>
      </c>
      <c r="AK1444" t="s">
        <v>111</v>
      </c>
      <c r="AL1444" t="s">
        <v>111</v>
      </c>
      <c r="AM1444">
        <v>0</v>
      </c>
      <c r="AN1444">
        <v>0</v>
      </c>
      <c r="AO1444">
        <v>0</v>
      </c>
      <c r="AP1444" t="s">
        <v>111</v>
      </c>
      <c r="AQ1444" t="s">
        <v>111</v>
      </c>
      <c r="AR1444" t="s">
        <v>111</v>
      </c>
      <c r="AS1444" t="s">
        <v>111</v>
      </c>
      <c r="AT1444" t="s">
        <v>111</v>
      </c>
      <c r="AU1444" t="s">
        <v>111</v>
      </c>
      <c r="AV1444" t="s">
        <v>111</v>
      </c>
      <c r="AW1444" t="s">
        <v>111</v>
      </c>
      <c r="AX1444" t="s">
        <v>111</v>
      </c>
      <c r="AY1444" t="s">
        <v>111</v>
      </c>
      <c r="AZ1444" t="s">
        <v>111</v>
      </c>
      <c r="BA1444" t="s">
        <v>111</v>
      </c>
      <c r="BB1444" t="s">
        <v>111</v>
      </c>
      <c r="BC1444" t="s">
        <v>111</v>
      </c>
      <c r="BD1444" t="s">
        <v>111</v>
      </c>
      <c r="BE1444" t="s">
        <v>111</v>
      </c>
      <c r="BF1444" t="s">
        <v>111</v>
      </c>
      <c r="BG1444" t="s">
        <v>111</v>
      </c>
      <c r="BH1444" t="s">
        <v>111</v>
      </c>
      <c r="BI1444" t="s">
        <v>111</v>
      </c>
      <c r="BJ1444" t="s">
        <v>111</v>
      </c>
      <c r="BK1444" t="s">
        <v>111</v>
      </c>
      <c r="BL1444" t="s">
        <v>111</v>
      </c>
      <c r="BM1444" t="s">
        <v>111</v>
      </c>
      <c r="BN1444" t="s">
        <v>111</v>
      </c>
      <c r="BO1444" t="s">
        <v>111</v>
      </c>
      <c r="BP1444" t="s">
        <v>111</v>
      </c>
      <c r="BQ1444" t="s">
        <v>111</v>
      </c>
      <c r="BR1444" t="s">
        <v>111</v>
      </c>
      <c r="BS1444" t="s">
        <v>111</v>
      </c>
      <c r="BT1444" t="s">
        <v>111</v>
      </c>
      <c r="BU1444" t="s">
        <v>111</v>
      </c>
      <c r="BV1444" t="s">
        <v>111</v>
      </c>
      <c r="BW1444" t="s">
        <v>111</v>
      </c>
      <c r="BX1444" t="s">
        <v>111</v>
      </c>
      <c r="BY1444" t="s">
        <v>111</v>
      </c>
      <c r="BZ1444" t="s">
        <v>111</v>
      </c>
      <c r="CA1444" t="s">
        <v>111</v>
      </c>
      <c r="CB1444" t="s">
        <v>111</v>
      </c>
      <c r="CC1444" t="s">
        <v>111</v>
      </c>
      <c r="CD1444" t="s">
        <v>111</v>
      </c>
      <c r="CE1444" t="s">
        <v>111</v>
      </c>
      <c r="CF1444" t="s">
        <v>111</v>
      </c>
      <c r="CG1444" t="s">
        <v>111</v>
      </c>
      <c r="CH1444" t="s">
        <v>111</v>
      </c>
      <c r="CI1444" t="s">
        <v>111</v>
      </c>
      <c r="CJ1444" t="s">
        <v>111</v>
      </c>
      <c r="CK1444" t="s">
        <v>111</v>
      </c>
      <c r="CL1444" t="s">
        <v>153</v>
      </c>
      <c r="CM1444" t="s">
        <v>198</v>
      </c>
      <c r="CN1444" t="s">
        <v>113</v>
      </c>
      <c r="CO1444" t="s">
        <v>111</v>
      </c>
      <c r="CP1444" t="s">
        <v>433</v>
      </c>
      <c r="CQ1444">
        <v>0</v>
      </c>
      <c r="CR1444">
        <v>0</v>
      </c>
      <c r="CS1444">
        <v>0</v>
      </c>
      <c r="CT1444" t="s">
        <v>168</v>
      </c>
      <c r="CU1444">
        <v>0</v>
      </c>
      <c r="CV1444" t="s">
        <v>111</v>
      </c>
      <c r="CW1444" t="s">
        <v>111</v>
      </c>
      <c r="CX1444" t="s">
        <v>111</v>
      </c>
      <c r="CY1444">
        <v>0</v>
      </c>
      <c r="CZ1444" t="s">
        <v>111</v>
      </c>
      <c r="DA1444" t="s">
        <v>111</v>
      </c>
      <c r="DB1444" t="s">
        <v>111</v>
      </c>
      <c r="DC1444" t="s">
        <v>111</v>
      </c>
    </row>
    <row r="1445" spans="1:107">
      <c r="A1445">
        <v>38</v>
      </c>
      <c r="B1445" t="s">
        <v>162</v>
      </c>
      <c r="C1445" t="s">
        <v>1068</v>
      </c>
      <c r="D1445" t="s">
        <v>4069</v>
      </c>
      <c r="E1445">
        <v>87010129</v>
      </c>
      <c r="F1445" t="s">
        <v>1071</v>
      </c>
      <c r="G1445" t="s">
        <v>24</v>
      </c>
      <c r="H1445">
        <v>2.8</v>
      </c>
      <c r="I1445">
        <v>30</v>
      </c>
      <c r="J1445">
        <v>0</v>
      </c>
      <c r="K1445">
        <v>0</v>
      </c>
      <c r="L1445" t="s">
        <v>112</v>
      </c>
      <c r="M1445" t="s">
        <v>138</v>
      </c>
      <c r="N1445">
        <v>0</v>
      </c>
      <c r="O1445">
        <v>0</v>
      </c>
      <c r="P1445" t="s">
        <v>138</v>
      </c>
      <c r="Q1445">
        <v>31.6</v>
      </c>
      <c r="R1445">
        <v>0</v>
      </c>
      <c r="S1445">
        <v>0</v>
      </c>
      <c r="T1445">
        <v>5</v>
      </c>
      <c r="U1445" t="s">
        <v>153</v>
      </c>
      <c r="V1445">
        <v>0</v>
      </c>
      <c r="W1445">
        <v>0</v>
      </c>
      <c r="X1445">
        <v>0</v>
      </c>
      <c r="Y1445">
        <v>25</v>
      </c>
      <c r="Z1445" t="s">
        <v>111</v>
      </c>
      <c r="AA1445">
        <v>0</v>
      </c>
      <c r="AB1445" t="s">
        <v>111</v>
      </c>
      <c r="AC1445">
        <v>0</v>
      </c>
      <c r="AD1445" t="s">
        <v>111</v>
      </c>
      <c r="AE1445">
        <v>0</v>
      </c>
      <c r="AF1445">
        <v>0</v>
      </c>
      <c r="AG1445" t="s">
        <v>111</v>
      </c>
      <c r="AH1445" t="s">
        <v>111</v>
      </c>
      <c r="AI1445" t="s">
        <v>111</v>
      </c>
      <c r="AJ1445" t="s">
        <v>111</v>
      </c>
      <c r="AK1445" t="s">
        <v>111</v>
      </c>
      <c r="AL1445" t="s">
        <v>111</v>
      </c>
      <c r="AM1445">
        <v>0</v>
      </c>
      <c r="AN1445">
        <v>0</v>
      </c>
      <c r="AO1445">
        <v>0</v>
      </c>
      <c r="AP1445" t="s">
        <v>111</v>
      </c>
      <c r="AQ1445" t="s">
        <v>111</v>
      </c>
      <c r="AR1445" t="s">
        <v>111</v>
      </c>
      <c r="AS1445" t="s">
        <v>111</v>
      </c>
      <c r="AT1445" t="s">
        <v>111</v>
      </c>
      <c r="AU1445" t="s">
        <v>111</v>
      </c>
      <c r="AV1445" t="s">
        <v>111</v>
      </c>
      <c r="AW1445" t="s">
        <v>111</v>
      </c>
      <c r="AX1445" t="s">
        <v>111</v>
      </c>
      <c r="AY1445" t="s">
        <v>111</v>
      </c>
      <c r="AZ1445" t="s">
        <v>111</v>
      </c>
      <c r="BA1445" t="s">
        <v>111</v>
      </c>
      <c r="BB1445" t="s">
        <v>111</v>
      </c>
      <c r="BC1445" t="s">
        <v>111</v>
      </c>
      <c r="BD1445" t="s">
        <v>111</v>
      </c>
      <c r="BE1445" t="s">
        <v>111</v>
      </c>
      <c r="BF1445" t="s">
        <v>111</v>
      </c>
      <c r="BG1445" t="s">
        <v>111</v>
      </c>
      <c r="BH1445" t="s">
        <v>111</v>
      </c>
      <c r="BI1445" t="s">
        <v>111</v>
      </c>
      <c r="BJ1445" t="s">
        <v>111</v>
      </c>
      <c r="BK1445" t="s">
        <v>111</v>
      </c>
      <c r="BL1445" t="s">
        <v>111</v>
      </c>
      <c r="BM1445" t="s">
        <v>111</v>
      </c>
      <c r="BN1445" t="s">
        <v>111</v>
      </c>
      <c r="BO1445" t="s">
        <v>111</v>
      </c>
      <c r="BP1445" t="s">
        <v>111</v>
      </c>
      <c r="BQ1445" t="s">
        <v>111</v>
      </c>
      <c r="BR1445" t="s">
        <v>111</v>
      </c>
      <c r="BS1445" t="s">
        <v>111</v>
      </c>
      <c r="BT1445" t="s">
        <v>111</v>
      </c>
      <c r="BU1445" t="s">
        <v>111</v>
      </c>
      <c r="BV1445" t="s">
        <v>111</v>
      </c>
      <c r="BW1445" t="s">
        <v>111</v>
      </c>
      <c r="BX1445" t="s">
        <v>111</v>
      </c>
      <c r="BY1445" t="s">
        <v>111</v>
      </c>
      <c r="BZ1445" t="s">
        <v>111</v>
      </c>
      <c r="CA1445" t="s">
        <v>111</v>
      </c>
      <c r="CB1445" t="s">
        <v>111</v>
      </c>
      <c r="CC1445" t="s">
        <v>111</v>
      </c>
      <c r="CD1445" t="s">
        <v>111</v>
      </c>
      <c r="CE1445" t="s">
        <v>111</v>
      </c>
      <c r="CF1445" t="s">
        <v>111</v>
      </c>
      <c r="CG1445" t="s">
        <v>111</v>
      </c>
      <c r="CH1445" t="s">
        <v>111</v>
      </c>
      <c r="CI1445" t="s">
        <v>111</v>
      </c>
      <c r="CJ1445" t="s">
        <v>111</v>
      </c>
      <c r="CK1445" t="s">
        <v>111</v>
      </c>
      <c r="CL1445" t="s">
        <v>111</v>
      </c>
      <c r="CM1445" t="s">
        <v>198</v>
      </c>
      <c r="CN1445" t="s">
        <v>113</v>
      </c>
      <c r="CO1445" t="s">
        <v>2070</v>
      </c>
      <c r="CP1445" t="s">
        <v>111</v>
      </c>
      <c r="CQ1445">
        <v>62</v>
      </c>
      <c r="CR1445">
        <v>2000</v>
      </c>
      <c r="CS1445">
        <v>50</v>
      </c>
      <c r="CT1445" t="e">
        <f>- BIEN EMPACADO EN BOLSAS PARATROQUELAR</f>
        <v>#NAME?</v>
      </c>
      <c r="CU1445">
        <v>0</v>
      </c>
      <c r="CV1445" t="s">
        <v>111</v>
      </c>
      <c r="CW1445" t="s">
        <v>111</v>
      </c>
      <c r="CX1445" t="s">
        <v>111</v>
      </c>
      <c r="CY1445">
        <v>0</v>
      </c>
      <c r="CZ1445" t="s">
        <v>111</v>
      </c>
      <c r="DA1445" t="s">
        <v>111</v>
      </c>
      <c r="DB1445" t="s">
        <v>204</v>
      </c>
      <c r="DC1445" s="1" t="s">
        <v>4070</v>
      </c>
    </row>
    <row r="1446" spans="1:107">
      <c r="A1446">
        <v>216</v>
      </c>
      <c r="B1446" t="s">
        <v>107</v>
      </c>
      <c r="C1446" t="s">
        <v>421</v>
      </c>
      <c r="D1446" t="s">
        <v>4071</v>
      </c>
      <c r="E1446" t="s">
        <v>4072</v>
      </c>
      <c r="F1446" t="s">
        <v>1651</v>
      </c>
      <c r="G1446" t="s">
        <v>24</v>
      </c>
      <c r="H1446">
        <v>1.5</v>
      </c>
      <c r="I1446">
        <v>40</v>
      </c>
      <c r="J1446">
        <v>0</v>
      </c>
      <c r="K1446">
        <v>0</v>
      </c>
      <c r="L1446" t="s">
        <v>112</v>
      </c>
      <c r="M1446" t="s">
        <v>118</v>
      </c>
      <c r="N1446">
        <v>40</v>
      </c>
      <c r="O1446">
        <v>1</v>
      </c>
      <c r="P1446" t="s">
        <v>138</v>
      </c>
      <c r="Q1446">
        <v>35</v>
      </c>
      <c r="R1446">
        <v>0</v>
      </c>
      <c r="S1446">
        <v>0</v>
      </c>
      <c r="T1446">
        <v>0</v>
      </c>
      <c r="U1446" s="1" t="s">
        <v>4073</v>
      </c>
      <c r="V1446">
        <v>0</v>
      </c>
      <c r="W1446">
        <v>0</v>
      </c>
      <c r="X1446">
        <v>0</v>
      </c>
      <c r="Y1446">
        <v>25</v>
      </c>
      <c r="Z1446" t="s">
        <v>111</v>
      </c>
      <c r="AA1446">
        <v>0</v>
      </c>
      <c r="AB1446" t="s">
        <v>111</v>
      </c>
      <c r="AC1446">
        <v>0</v>
      </c>
      <c r="AD1446" t="s">
        <v>416</v>
      </c>
      <c r="AE1446">
        <v>0</v>
      </c>
      <c r="AF1446">
        <v>0</v>
      </c>
      <c r="AG1446" t="s">
        <v>111</v>
      </c>
      <c r="AH1446" t="s">
        <v>111</v>
      </c>
      <c r="AI1446" t="s">
        <v>111</v>
      </c>
      <c r="AJ1446" t="s">
        <v>111</v>
      </c>
      <c r="AK1446" t="s">
        <v>111</v>
      </c>
      <c r="AL1446" t="s">
        <v>111</v>
      </c>
      <c r="AM1446">
        <v>0</v>
      </c>
      <c r="AN1446">
        <v>0</v>
      </c>
      <c r="AO1446">
        <v>0</v>
      </c>
      <c r="AP1446" t="s">
        <v>188</v>
      </c>
      <c r="AQ1446" t="s">
        <v>111</v>
      </c>
      <c r="AR1446" t="s">
        <v>111</v>
      </c>
      <c r="AS1446" t="s">
        <v>111</v>
      </c>
      <c r="AT1446" t="s">
        <v>1091</v>
      </c>
      <c r="AU1446" t="s">
        <v>111</v>
      </c>
      <c r="AV1446" t="s">
        <v>111</v>
      </c>
      <c r="AW1446" t="s">
        <v>111</v>
      </c>
      <c r="AX1446" t="s">
        <v>111</v>
      </c>
      <c r="AY1446" t="s">
        <v>111</v>
      </c>
      <c r="AZ1446" t="s">
        <v>111</v>
      </c>
      <c r="BA1446" t="s">
        <v>111</v>
      </c>
      <c r="BB1446" t="s">
        <v>111</v>
      </c>
      <c r="BC1446" t="s">
        <v>111</v>
      </c>
      <c r="BD1446" t="s">
        <v>111</v>
      </c>
      <c r="BE1446" t="s">
        <v>111</v>
      </c>
      <c r="BF1446" t="s">
        <v>111</v>
      </c>
      <c r="BG1446" t="s">
        <v>111</v>
      </c>
      <c r="BH1446" t="s">
        <v>111</v>
      </c>
      <c r="BI1446" t="s">
        <v>111</v>
      </c>
      <c r="BJ1446" t="s">
        <v>111</v>
      </c>
      <c r="BK1446" t="s">
        <v>111</v>
      </c>
      <c r="BL1446" t="s">
        <v>111</v>
      </c>
      <c r="BM1446" t="s">
        <v>111</v>
      </c>
      <c r="BN1446" t="s">
        <v>111</v>
      </c>
      <c r="BO1446" t="s">
        <v>111</v>
      </c>
      <c r="BP1446" t="s">
        <v>111</v>
      </c>
      <c r="BQ1446" t="s">
        <v>111</v>
      </c>
      <c r="BR1446" t="s">
        <v>111</v>
      </c>
      <c r="BS1446" t="s">
        <v>111</v>
      </c>
      <c r="BT1446" t="s">
        <v>111</v>
      </c>
      <c r="BU1446" t="s">
        <v>111</v>
      </c>
      <c r="BV1446" t="s">
        <v>111</v>
      </c>
      <c r="BW1446" t="s">
        <v>111</v>
      </c>
      <c r="BX1446" t="s">
        <v>111</v>
      </c>
      <c r="BY1446" t="s">
        <v>111</v>
      </c>
      <c r="BZ1446" t="s">
        <v>111</v>
      </c>
      <c r="CA1446" t="s">
        <v>111</v>
      </c>
      <c r="CB1446" t="s">
        <v>111</v>
      </c>
      <c r="CC1446" t="s">
        <v>111</v>
      </c>
      <c r="CD1446" t="s">
        <v>111</v>
      </c>
      <c r="CE1446" t="s">
        <v>111</v>
      </c>
      <c r="CF1446" t="s">
        <v>111</v>
      </c>
      <c r="CG1446" t="s">
        <v>111</v>
      </c>
      <c r="CH1446" t="s">
        <v>111</v>
      </c>
      <c r="CI1446" t="s">
        <v>111</v>
      </c>
      <c r="CJ1446" t="s">
        <v>111</v>
      </c>
      <c r="CK1446" t="s">
        <v>111</v>
      </c>
      <c r="CL1446" t="s">
        <v>153</v>
      </c>
      <c r="CM1446" t="s">
        <v>198</v>
      </c>
      <c r="CN1446" t="s">
        <v>113</v>
      </c>
      <c r="CO1446" t="s">
        <v>111</v>
      </c>
      <c r="CP1446" t="s">
        <v>433</v>
      </c>
      <c r="CQ1446">
        <v>0</v>
      </c>
      <c r="CR1446">
        <v>3000</v>
      </c>
      <c r="CS1446">
        <v>200</v>
      </c>
      <c r="CT1446" s="1" t="s">
        <v>4074</v>
      </c>
      <c r="CU1446">
        <v>0</v>
      </c>
      <c r="CV1446" t="s">
        <v>111</v>
      </c>
      <c r="CW1446" t="s">
        <v>111</v>
      </c>
      <c r="CX1446" t="s">
        <v>111</v>
      </c>
      <c r="CY1446">
        <v>0</v>
      </c>
      <c r="CZ1446" t="s">
        <v>111</v>
      </c>
      <c r="DA1446" t="s">
        <v>111</v>
      </c>
      <c r="DB1446" t="s">
        <v>111</v>
      </c>
      <c r="DC1446" t="s">
        <v>111</v>
      </c>
    </row>
    <row r="1447" spans="1:107">
      <c r="A1447">
        <v>251</v>
      </c>
      <c r="B1447" t="s">
        <v>162</v>
      </c>
      <c r="C1447" t="s">
        <v>3933</v>
      </c>
      <c r="D1447" t="s">
        <v>4075</v>
      </c>
      <c r="E1447" t="s">
        <v>4076</v>
      </c>
      <c r="F1447" t="s">
        <v>1071</v>
      </c>
      <c r="G1447" t="s">
        <v>24</v>
      </c>
      <c r="H1447">
        <v>2.4</v>
      </c>
      <c r="I1447">
        <v>40</v>
      </c>
      <c r="J1447">
        <v>0</v>
      </c>
      <c r="K1447">
        <v>0</v>
      </c>
      <c r="L1447" t="s">
        <v>112</v>
      </c>
      <c r="M1447" t="s">
        <v>138</v>
      </c>
      <c r="N1447">
        <v>0</v>
      </c>
      <c r="O1447">
        <v>0</v>
      </c>
      <c r="P1447" t="s">
        <v>138</v>
      </c>
      <c r="Q1447">
        <v>35</v>
      </c>
      <c r="R1447">
        <v>0</v>
      </c>
      <c r="S1447">
        <v>0</v>
      </c>
      <c r="T1447">
        <v>0</v>
      </c>
      <c r="U1447" s="1" t="s">
        <v>4077</v>
      </c>
      <c r="V1447">
        <v>0</v>
      </c>
      <c r="W1447">
        <v>0</v>
      </c>
      <c r="X1447">
        <v>0</v>
      </c>
      <c r="Y1447">
        <v>25</v>
      </c>
      <c r="Z1447" t="s">
        <v>111</v>
      </c>
      <c r="AA1447">
        <v>0</v>
      </c>
      <c r="AB1447" t="s">
        <v>111</v>
      </c>
      <c r="AC1447">
        <v>0</v>
      </c>
      <c r="AD1447" t="s">
        <v>111</v>
      </c>
      <c r="AE1447">
        <v>0</v>
      </c>
      <c r="AF1447">
        <v>0</v>
      </c>
      <c r="AG1447" t="s">
        <v>111</v>
      </c>
      <c r="AH1447" t="s">
        <v>111</v>
      </c>
      <c r="AI1447" t="s">
        <v>111</v>
      </c>
      <c r="AJ1447" t="s">
        <v>111</v>
      </c>
      <c r="AK1447" t="s">
        <v>111</v>
      </c>
      <c r="AL1447" t="s">
        <v>111</v>
      </c>
      <c r="AM1447">
        <v>0</v>
      </c>
      <c r="AN1447">
        <v>0</v>
      </c>
      <c r="AO1447">
        <v>0</v>
      </c>
      <c r="AP1447" t="s">
        <v>111</v>
      </c>
      <c r="AQ1447" t="s">
        <v>111</v>
      </c>
      <c r="AR1447" t="s">
        <v>111</v>
      </c>
      <c r="AS1447" t="s">
        <v>111</v>
      </c>
      <c r="AT1447" t="s">
        <v>111</v>
      </c>
      <c r="AU1447" t="s">
        <v>111</v>
      </c>
      <c r="AV1447" t="s">
        <v>111</v>
      </c>
      <c r="AW1447" t="s">
        <v>111</v>
      </c>
      <c r="AX1447" t="s">
        <v>111</v>
      </c>
      <c r="AY1447" t="s">
        <v>111</v>
      </c>
      <c r="AZ1447" t="s">
        <v>111</v>
      </c>
      <c r="BA1447" t="s">
        <v>111</v>
      </c>
      <c r="BB1447" t="s">
        <v>111</v>
      </c>
      <c r="BC1447" t="s">
        <v>111</v>
      </c>
      <c r="BD1447" t="s">
        <v>111</v>
      </c>
      <c r="BE1447" t="s">
        <v>111</v>
      </c>
      <c r="BF1447" t="s">
        <v>111</v>
      </c>
      <c r="BG1447" t="s">
        <v>111</v>
      </c>
      <c r="BH1447" t="s">
        <v>111</v>
      </c>
      <c r="BI1447" t="s">
        <v>111</v>
      </c>
      <c r="BJ1447" t="s">
        <v>111</v>
      </c>
      <c r="BK1447" t="s">
        <v>111</v>
      </c>
      <c r="BL1447" t="s">
        <v>111</v>
      </c>
      <c r="BM1447" t="s">
        <v>111</v>
      </c>
      <c r="BN1447" t="s">
        <v>111</v>
      </c>
      <c r="BO1447" t="s">
        <v>111</v>
      </c>
      <c r="BP1447" t="s">
        <v>111</v>
      </c>
      <c r="BQ1447" t="s">
        <v>111</v>
      </c>
      <c r="BR1447" t="s">
        <v>111</v>
      </c>
      <c r="BS1447" t="s">
        <v>111</v>
      </c>
      <c r="BT1447" t="s">
        <v>111</v>
      </c>
      <c r="BU1447" t="s">
        <v>111</v>
      </c>
      <c r="BV1447" t="s">
        <v>111</v>
      </c>
      <c r="BW1447" t="s">
        <v>111</v>
      </c>
      <c r="BX1447" t="s">
        <v>111</v>
      </c>
      <c r="BY1447" t="s">
        <v>111</v>
      </c>
      <c r="BZ1447" t="s">
        <v>111</v>
      </c>
      <c r="CA1447" t="s">
        <v>111</v>
      </c>
      <c r="CB1447" t="s">
        <v>111</v>
      </c>
      <c r="CC1447" t="s">
        <v>111</v>
      </c>
      <c r="CD1447" t="s">
        <v>111</v>
      </c>
      <c r="CE1447" t="s">
        <v>111</v>
      </c>
      <c r="CF1447" t="s">
        <v>111</v>
      </c>
      <c r="CG1447" t="s">
        <v>111</v>
      </c>
      <c r="CH1447" t="s">
        <v>111</v>
      </c>
      <c r="CI1447" t="s">
        <v>111</v>
      </c>
      <c r="CJ1447" t="s">
        <v>111</v>
      </c>
      <c r="CK1447" t="s">
        <v>111</v>
      </c>
      <c r="CL1447" t="s">
        <v>111</v>
      </c>
      <c r="CM1447" t="s">
        <v>198</v>
      </c>
      <c r="CN1447" t="s">
        <v>113</v>
      </c>
      <c r="CO1447" t="s">
        <v>111</v>
      </c>
      <c r="CP1447" t="s">
        <v>111</v>
      </c>
      <c r="CQ1447">
        <v>0</v>
      </c>
      <c r="CR1447">
        <v>0</v>
      </c>
      <c r="CS1447">
        <v>0</v>
      </c>
      <c r="CT1447" s="1" t="s">
        <v>4077</v>
      </c>
      <c r="CU1447">
        <v>0</v>
      </c>
      <c r="CV1447" t="s">
        <v>111</v>
      </c>
      <c r="CW1447" t="s">
        <v>111</v>
      </c>
      <c r="CX1447" t="s">
        <v>111</v>
      </c>
      <c r="CY1447">
        <v>0</v>
      </c>
      <c r="CZ1447" t="s">
        <v>111</v>
      </c>
      <c r="DA1447" t="s">
        <v>111</v>
      </c>
      <c r="DB1447" t="s">
        <v>240</v>
      </c>
      <c r="DC1447" s="1" t="s">
        <v>4047</v>
      </c>
    </row>
    <row r="1448" spans="1:107">
      <c r="A1448">
        <v>88</v>
      </c>
      <c r="B1448" t="s">
        <v>162</v>
      </c>
      <c r="C1448" t="s">
        <v>928</v>
      </c>
      <c r="D1448" t="s">
        <v>4078</v>
      </c>
      <c r="E1448" t="s">
        <v>4079</v>
      </c>
      <c r="F1448" t="s">
        <v>1651</v>
      </c>
      <c r="G1448" t="s">
        <v>24</v>
      </c>
      <c r="H1448">
        <v>1.1499999999999999</v>
      </c>
      <c r="I1448">
        <v>27.5</v>
      </c>
      <c r="J1448">
        <v>0</v>
      </c>
      <c r="K1448">
        <v>0</v>
      </c>
      <c r="L1448" t="s">
        <v>112</v>
      </c>
      <c r="M1448" t="s">
        <v>118</v>
      </c>
      <c r="N1448">
        <v>40</v>
      </c>
      <c r="O1448">
        <v>2</v>
      </c>
      <c r="P1448" t="s">
        <v>138</v>
      </c>
      <c r="Q1448">
        <v>40</v>
      </c>
      <c r="R1448">
        <v>0</v>
      </c>
      <c r="S1448">
        <v>0</v>
      </c>
      <c r="T1448">
        <v>0</v>
      </c>
      <c r="U1448" t="s">
        <v>2685</v>
      </c>
      <c r="V1448">
        <v>0</v>
      </c>
      <c r="W1448">
        <v>0</v>
      </c>
      <c r="X1448">
        <v>0</v>
      </c>
      <c r="Y1448">
        <v>25</v>
      </c>
      <c r="Z1448" t="s">
        <v>111</v>
      </c>
      <c r="AA1448">
        <v>0</v>
      </c>
      <c r="AB1448" t="s">
        <v>111</v>
      </c>
      <c r="AC1448">
        <v>0</v>
      </c>
      <c r="AD1448" t="s">
        <v>427</v>
      </c>
      <c r="AE1448">
        <v>5</v>
      </c>
      <c r="AF1448">
        <v>2</v>
      </c>
      <c r="AG1448">
        <v>21</v>
      </c>
      <c r="AH1448" t="s">
        <v>111</v>
      </c>
      <c r="AI1448">
        <v>42</v>
      </c>
      <c r="AJ1448" t="s">
        <v>111</v>
      </c>
      <c r="AK1448" t="s">
        <v>111</v>
      </c>
      <c r="AL1448" t="s">
        <v>111</v>
      </c>
      <c r="AM1448">
        <v>0</v>
      </c>
      <c r="AN1448">
        <v>0</v>
      </c>
      <c r="AO1448">
        <v>0</v>
      </c>
      <c r="AP1448" t="s">
        <v>1924</v>
      </c>
      <c r="AQ1448" t="s">
        <v>111</v>
      </c>
      <c r="AR1448" t="s">
        <v>111</v>
      </c>
      <c r="AS1448" t="s">
        <v>111</v>
      </c>
      <c r="AT1448" t="s">
        <v>184</v>
      </c>
      <c r="AU1448" t="s">
        <v>111</v>
      </c>
      <c r="AV1448" t="s">
        <v>111</v>
      </c>
      <c r="AW1448" t="s">
        <v>111</v>
      </c>
      <c r="AX1448" t="s">
        <v>288</v>
      </c>
      <c r="AY1448" t="s">
        <v>111</v>
      </c>
      <c r="AZ1448" t="s">
        <v>111</v>
      </c>
      <c r="BA1448" t="s">
        <v>111</v>
      </c>
      <c r="BB1448" t="s">
        <v>772</v>
      </c>
      <c r="BC1448" t="s">
        <v>111</v>
      </c>
      <c r="BD1448" t="s">
        <v>111</v>
      </c>
      <c r="BE1448" t="s">
        <v>111</v>
      </c>
      <c r="BF1448" t="s">
        <v>4080</v>
      </c>
      <c r="BG1448" t="s">
        <v>111</v>
      </c>
      <c r="BH1448" t="s">
        <v>111</v>
      </c>
      <c r="BI1448" t="s">
        <v>111</v>
      </c>
      <c r="BJ1448" t="s">
        <v>111</v>
      </c>
      <c r="BK1448" t="s">
        <v>111</v>
      </c>
      <c r="BL1448" t="s">
        <v>111</v>
      </c>
      <c r="BM1448" t="s">
        <v>111</v>
      </c>
      <c r="BN1448" t="s">
        <v>111</v>
      </c>
      <c r="BO1448" t="s">
        <v>111</v>
      </c>
      <c r="BP1448" t="s">
        <v>111</v>
      </c>
      <c r="BQ1448" t="s">
        <v>111</v>
      </c>
      <c r="BR1448" t="s">
        <v>111</v>
      </c>
      <c r="BS1448" t="s">
        <v>111</v>
      </c>
      <c r="BT1448" t="s">
        <v>111</v>
      </c>
      <c r="BU1448" t="s">
        <v>111</v>
      </c>
      <c r="BV1448" t="s">
        <v>111</v>
      </c>
      <c r="BW1448" t="s">
        <v>111</v>
      </c>
      <c r="BX1448" t="s">
        <v>111</v>
      </c>
      <c r="BY1448" t="s">
        <v>111</v>
      </c>
      <c r="BZ1448" t="s">
        <v>111</v>
      </c>
      <c r="CA1448" t="s">
        <v>111</v>
      </c>
      <c r="CB1448" t="s">
        <v>111</v>
      </c>
      <c r="CC1448" t="s">
        <v>111</v>
      </c>
      <c r="CD1448" t="s">
        <v>111</v>
      </c>
      <c r="CE1448" t="s">
        <v>111</v>
      </c>
      <c r="CF1448" t="s">
        <v>111</v>
      </c>
      <c r="CG1448" t="s">
        <v>111</v>
      </c>
      <c r="CH1448" t="s">
        <v>111</v>
      </c>
      <c r="CI1448" t="s">
        <v>111</v>
      </c>
      <c r="CJ1448" t="s">
        <v>111</v>
      </c>
      <c r="CK1448" t="s">
        <v>111</v>
      </c>
      <c r="CL1448" t="s">
        <v>153</v>
      </c>
      <c r="CM1448" t="s">
        <v>198</v>
      </c>
      <c r="CN1448" t="s">
        <v>113</v>
      </c>
      <c r="CO1448" t="s">
        <v>222</v>
      </c>
      <c r="CP1448" t="s">
        <v>433</v>
      </c>
      <c r="CQ1448">
        <v>0</v>
      </c>
      <c r="CR1448">
        <v>0</v>
      </c>
      <c r="CS1448">
        <v>0</v>
      </c>
      <c r="CT1448" s="1" t="s">
        <v>4081</v>
      </c>
      <c r="CU1448">
        <v>0</v>
      </c>
      <c r="CV1448" t="s">
        <v>111</v>
      </c>
      <c r="CW1448" t="s">
        <v>111</v>
      </c>
      <c r="CX1448" t="s">
        <v>111</v>
      </c>
      <c r="CY1448">
        <v>0</v>
      </c>
      <c r="CZ1448" t="s">
        <v>111</v>
      </c>
      <c r="DA1448" t="s">
        <v>111</v>
      </c>
      <c r="DB1448" t="s">
        <v>111</v>
      </c>
      <c r="DC1448" t="s">
        <v>111</v>
      </c>
    </row>
    <row r="1449" spans="1:107">
      <c r="A1449">
        <v>425</v>
      </c>
      <c r="B1449" t="s">
        <v>107</v>
      </c>
      <c r="C1449" t="s">
        <v>1643</v>
      </c>
      <c r="D1449" t="s">
        <v>4052</v>
      </c>
      <c r="E1449" t="s">
        <v>4082</v>
      </c>
      <c r="F1449" t="s">
        <v>2211</v>
      </c>
      <c r="G1449" t="s">
        <v>24</v>
      </c>
      <c r="H1449">
        <v>1</v>
      </c>
      <c r="I1449">
        <v>28</v>
      </c>
      <c r="J1449">
        <v>0</v>
      </c>
      <c r="K1449">
        <v>0</v>
      </c>
      <c r="L1449" t="s">
        <v>4083</v>
      </c>
      <c r="M1449" t="s">
        <v>138</v>
      </c>
      <c r="N1449">
        <v>0</v>
      </c>
      <c r="O1449">
        <v>0</v>
      </c>
      <c r="P1449" t="s">
        <v>138</v>
      </c>
      <c r="Q1449">
        <v>30</v>
      </c>
      <c r="R1449">
        <v>0</v>
      </c>
      <c r="S1449">
        <v>0</v>
      </c>
      <c r="T1449">
        <v>0</v>
      </c>
      <c r="U1449" s="1" t="s">
        <v>4084</v>
      </c>
      <c r="V1449">
        <v>0</v>
      </c>
      <c r="W1449">
        <v>0</v>
      </c>
      <c r="X1449">
        <v>0</v>
      </c>
      <c r="Y1449">
        <v>25</v>
      </c>
      <c r="Z1449" t="s">
        <v>111</v>
      </c>
      <c r="AA1449">
        <v>0</v>
      </c>
      <c r="AB1449" t="s">
        <v>4085</v>
      </c>
      <c r="AC1449">
        <v>0</v>
      </c>
      <c r="AD1449" t="s">
        <v>111</v>
      </c>
      <c r="AE1449">
        <v>0</v>
      </c>
      <c r="AF1449">
        <v>0</v>
      </c>
      <c r="AG1449" t="s">
        <v>111</v>
      </c>
      <c r="AH1449" t="s">
        <v>111</v>
      </c>
      <c r="AI1449" t="s">
        <v>111</v>
      </c>
      <c r="AJ1449" t="s">
        <v>111</v>
      </c>
      <c r="AK1449" t="s">
        <v>111</v>
      </c>
      <c r="AL1449" t="s">
        <v>111</v>
      </c>
      <c r="AM1449">
        <v>0</v>
      </c>
      <c r="AN1449">
        <v>0</v>
      </c>
      <c r="AO1449">
        <v>0</v>
      </c>
      <c r="AP1449" t="s">
        <v>111</v>
      </c>
      <c r="AQ1449" t="s">
        <v>111</v>
      </c>
      <c r="AR1449" t="s">
        <v>111</v>
      </c>
      <c r="AS1449" t="s">
        <v>111</v>
      </c>
      <c r="AT1449" t="s">
        <v>111</v>
      </c>
      <c r="AU1449" t="s">
        <v>111</v>
      </c>
      <c r="AV1449" t="s">
        <v>111</v>
      </c>
      <c r="AW1449" t="s">
        <v>111</v>
      </c>
      <c r="AX1449" t="s">
        <v>111</v>
      </c>
      <c r="AY1449" t="s">
        <v>111</v>
      </c>
      <c r="AZ1449" t="s">
        <v>111</v>
      </c>
      <c r="BA1449" t="s">
        <v>111</v>
      </c>
      <c r="BB1449" t="s">
        <v>111</v>
      </c>
      <c r="BC1449" t="s">
        <v>111</v>
      </c>
      <c r="BD1449" t="s">
        <v>111</v>
      </c>
      <c r="BE1449" t="s">
        <v>111</v>
      </c>
      <c r="BF1449" t="s">
        <v>111</v>
      </c>
      <c r="BG1449" t="s">
        <v>111</v>
      </c>
      <c r="BH1449" t="s">
        <v>111</v>
      </c>
      <c r="BI1449" t="s">
        <v>111</v>
      </c>
      <c r="BJ1449" t="s">
        <v>111</v>
      </c>
      <c r="BK1449" t="s">
        <v>111</v>
      </c>
      <c r="BL1449" t="s">
        <v>111</v>
      </c>
      <c r="BM1449" t="s">
        <v>111</v>
      </c>
      <c r="BN1449" t="s">
        <v>111</v>
      </c>
      <c r="BO1449" t="s">
        <v>111</v>
      </c>
      <c r="BP1449" t="s">
        <v>111</v>
      </c>
      <c r="BQ1449" t="s">
        <v>111</v>
      </c>
      <c r="BR1449" t="s">
        <v>111</v>
      </c>
      <c r="BS1449" t="s">
        <v>111</v>
      </c>
      <c r="BT1449" t="s">
        <v>111</v>
      </c>
      <c r="BU1449" t="s">
        <v>111</v>
      </c>
      <c r="BV1449" t="s">
        <v>111</v>
      </c>
      <c r="BW1449" t="s">
        <v>111</v>
      </c>
      <c r="BX1449" t="s">
        <v>111</v>
      </c>
      <c r="BY1449" t="s">
        <v>111</v>
      </c>
      <c r="BZ1449" t="s">
        <v>111</v>
      </c>
      <c r="CA1449" t="s">
        <v>111</v>
      </c>
      <c r="CB1449" t="s">
        <v>111</v>
      </c>
      <c r="CC1449" t="s">
        <v>111</v>
      </c>
      <c r="CD1449" t="s">
        <v>111</v>
      </c>
      <c r="CE1449" t="s">
        <v>111</v>
      </c>
      <c r="CF1449" t="s">
        <v>111</v>
      </c>
      <c r="CG1449" t="s">
        <v>111</v>
      </c>
      <c r="CH1449" t="s">
        <v>111</v>
      </c>
      <c r="CI1449" t="s">
        <v>111</v>
      </c>
      <c r="CJ1449" t="s">
        <v>111</v>
      </c>
      <c r="CK1449" t="s">
        <v>111</v>
      </c>
      <c r="CL1449" t="s">
        <v>111</v>
      </c>
      <c r="CM1449" t="s">
        <v>111</v>
      </c>
      <c r="CN1449" t="s">
        <v>111</v>
      </c>
      <c r="CO1449" t="s">
        <v>111</v>
      </c>
      <c r="CP1449" t="s">
        <v>111</v>
      </c>
      <c r="CQ1449">
        <v>0</v>
      </c>
      <c r="CR1449">
        <v>0</v>
      </c>
      <c r="CS1449">
        <v>0</v>
      </c>
      <c r="CT1449" t="s">
        <v>111</v>
      </c>
      <c r="CU1449">
        <v>0</v>
      </c>
      <c r="CV1449" t="s">
        <v>111</v>
      </c>
      <c r="CW1449" t="s">
        <v>111</v>
      </c>
      <c r="CX1449" t="s">
        <v>111</v>
      </c>
      <c r="CY1449">
        <v>0</v>
      </c>
      <c r="CZ1449" t="s">
        <v>111</v>
      </c>
      <c r="DA1449" t="s">
        <v>111</v>
      </c>
      <c r="DB1449" t="s">
        <v>111</v>
      </c>
      <c r="DC1449" t="s">
        <v>111</v>
      </c>
    </row>
    <row r="1450" spans="1:107">
      <c r="A1450">
        <v>236</v>
      </c>
      <c r="B1450" t="s">
        <v>162</v>
      </c>
      <c r="C1450" t="s">
        <v>174</v>
      </c>
      <c r="D1450" t="s">
        <v>4086</v>
      </c>
      <c r="E1450" t="s">
        <v>4087</v>
      </c>
      <c r="F1450" t="s">
        <v>1071</v>
      </c>
      <c r="G1450" t="s">
        <v>24</v>
      </c>
      <c r="H1450">
        <v>1.5</v>
      </c>
      <c r="I1450">
        <v>30</v>
      </c>
      <c r="J1450">
        <v>0</v>
      </c>
      <c r="K1450">
        <v>0</v>
      </c>
      <c r="L1450" t="s">
        <v>112</v>
      </c>
      <c r="M1450" t="s">
        <v>138</v>
      </c>
      <c r="N1450">
        <v>0</v>
      </c>
      <c r="O1450">
        <v>0</v>
      </c>
      <c r="P1450" t="s">
        <v>138</v>
      </c>
      <c r="Q1450">
        <v>35</v>
      </c>
      <c r="R1450">
        <v>0</v>
      </c>
      <c r="S1450">
        <v>0</v>
      </c>
      <c r="T1450">
        <v>0</v>
      </c>
      <c r="U1450" s="1" t="s">
        <v>2957</v>
      </c>
      <c r="V1450">
        <v>0</v>
      </c>
      <c r="W1450">
        <v>0</v>
      </c>
      <c r="X1450">
        <v>0</v>
      </c>
      <c r="Y1450">
        <v>25</v>
      </c>
      <c r="Z1450" t="s">
        <v>111</v>
      </c>
      <c r="AA1450">
        <v>0</v>
      </c>
      <c r="AB1450" t="s">
        <v>111</v>
      </c>
      <c r="AC1450">
        <v>0</v>
      </c>
      <c r="AD1450" t="s">
        <v>111</v>
      </c>
      <c r="AE1450">
        <v>0</v>
      </c>
      <c r="AF1450">
        <v>0</v>
      </c>
      <c r="AG1450" t="s">
        <v>111</v>
      </c>
      <c r="AH1450" t="s">
        <v>111</v>
      </c>
      <c r="AI1450" t="s">
        <v>111</v>
      </c>
      <c r="AJ1450" t="s">
        <v>111</v>
      </c>
      <c r="AK1450" t="s">
        <v>111</v>
      </c>
      <c r="AL1450" t="s">
        <v>111</v>
      </c>
      <c r="AM1450">
        <v>0</v>
      </c>
      <c r="AN1450">
        <v>0</v>
      </c>
      <c r="AO1450">
        <v>0</v>
      </c>
      <c r="AP1450" t="s">
        <v>111</v>
      </c>
      <c r="AQ1450" t="s">
        <v>111</v>
      </c>
      <c r="AR1450" t="s">
        <v>111</v>
      </c>
      <c r="AS1450" t="s">
        <v>111</v>
      </c>
      <c r="AT1450" t="s">
        <v>111</v>
      </c>
      <c r="AU1450" t="s">
        <v>111</v>
      </c>
      <c r="AV1450" t="s">
        <v>111</v>
      </c>
      <c r="AW1450" t="s">
        <v>111</v>
      </c>
      <c r="AX1450" t="s">
        <v>111</v>
      </c>
      <c r="AY1450" t="s">
        <v>111</v>
      </c>
      <c r="AZ1450" t="s">
        <v>111</v>
      </c>
      <c r="BA1450" t="s">
        <v>111</v>
      </c>
      <c r="BB1450" t="s">
        <v>111</v>
      </c>
      <c r="BC1450" t="s">
        <v>111</v>
      </c>
      <c r="BD1450" t="s">
        <v>111</v>
      </c>
      <c r="BE1450" t="s">
        <v>111</v>
      </c>
      <c r="BF1450" t="s">
        <v>111</v>
      </c>
      <c r="BG1450" t="s">
        <v>111</v>
      </c>
      <c r="BH1450" t="s">
        <v>111</v>
      </c>
      <c r="BI1450" t="s">
        <v>111</v>
      </c>
      <c r="BJ1450" t="s">
        <v>111</v>
      </c>
      <c r="BK1450" t="s">
        <v>111</v>
      </c>
      <c r="BL1450" t="s">
        <v>111</v>
      </c>
      <c r="BM1450" t="s">
        <v>111</v>
      </c>
      <c r="BN1450" t="s">
        <v>111</v>
      </c>
      <c r="BO1450" t="s">
        <v>111</v>
      </c>
      <c r="BP1450" t="s">
        <v>111</v>
      </c>
      <c r="BQ1450" t="s">
        <v>111</v>
      </c>
      <c r="BR1450" t="s">
        <v>111</v>
      </c>
      <c r="BS1450" t="s">
        <v>111</v>
      </c>
      <c r="BT1450" t="s">
        <v>111</v>
      </c>
      <c r="BU1450" t="s">
        <v>111</v>
      </c>
      <c r="BV1450" t="s">
        <v>111</v>
      </c>
      <c r="BW1450" t="s">
        <v>111</v>
      </c>
      <c r="BX1450" t="s">
        <v>111</v>
      </c>
      <c r="BY1450" t="s">
        <v>111</v>
      </c>
      <c r="BZ1450" t="s">
        <v>111</v>
      </c>
      <c r="CA1450" t="s">
        <v>111</v>
      </c>
      <c r="CB1450" t="s">
        <v>111</v>
      </c>
      <c r="CC1450" t="s">
        <v>111</v>
      </c>
      <c r="CD1450" t="s">
        <v>111</v>
      </c>
      <c r="CE1450" t="s">
        <v>111</v>
      </c>
      <c r="CF1450" t="s">
        <v>111</v>
      </c>
      <c r="CG1450" t="s">
        <v>111</v>
      </c>
      <c r="CH1450" t="s">
        <v>111</v>
      </c>
      <c r="CI1450" t="s">
        <v>111</v>
      </c>
      <c r="CJ1450" t="s">
        <v>111</v>
      </c>
      <c r="CK1450" t="s">
        <v>111</v>
      </c>
      <c r="CL1450" t="s">
        <v>111</v>
      </c>
      <c r="CM1450" t="s">
        <v>198</v>
      </c>
      <c r="CN1450" t="s">
        <v>113</v>
      </c>
      <c r="CO1450" t="s">
        <v>111</v>
      </c>
      <c r="CP1450" t="s">
        <v>111</v>
      </c>
      <c r="CQ1450">
        <v>0</v>
      </c>
      <c r="CR1450">
        <v>0</v>
      </c>
      <c r="CS1450">
        <v>0</v>
      </c>
      <c r="CT1450" s="1" t="s">
        <v>4088</v>
      </c>
      <c r="CU1450">
        <v>0</v>
      </c>
      <c r="CV1450" t="s">
        <v>111</v>
      </c>
      <c r="CW1450" t="s">
        <v>111</v>
      </c>
      <c r="CX1450" t="s">
        <v>111</v>
      </c>
      <c r="CY1450">
        <v>0</v>
      </c>
      <c r="CZ1450" t="s">
        <v>111</v>
      </c>
      <c r="DA1450" t="s">
        <v>111</v>
      </c>
      <c r="DB1450" t="s">
        <v>111</v>
      </c>
      <c r="DC1450" t="s">
        <v>111</v>
      </c>
    </row>
    <row r="1451" spans="1:107">
      <c r="A1451">
        <v>3</v>
      </c>
      <c r="B1451" t="s">
        <v>162</v>
      </c>
      <c r="C1451" t="s">
        <v>3925</v>
      </c>
      <c r="D1451" t="s">
        <v>4089</v>
      </c>
      <c r="E1451" t="s">
        <v>4090</v>
      </c>
      <c r="F1451" t="s">
        <v>110</v>
      </c>
      <c r="G1451" t="s">
        <v>24</v>
      </c>
      <c r="H1451">
        <v>0.85</v>
      </c>
      <c r="I1451">
        <v>40</v>
      </c>
      <c r="J1451">
        <v>0</v>
      </c>
      <c r="K1451">
        <v>0</v>
      </c>
      <c r="L1451" t="s">
        <v>112</v>
      </c>
      <c r="M1451" t="s">
        <v>138</v>
      </c>
      <c r="N1451">
        <v>0</v>
      </c>
      <c r="O1451">
        <v>0</v>
      </c>
      <c r="P1451" t="s">
        <v>138</v>
      </c>
      <c r="Q1451">
        <v>40</v>
      </c>
      <c r="R1451">
        <v>0</v>
      </c>
      <c r="S1451">
        <v>0</v>
      </c>
      <c r="T1451">
        <v>0</v>
      </c>
      <c r="U1451" s="1" t="s">
        <v>3827</v>
      </c>
      <c r="V1451">
        <v>0</v>
      </c>
      <c r="W1451">
        <v>0</v>
      </c>
      <c r="X1451">
        <v>0</v>
      </c>
      <c r="Y1451">
        <v>25</v>
      </c>
      <c r="Z1451" t="s">
        <v>111</v>
      </c>
      <c r="AA1451">
        <v>0</v>
      </c>
      <c r="AB1451" t="s">
        <v>111</v>
      </c>
      <c r="AC1451">
        <v>0</v>
      </c>
      <c r="AD1451" t="s">
        <v>111</v>
      </c>
      <c r="AE1451">
        <v>0</v>
      </c>
      <c r="AF1451">
        <v>0</v>
      </c>
      <c r="AG1451" t="s">
        <v>111</v>
      </c>
      <c r="AH1451" t="s">
        <v>111</v>
      </c>
      <c r="AI1451" t="s">
        <v>111</v>
      </c>
      <c r="AJ1451" t="s">
        <v>111</v>
      </c>
      <c r="AK1451" t="s">
        <v>111</v>
      </c>
      <c r="AL1451" t="s">
        <v>111</v>
      </c>
      <c r="AM1451">
        <v>0</v>
      </c>
      <c r="AN1451">
        <v>0</v>
      </c>
      <c r="AO1451">
        <v>0</v>
      </c>
      <c r="AP1451" t="s">
        <v>111</v>
      </c>
      <c r="AQ1451" t="s">
        <v>111</v>
      </c>
      <c r="AR1451" t="s">
        <v>111</v>
      </c>
      <c r="AS1451" t="s">
        <v>111</v>
      </c>
      <c r="AT1451" t="s">
        <v>111</v>
      </c>
      <c r="AU1451" t="s">
        <v>111</v>
      </c>
      <c r="AV1451" t="s">
        <v>111</v>
      </c>
      <c r="AW1451" t="s">
        <v>111</v>
      </c>
      <c r="AX1451" t="s">
        <v>111</v>
      </c>
      <c r="AY1451" t="s">
        <v>111</v>
      </c>
      <c r="AZ1451" t="s">
        <v>111</v>
      </c>
      <c r="BA1451" t="s">
        <v>111</v>
      </c>
      <c r="BB1451" t="s">
        <v>111</v>
      </c>
      <c r="BC1451" t="s">
        <v>111</v>
      </c>
      <c r="BD1451" t="s">
        <v>111</v>
      </c>
      <c r="BE1451" t="s">
        <v>111</v>
      </c>
      <c r="BF1451" t="s">
        <v>111</v>
      </c>
      <c r="BG1451" t="s">
        <v>111</v>
      </c>
      <c r="BH1451" t="s">
        <v>111</v>
      </c>
      <c r="BI1451" t="s">
        <v>111</v>
      </c>
      <c r="BJ1451" t="s">
        <v>111</v>
      </c>
      <c r="BK1451" t="s">
        <v>111</v>
      </c>
      <c r="BL1451" t="s">
        <v>111</v>
      </c>
      <c r="BM1451" t="s">
        <v>111</v>
      </c>
      <c r="BN1451" t="s">
        <v>111</v>
      </c>
      <c r="BO1451" t="s">
        <v>111</v>
      </c>
      <c r="BP1451" t="s">
        <v>111</v>
      </c>
      <c r="BQ1451" t="s">
        <v>111</v>
      </c>
      <c r="BR1451" t="s">
        <v>111</v>
      </c>
      <c r="BS1451" t="s">
        <v>111</v>
      </c>
      <c r="BT1451" t="s">
        <v>111</v>
      </c>
      <c r="BU1451" t="s">
        <v>111</v>
      </c>
      <c r="BV1451" t="s">
        <v>111</v>
      </c>
      <c r="BW1451" t="s">
        <v>111</v>
      </c>
      <c r="BX1451" t="s">
        <v>111</v>
      </c>
      <c r="BY1451" t="s">
        <v>111</v>
      </c>
      <c r="BZ1451" t="s">
        <v>111</v>
      </c>
      <c r="CA1451" t="s">
        <v>111</v>
      </c>
      <c r="CB1451" t="s">
        <v>111</v>
      </c>
      <c r="CC1451" t="s">
        <v>111</v>
      </c>
      <c r="CD1451" t="s">
        <v>111</v>
      </c>
      <c r="CE1451" t="s">
        <v>111</v>
      </c>
      <c r="CF1451" t="s">
        <v>111</v>
      </c>
      <c r="CG1451" t="s">
        <v>111</v>
      </c>
      <c r="CH1451" t="s">
        <v>111</v>
      </c>
      <c r="CI1451" t="s">
        <v>111</v>
      </c>
      <c r="CJ1451" t="s">
        <v>111</v>
      </c>
      <c r="CK1451" t="s">
        <v>111</v>
      </c>
      <c r="CL1451" t="s">
        <v>111</v>
      </c>
      <c r="CM1451" t="s">
        <v>111</v>
      </c>
      <c r="CN1451" t="s">
        <v>111</v>
      </c>
      <c r="CO1451" t="s">
        <v>111</v>
      </c>
      <c r="CP1451" t="s">
        <v>111</v>
      </c>
      <c r="CQ1451">
        <v>0</v>
      </c>
      <c r="CR1451">
        <v>0</v>
      </c>
      <c r="CS1451">
        <v>0</v>
      </c>
      <c r="CT1451" t="s">
        <v>111</v>
      </c>
      <c r="CU1451">
        <v>0</v>
      </c>
      <c r="CV1451" t="s">
        <v>111</v>
      </c>
      <c r="CW1451" t="s">
        <v>111</v>
      </c>
      <c r="CX1451" t="s">
        <v>111</v>
      </c>
      <c r="CY1451">
        <v>0</v>
      </c>
      <c r="CZ1451" t="s">
        <v>111</v>
      </c>
      <c r="DA1451" t="s">
        <v>111</v>
      </c>
      <c r="DB1451" t="s">
        <v>111</v>
      </c>
      <c r="DC1451" t="s">
        <v>111</v>
      </c>
    </row>
    <row r="1452" spans="1:107">
      <c r="A1452">
        <v>2</v>
      </c>
      <c r="B1452" t="s">
        <v>162</v>
      </c>
      <c r="C1452" t="s">
        <v>3925</v>
      </c>
      <c r="D1452" t="s">
        <v>4037</v>
      </c>
      <c r="E1452" t="s">
        <v>4091</v>
      </c>
      <c r="F1452" t="s">
        <v>110</v>
      </c>
      <c r="G1452" t="s">
        <v>24</v>
      </c>
      <c r="H1452">
        <v>0.85</v>
      </c>
      <c r="I1452">
        <v>35</v>
      </c>
      <c r="J1452">
        <v>0</v>
      </c>
      <c r="K1452">
        <v>0</v>
      </c>
      <c r="L1452" t="s">
        <v>112</v>
      </c>
      <c r="M1452" t="s">
        <v>138</v>
      </c>
      <c r="N1452">
        <v>0</v>
      </c>
      <c r="O1452">
        <v>0</v>
      </c>
      <c r="P1452" t="s">
        <v>138</v>
      </c>
      <c r="Q1452">
        <v>40</v>
      </c>
      <c r="R1452">
        <v>0</v>
      </c>
      <c r="S1452">
        <v>0</v>
      </c>
      <c r="T1452">
        <v>0</v>
      </c>
      <c r="U1452" t="s">
        <v>111</v>
      </c>
      <c r="V1452">
        <v>0</v>
      </c>
      <c r="W1452">
        <v>0</v>
      </c>
      <c r="X1452">
        <v>0</v>
      </c>
      <c r="Y1452">
        <v>25</v>
      </c>
      <c r="Z1452" t="s">
        <v>111</v>
      </c>
      <c r="AA1452">
        <v>0</v>
      </c>
      <c r="AB1452" t="s">
        <v>111</v>
      </c>
      <c r="AC1452">
        <v>0</v>
      </c>
      <c r="AD1452" t="s">
        <v>111</v>
      </c>
      <c r="AE1452">
        <v>0</v>
      </c>
      <c r="AF1452">
        <v>0</v>
      </c>
      <c r="AG1452" t="s">
        <v>111</v>
      </c>
      <c r="AH1452" t="s">
        <v>111</v>
      </c>
      <c r="AI1452" t="s">
        <v>111</v>
      </c>
      <c r="AJ1452" t="s">
        <v>111</v>
      </c>
      <c r="AK1452" t="s">
        <v>111</v>
      </c>
      <c r="AL1452" t="s">
        <v>111</v>
      </c>
      <c r="AM1452">
        <v>0</v>
      </c>
      <c r="AN1452">
        <v>0</v>
      </c>
      <c r="AO1452">
        <v>0</v>
      </c>
      <c r="AP1452" t="s">
        <v>111</v>
      </c>
      <c r="AQ1452" t="s">
        <v>111</v>
      </c>
      <c r="AR1452" t="s">
        <v>111</v>
      </c>
      <c r="AS1452" t="s">
        <v>111</v>
      </c>
      <c r="AT1452" t="s">
        <v>111</v>
      </c>
      <c r="AU1452" t="s">
        <v>111</v>
      </c>
      <c r="AV1452" t="s">
        <v>111</v>
      </c>
      <c r="AW1452" t="s">
        <v>111</v>
      </c>
      <c r="AX1452" t="s">
        <v>111</v>
      </c>
      <c r="AY1452" t="s">
        <v>111</v>
      </c>
      <c r="AZ1452" t="s">
        <v>111</v>
      </c>
      <c r="BA1452" t="s">
        <v>111</v>
      </c>
      <c r="BB1452" t="s">
        <v>111</v>
      </c>
      <c r="BC1452" t="s">
        <v>111</v>
      </c>
      <c r="BD1452" t="s">
        <v>111</v>
      </c>
      <c r="BE1452" t="s">
        <v>111</v>
      </c>
      <c r="BF1452" t="s">
        <v>111</v>
      </c>
      <c r="BG1452" t="s">
        <v>111</v>
      </c>
      <c r="BH1452" t="s">
        <v>111</v>
      </c>
      <c r="BI1452" t="s">
        <v>111</v>
      </c>
      <c r="BJ1452" t="s">
        <v>111</v>
      </c>
      <c r="BK1452" t="s">
        <v>111</v>
      </c>
      <c r="BL1452" t="s">
        <v>111</v>
      </c>
      <c r="BM1452" t="s">
        <v>111</v>
      </c>
      <c r="BN1452" t="s">
        <v>111</v>
      </c>
      <c r="BO1452" t="s">
        <v>111</v>
      </c>
      <c r="BP1452" t="s">
        <v>111</v>
      </c>
      <c r="BQ1452" t="s">
        <v>111</v>
      </c>
      <c r="BR1452" t="s">
        <v>111</v>
      </c>
      <c r="BS1452" t="s">
        <v>111</v>
      </c>
      <c r="BT1452" t="s">
        <v>111</v>
      </c>
      <c r="BU1452" t="s">
        <v>111</v>
      </c>
      <c r="BV1452" t="s">
        <v>111</v>
      </c>
      <c r="BW1452" t="s">
        <v>111</v>
      </c>
      <c r="BX1452" t="s">
        <v>111</v>
      </c>
      <c r="BY1452" t="s">
        <v>111</v>
      </c>
      <c r="BZ1452" t="s">
        <v>111</v>
      </c>
      <c r="CA1452" t="s">
        <v>111</v>
      </c>
      <c r="CB1452" t="s">
        <v>111</v>
      </c>
      <c r="CC1452" t="s">
        <v>111</v>
      </c>
      <c r="CD1452" t="s">
        <v>111</v>
      </c>
      <c r="CE1452" t="s">
        <v>111</v>
      </c>
      <c r="CF1452" t="s">
        <v>111</v>
      </c>
      <c r="CG1452" t="s">
        <v>111</v>
      </c>
      <c r="CH1452" t="s">
        <v>111</v>
      </c>
      <c r="CI1452" t="s">
        <v>111</v>
      </c>
      <c r="CJ1452" t="s">
        <v>111</v>
      </c>
      <c r="CK1452" t="s">
        <v>111</v>
      </c>
      <c r="CL1452" t="s">
        <v>111</v>
      </c>
      <c r="CM1452" t="s">
        <v>111</v>
      </c>
      <c r="CN1452" t="s">
        <v>111</v>
      </c>
      <c r="CO1452" t="s">
        <v>111</v>
      </c>
      <c r="CP1452" t="s">
        <v>111</v>
      </c>
      <c r="CQ1452">
        <v>0</v>
      </c>
      <c r="CR1452">
        <v>5000</v>
      </c>
      <c r="CS1452">
        <v>200</v>
      </c>
      <c r="CT1452" t="s">
        <v>111</v>
      </c>
      <c r="CU1452">
        <v>0</v>
      </c>
      <c r="CV1452" t="s">
        <v>111</v>
      </c>
      <c r="CW1452" t="s">
        <v>111</v>
      </c>
      <c r="CX1452" t="s">
        <v>111</v>
      </c>
      <c r="CY1452">
        <v>0</v>
      </c>
      <c r="CZ1452" t="s">
        <v>111</v>
      </c>
      <c r="DA1452" t="s">
        <v>111</v>
      </c>
      <c r="DB1452" t="s">
        <v>111</v>
      </c>
      <c r="DC1452" t="s">
        <v>111</v>
      </c>
    </row>
    <row r="1453" spans="1:107">
      <c r="A1453">
        <v>363</v>
      </c>
      <c r="B1453" t="s">
        <v>162</v>
      </c>
      <c r="C1453" t="s">
        <v>3123</v>
      </c>
      <c r="D1453" t="s">
        <v>4067</v>
      </c>
      <c r="E1453" t="s">
        <v>4092</v>
      </c>
      <c r="F1453" t="s">
        <v>1651</v>
      </c>
      <c r="G1453" t="s">
        <v>24</v>
      </c>
      <c r="H1453">
        <v>1.5</v>
      </c>
      <c r="I1453">
        <v>50</v>
      </c>
      <c r="J1453">
        <v>0</v>
      </c>
      <c r="K1453">
        <v>0</v>
      </c>
      <c r="L1453" t="s">
        <v>112</v>
      </c>
      <c r="M1453" t="s">
        <v>118</v>
      </c>
      <c r="N1453">
        <v>40</v>
      </c>
      <c r="O1453">
        <v>2</v>
      </c>
      <c r="P1453" t="s">
        <v>138</v>
      </c>
      <c r="Q1453">
        <v>45</v>
      </c>
      <c r="R1453">
        <v>0</v>
      </c>
      <c r="S1453">
        <v>0</v>
      </c>
      <c r="T1453">
        <v>0</v>
      </c>
      <c r="U1453" t="s">
        <v>168</v>
      </c>
      <c r="V1453">
        <v>0</v>
      </c>
      <c r="W1453">
        <v>0</v>
      </c>
      <c r="X1453">
        <v>1</v>
      </c>
      <c r="Y1453">
        <v>0</v>
      </c>
      <c r="Z1453" t="s">
        <v>111</v>
      </c>
      <c r="AA1453">
        <v>0</v>
      </c>
      <c r="AB1453" t="s">
        <v>111</v>
      </c>
      <c r="AC1453">
        <v>0</v>
      </c>
      <c r="AD1453" t="s">
        <v>416</v>
      </c>
      <c r="AE1453">
        <v>0</v>
      </c>
      <c r="AF1453">
        <v>2</v>
      </c>
      <c r="AG1453">
        <v>21</v>
      </c>
      <c r="AH1453" t="s">
        <v>111</v>
      </c>
      <c r="AI1453">
        <v>42</v>
      </c>
      <c r="AJ1453" t="s">
        <v>111</v>
      </c>
      <c r="AK1453" t="s">
        <v>111</v>
      </c>
      <c r="AL1453" t="s">
        <v>111</v>
      </c>
      <c r="AM1453">
        <v>0</v>
      </c>
      <c r="AN1453">
        <v>0</v>
      </c>
      <c r="AO1453">
        <v>0</v>
      </c>
      <c r="AP1453" t="s">
        <v>111</v>
      </c>
      <c r="AQ1453" t="s">
        <v>111</v>
      </c>
      <c r="AR1453" t="s">
        <v>111</v>
      </c>
      <c r="AS1453" t="s">
        <v>111</v>
      </c>
      <c r="AT1453" t="s">
        <v>111</v>
      </c>
      <c r="AU1453" t="s">
        <v>111</v>
      </c>
      <c r="AV1453" t="s">
        <v>111</v>
      </c>
      <c r="AW1453" t="s">
        <v>111</v>
      </c>
      <c r="AX1453" t="s">
        <v>111</v>
      </c>
      <c r="AY1453" t="s">
        <v>111</v>
      </c>
      <c r="AZ1453" t="s">
        <v>111</v>
      </c>
      <c r="BA1453" t="s">
        <v>111</v>
      </c>
      <c r="BB1453" t="s">
        <v>111</v>
      </c>
      <c r="BC1453" t="s">
        <v>111</v>
      </c>
      <c r="BD1453" t="s">
        <v>111</v>
      </c>
      <c r="BE1453" t="s">
        <v>111</v>
      </c>
      <c r="BF1453" t="s">
        <v>111</v>
      </c>
      <c r="BG1453" t="s">
        <v>111</v>
      </c>
      <c r="BH1453" t="s">
        <v>111</v>
      </c>
      <c r="BI1453" t="s">
        <v>111</v>
      </c>
      <c r="BJ1453" t="s">
        <v>111</v>
      </c>
      <c r="BK1453" t="s">
        <v>111</v>
      </c>
      <c r="BL1453" t="s">
        <v>111</v>
      </c>
      <c r="BM1453" t="s">
        <v>111</v>
      </c>
      <c r="BN1453" t="s">
        <v>111</v>
      </c>
      <c r="BO1453" t="s">
        <v>111</v>
      </c>
      <c r="BP1453" t="s">
        <v>111</v>
      </c>
      <c r="BQ1453" t="s">
        <v>111</v>
      </c>
      <c r="BR1453" t="s">
        <v>111</v>
      </c>
      <c r="BS1453" t="s">
        <v>111</v>
      </c>
      <c r="BT1453" t="s">
        <v>111</v>
      </c>
      <c r="BU1453" t="s">
        <v>111</v>
      </c>
      <c r="BV1453" t="s">
        <v>111</v>
      </c>
      <c r="BW1453" t="s">
        <v>111</v>
      </c>
      <c r="BX1453" t="s">
        <v>111</v>
      </c>
      <c r="BY1453" t="s">
        <v>111</v>
      </c>
      <c r="BZ1453" t="s">
        <v>111</v>
      </c>
      <c r="CA1453" t="s">
        <v>111</v>
      </c>
      <c r="CB1453" t="s">
        <v>111</v>
      </c>
      <c r="CC1453" t="s">
        <v>111</v>
      </c>
      <c r="CD1453" t="s">
        <v>111</v>
      </c>
      <c r="CE1453" t="s">
        <v>111</v>
      </c>
      <c r="CF1453" t="s">
        <v>111</v>
      </c>
      <c r="CG1453" t="s">
        <v>111</v>
      </c>
      <c r="CH1453" t="s">
        <v>111</v>
      </c>
      <c r="CI1453" t="s">
        <v>111</v>
      </c>
      <c r="CJ1453" t="s">
        <v>111</v>
      </c>
      <c r="CK1453" t="s">
        <v>111</v>
      </c>
      <c r="CL1453" t="s">
        <v>153</v>
      </c>
      <c r="CM1453" t="s">
        <v>198</v>
      </c>
      <c r="CN1453" t="s">
        <v>113</v>
      </c>
      <c r="CO1453" t="s">
        <v>111</v>
      </c>
      <c r="CP1453" t="s">
        <v>433</v>
      </c>
      <c r="CQ1453">
        <v>0</v>
      </c>
      <c r="CR1453">
        <v>0</v>
      </c>
      <c r="CS1453">
        <v>0</v>
      </c>
      <c r="CT1453" t="s">
        <v>168</v>
      </c>
      <c r="CU1453">
        <v>0</v>
      </c>
      <c r="CV1453" t="s">
        <v>111</v>
      </c>
      <c r="CW1453" t="s">
        <v>111</v>
      </c>
      <c r="CX1453" t="s">
        <v>111</v>
      </c>
      <c r="CY1453">
        <v>0</v>
      </c>
      <c r="CZ1453" t="s">
        <v>111</v>
      </c>
      <c r="DA1453" t="s">
        <v>111</v>
      </c>
      <c r="DB1453" t="s">
        <v>111</v>
      </c>
      <c r="DC1453" t="s">
        <v>111</v>
      </c>
    </row>
    <row r="1454" spans="1:107">
      <c r="A1454">
        <v>1</v>
      </c>
      <c r="B1454" t="s">
        <v>162</v>
      </c>
      <c r="C1454" t="s">
        <v>3925</v>
      </c>
      <c r="D1454" t="s">
        <v>3926</v>
      </c>
      <c r="E1454" t="s">
        <v>4093</v>
      </c>
      <c r="F1454" t="s">
        <v>110</v>
      </c>
      <c r="G1454" t="s">
        <v>24</v>
      </c>
      <c r="H1454">
        <v>0.85</v>
      </c>
      <c r="I1454">
        <v>30</v>
      </c>
      <c r="J1454">
        <v>0</v>
      </c>
      <c r="K1454">
        <v>0</v>
      </c>
      <c r="L1454" t="s">
        <v>112</v>
      </c>
      <c r="M1454" t="s">
        <v>138</v>
      </c>
      <c r="N1454">
        <v>0</v>
      </c>
      <c r="O1454">
        <v>0</v>
      </c>
      <c r="P1454" t="s">
        <v>138</v>
      </c>
      <c r="Q1454">
        <v>40</v>
      </c>
      <c r="R1454">
        <v>0</v>
      </c>
      <c r="S1454">
        <v>0</v>
      </c>
      <c r="T1454">
        <v>0</v>
      </c>
      <c r="U1454" s="1" t="s">
        <v>3827</v>
      </c>
      <c r="V1454">
        <v>0</v>
      </c>
      <c r="W1454">
        <v>0</v>
      </c>
      <c r="X1454">
        <v>0</v>
      </c>
      <c r="Y1454">
        <v>25</v>
      </c>
      <c r="Z1454" t="s">
        <v>111</v>
      </c>
      <c r="AA1454">
        <v>0</v>
      </c>
      <c r="AB1454" t="s">
        <v>111</v>
      </c>
      <c r="AC1454">
        <v>0</v>
      </c>
      <c r="AD1454" t="s">
        <v>111</v>
      </c>
      <c r="AE1454">
        <v>0</v>
      </c>
      <c r="AF1454">
        <v>0</v>
      </c>
      <c r="AG1454" t="s">
        <v>111</v>
      </c>
      <c r="AH1454" t="s">
        <v>111</v>
      </c>
      <c r="AI1454" t="s">
        <v>111</v>
      </c>
      <c r="AJ1454" t="s">
        <v>111</v>
      </c>
      <c r="AK1454" t="s">
        <v>111</v>
      </c>
      <c r="AL1454" t="s">
        <v>111</v>
      </c>
      <c r="AM1454">
        <v>0</v>
      </c>
      <c r="AN1454">
        <v>0</v>
      </c>
      <c r="AO1454">
        <v>0</v>
      </c>
      <c r="AP1454" t="s">
        <v>111</v>
      </c>
      <c r="AQ1454" t="s">
        <v>111</v>
      </c>
      <c r="AR1454" t="s">
        <v>111</v>
      </c>
      <c r="AS1454" t="s">
        <v>111</v>
      </c>
      <c r="AT1454" t="s">
        <v>111</v>
      </c>
      <c r="AU1454" t="s">
        <v>111</v>
      </c>
      <c r="AV1454" t="s">
        <v>111</v>
      </c>
      <c r="AW1454" t="s">
        <v>111</v>
      </c>
      <c r="AX1454" t="s">
        <v>111</v>
      </c>
      <c r="AY1454" t="s">
        <v>111</v>
      </c>
      <c r="AZ1454" t="s">
        <v>111</v>
      </c>
      <c r="BA1454" t="s">
        <v>111</v>
      </c>
      <c r="BB1454" t="s">
        <v>111</v>
      </c>
      <c r="BC1454" t="s">
        <v>111</v>
      </c>
      <c r="BD1454" t="s">
        <v>111</v>
      </c>
      <c r="BE1454" t="s">
        <v>111</v>
      </c>
      <c r="BF1454" t="s">
        <v>111</v>
      </c>
      <c r="BG1454" t="s">
        <v>111</v>
      </c>
      <c r="BH1454" t="s">
        <v>111</v>
      </c>
      <c r="BI1454" t="s">
        <v>111</v>
      </c>
      <c r="BJ1454" t="s">
        <v>111</v>
      </c>
      <c r="BK1454" t="s">
        <v>111</v>
      </c>
      <c r="BL1454" t="s">
        <v>111</v>
      </c>
      <c r="BM1454" t="s">
        <v>111</v>
      </c>
      <c r="BN1454" t="s">
        <v>111</v>
      </c>
      <c r="BO1454" t="s">
        <v>111</v>
      </c>
      <c r="BP1454" t="s">
        <v>111</v>
      </c>
      <c r="BQ1454" t="s">
        <v>111</v>
      </c>
      <c r="BR1454" t="s">
        <v>111</v>
      </c>
      <c r="BS1454" t="s">
        <v>111</v>
      </c>
      <c r="BT1454" t="s">
        <v>111</v>
      </c>
      <c r="BU1454" t="s">
        <v>111</v>
      </c>
      <c r="BV1454" t="s">
        <v>111</v>
      </c>
      <c r="BW1454" t="s">
        <v>111</v>
      </c>
      <c r="BX1454" t="s">
        <v>111</v>
      </c>
      <c r="BY1454" t="s">
        <v>111</v>
      </c>
      <c r="BZ1454" t="s">
        <v>111</v>
      </c>
      <c r="CA1454" t="s">
        <v>111</v>
      </c>
      <c r="CB1454" t="s">
        <v>111</v>
      </c>
      <c r="CC1454" t="s">
        <v>111</v>
      </c>
      <c r="CD1454" t="s">
        <v>111</v>
      </c>
      <c r="CE1454" t="s">
        <v>111</v>
      </c>
      <c r="CF1454" t="s">
        <v>111</v>
      </c>
      <c r="CG1454" t="s">
        <v>111</v>
      </c>
      <c r="CH1454" t="s">
        <v>111</v>
      </c>
      <c r="CI1454" t="s">
        <v>111</v>
      </c>
      <c r="CJ1454" t="s">
        <v>111</v>
      </c>
      <c r="CK1454" t="s">
        <v>111</v>
      </c>
      <c r="CL1454" t="s">
        <v>111</v>
      </c>
      <c r="CM1454" t="s">
        <v>111</v>
      </c>
      <c r="CN1454" t="s">
        <v>111</v>
      </c>
      <c r="CO1454" t="s">
        <v>111</v>
      </c>
      <c r="CP1454" t="s">
        <v>111</v>
      </c>
      <c r="CQ1454">
        <v>0</v>
      </c>
      <c r="CR1454">
        <v>0</v>
      </c>
      <c r="CS1454">
        <v>0</v>
      </c>
      <c r="CT1454" t="s">
        <v>111</v>
      </c>
      <c r="CU1454">
        <v>0</v>
      </c>
      <c r="CV1454" t="s">
        <v>111</v>
      </c>
      <c r="CW1454" t="s">
        <v>111</v>
      </c>
      <c r="CX1454" t="s">
        <v>111</v>
      </c>
      <c r="CY1454">
        <v>0</v>
      </c>
      <c r="CZ1454" t="s">
        <v>111</v>
      </c>
      <c r="DA1454" t="s">
        <v>111</v>
      </c>
      <c r="DB1454" t="s">
        <v>111</v>
      </c>
      <c r="DC1454" t="s">
        <v>111</v>
      </c>
    </row>
    <row r="1455" spans="1:107">
      <c r="A1455">
        <v>238</v>
      </c>
      <c r="B1455" t="s">
        <v>162</v>
      </c>
      <c r="C1455" t="s">
        <v>2690</v>
      </c>
      <c r="D1455" t="s">
        <v>4094</v>
      </c>
      <c r="E1455" t="s">
        <v>4095</v>
      </c>
      <c r="F1455" t="s">
        <v>1651</v>
      </c>
      <c r="G1455" t="s">
        <v>24</v>
      </c>
      <c r="H1455">
        <v>1.25</v>
      </c>
      <c r="I1455">
        <v>50</v>
      </c>
      <c r="J1455">
        <v>0</v>
      </c>
      <c r="K1455">
        <v>0</v>
      </c>
      <c r="L1455" t="s">
        <v>112</v>
      </c>
      <c r="M1455" t="s">
        <v>118</v>
      </c>
      <c r="N1455">
        <v>40</v>
      </c>
      <c r="O1455">
        <v>1</v>
      </c>
      <c r="P1455" t="s">
        <v>138</v>
      </c>
      <c r="Q1455">
        <v>40</v>
      </c>
      <c r="R1455">
        <v>0</v>
      </c>
      <c r="S1455">
        <v>0</v>
      </c>
      <c r="T1455">
        <v>0</v>
      </c>
      <c r="U1455" t="s">
        <v>1353</v>
      </c>
      <c r="V1455">
        <v>0</v>
      </c>
      <c r="W1455">
        <v>0</v>
      </c>
      <c r="X1455">
        <v>0</v>
      </c>
      <c r="Y1455">
        <v>25</v>
      </c>
      <c r="Z1455" t="s">
        <v>111</v>
      </c>
      <c r="AA1455">
        <v>0</v>
      </c>
      <c r="AB1455" t="s">
        <v>111</v>
      </c>
      <c r="AC1455">
        <v>0</v>
      </c>
      <c r="AD1455" t="s">
        <v>416</v>
      </c>
      <c r="AE1455">
        <v>2</v>
      </c>
      <c r="AF1455">
        <v>0</v>
      </c>
      <c r="AG1455">
        <v>40</v>
      </c>
      <c r="AH1455" t="s">
        <v>111</v>
      </c>
      <c r="AI1455">
        <v>40</v>
      </c>
      <c r="AJ1455" t="s">
        <v>111</v>
      </c>
      <c r="AK1455" t="s">
        <v>111</v>
      </c>
      <c r="AL1455" t="s">
        <v>111</v>
      </c>
      <c r="AM1455">
        <v>0</v>
      </c>
      <c r="AN1455">
        <v>0</v>
      </c>
      <c r="AO1455">
        <v>0</v>
      </c>
      <c r="AP1455" t="s">
        <v>111</v>
      </c>
      <c r="AQ1455" t="s">
        <v>111</v>
      </c>
      <c r="AR1455" t="s">
        <v>111</v>
      </c>
      <c r="AS1455" t="s">
        <v>111</v>
      </c>
      <c r="AT1455" t="s">
        <v>111</v>
      </c>
      <c r="AU1455" t="s">
        <v>111</v>
      </c>
      <c r="AV1455" t="s">
        <v>111</v>
      </c>
      <c r="AW1455" t="s">
        <v>111</v>
      </c>
      <c r="AX1455" t="s">
        <v>111</v>
      </c>
      <c r="AY1455" t="s">
        <v>111</v>
      </c>
      <c r="AZ1455" t="s">
        <v>111</v>
      </c>
      <c r="BA1455" t="s">
        <v>111</v>
      </c>
      <c r="BB1455" t="s">
        <v>111</v>
      </c>
      <c r="BC1455" t="s">
        <v>111</v>
      </c>
      <c r="BD1455" t="s">
        <v>111</v>
      </c>
      <c r="BE1455" t="s">
        <v>111</v>
      </c>
      <c r="BF1455" t="s">
        <v>111</v>
      </c>
      <c r="BG1455" t="s">
        <v>111</v>
      </c>
      <c r="BH1455" t="s">
        <v>111</v>
      </c>
      <c r="BI1455" t="s">
        <v>111</v>
      </c>
      <c r="BJ1455" t="s">
        <v>111</v>
      </c>
      <c r="BK1455" t="s">
        <v>111</v>
      </c>
      <c r="BL1455" t="s">
        <v>111</v>
      </c>
      <c r="BM1455" t="s">
        <v>111</v>
      </c>
      <c r="BN1455" t="s">
        <v>111</v>
      </c>
      <c r="BO1455" t="s">
        <v>111</v>
      </c>
      <c r="BP1455" t="s">
        <v>111</v>
      </c>
      <c r="BQ1455" t="s">
        <v>111</v>
      </c>
      <c r="BR1455" t="s">
        <v>111</v>
      </c>
      <c r="BS1455" t="s">
        <v>111</v>
      </c>
      <c r="BT1455" t="s">
        <v>111</v>
      </c>
      <c r="BU1455" t="s">
        <v>111</v>
      </c>
      <c r="BV1455" t="s">
        <v>111</v>
      </c>
      <c r="BW1455" t="s">
        <v>111</v>
      </c>
      <c r="BX1455" t="s">
        <v>111</v>
      </c>
      <c r="BY1455" t="s">
        <v>111</v>
      </c>
      <c r="BZ1455" t="s">
        <v>111</v>
      </c>
      <c r="CA1455" t="s">
        <v>111</v>
      </c>
      <c r="CB1455" t="s">
        <v>111</v>
      </c>
      <c r="CC1455" t="s">
        <v>111</v>
      </c>
      <c r="CD1455" t="s">
        <v>111</v>
      </c>
      <c r="CE1455" t="s">
        <v>111</v>
      </c>
      <c r="CF1455" t="s">
        <v>111</v>
      </c>
      <c r="CG1455" t="s">
        <v>111</v>
      </c>
      <c r="CH1455" t="s">
        <v>111</v>
      </c>
      <c r="CI1455" t="s">
        <v>111</v>
      </c>
      <c r="CJ1455" t="s">
        <v>111</v>
      </c>
      <c r="CK1455" t="s">
        <v>111</v>
      </c>
      <c r="CL1455" t="s">
        <v>153</v>
      </c>
      <c r="CM1455" t="s">
        <v>198</v>
      </c>
      <c r="CN1455" t="s">
        <v>113</v>
      </c>
      <c r="CO1455" t="s">
        <v>111</v>
      </c>
      <c r="CP1455" t="s">
        <v>433</v>
      </c>
      <c r="CQ1455">
        <v>0</v>
      </c>
      <c r="CR1455">
        <v>0</v>
      </c>
      <c r="CS1455">
        <v>0</v>
      </c>
      <c r="CT1455" t="s">
        <v>168</v>
      </c>
      <c r="CU1455">
        <v>0</v>
      </c>
      <c r="CV1455" t="s">
        <v>111</v>
      </c>
      <c r="CW1455" t="s">
        <v>111</v>
      </c>
      <c r="CX1455" t="s">
        <v>111</v>
      </c>
      <c r="CY1455">
        <v>0</v>
      </c>
      <c r="CZ1455" t="s">
        <v>111</v>
      </c>
      <c r="DA1455" t="s">
        <v>111</v>
      </c>
      <c r="DB1455" t="s">
        <v>111</v>
      </c>
      <c r="DC1455" t="s">
        <v>111</v>
      </c>
    </row>
    <row r="1456" spans="1:107">
      <c r="A1456">
        <v>123</v>
      </c>
      <c r="B1456" t="s">
        <v>162</v>
      </c>
      <c r="C1456" t="s">
        <v>174</v>
      </c>
      <c r="D1456" t="s">
        <v>4096</v>
      </c>
      <c r="E1456" t="s">
        <v>4097</v>
      </c>
      <c r="F1456" t="s">
        <v>1071</v>
      </c>
      <c r="G1456" t="s">
        <v>24</v>
      </c>
      <c r="H1456">
        <v>2</v>
      </c>
      <c r="I1456">
        <v>35</v>
      </c>
      <c r="J1456">
        <v>0</v>
      </c>
      <c r="K1456">
        <v>0</v>
      </c>
      <c r="L1456" t="s">
        <v>112</v>
      </c>
      <c r="M1456" t="s">
        <v>138</v>
      </c>
      <c r="N1456">
        <v>0</v>
      </c>
      <c r="O1456">
        <v>0</v>
      </c>
      <c r="P1456" t="s">
        <v>138</v>
      </c>
      <c r="Q1456">
        <v>35</v>
      </c>
      <c r="R1456">
        <v>0</v>
      </c>
      <c r="S1456">
        <v>0</v>
      </c>
      <c r="T1456">
        <v>0</v>
      </c>
      <c r="U1456" s="1" t="s">
        <v>2957</v>
      </c>
      <c r="V1456">
        <v>0</v>
      </c>
      <c r="W1456">
        <v>0</v>
      </c>
      <c r="X1456">
        <v>0</v>
      </c>
      <c r="Y1456">
        <v>25</v>
      </c>
      <c r="Z1456" t="s">
        <v>111</v>
      </c>
      <c r="AA1456">
        <v>0</v>
      </c>
      <c r="AB1456" t="s">
        <v>111</v>
      </c>
      <c r="AC1456">
        <v>0</v>
      </c>
      <c r="AD1456" t="s">
        <v>111</v>
      </c>
      <c r="AE1456">
        <v>0</v>
      </c>
      <c r="AF1456">
        <v>0</v>
      </c>
      <c r="AG1456" t="s">
        <v>111</v>
      </c>
      <c r="AH1456" t="s">
        <v>111</v>
      </c>
      <c r="AI1456" t="s">
        <v>111</v>
      </c>
      <c r="AJ1456" t="s">
        <v>111</v>
      </c>
      <c r="AK1456" t="s">
        <v>111</v>
      </c>
      <c r="AL1456" t="s">
        <v>111</v>
      </c>
      <c r="AM1456">
        <v>0</v>
      </c>
      <c r="AN1456">
        <v>0</v>
      </c>
      <c r="AO1456">
        <v>0</v>
      </c>
      <c r="AP1456" t="s">
        <v>111</v>
      </c>
      <c r="AQ1456" t="s">
        <v>111</v>
      </c>
      <c r="AR1456" t="s">
        <v>111</v>
      </c>
      <c r="AS1456" t="s">
        <v>111</v>
      </c>
      <c r="AT1456" t="s">
        <v>111</v>
      </c>
      <c r="AU1456" t="s">
        <v>111</v>
      </c>
      <c r="AV1456" t="s">
        <v>111</v>
      </c>
      <c r="AW1456" t="s">
        <v>111</v>
      </c>
      <c r="AX1456" t="s">
        <v>111</v>
      </c>
      <c r="AY1456" t="s">
        <v>111</v>
      </c>
      <c r="AZ1456" t="s">
        <v>111</v>
      </c>
      <c r="BA1456" t="s">
        <v>111</v>
      </c>
      <c r="BB1456" t="s">
        <v>111</v>
      </c>
      <c r="BC1456" t="s">
        <v>111</v>
      </c>
      <c r="BD1456" t="s">
        <v>111</v>
      </c>
      <c r="BE1456" t="s">
        <v>111</v>
      </c>
      <c r="BF1456" t="s">
        <v>111</v>
      </c>
      <c r="BG1456" t="s">
        <v>111</v>
      </c>
      <c r="BH1456" t="s">
        <v>111</v>
      </c>
      <c r="BI1456" t="s">
        <v>111</v>
      </c>
      <c r="BJ1456" t="s">
        <v>111</v>
      </c>
      <c r="BK1456" t="s">
        <v>111</v>
      </c>
      <c r="BL1456" t="s">
        <v>111</v>
      </c>
      <c r="BM1456" t="s">
        <v>111</v>
      </c>
      <c r="BN1456" t="s">
        <v>111</v>
      </c>
      <c r="BO1456" t="s">
        <v>111</v>
      </c>
      <c r="BP1456" t="s">
        <v>111</v>
      </c>
      <c r="BQ1456" t="s">
        <v>111</v>
      </c>
      <c r="BR1456" t="s">
        <v>111</v>
      </c>
      <c r="BS1456" t="s">
        <v>111</v>
      </c>
      <c r="BT1456" t="s">
        <v>111</v>
      </c>
      <c r="BU1456" t="s">
        <v>111</v>
      </c>
      <c r="BV1456" t="s">
        <v>111</v>
      </c>
      <c r="BW1456" t="s">
        <v>111</v>
      </c>
      <c r="BX1456" t="s">
        <v>111</v>
      </c>
      <c r="BY1456" t="s">
        <v>111</v>
      </c>
      <c r="BZ1456" t="s">
        <v>111</v>
      </c>
      <c r="CA1456" t="s">
        <v>111</v>
      </c>
      <c r="CB1456" t="s">
        <v>111</v>
      </c>
      <c r="CC1456" t="s">
        <v>111</v>
      </c>
      <c r="CD1456" t="s">
        <v>111</v>
      </c>
      <c r="CE1456" t="s">
        <v>111</v>
      </c>
      <c r="CF1456" t="s">
        <v>111</v>
      </c>
      <c r="CG1456" t="s">
        <v>111</v>
      </c>
      <c r="CH1456" t="s">
        <v>111</v>
      </c>
      <c r="CI1456" t="s">
        <v>111</v>
      </c>
      <c r="CJ1456" t="s">
        <v>111</v>
      </c>
      <c r="CK1456" t="s">
        <v>111</v>
      </c>
      <c r="CL1456" t="s">
        <v>111</v>
      </c>
      <c r="CM1456" t="s">
        <v>198</v>
      </c>
      <c r="CN1456" t="s">
        <v>113</v>
      </c>
      <c r="CO1456" t="s">
        <v>111</v>
      </c>
      <c r="CP1456" t="s">
        <v>111</v>
      </c>
      <c r="CQ1456">
        <v>0</v>
      </c>
      <c r="CR1456">
        <v>500</v>
      </c>
      <c r="CS1456">
        <v>200</v>
      </c>
      <c r="CT1456" s="1" t="s">
        <v>4098</v>
      </c>
      <c r="CU1456">
        <v>0</v>
      </c>
      <c r="CV1456" t="s">
        <v>111</v>
      </c>
      <c r="CW1456" t="s">
        <v>111</v>
      </c>
      <c r="CX1456" t="s">
        <v>111</v>
      </c>
      <c r="CY1456">
        <v>0</v>
      </c>
      <c r="CZ1456" t="s">
        <v>111</v>
      </c>
      <c r="DA1456" t="s">
        <v>111</v>
      </c>
      <c r="DB1456" t="s">
        <v>111</v>
      </c>
      <c r="DC1456" t="s">
        <v>111</v>
      </c>
    </row>
    <row r="1457" spans="1:107">
      <c r="A1457">
        <v>453</v>
      </c>
      <c r="B1457" t="s">
        <v>162</v>
      </c>
      <c r="C1457" t="s">
        <v>3788</v>
      </c>
      <c r="D1457" t="s">
        <v>4099</v>
      </c>
      <c r="E1457" t="s">
        <v>4100</v>
      </c>
      <c r="F1457" t="s">
        <v>1651</v>
      </c>
      <c r="G1457" t="s">
        <v>24</v>
      </c>
      <c r="H1457">
        <v>1.5</v>
      </c>
      <c r="I1457">
        <v>44</v>
      </c>
      <c r="J1457">
        <v>0</v>
      </c>
      <c r="K1457">
        <v>0</v>
      </c>
      <c r="L1457" t="s">
        <v>112</v>
      </c>
      <c r="M1457" t="s">
        <v>118</v>
      </c>
      <c r="N1457">
        <v>40</v>
      </c>
      <c r="O1457">
        <v>2</v>
      </c>
      <c r="P1457" t="s">
        <v>138</v>
      </c>
      <c r="Q1457">
        <v>40</v>
      </c>
      <c r="R1457">
        <v>0</v>
      </c>
      <c r="S1457">
        <v>0</v>
      </c>
      <c r="T1457">
        <v>0</v>
      </c>
      <c r="U1457" t="s">
        <v>1353</v>
      </c>
      <c r="V1457">
        <v>0</v>
      </c>
      <c r="W1457">
        <v>0</v>
      </c>
      <c r="X1457">
        <v>0</v>
      </c>
      <c r="Y1457">
        <v>25</v>
      </c>
      <c r="Z1457" t="s">
        <v>111</v>
      </c>
      <c r="AA1457">
        <v>0</v>
      </c>
      <c r="AB1457" t="s">
        <v>111</v>
      </c>
      <c r="AC1457">
        <v>0</v>
      </c>
      <c r="AD1457" t="s">
        <v>416</v>
      </c>
      <c r="AE1457">
        <v>0</v>
      </c>
      <c r="AF1457">
        <v>2</v>
      </c>
      <c r="AG1457">
        <v>22</v>
      </c>
      <c r="AH1457" t="s">
        <v>111</v>
      </c>
      <c r="AI1457">
        <v>45</v>
      </c>
      <c r="AJ1457" t="s">
        <v>111</v>
      </c>
      <c r="AK1457" t="s">
        <v>111</v>
      </c>
      <c r="AL1457" t="s">
        <v>111</v>
      </c>
      <c r="AM1457">
        <v>0</v>
      </c>
      <c r="AN1457">
        <v>0</v>
      </c>
      <c r="AO1457">
        <v>0</v>
      </c>
      <c r="AP1457" t="s">
        <v>111</v>
      </c>
      <c r="AQ1457" t="s">
        <v>111</v>
      </c>
      <c r="AR1457" t="s">
        <v>111</v>
      </c>
      <c r="AS1457" t="s">
        <v>111</v>
      </c>
      <c r="AT1457" t="s">
        <v>111</v>
      </c>
      <c r="AU1457" t="s">
        <v>111</v>
      </c>
      <c r="AV1457" t="s">
        <v>111</v>
      </c>
      <c r="AW1457" t="s">
        <v>111</v>
      </c>
      <c r="AX1457" t="s">
        <v>111</v>
      </c>
      <c r="AY1457" t="s">
        <v>111</v>
      </c>
      <c r="AZ1457" t="s">
        <v>111</v>
      </c>
      <c r="BA1457" t="s">
        <v>111</v>
      </c>
      <c r="BB1457" t="s">
        <v>111</v>
      </c>
      <c r="BC1457" t="s">
        <v>111</v>
      </c>
      <c r="BD1457" t="s">
        <v>111</v>
      </c>
      <c r="BE1457" t="s">
        <v>111</v>
      </c>
      <c r="BF1457" t="s">
        <v>111</v>
      </c>
      <c r="BG1457" t="s">
        <v>111</v>
      </c>
      <c r="BH1457" t="s">
        <v>111</v>
      </c>
      <c r="BI1457" t="s">
        <v>111</v>
      </c>
      <c r="BJ1457" t="s">
        <v>111</v>
      </c>
      <c r="BK1457" t="s">
        <v>111</v>
      </c>
      <c r="BL1457" t="s">
        <v>111</v>
      </c>
      <c r="BM1457" t="s">
        <v>111</v>
      </c>
      <c r="BN1457" t="s">
        <v>111</v>
      </c>
      <c r="BO1457" t="s">
        <v>111</v>
      </c>
      <c r="BP1457" t="s">
        <v>111</v>
      </c>
      <c r="BQ1457" t="s">
        <v>111</v>
      </c>
      <c r="BR1457" t="s">
        <v>111</v>
      </c>
      <c r="BS1457" t="s">
        <v>111</v>
      </c>
      <c r="BT1457" t="s">
        <v>111</v>
      </c>
      <c r="BU1457" t="s">
        <v>111</v>
      </c>
      <c r="BV1457" t="s">
        <v>111</v>
      </c>
      <c r="BW1457" t="s">
        <v>111</v>
      </c>
      <c r="BX1457" t="s">
        <v>111</v>
      </c>
      <c r="BY1457" t="s">
        <v>111</v>
      </c>
      <c r="BZ1457" t="s">
        <v>111</v>
      </c>
      <c r="CA1457" t="s">
        <v>111</v>
      </c>
      <c r="CB1457" t="s">
        <v>111</v>
      </c>
      <c r="CC1457" t="s">
        <v>111</v>
      </c>
      <c r="CD1457" t="s">
        <v>111</v>
      </c>
      <c r="CE1457" t="s">
        <v>111</v>
      </c>
      <c r="CF1457" t="s">
        <v>111</v>
      </c>
      <c r="CG1457" t="s">
        <v>111</v>
      </c>
      <c r="CH1457" t="s">
        <v>111</v>
      </c>
      <c r="CI1457" t="s">
        <v>111</v>
      </c>
      <c r="CJ1457" t="s">
        <v>111</v>
      </c>
      <c r="CK1457" t="s">
        <v>111</v>
      </c>
      <c r="CL1457" t="s">
        <v>153</v>
      </c>
      <c r="CM1457" t="s">
        <v>198</v>
      </c>
      <c r="CN1457" t="s">
        <v>113</v>
      </c>
      <c r="CO1457" t="s">
        <v>111</v>
      </c>
      <c r="CP1457" t="s">
        <v>433</v>
      </c>
      <c r="CQ1457">
        <v>0</v>
      </c>
      <c r="CR1457">
        <v>0</v>
      </c>
      <c r="CS1457">
        <v>0</v>
      </c>
      <c r="CT1457" t="s">
        <v>168</v>
      </c>
      <c r="CU1457">
        <v>0</v>
      </c>
      <c r="CV1457" t="s">
        <v>111</v>
      </c>
      <c r="CW1457" t="s">
        <v>111</v>
      </c>
      <c r="CX1457" t="s">
        <v>111</v>
      </c>
      <c r="CY1457">
        <v>0</v>
      </c>
      <c r="CZ1457" t="s">
        <v>111</v>
      </c>
      <c r="DA1457" t="s">
        <v>111</v>
      </c>
      <c r="DB1457" t="s">
        <v>111</v>
      </c>
      <c r="DC1457" t="s">
        <v>111</v>
      </c>
    </row>
    <row r="1458" spans="1:107">
      <c r="A1458">
        <v>454</v>
      </c>
      <c r="B1458" t="s">
        <v>162</v>
      </c>
      <c r="C1458" t="s">
        <v>3788</v>
      </c>
      <c r="D1458" t="s">
        <v>3791</v>
      </c>
      <c r="E1458" t="s">
        <v>4101</v>
      </c>
      <c r="F1458" t="s">
        <v>1651</v>
      </c>
      <c r="G1458" t="s">
        <v>24</v>
      </c>
      <c r="H1458">
        <v>1.5</v>
      </c>
      <c r="I1458">
        <v>33</v>
      </c>
      <c r="J1458">
        <v>0</v>
      </c>
      <c r="K1458">
        <v>0</v>
      </c>
      <c r="L1458" t="s">
        <v>112</v>
      </c>
      <c r="M1458" t="s">
        <v>118</v>
      </c>
      <c r="N1458">
        <v>40</v>
      </c>
      <c r="O1458">
        <v>2</v>
      </c>
      <c r="P1458" t="s">
        <v>138</v>
      </c>
      <c r="Q1458">
        <v>40</v>
      </c>
      <c r="R1458">
        <v>0</v>
      </c>
      <c r="S1458">
        <v>0</v>
      </c>
      <c r="T1458">
        <v>0</v>
      </c>
      <c r="U1458" t="s">
        <v>1353</v>
      </c>
      <c r="V1458">
        <v>0</v>
      </c>
      <c r="W1458">
        <v>0</v>
      </c>
      <c r="X1458">
        <v>0</v>
      </c>
      <c r="Y1458">
        <v>25</v>
      </c>
      <c r="Z1458" t="s">
        <v>111</v>
      </c>
      <c r="AA1458">
        <v>0</v>
      </c>
      <c r="AB1458" t="s">
        <v>111</v>
      </c>
      <c r="AC1458">
        <v>0</v>
      </c>
      <c r="AD1458" t="s">
        <v>416</v>
      </c>
      <c r="AE1458">
        <v>0</v>
      </c>
      <c r="AF1458">
        <v>2</v>
      </c>
      <c r="AG1458">
        <v>22</v>
      </c>
      <c r="AH1458" t="s">
        <v>111</v>
      </c>
      <c r="AI1458">
        <v>45</v>
      </c>
      <c r="AJ1458" t="s">
        <v>111</v>
      </c>
      <c r="AK1458" t="s">
        <v>111</v>
      </c>
      <c r="AL1458" t="s">
        <v>111</v>
      </c>
      <c r="AM1458">
        <v>0</v>
      </c>
      <c r="AN1458">
        <v>0</v>
      </c>
      <c r="AO1458">
        <v>0</v>
      </c>
      <c r="AP1458" t="s">
        <v>111</v>
      </c>
      <c r="AQ1458" t="s">
        <v>111</v>
      </c>
      <c r="AR1458" t="s">
        <v>111</v>
      </c>
      <c r="AS1458" t="s">
        <v>111</v>
      </c>
      <c r="AT1458" t="s">
        <v>111</v>
      </c>
      <c r="AU1458" t="s">
        <v>111</v>
      </c>
      <c r="AV1458" t="s">
        <v>111</v>
      </c>
      <c r="AW1458" t="s">
        <v>111</v>
      </c>
      <c r="AX1458" t="s">
        <v>111</v>
      </c>
      <c r="AY1458" t="s">
        <v>111</v>
      </c>
      <c r="AZ1458" t="s">
        <v>111</v>
      </c>
      <c r="BA1458" t="s">
        <v>111</v>
      </c>
      <c r="BB1458" t="s">
        <v>111</v>
      </c>
      <c r="BC1458" t="s">
        <v>111</v>
      </c>
      <c r="BD1458" t="s">
        <v>111</v>
      </c>
      <c r="BE1458" t="s">
        <v>111</v>
      </c>
      <c r="BF1458" t="s">
        <v>111</v>
      </c>
      <c r="BG1458" t="s">
        <v>111</v>
      </c>
      <c r="BH1458" t="s">
        <v>111</v>
      </c>
      <c r="BI1458" t="s">
        <v>111</v>
      </c>
      <c r="BJ1458" t="s">
        <v>111</v>
      </c>
      <c r="BK1458" t="s">
        <v>111</v>
      </c>
      <c r="BL1458" t="s">
        <v>111</v>
      </c>
      <c r="BM1458" t="s">
        <v>111</v>
      </c>
      <c r="BN1458" t="s">
        <v>111</v>
      </c>
      <c r="BO1458" t="s">
        <v>111</v>
      </c>
      <c r="BP1458" t="s">
        <v>111</v>
      </c>
      <c r="BQ1458" t="s">
        <v>111</v>
      </c>
      <c r="BR1458" t="s">
        <v>111</v>
      </c>
      <c r="BS1458" t="s">
        <v>111</v>
      </c>
      <c r="BT1458" t="s">
        <v>111</v>
      </c>
      <c r="BU1458" t="s">
        <v>111</v>
      </c>
      <c r="BV1458" t="s">
        <v>111</v>
      </c>
      <c r="BW1458" t="s">
        <v>111</v>
      </c>
      <c r="BX1458" t="s">
        <v>111</v>
      </c>
      <c r="BY1458" t="s">
        <v>111</v>
      </c>
      <c r="BZ1458" t="s">
        <v>111</v>
      </c>
      <c r="CA1458" t="s">
        <v>111</v>
      </c>
      <c r="CB1458" t="s">
        <v>111</v>
      </c>
      <c r="CC1458" t="s">
        <v>111</v>
      </c>
      <c r="CD1458" t="s">
        <v>111</v>
      </c>
      <c r="CE1458" t="s">
        <v>111</v>
      </c>
      <c r="CF1458" t="s">
        <v>111</v>
      </c>
      <c r="CG1458" t="s">
        <v>111</v>
      </c>
      <c r="CH1458" t="s">
        <v>111</v>
      </c>
      <c r="CI1458" t="s">
        <v>111</v>
      </c>
      <c r="CJ1458" t="s">
        <v>111</v>
      </c>
      <c r="CK1458" t="s">
        <v>111</v>
      </c>
      <c r="CL1458" t="s">
        <v>153</v>
      </c>
      <c r="CM1458" t="s">
        <v>198</v>
      </c>
      <c r="CN1458" t="s">
        <v>113</v>
      </c>
      <c r="CO1458" t="s">
        <v>111</v>
      </c>
      <c r="CP1458" t="s">
        <v>433</v>
      </c>
      <c r="CQ1458">
        <v>0</v>
      </c>
      <c r="CR1458">
        <v>0</v>
      </c>
      <c r="CS1458">
        <v>0</v>
      </c>
      <c r="CT1458" t="s">
        <v>168</v>
      </c>
      <c r="CU1458">
        <v>0</v>
      </c>
      <c r="CV1458" t="s">
        <v>111</v>
      </c>
      <c r="CW1458" t="s">
        <v>111</v>
      </c>
      <c r="CX1458" t="s">
        <v>111</v>
      </c>
      <c r="CY1458">
        <v>0</v>
      </c>
      <c r="CZ1458" t="s">
        <v>111</v>
      </c>
      <c r="DA1458" t="s">
        <v>111</v>
      </c>
      <c r="DB1458" t="s">
        <v>111</v>
      </c>
      <c r="DC1458" t="s">
        <v>111</v>
      </c>
    </row>
    <row r="1459" spans="1:107">
      <c r="A1459">
        <v>122</v>
      </c>
      <c r="B1459" t="s">
        <v>162</v>
      </c>
      <c r="C1459" s="2">
        <v>42794900</v>
      </c>
      <c r="D1459" t="s">
        <v>4102</v>
      </c>
      <c r="E1459" t="s">
        <v>4103</v>
      </c>
      <c r="F1459" t="s">
        <v>1651</v>
      </c>
      <c r="G1459" t="s">
        <v>24</v>
      </c>
      <c r="H1459">
        <v>2.5</v>
      </c>
      <c r="I1459">
        <v>35</v>
      </c>
      <c r="J1459">
        <v>0</v>
      </c>
      <c r="K1459">
        <v>0</v>
      </c>
      <c r="L1459" t="s">
        <v>112</v>
      </c>
      <c r="M1459" t="s">
        <v>118</v>
      </c>
      <c r="N1459">
        <v>40</v>
      </c>
      <c r="O1459">
        <v>2</v>
      </c>
      <c r="P1459" t="s">
        <v>138</v>
      </c>
      <c r="Q1459">
        <v>40</v>
      </c>
      <c r="R1459">
        <v>0</v>
      </c>
      <c r="S1459">
        <v>0</v>
      </c>
      <c r="T1459">
        <v>0</v>
      </c>
      <c r="U1459" t="s">
        <v>1353</v>
      </c>
      <c r="V1459">
        <v>0</v>
      </c>
      <c r="W1459">
        <v>0</v>
      </c>
      <c r="X1459">
        <v>0</v>
      </c>
      <c r="Y1459">
        <v>25</v>
      </c>
      <c r="Z1459" t="s">
        <v>111</v>
      </c>
      <c r="AA1459">
        <v>0</v>
      </c>
      <c r="AB1459" t="s">
        <v>111</v>
      </c>
      <c r="AC1459">
        <v>0</v>
      </c>
      <c r="AD1459" t="s">
        <v>416</v>
      </c>
      <c r="AE1459">
        <v>3</v>
      </c>
      <c r="AF1459">
        <v>2</v>
      </c>
      <c r="AG1459">
        <v>26</v>
      </c>
      <c r="AH1459" t="s">
        <v>111</v>
      </c>
      <c r="AI1459">
        <v>26</v>
      </c>
      <c r="AJ1459" t="s">
        <v>111</v>
      </c>
      <c r="AK1459" t="s">
        <v>111</v>
      </c>
      <c r="AL1459" t="s">
        <v>111</v>
      </c>
      <c r="AM1459">
        <v>0</v>
      </c>
      <c r="AN1459">
        <v>0</v>
      </c>
      <c r="AO1459">
        <v>0</v>
      </c>
      <c r="AP1459" t="s">
        <v>111</v>
      </c>
      <c r="AQ1459" t="s">
        <v>111</v>
      </c>
      <c r="AR1459" t="s">
        <v>111</v>
      </c>
      <c r="AS1459" t="s">
        <v>111</v>
      </c>
      <c r="AT1459" t="s">
        <v>111</v>
      </c>
      <c r="AU1459" t="s">
        <v>111</v>
      </c>
      <c r="AV1459" t="s">
        <v>111</v>
      </c>
      <c r="AW1459" t="s">
        <v>111</v>
      </c>
      <c r="AX1459" t="s">
        <v>111</v>
      </c>
      <c r="AY1459" t="s">
        <v>111</v>
      </c>
      <c r="AZ1459" t="s">
        <v>111</v>
      </c>
      <c r="BA1459" t="s">
        <v>111</v>
      </c>
      <c r="BB1459" t="s">
        <v>111</v>
      </c>
      <c r="BC1459" t="s">
        <v>111</v>
      </c>
      <c r="BD1459" t="s">
        <v>111</v>
      </c>
      <c r="BE1459" t="s">
        <v>111</v>
      </c>
      <c r="BF1459" t="s">
        <v>111</v>
      </c>
      <c r="BG1459" t="s">
        <v>111</v>
      </c>
      <c r="BH1459" t="s">
        <v>111</v>
      </c>
      <c r="BI1459" t="s">
        <v>111</v>
      </c>
      <c r="BJ1459" t="s">
        <v>111</v>
      </c>
      <c r="BK1459" t="s">
        <v>111</v>
      </c>
      <c r="BL1459" t="s">
        <v>111</v>
      </c>
      <c r="BM1459" t="s">
        <v>111</v>
      </c>
      <c r="BN1459" t="s">
        <v>111</v>
      </c>
      <c r="BO1459" t="s">
        <v>111</v>
      </c>
      <c r="BP1459" t="s">
        <v>111</v>
      </c>
      <c r="BQ1459" t="s">
        <v>111</v>
      </c>
      <c r="BR1459" t="s">
        <v>111</v>
      </c>
      <c r="BS1459" t="s">
        <v>111</v>
      </c>
      <c r="BT1459" t="s">
        <v>111</v>
      </c>
      <c r="BU1459" t="s">
        <v>111</v>
      </c>
      <c r="BV1459" t="s">
        <v>111</v>
      </c>
      <c r="BW1459" t="s">
        <v>111</v>
      </c>
      <c r="BX1459" t="s">
        <v>111</v>
      </c>
      <c r="BY1459" t="s">
        <v>111</v>
      </c>
      <c r="BZ1459" t="s">
        <v>111</v>
      </c>
      <c r="CA1459" t="s">
        <v>111</v>
      </c>
      <c r="CB1459" t="s">
        <v>111</v>
      </c>
      <c r="CC1459" t="s">
        <v>111</v>
      </c>
      <c r="CD1459" t="s">
        <v>111</v>
      </c>
      <c r="CE1459" t="s">
        <v>111</v>
      </c>
      <c r="CF1459" t="s">
        <v>111</v>
      </c>
      <c r="CG1459" t="s">
        <v>111</v>
      </c>
      <c r="CH1459" t="s">
        <v>111</v>
      </c>
      <c r="CI1459" t="s">
        <v>111</v>
      </c>
      <c r="CJ1459" t="s">
        <v>111</v>
      </c>
      <c r="CK1459" t="s">
        <v>111</v>
      </c>
      <c r="CL1459" t="s">
        <v>153</v>
      </c>
      <c r="CM1459" t="s">
        <v>198</v>
      </c>
      <c r="CN1459" t="s">
        <v>113</v>
      </c>
      <c r="CO1459" t="s">
        <v>111</v>
      </c>
      <c r="CP1459" t="s">
        <v>433</v>
      </c>
      <c r="CQ1459">
        <v>0</v>
      </c>
      <c r="CR1459">
        <v>0</v>
      </c>
      <c r="CS1459">
        <v>0</v>
      </c>
      <c r="CT1459" t="s">
        <v>168</v>
      </c>
      <c r="CU1459">
        <v>0</v>
      </c>
      <c r="CV1459" t="s">
        <v>111</v>
      </c>
      <c r="CW1459" t="s">
        <v>111</v>
      </c>
      <c r="CX1459" t="s">
        <v>111</v>
      </c>
      <c r="CY1459">
        <v>0</v>
      </c>
      <c r="CZ1459" t="s">
        <v>111</v>
      </c>
      <c r="DA1459" t="s">
        <v>111</v>
      </c>
      <c r="DB1459" t="s">
        <v>111</v>
      </c>
      <c r="DC1459" t="s">
        <v>111</v>
      </c>
    </row>
    <row r="1460" spans="1:107">
      <c r="A1460">
        <v>239</v>
      </c>
      <c r="B1460" t="s">
        <v>162</v>
      </c>
      <c r="C1460" t="s">
        <v>3121</v>
      </c>
      <c r="D1460" t="s">
        <v>4104</v>
      </c>
      <c r="E1460" t="s">
        <v>4105</v>
      </c>
      <c r="F1460" t="s">
        <v>1071</v>
      </c>
      <c r="G1460" t="s">
        <v>24</v>
      </c>
      <c r="H1460">
        <v>1.35</v>
      </c>
      <c r="I1460">
        <v>45</v>
      </c>
      <c r="J1460">
        <v>0</v>
      </c>
      <c r="K1460">
        <v>0</v>
      </c>
      <c r="L1460" t="s">
        <v>112</v>
      </c>
      <c r="M1460" t="s">
        <v>138</v>
      </c>
      <c r="N1460">
        <v>0</v>
      </c>
      <c r="O1460">
        <v>0</v>
      </c>
      <c r="P1460" t="s">
        <v>138</v>
      </c>
      <c r="Q1460">
        <v>40</v>
      </c>
      <c r="R1460">
        <v>0</v>
      </c>
      <c r="S1460">
        <v>0</v>
      </c>
      <c r="T1460">
        <v>0</v>
      </c>
      <c r="U1460" s="1" t="s">
        <v>4106</v>
      </c>
      <c r="V1460">
        <v>0</v>
      </c>
      <c r="W1460">
        <v>0</v>
      </c>
      <c r="X1460">
        <v>0</v>
      </c>
      <c r="Y1460">
        <v>25</v>
      </c>
      <c r="Z1460" t="s">
        <v>111</v>
      </c>
      <c r="AA1460">
        <v>0</v>
      </c>
      <c r="AB1460" t="s">
        <v>111</v>
      </c>
      <c r="AC1460">
        <v>0</v>
      </c>
      <c r="AD1460" t="s">
        <v>111</v>
      </c>
      <c r="AE1460">
        <v>0</v>
      </c>
      <c r="AF1460">
        <v>0</v>
      </c>
      <c r="AG1460" t="s">
        <v>111</v>
      </c>
      <c r="AH1460" t="s">
        <v>111</v>
      </c>
      <c r="AI1460" t="s">
        <v>111</v>
      </c>
      <c r="AJ1460" t="s">
        <v>111</v>
      </c>
      <c r="AK1460" t="s">
        <v>111</v>
      </c>
      <c r="AL1460" t="s">
        <v>111</v>
      </c>
      <c r="AM1460">
        <v>0</v>
      </c>
      <c r="AN1460">
        <v>0</v>
      </c>
      <c r="AO1460">
        <v>0</v>
      </c>
      <c r="AP1460" t="s">
        <v>111</v>
      </c>
      <c r="AQ1460" t="s">
        <v>111</v>
      </c>
      <c r="AR1460" t="s">
        <v>111</v>
      </c>
      <c r="AS1460" t="s">
        <v>111</v>
      </c>
      <c r="AT1460" t="s">
        <v>111</v>
      </c>
      <c r="AU1460" t="s">
        <v>111</v>
      </c>
      <c r="AV1460" t="s">
        <v>111</v>
      </c>
      <c r="AW1460" t="s">
        <v>111</v>
      </c>
      <c r="AX1460" t="s">
        <v>111</v>
      </c>
      <c r="AY1460" t="s">
        <v>111</v>
      </c>
      <c r="AZ1460" t="s">
        <v>111</v>
      </c>
      <c r="BA1460" t="s">
        <v>111</v>
      </c>
      <c r="BB1460" t="s">
        <v>111</v>
      </c>
      <c r="BC1460" t="s">
        <v>111</v>
      </c>
      <c r="BD1460" t="s">
        <v>111</v>
      </c>
      <c r="BE1460" t="s">
        <v>111</v>
      </c>
      <c r="BF1460" t="s">
        <v>111</v>
      </c>
      <c r="BG1460" t="s">
        <v>111</v>
      </c>
      <c r="BH1460" t="s">
        <v>111</v>
      </c>
      <c r="BI1460" t="s">
        <v>111</v>
      </c>
      <c r="BJ1460" t="s">
        <v>111</v>
      </c>
      <c r="BK1460" t="s">
        <v>111</v>
      </c>
      <c r="BL1460" t="s">
        <v>111</v>
      </c>
      <c r="BM1460" t="s">
        <v>111</v>
      </c>
      <c r="BN1460" t="s">
        <v>111</v>
      </c>
      <c r="BO1460" t="s">
        <v>111</v>
      </c>
      <c r="BP1460" t="s">
        <v>111</v>
      </c>
      <c r="BQ1460" t="s">
        <v>111</v>
      </c>
      <c r="BR1460" t="s">
        <v>111</v>
      </c>
      <c r="BS1460" t="s">
        <v>111</v>
      </c>
      <c r="BT1460" t="s">
        <v>111</v>
      </c>
      <c r="BU1460" t="s">
        <v>111</v>
      </c>
      <c r="BV1460" t="s">
        <v>111</v>
      </c>
      <c r="BW1460" t="s">
        <v>111</v>
      </c>
      <c r="BX1460" t="s">
        <v>111</v>
      </c>
      <c r="BY1460" t="s">
        <v>111</v>
      </c>
      <c r="BZ1460" t="s">
        <v>111</v>
      </c>
      <c r="CA1460" t="s">
        <v>111</v>
      </c>
      <c r="CB1460" t="s">
        <v>111</v>
      </c>
      <c r="CC1460" t="s">
        <v>111</v>
      </c>
      <c r="CD1460" t="s">
        <v>111</v>
      </c>
      <c r="CE1460" t="s">
        <v>111</v>
      </c>
      <c r="CF1460" t="s">
        <v>111</v>
      </c>
      <c r="CG1460" t="s">
        <v>111</v>
      </c>
      <c r="CH1460" t="s">
        <v>111</v>
      </c>
      <c r="CI1460" t="s">
        <v>111</v>
      </c>
      <c r="CJ1460" t="s">
        <v>111</v>
      </c>
      <c r="CK1460" t="s">
        <v>111</v>
      </c>
      <c r="CL1460" t="s">
        <v>111</v>
      </c>
      <c r="CM1460" t="s">
        <v>198</v>
      </c>
      <c r="CN1460" t="s">
        <v>113</v>
      </c>
      <c r="CO1460" t="s">
        <v>111</v>
      </c>
      <c r="CP1460" t="s">
        <v>111</v>
      </c>
      <c r="CQ1460">
        <v>0</v>
      </c>
      <c r="CR1460">
        <v>0</v>
      </c>
      <c r="CS1460">
        <v>0</v>
      </c>
      <c r="CT1460" t="s">
        <v>168</v>
      </c>
      <c r="CU1460">
        <v>0</v>
      </c>
      <c r="CV1460" t="s">
        <v>111</v>
      </c>
      <c r="CW1460" t="s">
        <v>111</v>
      </c>
      <c r="CX1460" t="s">
        <v>111</v>
      </c>
      <c r="CY1460">
        <v>0</v>
      </c>
      <c r="CZ1460" t="s">
        <v>111</v>
      </c>
      <c r="DA1460" t="s">
        <v>111</v>
      </c>
      <c r="DB1460" t="s">
        <v>111</v>
      </c>
      <c r="DC1460" t="s">
        <v>111</v>
      </c>
    </row>
    <row r="1461" spans="1:107">
      <c r="A1461">
        <v>400</v>
      </c>
      <c r="B1461" t="s">
        <v>162</v>
      </c>
      <c r="C1461" t="s">
        <v>1156</v>
      </c>
      <c r="D1461" t="s">
        <v>4107</v>
      </c>
      <c r="E1461" t="s">
        <v>4108</v>
      </c>
      <c r="F1461" t="s">
        <v>1651</v>
      </c>
      <c r="G1461" t="s">
        <v>24</v>
      </c>
      <c r="H1461">
        <v>1.4</v>
      </c>
      <c r="I1461">
        <v>40.5</v>
      </c>
      <c r="J1461">
        <v>0</v>
      </c>
      <c r="K1461">
        <v>0</v>
      </c>
      <c r="L1461" t="s">
        <v>112</v>
      </c>
      <c r="M1461" t="s">
        <v>118</v>
      </c>
      <c r="N1461">
        <v>40</v>
      </c>
      <c r="O1461">
        <v>1</v>
      </c>
      <c r="P1461" t="s">
        <v>138</v>
      </c>
      <c r="Q1461">
        <v>34.9</v>
      </c>
      <c r="R1461">
        <v>0</v>
      </c>
      <c r="S1461">
        <v>0</v>
      </c>
      <c r="T1461">
        <v>5</v>
      </c>
      <c r="U1461" t="s">
        <v>1353</v>
      </c>
      <c r="V1461">
        <v>0</v>
      </c>
      <c r="W1461">
        <v>0</v>
      </c>
      <c r="X1461">
        <v>0</v>
      </c>
      <c r="Y1461">
        <v>25</v>
      </c>
      <c r="Z1461" t="s">
        <v>111</v>
      </c>
      <c r="AA1461">
        <v>0</v>
      </c>
      <c r="AB1461" t="s">
        <v>111</v>
      </c>
      <c r="AC1461">
        <v>0</v>
      </c>
      <c r="AD1461" t="s">
        <v>416</v>
      </c>
      <c r="AE1461">
        <v>3</v>
      </c>
      <c r="AF1461">
        <v>1</v>
      </c>
      <c r="AG1461" t="s">
        <v>4109</v>
      </c>
      <c r="AH1461" t="s">
        <v>111</v>
      </c>
      <c r="AI1461">
        <v>30</v>
      </c>
      <c r="AJ1461" t="s">
        <v>111</v>
      </c>
      <c r="AK1461" t="s">
        <v>111</v>
      </c>
      <c r="AL1461" t="s">
        <v>111</v>
      </c>
      <c r="AM1461">
        <v>0</v>
      </c>
      <c r="AN1461">
        <v>0</v>
      </c>
      <c r="AO1461">
        <v>0</v>
      </c>
      <c r="AP1461" t="s">
        <v>111</v>
      </c>
      <c r="AQ1461" t="s">
        <v>111</v>
      </c>
      <c r="AR1461" t="s">
        <v>111</v>
      </c>
      <c r="AS1461" t="s">
        <v>111</v>
      </c>
      <c r="AT1461" t="s">
        <v>111</v>
      </c>
      <c r="AU1461" t="s">
        <v>111</v>
      </c>
      <c r="AV1461" t="s">
        <v>111</v>
      </c>
      <c r="AW1461" t="s">
        <v>111</v>
      </c>
      <c r="AX1461" t="s">
        <v>111</v>
      </c>
      <c r="AY1461" t="s">
        <v>111</v>
      </c>
      <c r="AZ1461" t="s">
        <v>111</v>
      </c>
      <c r="BA1461" t="s">
        <v>111</v>
      </c>
      <c r="BB1461" t="s">
        <v>111</v>
      </c>
      <c r="BC1461" t="s">
        <v>111</v>
      </c>
      <c r="BD1461" t="s">
        <v>111</v>
      </c>
      <c r="BE1461" t="s">
        <v>111</v>
      </c>
      <c r="BF1461" t="s">
        <v>111</v>
      </c>
      <c r="BG1461" t="s">
        <v>111</v>
      </c>
      <c r="BH1461" t="s">
        <v>111</v>
      </c>
      <c r="BI1461" t="s">
        <v>111</v>
      </c>
      <c r="BJ1461" t="s">
        <v>111</v>
      </c>
      <c r="BK1461" t="s">
        <v>111</v>
      </c>
      <c r="BL1461" t="s">
        <v>111</v>
      </c>
      <c r="BM1461" t="s">
        <v>111</v>
      </c>
      <c r="BN1461" t="s">
        <v>111</v>
      </c>
      <c r="BO1461" t="s">
        <v>111</v>
      </c>
      <c r="BP1461" t="s">
        <v>111</v>
      </c>
      <c r="BQ1461" t="s">
        <v>111</v>
      </c>
      <c r="BR1461" t="s">
        <v>111</v>
      </c>
      <c r="BS1461" t="s">
        <v>111</v>
      </c>
      <c r="BT1461" t="s">
        <v>111</v>
      </c>
      <c r="BU1461" t="s">
        <v>111</v>
      </c>
      <c r="BV1461" t="s">
        <v>111</v>
      </c>
      <c r="BW1461" t="s">
        <v>111</v>
      </c>
      <c r="BX1461" t="s">
        <v>111</v>
      </c>
      <c r="BY1461" t="s">
        <v>111</v>
      </c>
      <c r="BZ1461" t="s">
        <v>111</v>
      </c>
      <c r="CA1461" t="s">
        <v>111</v>
      </c>
      <c r="CB1461" t="s">
        <v>111</v>
      </c>
      <c r="CC1461" t="s">
        <v>111</v>
      </c>
      <c r="CD1461" t="s">
        <v>111</v>
      </c>
      <c r="CE1461" t="s">
        <v>111</v>
      </c>
      <c r="CF1461" t="s">
        <v>111</v>
      </c>
      <c r="CG1461" t="s">
        <v>111</v>
      </c>
      <c r="CH1461" t="s">
        <v>111</v>
      </c>
      <c r="CI1461" t="s">
        <v>111</v>
      </c>
      <c r="CJ1461" t="s">
        <v>111</v>
      </c>
      <c r="CK1461" t="s">
        <v>111</v>
      </c>
      <c r="CL1461" t="s">
        <v>153</v>
      </c>
      <c r="CM1461" t="s">
        <v>198</v>
      </c>
      <c r="CN1461" t="s">
        <v>113</v>
      </c>
      <c r="CO1461" t="s">
        <v>111</v>
      </c>
      <c r="CP1461" t="s">
        <v>433</v>
      </c>
      <c r="CQ1461">
        <v>65</v>
      </c>
      <c r="CR1461">
        <v>3000</v>
      </c>
      <c r="CS1461">
        <v>200</v>
      </c>
      <c r="CT1461" s="1" t="s">
        <v>4110</v>
      </c>
      <c r="CU1461">
        <v>0</v>
      </c>
      <c r="CV1461" t="s">
        <v>111</v>
      </c>
      <c r="CW1461" t="s">
        <v>111</v>
      </c>
      <c r="CX1461" t="s">
        <v>111</v>
      </c>
      <c r="CY1461">
        <v>0</v>
      </c>
      <c r="CZ1461" t="s">
        <v>111</v>
      </c>
      <c r="DA1461" t="s">
        <v>111</v>
      </c>
      <c r="DB1461" t="s">
        <v>111</v>
      </c>
      <c r="DC1461" t="s">
        <v>111</v>
      </c>
    </row>
    <row r="1462" spans="1:107">
      <c r="A1462">
        <v>116</v>
      </c>
      <c r="B1462" t="s">
        <v>162</v>
      </c>
      <c r="C1462" t="s">
        <v>3777</v>
      </c>
      <c r="D1462" t="s">
        <v>3917</v>
      </c>
      <c r="E1462" t="s">
        <v>4111</v>
      </c>
      <c r="F1462" t="s">
        <v>110</v>
      </c>
      <c r="G1462" t="s">
        <v>24</v>
      </c>
      <c r="H1462">
        <v>1</v>
      </c>
      <c r="I1462">
        <v>50</v>
      </c>
      <c r="J1462">
        <v>0</v>
      </c>
      <c r="K1462">
        <v>0</v>
      </c>
      <c r="L1462" t="s">
        <v>112</v>
      </c>
      <c r="M1462" t="s">
        <v>118</v>
      </c>
      <c r="N1462">
        <v>40</v>
      </c>
      <c r="O1462">
        <v>1</v>
      </c>
      <c r="P1462" t="s">
        <v>138</v>
      </c>
      <c r="Q1462">
        <v>30</v>
      </c>
      <c r="R1462">
        <v>0</v>
      </c>
      <c r="S1462">
        <v>0</v>
      </c>
      <c r="T1462">
        <v>0</v>
      </c>
      <c r="U1462" s="1" t="s">
        <v>4112</v>
      </c>
      <c r="V1462">
        <v>0</v>
      </c>
      <c r="W1462">
        <v>0</v>
      </c>
      <c r="X1462">
        <v>0</v>
      </c>
      <c r="Y1462">
        <v>25</v>
      </c>
      <c r="Z1462" t="s">
        <v>111</v>
      </c>
      <c r="AA1462">
        <v>0</v>
      </c>
      <c r="AB1462" t="s">
        <v>111</v>
      </c>
      <c r="AC1462">
        <v>0</v>
      </c>
      <c r="AD1462" t="s">
        <v>111</v>
      </c>
      <c r="AE1462">
        <v>0</v>
      </c>
      <c r="AF1462">
        <v>0</v>
      </c>
      <c r="AG1462" t="s">
        <v>111</v>
      </c>
      <c r="AH1462" t="s">
        <v>111</v>
      </c>
      <c r="AI1462" t="s">
        <v>111</v>
      </c>
      <c r="AJ1462" t="s">
        <v>111</v>
      </c>
      <c r="AK1462" t="s">
        <v>111</v>
      </c>
      <c r="AL1462" t="s">
        <v>111</v>
      </c>
      <c r="AM1462">
        <v>0</v>
      </c>
      <c r="AN1462">
        <v>0</v>
      </c>
      <c r="AO1462">
        <v>0</v>
      </c>
      <c r="AP1462" t="s">
        <v>111</v>
      </c>
      <c r="AQ1462" t="s">
        <v>111</v>
      </c>
      <c r="AR1462" t="s">
        <v>111</v>
      </c>
      <c r="AS1462" t="s">
        <v>111</v>
      </c>
      <c r="AT1462" t="s">
        <v>111</v>
      </c>
      <c r="AU1462" t="s">
        <v>111</v>
      </c>
      <c r="AV1462" t="s">
        <v>111</v>
      </c>
      <c r="AW1462" t="s">
        <v>111</v>
      </c>
      <c r="AX1462" t="s">
        <v>111</v>
      </c>
      <c r="AY1462" t="s">
        <v>111</v>
      </c>
      <c r="AZ1462" t="s">
        <v>111</v>
      </c>
      <c r="BA1462" t="s">
        <v>111</v>
      </c>
      <c r="BB1462" t="s">
        <v>111</v>
      </c>
      <c r="BC1462" t="s">
        <v>111</v>
      </c>
      <c r="BD1462" t="s">
        <v>111</v>
      </c>
      <c r="BE1462" t="s">
        <v>111</v>
      </c>
      <c r="BF1462" t="s">
        <v>111</v>
      </c>
      <c r="BG1462" t="s">
        <v>111</v>
      </c>
      <c r="BH1462" t="s">
        <v>111</v>
      </c>
      <c r="BI1462" t="s">
        <v>111</v>
      </c>
      <c r="BJ1462" t="s">
        <v>111</v>
      </c>
      <c r="BK1462" t="s">
        <v>111</v>
      </c>
      <c r="BL1462" t="s">
        <v>111</v>
      </c>
      <c r="BM1462" t="s">
        <v>111</v>
      </c>
      <c r="BN1462" t="s">
        <v>111</v>
      </c>
      <c r="BO1462" t="s">
        <v>111</v>
      </c>
      <c r="BP1462" t="s">
        <v>111</v>
      </c>
      <c r="BQ1462" t="s">
        <v>111</v>
      </c>
      <c r="BR1462" t="s">
        <v>111</v>
      </c>
      <c r="BS1462" t="s">
        <v>111</v>
      </c>
      <c r="BT1462" t="s">
        <v>111</v>
      </c>
      <c r="BU1462" t="s">
        <v>111</v>
      </c>
      <c r="BV1462" t="s">
        <v>111</v>
      </c>
      <c r="BW1462" t="s">
        <v>111</v>
      </c>
      <c r="BX1462" t="s">
        <v>111</v>
      </c>
      <c r="BY1462" t="s">
        <v>111</v>
      </c>
      <c r="BZ1462" t="s">
        <v>111</v>
      </c>
      <c r="CA1462" t="s">
        <v>111</v>
      </c>
      <c r="CB1462" t="s">
        <v>111</v>
      </c>
      <c r="CC1462" t="s">
        <v>111</v>
      </c>
      <c r="CD1462" t="s">
        <v>111</v>
      </c>
      <c r="CE1462" t="s">
        <v>111</v>
      </c>
      <c r="CF1462" t="s">
        <v>111</v>
      </c>
      <c r="CG1462" t="s">
        <v>111</v>
      </c>
      <c r="CH1462" t="s">
        <v>111</v>
      </c>
      <c r="CI1462" t="s">
        <v>111</v>
      </c>
      <c r="CJ1462" t="s">
        <v>111</v>
      </c>
      <c r="CK1462" t="s">
        <v>111</v>
      </c>
      <c r="CL1462" t="s">
        <v>111</v>
      </c>
      <c r="CM1462" t="s">
        <v>111</v>
      </c>
      <c r="CN1462" t="s">
        <v>111</v>
      </c>
      <c r="CO1462" t="s">
        <v>111</v>
      </c>
      <c r="CP1462" t="s">
        <v>111</v>
      </c>
      <c r="CQ1462">
        <v>0</v>
      </c>
      <c r="CR1462">
        <v>0</v>
      </c>
      <c r="CS1462">
        <v>0</v>
      </c>
      <c r="CT1462" t="s">
        <v>111</v>
      </c>
      <c r="CU1462">
        <v>0</v>
      </c>
      <c r="CV1462" t="s">
        <v>111</v>
      </c>
      <c r="CW1462" t="s">
        <v>111</v>
      </c>
      <c r="CX1462" t="s">
        <v>111</v>
      </c>
      <c r="CY1462">
        <v>0</v>
      </c>
      <c r="CZ1462" t="s">
        <v>111</v>
      </c>
      <c r="DA1462" t="s">
        <v>111</v>
      </c>
      <c r="DB1462" t="s">
        <v>111</v>
      </c>
      <c r="DC1462" t="s">
        <v>111</v>
      </c>
    </row>
    <row r="1463" spans="1:107">
      <c r="A1463">
        <v>294</v>
      </c>
      <c r="B1463" t="s">
        <v>162</v>
      </c>
      <c r="C1463" t="s">
        <v>174</v>
      </c>
      <c r="D1463" t="s">
        <v>4113</v>
      </c>
      <c r="E1463" t="s">
        <v>4114</v>
      </c>
      <c r="F1463" t="s">
        <v>1071</v>
      </c>
      <c r="G1463" t="s">
        <v>24</v>
      </c>
      <c r="H1463">
        <v>1.5</v>
      </c>
      <c r="I1463">
        <v>35</v>
      </c>
      <c r="J1463">
        <v>0</v>
      </c>
      <c r="K1463">
        <v>0</v>
      </c>
      <c r="L1463" t="s">
        <v>112</v>
      </c>
      <c r="M1463" t="s">
        <v>138</v>
      </c>
      <c r="N1463">
        <v>0</v>
      </c>
      <c r="O1463">
        <v>0</v>
      </c>
      <c r="P1463" t="s">
        <v>138</v>
      </c>
      <c r="Q1463">
        <v>22</v>
      </c>
      <c r="R1463">
        <v>0</v>
      </c>
      <c r="S1463">
        <v>0</v>
      </c>
      <c r="T1463">
        <v>0</v>
      </c>
      <c r="U1463" s="1" t="s">
        <v>2957</v>
      </c>
      <c r="V1463">
        <v>0</v>
      </c>
      <c r="W1463">
        <v>0</v>
      </c>
      <c r="X1463">
        <v>0</v>
      </c>
      <c r="Y1463">
        <v>25</v>
      </c>
      <c r="Z1463" t="s">
        <v>111</v>
      </c>
      <c r="AA1463">
        <v>0</v>
      </c>
      <c r="AB1463" t="s">
        <v>111</v>
      </c>
      <c r="AC1463">
        <v>0</v>
      </c>
      <c r="AD1463" t="s">
        <v>111</v>
      </c>
      <c r="AE1463">
        <v>0</v>
      </c>
      <c r="AF1463">
        <v>0</v>
      </c>
      <c r="AG1463" t="s">
        <v>111</v>
      </c>
      <c r="AH1463" t="s">
        <v>111</v>
      </c>
      <c r="AI1463" t="s">
        <v>111</v>
      </c>
      <c r="AJ1463" t="s">
        <v>111</v>
      </c>
      <c r="AK1463" t="s">
        <v>111</v>
      </c>
      <c r="AL1463" t="s">
        <v>111</v>
      </c>
      <c r="AM1463">
        <v>0</v>
      </c>
      <c r="AN1463">
        <v>0</v>
      </c>
      <c r="AO1463">
        <v>0</v>
      </c>
      <c r="AP1463" t="s">
        <v>111</v>
      </c>
      <c r="AQ1463" t="s">
        <v>111</v>
      </c>
      <c r="AR1463" t="s">
        <v>111</v>
      </c>
      <c r="AS1463" t="s">
        <v>111</v>
      </c>
      <c r="AT1463" t="s">
        <v>111</v>
      </c>
      <c r="AU1463" t="s">
        <v>111</v>
      </c>
      <c r="AV1463" t="s">
        <v>111</v>
      </c>
      <c r="AW1463" t="s">
        <v>111</v>
      </c>
      <c r="AX1463" t="s">
        <v>111</v>
      </c>
      <c r="AY1463" t="s">
        <v>111</v>
      </c>
      <c r="AZ1463" t="s">
        <v>111</v>
      </c>
      <c r="BA1463" t="s">
        <v>111</v>
      </c>
      <c r="BB1463" t="s">
        <v>111</v>
      </c>
      <c r="BC1463" t="s">
        <v>111</v>
      </c>
      <c r="BD1463" t="s">
        <v>111</v>
      </c>
      <c r="BE1463" t="s">
        <v>111</v>
      </c>
      <c r="BF1463" t="s">
        <v>111</v>
      </c>
      <c r="BG1463" t="s">
        <v>111</v>
      </c>
      <c r="BH1463" t="s">
        <v>111</v>
      </c>
      <c r="BI1463" t="s">
        <v>111</v>
      </c>
      <c r="BJ1463" t="s">
        <v>111</v>
      </c>
      <c r="BK1463" t="s">
        <v>111</v>
      </c>
      <c r="BL1463" t="s">
        <v>111</v>
      </c>
      <c r="BM1463" t="s">
        <v>111</v>
      </c>
      <c r="BN1463" t="s">
        <v>111</v>
      </c>
      <c r="BO1463" t="s">
        <v>111</v>
      </c>
      <c r="BP1463" t="s">
        <v>111</v>
      </c>
      <c r="BQ1463" t="s">
        <v>111</v>
      </c>
      <c r="BR1463" t="s">
        <v>111</v>
      </c>
      <c r="BS1463" t="s">
        <v>111</v>
      </c>
      <c r="BT1463" t="s">
        <v>111</v>
      </c>
      <c r="BU1463" t="s">
        <v>111</v>
      </c>
      <c r="BV1463" t="s">
        <v>111</v>
      </c>
      <c r="BW1463" t="s">
        <v>111</v>
      </c>
      <c r="BX1463" t="s">
        <v>111</v>
      </c>
      <c r="BY1463" t="s">
        <v>111</v>
      </c>
      <c r="BZ1463" t="s">
        <v>111</v>
      </c>
      <c r="CA1463" t="s">
        <v>111</v>
      </c>
      <c r="CB1463" t="s">
        <v>111</v>
      </c>
      <c r="CC1463" t="s">
        <v>111</v>
      </c>
      <c r="CD1463" t="s">
        <v>111</v>
      </c>
      <c r="CE1463" t="s">
        <v>111</v>
      </c>
      <c r="CF1463" t="s">
        <v>111</v>
      </c>
      <c r="CG1463" t="s">
        <v>111</v>
      </c>
      <c r="CH1463" t="s">
        <v>111</v>
      </c>
      <c r="CI1463" t="s">
        <v>111</v>
      </c>
      <c r="CJ1463" t="s">
        <v>111</v>
      </c>
      <c r="CK1463" t="s">
        <v>111</v>
      </c>
      <c r="CL1463" t="s">
        <v>111</v>
      </c>
      <c r="CM1463" t="s">
        <v>198</v>
      </c>
      <c r="CN1463" t="s">
        <v>113</v>
      </c>
      <c r="CO1463" t="s">
        <v>111</v>
      </c>
      <c r="CP1463" t="s">
        <v>111</v>
      </c>
      <c r="CQ1463">
        <v>75</v>
      </c>
      <c r="CR1463">
        <v>5000</v>
      </c>
      <c r="CS1463">
        <v>200</v>
      </c>
      <c r="CT1463" s="1" t="s">
        <v>4115</v>
      </c>
      <c r="CU1463">
        <v>0</v>
      </c>
      <c r="CV1463" t="s">
        <v>111</v>
      </c>
      <c r="CW1463" t="s">
        <v>111</v>
      </c>
      <c r="CX1463" t="s">
        <v>111</v>
      </c>
      <c r="CY1463">
        <v>0</v>
      </c>
      <c r="CZ1463" t="s">
        <v>111</v>
      </c>
      <c r="DA1463" t="s">
        <v>111</v>
      </c>
      <c r="DB1463" t="s">
        <v>111</v>
      </c>
      <c r="DC1463" t="s">
        <v>111</v>
      </c>
    </row>
    <row r="1464" spans="1:107">
      <c r="A1464">
        <v>463</v>
      </c>
      <c r="B1464" t="s">
        <v>162</v>
      </c>
      <c r="C1464" t="s">
        <v>3783</v>
      </c>
      <c r="D1464" t="s">
        <v>3784</v>
      </c>
      <c r="E1464" t="s">
        <v>4116</v>
      </c>
      <c r="F1464" t="s">
        <v>1260</v>
      </c>
      <c r="G1464" t="s">
        <v>24</v>
      </c>
      <c r="H1464">
        <v>2</v>
      </c>
      <c r="I1464">
        <v>40</v>
      </c>
      <c r="J1464">
        <v>0</v>
      </c>
      <c r="K1464">
        <v>0</v>
      </c>
      <c r="L1464" t="s">
        <v>117</v>
      </c>
      <c r="M1464" t="s">
        <v>118</v>
      </c>
      <c r="N1464">
        <v>40</v>
      </c>
      <c r="O1464">
        <v>2</v>
      </c>
      <c r="P1464" t="s">
        <v>138</v>
      </c>
      <c r="Q1464">
        <v>30</v>
      </c>
      <c r="R1464">
        <v>0</v>
      </c>
      <c r="S1464">
        <v>0</v>
      </c>
      <c r="T1464">
        <v>0</v>
      </c>
      <c r="U1464" t="s">
        <v>1353</v>
      </c>
      <c r="V1464">
        <v>0</v>
      </c>
      <c r="W1464">
        <v>0</v>
      </c>
      <c r="X1464">
        <v>0</v>
      </c>
      <c r="Y1464">
        <v>25</v>
      </c>
      <c r="Z1464" t="s">
        <v>111</v>
      </c>
      <c r="AA1464">
        <v>0</v>
      </c>
      <c r="AB1464" t="s">
        <v>111</v>
      </c>
      <c r="AC1464">
        <v>0</v>
      </c>
      <c r="AD1464" t="s">
        <v>416</v>
      </c>
      <c r="AE1464">
        <v>4</v>
      </c>
      <c r="AF1464">
        <v>1</v>
      </c>
      <c r="AG1464" t="s">
        <v>4117</v>
      </c>
      <c r="AH1464" t="s">
        <v>111</v>
      </c>
      <c r="AI1464">
        <v>30</v>
      </c>
      <c r="AJ1464" t="s">
        <v>111</v>
      </c>
      <c r="AK1464" t="s">
        <v>111</v>
      </c>
      <c r="AL1464" t="s">
        <v>111</v>
      </c>
      <c r="AM1464">
        <v>0</v>
      </c>
      <c r="AN1464">
        <v>0</v>
      </c>
      <c r="AO1464">
        <v>0</v>
      </c>
      <c r="AP1464" t="s">
        <v>111</v>
      </c>
      <c r="AQ1464" t="s">
        <v>111</v>
      </c>
      <c r="AR1464" t="s">
        <v>111</v>
      </c>
      <c r="AS1464" t="s">
        <v>111</v>
      </c>
      <c r="AT1464" t="s">
        <v>111</v>
      </c>
      <c r="AU1464" t="s">
        <v>111</v>
      </c>
      <c r="AV1464" t="s">
        <v>111</v>
      </c>
      <c r="AW1464" t="s">
        <v>111</v>
      </c>
      <c r="AX1464" t="s">
        <v>111</v>
      </c>
      <c r="AY1464" t="s">
        <v>111</v>
      </c>
      <c r="AZ1464" t="s">
        <v>111</v>
      </c>
      <c r="BA1464" t="s">
        <v>111</v>
      </c>
      <c r="BB1464" t="s">
        <v>111</v>
      </c>
      <c r="BC1464" t="s">
        <v>111</v>
      </c>
      <c r="BD1464" t="s">
        <v>111</v>
      </c>
      <c r="BE1464" t="s">
        <v>111</v>
      </c>
      <c r="BF1464" t="s">
        <v>111</v>
      </c>
      <c r="BG1464" t="s">
        <v>111</v>
      </c>
      <c r="BH1464" t="s">
        <v>111</v>
      </c>
      <c r="BI1464" t="s">
        <v>111</v>
      </c>
      <c r="BJ1464" t="s">
        <v>111</v>
      </c>
      <c r="BK1464" t="s">
        <v>111</v>
      </c>
      <c r="BL1464" t="s">
        <v>111</v>
      </c>
      <c r="BM1464" t="s">
        <v>111</v>
      </c>
      <c r="BN1464" t="s">
        <v>111</v>
      </c>
      <c r="BO1464" t="s">
        <v>111</v>
      </c>
      <c r="BP1464" t="s">
        <v>111</v>
      </c>
      <c r="BQ1464" t="s">
        <v>111</v>
      </c>
      <c r="BR1464" t="s">
        <v>111</v>
      </c>
      <c r="BS1464" t="s">
        <v>111</v>
      </c>
      <c r="BT1464" t="s">
        <v>111</v>
      </c>
      <c r="BU1464" t="s">
        <v>111</v>
      </c>
      <c r="BV1464" t="s">
        <v>111</v>
      </c>
      <c r="BW1464" t="s">
        <v>111</v>
      </c>
      <c r="BX1464" t="s">
        <v>111</v>
      </c>
      <c r="BY1464" t="s">
        <v>111</v>
      </c>
      <c r="BZ1464" t="s">
        <v>111</v>
      </c>
      <c r="CA1464" t="s">
        <v>111</v>
      </c>
      <c r="CB1464" t="s">
        <v>111</v>
      </c>
      <c r="CC1464" t="s">
        <v>111</v>
      </c>
      <c r="CD1464" t="s">
        <v>111</v>
      </c>
      <c r="CE1464" t="s">
        <v>111</v>
      </c>
      <c r="CF1464" t="s">
        <v>111</v>
      </c>
      <c r="CG1464" t="s">
        <v>111</v>
      </c>
      <c r="CH1464" t="s">
        <v>111</v>
      </c>
      <c r="CI1464" t="s">
        <v>111</v>
      </c>
      <c r="CJ1464" t="s">
        <v>111</v>
      </c>
      <c r="CK1464" t="s">
        <v>111</v>
      </c>
      <c r="CL1464" t="s">
        <v>153</v>
      </c>
      <c r="CM1464">
        <v>450</v>
      </c>
      <c r="CN1464" t="s">
        <v>113</v>
      </c>
      <c r="CO1464" t="s">
        <v>111</v>
      </c>
      <c r="CP1464" t="s">
        <v>433</v>
      </c>
      <c r="CQ1464">
        <v>0</v>
      </c>
      <c r="CR1464">
        <v>0</v>
      </c>
      <c r="CS1464">
        <v>0</v>
      </c>
      <c r="CT1464" t="s">
        <v>168</v>
      </c>
      <c r="CU1464">
        <v>0</v>
      </c>
      <c r="CV1464" t="s">
        <v>111</v>
      </c>
      <c r="CW1464" t="s">
        <v>111</v>
      </c>
      <c r="CX1464" t="s">
        <v>111</v>
      </c>
      <c r="CY1464">
        <v>0</v>
      </c>
      <c r="CZ1464" t="s">
        <v>111</v>
      </c>
      <c r="DA1464" t="s">
        <v>111</v>
      </c>
      <c r="DB1464" t="s">
        <v>111</v>
      </c>
      <c r="DC1464" t="s">
        <v>111</v>
      </c>
    </row>
    <row r="1465" spans="1:107">
      <c r="A1465">
        <v>348</v>
      </c>
      <c r="B1465" t="s">
        <v>162</v>
      </c>
      <c r="C1465" t="s">
        <v>1643</v>
      </c>
      <c r="D1465" t="s">
        <v>4118</v>
      </c>
      <c r="E1465" t="s">
        <v>4119</v>
      </c>
      <c r="F1465" t="s">
        <v>2211</v>
      </c>
      <c r="G1465" t="s">
        <v>24</v>
      </c>
      <c r="H1465">
        <v>1.1499999999999999</v>
      </c>
      <c r="I1465">
        <v>35</v>
      </c>
      <c r="J1465">
        <v>0</v>
      </c>
      <c r="K1465">
        <v>0</v>
      </c>
      <c r="L1465" t="s">
        <v>117</v>
      </c>
      <c r="M1465" t="s">
        <v>138</v>
      </c>
      <c r="N1465">
        <v>0</v>
      </c>
      <c r="O1465">
        <v>0</v>
      </c>
      <c r="P1465" t="s">
        <v>138</v>
      </c>
      <c r="Q1465">
        <v>30</v>
      </c>
      <c r="R1465">
        <v>0</v>
      </c>
      <c r="S1465">
        <v>0</v>
      </c>
      <c r="T1465">
        <v>0</v>
      </c>
      <c r="U1465" s="1" t="s">
        <v>4120</v>
      </c>
      <c r="V1465">
        <v>0</v>
      </c>
      <c r="W1465">
        <v>0</v>
      </c>
      <c r="X1465">
        <v>0</v>
      </c>
      <c r="Y1465">
        <v>25</v>
      </c>
      <c r="Z1465" t="s">
        <v>111</v>
      </c>
      <c r="AA1465">
        <v>0</v>
      </c>
      <c r="AB1465" t="s">
        <v>111</v>
      </c>
      <c r="AC1465">
        <v>0</v>
      </c>
      <c r="AD1465" t="s">
        <v>111</v>
      </c>
      <c r="AE1465">
        <v>0</v>
      </c>
      <c r="AF1465">
        <v>0</v>
      </c>
      <c r="AG1465" t="s">
        <v>111</v>
      </c>
      <c r="AH1465" t="s">
        <v>111</v>
      </c>
      <c r="AI1465" t="s">
        <v>111</v>
      </c>
      <c r="AJ1465" t="s">
        <v>111</v>
      </c>
      <c r="AK1465" t="s">
        <v>111</v>
      </c>
      <c r="AL1465" t="s">
        <v>111</v>
      </c>
      <c r="AM1465">
        <v>0</v>
      </c>
      <c r="AN1465">
        <v>0</v>
      </c>
      <c r="AO1465">
        <v>0</v>
      </c>
      <c r="AP1465" t="s">
        <v>111</v>
      </c>
      <c r="AQ1465" t="s">
        <v>111</v>
      </c>
      <c r="AR1465" t="s">
        <v>111</v>
      </c>
      <c r="AS1465" t="s">
        <v>111</v>
      </c>
      <c r="AT1465" t="s">
        <v>111</v>
      </c>
      <c r="AU1465" t="s">
        <v>111</v>
      </c>
      <c r="AV1465" t="s">
        <v>111</v>
      </c>
      <c r="AW1465" t="s">
        <v>111</v>
      </c>
      <c r="AX1465" t="s">
        <v>111</v>
      </c>
      <c r="AY1465" t="s">
        <v>111</v>
      </c>
      <c r="AZ1465" t="s">
        <v>111</v>
      </c>
      <c r="BA1465" t="s">
        <v>111</v>
      </c>
      <c r="BB1465" t="s">
        <v>111</v>
      </c>
      <c r="BC1465" t="s">
        <v>111</v>
      </c>
      <c r="BD1465" t="s">
        <v>111</v>
      </c>
      <c r="BE1465" t="s">
        <v>111</v>
      </c>
      <c r="BF1465" t="s">
        <v>111</v>
      </c>
      <c r="BG1465" t="s">
        <v>111</v>
      </c>
      <c r="BH1465" t="s">
        <v>111</v>
      </c>
      <c r="BI1465" t="s">
        <v>111</v>
      </c>
      <c r="BJ1465" t="s">
        <v>111</v>
      </c>
      <c r="BK1465" t="s">
        <v>111</v>
      </c>
      <c r="BL1465" t="s">
        <v>111</v>
      </c>
      <c r="BM1465" t="s">
        <v>111</v>
      </c>
      <c r="BN1465" t="s">
        <v>111</v>
      </c>
      <c r="BO1465" t="s">
        <v>111</v>
      </c>
      <c r="BP1465" t="s">
        <v>111</v>
      </c>
      <c r="BQ1465" t="s">
        <v>111</v>
      </c>
      <c r="BR1465" t="s">
        <v>111</v>
      </c>
      <c r="BS1465" t="s">
        <v>111</v>
      </c>
      <c r="BT1465" t="s">
        <v>111</v>
      </c>
      <c r="BU1465" t="s">
        <v>111</v>
      </c>
      <c r="BV1465" t="s">
        <v>111</v>
      </c>
      <c r="BW1465" t="s">
        <v>111</v>
      </c>
      <c r="BX1465" t="s">
        <v>111</v>
      </c>
      <c r="BY1465" t="s">
        <v>111</v>
      </c>
      <c r="BZ1465" t="s">
        <v>111</v>
      </c>
      <c r="CA1465" t="s">
        <v>111</v>
      </c>
      <c r="CB1465" t="s">
        <v>111</v>
      </c>
      <c r="CC1465" t="s">
        <v>111</v>
      </c>
      <c r="CD1465" t="s">
        <v>111</v>
      </c>
      <c r="CE1465" t="s">
        <v>111</v>
      </c>
      <c r="CF1465" t="s">
        <v>111</v>
      </c>
      <c r="CG1465" t="s">
        <v>111</v>
      </c>
      <c r="CH1465" t="s">
        <v>111</v>
      </c>
      <c r="CI1465" t="s">
        <v>111</v>
      </c>
      <c r="CJ1465" t="s">
        <v>111</v>
      </c>
      <c r="CK1465" t="s">
        <v>111</v>
      </c>
      <c r="CL1465" t="s">
        <v>111</v>
      </c>
      <c r="CM1465" t="s">
        <v>111</v>
      </c>
      <c r="CN1465" t="s">
        <v>111</v>
      </c>
      <c r="CO1465" t="s">
        <v>111</v>
      </c>
      <c r="CP1465" t="s">
        <v>111</v>
      </c>
      <c r="CQ1465">
        <v>0</v>
      </c>
      <c r="CR1465">
        <v>0</v>
      </c>
      <c r="CS1465">
        <v>0</v>
      </c>
      <c r="CT1465" t="s">
        <v>111</v>
      </c>
      <c r="CU1465">
        <v>0</v>
      </c>
      <c r="CV1465" t="s">
        <v>111</v>
      </c>
      <c r="CW1465" t="s">
        <v>111</v>
      </c>
      <c r="CX1465" t="s">
        <v>111</v>
      </c>
      <c r="CY1465">
        <v>0</v>
      </c>
      <c r="CZ1465" t="s">
        <v>111</v>
      </c>
      <c r="DA1465" t="s">
        <v>111</v>
      </c>
      <c r="DB1465" t="s">
        <v>111</v>
      </c>
      <c r="DC1465" t="s">
        <v>111</v>
      </c>
    </row>
    <row r="1466" spans="1:107">
      <c r="A1466">
        <v>113</v>
      </c>
      <c r="B1466" t="s">
        <v>162</v>
      </c>
      <c r="C1466" t="s">
        <v>226</v>
      </c>
      <c r="D1466" t="s">
        <v>3947</v>
      </c>
      <c r="E1466" t="s">
        <v>4121</v>
      </c>
      <c r="F1466" t="s">
        <v>1071</v>
      </c>
      <c r="G1466" t="s">
        <v>24</v>
      </c>
      <c r="H1466">
        <v>1</v>
      </c>
      <c r="I1466">
        <v>55</v>
      </c>
      <c r="J1466">
        <v>0</v>
      </c>
      <c r="K1466">
        <v>0</v>
      </c>
      <c r="L1466" t="s">
        <v>112</v>
      </c>
      <c r="M1466" t="s">
        <v>138</v>
      </c>
      <c r="N1466">
        <v>0</v>
      </c>
      <c r="O1466">
        <v>0</v>
      </c>
      <c r="P1466" t="s">
        <v>138</v>
      </c>
      <c r="Q1466">
        <v>31.5</v>
      </c>
      <c r="R1466">
        <v>0</v>
      </c>
      <c r="S1466">
        <v>0</v>
      </c>
      <c r="T1466">
        <v>0</v>
      </c>
      <c r="U1466" t="s">
        <v>153</v>
      </c>
      <c r="V1466">
        <v>0</v>
      </c>
      <c r="W1466">
        <v>0</v>
      </c>
      <c r="X1466">
        <v>0</v>
      </c>
      <c r="Y1466">
        <v>25</v>
      </c>
      <c r="Z1466" t="s">
        <v>111</v>
      </c>
      <c r="AA1466">
        <v>0</v>
      </c>
      <c r="AB1466" t="s">
        <v>111</v>
      </c>
      <c r="AC1466">
        <v>0</v>
      </c>
      <c r="AD1466" t="s">
        <v>111</v>
      </c>
      <c r="AE1466">
        <v>0</v>
      </c>
      <c r="AF1466">
        <v>0</v>
      </c>
      <c r="AG1466" t="s">
        <v>111</v>
      </c>
      <c r="AH1466" t="s">
        <v>111</v>
      </c>
      <c r="AI1466" t="s">
        <v>111</v>
      </c>
      <c r="AJ1466" t="s">
        <v>111</v>
      </c>
      <c r="AK1466" t="s">
        <v>111</v>
      </c>
      <c r="AL1466" t="s">
        <v>111</v>
      </c>
      <c r="AM1466">
        <v>0</v>
      </c>
      <c r="AN1466">
        <v>0</v>
      </c>
      <c r="AO1466">
        <v>0</v>
      </c>
      <c r="AP1466" t="s">
        <v>111</v>
      </c>
      <c r="AQ1466" t="s">
        <v>111</v>
      </c>
      <c r="AR1466" t="s">
        <v>111</v>
      </c>
      <c r="AS1466" t="s">
        <v>111</v>
      </c>
      <c r="AT1466" t="s">
        <v>111</v>
      </c>
      <c r="AU1466" t="s">
        <v>111</v>
      </c>
      <c r="AV1466" t="s">
        <v>111</v>
      </c>
      <c r="AW1466" t="s">
        <v>111</v>
      </c>
      <c r="AX1466" t="s">
        <v>111</v>
      </c>
      <c r="AY1466" t="s">
        <v>111</v>
      </c>
      <c r="AZ1466" t="s">
        <v>111</v>
      </c>
      <c r="BA1466" t="s">
        <v>111</v>
      </c>
      <c r="BB1466" t="s">
        <v>111</v>
      </c>
      <c r="BC1466" t="s">
        <v>111</v>
      </c>
      <c r="BD1466" t="s">
        <v>111</v>
      </c>
      <c r="BE1466" t="s">
        <v>111</v>
      </c>
      <c r="BF1466" t="s">
        <v>111</v>
      </c>
      <c r="BG1466" t="s">
        <v>111</v>
      </c>
      <c r="BH1466" t="s">
        <v>111</v>
      </c>
      <c r="BI1466" t="s">
        <v>111</v>
      </c>
      <c r="BJ1466" t="s">
        <v>111</v>
      </c>
      <c r="BK1466" t="s">
        <v>111</v>
      </c>
      <c r="BL1466" t="s">
        <v>111</v>
      </c>
      <c r="BM1466" t="s">
        <v>111</v>
      </c>
      <c r="BN1466" t="s">
        <v>111</v>
      </c>
      <c r="BO1466" t="s">
        <v>111</v>
      </c>
      <c r="BP1466" t="s">
        <v>111</v>
      </c>
      <c r="BQ1466" t="s">
        <v>111</v>
      </c>
      <c r="BR1466" t="s">
        <v>111</v>
      </c>
      <c r="BS1466" t="s">
        <v>111</v>
      </c>
      <c r="BT1466" t="s">
        <v>111</v>
      </c>
      <c r="BU1466" t="s">
        <v>111</v>
      </c>
      <c r="BV1466" t="s">
        <v>111</v>
      </c>
      <c r="BW1466" t="s">
        <v>111</v>
      </c>
      <c r="BX1466" t="s">
        <v>111</v>
      </c>
      <c r="BY1466" t="s">
        <v>111</v>
      </c>
      <c r="BZ1466" t="s">
        <v>111</v>
      </c>
      <c r="CA1466" t="s">
        <v>111</v>
      </c>
      <c r="CB1466" t="s">
        <v>111</v>
      </c>
      <c r="CC1466" t="s">
        <v>111</v>
      </c>
      <c r="CD1466" t="s">
        <v>111</v>
      </c>
      <c r="CE1466" t="s">
        <v>111</v>
      </c>
      <c r="CF1466" t="s">
        <v>111</v>
      </c>
      <c r="CG1466" t="s">
        <v>111</v>
      </c>
      <c r="CH1466" t="s">
        <v>111</v>
      </c>
      <c r="CI1466" t="s">
        <v>111</v>
      </c>
      <c r="CJ1466" t="s">
        <v>111</v>
      </c>
      <c r="CK1466" t="s">
        <v>111</v>
      </c>
      <c r="CL1466" t="s">
        <v>111</v>
      </c>
      <c r="CM1466" t="s">
        <v>198</v>
      </c>
      <c r="CN1466" t="s">
        <v>113</v>
      </c>
      <c r="CO1466" t="s">
        <v>111</v>
      </c>
      <c r="CP1466" t="s">
        <v>111</v>
      </c>
      <c r="CQ1466">
        <v>68</v>
      </c>
      <c r="CR1466">
        <v>4000</v>
      </c>
      <c r="CS1466">
        <v>200</v>
      </c>
      <c r="CT1466" s="1" t="s">
        <v>3901</v>
      </c>
      <c r="CU1466">
        <v>0</v>
      </c>
      <c r="CV1466" t="s">
        <v>111</v>
      </c>
      <c r="CW1466" t="s">
        <v>111</v>
      </c>
      <c r="CX1466" t="s">
        <v>111</v>
      </c>
      <c r="CY1466">
        <v>0</v>
      </c>
      <c r="CZ1466" t="s">
        <v>111</v>
      </c>
      <c r="DA1466" t="s">
        <v>111</v>
      </c>
      <c r="DB1466" t="s">
        <v>111</v>
      </c>
      <c r="DC1466" t="s">
        <v>111</v>
      </c>
    </row>
    <row r="1467" spans="1:107">
      <c r="A1467">
        <v>108</v>
      </c>
      <c r="B1467" t="s">
        <v>162</v>
      </c>
      <c r="C1467" s="2">
        <v>1020396785</v>
      </c>
      <c r="D1467" t="s">
        <v>3988</v>
      </c>
      <c r="E1467" t="s">
        <v>4122</v>
      </c>
      <c r="F1467" t="s">
        <v>1071</v>
      </c>
      <c r="G1467" t="s">
        <v>24</v>
      </c>
      <c r="H1467">
        <v>2.4</v>
      </c>
      <c r="I1467">
        <v>30</v>
      </c>
      <c r="J1467">
        <v>0</v>
      </c>
      <c r="K1467">
        <v>0</v>
      </c>
      <c r="L1467" t="s">
        <v>112</v>
      </c>
      <c r="M1467" t="s">
        <v>138</v>
      </c>
      <c r="N1467">
        <v>0</v>
      </c>
      <c r="O1467">
        <v>0</v>
      </c>
      <c r="P1467" t="s">
        <v>138</v>
      </c>
      <c r="Q1467">
        <v>35</v>
      </c>
      <c r="R1467">
        <v>0</v>
      </c>
      <c r="S1467">
        <v>0</v>
      </c>
      <c r="T1467">
        <v>0</v>
      </c>
      <c r="U1467" t="s">
        <v>153</v>
      </c>
      <c r="V1467">
        <v>0</v>
      </c>
      <c r="W1467">
        <v>0</v>
      </c>
      <c r="X1467">
        <v>0</v>
      </c>
      <c r="Y1467">
        <v>25</v>
      </c>
      <c r="Z1467" t="s">
        <v>111</v>
      </c>
      <c r="AA1467">
        <v>0</v>
      </c>
      <c r="AB1467" t="s">
        <v>111</v>
      </c>
      <c r="AC1467">
        <v>0</v>
      </c>
      <c r="AD1467" t="s">
        <v>111</v>
      </c>
      <c r="AE1467">
        <v>0</v>
      </c>
      <c r="AF1467">
        <v>0</v>
      </c>
      <c r="AG1467" t="s">
        <v>111</v>
      </c>
      <c r="AH1467" t="s">
        <v>111</v>
      </c>
      <c r="AI1467" t="s">
        <v>111</v>
      </c>
      <c r="AJ1467" t="s">
        <v>111</v>
      </c>
      <c r="AK1467" t="s">
        <v>111</v>
      </c>
      <c r="AL1467" t="s">
        <v>111</v>
      </c>
      <c r="AM1467">
        <v>0</v>
      </c>
      <c r="AN1467">
        <v>0</v>
      </c>
      <c r="AO1467">
        <v>0</v>
      </c>
      <c r="AP1467" t="s">
        <v>111</v>
      </c>
      <c r="AQ1467" t="s">
        <v>111</v>
      </c>
      <c r="AR1467" t="s">
        <v>111</v>
      </c>
      <c r="AS1467" t="s">
        <v>111</v>
      </c>
      <c r="AT1467" t="s">
        <v>111</v>
      </c>
      <c r="AU1467" t="s">
        <v>111</v>
      </c>
      <c r="AV1467" t="s">
        <v>111</v>
      </c>
      <c r="AW1467" t="s">
        <v>111</v>
      </c>
      <c r="AX1467" t="s">
        <v>111</v>
      </c>
      <c r="AY1467" t="s">
        <v>111</v>
      </c>
      <c r="AZ1467" t="s">
        <v>111</v>
      </c>
      <c r="BA1467" t="s">
        <v>111</v>
      </c>
      <c r="BB1467" t="s">
        <v>111</v>
      </c>
      <c r="BC1467" t="s">
        <v>111</v>
      </c>
      <c r="BD1467" t="s">
        <v>111</v>
      </c>
      <c r="BE1467" t="s">
        <v>111</v>
      </c>
      <c r="BF1467" t="s">
        <v>111</v>
      </c>
      <c r="BG1467" t="s">
        <v>111</v>
      </c>
      <c r="BH1467" t="s">
        <v>111</v>
      </c>
      <c r="BI1467" t="s">
        <v>111</v>
      </c>
      <c r="BJ1467" t="s">
        <v>111</v>
      </c>
      <c r="BK1467" t="s">
        <v>111</v>
      </c>
      <c r="BL1467" t="s">
        <v>111</v>
      </c>
      <c r="BM1467" t="s">
        <v>111</v>
      </c>
      <c r="BN1467" t="s">
        <v>111</v>
      </c>
      <c r="BO1467" t="s">
        <v>111</v>
      </c>
      <c r="BP1467" t="s">
        <v>111</v>
      </c>
      <c r="BQ1467" t="s">
        <v>111</v>
      </c>
      <c r="BR1467" t="s">
        <v>111</v>
      </c>
      <c r="BS1467" t="s">
        <v>111</v>
      </c>
      <c r="BT1467" t="s">
        <v>111</v>
      </c>
      <c r="BU1467" t="s">
        <v>111</v>
      </c>
      <c r="BV1467" t="s">
        <v>111</v>
      </c>
      <c r="BW1467" t="s">
        <v>111</v>
      </c>
      <c r="BX1467" t="s">
        <v>111</v>
      </c>
      <c r="BY1467" t="s">
        <v>111</v>
      </c>
      <c r="BZ1467" t="s">
        <v>111</v>
      </c>
      <c r="CA1467" t="s">
        <v>111</v>
      </c>
      <c r="CB1467" t="s">
        <v>111</v>
      </c>
      <c r="CC1467" t="s">
        <v>111</v>
      </c>
      <c r="CD1467" t="s">
        <v>111</v>
      </c>
      <c r="CE1467" t="s">
        <v>111</v>
      </c>
      <c r="CF1467" t="s">
        <v>111</v>
      </c>
      <c r="CG1467" t="s">
        <v>111</v>
      </c>
      <c r="CH1467" t="s">
        <v>111</v>
      </c>
      <c r="CI1467" t="s">
        <v>111</v>
      </c>
      <c r="CJ1467" t="s">
        <v>111</v>
      </c>
      <c r="CK1467" t="s">
        <v>111</v>
      </c>
      <c r="CL1467" t="s">
        <v>111</v>
      </c>
      <c r="CM1467" t="s">
        <v>198</v>
      </c>
      <c r="CN1467" t="s">
        <v>113</v>
      </c>
      <c r="CO1467" t="s">
        <v>111</v>
      </c>
      <c r="CP1467" t="s">
        <v>111</v>
      </c>
      <c r="CQ1467">
        <v>0</v>
      </c>
      <c r="CR1467">
        <v>0</v>
      </c>
      <c r="CS1467">
        <v>0</v>
      </c>
      <c r="CT1467" t="s">
        <v>168</v>
      </c>
      <c r="CU1467">
        <v>0</v>
      </c>
      <c r="CV1467" t="s">
        <v>111</v>
      </c>
      <c r="CW1467" t="s">
        <v>111</v>
      </c>
      <c r="CX1467" t="s">
        <v>111</v>
      </c>
      <c r="CY1467">
        <v>0</v>
      </c>
      <c r="CZ1467" t="s">
        <v>111</v>
      </c>
      <c r="DA1467" t="s">
        <v>111</v>
      </c>
      <c r="DB1467" t="s">
        <v>111</v>
      </c>
      <c r="DC1467" t="s">
        <v>111</v>
      </c>
    </row>
    <row r="1468" spans="1:107">
      <c r="A1468">
        <v>107</v>
      </c>
      <c r="B1468" t="s">
        <v>162</v>
      </c>
      <c r="C1468" t="s">
        <v>3788</v>
      </c>
      <c r="D1468" t="s">
        <v>4123</v>
      </c>
      <c r="E1468" t="s">
        <v>4124</v>
      </c>
      <c r="F1468" t="s">
        <v>1651</v>
      </c>
      <c r="G1468" t="s">
        <v>24</v>
      </c>
      <c r="H1468">
        <v>1.5</v>
      </c>
      <c r="I1468">
        <v>45</v>
      </c>
      <c r="J1468">
        <v>0</v>
      </c>
      <c r="K1468">
        <v>0</v>
      </c>
      <c r="L1468" t="s">
        <v>112</v>
      </c>
      <c r="M1468" t="s">
        <v>118</v>
      </c>
      <c r="N1468">
        <v>40</v>
      </c>
      <c r="O1468">
        <v>2</v>
      </c>
      <c r="P1468" t="s">
        <v>138</v>
      </c>
      <c r="Q1468">
        <v>40</v>
      </c>
      <c r="R1468">
        <v>0</v>
      </c>
      <c r="S1468">
        <v>0</v>
      </c>
      <c r="T1468">
        <v>0</v>
      </c>
      <c r="U1468" t="s">
        <v>1353</v>
      </c>
      <c r="V1468">
        <v>0</v>
      </c>
      <c r="W1468">
        <v>0</v>
      </c>
      <c r="X1468">
        <v>0</v>
      </c>
      <c r="Y1468">
        <v>25</v>
      </c>
      <c r="Z1468" t="s">
        <v>111</v>
      </c>
      <c r="AA1468">
        <v>0</v>
      </c>
      <c r="AB1468" t="s">
        <v>111</v>
      </c>
      <c r="AC1468">
        <v>0</v>
      </c>
      <c r="AD1468" t="s">
        <v>416</v>
      </c>
      <c r="AE1468">
        <v>0</v>
      </c>
      <c r="AF1468">
        <v>2</v>
      </c>
      <c r="AG1468">
        <v>22</v>
      </c>
      <c r="AH1468" t="s">
        <v>111</v>
      </c>
      <c r="AI1468">
        <v>45</v>
      </c>
      <c r="AJ1468" t="s">
        <v>111</v>
      </c>
      <c r="AK1468" t="s">
        <v>111</v>
      </c>
      <c r="AL1468" t="s">
        <v>111</v>
      </c>
      <c r="AM1468">
        <v>0</v>
      </c>
      <c r="AN1468">
        <v>0</v>
      </c>
      <c r="AO1468">
        <v>0</v>
      </c>
      <c r="AP1468" t="s">
        <v>111</v>
      </c>
      <c r="AQ1468" t="s">
        <v>111</v>
      </c>
      <c r="AR1468" t="s">
        <v>111</v>
      </c>
      <c r="AS1468" t="s">
        <v>111</v>
      </c>
      <c r="AT1468" t="s">
        <v>111</v>
      </c>
      <c r="AU1468" t="s">
        <v>111</v>
      </c>
      <c r="AV1468" t="s">
        <v>111</v>
      </c>
      <c r="AW1468" t="s">
        <v>111</v>
      </c>
      <c r="AX1468" t="s">
        <v>111</v>
      </c>
      <c r="AY1468" t="s">
        <v>111</v>
      </c>
      <c r="AZ1468" t="s">
        <v>111</v>
      </c>
      <c r="BA1468" t="s">
        <v>111</v>
      </c>
      <c r="BB1468" t="s">
        <v>111</v>
      </c>
      <c r="BC1468" t="s">
        <v>111</v>
      </c>
      <c r="BD1468" t="s">
        <v>111</v>
      </c>
      <c r="BE1468" t="s">
        <v>111</v>
      </c>
      <c r="BF1468" t="s">
        <v>111</v>
      </c>
      <c r="BG1468" t="s">
        <v>111</v>
      </c>
      <c r="BH1468" t="s">
        <v>111</v>
      </c>
      <c r="BI1468" t="s">
        <v>111</v>
      </c>
      <c r="BJ1468" t="s">
        <v>111</v>
      </c>
      <c r="BK1468" t="s">
        <v>111</v>
      </c>
      <c r="BL1468" t="s">
        <v>111</v>
      </c>
      <c r="BM1468" t="s">
        <v>111</v>
      </c>
      <c r="BN1468" t="s">
        <v>111</v>
      </c>
      <c r="BO1468" t="s">
        <v>111</v>
      </c>
      <c r="BP1468" t="s">
        <v>111</v>
      </c>
      <c r="BQ1468" t="s">
        <v>111</v>
      </c>
      <c r="BR1468" t="s">
        <v>111</v>
      </c>
      <c r="BS1468" t="s">
        <v>111</v>
      </c>
      <c r="BT1468" t="s">
        <v>111</v>
      </c>
      <c r="BU1468" t="s">
        <v>111</v>
      </c>
      <c r="BV1468" t="s">
        <v>111</v>
      </c>
      <c r="BW1468" t="s">
        <v>111</v>
      </c>
      <c r="BX1468" t="s">
        <v>111</v>
      </c>
      <c r="BY1468" t="s">
        <v>111</v>
      </c>
      <c r="BZ1468" t="s">
        <v>111</v>
      </c>
      <c r="CA1468" t="s">
        <v>111</v>
      </c>
      <c r="CB1468" t="s">
        <v>111</v>
      </c>
      <c r="CC1468" t="s">
        <v>111</v>
      </c>
      <c r="CD1468" t="s">
        <v>111</v>
      </c>
      <c r="CE1468" t="s">
        <v>111</v>
      </c>
      <c r="CF1468" t="s">
        <v>111</v>
      </c>
      <c r="CG1468" t="s">
        <v>111</v>
      </c>
      <c r="CH1468" t="s">
        <v>111</v>
      </c>
      <c r="CI1468" t="s">
        <v>111</v>
      </c>
      <c r="CJ1468" t="s">
        <v>111</v>
      </c>
      <c r="CK1468" t="s">
        <v>111</v>
      </c>
      <c r="CL1468" t="s">
        <v>153</v>
      </c>
      <c r="CM1468" t="s">
        <v>198</v>
      </c>
      <c r="CN1468" t="s">
        <v>113</v>
      </c>
      <c r="CO1468" t="s">
        <v>111</v>
      </c>
      <c r="CP1468" t="s">
        <v>433</v>
      </c>
      <c r="CQ1468">
        <v>0</v>
      </c>
      <c r="CR1468">
        <v>0</v>
      </c>
      <c r="CS1468">
        <v>0</v>
      </c>
      <c r="CT1468" t="s">
        <v>168</v>
      </c>
      <c r="CU1468">
        <v>0</v>
      </c>
      <c r="CV1468" t="s">
        <v>111</v>
      </c>
      <c r="CW1468" t="s">
        <v>111</v>
      </c>
      <c r="CX1468" t="s">
        <v>111</v>
      </c>
      <c r="CY1468">
        <v>0</v>
      </c>
      <c r="CZ1468" t="s">
        <v>111</v>
      </c>
      <c r="DA1468" t="s">
        <v>111</v>
      </c>
      <c r="DB1468" t="s">
        <v>111</v>
      </c>
      <c r="DC1468" t="s">
        <v>111</v>
      </c>
    </row>
    <row r="1469" spans="1:107">
      <c r="A1469">
        <v>349</v>
      </c>
      <c r="B1469" t="s">
        <v>162</v>
      </c>
      <c r="C1469" t="s">
        <v>3121</v>
      </c>
      <c r="D1469" t="s">
        <v>4125</v>
      </c>
      <c r="E1469" t="s">
        <v>4012</v>
      </c>
      <c r="F1469" t="s">
        <v>1651</v>
      </c>
      <c r="G1469" t="s">
        <v>24</v>
      </c>
      <c r="H1469">
        <v>1.4</v>
      </c>
      <c r="I1469">
        <v>48</v>
      </c>
      <c r="J1469">
        <v>0</v>
      </c>
      <c r="K1469">
        <v>0</v>
      </c>
      <c r="L1469" t="s">
        <v>117</v>
      </c>
      <c r="M1469" t="s">
        <v>118</v>
      </c>
      <c r="N1469">
        <v>40</v>
      </c>
      <c r="O1469">
        <v>2</v>
      </c>
      <c r="P1469" t="s">
        <v>138</v>
      </c>
      <c r="Q1469">
        <v>35</v>
      </c>
      <c r="R1469">
        <v>0</v>
      </c>
      <c r="S1469">
        <v>0</v>
      </c>
      <c r="T1469">
        <v>0</v>
      </c>
      <c r="U1469" t="s">
        <v>2685</v>
      </c>
      <c r="V1469">
        <v>0</v>
      </c>
      <c r="W1469">
        <v>0</v>
      </c>
      <c r="X1469">
        <v>0</v>
      </c>
      <c r="Y1469">
        <v>25</v>
      </c>
      <c r="Z1469" t="s">
        <v>111</v>
      </c>
      <c r="AA1469">
        <v>0</v>
      </c>
      <c r="AB1469" t="s">
        <v>111</v>
      </c>
      <c r="AC1469">
        <v>0</v>
      </c>
      <c r="AD1469" t="s">
        <v>427</v>
      </c>
      <c r="AE1469">
        <v>0</v>
      </c>
      <c r="AF1469">
        <v>2</v>
      </c>
      <c r="AG1469">
        <v>13</v>
      </c>
      <c r="AH1469" t="s">
        <v>111</v>
      </c>
      <c r="AI1469">
        <v>40</v>
      </c>
      <c r="AJ1469" t="s">
        <v>111</v>
      </c>
      <c r="AK1469" t="s">
        <v>111</v>
      </c>
      <c r="AL1469" t="s">
        <v>111</v>
      </c>
      <c r="AM1469">
        <v>0</v>
      </c>
      <c r="AN1469">
        <v>0</v>
      </c>
      <c r="AO1469">
        <v>0</v>
      </c>
      <c r="AP1469" t="s">
        <v>111</v>
      </c>
      <c r="AQ1469" t="s">
        <v>111</v>
      </c>
      <c r="AR1469" t="s">
        <v>111</v>
      </c>
      <c r="AS1469" t="s">
        <v>111</v>
      </c>
      <c r="AT1469" t="s">
        <v>111</v>
      </c>
      <c r="AU1469" t="s">
        <v>111</v>
      </c>
      <c r="AV1469" t="s">
        <v>111</v>
      </c>
      <c r="AW1469" t="s">
        <v>111</v>
      </c>
      <c r="AX1469" t="s">
        <v>111</v>
      </c>
      <c r="AY1469" t="s">
        <v>111</v>
      </c>
      <c r="AZ1469" t="s">
        <v>111</v>
      </c>
      <c r="BA1469" t="s">
        <v>111</v>
      </c>
      <c r="BB1469" t="s">
        <v>111</v>
      </c>
      <c r="BC1469" t="s">
        <v>111</v>
      </c>
      <c r="BD1469" t="s">
        <v>111</v>
      </c>
      <c r="BE1469" t="s">
        <v>111</v>
      </c>
      <c r="BF1469" t="s">
        <v>111</v>
      </c>
      <c r="BG1469" t="s">
        <v>111</v>
      </c>
      <c r="BH1469" t="s">
        <v>111</v>
      </c>
      <c r="BI1469" t="s">
        <v>111</v>
      </c>
      <c r="BJ1469" t="s">
        <v>111</v>
      </c>
      <c r="BK1469" t="s">
        <v>111</v>
      </c>
      <c r="BL1469" t="s">
        <v>111</v>
      </c>
      <c r="BM1469" t="s">
        <v>111</v>
      </c>
      <c r="BN1469" t="s">
        <v>111</v>
      </c>
      <c r="BO1469" t="s">
        <v>111</v>
      </c>
      <c r="BP1469" t="s">
        <v>111</v>
      </c>
      <c r="BQ1469" t="s">
        <v>111</v>
      </c>
      <c r="BR1469" t="s">
        <v>111</v>
      </c>
      <c r="BS1469" t="s">
        <v>111</v>
      </c>
      <c r="BT1469" t="s">
        <v>111</v>
      </c>
      <c r="BU1469" t="s">
        <v>111</v>
      </c>
      <c r="BV1469" t="s">
        <v>111</v>
      </c>
      <c r="BW1469" t="s">
        <v>111</v>
      </c>
      <c r="BX1469" t="s">
        <v>111</v>
      </c>
      <c r="BY1469" t="s">
        <v>111</v>
      </c>
      <c r="BZ1469" t="s">
        <v>111</v>
      </c>
      <c r="CA1469" t="s">
        <v>111</v>
      </c>
      <c r="CB1469" t="s">
        <v>111</v>
      </c>
      <c r="CC1469" t="s">
        <v>111</v>
      </c>
      <c r="CD1469" t="s">
        <v>111</v>
      </c>
      <c r="CE1469" t="s">
        <v>111</v>
      </c>
      <c r="CF1469" t="s">
        <v>111</v>
      </c>
      <c r="CG1469" t="s">
        <v>111</v>
      </c>
      <c r="CH1469" t="s">
        <v>111</v>
      </c>
      <c r="CI1469" t="s">
        <v>111</v>
      </c>
      <c r="CJ1469" t="s">
        <v>111</v>
      </c>
      <c r="CK1469" t="s">
        <v>111</v>
      </c>
      <c r="CL1469" t="s">
        <v>153</v>
      </c>
      <c r="CM1469" t="s">
        <v>198</v>
      </c>
      <c r="CN1469" t="s">
        <v>113</v>
      </c>
      <c r="CO1469" t="s">
        <v>111</v>
      </c>
      <c r="CP1469" t="s">
        <v>433</v>
      </c>
      <c r="CQ1469">
        <v>0</v>
      </c>
      <c r="CR1469">
        <v>0</v>
      </c>
      <c r="CS1469">
        <v>0</v>
      </c>
      <c r="CT1469" t="s">
        <v>168</v>
      </c>
      <c r="CU1469">
        <v>0</v>
      </c>
      <c r="CV1469" t="s">
        <v>111</v>
      </c>
      <c r="CW1469" t="s">
        <v>111</v>
      </c>
      <c r="CX1469" t="s">
        <v>111</v>
      </c>
      <c r="CY1469">
        <v>0</v>
      </c>
      <c r="CZ1469" t="s">
        <v>111</v>
      </c>
      <c r="DA1469" t="s">
        <v>111</v>
      </c>
      <c r="DB1469" t="s">
        <v>111</v>
      </c>
      <c r="DC1469" t="s">
        <v>111</v>
      </c>
    </row>
    <row r="1470" spans="1:107">
      <c r="A1470">
        <v>470</v>
      </c>
      <c r="B1470" t="s">
        <v>162</v>
      </c>
      <c r="C1470" t="s">
        <v>1322</v>
      </c>
      <c r="D1470" t="s">
        <v>4126</v>
      </c>
      <c r="E1470" t="s">
        <v>4127</v>
      </c>
      <c r="F1470" t="s">
        <v>1651</v>
      </c>
      <c r="G1470" t="s">
        <v>24</v>
      </c>
      <c r="H1470">
        <v>1.4</v>
      </c>
      <c r="I1470">
        <v>35</v>
      </c>
      <c r="J1470">
        <v>0</v>
      </c>
      <c r="K1470">
        <v>0</v>
      </c>
      <c r="L1470" t="s">
        <v>112</v>
      </c>
      <c r="M1470" t="s">
        <v>118</v>
      </c>
      <c r="N1470">
        <v>40</v>
      </c>
      <c r="O1470">
        <v>2</v>
      </c>
      <c r="P1470" t="s">
        <v>138</v>
      </c>
      <c r="Q1470">
        <v>40</v>
      </c>
      <c r="R1470">
        <v>0</v>
      </c>
      <c r="S1470">
        <v>0</v>
      </c>
      <c r="T1470">
        <v>0</v>
      </c>
      <c r="U1470" t="s">
        <v>1353</v>
      </c>
      <c r="V1470">
        <v>0</v>
      </c>
      <c r="W1470">
        <v>0</v>
      </c>
      <c r="X1470">
        <v>0</v>
      </c>
      <c r="Y1470">
        <v>25</v>
      </c>
      <c r="Z1470" t="s">
        <v>111</v>
      </c>
      <c r="AA1470">
        <v>0</v>
      </c>
      <c r="AB1470" t="s">
        <v>111</v>
      </c>
      <c r="AC1470">
        <v>0</v>
      </c>
      <c r="AD1470" t="s">
        <v>416</v>
      </c>
      <c r="AE1470">
        <v>0</v>
      </c>
      <c r="AF1470">
        <v>2</v>
      </c>
      <c r="AG1470">
        <v>20</v>
      </c>
      <c r="AH1470" t="s">
        <v>113</v>
      </c>
      <c r="AI1470">
        <v>40</v>
      </c>
      <c r="AJ1470" t="s">
        <v>111</v>
      </c>
      <c r="AK1470" t="s">
        <v>111</v>
      </c>
      <c r="AL1470" t="s">
        <v>111</v>
      </c>
      <c r="AM1470">
        <v>0</v>
      </c>
      <c r="AN1470">
        <v>0</v>
      </c>
      <c r="AO1470">
        <v>0</v>
      </c>
      <c r="AP1470" t="s">
        <v>271</v>
      </c>
      <c r="AQ1470" t="s">
        <v>111</v>
      </c>
      <c r="AR1470" t="s">
        <v>111</v>
      </c>
      <c r="AS1470" t="s">
        <v>111</v>
      </c>
      <c r="AT1470" t="s">
        <v>184</v>
      </c>
      <c r="AU1470" t="s">
        <v>111</v>
      </c>
      <c r="AV1470" t="s">
        <v>111</v>
      </c>
      <c r="AW1470" t="s">
        <v>111</v>
      </c>
      <c r="AX1470" t="s">
        <v>288</v>
      </c>
      <c r="AY1470" t="s">
        <v>111</v>
      </c>
      <c r="AZ1470" t="s">
        <v>111</v>
      </c>
      <c r="BA1470" t="s">
        <v>111</v>
      </c>
      <c r="BB1470" t="s">
        <v>1924</v>
      </c>
      <c r="BC1470" t="s">
        <v>111</v>
      </c>
      <c r="BD1470" t="s">
        <v>111</v>
      </c>
      <c r="BE1470" t="s">
        <v>111</v>
      </c>
      <c r="BF1470" t="s">
        <v>111</v>
      </c>
      <c r="BG1470" t="s">
        <v>111</v>
      </c>
      <c r="BH1470" t="s">
        <v>111</v>
      </c>
      <c r="BI1470" t="s">
        <v>111</v>
      </c>
      <c r="BJ1470" t="s">
        <v>111</v>
      </c>
      <c r="BK1470" t="s">
        <v>111</v>
      </c>
      <c r="BL1470" t="s">
        <v>111</v>
      </c>
      <c r="BM1470" t="s">
        <v>111</v>
      </c>
      <c r="BN1470" t="s">
        <v>111</v>
      </c>
      <c r="BO1470" t="s">
        <v>111</v>
      </c>
      <c r="BP1470" t="s">
        <v>111</v>
      </c>
      <c r="BQ1470" t="s">
        <v>111</v>
      </c>
      <c r="BR1470" t="s">
        <v>111</v>
      </c>
      <c r="BS1470" t="s">
        <v>111</v>
      </c>
      <c r="BT1470" t="s">
        <v>111</v>
      </c>
      <c r="BU1470" t="s">
        <v>111</v>
      </c>
      <c r="BV1470" t="s">
        <v>111</v>
      </c>
      <c r="BW1470" t="s">
        <v>111</v>
      </c>
      <c r="BX1470" t="s">
        <v>111</v>
      </c>
      <c r="BY1470" t="s">
        <v>111</v>
      </c>
      <c r="BZ1470" t="s">
        <v>111</v>
      </c>
      <c r="CA1470" t="s">
        <v>111</v>
      </c>
      <c r="CB1470" t="s">
        <v>111</v>
      </c>
      <c r="CC1470" t="s">
        <v>111</v>
      </c>
      <c r="CD1470" t="s">
        <v>111</v>
      </c>
      <c r="CE1470" t="s">
        <v>111</v>
      </c>
      <c r="CF1470" t="s">
        <v>111</v>
      </c>
      <c r="CG1470" t="s">
        <v>111</v>
      </c>
      <c r="CH1470" t="s">
        <v>111</v>
      </c>
      <c r="CI1470" t="s">
        <v>111</v>
      </c>
      <c r="CJ1470" t="s">
        <v>111</v>
      </c>
      <c r="CK1470" t="s">
        <v>111</v>
      </c>
      <c r="CL1470" t="s">
        <v>153</v>
      </c>
      <c r="CM1470" t="s">
        <v>198</v>
      </c>
      <c r="CN1470" t="s">
        <v>113</v>
      </c>
      <c r="CO1470" t="s">
        <v>111</v>
      </c>
      <c r="CP1470" t="s">
        <v>433</v>
      </c>
      <c r="CQ1470">
        <v>0</v>
      </c>
      <c r="CR1470">
        <v>5000</v>
      </c>
      <c r="CS1470">
        <v>200</v>
      </c>
      <c r="CT1470" s="1" t="s">
        <v>4128</v>
      </c>
      <c r="CU1470">
        <v>0</v>
      </c>
      <c r="CV1470" t="s">
        <v>111</v>
      </c>
      <c r="CW1470" t="s">
        <v>111</v>
      </c>
      <c r="CX1470" t="s">
        <v>111</v>
      </c>
      <c r="CY1470">
        <v>0</v>
      </c>
      <c r="CZ1470" t="s">
        <v>111</v>
      </c>
      <c r="DA1470" t="s">
        <v>111</v>
      </c>
      <c r="DB1470" t="s">
        <v>111</v>
      </c>
      <c r="DC1470" t="s">
        <v>111</v>
      </c>
    </row>
    <row r="1471" spans="1:107">
      <c r="A1471">
        <v>389</v>
      </c>
      <c r="B1471" t="s">
        <v>162</v>
      </c>
      <c r="C1471" t="s">
        <v>3783</v>
      </c>
      <c r="D1471" t="s">
        <v>4129</v>
      </c>
      <c r="E1471" t="s">
        <v>4130</v>
      </c>
      <c r="F1471" t="s">
        <v>1651</v>
      </c>
      <c r="G1471" t="s">
        <v>24</v>
      </c>
      <c r="H1471">
        <v>1.4</v>
      </c>
      <c r="I1471">
        <v>40</v>
      </c>
      <c r="J1471">
        <v>0</v>
      </c>
      <c r="K1471">
        <v>0</v>
      </c>
      <c r="L1471" t="s">
        <v>117</v>
      </c>
      <c r="M1471" t="s">
        <v>118</v>
      </c>
      <c r="N1471">
        <v>40</v>
      </c>
      <c r="O1471">
        <v>1</v>
      </c>
      <c r="P1471" t="s">
        <v>138</v>
      </c>
      <c r="Q1471">
        <v>40</v>
      </c>
      <c r="R1471">
        <v>0</v>
      </c>
      <c r="S1471">
        <v>0</v>
      </c>
      <c r="T1471">
        <v>5</v>
      </c>
      <c r="U1471" t="s">
        <v>1384</v>
      </c>
      <c r="V1471">
        <v>0</v>
      </c>
      <c r="W1471">
        <v>0</v>
      </c>
      <c r="X1471">
        <v>0</v>
      </c>
      <c r="Y1471">
        <v>25</v>
      </c>
      <c r="Z1471" t="s">
        <v>111</v>
      </c>
      <c r="AA1471">
        <v>0</v>
      </c>
      <c r="AB1471" t="s">
        <v>111</v>
      </c>
      <c r="AC1471">
        <v>0</v>
      </c>
      <c r="AD1471" t="s">
        <v>416</v>
      </c>
      <c r="AE1471">
        <v>5</v>
      </c>
      <c r="AF1471">
        <v>2</v>
      </c>
      <c r="AG1471">
        <v>16</v>
      </c>
      <c r="AH1471" t="s">
        <v>111</v>
      </c>
      <c r="AI1471">
        <v>32</v>
      </c>
      <c r="AJ1471" t="s">
        <v>111</v>
      </c>
      <c r="AK1471" t="s">
        <v>111</v>
      </c>
      <c r="AL1471" t="s">
        <v>111</v>
      </c>
      <c r="AM1471">
        <v>0</v>
      </c>
      <c r="AN1471">
        <v>0</v>
      </c>
      <c r="AO1471">
        <v>0</v>
      </c>
      <c r="AP1471" t="s">
        <v>288</v>
      </c>
      <c r="AQ1471" t="s">
        <v>111</v>
      </c>
      <c r="AR1471" t="s">
        <v>111</v>
      </c>
      <c r="AS1471" t="s">
        <v>111</v>
      </c>
      <c r="AT1471" t="s">
        <v>259</v>
      </c>
      <c r="AU1471" t="s">
        <v>111</v>
      </c>
      <c r="AV1471" t="s">
        <v>111</v>
      </c>
      <c r="AW1471" t="s">
        <v>111</v>
      </c>
      <c r="AX1471" t="s">
        <v>184</v>
      </c>
      <c r="AY1471" t="s">
        <v>111</v>
      </c>
      <c r="AZ1471" t="s">
        <v>111</v>
      </c>
      <c r="BA1471" t="s">
        <v>111</v>
      </c>
      <c r="BB1471" t="s">
        <v>188</v>
      </c>
      <c r="BC1471" t="s">
        <v>111</v>
      </c>
      <c r="BD1471" t="s">
        <v>111</v>
      </c>
      <c r="BE1471" t="s">
        <v>111</v>
      </c>
      <c r="BF1471" t="s">
        <v>147</v>
      </c>
      <c r="BG1471" t="s">
        <v>111</v>
      </c>
      <c r="BH1471" t="s">
        <v>111</v>
      </c>
      <c r="BI1471" t="s">
        <v>111</v>
      </c>
      <c r="BJ1471" t="s">
        <v>111</v>
      </c>
      <c r="BK1471" t="s">
        <v>111</v>
      </c>
      <c r="BL1471" t="s">
        <v>111</v>
      </c>
      <c r="BM1471" t="s">
        <v>111</v>
      </c>
      <c r="BN1471" t="s">
        <v>288</v>
      </c>
      <c r="BO1471" t="s">
        <v>111</v>
      </c>
      <c r="BP1471" t="s">
        <v>111</v>
      </c>
      <c r="BQ1471" t="s">
        <v>111</v>
      </c>
      <c r="BR1471" t="s">
        <v>111</v>
      </c>
      <c r="BS1471" t="s">
        <v>111</v>
      </c>
      <c r="BT1471" t="s">
        <v>111</v>
      </c>
      <c r="BU1471" t="s">
        <v>111</v>
      </c>
      <c r="BV1471" t="s">
        <v>111</v>
      </c>
      <c r="BW1471" t="s">
        <v>111</v>
      </c>
      <c r="BX1471" t="s">
        <v>111</v>
      </c>
      <c r="BY1471" t="s">
        <v>111</v>
      </c>
      <c r="BZ1471" t="s">
        <v>111</v>
      </c>
      <c r="CA1471" t="s">
        <v>111</v>
      </c>
      <c r="CB1471" t="s">
        <v>111</v>
      </c>
      <c r="CC1471" t="s">
        <v>111</v>
      </c>
      <c r="CD1471" t="s">
        <v>111</v>
      </c>
      <c r="CE1471" t="s">
        <v>111</v>
      </c>
      <c r="CF1471" t="s">
        <v>111</v>
      </c>
      <c r="CG1471" t="s">
        <v>111</v>
      </c>
      <c r="CH1471" t="s">
        <v>111</v>
      </c>
      <c r="CI1471" t="s">
        <v>111</v>
      </c>
      <c r="CJ1471" t="s">
        <v>111</v>
      </c>
      <c r="CK1471" t="s">
        <v>111</v>
      </c>
      <c r="CL1471" t="s">
        <v>153</v>
      </c>
      <c r="CM1471" t="s">
        <v>198</v>
      </c>
      <c r="CN1471" t="s">
        <v>113</v>
      </c>
      <c r="CO1471" t="s">
        <v>222</v>
      </c>
      <c r="CP1471" t="s">
        <v>433</v>
      </c>
      <c r="CQ1471">
        <v>0</v>
      </c>
      <c r="CR1471">
        <v>10000</v>
      </c>
      <c r="CS1471">
        <v>200</v>
      </c>
      <c r="CT1471" s="1" t="s">
        <v>4131</v>
      </c>
      <c r="CU1471">
        <v>0</v>
      </c>
      <c r="CV1471" t="s">
        <v>111</v>
      </c>
      <c r="CW1471" t="s">
        <v>111</v>
      </c>
      <c r="CX1471" t="s">
        <v>111</v>
      </c>
      <c r="CY1471">
        <v>0</v>
      </c>
      <c r="CZ1471" t="s">
        <v>111</v>
      </c>
      <c r="DA1471" t="s">
        <v>111</v>
      </c>
      <c r="DB1471" t="s">
        <v>111</v>
      </c>
      <c r="DC1471" t="s">
        <v>111</v>
      </c>
    </row>
    <row r="1472" spans="1:107">
      <c r="A1472">
        <v>388</v>
      </c>
      <c r="B1472" t="s">
        <v>107</v>
      </c>
      <c r="C1472" t="s">
        <v>3783</v>
      </c>
      <c r="D1472" t="s">
        <v>3960</v>
      </c>
      <c r="E1472" t="s">
        <v>4116</v>
      </c>
      <c r="F1472" t="s">
        <v>1260</v>
      </c>
      <c r="G1472" t="s">
        <v>24</v>
      </c>
      <c r="H1472">
        <v>2</v>
      </c>
      <c r="I1472">
        <v>40</v>
      </c>
      <c r="J1472">
        <v>0</v>
      </c>
      <c r="K1472">
        <v>0</v>
      </c>
      <c r="L1472" t="s">
        <v>117</v>
      </c>
      <c r="M1472" t="s">
        <v>118</v>
      </c>
      <c r="N1472">
        <v>40</v>
      </c>
      <c r="O1472">
        <v>1</v>
      </c>
      <c r="P1472" t="s">
        <v>138</v>
      </c>
      <c r="Q1472">
        <v>27.8</v>
      </c>
      <c r="R1472">
        <v>0</v>
      </c>
      <c r="S1472">
        <v>0</v>
      </c>
      <c r="T1472">
        <v>5</v>
      </c>
      <c r="U1472" s="1" t="s">
        <v>4132</v>
      </c>
      <c r="V1472">
        <v>0</v>
      </c>
      <c r="W1472">
        <v>0</v>
      </c>
      <c r="X1472">
        <v>0</v>
      </c>
      <c r="Y1472">
        <v>25</v>
      </c>
      <c r="Z1472" t="s">
        <v>111</v>
      </c>
      <c r="AA1472">
        <v>0</v>
      </c>
      <c r="AB1472" t="s">
        <v>111</v>
      </c>
      <c r="AC1472">
        <v>0</v>
      </c>
      <c r="AD1472" t="s">
        <v>416</v>
      </c>
      <c r="AE1472">
        <v>4</v>
      </c>
      <c r="AF1472">
        <v>1</v>
      </c>
      <c r="AG1472" t="s">
        <v>4117</v>
      </c>
      <c r="AH1472" t="s">
        <v>113</v>
      </c>
      <c r="AI1472">
        <v>30</v>
      </c>
      <c r="AJ1472" t="s">
        <v>111</v>
      </c>
      <c r="AK1472" t="s">
        <v>111</v>
      </c>
      <c r="AL1472" t="s">
        <v>111</v>
      </c>
      <c r="AM1472">
        <v>0</v>
      </c>
      <c r="AN1472">
        <v>0</v>
      </c>
      <c r="AO1472">
        <v>0</v>
      </c>
      <c r="AP1472" t="s">
        <v>111</v>
      </c>
      <c r="AQ1472" t="s">
        <v>111</v>
      </c>
      <c r="AR1472" t="s">
        <v>111</v>
      </c>
      <c r="AS1472" t="s">
        <v>111</v>
      </c>
      <c r="AT1472" t="s">
        <v>111</v>
      </c>
      <c r="AU1472" t="s">
        <v>111</v>
      </c>
      <c r="AV1472" t="s">
        <v>111</v>
      </c>
      <c r="AW1472" t="s">
        <v>111</v>
      </c>
      <c r="AX1472" t="s">
        <v>111</v>
      </c>
      <c r="AY1472" t="s">
        <v>111</v>
      </c>
      <c r="AZ1472" t="s">
        <v>111</v>
      </c>
      <c r="BA1472" t="s">
        <v>111</v>
      </c>
      <c r="BB1472" t="s">
        <v>111</v>
      </c>
      <c r="BC1472" t="s">
        <v>111</v>
      </c>
      <c r="BD1472" t="s">
        <v>111</v>
      </c>
      <c r="BE1472" t="s">
        <v>111</v>
      </c>
      <c r="BF1472" t="s">
        <v>111</v>
      </c>
      <c r="BG1472" t="s">
        <v>111</v>
      </c>
      <c r="BH1472" t="s">
        <v>111</v>
      </c>
      <c r="BI1472" t="s">
        <v>111</v>
      </c>
      <c r="BJ1472" t="s">
        <v>111</v>
      </c>
      <c r="BK1472" t="s">
        <v>111</v>
      </c>
      <c r="BL1472" t="s">
        <v>111</v>
      </c>
      <c r="BM1472" t="s">
        <v>111</v>
      </c>
      <c r="BN1472" t="s">
        <v>111</v>
      </c>
      <c r="BO1472" t="s">
        <v>111</v>
      </c>
      <c r="BP1472" t="s">
        <v>111</v>
      </c>
      <c r="BQ1472" t="s">
        <v>111</v>
      </c>
      <c r="BR1472" t="s">
        <v>111</v>
      </c>
      <c r="BS1472" t="s">
        <v>111</v>
      </c>
      <c r="BT1472" t="s">
        <v>111</v>
      </c>
      <c r="BU1472" t="s">
        <v>111</v>
      </c>
      <c r="BV1472" t="s">
        <v>111</v>
      </c>
      <c r="BW1472" t="s">
        <v>111</v>
      </c>
      <c r="BX1472" t="s">
        <v>111</v>
      </c>
      <c r="BY1472" t="s">
        <v>111</v>
      </c>
      <c r="BZ1472" t="s">
        <v>111</v>
      </c>
      <c r="CA1472" t="s">
        <v>111</v>
      </c>
      <c r="CB1472" t="s">
        <v>111</v>
      </c>
      <c r="CC1472" t="s">
        <v>111</v>
      </c>
      <c r="CD1472" t="s">
        <v>111</v>
      </c>
      <c r="CE1472" t="s">
        <v>111</v>
      </c>
      <c r="CF1472" t="s">
        <v>111</v>
      </c>
      <c r="CG1472" t="s">
        <v>111</v>
      </c>
      <c r="CH1472" t="s">
        <v>111</v>
      </c>
      <c r="CI1472" t="s">
        <v>111</v>
      </c>
      <c r="CJ1472" t="s">
        <v>111</v>
      </c>
      <c r="CK1472" t="s">
        <v>111</v>
      </c>
      <c r="CL1472" t="s">
        <v>153</v>
      </c>
      <c r="CM1472" t="s">
        <v>198</v>
      </c>
      <c r="CN1472" t="s">
        <v>113</v>
      </c>
      <c r="CO1472" t="s">
        <v>111</v>
      </c>
      <c r="CP1472" t="s">
        <v>433</v>
      </c>
      <c r="CQ1472">
        <v>0</v>
      </c>
      <c r="CR1472">
        <v>26000</v>
      </c>
      <c r="CS1472">
        <v>26000</v>
      </c>
      <c r="CT1472" t="e">
        <f>- CAJA NORMMAL</f>
        <v>#NAME?</v>
      </c>
      <c r="CU1472">
        <v>0</v>
      </c>
      <c r="CV1472" t="s">
        <v>111</v>
      </c>
      <c r="CW1472" t="s">
        <v>111</v>
      </c>
      <c r="CX1472" t="s">
        <v>111</v>
      </c>
      <c r="CY1472">
        <v>0</v>
      </c>
      <c r="CZ1472" t="s">
        <v>111</v>
      </c>
      <c r="DA1472" t="s">
        <v>111</v>
      </c>
      <c r="DB1472" t="s">
        <v>111</v>
      </c>
      <c r="DC1472" t="s">
        <v>111</v>
      </c>
    </row>
    <row r="1473" spans="1:107">
      <c r="A1473">
        <v>468</v>
      </c>
      <c r="B1473" t="s">
        <v>162</v>
      </c>
      <c r="C1473" t="s">
        <v>4133</v>
      </c>
      <c r="D1473" t="s">
        <v>4134</v>
      </c>
      <c r="E1473" t="s">
        <v>4135</v>
      </c>
      <c r="F1473" t="s">
        <v>1651</v>
      </c>
      <c r="G1473" t="s">
        <v>24</v>
      </c>
      <c r="H1473">
        <v>1.4</v>
      </c>
      <c r="I1473">
        <v>45</v>
      </c>
      <c r="J1473">
        <v>0</v>
      </c>
      <c r="K1473">
        <v>0</v>
      </c>
      <c r="L1473" t="s">
        <v>178</v>
      </c>
      <c r="M1473" t="s">
        <v>118</v>
      </c>
      <c r="N1473">
        <v>40</v>
      </c>
      <c r="O1473">
        <v>2</v>
      </c>
      <c r="P1473" t="s">
        <v>138</v>
      </c>
      <c r="Q1473">
        <v>30</v>
      </c>
      <c r="R1473">
        <v>0</v>
      </c>
      <c r="S1473">
        <v>0</v>
      </c>
      <c r="T1473">
        <v>0</v>
      </c>
      <c r="U1473" s="1" t="s">
        <v>4136</v>
      </c>
      <c r="V1473">
        <v>0</v>
      </c>
      <c r="W1473">
        <v>0</v>
      </c>
      <c r="X1473">
        <v>0</v>
      </c>
      <c r="Y1473">
        <v>25</v>
      </c>
      <c r="Z1473" t="s">
        <v>111</v>
      </c>
      <c r="AA1473">
        <v>0</v>
      </c>
      <c r="AB1473" t="s">
        <v>111</v>
      </c>
      <c r="AC1473">
        <v>0</v>
      </c>
      <c r="AD1473" t="s">
        <v>416</v>
      </c>
      <c r="AE1473">
        <v>1</v>
      </c>
      <c r="AF1473">
        <v>2</v>
      </c>
      <c r="AG1473" t="s">
        <v>2861</v>
      </c>
      <c r="AH1473" t="s">
        <v>111</v>
      </c>
      <c r="AI1473">
        <v>30</v>
      </c>
      <c r="AJ1473" t="s">
        <v>111</v>
      </c>
      <c r="AK1473" t="s">
        <v>111</v>
      </c>
      <c r="AL1473" t="s">
        <v>111</v>
      </c>
      <c r="AM1473">
        <v>0</v>
      </c>
      <c r="AN1473">
        <v>0</v>
      </c>
      <c r="AO1473">
        <v>0</v>
      </c>
      <c r="AP1473" t="s">
        <v>111</v>
      </c>
      <c r="AQ1473" t="s">
        <v>111</v>
      </c>
      <c r="AR1473" t="s">
        <v>111</v>
      </c>
      <c r="AS1473" t="s">
        <v>111</v>
      </c>
      <c r="AT1473" t="s">
        <v>111</v>
      </c>
      <c r="AU1473" t="s">
        <v>111</v>
      </c>
      <c r="AV1473" t="s">
        <v>111</v>
      </c>
      <c r="AW1473" t="s">
        <v>111</v>
      </c>
      <c r="AX1473" t="s">
        <v>111</v>
      </c>
      <c r="AY1473" t="s">
        <v>111</v>
      </c>
      <c r="AZ1473" t="s">
        <v>111</v>
      </c>
      <c r="BA1473" t="s">
        <v>111</v>
      </c>
      <c r="BB1473" t="s">
        <v>111</v>
      </c>
      <c r="BC1473" t="s">
        <v>111</v>
      </c>
      <c r="BD1473" t="s">
        <v>111</v>
      </c>
      <c r="BE1473" t="s">
        <v>111</v>
      </c>
      <c r="BF1473" t="s">
        <v>111</v>
      </c>
      <c r="BG1473" t="s">
        <v>111</v>
      </c>
      <c r="BH1473" t="s">
        <v>111</v>
      </c>
      <c r="BI1473" t="s">
        <v>111</v>
      </c>
      <c r="BJ1473" t="s">
        <v>111</v>
      </c>
      <c r="BK1473" t="s">
        <v>111</v>
      </c>
      <c r="BL1473" t="s">
        <v>111</v>
      </c>
      <c r="BM1473" t="s">
        <v>111</v>
      </c>
      <c r="BN1473" t="s">
        <v>111</v>
      </c>
      <c r="BO1473" t="s">
        <v>111</v>
      </c>
      <c r="BP1473" t="s">
        <v>111</v>
      </c>
      <c r="BQ1473" t="s">
        <v>111</v>
      </c>
      <c r="BR1473" t="s">
        <v>111</v>
      </c>
      <c r="BS1473" t="s">
        <v>111</v>
      </c>
      <c r="BT1473" t="s">
        <v>111</v>
      </c>
      <c r="BU1473" t="s">
        <v>111</v>
      </c>
      <c r="BV1473" t="s">
        <v>111</v>
      </c>
      <c r="BW1473" t="s">
        <v>111</v>
      </c>
      <c r="BX1473" t="s">
        <v>111</v>
      </c>
      <c r="BY1473" t="s">
        <v>111</v>
      </c>
      <c r="BZ1473" t="s">
        <v>111</v>
      </c>
      <c r="CA1473" t="s">
        <v>111</v>
      </c>
      <c r="CB1473" t="s">
        <v>111</v>
      </c>
      <c r="CC1473" t="s">
        <v>111</v>
      </c>
      <c r="CD1473" t="s">
        <v>111</v>
      </c>
      <c r="CE1473" t="s">
        <v>111</v>
      </c>
      <c r="CF1473" t="s">
        <v>111</v>
      </c>
      <c r="CG1473" t="s">
        <v>111</v>
      </c>
      <c r="CH1473" t="s">
        <v>111</v>
      </c>
      <c r="CI1473" t="s">
        <v>111</v>
      </c>
      <c r="CJ1473" t="s">
        <v>111</v>
      </c>
      <c r="CK1473" t="s">
        <v>111</v>
      </c>
      <c r="CL1473" t="s">
        <v>153</v>
      </c>
      <c r="CM1473" t="s">
        <v>198</v>
      </c>
      <c r="CN1473" t="s">
        <v>113</v>
      </c>
      <c r="CO1473" t="s">
        <v>111</v>
      </c>
      <c r="CP1473" t="s">
        <v>433</v>
      </c>
      <c r="CQ1473">
        <v>0</v>
      </c>
      <c r="CR1473">
        <v>0</v>
      </c>
      <c r="CS1473">
        <v>0</v>
      </c>
      <c r="CT1473" s="1" t="s">
        <v>4137</v>
      </c>
      <c r="CU1473">
        <v>0</v>
      </c>
      <c r="CV1473" t="s">
        <v>111</v>
      </c>
      <c r="CW1473" t="s">
        <v>111</v>
      </c>
      <c r="CX1473" t="s">
        <v>111</v>
      </c>
      <c r="CY1473">
        <v>0</v>
      </c>
      <c r="CZ1473" t="s">
        <v>111</v>
      </c>
      <c r="DA1473" t="s">
        <v>111</v>
      </c>
      <c r="DB1473" t="s">
        <v>111</v>
      </c>
      <c r="DC1473" t="s">
        <v>111</v>
      </c>
    </row>
    <row r="1474" spans="1:107">
      <c r="A1474">
        <v>353</v>
      </c>
      <c r="B1474" t="s">
        <v>162</v>
      </c>
      <c r="C1474" s="2">
        <v>91226680</v>
      </c>
      <c r="D1474" t="s">
        <v>4138</v>
      </c>
      <c r="E1474" t="s">
        <v>4139</v>
      </c>
      <c r="F1474" t="s">
        <v>110</v>
      </c>
      <c r="G1474" t="s">
        <v>24</v>
      </c>
      <c r="H1474">
        <v>1.3</v>
      </c>
      <c r="I1474">
        <v>15</v>
      </c>
      <c r="J1474">
        <v>0</v>
      </c>
      <c r="K1474">
        <v>0</v>
      </c>
      <c r="L1474" t="s">
        <v>178</v>
      </c>
      <c r="M1474" t="s">
        <v>138</v>
      </c>
      <c r="N1474">
        <v>0</v>
      </c>
      <c r="O1474">
        <v>0</v>
      </c>
      <c r="P1474" t="s">
        <v>138</v>
      </c>
      <c r="Q1474">
        <v>15</v>
      </c>
      <c r="R1474">
        <v>0</v>
      </c>
      <c r="S1474">
        <v>0</v>
      </c>
      <c r="T1474">
        <v>0</v>
      </c>
      <c r="U1474" s="1" t="s">
        <v>4029</v>
      </c>
      <c r="V1474">
        <v>0</v>
      </c>
      <c r="W1474">
        <v>0</v>
      </c>
      <c r="X1474">
        <v>0</v>
      </c>
      <c r="Y1474">
        <v>25</v>
      </c>
      <c r="Z1474" t="s">
        <v>111</v>
      </c>
      <c r="AA1474">
        <v>0</v>
      </c>
      <c r="AB1474" t="s">
        <v>111</v>
      </c>
      <c r="AC1474">
        <v>0</v>
      </c>
      <c r="AD1474" t="s">
        <v>111</v>
      </c>
      <c r="AE1474">
        <v>0</v>
      </c>
      <c r="AF1474">
        <v>0</v>
      </c>
      <c r="AG1474" t="s">
        <v>111</v>
      </c>
      <c r="AH1474" t="s">
        <v>111</v>
      </c>
      <c r="AI1474" t="s">
        <v>111</v>
      </c>
      <c r="AJ1474" t="s">
        <v>111</v>
      </c>
      <c r="AK1474" t="s">
        <v>111</v>
      </c>
      <c r="AL1474" t="s">
        <v>111</v>
      </c>
      <c r="AM1474">
        <v>0</v>
      </c>
      <c r="AN1474">
        <v>0</v>
      </c>
      <c r="AO1474">
        <v>0</v>
      </c>
      <c r="AP1474" t="s">
        <v>111</v>
      </c>
      <c r="AQ1474" t="s">
        <v>111</v>
      </c>
      <c r="AR1474" t="s">
        <v>111</v>
      </c>
      <c r="AS1474" t="s">
        <v>111</v>
      </c>
      <c r="AT1474" t="s">
        <v>111</v>
      </c>
      <c r="AU1474" t="s">
        <v>111</v>
      </c>
      <c r="AV1474" t="s">
        <v>111</v>
      </c>
      <c r="AW1474" t="s">
        <v>111</v>
      </c>
      <c r="AX1474" t="s">
        <v>111</v>
      </c>
      <c r="AY1474" t="s">
        <v>111</v>
      </c>
      <c r="AZ1474" t="s">
        <v>111</v>
      </c>
      <c r="BA1474" t="s">
        <v>111</v>
      </c>
      <c r="BB1474" t="s">
        <v>111</v>
      </c>
      <c r="BC1474" t="s">
        <v>111</v>
      </c>
      <c r="BD1474" t="s">
        <v>111</v>
      </c>
      <c r="BE1474" t="s">
        <v>111</v>
      </c>
      <c r="BF1474" t="s">
        <v>111</v>
      </c>
      <c r="BG1474" t="s">
        <v>111</v>
      </c>
      <c r="BH1474" t="s">
        <v>111</v>
      </c>
      <c r="BI1474" t="s">
        <v>111</v>
      </c>
      <c r="BJ1474" t="s">
        <v>111</v>
      </c>
      <c r="BK1474" t="s">
        <v>111</v>
      </c>
      <c r="BL1474" t="s">
        <v>111</v>
      </c>
      <c r="BM1474" t="s">
        <v>111</v>
      </c>
      <c r="BN1474" t="s">
        <v>111</v>
      </c>
      <c r="BO1474" t="s">
        <v>111</v>
      </c>
      <c r="BP1474" t="s">
        <v>111</v>
      </c>
      <c r="BQ1474" t="s">
        <v>111</v>
      </c>
      <c r="BR1474" t="s">
        <v>111</v>
      </c>
      <c r="BS1474" t="s">
        <v>111</v>
      </c>
      <c r="BT1474" t="s">
        <v>111</v>
      </c>
      <c r="BU1474" t="s">
        <v>111</v>
      </c>
      <c r="BV1474" t="s">
        <v>111</v>
      </c>
      <c r="BW1474" t="s">
        <v>111</v>
      </c>
      <c r="BX1474" t="s">
        <v>111</v>
      </c>
      <c r="BY1474" t="s">
        <v>111</v>
      </c>
      <c r="BZ1474" t="s">
        <v>111</v>
      </c>
      <c r="CA1474" t="s">
        <v>111</v>
      </c>
      <c r="CB1474" t="s">
        <v>111</v>
      </c>
      <c r="CC1474" t="s">
        <v>111</v>
      </c>
      <c r="CD1474" t="s">
        <v>111</v>
      </c>
      <c r="CE1474" t="s">
        <v>111</v>
      </c>
      <c r="CF1474" t="s">
        <v>111</v>
      </c>
      <c r="CG1474" t="s">
        <v>111</v>
      </c>
      <c r="CH1474" t="s">
        <v>111</v>
      </c>
      <c r="CI1474" t="s">
        <v>111</v>
      </c>
      <c r="CJ1474" t="s">
        <v>111</v>
      </c>
      <c r="CK1474" t="s">
        <v>111</v>
      </c>
      <c r="CL1474" t="s">
        <v>111</v>
      </c>
      <c r="CM1474" t="s">
        <v>111</v>
      </c>
      <c r="CN1474" t="s">
        <v>111</v>
      </c>
      <c r="CO1474" t="s">
        <v>111</v>
      </c>
      <c r="CP1474" t="s">
        <v>111</v>
      </c>
      <c r="CQ1474">
        <v>0</v>
      </c>
      <c r="CR1474">
        <v>0</v>
      </c>
      <c r="CS1474">
        <v>0</v>
      </c>
      <c r="CT1474" t="s">
        <v>111</v>
      </c>
      <c r="CU1474">
        <v>0</v>
      </c>
      <c r="CV1474" t="s">
        <v>111</v>
      </c>
      <c r="CW1474" t="s">
        <v>111</v>
      </c>
      <c r="CX1474" t="s">
        <v>111</v>
      </c>
      <c r="CY1474">
        <v>0</v>
      </c>
      <c r="CZ1474" t="s">
        <v>111</v>
      </c>
      <c r="DA1474" t="s">
        <v>111</v>
      </c>
      <c r="DB1474" t="s">
        <v>111</v>
      </c>
      <c r="DC1474" t="s">
        <v>111</v>
      </c>
    </row>
    <row r="1475" spans="1:107">
      <c r="A1475">
        <v>215</v>
      </c>
      <c r="B1475" t="s">
        <v>162</v>
      </c>
      <c r="C1475" t="s">
        <v>421</v>
      </c>
      <c r="D1475" t="s">
        <v>4140</v>
      </c>
      <c r="E1475" t="s">
        <v>4141</v>
      </c>
      <c r="F1475" t="s">
        <v>1651</v>
      </c>
      <c r="G1475" t="s">
        <v>24</v>
      </c>
      <c r="H1475">
        <v>1.5</v>
      </c>
      <c r="I1475">
        <v>38</v>
      </c>
      <c r="J1475">
        <v>0</v>
      </c>
      <c r="K1475">
        <v>0</v>
      </c>
      <c r="L1475" t="s">
        <v>112</v>
      </c>
      <c r="M1475" t="s">
        <v>118</v>
      </c>
      <c r="N1475">
        <v>40</v>
      </c>
      <c r="O1475">
        <v>1</v>
      </c>
      <c r="P1475" t="s">
        <v>138</v>
      </c>
      <c r="Q1475">
        <v>40</v>
      </c>
      <c r="R1475">
        <v>0</v>
      </c>
      <c r="S1475">
        <v>0</v>
      </c>
      <c r="T1475">
        <v>0</v>
      </c>
      <c r="U1475" s="1" t="s">
        <v>4142</v>
      </c>
      <c r="V1475">
        <v>0</v>
      </c>
      <c r="W1475">
        <v>0</v>
      </c>
      <c r="X1475">
        <v>0</v>
      </c>
      <c r="Y1475">
        <v>25</v>
      </c>
      <c r="Z1475" t="s">
        <v>111</v>
      </c>
      <c r="AA1475">
        <v>0</v>
      </c>
      <c r="AB1475" t="s">
        <v>111</v>
      </c>
      <c r="AC1475">
        <v>0</v>
      </c>
      <c r="AD1475" t="s">
        <v>416</v>
      </c>
      <c r="AE1475">
        <v>2</v>
      </c>
      <c r="AF1475">
        <v>1</v>
      </c>
      <c r="AG1475">
        <v>32</v>
      </c>
      <c r="AH1475" t="s">
        <v>113</v>
      </c>
      <c r="AI1475">
        <v>32</v>
      </c>
      <c r="AJ1475" t="s">
        <v>111</v>
      </c>
      <c r="AK1475" t="s">
        <v>111</v>
      </c>
      <c r="AL1475" t="s">
        <v>111</v>
      </c>
      <c r="AM1475">
        <v>0</v>
      </c>
      <c r="AN1475">
        <v>0</v>
      </c>
      <c r="AO1475">
        <v>0</v>
      </c>
      <c r="AP1475" t="s">
        <v>111</v>
      </c>
      <c r="AQ1475" t="s">
        <v>111</v>
      </c>
      <c r="AR1475" t="s">
        <v>111</v>
      </c>
      <c r="AS1475" t="s">
        <v>111</v>
      </c>
      <c r="AT1475" t="s">
        <v>1091</v>
      </c>
      <c r="AU1475" t="s">
        <v>111</v>
      </c>
      <c r="AV1475" t="s">
        <v>111</v>
      </c>
      <c r="AW1475" t="s">
        <v>111</v>
      </c>
      <c r="AX1475" t="s">
        <v>111</v>
      </c>
      <c r="AY1475" t="s">
        <v>111</v>
      </c>
      <c r="AZ1475" t="s">
        <v>111</v>
      </c>
      <c r="BA1475" t="s">
        <v>111</v>
      </c>
      <c r="BB1475" t="s">
        <v>111</v>
      </c>
      <c r="BC1475" t="s">
        <v>111</v>
      </c>
      <c r="BD1475" t="s">
        <v>111</v>
      </c>
      <c r="BE1475" t="s">
        <v>111</v>
      </c>
      <c r="BF1475" t="s">
        <v>111</v>
      </c>
      <c r="BG1475" t="s">
        <v>111</v>
      </c>
      <c r="BH1475" t="s">
        <v>111</v>
      </c>
      <c r="BI1475" t="s">
        <v>111</v>
      </c>
      <c r="BJ1475" t="s">
        <v>111</v>
      </c>
      <c r="BK1475" t="s">
        <v>111</v>
      </c>
      <c r="BL1475" t="s">
        <v>111</v>
      </c>
      <c r="BM1475" t="s">
        <v>111</v>
      </c>
      <c r="BN1475" t="s">
        <v>111</v>
      </c>
      <c r="BO1475" t="s">
        <v>111</v>
      </c>
      <c r="BP1475" t="s">
        <v>111</v>
      </c>
      <c r="BQ1475" t="s">
        <v>111</v>
      </c>
      <c r="BR1475" t="s">
        <v>111</v>
      </c>
      <c r="BS1475" t="s">
        <v>111</v>
      </c>
      <c r="BT1475" t="s">
        <v>111</v>
      </c>
      <c r="BU1475" t="s">
        <v>111</v>
      </c>
      <c r="BV1475" t="s">
        <v>111</v>
      </c>
      <c r="BW1475" t="s">
        <v>111</v>
      </c>
      <c r="BX1475" t="s">
        <v>111</v>
      </c>
      <c r="BY1475" t="s">
        <v>111</v>
      </c>
      <c r="BZ1475" t="s">
        <v>111</v>
      </c>
      <c r="CA1475" t="s">
        <v>111</v>
      </c>
      <c r="CB1475" t="s">
        <v>111</v>
      </c>
      <c r="CC1475" t="s">
        <v>111</v>
      </c>
      <c r="CD1475" t="s">
        <v>111</v>
      </c>
      <c r="CE1475" t="s">
        <v>111</v>
      </c>
      <c r="CF1475" t="s">
        <v>111</v>
      </c>
      <c r="CG1475" t="s">
        <v>111</v>
      </c>
      <c r="CH1475" t="s">
        <v>111</v>
      </c>
      <c r="CI1475" t="s">
        <v>111</v>
      </c>
      <c r="CJ1475" t="s">
        <v>111</v>
      </c>
      <c r="CK1475" t="s">
        <v>111</v>
      </c>
      <c r="CL1475" t="s">
        <v>153</v>
      </c>
      <c r="CM1475" t="s">
        <v>198</v>
      </c>
      <c r="CN1475" t="s">
        <v>113</v>
      </c>
      <c r="CO1475" t="s">
        <v>111</v>
      </c>
      <c r="CP1475" t="s">
        <v>433</v>
      </c>
      <c r="CQ1475">
        <v>0</v>
      </c>
      <c r="CR1475">
        <v>3000</v>
      </c>
      <c r="CS1475">
        <v>200</v>
      </c>
      <c r="CT1475" s="1" t="s">
        <v>4143</v>
      </c>
      <c r="CU1475">
        <v>0</v>
      </c>
      <c r="CV1475" t="s">
        <v>111</v>
      </c>
      <c r="CW1475" t="s">
        <v>111</v>
      </c>
      <c r="CX1475" t="s">
        <v>111</v>
      </c>
      <c r="CY1475">
        <v>0</v>
      </c>
      <c r="CZ1475" t="s">
        <v>111</v>
      </c>
      <c r="DA1475" t="s">
        <v>111</v>
      </c>
      <c r="DB1475" t="s">
        <v>111</v>
      </c>
      <c r="DC1475" t="s">
        <v>111</v>
      </c>
    </row>
    <row r="1476" spans="1:107">
      <c r="A1476">
        <v>133</v>
      </c>
      <c r="B1476" t="s">
        <v>162</v>
      </c>
      <c r="C1476" t="s">
        <v>1322</v>
      </c>
      <c r="D1476" t="s">
        <v>4144</v>
      </c>
      <c r="E1476" t="s">
        <v>4145</v>
      </c>
      <c r="F1476" t="s">
        <v>1651</v>
      </c>
      <c r="G1476" t="s">
        <v>24</v>
      </c>
      <c r="H1476">
        <v>1.5</v>
      </c>
      <c r="I1476">
        <v>40</v>
      </c>
      <c r="J1476">
        <v>0</v>
      </c>
      <c r="K1476">
        <v>0</v>
      </c>
      <c r="L1476" t="s">
        <v>112</v>
      </c>
      <c r="M1476" t="s">
        <v>118</v>
      </c>
      <c r="N1476">
        <v>40</v>
      </c>
      <c r="O1476">
        <v>2</v>
      </c>
      <c r="P1476" t="s">
        <v>138</v>
      </c>
      <c r="Q1476">
        <v>40</v>
      </c>
      <c r="R1476">
        <v>0</v>
      </c>
      <c r="S1476">
        <v>0</v>
      </c>
      <c r="T1476">
        <v>5</v>
      </c>
      <c r="U1476" t="s">
        <v>2685</v>
      </c>
      <c r="V1476">
        <v>0</v>
      </c>
      <c r="W1476">
        <v>0</v>
      </c>
      <c r="X1476">
        <v>0</v>
      </c>
      <c r="Y1476">
        <v>25</v>
      </c>
      <c r="Z1476" t="s">
        <v>111</v>
      </c>
      <c r="AA1476">
        <v>0</v>
      </c>
      <c r="AB1476" t="s">
        <v>111</v>
      </c>
      <c r="AC1476">
        <v>0</v>
      </c>
      <c r="AD1476" t="s">
        <v>427</v>
      </c>
      <c r="AE1476">
        <v>4</v>
      </c>
      <c r="AF1476">
        <v>0</v>
      </c>
      <c r="AG1476">
        <v>32</v>
      </c>
      <c r="AH1476" t="s">
        <v>113</v>
      </c>
      <c r="AI1476">
        <v>32</v>
      </c>
      <c r="AJ1476" t="s">
        <v>111</v>
      </c>
      <c r="AK1476" t="s">
        <v>111</v>
      </c>
      <c r="AL1476" t="s">
        <v>111</v>
      </c>
      <c r="AM1476">
        <v>0</v>
      </c>
      <c r="AN1476">
        <v>0</v>
      </c>
      <c r="AO1476">
        <v>0</v>
      </c>
      <c r="AP1476" t="s">
        <v>288</v>
      </c>
      <c r="AQ1476" t="s">
        <v>111</v>
      </c>
      <c r="AR1476" t="s">
        <v>111</v>
      </c>
      <c r="AS1476" t="s">
        <v>111</v>
      </c>
      <c r="AT1476" t="s">
        <v>188</v>
      </c>
      <c r="AU1476" t="s">
        <v>111</v>
      </c>
      <c r="AV1476" t="s">
        <v>111</v>
      </c>
      <c r="AW1476" t="s">
        <v>111</v>
      </c>
      <c r="AX1476" t="s">
        <v>271</v>
      </c>
      <c r="AY1476" t="s">
        <v>111</v>
      </c>
      <c r="AZ1476" t="s">
        <v>111</v>
      </c>
      <c r="BA1476" t="s">
        <v>111</v>
      </c>
      <c r="BB1476" t="s">
        <v>184</v>
      </c>
      <c r="BC1476" t="s">
        <v>111</v>
      </c>
      <c r="BD1476" t="s">
        <v>111</v>
      </c>
      <c r="BE1476" t="s">
        <v>111</v>
      </c>
      <c r="BF1476" t="s">
        <v>111</v>
      </c>
      <c r="BG1476" t="s">
        <v>111</v>
      </c>
      <c r="BH1476" t="s">
        <v>111</v>
      </c>
      <c r="BI1476" t="s">
        <v>111</v>
      </c>
      <c r="BJ1476" t="s">
        <v>111</v>
      </c>
      <c r="BK1476" t="s">
        <v>111</v>
      </c>
      <c r="BL1476" t="s">
        <v>111</v>
      </c>
      <c r="BM1476" t="s">
        <v>111</v>
      </c>
      <c r="BN1476" t="s">
        <v>111</v>
      </c>
      <c r="BO1476" t="s">
        <v>111</v>
      </c>
      <c r="BP1476" t="s">
        <v>111</v>
      </c>
      <c r="BQ1476" t="s">
        <v>111</v>
      </c>
      <c r="BR1476" t="s">
        <v>111</v>
      </c>
      <c r="BS1476" t="s">
        <v>111</v>
      </c>
      <c r="BT1476" t="s">
        <v>111</v>
      </c>
      <c r="BU1476" t="s">
        <v>111</v>
      </c>
      <c r="BV1476" t="s">
        <v>111</v>
      </c>
      <c r="BW1476" t="s">
        <v>111</v>
      </c>
      <c r="BX1476" t="s">
        <v>111</v>
      </c>
      <c r="BY1476" t="s">
        <v>111</v>
      </c>
      <c r="BZ1476" t="s">
        <v>111</v>
      </c>
      <c r="CA1476" t="s">
        <v>111</v>
      </c>
      <c r="CB1476" t="s">
        <v>111</v>
      </c>
      <c r="CC1476" t="s">
        <v>111</v>
      </c>
      <c r="CD1476" t="s">
        <v>111</v>
      </c>
      <c r="CE1476" t="s">
        <v>111</v>
      </c>
      <c r="CF1476" t="s">
        <v>111</v>
      </c>
      <c r="CG1476" t="s">
        <v>111</v>
      </c>
      <c r="CH1476" t="s">
        <v>111</v>
      </c>
      <c r="CI1476" t="s">
        <v>111</v>
      </c>
      <c r="CJ1476" t="s">
        <v>111</v>
      </c>
      <c r="CK1476" t="s">
        <v>111</v>
      </c>
      <c r="CL1476" t="s">
        <v>153</v>
      </c>
      <c r="CM1476" t="s">
        <v>198</v>
      </c>
      <c r="CN1476" t="s">
        <v>113</v>
      </c>
      <c r="CO1476" t="s">
        <v>111</v>
      </c>
      <c r="CP1476" t="s">
        <v>433</v>
      </c>
      <c r="CQ1476">
        <v>75</v>
      </c>
      <c r="CR1476">
        <v>2000</v>
      </c>
      <c r="CS1476">
        <v>200</v>
      </c>
      <c r="CT1476" s="1" t="s">
        <v>4146</v>
      </c>
      <c r="CU1476">
        <v>0</v>
      </c>
      <c r="CV1476" t="s">
        <v>111</v>
      </c>
      <c r="CW1476" t="s">
        <v>111</v>
      </c>
      <c r="CX1476" t="s">
        <v>111</v>
      </c>
      <c r="CY1476">
        <v>0</v>
      </c>
      <c r="CZ1476" t="s">
        <v>111</v>
      </c>
      <c r="DA1476" t="s">
        <v>111</v>
      </c>
      <c r="DB1476" t="s">
        <v>111</v>
      </c>
      <c r="DC1476" t="s">
        <v>111</v>
      </c>
    </row>
    <row r="1477" spans="1:107">
      <c r="A1477">
        <v>1535</v>
      </c>
      <c r="B1477" t="s">
        <v>107</v>
      </c>
      <c r="C1477" t="s">
        <v>4147</v>
      </c>
      <c r="D1477" t="s">
        <v>4148</v>
      </c>
      <c r="E1477" t="s">
        <v>4149</v>
      </c>
      <c r="F1477" t="s">
        <v>1071</v>
      </c>
      <c r="G1477" t="s">
        <v>24</v>
      </c>
      <c r="H1477">
        <v>2.2999999999999998</v>
      </c>
      <c r="I1477">
        <v>50</v>
      </c>
      <c r="J1477">
        <v>0</v>
      </c>
      <c r="K1477">
        <v>0</v>
      </c>
      <c r="L1477" t="s">
        <v>112</v>
      </c>
      <c r="M1477" t="s">
        <v>138</v>
      </c>
      <c r="N1477">
        <v>0</v>
      </c>
      <c r="O1477">
        <v>0</v>
      </c>
      <c r="P1477" t="s">
        <v>111</v>
      </c>
      <c r="Q1477">
        <v>33.299999999999997</v>
      </c>
      <c r="R1477">
        <v>0</v>
      </c>
      <c r="S1477">
        <v>0</v>
      </c>
      <c r="T1477">
        <v>5</v>
      </c>
      <c r="U1477" t="e">
        <f>-SELLAADO</f>
        <v>#NAME?</v>
      </c>
      <c r="V1477">
        <v>0</v>
      </c>
      <c r="W1477">
        <v>0</v>
      </c>
      <c r="X1477">
        <v>0</v>
      </c>
      <c r="Y1477">
        <v>250</v>
      </c>
      <c r="Z1477" t="s">
        <v>111</v>
      </c>
      <c r="AA1477">
        <v>0</v>
      </c>
      <c r="AB1477" t="s">
        <v>3954</v>
      </c>
      <c r="AC1477">
        <v>3</v>
      </c>
      <c r="AD1477" t="s">
        <v>111</v>
      </c>
      <c r="AE1477">
        <v>0</v>
      </c>
      <c r="AF1477">
        <v>0</v>
      </c>
      <c r="AG1477" t="s">
        <v>111</v>
      </c>
      <c r="AH1477" t="s">
        <v>111</v>
      </c>
      <c r="AI1477" t="s">
        <v>111</v>
      </c>
      <c r="AJ1477" t="s">
        <v>111</v>
      </c>
      <c r="AK1477" t="s">
        <v>111</v>
      </c>
      <c r="AL1477" t="s">
        <v>111</v>
      </c>
      <c r="AM1477">
        <v>0</v>
      </c>
      <c r="AN1477">
        <v>0</v>
      </c>
      <c r="AO1477">
        <v>0</v>
      </c>
      <c r="AP1477" t="s">
        <v>111</v>
      </c>
      <c r="AQ1477" t="s">
        <v>111</v>
      </c>
      <c r="AR1477" t="s">
        <v>111</v>
      </c>
      <c r="AS1477" t="s">
        <v>111</v>
      </c>
      <c r="AT1477" t="s">
        <v>111</v>
      </c>
      <c r="AU1477" t="s">
        <v>111</v>
      </c>
      <c r="AV1477" t="s">
        <v>111</v>
      </c>
      <c r="AW1477" t="s">
        <v>111</v>
      </c>
      <c r="AX1477" t="s">
        <v>111</v>
      </c>
      <c r="AY1477" t="s">
        <v>111</v>
      </c>
      <c r="AZ1477" t="s">
        <v>111</v>
      </c>
      <c r="BA1477" t="s">
        <v>111</v>
      </c>
      <c r="BB1477" t="s">
        <v>111</v>
      </c>
      <c r="BC1477" t="s">
        <v>111</v>
      </c>
      <c r="BD1477" t="s">
        <v>111</v>
      </c>
      <c r="BE1477" t="s">
        <v>111</v>
      </c>
      <c r="BF1477" t="s">
        <v>111</v>
      </c>
      <c r="BG1477" t="s">
        <v>111</v>
      </c>
      <c r="BH1477" t="s">
        <v>111</v>
      </c>
      <c r="BI1477" t="s">
        <v>111</v>
      </c>
      <c r="BJ1477" t="s">
        <v>111</v>
      </c>
      <c r="BK1477" t="s">
        <v>111</v>
      </c>
      <c r="BL1477" t="s">
        <v>111</v>
      </c>
      <c r="BM1477" t="s">
        <v>111</v>
      </c>
      <c r="BN1477" t="s">
        <v>111</v>
      </c>
      <c r="BO1477" t="s">
        <v>111</v>
      </c>
      <c r="BP1477" t="s">
        <v>111</v>
      </c>
      <c r="BQ1477" t="s">
        <v>111</v>
      </c>
      <c r="BR1477" t="s">
        <v>111</v>
      </c>
      <c r="BS1477" t="s">
        <v>111</v>
      </c>
      <c r="BT1477" t="s">
        <v>111</v>
      </c>
      <c r="BU1477" t="s">
        <v>111</v>
      </c>
      <c r="BV1477" t="s">
        <v>111</v>
      </c>
      <c r="BW1477" t="s">
        <v>111</v>
      </c>
      <c r="BX1477" t="s">
        <v>111</v>
      </c>
      <c r="BY1477" t="s">
        <v>111</v>
      </c>
      <c r="BZ1477" t="s">
        <v>111</v>
      </c>
      <c r="CA1477" t="s">
        <v>111</v>
      </c>
      <c r="CB1477" t="s">
        <v>111</v>
      </c>
      <c r="CC1477" t="s">
        <v>111</v>
      </c>
      <c r="CD1477" t="s">
        <v>111</v>
      </c>
      <c r="CE1477" t="s">
        <v>111</v>
      </c>
      <c r="CF1477" t="s">
        <v>111</v>
      </c>
      <c r="CG1477" t="s">
        <v>111</v>
      </c>
      <c r="CH1477" t="s">
        <v>111</v>
      </c>
      <c r="CI1477" t="s">
        <v>111</v>
      </c>
      <c r="CJ1477" t="s">
        <v>111</v>
      </c>
      <c r="CK1477" t="s">
        <v>111</v>
      </c>
      <c r="CL1477" t="s">
        <v>111</v>
      </c>
      <c r="CM1477" t="s">
        <v>438</v>
      </c>
      <c r="CN1477" t="s">
        <v>113</v>
      </c>
      <c r="CO1477" t="s">
        <v>111</v>
      </c>
      <c r="CP1477" t="s">
        <v>111</v>
      </c>
      <c r="CQ1477">
        <v>0</v>
      </c>
      <c r="CR1477">
        <v>1000</v>
      </c>
      <c r="CS1477">
        <v>100</v>
      </c>
      <c r="CT1477" s="1" t="s">
        <v>4150</v>
      </c>
      <c r="CU1477">
        <v>0</v>
      </c>
      <c r="CV1477" t="s">
        <v>111</v>
      </c>
      <c r="CW1477" t="s">
        <v>111</v>
      </c>
      <c r="CX1477" t="s">
        <v>111</v>
      </c>
      <c r="CY1477">
        <v>0</v>
      </c>
      <c r="CZ1477" t="s">
        <v>111</v>
      </c>
      <c r="DA1477" t="s">
        <v>111</v>
      </c>
      <c r="DB1477" t="s">
        <v>111</v>
      </c>
      <c r="DC1477" t="s">
        <v>111</v>
      </c>
    </row>
    <row r="1478" spans="1:107">
      <c r="A1478">
        <v>1578</v>
      </c>
      <c r="B1478" t="s">
        <v>107</v>
      </c>
      <c r="C1478" t="s">
        <v>119</v>
      </c>
      <c r="D1478" t="s">
        <v>4151</v>
      </c>
      <c r="E1478" t="s">
        <v>4152</v>
      </c>
      <c r="F1478" t="s">
        <v>2211</v>
      </c>
      <c r="G1478" t="s">
        <v>24</v>
      </c>
      <c r="H1478">
        <v>1.4</v>
      </c>
      <c r="I1478">
        <v>40</v>
      </c>
      <c r="J1478">
        <v>0</v>
      </c>
      <c r="K1478">
        <v>0</v>
      </c>
      <c r="L1478" t="s">
        <v>117</v>
      </c>
      <c r="M1478" t="s">
        <v>118</v>
      </c>
      <c r="N1478">
        <v>40</v>
      </c>
      <c r="O1478">
        <v>1</v>
      </c>
      <c r="P1478" t="s">
        <v>111</v>
      </c>
      <c r="Q1478">
        <v>33.299999999999997</v>
      </c>
      <c r="R1478">
        <v>0</v>
      </c>
      <c r="S1478">
        <v>0</v>
      </c>
      <c r="T1478">
        <v>5</v>
      </c>
      <c r="U1478" t="e">
        <f>-ALMACEN</f>
        <v>#NAME?</v>
      </c>
      <c r="V1478">
        <v>0</v>
      </c>
      <c r="W1478">
        <v>0</v>
      </c>
      <c r="X1478">
        <v>0</v>
      </c>
      <c r="Y1478">
        <v>25</v>
      </c>
      <c r="Z1478" t="s">
        <v>111</v>
      </c>
      <c r="AA1478">
        <v>0</v>
      </c>
      <c r="AB1478" t="s">
        <v>111</v>
      </c>
      <c r="AC1478">
        <v>0</v>
      </c>
      <c r="AD1478" t="s">
        <v>111</v>
      </c>
      <c r="AE1478">
        <v>0</v>
      </c>
      <c r="AF1478">
        <v>0</v>
      </c>
      <c r="AG1478" t="s">
        <v>111</v>
      </c>
      <c r="AH1478" t="s">
        <v>111</v>
      </c>
      <c r="AI1478" t="s">
        <v>111</v>
      </c>
      <c r="AJ1478" t="s">
        <v>111</v>
      </c>
      <c r="AK1478" t="s">
        <v>111</v>
      </c>
      <c r="AL1478" t="s">
        <v>111</v>
      </c>
      <c r="AM1478">
        <v>0</v>
      </c>
      <c r="AN1478">
        <v>0</v>
      </c>
      <c r="AO1478">
        <v>0</v>
      </c>
      <c r="AP1478" t="s">
        <v>111</v>
      </c>
      <c r="AQ1478" t="s">
        <v>111</v>
      </c>
      <c r="AR1478" t="s">
        <v>111</v>
      </c>
      <c r="AS1478" t="s">
        <v>111</v>
      </c>
      <c r="AT1478" t="s">
        <v>111</v>
      </c>
      <c r="AU1478" t="s">
        <v>111</v>
      </c>
      <c r="AV1478" t="s">
        <v>111</v>
      </c>
      <c r="AW1478" t="s">
        <v>111</v>
      </c>
      <c r="AX1478" t="s">
        <v>111</v>
      </c>
      <c r="AY1478" t="s">
        <v>111</v>
      </c>
      <c r="AZ1478" t="s">
        <v>111</v>
      </c>
      <c r="BA1478" t="s">
        <v>111</v>
      </c>
      <c r="BB1478" t="s">
        <v>111</v>
      </c>
      <c r="BC1478" t="s">
        <v>111</v>
      </c>
      <c r="BD1478" t="s">
        <v>111</v>
      </c>
      <c r="BE1478" t="s">
        <v>111</v>
      </c>
      <c r="BF1478" t="s">
        <v>111</v>
      </c>
      <c r="BG1478" t="s">
        <v>111</v>
      </c>
      <c r="BH1478" t="s">
        <v>111</v>
      </c>
      <c r="BI1478" t="s">
        <v>111</v>
      </c>
      <c r="BJ1478" t="s">
        <v>111</v>
      </c>
      <c r="BK1478" t="s">
        <v>111</v>
      </c>
      <c r="BL1478" t="s">
        <v>111</v>
      </c>
      <c r="BM1478" t="s">
        <v>111</v>
      </c>
      <c r="BN1478" t="s">
        <v>111</v>
      </c>
      <c r="BO1478" t="s">
        <v>111</v>
      </c>
      <c r="BP1478" t="s">
        <v>111</v>
      </c>
      <c r="BQ1478" t="s">
        <v>111</v>
      </c>
      <c r="BR1478" t="s">
        <v>111</v>
      </c>
      <c r="BS1478" t="s">
        <v>111</v>
      </c>
      <c r="BT1478" t="s">
        <v>111</v>
      </c>
      <c r="BU1478" t="s">
        <v>111</v>
      </c>
      <c r="BV1478" t="s">
        <v>111</v>
      </c>
      <c r="BW1478" t="s">
        <v>111</v>
      </c>
      <c r="BX1478" t="s">
        <v>111</v>
      </c>
      <c r="BY1478" t="s">
        <v>111</v>
      </c>
      <c r="BZ1478" t="s">
        <v>111</v>
      </c>
      <c r="CA1478" t="s">
        <v>111</v>
      </c>
      <c r="CB1478" t="s">
        <v>111</v>
      </c>
      <c r="CC1478" t="s">
        <v>111</v>
      </c>
      <c r="CD1478" t="s">
        <v>111</v>
      </c>
      <c r="CE1478" t="s">
        <v>111</v>
      </c>
      <c r="CF1478" t="s">
        <v>111</v>
      </c>
      <c r="CG1478" t="s">
        <v>111</v>
      </c>
      <c r="CH1478" t="s">
        <v>111</v>
      </c>
      <c r="CI1478" t="s">
        <v>111</v>
      </c>
      <c r="CJ1478" t="s">
        <v>111</v>
      </c>
      <c r="CK1478" t="s">
        <v>111</v>
      </c>
      <c r="CL1478" t="s">
        <v>111</v>
      </c>
      <c r="CM1478" t="s">
        <v>111</v>
      </c>
      <c r="CN1478" t="s">
        <v>111</v>
      </c>
      <c r="CO1478" t="s">
        <v>111</v>
      </c>
      <c r="CP1478" t="s">
        <v>111</v>
      </c>
      <c r="CQ1478">
        <v>0</v>
      </c>
      <c r="CR1478">
        <v>0</v>
      </c>
      <c r="CS1478">
        <v>0</v>
      </c>
      <c r="CT1478" t="s">
        <v>111</v>
      </c>
      <c r="CU1478">
        <v>0</v>
      </c>
      <c r="CV1478" t="s">
        <v>111</v>
      </c>
      <c r="CW1478" t="s">
        <v>111</v>
      </c>
      <c r="CX1478" t="s">
        <v>111</v>
      </c>
      <c r="CY1478">
        <v>0</v>
      </c>
      <c r="CZ1478" t="s">
        <v>111</v>
      </c>
      <c r="DA1478" t="s">
        <v>111</v>
      </c>
      <c r="DB1478" t="s">
        <v>111</v>
      </c>
      <c r="DC1478" t="s">
        <v>111</v>
      </c>
    </row>
    <row r="1479" spans="1:107">
      <c r="A1479">
        <v>1577</v>
      </c>
      <c r="B1479" t="s">
        <v>107</v>
      </c>
      <c r="C1479" t="s">
        <v>119</v>
      </c>
      <c r="D1479" t="s">
        <v>4153</v>
      </c>
      <c r="E1479" t="s">
        <v>4154</v>
      </c>
      <c r="F1479" t="s">
        <v>2211</v>
      </c>
      <c r="G1479" t="s">
        <v>24</v>
      </c>
      <c r="H1479">
        <v>1.3</v>
      </c>
      <c r="I1479">
        <v>35</v>
      </c>
      <c r="J1479">
        <v>0</v>
      </c>
      <c r="K1479">
        <v>0</v>
      </c>
      <c r="L1479" t="s">
        <v>117</v>
      </c>
      <c r="M1479" t="s">
        <v>118</v>
      </c>
      <c r="N1479">
        <v>40</v>
      </c>
      <c r="O1479">
        <v>1</v>
      </c>
      <c r="P1479" t="s">
        <v>111</v>
      </c>
      <c r="Q1479">
        <v>33.299999999999997</v>
      </c>
      <c r="R1479">
        <v>0</v>
      </c>
      <c r="S1479">
        <v>0</v>
      </c>
      <c r="T1479">
        <v>0</v>
      </c>
      <c r="U1479" s="1" t="s">
        <v>4155</v>
      </c>
      <c r="V1479">
        <v>0</v>
      </c>
      <c r="W1479">
        <v>0</v>
      </c>
      <c r="X1479">
        <v>0</v>
      </c>
      <c r="Y1479">
        <v>25</v>
      </c>
      <c r="Z1479" t="s">
        <v>111</v>
      </c>
      <c r="AA1479">
        <v>0</v>
      </c>
      <c r="AB1479" t="s">
        <v>111</v>
      </c>
      <c r="AC1479">
        <v>0</v>
      </c>
      <c r="AD1479" t="s">
        <v>111</v>
      </c>
      <c r="AE1479">
        <v>0</v>
      </c>
      <c r="AF1479">
        <v>0</v>
      </c>
      <c r="AG1479" t="s">
        <v>111</v>
      </c>
      <c r="AH1479" t="s">
        <v>111</v>
      </c>
      <c r="AI1479" t="s">
        <v>111</v>
      </c>
      <c r="AJ1479" t="s">
        <v>111</v>
      </c>
      <c r="AK1479" t="s">
        <v>111</v>
      </c>
      <c r="AL1479" t="s">
        <v>111</v>
      </c>
      <c r="AM1479">
        <v>0</v>
      </c>
      <c r="AN1479">
        <v>0</v>
      </c>
      <c r="AO1479">
        <v>0</v>
      </c>
      <c r="AP1479" t="s">
        <v>111</v>
      </c>
      <c r="AQ1479" t="s">
        <v>111</v>
      </c>
      <c r="AR1479" t="s">
        <v>111</v>
      </c>
      <c r="AS1479" t="s">
        <v>111</v>
      </c>
      <c r="AT1479" t="s">
        <v>111</v>
      </c>
      <c r="AU1479" t="s">
        <v>111</v>
      </c>
      <c r="AV1479" t="s">
        <v>111</v>
      </c>
      <c r="AW1479" t="s">
        <v>111</v>
      </c>
      <c r="AX1479" t="s">
        <v>111</v>
      </c>
      <c r="AY1479" t="s">
        <v>111</v>
      </c>
      <c r="AZ1479" t="s">
        <v>111</v>
      </c>
      <c r="BA1479" t="s">
        <v>111</v>
      </c>
      <c r="BB1479" t="s">
        <v>111</v>
      </c>
      <c r="BC1479" t="s">
        <v>111</v>
      </c>
      <c r="BD1479" t="s">
        <v>111</v>
      </c>
      <c r="BE1479" t="s">
        <v>111</v>
      </c>
      <c r="BF1479" t="s">
        <v>111</v>
      </c>
      <c r="BG1479" t="s">
        <v>111</v>
      </c>
      <c r="BH1479" t="s">
        <v>111</v>
      </c>
      <c r="BI1479" t="s">
        <v>111</v>
      </c>
      <c r="BJ1479" t="s">
        <v>111</v>
      </c>
      <c r="BK1479" t="s">
        <v>111</v>
      </c>
      <c r="BL1479" t="s">
        <v>111</v>
      </c>
      <c r="BM1479" t="s">
        <v>111</v>
      </c>
      <c r="BN1479" t="s">
        <v>111</v>
      </c>
      <c r="BO1479" t="s">
        <v>111</v>
      </c>
      <c r="BP1479" t="s">
        <v>111</v>
      </c>
      <c r="BQ1479" t="s">
        <v>111</v>
      </c>
      <c r="BR1479" t="s">
        <v>111</v>
      </c>
      <c r="BS1479" t="s">
        <v>111</v>
      </c>
      <c r="BT1479" t="s">
        <v>111</v>
      </c>
      <c r="BU1479" t="s">
        <v>111</v>
      </c>
      <c r="BV1479" t="s">
        <v>111</v>
      </c>
      <c r="BW1479" t="s">
        <v>111</v>
      </c>
      <c r="BX1479" t="s">
        <v>111</v>
      </c>
      <c r="BY1479" t="s">
        <v>111</v>
      </c>
      <c r="BZ1479" t="s">
        <v>111</v>
      </c>
      <c r="CA1479" t="s">
        <v>111</v>
      </c>
      <c r="CB1479" t="s">
        <v>111</v>
      </c>
      <c r="CC1479" t="s">
        <v>111</v>
      </c>
      <c r="CD1479" t="s">
        <v>111</v>
      </c>
      <c r="CE1479" t="s">
        <v>111</v>
      </c>
      <c r="CF1479" t="s">
        <v>111</v>
      </c>
      <c r="CG1479" t="s">
        <v>111</v>
      </c>
      <c r="CH1479" t="s">
        <v>111</v>
      </c>
      <c r="CI1479" t="s">
        <v>111</v>
      </c>
      <c r="CJ1479" t="s">
        <v>111</v>
      </c>
      <c r="CK1479" t="s">
        <v>111</v>
      </c>
      <c r="CL1479" t="s">
        <v>111</v>
      </c>
      <c r="CM1479" t="s">
        <v>111</v>
      </c>
      <c r="CN1479" t="s">
        <v>111</v>
      </c>
      <c r="CO1479" t="s">
        <v>111</v>
      </c>
      <c r="CP1479" t="s">
        <v>111</v>
      </c>
      <c r="CQ1479">
        <v>0</v>
      </c>
      <c r="CR1479">
        <v>0</v>
      </c>
      <c r="CS1479">
        <v>0</v>
      </c>
      <c r="CT1479" t="s">
        <v>111</v>
      </c>
      <c r="CU1479">
        <v>0</v>
      </c>
      <c r="CV1479" t="s">
        <v>111</v>
      </c>
      <c r="CW1479" t="s">
        <v>111</v>
      </c>
      <c r="CX1479" t="s">
        <v>111</v>
      </c>
      <c r="CY1479">
        <v>0</v>
      </c>
      <c r="CZ1479" t="s">
        <v>111</v>
      </c>
      <c r="DA1479" t="s">
        <v>111</v>
      </c>
      <c r="DB1479" t="s">
        <v>111</v>
      </c>
      <c r="DC1479" t="s">
        <v>111</v>
      </c>
    </row>
    <row r="1480" spans="1:107">
      <c r="A1480">
        <v>1568</v>
      </c>
      <c r="B1480" t="s">
        <v>107</v>
      </c>
      <c r="C1480" t="s">
        <v>2543</v>
      </c>
      <c r="D1480" t="s">
        <v>4094</v>
      </c>
      <c r="E1480" t="s">
        <v>4095</v>
      </c>
      <c r="F1480" t="s">
        <v>1651</v>
      </c>
      <c r="G1480" t="s">
        <v>24</v>
      </c>
      <c r="H1480">
        <v>1.2</v>
      </c>
      <c r="I1480">
        <v>50</v>
      </c>
      <c r="J1480">
        <v>0</v>
      </c>
      <c r="K1480">
        <v>0</v>
      </c>
      <c r="L1480" t="s">
        <v>112</v>
      </c>
      <c r="M1480" t="s">
        <v>118</v>
      </c>
      <c r="N1480">
        <v>40</v>
      </c>
      <c r="O1480">
        <v>1</v>
      </c>
      <c r="P1480" t="s">
        <v>111</v>
      </c>
      <c r="Q1480">
        <v>38.5</v>
      </c>
      <c r="R1480">
        <v>0</v>
      </c>
      <c r="S1480">
        <v>0</v>
      </c>
      <c r="T1480">
        <v>5</v>
      </c>
      <c r="U1480" s="1" t="s">
        <v>662</v>
      </c>
      <c r="V1480">
        <v>0</v>
      </c>
      <c r="W1480">
        <v>0</v>
      </c>
      <c r="X1480">
        <v>0</v>
      </c>
      <c r="Y1480">
        <v>25</v>
      </c>
      <c r="Z1480" t="s">
        <v>111</v>
      </c>
      <c r="AA1480">
        <v>0</v>
      </c>
      <c r="AB1480" t="s">
        <v>111</v>
      </c>
      <c r="AC1480">
        <v>0</v>
      </c>
      <c r="AD1480" t="s">
        <v>416</v>
      </c>
      <c r="AE1480">
        <v>0</v>
      </c>
      <c r="AF1480">
        <v>0</v>
      </c>
      <c r="AG1480" t="s">
        <v>111</v>
      </c>
      <c r="AH1480" t="s">
        <v>113</v>
      </c>
      <c r="AI1480" t="s">
        <v>111</v>
      </c>
      <c r="AJ1480" t="s">
        <v>111</v>
      </c>
      <c r="AK1480" t="s">
        <v>111</v>
      </c>
      <c r="AL1480" t="s">
        <v>111</v>
      </c>
      <c r="AM1480">
        <v>0</v>
      </c>
      <c r="AN1480">
        <v>0</v>
      </c>
      <c r="AO1480">
        <v>0</v>
      </c>
      <c r="AP1480" t="s">
        <v>111</v>
      </c>
      <c r="AQ1480" t="s">
        <v>111</v>
      </c>
      <c r="AR1480" t="s">
        <v>111</v>
      </c>
      <c r="AS1480" t="s">
        <v>111</v>
      </c>
      <c r="AT1480" t="s">
        <v>111</v>
      </c>
      <c r="AU1480" t="s">
        <v>111</v>
      </c>
      <c r="AV1480" t="s">
        <v>111</v>
      </c>
      <c r="AW1480" t="s">
        <v>111</v>
      </c>
      <c r="AX1480" t="s">
        <v>111</v>
      </c>
      <c r="AY1480" t="s">
        <v>111</v>
      </c>
      <c r="AZ1480" t="s">
        <v>111</v>
      </c>
      <c r="BA1480" t="s">
        <v>111</v>
      </c>
      <c r="BB1480" t="s">
        <v>111</v>
      </c>
      <c r="BC1480" t="s">
        <v>111</v>
      </c>
      <c r="BD1480" t="s">
        <v>111</v>
      </c>
      <c r="BE1480" t="s">
        <v>111</v>
      </c>
      <c r="BF1480" t="s">
        <v>111</v>
      </c>
      <c r="BG1480" t="s">
        <v>111</v>
      </c>
      <c r="BH1480" t="s">
        <v>111</v>
      </c>
      <c r="BI1480" t="s">
        <v>111</v>
      </c>
      <c r="BJ1480" t="s">
        <v>111</v>
      </c>
      <c r="BK1480" t="s">
        <v>111</v>
      </c>
      <c r="BL1480" t="s">
        <v>111</v>
      </c>
      <c r="BM1480" t="s">
        <v>111</v>
      </c>
      <c r="BN1480" t="s">
        <v>111</v>
      </c>
      <c r="BO1480" t="s">
        <v>111</v>
      </c>
      <c r="BP1480" t="s">
        <v>111</v>
      </c>
      <c r="BQ1480" t="s">
        <v>111</v>
      </c>
      <c r="BR1480" t="s">
        <v>111</v>
      </c>
      <c r="BS1480" t="s">
        <v>111</v>
      </c>
      <c r="BT1480" t="s">
        <v>111</v>
      </c>
      <c r="BU1480" t="s">
        <v>111</v>
      </c>
      <c r="BV1480" t="s">
        <v>111</v>
      </c>
      <c r="BW1480" t="s">
        <v>111</v>
      </c>
      <c r="BX1480" t="s">
        <v>111</v>
      </c>
      <c r="BY1480" t="s">
        <v>111</v>
      </c>
      <c r="BZ1480" t="s">
        <v>111</v>
      </c>
      <c r="CA1480" t="s">
        <v>111</v>
      </c>
      <c r="CB1480" t="s">
        <v>111</v>
      </c>
      <c r="CC1480" t="s">
        <v>111</v>
      </c>
      <c r="CD1480" t="s">
        <v>111</v>
      </c>
      <c r="CE1480" t="s">
        <v>111</v>
      </c>
      <c r="CF1480" t="s">
        <v>111</v>
      </c>
      <c r="CG1480" t="s">
        <v>111</v>
      </c>
      <c r="CH1480" t="s">
        <v>111</v>
      </c>
      <c r="CI1480" t="s">
        <v>111</v>
      </c>
      <c r="CJ1480" t="s">
        <v>111</v>
      </c>
      <c r="CK1480" t="s">
        <v>111</v>
      </c>
      <c r="CL1480" t="s">
        <v>111</v>
      </c>
      <c r="CM1480" t="s">
        <v>438</v>
      </c>
      <c r="CN1480" t="s">
        <v>113</v>
      </c>
      <c r="CO1480" t="s">
        <v>111</v>
      </c>
      <c r="CP1480" t="e">
        <f>-MUESTRA</f>
        <v>#NAME?</v>
      </c>
      <c r="CQ1480">
        <v>0</v>
      </c>
      <c r="CR1480">
        <v>3000</v>
      </c>
      <c r="CS1480">
        <v>200</v>
      </c>
      <c r="CT1480" t="e">
        <f>-ALMACEN</f>
        <v>#NAME?</v>
      </c>
      <c r="CU1480">
        <v>0</v>
      </c>
      <c r="CV1480" t="s">
        <v>111</v>
      </c>
      <c r="CW1480" t="s">
        <v>111</v>
      </c>
      <c r="CX1480" t="s">
        <v>111</v>
      </c>
      <c r="CY1480">
        <v>0</v>
      </c>
      <c r="CZ1480" t="s">
        <v>111</v>
      </c>
      <c r="DA1480" t="s">
        <v>111</v>
      </c>
      <c r="DB1480" t="s">
        <v>111</v>
      </c>
      <c r="DC1480" t="s">
        <v>111</v>
      </c>
    </row>
    <row r="1481" spans="1:107">
      <c r="A1481">
        <v>1564</v>
      </c>
      <c r="B1481" t="s">
        <v>107</v>
      </c>
      <c r="C1481" t="s">
        <v>119</v>
      </c>
      <c r="D1481" t="s">
        <v>4156</v>
      </c>
      <c r="E1481" t="s">
        <v>4157</v>
      </c>
      <c r="F1481" t="s">
        <v>110</v>
      </c>
      <c r="G1481" t="s">
        <v>24</v>
      </c>
      <c r="H1481">
        <v>1.2</v>
      </c>
      <c r="I1481">
        <v>35</v>
      </c>
      <c r="J1481">
        <v>0</v>
      </c>
      <c r="K1481">
        <v>0</v>
      </c>
      <c r="L1481" t="s">
        <v>112</v>
      </c>
      <c r="M1481" t="s">
        <v>111</v>
      </c>
      <c r="N1481">
        <v>0</v>
      </c>
      <c r="O1481">
        <v>0</v>
      </c>
      <c r="P1481" t="s">
        <v>111</v>
      </c>
      <c r="Q1481">
        <v>30</v>
      </c>
      <c r="R1481">
        <v>0</v>
      </c>
      <c r="S1481">
        <v>0</v>
      </c>
      <c r="T1481">
        <v>5</v>
      </c>
      <c r="U1481" t="e">
        <f>-SELLADO</f>
        <v>#NAME?</v>
      </c>
      <c r="V1481">
        <v>0</v>
      </c>
      <c r="W1481">
        <v>0</v>
      </c>
      <c r="X1481">
        <v>0</v>
      </c>
      <c r="Y1481">
        <v>25</v>
      </c>
      <c r="Z1481" t="s">
        <v>111</v>
      </c>
      <c r="AA1481">
        <v>0</v>
      </c>
      <c r="AB1481" t="s">
        <v>111</v>
      </c>
      <c r="AC1481">
        <v>0</v>
      </c>
      <c r="AD1481" t="s">
        <v>111</v>
      </c>
      <c r="AE1481">
        <v>0</v>
      </c>
      <c r="AF1481">
        <v>0</v>
      </c>
      <c r="AG1481" t="s">
        <v>111</v>
      </c>
      <c r="AH1481" t="s">
        <v>111</v>
      </c>
      <c r="AI1481" t="s">
        <v>111</v>
      </c>
      <c r="AJ1481" t="s">
        <v>111</v>
      </c>
      <c r="AK1481" t="s">
        <v>111</v>
      </c>
      <c r="AL1481" t="s">
        <v>111</v>
      </c>
      <c r="AM1481">
        <v>0</v>
      </c>
      <c r="AN1481">
        <v>0</v>
      </c>
      <c r="AO1481">
        <v>0</v>
      </c>
      <c r="AP1481" t="s">
        <v>111</v>
      </c>
      <c r="AQ1481" t="s">
        <v>111</v>
      </c>
      <c r="AR1481" t="s">
        <v>111</v>
      </c>
      <c r="AS1481" t="s">
        <v>111</v>
      </c>
      <c r="AT1481" t="s">
        <v>111</v>
      </c>
      <c r="AU1481" t="s">
        <v>111</v>
      </c>
      <c r="AV1481" t="s">
        <v>111</v>
      </c>
      <c r="AW1481" t="s">
        <v>111</v>
      </c>
      <c r="AX1481" t="s">
        <v>111</v>
      </c>
      <c r="AY1481" t="s">
        <v>111</v>
      </c>
      <c r="AZ1481" t="s">
        <v>111</v>
      </c>
      <c r="BA1481" t="s">
        <v>111</v>
      </c>
      <c r="BB1481" t="s">
        <v>111</v>
      </c>
      <c r="BC1481" t="s">
        <v>111</v>
      </c>
      <c r="BD1481" t="s">
        <v>111</v>
      </c>
      <c r="BE1481" t="s">
        <v>111</v>
      </c>
      <c r="BF1481" t="s">
        <v>111</v>
      </c>
      <c r="BG1481" t="s">
        <v>111</v>
      </c>
      <c r="BH1481" t="s">
        <v>111</v>
      </c>
      <c r="BI1481" t="s">
        <v>111</v>
      </c>
      <c r="BJ1481" t="s">
        <v>111</v>
      </c>
      <c r="BK1481" t="s">
        <v>111</v>
      </c>
      <c r="BL1481" t="s">
        <v>111</v>
      </c>
      <c r="BM1481" t="s">
        <v>111</v>
      </c>
      <c r="BN1481" t="s">
        <v>111</v>
      </c>
      <c r="BO1481" t="s">
        <v>111</v>
      </c>
      <c r="BP1481" t="s">
        <v>111</v>
      </c>
      <c r="BQ1481" t="s">
        <v>111</v>
      </c>
      <c r="BR1481" t="s">
        <v>111</v>
      </c>
      <c r="BS1481" t="s">
        <v>111</v>
      </c>
      <c r="BT1481" t="s">
        <v>111</v>
      </c>
      <c r="BU1481" t="s">
        <v>111</v>
      </c>
      <c r="BV1481" t="s">
        <v>111</v>
      </c>
      <c r="BW1481" t="s">
        <v>111</v>
      </c>
      <c r="BX1481" t="s">
        <v>111</v>
      </c>
      <c r="BY1481" t="s">
        <v>111</v>
      </c>
      <c r="BZ1481" t="s">
        <v>111</v>
      </c>
      <c r="CA1481" t="s">
        <v>111</v>
      </c>
      <c r="CB1481" t="s">
        <v>111</v>
      </c>
      <c r="CC1481" t="s">
        <v>111</v>
      </c>
      <c r="CD1481" t="s">
        <v>111</v>
      </c>
      <c r="CE1481" t="s">
        <v>111</v>
      </c>
      <c r="CF1481" t="s">
        <v>111</v>
      </c>
      <c r="CG1481" t="s">
        <v>111</v>
      </c>
      <c r="CH1481" t="s">
        <v>111</v>
      </c>
      <c r="CI1481" t="s">
        <v>111</v>
      </c>
      <c r="CJ1481" t="s">
        <v>111</v>
      </c>
      <c r="CK1481" t="s">
        <v>111</v>
      </c>
      <c r="CL1481" t="s">
        <v>111</v>
      </c>
      <c r="CM1481" t="s">
        <v>135</v>
      </c>
      <c r="CN1481" t="s">
        <v>113</v>
      </c>
      <c r="CO1481" t="s">
        <v>111</v>
      </c>
      <c r="CP1481" t="s">
        <v>111</v>
      </c>
      <c r="CQ1481">
        <v>0</v>
      </c>
      <c r="CR1481">
        <v>0</v>
      </c>
      <c r="CS1481">
        <v>250</v>
      </c>
      <c r="CT1481" t="e">
        <f>-ALMACEN</f>
        <v>#NAME?</v>
      </c>
      <c r="CU1481">
        <v>0</v>
      </c>
      <c r="CV1481" t="s">
        <v>111</v>
      </c>
      <c r="CW1481" t="s">
        <v>111</v>
      </c>
      <c r="CX1481" t="s">
        <v>111</v>
      </c>
      <c r="CY1481">
        <v>0</v>
      </c>
      <c r="CZ1481" t="s">
        <v>111</v>
      </c>
      <c r="DA1481" t="s">
        <v>111</v>
      </c>
      <c r="DB1481" t="s">
        <v>111</v>
      </c>
      <c r="DC1481" t="s">
        <v>111</v>
      </c>
    </row>
    <row r="1482" spans="1:107">
      <c r="A1482">
        <v>1563</v>
      </c>
      <c r="B1482" t="s">
        <v>107</v>
      </c>
      <c r="C1482" t="s">
        <v>4158</v>
      </c>
      <c r="D1482" t="s">
        <v>4159</v>
      </c>
      <c r="E1482" t="s">
        <v>4160</v>
      </c>
      <c r="F1482" t="s">
        <v>1651</v>
      </c>
      <c r="G1482" t="s">
        <v>24</v>
      </c>
      <c r="H1482">
        <v>2.8</v>
      </c>
      <c r="I1482">
        <v>28</v>
      </c>
      <c r="J1482">
        <v>0</v>
      </c>
      <c r="K1482">
        <v>0</v>
      </c>
      <c r="L1482" t="s">
        <v>117</v>
      </c>
      <c r="M1482" t="s">
        <v>118</v>
      </c>
      <c r="N1482">
        <v>39</v>
      </c>
      <c r="O1482">
        <v>1</v>
      </c>
      <c r="P1482" t="s">
        <v>111</v>
      </c>
      <c r="Q1482">
        <v>28.7</v>
      </c>
      <c r="R1482">
        <v>0</v>
      </c>
      <c r="S1482">
        <v>0</v>
      </c>
      <c r="T1482">
        <v>5</v>
      </c>
      <c r="U1482" s="1" t="s">
        <v>4161</v>
      </c>
      <c r="V1482">
        <v>0</v>
      </c>
      <c r="W1482">
        <v>0</v>
      </c>
      <c r="X1482">
        <v>0</v>
      </c>
      <c r="Y1482">
        <v>25</v>
      </c>
      <c r="Z1482" t="s">
        <v>111</v>
      </c>
      <c r="AA1482">
        <v>0</v>
      </c>
      <c r="AB1482" t="s">
        <v>111</v>
      </c>
      <c r="AC1482">
        <v>0</v>
      </c>
      <c r="AD1482" t="s">
        <v>416</v>
      </c>
      <c r="AE1482">
        <v>0</v>
      </c>
      <c r="AF1482">
        <v>0</v>
      </c>
      <c r="AG1482" t="s">
        <v>111</v>
      </c>
      <c r="AH1482" t="s">
        <v>113</v>
      </c>
      <c r="AI1482" t="s">
        <v>111</v>
      </c>
      <c r="AJ1482" t="s">
        <v>111</v>
      </c>
      <c r="AK1482" t="s">
        <v>111</v>
      </c>
      <c r="AL1482" t="s">
        <v>111</v>
      </c>
      <c r="AM1482">
        <v>0</v>
      </c>
      <c r="AN1482">
        <v>0</v>
      </c>
      <c r="AO1482">
        <v>0</v>
      </c>
      <c r="AP1482" t="s">
        <v>111</v>
      </c>
      <c r="AQ1482" t="s">
        <v>111</v>
      </c>
      <c r="AR1482" t="s">
        <v>111</v>
      </c>
      <c r="AS1482" t="s">
        <v>111</v>
      </c>
      <c r="AT1482" t="s">
        <v>111</v>
      </c>
      <c r="AU1482" t="s">
        <v>111</v>
      </c>
      <c r="AV1482" t="s">
        <v>111</v>
      </c>
      <c r="AW1482" t="s">
        <v>111</v>
      </c>
      <c r="AX1482" t="s">
        <v>111</v>
      </c>
      <c r="AY1482" t="s">
        <v>111</v>
      </c>
      <c r="AZ1482" t="s">
        <v>111</v>
      </c>
      <c r="BA1482" t="s">
        <v>111</v>
      </c>
      <c r="BB1482" t="s">
        <v>111</v>
      </c>
      <c r="BC1482" t="s">
        <v>111</v>
      </c>
      <c r="BD1482" t="s">
        <v>111</v>
      </c>
      <c r="BE1482" t="s">
        <v>111</v>
      </c>
      <c r="BF1482" t="s">
        <v>111</v>
      </c>
      <c r="BG1482" t="s">
        <v>111</v>
      </c>
      <c r="BH1482" t="s">
        <v>111</v>
      </c>
      <c r="BI1482" t="s">
        <v>111</v>
      </c>
      <c r="BJ1482" t="s">
        <v>111</v>
      </c>
      <c r="BK1482" t="s">
        <v>111</v>
      </c>
      <c r="BL1482" t="s">
        <v>111</v>
      </c>
      <c r="BM1482" t="s">
        <v>111</v>
      </c>
      <c r="BN1482" t="s">
        <v>111</v>
      </c>
      <c r="BO1482" t="s">
        <v>111</v>
      </c>
      <c r="BP1482" t="s">
        <v>111</v>
      </c>
      <c r="BQ1482" t="s">
        <v>111</v>
      </c>
      <c r="BR1482" t="s">
        <v>111</v>
      </c>
      <c r="BS1482" t="s">
        <v>111</v>
      </c>
      <c r="BT1482" t="s">
        <v>111</v>
      </c>
      <c r="BU1482" t="s">
        <v>111</v>
      </c>
      <c r="BV1482" t="s">
        <v>111</v>
      </c>
      <c r="BW1482" t="s">
        <v>111</v>
      </c>
      <c r="BX1482" t="s">
        <v>111</v>
      </c>
      <c r="BY1482" t="s">
        <v>111</v>
      </c>
      <c r="BZ1482" t="s">
        <v>111</v>
      </c>
      <c r="CA1482" t="s">
        <v>111</v>
      </c>
      <c r="CB1482" t="s">
        <v>111</v>
      </c>
      <c r="CC1482" t="s">
        <v>111</v>
      </c>
      <c r="CD1482" t="s">
        <v>111</v>
      </c>
      <c r="CE1482" t="s">
        <v>111</v>
      </c>
      <c r="CF1482" t="s">
        <v>111</v>
      </c>
      <c r="CG1482" t="s">
        <v>111</v>
      </c>
      <c r="CH1482" t="s">
        <v>111</v>
      </c>
      <c r="CI1482" t="s">
        <v>111</v>
      </c>
      <c r="CJ1482" t="s">
        <v>111</v>
      </c>
      <c r="CK1482" t="s">
        <v>111</v>
      </c>
      <c r="CL1482" t="s">
        <v>111</v>
      </c>
      <c r="CM1482">
        <v>450</v>
      </c>
      <c r="CN1482" t="s">
        <v>113</v>
      </c>
      <c r="CO1482" t="s">
        <v>111</v>
      </c>
      <c r="CP1482" t="s">
        <v>111</v>
      </c>
      <c r="CQ1482">
        <v>0</v>
      </c>
      <c r="CR1482">
        <v>1500</v>
      </c>
      <c r="CS1482">
        <v>200</v>
      </c>
      <c r="CT1482" t="s">
        <v>4162</v>
      </c>
      <c r="CU1482">
        <v>0</v>
      </c>
      <c r="CV1482" t="s">
        <v>111</v>
      </c>
      <c r="CW1482" t="s">
        <v>111</v>
      </c>
      <c r="CX1482" t="s">
        <v>111</v>
      </c>
      <c r="CY1482">
        <v>0</v>
      </c>
      <c r="CZ1482" t="s">
        <v>111</v>
      </c>
      <c r="DA1482" t="s">
        <v>111</v>
      </c>
      <c r="DB1482" t="s">
        <v>111</v>
      </c>
      <c r="DC1482" t="s">
        <v>111</v>
      </c>
    </row>
    <row r="1483" spans="1:107">
      <c r="A1483">
        <v>1560</v>
      </c>
      <c r="B1483" t="s">
        <v>107</v>
      </c>
      <c r="C1483" t="s">
        <v>4158</v>
      </c>
      <c r="D1483" t="s">
        <v>4163</v>
      </c>
      <c r="E1483" t="s">
        <v>4164</v>
      </c>
      <c r="F1483" t="s">
        <v>1651</v>
      </c>
      <c r="G1483" t="s">
        <v>24</v>
      </c>
      <c r="H1483">
        <v>2.7</v>
      </c>
      <c r="I1483">
        <v>34</v>
      </c>
      <c r="J1483">
        <v>0</v>
      </c>
      <c r="K1483">
        <v>0</v>
      </c>
      <c r="L1483" t="s">
        <v>117</v>
      </c>
      <c r="M1483" t="s">
        <v>118</v>
      </c>
      <c r="N1483">
        <v>40</v>
      </c>
      <c r="O1483">
        <v>1</v>
      </c>
      <c r="P1483" t="s">
        <v>111</v>
      </c>
      <c r="Q1483">
        <v>26</v>
      </c>
      <c r="R1483">
        <v>0</v>
      </c>
      <c r="S1483">
        <v>0</v>
      </c>
      <c r="T1483">
        <v>5</v>
      </c>
      <c r="U1483" s="1" t="s">
        <v>662</v>
      </c>
      <c r="V1483">
        <v>0</v>
      </c>
      <c r="W1483">
        <v>0</v>
      </c>
      <c r="X1483">
        <v>0</v>
      </c>
      <c r="Y1483">
        <v>25</v>
      </c>
      <c r="Z1483" t="s">
        <v>111</v>
      </c>
      <c r="AA1483">
        <v>0</v>
      </c>
      <c r="AB1483" t="s">
        <v>3954</v>
      </c>
      <c r="AC1483">
        <v>3</v>
      </c>
      <c r="AD1483" t="s">
        <v>416</v>
      </c>
      <c r="AE1483">
        <v>0</v>
      </c>
      <c r="AF1483">
        <v>0</v>
      </c>
      <c r="AG1483" t="s">
        <v>111</v>
      </c>
      <c r="AH1483" t="s">
        <v>113</v>
      </c>
      <c r="AI1483" t="s">
        <v>111</v>
      </c>
      <c r="AJ1483" t="s">
        <v>111</v>
      </c>
      <c r="AK1483" t="s">
        <v>111</v>
      </c>
      <c r="AL1483" t="s">
        <v>111</v>
      </c>
      <c r="AM1483">
        <v>0</v>
      </c>
      <c r="AN1483">
        <v>0</v>
      </c>
      <c r="AO1483">
        <v>0</v>
      </c>
      <c r="AP1483" t="s">
        <v>111</v>
      </c>
      <c r="AQ1483" t="s">
        <v>111</v>
      </c>
      <c r="AR1483" t="s">
        <v>111</v>
      </c>
      <c r="AS1483" t="s">
        <v>111</v>
      </c>
      <c r="AT1483" t="s">
        <v>111</v>
      </c>
      <c r="AU1483" t="s">
        <v>111</v>
      </c>
      <c r="AV1483" t="s">
        <v>111</v>
      </c>
      <c r="AW1483" t="s">
        <v>111</v>
      </c>
      <c r="AX1483" t="s">
        <v>111</v>
      </c>
      <c r="AY1483" t="s">
        <v>111</v>
      </c>
      <c r="AZ1483" t="s">
        <v>111</v>
      </c>
      <c r="BA1483" t="s">
        <v>111</v>
      </c>
      <c r="BB1483" t="s">
        <v>111</v>
      </c>
      <c r="BC1483" t="s">
        <v>111</v>
      </c>
      <c r="BD1483" t="s">
        <v>111</v>
      </c>
      <c r="BE1483" t="s">
        <v>111</v>
      </c>
      <c r="BF1483" t="s">
        <v>111</v>
      </c>
      <c r="BG1483" t="s">
        <v>111</v>
      </c>
      <c r="BH1483" t="s">
        <v>111</v>
      </c>
      <c r="BI1483" t="s">
        <v>111</v>
      </c>
      <c r="BJ1483" t="s">
        <v>111</v>
      </c>
      <c r="BK1483" t="s">
        <v>111</v>
      </c>
      <c r="BL1483" t="s">
        <v>111</v>
      </c>
      <c r="BM1483" t="s">
        <v>111</v>
      </c>
      <c r="BN1483" t="s">
        <v>111</v>
      </c>
      <c r="BO1483" t="s">
        <v>111</v>
      </c>
      <c r="BP1483" t="s">
        <v>111</v>
      </c>
      <c r="BQ1483" t="s">
        <v>111</v>
      </c>
      <c r="BR1483" t="s">
        <v>111</v>
      </c>
      <c r="BS1483" t="s">
        <v>111</v>
      </c>
      <c r="BT1483" t="s">
        <v>111</v>
      </c>
      <c r="BU1483" t="s">
        <v>111</v>
      </c>
      <c r="BV1483" t="s">
        <v>111</v>
      </c>
      <c r="BW1483" t="s">
        <v>111</v>
      </c>
      <c r="BX1483" t="s">
        <v>111</v>
      </c>
      <c r="BY1483" t="s">
        <v>111</v>
      </c>
      <c r="BZ1483" t="s">
        <v>111</v>
      </c>
      <c r="CA1483" t="s">
        <v>111</v>
      </c>
      <c r="CB1483" t="s">
        <v>111</v>
      </c>
      <c r="CC1483" t="s">
        <v>111</v>
      </c>
      <c r="CD1483" t="s">
        <v>111</v>
      </c>
      <c r="CE1483" t="s">
        <v>111</v>
      </c>
      <c r="CF1483" t="s">
        <v>111</v>
      </c>
      <c r="CG1483" t="s">
        <v>111</v>
      </c>
      <c r="CH1483" t="s">
        <v>111</v>
      </c>
      <c r="CI1483" t="s">
        <v>111</v>
      </c>
      <c r="CJ1483" t="s">
        <v>111</v>
      </c>
      <c r="CK1483" t="s">
        <v>111</v>
      </c>
      <c r="CL1483" t="s">
        <v>111</v>
      </c>
      <c r="CM1483">
        <v>450</v>
      </c>
      <c r="CN1483" t="s">
        <v>113</v>
      </c>
      <c r="CO1483" t="s">
        <v>111</v>
      </c>
      <c r="CP1483" t="s">
        <v>111</v>
      </c>
      <c r="CQ1483">
        <v>0</v>
      </c>
      <c r="CR1483">
        <v>8000</v>
      </c>
      <c r="CS1483">
        <v>200</v>
      </c>
      <c r="CT1483" t="e">
        <f>-ALMACEN</f>
        <v>#NAME?</v>
      </c>
      <c r="CU1483">
        <v>0</v>
      </c>
      <c r="CV1483" t="s">
        <v>111</v>
      </c>
      <c r="CW1483" t="s">
        <v>111</v>
      </c>
      <c r="CX1483" t="s">
        <v>111</v>
      </c>
      <c r="CY1483">
        <v>0</v>
      </c>
      <c r="CZ1483" t="s">
        <v>111</v>
      </c>
      <c r="DA1483" t="s">
        <v>111</v>
      </c>
      <c r="DB1483" t="s">
        <v>111</v>
      </c>
      <c r="DC1483" t="s">
        <v>111</v>
      </c>
    </row>
    <row r="1484" spans="1:107">
      <c r="A1484">
        <v>1558</v>
      </c>
      <c r="B1484" t="s">
        <v>107</v>
      </c>
      <c r="C1484" t="s">
        <v>4165</v>
      </c>
      <c r="D1484" t="s">
        <v>4166</v>
      </c>
      <c r="E1484" t="s">
        <v>4167</v>
      </c>
      <c r="F1484" t="s">
        <v>110</v>
      </c>
      <c r="G1484" t="s">
        <v>24</v>
      </c>
      <c r="H1484">
        <v>1.4</v>
      </c>
      <c r="I1484">
        <v>35</v>
      </c>
      <c r="J1484">
        <v>0</v>
      </c>
      <c r="K1484">
        <v>0</v>
      </c>
      <c r="L1484" t="s">
        <v>112</v>
      </c>
      <c r="M1484" t="s">
        <v>118</v>
      </c>
      <c r="N1484">
        <v>39</v>
      </c>
      <c r="O1484">
        <v>1</v>
      </c>
      <c r="P1484" t="s">
        <v>111</v>
      </c>
      <c r="Q1484">
        <v>32.6</v>
      </c>
      <c r="R1484">
        <v>0</v>
      </c>
      <c r="S1484">
        <v>0</v>
      </c>
      <c r="T1484">
        <v>0</v>
      </c>
      <c r="U1484" s="1" t="s">
        <v>4168</v>
      </c>
      <c r="V1484">
        <v>0</v>
      </c>
      <c r="W1484">
        <v>0</v>
      </c>
      <c r="X1484">
        <v>0</v>
      </c>
      <c r="Y1484">
        <v>25</v>
      </c>
      <c r="Z1484" t="s">
        <v>111</v>
      </c>
      <c r="AA1484">
        <v>0</v>
      </c>
      <c r="AB1484" t="s">
        <v>111</v>
      </c>
      <c r="AC1484">
        <v>0</v>
      </c>
      <c r="AD1484" t="s">
        <v>111</v>
      </c>
      <c r="AE1484">
        <v>0</v>
      </c>
      <c r="AF1484">
        <v>0</v>
      </c>
      <c r="AG1484" t="s">
        <v>111</v>
      </c>
      <c r="AH1484" t="s">
        <v>111</v>
      </c>
      <c r="AI1484" t="s">
        <v>111</v>
      </c>
      <c r="AJ1484" t="s">
        <v>111</v>
      </c>
      <c r="AK1484" t="s">
        <v>111</v>
      </c>
      <c r="AL1484" t="s">
        <v>111</v>
      </c>
      <c r="AM1484">
        <v>0</v>
      </c>
      <c r="AN1484">
        <v>0</v>
      </c>
      <c r="AO1484">
        <v>0</v>
      </c>
      <c r="AP1484" t="s">
        <v>111</v>
      </c>
      <c r="AQ1484" t="s">
        <v>111</v>
      </c>
      <c r="AR1484" t="s">
        <v>111</v>
      </c>
      <c r="AS1484" t="s">
        <v>111</v>
      </c>
      <c r="AT1484" t="s">
        <v>111</v>
      </c>
      <c r="AU1484" t="s">
        <v>111</v>
      </c>
      <c r="AV1484" t="s">
        <v>111</v>
      </c>
      <c r="AW1484" t="s">
        <v>111</v>
      </c>
      <c r="AX1484" t="s">
        <v>111</v>
      </c>
      <c r="AY1484" t="s">
        <v>111</v>
      </c>
      <c r="AZ1484" t="s">
        <v>111</v>
      </c>
      <c r="BA1484" t="s">
        <v>111</v>
      </c>
      <c r="BB1484" t="s">
        <v>111</v>
      </c>
      <c r="BC1484" t="s">
        <v>111</v>
      </c>
      <c r="BD1484" t="s">
        <v>111</v>
      </c>
      <c r="BE1484" t="s">
        <v>111</v>
      </c>
      <c r="BF1484" t="s">
        <v>111</v>
      </c>
      <c r="BG1484" t="s">
        <v>111</v>
      </c>
      <c r="BH1484" t="s">
        <v>111</v>
      </c>
      <c r="BI1484" t="s">
        <v>111</v>
      </c>
      <c r="BJ1484" t="s">
        <v>111</v>
      </c>
      <c r="BK1484" t="s">
        <v>111</v>
      </c>
      <c r="BL1484" t="s">
        <v>111</v>
      </c>
      <c r="BM1484" t="s">
        <v>111</v>
      </c>
      <c r="BN1484" t="s">
        <v>111</v>
      </c>
      <c r="BO1484" t="s">
        <v>111</v>
      </c>
      <c r="BP1484" t="s">
        <v>111</v>
      </c>
      <c r="BQ1484" t="s">
        <v>111</v>
      </c>
      <c r="BR1484" t="s">
        <v>111</v>
      </c>
      <c r="BS1484" t="s">
        <v>111</v>
      </c>
      <c r="BT1484" t="s">
        <v>111</v>
      </c>
      <c r="BU1484" t="s">
        <v>111</v>
      </c>
      <c r="BV1484" t="s">
        <v>111</v>
      </c>
      <c r="BW1484" t="s">
        <v>111</v>
      </c>
      <c r="BX1484" t="s">
        <v>111</v>
      </c>
      <c r="BY1484" t="s">
        <v>111</v>
      </c>
      <c r="BZ1484" t="s">
        <v>111</v>
      </c>
      <c r="CA1484" t="s">
        <v>111</v>
      </c>
      <c r="CB1484" t="s">
        <v>111</v>
      </c>
      <c r="CC1484" t="s">
        <v>111</v>
      </c>
      <c r="CD1484" t="s">
        <v>111</v>
      </c>
      <c r="CE1484" t="s">
        <v>111</v>
      </c>
      <c r="CF1484" t="s">
        <v>111</v>
      </c>
      <c r="CG1484" t="s">
        <v>111</v>
      </c>
      <c r="CH1484" t="s">
        <v>111</v>
      </c>
      <c r="CI1484" t="s">
        <v>111</v>
      </c>
      <c r="CJ1484" t="s">
        <v>111</v>
      </c>
      <c r="CK1484" t="s">
        <v>111</v>
      </c>
      <c r="CL1484" t="s">
        <v>111</v>
      </c>
      <c r="CM1484" t="s">
        <v>111</v>
      </c>
      <c r="CN1484" t="s">
        <v>111</v>
      </c>
      <c r="CO1484" t="s">
        <v>111</v>
      </c>
      <c r="CP1484" t="s">
        <v>111</v>
      </c>
      <c r="CQ1484">
        <v>0</v>
      </c>
      <c r="CR1484">
        <v>0</v>
      </c>
      <c r="CS1484">
        <v>0</v>
      </c>
      <c r="CT1484" t="s">
        <v>111</v>
      </c>
      <c r="CU1484">
        <v>0</v>
      </c>
      <c r="CV1484" t="s">
        <v>111</v>
      </c>
      <c r="CW1484" t="s">
        <v>111</v>
      </c>
      <c r="CX1484" t="s">
        <v>111</v>
      </c>
      <c r="CY1484">
        <v>0</v>
      </c>
      <c r="CZ1484" t="s">
        <v>111</v>
      </c>
      <c r="DA1484" t="s">
        <v>111</v>
      </c>
      <c r="DB1484" t="s">
        <v>111</v>
      </c>
      <c r="DC1484" t="s">
        <v>111</v>
      </c>
    </row>
    <row r="1485" spans="1:107">
      <c r="A1485">
        <v>1557</v>
      </c>
      <c r="B1485" t="s">
        <v>107</v>
      </c>
      <c r="C1485" t="s">
        <v>3783</v>
      </c>
      <c r="D1485" t="s">
        <v>3960</v>
      </c>
      <c r="E1485" t="s">
        <v>4169</v>
      </c>
      <c r="F1485" t="s">
        <v>1260</v>
      </c>
      <c r="G1485" t="s">
        <v>24</v>
      </c>
      <c r="H1485">
        <v>1.9</v>
      </c>
      <c r="I1485">
        <v>40</v>
      </c>
      <c r="J1485">
        <v>0</v>
      </c>
      <c r="K1485">
        <v>0</v>
      </c>
      <c r="L1485" t="s">
        <v>117</v>
      </c>
      <c r="M1485" t="s">
        <v>118</v>
      </c>
      <c r="N1485">
        <v>39</v>
      </c>
      <c r="O1485">
        <v>1</v>
      </c>
      <c r="P1485" t="s">
        <v>111</v>
      </c>
      <c r="Q1485">
        <v>28.7</v>
      </c>
      <c r="R1485">
        <v>0</v>
      </c>
      <c r="S1485">
        <v>0</v>
      </c>
      <c r="T1485">
        <v>5</v>
      </c>
      <c r="U1485" s="1" t="s">
        <v>734</v>
      </c>
      <c r="V1485">
        <v>0</v>
      </c>
      <c r="W1485">
        <v>0</v>
      </c>
      <c r="X1485">
        <v>0</v>
      </c>
      <c r="Y1485">
        <v>25</v>
      </c>
      <c r="Z1485" t="s">
        <v>111</v>
      </c>
      <c r="AA1485">
        <v>0</v>
      </c>
      <c r="AB1485" t="s">
        <v>111</v>
      </c>
      <c r="AC1485">
        <v>0</v>
      </c>
      <c r="AD1485" t="s">
        <v>416</v>
      </c>
      <c r="AE1485">
        <v>0</v>
      </c>
      <c r="AF1485">
        <v>0</v>
      </c>
      <c r="AG1485" t="s">
        <v>111</v>
      </c>
      <c r="AH1485" t="s">
        <v>113</v>
      </c>
      <c r="AI1485" t="s">
        <v>111</v>
      </c>
      <c r="AJ1485" t="s">
        <v>111</v>
      </c>
      <c r="AK1485" t="s">
        <v>111</v>
      </c>
      <c r="AL1485" t="s">
        <v>111</v>
      </c>
      <c r="AM1485">
        <v>0</v>
      </c>
      <c r="AN1485">
        <v>0</v>
      </c>
      <c r="AO1485">
        <v>0</v>
      </c>
      <c r="AP1485" t="s">
        <v>111</v>
      </c>
      <c r="AQ1485" t="s">
        <v>111</v>
      </c>
      <c r="AR1485" t="s">
        <v>111</v>
      </c>
      <c r="AS1485" t="s">
        <v>111</v>
      </c>
      <c r="AT1485" t="s">
        <v>111</v>
      </c>
      <c r="AU1485" t="s">
        <v>111</v>
      </c>
      <c r="AV1485" t="s">
        <v>111</v>
      </c>
      <c r="AW1485" t="s">
        <v>111</v>
      </c>
      <c r="AX1485" t="s">
        <v>111</v>
      </c>
      <c r="AY1485" t="s">
        <v>111</v>
      </c>
      <c r="AZ1485" t="s">
        <v>111</v>
      </c>
      <c r="BA1485" t="s">
        <v>111</v>
      </c>
      <c r="BB1485" t="s">
        <v>111</v>
      </c>
      <c r="BC1485" t="s">
        <v>111</v>
      </c>
      <c r="BD1485" t="s">
        <v>111</v>
      </c>
      <c r="BE1485" t="s">
        <v>111</v>
      </c>
      <c r="BF1485" t="s">
        <v>111</v>
      </c>
      <c r="BG1485" t="s">
        <v>111</v>
      </c>
      <c r="BH1485" t="s">
        <v>111</v>
      </c>
      <c r="BI1485" t="s">
        <v>111</v>
      </c>
      <c r="BJ1485" t="s">
        <v>111</v>
      </c>
      <c r="BK1485" t="s">
        <v>111</v>
      </c>
      <c r="BL1485" t="s">
        <v>111</v>
      </c>
      <c r="BM1485" t="s">
        <v>111</v>
      </c>
      <c r="BN1485" t="s">
        <v>111</v>
      </c>
      <c r="BO1485" t="s">
        <v>111</v>
      </c>
      <c r="BP1485" t="s">
        <v>111</v>
      </c>
      <c r="BQ1485" t="s">
        <v>111</v>
      </c>
      <c r="BR1485" t="s">
        <v>111</v>
      </c>
      <c r="BS1485" t="s">
        <v>111</v>
      </c>
      <c r="BT1485" t="s">
        <v>111</v>
      </c>
      <c r="BU1485" t="s">
        <v>111</v>
      </c>
      <c r="BV1485" t="s">
        <v>111</v>
      </c>
      <c r="BW1485" t="s">
        <v>111</v>
      </c>
      <c r="BX1485" t="s">
        <v>111</v>
      </c>
      <c r="BY1485" t="s">
        <v>111</v>
      </c>
      <c r="BZ1485" t="s">
        <v>111</v>
      </c>
      <c r="CA1485" t="s">
        <v>111</v>
      </c>
      <c r="CB1485" t="s">
        <v>111</v>
      </c>
      <c r="CC1485" t="s">
        <v>111</v>
      </c>
      <c r="CD1485" t="s">
        <v>111</v>
      </c>
      <c r="CE1485" t="s">
        <v>111</v>
      </c>
      <c r="CF1485" t="s">
        <v>111</v>
      </c>
      <c r="CG1485" t="s">
        <v>111</v>
      </c>
      <c r="CH1485" t="s">
        <v>111</v>
      </c>
      <c r="CI1485" t="s">
        <v>111</v>
      </c>
      <c r="CJ1485" t="s">
        <v>111</v>
      </c>
      <c r="CK1485" t="s">
        <v>111</v>
      </c>
      <c r="CL1485" t="s">
        <v>111</v>
      </c>
      <c r="CM1485">
        <v>450</v>
      </c>
      <c r="CN1485" t="s">
        <v>113</v>
      </c>
      <c r="CO1485" t="s">
        <v>111</v>
      </c>
      <c r="CP1485" t="e">
        <f>-MUESTRA</f>
        <v>#NAME?</v>
      </c>
      <c r="CQ1485">
        <v>0</v>
      </c>
      <c r="CR1485">
        <v>26000</v>
      </c>
      <c r="CS1485">
        <v>26000</v>
      </c>
      <c r="CT1485" t="e">
        <f>-ALMACEN</f>
        <v>#NAME?</v>
      </c>
      <c r="CU1485">
        <v>0</v>
      </c>
      <c r="CV1485" t="s">
        <v>111</v>
      </c>
      <c r="CW1485" t="s">
        <v>111</v>
      </c>
      <c r="CX1485" t="s">
        <v>111</v>
      </c>
      <c r="CY1485">
        <v>0</v>
      </c>
      <c r="CZ1485" t="s">
        <v>111</v>
      </c>
      <c r="DA1485" t="s">
        <v>111</v>
      </c>
      <c r="DB1485" t="s">
        <v>111</v>
      </c>
      <c r="DC1485" t="s">
        <v>111</v>
      </c>
    </row>
    <row r="1486" spans="1:107">
      <c r="A1486">
        <v>1553</v>
      </c>
      <c r="B1486" t="s">
        <v>107</v>
      </c>
      <c r="C1486" t="s">
        <v>1643</v>
      </c>
      <c r="D1486" t="s">
        <v>4170</v>
      </c>
      <c r="E1486" t="s">
        <v>4171</v>
      </c>
      <c r="F1486" t="s">
        <v>2211</v>
      </c>
      <c r="G1486" t="s">
        <v>24</v>
      </c>
      <c r="H1486">
        <v>1.8</v>
      </c>
      <c r="I1486">
        <v>30</v>
      </c>
      <c r="J1486">
        <v>0</v>
      </c>
      <c r="K1486">
        <v>0</v>
      </c>
      <c r="L1486" t="s">
        <v>117</v>
      </c>
      <c r="M1486" t="s">
        <v>111</v>
      </c>
      <c r="N1486">
        <v>0</v>
      </c>
      <c r="O1486">
        <v>0</v>
      </c>
      <c r="P1486" t="s">
        <v>111</v>
      </c>
      <c r="Q1486">
        <v>33.299999999999997</v>
      </c>
      <c r="R1486">
        <v>0</v>
      </c>
      <c r="S1486">
        <v>0</v>
      </c>
      <c r="T1486">
        <v>0</v>
      </c>
      <c r="U1486" s="1" t="s">
        <v>4172</v>
      </c>
      <c r="V1486">
        <v>0</v>
      </c>
      <c r="W1486">
        <v>0</v>
      </c>
      <c r="X1486">
        <v>0</v>
      </c>
      <c r="Y1486">
        <v>25</v>
      </c>
      <c r="Z1486" t="s">
        <v>111</v>
      </c>
      <c r="AA1486">
        <v>0</v>
      </c>
      <c r="AB1486" t="s">
        <v>4173</v>
      </c>
      <c r="AC1486">
        <v>0.4</v>
      </c>
      <c r="AD1486" t="s">
        <v>111</v>
      </c>
      <c r="AE1486">
        <v>0</v>
      </c>
      <c r="AF1486">
        <v>0</v>
      </c>
      <c r="AG1486" t="s">
        <v>111</v>
      </c>
      <c r="AH1486" t="s">
        <v>111</v>
      </c>
      <c r="AI1486" t="s">
        <v>111</v>
      </c>
      <c r="AJ1486" t="s">
        <v>111</v>
      </c>
      <c r="AK1486" t="s">
        <v>111</v>
      </c>
      <c r="AL1486" t="s">
        <v>111</v>
      </c>
      <c r="AM1486">
        <v>0</v>
      </c>
      <c r="AN1486">
        <v>0</v>
      </c>
      <c r="AO1486">
        <v>0</v>
      </c>
      <c r="AP1486" t="s">
        <v>111</v>
      </c>
      <c r="AQ1486" t="s">
        <v>111</v>
      </c>
      <c r="AR1486" t="s">
        <v>111</v>
      </c>
      <c r="AS1486" t="s">
        <v>111</v>
      </c>
      <c r="AT1486" t="s">
        <v>111</v>
      </c>
      <c r="AU1486" t="s">
        <v>111</v>
      </c>
      <c r="AV1486" t="s">
        <v>111</v>
      </c>
      <c r="AW1486" t="s">
        <v>111</v>
      </c>
      <c r="AX1486" t="s">
        <v>111</v>
      </c>
      <c r="AY1486" t="s">
        <v>111</v>
      </c>
      <c r="AZ1486" t="s">
        <v>111</v>
      </c>
      <c r="BA1486" t="s">
        <v>111</v>
      </c>
      <c r="BB1486" t="s">
        <v>111</v>
      </c>
      <c r="BC1486" t="s">
        <v>111</v>
      </c>
      <c r="BD1486" t="s">
        <v>111</v>
      </c>
      <c r="BE1486" t="s">
        <v>111</v>
      </c>
      <c r="BF1486" t="s">
        <v>111</v>
      </c>
      <c r="BG1486" t="s">
        <v>111</v>
      </c>
      <c r="BH1486" t="s">
        <v>111</v>
      </c>
      <c r="BI1486" t="s">
        <v>111</v>
      </c>
      <c r="BJ1486" t="s">
        <v>111</v>
      </c>
      <c r="BK1486" t="s">
        <v>111</v>
      </c>
      <c r="BL1486" t="s">
        <v>111</v>
      </c>
      <c r="BM1486" t="s">
        <v>111</v>
      </c>
      <c r="BN1486" t="s">
        <v>111</v>
      </c>
      <c r="BO1486" t="s">
        <v>111</v>
      </c>
      <c r="BP1486" t="s">
        <v>111</v>
      </c>
      <c r="BQ1486" t="s">
        <v>111</v>
      </c>
      <c r="BR1486" t="s">
        <v>111</v>
      </c>
      <c r="BS1486" t="s">
        <v>111</v>
      </c>
      <c r="BT1486" t="s">
        <v>111</v>
      </c>
      <c r="BU1486" t="s">
        <v>111</v>
      </c>
      <c r="BV1486" t="s">
        <v>111</v>
      </c>
      <c r="BW1486" t="s">
        <v>111</v>
      </c>
      <c r="BX1486" t="s">
        <v>111</v>
      </c>
      <c r="BY1486" t="s">
        <v>111</v>
      </c>
      <c r="BZ1486" t="s">
        <v>111</v>
      </c>
      <c r="CA1486" t="s">
        <v>111</v>
      </c>
      <c r="CB1486" t="s">
        <v>111</v>
      </c>
      <c r="CC1486" t="s">
        <v>111</v>
      </c>
      <c r="CD1486" t="s">
        <v>111</v>
      </c>
      <c r="CE1486" t="s">
        <v>111</v>
      </c>
      <c r="CF1486" t="s">
        <v>111</v>
      </c>
      <c r="CG1486" t="s">
        <v>111</v>
      </c>
      <c r="CH1486" t="s">
        <v>111</v>
      </c>
      <c r="CI1486" t="s">
        <v>111</v>
      </c>
      <c r="CJ1486" t="s">
        <v>111</v>
      </c>
      <c r="CK1486" t="s">
        <v>111</v>
      </c>
      <c r="CL1486" t="s">
        <v>111</v>
      </c>
      <c r="CM1486" t="s">
        <v>111</v>
      </c>
      <c r="CN1486" t="s">
        <v>111</v>
      </c>
      <c r="CO1486" t="s">
        <v>111</v>
      </c>
      <c r="CP1486" t="s">
        <v>111</v>
      </c>
      <c r="CQ1486">
        <v>0</v>
      </c>
      <c r="CR1486">
        <v>0</v>
      </c>
      <c r="CS1486">
        <v>0</v>
      </c>
      <c r="CT1486" t="s">
        <v>111</v>
      </c>
      <c r="CU1486">
        <v>0</v>
      </c>
      <c r="CV1486" t="s">
        <v>111</v>
      </c>
      <c r="CW1486" t="s">
        <v>111</v>
      </c>
      <c r="CX1486" t="s">
        <v>111</v>
      </c>
      <c r="CY1486">
        <v>0</v>
      </c>
      <c r="CZ1486" t="s">
        <v>111</v>
      </c>
      <c r="DA1486" t="s">
        <v>111</v>
      </c>
      <c r="DB1486" t="s">
        <v>111</v>
      </c>
      <c r="DC1486" t="s">
        <v>111</v>
      </c>
    </row>
    <row r="1487" spans="1:107">
      <c r="A1487">
        <v>1552</v>
      </c>
      <c r="B1487" t="s">
        <v>107</v>
      </c>
      <c r="C1487" t="s">
        <v>1643</v>
      </c>
      <c r="D1487" t="s">
        <v>4174</v>
      </c>
      <c r="E1487" t="s">
        <v>4175</v>
      </c>
      <c r="F1487" t="s">
        <v>2211</v>
      </c>
      <c r="G1487" t="s">
        <v>24</v>
      </c>
      <c r="H1487">
        <v>1.1000000000000001</v>
      </c>
      <c r="I1487">
        <v>28</v>
      </c>
      <c r="J1487">
        <v>0</v>
      </c>
      <c r="K1487">
        <v>0</v>
      </c>
      <c r="L1487" t="s">
        <v>809</v>
      </c>
      <c r="M1487" t="s">
        <v>138</v>
      </c>
      <c r="N1487">
        <v>0</v>
      </c>
      <c r="O1487">
        <v>0</v>
      </c>
      <c r="P1487" t="s">
        <v>111</v>
      </c>
      <c r="Q1487">
        <v>36.299999999999997</v>
      </c>
      <c r="R1487">
        <v>0</v>
      </c>
      <c r="S1487">
        <v>0</v>
      </c>
      <c r="T1487">
        <v>0</v>
      </c>
      <c r="U1487" s="1" t="s">
        <v>4176</v>
      </c>
      <c r="V1487">
        <v>0</v>
      </c>
      <c r="W1487">
        <v>0</v>
      </c>
      <c r="X1487">
        <v>0</v>
      </c>
      <c r="Y1487">
        <v>25</v>
      </c>
      <c r="Z1487" t="s">
        <v>111</v>
      </c>
      <c r="AA1487">
        <v>0</v>
      </c>
      <c r="AB1487" t="s">
        <v>111</v>
      </c>
      <c r="AC1487">
        <v>0</v>
      </c>
      <c r="AD1487" t="s">
        <v>111</v>
      </c>
      <c r="AE1487">
        <v>0</v>
      </c>
      <c r="AF1487">
        <v>0</v>
      </c>
      <c r="AG1487" t="s">
        <v>111</v>
      </c>
      <c r="AH1487" t="s">
        <v>111</v>
      </c>
      <c r="AI1487" t="s">
        <v>111</v>
      </c>
      <c r="AJ1487" t="s">
        <v>111</v>
      </c>
      <c r="AK1487" t="s">
        <v>111</v>
      </c>
      <c r="AL1487" t="s">
        <v>111</v>
      </c>
      <c r="AM1487">
        <v>0</v>
      </c>
      <c r="AN1487">
        <v>0</v>
      </c>
      <c r="AO1487">
        <v>0</v>
      </c>
      <c r="AP1487" t="s">
        <v>111</v>
      </c>
      <c r="AQ1487" t="s">
        <v>111</v>
      </c>
      <c r="AR1487" t="s">
        <v>111</v>
      </c>
      <c r="AS1487" t="s">
        <v>111</v>
      </c>
      <c r="AT1487" t="s">
        <v>111</v>
      </c>
      <c r="AU1487" t="s">
        <v>111</v>
      </c>
      <c r="AV1487" t="s">
        <v>111</v>
      </c>
      <c r="AW1487" t="s">
        <v>111</v>
      </c>
      <c r="AX1487" t="s">
        <v>111</v>
      </c>
      <c r="AY1487" t="s">
        <v>111</v>
      </c>
      <c r="AZ1487" t="s">
        <v>111</v>
      </c>
      <c r="BA1487" t="s">
        <v>111</v>
      </c>
      <c r="BB1487" t="s">
        <v>111</v>
      </c>
      <c r="BC1487" t="s">
        <v>111</v>
      </c>
      <c r="BD1487" t="s">
        <v>111</v>
      </c>
      <c r="BE1487" t="s">
        <v>111</v>
      </c>
      <c r="BF1487" t="s">
        <v>111</v>
      </c>
      <c r="BG1487" t="s">
        <v>111</v>
      </c>
      <c r="BH1487" t="s">
        <v>111</v>
      </c>
      <c r="BI1487" t="s">
        <v>111</v>
      </c>
      <c r="BJ1487" t="s">
        <v>111</v>
      </c>
      <c r="BK1487" t="s">
        <v>111</v>
      </c>
      <c r="BL1487" t="s">
        <v>111</v>
      </c>
      <c r="BM1487" t="s">
        <v>111</v>
      </c>
      <c r="BN1487" t="s">
        <v>111</v>
      </c>
      <c r="BO1487" t="s">
        <v>111</v>
      </c>
      <c r="BP1487" t="s">
        <v>111</v>
      </c>
      <c r="BQ1487" t="s">
        <v>111</v>
      </c>
      <c r="BR1487" t="s">
        <v>111</v>
      </c>
      <c r="BS1487" t="s">
        <v>111</v>
      </c>
      <c r="BT1487" t="s">
        <v>111</v>
      </c>
      <c r="BU1487" t="s">
        <v>111</v>
      </c>
      <c r="BV1487" t="s">
        <v>111</v>
      </c>
      <c r="BW1487" t="s">
        <v>111</v>
      </c>
      <c r="BX1487" t="s">
        <v>111</v>
      </c>
      <c r="BY1487" t="s">
        <v>111</v>
      </c>
      <c r="BZ1487" t="s">
        <v>111</v>
      </c>
      <c r="CA1487" t="s">
        <v>111</v>
      </c>
      <c r="CB1487" t="s">
        <v>111</v>
      </c>
      <c r="CC1487" t="s">
        <v>111</v>
      </c>
      <c r="CD1487" t="s">
        <v>111</v>
      </c>
      <c r="CE1487" t="s">
        <v>111</v>
      </c>
      <c r="CF1487" t="s">
        <v>111</v>
      </c>
      <c r="CG1487" t="s">
        <v>111</v>
      </c>
      <c r="CH1487" t="s">
        <v>111</v>
      </c>
      <c r="CI1487" t="s">
        <v>111</v>
      </c>
      <c r="CJ1487" t="s">
        <v>111</v>
      </c>
      <c r="CK1487" t="s">
        <v>111</v>
      </c>
      <c r="CL1487" t="s">
        <v>111</v>
      </c>
      <c r="CM1487" t="s">
        <v>111</v>
      </c>
      <c r="CN1487" t="s">
        <v>111</v>
      </c>
      <c r="CO1487" t="s">
        <v>111</v>
      </c>
      <c r="CP1487" t="s">
        <v>111</v>
      </c>
      <c r="CQ1487">
        <v>0</v>
      </c>
      <c r="CR1487">
        <v>0</v>
      </c>
      <c r="CS1487">
        <v>0</v>
      </c>
      <c r="CT1487" t="s">
        <v>111</v>
      </c>
      <c r="CU1487">
        <v>0</v>
      </c>
      <c r="CV1487" t="s">
        <v>111</v>
      </c>
      <c r="CW1487" t="s">
        <v>111</v>
      </c>
      <c r="CX1487" t="s">
        <v>111</v>
      </c>
      <c r="CY1487">
        <v>0</v>
      </c>
      <c r="CZ1487" t="s">
        <v>111</v>
      </c>
      <c r="DA1487" t="s">
        <v>111</v>
      </c>
      <c r="DB1487" t="s">
        <v>111</v>
      </c>
      <c r="DC1487" t="s">
        <v>111</v>
      </c>
    </row>
    <row r="1488" spans="1:107">
      <c r="A1488">
        <v>1550</v>
      </c>
      <c r="B1488" t="s">
        <v>107</v>
      </c>
      <c r="C1488" t="s">
        <v>3783</v>
      </c>
      <c r="D1488" t="s">
        <v>3960</v>
      </c>
      <c r="E1488" t="s">
        <v>4177</v>
      </c>
      <c r="F1488" t="s">
        <v>1260</v>
      </c>
      <c r="G1488" t="s">
        <v>24</v>
      </c>
      <c r="H1488">
        <v>1.9</v>
      </c>
      <c r="I1488">
        <v>40</v>
      </c>
      <c r="J1488">
        <v>0</v>
      </c>
      <c r="K1488">
        <v>0</v>
      </c>
      <c r="L1488" t="s">
        <v>117</v>
      </c>
      <c r="M1488" t="s">
        <v>118</v>
      </c>
      <c r="N1488">
        <v>40</v>
      </c>
      <c r="O1488">
        <v>1</v>
      </c>
      <c r="P1488" t="s">
        <v>111</v>
      </c>
      <c r="Q1488">
        <v>29</v>
      </c>
      <c r="R1488">
        <v>0</v>
      </c>
      <c r="S1488">
        <v>0</v>
      </c>
      <c r="T1488">
        <v>5</v>
      </c>
      <c r="U1488" t="e">
        <f>-IMPRESION DARMA</f>
        <v>#NAME?</v>
      </c>
      <c r="V1488">
        <v>0</v>
      </c>
      <c r="W1488">
        <v>0</v>
      </c>
      <c r="X1488">
        <v>0</v>
      </c>
      <c r="Y1488">
        <v>25</v>
      </c>
      <c r="Z1488" t="s">
        <v>111</v>
      </c>
      <c r="AA1488">
        <v>0</v>
      </c>
      <c r="AB1488" t="s">
        <v>111</v>
      </c>
      <c r="AC1488">
        <v>0</v>
      </c>
      <c r="AD1488" t="s">
        <v>416</v>
      </c>
      <c r="AE1488">
        <v>0</v>
      </c>
      <c r="AF1488">
        <v>0</v>
      </c>
      <c r="AG1488" t="s">
        <v>111</v>
      </c>
      <c r="AH1488" t="s">
        <v>113</v>
      </c>
      <c r="AI1488" t="s">
        <v>111</v>
      </c>
      <c r="AJ1488" t="s">
        <v>111</v>
      </c>
      <c r="AK1488" t="s">
        <v>111</v>
      </c>
      <c r="AL1488" t="s">
        <v>111</v>
      </c>
      <c r="AM1488">
        <v>0</v>
      </c>
      <c r="AN1488">
        <v>0</v>
      </c>
      <c r="AO1488">
        <v>0</v>
      </c>
      <c r="AP1488" t="s">
        <v>111</v>
      </c>
      <c r="AQ1488" t="s">
        <v>111</v>
      </c>
      <c r="AR1488" t="s">
        <v>111</v>
      </c>
      <c r="AS1488" t="s">
        <v>111</v>
      </c>
      <c r="AT1488" t="s">
        <v>111</v>
      </c>
      <c r="AU1488" t="s">
        <v>111</v>
      </c>
      <c r="AV1488" t="s">
        <v>111</v>
      </c>
      <c r="AW1488" t="s">
        <v>111</v>
      </c>
      <c r="AX1488" t="s">
        <v>111</v>
      </c>
      <c r="AY1488" t="s">
        <v>111</v>
      </c>
      <c r="AZ1488" t="s">
        <v>111</v>
      </c>
      <c r="BA1488" t="s">
        <v>111</v>
      </c>
      <c r="BB1488" t="s">
        <v>111</v>
      </c>
      <c r="BC1488" t="s">
        <v>111</v>
      </c>
      <c r="BD1488" t="s">
        <v>111</v>
      </c>
      <c r="BE1488" t="s">
        <v>111</v>
      </c>
      <c r="BF1488" t="s">
        <v>111</v>
      </c>
      <c r="BG1488" t="s">
        <v>111</v>
      </c>
      <c r="BH1488" t="s">
        <v>111</v>
      </c>
      <c r="BI1488" t="s">
        <v>111</v>
      </c>
      <c r="BJ1488" t="s">
        <v>111</v>
      </c>
      <c r="BK1488" t="s">
        <v>111</v>
      </c>
      <c r="BL1488" t="s">
        <v>111</v>
      </c>
      <c r="BM1488" t="s">
        <v>111</v>
      </c>
      <c r="BN1488" t="s">
        <v>111</v>
      </c>
      <c r="BO1488" t="s">
        <v>111</v>
      </c>
      <c r="BP1488" t="s">
        <v>111</v>
      </c>
      <c r="BQ1488" t="s">
        <v>111</v>
      </c>
      <c r="BR1488" t="s">
        <v>111</v>
      </c>
      <c r="BS1488" t="s">
        <v>111</v>
      </c>
      <c r="BT1488" t="s">
        <v>111</v>
      </c>
      <c r="BU1488" t="s">
        <v>111</v>
      </c>
      <c r="BV1488" t="s">
        <v>111</v>
      </c>
      <c r="BW1488" t="s">
        <v>111</v>
      </c>
      <c r="BX1488" t="s">
        <v>111</v>
      </c>
      <c r="BY1488" t="s">
        <v>111</v>
      </c>
      <c r="BZ1488" t="s">
        <v>111</v>
      </c>
      <c r="CA1488" t="s">
        <v>111</v>
      </c>
      <c r="CB1488" t="s">
        <v>111</v>
      </c>
      <c r="CC1488" t="s">
        <v>111</v>
      </c>
      <c r="CD1488" t="s">
        <v>111</v>
      </c>
      <c r="CE1488" t="s">
        <v>111</v>
      </c>
      <c r="CF1488" t="s">
        <v>111</v>
      </c>
      <c r="CG1488" t="s">
        <v>111</v>
      </c>
      <c r="CH1488" t="s">
        <v>111</v>
      </c>
      <c r="CI1488" t="s">
        <v>111</v>
      </c>
      <c r="CJ1488" t="s">
        <v>111</v>
      </c>
      <c r="CK1488" t="s">
        <v>111</v>
      </c>
      <c r="CL1488" t="s">
        <v>111</v>
      </c>
      <c r="CM1488">
        <v>450</v>
      </c>
      <c r="CN1488" t="s">
        <v>113</v>
      </c>
      <c r="CO1488" t="s">
        <v>111</v>
      </c>
      <c r="CP1488" t="s">
        <v>111</v>
      </c>
      <c r="CQ1488">
        <v>0</v>
      </c>
      <c r="CR1488">
        <v>26000</v>
      </c>
      <c r="CS1488">
        <v>26000</v>
      </c>
      <c r="CT1488" t="e">
        <f>-ALMACEN</f>
        <v>#NAME?</v>
      </c>
      <c r="CU1488">
        <v>0</v>
      </c>
      <c r="CV1488" t="s">
        <v>111</v>
      </c>
      <c r="CW1488" t="s">
        <v>111</v>
      </c>
      <c r="CX1488" t="s">
        <v>111</v>
      </c>
      <c r="CY1488">
        <v>0</v>
      </c>
      <c r="CZ1488" t="s">
        <v>111</v>
      </c>
      <c r="DA1488" t="s">
        <v>111</v>
      </c>
      <c r="DB1488" t="s">
        <v>111</v>
      </c>
      <c r="DC1488" t="s">
        <v>111</v>
      </c>
    </row>
    <row r="1489" spans="1:107">
      <c r="A1489">
        <v>1549</v>
      </c>
      <c r="B1489" t="s">
        <v>107</v>
      </c>
      <c r="C1489" t="s">
        <v>119</v>
      </c>
      <c r="D1489" t="s">
        <v>4001</v>
      </c>
      <c r="E1489" t="s">
        <v>4002</v>
      </c>
      <c r="F1489" t="s">
        <v>110</v>
      </c>
      <c r="G1489" t="s">
        <v>24</v>
      </c>
      <c r="H1489">
        <v>1.2</v>
      </c>
      <c r="I1489">
        <v>40</v>
      </c>
      <c r="J1489">
        <v>0</v>
      </c>
      <c r="K1489">
        <v>0</v>
      </c>
      <c r="L1489" t="s">
        <v>112</v>
      </c>
      <c r="M1489" t="s">
        <v>111</v>
      </c>
      <c r="N1489">
        <v>0</v>
      </c>
      <c r="O1489">
        <v>0</v>
      </c>
      <c r="P1489" t="s">
        <v>111</v>
      </c>
      <c r="Q1489">
        <v>40</v>
      </c>
      <c r="R1489">
        <v>0</v>
      </c>
      <c r="S1489">
        <v>0</v>
      </c>
      <c r="T1489">
        <v>0</v>
      </c>
      <c r="U1489" s="1" t="s">
        <v>4178</v>
      </c>
      <c r="V1489">
        <v>0</v>
      </c>
      <c r="W1489">
        <v>0</v>
      </c>
      <c r="X1489">
        <v>0</v>
      </c>
      <c r="Y1489">
        <v>25</v>
      </c>
      <c r="Z1489" t="s">
        <v>111</v>
      </c>
      <c r="AA1489">
        <v>0</v>
      </c>
      <c r="AB1489" t="s">
        <v>111</v>
      </c>
      <c r="AC1489">
        <v>0</v>
      </c>
      <c r="AD1489" t="s">
        <v>111</v>
      </c>
      <c r="AE1489">
        <v>0</v>
      </c>
      <c r="AF1489">
        <v>0</v>
      </c>
      <c r="AG1489" t="s">
        <v>111</v>
      </c>
      <c r="AH1489" t="s">
        <v>111</v>
      </c>
      <c r="AI1489" t="s">
        <v>111</v>
      </c>
      <c r="AJ1489" t="s">
        <v>111</v>
      </c>
      <c r="AK1489" t="s">
        <v>111</v>
      </c>
      <c r="AL1489" t="s">
        <v>111</v>
      </c>
      <c r="AM1489">
        <v>0</v>
      </c>
      <c r="AN1489">
        <v>0</v>
      </c>
      <c r="AO1489">
        <v>0</v>
      </c>
      <c r="AP1489" t="s">
        <v>111</v>
      </c>
      <c r="AQ1489" t="s">
        <v>111</v>
      </c>
      <c r="AR1489" t="s">
        <v>111</v>
      </c>
      <c r="AS1489" t="s">
        <v>111</v>
      </c>
      <c r="AT1489" t="s">
        <v>111</v>
      </c>
      <c r="AU1489" t="s">
        <v>111</v>
      </c>
      <c r="AV1489" t="s">
        <v>111</v>
      </c>
      <c r="AW1489" t="s">
        <v>111</v>
      </c>
      <c r="AX1489" t="s">
        <v>111</v>
      </c>
      <c r="AY1489" t="s">
        <v>111</v>
      </c>
      <c r="AZ1489" t="s">
        <v>111</v>
      </c>
      <c r="BA1489" t="s">
        <v>111</v>
      </c>
      <c r="BB1489" t="s">
        <v>111</v>
      </c>
      <c r="BC1489" t="s">
        <v>111</v>
      </c>
      <c r="BD1489" t="s">
        <v>111</v>
      </c>
      <c r="BE1489" t="s">
        <v>111</v>
      </c>
      <c r="BF1489" t="s">
        <v>111</v>
      </c>
      <c r="BG1489" t="s">
        <v>111</v>
      </c>
      <c r="BH1489" t="s">
        <v>111</v>
      </c>
      <c r="BI1489" t="s">
        <v>111</v>
      </c>
      <c r="BJ1489" t="s">
        <v>111</v>
      </c>
      <c r="BK1489" t="s">
        <v>111</v>
      </c>
      <c r="BL1489" t="s">
        <v>111</v>
      </c>
      <c r="BM1489" t="s">
        <v>111</v>
      </c>
      <c r="BN1489" t="s">
        <v>111</v>
      </c>
      <c r="BO1489" t="s">
        <v>111</v>
      </c>
      <c r="BP1489" t="s">
        <v>111</v>
      </c>
      <c r="BQ1489" t="s">
        <v>111</v>
      </c>
      <c r="BR1489" t="s">
        <v>111</v>
      </c>
      <c r="BS1489" t="s">
        <v>111</v>
      </c>
      <c r="BT1489" t="s">
        <v>111</v>
      </c>
      <c r="BU1489" t="s">
        <v>111</v>
      </c>
      <c r="BV1489" t="s">
        <v>111</v>
      </c>
      <c r="BW1489" t="s">
        <v>111</v>
      </c>
      <c r="BX1489" t="s">
        <v>111</v>
      </c>
      <c r="BY1489" t="s">
        <v>111</v>
      </c>
      <c r="BZ1489" t="s">
        <v>111</v>
      </c>
      <c r="CA1489" t="s">
        <v>111</v>
      </c>
      <c r="CB1489" t="s">
        <v>111</v>
      </c>
      <c r="CC1489" t="s">
        <v>111</v>
      </c>
      <c r="CD1489" t="s">
        <v>111</v>
      </c>
      <c r="CE1489" t="s">
        <v>111</v>
      </c>
      <c r="CF1489" t="s">
        <v>111</v>
      </c>
      <c r="CG1489" t="s">
        <v>111</v>
      </c>
      <c r="CH1489" t="s">
        <v>111</v>
      </c>
      <c r="CI1489" t="s">
        <v>111</v>
      </c>
      <c r="CJ1489" t="s">
        <v>111</v>
      </c>
      <c r="CK1489" t="s">
        <v>111</v>
      </c>
      <c r="CL1489" t="s">
        <v>111</v>
      </c>
      <c r="CM1489" t="s">
        <v>111</v>
      </c>
      <c r="CN1489" t="s">
        <v>111</v>
      </c>
      <c r="CO1489" t="s">
        <v>111</v>
      </c>
      <c r="CP1489" t="s">
        <v>111</v>
      </c>
      <c r="CQ1489">
        <v>0</v>
      </c>
      <c r="CR1489">
        <v>0</v>
      </c>
      <c r="CS1489">
        <v>0</v>
      </c>
      <c r="CT1489" t="s">
        <v>111</v>
      </c>
      <c r="CU1489">
        <v>0</v>
      </c>
      <c r="CV1489" t="s">
        <v>111</v>
      </c>
      <c r="CW1489" t="s">
        <v>111</v>
      </c>
      <c r="CX1489" t="s">
        <v>111</v>
      </c>
      <c r="CY1489">
        <v>0</v>
      </c>
      <c r="CZ1489" t="s">
        <v>111</v>
      </c>
      <c r="DA1489" t="s">
        <v>111</v>
      </c>
      <c r="DB1489" t="s">
        <v>111</v>
      </c>
      <c r="DC1489" t="s">
        <v>111</v>
      </c>
    </row>
    <row r="1490" spans="1:107">
      <c r="A1490">
        <v>1480</v>
      </c>
      <c r="B1490" t="s">
        <v>107</v>
      </c>
      <c r="C1490" t="s">
        <v>801</v>
      </c>
      <c r="D1490" t="s">
        <v>4179</v>
      </c>
      <c r="E1490" t="s">
        <v>4180</v>
      </c>
      <c r="F1490" t="s">
        <v>4181</v>
      </c>
      <c r="G1490" t="s">
        <v>24</v>
      </c>
      <c r="H1490">
        <v>1.3</v>
      </c>
      <c r="I1490">
        <v>33</v>
      </c>
      <c r="J1490">
        <v>0</v>
      </c>
      <c r="K1490">
        <v>0</v>
      </c>
      <c r="L1490" t="s">
        <v>112</v>
      </c>
      <c r="M1490" t="s">
        <v>111</v>
      </c>
      <c r="N1490">
        <v>0</v>
      </c>
      <c r="O1490">
        <v>0</v>
      </c>
      <c r="P1490" t="s">
        <v>111</v>
      </c>
      <c r="Q1490">
        <v>33.5</v>
      </c>
      <c r="R1490">
        <v>0</v>
      </c>
      <c r="S1490">
        <v>0</v>
      </c>
      <c r="T1490">
        <v>5</v>
      </c>
      <c r="U1490" t="e">
        <f>-DESTINO SELLADO</f>
        <v>#NAME?</v>
      </c>
      <c r="V1490">
        <v>0</v>
      </c>
      <c r="W1490">
        <v>0</v>
      </c>
      <c r="X1490">
        <v>0</v>
      </c>
      <c r="Y1490">
        <v>25</v>
      </c>
      <c r="Z1490" t="s">
        <v>111</v>
      </c>
      <c r="AA1490">
        <v>0</v>
      </c>
      <c r="AB1490" t="s">
        <v>111</v>
      </c>
      <c r="AC1490">
        <v>0</v>
      </c>
      <c r="AD1490" t="s">
        <v>111</v>
      </c>
      <c r="AE1490">
        <v>0</v>
      </c>
      <c r="AF1490">
        <v>0</v>
      </c>
      <c r="AG1490" t="s">
        <v>111</v>
      </c>
      <c r="AH1490" t="s">
        <v>111</v>
      </c>
      <c r="AI1490" t="s">
        <v>111</v>
      </c>
      <c r="AJ1490" t="s">
        <v>111</v>
      </c>
      <c r="AK1490" t="s">
        <v>111</v>
      </c>
      <c r="AL1490" t="s">
        <v>111</v>
      </c>
      <c r="AM1490">
        <v>0</v>
      </c>
      <c r="AN1490">
        <v>0</v>
      </c>
      <c r="AO1490">
        <v>0</v>
      </c>
      <c r="AP1490" t="s">
        <v>111</v>
      </c>
      <c r="AQ1490" t="s">
        <v>111</v>
      </c>
      <c r="AR1490" t="s">
        <v>111</v>
      </c>
      <c r="AS1490" t="s">
        <v>111</v>
      </c>
      <c r="AT1490" t="s">
        <v>111</v>
      </c>
      <c r="AU1490" t="s">
        <v>111</v>
      </c>
      <c r="AV1490" t="s">
        <v>111</v>
      </c>
      <c r="AW1490" t="s">
        <v>111</v>
      </c>
      <c r="AX1490" t="s">
        <v>111</v>
      </c>
      <c r="AY1490" t="s">
        <v>111</v>
      </c>
      <c r="AZ1490" t="s">
        <v>111</v>
      </c>
      <c r="BA1490" t="s">
        <v>111</v>
      </c>
      <c r="BB1490" t="s">
        <v>111</v>
      </c>
      <c r="BC1490" t="s">
        <v>111</v>
      </c>
      <c r="BD1490" t="s">
        <v>111</v>
      </c>
      <c r="BE1490" t="s">
        <v>111</v>
      </c>
      <c r="BF1490" t="s">
        <v>111</v>
      </c>
      <c r="BG1490" t="s">
        <v>111</v>
      </c>
      <c r="BH1490" t="s">
        <v>111</v>
      </c>
      <c r="BI1490" t="s">
        <v>111</v>
      </c>
      <c r="BJ1490" t="s">
        <v>111</v>
      </c>
      <c r="BK1490" t="s">
        <v>111</v>
      </c>
      <c r="BL1490" t="s">
        <v>111</v>
      </c>
      <c r="BM1490" t="s">
        <v>111</v>
      </c>
      <c r="BN1490" t="s">
        <v>111</v>
      </c>
      <c r="BO1490" t="s">
        <v>111</v>
      </c>
      <c r="BP1490" t="s">
        <v>111</v>
      </c>
      <c r="BQ1490" t="s">
        <v>111</v>
      </c>
      <c r="BR1490" t="s">
        <v>111</v>
      </c>
      <c r="BS1490" t="s">
        <v>111</v>
      </c>
      <c r="BT1490" t="s">
        <v>111</v>
      </c>
      <c r="BU1490" t="s">
        <v>111</v>
      </c>
      <c r="BV1490" t="s">
        <v>111</v>
      </c>
      <c r="BW1490" t="s">
        <v>111</v>
      </c>
      <c r="BX1490" t="s">
        <v>111</v>
      </c>
      <c r="BY1490" t="s">
        <v>111</v>
      </c>
      <c r="BZ1490" t="s">
        <v>111</v>
      </c>
      <c r="CA1490" t="s">
        <v>111</v>
      </c>
      <c r="CB1490" t="s">
        <v>111</v>
      </c>
      <c r="CC1490" t="s">
        <v>111</v>
      </c>
      <c r="CD1490" t="s">
        <v>111</v>
      </c>
      <c r="CE1490" t="s">
        <v>111</v>
      </c>
      <c r="CF1490" t="s">
        <v>111</v>
      </c>
      <c r="CG1490" t="s">
        <v>111</v>
      </c>
      <c r="CH1490" t="s">
        <v>111</v>
      </c>
      <c r="CI1490" t="s">
        <v>111</v>
      </c>
      <c r="CJ1490" t="s">
        <v>111</v>
      </c>
      <c r="CK1490" t="s">
        <v>111</v>
      </c>
      <c r="CL1490" t="s">
        <v>111</v>
      </c>
      <c r="CM1490" t="s">
        <v>135</v>
      </c>
      <c r="CN1490" t="s">
        <v>113</v>
      </c>
      <c r="CO1490" t="s">
        <v>4182</v>
      </c>
      <c r="CP1490" t="s">
        <v>111</v>
      </c>
      <c r="CQ1490">
        <v>0</v>
      </c>
      <c r="CR1490">
        <v>4000</v>
      </c>
      <c r="CS1490">
        <v>200</v>
      </c>
      <c r="CT1490" s="1" t="s">
        <v>4183</v>
      </c>
      <c r="CU1490">
        <v>0</v>
      </c>
      <c r="CV1490" t="s">
        <v>111</v>
      </c>
      <c r="CW1490" t="s">
        <v>111</v>
      </c>
      <c r="CX1490" t="s">
        <v>111</v>
      </c>
      <c r="CY1490">
        <v>0</v>
      </c>
      <c r="CZ1490" t="s">
        <v>111</v>
      </c>
      <c r="DA1490" t="s">
        <v>111</v>
      </c>
      <c r="DB1490" t="s">
        <v>111</v>
      </c>
      <c r="DC1490" t="s">
        <v>111</v>
      </c>
    </row>
    <row r="1491" spans="1:107">
      <c r="A1491">
        <v>1539</v>
      </c>
      <c r="B1491" t="s">
        <v>107</v>
      </c>
      <c r="C1491" t="s">
        <v>119</v>
      </c>
      <c r="D1491" t="s">
        <v>212</v>
      </c>
      <c r="E1491" t="s">
        <v>4184</v>
      </c>
      <c r="F1491" t="s">
        <v>110</v>
      </c>
      <c r="G1491" t="s">
        <v>24</v>
      </c>
      <c r="H1491">
        <v>1.3</v>
      </c>
      <c r="I1491">
        <v>45</v>
      </c>
      <c r="J1491">
        <v>0</v>
      </c>
      <c r="K1491">
        <v>0</v>
      </c>
      <c r="L1491" t="s">
        <v>112</v>
      </c>
      <c r="M1491" t="s">
        <v>111</v>
      </c>
      <c r="N1491">
        <v>0</v>
      </c>
      <c r="O1491">
        <v>0</v>
      </c>
      <c r="P1491" t="s">
        <v>111</v>
      </c>
      <c r="Q1491">
        <v>40</v>
      </c>
      <c r="R1491">
        <v>0</v>
      </c>
      <c r="S1491">
        <v>0</v>
      </c>
      <c r="T1491">
        <v>0</v>
      </c>
      <c r="U1491" s="1" t="s">
        <v>4155</v>
      </c>
      <c r="V1491">
        <v>0</v>
      </c>
      <c r="W1491">
        <v>0</v>
      </c>
      <c r="X1491">
        <v>0</v>
      </c>
      <c r="Y1491">
        <v>25</v>
      </c>
      <c r="Z1491" t="s">
        <v>111</v>
      </c>
      <c r="AA1491">
        <v>0</v>
      </c>
      <c r="AB1491" t="s">
        <v>111</v>
      </c>
      <c r="AC1491">
        <v>0</v>
      </c>
      <c r="AD1491" t="s">
        <v>111</v>
      </c>
      <c r="AE1491">
        <v>0</v>
      </c>
      <c r="AF1491">
        <v>0</v>
      </c>
      <c r="AG1491" t="s">
        <v>111</v>
      </c>
      <c r="AH1491" t="s">
        <v>111</v>
      </c>
      <c r="AI1491" t="s">
        <v>111</v>
      </c>
      <c r="AJ1491" t="s">
        <v>111</v>
      </c>
      <c r="AK1491" t="s">
        <v>111</v>
      </c>
      <c r="AL1491" t="s">
        <v>111</v>
      </c>
      <c r="AM1491">
        <v>0</v>
      </c>
      <c r="AN1491">
        <v>0</v>
      </c>
      <c r="AO1491">
        <v>0</v>
      </c>
      <c r="AP1491" t="s">
        <v>111</v>
      </c>
      <c r="AQ1491" t="s">
        <v>111</v>
      </c>
      <c r="AR1491" t="s">
        <v>111</v>
      </c>
      <c r="AS1491" t="s">
        <v>111</v>
      </c>
      <c r="AT1491" t="s">
        <v>111</v>
      </c>
      <c r="AU1491" t="s">
        <v>111</v>
      </c>
      <c r="AV1491" t="s">
        <v>111</v>
      </c>
      <c r="AW1491" t="s">
        <v>111</v>
      </c>
      <c r="AX1491" t="s">
        <v>111</v>
      </c>
      <c r="AY1491" t="s">
        <v>111</v>
      </c>
      <c r="AZ1491" t="s">
        <v>111</v>
      </c>
      <c r="BA1491" t="s">
        <v>111</v>
      </c>
      <c r="BB1491" t="s">
        <v>111</v>
      </c>
      <c r="BC1491" t="s">
        <v>111</v>
      </c>
      <c r="BD1491" t="s">
        <v>111</v>
      </c>
      <c r="BE1491" t="s">
        <v>111</v>
      </c>
      <c r="BF1491" t="s">
        <v>111</v>
      </c>
      <c r="BG1491" t="s">
        <v>111</v>
      </c>
      <c r="BH1491" t="s">
        <v>111</v>
      </c>
      <c r="BI1491" t="s">
        <v>111</v>
      </c>
      <c r="BJ1491" t="s">
        <v>111</v>
      </c>
      <c r="BK1491" t="s">
        <v>111</v>
      </c>
      <c r="BL1491" t="s">
        <v>111</v>
      </c>
      <c r="BM1491" t="s">
        <v>111</v>
      </c>
      <c r="BN1491" t="s">
        <v>111</v>
      </c>
      <c r="BO1491" t="s">
        <v>111</v>
      </c>
      <c r="BP1491" t="s">
        <v>111</v>
      </c>
      <c r="BQ1491" t="s">
        <v>111</v>
      </c>
      <c r="BR1491" t="s">
        <v>111</v>
      </c>
      <c r="BS1491" t="s">
        <v>111</v>
      </c>
      <c r="BT1491" t="s">
        <v>111</v>
      </c>
      <c r="BU1491" t="s">
        <v>111</v>
      </c>
      <c r="BV1491" t="s">
        <v>111</v>
      </c>
      <c r="BW1491" t="s">
        <v>111</v>
      </c>
      <c r="BX1491" t="s">
        <v>111</v>
      </c>
      <c r="BY1491" t="s">
        <v>111</v>
      </c>
      <c r="BZ1491" t="s">
        <v>111</v>
      </c>
      <c r="CA1491" t="s">
        <v>111</v>
      </c>
      <c r="CB1491" t="s">
        <v>111</v>
      </c>
      <c r="CC1491" t="s">
        <v>111</v>
      </c>
      <c r="CD1491" t="s">
        <v>111</v>
      </c>
      <c r="CE1491" t="s">
        <v>111</v>
      </c>
      <c r="CF1491" t="s">
        <v>111</v>
      </c>
      <c r="CG1491" t="s">
        <v>111</v>
      </c>
      <c r="CH1491" t="s">
        <v>111</v>
      </c>
      <c r="CI1491" t="s">
        <v>111</v>
      </c>
      <c r="CJ1491" t="s">
        <v>111</v>
      </c>
      <c r="CK1491" t="s">
        <v>111</v>
      </c>
      <c r="CL1491" t="s">
        <v>111</v>
      </c>
      <c r="CM1491" t="s">
        <v>111</v>
      </c>
      <c r="CN1491" t="s">
        <v>111</v>
      </c>
      <c r="CO1491" t="s">
        <v>111</v>
      </c>
      <c r="CP1491" t="s">
        <v>111</v>
      </c>
      <c r="CQ1491">
        <v>0</v>
      </c>
      <c r="CR1491">
        <v>0</v>
      </c>
      <c r="CS1491">
        <v>0</v>
      </c>
      <c r="CT1491" t="s">
        <v>111</v>
      </c>
      <c r="CU1491">
        <v>0</v>
      </c>
      <c r="CV1491" t="s">
        <v>111</v>
      </c>
      <c r="CW1491" t="s">
        <v>111</v>
      </c>
      <c r="CX1491" t="s">
        <v>111</v>
      </c>
      <c r="CY1491">
        <v>0</v>
      </c>
      <c r="CZ1491" t="s">
        <v>111</v>
      </c>
      <c r="DA1491" t="s">
        <v>111</v>
      </c>
      <c r="DB1491" t="s">
        <v>111</v>
      </c>
      <c r="DC1491" t="s">
        <v>111</v>
      </c>
    </row>
    <row r="1492" spans="1:107">
      <c r="A1492">
        <v>1587</v>
      </c>
      <c r="B1492" t="s">
        <v>107</v>
      </c>
      <c r="C1492" t="s">
        <v>2695</v>
      </c>
      <c r="D1492" t="s">
        <v>4185</v>
      </c>
      <c r="E1492" t="s">
        <v>4186</v>
      </c>
      <c r="F1492" t="s">
        <v>2211</v>
      </c>
      <c r="G1492" t="s">
        <v>24</v>
      </c>
      <c r="H1492">
        <v>1.4</v>
      </c>
      <c r="I1492">
        <v>44</v>
      </c>
      <c r="J1492">
        <v>0</v>
      </c>
      <c r="K1492">
        <v>0</v>
      </c>
      <c r="L1492" t="s">
        <v>117</v>
      </c>
      <c r="M1492" t="s">
        <v>118</v>
      </c>
      <c r="N1492">
        <v>39</v>
      </c>
      <c r="O1492">
        <v>1</v>
      </c>
      <c r="P1492" t="s">
        <v>138</v>
      </c>
      <c r="Q1492">
        <v>40</v>
      </c>
      <c r="R1492">
        <v>0</v>
      </c>
      <c r="S1492">
        <v>0</v>
      </c>
      <c r="T1492">
        <v>0</v>
      </c>
      <c r="U1492" s="1" t="s">
        <v>4187</v>
      </c>
      <c r="V1492">
        <v>0</v>
      </c>
      <c r="W1492">
        <v>0</v>
      </c>
      <c r="X1492">
        <v>0</v>
      </c>
      <c r="Y1492">
        <v>25</v>
      </c>
      <c r="Z1492" t="s">
        <v>111</v>
      </c>
      <c r="AA1492">
        <v>0</v>
      </c>
      <c r="AB1492" t="s">
        <v>111</v>
      </c>
      <c r="AC1492">
        <v>0</v>
      </c>
      <c r="AD1492" t="s">
        <v>111</v>
      </c>
      <c r="AE1492">
        <v>0</v>
      </c>
      <c r="AF1492">
        <v>0</v>
      </c>
      <c r="AG1492" t="s">
        <v>111</v>
      </c>
      <c r="AH1492" t="s">
        <v>111</v>
      </c>
      <c r="AI1492" t="s">
        <v>111</v>
      </c>
      <c r="AJ1492" t="s">
        <v>111</v>
      </c>
      <c r="AK1492" t="s">
        <v>111</v>
      </c>
      <c r="AL1492" t="s">
        <v>111</v>
      </c>
      <c r="AM1492">
        <v>0</v>
      </c>
      <c r="AN1492">
        <v>0</v>
      </c>
      <c r="AO1492">
        <v>0</v>
      </c>
      <c r="AP1492" t="s">
        <v>111</v>
      </c>
      <c r="AQ1492" t="s">
        <v>111</v>
      </c>
      <c r="AR1492" t="s">
        <v>111</v>
      </c>
      <c r="AS1492" t="s">
        <v>111</v>
      </c>
      <c r="AT1492" t="s">
        <v>111</v>
      </c>
      <c r="AU1492" t="s">
        <v>111</v>
      </c>
      <c r="AV1492" t="s">
        <v>111</v>
      </c>
      <c r="AW1492" t="s">
        <v>111</v>
      </c>
      <c r="AX1492" t="s">
        <v>111</v>
      </c>
      <c r="AY1492" t="s">
        <v>111</v>
      </c>
      <c r="AZ1492" t="s">
        <v>111</v>
      </c>
      <c r="BA1492" t="s">
        <v>111</v>
      </c>
      <c r="BB1492" t="s">
        <v>111</v>
      </c>
      <c r="BC1492" t="s">
        <v>111</v>
      </c>
      <c r="BD1492" t="s">
        <v>111</v>
      </c>
      <c r="BE1492" t="s">
        <v>111</v>
      </c>
      <c r="BF1492" t="s">
        <v>111</v>
      </c>
      <c r="BG1492" t="s">
        <v>111</v>
      </c>
      <c r="BH1492" t="s">
        <v>111</v>
      </c>
      <c r="BI1492" t="s">
        <v>111</v>
      </c>
      <c r="BJ1492" t="s">
        <v>111</v>
      </c>
      <c r="BK1492" t="s">
        <v>111</v>
      </c>
      <c r="BL1492" t="s">
        <v>111</v>
      </c>
      <c r="BM1492" t="s">
        <v>111</v>
      </c>
      <c r="BN1492" t="s">
        <v>111</v>
      </c>
      <c r="BO1492" t="s">
        <v>111</v>
      </c>
      <c r="BP1492" t="s">
        <v>111</v>
      </c>
      <c r="BQ1492" t="s">
        <v>111</v>
      </c>
      <c r="BR1492" t="s">
        <v>111</v>
      </c>
      <c r="BS1492" t="s">
        <v>111</v>
      </c>
      <c r="BT1492" t="s">
        <v>111</v>
      </c>
      <c r="BU1492" t="s">
        <v>111</v>
      </c>
      <c r="BV1492" t="s">
        <v>111</v>
      </c>
      <c r="BW1492" t="s">
        <v>111</v>
      </c>
      <c r="BX1492" t="s">
        <v>111</v>
      </c>
      <c r="BY1492" t="s">
        <v>111</v>
      </c>
      <c r="BZ1492" t="s">
        <v>111</v>
      </c>
      <c r="CA1492" t="s">
        <v>111</v>
      </c>
      <c r="CB1492" t="s">
        <v>111</v>
      </c>
      <c r="CC1492" t="s">
        <v>111</v>
      </c>
      <c r="CD1492" t="s">
        <v>111</v>
      </c>
      <c r="CE1492" t="s">
        <v>111</v>
      </c>
      <c r="CF1492" t="s">
        <v>111</v>
      </c>
      <c r="CG1492" t="s">
        <v>111</v>
      </c>
      <c r="CH1492" t="s">
        <v>111</v>
      </c>
      <c r="CI1492" t="s">
        <v>111</v>
      </c>
      <c r="CJ1492" t="s">
        <v>111</v>
      </c>
      <c r="CK1492" t="s">
        <v>111</v>
      </c>
      <c r="CL1492" t="s">
        <v>111</v>
      </c>
      <c r="CM1492" t="s">
        <v>111</v>
      </c>
      <c r="CN1492" t="s">
        <v>111</v>
      </c>
      <c r="CO1492" t="s">
        <v>111</v>
      </c>
      <c r="CP1492" t="s">
        <v>111</v>
      </c>
      <c r="CQ1492">
        <v>0</v>
      </c>
      <c r="CR1492">
        <v>0</v>
      </c>
      <c r="CS1492">
        <v>0</v>
      </c>
      <c r="CT1492" t="s">
        <v>111</v>
      </c>
      <c r="CU1492">
        <v>0</v>
      </c>
      <c r="CV1492" t="s">
        <v>111</v>
      </c>
      <c r="CW1492" t="s">
        <v>111</v>
      </c>
      <c r="CX1492" t="s">
        <v>111</v>
      </c>
      <c r="CY1492">
        <v>0</v>
      </c>
      <c r="CZ1492" t="s">
        <v>111</v>
      </c>
      <c r="DA1492" t="s">
        <v>111</v>
      </c>
      <c r="DB1492" t="s">
        <v>111</v>
      </c>
      <c r="DC1492" t="s">
        <v>111</v>
      </c>
    </row>
    <row r="1493" spans="1:107">
      <c r="A1493">
        <v>1544</v>
      </c>
      <c r="B1493" t="s">
        <v>107</v>
      </c>
      <c r="C1493" t="s">
        <v>428</v>
      </c>
      <c r="D1493" t="s">
        <v>4188</v>
      </c>
      <c r="E1493" t="s">
        <v>4189</v>
      </c>
      <c r="F1493" t="s">
        <v>1651</v>
      </c>
      <c r="G1493" t="s">
        <v>24</v>
      </c>
      <c r="H1493">
        <v>1.9</v>
      </c>
      <c r="I1493">
        <v>40</v>
      </c>
      <c r="J1493">
        <v>0</v>
      </c>
      <c r="K1493">
        <v>0</v>
      </c>
      <c r="L1493" t="s">
        <v>112</v>
      </c>
      <c r="M1493" t="s">
        <v>118</v>
      </c>
      <c r="N1493">
        <v>39</v>
      </c>
      <c r="O1493">
        <v>2</v>
      </c>
      <c r="P1493" t="s">
        <v>111</v>
      </c>
      <c r="Q1493">
        <v>37.799999999999997</v>
      </c>
      <c r="R1493">
        <v>0</v>
      </c>
      <c r="S1493">
        <v>0</v>
      </c>
      <c r="T1493">
        <v>5</v>
      </c>
      <c r="U1493" s="1" t="s">
        <v>4190</v>
      </c>
      <c r="V1493">
        <v>0</v>
      </c>
      <c r="W1493">
        <v>0</v>
      </c>
      <c r="X1493">
        <v>0</v>
      </c>
      <c r="Y1493">
        <v>25</v>
      </c>
      <c r="Z1493" t="s">
        <v>111</v>
      </c>
      <c r="AA1493">
        <v>0</v>
      </c>
      <c r="AB1493" t="s">
        <v>111</v>
      </c>
      <c r="AC1493">
        <v>0</v>
      </c>
      <c r="AD1493" t="s">
        <v>416</v>
      </c>
      <c r="AE1493">
        <v>0</v>
      </c>
      <c r="AF1493">
        <v>0</v>
      </c>
      <c r="AG1493" t="s">
        <v>111</v>
      </c>
      <c r="AH1493" t="s">
        <v>113</v>
      </c>
      <c r="AI1493" t="s">
        <v>111</v>
      </c>
      <c r="AJ1493" t="s">
        <v>111</v>
      </c>
      <c r="AK1493" t="s">
        <v>111</v>
      </c>
      <c r="AL1493" t="s">
        <v>111</v>
      </c>
      <c r="AM1493">
        <v>0</v>
      </c>
      <c r="AN1493">
        <v>0</v>
      </c>
      <c r="AO1493">
        <v>0</v>
      </c>
      <c r="AP1493" t="s">
        <v>111</v>
      </c>
      <c r="AQ1493" t="s">
        <v>111</v>
      </c>
      <c r="AR1493" t="s">
        <v>111</v>
      </c>
      <c r="AS1493" t="s">
        <v>111</v>
      </c>
      <c r="AT1493" t="s">
        <v>111</v>
      </c>
      <c r="AU1493" t="s">
        <v>111</v>
      </c>
      <c r="AV1493" t="s">
        <v>111</v>
      </c>
      <c r="AW1493" t="s">
        <v>111</v>
      </c>
      <c r="AX1493" t="s">
        <v>111</v>
      </c>
      <c r="AY1493" t="s">
        <v>111</v>
      </c>
      <c r="AZ1493" t="s">
        <v>111</v>
      </c>
      <c r="BA1493" t="s">
        <v>111</v>
      </c>
      <c r="BB1493" t="s">
        <v>111</v>
      </c>
      <c r="BC1493" t="s">
        <v>111</v>
      </c>
      <c r="BD1493" t="s">
        <v>111</v>
      </c>
      <c r="BE1493" t="s">
        <v>111</v>
      </c>
      <c r="BF1493" t="s">
        <v>111</v>
      </c>
      <c r="BG1493" t="s">
        <v>111</v>
      </c>
      <c r="BH1493" t="s">
        <v>111</v>
      </c>
      <c r="BI1493" t="s">
        <v>111</v>
      </c>
      <c r="BJ1493" t="s">
        <v>111</v>
      </c>
      <c r="BK1493" t="s">
        <v>111</v>
      </c>
      <c r="BL1493" t="s">
        <v>111</v>
      </c>
      <c r="BM1493" t="s">
        <v>111</v>
      </c>
      <c r="BN1493" t="s">
        <v>111</v>
      </c>
      <c r="BO1493" t="s">
        <v>111</v>
      </c>
      <c r="BP1493" t="s">
        <v>111</v>
      </c>
      <c r="BQ1493" t="s">
        <v>111</v>
      </c>
      <c r="BR1493" t="s">
        <v>111</v>
      </c>
      <c r="BS1493" t="s">
        <v>111</v>
      </c>
      <c r="BT1493" t="s">
        <v>111</v>
      </c>
      <c r="BU1493" t="s">
        <v>111</v>
      </c>
      <c r="BV1493" t="s">
        <v>111</v>
      </c>
      <c r="BW1493" t="s">
        <v>111</v>
      </c>
      <c r="BX1493" t="s">
        <v>111</v>
      </c>
      <c r="BY1493" t="s">
        <v>111</v>
      </c>
      <c r="BZ1493" t="s">
        <v>111</v>
      </c>
      <c r="CA1493" t="s">
        <v>111</v>
      </c>
      <c r="CB1493" t="s">
        <v>111</v>
      </c>
      <c r="CC1493" t="s">
        <v>111</v>
      </c>
      <c r="CD1493" t="s">
        <v>111</v>
      </c>
      <c r="CE1493" t="s">
        <v>111</v>
      </c>
      <c r="CF1493" t="s">
        <v>111</v>
      </c>
      <c r="CG1493" t="s">
        <v>111</v>
      </c>
      <c r="CH1493" t="s">
        <v>111</v>
      </c>
      <c r="CI1493" t="s">
        <v>111</v>
      </c>
      <c r="CJ1493" t="s">
        <v>111</v>
      </c>
      <c r="CK1493" t="s">
        <v>111</v>
      </c>
      <c r="CL1493" t="s">
        <v>111</v>
      </c>
      <c r="CM1493" t="s">
        <v>135</v>
      </c>
      <c r="CN1493" t="s">
        <v>113</v>
      </c>
      <c r="CO1493" t="s">
        <v>4191</v>
      </c>
      <c r="CP1493" t="e">
        <f>-MUESTRA</f>
        <v>#NAME?</v>
      </c>
      <c r="CQ1493">
        <v>0</v>
      </c>
      <c r="CR1493">
        <v>3000</v>
      </c>
      <c r="CS1493">
        <v>200</v>
      </c>
      <c r="CT1493" t="e">
        <f>-ALMACEN</f>
        <v>#NAME?</v>
      </c>
      <c r="CU1493">
        <v>0</v>
      </c>
      <c r="CV1493" t="s">
        <v>111</v>
      </c>
      <c r="CW1493" t="s">
        <v>111</v>
      </c>
      <c r="CX1493" t="s">
        <v>111</v>
      </c>
      <c r="CY1493">
        <v>0</v>
      </c>
      <c r="CZ1493" t="s">
        <v>111</v>
      </c>
      <c r="DA1493" t="s">
        <v>111</v>
      </c>
      <c r="DB1493" t="s">
        <v>111</v>
      </c>
      <c r="DC1493" t="s">
        <v>111</v>
      </c>
    </row>
    <row r="1494" spans="1:107">
      <c r="A1494">
        <v>1531</v>
      </c>
      <c r="B1494" t="s">
        <v>107</v>
      </c>
      <c r="C1494" t="s">
        <v>2543</v>
      </c>
      <c r="D1494" t="s">
        <v>4192</v>
      </c>
      <c r="E1494" t="s">
        <v>4193</v>
      </c>
      <c r="F1494" t="s">
        <v>1651</v>
      </c>
      <c r="G1494" t="s">
        <v>24</v>
      </c>
      <c r="H1494">
        <v>1.5</v>
      </c>
      <c r="I1494">
        <v>45</v>
      </c>
      <c r="J1494">
        <v>0</v>
      </c>
      <c r="K1494">
        <v>0</v>
      </c>
      <c r="L1494" t="s">
        <v>117</v>
      </c>
      <c r="M1494" t="s">
        <v>118</v>
      </c>
      <c r="N1494">
        <v>40</v>
      </c>
      <c r="O1494">
        <v>1</v>
      </c>
      <c r="P1494" t="s">
        <v>111</v>
      </c>
      <c r="Q1494">
        <v>26</v>
      </c>
      <c r="R1494">
        <v>0</v>
      </c>
      <c r="S1494">
        <v>0</v>
      </c>
      <c r="T1494">
        <v>5</v>
      </c>
      <c r="U1494" t="e">
        <f>-IMPRESION DARMA</f>
        <v>#NAME?</v>
      </c>
      <c r="V1494">
        <v>0</v>
      </c>
      <c r="W1494">
        <v>0</v>
      </c>
      <c r="X1494">
        <v>0</v>
      </c>
      <c r="Y1494">
        <v>25</v>
      </c>
      <c r="Z1494" t="s">
        <v>111</v>
      </c>
      <c r="AA1494">
        <v>0</v>
      </c>
      <c r="AB1494" t="s">
        <v>111</v>
      </c>
      <c r="AC1494">
        <v>0</v>
      </c>
      <c r="AD1494" t="s">
        <v>416</v>
      </c>
      <c r="AE1494">
        <v>0</v>
      </c>
      <c r="AF1494">
        <v>0</v>
      </c>
      <c r="AG1494" t="s">
        <v>111</v>
      </c>
      <c r="AH1494" t="s">
        <v>113</v>
      </c>
      <c r="AI1494" t="s">
        <v>111</v>
      </c>
      <c r="AJ1494" t="s">
        <v>111</v>
      </c>
      <c r="AK1494" t="s">
        <v>111</v>
      </c>
      <c r="AL1494" t="s">
        <v>111</v>
      </c>
      <c r="AM1494">
        <v>0</v>
      </c>
      <c r="AN1494">
        <v>0</v>
      </c>
      <c r="AO1494">
        <v>0</v>
      </c>
      <c r="AP1494" t="s">
        <v>111</v>
      </c>
      <c r="AQ1494" t="s">
        <v>111</v>
      </c>
      <c r="AR1494" t="s">
        <v>111</v>
      </c>
      <c r="AS1494" t="s">
        <v>111</v>
      </c>
      <c r="AT1494" t="s">
        <v>111</v>
      </c>
      <c r="AU1494" t="s">
        <v>111</v>
      </c>
      <c r="AV1494" t="s">
        <v>111</v>
      </c>
      <c r="AW1494" t="s">
        <v>111</v>
      </c>
      <c r="AX1494" t="s">
        <v>111</v>
      </c>
      <c r="AY1494" t="s">
        <v>111</v>
      </c>
      <c r="AZ1494" t="s">
        <v>111</v>
      </c>
      <c r="BA1494" t="s">
        <v>111</v>
      </c>
      <c r="BB1494" t="s">
        <v>111</v>
      </c>
      <c r="BC1494" t="s">
        <v>111</v>
      </c>
      <c r="BD1494" t="s">
        <v>111</v>
      </c>
      <c r="BE1494" t="s">
        <v>111</v>
      </c>
      <c r="BF1494" t="s">
        <v>111</v>
      </c>
      <c r="BG1494" t="s">
        <v>111</v>
      </c>
      <c r="BH1494" t="s">
        <v>111</v>
      </c>
      <c r="BI1494" t="s">
        <v>111</v>
      </c>
      <c r="BJ1494" t="s">
        <v>111</v>
      </c>
      <c r="BK1494" t="s">
        <v>111</v>
      </c>
      <c r="BL1494" t="s">
        <v>111</v>
      </c>
      <c r="BM1494" t="s">
        <v>111</v>
      </c>
      <c r="BN1494" t="s">
        <v>111</v>
      </c>
      <c r="BO1494" t="s">
        <v>111</v>
      </c>
      <c r="BP1494" t="s">
        <v>111</v>
      </c>
      <c r="BQ1494" t="s">
        <v>111</v>
      </c>
      <c r="BR1494" t="s">
        <v>111</v>
      </c>
      <c r="BS1494" t="s">
        <v>111</v>
      </c>
      <c r="BT1494" t="s">
        <v>111</v>
      </c>
      <c r="BU1494" t="s">
        <v>111</v>
      </c>
      <c r="BV1494" t="s">
        <v>111</v>
      </c>
      <c r="BW1494" t="s">
        <v>111</v>
      </c>
      <c r="BX1494" t="s">
        <v>111</v>
      </c>
      <c r="BY1494" t="s">
        <v>111</v>
      </c>
      <c r="BZ1494" t="s">
        <v>111</v>
      </c>
      <c r="CA1494" t="s">
        <v>111</v>
      </c>
      <c r="CB1494" t="s">
        <v>111</v>
      </c>
      <c r="CC1494" t="s">
        <v>111</v>
      </c>
      <c r="CD1494" t="s">
        <v>111</v>
      </c>
      <c r="CE1494" t="s">
        <v>111</v>
      </c>
      <c r="CF1494" t="s">
        <v>111</v>
      </c>
      <c r="CG1494" t="s">
        <v>111</v>
      </c>
      <c r="CH1494" t="s">
        <v>111</v>
      </c>
      <c r="CI1494" t="s">
        <v>111</v>
      </c>
      <c r="CJ1494" t="s">
        <v>111</v>
      </c>
      <c r="CK1494" t="s">
        <v>111</v>
      </c>
      <c r="CL1494" t="s">
        <v>111</v>
      </c>
      <c r="CM1494" t="s">
        <v>438</v>
      </c>
      <c r="CN1494" t="s">
        <v>113</v>
      </c>
      <c r="CO1494" t="s">
        <v>111</v>
      </c>
      <c r="CP1494" t="e">
        <f>-MUESTRA</f>
        <v>#NAME?</v>
      </c>
      <c r="CQ1494">
        <v>0</v>
      </c>
      <c r="CR1494">
        <v>7000</v>
      </c>
      <c r="CS1494">
        <v>250</v>
      </c>
      <c r="CT1494" t="e">
        <f>-ALMACEN</f>
        <v>#NAME?</v>
      </c>
      <c r="CU1494">
        <v>0</v>
      </c>
      <c r="CV1494" t="s">
        <v>111</v>
      </c>
      <c r="CW1494" t="s">
        <v>111</v>
      </c>
      <c r="CX1494" t="s">
        <v>111</v>
      </c>
      <c r="CY1494">
        <v>0</v>
      </c>
      <c r="CZ1494" t="s">
        <v>111</v>
      </c>
      <c r="DA1494" t="s">
        <v>111</v>
      </c>
      <c r="DB1494" t="s">
        <v>111</v>
      </c>
      <c r="DC1494" t="s">
        <v>111</v>
      </c>
    </row>
    <row r="1495" spans="1:107">
      <c r="A1495">
        <v>1530</v>
      </c>
      <c r="B1495" t="s">
        <v>107</v>
      </c>
      <c r="C1495" t="s">
        <v>3783</v>
      </c>
      <c r="D1495" t="s">
        <v>4194</v>
      </c>
      <c r="E1495" t="s">
        <v>4195</v>
      </c>
      <c r="F1495" t="s">
        <v>1260</v>
      </c>
      <c r="G1495" t="s">
        <v>24</v>
      </c>
      <c r="H1495">
        <v>1.9</v>
      </c>
      <c r="I1495">
        <v>400</v>
      </c>
      <c r="J1495">
        <v>0</v>
      </c>
      <c r="K1495">
        <v>0</v>
      </c>
      <c r="L1495" t="s">
        <v>117</v>
      </c>
      <c r="M1495" t="s">
        <v>118</v>
      </c>
      <c r="N1495">
        <v>40</v>
      </c>
      <c r="O1495">
        <v>1</v>
      </c>
      <c r="P1495" t="s">
        <v>111</v>
      </c>
      <c r="Q1495">
        <v>35</v>
      </c>
      <c r="R1495">
        <v>0</v>
      </c>
      <c r="S1495">
        <v>0</v>
      </c>
      <c r="T1495">
        <v>5</v>
      </c>
      <c r="U1495" t="e">
        <f>-IMPRESION DARMA</f>
        <v>#NAME?</v>
      </c>
      <c r="V1495">
        <v>0</v>
      </c>
      <c r="W1495">
        <v>0</v>
      </c>
      <c r="X1495">
        <v>0</v>
      </c>
      <c r="Y1495">
        <v>25</v>
      </c>
      <c r="Z1495" t="s">
        <v>111</v>
      </c>
      <c r="AA1495">
        <v>0</v>
      </c>
      <c r="AB1495" t="s">
        <v>111</v>
      </c>
      <c r="AC1495">
        <v>0</v>
      </c>
      <c r="AD1495" t="s">
        <v>416</v>
      </c>
      <c r="AE1495">
        <v>0</v>
      </c>
      <c r="AF1495">
        <v>0</v>
      </c>
      <c r="AG1495" t="s">
        <v>111</v>
      </c>
      <c r="AH1495" t="s">
        <v>113</v>
      </c>
      <c r="AI1495" t="s">
        <v>111</v>
      </c>
      <c r="AJ1495" t="s">
        <v>111</v>
      </c>
      <c r="AK1495" t="s">
        <v>111</v>
      </c>
      <c r="AL1495" t="s">
        <v>111</v>
      </c>
      <c r="AM1495">
        <v>0</v>
      </c>
      <c r="AN1495">
        <v>0</v>
      </c>
      <c r="AO1495">
        <v>0</v>
      </c>
      <c r="AP1495" t="s">
        <v>111</v>
      </c>
      <c r="AQ1495" t="s">
        <v>111</v>
      </c>
      <c r="AR1495" t="s">
        <v>111</v>
      </c>
      <c r="AS1495" t="s">
        <v>111</v>
      </c>
      <c r="AT1495" t="s">
        <v>111</v>
      </c>
      <c r="AU1495" t="s">
        <v>111</v>
      </c>
      <c r="AV1495" t="s">
        <v>111</v>
      </c>
      <c r="AW1495" t="s">
        <v>111</v>
      </c>
      <c r="AX1495" t="s">
        <v>111</v>
      </c>
      <c r="AY1495" t="s">
        <v>111</v>
      </c>
      <c r="AZ1495" t="s">
        <v>111</v>
      </c>
      <c r="BA1495" t="s">
        <v>111</v>
      </c>
      <c r="BB1495" t="s">
        <v>111</v>
      </c>
      <c r="BC1495" t="s">
        <v>111</v>
      </c>
      <c r="BD1495" t="s">
        <v>111</v>
      </c>
      <c r="BE1495" t="s">
        <v>111</v>
      </c>
      <c r="BF1495" t="s">
        <v>111</v>
      </c>
      <c r="BG1495" t="s">
        <v>111</v>
      </c>
      <c r="BH1495" t="s">
        <v>111</v>
      </c>
      <c r="BI1495" t="s">
        <v>111</v>
      </c>
      <c r="BJ1495" t="s">
        <v>111</v>
      </c>
      <c r="BK1495" t="s">
        <v>111</v>
      </c>
      <c r="BL1495" t="s">
        <v>111</v>
      </c>
      <c r="BM1495" t="s">
        <v>111</v>
      </c>
      <c r="BN1495" t="s">
        <v>111</v>
      </c>
      <c r="BO1495" t="s">
        <v>111</v>
      </c>
      <c r="BP1495" t="s">
        <v>111</v>
      </c>
      <c r="BQ1495" t="s">
        <v>111</v>
      </c>
      <c r="BR1495" t="s">
        <v>111</v>
      </c>
      <c r="BS1495" t="s">
        <v>111</v>
      </c>
      <c r="BT1495" t="s">
        <v>111</v>
      </c>
      <c r="BU1495" t="s">
        <v>111</v>
      </c>
      <c r="BV1495" t="s">
        <v>111</v>
      </c>
      <c r="BW1495" t="s">
        <v>111</v>
      </c>
      <c r="BX1495" t="s">
        <v>111</v>
      </c>
      <c r="BY1495" t="s">
        <v>111</v>
      </c>
      <c r="BZ1495" t="s">
        <v>111</v>
      </c>
      <c r="CA1495" t="s">
        <v>111</v>
      </c>
      <c r="CB1495" t="s">
        <v>111</v>
      </c>
      <c r="CC1495" t="s">
        <v>111</v>
      </c>
      <c r="CD1495" t="s">
        <v>111</v>
      </c>
      <c r="CE1495" t="s">
        <v>111</v>
      </c>
      <c r="CF1495" t="s">
        <v>111</v>
      </c>
      <c r="CG1495" t="s">
        <v>111</v>
      </c>
      <c r="CH1495" t="s">
        <v>111</v>
      </c>
      <c r="CI1495" t="s">
        <v>111</v>
      </c>
      <c r="CJ1495" t="s">
        <v>111</v>
      </c>
      <c r="CK1495" t="s">
        <v>111</v>
      </c>
      <c r="CL1495" t="s">
        <v>111</v>
      </c>
      <c r="CM1495" t="s">
        <v>135</v>
      </c>
      <c r="CN1495" t="s">
        <v>113</v>
      </c>
      <c r="CO1495" t="s">
        <v>637</v>
      </c>
      <c r="CP1495" t="e">
        <f>-MUESTRA</f>
        <v>#NAME?</v>
      </c>
      <c r="CQ1495">
        <v>0</v>
      </c>
      <c r="CR1495">
        <v>15000</v>
      </c>
      <c r="CS1495">
        <v>15000</v>
      </c>
      <c r="CT1495" t="e">
        <f>-ALMACEN</f>
        <v>#NAME?</v>
      </c>
      <c r="CU1495">
        <v>0</v>
      </c>
      <c r="CV1495" t="s">
        <v>111</v>
      </c>
      <c r="CW1495" t="s">
        <v>111</v>
      </c>
      <c r="CX1495" t="s">
        <v>111</v>
      </c>
      <c r="CY1495">
        <v>0</v>
      </c>
      <c r="CZ1495" t="s">
        <v>111</v>
      </c>
      <c r="DA1495" t="s">
        <v>111</v>
      </c>
      <c r="DB1495" t="s">
        <v>111</v>
      </c>
      <c r="DC1495" t="s">
        <v>111</v>
      </c>
    </row>
    <row r="1496" spans="1:107">
      <c r="A1496">
        <v>1523</v>
      </c>
      <c r="B1496" t="s">
        <v>107</v>
      </c>
      <c r="C1496" s="2">
        <v>811011909</v>
      </c>
      <c r="D1496" t="s">
        <v>4159</v>
      </c>
      <c r="E1496" t="s">
        <v>4160</v>
      </c>
      <c r="F1496" t="s">
        <v>1651</v>
      </c>
      <c r="G1496" t="s">
        <v>24</v>
      </c>
      <c r="H1496">
        <v>2.7</v>
      </c>
      <c r="I1496">
        <v>28</v>
      </c>
      <c r="J1496">
        <v>0</v>
      </c>
      <c r="K1496">
        <v>0</v>
      </c>
      <c r="L1496" t="s">
        <v>112</v>
      </c>
      <c r="M1496" t="s">
        <v>118</v>
      </c>
      <c r="N1496">
        <v>39</v>
      </c>
      <c r="O1496">
        <v>2</v>
      </c>
      <c r="P1496" t="s">
        <v>111</v>
      </c>
      <c r="Q1496">
        <v>27.8</v>
      </c>
      <c r="R1496">
        <v>0</v>
      </c>
      <c r="S1496">
        <v>0</v>
      </c>
      <c r="T1496">
        <v>5</v>
      </c>
      <c r="U1496" s="1" t="s">
        <v>4196</v>
      </c>
      <c r="V1496">
        <v>0</v>
      </c>
      <c r="W1496">
        <v>0</v>
      </c>
      <c r="X1496">
        <v>0</v>
      </c>
      <c r="Y1496">
        <v>25</v>
      </c>
      <c r="Z1496" t="s">
        <v>111</v>
      </c>
      <c r="AA1496">
        <v>0</v>
      </c>
      <c r="AB1496" t="s">
        <v>3954</v>
      </c>
      <c r="AC1496">
        <v>3</v>
      </c>
      <c r="AD1496" t="s">
        <v>416</v>
      </c>
      <c r="AE1496">
        <v>0</v>
      </c>
      <c r="AF1496">
        <v>0</v>
      </c>
      <c r="AG1496" t="s">
        <v>111</v>
      </c>
      <c r="AH1496" t="s">
        <v>113</v>
      </c>
      <c r="AI1496" t="s">
        <v>111</v>
      </c>
      <c r="AJ1496" t="s">
        <v>111</v>
      </c>
      <c r="AK1496" t="s">
        <v>111</v>
      </c>
      <c r="AL1496" t="s">
        <v>111</v>
      </c>
      <c r="AM1496">
        <v>0</v>
      </c>
      <c r="AN1496">
        <v>0</v>
      </c>
      <c r="AO1496">
        <v>0</v>
      </c>
      <c r="AP1496" t="s">
        <v>111</v>
      </c>
      <c r="AQ1496" t="s">
        <v>111</v>
      </c>
      <c r="AR1496" t="s">
        <v>111</v>
      </c>
      <c r="AS1496" t="s">
        <v>111</v>
      </c>
      <c r="AT1496" t="s">
        <v>111</v>
      </c>
      <c r="AU1496" t="s">
        <v>111</v>
      </c>
      <c r="AV1496" t="s">
        <v>111</v>
      </c>
      <c r="AW1496" t="s">
        <v>111</v>
      </c>
      <c r="AX1496" t="s">
        <v>111</v>
      </c>
      <c r="AY1496" t="s">
        <v>111</v>
      </c>
      <c r="AZ1496" t="s">
        <v>111</v>
      </c>
      <c r="BA1496" t="s">
        <v>111</v>
      </c>
      <c r="BB1496" t="s">
        <v>111</v>
      </c>
      <c r="BC1496" t="s">
        <v>111</v>
      </c>
      <c r="BD1496" t="s">
        <v>111</v>
      </c>
      <c r="BE1496" t="s">
        <v>111</v>
      </c>
      <c r="BF1496" t="s">
        <v>111</v>
      </c>
      <c r="BG1496" t="s">
        <v>111</v>
      </c>
      <c r="BH1496" t="s">
        <v>111</v>
      </c>
      <c r="BI1496" t="s">
        <v>111</v>
      </c>
      <c r="BJ1496" t="s">
        <v>111</v>
      </c>
      <c r="BK1496" t="s">
        <v>111</v>
      </c>
      <c r="BL1496" t="s">
        <v>111</v>
      </c>
      <c r="BM1496" t="s">
        <v>111</v>
      </c>
      <c r="BN1496" t="s">
        <v>111</v>
      </c>
      <c r="BO1496" t="s">
        <v>111</v>
      </c>
      <c r="BP1496" t="s">
        <v>111</v>
      </c>
      <c r="BQ1496" t="s">
        <v>111</v>
      </c>
      <c r="BR1496" t="s">
        <v>111</v>
      </c>
      <c r="BS1496" t="s">
        <v>111</v>
      </c>
      <c r="BT1496" t="s">
        <v>111</v>
      </c>
      <c r="BU1496" t="s">
        <v>111</v>
      </c>
      <c r="BV1496" t="s">
        <v>111</v>
      </c>
      <c r="BW1496" t="s">
        <v>111</v>
      </c>
      <c r="BX1496" t="s">
        <v>111</v>
      </c>
      <c r="BY1496" t="s">
        <v>111</v>
      </c>
      <c r="BZ1496" t="s">
        <v>111</v>
      </c>
      <c r="CA1496" t="s">
        <v>111</v>
      </c>
      <c r="CB1496" t="s">
        <v>111</v>
      </c>
      <c r="CC1496" t="s">
        <v>111</v>
      </c>
      <c r="CD1496" t="s">
        <v>111</v>
      </c>
      <c r="CE1496" t="s">
        <v>111</v>
      </c>
      <c r="CF1496" t="s">
        <v>111</v>
      </c>
      <c r="CG1496" t="s">
        <v>111</v>
      </c>
      <c r="CH1496" t="s">
        <v>111</v>
      </c>
      <c r="CI1496" t="s">
        <v>111</v>
      </c>
      <c r="CJ1496" t="s">
        <v>111</v>
      </c>
      <c r="CK1496" t="s">
        <v>111</v>
      </c>
      <c r="CL1496" t="s">
        <v>111</v>
      </c>
      <c r="CM1496" t="s">
        <v>135</v>
      </c>
      <c r="CN1496" t="s">
        <v>113</v>
      </c>
      <c r="CO1496" t="s">
        <v>111</v>
      </c>
      <c r="CP1496" t="s">
        <v>563</v>
      </c>
      <c r="CQ1496">
        <v>0</v>
      </c>
      <c r="CR1496">
        <v>10000</v>
      </c>
      <c r="CS1496">
        <v>200</v>
      </c>
      <c r="CT1496" t="e">
        <f>-ALMACEN</f>
        <v>#NAME?</v>
      </c>
      <c r="CU1496">
        <v>0</v>
      </c>
      <c r="CV1496" t="s">
        <v>111</v>
      </c>
      <c r="CW1496" t="s">
        <v>111</v>
      </c>
      <c r="CX1496" t="s">
        <v>111</v>
      </c>
      <c r="CY1496">
        <v>0</v>
      </c>
      <c r="CZ1496" t="s">
        <v>111</v>
      </c>
      <c r="DA1496" t="s">
        <v>111</v>
      </c>
      <c r="DB1496" t="s">
        <v>111</v>
      </c>
      <c r="DC1496" t="s">
        <v>111</v>
      </c>
    </row>
    <row r="1497" spans="1:107">
      <c r="A1497">
        <v>1522</v>
      </c>
      <c r="B1497" t="s">
        <v>107</v>
      </c>
      <c r="C1497" s="2">
        <v>811011909</v>
      </c>
      <c r="D1497" t="s">
        <v>4163</v>
      </c>
      <c r="E1497" t="s">
        <v>4164</v>
      </c>
      <c r="F1497" t="s">
        <v>1651</v>
      </c>
      <c r="G1497" t="s">
        <v>24</v>
      </c>
      <c r="H1497">
        <v>2.7</v>
      </c>
      <c r="I1497">
        <v>34</v>
      </c>
      <c r="J1497">
        <v>0</v>
      </c>
      <c r="K1497">
        <v>0</v>
      </c>
      <c r="L1497" t="s">
        <v>117</v>
      </c>
      <c r="M1497" t="s">
        <v>118</v>
      </c>
      <c r="N1497">
        <v>40</v>
      </c>
      <c r="O1497">
        <v>1</v>
      </c>
      <c r="P1497" t="s">
        <v>111</v>
      </c>
      <c r="Q1497">
        <v>26</v>
      </c>
      <c r="R1497">
        <v>0</v>
      </c>
      <c r="S1497">
        <v>0</v>
      </c>
      <c r="T1497">
        <v>5</v>
      </c>
      <c r="U1497" s="1" t="s">
        <v>662</v>
      </c>
      <c r="V1497">
        <v>0</v>
      </c>
      <c r="W1497">
        <v>0</v>
      </c>
      <c r="X1497">
        <v>0</v>
      </c>
      <c r="Y1497">
        <v>25</v>
      </c>
      <c r="Z1497" t="s">
        <v>111</v>
      </c>
      <c r="AA1497">
        <v>0</v>
      </c>
      <c r="AB1497" t="s">
        <v>3954</v>
      </c>
      <c r="AC1497">
        <v>3</v>
      </c>
      <c r="AD1497" t="s">
        <v>416</v>
      </c>
      <c r="AE1497">
        <v>0</v>
      </c>
      <c r="AF1497">
        <v>0</v>
      </c>
      <c r="AG1497" t="s">
        <v>111</v>
      </c>
      <c r="AH1497" t="s">
        <v>113</v>
      </c>
      <c r="AI1497" t="s">
        <v>111</v>
      </c>
      <c r="AJ1497" t="s">
        <v>111</v>
      </c>
      <c r="AK1497" t="s">
        <v>111</v>
      </c>
      <c r="AL1497" t="s">
        <v>111</v>
      </c>
      <c r="AM1497">
        <v>0</v>
      </c>
      <c r="AN1497">
        <v>0</v>
      </c>
      <c r="AO1497">
        <v>0</v>
      </c>
      <c r="AP1497" t="s">
        <v>111</v>
      </c>
      <c r="AQ1497" t="s">
        <v>111</v>
      </c>
      <c r="AR1497" t="s">
        <v>111</v>
      </c>
      <c r="AS1497" t="s">
        <v>111</v>
      </c>
      <c r="AT1497" t="s">
        <v>111</v>
      </c>
      <c r="AU1497" t="s">
        <v>111</v>
      </c>
      <c r="AV1497" t="s">
        <v>111</v>
      </c>
      <c r="AW1497" t="s">
        <v>111</v>
      </c>
      <c r="AX1497" t="s">
        <v>111</v>
      </c>
      <c r="AY1497" t="s">
        <v>111</v>
      </c>
      <c r="AZ1497" t="s">
        <v>111</v>
      </c>
      <c r="BA1497" t="s">
        <v>111</v>
      </c>
      <c r="BB1497" t="s">
        <v>111</v>
      </c>
      <c r="BC1497" t="s">
        <v>111</v>
      </c>
      <c r="BD1497" t="s">
        <v>111</v>
      </c>
      <c r="BE1497" t="s">
        <v>111</v>
      </c>
      <c r="BF1497" t="s">
        <v>111</v>
      </c>
      <c r="BG1497" t="s">
        <v>111</v>
      </c>
      <c r="BH1497" t="s">
        <v>111</v>
      </c>
      <c r="BI1497" t="s">
        <v>111</v>
      </c>
      <c r="BJ1497" t="s">
        <v>111</v>
      </c>
      <c r="BK1497" t="s">
        <v>111</v>
      </c>
      <c r="BL1497" t="s">
        <v>111</v>
      </c>
      <c r="BM1497" t="s">
        <v>111</v>
      </c>
      <c r="BN1497" t="s">
        <v>111</v>
      </c>
      <c r="BO1497" t="s">
        <v>111</v>
      </c>
      <c r="BP1497" t="s">
        <v>111</v>
      </c>
      <c r="BQ1497" t="s">
        <v>111</v>
      </c>
      <c r="BR1497" t="s">
        <v>111</v>
      </c>
      <c r="BS1497" t="s">
        <v>111</v>
      </c>
      <c r="BT1497" t="s">
        <v>111</v>
      </c>
      <c r="BU1497" t="s">
        <v>111</v>
      </c>
      <c r="BV1497" t="s">
        <v>111</v>
      </c>
      <c r="BW1497" t="s">
        <v>111</v>
      </c>
      <c r="BX1497" t="s">
        <v>111</v>
      </c>
      <c r="BY1497" t="s">
        <v>111</v>
      </c>
      <c r="BZ1497" t="s">
        <v>111</v>
      </c>
      <c r="CA1497" t="s">
        <v>111</v>
      </c>
      <c r="CB1497" t="s">
        <v>111</v>
      </c>
      <c r="CC1497" t="s">
        <v>111</v>
      </c>
      <c r="CD1497" t="s">
        <v>111</v>
      </c>
      <c r="CE1497" t="s">
        <v>111</v>
      </c>
      <c r="CF1497" t="s">
        <v>111</v>
      </c>
      <c r="CG1497" t="s">
        <v>111</v>
      </c>
      <c r="CH1497" t="s">
        <v>111</v>
      </c>
      <c r="CI1497" t="s">
        <v>111</v>
      </c>
      <c r="CJ1497" t="s">
        <v>111</v>
      </c>
      <c r="CK1497" t="s">
        <v>111</v>
      </c>
      <c r="CL1497" t="s">
        <v>111</v>
      </c>
      <c r="CM1497" t="s">
        <v>135</v>
      </c>
      <c r="CN1497" t="s">
        <v>113</v>
      </c>
      <c r="CO1497" t="s">
        <v>111</v>
      </c>
      <c r="CP1497" t="e">
        <f>-MUESTRA</f>
        <v>#NAME?</v>
      </c>
      <c r="CQ1497">
        <v>0</v>
      </c>
      <c r="CR1497">
        <v>6000</v>
      </c>
      <c r="CS1497">
        <v>100</v>
      </c>
      <c r="CT1497" t="e">
        <f>-ALMACEN</f>
        <v>#NAME?</v>
      </c>
      <c r="CU1497">
        <v>0</v>
      </c>
      <c r="CV1497" t="s">
        <v>111</v>
      </c>
      <c r="CW1497" t="s">
        <v>111</v>
      </c>
      <c r="CX1497" t="s">
        <v>111</v>
      </c>
      <c r="CY1497">
        <v>0</v>
      </c>
      <c r="CZ1497" t="s">
        <v>111</v>
      </c>
      <c r="DA1497" t="s">
        <v>111</v>
      </c>
      <c r="DB1497" t="s">
        <v>111</v>
      </c>
      <c r="DC1497" t="s">
        <v>111</v>
      </c>
    </row>
    <row r="1498" spans="1:107">
      <c r="A1498">
        <v>1505</v>
      </c>
      <c r="B1498" t="s">
        <v>107</v>
      </c>
      <c r="C1498" t="s">
        <v>928</v>
      </c>
      <c r="D1498" t="s">
        <v>4197</v>
      </c>
      <c r="E1498" t="s">
        <v>4198</v>
      </c>
      <c r="F1498" t="s">
        <v>1071</v>
      </c>
      <c r="G1498" t="s">
        <v>24</v>
      </c>
      <c r="H1498">
        <v>1.1000000000000001</v>
      </c>
      <c r="I1498">
        <v>44</v>
      </c>
      <c r="J1498">
        <v>0</v>
      </c>
      <c r="K1498">
        <v>0</v>
      </c>
      <c r="L1498" t="s">
        <v>112</v>
      </c>
      <c r="M1498" t="s">
        <v>118</v>
      </c>
      <c r="N1498">
        <v>0</v>
      </c>
      <c r="O1498">
        <v>0</v>
      </c>
      <c r="P1498" t="s">
        <v>111</v>
      </c>
      <c r="Q1498">
        <v>30.5</v>
      </c>
      <c r="R1498">
        <v>0</v>
      </c>
      <c r="S1498">
        <v>0</v>
      </c>
      <c r="T1498">
        <v>5</v>
      </c>
      <c r="U1498" t="e">
        <f>-DESTINO SELLADO</f>
        <v>#NAME?</v>
      </c>
      <c r="V1498">
        <v>0</v>
      </c>
      <c r="W1498">
        <v>0</v>
      </c>
      <c r="X1498">
        <v>0</v>
      </c>
      <c r="Y1498">
        <v>25</v>
      </c>
      <c r="Z1498" t="s">
        <v>111</v>
      </c>
      <c r="AA1498">
        <v>0</v>
      </c>
      <c r="AB1498" t="s">
        <v>111</v>
      </c>
      <c r="AC1498">
        <v>0</v>
      </c>
      <c r="AD1498" t="s">
        <v>111</v>
      </c>
      <c r="AE1498">
        <v>0</v>
      </c>
      <c r="AF1498">
        <v>0</v>
      </c>
      <c r="AG1498" t="s">
        <v>111</v>
      </c>
      <c r="AH1498" t="s">
        <v>111</v>
      </c>
      <c r="AI1498" t="s">
        <v>111</v>
      </c>
      <c r="AJ1498" t="s">
        <v>111</v>
      </c>
      <c r="AK1498" t="s">
        <v>111</v>
      </c>
      <c r="AL1498" t="s">
        <v>111</v>
      </c>
      <c r="AM1498">
        <v>0</v>
      </c>
      <c r="AN1498">
        <v>0</v>
      </c>
      <c r="AO1498">
        <v>0</v>
      </c>
      <c r="AP1498" t="s">
        <v>111</v>
      </c>
      <c r="AQ1498" t="s">
        <v>111</v>
      </c>
      <c r="AR1498" t="s">
        <v>111</v>
      </c>
      <c r="AS1498" t="s">
        <v>111</v>
      </c>
      <c r="AT1498" t="s">
        <v>111</v>
      </c>
      <c r="AU1498" t="s">
        <v>111</v>
      </c>
      <c r="AV1498" t="s">
        <v>111</v>
      </c>
      <c r="AW1498" t="s">
        <v>111</v>
      </c>
      <c r="AX1498" t="s">
        <v>111</v>
      </c>
      <c r="AY1498" t="s">
        <v>111</v>
      </c>
      <c r="AZ1498" t="s">
        <v>111</v>
      </c>
      <c r="BA1498" t="s">
        <v>111</v>
      </c>
      <c r="BB1498" t="s">
        <v>111</v>
      </c>
      <c r="BC1498" t="s">
        <v>111</v>
      </c>
      <c r="BD1498" t="s">
        <v>111</v>
      </c>
      <c r="BE1498" t="s">
        <v>111</v>
      </c>
      <c r="BF1498" t="s">
        <v>111</v>
      </c>
      <c r="BG1498" t="s">
        <v>111</v>
      </c>
      <c r="BH1498" t="s">
        <v>111</v>
      </c>
      <c r="BI1498" t="s">
        <v>111</v>
      </c>
      <c r="BJ1498" t="s">
        <v>111</v>
      </c>
      <c r="BK1498" t="s">
        <v>111</v>
      </c>
      <c r="BL1498" t="s">
        <v>111</v>
      </c>
      <c r="BM1498" t="s">
        <v>111</v>
      </c>
      <c r="BN1498" t="s">
        <v>111</v>
      </c>
      <c r="BO1498" t="s">
        <v>111</v>
      </c>
      <c r="BP1498" t="s">
        <v>111</v>
      </c>
      <c r="BQ1498" t="s">
        <v>111</v>
      </c>
      <c r="BR1498" t="s">
        <v>111</v>
      </c>
      <c r="BS1498" t="s">
        <v>111</v>
      </c>
      <c r="BT1498" t="s">
        <v>111</v>
      </c>
      <c r="BU1498" t="s">
        <v>111</v>
      </c>
      <c r="BV1498" t="s">
        <v>111</v>
      </c>
      <c r="BW1498" t="s">
        <v>111</v>
      </c>
      <c r="BX1498" t="s">
        <v>111</v>
      </c>
      <c r="BY1498" t="s">
        <v>111</v>
      </c>
      <c r="BZ1498" t="s">
        <v>111</v>
      </c>
      <c r="CA1498" t="s">
        <v>111</v>
      </c>
      <c r="CB1498" t="s">
        <v>111</v>
      </c>
      <c r="CC1498" t="s">
        <v>111</v>
      </c>
      <c r="CD1498" t="s">
        <v>111</v>
      </c>
      <c r="CE1498" t="s">
        <v>111</v>
      </c>
      <c r="CF1498" t="s">
        <v>111</v>
      </c>
      <c r="CG1498" t="s">
        <v>111</v>
      </c>
      <c r="CH1498" t="s">
        <v>111</v>
      </c>
      <c r="CI1498" t="s">
        <v>111</v>
      </c>
      <c r="CJ1498" t="s">
        <v>111</v>
      </c>
      <c r="CK1498" t="s">
        <v>111</v>
      </c>
      <c r="CL1498" t="s">
        <v>111</v>
      </c>
      <c r="CM1498" t="s">
        <v>438</v>
      </c>
      <c r="CN1498" t="s">
        <v>113</v>
      </c>
      <c r="CO1498" t="s">
        <v>637</v>
      </c>
      <c r="CP1498" t="s">
        <v>111</v>
      </c>
      <c r="CQ1498">
        <v>0</v>
      </c>
      <c r="CR1498">
        <v>5000</v>
      </c>
      <c r="CS1498">
        <v>100</v>
      </c>
      <c r="CT1498" t="e">
        <f>-DAESTINO ALMACEN</f>
        <v>#NAME?</v>
      </c>
      <c r="CU1498">
        <v>0</v>
      </c>
      <c r="CV1498" t="s">
        <v>111</v>
      </c>
      <c r="CW1498" t="s">
        <v>111</v>
      </c>
      <c r="CX1498" t="s">
        <v>111</v>
      </c>
      <c r="CY1498">
        <v>0</v>
      </c>
      <c r="CZ1498" t="s">
        <v>111</v>
      </c>
      <c r="DA1498" t="s">
        <v>111</v>
      </c>
      <c r="DB1498" t="s">
        <v>111</v>
      </c>
      <c r="DC1498" t="s">
        <v>111</v>
      </c>
    </row>
    <row r="1499" spans="1:107">
      <c r="A1499">
        <v>1503</v>
      </c>
      <c r="B1499" t="s">
        <v>107</v>
      </c>
      <c r="C1499" t="s">
        <v>4199</v>
      </c>
      <c r="D1499" t="s">
        <v>4200</v>
      </c>
      <c r="E1499" t="s">
        <v>4201</v>
      </c>
      <c r="F1499" t="s">
        <v>1651</v>
      </c>
      <c r="G1499" t="s">
        <v>24</v>
      </c>
      <c r="H1499">
        <v>2</v>
      </c>
      <c r="I1499">
        <v>48</v>
      </c>
      <c r="J1499">
        <v>0</v>
      </c>
      <c r="K1499">
        <v>0</v>
      </c>
      <c r="L1499" t="s">
        <v>112</v>
      </c>
      <c r="M1499" t="s">
        <v>118</v>
      </c>
      <c r="N1499">
        <v>40</v>
      </c>
      <c r="O1499">
        <v>2</v>
      </c>
      <c r="P1499" t="s">
        <v>111</v>
      </c>
      <c r="Q1499">
        <v>31.6</v>
      </c>
      <c r="R1499">
        <v>0</v>
      </c>
      <c r="S1499">
        <v>0</v>
      </c>
      <c r="T1499">
        <v>5</v>
      </c>
      <c r="U1499" s="1" t="s">
        <v>4202</v>
      </c>
      <c r="V1499">
        <v>0</v>
      </c>
      <c r="W1499">
        <v>0</v>
      </c>
      <c r="X1499">
        <v>0</v>
      </c>
      <c r="Y1499">
        <v>25</v>
      </c>
      <c r="Z1499" t="s">
        <v>111</v>
      </c>
      <c r="AA1499">
        <v>0</v>
      </c>
      <c r="AB1499" t="s">
        <v>111</v>
      </c>
      <c r="AC1499">
        <v>0</v>
      </c>
      <c r="AD1499" t="s">
        <v>416</v>
      </c>
      <c r="AE1499">
        <v>0</v>
      </c>
      <c r="AF1499">
        <v>0</v>
      </c>
      <c r="AG1499" t="s">
        <v>111</v>
      </c>
      <c r="AH1499" t="s">
        <v>113</v>
      </c>
      <c r="AI1499" t="s">
        <v>111</v>
      </c>
      <c r="AJ1499" t="s">
        <v>111</v>
      </c>
      <c r="AK1499" t="s">
        <v>111</v>
      </c>
      <c r="AL1499" t="s">
        <v>111</v>
      </c>
      <c r="AM1499">
        <v>0</v>
      </c>
      <c r="AN1499">
        <v>0</v>
      </c>
      <c r="AO1499">
        <v>0</v>
      </c>
      <c r="AP1499" t="s">
        <v>111</v>
      </c>
      <c r="AQ1499" t="s">
        <v>111</v>
      </c>
      <c r="AR1499" t="s">
        <v>111</v>
      </c>
      <c r="AS1499" t="s">
        <v>111</v>
      </c>
      <c r="AT1499" t="s">
        <v>111</v>
      </c>
      <c r="AU1499" t="s">
        <v>111</v>
      </c>
      <c r="AV1499" t="s">
        <v>111</v>
      </c>
      <c r="AW1499" t="s">
        <v>111</v>
      </c>
      <c r="AX1499" t="s">
        <v>111</v>
      </c>
      <c r="AY1499" t="s">
        <v>111</v>
      </c>
      <c r="AZ1499" t="s">
        <v>111</v>
      </c>
      <c r="BA1499" t="s">
        <v>111</v>
      </c>
      <c r="BB1499" t="s">
        <v>111</v>
      </c>
      <c r="BC1499" t="s">
        <v>111</v>
      </c>
      <c r="BD1499" t="s">
        <v>111</v>
      </c>
      <c r="BE1499" t="s">
        <v>111</v>
      </c>
      <c r="BF1499" t="s">
        <v>111</v>
      </c>
      <c r="BG1499" t="s">
        <v>111</v>
      </c>
      <c r="BH1499" t="s">
        <v>111</v>
      </c>
      <c r="BI1499" t="s">
        <v>111</v>
      </c>
      <c r="BJ1499" t="s">
        <v>111</v>
      </c>
      <c r="BK1499" t="s">
        <v>111</v>
      </c>
      <c r="BL1499" t="s">
        <v>111</v>
      </c>
      <c r="BM1499" t="s">
        <v>111</v>
      </c>
      <c r="BN1499" t="s">
        <v>111</v>
      </c>
      <c r="BO1499" t="s">
        <v>111</v>
      </c>
      <c r="BP1499" t="s">
        <v>111</v>
      </c>
      <c r="BQ1499" t="s">
        <v>111</v>
      </c>
      <c r="BR1499" t="s">
        <v>111</v>
      </c>
      <c r="BS1499" t="s">
        <v>111</v>
      </c>
      <c r="BT1499" t="s">
        <v>111</v>
      </c>
      <c r="BU1499" t="s">
        <v>111</v>
      </c>
      <c r="BV1499" t="s">
        <v>111</v>
      </c>
      <c r="BW1499" t="s">
        <v>111</v>
      </c>
      <c r="BX1499" t="s">
        <v>111</v>
      </c>
      <c r="BY1499" t="s">
        <v>111</v>
      </c>
      <c r="BZ1499" t="s">
        <v>111</v>
      </c>
      <c r="CA1499" t="s">
        <v>111</v>
      </c>
      <c r="CB1499" t="s">
        <v>111</v>
      </c>
      <c r="CC1499" t="s">
        <v>2162</v>
      </c>
      <c r="CD1499" t="s">
        <v>111</v>
      </c>
      <c r="CE1499" t="s">
        <v>111</v>
      </c>
      <c r="CF1499" t="s">
        <v>111</v>
      </c>
      <c r="CG1499" t="s">
        <v>111</v>
      </c>
      <c r="CH1499" t="s">
        <v>111</v>
      </c>
      <c r="CI1499" t="s">
        <v>111</v>
      </c>
      <c r="CJ1499" t="s">
        <v>111</v>
      </c>
      <c r="CK1499" t="s">
        <v>111</v>
      </c>
      <c r="CL1499" t="s">
        <v>111</v>
      </c>
      <c r="CM1499" t="s">
        <v>135</v>
      </c>
      <c r="CN1499" t="s">
        <v>113</v>
      </c>
      <c r="CO1499" t="s">
        <v>111</v>
      </c>
      <c r="CP1499" t="s">
        <v>111</v>
      </c>
      <c r="CQ1499">
        <v>0</v>
      </c>
      <c r="CR1499">
        <v>3000</v>
      </c>
      <c r="CS1499">
        <v>200</v>
      </c>
      <c r="CT1499" s="1" t="s">
        <v>4203</v>
      </c>
      <c r="CU1499">
        <v>0</v>
      </c>
      <c r="CV1499" t="s">
        <v>111</v>
      </c>
      <c r="CW1499" t="s">
        <v>111</v>
      </c>
      <c r="CX1499" t="s">
        <v>111</v>
      </c>
      <c r="CY1499">
        <v>0</v>
      </c>
      <c r="CZ1499" t="s">
        <v>111</v>
      </c>
      <c r="DA1499" t="s">
        <v>111</v>
      </c>
      <c r="DB1499" t="s">
        <v>111</v>
      </c>
      <c r="DC1499" t="s">
        <v>111</v>
      </c>
    </row>
    <row r="1500" spans="1:107">
      <c r="A1500">
        <v>1496</v>
      </c>
      <c r="B1500" t="s">
        <v>107</v>
      </c>
      <c r="C1500" t="s">
        <v>4147</v>
      </c>
      <c r="D1500" t="s">
        <v>4204</v>
      </c>
      <c r="E1500" t="s">
        <v>4205</v>
      </c>
      <c r="F1500" t="s">
        <v>1651</v>
      </c>
      <c r="G1500" t="s">
        <v>24</v>
      </c>
      <c r="H1500">
        <v>1.9</v>
      </c>
      <c r="I1500">
        <v>33</v>
      </c>
      <c r="J1500">
        <v>0</v>
      </c>
      <c r="K1500">
        <v>0</v>
      </c>
      <c r="L1500" t="s">
        <v>112</v>
      </c>
      <c r="M1500" t="s">
        <v>138</v>
      </c>
      <c r="N1500">
        <v>0</v>
      </c>
      <c r="O1500">
        <v>0</v>
      </c>
      <c r="P1500" t="s">
        <v>111</v>
      </c>
      <c r="Q1500">
        <v>38.700000000000003</v>
      </c>
      <c r="R1500">
        <v>0</v>
      </c>
      <c r="S1500">
        <v>0</v>
      </c>
      <c r="T1500">
        <v>5</v>
      </c>
      <c r="U1500" t="e">
        <f>-DESTINO SELLADO</f>
        <v>#NAME?</v>
      </c>
      <c r="V1500">
        <v>0</v>
      </c>
      <c r="W1500">
        <v>0</v>
      </c>
      <c r="X1500">
        <v>0</v>
      </c>
      <c r="Y1500">
        <v>25</v>
      </c>
      <c r="Z1500" t="s">
        <v>111</v>
      </c>
      <c r="AA1500">
        <v>0</v>
      </c>
      <c r="AB1500" t="s">
        <v>111</v>
      </c>
      <c r="AC1500">
        <v>0</v>
      </c>
      <c r="AD1500" t="s">
        <v>111</v>
      </c>
      <c r="AE1500">
        <v>0</v>
      </c>
      <c r="AF1500">
        <v>0</v>
      </c>
      <c r="AG1500" t="s">
        <v>111</v>
      </c>
      <c r="AH1500" t="s">
        <v>111</v>
      </c>
      <c r="AI1500" t="s">
        <v>111</v>
      </c>
      <c r="AJ1500" t="s">
        <v>111</v>
      </c>
      <c r="AK1500" t="s">
        <v>111</v>
      </c>
      <c r="AL1500" t="s">
        <v>111</v>
      </c>
      <c r="AM1500">
        <v>0</v>
      </c>
      <c r="AN1500">
        <v>0</v>
      </c>
      <c r="AO1500">
        <v>0</v>
      </c>
      <c r="AP1500" t="s">
        <v>111</v>
      </c>
      <c r="AQ1500" t="s">
        <v>111</v>
      </c>
      <c r="AR1500" t="s">
        <v>111</v>
      </c>
      <c r="AS1500" t="s">
        <v>111</v>
      </c>
      <c r="AT1500" t="s">
        <v>111</v>
      </c>
      <c r="AU1500" t="s">
        <v>111</v>
      </c>
      <c r="AV1500" t="s">
        <v>111</v>
      </c>
      <c r="AW1500" t="s">
        <v>111</v>
      </c>
      <c r="AX1500" t="s">
        <v>111</v>
      </c>
      <c r="AY1500" t="s">
        <v>111</v>
      </c>
      <c r="AZ1500" t="s">
        <v>111</v>
      </c>
      <c r="BA1500" t="s">
        <v>111</v>
      </c>
      <c r="BB1500" t="s">
        <v>111</v>
      </c>
      <c r="BC1500" t="s">
        <v>111</v>
      </c>
      <c r="BD1500" t="s">
        <v>111</v>
      </c>
      <c r="BE1500" t="s">
        <v>111</v>
      </c>
      <c r="BF1500" t="s">
        <v>111</v>
      </c>
      <c r="BG1500" t="s">
        <v>111</v>
      </c>
      <c r="BH1500" t="s">
        <v>111</v>
      </c>
      <c r="BI1500" t="s">
        <v>111</v>
      </c>
      <c r="BJ1500" t="s">
        <v>111</v>
      </c>
      <c r="BK1500" t="s">
        <v>111</v>
      </c>
      <c r="BL1500" t="s">
        <v>111</v>
      </c>
      <c r="BM1500" t="s">
        <v>111</v>
      </c>
      <c r="BN1500" t="s">
        <v>111</v>
      </c>
      <c r="BO1500" t="s">
        <v>111</v>
      </c>
      <c r="BP1500" t="s">
        <v>111</v>
      </c>
      <c r="BQ1500" t="s">
        <v>111</v>
      </c>
      <c r="BR1500" t="s">
        <v>111</v>
      </c>
      <c r="BS1500" t="s">
        <v>111</v>
      </c>
      <c r="BT1500" t="s">
        <v>111</v>
      </c>
      <c r="BU1500" t="s">
        <v>111</v>
      </c>
      <c r="BV1500" t="s">
        <v>111</v>
      </c>
      <c r="BW1500" t="s">
        <v>111</v>
      </c>
      <c r="BX1500" t="s">
        <v>111</v>
      </c>
      <c r="BY1500" t="s">
        <v>111</v>
      </c>
      <c r="BZ1500" t="s">
        <v>111</v>
      </c>
      <c r="CA1500" t="s">
        <v>111</v>
      </c>
      <c r="CB1500" t="s">
        <v>111</v>
      </c>
      <c r="CC1500" t="s">
        <v>111</v>
      </c>
      <c r="CD1500" t="s">
        <v>111</v>
      </c>
      <c r="CE1500" t="s">
        <v>111</v>
      </c>
      <c r="CF1500" t="s">
        <v>111</v>
      </c>
      <c r="CG1500" t="s">
        <v>111</v>
      </c>
      <c r="CH1500" t="s">
        <v>111</v>
      </c>
      <c r="CI1500" t="s">
        <v>111</v>
      </c>
      <c r="CJ1500" t="s">
        <v>111</v>
      </c>
      <c r="CK1500" t="s">
        <v>111</v>
      </c>
      <c r="CL1500" t="s">
        <v>111</v>
      </c>
      <c r="CM1500" t="s">
        <v>438</v>
      </c>
      <c r="CN1500" t="s">
        <v>111</v>
      </c>
      <c r="CO1500" t="s">
        <v>111</v>
      </c>
      <c r="CP1500" t="s">
        <v>111</v>
      </c>
      <c r="CQ1500">
        <v>0</v>
      </c>
      <c r="CR1500">
        <v>6000</v>
      </c>
      <c r="CS1500">
        <v>200</v>
      </c>
      <c r="CT1500" t="e">
        <f>-ALMACEN</f>
        <v>#NAME?</v>
      </c>
      <c r="CU1500">
        <v>0</v>
      </c>
      <c r="CV1500" t="s">
        <v>111</v>
      </c>
      <c r="CW1500" t="s">
        <v>111</v>
      </c>
      <c r="CX1500" t="s">
        <v>111</v>
      </c>
      <c r="CY1500">
        <v>0</v>
      </c>
      <c r="CZ1500" t="s">
        <v>111</v>
      </c>
      <c r="DA1500" t="s">
        <v>111</v>
      </c>
      <c r="DB1500" t="s">
        <v>111</v>
      </c>
      <c r="DC1500" t="s">
        <v>111</v>
      </c>
    </row>
    <row r="1501" spans="1:107">
      <c r="A1501">
        <v>1458</v>
      </c>
      <c r="B1501" t="s">
        <v>107</v>
      </c>
      <c r="C1501" t="s">
        <v>4206</v>
      </c>
      <c r="D1501" t="s">
        <v>4207</v>
      </c>
      <c r="E1501" t="s">
        <v>4208</v>
      </c>
      <c r="F1501" t="s">
        <v>1071</v>
      </c>
      <c r="G1501" t="s">
        <v>24</v>
      </c>
      <c r="H1501">
        <v>1</v>
      </c>
      <c r="I1501">
        <v>20</v>
      </c>
      <c r="J1501">
        <v>0</v>
      </c>
      <c r="K1501">
        <v>0</v>
      </c>
      <c r="L1501" t="s">
        <v>112</v>
      </c>
      <c r="M1501" t="s">
        <v>111</v>
      </c>
      <c r="N1501">
        <v>0</v>
      </c>
      <c r="O1501">
        <v>0</v>
      </c>
      <c r="P1501" t="s">
        <v>111</v>
      </c>
      <c r="Q1501">
        <v>15</v>
      </c>
      <c r="R1501">
        <v>0</v>
      </c>
      <c r="S1501">
        <v>0</v>
      </c>
      <c r="T1501">
        <v>5</v>
      </c>
      <c r="U1501" t="e">
        <f>-DESTINO SELLADO</f>
        <v>#NAME?</v>
      </c>
      <c r="V1501">
        <v>0</v>
      </c>
      <c r="W1501">
        <v>0</v>
      </c>
      <c r="X1501">
        <v>0</v>
      </c>
      <c r="Y1501">
        <v>25</v>
      </c>
      <c r="Z1501" t="s">
        <v>111</v>
      </c>
      <c r="AA1501">
        <v>0</v>
      </c>
      <c r="AB1501" t="s">
        <v>111</v>
      </c>
      <c r="AC1501">
        <v>0</v>
      </c>
      <c r="AD1501" t="s">
        <v>111</v>
      </c>
      <c r="AE1501">
        <v>0</v>
      </c>
      <c r="AF1501">
        <v>0</v>
      </c>
      <c r="AG1501" t="s">
        <v>111</v>
      </c>
      <c r="AH1501" t="s">
        <v>111</v>
      </c>
      <c r="AI1501" t="s">
        <v>111</v>
      </c>
      <c r="AJ1501" t="s">
        <v>111</v>
      </c>
      <c r="AK1501" t="s">
        <v>111</v>
      </c>
      <c r="AL1501" t="s">
        <v>111</v>
      </c>
      <c r="AM1501">
        <v>0</v>
      </c>
      <c r="AN1501">
        <v>0</v>
      </c>
      <c r="AO1501">
        <v>0</v>
      </c>
      <c r="AP1501" t="s">
        <v>111</v>
      </c>
      <c r="AQ1501" t="s">
        <v>111</v>
      </c>
      <c r="AR1501" t="s">
        <v>111</v>
      </c>
      <c r="AS1501" t="s">
        <v>111</v>
      </c>
      <c r="AT1501" t="s">
        <v>111</v>
      </c>
      <c r="AU1501" t="s">
        <v>111</v>
      </c>
      <c r="AV1501" t="s">
        <v>111</v>
      </c>
      <c r="AW1501" t="s">
        <v>111</v>
      </c>
      <c r="AX1501" t="s">
        <v>111</v>
      </c>
      <c r="AY1501" t="s">
        <v>111</v>
      </c>
      <c r="AZ1501" t="s">
        <v>111</v>
      </c>
      <c r="BA1501" t="s">
        <v>111</v>
      </c>
      <c r="BB1501" t="s">
        <v>111</v>
      </c>
      <c r="BC1501" t="s">
        <v>111</v>
      </c>
      <c r="BD1501" t="s">
        <v>111</v>
      </c>
      <c r="BE1501" t="s">
        <v>111</v>
      </c>
      <c r="BF1501" t="s">
        <v>111</v>
      </c>
      <c r="BG1501" t="s">
        <v>111</v>
      </c>
      <c r="BH1501" t="s">
        <v>111</v>
      </c>
      <c r="BI1501" t="s">
        <v>111</v>
      </c>
      <c r="BJ1501" t="s">
        <v>111</v>
      </c>
      <c r="BK1501" t="s">
        <v>111</v>
      </c>
      <c r="BL1501" t="s">
        <v>111</v>
      </c>
      <c r="BM1501" t="s">
        <v>111</v>
      </c>
      <c r="BN1501" t="s">
        <v>111</v>
      </c>
      <c r="BO1501" t="s">
        <v>111</v>
      </c>
      <c r="BP1501" t="s">
        <v>111</v>
      </c>
      <c r="BQ1501" t="s">
        <v>111</v>
      </c>
      <c r="BR1501" t="s">
        <v>111</v>
      </c>
      <c r="BS1501" t="s">
        <v>111</v>
      </c>
      <c r="BT1501" t="s">
        <v>111</v>
      </c>
      <c r="BU1501" t="s">
        <v>111</v>
      </c>
      <c r="BV1501" t="s">
        <v>111</v>
      </c>
      <c r="BW1501" t="s">
        <v>111</v>
      </c>
      <c r="BX1501" t="s">
        <v>111</v>
      </c>
      <c r="BY1501" t="s">
        <v>111</v>
      </c>
      <c r="BZ1501" t="s">
        <v>111</v>
      </c>
      <c r="CA1501" t="s">
        <v>111</v>
      </c>
      <c r="CB1501" t="s">
        <v>111</v>
      </c>
      <c r="CC1501" t="s">
        <v>111</v>
      </c>
      <c r="CD1501" t="s">
        <v>111</v>
      </c>
      <c r="CE1501" t="s">
        <v>111</v>
      </c>
      <c r="CF1501" t="s">
        <v>111</v>
      </c>
      <c r="CG1501" t="s">
        <v>111</v>
      </c>
      <c r="CH1501" t="s">
        <v>111</v>
      </c>
      <c r="CI1501" t="s">
        <v>111</v>
      </c>
      <c r="CJ1501" t="s">
        <v>111</v>
      </c>
      <c r="CK1501" t="s">
        <v>111</v>
      </c>
      <c r="CL1501" t="s">
        <v>111</v>
      </c>
      <c r="CM1501">
        <v>450</v>
      </c>
      <c r="CN1501" t="s">
        <v>113</v>
      </c>
      <c r="CO1501" t="s">
        <v>111</v>
      </c>
      <c r="CP1501" t="s">
        <v>111</v>
      </c>
      <c r="CQ1501">
        <v>0</v>
      </c>
      <c r="CR1501">
        <v>40000</v>
      </c>
      <c r="CS1501">
        <v>100</v>
      </c>
      <c r="CT1501" t="e">
        <f>-ALMACEN</f>
        <v>#NAME?</v>
      </c>
      <c r="CU1501">
        <v>0</v>
      </c>
      <c r="CV1501" t="s">
        <v>111</v>
      </c>
      <c r="CW1501" t="s">
        <v>111</v>
      </c>
      <c r="CX1501" t="s">
        <v>111</v>
      </c>
      <c r="CY1501">
        <v>0</v>
      </c>
      <c r="CZ1501" t="s">
        <v>111</v>
      </c>
      <c r="DA1501" t="s">
        <v>111</v>
      </c>
      <c r="DB1501" t="s">
        <v>111</v>
      </c>
      <c r="DC1501" t="s">
        <v>111</v>
      </c>
    </row>
    <row r="1502" spans="1:107">
      <c r="A1502">
        <v>1498</v>
      </c>
      <c r="B1502" t="s">
        <v>107</v>
      </c>
      <c r="C1502" t="s">
        <v>3783</v>
      </c>
      <c r="D1502" t="s">
        <v>3960</v>
      </c>
      <c r="E1502" t="s">
        <v>4209</v>
      </c>
      <c r="F1502" t="s">
        <v>1260</v>
      </c>
      <c r="G1502" t="s">
        <v>24</v>
      </c>
      <c r="H1502">
        <v>1.9</v>
      </c>
      <c r="I1502">
        <v>40</v>
      </c>
      <c r="J1502">
        <v>0</v>
      </c>
      <c r="K1502">
        <v>0</v>
      </c>
      <c r="L1502" t="s">
        <v>117</v>
      </c>
      <c r="M1502" t="s">
        <v>118</v>
      </c>
      <c r="N1502">
        <v>40</v>
      </c>
      <c r="O1502">
        <v>1</v>
      </c>
      <c r="P1502" t="s">
        <v>111</v>
      </c>
      <c r="Q1502">
        <v>44.2</v>
      </c>
      <c r="R1502">
        <v>0</v>
      </c>
      <c r="S1502">
        <v>0</v>
      </c>
      <c r="T1502">
        <v>5</v>
      </c>
      <c r="U1502" t="e">
        <f>-DESTINO DARMA</f>
        <v>#NAME?</v>
      </c>
      <c r="V1502">
        <v>0</v>
      </c>
      <c r="W1502">
        <v>0</v>
      </c>
      <c r="X1502">
        <v>0</v>
      </c>
      <c r="Y1502">
        <v>25</v>
      </c>
      <c r="Z1502" t="s">
        <v>111</v>
      </c>
      <c r="AA1502">
        <v>0</v>
      </c>
      <c r="AB1502" t="s">
        <v>111</v>
      </c>
      <c r="AC1502">
        <v>0</v>
      </c>
      <c r="AD1502" t="s">
        <v>416</v>
      </c>
      <c r="AE1502">
        <v>0</v>
      </c>
      <c r="AF1502">
        <v>0</v>
      </c>
      <c r="AG1502" t="s">
        <v>111</v>
      </c>
      <c r="AH1502" t="s">
        <v>113</v>
      </c>
      <c r="AI1502" t="s">
        <v>111</v>
      </c>
      <c r="AJ1502" t="s">
        <v>111</v>
      </c>
      <c r="AK1502" t="s">
        <v>111</v>
      </c>
      <c r="AL1502" t="s">
        <v>111</v>
      </c>
      <c r="AM1502">
        <v>0</v>
      </c>
      <c r="AN1502">
        <v>0</v>
      </c>
      <c r="AO1502">
        <v>0</v>
      </c>
      <c r="AP1502" t="s">
        <v>111</v>
      </c>
      <c r="AQ1502" t="s">
        <v>111</v>
      </c>
      <c r="AR1502" t="s">
        <v>111</v>
      </c>
      <c r="AS1502" t="s">
        <v>111</v>
      </c>
      <c r="AT1502" t="s">
        <v>111</v>
      </c>
      <c r="AU1502" t="s">
        <v>111</v>
      </c>
      <c r="AV1502" t="s">
        <v>111</v>
      </c>
      <c r="AW1502" t="s">
        <v>111</v>
      </c>
      <c r="AX1502" t="s">
        <v>111</v>
      </c>
      <c r="AY1502" t="s">
        <v>111</v>
      </c>
      <c r="AZ1502" t="s">
        <v>111</v>
      </c>
      <c r="BA1502" t="s">
        <v>111</v>
      </c>
      <c r="BB1502" t="s">
        <v>111</v>
      </c>
      <c r="BC1502" t="s">
        <v>111</v>
      </c>
      <c r="BD1502" t="s">
        <v>111</v>
      </c>
      <c r="BE1502" t="s">
        <v>111</v>
      </c>
      <c r="BF1502" t="s">
        <v>111</v>
      </c>
      <c r="BG1502" t="s">
        <v>111</v>
      </c>
      <c r="BH1502" t="s">
        <v>111</v>
      </c>
      <c r="BI1502" t="s">
        <v>111</v>
      </c>
      <c r="BJ1502" t="s">
        <v>111</v>
      </c>
      <c r="BK1502" t="s">
        <v>111</v>
      </c>
      <c r="BL1502" t="s">
        <v>111</v>
      </c>
      <c r="BM1502" t="s">
        <v>111</v>
      </c>
      <c r="BN1502" t="s">
        <v>111</v>
      </c>
      <c r="BO1502" t="s">
        <v>111</v>
      </c>
      <c r="BP1502" t="s">
        <v>111</v>
      </c>
      <c r="BQ1502" t="s">
        <v>111</v>
      </c>
      <c r="BR1502" t="s">
        <v>111</v>
      </c>
      <c r="BS1502" t="s">
        <v>111</v>
      </c>
      <c r="BT1502" t="s">
        <v>111</v>
      </c>
      <c r="BU1502" t="s">
        <v>111</v>
      </c>
      <c r="BV1502" t="s">
        <v>111</v>
      </c>
      <c r="BW1502" t="s">
        <v>111</v>
      </c>
      <c r="BX1502" t="s">
        <v>111</v>
      </c>
      <c r="BY1502" t="s">
        <v>111</v>
      </c>
      <c r="BZ1502" t="s">
        <v>111</v>
      </c>
      <c r="CA1502" t="s">
        <v>111</v>
      </c>
      <c r="CB1502" t="s">
        <v>111</v>
      </c>
      <c r="CC1502" t="s">
        <v>111</v>
      </c>
      <c r="CD1502" t="s">
        <v>111</v>
      </c>
      <c r="CE1502" t="s">
        <v>111</v>
      </c>
      <c r="CF1502" t="s">
        <v>111</v>
      </c>
      <c r="CG1502" t="s">
        <v>111</v>
      </c>
      <c r="CH1502" t="s">
        <v>111</v>
      </c>
      <c r="CI1502" t="s">
        <v>111</v>
      </c>
      <c r="CJ1502" t="s">
        <v>111</v>
      </c>
      <c r="CK1502" t="s">
        <v>111</v>
      </c>
      <c r="CL1502" t="s">
        <v>111</v>
      </c>
      <c r="CM1502">
        <v>450</v>
      </c>
      <c r="CN1502" t="s">
        <v>113</v>
      </c>
      <c r="CO1502" t="s">
        <v>111</v>
      </c>
      <c r="CP1502" t="s">
        <v>111</v>
      </c>
      <c r="CQ1502">
        <v>0</v>
      </c>
      <c r="CR1502">
        <v>26000</v>
      </c>
      <c r="CS1502">
        <v>26000</v>
      </c>
      <c r="CT1502" t="e">
        <f>-ALMACEN</f>
        <v>#NAME?</v>
      </c>
      <c r="CU1502">
        <v>0</v>
      </c>
      <c r="CV1502" t="s">
        <v>111</v>
      </c>
      <c r="CW1502" t="s">
        <v>111</v>
      </c>
      <c r="CX1502" t="s">
        <v>111</v>
      </c>
      <c r="CY1502">
        <v>0</v>
      </c>
      <c r="CZ1502" t="s">
        <v>111</v>
      </c>
      <c r="DA1502" t="s">
        <v>111</v>
      </c>
      <c r="DB1502" t="s">
        <v>111</v>
      </c>
      <c r="DC1502" t="s">
        <v>111</v>
      </c>
    </row>
    <row r="1503" spans="1:107">
      <c r="A1503">
        <v>1497</v>
      </c>
      <c r="B1503" t="s">
        <v>107</v>
      </c>
      <c r="C1503" t="s">
        <v>3783</v>
      </c>
      <c r="D1503" t="s">
        <v>3960</v>
      </c>
      <c r="E1503" t="s">
        <v>4210</v>
      </c>
      <c r="F1503" t="s">
        <v>1260</v>
      </c>
      <c r="G1503" t="s">
        <v>24</v>
      </c>
      <c r="H1503">
        <v>1.9</v>
      </c>
      <c r="I1503">
        <v>40</v>
      </c>
      <c r="J1503">
        <v>0</v>
      </c>
      <c r="K1503">
        <v>0</v>
      </c>
      <c r="L1503" t="s">
        <v>117</v>
      </c>
      <c r="M1503" t="s">
        <v>118</v>
      </c>
      <c r="N1503">
        <v>40</v>
      </c>
      <c r="O1503">
        <v>1</v>
      </c>
      <c r="P1503" t="s">
        <v>111</v>
      </c>
      <c r="Q1503">
        <v>27.4</v>
      </c>
      <c r="R1503">
        <v>0</v>
      </c>
      <c r="S1503">
        <v>0</v>
      </c>
      <c r="T1503">
        <v>5</v>
      </c>
      <c r="U1503" t="e">
        <f>-DASTINO DARMA</f>
        <v>#NAME?</v>
      </c>
      <c r="V1503">
        <v>0</v>
      </c>
      <c r="W1503">
        <v>0</v>
      </c>
      <c r="X1503">
        <v>0</v>
      </c>
      <c r="Y1503">
        <v>250</v>
      </c>
      <c r="Z1503" t="s">
        <v>111</v>
      </c>
      <c r="AA1503">
        <v>0</v>
      </c>
      <c r="AB1503" t="s">
        <v>111</v>
      </c>
      <c r="AC1503">
        <v>0</v>
      </c>
      <c r="AD1503" t="s">
        <v>416</v>
      </c>
      <c r="AE1503">
        <v>0</v>
      </c>
      <c r="AF1503">
        <v>0</v>
      </c>
      <c r="AG1503" t="s">
        <v>111</v>
      </c>
      <c r="AH1503" t="s">
        <v>113</v>
      </c>
      <c r="AI1503" t="s">
        <v>111</v>
      </c>
      <c r="AJ1503" t="s">
        <v>111</v>
      </c>
      <c r="AK1503" t="s">
        <v>111</v>
      </c>
      <c r="AL1503" t="s">
        <v>111</v>
      </c>
      <c r="AM1503">
        <v>0</v>
      </c>
      <c r="AN1503">
        <v>0</v>
      </c>
      <c r="AO1503">
        <v>0</v>
      </c>
      <c r="AP1503" t="s">
        <v>111</v>
      </c>
      <c r="AQ1503" t="s">
        <v>111</v>
      </c>
      <c r="AR1503" t="s">
        <v>111</v>
      </c>
      <c r="AS1503" t="s">
        <v>111</v>
      </c>
      <c r="AT1503" t="s">
        <v>111</v>
      </c>
      <c r="AU1503" t="s">
        <v>111</v>
      </c>
      <c r="AV1503" t="s">
        <v>111</v>
      </c>
      <c r="AW1503" t="s">
        <v>111</v>
      </c>
      <c r="AX1503" t="s">
        <v>111</v>
      </c>
      <c r="AY1503" t="s">
        <v>111</v>
      </c>
      <c r="AZ1503" t="s">
        <v>111</v>
      </c>
      <c r="BA1503" t="s">
        <v>111</v>
      </c>
      <c r="BB1503" t="s">
        <v>111</v>
      </c>
      <c r="BC1503" t="s">
        <v>111</v>
      </c>
      <c r="BD1503" t="s">
        <v>111</v>
      </c>
      <c r="BE1503" t="s">
        <v>111</v>
      </c>
      <c r="BF1503" t="s">
        <v>111</v>
      </c>
      <c r="BG1503" t="s">
        <v>111</v>
      </c>
      <c r="BH1503" t="s">
        <v>111</v>
      </c>
      <c r="BI1503" t="s">
        <v>111</v>
      </c>
      <c r="BJ1503" t="s">
        <v>111</v>
      </c>
      <c r="BK1503" t="s">
        <v>111</v>
      </c>
      <c r="BL1503" t="s">
        <v>111</v>
      </c>
      <c r="BM1503" t="s">
        <v>111</v>
      </c>
      <c r="BN1503" t="s">
        <v>111</v>
      </c>
      <c r="BO1503" t="s">
        <v>111</v>
      </c>
      <c r="BP1503" t="s">
        <v>111</v>
      </c>
      <c r="BQ1503" t="s">
        <v>111</v>
      </c>
      <c r="BR1503" t="s">
        <v>111</v>
      </c>
      <c r="BS1503" t="s">
        <v>111</v>
      </c>
      <c r="BT1503" t="s">
        <v>111</v>
      </c>
      <c r="BU1503" t="s">
        <v>111</v>
      </c>
      <c r="BV1503" t="s">
        <v>111</v>
      </c>
      <c r="BW1503" t="s">
        <v>111</v>
      </c>
      <c r="BX1503" t="s">
        <v>111</v>
      </c>
      <c r="BY1503" t="s">
        <v>111</v>
      </c>
      <c r="BZ1503" t="s">
        <v>111</v>
      </c>
      <c r="CA1503" t="s">
        <v>111</v>
      </c>
      <c r="CB1503" t="s">
        <v>111</v>
      </c>
      <c r="CC1503" t="s">
        <v>111</v>
      </c>
      <c r="CD1503" t="s">
        <v>111</v>
      </c>
      <c r="CE1503" t="s">
        <v>111</v>
      </c>
      <c r="CF1503" t="s">
        <v>111</v>
      </c>
      <c r="CG1503" t="s">
        <v>111</v>
      </c>
      <c r="CH1503" t="s">
        <v>111</v>
      </c>
      <c r="CI1503" t="s">
        <v>111</v>
      </c>
      <c r="CJ1503" t="s">
        <v>111</v>
      </c>
      <c r="CK1503" t="s">
        <v>111</v>
      </c>
      <c r="CL1503" t="s">
        <v>111</v>
      </c>
      <c r="CM1503">
        <v>450</v>
      </c>
      <c r="CN1503" t="s">
        <v>113</v>
      </c>
      <c r="CO1503" t="s">
        <v>111</v>
      </c>
      <c r="CP1503" t="s">
        <v>111</v>
      </c>
      <c r="CQ1503">
        <v>0</v>
      </c>
      <c r="CR1503">
        <v>26000</v>
      </c>
      <c r="CS1503">
        <v>26000</v>
      </c>
      <c r="CT1503" t="e">
        <f>-ALMACEN</f>
        <v>#NAME?</v>
      </c>
      <c r="CU1503">
        <v>0</v>
      </c>
      <c r="CV1503" t="s">
        <v>111</v>
      </c>
      <c r="CW1503" t="s">
        <v>111</v>
      </c>
      <c r="CX1503" t="s">
        <v>111</v>
      </c>
      <c r="CY1503">
        <v>0</v>
      </c>
      <c r="CZ1503" t="s">
        <v>111</v>
      </c>
      <c r="DA1503" t="s">
        <v>111</v>
      </c>
      <c r="DB1503" t="s">
        <v>111</v>
      </c>
      <c r="DC1503" t="s">
        <v>111</v>
      </c>
    </row>
    <row r="1504" spans="1:107">
      <c r="A1504">
        <v>1484</v>
      </c>
      <c r="B1504" t="s">
        <v>107</v>
      </c>
      <c r="C1504" t="s">
        <v>4206</v>
      </c>
      <c r="D1504" t="s">
        <v>4211</v>
      </c>
      <c r="E1504" t="s">
        <v>4212</v>
      </c>
      <c r="F1504" t="s">
        <v>1071</v>
      </c>
      <c r="G1504" t="s">
        <v>24</v>
      </c>
      <c r="H1504">
        <v>1</v>
      </c>
      <c r="I1504">
        <v>40</v>
      </c>
      <c r="J1504">
        <v>0</v>
      </c>
      <c r="K1504">
        <v>0</v>
      </c>
      <c r="L1504" t="s">
        <v>112</v>
      </c>
      <c r="M1504" t="s">
        <v>111</v>
      </c>
      <c r="N1504">
        <v>0</v>
      </c>
      <c r="O1504">
        <v>0</v>
      </c>
      <c r="P1504" t="s">
        <v>111</v>
      </c>
      <c r="Q1504">
        <v>32.6</v>
      </c>
      <c r="R1504">
        <v>0</v>
      </c>
      <c r="S1504">
        <v>0</v>
      </c>
      <c r="T1504">
        <v>5</v>
      </c>
      <c r="U1504" t="e">
        <f>-DESTINO SELLADO</f>
        <v>#NAME?</v>
      </c>
      <c r="V1504">
        <v>0</v>
      </c>
      <c r="W1504">
        <v>0</v>
      </c>
      <c r="X1504">
        <v>0</v>
      </c>
      <c r="Y1504">
        <v>25</v>
      </c>
      <c r="Z1504" t="s">
        <v>111</v>
      </c>
      <c r="AA1504">
        <v>0</v>
      </c>
      <c r="AB1504" t="s">
        <v>4055</v>
      </c>
      <c r="AC1504">
        <v>0.3</v>
      </c>
      <c r="AD1504" t="s">
        <v>111</v>
      </c>
      <c r="AE1504">
        <v>0</v>
      </c>
      <c r="AF1504">
        <v>0</v>
      </c>
      <c r="AG1504" t="s">
        <v>111</v>
      </c>
      <c r="AH1504" t="s">
        <v>111</v>
      </c>
      <c r="AI1504" t="s">
        <v>111</v>
      </c>
      <c r="AJ1504" t="s">
        <v>111</v>
      </c>
      <c r="AK1504" t="s">
        <v>111</v>
      </c>
      <c r="AL1504" t="s">
        <v>111</v>
      </c>
      <c r="AM1504">
        <v>0</v>
      </c>
      <c r="AN1504">
        <v>0</v>
      </c>
      <c r="AO1504">
        <v>0</v>
      </c>
      <c r="AP1504" t="s">
        <v>111</v>
      </c>
      <c r="AQ1504" t="s">
        <v>111</v>
      </c>
      <c r="AR1504" t="s">
        <v>111</v>
      </c>
      <c r="AS1504" t="s">
        <v>111</v>
      </c>
      <c r="AT1504" t="s">
        <v>111</v>
      </c>
      <c r="AU1504" t="s">
        <v>111</v>
      </c>
      <c r="AV1504" t="s">
        <v>111</v>
      </c>
      <c r="AW1504" t="s">
        <v>111</v>
      </c>
      <c r="AX1504" t="s">
        <v>111</v>
      </c>
      <c r="AY1504" t="s">
        <v>111</v>
      </c>
      <c r="AZ1504" t="s">
        <v>111</v>
      </c>
      <c r="BA1504" t="s">
        <v>111</v>
      </c>
      <c r="BB1504" t="s">
        <v>111</v>
      </c>
      <c r="BC1504" t="s">
        <v>111</v>
      </c>
      <c r="BD1504" t="s">
        <v>111</v>
      </c>
      <c r="BE1504" t="s">
        <v>111</v>
      </c>
      <c r="BF1504" t="s">
        <v>111</v>
      </c>
      <c r="BG1504" t="s">
        <v>111</v>
      </c>
      <c r="BH1504" t="s">
        <v>111</v>
      </c>
      <c r="BI1504" t="s">
        <v>111</v>
      </c>
      <c r="BJ1504" t="s">
        <v>111</v>
      </c>
      <c r="BK1504" t="s">
        <v>111</v>
      </c>
      <c r="BL1504" t="s">
        <v>111</v>
      </c>
      <c r="BM1504" t="s">
        <v>111</v>
      </c>
      <c r="BN1504" t="s">
        <v>111</v>
      </c>
      <c r="BO1504" t="s">
        <v>111</v>
      </c>
      <c r="BP1504" t="s">
        <v>111</v>
      </c>
      <c r="BQ1504" t="s">
        <v>111</v>
      </c>
      <c r="BR1504" t="s">
        <v>111</v>
      </c>
      <c r="BS1504" t="s">
        <v>111</v>
      </c>
      <c r="BT1504" t="s">
        <v>111</v>
      </c>
      <c r="BU1504" t="s">
        <v>111</v>
      </c>
      <c r="BV1504" t="s">
        <v>111</v>
      </c>
      <c r="BW1504" t="s">
        <v>111</v>
      </c>
      <c r="BX1504" t="s">
        <v>111</v>
      </c>
      <c r="BY1504" t="s">
        <v>111</v>
      </c>
      <c r="BZ1504" t="s">
        <v>111</v>
      </c>
      <c r="CA1504" t="s">
        <v>111</v>
      </c>
      <c r="CB1504" t="s">
        <v>111</v>
      </c>
      <c r="CC1504" t="s">
        <v>111</v>
      </c>
      <c r="CD1504" t="s">
        <v>111</v>
      </c>
      <c r="CE1504" t="s">
        <v>111</v>
      </c>
      <c r="CF1504" t="s">
        <v>111</v>
      </c>
      <c r="CG1504" t="s">
        <v>111</v>
      </c>
      <c r="CH1504" t="s">
        <v>111</v>
      </c>
      <c r="CI1504" t="s">
        <v>111</v>
      </c>
      <c r="CJ1504" t="s">
        <v>111</v>
      </c>
      <c r="CK1504" t="s">
        <v>111</v>
      </c>
      <c r="CL1504" t="s">
        <v>111</v>
      </c>
      <c r="CM1504" t="s">
        <v>438</v>
      </c>
      <c r="CN1504" t="s">
        <v>113</v>
      </c>
      <c r="CO1504" t="s">
        <v>111</v>
      </c>
      <c r="CP1504" t="s">
        <v>111</v>
      </c>
      <c r="CQ1504">
        <v>0</v>
      </c>
      <c r="CR1504">
        <v>6000</v>
      </c>
      <c r="CS1504">
        <v>100</v>
      </c>
      <c r="CT1504" s="1" t="s">
        <v>4213</v>
      </c>
      <c r="CU1504">
        <v>0</v>
      </c>
      <c r="CV1504" t="s">
        <v>111</v>
      </c>
      <c r="CW1504" t="s">
        <v>111</v>
      </c>
      <c r="CX1504" t="s">
        <v>111</v>
      </c>
      <c r="CY1504">
        <v>0</v>
      </c>
      <c r="CZ1504" t="s">
        <v>111</v>
      </c>
      <c r="DA1504" t="s">
        <v>111</v>
      </c>
      <c r="DB1504" t="s">
        <v>111</v>
      </c>
      <c r="DC1504" t="s">
        <v>111</v>
      </c>
    </row>
    <row r="1505" spans="1:107">
      <c r="A1505">
        <v>1652</v>
      </c>
      <c r="B1505" t="s">
        <v>107</v>
      </c>
      <c r="C1505" t="s">
        <v>4214</v>
      </c>
      <c r="D1505" t="s">
        <v>4215</v>
      </c>
      <c r="E1505" t="s">
        <v>4216</v>
      </c>
      <c r="F1505" t="s">
        <v>110</v>
      </c>
      <c r="G1505" t="s">
        <v>24</v>
      </c>
      <c r="H1505">
        <v>1.3</v>
      </c>
      <c r="I1505">
        <v>33</v>
      </c>
      <c r="J1505">
        <v>0</v>
      </c>
      <c r="K1505">
        <v>0</v>
      </c>
      <c r="L1505" t="s">
        <v>112</v>
      </c>
      <c r="M1505" t="s">
        <v>111</v>
      </c>
      <c r="N1505">
        <v>0</v>
      </c>
      <c r="O1505">
        <v>0</v>
      </c>
      <c r="P1505" t="s">
        <v>111</v>
      </c>
      <c r="Q1505">
        <v>36.700000000000003</v>
      </c>
      <c r="R1505">
        <v>0</v>
      </c>
      <c r="S1505">
        <v>0</v>
      </c>
      <c r="T1505">
        <v>0</v>
      </c>
      <c r="U1505" s="1" t="s">
        <v>4217</v>
      </c>
      <c r="V1505">
        <v>0</v>
      </c>
      <c r="W1505">
        <v>0</v>
      </c>
      <c r="X1505">
        <v>0</v>
      </c>
      <c r="Y1505">
        <v>25</v>
      </c>
      <c r="Z1505" t="s">
        <v>111</v>
      </c>
      <c r="AA1505">
        <v>0</v>
      </c>
      <c r="AB1505" t="s">
        <v>111</v>
      </c>
      <c r="AC1505">
        <v>0</v>
      </c>
      <c r="AD1505" t="s">
        <v>111</v>
      </c>
      <c r="AE1505">
        <v>0</v>
      </c>
      <c r="AF1505">
        <v>0</v>
      </c>
      <c r="AG1505" t="s">
        <v>111</v>
      </c>
      <c r="AH1505" t="s">
        <v>111</v>
      </c>
      <c r="AI1505" t="s">
        <v>111</v>
      </c>
      <c r="AJ1505" t="s">
        <v>111</v>
      </c>
      <c r="AK1505" t="s">
        <v>111</v>
      </c>
      <c r="AL1505" t="s">
        <v>111</v>
      </c>
      <c r="AM1505">
        <v>0</v>
      </c>
      <c r="AN1505">
        <v>0</v>
      </c>
      <c r="AO1505">
        <v>0</v>
      </c>
      <c r="AP1505" t="s">
        <v>111</v>
      </c>
      <c r="AQ1505" t="s">
        <v>111</v>
      </c>
      <c r="AR1505" t="s">
        <v>111</v>
      </c>
      <c r="AS1505" t="s">
        <v>111</v>
      </c>
      <c r="AT1505" t="s">
        <v>111</v>
      </c>
      <c r="AU1505" t="s">
        <v>111</v>
      </c>
      <c r="AV1505" t="s">
        <v>111</v>
      </c>
      <c r="AW1505" t="s">
        <v>111</v>
      </c>
      <c r="AX1505" t="s">
        <v>111</v>
      </c>
      <c r="AY1505" t="s">
        <v>111</v>
      </c>
      <c r="AZ1505" t="s">
        <v>111</v>
      </c>
      <c r="BA1505" t="s">
        <v>111</v>
      </c>
      <c r="BB1505" t="s">
        <v>111</v>
      </c>
      <c r="BC1505" t="s">
        <v>111</v>
      </c>
      <c r="BD1505" t="s">
        <v>111</v>
      </c>
      <c r="BE1505" t="s">
        <v>111</v>
      </c>
      <c r="BF1505" t="s">
        <v>111</v>
      </c>
      <c r="BG1505" t="s">
        <v>111</v>
      </c>
      <c r="BH1505" t="s">
        <v>111</v>
      </c>
      <c r="BI1505" t="s">
        <v>111</v>
      </c>
      <c r="BJ1505" t="s">
        <v>111</v>
      </c>
      <c r="BK1505" t="s">
        <v>111</v>
      </c>
      <c r="BL1505" t="s">
        <v>111</v>
      </c>
      <c r="BM1505" t="s">
        <v>111</v>
      </c>
      <c r="BN1505" t="s">
        <v>111</v>
      </c>
      <c r="BO1505" t="s">
        <v>111</v>
      </c>
      <c r="BP1505" t="s">
        <v>111</v>
      </c>
      <c r="BQ1505" t="s">
        <v>111</v>
      </c>
      <c r="BR1505" t="s">
        <v>111</v>
      </c>
      <c r="BS1505" t="s">
        <v>111</v>
      </c>
      <c r="BT1505" t="s">
        <v>111</v>
      </c>
      <c r="BU1505" t="s">
        <v>111</v>
      </c>
      <c r="BV1505" t="s">
        <v>111</v>
      </c>
      <c r="BW1505" t="s">
        <v>111</v>
      </c>
      <c r="BX1505" t="s">
        <v>111</v>
      </c>
      <c r="BY1505" t="s">
        <v>111</v>
      </c>
      <c r="BZ1505" t="s">
        <v>111</v>
      </c>
      <c r="CA1505" t="s">
        <v>111</v>
      </c>
      <c r="CB1505" t="s">
        <v>111</v>
      </c>
      <c r="CC1505" t="s">
        <v>111</v>
      </c>
      <c r="CD1505" t="s">
        <v>111</v>
      </c>
      <c r="CE1505" t="s">
        <v>111</v>
      </c>
      <c r="CF1505" t="s">
        <v>111</v>
      </c>
      <c r="CG1505" t="s">
        <v>111</v>
      </c>
      <c r="CH1505" t="s">
        <v>111</v>
      </c>
      <c r="CI1505" t="s">
        <v>111</v>
      </c>
      <c r="CJ1505" t="s">
        <v>111</v>
      </c>
      <c r="CK1505" t="s">
        <v>111</v>
      </c>
      <c r="CL1505" t="s">
        <v>111</v>
      </c>
      <c r="CM1505" t="s">
        <v>111</v>
      </c>
      <c r="CN1505" t="s">
        <v>111</v>
      </c>
      <c r="CO1505" t="s">
        <v>111</v>
      </c>
      <c r="CP1505" t="s">
        <v>111</v>
      </c>
      <c r="CQ1505">
        <v>0</v>
      </c>
      <c r="CR1505">
        <v>0</v>
      </c>
      <c r="CS1505">
        <v>0</v>
      </c>
      <c r="CT1505" t="s">
        <v>111</v>
      </c>
      <c r="CU1505">
        <v>0</v>
      </c>
      <c r="CV1505" t="s">
        <v>111</v>
      </c>
      <c r="CX1505" t="s">
        <v>111</v>
      </c>
      <c r="CY1505">
        <v>0</v>
      </c>
      <c r="CZ1505" t="s">
        <v>111</v>
      </c>
      <c r="DA1505" t="s">
        <v>111</v>
      </c>
      <c r="DB1505" t="s">
        <v>111</v>
      </c>
      <c r="DC1505" t="s">
        <v>111</v>
      </c>
    </row>
    <row r="1506" spans="1:107">
      <c r="A1506">
        <v>1548</v>
      </c>
      <c r="B1506" t="s">
        <v>107</v>
      </c>
      <c r="C1506" t="s">
        <v>119</v>
      </c>
      <c r="D1506" t="s">
        <v>4218</v>
      </c>
      <c r="E1506" t="s">
        <v>4219</v>
      </c>
      <c r="F1506" t="s">
        <v>110</v>
      </c>
      <c r="G1506" t="s">
        <v>24</v>
      </c>
      <c r="H1506">
        <v>1.2</v>
      </c>
      <c r="I1506">
        <v>35</v>
      </c>
      <c r="J1506">
        <v>0</v>
      </c>
      <c r="K1506">
        <v>0</v>
      </c>
      <c r="L1506" t="s">
        <v>112</v>
      </c>
      <c r="M1506" t="s">
        <v>111</v>
      </c>
      <c r="N1506">
        <v>0</v>
      </c>
      <c r="O1506">
        <v>0</v>
      </c>
      <c r="P1506" t="s">
        <v>111</v>
      </c>
      <c r="Q1506">
        <v>38.200000000000003</v>
      </c>
      <c r="R1506">
        <v>0</v>
      </c>
      <c r="S1506">
        <v>0</v>
      </c>
      <c r="T1506">
        <v>0</v>
      </c>
      <c r="U1506" s="1" t="s">
        <v>4220</v>
      </c>
      <c r="V1506">
        <v>0</v>
      </c>
      <c r="W1506">
        <v>25</v>
      </c>
      <c r="X1506">
        <v>0</v>
      </c>
      <c r="Y1506">
        <v>0</v>
      </c>
      <c r="Z1506" t="s">
        <v>111</v>
      </c>
      <c r="AA1506">
        <v>0</v>
      </c>
      <c r="AB1506" t="s">
        <v>111</v>
      </c>
      <c r="AC1506">
        <v>0</v>
      </c>
      <c r="AD1506" t="s">
        <v>111</v>
      </c>
      <c r="AE1506">
        <v>0</v>
      </c>
      <c r="AF1506">
        <v>0</v>
      </c>
      <c r="AG1506" t="s">
        <v>111</v>
      </c>
      <c r="AH1506" t="s">
        <v>111</v>
      </c>
      <c r="AI1506" t="s">
        <v>111</v>
      </c>
      <c r="AJ1506" t="s">
        <v>111</v>
      </c>
      <c r="AK1506" t="s">
        <v>111</v>
      </c>
      <c r="AL1506" t="s">
        <v>111</v>
      </c>
      <c r="AM1506">
        <v>0</v>
      </c>
      <c r="AN1506">
        <v>0</v>
      </c>
      <c r="AO1506">
        <v>0</v>
      </c>
      <c r="AP1506" t="s">
        <v>111</v>
      </c>
      <c r="AQ1506" t="s">
        <v>111</v>
      </c>
      <c r="AR1506" t="s">
        <v>111</v>
      </c>
      <c r="AS1506" t="s">
        <v>111</v>
      </c>
      <c r="AT1506" t="s">
        <v>111</v>
      </c>
      <c r="AU1506" t="s">
        <v>111</v>
      </c>
      <c r="AV1506" t="s">
        <v>111</v>
      </c>
      <c r="AW1506" t="s">
        <v>111</v>
      </c>
      <c r="AX1506" t="s">
        <v>111</v>
      </c>
      <c r="AY1506" t="s">
        <v>111</v>
      </c>
      <c r="AZ1506" t="s">
        <v>111</v>
      </c>
      <c r="BA1506" t="s">
        <v>111</v>
      </c>
      <c r="BB1506" t="s">
        <v>111</v>
      </c>
      <c r="BC1506" t="s">
        <v>111</v>
      </c>
      <c r="BD1506" t="s">
        <v>111</v>
      </c>
      <c r="BE1506" t="s">
        <v>111</v>
      </c>
      <c r="BF1506" t="s">
        <v>111</v>
      </c>
      <c r="BG1506" t="s">
        <v>111</v>
      </c>
      <c r="BH1506" t="s">
        <v>111</v>
      </c>
      <c r="BI1506" t="s">
        <v>111</v>
      </c>
      <c r="BJ1506" t="s">
        <v>111</v>
      </c>
      <c r="BK1506" t="s">
        <v>111</v>
      </c>
      <c r="BL1506" t="s">
        <v>111</v>
      </c>
      <c r="BM1506" t="s">
        <v>111</v>
      </c>
      <c r="BN1506" t="s">
        <v>111</v>
      </c>
      <c r="BO1506" t="s">
        <v>111</v>
      </c>
      <c r="BP1506" t="s">
        <v>111</v>
      </c>
      <c r="BQ1506" t="s">
        <v>111</v>
      </c>
      <c r="BR1506" t="s">
        <v>111</v>
      </c>
      <c r="BS1506" t="s">
        <v>111</v>
      </c>
      <c r="BT1506" t="s">
        <v>111</v>
      </c>
      <c r="BU1506" t="s">
        <v>111</v>
      </c>
      <c r="BV1506" t="s">
        <v>111</v>
      </c>
      <c r="BW1506" t="s">
        <v>111</v>
      </c>
      <c r="BX1506" t="s">
        <v>111</v>
      </c>
      <c r="BY1506" t="s">
        <v>111</v>
      </c>
      <c r="BZ1506" t="s">
        <v>111</v>
      </c>
      <c r="CA1506" t="s">
        <v>111</v>
      </c>
      <c r="CB1506" t="s">
        <v>111</v>
      </c>
      <c r="CC1506" t="s">
        <v>111</v>
      </c>
      <c r="CD1506" t="s">
        <v>111</v>
      </c>
      <c r="CE1506" t="s">
        <v>111</v>
      </c>
      <c r="CF1506" t="s">
        <v>111</v>
      </c>
      <c r="CG1506" t="s">
        <v>111</v>
      </c>
      <c r="CH1506" t="s">
        <v>111</v>
      </c>
      <c r="CI1506" t="s">
        <v>111</v>
      </c>
      <c r="CJ1506" t="s">
        <v>111</v>
      </c>
      <c r="CK1506" t="s">
        <v>111</v>
      </c>
      <c r="CL1506" t="s">
        <v>111</v>
      </c>
      <c r="CM1506" t="s">
        <v>111</v>
      </c>
      <c r="CN1506" t="s">
        <v>111</v>
      </c>
      <c r="CO1506" t="s">
        <v>111</v>
      </c>
      <c r="CP1506" t="s">
        <v>111</v>
      </c>
      <c r="CQ1506">
        <v>0</v>
      </c>
      <c r="CR1506">
        <v>0</v>
      </c>
      <c r="CS1506">
        <v>0</v>
      </c>
      <c r="CT1506" t="s">
        <v>111</v>
      </c>
      <c r="CU1506">
        <v>0</v>
      </c>
      <c r="CV1506" t="s">
        <v>111</v>
      </c>
      <c r="CW1506" t="s">
        <v>111</v>
      </c>
      <c r="CX1506" t="s">
        <v>111</v>
      </c>
      <c r="CY1506">
        <v>0</v>
      </c>
      <c r="CZ1506" t="s">
        <v>111</v>
      </c>
      <c r="DA1506" t="s">
        <v>111</v>
      </c>
      <c r="DB1506" t="s">
        <v>111</v>
      </c>
      <c r="DC1506" t="s">
        <v>111</v>
      </c>
    </row>
    <row r="1507" spans="1:107">
      <c r="A1507">
        <v>1631</v>
      </c>
      <c r="B1507" t="s">
        <v>107</v>
      </c>
      <c r="C1507" t="s">
        <v>362</v>
      </c>
      <c r="D1507" t="s">
        <v>4221</v>
      </c>
      <c r="E1507" t="s">
        <v>4222</v>
      </c>
      <c r="F1507" t="s">
        <v>1071</v>
      </c>
      <c r="G1507" t="s">
        <v>24</v>
      </c>
      <c r="H1507">
        <v>1.4</v>
      </c>
      <c r="I1507">
        <v>40</v>
      </c>
      <c r="J1507">
        <v>0</v>
      </c>
      <c r="K1507">
        <v>0</v>
      </c>
      <c r="L1507" t="s">
        <v>112</v>
      </c>
      <c r="M1507" t="s">
        <v>118</v>
      </c>
      <c r="N1507">
        <v>39</v>
      </c>
      <c r="O1507">
        <v>2</v>
      </c>
      <c r="P1507" t="s">
        <v>111</v>
      </c>
      <c r="Q1507">
        <v>40.5</v>
      </c>
      <c r="R1507">
        <v>0</v>
      </c>
      <c r="S1507">
        <v>0</v>
      </c>
      <c r="T1507">
        <v>3</v>
      </c>
      <c r="U1507" s="1" t="s">
        <v>851</v>
      </c>
      <c r="V1507">
        <v>0</v>
      </c>
      <c r="W1507">
        <v>0</v>
      </c>
      <c r="X1507">
        <v>0</v>
      </c>
      <c r="Y1507">
        <v>25</v>
      </c>
      <c r="Z1507" t="s">
        <v>111</v>
      </c>
      <c r="AA1507">
        <v>0</v>
      </c>
      <c r="AB1507" t="s">
        <v>111</v>
      </c>
      <c r="AC1507">
        <v>0</v>
      </c>
      <c r="AD1507" t="s">
        <v>111</v>
      </c>
      <c r="AE1507">
        <v>0</v>
      </c>
      <c r="AF1507">
        <v>0</v>
      </c>
      <c r="AG1507" t="s">
        <v>111</v>
      </c>
      <c r="AH1507" t="s">
        <v>111</v>
      </c>
      <c r="AI1507" t="s">
        <v>111</v>
      </c>
      <c r="AJ1507" t="s">
        <v>111</v>
      </c>
      <c r="AK1507" t="s">
        <v>111</v>
      </c>
      <c r="AL1507" t="s">
        <v>111</v>
      </c>
      <c r="AM1507">
        <v>0</v>
      </c>
      <c r="AN1507">
        <v>0</v>
      </c>
      <c r="AO1507">
        <v>0</v>
      </c>
      <c r="AP1507" t="s">
        <v>111</v>
      </c>
      <c r="AQ1507" t="s">
        <v>111</v>
      </c>
      <c r="AR1507" t="s">
        <v>111</v>
      </c>
      <c r="AS1507" t="s">
        <v>111</v>
      </c>
      <c r="AT1507" t="s">
        <v>111</v>
      </c>
      <c r="AU1507" t="s">
        <v>111</v>
      </c>
      <c r="AV1507" t="s">
        <v>111</v>
      </c>
      <c r="AW1507" t="s">
        <v>111</v>
      </c>
      <c r="AX1507" t="s">
        <v>111</v>
      </c>
      <c r="AY1507" t="s">
        <v>111</v>
      </c>
      <c r="AZ1507" t="s">
        <v>111</v>
      </c>
      <c r="BA1507" t="s">
        <v>111</v>
      </c>
      <c r="BB1507" t="s">
        <v>111</v>
      </c>
      <c r="BC1507" t="s">
        <v>111</v>
      </c>
      <c r="BD1507" t="s">
        <v>111</v>
      </c>
      <c r="BE1507" t="s">
        <v>111</v>
      </c>
      <c r="BF1507" t="s">
        <v>111</v>
      </c>
      <c r="BG1507" t="s">
        <v>111</v>
      </c>
      <c r="BH1507" t="s">
        <v>111</v>
      </c>
      <c r="BI1507" t="s">
        <v>111</v>
      </c>
      <c r="BJ1507" t="s">
        <v>111</v>
      </c>
      <c r="BK1507" t="s">
        <v>111</v>
      </c>
      <c r="BL1507" t="s">
        <v>111</v>
      </c>
      <c r="BM1507" t="s">
        <v>111</v>
      </c>
      <c r="BN1507" t="s">
        <v>111</v>
      </c>
      <c r="BO1507" t="s">
        <v>111</v>
      </c>
      <c r="BP1507" t="s">
        <v>111</v>
      </c>
      <c r="BQ1507" t="s">
        <v>111</v>
      </c>
      <c r="BR1507" t="s">
        <v>111</v>
      </c>
      <c r="BS1507" t="s">
        <v>111</v>
      </c>
      <c r="BT1507" t="s">
        <v>111</v>
      </c>
      <c r="BU1507" t="s">
        <v>111</v>
      </c>
      <c r="BV1507" t="s">
        <v>111</v>
      </c>
      <c r="BW1507" t="s">
        <v>111</v>
      </c>
      <c r="BX1507" t="s">
        <v>111</v>
      </c>
      <c r="BY1507" t="s">
        <v>111</v>
      </c>
      <c r="BZ1507" t="s">
        <v>111</v>
      </c>
      <c r="CA1507" t="s">
        <v>111</v>
      </c>
      <c r="CB1507" t="s">
        <v>111</v>
      </c>
      <c r="CC1507" t="s">
        <v>111</v>
      </c>
      <c r="CD1507" t="s">
        <v>111</v>
      </c>
      <c r="CE1507" t="s">
        <v>111</v>
      </c>
      <c r="CF1507" t="s">
        <v>111</v>
      </c>
      <c r="CG1507" t="s">
        <v>111</v>
      </c>
      <c r="CH1507" t="s">
        <v>111</v>
      </c>
      <c r="CI1507" t="s">
        <v>111</v>
      </c>
      <c r="CJ1507" t="s">
        <v>111</v>
      </c>
      <c r="CK1507" t="s">
        <v>111</v>
      </c>
      <c r="CL1507" t="s">
        <v>111</v>
      </c>
      <c r="CM1507" t="s">
        <v>135</v>
      </c>
      <c r="CN1507" t="s">
        <v>113</v>
      </c>
      <c r="CO1507" t="s">
        <v>111</v>
      </c>
      <c r="CP1507" t="s">
        <v>111</v>
      </c>
      <c r="CQ1507">
        <v>0</v>
      </c>
      <c r="CR1507">
        <v>5000</v>
      </c>
      <c r="CS1507">
        <v>100</v>
      </c>
      <c r="CT1507" t="e">
        <f>-ALMACEN</f>
        <v>#NAME?</v>
      </c>
      <c r="CU1507">
        <v>0</v>
      </c>
      <c r="CV1507" t="s">
        <v>111</v>
      </c>
      <c r="CW1507" t="s">
        <v>111</v>
      </c>
      <c r="CX1507" t="s">
        <v>111</v>
      </c>
      <c r="CY1507">
        <v>0</v>
      </c>
      <c r="CZ1507" t="s">
        <v>111</v>
      </c>
      <c r="DA1507" t="s">
        <v>111</v>
      </c>
      <c r="DB1507" t="s">
        <v>111</v>
      </c>
      <c r="DC1507" t="s">
        <v>111</v>
      </c>
    </row>
    <row r="1508" spans="1:107">
      <c r="A1508">
        <v>1270</v>
      </c>
      <c r="B1508" t="s">
        <v>107</v>
      </c>
      <c r="C1508" t="s">
        <v>928</v>
      </c>
      <c r="D1508" t="s">
        <v>3849</v>
      </c>
      <c r="E1508" t="s">
        <v>4223</v>
      </c>
      <c r="F1508" t="s">
        <v>1651</v>
      </c>
      <c r="G1508" t="s">
        <v>24</v>
      </c>
      <c r="H1508">
        <v>1.05</v>
      </c>
      <c r="I1508">
        <v>41</v>
      </c>
      <c r="J1508">
        <v>0</v>
      </c>
      <c r="K1508">
        <v>0</v>
      </c>
      <c r="L1508" t="s">
        <v>112</v>
      </c>
      <c r="M1508" t="s">
        <v>118</v>
      </c>
      <c r="N1508">
        <v>39</v>
      </c>
      <c r="O1508">
        <v>2</v>
      </c>
      <c r="P1508" t="s">
        <v>111</v>
      </c>
      <c r="Q1508">
        <v>40</v>
      </c>
      <c r="R1508">
        <v>0</v>
      </c>
      <c r="S1508">
        <v>0</v>
      </c>
      <c r="T1508">
        <v>10</v>
      </c>
      <c r="U1508" s="1" t="s">
        <v>4224</v>
      </c>
      <c r="V1508">
        <v>0</v>
      </c>
      <c r="W1508">
        <v>0</v>
      </c>
      <c r="X1508">
        <v>0</v>
      </c>
      <c r="Y1508">
        <v>25</v>
      </c>
      <c r="Z1508" t="s">
        <v>111</v>
      </c>
      <c r="AA1508">
        <v>0</v>
      </c>
      <c r="AB1508" t="s">
        <v>111</v>
      </c>
      <c r="AC1508">
        <v>0</v>
      </c>
      <c r="AD1508" t="s">
        <v>427</v>
      </c>
      <c r="AE1508">
        <v>0</v>
      </c>
      <c r="AF1508">
        <v>0</v>
      </c>
      <c r="AG1508" t="s">
        <v>111</v>
      </c>
      <c r="AH1508" t="s">
        <v>113</v>
      </c>
      <c r="AI1508" t="s">
        <v>111</v>
      </c>
      <c r="AJ1508" t="s">
        <v>111</v>
      </c>
      <c r="AK1508" t="s">
        <v>111</v>
      </c>
      <c r="AL1508" t="s">
        <v>111</v>
      </c>
      <c r="AM1508">
        <v>0</v>
      </c>
      <c r="AN1508">
        <v>0</v>
      </c>
      <c r="AO1508">
        <v>0</v>
      </c>
      <c r="AP1508" t="s">
        <v>111</v>
      </c>
      <c r="AQ1508" t="s">
        <v>111</v>
      </c>
      <c r="AR1508" t="s">
        <v>111</v>
      </c>
      <c r="AS1508" t="s">
        <v>111</v>
      </c>
      <c r="AT1508" t="s">
        <v>111</v>
      </c>
      <c r="AU1508" t="s">
        <v>111</v>
      </c>
      <c r="AV1508" t="s">
        <v>111</v>
      </c>
      <c r="AW1508" t="s">
        <v>111</v>
      </c>
      <c r="AX1508" t="s">
        <v>111</v>
      </c>
      <c r="AY1508" t="s">
        <v>111</v>
      </c>
      <c r="AZ1508" t="s">
        <v>111</v>
      </c>
      <c r="BA1508" t="s">
        <v>111</v>
      </c>
      <c r="BB1508" t="s">
        <v>111</v>
      </c>
      <c r="BC1508" t="s">
        <v>111</v>
      </c>
      <c r="BD1508" t="s">
        <v>111</v>
      </c>
      <c r="BE1508" t="s">
        <v>111</v>
      </c>
      <c r="BF1508" t="s">
        <v>111</v>
      </c>
      <c r="BG1508" t="s">
        <v>111</v>
      </c>
      <c r="BH1508" t="s">
        <v>111</v>
      </c>
      <c r="BI1508" t="s">
        <v>111</v>
      </c>
      <c r="BJ1508" t="s">
        <v>111</v>
      </c>
      <c r="BK1508" t="s">
        <v>111</v>
      </c>
      <c r="BL1508" t="s">
        <v>111</v>
      </c>
      <c r="BM1508" t="s">
        <v>111</v>
      </c>
      <c r="BN1508" t="s">
        <v>111</v>
      </c>
      <c r="BO1508" t="s">
        <v>111</v>
      </c>
      <c r="BP1508" t="s">
        <v>111</v>
      </c>
      <c r="BQ1508" t="s">
        <v>111</v>
      </c>
      <c r="BR1508" t="s">
        <v>111</v>
      </c>
      <c r="BS1508" t="s">
        <v>111</v>
      </c>
      <c r="BT1508" t="s">
        <v>111</v>
      </c>
      <c r="BU1508" t="s">
        <v>111</v>
      </c>
      <c r="BV1508" t="s">
        <v>111</v>
      </c>
      <c r="BW1508" t="s">
        <v>111</v>
      </c>
      <c r="BX1508" t="s">
        <v>111</v>
      </c>
      <c r="BY1508" t="s">
        <v>111</v>
      </c>
      <c r="BZ1508" t="s">
        <v>111</v>
      </c>
      <c r="CA1508" t="s">
        <v>111</v>
      </c>
      <c r="CB1508" t="s">
        <v>111</v>
      </c>
      <c r="CC1508" t="s">
        <v>111</v>
      </c>
      <c r="CD1508" t="s">
        <v>111</v>
      </c>
      <c r="CE1508" t="s">
        <v>111</v>
      </c>
      <c r="CF1508" t="s">
        <v>111</v>
      </c>
      <c r="CG1508" t="s">
        <v>111</v>
      </c>
      <c r="CH1508" t="s">
        <v>111</v>
      </c>
      <c r="CI1508" t="s">
        <v>111</v>
      </c>
      <c r="CJ1508" t="s">
        <v>111</v>
      </c>
      <c r="CK1508" t="s">
        <v>111</v>
      </c>
      <c r="CL1508" t="e">
        <f>-SELLADO</f>
        <v>#NAME?</v>
      </c>
      <c r="CM1508" t="s">
        <v>438</v>
      </c>
      <c r="CN1508" t="s">
        <v>113</v>
      </c>
      <c r="CO1508" t="s">
        <v>637</v>
      </c>
      <c r="CP1508" t="e">
        <f>-MUESTRA</f>
        <v>#NAME?</v>
      </c>
      <c r="CQ1508">
        <v>110</v>
      </c>
      <c r="CR1508">
        <v>5000</v>
      </c>
      <c r="CS1508">
        <v>250</v>
      </c>
      <c r="CT1508" s="1" t="s">
        <v>4225</v>
      </c>
      <c r="CU1508">
        <v>0</v>
      </c>
      <c r="CV1508" t="s">
        <v>111</v>
      </c>
      <c r="CW1508" t="s">
        <v>111</v>
      </c>
      <c r="CX1508" t="s">
        <v>111</v>
      </c>
      <c r="CY1508">
        <v>0</v>
      </c>
      <c r="CZ1508" t="s">
        <v>111</v>
      </c>
      <c r="DA1508" t="s">
        <v>111</v>
      </c>
      <c r="DB1508" t="s">
        <v>111</v>
      </c>
      <c r="DC1508" t="s">
        <v>111</v>
      </c>
    </row>
    <row r="1509" spans="1:107">
      <c r="A1509">
        <v>1687</v>
      </c>
      <c r="B1509" t="s">
        <v>107</v>
      </c>
      <c r="C1509" t="s">
        <v>119</v>
      </c>
      <c r="D1509" t="s">
        <v>4226</v>
      </c>
      <c r="E1509" t="s">
        <v>4227</v>
      </c>
      <c r="F1509" t="s">
        <v>2211</v>
      </c>
      <c r="G1509" t="s">
        <v>24</v>
      </c>
      <c r="H1509">
        <v>1.3</v>
      </c>
      <c r="I1509">
        <v>35</v>
      </c>
      <c r="J1509">
        <v>0</v>
      </c>
      <c r="K1509">
        <v>0</v>
      </c>
      <c r="L1509" t="s">
        <v>117</v>
      </c>
      <c r="M1509" t="s">
        <v>118</v>
      </c>
      <c r="N1509">
        <v>40</v>
      </c>
      <c r="O1509">
        <v>1</v>
      </c>
      <c r="P1509" t="s">
        <v>111</v>
      </c>
      <c r="Q1509">
        <v>31.2</v>
      </c>
      <c r="R1509">
        <v>0</v>
      </c>
      <c r="S1509">
        <v>0</v>
      </c>
      <c r="T1509">
        <v>0</v>
      </c>
      <c r="U1509" t="e">
        <f>-ALMACEN</f>
        <v>#NAME?</v>
      </c>
      <c r="V1509">
        <v>0</v>
      </c>
      <c r="W1509">
        <v>0</v>
      </c>
      <c r="X1509">
        <v>0</v>
      </c>
      <c r="Y1509">
        <v>25</v>
      </c>
      <c r="Z1509" t="s">
        <v>111</v>
      </c>
      <c r="AA1509">
        <v>0</v>
      </c>
      <c r="AB1509" t="s">
        <v>111</v>
      </c>
      <c r="AC1509">
        <v>0</v>
      </c>
      <c r="AD1509" t="s">
        <v>111</v>
      </c>
      <c r="AE1509">
        <v>0</v>
      </c>
      <c r="AF1509">
        <v>0</v>
      </c>
      <c r="AG1509" t="s">
        <v>111</v>
      </c>
      <c r="AH1509" t="s">
        <v>111</v>
      </c>
      <c r="AI1509" t="s">
        <v>111</v>
      </c>
      <c r="AJ1509" t="s">
        <v>111</v>
      </c>
      <c r="AK1509" t="s">
        <v>111</v>
      </c>
      <c r="AL1509" t="s">
        <v>111</v>
      </c>
      <c r="AM1509">
        <v>0</v>
      </c>
      <c r="AN1509">
        <v>0</v>
      </c>
      <c r="AO1509">
        <v>0</v>
      </c>
      <c r="AP1509" t="s">
        <v>111</v>
      </c>
      <c r="AQ1509" t="s">
        <v>111</v>
      </c>
      <c r="AR1509" t="s">
        <v>111</v>
      </c>
      <c r="AS1509" t="s">
        <v>111</v>
      </c>
      <c r="AT1509" t="s">
        <v>111</v>
      </c>
      <c r="AU1509" t="s">
        <v>111</v>
      </c>
      <c r="AV1509" t="s">
        <v>111</v>
      </c>
      <c r="AW1509" t="s">
        <v>111</v>
      </c>
      <c r="AX1509" t="s">
        <v>111</v>
      </c>
      <c r="AY1509" t="s">
        <v>111</v>
      </c>
      <c r="AZ1509" t="s">
        <v>111</v>
      </c>
      <c r="BA1509" t="s">
        <v>111</v>
      </c>
      <c r="BB1509" t="s">
        <v>111</v>
      </c>
      <c r="BC1509" t="s">
        <v>111</v>
      </c>
      <c r="BD1509" t="s">
        <v>111</v>
      </c>
      <c r="BE1509" t="s">
        <v>111</v>
      </c>
      <c r="BF1509" t="s">
        <v>111</v>
      </c>
      <c r="BG1509" t="s">
        <v>111</v>
      </c>
      <c r="BH1509" t="s">
        <v>111</v>
      </c>
      <c r="BI1509" t="s">
        <v>111</v>
      </c>
      <c r="BJ1509" t="s">
        <v>111</v>
      </c>
      <c r="BK1509" t="s">
        <v>111</v>
      </c>
      <c r="BL1509" t="s">
        <v>111</v>
      </c>
      <c r="BM1509" t="s">
        <v>111</v>
      </c>
      <c r="BN1509" t="s">
        <v>111</v>
      </c>
      <c r="BO1509" t="s">
        <v>111</v>
      </c>
      <c r="BP1509" t="s">
        <v>111</v>
      </c>
      <c r="BQ1509" t="s">
        <v>111</v>
      </c>
      <c r="BR1509" t="s">
        <v>111</v>
      </c>
      <c r="BS1509" t="s">
        <v>111</v>
      </c>
      <c r="BT1509" t="s">
        <v>111</v>
      </c>
      <c r="BU1509" t="s">
        <v>111</v>
      </c>
      <c r="BV1509" t="s">
        <v>111</v>
      </c>
      <c r="BW1509" t="s">
        <v>111</v>
      </c>
      <c r="BX1509" t="s">
        <v>111</v>
      </c>
      <c r="BY1509" t="s">
        <v>111</v>
      </c>
      <c r="BZ1509" t="s">
        <v>111</v>
      </c>
      <c r="CA1509" t="s">
        <v>111</v>
      </c>
      <c r="CB1509" t="s">
        <v>111</v>
      </c>
      <c r="CC1509" t="s">
        <v>111</v>
      </c>
      <c r="CD1509" t="s">
        <v>111</v>
      </c>
      <c r="CE1509" t="s">
        <v>111</v>
      </c>
      <c r="CF1509" t="s">
        <v>111</v>
      </c>
      <c r="CG1509" t="s">
        <v>111</v>
      </c>
      <c r="CH1509" t="s">
        <v>111</v>
      </c>
      <c r="CI1509" t="s">
        <v>111</v>
      </c>
      <c r="CJ1509" t="s">
        <v>111</v>
      </c>
      <c r="CK1509" t="s">
        <v>111</v>
      </c>
      <c r="CL1509" t="s">
        <v>111</v>
      </c>
      <c r="CM1509" t="s">
        <v>111</v>
      </c>
      <c r="CN1509" t="s">
        <v>111</v>
      </c>
      <c r="CO1509" t="s">
        <v>111</v>
      </c>
      <c r="CP1509" t="s">
        <v>111</v>
      </c>
      <c r="CQ1509">
        <v>0</v>
      </c>
      <c r="CR1509">
        <v>0</v>
      </c>
      <c r="CS1509">
        <v>0</v>
      </c>
      <c r="CT1509" t="s">
        <v>111</v>
      </c>
      <c r="CU1509">
        <v>0</v>
      </c>
      <c r="CV1509" t="s">
        <v>111</v>
      </c>
      <c r="CX1509" t="s">
        <v>111</v>
      </c>
      <c r="CY1509">
        <v>0</v>
      </c>
      <c r="CZ1509" t="s">
        <v>111</v>
      </c>
      <c r="DA1509" t="s">
        <v>111</v>
      </c>
      <c r="DB1509" t="s">
        <v>111</v>
      </c>
      <c r="DC1509" t="s">
        <v>111</v>
      </c>
    </row>
    <row r="1510" spans="1:107">
      <c r="A1510">
        <v>1679</v>
      </c>
      <c r="B1510" t="s">
        <v>107</v>
      </c>
      <c r="C1510" t="s">
        <v>428</v>
      </c>
      <c r="D1510" t="s">
        <v>4228</v>
      </c>
      <c r="E1510" t="s">
        <v>4229</v>
      </c>
      <c r="F1510" t="s">
        <v>1651</v>
      </c>
      <c r="G1510" t="s">
        <v>24</v>
      </c>
      <c r="H1510">
        <v>2.75</v>
      </c>
      <c r="I1510">
        <v>50</v>
      </c>
      <c r="J1510">
        <v>0</v>
      </c>
      <c r="K1510">
        <v>0</v>
      </c>
      <c r="L1510" t="s">
        <v>117</v>
      </c>
      <c r="M1510" t="s">
        <v>118</v>
      </c>
      <c r="N1510">
        <v>39</v>
      </c>
      <c r="O1510">
        <v>1</v>
      </c>
      <c r="P1510" t="s">
        <v>111</v>
      </c>
      <c r="Q1510">
        <v>46.6</v>
      </c>
      <c r="R1510">
        <v>0</v>
      </c>
      <c r="S1510">
        <v>0</v>
      </c>
      <c r="T1510">
        <v>5</v>
      </c>
      <c r="U1510" s="1" t="s">
        <v>4230</v>
      </c>
      <c r="V1510">
        <v>0</v>
      </c>
      <c r="W1510">
        <v>0</v>
      </c>
      <c r="X1510">
        <v>0</v>
      </c>
      <c r="Y1510">
        <v>25</v>
      </c>
      <c r="Z1510" t="s">
        <v>111</v>
      </c>
      <c r="AA1510">
        <v>0</v>
      </c>
      <c r="AB1510" t="s">
        <v>3954</v>
      </c>
      <c r="AC1510">
        <v>2.5</v>
      </c>
      <c r="AD1510" t="s">
        <v>493</v>
      </c>
      <c r="AE1510">
        <v>0</v>
      </c>
      <c r="AF1510">
        <v>0</v>
      </c>
      <c r="AG1510" t="s">
        <v>111</v>
      </c>
      <c r="AH1510" t="s">
        <v>113</v>
      </c>
      <c r="AI1510" t="s">
        <v>111</v>
      </c>
      <c r="AJ1510" t="s">
        <v>111</v>
      </c>
      <c r="AK1510" t="s">
        <v>111</v>
      </c>
      <c r="AL1510" t="s">
        <v>111</v>
      </c>
      <c r="AM1510">
        <v>0</v>
      </c>
      <c r="AN1510">
        <v>0</v>
      </c>
      <c r="AO1510">
        <v>0</v>
      </c>
      <c r="AP1510" t="s">
        <v>111</v>
      </c>
      <c r="AQ1510" t="s">
        <v>111</v>
      </c>
      <c r="AR1510" t="s">
        <v>111</v>
      </c>
      <c r="AS1510" t="s">
        <v>111</v>
      </c>
      <c r="AT1510" t="s">
        <v>111</v>
      </c>
      <c r="AU1510" t="s">
        <v>111</v>
      </c>
      <c r="AV1510" t="s">
        <v>111</v>
      </c>
      <c r="AW1510" t="s">
        <v>111</v>
      </c>
      <c r="AX1510" t="s">
        <v>111</v>
      </c>
      <c r="AY1510" t="s">
        <v>111</v>
      </c>
      <c r="AZ1510" t="s">
        <v>111</v>
      </c>
      <c r="BA1510" t="s">
        <v>111</v>
      </c>
      <c r="BB1510" t="s">
        <v>111</v>
      </c>
      <c r="BC1510" t="s">
        <v>111</v>
      </c>
      <c r="BD1510" t="s">
        <v>111</v>
      </c>
      <c r="BE1510" t="s">
        <v>111</v>
      </c>
      <c r="BF1510" t="s">
        <v>111</v>
      </c>
      <c r="BG1510" t="s">
        <v>111</v>
      </c>
      <c r="BH1510" t="s">
        <v>111</v>
      </c>
      <c r="BI1510" t="s">
        <v>111</v>
      </c>
      <c r="BJ1510" t="s">
        <v>111</v>
      </c>
      <c r="BK1510" t="s">
        <v>111</v>
      </c>
      <c r="BL1510" t="s">
        <v>111</v>
      </c>
      <c r="BM1510" t="s">
        <v>111</v>
      </c>
      <c r="BN1510" t="s">
        <v>111</v>
      </c>
      <c r="BO1510" t="s">
        <v>111</v>
      </c>
      <c r="BP1510" t="s">
        <v>111</v>
      </c>
      <c r="BQ1510" t="s">
        <v>111</v>
      </c>
      <c r="BR1510" t="s">
        <v>111</v>
      </c>
      <c r="BS1510" t="s">
        <v>111</v>
      </c>
      <c r="BT1510" t="s">
        <v>111</v>
      </c>
      <c r="BU1510" t="s">
        <v>111</v>
      </c>
      <c r="BV1510" t="s">
        <v>111</v>
      </c>
      <c r="BW1510" t="s">
        <v>111</v>
      </c>
      <c r="BX1510" t="s">
        <v>111</v>
      </c>
      <c r="BY1510" t="s">
        <v>111</v>
      </c>
      <c r="BZ1510" t="s">
        <v>111</v>
      </c>
      <c r="CA1510" t="s">
        <v>111</v>
      </c>
      <c r="CB1510" t="s">
        <v>111</v>
      </c>
      <c r="CC1510" t="s">
        <v>111</v>
      </c>
      <c r="CD1510" t="s">
        <v>111</v>
      </c>
      <c r="CE1510" t="s">
        <v>111</v>
      </c>
      <c r="CF1510" t="s">
        <v>111</v>
      </c>
      <c r="CG1510" t="s">
        <v>111</v>
      </c>
      <c r="CH1510" t="s">
        <v>111</v>
      </c>
      <c r="CI1510" t="s">
        <v>111</v>
      </c>
      <c r="CJ1510" t="s">
        <v>111</v>
      </c>
      <c r="CK1510" t="s">
        <v>111</v>
      </c>
      <c r="CL1510" t="s">
        <v>111</v>
      </c>
      <c r="CM1510" t="s">
        <v>135</v>
      </c>
      <c r="CN1510" t="s">
        <v>113</v>
      </c>
      <c r="CO1510" t="s">
        <v>111</v>
      </c>
      <c r="CP1510" t="s">
        <v>111</v>
      </c>
      <c r="CQ1510">
        <v>0</v>
      </c>
      <c r="CR1510">
        <v>0</v>
      </c>
      <c r="CS1510">
        <v>200</v>
      </c>
      <c r="CT1510" s="1" t="s">
        <v>4231</v>
      </c>
      <c r="CU1510">
        <v>0</v>
      </c>
      <c r="CV1510" t="s">
        <v>111</v>
      </c>
      <c r="CX1510" t="s">
        <v>111</v>
      </c>
      <c r="CY1510">
        <v>0</v>
      </c>
      <c r="CZ1510" t="s">
        <v>111</v>
      </c>
      <c r="DA1510" t="s">
        <v>111</v>
      </c>
      <c r="DB1510" t="e">
        <f>-EXTERNO</f>
        <v>#NAME?</v>
      </c>
      <c r="DC1510" t="e">
        <f>-PEGAR GANCHO</f>
        <v>#NAME?</v>
      </c>
    </row>
    <row r="1511" spans="1:107">
      <c r="A1511">
        <v>1677</v>
      </c>
      <c r="B1511" t="s">
        <v>107</v>
      </c>
      <c r="C1511" t="s">
        <v>2543</v>
      </c>
      <c r="D1511" t="s">
        <v>3655</v>
      </c>
      <c r="E1511" t="s">
        <v>3686</v>
      </c>
      <c r="F1511" t="s">
        <v>1651</v>
      </c>
      <c r="G1511" t="s">
        <v>24</v>
      </c>
      <c r="H1511">
        <v>1.5</v>
      </c>
      <c r="I1511">
        <v>70</v>
      </c>
      <c r="J1511">
        <v>0</v>
      </c>
      <c r="K1511">
        <v>0</v>
      </c>
      <c r="L1511" t="s">
        <v>117</v>
      </c>
      <c r="M1511" t="s">
        <v>118</v>
      </c>
      <c r="N1511">
        <v>39</v>
      </c>
      <c r="O1511">
        <v>1</v>
      </c>
      <c r="P1511" t="s">
        <v>111</v>
      </c>
      <c r="Q1511">
        <v>400</v>
      </c>
      <c r="R1511">
        <v>0</v>
      </c>
      <c r="S1511">
        <v>0</v>
      </c>
      <c r="T1511">
        <v>5</v>
      </c>
      <c r="U1511" t="e">
        <f>-IMPRESION DARMA</f>
        <v>#NAME?</v>
      </c>
      <c r="V1511">
        <v>0</v>
      </c>
      <c r="W1511">
        <v>0</v>
      </c>
      <c r="X1511">
        <v>0</v>
      </c>
      <c r="Y1511">
        <v>25</v>
      </c>
      <c r="Z1511" t="s">
        <v>111</v>
      </c>
      <c r="AA1511">
        <v>0</v>
      </c>
      <c r="AB1511" t="s">
        <v>111</v>
      </c>
      <c r="AC1511">
        <v>0</v>
      </c>
      <c r="AD1511" t="s">
        <v>416</v>
      </c>
      <c r="AE1511">
        <v>0</v>
      </c>
      <c r="AF1511">
        <v>0</v>
      </c>
      <c r="AG1511" t="s">
        <v>111</v>
      </c>
      <c r="AH1511" t="s">
        <v>113</v>
      </c>
      <c r="AI1511" t="s">
        <v>111</v>
      </c>
      <c r="AJ1511" t="s">
        <v>111</v>
      </c>
      <c r="AK1511" t="s">
        <v>111</v>
      </c>
      <c r="AL1511" t="s">
        <v>111</v>
      </c>
      <c r="AM1511">
        <v>0</v>
      </c>
      <c r="AN1511">
        <v>0</v>
      </c>
      <c r="AO1511">
        <v>0</v>
      </c>
      <c r="AP1511" t="s">
        <v>111</v>
      </c>
      <c r="AQ1511" t="s">
        <v>111</v>
      </c>
      <c r="AR1511" t="s">
        <v>111</v>
      </c>
      <c r="AS1511" t="s">
        <v>111</v>
      </c>
      <c r="AT1511" t="s">
        <v>111</v>
      </c>
      <c r="AU1511" t="s">
        <v>111</v>
      </c>
      <c r="AV1511" t="s">
        <v>111</v>
      </c>
      <c r="AW1511" t="s">
        <v>111</v>
      </c>
      <c r="AX1511" t="s">
        <v>111</v>
      </c>
      <c r="AY1511" t="s">
        <v>111</v>
      </c>
      <c r="AZ1511" t="s">
        <v>111</v>
      </c>
      <c r="BA1511" t="s">
        <v>111</v>
      </c>
      <c r="BB1511" t="s">
        <v>111</v>
      </c>
      <c r="BC1511" t="s">
        <v>111</v>
      </c>
      <c r="BD1511" t="s">
        <v>111</v>
      </c>
      <c r="BE1511" t="s">
        <v>111</v>
      </c>
      <c r="BF1511" t="s">
        <v>111</v>
      </c>
      <c r="BG1511" t="s">
        <v>111</v>
      </c>
      <c r="BH1511" t="s">
        <v>111</v>
      </c>
      <c r="BI1511" t="s">
        <v>111</v>
      </c>
      <c r="BJ1511" t="s">
        <v>111</v>
      </c>
      <c r="BK1511" t="s">
        <v>111</v>
      </c>
      <c r="BL1511" t="s">
        <v>111</v>
      </c>
      <c r="BM1511" t="s">
        <v>111</v>
      </c>
      <c r="BN1511" t="s">
        <v>111</v>
      </c>
      <c r="BO1511" t="s">
        <v>111</v>
      </c>
      <c r="BP1511" t="s">
        <v>111</v>
      </c>
      <c r="BQ1511" t="s">
        <v>111</v>
      </c>
      <c r="BR1511" t="s">
        <v>111</v>
      </c>
      <c r="BS1511" t="s">
        <v>111</v>
      </c>
      <c r="BT1511" t="s">
        <v>111</v>
      </c>
      <c r="BU1511" t="s">
        <v>111</v>
      </c>
      <c r="BV1511" t="s">
        <v>111</v>
      </c>
      <c r="BW1511" t="s">
        <v>111</v>
      </c>
      <c r="BX1511" t="s">
        <v>111</v>
      </c>
      <c r="BY1511" t="s">
        <v>111</v>
      </c>
      <c r="BZ1511" t="s">
        <v>111</v>
      </c>
      <c r="CA1511" t="s">
        <v>111</v>
      </c>
      <c r="CB1511" t="s">
        <v>111</v>
      </c>
      <c r="CC1511" t="s">
        <v>111</v>
      </c>
      <c r="CD1511" t="s">
        <v>111</v>
      </c>
      <c r="CE1511" t="s">
        <v>111</v>
      </c>
      <c r="CF1511" t="s">
        <v>111</v>
      </c>
      <c r="CG1511" t="s">
        <v>111</v>
      </c>
      <c r="CH1511" t="s">
        <v>111</v>
      </c>
      <c r="CI1511" t="s">
        <v>111</v>
      </c>
      <c r="CJ1511" t="s">
        <v>111</v>
      </c>
      <c r="CK1511" t="s">
        <v>111</v>
      </c>
      <c r="CL1511" t="s">
        <v>111</v>
      </c>
      <c r="CM1511" t="s">
        <v>135</v>
      </c>
      <c r="CN1511" t="s">
        <v>113</v>
      </c>
      <c r="CO1511" t="s">
        <v>111</v>
      </c>
      <c r="CP1511" t="s">
        <v>111</v>
      </c>
      <c r="CQ1511">
        <v>0</v>
      </c>
      <c r="CR1511">
        <v>6000</v>
      </c>
      <c r="CS1511">
        <v>250</v>
      </c>
      <c r="CT1511" t="e">
        <f>-ALMACEN</f>
        <v>#NAME?</v>
      </c>
      <c r="CU1511">
        <v>0</v>
      </c>
      <c r="CV1511" t="s">
        <v>111</v>
      </c>
      <c r="CX1511" t="s">
        <v>111</v>
      </c>
      <c r="CY1511">
        <v>0</v>
      </c>
      <c r="CZ1511" t="s">
        <v>111</v>
      </c>
      <c r="DA1511" t="s">
        <v>111</v>
      </c>
      <c r="DB1511" t="s">
        <v>111</v>
      </c>
      <c r="DC1511" t="s">
        <v>111</v>
      </c>
    </row>
    <row r="1512" spans="1:107">
      <c r="A1512">
        <v>1663</v>
      </c>
      <c r="B1512" t="s">
        <v>107</v>
      </c>
      <c r="C1512" t="s">
        <v>180</v>
      </c>
      <c r="D1512" t="s">
        <v>4232</v>
      </c>
      <c r="E1512" t="s">
        <v>4233</v>
      </c>
      <c r="F1512" t="s">
        <v>1651</v>
      </c>
      <c r="G1512" t="s">
        <v>24</v>
      </c>
      <c r="H1512">
        <v>2.4</v>
      </c>
      <c r="I1512">
        <v>50</v>
      </c>
      <c r="J1512">
        <v>0</v>
      </c>
      <c r="K1512">
        <v>0</v>
      </c>
      <c r="L1512" t="s">
        <v>117</v>
      </c>
      <c r="M1512" t="s">
        <v>118</v>
      </c>
      <c r="N1512">
        <v>39</v>
      </c>
      <c r="O1512">
        <v>1</v>
      </c>
      <c r="P1512" t="s">
        <v>111</v>
      </c>
      <c r="Q1512">
        <v>41.1</v>
      </c>
      <c r="R1512">
        <v>0</v>
      </c>
      <c r="S1512">
        <v>0</v>
      </c>
      <c r="T1512">
        <v>5</v>
      </c>
      <c r="U1512" s="1" t="s">
        <v>4234</v>
      </c>
      <c r="V1512">
        <v>0</v>
      </c>
      <c r="W1512">
        <v>0</v>
      </c>
      <c r="X1512">
        <v>0</v>
      </c>
      <c r="Y1512">
        <v>25</v>
      </c>
      <c r="Z1512" t="s">
        <v>111</v>
      </c>
      <c r="AA1512">
        <v>0</v>
      </c>
      <c r="AB1512" t="s">
        <v>111</v>
      </c>
      <c r="AC1512">
        <v>0</v>
      </c>
      <c r="AD1512" t="s">
        <v>416</v>
      </c>
      <c r="AE1512">
        <v>0</v>
      </c>
      <c r="AF1512">
        <v>0</v>
      </c>
      <c r="AG1512" t="s">
        <v>111</v>
      </c>
      <c r="AH1512" t="s">
        <v>113</v>
      </c>
      <c r="AI1512" t="s">
        <v>111</v>
      </c>
      <c r="AJ1512" t="s">
        <v>111</v>
      </c>
      <c r="AK1512" t="s">
        <v>111</v>
      </c>
      <c r="AL1512" t="s">
        <v>111</v>
      </c>
      <c r="AM1512">
        <v>0</v>
      </c>
      <c r="AN1512">
        <v>0</v>
      </c>
      <c r="AO1512">
        <v>0</v>
      </c>
      <c r="AP1512" t="s">
        <v>111</v>
      </c>
      <c r="AQ1512" t="s">
        <v>111</v>
      </c>
      <c r="AR1512" t="s">
        <v>111</v>
      </c>
      <c r="AS1512" t="s">
        <v>111</v>
      </c>
      <c r="AT1512" t="s">
        <v>111</v>
      </c>
      <c r="AU1512" t="s">
        <v>111</v>
      </c>
      <c r="AV1512" t="s">
        <v>111</v>
      </c>
      <c r="AW1512" t="s">
        <v>111</v>
      </c>
      <c r="AX1512" t="s">
        <v>111</v>
      </c>
      <c r="AY1512" t="s">
        <v>111</v>
      </c>
      <c r="AZ1512" t="s">
        <v>111</v>
      </c>
      <c r="BA1512" t="s">
        <v>111</v>
      </c>
      <c r="BB1512" t="s">
        <v>111</v>
      </c>
      <c r="BC1512" t="s">
        <v>111</v>
      </c>
      <c r="BD1512" t="s">
        <v>111</v>
      </c>
      <c r="BE1512" t="s">
        <v>111</v>
      </c>
      <c r="BF1512" t="s">
        <v>111</v>
      </c>
      <c r="BG1512" t="s">
        <v>111</v>
      </c>
      <c r="BH1512" t="s">
        <v>111</v>
      </c>
      <c r="BI1512" t="s">
        <v>111</v>
      </c>
      <c r="BJ1512" t="s">
        <v>111</v>
      </c>
      <c r="BK1512" t="s">
        <v>111</v>
      </c>
      <c r="BL1512" t="s">
        <v>111</v>
      </c>
      <c r="BM1512" t="s">
        <v>111</v>
      </c>
      <c r="BN1512" t="s">
        <v>111</v>
      </c>
      <c r="BO1512" t="s">
        <v>111</v>
      </c>
      <c r="BP1512" t="s">
        <v>111</v>
      </c>
      <c r="BQ1512" t="s">
        <v>111</v>
      </c>
      <c r="BR1512" t="s">
        <v>111</v>
      </c>
      <c r="BS1512" t="s">
        <v>111</v>
      </c>
      <c r="BT1512" t="s">
        <v>111</v>
      </c>
      <c r="BU1512" t="s">
        <v>111</v>
      </c>
      <c r="BV1512" t="s">
        <v>111</v>
      </c>
      <c r="BW1512" t="s">
        <v>111</v>
      </c>
      <c r="BX1512" t="s">
        <v>111</v>
      </c>
      <c r="BY1512" t="s">
        <v>111</v>
      </c>
      <c r="BZ1512" t="s">
        <v>111</v>
      </c>
      <c r="CA1512" t="s">
        <v>111</v>
      </c>
      <c r="CB1512" t="s">
        <v>111</v>
      </c>
      <c r="CC1512" t="s">
        <v>111</v>
      </c>
      <c r="CD1512" t="s">
        <v>111</v>
      </c>
      <c r="CE1512" t="s">
        <v>111</v>
      </c>
      <c r="CF1512" t="s">
        <v>111</v>
      </c>
      <c r="CG1512" t="s">
        <v>111</v>
      </c>
      <c r="CH1512" t="s">
        <v>111</v>
      </c>
      <c r="CI1512" t="s">
        <v>111</v>
      </c>
      <c r="CJ1512" t="s">
        <v>111</v>
      </c>
      <c r="CK1512" t="s">
        <v>111</v>
      </c>
      <c r="CL1512" t="s">
        <v>111</v>
      </c>
      <c r="CM1512" t="s">
        <v>135</v>
      </c>
      <c r="CN1512" t="s">
        <v>113</v>
      </c>
      <c r="CO1512" t="s">
        <v>111</v>
      </c>
      <c r="CP1512" t="s">
        <v>111</v>
      </c>
      <c r="CQ1512">
        <v>0</v>
      </c>
      <c r="CR1512">
        <v>3000</v>
      </c>
      <c r="CS1512">
        <v>100</v>
      </c>
      <c r="CT1512" t="e">
        <f>-MANUALES</f>
        <v>#NAME?</v>
      </c>
      <c r="CU1512">
        <v>0</v>
      </c>
      <c r="CV1512" t="s">
        <v>111</v>
      </c>
      <c r="CX1512" t="s">
        <v>111</v>
      </c>
      <c r="CY1512">
        <v>0</v>
      </c>
      <c r="CZ1512" t="s">
        <v>111</v>
      </c>
      <c r="DA1512" t="s">
        <v>111</v>
      </c>
      <c r="DB1512" t="e">
        <f>-EXTERNO</f>
        <v>#NAME?</v>
      </c>
      <c r="DC1512" t="e">
        <f>-PEGAR GANCHOS</f>
        <v>#NAME?</v>
      </c>
    </row>
    <row r="1513" spans="1:107">
      <c r="A1513">
        <v>1662</v>
      </c>
      <c r="B1513" t="s">
        <v>107</v>
      </c>
      <c r="C1513" t="s">
        <v>180</v>
      </c>
      <c r="D1513" t="s">
        <v>4235</v>
      </c>
      <c r="E1513" t="s">
        <v>4236</v>
      </c>
      <c r="F1513" t="s">
        <v>1651</v>
      </c>
      <c r="G1513" t="s">
        <v>24</v>
      </c>
      <c r="H1513">
        <v>2.4</v>
      </c>
      <c r="I1513">
        <v>45</v>
      </c>
      <c r="J1513">
        <v>2.5</v>
      </c>
      <c r="K1513">
        <v>0</v>
      </c>
      <c r="L1513" t="s">
        <v>117</v>
      </c>
      <c r="M1513" t="s">
        <v>118</v>
      </c>
      <c r="N1513">
        <v>39</v>
      </c>
      <c r="O1513">
        <v>1</v>
      </c>
      <c r="P1513" t="s">
        <v>111</v>
      </c>
      <c r="Q1513">
        <v>26.8</v>
      </c>
      <c r="R1513">
        <v>0</v>
      </c>
      <c r="S1513">
        <v>0</v>
      </c>
      <c r="T1513">
        <v>5</v>
      </c>
      <c r="U1513" s="1" t="s">
        <v>662</v>
      </c>
      <c r="V1513">
        <v>0</v>
      </c>
      <c r="W1513">
        <v>0</v>
      </c>
      <c r="X1513">
        <v>0</v>
      </c>
      <c r="Y1513">
        <v>25</v>
      </c>
      <c r="Z1513" t="s">
        <v>111</v>
      </c>
      <c r="AA1513">
        <v>0</v>
      </c>
      <c r="AB1513" t="s">
        <v>111</v>
      </c>
      <c r="AC1513">
        <v>0</v>
      </c>
      <c r="AD1513" t="s">
        <v>416</v>
      </c>
      <c r="AE1513">
        <v>0</v>
      </c>
      <c r="AF1513">
        <v>0</v>
      </c>
      <c r="AG1513" t="s">
        <v>111</v>
      </c>
      <c r="AH1513" t="s">
        <v>113</v>
      </c>
      <c r="AI1513" t="s">
        <v>111</v>
      </c>
      <c r="AJ1513" t="s">
        <v>111</v>
      </c>
      <c r="AK1513" t="s">
        <v>111</v>
      </c>
      <c r="AL1513" t="s">
        <v>111</v>
      </c>
      <c r="AM1513">
        <v>0</v>
      </c>
      <c r="AN1513">
        <v>0</v>
      </c>
      <c r="AO1513">
        <v>0</v>
      </c>
      <c r="AP1513" t="s">
        <v>111</v>
      </c>
      <c r="AQ1513" t="s">
        <v>111</v>
      </c>
      <c r="AR1513" t="s">
        <v>111</v>
      </c>
      <c r="AS1513" t="s">
        <v>111</v>
      </c>
      <c r="AT1513" t="s">
        <v>111</v>
      </c>
      <c r="AU1513" t="s">
        <v>111</v>
      </c>
      <c r="AV1513" t="s">
        <v>111</v>
      </c>
      <c r="AW1513" t="s">
        <v>111</v>
      </c>
      <c r="AX1513" t="s">
        <v>111</v>
      </c>
      <c r="AY1513" t="s">
        <v>111</v>
      </c>
      <c r="AZ1513" t="s">
        <v>111</v>
      </c>
      <c r="BA1513" t="s">
        <v>111</v>
      </c>
      <c r="BB1513" t="s">
        <v>111</v>
      </c>
      <c r="BC1513" t="s">
        <v>111</v>
      </c>
      <c r="BD1513" t="s">
        <v>111</v>
      </c>
      <c r="BE1513" t="s">
        <v>111</v>
      </c>
      <c r="BF1513" t="s">
        <v>111</v>
      </c>
      <c r="BG1513" t="s">
        <v>111</v>
      </c>
      <c r="BH1513" t="s">
        <v>111</v>
      </c>
      <c r="BI1513" t="s">
        <v>111</v>
      </c>
      <c r="BJ1513" t="s">
        <v>111</v>
      </c>
      <c r="BK1513" t="s">
        <v>111</v>
      </c>
      <c r="BL1513" t="s">
        <v>111</v>
      </c>
      <c r="BM1513" t="s">
        <v>111</v>
      </c>
      <c r="BN1513" t="s">
        <v>111</v>
      </c>
      <c r="BO1513" t="s">
        <v>111</v>
      </c>
      <c r="BP1513" t="s">
        <v>111</v>
      </c>
      <c r="BQ1513" t="s">
        <v>111</v>
      </c>
      <c r="BR1513" t="s">
        <v>111</v>
      </c>
      <c r="BS1513" t="s">
        <v>111</v>
      </c>
      <c r="BT1513" t="s">
        <v>111</v>
      </c>
      <c r="BU1513" t="s">
        <v>111</v>
      </c>
      <c r="BV1513" t="s">
        <v>111</v>
      </c>
      <c r="BW1513" t="s">
        <v>111</v>
      </c>
      <c r="BX1513" t="s">
        <v>111</v>
      </c>
      <c r="BY1513" t="s">
        <v>111</v>
      </c>
      <c r="BZ1513" t="s">
        <v>111</v>
      </c>
      <c r="CA1513" t="s">
        <v>111</v>
      </c>
      <c r="CB1513" t="s">
        <v>111</v>
      </c>
      <c r="CC1513" t="s">
        <v>111</v>
      </c>
      <c r="CD1513" t="s">
        <v>111</v>
      </c>
      <c r="CE1513" t="s">
        <v>111</v>
      </c>
      <c r="CF1513" t="s">
        <v>111</v>
      </c>
      <c r="CG1513" t="s">
        <v>111</v>
      </c>
      <c r="CH1513" t="s">
        <v>111</v>
      </c>
      <c r="CI1513" t="s">
        <v>111</v>
      </c>
      <c r="CJ1513" t="s">
        <v>111</v>
      </c>
      <c r="CK1513" t="s">
        <v>111</v>
      </c>
      <c r="CL1513" t="s">
        <v>111</v>
      </c>
      <c r="CM1513" t="s">
        <v>135</v>
      </c>
      <c r="CN1513" t="s">
        <v>113</v>
      </c>
      <c r="CO1513" t="s">
        <v>111</v>
      </c>
      <c r="CP1513" t="s">
        <v>111</v>
      </c>
      <c r="CQ1513">
        <v>0</v>
      </c>
      <c r="CR1513">
        <v>5000</v>
      </c>
      <c r="CS1513">
        <v>100</v>
      </c>
      <c r="CT1513" t="e">
        <f>-ALMMACEN</f>
        <v>#NAME?</v>
      </c>
      <c r="CU1513">
        <v>0</v>
      </c>
      <c r="CV1513" t="s">
        <v>111</v>
      </c>
      <c r="CX1513" t="s">
        <v>111</v>
      </c>
      <c r="CY1513">
        <v>0</v>
      </c>
      <c r="CZ1513" t="s">
        <v>111</v>
      </c>
      <c r="DA1513" t="s">
        <v>111</v>
      </c>
      <c r="DB1513" t="e">
        <f>-EXTERNO</f>
        <v>#NAME?</v>
      </c>
      <c r="DC1513" t="e">
        <f>-PEGADA DE GANCHO</f>
        <v>#NAME?</v>
      </c>
    </row>
    <row r="1514" spans="1:107">
      <c r="A1514">
        <v>1650</v>
      </c>
      <c r="B1514" t="s">
        <v>107</v>
      </c>
      <c r="C1514" t="s">
        <v>4214</v>
      </c>
      <c r="D1514" t="s">
        <v>4237</v>
      </c>
      <c r="E1514" t="s">
        <v>4238</v>
      </c>
      <c r="F1514" t="s">
        <v>110</v>
      </c>
      <c r="G1514" t="s">
        <v>24</v>
      </c>
      <c r="H1514">
        <v>0.9</v>
      </c>
      <c r="I1514">
        <v>33</v>
      </c>
      <c r="J1514">
        <v>0</v>
      </c>
      <c r="K1514">
        <v>0</v>
      </c>
      <c r="L1514" t="s">
        <v>112</v>
      </c>
      <c r="M1514" t="s">
        <v>111</v>
      </c>
      <c r="N1514">
        <v>0</v>
      </c>
      <c r="O1514">
        <v>0</v>
      </c>
      <c r="P1514" t="s">
        <v>111</v>
      </c>
      <c r="Q1514">
        <v>32.6</v>
      </c>
      <c r="R1514">
        <v>0</v>
      </c>
      <c r="S1514">
        <v>0</v>
      </c>
      <c r="T1514">
        <v>0</v>
      </c>
      <c r="U1514" s="1" t="s">
        <v>4239</v>
      </c>
      <c r="V1514">
        <v>0</v>
      </c>
      <c r="W1514">
        <v>0</v>
      </c>
      <c r="X1514">
        <v>0</v>
      </c>
      <c r="Y1514">
        <v>25</v>
      </c>
      <c r="Z1514" t="s">
        <v>111</v>
      </c>
      <c r="AA1514">
        <v>0</v>
      </c>
      <c r="AB1514" t="s">
        <v>111</v>
      </c>
      <c r="AC1514">
        <v>0</v>
      </c>
      <c r="AD1514" t="s">
        <v>111</v>
      </c>
      <c r="AE1514">
        <v>0</v>
      </c>
      <c r="AF1514">
        <v>0</v>
      </c>
      <c r="AG1514" t="s">
        <v>111</v>
      </c>
      <c r="AH1514" t="s">
        <v>111</v>
      </c>
      <c r="AI1514" t="s">
        <v>111</v>
      </c>
      <c r="AJ1514" t="s">
        <v>111</v>
      </c>
      <c r="AK1514" t="s">
        <v>111</v>
      </c>
      <c r="AL1514" t="s">
        <v>111</v>
      </c>
      <c r="AM1514">
        <v>0</v>
      </c>
      <c r="AN1514">
        <v>0</v>
      </c>
      <c r="AO1514">
        <v>0</v>
      </c>
      <c r="AP1514" t="s">
        <v>111</v>
      </c>
      <c r="AQ1514" t="s">
        <v>111</v>
      </c>
      <c r="AR1514" t="s">
        <v>111</v>
      </c>
      <c r="AS1514" t="s">
        <v>111</v>
      </c>
      <c r="AT1514" t="s">
        <v>111</v>
      </c>
      <c r="AU1514" t="s">
        <v>111</v>
      </c>
      <c r="AV1514" t="s">
        <v>111</v>
      </c>
      <c r="AW1514" t="s">
        <v>111</v>
      </c>
      <c r="AX1514" t="s">
        <v>111</v>
      </c>
      <c r="AY1514" t="s">
        <v>111</v>
      </c>
      <c r="AZ1514" t="s">
        <v>111</v>
      </c>
      <c r="BA1514" t="s">
        <v>111</v>
      </c>
      <c r="BB1514" t="s">
        <v>111</v>
      </c>
      <c r="BC1514" t="s">
        <v>111</v>
      </c>
      <c r="BD1514" t="s">
        <v>111</v>
      </c>
      <c r="BE1514" t="s">
        <v>111</v>
      </c>
      <c r="BF1514" t="s">
        <v>111</v>
      </c>
      <c r="BG1514" t="s">
        <v>111</v>
      </c>
      <c r="BH1514" t="s">
        <v>111</v>
      </c>
      <c r="BI1514" t="s">
        <v>111</v>
      </c>
      <c r="BJ1514" t="s">
        <v>111</v>
      </c>
      <c r="BK1514" t="s">
        <v>111</v>
      </c>
      <c r="BL1514" t="s">
        <v>111</v>
      </c>
      <c r="BM1514" t="s">
        <v>111</v>
      </c>
      <c r="BN1514" t="s">
        <v>111</v>
      </c>
      <c r="BO1514" t="s">
        <v>111</v>
      </c>
      <c r="BP1514" t="s">
        <v>111</v>
      </c>
      <c r="BQ1514" t="s">
        <v>111</v>
      </c>
      <c r="BR1514" t="s">
        <v>111</v>
      </c>
      <c r="BS1514" t="s">
        <v>111</v>
      </c>
      <c r="BT1514" t="s">
        <v>111</v>
      </c>
      <c r="BU1514" t="s">
        <v>111</v>
      </c>
      <c r="BV1514" t="s">
        <v>111</v>
      </c>
      <c r="BW1514" t="s">
        <v>111</v>
      </c>
      <c r="BX1514" t="s">
        <v>111</v>
      </c>
      <c r="BY1514" t="s">
        <v>111</v>
      </c>
      <c r="BZ1514" t="s">
        <v>111</v>
      </c>
      <c r="CA1514" t="s">
        <v>111</v>
      </c>
      <c r="CB1514" t="s">
        <v>111</v>
      </c>
      <c r="CC1514" t="s">
        <v>111</v>
      </c>
      <c r="CD1514" t="s">
        <v>111</v>
      </c>
      <c r="CE1514" t="s">
        <v>111</v>
      </c>
      <c r="CF1514" t="s">
        <v>111</v>
      </c>
      <c r="CG1514" t="s">
        <v>111</v>
      </c>
      <c r="CH1514" t="s">
        <v>111</v>
      </c>
      <c r="CI1514" t="s">
        <v>111</v>
      </c>
      <c r="CJ1514" t="s">
        <v>111</v>
      </c>
      <c r="CK1514" t="s">
        <v>111</v>
      </c>
      <c r="CL1514" t="s">
        <v>111</v>
      </c>
      <c r="CM1514" t="s">
        <v>111</v>
      </c>
      <c r="CN1514" t="s">
        <v>111</v>
      </c>
      <c r="CO1514" t="s">
        <v>111</v>
      </c>
      <c r="CP1514" t="s">
        <v>111</v>
      </c>
      <c r="CQ1514">
        <v>0</v>
      </c>
      <c r="CR1514">
        <v>0</v>
      </c>
      <c r="CS1514">
        <v>0</v>
      </c>
      <c r="CT1514" t="s">
        <v>111</v>
      </c>
      <c r="CU1514">
        <v>0</v>
      </c>
      <c r="CV1514" t="s">
        <v>111</v>
      </c>
      <c r="CX1514" t="s">
        <v>111</v>
      </c>
      <c r="CY1514">
        <v>0</v>
      </c>
      <c r="CZ1514" t="s">
        <v>111</v>
      </c>
      <c r="DA1514" t="s">
        <v>111</v>
      </c>
      <c r="DB1514" t="s">
        <v>111</v>
      </c>
      <c r="DC1514" t="s">
        <v>111</v>
      </c>
    </row>
    <row r="1515" spans="1:107">
      <c r="A1515">
        <v>1645</v>
      </c>
      <c r="B1515" t="s">
        <v>107</v>
      </c>
      <c r="C1515" t="s">
        <v>1643</v>
      </c>
      <c r="D1515" t="s">
        <v>4240</v>
      </c>
      <c r="E1515" t="s">
        <v>4241</v>
      </c>
      <c r="F1515" t="s">
        <v>2211</v>
      </c>
      <c r="G1515" t="s">
        <v>24</v>
      </c>
      <c r="H1515">
        <v>1</v>
      </c>
      <c r="I1515">
        <v>35</v>
      </c>
      <c r="J1515">
        <v>0</v>
      </c>
      <c r="K1515">
        <v>0</v>
      </c>
      <c r="L1515" t="s">
        <v>4242</v>
      </c>
      <c r="M1515" t="s">
        <v>111</v>
      </c>
      <c r="N1515">
        <v>0</v>
      </c>
      <c r="O1515">
        <v>0</v>
      </c>
      <c r="P1515" t="s">
        <v>111</v>
      </c>
      <c r="Q1515">
        <v>33.299999999999997</v>
      </c>
      <c r="R1515">
        <v>0</v>
      </c>
      <c r="S1515">
        <v>0</v>
      </c>
      <c r="T1515">
        <v>0</v>
      </c>
      <c r="U1515" s="1" t="s">
        <v>4243</v>
      </c>
      <c r="V1515">
        <v>0</v>
      </c>
      <c r="W1515">
        <v>0</v>
      </c>
      <c r="X1515">
        <v>0</v>
      </c>
      <c r="Y1515">
        <v>25</v>
      </c>
      <c r="Z1515" t="s">
        <v>111</v>
      </c>
      <c r="AA1515">
        <v>0</v>
      </c>
      <c r="AB1515" t="s">
        <v>4244</v>
      </c>
      <c r="AC1515">
        <v>0.4</v>
      </c>
      <c r="AD1515" t="s">
        <v>111</v>
      </c>
      <c r="AE1515">
        <v>0</v>
      </c>
      <c r="AF1515">
        <v>0</v>
      </c>
      <c r="AG1515" t="s">
        <v>111</v>
      </c>
      <c r="AH1515" t="s">
        <v>111</v>
      </c>
      <c r="AI1515" t="s">
        <v>111</v>
      </c>
      <c r="AJ1515" t="s">
        <v>111</v>
      </c>
      <c r="AK1515" t="s">
        <v>111</v>
      </c>
      <c r="AL1515" t="s">
        <v>111</v>
      </c>
      <c r="AM1515">
        <v>0</v>
      </c>
      <c r="AN1515">
        <v>0</v>
      </c>
      <c r="AO1515">
        <v>0</v>
      </c>
      <c r="AP1515" t="s">
        <v>111</v>
      </c>
      <c r="AQ1515" t="s">
        <v>111</v>
      </c>
      <c r="AR1515" t="s">
        <v>111</v>
      </c>
      <c r="AS1515" t="s">
        <v>111</v>
      </c>
      <c r="AT1515" t="s">
        <v>111</v>
      </c>
      <c r="AU1515" t="s">
        <v>111</v>
      </c>
      <c r="AV1515" t="s">
        <v>111</v>
      </c>
      <c r="AW1515" t="s">
        <v>111</v>
      </c>
      <c r="AX1515" t="s">
        <v>111</v>
      </c>
      <c r="AY1515" t="s">
        <v>111</v>
      </c>
      <c r="AZ1515" t="s">
        <v>111</v>
      </c>
      <c r="BA1515" t="s">
        <v>111</v>
      </c>
      <c r="BB1515" t="s">
        <v>111</v>
      </c>
      <c r="BC1515" t="s">
        <v>111</v>
      </c>
      <c r="BD1515" t="s">
        <v>111</v>
      </c>
      <c r="BE1515" t="s">
        <v>111</v>
      </c>
      <c r="BF1515" t="s">
        <v>111</v>
      </c>
      <c r="BG1515" t="s">
        <v>111</v>
      </c>
      <c r="BH1515" t="s">
        <v>111</v>
      </c>
      <c r="BI1515" t="s">
        <v>111</v>
      </c>
      <c r="BJ1515" t="s">
        <v>111</v>
      </c>
      <c r="BK1515" t="s">
        <v>111</v>
      </c>
      <c r="BL1515" t="s">
        <v>111</v>
      </c>
      <c r="BM1515" t="s">
        <v>111</v>
      </c>
      <c r="BN1515" t="s">
        <v>111</v>
      </c>
      <c r="BO1515" t="s">
        <v>111</v>
      </c>
      <c r="BP1515" t="s">
        <v>111</v>
      </c>
      <c r="BQ1515" t="s">
        <v>111</v>
      </c>
      <c r="BR1515" t="s">
        <v>111</v>
      </c>
      <c r="BS1515" t="s">
        <v>111</v>
      </c>
      <c r="BT1515" t="s">
        <v>111</v>
      </c>
      <c r="BU1515" t="s">
        <v>111</v>
      </c>
      <c r="BV1515" t="s">
        <v>111</v>
      </c>
      <c r="BW1515" t="s">
        <v>111</v>
      </c>
      <c r="BX1515" t="s">
        <v>111</v>
      </c>
      <c r="BY1515" t="s">
        <v>111</v>
      </c>
      <c r="BZ1515" t="s">
        <v>111</v>
      </c>
      <c r="CA1515" t="s">
        <v>111</v>
      </c>
      <c r="CB1515" t="s">
        <v>111</v>
      </c>
      <c r="CC1515" t="s">
        <v>111</v>
      </c>
      <c r="CD1515" t="s">
        <v>111</v>
      </c>
      <c r="CE1515" t="s">
        <v>111</v>
      </c>
      <c r="CF1515" t="s">
        <v>111</v>
      </c>
      <c r="CG1515" t="s">
        <v>111</v>
      </c>
      <c r="CH1515" t="s">
        <v>111</v>
      </c>
      <c r="CI1515" t="s">
        <v>111</v>
      </c>
      <c r="CJ1515" t="s">
        <v>111</v>
      </c>
      <c r="CK1515" t="s">
        <v>111</v>
      </c>
      <c r="CL1515" t="s">
        <v>111</v>
      </c>
      <c r="CM1515" t="s">
        <v>111</v>
      </c>
      <c r="CN1515" t="s">
        <v>111</v>
      </c>
      <c r="CO1515" t="s">
        <v>111</v>
      </c>
      <c r="CP1515" t="s">
        <v>111</v>
      </c>
      <c r="CQ1515">
        <v>0</v>
      </c>
      <c r="CR1515">
        <v>0</v>
      </c>
      <c r="CS1515">
        <v>0</v>
      </c>
      <c r="CT1515" t="s">
        <v>111</v>
      </c>
      <c r="CU1515">
        <v>0</v>
      </c>
      <c r="CV1515" t="s">
        <v>111</v>
      </c>
      <c r="CX1515" t="s">
        <v>111</v>
      </c>
      <c r="CY1515">
        <v>0</v>
      </c>
      <c r="CZ1515" t="s">
        <v>111</v>
      </c>
      <c r="DA1515" t="s">
        <v>111</v>
      </c>
      <c r="DB1515" t="s">
        <v>111</v>
      </c>
      <c r="DC1515" t="s">
        <v>111</v>
      </c>
    </row>
    <row r="1516" spans="1:107">
      <c r="A1516">
        <v>1644</v>
      </c>
      <c r="B1516" t="s">
        <v>107</v>
      </c>
      <c r="C1516" t="s">
        <v>4165</v>
      </c>
      <c r="D1516" t="s">
        <v>4245</v>
      </c>
      <c r="E1516" t="s">
        <v>4246</v>
      </c>
      <c r="F1516" t="s">
        <v>110</v>
      </c>
      <c r="G1516" t="s">
        <v>24</v>
      </c>
      <c r="H1516">
        <v>0.95</v>
      </c>
      <c r="I1516">
        <v>55</v>
      </c>
      <c r="J1516">
        <v>0</v>
      </c>
      <c r="K1516">
        <v>0</v>
      </c>
      <c r="L1516" t="s">
        <v>112</v>
      </c>
      <c r="M1516" t="s">
        <v>111</v>
      </c>
      <c r="N1516">
        <v>0</v>
      </c>
      <c r="O1516">
        <v>0</v>
      </c>
      <c r="P1516" t="s">
        <v>111</v>
      </c>
      <c r="Q1516">
        <v>39.200000000000003</v>
      </c>
      <c r="R1516">
        <v>0</v>
      </c>
      <c r="S1516">
        <v>0</v>
      </c>
      <c r="T1516">
        <v>0</v>
      </c>
      <c r="U1516" s="1" t="s">
        <v>4247</v>
      </c>
      <c r="V1516">
        <v>0</v>
      </c>
      <c r="W1516">
        <v>0</v>
      </c>
      <c r="X1516">
        <v>0</v>
      </c>
      <c r="Y1516">
        <v>25</v>
      </c>
      <c r="Z1516" t="s">
        <v>111</v>
      </c>
      <c r="AA1516">
        <v>0</v>
      </c>
      <c r="AB1516" t="s">
        <v>111</v>
      </c>
      <c r="AC1516">
        <v>0</v>
      </c>
      <c r="AD1516" t="s">
        <v>4248</v>
      </c>
      <c r="AE1516">
        <v>0</v>
      </c>
      <c r="AF1516">
        <v>0</v>
      </c>
      <c r="AG1516" t="s">
        <v>111</v>
      </c>
      <c r="AH1516" t="s">
        <v>111</v>
      </c>
      <c r="AI1516" t="s">
        <v>111</v>
      </c>
      <c r="AJ1516" t="s">
        <v>111</v>
      </c>
      <c r="AK1516" t="s">
        <v>111</v>
      </c>
      <c r="AL1516" t="s">
        <v>111</v>
      </c>
      <c r="AM1516">
        <v>0</v>
      </c>
      <c r="AN1516">
        <v>0</v>
      </c>
      <c r="AO1516">
        <v>0</v>
      </c>
      <c r="AP1516" t="s">
        <v>111</v>
      </c>
      <c r="AQ1516" t="s">
        <v>111</v>
      </c>
      <c r="AR1516" t="s">
        <v>111</v>
      </c>
      <c r="AS1516" t="s">
        <v>111</v>
      </c>
      <c r="AT1516" t="s">
        <v>111</v>
      </c>
      <c r="AU1516" t="s">
        <v>111</v>
      </c>
      <c r="AV1516" t="s">
        <v>111</v>
      </c>
      <c r="AW1516" t="s">
        <v>111</v>
      </c>
      <c r="AX1516" t="s">
        <v>111</v>
      </c>
      <c r="AY1516" t="s">
        <v>111</v>
      </c>
      <c r="AZ1516" t="s">
        <v>111</v>
      </c>
      <c r="BA1516" t="s">
        <v>111</v>
      </c>
      <c r="BB1516" t="s">
        <v>111</v>
      </c>
      <c r="BC1516" t="s">
        <v>111</v>
      </c>
      <c r="BD1516" t="s">
        <v>111</v>
      </c>
      <c r="BE1516" t="s">
        <v>111</v>
      </c>
      <c r="BF1516" t="s">
        <v>111</v>
      </c>
      <c r="BG1516" t="s">
        <v>111</v>
      </c>
      <c r="BH1516" t="s">
        <v>111</v>
      </c>
      <c r="BI1516" t="s">
        <v>111</v>
      </c>
      <c r="BJ1516" t="s">
        <v>111</v>
      </c>
      <c r="BK1516" t="s">
        <v>111</v>
      </c>
      <c r="BL1516" t="s">
        <v>111</v>
      </c>
      <c r="BM1516" t="s">
        <v>111</v>
      </c>
      <c r="BN1516" t="s">
        <v>111</v>
      </c>
      <c r="BO1516" t="s">
        <v>111</v>
      </c>
      <c r="BP1516" t="s">
        <v>111</v>
      </c>
      <c r="BQ1516" t="s">
        <v>111</v>
      </c>
      <c r="BR1516" t="s">
        <v>111</v>
      </c>
      <c r="BS1516" t="s">
        <v>111</v>
      </c>
      <c r="BT1516" t="s">
        <v>111</v>
      </c>
      <c r="BU1516" t="s">
        <v>111</v>
      </c>
      <c r="BV1516" t="s">
        <v>111</v>
      </c>
      <c r="BW1516" t="s">
        <v>111</v>
      </c>
      <c r="BX1516" t="s">
        <v>111</v>
      </c>
      <c r="BY1516" t="s">
        <v>111</v>
      </c>
      <c r="BZ1516" t="s">
        <v>111</v>
      </c>
      <c r="CA1516" t="s">
        <v>111</v>
      </c>
      <c r="CB1516" t="s">
        <v>111</v>
      </c>
      <c r="CC1516" t="s">
        <v>111</v>
      </c>
      <c r="CD1516" t="s">
        <v>111</v>
      </c>
      <c r="CE1516" t="s">
        <v>111</v>
      </c>
      <c r="CF1516" t="s">
        <v>111</v>
      </c>
      <c r="CG1516" t="s">
        <v>111</v>
      </c>
      <c r="CH1516" t="s">
        <v>111</v>
      </c>
      <c r="CI1516" t="s">
        <v>111</v>
      </c>
      <c r="CJ1516" t="s">
        <v>111</v>
      </c>
      <c r="CK1516" t="s">
        <v>111</v>
      </c>
      <c r="CL1516" t="s">
        <v>111</v>
      </c>
      <c r="CM1516" t="s">
        <v>111</v>
      </c>
      <c r="CN1516" t="s">
        <v>111</v>
      </c>
      <c r="CO1516" t="s">
        <v>111</v>
      </c>
      <c r="CP1516" t="s">
        <v>111</v>
      </c>
      <c r="CQ1516">
        <v>0</v>
      </c>
      <c r="CR1516">
        <v>0</v>
      </c>
      <c r="CS1516">
        <v>0</v>
      </c>
      <c r="CT1516" t="s">
        <v>111</v>
      </c>
      <c r="CU1516">
        <v>0</v>
      </c>
      <c r="CV1516" t="s">
        <v>111</v>
      </c>
      <c r="CX1516" t="s">
        <v>111</v>
      </c>
      <c r="CY1516">
        <v>0</v>
      </c>
      <c r="CZ1516" t="s">
        <v>111</v>
      </c>
      <c r="DA1516" t="s">
        <v>111</v>
      </c>
      <c r="DB1516" t="s">
        <v>111</v>
      </c>
      <c r="DC1516" t="s">
        <v>111</v>
      </c>
    </row>
    <row r="1517" spans="1:107">
      <c r="A1517">
        <v>1639</v>
      </c>
      <c r="B1517" t="s">
        <v>107</v>
      </c>
      <c r="C1517" t="s">
        <v>119</v>
      </c>
      <c r="D1517" t="s">
        <v>4249</v>
      </c>
      <c r="E1517" t="s">
        <v>4250</v>
      </c>
      <c r="F1517" t="s">
        <v>2211</v>
      </c>
      <c r="G1517" t="s">
        <v>24</v>
      </c>
      <c r="H1517">
        <v>1.2</v>
      </c>
      <c r="I1517">
        <v>45</v>
      </c>
      <c r="J1517">
        <v>0</v>
      </c>
      <c r="K1517">
        <v>0</v>
      </c>
      <c r="L1517" t="s">
        <v>117</v>
      </c>
      <c r="M1517" t="s">
        <v>118</v>
      </c>
      <c r="N1517">
        <v>39</v>
      </c>
      <c r="O1517">
        <v>1</v>
      </c>
      <c r="P1517" t="s">
        <v>111</v>
      </c>
      <c r="Q1517">
        <v>43.7</v>
      </c>
      <c r="R1517">
        <v>0</v>
      </c>
      <c r="S1517">
        <v>0</v>
      </c>
      <c r="T1517">
        <v>0</v>
      </c>
      <c r="U1517" s="1" t="s">
        <v>4251</v>
      </c>
      <c r="V1517">
        <v>0</v>
      </c>
      <c r="W1517">
        <v>0</v>
      </c>
      <c r="X1517">
        <v>0</v>
      </c>
      <c r="Y1517">
        <v>25</v>
      </c>
      <c r="Z1517" t="s">
        <v>111</v>
      </c>
      <c r="AA1517">
        <v>0</v>
      </c>
      <c r="AB1517" t="s">
        <v>111</v>
      </c>
      <c r="AC1517">
        <v>0</v>
      </c>
      <c r="AD1517" t="s">
        <v>111</v>
      </c>
      <c r="AE1517">
        <v>0</v>
      </c>
      <c r="AF1517">
        <v>0</v>
      </c>
      <c r="AG1517" t="s">
        <v>111</v>
      </c>
      <c r="AH1517" t="s">
        <v>111</v>
      </c>
      <c r="AI1517" t="s">
        <v>111</v>
      </c>
      <c r="AJ1517" t="s">
        <v>111</v>
      </c>
      <c r="AK1517" t="s">
        <v>111</v>
      </c>
      <c r="AL1517" t="s">
        <v>111</v>
      </c>
      <c r="AM1517">
        <v>0</v>
      </c>
      <c r="AN1517">
        <v>0</v>
      </c>
      <c r="AO1517">
        <v>0</v>
      </c>
      <c r="AP1517" t="s">
        <v>111</v>
      </c>
      <c r="AQ1517" t="s">
        <v>111</v>
      </c>
      <c r="AR1517" t="s">
        <v>111</v>
      </c>
      <c r="AS1517" t="s">
        <v>111</v>
      </c>
      <c r="AT1517" t="s">
        <v>111</v>
      </c>
      <c r="AU1517" t="s">
        <v>111</v>
      </c>
      <c r="AV1517" t="s">
        <v>111</v>
      </c>
      <c r="AW1517" t="s">
        <v>111</v>
      </c>
      <c r="AX1517" t="s">
        <v>111</v>
      </c>
      <c r="AY1517" t="s">
        <v>111</v>
      </c>
      <c r="AZ1517" t="s">
        <v>111</v>
      </c>
      <c r="BA1517" t="s">
        <v>111</v>
      </c>
      <c r="BB1517" t="s">
        <v>111</v>
      </c>
      <c r="BC1517" t="s">
        <v>111</v>
      </c>
      <c r="BD1517" t="s">
        <v>111</v>
      </c>
      <c r="BE1517" t="s">
        <v>111</v>
      </c>
      <c r="BF1517" t="s">
        <v>111</v>
      </c>
      <c r="BG1517" t="s">
        <v>111</v>
      </c>
      <c r="BH1517" t="s">
        <v>111</v>
      </c>
      <c r="BI1517" t="s">
        <v>111</v>
      </c>
      <c r="BJ1517" t="s">
        <v>111</v>
      </c>
      <c r="BK1517" t="s">
        <v>111</v>
      </c>
      <c r="BL1517" t="s">
        <v>111</v>
      </c>
      <c r="BM1517" t="s">
        <v>111</v>
      </c>
      <c r="BN1517" t="s">
        <v>111</v>
      </c>
      <c r="BO1517" t="s">
        <v>111</v>
      </c>
      <c r="BP1517" t="s">
        <v>111</v>
      </c>
      <c r="BQ1517" t="s">
        <v>111</v>
      </c>
      <c r="BR1517" t="s">
        <v>111</v>
      </c>
      <c r="BS1517" t="s">
        <v>111</v>
      </c>
      <c r="BT1517" t="s">
        <v>111</v>
      </c>
      <c r="BU1517" t="s">
        <v>111</v>
      </c>
      <c r="BV1517" t="s">
        <v>111</v>
      </c>
      <c r="BW1517" t="s">
        <v>111</v>
      </c>
      <c r="BX1517" t="s">
        <v>111</v>
      </c>
      <c r="BY1517" t="s">
        <v>111</v>
      </c>
      <c r="BZ1517" t="s">
        <v>111</v>
      </c>
      <c r="CA1517" t="s">
        <v>111</v>
      </c>
      <c r="CB1517" t="s">
        <v>111</v>
      </c>
      <c r="CC1517" t="s">
        <v>111</v>
      </c>
      <c r="CD1517" t="s">
        <v>111</v>
      </c>
      <c r="CE1517" t="s">
        <v>111</v>
      </c>
      <c r="CF1517" t="s">
        <v>111</v>
      </c>
      <c r="CG1517" t="s">
        <v>111</v>
      </c>
      <c r="CH1517" t="s">
        <v>111</v>
      </c>
      <c r="CI1517" t="s">
        <v>111</v>
      </c>
      <c r="CJ1517" t="s">
        <v>111</v>
      </c>
      <c r="CK1517" t="s">
        <v>111</v>
      </c>
      <c r="CL1517" t="s">
        <v>111</v>
      </c>
      <c r="CM1517" t="s">
        <v>111</v>
      </c>
      <c r="CN1517" t="s">
        <v>111</v>
      </c>
      <c r="CO1517" t="s">
        <v>111</v>
      </c>
      <c r="CP1517" t="s">
        <v>111</v>
      </c>
      <c r="CQ1517">
        <v>0</v>
      </c>
      <c r="CR1517">
        <v>0</v>
      </c>
      <c r="CS1517">
        <v>0</v>
      </c>
      <c r="CT1517" t="s">
        <v>111</v>
      </c>
      <c r="CU1517">
        <v>0</v>
      </c>
      <c r="CV1517" t="s">
        <v>111</v>
      </c>
      <c r="CW1517" t="s">
        <v>111</v>
      </c>
      <c r="CX1517" t="s">
        <v>111</v>
      </c>
      <c r="CY1517">
        <v>0</v>
      </c>
      <c r="CZ1517" t="s">
        <v>111</v>
      </c>
      <c r="DA1517" t="s">
        <v>111</v>
      </c>
      <c r="DB1517" t="s">
        <v>111</v>
      </c>
      <c r="DC1517" t="s">
        <v>111</v>
      </c>
    </row>
    <row r="1518" spans="1:107">
      <c r="A1518">
        <v>1635</v>
      </c>
      <c r="B1518" t="s">
        <v>107</v>
      </c>
      <c r="C1518" t="s">
        <v>4165</v>
      </c>
      <c r="D1518" t="s">
        <v>4252</v>
      </c>
      <c r="E1518" t="s">
        <v>4253</v>
      </c>
      <c r="F1518" t="s">
        <v>110</v>
      </c>
      <c r="G1518" t="s">
        <v>24</v>
      </c>
      <c r="H1518">
        <v>0.95</v>
      </c>
      <c r="I1518">
        <v>35</v>
      </c>
      <c r="J1518">
        <v>0</v>
      </c>
      <c r="K1518">
        <v>0</v>
      </c>
      <c r="L1518" t="s">
        <v>112</v>
      </c>
      <c r="M1518" t="s">
        <v>118</v>
      </c>
      <c r="N1518">
        <v>40</v>
      </c>
      <c r="O1518">
        <v>1</v>
      </c>
      <c r="P1518" t="s">
        <v>111</v>
      </c>
      <c r="Q1518">
        <v>25</v>
      </c>
      <c r="R1518">
        <v>0</v>
      </c>
      <c r="S1518">
        <v>0</v>
      </c>
      <c r="T1518">
        <v>0</v>
      </c>
      <c r="U1518" s="1" t="s">
        <v>4254</v>
      </c>
      <c r="V1518">
        <v>0</v>
      </c>
      <c r="W1518">
        <v>0</v>
      </c>
      <c r="X1518">
        <v>0</v>
      </c>
      <c r="Y1518">
        <v>250</v>
      </c>
      <c r="Z1518" t="s">
        <v>111</v>
      </c>
      <c r="AA1518">
        <v>0</v>
      </c>
      <c r="AB1518" t="s">
        <v>111</v>
      </c>
      <c r="AC1518">
        <v>0</v>
      </c>
      <c r="AD1518" t="s">
        <v>111</v>
      </c>
      <c r="AE1518">
        <v>0</v>
      </c>
      <c r="AF1518">
        <v>0</v>
      </c>
      <c r="AG1518" t="s">
        <v>111</v>
      </c>
      <c r="AH1518" t="s">
        <v>111</v>
      </c>
      <c r="AI1518" t="s">
        <v>111</v>
      </c>
      <c r="AJ1518" t="s">
        <v>111</v>
      </c>
      <c r="AK1518" t="s">
        <v>111</v>
      </c>
      <c r="AL1518" t="s">
        <v>111</v>
      </c>
      <c r="AM1518">
        <v>0</v>
      </c>
      <c r="AN1518">
        <v>0</v>
      </c>
      <c r="AO1518">
        <v>0</v>
      </c>
      <c r="AP1518" t="s">
        <v>111</v>
      </c>
      <c r="AQ1518" t="s">
        <v>111</v>
      </c>
      <c r="AR1518" t="s">
        <v>111</v>
      </c>
      <c r="AS1518" t="s">
        <v>111</v>
      </c>
      <c r="AT1518" t="s">
        <v>111</v>
      </c>
      <c r="AU1518" t="s">
        <v>111</v>
      </c>
      <c r="AV1518" t="s">
        <v>111</v>
      </c>
      <c r="AW1518" t="s">
        <v>111</v>
      </c>
      <c r="AX1518" t="s">
        <v>111</v>
      </c>
      <c r="AY1518" t="s">
        <v>111</v>
      </c>
      <c r="AZ1518" t="s">
        <v>111</v>
      </c>
      <c r="BA1518" t="s">
        <v>111</v>
      </c>
      <c r="BB1518" t="s">
        <v>111</v>
      </c>
      <c r="BC1518" t="s">
        <v>111</v>
      </c>
      <c r="BD1518" t="s">
        <v>111</v>
      </c>
      <c r="BE1518" t="s">
        <v>111</v>
      </c>
      <c r="BF1518" t="s">
        <v>111</v>
      </c>
      <c r="BG1518" t="s">
        <v>111</v>
      </c>
      <c r="BH1518" t="s">
        <v>111</v>
      </c>
      <c r="BI1518" t="s">
        <v>111</v>
      </c>
      <c r="BJ1518" t="s">
        <v>111</v>
      </c>
      <c r="BK1518" t="s">
        <v>111</v>
      </c>
      <c r="BL1518" t="s">
        <v>111</v>
      </c>
      <c r="BM1518" t="s">
        <v>111</v>
      </c>
      <c r="BN1518" t="s">
        <v>111</v>
      </c>
      <c r="BO1518" t="s">
        <v>111</v>
      </c>
      <c r="BP1518" t="s">
        <v>111</v>
      </c>
      <c r="BQ1518" t="s">
        <v>111</v>
      </c>
      <c r="BR1518" t="s">
        <v>111</v>
      </c>
      <c r="BS1518" t="s">
        <v>111</v>
      </c>
      <c r="BT1518" t="s">
        <v>111</v>
      </c>
      <c r="BU1518" t="s">
        <v>111</v>
      </c>
      <c r="BV1518" t="s">
        <v>111</v>
      </c>
      <c r="BW1518" t="s">
        <v>111</v>
      </c>
      <c r="BX1518" t="s">
        <v>111</v>
      </c>
      <c r="BY1518" t="s">
        <v>111</v>
      </c>
      <c r="BZ1518" t="s">
        <v>111</v>
      </c>
      <c r="CA1518" t="s">
        <v>111</v>
      </c>
      <c r="CB1518" t="s">
        <v>111</v>
      </c>
      <c r="CC1518" t="s">
        <v>111</v>
      </c>
      <c r="CD1518" t="s">
        <v>111</v>
      </c>
      <c r="CE1518" t="s">
        <v>111</v>
      </c>
      <c r="CF1518" t="s">
        <v>111</v>
      </c>
      <c r="CG1518" t="s">
        <v>111</v>
      </c>
      <c r="CH1518" t="s">
        <v>111</v>
      </c>
      <c r="CI1518" t="s">
        <v>111</v>
      </c>
      <c r="CJ1518" t="s">
        <v>111</v>
      </c>
      <c r="CK1518" t="s">
        <v>111</v>
      </c>
      <c r="CL1518" t="s">
        <v>111</v>
      </c>
      <c r="CM1518" t="s">
        <v>111</v>
      </c>
      <c r="CN1518" t="s">
        <v>111</v>
      </c>
      <c r="CO1518" t="s">
        <v>111</v>
      </c>
      <c r="CP1518" t="s">
        <v>111</v>
      </c>
      <c r="CQ1518">
        <v>0</v>
      </c>
      <c r="CR1518">
        <v>0</v>
      </c>
      <c r="CS1518">
        <v>0</v>
      </c>
      <c r="CT1518" t="s">
        <v>111</v>
      </c>
      <c r="CU1518">
        <v>0</v>
      </c>
      <c r="CV1518" t="s">
        <v>111</v>
      </c>
      <c r="CW1518" t="s">
        <v>111</v>
      </c>
      <c r="CX1518" t="s">
        <v>111</v>
      </c>
      <c r="CY1518">
        <v>0</v>
      </c>
      <c r="CZ1518" t="s">
        <v>111</v>
      </c>
      <c r="DA1518" t="s">
        <v>111</v>
      </c>
      <c r="DB1518" t="s">
        <v>111</v>
      </c>
      <c r="DC1518" t="s">
        <v>111</v>
      </c>
    </row>
    <row r="1519" spans="1:107">
      <c r="A1519">
        <v>1634</v>
      </c>
      <c r="B1519" t="s">
        <v>107</v>
      </c>
      <c r="C1519" t="s">
        <v>4165</v>
      </c>
      <c r="D1519" t="s">
        <v>4255</v>
      </c>
      <c r="E1519" t="s">
        <v>4256</v>
      </c>
      <c r="F1519" t="s">
        <v>110</v>
      </c>
      <c r="G1519" t="s">
        <v>24</v>
      </c>
      <c r="H1519">
        <v>1.9</v>
      </c>
      <c r="I1519">
        <v>40</v>
      </c>
      <c r="J1519">
        <v>0</v>
      </c>
      <c r="K1519">
        <v>0</v>
      </c>
      <c r="L1519" t="s">
        <v>112</v>
      </c>
      <c r="M1519" t="s">
        <v>118</v>
      </c>
      <c r="N1519">
        <v>40</v>
      </c>
      <c r="O1519">
        <v>1</v>
      </c>
      <c r="P1519" t="s">
        <v>111</v>
      </c>
      <c r="Q1519">
        <v>33.299999999999997</v>
      </c>
      <c r="R1519">
        <v>0</v>
      </c>
      <c r="S1519">
        <v>0</v>
      </c>
      <c r="T1519">
        <v>0</v>
      </c>
      <c r="U1519" s="1" t="s">
        <v>4257</v>
      </c>
      <c r="V1519">
        <v>0</v>
      </c>
      <c r="W1519">
        <v>0</v>
      </c>
      <c r="X1519">
        <v>0</v>
      </c>
      <c r="Y1519">
        <v>250</v>
      </c>
      <c r="Z1519" t="s">
        <v>111</v>
      </c>
      <c r="AA1519">
        <v>0</v>
      </c>
      <c r="AB1519" t="s">
        <v>111</v>
      </c>
      <c r="AC1519">
        <v>0</v>
      </c>
      <c r="AD1519" t="s">
        <v>111</v>
      </c>
      <c r="AE1519">
        <v>0</v>
      </c>
      <c r="AF1519">
        <v>0</v>
      </c>
      <c r="AG1519" t="s">
        <v>111</v>
      </c>
      <c r="AH1519" t="s">
        <v>111</v>
      </c>
      <c r="AI1519" t="s">
        <v>111</v>
      </c>
      <c r="AJ1519" t="s">
        <v>111</v>
      </c>
      <c r="AK1519" t="s">
        <v>111</v>
      </c>
      <c r="AL1519" t="s">
        <v>111</v>
      </c>
      <c r="AM1519">
        <v>0</v>
      </c>
      <c r="AN1519">
        <v>0</v>
      </c>
      <c r="AO1519">
        <v>0</v>
      </c>
      <c r="AP1519" t="s">
        <v>111</v>
      </c>
      <c r="AQ1519" t="s">
        <v>111</v>
      </c>
      <c r="AR1519" t="s">
        <v>111</v>
      </c>
      <c r="AS1519" t="s">
        <v>111</v>
      </c>
      <c r="AT1519" t="s">
        <v>111</v>
      </c>
      <c r="AU1519" t="s">
        <v>111</v>
      </c>
      <c r="AV1519" t="s">
        <v>111</v>
      </c>
      <c r="AW1519" t="s">
        <v>111</v>
      </c>
      <c r="AX1519" t="s">
        <v>111</v>
      </c>
      <c r="AY1519" t="s">
        <v>111</v>
      </c>
      <c r="AZ1519" t="s">
        <v>111</v>
      </c>
      <c r="BA1519" t="s">
        <v>111</v>
      </c>
      <c r="BB1519" t="s">
        <v>111</v>
      </c>
      <c r="BC1519" t="s">
        <v>111</v>
      </c>
      <c r="BD1519" t="s">
        <v>111</v>
      </c>
      <c r="BE1519" t="s">
        <v>111</v>
      </c>
      <c r="BF1519" t="s">
        <v>111</v>
      </c>
      <c r="BG1519" t="s">
        <v>111</v>
      </c>
      <c r="BH1519" t="s">
        <v>111</v>
      </c>
      <c r="BI1519" t="s">
        <v>111</v>
      </c>
      <c r="BJ1519" t="s">
        <v>111</v>
      </c>
      <c r="BK1519" t="s">
        <v>111</v>
      </c>
      <c r="BL1519" t="s">
        <v>111</v>
      </c>
      <c r="BM1519" t="s">
        <v>111</v>
      </c>
      <c r="BN1519" t="s">
        <v>111</v>
      </c>
      <c r="BO1519" t="s">
        <v>111</v>
      </c>
      <c r="BP1519" t="s">
        <v>111</v>
      </c>
      <c r="BQ1519" t="s">
        <v>111</v>
      </c>
      <c r="BR1519" t="s">
        <v>111</v>
      </c>
      <c r="BS1519" t="s">
        <v>111</v>
      </c>
      <c r="BT1519" t="s">
        <v>111</v>
      </c>
      <c r="BU1519" t="s">
        <v>111</v>
      </c>
      <c r="BV1519" t="s">
        <v>111</v>
      </c>
      <c r="BW1519" t="s">
        <v>111</v>
      </c>
      <c r="BX1519" t="s">
        <v>111</v>
      </c>
      <c r="BY1519" t="s">
        <v>111</v>
      </c>
      <c r="BZ1519" t="s">
        <v>111</v>
      </c>
      <c r="CA1519" t="s">
        <v>111</v>
      </c>
      <c r="CB1519" t="s">
        <v>111</v>
      </c>
      <c r="CC1519" t="s">
        <v>111</v>
      </c>
      <c r="CD1519" t="s">
        <v>111</v>
      </c>
      <c r="CE1519" t="s">
        <v>111</v>
      </c>
      <c r="CF1519" t="s">
        <v>111</v>
      </c>
      <c r="CG1519" t="s">
        <v>111</v>
      </c>
      <c r="CH1519" t="s">
        <v>111</v>
      </c>
      <c r="CI1519" t="s">
        <v>111</v>
      </c>
      <c r="CJ1519" t="s">
        <v>111</v>
      </c>
      <c r="CK1519" t="s">
        <v>111</v>
      </c>
      <c r="CL1519" t="s">
        <v>111</v>
      </c>
      <c r="CM1519" t="s">
        <v>111</v>
      </c>
      <c r="CN1519" t="s">
        <v>111</v>
      </c>
      <c r="CO1519" t="s">
        <v>111</v>
      </c>
      <c r="CP1519" t="s">
        <v>111</v>
      </c>
      <c r="CQ1519">
        <v>0</v>
      </c>
      <c r="CR1519">
        <v>0</v>
      </c>
      <c r="CS1519">
        <v>0</v>
      </c>
      <c r="CT1519" t="s">
        <v>111</v>
      </c>
      <c r="CU1519">
        <v>0</v>
      </c>
      <c r="CV1519" t="s">
        <v>111</v>
      </c>
      <c r="CW1519" t="s">
        <v>111</v>
      </c>
      <c r="CX1519" t="s">
        <v>111</v>
      </c>
      <c r="CY1519">
        <v>0</v>
      </c>
      <c r="CZ1519" t="s">
        <v>111</v>
      </c>
      <c r="DA1519" t="s">
        <v>111</v>
      </c>
      <c r="DB1519" t="s">
        <v>111</v>
      </c>
      <c r="DC1519" t="s">
        <v>111</v>
      </c>
    </row>
    <row r="1520" spans="1:107">
      <c r="A1520">
        <v>1632</v>
      </c>
      <c r="B1520" t="s">
        <v>107</v>
      </c>
      <c r="C1520" t="s">
        <v>1643</v>
      </c>
      <c r="D1520" t="s">
        <v>4058</v>
      </c>
      <c r="E1520" t="s">
        <v>4258</v>
      </c>
      <c r="F1520" t="s">
        <v>2211</v>
      </c>
      <c r="G1520" t="s">
        <v>24</v>
      </c>
      <c r="H1520">
        <v>1.3</v>
      </c>
      <c r="I1520">
        <v>30</v>
      </c>
      <c r="J1520">
        <v>0</v>
      </c>
      <c r="K1520">
        <v>0</v>
      </c>
      <c r="L1520" t="s">
        <v>4259</v>
      </c>
      <c r="M1520" t="s">
        <v>111</v>
      </c>
      <c r="N1520">
        <v>0</v>
      </c>
      <c r="O1520">
        <v>0</v>
      </c>
      <c r="P1520" t="s">
        <v>111</v>
      </c>
      <c r="Q1520">
        <v>30</v>
      </c>
      <c r="R1520">
        <v>0</v>
      </c>
      <c r="S1520">
        <v>0</v>
      </c>
      <c r="T1520">
        <v>0</v>
      </c>
      <c r="U1520" s="1" t="s">
        <v>4260</v>
      </c>
      <c r="V1520">
        <v>0</v>
      </c>
      <c r="W1520">
        <v>0</v>
      </c>
      <c r="X1520">
        <v>0</v>
      </c>
      <c r="Y1520">
        <v>25</v>
      </c>
      <c r="Z1520" t="s">
        <v>111</v>
      </c>
      <c r="AA1520">
        <v>0</v>
      </c>
      <c r="AB1520" t="s">
        <v>4055</v>
      </c>
      <c r="AC1520">
        <v>0.4</v>
      </c>
      <c r="AD1520" t="s">
        <v>111</v>
      </c>
      <c r="AE1520">
        <v>0</v>
      </c>
      <c r="AF1520">
        <v>0</v>
      </c>
      <c r="AG1520" t="s">
        <v>111</v>
      </c>
      <c r="AH1520" t="s">
        <v>111</v>
      </c>
      <c r="AI1520" t="s">
        <v>111</v>
      </c>
      <c r="AJ1520" t="s">
        <v>111</v>
      </c>
      <c r="AK1520" t="s">
        <v>111</v>
      </c>
      <c r="AL1520" t="s">
        <v>111</v>
      </c>
      <c r="AM1520">
        <v>0</v>
      </c>
      <c r="AN1520">
        <v>0</v>
      </c>
      <c r="AO1520">
        <v>0</v>
      </c>
      <c r="AP1520" t="s">
        <v>111</v>
      </c>
      <c r="AQ1520" t="s">
        <v>111</v>
      </c>
      <c r="AR1520" t="s">
        <v>111</v>
      </c>
      <c r="AS1520" t="s">
        <v>111</v>
      </c>
      <c r="AT1520" t="s">
        <v>111</v>
      </c>
      <c r="AU1520" t="s">
        <v>111</v>
      </c>
      <c r="AV1520" t="s">
        <v>111</v>
      </c>
      <c r="AW1520" t="s">
        <v>111</v>
      </c>
      <c r="AX1520" t="s">
        <v>111</v>
      </c>
      <c r="AY1520" t="s">
        <v>111</v>
      </c>
      <c r="AZ1520" t="s">
        <v>111</v>
      </c>
      <c r="BA1520" t="s">
        <v>111</v>
      </c>
      <c r="BB1520" t="s">
        <v>111</v>
      </c>
      <c r="BC1520" t="s">
        <v>111</v>
      </c>
      <c r="BD1520" t="s">
        <v>111</v>
      </c>
      <c r="BE1520" t="s">
        <v>111</v>
      </c>
      <c r="BF1520" t="s">
        <v>111</v>
      </c>
      <c r="BG1520" t="s">
        <v>111</v>
      </c>
      <c r="BH1520" t="s">
        <v>111</v>
      </c>
      <c r="BI1520" t="s">
        <v>111</v>
      </c>
      <c r="BJ1520" t="s">
        <v>111</v>
      </c>
      <c r="BK1520" t="s">
        <v>111</v>
      </c>
      <c r="BL1520" t="s">
        <v>111</v>
      </c>
      <c r="BM1520" t="s">
        <v>111</v>
      </c>
      <c r="BN1520" t="s">
        <v>111</v>
      </c>
      <c r="BO1520" t="s">
        <v>111</v>
      </c>
      <c r="BP1520" t="s">
        <v>111</v>
      </c>
      <c r="BQ1520" t="s">
        <v>111</v>
      </c>
      <c r="BR1520" t="s">
        <v>111</v>
      </c>
      <c r="BS1520" t="s">
        <v>111</v>
      </c>
      <c r="BT1520" t="s">
        <v>111</v>
      </c>
      <c r="BU1520" t="s">
        <v>111</v>
      </c>
      <c r="BV1520" t="s">
        <v>111</v>
      </c>
      <c r="BW1520" t="s">
        <v>111</v>
      </c>
      <c r="BX1520" t="s">
        <v>111</v>
      </c>
      <c r="BY1520" t="s">
        <v>111</v>
      </c>
      <c r="BZ1520" t="s">
        <v>111</v>
      </c>
      <c r="CA1520" t="s">
        <v>111</v>
      </c>
      <c r="CB1520" t="s">
        <v>111</v>
      </c>
      <c r="CC1520" t="s">
        <v>111</v>
      </c>
      <c r="CD1520" t="s">
        <v>111</v>
      </c>
      <c r="CE1520" t="s">
        <v>111</v>
      </c>
      <c r="CF1520" t="s">
        <v>111</v>
      </c>
      <c r="CG1520" t="s">
        <v>111</v>
      </c>
      <c r="CH1520" t="s">
        <v>111</v>
      </c>
      <c r="CI1520" t="s">
        <v>111</v>
      </c>
      <c r="CJ1520" t="s">
        <v>111</v>
      </c>
      <c r="CK1520" t="s">
        <v>111</v>
      </c>
      <c r="CL1520" t="s">
        <v>111</v>
      </c>
      <c r="CM1520" t="s">
        <v>111</v>
      </c>
      <c r="CN1520" t="s">
        <v>111</v>
      </c>
      <c r="CO1520" t="s">
        <v>111</v>
      </c>
      <c r="CP1520" t="s">
        <v>111</v>
      </c>
      <c r="CQ1520">
        <v>0</v>
      </c>
      <c r="CR1520">
        <v>0</v>
      </c>
      <c r="CS1520">
        <v>0</v>
      </c>
      <c r="CT1520" t="s">
        <v>111</v>
      </c>
      <c r="CU1520">
        <v>0</v>
      </c>
      <c r="CV1520" t="s">
        <v>111</v>
      </c>
      <c r="CW1520" t="s">
        <v>111</v>
      </c>
      <c r="CX1520" t="s">
        <v>111</v>
      </c>
      <c r="CY1520">
        <v>0</v>
      </c>
      <c r="CZ1520" t="s">
        <v>111</v>
      </c>
      <c r="DA1520" t="s">
        <v>111</v>
      </c>
      <c r="DB1520" t="s">
        <v>111</v>
      </c>
      <c r="DC1520" t="s">
        <v>111</v>
      </c>
    </row>
    <row r="1521" spans="1:107">
      <c r="A1521">
        <v>1579</v>
      </c>
      <c r="B1521" t="s">
        <v>107</v>
      </c>
      <c r="C1521" t="s">
        <v>119</v>
      </c>
      <c r="D1521" t="s">
        <v>4261</v>
      </c>
      <c r="E1521" t="s">
        <v>4262</v>
      </c>
      <c r="F1521" t="s">
        <v>2211</v>
      </c>
      <c r="G1521" t="s">
        <v>24</v>
      </c>
      <c r="H1521">
        <v>1.3</v>
      </c>
      <c r="I1521">
        <v>50</v>
      </c>
      <c r="J1521">
        <v>0</v>
      </c>
      <c r="K1521">
        <v>0</v>
      </c>
      <c r="L1521" t="s">
        <v>117</v>
      </c>
      <c r="M1521" t="s">
        <v>118</v>
      </c>
      <c r="N1521">
        <v>39</v>
      </c>
      <c r="O1521">
        <v>1</v>
      </c>
      <c r="P1521" t="s">
        <v>111</v>
      </c>
      <c r="Q1521">
        <v>33.299999999999997</v>
      </c>
      <c r="R1521">
        <v>0</v>
      </c>
      <c r="S1521">
        <v>0</v>
      </c>
      <c r="T1521">
        <v>0</v>
      </c>
      <c r="U1521" t="e">
        <f>-ALMACEN</f>
        <v>#NAME?</v>
      </c>
      <c r="V1521">
        <v>0</v>
      </c>
      <c r="W1521">
        <v>0</v>
      </c>
      <c r="X1521">
        <v>0</v>
      </c>
      <c r="Y1521">
        <v>25</v>
      </c>
      <c r="Z1521" t="s">
        <v>111</v>
      </c>
      <c r="AA1521">
        <v>0</v>
      </c>
      <c r="AB1521" t="s">
        <v>111</v>
      </c>
      <c r="AC1521">
        <v>0</v>
      </c>
      <c r="AD1521" t="s">
        <v>111</v>
      </c>
      <c r="AE1521">
        <v>0</v>
      </c>
      <c r="AF1521">
        <v>0</v>
      </c>
      <c r="AG1521" t="s">
        <v>111</v>
      </c>
      <c r="AH1521" t="s">
        <v>111</v>
      </c>
      <c r="AI1521" t="s">
        <v>111</v>
      </c>
      <c r="AJ1521" t="s">
        <v>111</v>
      </c>
      <c r="AK1521" t="s">
        <v>111</v>
      </c>
      <c r="AL1521" t="s">
        <v>111</v>
      </c>
      <c r="AM1521">
        <v>0</v>
      </c>
      <c r="AN1521">
        <v>0</v>
      </c>
      <c r="AO1521">
        <v>0</v>
      </c>
      <c r="AP1521" t="s">
        <v>111</v>
      </c>
      <c r="AQ1521" t="s">
        <v>111</v>
      </c>
      <c r="AR1521" t="s">
        <v>111</v>
      </c>
      <c r="AS1521" t="s">
        <v>111</v>
      </c>
      <c r="AT1521" t="s">
        <v>111</v>
      </c>
      <c r="AU1521" t="s">
        <v>111</v>
      </c>
      <c r="AV1521" t="s">
        <v>111</v>
      </c>
      <c r="AW1521" t="s">
        <v>111</v>
      </c>
      <c r="AX1521" t="s">
        <v>111</v>
      </c>
      <c r="AY1521" t="s">
        <v>111</v>
      </c>
      <c r="AZ1521" t="s">
        <v>111</v>
      </c>
      <c r="BA1521" t="s">
        <v>111</v>
      </c>
      <c r="BB1521" t="s">
        <v>111</v>
      </c>
      <c r="BC1521" t="s">
        <v>111</v>
      </c>
      <c r="BD1521" t="s">
        <v>111</v>
      </c>
      <c r="BE1521" t="s">
        <v>111</v>
      </c>
      <c r="BF1521" t="s">
        <v>111</v>
      </c>
      <c r="BG1521" t="s">
        <v>111</v>
      </c>
      <c r="BH1521" t="s">
        <v>111</v>
      </c>
      <c r="BI1521" t="s">
        <v>111</v>
      </c>
      <c r="BJ1521" t="s">
        <v>111</v>
      </c>
      <c r="BK1521" t="s">
        <v>111</v>
      </c>
      <c r="BL1521" t="s">
        <v>111</v>
      </c>
      <c r="BM1521" t="s">
        <v>111</v>
      </c>
      <c r="BN1521" t="s">
        <v>111</v>
      </c>
      <c r="BO1521" t="s">
        <v>111</v>
      </c>
      <c r="BP1521" t="s">
        <v>111</v>
      </c>
      <c r="BQ1521" t="s">
        <v>111</v>
      </c>
      <c r="BR1521" t="s">
        <v>111</v>
      </c>
      <c r="BS1521" t="s">
        <v>111</v>
      </c>
      <c r="BT1521" t="s">
        <v>111</v>
      </c>
      <c r="BU1521" t="s">
        <v>111</v>
      </c>
      <c r="BV1521" t="s">
        <v>111</v>
      </c>
      <c r="BW1521" t="s">
        <v>111</v>
      </c>
      <c r="BX1521" t="s">
        <v>111</v>
      </c>
      <c r="BY1521" t="s">
        <v>111</v>
      </c>
      <c r="BZ1521" t="s">
        <v>111</v>
      </c>
      <c r="CA1521" t="s">
        <v>111</v>
      </c>
      <c r="CB1521" t="s">
        <v>111</v>
      </c>
      <c r="CC1521" t="s">
        <v>111</v>
      </c>
      <c r="CD1521" t="s">
        <v>111</v>
      </c>
      <c r="CE1521" t="s">
        <v>111</v>
      </c>
      <c r="CF1521" t="s">
        <v>111</v>
      </c>
      <c r="CG1521" t="s">
        <v>111</v>
      </c>
      <c r="CH1521" t="s">
        <v>111</v>
      </c>
      <c r="CI1521" t="s">
        <v>111</v>
      </c>
      <c r="CJ1521" t="s">
        <v>111</v>
      </c>
      <c r="CK1521" t="s">
        <v>111</v>
      </c>
      <c r="CL1521" t="s">
        <v>111</v>
      </c>
      <c r="CM1521" t="s">
        <v>111</v>
      </c>
      <c r="CN1521" t="s">
        <v>111</v>
      </c>
      <c r="CO1521" t="s">
        <v>111</v>
      </c>
      <c r="CP1521" t="s">
        <v>111</v>
      </c>
      <c r="CQ1521">
        <v>0</v>
      </c>
      <c r="CR1521">
        <v>0</v>
      </c>
      <c r="CS1521">
        <v>0</v>
      </c>
      <c r="CT1521" t="s">
        <v>111</v>
      </c>
      <c r="CU1521">
        <v>0</v>
      </c>
      <c r="CV1521" t="s">
        <v>111</v>
      </c>
      <c r="CW1521" t="s">
        <v>111</v>
      </c>
      <c r="CX1521" t="s">
        <v>111</v>
      </c>
      <c r="CY1521">
        <v>0</v>
      </c>
      <c r="CZ1521" t="s">
        <v>111</v>
      </c>
      <c r="DA1521" t="s">
        <v>111</v>
      </c>
      <c r="DB1521" t="s">
        <v>111</v>
      </c>
      <c r="DC1521" t="s">
        <v>111</v>
      </c>
    </row>
    <row r="1522" spans="1:107">
      <c r="A1522">
        <v>1619</v>
      </c>
      <c r="B1522" t="s">
        <v>107</v>
      </c>
      <c r="C1522" t="s">
        <v>4165</v>
      </c>
      <c r="D1522" t="s">
        <v>4263</v>
      </c>
      <c r="E1522" t="s">
        <v>4264</v>
      </c>
      <c r="F1522" t="s">
        <v>110</v>
      </c>
      <c r="G1522" t="s">
        <v>24</v>
      </c>
      <c r="H1522">
        <v>1.8</v>
      </c>
      <c r="I1522">
        <v>30</v>
      </c>
      <c r="J1522">
        <v>0</v>
      </c>
      <c r="K1522">
        <v>0</v>
      </c>
      <c r="L1522" t="s">
        <v>112</v>
      </c>
      <c r="M1522" t="s">
        <v>118</v>
      </c>
      <c r="N1522">
        <v>0</v>
      </c>
      <c r="O1522">
        <v>1</v>
      </c>
      <c r="P1522" t="s">
        <v>111</v>
      </c>
      <c r="Q1522">
        <v>22.5</v>
      </c>
      <c r="R1522">
        <v>0</v>
      </c>
      <c r="S1522">
        <v>0</v>
      </c>
      <c r="T1522">
        <v>0</v>
      </c>
      <c r="U1522" s="1" t="s">
        <v>4265</v>
      </c>
      <c r="V1522">
        <v>0</v>
      </c>
      <c r="W1522">
        <v>0</v>
      </c>
      <c r="X1522">
        <v>0</v>
      </c>
      <c r="Y1522">
        <v>25</v>
      </c>
      <c r="Z1522" t="s">
        <v>111</v>
      </c>
      <c r="AA1522">
        <v>0</v>
      </c>
      <c r="AB1522" t="s">
        <v>111</v>
      </c>
      <c r="AC1522">
        <v>0</v>
      </c>
      <c r="AD1522" t="s">
        <v>111</v>
      </c>
      <c r="AE1522">
        <v>0</v>
      </c>
      <c r="AF1522">
        <v>0</v>
      </c>
      <c r="AG1522" t="s">
        <v>111</v>
      </c>
      <c r="AH1522" t="s">
        <v>111</v>
      </c>
      <c r="AI1522" t="s">
        <v>111</v>
      </c>
      <c r="AJ1522" t="s">
        <v>111</v>
      </c>
      <c r="AK1522" t="s">
        <v>111</v>
      </c>
      <c r="AL1522" t="s">
        <v>111</v>
      </c>
      <c r="AM1522">
        <v>0</v>
      </c>
      <c r="AN1522">
        <v>0</v>
      </c>
      <c r="AO1522">
        <v>0</v>
      </c>
      <c r="AP1522" t="s">
        <v>111</v>
      </c>
      <c r="AQ1522" t="s">
        <v>111</v>
      </c>
      <c r="AR1522" t="s">
        <v>111</v>
      </c>
      <c r="AS1522" t="s">
        <v>111</v>
      </c>
      <c r="AT1522" t="s">
        <v>111</v>
      </c>
      <c r="AU1522" t="s">
        <v>111</v>
      </c>
      <c r="AV1522" t="s">
        <v>111</v>
      </c>
      <c r="AW1522" t="s">
        <v>111</v>
      </c>
      <c r="AX1522" t="s">
        <v>111</v>
      </c>
      <c r="AY1522" t="s">
        <v>111</v>
      </c>
      <c r="AZ1522" t="s">
        <v>111</v>
      </c>
      <c r="BA1522" t="s">
        <v>111</v>
      </c>
      <c r="BB1522" t="s">
        <v>111</v>
      </c>
      <c r="BC1522" t="s">
        <v>111</v>
      </c>
      <c r="BD1522" t="s">
        <v>111</v>
      </c>
      <c r="BE1522" t="s">
        <v>111</v>
      </c>
      <c r="BF1522" t="s">
        <v>111</v>
      </c>
      <c r="BG1522" t="s">
        <v>111</v>
      </c>
      <c r="BH1522" t="s">
        <v>111</v>
      </c>
      <c r="BI1522" t="s">
        <v>111</v>
      </c>
      <c r="BJ1522" t="s">
        <v>111</v>
      </c>
      <c r="BK1522" t="s">
        <v>111</v>
      </c>
      <c r="BL1522" t="s">
        <v>111</v>
      </c>
      <c r="BM1522" t="s">
        <v>111</v>
      </c>
      <c r="BN1522" t="s">
        <v>111</v>
      </c>
      <c r="BO1522" t="s">
        <v>111</v>
      </c>
      <c r="BP1522" t="s">
        <v>111</v>
      </c>
      <c r="BQ1522" t="s">
        <v>111</v>
      </c>
      <c r="BR1522" t="s">
        <v>111</v>
      </c>
      <c r="BS1522" t="s">
        <v>111</v>
      </c>
      <c r="BT1522" t="s">
        <v>111</v>
      </c>
      <c r="BU1522" t="s">
        <v>111</v>
      </c>
      <c r="BV1522" t="s">
        <v>111</v>
      </c>
      <c r="BW1522" t="s">
        <v>111</v>
      </c>
      <c r="BX1522" t="s">
        <v>111</v>
      </c>
      <c r="BY1522" t="s">
        <v>111</v>
      </c>
      <c r="BZ1522" t="s">
        <v>111</v>
      </c>
      <c r="CA1522" t="s">
        <v>111</v>
      </c>
      <c r="CB1522" t="s">
        <v>111</v>
      </c>
      <c r="CC1522" t="s">
        <v>111</v>
      </c>
      <c r="CD1522" t="s">
        <v>111</v>
      </c>
      <c r="CE1522" t="s">
        <v>111</v>
      </c>
      <c r="CF1522" t="s">
        <v>111</v>
      </c>
      <c r="CG1522" t="s">
        <v>111</v>
      </c>
      <c r="CH1522" t="s">
        <v>111</v>
      </c>
      <c r="CI1522" t="s">
        <v>111</v>
      </c>
      <c r="CJ1522" t="s">
        <v>111</v>
      </c>
      <c r="CK1522" t="s">
        <v>111</v>
      </c>
      <c r="CL1522" t="s">
        <v>111</v>
      </c>
      <c r="CM1522" t="s">
        <v>111</v>
      </c>
      <c r="CN1522" t="s">
        <v>111</v>
      </c>
      <c r="CO1522" t="s">
        <v>111</v>
      </c>
      <c r="CP1522" t="s">
        <v>111</v>
      </c>
      <c r="CQ1522">
        <v>0</v>
      </c>
      <c r="CR1522">
        <v>0</v>
      </c>
      <c r="CS1522">
        <v>0</v>
      </c>
      <c r="CT1522" t="s">
        <v>111</v>
      </c>
      <c r="CU1522">
        <v>0</v>
      </c>
      <c r="CV1522" t="s">
        <v>111</v>
      </c>
      <c r="CW1522" t="s">
        <v>111</v>
      </c>
      <c r="CX1522" t="s">
        <v>111</v>
      </c>
      <c r="CY1522">
        <v>0</v>
      </c>
      <c r="CZ1522" t="s">
        <v>111</v>
      </c>
      <c r="DA1522" t="s">
        <v>111</v>
      </c>
      <c r="DB1522" t="s">
        <v>111</v>
      </c>
      <c r="DC1522" t="s">
        <v>111</v>
      </c>
    </row>
    <row r="1523" spans="1:107">
      <c r="A1523">
        <v>1478</v>
      </c>
      <c r="B1523" t="s">
        <v>107</v>
      </c>
      <c r="C1523" t="s">
        <v>4165</v>
      </c>
      <c r="D1523" t="s">
        <v>3806</v>
      </c>
      <c r="E1523" t="s">
        <v>4266</v>
      </c>
      <c r="F1523" t="s">
        <v>110</v>
      </c>
      <c r="G1523" t="s">
        <v>24</v>
      </c>
      <c r="H1523">
        <v>1.3</v>
      </c>
      <c r="I1523">
        <v>40</v>
      </c>
      <c r="J1523">
        <v>0</v>
      </c>
      <c r="K1523">
        <v>0</v>
      </c>
      <c r="L1523" t="s">
        <v>112</v>
      </c>
      <c r="M1523" t="s">
        <v>118</v>
      </c>
      <c r="N1523">
        <v>39</v>
      </c>
      <c r="O1523">
        <v>1</v>
      </c>
      <c r="P1523" t="s">
        <v>111</v>
      </c>
      <c r="Q1523">
        <v>39.200000000000003</v>
      </c>
      <c r="R1523">
        <v>0</v>
      </c>
      <c r="S1523">
        <v>0</v>
      </c>
      <c r="T1523">
        <v>0</v>
      </c>
      <c r="U1523" s="1" t="s">
        <v>4267</v>
      </c>
      <c r="V1523">
        <v>0</v>
      </c>
      <c r="W1523">
        <v>0</v>
      </c>
      <c r="X1523">
        <v>0</v>
      </c>
      <c r="Y1523">
        <v>25</v>
      </c>
      <c r="Z1523" t="s">
        <v>111</v>
      </c>
      <c r="AA1523">
        <v>0</v>
      </c>
      <c r="AB1523" t="s">
        <v>111</v>
      </c>
      <c r="AC1523">
        <v>0</v>
      </c>
      <c r="AD1523" t="s">
        <v>111</v>
      </c>
      <c r="AE1523">
        <v>0</v>
      </c>
      <c r="AF1523">
        <v>0</v>
      </c>
      <c r="AG1523" t="s">
        <v>111</v>
      </c>
      <c r="AH1523" t="s">
        <v>111</v>
      </c>
      <c r="AI1523" t="s">
        <v>111</v>
      </c>
      <c r="AJ1523" t="s">
        <v>111</v>
      </c>
      <c r="AK1523" t="s">
        <v>111</v>
      </c>
      <c r="AL1523" t="s">
        <v>111</v>
      </c>
      <c r="AM1523">
        <v>0</v>
      </c>
      <c r="AN1523">
        <v>0</v>
      </c>
      <c r="AO1523">
        <v>0</v>
      </c>
      <c r="AP1523" t="s">
        <v>111</v>
      </c>
      <c r="AQ1523" t="s">
        <v>111</v>
      </c>
      <c r="AR1523" t="s">
        <v>111</v>
      </c>
      <c r="AS1523" t="s">
        <v>111</v>
      </c>
      <c r="AT1523" t="s">
        <v>111</v>
      </c>
      <c r="AU1523" t="s">
        <v>111</v>
      </c>
      <c r="AV1523" t="s">
        <v>111</v>
      </c>
      <c r="AW1523" t="s">
        <v>111</v>
      </c>
      <c r="AX1523" t="s">
        <v>111</v>
      </c>
      <c r="AY1523" t="s">
        <v>111</v>
      </c>
      <c r="AZ1523" t="s">
        <v>111</v>
      </c>
      <c r="BA1523" t="s">
        <v>111</v>
      </c>
      <c r="BB1523" t="s">
        <v>111</v>
      </c>
      <c r="BC1523" t="s">
        <v>111</v>
      </c>
      <c r="BD1523" t="s">
        <v>111</v>
      </c>
      <c r="BE1523" t="s">
        <v>111</v>
      </c>
      <c r="BF1523" t="s">
        <v>111</v>
      </c>
      <c r="BG1523" t="s">
        <v>111</v>
      </c>
      <c r="BH1523" t="s">
        <v>111</v>
      </c>
      <c r="BI1523" t="s">
        <v>111</v>
      </c>
      <c r="BJ1523" t="s">
        <v>111</v>
      </c>
      <c r="BK1523" t="s">
        <v>111</v>
      </c>
      <c r="BL1523" t="s">
        <v>111</v>
      </c>
      <c r="BM1523" t="s">
        <v>111</v>
      </c>
      <c r="BN1523" t="s">
        <v>111</v>
      </c>
      <c r="BO1523" t="s">
        <v>111</v>
      </c>
      <c r="BP1523" t="s">
        <v>111</v>
      </c>
      <c r="BQ1523" t="s">
        <v>111</v>
      </c>
      <c r="BR1523" t="s">
        <v>111</v>
      </c>
      <c r="BS1523" t="s">
        <v>111</v>
      </c>
      <c r="BT1523" t="s">
        <v>111</v>
      </c>
      <c r="BU1523" t="s">
        <v>111</v>
      </c>
      <c r="BV1523" t="s">
        <v>111</v>
      </c>
      <c r="BW1523" t="s">
        <v>111</v>
      </c>
      <c r="BX1523" t="s">
        <v>111</v>
      </c>
      <c r="BY1523" t="s">
        <v>111</v>
      </c>
      <c r="BZ1523" t="s">
        <v>111</v>
      </c>
      <c r="CA1523" t="s">
        <v>111</v>
      </c>
      <c r="CB1523" t="s">
        <v>111</v>
      </c>
      <c r="CC1523" t="s">
        <v>111</v>
      </c>
      <c r="CD1523" t="s">
        <v>111</v>
      </c>
      <c r="CE1523" t="s">
        <v>111</v>
      </c>
      <c r="CF1523" t="s">
        <v>111</v>
      </c>
      <c r="CG1523" t="s">
        <v>111</v>
      </c>
      <c r="CH1523" t="s">
        <v>111</v>
      </c>
      <c r="CI1523" t="s">
        <v>111</v>
      </c>
      <c r="CJ1523" t="s">
        <v>111</v>
      </c>
      <c r="CK1523" t="s">
        <v>111</v>
      </c>
      <c r="CL1523" t="s">
        <v>111</v>
      </c>
      <c r="CM1523" t="s">
        <v>111</v>
      </c>
      <c r="CN1523" t="s">
        <v>111</v>
      </c>
      <c r="CO1523" t="s">
        <v>111</v>
      </c>
      <c r="CP1523" t="s">
        <v>111</v>
      </c>
      <c r="CQ1523">
        <v>0</v>
      </c>
      <c r="CR1523">
        <v>0</v>
      </c>
      <c r="CS1523">
        <v>0</v>
      </c>
      <c r="CT1523" t="s">
        <v>111</v>
      </c>
      <c r="CU1523">
        <v>0</v>
      </c>
      <c r="CV1523" t="s">
        <v>111</v>
      </c>
      <c r="CW1523" t="s">
        <v>111</v>
      </c>
      <c r="CX1523" t="s">
        <v>111</v>
      </c>
      <c r="CY1523">
        <v>0</v>
      </c>
      <c r="CZ1523" t="s">
        <v>111</v>
      </c>
      <c r="DA1523" t="s">
        <v>111</v>
      </c>
      <c r="DB1523" t="s">
        <v>111</v>
      </c>
      <c r="DC1523" t="s">
        <v>111</v>
      </c>
    </row>
    <row r="1524" spans="1:107">
      <c r="A1524">
        <v>1599</v>
      </c>
      <c r="B1524" t="s">
        <v>107</v>
      </c>
      <c r="C1524" s="2">
        <v>91226680</v>
      </c>
      <c r="D1524" t="s">
        <v>4268</v>
      </c>
      <c r="E1524" t="s">
        <v>4269</v>
      </c>
      <c r="F1524" t="s">
        <v>110</v>
      </c>
      <c r="G1524" t="s">
        <v>24</v>
      </c>
      <c r="H1524">
        <v>2</v>
      </c>
      <c r="I1524">
        <v>25</v>
      </c>
      <c r="J1524">
        <v>0</v>
      </c>
      <c r="K1524">
        <v>0</v>
      </c>
      <c r="L1524" t="s">
        <v>112</v>
      </c>
      <c r="M1524" t="s">
        <v>111</v>
      </c>
      <c r="N1524">
        <v>0</v>
      </c>
      <c r="O1524">
        <v>0</v>
      </c>
      <c r="P1524" t="s">
        <v>111</v>
      </c>
      <c r="Q1524">
        <v>20</v>
      </c>
      <c r="R1524">
        <v>0</v>
      </c>
      <c r="S1524">
        <v>0</v>
      </c>
      <c r="T1524">
        <v>0</v>
      </c>
      <c r="U1524" t="e">
        <f>-ALMACEN</f>
        <v>#NAME?</v>
      </c>
      <c r="V1524">
        <v>0</v>
      </c>
      <c r="W1524">
        <v>0</v>
      </c>
      <c r="X1524">
        <v>0</v>
      </c>
      <c r="Y1524">
        <v>25</v>
      </c>
      <c r="Z1524" t="s">
        <v>111</v>
      </c>
      <c r="AA1524">
        <v>0</v>
      </c>
      <c r="AB1524" t="s">
        <v>111</v>
      </c>
      <c r="AC1524">
        <v>0</v>
      </c>
      <c r="AD1524" t="s">
        <v>111</v>
      </c>
      <c r="AE1524">
        <v>0</v>
      </c>
      <c r="AF1524">
        <v>0</v>
      </c>
      <c r="AG1524" t="s">
        <v>111</v>
      </c>
      <c r="AH1524" t="s">
        <v>111</v>
      </c>
      <c r="AI1524" t="s">
        <v>111</v>
      </c>
      <c r="AJ1524" t="s">
        <v>111</v>
      </c>
      <c r="AK1524" t="s">
        <v>111</v>
      </c>
      <c r="AL1524" t="s">
        <v>111</v>
      </c>
      <c r="AM1524">
        <v>0</v>
      </c>
      <c r="AN1524">
        <v>0</v>
      </c>
      <c r="AO1524">
        <v>0</v>
      </c>
      <c r="AP1524" t="s">
        <v>111</v>
      </c>
      <c r="AQ1524" t="s">
        <v>111</v>
      </c>
      <c r="AR1524" t="s">
        <v>111</v>
      </c>
      <c r="AS1524" t="s">
        <v>111</v>
      </c>
      <c r="AT1524" t="s">
        <v>111</v>
      </c>
      <c r="AU1524" t="s">
        <v>111</v>
      </c>
      <c r="AV1524" t="s">
        <v>111</v>
      </c>
      <c r="AW1524" t="s">
        <v>111</v>
      </c>
      <c r="AX1524" t="s">
        <v>111</v>
      </c>
      <c r="AY1524" t="s">
        <v>111</v>
      </c>
      <c r="AZ1524" t="s">
        <v>111</v>
      </c>
      <c r="BA1524" t="s">
        <v>111</v>
      </c>
      <c r="BB1524" t="s">
        <v>111</v>
      </c>
      <c r="BC1524" t="s">
        <v>111</v>
      </c>
      <c r="BD1524" t="s">
        <v>111</v>
      </c>
      <c r="BE1524" t="s">
        <v>111</v>
      </c>
      <c r="BF1524" t="s">
        <v>111</v>
      </c>
      <c r="BG1524" t="s">
        <v>111</v>
      </c>
      <c r="BH1524" t="s">
        <v>111</v>
      </c>
      <c r="BI1524" t="s">
        <v>111</v>
      </c>
      <c r="BJ1524" t="s">
        <v>111</v>
      </c>
      <c r="BK1524" t="s">
        <v>111</v>
      </c>
      <c r="BL1524" t="s">
        <v>111</v>
      </c>
      <c r="BM1524" t="s">
        <v>111</v>
      </c>
      <c r="BN1524" t="s">
        <v>111</v>
      </c>
      <c r="BO1524" t="s">
        <v>111</v>
      </c>
      <c r="BP1524" t="s">
        <v>111</v>
      </c>
      <c r="BQ1524" t="s">
        <v>111</v>
      </c>
      <c r="BR1524" t="s">
        <v>111</v>
      </c>
      <c r="BS1524" t="s">
        <v>111</v>
      </c>
      <c r="BT1524" t="s">
        <v>111</v>
      </c>
      <c r="BU1524" t="s">
        <v>111</v>
      </c>
      <c r="BV1524" t="s">
        <v>111</v>
      </c>
      <c r="BW1524" t="s">
        <v>111</v>
      </c>
      <c r="BX1524" t="s">
        <v>111</v>
      </c>
      <c r="BY1524" t="s">
        <v>111</v>
      </c>
      <c r="BZ1524" t="s">
        <v>111</v>
      </c>
      <c r="CA1524" t="s">
        <v>111</v>
      </c>
      <c r="CB1524" t="s">
        <v>111</v>
      </c>
      <c r="CC1524" t="s">
        <v>111</v>
      </c>
      <c r="CD1524" t="s">
        <v>111</v>
      </c>
      <c r="CE1524" t="s">
        <v>111</v>
      </c>
      <c r="CF1524" t="s">
        <v>111</v>
      </c>
      <c r="CG1524" t="s">
        <v>111</v>
      </c>
      <c r="CH1524" t="s">
        <v>111</v>
      </c>
      <c r="CI1524" t="s">
        <v>111</v>
      </c>
      <c r="CJ1524" t="s">
        <v>111</v>
      </c>
      <c r="CK1524" t="s">
        <v>111</v>
      </c>
      <c r="CL1524" t="s">
        <v>111</v>
      </c>
      <c r="CM1524" t="s">
        <v>111</v>
      </c>
      <c r="CN1524" t="s">
        <v>111</v>
      </c>
      <c r="CO1524" t="s">
        <v>111</v>
      </c>
      <c r="CP1524" t="s">
        <v>111</v>
      </c>
      <c r="CQ1524">
        <v>0</v>
      </c>
      <c r="CR1524">
        <v>0</v>
      </c>
      <c r="CS1524">
        <v>0</v>
      </c>
      <c r="CT1524" t="s">
        <v>111</v>
      </c>
      <c r="CU1524">
        <v>0</v>
      </c>
      <c r="CV1524" t="s">
        <v>111</v>
      </c>
      <c r="CW1524" t="s">
        <v>111</v>
      </c>
      <c r="CX1524" t="s">
        <v>111</v>
      </c>
      <c r="CY1524">
        <v>0</v>
      </c>
      <c r="CZ1524" t="s">
        <v>111</v>
      </c>
      <c r="DA1524" t="s">
        <v>111</v>
      </c>
      <c r="DB1524" t="s">
        <v>111</v>
      </c>
      <c r="DC1524" t="s">
        <v>111</v>
      </c>
    </row>
    <row r="1525" spans="1:107">
      <c r="A1525">
        <v>1600</v>
      </c>
      <c r="B1525" t="s">
        <v>107</v>
      </c>
      <c r="C1525" t="s">
        <v>2006</v>
      </c>
      <c r="D1525" t="s">
        <v>4270</v>
      </c>
      <c r="E1525" t="s">
        <v>4271</v>
      </c>
      <c r="F1525" t="s">
        <v>1651</v>
      </c>
      <c r="G1525" t="s">
        <v>24</v>
      </c>
      <c r="H1525">
        <v>1.3</v>
      </c>
      <c r="I1525">
        <v>45</v>
      </c>
      <c r="J1525">
        <v>0</v>
      </c>
      <c r="K1525">
        <v>0</v>
      </c>
      <c r="L1525" t="s">
        <v>112</v>
      </c>
      <c r="M1525" t="s">
        <v>118</v>
      </c>
      <c r="N1525">
        <v>40</v>
      </c>
      <c r="O1525">
        <v>2</v>
      </c>
      <c r="P1525" t="s">
        <v>138</v>
      </c>
      <c r="Q1525">
        <v>34.799999999999997</v>
      </c>
      <c r="R1525">
        <v>0</v>
      </c>
      <c r="S1525">
        <v>0</v>
      </c>
      <c r="T1525">
        <v>5</v>
      </c>
      <c r="U1525" t="e">
        <f>-iIMPRESION DARMA</f>
        <v>#NAME?</v>
      </c>
      <c r="V1525">
        <v>0</v>
      </c>
      <c r="W1525">
        <v>0</v>
      </c>
      <c r="X1525">
        <v>0</v>
      </c>
      <c r="Y1525">
        <v>25</v>
      </c>
      <c r="Z1525" t="s">
        <v>111</v>
      </c>
      <c r="AA1525">
        <v>0</v>
      </c>
      <c r="AB1525" t="s">
        <v>111</v>
      </c>
      <c r="AC1525">
        <v>0</v>
      </c>
      <c r="AD1525" t="s">
        <v>416</v>
      </c>
      <c r="AE1525">
        <v>0</v>
      </c>
      <c r="AF1525">
        <v>0</v>
      </c>
      <c r="AG1525" t="s">
        <v>111</v>
      </c>
      <c r="AH1525" t="s">
        <v>113</v>
      </c>
      <c r="AI1525" t="s">
        <v>111</v>
      </c>
      <c r="AJ1525" t="s">
        <v>111</v>
      </c>
      <c r="AK1525" t="s">
        <v>111</v>
      </c>
      <c r="AL1525" t="s">
        <v>111</v>
      </c>
      <c r="AM1525">
        <v>0</v>
      </c>
      <c r="AN1525">
        <v>0</v>
      </c>
      <c r="AO1525">
        <v>0</v>
      </c>
      <c r="AP1525" t="s">
        <v>111</v>
      </c>
      <c r="AQ1525" t="s">
        <v>111</v>
      </c>
      <c r="AR1525" t="s">
        <v>111</v>
      </c>
      <c r="AS1525" t="s">
        <v>111</v>
      </c>
      <c r="AT1525" t="s">
        <v>111</v>
      </c>
      <c r="AU1525" t="s">
        <v>111</v>
      </c>
      <c r="AV1525" t="s">
        <v>111</v>
      </c>
      <c r="AW1525" t="s">
        <v>111</v>
      </c>
      <c r="AX1525" t="s">
        <v>111</v>
      </c>
      <c r="AY1525" t="s">
        <v>111</v>
      </c>
      <c r="AZ1525" t="s">
        <v>111</v>
      </c>
      <c r="BA1525" t="s">
        <v>111</v>
      </c>
      <c r="BB1525" t="s">
        <v>111</v>
      </c>
      <c r="BC1525" t="s">
        <v>111</v>
      </c>
      <c r="BD1525" t="s">
        <v>111</v>
      </c>
      <c r="BE1525" t="s">
        <v>111</v>
      </c>
      <c r="BF1525" t="s">
        <v>111</v>
      </c>
      <c r="BG1525" t="s">
        <v>111</v>
      </c>
      <c r="BH1525" t="s">
        <v>111</v>
      </c>
      <c r="BI1525" t="s">
        <v>111</v>
      </c>
      <c r="BJ1525" t="s">
        <v>111</v>
      </c>
      <c r="BK1525" t="s">
        <v>111</v>
      </c>
      <c r="BL1525" t="s">
        <v>111</v>
      </c>
      <c r="BM1525" t="s">
        <v>111</v>
      </c>
      <c r="BN1525" t="s">
        <v>111</v>
      </c>
      <c r="BO1525" t="s">
        <v>111</v>
      </c>
      <c r="BP1525" t="s">
        <v>111</v>
      </c>
      <c r="BQ1525" t="s">
        <v>111</v>
      </c>
      <c r="BR1525" t="s">
        <v>111</v>
      </c>
      <c r="BS1525" t="s">
        <v>111</v>
      </c>
      <c r="BT1525" t="s">
        <v>111</v>
      </c>
      <c r="BU1525" t="s">
        <v>111</v>
      </c>
      <c r="BV1525" t="s">
        <v>111</v>
      </c>
      <c r="BW1525" t="s">
        <v>111</v>
      </c>
      <c r="BX1525" t="s">
        <v>111</v>
      </c>
      <c r="BY1525" t="s">
        <v>111</v>
      </c>
      <c r="BZ1525" t="s">
        <v>111</v>
      </c>
      <c r="CA1525" t="s">
        <v>111</v>
      </c>
      <c r="CB1525" t="s">
        <v>111</v>
      </c>
      <c r="CC1525" t="s">
        <v>111</v>
      </c>
      <c r="CD1525" t="s">
        <v>111</v>
      </c>
      <c r="CE1525" t="s">
        <v>111</v>
      </c>
      <c r="CF1525" t="s">
        <v>111</v>
      </c>
      <c r="CG1525" t="s">
        <v>111</v>
      </c>
      <c r="CH1525" t="s">
        <v>111</v>
      </c>
      <c r="CI1525" t="s">
        <v>111</v>
      </c>
      <c r="CJ1525" t="s">
        <v>111</v>
      </c>
      <c r="CK1525" t="s">
        <v>111</v>
      </c>
      <c r="CL1525" t="s">
        <v>111</v>
      </c>
      <c r="CM1525" t="s">
        <v>438</v>
      </c>
      <c r="CN1525" t="s">
        <v>113</v>
      </c>
      <c r="CO1525" t="s">
        <v>111</v>
      </c>
      <c r="CP1525" t="s">
        <v>111</v>
      </c>
      <c r="CQ1525">
        <v>0</v>
      </c>
      <c r="CR1525">
        <v>4000</v>
      </c>
      <c r="CS1525">
        <v>250</v>
      </c>
      <c r="CT1525" t="e">
        <f>-ALMACEN</f>
        <v>#NAME?</v>
      </c>
      <c r="CU1525">
        <v>0</v>
      </c>
      <c r="CV1525" t="s">
        <v>111</v>
      </c>
      <c r="CW1525" t="s">
        <v>111</v>
      </c>
      <c r="CX1525" t="s">
        <v>111</v>
      </c>
      <c r="CY1525">
        <v>0</v>
      </c>
      <c r="CZ1525" t="s">
        <v>111</v>
      </c>
      <c r="DA1525" t="s">
        <v>111</v>
      </c>
      <c r="DB1525" t="s">
        <v>111</v>
      </c>
      <c r="DC1525" t="s">
        <v>111</v>
      </c>
    </row>
    <row r="1526" spans="1:107">
      <c r="A1526">
        <v>1601</v>
      </c>
      <c r="B1526" t="s">
        <v>107</v>
      </c>
      <c r="C1526" t="s">
        <v>174</v>
      </c>
      <c r="D1526" t="s">
        <v>4086</v>
      </c>
      <c r="E1526" t="s">
        <v>4272</v>
      </c>
      <c r="F1526" t="s">
        <v>1071</v>
      </c>
      <c r="G1526" t="s">
        <v>24</v>
      </c>
      <c r="H1526">
        <v>1.4</v>
      </c>
      <c r="I1526">
        <v>30</v>
      </c>
      <c r="J1526">
        <v>0</v>
      </c>
      <c r="K1526">
        <v>0</v>
      </c>
      <c r="L1526" t="s">
        <v>112</v>
      </c>
      <c r="M1526" t="s">
        <v>111</v>
      </c>
      <c r="N1526">
        <v>0</v>
      </c>
      <c r="O1526">
        <v>0</v>
      </c>
      <c r="P1526" t="s">
        <v>111</v>
      </c>
      <c r="Q1526">
        <v>12</v>
      </c>
      <c r="R1526">
        <v>0</v>
      </c>
      <c r="S1526">
        <v>0</v>
      </c>
      <c r="T1526">
        <v>5</v>
      </c>
      <c r="U1526" t="e">
        <f>-SELLADO</f>
        <v>#NAME?</v>
      </c>
      <c r="V1526">
        <v>0</v>
      </c>
      <c r="W1526">
        <v>0</v>
      </c>
      <c r="X1526">
        <v>0</v>
      </c>
      <c r="Y1526">
        <v>25</v>
      </c>
      <c r="Z1526" t="s">
        <v>111</v>
      </c>
      <c r="AA1526">
        <v>0</v>
      </c>
      <c r="AB1526" t="s">
        <v>111</v>
      </c>
      <c r="AC1526">
        <v>0</v>
      </c>
      <c r="AD1526" t="s">
        <v>111</v>
      </c>
      <c r="AE1526">
        <v>0</v>
      </c>
      <c r="AF1526">
        <v>0</v>
      </c>
      <c r="AG1526" t="s">
        <v>111</v>
      </c>
      <c r="AH1526" t="s">
        <v>111</v>
      </c>
      <c r="AI1526" t="s">
        <v>111</v>
      </c>
      <c r="AJ1526" t="s">
        <v>111</v>
      </c>
      <c r="AK1526" t="s">
        <v>111</v>
      </c>
      <c r="AL1526" t="s">
        <v>111</v>
      </c>
      <c r="AM1526">
        <v>0</v>
      </c>
      <c r="AN1526">
        <v>0</v>
      </c>
      <c r="AO1526">
        <v>0</v>
      </c>
      <c r="AP1526" t="s">
        <v>111</v>
      </c>
      <c r="AQ1526" t="s">
        <v>111</v>
      </c>
      <c r="AR1526" t="s">
        <v>111</v>
      </c>
      <c r="AS1526" t="s">
        <v>111</v>
      </c>
      <c r="AT1526" t="s">
        <v>111</v>
      </c>
      <c r="AU1526" t="s">
        <v>111</v>
      </c>
      <c r="AV1526" t="s">
        <v>111</v>
      </c>
      <c r="AW1526" t="s">
        <v>111</v>
      </c>
      <c r="AX1526" t="s">
        <v>111</v>
      </c>
      <c r="AY1526" t="s">
        <v>111</v>
      </c>
      <c r="AZ1526" t="s">
        <v>111</v>
      </c>
      <c r="BA1526" t="s">
        <v>111</v>
      </c>
      <c r="BB1526" t="s">
        <v>111</v>
      </c>
      <c r="BC1526" t="s">
        <v>111</v>
      </c>
      <c r="BD1526" t="s">
        <v>111</v>
      </c>
      <c r="BE1526" t="s">
        <v>111</v>
      </c>
      <c r="BF1526" t="s">
        <v>111</v>
      </c>
      <c r="BG1526" t="s">
        <v>111</v>
      </c>
      <c r="BH1526" t="s">
        <v>111</v>
      </c>
      <c r="BI1526" t="s">
        <v>111</v>
      </c>
      <c r="BJ1526" t="s">
        <v>111</v>
      </c>
      <c r="BK1526" t="s">
        <v>111</v>
      </c>
      <c r="BL1526" t="s">
        <v>111</v>
      </c>
      <c r="BM1526" t="s">
        <v>111</v>
      </c>
      <c r="BN1526" t="s">
        <v>111</v>
      </c>
      <c r="BO1526" t="s">
        <v>111</v>
      </c>
      <c r="BP1526" t="s">
        <v>111</v>
      </c>
      <c r="BQ1526" t="s">
        <v>111</v>
      </c>
      <c r="BR1526" t="s">
        <v>111</v>
      </c>
      <c r="BS1526" t="s">
        <v>111</v>
      </c>
      <c r="BT1526" t="s">
        <v>111</v>
      </c>
      <c r="BU1526" t="s">
        <v>111</v>
      </c>
      <c r="BV1526" t="s">
        <v>111</v>
      </c>
      <c r="BW1526" t="s">
        <v>111</v>
      </c>
      <c r="BX1526" t="s">
        <v>111</v>
      </c>
      <c r="BY1526" t="s">
        <v>111</v>
      </c>
      <c r="BZ1526" t="s">
        <v>111</v>
      </c>
      <c r="CA1526" t="s">
        <v>111</v>
      </c>
      <c r="CB1526" t="s">
        <v>111</v>
      </c>
      <c r="CC1526" t="s">
        <v>111</v>
      </c>
      <c r="CD1526" t="s">
        <v>111</v>
      </c>
      <c r="CE1526" t="s">
        <v>111</v>
      </c>
      <c r="CF1526" t="s">
        <v>111</v>
      </c>
      <c r="CG1526" t="s">
        <v>111</v>
      </c>
      <c r="CH1526" t="s">
        <v>111</v>
      </c>
      <c r="CI1526" t="s">
        <v>111</v>
      </c>
      <c r="CJ1526" t="s">
        <v>111</v>
      </c>
      <c r="CK1526" t="s">
        <v>111</v>
      </c>
      <c r="CL1526" t="s">
        <v>111</v>
      </c>
      <c r="CM1526">
        <v>450</v>
      </c>
      <c r="CN1526" t="s">
        <v>113</v>
      </c>
      <c r="CO1526" t="s">
        <v>111</v>
      </c>
      <c r="CP1526" t="s">
        <v>111</v>
      </c>
      <c r="CQ1526">
        <v>0</v>
      </c>
      <c r="CR1526">
        <v>3000</v>
      </c>
      <c r="CS1526">
        <v>250</v>
      </c>
      <c r="CT1526" s="1" t="s">
        <v>4273</v>
      </c>
      <c r="CU1526">
        <v>0</v>
      </c>
      <c r="CV1526" t="s">
        <v>111</v>
      </c>
      <c r="CW1526" t="s">
        <v>111</v>
      </c>
      <c r="CX1526" t="s">
        <v>111</v>
      </c>
      <c r="CY1526">
        <v>0</v>
      </c>
      <c r="CZ1526" t="s">
        <v>111</v>
      </c>
      <c r="DA1526" t="s">
        <v>111</v>
      </c>
      <c r="DB1526" t="s">
        <v>111</v>
      </c>
      <c r="DC1526" t="s">
        <v>111</v>
      </c>
    </row>
    <row r="1527" spans="1:107">
      <c r="A1527">
        <v>1591</v>
      </c>
      <c r="B1527" t="s">
        <v>107</v>
      </c>
      <c r="C1527" t="s">
        <v>719</v>
      </c>
      <c r="D1527" t="s">
        <v>4274</v>
      </c>
      <c r="E1527" t="s">
        <v>4275</v>
      </c>
      <c r="F1527" t="s">
        <v>1071</v>
      </c>
      <c r="G1527" t="s">
        <v>24</v>
      </c>
      <c r="H1527">
        <v>2.4</v>
      </c>
      <c r="I1527">
        <v>40</v>
      </c>
      <c r="J1527">
        <v>0</v>
      </c>
      <c r="K1527">
        <v>0</v>
      </c>
      <c r="L1527" t="s">
        <v>112</v>
      </c>
      <c r="M1527" t="s">
        <v>111</v>
      </c>
      <c r="N1527">
        <v>0</v>
      </c>
      <c r="O1527">
        <v>0</v>
      </c>
      <c r="P1527" t="s">
        <v>111</v>
      </c>
      <c r="Q1527">
        <v>34</v>
      </c>
      <c r="R1527">
        <v>0</v>
      </c>
      <c r="S1527">
        <v>0</v>
      </c>
      <c r="T1527">
        <v>5</v>
      </c>
      <c r="U1527" t="e">
        <f>-SELLADO</f>
        <v>#NAME?</v>
      </c>
      <c r="V1527">
        <v>0</v>
      </c>
      <c r="W1527">
        <v>0</v>
      </c>
      <c r="X1527">
        <v>0</v>
      </c>
      <c r="Y1527">
        <v>25</v>
      </c>
      <c r="Z1527" t="s">
        <v>111</v>
      </c>
      <c r="AA1527">
        <v>0</v>
      </c>
      <c r="AB1527" t="s">
        <v>111</v>
      </c>
      <c r="AC1527">
        <v>0</v>
      </c>
      <c r="AD1527" t="s">
        <v>111</v>
      </c>
      <c r="AE1527">
        <v>0</v>
      </c>
      <c r="AF1527">
        <v>0</v>
      </c>
      <c r="AG1527" t="s">
        <v>111</v>
      </c>
      <c r="AH1527" t="s">
        <v>111</v>
      </c>
      <c r="AI1527" t="s">
        <v>111</v>
      </c>
      <c r="AJ1527" t="s">
        <v>111</v>
      </c>
      <c r="AK1527" t="s">
        <v>111</v>
      </c>
      <c r="AL1527" t="s">
        <v>111</v>
      </c>
      <c r="AM1527">
        <v>0</v>
      </c>
      <c r="AN1527">
        <v>0</v>
      </c>
      <c r="AO1527">
        <v>0</v>
      </c>
      <c r="AP1527" t="s">
        <v>111</v>
      </c>
      <c r="AQ1527" t="s">
        <v>111</v>
      </c>
      <c r="AR1527" t="s">
        <v>111</v>
      </c>
      <c r="AS1527" t="s">
        <v>111</v>
      </c>
      <c r="AT1527" t="s">
        <v>111</v>
      </c>
      <c r="AU1527" t="s">
        <v>111</v>
      </c>
      <c r="AV1527" t="s">
        <v>111</v>
      </c>
      <c r="AW1527" t="s">
        <v>111</v>
      </c>
      <c r="AX1527" t="s">
        <v>111</v>
      </c>
      <c r="AY1527" t="s">
        <v>111</v>
      </c>
      <c r="AZ1527" t="s">
        <v>111</v>
      </c>
      <c r="BA1527" t="s">
        <v>111</v>
      </c>
      <c r="BB1527" t="s">
        <v>111</v>
      </c>
      <c r="BC1527" t="s">
        <v>111</v>
      </c>
      <c r="BD1527" t="s">
        <v>111</v>
      </c>
      <c r="BE1527" t="s">
        <v>111</v>
      </c>
      <c r="BF1527" t="s">
        <v>111</v>
      </c>
      <c r="BG1527" t="s">
        <v>111</v>
      </c>
      <c r="BH1527" t="s">
        <v>111</v>
      </c>
      <c r="BI1527" t="s">
        <v>111</v>
      </c>
      <c r="BJ1527" t="s">
        <v>111</v>
      </c>
      <c r="BK1527" t="s">
        <v>111</v>
      </c>
      <c r="BL1527" t="s">
        <v>111</v>
      </c>
      <c r="BM1527" t="s">
        <v>111</v>
      </c>
      <c r="BN1527" t="s">
        <v>111</v>
      </c>
      <c r="BO1527" t="s">
        <v>111</v>
      </c>
      <c r="BP1527" t="s">
        <v>111</v>
      </c>
      <c r="BQ1527" t="s">
        <v>111</v>
      </c>
      <c r="BR1527" t="s">
        <v>111</v>
      </c>
      <c r="BS1527" t="s">
        <v>111</v>
      </c>
      <c r="BT1527" t="s">
        <v>111</v>
      </c>
      <c r="BU1527" t="s">
        <v>111</v>
      </c>
      <c r="BV1527" t="s">
        <v>111</v>
      </c>
      <c r="BW1527" t="s">
        <v>111</v>
      </c>
      <c r="BX1527" t="s">
        <v>111</v>
      </c>
      <c r="BY1527" t="s">
        <v>111</v>
      </c>
      <c r="BZ1527" t="s">
        <v>111</v>
      </c>
      <c r="CA1527" t="s">
        <v>111</v>
      </c>
      <c r="CB1527" t="s">
        <v>111</v>
      </c>
      <c r="CC1527" t="s">
        <v>111</v>
      </c>
      <c r="CD1527" t="s">
        <v>111</v>
      </c>
      <c r="CE1527" t="s">
        <v>111</v>
      </c>
      <c r="CF1527" t="s">
        <v>111</v>
      </c>
      <c r="CG1527" t="s">
        <v>111</v>
      </c>
      <c r="CH1527" t="s">
        <v>111</v>
      </c>
      <c r="CI1527" t="s">
        <v>111</v>
      </c>
      <c r="CJ1527" t="s">
        <v>111</v>
      </c>
      <c r="CK1527" t="s">
        <v>111</v>
      </c>
      <c r="CL1527" t="s">
        <v>111</v>
      </c>
      <c r="CM1527" t="s">
        <v>135</v>
      </c>
      <c r="CN1527" t="s">
        <v>113</v>
      </c>
      <c r="CO1527" t="s">
        <v>111</v>
      </c>
      <c r="CP1527" t="s">
        <v>111</v>
      </c>
      <c r="CQ1527">
        <v>0</v>
      </c>
      <c r="CR1527">
        <v>3000</v>
      </c>
      <c r="CS1527">
        <v>200</v>
      </c>
      <c r="CT1527" t="e">
        <f>-ALMACEN</f>
        <v>#NAME?</v>
      </c>
      <c r="CU1527">
        <v>0</v>
      </c>
      <c r="CV1527" t="s">
        <v>111</v>
      </c>
      <c r="CW1527" t="s">
        <v>111</v>
      </c>
      <c r="CX1527" t="s">
        <v>111</v>
      </c>
      <c r="CY1527">
        <v>0</v>
      </c>
      <c r="CZ1527" t="s">
        <v>111</v>
      </c>
      <c r="DA1527" t="s">
        <v>111</v>
      </c>
      <c r="DB1527" t="s">
        <v>111</v>
      </c>
      <c r="DC1527" t="s">
        <v>111</v>
      </c>
    </row>
    <row r="1528" spans="1:107">
      <c r="A1528">
        <v>1626</v>
      </c>
      <c r="B1528" t="s">
        <v>107</v>
      </c>
      <c r="C1528" t="s">
        <v>793</v>
      </c>
      <c r="D1528" t="s">
        <v>4276</v>
      </c>
      <c r="E1528" t="s">
        <v>4277</v>
      </c>
      <c r="F1528" t="s">
        <v>110</v>
      </c>
      <c r="G1528" t="s">
        <v>24</v>
      </c>
      <c r="H1528">
        <v>1.5</v>
      </c>
      <c r="I1528">
        <v>28</v>
      </c>
      <c r="J1528">
        <v>0</v>
      </c>
      <c r="K1528">
        <v>0</v>
      </c>
      <c r="L1528" t="s">
        <v>112</v>
      </c>
      <c r="M1528" t="s">
        <v>118</v>
      </c>
      <c r="N1528">
        <v>39</v>
      </c>
      <c r="O1528">
        <v>2</v>
      </c>
      <c r="P1528" t="s">
        <v>138</v>
      </c>
      <c r="Q1528">
        <v>100</v>
      </c>
      <c r="R1528">
        <v>0</v>
      </c>
      <c r="S1528">
        <v>0</v>
      </c>
      <c r="T1528">
        <v>0</v>
      </c>
      <c r="U1528" s="1" t="s">
        <v>4155</v>
      </c>
      <c r="V1528">
        <v>0</v>
      </c>
      <c r="W1528">
        <v>0</v>
      </c>
      <c r="X1528">
        <v>0</v>
      </c>
      <c r="Y1528">
        <v>25</v>
      </c>
      <c r="Z1528" t="s">
        <v>111</v>
      </c>
      <c r="AA1528">
        <v>0</v>
      </c>
      <c r="AB1528" t="s">
        <v>111</v>
      </c>
      <c r="AC1528">
        <v>0</v>
      </c>
      <c r="AD1528" t="s">
        <v>111</v>
      </c>
      <c r="AE1528">
        <v>0</v>
      </c>
      <c r="AF1528">
        <v>0</v>
      </c>
      <c r="AG1528" t="s">
        <v>111</v>
      </c>
      <c r="AH1528" t="s">
        <v>111</v>
      </c>
      <c r="AI1528" t="s">
        <v>111</v>
      </c>
      <c r="AJ1528" t="s">
        <v>111</v>
      </c>
      <c r="AK1528" t="s">
        <v>111</v>
      </c>
      <c r="AL1528" t="s">
        <v>111</v>
      </c>
      <c r="AM1528">
        <v>0</v>
      </c>
      <c r="AN1528">
        <v>0</v>
      </c>
      <c r="AO1528">
        <v>0</v>
      </c>
      <c r="AP1528" t="s">
        <v>111</v>
      </c>
      <c r="AQ1528" t="s">
        <v>111</v>
      </c>
      <c r="AR1528" t="s">
        <v>111</v>
      </c>
      <c r="AS1528" t="s">
        <v>111</v>
      </c>
      <c r="AT1528" t="s">
        <v>111</v>
      </c>
      <c r="AU1528" t="s">
        <v>111</v>
      </c>
      <c r="AV1528" t="s">
        <v>111</v>
      </c>
      <c r="AW1528" t="s">
        <v>111</v>
      </c>
      <c r="AX1528" t="s">
        <v>111</v>
      </c>
      <c r="AY1528" t="s">
        <v>111</v>
      </c>
      <c r="AZ1528" t="s">
        <v>111</v>
      </c>
      <c r="BA1528" t="s">
        <v>111</v>
      </c>
      <c r="BB1528" t="s">
        <v>111</v>
      </c>
      <c r="BC1528" t="s">
        <v>111</v>
      </c>
      <c r="BD1528" t="s">
        <v>111</v>
      </c>
      <c r="BE1528" t="s">
        <v>111</v>
      </c>
      <c r="BF1528" t="s">
        <v>111</v>
      </c>
      <c r="BG1528" t="s">
        <v>111</v>
      </c>
      <c r="BH1528" t="s">
        <v>111</v>
      </c>
      <c r="BI1528" t="s">
        <v>111</v>
      </c>
      <c r="BJ1528" t="s">
        <v>111</v>
      </c>
      <c r="BK1528" t="s">
        <v>111</v>
      </c>
      <c r="BL1528" t="s">
        <v>111</v>
      </c>
      <c r="BM1528" t="s">
        <v>111</v>
      </c>
      <c r="BN1528" t="s">
        <v>111</v>
      </c>
      <c r="BO1528" t="s">
        <v>111</v>
      </c>
      <c r="BP1528" t="s">
        <v>111</v>
      </c>
      <c r="BQ1528" t="s">
        <v>111</v>
      </c>
      <c r="BR1528" t="s">
        <v>111</v>
      </c>
      <c r="BS1528" t="s">
        <v>111</v>
      </c>
      <c r="BT1528" t="s">
        <v>111</v>
      </c>
      <c r="BU1528" t="s">
        <v>111</v>
      </c>
      <c r="BV1528" t="s">
        <v>111</v>
      </c>
      <c r="BW1528" t="s">
        <v>111</v>
      </c>
      <c r="BX1528" t="s">
        <v>111</v>
      </c>
      <c r="BY1528" t="s">
        <v>111</v>
      </c>
      <c r="BZ1528" t="s">
        <v>111</v>
      </c>
      <c r="CA1528" t="s">
        <v>111</v>
      </c>
      <c r="CB1528" t="s">
        <v>111</v>
      </c>
      <c r="CC1528" t="s">
        <v>111</v>
      </c>
      <c r="CD1528" t="s">
        <v>111</v>
      </c>
      <c r="CE1528" t="s">
        <v>111</v>
      </c>
      <c r="CF1528" t="s">
        <v>111</v>
      </c>
      <c r="CG1528" t="s">
        <v>111</v>
      </c>
      <c r="CH1528" t="s">
        <v>111</v>
      </c>
      <c r="CI1528" t="s">
        <v>111</v>
      </c>
      <c r="CJ1528" t="s">
        <v>111</v>
      </c>
      <c r="CK1528" t="s">
        <v>111</v>
      </c>
      <c r="CL1528" t="s">
        <v>111</v>
      </c>
      <c r="CM1528" t="s">
        <v>111</v>
      </c>
      <c r="CN1528" t="s">
        <v>111</v>
      </c>
      <c r="CO1528" t="s">
        <v>111</v>
      </c>
      <c r="CP1528" t="s">
        <v>111</v>
      </c>
      <c r="CQ1528">
        <v>0</v>
      </c>
      <c r="CR1528">
        <v>0</v>
      </c>
      <c r="CS1528">
        <v>0</v>
      </c>
      <c r="CT1528" t="s">
        <v>111</v>
      </c>
      <c r="CU1528">
        <v>0</v>
      </c>
      <c r="CV1528" t="s">
        <v>111</v>
      </c>
      <c r="CW1528" t="s">
        <v>111</v>
      </c>
      <c r="CX1528" t="s">
        <v>111</v>
      </c>
      <c r="CY1528">
        <v>0</v>
      </c>
      <c r="CZ1528" t="s">
        <v>111</v>
      </c>
      <c r="DA1528" t="s">
        <v>111</v>
      </c>
      <c r="DB1528" t="s">
        <v>111</v>
      </c>
      <c r="DC1528" t="s">
        <v>111</v>
      </c>
    </row>
    <row r="1529" spans="1:107">
      <c r="A1529">
        <v>1593</v>
      </c>
      <c r="B1529" t="s">
        <v>107</v>
      </c>
      <c r="C1529" t="s">
        <v>3783</v>
      </c>
      <c r="D1529" t="s">
        <v>3960</v>
      </c>
      <c r="E1529" t="s">
        <v>4278</v>
      </c>
      <c r="F1529" t="s">
        <v>1260</v>
      </c>
      <c r="G1529" t="s">
        <v>24</v>
      </c>
      <c r="H1529">
        <v>1.9</v>
      </c>
      <c r="I1529">
        <v>40</v>
      </c>
      <c r="J1529">
        <v>0</v>
      </c>
      <c r="K1529">
        <v>0</v>
      </c>
      <c r="L1529" t="s">
        <v>117</v>
      </c>
      <c r="M1529" t="s">
        <v>118</v>
      </c>
      <c r="N1529">
        <v>40</v>
      </c>
      <c r="O1529">
        <v>1</v>
      </c>
      <c r="P1529" t="s">
        <v>111</v>
      </c>
      <c r="Q1529">
        <v>26.5</v>
      </c>
      <c r="R1529">
        <v>0</v>
      </c>
      <c r="S1529">
        <v>0</v>
      </c>
      <c r="T1529">
        <v>5</v>
      </c>
      <c r="U1529" s="1" t="s">
        <v>4279</v>
      </c>
      <c r="V1529">
        <v>0</v>
      </c>
      <c r="W1529">
        <v>0</v>
      </c>
      <c r="X1529">
        <v>0</v>
      </c>
      <c r="Y1529">
        <v>25</v>
      </c>
      <c r="Z1529" t="s">
        <v>111</v>
      </c>
      <c r="AA1529">
        <v>0</v>
      </c>
      <c r="AB1529" t="s">
        <v>111</v>
      </c>
      <c r="AC1529">
        <v>0</v>
      </c>
      <c r="AD1529" t="s">
        <v>416</v>
      </c>
      <c r="AE1529">
        <v>0</v>
      </c>
      <c r="AF1529">
        <v>0</v>
      </c>
      <c r="AG1529" t="s">
        <v>111</v>
      </c>
      <c r="AH1529" t="s">
        <v>113</v>
      </c>
      <c r="AI1529" t="s">
        <v>111</v>
      </c>
      <c r="AJ1529" t="s">
        <v>111</v>
      </c>
      <c r="AK1529" t="s">
        <v>111</v>
      </c>
      <c r="AL1529" t="s">
        <v>111</v>
      </c>
      <c r="AM1529">
        <v>0</v>
      </c>
      <c r="AN1529">
        <v>0</v>
      </c>
      <c r="AO1529">
        <v>0</v>
      </c>
      <c r="AP1529" t="s">
        <v>111</v>
      </c>
      <c r="AQ1529" t="s">
        <v>111</v>
      </c>
      <c r="AR1529" t="s">
        <v>111</v>
      </c>
      <c r="AS1529" t="s">
        <v>111</v>
      </c>
      <c r="AT1529" t="s">
        <v>111</v>
      </c>
      <c r="AU1529" t="s">
        <v>111</v>
      </c>
      <c r="AV1529" t="s">
        <v>111</v>
      </c>
      <c r="AW1529" t="s">
        <v>111</v>
      </c>
      <c r="AX1529" t="s">
        <v>111</v>
      </c>
      <c r="AY1529" t="s">
        <v>111</v>
      </c>
      <c r="AZ1529" t="s">
        <v>111</v>
      </c>
      <c r="BA1529" t="s">
        <v>111</v>
      </c>
      <c r="BB1529" t="s">
        <v>111</v>
      </c>
      <c r="BC1529" t="s">
        <v>111</v>
      </c>
      <c r="BD1529" t="s">
        <v>111</v>
      </c>
      <c r="BE1529" t="s">
        <v>111</v>
      </c>
      <c r="BF1529" t="s">
        <v>111</v>
      </c>
      <c r="BG1529" t="s">
        <v>111</v>
      </c>
      <c r="BH1529" t="s">
        <v>111</v>
      </c>
      <c r="BI1529" t="s">
        <v>111</v>
      </c>
      <c r="BJ1529" t="s">
        <v>111</v>
      </c>
      <c r="BK1529" t="s">
        <v>111</v>
      </c>
      <c r="BL1529" t="s">
        <v>111</v>
      </c>
      <c r="BM1529" t="s">
        <v>111</v>
      </c>
      <c r="BN1529" t="s">
        <v>111</v>
      </c>
      <c r="BO1529" t="s">
        <v>111</v>
      </c>
      <c r="BP1529" t="s">
        <v>111</v>
      </c>
      <c r="BQ1529" t="s">
        <v>111</v>
      </c>
      <c r="BR1529" t="s">
        <v>111</v>
      </c>
      <c r="BS1529" t="s">
        <v>111</v>
      </c>
      <c r="BT1529" t="s">
        <v>111</v>
      </c>
      <c r="BU1529" t="s">
        <v>111</v>
      </c>
      <c r="BV1529" t="s">
        <v>111</v>
      </c>
      <c r="BW1529" t="s">
        <v>111</v>
      </c>
      <c r="BX1529" t="s">
        <v>111</v>
      </c>
      <c r="BY1529" t="s">
        <v>111</v>
      </c>
      <c r="BZ1529" t="s">
        <v>111</v>
      </c>
      <c r="CA1529" t="s">
        <v>111</v>
      </c>
      <c r="CB1529" t="s">
        <v>111</v>
      </c>
      <c r="CC1529" t="s">
        <v>111</v>
      </c>
      <c r="CD1529" t="s">
        <v>111</v>
      </c>
      <c r="CE1529" t="s">
        <v>111</v>
      </c>
      <c r="CF1529" t="s">
        <v>111</v>
      </c>
      <c r="CG1529" t="s">
        <v>111</v>
      </c>
      <c r="CH1529" t="s">
        <v>111</v>
      </c>
      <c r="CI1529" t="s">
        <v>111</v>
      </c>
      <c r="CJ1529" t="s">
        <v>111</v>
      </c>
      <c r="CK1529" t="s">
        <v>111</v>
      </c>
      <c r="CL1529" t="s">
        <v>111</v>
      </c>
      <c r="CM1529" t="s">
        <v>135</v>
      </c>
      <c r="CN1529" t="s">
        <v>113</v>
      </c>
      <c r="CO1529" t="s">
        <v>637</v>
      </c>
      <c r="CP1529" t="s">
        <v>111</v>
      </c>
      <c r="CQ1529">
        <v>0</v>
      </c>
      <c r="CR1529">
        <v>26000</v>
      </c>
      <c r="CS1529">
        <v>26000</v>
      </c>
      <c r="CT1529" t="e">
        <f>-ALMACEN</f>
        <v>#NAME?</v>
      </c>
      <c r="CU1529">
        <v>0</v>
      </c>
      <c r="CV1529" t="s">
        <v>111</v>
      </c>
      <c r="CW1529" t="s">
        <v>111</v>
      </c>
      <c r="CX1529" t="s">
        <v>111</v>
      </c>
      <c r="CY1529">
        <v>0</v>
      </c>
      <c r="CZ1529" t="s">
        <v>111</v>
      </c>
      <c r="DA1529" t="s">
        <v>111</v>
      </c>
      <c r="DB1529" t="s">
        <v>111</v>
      </c>
      <c r="DC1529" t="s">
        <v>111</v>
      </c>
    </row>
    <row r="1530" spans="1:107">
      <c r="A1530">
        <v>1624</v>
      </c>
      <c r="B1530" t="s">
        <v>107</v>
      </c>
      <c r="C1530" t="s">
        <v>362</v>
      </c>
      <c r="D1530" t="s">
        <v>4280</v>
      </c>
      <c r="E1530" t="s">
        <v>4281</v>
      </c>
      <c r="F1530" t="s">
        <v>1651</v>
      </c>
      <c r="G1530" t="s">
        <v>24</v>
      </c>
      <c r="H1530">
        <v>1.8</v>
      </c>
      <c r="I1530">
        <v>45</v>
      </c>
      <c r="J1530">
        <v>0</v>
      </c>
      <c r="K1530">
        <v>0</v>
      </c>
      <c r="L1530" t="s">
        <v>112</v>
      </c>
      <c r="M1530" t="s">
        <v>118</v>
      </c>
      <c r="N1530">
        <v>39</v>
      </c>
      <c r="O1530">
        <v>2</v>
      </c>
      <c r="P1530" t="s">
        <v>111</v>
      </c>
      <c r="Q1530">
        <v>42.3</v>
      </c>
      <c r="R1530">
        <v>0</v>
      </c>
      <c r="S1530">
        <v>0</v>
      </c>
      <c r="T1530">
        <v>5</v>
      </c>
      <c r="U1530" s="1" t="s">
        <v>662</v>
      </c>
      <c r="V1530">
        <v>0</v>
      </c>
      <c r="W1530">
        <v>0</v>
      </c>
      <c r="X1530">
        <v>0</v>
      </c>
      <c r="Y1530">
        <v>25</v>
      </c>
      <c r="Z1530" t="s">
        <v>111</v>
      </c>
      <c r="AA1530">
        <v>0</v>
      </c>
      <c r="AB1530" t="s">
        <v>111</v>
      </c>
      <c r="AC1530">
        <v>0</v>
      </c>
      <c r="AD1530" t="s">
        <v>416</v>
      </c>
      <c r="AE1530">
        <v>0</v>
      </c>
      <c r="AF1530">
        <v>0</v>
      </c>
      <c r="AG1530" t="s">
        <v>111</v>
      </c>
      <c r="AH1530" t="s">
        <v>113</v>
      </c>
      <c r="AI1530" t="s">
        <v>111</v>
      </c>
      <c r="AJ1530" t="s">
        <v>111</v>
      </c>
      <c r="AK1530" t="s">
        <v>111</v>
      </c>
      <c r="AL1530" t="s">
        <v>111</v>
      </c>
      <c r="AM1530">
        <v>0</v>
      </c>
      <c r="AN1530">
        <v>0</v>
      </c>
      <c r="AO1530">
        <v>0</v>
      </c>
      <c r="AP1530" t="s">
        <v>111</v>
      </c>
      <c r="AQ1530" t="s">
        <v>111</v>
      </c>
      <c r="AR1530" t="s">
        <v>111</v>
      </c>
      <c r="AS1530" t="s">
        <v>111</v>
      </c>
      <c r="AT1530" t="s">
        <v>111</v>
      </c>
      <c r="AU1530" t="s">
        <v>111</v>
      </c>
      <c r="AV1530" t="s">
        <v>111</v>
      </c>
      <c r="AW1530" t="s">
        <v>111</v>
      </c>
      <c r="AX1530" t="s">
        <v>111</v>
      </c>
      <c r="AY1530" t="s">
        <v>111</v>
      </c>
      <c r="AZ1530" t="s">
        <v>111</v>
      </c>
      <c r="BA1530" t="s">
        <v>111</v>
      </c>
      <c r="BB1530" t="s">
        <v>111</v>
      </c>
      <c r="BC1530" t="s">
        <v>111</v>
      </c>
      <c r="BD1530" t="s">
        <v>111</v>
      </c>
      <c r="BE1530" t="s">
        <v>111</v>
      </c>
      <c r="BF1530" t="s">
        <v>111</v>
      </c>
      <c r="BG1530" t="s">
        <v>111</v>
      </c>
      <c r="BH1530" t="s">
        <v>111</v>
      </c>
      <c r="BI1530" t="s">
        <v>111</v>
      </c>
      <c r="BJ1530" t="s">
        <v>111</v>
      </c>
      <c r="BK1530" t="s">
        <v>111</v>
      </c>
      <c r="BL1530" t="s">
        <v>111</v>
      </c>
      <c r="BM1530" t="s">
        <v>111</v>
      </c>
      <c r="BN1530" t="s">
        <v>111</v>
      </c>
      <c r="BO1530" t="s">
        <v>111</v>
      </c>
      <c r="BP1530" t="s">
        <v>111</v>
      </c>
      <c r="BQ1530" t="s">
        <v>111</v>
      </c>
      <c r="BR1530" t="s">
        <v>111</v>
      </c>
      <c r="BS1530" t="s">
        <v>111</v>
      </c>
      <c r="BT1530" t="s">
        <v>111</v>
      </c>
      <c r="BU1530" t="s">
        <v>111</v>
      </c>
      <c r="BV1530" t="s">
        <v>111</v>
      </c>
      <c r="BW1530" t="s">
        <v>111</v>
      </c>
      <c r="BX1530" t="s">
        <v>111</v>
      </c>
      <c r="BY1530" t="s">
        <v>111</v>
      </c>
      <c r="BZ1530" t="s">
        <v>111</v>
      </c>
      <c r="CA1530" t="s">
        <v>111</v>
      </c>
      <c r="CB1530" t="s">
        <v>111</v>
      </c>
      <c r="CC1530" t="s">
        <v>111</v>
      </c>
      <c r="CD1530" t="s">
        <v>111</v>
      </c>
      <c r="CE1530" t="s">
        <v>111</v>
      </c>
      <c r="CF1530" t="s">
        <v>111</v>
      </c>
      <c r="CG1530" t="s">
        <v>111</v>
      </c>
      <c r="CH1530" t="s">
        <v>111</v>
      </c>
      <c r="CI1530" t="s">
        <v>111</v>
      </c>
      <c r="CJ1530" t="s">
        <v>111</v>
      </c>
      <c r="CK1530" t="s">
        <v>111</v>
      </c>
      <c r="CL1530" t="s">
        <v>111</v>
      </c>
      <c r="CM1530" t="s">
        <v>135</v>
      </c>
      <c r="CN1530" t="s">
        <v>113</v>
      </c>
      <c r="CO1530" t="s">
        <v>4282</v>
      </c>
      <c r="CP1530" t="s">
        <v>111</v>
      </c>
      <c r="CQ1530">
        <v>40</v>
      </c>
      <c r="CR1530">
        <v>2500</v>
      </c>
      <c r="CS1530">
        <v>100</v>
      </c>
      <c r="CT1530" s="1" t="s">
        <v>4283</v>
      </c>
      <c r="CU1530">
        <v>0</v>
      </c>
      <c r="CV1530" t="s">
        <v>111</v>
      </c>
      <c r="CW1530" t="s">
        <v>111</v>
      </c>
      <c r="CX1530" t="s">
        <v>111</v>
      </c>
      <c r="CY1530">
        <v>0</v>
      </c>
      <c r="CZ1530" t="s">
        <v>111</v>
      </c>
      <c r="DA1530" t="s">
        <v>111</v>
      </c>
      <c r="DB1530" t="s">
        <v>111</v>
      </c>
      <c r="DC1530" t="s">
        <v>111</v>
      </c>
    </row>
    <row r="1531" spans="1:107">
      <c r="A1531">
        <v>1620</v>
      </c>
      <c r="B1531" t="s">
        <v>107</v>
      </c>
      <c r="C1531" t="s">
        <v>412</v>
      </c>
      <c r="D1531" t="s">
        <v>4284</v>
      </c>
      <c r="E1531" t="s">
        <v>4285</v>
      </c>
      <c r="F1531" t="s">
        <v>431</v>
      </c>
      <c r="G1531" t="s">
        <v>24</v>
      </c>
      <c r="H1531">
        <v>1.4</v>
      </c>
      <c r="I1531">
        <v>36</v>
      </c>
      <c r="J1531">
        <v>0</v>
      </c>
      <c r="K1531">
        <v>0</v>
      </c>
      <c r="L1531" t="s">
        <v>117</v>
      </c>
      <c r="M1531" t="s">
        <v>118</v>
      </c>
      <c r="N1531">
        <v>39</v>
      </c>
      <c r="O1531">
        <v>1</v>
      </c>
      <c r="P1531" t="s">
        <v>138</v>
      </c>
      <c r="Q1531">
        <v>54</v>
      </c>
      <c r="R1531">
        <v>0</v>
      </c>
      <c r="S1531">
        <v>0</v>
      </c>
      <c r="T1531">
        <v>5</v>
      </c>
      <c r="U1531" s="1" t="s">
        <v>4286</v>
      </c>
      <c r="V1531">
        <v>0</v>
      </c>
      <c r="W1531">
        <v>25</v>
      </c>
      <c r="X1531">
        <v>8</v>
      </c>
      <c r="Y1531">
        <v>0</v>
      </c>
      <c r="Z1531" t="s">
        <v>111</v>
      </c>
      <c r="AA1531">
        <v>0</v>
      </c>
      <c r="AB1531" t="s">
        <v>111</v>
      </c>
      <c r="AC1531">
        <v>0</v>
      </c>
      <c r="AD1531" t="s">
        <v>416</v>
      </c>
      <c r="AE1531">
        <v>0</v>
      </c>
      <c r="AF1531">
        <v>0</v>
      </c>
      <c r="AG1531" t="s">
        <v>111</v>
      </c>
      <c r="AH1531" t="s">
        <v>113</v>
      </c>
      <c r="AI1531" t="s">
        <v>111</v>
      </c>
      <c r="AJ1531" t="s">
        <v>111</v>
      </c>
      <c r="AK1531" t="s">
        <v>111</v>
      </c>
      <c r="AL1531" t="s">
        <v>111</v>
      </c>
      <c r="AM1531">
        <v>0</v>
      </c>
      <c r="AN1531">
        <v>0</v>
      </c>
      <c r="AO1531">
        <v>0</v>
      </c>
      <c r="AP1531" t="s">
        <v>111</v>
      </c>
      <c r="AQ1531" t="s">
        <v>111</v>
      </c>
      <c r="AR1531" t="s">
        <v>111</v>
      </c>
      <c r="AS1531" t="s">
        <v>111</v>
      </c>
      <c r="AT1531" t="s">
        <v>111</v>
      </c>
      <c r="AU1531" t="s">
        <v>111</v>
      </c>
      <c r="AV1531" t="s">
        <v>111</v>
      </c>
      <c r="AW1531" t="s">
        <v>111</v>
      </c>
      <c r="AX1531" t="s">
        <v>111</v>
      </c>
      <c r="AY1531" t="s">
        <v>111</v>
      </c>
      <c r="AZ1531" t="s">
        <v>111</v>
      </c>
      <c r="BA1531" t="s">
        <v>111</v>
      </c>
      <c r="BB1531" t="s">
        <v>111</v>
      </c>
      <c r="BC1531" t="s">
        <v>111</v>
      </c>
      <c r="BD1531" t="s">
        <v>111</v>
      </c>
      <c r="BE1531" t="s">
        <v>111</v>
      </c>
      <c r="BF1531" t="s">
        <v>111</v>
      </c>
      <c r="BG1531" t="s">
        <v>111</v>
      </c>
      <c r="BH1531" t="s">
        <v>111</v>
      </c>
      <c r="BI1531" t="s">
        <v>111</v>
      </c>
      <c r="BJ1531" t="s">
        <v>111</v>
      </c>
      <c r="BK1531" t="s">
        <v>111</v>
      </c>
      <c r="BL1531" t="s">
        <v>111</v>
      </c>
      <c r="BM1531" t="s">
        <v>111</v>
      </c>
      <c r="BN1531" t="s">
        <v>111</v>
      </c>
      <c r="BO1531" t="s">
        <v>111</v>
      </c>
      <c r="BP1531" t="s">
        <v>111</v>
      </c>
      <c r="BQ1531" t="s">
        <v>111</v>
      </c>
      <c r="BR1531" t="s">
        <v>111</v>
      </c>
      <c r="BS1531" t="s">
        <v>111</v>
      </c>
      <c r="BT1531" t="s">
        <v>111</v>
      </c>
      <c r="BU1531" t="s">
        <v>111</v>
      </c>
      <c r="BV1531" t="s">
        <v>111</v>
      </c>
      <c r="BW1531" t="s">
        <v>111</v>
      </c>
      <c r="BX1531" t="s">
        <v>111</v>
      </c>
      <c r="BY1531" t="s">
        <v>111</v>
      </c>
      <c r="BZ1531" t="s">
        <v>111</v>
      </c>
      <c r="CA1531" t="s">
        <v>111</v>
      </c>
      <c r="CB1531" t="s">
        <v>111</v>
      </c>
      <c r="CC1531" t="s">
        <v>111</v>
      </c>
      <c r="CD1531" t="s">
        <v>111</v>
      </c>
      <c r="CE1531" t="s">
        <v>111</v>
      </c>
      <c r="CF1531" t="s">
        <v>111</v>
      </c>
      <c r="CG1531" t="s">
        <v>111</v>
      </c>
      <c r="CH1531" t="s">
        <v>111</v>
      </c>
      <c r="CI1531" t="s">
        <v>111</v>
      </c>
      <c r="CJ1531" t="s">
        <v>111</v>
      </c>
      <c r="CK1531" t="s">
        <v>111</v>
      </c>
      <c r="CL1531" t="s">
        <v>111</v>
      </c>
      <c r="CM1531" t="s">
        <v>135</v>
      </c>
      <c r="CN1531" t="s">
        <v>113</v>
      </c>
      <c r="CO1531" t="s">
        <v>111</v>
      </c>
      <c r="CP1531" t="s">
        <v>111</v>
      </c>
      <c r="CQ1531">
        <v>0</v>
      </c>
      <c r="CR1531">
        <v>8000</v>
      </c>
      <c r="CS1531">
        <v>250</v>
      </c>
      <c r="CT1531" t="e">
        <f>-ALMACEN</f>
        <v>#NAME?</v>
      </c>
      <c r="CU1531">
        <v>0</v>
      </c>
      <c r="CV1531" t="s">
        <v>111</v>
      </c>
      <c r="CW1531" t="s">
        <v>111</v>
      </c>
      <c r="CX1531" t="s">
        <v>111</v>
      </c>
      <c r="CY1531">
        <v>0</v>
      </c>
      <c r="CZ1531" t="s">
        <v>111</v>
      </c>
      <c r="DA1531" t="s">
        <v>111</v>
      </c>
      <c r="DB1531" t="s">
        <v>111</v>
      </c>
      <c r="DC1531" t="s">
        <v>111</v>
      </c>
    </row>
    <row r="1532" spans="1:107">
      <c r="A1532">
        <v>1621</v>
      </c>
      <c r="B1532" t="s">
        <v>107</v>
      </c>
      <c r="C1532" t="s">
        <v>3783</v>
      </c>
      <c r="D1532" t="s">
        <v>3960</v>
      </c>
      <c r="E1532" t="s">
        <v>4287</v>
      </c>
      <c r="F1532" t="s">
        <v>1260</v>
      </c>
      <c r="G1532" t="s">
        <v>24</v>
      </c>
      <c r="H1532">
        <v>2</v>
      </c>
      <c r="I1532">
        <v>40</v>
      </c>
      <c r="J1532">
        <v>0</v>
      </c>
      <c r="K1532">
        <v>0</v>
      </c>
      <c r="L1532" t="s">
        <v>117</v>
      </c>
      <c r="M1532" t="s">
        <v>118</v>
      </c>
      <c r="N1532">
        <v>40</v>
      </c>
      <c r="O1532">
        <v>1</v>
      </c>
      <c r="P1532" t="s">
        <v>111</v>
      </c>
      <c r="Q1532">
        <v>27.8</v>
      </c>
      <c r="R1532">
        <v>0</v>
      </c>
      <c r="S1532">
        <v>0</v>
      </c>
      <c r="T1532">
        <v>5</v>
      </c>
      <c r="U1532" s="1" t="s">
        <v>662</v>
      </c>
      <c r="V1532">
        <v>0</v>
      </c>
      <c r="W1532">
        <v>0</v>
      </c>
      <c r="X1532">
        <v>0</v>
      </c>
      <c r="Y1532">
        <v>25</v>
      </c>
      <c r="Z1532" t="s">
        <v>111</v>
      </c>
      <c r="AA1532">
        <v>0</v>
      </c>
      <c r="AB1532" t="s">
        <v>111</v>
      </c>
      <c r="AC1532">
        <v>0</v>
      </c>
      <c r="AD1532" t="s">
        <v>416</v>
      </c>
      <c r="AE1532">
        <v>0</v>
      </c>
      <c r="AF1532">
        <v>0</v>
      </c>
      <c r="AG1532" t="s">
        <v>111</v>
      </c>
      <c r="AH1532" t="s">
        <v>113</v>
      </c>
      <c r="AI1532" t="s">
        <v>111</v>
      </c>
      <c r="AJ1532" t="s">
        <v>111</v>
      </c>
      <c r="AK1532" t="s">
        <v>111</v>
      </c>
      <c r="AL1532" t="s">
        <v>111</v>
      </c>
      <c r="AM1532">
        <v>0</v>
      </c>
      <c r="AN1532">
        <v>0</v>
      </c>
      <c r="AO1532">
        <v>0</v>
      </c>
      <c r="AP1532" t="s">
        <v>111</v>
      </c>
      <c r="AQ1532" t="s">
        <v>111</v>
      </c>
      <c r="AR1532" t="s">
        <v>111</v>
      </c>
      <c r="AS1532" t="s">
        <v>111</v>
      </c>
      <c r="AT1532" t="s">
        <v>111</v>
      </c>
      <c r="AU1532" t="s">
        <v>111</v>
      </c>
      <c r="AV1532" t="s">
        <v>111</v>
      </c>
      <c r="AW1532" t="s">
        <v>111</v>
      </c>
      <c r="AX1532" t="s">
        <v>111</v>
      </c>
      <c r="AY1532" t="s">
        <v>111</v>
      </c>
      <c r="AZ1532" t="s">
        <v>111</v>
      </c>
      <c r="BA1532" t="s">
        <v>111</v>
      </c>
      <c r="BB1532" t="s">
        <v>111</v>
      </c>
      <c r="BC1532" t="s">
        <v>111</v>
      </c>
      <c r="BD1532" t="s">
        <v>111</v>
      </c>
      <c r="BE1532" t="s">
        <v>111</v>
      </c>
      <c r="BF1532" t="s">
        <v>111</v>
      </c>
      <c r="BG1532" t="s">
        <v>111</v>
      </c>
      <c r="BH1532" t="s">
        <v>111</v>
      </c>
      <c r="BI1532" t="s">
        <v>111</v>
      </c>
      <c r="BJ1532" t="s">
        <v>111</v>
      </c>
      <c r="BK1532" t="s">
        <v>111</v>
      </c>
      <c r="BL1532" t="s">
        <v>111</v>
      </c>
      <c r="BM1532" t="s">
        <v>111</v>
      </c>
      <c r="BN1532" t="s">
        <v>111</v>
      </c>
      <c r="BO1532" t="s">
        <v>111</v>
      </c>
      <c r="BP1532" t="s">
        <v>111</v>
      </c>
      <c r="BQ1532" t="s">
        <v>111</v>
      </c>
      <c r="BR1532" t="s">
        <v>111</v>
      </c>
      <c r="BS1532" t="s">
        <v>111</v>
      </c>
      <c r="BT1532" t="s">
        <v>111</v>
      </c>
      <c r="BU1532" t="s">
        <v>111</v>
      </c>
      <c r="BV1532" t="s">
        <v>111</v>
      </c>
      <c r="BW1532" t="s">
        <v>111</v>
      </c>
      <c r="BX1532" t="s">
        <v>111</v>
      </c>
      <c r="BY1532" t="s">
        <v>111</v>
      </c>
      <c r="BZ1532" t="s">
        <v>111</v>
      </c>
      <c r="CA1532" t="s">
        <v>111</v>
      </c>
      <c r="CB1532" t="s">
        <v>111</v>
      </c>
      <c r="CC1532" t="s">
        <v>111</v>
      </c>
      <c r="CD1532" t="s">
        <v>111</v>
      </c>
      <c r="CE1532" t="s">
        <v>111</v>
      </c>
      <c r="CF1532" t="s">
        <v>111</v>
      </c>
      <c r="CG1532" t="s">
        <v>111</v>
      </c>
      <c r="CH1532" t="s">
        <v>111</v>
      </c>
      <c r="CI1532" t="s">
        <v>111</v>
      </c>
      <c r="CJ1532" t="s">
        <v>111</v>
      </c>
      <c r="CK1532" t="s">
        <v>111</v>
      </c>
      <c r="CL1532" t="s">
        <v>111</v>
      </c>
      <c r="CM1532">
        <v>450</v>
      </c>
      <c r="CN1532" t="s">
        <v>113</v>
      </c>
      <c r="CO1532" t="s">
        <v>111</v>
      </c>
      <c r="CP1532" t="s">
        <v>111</v>
      </c>
      <c r="CQ1532">
        <v>0</v>
      </c>
      <c r="CR1532">
        <v>26000</v>
      </c>
      <c r="CS1532">
        <v>26000</v>
      </c>
      <c r="CT1532" s="1" t="s">
        <v>4288</v>
      </c>
      <c r="CU1532">
        <v>0</v>
      </c>
      <c r="CV1532" t="s">
        <v>111</v>
      </c>
      <c r="CW1532" t="s">
        <v>111</v>
      </c>
      <c r="CX1532" t="s">
        <v>111</v>
      </c>
      <c r="CY1532">
        <v>0</v>
      </c>
      <c r="CZ1532" t="s">
        <v>111</v>
      </c>
      <c r="DA1532" t="s">
        <v>111</v>
      </c>
      <c r="DB1532" t="s">
        <v>111</v>
      </c>
      <c r="DC1532" t="s">
        <v>111</v>
      </c>
    </row>
    <row r="1533" spans="1:107">
      <c r="A1533">
        <v>1596</v>
      </c>
      <c r="B1533" t="s">
        <v>107</v>
      </c>
      <c r="C1533" t="s">
        <v>119</v>
      </c>
      <c r="D1533" t="s">
        <v>3806</v>
      </c>
      <c r="E1533" t="s">
        <v>3807</v>
      </c>
      <c r="F1533" t="s">
        <v>110</v>
      </c>
      <c r="G1533" t="s">
        <v>24</v>
      </c>
      <c r="H1533">
        <v>1.3</v>
      </c>
      <c r="I1533">
        <v>40</v>
      </c>
      <c r="J1533">
        <v>0</v>
      </c>
      <c r="K1533">
        <v>0</v>
      </c>
      <c r="L1533" t="s">
        <v>112</v>
      </c>
      <c r="M1533" t="s">
        <v>111</v>
      </c>
      <c r="N1533">
        <v>0</v>
      </c>
      <c r="O1533">
        <v>0</v>
      </c>
      <c r="P1533" t="s">
        <v>111</v>
      </c>
      <c r="Q1533">
        <v>41.6</v>
      </c>
      <c r="R1533">
        <v>0</v>
      </c>
      <c r="S1533">
        <v>0</v>
      </c>
      <c r="T1533">
        <v>0</v>
      </c>
      <c r="U1533" s="1" t="s">
        <v>4289</v>
      </c>
      <c r="V1533">
        <v>0</v>
      </c>
      <c r="W1533">
        <v>0</v>
      </c>
      <c r="X1533">
        <v>0</v>
      </c>
      <c r="Y1533">
        <v>25</v>
      </c>
      <c r="Z1533" t="s">
        <v>111</v>
      </c>
      <c r="AA1533">
        <v>0</v>
      </c>
      <c r="AB1533" t="s">
        <v>111</v>
      </c>
      <c r="AC1533">
        <v>0</v>
      </c>
      <c r="AD1533" t="s">
        <v>111</v>
      </c>
      <c r="AE1533">
        <v>0</v>
      </c>
      <c r="AF1533">
        <v>0</v>
      </c>
      <c r="AG1533" t="s">
        <v>111</v>
      </c>
      <c r="AH1533" t="s">
        <v>111</v>
      </c>
      <c r="AI1533" t="s">
        <v>111</v>
      </c>
      <c r="AJ1533" t="s">
        <v>111</v>
      </c>
      <c r="AK1533" t="s">
        <v>111</v>
      </c>
      <c r="AL1533" t="s">
        <v>111</v>
      </c>
      <c r="AM1533">
        <v>0</v>
      </c>
      <c r="AN1533">
        <v>0</v>
      </c>
      <c r="AO1533">
        <v>0</v>
      </c>
      <c r="AP1533" t="s">
        <v>111</v>
      </c>
      <c r="AQ1533" t="s">
        <v>111</v>
      </c>
      <c r="AR1533" t="s">
        <v>111</v>
      </c>
      <c r="AS1533" t="s">
        <v>111</v>
      </c>
      <c r="AT1533" t="s">
        <v>111</v>
      </c>
      <c r="AU1533" t="s">
        <v>111</v>
      </c>
      <c r="AV1533" t="s">
        <v>111</v>
      </c>
      <c r="AW1533" t="s">
        <v>111</v>
      </c>
      <c r="AX1533" t="s">
        <v>111</v>
      </c>
      <c r="AY1533" t="s">
        <v>111</v>
      </c>
      <c r="AZ1533" t="s">
        <v>111</v>
      </c>
      <c r="BA1533" t="s">
        <v>111</v>
      </c>
      <c r="BB1533" t="s">
        <v>111</v>
      </c>
      <c r="BC1533" t="s">
        <v>111</v>
      </c>
      <c r="BD1533" t="s">
        <v>111</v>
      </c>
      <c r="BE1533" t="s">
        <v>111</v>
      </c>
      <c r="BF1533" t="s">
        <v>111</v>
      </c>
      <c r="BG1533" t="s">
        <v>111</v>
      </c>
      <c r="BH1533" t="s">
        <v>111</v>
      </c>
      <c r="BI1533" t="s">
        <v>111</v>
      </c>
      <c r="BJ1533" t="s">
        <v>111</v>
      </c>
      <c r="BK1533" t="s">
        <v>111</v>
      </c>
      <c r="BL1533" t="s">
        <v>111</v>
      </c>
      <c r="BM1533" t="s">
        <v>111</v>
      </c>
      <c r="BN1533" t="s">
        <v>111</v>
      </c>
      <c r="BO1533" t="s">
        <v>111</v>
      </c>
      <c r="BP1533" t="s">
        <v>111</v>
      </c>
      <c r="BQ1533" t="s">
        <v>111</v>
      </c>
      <c r="BR1533" t="s">
        <v>111</v>
      </c>
      <c r="BS1533" t="s">
        <v>111</v>
      </c>
      <c r="BT1533" t="s">
        <v>111</v>
      </c>
      <c r="BU1533" t="s">
        <v>111</v>
      </c>
      <c r="BV1533" t="s">
        <v>111</v>
      </c>
      <c r="BW1533" t="s">
        <v>111</v>
      </c>
      <c r="BX1533" t="s">
        <v>111</v>
      </c>
      <c r="BY1533" t="s">
        <v>111</v>
      </c>
      <c r="BZ1533" t="s">
        <v>111</v>
      </c>
      <c r="CA1533" t="s">
        <v>111</v>
      </c>
      <c r="CB1533" t="s">
        <v>111</v>
      </c>
      <c r="CC1533" t="s">
        <v>111</v>
      </c>
      <c r="CD1533" t="s">
        <v>111</v>
      </c>
      <c r="CE1533" t="s">
        <v>111</v>
      </c>
      <c r="CF1533" t="s">
        <v>111</v>
      </c>
      <c r="CG1533" t="s">
        <v>111</v>
      </c>
      <c r="CH1533" t="s">
        <v>111</v>
      </c>
      <c r="CI1533" t="s">
        <v>111</v>
      </c>
      <c r="CJ1533" t="s">
        <v>111</v>
      </c>
      <c r="CK1533" t="s">
        <v>111</v>
      </c>
      <c r="CL1533" t="s">
        <v>111</v>
      </c>
      <c r="CM1533" t="s">
        <v>111</v>
      </c>
      <c r="CN1533" t="s">
        <v>111</v>
      </c>
      <c r="CO1533" t="s">
        <v>111</v>
      </c>
      <c r="CP1533" t="s">
        <v>111</v>
      </c>
      <c r="CQ1533">
        <v>0</v>
      </c>
      <c r="CR1533">
        <v>0</v>
      </c>
      <c r="CS1533">
        <v>0</v>
      </c>
      <c r="CT1533" t="s">
        <v>111</v>
      </c>
      <c r="CU1533">
        <v>0</v>
      </c>
      <c r="CV1533" t="s">
        <v>111</v>
      </c>
      <c r="CW1533" t="s">
        <v>111</v>
      </c>
      <c r="CX1533" t="s">
        <v>111</v>
      </c>
      <c r="CY1533">
        <v>0</v>
      </c>
      <c r="CZ1533" t="s">
        <v>111</v>
      </c>
      <c r="DA1533" t="s">
        <v>111</v>
      </c>
      <c r="DB1533" t="s">
        <v>111</v>
      </c>
      <c r="DC1533" t="s">
        <v>111</v>
      </c>
    </row>
    <row r="1534" spans="1:107">
      <c r="A1534">
        <v>1628</v>
      </c>
      <c r="B1534" t="s">
        <v>107</v>
      </c>
      <c r="C1534" t="s">
        <v>119</v>
      </c>
      <c r="D1534" t="s">
        <v>4290</v>
      </c>
      <c r="E1534" t="s">
        <v>4291</v>
      </c>
      <c r="F1534" t="s">
        <v>2211</v>
      </c>
      <c r="G1534" t="s">
        <v>24</v>
      </c>
      <c r="H1534">
        <v>2.7</v>
      </c>
      <c r="I1534">
        <v>55</v>
      </c>
      <c r="J1534">
        <v>0</v>
      </c>
      <c r="K1534">
        <v>0</v>
      </c>
      <c r="L1534" t="s">
        <v>117</v>
      </c>
      <c r="M1534" t="s">
        <v>118</v>
      </c>
      <c r="N1534">
        <v>39</v>
      </c>
      <c r="O1534">
        <v>1</v>
      </c>
      <c r="P1534" t="s">
        <v>111</v>
      </c>
      <c r="Q1534">
        <v>43.7</v>
      </c>
      <c r="R1534">
        <v>0</v>
      </c>
      <c r="S1534">
        <v>0</v>
      </c>
      <c r="T1534">
        <v>0</v>
      </c>
      <c r="U1534" s="1" t="s">
        <v>4292</v>
      </c>
      <c r="V1534">
        <v>0</v>
      </c>
      <c r="W1534">
        <v>0</v>
      </c>
      <c r="X1534">
        <v>0</v>
      </c>
      <c r="Y1534">
        <v>250</v>
      </c>
      <c r="Z1534" t="s">
        <v>111</v>
      </c>
      <c r="AA1534">
        <v>0</v>
      </c>
      <c r="AB1534" t="s">
        <v>111</v>
      </c>
      <c r="AC1534">
        <v>0</v>
      </c>
      <c r="AD1534" t="s">
        <v>111</v>
      </c>
      <c r="AE1534">
        <v>0</v>
      </c>
      <c r="AF1534">
        <v>0</v>
      </c>
      <c r="AG1534" t="s">
        <v>111</v>
      </c>
      <c r="AH1534" t="s">
        <v>111</v>
      </c>
      <c r="AI1534" t="s">
        <v>111</v>
      </c>
      <c r="AJ1534" t="s">
        <v>111</v>
      </c>
      <c r="AK1534" t="s">
        <v>111</v>
      </c>
      <c r="AL1534" t="s">
        <v>111</v>
      </c>
      <c r="AM1534">
        <v>0</v>
      </c>
      <c r="AN1534">
        <v>0</v>
      </c>
      <c r="AO1534">
        <v>0</v>
      </c>
      <c r="AP1534" t="s">
        <v>111</v>
      </c>
      <c r="AQ1534" t="s">
        <v>111</v>
      </c>
      <c r="AR1534" t="s">
        <v>111</v>
      </c>
      <c r="AS1534" t="s">
        <v>111</v>
      </c>
      <c r="AT1534" t="s">
        <v>111</v>
      </c>
      <c r="AU1534" t="s">
        <v>111</v>
      </c>
      <c r="AV1534" t="s">
        <v>111</v>
      </c>
      <c r="AW1534" t="s">
        <v>111</v>
      </c>
      <c r="AX1534" t="s">
        <v>111</v>
      </c>
      <c r="AY1534" t="s">
        <v>111</v>
      </c>
      <c r="AZ1534" t="s">
        <v>111</v>
      </c>
      <c r="BA1534" t="s">
        <v>111</v>
      </c>
      <c r="BB1534" t="s">
        <v>111</v>
      </c>
      <c r="BC1534" t="s">
        <v>111</v>
      </c>
      <c r="BD1534" t="s">
        <v>111</v>
      </c>
      <c r="BE1534" t="s">
        <v>111</v>
      </c>
      <c r="BF1534" t="s">
        <v>111</v>
      </c>
      <c r="BG1534" t="s">
        <v>111</v>
      </c>
      <c r="BH1534" t="s">
        <v>111</v>
      </c>
      <c r="BI1534" t="s">
        <v>111</v>
      </c>
      <c r="BJ1534" t="s">
        <v>111</v>
      </c>
      <c r="BK1534" t="s">
        <v>111</v>
      </c>
      <c r="BL1534" t="s">
        <v>111</v>
      </c>
      <c r="BM1534" t="s">
        <v>111</v>
      </c>
      <c r="BN1534" t="s">
        <v>111</v>
      </c>
      <c r="BO1534" t="s">
        <v>111</v>
      </c>
      <c r="BP1534" t="s">
        <v>111</v>
      </c>
      <c r="BQ1534" t="s">
        <v>111</v>
      </c>
      <c r="BR1534" t="s">
        <v>111</v>
      </c>
      <c r="BS1534" t="s">
        <v>111</v>
      </c>
      <c r="BT1534" t="s">
        <v>111</v>
      </c>
      <c r="BU1534" t="s">
        <v>111</v>
      </c>
      <c r="BV1534" t="s">
        <v>111</v>
      </c>
      <c r="BW1534" t="s">
        <v>111</v>
      </c>
      <c r="BX1534" t="s">
        <v>111</v>
      </c>
      <c r="BY1534" t="s">
        <v>111</v>
      </c>
      <c r="BZ1534" t="s">
        <v>111</v>
      </c>
      <c r="CA1534" t="s">
        <v>111</v>
      </c>
      <c r="CB1534" t="s">
        <v>111</v>
      </c>
      <c r="CC1534" t="s">
        <v>111</v>
      </c>
      <c r="CD1534" t="s">
        <v>111</v>
      </c>
      <c r="CE1534" t="s">
        <v>111</v>
      </c>
      <c r="CF1534" t="s">
        <v>111</v>
      </c>
      <c r="CG1534" t="s">
        <v>111</v>
      </c>
      <c r="CH1534" t="s">
        <v>111</v>
      </c>
      <c r="CI1534" t="s">
        <v>111</v>
      </c>
      <c r="CJ1534" t="s">
        <v>111</v>
      </c>
      <c r="CK1534" t="s">
        <v>111</v>
      </c>
      <c r="CL1534" t="s">
        <v>111</v>
      </c>
      <c r="CM1534" t="s">
        <v>111</v>
      </c>
      <c r="CN1534" t="s">
        <v>111</v>
      </c>
      <c r="CO1534" t="s">
        <v>111</v>
      </c>
      <c r="CP1534" t="s">
        <v>111</v>
      </c>
      <c r="CQ1534">
        <v>0</v>
      </c>
      <c r="CR1534">
        <v>0</v>
      </c>
      <c r="CS1534">
        <v>0</v>
      </c>
      <c r="CT1534" t="s">
        <v>111</v>
      </c>
      <c r="CU1534">
        <v>0</v>
      </c>
      <c r="CV1534" t="s">
        <v>111</v>
      </c>
      <c r="CW1534" t="s">
        <v>111</v>
      </c>
      <c r="CX1534" t="s">
        <v>111</v>
      </c>
      <c r="CY1534">
        <v>0</v>
      </c>
      <c r="CZ1534" t="s">
        <v>111</v>
      </c>
      <c r="DA1534" t="s">
        <v>111</v>
      </c>
      <c r="DB1534" t="s">
        <v>111</v>
      </c>
      <c r="DC1534" t="s">
        <v>111</v>
      </c>
    </row>
    <row r="1535" spans="1:107">
      <c r="A1535">
        <v>1603</v>
      </c>
      <c r="B1535" t="s">
        <v>107</v>
      </c>
      <c r="C1535" t="s">
        <v>4293</v>
      </c>
      <c r="D1535" t="s">
        <v>4294</v>
      </c>
      <c r="E1535" t="s">
        <v>4295</v>
      </c>
      <c r="F1535" t="s">
        <v>1651</v>
      </c>
      <c r="G1535" t="s">
        <v>24</v>
      </c>
      <c r="H1535">
        <v>1.2</v>
      </c>
      <c r="I1535">
        <v>48</v>
      </c>
      <c r="J1535">
        <v>0</v>
      </c>
      <c r="K1535">
        <v>0</v>
      </c>
      <c r="L1535" t="s">
        <v>112</v>
      </c>
      <c r="M1535" t="s">
        <v>118</v>
      </c>
      <c r="N1535">
        <v>39</v>
      </c>
      <c r="O1535">
        <v>2</v>
      </c>
      <c r="P1535" t="s">
        <v>111</v>
      </c>
      <c r="Q1535">
        <v>44.3</v>
      </c>
      <c r="R1535">
        <v>0</v>
      </c>
      <c r="S1535">
        <v>0</v>
      </c>
      <c r="T1535">
        <v>5</v>
      </c>
      <c r="U1535" s="1" t="s">
        <v>4296</v>
      </c>
      <c r="V1535">
        <v>0</v>
      </c>
      <c r="W1535">
        <v>0</v>
      </c>
      <c r="X1535">
        <v>0</v>
      </c>
      <c r="Y1535">
        <v>25</v>
      </c>
      <c r="Z1535" t="s">
        <v>111</v>
      </c>
      <c r="AA1535">
        <v>0</v>
      </c>
      <c r="AB1535" t="s">
        <v>111</v>
      </c>
      <c r="AC1535">
        <v>0</v>
      </c>
      <c r="AD1535" t="s">
        <v>416</v>
      </c>
      <c r="AE1535">
        <v>0</v>
      </c>
      <c r="AF1535">
        <v>0</v>
      </c>
      <c r="AG1535" t="s">
        <v>111</v>
      </c>
      <c r="AH1535" t="s">
        <v>113</v>
      </c>
      <c r="AI1535" t="s">
        <v>111</v>
      </c>
      <c r="AJ1535" t="s">
        <v>111</v>
      </c>
      <c r="AK1535" t="s">
        <v>111</v>
      </c>
      <c r="AL1535" t="s">
        <v>111</v>
      </c>
      <c r="AM1535">
        <v>0</v>
      </c>
      <c r="AN1535">
        <v>0</v>
      </c>
      <c r="AO1535">
        <v>0</v>
      </c>
      <c r="AP1535" t="s">
        <v>111</v>
      </c>
      <c r="AQ1535" t="s">
        <v>111</v>
      </c>
      <c r="AR1535" t="s">
        <v>111</v>
      </c>
      <c r="AS1535" t="s">
        <v>111</v>
      </c>
      <c r="AT1535" t="s">
        <v>111</v>
      </c>
      <c r="AU1535" t="s">
        <v>111</v>
      </c>
      <c r="AV1535" t="s">
        <v>111</v>
      </c>
      <c r="AW1535" t="s">
        <v>111</v>
      </c>
      <c r="AX1535" t="s">
        <v>111</v>
      </c>
      <c r="AY1535" t="s">
        <v>111</v>
      </c>
      <c r="AZ1535" t="s">
        <v>111</v>
      </c>
      <c r="BA1535" t="s">
        <v>111</v>
      </c>
      <c r="BB1535" t="s">
        <v>111</v>
      </c>
      <c r="BC1535" t="s">
        <v>111</v>
      </c>
      <c r="BD1535" t="s">
        <v>111</v>
      </c>
      <c r="BE1535" t="s">
        <v>111</v>
      </c>
      <c r="BF1535" t="s">
        <v>111</v>
      </c>
      <c r="BG1535" t="s">
        <v>111</v>
      </c>
      <c r="BH1535" t="s">
        <v>111</v>
      </c>
      <c r="BI1535" t="s">
        <v>111</v>
      </c>
      <c r="BJ1535" t="s">
        <v>111</v>
      </c>
      <c r="BK1535" t="s">
        <v>111</v>
      </c>
      <c r="BL1535" t="s">
        <v>111</v>
      </c>
      <c r="BM1535" t="s">
        <v>111</v>
      </c>
      <c r="BN1535" t="s">
        <v>111</v>
      </c>
      <c r="BO1535" t="s">
        <v>111</v>
      </c>
      <c r="BP1535" t="s">
        <v>111</v>
      </c>
      <c r="BQ1535" t="s">
        <v>111</v>
      </c>
      <c r="BR1535" t="s">
        <v>111</v>
      </c>
      <c r="BS1535" t="s">
        <v>111</v>
      </c>
      <c r="BT1535" t="s">
        <v>111</v>
      </c>
      <c r="BU1535" t="s">
        <v>111</v>
      </c>
      <c r="BV1535" t="s">
        <v>111</v>
      </c>
      <c r="BW1535" t="s">
        <v>111</v>
      </c>
      <c r="BX1535" t="s">
        <v>111</v>
      </c>
      <c r="BY1535" t="s">
        <v>111</v>
      </c>
      <c r="BZ1535" t="s">
        <v>111</v>
      </c>
      <c r="CA1535" t="s">
        <v>111</v>
      </c>
      <c r="CB1535" t="s">
        <v>111</v>
      </c>
      <c r="CC1535" t="s">
        <v>111</v>
      </c>
      <c r="CD1535" t="s">
        <v>111</v>
      </c>
      <c r="CE1535" t="s">
        <v>111</v>
      </c>
      <c r="CF1535" t="s">
        <v>111</v>
      </c>
      <c r="CG1535" t="s">
        <v>111</v>
      </c>
      <c r="CH1535" t="s">
        <v>111</v>
      </c>
      <c r="CI1535" t="s">
        <v>111</v>
      </c>
      <c r="CJ1535" t="s">
        <v>111</v>
      </c>
      <c r="CK1535" t="s">
        <v>111</v>
      </c>
      <c r="CL1535" t="s">
        <v>111</v>
      </c>
      <c r="CM1535" t="s">
        <v>438</v>
      </c>
      <c r="CN1535" t="s">
        <v>113</v>
      </c>
      <c r="CO1535" t="s">
        <v>111</v>
      </c>
      <c r="CP1535" t="s">
        <v>111</v>
      </c>
      <c r="CQ1535">
        <v>0</v>
      </c>
      <c r="CR1535">
        <v>3000</v>
      </c>
      <c r="CS1535">
        <v>100</v>
      </c>
      <c r="CT1535" t="e">
        <f>-ALMACEN</f>
        <v>#NAME?</v>
      </c>
      <c r="CU1535">
        <v>0</v>
      </c>
      <c r="CV1535" t="s">
        <v>111</v>
      </c>
      <c r="CW1535" t="s">
        <v>111</v>
      </c>
      <c r="CX1535" t="s">
        <v>111</v>
      </c>
      <c r="CY1535">
        <v>0</v>
      </c>
      <c r="CZ1535" t="s">
        <v>111</v>
      </c>
      <c r="DA1535" t="s">
        <v>111</v>
      </c>
      <c r="DB1535" t="s">
        <v>111</v>
      </c>
      <c r="DC1535" t="s">
        <v>111</v>
      </c>
    </row>
    <row r="1536" spans="1:107">
      <c r="A1536">
        <v>1586</v>
      </c>
      <c r="B1536" t="s">
        <v>107</v>
      </c>
      <c r="C1536" t="s">
        <v>154</v>
      </c>
      <c r="D1536" t="s">
        <v>4297</v>
      </c>
      <c r="E1536" t="s">
        <v>4298</v>
      </c>
      <c r="F1536" t="s">
        <v>1071</v>
      </c>
      <c r="G1536" t="s">
        <v>24</v>
      </c>
      <c r="H1536">
        <v>1.9</v>
      </c>
      <c r="I1536">
        <v>25</v>
      </c>
      <c r="J1536">
        <v>0</v>
      </c>
      <c r="K1536">
        <v>0</v>
      </c>
      <c r="L1536" t="s">
        <v>112</v>
      </c>
      <c r="M1536" t="s">
        <v>111</v>
      </c>
      <c r="N1536">
        <v>0</v>
      </c>
      <c r="O1536">
        <v>0</v>
      </c>
      <c r="P1536" t="s">
        <v>111</v>
      </c>
      <c r="Q1536">
        <v>22.3</v>
      </c>
      <c r="R1536">
        <v>0</v>
      </c>
      <c r="S1536">
        <v>0</v>
      </c>
      <c r="T1536">
        <v>5</v>
      </c>
      <c r="U1536" t="e">
        <f>-SELLADO</f>
        <v>#NAME?</v>
      </c>
      <c r="V1536">
        <v>0</v>
      </c>
      <c r="W1536">
        <v>0</v>
      </c>
      <c r="X1536">
        <v>0</v>
      </c>
      <c r="Y1536">
        <v>25</v>
      </c>
      <c r="Z1536" t="s">
        <v>111</v>
      </c>
      <c r="AA1536">
        <v>0</v>
      </c>
      <c r="AB1536" t="s">
        <v>111</v>
      </c>
      <c r="AC1536">
        <v>0</v>
      </c>
      <c r="AD1536" t="s">
        <v>111</v>
      </c>
      <c r="AE1536">
        <v>0</v>
      </c>
      <c r="AF1536">
        <v>0</v>
      </c>
      <c r="AG1536" t="s">
        <v>111</v>
      </c>
      <c r="AH1536" t="s">
        <v>111</v>
      </c>
      <c r="AI1536" t="s">
        <v>111</v>
      </c>
      <c r="AJ1536" t="s">
        <v>111</v>
      </c>
      <c r="AK1536" t="s">
        <v>111</v>
      </c>
      <c r="AL1536" t="s">
        <v>111</v>
      </c>
      <c r="AM1536">
        <v>0</v>
      </c>
      <c r="AN1536">
        <v>0</v>
      </c>
      <c r="AO1536">
        <v>0</v>
      </c>
      <c r="AP1536" t="s">
        <v>111</v>
      </c>
      <c r="AQ1536" t="s">
        <v>111</v>
      </c>
      <c r="AR1536" t="s">
        <v>111</v>
      </c>
      <c r="AS1536" t="s">
        <v>111</v>
      </c>
      <c r="AT1536" t="s">
        <v>111</v>
      </c>
      <c r="AU1536" t="s">
        <v>111</v>
      </c>
      <c r="AV1536" t="s">
        <v>111</v>
      </c>
      <c r="AW1536" t="s">
        <v>111</v>
      </c>
      <c r="AX1536" t="s">
        <v>111</v>
      </c>
      <c r="AY1536" t="s">
        <v>111</v>
      </c>
      <c r="AZ1536" t="s">
        <v>111</v>
      </c>
      <c r="BA1536" t="s">
        <v>111</v>
      </c>
      <c r="BB1536" t="s">
        <v>111</v>
      </c>
      <c r="BC1536" t="s">
        <v>111</v>
      </c>
      <c r="BD1536" t="s">
        <v>111</v>
      </c>
      <c r="BE1536" t="s">
        <v>111</v>
      </c>
      <c r="BF1536" t="s">
        <v>111</v>
      </c>
      <c r="BG1536" t="s">
        <v>111</v>
      </c>
      <c r="BH1536" t="s">
        <v>111</v>
      </c>
      <c r="BI1536" t="s">
        <v>111</v>
      </c>
      <c r="BJ1536" t="s">
        <v>111</v>
      </c>
      <c r="BK1536" t="s">
        <v>111</v>
      </c>
      <c r="BL1536" t="s">
        <v>111</v>
      </c>
      <c r="BM1536" t="s">
        <v>111</v>
      </c>
      <c r="BN1536" t="s">
        <v>111</v>
      </c>
      <c r="BO1536" t="s">
        <v>111</v>
      </c>
      <c r="BP1536" t="s">
        <v>111</v>
      </c>
      <c r="BQ1536" t="s">
        <v>111</v>
      </c>
      <c r="BR1536" t="s">
        <v>111</v>
      </c>
      <c r="BS1536" t="s">
        <v>111</v>
      </c>
      <c r="BT1536" t="s">
        <v>111</v>
      </c>
      <c r="BU1536" t="s">
        <v>111</v>
      </c>
      <c r="BV1536" t="s">
        <v>111</v>
      </c>
      <c r="BW1536" t="s">
        <v>111</v>
      </c>
      <c r="BX1536" t="s">
        <v>111</v>
      </c>
      <c r="BY1536" t="s">
        <v>111</v>
      </c>
      <c r="BZ1536" t="s">
        <v>111</v>
      </c>
      <c r="CA1536" t="s">
        <v>111</v>
      </c>
      <c r="CB1536" t="s">
        <v>111</v>
      </c>
      <c r="CC1536" t="s">
        <v>111</v>
      </c>
      <c r="CD1536" t="s">
        <v>111</v>
      </c>
      <c r="CE1536" t="s">
        <v>111</v>
      </c>
      <c r="CF1536" t="s">
        <v>111</v>
      </c>
      <c r="CG1536" t="s">
        <v>111</v>
      </c>
      <c r="CH1536" t="s">
        <v>111</v>
      </c>
      <c r="CI1536" t="s">
        <v>111</v>
      </c>
      <c r="CJ1536" t="s">
        <v>111</v>
      </c>
      <c r="CK1536" t="s">
        <v>111</v>
      </c>
      <c r="CL1536" t="s">
        <v>111</v>
      </c>
      <c r="CM1536">
        <v>450</v>
      </c>
      <c r="CN1536" t="s">
        <v>113</v>
      </c>
      <c r="CO1536" t="s">
        <v>111</v>
      </c>
      <c r="CP1536" t="s">
        <v>111</v>
      </c>
      <c r="CQ1536">
        <v>0</v>
      </c>
      <c r="CR1536">
        <v>1500</v>
      </c>
      <c r="CS1536">
        <v>500</v>
      </c>
      <c r="CT1536" t="e">
        <f>-ALMACEN</f>
        <v>#NAME?</v>
      </c>
      <c r="CU1536">
        <v>0</v>
      </c>
      <c r="CV1536" t="s">
        <v>111</v>
      </c>
      <c r="CW1536" t="s">
        <v>111</v>
      </c>
      <c r="CX1536" t="s">
        <v>111</v>
      </c>
      <c r="CY1536">
        <v>0</v>
      </c>
      <c r="CZ1536" t="s">
        <v>111</v>
      </c>
      <c r="DA1536" t="s">
        <v>111</v>
      </c>
      <c r="DB1536" t="s">
        <v>111</v>
      </c>
      <c r="DC1536" t="s">
        <v>111</v>
      </c>
    </row>
    <row r="1537" spans="1:107">
      <c r="A1537">
        <v>1592</v>
      </c>
      <c r="B1537" t="s">
        <v>107</v>
      </c>
      <c r="C1537" t="s">
        <v>3783</v>
      </c>
      <c r="D1537" t="s">
        <v>3960</v>
      </c>
      <c r="E1537" t="s">
        <v>4299</v>
      </c>
      <c r="F1537" t="s">
        <v>1260</v>
      </c>
      <c r="G1537" t="s">
        <v>24</v>
      </c>
      <c r="H1537">
        <v>1.9</v>
      </c>
      <c r="I1537">
        <v>40</v>
      </c>
      <c r="J1537">
        <v>0</v>
      </c>
      <c r="K1537">
        <v>0</v>
      </c>
      <c r="L1537" t="s">
        <v>117</v>
      </c>
      <c r="M1537" t="s">
        <v>118</v>
      </c>
      <c r="N1537">
        <v>40</v>
      </c>
      <c r="O1537">
        <v>1</v>
      </c>
      <c r="P1537" t="s">
        <v>111</v>
      </c>
      <c r="Q1537">
        <v>30</v>
      </c>
      <c r="R1537">
        <v>0</v>
      </c>
      <c r="S1537">
        <v>0</v>
      </c>
      <c r="T1537">
        <v>5</v>
      </c>
      <c r="U1537" s="1" t="s">
        <v>4300</v>
      </c>
      <c r="V1537">
        <v>0</v>
      </c>
      <c r="W1537">
        <v>0</v>
      </c>
      <c r="X1537">
        <v>0</v>
      </c>
      <c r="Y1537">
        <v>25</v>
      </c>
      <c r="Z1537" t="s">
        <v>111</v>
      </c>
      <c r="AA1537">
        <v>0</v>
      </c>
      <c r="AB1537" t="s">
        <v>111</v>
      </c>
      <c r="AC1537">
        <v>0</v>
      </c>
      <c r="AD1537" t="s">
        <v>416</v>
      </c>
      <c r="AE1537">
        <v>0</v>
      </c>
      <c r="AF1537">
        <v>0</v>
      </c>
      <c r="AG1537" t="s">
        <v>111</v>
      </c>
      <c r="AH1537" t="s">
        <v>113</v>
      </c>
      <c r="AI1537" t="s">
        <v>111</v>
      </c>
      <c r="AJ1537" t="s">
        <v>111</v>
      </c>
      <c r="AK1537" t="s">
        <v>111</v>
      </c>
      <c r="AL1537" t="s">
        <v>111</v>
      </c>
      <c r="AM1537">
        <v>0</v>
      </c>
      <c r="AN1537">
        <v>0</v>
      </c>
      <c r="AO1537">
        <v>0</v>
      </c>
      <c r="AP1537" t="s">
        <v>111</v>
      </c>
      <c r="AQ1537" t="s">
        <v>111</v>
      </c>
      <c r="AR1537" t="s">
        <v>111</v>
      </c>
      <c r="AS1537" t="s">
        <v>111</v>
      </c>
      <c r="AT1537" t="s">
        <v>111</v>
      </c>
      <c r="AU1537" t="s">
        <v>111</v>
      </c>
      <c r="AV1537" t="s">
        <v>111</v>
      </c>
      <c r="AW1537" t="s">
        <v>111</v>
      </c>
      <c r="AX1537" t="s">
        <v>111</v>
      </c>
      <c r="AY1537" t="s">
        <v>111</v>
      </c>
      <c r="AZ1537" t="s">
        <v>111</v>
      </c>
      <c r="BA1537" t="s">
        <v>111</v>
      </c>
      <c r="BB1537" t="s">
        <v>111</v>
      </c>
      <c r="BC1537" t="s">
        <v>111</v>
      </c>
      <c r="BD1537" t="s">
        <v>111</v>
      </c>
      <c r="BE1537" t="s">
        <v>111</v>
      </c>
      <c r="BF1537" t="s">
        <v>111</v>
      </c>
      <c r="BG1537" t="s">
        <v>111</v>
      </c>
      <c r="BH1537" t="s">
        <v>111</v>
      </c>
      <c r="BI1537" t="s">
        <v>111</v>
      </c>
      <c r="BJ1537" t="s">
        <v>111</v>
      </c>
      <c r="BK1537" t="s">
        <v>111</v>
      </c>
      <c r="BL1537" t="s">
        <v>111</v>
      </c>
      <c r="BM1537" t="s">
        <v>111</v>
      </c>
      <c r="BN1537" t="s">
        <v>111</v>
      </c>
      <c r="BO1537" t="s">
        <v>111</v>
      </c>
      <c r="BP1537" t="s">
        <v>111</v>
      </c>
      <c r="BQ1537" t="s">
        <v>111</v>
      </c>
      <c r="BR1537" t="s">
        <v>111</v>
      </c>
      <c r="BS1537" t="s">
        <v>111</v>
      </c>
      <c r="BT1537" t="s">
        <v>111</v>
      </c>
      <c r="BU1537" t="s">
        <v>111</v>
      </c>
      <c r="BV1537" t="s">
        <v>111</v>
      </c>
      <c r="BW1537" t="s">
        <v>111</v>
      </c>
      <c r="BX1537" t="s">
        <v>111</v>
      </c>
      <c r="BY1537" t="s">
        <v>111</v>
      </c>
      <c r="BZ1537" t="s">
        <v>111</v>
      </c>
      <c r="CA1537" t="s">
        <v>111</v>
      </c>
      <c r="CB1537" t="s">
        <v>111</v>
      </c>
      <c r="CC1537" t="s">
        <v>111</v>
      </c>
      <c r="CD1537" t="s">
        <v>111</v>
      </c>
      <c r="CE1537" t="s">
        <v>111</v>
      </c>
      <c r="CF1537" t="s">
        <v>111</v>
      </c>
      <c r="CG1537" t="s">
        <v>111</v>
      </c>
      <c r="CH1537" t="s">
        <v>111</v>
      </c>
      <c r="CI1537" t="s">
        <v>111</v>
      </c>
      <c r="CJ1537" t="s">
        <v>111</v>
      </c>
      <c r="CK1537" t="s">
        <v>111</v>
      </c>
      <c r="CL1537" t="s">
        <v>111</v>
      </c>
      <c r="CM1537">
        <v>450</v>
      </c>
      <c r="CN1537" t="s">
        <v>113</v>
      </c>
      <c r="CO1537" t="s">
        <v>111</v>
      </c>
      <c r="CP1537" t="s">
        <v>111</v>
      </c>
      <c r="CQ1537">
        <v>0</v>
      </c>
      <c r="CR1537">
        <v>26000</v>
      </c>
      <c r="CS1537">
        <v>26000</v>
      </c>
      <c r="CT1537" t="e">
        <f>-ALMACEN</f>
        <v>#NAME?</v>
      </c>
      <c r="CU1537">
        <v>0</v>
      </c>
      <c r="CV1537" t="s">
        <v>111</v>
      </c>
      <c r="CW1537" t="s">
        <v>111</v>
      </c>
      <c r="CX1537" t="s">
        <v>111</v>
      </c>
      <c r="CY1537">
        <v>0</v>
      </c>
      <c r="CZ1537" t="s">
        <v>111</v>
      </c>
      <c r="DA1537" t="s">
        <v>111</v>
      </c>
      <c r="DB1537" t="s">
        <v>111</v>
      </c>
      <c r="DC1537" t="s">
        <v>111</v>
      </c>
    </row>
    <row r="1538" spans="1:107">
      <c r="A1538">
        <v>1303</v>
      </c>
      <c r="B1538" t="s">
        <v>107</v>
      </c>
      <c r="C1538" t="s">
        <v>960</v>
      </c>
      <c r="D1538" t="s">
        <v>4301</v>
      </c>
      <c r="E1538" t="s">
        <v>4302</v>
      </c>
      <c r="F1538" t="s">
        <v>1651</v>
      </c>
      <c r="G1538" t="s">
        <v>24</v>
      </c>
      <c r="H1538">
        <v>1.4</v>
      </c>
      <c r="I1538">
        <v>35</v>
      </c>
      <c r="J1538">
        <v>0</v>
      </c>
      <c r="K1538">
        <v>0</v>
      </c>
      <c r="L1538" t="s">
        <v>117</v>
      </c>
      <c r="M1538" t="s">
        <v>118</v>
      </c>
      <c r="N1538">
        <v>40</v>
      </c>
      <c r="O1538">
        <v>1</v>
      </c>
      <c r="P1538" t="s">
        <v>111</v>
      </c>
      <c r="Q1538">
        <v>23.5</v>
      </c>
      <c r="R1538">
        <v>0</v>
      </c>
      <c r="S1538">
        <v>0</v>
      </c>
      <c r="T1538">
        <v>10</v>
      </c>
      <c r="U1538" s="1" t="s">
        <v>662</v>
      </c>
      <c r="V1538">
        <v>0</v>
      </c>
      <c r="W1538">
        <v>0</v>
      </c>
      <c r="X1538">
        <v>0</v>
      </c>
      <c r="Y1538">
        <v>250</v>
      </c>
      <c r="Z1538" t="s">
        <v>111</v>
      </c>
      <c r="AA1538">
        <v>0</v>
      </c>
      <c r="AB1538" t="s">
        <v>111</v>
      </c>
      <c r="AC1538">
        <v>0</v>
      </c>
      <c r="AD1538" t="s">
        <v>416</v>
      </c>
      <c r="AE1538">
        <v>0</v>
      </c>
      <c r="AF1538">
        <v>0</v>
      </c>
      <c r="AG1538" t="s">
        <v>111</v>
      </c>
      <c r="AH1538" t="s">
        <v>113</v>
      </c>
      <c r="AI1538" t="s">
        <v>111</v>
      </c>
      <c r="AJ1538" t="s">
        <v>111</v>
      </c>
      <c r="AK1538" t="s">
        <v>111</v>
      </c>
      <c r="AL1538" t="s">
        <v>111</v>
      </c>
      <c r="AM1538">
        <v>0</v>
      </c>
      <c r="AN1538">
        <v>0</v>
      </c>
      <c r="AO1538">
        <v>0</v>
      </c>
      <c r="AP1538" t="s">
        <v>111</v>
      </c>
      <c r="AQ1538" t="s">
        <v>111</v>
      </c>
      <c r="AR1538" t="s">
        <v>111</v>
      </c>
      <c r="AS1538" t="s">
        <v>111</v>
      </c>
      <c r="AT1538" t="s">
        <v>111</v>
      </c>
      <c r="AU1538" t="s">
        <v>111</v>
      </c>
      <c r="AV1538" t="s">
        <v>111</v>
      </c>
      <c r="AW1538" t="s">
        <v>111</v>
      </c>
      <c r="AX1538" t="s">
        <v>111</v>
      </c>
      <c r="AY1538" t="s">
        <v>111</v>
      </c>
      <c r="AZ1538" t="s">
        <v>111</v>
      </c>
      <c r="BA1538" t="s">
        <v>111</v>
      </c>
      <c r="BB1538" t="s">
        <v>111</v>
      </c>
      <c r="BC1538" t="s">
        <v>111</v>
      </c>
      <c r="BD1538" t="s">
        <v>111</v>
      </c>
      <c r="BE1538" t="s">
        <v>111</v>
      </c>
      <c r="BF1538" t="s">
        <v>111</v>
      </c>
      <c r="BG1538" t="s">
        <v>111</v>
      </c>
      <c r="BH1538" t="s">
        <v>111</v>
      </c>
      <c r="BI1538" t="s">
        <v>111</v>
      </c>
      <c r="BJ1538" t="s">
        <v>111</v>
      </c>
      <c r="BK1538" t="s">
        <v>111</v>
      </c>
      <c r="BL1538" t="s">
        <v>111</v>
      </c>
      <c r="BM1538" t="s">
        <v>111</v>
      </c>
      <c r="BN1538" t="s">
        <v>111</v>
      </c>
      <c r="BO1538" t="s">
        <v>111</v>
      </c>
      <c r="BP1538" t="s">
        <v>111</v>
      </c>
      <c r="BQ1538" t="s">
        <v>111</v>
      </c>
      <c r="BR1538" t="s">
        <v>111</v>
      </c>
      <c r="BS1538" t="s">
        <v>111</v>
      </c>
      <c r="BT1538" t="s">
        <v>111</v>
      </c>
      <c r="BU1538" t="s">
        <v>111</v>
      </c>
      <c r="BV1538" t="s">
        <v>111</v>
      </c>
      <c r="BW1538" t="s">
        <v>111</v>
      </c>
      <c r="BX1538" t="s">
        <v>111</v>
      </c>
      <c r="BY1538" t="s">
        <v>111</v>
      </c>
      <c r="BZ1538" t="s">
        <v>111</v>
      </c>
      <c r="CA1538" t="s">
        <v>111</v>
      </c>
      <c r="CB1538" t="s">
        <v>111</v>
      </c>
      <c r="CC1538" t="s">
        <v>111</v>
      </c>
      <c r="CD1538" t="s">
        <v>111</v>
      </c>
      <c r="CE1538" t="s">
        <v>111</v>
      </c>
      <c r="CF1538" t="s">
        <v>111</v>
      </c>
      <c r="CG1538" t="s">
        <v>111</v>
      </c>
      <c r="CH1538" t="s">
        <v>111</v>
      </c>
      <c r="CI1538" t="s">
        <v>111</v>
      </c>
      <c r="CJ1538" t="s">
        <v>111</v>
      </c>
      <c r="CK1538" t="s">
        <v>111</v>
      </c>
      <c r="CL1538" t="s">
        <v>111</v>
      </c>
      <c r="CM1538" t="s">
        <v>135</v>
      </c>
      <c r="CN1538" t="s">
        <v>113</v>
      </c>
      <c r="CO1538" t="s">
        <v>111</v>
      </c>
      <c r="CP1538" t="s">
        <v>563</v>
      </c>
      <c r="CQ1538">
        <v>0</v>
      </c>
      <c r="CR1538">
        <v>1000</v>
      </c>
      <c r="CS1538">
        <v>500</v>
      </c>
      <c r="CT1538" t="e">
        <f>-ALMACEN</f>
        <v>#NAME?</v>
      </c>
      <c r="CU1538">
        <v>0</v>
      </c>
      <c r="CV1538" t="s">
        <v>111</v>
      </c>
      <c r="CW1538" t="s">
        <v>111</v>
      </c>
      <c r="CX1538" t="s">
        <v>111</v>
      </c>
      <c r="CY1538">
        <v>0</v>
      </c>
      <c r="CZ1538" t="s">
        <v>111</v>
      </c>
      <c r="DA1538" t="s">
        <v>111</v>
      </c>
      <c r="DB1538" t="s">
        <v>111</v>
      </c>
      <c r="DC1538" t="s">
        <v>111</v>
      </c>
    </row>
    <row r="1539" spans="1:107">
      <c r="A1539">
        <v>1370</v>
      </c>
      <c r="B1539" t="s">
        <v>107</v>
      </c>
      <c r="C1539" t="s">
        <v>928</v>
      </c>
      <c r="D1539" t="s">
        <v>4197</v>
      </c>
      <c r="E1539" t="s">
        <v>4303</v>
      </c>
      <c r="F1539" t="s">
        <v>1071</v>
      </c>
      <c r="G1539" t="s">
        <v>24</v>
      </c>
      <c r="H1539">
        <v>1.1000000000000001</v>
      </c>
      <c r="I1539">
        <v>44</v>
      </c>
      <c r="J1539">
        <v>0</v>
      </c>
      <c r="K1539">
        <v>0</v>
      </c>
      <c r="L1539" t="s">
        <v>112</v>
      </c>
      <c r="M1539" t="s">
        <v>138</v>
      </c>
      <c r="N1539">
        <v>0</v>
      </c>
      <c r="O1539">
        <v>0</v>
      </c>
      <c r="P1539" t="s">
        <v>111</v>
      </c>
      <c r="Q1539">
        <v>40</v>
      </c>
      <c r="R1539">
        <v>0</v>
      </c>
      <c r="S1539">
        <v>0</v>
      </c>
      <c r="T1539">
        <v>5</v>
      </c>
      <c r="U1539" t="e">
        <f>-DESTINO SELLADO</f>
        <v>#NAME?</v>
      </c>
      <c r="V1539">
        <v>0</v>
      </c>
      <c r="W1539">
        <v>0</v>
      </c>
      <c r="X1539">
        <v>0</v>
      </c>
      <c r="Y1539">
        <v>25</v>
      </c>
      <c r="Z1539" t="s">
        <v>111</v>
      </c>
      <c r="AA1539">
        <v>0</v>
      </c>
      <c r="AB1539" t="s">
        <v>111</v>
      </c>
      <c r="AC1539">
        <v>0</v>
      </c>
      <c r="AD1539" t="s">
        <v>111</v>
      </c>
      <c r="AE1539">
        <v>0</v>
      </c>
      <c r="AF1539">
        <v>0</v>
      </c>
      <c r="AG1539" t="s">
        <v>111</v>
      </c>
      <c r="AH1539" t="s">
        <v>111</v>
      </c>
      <c r="AI1539" t="s">
        <v>111</v>
      </c>
      <c r="AJ1539" t="s">
        <v>111</v>
      </c>
      <c r="AK1539" t="s">
        <v>111</v>
      </c>
      <c r="AL1539" t="s">
        <v>111</v>
      </c>
      <c r="AM1539">
        <v>0</v>
      </c>
      <c r="AN1539">
        <v>0</v>
      </c>
      <c r="AO1539">
        <v>0</v>
      </c>
      <c r="AP1539" t="s">
        <v>111</v>
      </c>
      <c r="AQ1539" t="s">
        <v>111</v>
      </c>
      <c r="AR1539" t="s">
        <v>111</v>
      </c>
      <c r="AS1539" t="s">
        <v>111</v>
      </c>
      <c r="AT1539" t="s">
        <v>111</v>
      </c>
      <c r="AU1539" t="s">
        <v>111</v>
      </c>
      <c r="AV1539" t="s">
        <v>111</v>
      </c>
      <c r="AW1539" t="s">
        <v>111</v>
      </c>
      <c r="AX1539" t="s">
        <v>111</v>
      </c>
      <c r="AY1539" t="s">
        <v>111</v>
      </c>
      <c r="AZ1539" t="s">
        <v>111</v>
      </c>
      <c r="BA1539" t="s">
        <v>111</v>
      </c>
      <c r="BB1539" t="s">
        <v>111</v>
      </c>
      <c r="BC1539" t="s">
        <v>111</v>
      </c>
      <c r="BD1539" t="s">
        <v>111</v>
      </c>
      <c r="BE1539" t="s">
        <v>111</v>
      </c>
      <c r="BF1539" t="s">
        <v>111</v>
      </c>
      <c r="BG1539" t="s">
        <v>111</v>
      </c>
      <c r="BH1539" t="s">
        <v>111</v>
      </c>
      <c r="BI1539" t="s">
        <v>111</v>
      </c>
      <c r="BJ1539" t="s">
        <v>111</v>
      </c>
      <c r="BK1539" t="s">
        <v>111</v>
      </c>
      <c r="BL1539" t="s">
        <v>111</v>
      </c>
      <c r="BM1539" t="s">
        <v>111</v>
      </c>
      <c r="BN1539" t="s">
        <v>111</v>
      </c>
      <c r="BO1539" t="s">
        <v>111</v>
      </c>
      <c r="BP1539" t="s">
        <v>111</v>
      </c>
      <c r="BQ1539" t="s">
        <v>111</v>
      </c>
      <c r="BR1539" t="s">
        <v>111</v>
      </c>
      <c r="BS1539" t="s">
        <v>111</v>
      </c>
      <c r="BT1539" t="s">
        <v>111</v>
      </c>
      <c r="BU1539" t="s">
        <v>111</v>
      </c>
      <c r="BV1539" t="s">
        <v>111</v>
      </c>
      <c r="BW1539" t="s">
        <v>111</v>
      </c>
      <c r="BX1539" t="s">
        <v>111</v>
      </c>
      <c r="BY1539" t="s">
        <v>111</v>
      </c>
      <c r="BZ1539" t="s">
        <v>111</v>
      </c>
      <c r="CA1539" t="s">
        <v>111</v>
      </c>
      <c r="CB1539" t="s">
        <v>111</v>
      </c>
      <c r="CC1539" t="s">
        <v>111</v>
      </c>
      <c r="CD1539" t="s">
        <v>111</v>
      </c>
      <c r="CE1539" t="s">
        <v>111</v>
      </c>
      <c r="CF1539" t="s">
        <v>111</v>
      </c>
      <c r="CG1539" t="s">
        <v>111</v>
      </c>
      <c r="CH1539" t="s">
        <v>111</v>
      </c>
      <c r="CI1539" t="s">
        <v>111</v>
      </c>
      <c r="CJ1539" t="s">
        <v>111</v>
      </c>
      <c r="CK1539" t="s">
        <v>111</v>
      </c>
      <c r="CL1539" t="s">
        <v>111</v>
      </c>
      <c r="CM1539" t="s">
        <v>438</v>
      </c>
      <c r="CN1539" t="s">
        <v>113</v>
      </c>
      <c r="CO1539" t="s">
        <v>637</v>
      </c>
      <c r="CP1539" t="s">
        <v>111</v>
      </c>
      <c r="CQ1539">
        <v>90</v>
      </c>
      <c r="CR1539">
        <v>4000</v>
      </c>
      <c r="CS1539">
        <v>100</v>
      </c>
      <c r="CT1539" s="1" t="s">
        <v>4304</v>
      </c>
      <c r="CU1539">
        <v>0</v>
      </c>
      <c r="CV1539" t="s">
        <v>111</v>
      </c>
      <c r="CW1539" t="s">
        <v>111</v>
      </c>
      <c r="CX1539" t="s">
        <v>111</v>
      </c>
      <c r="CY1539">
        <v>0</v>
      </c>
      <c r="CZ1539" t="s">
        <v>111</v>
      </c>
      <c r="DA1539" t="s">
        <v>111</v>
      </c>
      <c r="DB1539" t="s">
        <v>111</v>
      </c>
      <c r="DC1539" t="s">
        <v>111</v>
      </c>
    </row>
    <row r="1540" spans="1:107">
      <c r="A1540">
        <v>1382</v>
      </c>
      <c r="B1540" t="s">
        <v>107</v>
      </c>
      <c r="C1540" t="s">
        <v>4214</v>
      </c>
      <c r="D1540" t="s">
        <v>4305</v>
      </c>
      <c r="E1540" t="s">
        <v>4306</v>
      </c>
      <c r="F1540" t="s">
        <v>110</v>
      </c>
      <c r="G1540" t="s">
        <v>24</v>
      </c>
      <c r="H1540">
        <v>1.3</v>
      </c>
      <c r="I1540">
        <v>38</v>
      </c>
      <c r="J1540">
        <v>0</v>
      </c>
      <c r="K1540">
        <v>0</v>
      </c>
      <c r="L1540" t="s">
        <v>112</v>
      </c>
      <c r="M1540" t="s">
        <v>111</v>
      </c>
      <c r="N1540">
        <v>0</v>
      </c>
      <c r="O1540">
        <v>0</v>
      </c>
      <c r="P1540" t="s">
        <v>111</v>
      </c>
      <c r="Q1540">
        <v>32.6</v>
      </c>
      <c r="R1540">
        <v>0</v>
      </c>
      <c r="S1540">
        <v>0</v>
      </c>
      <c r="T1540">
        <v>0</v>
      </c>
      <c r="U1540" s="1" t="s">
        <v>4307</v>
      </c>
      <c r="V1540">
        <v>0</v>
      </c>
      <c r="W1540">
        <v>0</v>
      </c>
      <c r="X1540">
        <v>0</v>
      </c>
      <c r="Y1540">
        <v>250</v>
      </c>
      <c r="Z1540" t="s">
        <v>111</v>
      </c>
      <c r="AA1540">
        <v>0</v>
      </c>
      <c r="AB1540" t="s">
        <v>111</v>
      </c>
      <c r="AC1540">
        <v>0</v>
      </c>
      <c r="AD1540" t="s">
        <v>111</v>
      </c>
      <c r="AE1540">
        <v>0</v>
      </c>
      <c r="AF1540">
        <v>0</v>
      </c>
      <c r="AG1540" t="s">
        <v>111</v>
      </c>
      <c r="AH1540" t="s">
        <v>111</v>
      </c>
      <c r="AI1540" t="s">
        <v>111</v>
      </c>
      <c r="AJ1540" t="s">
        <v>111</v>
      </c>
      <c r="AK1540" t="s">
        <v>111</v>
      </c>
      <c r="AL1540" t="s">
        <v>111</v>
      </c>
      <c r="AM1540">
        <v>0</v>
      </c>
      <c r="AN1540">
        <v>0</v>
      </c>
      <c r="AO1540">
        <v>0</v>
      </c>
      <c r="AP1540" t="s">
        <v>111</v>
      </c>
      <c r="AQ1540" t="s">
        <v>111</v>
      </c>
      <c r="AR1540" t="s">
        <v>111</v>
      </c>
      <c r="AS1540" t="s">
        <v>111</v>
      </c>
      <c r="AT1540" t="s">
        <v>111</v>
      </c>
      <c r="AU1540" t="s">
        <v>111</v>
      </c>
      <c r="AV1540" t="s">
        <v>111</v>
      </c>
      <c r="AW1540" t="s">
        <v>111</v>
      </c>
      <c r="AX1540" t="s">
        <v>111</v>
      </c>
      <c r="AY1540" t="s">
        <v>111</v>
      </c>
      <c r="AZ1540" t="s">
        <v>111</v>
      </c>
      <c r="BA1540" t="s">
        <v>111</v>
      </c>
      <c r="BB1540" t="s">
        <v>111</v>
      </c>
      <c r="BC1540" t="s">
        <v>111</v>
      </c>
      <c r="BD1540" t="s">
        <v>111</v>
      </c>
      <c r="BE1540" t="s">
        <v>111</v>
      </c>
      <c r="BF1540" t="s">
        <v>111</v>
      </c>
      <c r="BG1540" t="s">
        <v>111</v>
      </c>
      <c r="BH1540" t="s">
        <v>111</v>
      </c>
      <c r="BI1540" t="s">
        <v>111</v>
      </c>
      <c r="BJ1540" t="s">
        <v>111</v>
      </c>
      <c r="BK1540" t="s">
        <v>111</v>
      </c>
      <c r="BL1540" t="s">
        <v>111</v>
      </c>
      <c r="BM1540" t="s">
        <v>111</v>
      </c>
      <c r="BN1540" t="s">
        <v>111</v>
      </c>
      <c r="BO1540" t="s">
        <v>111</v>
      </c>
      <c r="BP1540" t="s">
        <v>111</v>
      </c>
      <c r="BQ1540" t="s">
        <v>111</v>
      </c>
      <c r="BR1540" t="s">
        <v>111</v>
      </c>
      <c r="BS1540" t="s">
        <v>111</v>
      </c>
      <c r="BT1540" t="s">
        <v>111</v>
      </c>
      <c r="BU1540" t="s">
        <v>111</v>
      </c>
      <c r="BV1540" t="s">
        <v>111</v>
      </c>
      <c r="BW1540" t="s">
        <v>111</v>
      </c>
      <c r="BX1540" t="s">
        <v>111</v>
      </c>
      <c r="BY1540" t="s">
        <v>111</v>
      </c>
      <c r="BZ1540" t="s">
        <v>111</v>
      </c>
      <c r="CA1540" t="s">
        <v>111</v>
      </c>
      <c r="CB1540" t="s">
        <v>111</v>
      </c>
      <c r="CC1540" t="s">
        <v>111</v>
      </c>
      <c r="CD1540" t="s">
        <v>111</v>
      </c>
      <c r="CE1540" t="s">
        <v>111</v>
      </c>
      <c r="CF1540" t="s">
        <v>111</v>
      </c>
      <c r="CG1540" t="s">
        <v>111</v>
      </c>
      <c r="CH1540" t="s">
        <v>111</v>
      </c>
      <c r="CI1540" t="s">
        <v>111</v>
      </c>
      <c r="CJ1540" t="s">
        <v>111</v>
      </c>
      <c r="CK1540" t="s">
        <v>111</v>
      </c>
      <c r="CL1540" t="s">
        <v>111</v>
      </c>
      <c r="CM1540" t="s">
        <v>111</v>
      </c>
      <c r="CN1540" t="s">
        <v>111</v>
      </c>
      <c r="CO1540" t="s">
        <v>111</v>
      </c>
      <c r="CP1540" t="s">
        <v>111</v>
      </c>
      <c r="CQ1540">
        <v>0</v>
      </c>
      <c r="CR1540">
        <v>0</v>
      </c>
      <c r="CS1540">
        <v>0</v>
      </c>
      <c r="CT1540" t="s">
        <v>111</v>
      </c>
      <c r="CU1540">
        <v>0</v>
      </c>
      <c r="CV1540" t="s">
        <v>111</v>
      </c>
      <c r="CW1540" t="s">
        <v>111</v>
      </c>
      <c r="CX1540" t="s">
        <v>111</v>
      </c>
      <c r="CY1540">
        <v>0</v>
      </c>
      <c r="CZ1540" t="s">
        <v>111</v>
      </c>
      <c r="DA1540" t="s">
        <v>111</v>
      </c>
      <c r="DB1540" t="s">
        <v>111</v>
      </c>
      <c r="DC1540" t="s">
        <v>111</v>
      </c>
    </row>
    <row r="1541" spans="1:107">
      <c r="A1541">
        <v>1381</v>
      </c>
      <c r="B1541" t="s">
        <v>107</v>
      </c>
      <c r="C1541" t="s">
        <v>4214</v>
      </c>
      <c r="D1541" t="s">
        <v>3882</v>
      </c>
      <c r="E1541" t="s">
        <v>4308</v>
      </c>
      <c r="F1541" t="s">
        <v>110</v>
      </c>
      <c r="G1541" t="s">
        <v>24</v>
      </c>
      <c r="H1541">
        <v>1.3</v>
      </c>
      <c r="I1541">
        <v>35</v>
      </c>
      <c r="J1541">
        <v>0</v>
      </c>
      <c r="K1541">
        <v>0</v>
      </c>
      <c r="L1541" t="s">
        <v>112</v>
      </c>
      <c r="M1541" t="s">
        <v>118</v>
      </c>
      <c r="N1541">
        <v>0</v>
      </c>
      <c r="O1541">
        <v>0</v>
      </c>
      <c r="P1541" t="s">
        <v>111</v>
      </c>
      <c r="Q1541">
        <v>30</v>
      </c>
      <c r="R1541">
        <v>0</v>
      </c>
      <c r="S1541">
        <v>0</v>
      </c>
      <c r="T1541">
        <v>25</v>
      </c>
      <c r="U1541" s="1" t="s">
        <v>4309</v>
      </c>
      <c r="V1541">
        <v>0</v>
      </c>
      <c r="W1541">
        <v>0</v>
      </c>
      <c r="X1541">
        <v>0</v>
      </c>
      <c r="Y1541">
        <v>25</v>
      </c>
      <c r="Z1541" t="s">
        <v>111</v>
      </c>
      <c r="AA1541">
        <v>0</v>
      </c>
      <c r="AB1541" t="s">
        <v>111</v>
      </c>
      <c r="AC1541">
        <v>0</v>
      </c>
      <c r="AD1541" t="s">
        <v>111</v>
      </c>
      <c r="AE1541">
        <v>0</v>
      </c>
      <c r="AF1541">
        <v>0</v>
      </c>
      <c r="AG1541" t="s">
        <v>111</v>
      </c>
      <c r="AH1541" t="s">
        <v>111</v>
      </c>
      <c r="AI1541" t="s">
        <v>111</v>
      </c>
      <c r="AJ1541" t="s">
        <v>111</v>
      </c>
      <c r="AK1541" t="s">
        <v>111</v>
      </c>
      <c r="AL1541" t="s">
        <v>111</v>
      </c>
      <c r="AM1541">
        <v>0</v>
      </c>
      <c r="AN1541">
        <v>0</v>
      </c>
      <c r="AO1541">
        <v>0</v>
      </c>
      <c r="AP1541" t="s">
        <v>111</v>
      </c>
      <c r="AQ1541" t="s">
        <v>111</v>
      </c>
      <c r="AR1541" t="s">
        <v>111</v>
      </c>
      <c r="AS1541" t="s">
        <v>111</v>
      </c>
      <c r="AT1541" t="s">
        <v>111</v>
      </c>
      <c r="AU1541" t="s">
        <v>111</v>
      </c>
      <c r="AV1541" t="s">
        <v>111</v>
      </c>
      <c r="AW1541" t="s">
        <v>111</v>
      </c>
      <c r="AX1541" t="s">
        <v>111</v>
      </c>
      <c r="AY1541" t="s">
        <v>111</v>
      </c>
      <c r="AZ1541" t="s">
        <v>111</v>
      </c>
      <c r="BA1541" t="s">
        <v>111</v>
      </c>
      <c r="BB1541" t="s">
        <v>111</v>
      </c>
      <c r="BC1541" t="s">
        <v>111</v>
      </c>
      <c r="BD1541" t="s">
        <v>111</v>
      </c>
      <c r="BE1541" t="s">
        <v>111</v>
      </c>
      <c r="BF1541" t="s">
        <v>111</v>
      </c>
      <c r="BG1541" t="s">
        <v>111</v>
      </c>
      <c r="BH1541" t="s">
        <v>111</v>
      </c>
      <c r="BI1541" t="s">
        <v>111</v>
      </c>
      <c r="BJ1541" t="s">
        <v>111</v>
      </c>
      <c r="BK1541" t="s">
        <v>111</v>
      </c>
      <c r="BL1541" t="s">
        <v>111</v>
      </c>
      <c r="BM1541" t="s">
        <v>111</v>
      </c>
      <c r="BN1541" t="s">
        <v>111</v>
      </c>
      <c r="BO1541" t="s">
        <v>111</v>
      </c>
      <c r="BP1541" t="s">
        <v>111</v>
      </c>
      <c r="BQ1541" t="s">
        <v>111</v>
      </c>
      <c r="BR1541" t="s">
        <v>111</v>
      </c>
      <c r="BS1541" t="s">
        <v>111</v>
      </c>
      <c r="BT1541" t="s">
        <v>111</v>
      </c>
      <c r="BU1541" t="s">
        <v>111</v>
      </c>
      <c r="BV1541" t="s">
        <v>111</v>
      </c>
      <c r="BW1541" t="s">
        <v>111</v>
      </c>
      <c r="BX1541" t="s">
        <v>111</v>
      </c>
      <c r="BY1541" t="s">
        <v>111</v>
      </c>
      <c r="BZ1541" t="s">
        <v>111</v>
      </c>
      <c r="CA1541" t="s">
        <v>111</v>
      </c>
      <c r="CB1541" t="s">
        <v>111</v>
      </c>
      <c r="CC1541" t="s">
        <v>111</v>
      </c>
      <c r="CD1541" t="s">
        <v>111</v>
      </c>
      <c r="CE1541" t="s">
        <v>111</v>
      </c>
      <c r="CF1541" t="s">
        <v>111</v>
      </c>
      <c r="CG1541" t="s">
        <v>111</v>
      </c>
      <c r="CH1541" t="s">
        <v>111</v>
      </c>
      <c r="CI1541" t="s">
        <v>111</v>
      </c>
      <c r="CJ1541" t="s">
        <v>111</v>
      </c>
      <c r="CK1541" t="s">
        <v>111</v>
      </c>
      <c r="CL1541" t="s">
        <v>111</v>
      </c>
      <c r="CM1541" t="s">
        <v>111</v>
      </c>
      <c r="CN1541" t="s">
        <v>111</v>
      </c>
      <c r="CO1541" t="s">
        <v>111</v>
      </c>
      <c r="CP1541" t="s">
        <v>111</v>
      </c>
      <c r="CQ1541">
        <v>0</v>
      </c>
      <c r="CR1541">
        <v>0</v>
      </c>
      <c r="CS1541">
        <v>0</v>
      </c>
      <c r="CT1541" t="s">
        <v>111</v>
      </c>
      <c r="CU1541">
        <v>0</v>
      </c>
      <c r="CV1541" t="s">
        <v>111</v>
      </c>
      <c r="CW1541" t="s">
        <v>111</v>
      </c>
      <c r="CX1541" t="s">
        <v>111</v>
      </c>
      <c r="CY1541">
        <v>0</v>
      </c>
      <c r="CZ1541" t="s">
        <v>111</v>
      </c>
      <c r="DA1541" t="s">
        <v>111</v>
      </c>
      <c r="DB1541" t="s">
        <v>111</v>
      </c>
      <c r="DC1541" t="s">
        <v>111</v>
      </c>
    </row>
    <row r="1542" spans="1:107">
      <c r="A1542">
        <v>1380</v>
      </c>
      <c r="B1542" t="s">
        <v>107</v>
      </c>
      <c r="C1542" t="s">
        <v>4214</v>
      </c>
      <c r="D1542" t="s">
        <v>4310</v>
      </c>
      <c r="E1542" t="s">
        <v>4311</v>
      </c>
      <c r="F1542" t="s">
        <v>110</v>
      </c>
      <c r="G1542" t="s">
        <v>24</v>
      </c>
      <c r="H1542">
        <v>1.5</v>
      </c>
      <c r="I1542">
        <v>55</v>
      </c>
      <c r="J1542">
        <v>0</v>
      </c>
      <c r="K1542">
        <v>0</v>
      </c>
      <c r="L1542" t="s">
        <v>112</v>
      </c>
      <c r="M1542" t="s">
        <v>118</v>
      </c>
      <c r="N1542">
        <v>39</v>
      </c>
      <c r="O1542">
        <v>2</v>
      </c>
      <c r="P1542" t="s">
        <v>111</v>
      </c>
      <c r="Q1542">
        <v>40.200000000000003</v>
      </c>
      <c r="R1542">
        <v>0</v>
      </c>
      <c r="S1542">
        <v>0</v>
      </c>
      <c r="T1542">
        <v>0</v>
      </c>
      <c r="U1542" s="1" t="s">
        <v>4312</v>
      </c>
      <c r="V1542">
        <v>0</v>
      </c>
      <c r="W1542">
        <v>0</v>
      </c>
      <c r="X1542">
        <v>0</v>
      </c>
      <c r="Y1542">
        <v>25</v>
      </c>
      <c r="Z1542" t="s">
        <v>111</v>
      </c>
      <c r="AA1542">
        <v>0</v>
      </c>
      <c r="AB1542" t="s">
        <v>111</v>
      </c>
      <c r="AC1542">
        <v>0</v>
      </c>
      <c r="AD1542" t="s">
        <v>111</v>
      </c>
      <c r="AE1542">
        <v>0</v>
      </c>
      <c r="AF1542">
        <v>0</v>
      </c>
      <c r="AG1542" t="s">
        <v>111</v>
      </c>
      <c r="AH1542" t="s">
        <v>111</v>
      </c>
      <c r="AI1542" t="s">
        <v>111</v>
      </c>
      <c r="AJ1542" t="s">
        <v>111</v>
      </c>
      <c r="AK1542" t="s">
        <v>111</v>
      </c>
      <c r="AL1542" t="s">
        <v>111</v>
      </c>
      <c r="AM1542">
        <v>0</v>
      </c>
      <c r="AN1542">
        <v>0</v>
      </c>
      <c r="AO1542">
        <v>0</v>
      </c>
      <c r="AP1542" t="s">
        <v>111</v>
      </c>
      <c r="AQ1542" t="s">
        <v>111</v>
      </c>
      <c r="AR1542" t="s">
        <v>111</v>
      </c>
      <c r="AS1542" t="s">
        <v>111</v>
      </c>
      <c r="AT1542" t="s">
        <v>111</v>
      </c>
      <c r="AU1542" t="s">
        <v>111</v>
      </c>
      <c r="AV1542" t="s">
        <v>111</v>
      </c>
      <c r="AW1542" t="s">
        <v>111</v>
      </c>
      <c r="AX1542" t="s">
        <v>111</v>
      </c>
      <c r="AY1542" t="s">
        <v>111</v>
      </c>
      <c r="AZ1542" t="s">
        <v>111</v>
      </c>
      <c r="BA1542" t="s">
        <v>111</v>
      </c>
      <c r="BB1542" t="s">
        <v>111</v>
      </c>
      <c r="BC1542" t="s">
        <v>111</v>
      </c>
      <c r="BD1542" t="s">
        <v>111</v>
      </c>
      <c r="BE1542" t="s">
        <v>111</v>
      </c>
      <c r="BF1542" t="s">
        <v>111</v>
      </c>
      <c r="BG1542" t="s">
        <v>111</v>
      </c>
      <c r="BH1542" t="s">
        <v>111</v>
      </c>
      <c r="BI1542" t="s">
        <v>111</v>
      </c>
      <c r="BJ1542" t="s">
        <v>111</v>
      </c>
      <c r="BK1542" t="s">
        <v>111</v>
      </c>
      <c r="BL1542" t="s">
        <v>111</v>
      </c>
      <c r="BM1542" t="s">
        <v>111</v>
      </c>
      <c r="BN1542" t="s">
        <v>111</v>
      </c>
      <c r="BO1542" t="s">
        <v>111</v>
      </c>
      <c r="BP1542" t="s">
        <v>111</v>
      </c>
      <c r="BQ1542" t="s">
        <v>111</v>
      </c>
      <c r="BR1542" t="s">
        <v>111</v>
      </c>
      <c r="BS1542" t="s">
        <v>111</v>
      </c>
      <c r="BT1542" t="s">
        <v>111</v>
      </c>
      <c r="BU1542" t="s">
        <v>111</v>
      </c>
      <c r="BV1542" t="s">
        <v>111</v>
      </c>
      <c r="BW1542" t="s">
        <v>111</v>
      </c>
      <c r="BX1542" t="s">
        <v>111</v>
      </c>
      <c r="BY1542" t="s">
        <v>111</v>
      </c>
      <c r="BZ1542" t="s">
        <v>111</v>
      </c>
      <c r="CA1542" t="s">
        <v>111</v>
      </c>
      <c r="CB1542" t="s">
        <v>111</v>
      </c>
      <c r="CC1542" t="s">
        <v>111</v>
      </c>
      <c r="CD1542" t="s">
        <v>111</v>
      </c>
      <c r="CE1542" t="s">
        <v>111</v>
      </c>
      <c r="CF1542" t="s">
        <v>111</v>
      </c>
      <c r="CG1542" t="s">
        <v>111</v>
      </c>
      <c r="CH1542" t="s">
        <v>111</v>
      </c>
      <c r="CI1542" t="s">
        <v>111</v>
      </c>
      <c r="CJ1542" t="s">
        <v>111</v>
      </c>
      <c r="CK1542" t="s">
        <v>111</v>
      </c>
      <c r="CL1542" t="s">
        <v>111</v>
      </c>
      <c r="CM1542" t="s">
        <v>111</v>
      </c>
      <c r="CN1542" t="s">
        <v>111</v>
      </c>
      <c r="CO1542" t="s">
        <v>111</v>
      </c>
      <c r="CP1542" t="s">
        <v>111</v>
      </c>
      <c r="CQ1542">
        <v>0</v>
      </c>
      <c r="CR1542">
        <v>0</v>
      </c>
      <c r="CS1542">
        <v>0</v>
      </c>
      <c r="CT1542" t="s">
        <v>111</v>
      </c>
      <c r="CU1542">
        <v>0</v>
      </c>
      <c r="CV1542" t="s">
        <v>111</v>
      </c>
      <c r="CW1542" t="s">
        <v>111</v>
      </c>
      <c r="CX1542" t="s">
        <v>111</v>
      </c>
      <c r="CY1542">
        <v>0</v>
      </c>
      <c r="CZ1542" t="s">
        <v>111</v>
      </c>
      <c r="DA1542" t="s">
        <v>111</v>
      </c>
      <c r="DB1542" t="s">
        <v>111</v>
      </c>
      <c r="DC1542" t="s">
        <v>111</v>
      </c>
    </row>
    <row r="1543" spans="1:107">
      <c r="A1543">
        <v>1379</v>
      </c>
      <c r="B1543" t="s">
        <v>107</v>
      </c>
      <c r="C1543" t="s">
        <v>987</v>
      </c>
      <c r="D1543" t="s">
        <v>3951</v>
      </c>
      <c r="E1543" t="s">
        <v>4313</v>
      </c>
      <c r="F1543" t="s">
        <v>1651</v>
      </c>
      <c r="G1543" t="s">
        <v>24</v>
      </c>
      <c r="H1543">
        <v>1.5</v>
      </c>
      <c r="I1543">
        <v>35</v>
      </c>
      <c r="J1543">
        <v>0</v>
      </c>
      <c r="K1543">
        <v>0</v>
      </c>
      <c r="L1543" t="s">
        <v>112</v>
      </c>
      <c r="M1543" t="s">
        <v>118</v>
      </c>
      <c r="N1543">
        <v>39</v>
      </c>
      <c r="O1543">
        <v>2</v>
      </c>
      <c r="P1543" t="s">
        <v>111</v>
      </c>
      <c r="Q1543">
        <v>38.299999999999997</v>
      </c>
      <c r="R1543">
        <v>0</v>
      </c>
      <c r="S1543">
        <v>0</v>
      </c>
      <c r="T1543">
        <v>5</v>
      </c>
      <c r="U1543" s="1" t="s">
        <v>4314</v>
      </c>
      <c r="V1543">
        <v>0</v>
      </c>
      <c r="W1543">
        <v>0</v>
      </c>
      <c r="X1543">
        <v>0</v>
      </c>
      <c r="Y1543">
        <v>25</v>
      </c>
      <c r="Z1543" t="s">
        <v>111</v>
      </c>
      <c r="AA1543">
        <v>0</v>
      </c>
      <c r="AB1543" t="s">
        <v>3954</v>
      </c>
      <c r="AC1543">
        <v>3</v>
      </c>
      <c r="AD1543" t="s">
        <v>416</v>
      </c>
      <c r="AE1543">
        <v>0</v>
      </c>
      <c r="AF1543">
        <v>0</v>
      </c>
      <c r="AG1543" t="s">
        <v>111</v>
      </c>
      <c r="AH1543" t="s">
        <v>113</v>
      </c>
      <c r="AI1543" t="s">
        <v>111</v>
      </c>
      <c r="AJ1543" t="s">
        <v>111</v>
      </c>
      <c r="AK1543" t="s">
        <v>111</v>
      </c>
      <c r="AL1543" t="s">
        <v>111</v>
      </c>
      <c r="AM1543">
        <v>0</v>
      </c>
      <c r="AN1543">
        <v>0</v>
      </c>
      <c r="AO1543">
        <v>0</v>
      </c>
      <c r="AP1543" t="s">
        <v>111</v>
      </c>
      <c r="AQ1543" t="s">
        <v>111</v>
      </c>
      <c r="AR1543" t="s">
        <v>111</v>
      </c>
      <c r="AS1543" t="s">
        <v>111</v>
      </c>
      <c r="AT1543" t="s">
        <v>111</v>
      </c>
      <c r="AU1543" t="s">
        <v>111</v>
      </c>
      <c r="AV1543" t="s">
        <v>111</v>
      </c>
      <c r="AW1543" t="s">
        <v>111</v>
      </c>
      <c r="AX1543" t="s">
        <v>111</v>
      </c>
      <c r="AY1543" t="s">
        <v>111</v>
      </c>
      <c r="AZ1543" t="s">
        <v>111</v>
      </c>
      <c r="BA1543" t="s">
        <v>111</v>
      </c>
      <c r="BB1543" t="s">
        <v>111</v>
      </c>
      <c r="BC1543" t="s">
        <v>111</v>
      </c>
      <c r="BD1543" t="s">
        <v>111</v>
      </c>
      <c r="BE1543" t="s">
        <v>111</v>
      </c>
      <c r="BF1543" t="s">
        <v>111</v>
      </c>
      <c r="BG1543" t="s">
        <v>111</v>
      </c>
      <c r="BH1543" t="s">
        <v>111</v>
      </c>
      <c r="BI1543" t="s">
        <v>111</v>
      </c>
      <c r="BJ1543" t="s">
        <v>111</v>
      </c>
      <c r="BK1543" t="s">
        <v>111</v>
      </c>
      <c r="BL1543" t="s">
        <v>111</v>
      </c>
      <c r="BM1543" t="s">
        <v>111</v>
      </c>
      <c r="BN1543" t="s">
        <v>111</v>
      </c>
      <c r="BO1543" t="s">
        <v>111</v>
      </c>
      <c r="BP1543" t="s">
        <v>111</v>
      </c>
      <c r="BQ1543" t="s">
        <v>111</v>
      </c>
      <c r="BR1543" t="s">
        <v>111</v>
      </c>
      <c r="BS1543" t="s">
        <v>111</v>
      </c>
      <c r="BT1543" t="s">
        <v>111</v>
      </c>
      <c r="BU1543" t="s">
        <v>111</v>
      </c>
      <c r="BV1543" t="s">
        <v>111</v>
      </c>
      <c r="BW1543" t="s">
        <v>111</v>
      </c>
      <c r="BX1543" t="s">
        <v>111</v>
      </c>
      <c r="BY1543" t="s">
        <v>111</v>
      </c>
      <c r="BZ1543" t="s">
        <v>111</v>
      </c>
      <c r="CA1543" t="s">
        <v>111</v>
      </c>
      <c r="CB1543" t="s">
        <v>111</v>
      </c>
      <c r="CC1543" t="s">
        <v>111</v>
      </c>
      <c r="CD1543" t="s">
        <v>111</v>
      </c>
      <c r="CE1543" t="s">
        <v>111</v>
      </c>
      <c r="CF1543" t="s">
        <v>111</v>
      </c>
      <c r="CG1543" t="s">
        <v>111</v>
      </c>
      <c r="CH1543" t="s">
        <v>111</v>
      </c>
      <c r="CI1543" t="s">
        <v>111</v>
      </c>
      <c r="CJ1543" t="s">
        <v>111</v>
      </c>
      <c r="CK1543" t="s">
        <v>111</v>
      </c>
      <c r="CL1543" t="s">
        <v>111</v>
      </c>
      <c r="CM1543" t="s">
        <v>438</v>
      </c>
      <c r="CN1543" t="s">
        <v>128</v>
      </c>
      <c r="CO1543" t="s">
        <v>111</v>
      </c>
      <c r="CP1543" t="e">
        <f>-MUESTRA</f>
        <v>#NAME?</v>
      </c>
      <c r="CQ1543">
        <v>0</v>
      </c>
      <c r="CR1543">
        <v>6000</v>
      </c>
      <c r="CS1543">
        <v>2500</v>
      </c>
      <c r="CT1543" t="e">
        <f>-ALMACEN</f>
        <v>#NAME?</v>
      </c>
      <c r="CU1543">
        <v>0</v>
      </c>
      <c r="CV1543" t="s">
        <v>111</v>
      </c>
      <c r="CW1543" t="s">
        <v>111</v>
      </c>
      <c r="CX1543" t="s">
        <v>111</v>
      </c>
      <c r="CY1543">
        <v>0</v>
      </c>
      <c r="CZ1543" t="s">
        <v>111</v>
      </c>
      <c r="DA1543" t="s">
        <v>111</v>
      </c>
      <c r="DB1543" t="s">
        <v>111</v>
      </c>
      <c r="DC1543" t="s">
        <v>111</v>
      </c>
    </row>
    <row r="1544" spans="1:107">
      <c r="A1544">
        <v>1333</v>
      </c>
      <c r="B1544" t="s">
        <v>107</v>
      </c>
      <c r="C1544" t="s">
        <v>4041</v>
      </c>
      <c r="D1544" t="s">
        <v>4315</v>
      </c>
      <c r="E1544" t="s">
        <v>4316</v>
      </c>
      <c r="F1544" t="s">
        <v>1651</v>
      </c>
      <c r="G1544" t="s">
        <v>24</v>
      </c>
      <c r="H1544">
        <v>1</v>
      </c>
      <c r="I1544">
        <v>50</v>
      </c>
      <c r="J1544">
        <v>0</v>
      </c>
      <c r="K1544">
        <v>0</v>
      </c>
      <c r="L1544" t="s">
        <v>112</v>
      </c>
      <c r="M1544" t="s">
        <v>118</v>
      </c>
      <c r="N1544">
        <v>39</v>
      </c>
      <c r="O1544">
        <v>2</v>
      </c>
      <c r="P1544" t="s">
        <v>111</v>
      </c>
      <c r="Q1544">
        <v>65</v>
      </c>
      <c r="R1544">
        <v>0</v>
      </c>
      <c r="S1544">
        <v>0</v>
      </c>
      <c r="T1544">
        <v>5</v>
      </c>
      <c r="U1544" t="e">
        <f>-DESTINO DARMA</f>
        <v>#NAME?</v>
      </c>
      <c r="V1544">
        <v>0</v>
      </c>
      <c r="W1544">
        <v>0</v>
      </c>
      <c r="X1544">
        <v>0</v>
      </c>
      <c r="Y1544">
        <v>25</v>
      </c>
      <c r="Z1544" t="s">
        <v>111</v>
      </c>
      <c r="AA1544">
        <v>0</v>
      </c>
      <c r="AB1544" t="s">
        <v>111</v>
      </c>
      <c r="AC1544">
        <v>0</v>
      </c>
      <c r="AD1544" t="s">
        <v>416</v>
      </c>
      <c r="AE1544">
        <v>0</v>
      </c>
      <c r="AF1544">
        <v>0</v>
      </c>
      <c r="AG1544" t="s">
        <v>111</v>
      </c>
      <c r="AH1544" t="s">
        <v>113</v>
      </c>
      <c r="AI1544" t="s">
        <v>111</v>
      </c>
      <c r="AJ1544" t="s">
        <v>111</v>
      </c>
      <c r="AK1544" t="s">
        <v>111</v>
      </c>
      <c r="AL1544" t="s">
        <v>111</v>
      </c>
      <c r="AM1544">
        <v>0</v>
      </c>
      <c r="AN1544">
        <v>0</v>
      </c>
      <c r="AO1544">
        <v>0</v>
      </c>
      <c r="AP1544" t="s">
        <v>111</v>
      </c>
      <c r="AQ1544" t="s">
        <v>111</v>
      </c>
      <c r="AR1544" t="s">
        <v>111</v>
      </c>
      <c r="AS1544" t="s">
        <v>111</v>
      </c>
      <c r="AT1544" t="s">
        <v>111</v>
      </c>
      <c r="AU1544" t="s">
        <v>111</v>
      </c>
      <c r="AV1544" t="s">
        <v>111</v>
      </c>
      <c r="AW1544" t="s">
        <v>111</v>
      </c>
      <c r="AX1544" t="s">
        <v>111</v>
      </c>
      <c r="AY1544" t="s">
        <v>111</v>
      </c>
      <c r="AZ1544" t="s">
        <v>111</v>
      </c>
      <c r="BA1544" t="s">
        <v>111</v>
      </c>
      <c r="BB1544" t="s">
        <v>111</v>
      </c>
      <c r="BC1544" t="s">
        <v>111</v>
      </c>
      <c r="BD1544" t="s">
        <v>111</v>
      </c>
      <c r="BE1544" t="s">
        <v>111</v>
      </c>
      <c r="BF1544" t="s">
        <v>111</v>
      </c>
      <c r="BG1544" t="s">
        <v>111</v>
      </c>
      <c r="BH1544" t="s">
        <v>111</v>
      </c>
      <c r="BI1544" t="s">
        <v>111</v>
      </c>
      <c r="BJ1544" t="s">
        <v>111</v>
      </c>
      <c r="BK1544" t="s">
        <v>111</v>
      </c>
      <c r="BL1544" t="s">
        <v>111</v>
      </c>
      <c r="BM1544" t="s">
        <v>111</v>
      </c>
      <c r="BN1544" t="s">
        <v>111</v>
      </c>
      <c r="BO1544" t="s">
        <v>111</v>
      </c>
      <c r="BP1544" t="s">
        <v>111</v>
      </c>
      <c r="BQ1544" t="s">
        <v>111</v>
      </c>
      <c r="BR1544" t="s">
        <v>111</v>
      </c>
      <c r="BS1544" t="s">
        <v>111</v>
      </c>
      <c r="BT1544" t="s">
        <v>111</v>
      </c>
      <c r="BU1544" t="s">
        <v>111</v>
      </c>
      <c r="BV1544" t="s">
        <v>111</v>
      </c>
      <c r="BW1544" t="s">
        <v>111</v>
      </c>
      <c r="BX1544" t="s">
        <v>111</v>
      </c>
      <c r="BY1544" t="s">
        <v>111</v>
      </c>
      <c r="BZ1544" t="s">
        <v>111</v>
      </c>
      <c r="CA1544" t="s">
        <v>111</v>
      </c>
      <c r="CB1544" t="s">
        <v>111</v>
      </c>
      <c r="CC1544" t="s">
        <v>111</v>
      </c>
      <c r="CD1544" t="s">
        <v>111</v>
      </c>
      <c r="CE1544" t="s">
        <v>111</v>
      </c>
      <c r="CF1544" t="s">
        <v>111</v>
      </c>
      <c r="CG1544" t="s">
        <v>111</v>
      </c>
      <c r="CH1544" t="s">
        <v>111</v>
      </c>
      <c r="CI1544" t="s">
        <v>111</v>
      </c>
      <c r="CJ1544" t="s">
        <v>111</v>
      </c>
      <c r="CK1544" t="s">
        <v>111</v>
      </c>
      <c r="CL1544" t="s">
        <v>111</v>
      </c>
      <c r="CM1544">
        <v>450</v>
      </c>
      <c r="CN1544" t="s">
        <v>113</v>
      </c>
      <c r="CO1544" t="s">
        <v>111</v>
      </c>
      <c r="CP1544" t="s">
        <v>111</v>
      </c>
      <c r="CQ1544">
        <v>90</v>
      </c>
      <c r="CR1544">
        <v>10000</v>
      </c>
      <c r="CS1544">
        <v>500</v>
      </c>
      <c r="CT1544" t="e">
        <f>-ALMACEN</f>
        <v>#NAME?</v>
      </c>
      <c r="CU1544">
        <v>0</v>
      </c>
      <c r="CV1544" t="s">
        <v>111</v>
      </c>
      <c r="CW1544" t="s">
        <v>111</v>
      </c>
      <c r="CX1544" t="s">
        <v>111</v>
      </c>
      <c r="CY1544">
        <v>0</v>
      </c>
      <c r="CZ1544" t="s">
        <v>111</v>
      </c>
      <c r="DA1544" t="s">
        <v>111</v>
      </c>
      <c r="DB1544" t="s">
        <v>111</v>
      </c>
      <c r="DC1544" t="s">
        <v>111</v>
      </c>
    </row>
    <row r="1545" spans="1:107">
      <c r="A1545">
        <v>1365</v>
      </c>
      <c r="B1545" t="s">
        <v>107</v>
      </c>
      <c r="C1545" t="s">
        <v>1643</v>
      </c>
      <c r="D1545" t="s">
        <v>3704</v>
      </c>
      <c r="E1545" t="s">
        <v>4317</v>
      </c>
      <c r="F1545" t="s">
        <v>2211</v>
      </c>
      <c r="G1545" t="s">
        <v>24</v>
      </c>
      <c r="H1545">
        <v>1.1000000000000001</v>
      </c>
      <c r="I1545">
        <v>40</v>
      </c>
      <c r="J1545">
        <v>0</v>
      </c>
      <c r="K1545">
        <v>0</v>
      </c>
      <c r="L1545" t="s">
        <v>4318</v>
      </c>
      <c r="M1545" t="s">
        <v>111</v>
      </c>
      <c r="N1545">
        <v>0</v>
      </c>
      <c r="O1545">
        <v>0</v>
      </c>
      <c r="P1545" t="s">
        <v>111</v>
      </c>
      <c r="Q1545">
        <v>36.700000000000003</v>
      </c>
      <c r="R1545">
        <v>0</v>
      </c>
      <c r="S1545">
        <v>0</v>
      </c>
      <c r="T1545">
        <v>0</v>
      </c>
      <c r="U1545" s="1" t="s">
        <v>4319</v>
      </c>
      <c r="V1545">
        <v>0</v>
      </c>
      <c r="W1545">
        <v>0</v>
      </c>
      <c r="X1545">
        <v>0</v>
      </c>
      <c r="Y1545">
        <v>25</v>
      </c>
      <c r="Z1545" t="s">
        <v>111</v>
      </c>
      <c r="AA1545">
        <v>0</v>
      </c>
      <c r="AB1545" t="s">
        <v>4320</v>
      </c>
      <c r="AC1545">
        <v>0.3</v>
      </c>
      <c r="AD1545" t="s">
        <v>111</v>
      </c>
      <c r="AE1545">
        <v>0</v>
      </c>
      <c r="AF1545">
        <v>0</v>
      </c>
      <c r="AG1545" t="s">
        <v>111</v>
      </c>
      <c r="AH1545" t="s">
        <v>111</v>
      </c>
      <c r="AI1545" t="s">
        <v>111</v>
      </c>
      <c r="AJ1545" t="s">
        <v>111</v>
      </c>
      <c r="AK1545" t="s">
        <v>111</v>
      </c>
      <c r="AL1545" t="s">
        <v>111</v>
      </c>
      <c r="AM1545">
        <v>0</v>
      </c>
      <c r="AN1545">
        <v>0</v>
      </c>
      <c r="AO1545">
        <v>0</v>
      </c>
      <c r="AP1545" t="s">
        <v>111</v>
      </c>
      <c r="AQ1545" t="s">
        <v>111</v>
      </c>
      <c r="AR1545" t="s">
        <v>111</v>
      </c>
      <c r="AS1545" t="s">
        <v>111</v>
      </c>
      <c r="AT1545" t="s">
        <v>111</v>
      </c>
      <c r="AU1545" t="s">
        <v>111</v>
      </c>
      <c r="AV1545" t="s">
        <v>111</v>
      </c>
      <c r="AW1545" t="s">
        <v>111</v>
      </c>
      <c r="AX1545" t="s">
        <v>111</v>
      </c>
      <c r="AY1545" t="s">
        <v>111</v>
      </c>
      <c r="AZ1545" t="s">
        <v>111</v>
      </c>
      <c r="BA1545" t="s">
        <v>111</v>
      </c>
      <c r="BB1545" t="s">
        <v>111</v>
      </c>
      <c r="BC1545" t="s">
        <v>111</v>
      </c>
      <c r="BD1545" t="s">
        <v>111</v>
      </c>
      <c r="BE1545" t="s">
        <v>111</v>
      </c>
      <c r="BF1545" t="s">
        <v>111</v>
      </c>
      <c r="BG1545" t="s">
        <v>111</v>
      </c>
      <c r="BH1545" t="s">
        <v>111</v>
      </c>
      <c r="BI1545" t="s">
        <v>111</v>
      </c>
      <c r="BJ1545" t="s">
        <v>111</v>
      </c>
      <c r="BK1545" t="s">
        <v>111</v>
      </c>
      <c r="BL1545" t="s">
        <v>111</v>
      </c>
      <c r="BM1545" t="s">
        <v>111</v>
      </c>
      <c r="BN1545" t="s">
        <v>111</v>
      </c>
      <c r="BO1545" t="s">
        <v>111</v>
      </c>
      <c r="BP1545" t="s">
        <v>111</v>
      </c>
      <c r="BQ1545" t="s">
        <v>111</v>
      </c>
      <c r="BR1545" t="s">
        <v>111</v>
      </c>
      <c r="BS1545" t="s">
        <v>111</v>
      </c>
      <c r="BT1545" t="s">
        <v>111</v>
      </c>
      <c r="BU1545" t="s">
        <v>111</v>
      </c>
      <c r="BV1545" t="s">
        <v>111</v>
      </c>
      <c r="BW1545" t="s">
        <v>111</v>
      </c>
      <c r="BX1545" t="s">
        <v>111</v>
      </c>
      <c r="BY1545" t="s">
        <v>111</v>
      </c>
      <c r="BZ1545" t="s">
        <v>111</v>
      </c>
      <c r="CA1545" t="s">
        <v>111</v>
      </c>
      <c r="CB1545" t="s">
        <v>111</v>
      </c>
      <c r="CC1545" t="s">
        <v>111</v>
      </c>
      <c r="CD1545" t="s">
        <v>111</v>
      </c>
      <c r="CE1545" t="s">
        <v>111</v>
      </c>
      <c r="CF1545" t="s">
        <v>111</v>
      </c>
      <c r="CG1545" t="s">
        <v>111</v>
      </c>
      <c r="CH1545" t="s">
        <v>111</v>
      </c>
      <c r="CI1545" t="s">
        <v>111</v>
      </c>
      <c r="CJ1545" t="s">
        <v>111</v>
      </c>
      <c r="CK1545" t="s">
        <v>111</v>
      </c>
      <c r="CL1545" t="s">
        <v>111</v>
      </c>
      <c r="CM1545" t="s">
        <v>111</v>
      </c>
      <c r="CN1545" t="s">
        <v>111</v>
      </c>
      <c r="CO1545" t="s">
        <v>111</v>
      </c>
      <c r="CP1545" t="s">
        <v>111</v>
      </c>
      <c r="CQ1545">
        <v>0</v>
      </c>
      <c r="CR1545">
        <v>0</v>
      </c>
      <c r="CS1545">
        <v>0</v>
      </c>
      <c r="CT1545" t="s">
        <v>111</v>
      </c>
      <c r="CU1545">
        <v>0</v>
      </c>
      <c r="CV1545" t="s">
        <v>111</v>
      </c>
      <c r="CW1545" t="s">
        <v>111</v>
      </c>
      <c r="CX1545" t="s">
        <v>111</v>
      </c>
      <c r="CY1545">
        <v>0</v>
      </c>
      <c r="CZ1545" t="s">
        <v>111</v>
      </c>
      <c r="DA1545" t="s">
        <v>111</v>
      </c>
      <c r="DB1545" t="s">
        <v>111</v>
      </c>
      <c r="DC1545" t="s">
        <v>111</v>
      </c>
    </row>
    <row r="1546" spans="1:107">
      <c r="A1546">
        <v>1364</v>
      </c>
      <c r="B1546" t="s">
        <v>107</v>
      </c>
      <c r="C1546" t="s">
        <v>1643</v>
      </c>
      <c r="D1546" t="s">
        <v>4321</v>
      </c>
      <c r="E1546" t="s">
        <v>4322</v>
      </c>
      <c r="F1546" t="s">
        <v>2211</v>
      </c>
      <c r="G1546" t="s">
        <v>24</v>
      </c>
      <c r="H1546">
        <v>1.1000000000000001</v>
      </c>
      <c r="I1546">
        <v>50</v>
      </c>
      <c r="J1546">
        <v>0</v>
      </c>
      <c r="K1546">
        <v>0</v>
      </c>
      <c r="L1546" t="s">
        <v>4318</v>
      </c>
      <c r="M1546" t="s">
        <v>111</v>
      </c>
      <c r="N1546">
        <v>0</v>
      </c>
      <c r="O1546">
        <v>0</v>
      </c>
      <c r="P1546" t="s">
        <v>111</v>
      </c>
      <c r="Q1546">
        <v>39.200000000000003</v>
      </c>
      <c r="R1546">
        <v>0</v>
      </c>
      <c r="S1546">
        <v>0</v>
      </c>
      <c r="T1546">
        <v>0</v>
      </c>
      <c r="U1546" s="1" t="s">
        <v>4323</v>
      </c>
      <c r="V1546">
        <v>0</v>
      </c>
      <c r="W1546">
        <v>0</v>
      </c>
      <c r="X1546">
        <v>0</v>
      </c>
      <c r="Y1546">
        <v>25</v>
      </c>
      <c r="Z1546" t="s">
        <v>111</v>
      </c>
      <c r="AA1546">
        <v>0</v>
      </c>
      <c r="AB1546" t="s">
        <v>4320</v>
      </c>
      <c r="AC1546">
        <v>0.3</v>
      </c>
      <c r="AD1546" t="s">
        <v>111</v>
      </c>
      <c r="AE1546">
        <v>0</v>
      </c>
      <c r="AF1546">
        <v>0</v>
      </c>
      <c r="AG1546" t="s">
        <v>111</v>
      </c>
      <c r="AH1546" t="s">
        <v>111</v>
      </c>
      <c r="AI1546" t="s">
        <v>111</v>
      </c>
      <c r="AJ1546" t="s">
        <v>111</v>
      </c>
      <c r="AK1546" t="s">
        <v>111</v>
      </c>
      <c r="AL1546" t="s">
        <v>111</v>
      </c>
      <c r="AM1546">
        <v>0</v>
      </c>
      <c r="AN1546">
        <v>0</v>
      </c>
      <c r="AO1546">
        <v>0</v>
      </c>
      <c r="AP1546" t="s">
        <v>111</v>
      </c>
      <c r="AQ1546" t="s">
        <v>111</v>
      </c>
      <c r="AR1546" t="s">
        <v>111</v>
      </c>
      <c r="AS1546" t="s">
        <v>111</v>
      </c>
      <c r="AT1546" t="s">
        <v>111</v>
      </c>
      <c r="AU1546" t="s">
        <v>111</v>
      </c>
      <c r="AV1546" t="s">
        <v>111</v>
      </c>
      <c r="AW1546" t="s">
        <v>111</v>
      </c>
      <c r="AX1546" t="s">
        <v>111</v>
      </c>
      <c r="AY1546" t="s">
        <v>111</v>
      </c>
      <c r="AZ1546" t="s">
        <v>111</v>
      </c>
      <c r="BA1546" t="s">
        <v>111</v>
      </c>
      <c r="BB1546" t="s">
        <v>111</v>
      </c>
      <c r="BC1546" t="s">
        <v>111</v>
      </c>
      <c r="BD1546" t="s">
        <v>111</v>
      </c>
      <c r="BE1546" t="s">
        <v>111</v>
      </c>
      <c r="BF1546" t="s">
        <v>111</v>
      </c>
      <c r="BG1546" t="s">
        <v>111</v>
      </c>
      <c r="BH1546" t="s">
        <v>111</v>
      </c>
      <c r="BI1546" t="s">
        <v>111</v>
      </c>
      <c r="BJ1546" t="s">
        <v>111</v>
      </c>
      <c r="BK1546" t="s">
        <v>111</v>
      </c>
      <c r="BL1546" t="s">
        <v>111</v>
      </c>
      <c r="BM1546" t="s">
        <v>111</v>
      </c>
      <c r="BN1546" t="s">
        <v>111</v>
      </c>
      <c r="BO1546" t="s">
        <v>111</v>
      </c>
      <c r="BP1546" t="s">
        <v>111</v>
      </c>
      <c r="BQ1546" t="s">
        <v>111</v>
      </c>
      <c r="BR1546" t="s">
        <v>111</v>
      </c>
      <c r="BS1546" t="s">
        <v>111</v>
      </c>
      <c r="BT1546" t="s">
        <v>111</v>
      </c>
      <c r="BU1546" t="s">
        <v>111</v>
      </c>
      <c r="BV1546" t="s">
        <v>111</v>
      </c>
      <c r="BW1546" t="s">
        <v>111</v>
      </c>
      <c r="BX1546" t="s">
        <v>111</v>
      </c>
      <c r="BY1546" t="s">
        <v>111</v>
      </c>
      <c r="BZ1546" t="s">
        <v>111</v>
      </c>
      <c r="CA1546" t="s">
        <v>111</v>
      </c>
      <c r="CB1546" t="s">
        <v>111</v>
      </c>
      <c r="CC1546" t="s">
        <v>111</v>
      </c>
      <c r="CD1546" t="s">
        <v>111</v>
      </c>
      <c r="CE1546" t="s">
        <v>111</v>
      </c>
      <c r="CF1546" t="s">
        <v>111</v>
      </c>
      <c r="CG1546" t="s">
        <v>111</v>
      </c>
      <c r="CH1546" t="s">
        <v>111</v>
      </c>
      <c r="CI1546" t="s">
        <v>111</v>
      </c>
      <c r="CJ1546" t="s">
        <v>111</v>
      </c>
      <c r="CK1546" t="s">
        <v>111</v>
      </c>
      <c r="CL1546" t="s">
        <v>111</v>
      </c>
      <c r="CM1546" t="s">
        <v>111</v>
      </c>
      <c r="CN1546" t="s">
        <v>111</v>
      </c>
      <c r="CO1546" t="s">
        <v>111</v>
      </c>
      <c r="CP1546" t="s">
        <v>111</v>
      </c>
      <c r="CQ1546">
        <v>0</v>
      </c>
      <c r="CR1546">
        <v>0</v>
      </c>
      <c r="CS1546">
        <v>0</v>
      </c>
      <c r="CT1546" t="s">
        <v>111</v>
      </c>
      <c r="CU1546">
        <v>0</v>
      </c>
      <c r="CV1546" t="s">
        <v>111</v>
      </c>
      <c r="CW1546" t="s">
        <v>111</v>
      </c>
      <c r="CX1546" t="s">
        <v>111</v>
      </c>
      <c r="CY1546">
        <v>0</v>
      </c>
      <c r="CZ1546" t="s">
        <v>111</v>
      </c>
      <c r="DA1546" t="s">
        <v>111</v>
      </c>
      <c r="DB1546" t="s">
        <v>111</v>
      </c>
      <c r="DC1546" t="s">
        <v>111</v>
      </c>
    </row>
    <row r="1547" spans="1:107">
      <c r="A1547">
        <v>1360</v>
      </c>
      <c r="B1547" t="s">
        <v>107</v>
      </c>
      <c r="C1547" t="s">
        <v>4324</v>
      </c>
      <c r="D1547" t="s">
        <v>4325</v>
      </c>
      <c r="E1547" t="s">
        <v>4326</v>
      </c>
      <c r="F1547" t="s">
        <v>2211</v>
      </c>
      <c r="G1547" t="s">
        <v>24</v>
      </c>
      <c r="H1547">
        <v>1.9</v>
      </c>
      <c r="I1547">
        <v>46</v>
      </c>
      <c r="J1547">
        <v>0</v>
      </c>
      <c r="K1547">
        <v>0</v>
      </c>
      <c r="L1547" t="s">
        <v>117</v>
      </c>
      <c r="M1547" t="s">
        <v>118</v>
      </c>
      <c r="N1547">
        <v>40</v>
      </c>
      <c r="O1547">
        <v>1</v>
      </c>
      <c r="P1547" t="s">
        <v>111</v>
      </c>
      <c r="Q1547">
        <v>49</v>
      </c>
      <c r="R1547">
        <v>0</v>
      </c>
      <c r="S1547">
        <v>0</v>
      </c>
      <c r="T1547">
        <v>0</v>
      </c>
      <c r="U1547" s="1" t="s">
        <v>4327</v>
      </c>
      <c r="V1547">
        <v>0</v>
      </c>
      <c r="W1547">
        <v>0</v>
      </c>
      <c r="X1547">
        <v>0</v>
      </c>
      <c r="Y1547">
        <v>25</v>
      </c>
      <c r="Z1547" t="s">
        <v>111</v>
      </c>
      <c r="AA1547">
        <v>0</v>
      </c>
      <c r="AB1547" t="s">
        <v>111</v>
      </c>
      <c r="AC1547">
        <v>0</v>
      </c>
      <c r="AD1547" t="s">
        <v>111</v>
      </c>
      <c r="AE1547">
        <v>0</v>
      </c>
      <c r="AF1547">
        <v>0</v>
      </c>
      <c r="AG1547" t="s">
        <v>111</v>
      </c>
      <c r="AH1547" t="s">
        <v>111</v>
      </c>
      <c r="AI1547" t="s">
        <v>111</v>
      </c>
      <c r="AJ1547" t="s">
        <v>111</v>
      </c>
      <c r="AK1547" t="s">
        <v>111</v>
      </c>
      <c r="AL1547" t="s">
        <v>111</v>
      </c>
      <c r="AM1547">
        <v>0</v>
      </c>
      <c r="AN1547">
        <v>0</v>
      </c>
      <c r="AO1547">
        <v>0</v>
      </c>
      <c r="AP1547" t="s">
        <v>111</v>
      </c>
      <c r="AQ1547" t="s">
        <v>111</v>
      </c>
      <c r="AR1547" t="s">
        <v>111</v>
      </c>
      <c r="AS1547" t="s">
        <v>111</v>
      </c>
      <c r="AT1547" t="s">
        <v>111</v>
      </c>
      <c r="AU1547" t="s">
        <v>111</v>
      </c>
      <c r="AV1547" t="s">
        <v>111</v>
      </c>
      <c r="AW1547" t="s">
        <v>111</v>
      </c>
      <c r="AX1547" t="s">
        <v>111</v>
      </c>
      <c r="AY1547" t="s">
        <v>111</v>
      </c>
      <c r="AZ1547" t="s">
        <v>111</v>
      </c>
      <c r="BA1547" t="s">
        <v>111</v>
      </c>
      <c r="BB1547" t="s">
        <v>111</v>
      </c>
      <c r="BC1547" t="s">
        <v>111</v>
      </c>
      <c r="BD1547" t="s">
        <v>111</v>
      </c>
      <c r="BE1547" t="s">
        <v>111</v>
      </c>
      <c r="BF1547" t="s">
        <v>111</v>
      </c>
      <c r="BG1547" t="s">
        <v>111</v>
      </c>
      <c r="BH1547" t="s">
        <v>111</v>
      </c>
      <c r="BI1547" t="s">
        <v>111</v>
      </c>
      <c r="BJ1547" t="s">
        <v>111</v>
      </c>
      <c r="BK1547" t="s">
        <v>111</v>
      </c>
      <c r="BL1547" t="s">
        <v>111</v>
      </c>
      <c r="BM1547" t="s">
        <v>111</v>
      </c>
      <c r="BN1547" t="s">
        <v>111</v>
      </c>
      <c r="BO1547" t="s">
        <v>111</v>
      </c>
      <c r="BP1547" t="s">
        <v>111</v>
      </c>
      <c r="BQ1547" t="s">
        <v>111</v>
      </c>
      <c r="BR1547" t="s">
        <v>111</v>
      </c>
      <c r="BS1547" t="s">
        <v>111</v>
      </c>
      <c r="BT1547" t="s">
        <v>111</v>
      </c>
      <c r="BU1547" t="s">
        <v>111</v>
      </c>
      <c r="BV1547" t="s">
        <v>111</v>
      </c>
      <c r="BW1547" t="s">
        <v>111</v>
      </c>
      <c r="BX1547" t="s">
        <v>111</v>
      </c>
      <c r="BY1547" t="s">
        <v>111</v>
      </c>
      <c r="BZ1547" t="s">
        <v>111</v>
      </c>
      <c r="CA1547" t="s">
        <v>111</v>
      </c>
      <c r="CB1547" t="s">
        <v>111</v>
      </c>
      <c r="CC1547" t="s">
        <v>111</v>
      </c>
      <c r="CD1547" t="s">
        <v>111</v>
      </c>
      <c r="CE1547" t="s">
        <v>111</v>
      </c>
      <c r="CF1547" t="s">
        <v>111</v>
      </c>
      <c r="CG1547" t="s">
        <v>111</v>
      </c>
      <c r="CH1547" t="s">
        <v>111</v>
      </c>
      <c r="CI1547" t="s">
        <v>111</v>
      </c>
      <c r="CJ1547" t="s">
        <v>111</v>
      </c>
      <c r="CK1547" t="s">
        <v>111</v>
      </c>
      <c r="CL1547" t="s">
        <v>111</v>
      </c>
      <c r="CM1547" t="s">
        <v>111</v>
      </c>
      <c r="CN1547" t="s">
        <v>111</v>
      </c>
      <c r="CO1547" t="s">
        <v>111</v>
      </c>
      <c r="CP1547" t="s">
        <v>111</v>
      </c>
      <c r="CQ1547">
        <v>0</v>
      </c>
      <c r="CR1547">
        <v>0</v>
      </c>
      <c r="CS1547">
        <v>0</v>
      </c>
      <c r="CT1547" t="s">
        <v>111</v>
      </c>
      <c r="CU1547">
        <v>0</v>
      </c>
      <c r="CV1547" t="s">
        <v>111</v>
      </c>
      <c r="CW1547" t="s">
        <v>111</v>
      </c>
      <c r="CX1547" t="s">
        <v>111</v>
      </c>
      <c r="CY1547">
        <v>0</v>
      </c>
      <c r="CZ1547" t="s">
        <v>111</v>
      </c>
      <c r="DA1547" t="s">
        <v>111</v>
      </c>
      <c r="DB1547" t="s">
        <v>111</v>
      </c>
      <c r="DC1547" t="s">
        <v>111</v>
      </c>
    </row>
    <row r="1548" spans="1:107">
      <c r="A1548">
        <v>1346</v>
      </c>
      <c r="B1548" t="s">
        <v>107</v>
      </c>
      <c r="C1548" s="2">
        <v>3436738</v>
      </c>
      <c r="D1548" t="s">
        <v>1694</v>
      </c>
      <c r="E1548" t="s">
        <v>4328</v>
      </c>
      <c r="F1548" t="s">
        <v>1651</v>
      </c>
      <c r="G1548" t="s">
        <v>24</v>
      </c>
      <c r="H1548">
        <v>1.4</v>
      </c>
      <c r="I1548">
        <v>45</v>
      </c>
      <c r="J1548">
        <v>0</v>
      </c>
      <c r="K1548">
        <v>0</v>
      </c>
      <c r="L1548" t="s">
        <v>112</v>
      </c>
      <c r="M1548" t="s">
        <v>118</v>
      </c>
      <c r="N1548">
        <v>40</v>
      </c>
      <c r="O1548">
        <v>2</v>
      </c>
      <c r="P1548" t="s">
        <v>111</v>
      </c>
      <c r="Q1548">
        <v>25.6</v>
      </c>
      <c r="R1548">
        <v>0</v>
      </c>
      <c r="S1548">
        <v>0</v>
      </c>
      <c r="T1548">
        <v>5</v>
      </c>
      <c r="U1548" s="1" t="s">
        <v>4329</v>
      </c>
      <c r="V1548">
        <v>0</v>
      </c>
      <c r="W1548">
        <v>0</v>
      </c>
      <c r="X1548">
        <v>0</v>
      </c>
      <c r="Y1548">
        <v>25</v>
      </c>
      <c r="Z1548" t="s">
        <v>111</v>
      </c>
      <c r="AA1548">
        <v>0</v>
      </c>
      <c r="AB1548" t="s">
        <v>111</v>
      </c>
      <c r="AC1548">
        <v>0</v>
      </c>
      <c r="AD1548" t="s">
        <v>416</v>
      </c>
      <c r="AE1548">
        <v>0</v>
      </c>
      <c r="AF1548">
        <v>0</v>
      </c>
      <c r="AG1548" t="s">
        <v>111</v>
      </c>
      <c r="AH1548" t="s">
        <v>113</v>
      </c>
      <c r="AI1548" t="s">
        <v>111</v>
      </c>
      <c r="AJ1548" t="s">
        <v>111</v>
      </c>
      <c r="AK1548" t="s">
        <v>111</v>
      </c>
      <c r="AL1548" t="s">
        <v>111</v>
      </c>
      <c r="AM1548">
        <v>0</v>
      </c>
      <c r="AN1548">
        <v>0</v>
      </c>
      <c r="AO1548">
        <v>0</v>
      </c>
      <c r="AP1548" t="s">
        <v>111</v>
      </c>
      <c r="AQ1548" t="s">
        <v>111</v>
      </c>
      <c r="AR1548" t="s">
        <v>111</v>
      </c>
      <c r="AS1548" t="s">
        <v>111</v>
      </c>
      <c r="AT1548" t="s">
        <v>111</v>
      </c>
      <c r="AU1548" t="s">
        <v>111</v>
      </c>
      <c r="AV1548" t="s">
        <v>111</v>
      </c>
      <c r="AW1548" t="s">
        <v>111</v>
      </c>
      <c r="AX1548" t="s">
        <v>111</v>
      </c>
      <c r="AY1548" t="s">
        <v>111</v>
      </c>
      <c r="AZ1548" t="s">
        <v>111</v>
      </c>
      <c r="BA1548" t="s">
        <v>111</v>
      </c>
      <c r="BB1548" t="s">
        <v>111</v>
      </c>
      <c r="BC1548" t="s">
        <v>111</v>
      </c>
      <c r="BD1548" t="s">
        <v>111</v>
      </c>
      <c r="BE1548" t="s">
        <v>111</v>
      </c>
      <c r="BF1548" t="s">
        <v>111</v>
      </c>
      <c r="BG1548" t="s">
        <v>111</v>
      </c>
      <c r="BH1548" t="s">
        <v>111</v>
      </c>
      <c r="BI1548" t="s">
        <v>111</v>
      </c>
      <c r="BJ1548" t="s">
        <v>111</v>
      </c>
      <c r="BK1548" t="s">
        <v>111</v>
      </c>
      <c r="BL1548" t="s">
        <v>111</v>
      </c>
      <c r="BM1548" t="s">
        <v>111</v>
      </c>
      <c r="BN1548" t="s">
        <v>111</v>
      </c>
      <c r="BO1548" t="s">
        <v>111</v>
      </c>
      <c r="BP1548" t="s">
        <v>111</v>
      </c>
      <c r="BQ1548" t="s">
        <v>111</v>
      </c>
      <c r="BR1548" t="s">
        <v>111</v>
      </c>
      <c r="BS1548" t="s">
        <v>111</v>
      </c>
      <c r="BT1548" t="s">
        <v>111</v>
      </c>
      <c r="BU1548" t="s">
        <v>111</v>
      </c>
      <c r="BV1548" t="s">
        <v>111</v>
      </c>
      <c r="BW1548" t="s">
        <v>111</v>
      </c>
      <c r="BX1548" t="s">
        <v>111</v>
      </c>
      <c r="BY1548" t="s">
        <v>111</v>
      </c>
      <c r="BZ1548" t="s">
        <v>111</v>
      </c>
      <c r="CA1548" t="s">
        <v>111</v>
      </c>
      <c r="CB1548" t="s">
        <v>111</v>
      </c>
      <c r="CC1548" t="s">
        <v>111</v>
      </c>
      <c r="CD1548" t="s">
        <v>111</v>
      </c>
      <c r="CE1548" t="s">
        <v>111</v>
      </c>
      <c r="CF1548" t="s">
        <v>111</v>
      </c>
      <c r="CG1548" t="s">
        <v>111</v>
      </c>
      <c r="CH1548" t="s">
        <v>111</v>
      </c>
      <c r="CI1548" t="s">
        <v>111</v>
      </c>
      <c r="CJ1548" t="s">
        <v>111</v>
      </c>
      <c r="CK1548" t="s">
        <v>111</v>
      </c>
      <c r="CL1548" t="s">
        <v>111</v>
      </c>
      <c r="CM1548" t="s">
        <v>135</v>
      </c>
      <c r="CN1548" t="s">
        <v>113</v>
      </c>
      <c r="CO1548" t="s">
        <v>111</v>
      </c>
      <c r="CP1548" t="s">
        <v>563</v>
      </c>
      <c r="CQ1548">
        <v>80</v>
      </c>
      <c r="CR1548">
        <v>4000</v>
      </c>
      <c r="CS1548">
        <v>2000</v>
      </c>
      <c r="CT1548" t="e">
        <f>-ALMACEN</f>
        <v>#NAME?</v>
      </c>
      <c r="CU1548">
        <v>0</v>
      </c>
      <c r="CV1548" t="s">
        <v>111</v>
      </c>
      <c r="CW1548" t="s">
        <v>111</v>
      </c>
      <c r="CX1548" t="s">
        <v>111</v>
      </c>
      <c r="CY1548">
        <v>0</v>
      </c>
      <c r="CZ1548" t="s">
        <v>111</v>
      </c>
      <c r="DA1548" t="s">
        <v>111</v>
      </c>
      <c r="DB1548" t="s">
        <v>111</v>
      </c>
      <c r="DC1548" t="s">
        <v>111</v>
      </c>
    </row>
    <row r="1549" spans="1:107">
      <c r="A1549">
        <v>1328</v>
      </c>
      <c r="B1549" t="s">
        <v>107</v>
      </c>
      <c r="C1549" t="s">
        <v>827</v>
      </c>
      <c r="D1549" t="s">
        <v>4330</v>
      </c>
      <c r="E1549" t="s">
        <v>4331</v>
      </c>
      <c r="F1549" t="s">
        <v>1651</v>
      </c>
      <c r="G1549" t="s">
        <v>24</v>
      </c>
      <c r="H1549">
        <v>1.4</v>
      </c>
      <c r="I1549">
        <v>48</v>
      </c>
      <c r="J1549">
        <v>0</v>
      </c>
      <c r="K1549">
        <v>0</v>
      </c>
      <c r="L1549" t="s">
        <v>112</v>
      </c>
      <c r="M1549" t="s">
        <v>118</v>
      </c>
      <c r="N1549">
        <v>39</v>
      </c>
      <c r="O1549">
        <v>2</v>
      </c>
      <c r="P1549" t="s">
        <v>111</v>
      </c>
      <c r="Q1549">
        <v>45.7</v>
      </c>
      <c r="R1549">
        <v>0</v>
      </c>
      <c r="S1549">
        <v>0</v>
      </c>
      <c r="T1549">
        <v>5</v>
      </c>
      <c r="U1549" s="1" t="s">
        <v>4332</v>
      </c>
      <c r="V1549">
        <v>0</v>
      </c>
      <c r="W1549">
        <v>0</v>
      </c>
      <c r="X1549">
        <v>0</v>
      </c>
      <c r="Y1549">
        <v>25</v>
      </c>
      <c r="Z1549" t="s">
        <v>111</v>
      </c>
      <c r="AA1549">
        <v>0</v>
      </c>
      <c r="AB1549" t="s">
        <v>111</v>
      </c>
      <c r="AC1549">
        <v>0</v>
      </c>
      <c r="AD1549" t="s">
        <v>427</v>
      </c>
      <c r="AE1549">
        <v>0</v>
      </c>
      <c r="AF1549">
        <v>0</v>
      </c>
      <c r="AG1549" t="s">
        <v>111</v>
      </c>
      <c r="AH1549" t="s">
        <v>113</v>
      </c>
      <c r="AI1549" t="s">
        <v>111</v>
      </c>
      <c r="AJ1549" t="s">
        <v>111</v>
      </c>
      <c r="AK1549" t="s">
        <v>111</v>
      </c>
      <c r="AL1549" t="s">
        <v>111</v>
      </c>
      <c r="AM1549">
        <v>0</v>
      </c>
      <c r="AN1549">
        <v>0</v>
      </c>
      <c r="AO1549">
        <v>0</v>
      </c>
      <c r="AP1549" t="s">
        <v>111</v>
      </c>
      <c r="AQ1549" t="s">
        <v>111</v>
      </c>
      <c r="AR1549" t="s">
        <v>111</v>
      </c>
      <c r="AS1549" t="s">
        <v>111</v>
      </c>
      <c r="AT1549" t="s">
        <v>111</v>
      </c>
      <c r="AU1549" t="s">
        <v>111</v>
      </c>
      <c r="AV1549" t="s">
        <v>111</v>
      </c>
      <c r="AW1549" t="s">
        <v>111</v>
      </c>
      <c r="AX1549" t="s">
        <v>111</v>
      </c>
      <c r="AY1549" t="s">
        <v>111</v>
      </c>
      <c r="AZ1549" t="s">
        <v>111</v>
      </c>
      <c r="BA1549" t="s">
        <v>111</v>
      </c>
      <c r="BB1549" t="s">
        <v>111</v>
      </c>
      <c r="BC1549" t="s">
        <v>111</v>
      </c>
      <c r="BD1549" t="s">
        <v>111</v>
      </c>
      <c r="BE1549" t="s">
        <v>111</v>
      </c>
      <c r="BF1549" t="s">
        <v>111</v>
      </c>
      <c r="BG1549" t="s">
        <v>111</v>
      </c>
      <c r="BH1549" t="s">
        <v>111</v>
      </c>
      <c r="BI1549" t="s">
        <v>111</v>
      </c>
      <c r="BJ1549" t="s">
        <v>111</v>
      </c>
      <c r="BK1549" t="s">
        <v>111</v>
      </c>
      <c r="BL1549" t="s">
        <v>111</v>
      </c>
      <c r="BM1549" t="s">
        <v>111</v>
      </c>
      <c r="BN1549" t="s">
        <v>111</v>
      </c>
      <c r="BO1549" t="s">
        <v>111</v>
      </c>
      <c r="BP1549" t="s">
        <v>111</v>
      </c>
      <c r="BQ1549" t="s">
        <v>111</v>
      </c>
      <c r="BR1549" t="s">
        <v>111</v>
      </c>
      <c r="BS1549" t="s">
        <v>111</v>
      </c>
      <c r="BT1549" t="s">
        <v>111</v>
      </c>
      <c r="BU1549" t="s">
        <v>111</v>
      </c>
      <c r="BV1549" t="s">
        <v>111</v>
      </c>
      <c r="BW1549" t="s">
        <v>111</v>
      </c>
      <c r="BX1549" t="s">
        <v>111</v>
      </c>
      <c r="BY1549" t="s">
        <v>111</v>
      </c>
      <c r="BZ1549" t="s">
        <v>111</v>
      </c>
      <c r="CA1549" t="s">
        <v>111</v>
      </c>
      <c r="CB1549" t="s">
        <v>111</v>
      </c>
      <c r="CC1549" t="s">
        <v>111</v>
      </c>
      <c r="CD1549" t="s">
        <v>111</v>
      </c>
      <c r="CE1549" t="s">
        <v>111</v>
      </c>
      <c r="CF1549" t="s">
        <v>111</v>
      </c>
      <c r="CG1549" t="s">
        <v>111</v>
      </c>
      <c r="CH1549" t="s">
        <v>111</v>
      </c>
      <c r="CI1549" t="s">
        <v>111</v>
      </c>
      <c r="CJ1549" t="s">
        <v>111</v>
      </c>
      <c r="CK1549" t="s">
        <v>111</v>
      </c>
      <c r="CL1549" t="s">
        <v>111</v>
      </c>
      <c r="CM1549" t="s">
        <v>135</v>
      </c>
      <c r="CN1549" t="s">
        <v>113</v>
      </c>
      <c r="CO1549" t="s">
        <v>111</v>
      </c>
      <c r="CP1549" t="e">
        <f>-MUESTRA</f>
        <v>#NAME?</v>
      </c>
      <c r="CQ1549">
        <v>66</v>
      </c>
      <c r="CR1549">
        <v>3000</v>
      </c>
      <c r="CS1549">
        <v>200</v>
      </c>
      <c r="CT1549" t="e">
        <f>-ALMACEN</f>
        <v>#NAME?</v>
      </c>
      <c r="CU1549">
        <v>0</v>
      </c>
      <c r="CV1549" t="s">
        <v>111</v>
      </c>
      <c r="CW1549" t="s">
        <v>111</v>
      </c>
      <c r="CX1549" t="s">
        <v>111</v>
      </c>
      <c r="CY1549">
        <v>0</v>
      </c>
      <c r="CZ1549" t="s">
        <v>111</v>
      </c>
      <c r="DA1549" t="s">
        <v>111</v>
      </c>
      <c r="DB1549" t="s">
        <v>111</v>
      </c>
      <c r="DC1549" t="s">
        <v>111</v>
      </c>
    </row>
    <row r="1550" spans="1:107">
      <c r="A1550">
        <v>1344</v>
      </c>
      <c r="B1550" t="s">
        <v>107</v>
      </c>
      <c r="C1550" t="s">
        <v>801</v>
      </c>
      <c r="D1550" t="s">
        <v>4333</v>
      </c>
      <c r="E1550" t="s">
        <v>4334</v>
      </c>
      <c r="F1550" t="s">
        <v>1071</v>
      </c>
      <c r="G1550" t="s">
        <v>24</v>
      </c>
      <c r="H1550">
        <v>1.4</v>
      </c>
      <c r="I1550">
        <v>33</v>
      </c>
      <c r="J1550">
        <v>0</v>
      </c>
      <c r="K1550">
        <v>0</v>
      </c>
      <c r="L1550" t="s">
        <v>112</v>
      </c>
      <c r="M1550" t="s">
        <v>111</v>
      </c>
      <c r="N1550">
        <v>0</v>
      </c>
      <c r="O1550">
        <v>0</v>
      </c>
      <c r="P1550" t="s">
        <v>111</v>
      </c>
      <c r="Q1550">
        <v>37.799999999999997</v>
      </c>
      <c r="R1550">
        <v>0</v>
      </c>
      <c r="S1550">
        <v>0</v>
      </c>
      <c r="T1550">
        <v>5</v>
      </c>
      <c r="U1550" s="1" t="s">
        <v>132</v>
      </c>
      <c r="V1550">
        <v>0</v>
      </c>
      <c r="W1550">
        <v>0</v>
      </c>
      <c r="X1550">
        <v>0</v>
      </c>
      <c r="Y1550">
        <v>25</v>
      </c>
      <c r="Z1550" t="s">
        <v>111</v>
      </c>
      <c r="AA1550">
        <v>0</v>
      </c>
      <c r="AB1550" t="s">
        <v>111</v>
      </c>
      <c r="AC1550">
        <v>0</v>
      </c>
      <c r="AD1550" t="s">
        <v>111</v>
      </c>
      <c r="AE1550">
        <v>0</v>
      </c>
      <c r="AF1550">
        <v>0</v>
      </c>
      <c r="AG1550" t="s">
        <v>111</v>
      </c>
      <c r="AH1550" t="s">
        <v>111</v>
      </c>
      <c r="AI1550" t="s">
        <v>111</v>
      </c>
      <c r="AJ1550" t="s">
        <v>111</v>
      </c>
      <c r="AK1550" t="s">
        <v>111</v>
      </c>
      <c r="AL1550" t="s">
        <v>111</v>
      </c>
      <c r="AM1550">
        <v>0</v>
      </c>
      <c r="AN1550">
        <v>0</v>
      </c>
      <c r="AO1550">
        <v>0</v>
      </c>
      <c r="AP1550" t="s">
        <v>111</v>
      </c>
      <c r="AQ1550" t="s">
        <v>111</v>
      </c>
      <c r="AR1550" t="s">
        <v>111</v>
      </c>
      <c r="AS1550" t="s">
        <v>111</v>
      </c>
      <c r="AT1550" t="s">
        <v>111</v>
      </c>
      <c r="AU1550" t="s">
        <v>111</v>
      </c>
      <c r="AV1550" t="s">
        <v>111</v>
      </c>
      <c r="AW1550" t="s">
        <v>111</v>
      </c>
      <c r="AX1550" t="s">
        <v>111</v>
      </c>
      <c r="AY1550" t="s">
        <v>111</v>
      </c>
      <c r="AZ1550" t="s">
        <v>111</v>
      </c>
      <c r="BA1550" t="s">
        <v>111</v>
      </c>
      <c r="BB1550" t="s">
        <v>111</v>
      </c>
      <c r="BC1550" t="s">
        <v>111</v>
      </c>
      <c r="BD1550" t="s">
        <v>111</v>
      </c>
      <c r="BE1550" t="s">
        <v>111</v>
      </c>
      <c r="BF1550" t="s">
        <v>111</v>
      </c>
      <c r="BG1550" t="s">
        <v>111</v>
      </c>
      <c r="BH1550" t="s">
        <v>111</v>
      </c>
      <c r="BI1550" t="s">
        <v>111</v>
      </c>
      <c r="BJ1550" t="s">
        <v>111</v>
      </c>
      <c r="BK1550" t="s">
        <v>111</v>
      </c>
      <c r="BL1550" t="s">
        <v>111</v>
      </c>
      <c r="BM1550" t="s">
        <v>111</v>
      </c>
      <c r="BN1550" t="s">
        <v>111</v>
      </c>
      <c r="BO1550" t="s">
        <v>111</v>
      </c>
      <c r="BP1550" t="s">
        <v>111</v>
      </c>
      <c r="BQ1550" t="s">
        <v>111</v>
      </c>
      <c r="BR1550" t="s">
        <v>111</v>
      </c>
      <c r="BS1550" t="s">
        <v>111</v>
      </c>
      <c r="BT1550" t="s">
        <v>111</v>
      </c>
      <c r="BU1550" t="s">
        <v>111</v>
      </c>
      <c r="BV1550" t="s">
        <v>111</v>
      </c>
      <c r="BW1550" t="s">
        <v>111</v>
      </c>
      <c r="BX1550" t="s">
        <v>111</v>
      </c>
      <c r="BY1550" t="s">
        <v>111</v>
      </c>
      <c r="BZ1550" t="s">
        <v>111</v>
      </c>
      <c r="CA1550" t="s">
        <v>111</v>
      </c>
      <c r="CB1550" t="s">
        <v>111</v>
      </c>
      <c r="CC1550" t="s">
        <v>111</v>
      </c>
      <c r="CD1550" t="s">
        <v>111</v>
      </c>
      <c r="CE1550" t="s">
        <v>111</v>
      </c>
      <c r="CF1550" t="s">
        <v>111</v>
      </c>
      <c r="CG1550" t="s">
        <v>111</v>
      </c>
      <c r="CH1550" t="s">
        <v>111</v>
      </c>
      <c r="CI1550" t="s">
        <v>111</v>
      </c>
      <c r="CJ1550" t="s">
        <v>111</v>
      </c>
      <c r="CK1550" t="s">
        <v>111</v>
      </c>
      <c r="CL1550" t="s">
        <v>111</v>
      </c>
      <c r="CM1550" t="s">
        <v>135</v>
      </c>
      <c r="CN1550" t="s">
        <v>113</v>
      </c>
      <c r="CO1550" t="s">
        <v>4335</v>
      </c>
      <c r="CP1550" t="s">
        <v>111</v>
      </c>
      <c r="CQ1550">
        <v>55</v>
      </c>
      <c r="CR1550">
        <v>4000</v>
      </c>
      <c r="CS1550">
        <v>100</v>
      </c>
      <c r="CT1550" t="e">
        <f>-ALMACEN</f>
        <v>#NAME?</v>
      </c>
      <c r="CU1550">
        <v>0</v>
      </c>
      <c r="CV1550" t="s">
        <v>111</v>
      </c>
      <c r="CW1550" t="s">
        <v>111</v>
      </c>
      <c r="CX1550" t="s">
        <v>111</v>
      </c>
      <c r="CY1550">
        <v>0</v>
      </c>
      <c r="CZ1550" t="s">
        <v>111</v>
      </c>
      <c r="DA1550" t="s">
        <v>111</v>
      </c>
      <c r="DB1550" t="s">
        <v>111</v>
      </c>
      <c r="DC1550" t="s">
        <v>111</v>
      </c>
    </row>
    <row r="1551" spans="1:107">
      <c r="A1551">
        <v>1481</v>
      </c>
      <c r="B1551" t="s">
        <v>107</v>
      </c>
      <c r="C1551" t="s">
        <v>4206</v>
      </c>
      <c r="D1551" t="s">
        <v>4336</v>
      </c>
      <c r="E1551" t="s">
        <v>4337</v>
      </c>
      <c r="F1551" t="s">
        <v>1071</v>
      </c>
      <c r="G1551" t="s">
        <v>24</v>
      </c>
      <c r="H1551">
        <v>1</v>
      </c>
      <c r="I1551">
        <v>30</v>
      </c>
      <c r="J1551">
        <v>0</v>
      </c>
      <c r="K1551">
        <v>0</v>
      </c>
      <c r="L1551" t="s">
        <v>112</v>
      </c>
      <c r="M1551" t="s">
        <v>111</v>
      </c>
      <c r="N1551">
        <v>0</v>
      </c>
      <c r="O1551">
        <v>0</v>
      </c>
      <c r="P1551" t="s">
        <v>111</v>
      </c>
      <c r="Q1551">
        <v>29.4</v>
      </c>
      <c r="R1551">
        <v>0</v>
      </c>
      <c r="S1551">
        <v>0</v>
      </c>
      <c r="T1551">
        <v>5</v>
      </c>
      <c r="U1551" s="1" t="s">
        <v>4338</v>
      </c>
      <c r="V1551">
        <v>0</v>
      </c>
      <c r="W1551">
        <v>0</v>
      </c>
      <c r="X1551">
        <v>0</v>
      </c>
      <c r="Y1551">
        <v>25</v>
      </c>
      <c r="Z1551" t="s">
        <v>111</v>
      </c>
      <c r="AA1551">
        <v>0</v>
      </c>
      <c r="AB1551" t="s">
        <v>111</v>
      </c>
      <c r="AC1551">
        <v>0</v>
      </c>
      <c r="AD1551" t="s">
        <v>111</v>
      </c>
      <c r="AE1551">
        <v>0</v>
      </c>
      <c r="AF1551">
        <v>0</v>
      </c>
      <c r="AG1551" t="s">
        <v>111</v>
      </c>
      <c r="AH1551" t="s">
        <v>111</v>
      </c>
      <c r="AI1551" t="s">
        <v>111</v>
      </c>
      <c r="AJ1551" t="s">
        <v>111</v>
      </c>
      <c r="AK1551" t="s">
        <v>111</v>
      </c>
      <c r="AL1551" t="s">
        <v>111</v>
      </c>
      <c r="AM1551">
        <v>0</v>
      </c>
      <c r="AN1551">
        <v>0</v>
      </c>
      <c r="AO1551">
        <v>0</v>
      </c>
      <c r="AP1551" t="s">
        <v>111</v>
      </c>
      <c r="AQ1551" t="s">
        <v>111</v>
      </c>
      <c r="AR1551" t="s">
        <v>111</v>
      </c>
      <c r="AS1551" t="s">
        <v>111</v>
      </c>
      <c r="AT1551" t="s">
        <v>111</v>
      </c>
      <c r="AU1551" t="s">
        <v>111</v>
      </c>
      <c r="AV1551" t="s">
        <v>111</v>
      </c>
      <c r="AW1551" t="s">
        <v>111</v>
      </c>
      <c r="AX1551" t="s">
        <v>111</v>
      </c>
      <c r="AY1551" t="s">
        <v>111</v>
      </c>
      <c r="AZ1551" t="s">
        <v>111</v>
      </c>
      <c r="BA1551" t="s">
        <v>111</v>
      </c>
      <c r="BB1551" t="s">
        <v>111</v>
      </c>
      <c r="BC1551" t="s">
        <v>111</v>
      </c>
      <c r="BD1551" t="s">
        <v>111</v>
      </c>
      <c r="BE1551" t="s">
        <v>111</v>
      </c>
      <c r="BF1551" t="s">
        <v>111</v>
      </c>
      <c r="BG1551" t="s">
        <v>111</v>
      </c>
      <c r="BH1551" t="s">
        <v>111</v>
      </c>
      <c r="BI1551" t="s">
        <v>111</v>
      </c>
      <c r="BJ1551" t="s">
        <v>111</v>
      </c>
      <c r="BK1551" t="s">
        <v>111</v>
      </c>
      <c r="BL1551" t="s">
        <v>111</v>
      </c>
      <c r="BM1551" t="s">
        <v>111</v>
      </c>
      <c r="BN1551" t="s">
        <v>111</v>
      </c>
      <c r="BO1551" t="s">
        <v>111</v>
      </c>
      <c r="BP1551" t="s">
        <v>111</v>
      </c>
      <c r="BQ1551" t="s">
        <v>111</v>
      </c>
      <c r="BR1551" t="s">
        <v>111</v>
      </c>
      <c r="BS1551" t="s">
        <v>111</v>
      </c>
      <c r="BT1551" t="s">
        <v>111</v>
      </c>
      <c r="BU1551" t="s">
        <v>111</v>
      </c>
      <c r="BV1551" t="s">
        <v>111</v>
      </c>
      <c r="BW1551" t="s">
        <v>111</v>
      </c>
      <c r="BX1551" t="s">
        <v>111</v>
      </c>
      <c r="BY1551" t="s">
        <v>111</v>
      </c>
      <c r="BZ1551" t="s">
        <v>111</v>
      </c>
      <c r="CA1551" t="s">
        <v>111</v>
      </c>
      <c r="CB1551" t="s">
        <v>111</v>
      </c>
      <c r="CC1551" t="s">
        <v>111</v>
      </c>
      <c r="CD1551" t="s">
        <v>111</v>
      </c>
      <c r="CE1551" t="s">
        <v>111</v>
      </c>
      <c r="CF1551" t="s">
        <v>111</v>
      </c>
      <c r="CG1551" t="s">
        <v>111</v>
      </c>
      <c r="CH1551" t="s">
        <v>111</v>
      </c>
      <c r="CI1551" t="s">
        <v>111</v>
      </c>
      <c r="CJ1551" t="s">
        <v>111</v>
      </c>
      <c r="CK1551" t="s">
        <v>111</v>
      </c>
      <c r="CL1551" t="s">
        <v>111</v>
      </c>
      <c r="CM1551">
        <v>450</v>
      </c>
      <c r="CN1551" t="s">
        <v>113</v>
      </c>
      <c r="CO1551" t="s">
        <v>111</v>
      </c>
      <c r="CP1551" t="s">
        <v>111</v>
      </c>
      <c r="CQ1551">
        <v>0</v>
      </c>
      <c r="CR1551">
        <v>20000</v>
      </c>
      <c r="CS1551">
        <v>100</v>
      </c>
      <c r="CT1551" s="1" t="s">
        <v>4339</v>
      </c>
      <c r="CU1551">
        <v>0</v>
      </c>
      <c r="CV1551" t="s">
        <v>111</v>
      </c>
      <c r="CW1551" t="s">
        <v>111</v>
      </c>
      <c r="CX1551" t="s">
        <v>111</v>
      </c>
      <c r="CY1551">
        <v>0</v>
      </c>
      <c r="CZ1551" t="s">
        <v>111</v>
      </c>
      <c r="DA1551" t="s">
        <v>111</v>
      </c>
      <c r="DB1551" t="s">
        <v>111</v>
      </c>
      <c r="DC1551" t="s">
        <v>111</v>
      </c>
    </row>
    <row r="1552" spans="1:107">
      <c r="A1552">
        <v>1319</v>
      </c>
      <c r="B1552" t="s">
        <v>107</v>
      </c>
      <c r="C1552" t="s">
        <v>180</v>
      </c>
      <c r="D1552" t="s">
        <v>4340</v>
      </c>
      <c r="E1552" t="s">
        <v>4341</v>
      </c>
      <c r="F1552" t="s">
        <v>3682</v>
      </c>
      <c r="G1552" t="s">
        <v>24</v>
      </c>
      <c r="H1552">
        <v>1.3</v>
      </c>
      <c r="I1552">
        <v>40</v>
      </c>
      <c r="J1552">
        <v>0</v>
      </c>
      <c r="K1552">
        <v>0</v>
      </c>
      <c r="L1552" t="s">
        <v>112</v>
      </c>
      <c r="M1552" t="s">
        <v>111</v>
      </c>
      <c r="N1552">
        <v>0</v>
      </c>
      <c r="O1552">
        <v>0</v>
      </c>
      <c r="P1552" t="s">
        <v>111</v>
      </c>
      <c r="Q1552">
        <v>45</v>
      </c>
      <c r="R1552">
        <v>0</v>
      </c>
      <c r="S1552">
        <v>0</v>
      </c>
      <c r="T1552">
        <v>5</v>
      </c>
      <c r="U1552" t="e">
        <f>-DESTINO SELLADO</f>
        <v>#NAME?</v>
      </c>
      <c r="V1552">
        <v>0</v>
      </c>
      <c r="W1552">
        <v>0</v>
      </c>
      <c r="X1552">
        <v>0</v>
      </c>
      <c r="Y1552">
        <v>25</v>
      </c>
      <c r="Z1552" t="s">
        <v>111</v>
      </c>
      <c r="AA1552">
        <v>0</v>
      </c>
      <c r="AB1552" t="s">
        <v>4320</v>
      </c>
      <c r="AC1552">
        <v>300</v>
      </c>
      <c r="AD1552" t="s">
        <v>111</v>
      </c>
      <c r="AE1552">
        <v>0</v>
      </c>
      <c r="AF1552">
        <v>0</v>
      </c>
      <c r="AG1552" t="s">
        <v>111</v>
      </c>
      <c r="AH1552" t="s">
        <v>111</v>
      </c>
      <c r="AI1552" t="s">
        <v>111</v>
      </c>
      <c r="AJ1552" t="s">
        <v>111</v>
      </c>
      <c r="AK1552" t="s">
        <v>111</v>
      </c>
      <c r="AL1552" t="s">
        <v>111</v>
      </c>
      <c r="AM1552">
        <v>0</v>
      </c>
      <c r="AN1552">
        <v>0</v>
      </c>
      <c r="AO1552">
        <v>0</v>
      </c>
      <c r="AP1552" t="s">
        <v>111</v>
      </c>
      <c r="AQ1552" t="s">
        <v>111</v>
      </c>
      <c r="AR1552" t="s">
        <v>111</v>
      </c>
      <c r="AS1552" t="s">
        <v>111</v>
      </c>
      <c r="AT1552" t="s">
        <v>111</v>
      </c>
      <c r="AU1552" t="s">
        <v>111</v>
      </c>
      <c r="AV1552" t="s">
        <v>111</v>
      </c>
      <c r="AW1552" t="s">
        <v>111</v>
      </c>
      <c r="AX1552" t="s">
        <v>111</v>
      </c>
      <c r="AY1552" t="s">
        <v>111</v>
      </c>
      <c r="AZ1552" t="s">
        <v>111</v>
      </c>
      <c r="BA1552" t="s">
        <v>111</v>
      </c>
      <c r="BB1552" t="s">
        <v>111</v>
      </c>
      <c r="BC1552" t="s">
        <v>111</v>
      </c>
      <c r="BD1552" t="s">
        <v>111</v>
      </c>
      <c r="BE1552" t="s">
        <v>111</v>
      </c>
      <c r="BF1552" t="s">
        <v>111</v>
      </c>
      <c r="BG1552" t="s">
        <v>111</v>
      </c>
      <c r="BH1552" t="s">
        <v>111</v>
      </c>
      <c r="BI1552" t="s">
        <v>111</v>
      </c>
      <c r="BJ1552" t="s">
        <v>111</v>
      </c>
      <c r="BK1552" t="s">
        <v>111</v>
      </c>
      <c r="BL1552" t="s">
        <v>111</v>
      </c>
      <c r="BM1552" t="s">
        <v>111</v>
      </c>
      <c r="BN1552" t="s">
        <v>111</v>
      </c>
      <c r="BO1552" t="s">
        <v>111</v>
      </c>
      <c r="BP1552" t="s">
        <v>111</v>
      </c>
      <c r="BQ1552" t="s">
        <v>111</v>
      </c>
      <c r="BR1552" t="s">
        <v>111</v>
      </c>
      <c r="BS1552" t="s">
        <v>111</v>
      </c>
      <c r="BT1552" t="s">
        <v>111</v>
      </c>
      <c r="BU1552" t="s">
        <v>111</v>
      </c>
      <c r="BV1552" t="s">
        <v>111</v>
      </c>
      <c r="BW1552" t="s">
        <v>111</v>
      </c>
      <c r="BX1552" t="s">
        <v>111</v>
      </c>
      <c r="BY1552" t="s">
        <v>111</v>
      </c>
      <c r="BZ1552" t="s">
        <v>111</v>
      </c>
      <c r="CA1552" t="s">
        <v>111</v>
      </c>
      <c r="CB1552" t="s">
        <v>111</v>
      </c>
      <c r="CC1552" t="s">
        <v>111</v>
      </c>
      <c r="CD1552" t="s">
        <v>111</v>
      </c>
      <c r="CE1552" t="s">
        <v>111</v>
      </c>
      <c r="CF1552" t="s">
        <v>111</v>
      </c>
      <c r="CG1552" t="s">
        <v>111</v>
      </c>
      <c r="CH1552" t="s">
        <v>111</v>
      </c>
      <c r="CI1552" t="s">
        <v>111</v>
      </c>
      <c r="CJ1552" t="s">
        <v>111</v>
      </c>
      <c r="CK1552" t="s">
        <v>111</v>
      </c>
      <c r="CL1552" t="s">
        <v>111</v>
      </c>
      <c r="CM1552" t="s">
        <v>438</v>
      </c>
      <c r="CN1552" t="s">
        <v>113</v>
      </c>
      <c r="CO1552" t="s">
        <v>111</v>
      </c>
      <c r="CP1552" t="s">
        <v>111</v>
      </c>
      <c r="CQ1552">
        <v>52</v>
      </c>
      <c r="CR1552">
        <v>2000</v>
      </c>
      <c r="CS1552">
        <v>200</v>
      </c>
      <c r="CT1552" t="e">
        <f>-ALMACEN</f>
        <v>#NAME?</v>
      </c>
      <c r="CU1552">
        <v>0</v>
      </c>
      <c r="CV1552" t="s">
        <v>111</v>
      </c>
      <c r="CW1552" t="s">
        <v>111</v>
      </c>
      <c r="CX1552" t="s">
        <v>111</v>
      </c>
      <c r="CY1552">
        <v>0</v>
      </c>
      <c r="CZ1552" t="s">
        <v>111</v>
      </c>
      <c r="DA1552" t="s">
        <v>111</v>
      </c>
      <c r="DB1552" t="s">
        <v>111</v>
      </c>
      <c r="DC1552" t="s">
        <v>111</v>
      </c>
    </row>
    <row r="1553" spans="1:107">
      <c r="A1553">
        <v>1388</v>
      </c>
      <c r="B1553" t="s">
        <v>107</v>
      </c>
      <c r="C1553" t="s">
        <v>4214</v>
      </c>
      <c r="D1553" t="s">
        <v>4342</v>
      </c>
      <c r="E1553" t="s">
        <v>4343</v>
      </c>
      <c r="F1553" t="s">
        <v>110</v>
      </c>
      <c r="G1553" t="s">
        <v>24</v>
      </c>
      <c r="H1553">
        <v>0.9</v>
      </c>
      <c r="I1553">
        <v>28</v>
      </c>
      <c r="J1553">
        <v>0</v>
      </c>
      <c r="K1553">
        <v>0</v>
      </c>
      <c r="L1553" t="s">
        <v>112</v>
      </c>
      <c r="M1553" t="s">
        <v>111</v>
      </c>
      <c r="N1553">
        <v>0</v>
      </c>
      <c r="O1553">
        <v>0</v>
      </c>
      <c r="P1553" t="s">
        <v>111</v>
      </c>
      <c r="Q1553">
        <v>25</v>
      </c>
      <c r="R1553">
        <v>0</v>
      </c>
      <c r="S1553">
        <v>0</v>
      </c>
      <c r="T1553">
        <v>0</v>
      </c>
      <c r="U1553" s="1" t="s">
        <v>4344</v>
      </c>
      <c r="V1553">
        <v>0</v>
      </c>
      <c r="W1553">
        <v>0</v>
      </c>
      <c r="X1553">
        <v>0</v>
      </c>
      <c r="Y1553">
        <v>25</v>
      </c>
      <c r="Z1553" t="s">
        <v>111</v>
      </c>
      <c r="AA1553">
        <v>0</v>
      </c>
      <c r="AB1553" t="s">
        <v>111</v>
      </c>
      <c r="AC1553">
        <v>0</v>
      </c>
      <c r="AD1553" t="s">
        <v>111</v>
      </c>
      <c r="AE1553">
        <v>0</v>
      </c>
      <c r="AF1553">
        <v>0</v>
      </c>
      <c r="AG1553" t="s">
        <v>111</v>
      </c>
      <c r="AH1553" t="s">
        <v>111</v>
      </c>
      <c r="AI1553" t="s">
        <v>111</v>
      </c>
      <c r="AJ1553" t="s">
        <v>111</v>
      </c>
      <c r="AK1553" t="s">
        <v>111</v>
      </c>
      <c r="AL1553" t="s">
        <v>111</v>
      </c>
      <c r="AM1553">
        <v>0</v>
      </c>
      <c r="AN1553">
        <v>0</v>
      </c>
      <c r="AO1553">
        <v>0</v>
      </c>
      <c r="AP1553" t="s">
        <v>111</v>
      </c>
      <c r="AQ1553" t="s">
        <v>111</v>
      </c>
      <c r="AR1553" t="s">
        <v>111</v>
      </c>
      <c r="AS1553" t="s">
        <v>111</v>
      </c>
      <c r="AT1553" t="s">
        <v>111</v>
      </c>
      <c r="AU1553" t="s">
        <v>111</v>
      </c>
      <c r="AV1553" t="s">
        <v>111</v>
      </c>
      <c r="AW1553" t="s">
        <v>111</v>
      </c>
      <c r="AX1553" t="s">
        <v>111</v>
      </c>
      <c r="AY1553" t="s">
        <v>111</v>
      </c>
      <c r="AZ1553" t="s">
        <v>111</v>
      </c>
      <c r="BA1553" t="s">
        <v>111</v>
      </c>
      <c r="BB1553" t="s">
        <v>111</v>
      </c>
      <c r="BC1553" t="s">
        <v>111</v>
      </c>
      <c r="BD1553" t="s">
        <v>111</v>
      </c>
      <c r="BE1553" t="s">
        <v>111</v>
      </c>
      <c r="BF1553" t="s">
        <v>111</v>
      </c>
      <c r="BG1553" t="s">
        <v>111</v>
      </c>
      <c r="BH1553" t="s">
        <v>111</v>
      </c>
      <c r="BI1553" t="s">
        <v>111</v>
      </c>
      <c r="BJ1553" t="s">
        <v>111</v>
      </c>
      <c r="BK1553" t="s">
        <v>111</v>
      </c>
      <c r="BL1553" t="s">
        <v>111</v>
      </c>
      <c r="BM1553" t="s">
        <v>111</v>
      </c>
      <c r="BN1553" t="s">
        <v>111</v>
      </c>
      <c r="BO1553" t="s">
        <v>111</v>
      </c>
      <c r="BP1553" t="s">
        <v>111</v>
      </c>
      <c r="BQ1553" t="s">
        <v>111</v>
      </c>
      <c r="BR1553" t="s">
        <v>111</v>
      </c>
      <c r="BS1553" t="s">
        <v>111</v>
      </c>
      <c r="BT1553" t="s">
        <v>111</v>
      </c>
      <c r="BU1553" t="s">
        <v>111</v>
      </c>
      <c r="BV1553" t="s">
        <v>111</v>
      </c>
      <c r="BW1553" t="s">
        <v>111</v>
      </c>
      <c r="BX1553" t="s">
        <v>111</v>
      </c>
      <c r="BY1553" t="s">
        <v>111</v>
      </c>
      <c r="BZ1553" t="s">
        <v>111</v>
      </c>
      <c r="CA1553" t="s">
        <v>111</v>
      </c>
      <c r="CB1553" t="s">
        <v>111</v>
      </c>
      <c r="CC1553" t="s">
        <v>111</v>
      </c>
      <c r="CD1553" t="s">
        <v>111</v>
      </c>
      <c r="CE1553" t="s">
        <v>111</v>
      </c>
      <c r="CF1553" t="s">
        <v>111</v>
      </c>
      <c r="CG1553" t="s">
        <v>111</v>
      </c>
      <c r="CH1553" t="s">
        <v>111</v>
      </c>
      <c r="CI1553" t="s">
        <v>111</v>
      </c>
      <c r="CJ1553" t="s">
        <v>111</v>
      </c>
      <c r="CK1553" t="s">
        <v>111</v>
      </c>
      <c r="CL1553" t="s">
        <v>111</v>
      </c>
      <c r="CM1553" t="s">
        <v>111</v>
      </c>
      <c r="CN1553" t="s">
        <v>111</v>
      </c>
      <c r="CO1553" t="s">
        <v>111</v>
      </c>
      <c r="CP1553" t="s">
        <v>111</v>
      </c>
      <c r="CQ1553">
        <v>0</v>
      </c>
      <c r="CR1553">
        <v>0</v>
      </c>
      <c r="CS1553">
        <v>0</v>
      </c>
      <c r="CT1553" t="s">
        <v>111</v>
      </c>
      <c r="CU1553">
        <v>0</v>
      </c>
      <c r="CV1553" t="s">
        <v>111</v>
      </c>
      <c r="CW1553" t="s">
        <v>111</v>
      </c>
      <c r="CX1553" t="s">
        <v>111</v>
      </c>
      <c r="CY1553">
        <v>0</v>
      </c>
      <c r="CZ1553" t="s">
        <v>111</v>
      </c>
      <c r="DA1553" t="s">
        <v>111</v>
      </c>
      <c r="DB1553" t="s">
        <v>111</v>
      </c>
      <c r="DC1553" t="s">
        <v>111</v>
      </c>
    </row>
    <row r="1554" spans="1:107">
      <c r="A1554">
        <v>1302</v>
      </c>
      <c r="B1554" t="s">
        <v>107</v>
      </c>
      <c r="C1554" t="s">
        <v>1322</v>
      </c>
      <c r="D1554" t="s">
        <v>4345</v>
      </c>
      <c r="E1554" t="s">
        <v>4346</v>
      </c>
      <c r="F1554" t="s">
        <v>1651</v>
      </c>
      <c r="G1554" t="s">
        <v>24</v>
      </c>
      <c r="H1554">
        <v>1.5</v>
      </c>
      <c r="I1554">
        <v>50</v>
      </c>
      <c r="J1554">
        <v>0</v>
      </c>
      <c r="K1554">
        <v>0</v>
      </c>
      <c r="L1554" t="s">
        <v>117</v>
      </c>
      <c r="M1554" t="s">
        <v>118</v>
      </c>
      <c r="N1554">
        <v>40</v>
      </c>
      <c r="O1554">
        <v>1</v>
      </c>
      <c r="P1554" t="s">
        <v>111</v>
      </c>
      <c r="Q1554">
        <v>45</v>
      </c>
      <c r="R1554">
        <v>0</v>
      </c>
      <c r="S1554">
        <v>0</v>
      </c>
      <c r="T1554">
        <v>12</v>
      </c>
      <c r="U1554" s="1" t="s">
        <v>662</v>
      </c>
      <c r="V1554">
        <v>0</v>
      </c>
      <c r="W1554">
        <v>0</v>
      </c>
      <c r="X1554">
        <v>0</v>
      </c>
      <c r="Y1554">
        <v>25</v>
      </c>
      <c r="Z1554" t="s">
        <v>111</v>
      </c>
      <c r="AA1554">
        <v>0</v>
      </c>
      <c r="AB1554" t="s">
        <v>111</v>
      </c>
      <c r="AC1554">
        <v>0</v>
      </c>
      <c r="AD1554" t="s">
        <v>416</v>
      </c>
      <c r="AE1554">
        <v>0</v>
      </c>
      <c r="AF1554">
        <v>0</v>
      </c>
      <c r="AG1554" t="s">
        <v>111</v>
      </c>
      <c r="AH1554" t="s">
        <v>113</v>
      </c>
      <c r="AI1554" t="s">
        <v>111</v>
      </c>
      <c r="AJ1554" t="s">
        <v>111</v>
      </c>
      <c r="AK1554" t="s">
        <v>111</v>
      </c>
      <c r="AL1554" t="s">
        <v>111</v>
      </c>
      <c r="AM1554">
        <v>0</v>
      </c>
      <c r="AN1554">
        <v>0</v>
      </c>
      <c r="AO1554">
        <v>0</v>
      </c>
      <c r="AP1554" t="s">
        <v>111</v>
      </c>
      <c r="AQ1554" t="s">
        <v>111</v>
      </c>
      <c r="AR1554" t="s">
        <v>111</v>
      </c>
      <c r="AS1554" t="s">
        <v>111</v>
      </c>
      <c r="AT1554" t="s">
        <v>111</v>
      </c>
      <c r="AU1554" t="s">
        <v>111</v>
      </c>
      <c r="AV1554" t="s">
        <v>111</v>
      </c>
      <c r="AW1554" t="s">
        <v>111</v>
      </c>
      <c r="AX1554" t="s">
        <v>111</v>
      </c>
      <c r="AY1554" t="s">
        <v>111</v>
      </c>
      <c r="AZ1554" t="s">
        <v>111</v>
      </c>
      <c r="BA1554" t="s">
        <v>111</v>
      </c>
      <c r="BB1554" t="s">
        <v>111</v>
      </c>
      <c r="BC1554" t="s">
        <v>111</v>
      </c>
      <c r="BD1554" t="s">
        <v>111</v>
      </c>
      <c r="BE1554" t="s">
        <v>111</v>
      </c>
      <c r="BF1554" t="s">
        <v>111</v>
      </c>
      <c r="BG1554" t="s">
        <v>111</v>
      </c>
      <c r="BH1554" t="s">
        <v>111</v>
      </c>
      <c r="BI1554" t="s">
        <v>111</v>
      </c>
      <c r="BJ1554" t="s">
        <v>111</v>
      </c>
      <c r="BK1554" t="s">
        <v>111</v>
      </c>
      <c r="BL1554" t="s">
        <v>111</v>
      </c>
      <c r="BM1554" t="s">
        <v>111</v>
      </c>
      <c r="BN1554" t="s">
        <v>111</v>
      </c>
      <c r="BO1554" t="s">
        <v>111</v>
      </c>
      <c r="BP1554" t="s">
        <v>111</v>
      </c>
      <c r="BQ1554" t="s">
        <v>111</v>
      </c>
      <c r="BR1554" t="s">
        <v>111</v>
      </c>
      <c r="BS1554" t="s">
        <v>111</v>
      </c>
      <c r="BT1554" t="s">
        <v>111</v>
      </c>
      <c r="BU1554" t="s">
        <v>111</v>
      </c>
      <c r="BV1554" t="s">
        <v>111</v>
      </c>
      <c r="BW1554" t="s">
        <v>111</v>
      </c>
      <c r="BX1554" t="s">
        <v>111</v>
      </c>
      <c r="BY1554" t="s">
        <v>111</v>
      </c>
      <c r="BZ1554" t="s">
        <v>111</v>
      </c>
      <c r="CA1554" t="s">
        <v>111</v>
      </c>
      <c r="CB1554" t="s">
        <v>111</v>
      </c>
      <c r="CC1554" t="s">
        <v>111</v>
      </c>
      <c r="CD1554" t="s">
        <v>111</v>
      </c>
      <c r="CE1554" t="s">
        <v>111</v>
      </c>
      <c r="CF1554" t="s">
        <v>111</v>
      </c>
      <c r="CG1554" t="s">
        <v>111</v>
      </c>
      <c r="CH1554" t="s">
        <v>111</v>
      </c>
      <c r="CI1554" t="s">
        <v>111</v>
      </c>
      <c r="CJ1554" t="s">
        <v>111</v>
      </c>
      <c r="CK1554" t="s">
        <v>111</v>
      </c>
      <c r="CL1554" t="e">
        <f>-SELLADO</f>
        <v>#NAME?</v>
      </c>
      <c r="CM1554" t="s">
        <v>135</v>
      </c>
      <c r="CN1554" t="s">
        <v>113</v>
      </c>
      <c r="CO1554" t="s">
        <v>111</v>
      </c>
      <c r="CP1554" t="s">
        <v>563</v>
      </c>
      <c r="CQ1554">
        <v>100</v>
      </c>
      <c r="CR1554">
        <v>6000</v>
      </c>
      <c r="CS1554">
        <v>250</v>
      </c>
      <c r="CT1554" t="e">
        <f>-ALMACEN</f>
        <v>#NAME?</v>
      </c>
      <c r="CU1554">
        <v>0</v>
      </c>
      <c r="CV1554" t="s">
        <v>111</v>
      </c>
      <c r="CW1554" t="s">
        <v>111</v>
      </c>
      <c r="CX1554" t="s">
        <v>111</v>
      </c>
      <c r="CY1554">
        <v>0</v>
      </c>
      <c r="CZ1554" t="s">
        <v>111</v>
      </c>
      <c r="DA1554" t="s">
        <v>111</v>
      </c>
      <c r="DB1554" t="s">
        <v>111</v>
      </c>
      <c r="DC1554" t="s">
        <v>111</v>
      </c>
    </row>
    <row r="1555" spans="1:107">
      <c r="A1555">
        <v>1299</v>
      </c>
      <c r="B1555" t="s">
        <v>107</v>
      </c>
      <c r="C1555" t="s">
        <v>3783</v>
      </c>
      <c r="D1555" t="s">
        <v>3960</v>
      </c>
      <c r="E1555" t="s">
        <v>4347</v>
      </c>
      <c r="F1555" t="s">
        <v>1260</v>
      </c>
      <c r="G1555" t="s">
        <v>24</v>
      </c>
      <c r="H1555">
        <v>1.9</v>
      </c>
      <c r="I1555">
        <v>40</v>
      </c>
      <c r="J1555">
        <v>0</v>
      </c>
      <c r="K1555">
        <v>0</v>
      </c>
      <c r="L1555" t="s">
        <v>117</v>
      </c>
      <c r="M1555" t="s">
        <v>118</v>
      </c>
      <c r="N1555">
        <v>40</v>
      </c>
      <c r="O1555">
        <v>1</v>
      </c>
      <c r="P1555" t="s">
        <v>111</v>
      </c>
      <c r="Q1555">
        <v>44.2</v>
      </c>
      <c r="R1555">
        <v>0</v>
      </c>
      <c r="S1555">
        <v>0</v>
      </c>
      <c r="T1555">
        <v>5</v>
      </c>
      <c r="U1555" s="1" t="s">
        <v>4348</v>
      </c>
      <c r="V1555">
        <v>0</v>
      </c>
      <c r="W1555">
        <v>0</v>
      </c>
      <c r="X1555">
        <v>0</v>
      </c>
      <c r="Y1555">
        <v>250</v>
      </c>
      <c r="Z1555" t="s">
        <v>111</v>
      </c>
      <c r="AA1555">
        <v>0</v>
      </c>
      <c r="AB1555" t="s">
        <v>111</v>
      </c>
      <c r="AC1555">
        <v>0</v>
      </c>
      <c r="AD1555" t="s">
        <v>416</v>
      </c>
      <c r="AE1555">
        <v>0</v>
      </c>
      <c r="AF1555">
        <v>0</v>
      </c>
      <c r="AG1555" t="s">
        <v>111</v>
      </c>
      <c r="AH1555" t="s">
        <v>113</v>
      </c>
      <c r="AI1555" t="s">
        <v>111</v>
      </c>
      <c r="AJ1555" t="s">
        <v>111</v>
      </c>
      <c r="AK1555" t="s">
        <v>111</v>
      </c>
      <c r="AL1555" t="s">
        <v>111</v>
      </c>
      <c r="AM1555">
        <v>0</v>
      </c>
      <c r="AN1555">
        <v>0</v>
      </c>
      <c r="AO1555">
        <v>0</v>
      </c>
      <c r="AP1555" t="s">
        <v>111</v>
      </c>
      <c r="AQ1555" t="s">
        <v>111</v>
      </c>
      <c r="AR1555" t="s">
        <v>111</v>
      </c>
      <c r="AS1555" t="s">
        <v>111</v>
      </c>
      <c r="AT1555" t="s">
        <v>111</v>
      </c>
      <c r="AU1555" t="s">
        <v>111</v>
      </c>
      <c r="AV1555" t="s">
        <v>111</v>
      </c>
      <c r="AW1555" t="s">
        <v>111</v>
      </c>
      <c r="AX1555" t="s">
        <v>111</v>
      </c>
      <c r="AY1555" t="s">
        <v>111</v>
      </c>
      <c r="AZ1555" t="s">
        <v>111</v>
      </c>
      <c r="BA1555" t="s">
        <v>111</v>
      </c>
      <c r="BB1555" t="s">
        <v>111</v>
      </c>
      <c r="BC1555" t="s">
        <v>111</v>
      </c>
      <c r="BD1555" t="s">
        <v>111</v>
      </c>
      <c r="BE1555" t="s">
        <v>111</v>
      </c>
      <c r="BF1555" t="s">
        <v>111</v>
      </c>
      <c r="BG1555" t="s">
        <v>111</v>
      </c>
      <c r="BH1555" t="s">
        <v>111</v>
      </c>
      <c r="BI1555" t="s">
        <v>111</v>
      </c>
      <c r="BJ1555" t="s">
        <v>111</v>
      </c>
      <c r="BK1555" t="s">
        <v>111</v>
      </c>
      <c r="BL1555" t="s">
        <v>111</v>
      </c>
      <c r="BM1555" t="s">
        <v>111</v>
      </c>
      <c r="BN1555" t="s">
        <v>111</v>
      </c>
      <c r="BO1555" t="s">
        <v>111</v>
      </c>
      <c r="BP1555" t="s">
        <v>111</v>
      </c>
      <c r="BQ1555" t="s">
        <v>111</v>
      </c>
      <c r="BR1555" t="s">
        <v>111</v>
      </c>
      <c r="BS1555" t="s">
        <v>111</v>
      </c>
      <c r="BT1555" t="s">
        <v>111</v>
      </c>
      <c r="BU1555" t="s">
        <v>111</v>
      </c>
      <c r="BV1555" t="s">
        <v>111</v>
      </c>
      <c r="BW1555" t="s">
        <v>111</v>
      </c>
      <c r="BX1555" t="s">
        <v>111</v>
      </c>
      <c r="BY1555" t="s">
        <v>111</v>
      </c>
      <c r="BZ1555" t="s">
        <v>111</v>
      </c>
      <c r="CA1555" t="s">
        <v>111</v>
      </c>
      <c r="CB1555" t="s">
        <v>111</v>
      </c>
      <c r="CC1555" t="s">
        <v>111</v>
      </c>
      <c r="CD1555" t="s">
        <v>111</v>
      </c>
      <c r="CE1555" t="s">
        <v>111</v>
      </c>
      <c r="CF1555" t="s">
        <v>111</v>
      </c>
      <c r="CG1555" t="s">
        <v>111</v>
      </c>
      <c r="CH1555" t="s">
        <v>111</v>
      </c>
      <c r="CI1555" t="s">
        <v>111</v>
      </c>
      <c r="CJ1555" t="s">
        <v>111</v>
      </c>
      <c r="CK1555" t="s">
        <v>111</v>
      </c>
      <c r="CL1555" t="s">
        <v>111</v>
      </c>
      <c r="CM1555">
        <v>450</v>
      </c>
      <c r="CN1555" t="s">
        <v>113</v>
      </c>
      <c r="CO1555" t="s">
        <v>111</v>
      </c>
      <c r="CP1555" t="e">
        <f>-MUESTRA</f>
        <v>#NAME?</v>
      </c>
      <c r="CQ1555">
        <v>0</v>
      </c>
      <c r="CR1555">
        <v>26000</v>
      </c>
      <c r="CS1555">
        <v>26000</v>
      </c>
      <c r="CT1555" t="e">
        <f>-SELLADO</f>
        <v>#NAME?</v>
      </c>
      <c r="CU1555">
        <v>0</v>
      </c>
      <c r="CV1555" t="s">
        <v>111</v>
      </c>
      <c r="CW1555" t="s">
        <v>111</v>
      </c>
      <c r="CX1555" t="s">
        <v>111</v>
      </c>
      <c r="CY1555">
        <v>0</v>
      </c>
      <c r="CZ1555" t="s">
        <v>111</v>
      </c>
      <c r="DA1555" t="s">
        <v>111</v>
      </c>
      <c r="DB1555" t="s">
        <v>111</v>
      </c>
      <c r="DC1555" t="s">
        <v>111</v>
      </c>
    </row>
    <row r="1556" spans="1:107">
      <c r="A1556">
        <v>1293</v>
      </c>
      <c r="B1556" t="s">
        <v>107</v>
      </c>
      <c r="C1556" t="s">
        <v>593</v>
      </c>
      <c r="D1556" t="s">
        <v>4349</v>
      </c>
      <c r="E1556" t="s">
        <v>4350</v>
      </c>
      <c r="F1556" t="s">
        <v>1651</v>
      </c>
      <c r="G1556" t="s">
        <v>24</v>
      </c>
      <c r="H1556">
        <v>1.25</v>
      </c>
      <c r="I1556">
        <v>50</v>
      </c>
      <c r="J1556">
        <v>0</v>
      </c>
      <c r="K1556">
        <v>0</v>
      </c>
      <c r="L1556" t="s">
        <v>112</v>
      </c>
      <c r="M1556" t="s">
        <v>118</v>
      </c>
      <c r="N1556">
        <v>40</v>
      </c>
      <c r="O1556">
        <v>1</v>
      </c>
      <c r="P1556" t="s">
        <v>111</v>
      </c>
      <c r="Q1556">
        <v>49</v>
      </c>
      <c r="R1556">
        <v>0</v>
      </c>
      <c r="S1556">
        <v>0</v>
      </c>
      <c r="T1556">
        <v>5</v>
      </c>
      <c r="U1556" s="1" t="s">
        <v>662</v>
      </c>
      <c r="V1556">
        <v>0</v>
      </c>
      <c r="W1556">
        <v>0</v>
      </c>
      <c r="X1556">
        <v>0</v>
      </c>
      <c r="Y1556">
        <v>25</v>
      </c>
      <c r="Z1556" t="s">
        <v>111</v>
      </c>
      <c r="AA1556">
        <v>0</v>
      </c>
      <c r="AB1556" t="s">
        <v>111</v>
      </c>
      <c r="AC1556">
        <v>0</v>
      </c>
      <c r="AD1556" t="s">
        <v>416</v>
      </c>
      <c r="AE1556">
        <v>0</v>
      </c>
      <c r="AF1556">
        <v>0</v>
      </c>
      <c r="AG1556" t="s">
        <v>111</v>
      </c>
      <c r="AH1556" t="s">
        <v>113</v>
      </c>
      <c r="AI1556" t="s">
        <v>111</v>
      </c>
      <c r="AJ1556" t="s">
        <v>111</v>
      </c>
      <c r="AK1556" t="s">
        <v>111</v>
      </c>
      <c r="AL1556" t="s">
        <v>111</v>
      </c>
      <c r="AM1556">
        <v>0</v>
      </c>
      <c r="AN1556">
        <v>0</v>
      </c>
      <c r="AO1556">
        <v>0</v>
      </c>
      <c r="AP1556" t="s">
        <v>111</v>
      </c>
      <c r="AQ1556" t="s">
        <v>111</v>
      </c>
      <c r="AR1556" t="s">
        <v>111</v>
      </c>
      <c r="AS1556" t="s">
        <v>111</v>
      </c>
      <c r="AT1556" t="s">
        <v>111</v>
      </c>
      <c r="AU1556" t="s">
        <v>111</v>
      </c>
      <c r="AV1556" t="s">
        <v>111</v>
      </c>
      <c r="AW1556" t="s">
        <v>111</v>
      </c>
      <c r="AX1556" t="s">
        <v>111</v>
      </c>
      <c r="AY1556" t="s">
        <v>111</v>
      </c>
      <c r="AZ1556" t="s">
        <v>111</v>
      </c>
      <c r="BA1556" t="s">
        <v>111</v>
      </c>
      <c r="BB1556" t="s">
        <v>111</v>
      </c>
      <c r="BC1556" t="s">
        <v>111</v>
      </c>
      <c r="BD1556" t="s">
        <v>111</v>
      </c>
      <c r="BE1556" t="s">
        <v>111</v>
      </c>
      <c r="BF1556" t="s">
        <v>111</v>
      </c>
      <c r="BG1556" t="s">
        <v>111</v>
      </c>
      <c r="BH1556" t="s">
        <v>111</v>
      </c>
      <c r="BI1556" t="s">
        <v>111</v>
      </c>
      <c r="BJ1556" t="s">
        <v>111</v>
      </c>
      <c r="BK1556" t="s">
        <v>111</v>
      </c>
      <c r="BL1556" t="s">
        <v>111</v>
      </c>
      <c r="BM1556" t="s">
        <v>111</v>
      </c>
      <c r="BN1556" t="s">
        <v>111</v>
      </c>
      <c r="BO1556" t="s">
        <v>111</v>
      </c>
      <c r="BP1556" t="s">
        <v>111</v>
      </c>
      <c r="BQ1556" t="s">
        <v>111</v>
      </c>
      <c r="BR1556" t="s">
        <v>111</v>
      </c>
      <c r="BS1556" t="s">
        <v>111</v>
      </c>
      <c r="BT1556" t="s">
        <v>111</v>
      </c>
      <c r="BU1556" t="s">
        <v>111</v>
      </c>
      <c r="BV1556" t="s">
        <v>111</v>
      </c>
      <c r="BW1556" t="s">
        <v>111</v>
      </c>
      <c r="BX1556" t="s">
        <v>111</v>
      </c>
      <c r="BY1556" t="s">
        <v>111</v>
      </c>
      <c r="BZ1556" t="s">
        <v>111</v>
      </c>
      <c r="CA1556" t="s">
        <v>111</v>
      </c>
      <c r="CB1556" t="s">
        <v>111</v>
      </c>
      <c r="CC1556" t="s">
        <v>111</v>
      </c>
      <c r="CD1556" t="s">
        <v>111</v>
      </c>
      <c r="CE1556" t="s">
        <v>111</v>
      </c>
      <c r="CF1556" t="s">
        <v>111</v>
      </c>
      <c r="CG1556" t="s">
        <v>111</v>
      </c>
      <c r="CH1556" t="s">
        <v>111</v>
      </c>
      <c r="CI1556" t="s">
        <v>111</v>
      </c>
      <c r="CJ1556" t="s">
        <v>111</v>
      </c>
      <c r="CK1556" t="s">
        <v>111</v>
      </c>
      <c r="CL1556" t="s">
        <v>111</v>
      </c>
      <c r="CM1556" t="s">
        <v>135</v>
      </c>
      <c r="CN1556" t="s">
        <v>113</v>
      </c>
      <c r="CO1556" t="s">
        <v>111</v>
      </c>
      <c r="CP1556" t="e">
        <f>-MUESTRA</f>
        <v>#NAME?</v>
      </c>
      <c r="CQ1556">
        <v>70</v>
      </c>
      <c r="CR1556">
        <v>3000</v>
      </c>
      <c r="CS1556">
        <v>200</v>
      </c>
      <c r="CT1556" t="e">
        <f>-ALMACEN</f>
        <v>#NAME?</v>
      </c>
      <c r="CU1556">
        <v>0</v>
      </c>
      <c r="CV1556" t="s">
        <v>111</v>
      </c>
      <c r="CW1556" t="s">
        <v>111</v>
      </c>
      <c r="CX1556" t="s">
        <v>111</v>
      </c>
      <c r="CY1556">
        <v>0</v>
      </c>
      <c r="CZ1556" t="s">
        <v>111</v>
      </c>
      <c r="DA1556" t="s">
        <v>111</v>
      </c>
      <c r="DB1556" t="s">
        <v>111</v>
      </c>
      <c r="DC1556" t="s">
        <v>111</v>
      </c>
    </row>
    <row r="1557" spans="1:107">
      <c r="A1557">
        <v>1292</v>
      </c>
      <c r="B1557" t="s">
        <v>107</v>
      </c>
      <c r="C1557" t="s">
        <v>3703</v>
      </c>
      <c r="D1557" t="s">
        <v>4351</v>
      </c>
      <c r="E1557" t="s">
        <v>4352</v>
      </c>
      <c r="F1557" t="s">
        <v>1651</v>
      </c>
      <c r="G1557" t="s">
        <v>24</v>
      </c>
      <c r="H1557">
        <v>1.4</v>
      </c>
      <c r="I1557">
        <v>50</v>
      </c>
      <c r="J1557">
        <v>0</v>
      </c>
      <c r="K1557">
        <v>0</v>
      </c>
      <c r="L1557" t="s">
        <v>117</v>
      </c>
      <c r="M1557" t="s">
        <v>118</v>
      </c>
      <c r="N1557">
        <v>40</v>
      </c>
      <c r="O1557">
        <v>1</v>
      </c>
      <c r="P1557" t="s">
        <v>111</v>
      </c>
      <c r="Q1557">
        <v>36.700000000000003</v>
      </c>
      <c r="R1557">
        <v>0</v>
      </c>
      <c r="S1557">
        <v>0</v>
      </c>
      <c r="T1557">
        <v>5</v>
      </c>
      <c r="U1557" s="1" t="s">
        <v>3626</v>
      </c>
      <c r="V1557">
        <v>0</v>
      </c>
      <c r="W1557">
        <v>0</v>
      </c>
      <c r="X1557">
        <v>0</v>
      </c>
      <c r="Y1557">
        <v>25</v>
      </c>
      <c r="Z1557" t="s">
        <v>111</v>
      </c>
      <c r="AA1557">
        <v>0</v>
      </c>
      <c r="AB1557" t="s">
        <v>111</v>
      </c>
      <c r="AC1557">
        <v>0</v>
      </c>
      <c r="AD1557" t="s">
        <v>427</v>
      </c>
      <c r="AE1557">
        <v>0</v>
      </c>
      <c r="AF1557">
        <v>0</v>
      </c>
      <c r="AG1557" t="s">
        <v>111</v>
      </c>
      <c r="AH1557" t="s">
        <v>113</v>
      </c>
      <c r="AI1557" t="s">
        <v>111</v>
      </c>
      <c r="AJ1557" t="s">
        <v>111</v>
      </c>
      <c r="AK1557" t="s">
        <v>111</v>
      </c>
      <c r="AL1557" t="s">
        <v>111</v>
      </c>
      <c r="AM1557">
        <v>0</v>
      </c>
      <c r="AN1557">
        <v>0</v>
      </c>
      <c r="AO1557">
        <v>0</v>
      </c>
      <c r="AP1557" t="s">
        <v>111</v>
      </c>
      <c r="AQ1557" t="s">
        <v>111</v>
      </c>
      <c r="AR1557" t="s">
        <v>111</v>
      </c>
      <c r="AS1557" t="s">
        <v>111</v>
      </c>
      <c r="AT1557" t="s">
        <v>111</v>
      </c>
      <c r="AU1557" t="s">
        <v>111</v>
      </c>
      <c r="AV1557" t="s">
        <v>111</v>
      </c>
      <c r="AW1557" t="s">
        <v>111</v>
      </c>
      <c r="AX1557" t="s">
        <v>111</v>
      </c>
      <c r="AY1557" t="s">
        <v>111</v>
      </c>
      <c r="AZ1557" t="s">
        <v>111</v>
      </c>
      <c r="BA1557" t="s">
        <v>111</v>
      </c>
      <c r="BB1557" t="s">
        <v>111</v>
      </c>
      <c r="BC1557" t="s">
        <v>111</v>
      </c>
      <c r="BD1557" t="s">
        <v>111</v>
      </c>
      <c r="BE1557" t="s">
        <v>111</v>
      </c>
      <c r="BF1557" t="s">
        <v>111</v>
      </c>
      <c r="BG1557" t="s">
        <v>111</v>
      </c>
      <c r="BH1557" t="s">
        <v>111</v>
      </c>
      <c r="BI1557" t="s">
        <v>111</v>
      </c>
      <c r="BJ1557" t="s">
        <v>111</v>
      </c>
      <c r="BK1557" t="s">
        <v>111</v>
      </c>
      <c r="BL1557" t="s">
        <v>111</v>
      </c>
      <c r="BM1557" t="s">
        <v>111</v>
      </c>
      <c r="BN1557" t="s">
        <v>111</v>
      </c>
      <c r="BO1557" t="s">
        <v>111</v>
      </c>
      <c r="BP1557" t="s">
        <v>111</v>
      </c>
      <c r="BQ1557" t="s">
        <v>111</v>
      </c>
      <c r="BR1557" t="s">
        <v>111</v>
      </c>
      <c r="BS1557" t="s">
        <v>111</v>
      </c>
      <c r="BT1557" t="s">
        <v>111</v>
      </c>
      <c r="BU1557" t="s">
        <v>111</v>
      </c>
      <c r="BV1557" t="s">
        <v>111</v>
      </c>
      <c r="BW1557" t="s">
        <v>111</v>
      </c>
      <c r="BX1557" t="s">
        <v>111</v>
      </c>
      <c r="BY1557" t="s">
        <v>111</v>
      </c>
      <c r="BZ1557" t="s">
        <v>111</v>
      </c>
      <c r="CA1557" t="s">
        <v>111</v>
      </c>
      <c r="CB1557" t="s">
        <v>111</v>
      </c>
      <c r="CC1557" t="s">
        <v>111</v>
      </c>
      <c r="CD1557" t="s">
        <v>111</v>
      </c>
      <c r="CE1557" t="s">
        <v>111</v>
      </c>
      <c r="CF1557" t="s">
        <v>111</v>
      </c>
      <c r="CG1557" t="s">
        <v>111</v>
      </c>
      <c r="CH1557" t="s">
        <v>111</v>
      </c>
      <c r="CI1557" t="s">
        <v>111</v>
      </c>
      <c r="CJ1557" t="s">
        <v>111</v>
      </c>
      <c r="CK1557" t="s">
        <v>111</v>
      </c>
      <c r="CL1557" t="e">
        <f>-DESTINO SELLADO</f>
        <v>#NAME?</v>
      </c>
      <c r="CM1557" t="s">
        <v>198</v>
      </c>
      <c r="CN1557" t="s">
        <v>113</v>
      </c>
      <c r="CO1557" t="s">
        <v>111</v>
      </c>
      <c r="CP1557" t="s">
        <v>111</v>
      </c>
      <c r="CQ1557">
        <v>84</v>
      </c>
      <c r="CR1557">
        <v>8000</v>
      </c>
      <c r="CS1557">
        <v>250</v>
      </c>
      <c r="CT1557" t="e">
        <f>-ALMACEN</f>
        <v>#NAME?</v>
      </c>
      <c r="CU1557">
        <v>0</v>
      </c>
      <c r="CV1557" t="s">
        <v>111</v>
      </c>
      <c r="CW1557" t="s">
        <v>111</v>
      </c>
      <c r="CX1557" t="s">
        <v>111</v>
      </c>
      <c r="CY1557">
        <v>0</v>
      </c>
      <c r="CZ1557" t="s">
        <v>111</v>
      </c>
      <c r="DA1557" t="s">
        <v>111</v>
      </c>
      <c r="DB1557" t="s">
        <v>111</v>
      </c>
      <c r="DC1557" t="s">
        <v>111</v>
      </c>
    </row>
    <row r="1558" spans="1:107">
      <c r="A1558">
        <v>1286</v>
      </c>
      <c r="B1558" t="s">
        <v>107</v>
      </c>
      <c r="C1558" t="s">
        <v>4324</v>
      </c>
      <c r="D1558" t="s">
        <v>4353</v>
      </c>
      <c r="E1558" t="s">
        <v>4354</v>
      </c>
      <c r="F1558" t="s">
        <v>110</v>
      </c>
      <c r="G1558" t="s">
        <v>24</v>
      </c>
      <c r="H1558">
        <v>1.5</v>
      </c>
      <c r="I1558">
        <v>38</v>
      </c>
      <c r="J1558">
        <v>0</v>
      </c>
      <c r="K1558">
        <v>0</v>
      </c>
      <c r="L1558" t="s">
        <v>112</v>
      </c>
      <c r="M1558" t="s">
        <v>118</v>
      </c>
      <c r="N1558">
        <v>39</v>
      </c>
      <c r="O1558">
        <v>2</v>
      </c>
      <c r="P1558" t="s">
        <v>111</v>
      </c>
      <c r="Q1558">
        <v>32.6</v>
      </c>
      <c r="R1558">
        <v>0</v>
      </c>
      <c r="S1558">
        <v>0</v>
      </c>
      <c r="T1558">
        <v>0</v>
      </c>
      <c r="U1558" s="1" t="s">
        <v>4355</v>
      </c>
      <c r="V1558">
        <v>0</v>
      </c>
      <c r="W1558">
        <v>0</v>
      </c>
      <c r="X1558">
        <v>0</v>
      </c>
      <c r="Y1558">
        <v>25</v>
      </c>
      <c r="Z1558" t="s">
        <v>111</v>
      </c>
      <c r="AA1558">
        <v>0</v>
      </c>
      <c r="AB1558" t="s">
        <v>111</v>
      </c>
      <c r="AC1558">
        <v>0</v>
      </c>
      <c r="AD1558" t="s">
        <v>111</v>
      </c>
      <c r="AE1558">
        <v>0</v>
      </c>
      <c r="AF1558">
        <v>0</v>
      </c>
      <c r="AG1558" t="s">
        <v>111</v>
      </c>
      <c r="AH1558" t="s">
        <v>111</v>
      </c>
      <c r="AI1558" t="s">
        <v>111</v>
      </c>
      <c r="AJ1558" t="s">
        <v>111</v>
      </c>
      <c r="AK1558" t="s">
        <v>111</v>
      </c>
      <c r="AL1558" t="s">
        <v>111</v>
      </c>
      <c r="AM1558">
        <v>0</v>
      </c>
      <c r="AN1558">
        <v>0</v>
      </c>
      <c r="AO1558">
        <v>0</v>
      </c>
      <c r="AP1558" t="s">
        <v>111</v>
      </c>
      <c r="AQ1558" t="s">
        <v>111</v>
      </c>
      <c r="AR1558" t="s">
        <v>111</v>
      </c>
      <c r="AS1558" t="s">
        <v>111</v>
      </c>
      <c r="AT1558" t="s">
        <v>111</v>
      </c>
      <c r="AU1558" t="s">
        <v>111</v>
      </c>
      <c r="AV1558" t="s">
        <v>111</v>
      </c>
      <c r="AW1558" t="s">
        <v>111</v>
      </c>
      <c r="AX1558" t="s">
        <v>111</v>
      </c>
      <c r="AY1558" t="s">
        <v>111</v>
      </c>
      <c r="AZ1558" t="s">
        <v>111</v>
      </c>
      <c r="BA1558" t="s">
        <v>111</v>
      </c>
      <c r="BB1558" t="s">
        <v>111</v>
      </c>
      <c r="BC1558" t="s">
        <v>111</v>
      </c>
      <c r="BD1558" t="s">
        <v>111</v>
      </c>
      <c r="BE1558" t="s">
        <v>111</v>
      </c>
      <c r="BF1558" t="s">
        <v>111</v>
      </c>
      <c r="BG1558" t="s">
        <v>111</v>
      </c>
      <c r="BH1558" t="s">
        <v>111</v>
      </c>
      <c r="BI1558" t="s">
        <v>111</v>
      </c>
      <c r="BJ1558" t="s">
        <v>111</v>
      </c>
      <c r="BK1558" t="s">
        <v>111</v>
      </c>
      <c r="BL1558" t="s">
        <v>111</v>
      </c>
      <c r="BM1558" t="s">
        <v>111</v>
      </c>
      <c r="BN1558" t="s">
        <v>111</v>
      </c>
      <c r="BO1558" t="s">
        <v>111</v>
      </c>
      <c r="BP1558" t="s">
        <v>111</v>
      </c>
      <c r="BQ1558" t="s">
        <v>111</v>
      </c>
      <c r="BR1558" t="s">
        <v>111</v>
      </c>
      <c r="BS1558" t="s">
        <v>111</v>
      </c>
      <c r="BT1558" t="s">
        <v>111</v>
      </c>
      <c r="BU1558" t="s">
        <v>111</v>
      </c>
      <c r="BV1558" t="s">
        <v>111</v>
      </c>
      <c r="BW1558" t="s">
        <v>111</v>
      </c>
      <c r="BX1558" t="s">
        <v>111</v>
      </c>
      <c r="BY1558" t="s">
        <v>111</v>
      </c>
      <c r="BZ1558" t="s">
        <v>111</v>
      </c>
      <c r="CA1558" t="s">
        <v>111</v>
      </c>
      <c r="CB1558" t="s">
        <v>111</v>
      </c>
      <c r="CC1558" t="s">
        <v>111</v>
      </c>
      <c r="CD1558" t="s">
        <v>111</v>
      </c>
      <c r="CE1558" t="s">
        <v>111</v>
      </c>
      <c r="CF1558" t="s">
        <v>111</v>
      </c>
      <c r="CG1558" t="s">
        <v>111</v>
      </c>
      <c r="CH1558" t="s">
        <v>111</v>
      </c>
      <c r="CI1558" t="s">
        <v>111</v>
      </c>
      <c r="CJ1558" t="s">
        <v>111</v>
      </c>
      <c r="CK1558" t="s">
        <v>111</v>
      </c>
      <c r="CL1558" t="s">
        <v>111</v>
      </c>
      <c r="CM1558" t="s">
        <v>111</v>
      </c>
      <c r="CN1558" t="s">
        <v>111</v>
      </c>
      <c r="CO1558" t="s">
        <v>111</v>
      </c>
      <c r="CP1558" t="s">
        <v>111</v>
      </c>
      <c r="CQ1558">
        <v>0</v>
      </c>
      <c r="CR1558">
        <v>0</v>
      </c>
      <c r="CS1558">
        <v>0</v>
      </c>
      <c r="CT1558" t="s">
        <v>111</v>
      </c>
      <c r="CU1558">
        <v>0</v>
      </c>
      <c r="CV1558" t="s">
        <v>111</v>
      </c>
      <c r="CW1558" t="s">
        <v>111</v>
      </c>
      <c r="CX1558" t="s">
        <v>111</v>
      </c>
      <c r="CY1558">
        <v>0</v>
      </c>
      <c r="CZ1558" t="s">
        <v>111</v>
      </c>
      <c r="DA1558" t="s">
        <v>111</v>
      </c>
      <c r="DB1558" t="s">
        <v>111</v>
      </c>
      <c r="DC1558" t="s">
        <v>111</v>
      </c>
    </row>
    <row r="1559" spans="1:107">
      <c r="A1559">
        <v>1060</v>
      </c>
      <c r="B1559" t="s">
        <v>107</v>
      </c>
      <c r="C1559" t="s">
        <v>3783</v>
      </c>
      <c r="D1559" t="s">
        <v>3960</v>
      </c>
      <c r="E1559" t="s">
        <v>4356</v>
      </c>
      <c r="F1559" t="s">
        <v>1260</v>
      </c>
      <c r="G1559" t="s">
        <v>24</v>
      </c>
      <c r="H1559">
        <v>1.9</v>
      </c>
      <c r="I1559">
        <v>40</v>
      </c>
      <c r="J1559">
        <v>0</v>
      </c>
      <c r="K1559">
        <v>0</v>
      </c>
      <c r="L1559" t="s">
        <v>117</v>
      </c>
      <c r="M1559" t="s">
        <v>118</v>
      </c>
      <c r="N1559">
        <v>40</v>
      </c>
      <c r="O1559">
        <v>2</v>
      </c>
      <c r="P1559" t="s">
        <v>138</v>
      </c>
      <c r="Q1559">
        <v>30</v>
      </c>
      <c r="R1559">
        <v>0</v>
      </c>
      <c r="S1559">
        <v>0</v>
      </c>
      <c r="T1559">
        <v>5</v>
      </c>
      <c r="U1559" t="s">
        <v>501</v>
      </c>
      <c r="V1559">
        <v>0</v>
      </c>
      <c r="W1559">
        <v>0</v>
      </c>
      <c r="X1559">
        <v>0</v>
      </c>
      <c r="Y1559">
        <v>25</v>
      </c>
      <c r="Z1559" t="s">
        <v>111</v>
      </c>
      <c r="AA1559">
        <v>0</v>
      </c>
      <c r="AB1559" t="s">
        <v>111</v>
      </c>
      <c r="AC1559">
        <v>0</v>
      </c>
      <c r="AD1559" t="s">
        <v>416</v>
      </c>
      <c r="AE1559">
        <v>0</v>
      </c>
      <c r="AF1559">
        <v>0</v>
      </c>
      <c r="AG1559" t="s">
        <v>111</v>
      </c>
      <c r="AH1559" t="s">
        <v>111</v>
      </c>
      <c r="AI1559" t="s">
        <v>111</v>
      </c>
      <c r="AJ1559" t="s">
        <v>111</v>
      </c>
      <c r="AK1559" t="s">
        <v>111</v>
      </c>
      <c r="AL1559" t="s">
        <v>111</v>
      </c>
      <c r="AM1559">
        <v>0</v>
      </c>
      <c r="AN1559">
        <v>0</v>
      </c>
      <c r="AO1559">
        <v>0</v>
      </c>
      <c r="AP1559" t="s">
        <v>111</v>
      </c>
      <c r="AQ1559" t="s">
        <v>111</v>
      </c>
      <c r="AR1559" t="s">
        <v>111</v>
      </c>
      <c r="AS1559" t="s">
        <v>111</v>
      </c>
      <c r="AT1559" t="s">
        <v>111</v>
      </c>
      <c r="AU1559" t="s">
        <v>111</v>
      </c>
      <c r="AV1559" t="s">
        <v>111</v>
      </c>
      <c r="AW1559" t="s">
        <v>111</v>
      </c>
      <c r="AX1559" t="s">
        <v>111</v>
      </c>
      <c r="AY1559" t="s">
        <v>111</v>
      </c>
      <c r="AZ1559" t="s">
        <v>111</v>
      </c>
      <c r="BA1559" t="s">
        <v>111</v>
      </c>
      <c r="BB1559" t="s">
        <v>111</v>
      </c>
      <c r="BC1559" t="s">
        <v>111</v>
      </c>
      <c r="BD1559" t="s">
        <v>111</v>
      </c>
      <c r="BE1559" t="s">
        <v>111</v>
      </c>
      <c r="BF1559" t="s">
        <v>111</v>
      </c>
      <c r="BG1559" t="s">
        <v>111</v>
      </c>
      <c r="BH1559" t="s">
        <v>111</v>
      </c>
      <c r="BI1559" t="s">
        <v>111</v>
      </c>
      <c r="BJ1559" t="s">
        <v>111</v>
      </c>
      <c r="BK1559" t="s">
        <v>111</v>
      </c>
      <c r="BL1559" t="s">
        <v>111</v>
      </c>
      <c r="BM1559" t="s">
        <v>111</v>
      </c>
      <c r="BN1559" t="s">
        <v>111</v>
      </c>
      <c r="BO1559" t="s">
        <v>111</v>
      </c>
      <c r="BP1559" t="s">
        <v>111</v>
      </c>
      <c r="BQ1559" t="s">
        <v>111</v>
      </c>
      <c r="BR1559" t="s">
        <v>111</v>
      </c>
      <c r="BS1559" t="s">
        <v>111</v>
      </c>
      <c r="BT1559" t="s">
        <v>111</v>
      </c>
      <c r="BU1559" t="s">
        <v>111</v>
      </c>
      <c r="BV1559" t="s">
        <v>111</v>
      </c>
      <c r="BW1559" t="s">
        <v>111</v>
      </c>
      <c r="BX1559" t="s">
        <v>111</v>
      </c>
      <c r="BY1559" t="s">
        <v>111</v>
      </c>
      <c r="BZ1559" t="s">
        <v>111</v>
      </c>
      <c r="CA1559" t="s">
        <v>111</v>
      </c>
      <c r="CB1559" t="s">
        <v>111</v>
      </c>
      <c r="CC1559" t="s">
        <v>111</v>
      </c>
      <c r="CD1559" t="s">
        <v>111</v>
      </c>
      <c r="CE1559" t="s">
        <v>111</v>
      </c>
      <c r="CF1559" t="s">
        <v>111</v>
      </c>
      <c r="CG1559" t="s">
        <v>111</v>
      </c>
      <c r="CH1559" t="s">
        <v>111</v>
      </c>
      <c r="CI1559" t="s">
        <v>111</v>
      </c>
      <c r="CJ1559" t="s">
        <v>111</v>
      </c>
      <c r="CK1559" t="s">
        <v>111</v>
      </c>
      <c r="CL1559" t="e">
        <f>-DESTINO SELLADO</f>
        <v>#NAME?</v>
      </c>
      <c r="CM1559" t="s">
        <v>135</v>
      </c>
      <c r="CN1559" t="s">
        <v>113</v>
      </c>
      <c r="CO1559" t="s">
        <v>111</v>
      </c>
      <c r="CP1559" t="s">
        <v>111</v>
      </c>
      <c r="CQ1559">
        <v>0</v>
      </c>
      <c r="CR1559">
        <v>26000</v>
      </c>
      <c r="CS1559">
        <v>26000</v>
      </c>
      <c r="CT1559" t="s">
        <v>394</v>
      </c>
      <c r="CU1559">
        <v>0</v>
      </c>
      <c r="CV1559" t="s">
        <v>111</v>
      </c>
      <c r="CW1559" t="s">
        <v>111</v>
      </c>
      <c r="CX1559" t="s">
        <v>111</v>
      </c>
      <c r="CY1559">
        <v>0</v>
      </c>
      <c r="CZ1559" t="s">
        <v>111</v>
      </c>
      <c r="DA1559" t="s">
        <v>111</v>
      </c>
      <c r="DB1559" t="s">
        <v>111</v>
      </c>
      <c r="DC1559" t="s">
        <v>111</v>
      </c>
    </row>
    <row r="1560" spans="1:107">
      <c r="A1560">
        <v>1283</v>
      </c>
      <c r="B1560" t="s">
        <v>107</v>
      </c>
      <c r="C1560" t="s">
        <v>4324</v>
      </c>
      <c r="D1560" t="s">
        <v>4357</v>
      </c>
      <c r="E1560" t="s">
        <v>4358</v>
      </c>
      <c r="F1560" t="s">
        <v>110</v>
      </c>
      <c r="G1560" t="s">
        <v>24</v>
      </c>
      <c r="H1560">
        <v>2.8</v>
      </c>
      <c r="I1560">
        <v>45</v>
      </c>
      <c r="J1560">
        <v>0</v>
      </c>
      <c r="K1560">
        <v>0</v>
      </c>
      <c r="L1560" t="s">
        <v>112</v>
      </c>
      <c r="M1560" t="s">
        <v>118</v>
      </c>
      <c r="N1560">
        <v>39</v>
      </c>
      <c r="O1560">
        <v>2</v>
      </c>
      <c r="P1560" t="s">
        <v>111</v>
      </c>
      <c r="Q1560">
        <v>40</v>
      </c>
      <c r="R1560">
        <v>0</v>
      </c>
      <c r="S1560">
        <v>0</v>
      </c>
      <c r="T1560">
        <v>0</v>
      </c>
      <c r="U1560" s="1" t="s">
        <v>4359</v>
      </c>
      <c r="V1560">
        <v>0</v>
      </c>
      <c r="W1560">
        <v>0</v>
      </c>
      <c r="X1560">
        <v>0</v>
      </c>
      <c r="Y1560">
        <v>25</v>
      </c>
      <c r="Z1560" t="s">
        <v>111</v>
      </c>
      <c r="AA1560">
        <v>0</v>
      </c>
      <c r="AB1560" t="s">
        <v>111</v>
      </c>
      <c r="AC1560">
        <v>0</v>
      </c>
      <c r="AD1560" t="s">
        <v>111</v>
      </c>
      <c r="AE1560">
        <v>0</v>
      </c>
      <c r="AF1560">
        <v>0</v>
      </c>
      <c r="AG1560" t="s">
        <v>111</v>
      </c>
      <c r="AH1560" t="s">
        <v>111</v>
      </c>
      <c r="AI1560" t="s">
        <v>111</v>
      </c>
      <c r="AJ1560" t="s">
        <v>111</v>
      </c>
      <c r="AK1560" t="s">
        <v>111</v>
      </c>
      <c r="AL1560" t="s">
        <v>111</v>
      </c>
      <c r="AM1560">
        <v>0</v>
      </c>
      <c r="AN1560">
        <v>0</v>
      </c>
      <c r="AO1560">
        <v>0</v>
      </c>
      <c r="AP1560" t="s">
        <v>111</v>
      </c>
      <c r="AQ1560" t="s">
        <v>111</v>
      </c>
      <c r="AR1560" t="s">
        <v>111</v>
      </c>
      <c r="AS1560" t="s">
        <v>111</v>
      </c>
      <c r="AT1560" t="s">
        <v>111</v>
      </c>
      <c r="AU1560" t="s">
        <v>111</v>
      </c>
      <c r="AV1560" t="s">
        <v>111</v>
      </c>
      <c r="AW1560" t="s">
        <v>111</v>
      </c>
      <c r="AX1560" t="s">
        <v>111</v>
      </c>
      <c r="AY1560" t="s">
        <v>111</v>
      </c>
      <c r="AZ1560" t="s">
        <v>111</v>
      </c>
      <c r="BA1560" t="s">
        <v>111</v>
      </c>
      <c r="BB1560" t="s">
        <v>111</v>
      </c>
      <c r="BC1560" t="s">
        <v>111</v>
      </c>
      <c r="BD1560" t="s">
        <v>111</v>
      </c>
      <c r="BE1560" t="s">
        <v>111</v>
      </c>
      <c r="BF1560" t="s">
        <v>111</v>
      </c>
      <c r="BG1560" t="s">
        <v>111</v>
      </c>
      <c r="BH1560" t="s">
        <v>111</v>
      </c>
      <c r="BI1560" t="s">
        <v>111</v>
      </c>
      <c r="BJ1560" t="s">
        <v>111</v>
      </c>
      <c r="BK1560" t="s">
        <v>111</v>
      </c>
      <c r="BL1560" t="s">
        <v>111</v>
      </c>
      <c r="BM1560" t="s">
        <v>111</v>
      </c>
      <c r="BN1560" t="s">
        <v>111</v>
      </c>
      <c r="BO1560" t="s">
        <v>111</v>
      </c>
      <c r="BP1560" t="s">
        <v>111</v>
      </c>
      <c r="BQ1560" t="s">
        <v>111</v>
      </c>
      <c r="BR1560" t="s">
        <v>111</v>
      </c>
      <c r="BS1560" t="s">
        <v>111</v>
      </c>
      <c r="BT1560" t="s">
        <v>111</v>
      </c>
      <c r="BU1560" t="s">
        <v>111</v>
      </c>
      <c r="BV1560" t="s">
        <v>111</v>
      </c>
      <c r="BW1560" t="s">
        <v>111</v>
      </c>
      <c r="BX1560" t="s">
        <v>111</v>
      </c>
      <c r="BY1560" t="s">
        <v>111</v>
      </c>
      <c r="BZ1560" t="s">
        <v>111</v>
      </c>
      <c r="CA1560" t="s">
        <v>111</v>
      </c>
      <c r="CB1560" t="s">
        <v>111</v>
      </c>
      <c r="CC1560" t="s">
        <v>111</v>
      </c>
      <c r="CD1560" t="s">
        <v>111</v>
      </c>
      <c r="CE1560" t="s">
        <v>111</v>
      </c>
      <c r="CF1560" t="s">
        <v>111</v>
      </c>
      <c r="CG1560" t="s">
        <v>111</v>
      </c>
      <c r="CH1560" t="s">
        <v>111</v>
      </c>
      <c r="CI1560" t="s">
        <v>111</v>
      </c>
      <c r="CJ1560" t="s">
        <v>111</v>
      </c>
      <c r="CK1560" t="s">
        <v>111</v>
      </c>
      <c r="CL1560" t="s">
        <v>111</v>
      </c>
      <c r="CM1560" t="s">
        <v>111</v>
      </c>
      <c r="CN1560" t="s">
        <v>111</v>
      </c>
      <c r="CO1560" t="s">
        <v>111</v>
      </c>
      <c r="CP1560" t="s">
        <v>111</v>
      </c>
      <c r="CQ1560">
        <v>0</v>
      </c>
      <c r="CR1560">
        <v>0</v>
      </c>
      <c r="CS1560">
        <v>0</v>
      </c>
      <c r="CT1560" t="s">
        <v>111</v>
      </c>
      <c r="CU1560">
        <v>0</v>
      </c>
      <c r="CV1560" t="s">
        <v>111</v>
      </c>
      <c r="CW1560" t="s">
        <v>111</v>
      </c>
      <c r="CX1560" t="s">
        <v>111</v>
      </c>
      <c r="CY1560">
        <v>0</v>
      </c>
      <c r="CZ1560" t="s">
        <v>111</v>
      </c>
      <c r="DA1560" t="s">
        <v>111</v>
      </c>
      <c r="DB1560" t="s">
        <v>111</v>
      </c>
      <c r="DC1560" t="s">
        <v>111</v>
      </c>
    </row>
    <row r="1561" spans="1:107">
      <c r="A1561">
        <v>523</v>
      </c>
      <c r="B1561" t="s">
        <v>162</v>
      </c>
      <c r="C1561" t="s">
        <v>2274</v>
      </c>
      <c r="D1561" t="s">
        <v>4360</v>
      </c>
      <c r="E1561" t="s">
        <v>4361</v>
      </c>
      <c r="F1561" t="s">
        <v>1651</v>
      </c>
      <c r="G1561" t="s">
        <v>24</v>
      </c>
      <c r="H1561">
        <v>1.2</v>
      </c>
      <c r="I1561">
        <v>35</v>
      </c>
      <c r="J1561">
        <v>0</v>
      </c>
      <c r="K1561">
        <v>0</v>
      </c>
      <c r="L1561" t="s">
        <v>112</v>
      </c>
      <c r="M1561" t="s">
        <v>118</v>
      </c>
      <c r="N1561">
        <v>40</v>
      </c>
      <c r="O1561">
        <v>1</v>
      </c>
      <c r="P1561" t="s">
        <v>138</v>
      </c>
      <c r="Q1561">
        <v>40</v>
      </c>
      <c r="R1561">
        <v>0</v>
      </c>
      <c r="S1561">
        <v>0</v>
      </c>
      <c r="T1561">
        <v>0</v>
      </c>
      <c r="U1561" t="s">
        <v>1353</v>
      </c>
      <c r="V1561">
        <v>0</v>
      </c>
      <c r="W1561">
        <v>0</v>
      </c>
      <c r="X1561">
        <v>0</v>
      </c>
      <c r="Y1561">
        <v>25</v>
      </c>
      <c r="Z1561" t="s">
        <v>111</v>
      </c>
      <c r="AA1561">
        <v>0</v>
      </c>
      <c r="AB1561" t="s">
        <v>111</v>
      </c>
      <c r="AC1561">
        <v>0</v>
      </c>
      <c r="AD1561" t="s">
        <v>416</v>
      </c>
      <c r="AE1561">
        <v>3</v>
      </c>
      <c r="AF1561">
        <v>2</v>
      </c>
      <c r="AG1561">
        <v>29</v>
      </c>
      <c r="AH1561" t="s">
        <v>111</v>
      </c>
      <c r="AI1561">
        <v>29</v>
      </c>
      <c r="AJ1561" t="s">
        <v>111</v>
      </c>
      <c r="AK1561" t="s">
        <v>111</v>
      </c>
      <c r="AL1561" t="s">
        <v>111</v>
      </c>
      <c r="AM1561">
        <v>0</v>
      </c>
      <c r="AN1561">
        <v>0</v>
      </c>
      <c r="AO1561">
        <v>0</v>
      </c>
      <c r="AP1561" t="s">
        <v>111</v>
      </c>
      <c r="AQ1561" t="s">
        <v>111</v>
      </c>
      <c r="AR1561" t="s">
        <v>111</v>
      </c>
      <c r="AS1561" t="s">
        <v>111</v>
      </c>
      <c r="AT1561" t="s">
        <v>111</v>
      </c>
      <c r="AU1561" t="s">
        <v>111</v>
      </c>
      <c r="AV1561" t="s">
        <v>111</v>
      </c>
      <c r="AW1561" t="s">
        <v>111</v>
      </c>
      <c r="AX1561" t="s">
        <v>111</v>
      </c>
      <c r="AY1561" t="s">
        <v>111</v>
      </c>
      <c r="AZ1561" t="s">
        <v>111</v>
      </c>
      <c r="BA1561" t="s">
        <v>111</v>
      </c>
      <c r="BB1561" t="s">
        <v>111</v>
      </c>
      <c r="BC1561" t="s">
        <v>111</v>
      </c>
      <c r="BD1561" t="s">
        <v>111</v>
      </c>
      <c r="BE1561" t="s">
        <v>111</v>
      </c>
      <c r="BF1561" t="s">
        <v>111</v>
      </c>
      <c r="BG1561" t="s">
        <v>111</v>
      </c>
      <c r="BH1561" t="s">
        <v>111</v>
      </c>
      <c r="BI1561" t="s">
        <v>111</v>
      </c>
      <c r="BJ1561" t="s">
        <v>111</v>
      </c>
      <c r="BK1561" t="s">
        <v>111</v>
      </c>
      <c r="BL1561" t="s">
        <v>111</v>
      </c>
      <c r="BM1561" t="s">
        <v>111</v>
      </c>
      <c r="BN1561" t="s">
        <v>111</v>
      </c>
      <c r="BO1561" t="s">
        <v>111</v>
      </c>
      <c r="BP1561" t="s">
        <v>111</v>
      </c>
      <c r="BQ1561" t="s">
        <v>111</v>
      </c>
      <c r="BR1561" t="s">
        <v>111</v>
      </c>
      <c r="BS1561" t="s">
        <v>111</v>
      </c>
      <c r="BT1561" t="s">
        <v>111</v>
      </c>
      <c r="BU1561" t="s">
        <v>111</v>
      </c>
      <c r="BV1561" t="s">
        <v>111</v>
      </c>
      <c r="BW1561" t="s">
        <v>111</v>
      </c>
      <c r="BX1561" t="s">
        <v>111</v>
      </c>
      <c r="BY1561" t="s">
        <v>111</v>
      </c>
      <c r="BZ1561" t="s">
        <v>111</v>
      </c>
      <c r="CA1561" t="s">
        <v>111</v>
      </c>
      <c r="CB1561" t="s">
        <v>111</v>
      </c>
      <c r="CC1561" t="s">
        <v>111</v>
      </c>
      <c r="CD1561" t="s">
        <v>111</v>
      </c>
      <c r="CE1561" t="s">
        <v>111</v>
      </c>
      <c r="CF1561" t="s">
        <v>111</v>
      </c>
      <c r="CG1561" t="s">
        <v>111</v>
      </c>
      <c r="CH1561" t="s">
        <v>111</v>
      </c>
      <c r="CI1561" t="s">
        <v>111</v>
      </c>
      <c r="CJ1561" t="s">
        <v>111</v>
      </c>
      <c r="CK1561" t="s">
        <v>111</v>
      </c>
      <c r="CL1561" t="s">
        <v>153</v>
      </c>
      <c r="CM1561" t="s">
        <v>198</v>
      </c>
      <c r="CN1561" t="s">
        <v>113</v>
      </c>
      <c r="CO1561" t="s">
        <v>111</v>
      </c>
      <c r="CP1561" t="s">
        <v>433</v>
      </c>
      <c r="CQ1561">
        <v>0</v>
      </c>
      <c r="CR1561">
        <v>0</v>
      </c>
      <c r="CS1561">
        <v>0</v>
      </c>
      <c r="CT1561" t="s">
        <v>168</v>
      </c>
      <c r="CU1561">
        <v>0</v>
      </c>
      <c r="CV1561" t="s">
        <v>111</v>
      </c>
      <c r="CW1561" t="s">
        <v>111</v>
      </c>
      <c r="CX1561" t="s">
        <v>111</v>
      </c>
      <c r="CY1561">
        <v>0</v>
      </c>
      <c r="CZ1561" t="s">
        <v>111</v>
      </c>
      <c r="DA1561" t="s">
        <v>111</v>
      </c>
      <c r="DB1561" t="s">
        <v>111</v>
      </c>
      <c r="DC1561" t="s">
        <v>111</v>
      </c>
    </row>
    <row r="1562" spans="1:107">
      <c r="A1562">
        <v>1281</v>
      </c>
      <c r="B1562" t="s">
        <v>107</v>
      </c>
      <c r="C1562" t="s">
        <v>154</v>
      </c>
      <c r="D1562" t="s">
        <v>4362</v>
      </c>
      <c r="E1562" t="s">
        <v>4363</v>
      </c>
      <c r="F1562" t="s">
        <v>1071</v>
      </c>
      <c r="G1562" t="s">
        <v>24</v>
      </c>
      <c r="H1562">
        <v>1.9</v>
      </c>
      <c r="I1562">
        <v>20</v>
      </c>
      <c r="J1562">
        <v>0</v>
      </c>
      <c r="K1562">
        <v>0</v>
      </c>
      <c r="L1562" t="s">
        <v>112</v>
      </c>
      <c r="M1562" t="s">
        <v>111</v>
      </c>
      <c r="N1562">
        <v>0</v>
      </c>
      <c r="O1562">
        <v>0</v>
      </c>
      <c r="P1562" t="s">
        <v>111</v>
      </c>
      <c r="Q1562">
        <v>13.5</v>
      </c>
      <c r="R1562">
        <v>0</v>
      </c>
      <c r="S1562">
        <v>0</v>
      </c>
      <c r="T1562">
        <v>5</v>
      </c>
      <c r="U1562" s="1" t="s">
        <v>4364</v>
      </c>
      <c r="V1562">
        <v>0</v>
      </c>
      <c r="W1562">
        <v>0</v>
      </c>
      <c r="X1562">
        <v>0</v>
      </c>
      <c r="Y1562">
        <v>25</v>
      </c>
      <c r="Z1562" t="s">
        <v>111</v>
      </c>
      <c r="AA1562">
        <v>0</v>
      </c>
      <c r="AB1562" t="s">
        <v>111</v>
      </c>
      <c r="AC1562">
        <v>0</v>
      </c>
      <c r="AD1562" t="s">
        <v>111</v>
      </c>
      <c r="AE1562">
        <v>0</v>
      </c>
      <c r="AF1562">
        <v>0</v>
      </c>
      <c r="AG1562" t="s">
        <v>111</v>
      </c>
      <c r="AH1562" t="s">
        <v>111</v>
      </c>
      <c r="AI1562" t="s">
        <v>111</v>
      </c>
      <c r="AJ1562" t="s">
        <v>111</v>
      </c>
      <c r="AK1562" t="s">
        <v>111</v>
      </c>
      <c r="AL1562" t="s">
        <v>111</v>
      </c>
      <c r="AM1562">
        <v>0</v>
      </c>
      <c r="AN1562">
        <v>0</v>
      </c>
      <c r="AO1562">
        <v>0</v>
      </c>
      <c r="AP1562" t="s">
        <v>111</v>
      </c>
      <c r="AQ1562" t="s">
        <v>111</v>
      </c>
      <c r="AR1562" t="s">
        <v>111</v>
      </c>
      <c r="AS1562" t="s">
        <v>111</v>
      </c>
      <c r="AT1562" t="s">
        <v>111</v>
      </c>
      <c r="AU1562" t="s">
        <v>111</v>
      </c>
      <c r="AV1562" t="s">
        <v>111</v>
      </c>
      <c r="AW1562" t="s">
        <v>111</v>
      </c>
      <c r="AX1562" t="s">
        <v>111</v>
      </c>
      <c r="AY1562" t="s">
        <v>111</v>
      </c>
      <c r="AZ1562" t="s">
        <v>111</v>
      </c>
      <c r="BA1562" t="s">
        <v>111</v>
      </c>
      <c r="BB1562" t="s">
        <v>111</v>
      </c>
      <c r="BC1562" t="s">
        <v>111</v>
      </c>
      <c r="BD1562" t="s">
        <v>111</v>
      </c>
      <c r="BE1562" t="s">
        <v>111</v>
      </c>
      <c r="BF1562" t="s">
        <v>111</v>
      </c>
      <c r="BG1562" t="s">
        <v>111</v>
      </c>
      <c r="BH1562" t="s">
        <v>111</v>
      </c>
      <c r="BI1562" t="s">
        <v>111</v>
      </c>
      <c r="BJ1562" t="s">
        <v>111</v>
      </c>
      <c r="BK1562" t="s">
        <v>111</v>
      </c>
      <c r="BL1562" t="s">
        <v>111</v>
      </c>
      <c r="BM1562" t="s">
        <v>111</v>
      </c>
      <c r="BN1562" t="s">
        <v>111</v>
      </c>
      <c r="BO1562" t="s">
        <v>111</v>
      </c>
      <c r="BP1562" t="s">
        <v>111</v>
      </c>
      <c r="BQ1562" t="s">
        <v>111</v>
      </c>
      <c r="BR1562" t="s">
        <v>111</v>
      </c>
      <c r="BS1562" t="s">
        <v>111</v>
      </c>
      <c r="BT1562" t="s">
        <v>111</v>
      </c>
      <c r="BU1562" t="s">
        <v>111</v>
      </c>
      <c r="BV1562" t="s">
        <v>111</v>
      </c>
      <c r="BW1562" t="s">
        <v>111</v>
      </c>
      <c r="BX1562" t="s">
        <v>111</v>
      </c>
      <c r="BY1562" t="s">
        <v>111</v>
      </c>
      <c r="BZ1562" t="s">
        <v>111</v>
      </c>
      <c r="CA1562" t="s">
        <v>111</v>
      </c>
      <c r="CB1562" t="s">
        <v>111</v>
      </c>
      <c r="CC1562" t="s">
        <v>111</v>
      </c>
      <c r="CD1562" t="s">
        <v>111</v>
      </c>
      <c r="CE1562" t="s">
        <v>111</v>
      </c>
      <c r="CF1562" t="s">
        <v>111</v>
      </c>
      <c r="CG1562" t="s">
        <v>111</v>
      </c>
      <c r="CH1562" t="s">
        <v>111</v>
      </c>
      <c r="CI1562" t="s">
        <v>111</v>
      </c>
      <c r="CJ1562" t="s">
        <v>111</v>
      </c>
      <c r="CK1562" t="s">
        <v>111</v>
      </c>
      <c r="CL1562" t="s">
        <v>111</v>
      </c>
      <c r="CM1562">
        <v>450</v>
      </c>
      <c r="CN1562" t="s">
        <v>113</v>
      </c>
      <c r="CO1562" t="s">
        <v>111</v>
      </c>
      <c r="CP1562" t="s">
        <v>111</v>
      </c>
      <c r="CQ1562">
        <v>0</v>
      </c>
      <c r="CR1562">
        <v>9000</v>
      </c>
      <c r="CS1562">
        <v>500</v>
      </c>
      <c r="CT1562" t="e">
        <f>-ALMACEN</f>
        <v>#NAME?</v>
      </c>
      <c r="CU1562">
        <v>0</v>
      </c>
      <c r="CV1562" t="s">
        <v>111</v>
      </c>
      <c r="CW1562" t="s">
        <v>111</v>
      </c>
      <c r="CX1562" t="s">
        <v>111</v>
      </c>
      <c r="CY1562">
        <v>0</v>
      </c>
      <c r="CZ1562" t="s">
        <v>111</v>
      </c>
      <c r="DA1562" t="s">
        <v>111</v>
      </c>
      <c r="DB1562" t="s">
        <v>111</v>
      </c>
      <c r="DC1562" t="s">
        <v>111</v>
      </c>
    </row>
    <row r="1563" spans="1:107">
      <c r="A1563">
        <v>1278</v>
      </c>
      <c r="B1563" t="s">
        <v>107</v>
      </c>
      <c r="C1563" t="s">
        <v>4365</v>
      </c>
      <c r="D1563" t="s">
        <v>4366</v>
      </c>
      <c r="E1563" t="s">
        <v>4367</v>
      </c>
      <c r="F1563" t="s">
        <v>110</v>
      </c>
      <c r="G1563" t="s">
        <v>24</v>
      </c>
      <c r="H1563">
        <v>1.5</v>
      </c>
      <c r="I1563">
        <v>25</v>
      </c>
      <c r="J1563">
        <v>0</v>
      </c>
      <c r="K1563">
        <v>0</v>
      </c>
      <c r="L1563" t="s">
        <v>112</v>
      </c>
      <c r="M1563" t="s">
        <v>118</v>
      </c>
      <c r="N1563">
        <v>39</v>
      </c>
      <c r="O1563">
        <v>2</v>
      </c>
      <c r="P1563" t="s">
        <v>111</v>
      </c>
      <c r="Q1563">
        <v>19.399999999999999</v>
      </c>
      <c r="R1563">
        <v>0</v>
      </c>
      <c r="S1563">
        <v>0</v>
      </c>
      <c r="T1563">
        <v>0</v>
      </c>
      <c r="U1563" s="1" t="s">
        <v>4368</v>
      </c>
      <c r="V1563">
        <v>0</v>
      </c>
      <c r="W1563">
        <v>0</v>
      </c>
      <c r="X1563">
        <v>0</v>
      </c>
      <c r="Y1563">
        <v>25</v>
      </c>
      <c r="Z1563" t="s">
        <v>111</v>
      </c>
      <c r="AA1563">
        <v>0</v>
      </c>
      <c r="AB1563" t="s">
        <v>111</v>
      </c>
      <c r="AC1563">
        <v>0</v>
      </c>
      <c r="AD1563" t="s">
        <v>111</v>
      </c>
      <c r="AE1563">
        <v>0</v>
      </c>
      <c r="AF1563">
        <v>0</v>
      </c>
      <c r="AG1563" t="s">
        <v>111</v>
      </c>
      <c r="AH1563" t="s">
        <v>111</v>
      </c>
      <c r="AI1563" t="s">
        <v>111</v>
      </c>
      <c r="AJ1563" t="s">
        <v>111</v>
      </c>
      <c r="AK1563" t="s">
        <v>111</v>
      </c>
      <c r="AL1563" t="s">
        <v>111</v>
      </c>
      <c r="AM1563">
        <v>0</v>
      </c>
      <c r="AN1563">
        <v>0</v>
      </c>
      <c r="AO1563">
        <v>0</v>
      </c>
      <c r="AP1563" t="s">
        <v>111</v>
      </c>
      <c r="AQ1563" t="s">
        <v>111</v>
      </c>
      <c r="AR1563" t="s">
        <v>111</v>
      </c>
      <c r="AS1563" t="s">
        <v>111</v>
      </c>
      <c r="AT1563" t="s">
        <v>111</v>
      </c>
      <c r="AU1563" t="s">
        <v>111</v>
      </c>
      <c r="AV1563" t="s">
        <v>111</v>
      </c>
      <c r="AW1563" t="s">
        <v>111</v>
      </c>
      <c r="AX1563" t="s">
        <v>111</v>
      </c>
      <c r="AY1563" t="s">
        <v>111</v>
      </c>
      <c r="AZ1563" t="s">
        <v>111</v>
      </c>
      <c r="BA1563" t="s">
        <v>111</v>
      </c>
      <c r="BB1563" t="s">
        <v>111</v>
      </c>
      <c r="BC1563" t="s">
        <v>111</v>
      </c>
      <c r="BD1563" t="s">
        <v>111</v>
      </c>
      <c r="BE1563" t="s">
        <v>111</v>
      </c>
      <c r="BF1563" t="s">
        <v>111</v>
      </c>
      <c r="BG1563" t="s">
        <v>111</v>
      </c>
      <c r="BH1563" t="s">
        <v>111</v>
      </c>
      <c r="BI1563" t="s">
        <v>111</v>
      </c>
      <c r="BJ1563" t="s">
        <v>111</v>
      </c>
      <c r="BK1563" t="s">
        <v>111</v>
      </c>
      <c r="BL1563" t="s">
        <v>111</v>
      </c>
      <c r="BM1563" t="s">
        <v>111</v>
      </c>
      <c r="BN1563" t="s">
        <v>111</v>
      </c>
      <c r="BO1563" t="s">
        <v>111</v>
      </c>
      <c r="BP1563" t="s">
        <v>111</v>
      </c>
      <c r="BQ1563" t="s">
        <v>111</v>
      </c>
      <c r="BR1563" t="s">
        <v>111</v>
      </c>
      <c r="BS1563" t="s">
        <v>111</v>
      </c>
      <c r="BT1563" t="s">
        <v>111</v>
      </c>
      <c r="BU1563" t="s">
        <v>111</v>
      </c>
      <c r="BV1563" t="s">
        <v>111</v>
      </c>
      <c r="BW1563" t="s">
        <v>111</v>
      </c>
      <c r="BX1563" t="s">
        <v>111</v>
      </c>
      <c r="BY1563" t="s">
        <v>111</v>
      </c>
      <c r="BZ1563" t="s">
        <v>111</v>
      </c>
      <c r="CA1563" t="s">
        <v>111</v>
      </c>
      <c r="CB1563" t="s">
        <v>111</v>
      </c>
      <c r="CC1563" t="s">
        <v>111</v>
      </c>
      <c r="CD1563" t="s">
        <v>111</v>
      </c>
      <c r="CE1563" t="s">
        <v>111</v>
      </c>
      <c r="CF1563" t="s">
        <v>111</v>
      </c>
      <c r="CG1563" t="s">
        <v>111</v>
      </c>
      <c r="CH1563" t="s">
        <v>111</v>
      </c>
      <c r="CI1563" t="s">
        <v>111</v>
      </c>
      <c r="CJ1563" t="s">
        <v>111</v>
      </c>
      <c r="CK1563" t="s">
        <v>111</v>
      </c>
      <c r="CL1563" t="s">
        <v>111</v>
      </c>
      <c r="CM1563" t="s">
        <v>111</v>
      </c>
      <c r="CN1563" t="s">
        <v>111</v>
      </c>
      <c r="CO1563" t="s">
        <v>111</v>
      </c>
      <c r="CP1563" t="s">
        <v>111</v>
      </c>
      <c r="CQ1563">
        <v>0</v>
      </c>
      <c r="CR1563">
        <v>0</v>
      </c>
      <c r="CS1563">
        <v>0</v>
      </c>
      <c r="CT1563" t="s">
        <v>111</v>
      </c>
      <c r="CU1563">
        <v>0</v>
      </c>
      <c r="CV1563" t="s">
        <v>111</v>
      </c>
      <c r="CW1563" t="s">
        <v>111</v>
      </c>
      <c r="CX1563" t="s">
        <v>111</v>
      </c>
      <c r="CY1563">
        <v>0</v>
      </c>
      <c r="CZ1563" t="s">
        <v>111</v>
      </c>
      <c r="DA1563" t="s">
        <v>111</v>
      </c>
      <c r="DB1563" t="s">
        <v>111</v>
      </c>
      <c r="DC1563" t="s">
        <v>111</v>
      </c>
    </row>
    <row r="1564" spans="1:107">
      <c r="A1564">
        <v>1275</v>
      </c>
      <c r="B1564" t="s">
        <v>107</v>
      </c>
      <c r="C1564" t="s">
        <v>536</v>
      </c>
      <c r="D1564" t="s">
        <v>4369</v>
      </c>
      <c r="E1564" t="s">
        <v>4370</v>
      </c>
      <c r="F1564" t="s">
        <v>1071</v>
      </c>
      <c r="G1564" t="s">
        <v>24</v>
      </c>
      <c r="H1564">
        <v>1.3</v>
      </c>
      <c r="I1564">
        <v>35</v>
      </c>
      <c r="J1564">
        <v>0</v>
      </c>
      <c r="K1564">
        <v>0</v>
      </c>
      <c r="L1564" t="s">
        <v>112</v>
      </c>
      <c r="M1564" t="s">
        <v>111</v>
      </c>
      <c r="N1564">
        <v>0</v>
      </c>
      <c r="O1564">
        <v>0</v>
      </c>
      <c r="P1564" t="s">
        <v>111</v>
      </c>
      <c r="Q1564">
        <v>33.4</v>
      </c>
      <c r="R1564">
        <v>0</v>
      </c>
      <c r="S1564">
        <v>0</v>
      </c>
      <c r="T1564">
        <v>5</v>
      </c>
      <c r="U1564" t="e">
        <f>-DESTINO SELLADO</f>
        <v>#NAME?</v>
      </c>
      <c r="V1564">
        <v>0</v>
      </c>
      <c r="W1564">
        <v>0</v>
      </c>
      <c r="X1564">
        <v>0</v>
      </c>
      <c r="Y1564">
        <v>25</v>
      </c>
      <c r="Z1564" t="s">
        <v>111</v>
      </c>
      <c r="AA1564">
        <v>0</v>
      </c>
      <c r="AB1564" t="s">
        <v>111</v>
      </c>
      <c r="AC1564">
        <v>0</v>
      </c>
      <c r="AD1564" t="s">
        <v>111</v>
      </c>
      <c r="AE1564">
        <v>0</v>
      </c>
      <c r="AF1564">
        <v>0</v>
      </c>
      <c r="AG1564" t="s">
        <v>111</v>
      </c>
      <c r="AH1564" t="s">
        <v>111</v>
      </c>
      <c r="AI1564" t="s">
        <v>111</v>
      </c>
      <c r="AJ1564" t="s">
        <v>111</v>
      </c>
      <c r="AK1564" t="s">
        <v>111</v>
      </c>
      <c r="AL1564" t="s">
        <v>111</v>
      </c>
      <c r="AM1564">
        <v>0</v>
      </c>
      <c r="AN1564">
        <v>0</v>
      </c>
      <c r="AO1564">
        <v>0</v>
      </c>
      <c r="AP1564" t="s">
        <v>111</v>
      </c>
      <c r="AQ1564" t="s">
        <v>111</v>
      </c>
      <c r="AR1564" t="s">
        <v>111</v>
      </c>
      <c r="AS1564" t="s">
        <v>111</v>
      </c>
      <c r="AT1564" t="s">
        <v>111</v>
      </c>
      <c r="AU1564" t="s">
        <v>111</v>
      </c>
      <c r="AV1564" t="s">
        <v>111</v>
      </c>
      <c r="AW1564" t="s">
        <v>111</v>
      </c>
      <c r="AX1564" t="s">
        <v>111</v>
      </c>
      <c r="AY1564" t="s">
        <v>111</v>
      </c>
      <c r="AZ1564" t="s">
        <v>111</v>
      </c>
      <c r="BA1564" t="s">
        <v>111</v>
      </c>
      <c r="BB1564" t="s">
        <v>111</v>
      </c>
      <c r="BC1564" t="s">
        <v>111</v>
      </c>
      <c r="BD1564" t="s">
        <v>111</v>
      </c>
      <c r="BE1564" t="s">
        <v>111</v>
      </c>
      <c r="BF1564" t="s">
        <v>111</v>
      </c>
      <c r="BG1564" t="s">
        <v>111</v>
      </c>
      <c r="BH1564" t="s">
        <v>111</v>
      </c>
      <c r="BI1564" t="s">
        <v>111</v>
      </c>
      <c r="BJ1564" t="s">
        <v>111</v>
      </c>
      <c r="BK1564" t="s">
        <v>111</v>
      </c>
      <c r="BL1564" t="s">
        <v>111</v>
      </c>
      <c r="BM1564" t="s">
        <v>111</v>
      </c>
      <c r="BN1564" t="s">
        <v>111</v>
      </c>
      <c r="BO1564" t="s">
        <v>111</v>
      </c>
      <c r="BP1564" t="s">
        <v>111</v>
      </c>
      <c r="BQ1564" t="s">
        <v>111</v>
      </c>
      <c r="BR1564" t="s">
        <v>111</v>
      </c>
      <c r="BS1564" t="s">
        <v>111</v>
      </c>
      <c r="BT1564" t="s">
        <v>111</v>
      </c>
      <c r="BU1564" t="s">
        <v>111</v>
      </c>
      <c r="BV1564" t="s">
        <v>111</v>
      </c>
      <c r="BW1564" t="s">
        <v>111</v>
      </c>
      <c r="BX1564" t="s">
        <v>111</v>
      </c>
      <c r="BY1564" t="s">
        <v>111</v>
      </c>
      <c r="BZ1564" t="s">
        <v>111</v>
      </c>
      <c r="CA1564" t="s">
        <v>111</v>
      </c>
      <c r="CB1564" t="s">
        <v>111</v>
      </c>
      <c r="CC1564" t="s">
        <v>111</v>
      </c>
      <c r="CD1564" t="s">
        <v>111</v>
      </c>
      <c r="CE1564" t="s">
        <v>111</v>
      </c>
      <c r="CF1564" t="s">
        <v>111</v>
      </c>
      <c r="CG1564" t="s">
        <v>111</v>
      </c>
      <c r="CH1564" t="s">
        <v>111</v>
      </c>
      <c r="CI1564" t="s">
        <v>111</v>
      </c>
      <c r="CJ1564" t="s">
        <v>111</v>
      </c>
      <c r="CK1564" t="s">
        <v>111</v>
      </c>
      <c r="CL1564" t="s">
        <v>111</v>
      </c>
      <c r="CM1564">
        <v>450</v>
      </c>
      <c r="CN1564" t="s">
        <v>113</v>
      </c>
      <c r="CO1564" t="s">
        <v>637</v>
      </c>
      <c r="CP1564" t="s">
        <v>111</v>
      </c>
      <c r="CQ1564">
        <v>98</v>
      </c>
      <c r="CR1564">
        <v>5000</v>
      </c>
      <c r="CS1564">
        <v>250</v>
      </c>
      <c r="CT1564" t="e">
        <f>-ALMACEN</f>
        <v>#NAME?</v>
      </c>
      <c r="CU1564">
        <v>0</v>
      </c>
      <c r="CV1564" t="s">
        <v>111</v>
      </c>
      <c r="CW1564" t="s">
        <v>111</v>
      </c>
      <c r="CX1564" t="s">
        <v>111</v>
      </c>
      <c r="CY1564">
        <v>0</v>
      </c>
      <c r="CZ1564" t="s">
        <v>111</v>
      </c>
      <c r="DA1564" t="s">
        <v>111</v>
      </c>
      <c r="DB1564" t="s">
        <v>111</v>
      </c>
      <c r="DC1564" t="s">
        <v>111</v>
      </c>
    </row>
    <row r="1565" spans="1:107">
      <c r="A1565">
        <v>1295</v>
      </c>
      <c r="B1565" t="s">
        <v>107</v>
      </c>
      <c r="C1565" t="s">
        <v>793</v>
      </c>
      <c r="D1565" t="s">
        <v>4371</v>
      </c>
      <c r="E1565" t="s">
        <v>4372</v>
      </c>
      <c r="F1565" t="s">
        <v>110</v>
      </c>
      <c r="G1565" t="s">
        <v>24</v>
      </c>
      <c r="H1565">
        <v>1.4</v>
      </c>
      <c r="I1565">
        <v>33</v>
      </c>
      <c r="J1565">
        <v>0</v>
      </c>
      <c r="K1565">
        <v>0</v>
      </c>
      <c r="L1565" t="s">
        <v>112</v>
      </c>
      <c r="M1565" t="s">
        <v>111</v>
      </c>
      <c r="N1565">
        <v>0</v>
      </c>
      <c r="O1565">
        <v>0</v>
      </c>
      <c r="P1565" t="s">
        <v>111</v>
      </c>
      <c r="Q1565">
        <v>33.299999999999997</v>
      </c>
      <c r="R1565">
        <v>0</v>
      </c>
      <c r="S1565">
        <v>0</v>
      </c>
      <c r="T1565">
        <v>5</v>
      </c>
      <c r="U1565" t="e">
        <f>-DESTINO DARMA</f>
        <v>#NAME?</v>
      </c>
      <c r="V1565">
        <v>0</v>
      </c>
      <c r="W1565">
        <v>0</v>
      </c>
      <c r="X1565">
        <v>0</v>
      </c>
      <c r="Y1565">
        <v>25</v>
      </c>
      <c r="Z1565" t="s">
        <v>111</v>
      </c>
      <c r="AA1565">
        <v>0</v>
      </c>
      <c r="AB1565" t="s">
        <v>111</v>
      </c>
      <c r="AC1565">
        <v>0</v>
      </c>
      <c r="AD1565" t="s">
        <v>111</v>
      </c>
      <c r="AE1565">
        <v>0</v>
      </c>
      <c r="AF1565">
        <v>0</v>
      </c>
      <c r="AG1565" t="s">
        <v>111</v>
      </c>
      <c r="AH1565" t="s">
        <v>111</v>
      </c>
      <c r="AI1565" t="s">
        <v>111</v>
      </c>
      <c r="AJ1565" t="s">
        <v>111</v>
      </c>
      <c r="AK1565" t="s">
        <v>111</v>
      </c>
      <c r="AL1565" t="s">
        <v>111</v>
      </c>
      <c r="AM1565">
        <v>0</v>
      </c>
      <c r="AN1565">
        <v>0</v>
      </c>
      <c r="AO1565">
        <v>0</v>
      </c>
      <c r="AP1565" t="s">
        <v>111</v>
      </c>
      <c r="AQ1565" t="s">
        <v>111</v>
      </c>
      <c r="AR1565" t="s">
        <v>111</v>
      </c>
      <c r="AS1565" t="s">
        <v>111</v>
      </c>
      <c r="AT1565" t="s">
        <v>111</v>
      </c>
      <c r="AU1565" t="s">
        <v>111</v>
      </c>
      <c r="AV1565" t="s">
        <v>111</v>
      </c>
      <c r="AW1565" t="s">
        <v>111</v>
      </c>
      <c r="AX1565" t="s">
        <v>111</v>
      </c>
      <c r="AY1565" t="s">
        <v>111</v>
      </c>
      <c r="AZ1565" t="s">
        <v>111</v>
      </c>
      <c r="BA1565" t="s">
        <v>111</v>
      </c>
      <c r="BB1565" t="s">
        <v>111</v>
      </c>
      <c r="BC1565" t="s">
        <v>111</v>
      </c>
      <c r="BD1565" t="s">
        <v>111</v>
      </c>
      <c r="BE1565" t="s">
        <v>111</v>
      </c>
      <c r="BF1565" t="s">
        <v>111</v>
      </c>
      <c r="BG1565" t="s">
        <v>111</v>
      </c>
      <c r="BH1565" t="s">
        <v>111</v>
      </c>
      <c r="BI1565" t="s">
        <v>111</v>
      </c>
      <c r="BJ1565" t="s">
        <v>111</v>
      </c>
      <c r="BK1565" t="s">
        <v>111</v>
      </c>
      <c r="BL1565" t="s">
        <v>111</v>
      </c>
      <c r="BM1565" t="s">
        <v>111</v>
      </c>
      <c r="BN1565" t="s">
        <v>111</v>
      </c>
      <c r="BO1565" t="s">
        <v>111</v>
      </c>
      <c r="BP1565" t="s">
        <v>111</v>
      </c>
      <c r="BQ1565" t="s">
        <v>111</v>
      </c>
      <c r="BR1565" t="s">
        <v>111</v>
      </c>
      <c r="BS1565" t="s">
        <v>111</v>
      </c>
      <c r="BT1565" t="s">
        <v>111</v>
      </c>
      <c r="BU1565" t="s">
        <v>111</v>
      </c>
      <c r="BV1565" t="s">
        <v>111</v>
      </c>
      <c r="BW1565" t="s">
        <v>111</v>
      </c>
      <c r="BX1565" t="s">
        <v>111</v>
      </c>
      <c r="BY1565" t="s">
        <v>111</v>
      </c>
      <c r="BZ1565" t="s">
        <v>111</v>
      </c>
      <c r="CA1565" t="s">
        <v>111</v>
      </c>
      <c r="CB1565" t="s">
        <v>111</v>
      </c>
      <c r="CC1565" t="s">
        <v>111</v>
      </c>
      <c r="CD1565" t="s">
        <v>111</v>
      </c>
      <c r="CE1565" t="s">
        <v>111</v>
      </c>
      <c r="CF1565" t="s">
        <v>111</v>
      </c>
      <c r="CG1565" t="s">
        <v>111</v>
      </c>
      <c r="CH1565" t="s">
        <v>111</v>
      </c>
      <c r="CI1565" t="s">
        <v>111</v>
      </c>
      <c r="CJ1565" t="s">
        <v>111</v>
      </c>
      <c r="CK1565" t="s">
        <v>111</v>
      </c>
      <c r="CL1565" t="s">
        <v>111</v>
      </c>
      <c r="CM1565" t="s">
        <v>111</v>
      </c>
      <c r="CN1565" t="s">
        <v>111</v>
      </c>
      <c r="CO1565" t="s">
        <v>111</v>
      </c>
      <c r="CP1565" t="s">
        <v>111</v>
      </c>
      <c r="CQ1565">
        <v>0</v>
      </c>
      <c r="CR1565">
        <v>0</v>
      </c>
      <c r="CS1565">
        <v>0</v>
      </c>
      <c r="CT1565" t="s">
        <v>111</v>
      </c>
      <c r="CU1565">
        <v>0</v>
      </c>
      <c r="CV1565" t="s">
        <v>111</v>
      </c>
      <c r="CW1565" t="s">
        <v>111</v>
      </c>
      <c r="CX1565" t="s">
        <v>111</v>
      </c>
      <c r="CY1565">
        <v>0</v>
      </c>
      <c r="CZ1565" t="s">
        <v>111</v>
      </c>
      <c r="DA1565" t="s">
        <v>111</v>
      </c>
      <c r="DB1565" t="s">
        <v>111</v>
      </c>
      <c r="DC1565" t="s">
        <v>111</v>
      </c>
    </row>
    <row r="1566" spans="1:107">
      <c r="A1566">
        <v>1294</v>
      </c>
      <c r="B1566" t="s">
        <v>107</v>
      </c>
      <c r="C1566" t="s">
        <v>593</v>
      </c>
      <c r="D1566" t="s">
        <v>4373</v>
      </c>
      <c r="E1566" t="s">
        <v>4374</v>
      </c>
      <c r="F1566" t="s">
        <v>1651</v>
      </c>
      <c r="G1566" t="s">
        <v>24</v>
      </c>
      <c r="H1566">
        <v>1.5</v>
      </c>
      <c r="I1566">
        <v>35</v>
      </c>
      <c r="J1566">
        <v>0</v>
      </c>
      <c r="K1566">
        <v>0</v>
      </c>
      <c r="L1566" t="s">
        <v>112</v>
      </c>
      <c r="M1566" t="s">
        <v>118</v>
      </c>
      <c r="N1566">
        <v>39</v>
      </c>
      <c r="O1566">
        <v>2</v>
      </c>
      <c r="P1566" t="s">
        <v>111</v>
      </c>
      <c r="Q1566">
        <v>34.299999999999997</v>
      </c>
      <c r="R1566">
        <v>0</v>
      </c>
      <c r="S1566">
        <v>0</v>
      </c>
      <c r="T1566">
        <v>5</v>
      </c>
      <c r="U1566" s="1" t="s">
        <v>4375</v>
      </c>
      <c r="V1566">
        <v>0</v>
      </c>
      <c r="W1566">
        <v>0</v>
      </c>
      <c r="X1566">
        <v>0</v>
      </c>
      <c r="Y1566">
        <v>25</v>
      </c>
      <c r="Z1566" t="s">
        <v>111</v>
      </c>
      <c r="AA1566">
        <v>0</v>
      </c>
      <c r="AB1566" t="s">
        <v>111</v>
      </c>
      <c r="AC1566">
        <v>0</v>
      </c>
      <c r="AD1566" t="s">
        <v>416</v>
      </c>
      <c r="AE1566">
        <v>0</v>
      </c>
      <c r="AF1566">
        <v>0</v>
      </c>
      <c r="AG1566" t="s">
        <v>111</v>
      </c>
      <c r="AH1566" t="s">
        <v>113</v>
      </c>
      <c r="AI1566" t="s">
        <v>111</v>
      </c>
      <c r="AJ1566" t="s">
        <v>111</v>
      </c>
      <c r="AK1566" t="s">
        <v>111</v>
      </c>
      <c r="AL1566" t="s">
        <v>111</v>
      </c>
      <c r="AM1566">
        <v>0</v>
      </c>
      <c r="AN1566">
        <v>0</v>
      </c>
      <c r="AO1566">
        <v>0</v>
      </c>
      <c r="AP1566" t="s">
        <v>111</v>
      </c>
      <c r="AQ1566" t="s">
        <v>111</v>
      </c>
      <c r="AR1566" t="s">
        <v>111</v>
      </c>
      <c r="AS1566" t="s">
        <v>111</v>
      </c>
      <c r="AT1566" t="s">
        <v>111</v>
      </c>
      <c r="AU1566" t="s">
        <v>111</v>
      </c>
      <c r="AV1566" t="s">
        <v>111</v>
      </c>
      <c r="AW1566" t="s">
        <v>111</v>
      </c>
      <c r="AX1566" t="s">
        <v>111</v>
      </c>
      <c r="AY1566" t="s">
        <v>111</v>
      </c>
      <c r="AZ1566" t="s">
        <v>111</v>
      </c>
      <c r="BA1566" t="s">
        <v>111</v>
      </c>
      <c r="BB1566" t="s">
        <v>111</v>
      </c>
      <c r="BC1566" t="s">
        <v>111</v>
      </c>
      <c r="BD1566" t="s">
        <v>111</v>
      </c>
      <c r="BE1566" t="s">
        <v>111</v>
      </c>
      <c r="BF1566" t="s">
        <v>111</v>
      </c>
      <c r="BG1566" t="s">
        <v>111</v>
      </c>
      <c r="BH1566" t="s">
        <v>111</v>
      </c>
      <c r="BI1566" t="s">
        <v>111</v>
      </c>
      <c r="BJ1566" t="s">
        <v>111</v>
      </c>
      <c r="BK1566" t="s">
        <v>111</v>
      </c>
      <c r="BL1566" t="s">
        <v>111</v>
      </c>
      <c r="BM1566" t="s">
        <v>111</v>
      </c>
      <c r="BN1566" t="s">
        <v>111</v>
      </c>
      <c r="BO1566" t="s">
        <v>111</v>
      </c>
      <c r="BP1566" t="s">
        <v>111</v>
      </c>
      <c r="BQ1566" t="s">
        <v>111</v>
      </c>
      <c r="BR1566" t="s">
        <v>111</v>
      </c>
      <c r="BS1566" t="s">
        <v>111</v>
      </c>
      <c r="BT1566" t="s">
        <v>111</v>
      </c>
      <c r="BU1566" t="s">
        <v>111</v>
      </c>
      <c r="BV1566" t="s">
        <v>111</v>
      </c>
      <c r="BW1566" t="s">
        <v>111</v>
      </c>
      <c r="BX1566" t="s">
        <v>111</v>
      </c>
      <c r="BY1566" t="s">
        <v>111</v>
      </c>
      <c r="BZ1566" t="s">
        <v>111</v>
      </c>
      <c r="CA1566" t="s">
        <v>111</v>
      </c>
      <c r="CB1566" t="s">
        <v>111</v>
      </c>
      <c r="CC1566" t="s">
        <v>111</v>
      </c>
      <c r="CD1566" t="s">
        <v>111</v>
      </c>
      <c r="CE1566" t="s">
        <v>111</v>
      </c>
      <c r="CF1566" t="s">
        <v>111</v>
      </c>
      <c r="CG1566" t="s">
        <v>111</v>
      </c>
      <c r="CH1566" t="s">
        <v>111</v>
      </c>
      <c r="CI1566" t="s">
        <v>111</v>
      </c>
      <c r="CJ1566" t="s">
        <v>111</v>
      </c>
      <c r="CK1566" t="s">
        <v>111</v>
      </c>
      <c r="CL1566" t="s">
        <v>111</v>
      </c>
      <c r="CM1566" t="s">
        <v>135</v>
      </c>
      <c r="CN1566" t="s">
        <v>113</v>
      </c>
      <c r="CO1566" t="s">
        <v>111</v>
      </c>
      <c r="CP1566" t="e">
        <f>-MUESTRA</f>
        <v>#NAME?</v>
      </c>
      <c r="CQ1566">
        <v>90</v>
      </c>
      <c r="CR1566">
        <v>7500</v>
      </c>
      <c r="CS1566">
        <v>250</v>
      </c>
      <c r="CT1566" t="e">
        <f>-ALMACEN</f>
        <v>#NAME?</v>
      </c>
      <c r="CU1566">
        <v>0</v>
      </c>
      <c r="CV1566" t="s">
        <v>111</v>
      </c>
      <c r="CW1566" t="s">
        <v>111</v>
      </c>
      <c r="CX1566" t="s">
        <v>111</v>
      </c>
      <c r="CY1566">
        <v>0</v>
      </c>
      <c r="CZ1566" t="s">
        <v>111</v>
      </c>
      <c r="DA1566" t="s">
        <v>111</v>
      </c>
      <c r="DB1566" t="s">
        <v>111</v>
      </c>
      <c r="DC1566" t="s">
        <v>111</v>
      </c>
    </row>
    <row r="1567" spans="1:107">
      <c r="A1567">
        <v>1318</v>
      </c>
      <c r="B1567" t="s">
        <v>107</v>
      </c>
      <c r="C1567" t="s">
        <v>180</v>
      </c>
      <c r="D1567" t="s">
        <v>4376</v>
      </c>
      <c r="E1567" t="s">
        <v>4377</v>
      </c>
      <c r="F1567" t="s">
        <v>3682</v>
      </c>
      <c r="G1567" t="s">
        <v>24</v>
      </c>
      <c r="H1567">
        <v>1.3</v>
      </c>
      <c r="I1567">
        <v>40</v>
      </c>
      <c r="J1567">
        <v>0</v>
      </c>
      <c r="K1567">
        <v>0</v>
      </c>
      <c r="L1567" t="s">
        <v>112</v>
      </c>
      <c r="M1567" t="s">
        <v>111</v>
      </c>
      <c r="N1567">
        <v>0</v>
      </c>
      <c r="O1567">
        <v>0</v>
      </c>
      <c r="P1567" t="s">
        <v>111</v>
      </c>
      <c r="Q1567">
        <v>40.700000000000003</v>
      </c>
      <c r="R1567">
        <v>0</v>
      </c>
      <c r="S1567">
        <v>0</v>
      </c>
      <c r="T1567">
        <v>5</v>
      </c>
      <c r="U1567" t="e">
        <f>-DESTINO SELLADO</f>
        <v>#NAME?</v>
      </c>
      <c r="V1567">
        <v>0</v>
      </c>
      <c r="W1567">
        <v>0</v>
      </c>
      <c r="X1567">
        <v>0</v>
      </c>
      <c r="Y1567">
        <v>25</v>
      </c>
      <c r="Z1567" t="s">
        <v>111</v>
      </c>
      <c r="AA1567">
        <v>0</v>
      </c>
      <c r="AB1567" t="s">
        <v>4378</v>
      </c>
      <c r="AC1567">
        <v>300</v>
      </c>
      <c r="AD1567" t="s">
        <v>111</v>
      </c>
      <c r="AE1567">
        <v>0</v>
      </c>
      <c r="AF1567">
        <v>0</v>
      </c>
      <c r="AG1567" t="s">
        <v>111</v>
      </c>
      <c r="AH1567" t="s">
        <v>111</v>
      </c>
      <c r="AI1567" t="s">
        <v>111</v>
      </c>
      <c r="AJ1567" t="s">
        <v>111</v>
      </c>
      <c r="AK1567" t="s">
        <v>111</v>
      </c>
      <c r="AL1567" t="s">
        <v>111</v>
      </c>
      <c r="AM1567">
        <v>0</v>
      </c>
      <c r="AN1567">
        <v>0</v>
      </c>
      <c r="AO1567">
        <v>0</v>
      </c>
      <c r="AP1567" t="s">
        <v>111</v>
      </c>
      <c r="AQ1567" t="s">
        <v>111</v>
      </c>
      <c r="AR1567" t="s">
        <v>111</v>
      </c>
      <c r="AS1567" t="s">
        <v>111</v>
      </c>
      <c r="AT1567" t="s">
        <v>111</v>
      </c>
      <c r="AU1567" t="s">
        <v>111</v>
      </c>
      <c r="AV1567" t="s">
        <v>111</v>
      </c>
      <c r="AW1567" t="s">
        <v>111</v>
      </c>
      <c r="AX1567" t="s">
        <v>111</v>
      </c>
      <c r="AY1567" t="s">
        <v>111</v>
      </c>
      <c r="AZ1567" t="s">
        <v>111</v>
      </c>
      <c r="BA1567" t="s">
        <v>111</v>
      </c>
      <c r="BB1567" t="s">
        <v>111</v>
      </c>
      <c r="BC1567" t="s">
        <v>111</v>
      </c>
      <c r="BD1567" t="s">
        <v>111</v>
      </c>
      <c r="BE1567" t="s">
        <v>111</v>
      </c>
      <c r="BF1567" t="s">
        <v>111</v>
      </c>
      <c r="BG1567" t="s">
        <v>111</v>
      </c>
      <c r="BH1567" t="s">
        <v>111</v>
      </c>
      <c r="BI1567" t="s">
        <v>111</v>
      </c>
      <c r="BJ1567" t="s">
        <v>111</v>
      </c>
      <c r="BK1567" t="s">
        <v>111</v>
      </c>
      <c r="BL1567" t="s">
        <v>111</v>
      </c>
      <c r="BM1567" t="s">
        <v>111</v>
      </c>
      <c r="BN1567" t="s">
        <v>111</v>
      </c>
      <c r="BO1567" t="s">
        <v>111</v>
      </c>
      <c r="BP1567" t="s">
        <v>111</v>
      </c>
      <c r="BQ1567" t="s">
        <v>111</v>
      </c>
      <c r="BR1567" t="s">
        <v>111</v>
      </c>
      <c r="BS1567" t="s">
        <v>111</v>
      </c>
      <c r="BT1567" t="s">
        <v>111</v>
      </c>
      <c r="BU1567" t="s">
        <v>111</v>
      </c>
      <c r="BV1567" t="s">
        <v>111</v>
      </c>
      <c r="BW1567" t="s">
        <v>111</v>
      </c>
      <c r="BX1567" t="s">
        <v>111</v>
      </c>
      <c r="BY1567" t="s">
        <v>111</v>
      </c>
      <c r="BZ1567" t="s">
        <v>111</v>
      </c>
      <c r="CA1567" t="s">
        <v>111</v>
      </c>
      <c r="CB1567" t="s">
        <v>111</v>
      </c>
      <c r="CC1567" t="s">
        <v>111</v>
      </c>
      <c r="CD1567" t="s">
        <v>111</v>
      </c>
      <c r="CE1567" t="s">
        <v>111</v>
      </c>
      <c r="CF1567" t="s">
        <v>111</v>
      </c>
      <c r="CG1567" t="s">
        <v>111</v>
      </c>
      <c r="CH1567" t="s">
        <v>111</v>
      </c>
      <c r="CI1567" t="s">
        <v>111</v>
      </c>
      <c r="CJ1567" t="s">
        <v>111</v>
      </c>
      <c r="CK1567" t="s">
        <v>111</v>
      </c>
      <c r="CL1567" t="s">
        <v>111</v>
      </c>
      <c r="CM1567" t="s">
        <v>438</v>
      </c>
      <c r="CN1567" t="s">
        <v>113</v>
      </c>
      <c r="CO1567" t="s">
        <v>885</v>
      </c>
      <c r="CP1567" t="s">
        <v>111</v>
      </c>
      <c r="CQ1567">
        <v>0</v>
      </c>
      <c r="CR1567">
        <v>2000</v>
      </c>
      <c r="CS1567">
        <v>200</v>
      </c>
      <c r="CT1567" t="e">
        <f>-ALMACEN</f>
        <v>#NAME?</v>
      </c>
      <c r="CU1567">
        <v>0</v>
      </c>
      <c r="CV1567" t="s">
        <v>111</v>
      </c>
      <c r="CW1567" t="s">
        <v>111</v>
      </c>
      <c r="CX1567" t="s">
        <v>111</v>
      </c>
      <c r="CY1567">
        <v>0</v>
      </c>
      <c r="CZ1567" t="s">
        <v>111</v>
      </c>
      <c r="DA1567" t="s">
        <v>111</v>
      </c>
      <c r="DB1567" t="s">
        <v>111</v>
      </c>
      <c r="DC1567" t="s">
        <v>111</v>
      </c>
    </row>
    <row r="1568" spans="1:107">
      <c r="A1568">
        <v>1421</v>
      </c>
      <c r="B1568" t="s">
        <v>107</v>
      </c>
      <c r="C1568" t="s">
        <v>174</v>
      </c>
      <c r="D1568" t="s">
        <v>4113</v>
      </c>
      <c r="E1568" t="s">
        <v>4379</v>
      </c>
      <c r="F1568" t="s">
        <v>1071</v>
      </c>
      <c r="G1568" t="s">
        <v>24</v>
      </c>
      <c r="H1568">
        <v>1.4</v>
      </c>
      <c r="I1568">
        <v>35</v>
      </c>
      <c r="J1568">
        <v>0</v>
      </c>
      <c r="K1568">
        <v>0</v>
      </c>
      <c r="L1568" t="s">
        <v>112</v>
      </c>
      <c r="M1568" t="s">
        <v>111</v>
      </c>
      <c r="N1568">
        <v>0</v>
      </c>
      <c r="O1568">
        <v>0</v>
      </c>
      <c r="P1568" t="s">
        <v>111</v>
      </c>
      <c r="Q1568">
        <v>20</v>
      </c>
      <c r="R1568">
        <v>0</v>
      </c>
      <c r="S1568">
        <v>0</v>
      </c>
      <c r="T1568">
        <v>5</v>
      </c>
      <c r="U1568" s="1" t="s">
        <v>4380</v>
      </c>
      <c r="V1568">
        <v>0</v>
      </c>
      <c r="W1568">
        <v>0</v>
      </c>
      <c r="X1568">
        <v>0</v>
      </c>
      <c r="Y1568">
        <v>25</v>
      </c>
      <c r="Z1568" t="s">
        <v>111</v>
      </c>
      <c r="AA1568">
        <v>0</v>
      </c>
      <c r="AB1568" t="s">
        <v>111</v>
      </c>
      <c r="AC1568">
        <v>0</v>
      </c>
      <c r="AD1568" t="s">
        <v>111</v>
      </c>
      <c r="AE1568">
        <v>0</v>
      </c>
      <c r="AF1568">
        <v>0</v>
      </c>
      <c r="AG1568" t="s">
        <v>111</v>
      </c>
      <c r="AH1568" t="s">
        <v>111</v>
      </c>
      <c r="AI1568" t="s">
        <v>111</v>
      </c>
      <c r="AJ1568" t="s">
        <v>111</v>
      </c>
      <c r="AK1568" t="s">
        <v>111</v>
      </c>
      <c r="AL1568" t="s">
        <v>111</v>
      </c>
      <c r="AM1568">
        <v>0</v>
      </c>
      <c r="AN1568">
        <v>0</v>
      </c>
      <c r="AO1568">
        <v>0</v>
      </c>
      <c r="AP1568" t="s">
        <v>111</v>
      </c>
      <c r="AQ1568" t="s">
        <v>111</v>
      </c>
      <c r="AR1568" t="s">
        <v>111</v>
      </c>
      <c r="AS1568" t="s">
        <v>111</v>
      </c>
      <c r="AT1568" t="s">
        <v>111</v>
      </c>
      <c r="AU1568" t="s">
        <v>111</v>
      </c>
      <c r="AV1568" t="s">
        <v>111</v>
      </c>
      <c r="AW1568" t="s">
        <v>111</v>
      </c>
      <c r="AX1568" t="s">
        <v>111</v>
      </c>
      <c r="AY1568" t="s">
        <v>111</v>
      </c>
      <c r="AZ1568" t="s">
        <v>111</v>
      </c>
      <c r="BA1568" t="s">
        <v>111</v>
      </c>
      <c r="BB1568" t="s">
        <v>111</v>
      </c>
      <c r="BC1568" t="s">
        <v>111</v>
      </c>
      <c r="BD1568" t="s">
        <v>111</v>
      </c>
      <c r="BE1568" t="s">
        <v>111</v>
      </c>
      <c r="BF1568" t="s">
        <v>111</v>
      </c>
      <c r="BG1568" t="s">
        <v>111</v>
      </c>
      <c r="BH1568" t="s">
        <v>111</v>
      </c>
      <c r="BI1568" t="s">
        <v>111</v>
      </c>
      <c r="BJ1568" t="s">
        <v>111</v>
      </c>
      <c r="BK1568" t="s">
        <v>111</v>
      </c>
      <c r="BL1568" t="s">
        <v>111</v>
      </c>
      <c r="BM1568" t="s">
        <v>111</v>
      </c>
      <c r="BN1568" t="s">
        <v>111</v>
      </c>
      <c r="BO1568" t="s">
        <v>111</v>
      </c>
      <c r="BP1568" t="s">
        <v>111</v>
      </c>
      <c r="BQ1568" t="s">
        <v>111</v>
      </c>
      <c r="BR1568" t="s">
        <v>111</v>
      </c>
      <c r="BS1568" t="s">
        <v>111</v>
      </c>
      <c r="BT1568" t="s">
        <v>111</v>
      </c>
      <c r="BU1568" t="s">
        <v>111</v>
      </c>
      <c r="BV1568" t="s">
        <v>111</v>
      </c>
      <c r="BW1568" t="s">
        <v>111</v>
      </c>
      <c r="BX1568" t="s">
        <v>111</v>
      </c>
      <c r="BY1568" t="s">
        <v>111</v>
      </c>
      <c r="BZ1568" t="s">
        <v>111</v>
      </c>
      <c r="CA1568" t="s">
        <v>111</v>
      </c>
      <c r="CB1568" t="s">
        <v>111</v>
      </c>
      <c r="CC1568" t="s">
        <v>111</v>
      </c>
      <c r="CD1568" t="s">
        <v>111</v>
      </c>
      <c r="CE1568" t="s">
        <v>111</v>
      </c>
      <c r="CF1568" t="s">
        <v>111</v>
      </c>
      <c r="CG1568" t="s">
        <v>111</v>
      </c>
      <c r="CH1568" t="s">
        <v>111</v>
      </c>
      <c r="CI1568" t="s">
        <v>111</v>
      </c>
      <c r="CJ1568" t="s">
        <v>111</v>
      </c>
      <c r="CK1568" t="s">
        <v>111</v>
      </c>
      <c r="CL1568" t="s">
        <v>111</v>
      </c>
      <c r="CM1568" t="s">
        <v>438</v>
      </c>
      <c r="CN1568" t="s">
        <v>113</v>
      </c>
      <c r="CO1568" t="s">
        <v>111</v>
      </c>
      <c r="CP1568" t="s">
        <v>111</v>
      </c>
      <c r="CQ1568">
        <v>0</v>
      </c>
      <c r="CR1568">
        <v>5000</v>
      </c>
      <c r="CS1568">
        <v>250</v>
      </c>
      <c r="CT1568" t="e">
        <f>-ALMACEN</f>
        <v>#NAME?</v>
      </c>
      <c r="CU1568">
        <v>0</v>
      </c>
      <c r="CV1568" t="s">
        <v>111</v>
      </c>
      <c r="CW1568" t="s">
        <v>111</v>
      </c>
      <c r="CX1568" t="s">
        <v>111</v>
      </c>
      <c r="CY1568">
        <v>0</v>
      </c>
      <c r="CZ1568" t="s">
        <v>111</v>
      </c>
      <c r="DA1568" t="s">
        <v>111</v>
      </c>
      <c r="DB1568" t="s">
        <v>111</v>
      </c>
      <c r="DC1568" t="s">
        <v>111</v>
      </c>
    </row>
    <row r="1569" spans="1:107">
      <c r="A1569">
        <v>1451</v>
      </c>
      <c r="B1569" t="s">
        <v>107</v>
      </c>
      <c r="C1569" t="s">
        <v>4165</v>
      </c>
      <c r="D1569" t="s">
        <v>4357</v>
      </c>
      <c r="E1569" t="s">
        <v>4381</v>
      </c>
      <c r="F1569" t="s">
        <v>110</v>
      </c>
      <c r="G1569" t="s">
        <v>24</v>
      </c>
      <c r="H1569">
        <v>2.8</v>
      </c>
      <c r="I1569">
        <v>45</v>
      </c>
      <c r="J1569">
        <v>0</v>
      </c>
      <c r="K1569">
        <v>0</v>
      </c>
      <c r="L1569" t="s">
        <v>112</v>
      </c>
      <c r="M1569" t="s">
        <v>118</v>
      </c>
      <c r="N1569">
        <v>40</v>
      </c>
      <c r="O1569">
        <v>2</v>
      </c>
      <c r="P1569" t="s">
        <v>111</v>
      </c>
      <c r="Q1569">
        <v>42.8</v>
      </c>
      <c r="R1569">
        <v>0</v>
      </c>
      <c r="S1569">
        <v>0</v>
      </c>
      <c r="T1569">
        <v>0</v>
      </c>
      <c r="U1569" s="1" t="s">
        <v>4382</v>
      </c>
      <c r="V1569">
        <v>0</v>
      </c>
      <c r="W1569">
        <v>0</v>
      </c>
      <c r="X1569">
        <v>0</v>
      </c>
      <c r="Y1569">
        <v>25</v>
      </c>
      <c r="Z1569" t="s">
        <v>111</v>
      </c>
      <c r="AA1569">
        <v>0</v>
      </c>
      <c r="AB1569" t="s">
        <v>111</v>
      </c>
      <c r="AC1569">
        <v>0</v>
      </c>
      <c r="AD1569" t="s">
        <v>111</v>
      </c>
      <c r="AE1569">
        <v>0</v>
      </c>
      <c r="AF1569">
        <v>0</v>
      </c>
      <c r="AG1569" t="s">
        <v>111</v>
      </c>
      <c r="AH1569" t="s">
        <v>111</v>
      </c>
      <c r="AI1569" t="s">
        <v>111</v>
      </c>
      <c r="AJ1569" t="s">
        <v>111</v>
      </c>
      <c r="AK1569" t="s">
        <v>111</v>
      </c>
      <c r="AL1569" t="s">
        <v>111</v>
      </c>
      <c r="AM1569">
        <v>0</v>
      </c>
      <c r="AN1569">
        <v>0</v>
      </c>
      <c r="AO1569">
        <v>0</v>
      </c>
      <c r="AP1569" t="s">
        <v>111</v>
      </c>
      <c r="AQ1569" t="s">
        <v>111</v>
      </c>
      <c r="AR1569" t="s">
        <v>111</v>
      </c>
      <c r="AS1569" t="s">
        <v>111</v>
      </c>
      <c r="AT1569" t="s">
        <v>111</v>
      </c>
      <c r="AU1569" t="s">
        <v>111</v>
      </c>
      <c r="AV1569" t="s">
        <v>111</v>
      </c>
      <c r="AW1569" t="s">
        <v>111</v>
      </c>
      <c r="AX1569" t="s">
        <v>111</v>
      </c>
      <c r="AY1569" t="s">
        <v>111</v>
      </c>
      <c r="AZ1569" t="s">
        <v>111</v>
      </c>
      <c r="BA1569" t="s">
        <v>111</v>
      </c>
      <c r="BB1569" t="s">
        <v>111</v>
      </c>
      <c r="BC1569" t="s">
        <v>111</v>
      </c>
      <c r="BD1569" t="s">
        <v>111</v>
      </c>
      <c r="BE1569" t="s">
        <v>111</v>
      </c>
      <c r="BF1569" t="s">
        <v>111</v>
      </c>
      <c r="BG1569" t="s">
        <v>111</v>
      </c>
      <c r="BH1569" t="s">
        <v>111</v>
      </c>
      <c r="BI1569" t="s">
        <v>111</v>
      </c>
      <c r="BJ1569" t="s">
        <v>111</v>
      </c>
      <c r="BK1569" t="s">
        <v>111</v>
      </c>
      <c r="BL1569" t="s">
        <v>111</v>
      </c>
      <c r="BM1569" t="s">
        <v>111</v>
      </c>
      <c r="BN1569" t="s">
        <v>111</v>
      </c>
      <c r="BO1569" t="s">
        <v>111</v>
      </c>
      <c r="BP1569" t="s">
        <v>111</v>
      </c>
      <c r="BQ1569" t="s">
        <v>111</v>
      </c>
      <c r="BR1569" t="s">
        <v>111</v>
      </c>
      <c r="BS1569" t="s">
        <v>111</v>
      </c>
      <c r="BT1569" t="s">
        <v>111</v>
      </c>
      <c r="BU1569" t="s">
        <v>111</v>
      </c>
      <c r="BV1569" t="s">
        <v>111</v>
      </c>
      <c r="BW1569" t="s">
        <v>111</v>
      </c>
      <c r="BX1569" t="s">
        <v>111</v>
      </c>
      <c r="BY1569" t="s">
        <v>111</v>
      </c>
      <c r="BZ1569" t="s">
        <v>111</v>
      </c>
      <c r="CA1569" t="s">
        <v>111</v>
      </c>
      <c r="CB1569" t="s">
        <v>111</v>
      </c>
      <c r="CC1569" t="s">
        <v>111</v>
      </c>
      <c r="CD1569" t="s">
        <v>111</v>
      </c>
      <c r="CE1569" t="s">
        <v>111</v>
      </c>
      <c r="CF1569" t="s">
        <v>111</v>
      </c>
      <c r="CG1569" t="s">
        <v>111</v>
      </c>
      <c r="CH1569" t="s">
        <v>111</v>
      </c>
      <c r="CI1569" t="s">
        <v>111</v>
      </c>
      <c r="CJ1569" t="s">
        <v>111</v>
      </c>
      <c r="CK1569" t="s">
        <v>111</v>
      </c>
      <c r="CL1569" t="s">
        <v>111</v>
      </c>
      <c r="CM1569" t="s">
        <v>111</v>
      </c>
      <c r="CN1569" t="s">
        <v>111</v>
      </c>
      <c r="CO1569" t="s">
        <v>111</v>
      </c>
      <c r="CP1569" t="s">
        <v>111</v>
      </c>
      <c r="CQ1569">
        <v>0</v>
      </c>
      <c r="CR1569">
        <v>0</v>
      </c>
      <c r="CS1569">
        <v>0</v>
      </c>
      <c r="CT1569" t="s">
        <v>111</v>
      </c>
      <c r="CU1569">
        <v>0</v>
      </c>
      <c r="CV1569" t="s">
        <v>111</v>
      </c>
      <c r="CW1569" t="s">
        <v>111</v>
      </c>
      <c r="CX1569" t="s">
        <v>111</v>
      </c>
      <c r="CY1569">
        <v>0</v>
      </c>
      <c r="CZ1569" t="s">
        <v>111</v>
      </c>
      <c r="DA1569" t="s">
        <v>111</v>
      </c>
      <c r="DB1569" t="s">
        <v>111</v>
      </c>
      <c r="DC1569" t="s">
        <v>111</v>
      </c>
    </row>
    <row r="1570" spans="1:107">
      <c r="A1570">
        <v>1450</v>
      </c>
      <c r="B1570" t="s">
        <v>107</v>
      </c>
      <c r="C1570" t="s">
        <v>4165</v>
      </c>
      <c r="D1570" t="s">
        <v>4383</v>
      </c>
      <c r="E1570" t="s">
        <v>4384</v>
      </c>
      <c r="F1570" t="s">
        <v>110</v>
      </c>
      <c r="G1570" t="s">
        <v>24</v>
      </c>
      <c r="H1570">
        <v>2.8</v>
      </c>
      <c r="I1570">
        <v>33</v>
      </c>
      <c r="J1570">
        <v>0</v>
      </c>
      <c r="K1570">
        <v>0</v>
      </c>
      <c r="L1570" t="s">
        <v>112</v>
      </c>
      <c r="M1570" t="s">
        <v>118</v>
      </c>
      <c r="N1570">
        <v>40</v>
      </c>
      <c r="O1570">
        <v>2</v>
      </c>
      <c r="P1570" t="s">
        <v>111</v>
      </c>
      <c r="Q1570">
        <v>35.200000000000003</v>
      </c>
      <c r="R1570">
        <v>0</v>
      </c>
      <c r="S1570">
        <v>0</v>
      </c>
      <c r="T1570">
        <v>0</v>
      </c>
      <c r="U1570" s="1" t="s">
        <v>4385</v>
      </c>
      <c r="V1570">
        <v>0</v>
      </c>
      <c r="W1570">
        <v>0</v>
      </c>
      <c r="X1570">
        <v>0</v>
      </c>
      <c r="Y1570">
        <v>25</v>
      </c>
      <c r="Z1570" t="s">
        <v>111</v>
      </c>
      <c r="AA1570">
        <v>0</v>
      </c>
      <c r="AB1570" t="s">
        <v>111</v>
      </c>
      <c r="AC1570">
        <v>0</v>
      </c>
      <c r="AD1570" t="s">
        <v>111</v>
      </c>
      <c r="AE1570">
        <v>0</v>
      </c>
      <c r="AF1570">
        <v>0</v>
      </c>
      <c r="AG1570" t="s">
        <v>111</v>
      </c>
      <c r="AH1570" t="s">
        <v>111</v>
      </c>
      <c r="AI1570" t="s">
        <v>111</v>
      </c>
      <c r="AJ1570" t="s">
        <v>111</v>
      </c>
      <c r="AK1570" t="s">
        <v>111</v>
      </c>
      <c r="AL1570" t="s">
        <v>111</v>
      </c>
      <c r="AM1570">
        <v>0</v>
      </c>
      <c r="AN1570">
        <v>0</v>
      </c>
      <c r="AO1570">
        <v>0</v>
      </c>
      <c r="AP1570" t="s">
        <v>111</v>
      </c>
      <c r="AQ1570" t="s">
        <v>111</v>
      </c>
      <c r="AR1570" t="s">
        <v>111</v>
      </c>
      <c r="AS1570" t="s">
        <v>111</v>
      </c>
      <c r="AT1570" t="s">
        <v>111</v>
      </c>
      <c r="AU1570" t="s">
        <v>111</v>
      </c>
      <c r="AV1570" t="s">
        <v>111</v>
      </c>
      <c r="AW1570" t="s">
        <v>111</v>
      </c>
      <c r="AX1570" t="s">
        <v>111</v>
      </c>
      <c r="AY1570" t="s">
        <v>111</v>
      </c>
      <c r="AZ1570" t="s">
        <v>111</v>
      </c>
      <c r="BA1570" t="s">
        <v>111</v>
      </c>
      <c r="BB1570" t="s">
        <v>111</v>
      </c>
      <c r="BC1570" t="s">
        <v>111</v>
      </c>
      <c r="BD1570" t="s">
        <v>111</v>
      </c>
      <c r="BE1570" t="s">
        <v>111</v>
      </c>
      <c r="BF1570" t="s">
        <v>111</v>
      </c>
      <c r="BG1570" t="s">
        <v>111</v>
      </c>
      <c r="BH1570" t="s">
        <v>111</v>
      </c>
      <c r="BI1570" t="s">
        <v>111</v>
      </c>
      <c r="BJ1570" t="s">
        <v>111</v>
      </c>
      <c r="BK1570" t="s">
        <v>111</v>
      </c>
      <c r="BL1570" t="s">
        <v>111</v>
      </c>
      <c r="BM1570" t="s">
        <v>111</v>
      </c>
      <c r="BN1570" t="s">
        <v>111</v>
      </c>
      <c r="BO1570" t="s">
        <v>111</v>
      </c>
      <c r="BP1570" t="s">
        <v>111</v>
      </c>
      <c r="BQ1570" t="s">
        <v>111</v>
      </c>
      <c r="BR1570" t="s">
        <v>111</v>
      </c>
      <c r="BS1570" t="s">
        <v>111</v>
      </c>
      <c r="BT1570" t="s">
        <v>111</v>
      </c>
      <c r="BU1570" t="s">
        <v>111</v>
      </c>
      <c r="BV1570" t="s">
        <v>111</v>
      </c>
      <c r="BW1570" t="s">
        <v>111</v>
      </c>
      <c r="BX1570" t="s">
        <v>111</v>
      </c>
      <c r="BY1570" t="s">
        <v>111</v>
      </c>
      <c r="BZ1570" t="s">
        <v>111</v>
      </c>
      <c r="CA1570" t="s">
        <v>111</v>
      </c>
      <c r="CB1570" t="s">
        <v>111</v>
      </c>
      <c r="CC1570" t="s">
        <v>111</v>
      </c>
      <c r="CD1570" t="s">
        <v>111</v>
      </c>
      <c r="CE1570" t="s">
        <v>111</v>
      </c>
      <c r="CF1570" t="s">
        <v>111</v>
      </c>
      <c r="CG1570" t="s">
        <v>111</v>
      </c>
      <c r="CH1570" t="s">
        <v>111</v>
      </c>
      <c r="CI1570" t="s">
        <v>111</v>
      </c>
      <c r="CJ1570" t="s">
        <v>111</v>
      </c>
      <c r="CK1570" t="s">
        <v>111</v>
      </c>
      <c r="CL1570" t="s">
        <v>111</v>
      </c>
      <c r="CM1570" t="s">
        <v>111</v>
      </c>
      <c r="CN1570" t="s">
        <v>111</v>
      </c>
      <c r="CO1570" t="s">
        <v>111</v>
      </c>
      <c r="CP1570" t="s">
        <v>111</v>
      </c>
      <c r="CQ1570">
        <v>0</v>
      </c>
      <c r="CR1570">
        <v>0</v>
      </c>
      <c r="CS1570">
        <v>0</v>
      </c>
      <c r="CT1570" t="s">
        <v>111</v>
      </c>
      <c r="CU1570">
        <v>0</v>
      </c>
      <c r="CV1570" t="s">
        <v>111</v>
      </c>
      <c r="CW1570" t="s">
        <v>111</v>
      </c>
      <c r="CX1570" t="s">
        <v>111</v>
      </c>
      <c r="CY1570">
        <v>0</v>
      </c>
      <c r="CZ1570" t="s">
        <v>111</v>
      </c>
      <c r="DA1570" t="s">
        <v>111</v>
      </c>
      <c r="DB1570" t="s">
        <v>111</v>
      </c>
      <c r="DC1570" t="s">
        <v>111</v>
      </c>
    </row>
    <row r="1571" spans="1:107">
      <c r="A1571">
        <v>1466</v>
      </c>
      <c r="B1571" t="s">
        <v>107</v>
      </c>
      <c r="C1571" t="s">
        <v>4386</v>
      </c>
      <c r="D1571" t="s">
        <v>4387</v>
      </c>
      <c r="E1571" t="s">
        <v>4388</v>
      </c>
      <c r="F1571" t="s">
        <v>2211</v>
      </c>
      <c r="G1571" t="s">
        <v>24</v>
      </c>
      <c r="H1571">
        <v>1</v>
      </c>
      <c r="I1571">
        <v>27.5</v>
      </c>
      <c r="J1571">
        <v>0</v>
      </c>
      <c r="K1571">
        <v>0</v>
      </c>
      <c r="L1571" t="s">
        <v>2054</v>
      </c>
      <c r="M1571" t="s">
        <v>138</v>
      </c>
      <c r="N1571">
        <v>0</v>
      </c>
      <c r="O1571">
        <v>0</v>
      </c>
      <c r="P1571" t="s">
        <v>111</v>
      </c>
      <c r="Q1571">
        <v>30</v>
      </c>
      <c r="R1571">
        <v>0</v>
      </c>
      <c r="S1571">
        <v>0</v>
      </c>
      <c r="T1571">
        <v>0</v>
      </c>
      <c r="U1571" s="1" t="s">
        <v>4389</v>
      </c>
      <c r="V1571">
        <v>0</v>
      </c>
      <c r="W1571">
        <v>0</v>
      </c>
      <c r="X1571">
        <v>0</v>
      </c>
      <c r="Y1571">
        <v>25</v>
      </c>
      <c r="Z1571" t="s">
        <v>111</v>
      </c>
      <c r="AA1571">
        <v>0</v>
      </c>
      <c r="AB1571" t="s">
        <v>4055</v>
      </c>
      <c r="AC1571">
        <v>0</v>
      </c>
      <c r="AD1571" t="s">
        <v>111</v>
      </c>
      <c r="AE1571">
        <v>0</v>
      </c>
      <c r="AF1571">
        <v>0</v>
      </c>
      <c r="AG1571" t="s">
        <v>111</v>
      </c>
      <c r="AH1571" t="s">
        <v>111</v>
      </c>
      <c r="AI1571" t="s">
        <v>111</v>
      </c>
      <c r="AJ1571" t="s">
        <v>111</v>
      </c>
      <c r="AK1571" t="s">
        <v>111</v>
      </c>
      <c r="AL1571" t="s">
        <v>111</v>
      </c>
      <c r="AM1571">
        <v>0</v>
      </c>
      <c r="AN1571">
        <v>0</v>
      </c>
      <c r="AO1571">
        <v>0</v>
      </c>
      <c r="AP1571" t="s">
        <v>111</v>
      </c>
      <c r="AQ1571" t="s">
        <v>111</v>
      </c>
      <c r="AR1571" t="s">
        <v>111</v>
      </c>
      <c r="AS1571" t="s">
        <v>111</v>
      </c>
      <c r="AT1571" t="s">
        <v>111</v>
      </c>
      <c r="AU1571" t="s">
        <v>111</v>
      </c>
      <c r="AV1571" t="s">
        <v>111</v>
      </c>
      <c r="AW1571" t="s">
        <v>111</v>
      </c>
      <c r="AX1571" t="s">
        <v>111</v>
      </c>
      <c r="AY1571" t="s">
        <v>111</v>
      </c>
      <c r="AZ1571" t="s">
        <v>111</v>
      </c>
      <c r="BA1571" t="s">
        <v>111</v>
      </c>
      <c r="BB1571" t="s">
        <v>111</v>
      </c>
      <c r="BC1571" t="s">
        <v>111</v>
      </c>
      <c r="BD1571" t="s">
        <v>111</v>
      </c>
      <c r="BE1571" t="s">
        <v>111</v>
      </c>
      <c r="BF1571" t="s">
        <v>111</v>
      </c>
      <c r="BG1571" t="s">
        <v>111</v>
      </c>
      <c r="BH1571" t="s">
        <v>111</v>
      </c>
      <c r="BI1571" t="s">
        <v>111</v>
      </c>
      <c r="BJ1571" t="s">
        <v>111</v>
      </c>
      <c r="BK1571" t="s">
        <v>111</v>
      </c>
      <c r="BL1571" t="s">
        <v>111</v>
      </c>
      <c r="BM1571" t="s">
        <v>111</v>
      </c>
      <c r="BN1571" t="s">
        <v>111</v>
      </c>
      <c r="BO1571" t="s">
        <v>111</v>
      </c>
      <c r="BP1571" t="s">
        <v>111</v>
      </c>
      <c r="BQ1571" t="s">
        <v>111</v>
      </c>
      <c r="BR1571" t="s">
        <v>111</v>
      </c>
      <c r="BS1571" t="s">
        <v>111</v>
      </c>
      <c r="BT1571" t="s">
        <v>111</v>
      </c>
      <c r="BU1571" t="s">
        <v>111</v>
      </c>
      <c r="BV1571" t="s">
        <v>111</v>
      </c>
      <c r="BW1571" t="s">
        <v>111</v>
      </c>
      <c r="BX1571" t="s">
        <v>111</v>
      </c>
      <c r="BY1571" t="s">
        <v>111</v>
      </c>
      <c r="BZ1571" t="s">
        <v>111</v>
      </c>
      <c r="CA1571" t="s">
        <v>111</v>
      </c>
      <c r="CB1571" t="s">
        <v>111</v>
      </c>
      <c r="CC1571" t="s">
        <v>111</v>
      </c>
      <c r="CD1571" t="s">
        <v>111</v>
      </c>
      <c r="CE1571" t="s">
        <v>111</v>
      </c>
      <c r="CF1571" t="s">
        <v>111</v>
      </c>
      <c r="CG1571" t="s">
        <v>111</v>
      </c>
      <c r="CH1571" t="s">
        <v>111</v>
      </c>
      <c r="CI1571" t="s">
        <v>111</v>
      </c>
      <c r="CJ1571" t="s">
        <v>111</v>
      </c>
      <c r="CK1571" t="s">
        <v>111</v>
      </c>
      <c r="CL1571" t="s">
        <v>111</v>
      </c>
      <c r="CM1571" t="s">
        <v>111</v>
      </c>
      <c r="CN1571" t="s">
        <v>111</v>
      </c>
      <c r="CO1571" t="s">
        <v>111</v>
      </c>
      <c r="CP1571" t="s">
        <v>111</v>
      </c>
      <c r="CQ1571">
        <v>0</v>
      </c>
      <c r="CR1571">
        <v>0</v>
      </c>
      <c r="CS1571">
        <v>0</v>
      </c>
      <c r="CT1571" t="s">
        <v>111</v>
      </c>
      <c r="CU1571">
        <v>0</v>
      </c>
      <c r="CV1571" t="s">
        <v>111</v>
      </c>
      <c r="CW1571" t="s">
        <v>111</v>
      </c>
      <c r="CX1571" t="s">
        <v>111</v>
      </c>
      <c r="CY1571">
        <v>0</v>
      </c>
      <c r="CZ1571" t="s">
        <v>111</v>
      </c>
      <c r="DA1571" t="s">
        <v>111</v>
      </c>
      <c r="DB1571" t="s">
        <v>111</v>
      </c>
      <c r="DC1571" t="s">
        <v>111</v>
      </c>
    </row>
    <row r="1572" spans="1:107">
      <c r="A1572">
        <v>1464</v>
      </c>
      <c r="B1572" t="s">
        <v>107</v>
      </c>
      <c r="C1572" t="s">
        <v>405</v>
      </c>
      <c r="D1572" t="s">
        <v>4390</v>
      </c>
      <c r="E1572" t="s">
        <v>4391</v>
      </c>
      <c r="F1572" t="s">
        <v>110</v>
      </c>
      <c r="G1572" t="s">
        <v>24</v>
      </c>
      <c r="H1572">
        <v>1.8</v>
      </c>
      <c r="I1572">
        <v>25</v>
      </c>
      <c r="J1572">
        <v>0</v>
      </c>
      <c r="K1572">
        <v>0</v>
      </c>
      <c r="L1572" t="s">
        <v>112</v>
      </c>
      <c r="M1572" t="s">
        <v>111</v>
      </c>
      <c r="N1572">
        <v>0</v>
      </c>
      <c r="O1572">
        <v>0</v>
      </c>
      <c r="P1572" t="s">
        <v>111</v>
      </c>
      <c r="Q1572">
        <v>25</v>
      </c>
      <c r="R1572">
        <v>0</v>
      </c>
      <c r="S1572">
        <v>0</v>
      </c>
      <c r="T1572">
        <v>0</v>
      </c>
      <c r="U1572" s="1" t="s">
        <v>4338</v>
      </c>
      <c r="V1572">
        <v>0</v>
      </c>
      <c r="W1572">
        <v>0</v>
      </c>
      <c r="X1572">
        <v>0</v>
      </c>
      <c r="Y1572">
        <v>250</v>
      </c>
      <c r="Z1572" t="s">
        <v>111</v>
      </c>
      <c r="AA1572">
        <v>0</v>
      </c>
      <c r="AB1572" t="s">
        <v>111</v>
      </c>
      <c r="AC1572">
        <v>0</v>
      </c>
      <c r="AD1572" t="s">
        <v>111</v>
      </c>
      <c r="AE1572">
        <v>0</v>
      </c>
      <c r="AF1572">
        <v>0</v>
      </c>
      <c r="AG1572" t="s">
        <v>111</v>
      </c>
      <c r="AH1572" t="s">
        <v>111</v>
      </c>
      <c r="AI1572" t="s">
        <v>111</v>
      </c>
      <c r="AJ1572" t="s">
        <v>111</v>
      </c>
      <c r="AK1572" t="s">
        <v>111</v>
      </c>
      <c r="AL1572" t="s">
        <v>111</v>
      </c>
      <c r="AM1572">
        <v>0</v>
      </c>
      <c r="AN1572">
        <v>0</v>
      </c>
      <c r="AO1572">
        <v>0</v>
      </c>
      <c r="AP1572" t="s">
        <v>111</v>
      </c>
      <c r="AQ1572" t="s">
        <v>111</v>
      </c>
      <c r="AR1572" t="s">
        <v>111</v>
      </c>
      <c r="AS1572" t="s">
        <v>111</v>
      </c>
      <c r="AT1572" t="s">
        <v>111</v>
      </c>
      <c r="AU1572" t="s">
        <v>111</v>
      </c>
      <c r="AV1572" t="s">
        <v>111</v>
      </c>
      <c r="AW1572" t="s">
        <v>111</v>
      </c>
      <c r="AX1572" t="s">
        <v>111</v>
      </c>
      <c r="AY1572" t="s">
        <v>111</v>
      </c>
      <c r="AZ1572" t="s">
        <v>111</v>
      </c>
      <c r="BA1572" t="s">
        <v>111</v>
      </c>
      <c r="BB1572" t="s">
        <v>111</v>
      </c>
      <c r="BC1572" t="s">
        <v>111</v>
      </c>
      <c r="BD1572" t="s">
        <v>111</v>
      </c>
      <c r="BE1572" t="s">
        <v>111</v>
      </c>
      <c r="BF1572" t="s">
        <v>111</v>
      </c>
      <c r="BG1572" t="s">
        <v>111</v>
      </c>
      <c r="BH1572" t="s">
        <v>111</v>
      </c>
      <c r="BI1572" t="s">
        <v>111</v>
      </c>
      <c r="BJ1572" t="s">
        <v>111</v>
      </c>
      <c r="BK1572" t="s">
        <v>111</v>
      </c>
      <c r="BL1572" t="s">
        <v>111</v>
      </c>
      <c r="BM1572" t="s">
        <v>111</v>
      </c>
      <c r="BN1572" t="s">
        <v>111</v>
      </c>
      <c r="BO1572" t="s">
        <v>111</v>
      </c>
      <c r="BP1572" t="s">
        <v>111</v>
      </c>
      <c r="BQ1572" t="s">
        <v>111</v>
      </c>
      <c r="BR1572" t="s">
        <v>111</v>
      </c>
      <c r="BS1572" t="s">
        <v>111</v>
      </c>
      <c r="BT1572" t="s">
        <v>111</v>
      </c>
      <c r="BU1572" t="s">
        <v>111</v>
      </c>
      <c r="BV1572" t="s">
        <v>111</v>
      </c>
      <c r="BW1572" t="s">
        <v>111</v>
      </c>
      <c r="BX1572" t="s">
        <v>111</v>
      </c>
      <c r="BY1572" t="s">
        <v>111</v>
      </c>
      <c r="BZ1572" t="s">
        <v>111</v>
      </c>
      <c r="CA1572" t="s">
        <v>111</v>
      </c>
      <c r="CB1572" t="s">
        <v>111</v>
      </c>
      <c r="CC1572" t="s">
        <v>111</v>
      </c>
      <c r="CD1572" t="s">
        <v>111</v>
      </c>
      <c r="CE1572" t="s">
        <v>111</v>
      </c>
      <c r="CF1572" t="s">
        <v>111</v>
      </c>
      <c r="CG1572" t="s">
        <v>111</v>
      </c>
      <c r="CH1572" t="s">
        <v>111</v>
      </c>
      <c r="CI1572" t="s">
        <v>111</v>
      </c>
      <c r="CJ1572" t="s">
        <v>111</v>
      </c>
      <c r="CK1572" t="s">
        <v>111</v>
      </c>
      <c r="CL1572" t="s">
        <v>111</v>
      </c>
      <c r="CM1572" t="s">
        <v>111</v>
      </c>
      <c r="CN1572" t="s">
        <v>111</v>
      </c>
      <c r="CO1572" t="s">
        <v>111</v>
      </c>
      <c r="CP1572" t="s">
        <v>111</v>
      </c>
      <c r="CQ1572">
        <v>0</v>
      </c>
      <c r="CR1572">
        <v>0</v>
      </c>
      <c r="CS1572">
        <v>0</v>
      </c>
      <c r="CT1572" t="s">
        <v>111</v>
      </c>
      <c r="CU1572">
        <v>0</v>
      </c>
      <c r="CV1572" t="s">
        <v>111</v>
      </c>
      <c r="CW1572" t="s">
        <v>111</v>
      </c>
      <c r="CX1572" t="s">
        <v>111</v>
      </c>
      <c r="CY1572">
        <v>0</v>
      </c>
      <c r="CZ1572" t="s">
        <v>111</v>
      </c>
      <c r="DA1572" t="s">
        <v>111</v>
      </c>
      <c r="DB1572" t="s">
        <v>111</v>
      </c>
      <c r="DC1572" t="s">
        <v>111</v>
      </c>
    </row>
    <row r="1573" spans="1:107">
      <c r="A1573">
        <v>1463</v>
      </c>
      <c r="B1573" t="s">
        <v>107</v>
      </c>
      <c r="C1573" t="s">
        <v>793</v>
      </c>
      <c r="D1573" t="s">
        <v>4392</v>
      </c>
      <c r="E1573" t="s">
        <v>4393</v>
      </c>
      <c r="F1573" t="s">
        <v>110</v>
      </c>
      <c r="G1573" t="s">
        <v>24</v>
      </c>
      <c r="H1573">
        <v>0.9</v>
      </c>
      <c r="I1573">
        <v>40</v>
      </c>
      <c r="J1573">
        <v>0</v>
      </c>
      <c r="K1573">
        <v>0</v>
      </c>
      <c r="L1573" t="s">
        <v>112</v>
      </c>
      <c r="M1573" t="s">
        <v>138</v>
      </c>
      <c r="N1573">
        <v>0</v>
      </c>
      <c r="O1573">
        <v>0</v>
      </c>
      <c r="P1573" t="s">
        <v>111</v>
      </c>
      <c r="Q1573">
        <v>25</v>
      </c>
      <c r="R1573">
        <v>0</v>
      </c>
      <c r="S1573">
        <v>0</v>
      </c>
      <c r="T1573">
        <v>0</v>
      </c>
      <c r="U1573" s="1" t="s">
        <v>4155</v>
      </c>
      <c r="V1573">
        <v>0</v>
      </c>
      <c r="W1573">
        <v>0</v>
      </c>
      <c r="X1573">
        <v>0</v>
      </c>
      <c r="Y1573">
        <v>25</v>
      </c>
      <c r="Z1573" t="s">
        <v>111</v>
      </c>
      <c r="AA1573">
        <v>0</v>
      </c>
      <c r="AB1573" t="s">
        <v>111</v>
      </c>
      <c r="AC1573">
        <v>0</v>
      </c>
      <c r="AD1573" t="s">
        <v>111</v>
      </c>
      <c r="AE1573">
        <v>0</v>
      </c>
      <c r="AF1573">
        <v>0</v>
      </c>
      <c r="AG1573" t="s">
        <v>111</v>
      </c>
      <c r="AH1573" t="s">
        <v>111</v>
      </c>
      <c r="AI1573" t="s">
        <v>111</v>
      </c>
      <c r="AJ1573" t="s">
        <v>111</v>
      </c>
      <c r="AK1573" t="s">
        <v>111</v>
      </c>
      <c r="AL1573" t="s">
        <v>111</v>
      </c>
      <c r="AM1573">
        <v>0</v>
      </c>
      <c r="AN1573">
        <v>0</v>
      </c>
      <c r="AO1573">
        <v>0</v>
      </c>
      <c r="AP1573" t="s">
        <v>111</v>
      </c>
      <c r="AQ1573" t="s">
        <v>111</v>
      </c>
      <c r="AR1573" t="s">
        <v>111</v>
      </c>
      <c r="AS1573" t="s">
        <v>111</v>
      </c>
      <c r="AT1573" t="s">
        <v>111</v>
      </c>
      <c r="AU1573" t="s">
        <v>111</v>
      </c>
      <c r="AV1573" t="s">
        <v>111</v>
      </c>
      <c r="AW1573" t="s">
        <v>111</v>
      </c>
      <c r="AX1573" t="s">
        <v>111</v>
      </c>
      <c r="AY1573" t="s">
        <v>111</v>
      </c>
      <c r="AZ1573" t="s">
        <v>111</v>
      </c>
      <c r="BA1573" t="s">
        <v>111</v>
      </c>
      <c r="BB1573" t="s">
        <v>111</v>
      </c>
      <c r="BC1573" t="s">
        <v>111</v>
      </c>
      <c r="BD1573" t="s">
        <v>111</v>
      </c>
      <c r="BE1573" t="s">
        <v>111</v>
      </c>
      <c r="BF1573" t="s">
        <v>111</v>
      </c>
      <c r="BG1573" t="s">
        <v>111</v>
      </c>
      <c r="BH1573" t="s">
        <v>111</v>
      </c>
      <c r="BI1573" t="s">
        <v>111</v>
      </c>
      <c r="BJ1573" t="s">
        <v>111</v>
      </c>
      <c r="BK1573" t="s">
        <v>111</v>
      </c>
      <c r="BL1573" t="s">
        <v>111</v>
      </c>
      <c r="BM1573" t="s">
        <v>111</v>
      </c>
      <c r="BN1573" t="s">
        <v>111</v>
      </c>
      <c r="BO1573" t="s">
        <v>111</v>
      </c>
      <c r="BP1573" t="s">
        <v>111</v>
      </c>
      <c r="BQ1573" t="s">
        <v>111</v>
      </c>
      <c r="BR1573" t="s">
        <v>111</v>
      </c>
      <c r="BS1573" t="s">
        <v>111</v>
      </c>
      <c r="BT1573" t="s">
        <v>111</v>
      </c>
      <c r="BU1573" t="s">
        <v>111</v>
      </c>
      <c r="BV1573" t="s">
        <v>111</v>
      </c>
      <c r="BW1573" t="s">
        <v>111</v>
      </c>
      <c r="BX1573" t="s">
        <v>111</v>
      </c>
      <c r="BY1573" t="s">
        <v>111</v>
      </c>
      <c r="BZ1573" t="s">
        <v>111</v>
      </c>
      <c r="CA1573" t="s">
        <v>111</v>
      </c>
      <c r="CB1573" t="s">
        <v>111</v>
      </c>
      <c r="CC1573" t="s">
        <v>111</v>
      </c>
      <c r="CD1573" t="s">
        <v>111</v>
      </c>
      <c r="CE1573" t="s">
        <v>111</v>
      </c>
      <c r="CF1573" t="s">
        <v>111</v>
      </c>
      <c r="CG1573" t="s">
        <v>111</v>
      </c>
      <c r="CH1573" t="s">
        <v>111</v>
      </c>
      <c r="CI1573" t="s">
        <v>111</v>
      </c>
      <c r="CJ1573" t="s">
        <v>111</v>
      </c>
      <c r="CK1573" t="s">
        <v>111</v>
      </c>
      <c r="CL1573" t="s">
        <v>111</v>
      </c>
      <c r="CM1573" t="s">
        <v>111</v>
      </c>
      <c r="CN1573" t="s">
        <v>111</v>
      </c>
      <c r="CO1573" t="s">
        <v>111</v>
      </c>
      <c r="CP1573" t="s">
        <v>111</v>
      </c>
      <c r="CQ1573">
        <v>0</v>
      </c>
      <c r="CR1573">
        <v>0</v>
      </c>
      <c r="CS1573">
        <v>0</v>
      </c>
      <c r="CT1573" t="s">
        <v>111</v>
      </c>
      <c r="CU1573">
        <v>0</v>
      </c>
      <c r="CV1573" t="s">
        <v>111</v>
      </c>
      <c r="CW1573" t="s">
        <v>111</v>
      </c>
      <c r="CX1573" t="s">
        <v>111</v>
      </c>
      <c r="CY1573">
        <v>0</v>
      </c>
      <c r="CZ1573" t="s">
        <v>111</v>
      </c>
      <c r="DA1573" t="s">
        <v>111</v>
      </c>
      <c r="DB1573" t="s">
        <v>111</v>
      </c>
      <c r="DC1573" t="s">
        <v>111</v>
      </c>
    </row>
    <row r="1574" spans="1:107">
      <c r="A1574">
        <v>1462</v>
      </c>
      <c r="B1574" t="s">
        <v>107</v>
      </c>
      <c r="C1574" t="s">
        <v>428</v>
      </c>
      <c r="D1574" t="s">
        <v>4394</v>
      </c>
      <c r="E1574" t="s">
        <v>4395</v>
      </c>
      <c r="F1574" t="s">
        <v>1071</v>
      </c>
      <c r="G1574" t="s">
        <v>24</v>
      </c>
      <c r="H1574">
        <v>1.9</v>
      </c>
      <c r="I1574">
        <v>24</v>
      </c>
      <c r="J1574">
        <v>0</v>
      </c>
      <c r="K1574">
        <v>0</v>
      </c>
      <c r="L1574" t="s">
        <v>178</v>
      </c>
      <c r="M1574" t="s">
        <v>111</v>
      </c>
      <c r="N1574">
        <v>0</v>
      </c>
      <c r="O1574">
        <v>0</v>
      </c>
      <c r="P1574" t="s">
        <v>111</v>
      </c>
      <c r="Q1574">
        <v>15</v>
      </c>
      <c r="R1574">
        <v>0</v>
      </c>
      <c r="S1574">
        <v>0</v>
      </c>
      <c r="T1574">
        <v>5</v>
      </c>
      <c r="U1574" s="1" t="s">
        <v>4396</v>
      </c>
      <c r="V1574">
        <v>0</v>
      </c>
      <c r="W1574">
        <v>0</v>
      </c>
      <c r="X1574">
        <v>0</v>
      </c>
      <c r="Y1574">
        <v>25</v>
      </c>
      <c r="Z1574" t="s">
        <v>111</v>
      </c>
      <c r="AA1574">
        <v>0</v>
      </c>
      <c r="AB1574" t="s">
        <v>3954</v>
      </c>
      <c r="AC1574">
        <v>3</v>
      </c>
      <c r="AD1574" t="s">
        <v>111</v>
      </c>
      <c r="AE1574">
        <v>0</v>
      </c>
      <c r="AF1574">
        <v>0</v>
      </c>
      <c r="AG1574" t="s">
        <v>111</v>
      </c>
      <c r="AH1574" t="s">
        <v>111</v>
      </c>
      <c r="AI1574" t="s">
        <v>111</v>
      </c>
      <c r="AJ1574" t="s">
        <v>111</v>
      </c>
      <c r="AK1574" t="s">
        <v>111</v>
      </c>
      <c r="AL1574" t="s">
        <v>111</v>
      </c>
      <c r="AM1574">
        <v>0</v>
      </c>
      <c r="AN1574">
        <v>0</v>
      </c>
      <c r="AO1574">
        <v>0</v>
      </c>
      <c r="AP1574" t="s">
        <v>111</v>
      </c>
      <c r="AQ1574" t="s">
        <v>111</v>
      </c>
      <c r="AR1574" t="s">
        <v>111</v>
      </c>
      <c r="AS1574" t="s">
        <v>111</v>
      </c>
      <c r="AT1574" t="s">
        <v>111</v>
      </c>
      <c r="AU1574" t="s">
        <v>111</v>
      </c>
      <c r="AV1574" t="s">
        <v>111</v>
      </c>
      <c r="AW1574" t="s">
        <v>111</v>
      </c>
      <c r="AX1574" t="s">
        <v>111</v>
      </c>
      <c r="AY1574" t="s">
        <v>111</v>
      </c>
      <c r="AZ1574" t="s">
        <v>111</v>
      </c>
      <c r="BA1574" t="s">
        <v>111</v>
      </c>
      <c r="BB1574" t="s">
        <v>111</v>
      </c>
      <c r="BC1574" t="s">
        <v>111</v>
      </c>
      <c r="BD1574" t="s">
        <v>111</v>
      </c>
      <c r="BE1574" t="s">
        <v>111</v>
      </c>
      <c r="BF1574" t="s">
        <v>111</v>
      </c>
      <c r="BG1574" t="s">
        <v>111</v>
      </c>
      <c r="BH1574" t="s">
        <v>111</v>
      </c>
      <c r="BI1574" t="s">
        <v>111</v>
      </c>
      <c r="BJ1574" t="s">
        <v>111</v>
      </c>
      <c r="BK1574" t="s">
        <v>111</v>
      </c>
      <c r="BL1574" t="s">
        <v>111</v>
      </c>
      <c r="BM1574" t="s">
        <v>111</v>
      </c>
      <c r="BN1574" t="s">
        <v>111</v>
      </c>
      <c r="BO1574" t="s">
        <v>111</v>
      </c>
      <c r="BP1574" t="s">
        <v>111</v>
      </c>
      <c r="BQ1574" t="s">
        <v>111</v>
      </c>
      <c r="BR1574" t="s">
        <v>111</v>
      </c>
      <c r="BS1574" t="s">
        <v>111</v>
      </c>
      <c r="BT1574" t="s">
        <v>111</v>
      </c>
      <c r="BU1574" t="s">
        <v>111</v>
      </c>
      <c r="BV1574" t="s">
        <v>111</v>
      </c>
      <c r="BW1574" t="s">
        <v>111</v>
      </c>
      <c r="BX1574" t="s">
        <v>111</v>
      </c>
      <c r="BY1574" t="s">
        <v>111</v>
      </c>
      <c r="BZ1574" t="s">
        <v>111</v>
      </c>
      <c r="CA1574" t="s">
        <v>111</v>
      </c>
      <c r="CB1574" t="s">
        <v>111</v>
      </c>
      <c r="CC1574" t="s">
        <v>111</v>
      </c>
      <c r="CD1574" t="s">
        <v>111</v>
      </c>
      <c r="CE1574" t="s">
        <v>111</v>
      </c>
      <c r="CF1574" t="s">
        <v>111</v>
      </c>
      <c r="CG1574" t="s">
        <v>111</v>
      </c>
      <c r="CH1574" t="s">
        <v>111</v>
      </c>
      <c r="CI1574" t="s">
        <v>111</v>
      </c>
      <c r="CJ1574" t="s">
        <v>111</v>
      </c>
      <c r="CK1574" t="s">
        <v>111</v>
      </c>
      <c r="CL1574" t="s">
        <v>111</v>
      </c>
      <c r="CM1574" t="s">
        <v>135</v>
      </c>
      <c r="CN1574" t="s">
        <v>113</v>
      </c>
      <c r="CO1574" t="s">
        <v>111</v>
      </c>
      <c r="CP1574" t="s">
        <v>111</v>
      </c>
      <c r="CQ1574">
        <v>0</v>
      </c>
      <c r="CR1574">
        <v>4000</v>
      </c>
      <c r="CS1574">
        <v>100</v>
      </c>
      <c r="CT1574" t="e">
        <f>-MANUALES</f>
        <v>#NAME?</v>
      </c>
      <c r="CU1574">
        <v>0</v>
      </c>
      <c r="CV1574" t="s">
        <v>111</v>
      </c>
      <c r="CW1574" t="s">
        <v>111</v>
      </c>
      <c r="CX1574" t="s">
        <v>111</v>
      </c>
      <c r="CY1574">
        <v>0</v>
      </c>
      <c r="CZ1574" t="s">
        <v>111</v>
      </c>
      <c r="DA1574" t="s">
        <v>111</v>
      </c>
      <c r="DB1574" t="e">
        <f>-EXTERNO</f>
        <v>#NAME?</v>
      </c>
      <c r="DC1574" t="e">
        <f>-PEGAR GANCHOS</f>
        <v>#NAME?</v>
      </c>
    </row>
    <row r="1575" spans="1:107">
      <c r="A1575">
        <v>1515</v>
      </c>
      <c r="B1575" t="s">
        <v>107</v>
      </c>
      <c r="C1575" t="s">
        <v>3783</v>
      </c>
      <c r="D1575" t="s">
        <v>3960</v>
      </c>
      <c r="E1575" t="s">
        <v>4397</v>
      </c>
      <c r="F1575" t="s">
        <v>1260</v>
      </c>
      <c r="G1575" t="s">
        <v>24</v>
      </c>
      <c r="H1575">
        <v>1.9</v>
      </c>
      <c r="I1575">
        <v>40</v>
      </c>
      <c r="J1575">
        <v>0</v>
      </c>
      <c r="K1575">
        <v>0</v>
      </c>
      <c r="L1575" t="s">
        <v>117</v>
      </c>
      <c r="M1575" t="s">
        <v>118</v>
      </c>
      <c r="N1575">
        <v>39</v>
      </c>
      <c r="O1575">
        <v>1</v>
      </c>
      <c r="P1575" t="s">
        <v>111</v>
      </c>
      <c r="Q1575">
        <v>26.5</v>
      </c>
      <c r="R1575">
        <v>0</v>
      </c>
      <c r="S1575">
        <v>0</v>
      </c>
      <c r="T1575">
        <v>5</v>
      </c>
      <c r="U1575" s="1" t="s">
        <v>662</v>
      </c>
      <c r="V1575">
        <v>0</v>
      </c>
      <c r="W1575">
        <v>0</v>
      </c>
      <c r="X1575">
        <v>0</v>
      </c>
      <c r="Y1575">
        <v>25</v>
      </c>
      <c r="Z1575" t="s">
        <v>111</v>
      </c>
      <c r="AA1575">
        <v>0</v>
      </c>
      <c r="AB1575" t="s">
        <v>111</v>
      </c>
      <c r="AC1575">
        <v>0</v>
      </c>
      <c r="AD1575" t="s">
        <v>416</v>
      </c>
      <c r="AE1575">
        <v>0</v>
      </c>
      <c r="AF1575">
        <v>0</v>
      </c>
      <c r="AG1575" t="s">
        <v>111</v>
      </c>
      <c r="AH1575" t="s">
        <v>113</v>
      </c>
      <c r="AI1575" t="s">
        <v>111</v>
      </c>
      <c r="AJ1575" t="s">
        <v>111</v>
      </c>
      <c r="AK1575" t="s">
        <v>111</v>
      </c>
      <c r="AL1575" t="s">
        <v>111</v>
      </c>
      <c r="AM1575">
        <v>0</v>
      </c>
      <c r="AN1575">
        <v>0</v>
      </c>
      <c r="AO1575">
        <v>0</v>
      </c>
      <c r="AP1575" t="s">
        <v>111</v>
      </c>
      <c r="AQ1575" t="s">
        <v>111</v>
      </c>
      <c r="AR1575" t="s">
        <v>111</v>
      </c>
      <c r="AS1575" t="s">
        <v>111</v>
      </c>
      <c r="AT1575" t="s">
        <v>111</v>
      </c>
      <c r="AU1575" t="s">
        <v>111</v>
      </c>
      <c r="AV1575" t="s">
        <v>111</v>
      </c>
      <c r="AW1575" t="s">
        <v>111</v>
      </c>
      <c r="AX1575" t="s">
        <v>111</v>
      </c>
      <c r="AY1575" t="s">
        <v>111</v>
      </c>
      <c r="AZ1575" t="s">
        <v>111</v>
      </c>
      <c r="BA1575" t="s">
        <v>111</v>
      </c>
      <c r="BB1575" t="s">
        <v>111</v>
      </c>
      <c r="BC1575" t="s">
        <v>111</v>
      </c>
      <c r="BD1575" t="s">
        <v>111</v>
      </c>
      <c r="BE1575" t="s">
        <v>111</v>
      </c>
      <c r="BF1575" t="s">
        <v>111</v>
      </c>
      <c r="BG1575" t="s">
        <v>111</v>
      </c>
      <c r="BH1575" t="s">
        <v>111</v>
      </c>
      <c r="BI1575" t="s">
        <v>111</v>
      </c>
      <c r="BJ1575" t="s">
        <v>111</v>
      </c>
      <c r="BK1575" t="s">
        <v>111</v>
      </c>
      <c r="BL1575" t="s">
        <v>111</v>
      </c>
      <c r="BM1575" t="s">
        <v>111</v>
      </c>
      <c r="BN1575" t="s">
        <v>111</v>
      </c>
      <c r="BO1575" t="s">
        <v>111</v>
      </c>
      <c r="BP1575" t="s">
        <v>111</v>
      </c>
      <c r="BQ1575" t="s">
        <v>111</v>
      </c>
      <c r="BR1575" t="s">
        <v>111</v>
      </c>
      <c r="BS1575" t="s">
        <v>111</v>
      </c>
      <c r="BT1575" t="s">
        <v>111</v>
      </c>
      <c r="BU1575" t="s">
        <v>111</v>
      </c>
      <c r="BV1575" t="s">
        <v>111</v>
      </c>
      <c r="BW1575" t="s">
        <v>111</v>
      </c>
      <c r="BX1575" t="s">
        <v>111</v>
      </c>
      <c r="BY1575" t="s">
        <v>111</v>
      </c>
      <c r="BZ1575" t="s">
        <v>111</v>
      </c>
      <c r="CA1575" t="s">
        <v>111</v>
      </c>
      <c r="CB1575" t="s">
        <v>111</v>
      </c>
      <c r="CC1575" t="s">
        <v>111</v>
      </c>
      <c r="CD1575" t="s">
        <v>111</v>
      </c>
      <c r="CE1575" t="s">
        <v>111</v>
      </c>
      <c r="CF1575" t="s">
        <v>111</v>
      </c>
      <c r="CG1575" t="s">
        <v>111</v>
      </c>
      <c r="CH1575" t="s">
        <v>111</v>
      </c>
      <c r="CI1575" t="s">
        <v>111</v>
      </c>
      <c r="CJ1575" t="s">
        <v>111</v>
      </c>
      <c r="CK1575" t="s">
        <v>111</v>
      </c>
      <c r="CL1575" t="s">
        <v>111</v>
      </c>
      <c r="CM1575" t="s">
        <v>135</v>
      </c>
      <c r="CN1575" t="s">
        <v>113</v>
      </c>
      <c r="CO1575" t="s">
        <v>637</v>
      </c>
      <c r="CP1575" t="s">
        <v>111</v>
      </c>
      <c r="CQ1575">
        <v>0</v>
      </c>
      <c r="CR1575">
        <v>26000</v>
      </c>
      <c r="CS1575">
        <v>26000</v>
      </c>
      <c r="CT1575" t="e">
        <f>-ALMACEN</f>
        <v>#NAME?</v>
      </c>
      <c r="CU1575">
        <v>0</v>
      </c>
      <c r="CV1575" t="s">
        <v>111</v>
      </c>
      <c r="CW1575" t="s">
        <v>111</v>
      </c>
      <c r="CX1575" t="s">
        <v>111</v>
      </c>
      <c r="CY1575">
        <v>0</v>
      </c>
      <c r="CZ1575" t="s">
        <v>111</v>
      </c>
      <c r="DA1575" t="s">
        <v>111</v>
      </c>
      <c r="DB1575" t="s">
        <v>111</v>
      </c>
      <c r="DC1575" t="s">
        <v>111</v>
      </c>
    </row>
    <row r="1576" spans="1:107">
      <c r="A1576">
        <v>1443</v>
      </c>
      <c r="B1576" t="s">
        <v>107</v>
      </c>
      <c r="C1576" t="s">
        <v>4365</v>
      </c>
      <c r="D1576" t="s">
        <v>4398</v>
      </c>
      <c r="E1576" t="s">
        <v>4399</v>
      </c>
      <c r="F1576" t="s">
        <v>110</v>
      </c>
      <c r="G1576" t="s">
        <v>24</v>
      </c>
      <c r="H1576">
        <v>2</v>
      </c>
      <c r="I1576">
        <v>25</v>
      </c>
      <c r="J1576">
        <v>0</v>
      </c>
      <c r="K1576">
        <v>0</v>
      </c>
      <c r="L1576" t="s">
        <v>112</v>
      </c>
      <c r="M1576" t="s">
        <v>118</v>
      </c>
      <c r="N1576">
        <v>38</v>
      </c>
      <c r="O1576">
        <v>2</v>
      </c>
      <c r="P1576" t="s">
        <v>111</v>
      </c>
      <c r="Q1576">
        <v>27.7</v>
      </c>
      <c r="R1576">
        <v>0</v>
      </c>
      <c r="S1576">
        <v>0</v>
      </c>
      <c r="T1576">
        <v>0</v>
      </c>
      <c r="U1576" s="1" t="s">
        <v>4400</v>
      </c>
      <c r="V1576">
        <v>0</v>
      </c>
      <c r="W1576">
        <v>0</v>
      </c>
      <c r="X1576">
        <v>0</v>
      </c>
      <c r="Y1576">
        <v>25</v>
      </c>
      <c r="Z1576" t="s">
        <v>111</v>
      </c>
      <c r="AA1576">
        <v>0</v>
      </c>
      <c r="AB1576" t="s">
        <v>111</v>
      </c>
      <c r="AC1576">
        <v>0</v>
      </c>
      <c r="AD1576" t="s">
        <v>111</v>
      </c>
      <c r="AE1576">
        <v>0</v>
      </c>
      <c r="AF1576">
        <v>0</v>
      </c>
      <c r="AG1576" t="s">
        <v>111</v>
      </c>
      <c r="AH1576" t="s">
        <v>111</v>
      </c>
      <c r="AI1576" t="s">
        <v>111</v>
      </c>
      <c r="AJ1576" t="s">
        <v>111</v>
      </c>
      <c r="AK1576" t="s">
        <v>111</v>
      </c>
      <c r="AL1576" t="s">
        <v>111</v>
      </c>
      <c r="AM1576">
        <v>0</v>
      </c>
      <c r="AN1576">
        <v>0</v>
      </c>
      <c r="AO1576">
        <v>0</v>
      </c>
      <c r="AP1576" t="s">
        <v>111</v>
      </c>
      <c r="AQ1576" t="s">
        <v>111</v>
      </c>
      <c r="AR1576" t="s">
        <v>111</v>
      </c>
      <c r="AS1576" t="s">
        <v>111</v>
      </c>
      <c r="AT1576" t="s">
        <v>111</v>
      </c>
      <c r="AU1576" t="s">
        <v>111</v>
      </c>
      <c r="AV1576" t="s">
        <v>111</v>
      </c>
      <c r="AW1576" t="s">
        <v>111</v>
      </c>
      <c r="AX1576" t="s">
        <v>111</v>
      </c>
      <c r="AY1576" t="s">
        <v>111</v>
      </c>
      <c r="AZ1576" t="s">
        <v>111</v>
      </c>
      <c r="BA1576" t="s">
        <v>111</v>
      </c>
      <c r="BB1576" t="s">
        <v>111</v>
      </c>
      <c r="BC1576" t="s">
        <v>111</v>
      </c>
      <c r="BD1576" t="s">
        <v>111</v>
      </c>
      <c r="BE1576" t="s">
        <v>111</v>
      </c>
      <c r="BF1576" t="s">
        <v>111</v>
      </c>
      <c r="BG1576" t="s">
        <v>111</v>
      </c>
      <c r="BH1576" t="s">
        <v>111</v>
      </c>
      <c r="BI1576" t="s">
        <v>111</v>
      </c>
      <c r="BJ1576" t="s">
        <v>111</v>
      </c>
      <c r="BK1576" t="s">
        <v>111</v>
      </c>
      <c r="BL1576" t="s">
        <v>111</v>
      </c>
      <c r="BM1576" t="s">
        <v>111</v>
      </c>
      <c r="BN1576" t="s">
        <v>111</v>
      </c>
      <c r="BO1576" t="s">
        <v>111</v>
      </c>
      <c r="BP1576" t="s">
        <v>111</v>
      </c>
      <c r="BQ1576" t="s">
        <v>111</v>
      </c>
      <c r="BR1576" t="s">
        <v>111</v>
      </c>
      <c r="BS1576" t="s">
        <v>111</v>
      </c>
      <c r="BT1576" t="s">
        <v>111</v>
      </c>
      <c r="BU1576" t="s">
        <v>111</v>
      </c>
      <c r="BV1576" t="s">
        <v>111</v>
      </c>
      <c r="BW1576" t="s">
        <v>111</v>
      </c>
      <c r="BX1576" t="s">
        <v>111</v>
      </c>
      <c r="BY1576" t="s">
        <v>111</v>
      </c>
      <c r="BZ1576" t="s">
        <v>111</v>
      </c>
      <c r="CA1576" t="s">
        <v>111</v>
      </c>
      <c r="CB1576" t="s">
        <v>111</v>
      </c>
      <c r="CC1576" t="s">
        <v>111</v>
      </c>
      <c r="CD1576" t="s">
        <v>111</v>
      </c>
      <c r="CE1576" t="s">
        <v>111</v>
      </c>
      <c r="CF1576" t="s">
        <v>111</v>
      </c>
      <c r="CG1576" t="s">
        <v>111</v>
      </c>
      <c r="CH1576" t="s">
        <v>111</v>
      </c>
      <c r="CI1576" t="s">
        <v>111</v>
      </c>
      <c r="CJ1576" t="s">
        <v>111</v>
      </c>
      <c r="CK1576" t="s">
        <v>111</v>
      </c>
      <c r="CL1576" t="s">
        <v>111</v>
      </c>
      <c r="CM1576" t="s">
        <v>111</v>
      </c>
      <c r="CN1576" t="s">
        <v>111</v>
      </c>
      <c r="CO1576" t="s">
        <v>111</v>
      </c>
      <c r="CP1576" t="s">
        <v>111</v>
      </c>
      <c r="CQ1576">
        <v>0</v>
      </c>
      <c r="CR1576">
        <v>0</v>
      </c>
      <c r="CS1576">
        <v>0</v>
      </c>
      <c r="CT1576" t="s">
        <v>111</v>
      </c>
      <c r="CU1576">
        <v>0</v>
      </c>
      <c r="CV1576" t="s">
        <v>111</v>
      </c>
      <c r="CW1576" t="s">
        <v>111</v>
      </c>
      <c r="CX1576" t="s">
        <v>111</v>
      </c>
      <c r="CY1576">
        <v>0</v>
      </c>
      <c r="CZ1576" t="s">
        <v>111</v>
      </c>
      <c r="DA1576" t="s">
        <v>111</v>
      </c>
      <c r="DB1576" t="s">
        <v>111</v>
      </c>
      <c r="DC1576" t="s">
        <v>111</v>
      </c>
    </row>
    <row r="1577" spans="1:107">
      <c r="A1577">
        <v>1442</v>
      </c>
      <c r="B1577" t="s">
        <v>107</v>
      </c>
      <c r="C1577" t="s">
        <v>4401</v>
      </c>
      <c r="D1577" t="s">
        <v>4402</v>
      </c>
      <c r="E1577" t="s">
        <v>4403</v>
      </c>
      <c r="F1577" t="s">
        <v>1071</v>
      </c>
      <c r="G1577" t="s">
        <v>24</v>
      </c>
      <c r="H1577">
        <v>2.4</v>
      </c>
      <c r="I1577">
        <v>48</v>
      </c>
      <c r="J1577">
        <v>0</v>
      </c>
      <c r="K1577">
        <v>0</v>
      </c>
      <c r="L1577" t="s">
        <v>112</v>
      </c>
      <c r="M1577" t="s">
        <v>111</v>
      </c>
      <c r="N1577">
        <v>0</v>
      </c>
      <c r="O1577">
        <v>0</v>
      </c>
      <c r="P1577" t="s">
        <v>111</v>
      </c>
      <c r="Q1577">
        <v>18</v>
      </c>
      <c r="R1577">
        <v>0</v>
      </c>
      <c r="S1577">
        <v>0</v>
      </c>
      <c r="T1577">
        <v>0</v>
      </c>
      <c r="U1577" t="e">
        <f>-ALMACEN</f>
        <v>#NAME?</v>
      </c>
      <c r="V1577">
        <v>0</v>
      </c>
      <c r="W1577">
        <v>0</v>
      </c>
      <c r="X1577">
        <v>0</v>
      </c>
      <c r="Y1577">
        <v>25</v>
      </c>
      <c r="Z1577" t="s">
        <v>111</v>
      </c>
      <c r="AA1577">
        <v>0</v>
      </c>
      <c r="AB1577" t="s">
        <v>111</v>
      </c>
      <c r="AC1577">
        <v>0</v>
      </c>
      <c r="AD1577" t="s">
        <v>111</v>
      </c>
      <c r="AE1577">
        <v>0</v>
      </c>
      <c r="AF1577">
        <v>0</v>
      </c>
      <c r="AG1577" t="s">
        <v>111</v>
      </c>
      <c r="AH1577" t="s">
        <v>111</v>
      </c>
      <c r="AI1577" t="s">
        <v>111</v>
      </c>
      <c r="AJ1577" t="s">
        <v>111</v>
      </c>
      <c r="AK1577" t="s">
        <v>111</v>
      </c>
      <c r="AL1577" t="s">
        <v>111</v>
      </c>
      <c r="AM1577">
        <v>0</v>
      </c>
      <c r="AN1577">
        <v>0</v>
      </c>
      <c r="AO1577">
        <v>0</v>
      </c>
      <c r="AP1577" t="s">
        <v>111</v>
      </c>
      <c r="AQ1577" t="s">
        <v>111</v>
      </c>
      <c r="AR1577" t="s">
        <v>111</v>
      </c>
      <c r="AS1577" t="s">
        <v>111</v>
      </c>
      <c r="AT1577" t="s">
        <v>111</v>
      </c>
      <c r="AU1577" t="s">
        <v>111</v>
      </c>
      <c r="AV1577" t="s">
        <v>111</v>
      </c>
      <c r="AW1577" t="s">
        <v>111</v>
      </c>
      <c r="AX1577" t="s">
        <v>111</v>
      </c>
      <c r="AY1577" t="s">
        <v>111</v>
      </c>
      <c r="AZ1577" t="s">
        <v>111</v>
      </c>
      <c r="BA1577" t="s">
        <v>111</v>
      </c>
      <c r="BB1577" t="s">
        <v>111</v>
      </c>
      <c r="BC1577" t="s">
        <v>111</v>
      </c>
      <c r="BD1577" t="s">
        <v>111</v>
      </c>
      <c r="BE1577" t="s">
        <v>111</v>
      </c>
      <c r="BF1577" t="s">
        <v>111</v>
      </c>
      <c r="BG1577" t="s">
        <v>111</v>
      </c>
      <c r="BH1577" t="s">
        <v>111</v>
      </c>
      <c r="BI1577" t="s">
        <v>111</v>
      </c>
      <c r="BJ1577" t="s">
        <v>111</v>
      </c>
      <c r="BK1577" t="s">
        <v>111</v>
      </c>
      <c r="BL1577" t="s">
        <v>111</v>
      </c>
      <c r="BM1577" t="s">
        <v>111</v>
      </c>
      <c r="BN1577" t="s">
        <v>111</v>
      </c>
      <c r="BO1577" t="s">
        <v>111</v>
      </c>
      <c r="BP1577" t="s">
        <v>111</v>
      </c>
      <c r="BQ1577" t="s">
        <v>111</v>
      </c>
      <c r="BR1577" t="s">
        <v>111</v>
      </c>
      <c r="BS1577" t="s">
        <v>111</v>
      </c>
      <c r="BT1577" t="s">
        <v>111</v>
      </c>
      <c r="BU1577" t="s">
        <v>111</v>
      </c>
      <c r="BV1577" t="s">
        <v>111</v>
      </c>
      <c r="BW1577" t="s">
        <v>111</v>
      </c>
      <c r="BX1577" t="s">
        <v>111</v>
      </c>
      <c r="BY1577" t="s">
        <v>111</v>
      </c>
      <c r="BZ1577" t="s">
        <v>111</v>
      </c>
      <c r="CA1577" t="s">
        <v>111</v>
      </c>
      <c r="CB1577" t="s">
        <v>111</v>
      </c>
      <c r="CC1577" t="s">
        <v>111</v>
      </c>
      <c r="CD1577" t="s">
        <v>111</v>
      </c>
      <c r="CE1577" t="s">
        <v>111</v>
      </c>
      <c r="CF1577" t="s">
        <v>111</v>
      </c>
      <c r="CG1577" t="s">
        <v>111</v>
      </c>
      <c r="CH1577" t="s">
        <v>111</v>
      </c>
      <c r="CI1577" t="s">
        <v>111</v>
      </c>
      <c r="CJ1577" t="s">
        <v>111</v>
      </c>
      <c r="CK1577" t="s">
        <v>111</v>
      </c>
      <c r="CL1577" t="s">
        <v>111</v>
      </c>
      <c r="CM1577" t="s">
        <v>135</v>
      </c>
      <c r="CN1577" t="s">
        <v>113</v>
      </c>
      <c r="CO1577" t="s">
        <v>111</v>
      </c>
      <c r="CP1577" t="s">
        <v>111</v>
      </c>
      <c r="CQ1577">
        <v>32</v>
      </c>
      <c r="CR1577">
        <v>1000</v>
      </c>
      <c r="CS1577">
        <v>100</v>
      </c>
      <c r="CT1577" t="s">
        <v>111</v>
      </c>
      <c r="CU1577">
        <v>0</v>
      </c>
      <c r="CV1577" t="s">
        <v>111</v>
      </c>
      <c r="CW1577" t="s">
        <v>111</v>
      </c>
      <c r="CX1577" t="s">
        <v>111</v>
      </c>
      <c r="CY1577">
        <v>0</v>
      </c>
      <c r="CZ1577" t="s">
        <v>111</v>
      </c>
      <c r="DA1577" t="s">
        <v>111</v>
      </c>
      <c r="DB1577" t="s">
        <v>111</v>
      </c>
      <c r="DC1577" t="s">
        <v>111</v>
      </c>
    </row>
    <row r="1578" spans="1:107">
      <c r="A1578">
        <v>1432</v>
      </c>
      <c r="B1578" t="s">
        <v>107</v>
      </c>
      <c r="C1578" t="s">
        <v>4206</v>
      </c>
      <c r="D1578" t="s">
        <v>4404</v>
      </c>
      <c r="E1578" t="s">
        <v>4405</v>
      </c>
      <c r="F1578" t="s">
        <v>1071</v>
      </c>
      <c r="G1578" t="s">
        <v>24</v>
      </c>
      <c r="H1578">
        <v>1</v>
      </c>
      <c r="I1578">
        <v>50</v>
      </c>
      <c r="J1578">
        <v>0</v>
      </c>
      <c r="K1578">
        <v>0</v>
      </c>
      <c r="L1578" t="s">
        <v>112</v>
      </c>
      <c r="M1578" t="s">
        <v>111</v>
      </c>
      <c r="N1578">
        <v>0</v>
      </c>
      <c r="O1578">
        <v>0</v>
      </c>
      <c r="P1578" t="s">
        <v>111</v>
      </c>
      <c r="Q1578">
        <v>40.799999999999997</v>
      </c>
      <c r="R1578">
        <v>0</v>
      </c>
      <c r="S1578">
        <v>0</v>
      </c>
      <c r="T1578">
        <v>5</v>
      </c>
      <c r="U1578" t="s">
        <v>153</v>
      </c>
      <c r="V1578">
        <v>0</v>
      </c>
      <c r="W1578">
        <v>0</v>
      </c>
      <c r="X1578">
        <v>0</v>
      </c>
      <c r="Y1578">
        <v>25</v>
      </c>
      <c r="Z1578" t="s">
        <v>111</v>
      </c>
      <c r="AA1578">
        <v>0</v>
      </c>
      <c r="AB1578" t="s">
        <v>111</v>
      </c>
      <c r="AC1578">
        <v>0</v>
      </c>
      <c r="AD1578" t="s">
        <v>111</v>
      </c>
      <c r="AE1578">
        <v>0</v>
      </c>
      <c r="AF1578">
        <v>0</v>
      </c>
      <c r="AG1578" t="s">
        <v>111</v>
      </c>
      <c r="AH1578" t="s">
        <v>111</v>
      </c>
      <c r="AI1578" t="s">
        <v>111</v>
      </c>
      <c r="AJ1578" t="s">
        <v>111</v>
      </c>
      <c r="AK1578" t="s">
        <v>111</v>
      </c>
      <c r="AL1578" t="s">
        <v>111</v>
      </c>
      <c r="AM1578">
        <v>0</v>
      </c>
      <c r="AN1578">
        <v>0</v>
      </c>
      <c r="AO1578">
        <v>0</v>
      </c>
      <c r="AP1578" t="s">
        <v>111</v>
      </c>
      <c r="AQ1578" t="s">
        <v>111</v>
      </c>
      <c r="AR1578" t="s">
        <v>111</v>
      </c>
      <c r="AS1578" t="s">
        <v>111</v>
      </c>
      <c r="AT1578" t="s">
        <v>111</v>
      </c>
      <c r="AU1578" t="s">
        <v>111</v>
      </c>
      <c r="AV1578" t="s">
        <v>111</v>
      </c>
      <c r="AW1578" t="s">
        <v>111</v>
      </c>
      <c r="AX1578" t="s">
        <v>111</v>
      </c>
      <c r="AY1578" t="s">
        <v>111</v>
      </c>
      <c r="AZ1578" t="s">
        <v>111</v>
      </c>
      <c r="BA1578" t="s">
        <v>111</v>
      </c>
      <c r="BB1578" t="s">
        <v>111</v>
      </c>
      <c r="BC1578" t="s">
        <v>111</v>
      </c>
      <c r="BD1578" t="s">
        <v>111</v>
      </c>
      <c r="BE1578" t="s">
        <v>111</v>
      </c>
      <c r="BF1578" t="s">
        <v>111</v>
      </c>
      <c r="BG1578" t="s">
        <v>111</v>
      </c>
      <c r="BH1578" t="s">
        <v>111</v>
      </c>
      <c r="BI1578" t="s">
        <v>111</v>
      </c>
      <c r="BJ1578" t="s">
        <v>111</v>
      </c>
      <c r="BK1578" t="s">
        <v>111</v>
      </c>
      <c r="BL1578" t="s">
        <v>111</v>
      </c>
      <c r="BM1578" t="s">
        <v>111</v>
      </c>
      <c r="BN1578" t="s">
        <v>111</v>
      </c>
      <c r="BO1578" t="s">
        <v>111</v>
      </c>
      <c r="BP1578" t="s">
        <v>111</v>
      </c>
      <c r="BQ1578" t="s">
        <v>111</v>
      </c>
      <c r="BR1578" t="s">
        <v>111</v>
      </c>
      <c r="BS1578" t="s">
        <v>111</v>
      </c>
      <c r="BT1578" t="s">
        <v>111</v>
      </c>
      <c r="BU1578" t="s">
        <v>111</v>
      </c>
      <c r="BV1578" t="s">
        <v>111</v>
      </c>
      <c r="BW1578" t="s">
        <v>111</v>
      </c>
      <c r="BX1578" t="s">
        <v>111</v>
      </c>
      <c r="BY1578" t="s">
        <v>111</v>
      </c>
      <c r="BZ1578" t="s">
        <v>111</v>
      </c>
      <c r="CA1578" t="s">
        <v>111</v>
      </c>
      <c r="CB1578" t="s">
        <v>111</v>
      </c>
      <c r="CC1578" t="s">
        <v>111</v>
      </c>
      <c r="CD1578" t="s">
        <v>111</v>
      </c>
      <c r="CE1578" t="s">
        <v>111</v>
      </c>
      <c r="CF1578" t="s">
        <v>111</v>
      </c>
      <c r="CG1578" t="s">
        <v>111</v>
      </c>
      <c r="CH1578" t="s">
        <v>111</v>
      </c>
      <c r="CI1578" t="s">
        <v>111</v>
      </c>
      <c r="CJ1578" t="s">
        <v>111</v>
      </c>
      <c r="CK1578" t="s">
        <v>111</v>
      </c>
      <c r="CL1578" t="s">
        <v>111</v>
      </c>
      <c r="CM1578" t="s">
        <v>135</v>
      </c>
      <c r="CN1578" t="s">
        <v>113</v>
      </c>
      <c r="CO1578" t="s">
        <v>111</v>
      </c>
      <c r="CP1578" t="s">
        <v>111</v>
      </c>
      <c r="CQ1578">
        <v>0</v>
      </c>
      <c r="CR1578">
        <v>15000</v>
      </c>
      <c r="CS1578">
        <v>100</v>
      </c>
      <c r="CT1578" s="1" t="s">
        <v>4406</v>
      </c>
      <c r="CU1578">
        <v>0</v>
      </c>
      <c r="CV1578" t="s">
        <v>111</v>
      </c>
      <c r="CW1578" t="s">
        <v>111</v>
      </c>
      <c r="CX1578" t="s">
        <v>111</v>
      </c>
      <c r="CY1578">
        <v>0</v>
      </c>
      <c r="CZ1578" t="s">
        <v>111</v>
      </c>
      <c r="DA1578" t="s">
        <v>111</v>
      </c>
      <c r="DB1578" t="s">
        <v>111</v>
      </c>
      <c r="DC1578" t="s">
        <v>111</v>
      </c>
    </row>
    <row r="1579" spans="1:107">
      <c r="A1579">
        <v>1428</v>
      </c>
      <c r="B1579" t="s">
        <v>107</v>
      </c>
      <c r="C1579" t="s">
        <v>1257</v>
      </c>
      <c r="D1579" t="s">
        <v>4407</v>
      </c>
      <c r="E1579" t="s">
        <v>4408</v>
      </c>
      <c r="F1579" t="s">
        <v>1260</v>
      </c>
      <c r="G1579" t="s">
        <v>24</v>
      </c>
      <c r="H1579">
        <v>1.9</v>
      </c>
      <c r="I1579">
        <v>40</v>
      </c>
      <c r="J1579">
        <v>0</v>
      </c>
      <c r="K1579">
        <v>0</v>
      </c>
      <c r="L1579" t="s">
        <v>117</v>
      </c>
      <c r="M1579" t="s">
        <v>118</v>
      </c>
      <c r="N1579">
        <v>40</v>
      </c>
      <c r="O1579">
        <v>1</v>
      </c>
      <c r="P1579" t="s">
        <v>138</v>
      </c>
      <c r="Q1579">
        <v>38.200000000000003</v>
      </c>
      <c r="R1579">
        <v>0</v>
      </c>
      <c r="S1579">
        <v>0</v>
      </c>
      <c r="T1579">
        <v>5</v>
      </c>
      <c r="U1579" t="e">
        <f>-IMPRESION CORREA</f>
        <v>#NAME?</v>
      </c>
      <c r="V1579">
        <v>0</v>
      </c>
      <c r="W1579">
        <v>0</v>
      </c>
      <c r="X1579">
        <v>0</v>
      </c>
      <c r="Y1579">
        <v>25</v>
      </c>
      <c r="Z1579" t="s">
        <v>111</v>
      </c>
      <c r="AA1579">
        <v>0</v>
      </c>
      <c r="AB1579" t="s">
        <v>111</v>
      </c>
      <c r="AC1579">
        <v>0</v>
      </c>
      <c r="AD1579" t="s">
        <v>427</v>
      </c>
      <c r="AE1579">
        <v>0</v>
      </c>
      <c r="AF1579">
        <v>0</v>
      </c>
      <c r="AG1579" t="s">
        <v>111</v>
      </c>
      <c r="AH1579" t="s">
        <v>113</v>
      </c>
      <c r="AI1579" t="s">
        <v>111</v>
      </c>
      <c r="AJ1579" t="s">
        <v>111</v>
      </c>
      <c r="AK1579" t="s">
        <v>111</v>
      </c>
      <c r="AL1579" t="s">
        <v>111</v>
      </c>
      <c r="AM1579">
        <v>0</v>
      </c>
      <c r="AN1579">
        <v>0</v>
      </c>
      <c r="AO1579">
        <v>0</v>
      </c>
      <c r="AP1579" t="s">
        <v>111</v>
      </c>
      <c r="AQ1579" t="s">
        <v>111</v>
      </c>
      <c r="AR1579" t="s">
        <v>111</v>
      </c>
      <c r="AS1579" t="s">
        <v>111</v>
      </c>
      <c r="AT1579" t="s">
        <v>111</v>
      </c>
      <c r="AU1579" t="s">
        <v>111</v>
      </c>
      <c r="AV1579" t="s">
        <v>111</v>
      </c>
      <c r="AW1579" t="s">
        <v>111</v>
      </c>
      <c r="AX1579" t="s">
        <v>111</v>
      </c>
      <c r="AY1579" t="s">
        <v>111</v>
      </c>
      <c r="AZ1579" t="s">
        <v>111</v>
      </c>
      <c r="BA1579" t="s">
        <v>111</v>
      </c>
      <c r="BB1579" t="s">
        <v>111</v>
      </c>
      <c r="BC1579" t="s">
        <v>111</v>
      </c>
      <c r="BD1579" t="s">
        <v>111</v>
      </c>
      <c r="BE1579" t="s">
        <v>111</v>
      </c>
      <c r="BF1579" t="s">
        <v>111</v>
      </c>
      <c r="BG1579" t="s">
        <v>111</v>
      </c>
      <c r="BH1579" t="s">
        <v>111</v>
      </c>
      <c r="BI1579" t="s">
        <v>111</v>
      </c>
      <c r="BJ1579" t="s">
        <v>111</v>
      </c>
      <c r="BK1579" t="s">
        <v>111</v>
      </c>
      <c r="BL1579" t="s">
        <v>111</v>
      </c>
      <c r="BM1579" t="s">
        <v>111</v>
      </c>
      <c r="BN1579" t="s">
        <v>111</v>
      </c>
      <c r="BO1579" t="s">
        <v>111</v>
      </c>
      <c r="BP1579" t="s">
        <v>111</v>
      </c>
      <c r="BQ1579" t="s">
        <v>111</v>
      </c>
      <c r="BR1579" t="s">
        <v>111</v>
      </c>
      <c r="BS1579" t="s">
        <v>111</v>
      </c>
      <c r="BT1579" t="s">
        <v>111</v>
      </c>
      <c r="BU1579" t="s">
        <v>111</v>
      </c>
      <c r="BV1579" t="s">
        <v>111</v>
      </c>
      <c r="BW1579" t="s">
        <v>111</v>
      </c>
      <c r="BX1579" t="s">
        <v>111</v>
      </c>
      <c r="BY1579" t="s">
        <v>111</v>
      </c>
      <c r="BZ1579" t="s">
        <v>111</v>
      </c>
      <c r="CA1579" t="s">
        <v>111</v>
      </c>
      <c r="CB1579" t="s">
        <v>111</v>
      </c>
      <c r="CC1579" t="s">
        <v>111</v>
      </c>
      <c r="CD1579" t="s">
        <v>111</v>
      </c>
      <c r="CE1579" t="s">
        <v>111</v>
      </c>
      <c r="CF1579" t="s">
        <v>111</v>
      </c>
      <c r="CG1579" t="s">
        <v>111</v>
      </c>
      <c r="CH1579" t="s">
        <v>111</v>
      </c>
      <c r="CI1579" t="s">
        <v>111</v>
      </c>
      <c r="CJ1579" t="s">
        <v>111</v>
      </c>
      <c r="CK1579" t="s">
        <v>111</v>
      </c>
      <c r="CL1579" t="s">
        <v>111</v>
      </c>
      <c r="CM1579" t="s">
        <v>135</v>
      </c>
      <c r="CN1579" t="s">
        <v>113</v>
      </c>
      <c r="CO1579" t="s">
        <v>111</v>
      </c>
      <c r="CP1579" t="s">
        <v>111</v>
      </c>
      <c r="CQ1579">
        <v>112</v>
      </c>
      <c r="CR1579">
        <v>20000</v>
      </c>
      <c r="CS1579">
        <v>500</v>
      </c>
      <c r="CT1579" t="e">
        <f>-ALMACEN</f>
        <v>#NAME?</v>
      </c>
      <c r="CU1579">
        <v>0</v>
      </c>
      <c r="CV1579" t="s">
        <v>111</v>
      </c>
      <c r="CW1579" t="s">
        <v>111</v>
      </c>
      <c r="CX1579" t="s">
        <v>111</v>
      </c>
      <c r="CY1579">
        <v>0</v>
      </c>
      <c r="CZ1579" t="s">
        <v>111</v>
      </c>
      <c r="DA1579" t="s">
        <v>111</v>
      </c>
      <c r="DB1579" t="s">
        <v>111</v>
      </c>
      <c r="DC1579" t="s">
        <v>111</v>
      </c>
    </row>
    <row r="1580" spans="1:107">
      <c r="A1580">
        <v>1426</v>
      </c>
      <c r="B1580" t="s">
        <v>107</v>
      </c>
      <c r="C1580" t="s">
        <v>3783</v>
      </c>
      <c r="D1580" t="s">
        <v>4194</v>
      </c>
      <c r="E1580" t="s">
        <v>4409</v>
      </c>
      <c r="F1580" t="s">
        <v>1260</v>
      </c>
      <c r="G1580" t="s">
        <v>24</v>
      </c>
      <c r="H1580">
        <v>1.9</v>
      </c>
      <c r="I1580">
        <v>40</v>
      </c>
      <c r="J1580">
        <v>0</v>
      </c>
      <c r="K1580">
        <v>0</v>
      </c>
      <c r="L1580" t="s">
        <v>117</v>
      </c>
      <c r="M1580" t="s">
        <v>118</v>
      </c>
      <c r="N1580">
        <v>40</v>
      </c>
      <c r="O1580">
        <v>1</v>
      </c>
      <c r="P1580" t="s">
        <v>111</v>
      </c>
      <c r="Q1580">
        <v>34.700000000000003</v>
      </c>
      <c r="R1580">
        <v>0</v>
      </c>
      <c r="S1580">
        <v>0</v>
      </c>
      <c r="T1580">
        <v>5</v>
      </c>
      <c r="U1580" t="e">
        <f>-DSETINO DARMA</f>
        <v>#NAME?</v>
      </c>
      <c r="V1580">
        <v>0</v>
      </c>
      <c r="W1580">
        <v>0</v>
      </c>
      <c r="X1580">
        <v>0</v>
      </c>
      <c r="Y1580">
        <v>25</v>
      </c>
      <c r="Z1580" t="s">
        <v>111</v>
      </c>
      <c r="AA1580">
        <v>0</v>
      </c>
      <c r="AB1580" t="s">
        <v>111</v>
      </c>
      <c r="AC1580">
        <v>0</v>
      </c>
      <c r="AD1580" t="s">
        <v>416</v>
      </c>
      <c r="AE1580">
        <v>0</v>
      </c>
      <c r="AF1580">
        <v>0</v>
      </c>
      <c r="AG1580" t="s">
        <v>111</v>
      </c>
      <c r="AH1580" t="s">
        <v>113</v>
      </c>
      <c r="AI1580" t="s">
        <v>111</v>
      </c>
      <c r="AJ1580" t="s">
        <v>111</v>
      </c>
      <c r="AK1580" t="s">
        <v>111</v>
      </c>
      <c r="AL1580" t="s">
        <v>111</v>
      </c>
      <c r="AM1580">
        <v>0</v>
      </c>
      <c r="AN1580">
        <v>0</v>
      </c>
      <c r="AO1580">
        <v>0</v>
      </c>
      <c r="AP1580" t="s">
        <v>111</v>
      </c>
      <c r="AQ1580" t="s">
        <v>111</v>
      </c>
      <c r="AR1580" t="s">
        <v>111</v>
      </c>
      <c r="AS1580" t="s">
        <v>111</v>
      </c>
      <c r="AT1580" t="s">
        <v>111</v>
      </c>
      <c r="AU1580" t="s">
        <v>111</v>
      </c>
      <c r="AV1580" t="s">
        <v>111</v>
      </c>
      <c r="AW1580" t="s">
        <v>111</v>
      </c>
      <c r="AX1580" t="s">
        <v>111</v>
      </c>
      <c r="AY1580" t="s">
        <v>111</v>
      </c>
      <c r="AZ1580" t="s">
        <v>111</v>
      </c>
      <c r="BA1580" t="s">
        <v>111</v>
      </c>
      <c r="BB1580" t="s">
        <v>111</v>
      </c>
      <c r="BC1580" t="s">
        <v>111</v>
      </c>
      <c r="BD1580" t="s">
        <v>111</v>
      </c>
      <c r="BE1580" t="s">
        <v>111</v>
      </c>
      <c r="BF1580" t="s">
        <v>111</v>
      </c>
      <c r="BG1580" t="s">
        <v>111</v>
      </c>
      <c r="BH1580" t="s">
        <v>111</v>
      </c>
      <c r="BI1580" t="s">
        <v>111</v>
      </c>
      <c r="BJ1580" t="s">
        <v>111</v>
      </c>
      <c r="BK1580" t="s">
        <v>111</v>
      </c>
      <c r="BL1580" t="s">
        <v>111</v>
      </c>
      <c r="BM1580" t="s">
        <v>111</v>
      </c>
      <c r="BN1580" t="s">
        <v>111</v>
      </c>
      <c r="BO1580" t="s">
        <v>111</v>
      </c>
      <c r="BP1580" t="s">
        <v>111</v>
      </c>
      <c r="BQ1580" t="s">
        <v>111</v>
      </c>
      <c r="BR1580" t="s">
        <v>111</v>
      </c>
      <c r="BS1580" t="s">
        <v>111</v>
      </c>
      <c r="BT1580" t="s">
        <v>111</v>
      </c>
      <c r="BU1580" t="s">
        <v>111</v>
      </c>
      <c r="BV1580" t="s">
        <v>111</v>
      </c>
      <c r="BW1580" t="s">
        <v>111</v>
      </c>
      <c r="BX1580" t="s">
        <v>111</v>
      </c>
      <c r="BY1580" t="s">
        <v>111</v>
      </c>
      <c r="BZ1580" t="s">
        <v>111</v>
      </c>
      <c r="CA1580" t="s">
        <v>111</v>
      </c>
      <c r="CB1580" t="s">
        <v>111</v>
      </c>
      <c r="CC1580" t="s">
        <v>111</v>
      </c>
      <c r="CD1580" t="s">
        <v>111</v>
      </c>
      <c r="CE1580" t="s">
        <v>111</v>
      </c>
      <c r="CF1580" t="s">
        <v>111</v>
      </c>
      <c r="CG1580" t="s">
        <v>111</v>
      </c>
      <c r="CH1580" t="s">
        <v>111</v>
      </c>
      <c r="CI1580" t="s">
        <v>111</v>
      </c>
      <c r="CJ1580" t="s">
        <v>111</v>
      </c>
      <c r="CK1580" t="s">
        <v>111</v>
      </c>
      <c r="CL1580" t="s">
        <v>111</v>
      </c>
      <c r="CM1580" t="s">
        <v>135</v>
      </c>
      <c r="CN1580" t="s">
        <v>113</v>
      </c>
      <c r="CO1580" t="s">
        <v>637</v>
      </c>
      <c r="CP1580" t="s">
        <v>111</v>
      </c>
      <c r="CQ1580">
        <v>0</v>
      </c>
      <c r="CR1580">
        <v>14000</v>
      </c>
      <c r="CS1580">
        <v>14000</v>
      </c>
      <c r="CT1580" s="1" t="s">
        <v>4410</v>
      </c>
      <c r="CU1580">
        <v>0</v>
      </c>
      <c r="CV1580" t="s">
        <v>111</v>
      </c>
      <c r="CW1580" t="s">
        <v>111</v>
      </c>
      <c r="CX1580" t="s">
        <v>111</v>
      </c>
      <c r="CY1580">
        <v>0</v>
      </c>
      <c r="CZ1580" t="s">
        <v>111</v>
      </c>
      <c r="DA1580" t="s">
        <v>111</v>
      </c>
      <c r="DB1580" t="s">
        <v>111</v>
      </c>
      <c r="DC1580" t="s">
        <v>111</v>
      </c>
    </row>
    <row r="1581" spans="1:107">
      <c r="A1581">
        <v>1424</v>
      </c>
      <c r="B1581" t="s">
        <v>107</v>
      </c>
      <c r="C1581" s="2">
        <v>91226680</v>
      </c>
      <c r="D1581" t="s">
        <v>4411</v>
      </c>
      <c r="E1581" t="s">
        <v>4412</v>
      </c>
      <c r="F1581" t="s">
        <v>1071</v>
      </c>
      <c r="G1581" t="s">
        <v>24</v>
      </c>
      <c r="H1581">
        <v>3</v>
      </c>
      <c r="I1581">
        <v>40</v>
      </c>
      <c r="J1581">
        <v>0</v>
      </c>
      <c r="K1581">
        <v>0</v>
      </c>
      <c r="L1581" t="s">
        <v>112</v>
      </c>
      <c r="M1581" t="s">
        <v>111</v>
      </c>
      <c r="N1581">
        <v>0</v>
      </c>
      <c r="O1581">
        <v>0</v>
      </c>
      <c r="P1581" t="s">
        <v>111</v>
      </c>
      <c r="Q1581">
        <v>30</v>
      </c>
      <c r="R1581">
        <v>0</v>
      </c>
      <c r="S1581">
        <v>0</v>
      </c>
      <c r="T1581">
        <v>5</v>
      </c>
      <c r="U1581" t="e">
        <f>-DESTONO SELLADO</f>
        <v>#NAME?</v>
      </c>
      <c r="V1581">
        <v>0</v>
      </c>
      <c r="W1581">
        <v>0</v>
      </c>
      <c r="X1581">
        <v>0</v>
      </c>
      <c r="Y1581">
        <v>25</v>
      </c>
      <c r="Z1581" t="s">
        <v>111</v>
      </c>
      <c r="AA1581">
        <v>0</v>
      </c>
      <c r="AB1581" t="s">
        <v>3954</v>
      </c>
      <c r="AC1581">
        <v>3</v>
      </c>
      <c r="AD1581" t="s">
        <v>111</v>
      </c>
      <c r="AE1581">
        <v>0</v>
      </c>
      <c r="AF1581">
        <v>0</v>
      </c>
      <c r="AG1581" t="s">
        <v>111</v>
      </c>
      <c r="AH1581" t="s">
        <v>111</v>
      </c>
      <c r="AI1581" t="s">
        <v>111</v>
      </c>
      <c r="AJ1581" t="s">
        <v>111</v>
      </c>
      <c r="AK1581" t="s">
        <v>111</v>
      </c>
      <c r="AL1581" t="s">
        <v>111</v>
      </c>
      <c r="AM1581">
        <v>0</v>
      </c>
      <c r="AN1581">
        <v>0</v>
      </c>
      <c r="AO1581">
        <v>0</v>
      </c>
      <c r="AP1581" t="s">
        <v>111</v>
      </c>
      <c r="AQ1581" t="s">
        <v>111</v>
      </c>
      <c r="AR1581" t="s">
        <v>111</v>
      </c>
      <c r="AS1581" t="s">
        <v>111</v>
      </c>
      <c r="AT1581" t="s">
        <v>111</v>
      </c>
      <c r="AU1581" t="s">
        <v>111</v>
      </c>
      <c r="AV1581" t="s">
        <v>111</v>
      </c>
      <c r="AW1581" t="s">
        <v>111</v>
      </c>
      <c r="AX1581" t="s">
        <v>111</v>
      </c>
      <c r="AY1581" t="s">
        <v>111</v>
      </c>
      <c r="AZ1581" t="s">
        <v>111</v>
      </c>
      <c r="BA1581" t="s">
        <v>111</v>
      </c>
      <c r="BB1581" t="s">
        <v>111</v>
      </c>
      <c r="BC1581" t="s">
        <v>111</v>
      </c>
      <c r="BD1581" t="s">
        <v>111</v>
      </c>
      <c r="BE1581" t="s">
        <v>111</v>
      </c>
      <c r="BF1581" t="s">
        <v>111</v>
      </c>
      <c r="BG1581" t="s">
        <v>111</v>
      </c>
      <c r="BH1581" t="s">
        <v>111</v>
      </c>
      <c r="BI1581" t="s">
        <v>111</v>
      </c>
      <c r="BJ1581" t="s">
        <v>111</v>
      </c>
      <c r="BK1581" t="s">
        <v>111</v>
      </c>
      <c r="BL1581" t="s">
        <v>111</v>
      </c>
      <c r="BM1581" t="s">
        <v>111</v>
      </c>
      <c r="BN1581" t="s">
        <v>111</v>
      </c>
      <c r="BO1581" t="s">
        <v>111</v>
      </c>
      <c r="BP1581" t="s">
        <v>111</v>
      </c>
      <c r="BQ1581" t="s">
        <v>111</v>
      </c>
      <c r="BR1581" t="s">
        <v>111</v>
      </c>
      <c r="BS1581" t="s">
        <v>111</v>
      </c>
      <c r="BT1581" t="s">
        <v>111</v>
      </c>
      <c r="BU1581" t="s">
        <v>111</v>
      </c>
      <c r="BV1581" t="s">
        <v>111</v>
      </c>
      <c r="BW1581" t="s">
        <v>111</v>
      </c>
      <c r="BX1581" t="s">
        <v>111</v>
      </c>
      <c r="BY1581" t="s">
        <v>111</v>
      </c>
      <c r="BZ1581" t="s">
        <v>111</v>
      </c>
      <c r="CA1581" t="s">
        <v>111</v>
      </c>
      <c r="CB1581" t="s">
        <v>111</v>
      </c>
      <c r="CC1581" t="s">
        <v>111</v>
      </c>
      <c r="CD1581" t="s">
        <v>111</v>
      </c>
      <c r="CE1581" t="s">
        <v>111</v>
      </c>
      <c r="CF1581" t="s">
        <v>111</v>
      </c>
      <c r="CG1581" t="s">
        <v>111</v>
      </c>
      <c r="CH1581" t="s">
        <v>111</v>
      </c>
      <c r="CI1581" t="s">
        <v>111</v>
      </c>
      <c r="CJ1581" t="s">
        <v>111</v>
      </c>
      <c r="CK1581" t="s">
        <v>111</v>
      </c>
      <c r="CL1581" t="s">
        <v>111</v>
      </c>
      <c r="CM1581" t="s">
        <v>438</v>
      </c>
      <c r="CN1581" t="s">
        <v>113</v>
      </c>
      <c r="CO1581" t="s">
        <v>111</v>
      </c>
      <c r="CP1581" t="s">
        <v>111</v>
      </c>
      <c r="CQ1581">
        <v>40</v>
      </c>
      <c r="CR1581">
        <v>4000</v>
      </c>
      <c r="CS1581">
        <v>100</v>
      </c>
      <c r="CT1581" t="e">
        <f>-ALMACEN</f>
        <v>#NAME?</v>
      </c>
      <c r="CU1581">
        <v>0</v>
      </c>
      <c r="CV1581" t="s">
        <v>111</v>
      </c>
      <c r="CW1581" t="s">
        <v>111</v>
      </c>
      <c r="CX1581" t="s">
        <v>111</v>
      </c>
      <c r="CY1581">
        <v>0</v>
      </c>
      <c r="CZ1581" t="s">
        <v>111</v>
      </c>
      <c r="DA1581" t="s">
        <v>111</v>
      </c>
      <c r="DB1581" t="s">
        <v>111</v>
      </c>
      <c r="DC1581" t="s">
        <v>111</v>
      </c>
    </row>
    <row r="1582" spans="1:107">
      <c r="A1582">
        <v>1386</v>
      </c>
      <c r="B1582" t="s">
        <v>107</v>
      </c>
      <c r="C1582" t="s">
        <v>4214</v>
      </c>
      <c r="D1582" t="s">
        <v>4413</v>
      </c>
      <c r="E1582" t="s">
        <v>4414</v>
      </c>
      <c r="F1582" t="s">
        <v>110</v>
      </c>
      <c r="G1582" t="s">
        <v>24</v>
      </c>
      <c r="H1582">
        <v>0.9</v>
      </c>
      <c r="I1582">
        <v>45</v>
      </c>
      <c r="J1582">
        <v>0</v>
      </c>
      <c r="K1582">
        <v>0</v>
      </c>
      <c r="L1582" t="s">
        <v>112</v>
      </c>
      <c r="M1582" t="s">
        <v>111</v>
      </c>
      <c r="N1582">
        <v>0</v>
      </c>
      <c r="O1582">
        <v>0</v>
      </c>
      <c r="P1582" t="s">
        <v>111</v>
      </c>
      <c r="Q1582">
        <v>32.6</v>
      </c>
      <c r="R1582">
        <v>0</v>
      </c>
      <c r="S1582">
        <v>0</v>
      </c>
      <c r="T1582">
        <v>5</v>
      </c>
      <c r="U1582" s="1" t="s">
        <v>4415</v>
      </c>
      <c r="V1582">
        <v>0</v>
      </c>
      <c r="W1582">
        <v>0</v>
      </c>
      <c r="X1582">
        <v>0</v>
      </c>
      <c r="Y1582">
        <v>25</v>
      </c>
      <c r="Z1582" t="s">
        <v>111</v>
      </c>
      <c r="AA1582">
        <v>0</v>
      </c>
      <c r="AB1582" t="s">
        <v>111</v>
      </c>
      <c r="AC1582">
        <v>0</v>
      </c>
      <c r="AD1582" t="s">
        <v>111</v>
      </c>
      <c r="AE1582">
        <v>0</v>
      </c>
      <c r="AF1582">
        <v>0</v>
      </c>
      <c r="AG1582" t="s">
        <v>111</v>
      </c>
      <c r="AH1582" t="s">
        <v>111</v>
      </c>
      <c r="AI1582" t="s">
        <v>111</v>
      </c>
      <c r="AJ1582" t="s">
        <v>111</v>
      </c>
      <c r="AK1582" t="s">
        <v>111</v>
      </c>
      <c r="AL1582" t="s">
        <v>111</v>
      </c>
      <c r="AM1582">
        <v>0</v>
      </c>
      <c r="AN1582">
        <v>0</v>
      </c>
      <c r="AO1582">
        <v>0</v>
      </c>
      <c r="AP1582" t="s">
        <v>111</v>
      </c>
      <c r="AQ1582" t="s">
        <v>111</v>
      </c>
      <c r="AR1582" t="s">
        <v>111</v>
      </c>
      <c r="AS1582" t="s">
        <v>111</v>
      </c>
      <c r="AT1582" t="s">
        <v>111</v>
      </c>
      <c r="AU1582" t="s">
        <v>111</v>
      </c>
      <c r="AV1582" t="s">
        <v>111</v>
      </c>
      <c r="AW1582" t="s">
        <v>111</v>
      </c>
      <c r="AX1582" t="s">
        <v>111</v>
      </c>
      <c r="AY1582" t="s">
        <v>111</v>
      </c>
      <c r="AZ1582" t="s">
        <v>111</v>
      </c>
      <c r="BA1582" t="s">
        <v>111</v>
      </c>
      <c r="BB1582" t="s">
        <v>111</v>
      </c>
      <c r="BC1582" t="s">
        <v>111</v>
      </c>
      <c r="BD1582" t="s">
        <v>111</v>
      </c>
      <c r="BE1582" t="s">
        <v>111</v>
      </c>
      <c r="BF1582" t="s">
        <v>111</v>
      </c>
      <c r="BG1582" t="s">
        <v>111</v>
      </c>
      <c r="BH1582" t="s">
        <v>111</v>
      </c>
      <c r="BI1582" t="s">
        <v>111</v>
      </c>
      <c r="BJ1582" t="s">
        <v>111</v>
      </c>
      <c r="BK1582" t="s">
        <v>111</v>
      </c>
      <c r="BL1582" t="s">
        <v>111</v>
      </c>
      <c r="BM1582" t="s">
        <v>111</v>
      </c>
      <c r="BN1582" t="s">
        <v>111</v>
      </c>
      <c r="BO1582" t="s">
        <v>111</v>
      </c>
      <c r="BP1582" t="s">
        <v>111</v>
      </c>
      <c r="BQ1582" t="s">
        <v>111</v>
      </c>
      <c r="BR1582" t="s">
        <v>111</v>
      </c>
      <c r="BS1582" t="s">
        <v>111</v>
      </c>
      <c r="BT1582" t="s">
        <v>111</v>
      </c>
      <c r="BU1582" t="s">
        <v>111</v>
      </c>
      <c r="BV1582" t="s">
        <v>111</v>
      </c>
      <c r="BW1582" t="s">
        <v>111</v>
      </c>
      <c r="BX1582" t="s">
        <v>111</v>
      </c>
      <c r="BY1582" t="s">
        <v>111</v>
      </c>
      <c r="BZ1582" t="s">
        <v>111</v>
      </c>
      <c r="CA1582" t="s">
        <v>111</v>
      </c>
      <c r="CB1582" t="s">
        <v>111</v>
      </c>
      <c r="CC1582" t="s">
        <v>111</v>
      </c>
      <c r="CD1582" t="s">
        <v>111</v>
      </c>
      <c r="CE1582" t="s">
        <v>111</v>
      </c>
      <c r="CF1582" t="s">
        <v>111</v>
      </c>
      <c r="CG1582" t="s">
        <v>111</v>
      </c>
      <c r="CH1582" t="s">
        <v>111</v>
      </c>
      <c r="CI1582" t="s">
        <v>111</v>
      </c>
      <c r="CJ1582" t="s">
        <v>111</v>
      </c>
      <c r="CK1582" t="s">
        <v>111</v>
      </c>
      <c r="CL1582" t="s">
        <v>111</v>
      </c>
      <c r="CM1582" t="s">
        <v>111</v>
      </c>
      <c r="CN1582" t="s">
        <v>111</v>
      </c>
      <c r="CO1582" t="s">
        <v>111</v>
      </c>
      <c r="CP1582" t="s">
        <v>111</v>
      </c>
      <c r="CQ1582">
        <v>0</v>
      </c>
      <c r="CR1582">
        <v>0</v>
      </c>
      <c r="CS1582">
        <v>0</v>
      </c>
      <c r="CT1582" t="s">
        <v>111</v>
      </c>
      <c r="CU1582">
        <v>0</v>
      </c>
      <c r="CV1582" t="s">
        <v>111</v>
      </c>
      <c r="CW1582" t="s">
        <v>111</v>
      </c>
      <c r="CX1582" t="s">
        <v>111</v>
      </c>
      <c r="CY1582">
        <v>0</v>
      </c>
      <c r="CZ1582" t="s">
        <v>111</v>
      </c>
      <c r="DA1582" t="s">
        <v>111</v>
      </c>
      <c r="DB1582" t="s">
        <v>111</v>
      </c>
      <c r="DC1582" t="s">
        <v>111</v>
      </c>
    </row>
    <row r="1583" spans="1:107">
      <c r="A1583">
        <v>1355</v>
      </c>
      <c r="B1583" t="s">
        <v>107</v>
      </c>
      <c r="C1583" t="s">
        <v>4199</v>
      </c>
      <c r="D1583" t="s">
        <v>4416</v>
      </c>
      <c r="E1583" t="s">
        <v>4417</v>
      </c>
      <c r="F1583" t="s">
        <v>1651</v>
      </c>
      <c r="G1583" t="s">
        <v>24</v>
      </c>
      <c r="H1583">
        <v>1.5</v>
      </c>
      <c r="I1583">
        <v>35</v>
      </c>
      <c r="J1583">
        <v>0</v>
      </c>
      <c r="K1583">
        <v>0</v>
      </c>
      <c r="L1583" t="s">
        <v>112</v>
      </c>
      <c r="M1583" t="s">
        <v>118</v>
      </c>
      <c r="N1583">
        <v>40</v>
      </c>
      <c r="O1583">
        <v>1</v>
      </c>
      <c r="P1583" t="s">
        <v>111</v>
      </c>
      <c r="Q1583">
        <v>35.4</v>
      </c>
      <c r="R1583">
        <v>0</v>
      </c>
      <c r="S1583">
        <v>0</v>
      </c>
      <c r="T1583">
        <v>5</v>
      </c>
      <c r="U1583" s="1" t="s">
        <v>784</v>
      </c>
      <c r="V1583">
        <v>0</v>
      </c>
      <c r="W1583">
        <v>0</v>
      </c>
      <c r="X1583">
        <v>0</v>
      </c>
      <c r="Y1583">
        <v>25</v>
      </c>
      <c r="Z1583" t="s">
        <v>111</v>
      </c>
      <c r="AA1583">
        <v>0</v>
      </c>
      <c r="AB1583" t="s">
        <v>111</v>
      </c>
      <c r="AC1583">
        <v>0</v>
      </c>
      <c r="AD1583" t="s">
        <v>416</v>
      </c>
      <c r="AE1583">
        <v>0</v>
      </c>
      <c r="AF1583">
        <v>0</v>
      </c>
      <c r="AG1583" t="s">
        <v>111</v>
      </c>
      <c r="AH1583" t="s">
        <v>113</v>
      </c>
      <c r="AI1583" t="s">
        <v>111</v>
      </c>
      <c r="AJ1583" t="s">
        <v>111</v>
      </c>
      <c r="AK1583" t="s">
        <v>111</v>
      </c>
      <c r="AL1583" t="s">
        <v>111</v>
      </c>
      <c r="AM1583">
        <v>0</v>
      </c>
      <c r="AN1583">
        <v>0</v>
      </c>
      <c r="AO1583">
        <v>0</v>
      </c>
      <c r="AP1583" t="s">
        <v>111</v>
      </c>
      <c r="AQ1583" t="s">
        <v>111</v>
      </c>
      <c r="AR1583" t="s">
        <v>111</v>
      </c>
      <c r="AS1583" t="s">
        <v>111</v>
      </c>
      <c r="AT1583" t="s">
        <v>111</v>
      </c>
      <c r="AU1583" t="s">
        <v>111</v>
      </c>
      <c r="AV1583" t="s">
        <v>111</v>
      </c>
      <c r="AW1583" t="s">
        <v>111</v>
      </c>
      <c r="AX1583" t="s">
        <v>111</v>
      </c>
      <c r="AY1583" t="s">
        <v>111</v>
      </c>
      <c r="AZ1583" t="s">
        <v>111</v>
      </c>
      <c r="BA1583" t="s">
        <v>111</v>
      </c>
      <c r="BB1583" t="s">
        <v>111</v>
      </c>
      <c r="BC1583" t="s">
        <v>111</v>
      </c>
      <c r="BD1583" t="s">
        <v>111</v>
      </c>
      <c r="BE1583" t="s">
        <v>111</v>
      </c>
      <c r="BF1583" t="s">
        <v>111</v>
      </c>
      <c r="BG1583" t="s">
        <v>111</v>
      </c>
      <c r="BH1583" t="s">
        <v>111</v>
      </c>
      <c r="BI1583" t="s">
        <v>111</v>
      </c>
      <c r="BJ1583" t="s">
        <v>111</v>
      </c>
      <c r="BK1583" t="s">
        <v>111</v>
      </c>
      <c r="BL1583" t="s">
        <v>111</v>
      </c>
      <c r="BM1583" t="s">
        <v>111</v>
      </c>
      <c r="BN1583" t="s">
        <v>111</v>
      </c>
      <c r="BO1583" t="s">
        <v>111</v>
      </c>
      <c r="BP1583" t="s">
        <v>111</v>
      </c>
      <c r="BQ1583" t="s">
        <v>111</v>
      </c>
      <c r="BR1583" t="s">
        <v>111</v>
      </c>
      <c r="BS1583" t="s">
        <v>111</v>
      </c>
      <c r="BT1583" t="s">
        <v>111</v>
      </c>
      <c r="BU1583" t="s">
        <v>111</v>
      </c>
      <c r="BV1583" t="s">
        <v>111</v>
      </c>
      <c r="BW1583" t="s">
        <v>111</v>
      </c>
      <c r="BX1583" t="s">
        <v>111</v>
      </c>
      <c r="BY1583" t="s">
        <v>111</v>
      </c>
      <c r="BZ1583" t="s">
        <v>111</v>
      </c>
      <c r="CA1583" t="s">
        <v>111</v>
      </c>
      <c r="CB1583" t="s">
        <v>111</v>
      </c>
      <c r="CC1583" t="s">
        <v>111</v>
      </c>
      <c r="CD1583" t="s">
        <v>111</v>
      </c>
      <c r="CE1583" t="s">
        <v>111</v>
      </c>
      <c r="CF1583" t="s">
        <v>111</v>
      </c>
      <c r="CG1583" t="s">
        <v>111</v>
      </c>
      <c r="CH1583" t="s">
        <v>111</v>
      </c>
      <c r="CI1583" t="s">
        <v>111</v>
      </c>
      <c r="CJ1583" t="s">
        <v>111</v>
      </c>
      <c r="CK1583" t="s">
        <v>111</v>
      </c>
      <c r="CL1583" t="s">
        <v>111</v>
      </c>
      <c r="CM1583" t="s">
        <v>135</v>
      </c>
      <c r="CN1583" t="s">
        <v>113</v>
      </c>
      <c r="CO1583" t="s">
        <v>111</v>
      </c>
      <c r="CP1583" t="s">
        <v>111</v>
      </c>
      <c r="CQ1583">
        <v>75</v>
      </c>
      <c r="CR1583">
        <v>4000</v>
      </c>
      <c r="CS1583">
        <v>200</v>
      </c>
      <c r="CT1583" t="e">
        <f>-ALMACEN</f>
        <v>#NAME?</v>
      </c>
      <c r="CU1583">
        <v>0</v>
      </c>
      <c r="CV1583" t="s">
        <v>111</v>
      </c>
      <c r="CW1583" t="s">
        <v>111</v>
      </c>
      <c r="CX1583" t="s">
        <v>111</v>
      </c>
      <c r="CY1583">
        <v>0</v>
      </c>
      <c r="CZ1583" t="s">
        <v>111</v>
      </c>
      <c r="DA1583" t="s">
        <v>111</v>
      </c>
      <c r="DB1583" t="s">
        <v>111</v>
      </c>
      <c r="DC1583" t="s">
        <v>111</v>
      </c>
    </row>
    <row r="1584" spans="1:107">
      <c r="A1584">
        <v>1653</v>
      </c>
      <c r="B1584" t="s">
        <v>107</v>
      </c>
      <c r="C1584" s="2">
        <v>91226680</v>
      </c>
      <c r="D1584" t="s">
        <v>4418</v>
      </c>
      <c r="E1584" t="s">
        <v>4419</v>
      </c>
      <c r="F1584" t="s">
        <v>4420</v>
      </c>
      <c r="G1584" t="s">
        <v>24</v>
      </c>
      <c r="H1584">
        <v>2</v>
      </c>
      <c r="I1584">
        <v>20</v>
      </c>
      <c r="J1584">
        <v>0</v>
      </c>
      <c r="K1584">
        <v>0</v>
      </c>
      <c r="L1584" t="s">
        <v>178</v>
      </c>
      <c r="M1584" t="s">
        <v>111</v>
      </c>
      <c r="N1584">
        <v>0</v>
      </c>
      <c r="O1584">
        <v>0</v>
      </c>
      <c r="P1584" t="s">
        <v>111</v>
      </c>
      <c r="Q1584">
        <v>25</v>
      </c>
      <c r="R1584">
        <v>0</v>
      </c>
      <c r="S1584">
        <v>0</v>
      </c>
      <c r="T1584">
        <v>0</v>
      </c>
      <c r="U1584" s="1" t="s">
        <v>4421</v>
      </c>
      <c r="V1584">
        <v>0</v>
      </c>
      <c r="W1584">
        <v>0</v>
      </c>
      <c r="X1584">
        <v>0</v>
      </c>
      <c r="Y1584">
        <v>25</v>
      </c>
      <c r="Z1584" t="s">
        <v>111</v>
      </c>
      <c r="AA1584">
        <v>0</v>
      </c>
      <c r="AB1584" t="s">
        <v>111</v>
      </c>
      <c r="AC1584">
        <v>0</v>
      </c>
      <c r="AD1584" t="s">
        <v>111</v>
      </c>
      <c r="AE1584">
        <v>0</v>
      </c>
      <c r="AF1584">
        <v>0</v>
      </c>
      <c r="AG1584" t="s">
        <v>111</v>
      </c>
      <c r="AH1584" t="s">
        <v>111</v>
      </c>
      <c r="AI1584" t="s">
        <v>111</v>
      </c>
      <c r="AJ1584" t="s">
        <v>111</v>
      </c>
      <c r="AK1584" t="s">
        <v>111</v>
      </c>
      <c r="AL1584" t="s">
        <v>111</v>
      </c>
      <c r="AM1584">
        <v>0</v>
      </c>
      <c r="AN1584">
        <v>0</v>
      </c>
      <c r="AO1584">
        <v>0</v>
      </c>
      <c r="AP1584" t="s">
        <v>111</v>
      </c>
      <c r="AQ1584" t="s">
        <v>111</v>
      </c>
      <c r="AR1584" t="s">
        <v>111</v>
      </c>
      <c r="AS1584" t="s">
        <v>111</v>
      </c>
      <c r="AT1584" t="s">
        <v>111</v>
      </c>
      <c r="AU1584" t="s">
        <v>111</v>
      </c>
      <c r="AV1584" t="s">
        <v>111</v>
      </c>
      <c r="AW1584" t="s">
        <v>111</v>
      </c>
      <c r="AX1584" t="s">
        <v>111</v>
      </c>
      <c r="AY1584" t="s">
        <v>111</v>
      </c>
      <c r="AZ1584" t="s">
        <v>111</v>
      </c>
      <c r="BA1584" t="s">
        <v>111</v>
      </c>
      <c r="BB1584" t="s">
        <v>111</v>
      </c>
      <c r="BC1584" t="s">
        <v>111</v>
      </c>
      <c r="BD1584" t="s">
        <v>111</v>
      </c>
      <c r="BE1584" t="s">
        <v>111</v>
      </c>
      <c r="BF1584" t="s">
        <v>111</v>
      </c>
      <c r="BG1584" t="s">
        <v>111</v>
      </c>
      <c r="BH1584" t="s">
        <v>111</v>
      </c>
      <c r="BI1584" t="s">
        <v>111</v>
      </c>
      <c r="BJ1584" t="s">
        <v>111</v>
      </c>
      <c r="BK1584" t="s">
        <v>111</v>
      </c>
      <c r="BL1584" t="s">
        <v>111</v>
      </c>
      <c r="BM1584" t="s">
        <v>111</v>
      </c>
      <c r="BN1584" t="s">
        <v>111</v>
      </c>
      <c r="BO1584" t="s">
        <v>111</v>
      </c>
      <c r="BP1584" t="s">
        <v>111</v>
      </c>
      <c r="BQ1584" t="s">
        <v>111</v>
      </c>
      <c r="BR1584" t="s">
        <v>111</v>
      </c>
      <c r="BS1584" t="s">
        <v>111</v>
      </c>
      <c r="BT1584" t="s">
        <v>111</v>
      </c>
      <c r="BU1584" t="s">
        <v>111</v>
      </c>
      <c r="BV1584" t="s">
        <v>111</v>
      </c>
      <c r="BW1584" t="s">
        <v>111</v>
      </c>
      <c r="BX1584" t="s">
        <v>111</v>
      </c>
      <c r="BY1584" t="s">
        <v>111</v>
      </c>
      <c r="BZ1584" t="s">
        <v>111</v>
      </c>
      <c r="CA1584" t="s">
        <v>111</v>
      </c>
      <c r="CB1584" t="s">
        <v>111</v>
      </c>
      <c r="CC1584" t="s">
        <v>111</v>
      </c>
      <c r="CD1584" t="s">
        <v>111</v>
      </c>
      <c r="CE1584" t="s">
        <v>111</v>
      </c>
      <c r="CF1584" t="s">
        <v>111</v>
      </c>
      <c r="CG1584" t="s">
        <v>111</v>
      </c>
      <c r="CH1584" t="s">
        <v>111</v>
      </c>
      <c r="CI1584" t="s">
        <v>111</v>
      </c>
      <c r="CJ1584" t="s">
        <v>111</v>
      </c>
      <c r="CK1584" t="s">
        <v>111</v>
      </c>
      <c r="CL1584" t="s">
        <v>111</v>
      </c>
      <c r="CM1584" t="s">
        <v>111</v>
      </c>
      <c r="CN1584" t="s">
        <v>111</v>
      </c>
      <c r="CO1584" t="s">
        <v>111</v>
      </c>
      <c r="CP1584" t="s">
        <v>111</v>
      </c>
      <c r="CQ1584">
        <v>0</v>
      </c>
      <c r="CR1584">
        <v>0</v>
      </c>
      <c r="CS1584">
        <v>0</v>
      </c>
      <c r="CT1584" t="s">
        <v>111</v>
      </c>
      <c r="CU1584">
        <v>0</v>
      </c>
      <c r="CV1584" t="s">
        <v>111</v>
      </c>
      <c r="CX1584" t="s">
        <v>111</v>
      </c>
      <c r="CY1584">
        <v>0</v>
      </c>
      <c r="CZ1584" t="s">
        <v>111</v>
      </c>
      <c r="DA1584" t="s">
        <v>111</v>
      </c>
      <c r="DB1584" t="s">
        <v>111</v>
      </c>
      <c r="DC1584" t="s">
        <v>111</v>
      </c>
    </row>
    <row r="1585" spans="1:107">
      <c r="A1585">
        <v>1352</v>
      </c>
      <c r="B1585" t="s">
        <v>107</v>
      </c>
      <c r="C1585" t="s">
        <v>1068</v>
      </c>
      <c r="D1585" t="s">
        <v>4422</v>
      </c>
      <c r="E1585" t="s">
        <v>4423</v>
      </c>
      <c r="F1585" t="s">
        <v>1651</v>
      </c>
      <c r="G1585" t="s">
        <v>24</v>
      </c>
      <c r="H1585">
        <v>2.8</v>
      </c>
      <c r="I1585">
        <v>30</v>
      </c>
      <c r="J1585">
        <v>0</v>
      </c>
      <c r="K1585">
        <v>0</v>
      </c>
      <c r="L1585" t="s">
        <v>112</v>
      </c>
      <c r="M1585" t="s">
        <v>118</v>
      </c>
      <c r="N1585">
        <v>40</v>
      </c>
      <c r="O1585">
        <v>1</v>
      </c>
      <c r="P1585" t="s">
        <v>111</v>
      </c>
      <c r="Q1585">
        <v>32.299999999999997</v>
      </c>
      <c r="R1585">
        <v>0</v>
      </c>
      <c r="S1585">
        <v>0</v>
      </c>
      <c r="T1585">
        <v>5</v>
      </c>
      <c r="U1585" s="1" t="s">
        <v>662</v>
      </c>
      <c r="V1585">
        <v>0</v>
      </c>
      <c r="W1585">
        <v>0</v>
      </c>
      <c r="X1585">
        <v>0</v>
      </c>
      <c r="Y1585">
        <v>25</v>
      </c>
      <c r="Z1585" t="s">
        <v>111</v>
      </c>
      <c r="AA1585">
        <v>0</v>
      </c>
      <c r="AB1585" t="s">
        <v>111</v>
      </c>
      <c r="AC1585">
        <v>0</v>
      </c>
      <c r="AD1585" t="s">
        <v>416</v>
      </c>
      <c r="AE1585">
        <v>0</v>
      </c>
      <c r="AF1585">
        <v>0</v>
      </c>
      <c r="AG1585" t="s">
        <v>111</v>
      </c>
      <c r="AH1585" t="s">
        <v>113</v>
      </c>
      <c r="AI1585" t="s">
        <v>111</v>
      </c>
      <c r="AJ1585" t="s">
        <v>111</v>
      </c>
      <c r="AK1585" t="s">
        <v>111</v>
      </c>
      <c r="AL1585" t="s">
        <v>111</v>
      </c>
      <c r="AM1585">
        <v>0</v>
      </c>
      <c r="AN1585">
        <v>0</v>
      </c>
      <c r="AO1585">
        <v>0</v>
      </c>
      <c r="AP1585" t="s">
        <v>111</v>
      </c>
      <c r="AQ1585" t="s">
        <v>111</v>
      </c>
      <c r="AR1585" t="s">
        <v>111</v>
      </c>
      <c r="AS1585" t="s">
        <v>111</v>
      </c>
      <c r="AT1585" t="s">
        <v>111</v>
      </c>
      <c r="AU1585" t="s">
        <v>111</v>
      </c>
      <c r="AV1585" t="s">
        <v>111</v>
      </c>
      <c r="AW1585" t="s">
        <v>111</v>
      </c>
      <c r="AX1585" t="s">
        <v>111</v>
      </c>
      <c r="AY1585" t="s">
        <v>111</v>
      </c>
      <c r="AZ1585" t="s">
        <v>111</v>
      </c>
      <c r="BA1585" t="s">
        <v>111</v>
      </c>
      <c r="BB1585" t="s">
        <v>111</v>
      </c>
      <c r="BC1585" t="s">
        <v>111</v>
      </c>
      <c r="BD1585" t="s">
        <v>111</v>
      </c>
      <c r="BE1585" t="s">
        <v>111</v>
      </c>
      <c r="BF1585" t="s">
        <v>111</v>
      </c>
      <c r="BG1585" t="s">
        <v>111</v>
      </c>
      <c r="BH1585" t="s">
        <v>111</v>
      </c>
      <c r="BI1585" t="s">
        <v>111</v>
      </c>
      <c r="BJ1585" t="s">
        <v>111</v>
      </c>
      <c r="BK1585" t="s">
        <v>111</v>
      </c>
      <c r="BL1585" t="s">
        <v>111</v>
      </c>
      <c r="BM1585" t="s">
        <v>111</v>
      </c>
      <c r="BN1585" t="s">
        <v>111</v>
      </c>
      <c r="BO1585" t="s">
        <v>111</v>
      </c>
      <c r="BP1585" t="s">
        <v>111</v>
      </c>
      <c r="BQ1585" t="s">
        <v>111</v>
      </c>
      <c r="BR1585" t="s">
        <v>111</v>
      </c>
      <c r="BS1585" t="s">
        <v>111</v>
      </c>
      <c r="BT1585" t="s">
        <v>111</v>
      </c>
      <c r="BU1585" t="s">
        <v>111</v>
      </c>
      <c r="BV1585" t="s">
        <v>111</v>
      </c>
      <c r="BW1585" t="s">
        <v>111</v>
      </c>
      <c r="BX1585" t="s">
        <v>111</v>
      </c>
      <c r="BY1585" t="s">
        <v>111</v>
      </c>
      <c r="BZ1585" t="s">
        <v>111</v>
      </c>
      <c r="CA1585" t="s">
        <v>111</v>
      </c>
      <c r="CB1585" t="s">
        <v>111</v>
      </c>
      <c r="CC1585" t="s">
        <v>111</v>
      </c>
      <c r="CD1585" t="s">
        <v>111</v>
      </c>
      <c r="CE1585" t="s">
        <v>111</v>
      </c>
      <c r="CF1585" t="s">
        <v>111</v>
      </c>
      <c r="CG1585" t="s">
        <v>111</v>
      </c>
      <c r="CH1585" t="s">
        <v>111</v>
      </c>
      <c r="CI1585" t="s">
        <v>111</v>
      </c>
      <c r="CJ1585" t="s">
        <v>111</v>
      </c>
      <c r="CK1585" t="s">
        <v>111</v>
      </c>
      <c r="CL1585" t="s">
        <v>111</v>
      </c>
      <c r="CM1585" t="s">
        <v>135</v>
      </c>
      <c r="CN1585" t="s">
        <v>113</v>
      </c>
      <c r="CO1585" t="s">
        <v>4424</v>
      </c>
      <c r="CP1585" t="e">
        <f>-MUESTRA</f>
        <v>#NAME?</v>
      </c>
      <c r="CQ1585">
        <v>44</v>
      </c>
      <c r="CR1585">
        <v>2000</v>
      </c>
      <c r="CS1585">
        <v>50</v>
      </c>
      <c r="CT1585" s="1" t="s">
        <v>4425</v>
      </c>
      <c r="CU1585">
        <v>0</v>
      </c>
      <c r="CV1585" t="s">
        <v>111</v>
      </c>
      <c r="CW1585" t="s">
        <v>111</v>
      </c>
      <c r="CX1585" t="s">
        <v>111</v>
      </c>
      <c r="CY1585">
        <v>0</v>
      </c>
      <c r="CZ1585" t="s">
        <v>111</v>
      </c>
      <c r="DA1585" t="s">
        <v>111</v>
      </c>
      <c r="DB1585" t="e">
        <f>-INTERNO</f>
        <v>#NAME?</v>
      </c>
      <c r="DC1585" t="e">
        <f>-TRIQUEL TIPO SOBRE</f>
        <v>#NAME?</v>
      </c>
    </row>
    <row r="1586" spans="1:107">
      <c r="A1586">
        <v>1354</v>
      </c>
      <c r="B1586" t="s">
        <v>107</v>
      </c>
      <c r="C1586" t="s">
        <v>421</v>
      </c>
      <c r="D1586" t="s">
        <v>4426</v>
      </c>
      <c r="E1586" t="s">
        <v>4427</v>
      </c>
      <c r="F1586" t="s">
        <v>1071</v>
      </c>
      <c r="G1586" t="s">
        <v>24</v>
      </c>
      <c r="H1586">
        <v>1.4</v>
      </c>
      <c r="I1586">
        <v>30</v>
      </c>
      <c r="J1586">
        <v>0</v>
      </c>
      <c r="K1586">
        <v>0</v>
      </c>
      <c r="L1586" t="s">
        <v>112</v>
      </c>
      <c r="M1586" t="s">
        <v>111</v>
      </c>
      <c r="N1586">
        <v>0</v>
      </c>
      <c r="O1586">
        <v>0</v>
      </c>
      <c r="P1586" t="s">
        <v>111</v>
      </c>
      <c r="Q1586">
        <v>25.7</v>
      </c>
      <c r="R1586">
        <v>0</v>
      </c>
      <c r="S1586">
        <v>0</v>
      </c>
      <c r="T1586">
        <v>5</v>
      </c>
      <c r="U1586" t="e">
        <f>-DAESTINO SELLADO</f>
        <v>#NAME?</v>
      </c>
      <c r="V1586">
        <v>0</v>
      </c>
      <c r="W1586">
        <v>0</v>
      </c>
      <c r="X1586">
        <v>0</v>
      </c>
      <c r="Y1586">
        <v>25</v>
      </c>
      <c r="Z1586" t="s">
        <v>111</v>
      </c>
      <c r="AA1586">
        <v>0</v>
      </c>
      <c r="AB1586" t="s">
        <v>111</v>
      </c>
      <c r="AC1586">
        <v>0</v>
      </c>
      <c r="AD1586" t="s">
        <v>111</v>
      </c>
      <c r="AE1586">
        <v>0</v>
      </c>
      <c r="AF1586">
        <v>0</v>
      </c>
      <c r="AG1586" t="s">
        <v>111</v>
      </c>
      <c r="AH1586" t="s">
        <v>111</v>
      </c>
      <c r="AI1586" t="s">
        <v>111</v>
      </c>
      <c r="AJ1586" t="s">
        <v>111</v>
      </c>
      <c r="AK1586" t="s">
        <v>111</v>
      </c>
      <c r="AL1586" t="s">
        <v>111</v>
      </c>
      <c r="AM1586">
        <v>0</v>
      </c>
      <c r="AN1586">
        <v>0</v>
      </c>
      <c r="AO1586">
        <v>0</v>
      </c>
      <c r="AP1586" t="s">
        <v>111</v>
      </c>
      <c r="AQ1586" t="s">
        <v>111</v>
      </c>
      <c r="AR1586" t="s">
        <v>111</v>
      </c>
      <c r="AS1586" t="s">
        <v>111</v>
      </c>
      <c r="AT1586" t="s">
        <v>111</v>
      </c>
      <c r="AU1586" t="s">
        <v>111</v>
      </c>
      <c r="AV1586" t="s">
        <v>111</v>
      </c>
      <c r="AW1586" t="s">
        <v>111</v>
      </c>
      <c r="AX1586" t="s">
        <v>111</v>
      </c>
      <c r="AY1586" t="s">
        <v>111</v>
      </c>
      <c r="AZ1586" t="s">
        <v>111</v>
      </c>
      <c r="BA1586" t="s">
        <v>111</v>
      </c>
      <c r="BB1586" t="s">
        <v>111</v>
      </c>
      <c r="BC1586" t="s">
        <v>111</v>
      </c>
      <c r="BD1586" t="s">
        <v>111</v>
      </c>
      <c r="BE1586" t="s">
        <v>111</v>
      </c>
      <c r="BF1586" t="s">
        <v>111</v>
      </c>
      <c r="BG1586" t="s">
        <v>111</v>
      </c>
      <c r="BH1586" t="s">
        <v>111</v>
      </c>
      <c r="BI1586" t="s">
        <v>111</v>
      </c>
      <c r="BJ1586" t="s">
        <v>111</v>
      </c>
      <c r="BK1586" t="s">
        <v>111</v>
      </c>
      <c r="BL1586" t="s">
        <v>111</v>
      </c>
      <c r="BM1586" t="s">
        <v>111</v>
      </c>
      <c r="BN1586" t="s">
        <v>111</v>
      </c>
      <c r="BO1586" t="s">
        <v>111</v>
      </c>
      <c r="BP1586" t="s">
        <v>111</v>
      </c>
      <c r="BQ1586" t="s">
        <v>111</v>
      </c>
      <c r="BR1586" t="s">
        <v>111</v>
      </c>
      <c r="BS1586" t="s">
        <v>111</v>
      </c>
      <c r="BT1586" t="s">
        <v>111</v>
      </c>
      <c r="BU1586" t="s">
        <v>111</v>
      </c>
      <c r="BV1586" t="s">
        <v>111</v>
      </c>
      <c r="BW1586" t="s">
        <v>111</v>
      </c>
      <c r="BX1586" t="s">
        <v>111</v>
      </c>
      <c r="BY1586" t="s">
        <v>111</v>
      </c>
      <c r="BZ1586" t="s">
        <v>111</v>
      </c>
      <c r="CA1586" t="s">
        <v>111</v>
      </c>
      <c r="CB1586" t="s">
        <v>111</v>
      </c>
      <c r="CC1586" t="s">
        <v>111</v>
      </c>
      <c r="CD1586" t="s">
        <v>111</v>
      </c>
      <c r="CE1586" t="s">
        <v>111</v>
      </c>
      <c r="CF1586" t="s">
        <v>111</v>
      </c>
      <c r="CG1586" t="s">
        <v>111</v>
      </c>
      <c r="CH1586" t="s">
        <v>111</v>
      </c>
      <c r="CI1586" t="s">
        <v>111</v>
      </c>
      <c r="CJ1586" t="s">
        <v>111</v>
      </c>
      <c r="CK1586" t="s">
        <v>111</v>
      </c>
      <c r="CL1586" t="s">
        <v>111</v>
      </c>
      <c r="CM1586" t="s">
        <v>135</v>
      </c>
      <c r="CN1586" t="s">
        <v>113</v>
      </c>
      <c r="CO1586" t="s">
        <v>111</v>
      </c>
      <c r="CP1586" t="s">
        <v>111</v>
      </c>
      <c r="CQ1586">
        <v>70</v>
      </c>
      <c r="CR1586">
        <v>5000</v>
      </c>
      <c r="CS1586">
        <v>200</v>
      </c>
      <c r="CT1586" t="e">
        <f>-ALMACEN</f>
        <v>#NAME?</v>
      </c>
      <c r="CU1586">
        <v>0</v>
      </c>
      <c r="CV1586" t="s">
        <v>111</v>
      </c>
      <c r="CW1586" t="s">
        <v>111</v>
      </c>
      <c r="CX1586" t="s">
        <v>111</v>
      </c>
      <c r="CY1586">
        <v>0</v>
      </c>
      <c r="CZ1586" t="s">
        <v>111</v>
      </c>
      <c r="DA1586" t="s">
        <v>111</v>
      </c>
      <c r="DB1586" t="s">
        <v>111</v>
      </c>
      <c r="DC1586" t="s">
        <v>111</v>
      </c>
    </row>
    <row r="1587" spans="1:107">
      <c r="A1587">
        <v>1374</v>
      </c>
      <c r="B1587" t="s">
        <v>107</v>
      </c>
      <c r="C1587" t="s">
        <v>3783</v>
      </c>
      <c r="D1587" t="s">
        <v>3960</v>
      </c>
      <c r="E1587" t="s">
        <v>4428</v>
      </c>
      <c r="F1587" t="s">
        <v>1260</v>
      </c>
      <c r="G1587" t="s">
        <v>24</v>
      </c>
      <c r="H1587">
        <v>1.9</v>
      </c>
      <c r="I1587">
        <v>40</v>
      </c>
      <c r="J1587">
        <v>0</v>
      </c>
      <c r="K1587">
        <v>0</v>
      </c>
      <c r="L1587" t="s">
        <v>117</v>
      </c>
      <c r="M1587" t="s">
        <v>118</v>
      </c>
      <c r="N1587">
        <v>40</v>
      </c>
      <c r="O1587">
        <v>1</v>
      </c>
      <c r="P1587" t="s">
        <v>111</v>
      </c>
      <c r="Q1587">
        <v>30</v>
      </c>
      <c r="R1587">
        <v>0</v>
      </c>
      <c r="S1587">
        <v>0</v>
      </c>
      <c r="T1587">
        <v>7</v>
      </c>
      <c r="U1587" t="e">
        <f>-IMPRESION DARMA</f>
        <v>#NAME?</v>
      </c>
      <c r="V1587">
        <v>0</v>
      </c>
      <c r="W1587">
        <v>0</v>
      </c>
      <c r="X1587">
        <v>0</v>
      </c>
      <c r="Y1587">
        <v>25</v>
      </c>
      <c r="Z1587" t="s">
        <v>111</v>
      </c>
      <c r="AA1587">
        <v>0</v>
      </c>
      <c r="AB1587" t="s">
        <v>111</v>
      </c>
      <c r="AC1587">
        <v>0</v>
      </c>
      <c r="AD1587" t="s">
        <v>416</v>
      </c>
      <c r="AE1587">
        <v>0</v>
      </c>
      <c r="AF1587">
        <v>0</v>
      </c>
      <c r="AG1587" t="s">
        <v>111</v>
      </c>
      <c r="AH1587" t="s">
        <v>113</v>
      </c>
      <c r="AI1587" t="s">
        <v>111</v>
      </c>
      <c r="AJ1587" t="s">
        <v>111</v>
      </c>
      <c r="AK1587" t="s">
        <v>111</v>
      </c>
      <c r="AL1587" t="s">
        <v>111</v>
      </c>
      <c r="AM1587">
        <v>0</v>
      </c>
      <c r="AN1587">
        <v>0</v>
      </c>
      <c r="AO1587">
        <v>0</v>
      </c>
      <c r="AP1587" t="s">
        <v>111</v>
      </c>
      <c r="AQ1587" t="s">
        <v>111</v>
      </c>
      <c r="AR1587" t="s">
        <v>111</v>
      </c>
      <c r="AS1587" t="s">
        <v>111</v>
      </c>
      <c r="AT1587" t="s">
        <v>111</v>
      </c>
      <c r="AU1587" t="s">
        <v>111</v>
      </c>
      <c r="AV1587" t="s">
        <v>111</v>
      </c>
      <c r="AW1587" t="s">
        <v>111</v>
      </c>
      <c r="AX1587" t="s">
        <v>111</v>
      </c>
      <c r="AY1587" t="s">
        <v>111</v>
      </c>
      <c r="AZ1587" t="s">
        <v>111</v>
      </c>
      <c r="BA1587" t="s">
        <v>111</v>
      </c>
      <c r="BB1587" t="s">
        <v>111</v>
      </c>
      <c r="BC1587" t="s">
        <v>111</v>
      </c>
      <c r="BD1587" t="s">
        <v>111</v>
      </c>
      <c r="BE1587" t="s">
        <v>111</v>
      </c>
      <c r="BF1587" t="s">
        <v>111</v>
      </c>
      <c r="BG1587" t="s">
        <v>111</v>
      </c>
      <c r="BH1587" t="s">
        <v>111</v>
      </c>
      <c r="BI1587" t="s">
        <v>111</v>
      </c>
      <c r="BJ1587" t="s">
        <v>111</v>
      </c>
      <c r="BK1587" t="s">
        <v>111</v>
      </c>
      <c r="BL1587" t="s">
        <v>111</v>
      </c>
      <c r="BM1587" t="s">
        <v>111</v>
      </c>
      <c r="BN1587" t="s">
        <v>111</v>
      </c>
      <c r="BO1587" t="s">
        <v>111</v>
      </c>
      <c r="BP1587" t="s">
        <v>111</v>
      </c>
      <c r="BQ1587" t="s">
        <v>111</v>
      </c>
      <c r="BR1587" t="s">
        <v>111</v>
      </c>
      <c r="BS1587" t="s">
        <v>111</v>
      </c>
      <c r="BT1587" t="s">
        <v>111</v>
      </c>
      <c r="BU1587" t="s">
        <v>111</v>
      </c>
      <c r="BV1587" t="s">
        <v>111</v>
      </c>
      <c r="BW1587" t="s">
        <v>111</v>
      </c>
      <c r="BX1587" t="s">
        <v>111</v>
      </c>
      <c r="BY1587" t="s">
        <v>111</v>
      </c>
      <c r="BZ1587" t="s">
        <v>111</v>
      </c>
      <c r="CA1587" t="s">
        <v>111</v>
      </c>
      <c r="CB1587" t="s">
        <v>111</v>
      </c>
      <c r="CC1587" t="s">
        <v>111</v>
      </c>
      <c r="CD1587" t="s">
        <v>111</v>
      </c>
      <c r="CE1587" t="s">
        <v>111</v>
      </c>
      <c r="CF1587" t="s">
        <v>111</v>
      </c>
      <c r="CG1587" t="s">
        <v>111</v>
      </c>
      <c r="CH1587" t="s">
        <v>111</v>
      </c>
      <c r="CI1587" t="s">
        <v>111</v>
      </c>
      <c r="CJ1587" t="s">
        <v>111</v>
      </c>
      <c r="CK1587" t="s">
        <v>111</v>
      </c>
      <c r="CL1587" t="s">
        <v>111</v>
      </c>
      <c r="CM1587" t="s">
        <v>135</v>
      </c>
      <c r="CN1587" t="s">
        <v>113</v>
      </c>
      <c r="CO1587" t="s">
        <v>637</v>
      </c>
      <c r="CP1587" t="s">
        <v>111</v>
      </c>
      <c r="CQ1587">
        <v>0</v>
      </c>
      <c r="CR1587">
        <v>26000</v>
      </c>
      <c r="CS1587">
        <v>26000</v>
      </c>
      <c r="CT1587" t="e">
        <f>-ALMACEN</f>
        <v>#NAME?</v>
      </c>
      <c r="CU1587">
        <v>0</v>
      </c>
      <c r="CV1587" t="s">
        <v>111</v>
      </c>
      <c r="CW1587" t="s">
        <v>111</v>
      </c>
      <c r="CX1587" t="s">
        <v>111</v>
      </c>
      <c r="CY1587">
        <v>0</v>
      </c>
      <c r="CZ1587" t="s">
        <v>111</v>
      </c>
      <c r="DA1587" t="s">
        <v>111</v>
      </c>
      <c r="DB1587" t="s">
        <v>111</v>
      </c>
      <c r="DC1587" t="s">
        <v>111</v>
      </c>
    </row>
    <row r="1588" spans="1:107">
      <c r="A1588">
        <v>1375</v>
      </c>
      <c r="B1588" t="s">
        <v>107</v>
      </c>
      <c r="C1588" t="s">
        <v>180</v>
      </c>
      <c r="D1588" t="s">
        <v>4429</v>
      </c>
      <c r="E1588" t="s">
        <v>433</v>
      </c>
      <c r="F1588" t="s">
        <v>3682</v>
      </c>
      <c r="G1588" t="s">
        <v>24</v>
      </c>
      <c r="H1588">
        <v>1.3</v>
      </c>
      <c r="I1588">
        <v>36</v>
      </c>
      <c r="J1588">
        <v>0</v>
      </c>
      <c r="K1588">
        <v>0</v>
      </c>
      <c r="L1588" t="s">
        <v>178</v>
      </c>
      <c r="M1588" t="s">
        <v>111</v>
      </c>
      <c r="N1588">
        <v>0</v>
      </c>
      <c r="O1588">
        <v>0</v>
      </c>
      <c r="P1588" t="s">
        <v>111</v>
      </c>
      <c r="Q1588">
        <v>10</v>
      </c>
      <c r="R1588">
        <v>0</v>
      </c>
      <c r="S1588">
        <v>0</v>
      </c>
      <c r="T1588">
        <v>0</v>
      </c>
      <c r="U1588" t="e">
        <f>-DESTNO SELLADO</f>
        <v>#NAME?</v>
      </c>
      <c r="V1588">
        <v>0</v>
      </c>
      <c r="W1588">
        <v>0</v>
      </c>
      <c r="X1588">
        <v>0</v>
      </c>
      <c r="Y1588">
        <v>25</v>
      </c>
      <c r="Z1588" t="s">
        <v>111</v>
      </c>
      <c r="AA1588">
        <v>0</v>
      </c>
      <c r="AB1588" t="s">
        <v>4320</v>
      </c>
      <c r="AC1588">
        <v>300</v>
      </c>
      <c r="AD1588" t="s">
        <v>111</v>
      </c>
      <c r="AE1588">
        <v>0</v>
      </c>
      <c r="AF1588">
        <v>0</v>
      </c>
      <c r="AG1588" t="s">
        <v>111</v>
      </c>
      <c r="AH1588" t="s">
        <v>111</v>
      </c>
      <c r="AI1588" t="s">
        <v>111</v>
      </c>
      <c r="AJ1588" t="s">
        <v>111</v>
      </c>
      <c r="AK1588" t="s">
        <v>111</v>
      </c>
      <c r="AL1588" t="s">
        <v>111</v>
      </c>
      <c r="AM1588">
        <v>0</v>
      </c>
      <c r="AN1588">
        <v>0</v>
      </c>
      <c r="AO1588">
        <v>0</v>
      </c>
      <c r="AP1588" t="s">
        <v>111</v>
      </c>
      <c r="AQ1588" t="s">
        <v>111</v>
      </c>
      <c r="AR1588" t="s">
        <v>111</v>
      </c>
      <c r="AS1588" t="s">
        <v>111</v>
      </c>
      <c r="AT1588" t="s">
        <v>111</v>
      </c>
      <c r="AU1588" t="s">
        <v>111</v>
      </c>
      <c r="AV1588" t="s">
        <v>111</v>
      </c>
      <c r="AW1588" t="s">
        <v>111</v>
      </c>
      <c r="AX1588" t="s">
        <v>111</v>
      </c>
      <c r="AY1588" t="s">
        <v>111</v>
      </c>
      <c r="AZ1588" t="s">
        <v>111</v>
      </c>
      <c r="BA1588" t="s">
        <v>111</v>
      </c>
      <c r="BB1588" t="s">
        <v>111</v>
      </c>
      <c r="BC1588" t="s">
        <v>111</v>
      </c>
      <c r="BD1588" t="s">
        <v>111</v>
      </c>
      <c r="BE1588" t="s">
        <v>111</v>
      </c>
      <c r="BF1588" t="s">
        <v>111</v>
      </c>
      <c r="BG1588" t="s">
        <v>111</v>
      </c>
      <c r="BH1588" t="s">
        <v>111</v>
      </c>
      <c r="BI1588" t="s">
        <v>111</v>
      </c>
      <c r="BJ1588" t="s">
        <v>111</v>
      </c>
      <c r="BK1588" t="s">
        <v>111</v>
      </c>
      <c r="BL1588" t="s">
        <v>111</v>
      </c>
      <c r="BM1588" t="s">
        <v>111</v>
      </c>
      <c r="BN1588" t="s">
        <v>111</v>
      </c>
      <c r="BO1588" t="s">
        <v>111</v>
      </c>
      <c r="BP1588" t="s">
        <v>111</v>
      </c>
      <c r="BQ1588" t="s">
        <v>111</v>
      </c>
      <c r="BR1588" t="s">
        <v>111</v>
      </c>
      <c r="BS1588" t="s">
        <v>111</v>
      </c>
      <c r="BT1588" t="s">
        <v>111</v>
      </c>
      <c r="BU1588" t="s">
        <v>111</v>
      </c>
      <c r="BV1588" t="s">
        <v>111</v>
      </c>
      <c r="BW1588" t="s">
        <v>111</v>
      </c>
      <c r="BX1588" t="s">
        <v>111</v>
      </c>
      <c r="BY1588" t="s">
        <v>111</v>
      </c>
      <c r="BZ1588" t="s">
        <v>111</v>
      </c>
      <c r="CA1588" t="s">
        <v>111</v>
      </c>
      <c r="CB1588" t="s">
        <v>111</v>
      </c>
      <c r="CC1588" t="s">
        <v>111</v>
      </c>
      <c r="CD1588" t="s">
        <v>111</v>
      </c>
      <c r="CE1588" t="s">
        <v>111</v>
      </c>
      <c r="CF1588" t="s">
        <v>111</v>
      </c>
      <c r="CG1588" t="s">
        <v>111</v>
      </c>
      <c r="CH1588" t="s">
        <v>111</v>
      </c>
      <c r="CI1588" t="s">
        <v>111</v>
      </c>
      <c r="CJ1588" t="s">
        <v>111</v>
      </c>
      <c r="CK1588" t="s">
        <v>111</v>
      </c>
      <c r="CL1588" t="s">
        <v>111</v>
      </c>
      <c r="CM1588" t="s">
        <v>438</v>
      </c>
      <c r="CN1588" t="s">
        <v>113</v>
      </c>
      <c r="CO1588" t="s">
        <v>885</v>
      </c>
      <c r="CP1588" t="s">
        <v>111</v>
      </c>
      <c r="CQ1588">
        <v>0</v>
      </c>
      <c r="CR1588">
        <v>100</v>
      </c>
      <c r="CS1588">
        <v>100</v>
      </c>
      <c r="CT1588" t="e">
        <f>-ALMACEN</f>
        <v>#NAME?</v>
      </c>
      <c r="CU1588">
        <v>0</v>
      </c>
      <c r="CV1588" t="s">
        <v>111</v>
      </c>
      <c r="CW1588" t="s">
        <v>111</v>
      </c>
      <c r="CX1588" t="s">
        <v>111</v>
      </c>
      <c r="CY1588">
        <v>0</v>
      </c>
      <c r="CZ1588" t="s">
        <v>111</v>
      </c>
      <c r="DA1588" t="s">
        <v>111</v>
      </c>
      <c r="DB1588" t="s">
        <v>111</v>
      </c>
      <c r="DC1588" t="s">
        <v>111</v>
      </c>
    </row>
    <row r="1589" spans="1:107">
      <c r="A1589">
        <v>1423</v>
      </c>
      <c r="B1589" t="s">
        <v>107</v>
      </c>
      <c r="C1589" s="2">
        <v>91226680</v>
      </c>
      <c r="D1589" t="s">
        <v>4430</v>
      </c>
      <c r="E1589" t="s">
        <v>4431</v>
      </c>
      <c r="F1589" t="s">
        <v>1071</v>
      </c>
      <c r="G1589" t="s">
        <v>24</v>
      </c>
      <c r="H1589">
        <v>0.8</v>
      </c>
      <c r="I1589">
        <v>40</v>
      </c>
      <c r="J1589">
        <v>0</v>
      </c>
      <c r="K1589">
        <v>0</v>
      </c>
      <c r="L1589" t="s">
        <v>112</v>
      </c>
      <c r="M1589" t="s">
        <v>111</v>
      </c>
      <c r="N1589">
        <v>0</v>
      </c>
      <c r="O1589">
        <v>0</v>
      </c>
      <c r="P1589" t="s">
        <v>111</v>
      </c>
      <c r="Q1589">
        <v>23</v>
      </c>
      <c r="R1589">
        <v>0</v>
      </c>
      <c r="S1589">
        <v>0</v>
      </c>
      <c r="T1589">
        <v>5</v>
      </c>
      <c r="U1589" s="1" t="s">
        <v>132</v>
      </c>
      <c r="V1589">
        <v>0</v>
      </c>
      <c r="W1589">
        <v>0</v>
      </c>
      <c r="X1589">
        <v>0</v>
      </c>
      <c r="Y1589">
        <v>25</v>
      </c>
      <c r="Z1589" t="s">
        <v>111</v>
      </c>
      <c r="AA1589">
        <v>0</v>
      </c>
      <c r="AB1589" t="s">
        <v>111</v>
      </c>
      <c r="AC1589">
        <v>0</v>
      </c>
      <c r="AD1589" t="s">
        <v>111</v>
      </c>
      <c r="AE1589">
        <v>0</v>
      </c>
      <c r="AF1589">
        <v>0</v>
      </c>
      <c r="AG1589" t="s">
        <v>111</v>
      </c>
      <c r="AH1589" t="s">
        <v>111</v>
      </c>
      <c r="AI1589" t="s">
        <v>111</v>
      </c>
      <c r="AJ1589" t="s">
        <v>111</v>
      </c>
      <c r="AK1589" t="s">
        <v>111</v>
      </c>
      <c r="AL1589" t="s">
        <v>111</v>
      </c>
      <c r="AM1589">
        <v>0</v>
      </c>
      <c r="AN1589">
        <v>0</v>
      </c>
      <c r="AO1589">
        <v>0</v>
      </c>
      <c r="AP1589" t="s">
        <v>111</v>
      </c>
      <c r="AQ1589" t="s">
        <v>111</v>
      </c>
      <c r="AR1589" t="s">
        <v>111</v>
      </c>
      <c r="AS1589" t="s">
        <v>111</v>
      </c>
      <c r="AT1589" t="s">
        <v>111</v>
      </c>
      <c r="AU1589" t="s">
        <v>111</v>
      </c>
      <c r="AV1589" t="s">
        <v>111</v>
      </c>
      <c r="AW1589" t="s">
        <v>111</v>
      </c>
      <c r="AX1589" t="s">
        <v>111</v>
      </c>
      <c r="AY1589" t="s">
        <v>111</v>
      </c>
      <c r="AZ1589" t="s">
        <v>111</v>
      </c>
      <c r="BA1589" t="s">
        <v>111</v>
      </c>
      <c r="BB1589" t="s">
        <v>111</v>
      </c>
      <c r="BC1589" t="s">
        <v>111</v>
      </c>
      <c r="BD1589" t="s">
        <v>111</v>
      </c>
      <c r="BE1589" t="s">
        <v>111</v>
      </c>
      <c r="BF1589" t="s">
        <v>111</v>
      </c>
      <c r="BG1589" t="s">
        <v>111</v>
      </c>
      <c r="BH1589" t="s">
        <v>111</v>
      </c>
      <c r="BI1589" t="s">
        <v>111</v>
      </c>
      <c r="BJ1589" t="s">
        <v>111</v>
      </c>
      <c r="BK1589" t="s">
        <v>111</v>
      </c>
      <c r="BL1589" t="s">
        <v>111</v>
      </c>
      <c r="BM1589" t="s">
        <v>111</v>
      </c>
      <c r="BN1589" t="s">
        <v>111</v>
      </c>
      <c r="BO1589" t="s">
        <v>111</v>
      </c>
      <c r="BP1589" t="s">
        <v>111</v>
      </c>
      <c r="BQ1589" t="s">
        <v>111</v>
      </c>
      <c r="BR1589" t="s">
        <v>111</v>
      </c>
      <c r="BS1589" t="s">
        <v>111</v>
      </c>
      <c r="BT1589" t="s">
        <v>111</v>
      </c>
      <c r="BU1589" t="s">
        <v>111</v>
      </c>
      <c r="BV1589" t="s">
        <v>111</v>
      </c>
      <c r="BW1589" t="s">
        <v>111</v>
      </c>
      <c r="BX1589" t="s">
        <v>111</v>
      </c>
      <c r="BY1589" t="s">
        <v>111</v>
      </c>
      <c r="BZ1589" t="s">
        <v>111</v>
      </c>
      <c r="CA1589" t="s">
        <v>111</v>
      </c>
      <c r="CB1589" t="s">
        <v>111</v>
      </c>
      <c r="CC1589" t="s">
        <v>111</v>
      </c>
      <c r="CD1589" t="s">
        <v>111</v>
      </c>
      <c r="CE1589" t="s">
        <v>111</v>
      </c>
      <c r="CF1589" t="s">
        <v>111</v>
      </c>
      <c r="CG1589" t="s">
        <v>111</v>
      </c>
      <c r="CH1589" t="s">
        <v>111</v>
      </c>
      <c r="CI1589" t="s">
        <v>111</v>
      </c>
      <c r="CJ1589" t="s">
        <v>111</v>
      </c>
      <c r="CK1589" t="s">
        <v>111</v>
      </c>
      <c r="CL1589" t="s">
        <v>111</v>
      </c>
      <c r="CM1589" t="s">
        <v>438</v>
      </c>
      <c r="CN1589" t="s">
        <v>113</v>
      </c>
      <c r="CO1589" t="s">
        <v>111</v>
      </c>
      <c r="CP1589" t="s">
        <v>111</v>
      </c>
      <c r="CQ1589">
        <v>75</v>
      </c>
      <c r="CR1589">
        <v>5000</v>
      </c>
      <c r="CS1589">
        <v>250</v>
      </c>
      <c r="CT1589" t="e">
        <f>-ALMACEN</f>
        <v>#NAME?</v>
      </c>
      <c r="CU1589">
        <v>0</v>
      </c>
      <c r="CV1589" t="s">
        <v>111</v>
      </c>
      <c r="CW1589" t="s">
        <v>111</v>
      </c>
      <c r="CX1589" t="s">
        <v>111</v>
      </c>
      <c r="CY1589">
        <v>0</v>
      </c>
      <c r="CZ1589" t="s">
        <v>111</v>
      </c>
      <c r="DA1589" t="s">
        <v>111</v>
      </c>
      <c r="DB1589" t="s">
        <v>111</v>
      </c>
      <c r="DC1589" t="s">
        <v>111</v>
      </c>
    </row>
    <row r="1590" spans="1:107">
      <c r="A1590">
        <v>1377</v>
      </c>
      <c r="B1590" t="s">
        <v>107</v>
      </c>
      <c r="C1590" t="s">
        <v>454</v>
      </c>
      <c r="D1590" t="s">
        <v>4432</v>
      </c>
      <c r="E1590" t="s">
        <v>4433</v>
      </c>
      <c r="F1590" t="s">
        <v>1651</v>
      </c>
      <c r="G1590" t="s">
        <v>24</v>
      </c>
      <c r="H1590">
        <v>1.9</v>
      </c>
      <c r="I1590">
        <v>40</v>
      </c>
      <c r="J1590">
        <v>0</v>
      </c>
      <c r="K1590">
        <v>0</v>
      </c>
      <c r="L1590" t="s">
        <v>112</v>
      </c>
      <c r="M1590" t="s">
        <v>118</v>
      </c>
      <c r="N1590">
        <v>40</v>
      </c>
      <c r="O1590">
        <v>1</v>
      </c>
      <c r="P1590" t="s">
        <v>111</v>
      </c>
      <c r="Q1590">
        <v>37.6</v>
      </c>
      <c r="R1590">
        <v>0</v>
      </c>
      <c r="S1590">
        <v>0</v>
      </c>
      <c r="T1590">
        <v>5</v>
      </c>
      <c r="U1590" s="1" t="s">
        <v>4338</v>
      </c>
      <c r="V1590">
        <v>0</v>
      </c>
      <c r="W1590">
        <v>0</v>
      </c>
      <c r="X1590">
        <v>0</v>
      </c>
      <c r="Y1590">
        <v>250</v>
      </c>
      <c r="Z1590" t="s">
        <v>111</v>
      </c>
      <c r="AA1590">
        <v>0</v>
      </c>
      <c r="AB1590" t="s">
        <v>111</v>
      </c>
      <c r="AC1590">
        <v>0</v>
      </c>
      <c r="AD1590" t="s">
        <v>416</v>
      </c>
      <c r="AE1590">
        <v>0</v>
      </c>
      <c r="AF1590">
        <v>0</v>
      </c>
      <c r="AG1590" t="s">
        <v>111</v>
      </c>
      <c r="AH1590" t="s">
        <v>113</v>
      </c>
      <c r="AI1590" t="s">
        <v>111</v>
      </c>
      <c r="AJ1590" t="s">
        <v>111</v>
      </c>
      <c r="AK1590" t="s">
        <v>111</v>
      </c>
      <c r="AL1590" t="s">
        <v>111</v>
      </c>
      <c r="AM1590">
        <v>0</v>
      </c>
      <c r="AN1590">
        <v>0</v>
      </c>
      <c r="AO1590">
        <v>0</v>
      </c>
      <c r="AP1590" t="s">
        <v>111</v>
      </c>
      <c r="AQ1590" t="s">
        <v>111</v>
      </c>
      <c r="AR1590" t="s">
        <v>111</v>
      </c>
      <c r="AS1590" t="s">
        <v>111</v>
      </c>
      <c r="AT1590" t="s">
        <v>111</v>
      </c>
      <c r="AU1590" t="s">
        <v>111</v>
      </c>
      <c r="AV1590" t="s">
        <v>111</v>
      </c>
      <c r="AW1590" t="s">
        <v>111</v>
      </c>
      <c r="AX1590" t="s">
        <v>111</v>
      </c>
      <c r="AY1590" t="s">
        <v>111</v>
      </c>
      <c r="AZ1590" t="s">
        <v>111</v>
      </c>
      <c r="BA1590" t="s">
        <v>111</v>
      </c>
      <c r="BB1590" t="s">
        <v>111</v>
      </c>
      <c r="BC1590" t="s">
        <v>111</v>
      </c>
      <c r="BD1590" t="s">
        <v>111</v>
      </c>
      <c r="BE1590" t="s">
        <v>111</v>
      </c>
      <c r="BF1590" t="s">
        <v>111</v>
      </c>
      <c r="BG1590" t="s">
        <v>111</v>
      </c>
      <c r="BH1590" t="s">
        <v>111</v>
      </c>
      <c r="BI1590" t="s">
        <v>111</v>
      </c>
      <c r="BJ1590" t="s">
        <v>111</v>
      </c>
      <c r="BK1590" t="s">
        <v>111</v>
      </c>
      <c r="BL1590" t="s">
        <v>111</v>
      </c>
      <c r="BM1590" t="s">
        <v>111</v>
      </c>
      <c r="BN1590" t="s">
        <v>111</v>
      </c>
      <c r="BO1590" t="s">
        <v>111</v>
      </c>
      <c r="BP1590" t="s">
        <v>111</v>
      </c>
      <c r="BQ1590" t="s">
        <v>111</v>
      </c>
      <c r="BR1590" t="s">
        <v>111</v>
      </c>
      <c r="BS1590" t="s">
        <v>111</v>
      </c>
      <c r="BT1590" t="s">
        <v>111</v>
      </c>
      <c r="BU1590" t="s">
        <v>111</v>
      </c>
      <c r="BV1590" t="s">
        <v>111</v>
      </c>
      <c r="BW1590" t="s">
        <v>111</v>
      </c>
      <c r="BX1590" t="s">
        <v>111</v>
      </c>
      <c r="BY1590" t="s">
        <v>111</v>
      </c>
      <c r="BZ1590" t="s">
        <v>111</v>
      </c>
      <c r="CA1590" t="s">
        <v>111</v>
      </c>
      <c r="CB1590" t="s">
        <v>111</v>
      </c>
      <c r="CC1590" t="s">
        <v>111</v>
      </c>
      <c r="CD1590" t="s">
        <v>111</v>
      </c>
      <c r="CE1590" t="s">
        <v>111</v>
      </c>
      <c r="CF1590" t="s">
        <v>111</v>
      </c>
      <c r="CG1590" t="s">
        <v>111</v>
      </c>
      <c r="CH1590" t="s">
        <v>111</v>
      </c>
      <c r="CI1590" t="s">
        <v>111</v>
      </c>
      <c r="CJ1590" t="s">
        <v>111</v>
      </c>
      <c r="CK1590" t="s">
        <v>111</v>
      </c>
      <c r="CL1590" t="s">
        <v>111</v>
      </c>
      <c r="CM1590" t="s">
        <v>135</v>
      </c>
      <c r="CN1590" t="s">
        <v>113</v>
      </c>
      <c r="CO1590" t="s">
        <v>111</v>
      </c>
      <c r="CP1590" t="s">
        <v>433</v>
      </c>
      <c r="CQ1590">
        <v>78</v>
      </c>
      <c r="CR1590">
        <v>3000</v>
      </c>
      <c r="CS1590">
        <v>2000</v>
      </c>
      <c r="CT1590" t="e">
        <f>-ALMACEN</f>
        <v>#NAME?</v>
      </c>
      <c r="CU1590">
        <v>0</v>
      </c>
      <c r="CV1590" t="s">
        <v>111</v>
      </c>
      <c r="CW1590" t="s">
        <v>111</v>
      </c>
      <c r="CX1590" t="s">
        <v>111</v>
      </c>
      <c r="CY1590">
        <v>0</v>
      </c>
      <c r="CZ1590" t="s">
        <v>111</v>
      </c>
      <c r="DA1590" t="s">
        <v>111</v>
      </c>
      <c r="DB1590" t="s">
        <v>111</v>
      </c>
      <c r="DC1590" t="s">
        <v>111</v>
      </c>
    </row>
    <row r="1591" spans="1:107">
      <c r="A1591">
        <v>1422</v>
      </c>
      <c r="B1591" t="s">
        <v>107</v>
      </c>
      <c r="C1591" t="s">
        <v>174</v>
      </c>
      <c r="D1591" t="s">
        <v>3943</v>
      </c>
      <c r="E1591" t="s">
        <v>4434</v>
      </c>
      <c r="F1591" t="s">
        <v>1071</v>
      </c>
      <c r="G1591" t="s">
        <v>24</v>
      </c>
      <c r="H1591">
        <v>1.4</v>
      </c>
      <c r="I1591">
        <v>35</v>
      </c>
      <c r="J1591">
        <v>0</v>
      </c>
      <c r="K1591">
        <v>0</v>
      </c>
      <c r="L1591" t="s">
        <v>112</v>
      </c>
      <c r="M1591" t="s">
        <v>111</v>
      </c>
      <c r="N1591">
        <v>0</v>
      </c>
      <c r="O1591">
        <v>0</v>
      </c>
      <c r="P1591" t="s">
        <v>111</v>
      </c>
      <c r="Q1591">
        <v>9</v>
      </c>
      <c r="R1591">
        <v>0</v>
      </c>
      <c r="S1591">
        <v>0</v>
      </c>
      <c r="T1591">
        <v>5</v>
      </c>
      <c r="U1591" s="1" t="s">
        <v>4435</v>
      </c>
      <c r="V1591">
        <v>0</v>
      </c>
      <c r="W1591">
        <v>0</v>
      </c>
      <c r="X1591">
        <v>0</v>
      </c>
      <c r="Y1591">
        <v>25</v>
      </c>
      <c r="Z1591" t="s">
        <v>111</v>
      </c>
      <c r="AA1591">
        <v>0</v>
      </c>
      <c r="AB1591" t="s">
        <v>111</v>
      </c>
      <c r="AC1591">
        <v>0</v>
      </c>
      <c r="AD1591" t="s">
        <v>111</v>
      </c>
      <c r="AE1591">
        <v>0</v>
      </c>
      <c r="AF1591">
        <v>0</v>
      </c>
      <c r="AG1591" t="s">
        <v>111</v>
      </c>
      <c r="AH1591" t="s">
        <v>111</v>
      </c>
      <c r="AI1591" t="s">
        <v>111</v>
      </c>
      <c r="AJ1591" t="s">
        <v>111</v>
      </c>
      <c r="AK1591" t="s">
        <v>111</v>
      </c>
      <c r="AL1591" t="s">
        <v>111</v>
      </c>
      <c r="AM1591">
        <v>0</v>
      </c>
      <c r="AN1591">
        <v>0</v>
      </c>
      <c r="AO1591">
        <v>0</v>
      </c>
      <c r="AP1591" t="s">
        <v>111</v>
      </c>
      <c r="AQ1591" t="s">
        <v>111</v>
      </c>
      <c r="AR1591" t="s">
        <v>111</v>
      </c>
      <c r="AS1591" t="s">
        <v>111</v>
      </c>
      <c r="AT1591" t="s">
        <v>111</v>
      </c>
      <c r="AU1591" t="s">
        <v>111</v>
      </c>
      <c r="AV1591" t="s">
        <v>111</v>
      </c>
      <c r="AW1591" t="s">
        <v>111</v>
      </c>
      <c r="AX1591" t="s">
        <v>111</v>
      </c>
      <c r="AY1591" t="s">
        <v>111</v>
      </c>
      <c r="AZ1591" t="s">
        <v>111</v>
      </c>
      <c r="BA1591" t="s">
        <v>111</v>
      </c>
      <c r="BB1591" t="s">
        <v>111</v>
      </c>
      <c r="BC1591" t="s">
        <v>111</v>
      </c>
      <c r="BD1591" t="s">
        <v>111</v>
      </c>
      <c r="BE1591" t="s">
        <v>111</v>
      </c>
      <c r="BF1591" t="s">
        <v>111</v>
      </c>
      <c r="BG1591" t="s">
        <v>111</v>
      </c>
      <c r="BH1591" t="s">
        <v>111</v>
      </c>
      <c r="BI1591" t="s">
        <v>111</v>
      </c>
      <c r="BJ1591" t="s">
        <v>111</v>
      </c>
      <c r="BK1591" t="s">
        <v>111</v>
      </c>
      <c r="BL1591" t="s">
        <v>111</v>
      </c>
      <c r="BM1591" t="s">
        <v>111</v>
      </c>
      <c r="BN1591" t="s">
        <v>111</v>
      </c>
      <c r="BO1591" t="s">
        <v>111</v>
      </c>
      <c r="BP1591" t="s">
        <v>111</v>
      </c>
      <c r="BQ1591" t="s">
        <v>111</v>
      </c>
      <c r="BR1591" t="s">
        <v>111</v>
      </c>
      <c r="BS1591" t="s">
        <v>111</v>
      </c>
      <c r="BT1591" t="s">
        <v>111</v>
      </c>
      <c r="BU1591" t="s">
        <v>111</v>
      </c>
      <c r="BV1591" t="s">
        <v>111</v>
      </c>
      <c r="BW1591" t="s">
        <v>111</v>
      </c>
      <c r="BX1591" t="s">
        <v>111</v>
      </c>
      <c r="BY1591" t="s">
        <v>111</v>
      </c>
      <c r="BZ1591" t="s">
        <v>111</v>
      </c>
      <c r="CA1591" t="s">
        <v>111</v>
      </c>
      <c r="CB1591" t="s">
        <v>111</v>
      </c>
      <c r="CC1591" t="s">
        <v>111</v>
      </c>
      <c r="CD1591" t="s">
        <v>111</v>
      </c>
      <c r="CE1591" t="s">
        <v>111</v>
      </c>
      <c r="CF1591" t="s">
        <v>111</v>
      </c>
      <c r="CG1591" t="s">
        <v>111</v>
      </c>
      <c r="CH1591" t="s">
        <v>111</v>
      </c>
      <c r="CI1591" t="s">
        <v>111</v>
      </c>
      <c r="CJ1591" t="s">
        <v>111</v>
      </c>
      <c r="CK1591" t="s">
        <v>111</v>
      </c>
      <c r="CL1591" t="s">
        <v>111</v>
      </c>
      <c r="CM1591">
        <v>450</v>
      </c>
      <c r="CN1591" t="s">
        <v>113</v>
      </c>
      <c r="CO1591" t="s">
        <v>111</v>
      </c>
      <c r="CP1591" t="s">
        <v>111</v>
      </c>
      <c r="CQ1591">
        <v>76</v>
      </c>
      <c r="CR1591">
        <v>2500</v>
      </c>
      <c r="CS1591">
        <v>250</v>
      </c>
      <c r="CT1591" t="e">
        <f>-ALMACEN</f>
        <v>#NAME?</v>
      </c>
      <c r="CU1591">
        <v>0</v>
      </c>
      <c r="CV1591" t="s">
        <v>111</v>
      </c>
      <c r="CW1591" t="s">
        <v>111</v>
      </c>
      <c r="CX1591" t="s">
        <v>111</v>
      </c>
      <c r="CY1591">
        <v>0</v>
      </c>
      <c r="CZ1591" t="s">
        <v>111</v>
      </c>
      <c r="DA1591" t="s">
        <v>111</v>
      </c>
      <c r="DB1591" t="s">
        <v>111</v>
      </c>
      <c r="DC1591" t="s">
        <v>111</v>
      </c>
    </row>
    <row r="1592" spans="1:107">
      <c r="A1592">
        <v>1358</v>
      </c>
      <c r="B1592" t="s">
        <v>107</v>
      </c>
      <c r="C1592" t="s">
        <v>3783</v>
      </c>
      <c r="D1592" t="s">
        <v>3960</v>
      </c>
      <c r="E1592" t="s">
        <v>4436</v>
      </c>
      <c r="F1592" t="s">
        <v>1260</v>
      </c>
      <c r="G1592" t="s">
        <v>24</v>
      </c>
      <c r="H1592">
        <v>1.9</v>
      </c>
      <c r="I1592">
        <v>40</v>
      </c>
      <c r="J1592">
        <v>0</v>
      </c>
      <c r="K1592">
        <v>0</v>
      </c>
      <c r="L1592" t="s">
        <v>117</v>
      </c>
      <c r="M1592" t="s">
        <v>118</v>
      </c>
      <c r="N1592">
        <v>40</v>
      </c>
      <c r="O1592">
        <v>1</v>
      </c>
      <c r="P1592" t="s">
        <v>111</v>
      </c>
      <c r="Q1592">
        <v>44.2</v>
      </c>
      <c r="R1592">
        <v>0</v>
      </c>
      <c r="S1592">
        <v>0</v>
      </c>
      <c r="T1592">
        <v>5</v>
      </c>
      <c r="U1592" t="e">
        <f>-DESTINO: DARMA</f>
        <v>#NAME?</v>
      </c>
      <c r="V1592">
        <v>0</v>
      </c>
      <c r="W1592">
        <v>0</v>
      </c>
      <c r="X1592">
        <v>0</v>
      </c>
      <c r="Y1592">
        <v>25</v>
      </c>
      <c r="Z1592" t="s">
        <v>111</v>
      </c>
      <c r="AA1592">
        <v>0</v>
      </c>
      <c r="AB1592" t="s">
        <v>111</v>
      </c>
      <c r="AC1592">
        <v>0</v>
      </c>
      <c r="AD1592" t="s">
        <v>416</v>
      </c>
      <c r="AE1592">
        <v>0</v>
      </c>
      <c r="AF1592">
        <v>0</v>
      </c>
      <c r="AG1592" t="s">
        <v>111</v>
      </c>
      <c r="AH1592" t="s">
        <v>113</v>
      </c>
      <c r="AI1592" t="s">
        <v>111</v>
      </c>
      <c r="AJ1592" t="s">
        <v>111</v>
      </c>
      <c r="AK1592" t="s">
        <v>111</v>
      </c>
      <c r="AL1592" t="s">
        <v>111</v>
      </c>
      <c r="AM1592">
        <v>0</v>
      </c>
      <c r="AN1592">
        <v>0</v>
      </c>
      <c r="AO1592">
        <v>0</v>
      </c>
      <c r="AP1592" t="s">
        <v>111</v>
      </c>
      <c r="AQ1592" t="s">
        <v>111</v>
      </c>
      <c r="AR1592" t="s">
        <v>111</v>
      </c>
      <c r="AS1592" t="s">
        <v>111</v>
      </c>
      <c r="AT1592" t="s">
        <v>111</v>
      </c>
      <c r="AU1592" t="s">
        <v>111</v>
      </c>
      <c r="AV1592" t="s">
        <v>111</v>
      </c>
      <c r="AW1592" t="s">
        <v>111</v>
      </c>
      <c r="AX1592" t="s">
        <v>111</v>
      </c>
      <c r="AY1592" t="s">
        <v>111</v>
      </c>
      <c r="AZ1592" t="s">
        <v>111</v>
      </c>
      <c r="BA1592" t="s">
        <v>111</v>
      </c>
      <c r="BB1592" t="s">
        <v>111</v>
      </c>
      <c r="BC1592" t="s">
        <v>111</v>
      </c>
      <c r="BD1592" t="s">
        <v>111</v>
      </c>
      <c r="BE1592" t="s">
        <v>111</v>
      </c>
      <c r="BF1592" t="s">
        <v>111</v>
      </c>
      <c r="BG1592" t="s">
        <v>111</v>
      </c>
      <c r="BH1592" t="s">
        <v>111</v>
      </c>
      <c r="BI1592" t="s">
        <v>111</v>
      </c>
      <c r="BJ1592" t="s">
        <v>111</v>
      </c>
      <c r="BK1592" t="s">
        <v>111</v>
      </c>
      <c r="BL1592" t="s">
        <v>111</v>
      </c>
      <c r="BM1592" t="s">
        <v>111</v>
      </c>
      <c r="BN1592" t="s">
        <v>111</v>
      </c>
      <c r="BO1592" t="s">
        <v>111</v>
      </c>
      <c r="BP1592" t="s">
        <v>111</v>
      </c>
      <c r="BQ1592" t="s">
        <v>111</v>
      </c>
      <c r="BR1592" t="s">
        <v>111</v>
      </c>
      <c r="BS1592" t="s">
        <v>111</v>
      </c>
      <c r="BT1592" t="s">
        <v>111</v>
      </c>
      <c r="BU1592" t="s">
        <v>111</v>
      </c>
      <c r="BV1592" t="s">
        <v>111</v>
      </c>
      <c r="BW1592" t="s">
        <v>111</v>
      </c>
      <c r="BX1592" t="s">
        <v>111</v>
      </c>
      <c r="BY1592" t="s">
        <v>111</v>
      </c>
      <c r="BZ1592" t="s">
        <v>111</v>
      </c>
      <c r="CA1592" t="s">
        <v>111</v>
      </c>
      <c r="CB1592" t="s">
        <v>111</v>
      </c>
      <c r="CC1592" t="s">
        <v>111</v>
      </c>
      <c r="CD1592" t="s">
        <v>111</v>
      </c>
      <c r="CE1592" t="s">
        <v>111</v>
      </c>
      <c r="CF1592" t="s">
        <v>111</v>
      </c>
      <c r="CG1592" t="s">
        <v>111</v>
      </c>
      <c r="CH1592" t="s">
        <v>111</v>
      </c>
      <c r="CI1592" t="s">
        <v>111</v>
      </c>
      <c r="CJ1592" t="s">
        <v>111</v>
      </c>
      <c r="CK1592" t="s">
        <v>111</v>
      </c>
      <c r="CL1592" t="s">
        <v>111</v>
      </c>
      <c r="CM1592" t="s">
        <v>135</v>
      </c>
      <c r="CN1592" t="s">
        <v>113</v>
      </c>
      <c r="CO1592" t="s">
        <v>111</v>
      </c>
      <c r="CP1592" t="s">
        <v>563</v>
      </c>
      <c r="CQ1592">
        <v>110</v>
      </c>
      <c r="CR1592">
        <v>26000</v>
      </c>
      <c r="CS1592">
        <v>26000</v>
      </c>
      <c r="CT1592" t="e">
        <f>-ALMACEN</f>
        <v>#NAME?</v>
      </c>
      <c r="CU1592">
        <v>0</v>
      </c>
      <c r="CV1592" t="s">
        <v>111</v>
      </c>
      <c r="CW1592" t="s">
        <v>111</v>
      </c>
      <c r="CX1592" t="s">
        <v>111</v>
      </c>
      <c r="CY1592">
        <v>0</v>
      </c>
      <c r="CZ1592" t="s">
        <v>111</v>
      </c>
      <c r="DA1592" t="s">
        <v>111</v>
      </c>
      <c r="DB1592" t="s">
        <v>111</v>
      </c>
      <c r="DC1592" t="s">
        <v>111</v>
      </c>
    </row>
    <row r="1593" spans="1:107">
      <c r="A1593">
        <v>1384</v>
      </c>
      <c r="B1593" t="s">
        <v>107</v>
      </c>
      <c r="C1593" t="s">
        <v>1643</v>
      </c>
      <c r="D1593" t="s">
        <v>3908</v>
      </c>
      <c r="E1593" t="s">
        <v>4437</v>
      </c>
      <c r="F1593" t="s">
        <v>2211</v>
      </c>
      <c r="G1593" t="s">
        <v>24</v>
      </c>
      <c r="H1593">
        <v>1.2</v>
      </c>
      <c r="I1593">
        <v>25</v>
      </c>
      <c r="J1593">
        <v>0</v>
      </c>
      <c r="K1593">
        <v>0</v>
      </c>
      <c r="L1593" t="s">
        <v>4438</v>
      </c>
      <c r="M1593" t="s">
        <v>111</v>
      </c>
      <c r="N1593">
        <v>0</v>
      </c>
      <c r="O1593">
        <v>0</v>
      </c>
      <c r="P1593" t="s">
        <v>111</v>
      </c>
      <c r="Q1593">
        <v>32.6</v>
      </c>
      <c r="R1593">
        <v>0</v>
      </c>
      <c r="S1593">
        <v>0</v>
      </c>
      <c r="T1593">
        <v>0</v>
      </c>
      <c r="U1593" s="1" t="s">
        <v>4439</v>
      </c>
      <c r="V1593">
        <v>0</v>
      </c>
      <c r="W1593">
        <v>0</v>
      </c>
      <c r="X1593">
        <v>0</v>
      </c>
      <c r="Y1593">
        <v>25</v>
      </c>
      <c r="Z1593" t="s">
        <v>111</v>
      </c>
      <c r="AA1593">
        <v>0</v>
      </c>
      <c r="AB1593" t="s">
        <v>4244</v>
      </c>
      <c r="AC1593">
        <v>0.3</v>
      </c>
      <c r="AD1593" t="s">
        <v>111</v>
      </c>
      <c r="AE1593">
        <v>0</v>
      </c>
      <c r="AF1593">
        <v>0</v>
      </c>
      <c r="AG1593" t="s">
        <v>111</v>
      </c>
      <c r="AH1593" t="s">
        <v>111</v>
      </c>
      <c r="AI1593" t="s">
        <v>111</v>
      </c>
      <c r="AJ1593" t="s">
        <v>111</v>
      </c>
      <c r="AK1593" t="s">
        <v>111</v>
      </c>
      <c r="AL1593" t="s">
        <v>111</v>
      </c>
      <c r="AM1593">
        <v>0</v>
      </c>
      <c r="AN1593">
        <v>0</v>
      </c>
      <c r="AO1593">
        <v>0</v>
      </c>
      <c r="AP1593" t="s">
        <v>111</v>
      </c>
      <c r="AQ1593" t="s">
        <v>111</v>
      </c>
      <c r="AR1593" t="s">
        <v>111</v>
      </c>
      <c r="AS1593" t="s">
        <v>111</v>
      </c>
      <c r="AT1593" t="s">
        <v>111</v>
      </c>
      <c r="AU1593" t="s">
        <v>111</v>
      </c>
      <c r="AV1593" t="s">
        <v>111</v>
      </c>
      <c r="AW1593" t="s">
        <v>111</v>
      </c>
      <c r="AX1593" t="s">
        <v>111</v>
      </c>
      <c r="AY1593" t="s">
        <v>111</v>
      </c>
      <c r="AZ1593" t="s">
        <v>111</v>
      </c>
      <c r="BA1593" t="s">
        <v>111</v>
      </c>
      <c r="BB1593" t="s">
        <v>111</v>
      </c>
      <c r="BC1593" t="s">
        <v>111</v>
      </c>
      <c r="BD1593" t="s">
        <v>111</v>
      </c>
      <c r="BE1593" t="s">
        <v>111</v>
      </c>
      <c r="BF1593" t="s">
        <v>111</v>
      </c>
      <c r="BG1593" t="s">
        <v>111</v>
      </c>
      <c r="BH1593" t="s">
        <v>111</v>
      </c>
      <c r="BI1593" t="s">
        <v>111</v>
      </c>
      <c r="BJ1593" t="s">
        <v>111</v>
      </c>
      <c r="BK1593" t="s">
        <v>111</v>
      </c>
      <c r="BL1593" t="s">
        <v>111</v>
      </c>
      <c r="BM1593" t="s">
        <v>111</v>
      </c>
      <c r="BN1593" t="s">
        <v>111</v>
      </c>
      <c r="BO1593" t="s">
        <v>111</v>
      </c>
      <c r="BP1593" t="s">
        <v>111</v>
      </c>
      <c r="BQ1593" t="s">
        <v>111</v>
      </c>
      <c r="BR1593" t="s">
        <v>111</v>
      </c>
      <c r="BS1593" t="s">
        <v>111</v>
      </c>
      <c r="BT1593" t="s">
        <v>111</v>
      </c>
      <c r="BU1593" t="s">
        <v>111</v>
      </c>
      <c r="BV1593" t="s">
        <v>111</v>
      </c>
      <c r="BW1593" t="s">
        <v>111</v>
      </c>
      <c r="BX1593" t="s">
        <v>111</v>
      </c>
      <c r="BY1593" t="s">
        <v>111</v>
      </c>
      <c r="BZ1593" t="s">
        <v>111</v>
      </c>
      <c r="CA1593" t="s">
        <v>111</v>
      </c>
      <c r="CB1593" t="s">
        <v>111</v>
      </c>
      <c r="CC1593" t="s">
        <v>111</v>
      </c>
      <c r="CD1593" t="s">
        <v>111</v>
      </c>
      <c r="CE1593" t="s">
        <v>111</v>
      </c>
      <c r="CF1593" t="s">
        <v>111</v>
      </c>
      <c r="CG1593" t="s">
        <v>111</v>
      </c>
      <c r="CH1593" t="s">
        <v>111</v>
      </c>
      <c r="CI1593" t="s">
        <v>111</v>
      </c>
      <c r="CJ1593" t="s">
        <v>111</v>
      </c>
      <c r="CK1593" t="s">
        <v>111</v>
      </c>
      <c r="CL1593" t="s">
        <v>111</v>
      </c>
      <c r="CM1593" t="s">
        <v>111</v>
      </c>
      <c r="CN1593" t="s">
        <v>111</v>
      </c>
      <c r="CO1593" t="s">
        <v>111</v>
      </c>
      <c r="CP1593" t="s">
        <v>111</v>
      </c>
      <c r="CQ1593">
        <v>0</v>
      </c>
      <c r="CR1593">
        <v>0</v>
      </c>
      <c r="CS1593">
        <v>0</v>
      </c>
      <c r="CT1593" t="s">
        <v>111</v>
      </c>
      <c r="CU1593">
        <v>0</v>
      </c>
      <c r="CV1593" t="s">
        <v>111</v>
      </c>
      <c r="CW1593" t="s">
        <v>111</v>
      </c>
      <c r="CX1593" t="s">
        <v>111</v>
      </c>
      <c r="CY1593">
        <v>0</v>
      </c>
      <c r="CZ1593" t="s">
        <v>111</v>
      </c>
      <c r="DA1593" t="s">
        <v>111</v>
      </c>
      <c r="DB1593" t="s">
        <v>111</v>
      </c>
      <c r="DC1593" t="s">
        <v>111</v>
      </c>
    </row>
    <row r="1594" spans="1:107">
      <c r="A1594">
        <v>1385</v>
      </c>
      <c r="B1594" t="s">
        <v>107</v>
      </c>
      <c r="C1594" t="s">
        <v>4214</v>
      </c>
      <c r="D1594" t="s">
        <v>4440</v>
      </c>
      <c r="E1594" t="s">
        <v>4441</v>
      </c>
      <c r="F1594" t="s">
        <v>110</v>
      </c>
      <c r="G1594" t="s">
        <v>24</v>
      </c>
      <c r="H1594">
        <v>1.3</v>
      </c>
      <c r="I1594">
        <v>42</v>
      </c>
      <c r="J1594">
        <v>0</v>
      </c>
      <c r="K1594">
        <v>0</v>
      </c>
      <c r="L1594" t="s">
        <v>112</v>
      </c>
      <c r="M1594" t="s">
        <v>138</v>
      </c>
      <c r="N1594">
        <v>39</v>
      </c>
      <c r="O1594">
        <v>2</v>
      </c>
      <c r="P1594" t="s">
        <v>111</v>
      </c>
      <c r="Q1594">
        <v>49</v>
      </c>
      <c r="R1594">
        <v>0</v>
      </c>
      <c r="S1594">
        <v>0</v>
      </c>
      <c r="T1594">
        <v>0</v>
      </c>
      <c r="U1594" s="1" t="s">
        <v>4442</v>
      </c>
      <c r="V1594">
        <v>0</v>
      </c>
      <c r="W1594">
        <v>0</v>
      </c>
      <c r="X1594">
        <v>0</v>
      </c>
      <c r="Y1594">
        <v>25</v>
      </c>
      <c r="Z1594" t="s">
        <v>111</v>
      </c>
      <c r="AA1594">
        <v>0</v>
      </c>
      <c r="AB1594" t="s">
        <v>111</v>
      </c>
      <c r="AC1594">
        <v>0</v>
      </c>
      <c r="AD1594" t="s">
        <v>111</v>
      </c>
      <c r="AE1594">
        <v>0</v>
      </c>
      <c r="AF1594">
        <v>0</v>
      </c>
      <c r="AG1594" t="s">
        <v>111</v>
      </c>
      <c r="AH1594" t="s">
        <v>111</v>
      </c>
      <c r="AI1594" t="s">
        <v>111</v>
      </c>
      <c r="AJ1594" t="s">
        <v>111</v>
      </c>
      <c r="AK1594" t="s">
        <v>111</v>
      </c>
      <c r="AL1594" t="s">
        <v>111</v>
      </c>
      <c r="AM1594">
        <v>0</v>
      </c>
      <c r="AN1594">
        <v>0</v>
      </c>
      <c r="AO1594">
        <v>0</v>
      </c>
      <c r="AP1594" t="s">
        <v>111</v>
      </c>
      <c r="AQ1594" t="s">
        <v>111</v>
      </c>
      <c r="AR1594" t="s">
        <v>111</v>
      </c>
      <c r="AS1594" t="s">
        <v>111</v>
      </c>
      <c r="AT1594" t="s">
        <v>111</v>
      </c>
      <c r="AU1594" t="s">
        <v>111</v>
      </c>
      <c r="AV1594" t="s">
        <v>111</v>
      </c>
      <c r="AW1594" t="s">
        <v>111</v>
      </c>
      <c r="AX1594" t="s">
        <v>111</v>
      </c>
      <c r="AY1594" t="s">
        <v>111</v>
      </c>
      <c r="AZ1594" t="s">
        <v>111</v>
      </c>
      <c r="BA1594" t="s">
        <v>111</v>
      </c>
      <c r="BB1594" t="s">
        <v>111</v>
      </c>
      <c r="BC1594" t="s">
        <v>111</v>
      </c>
      <c r="BD1594" t="s">
        <v>111</v>
      </c>
      <c r="BE1594" t="s">
        <v>111</v>
      </c>
      <c r="BF1594" t="s">
        <v>111</v>
      </c>
      <c r="BG1594" t="s">
        <v>111</v>
      </c>
      <c r="BH1594" t="s">
        <v>111</v>
      </c>
      <c r="BI1594" t="s">
        <v>111</v>
      </c>
      <c r="BJ1594" t="s">
        <v>111</v>
      </c>
      <c r="BK1594" t="s">
        <v>111</v>
      </c>
      <c r="BL1594" t="s">
        <v>111</v>
      </c>
      <c r="BM1594" t="s">
        <v>111</v>
      </c>
      <c r="BN1594" t="s">
        <v>111</v>
      </c>
      <c r="BO1594" t="s">
        <v>111</v>
      </c>
      <c r="BP1594" t="s">
        <v>111</v>
      </c>
      <c r="BQ1594" t="s">
        <v>111</v>
      </c>
      <c r="BR1594" t="s">
        <v>111</v>
      </c>
      <c r="BS1594" t="s">
        <v>111</v>
      </c>
      <c r="BT1594" t="s">
        <v>111</v>
      </c>
      <c r="BU1594" t="s">
        <v>111</v>
      </c>
      <c r="BV1594" t="s">
        <v>111</v>
      </c>
      <c r="BW1594" t="s">
        <v>111</v>
      </c>
      <c r="BX1594" t="s">
        <v>111</v>
      </c>
      <c r="BY1594" t="s">
        <v>111</v>
      </c>
      <c r="BZ1594" t="s">
        <v>111</v>
      </c>
      <c r="CA1594" t="s">
        <v>111</v>
      </c>
      <c r="CB1594" t="s">
        <v>111</v>
      </c>
      <c r="CC1594" t="s">
        <v>111</v>
      </c>
      <c r="CD1594" t="s">
        <v>111</v>
      </c>
      <c r="CE1594" t="s">
        <v>111</v>
      </c>
      <c r="CF1594" t="s">
        <v>111</v>
      </c>
      <c r="CG1594" t="s">
        <v>111</v>
      </c>
      <c r="CH1594" t="s">
        <v>111</v>
      </c>
      <c r="CI1594" t="s">
        <v>111</v>
      </c>
      <c r="CJ1594" t="s">
        <v>111</v>
      </c>
      <c r="CK1594" t="s">
        <v>111</v>
      </c>
      <c r="CL1594" t="s">
        <v>111</v>
      </c>
      <c r="CM1594" t="s">
        <v>111</v>
      </c>
      <c r="CN1594" t="s">
        <v>111</v>
      </c>
      <c r="CO1594" t="s">
        <v>111</v>
      </c>
      <c r="CP1594" t="s">
        <v>111</v>
      </c>
      <c r="CQ1594">
        <v>0</v>
      </c>
      <c r="CR1594">
        <v>0</v>
      </c>
      <c r="CS1594">
        <v>0</v>
      </c>
      <c r="CT1594" t="s">
        <v>111</v>
      </c>
      <c r="CU1594">
        <v>0</v>
      </c>
      <c r="CV1594" t="s">
        <v>111</v>
      </c>
      <c r="CW1594" t="s">
        <v>111</v>
      </c>
      <c r="CX1594" t="s">
        <v>111</v>
      </c>
      <c r="CY1594">
        <v>0</v>
      </c>
      <c r="CZ1594" t="s">
        <v>111</v>
      </c>
      <c r="DA1594" t="s">
        <v>111</v>
      </c>
      <c r="DB1594" t="s">
        <v>111</v>
      </c>
      <c r="DC1594" t="s">
        <v>111</v>
      </c>
    </row>
    <row r="1595" spans="1:107">
      <c r="A1595">
        <v>1394</v>
      </c>
      <c r="B1595" t="s">
        <v>107</v>
      </c>
      <c r="C1595" t="s">
        <v>1322</v>
      </c>
      <c r="D1595" t="s">
        <v>4443</v>
      </c>
      <c r="E1595" t="s">
        <v>4444</v>
      </c>
      <c r="F1595" t="s">
        <v>1651</v>
      </c>
      <c r="G1595" t="s">
        <v>24</v>
      </c>
      <c r="H1595">
        <v>1.4</v>
      </c>
      <c r="I1595">
        <v>30</v>
      </c>
      <c r="J1595">
        <v>0</v>
      </c>
      <c r="K1595">
        <v>0</v>
      </c>
      <c r="L1595" t="s">
        <v>117</v>
      </c>
      <c r="M1595" t="s">
        <v>118</v>
      </c>
      <c r="N1595">
        <v>0</v>
      </c>
      <c r="O1595">
        <v>1</v>
      </c>
      <c r="P1595" t="s">
        <v>111</v>
      </c>
      <c r="Q1595">
        <v>25</v>
      </c>
      <c r="R1595">
        <v>0</v>
      </c>
      <c r="S1595">
        <v>0</v>
      </c>
      <c r="T1595">
        <v>10</v>
      </c>
      <c r="U1595" s="1" t="s">
        <v>4445</v>
      </c>
      <c r="V1595">
        <v>0</v>
      </c>
      <c r="W1595">
        <v>0</v>
      </c>
      <c r="X1595">
        <v>0</v>
      </c>
      <c r="Y1595">
        <v>25</v>
      </c>
      <c r="Z1595" t="s">
        <v>111</v>
      </c>
      <c r="AA1595">
        <v>0</v>
      </c>
      <c r="AB1595" t="s">
        <v>111</v>
      </c>
      <c r="AC1595">
        <v>0</v>
      </c>
      <c r="AD1595" t="s">
        <v>416</v>
      </c>
      <c r="AE1595">
        <v>0</v>
      </c>
      <c r="AF1595">
        <v>0</v>
      </c>
      <c r="AG1595" t="s">
        <v>111</v>
      </c>
      <c r="AH1595" t="s">
        <v>113</v>
      </c>
      <c r="AI1595" t="s">
        <v>111</v>
      </c>
      <c r="AJ1595" t="s">
        <v>111</v>
      </c>
      <c r="AK1595" t="s">
        <v>111</v>
      </c>
      <c r="AL1595" t="s">
        <v>111</v>
      </c>
      <c r="AM1595">
        <v>0</v>
      </c>
      <c r="AN1595">
        <v>0</v>
      </c>
      <c r="AO1595">
        <v>0</v>
      </c>
      <c r="AP1595" t="s">
        <v>111</v>
      </c>
      <c r="AQ1595" t="s">
        <v>111</v>
      </c>
      <c r="AR1595" t="s">
        <v>111</v>
      </c>
      <c r="AS1595" t="s">
        <v>111</v>
      </c>
      <c r="AT1595" t="s">
        <v>111</v>
      </c>
      <c r="AU1595" t="s">
        <v>111</v>
      </c>
      <c r="AV1595" t="s">
        <v>111</v>
      </c>
      <c r="AW1595" t="s">
        <v>111</v>
      </c>
      <c r="AX1595" t="s">
        <v>111</v>
      </c>
      <c r="AY1595" t="s">
        <v>111</v>
      </c>
      <c r="AZ1595" t="s">
        <v>111</v>
      </c>
      <c r="BA1595" t="s">
        <v>111</v>
      </c>
      <c r="BB1595" t="s">
        <v>111</v>
      </c>
      <c r="BC1595" t="s">
        <v>111</v>
      </c>
      <c r="BD1595" t="s">
        <v>111</v>
      </c>
      <c r="BE1595" t="s">
        <v>111</v>
      </c>
      <c r="BF1595" t="s">
        <v>111</v>
      </c>
      <c r="BG1595" t="s">
        <v>111</v>
      </c>
      <c r="BH1595" t="s">
        <v>111</v>
      </c>
      <c r="BI1595" t="s">
        <v>111</v>
      </c>
      <c r="BJ1595" t="s">
        <v>111</v>
      </c>
      <c r="BK1595" t="s">
        <v>111</v>
      </c>
      <c r="BL1595" t="s">
        <v>111</v>
      </c>
      <c r="BM1595" t="s">
        <v>111</v>
      </c>
      <c r="BN1595" t="s">
        <v>111</v>
      </c>
      <c r="BO1595" t="s">
        <v>111</v>
      </c>
      <c r="BP1595" t="s">
        <v>111</v>
      </c>
      <c r="BQ1595" t="s">
        <v>111</v>
      </c>
      <c r="BR1595" t="s">
        <v>111</v>
      </c>
      <c r="BS1595" t="s">
        <v>111</v>
      </c>
      <c r="BT1595" t="s">
        <v>111</v>
      </c>
      <c r="BU1595" t="s">
        <v>111</v>
      </c>
      <c r="BV1595" t="s">
        <v>111</v>
      </c>
      <c r="BW1595" t="s">
        <v>111</v>
      </c>
      <c r="BX1595" t="s">
        <v>111</v>
      </c>
      <c r="BY1595" t="s">
        <v>111</v>
      </c>
      <c r="BZ1595" t="s">
        <v>111</v>
      </c>
      <c r="CA1595" t="s">
        <v>111</v>
      </c>
      <c r="CB1595" t="s">
        <v>111</v>
      </c>
      <c r="CC1595" t="s">
        <v>111</v>
      </c>
      <c r="CD1595" t="s">
        <v>111</v>
      </c>
      <c r="CE1595" t="s">
        <v>111</v>
      </c>
      <c r="CF1595" t="s">
        <v>111</v>
      </c>
      <c r="CG1595" t="s">
        <v>111</v>
      </c>
      <c r="CH1595" t="s">
        <v>111</v>
      </c>
      <c r="CI1595" t="s">
        <v>111</v>
      </c>
      <c r="CJ1595" t="s">
        <v>111</v>
      </c>
      <c r="CK1595" t="s">
        <v>111</v>
      </c>
      <c r="CL1595" t="s">
        <v>111</v>
      </c>
      <c r="CM1595" t="s">
        <v>438</v>
      </c>
      <c r="CN1595" t="s">
        <v>111</v>
      </c>
      <c r="CO1595" t="s">
        <v>111</v>
      </c>
      <c r="CP1595" t="s">
        <v>111</v>
      </c>
      <c r="CQ1595">
        <v>98</v>
      </c>
      <c r="CR1595">
        <v>15000</v>
      </c>
      <c r="CS1595">
        <v>500</v>
      </c>
      <c r="CT1595" t="e">
        <f>-ALMACEN</f>
        <v>#NAME?</v>
      </c>
      <c r="CU1595">
        <v>0</v>
      </c>
      <c r="CV1595" t="s">
        <v>111</v>
      </c>
      <c r="CW1595" t="s">
        <v>111</v>
      </c>
      <c r="CX1595" t="s">
        <v>111</v>
      </c>
      <c r="CY1595">
        <v>0</v>
      </c>
      <c r="CZ1595" t="s">
        <v>111</v>
      </c>
      <c r="DA1595" t="s">
        <v>111</v>
      </c>
      <c r="DB1595" t="s">
        <v>111</v>
      </c>
      <c r="DC1595" t="s">
        <v>111</v>
      </c>
    </row>
    <row r="1596" spans="1:107">
      <c r="A1596">
        <v>1398</v>
      </c>
      <c r="B1596" t="s">
        <v>107</v>
      </c>
      <c r="C1596" t="s">
        <v>1643</v>
      </c>
      <c r="D1596" t="s">
        <v>4240</v>
      </c>
      <c r="E1596" t="s">
        <v>4446</v>
      </c>
      <c r="F1596" t="s">
        <v>2211</v>
      </c>
      <c r="G1596" t="s">
        <v>24</v>
      </c>
      <c r="H1596">
        <v>1</v>
      </c>
      <c r="I1596">
        <v>35</v>
      </c>
      <c r="J1596">
        <v>0</v>
      </c>
      <c r="K1596">
        <v>0</v>
      </c>
      <c r="L1596" t="s">
        <v>2054</v>
      </c>
      <c r="M1596" t="s">
        <v>111</v>
      </c>
      <c r="N1596">
        <v>0</v>
      </c>
      <c r="O1596">
        <v>0</v>
      </c>
      <c r="P1596" t="s">
        <v>111</v>
      </c>
      <c r="Q1596">
        <v>32.6</v>
      </c>
      <c r="R1596">
        <v>0</v>
      </c>
      <c r="S1596">
        <v>0</v>
      </c>
      <c r="T1596">
        <v>0</v>
      </c>
      <c r="U1596" s="1" t="s">
        <v>4447</v>
      </c>
      <c r="V1596">
        <v>0</v>
      </c>
      <c r="W1596">
        <v>0</v>
      </c>
      <c r="X1596">
        <v>0</v>
      </c>
      <c r="Y1596">
        <v>250</v>
      </c>
      <c r="Z1596" t="s">
        <v>111</v>
      </c>
      <c r="AA1596">
        <v>0</v>
      </c>
      <c r="AB1596" t="s">
        <v>111</v>
      </c>
      <c r="AC1596">
        <v>0</v>
      </c>
      <c r="AD1596" t="s">
        <v>111</v>
      </c>
      <c r="AE1596">
        <v>0</v>
      </c>
      <c r="AF1596">
        <v>0</v>
      </c>
      <c r="AG1596" t="s">
        <v>111</v>
      </c>
      <c r="AH1596" t="s">
        <v>111</v>
      </c>
      <c r="AI1596" t="s">
        <v>111</v>
      </c>
      <c r="AJ1596" t="s">
        <v>111</v>
      </c>
      <c r="AK1596" t="s">
        <v>111</v>
      </c>
      <c r="AL1596" t="s">
        <v>111</v>
      </c>
      <c r="AM1596">
        <v>0</v>
      </c>
      <c r="AN1596">
        <v>0</v>
      </c>
      <c r="AO1596">
        <v>0</v>
      </c>
      <c r="AP1596" t="s">
        <v>111</v>
      </c>
      <c r="AQ1596" t="s">
        <v>111</v>
      </c>
      <c r="AR1596" t="s">
        <v>111</v>
      </c>
      <c r="AS1596" t="s">
        <v>111</v>
      </c>
      <c r="AT1596" t="s">
        <v>111</v>
      </c>
      <c r="AU1596" t="s">
        <v>111</v>
      </c>
      <c r="AV1596" t="s">
        <v>111</v>
      </c>
      <c r="AW1596" t="s">
        <v>111</v>
      </c>
      <c r="AX1596" t="s">
        <v>111</v>
      </c>
      <c r="AY1596" t="s">
        <v>111</v>
      </c>
      <c r="AZ1596" t="s">
        <v>111</v>
      </c>
      <c r="BA1596" t="s">
        <v>111</v>
      </c>
      <c r="BB1596" t="s">
        <v>111</v>
      </c>
      <c r="BC1596" t="s">
        <v>111</v>
      </c>
      <c r="BD1596" t="s">
        <v>111</v>
      </c>
      <c r="BE1596" t="s">
        <v>111</v>
      </c>
      <c r="BF1596" t="s">
        <v>111</v>
      </c>
      <c r="BG1596" t="s">
        <v>111</v>
      </c>
      <c r="BH1596" t="s">
        <v>111</v>
      </c>
      <c r="BI1596" t="s">
        <v>111</v>
      </c>
      <c r="BJ1596" t="s">
        <v>111</v>
      </c>
      <c r="BK1596" t="s">
        <v>111</v>
      </c>
      <c r="BL1596" t="s">
        <v>111</v>
      </c>
      <c r="BM1596" t="s">
        <v>111</v>
      </c>
      <c r="BN1596" t="s">
        <v>111</v>
      </c>
      <c r="BO1596" t="s">
        <v>111</v>
      </c>
      <c r="BP1596" t="s">
        <v>111</v>
      </c>
      <c r="BQ1596" t="s">
        <v>111</v>
      </c>
      <c r="BR1596" t="s">
        <v>111</v>
      </c>
      <c r="BS1596" t="s">
        <v>111</v>
      </c>
      <c r="BT1596" t="s">
        <v>111</v>
      </c>
      <c r="BU1596" t="s">
        <v>111</v>
      </c>
      <c r="BV1596" t="s">
        <v>111</v>
      </c>
      <c r="BW1596" t="s">
        <v>111</v>
      </c>
      <c r="BX1596" t="s">
        <v>111</v>
      </c>
      <c r="BY1596" t="s">
        <v>111</v>
      </c>
      <c r="BZ1596" t="s">
        <v>111</v>
      </c>
      <c r="CA1596" t="s">
        <v>111</v>
      </c>
      <c r="CB1596" t="s">
        <v>111</v>
      </c>
      <c r="CC1596" t="s">
        <v>111</v>
      </c>
      <c r="CD1596" t="s">
        <v>111</v>
      </c>
      <c r="CE1596" t="s">
        <v>111</v>
      </c>
      <c r="CF1596" t="s">
        <v>111</v>
      </c>
      <c r="CG1596" t="s">
        <v>111</v>
      </c>
      <c r="CH1596" t="s">
        <v>111</v>
      </c>
      <c r="CI1596" t="s">
        <v>111</v>
      </c>
      <c r="CJ1596" t="s">
        <v>111</v>
      </c>
      <c r="CK1596" t="s">
        <v>111</v>
      </c>
      <c r="CL1596" t="s">
        <v>111</v>
      </c>
      <c r="CM1596" t="s">
        <v>111</v>
      </c>
      <c r="CN1596" t="s">
        <v>111</v>
      </c>
      <c r="CO1596" t="s">
        <v>111</v>
      </c>
      <c r="CP1596" t="s">
        <v>111</v>
      </c>
      <c r="CQ1596">
        <v>0</v>
      </c>
      <c r="CR1596">
        <v>0</v>
      </c>
      <c r="CS1596">
        <v>0</v>
      </c>
      <c r="CT1596" t="s">
        <v>111</v>
      </c>
      <c r="CU1596">
        <v>0</v>
      </c>
      <c r="CV1596" t="s">
        <v>111</v>
      </c>
      <c r="CW1596" t="s">
        <v>111</v>
      </c>
      <c r="CX1596" t="s">
        <v>111</v>
      </c>
      <c r="CY1596">
        <v>0</v>
      </c>
      <c r="CZ1596" t="s">
        <v>111</v>
      </c>
      <c r="DA1596" t="s">
        <v>111</v>
      </c>
      <c r="DB1596" t="s">
        <v>111</v>
      </c>
      <c r="DC1596" t="s">
        <v>111</v>
      </c>
    </row>
    <row r="1597" spans="1:107">
      <c r="A1597">
        <v>1387</v>
      </c>
      <c r="B1597" t="s">
        <v>107</v>
      </c>
      <c r="C1597" t="s">
        <v>4214</v>
      </c>
      <c r="D1597" t="s">
        <v>4392</v>
      </c>
      <c r="E1597" t="s">
        <v>4448</v>
      </c>
      <c r="F1597" t="s">
        <v>110</v>
      </c>
      <c r="G1597" t="s">
        <v>24</v>
      </c>
      <c r="H1597">
        <v>0.9</v>
      </c>
      <c r="I1597">
        <v>40</v>
      </c>
      <c r="J1597">
        <v>0</v>
      </c>
      <c r="K1597">
        <v>0</v>
      </c>
      <c r="L1597" t="s">
        <v>112</v>
      </c>
      <c r="M1597" t="s">
        <v>111</v>
      </c>
      <c r="N1597">
        <v>0</v>
      </c>
      <c r="O1597">
        <v>0</v>
      </c>
      <c r="P1597" t="s">
        <v>111</v>
      </c>
      <c r="Q1597">
        <v>32.6</v>
      </c>
      <c r="R1597">
        <v>0</v>
      </c>
      <c r="S1597">
        <v>0</v>
      </c>
      <c r="T1597">
        <v>0</v>
      </c>
      <c r="U1597" s="1" t="s">
        <v>4449</v>
      </c>
      <c r="V1597">
        <v>0</v>
      </c>
      <c r="W1597">
        <v>0</v>
      </c>
      <c r="X1597">
        <v>0</v>
      </c>
      <c r="Y1597">
        <v>250</v>
      </c>
      <c r="Z1597" t="s">
        <v>111</v>
      </c>
      <c r="AA1597">
        <v>0</v>
      </c>
      <c r="AB1597" t="s">
        <v>111</v>
      </c>
      <c r="AC1597">
        <v>0</v>
      </c>
      <c r="AD1597" t="s">
        <v>111</v>
      </c>
      <c r="AE1597">
        <v>0</v>
      </c>
      <c r="AF1597">
        <v>0</v>
      </c>
      <c r="AG1597" t="s">
        <v>111</v>
      </c>
      <c r="AH1597" t="s">
        <v>111</v>
      </c>
      <c r="AI1597" t="s">
        <v>111</v>
      </c>
      <c r="AJ1597" t="s">
        <v>111</v>
      </c>
      <c r="AK1597" t="s">
        <v>111</v>
      </c>
      <c r="AL1597" t="s">
        <v>111</v>
      </c>
      <c r="AM1597">
        <v>0</v>
      </c>
      <c r="AN1597">
        <v>0</v>
      </c>
      <c r="AO1597">
        <v>0</v>
      </c>
      <c r="AP1597" t="s">
        <v>111</v>
      </c>
      <c r="AQ1597" t="s">
        <v>111</v>
      </c>
      <c r="AR1597" t="s">
        <v>111</v>
      </c>
      <c r="AS1597" t="s">
        <v>111</v>
      </c>
      <c r="AT1597" t="s">
        <v>111</v>
      </c>
      <c r="AU1597" t="s">
        <v>111</v>
      </c>
      <c r="AV1597" t="s">
        <v>111</v>
      </c>
      <c r="AW1597" t="s">
        <v>111</v>
      </c>
      <c r="AX1597" t="s">
        <v>111</v>
      </c>
      <c r="AY1597" t="s">
        <v>111</v>
      </c>
      <c r="AZ1597" t="s">
        <v>111</v>
      </c>
      <c r="BA1597" t="s">
        <v>111</v>
      </c>
      <c r="BB1597" t="s">
        <v>111</v>
      </c>
      <c r="BC1597" t="s">
        <v>111</v>
      </c>
      <c r="BD1597" t="s">
        <v>111</v>
      </c>
      <c r="BE1597" t="s">
        <v>111</v>
      </c>
      <c r="BF1597" t="s">
        <v>111</v>
      </c>
      <c r="BG1597" t="s">
        <v>111</v>
      </c>
      <c r="BH1597" t="s">
        <v>111</v>
      </c>
      <c r="BI1597" t="s">
        <v>111</v>
      </c>
      <c r="BJ1597" t="s">
        <v>111</v>
      </c>
      <c r="BK1597" t="s">
        <v>111</v>
      </c>
      <c r="BL1597" t="s">
        <v>111</v>
      </c>
      <c r="BM1597" t="s">
        <v>111</v>
      </c>
      <c r="BN1597" t="s">
        <v>111</v>
      </c>
      <c r="BO1597" t="s">
        <v>111</v>
      </c>
      <c r="BP1597" t="s">
        <v>111</v>
      </c>
      <c r="BQ1597" t="s">
        <v>111</v>
      </c>
      <c r="BR1597" t="s">
        <v>111</v>
      </c>
      <c r="BS1597" t="s">
        <v>111</v>
      </c>
      <c r="BT1597" t="s">
        <v>111</v>
      </c>
      <c r="BU1597" t="s">
        <v>111</v>
      </c>
      <c r="BV1597" t="s">
        <v>111</v>
      </c>
      <c r="BW1597" t="s">
        <v>111</v>
      </c>
      <c r="BX1597" t="s">
        <v>111</v>
      </c>
      <c r="BY1597" t="s">
        <v>111</v>
      </c>
      <c r="BZ1597" t="s">
        <v>111</v>
      </c>
      <c r="CA1597" t="s">
        <v>111</v>
      </c>
      <c r="CB1597" t="s">
        <v>111</v>
      </c>
      <c r="CC1597" t="s">
        <v>111</v>
      </c>
      <c r="CD1597" t="s">
        <v>111</v>
      </c>
      <c r="CE1597" t="s">
        <v>111</v>
      </c>
      <c r="CF1597" t="s">
        <v>111</v>
      </c>
      <c r="CG1597" t="s">
        <v>111</v>
      </c>
      <c r="CH1597" t="s">
        <v>111</v>
      </c>
      <c r="CI1597" t="s">
        <v>111</v>
      </c>
      <c r="CJ1597" t="s">
        <v>111</v>
      </c>
      <c r="CK1597" t="s">
        <v>111</v>
      </c>
      <c r="CL1597" t="s">
        <v>111</v>
      </c>
      <c r="CM1597" t="s">
        <v>111</v>
      </c>
      <c r="CN1597" t="s">
        <v>111</v>
      </c>
      <c r="CO1597" t="s">
        <v>111</v>
      </c>
      <c r="CP1597" t="s">
        <v>111</v>
      </c>
      <c r="CQ1597">
        <v>0</v>
      </c>
      <c r="CR1597">
        <v>0</v>
      </c>
      <c r="CS1597">
        <v>0</v>
      </c>
      <c r="CT1597" t="s">
        <v>111</v>
      </c>
      <c r="CU1597">
        <v>0</v>
      </c>
      <c r="CV1597" t="s">
        <v>111</v>
      </c>
      <c r="CW1597" t="s">
        <v>111</v>
      </c>
      <c r="CX1597" t="s">
        <v>111</v>
      </c>
      <c r="CY1597">
        <v>0</v>
      </c>
      <c r="CZ1597" t="s">
        <v>111</v>
      </c>
      <c r="DA1597" t="s">
        <v>111</v>
      </c>
      <c r="DB1597" t="s">
        <v>111</v>
      </c>
      <c r="DC1597" t="s">
        <v>111</v>
      </c>
    </row>
    <row r="1598" spans="1:107">
      <c r="A1598">
        <v>1376</v>
      </c>
      <c r="B1598" t="s">
        <v>107</v>
      </c>
      <c r="C1598" t="s">
        <v>4165</v>
      </c>
      <c r="D1598" t="s">
        <v>4252</v>
      </c>
      <c r="E1598" t="s">
        <v>4450</v>
      </c>
      <c r="F1598" t="s">
        <v>110</v>
      </c>
      <c r="G1598" t="s">
        <v>24</v>
      </c>
      <c r="H1598">
        <v>0.95</v>
      </c>
      <c r="I1598">
        <v>35</v>
      </c>
      <c r="J1598">
        <v>0</v>
      </c>
      <c r="K1598">
        <v>0</v>
      </c>
      <c r="L1598" t="s">
        <v>112</v>
      </c>
      <c r="M1598" t="s">
        <v>118</v>
      </c>
      <c r="N1598">
        <v>40</v>
      </c>
      <c r="O1598">
        <v>2</v>
      </c>
      <c r="P1598" t="s">
        <v>111</v>
      </c>
      <c r="Q1598">
        <v>39.299999999999997</v>
      </c>
      <c r="R1598">
        <v>0</v>
      </c>
      <c r="S1598">
        <v>0</v>
      </c>
      <c r="T1598">
        <v>0</v>
      </c>
      <c r="U1598" s="1" t="s">
        <v>4451</v>
      </c>
      <c r="V1598">
        <v>0</v>
      </c>
      <c r="W1598">
        <v>0</v>
      </c>
      <c r="X1598">
        <v>0</v>
      </c>
      <c r="Y1598">
        <v>250</v>
      </c>
      <c r="Z1598" t="s">
        <v>111</v>
      </c>
      <c r="AA1598">
        <v>0</v>
      </c>
      <c r="AB1598" t="s">
        <v>111</v>
      </c>
      <c r="AC1598">
        <v>0</v>
      </c>
      <c r="AD1598" t="s">
        <v>111</v>
      </c>
      <c r="AE1598">
        <v>0</v>
      </c>
      <c r="AF1598">
        <v>0</v>
      </c>
      <c r="AG1598" t="s">
        <v>111</v>
      </c>
      <c r="AH1598" t="s">
        <v>111</v>
      </c>
      <c r="AI1598" t="s">
        <v>111</v>
      </c>
      <c r="AJ1598" t="s">
        <v>111</v>
      </c>
      <c r="AK1598" t="s">
        <v>111</v>
      </c>
      <c r="AL1598" t="s">
        <v>111</v>
      </c>
      <c r="AM1598">
        <v>0</v>
      </c>
      <c r="AN1598">
        <v>0</v>
      </c>
      <c r="AO1598">
        <v>0</v>
      </c>
      <c r="AP1598" t="s">
        <v>111</v>
      </c>
      <c r="AQ1598" t="s">
        <v>111</v>
      </c>
      <c r="AR1598" t="s">
        <v>111</v>
      </c>
      <c r="AS1598" t="s">
        <v>111</v>
      </c>
      <c r="AT1598" t="s">
        <v>111</v>
      </c>
      <c r="AU1598" t="s">
        <v>111</v>
      </c>
      <c r="AV1598" t="s">
        <v>111</v>
      </c>
      <c r="AW1598" t="s">
        <v>111</v>
      </c>
      <c r="AX1598" t="s">
        <v>111</v>
      </c>
      <c r="AY1598" t="s">
        <v>111</v>
      </c>
      <c r="AZ1598" t="s">
        <v>111</v>
      </c>
      <c r="BA1598" t="s">
        <v>111</v>
      </c>
      <c r="BB1598" t="s">
        <v>111</v>
      </c>
      <c r="BC1598" t="s">
        <v>111</v>
      </c>
      <c r="BD1598" t="s">
        <v>111</v>
      </c>
      <c r="BE1598" t="s">
        <v>111</v>
      </c>
      <c r="BF1598" t="s">
        <v>111</v>
      </c>
      <c r="BG1598" t="s">
        <v>111</v>
      </c>
      <c r="BH1598" t="s">
        <v>111</v>
      </c>
      <c r="BI1598" t="s">
        <v>111</v>
      </c>
      <c r="BJ1598" t="s">
        <v>111</v>
      </c>
      <c r="BK1598" t="s">
        <v>111</v>
      </c>
      <c r="BL1598" t="s">
        <v>111</v>
      </c>
      <c r="BM1598" t="s">
        <v>111</v>
      </c>
      <c r="BN1598" t="s">
        <v>111</v>
      </c>
      <c r="BO1598" t="s">
        <v>111</v>
      </c>
      <c r="BP1598" t="s">
        <v>111</v>
      </c>
      <c r="BQ1598" t="s">
        <v>111</v>
      </c>
      <c r="BR1598" t="s">
        <v>111</v>
      </c>
      <c r="BS1598" t="s">
        <v>111</v>
      </c>
      <c r="BT1598" t="s">
        <v>111</v>
      </c>
      <c r="BU1598" t="s">
        <v>111</v>
      </c>
      <c r="BV1598" t="s">
        <v>111</v>
      </c>
      <c r="BW1598" t="s">
        <v>111</v>
      </c>
      <c r="BX1598" t="s">
        <v>111</v>
      </c>
      <c r="BY1598" t="s">
        <v>111</v>
      </c>
      <c r="BZ1598" t="s">
        <v>111</v>
      </c>
      <c r="CA1598" t="s">
        <v>111</v>
      </c>
      <c r="CB1598" t="s">
        <v>111</v>
      </c>
      <c r="CC1598" t="s">
        <v>111</v>
      </c>
      <c r="CD1598" t="s">
        <v>111</v>
      </c>
      <c r="CE1598" t="s">
        <v>111</v>
      </c>
      <c r="CF1598" t="s">
        <v>111</v>
      </c>
      <c r="CG1598" t="s">
        <v>111</v>
      </c>
      <c r="CH1598" t="s">
        <v>111</v>
      </c>
      <c r="CI1598" t="s">
        <v>111</v>
      </c>
      <c r="CJ1598" t="s">
        <v>111</v>
      </c>
      <c r="CK1598" t="s">
        <v>111</v>
      </c>
      <c r="CL1598" t="s">
        <v>111</v>
      </c>
      <c r="CM1598" t="s">
        <v>111</v>
      </c>
      <c r="CN1598" t="s">
        <v>111</v>
      </c>
      <c r="CO1598" t="s">
        <v>111</v>
      </c>
      <c r="CP1598" t="s">
        <v>111</v>
      </c>
      <c r="CQ1598">
        <v>0</v>
      </c>
      <c r="CR1598">
        <v>0</v>
      </c>
      <c r="CS1598">
        <v>0</v>
      </c>
      <c r="CT1598" t="s">
        <v>111</v>
      </c>
      <c r="CU1598">
        <v>0</v>
      </c>
      <c r="CV1598" t="s">
        <v>111</v>
      </c>
      <c r="CW1598" t="s">
        <v>111</v>
      </c>
      <c r="CX1598" t="s">
        <v>111</v>
      </c>
      <c r="CY1598">
        <v>0</v>
      </c>
      <c r="CZ1598" t="s">
        <v>111</v>
      </c>
      <c r="DA1598" t="s">
        <v>111</v>
      </c>
      <c r="DB1598" t="s">
        <v>111</v>
      </c>
      <c r="DC1598" t="s">
        <v>111</v>
      </c>
    </row>
    <row r="1599" spans="1:107">
      <c r="A1599">
        <v>1915</v>
      </c>
      <c r="B1599" t="s">
        <v>107</v>
      </c>
      <c r="C1599" t="s">
        <v>3783</v>
      </c>
      <c r="D1599" t="s">
        <v>3960</v>
      </c>
      <c r="E1599" t="s">
        <v>4452</v>
      </c>
      <c r="F1599" t="s">
        <v>1260</v>
      </c>
      <c r="G1599" t="s">
        <v>24</v>
      </c>
      <c r="H1599">
        <v>1.9</v>
      </c>
      <c r="I1599">
        <v>40</v>
      </c>
      <c r="J1599">
        <v>0</v>
      </c>
      <c r="K1599">
        <v>0</v>
      </c>
      <c r="L1599" t="s">
        <v>117</v>
      </c>
      <c r="M1599" t="s">
        <v>118</v>
      </c>
      <c r="N1599">
        <v>39</v>
      </c>
      <c r="O1599">
        <v>1</v>
      </c>
      <c r="P1599" t="s">
        <v>111</v>
      </c>
      <c r="Q1599">
        <v>44.2</v>
      </c>
      <c r="R1599">
        <v>0</v>
      </c>
      <c r="S1599">
        <v>0</v>
      </c>
      <c r="T1599">
        <v>5</v>
      </c>
      <c r="U1599" s="1" t="s">
        <v>4453</v>
      </c>
      <c r="V1599">
        <v>0</v>
      </c>
      <c r="W1599">
        <v>0</v>
      </c>
      <c r="X1599">
        <v>0</v>
      </c>
      <c r="Y1599">
        <v>25</v>
      </c>
      <c r="Z1599" t="s">
        <v>111</v>
      </c>
      <c r="AA1599">
        <v>0</v>
      </c>
      <c r="AB1599" t="s">
        <v>111</v>
      </c>
      <c r="AC1599">
        <v>0</v>
      </c>
      <c r="AD1599" t="s">
        <v>416</v>
      </c>
      <c r="AE1599">
        <v>0</v>
      </c>
      <c r="AF1599">
        <v>0</v>
      </c>
      <c r="AG1599" t="s">
        <v>111</v>
      </c>
      <c r="AH1599" t="s">
        <v>111</v>
      </c>
      <c r="AI1599" t="s">
        <v>111</v>
      </c>
      <c r="AJ1599" t="s">
        <v>111</v>
      </c>
      <c r="AK1599" t="s">
        <v>111</v>
      </c>
      <c r="AL1599" t="s">
        <v>111</v>
      </c>
      <c r="AM1599">
        <v>0</v>
      </c>
      <c r="AN1599">
        <v>0</v>
      </c>
      <c r="AO1599">
        <v>0</v>
      </c>
      <c r="AP1599" t="s">
        <v>111</v>
      </c>
      <c r="AQ1599" t="s">
        <v>111</v>
      </c>
      <c r="AR1599" t="s">
        <v>111</v>
      </c>
      <c r="AS1599" t="s">
        <v>111</v>
      </c>
      <c r="AT1599" t="s">
        <v>111</v>
      </c>
      <c r="AU1599" t="s">
        <v>111</v>
      </c>
      <c r="AV1599" t="s">
        <v>111</v>
      </c>
      <c r="AW1599" t="s">
        <v>111</v>
      </c>
      <c r="AX1599" t="s">
        <v>111</v>
      </c>
      <c r="AY1599" t="s">
        <v>111</v>
      </c>
      <c r="AZ1599" t="s">
        <v>111</v>
      </c>
      <c r="BA1599" t="s">
        <v>111</v>
      </c>
      <c r="BB1599" t="s">
        <v>111</v>
      </c>
      <c r="BC1599" t="s">
        <v>111</v>
      </c>
      <c r="BD1599" t="s">
        <v>111</v>
      </c>
      <c r="BE1599" t="s">
        <v>111</v>
      </c>
      <c r="BF1599" t="s">
        <v>111</v>
      </c>
      <c r="BG1599" t="s">
        <v>111</v>
      </c>
      <c r="BH1599" t="s">
        <v>111</v>
      </c>
      <c r="BI1599" t="s">
        <v>111</v>
      </c>
      <c r="BJ1599" t="s">
        <v>111</v>
      </c>
      <c r="BK1599" t="s">
        <v>111</v>
      </c>
      <c r="BL1599" t="s">
        <v>111</v>
      </c>
      <c r="BM1599" t="s">
        <v>111</v>
      </c>
      <c r="BN1599" t="s">
        <v>111</v>
      </c>
      <c r="BO1599" t="s">
        <v>111</v>
      </c>
      <c r="BP1599" t="s">
        <v>111</v>
      </c>
      <c r="BQ1599" t="s">
        <v>111</v>
      </c>
      <c r="BR1599" t="s">
        <v>111</v>
      </c>
      <c r="BS1599" t="s">
        <v>111</v>
      </c>
      <c r="BT1599" t="s">
        <v>111</v>
      </c>
      <c r="BU1599" t="s">
        <v>111</v>
      </c>
      <c r="BV1599" t="s">
        <v>111</v>
      </c>
      <c r="BW1599" t="s">
        <v>111</v>
      </c>
      <c r="BX1599" t="s">
        <v>111</v>
      </c>
      <c r="BY1599" t="s">
        <v>111</v>
      </c>
      <c r="BZ1599" t="s">
        <v>111</v>
      </c>
      <c r="CA1599" t="s">
        <v>111</v>
      </c>
      <c r="CB1599" t="s">
        <v>111</v>
      </c>
      <c r="CC1599" t="s">
        <v>111</v>
      </c>
      <c r="CD1599" t="s">
        <v>111</v>
      </c>
      <c r="CE1599" t="s">
        <v>111</v>
      </c>
      <c r="CF1599" t="s">
        <v>111</v>
      </c>
      <c r="CG1599" t="s">
        <v>111</v>
      </c>
      <c r="CH1599" t="s">
        <v>111</v>
      </c>
      <c r="CI1599" t="s">
        <v>111</v>
      </c>
      <c r="CJ1599" t="s">
        <v>111</v>
      </c>
      <c r="CK1599" t="s">
        <v>111</v>
      </c>
      <c r="CL1599" t="s">
        <v>111</v>
      </c>
      <c r="CM1599">
        <v>450</v>
      </c>
      <c r="CN1599" t="s">
        <v>111</v>
      </c>
      <c r="CO1599" t="s">
        <v>111</v>
      </c>
      <c r="CP1599" t="s">
        <v>111</v>
      </c>
      <c r="CQ1599">
        <v>0</v>
      </c>
      <c r="CR1599">
        <v>26000</v>
      </c>
      <c r="CS1599">
        <v>26000</v>
      </c>
      <c r="CT1599" t="e">
        <f>-ALMACEN</f>
        <v>#NAME?</v>
      </c>
      <c r="CU1599">
        <v>0</v>
      </c>
      <c r="CV1599" t="s">
        <v>111</v>
      </c>
      <c r="CX1599" t="s">
        <v>111</v>
      </c>
      <c r="CY1599">
        <v>0</v>
      </c>
      <c r="CZ1599" t="s">
        <v>111</v>
      </c>
      <c r="DA1599" t="s">
        <v>111</v>
      </c>
      <c r="DB1599" t="s">
        <v>111</v>
      </c>
      <c r="DC1599" t="s">
        <v>111</v>
      </c>
    </row>
    <row r="1600" spans="1:107">
      <c r="A1600">
        <v>1979</v>
      </c>
      <c r="B1600" t="s">
        <v>107</v>
      </c>
      <c r="C1600" t="s">
        <v>593</v>
      </c>
      <c r="D1600" t="s">
        <v>4454</v>
      </c>
      <c r="E1600" t="s">
        <v>4455</v>
      </c>
      <c r="F1600" t="s">
        <v>1071</v>
      </c>
      <c r="G1600" t="s">
        <v>24</v>
      </c>
      <c r="H1600">
        <v>1.4</v>
      </c>
      <c r="I1600">
        <v>48</v>
      </c>
      <c r="J1600">
        <v>0</v>
      </c>
      <c r="K1600">
        <v>0</v>
      </c>
      <c r="L1600" t="s">
        <v>112</v>
      </c>
      <c r="M1600" t="s">
        <v>111</v>
      </c>
      <c r="N1600">
        <v>0</v>
      </c>
      <c r="O1600">
        <v>0</v>
      </c>
      <c r="P1600" t="s">
        <v>111</v>
      </c>
      <c r="Q1600">
        <v>34.5</v>
      </c>
      <c r="R1600">
        <v>0</v>
      </c>
      <c r="S1600">
        <v>0</v>
      </c>
      <c r="T1600">
        <v>5</v>
      </c>
      <c r="U1600" t="e">
        <f>-SELLADO</f>
        <v>#NAME?</v>
      </c>
      <c r="V1600">
        <v>0</v>
      </c>
      <c r="W1600">
        <v>0</v>
      </c>
      <c r="X1600">
        <v>0</v>
      </c>
      <c r="Y1600">
        <v>25</v>
      </c>
      <c r="Z1600" t="s">
        <v>111</v>
      </c>
      <c r="AA1600">
        <v>0</v>
      </c>
      <c r="AB1600" t="s">
        <v>4456</v>
      </c>
      <c r="AC1600">
        <v>3</v>
      </c>
      <c r="AD1600" t="s">
        <v>111</v>
      </c>
      <c r="AE1600">
        <v>0</v>
      </c>
      <c r="AF1600">
        <v>0</v>
      </c>
      <c r="AG1600" t="s">
        <v>111</v>
      </c>
      <c r="AH1600" t="s">
        <v>111</v>
      </c>
      <c r="AI1600" t="s">
        <v>111</v>
      </c>
      <c r="AJ1600" t="s">
        <v>111</v>
      </c>
      <c r="AK1600" t="s">
        <v>111</v>
      </c>
      <c r="AL1600" t="s">
        <v>111</v>
      </c>
      <c r="AM1600">
        <v>0</v>
      </c>
      <c r="AN1600">
        <v>0</v>
      </c>
      <c r="AO1600">
        <v>0</v>
      </c>
      <c r="AP1600" t="s">
        <v>111</v>
      </c>
      <c r="AQ1600" t="s">
        <v>111</v>
      </c>
      <c r="AR1600" t="s">
        <v>111</v>
      </c>
      <c r="AS1600" t="s">
        <v>111</v>
      </c>
      <c r="AT1600" t="s">
        <v>111</v>
      </c>
      <c r="AU1600" t="s">
        <v>111</v>
      </c>
      <c r="AV1600" t="s">
        <v>111</v>
      </c>
      <c r="AW1600" t="s">
        <v>111</v>
      </c>
      <c r="AX1600" t="s">
        <v>111</v>
      </c>
      <c r="AY1600" t="s">
        <v>111</v>
      </c>
      <c r="AZ1600" t="s">
        <v>111</v>
      </c>
      <c r="BA1600" t="s">
        <v>111</v>
      </c>
      <c r="BB1600" t="s">
        <v>111</v>
      </c>
      <c r="BC1600" t="s">
        <v>111</v>
      </c>
      <c r="BD1600" t="s">
        <v>111</v>
      </c>
      <c r="BE1600" t="s">
        <v>111</v>
      </c>
      <c r="BF1600" t="s">
        <v>111</v>
      </c>
      <c r="BG1600" t="s">
        <v>111</v>
      </c>
      <c r="BH1600" t="s">
        <v>111</v>
      </c>
      <c r="BI1600" t="s">
        <v>111</v>
      </c>
      <c r="BJ1600" t="s">
        <v>111</v>
      </c>
      <c r="BK1600" t="s">
        <v>111</v>
      </c>
      <c r="BL1600" t="s">
        <v>111</v>
      </c>
      <c r="BM1600" t="s">
        <v>111</v>
      </c>
      <c r="BN1600" t="s">
        <v>111</v>
      </c>
      <c r="BO1600" t="s">
        <v>111</v>
      </c>
      <c r="BP1600" t="s">
        <v>111</v>
      </c>
      <c r="BQ1600" t="s">
        <v>111</v>
      </c>
      <c r="BR1600" t="s">
        <v>111</v>
      </c>
      <c r="BS1600" t="s">
        <v>111</v>
      </c>
      <c r="BT1600" t="s">
        <v>111</v>
      </c>
      <c r="BU1600" t="s">
        <v>111</v>
      </c>
      <c r="BV1600" t="s">
        <v>111</v>
      </c>
      <c r="BW1600" t="s">
        <v>111</v>
      </c>
      <c r="BX1600" t="s">
        <v>111</v>
      </c>
      <c r="BY1600" t="s">
        <v>111</v>
      </c>
      <c r="BZ1600" t="s">
        <v>111</v>
      </c>
      <c r="CA1600" t="s">
        <v>111</v>
      </c>
      <c r="CB1600" t="s">
        <v>111</v>
      </c>
      <c r="CC1600" t="s">
        <v>111</v>
      </c>
      <c r="CD1600" t="s">
        <v>111</v>
      </c>
      <c r="CE1600" t="s">
        <v>111</v>
      </c>
      <c r="CF1600" t="s">
        <v>111</v>
      </c>
      <c r="CG1600" t="s">
        <v>111</v>
      </c>
      <c r="CH1600" t="s">
        <v>111</v>
      </c>
      <c r="CI1600" t="s">
        <v>111</v>
      </c>
      <c r="CJ1600" t="s">
        <v>111</v>
      </c>
      <c r="CK1600" t="s">
        <v>111</v>
      </c>
      <c r="CL1600" t="s">
        <v>111</v>
      </c>
      <c r="CM1600" t="s">
        <v>438</v>
      </c>
      <c r="CN1600" t="s">
        <v>113</v>
      </c>
      <c r="CO1600" t="s">
        <v>111</v>
      </c>
      <c r="CP1600" t="s">
        <v>111</v>
      </c>
      <c r="CQ1600">
        <v>0</v>
      </c>
      <c r="CR1600">
        <v>2000</v>
      </c>
      <c r="CS1600">
        <v>200</v>
      </c>
      <c r="CT1600" s="1" t="s">
        <v>4457</v>
      </c>
      <c r="CU1600">
        <v>0</v>
      </c>
      <c r="CV1600" t="s">
        <v>111</v>
      </c>
      <c r="CX1600" t="s">
        <v>111</v>
      </c>
      <c r="CY1600">
        <v>0</v>
      </c>
      <c r="CZ1600" t="s">
        <v>111</v>
      </c>
      <c r="DA1600" t="s">
        <v>111</v>
      </c>
      <c r="DB1600" t="s">
        <v>111</v>
      </c>
      <c r="DC1600" t="s">
        <v>111</v>
      </c>
    </row>
    <row r="1601" spans="1:107">
      <c r="A1601">
        <v>1977</v>
      </c>
      <c r="B1601" t="s">
        <v>107</v>
      </c>
      <c r="C1601" t="s">
        <v>4458</v>
      </c>
      <c r="D1601" t="s">
        <v>4459</v>
      </c>
      <c r="E1601" t="s">
        <v>4460</v>
      </c>
      <c r="F1601" t="s">
        <v>1071</v>
      </c>
      <c r="G1601" t="s">
        <v>24</v>
      </c>
      <c r="H1601">
        <v>1.4</v>
      </c>
      <c r="I1601">
        <v>30</v>
      </c>
      <c r="J1601">
        <v>0</v>
      </c>
      <c r="K1601">
        <v>0</v>
      </c>
      <c r="L1601" t="s">
        <v>112</v>
      </c>
      <c r="M1601" t="s">
        <v>138</v>
      </c>
      <c r="N1601">
        <v>0</v>
      </c>
      <c r="O1601">
        <v>0</v>
      </c>
      <c r="P1601" t="s">
        <v>111</v>
      </c>
      <c r="Q1601">
        <v>36.4</v>
      </c>
      <c r="R1601">
        <v>0</v>
      </c>
      <c r="S1601">
        <v>0</v>
      </c>
      <c r="T1601">
        <v>5</v>
      </c>
      <c r="U1601" s="1" t="s">
        <v>851</v>
      </c>
      <c r="V1601">
        <v>0</v>
      </c>
      <c r="W1601">
        <v>0</v>
      </c>
      <c r="X1601">
        <v>0</v>
      </c>
      <c r="Y1601">
        <v>25</v>
      </c>
      <c r="Z1601" t="s">
        <v>111</v>
      </c>
      <c r="AA1601">
        <v>0</v>
      </c>
      <c r="AB1601" t="s">
        <v>111</v>
      </c>
      <c r="AC1601">
        <v>0</v>
      </c>
      <c r="AD1601" t="s">
        <v>111</v>
      </c>
      <c r="AE1601">
        <v>0</v>
      </c>
      <c r="AF1601">
        <v>0</v>
      </c>
      <c r="AG1601" t="s">
        <v>111</v>
      </c>
      <c r="AH1601" t="s">
        <v>111</v>
      </c>
      <c r="AI1601" t="s">
        <v>111</v>
      </c>
      <c r="AJ1601" t="s">
        <v>111</v>
      </c>
      <c r="AK1601" t="s">
        <v>111</v>
      </c>
      <c r="AL1601" t="s">
        <v>111</v>
      </c>
      <c r="AM1601">
        <v>0</v>
      </c>
      <c r="AN1601">
        <v>0</v>
      </c>
      <c r="AO1601">
        <v>0</v>
      </c>
      <c r="AP1601" t="s">
        <v>111</v>
      </c>
      <c r="AQ1601" t="s">
        <v>111</v>
      </c>
      <c r="AR1601" t="s">
        <v>111</v>
      </c>
      <c r="AS1601" t="s">
        <v>111</v>
      </c>
      <c r="AT1601" t="s">
        <v>111</v>
      </c>
      <c r="AU1601" t="s">
        <v>111</v>
      </c>
      <c r="AV1601" t="s">
        <v>111</v>
      </c>
      <c r="AW1601" t="s">
        <v>111</v>
      </c>
      <c r="AX1601" t="s">
        <v>111</v>
      </c>
      <c r="AY1601" t="s">
        <v>111</v>
      </c>
      <c r="AZ1601" t="s">
        <v>111</v>
      </c>
      <c r="BA1601" t="s">
        <v>111</v>
      </c>
      <c r="BB1601" t="s">
        <v>111</v>
      </c>
      <c r="BC1601" t="s">
        <v>111</v>
      </c>
      <c r="BD1601" t="s">
        <v>111</v>
      </c>
      <c r="BE1601" t="s">
        <v>111</v>
      </c>
      <c r="BF1601" t="s">
        <v>111</v>
      </c>
      <c r="BG1601" t="s">
        <v>111</v>
      </c>
      <c r="BH1601" t="s">
        <v>111</v>
      </c>
      <c r="BI1601" t="s">
        <v>111</v>
      </c>
      <c r="BJ1601" t="s">
        <v>111</v>
      </c>
      <c r="BK1601" t="s">
        <v>111</v>
      </c>
      <c r="BL1601" t="s">
        <v>111</v>
      </c>
      <c r="BM1601" t="s">
        <v>111</v>
      </c>
      <c r="BN1601" t="s">
        <v>111</v>
      </c>
      <c r="BO1601" t="s">
        <v>111</v>
      </c>
      <c r="BP1601" t="s">
        <v>111</v>
      </c>
      <c r="BQ1601" t="s">
        <v>111</v>
      </c>
      <c r="BR1601" t="s">
        <v>111</v>
      </c>
      <c r="BS1601" t="s">
        <v>111</v>
      </c>
      <c r="BT1601" t="s">
        <v>111</v>
      </c>
      <c r="BU1601" t="s">
        <v>111</v>
      </c>
      <c r="BV1601" t="s">
        <v>111</v>
      </c>
      <c r="BW1601" t="s">
        <v>111</v>
      </c>
      <c r="BX1601" t="s">
        <v>111</v>
      </c>
      <c r="BY1601" t="s">
        <v>111</v>
      </c>
      <c r="BZ1601" t="s">
        <v>111</v>
      </c>
      <c r="CA1601" t="s">
        <v>111</v>
      </c>
      <c r="CB1601" t="s">
        <v>111</v>
      </c>
      <c r="CC1601" t="s">
        <v>111</v>
      </c>
      <c r="CD1601" t="s">
        <v>111</v>
      </c>
      <c r="CE1601" t="s">
        <v>111</v>
      </c>
      <c r="CF1601" t="s">
        <v>111</v>
      </c>
      <c r="CG1601" t="s">
        <v>111</v>
      </c>
      <c r="CH1601" t="s">
        <v>111</v>
      </c>
      <c r="CI1601" t="s">
        <v>111</v>
      </c>
      <c r="CJ1601" t="s">
        <v>111</v>
      </c>
      <c r="CK1601" t="s">
        <v>111</v>
      </c>
      <c r="CL1601" t="s">
        <v>111</v>
      </c>
      <c r="CM1601" t="s">
        <v>438</v>
      </c>
      <c r="CN1601" t="s">
        <v>113</v>
      </c>
      <c r="CO1601" t="s">
        <v>111</v>
      </c>
      <c r="CP1601" t="s">
        <v>111</v>
      </c>
      <c r="CQ1601">
        <v>0</v>
      </c>
      <c r="CR1601">
        <v>3000</v>
      </c>
      <c r="CS1601">
        <v>200</v>
      </c>
      <c r="CT1601" t="e">
        <f>-NO DOBLAR LOS PAQUETES</f>
        <v>#NAME?</v>
      </c>
      <c r="CU1601">
        <v>0</v>
      </c>
      <c r="CV1601" t="s">
        <v>111</v>
      </c>
      <c r="CX1601" t="s">
        <v>111</v>
      </c>
      <c r="CY1601">
        <v>0</v>
      </c>
      <c r="CZ1601" t="s">
        <v>111</v>
      </c>
      <c r="DA1601" t="s">
        <v>111</v>
      </c>
      <c r="DB1601" t="s">
        <v>111</v>
      </c>
      <c r="DC1601" t="s">
        <v>111</v>
      </c>
    </row>
    <row r="1602" spans="1:107">
      <c r="A1602">
        <v>1974</v>
      </c>
      <c r="B1602" t="s">
        <v>107</v>
      </c>
      <c r="C1602" s="2">
        <v>1020396785</v>
      </c>
      <c r="D1602" t="s">
        <v>4461</v>
      </c>
      <c r="E1602" t="s">
        <v>4462</v>
      </c>
      <c r="F1602" t="s">
        <v>1651</v>
      </c>
      <c r="G1602" t="s">
        <v>24</v>
      </c>
      <c r="H1602">
        <v>2.4</v>
      </c>
      <c r="I1602">
        <v>40</v>
      </c>
      <c r="J1602">
        <v>0</v>
      </c>
      <c r="K1602">
        <v>0</v>
      </c>
      <c r="L1602" t="s">
        <v>117</v>
      </c>
      <c r="M1602" t="s">
        <v>118</v>
      </c>
      <c r="N1602">
        <v>40</v>
      </c>
      <c r="O1602">
        <v>1</v>
      </c>
      <c r="P1602" t="s">
        <v>111</v>
      </c>
      <c r="Q1602">
        <v>35</v>
      </c>
      <c r="R1602">
        <v>0</v>
      </c>
      <c r="S1602">
        <v>0</v>
      </c>
      <c r="T1602">
        <v>5</v>
      </c>
      <c r="U1602" t="e">
        <f>-DEMMES</f>
        <v>#NAME?</v>
      </c>
      <c r="V1602">
        <v>0</v>
      </c>
      <c r="W1602">
        <v>0</v>
      </c>
      <c r="X1602">
        <v>0</v>
      </c>
      <c r="Y1602">
        <v>25</v>
      </c>
      <c r="Z1602" t="s">
        <v>111</v>
      </c>
      <c r="AA1602">
        <v>0</v>
      </c>
      <c r="AB1602" t="s">
        <v>111</v>
      </c>
      <c r="AC1602">
        <v>0</v>
      </c>
      <c r="AD1602" t="s">
        <v>3563</v>
      </c>
      <c r="AE1602">
        <v>0</v>
      </c>
      <c r="AF1602">
        <v>0</v>
      </c>
      <c r="AG1602" t="s">
        <v>111</v>
      </c>
      <c r="AH1602" t="s">
        <v>111</v>
      </c>
      <c r="AI1602" t="s">
        <v>111</v>
      </c>
      <c r="AJ1602" t="s">
        <v>111</v>
      </c>
      <c r="AK1602" t="s">
        <v>111</v>
      </c>
      <c r="AL1602" t="s">
        <v>111</v>
      </c>
      <c r="AM1602">
        <v>0</v>
      </c>
      <c r="AN1602">
        <v>0</v>
      </c>
      <c r="AO1602">
        <v>0</v>
      </c>
      <c r="AP1602" t="s">
        <v>111</v>
      </c>
      <c r="AQ1602" t="s">
        <v>111</v>
      </c>
      <c r="AR1602" t="s">
        <v>111</v>
      </c>
      <c r="AS1602" t="s">
        <v>111</v>
      </c>
      <c r="AT1602" t="s">
        <v>111</v>
      </c>
      <c r="AU1602" t="s">
        <v>111</v>
      </c>
      <c r="AV1602" t="s">
        <v>111</v>
      </c>
      <c r="AW1602" t="s">
        <v>111</v>
      </c>
      <c r="AX1602" t="s">
        <v>111</v>
      </c>
      <c r="AY1602" t="s">
        <v>111</v>
      </c>
      <c r="AZ1602" t="s">
        <v>111</v>
      </c>
      <c r="BA1602" t="s">
        <v>111</v>
      </c>
      <c r="BB1602" t="s">
        <v>111</v>
      </c>
      <c r="BC1602" t="s">
        <v>111</v>
      </c>
      <c r="BD1602" t="s">
        <v>111</v>
      </c>
      <c r="BE1602" t="s">
        <v>111</v>
      </c>
      <c r="BF1602" t="s">
        <v>111</v>
      </c>
      <c r="BG1602" t="s">
        <v>111</v>
      </c>
      <c r="BH1602" t="s">
        <v>111</v>
      </c>
      <c r="BI1602" t="s">
        <v>111</v>
      </c>
      <c r="BJ1602" t="s">
        <v>111</v>
      </c>
      <c r="BK1602" t="s">
        <v>111</v>
      </c>
      <c r="BL1602" t="s">
        <v>111</v>
      </c>
      <c r="BM1602" t="s">
        <v>111</v>
      </c>
      <c r="BN1602" t="s">
        <v>111</v>
      </c>
      <c r="BO1602" t="s">
        <v>111</v>
      </c>
      <c r="BP1602" t="s">
        <v>111</v>
      </c>
      <c r="BQ1602" t="s">
        <v>111</v>
      </c>
      <c r="BR1602" t="s">
        <v>111</v>
      </c>
      <c r="BS1602" t="s">
        <v>111</v>
      </c>
      <c r="BT1602" t="s">
        <v>111</v>
      </c>
      <c r="BU1602" t="s">
        <v>111</v>
      </c>
      <c r="BV1602" t="s">
        <v>111</v>
      </c>
      <c r="BW1602" t="s">
        <v>111</v>
      </c>
      <c r="BX1602" t="s">
        <v>111</v>
      </c>
      <c r="BY1602" t="s">
        <v>111</v>
      </c>
      <c r="BZ1602" t="s">
        <v>111</v>
      </c>
      <c r="CA1602" t="s">
        <v>111</v>
      </c>
      <c r="CB1602" t="s">
        <v>111</v>
      </c>
      <c r="CC1602" t="s">
        <v>111</v>
      </c>
      <c r="CD1602" t="s">
        <v>111</v>
      </c>
      <c r="CE1602" t="s">
        <v>111</v>
      </c>
      <c r="CF1602" t="s">
        <v>111</v>
      </c>
      <c r="CG1602" t="s">
        <v>111</v>
      </c>
      <c r="CH1602" t="s">
        <v>111</v>
      </c>
      <c r="CI1602" t="s">
        <v>111</v>
      </c>
      <c r="CJ1602" t="s">
        <v>111</v>
      </c>
      <c r="CK1602" t="s">
        <v>111</v>
      </c>
      <c r="CL1602" t="s">
        <v>111</v>
      </c>
      <c r="CM1602" t="s">
        <v>135</v>
      </c>
      <c r="CN1602" t="s">
        <v>113</v>
      </c>
      <c r="CO1602" t="s">
        <v>111</v>
      </c>
      <c r="CP1602" t="s">
        <v>111</v>
      </c>
      <c r="CQ1602">
        <v>0</v>
      </c>
      <c r="CR1602">
        <v>5000</v>
      </c>
      <c r="CS1602">
        <v>200</v>
      </c>
      <c r="CT1602" t="e">
        <f>-ALMMACEN</f>
        <v>#NAME?</v>
      </c>
      <c r="CU1602">
        <v>0</v>
      </c>
      <c r="CV1602" t="s">
        <v>111</v>
      </c>
      <c r="CX1602" t="s">
        <v>111</v>
      </c>
      <c r="CY1602">
        <v>0</v>
      </c>
      <c r="CZ1602" t="s">
        <v>111</v>
      </c>
      <c r="DA1602" t="s">
        <v>111</v>
      </c>
      <c r="DB1602" t="s">
        <v>111</v>
      </c>
      <c r="DC1602" t="s">
        <v>111</v>
      </c>
    </row>
    <row r="1603" spans="1:107">
      <c r="A1603">
        <v>1973</v>
      </c>
      <c r="B1603" t="s">
        <v>107</v>
      </c>
      <c r="C1603" t="s">
        <v>4463</v>
      </c>
      <c r="D1603" t="s">
        <v>4464</v>
      </c>
      <c r="E1603" t="s">
        <v>4465</v>
      </c>
      <c r="F1603" t="s">
        <v>2211</v>
      </c>
      <c r="G1603" t="s">
        <v>24</v>
      </c>
      <c r="H1603">
        <v>1.5</v>
      </c>
      <c r="I1603">
        <v>30</v>
      </c>
      <c r="J1603">
        <v>0</v>
      </c>
      <c r="K1603">
        <v>0</v>
      </c>
      <c r="L1603" t="s">
        <v>117</v>
      </c>
      <c r="M1603" t="s">
        <v>111</v>
      </c>
      <c r="N1603">
        <v>0</v>
      </c>
      <c r="O1603">
        <v>0</v>
      </c>
      <c r="P1603" t="s">
        <v>111</v>
      </c>
      <c r="Q1603">
        <v>10</v>
      </c>
      <c r="R1603">
        <v>0</v>
      </c>
      <c r="S1603">
        <v>0</v>
      </c>
      <c r="T1603">
        <v>0</v>
      </c>
      <c r="U1603" t="e">
        <f>-REFILADO</f>
        <v>#NAME?</v>
      </c>
      <c r="V1603">
        <v>0</v>
      </c>
      <c r="W1603">
        <v>0</v>
      </c>
      <c r="X1603">
        <v>0</v>
      </c>
      <c r="Y1603">
        <v>25</v>
      </c>
      <c r="Z1603" t="s">
        <v>4466</v>
      </c>
      <c r="AA1603">
        <v>0</v>
      </c>
      <c r="AB1603" t="s">
        <v>111</v>
      </c>
      <c r="AC1603">
        <v>0</v>
      </c>
      <c r="AD1603" t="s">
        <v>111</v>
      </c>
      <c r="AE1603">
        <v>0</v>
      </c>
      <c r="AF1603">
        <v>0</v>
      </c>
      <c r="AG1603" t="s">
        <v>111</v>
      </c>
      <c r="AH1603" t="s">
        <v>111</v>
      </c>
      <c r="AI1603" t="s">
        <v>111</v>
      </c>
      <c r="AJ1603" t="s">
        <v>111</v>
      </c>
      <c r="AK1603" t="s">
        <v>111</v>
      </c>
      <c r="AL1603" t="s">
        <v>111</v>
      </c>
      <c r="AM1603">
        <v>0</v>
      </c>
      <c r="AN1603">
        <v>0</v>
      </c>
      <c r="AO1603">
        <v>0</v>
      </c>
      <c r="AP1603" t="s">
        <v>111</v>
      </c>
      <c r="AQ1603" t="s">
        <v>111</v>
      </c>
      <c r="AR1603" t="s">
        <v>111</v>
      </c>
      <c r="AS1603" t="s">
        <v>111</v>
      </c>
      <c r="AT1603" t="s">
        <v>111</v>
      </c>
      <c r="AU1603" t="s">
        <v>111</v>
      </c>
      <c r="AV1603" t="s">
        <v>111</v>
      </c>
      <c r="AW1603" t="s">
        <v>111</v>
      </c>
      <c r="AX1603" t="s">
        <v>111</v>
      </c>
      <c r="AY1603" t="s">
        <v>111</v>
      </c>
      <c r="AZ1603" t="s">
        <v>111</v>
      </c>
      <c r="BA1603" t="s">
        <v>111</v>
      </c>
      <c r="BB1603" t="s">
        <v>111</v>
      </c>
      <c r="BC1603" t="s">
        <v>111</v>
      </c>
      <c r="BD1603" t="s">
        <v>111</v>
      </c>
      <c r="BE1603" t="s">
        <v>111</v>
      </c>
      <c r="BF1603" t="s">
        <v>111</v>
      </c>
      <c r="BG1603" t="s">
        <v>111</v>
      </c>
      <c r="BH1603" t="s">
        <v>111</v>
      </c>
      <c r="BI1603" t="s">
        <v>111</v>
      </c>
      <c r="BJ1603" t="s">
        <v>111</v>
      </c>
      <c r="BK1603" t="s">
        <v>111</v>
      </c>
      <c r="BL1603" t="s">
        <v>111</v>
      </c>
      <c r="BM1603" t="s">
        <v>111</v>
      </c>
      <c r="BN1603" t="s">
        <v>111</v>
      </c>
      <c r="BO1603" t="s">
        <v>111</v>
      </c>
      <c r="BP1603" t="s">
        <v>111</v>
      </c>
      <c r="BQ1603" t="s">
        <v>111</v>
      </c>
      <c r="BR1603" t="s">
        <v>111</v>
      </c>
      <c r="BS1603" t="s">
        <v>111</v>
      </c>
      <c r="BT1603" t="s">
        <v>111</v>
      </c>
      <c r="BU1603" t="s">
        <v>111</v>
      </c>
      <c r="BV1603" t="s">
        <v>111</v>
      </c>
      <c r="BW1603" t="s">
        <v>111</v>
      </c>
      <c r="BX1603" t="s">
        <v>111</v>
      </c>
      <c r="BY1603" t="s">
        <v>111</v>
      </c>
      <c r="BZ1603" t="s">
        <v>111</v>
      </c>
      <c r="CA1603" t="s">
        <v>111</v>
      </c>
      <c r="CB1603" t="s">
        <v>111</v>
      </c>
      <c r="CC1603" t="s">
        <v>111</v>
      </c>
      <c r="CD1603" t="s">
        <v>111</v>
      </c>
      <c r="CE1603" t="s">
        <v>111</v>
      </c>
      <c r="CF1603" t="s">
        <v>111</v>
      </c>
      <c r="CG1603" t="s">
        <v>111</v>
      </c>
      <c r="CH1603" t="s">
        <v>111</v>
      </c>
      <c r="CI1603" t="s">
        <v>111</v>
      </c>
      <c r="CJ1603" t="s">
        <v>111</v>
      </c>
      <c r="CK1603" t="s">
        <v>111</v>
      </c>
      <c r="CL1603" t="s">
        <v>111</v>
      </c>
      <c r="CM1603" t="s">
        <v>111</v>
      </c>
      <c r="CN1603" t="s">
        <v>111</v>
      </c>
      <c r="CO1603" t="s">
        <v>111</v>
      </c>
      <c r="CP1603" t="s">
        <v>111</v>
      </c>
      <c r="CQ1603">
        <v>0</v>
      </c>
      <c r="CR1603">
        <v>0</v>
      </c>
      <c r="CS1603">
        <v>0</v>
      </c>
      <c r="CT1603" t="s">
        <v>111</v>
      </c>
      <c r="CU1603">
        <v>30</v>
      </c>
      <c r="CV1603" t="s">
        <v>111</v>
      </c>
      <c r="CX1603" t="s">
        <v>111</v>
      </c>
      <c r="CY1603">
        <v>5</v>
      </c>
      <c r="CZ1603" t="s">
        <v>117</v>
      </c>
      <c r="DA1603" t="e">
        <f>-ROLLO BIEN EMPACADO</f>
        <v>#NAME?</v>
      </c>
      <c r="DB1603" t="s">
        <v>111</v>
      </c>
      <c r="DC1603" t="s">
        <v>111</v>
      </c>
    </row>
    <row r="1604" spans="1:107">
      <c r="A1604">
        <v>1958</v>
      </c>
      <c r="B1604" t="s">
        <v>107</v>
      </c>
      <c r="C1604" t="s">
        <v>4458</v>
      </c>
      <c r="D1604" t="s">
        <v>4467</v>
      </c>
      <c r="E1604" t="s">
        <v>4468</v>
      </c>
      <c r="F1604" t="s">
        <v>1071</v>
      </c>
      <c r="G1604" t="s">
        <v>24</v>
      </c>
      <c r="H1604">
        <v>0.9</v>
      </c>
      <c r="I1604">
        <v>48</v>
      </c>
      <c r="J1604">
        <v>0</v>
      </c>
      <c r="K1604">
        <v>0</v>
      </c>
      <c r="L1604" t="s">
        <v>112</v>
      </c>
      <c r="M1604" t="s">
        <v>138</v>
      </c>
      <c r="N1604">
        <v>0</v>
      </c>
      <c r="O1604">
        <v>0</v>
      </c>
      <c r="P1604" t="s">
        <v>4469</v>
      </c>
      <c r="Q1604">
        <v>45.9</v>
      </c>
      <c r="R1604">
        <v>0</v>
      </c>
      <c r="S1604">
        <v>0</v>
      </c>
      <c r="T1604">
        <v>5</v>
      </c>
      <c r="U1604" t="e">
        <f>-SELLADO</f>
        <v>#NAME?</v>
      </c>
      <c r="V1604">
        <v>0</v>
      </c>
      <c r="W1604">
        <v>0</v>
      </c>
      <c r="X1604">
        <v>0</v>
      </c>
      <c r="Y1604">
        <v>25</v>
      </c>
      <c r="Z1604" t="s">
        <v>111</v>
      </c>
      <c r="AA1604">
        <v>0</v>
      </c>
      <c r="AB1604" t="s">
        <v>4470</v>
      </c>
      <c r="AC1604">
        <v>0.3</v>
      </c>
      <c r="AD1604" t="s">
        <v>111</v>
      </c>
      <c r="AE1604">
        <v>0</v>
      </c>
      <c r="AF1604">
        <v>0</v>
      </c>
      <c r="AG1604" t="s">
        <v>111</v>
      </c>
      <c r="AH1604" t="s">
        <v>111</v>
      </c>
      <c r="AI1604" t="s">
        <v>111</v>
      </c>
      <c r="AJ1604" t="s">
        <v>111</v>
      </c>
      <c r="AK1604" t="s">
        <v>111</v>
      </c>
      <c r="AL1604" t="s">
        <v>111</v>
      </c>
      <c r="AM1604">
        <v>0</v>
      </c>
      <c r="AN1604">
        <v>0</v>
      </c>
      <c r="AO1604">
        <v>0</v>
      </c>
      <c r="AP1604" t="s">
        <v>111</v>
      </c>
      <c r="AQ1604" t="s">
        <v>111</v>
      </c>
      <c r="AR1604" t="s">
        <v>111</v>
      </c>
      <c r="AS1604" t="s">
        <v>111</v>
      </c>
      <c r="AT1604" t="s">
        <v>111</v>
      </c>
      <c r="AU1604" t="s">
        <v>111</v>
      </c>
      <c r="AV1604" t="s">
        <v>111</v>
      </c>
      <c r="AW1604" t="s">
        <v>111</v>
      </c>
      <c r="AX1604" t="s">
        <v>111</v>
      </c>
      <c r="AY1604" t="s">
        <v>111</v>
      </c>
      <c r="AZ1604" t="s">
        <v>111</v>
      </c>
      <c r="BA1604" t="s">
        <v>111</v>
      </c>
      <c r="BB1604" t="s">
        <v>111</v>
      </c>
      <c r="BC1604" t="s">
        <v>111</v>
      </c>
      <c r="BD1604" t="s">
        <v>111</v>
      </c>
      <c r="BE1604" t="s">
        <v>111</v>
      </c>
      <c r="BF1604" t="s">
        <v>111</v>
      </c>
      <c r="BG1604" t="s">
        <v>111</v>
      </c>
      <c r="BH1604" t="s">
        <v>111</v>
      </c>
      <c r="BI1604" t="s">
        <v>111</v>
      </c>
      <c r="BJ1604" t="s">
        <v>111</v>
      </c>
      <c r="BK1604" t="s">
        <v>111</v>
      </c>
      <c r="BL1604" t="s">
        <v>111</v>
      </c>
      <c r="BM1604" t="s">
        <v>111</v>
      </c>
      <c r="BN1604" t="s">
        <v>111</v>
      </c>
      <c r="BO1604" t="s">
        <v>111</v>
      </c>
      <c r="BP1604" t="s">
        <v>111</v>
      </c>
      <c r="BQ1604" t="s">
        <v>111</v>
      </c>
      <c r="BR1604" t="s">
        <v>111</v>
      </c>
      <c r="BS1604" t="s">
        <v>111</v>
      </c>
      <c r="BT1604" t="s">
        <v>111</v>
      </c>
      <c r="BU1604" t="s">
        <v>111</v>
      </c>
      <c r="BV1604" t="s">
        <v>111</v>
      </c>
      <c r="BW1604" t="s">
        <v>111</v>
      </c>
      <c r="BX1604" t="s">
        <v>111</v>
      </c>
      <c r="BY1604" t="s">
        <v>111</v>
      </c>
      <c r="BZ1604" t="s">
        <v>111</v>
      </c>
      <c r="CA1604" t="s">
        <v>111</v>
      </c>
      <c r="CB1604" t="s">
        <v>111</v>
      </c>
      <c r="CC1604" t="s">
        <v>111</v>
      </c>
      <c r="CD1604" t="s">
        <v>111</v>
      </c>
      <c r="CE1604" t="s">
        <v>111</v>
      </c>
      <c r="CF1604" t="s">
        <v>111</v>
      </c>
      <c r="CG1604" t="s">
        <v>111</v>
      </c>
      <c r="CH1604" t="s">
        <v>111</v>
      </c>
      <c r="CI1604" t="s">
        <v>111</v>
      </c>
      <c r="CJ1604" t="s">
        <v>111</v>
      </c>
      <c r="CK1604" t="s">
        <v>111</v>
      </c>
      <c r="CL1604" t="s">
        <v>111</v>
      </c>
      <c r="CM1604" t="s">
        <v>135</v>
      </c>
      <c r="CN1604" t="s">
        <v>113</v>
      </c>
      <c r="CO1604" t="s">
        <v>111</v>
      </c>
      <c r="CP1604" t="s">
        <v>111</v>
      </c>
      <c r="CQ1604">
        <v>0</v>
      </c>
      <c r="CR1604">
        <v>2000</v>
      </c>
      <c r="CS1604">
        <v>200</v>
      </c>
      <c r="CT1604" s="1" t="s">
        <v>4471</v>
      </c>
      <c r="CU1604">
        <v>0</v>
      </c>
      <c r="CV1604" t="s">
        <v>111</v>
      </c>
      <c r="CX1604" t="s">
        <v>111</v>
      </c>
      <c r="CY1604">
        <v>0</v>
      </c>
      <c r="CZ1604" t="s">
        <v>111</v>
      </c>
      <c r="DA1604" t="s">
        <v>111</v>
      </c>
      <c r="DB1604" t="s">
        <v>111</v>
      </c>
      <c r="DC1604" t="s">
        <v>111</v>
      </c>
    </row>
    <row r="1605" spans="1:107">
      <c r="A1605">
        <v>1955</v>
      </c>
      <c r="B1605" t="s">
        <v>107</v>
      </c>
      <c r="C1605" s="2">
        <v>91226680</v>
      </c>
      <c r="D1605" t="s">
        <v>4472</v>
      </c>
      <c r="E1605" t="s">
        <v>4473</v>
      </c>
      <c r="F1605" t="s">
        <v>110</v>
      </c>
      <c r="G1605" t="s">
        <v>24</v>
      </c>
      <c r="H1605">
        <v>0.8</v>
      </c>
      <c r="I1605">
        <v>35</v>
      </c>
      <c r="J1605">
        <v>0</v>
      </c>
      <c r="K1605">
        <v>0</v>
      </c>
      <c r="L1605" t="s">
        <v>112</v>
      </c>
      <c r="M1605" t="s">
        <v>111</v>
      </c>
      <c r="N1605">
        <v>0</v>
      </c>
      <c r="O1605">
        <v>0</v>
      </c>
      <c r="P1605" t="s">
        <v>111</v>
      </c>
      <c r="Q1605">
        <v>20</v>
      </c>
      <c r="R1605">
        <v>0</v>
      </c>
      <c r="S1605">
        <v>0</v>
      </c>
      <c r="T1605">
        <v>0</v>
      </c>
      <c r="U1605" s="1" t="s">
        <v>4474</v>
      </c>
      <c r="V1605">
        <v>0</v>
      </c>
      <c r="W1605">
        <v>0</v>
      </c>
      <c r="X1605">
        <v>0</v>
      </c>
      <c r="Y1605">
        <v>25</v>
      </c>
      <c r="Z1605" t="s">
        <v>111</v>
      </c>
      <c r="AA1605">
        <v>0</v>
      </c>
      <c r="AB1605" t="s">
        <v>111</v>
      </c>
      <c r="AC1605">
        <v>0</v>
      </c>
      <c r="AD1605" t="s">
        <v>111</v>
      </c>
      <c r="AE1605">
        <v>0</v>
      </c>
      <c r="AF1605">
        <v>0</v>
      </c>
      <c r="AG1605" t="s">
        <v>111</v>
      </c>
      <c r="AH1605" t="s">
        <v>111</v>
      </c>
      <c r="AI1605" t="s">
        <v>111</v>
      </c>
      <c r="AJ1605" t="s">
        <v>111</v>
      </c>
      <c r="AK1605" t="s">
        <v>111</v>
      </c>
      <c r="AL1605" t="s">
        <v>111</v>
      </c>
      <c r="AM1605">
        <v>0</v>
      </c>
      <c r="AN1605">
        <v>0</v>
      </c>
      <c r="AO1605">
        <v>0</v>
      </c>
      <c r="AP1605" t="s">
        <v>111</v>
      </c>
      <c r="AQ1605" t="s">
        <v>111</v>
      </c>
      <c r="AR1605" t="s">
        <v>111</v>
      </c>
      <c r="AS1605" t="s">
        <v>111</v>
      </c>
      <c r="AT1605" t="s">
        <v>111</v>
      </c>
      <c r="AU1605" t="s">
        <v>111</v>
      </c>
      <c r="AV1605" t="s">
        <v>111</v>
      </c>
      <c r="AW1605" t="s">
        <v>111</v>
      </c>
      <c r="AX1605" t="s">
        <v>111</v>
      </c>
      <c r="AY1605" t="s">
        <v>111</v>
      </c>
      <c r="AZ1605" t="s">
        <v>111</v>
      </c>
      <c r="BA1605" t="s">
        <v>111</v>
      </c>
      <c r="BB1605" t="s">
        <v>111</v>
      </c>
      <c r="BC1605" t="s">
        <v>111</v>
      </c>
      <c r="BD1605" t="s">
        <v>111</v>
      </c>
      <c r="BE1605" t="s">
        <v>111</v>
      </c>
      <c r="BF1605" t="s">
        <v>111</v>
      </c>
      <c r="BG1605" t="s">
        <v>111</v>
      </c>
      <c r="BH1605" t="s">
        <v>111</v>
      </c>
      <c r="BI1605" t="s">
        <v>111</v>
      </c>
      <c r="BJ1605" t="s">
        <v>111</v>
      </c>
      <c r="BK1605" t="s">
        <v>111</v>
      </c>
      <c r="BL1605" t="s">
        <v>111</v>
      </c>
      <c r="BM1605" t="s">
        <v>111</v>
      </c>
      <c r="BN1605" t="s">
        <v>111</v>
      </c>
      <c r="BO1605" t="s">
        <v>111</v>
      </c>
      <c r="BP1605" t="s">
        <v>111</v>
      </c>
      <c r="BQ1605" t="s">
        <v>111</v>
      </c>
      <c r="BR1605" t="s">
        <v>111</v>
      </c>
      <c r="BS1605" t="s">
        <v>111</v>
      </c>
      <c r="BT1605" t="s">
        <v>111</v>
      </c>
      <c r="BU1605" t="s">
        <v>111</v>
      </c>
      <c r="BV1605" t="s">
        <v>111</v>
      </c>
      <c r="BW1605" t="s">
        <v>111</v>
      </c>
      <c r="BX1605" t="s">
        <v>111</v>
      </c>
      <c r="BY1605" t="s">
        <v>111</v>
      </c>
      <c r="BZ1605" t="s">
        <v>111</v>
      </c>
      <c r="CA1605" t="s">
        <v>111</v>
      </c>
      <c r="CB1605" t="s">
        <v>111</v>
      </c>
      <c r="CC1605" t="s">
        <v>111</v>
      </c>
      <c r="CD1605" t="s">
        <v>111</v>
      </c>
      <c r="CE1605" t="s">
        <v>111</v>
      </c>
      <c r="CF1605" t="s">
        <v>111</v>
      </c>
      <c r="CG1605" t="s">
        <v>111</v>
      </c>
      <c r="CH1605" t="s">
        <v>111</v>
      </c>
      <c r="CI1605" t="s">
        <v>111</v>
      </c>
      <c r="CJ1605" t="s">
        <v>111</v>
      </c>
      <c r="CK1605" t="s">
        <v>111</v>
      </c>
      <c r="CL1605" t="s">
        <v>111</v>
      </c>
      <c r="CM1605" t="s">
        <v>111</v>
      </c>
      <c r="CN1605" t="s">
        <v>111</v>
      </c>
      <c r="CO1605" t="s">
        <v>111</v>
      </c>
      <c r="CP1605" t="s">
        <v>111</v>
      </c>
      <c r="CQ1605">
        <v>0</v>
      </c>
      <c r="CR1605">
        <v>0</v>
      </c>
      <c r="CS1605">
        <v>0</v>
      </c>
      <c r="CT1605" t="s">
        <v>111</v>
      </c>
      <c r="CU1605">
        <v>0</v>
      </c>
      <c r="CV1605" t="s">
        <v>111</v>
      </c>
      <c r="CX1605" t="s">
        <v>111</v>
      </c>
      <c r="CY1605">
        <v>0</v>
      </c>
      <c r="CZ1605" t="s">
        <v>111</v>
      </c>
      <c r="DA1605" t="s">
        <v>111</v>
      </c>
      <c r="DB1605" t="s">
        <v>111</v>
      </c>
      <c r="DC1605" t="s">
        <v>111</v>
      </c>
    </row>
    <row r="1606" spans="1:107">
      <c r="A1606">
        <v>1954</v>
      </c>
      <c r="B1606" t="s">
        <v>107</v>
      </c>
      <c r="C1606" s="2">
        <v>91226680</v>
      </c>
      <c r="D1606" t="s">
        <v>4475</v>
      </c>
      <c r="E1606" t="s">
        <v>4476</v>
      </c>
      <c r="F1606" t="s">
        <v>4420</v>
      </c>
      <c r="G1606" t="s">
        <v>24</v>
      </c>
      <c r="H1606">
        <v>1.5</v>
      </c>
      <c r="I1606">
        <v>12.5</v>
      </c>
      <c r="J1606">
        <v>0</v>
      </c>
      <c r="K1606">
        <v>0</v>
      </c>
      <c r="L1606" t="s">
        <v>178</v>
      </c>
      <c r="M1606" t="s">
        <v>111</v>
      </c>
      <c r="N1606">
        <v>0</v>
      </c>
      <c r="O1606">
        <v>0</v>
      </c>
      <c r="P1606" t="s">
        <v>111</v>
      </c>
      <c r="Q1606">
        <v>12.5</v>
      </c>
      <c r="R1606">
        <v>0</v>
      </c>
      <c r="S1606">
        <v>0</v>
      </c>
      <c r="T1606">
        <v>0</v>
      </c>
      <c r="U1606" s="1" t="s">
        <v>4477</v>
      </c>
      <c r="V1606">
        <v>0</v>
      </c>
      <c r="W1606">
        <v>0</v>
      </c>
      <c r="X1606">
        <v>0</v>
      </c>
      <c r="Y1606">
        <v>25</v>
      </c>
      <c r="Z1606" t="s">
        <v>111</v>
      </c>
      <c r="AA1606">
        <v>0</v>
      </c>
      <c r="AB1606" t="s">
        <v>111</v>
      </c>
      <c r="AC1606">
        <v>0</v>
      </c>
      <c r="AD1606" t="s">
        <v>111</v>
      </c>
      <c r="AE1606">
        <v>0</v>
      </c>
      <c r="AF1606">
        <v>0</v>
      </c>
      <c r="AG1606" t="s">
        <v>111</v>
      </c>
      <c r="AH1606" t="s">
        <v>111</v>
      </c>
      <c r="AI1606" t="s">
        <v>111</v>
      </c>
      <c r="AJ1606" t="s">
        <v>111</v>
      </c>
      <c r="AK1606" t="s">
        <v>111</v>
      </c>
      <c r="AL1606" t="s">
        <v>111</v>
      </c>
      <c r="AM1606">
        <v>0</v>
      </c>
      <c r="AN1606">
        <v>0</v>
      </c>
      <c r="AO1606">
        <v>0</v>
      </c>
      <c r="AP1606" t="s">
        <v>111</v>
      </c>
      <c r="AQ1606" t="s">
        <v>111</v>
      </c>
      <c r="AR1606" t="s">
        <v>111</v>
      </c>
      <c r="AS1606" t="s">
        <v>111</v>
      </c>
      <c r="AT1606" t="s">
        <v>111</v>
      </c>
      <c r="AU1606" t="s">
        <v>111</v>
      </c>
      <c r="AV1606" t="s">
        <v>111</v>
      </c>
      <c r="AW1606" t="s">
        <v>111</v>
      </c>
      <c r="AX1606" t="s">
        <v>111</v>
      </c>
      <c r="AY1606" t="s">
        <v>111</v>
      </c>
      <c r="AZ1606" t="s">
        <v>111</v>
      </c>
      <c r="BA1606" t="s">
        <v>111</v>
      </c>
      <c r="BB1606" t="s">
        <v>111</v>
      </c>
      <c r="BC1606" t="s">
        <v>111</v>
      </c>
      <c r="BD1606" t="s">
        <v>111</v>
      </c>
      <c r="BE1606" t="s">
        <v>111</v>
      </c>
      <c r="BF1606" t="s">
        <v>111</v>
      </c>
      <c r="BG1606" t="s">
        <v>111</v>
      </c>
      <c r="BH1606" t="s">
        <v>111</v>
      </c>
      <c r="BI1606" t="s">
        <v>111</v>
      </c>
      <c r="BJ1606" t="s">
        <v>111</v>
      </c>
      <c r="BK1606" t="s">
        <v>111</v>
      </c>
      <c r="BL1606" t="s">
        <v>111</v>
      </c>
      <c r="BM1606" t="s">
        <v>111</v>
      </c>
      <c r="BN1606" t="s">
        <v>111</v>
      </c>
      <c r="BO1606" t="s">
        <v>111</v>
      </c>
      <c r="BP1606" t="s">
        <v>111</v>
      </c>
      <c r="BQ1606" t="s">
        <v>111</v>
      </c>
      <c r="BR1606" t="s">
        <v>111</v>
      </c>
      <c r="BS1606" t="s">
        <v>111</v>
      </c>
      <c r="BT1606" t="s">
        <v>111</v>
      </c>
      <c r="BU1606" t="s">
        <v>111</v>
      </c>
      <c r="BV1606" t="s">
        <v>111</v>
      </c>
      <c r="BW1606" t="s">
        <v>111</v>
      </c>
      <c r="BX1606" t="s">
        <v>111</v>
      </c>
      <c r="BY1606" t="s">
        <v>111</v>
      </c>
      <c r="BZ1606" t="s">
        <v>111</v>
      </c>
      <c r="CA1606" t="s">
        <v>111</v>
      </c>
      <c r="CB1606" t="s">
        <v>111</v>
      </c>
      <c r="CC1606" t="s">
        <v>111</v>
      </c>
      <c r="CD1606" t="s">
        <v>111</v>
      </c>
      <c r="CE1606" t="s">
        <v>111</v>
      </c>
      <c r="CF1606" t="s">
        <v>111</v>
      </c>
      <c r="CG1606" t="s">
        <v>111</v>
      </c>
      <c r="CH1606" t="s">
        <v>111</v>
      </c>
      <c r="CI1606" t="s">
        <v>111</v>
      </c>
      <c r="CJ1606" t="s">
        <v>111</v>
      </c>
      <c r="CK1606" t="s">
        <v>111</v>
      </c>
      <c r="CL1606" t="s">
        <v>111</v>
      </c>
      <c r="CM1606" t="s">
        <v>111</v>
      </c>
      <c r="CN1606" t="s">
        <v>111</v>
      </c>
      <c r="CO1606" t="s">
        <v>111</v>
      </c>
      <c r="CP1606" t="s">
        <v>111</v>
      </c>
      <c r="CQ1606">
        <v>0</v>
      </c>
      <c r="CR1606">
        <v>0</v>
      </c>
      <c r="CS1606">
        <v>0</v>
      </c>
      <c r="CT1606" t="s">
        <v>111</v>
      </c>
      <c r="CU1606">
        <v>0</v>
      </c>
      <c r="CV1606" t="s">
        <v>111</v>
      </c>
      <c r="CX1606" t="s">
        <v>111</v>
      </c>
      <c r="CY1606">
        <v>0</v>
      </c>
      <c r="CZ1606" t="s">
        <v>111</v>
      </c>
      <c r="DA1606" t="s">
        <v>111</v>
      </c>
      <c r="DB1606" t="s">
        <v>111</v>
      </c>
      <c r="DC1606" t="s">
        <v>111</v>
      </c>
    </row>
    <row r="1607" spans="1:107">
      <c r="A1607">
        <v>1961</v>
      </c>
      <c r="B1607" t="s">
        <v>107</v>
      </c>
      <c r="C1607" t="s">
        <v>928</v>
      </c>
      <c r="D1607" t="s">
        <v>4478</v>
      </c>
      <c r="E1607" t="s">
        <v>4479</v>
      </c>
      <c r="F1607" t="s">
        <v>1651</v>
      </c>
      <c r="G1607" t="s">
        <v>24</v>
      </c>
      <c r="H1607">
        <v>0.9</v>
      </c>
      <c r="I1607">
        <v>34</v>
      </c>
      <c r="J1607">
        <v>0</v>
      </c>
      <c r="K1607">
        <v>0</v>
      </c>
      <c r="L1607" t="s">
        <v>112</v>
      </c>
      <c r="M1607" t="s">
        <v>118</v>
      </c>
      <c r="N1607">
        <v>0</v>
      </c>
      <c r="O1607">
        <v>1</v>
      </c>
      <c r="P1607" t="s">
        <v>111</v>
      </c>
      <c r="Q1607">
        <v>34</v>
      </c>
      <c r="R1607">
        <v>0</v>
      </c>
      <c r="S1607">
        <v>0</v>
      </c>
      <c r="T1607">
        <v>8</v>
      </c>
      <c r="U1607" s="1" t="s">
        <v>4480</v>
      </c>
      <c r="V1607">
        <v>0</v>
      </c>
      <c r="W1607">
        <v>0</v>
      </c>
      <c r="X1607">
        <v>0</v>
      </c>
      <c r="Y1607">
        <v>25</v>
      </c>
      <c r="Z1607" t="s">
        <v>111</v>
      </c>
      <c r="AA1607">
        <v>0</v>
      </c>
      <c r="AB1607" t="s">
        <v>4055</v>
      </c>
      <c r="AC1607">
        <v>0.3</v>
      </c>
      <c r="AD1607" t="s">
        <v>493</v>
      </c>
      <c r="AE1607">
        <v>0</v>
      </c>
      <c r="AF1607">
        <v>0</v>
      </c>
      <c r="AG1607" t="s">
        <v>111</v>
      </c>
      <c r="AH1607" t="s">
        <v>111</v>
      </c>
      <c r="AI1607" t="s">
        <v>111</v>
      </c>
      <c r="AJ1607" t="s">
        <v>111</v>
      </c>
      <c r="AK1607" t="s">
        <v>111</v>
      </c>
      <c r="AL1607" t="s">
        <v>111</v>
      </c>
      <c r="AM1607">
        <v>0</v>
      </c>
      <c r="AN1607">
        <v>0</v>
      </c>
      <c r="AO1607">
        <v>0</v>
      </c>
      <c r="AP1607" t="s">
        <v>111</v>
      </c>
      <c r="AQ1607" t="s">
        <v>111</v>
      </c>
      <c r="AR1607" t="s">
        <v>111</v>
      </c>
      <c r="AS1607" t="s">
        <v>111</v>
      </c>
      <c r="AT1607" t="s">
        <v>111</v>
      </c>
      <c r="AU1607" t="s">
        <v>111</v>
      </c>
      <c r="AV1607" t="s">
        <v>111</v>
      </c>
      <c r="AW1607" t="s">
        <v>111</v>
      </c>
      <c r="AX1607" t="s">
        <v>111</v>
      </c>
      <c r="AY1607" t="s">
        <v>111</v>
      </c>
      <c r="AZ1607" t="s">
        <v>111</v>
      </c>
      <c r="BA1607" t="s">
        <v>111</v>
      </c>
      <c r="BB1607" t="s">
        <v>111</v>
      </c>
      <c r="BC1607" t="s">
        <v>111</v>
      </c>
      <c r="BD1607" t="s">
        <v>111</v>
      </c>
      <c r="BE1607" t="s">
        <v>111</v>
      </c>
      <c r="BF1607" t="s">
        <v>111</v>
      </c>
      <c r="BG1607" t="s">
        <v>111</v>
      </c>
      <c r="BH1607" t="s">
        <v>111</v>
      </c>
      <c r="BI1607" t="s">
        <v>111</v>
      </c>
      <c r="BJ1607" t="s">
        <v>111</v>
      </c>
      <c r="BK1607" t="s">
        <v>111</v>
      </c>
      <c r="BL1607" t="s">
        <v>111</v>
      </c>
      <c r="BM1607" t="s">
        <v>111</v>
      </c>
      <c r="BN1607" t="s">
        <v>111</v>
      </c>
      <c r="BO1607" t="s">
        <v>111</v>
      </c>
      <c r="BP1607" t="s">
        <v>111</v>
      </c>
      <c r="BQ1607" t="s">
        <v>111</v>
      </c>
      <c r="BR1607" t="s">
        <v>111</v>
      </c>
      <c r="BS1607" t="s">
        <v>111</v>
      </c>
      <c r="BT1607" t="s">
        <v>111</v>
      </c>
      <c r="BU1607" t="s">
        <v>111</v>
      </c>
      <c r="BV1607" t="s">
        <v>111</v>
      </c>
      <c r="BW1607" t="s">
        <v>111</v>
      </c>
      <c r="BX1607" t="s">
        <v>111</v>
      </c>
      <c r="BY1607" t="s">
        <v>111</v>
      </c>
      <c r="BZ1607" t="s">
        <v>111</v>
      </c>
      <c r="CA1607" t="s">
        <v>111</v>
      </c>
      <c r="CB1607" t="s">
        <v>111</v>
      </c>
      <c r="CC1607" t="s">
        <v>111</v>
      </c>
      <c r="CD1607" t="s">
        <v>111</v>
      </c>
      <c r="CE1607" t="s">
        <v>111</v>
      </c>
      <c r="CF1607" t="s">
        <v>111</v>
      </c>
      <c r="CG1607" t="s">
        <v>111</v>
      </c>
      <c r="CH1607" t="s">
        <v>111</v>
      </c>
      <c r="CI1607" t="s">
        <v>111</v>
      </c>
      <c r="CJ1607" t="s">
        <v>111</v>
      </c>
      <c r="CK1607" t="s">
        <v>111</v>
      </c>
      <c r="CL1607" t="s">
        <v>111</v>
      </c>
      <c r="CM1607" t="s">
        <v>438</v>
      </c>
      <c r="CN1607" t="s">
        <v>113</v>
      </c>
      <c r="CO1607" t="s">
        <v>637</v>
      </c>
      <c r="CP1607" t="s">
        <v>433</v>
      </c>
      <c r="CQ1607">
        <v>95</v>
      </c>
      <c r="CR1607">
        <v>5000</v>
      </c>
      <c r="CS1607">
        <v>100</v>
      </c>
      <c r="CT1607" s="1" t="s">
        <v>4481</v>
      </c>
      <c r="CU1607">
        <v>0</v>
      </c>
      <c r="CV1607" t="s">
        <v>111</v>
      </c>
      <c r="CX1607" t="s">
        <v>111</v>
      </c>
      <c r="CY1607">
        <v>0</v>
      </c>
      <c r="CZ1607" t="s">
        <v>111</v>
      </c>
      <c r="DA1607" t="s">
        <v>111</v>
      </c>
      <c r="DB1607" t="s">
        <v>111</v>
      </c>
      <c r="DC1607" t="s">
        <v>111</v>
      </c>
    </row>
    <row r="1608" spans="1:107">
      <c r="A1608">
        <v>1953</v>
      </c>
      <c r="B1608" t="s">
        <v>107</v>
      </c>
      <c r="C1608" s="2">
        <v>91226680</v>
      </c>
      <c r="D1608" t="s">
        <v>4475</v>
      </c>
      <c r="E1608" t="s">
        <v>4482</v>
      </c>
      <c r="F1608" t="s">
        <v>4420</v>
      </c>
      <c r="G1608" t="s">
        <v>24</v>
      </c>
      <c r="H1608">
        <v>1.5</v>
      </c>
      <c r="I1608">
        <v>12.5</v>
      </c>
      <c r="J1608">
        <v>0</v>
      </c>
      <c r="K1608">
        <v>0</v>
      </c>
      <c r="L1608" t="s">
        <v>178</v>
      </c>
      <c r="M1608" t="s">
        <v>138</v>
      </c>
      <c r="N1608">
        <v>0</v>
      </c>
      <c r="O1608">
        <v>0</v>
      </c>
      <c r="P1608" t="s">
        <v>111</v>
      </c>
      <c r="Q1608">
        <v>12.5</v>
      </c>
      <c r="R1608">
        <v>0</v>
      </c>
      <c r="S1608">
        <v>0</v>
      </c>
      <c r="T1608">
        <v>5</v>
      </c>
      <c r="U1608" s="1" t="s">
        <v>4483</v>
      </c>
      <c r="V1608">
        <v>0</v>
      </c>
      <c r="W1608">
        <v>0</v>
      </c>
      <c r="X1608">
        <v>0</v>
      </c>
      <c r="Y1608">
        <v>25</v>
      </c>
      <c r="Z1608" t="s">
        <v>111</v>
      </c>
      <c r="AA1608">
        <v>0</v>
      </c>
      <c r="AB1608" t="s">
        <v>111</v>
      </c>
      <c r="AC1608">
        <v>0</v>
      </c>
      <c r="AD1608" t="s">
        <v>111</v>
      </c>
      <c r="AE1608">
        <v>0</v>
      </c>
      <c r="AF1608">
        <v>0</v>
      </c>
      <c r="AG1608" t="s">
        <v>111</v>
      </c>
      <c r="AH1608" t="s">
        <v>111</v>
      </c>
      <c r="AI1608" t="s">
        <v>111</v>
      </c>
      <c r="AJ1608" t="s">
        <v>111</v>
      </c>
      <c r="AK1608" t="s">
        <v>111</v>
      </c>
      <c r="AL1608" t="s">
        <v>111</v>
      </c>
      <c r="AM1608">
        <v>0</v>
      </c>
      <c r="AN1608">
        <v>0</v>
      </c>
      <c r="AO1608">
        <v>0</v>
      </c>
      <c r="AP1608" t="s">
        <v>111</v>
      </c>
      <c r="AQ1608" t="s">
        <v>111</v>
      </c>
      <c r="AR1608" t="s">
        <v>111</v>
      </c>
      <c r="AS1608" t="s">
        <v>111</v>
      </c>
      <c r="AT1608" t="s">
        <v>111</v>
      </c>
      <c r="AU1608" t="s">
        <v>111</v>
      </c>
      <c r="AV1608" t="s">
        <v>111</v>
      </c>
      <c r="AW1608" t="s">
        <v>111</v>
      </c>
      <c r="AX1608" t="s">
        <v>111</v>
      </c>
      <c r="AY1608" t="s">
        <v>111</v>
      </c>
      <c r="AZ1608" t="s">
        <v>111</v>
      </c>
      <c r="BA1608" t="s">
        <v>111</v>
      </c>
      <c r="BB1608" t="s">
        <v>111</v>
      </c>
      <c r="BC1608" t="s">
        <v>111</v>
      </c>
      <c r="BD1608" t="s">
        <v>111</v>
      </c>
      <c r="BE1608" t="s">
        <v>111</v>
      </c>
      <c r="BF1608" t="s">
        <v>111</v>
      </c>
      <c r="BG1608" t="s">
        <v>111</v>
      </c>
      <c r="BH1608" t="s">
        <v>111</v>
      </c>
      <c r="BI1608" t="s">
        <v>111</v>
      </c>
      <c r="BJ1608" t="s">
        <v>111</v>
      </c>
      <c r="BK1608" t="s">
        <v>111</v>
      </c>
      <c r="BL1608" t="s">
        <v>111</v>
      </c>
      <c r="BM1608" t="s">
        <v>111</v>
      </c>
      <c r="BN1608" t="s">
        <v>111</v>
      </c>
      <c r="BO1608" t="s">
        <v>111</v>
      </c>
      <c r="BP1608" t="s">
        <v>111</v>
      </c>
      <c r="BQ1608" t="s">
        <v>111</v>
      </c>
      <c r="BR1608" t="s">
        <v>111</v>
      </c>
      <c r="BS1608" t="s">
        <v>111</v>
      </c>
      <c r="BT1608" t="s">
        <v>111</v>
      </c>
      <c r="BU1608" t="s">
        <v>111</v>
      </c>
      <c r="BV1608" t="s">
        <v>111</v>
      </c>
      <c r="BW1608" t="s">
        <v>111</v>
      </c>
      <c r="BX1608" t="s">
        <v>111</v>
      </c>
      <c r="BY1608" t="s">
        <v>111</v>
      </c>
      <c r="BZ1608" t="s">
        <v>111</v>
      </c>
      <c r="CA1608" t="s">
        <v>111</v>
      </c>
      <c r="CB1608" t="s">
        <v>111</v>
      </c>
      <c r="CC1608" t="s">
        <v>111</v>
      </c>
      <c r="CD1608" t="s">
        <v>111</v>
      </c>
      <c r="CE1608" t="s">
        <v>111</v>
      </c>
      <c r="CF1608" t="s">
        <v>111</v>
      </c>
      <c r="CG1608" t="s">
        <v>111</v>
      </c>
      <c r="CH1608" t="s">
        <v>111</v>
      </c>
      <c r="CI1608" t="s">
        <v>111</v>
      </c>
      <c r="CJ1608" t="s">
        <v>111</v>
      </c>
      <c r="CK1608" t="s">
        <v>111</v>
      </c>
      <c r="CL1608" t="s">
        <v>111</v>
      </c>
      <c r="CM1608" t="s">
        <v>111</v>
      </c>
      <c r="CN1608" t="s">
        <v>111</v>
      </c>
      <c r="CO1608" t="s">
        <v>111</v>
      </c>
      <c r="CP1608" t="s">
        <v>111</v>
      </c>
      <c r="CQ1608">
        <v>0</v>
      </c>
      <c r="CR1608">
        <v>0</v>
      </c>
      <c r="CS1608">
        <v>0</v>
      </c>
      <c r="CT1608" t="s">
        <v>111</v>
      </c>
      <c r="CU1608">
        <v>0</v>
      </c>
      <c r="CV1608" t="s">
        <v>111</v>
      </c>
      <c r="CX1608" t="s">
        <v>111</v>
      </c>
      <c r="CY1608">
        <v>0</v>
      </c>
      <c r="CZ1608" t="s">
        <v>111</v>
      </c>
      <c r="DA1608" t="s">
        <v>111</v>
      </c>
      <c r="DB1608" t="s">
        <v>111</v>
      </c>
      <c r="DC1608" t="s">
        <v>111</v>
      </c>
    </row>
    <row r="1609" spans="1:107">
      <c r="A1609">
        <v>1951</v>
      </c>
      <c r="B1609" t="s">
        <v>107</v>
      </c>
      <c r="C1609" t="s">
        <v>119</v>
      </c>
      <c r="D1609" t="s">
        <v>120</v>
      </c>
      <c r="E1609" t="s">
        <v>4484</v>
      </c>
      <c r="F1609" t="s">
        <v>110</v>
      </c>
      <c r="G1609" t="s">
        <v>24</v>
      </c>
      <c r="H1609">
        <v>1.3</v>
      </c>
      <c r="I1609">
        <v>50</v>
      </c>
      <c r="J1609">
        <v>0</v>
      </c>
      <c r="K1609">
        <v>0</v>
      </c>
      <c r="L1609" t="s">
        <v>112</v>
      </c>
      <c r="M1609" t="s">
        <v>118</v>
      </c>
      <c r="N1609">
        <v>40</v>
      </c>
      <c r="O1609">
        <v>1</v>
      </c>
      <c r="P1609" t="s">
        <v>111</v>
      </c>
      <c r="Q1609">
        <v>50</v>
      </c>
      <c r="R1609">
        <v>0</v>
      </c>
      <c r="S1609">
        <v>0</v>
      </c>
      <c r="T1609">
        <v>0</v>
      </c>
      <c r="U1609" s="1" t="s">
        <v>4485</v>
      </c>
      <c r="V1609">
        <v>0</v>
      </c>
      <c r="W1609">
        <v>0</v>
      </c>
      <c r="X1609">
        <v>0</v>
      </c>
      <c r="Y1609">
        <v>25</v>
      </c>
      <c r="Z1609" t="s">
        <v>111</v>
      </c>
      <c r="AA1609">
        <v>0</v>
      </c>
      <c r="AB1609" t="s">
        <v>111</v>
      </c>
      <c r="AC1609">
        <v>0</v>
      </c>
      <c r="AD1609" t="s">
        <v>111</v>
      </c>
      <c r="AE1609">
        <v>0</v>
      </c>
      <c r="AF1609">
        <v>0</v>
      </c>
      <c r="AG1609" t="s">
        <v>111</v>
      </c>
      <c r="AH1609" t="s">
        <v>111</v>
      </c>
      <c r="AI1609" t="s">
        <v>111</v>
      </c>
      <c r="AJ1609" t="s">
        <v>111</v>
      </c>
      <c r="AK1609" t="s">
        <v>111</v>
      </c>
      <c r="AL1609" t="s">
        <v>111</v>
      </c>
      <c r="AM1609">
        <v>0</v>
      </c>
      <c r="AN1609">
        <v>0</v>
      </c>
      <c r="AO1609">
        <v>0</v>
      </c>
      <c r="AP1609" t="s">
        <v>111</v>
      </c>
      <c r="AQ1609" t="s">
        <v>111</v>
      </c>
      <c r="AR1609" t="s">
        <v>111</v>
      </c>
      <c r="AS1609" t="s">
        <v>111</v>
      </c>
      <c r="AT1609" t="s">
        <v>111</v>
      </c>
      <c r="AU1609" t="s">
        <v>111</v>
      </c>
      <c r="AV1609" t="s">
        <v>111</v>
      </c>
      <c r="AW1609" t="s">
        <v>111</v>
      </c>
      <c r="AX1609" t="s">
        <v>111</v>
      </c>
      <c r="AY1609" t="s">
        <v>111</v>
      </c>
      <c r="AZ1609" t="s">
        <v>111</v>
      </c>
      <c r="BA1609" t="s">
        <v>111</v>
      </c>
      <c r="BB1609" t="s">
        <v>111</v>
      </c>
      <c r="BC1609" t="s">
        <v>111</v>
      </c>
      <c r="BD1609" t="s">
        <v>111</v>
      </c>
      <c r="BE1609" t="s">
        <v>111</v>
      </c>
      <c r="BF1609" t="s">
        <v>111</v>
      </c>
      <c r="BG1609" t="s">
        <v>111</v>
      </c>
      <c r="BH1609" t="s">
        <v>111</v>
      </c>
      <c r="BI1609" t="s">
        <v>111</v>
      </c>
      <c r="BJ1609" t="s">
        <v>111</v>
      </c>
      <c r="BK1609" t="s">
        <v>111</v>
      </c>
      <c r="BL1609" t="s">
        <v>111</v>
      </c>
      <c r="BM1609" t="s">
        <v>111</v>
      </c>
      <c r="BN1609" t="s">
        <v>111</v>
      </c>
      <c r="BO1609" t="s">
        <v>111</v>
      </c>
      <c r="BP1609" t="s">
        <v>111</v>
      </c>
      <c r="BQ1609" t="s">
        <v>111</v>
      </c>
      <c r="BR1609" t="s">
        <v>111</v>
      </c>
      <c r="BS1609" t="s">
        <v>111</v>
      </c>
      <c r="BT1609" t="s">
        <v>111</v>
      </c>
      <c r="BU1609" t="s">
        <v>111</v>
      </c>
      <c r="BV1609" t="s">
        <v>111</v>
      </c>
      <c r="BW1609" t="s">
        <v>111</v>
      </c>
      <c r="BX1609" t="s">
        <v>111</v>
      </c>
      <c r="BY1609" t="s">
        <v>111</v>
      </c>
      <c r="BZ1609" t="s">
        <v>111</v>
      </c>
      <c r="CA1609" t="s">
        <v>111</v>
      </c>
      <c r="CB1609" t="s">
        <v>111</v>
      </c>
      <c r="CC1609" t="s">
        <v>111</v>
      </c>
      <c r="CD1609" t="s">
        <v>111</v>
      </c>
      <c r="CE1609" t="s">
        <v>111</v>
      </c>
      <c r="CF1609" t="s">
        <v>111</v>
      </c>
      <c r="CG1609" t="s">
        <v>111</v>
      </c>
      <c r="CH1609" t="s">
        <v>111</v>
      </c>
      <c r="CI1609" t="s">
        <v>111</v>
      </c>
      <c r="CJ1609" t="s">
        <v>111</v>
      </c>
      <c r="CK1609" t="s">
        <v>111</v>
      </c>
      <c r="CL1609" t="s">
        <v>111</v>
      </c>
      <c r="CM1609" t="s">
        <v>111</v>
      </c>
      <c r="CN1609" t="s">
        <v>111</v>
      </c>
      <c r="CO1609" t="s">
        <v>111</v>
      </c>
      <c r="CP1609" t="s">
        <v>111</v>
      </c>
      <c r="CQ1609">
        <v>0</v>
      </c>
      <c r="CR1609">
        <v>0</v>
      </c>
      <c r="CS1609">
        <v>0</v>
      </c>
      <c r="CT1609" t="s">
        <v>111</v>
      </c>
      <c r="CU1609">
        <v>0</v>
      </c>
      <c r="CV1609" t="s">
        <v>111</v>
      </c>
      <c r="CX1609" t="s">
        <v>111</v>
      </c>
      <c r="CY1609">
        <v>0</v>
      </c>
      <c r="CZ1609" t="s">
        <v>111</v>
      </c>
      <c r="DA1609" t="s">
        <v>111</v>
      </c>
      <c r="DB1609" t="s">
        <v>111</v>
      </c>
      <c r="DC1609" t="s">
        <v>111</v>
      </c>
    </row>
    <row r="1610" spans="1:107">
      <c r="A1610">
        <v>1937</v>
      </c>
      <c r="B1610" t="s">
        <v>107</v>
      </c>
      <c r="C1610" t="s">
        <v>119</v>
      </c>
      <c r="D1610" t="s">
        <v>4486</v>
      </c>
      <c r="E1610" t="s">
        <v>4487</v>
      </c>
      <c r="F1610" t="s">
        <v>110</v>
      </c>
      <c r="G1610" t="s">
        <v>24</v>
      </c>
      <c r="H1610">
        <v>1.8</v>
      </c>
      <c r="I1610">
        <v>45</v>
      </c>
      <c r="J1610">
        <v>0</v>
      </c>
      <c r="K1610">
        <v>0</v>
      </c>
      <c r="L1610" t="s">
        <v>112</v>
      </c>
      <c r="M1610" t="s">
        <v>118</v>
      </c>
      <c r="N1610">
        <v>40</v>
      </c>
      <c r="O1610">
        <v>1</v>
      </c>
      <c r="P1610" t="s">
        <v>111</v>
      </c>
      <c r="Q1610">
        <v>40</v>
      </c>
      <c r="R1610">
        <v>0</v>
      </c>
      <c r="S1610">
        <v>0</v>
      </c>
      <c r="T1610">
        <v>0</v>
      </c>
      <c r="U1610" s="1" t="s">
        <v>4488</v>
      </c>
      <c r="V1610">
        <v>0</v>
      </c>
      <c r="W1610">
        <v>0</v>
      </c>
      <c r="X1610">
        <v>0</v>
      </c>
      <c r="Y1610">
        <v>25</v>
      </c>
      <c r="Z1610" t="s">
        <v>111</v>
      </c>
      <c r="AA1610">
        <v>0</v>
      </c>
      <c r="AB1610" t="s">
        <v>111</v>
      </c>
      <c r="AC1610">
        <v>0</v>
      </c>
      <c r="AD1610" t="s">
        <v>111</v>
      </c>
      <c r="AE1610">
        <v>0</v>
      </c>
      <c r="AF1610">
        <v>0</v>
      </c>
      <c r="AG1610" t="s">
        <v>111</v>
      </c>
      <c r="AH1610" t="s">
        <v>111</v>
      </c>
      <c r="AI1610" t="s">
        <v>111</v>
      </c>
      <c r="AJ1610" t="s">
        <v>111</v>
      </c>
      <c r="AK1610" t="s">
        <v>111</v>
      </c>
      <c r="AL1610" t="s">
        <v>111</v>
      </c>
      <c r="AM1610">
        <v>0</v>
      </c>
      <c r="AN1610">
        <v>0</v>
      </c>
      <c r="AO1610">
        <v>0</v>
      </c>
      <c r="AP1610" t="s">
        <v>111</v>
      </c>
      <c r="AQ1610" t="s">
        <v>111</v>
      </c>
      <c r="AR1610" t="s">
        <v>111</v>
      </c>
      <c r="AS1610" t="s">
        <v>111</v>
      </c>
      <c r="AT1610" t="s">
        <v>111</v>
      </c>
      <c r="AU1610" t="s">
        <v>111</v>
      </c>
      <c r="AV1610" t="s">
        <v>111</v>
      </c>
      <c r="AW1610" t="s">
        <v>111</v>
      </c>
      <c r="AX1610" t="s">
        <v>111</v>
      </c>
      <c r="AY1610" t="s">
        <v>111</v>
      </c>
      <c r="AZ1610" t="s">
        <v>111</v>
      </c>
      <c r="BA1610" t="s">
        <v>111</v>
      </c>
      <c r="BB1610" t="s">
        <v>111</v>
      </c>
      <c r="BC1610" t="s">
        <v>111</v>
      </c>
      <c r="BD1610" t="s">
        <v>111</v>
      </c>
      <c r="BE1610" t="s">
        <v>111</v>
      </c>
      <c r="BF1610" t="s">
        <v>111</v>
      </c>
      <c r="BG1610" t="s">
        <v>111</v>
      </c>
      <c r="BH1610" t="s">
        <v>111</v>
      </c>
      <c r="BI1610" t="s">
        <v>111</v>
      </c>
      <c r="BJ1610" t="s">
        <v>111</v>
      </c>
      <c r="BK1610" t="s">
        <v>111</v>
      </c>
      <c r="BL1610" t="s">
        <v>111</v>
      </c>
      <c r="BM1610" t="s">
        <v>111</v>
      </c>
      <c r="BN1610" t="s">
        <v>111</v>
      </c>
      <c r="BO1610" t="s">
        <v>111</v>
      </c>
      <c r="BP1610" t="s">
        <v>111</v>
      </c>
      <c r="BQ1610" t="s">
        <v>111</v>
      </c>
      <c r="BR1610" t="s">
        <v>111</v>
      </c>
      <c r="BS1610" t="s">
        <v>111</v>
      </c>
      <c r="BT1610" t="s">
        <v>111</v>
      </c>
      <c r="BU1610" t="s">
        <v>111</v>
      </c>
      <c r="BV1610" t="s">
        <v>111</v>
      </c>
      <c r="BW1610" t="s">
        <v>111</v>
      </c>
      <c r="BX1610" t="s">
        <v>111</v>
      </c>
      <c r="BY1610" t="s">
        <v>111</v>
      </c>
      <c r="BZ1610" t="s">
        <v>111</v>
      </c>
      <c r="CA1610" t="s">
        <v>111</v>
      </c>
      <c r="CB1610" t="s">
        <v>111</v>
      </c>
      <c r="CC1610" t="s">
        <v>111</v>
      </c>
      <c r="CD1610" t="s">
        <v>111</v>
      </c>
      <c r="CE1610" t="s">
        <v>111</v>
      </c>
      <c r="CF1610" t="s">
        <v>111</v>
      </c>
      <c r="CG1610" t="s">
        <v>111</v>
      </c>
      <c r="CH1610" t="s">
        <v>111</v>
      </c>
      <c r="CI1610" t="s">
        <v>111</v>
      </c>
      <c r="CJ1610" t="s">
        <v>111</v>
      </c>
      <c r="CK1610" t="s">
        <v>111</v>
      </c>
      <c r="CL1610" t="s">
        <v>111</v>
      </c>
      <c r="CM1610" t="s">
        <v>111</v>
      </c>
      <c r="CN1610" t="s">
        <v>111</v>
      </c>
      <c r="CO1610" t="s">
        <v>111</v>
      </c>
      <c r="CP1610" t="s">
        <v>111</v>
      </c>
      <c r="CQ1610">
        <v>0</v>
      </c>
      <c r="CR1610">
        <v>0</v>
      </c>
      <c r="CS1610">
        <v>0</v>
      </c>
      <c r="CT1610" t="s">
        <v>111</v>
      </c>
      <c r="CU1610">
        <v>0</v>
      </c>
      <c r="CV1610" t="s">
        <v>111</v>
      </c>
      <c r="CX1610" t="s">
        <v>111</v>
      </c>
      <c r="CY1610">
        <v>0</v>
      </c>
      <c r="CZ1610" t="s">
        <v>111</v>
      </c>
      <c r="DA1610" t="s">
        <v>111</v>
      </c>
      <c r="DB1610" t="s">
        <v>111</v>
      </c>
      <c r="DC1610" t="s">
        <v>111</v>
      </c>
    </row>
    <row r="1611" spans="1:107">
      <c r="A1611">
        <v>1936</v>
      </c>
      <c r="B1611" t="s">
        <v>107</v>
      </c>
      <c r="C1611" t="s">
        <v>119</v>
      </c>
      <c r="D1611" t="s">
        <v>4489</v>
      </c>
      <c r="E1611" t="s">
        <v>4490</v>
      </c>
      <c r="F1611" t="s">
        <v>2211</v>
      </c>
      <c r="G1611" t="s">
        <v>24</v>
      </c>
      <c r="H1611">
        <v>2.4</v>
      </c>
      <c r="I1611">
        <v>40</v>
      </c>
      <c r="J1611">
        <v>0</v>
      </c>
      <c r="K1611">
        <v>0</v>
      </c>
      <c r="L1611" t="s">
        <v>117</v>
      </c>
      <c r="M1611" t="s">
        <v>118</v>
      </c>
      <c r="N1611">
        <v>40</v>
      </c>
      <c r="O1611">
        <v>1</v>
      </c>
      <c r="P1611" t="s">
        <v>111</v>
      </c>
      <c r="Q1611">
        <v>42.5</v>
      </c>
      <c r="R1611">
        <v>0</v>
      </c>
      <c r="S1611">
        <v>0</v>
      </c>
      <c r="T1611">
        <v>0</v>
      </c>
      <c r="U1611" s="1" t="s">
        <v>4491</v>
      </c>
      <c r="V1611">
        <v>0</v>
      </c>
      <c r="W1611">
        <v>0</v>
      </c>
      <c r="X1611">
        <v>0</v>
      </c>
      <c r="Y1611">
        <v>25</v>
      </c>
      <c r="Z1611" t="s">
        <v>111</v>
      </c>
      <c r="AA1611">
        <v>0</v>
      </c>
      <c r="AB1611" t="s">
        <v>111</v>
      </c>
      <c r="AC1611">
        <v>0</v>
      </c>
      <c r="AD1611" t="s">
        <v>111</v>
      </c>
      <c r="AE1611">
        <v>0</v>
      </c>
      <c r="AF1611">
        <v>0</v>
      </c>
      <c r="AG1611" t="s">
        <v>111</v>
      </c>
      <c r="AH1611" t="s">
        <v>111</v>
      </c>
      <c r="AI1611" t="s">
        <v>111</v>
      </c>
      <c r="AJ1611" t="s">
        <v>111</v>
      </c>
      <c r="AK1611" t="s">
        <v>111</v>
      </c>
      <c r="AL1611" t="s">
        <v>111</v>
      </c>
      <c r="AM1611">
        <v>0</v>
      </c>
      <c r="AN1611">
        <v>0</v>
      </c>
      <c r="AO1611">
        <v>0</v>
      </c>
      <c r="AP1611" t="s">
        <v>111</v>
      </c>
      <c r="AQ1611" t="s">
        <v>111</v>
      </c>
      <c r="AR1611" t="s">
        <v>111</v>
      </c>
      <c r="AS1611" t="s">
        <v>111</v>
      </c>
      <c r="AT1611" t="s">
        <v>111</v>
      </c>
      <c r="AU1611" t="s">
        <v>111</v>
      </c>
      <c r="AV1611" t="s">
        <v>111</v>
      </c>
      <c r="AW1611" t="s">
        <v>111</v>
      </c>
      <c r="AX1611" t="s">
        <v>111</v>
      </c>
      <c r="AY1611" t="s">
        <v>111</v>
      </c>
      <c r="AZ1611" t="s">
        <v>111</v>
      </c>
      <c r="BA1611" t="s">
        <v>111</v>
      </c>
      <c r="BB1611" t="s">
        <v>111</v>
      </c>
      <c r="BC1611" t="s">
        <v>111</v>
      </c>
      <c r="BD1611" t="s">
        <v>111</v>
      </c>
      <c r="BE1611" t="s">
        <v>111</v>
      </c>
      <c r="BF1611" t="s">
        <v>111</v>
      </c>
      <c r="BG1611" t="s">
        <v>111</v>
      </c>
      <c r="BH1611" t="s">
        <v>111</v>
      </c>
      <c r="BI1611" t="s">
        <v>111</v>
      </c>
      <c r="BJ1611" t="s">
        <v>111</v>
      </c>
      <c r="BK1611" t="s">
        <v>111</v>
      </c>
      <c r="BL1611" t="s">
        <v>111</v>
      </c>
      <c r="BM1611" t="s">
        <v>111</v>
      </c>
      <c r="BN1611" t="s">
        <v>111</v>
      </c>
      <c r="BO1611" t="s">
        <v>111</v>
      </c>
      <c r="BP1611" t="s">
        <v>111</v>
      </c>
      <c r="BQ1611" t="s">
        <v>111</v>
      </c>
      <c r="BR1611" t="s">
        <v>111</v>
      </c>
      <c r="BS1611" t="s">
        <v>111</v>
      </c>
      <c r="BT1611" t="s">
        <v>111</v>
      </c>
      <c r="BU1611" t="s">
        <v>111</v>
      </c>
      <c r="BV1611" t="s">
        <v>111</v>
      </c>
      <c r="BW1611" t="s">
        <v>111</v>
      </c>
      <c r="BX1611" t="s">
        <v>111</v>
      </c>
      <c r="BY1611" t="s">
        <v>111</v>
      </c>
      <c r="BZ1611" t="s">
        <v>111</v>
      </c>
      <c r="CA1611" t="s">
        <v>111</v>
      </c>
      <c r="CB1611" t="s">
        <v>111</v>
      </c>
      <c r="CC1611" t="s">
        <v>111</v>
      </c>
      <c r="CD1611" t="s">
        <v>111</v>
      </c>
      <c r="CE1611" t="s">
        <v>111</v>
      </c>
      <c r="CF1611" t="s">
        <v>111</v>
      </c>
      <c r="CG1611" t="s">
        <v>111</v>
      </c>
      <c r="CH1611" t="s">
        <v>111</v>
      </c>
      <c r="CI1611" t="s">
        <v>111</v>
      </c>
      <c r="CJ1611" t="s">
        <v>111</v>
      </c>
      <c r="CK1611" t="s">
        <v>111</v>
      </c>
      <c r="CL1611" t="s">
        <v>111</v>
      </c>
      <c r="CM1611" t="s">
        <v>111</v>
      </c>
      <c r="CN1611" t="s">
        <v>111</v>
      </c>
      <c r="CO1611" t="s">
        <v>111</v>
      </c>
      <c r="CP1611" t="s">
        <v>111</v>
      </c>
      <c r="CQ1611">
        <v>0</v>
      </c>
      <c r="CR1611">
        <v>0</v>
      </c>
      <c r="CS1611">
        <v>0</v>
      </c>
      <c r="CT1611" t="s">
        <v>111</v>
      </c>
      <c r="CU1611">
        <v>0</v>
      </c>
      <c r="CV1611" t="s">
        <v>111</v>
      </c>
      <c r="CX1611" t="s">
        <v>111</v>
      </c>
      <c r="CY1611">
        <v>0</v>
      </c>
      <c r="CZ1611" t="s">
        <v>111</v>
      </c>
      <c r="DA1611" t="s">
        <v>111</v>
      </c>
      <c r="DB1611" t="s">
        <v>111</v>
      </c>
      <c r="DC1611" t="s">
        <v>111</v>
      </c>
    </row>
    <row r="1612" spans="1:107">
      <c r="A1612">
        <v>1849</v>
      </c>
      <c r="B1612" t="s">
        <v>107</v>
      </c>
      <c r="C1612" t="s">
        <v>3783</v>
      </c>
      <c r="D1612" t="s">
        <v>3960</v>
      </c>
      <c r="E1612" t="s">
        <v>4492</v>
      </c>
      <c r="F1612" t="s">
        <v>1260</v>
      </c>
      <c r="G1612" t="s">
        <v>24</v>
      </c>
      <c r="H1612">
        <v>1.9</v>
      </c>
      <c r="I1612">
        <v>40</v>
      </c>
      <c r="J1612">
        <v>0</v>
      </c>
      <c r="K1612">
        <v>0</v>
      </c>
      <c r="L1612" t="s">
        <v>117</v>
      </c>
      <c r="M1612" t="s">
        <v>118</v>
      </c>
      <c r="N1612">
        <v>40</v>
      </c>
      <c r="O1612">
        <v>1</v>
      </c>
      <c r="P1612" t="s">
        <v>111</v>
      </c>
      <c r="Q1612">
        <v>42</v>
      </c>
      <c r="R1612">
        <v>0</v>
      </c>
      <c r="S1612">
        <v>0</v>
      </c>
      <c r="T1612">
        <v>5</v>
      </c>
      <c r="U1612" t="e">
        <f>-DARMA</f>
        <v>#NAME?</v>
      </c>
      <c r="V1612">
        <v>0</v>
      </c>
      <c r="W1612">
        <v>0</v>
      </c>
      <c r="X1612">
        <v>0</v>
      </c>
      <c r="Y1612">
        <v>25</v>
      </c>
      <c r="Z1612" t="s">
        <v>111</v>
      </c>
      <c r="AA1612">
        <v>0</v>
      </c>
      <c r="AB1612" t="s">
        <v>111</v>
      </c>
      <c r="AC1612">
        <v>0</v>
      </c>
      <c r="AD1612" t="s">
        <v>416</v>
      </c>
      <c r="AE1612">
        <v>0</v>
      </c>
      <c r="AF1612">
        <v>0</v>
      </c>
      <c r="AG1612" t="s">
        <v>111</v>
      </c>
      <c r="AH1612" t="s">
        <v>113</v>
      </c>
      <c r="AI1612" t="s">
        <v>111</v>
      </c>
      <c r="AJ1612" t="s">
        <v>111</v>
      </c>
      <c r="AK1612" t="s">
        <v>111</v>
      </c>
      <c r="AL1612" t="s">
        <v>111</v>
      </c>
      <c r="AM1612">
        <v>0</v>
      </c>
      <c r="AN1612">
        <v>0</v>
      </c>
      <c r="AO1612">
        <v>0</v>
      </c>
      <c r="AP1612" t="s">
        <v>111</v>
      </c>
      <c r="AQ1612" t="s">
        <v>111</v>
      </c>
      <c r="AR1612" t="s">
        <v>111</v>
      </c>
      <c r="AS1612" t="s">
        <v>111</v>
      </c>
      <c r="AT1612" t="s">
        <v>111</v>
      </c>
      <c r="AU1612" t="s">
        <v>111</v>
      </c>
      <c r="AV1612" t="s">
        <v>111</v>
      </c>
      <c r="AW1612" t="s">
        <v>111</v>
      </c>
      <c r="AX1612" t="s">
        <v>111</v>
      </c>
      <c r="AY1612" t="s">
        <v>111</v>
      </c>
      <c r="AZ1612" t="s">
        <v>111</v>
      </c>
      <c r="BA1612" t="s">
        <v>111</v>
      </c>
      <c r="BB1612" t="s">
        <v>111</v>
      </c>
      <c r="BC1612" t="s">
        <v>111</v>
      </c>
      <c r="BD1612" t="s">
        <v>111</v>
      </c>
      <c r="BE1612" t="s">
        <v>111</v>
      </c>
      <c r="BF1612" t="s">
        <v>111</v>
      </c>
      <c r="BG1612" t="s">
        <v>111</v>
      </c>
      <c r="BH1612" t="s">
        <v>111</v>
      </c>
      <c r="BI1612" t="s">
        <v>111</v>
      </c>
      <c r="BJ1612" t="s">
        <v>111</v>
      </c>
      <c r="BK1612" t="s">
        <v>111</v>
      </c>
      <c r="BL1612" t="s">
        <v>111</v>
      </c>
      <c r="BM1612" t="s">
        <v>111</v>
      </c>
      <c r="BN1612" t="s">
        <v>111</v>
      </c>
      <c r="BO1612" t="s">
        <v>111</v>
      </c>
      <c r="BP1612" t="s">
        <v>111</v>
      </c>
      <c r="BQ1612" t="s">
        <v>111</v>
      </c>
      <c r="BR1612" t="s">
        <v>111</v>
      </c>
      <c r="BS1612" t="s">
        <v>111</v>
      </c>
      <c r="BT1612" t="s">
        <v>111</v>
      </c>
      <c r="BU1612" t="s">
        <v>111</v>
      </c>
      <c r="BV1612" t="s">
        <v>111</v>
      </c>
      <c r="BW1612" t="s">
        <v>111</v>
      </c>
      <c r="BX1612" t="s">
        <v>111</v>
      </c>
      <c r="BY1612" t="s">
        <v>111</v>
      </c>
      <c r="BZ1612" t="s">
        <v>111</v>
      </c>
      <c r="CA1612" t="s">
        <v>111</v>
      </c>
      <c r="CB1612" t="s">
        <v>111</v>
      </c>
      <c r="CC1612" t="s">
        <v>111</v>
      </c>
      <c r="CD1612" t="s">
        <v>111</v>
      </c>
      <c r="CE1612" t="s">
        <v>111</v>
      </c>
      <c r="CF1612" t="s">
        <v>111</v>
      </c>
      <c r="CG1612" t="s">
        <v>111</v>
      </c>
      <c r="CH1612" t="s">
        <v>111</v>
      </c>
      <c r="CI1612" t="s">
        <v>111</v>
      </c>
      <c r="CJ1612" t="s">
        <v>111</v>
      </c>
      <c r="CK1612" t="s">
        <v>111</v>
      </c>
      <c r="CL1612" t="s">
        <v>111</v>
      </c>
      <c r="CM1612">
        <v>450</v>
      </c>
      <c r="CN1612" t="s">
        <v>113</v>
      </c>
      <c r="CO1612" t="s">
        <v>111</v>
      </c>
      <c r="CP1612" t="s">
        <v>111</v>
      </c>
      <c r="CQ1612">
        <v>0</v>
      </c>
      <c r="CR1612">
        <v>26000</v>
      </c>
      <c r="CS1612">
        <v>26000</v>
      </c>
      <c r="CT1612" t="e">
        <f>-ALMACEN</f>
        <v>#NAME?</v>
      </c>
      <c r="CU1612">
        <v>0</v>
      </c>
      <c r="CV1612" t="s">
        <v>111</v>
      </c>
      <c r="CX1612" t="s">
        <v>111</v>
      </c>
      <c r="CY1612">
        <v>0</v>
      </c>
      <c r="CZ1612" t="s">
        <v>111</v>
      </c>
      <c r="DA1612" t="s">
        <v>111</v>
      </c>
      <c r="DB1612" t="s">
        <v>111</v>
      </c>
      <c r="DC1612" t="s">
        <v>111</v>
      </c>
    </row>
    <row r="1613" spans="1:107">
      <c r="A1613">
        <v>1923</v>
      </c>
      <c r="B1613" t="s">
        <v>107</v>
      </c>
      <c r="C1613" t="s">
        <v>2386</v>
      </c>
      <c r="D1613" t="s">
        <v>4493</v>
      </c>
      <c r="E1613" t="s">
        <v>4494</v>
      </c>
      <c r="F1613" t="s">
        <v>1071</v>
      </c>
      <c r="G1613" t="s">
        <v>24</v>
      </c>
      <c r="H1613">
        <v>1.9</v>
      </c>
      <c r="I1613">
        <v>22.5</v>
      </c>
      <c r="J1613">
        <v>2.5</v>
      </c>
      <c r="K1613">
        <v>0</v>
      </c>
      <c r="L1613" t="s">
        <v>178</v>
      </c>
      <c r="M1613" t="s">
        <v>111</v>
      </c>
      <c r="N1613">
        <v>0</v>
      </c>
      <c r="O1613">
        <v>0</v>
      </c>
      <c r="P1613" t="s">
        <v>111</v>
      </c>
      <c r="Q1613">
        <v>19.2</v>
      </c>
      <c r="R1613">
        <v>0</v>
      </c>
      <c r="S1613">
        <v>0</v>
      </c>
      <c r="T1613">
        <v>5</v>
      </c>
      <c r="U1613" s="1" t="s">
        <v>4495</v>
      </c>
      <c r="V1613">
        <v>0</v>
      </c>
      <c r="W1613">
        <v>0</v>
      </c>
      <c r="X1613">
        <v>0</v>
      </c>
      <c r="Y1613">
        <v>25</v>
      </c>
      <c r="Z1613" t="s">
        <v>111</v>
      </c>
      <c r="AA1613">
        <v>0</v>
      </c>
      <c r="AB1613" t="s">
        <v>111</v>
      </c>
      <c r="AC1613">
        <v>0</v>
      </c>
      <c r="AD1613" t="s">
        <v>111</v>
      </c>
      <c r="AE1613">
        <v>0</v>
      </c>
      <c r="AF1613">
        <v>0</v>
      </c>
      <c r="AG1613" t="s">
        <v>111</v>
      </c>
      <c r="AH1613" t="s">
        <v>111</v>
      </c>
      <c r="AI1613" t="s">
        <v>111</v>
      </c>
      <c r="AJ1613" t="s">
        <v>111</v>
      </c>
      <c r="AK1613" t="s">
        <v>111</v>
      </c>
      <c r="AL1613" t="s">
        <v>111</v>
      </c>
      <c r="AM1613">
        <v>0</v>
      </c>
      <c r="AN1613">
        <v>0</v>
      </c>
      <c r="AO1613">
        <v>0</v>
      </c>
      <c r="AP1613" t="s">
        <v>111</v>
      </c>
      <c r="AQ1613" t="s">
        <v>111</v>
      </c>
      <c r="AR1613" t="s">
        <v>111</v>
      </c>
      <c r="AS1613" t="s">
        <v>111</v>
      </c>
      <c r="AT1613" t="s">
        <v>111</v>
      </c>
      <c r="AU1613" t="s">
        <v>111</v>
      </c>
      <c r="AV1613" t="s">
        <v>111</v>
      </c>
      <c r="AW1613" t="s">
        <v>111</v>
      </c>
      <c r="AX1613" t="s">
        <v>111</v>
      </c>
      <c r="AY1613" t="s">
        <v>111</v>
      </c>
      <c r="AZ1613" t="s">
        <v>111</v>
      </c>
      <c r="BA1613" t="s">
        <v>111</v>
      </c>
      <c r="BB1613" t="s">
        <v>111</v>
      </c>
      <c r="BC1613" t="s">
        <v>111</v>
      </c>
      <c r="BD1613" t="s">
        <v>111</v>
      </c>
      <c r="BE1613" t="s">
        <v>111</v>
      </c>
      <c r="BF1613" t="s">
        <v>111</v>
      </c>
      <c r="BG1613" t="s">
        <v>111</v>
      </c>
      <c r="BH1613" t="s">
        <v>111</v>
      </c>
      <c r="BI1613" t="s">
        <v>111</v>
      </c>
      <c r="BJ1613" t="s">
        <v>111</v>
      </c>
      <c r="BK1613" t="s">
        <v>111</v>
      </c>
      <c r="BL1613" t="s">
        <v>111</v>
      </c>
      <c r="BM1613" t="s">
        <v>111</v>
      </c>
      <c r="BN1613" t="s">
        <v>111</v>
      </c>
      <c r="BO1613" t="s">
        <v>111</v>
      </c>
      <c r="BP1613" t="s">
        <v>111</v>
      </c>
      <c r="BQ1613" t="s">
        <v>111</v>
      </c>
      <c r="BR1613" t="s">
        <v>111</v>
      </c>
      <c r="BS1613" t="s">
        <v>111</v>
      </c>
      <c r="BT1613" t="s">
        <v>111</v>
      </c>
      <c r="BU1613" t="s">
        <v>111</v>
      </c>
      <c r="BV1613" t="s">
        <v>111</v>
      </c>
      <c r="BW1613" t="s">
        <v>111</v>
      </c>
      <c r="BX1613" t="s">
        <v>111</v>
      </c>
      <c r="BY1613" t="s">
        <v>111</v>
      </c>
      <c r="BZ1613" t="s">
        <v>111</v>
      </c>
      <c r="CA1613" t="s">
        <v>111</v>
      </c>
      <c r="CB1613" t="s">
        <v>111</v>
      </c>
      <c r="CC1613" t="s">
        <v>111</v>
      </c>
      <c r="CD1613" t="s">
        <v>111</v>
      </c>
      <c r="CE1613" t="s">
        <v>111</v>
      </c>
      <c r="CF1613" t="s">
        <v>111</v>
      </c>
      <c r="CG1613" t="s">
        <v>111</v>
      </c>
      <c r="CH1613" t="s">
        <v>111</v>
      </c>
      <c r="CI1613" t="s">
        <v>111</v>
      </c>
      <c r="CJ1613" t="s">
        <v>111</v>
      </c>
      <c r="CK1613" t="s">
        <v>111</v>
      </c>
      <c r="CL1613" t="s">
        <v>111</v>
      </c>
      <c r="CM1613" t="s">
        <v>135</v>
      </c>
      <c r="CN1613" t="s">
        <v>113</v>
      </c>
      <c r="CO1613" t="s">
        <v>111</v>
      </c>
      <c r="CP1613" t="s">
        <v>111</v>
      </c>
      <c r="CQ1613">
        <v>0</v>
      </c>
      <c r="CR1613">
        <v>2000</v>
      </c>
      <c r="CS1613">
        <v>100</v>
      </c>
      <c r="CT1613" s="1" t="s">
        <v>4496</v>
      </c>
      <c r="CU1613">
        <v>0</v>
      </c>
      <c r="CV1613" t="s">
        <v>111</v>
      </c>
      <c r="CX1613" t="s">
        <v>111</v>
      </c>
      <c r="CY1613">
        <v>0</v>
      </c>
      <c r="CZ1613" t="s">
        <v>111</v>
      </c>
      <c r="DA1613" t="s">
        <v>111</v>
      </c>
      <c r="DB1613" t="e">
        <f>-EXTERNO</f>
        <v>#NAME?</v>
      </c>
      <c r="DC1613" t="e">
        <f>-PEGADA DE GANCHO</f>
        <v>#NAME?</v>
      </c>
    </row>
    <row r="1614" spans="1:107">
      <c r="A1614">
        <v>1985</v>
      </c>
      <c r="B1614" t="s">
        <v>107</v>
      </c>
      <c r="C1614" t="s">
        <v>4458</v>
      </c>
      <c r="D1614" t="s">
        <v>4497</v>
      </c>
      <c r="E1614" t="s">
        <v>4498</v>
      </c>
      <c r="F1614" t="s">
        <v>1071</v>
      </c>
      <c r="G1614" t="s">
        <v>24</v>
      </c>
      <c r="H1614">
        <v>1.4</v>
      </c>
      <c r="I1614">
        <v>40</v>
      </c>
      <c r="J1614">
        <v>0</v>
      </c>
      <c r="K1614">
        <v>0</v>
      </c>
      <c r="L1614" t="s">
        <v>112</v>
      </c>
      <c r="M1614" t="s">
        <v>111</v>
      </c>
      <c r="N1614">
        <v>0</v>
      </c>
      <c r="O1614">
        <v>0</v>
      </c>
      <c r="P1614" t="s">
        <v>111</v>
      </c>
      <c r="Q1614">
        <v>33.9</v>
      </c>
      <c r="R1614">
        <v>0</v>
      </c>
      <c r="S1614">
        <v>0</v>
      </c>
      <c r="T1614">
        <v>5</v>
      </c>
      <c r="U1614" t="e">
        <f>-SELLADO</f>
        <v>#NAME?</v>
      </c>
      <c r="V1614">
        <v>0</v>
      </c>
      <c r="W1614">
        <v>0</v>
      </c>
      <c r="X1614">
        <v>0</v>
      </c>
      <c r="Y1614">
        <v>25</v>
      </c>
      <c r="Z1614" t="s">
        <v>111</v>
      </c>
      <c r="AA1614">
        <v>0</v>
      </c>
      <c r="AB1614" t="s">
        <v>111</v>
      </c>
      <c r="AC1614">
        <v>0</v>
      </c>
      <c r="AD1614" t="s">
        <v>111</v>
      </c>
      <c r="AE1614">
        <v>0</v>
      </c>
      <c r="AF1614">
        <v>0</v>
      </c>
      <c r="AG1614" t="s">
        <v>111</v>
      </c>
      <c r="AH1614" t="s">
        <v>111</v>
      </c>
      <c r="AI1614" t="s">
        <v>111</v>
      </c>
      <c r="AJ1614" t="s">
        <v>111</v>
      </c>
      <c r="AK1614" t="s">
        <v>111</v>
      </c>
      <c r="AL1614" t="s">
        <v>111</v>
      </c>
      <c r="AM1614">
        <v>0</v>
      </c>
      <c r="AN1614">
        <v>0</v>
      </c>
      <c r="AO1614">
        <v>0</v>
      </c>
      <c r="AP1614" t="s">
        <v>111</v>
      </c>
      <c r="AQ1614" t="s">
        <v>111</v>
      </c>
      <c r="AR1614" t="s">
        <v>111</v>
      </c>
      <c r="AS1614" t="s">
        <v>111</v>
      </c>
      <c r="AT1614" t="s">
        <v>111</v>
      </c>
      <c r="AU1614" t="s">
        <v>111</v>
      </c>
      <c r="AV1614" t="s">
        <v>111</v>
      </c>
      <c r="AW1614" t="s">
        <v>111</v>
      </c>
      <c r="AX1614" t="s">
        <v>111</v>
      </c>
      <c r="AY1614" t="s">
        <v>111</v>
      </c>
      <c r="AZ1614" t="s">
        <v>111</v>
      </c>
      <c r="BA1614" t="s">
        <v>111</v>
      </c>
      <c r="BB1614" t="s">
        <v>111</v>
      </c>
      <c r="BC1614" t="s">
        <v>111</v>
      </c>
      <c r="BD1614" t="s">
        <v>111</v>
      </c>
      <c r="BE1614" t="s">
        <v>111</v>
      </c>
      <c r="BF1614" t="s">
        <v>111</v>
      </c>
      <c r="BG1614" t="s">
        <v>111</v>
      </c>
      <c r="BH1614" t="s">
        <v>111</v>
      </c>
      <c r="BI1614" t="s">
        <v>111</v>
      </c>
      <c r="BJ1614" t="s">
        <v>111</v>
      </c>
      <c r="BK1614" t="s">
        <v>111</v>
      </c>
      <c r="BL1614" t="s">
        <v>111</v>
      </c>
      <c r="BM1614" t="s">
        <v>111</v>
      </c>
      <c r="BN1614" t="s">
        <v>111</v>
      </c>
      <c r="BO1614" t="s">
        <v>111</v>
      </c>
      <c r="BP1614" t="s">
        <v>111</v>
      </c>
      <c r="BQ1614" t="s">
        <v>111</v>
      </c>
      <c r="BR1614" t="s">
        <v>111</v>
      </c>
      <c r="BS1614" t="s">
        <v>111</v>
      </c>
      <c r="BT1614" t="s">
        <v>111</v>
      </c>
      <c r="BU1614" t="s">
        <v>111</v>
      </c>
      <c r="BV1614" t="s">
        <v>111</v>
      </c>
      <c r="BW1614" t="s">
        <v>111</v>
      </c>
      <c r="BX1614" t="s">
        <v>111</v>
      </c>
      <c r="BY1614" t="s">
        <v>111</v>
      </c>
      <c r="BZ1614" t="s">
        <v>111</v>
      </c>
      <c r="CA1614" t="s">
        <v>111</v>
      </c>
      <c r="CB1614" t="s">
        <v>111</v>
      </c>
      <c r="CC1614" t="s">
        <v>111</v>
      </c>
      <c r="CD1614" t="s">
        <v>111</v>
      </c>
      <c r="CE1614" t="s">
        <v>111</v>
      </c>
      <c r="CF1614" t="s">
        <v>111</v>
      </c>
      <c r="CG1614" t="s">
        <v>111</v>
      </c>
      <c r="CH1614" t="s">
        <v>111</v>
      </c>
      <c r="CI1614" t="s">
        <v>111</v>
      </c>
      <c r="CJ1614" t="s">
        <v>111</v>
      </c>
      <c r="CK1614" t="s">
        <v>111</v>
      </c>
      <c r="CL1614" t="s">
        <v>111</v>
      </c>
      <c r="CM1614">
        <v>450</v>
      </c>
      <c r="CN1614" t="s">
        <v>113</v>
      </c>
      <c r="CO1614" t="s">
        <v>111</v>
      </c>
      <c r="CP1614" t="s">
        <v>111</v>
      </c>
      <c r="CQ1614">
        <v>0</v>
      </c>
      <c r="CR1614">
        <v>15000</v>
      </c>
      <c r="CS1614">
        <v>500</v>
      </c>
      <c r="CT1614" t="e">
        <f>-ALMACEN</f>
        <v>#NAME?</v>
      </c>
      <c r="CU1614">
        <v>0</v>
      </c>
      <c r="CV1614" t="s">
        <v>111</v>
      </c>
      <c r="CX1614" t="s">
        <v>111</v>
      </c>
      <c r="CY1614">
        <v>0</v>
      </c>
      <c r="CZ1614" t="s">
        <v>111</v>
      </c>
      <c r="DA1614" t="s">
        <v>111</v>
      </c>
      <c r="DB1614" t="s">
        <v>111</v>
      </c>
      <c r="DC1614" t="s">
        <v>111</v>
      </c>
    </row>
    <row r="1615" spans="1:107">
      <c r="A1615">
        <v>1913</v>
      </c>
      <c r="B1615" t="s">
        <v>107</v>
      </c>
      <c r="C1615" t="s">
        <v>2146</v>
      </c>
      <c r="D1615" t="s">
        <v>4478</v>
      </c>
      <c r="E1615" t="s">
        <v>4479</v>
      </c>
      <c r="F1615" t="s">
        <v>1651</v>
      </c>
      <c r="G1615" t="s">
        <v>24</v>
      </c>
      <c r="H1615">
        <v>0.9</v>
      </c>
      <c r="I1615">
        <v>34</v>
      </c>
      <c r="J1615">
        <v>0</v>
      </c>
      <c r="K1615">
        <v>0</v>
      </c>
      <c r="L1615" t="s">
        <v>112</v>
      </c>
      <c r="M1615" t="s">
        <v>118</v>
      </c>
      <c r="N1615">
        <v>0</v>
      </c>
      <c r="O1615">
        <v>1</v>
      </c>
      <c r="P1615" t="s">
        <v>111</v>
      </c>
      <c r="Q1615">
        <v>38</v>
      </c>
      <c r="R1615">
        <v>0</v>
      </c>
      <c r="S1615">
        <v>0</v>
      </c>
      <c r="T1615">
        <v>3</v>
      </c>
      <c r="U1615" s="1" t="s">
        <v>4499</v>
      </c>
      <c r="V1615">
        <v>0</v>
      </c>
      <c r="W1615">
        <v>0</v>
      </c>
      <c r="X1615">
        <v>0</v>
      </c>
      <c r="Y1615">
        <v>25</v>
      </c>
      <c r="Z1615" t="s">
        <v>111</v>
      </c>
      <c r="AA1615">
        <v>0</v>
      </c>
      <c r="AB1615" t="s">
        <v>4055</v>
      </c>
      <c r="AC1615">
        <v>0.3</v>
      </c>
      <c r="AD1615" t="s">
        <v>493</v>
      </c>
      <c r="AE1615">
        <v>0</v>
      </c>
      <c r="AF1615">
        <v>0</v>
      </c>
      <c r="AG1615" t="s">
        <v>111</v>
      </c>
      <c r="AH1615" t="s">
        <v>111</v>
      </c>
      <c r="AI1615" t="s">
        <v>111</v>
      </c>
      <c r="AJ1615" t="s">
        <v>111</v>
      </c>
      <c r="AK1615" t="s">
        <v>111</v>
      </c>
      <c r="AL1615" t="s">
        <v>111</v>
      </c>
      <c r="AM1615">
        <v>0</v>
      </c>
      <c r="AN1615">
        <v>0</v>
      </c>
      <c r="AO1615">
        <v>0</v>
      </c>
      <c r="AP1615" t="s">
        <v>111</v>
      </c>
      <c r="AQ1615" t="s">
        <v>111</v>
      </c>
      <c r="AR1615" t="s">
        <v>111</v>
      </c>
      <c r="AS1615" t="s">
        <v>111</v>
      </c>
      <c r="AT1615" t="s">
        <v>111</v>
      </c>
      <c r="AU1615" t="s">
        <v>111</v>
      </c>
      <c r="AV1615" t="s">
        <v>111</v>
      </c>
      <c r="AW1615" t="s">
        <v>111</v>
      </c>
      <c r="AX1615" t="s">
        <v>111</v>
      </c>
      <c r="AY1615" t="s">
        <v>111</v>
      </c>
      <c r="AZ1615" t="s">
        <v>111</v>
      </c>
      <c r="BA1615" t="s">
        <v>111</v>
      </c>
      <c r="BB1615" t="s">
        <v>111</v>
      </c>
      <c r="BC1615" t="s">
        <v>111</v>
      </c>
      <c r="BD1615" t="s">
        <v>111</v>
      </c>
      <c r="BE1615" t="s">
        <v>111</v>
      </c>
      <c r="BF1615" t="s">
        <v>111</v>
      </c>
      <c r="BG1615" t="s">
        <v>111</v>
      </c>
      <c r="BH1615" t="s">
        <v>111</v>
      </c>
      <c r="BI1615" t="s">
        <v>111</v>
      </c>
      <c r="BJ1615" t="s">
        <v>111</v>
      </c>
      <c r="BK1615" t="s">
        <v>111</v>
      </c>
      <c r="BL1615" t="s">
        <v>111</v>
      </c>
      <c r="BM1615" t="s">
        <v>111</v>
      </c>
      <c r="BN1615" t="s">
        <v>111</v>
      </c>
      <c r="BO1615" t="s">
        <v>111</v>
      </c>
      <c r="BP1615" t="s">
        <v>111</v>
      </c>
      <c r="BQ1615" t="s">
        <v>111</v>
      </c>
      <c r="BR1615" t="s">
        <v>111</v>
      </c>
      <c r="BS1615" t="s">
        <v>111</v>
      </c>
      <c r="BT1615" t="s">
        <v>111</v>
      </c>
      <c r="BU1615" t="s">
        <v>111</v>
      </c>
      <c r="BV1615" t="s">
        <v>111</v>
      </c>
      <c r="BW1615" t="s">
        <v>111</v>
      </c>
      <c r="BX1615" t="s">
        <v>111</v>
      </c>
      <c r="BY1615" t="s">
        <v>111</v>
      </c>
      <c r="BZ1615" t="s">
        <v>111</v>
      </c>
      <c r="CA1615" t="s">
        <v>111</v>
      </c>
      <c r="CB1615" t="s">
        <v>111</v>
      </c>
      <c r="CC1615" t="s">
        <v>111</v>
      </c>
      <c r="CD1615" t="s">
        <v>111</v>
      </c>
      <c r="CE1615" t="s">
        <v>111</v>
      </c>
      <c r="CF1615" t="s">
        <v>111</v>
      </c>
      <c r="CG1615" t="s">
        <v>111</v>
      </c>
      <c r="CH1615" t="s">
        <v>111</v>
      </c>
      <c r="CI1615" t="s">
        <v>111</v>
      </c>
      <c r="CJ1615" t="s">
        <v>111</v>
      </c>
      <c r="CK1615" t="s">
        <v>111</v>
      </c>
      <c r="CL1615" t="s">
        <v>111</v>
      </c>
      <c r="CM1615" t="s">
        <v>438</v>
      </c>
      <c r="CN1615" t="s">
        <v>113</v>
      </c>
      <c r="CO1615" t="s">
        <v>637</v>
      </c>
      <c r="CP1615" t="s">
        <v>111</v>
      </c>
      <c r="CQ1615">
        <v>0</v>
      </c>
      <c r="CR1615">
        <v>5000</v>
      </c>
      <c r="CS1615">
        <v>100</v>
      </c>
      <c r="CT1615" s="1" t="s">
        <v>4500</v>
      </c>
      <c r="CU1615">
        <v>0</v>
      </c>
      <c r="CV1615" t="s">
        <v>111</v>
      </c>
      <c r="CX1615" t="s">
        <v>111</v>
      </c>
      <c r="CY1615">
        <v>0</v>
      </c>
      <c r="CZ1615" t="s">
        <v>111</v>
      </c>
      <c r="DA1615" t="s">
        <v>111</v>
      </c>
      <c r="DB1615" t="s">
        <v>111</v>
      </c>
      <c r="DC1615" t="s">
        <v>111</v>
      </c>
    </row>
    <row r="1616" spans="1:107">
      <c r="A1616">
        <v>1911</v>
      </c>
      <c r="B1616" t="s">
        <v>107</v>
      </c>
      <c r="C1616" t="s">
        <v>174</v>
      </c>
      <c r="D1616" t="s">
        <v>4501</v>
      </c>
      <c r="E1616" t="s">
        <v>4502</v>
      </c>
      <c r="F1616" t="s">
        <v>1071</v>
      </c>
      <c r="G1616" t="s">
        <v>24</v>
      </c>
      <c r="H1616">
        <v>1.4</v>
      </c>
      <c r="I1616">
        <v>38</v>
      </c>
      <c r="J1616">
        <v>0</v>
      </c>
      <c r="K1616">
        <v>0</v>
      </c>
      <c r="L1616" t="s">
        <v>112</v>
      </c>
      <c r="M1616" t="s">
        <v>111</v>
      </c>
      <c r="N1616">
        <v>0</v>
      </c>
      <c r="O1616">
        <v>0</v>
      </c>
      <c r="P1616" t="s">
        <v>111</v>
      </c>
      <c r="Q1616">
        <v>24.5</v>
      </c>
      <c r="R1616">
        <v>0</v>
      </c>
      <c r="S1616">
        <v>0</v>
      </c>
      <c r="T1616">
        <v>5</v>
      </c>
      <c r="U1616" t="e">
        <f>-SELLADO</f>
        <v>#NAME?</v>
      </c>
      <c r="V1616">
        <v>0</v>
      </c>
      <c r="W1616">
        <v>0</v>
      </c>
      <c r="X1616">
        <v>0</v>
      </c>
      <c r="Y1616">
        <v>25</v>
      </c>
      <c r="Z1616" t="s">
        <v>111</v>
      </c>
      <c r="AA1616">
        <v>0</v>
      </c>
      <c r="AB1616" t="s">
        <v>111</v>
      </c>
      <c r="AC1616">
        <v>0</v>
      </c>
      <c r="AD1616" t="s">
        <v>111</v>
      </c>
      <c r="AE1616">
        <v>0</v>
      </c>
      <c r="AF1616">
        <v>0</v>
      </c>
      <c r="AG1616" t="s">
        <v>111</v>
      </c>
      <c r="AH1616" t="s">
        <v>111</v>
      </c>
      <c r="AI1616" t="s">
        <v>111</v>
      </c>
      <c r="AJ1616" t="s">
        <v>111</v>
      </c>
      <c r="AK1616" t="s">
        <v>111</v>
      </c>
      <c r="AL1616" t="s">
        <v>111</v>
      </c>
      <c r="AM1616">
        <v>0</v>
      </c>
      <c r="AN1616">
        <v>0</v>
      </c>
      <c r="AO1616">
        <v>0</v>
      </c>
      <c r="AP1616" t="s">
        <v>111</v>
      </c>
      <c r="AQ1616" t="s">
        <v>111</v>
      </c>
      <c r="AR1616" t="s">
        <v>111</v>
      </c>
      <c r="AS1616" t="s">
        <v>111</v>
      </c>
      <c r="AT1616" t="s">
        <v>111</v>
      </c>
      <c r="AU1616" t="s">
        <v>111</v>
      </c>
      <c r="AV1616" t="s">
        <v>111</v>
      </c>
      <c r="AW1616" t="s">
        <v>111</v>
      </c>
      <c r="AX1616" t="s">
        <v>111</v>
      </c>
      <c r="AY1616" t="s">
        <v>111</v>
      </c>
      <c r="AZ1616" t="s">
        <v>111</v>
      </c>
      <c r="BA1616" t="s">
        <v>111</v>
      </c>
      <c r="BB1616" t="s">
        <v>111</v>
      </c>
      <c r="BC1616" t="s">
        <v>111</v>
      </c>
      <c r="BD1616" t="s">
        <v>111</v>
      </c>
      <c r="BE1616" t="s">
        <v>111</v>
      </c>
      <c r="BF1616" t="s">
        <v>111</v>
      </c>
      <c r="BG1616" t="s">
        <v>111</v>
      </c>
      <c r="BH1616" t="s">
        <v>111</v>
      </c>
      <c r="BI1616" t="s">
        <v>111</v>
      </c>
      <c r="BJ1616" t="s">
        <v>111</v>
      </c>
      <c r="BK1616" t="s">
        <v>111</v>
      </c>
      <c r="BL1616" t="s">
        <v>111</v>
      </c>
      <c r="BM1616" t="s">
        <v>111</v>
      </c>
      <c r="BN1616" t="s">
        <v>111</v>
      </c>
      <c r="BO1616" t="s">
        <v>111</v>
      </c>
      <c r="BP1616" t="s">
        <v>111</v>
      </c>
      <c r="BQ1616" t="s">
        <v>111</v>
      </c>
      <c r="BR1616" t="s">
        <v>111</v>
      </c>
      <c r="BS1616" t="s">
        <v>111</v>
      </c>
      <c r="BT1616" t="s">
        <v>111</v>
      </c>
      <c r="BU1616" t="s">
        <v>111</v>
      </c>
      <c r="BV1616" t="s">
        <v>111</v>
      </c>
      <c r="BW1616" t="s">
        <v>111</v>
      </c>
      <c r="BX1616" t="s">
        <v>111</v>
      </c>
      <c r="BY1616" t="s">
        <v>111</v>
      </c>
      <c r="BZ1616" t="s">
        <v>111</v>
      </c>
      <c r="CA1616" t="s">
        <v>111</v>
      </c>
      <c r="CB1616" t="s">
        <v>111</v>
      </c>
      <c r="CC1616" t="s">
        <v>111</v>
      </c>
      <c r="CD1616" t="s">
        <v>111</v>
      </c>
      <c r="CE1616" t="s">
        <v>111</v>
      </c>
      <c r="CF1616" t="s">
        <v>111</v>
      </c>
      <c r="CG1616" t="s">
        <v>111</v>
      </c>
      <c r="CH1616" t="s">
        <v>111</v>
      </c>
      <c r="CI1616" t="s">
        <v>111</v>
      </c>
      <c r="CJ1616" t="s">
        <v>111</v>
      </c>
      <c r="CK1616" t="s">
        <v>111</v>
      </c>
      <c r="CL1616" t="s">
        <v>111</v>
      </c>
      <c r="CM1616" t="s">
        <v>135</v>
      </c>
      <c r="CN1616" t="s">
        <v>113</v>
      </c>
      <c r="CO1616" t="s">
        <v>111</v>
      </c>
      <c r="CP1616" t="s">
        <v>111</v>
      </c>
      <c r="CQ1616">
        <v>0</v>
      </c>
      <c r="CR1616">
        <v>6000</v>
      </c>
      <c r="CS1616">
        <v>200</v>
      </c>
      <c r="CT1616" s="1" t="s">
        <v>4503</v>
      </c>
      <c r="CU1616">
        <v>0</v>
      </c>
      <c r="CV1616" t="s">
        <v>111</v>
      </c>
      <c r="CX1616" t="s">
        <v>111</v>
      </c>
      <c r="CY1616">
        <v>0</v>
      </c>
      <c r="CZ1616" t="s">
        <v>111</v>
      </c>
      <c r="DA1616" t="s">
        <v>111</v>
      </c>
      <c r="DB1616" t="s">
        <v>111</v>
      </c>
      <c r="DC1616" t="s">
        <v>111</v>
      </c>
    </row>
    <row r="1617" spans="1:107">
      <c r="A1617">
        <v>1945</v>
      </c>
      <c r="B1617" t="s">
        <v>107</v>
      </c>
      <c r="C1617" t="s">
        <v>2695</v>
      </c>
      <c r="D1617" t="s">
        <v>4255</v>
      </c>
      <c r="E1617" t="s">
        <v>4256</v>
      </c>
      <c r="F1617" t="s">
        <v>110</v>
      </c>
      <c r="G1617" t="s">
        <v>24</v>
      </c>
      <c r="H1617">
        <v>1.9</v>
      </c>
      <c r="I1617">
        <v>40</v>
      </c>
      <c r="J1617">
        <v>0</v>
      </c>
      <c r="K1617">
        <v>0</v>
      </c>
      <c r="L1617" t="s">
        <v>112</v>
      </c>
      <c r="M1617" t="s">
        <v>111</v>
      </c>
      <c r="N1617">
        <v>0</v>
      </c>
      <c r="O1617">
        <v>0</v>
      </c>
      <c r="P1617" t="s">
        <v>111</v>
      </c>
      <c r="Q1617">
        <v>44.2</v>
      </c>
      <c r="R1617">
        <v>0</v>
      </c>
      <c r="S1617">
        <v>0</v>
      </c>
      <c r="T1617">
        <v>0</v>
      </c>
      <c r="U1617" s="1" t="s">
        <v>4504</v>
      </c>
      <c r="V1617">
        <v>0</v>
      </c>
      <c r="W1617">
        <v>0</v>
      </c>
      <c r="X1617">
        <v>0</v>
      </c>
      <c r="Y1617">
        <v>25</v>
      </c>
      <c r="Z1617" t="s">
        <v>111</v>
      </c>
      <c r="AA1617">
        <v>0</v>
      </c>
      <c r="AB1617" t="s">
        <v>111</v>
      </c>
      <c r="AC1617">
        <v>0</v>
      </c>
      <c r="AD1617" t="s">
        <v>111</v>
      </c>
      <c r="AE1617">
        <v>0</v>
      </c>
      <c r="AF1617">
        <v>0</v>
      </c>
      <c r="AG1617" t="s">
        <v>111</v>
      </c>
      <c r="AH1617" t="s">
        <v>111</v>
      </c>
      <c r="AI1617" t="s">
        <v>111</v>
      </c>
      <c r="AJ1617" t="s">
        <v>111</v>
      </c>
      <c r="AK1617" t="s">
        <v>111</v>
      </c>
      <c r="AL1617" t="s">
        <v>111</v>
      </c>
      <c r="AM1617">
        <v>0</v>
      </c>
      <c r="AN1617">
        <v>0</v>
      </c>
      <c r="AO1617">
        <v>0</v>
      </c>
      <c r="AP1617" t="s">
        <v>111</v>
      </c>
      <c r="AQ1617" t="s">
        <v>111</v>
      </c>
      <c r="AR1617" t="s">
        <v>111</v>
      </c>
      <c r="AS1617" t="s">
        <v>111</v>
      </c>
      <c r="AT1617" t="s">
        <v>111</v>
      </c>
      <c r="AU1617" t="s">
        <v>111</v>
      </c>
      <c r="AV1617" t="s">
        <v>111</v>
      </c>
      <c r="AW1617" t="s">
        <v>111</v>
      </c>
      <c r="AX1617" t="s">
        <v>111</v>
      </c>
      <c r="AY1617" t="s">
        <v>111</v>
      </c>
      <c r="AZ1617" t="s">
        <v>111</v>
      </c>
      <c r="BA1617" t="s">
        <v>111</v>
      </c>
      <c r="BB1617" t="s">
        <v>111</v>
      </c>
      <c r="BC1617" t="s">
        <v>111</v>
      </c>
      <c r="BD1617" t="s">
        <v>111</v>
      </c>
      <c r="BE1617" t="s">
        <v>111</v>
      </c>
      <c r="BF1617" t="s">
        <v>111</v>
      </c>
      <c r="BG1617" t="s">
        <v>111</v>
      </c>
      <c r="BH1617" t="s">
        <v>111</v>
      </c>
      <c r="BI1617" t="s">
        <v>111</v>
      </c>
      <c r="BJ1617" t="s">
        <v>111</v>
      </c>
      <c r="BK1617" t="s">
        <v>111</v>
      </c>
      <c r="BL1617" t="s">
        <v>111</v>
      </c>
      <c r="BM1617" t="s">
        <v>111</v>
      </c>
      <c r="BN1617" t="s">
        <v>111</v>
      </c>
      <c r="BO1617" t="s">
        <v>111</v>
      </c>
      <c r="BP1617" t="s">
        <v>111</v>
      </c>
      <c r="BQ1617" t="s">
        <v>111</v>
      </c>
      <c r="BR1617" t="s">
        <v>111</v>
      </c>
      <c r="BS1617" t="s">
        <v>111</v>
      </c>
      <c r="BT1617" t="s">
        <v>111</v>
      </c>
      <c r="BU1617" t="s">
        <v>111</v>
      </c>
      <c r="BV1617" t="s">
        <v>111</v>
      </c>
      <c r="BW1617" t="s">
        <v>111</v>
      </c>
      <c r="BX1617" t="s">
        <v>111</v>
      </c>
      <c r="BY1617" t="s">
        <v>111</v>
      </c>
      <c r="BZ1617" t="s">
        <v>111</v>
      </c>
      <c r="CA1617" t="s">
        <v>111</v>
      </c>
      <c r="CB1617" t="s">
        <v>111</v>
      </c>
      <c r="CC1617" t="s">
        <v>111</v>
      </c>
      <c r="CD1617" t="s">
        <v>111</v>
      </c>
      <c r="CE1617" t="s">
        <v>111</v>
      </c>
      <c r="CF1617" t="s">
        <v>111</v>
      </c>
      <c r="CG1617" t="s">
        <v>111</v>
      </c>
      <c r="CH1617" t="s">
        <v>111</v>
      </c>
      <c r="CI1617" t="s">
        <v>111</v>
      </c>
      <c r="CJ1617" t="s">
        <v>111</v>
      </c>
      <c r="CK1617" t="s">
        <v>111</v>
      </c>
      <c r="CL1617" t="s">
        <v>111</v>
      </c>
      <c r="CM1617" t="s">
        <v>111</v>
      </c>
      <c r="CN1617" t="s">
        <v>111</v>
      </c>
      <c r="CO1617" t="s">
        <v>111</v>
      </c>
      <c r="CP1617" t="s">
        <v>111</v>
      </c>
      <c r="CQ1617">
        <v>0</v>
      </c>
      <c r="CR1617">
        <v>0</v>
      </c>
      <c r="CS1617">
        <v>0</v>
      </c>
      <c r="CT1617" t="s">
        <v>111</v>
      </c>
      <c r="CU1617">
        <v>0</v>
      </c>
      <c r="CV1617" t="s">
        <v>111</v>
      </c>
      <c r="CX1617" t="s">
        <v>111</v>
      </c>
      <c r="CY1617">
        <v>0</v>
      </c>
      <c r="CZ1617" t="s">
        <v>111</v>
      </c>
      <c r="DA1617" t="s">
        <v>111</v>
      </c>
      <c r="DB1617" t="s">
        <v>111</v>
      </c>
      <c r="DC1617" t="s">
        <v>111</v>
      </c>
    </row>
    <row r="1618" spans="1:107">
      <c r="A1618">
        <v>1944</v>
      </c>
      <c r="B1618" t="s">
        <v>107</v>
      </c>
      <c r="C1618" t="s">
        <v>2695</v>
      </c>
      <c r="D1618" t="s">
        <v>4505</v>
      </c>
      <c r="E1618" t="s">
        <v>4506</v>
      </c>
      <c r="F1618" t="s">
        <v>110</v>
      </c>
      <c r="G1618" t="s">
        <v>24</v>
      </c>
      <c r="H1618">
        <v>1.9</v>
      </c>
      <c r="I1618">
        <v>50</v>
      </c>
      <c r="J1618">
        <v>0</v>
      </c>
      <c r="K1618">
        <v>0</v>
      </c>
      <c r="L1618" t="s">
        <v>112</v>
      </c>
      <c r="M1618" t="s">
        <v>111</v>
      </c>
      <c r="N1618">
        <v>0</v>
      </c>
      <c r="O1618">
        <v>0</v>
      </c>
      <c r="P1618" t="s">
        <v>111</v>
      </c>
      <c r="Q1618">
        <v>44.2</v>
      </c>
      <c r="R1618">
        <v>0</v>
      </c>
      <c r="S1618">
        <v>0</v>
      </c>
      <c r="T1618">
        <v>0</v>
      </c>
      <c r="U1618" s="1" t="s">
        <v>4507</v>
      </c>
      <c r="V1618">
        <v>0</v>
      </c>
      <c r="W1618">
        <v>0</v>
      </c>
      <c r="X1618">
        <v>0</v>
      </c>
      <c r="Y1618">
        <v>25</v>
      </c>
      <c r="Z1618" t="s">
        <v>111</v>
      </c>
      <c r="AA1618">
        <v>0</v>
      </c>
      <c r="AB1618" t="s">
        <v>111</v>
      </c>
      <c r="AC1618">
        <v>0</v>
      </c>
      <c r="AD1618" t="s">
        <v>111</v>
      </c>
      <c r="AE1618">
        <v>0</v>
      </c>
      <c r="AF1618">
        <v>0</v>
      </c>
      <c r="AG1618" t="s">
        <v>111</v>
      </c>
      <c r="AH1618" t="s">
        <v>111</v>
      </c>
      <c r="AI1618" t="s">
        <v>111</v>
      </c>
      <c r="AJ1618" t="s">
        <v>111</v>
      </c>
      <c r="AK1618" t="s">
        <v>111</v>
      </c>
      <c r="AL1618" t="s">
        <v>111</v>
      </c>
      <c r="AM1618">
        <v>0</v>
      </c>
      <c r="AN1618">
        <v>0</v>
      </c>
      <c r="AO1618">
        <v>0</v>
      </c>
      <c r="AP1618" t="s">
        <v>111</v>
      </c>
      <c r="AQ1618" t="s">
        <v>111</v>
      </c>
      <c r="AR1618" t="s">
        <v>111</v>
      </c>
      <c r="AS1618" t="s">
        <v>111</v>
      </c>
      <c r="AT1618" t="s">
        <v>111</v>
      </c>
      <c r="AU1618" t="s">
        <v>111</v>
      </c>
      <c r="AV1618" t="s">
        <v>111</v>
      </c>
      <c r="AW1618" t="s">
        <v>111</v>
      </c>
      <c r="AX1618" t="s">
        <v>111</v>
      </c>
      <c r="AY1618" t="s">
        <v>111</v>
      </c>
      <c r="AZ1618" t="s">
        <v>111</v>
      </c>
      <c r="BA1618" t="s">
        <v>111</v>
      </c>
      <c r="BB1618" t="s">
        <v>111</v>
      </c>
      <c r="BC1618" t="s">
        <v>111</v>
      </c>
      <c r="BD1618" t="s">
        <v>111</v>
      </c>
      <c r="BE1618" t="s">
        <v>111</v>
      </c>
      <c r="BF1618" t="s">
        <v>111</v>
      </c>
      <c r="BG1618" t="s">
        <v>111</v>
      </c>
      <c r="BH1618" t="s">
        <v>111</v>
      </c>
      <c r="BI1618" t="s">
        <v>111</v>
      </c>
      <c r="BJ1618" t="s">
        <v>111</v>
      </c>
      <c r="BK1618" t="s">
        <v>111</v>
      </c>
      <c r="BL1618" t="s">
        <v>111</v>
      </c>
      <c r="BM1618" t="s">
        <v>111</v>
      </c>
      <c r="BN1618" t="s">
        <v>111</v>
      </c>
      <c r="BO1618" t="s">
        <v>111</v>
      </c>
      <c r="BP1618" t="s">
        <v>111</v>
      </c>
      <c r="BQ1618" t="s">
        <v>111</v>
      </c>
      <c r="BR1618" t="s">
        <v>111</v>
      </c>
      <c r="BS1618" t="s">
        <v>111</v>
      </c>
      <c r="BT1618" t="s">
        <v>111</v>
      </c>
      <c r="BU1618" t="s">
        <v>111</v>
      </c>
      <c r="BV1618" t="s">
        <v>111</v>
      </c>
      <c r="BW1618" t="s">
        <v>111</v>
      </c>
      <c r="BX1618" t="s">
        <v>111</v>
      </c>
      <c r="BY1618" t="s">
        <v>111</v>
      </c>
      <c r="BZ1618" t="s">
        <v>111</v>
      </c>
      <c r="CA1618" t="s">
        <v>111</v>
      </c>
      <c r="CB1618" t="s">
        <v>111</v>
      </c>
      <c r="CC1618" t="s">
        <v>111</v>
      </c>
      <c r="CD1618" t="s">
        <v>111</v>
      </c>
      <c r="CE1618" t="s">
        <v>111</v>
      </c>
      <c r="CF1618" t="s">
        <v>111</v>
      </c>
      <c r="CG1618" t="s">
        <v>111</v>
      </c>
      <c r="CH1618" t="s">
        <v>111</v>
      </c>
      <c r="CI1618" t="s">
        <v>111</v>
      </c>
      <c r="CJ1618" t="s">
        <v>111</v>
      </c>
      <c r="CK1618" t="s">
        <v>111</v>
      </c>
      <c r="CL1618" t="s">
        <v>111</v>
      </c>
      <c r="CM1618" t="s">
        <v>111</v>
      </c>
      <c r="CN1618" t="s">
        <v>111</v>
      </c>
      <c r="CO1618" t="s">
        <v>111</v>
      </c>
      <c r="CP1618" t="s">
        <v>111</v>
      </c>
      <c r="CQ1618">
        <v>0</v>
      </c>
      <c r="CR1618">
        <v>0</v>
      </c>
      <c r="CS1618">
        <v>0</v>
      </c>
      <c r="CT1618" t="s">
        <v>111</v>
      </c>
      <c r="CU1618">
        <v>0</v>
      </c>
      <c r="CV1618" t="s">
        <v>111</v>
      </c>
      <c r="CX1618" t="s">
        <v>111</v>
      </c>
      <c r="CY1618">
        <v>0</v>
      </c>
      <c r="CZ1618" t="s">
        <v>111</v>
      </c>
      <c r="DA1618" t="s">
        <v>111</v>
      </c>
      <c r="DB1618" t="s">
        <v>111</v>
      </c>
      <c r="DC1618" t="s">
        <v>111</v>
      </c>
    </row>
    <row r="1619" spans="1:107">
      <c r="A1619">
        <v>1940</v>
      </c>
      <c r="B1619" t="s">
        <v>107</v>
      </c>
      <c r="C1619" t="s">
        <v>4508</v>
      </c>
      <c r="D1619" t="s">
        <v>4509</v>
      </c>
      <c r="E1619" t="s">
        <v>4510</v>
      </c>
      <c r="F1619" t="s">
        <v>1071</v>
      </c>
      <c r="G1619" t="s">
        <v>24</v>
      </c>
      <c r="H1619">
        <v>2.9</v>
      </c>
      <c r="I1619">
        <v>45</v>
      </c>
      <c r="J1619">
        <v>0</v>
      </c>
      <c r="K1619">
        <v>0</v>
      </c>
      <c r="L1619" t="s">
        <v>112</v>
      </c>
      <c r="M1619" t="s">
        <v>138</v>
      </c>
      <c r="N1619">
        <v>0</v>
      </c>
      <c r="O1619">
        <v>0</v>
      </c>
      <c r="P1619" t="s">
        <v>111</v>
      </c>
      <c r="Q1619">
        <v>30.3</v>
      </c>
      <c r="R1619">
        <v>0</v>
      </c>
      <c r="S1619">
        <v>0</v>
      </c>
      <c r="T1619">
        <v>5</v>
      </c>
      <c r="U1619" s="1" t="s">
        <v>4511</v>
      </c>
      <c r="V1619">
        <v>0</v>
      </c>
      <c r="W1619">
        <v>0</v>
      </c>
      <c r="X1619">
        <v>0</v>
      </c>
      <c r="Y1619">
        <v>25</v>
      </c>
      <c r="Z1619" t="s">
        <v>111</v>
      </c>
      <c r="AA1619">
        <v>0</v>
      </c>
      <c r="AB1619" t="s">
        <v>3954</v>
      </c>
      <c r="AC1619">
        <v>3</v>
      </c>
      <c r="AD1619" t="s">
        <v>111</v>
      </c>
      <c r="AE1619">
        <v>0</v>
      </c>
      <c r="AF1619">
        <v>0</v>
      </c>
      <c r="AG1619" t="s">
        <v>111</v>
      </c>
      <c r="AH1619" t="s">
        <v>111</v>
      </c>
      <c r="AI1619" t="s">
        <v>111</v>
      </c>
      <c r="AJ1619" t="s">
        <v>111</v>
      </c>
      <c r="AK1619" t="s">
        <v>111</v>
      </c>
      <c r="AL1619" t="s">
        <v>111</v>
      </c>
      <c r="AM1619">
        <v>0</v>
      </c>
      <c r="AN1619">
        <v>0</v>
      </c>
      <c r="AO1619">
        <v>0</v>
      </c>
      <c r="AP1619" t="s">
        <v>111</v>
      </c>
      <c r="AQ1619" t="s">
        <v>111</v>
      </c>
      <c r="AR1619" t="s">
        <v>111</v>
      </c>
      <c r="AS1619" t="s">
        <v>111</v>
      </c>
      <c r="AT1619" t="s">
        <v>111</v>
      </c>
      <c r="AU1619" t="s">
        <v>111</v>
      </c>
      <c r="AV1619" t="s">
        <v>111</v>
      </c>
      <c r="AW1619" t="s">
        <v>111</v>
      </c>
      <c r="AX1619" t="s">
        <v>111</v>
      </c>
      <c r="AY1619" t="s">
        <v>111</v>
      </c>
      <c r="AZ1619" t="s">
        <v>111</v>
      </c>
      <c r="BA1619" t="s">
        <v>111</v>
      </c>
      <c r="BB1619" t="s">
        <v>111</v>
      </c>
      <c r="BC1619" t="s">
        <v>111</v>
      </c>
      <c r="BD1619" t="s">
        <v>111</v>
      </c>
      <c r="BE1619" t="s">
        <v>111</v>
      </c>
      <c r="BF1619" t="s">
        <v>111</v>
      </c>
      <c r="BG1619" t="s">
        <v>111</v>
      </c>
      <c r="BH1619" t="s">
        <v>111</v>
      </c>
      <c r="BI1619" t="s">
        <v>111</v>
      </c>
      <c r="BJ1619" t="s">
        <v>111</v>
      </c>
      <c r="BK1619" t="s">
        <v>111</v>
      </c>
      <c r="BL1619" t="s">
        <v>111</v>
      </c>
      <c r="BM1619" t="s">
        <v>111</v>
      </c>
      <c r="BN1619" t="s">
        <v>111</v>
      </c>
      <c r="BO1619" t="s">
        <v>111</v>
      </c>
      <c r="BP1619" t="s">
        <v>111</v>
      </c>
      <c r="BQ1619" t="s">
        <v>111</v>
      </c>
      <c r="BR1619" t="s">
        <v>111</v>
      </c>
      <c r="BS1619" t="s">
        <v>111</v>
      </c>
      <c r="BT1619" t="s">
        <v>111</v>
      </c>
      <c r="BU1619" t="s">
        <v>111</v>
      </c>
      <c r="BV1619" t="s">
        <v>111</v>
      </c>
      <c r="BW1619" t="s">
        <v>111</v>
      </c>
      <c r="BX1619" t="s">
        <v>111</v>
      </c>
      <c r="BY1619" t="s">
        <v>111</v>
      </c>
      <c r="BZ1619" t="s">
        <v>111</v>
      </c>
      <c r="CA1619" t="s">
        <v>111</v>
      </c>
      <c r="CB1619" t="s">
        <v>111</v>
      </c>
      <c r="CC1619" t="s">
        <v>111</v>
      </c>
      <c r="CD1619" t="s">
        <v>111</v>
      </c>
      <c r="CE1619" t="s">
        <v>111</v>
      </c>
      <c r="CF1619" t="s">
        <v>111</v>
      </c>
      <c r="CG1619" t="s">
        <v>111</v>
      </c>
      <c r="CH1619" t="s">
        <v>111</v>
      </c>
      <c r="CI1619" t="s">
        <v>111</v>
      </c>
      <c r="CJ1619" t="s">
        <v>111</v>
      </c>
      <c r="CK1619" t="s">
        <v>111</v>
      </c>
      <c r="CL1619" t="s">
        <v>111</v>
      </c>
      <c r="CM1619" t="s">
        <v>135</v>
      </c>
      <c r="CN1619" t="s">
        <v>113</v>
      </c>
      <c r="CO1619" t="s">
        <v>111</v>
      </c>
      <c r="CP1619" t="s">
        <v>111</v>
      </c>
      <c r="CQ1619">
        <v>0</v>
      </c>
      <c r="CR1619">
        <v>2000</v>
      </c>
      <c r="CS1619">
        <v>100</v>
      </c>
      <c r="CT1619" s="1" t="s">
        <v>4512</v>
      </c>
      <c r="CU1619">
        <v>0</v>
      </c>
      <c r="CV1619" t="s">
        <v>111</v>
      </c>
      <c r="CX1619" t="s">
        <v>111</v>
      </c>
      <c r="CY1619">
        <v>0</v>
      </c>
      <c r="CZ1619" t="s">
        <v>111</v>
      </c>
      <c r="DA1619" t="s">
        <v>111</v>
      </c>
      <c r="DB1619" t="s">
        <v>111</v>
      </c>
      <c r="DC1619" t="s">
        <v>111</v>
      </c>
    </row>
    <row r="1620" spans="1:107">
      <c r="A1620">
        <v>1928</v>
      </c>
      <c r="B1620" t="s">
        <v>107</v>
      </c>
      <c r="C1620" t="s">
        <v>3777</v>
      </c>
      <c r="D1620" t="s">
        <v>4513</v>
      </c>
      <c r="E1620" t="s">
        <v>4514</v>
      </c>
      <c r="F1620" t="s">
        <v>110</v>
      </c>
      <c r="G1620" t="s">
        <v>24</v>
      </c>
      <c r="H1620">
        <v>1.2</v>
      </c>
      <c r="I1620">
        <v>48</v>
      </c>
      <c r="J1620">
        <v>0</v>
      </c>
      <c r="K1620">
        <v>0</v>
      </c>
      <c r="L1620" t="s">
        <v>112</v>
      </c>
      <c r="M1620" t="s">
        <v>118</v>
      </c>
      <c r="N1620">
        <v>0</v>
      </c>
      <c r="O1620">
        <v>2</v>
      </c>
      <c r="P1620" t="s">
        <v>4515</v>
      </c>
      <c r="Q1620">
        <v>36.700000000000003</v>
      </c>
      <c r="R1620">
        <v>0</v>
      </c>
      <c r="S1620">
        <v>0</v>
      </c>
      <c r="T1620">
        <v>0</v>
      </c>
      <c r="U1620" s="1" t="s">
        <v>4516</v>
      </c>
      <c r="V1620">
        <v>0</v>
      </c>
      <c r="W1620">
        <v>0</v>
      </c>
      <c r="X1620">
        <v>0</v>
      </c>
      <c r="Y1620">
        <v>25</v>
      </c>
      <c r="Z1620" t="s">
        <v>111</v>
      </c>
      <c r="AA1620">
        <v>0</v>
      </c>
      <c r="AB1620" t="s">
        <v>111</v>
      </c>
      <c r="AC1620">
        <v>0</v>
      </c>
      <c r="AD1620" t="s">
        <v>111</v>
      </c>
      <c r="AE1620">
        <v>0</v>
      </c>
      <c r="AF1620">
        <v>0</v>
      </c>
      <c r="AG1620" t="s">
        <v>111</v>
      </c>
      <c r="AH1620" t="s">
        <v>111</v>
      </c>
      <c r="AI1620" t="s">
        <v>111</v>
      </c>
      <c r="AJ1620" t="s">
        <v>111</v>
      </c>
      <c r="AK1620" t="s">
        <v>111</v>
      </c>
      <c r="AL1620" t="s">
        <v>111</v>
      </c>
      <c r="AM1620">
        <v>0</v>
      </c>
      <c r="AN1620">
        <v>0</v>
      </c>
      <c r="AO1620">
        <v>0</v>
      </c>
      <c r="AP1620" t="s">
        <v>111</v>
      </c>
      <c r="AQ1620" t="s">
        <v>111</v>
      </c>
      <c r="AR1620" t="s">
        <v>111</v>
      </c>
      <c r="AS1620" t="s">
        <v>111</v>
      </c>
      <c r="AT1620" t="s">
        <v>111</v>
      </c>
      <c r="AU1620" t="s">
        <v>111</v>
      </c>
      <c r="AV1620" t="s">
        <v>111</v>
      </c>
      <c r="AW1620" t="s">
        <v>111</v>
      </c>
      <c r="AX1620" t="s">
        <v>111</v>
      </c>
      <c r="AY1620" t="s">
        <v>111</v>
      </c>
      <c r="AZ1620" t="s">
        <v>111</v>
      </c>
      <c r="BA1620" t="s">
        <v>111</v>
      </c>
      <c r="BB1620" t="s">
        <v>111</v>
      </c>
      <c r="BC1620" t="s">
        <v>111</v>
      </c>
      <c r="BD1620" t="s">
        <v>111</v>
      </c>
      <c r="BE1620" t="s">
        <v>111</v>
      </c>
      <c r="BF1620" t="s">
        <v>111</v>
      </c>
      <c r="BG1620" t="s">
        <v>111</v>
      </c>
      <c r="BH1620" t="s">
        <v>111</v>
      </c>
      <c r="BI1620" t="s">
        <v>111</v>
      </c>
      <c r="BJ1620" t="s">
        <v>111</v>
      </c>
      <c r="BK1620" t="s">
        <v>111</v>
      </c>
      <c r="BL1620" t="s">
        <v>111</v>
      </c>
      <c r="BM1620" t="s">
        <v>111</v>
      </c>
      <c r="BN1620" t="s">
        <v>111</v>
      </c>
      <c r="BO1620" t="s">
        <v>111</v>
      </c>
      <c r="BP1620" t="s">
        <v>111</v>
      </c>
      <c r="BQ1620" t="s">
        <v>111</v>
      </c>
      <c r="BR1620" t="s">
        <v>111</v>
      </c>
      <c r="BS1620" t="s">
        <v>111</v>
      </c>
      <c r="BT1620" t="s">
        <v>111</v>
      </c>
      <c r="BU1620" t="s">
        <v>111</v>
      </c>
      <c r="BV1620" t="s">
        <v>111</v>
      </c>
      <c r="BW1620" t="s">
        <v>111</v>
      </c>
      <c r="BX1620" t="s">
        <v>111</v>
      </c>
      <c r="BY1620" t="s">
        <v>111</v>
      </c>
      <c r="BZ1620" t="s">
        <v>111</v>
      </c>
      <c r="CA1620" t="s">
        <v>111</v>
      </c>
      <c r="CB1620" t="s">
        <v>111</v>
      </c>
      <c r="CC1620" t="s">
        <v>111</v>
      </c>
      <c r="CD1620" t="s">
        <v>111</v>
      </c>
      <c r="CE1620" t="s">
        <v>111</v>
      </c>
      <c r="CF1620" t="s">
        <v>111</v>
      </c>
      <c r="CG1620" t="s">
        <v>111</v>
      </c>
      <c r="CH1620" t="s">
        <v>111</v>
      </c>
      <c r="CI1620" t="s">
        <v>111</v>
      </c>
      <c r="CJ1620" t="s">
        <v>111</v>
      </c>
      <c r="CK1620" t="s">
        <v>111</v>
      </c>
      <c r="CL1620" t="s">
        <v>111</v>
      </c>
      <c r="CM1620" t="s">
        <v>111</v>
      </c>
      <c r="CN1620" t="s">
        <v>111</v>
      </c>
      <c r="CO1620" t="s">
        <v>111</v>
      </c>
      <c r="CP1620" t="s">
        <v>111</v>
      </c>
      <c r="CQ1620">
        <v>0</v>
      </c>
      <c r="CR1620">
        <v>0</v>
      </c>
      <c r="CS1620">
        <v>0</v>
      </c>
      <c r="CT1620" t="s">
        <v>111</v>
      </c>
      <c r="CU1620">
        <v>0</v>
      </c>
      <c r="CV1620" t="s">
        <v>111</v>
      </c>
      <c r="CX1620" t="s">
        <v>111</v>
      </c>
      <c r="CY1620">
        <v>0</v>
      </c>
      <c r="CZ1620" t="s">
        <v>111</v>
      </c>
      <c r="DA1620" t="s">
        <v>111</v>
      </c>
      <c r="DB1620" t="s">
        <v>111</v>
      </c>
      <c r="DC1620" t="s">
        <v>111</v>
      </c>
    </row>
    <row r="1621" spans="1:107">
      <c r="A1621">
        <v>1927</v>
      </c>
      <c r="B1621" t="s">
        <v>107</v>
      </c>
      <c r="C1621" t="s">
        <v>180</v>
      </c>
      <c r="D1621" t="s">
        <v>4235</v>
      </c>
      <c r="E1621" t="s">
        <v>4517</v>
      </c>
      <c r="F1621" t="s">
        <v>1651</v>
      </c>
      <c r="G1621" t="s">
        <v>24</v>
      </c>
      <c r="H1621">
        <v>2.4</v>
      </c>
      <c r="I1621">
        <v>45</v>
      </c>
      <c r="J1621">
        <v>0</v>
      </c>
      <c r="K1621">
        <v>0</v>
      </c>
      <c r="L1621" t="s">
        <v>117</v>
      </c>
      <c r="M1621" t="s">
        <v>118</v>
      </c>
      <c r="N1621">
        <v>39</v>
      </c>
      <c r="O1621">
        <v>1</v>
      </c>
      <c r="P1621" t="s">
        <v>111</v>
      </c>
      <c r="Q1621">
        <v>26.5</v>
      </c>
      <c r="R1621">
        <v>0</v>
      </c>
      <c r="S1621">
        <v>0</v>
      </c>
      <c r="T1621">
        <v>5</v>
      </c>
      <c r="U1621" s="1" t="s">
        <v>4518</v>
      </c>
      <c r="V1621">
        <v>0</v>
      </c>
      <c r="W1621">
        <v>0</v>
      </c>
      <c r="X1621">
        <v>0</v>
      </c>
      <c r="Y1621">
        <v>250</v>
      </c>
      <c r="Z1621" t="s">
        <v>111</v>
      </c>
      <c r="AA1621">
        <v>0</v>
      </c>
      <c r="AB1621" t="s">
        <v>3954</v>
      </c>
      <c r="AC1621">
        <v>3</v>
      </c>
      <c r="AD1621" t="s">
        <v>493</v>
      </c>
      <c r="AE1621">
        <v>0</v>
      </c>
      <c r="AF1621">
        <v>0</v>
      </c>
      <c r="AG1621" t="s">
        <v>111</v>
      </c>
      <c r="AH1621" t="s">
        <v>111</v>
      </c>
      <c r="AI1621" t="s">
        <v>111</v>
      </c>
      <c r="AJ1621" t="s">
        <v>111</v>
      </c>
      <c r="AK1621" t="s">
        <v>111</v>
      </c>
      <c r="AL1621" t="s">
        <v>111</v>
      </c>
      <c r="AM1621">
        <v>0</v>
      </c>
      <c r="AN1621">
        <v>0</v>
      </c>
      <c r="AO1621">
        <v>0</v>
      </c>
      <c r="AP1621" t="s">
        <v>111</v>
      </c>
      <c r="AQ1621" t="s">
        <v>111</v>
      </c>
      <c r="AR1621" t="s">
        <v>111</v>
      </c>
      <c r="AS1621" t="s">
        <v>111</v>
      </c>
      <c r="AT1621" t="s">
        <v>111</v>
      </c>
      <c r="AU1621" t="s">
        <v>111</v>
      </c>
      <c r="AV1621" t="s">
        <v>111</v>
      </c>
      <c r="AW1621" t="s">
        <v>111</v>
      </c>
      <c r="AX1621" t="s">
        <v>111</v>
      </c>
      <c r="AY1621" t="s">
        <v>111</v>
      </c>
      <c r="AZ1621" t="s">
        <v>111</v>
      </c>
      <c r="BA1621" t="s">
        <v>111</v>
      </c>
      <c r="BB1621" t="s">
        <v>111</v>
      </c>
      <c r="BC1621" t="s">
        <v>111</v>
      </c>
      <c r="BD1621" t="s">
        <v>111</v>
      </c>
      <c r="BE1621" t="s">
        <v>111</v>
      </c>
      <c r="BF1621" t="s">
        <v>111</v>
      </c>
      <c r="BG1621" t="s">
        <v>111</v>
      </c>
      <c r="BH1621" t="s">
        <v>111</v>
      </c>
      <c r="BI1621" t="s">
        <v>111</v>
      </c>
      <c r="BJ1621" t="s">
        <v>111</v>
      </c>
      <c r="BK1621" t="s">
        <v>111</v>
      </c>
      <c r="BL1621" t="s">
        <v>111</v>
      </c>
      <c r="BM1621" t="s">
        <v>111</v>
      </c>
      <c r="BN1621" t="s">
        <v>111</v>
      </c>
      <c r="BO1621" t="s">
        <v>111</v>
      </c>
      <c r="BP1621" t="s">
        <v>111</v>
      </c>
      <c r="BQ1621" t="s">
        <v>111</v>
      </c>
      <c r="BR1621" t="s">
        <v>111</v>
      </c>
      <c r="BS1621" t="s">
        <v>111</v>
      </c>
      <c r="BT1621" t="s">
        <v>111</v>
      </c>
      <c r="BU1621" t="s">
        <v>111</v>
      </c>
      <c r="BV1621" t="s">
        <v>111</v>
      </c>
      <c r="BW1621" t="s">
        <v>111</v>
      </c>
      <c r="BX1621" t="s">
        <v>111</v>
      </c>
      <c r="BY1621" t="s">
        <v>111</v>
      </c>
      <c r="BZ1621" t="s">
        <v>111</v>
      </c>
      <c r="CA1621" t="s">
        <v>111</v>
      </c>
      <c r="CB1621" t="s">
        <v>111</v>
      </c>
      <c r="CC1621" t="s">
        <v>111</v>
      </c>
      <c r="CD1621" t="s">
        <v>111</v>
      </c>
      <c r="CE1621" t="s">
        <v>111</v>
      </c>
      <c r="CF1621" t="s">
        <v>111</v>
      </c>
      <c r="CG1621" t="s">
        <v>111</v>
      </c>
      <c r="CH1621" t="s">
        <v>111</v>
      </c>
      <c r="CI1621" t="s">
        <v>111</v>
      </c>
      <c r="CJ1621" t="s">
        <v>111</v>
      </c>
      <c r="CK1621" t="s">
        <v>111</v>
      </c>
      <c r="CL1621" t="s">
        <v>111</v>
      </c>
      <c r="CM1621" t="s">
        <v>135</v>
      </c>
      <c r="CN1621" t="s">
        <v>113</v>
      </c>
      <c r="CO1621" t="s">
        <v>4519</v>
      </c>
      <c r="CP1621" t="s">
        <v>111</v>
      </c>
      <c r="CQ1621">
        <v>0</v>
      </c>
      <c r="CR1621">
        <v>3000</v>
      </c>
      <c r="CS1621">
        <v>500</v>
      </c>
      <c r="CT1621" t="e">
        <f>-BIEN EMPACADO PARAQ TROQUELAR</f>
        <v>#NAME?</v>
      </c>
      <c r="CU1621">
        <v>0</v>
      </c>
      <c r="CV1621" t="s">
        <v>111</v>
      </c>
      <c r="CX1621" t="s">
        <v>111</v>
      </c>
      <c r="CY1621">
        <v>0</v>
      </c>
      <c r="CZ1621" t="s">
        <v>111</v>
      </c>
      <c r="DA1621" t="s">
        <v>111</v>
      </c>
      <c r="DB1621" t="e">
        <f>-EXTERNO</f>
        <v>#NAME?</v>
      </c>
      <c r="DC1621" t="e">
        <f>-PEGAR GANCHO</f>
        <v>#NAME?</v>
      </c>
    </row>
    <row r="1622" spans="1:107">
      <c r="A1622">
        <v>1918</v>
      </c>
      <c r="B1622" t="s">
        <v>107</v>
      </c>
      <c r="C1622" t="s">
        <v>2695</v>
      </c>
      <c r="D1622" t="s">
        <v>4520</v>
      </c>
      <c r="E1622" t="s">
        <v>4521</v>
      </c>
      <c r="F1622" t="s">
        <v>2211</v>
      </c>
      <c r="G1622" t="s">
        <v>24</v>
      </c>
      <c r="H1622">
        <v>1.9</v>
      </c>
      <c r="I1622">
        <v>44</v>
      </c>
      <c r="J1622">
        <v>0</v>
      </c>
      <c r="K1622">
        <v>0</v>
      </c>
      <c r="L1622" t="s">
        <v>117</v>
      </c>
      <c r="M1622" t="s">
        <v>118</v>
      </c>
      <c r="N1622">
        <v>0</v>
      </c>
      <c r="O1622">
        <v>39</v>
      </c>
      <c r="P1622" t="s">
        <v>111</v>
      </c>
      <c r="Q1622">
        <v>52.5</v>
      </c>
      <c r="R1622">
        <v>0</v>
      </c>
      <c r="S1622">
        <v>0</v>
      </c>
      <c r="T1622">
        <v>0</v>
      </c>
      <c r="U1622" s="1" t="s">
        <v>4522</v>
      </c>
      <c r="V1622">
        <v>0</v>
      </c>
      <c r="W1622">
        <v>0</v>
      </c>
      <c r="X1622">
        <v>0</v>
      </c>
      <c r="Y1622">
        <v>25</v>
      </c>
      <c r="Z1622" t="s">
        <v>111</v>
      </c>
      <c r="AA1622">
        <v>0</v>
      </c>
      <c r="AB1622" t="s">
        <v>111</v>
      </c>
      <c r="AC1622">
        <v>0</v>
      </c>
      <c r="AD1622" t="s">
        <v>111</v>
      </c>
      <c r="AE1622">
        <v>0</v>
      </c>
      <c r="AF1622">
        <v>0</v>
      </c>
      <c r="AG1622" t="s">
        <v>111</v>
      </c>
      <c r="AH1622" t="s">
        <v>111</v>
      </c>
      <c r="AI1622" t="s">
        <v>111</v>
      </c>
      <c r="AJ1622" t="s">
        <v>111</v>
      </c>
      <c r="AK1622" t="s">
        <v>111</v>
      </c>
      <c r="AL1622" t="s">
        <v>111</v>
      </c>
      <c r="AM1622">
        <v>0</v>
      </c>
      <c r="AN1622">
        <v>0</v>
      </c>
      <c r="AO1622">
        <v>0</v>
      </c>
      <c r="AP1622" t="s">
        <v>111</v>
      </c>
      <c r="AQ1622" t="s">
        <v>111</v>
      </c>
      <c r="AR1622" t="s">
        <v>111</v>
      </c>
      <c r="AS1622" t="s">
        <v>111</v>
      </c>
      <c r="AT1622" t="s">
        <v>111</v>
      </c>
      <c r="AU1622" t="s">
        <v>111</v>
      </c>
      <c r="AV1622" t="s">
        <v>111</v>
      </c>
      <c r="AW1622" t="s">
        <v>111</v>
      </c>
      <c r="AX1622" t="s">
        <v>111</v>
      </c>
      <c r="AY1622" t="s">
        <v>111</v>
      </c>
      <c r="AZ1622" t="s">
        <v>111</v>
      </c>
      <c r="BA1622" t="s">
        <v>111</v>
      </c>
      <c r="BB1622" t="s">
        <v>111</v>
      </c>
      <c r="BC1622" t="s">
        <v>111</v>
      </c>
      <c r="BD1622" t="s">
        <v>111</v>
      </c>
      <c r="BE1622" t="s">
        <v>111</v>
      </c>
      <c r="BF1622" t="s">
        <v>111</v>
      </c>
      <c r="BG1622" t="s">
        <v>111</v>
      </c>
      <c r="BH1622" t="s">
        <v>111</v>
      </c>
      <c r="BI1622" t="s">
        <v>111</v>
      </c>
      <c r="BJ1622" t="s">
        <v>111</v>
      </c>
      <c r="BK1622" t="s">
        <v>111</v>
      </c>
      <c r="BL1622" t="s">
        <v>111</v>
      </c>
      <c r="BM1622" t="s">
        <v>111</v>
      </c>
      <c r="BN1622" t="s">
        <v>111</v>
      </c>
      <c r="BO1622" t="s">
        <v>111</v>
      </c>
      <c r="BP1622" t="s">
        <v>111</v>
      </c>
      <c r="BQ1622" t="s">
        <v>111</v>
      </c>
      <c r="BR1622" t="s">
        <v>111</v>
      </c>
      <c r="BS1622" t="s">
        <v>111</v>
      </c>
      <c r="BT1622" t="s">
        <v>111</v>
      </c>
      <c r="BU1622" t="s">
        <v>111</v>
      </c>
      <c r="BV1622" t="s">
        <v>111</v>
      </c>
      <c r="BW1622" t="s">
        <v>111</v>
      </c>
      <c r="BX1622" t="s">
        <v>111</v>
      </c>
      <c r="BY1622" t="s">
        <v>111</v>
      </c>
      <c r="BZ1622" t="s">
        <v>111</v>
      </c>
      <c r="CA1622" t="s">
        <v>111</v>
      </c>
      <c r="CB1622" t="s">
        <v>111</v>
      </c>
      <c r="CC1622" t="s">
        <v>111</v>
      </c>
      <c r="CD1622" t="s">
        <v>111</v>
      </c>
      <c r="CE1622" t="s">
        <v>111</v>
      </c>
      <c r="CF1622" t="s">
        <v>111</v>
      </c>
      <c r="CG1622" t="s">
        <v>111</v>
      </c>
      <c r="CH1622" t="s">
        <v>111</v>
      </c>
      <c r="CI1622" t="s">
        <v>111</v>
      </c>
      <c r="CJ1622" t="s">
        <v>111</v>
      </c>
      <c r="CK1622" t="s">
        <v>111</v>
      </c>
      <c r="CL1622" t="s">
        <v>111</v>
      </c>
      <c r="CM1622" t="s">
        <v>111</v>
      </c>
      <c r="CN1622" t="s">
        <v>111</v>
      </c>
      <c r="CO1622" t="s">
        <v>111</v>
      </c>
      <c r="CP1622" t="s">
        <v>111</v>
      </c>
      <c r="CQ1622">
        <v>0</v>
      </c>
      <c r="CR1622">
        <v>0</v>
      </c>
      <c r="CS1622">
        <v>0</v>
      </c>
      <c r="CT1622" t="s">
        <v>111</v>
      </c>
      <c r="CU1622">
        <v>0</v>
      </c>
      <c r="CV1622" t="s">
        <v>111</v>
      </c>
      <c r="CX1622" t="s">
        <v>111</v>
      </c>
      <c r="CY1622">
        <v>0</v>
      </c>
      <c r="CZ1622" t="s">
        <v>111</v>
      </c>
      <c r="DA1622" t="s">
        <v>111</v>
      </c>
      <c r="DB1622" t="s">
        <v>111</v>
      </c>
      <c r="DC1622" t="s">
        <v>111</v>
      </c>
    </row>
    <row r="1623" spans="1:107">
      <c r="A1623">
        <v>1902</v>
      </c>
      <c r="B1623" t="s">
        <v>107</v>
      </c>
      <c r="C1623" t="s">
        <v>1322</v>
      </c>
      <c r="D1623" t="s">
        <v>4523</v>
      </c>
      <c r="E1623" t="s">
        <v>4524</v>
      </c>
      <c r="F1623" t="s">
        <v>1071</v>
      </c>
      <c r="G1623" t="s">
        <v>24</v>
      </c>
      <c r="H1623">
        <v>1.4</v>
      </c>
      <c r="I1623">
        <v>48</v>
      </c>
      <c r="J1623">
        <v>0</v>
      </c>
      <c r="K1623">
        <v>0</v>
      </c>
      <c r="L1623" t="s">
        <v>112</v>
      </c>
      <c r="M1623" t="s">
        <v>111</v>
      </c>
      <c r="N1623">
        <v>0</v>
      </c>
      <c r="O1623">
        <v>0</v>
      </c>
      <c r="P1623" t="s">
        <v>111</v>
      </c>
      <c r="Q1623">
        <v>30</v>
      </c>
      <c r="R1623">
        <v>0</v>
      </c>
      <c r="S1623">
        <v>0</v>
      </c>
      <c r="T1623">
        <v>5</v>
      </c>
      <c r="U1623" t="e">
        <f>-SELLADO</f>
        <v>#NAME?</v>
      </c>
      <c r="V1623">
        <v>0</v>
      </c>
      <c r="W1623">
        <v>0</v>
      </c>
      <c r="X1623">
        <v>0</v>
      </c>
      <c r="Y1623">
        <v>25</v>
      </c>
      <c r="Z1623" t="s">
        <v>111</v>
      </c>
      <c r="AA1623">
        <v>0</v>
      </c>
      <c r="AB1623" t="s">
        <v>111</v>
      </c>
      <c r="AC1623">
        <v>0</v>
      </c>
      <c r="AD1623" t="s">
        <v>111</v>
      </c>
      <c r="AE1623">
        <v>0</v>
      </c>
      <c r="AF1623">
        <v>0</v>
      </c>
      <c r="AG1623" t="s">
        <v>111</v>
      </c>
      <c r="AH1623" t="s">
        <v>111</v>
      </c>
      <c r="AI1623" t="s">
        <v>111</v>
      </c>
      <c r="AJ1623" t="s">
        <v>111</v>
      </c>
      <c r="AK1623" t="s">
        <v>111</v>
      </c>
      <c r="AL1623" t="s">
        <v>111</v>
      </c>
      <c r="AM1623">
        <v>0</v>
      </c>
      <c r="AN1623">
        <v>0</v>
      </c>
      <c r="AO1623">
        <v>0</v>
      </c>
      <c r="AP1623" t="s">
        <v>111</v>
      </c>
      <c r="AQ1623" t="s">
        <v>111</v>
      </c>
      <c r="AR1623" t="s">
        <v>111</v>
      </c>
      <c r="AS1623" t="s">
        <v>111</v>
      </c>
      <c r="AT1623" t="s">
        <v>111</v>
      </c>
      <c r="AU1623" t="s">
        <v>111</v>
      </c>
      <c r="AV1623" t="s">
        <v>111</v>
      </c>
      <c r="AW1623" t="s">
        <v>111</v>
      </c>
      <c r="AX1623" t="s">
        <v>111</v>
      </c>
      <c r="AY1623" t="s">
        <v>111</v>
      </c>
      <c r="AZ1623" t="s">
        <v>111</v>
      </c>
      <c r="BA1623" t="s">
        <v>111</v>
      </c>
      <c r="BB1623" t="s">
        <v>111</v>
      </c>
      <c r="BC1623" t="s">
        <v>111</v>
      </c>
      <c r="BD1623" t="s">
        <v>111</v>
      </c>
      <c r="BE1623" t="s">
        <v>111</v>
      </c>
      <c r="BF1623" t="s">
        <v>111</v>
      </c>
      <c r="BG1623" t="s">
        <v>111</v>
      </c>
      <c r="BH1623" t="s">
        <v>111</v>
      </c>
      <c r="BI1623" t="s">
        <v>111</v>
      </c>
      <c r="BJ1623" t="s">
        <v>111</v>
      </c>
      <c r="BK1623" t="s">
        <v>111</v>
      </c>
      <c r="BL1623" t="s">
        <v>111</v>
      </c>
      <c r="BM1623" t="s">
        <v>111</v>
      </c>
      <c r="BN1623" t="s">
        <v>111</v>
      </c>
      <c r="BO1623" t="s">
        <v>111</v>
      </c>
      <c r="BP1623" t="s">
        <v>111</v>
      </c>
      <c r="BQ1623" t="s">
        <v>111</v>
      </c>
      <c r="BR1623" t="s">
        <v>111</v>
      </c>
      <c r="BS1623" t="s">
        <v>111</v>
      </c>
      <c r="BT1623" t="s">
        <v>111</v>
      </c>
      <c r="BU1623" t="s">
        <v>111</v>
      </c>
      <c r="BV1623" t="s">
        <v>111</v>
      </c>
      <c r="BW1623" t="s">
        <v>111</v>
      </c>
      <c r="BX1623" t="s">
        <v>111</v>
      </c>
      <c r="BY1623" t="s">
        <v>111</v>
      </c>
      <c r="BZ1623" t="s">
        <v>111</v>
      </c>
      <c r="CA1623" t="s">
        <v>111</v>
      </c>
      <c r="CB1623" t="s">
        <v>111</v>
      </c>
      <c r="CC1623" t="s">
        <v>111</v>
      </c>
      <c r="CD1623" t="s">
        <v>111</v>
      </c>
      <c r="CE1623" t="s">
        <v>111</v>
      </c>
      <c r="CF1623" t="s">
        <v>111</v>
      </c>
      <c r="CG1623" t="s">
        <v>111</v>
      </c>
      <c r="CH1623" t="s">
        <v>111</v>
      </c>
      <c r="CI1623" t="s">
        <v>111</v>
      </c>
      <c r="CJ1623" t="s">
        <v>111</v>
      </c>
      <c r="CK1623" t="s">
        <v>111</v>
      </c>
      <c r="CL1623" t="s">
        <v>111</v>
      </c>
      <c r="CM1623" t="s">
        <v>438</v>
      </c>
      <c r="CN1623" t="s">
        <v>113</v>
      </c>
      <c r="CO1623" t="s">
        <v>111</v>
      </c>
      <c r="CP1623" t="s">
        <v>111</v>
      </c>
      <c r="CQ1623">
        <v>0</v>
      </c>
      <c r="CR1623">
        <v>4000</v>
      </c>
      <c r="CS1623">
        <v>200</v>
      </c>
      <c r="CT1623" t="e">
        <f>-ALMACEN</f>
        <v>#NAME?</v>
      </c>
      <c r="CU1623">
        <v>0</v>
      </c>
      <c r="CV1623" t="s">
        <v>111</v>
      </c>
      <c r="CX1623" t="s">
        <v>111</v>
      </c>
      <c r="CY1623">
        <v>0</v>
      </c>
      <c r="CZ1623" t="s">
        <v>111</v>
      </c>
      <c r="DA1623" t="s">
        <v>111</v>
      </c>
      <c r="DB1623" t="s">
        <v>111</v>
      </c>
      <c r="DC1623" t="s">
        <v>111</v>
      </c>
    </row>
    <row r="1624" spans="1:107">
      <c r="A1624">
        <v>1896</v>
      </c>
      <c r="B1624" t="s">
        <v>107</v>
      </c>
      <c r="C1624" t="s">
        <v>855</v>
      </c>
      <c r="D1624" t="s">
        <v>4525</v>
      </c>
      <c r="E1624" t="s">
        <v>4526</v>
      </c>
      <c r="F1624" t="s">
        <v>1651</v>
      </c>
      <c r="G1624" t="s">
        <v>24</v>
      </c>
      <c r="H1624">
        <v>1.2</v>
      </c>
      <c r="I1624">
        <v>40</v>
      </c>
      <c r="J1624">
        <v>0</v>
      </c>
      <c r="K1624">
        <v>0</v>
      </c>
      <c r="L1624" t="s">
        <v>112</v>
      </c>
      <c r="M1624" t="s">
        <v>118</v>
      </c>
      <c r="N1624">
        <v>40</v>
      </c>
      <c r="O1624">
        <v>1</v>
      </c>
      <c r="P1624" t="s">
        <v>111</v>
      </c>
      <c r="Q1624">
        <v>35.6</v>
      </c>
      <c r="R1624">
        <v>0</v>
      </c>
      <c r="S1624">
        <v>0</v>
      </c>
      <c r="T1624">
        <v>5</v>
      </c>
      <c r="U1624" s="1" t="s">
        <v>662</v>
      </c>
      <c r="V1624">
        <v>0</v>
      </c>
      <c r="W1624">
        <v>0</v>
      </c>
      <c r="X1624">
        <v>0</v>
      </c>
      <c r="Y1624">
        <v>25</v>
      </c>
      <c r="Z1624" t="s">
        <v>111</v>
      </c>
      <c r="AA1624">
        <v>0</v>
      </c>
      <c r="AB1624" t="s">
        <v>111</v>
      </c>
      <c r="AC1624">
        <v>0</v>
      </c>
      <c r="AD1624" t="s">
        <v>416</v>
      </c>
      <c r="AE1624">
        <v>0</v>
      </c>
      <c r="AF1624">
        <v>0</v>
      </c>
      <c r="AG1624" t="s">
        <v>111</v>
      </c>
      <c r="AH1624" t="s">
        <v>111</v>
      </c>
      <c r="AI1624" t="s">
        <v>111</v>
      </c>
      <c r="AJ1624" t="s">
        <v>111</v>
      </c>
      <c r="AK1624" t="s">
        <v>111</v>
      </c>
      <c r="AL1624" t="s">
        <v>111</v>
      </c>
      <c r="AM1624">
        <v>0</v>
      </c>
      <c r="AN1624">
        <v>0</v>
      </c>
      <c r="AO1624">
        <v>0</v>
      </c>
      <c r="AP1624" t="s">
        <v>111</v>
      </c>
      <c r="AQ1624" t="s">
        <v>111</v>
      </c>
      <c r="AR1624" t="s">
        <v>111</v>
      </c>
      <c r="AS1624" t="s">
        <v>111</v>
      </c>
      <c r="AT1624" t="s">
        <v>111</v>
      </c>
      <c r="AU1624" t="s">
        <v>111</v>
      </c>
      <c r="AV1624" t="s">
        <v>111</v>
      </c>
      <c r="AW1624" t="s">
        <v>111</v>
      </c>
      <c r="AX1624" t="s">
        <v>111</v>
      </c>
      <c r="AY1624" t="s">
        <v>111</v>
      </c>
      <c r="AZ1624" t="s">
        <v>111</v>
      </c>
      <c r="BA1624" t="s">
        <v>111</v>
      </c>
      <c r="BB1624" t="s">
        <v>111</v>
      </c>
      <c r="BC1624" t="s">
        <v>111</v>
      </c>
      <c r="BD1624" t="s">
        <v>111</v>
      </c>
      <c r="BE1624" t="s">
        <v>111</v>
      </c>
      <c r="BF1624" t="s">
        <v>111</v>
      </c>
      <c r="BG1624" t="s">
        <v>111</v>
      </c>
      <c r="BH1624" t="s">
        <v>111</v>
      </c>
      <c r="BI1624" t="s">
        <v>111</v>
      </c>
      <c r="BJ1624" t="s">
        <v>111</v>
      </c>
      <c r="BK1624" t="s">
        <v>111</v>
      </c>
      <c r="BL1624" t="s">
        <v>111</v>
      </c>
      <c r="BM1624" t="s">
        <v>111</v>
      </c>
      <c r="BN1624" t="s">
        <v>111</v>
      </c>
      <c r="BO1624" t="s">
        <v>111</v>
      </c>
      <c r="BP1624" t="s">
        <v>111</v>
      </c>
      <c r="BQ1624" t="s">
        <v>111</v>
      </c>
      <c r="BR1624" t="s">
        <v>111</v>
      </c>
      <c r="BS1624" t="s">
        <v>111</v>
      </c>
      <c r="BT1624" t="s">
        <v>111</v>
      </c>
      <c r="BU1624" t="s">
        <v>111</v>
      </c>
      <c r="BV1624" t="s">
        <v>111</v>
      </c>
      <c r="BW1624" t="s">
        <v>111</v>
      </c>
      <c r="BX1624" t="s">
        <v>111</v>
      </c>
      <c r="BY1624" t="s">
        <v>111</v>
      </c>
      <c r="BZ1624" t="s">
        <v>111</v>
      </c>
      <c r="CA1624" t="s">
        <v>111</v>
      </c>
      <c r="CB1624" t="s">
        <v>111</v>
      </c>
      <c r="CC1624" t="s">
        <v>111</v>
      </c>
      <c r="CD1624" t="s">
        <v>111</v>
      </c>
      <c r="CE1624" t="s">
        <v>111</v>
      </c>
      <c r="CF1624" t="s">
        <v>111</v>
      </c>
      <c r="CG1624" t="s">
        <v>111</v>
      </c>
      <c r="CH1624" t="s">
        <v>111</v>
      </c>
      <c r="CI1624" t="s">
        <v>111</v>
      </c>
      <c r="CJ1624" t="s">
        <v>111</v>
      </c>
      <c r="CK1624" t="s">
        <v>111</v>
      </c>
      <c r="CL1624" t="s">
        <v>111</v>
      </c>
      <c r="CM1624" t="s">
        <v>135</v>
      </c>
      <c r="CN1624" t="s">
        <v>113</v>
      </c>
      <c r="CO1624" t="s">
        <v>111</v>
      </c>
      <c r="CP1624" t="s">
        <v>111</v>
      </c>
      <c r="CQ1624">
        <v>0</v>
      </c>
      <c r="CR1624">
        <v>3000</v>
      </c>
      <c r="CS1624">
        <v>200</v>
      </c>
      <c r="CT1624" t="e">
        <f>-ALMACEN</f>
        <v>#NAME?</v>
      </c>
      <c r="CU1624">
        <v>0</v>
      </c>
      <c r="CV1624" t="s">
        <v>111</v>
      </c>
      <c r="CX1624" t="s">
        <v>111</v>
      </c>
      <c r="CY1624">
        <v>0</v>
      </c>
      <c r="CZ1624" t="s">
        <v>111</v>
      </c>
      <c r="DA1624" t="s">
        <v>111</v>
      </c>
      <c r="DB1624" t="s">
        <v>111</v>
      </c>
      <c r="DC1624" t="s">
        <v>111</v>
      </c>
    </row>
    <row r="1625" spans="1:107">
      <c r="A1625">
        <v>1889</v>
      </c>
      <c r="B1625" t="s">
        <v>107</v>
      </c>
      <c r="C1625" t="s">
        <v>3783</v>
      </c>
      <c r="D1625" t="s">
        <v>3960</v>
      </c>
      <c r="E1625" t="s">
        <v>4527</v>
      </c>
      <c r="F1625" t="s">
        <v>1260</v>
      </c>
      <c r="G1625" t="s">
        <v>24</v>
      </c>
      <c r="H1625">
        <v>1.9</v>
      </c>
      <c r="I1625">
        <v>40</v>
      </c>
      <c r="J1625">
        <v>0</v>
      </c>
      <c r="K1625">
        <v>0</v>
      </c>
      <c r="L1625" t="s">
        <v>117</v>
      </c>
      <c r="M1625" t="s">
        <v>118</v>
      </c>
      <c r="N1625">
        <v>40</v>
      </c>
      <c r="O1625">
        <v>1</v>
      </c>
      <c r="P1625" t="s">
        <v>111</v>
      </c>
      <c r="Q1625">
        <v>30.9</v>
      </c>
      <c r="R1625">
        <v>0</v>
      </c>
      <c r="S1625">
        <v>0</v>
      </c>
      <c r="T1625">
        <v>5</v>
      </c>
      <c r="U1625" t="e">
        <f>-IMPRESION DARMA</f>
        <v>#NAME?</v>
      </c>
      <c r="V1625">
        <v>0</v>
      </c>
      <c r="W1625">
        <v>0</v>
      </c>
      <c r="X1625">
        <v>0</v>
      </c>
      <c r="Y1625">
        <v>25</v>
      </c>
      <c r="Z1625" t="s">
        <v>111</v>
      </c>
      <c r="AA1625">
        <v>0</v>
      </c>
      <c r="AB1625" t="s">
        <v>111</v>
      </c>
      <c r="AC1625">
        <v>0</v>
      </c>
      <c r="AD1625" t="s">
        <v>1347</v>
      </c>
      <c r="AE1625">
        <v>0</v>
      </c>
      <c r="AF1625">
        <v>0</v>
      </c>
      <c r="AG1625" t="s">
        <v>111</v>
      </c>
      <c r="AH1625" t="s">
        <v>111</v>
      </c>
      <c r="AI1625" t="s">
        <v>111</v>
      </c>
      <c r="AJ1625" t="s">
        <v>111</v>
      </c>
      <c r="AK1625" t="s">
        <v>111</v>
      </c>
      <c r="AL1625" t="s">
        <v>111</v>
      </c>
      <c r="AM1625">
        <v>0</v>
      </c>
      <c r="AN1625">
        <v>0</v>
      </c>
      <c r="AO1625">
        <v>0</v>
      </c>
      <c r="AP1625" t="s">
        <v>111</v>
      </c>
      <c r="AQ1625" t="s">
        <v>111</v>
      </c>
      <c r="AR1625" t="s">
        <v>111</v>
      </c>
      <c r="AS1625" t="s">
        <v>111</v>
      </c>
      <c r="AT1625" t="s">
        <v>111</v>
      </c>
      <c r="AU1625" t="s">
        <v>111</v>
      </c>
      <c r="AV1625" t="s">
        <v>111</v>
      </c>
      <c r="AW1625" t="s">
        <v>111</v>
      </c>
      <c r="AX1625" t="s">
        <v>111</v>
      </c>
      <c r="AY1625" t="s">
        <v>111</v>
      </c>
      <c r="AZ1625" t="s">
        <v>111</v>
      </c>
      <c r="BA1625" t="s">
        <v>111</v>
      </c>
      <c r="BB1625" t="s">
        <v>111</v>
      </c>
      <c r="BC1625" t="s">
        <v>111</v>
      </c>
      <c r="BD1625" t="s">
        <v>111</v>
      </c>
      <c r="BE1625" t="s">
        <v>111</v>
      </c>
      <c r="BF1625" t="s">
        <v>111</v>
      </c>
      <c r="BG1625" t="s">
        <v>111</v>
      </c>
      <c r="BH1625" t="s">
        <v>111</v>
      </c>
      <c r="BI1625" t="s">
        <v>111</v>
      </c>
      <c r="BJ1625" t="s">
        <v>111</v>
      </c>
      <c r="BK1625" t="s">
        <v>111</v>
      </c>
      <c r="BL1625" t="s">
        <v>111</v>
      </c>
      <c r="BM1625" t="s">
        <v>111</v>
      </c>
      <c r="BN1625" t="s">
        <v>111</v>
      </c>
      <c r="BO1625" t="s">
        <v>111</v>
      </c>
      <c r="BP1625" t="s">
        <v>111</v>
      </c>
      <c r="BQ1625" t="s">
        <v>111</v>
      </c>
      <c r="BR1625" t="s">
        <v>111</v>
      </c>
      <c r="BS1625" t="s">
        <v>111</v>
      </c>
      <c r="BT1625" t="s">
        <v>111</v>
      </c>
      <c r="BU1625" t="s">
        <v>111</v>
      </c>
      <c r="BV1625" t="s">
        <v>111</v>
      </c>
      <c r="BW1625" t="s">
        <v>111</v>
      </c>
      <c r="BX1625" t="s">
        <v>111</v>
      </c>
      <c r="BY1625" t="s">
        <v>111</v>
      </c>
      <c r="BZ1625" t="s">
        <v>111</v>
      </c>
      <c r="CA1625" t="s">
        <v>111</v>
      </c>
      <c r="CB1625" t="s">
        <v>111</v>
      </c>
      <c r="CC1625" t="s">
        <v>111</v>
      </c>
      <c r="CD1625" t="s">
        <v>111</v>
      </c>
      <c r="CE1625" t="s">
        <v>111</v>
      </c>
      <c r="CF1625" t="s">
        <v>111</v>
      </c>
      <c r="CG1625" t="s">
        <v>111</v>
      </c>
      <c r="CH1625" t="s">
        <v>111</v>
      </c>
      <c r="CI1625" t="s">
        <v>111</v>
      </c>
      <c r="CJ1625" t="s">
        <v>111</v>
      </c>
      <c r="CK1625" t="s">
        <v>111</v>
      </c>
      <c r="CL1625" t="s">
        <v>111</v>
      </c>
      <c r="CM1625">
        <v>450</v>
      </c>
      <c r="CN1625" t="s">
        <v>113</v>
      </c>
      <c r="CO1625" t="s">
        <v>111</v>
      </c>
      <c r="CP1625" t="s">
        <v>111</v>
      </c>
      <c r="CQ1625">
        <v>0</v>
      </c>
      <c r="CR1625">
        <v>26000</v>
      </c>
      <c r="CS1625">
        <v>26000</v>
      </c>
      <c r="CT1625" t="e">
        <f>-ALMACEN</f>
        <v>#NAME?</v>
      </c>
      <c r="CU1625">
        <v>0</v>
      </c>
      <c r="CV1625" t="s">
        <v>111</v>
      </c>
      <c r="CX1625" t="s">
        <v>111</v>
      </c>
      <c r="CY1625">
        <v>0</v>
      </c>
      <c r="CZ1625" t="s">
        <v>111</v>
      </c>
      <c r="DA1625" t="s">
        <v>111</v>
      </c>
      <c r="DB1625" t="s">
        <v>111</v>
      </c>
      <c r="DC1625" t="s">
        <v>111</v>
      </c>
    </row>
    <row r="1626" spans="1:107">
      <c r="A1626">
        <v>1879</v>
      </c>
      <c r="B1626" t="s">
        <v>107</v>
      </c>
      <c r="C1626" t="s">
        <v>2146</v>
      </c>
      <c r="D1626" t="s">
        <v>4478</v>
      </c>
      <c r="E1626" t="s">
        <v>4528</v>
      </c>
      <c r="F1626" t="s">
        <v>1651</v>
      </c>
      <c r="G1626" t="s">
        <v>24</v>
      </c>
      <c r="H1626">
        <v>1</v>
      </c>
      <c r="I1626">
        <v>34</v>
      </c>
      <c r="J1626">
        <v>0</v>
      </c>
      <c r="K1626">
        <v>0</v>
      </c>
      <c r="L1626" t="s">
        <v>112</v>
      </c>
      <c r="M1626" t="s">
        <v>118</v>
      </c>
      <c r="N1626">
        <v>40</v>
      </c>
      <c r="O1626">
        <v>1</v>
      </c>
      <c r="P1626" t="s">
        <v>111</v>
      </c>
      <c r="Q1626">
        <v>38</v>
      </c>
      <c r="R1626">
        <v>0</v>
      </c>
      <c r="S1626">
        <v>0</v>
      </c>
      <c r="T1626">
        <v>8</v>
      </c>
      <c r="U1626" s="1" t="s">
        <v>4529</v>
      </c>
      <c r="V1626">
        <v>0</v>
      </c>
      <c r="W1626">
        <v>0</v>
      </c>
      <c r="X1626">
        <v>0</v>
      </c>
      <c r="Y1626">
        <v>25</v>
      </c>
      <c r="Z1626" t="s">
        <v>111</v>
      </c>
      <c r="AA1626">
        <v>0</v>
      </c>
      <c r="AB1626" t="s">
        <v>4530</v>
      </c>
      <c r="AC1626">
        <v>0.3</v>
      </c>
      <c r="AD1626" t="s">
        <v>493</v>
      </c>
      <c r="AE1626">
        <v>0</v>
      </c>
      <c r="AF1626">
        <v>0</v>
      </c>
      <c r="AG1626" t="s">
        <v>111</v>
      </c>
      <c r="AH1626" t="s">
        <v>111</v>
      </c>
      <c r="AI1626" t="s">
        <v>111</v>
      </c>
      <c r="AJ1626" t="s">
        <v>111</v>
      </c>
      <c r="AK1626" t="s">
        <v>111</v>
      </c>
      <c r="AL1626" t="s">
        <v>111</v>
      </c>
      <c r="AM1626">
        <v>0</v>
      </c>
      <c r="AN1626">
        <v>0</v>
      </c>
      <c r="AO1626">
        <v>0</v>
      </c>
      <c r="AP1626" t="s">
        <v>111</v>
      </c>
      <c r="AQ1626" t="s">
        <v>111</v>
      </c>
      <c r="AR1626" t="s">
        <v>111</v>
      </c>
      <c r="AS1626" t="s">
        <v>111</v>
      </c>
      <c r="AT1626" t="s">
        <v>111</v>
      </c>
      <c r="AU1626" t="s">
        <v>111</v>
      </c>
      <c r="AV1626" t="s">
        <v>111</v>
      </c>
      <c r="AW1626" t="s">
        <v>111</v>
      </c>
      <c r="AX1626" t="s">
        <v>111</v>
      </c>
      <c r="AY1626" t="s">
        <v>111</v>
      </c>
      <c r="AZ1626" t="s">
        <v>111</v>
      </c>
      <c r="BA1626" t="s">
        <v>111</v>
      </c>
      <c r="BB1626" t="s">
        <v>111</v>
      </c>
      <c r="BC1626" t="s">
        <v>111</v>
      </c>
      <c r="BD1626" t="s">
        <v>111</v>
      </c>
      <c r="BE1626" t="s">
        <v>111</v>
      </c>
      <c r="BF1626" t="s">
        <v>111</v>
      </c>
      <c r="BG1626" t="s">
        <v>111</v>
      </c>
      <c r="BH1626" t="s">
        <v>111</v>
      </c>
      <c r="BI1626" t="s">
        <v>111</v>
      </c>
      <c r="BJ1626" t="s">
        <v>111</v>
      </c>
      <c r="BK1626" t="s">
        <v>111</v>
      </c>
      <c r="BL1626" t="s">
        <v>111</v>
      </c>
      <c r="BM1626" t="s">
        <v>111</v>
      </c>
      <c r="BN1626" t="s">
        <v>111</v>
      </c>
      <c r="BO1626" t="s">
        <v>111</v>
      </c>
      <c r="BP1626" t="s">
        <v>111</v>
      </c>
      <c r="BQ1626" t="s">
        <v>111</v>
      </c>
      <c r="BR1626" t="s">
        <v>111</v>
      </c>
      <c r="BS1626" t="s">
        <v>111</v>
      </c>
      <c r="BT1626" t="s">
        <v>111</v>
      </c>
      <c r="BU1626" t="s">
        <v>111</v>
      </c>
      <c r="BV1626" t="s">
        <v>111</v>
      </c>
      <c r="BW1626" t="s">
        <v>111</v>
      </c>
      <c r="BX1626" t="s">
        <v>111</v>
      </c>
      <c r="BY1626" t="s">
        <v>111</v>
      </c>
      <c r="BZ1626" t="s">
        <v>111</v>
      </c>
      <c r="CA1626" t="s">
        <v>111</v>
      </c>
      <c r="CB1626" t="s">
        <v>111</v>
      </c>
      <c r="CC1626" t="s">
        <v>111</v>
      </c>
      <c r="CD1626" t="s">
        <v>111</v>
      </c>
      <c r="CE1626" t="s">
        <v>111</v>
      </c>
      <c r="CF1626" t="s">
        <v>111</v>
      </c>
      <c r="CG1626" t="s">
        <v>111</v>
      </c>
      <c r="CH1626" t="s">
        <v>111</v>
      </c>
      <c r="CI1626" t="s">
        <v>111</v>
      </c>
      <c r="CJ1626" t="s">
        <v>111</v>
      </c>
      <c r="CK1626" t="s">
        <v>111</v>
      </c>
      <c r="CL1626" t="s">
        <v>111</v>
      </c>
      <c r="CM1626" t="s">
        <v>438</v>
      </c>
      <c r="CN1626" t="s">
        <v>113</v>
      </c>
      <c r="CO1626" t="s">
        <v>885</v>
      </c>
      <c r="CP1626" t="s">
        <v>111</v>
      </c>
      <c r="CQ1626">
        <v>0</v>
      </c>
      <c r="CR1626">
        <v>500</v>
      </c>
      <c r="CS1626">
        <v>100</v>
      </c>
      <c r="CT1626" s="1" t="s">
        <v>4531</v>
      </c>
      <c r="CU1626">
        <v>0</v>
      </c>
      <c r="CV1626" t="s">
        <v>111</v>
      </c>
      <c r="CX1626" t="s">
        <v>111</v>
      </c>
      <c r="CY1626">
        <v>0</v>
      </c>
      <c r="CZ1626" t="s">
        <v>111</v>
      </c>
      <c r="DA1626" t="s">
        <v>111</v>
      </c>
      <c r="DB1626" t="s">
        <v>111</v>
      </c>
      <c r="DC1626" t="s">
        <v>111</v>
      </c>
    </row>
    <row r="1627" spans="1:107">
      <c r="A1627">
        <v>1651</v>
      </c>
      <c r="B1627" t="s">
        <v>107</v>
      </c>
      <c r="C1627" t="s">
        <v>4214</v>
      </c>
      <c r="D1627" t="s">
        <v>4532</v>
      </c>
      <c r="E1627" t="s">
        <v>4533</v>
      </c>
      <c r="F1627" t="s">
        <v>110</v>
      </c>
      <c r="G1627" t="s">
        <v>24</v>
      </c>
      <c r="H1627">
        <v>0.9</v>
      </c>
      <c r="I1627">
        <v>35</v>
      </c>
      <c r="J1627">
        <v>0</v>
      </c>
      <c r="K1627">
        <v>0</v>
      </c>
      <c r="L1627" t="s">
        <v>112</v>
      </c>
      <c r="M1627" t="s">
        <v>111</v>
      </c>
      <c r="N1627">
        <v>0</v>
      </c>
      <c r="O1627">
        <v>0</v>
      </c>
      <c r="P1627" t="s">
        <v>111</v>
      </c>
      <c r="Q1627">
        <v>24.5</v>
      </c>
      <c r="R1627">
        <v>0</v>
      </c>
      <c r="S1627">
        <v>0</v>
      </c>
      <c r="T1627">
        <v>0</v>
      </c>
      <c r="U1627" s="1" t="s">
        <v>4534</v>
      </c>
      <c r="V1627">
        <v>0</v>
      </c>
      <c r="W1627">
        <v>0</v>
      </c>
      <c r="X1627">
        <v>0</v>
      </c>
      <c r="Y1627">
        <v>25</v>
      </c>
      <c r="Z1627" t="s">
        <v>111</v>
      </c>
      <c r="AA1627">
        <v>0</v>
      </c>
      <c r="AB1627" t="s">
        <v>111</v>
      </c>
      <c r="AC1627">
        <v>0</v>
      </c>
      <c r="AD1627" t="s">
        <v>111</v>
      </c>
      <c r="AE1627">
        <v>0</v>
      </c>
      <c r="AF1627">
        <v>0</v>
      </c>
      <c r="AG1627" t="s">
        <v>111</v>
      </c>
      <c r="AH1627" t="s">
        <v>111</v>
      </c>
      <c r="AI1627" t="s">
        <v>111</v>
      </c>
      <c r="AJ1627" t="s">
        <v>111</v>
      </c>
      <c r="AK1627" t="s">
        <v>111</v>
      </c>
      <c r="AL1627" t="s">
        <v>111</v>
      </c>
      <c r="AM1627">
        <v>0</v>
      </c>
      <c r="AN1627">
        <v>0</v>
      </c>
      <c r="AO1627">
        <v>0</v>
      </c>
      <c r="AP1627" t="s">
        <v>111</v>
      </c>
      <c r="AQ1627" t="s">
        <v>111</v>
      </c>
      <c r="AR1627" t="s">
        <v>111</v>
      </c>
      <c r="AS1627" t="s">
        <v>111</v>
      </c>
      <c r="AT1627" t="s">
        <v>111</v>
      </c>
      <c r="AU1627" t="s">
        <v>111</v>
      </c>
      <c r="AV1627" t="s">
        <v>111</v>
      </c>
      <c r="AW1627" t="s">
        <v>111</v>
      </c>
      <c r="AX1627" t="s">
        <v>111</v>
      </c>
      <c r="AY1627" t="s">
        <v>111</v>
      </c>
      <c r="AZ1627" t="s">
        <v>111</v>
      </c>
      <c r="BA1627" t="s">
        <v>111</v>
      </c>
      <c r="BB1627" t="s">
        <v>111</v>
      </c>
      <c r="BC1627" t="s">
        <v>111</v>
      </c>
      <c r="BD1627" t="s">
        <v>111</v>
      </c>
      <c r="BE1627" t="s">
        <v>111</v>
      </c>
      <c r="BF1627" t="s">
        <v>111</v>
      </c>
      <c r="BG1627" t="s">
        <v>111</v>
      </c>
      <c r="BH1627" t="s">
        <v>111</v>
      </c>
      <c r="BI1627" t="s">
        <v>111</v>
      </c>
      <c r="BJ1627" t="s">
        <v>111</v>
      </c>
      <c r="BK1627" t="s">
        <v>111</v>
      </c>
      <c r="BL1627" t="s">
        <v>111</v>
      </c>
      <c r="BM1627" t="s">
        <v>111</v>
      </c>
      <c r="BN1627" t="s">
        <v>111</v>
      </c>
      <c r="BO1627" t="s">
        <v>111</v>
      </c>
      <c r="BP1627" t="s">
        <v>111</v>
      </c>
      <c r="BQ1627" t="s">
        <v>111</v>
      </c>
      <c r="BR1627" t="s">
        <v>111</v>
      </c>
      <c r="BS1627" t="s">
        <v>111</v>
      </c>
      <c r="BT1627" t="s">
        <v>111</v>
      </c>
      <c r="BU1627" t="s">
        <v>111</v>
      </c>
      <c r="BV1627" t="s">
        <v>111</v>
      </c>
      <c r="BW1627" t="s">
        <v>111</v>
      </c>
      <c r="BX1627" t="s">
        <v>111</v>
      </c>
      <c r="BY1627" t="s">
        <v>111</v>
      </c>
      <c r="BZ1627" t="s">
        <v>111</v>
      </c>
      <c r="CA1627" t="s">
        <v>111</v>
      </c>
      <c r="CB1627" t="s">
        <v>111</v>
      </c>
      <c r="CC1627" t="s">
        <v>111</v>
      </c>
      <c r="CD1627" t="s">
        <v>111</v>
      </c>
      <c r="CE1627" t="s">
        <v>111</v>
      </c>
      <c r="CF1627" t="s">
        <v>111</v>
      </c>
      <c r="CG1627" t="s">
        <v>111</v>
      </c>
      <c r="CH1627" t="s">
        <v>111</v>
      </c>
      <c r="CI1627" t="s">
        <v>111</v>
      </c>
      <c r="CJ1627" t="s">
        <v>111</v>
      </c>
      <c r="CK1627" t="s">
        <v>111</v>
      </c>
      <c r="CL1627" t="s">
        <v>111</v>
      </c>
      <c r="CM1627" t="s">
        <v>111</v>
      </c>
      <c r="CN1627" t="s">
        <v>111</v>
      </c>
      <c r="CO1627" t="s">
        <v>111</v>
      </c>
      <c r="CP1627" t="s">
        <v>111</v>
      </c>
      <c r="CQ1627">
        <v>0</v>
      </c>
      <c r="CR1627">
        <v>0</v>
      </c>
      <c r="CS1627">
        <v>0</v>
      </c>
      <c r="CT1627" t="s">
        <v>111</v>
      </c>
      <c r="CU1627">
        <v>0</v>
      </c>
      <c r="CV1627" t="s">
        <v>111</v>
      </c>
      <c r="CX1627" t="s">
        <v>111</v>
      </c>
      <c r="CY1627">
        <v>0</v>
      </c>
      <c r="CZ1627" t="s">
        <v>111</v>
      </c>
      <c r="DA1627" t="s">
        <v>111</v>
      </c>
      <c r="DB1627" t="s">
        <v>111</v>
      </c>
      <c r="DC1627" t="s">
        <v>111</v>
      </c>
    </row>
    <row r="1628" spans="1:107">
      <c r="A1628">
        <v>1924</v>
      </c>
      <c r="B1628" t="s">
        <v>107</v>
      </c>
      <c r="C1628" t="s">
        <v>928</v>
      </c>
      <c r="D1628" t="s">
        <v>4535</v>
      </c>
      <c r="E1628" t="s">
        <v>4536</v>
      </c>
      <c r="F1628" t="s">
        <v>1651</v>
      </c>
      <c r="G1628" t="s">
        <v>24</v>
      </c>
      <c r="H1628">
        <v>1</v>
      </c>
      <c r="I1628">
        <v>44</v>
      </c>
      <c r="J1628">
        <v>0</v>
      </c>
      <c r="K1628">
        <v>0</v>
      </c>
      <c r="L1628" t="s">
        <v>112</v>
      </c>
      <c r="M1628" t="s">
        <v>118</v>
      </c>
      <c r="N1628">
        <v>39</v>
      </c>
      <c r="O1628">
        <v>1</v>
      </c>
      <c r="P1628" t="s">
        <v>111</v>
      </c>
      <c r="Q1628">
        <v>40</v>
      </c>
      <c r="R1628">
        <v>0</v>
      </c>
      <c r="S1628">
        <v>0</v>
      </c>
      <c r="T1628">
        <v>8</v>
      </c>
      <c r="U1628" t="e">
        <f>-ALMAACEN</f>
        <v>#NAME?</v>
      </c>
      <c r="V1628">
        <v>0</v>
      </c>
      <c r="W1628">
        <v>0</v>
      </c>
      <c r="X1628">
        <v>0</v>
      </c>
      <c r="Y1628">
        <v>25</v>
      </c>
      <c r="Z1628" t="s">
        <v>111</v>
      </c>
      <c r="AA1628">
        <v>0</v>
      </c>
      <c r="AB1628" t="s">
        <v>111</v>
      </c>
      <c r="AC1628">
        <v>0</v>
      </c>
      <c r="AD1628" t="s">
        <v>493</v>
      </c>
      <c r="AE1628">
        <v>0</v>
      </c>
      <c r="AF1628">
        <v>0</v>
      </c>
      <c r="AG1628" t="s">
        <v>111</v>
      </c>
      <c r="AH1628" t="s">
        <v>111</v>
      </c>
      <c r="AI1628" t="s">
        <v>111</v>
      </c>
      <c r="AJ1628" t="s">
        <v>111</v>
      </c>
      <c r="AK1628" t="s">
        <v>111</v>
      </c>
      <c r="AL1628" t="s">
        <v>111</v>
      </c>
      <c r="AM1628">
        <v>0</v>
      </c>
      <c r="AN1628">
        <v>0</v>
      </c>
      <c r="AO1628">
        <v>0</v>
      </c>
      <c r="AP1628" t="s">
        <v>111</v>
      </c>
      <c r="AQ1628" t="s">
        <v>111</v>
      </c>
      <c r="AR1628" t="s">
        <v>111</v>
      </c>
      <c r="AS1628" t="s">
        <v>111</v>
      </c>
      <c r="AT1628" t="s">
        <v>111</v>
      </c>
      <c r="AU1628" t="s">
        <v>111</v>
      </c>
      <c r="AV1628" t="s">
        <v>111</v>
      </c>
      <c r="AW1628" t="s">
        <v>111</v>
      </c>
      <c r="AX1628" t="s">
        <v>111</v>
      </c>
      <c r="AY1628" t="s">
        <v>111</v>
      </c>
      <c r="AZ1628" t="s">
        <v>111</v>
      </c>
      <c r="BA1628" t="s">
        <v>111</v>
      </c>
      <c r="BB1628" t="s">
        <v>111</v>
      </c>
      <c r="BC1628" t="s">
        <v>111</v>
      </c>
      <c r="BD1628" t="s">
        <v>111</v>
      </c>
      <c r="BE1628" t="s">
        <v>111</v>
      </c>
      <c r="BF1628" t="s">
        <v>111</v>
      </c>
      <c r="BG1628" t="s">
        <v>111</v>
      </c>
      <c r="BH1628" t="s">
        <v>111</v>
      </c>
      <c r="BI1628" t="s">
        <v>111</v>
      </c>
      <c r="BJ1628" t="s">
        <v>111</v>
      </c>
      <c r="BK1628" t="s">
        <v>111</v>
      </c>
      <c r="BL1628" t="s">
        <v>111</v>
      </c>
      <c r="BM1628" t="s">
        <v>111</v>
      </c>
      <c r="BN1628" t="s">
        <v>111</v>
      </c>
      <c r="BO1628" t="s">
        <v>111</v>
      </c>
      <c r="BP1628" t="s">
        <v>111</v>
      </c>
      <c r="BQ1628" t="s">
        <v>111</v>
      </c>
      <c r="BR1628" t="s">
        <v>111</v>
      </c>
      <c r="BS1628" t="s">
        <v>111</v>
      </c>
      <c r="BT1628" t="s">
        <v>111</v>
      </c>
      <c r="BU1628" t="s">
        <v>111</v>
      </c>
      <c r="BV1628" t="s">
        <v>111</v>
      </c>
      <c r="BW1628" t="s">
        <v>111</v>
      </c>
      <c r="BX1628" t="s">
        <v>111</v>
      </c>
      <c r="BY1628" t="s">
        <v>111</v>
      </c>
      <c r="BZ1628" t="s">
        <v>111</v>
      </c>
      <c r="CA1628" t="s">
        <v>111</v>
      </c>
      <c r="CB1628" t="s">
        <v>111</v>
      </c>
      <c r="CC1628" t="s">
        <v>111</v>
      </c>
      <c r="CD1628" t="s">
        <v>111</v>
      </c>
      <c r="CE1628" t="s">
        <v>111</v>
      </c>
      <c r="CF1628" t="s">
        <v>111</v>
      </c>
      <c r="CG1628" t="s">
        <v>111</v>
      </c>
      <c r="CH1628" t="s">
        <v>111</v>
      </c>
      <c r="CI1628" t="s">
        <v>111</v>
      </c>
      <c r="CJ1628" t="s">
        <v>111</v>
      </c>
      <c r="CK1628" t="s">
        <v>111</v>
      </c>
      <c r="CL1628" t="s">
        <v>111</v>
      </c>
      <c r="CM1628" t="s">
        <v>438</v>
      </c>
      <c r="CN1628" t="s">
        <v>113</v>
      </c>
      <c r="CO1628" t="s">
        <v>637</v>
      </c>
      <c r="CP1628" t="e">
        <f>-MUESTRA</f>
        <v>#NAME?</v>
      </c>
      <c r="CQ1628">
        <v>0</v>
      </c>
      <c r="CR1628">
        <v>5000</v>
      </c>
      <c r="CS1628">
        <v>100</v>
      </c>
      <c r="CT1628" s="1" t="s">
        <v>4537</v>
      </c>
      <c r="CU1628">
        <v>0</v>
      </c>
      <c r="CV1628" t="s">
        <v>111</v>
      </c>
      <c r="CX1628" t="s">
        <v>111</v>
      </c>
      <c r="CY1628">
        <v>0</v>
      </c>
      <c r="CZ1628" t="s">
        <v>111</v>
      </c>
      <c r="DA1628" t="s">
        <v>111</v>
      </c>
      <c r="DB1628" t="s">
        <v>111</v>
      </c>
      <c r="DC1628" t="s">
        <v>111</v>
      </c>
    </row>
    <row r="1629" spans="1:107">
      <c r="A1629">
        <v>2034</v>
      </c>
      <c r="B1629" t="s">
        <v>376</v>
      </c>
      <c r="C1629" t="s">
        <v>226</v>
      </c>
      <c r="D1629" t="s">
        <v>2122</v>
      </c>
      <c r="E1629" t="s">
        <v>4538</v>
      </c>
      <c r="F1629" t="s">
        <v>1071</v>
      </c>
      <c r="G1629" t="s">
        <v>24</v>
      </c>
      <c r="H1629">
        <v>0.9</v>
      </c>
      <c r="I1629">
        <v>56</v>
      </c>
      <c r="J1629">
        <v>0</v>
      </c>
      <c r="K1629">
        <v>0</v>
      </c>
      <c r="L1629" t="s">
        <v>112</v>
      </c>
      <c r="M1629" t="s">
        <v>111</v>
      </c>
      <c r="N1629">
        <v>0</v>
      </c>
      <c r="O1629">
        <v>0</v>
      </c>
      <c r="P1629" t="s">
        <v>111</v>
      </c>
      <c r="Q1629">
        <v>45.3</v>
      </c>
      <c r="R1629">
        <v>0</v>
      </c>
      <c r="S1629">
        <v>0</v>
      </c>
      <c r="T1629">
        <v>5</v>
      </c>
      <c r="U1629" s="1" t="s">
        <v>4539</v>
      </c>
      <c r="V1629">
        <v>0</v>
      </c>
      <c r="W1629">
        <v>0</v>
      </c>
      <c r="X1629">
        <v>0</v>
      </c>
      <c r="Y1629">
        <v>25</v>
      </c>
      <c r="Z1629" t="s">
        <v>111</v>
      </c>
      <c r="AA1629">
        <v>0</v>
      </c>
      <c r="AB1629" t="s">
        <v>4055</v>
      </c>
      <c r="AC1629">
        <v>300</v>
      </c>
      <c r="AD1629" t="s">
        <v>111</v>
      </c>
      <c r="AE1629">
        <v>0</v>
      </c>
      <c r="AF1629">
        <v>0</v>
      </c>
      <c r="AG1629" t="s">
        <v>111</v>
      </c>
      <c r="AH1629" t="s">
        <v>111</v>
      </c>
      <c r="AI1629" t="s">
        <v>111</v>
      </c>
      <c r="AJ1629" t="s">
        <v>111</v>
      </c>
      <c r="AK1629" t="s">
        <v>111</v>
      </c>
      <c r="AL1629" t="s">
        <v>111</v>
      </c>
      <c r="AM1629">
        <v>0</v>
      </c>
      <c r="AN1629">
        <v>0</v>
      </c>
      <c r="AO1629">
        <v>0</v>
      </c>
      <c r="AP1629" t="s">
        <v>111</v>
      </c>
      <c r="AQ1629" t="s">
        <v>111</v>
      </c>
      <c r="AR1629" t="s">
        <v>111</v>
      </c>
      <c r="AS1629" t="s">
        <v>111</v>
      </c>
      <c r="AT1629" t="s">
        <v>111</v>
      </c>
      <c r="AU1629" t="s">
        <v>111</v>
      </c>
      <c r="AV1629" t="s">
        <v>111</v>
      </c>
      <c r="AW1629" t="s">
        <v>111</v>
      </c>
      <c r="AX1629" t="s">
        <v>111</v>
      </c>
      <c r="AY1629" t="s">
        <v>111</v>
      </c>
      <c r="AZ1629" t="s">
        <v>111</v>
      </c>
      <c r="BA1629" t="s">
        <v>111</v>
      </c>
      <c r="BB1629" t="s">
        <v>111</v>
      </c>
      <c r="BC1629" t="s">
        <v>111</v>
      </c>
      <c r="BD1629" t="s">
        <v>111</v>
      </c>
      <c r="BE1629" t="s">
        <v>111</v>
      </c>
      <c r="BF1629" t="s">
        <v>111</v>
      </c>
      <c r="BG1629" t="s">
        <v>111</v>
      </c>
      <c r="BH1629" t="s">
        <v>111</v>
      </c>
      <c r="BI1629" t="s">
        <v>111</v>
      </c>
      <c r="BJ1629" t="s">
        <v>111</v>
      </c>
      <c r="BK1629" t="s">
        <v>111</v>
      </c>
      <c r="BL1629" t="s">
        <v>111</v>
      </c>
      <c r="BM1629" t="s">
        <v>111</v>
      </c>
      <c r="BN1629" t="s">
        <v>111</v>
      </c>
      <c r="BO1629" t="s">
        <v>111</v>
      </c>
      <c r="BP1629" t="s">
        <v>111</v>
      </c>
      <c r="BQ1629" t="s">
        <v>111</v>
      </c>
      <c r="BR1629" t="s">
        <v>111</v>
      </c>
      <c r="BS1629" t="s">
        <v>111</v>
      </c>
      <c r="BT1629" t="s">
        <v>111</v>
      </c>
      <c r="BU1629" t="s">
        <v>111</v>
      </c>
      <c r="BV1629" t="s">
        <v>111</v>
      </c>
      <c r="BW1629" t="s">
        <v>111</v>
      </c>
      <c r="BX1629" t="s">
        <v>111</v>
      </c>
      <c r="BY1629" t="s">
        <v>111</v>
      </c>
      <c r="BZ1629" t="s">
        <v>111</v>
      </c>
      <c r="CA1629" t="s">
        <v>111</v>
      </c>
      <c r="CB1629" t="s">
        <v>111</v>
      </c>
      <c r="CC1629" t="s">
        <v>111</v>
      </c>
      <c r="CD1629" t="s">
        <v>111</v>
      </c>
      <c r="CE1629" t="s">
        <v>111</v>
      </c>
      <c r="CF1629" t="s">
        <v>111</v>
      </c>
      <c r="CG1629" t="s">
        <v>111</v>
      </c>
      <c r="CH1629" t="s">
        <v>111</v>
      </c>
      <c r="CI1629" t="s">
        <v>111</v>
      </c>
      <c r="CJ1629" t="s">
        <v>111</v>
      </c>
      <c r="CK1629" t="s">
        <v>111</v>
      </c>
      <c r="CL1629" t="s">
        <v>111</v>
      </c>
      <c r="CM1629" t="s">
        <v>198</v>
      </c>
      <c r="CN1629" t="s">
        <v>113</v>
      </c>
      <c r="CO1629" t="s">
        <v>111</v>
      </c>
      <c r="CP1629" t="s">
        <v>111</v>
      </c>
      <c r="CQ1629">
        <v>0</v>
      </c>
      <c r="CR1629">
        <v>4000</v>
      </c>
      <c r="CS1629">
        <v>200</v>
      </c>
      <c r="CT1629" s="1" t="s">
        <v>4540</v>
      </c>
      <c r="CU1629">
        <v>0</v>
      </c>
      <c r="CV1629" t="s">
        <v>111</v>
      </c>
      <c r="CX1629" t="s">
        <v>111</v>
      </c>
      <c r="CY1629">
        <v>0</v>
      </c>
      <c r="CZ1629" t="s">
        <v>111</v>
      </c>
      <c r="DA1629" t="s">
        <v>111</v>
      </c>
      <c r="DB1629" t="s">
        <v>111</v>
      </c>
      <c r="DC1629" t="s">
        <v>111</v>
      </c>
    </row>
    <row r="1630" spans="1:107">
      <c r="A1630">
        <v>2074</v>
      </c>
      <c r="B1630" t="s">
        <v>376</v>
      </c>
      <c r="C1630" t="s">
        <v>4541</v>
      </c>
      <c r="D1630" t="s">
        <v>4542</v>
      </c>
      <c r="E1630" t="s">
        <v>3620</v>
      </c>
      <c r="F1630" t="s">
        <v>1071</v>
      </c>
      <c r="G1630" t="s">
        <v>24</v>
      </c>
      <c r="H1630">
        <v>1.4</v>
      </c>
      <c r="I1630">
        <v>45</v>
      </c>
      <c r="J1630">
        <v>0</v>
      </c>
      <c r="K1630">
        <v>0</v>
      </c>
      <c r="L1630" t="s">
        <v>117</v>
      </c>
      <c r="M1630" t="s">
        <v>138</v>
      </c>
      <c r="N1630">
        <v>0</v>
      </c>
      <c r="O1630">
        <v>0</v>
      </c>
      <c r="P1630" t="s">
        <v>111</v>
      </c>
      <c r="Q1630">
        <v>4.25</v>
      </c>
      <c r="R1630">
        <v>0</v>
      </c>
      <c r="S1630">
        <v>0</v>
      </c>
      <c r="T1630">
        <v>5</v>
      </c>
      <c r="U1630" s="1" t="s">
        <v>2124</v>
      </c>
      <c r="V1630">
        <v>0</v>
      </c>
      <c r="W1630">
        <v>0</v>
      </c>
      <c r="X1630">
        <v>0</v>
      </c>
      <c r="Y1630">
        <v>25</v>
      </c>
      <c r="Z1630" t="s">
        <v>111</v>
      </c>
      <c r="AA1630">
        <v>0</v>
      </c>
      <c r="AB1630" t="s">
        <v>111</v>
      </c>
      <c r="AC1630">
        <v>0</v>
      </c>
      <c r="AD1630" t="s">
        <v>111</v>
      </c>
      <c r="AE1630">
        <v>0</v>
      </c>
      <c r="AF1630">
        <v>0</v>
      </c>
      <c r="AG1630" t="s">
        <v>111</v>
      </c>
      <c r="AH1630" t="s">
        <v>111</v>
      </c>
      <c r="AI1630" t="s">
        <v>111</v>
      </c>
      <c r="AJ1630" t="s">
        <v>111</v>
      </c>
      <c r="AK1630" t="s">
        <v>111</v>
      </c>
      <c r="AL1630" t="s">
        <v>111</v>
      </c>
      <c r="AM1630">
        <v>0</v>
      </c>
      <c r="AN1630">
        <v>0</v>
      </c>
      <c r="AO1630">
        <v>0</v>
      </c>
      <c r="AP1630" t="s">
        <v>111</v>
      </c>
      <c r="AQ1630" t="s">
        <v>111</v>
      </c>
      <c r="AR1630" t="s">
        <v>111</v>
      </c>
      <c r="AS1630" t="s">
        <v>111</v>
      </c>
      <c r="AT1630" t="s">
        <v>111</v>
      </c>
      <c r="AU1630" t="s">
        <v>111</v>
      </c>
      <c r="AV1630" t="s">
        <v>111</v>
      </c>
      <c r="AW1630" t="s">
        <v>111</v>
      </c>
      <c r="AX1630" t="s">
        <v>111</v>
      </c>
      <c r="AY1630" t="s">
        <v>111</v>
      </c>
      <c r="AZ1630" t="s">
        <v>111</v>
      </c>
      <c r="BA1630" t="s">
        <v>111</v>
      </c>
      <c r="BB1630" t="s">
        <v>111</v>
      </c>
      <c r="BC1630" t="s">
        <v>111</v>
      </c>
      <c r="BD1630" t="s">
        <v>111</v>
      </c>
      <c r="BE1630" t="s">
        <v>111</v>
      </c>
      <c r="BF1630" t="s">
        <v>111</v>
      </c>
      <c r="BG1630" t="s">
        <v>111</v>
      </c>
      <c r="BH1630" t="s">
        <v>111</v>
      </c>
      <c r="BI1630" t="s">
        <v>111</v>
      </c>
      <c r="BJ1630" t="s">
        <v>111</v>
      </c>
      <c r="BK1630" t="s">
        <v>111</v>
      </c>
      <c r="BL1630" t="s">
        <v>111</v>
      </c>
      <c r="BM1630" t="s">
        <v>111</v>
      </c>
      <c r="BN1630" t="s">
        <v>111</v>
      </c>
      <c r="BO1630" t="s">
        <v>111</v>
      </c>
      <c r="BP1630" t="s">
        <v>111</v>
      </c>
      <c r="BQ1630" t="s">
        <v>111</v>
      </c>
      <c r="BR1630" t="s">
        <v>111</v>
      </c>
      <c r="BS1630" t="s">
        <v>111</v>
      </c>
      <c r="BT1630" t="s">
        <v>111</v>
      </c>
      <c r="BU1630" t="s">
        <v>111</v>
      </c>
      <c r="BV1630" t="s">
        <v>111</v>
      </c>
      <c r="BW1630" t="s">
        <v>111</v>
      </c>
      <c r="BX1630" t="s">
        <v>111</v>
      </c>
      <c r="BY1630" t="s">
        <v>111</v>
      </c>
      <c r="BZ1630" t="s">
        <v>111</v>
      </c>
      <c r="CA1630" t="s">
        <v>111</v>
      </c>
      <c r="CB1630" t="s">
        <v>111</v>
      </c>
      <c r="CC1630" t="s">
        <v>111</v>
      </c>
      <c r="CD1630" t="s">
        <v>111</v>
      </c>
      <c r="CE1630" t="s">
        <v>111</v>
      </c>
      <c r="CF1630" t="s">
        <v>111</v>
      </c>
      <c r="CG1630" t="s">
        <v>111</v>
      </c>
      <c r="CH1630" t="s">
        <v>111</v>
      </c>
      <c r="CI1630" t="s">
        <v>111</v>
      </c>
      <c r="CJ1630" t="s">
        <v>111</v>
      </c>
      <c r="CK1630" t="s">
        <v>111</v>
      </c>
      <c r="CL1630" t="s">
        <v>111</v>
      </c>
      <c r="CM1630" t="s">
        <v>135</v>
      </c>
      <c r="CN1630" t="s">
        <v>113</v>
      </c>
      <c r="CO1630" t="s">
        <v>111</v>
      </c>
      <c r="CP1630" t="e">
        <f>-MUESTRA</f>
        <v>#NAME?</v>
      </c>
      <c r="CQ1630">
        <v>0</v>
      </c>
      <c r="CR1630">
        <v>3000</v>
      </c>
      <c r="CS1630">
        <v>100</v>
      </c>
      <c r="CT1630" t="e">
        <f>- DESTINO ALMACEN (MANUALIDAD)</f>
        <v>#NAME?</v>
      </c>
      <c r="CU1630">
        <v>0</v>
      </c>
      <c r="CV1630" t="s">
        <v>111</v>
      </c>
      <c r="CX1630" t="s">
        <v>111</v>
      </c>
      <c r="CY1630">
        <v>0</v>
      </c>
      <c r="CZ1630" t="s">
        <v>111</v>
      </c>
      <c r="DA1630" t="s">
        <v>111</v>
      </c>
      <c r="DB1630" t="e">
        <f>- EXTERNO</f>
        <v>#NAME?</v>
      </c>
      <c r="DC1630" t="s">
        <v>4543</v>
      </c>
    </row>
    <row r="1631" spans="1:107">
      <c r="A1631">
        <v>2071</v>
      </c>
      <c r="B1631" t="s">
        <v>376</v>
      </c>
      <c r="C1631" t="s">
        <v>421</v>
      </c>
      <c r="D1631" t="s">
        <v>4544</v>
      </c>
      <c r="E1631" t="s">
        <v>4545</v>
      </c>
      <c r="F1631" t="s">
        <v>1071</v>
      </c>
      <c r="G1631" t="s">
        <v>24</v>
      </c>
      <c r="H1631">
        <v>1.4</v>
      </c>
      <c r="I1631">
        <v>50</v>
      </c>
      <c r="J1631">
        <v>0</v>
      </c>
      <c r="K1631">
        <v>0</v>
      </c>
      <c r="L1631" t="s">
        <v>111</v>
      </c>
      <c r="M1631" t="s">
        <v>111</v>
      </c>
      <c r="N1631">
        <v>0</v>
      </c>
      <c r="O1631">
        <v>0</v>
      </c>
      <c r="P1631" t="s">
        <v>111</v>
      </c>
      <c r="Q1631">
        <v>24.1</v>
      </c>
      <c r="R1631">
        <v>0</v>
      </c>
      <c r="S1631">
        <v>0</v>
      </c>
      <c r="T1631">
        <v>5</v>
      </c>
      <c r="U1631" t="e">
        <f>- DESTINO SELLADO</f>
        <v>#NAME?</v>
      </c>
      <c r="V1631">
        <v>0</v>
      </c>
      <c r="W1631">
        <v>0</v>
      </c>
      <c r="X1631">
        <v>0</v>
      </c>
      <c r="Y1631">
        <v>25</v>
      </c>
      <c r="Z1631" t="s">
        <v>111</v>
      </c>
      <c r="AA1631">
        <v>0</v>
      </c>
      <c r="AB1631" t="s">
        <v>111</v>
      </c>
      <c r="AC1631">
        <v>0</v>
      </c>
      <c r="AD1631" t="s">
        <v>111</v>
      </c>
      <c r="AE1631">
        <v>0</v>
      </c>
      <c r="AF1631">
        <v>0</v>
      </c>
      <c r="AG1631" t="s">
        <v>111</v>
      </c>
      <c r="AH1631" t="s">
        <v>111</v>
      </c>
      <c r="AI1631" t="s">
        <v>111</v>
      </c>
      <c r="AJ1631" t="s">
        <v>111</v>
      </c>
      <c r="AK1631" t="s">
        <v>111</v>
      </c>
      <c r="AL1631" t="s">
        <v>111</v>
      </c>
      <c r="AM1631">
        <v>0</v>
      </c>
      <c r="AN1631">
        <v>0</v>
      </c>
      <c r="AO1631">
        <v>0</v>
      </c>
      <c r="AP1631" t="s">
        <v>111</v>
      </c>
      <c r="AQ1631" t="s">
        <v>111</v>
      </c>
      <c r="AR1631" t="s">
        <v>111</v>
      </c>
      <c r="AS1631" t="s">
        <v>111</v>
      </c>
      <c r="AT1631" t="s">
        <v>111</v>
      </c>
      <c r="AU1631" t="s">
        <v>111</v>
      </c>
      <c r="AV1631" t="s">
        <v>111</v>
      </c>
      <c r="AW1631" t="s">
        <v>111</v>
      </c>
      <c r="AX1631" t="s">
        <v>111</v>
      </c>
      <c r="AY1631" t="s">
        <v>111</v>
      </c>
      <c r="AZ1631" t="s">
        <v>111</v>
      </c>
      <c r="BA1631" t="s">
        <v>111</v>
      </c>
      <c r="BB1631" t="s">
        <v>111</v>
      </c>
      <c r="BC1631" t="s">
        <v>111</v>
      </c>
      <c r="BD1631" t="s">
        <v>111</v>
      </c>
      <c r="BE1631" t="s">
        <v>111</v>
      </c>
      <c r="BF1631" t="s">
        <v>111</v>
      </c>
      <c r="BG1631" t="s">
        <v>111</v>
      </c>
      <c r="BH1631" t="s">
        <v>111</v>
      </c>
      <c r="BI1631" t="s">
        <v>111</v>
      </c>
      <c r="BJ1631" t="s">
        <v>111</v>
      </c>
      <c r="BK1631" t="s">
        <v>111</v>
      </c>
      <c r="BL1631" t="s">
        <v>111</v>
      </c>
      <c r="BM1631" t="s">
        <v>111</v>
      </c>
      <c r="BN1631" t="s">
        <v>111</v>
      </c>
      <c r="BO1631" t="s">
        <v>111</v>
      </c>
      <c r="BP1631" t="s">
        <v>111</v>
      </c>
      <c r="BQ1631" t="s">
        <v>111</v>
      </c>
      <c r="BR1631" t="s">
        <v>111</v>
      </c>
      <c r="BS1631" t="s">
        <v>111</v>
      </c>
      <c r="BT1631" t="s">
        <v>111</v>
      </c>
      <c r="BU1631" t="s">
        <v>111</v>
      </c>
      <c r="BV1631" t="s">
        <v>111</v>
      </c>
      <c r="BW1631" t="s">
        <v>111</v>
      </c>
      <c r="BX1631" t="s">
        <v>111</v>
      </c>
      <c r="BY1631" t="s">
        <v>111</v>
      </c>
      <c r="BZ1631" t="s">
        <v>111</v>
      </c>
      <c r="CA1631" t="s">
        <v>111</v>
      </c>
      <c r="CB1631" t="s">
        <v>111</v>
      </c>
      <c r="CC1631" t="s">
        <v>111</v>
      </c>
      <c r="CD1631" t="s">
        <v>111</v>
      </c>
      <c r="CE1631" t="s">
        <v>111</v>
      </c>
      <c r="CF1631" t="s">
        <v>111</v>
      </c>
      <c r="CG1631" t="s">
        <v>111</v>
      </c>
      <c r="CH1631" t="s">
        <v>111</v>
      </c>
      <c r="CI1631" t="s">
        <v>111</v>
      </c>
      <c r="CJ1631" t="s">
        <v>111</v>
      </c>
      <c r="CK1631" t="s">
        <v>111</v>
      </c>
      <c r="CL1631" t="s">
        <v>111</v>
      </c>
      <c r="CM1631" t="s">
        <v>438</v>
      </c>
      <c r="CN1631" t="s">
        <v>113</v>
      </c>
      <c r="CO1631" t="s">
        <v>111</v>
      </c>
      <c r="CP1631" t="s">
        <v>111</v>
      </c>
      <c r="CQ1631">
        <v>0</v>
      </c>
      <c r="CR1631">
        <v>10000</v>
      </c>
      <c r="CS1631">
        <v>200</v>
      </c>
      <c r="CT1631" t="e">
        <f>- DESTINO ALMACEN</f>
        <v>#NAME?</v>
      </c>
      <c r="CU1631">
        <v>0</v>
      </c>
      <c r="CV1631" t="s">
        <v>111</v>
      </c>
      <c r="CX1631" t="s">
        <v>111</v>
      </c>
      <c r="CY1631">
        <v>0</v>
      </c>
      <c r="CZ1631" t="s">
        <v>111</v>
      </c>
      <c r="DA1631" t="s">
        <v>111</v>
      </c>
      <c r="DB1631" t="s">
        <v>111</v>
      </c>
      <c r="DC1631" t="s">
        <v>111</v>
      </c>
    </row>
    <row r="1632" spans="1:107">
      <c r="A1632">
        <v>2070</v>
      </c>
      <c r="B1632" t="s">
        <v>376</v>
      </c>
      <c r="C1632" t="s">
        <v>421</v>
      </c>
      <c r="D1632" t="s">
        <v>4546</v>
      </c>
      <c r="E1632" t="s">
        <v>4547</v>
      </c>
      <c r="F1632" t="s">
        <v>1071</v>
      </c>
      <c r="G1632" t="s">
        <v>24</v>
      </c>
      <c r="H1632">
        <v>1.4</v>
      </c>
      <c r="I1632">
        <v>50</v>
      </c>
      <c r="J1632">
        <v>0</v>
      </c>
      <c r="K1632">
        <v>0</v>
      </c>
      <c r="L1632" t="s">
        <v>112</v>
      </c>
      <c r="M1632" t="s">
        <v>111</v>
      </c>
      <c r="N1632">
        <v>0</v>
      </c>
      <c r="O1632">
        <v>0</v>
      </c>
      <c r="P1632" t="s">
        <v>111</v>
      </c>
      <c r="Q1632">
        <v>26.6</v>
      </c>
      <c r="R1632">
        <v>0</v>
      </c>
      <c r="S1632">
        <v>0</v>
      </c>
      <c r="T1632">
        <v>5</v>
      </c>
      <c r="U1632" t="e">
        <f>- DESTINO  SELLADO</f>
        <v>#NAME?</v>
      </c>
      <c r="V1632">
        <v>0</v>
      </c>
      <c r="W1632">
        <v>0</v>
      </c>
      <c r="X1632">
        <v>0</v>
      </c>
      <c r="Y1632">
        <v>25</v>
      </c>
      <c r="Z1632" t="s">
        <v>111</v>
      </c>
      <c r="AA1632">
        <v>0</v>
      </c>
      <c r="AB1632" t="s">
        <v>111</v>
      </c>
      <c r="AC1632">
        <v>0</v>
      </c>
      <c r="AD1632" t="s">
        <v>111</v>
      </c>
      <c r="AE1632">
        <v>0</v>
      </c>
      <c r="AF1632">
        <v>0</v>
      </c>
      <c r="AG1632" t="s">
        <v>111</v>
      </c>
      <c r="AH1632" t="s">
        <v>111</v>
      </c>
      <c r="AI1632" t="s">
        <v>111</v>
      </c>
      <c r="AJ1632" t="s">
        <v>111</v>
      </c>
      <c r="AK1632" t="s">
        <v>111</v>
      </c>
      <c r="AL1632" t="s">
        <v>111</v>
      </c>
      <c r="AM1632">
        <v>0</v>
      </c>
      <c r="AN1632">
        <v>0</v>
      </c>
      <c r="AO1632">
        <v>0</v>
      </c>
      <c r="AP1632" t="s">
        <v>111</v>
      </c>
      <c r="AQ1632" t="s">
        <v>111</v>
      </c>
      <c r="AR1632" t="s">
        <v>111</v>
      </c>
      <c r="AS1632" t="s">
        <v>111</v>
      </c>
      <c r="AT1632" t="s">
        <v>111</v>
      </c>
      <c r="AU1632" t="s">
        <v>111</v>
      </c>
      <c r="AV1632" t="s">
        <v>111</v>
      </c>
      <c r="AW1632" t="s">
        <v>111</v>
      </c>
      <c r="AX1632" t="s">
        <v>111</v>
      </c>
      <c r="AY1632" t="s">
        <v>111</v>
      </c>
      <c r="AZ1632" t="s">
        <v>111</v>
      </c>
      <c r="BA1632" t="s">
        <v>111</v>
      </c>
      <c r="BB1632" t="s">
        <v>111</v>
      </c>
      <c r="BC1632" t="s">
        <v>111</v>
      </c>
      <c r="BD1632" t="s">
        <v>111</v>
      </c>
      <c r="BE1632" t="s">
        <v>111</v>
      </c>
      <c r="BF1632" t="s">
        <v>111</v>
      </c>
      <c r="BG1632" t="s">
        <v>111</v>
      </c>
      <c r="BH1632" t="s">
        <v>111</v>
      </c>
      <c r="BI1632" t="s">
        <v>111</v>
      </c>
      <c r="BJ1632" t="s">
        <v>111</v>
      </c>
      <c r="BK1632" t="s">
        <v>111</v>
      </c>
      <c r="BL1632" t="s">
        <v>111</v>
      </c>
      <c r="BM1632" t="s">
        <v>111</v>
      </c>
      <c r="BN1632" t="s">
        <v>111</v>
      </c>
      <c r="BO1632" t="s">
        <v>111</v>
      </c>
      <c r="BP1632" t="s">
        <v>111</v>
      </c>
      <c r="BQ1632" t="s">
        <v>111</v>
      </c>
      <c r="BR1632" t="s">
        <v>111</v>
      </c>
      <c r="BS1632" t="s">
        <v>111</v>
      </c>
      <c r="BT1632" t="s">
        <v>111</v>
      </c>
      <c r="BU1632" t="s">
        <v>111</v>
      </c>
      <c r="BV1632" t="s">
        <v>111</v>
      </c>
      <c r="BW1632" t="s">
        <v>111</v>
      </c>
      <c r="BX1632" t="s">
        <v>111</v>
      </c>
      <c r="BY1632" t="s">
        <v>111</v>
      </c>
      <c r="BZ1632" t="s">
        <v>111</v>
      </c>
      <c r="CA1632" t="s">
        <v>111</v>
      </c>
      <c r="CB1632" t="s">
        <v>111</v>
      </c>
      <c r="CC1632" t="s">
        <v>111</v>
      </c>
      <c r="CD1632" t="s">
        <v>111</v>
      </c>
      <c r="CE1632" t="s">
        <v>111</v>
      </c>
      <c r="CF1632" t="s">
        <v>111</v>
      </c>
      <c r="CG1632" t="s">
        <v>111</v>
      </c>
      <c r="CH1632" t="s">
        <v>111</v>
      </c>
      <c r="CI1632" t="s">
        <v>111</v>
      </c>
      <c r="CJ1632" t="s">
        <v>111</v>
      </c>
      <c r="CK1632" t="s">
        <v>111</v>
      </c>
      <c r="CL1632" t="s">
        <v>111</v>
      </c>
      <c r="CM1632" t="s">
        <v>438</v>
      </c>
      <c r="CN1632" t="s">
        <v>113</v>
      </c>
      <c r="CO1632" t="s">
        <v>111</v>
      </c>
      <c r="CP1632" t="s">
        <v>111</v>
      </c>
      <c r="CQ1632">
        <v>0</v>
      </c>
      <c r="CR1632">
        <v>10000</v>
      </c>
      <c r="CS1632">
        <v>200</v>
      </c>
      <c r="CT1632" t="e">
        <f>-  DESTINO ALMACEN</f>
        <v>#NAME?</v>
      </c>
      <c r="CU1632">
        <v>0</v>
      </c>
      <c r="CV1632" t="s">
        <v>111</v>
      </c>
      <c r="CX1632" t="s">
        <v>111</v>
      </c>
      <c r="CY1632">
        <v>0</v>
      </c>
      <c r="CZ1632" t="s">
        <v>111</v>
      </c>
      <c r="DA1632" t="s">
        <v>111</v>
      </c>
      <c r="DB1632" t="s">
        <v>111</v>
      </c>
      <c r="DC1632" t="s">
        <v>111</v>
      </c>
    </row>
    <row r="1633" spans="1:107">
      <c r="A1633">
        <v>2078</v>
      </c>
      <c r="B1633" t="s">
        <v>376</v>
      </c>
      <c r="C1633" t="s">
        <v>793</v>
      </c>
      <c r="D1633" t="s">
        <v>4548</v>
      </c>
      <c r="E1633" t="s">
        <v>4549</v>
      </c>
      <c r="F1633" t="s">
        <v>110</v>
      </c>
      <c r="G1633" t="s">
        <v>24</v>
      </c>
      <c r="H1633">
        <v>1.75</v>
      </c>
      <c r="I1633">
        <v>50</v>
      </c>
      <c r="J1633">
        <v>0</v>
      </c>
      <c r="K1633">
        <v>0</v>
      </c>
      <c r="L1633" t="s">
        <v>112</v>
      </c>
      <c r="M1633" t="s">
        <v>111</v>
      </c>
      <c r="N1633">
        <v>0</v>
      </c>
      <c r="O1633">
        <v>0</v>
      </c>
      <c r="P1633" t="s">
        <v>111</v>
      </c>
      <c r="Q1633">
        <v>55</v>
      </c>
      <c r="R1633">
        <v>0</v>
      </c>
      <c r="S1633">
        <v>0</v>
      </c>
      <c r="T1633">
        <v>5</v>
      </c>
      <c r="U1633" s="1" t="s">
        <v>4550</v>
      </c>
      <c r="V1633">
        <v>0</v>
      </c>
      <c r="W1633">
        <v>0</v>
      </c>
      <c r="X1633">
        <v>0</v>
      </c>
      <c r="Y1633">
        <v>25</v>
      </c>
      <c r="Z1633" t="s">
        <v>111</v>
      </c>
      <c r="AA1633">
        <v>0</v>
      </c>
      <c r="AB1633" t="s">
        <v>111</v>
      </c>
      <c r="AC1633">
        <v>0</v>
      </c>
      <c r="AD1633" t="s">
        <v>111</v>
      </c>
      <c r="AE1633">
        <v>0</v>
      </c>
      <c r="AF1633">
        <v>0</v>
      </c>
      <c r="AG1633" t="s">
        <v>111</v>
      </c>
      <c r="AH1633" t="s">
        <v>111</v>
      </c>
      <c r="AI1633" t="s">
        <v>111</v>
      </c>
      <c r="AJ1633" t="s">
        <v>111</v>
      </c>
      <c r="AK1633" t="s">
        <v>111</v>
      </c>
      <c r="AL1633" t="s">
        <v>111</v>
      </c>
      <c r="AM1633">
        <v>0</v>
      </c>
      <c r="AN1633">
        <v>0</v>
      </c>
      <c r="AO1633">
        <v>0</v>
      </c>
      <c r="AP1633" t="s">
        <v>111</v>
      </c>
      <c r="AQ1633" t="s">
        <v>111</v>
      </c>
      <c r="AR1633" t="s">
        <v>111</v>
      </c>
      <c r="AS1633" t="s">
        <v>111</v>
      </c>
      <c r="AT1633" t="s">
        <v>111</v>
      </c>
      <c r="AU1633" t="s">
        <v>111</v>
      </c>
      <c r="AV1633" t="s">
        <v>111</v>
      </c>
      <c r="AW1633" t="s">
        <v>111</v>
      </c>
      <c r="AX1633" t="s">
        <v>111</v>
      </c>
      <c r="AY1633" t="s">
        <v>111</v>
      </c>
      <c r="AZ1633" t="s">
        <v>111</v>
      </c>
      <c r="BA1633" t="s">
        <v>111</v>
      </c>
      <c r="BB1633" t="s">
        <v>111</v>
      </c>
      <c r="BC1633" t="s">
        <v>111</v>
      </c>
      <c r="BD1633" t="s">
        <v>111</v>
      </c>
      <c r="BE1633" t="s">
        <v>111</v>
      </c>
      <c r="BF1633" t="s">
        <v>111</v>
      </c>
      <c r="BG1633" t="s">
        <v>111</v>
      </c>
      <c r="BH1633" t="s">
        <v>111</v>
      </c>
      <c r="BI1633" t="s">
        <v>111</v>
      </c>
      <c r="BJ1633" t="s">
        <v>111</v>
      </c>
      <c r="BK1633" t="s">
        <v>111</v>
      </c>
      <c r="BL1633" t="s">
        <v>111</v>
      </c>
      <c r="BM1633" t="s">
        <v>111</v>
      </c>
      <c r="BN1633" t="s">
        <v>111</v>
      </c>
      <c r="BO1633" t="s">
        <v>111</v>
      </c>
      <c r="BP1633" t="s">
        <v>111</v>
      </c>
      <c r="BQ1633" t="s">
        <v>111</v>
      </c>
      <c r="BR1633" t="s">
        <v>111</v>
      </c>
      <c r="BS1633" t="s">
        <v>111</v>
      </c>
      <c r="BT1633" t="s">
        <v>111</v>
      </c>
      <c r="BU1633" t="s">
        <v>111</v>
      </c>
      <c r="BV1633" t="s">
        <v>111</v>
      </c>
      <c r="BW1633" t="s">
        <v>111</v>
      </c>
      <c r="BX1633" t="s">
        <v>111</v>
      </c>
      <c r="BY1633" t="s">
        <v>111</v>
      </c>
      <c r="BZ1633" t="s">
        <v>111</v>
      </c>
      <c r="CA1633" t="s">
        <v>111</v>
      </c>
      <c r="CB1633" t="s">
        <v>111</v>
      </c>
      <c r="CC1633" t="s">
        <v>111</v>
      </c>
      <c r="CD1633" t="s">
        <v>111</v>
      </c>
      <c r="CE1633" t="s">
        <v>111</v>
      </c>
      <c r="CF1633" t="s">
        <v>111</v>
      </c>
      <c r="CG1633" t="s">
        <v>111</v>
      </c>
      <c r="CH1633" t="s">
        <v>111</v>
      </c>
      <c r="CI1633" t="s">
        <v>111</v>
      </c>
      <c r="CJ1633" t="s">
        <v>111</v>
      </c>
      <c r="CK1633" t="s">
        <v>111</v>
      </c>
      <c r="CL1633" t="s">
        <v>111</v>
      </c>
      <c r="CM1633" t="s">
        <v>111</v>
      </c>
      <c r="CN1633" t="s">
        <v>111</v>
      </c>
      <c r="CO1633" t="s">
        <v>111</v>
      </c>
      <c r="CP1633" t="s">
        <v>111</v>
      </c>
      <c r="CQ1633">
        <v>0</v>
      </c>
      <c r="CR1633">
        <v>0</v>
      </c>
      <c r="CS1633">
        <v>0</v>
      </c>
      <c r="CT1633" t="s">
        <v>111</v>
      </c>
      <c r="CU1633">
        <v>0</v>
      </c>
      <c r="CV1633" t="s">
        <v>111</v>
      </c>
      <c r="CX1633" t="s">
        <v>111</v>
      </c>
      <c r="CY1633">
        <v>0</v>
      </c>
      <c r="CZ1633" t="s">
        <v>111</v>
      </c>
      <c r="DA1633" t="s">
        <v>111</v>
      </c>
      <c r="DB1633" t="s">
        <v>111</v>
      </c>
      <c r="DC1633" t="s">
        <v>111</v>
      </c>
    </row>
    <row r="1634" spans="1:107">
      <c r="A1634">
        <v>2062</v>
      </c>
      <c r="B1634" t="s">
        <v>376</v>
      </c>
      <c r="C1634" t="s">
        <v>793</v>
      </c>
      <c r="D1634" t="s">
        <v>4551</v>
      </c>
      <c r="E1634" t="s">
        <v>4552</v>
      </c>
      <c r="F1634" t="s">
        <v>110</v>
      </c>
      <c r="G1634" t="s">
        <v>24</v>
      </c>
      <c r="H1634">
        <v>1.5</v>
      </c>
      <c r="I1634">
        <v>35</v>
      </c>
      <c r="J1634">
        <v>0</v>
      </c>
      <c r="K1634">
        <v>0</v>
      </c>
      <c r="L1634" t="s">
        <v>112</v>
      </c>
      <c r="M1634" t="s">
        <v>118</v>
      </c>
      <c r="N1634">
        <v>39</v>
      </c>
      <c r="O1634">
        <v>2</v>
      </c>
      <c r="P1634" t="s">
        <v>111</v>
      </c>
      <c r="Q1634">
        <v>44</v>
      </c>
      <c r="R1634">
        <v>0</v>
      </c>
      <c r="S1634">
        <v>0</v>
      </c>
      <c r="T1634">
        <v>5</v>
      </c>
      <c r="U1634" s="1" t="s">
        <v>4553</v>
      </c>
      <c r="V1634">
        <v>0</v>
      </c>
      <c r="W1634">
        <v>0</v>
      </c>
      <c r="X1634">
        <v>0</v>
      </c>
      <c r="Y1634">
        <v>25</v>
      </c>
      <c r="Z1634" t="s">
        <v>111</v>
      </c>
      <c r="AA1634">
        <v>0</v>
      </c>
      <c r="AB1634" t="s">
        <v>111</v>
      </c>
      <c r="AC1634">
        <v>0</v>
      </c>
      <c r="AD1634" t="s">
        <v>111</v>
      </c>
      <c r="AE1634">
        <v>0</v>
      </c>
      <c r="AF1634">
        <v>0</v>
      </c>
      <c r="AG1634" t="s">
        <v>111</v>
      </c>
      <c r="AH1634" t="s">
        <v>111</v>
      </c>
      <c r="AI1634" t="s">
        <v>111</v>
      </c>
      <c r="AJ1634" t="s">
        <v>111</v>
      </c>
      <c r="AK1634" t="s">
        <v>111</v>
      </c>
      <c r="AL1634" t="s">
        <v>111</v>
      </c>
      <c r="AM1634">
        <v>0</v>
      </c>
      <c r="AN1634">
        <v>0</v>
      </c>
      <c r="AO1634">
        <v>0</v>
      </c>
      <c r="AP1634" t="s">
        <v>111</v>
      </c>
      <c r="AQ1634" t="s">
        <v>111</v>
      </c>
      <c r="AR1634" t="s">
        <v>111</v>
      </c>
      <c r="AS1634" t="s">
        <v>111</v>
      </c>
      <c r="AT1634" t="s">
        <v>111</v>
      </c>
      <c r="AU1634" t="s">
        <v>111</v>
      </c>
      <c r="AV1634" t="s">
        <v>111</v>
      </c>
      <c r="AW1634" t="s">
        <v>111</v>
      </c>
      <c r="AX1634" t="s">
        <v>111</v>
      </c>
      <c r="AY1634" t="s">
        <v>111</v>
      </c>
      <c r="AZ1634" t="s">
        <v>111</v>
      </c>
      <c r="BA1634" t="s">
        <v>111</v>
      </c>
      <c r="BB1634" t="s">
        <v>111</v>
      </c>
      <c r="BC1634" t="s">
        <v>111</v>
      </c>
      <c r="BD1634" t="s">
        <v>111</v>
      </c>
      <c r="BE1634" t="s">
        <v>111</v>
      </c>
      <c r="BF1634" t="s">
        <v>111</v>
      </c>
      <c r="BG1634" t="s">
        <v>111</v>
      </c>
      <c r="BH1634" t="s">
        <v>111</v>
      </c>
      <c r="BI1634" t="s">
        <v>111</v>
      </c>
      <c r="BJ1634" t="s">
        <v>111</v>
      </c>
      <c r="BK1634" t="s">
        <v>111</v>
      </c>
      <c r="BL1634" t="s">
        <v>111</v>
      </c>
      <c r="BM1634" t="s">
        <v>111</v>
      </c>
      <c r="BN1634" t="s">
        <v>111</v>
      </c>
      <c r="BO1634" t="s">
        <v>111</v>
      </c>
      <c r="BP1634" t="s">
        <v>111</v>
      </c>
      <c r="BQ1634" t="s">
        <v>111</v>
      </c>
      <c r="BR1634" t="s">
        <v>111</v>
      </c>
      <c r="BS1634" t="s">
        <v>111</v>
      </c>
      <c r="BT1634" t="s">
        <v>111</v>
      </c>
      <c r="BU1634" t="s">
        <v>111</v>
      </c>
      <c r="BV1634" t="s">
        <v>111</v>
      </c>
      <c r="BW1634" t="s">
        <v>111</v>
      </c>
      <c r="BX1634" t="s">
        <v>111</v>
      </c>
      <c r="BY1634" t="s">
        <v>111</v>
      </c>
      <c r="BZ1634" t="s">
        <v>111</v>
      </c>
      <c r="CA1634" t="s">
        <v>111</v>
      </c>
      <c r="CB1634" t="s">
        <v>111</v>
      </c>
      <c r="CC1634" t="s">
        <v>111</v>
      </c>
      <c r="CD1634" t="s">
        <v>111</v>
      </c>
      <c r="CE1634" t="s">
        <v>111</v>
      </c>
      <c r="CF1634" t="s">
        <v>111</v>
      </c>
      <c r="CG1634" t="s">
        <v>111</v>
      </c>
      <c r="CH1634" t="s">
        <v>111</v>
      </c>
      <c r="CI1634" t="s">
        <v>111</v>
      </c>
      <c r="CJ1634" t="s">
        <v>111</v>
      </c>
      <c r="CK1634" t="s">
        <v>111</v>
      </c>
      <c r="CL1634" t="s">
        <v>111</v>
      </c>
      <c r="CM1634" t="s">
        <v>111</v>
      </c>
      <c r="CN1634" t="s">
        <v>111</v>
      </c>
      <c r="CO1634" t="s">
        <v>111</v>
      </c>
      <c r="CP1634" t="s">
        <v>111</v>
      </c>
      <c r="CQ1634">
        <v>0</v>
      </c>
      <c r="CR1634">
        <v>0</v>
      </c>
      <c r="CS1634">
        <v>0</v>
      </c>
      <c r="CT1634" t="s">
        <v>111</v>
      </c>
      <c r="CU1634">
        <v>0</v>
      </c>
      <c r="CV1634" t="s">
        <v>111</v>
      </c>
      <c r="CX1634" t="s">
        <v>111</v>
      </c>
      <c r="CY1634">
        <v>0</v>
      </c>
      <c r="CZ1634" t="s">
        <v>111</v>
      </c>
      <c r="DA1634" t="s">
        <v>111</v>
      </c>
      <c r="DB1634" t="s">
        <v>111</v>
      </c>
      <c r="DC1634" t="s">
        <v>111</v>
      </c>
    </row>
    <row r="1635" spans="1:107">
      <c r="A1635">
        <v>2060</v>
      </c>
      <c r="B1635" t="s">
        <v>376</v>
      </c>
      <c r="C1635" t="s">
        <v>793</v>
      </c>
      <c r="D1635" t="s">
        <v>4551</v>
      </c>
      <c r="E1635" t="s">
        <v>4554</v>
      </c>
      <c r="F1635" t="s">
        <v>110</v>
      </c>
      <c r="G1635" t="s">
        <v>24</v>
      </c>
      <c r="H1635">
        <v>1.4</v>
      </c>
      <c r="I1635">
        <v>35</v>
      </c>
      <c r="J1635">
        <v>0</v>
      </c>
      <c r="K1635">
        <v>0</v>
      </c>
      <c r="L1635" t="s">
        <v>112</v>
      </c>
      <c r="M1635" t="s">
        <v>118</v>
      </c>
      <c r="N1635">
        <v>40</v>
      </c>
      <c r="O1635">
        <v>2</v>
      </c>
      <c r="P1635" t="s">
        <v>111</v>
      </c>
      <c r="Q1635">
        <v>40</v>
      </c>
      <c r="R1635">
        <v>0</v>
      </c>
      <c r="S1635">
        <v>0</v>
      </c>
      <c r="T1635">
        <v>5</v>
      </c>
      <c r="U1635" s="1" t="s">
        <v>4553</v>
      </c>
      <c r="V1635">
        <v>0</v>
      </c>
      <c r="W1635">
        <v>0</v>
      </c>
      <c r="X1635">
        <v>0</v>
      </c>
      <c r="Y1635">
        <v>25</v>
      </c>
      <c r="Z1635" t="s">
        <v>111</v>
      </c>
      <c r="AA1635">
        <v>0</v>
      </c>
      <c r="AB1635" t="s">
        <v>111</v>
      </c>
      <c r="AC1635">
        <v>0</v>
      </c>
      <c r="AD1635" t="s">
        <v>111</v>
      </c>
      <c r="AE1635">
        <v>0</v>
      </c>
      <c r="AF1635">
        <v>0</v>
      </c>
      <c r="AG1635" t="s">
        <v>111</v>
      </c>
      <c r="AH1635" t="s">
        <v>111</v>
      </c>
      <c r="AI1635" t="s">
        <v>111</v>
      </c>
      <c r="AJ1635" t="s">
        <v>111</v>
      </c>
      <c r="AK1635" t="s">
        <v>111</v>
      </c>
      <c r="AL1635" t="s">
        <v>111</v>
      </c>
      <c r="AM1635">
        <v>0</v>
      </c>
      <c r="AN1635">
        <v>0</v>
      </c>
      <c r="AO1635">
        <v>0</v>
      </c>
      <c r="AP1635" t="s">
        <v>111</v>
      </c>
      <c r="AQ1635" t="s">
        <v>111</v>
      </c>
      <c r="AR1635" t="s">
        <v>111</v>
      </c>
      <c r="AS1635" t="s">
        <v>111</v>
      </c>
      <c r="AT1635" t="s">
        <v>111</v>
      </c>
      <c r="AU1635" t="s">
        <v>111</v>
      </c>
      <c r="AV1635" t="s">
        <v>111</v>
      </c>
      <c r="AW1635" t="s">
        <v>111</v>
      </c>
      <c r="AX1635" t="s">
        <v>111</v>
      </c>
      <c r="AY1635" t="s">
        <v>111</v>
      </c>
      <c r="AZ1635" t="s">
        <v>111</v>
      </c>
      <c r="BA1635" t="s">
        <v>111</v>
      </c>
      <c r="BB1635" t="s">
        <v>111</v>
      </c>
      <c r="BC1635" t="s">
        <v>111</v>
      </c>
      <c r="BD1635" t="s">
        <v>111</v>
      </c>
      <c r="BE1635" t="s">
        <v>111</v>
      </c>
      <c r="BF1635" t="s">
        <v>111</v>
      </c>
      <c r="BG1635" t="s">
        <v>111</v>
      </c>
      <c r="BH1635" t="s">
        <v>111</v>
      </c>
      <c r="BI1635" t="s">
        <v>111</v>
      </c>
      <c r="BJ1635" t="s">
        <v>111</v>
      </c>
      <c r="BK1635" t="s">
        <v>111</v>
      </c>
      <c r="BL1635" t="s">
        <v>111</v>
      </c>
      <c r="BM1635" t="s">
        <v>111</v>
      </c>
      <c r="BN1635" t="s">
        <v>111</v>
      </c>
      <c r="BO1635" t="s">
        <v>111</v>
      </c>
      <c r="BP1635" t="s">
        <v>111</v>
      </c>
      <c r="BQ1635" t="s">
        <v>111</v>
      </c>
      <c r="BR1635" t="s">
        <v>111</v>
      </c>
      <c r="BS1635" t="s">
        <v>111</v>
      </c>
      <c r="BT1635" t="s">
        <v>111</v>
      </c>
      <c r="BU1635" t="s">
        <v>111</v>
      </c>
      <c r="BV1635" t="s">
        <v>111</v>
      </c>
      <c r="BW1635" t="s">
        <v>111</v>
      </c>
      <c r="BX1635" t="s">
        <v>111</v>
      </c>
      <c r="BY1635" t="s">
        <v>111</v>
      </c>
      <c r="BZ1635" t="s">
        <v>111</v>
      </c>
      <c r="CA1635" t="s">
        <v>111</v>
      </c>
      <c r="CB1635" t="s">
        <v>111</v>
      </c>
      <c r="CC1635" t="s">
        <v>111</v>
      </c>
      <c r="CD1635" t="s">
        <v>111</v>
      </c>
      <c r="CE1635" t="s">
        <v>111</v>
      </c>
      <c r="CF1635" t="s">
        <v>111</v>
      </c>
      <c r="CG1635" t="s">
        <v>111</v>
      </c>
      <c r="CH1635" t="s">
        <v>111</v>
      </c>
      <c r="CI1635" t="s">
        <v>111</v>
      </c>
      <c r="CJ1635" t="s">
        <v>111</v>
      </c>
      <c r="CK1635" t="s">
        <v>111</v>
      </c>
      <c r="CL1635" t="s">
        <v>111</v>
      </c>
      <c r="CM1635" t="s">
        <v>111</v>
      </c>
      <c r="CN1635" t="s">
        <v>111</v>
      </c>
      <c r="CO1635" t="s">
        <v>111</v>
      </c>
      <c r="CP1635" t="s">
        <v>111</v>
      </c>
      <c r="CQ1635">
        <v>0</v>
      </c>
      <c r="CR1635">
        <v>0</v>
      </c>
      <c r="CS1635">
        <v>0</v>
      </c>
      <c r="CT1635" t="s">
        <v>111</v>
      </c>
      <c r="CU1635">
        <v>0</v>
      </c>
      <c r="CV1635" t="s">
        <v>111</v>
      </c>
      <c r="CX1635" t="s">
        <v>111</v>
      </c>
      <c r="CY1635">
        <v>0</v>
      </c>
      <c r="CZ1635" t="s">
        <v>111</v>
      </c>
      <c r="DA1635" t="s">
        <v>111</v>
      </c>
      <c r="DB1635" t="s">
        <v>111</v>
      </c>
      <c r="DC1635" t="s">
        <v>111</v>
      </c>
    </row>
    <row r="1636" spans="1:107">
      <c r="A1636">
        <v>2059</v>
      </c>
      <c r="B1636" t="s">
        <v>376</v>
      </c>
      <c r="C1636" t="s">
        <v>793</v>
      </c>
      <c r="D1636" t="s">
        <v>4555</v>
      </c>
      <c r="E1636" t="s">
        <v>4556</v>
      </c>
      <c r="F1636" t="s">
        <v>110</v>
      </c>
      <c r="G1636" t="s">
        <v>24</v>
      </c>
      <c r="H1636">
        <v>1.2</v>
      </c>
      <c r="I1636">
        <v>55</v>
      </c>
      <c r="J1636">
        <v>0</v>
      </c>
      <c r="K1636">
        <v>0</v>
      </c>
      <c r="L1636" t="s">
        <v>112</v>
      </c>
      <c r="M1636" t="s">
        <v>118</v>
      </c>
      <c r="N1636">
        <v>39</v>
      </c>
      <c r="O1636">
        <v>2</v>
      </c>
      <c r="P1636" t="s">
        <v>111</v>
      </c>
      <c r="Q1636">
        <v>40</v>
      </c>
      <c r="R1636">
        <v>0</v>
      </c>
      <c r="S1636">
        <v>0</v>
      </c>
      <c r="T1636">
        <v>5</v>
      </c>
      <c r="U1636" s="1" t="s">
        <v>4553</v>
      </c>
      <c r="V1636">
        <v>0</v>
      </c>
      <c r="W1636">
        <v>0</v>
      </c>
      <c r="X1636">
        <v>0</v>
      </c>
      <c r="Y1636">
        <v>25</v>
      </c>
      <c r="Z1636" t="s">
        <v>111</v>
      </c>
      <c r="AA1636">
        <v>0</v>
      </c>
      <c r="AB1636" t="s">
        <v>111</v>
      </c>
      <c r="AC1636">
        <v>0</v>
      </c>
      <c r="AD1636" t="s">
        <v>111</v>
      </c>
      <c r="AE1636">
        <v>0</v>
      </c>
      <c r="AF1636">
        <v>0</v>
      </c>
      <c r="AG1636" t="s">
        <v>111</v>
      </c>
      <c r="AH1636" t="s">
        <v>111</v>
      </c>
      <c r="AI1636" t="s">
        <v>111</v>
      </c>
      <c r="AJ1636" t="s">
        <v>111</v>
      </c>
      <c r="AK1636" t="s">
        <v>111</v>
      </c>
      <c r="AL1636" t="s">
        <v>111</v>
      </c>
      <c r="AM1636">
        <v>0</v>
      </c>
      <c r="AN1636">
        <v>0</v>
      </c>
      <c r="AO1636">
        <v>0</v>
      </c>
      <c r="AP1636" t="s">
        <v>111</v>
      </c>
      <c r="AQ1636" t="s">
        <v>111</v>
      </c>
      <c r="AR1636" t="s">
        <v>111</v>
      </c>
      <c r="AS1636" t="s">
        <v>111</v>
      </c>
      <c r="AT1636" t="s">
        <v>111</v>
      </c>
      <c r="AU1636" t="s">
        <v>111</v>
      </c>
      <c r="AV1636" t="s">
        <v>111</v>
      </c>
      <c r="AW1636" t="s">
        <v>111</v>
      </c>
      <c r="AX1636" t="s">
        <v>111</v>
      </c>
      <c r="AY1636" t="s">
        <v>111</v>
      </c>
      <c r="AZ1636" t="s">
        <v>111</v>
      </c>
      <c r="BA1636" t="s">
        <v>111</v>
      </c>
      <c r="BB1636" t="s">
        <v>111</v>
      </c>
      <c r="BC1636" t="s">
        <v>111</v>
      </c>
      <c r="BD1636" t="s">
        <v>111</v>
      </c>
      <c r="BE1636" t="s">
        <v>111</v>
      </c>
      <c r="BF1636" t="s">
        <v>111</v>
      </c>
      <c r="BG1636" t="s">
        <v>111</v>
      </c>
      <c r="BH1636" t="s">
        <v>111</v>
      </c>
      <c r="BI1636" t="s">
        <v>111</v>
      </c>
      <c r="BJ1636" t="s">
        <v>111</v>
      </c>
      <c r="BK1636" t="s">
        <v>111</v>
      </c>
      <c r="BL1636" t="s">
        <v>111</v>
      </c>
      <c r="BM1636" t="s">
        <v>111</v>
      </c>
      <c r="BN1636" t="s">
        <v>111</v>
      </c>
      <c r="BO1636" t="s">
        <v>111</v>
      </c>
      <c r="BP1636" t="s">
        <v>111</v>
      </c>
      <c r="BQ1636" t="s">
        <v>111</v>
      </c>
      <c r="BR1636" t="s">
        <v>111</v>
      </c>
      <c r="BS1636" t="s">
        <v>111</v>
      </c>
      <c r="BT1636" t="s">
        <v>111</v>
      </c>
      <c r="BU1636" t="s">
        <v>111</v>
      </c>
      <c r="BV1636" t="s">
        <v>111</v>
      </c>
      <c r="BW1636" t="s">
        <v>111</v>
      </c>
      <c r="BX1636" t="s">
        <v>111</v>
      </c>
      <c r="BY1636" t="s">
        <v>111</v>
      </c>
      <c r="BZ1636" t="s">
        <v>111</v>
      </c>
      <c r="CA1636" t="s">
        <v>111</v>
      </c>
      <c r="CB1636" t="s">
        <v>111</v>
      </c>
      <c r="CC1636" t="s">
        <v>111</v>
      </c>
      <c r="CD1636" t="s">
        <v>111</v>
      </c>
      <c r="CE1636" t="s">
        <v>111</v>
      </c>
      <c r="CF1636" t="s">
        <v>111</v>
      </c>
      <c r="CG1636" t="s">
        <v>111</v>
      </c>
      <c r="CH1636" t="s">
        <v>111</v>
      </c>
      <c r="CI1636" t="s">
        <v>111</v>
      </c>
      <c r="CJ1636" t="s">
        <v>111</v>
      </c>
      <c r="CK1636" t="s">
        <v>111</v>
      </c>
      <c r="CL1636" t="s">
        <v>111</v>
      </c>
      <c r="CM1636" t="s">
        <v>111</v>
      </c>
      <c r="CN1636" t="s">
        <v>111</v>
      </c>
      <c r="CO1636" t="s">
        <v>111</v>
      </c>
      <c r="CP1636" t="s">
        <v>111</v>
      </c>
      <c r="CQ1636">
        <v>0</v>
      </c>
      <c r="CR1636">
        <v>0</v>
      </c>
      <c r="CS1636">
        <v>0</v>
      </c>
      <c r="CT1636" t="s">
        <v>111</v>
      </c>
      <c r="CU1636">
        <v>0</v>
      </c>
      <c r="CV1636" t="s">
        <v>111</v>
      </c>
      <c r="CX1636" t="s">
        <v>111</v>
      </c>
      <c r="CY1636">
        <v>0</v>
      </c>
      <c r="CZ1636" t="s">
        <v>111</v>
      </c>
      <c r="DA1636" t="s">
        <v>111</v>
      </c>
      <c r="DB1636" t="s">
        <v>111</v>
      </c>
      <c r="DC1636" t="s">
        <v>111</v>
      </c>
    </row>
    <row r="1637" spans="1:107">
      <c r="A1637">
        <v>2058</v>
      </c>
      <c r="B1637" t="s">
        <v>376</v>
      </c>
      <c r="C1637" t="s">
        <v>793</v>
      </c>
      <c r="D1637" t="s">
        <v>4557</v>
      </c>
      <c r="E1637" t="s">
        <v>4558</v>
      </c>
      <c r="F1637" t="s">
        <v>110</v>
      </c>
      <c r="G1637" t="s">
        <v>24</v>
      </c>
      <c r="H1637">
        <v>1.4</v>
      </c>
      <c r="I1637">
        <v>40</v>
      </c>
      <c r="J1637">
        <v>0</v>
      </c>
      <c r="K1637">
        <v>0</v>
      </c>
      <c r="L1637" t="s">
        <v>112</v>
      </c>
      <c r="M1637" t="s">
        <v>118</v>
      </c>
      <c r="N1637">
        <v>40</v>
      </c>
      <c r="O1637">
        <v>2</v>
      </c>
      <c r="P1637" t="s">
        <v>111</v>
      </c>
      <c r="Q1637">
        <v>40</v>
      </c>
      <c r="R1637">
        <v>0</v>
      </c>
      <c r="S1637">
        <v>0</v>
      </c>
      <c r="T1637">
        <v>5</v>
      </c>
      <c r="U1637" s="1" t="s">
        <v>4559</v>
      </c>
      <c r="V1637">
        <v>0</v>
      </c>
      <c r="W1637">
        <v>0</v>
      </c>
      <c r="X1637">
        <v>0</v>
      </c>
      <c r="Y1637">
        <v>25</v>
      </c>
      <c r="Z1637" t="s">
        <v>111</v>
      </c>
      <c r="AA1637">
        <v>0</v>
      </c>
      <c r="AB1637" t="s">
        <v>111</v>
      </c>
      <c r="AC1637">
        <v>0</v>
      </c>
      <c r="AD1637" t="s">
        <v>111</v>
      </c>
      <c r="AE1637">
        <v>0</v>
      </c>
      <c r="AF1637">
        <v>0</v>
      </c>
      <c r="AG1637" t="s">
        <v>111</v>
      </c>
      <c r="AH1637" t="s">
        <v>111</v>
      </c>
      <c r="AI1637" t="s">
        <v>111</v>
      </c>
      <c r="AJ1637" t="s">
        <v>111</v>
      </c>
      <c r="AK1637" t="s">
        <v>111</v>
      </c>
      <c r="AL1637" t="s">
        <v>111</v>
      </c>
      <c r="AM1637">
        <v>0</v>
      </c>
      <c r="AN1637">
        <v>0</v>
      </c>
      <c r="AO1637">
        <v>0</v>
      </c>
      <c r="AP1637" t="s">
        <v>111</v>
      </c>
      <c r="AQ1637" t="s">
        <v>111</v>
      </c>
      <c r="AR1637" t="s">
        <v>111</v>
      </c>
      <c r="AS1637" t="s">
        <v>111</v>
      </c>
      <c r="AT1637" t="s">
        <v>111</v>
      </c>
      <c r="AU1637" t="s">
        <v>111</v>
      </c>
      <c r="AV1637" t="s">
        <v>111</v>
      </c>
      <c r="AW1637" t="s">
        <v>111</v>
      </c>
      <c r="AX1637" t="s">
        <v>111</v>
      </c>
      <c r="AY1637" t="s">
        <v>111</v>
      </c>
      <c r="AZ1637" t="s">
        <v>111</v>
      </c>
      <c r="BA1637" t="s">
        <v>111</v>
      </c>
      <c r="BB1637" t="s">
        <v>111</v>
      </c>
      <c r="BC1637" t="s">
        <v>111</v>
      </c>
      <c r="BD1637" t="s">
        <v>111</v>
      </c>
      <c r="BE1637" t="s">
        <v>111</v>
      </c>
      <c r="BF1637" t="s">
        <v>111</v>
      </c>
      <c r="BG1637" t="s">
        <v>111</v>
      </c>
      <c r="BH1637" t="s">
        <v>111</v>
      </c>
      <c r="BI1637" t="s">
        <v>111</v>
      </c>
      <c r="BJ1637" t="s">
        <v>111</v>
      </c>
      <c r="BK1637" t="s">
        <v>111</v>
      </c>
      <c r="BL1637" t="s">
        <v>111</v>
      </c>
      <c r="BM1637" t="s">
        <v>111</v>
      </c>
      <c r="BN1637" t="s">
        <v>111</v>
      </c>
      <c r="BO1637" t="s">
        <v>111</v>
      </c>
      <c r="BP1637" t="s">
        <v>111</v>
      </c>
      <c r="BQ1637" t="s">
        <v>111</v>
      </c>
      <c r="BR1637" t="s">
        <v>111</v>
      </c>
      <c r="BS1637" t="s">
        <v>111</v>
      </c>
      <c r="BT1637" t="s">
        <v>111</v>
      </c>
      <c r="BU1637" t="s">
        <v>111</v>
      </c>
      <c r="BV1637" t="s">
        <v>111</v>
      </c>
      <c r="BW1637" t="s">
        <v>111</v>
      </c>
      <c r="BX1637" t="s">
        <v>111</v>
      </c>
      <c r="BY1637" t="s">
        <v>111</v>
      </c>
      <c r="BZ1637" t="s">
        <v>111</v>
      </c>
      <c r="CA1637" t="s">
        <v>111</v>
      </c>
      <c r="CB1637" t="s">
        <v>111</v>
      </c>
      <c r="CC1637" t="s">
        <v>111</v>
      </c>
      <c r="CD1637" t="s">
        <v>111</v>
      </c>
      <c r="CE1637" t="s">
        <v>111</v>
      </c>
      <c r="CF1637" t="s">
        <v>111</v>
      </c>
      <c r="CG1637" t="s">
        <v>111</v>
      </c>
      <c r="CH1637" t="s">
        <v>111</v>
      </c>
      <c r="CI1637" t="s">
        <v>111</v>
      </c>
      <c r="CJ1637" t="s">
        <v>111</v>
      </c>
      <c r="CK1637" t="s">
        <v>111</v>
      </c>
      <c r="CL1637" t="s">
        <v>111</v>
      </c>
      <c r="CM1637" t="s">
        <v>111</v>
      </c>
      <c r="CN1637" t="s">
        <v>111</v>
      </c>
      <c r="CO1637" t="s">
        <v>111</v>
      </c>
      <c r="CP1637" t="s">
        <v>111</v>
      </c>
      <c r="CQ1637">
        <v>0</v>
      </c>
      <c r="CR1637">
        <v>0</v>
      </c>
      <c r="CS1637">
        <v>0</v>
      </c>
      <c r="CT1637" t="s">
        <v>111</v>
      </c>
      <c r="CU1637">
        <v>0</v>
      </c>
      <c r="CV1637" t="s">
        <v>111</v>
      </c>
      <c r="CX1637" t="s">
        <v>111</v>
      </c>
      <c r="CY1637">
        <v>0</v>
      </c>
      <c r="CZ1637" t="s">
        <v>111</v>
      </c>
      <c r="DA1637" t="s">
        <v>111</v>
      </c>
      <c r="DB1637" t="s">
        <v>111</v>
      </c>
      <c r="DC1637" t="s">
        <v>111</v>
      </c>
    </row>
    <row r="1638" spans="1:107">
      <c r="A1638">
        <v>2056</v>
      </c>
      <c r="B1638" t="s">
        <v>376</v>
      </c>
      <c r="C1638" t="s">
        <v>119</v>
      </c>
      <c r="D1638" t="s">
        <v>4560</v>
      </c>
      <c r="E1638" t="s">
        <v>4561</v>
      </c>
      <c r="F1638" t="s">
        <v>110</v>
      </c>
      <c r="G1638" t="s">
        <v>24</v>
      </c>
      <c r="H1638">
        <v>2</v>
      </c>
      <c r="I1638">
        <v>30</v>
      </c>
      <c r="J1638">
        <v>0</v>
      </c>
      <c r="K1638">
        <v>0</v>
      </c>
      <c r="L1638" t="s">
        <v>112</v>
      </c>
      <c r="M1638" t="s">
        <v>111</v>
      </c>
      <c r="N1638">
        <v>0</v>
      </c>
      <c r="O1638">
        <v>0</v>
      </c>
      <c r="P1638" t="s">
        <v>111</v>
      </c>
      <c r="Q1638">
        <v>50</v>
      </c>
      <c r="R1638">
        <v>0</v>
      </c>
      <c r="S1638">
        <v>0</v>
      </c>
      <c r="T1638">
        <v>5</v>
      </c>
      <c r="U1638" t="e">
        <f>- DESTINO ALMACEN</f>
        <v>#NAME?</v>
      </c>
      <c r="V1638">
        <v>0</v>
      </c>
      <c r="W1638">
        <v>0</v>
      </c>
      <c r="X1638">
        <v>0</v>
      </c>
      <c r="Y1638">
        <v>25</v>
      </c>
      <c r="Z1638" t="s">
        <v>111</v>
      </c>
      <c r="AA1638">
        <v>0</v>
      </c>
      <c r="AB1638" t="s">
        <v>111</v>
      </c>
      <c r="AC1638">
        <v>0</v>
      </c>
      <c r="AD1638" t="s">
        <v>111</v>
      </c>
      <c r="AE1638">
        <v>0</v>
      </c>
      <c r="AF1638">
        <v>0</v>
      </c>
      <c r="AG1638" t="s">
        <v>111</v>
      </c>
      <c r="AH1638" t="s">
        <v>111</v>
      </c>
      <c r="AI1638" t="s">
        <v>111</v>
      </c>
      <c r="AJ1638" t="s">
        <v>111</v>
      </c>
      <c r="AK1638" t="s">
        <v>111</v>
      </c>
      <c r="AL1638" t="s">
        <v>111</v>
      </c>
      <c r="AM1638">
        <v>0</v>
      </c>
      <c r="AN1638">
        <v>0</v>
      </c>
      <c r="AO1638">
        <v>0</v>
      </c>
      <c r="AP1638" t="s">
        <v>111</v>
      </c>
      <c r="AQ1638" t="s">
        <v>111</v>
      </c>
      <c r="AR1638" t="s">
        <v>111</v>
      </c>
      <c r="AS1638" t="s">
        <v>111</v>
      </c>
      <c r="AT1638" t="s">
        <v>111</v>
      </c>
      <c r="AU1638" t="s">
        <v>111</v>
      </c>
      <c r="AV1638" t="s">
        <v>111</v>
      </c>
      <c r="AW1638" t="s">
        <v>111</v>
      </c>
      <c r="AX1638" t="s">
        <v>111</v>
      </c>
      <c r="AY1638" t="s">
        <v>111</v>
      </c>
      <c r="AZ1638" t="s">
        <v>111</v>
      </c>
      <c r="BA1638" t="s">
        <v>111</v>
      </c>
      <c r="BB1638" t="s">
        <v>111</v>
      </c>
      <c r="BC1638" t="s">
        <v>111</v>
      </c>
      <c r="BD1638" t="s">
        <v>111</v>
      </c>
      <c r="BE1638" t="s">
        <v>111</v>
      </c>
      <c r="BF1638" t="s">
        <v>111</v>
      </c>
      <c r="BG1638" t="s">
        <v>111</v>
      </c>
      <c r="BH1638" t="s">
        <v>111</v>
      </c>
      <c r="BI1638" t="s">
        <v>111</v>
      </c>
      <c r="BJ1638" t="s">
        <v>111</v>
      </c>
      <c r="BK1638" t="s">
        <v>111</v>
      </c>
      <c r="BL1638" t="s">
        <v>111</v>
      </c>
      <c r="BM1638" t="s">
        <v>111</v>
      </c>
      <c r="BN1638" t="s">
        <v>111</v>
      </c>
      <c r="BO1638" t="s">
        <v>111</v>
      </c>
      <c r="BP1638" t="s">
        <v>111</v>
      </c>
      <c r="BQ1638" t="s">
        <v>111</v>
      </c>
      <c r="BR1638" t="s">
        <v>111</v>
      </c>
      <c r="BS1638" t="s">
        <v>111</v>
      </c>
      <c r="BT1638" t="s">
        <v>111</v>
      </c>
      <c r="BU1638" t="s">
        <v>111</v>
      </c>
      <c r="BV1638" t="s">
        <v>111</v>
      </c>
      <c r="BW1638" t="s">
        <v>111</v>
      </c>
      <c r="BX1638" t="s">
        <v>111</v>
      </c>
      <c r="BY1638" t="s">
        <v>111</v>
      </c>
      <c r="BZ1638" t="s">
        <v>111</v>
      </c>
      <c r="CA1638" t="s">
        <v>111</v>
      </c>
      <c r="CB1638" t="s">
        <v>111</v>
      </c>
      <c r="CC1638" t="s">
        <v>111</v>
      </c>
      <c r="CD1638" t="s">
        <v>111</v>
      </c>
      <c r="CE1638" t="s">
        <v>111</v>
      </c>
      <c r="CF1638" t="s">
        <v>111</v>
      </c>
      <c r="CG1638" t="s">
        <v>111</v>
      </c>
      <c r="CH1638" t="s">
        <v>111</v>
      </c>
      <c r="CI1638" t="s">
        <v>111</v>
      </c>
      <c r="CJ1638" t="s">
        <v>111</v>
      </c>
      <c r="CK1638" t="s">
        <v>111</v>
      </c>
      <c r="CL1638" t="s">
        <v>111</v>
      </c>
      <c r="CM1638" t="s">
        <v>111</v>
      </c>
      <c r="CN1638" t="s">
        <v>111</v>
      </c>
      <c r="CO1638" t="s">
        <v>111</v>
      </c>
      <c r="CP1638" t="s">
        <v>111</v>
      </c>
      <c r="CQ1638">
        <v>0</v>
      </c>
      <c r="CR1638">
        <v>0</v>
      </c>
      <c r="CS1638">
        <v>0</v>
      </c>
      <c r="CT1638" t="s">
        <v>111</v>
      </c>
      <c r="CU1638">
        <v>0</v>
      </c>
      <c r="CV1638" t="s">
        <v>111</v>
      </c>
      <c r="CX1638" t="s">
        <v>111</v>
      </c>
      <c r="CY1638">
        <v>0</v>
      </c>
      <c r="CZ1638" t="s">
        <v>111</v>
      </c>
      <c r="DA1638" t="s">
        <v>111</v>
      </c>
      <c r="DB1638" t="s">
        <v>111</v>
      </c>
      <c r="DC1638" t="s">
        <v>111</v>
      </c>
    </row>
    <row r="1639" spans="1:107">
      <c r="A1639">
        <v>2050</v>
      </c>
      <c r="B1639" t="s">
        <v>376</v>
      </c>
      <c r="C1639" t="s">
        <v>119</v>
      </c>
      <c r="D1639" t="s">
        <v>4562</v>
      </c>
      <c r="E1639" t="s">
        <v>4563</v>
      </c>
      <c r="F1639" t="s">
        <v>2211</v>
      </c>
      <c r="G1639" t="s">
        <v>24</v>
      </c>
      <c r="H1639">
        <v>2.7</v>
      </c>
      <c r="I1639">
        <v>45</v>
      </c>
      <c r="J1639">
        <v>0</v>
      </c>
      <c r="K1639">
        <v>0</v>
      </c>
      <c r="L1639" t="s">
        <v>117</v>
      </c>
      <c r="M1639" t="s">
        <v>111</v>
      </c>
      <c r="N1639">
        <v>0</v>
      </c>
      <c r="O1639">
        <v>0</v>
      </c>
      <c r="P1639" t="s">
        <v>111</v>
      </c>
      <c r="Q1639">
        <v>35</v>
      </c>
      <c r="R1639">
        <v>0</v>
      </c>
      <c r="S1639">
        <v>0</v>
      </c>
      <c r="T1639">
        <v>5</v>
      </c>
      <c r="U1639" t="e">
        <f>- DESTINO ALMACEN</f>
        <v>#NAME?</v>
      </c>
      <c r="V1639">
        <v>0</v>
      </c>
      <c r="W1639">
        <v>0</v>
      </c>
      <c r="X1639">
        <v>0</v>
      </c>
      <c r="Y1639">
        <v>25</v>
      </c>
      <c r="Z1639" t="s">
        <v>111</v>
      </c>
      <c r="AA1639">
        <v>0</v>
      </c>
      <c r="AB1639" t="s">
        <v>111</v>
      </c>
      <c r="AC1639">
        <v>0</v>
      </c>
      <c r="AD1639" t="s">
        <v>111</v>
      </c>
      <c r="AE1639">
        <v>0</v>
      </c>
      <c r="AF1639">
        <v>0</v>
      </c>
      <c r="AG1639" t="s">
        <v>111</v>
      </c>
      <c r="AH1639" t="s">
        <v>111</v>
      </c>
      <c r="AI1639" t="s">
        <v>111</v>
      </c>
      <c r="AJ1639" t="s">
        <v>111</v>
      </c>
      <c r="AK1639" t="s">
        <v>111</v>
      </c>
      <c r="AL1639" t="s">
        <v>111</v>
      </c>
      <c r="AM1639">
        <v>0</v>
      </c>
      <c r="AN1639">
        <v>0</v>
      </c>
      <c r="AO1639">
        <v>0</v>
      </c>
      <c r="AP1639" t="s">
        <v>111</v>
      </c>
      <c r="AQ1639" t="s">
        <v>111</v>
      </c>
      <c r="AR1639" t="s">
        <v>111</v>
      </c>
      <c r="AS1639" t="s">
        <v>111</v>
      </c>
      <c r="AT1639" t="s">
        <v>111</v>
      </c>
      <c r="AU1639" t="s">
        <v>111</v>
      </c>
      <c r="AV1639" t="s">
        <v>111</v>
      </c>
      <c r="AW1639" t="s">
        <v>111</v>
      </c>
      <c r="AX1639" t="s">
        <v>111</v>
      </c>
      <c r="AY1639" t="s">
        <v>111</v>
      </c>
      <c r="AZ1639" t="s">
        <v>111</v>
      </c>
      <c r="BA1639" t="s">
        <v>111</v>
      </c>
      <c r="BB1639" t="s">
        <v>111</v>
      </c>
      <c r="BC1639" t="s">
        <v>111</v>
      </c>
      <c r="BD1639" t="s">
        <v>111</v>
      </c>
      <c r="BE1639" t="s">
        <v>111</v>
      </c>
      <c r="BF1639" t="s">
        <v>111</v>
      </c>
      <c r="BG1639" t="s">
        <v>111</v>
      </c>
      <c r="BH1639" t="s">
        <v>111</v>
      </c>
      <c r="BI1639" t="s">
        <v>111</v>
      </c>
      <c r="BJ1639" t="s">
        <v>111</v>
      </c>
      <c r="BK1639" t="s">
        <v>111</v>
      </c>
      <c r="BL1639" t="s">
        <v>111</v>
      </c>
      <c r="BM1639" t="s">
        <v>111</v>
      </c>
      <c r="BN1639" t="s">
        <v>111</v>
      </c>
      <c r="BO1639" t="s">
        <v>111</v>
      </c>
      <c r="BP1639" t="s">
        <v>111</v>
      </c>
      <c r="BQ1639" t="s">
        <v>111</v>
      </c>
      <c r="BR1639" t="s">
        <v>111</v>
      </c>
      <c r="BS1639" t="s">
        <v>111</v>
      </c>
      <c r="BT1639" t="s">
        <v>111</v>
      </c>
      <c r="BU1639" t="s">
        <v>111</v>
      </c>
      <c r="BV1639" t="s">
        <v>111</v>
      </c>
      <c r="BW1639" t="s">
        <v>111</v>
      </c>
      <c r="BX1639" t="s">
        <v>111</v>
      </c>
      <c r="BY1639" t="s">
        <v>111</v>
      </c>
      <c r="BZ1639" t="s">
        <v>111</v>
      </c>
      <c r="CA1639" t="s">
        <v>111</v>
      </c>
      <c r="CB1639" t="s">
        <v>111</v>
      </c>
      <c r="CC1639" t="s">
        <v>111</v>
      </c>
      <c r="CD1639" t="s">
        <v>111</v>
      </c>
      <c r="CE1639" t="s">
        <v>111</v>
      </c>
      <c r="CF1639" t="s">
        <v>111</v>
      </c>
      <c r="CG1639" t="s">
        <v>111</v>
      </c>
      <c r="CH1639" t="s">
        <v>111</v>
      </c>
      <c r="CI1639" t="s">
        <v>111</v>
      </c>
      <c r="CJ1639" t="s">
        <v>111</v>
      </c>
      <c r="CK1639" t="s">
        <v>111</v>
      </c>
      <c r="CL1639" t="s">
        <v>111</v>
      </c>
      <c r="CM1639" t="s">
        <v>111</v>
      </c>
      <c r="CN1639" t="s">
        <v>111</v>
      </c>
      <c r="CO1639" t="s">
        <v>111</v>
      </c>
      <c r="CP1639" t="s">
        <v>111</v>
      </c>
      <c r="CQ1639">
        <v>0</v>
      </c>
      <c r="CR1639">
        <v>0</v>
      </c>
      <c r="CS1639">
        <v>0</v>
      </c>
      <c r="CT1639" t="s">
        <v>111</v>
      </c>
      <c r="CU1639">
        <v>0</v>
      </c>
      <c r="CV1639" t="s">
        <v>111</v>
      </c>
      <c r="CX1639" t="s">
        <v>111</v>
      </c>
      <c r="CY1639">
        <v>0</v>
      </c>
      <c r="CZ1639" t="s">
        <v>111</v>
      </c>
      <c r="DA1639" t="s">
        <v>111</v>
      </c>
      <c r="DB1639" t="s">
        <v>111</v>
      </c>
      <c r="DC1639" t="s">
        <v>111</v>
      </c>
    </row>
    <row r="1640" spans="1:107">
      <c r="A1640">
        <v>2046</v>
      </c>
      <c r="B1640" t="s">
        <v>107</v>
      </c>
      <c r="C1640" t="s">
        <v>4386</v>
      </c>
      <c r="D1640" t="s">
        <v>4052</v>
      </c>
      <c r="E1640" t="s">
        <v>4564</v>
      </c>
      <c r="F1640" t="s">
        <v>2211</v>
      </c>
      <c r="G1640" t="s">
        <v>24</v>
      </c>
      <c r="H1640">
        <v>1</v>
      </c>
      <c r="I1640">
        <v>28</v>
      </c>
      <c r="J1640">
        <v>0</v>
      </c>
      <c r="K1640">
        <v>0</v>
      </c>
      <c r="L1640" t="s">
        <v>4565</v>
      </c>
      <c r="M1640" t="s">
        <v>111</v>
      </c>
      <c r="N1640">
        <v>0</v>
      </c>
      <c r="O1640">
        <v>0</v>
      </c>
      <c r="P1640" t="s">
        <v>111</v>
      </c>
      <c r="Q1640">
        <v>30</v>
      </c>
      <c r="R1640">
        <v>0</v>
      </c>
      <c r="S1640">
        <v>0</v>
      </c>
      <c r="T1640">
        <v>0</v>
      </c>
      <c r="U1640" s="1" t="s">
        <v>4566</v>
      </c>
      <c r="V1640">
        <v>0</v>
      </c>
      <c r="W1640">
        <v>0</v>
      </c>
      <c r="X1640">
        <v>0</v>
      </c>
      <c r="Y1640">
        <v>25</v>
      </c>
      <c r="Z1640" t="s">
        <v>111</v>
      </c>
      <c r="AA1640">
        <v>0</v>
      </c>
      <c r="AB1640" t="s">
        <v>4055</v>
      </c>
      <c r="AC1640">
        <v>0.3</v>
      </c>
      <c r="AD1640" t="s">
        <v>111</v>
      </c>
      <c r="AE1640">
        <v>0</v>
      </c>
      <c r="AF1640">
        <v>0</v>
      </c>
      <c r="AG1640" t="s">
        <v>111</v>
      </c>
      <c r="AH1640" t="s">
        <v>111</v>
      </c>
      <c r="AI1640" t="s">
        <v>111</v>
      </c>
      <c r="AJ1640" t="s">
        <v>111</v>
      </c>
      <c r="AK1640" t="s">
        <v>111</v>
      </c>
      <c r="AL1640" t="s">
        <v>111</v>
      </c>
      <c r="AM1640">
        <v>0</v>
      </c>
      <c r="AN1640">
        <v>0</v>
      </c>
      <c r="AO1640">
        <v>0</v>
      </c>
      <c r="AP1640" t="s">
        <v>111</v>
      </c>
      <c r="AQ1640" t="s">
        <v>111</v>
      </c>
      <c r="AR1640" t="s">
        <v>111</v>
      </c>
      <c r="AS1640" t="s">
        <v>111</v>
      </c>
      <c r="AT1640" t="s">
        <v>111</v>
      </c>
      <c r="AU1640" t="s">
        <v>111</v>
      </c>
      <c r="AV1640" t="s">
        <v>111</v>
      </c>
      <c r="AW1640" t="s">
        <v>111</v>
      </c>
      <c r="AX1640" t="s">
        <v>111</v>
      </c>
      <c r="AY1640" t="s">
        <v>111</v>
      </c>
      <c r="AZ1640" t="s">
        <v>111</v>
      </c>
      <c r="BA1640" t="s">
        <v>111</v>
      </c>
      <c r="BB1640" t="s">
        <v>111</v>
      </c>
      <c r="BC1640" t="s">
        <v>111</v>
      </c>
      <c r="BD1640" t="s">
        <v>111</v>
      </c>
      <c r="BE1640" t="s">
        <v>111</v>
      </c>
      <c r="BF1640" t="s">
        <v>111</v>
      </c>
      <c r="BG1640" t="s">
        <v>111</v>
      </c>
      <c r="BH1640" t="s">
        <v>111</v>
      </c>
      <c r="BI1640" t="s">
        <v>111</v>
      </c>
      <c r="BJ1640" t="s">
        <v>111</v>
      </c>
      <c r="BK1640" t="s">
        <v>111</v>
      </c>
      <c r="BL1640" t="s">
        <v>111</v>
      </c>
      <c r="BM1640" t="s">
        <v>111</v>
      </c>
      <c r="BN1640" t="s">
        <v>111</v>
      </c>
      <c r="BO1640" t="s">
        <v>111</v>
      </c>
      <c r="BP1640" t="s">
        <v>111</v>
      </c>
      <c r="BQ1640" t="s">
        <v>111</v>
      </c>
      <c r="BR1640" t="s">
        <v>111</v>
      </c>
      <c r="BS1640" t="s">
        <v>111</v>
      </c>
      <c r="BT1640" t="s">
        <v>111</v>
      </c>
      <c r="BU1640" t="s">
        <v>111</v>
      </c>
      <c r="BV1640" t="s">
        <v>111</v>
      </c>
      <c r="BW1640" t="s">
        <v>111</v>
      </c>
      <c r="BX1640" t="s">
        <v>111</v>
      </c>
      <c r="BY1640" t="s">
        <v>111</v>
      </c>
      <c r="BZ1640" t="s">
        <v>111</v>
      </c>
      <c r="CA1640" t="s">
        <v>111</v>
      </c>
      <c r="CB1640" t="s">
        <v>111</v>
      </c>
      <c r="CC1640" t="s">
        <v>111</v>
      </c>
      <c r="CD1640" t="s">
        <v>111</v>
      </c>
      <c r="CE1640" t="s">
        <v>111</v>
      </c>
      <c r="CF1640" t="s">
        <v>111</v>
      </c>
      <c r="CG1640" t="s">
        <v>111</v>
      </c>
      <c r="CH1640" t="s">
        <v>111</v>
      </c>
      <c r="CI1640" t="s">
        <v>111</v>
      </c>
      <c r="CJ1640" t="s">
        <v>111</v>
      </c>
      <c r="CK1640" t="s">
        <v>111</v>
      </c>
      <c r="CL1640" t="s">
        <v>111</v>
      </c>
      <c r="CM1640" t="s">
        <v>111</v>
      </c>
      <c r="CN1640" t="s">
        <v>111</v>
      </c>
      <c r="CO1640" t="s">
        <v>111</v>
      </c>
      <c r="CP1640" t="s">
        <v>111</v>
      </c>
      <c r="CQ1640">
        <v>0</v>
      </c>
      <c r="CR1640">
        <v>0</v>
      </c>
      <c r="CS1640">
        <v>0</v>
      </c>
      <c r="CT1640" t="s">
        <v>111</v>
      </c>
      <c r="CU1640">
        <v>0</v>
      </c>
      <c r="CV1640" t="s">
        <v>111</v>
      </c>
      <c r="CX1640" t="s">
        <v>111</v>
      </c>
      <c r="CY1640">
        <v>0</v>
      </c>
      <c r="CZ1640" t="s">
        <v>111</v>
      </c>
      <c r="DA1640" t="s">
        <v>111</v>
      </c>
      <c r="DB1640" t="s">
        <v>111</v>
      </c>
      <c r="DC1640" t="s">
        <v>111</v>
      </c>
    </row>
    <row r="1641" spans="1:107">
      <c r="A1641">
        <v>2043</v>
      </c>
      <c r="B1641" t="s">
        <v>376</v>
      </c>
      <c r="C1641" t="s">
        <v>1068</v>
      </c>
      <c r="D1641" t="s">
        <v>4567</v>
      </c>
      <c r="E1641" t="s">
        <v>4568</v>
      </c>
      <c r="F1641" t="s">
        <v>1071</v>
      </c>
      <c r="G1641" t="s">
        <v>24</v>
      </c>
      <c r="H1641">
        <v>1.5</v>
      </c>
      <c r="I1641">
        <v>40</v>
      </c>
      <c r="J1641">
        <v>0</v>
      </c>
      <c r="K1641">
        <v>0</v>
      </c>
      <c r="L1641" t="s">
        <v>112</v>
      </c>
      <c r="M1641" t="s">
        <v>111</v>
      </c>
      <c r="N1641">
        <v>0</v>
      </c>
      <c r="O1641">
        <v>0</v>
      </c>
      <c r="P1641" t="s">
        <v>111</v>
      </c>
      <c r="Q1641">
        <v>42</v>
      </c>
      <c r="R1641">
        <v>0</v>
      </c>
      <c r="S1641">
        <v>0</v>
      </c>
      <c r="T1641">
        <v>5</v>
      </c>
      <c r="U1641" s="1" t="s">
        <v>4569</v>
      </c>
      <c r="V1641">
        <v>0</v>
      </c>
      <c r="W1641">
        <v>0</v>
      </c>
      <c r="X1641">
        <v>0</v>
      </c>
      <c r="Y1641">
        <v>25</v>
      </c>
      <c r="Z1641" t="s">
        <v>111</v>
      </c>
      <c r="AA1641">
        <v>0</v>
      </c>
      <c r="AB1641" t="s">
        <v>111</v>
      </c>
      <c r="AC1641">
        <v>0</v>
      </c>
      <c r="AD1641" t="s">
        <v>111</v>
      </c>
      <c r="AE1641">
        <v>0</v>
      </c>
      <c r="AF1641">
        <v>0</v>
      </c>
      <c r="AG1641" t="s">
        <v>111</v>
      </c>
      <c r="AH1641" t="s">
        <v>111</v>
      </c>
      <c r="AI1641" t="s">
        <v>111</v>
      </c>
      <c r="AJ1641" t="s">
        <v>111</v>
      </c>
      <c r="AK1641" t="s">
        <v>111</v>
      </c>
      <c r="AL1641" t="s">
        <v>111</v>
      </c>
      <c r="AM1641">
        <v>0</v>
      </c>
      <c r="AN1641">
        <v>0</v>
      </c>
      <c r="AO1641">
        <v>0</v>
      </c>
      <c r="AP1641" t="s">
        <v>111</v>
      </c>
      <c r="AQ1641" t="s">
        <v>111</v>
      </c>
      <c r="AR1641" t="s">
        <v>111</v>
      </c>
      <c r="AS1641" t="s">
        <v>111</v>
      </c>
      <c r="AT1641" t="s">
        <v>111</v>
      </c>
      <c r="AU1641" t="s">
        <v>111</v>
      </c>
      <c r="AV1641" t="s">
        <v>111</v>
      </c>
      <c r="AW1641" t="s">
        <v>111</v>
      </c>
      <c r="AX1641" t="s">
        <v>111</v>
      </c>
      <c r="AY1641" t="s">
        <v>111</v>
      </c>
      <c r="AZ1641" t="s">
        <v>111</v>
      </c>
      <c r="BA1641" t="s">
        <v>111</v>
      </c>
      <c r="BB1641" t="s">
        <v>111</v>
      </c>
      <c r="BC1641" t="s">
        <v>111</v>
      </c>
      <c r="BD1641" t="s">
        <v>111</v>
      </c>
      <c r="BE1641" t="s">
        <v>111</v>
      </c>
      <c r="BF1641" t="s">
        <v>111</v>
      </c>
      <c r="BG1641" t="s">
        <v>111</v>
      </c>
      <c r="BH1641" t="s">
        <v>111</v>
      </c>
      <c r="BI1641" t="s">
        <v>111</v>
      </c>
      <c r="BJ1641" t="s">
        <v>111</v>
      </c>
      <c r="BK1641" t="s">
        <v>111</v>
      </c>
      <c r="BL1641" t="s">
        <v>111</v>
      </c>
      <c r="BM1641" t="s">
        <v>111</v>
      </c>
      <c r="BN1641" t="s">
        <v>111</v>
      </c>
      <c r="BO1641" t="s">
        <v>111</v>
      </c>
      <c r="BP1641" t="s">
        <v>111</v>
      </c>
      <c r="BQ1641" t="s">
        <v>111</v>
      </c>
      <c r="BR1641" t="s">
        <v>111</v>
      </c>
      <c r="BS1641" t="s">
        <v>111</v>
      </c>
      <c r="BT1641" t="s">
        <v>111</v>
      </c>
      <c r="BU1641" t="s">
        <v>111</v>
      </c>
      <c r="BV1641" t="s">
        <v>111</v>
      </c>
      <c r="BW1641" t="s">
        <v>111</v>
      </c>
      <c r="BX1641" t="s">
        <v>111</v>
      </c>
      <c r="BY1641" t="s">
        <v>111</v>
      </c>
      <c r="BZ1641" t="s">
        <v>111</v>
      </c>
      <c r="CA1641" t="s">
        <v>111</v>
      </c>
      <c r="CB1641" t="s">
        <v>111</v>
      </c>
      <c r="CC1641" t="s">
        <v>111</v>
      </c>
      <c r="CD1641" t="s">
        <v>111</v>
      </c>
      <c r="CE1641" t="s">
        <v>111</v>
      </c>
      <c r="CF1641" t="s">
        <v>111</v>
      </c>
      <c r="CG1641" t="s">
        <v>111</v>
      </c>
      <c r="CH1641" t="s">
        <v>111</v>
      </c>
      <c r="CI1641" t="s">
        <v>111</v>
      </c>
      <c r="CJ1641" t="s">
        <v>111</v>
      </c>
      <c r="CK1641" t="s">
        <v>111</v>
      </c>
      <c r="CL1641" t="s">
        <v>111</v>
      </c>
      <c r="CM1641" t="s">
        <v>438</v>
      </c>
      <c r="CN1641" t="s">
        <v>113</v>
      </c>
      <c r="CO1641" t="s">
        <v>111</v>
      </c>
      <c r="CP1641" t="s">
        <v>111</v>
      </c>
      <c r="CQ1641">
        <v>0</v>
      </c>
      <c r="CR1641">
        <v>5000</v>
      </c>
      <c r="CS1641">
        <v>200</v>
      </c>
      <c r="CT1641" t="s">
        <v>1175</v>
      </c>
      <c r="CU1641">
        <v>0</v>
      </c>
      <c r="CV1641" t="s">
        <v>111</v>
      </c>
      <c r="CX1641" t="s">
        <v>111</v>
      </c>
      <c r="CY1641">
        <v>0</v>
      </c>
      <c r="CZ1641" t="s">
        <v>111</v>
      </c>
      <c r="DA1641" t="s">
        <v>111</v>
      </c>
      <c r="DB1641" t="s">
        <v>111</v>
      </c>
      <c r="DC1641" t="s">
        <v>111</v>
      </c>
    </row>
    <row r="1642" spans="1:107">
      <c r="A1642">
        <v>2038</v>
      </c>
      <c r="B1642" t="s">
        <v>376</v>
      </c>
      <c r="C1642" t="s">
        <v>226</v>
      </c>
      <c r="D1642" t="s">
        <v>4570</v>
      </c>
      <c r="E1642" t="s">
        <v>4571</v>
      </c>
      <c r="F1642" t="s">
        <v>1071</v>
      </c>
      <c r="G1642" t="s">
        <v>24</v>
      </c>
      <c r="H1642">
        <v>1.4</v>
      </c>
      <c r="I1642">
        <v>50</v>
      </c>
      <c r="J1642">
        <v>0</v>
      </c>
      <c r="K1642">
        <v>0</v>
      </c>
      <c r="L1642" t="s">
        <v>112</v>
      </c>
      <c r="M1642" t="s">
        <v>118</v>
      </c>
      <c r="N1642">
        <v>0</v>
      </c>
      <c r="O1642">
        <v>0</v>
      </c>
      <c r="P1642" t="s">
        <v>111</v>
      </c>
      <c r="Q1642">
        <v>45.3</v>
      </c>
      <c r="R1642">
        <v>0</v>
      </c>
      <c r="S1642">
        <v>0</v>
      </c>
      <c r="T1642">
        <v>5</v>
      </c>
      <c r="U1642" s="1" t="s">
        <v>2124</v>
      </c>
      <c r="V1642">
        <v>0</v>
      </c>
      <c r="W1642">
        <v>0</v>
      </c>
      <c r="X1642">
        <v>0</v>
      </c>
      <c r="Y1642">
        <v>25</v>
      </c>
      <c r="Z1642" t="s">
        <v>111</v>
      </c>
      <c r="AA1642">
        <v>0</v>
      </c>
      <c r="AB1642" t="s">
        <v>111</v>
      </c>
      <c r="AC1642">
        <v>0</v>
      </c>
      <c r="AD1642" t="s">
        <v>111</v>
      </c>
      <c r="AE1642">
        <v>0</v>
      </c>
      <c r="AF1642">
        <v>0</v>
      </c>
      <c r="AG1642" t="s">
        <v>111</v>
      </c>
      <c r="AH1642" t="s">
        <v>111</v>
      </c>
      <c r="AI1642" t="s">
        <v>111</v>
      </c>
      <c r="AJ1642" t="s">
        <v>111</v>
      </c>
      <c r="AK1642" t="s">
        <v>111</v>
      </c>
      <c r="AL1642" t="s">
        <v>111</v>
      </c>
      <c r="AM1642">
        <v>0</v>
      </c>
      <c r="AN1642">
        <v>0</v>
      </c>
      <c r="AO1642">
        <v>0</v>
      </c>
      <c r="AP1642" t="s">
        <v>111</v>
      </c>
      <c r="AQ1642" t="s">
        <v>111</v>
      </c>
      <c r="AR1642" t="s">
        <v>111</v>
      </c>
      <c r="AS1642" t="s">
        <v>111</v>
      </c>
      <c r="AT1642" t="s">
        <v>111</v>
      </c>
      <c r="AU1642" t="s">
        <v>111</v>
      </c>
      <c r="AV1642" t="s">
        <v>111</v>
      </c>
      <c r="AW1642" t="s">
        <v>111</v>
      </c>
      <c r="AX1642" t="s">
        <v>111</v>
      </c>
      <c r="AY1642" t="s">
        <v>111</v>
      </c>
      <c r="AZ1642" t="s">
        <v>111</v>
      </c>
      <c r="BA1642" t="s">
        <v>111</v>
      </c>
      <c r="BB1642" t="s">
        <v>111</v>
      </c>
      <c r="BC1642" t="s">
        <v>111</v>
      </c>
      <c r="BD1642" t="s">
        <v>111</v>
      </c>
      <c r="BE1642" t="s">
        <v>111</v>
      </c>
      <c r="BF1642" t="s">
        <v>111</v>
      </c>
      <c r="BG1642" t="s">
        <v>111</v>
      </c>
      <c r="BH1642" t="s">
        <v>111</v>
      </c>
      <c r="BI1642" t="s">
        <v>111</v>
      </c>
      <c r="BJ1642" t="s">
        <v>111</v>
      </c>
      <c r="BK1642" t="s">
        <v>111</v>
      </c>
      <c r="BL1642" t="s">
        <v>111</v>
      </c>
      <c r="BM1642" t="s">
        <v>111</v>
      </c>
      <c r="BN1642" t="s">
        <v>111</v>
      </c>
      <c r="BO1642" t="s">
        <v>111</v>
      </c>
      <c r="BP1642" t="s">
        <v>111</v>
      </c>
      <c r="BQ1642" t="s">
        <v>111</v>
      </c>
      <c r="BR1642" t="s">
        <v>111</v>
      </c>
      <c r="BS1642" t="s">
        <v>111</v>
      </c>
      <c r="BT1642" t="s">
        <v>111</v>
      </c>
      <c r="BU1642" t="s">
        <v>111</v>
      </c>
      <c r="BV1642" t="s">
        <v>111</v>
      </c>
      <c r="BW1642" t="s">
        <v>111</v>
      </c>
      <c r="BX1642" t="s">
        <v>111</v>
      </c>
      <c r="BY1642" t="s">
        <v>111</v>
      </c>
      <c r="BZ1642" t="s">
        <v>111</v>
      </c>
      <c r="CA1642" t="s">
        <v>111</v>
      </c>
      <c r="CB1642" t="s">
        <v>111</v>
      </c>
      <c r="CC1642" t="s">
        <v>111</v>
      </c>
      <c r="CD1642" t="s">
        <v>111</v>
      </c>
      <c r="CE1642" t="s">
        <v>111</v>
      </c>
      <c r="CF1642" t="s">
        <v>111</v>
      </c>
      <c r="CG1642" t="s">
        <v>111</v>
      </c>
      <c r="CH1642" t="s">
        <v>111</v>
      </c>
      <c r="CI1642" t="s">
        <v>111</v>
      </c>
      <c r="CJ1642" t="s">
        <v>111</v>
      </c>
      <c r="CK1642" t="s">
        <v>111</v>
      </c>
      <c r="CL1642" t="s">
        <v>111</v>
      </c>
      <c r="CM1642" t="s">
        <v>135</v>
      </c>
      <c r="CN1642" t="s">
        <v>113</v>
      </c>
      <c r="CO1642" t="s">
        <v>111</v>
      </c>
      <c r="CP1642" t="s">
        <v>111</v>
      </c>
      <c r="CQ1642">
        <v>0</v>
      </c>
      <c r="CR1642">
        <v>4000</v>
      </c>
      <c r="CS1642">
        <v>200</v>
      </c>
      <c r="CT1642" s="1" t="s">
        <v>4572</v>
      </c>
      <c r="CU1642">
        <v>0</v>
      </c>
      <c r="CV1642" t="s">
        <v>111</v>
      </c>
      <c r="CX1642" t="s">
        <v>111</v>
      </c>
      <c r="CY1642">
        <v>0</v>
      </c>
      <c r="CZ1642" t="s">
        <v>111</v>
      </c>
      <c r="DA1642" t="s">
        <v>111</v>
      </c>
      <c r="DB1642" t="s">
        <v>111</v>
      </c>
      <c r="DC1642" t="s">
        <v>111</v>
      </c>
    </row>
    <row r="1643" spans="1:107">
      <c r="A1643">
        <v>1980</v>
      </c>
      <c r="B1643" t="s">
        <v>107</v>
      </c>
      <c r="C1643" t="s">
        <v>593</v>
      </c>
      <c r="D1643" t="s">
        <v>4573</v>
      </c>
      <c r="E1643" t="s">
        <v>4574</v>
      </c>
      <c r="F1643" t="s">
        <v>1651</v>
      </c>
      <c r="G1643" t="s">
        <v>24</v>
      </c>
      <c r="H1643">
        <v>1.4</v>
      </c>
      <c r="I1643">
        <v>30</v>
      </c>
      <c r="J1643">
        <v>0</v>
      </c>
      <c r="K1643">
        <v>0</v>
      </c>
      <c r="L1643" t="s">
        <v>112</v>
      </c>
      <c r="M1643" t="s">
        <v>118</v>
      </c>
      <c r="N1643">
        <v>0</v>
      </c>
      <c r="O1643">
        <v>2</v>
      </c>
      <c r="P1643" t="s">
        <v>111</v>
      </c>
      <c r="Q1643">
        <v>40</v>
      </c>
      <c r="R1643">
        <v>0</v>
      </c>
      <c r="S1643">
        <v>0</v>
      </c>
      <c r="T1643">
        <v>5</v>
      </c>
      <c r="U1643" s="1" t="s">
        <v>662</v>
      </c>
      <c r="V1643">
        <v>0</v>
      </c>
      <c r="W1643">
        <v>0</v>
      </c>
      <c r="X1643">
        <v>0</v>
      </c>
      <c r="Y1643">
        <v>25</v>
      </c>
      <c r="Z1643" t="s">
        <v>111</v>
      </c>
      <c r="AA1643">
        <v>0</v>
      </c>
      <c r="AB1643" t="s">
        <v>3954</v>
      </c>
      <c r="AC1643">
        <v>3</v>
      </c>
      <c r="AD1643" t="s">
        <v>416</v>
      </c>
      <c r="AE1643">
        <v>0</v>
      </c>
      <c r="AF1643">
        <v>0</v>
      </c>
      <c r="AG1643" t="s">
        <v>111</v>
      </c>
      <c r="AH1643" t="s">
        <v>111</v>
      </c>
      <c r="AI1643" t="s">
        <v>111</v>
      </c>
      <c r="AJ1643" t="s">
        <v>111</v>
      </c>
      <c r="AK1643" t="s">
        <v>111</v>
      </c>
      <c r="AL1643" t="s">
        <v>111</v>
      </c>
      <c r="AM1643">
        <v>0</v>
      </c>
      <c r="AN1643">
        <v>0</v>
      </c>
      <c r="AO1643">
        <v>0</v>
      </c>
      <c r="AP1643" t="s">
        <v>111</v>
      </c>
      <c r="AQ1643" t="s">
        <v>111</v>
      </c>
      <c r="AR1643" t="s">
        <v>111</v>
      </c>
      <c r="AS1643" t="s">
        <v>111</v>
      </c>
      <c r="AT1643" t="s">
        <v>111</v>
      </c>
      <c r="AU1643" t="s">
        <v>111</v>
      </c>
      <c r="AV1643" t="s">
        <v>111</v>
      </c>
      <c r="AW1643" t="s">
        <v>111</v>
      </c>
      <c r="AX1643" t="s">
        <v>111</v>
      </c>
      <c r="AY1643" t="s">
        <v>111</v>
      </c>
      <c r="AZ1643" t="s">
        <v>111</v>
      </c>
      <c r="BA1643" t="s">
        <v>111</v>
      </c>
      <c r="BB1643" t="s">
        <v>111</v>
      </c>
      <c r="BC1643" t="s">
        <v>111</v>
      </c>
      <c r="BD1643" t="s">
        <v>111</v>
      </c>
      <c r="BE1643" t="s">
        <v>111</v>
      </c>
      <c r="BF1643" t="s">
        <v>111</v>
      </c>
      <c r="BG1643" t="s">
        <v>111</v>
      </c>
      <c r="BH1643" t="s">
        <v>111</v>
      </c>
      <c r="BI1643" t="s">
        <v>111</v>
      </c>
      <c r="BJ1643" t="s">
        <v>111</v>
      </c>
      <c r="BK1643" t="s">
        <v>111</v>
      </c>
      <c r="BL1643" t="s">
        <v>111</v>
      </c>
      <c r="BM1643" t="s">
        <v>111</v>
      </c>
      <c r="BN1643" t="s">
        <v>111</v>
      </c>
      <c r="BO1643" t="s">
        <v>111</v>
      </c>
      <c r="BP1643" t="s">
        <v>111</v>
      </c>
      <c r="BQ1643" t="s">
        <v>111</v>
      </c>
      <c r="BR1643" t="s">
        <v>111</v>
      </c>
      <c r="BS1643" t="s">
        <v>111</v>
      </c>
      <c r="BT1643" t="s">
        <v>111</v>
      </c>
      <c r="BU1643" t="s">
        <v>111</v>
      </c>
      <c r="BV1643" t="s">
        <v>111</v>
      </c>
      <c r="BW1643" t="s">
        <v>111</v>
      </c>
      <c r="BX1643" t="s">
        <v>111</v>
      </c>
      <c r="BY1643" t="s">
        <v>111</v>
      </c>
      <c r="BZ1643" t="s">
        <v>111</v>
      </c>
      <c r="CA1643" t="s">
        <v>111</v>
      </c>
      <c r="CB1643" t="s">
        <v>111</v>
      </c>
      <c r="CC1643" t="s">
        <v>111</v>
      </c>
      <c r="CD1643" t="s">
        <v>111</v>
      </c>
      <c r="CE1643" t="s">
        <v>111</v>
      </c>
      <c r="CF1643" t="s">
        <v>111</v>
      </c>
      <c r="CG1643" t="s">
        <v>111</v>
      </c>
      <c r="CH1643" t="s">
        <v>111</v>
      </c>
      <c r="CI1643" t="s">
        <v>111</v>
      </c>
      <c r="CJ1643" t="s">
        <v>111</v>
      </c>
      <c r="CK1643" t="s">
        <v>111</v>
      </c>
      <c r="CL1643" t="s">
        <v>111</v>
      </c>
      <c r="CM1643">
        <v>450</v>
      </c>
      <c r="CN1643" t="s">
        <v>113</v>
      </c>
      <c r="CO1643" t="s">
        <v>111</v>
      </c>
      <c r="CP1643" t="s">
        <v>111</v>
      </c>
      <c r="CQ1643">
        <v>0</v>
      </c>
      <c r="CR1643">
        <v>6000</v>
      </c>
      <c r="CS1643">
        <v>250</v>
      </c>
      <c r="CT1643" s="1" t="s">
        <v>4512</v>
      </c>
      <c r="CU1643">
        <v>0</v>
      </c>
      <c r="CV1643" t="s">
        <v>111</v>
      </c>
      <c r="CX1643" t="s">
        <v>111</v>
      </c>
      <c r="CY1643">
        <v>0</v>
      </c>
      <c r="CZ1643" t="s">
        <v>111</v>
      </c>
      <c r="DA1643" t="s">
        <v>111</v>
      </c>
      <c r="DB1643" t="s">
        <v>111</v>
      </c>
      <c r="DC1643" t="s">
        <v>111</v>
      </c>
    </row>
    <row r="1644" spans="1:107">
      <c r="A1644">
        <v>2014</v>
      </c>
      <c r="B1644" t="s">
        <v>107</v>
      </c>
      <c r="C1644" s="2">
        <v>91226680</v>
      </c>
      <c r="D1644" t="s">
        <v>4575</v>
      </c>
      <c r="E1644" t="s">
        <v>4576</v>
      </c>
      <c r="F1644" t="s">
        <v>110</v>
      </c>
      <c r="G1644" t="s">
        <v>24</v>
      </c>
      <c r="H1644">
        <v>0.8</v>
      </c>
      <c r="I1644">
        <v>60</v>
      </c>
      <c r="J1644">
        <v>0</v>
      </c>
      <c r="K1644">
        <v>0</v>
      </c>
      <c r="L1644" t="s">
        <v>112</v>
      </c>
      <c r="M1644" t="s">
        <v>111</v>
      </c>
      <c r="N1644">
        <v>0</v>
      </c>
      <c r="O1644">
        <v>0</v>
      </c>
      <c r="P1644" t="s">
        <v>111</v>
      </c>
      <c r="Q1644">
        <v>40</v>
      </c>
      <c r="R1644">
        <v>0</v>
      </c>
      <c r="S1644">
        <v>0</v>
      </c>
      <c r="T1644">
        <v>0</v>
      </c>
      <c r="U1644" s="1" t="s">
        <v>4577</v>
      </c>
      <c r="V1644">
        <v>0</v>
      </c>
      <c r="W1644">
        <v>0</v>
      </c>
      <c r="X1644">
        <v>0</v>
      </c>
      <c r="Y1644">
        <v>25</v>
      </c>
      <c r="Z1644" t="s">
        <v>111</v>
      </c>
      <c r="AA1644">
        <v>0</v>
      </c>
      <c r="AB1644" t="s">
        <v>111</v>
      </c>
      <c r="AC1644">
        <v>0</v>
      </c>
      <c r="AD1644" t="s">
        <v>111</v>
      </c>
      <c r="AE1644">
        <v>0</v>
      </c>
      <c r="AF1644">
        <v>0</v>
      </c>
      <c r="AG1644" t="s">
        <v>111</v>
      </c>
      <c r="AH1644" t="s">
        <v>111</v>
      </c>
      <c r="AI1644" t="s">
        <v>111</v>
      </c>
      <c r="AJ1644" t="s">
        <v>111</v>
      </c>
      <c r="AK1644" t="s">
        <v>111</v>
      </c>
      <c r="AL1644" t="s">
        <v>111</v>
      </c>
      <c r="AM1644">
        <v>0</v>
      </c>
      <c r="AN1644">
        <v>0</v>
      </c>
      <c r="AO1644">
        <v>0</v>
      </c>
      <c r="AP1644" t="s">
        <v>111</v>
      </c>
      <c r="AQ1644" t="s">
        <v>111</v>
      </c>
      <c r="AR1644" t="s">
        <v>111</v>
      </c>
      <c r="AS1644" t="s">
        <v>111</v>
      </c>
      <c r="AT1644" t="s">
        <v>111</v>
      </c>
      <c r="AU1644" t="s">
        <v>111</v>
      </c>
      <c r="AV1644" t="s">
        <v>111</v>
      </c>
      <c r="AW1644" t="s">
        <v>111</v>
      </c>
      <c r="AX1644" t="s">
        <v>111</v>
      </c>
      <c r="AY1644" t="s">
        <v>111</v>
      </c>
      <c r="AZ1644" t="s">
        <v>111</v>
      </c>
      <c r="BA1644" t="s">
        <v>111</v>
      </c>
      <c r="BB1644" t="s">
        <v>111</v>
      </c>
      <c r="BC1644" t="s">
        <v>111</v>
      </c>
      <c r="BD1644" t="s">
        <v>111</v>
      </c>
      <c r="BE1644" t="s">
        <v>111</v>
      </c>
      <c r="BF1644" t="s">
        <v>111</v>
      </c>
      <c r="BG1644" t="s">
        <v>111</v>
      </c>
      <c r="BH1644" t="s">
        <v>111</v>
      </c>
      <c r="BI1644" t="s">
        <v>111</v>
      </c>
      <c r="BJ1644" t="s">
        <v>111</v>
      </c>
      <c r="BK1644" t="s">
        <v>111</v>
      </c>
      <c r="BL1644" t="s">
        <v>111</v>
      </c>
      <c r="BM1644" t="s">
        <v>111</v>
      </c>
      <c r="BN1644" t="s">
        <v>111</v>
      </c>
      <c r="BO1644" t="s">
        <v>111</v>
      </c>
      <c r="BP1644" t="s">
        <v>111</v>
      </c>
      <c r="BQ1644" t="s">
        <v>111</v>
      </c>
      <c r="BR1644" t="s">
        <v>111</v>
      </c>
      <c r="BS1644" t="s">
        <v>111</v>
      </c>
      <c r="BT1644" t="s">
        <v>111</v>
      </c>
      <c r="BU1644" t="s">
        <v>111</v>
      </c>
      <c r="BV1644" t="s">
        <v>111</v>
      </c>
      <c r="BW1644" t="s">
        <v>111</v>
      </c>
      <c r="BX1644" t="s">
        <v>111</v>
      </c>
      <c r="BY1644" t="s">
        <v>111</v>
      </c>
      <c r="BZ1644" t="s">
        <v>111</v>
      </c>
      <c r="CA1644" t="s">
        <v>111</v>
      </c>
      <c r="CB1644" t="s">
        <v>111</v>
      </c>
      <c r="CC1644" t="s">
        <v>111</v>
      </c>
      <c r="CD1644" t="s">
        <v>111</v>
      </c>
      <c r="CE1644" t="s">
        <v>111</v>
      </c>
      <c r="CF1644" t="s">
        <v>111</v>
      </c>
      <c r="CG1644" t="s">
        <v>111</v>
      </c>
      <c r="CH1644" t="s">
        <v>111</v>
      </c>
      <c r="CI1644" t="s">
        <v>111</v>
      </c>
      <c r="CJ1644" t="s">
        <v>111</v>
      </c>
      <c r="CK1644" t="s">
        <v>111</v>
      </c>
      <c r="CL1644" t="s">
        <v>111</v>
      </c>
      <c r="CM1644" t="s">
        <v>111</v>
      </c>
      <c r="CN1644" t="s">
        <v>111</v>
      </c>
      <c r="CO1644" t="s">
        <v>111</v>
      </c>
      <c r="CP1644" t="s">
        <v>111</v>
      </c>
      <c r="CQ1644">
        <v>0</v>
      </c>
      <c r="CR1644">
        <v>0</v>
      </c>
      <c r="CS1644">
        <v>0</v>
      </c>
      <c r="CT1644" t="s">
        <v>111</v>
      </c>
      <c r="CU1644">
        <v>0</v>
      </c>
      <c r="CV1644" t="s">
        <v>111</v>
      </c>
      <c r="CX1644" t="s">
        <v>111</v>
      </c>
      <c r="CY1644">
        <v>0</v>
      </c>
      <c r="CZ1644" t="s">
        <v>111</v>
      </c>
      <c r="DA1644" t="s">
        <v>111</v>
      </c>
      <c r="DB1644" t="s">
        <v>111</v>
      </c>
      <c r="DC1644" t="s">
        <v>111</v>
      </c>
    </row>
    <row r="1645" spans="1:107">
      <c r="A1645">
        <v>1848</v>
      </c>
      <c r="B1645" t="s">
        <v>107</v>
      </c>
      <c r="C1645" t="s">
        <v>3783</v>
      </c>
      <c r="D1645" t="s">
        <v>3960</v>
      </c>
      <c r="E1645" t="s">
        <v>4578</v>
      </c>
      <c r="F1645" t="s">
        <v>1260</v>
      </c>
      <c r="G1645" t="s">
        <v>24</v>
      </c>
      <c r="H1645">
        <v>1.9</v>
      </c>
      <c r="I1645">
        <v>40</v>
      </c>
      <c r="J1645">
        <v>0</v>
      </c>
      <c r="K1645">
        <v>0</v>
      </c>
      <c r="L1645" t="s">
        <v>117</v>
      </c>
      <c r="M1645" t="s">
        <v>118</v>
      </c>
      <c r="N1645">
        <v>40</v>
      </c>
      <c r="O1645">
        <v>1</v>
      </c>
      <c r="P1645" t="s">
        <v>111</v>
      </c>
      <c r="Q1645">
        <v>42</v>
      </c>
      <c r="R1645">
        <v>0</v>
      </c>
      <c r="S1645">
        <v>0</v>
      </c>
      <c r="T1645">
        <v>5</v>
      </c>
      <c r="U1645" t="e">
        <f>-DARMA</f>
        <v>#NAME?</v>
      </c>
      <c r="V1645">
        <v>0</v>
      </c>
      <c r="W1645">
        <v>0</v>
      </c>
      <c r="X1645">
        <v>0</v>
      </c>
      <c r="Y1645">
        <v>25</v>
      </c>
      <c r="Z1645" t="s">
        <v>111</v>
      </c>
      <c r="AA1645">
        <v>0</v>
      </c>
      <c r="AB1645" t="s">
        <v>111</v>
      </c>
      <c r="AC1645">
        <v>0</v>
      </c>
      <c r="AD1645" t="s">
        <v>416</v>
      </c>
      <c r="AE1645">
        <v>0</v>
      </c>
      <c r="AF1645">
        <v>0</v>
      </c>
      <c r="AG1645" t="s">
        <v>111</v>
      </c>
      <c r="AH1645" t="s">
        <v>113</v>
      </c>
      <c r="AI1645" t="s">
        <v>111</v>
      </c>
      <c r="AJ1645" t="s">
        <v>111</v>
      </c>
      <c r="AK1645" t="s">
        <v>111</v>
      </c>
      <c r="AL1645" t="s">
        <v>111</v>
      </c>
      <c r="AM1645">
        <v>0</v>
      </c>
      <c r="AN1645">
        <v>0</v>
      </c>
      <c r="AO1645">
        <v>0</v>
      </c>
      <c r="AP1645" t="s">
        <v>111</v>
      </c>
      <c r="AQ1645" t="s">
        <v>111</v>
      </c>
      <c r="AR1645" t="s">
        <v>111</v>
      </c>
      <c r="AS1645" t="s">
        <v>111</v>
      </c>
      <c r="AT1645" t="s">
        <v>111</v>
      </c>
      <c r="AU1645" t="s">
        <v>111</v>
      </c>
      <c r="AV1645" t="s">
        <v>111</v>
      </c>
      <c r="AW1645" t="s">
        <v>111</v>
      </c>
      <c r="AX1645" t="s">
        <v>111</v>
      </c>
      <c r="AY1645" t="s">
        <v>111</v>
      </c>
      <c r="AZ1645" t="s">
        <v>111</v>
      </c>
      <c r="BA1645" t="s">
        <v>111</v>
      </c>
      <c r="BB1645" t="s">
        <v>111</v>
      </c>
      <c r="BC1645" t="s">
        <v>111</v>
      </c>
      <c r="BD1645" t="s">
        <v>111</v>
      </c>
      <c r="BE1645" t="s">
        <v>111</v>
      </c>
      <c r="BF1645" t="s">
        <v>111</v>
      </c>
      <c r="BG1645" t="s">
        <v>111</v>
      </c>
      <c r="BH1645" t="s">
        <v>111</v>
      </c>
      <c r="BI1645" t="s">
        <v>111</v>
      </c>
      <c r="BJ1645" t="s">
        <v>111</v>
      </c>
      <c r="BK1645" t="s">
        <v>111</v>
      </c>
      <c r="BL1645" t="s">
        <v>111</v>
      </c>
      <c r="BM1645" t="s">
        <v>111</v>
      </c>
      <c r="BN1645" t="s">
        <v>111</v>
      </c>
      <c r="BO1645" t="s">
        <v>111</v>
      </c>
      <c r="BP1645" t="s">
        <v>111</v>
      </c>
      <c r="BQ1645" t="s">
        <v>111</v>
      </c>
      <c r="BR1645" t="s">
        <v>111</v>
      </c>
      <c r="BS1645" t="s">
        <v>111</v>
      </c>
      <c r="BT1645" t="s">
        <v>111</v>
      </c>
      <c r="BU1645" t="s">
        <v>111</v>
      </c>
      <c r="BV1645" t="s">
        <v>111</v>
      </c>
      <c r="BW1645" t="s">
        <v>111</v>
      </c>
      <c r="BX1645" t="s">
        <v>111</v>
      </c>
      <c r="BY1645" t="s">
        <v>111</v>
      </c>
      <c r="BZ1645" t="s">
        <v>111</v>
      </c>
      <c r="CA1645" t="s">
        <v>111</v>
      </c>
      <c r="CB1645" t="s">
        <v>111</v>
      </c>
      <c r="CC1645" t="s">
        <v>111</v>
      </c>
      <c r="CD1645" t="s">
        <v>111</v>
      </c>
      <c r="CE1645" t="s">
        <v>111</v>
      </c>
      <c r="CF1645" t="s">
        <v>111</v>
      </c>
      <c r="CG1645" t="s">
        <v>111</v>
      </c>
      <c r="CH1645" t="s">
        <v>111</v>
      </c>
      <c r="CI1645" t="s">
        <v>111</v>
      </c>
      <c r="CJ1645" t="s">
        <v>111</v>
      </c>
      <c r="CK1645" t="s">
        <v>111</v>
      </c>
      <c r="CL1645" t="s">
        <v>111</v>
      </c>
      <c r="CM1645" t="s">
        <v>135</v>
      </c>
      <c r="CN1645" t="s">
        <v>113</v>
      </c>
      <c r="CO1645" t="s">
        <v>637</v>
      </c>
      <c r="CP1645" t="s">
        <v>111</v>
      </c>
      <c r="CQ1645">
        <v>0</v>
      </c>
      <c r="CR1645">
        <v>26000</v>
      </c>
      <c r="CS1645">
        <v>26000</v>
      </c>
      <c r="CT1645" t="e">
        <f>-ALMACEN</f>
        <v>#NAME?</v>
      </c>
      <c r="CU1645">
        <v>0</v>
      </c>
      <c r="CV1645" t="s">
        <v>111</v>
      </c>
      <c r="CX1645" t="s">
        <v>111</v>
      </c>
      <c r="CY1645">
        <v>0</v>
      </c>
      <c r="CZ1645" t="s">
        <v>111</v>
      </c>
      <c r="DA1645" t="s">
        <v>111</v>
      </c>
      <c r="DB1645" t="s">
        <v>111</v>
      </c>
      <c r="DC1645" t="s">
        <v>111</v>
      </c>
    </row>
    <row r="1646" spans="1:107">
      <c r="A1646">
        <v>1988</v>
      </c>
      <c r="B1646" t="s">
        <v>107</v>
      </c>
      <c r="C1646" t="s">
        <v>855</v>
      </c>
      <c r="D1646" t="s">
        <v>4579</v>
      </c>
      <c r="E1646" t="s">
        <v>4580</v>
      </c>
      <c r="F1646" t="s">
        <v>1651</v>
      </c>
      <c r="G1646" t="s">
        <v>24</v>
      </c>
      <c r="H1646">
        <v>1.2</v>
      </c>
      <c r="I1646">
        <v>30</v>
      </c>
      <c r="J1646">
        <v>0</v>
      </c>
      <c r="K1646">
        <v>0</v>
      </c>
      <c r="L1646" t="s">
        <v>112</v>
      </c>
      <c r="M1646" t="s">
        <v>118</v>
      </c>
      <c r="N1646">
        <v>40</v>
      </c>
      <c r="O1646">
        <v>1</v>
      </c>
      <c r="P1646" t="s">
        <v>111</v>
      </c>
      <c r="Q1646">
        <v>40.6</v>
      </c>
      <c r="R1646">
        <v>0</v>
      </c>
      <c r="S1646">
        <v>0</v>
      </c>
      <c r="T1646">
        <v>5</v>
      </c>
      <c r="U1646" s="1" t="s">
        <v>662</v>
      </c>
      <c r="V1646">
        <v>0</v>
      </c>
      <c r="W1646">
        <v>0</v>
      </c>
      <c r="X1646">
        <v>0</v>
      </c>
      <c r="Y1646">
        <v>250</v>
      </c>
      <c r="Z1646" t="s">
        <v>111</v>
      </c>
      <c r="AA1646">
        <v>0</v>
      </c>
      <c r="AB1646" t="s">
        <v>111</v>
      </c>
      <c r="AC1646">
        <v>0</v>
      </c>
      <c r="AD1646" t="s">
        <v>416</v>
      </c>
      <c r="AE1646">
        <v>0</v>
      </c>
      <c r="AF1646">
        <v>0</v>
      </c>
      <c r="AG1646" t="s">
        <v>111</v>
      </c>
      <c r="AH1646" t="s">
        <v>111</v>
      </c>
      <c r="AI1646" t="s">
        <v>111</v>
      </c>
      <c r="AJ1646" t="s">
        <v>111</v>
      </c>
      <c r="AK1646" t="s">
        <v>111</v>
      </c>
      <c r="AL1646" t="s">
        <v>111</v>
      </c>
      <c r="AM1646">
        <v>0</v>
      </c>
      <c r="AN1646">
        <v>0</v>
      </c>
      <c r="AO1646">
        <v>0</v>
      </c>
      <c r="AP1646" t="s">
        <v>111</v>
      </c>
      <c r="AQ1646" t="s">
        <v>111</v>
      </c>
      <c r="AR1646" t="s">
        <v>111</v>
      </c>
      <c r="AS1646" t="s">
        <v>111</v>
      </c>
      <c r="AT1646" t="s">
        <v>111</v>
      </c>
      <c r="AU1646" t="s">
        <v>111</v>
      </c>
      <c r="AV1646" t="s">
        <v>111</v>
      </c>
      <c r="AW1646" t="s">
        <v>111</v>
      </c>
      <c r="AX1646" t="s">
        <v>111</v>
      </c>
      <c r="AY1646" t="s">
        <v>111</v>
      </c>
      <c r="AZ1646" t="s">
        <v>111</v>
      </c>
      <c r="BA1646" t="s">
        <v>111</v>
      </c>
      <c r="BB1646" t="s">
        <v>111</v>
      </c>
      <c r="BC1646" t="s">
        <v>111</v>
      </c>
      <c r="BD1646" t="s">
        <v>111</v>
      </c>
      <c r="BE1646" t="s">
        <v>111</v>
      </c>
      <c r="BF1646" t="s">
        <v>111</v>
      </c>
      <c r="BG1646" t="s">
        <v>111</v>
      </c>
      <c r="BH1646" t="s">
        <v>111</v>
      </c>
      <c r="BI1646" t="s">
        <v>111</v>
      </c>
      <c r="BJ1646" t="s">
        <v>111</v>
      </c>
      <c r="BK1646" t="s">
        <v>111</v>
      </c>
      <c r="BL1646" t="s">
        <v>111</v>
      </c>
      <c r="BM1646" t="s">
        <v>111</v>
      </c>
      <c r="BN1646" t="s">
        <v>111</v>
      </c>
      <c r="BO1646" t="s">
        <v>111</v>
      </c>
      <c r="BP1646" t="s">
        <v>111</v>
      </c>
      <c r="BQ1646" t="s">
        <v>111</v>
      </c>
      <c r="BR1646" t="s">
        <v>111</v>
      </c>
      <c r="BS1646" t="s">
        <v>111</v>
      </c>
      <c r="BT1646" t="s">
        <v>111</v>
      </c>
      <c r="BU1646" t="s">
        <v>111</v>
      </c>
      <c r="BV1646" t="s">
        <v>111</v>
      </c>
      <c r="BW1646" t="s">
        <v>111</v>
      </c>
      <c r="BX1646" t="s">
        <v>111</v>
      </c>
      <c r="BY1646" t="s">
        <v>111</v>
      </c>
      <c r="BZ1646" t="s">
        <v>111</v>
      </c>
      <c r="CA1646" t="s">
        <v>111</v>
      </c>
      <c r="CB1646" t="s">
        <v>111</v>
      </c>
      <c r="CC1646" t="s">
        <v>111</v>
      </c>
      <c r="CD1646" t="s">
        <v>111</v>
      </c>
      <c r="CE1646" t="s">
        <v>111</v>
      </c>
      <c r="CF1646" t="s">
        <v>111</v>
      </c>
      <c r="CG1646" t="s">
        <v>111</v>
      </c>
      <c r="CH1646" t="s">
        <v>111</v>
      </c>
      <c r="CI1646" t="s">
        <v>111</v>
      </c>
      <c r="CJ1646" t="s">
        <v>111</v>
      </c>
      <c r="CK1646" t="s">
        <v>111</v>
      </c>
      <c r="CL1646" t="s">
        <v>111</v>
      </c>
      <c r="CM1646" t="s">
        <v>135</v>
      </c>
      <c r="CN1646" t="s">
        <v>113</v>
      </c>
      <c r="CO1646" t="s">
        <v>111</v>
      </c>
      <c r="CP1646" t="s">
        <v>111</v>
      </c>
      <c r="CQ1646">
        <v>0</v>
      </c>
      <c r="CR1646">
        <v>8000</v>
      </c>
      <c r="CS1646">
        <v>200</v>
      </c>
      <c r="CT1646" s="1" t="s">
        <v>4512</v>
      </c>
      <c r="CU1646">
        <v>0</v>
      </c>
      <c r="CV1646" t="s">
        <v>111</v>
      </c>
      <c r="CX1646" t="s">
        <v>111</v>
      </c>
      <c r="CY1646">
        <v>0</v>
      </c>
      <c r="CZ1646" t="s">
        <v>111</v>
      </c>
      <c r="DA1646" t="s">
        <v>111</v>
      </c>
      <c r="DB1646" t="s">
        <v>111</v>
      </c>
      <c r="DC1646" t="s">
        <v>111</v>
      </c>
    </row>
    <row r="1647" spans="1:107">
      <c r="A1647">
        <v>1989</v>
      </c>
      <c r="B1647" t="s">
        <v>107</v>
      </c>
      <c r="C1647" t="s">
        <v>536</v>
      </c>
      <c r="D1647" t="s">
        <v>4581</v>
      </c>
      <c r="E1647" t="s">
        <v>4582</v>
      </c>
      <c r="F1647" t="s">
        <v>1071</v>
      </c>
      <c r="G1647" t="s">
        <v>24</v>
      </c>
      <c r="H1647">
        <v>1.3</v>
      </c>
      <c r="I1647">
        <v>18</v>
      </c>
      <c r="J1647">
        <v>2</v>
      </c>
      <c r="K1647">
        <v>0</v>
      </c>
      <c r="L1647" t="s">
        <v>178</v>
      </c>
      <c r="M1647" t="s">
        <v>111</v>
      </c>
      <c r="N1647">
        <v>0</v>
      </c>
      <c r="O1647">
        <v>0</v>
      </c>
      <c r="P1647" t="s">
        <v>111</v>
      </c>
      <c r="Q1647">
        <v>15</v>
      </c>
      <c r="R1647">
        <v>0</v>
      </c>
      <c r="S1647">
        <v>0</v>
      </c>
      <c r="T1647">
        <v>5</v>
      </c>
      <c r="U1647" s="1" t="s">
        <v>4583</v>
      </c>
      <c r="V1647">
        <v>0</v>
      </c>
      <c r="W1647">
        <v>0</v>
      </c>
      <c r="X1647">
        <v>0</v>
      </c>
      <c r="Y1647">
        <v>25</v>
      </c>
      <c r="Z1647" t="s">
        <v>111</v>
      </c>
      <c r="AA1647">
        <v>0</v>
      </c>
      <c r="AB1647" t="s">
        <v>111</v>
      </c>
      <c r="AC1647">
        <v>0</v>
      </c>
      <c r="AD1647" t="s">
        <v>111</v>
      </c>
      <c r="AE1647">
        <v>0</v>
      </c>
      <c r="AF1647">
        <v>0</v>
      </c>
      <c r="AG1647" t="s">
        <v>111</v>
      </c>
      <c r="AH1647" t="s">
        <v>111</v>
      </c>
      <c r="AI1647" t="s">
        <v>111</v>
      </c>
      <c r="AJ1647" t="s">
        <v>111</v>
      </c>
      <c r="AK1647" t="s">
        <v>111</v>
      </c>
      <c r="AL1647" t="s">
        <v>111</v>
      </c>
      <c r="AM1647">
        <v>0</v>
      </c>
      <c r="AN1647">
        <v>0</v>
      </c>
      <c r="AO1647">
        <v>0</v>
      </c>
      <c r="AP1647" t="s">
        <v>111</v>
      </c>
      <c r="AQ1647" t="s">
        <v>111</v>
      </c>
      <c r="AR1647" t="s">
        <v>111</v>
      </c>
      <c r="AS1647" t="s">
        <v>111</v>
      </c>
      <c r="AT1647" t="s">
        <v>111</v>
      </c>
      <c r="AU1647" t="s">
        <v>111</v>
      </c>
      <c r="AV1647" t="s">
        <v>111</v>
      </c>
      <c r="AW1647" t="s">
        <v>111</v>
      </c>
      <c r="AX1647" t="s">
        <v>111</v>
      </c>
      <c r="AY1647" t="s">
        <v>111</v>
      </c>
      <c r="AZ1647" t="s">
        <v>111</v>
      </c>
      <c r="BA1647" t="s">
        <v>111</v>
      </c>
      <c r="BB1647" t="s">
        <v>111</v>
      </c>
      <c r="BC1647" t="s">
        <v>111</v>
      </c>
      <c r="BD1647" t="s">
        <v>111</v>
      </c>
      <c r="BE1647" t="s">
        <v>111</v>
      </c>
      <c r="BF1647" t="s">
        <v>111</v>
      </c>
      <c r="BG1647" t="s">
        <v>111</v>
      </c>
      <c r="BH1647" t="s">
        <v>111</v>
      </c>
      <c r="BI1647" t="s">
        <v>111</v>
      </c>
      <c r="BJ1647" t="s">
        <v>111</v>
      </c>
      <c r="BK1647" t="s">
        <v>111</v>
      </c>
      <c r="BL1647" t="s">
        <v>111</v>
      </c>
      <c r="BM1647" t="s">
        <v>111</v>
      </c>
      <c r="BN1647" t="s">
        <v>111</v>
      </c>
      <c r="BO1647" t="s">
        <v>111</v>
      </c>
      <c r="BP1647" t="s">
        <v>111</v>
      </c>
      <c r="BQ1647" t="s">
        <v>111</v>
      </c>
      <c r="BR1647" t="s">
        <v>111</v>
      </c>
      <c r="BS1647" t="s">
        <v>111</v>
      </c>
      <c r="BT1647" t="s">
        <v>111</v>
      </c>
      <c r="BU1647" t="s">
        <v>111</v>
      </c>
      <c r="BV1647" t="s">
        <v>111</v>
      </c>
      <c r="BW1647" t="s">
        <v>111</v>
      </c>
      <c r="BX1647" t="s">
        <v>111</v>
      </c>
      <c r="BY1647" t="s">
        <v>111</v>
      </c>
      <c r="BZ1647" t="s">
        <v>111</v>
      </c>
      <c r="CA1647" t="s">
        <v>111</v>
      </c>
      <c r="CB1647" t="s">
        <v>111</v>
      </c>
      <c r="CC1647" t="s">
        <v>111</v>
      </c>
      <c r="CD1647" t="s">
        <v>111</v>
      </c>
      <c r="CE1647" t="s">
        <v>111</v>
      </c>
      <c r="CF1647" t="s">
        <v>111</v>
      </c>
      <c r="CG1647" t="s">
        <v>111</v>
      </c>
      <c r="CH1647" t="s">
        <v>111</v>
      </c>
      <c r="CI1647" t="s">
        <v>111</v>
      </c>
      <c r="CJ1647" t="s">
        <v>111</v>
      </c>
      <c r="CK1647" t="s">
        <v>111</v>
      </c>
      <c r="CL1647" t="s">
        <v>111</v>
      </c>
      <c r="CM1647" t="s">
        <v>135</v>
      </c>
      <c r="CN1647" t="s">
        <v>113</v>
      </c>
      <c r="CO1647" t="s">
        <v>111</v>
      </c>
      <c r="CP1647" t="s">
        <v>111</v>
      </c>
      <c r="CQ1647">
        <v>0</v>
      </c>
      <c r="CR1647">
        <v>6000</v>
      </c>
      <c r="CS1647">
        <v>100</v>
      </c>
      <c r="CT1647" s="1" t="s">
        <v>4584</v>
      </c>
      <c r="CU1647">
        <v>0</v>
      </c>
      <c r="CV1647" t="s">
        <v>111</v>
      </c>
      <c r="CX1647" t="s">
        <v>111</v>
      </c>
      <c r="CY1647">
        <v>0</v>
      </c>
      <c r="CZ1647" t="s">
        <v>111</v>
      </c>
      <c r="DA1647" t="s">
        <v>111</v>
      </c>
      <c r="DB1647" t="e">
        <f>-EXTERNO</f>
        <v>#NAME?</v>
      </c>
      <c r="DC1647" t="e">
        <f>-PEGAR GANHO PEQUEÑO</f>
        <v>#NAME?</v>
      </c>
    </row>
    <row r="1648" spans="1:107">
      <c r="A1648">
        <v>1990</v>
      </c>
      <c r="B1648" t="s">
        <v>107</v>
      </c>
      <c r="C1648" t="s">
        <v>536</v>
      </c>
      <c r="D1648" t="s">
        <v>4585</v>
      </c>
      <c r="E1648" t="s">
        <v>4586</v>
      </c>
      <c r="F1648" t="s">
        <v>1071</v>
      </c>
      <c r="G1648" t="s">
        <v>24</v>
      </c>
      <c r="H1648">
        <v>1.5</v>
      </c>
      <c r="I1648">
        <v>28</v>
      </c>
      <c r="J1648">
        <v>0</v>
      </c>
      <c r="K1648">
        <v>0</v>
      </c>
      <c r="L1648" t="s">
        <v>112</v>
      </c>
      <c r="M1648" t="s">
        <v>111</v>
      </c>
      <c r="N1648">
        <v>0</v>
      </c>
      <c r="O1648">
        <v>0</v>
      </c>
      <c r="P1648" t="s">
        <v>111</v>
      </c>
      <c r="Q1648">
        <v>28.3</v>
      </c>
      <c r="R1648">
        <v>0</v>
      </c>
      <c r="S1648">
        <v>0</v>
      </c>
      <c r="T1648">
        <v>5</v>
      </c>
      <c r="U1648" t="e">
        <f>-SELLDO</f>
        <v>#NAME?</v>
      </c>
      <c r="V1648">
        <v>0</v>
      </c>
      <c r="W1648">
        <v>0</v>
      </c>
      <c r="X1648">
        <v>0</v>
      </c>
      <c r="Y1648">
        <v>25</v>
      </c>
      <c r="Z1648" t="s">
        <v>111</v>
      </c>
      <c r="AA1648">
        <v>0</v>
      </c>
      <c r="AB1648" t="s">
        <v>111</v>
      </c>
      <c r="AC1648">
        <v>0</v>
      </c>
      <c r="AD1648" t="s">
        <v>111</v>
      </c>
      <c r="AE1648">
        <v>0</v>
      </c>
      <c r="AF1648">
        <v>0</v>
      </c>
      <c r="AG1648" t="s">
        <v>111</v>
      </c>
      <c r="AH1648" t="s">
        <v>111</v>
      </c>
      <c r="AI1648" t="s">
        <v>111</v>
      </c>
      <c r="AJ1648" t="s">
        <v>111</v>
      </c>
      <c r="AK1648" t="s">
        <v>111</v>
      </c>
      <c r="AL1648" t="s">
        <v>111</v>
      </c>
      <c r="AM1648">
        <v>0</v>
      </c>
      <c r="AN1648">
        <v>0</v>
      </c>
      <c r="AO1648">
        <v>0</v>
      </c>
      <c r="AP1648" t="s">
        <v>111</v>
      </c>
      <c r="AQ1648" t="s">
        <v>111</v>
      </c>
      <c r="AR1648" t="s">
        <v>111</v>
      </c>
      <c r="AS1648" t="s">
        <v>111</v>
      </c>
      <c r="AT1648" t="s">
        <v>111</v>
      </c>
      <c r="AU1648" t="s">
        <v>111</v>
      </c>
      <c r="AV1648" t="s">
        <v>111</v>
      </c>
      <c r="AW1648" t="s">
        <v>111</v>
      </c>
      <c r="AX1648" t="s">
        <v>111</v>
      </c>
      <c r="AY1648" t="s">
        <v>111</v>
      </c>
      <c r="AZ1648" t="s">
        <v>111</v>
      </c>
      <c r="BA1648" t="s">
        <v>111</v>
      </c>
      <c r="BB1648" t="s">
        <v>111</v>
      </c>
      <c r="BC1648" t="s">
        <v>111</v>
      </c>
      <c r="BD1648" t="s">
        <v>111</v>
      </c>
      <c r="BE1648" t="s">
        <v>111</v>
      </c>
      <c r="BF1648" t="s">
        <v>111</v>
      </c>
      <c r="BG1648" t="s">
        <v>111</v>
      </c>
      <c r="BH1648" t="s">
        <v>111</v>
      </c>
      <c r="BI1648" t="s">
        <v>111</v>
      </c>
      <c r="BJ1648" t="s">
        <v>111</v>
      </c>
      <c r="BK1648" t="s">
        <v>111</v>
      </c>
      <c r="BL1648" t="s">
        <v>111</v>
      </c>
      <c r="BM1648" t="s">
        <v>111</v>
      </c>
      <c r="BN1648" t="s">
        <v>111</v>
      </c>
      <c r="BO1648" t="s">
        <v>111</v>
      </c>
      <c r="BP1648" t="s">
        <v>111</v>
      </c>
      <c r="BQ1648" t="s">
        <v>111</v>
      </c>
      <c r="BR1648" t="s">
        <v>111</v>
      </c>
      <c r="BS1648" t="s">
        <v>111</v>
      </c>
      <c r="BT1648" t="s">
        <v>111</v>
      </c>
      <c r="BU1648" t="s">
        <v>111</v>
      </c>
      <c r="BV1648" t="s">
        <v>111</v>
      </c>
      <c r="BW1648" t="s">
        <v>111</v>
      </c>
      <c r="BX1648" t="s">
        <v>111</v>
      </c>
      <c r="BY1648" t="s">
        <v>111</v>
      </c>
      <c r="BZ1648" t="s">
        <v>111</v>
      </c>
      <c r="CA1648" t="s">
        <v>111</v>
      </c>
      <c r="CB1648" t="s">
        <v>111</v>
      </c>
      <c r="CC1648" t="s">
        <v>111</v>
      </c>
      <c r="CD1648" t="s">
        <v>111</v>
      </c>
      <c r="CE1648" t="s">
        <v>111</v>
      </c>
      <c r="CF1648" t="s">
        <v>111</v>
      </c>
      <c r="CG1648" t="s">
        <v>111</v>
      </c>
      <c r="CH1648" t="s">
        <v>111</v>
      </c>
      <c r="CI1648" t="s">
        <v>111</v>
      </c>
      <c r="CJ1648" t="s">
        <v>111</v>
      </c>
      <c r="CK1648" t="s">
        <v>111</v>
      </c>
      <c r="CL1648" t="s">
        <v>111</v>
      </c>
      <c r="CM1648" t="s">
        <v>135</v>
      </c>
      <c r="CN1648" t="s">
        <v>113</v>
      </c>
      <c r="CO1648" t="s">
        <v>111</v>
      </c>
      <c r="CP1648" t="s">
        <v>111</v>
      </c>
      <c r="CQ1648">
        <v>0</v>
      </c>
      <c r="CR1648">
        <v>5000</v>
      </c>
      <c r="CS1648">
        <v>100</v>
      </c>
      <c r="CT1648" s="1" t="s">
        <v>4587</v>
      </c>
      <c r="CU1648">
        <v>0</v>
      </c>
      <c r="CV1648" t="s">
        <v>111</v>
      </c>
      <c r="CX1648" t="s">
        <v>111</v>
      </c>
      <c r="CY1648">
        <v>0</v>
      </c>
      <c r="CZ1648" t="s">
        <v>111</v>
      </c>
      <c r="DA1648" t="s">
        <v>111</v>
      </c>
      <c r="DB1648" t="e">
        <f>-EXTERNO</f>
        <v>#NAME?</v>
      </c>
      <c r="DC1648" t="e">
        <f>-GANCHO PEQUEÑO</f>
        <v>#NAME?</v>
      </c>
    </row>
    <row r="1649" spans="1:107">
      <c r="A1649">
        <v>1993</v>
      </c>
      <c r="B1649" t="s">
        <v>107</v>
      </c>
      <c r="C1649" t="s">
        <v>3783</v>
      </c>
      <c r="D1649" t="s">
        <v>4194</v>
      </c>
      <c r="E1649" t="s">
        <v>4588</v>
      </c>
      <c r="F1649" t="s">
        <v>1260</v>
      </c>
      <c r="G1649" t="s">
        <v>24</v>
      </c>
      <c r="H1649">
        <v>1.9</v>
      </c>
      <c r="I1649">
        <v>40</v>
      </c>
      <c r="J1649">
        <v>0</v>
      </c>
      <c r="K1649">
        <v>0</v>
      </c>
      <c r="L1649" t="s">
        <v>117</v>
      </c>
      <c r="M1649" t="s">
        <v>118</v>
      </c>
      <c r="N1649">
        <v>40</v>
      </c>
      <c r="O1649">
        <v>1</v>
      </c>
      <c r="P1649" t="s">
        <v>111</v>
      </c>
      <c r="Q1649">
        <v>34.9</v>
      </c>
      <c r="R1649">
        <v>0</v>
      </c>
      <c r="S1649">
        <v>0</v>
      </c>
      <c r="T1649">
        <v>5</v>
      </c>
      <c r="U1649" s="1" t="s">
        <v>662</v>
      </c>
      <c r="V1649">
        <v>0</v>
      </c>
      <c r="W1649">
        <v>0</v>
      </c>
      <c r="X1649">
        <v>0</v>
      </c>
      <c r="Y1649">
        <v>25</v>
      </c>
      <c r="Z1649" t="s">
        <v>111</v>
      </c>
      <c r="AA1649">
        <v>0</v>
      </c>
      <c r="AB1649" t="s">
        <v>111</v>
      </c>
      <c r="AC1649">
        <v>0</v>
      </c>
      <c r="AD1649" t="s">
        <v>416</v>
      </c>
      <c r="AE1649">
        <v>0</v>
      </c>
      <c r="AF1649">
        <v>0</v>
      </c>
      <c r="AG1649" t="s">
        <v>111</v>
      </c>
      <c r="AH1649" t="s">
        <v>111</v>
      </c>
      <c r="AI1649" t="s">
        <v>111</v>
      </c>
      <c r="AJ1649" t="s">
        <v>111</v>
      </c>
      <c r="AK1649" t="s">
        <v>111</v>
      </c>
      <c r="AL1649" t="s">
        <v>111</v>
      </c>
      <c r="AM1649">
        <v>0</v>
      </c>
      <c r="AN1649">
        <v>0</v>
      </c>
      <c r="AO1649">
        <v>0</v>
      </c>
      <c r="AP1649" t="s">
        <v>111</v>
      </c>
      <c r="AQ1649" t="s">
        <v>111</v>
      </c>
      <c r="AR1649" t="s">
        <v>111</v>
      </c>
      <c r="AS1649" t="s">
        <v>111</v>
      </c>
      <c r="AT1649" t="s">
        <v>111</v>
      </c>
      <c r="AU1649" t="s">
        <v>111</v>
      </c>
      <c r="AV1649" t="s">
        <v>111</v>
      </c>
      <c r="AW1649" t="s">
        <v>111</v>
      </c>
      <c r="AX1649" t="s">
        <v>111</v>
      </c>
      <c r="AY1649" t="s">
        <v>111</v>
      </c>
      <c r="AZ1649" t="s">
        <v>111</v>
      </c>
      <c r="BA1649" t="s">
        <v>111</v>
      </c>
      <c r="BB1649" t="s">
        <v>111</v>
      </c>
      <c r="BC1649" t="s">
        <v>111</v>
      </c>
      <c r="BD1649" t="s">
        <v>111</v>
      </c>
      <c r="BE1649" t="s">
        <v>111</v>
      </c>
      <c r="BF1649" t="s">
        <v>111</v>
      </c>
      <c r="BG1649" t="s">
        <v>111</v>
      </c>
      <c r="BH1649" t="s">
        <v>111</v>
      </c>
      <c r="BI1649" t="s">
        <v>111</v>
      </c>
      <c r="BJ1649" t="s">
        <v>111</v>
      </c>
      <c r="BK1649" t="s">
        <v>111</v>
      </c>
      <c r="BL1649" t="s">
        <v>111</v>
      </c>
      <c r="BM1649" t="s">
        <v>111</v>
      </c>
      <c r="BN1649" t="s">
        <v>111</v>
      </c>
      <c r="BO1649" t="s">
        <v>111</v>
      </c>
      <c r="BP1649" t="s">
        <v>111</v>
      </c>
      <c r="BQ1649" t="s">
        <v>111</v>
      </c>
      <c r="BR1649" t="s">
        <v>111</v>
      </c>
      <c r="BS1649" t="s">
        <v>111</v>
      </c>
      <c r="BT1649" t="s">
        <v>111</v>
      </c>
      <c r="BU1649" t="s">
        <v>111</v>
      </c>
      <c r="BV1649" t="s">
        <v>111</v>
      </c>
      <c r="BW1649" t="s">
        <v>111</v>
      </c>
      <c r="BX1649" t="s">
        <v>111</v>
      </c>
      <c r="BY1649" t="s">
        <v>111</v>
      </c>
      <c r="BZ1649" t="s">
        <v>111</v>
      </c>
      <c r="CA1649" t="s">
        <v>111</v>
      </c>
      <c r="CB1649" t="s">
        <v>111</v>
      </c>
      <c r="CC1649" t="s">
        <v>111</v>
      </c>
      <c r="CD1649" t="s">
        <v>111</v>
      </c>
      <c r="CE1649" t="s">
        <v>111</v>
      </c>
      <c r="CF1649" t="s">
        <v>111</v>
      </c>
      <c r="CG1649" t="s">
        <v>111</v>
      </c>
      <c r="CH1649" t="s">
        <v>111</v>
      </c>
      <c r="CI1649" t="s">
        <v>111</v>
      </c>
      <c r="CJ1649" t="s">
        <v>111</v>
      </c>
      <c r="CK1649" t="s">
        <v>111</v>
      </c>
      <c r="CL1649" t="s">
        <v>111</v>
      </c>
      <c r="CM1649" t="s">
        <v>135</v>
      </c>
      <c r="CN1649" t="s">
        <v>113</v>
      </c>
      <c r="CO1649" t="s">
        <v>637</v>
      </c>
      <c r="CP1649" t="s">
        <v>111</v>
      </c>
      <c r="CQ1649">
        <v>0</v>
      </c>
      <c r="CR1649">
        <v>14000</v>
      </c>
      <c r="CS1649">
        <v>26000</v>
      </c>
      <c r="CT1649" t="e">
        <f>-ALMACEN</f>
        <v>#NAME?</v>
      </c>
      <c r="CU1649">
        <v>0</v>
      </c>
      <c r="CV1649" t="s">
        <v>111</v>
      </c>
      <c r="CX1649" t="s">
        <v>111</v>
      </c>
      <c r="CY1649">
        <v>0</v>
      </c>
      <c r="CZ1649" t="s">
        <v>111</v>
      </c>
      <c r="DA1649" t="s">
        <v>111</v>
      </c>
      <c r="DB1649" t="s">
        <v>111</v>
      </c>
      <c r="DC1649" t="s">
        <v>111</v>
      </c>
    </row>
    <row r="1650" spans="1:107">
      <c r="A1650">
        <v>2019</v>
      </c>
      <c r="B1650" t="s">
        <v>376</v>
      </c>
      <c r="C1650" t="s">
        <v>4589</v>
      </c>
      <c r="D1650" t="s">
        <v>4590</v>
      </c>
      <c r="E1650" t="s">
        <v>4591</v>
      </c>
      <c r="F1650" t="s">
        <v>1651</v>
      </c>
      <c r="G1650" t="s">
        <v>24</v>
      </c>
      <c r="H1650">
        <v>1.4</v>
      </c>
      <c r="I1650">
        <v>45</v>
      </c>
      <c r="J1650">
        <v>0</v>
      </c>
      <c r="K1650">
        <v>0</v>
      </c>
      <c r="L1650" t="s">
        <v>117</v>
      </c>
      <c r="M1650" t="s">
        <v>118</v>
      </c>
      <c r="N1650">
        <v>40</v>
      </c>
      <c r="O1650">
        <v>1</v>
      </c>
      <c r="P1650" t="s">
        <v>111</v>
      </c>
      <c r="Q1650">
        <v>42</v>
      </c>
      <c r="R1650">
        <v>0</v>
      </c>
      <c r="S1650">
        <v>0</v>
      </c>
      <c r="T1650">
        <v>5</v>
      </c>
      <c r="U1650" s="1" t="s">
        <v>1466</v>
      </c>
      <c r="V1650">
        <v>0</v>
      </c>
      <c r="W1650">
        <v>0</v>
      </c>
      <c r="X1650">
        <v>0</v>
      </c>
      <c r="Y1650">
        <v>25</v>
      </c>
      <c r="Z1650" t="s">
        <v>111</v>
      </c>
      <c r="AA1650">
        <v>0</v>
      </c>
      <c r="AB1650" t="s">
        <v>111</v>
      </c>
      <c r="AC1650">
        <v>0</v>
      </c>
      <c r="AD1650" t="s">
        <v>416</v>
      </c>
      <c r="AE1650">
        <v>0</v>
      </c>
      <c r="AF1650">
        <v>0</v>
      </c>
      <c r="AG1650" t="s">
        <v>111</v>
      </c>
      <c r="AH1650" t="s">
        <v>111</v>
      </c>
      <c r="AI1650" t="s">
        <v>111</v>
      </c>
      <c r="AJ1650" t="s">
        <v>111</v>
      </c>
      <c r="AK1650" t="s">
        <v>111</v>
      </c>
      <c r="AL1650" t="s">
        <v>111</v>
      </c>
      <c r="AM1650">
        <v>0</v>
      </c>
      <c r="AN1650">
        <v>0</v>
      </c>
      <c r="AO1650">
        <v>0</v>
      </c>
      <c r="AP1650" t="s">
        <v>111</v>
      </c>
      <c r="AQ1650" t="s">
        <v>111</v>
      </c>
      <c r="AR1650" t="s">
        <v>111</v>
      </c>
      <c r="AS1650" t="s">
        <v>111</v>
      </c>
      <c r="AT1650" t="s">
        <v>111</v>
      </c>
      <c r="AU1650" t="s">
        <v>111</v>
      </c>
      <c r="AV1650" t="s">
        <v>111</v>
      </c>
      <c r="AW1650" t="s">
        <v>111</v>
      </c>
      <c r="AX1650" t="s">
        <v>111</v>
      </c>
      <c r="AY1650" t="s">
        <v>111</v>
      </c>
      <c r="AZ1650" t="s">
        <v>111</v>
      </c>
      <c r="BA1650" t="s">
        <v>111</v>
      </c>
      <c r="BB1650" t="s">
        <v>111</v>
      </c>
      <c r="BC1650" t="s">
        <v>111</v>
      </c>
      <c r="BD1650" t="s">
        <v>111</v>
      </c>
      <c r="BE1650" t="s">
        <v>111</v>
      </c>
      <c r="BF1650" t="s">
        <v>111</v>
      </c>
      <c r="BG1650" t="s">
        <v>111</v>
      </c>
      <c r="BH1650" t="s">
        <v>111</v>
      </c>
      <c r="BI1650" t="s">
        <v>111</v>
      </c>
      <c r="BJ1650" t="s">
        <v>111</v>
      </c>
      <c r="BK1650" t="s">
        <v>111</v>
      </c>
      <c r="BL1650" t="s">
        <v>111</v>
      </c>
      <c r="BM1650" t="s">
        <v>111</v>
      </c>
      <c r="BN1650" t="s">
        <v>111</v>
      </c>
      <c r="BO1650" t="s">
        <v>111</v>
      </c>
      <c r="BP1650" t="s">
        <v>111</v>
      </c>
      <c r="BQ1650" t="s">
        <v>111</v>
      </c>
      <c r="BR1650" t="s">
        <v>111</v>
      </c>
      <c r="BS1650" t="s">
        <v>111</v>
      </c>
      <c r="BT1650" t="s">
        <v>111</v>
      </c>
      <c r="BU1650" t="s">
        <v>111</v>
      </c>
      <c r="BV1650" t="s">
        <v>111</v>
      </c>
      <c r="BW1650" t="s">
        <v>111</v>
      </c>
      <c r="BX1650" t="s">
        <v>111</v>
      </c>
      <c r="BY1650" t="s">
        <v>111</v>
      </c>
      <c r="BZ1650" t="s">
        <v>111</v>
      </c>
      <c r="CA1650" t="s">
        <v>111</v>
      </c>
      <c r="CB1650" t="s">
        <v>111</v>
      </c>
      <c r="CC1650" t="s">
        <v>111</v>
      </c>
      <c r="CD1650" t="s">
        <v>111</v>
      </c>
      <c r="CE1650" t="s">
        <v>111</v>
      </c>
      <c r="CF1650" t="s">
        <v>111</v>
      </c>
      <c r="CG1650" t="s">
        <v>111</v>
      </c>
      <c r="CH1650" t="s">
        <v>111</v>
      </c>
      <c r="CI1650" t="s">
        <v>111</v>
      </c>
      <c r="CJ1650" t="s">
        <v>111</v>
      </c>
      <c r="CK1650" t="s">
        <v>111</v>
      </c>
      <c r="CL1650" t="s">
        <v>111</v>
      </c>
      <c r="CM1650" t="s">
        <v>135</v>
      </c>
      <c r="CN1650" t="s">
        <v>113</v>
      </c>
      <c r="CO1650" t="s">
        <v>111</v>
      </c>
      <c r="CP1650" t="s">
        <v>433</v>
      </c>
      <c r="CQ1650">
        <v>0</v>
      </c>
      <c r="CR1650">
        <v>3000</v>
      </c>
      <c r="CS1650">
        <v>100</v>
      </c>
      <c r="CT1650" t="e">
        <f>-ALMACEN</f>
        <v>#NAME?</v>
      </c>
      <c r="CU1650">
        <v>0</v>
      </c>
      <c r="CV1650" t="s">
        <v>111</v>
      </c>
      <c r="CX1650" t="s">
        <v>111</v>
      </c>
      <c r="CY1650">
        <v>0</v>
      </c>
      <c r="CZ1650" t="s">
        <v>111</v>
      </c>
      <c r="DA1650" t="s">
        <v>111</v>
      </c>
      <c r="DB1650" t="e">
        <f>-EXTERNO</f>
        <v>#NAME?</v>
      </c>
      <c r="DC1650" t="s">
        <v>4592</v>
      </c>
    </row>
    <row r="1651" spans="1:107">
      <c r="A1651">
        <v>2013</v>
      </c>
      <c r="B1651" t="s">
        <v>107</v>
      </c>
      <c r="C1651" s="2">
        <v>91226680</v>
      </c>
      <c r="D1651" t="s">
        <v>4593</v>
      </c>
      <c r="E1651" t="s">
        <v>4594</v>
      </c>
      <c r="F1651" t="s">
        <v>110</v>
      </c>
      <c r="G1651" t="s">
        <v>24</v>
      </c>
      <c r="H1651">
        <v>0.8</v>
      </c>
      <c r="I1651">
        <v>50</v>
      </c>
      <c r="J1651">
        <v>0</v>
      </c>
      <c r="K1651">
        <v>0</v>
      </c>
      <c r="L1651" t="s">
        <v>112</v>
      </c>
      <c r="M1651" t="s">
        <v>138</v>
      </c>
      <c r="N1651">
        <v>0</v>
      </c>
      <c r="O1651">
        <v>0</v>
      </c>
      <c r="P1651" t="s">
        <v>111</v>
      </c>
      <c r="Q1651">
        <v>40</v>
      </c>
      <c r="R1651">
        <v>0</v>
      </c>
      <c r="S1651">
        <v>0</v>
      </c>
      <c r="T1651">
        <v>0</v>
      </c>
      <c r="U1651" s="1" t="s">
        <v>4595</v>
      </c>
      <c r="V1651">
        <v>0</v>
      </c>
      <c r="W1651">
        <v>0</v>
      </c>
      <c r="X1651">
        <v>0</v>
      </c>
      <c r="Y1651">
        <v>25</v>
      </c>
      <c r="Z1651" t="s">
        <v>111</v>
      </c>
      <c r="AA1651">
        <v>0</v>
      </c>
      <c r="AB1651" t="s">
        <v>111</v>
      </c>
      <c r="AC1651">
        <v>0</v>
      </c>
      <c r="AD1651" t="s">
        <v>111</v>
      </c>
      <c r="AE1651">
        <v>0</v>
      </c>
      <c r="AF1651">
        <v>0</v>
      </c>
      <c r="AG1651" t="s">
        <v>111</v>
      </c>
      <c r="AH1651" t="s">
        <v>111</v>
      </c>
      <c r="AI1651" t="s">
        <v>111</v>
      </c>
      <c r="AJ1651" t="s">
        <v>111</v>
      </c>
      <c r="AK1651" t="s">
        <v>111</v>
      </c>
      <c r="AL1651" t="s">
        <v>111</v>
      </c>
      <c r="AM1651">
        <v>0</v>
      </c>
      <c r="AN1651">
        <v>0</v>
      </c>
      <c r="AO1651">
        <v>0</v>
      </c>
      <c r="AP1651" t="s">
        <v>111</v>
      </c>
      <c r="AQ1651" t="s">
        <v>111</v>
      </c>
      <c r="AR1651" t="s">
        <v>111</v>
      </c>
      <c r="AS1651" t="s">
        <v>111</v>
      </c>
      <c r="AT1651" t="s">
        <v>111</v>
      </c>
      <c r="AU1651" t="s">
        <v>111</v>
      </c>
      <c r="AV1651" t="s">
        <v>111</v>
      </c>
      <c r="AW1651" t="s">
        <v>111</v>
      </c>
      <c r="AX1651" t="s">
        <v>111</v>
      </c>
      <c r="AY1651" t="s">
        <v>111</v>
      </c>
      <c r="AZ1651" t="s">
        <v>111</v>
      </c>
      <c r="BA1651" t="s">
        <v>111</v>
      </c>
      <c r="BB1651" t="s">
        <v>111</v>
      </c>
      <c r="BC1651" t="s">
        <v>111</v>
      </c>
      <c r="BD1651" t="s">
        <v>111</v>
      </c>
      <c r="BE1651" t="s">
        <v>111</v>
      </c>
      <c r="BF1651" t="s">
        <v>111</v>
      </c>
      <c r="BG1651" t="s">
        <v>111</v>
      </c>
      <c r="BH1651" t="s">
        <v>111</v>
      </c>
      <c r="BI1651" t="s">
        <v>111</v>
      </c>
      <c r="BJ1651" t="s">
        <v>111</v>
      </c>
      <c r="BK1651" t="s">
        <v>111</v>
      </c>
      <c r="BL1651" t="s">
        <v>111</v>
      </c>
      <c r="BM1651" t="s">
        <v>111</v>
      </c>
      <c r="BN1651" t="s">
        <v>111</v>
      </c>
      <c r="BO1651" t="s">
        <v>111</v>
      </c>
      <c r="BP1651" t="s">
        <v>111</v>
      </c>
      <c r="BQ1651" t="s">
        <v>111</v>
      </c>
      <c r="BR1651" t="s">
        <v>111</v>
      </c>
      <c r="BS1651" t="s">
        <v>111</v>
      </c>
      <c r="BT1651" t="s">
        <v>111</v>
      </c>
      <c r="BU1651" t="s">
        <v>111</v>
      </c>
      <c r="BV1651" t="s">
        <v>111</v>
      </c>
      <c r="BW1651" t="s">
        <v>111</v>
      </c>
      <c r="BX1651" t="s">
        <v>111</v>
      </c>
      <c r="BY1651" t="s">
        <v>111</v>
      </c>
      <c r="BZ1651" t="s">
        <v>111</v>
      </c>
      <c r="CA1651" t="s">
        <v>111</v>
      </c>
      <c r="CB1651" t="s">
        <v>111</v>
      </c>
      <c r="CC1651" t="s">
        <v>111</v>
      </c>
      <c r="CD1651" t="s">
        <v>111</v>
      </c>
      <c r="CE1651" t="s">
        <v>111</v>
      </c>
      <c r="CF1651" t="s">
        <v>111</v>
      </c>
      <c r="CG1651" t="s">
        <v>111</v>
      </c>
      <c r="CH1651" t="s">
        <v>111</v>
      </c>
      <c r="CI1651" t="s">
        <v>111</v>
      </c>
      <c r="CJ1651" t="s">
        <v>111</v>
      </c>
      <c r="CK1651" t="s">
        <v>111</v>
      </c>
      <c r="CL1651" t="s">
        <v>111</v>
      </c>
      <c r="CM1651" t="s">
        <v>111</v>
      </c>
      <c r="CN1651" t="s">
        <v>111</v>
      </c>
      <c r="CO1651" t="s">
        <v>111</v>
      </c>
      <c r="CP1651" t="s">
        <v>111</v>
      </c>
      <c r="CQ1651">
        <v>0</v>
      </c>
      <c r="CR1651">
        <v>0</v>
      </c>
      <c r="CS1651">
        <v>0</v>
      </c>
      <c r="CT1651" t="s">
        <v>111</v>
      </c>
      <c r="CU1651">
        <v>0</v>
      </c>
      <c r="CV1651" t="s">
        <v>111</v>
      </c>
      <c r="CX1651" t="s">
        <v>111</v>
      </c>
      <c r="CY1651">
        <v>0</v>
      </c>
      <c r="CZ1651" t="s">
        <v>111</v>
      </c>
      <c r="DA1651" t="s">
        <v>111</v>
      </c>
      <c r="DB1651" t="s">
        <v>111</v>
      </c>
      <c r="DC1651" t="s">
        <v>111</v>
      </c>
    </row>
    <row r="1652" spans="1:107">
      <c r="A1652">
        <v>2033</v>
      </c>
      <c r="B1652" t="s">
        <v>376</v>
      </c>
      <c r="C1652" t="s">
        <v>3783</v>
      </c>
      <c r="D1652" t="s">
        <v>3960</v>
      </c>
      <c r="E1652" t="s">
        <v>4596</v>
      </c>
      <c r="F1652" t="s">
        <v>1260</v>
      </c>
      <c r="G1652" t="s">
        <v>24</v>
      </c>
      <c r="H1652">
        <v>1.9</v>
      </c>
      <c r="I1652">
        <v>40</v>
      </c>
      <c r="J1652">
        <v>0</v>
      </c>
      <c r="K1652">
        <v>0</v>
      </c>
      <c r="L1652" t="s">
        <v>117</v>
      </c>
      <c r="M1652" t="s">
        <v>118</v>
      </c>
      <c r="N1652">
        <v>39</v>
      </c>
      <c r="O1652">
        <v>1</v>
      </c>
      <c r="P1652" t="s">
        <v>111</v>
      </c>
      <c r="Q1652">
        <v>27.4</v>
      </c>
      <c r="R1652">
        <v>0</v>
      </c>
      <c r="S1652">
        <v>0</v>
      </c>
      <c r="T1652">
        <v>5</v>
      </c>
      <c r="U1652" s="1" t="s">
        <v>3004</v>
      </c>
      <c r="V1652">
        <v>0</v>
      </c>
      <c r="W1652">
        <v>0</v>
      </c>
      <c r="X1652">
        <v>0</v>
      </c>
      <c r="Y1652">
        <v>25</v>
      </c>
      <c r="Z1652" t="s">
        <v>111</v>
      </c>
      <c r="AA1652">
        <v>0</v>
      </c>
      <c r="AB1652" t="s">
        <v>111</v>
      </c>
      <c r="AC1652">
        <v>0</v>
      </c>
      <c r="AD1652" t="s">
        <v>416</v>
      </c>
      <c r="AE1652">
        <v>0</v>
      </c>
      <c r="AF1652">
        <v>0</v>
      </c>
      <c r="AG1652" t="s">
        <v>111</v>
      </c>
      <c r="AH1652" t="s">
        <v>111</v>
      </c>
      <c r="AI1652" t="s">
        <v>111</v>
      </c>
      <c r="AJ1652" t="s">
        <v>111</v>
      </c>
      <c r="AK1652" t="s">
        <v>111</v>
      </c>
      <c r="AL1652" t="s">
        <v>111</v>
      </c>
      <c r="AM1652">
        <v>0</v>
      </c>
      <c r="AN1652">
        <v>0</v>
      </c>
      <c r="AO1652">
        <v>0</v>
      </c>
      <c r="AP1652" t="s">
        <v>111</v>
      </c>
      <c r="AQ1652" t="s">
        <v>111</v>
      </c>
      <c r="AR1652" t="s">
        <v>111</v>
      </c>
      <c r="AS1652" t="s">
        <v>111</v>
      </c>
      <c r="AT1652" t="s">
        <v>111</v>
      </c>
      <c r="AU1652" t="s">
        <v>111</v>
      </c>
      <c r="AV1652" t="s">
        <v>111</v>
      </c>
      <c r="AW1652" t="s">
        <v>111</v>
      </c>
      <c r="AX1652" t="s">
        <v>111</v>
      </c>
      <c r="AY1652" t="s">
        <v>111</v>
      </c>
      <c r="AZ1652" t="s">
        <v>111</v>
      </c>
      <c r="BA1652" t="s">
        <v>111</v>
      </c>
      <c r="BB1652" t="s">
        <v>111</v>
      </c>
      <c r="BC1652" t="s">
        <v>111</v>
      </c>
      <c r="BD1652" t="s">
        <v>111</v>
      </c>
      <c r="BE1652" t="s">
        <v>111</v>
      </c>
      <c r="BF1652" t="s">
        <v>111</v>
      </c>
      <c r="BG1652" t="s">
        <v>111</v>
      </c>
      <c r="BH1652" t="s">
        <v>111</v>
      </c>
      <c r="BI1652" t="s">
        <v>111</v>
      </c>
      <c r="BJ1652" t="s">
        <v>111</v>
      </c>
      <c r="BK1652" t="s">
        <v>111</v>
      </c>
      <c r="BL1652" t="s">
        <v>111</v>
      </c>
      <c r="BM1652" t="s">
        <v>111</v>
      </c>
      <c r="BN1652" t="s">
        <v>111</v>
      </c>
      <c r="BO1652" t="s">
        <v>111</v>
      </c>
      <c r="BP1652" t="s">
        <v>111</v>
      </c>
      <c r="BQ1652" t="s">
        <v>111</v>
      </c>
      <c r="BR1652" t="s">
        <v>111</v>
      </c>
      <c r="BS1652" t="s">
        <v>111</v>
      </c>
      <c r="BT1652" t="s">
        <v>111</v>
      </c>
      <c r="BU1652" t="s">
        <v>111</v>
      </c>
      <c r="BV1652" t="s">
        <v>111</v>
      </c>
      <c r="BW1652" t="s">
        <v>111</v>
      </c>
      <c r="BX1652" t="s">
        <v>111</v>
      </c>
      <c r="BY1652" t="s">
        <v>111</v>
      </c>
      <c r="BZ1652" t="s">
        <v>111</v>
      </c>
      <c r="CA1652" t="s">
        <v>111</v>
      </c>
      <c r="CB1652" t="s">
        <v>111</v>
      </c>
      <c r="CC1652" t="s">
        <v>111</v>
      </c>
      <c r="CD1652" t="s">
        <v>111</v>
      </c>
      <c r="CE1652" t="s">
        <v>111</v>
      </c>
      <c r="CF1652" t="s">
        <v>111</v>
      </c>
      <c r="CG1652" t="s">
        <v>111</v>
      </c>
      <c r="CH1652" t="s">
        <v>111</v>
      </c>
      <c r="CI1652" t="s">
        <v>111</v>
      </c>
      <c r="CJ1652" t="s">
        <v>111</v>
      </c>
      <c r="CK1652" t="s">
        <v>111</v>
      </c>
      <c r="CL1652" t="s">
        <v>111</v>
      </c>
      <c r="CM1652" t="s">
        <v>135</v>
      </c>
      <c r="CN1652" t="s">
        <v>113</v>
      </c>
      <c r="CO1652" t="s">
        <v>637</v>
      </c>
      <c r="CP1652" t="s">
        <v>111</v>
      </c>
      <c r="CQ1652">
        <v>0</v>
      </c>
      <c r="CR1652">
        <v>26000</v>
      </c>
      <c r="CS1652">
        <v>26000</v>
      </c>
      <c r="CT1652" t="e">
        <f>- ALMACEN</f>
        <v>#NAME?</v>
      </c>
      <c r="CU1652">
        <v>0</v>
      </c>
      <c r="CV1652" t="s">
        <v>111</v>
      </c>
      <c r="CX1652" t="s">
        <v>111</v>
      </c>
      <c r="CY1652">
        <v>0</v>
      </c>
      <c r="CZ1652" t="s">
        <v>111</v>
      </c>
      <c r="DA1652" t="s">
        <v>111</v>
      </c>
      <c r="DB1652" t="s">
        <v>1175</v>
      </c>
      <c r="DC1652" t="s">
        <v>111</v>
      </c>
    </row>
    <row r="1653" spans="1:107">
      <c r="A1653">
        <v>2007</v>
      </c>
      <c r="B1653" t="s">
        <v>107</v>
      </c>
      <c r="C1653" t="s">
        <v>1643</v>
      </c>
      <c r="D1653" t="s">
        <v>4597</v>
      </c>
      <c r="E1653" t="s">
        <v>4598</v>
      </c>
      <c r="F1653" t="s">
        <v>2211</v>
      </c>
      <c r="G1653" t="s">
        <v>24</v>
      </c>
      <c r="H1653">
        <v>1.9</v>
      </c>
      <c r="I1653">
        <v>45</v>
      </c>
      <c r="J1653">
        <v>0</v>
      </c>
      <c r="K1653">
        <v>0</v>
      </c>
      <c r="L1653" t="s">
        <v>4599</v>
      </c>
      <c r="M1653" t="s">
        <v>111</v>
      </c>
      <c r="N1653">
        <v>0</v>
      </c>
      <c r="O1653">
        <v>0</v>
      </c>
      <c r="P1653" t="s">
        <v>111</v>
      </c>
      <c r="Q1653">
        <v>25</v>
      </c>
      <c r="R1653">
        <v>0</v>
      </c>
      <c r="S1653">
        <v>0</v>
      </c>
      <c r="T1653">
        <v>0.3</v>
      </c>
      <c r="U1653" s="1" t="s">
        <v>4600</v>
      </c>
      <c r="V1653">
        <v>0</v>
      </c>
      <c r="W1653">
        <v>0</v>
      </c>
      <c r="X1653">
        <v>0</v>
      </c>
      <c r="Y1653">
        <v>25</v>
      </c>
      <c r="Z1653" t="s">
        <v>111</v>
      </c>
      <c r="AA1653">
        <v>0</v>
      </c>
      <c r="AB1653" t="s">
        <v>4055</v>
      </c>
      <c r="AC1653">
        <v>0</v>
      </c>
      <c r="AD1653" t="s">
        <v>111</v>
      </c>
      <c r="AE1653">
        <v>0</v>
      </c>
      <c r="AF1653">
        <v>0</v>
      </c>
      <c r="AG1653" t="s">
        <v>111</v>
      </c>
      <c r="AH1653" t="s">
        <v>111</v>
      </c>
      <c r="AI1653" t="s">
        <v>111</v>
      </c>
      <c r="AJ1653" t="s">
        <v>111</v>
      </c>
      <c r="AK1653" t="s">
        <v>111</v>
      </c>
      <c r="AL1653" t="s">
        <v>111</v>
      </c>
      <c r="AM1653">
        <v>0</v>
      </c>
      <c r="AN1653">
        <v>0</v>
      </c>
      <c r="AO1653">
        <v>0</v>
      </c>
      <c r="AP1653" t="s">
        <v>111</v>
      </c>
      <c r="AQ1653" t="s">
        <v>111</v>
      </c>
      <c r="AR1653" t="s">
        <v>111</v>
      </c>
      <c r="AS1653" t="s">
        <v>111</v>
      </c>
      <c r="AT1653" t="s">
        <v>111</v>
      </c>
      <c r="AU1653" t="s">
        <v>111</v>
      </c>
      <c r="AV1653" t="s">
        <v>111</v>
      </c>
      <c r="AW1653" t="s">
        <v>111</v>
      </c>
      <c r="AX1653" t="s">
        <v>111</v>
      </c>
      <c r="AY1653" t="s">
        <v>111</v>
      </c>
      <c r="AZ1653" t="s">
        <v>111</v>
      </c>
      <c r="BA1653" t="s">
        <v>111</v>
      </c>
      <c r="BB1653" t="s">
        <v>111</v>
      </c>
      <c r="BC1653" t="s">
        <v>111</v>
      </c>
      <c r="BD1653" t="s">
        <v>111</v>
      </c>
      <c r="BE1653" t="s">
        <v>111</v>
      </c>
      <c r="BF1653" t="s">
        <v>111</v>
      </c>
      <c r="BG1653" t="s">
        <v>111</v>
      </c>
      <c r="BH1653" t="s">
        <v>111</v>
      </c>
      <c r="BI1653" t="s">
        <v>111</v>
      </c>
      <c r="BJ1653" t="s">
        <v>111</v>
      </c>
      <c r="BK1653" t="s">
        <v>111</v>
      </c>
      <c r="BL1653" t="s">
        <v>111</v>
      </c>
      <c r="BM1653" t="s">
        <v>111</v>
      </c>
      <c r="BN1653" t="s">
        <v>111</v>
      </c>
      <c r="BO1653" t="s">
        <v>111</v>
      </c>
      <c r="BP1653" t="s">
        <v>111</v>
      </c>
      <c r="BQ1653" t="s">
        <v>111</v>
      </c>
      <c r="BR1653" t="s">
        <v>111</v>
      </c>
      <c r="BS1653" t="s">
        <v>111</v>
      </c>
      <c r="BT1653" t="s">
        <v>111</v>
      </c>
      <c r="BU1653" t="s">
        <v>111</v>
      </c>
      <c r="BV1653" t="s">
        <v>111</v>
      </c>
      <c r="BW1653" t="s">
        <v>111</v>
      </c>
      <c r="BX1653" t="s">
        <v>111</v>
      </c>
      <c r="BY1653" t="s">
        <v>111</v>
      </c>
      <c r="BZ1653" t="s">
        <v>111</v>
      </c>
      <c r="CA1653" t="s">
        <v>111</v>
      </c>
      <c r="CB1653" t="s">
        <v>111</v>
      </c>
      <c r="CC1653" t="s">
        <v>111</v>
      </c>
      <c r="CD1653" t="s">
        <v>111</v>
      </c>
      <c r="CE1653" t="s">
        <v>111</v>
      </c>
      <c r="CF1653" t="s">
        <v>111</v>
      </c>
      <c r="CG1653" t="s">
        <v>111</v>
      </c>
      <c r="CH1653" t="s">
        <v>111</v>
      </c>
      <c r="CI1653" t="s">
        <v>111</v>
      </c>
      <c r="CJ1653" t="s">
        <v>111</v>
      </c>
      <c r="CK1653" t="s">
        <v>111</v>
      </c>
      <c r="CL1653" t="s">
        <v>111</v>
      </c>
      <c r="CM1653" t="s">
        <v>111</v>
      </c>
      <c r="CN1653" t="s">
        <v>111</v>
      </c>
      <c r="CO1653" t="s">
        <v>111</v>
      </c>
      <c r="CP1653" t="s">
        <v>111</v>
      </c>
      <c r="CQ1653">
        <v>0</v>
      </c>
      <c r="CR1653">
        <v>0</v>
      </c>
      <c r="CS1653">
        <v>0</v>
      </c>
      <c r="CT1653" t="s">
        <v>111</v>
      </c>
      <c r="CU1653">
        <v>0</v>
      </c>
      <c r="CV1653" t="s">
        <v>111</v>
      </c>
      <c r="CX1653" t="s">
        <v>111</v>
      </c>
      <c r="CY1653">
        <v>0</v>
      </c>
      <c r="CZ1653" t="s">
        <v>111</v>
      </c>
      <c r="DA1653" t="s">
        <v>111</v>
      </c>
      <c r="DB1653" t="s">
        <v>111</v>
      </c>
      <c r="DC1653" t="s">
        <v>111</v>
      </c>
    </row>
    <row r="1654" spans="1:107">
      <c r="A1654">
        <v>2008</v>
      </c>
      <c r="B1654" t="s">
        <v>107</v>
      </c>
      <c r="C1654" t="s">
        <v>3783</v>
      </c>
      <c r="D1654" t="s">
        <v>3960</v>
      </c>
      <c r="E1654" t="s">
        <v>4601</v>
      </c>
      <c r="F1654" t="s">
        <v>1260</v>
      </c>
      <c r="G1654" t="s">
        <v>24</v>
      </c>
      <c r="H1654">
        <v>1.9</v>
      </c>
      <c r="I1654">
        <v>40</v>
      </c>
      <c r="J1654">
        <v>0</v>
      </c>
      <c r="K1654">
        <v>0</v>
      </c>
      <c r="L1654" t="s">
        <v>117</v>
      </c>
      <c r="M1654" t="s">
        <v>118</v>
      </c>
      <c r="N1654">
        <v>40</v>
      </c>
      <c r="O1654">
        <v>1</v>
      </c>
      <c r="P1654" t="s">
        <v>111</v>
      </c>
      <c r="Q1654">
        <v>44.2</v>
      </c>
      <c r="R1654">
        <v>0</v>
      </c>
      <c r="S1654">
        <v>0</v>
      </c>
      <c r="T1654">
        <v>5</v>
      </c>
      <c r="U1654" t="e">
        <f>-IMPRESION DARMA</f>
        <v>#NAME?</v>
      </c>
      <c r="V1654">
        <v>0</v>
      </c>
      <c r="W1654">
        <v>0</v>
      </c>
      <c r="X1654">
        <v>0</v>
      </c>
      <c r="Y1654">
        <v>25</v>
      </c>
      <c r="Z1654" t="s">
        <v>111</v>
      </c>
      <c r="AA1654">
        <v>0</v>
      </c>
      <c r="AB1654" t="s">
        <v>111</v>
      </c>
      <c r="AC1654">
        <v>0</v>
      </c>
      <c r="AD1654" t="s">
        <v>416</v>
      </c>
      <c r="AE1654">
        <v>0</v>
      </c>
      <c r="AF1654">
        <v>0</v>
      </c>
      <c r="AG1654" t="s">
        <v>111</v>
      </c>
      <c r="AH1654" t="s">
        <v>111</v>
      </c>
      <c r="AI1654" t="s">
        <v>111</v>
      </c>
      <c r="AJ1654" t="s">
        <v>111</v>
      </c>
      <c r="AK1654" t="s">
        <v>111</v>
      </c>
      <c r="AL1654" t="s">
        <v>111</v>
      </c>
      <c r="AM1654">
        <v>0</v>
      </c>
      <c r="AN1654">
        <v>0</v>
      </c>
      <c r="AO1654">
        <v>0</v>
      </c>
      <c r="AP1654" t="s">
        <v>111</v>
      </c>
      <c r="AQ1654" t="s">
        <v>111</v>
      </c>
      <c r="AR1654" t="s">
        <v>111</v>
      </c>
      <c r="AS1654" t="s">
        <v>111</v>
      </c>
      <c r="AT1654" t="s">
        <v>111</v>
      </c>
      <c r="AU1654" t="s">
        <v>111</v>
      </c>
      <c r="AV1654" t="s">
        <v>111</v>
      </c>
      <c r="AW1654" t="s">
        <v>111</v>
      </c>
      <c r="AX1654" t="s">
        <v>111</v>
      </c>
      <c r="AY1654" t="s">
        <v>111</v>
      </c>
      <c r="AZ1654" t="s">
        <v>111</v>
      </c>
      <c r="BA1654" t="s">
        <v>111</v>
      </c>
      <c r="BB1654" t="s">
        <v>111</v>
      </c>
      <c r="BC1654" t="s">
        <v>111</v>
      </c>
      <c r="BD1654" t="s">
        <v>111</v>
      </c>
      <c r="BE1654" t="s">
        <v>111</v>
      </c>
      <c r="BF1654" t="s">
        <v>111</v>
      </c>
      <c r="BG1654" t="s">
        <v>111</v>
      </c>
      <c r="BH1654" t="s">
        <v>111</v>
      </c>
      <c r="BI1654" t="s">
        <v>111</v>
      </c>
      <c r="BJ1654" t="s">
        <v>111</v>
      </c>
      <c r="BK1654" t="s">
        <v>111</v>
      </c>
      <c r="BL1654" t="s">
        <v>111</v>
      </c>
      <c r="BM1654" t="s">
        <v>111</v>
      </c>
      <c r="BN1654" t="s">
        <v>111</v>
      </c>
      <c r="BO1654" t="s">
        <v>111</v>
      </c>
      <c r="BP1654" t="s">
        <v>111</v>
      </c>
      <c r="BQ1654" t="s">
        <v>111</v>
      </c>
      <c r="BR1654" t="s">
        <v>111</v>
      </c>
      <c r="BS1654" t="s">
        <v>111</v>
      </c>
      <c r="BT1654" t="s">
        <v>111</v>
      </c>
      <c r="BU1654" t="s">
        <v>111</v>
      </c>
      <c r="BV1654" t="s">
        <v>111</v>
      </c>
      <c r="BW1654" t="s">
        <v>111</v>
      </c>
      <c r="BX1654" t="s">
        <v>111</v>
      </c>
      <c r="BY1654" t="s">
        <v>111</v>
      </c>
      <c r="BZ1654" t="s">
        <v>111</v>
      </c>
      <c r="CA1654" t="s">
        <v>111</v>
      </c>
      <c r="CB1654" t="s">
        <v>111</v>
      </c>
      <c r="CC1654" t="s">
        <v>111</v>
      </c>
      <c r="CD1654" t="s">
        <v>111</v>
      </c>
      <c r="CE1654" t="s">
        <v>111</v>
      </c>
      <c r="CF1654" t="s">
        <v>111</v>
      </c>
      <c r="CG1654" t="s">
        <v>111</v>
      </c>
      <c r="CH1654" t="s">
        <v>111</v>
      </c>
      <c r="CI1654" t="s">
        <v>111</v>
      </c>
      <c r="CJ1654" t="s">
        <v>111</v>
      </c>
      <c r="CK1654" t="s">
        <v>111</v>
      </c>
      <c r="CL1654" t="s">
        <v>111</v>
      </c>
      <c r="CM1654">
        <v>450</v>
      </c>
      <c r="CN1654" t="s">
        <v>113</v>
      </c>
      <c r="CO1654" t="s">
        <v>111</v>
      </c>
      <c r="CP1654" t="s">
        <v>111</v>
      </c>
      <c r="CQ1654">
        <v>0</v>
      </c>
      <c r="CR1654">
        <v>26000</v>
      </c>
      <c r="CS1654">
        <v>26000</v>
      </c>
      <c r="CT1654" t="e">
        <f>-ALMACEN</f>
        <v>#NAME?</v>
      </c>
      <c r="CU1654">
        <v>0</v>
      </c>
      <c r="CV1654" t="s">
        <v>111</v>
      </c>
      <c r="CX1654" t="s">
        <v>111</v>
      </c>
      <c r="CY1654">
        <v>0</v>
      </c>
      <c r="CZ1654" t="s">
        <v>111</v>
      </c>
      <c r="DA1654" t="s">
        <v>111</v>
      </c>
      <c r="DB1654" t="s">
        <v>111</v>
      </c>
      <c r="DC1654" t="s">
        <v>111</v>
      </c>
    </row>
    <row r="1655" spans="1:107">
      <c r="A1655">
        <v>2009</v>
      </c>
      <c r="B1655" t="s">
        <v>107</v>
      </c>
      <c r="C1655" t="s">
        <v>3783</v>
      </c>
      <c r="D1655" t="s">
        <v>3960</v>
      </c>
      <c r="E1655" t="s">
        <v>4602</v>
      </c>
      <c r="F1655" t="s">
        <v>1260</v>
      </c>
      <c r="G1655" t="s">
        <v>24</v>
      </c>
      <c r="H1655">
        <v>1.9</v>
      </c>
      <c r="I1655">
        <v>40</v>
      </c>
      <c r="J1655">
        <v>0</v>
      </c>
      <c r="K1655">
        <v>0</v>
      </c>
      <c r="L1655" t="s">
        <v>117</v>
      </c>
      <c r="M1655" t="s">
        <v>118</v>
      </c>
      <c r="N1655">
        <v>40</v>
      </c>
      <c r="O1655">
        <v>1</v>
      </c>
      <c r="P1655" t="s">
        <v>111</v>
      </c>
      <c r="Q1655">
        <v>44.2</v>
      </c>
      <c r="R1655">
        <v>0</v>
      </c>
      <c r="S1655">
        <v>0</v>
      </c>
      <c r="T1655">
        <v>5</v>
      </c>
      <c r="U1655" t="e">
        <f>-IMPRESION DARMA</f>
        <v>#NAME?</v>
      </c>
      <c r="V1655">
        <v>0</v>
      </c>
      <c r="W1655">
        <v>0</v>
      </c>
      <c r="X1655">
        <v>0</v>
      </c>
      <c r="Y1655">
        <v>25</v>
      </c>
      <c r="Z1655" t="s">
        <v>111</v>
      </c>
      <c r="AA1655">
        <v>0</v>
      </c>
      <c r="AB1655" t="s">
        <v>111</v>
      </c>
      <c r="AC1655">
        <v>0</v>
      </c>
      <c r="AD1655" t="s">
        <v>416</v>
      </c>
      <c r="AE1655">
        <v>0</v>
      </c>
      <c r="AF1655">
        <v>0</v>
      </c>
      <c r="AG1655" t="s">
        <v>111</v>
      </c>
      <c r="AH1655" t="s">
        <v>111</v>
      </c>
      <c r="AI1655" t="s">
        <v>111</v>
      </c>
      <c r="AJ1655" t="s">
        <v>111</v>
      </c>
      <c r="AK1655" t="s">
        <v>111</v>
      </c>
      <c r="AL1655" t="s">
        <v>111</v>
      </c>
      <c r="AM1655">
        <v>0</v>
      </c>
      <c r="AN1655">
        <v>0</v>
      </c>
      <c r="AO1655">
        <v>0</v>
      </c>
      <c r="AP1655" t="s">
        <v>111</v>
      </c>
      <c r="AQ1655" t="s">
        <v>111</v>
      </c>
      <c r="AR1655" t="s">
        <v>111</v>
      </c>
      <c r="AS1655" t="s">
        <v>111</v>
      </c>
      <c r="AT1655" t="s">
        <v>111</v>
      </c>
      <c r="AU1655" t="s">
        <v>111</v>
      </c>
      <c r="AV1655" t="s">
        <v>111</v>
      </c>
      <c r="AW1655" t="s">
        <v>111</v>
      </c>
      <c r="AX1655" t="s">
        <v>111</v>
      </c>
      <c r="AY1655" t="s">
        <v>111</v>
      </c>
      <c r="AZ1655" t="s">
        <v>111</v>
      </c>
      <c r="BA1655" t="s">
        <v>111</v>
      </c>
      <c r="BB1655" t="s">
        <v>111</v>
      </c>
      <c r="BC1655" t="s">
        <v>111</v>
      </c>
      <c r="BD1655" t="s">
        <v>111</v>
      </c>
      <c r="BE1655" t="s">
        <v>111</v>
      </c>
      <c r="BF1655" t="s">
        <v>111</v>
      </c>
      <c r="BG1655" t="s">
        <v>111</v>
      </c>
      <c r="BH1655" t="s">
        <v>111</v>
      </c>
      <c r="BI1655" t="s">
        <v>111</v>
      </c>
      <c r="BJ1655" t="s">
        <v>111</v>
      </c>
      <c r="BK1655" t="s">
        <v>111</v>
      </c>
      <c r="BL1655" t="s">
        <v>111</v>
      </c>
      <c r="BM1655" t="s">
        <v>111</v>
      </c>
      <c r="BN1655" t="s">
        <v>111</v>
      </c>
      <c r="BO1655" t="s">
        <v>111</v>
      </c>
      <c r="BP1655" t="s">
        <v>111</v>
      </c>
      <c r="BQ1655" t="s">
        <v>111</v>
      </c>
      <c r="BR1655" t="s">
        <v>111</v>
      </c>
      <c r="BS1655" t="s">
        <v>111</v>
      </c>
      <c r="BT1655" t="s">
        <v>111</v>
      </c>
      <c r="BU1655" t="s">
        <v>111</v>
      </c>
      <c r="BV1655" t="s">
        <v>111</v>
      </c>
      <c r="BW1655" t="s">
        <v>111</v>
      </c>
      <c r="BX1655" t="s">
        <v>111</v>
      </c>
      <c r="BY1655" t="s">
        <v>111</v>
      </c>
      <c r="BZ1655" t="s">
        <v>111</v>
      </c>
      <c r="CA1655" t="s">
        <v>111</v>
      </c>
      <c r="CB1655" t="s">
        <v>111</v>
      </c>
      <c r="CC1655" t="s">
        <v>111</v>
      </c>
      <c r="CD1655" t="s">
        <v>111</v>
      </c>
      <c r="CE1655" t="s">
        <v>111</v>
      </c>
      <c r="CF1655" t="s">
        <v>111</v>
      </c>
      <c r="CG1655" t="s">
        <v>111</v>
      </c>
      <c r="CH1655" t="s">
        <v>111</v>
      </c>
      <c r="CI1655" t="s">
        <v>111</v>
      </c>
      <c r="CJ1655" t="s">
        <v>111</v>
      </c>
      <c r="CK1655" t="s">
        <v>111</v>
      </c>
      <c r="CL1655" t="s">
        <v>111</v>
      </c>
      <c r="CM1655">
        <v>450</v>
      </c>
      <c r="CN1655" t="s">
        <v>113</v>
      </c>
      <c r="CO1655" t="s">
        <v>111</v>
      </c>
      <c r="CP1655" t="s">
        <v>111</v>
      </c>
      <c r="CQ1655">
        <v>0</v>
      </c>
      <c r="CR1655">
        <v>26000</v>
      </c>
      <c r="CS1655">
        <v>26000</v>
      </c>
      <c r="CT1655" t="e">
        <f>-ALMACEN</f>
        <v>#NAME?</v>
      </c>
      <c r="CU1655">
        <v>0</v>
      </c>
      <c r="CV1655" t="s">
        <v>111</v>
      </c>
      <c r="CX1655" t="s">
        <v>111</v>
      </c>
      <c r="CY1655">
        <v>0</v>
      </c>
      <c r="CZ1655" t="s">
        <v>111</v>
      </c>
      <c r="DA1655" t="s">
        <v>111</v>
      </c>
      <c r="DB1655" t="s">
        <v>111</v>
      </c>
      <c r="DC1655" t="s">
        <v>111</v>
      </c>
    </row>
    <row r="1656" spans="1:107">
      <c r="A1656">
        <v>2028</v>
      </c>
      <c r="B1656" t="s">
        <v>107</v>
      </c>
      <c r="C1656" t="s">
        <v>454</v>
      </c>
      <c r="D1656" t="s">
        <v>4603</v>
      </c>
      <c r="E1656" t="s">
        <v>4604</v>
      </c>
      <c r="F1656" t="s">
        <v>1651</v>
      </c>
      <c r="G1656" t="s">
        <v>24</v>
      </c>
      <c r="H1656">
        <v>2.5</v>
      </c>
      <c r="I1656">
        <v>62.5</v>
      </c>
      <c r="J1656">
        <v>0</v>
      </c>
      <c r="K1656">
        <v>0</v>
      </c>
      <c r="L1656" t="s">
        <v>112</v>
      </c>
      <c r="M1656" t="s">
        <v>118</v>
      </c>
      <c r="N1656">
        <v>40</v>
      </c>
      <c r="O1656">
        <v>2</v>
      </c>
      <c r="P1656" t="s">
        <v>138</v>
      </c>
      <c r="Q1656">
        <v>49.61</v>
      </c>
      <c r="R1656">
        <v>0</v>
      </c>
      <c r="S1656">
        <v>0</v>
      </c>
      <c r="T1656">
        <v>5</v>
      </c>
      <c r="U1656" s="1" t="s">
        <v>4605</v>
      </c>
      <c r="V1656">
        <v>0</v>
      </c>
      <c r="W1656">
        <v>0</v>
      </c>
      <c r="X1656">
        <v>0</v>
      </c>
      <c r="Y1656">
        <v>25</v>
      </c>
      <c r="Z1656" t="s">
        <v>147</v>
      </c>
      <c r="AA1656">
        <v>1.5</v>
      </c>
      <c r="AB1656" t="s">
        <v>111</v>
      </c>
      <c r="AC1656">
        <v>0</v>
      </c>
      <c r="AD1656" t="s">
        <v>416</v>
      </c>
      <c r="AE1656">
        <v>1</v>
      </c>
      <c r="AF1656">
        <v>2</v>
      </c>
      <c r="AG1656">
        <v>40</v>
      </c>
      <c r="AH1656" t="s">
        <v>113</v>
      </c>
      <c r="AI1656">
        <v>40</v>
      </c>
      <c r="AJ1656" t="s">
        <v>4606</v>
      </c>
      <c r="AK1656" t="s">
        <v>4606</v>
      </c>
      <c r="AL1656">
        <v>7701072513659</v>
      </c>
      <c r="AM1656">
        <v>38</v>
      </c>
      <c r="AN1656">
        <v>45</v>
      </c>
      <c r="AO1656">
        <v>20</v>
      </c>
      <c r="AP1656" t="s">
        <v>147</v>
      </c>
      <c r="AQ1656" t="s">
        <v>111</v>
      </c>
      <c r="AR1656" t="s">
        <v>4607</v>
      </c>
      <c r="AS1656" t="s">
        <v>111</v>
      </c>
      <c r="AT1656" t="s">
        <v>111</v>
      </c>
      <c r="AU1656" t="s">
        <v>111</v>
      </c>
      <c r="AV1656" t="s">
        <v>111</v>
      </c>
      <c r="AW1656" t="s">
        <v>111</v>
      </c>
      <c r="AX1656" t="s">
        <v>111</v>
      </c>
      <c r="AY1656" t="s">
        <v>111</v>
      </c>
      <c r="AZ1656" t="s">
        <v>111</v>
      </c>
      <c r="BA1656" t="s">
        <v>111</v>
      </c>
      <c r="BB1656" t="s">
        <v>111</v>
      </c>
      <c r="BC1656" t="s">
        <v>111</v>
      </c>
      <c r="BD1656" t="s">
        <v>111</v>
      </c>
      <c r="BE1656" t="s">
        <v>111</v>
      </c>
      <c r="BF1656" t="s">
        <v>111</v>
      </c>
      <c r="BG1656" t="s">
        <v>111</v>
      </c>
      <c r="BH1656" t="s">
        <v>111</v>
      </c>
      <c r="BI1656" t="s">
        <v>111</v>
      </c>
      <c r="BJ1656" t="s">
        <v>111</v>
      </c>
      <c r="BK1656" t="s">
        <v>111</v>
      </c>
      <c r="BL1656" t="s">
        <v>111</v>
      </c>
      <c r="BM1656" t="s">
        <v>111</v>
      </c>
      <c r="BN1656" t="s">
        <v>147</v>
      </c>
      <c r="BO1656" t="s">
        <v>111</v>
      </c>
      <c r="BP1656" t="s">
        <v>4607</v>
      </c>
      <c r="BQ1656" t="s">
        <v>111</v>
      </c>
      <c r="BR1656" t="s">
        <v>111</v>
      </c>
      <c r="BS1656" t="s">
        <v>111</v>
      </c>
      <c r="BT1656" t="s">
        <v>111</v>
      </c>
      <c r="BU1656" t="s">
        <v>111</v>
      </c>
      <c r="BV1656" t="s">
        <v>111</v>
      </c>
      <c r="BW1656" t="s">
        <v>111</v>
      </c>
      <c r="BX1656" t="s">
        <v>111</v>
      </c>
      <c r="BY1656" t="s">
        <v>111</v>
      </c>
      <c r="BZ1656" t="s">
        <v>111</v>
      </c>
      <c r="CA1656" t="s">
        <v>111</v>
      </c>
      <c r="CB1656" t="s">
        <v>111</v>
      </c>
      <c r="CC1656" t="s">
        <v>111</v>
      </c>
      <c r="CD1656" t="s">
        <v>111</v>
      </c>
      <c r="CE1656" t="s">
        <v>111</v>
      </c>
      <c r="CF1656" t="s">
        <v>111</v>
      </c>
      <c r="CG1656" t="s">
        <v>111</v>
      </c>
      <c r="CH1656" t="s">
        <v>111</v>
      </c>
      <c r="CI1656" t="s">
        <v>111</v>
      </c>
      <c r="CJ1656" t="s">
        <v>111</v>
      </c>
      <c r="CK1656" t="s">
        <v>111</v>
      </c>
      <c r="CL1656" s="1" t="s">
        <v>4608</v>
      </c>
      <c r="CM1656" t="s">
        <v>360</v>
      </c>
      <c r="CN1656" t="s">
        <v>113</v>
      </c>
      <c r="CO1656" t="s">
        <v>111</v>
      </c>
      <c r="CP1656" t="s">
        <v>1971</v>
      </c>
      <c r="CQ1656">
        <v>42</v>
      </c>
      <c r="CR1656">
        <v>2000</v>
      </c>
      <c r="CS1656">
        <v>100</v>
      </c>
      <c r="CT1656" s="1" t="s">
        <v>4609</v>
      </c>
      <c r="CU1656">
        <v>0</v>
      </c>
      <c r="CV1656" t="s">
        <v>111</v>
      </c>
      <c r="CX1656" t="s">
        <v>111</v>
      </c>
      <c r="CY1656">
        <v>0</v>
      </c>
      <c r="CZ1656" t="s">
        <v>111</v>
      </c>
      <c r="DA1656" t="s">
        <v>111</v>
      </c>
      <c r="DB1656" t="s">
        <v>111</v>
      </c>
      <c r="DC1656" t="s">
        <v>111</v>
      </c>
    </row>
    <row r="1657" spans="1:107">
      <c r="A1657">
        <v>2030</v>
      </c>
      <c r="B1657" t="s">
        <v>376</v>
      </c>
      <c r="C1657" t="s">
        <v>4458</v>
      </c>
      <c r="D1657" t="s">
        <v>4610</v>
      </c>
      <c r="E1657" t="s">
        <v>4611</v>
      </c>
      <c r="F1657" t="s">
        <v>1071</v>
      </c>
      <c r="G1657" t="s">
        <v>24</v>
      </c>
      <c r="H1657">
        <v>2</v>
      </c>
      <c r="I1657">
        <v>40</v>
      </c>
      <c r="J1657">
        <v>0</v>
      </c>
      <c r="K1657">
        <v>0</v>
      </c>
      <c r="L1657" t="s">
        <v>112</v>
      </c>
      <c r="M1657" t="s">
        <v>111</v>
      </c>
      <c r="N1657">
        <v>0</v>
      </c>
      <c r="O1657">
        <v>0</v>
      </c>
      <c r="P1657" t="s">
        <v>111</v>
      </c>
      <c r="Q1657">
        <v>42</v>
      </c>
      <c r="R1657">
        <v>0</v>
      </c>
      <c r="S1657">
        <v>0</v>
      </c>
      <c r="T1657">
        <v>5</v>
      </c>
      <c r="U1657" s="1" t="s">
        <v>4612</v>
      </c>
      <c r="V1657">
        <v>0</v>
      </c>
      <c r="W1657">
        <v>0</v>
      </c>
      <c r="X1657">
        <v>0</v>
      </c>
      <c r="Y1657">
        <v>25</v>
      </c>
      <c r="Z1657" t="s">
        <v>111</v>
      </c>
      <c r="AA1657">
        <v>0</v>
      </c>
      <c r="AB1657" t="s">
        <v>111</v>
      </c>
      <c r="AC1657">
        <v>0</v>
      </c>
      <c r="AD1657" t="s">
        <v>111</v>
      </c>
      <c r="AE1657">
        <v>0</v>
      </c>
      <c r="AF1657">
        <v>0</v>
      </c>
      <c r="AG1657" t="s">
        <v>111</v>
      </c>
      <c r="AH1657" t="s">
        <v>111</v>
      </c>
      <c r="AI1657" t="s">
        <v>111</v>
      </c>
      <c r="AJ1657" t="s">
        <v>111</v>
      </c>
      <c r="AK1657" t="s">
        <v>111</v>
      </c>
      <c r="AL1657" t="s">
        <v>111</v>
      </c>
      <c r="AM1657">
        <v>0</v>
      </c>
      <c r="AN1657">
        <v>0</v>
      </c>
      <c r="AO1657">
        <v>0</v>
      </c>
      <c r="AP1657" t="s">
        <v>111</v>
      </c>
      <c r="AQ1657" t="s">
        <v>111</v>
      </c>
      <c r="AR1657" t="s">
        <v>111</v>
      </c>
      <c r="AS1657" t="s">
        <v>111</v>
      </c>
      <c r="AT1657" t="s">
        <v>111</v>
      </c>
      <c r="AU1657" t="s">
        <v>111</v>
      </c>
      <c r="AV1657" t="s">
        <v>111</v>
      </c>
      <c r="AW1657" t="s">
        <v>111</v>
      </c>
      <c r="AX1657" t="s">
        <v>111</v>
      </c>
      <c r="AY1657" t="s">
        <v>111</v>
      </c>
      <c r="AZ1657" t="s">
        <v>111</v>
      </c>
      <c r="BA1657" t="s">
        <v>111</v>
      </c>
      <c r="BB1657" t="s">
        <v>111</v>
      </c>
      <c r="BC1657" t="s">
        <v>111</v>
      </c>
      <c r="BD1657" t="s">
        <v>111</v>
      </c>
      <c r="BE1657" t="s">
        <v>111</v>
      </c>
      <c r="BF1657" t="s">
        <v>111</v>
      </c>
      <c r="BG1657" t="s">
        <v>111</v>
      </c>
      <c r="BH1657" t="s">
        <v>111</v>
      </c>
      <c r="BI1657" t="s">
        <v>111</v>
      </c>
      <c r="BJ1657" t="s">
        <v>111</v>
      </c>
      <c r="BK1657" t="s">
        <v>111</v>
      </c>
      <c r="BL1657" t="s">
        <v>111</v>
      </c>
      <c r="BM1657" t="s">
        <v>111</v>
      </c>
      <c r="BN1657" t="s">
        <v>111</v>
      </c>
      <c r="BO1657" t="s">
        <v>111</v>
      </c>
      <c r="BP1657" t="s">
        <v>111</v>
      </c>
      <c r="BQ1657" t="s">
        <v>111</v>
      </c>
      <c r="BR1657" t="s">
        <v>111</v>
      </c>
      <c r="BS1657" t="s">
        <v>111</v>
      </c>
      <c r="BT1657" t="s">
        <v>111</v>
      </c>
      <c r="BU1657" t="s">
        <v>111</v>
      </c>
      <c r="BV1657" t="s">
        <v>111</v>
      </c>
      <c r="BW1657" t="s">
        <v>111</v>
      </c>
      <c r="BX1657" t="s">
        <v>111</v>
      </c>
      <c r="BY1657" t="s">
        <v>111</v>
      </c>
      <c r="BZ1657" t="s">
        <v>111</v>
      </c>
      <c r="CA1657" t="s">
        <v>111</v>
      </c>
      <c r="CB1657" t="s">
        <v>111</v>
      </c>
      <c r="CC1657" t="s">
        <v>111</v>
      </c>
      <c r="CD1657" t="s">
        <v>111</v>
      </c>
      <c r="CE1657" t="s">
        <v>111</v>
      </c>
      <c r="CF1657" t="s">
        <v>111</v>
      </c>
      <c r="CG1657" t="s">
        <v>111</v>
      </c>
      <c r="CH1657" t="s">
        <v>111</v>
      </c>
      <c r="CI1657" t="s">
        <v>111</v>
      </c>
      <c r="CJ1657" t="s">
        <v>111</v>
      </c>
      <c r="CK1657" t="s">
        <v>111</v>
      </c>
      <c r="CL1657" t="s">
        <v>111</v>
      </c>
      <c r="CM1657" t="s">
        <v>135</v>
      </c>
      <c r="CN1657" t="s">
        <v>113</v>
      </c>
      <c r="CO1657" t="s">
        <v>111</v>
      </c>
      <c r="CP1657" t="s">
        <v>111</v>
      </c>
      <c r="CQ1657">
        <v>0</v>
      </c>
      <c r="CR1657">
        <v>15000</v>
      </c>
      <c r="CS1657">
        <v>500</v>
      </c>
      <c r="CT1657" t="e">
        <f>- ALMACEN</f>
        <v>#NAME?</v>
      </c>
      <c r="CU1657">
        <v>0</v>
      </c>
      <c r="CV1657" t="s">
        <v>111</v>
      </c>
      <c r="CX1657" t="s">
        <v>111</v>
      </c>
      <c r="CY1657">
        <v>0</v>
      </c>
      <c r="CZ1657" t="s">
        <v>111</v>
      </c>
      <c r="DA1657" t="s">
        <v>111</v>
      </c>
      <c r="DB1657" t="s">
        <v>111</v>
      </c>
      <c r="DC1657" t="s">
        <v>111</v>
      </c>
    </row>
    <row r="1658" spans="1:107">
      <c r="A1658">
        <v>1981</v>
      </c>
      <c r="B1658" t="s">
        <v>107</v>
      </c>
      <c r="C1658" t="s">
        <v>593</v>
      </c>
      <c r="D1658" t="s">
        <v>4613</v>
      </c>
      <c r="E1658" t="s">
        <v>4614</v>
      </c>
      <c r="F1658" t="s">
        <v>1651</v>
      </c>
      <c r="G1658" t="s">
        <v>24</v>
      </c>
      <c r="H1658">
        <v>1.4</v>
      </c>
      <c r="I1658">
        <v>30</v>
      </c>
      <c r="J1658">
        <v>0</v>
      </c>
      <c r="K1658">
        <v>0</v>
      </c>
      <c r="L1658" t="s">
        <v>112</v>
      </c>
      <c r="M1658" t="s">
        <v>118</v>
      </c>
      <c r="N1658">
        <v>40</v>
      </c>
      <c r="O1658">
        <v>2</v>
      </c>
      <c r="P1658" t="s">
        <v>111</v>
      </c>
      <c r="Q1658">
        <v>40</v>
      </c>
      <c r="R1658">
        <v>0</v>
      </c>
      <c r="S1658">
        <v>0</v>
      </c>
      <c r="T1658">
        <v>5</v>
      </c>
      <c r="U1658" s="1" t="s">
        <v>662</v>
      </c>
      <c r="V1658">
        <v>0</v>
      </c>
      <c r="W1658">
        <v>0</v>
      </c>
      <c r="X1658">
        <v>0</v>
      </c>
      <c r="Y1658">
        <v>25</v>
      </c>
      <c r="Z1658" t="s">
        <v>111</v>
      </c>
      <c r="AA1658">
        <v>0</v>
      </c>
      <c r="AB1658" t="s">
        <v>111</v>
      </c>
      <c r="AC1658">
        <v>0</v>
      </c>
      <c r="AD1658" t="s">
        <v>416</v>
      </c>
      <c r="AE1658">
        <v>0</v>
      </c>
      <c r="AF1658">
        <v>0</v>
      </c>
      <c r="AG1658" t="s">
        <v>111</v>
      </c>
      <c r="AH1658" t="s">
        <v>111</v>
      </c>
      <c r="AI1658" t="s">
        <v>111</v>
      </c>
      <c r="AJ1658" t="s">
        <v>111</v>
      </c>
      <c r="AK1658" t="s">
        <v>111</v>
      </c>
      <c r="AL1658" t="s">
        <v>111</v>
      </c>
      <c r="AM1658">
        <v>0</v>
      </c>
      <c r="AN1658">
        <v>0</v>
      </c>
      <c r="AO1658">
        <v>0</v>
      </c>
      <c r="AP1658" t="s">
        <v>111</v>
      </c>
      <c r="AQ1658" t="s">
        <v>111</v>
      </c>
      <c r="AR1658" t="s">
        <v>111</v>
      </c>
      <c r="AS1658" t="s">
        <v>111</v>
      </c>
      <c r="AT1658" t="s">
        <v>111</v>
      </c>
      <c r="AU1658" t="s">
        <v>111</v>
      </c>
      <c r="AV1658" t="s">
        <v>111</v>
      </c>
      <c r="AW1658" t="s">
        <v>111</v>
      </c>
      <c r="AX1658" t="s">
        <v>111</v>
      </c>
      <c r="AY1658" t="s">
        <v>111</v>
      </c>
      <c r="AZ1658" t="s">
        <v>111</v>
      </c>
      <c r="BA1658" t="s">
        <v>111</v>
      </c>
      <c r="BB1658" t="s">
        <v>111</v>
      </c>
      <c r="BC1658" t="s">
        <v>111</v>
      </c>
      <c r="BD1658" t="s">
        <v>111</v>
      </c>
      <c r="BE1658" t="s">
        <v>111</v>
      </c>
      <c r="BF1658" t="s">
        <v>111</v>
      </c>
      <c r="BG1658" t="s">
        <v>111</v>
      </c>
      <c r="BH1658" t="s">
        <v>111</v>
      </c>
      <c r="BI1658" t="s">
        <v>111</v>
      </c>
      <c r="BJ1658" t="s">
        <v>111</v>
      </c>
      <c r="BK1658" t="s">
        <v>111</v>
      </c>
      <c r="BL1658" t="s">
        <v>111</v>
      </c>
      <c r="BM1658" t="s">
        <v>111</v>
      </c>
      <c r="BN1658" t="s">
        <v>111</v>
      </c>
      <c r="BO1658" t="s">
        <v>111</v>
      </c>
      <c r="BP1658" t="s">
        <v>111</v>
      </c>
      <c r="BQ1658" t="s">
        <v>111</v>
      </c>
      <c r="BR1658" t="s">
        <v>111</v>
      </c>
      <c r="BS1658" t="s">
        <v>111</v>
      </c>
      <c r="BT1658" t="s">
        <v>111</v>
      </c>
      <c r="BU1658" t="s">
        <v>111</v>
      </c>
      <c r="BV1658" t="s">
        <v>111</v>
      </c>
      <c r="BW1658" t="s">
        <v>111</v>
      </c>
      <c r="BX1658" t="s">
        <v>111</v>
      </c>
      <c r="BY1658" t="s">
        <v>111</v>
      </c>
      <c r="BZ1658" t="s">
        <v>111</v>
      </c>
      <c r="CA1658" t="s">
        <v>111</v>
      </c>
      <c r="CB1658" t="s">
        <v>111</v>
      </c>
      <c r="CC1658" t="s">
        <v>111</v>
      </c>
      <c r="CD1658" t="s">
        <v>111</v>
      </c>
      <c r="CE1658" t="s">
        <v>111</v>
      </c>
      <c r="CF1658" t="s">
        <v>111</v>
      </c>
      <c r="CG1658" t="s">
        <v>111</v>
      </c>
      <c r="CH1658" t="s">
        <v>111</v>
      </c>
      <c r="CI1658" t="s">
        <v>111</v>
      </c>
      <c r="CJ1658" t="s">
        <v>111</v>
      </c>
      <c r="CK1658" t="s">
        <v>111</v>
      </c>
      <c r="CL1658" t="s">
        <v>111</v>
      </c>
      <c r="CM1658">
        <v>450</v>
      </c>
      <c r="CN1658" t="s">
        <v>113</v>
      </c>
      <c r="CO1658" t="s">
        <v>111</v>
      </c>
      <c r="CP1658" t="s">
        <v>111</v>
      </c>
      <c r="CQ1658">
        <v>0</v>
      </c>
      <c r="CR1658">
        <v>6000</v>
      </c>
      <c r="CS1658">
        <v>250</v>
      </c>
      <c r="CT1658" s="1" t="s">
        <v>4512</v>
      </c>
      <c r="CU1658">
        <v>0</v>
      </c>
      <c r="CV1658" t="s">
        <v>111</v>
      </c>
      <c r="CX1658" t="s">
        <v>111</v>
      </c>
      <c r="CY1658">
        <v>0</v>
      </c>
      <c r="CZ1658" t="s">
        <v>111</v>
      </c>
      <c r="DA1658" t="s">
        <v>111</v>
      </c>
      <c r="DB1658" t="s">
        <v>111</v>
      </c>
      <c r="DC1658" t="s">
        <v>111</v>
      </c>
    </row>
    <row r="1659" spans="1:107">
      <c r="A1659">
        <v>2006</v>
      </c>
      <c r="B1659" t="s">
        <v>107</v>
      </c>
      <c r="C1659" t="s">
        <v>1643</v>
      </c>
      <c r="D1659" t="s">
        <v>4615</v>
      </c>
      <c r="E1659" t="s">
        <v>4616</v>
      </c>
      <c r="F1659" t="s">
        <v>2211</v>
      </c>
      <c r="G1659" t="s">
        <v>24</v>
      </c>
      <c r="H1659">
        <v>1.9</v>
      </c>
      <c r="I1659">
        <v>50</v>
      </c>
      <c r="J1659">
        <v>0</v>
      </c>
      <c r="K1659">
        <v>0</v>
      </c>
      <c r="L1659" t="s">
        <v>4617</v>
      </c>
      <c r="M1659" t="s">
        <v>111</v>
      </c>
      <c r="N1659">
        <v>0</v>
      </c>
      <c r="O1659">
        <v>0</v>
      </c>
      <c r="P1659" t="s">
        <v>111</v>
      </c>
      <c r="Q1659">
        <v>25</v>
      </c>
      <c r="R1659">
        <v>0</v>
      </c>
      <c r="S1659">
        <v>0</v>
      </c>
      <c r="T1659">
        <v>0</v>
      </c>
      <c r="U1659" s="1" t="s">
        <v>4618</v>
      </c>
      <c r="V1659">
        <v>0</v>
      </c>
      <c r="W1659">
        <v>0</v>
      </c>
      <c r="X1659">
        <v>0</v>
      </c>
      <c r="Y1659">
        <v>25</v>
      </c>
      <c r="Z1659" t="s">
        <v>111</v>
      </c>
      <c r="AA1659">
        <v>0</v>
      </c>
      <c r="AB1659" t="s">
        <v>4055</v>
      </c>
      <c r="AC1659">
        <v>0.3</v>
      </c>
      <c r="AD1659" t="s">
        <v>111</v>
      </c>
      <c r="AE1659">
        <v>0</v>
      </c>
      <c r="AF1659">
        <v>0</v>
      </c>
      <c r="AG1659" t="s">
        <v>111</v>
      </c>
      <c r="AH1659" t="s">
        <v>111</v>
      </c>
      <c r="AI1659" t="s">
        <v>111</v>
      </c>
      <c r="AJ1659" t="s">
        <v>111</v>
      </c>
      <c r="AK1659" t="s">
        <v>111</v>
      </c>
      <c r="AL1659" t="s">
        <v>111</v>
      </c>
      <c r="AM1659">
        <v>0</v>
      </c>
      <c r="AN1659">
        <v>0</v>
      </c>
      <c r="AO1659">
        <v>0</v>
      </c>
      <c r="AP1659" t="s">
        <v>111</v>
      </c>
      <c r="AQ1659" t="s">
        <v>111</v>
      </c>
      <c r="AR1659" t="s">
        <v>111</v>
      </c>
      <c r="AS1659" t="s">
        <v>111</v>
      </c>
      <c r="AT1659" t="s">
        <v>111</v>
      </c>
      <c r="AU1659" t="s">
        <v>111</v>
      </c>
      <c r="AV1659" t="s">
        <v>111</v>
      </c>
      <c r="AW1659" t="s">
        <v>111</v>
      </c>
      <c r="AX1659" t="s">
        <v>111</v>
      </c>
      <c r="AY1659" t="s">
        <v>111</v>
      </c>
      <c r="AZ1659" t="s">
        <v>111</v>
      </c>
      <c r="BA1659" t="s">
        <v>111</v>
      </c>
      <c r="BB1659" t="s">
        <v>111</v>
      </c>
      <c r="BC1659" t="s">
        <v>111</v>
      </c>
      <c r="BD1659" t="s">
        <v>111</v>
      </c>
      <c r="BE1659" t="s">
        <v>111</v>
      </c>
      <c r="BF1659" t="s">
        <v>111</v>
      </c>
      <c r="BG1659" t="s">
        <v>111</v>
      </c>
      <c r="BH1659" t="s">
        <v>111</v>
      </c>
      <c r="BI1659" t="s">
        <v>111</v>
      </c>
      <c r="BJ1659" t="s">
        <v>111</v>
      </c>
      <c r="BK1659" t="s">
        <v>111</v>
      </c>
      <c r="BL1659" t="s">
        <v>111</v>
      </c>
      <c r="BM1659" t="s">
        <v>111</v>
      </c>
      <c r="BN1659" t="s">
        <v>111</v>
      </c>
      <c r="BO1659" t="s">
        <v>111</v>
      </c>
      <c r="BP1659" t="s">
        <v>111</v>
      </c>
      <c r="BQ1659" t="s">
        <v>111</v>
      </c>
      <c r="BR1659" t="s">
        <v>111</v>
      </c>
      <c r="BS1659" t="s">
        <v>111</v>
      </c>
      <c r="BT1659" t="s">
        <v>111</v>
      </c>
      <c r="BU1659" t="s">
        <v>111</v>
      </c>
      <c r="BV1659" t="s">
        <v>111</v>
      </c>
      <c r="BW1659" t="s">
        <v>111</v>
      </c>
      <c r="BX1659" t="s">
        <v>111</v>
      </c>
      <c r="BY1659" t="s">
        <v>111</v>
      </c>
      <c r="BZ1659" t="s">
        <v>111</v>
      </c>
      <c r="CA1659" t="s">
        <v>111</v>
      </c>
      <c r="CB1659" t="s">
        <v>111</v>
      </c>
      <c r="CC1659" t="s">
        <v>111</v>
      </c>
      <c r="CD1659" t="s">
        <v>111</v>
      </c>
      <c r="CE1659" t="s">
        <v>111</v>
      </c>
      <c r="CF1659" t="s">
        <v>111</v>
      </c>
      <c r="CG1659" t="s">
        <v>111</v>
      </c>
      <c r="CH1659" t="s">
        <v>111</v>
      </c>
      <c r="CI1659" t="s">
        <v>111</v>
      </c>
      <c r="CJ1659" t="s">
        <v>111</v>
      </c>
      <c r="CK1659" t="s">
        <v>111</v>
      </c>
      <c r="CL1659" t="s">
        <v>111</v>
      </c>
      <c r="CM1659" t="s">
        <v>111</v>
      </c>
      <c r="CN1659" t="s">
        <v>111</v>
      </c>
      <c r="CO1659" t="s">
        <v>111</v>
      </c>
      <c r="CP1659" t="s">
        <v>111</v>
      </c>
      <c r="CQ1659">
        <v>0</v>
      </c>
      <c r="CR1659">
        <v>0</v>
      </c>
      <c r="CS1659">
        <v>0</v>
      </c>
      <c r="CT1659" t="s">
        <v>111</v>
      </c>
      <c r="CU1659">
        <v>0</v>
      </c>
      <c r="CV1659" t="s">
        <v>111</v>
      </c>
      <c r="CX1659" t="s">
        <v>111</v>
      </c>
      <c r="CY1659">
        <v>0</v>
      </c>
      <c r="CZ1659" t="s">
        <v>111</v>
      </c>
      <c r="DA1659" t="s">
        <v>111</v>
      </c>
      <c r="DB1659" t="s">
        <v>111</v>
      </c>
      <c r="DC1659" t="s">
        <v>111</v>
      </c>
    </row>
    <row r="1660" spans="1:107">
      <c r="A1660">
        <v>1725</v>
      </c>
      <c r="B1660" t="s">
        <v>107</v>
      </c>
      <c r="C1660" t="s">
        <v>4147</v>
      </c>
      <c r="D1660" t="s">
        <v>4619</v>
      </c>
      <c r="E1660" t="s">
        <v>4620</v>
      </c>
      <c r="F1660" t="s">
        <v>1071</v>
      </c>
      <c r="G1660" t="s">
        <v>24</v>
      </c>
      <c r="H1660">
        <v>1.9</v>
      </c>
      <c r="I1660">
        <v>33</v>
      </c>
      <c r="J1660">
        <v>0</v>
      </c>
      <c r="K1660">
        <v>0</v>
      </c>
      <c r="L1660" t="s">
        <v>112</v>
      </c>
      <c r="M1660" t="s">
        <v>111</v>
      </c>
      <c r="N1660">
        <v>0</v>
      </c>
      <c r="O1660">
        <v>0</v>
      </c>
      <c r="P1660" t="s">
        <v>111</v>
      </c>
      <c r="Q1660">
        <v>41.9</v>
      </c>
      <c r="R1660">
        <v>0</v>
      </c>
      <c r="S1660">
        <v>0</v>
      </c>
      <c r="T1660">
        <v>5</v>
      </c>
      <c r="U1660" t="e">
        <f>-SELLADO</f>
        <v>#NAME?</v>
      </c>
      <c r="V1660">
        <v>0</v>
      </c>
      <c r="W1660">
        <v>0</v>
      </c>
      <c r="X1660">
        <v>0</v>
      </c>
      <c r="Y1660">
        <v>25</v>
      </c>
      <c r="Z1660" t="s">
        <v>111</v>
      </c>
      <c r="AA1660">
        <v>0</v>
      </c>
      <c r="AB1660" t="s">
        <v>111</v>
      </c>
      <c r="AC1660">
        <v>0</v>
      </c>
      <c r="AD1660" t="s">
        <v>111</v>
      </c>
      <c r="AE1660">
        <v>0</v>
      </c>
      <c r="AF1660">
        <v>0</v>
      </c>
      <c r="AG1660" t="s">
        <v>111</v>
      </c>
      <c r="AH1660" t="s">
        <v>111</v>
      </c>
      <c r="AI1660" t="s">
        <v>111</v>
      </c>
      <c r="AJ1660" t="s">
        <v>111</v>
      </c>
      <c r="AK1660" t="s">
        <v>111</v>
      </c>
      <c r="AL1660" t="s">
        <v>111</v>
      </c>
      <c r="AM1660">
        <v>0</v>
      </c>
      <c r="AN1660">
        <v>0</v>
      </c>
      <c r="AO1660">
        <v>0</v>
      </c>
      <c r="AP1660" t="s">
        <v>111</v>
      </c>
      <c r="AQ1660" t="s">
        <v>111</v>
      </c>
      <c r="AR1660" t="s">
        <v>111</v>
      </c>
      <c r="AS1660" t="s">
        <v>111</v>
      </c>
      <c r="AT1660" t="s">
        <v>111</v>
      </c>
      <c r="AU1660" t="s">
        <v>111</v>
      </c>
      <c r="AV1660" t="s">
        <v>111</v>
      </c>
      <c r="AW1660" t="s">
        <v>111</v>
      </c>
      <c r="AX1660" t="s">
        <v>111</v>
      </c>
      <c r="AY1660" t="s">
        <v>111</v>
      </c>
      <c r="AZ1660" t="s">
        <v>111</v>
      </c>
      <c r="BA1660" t="s">
        <v>111</v>
      </c>
      <c r="BB1660" t="s">
        <v>111</v>
      </c>
      <c r="BC1660" t="s">
        <v>111</v>
      </c>
      <c r="BD1660" t="s">
        <v>111</v>
      </c>
      <c r="BE1660" t="s">
        <v>111</v>
      </c>
      <c r="BF1660" t="s">
        <v>111</v>
      </c>
      <c r="BG1660" t="s">
        <v>111</v>
      </c>
      <c r="BH1660" t="s">
        <v>111</v>
      </c>
      <c r="BI1660" t="s">
        <v>111</v>
      </c>
      <c r="BJ1660" t="s">
        <v>111</v>
      </c>
      <c r="BK1660" t="s">
        <v>111</v>
      </c>
      <c r="BL1660" t="s">
        <v>111</v>
      </c>
      <c r="BM1660" t="s">
        <v>111</v>
      </c>
      <c r="BN1660" t="s">
        <v>111</v>
      </c>
      <c r="BO1660" t="s">
        <v>111</v>
      </c>
      <c r="BP1660" t="s">
        <v>111</v>
      </c>
      <c r="BQ1660" t="s">
        <v>111</v>
      </c>
      <c r="BR1660" t="s">
        <v>111</v>
      </c>
      <c r="BS1660" t="s">
        <v>111</v>
      </c>
      <c r="BT1660" t="s">
        <v>111</v>
      </c>
      <c r="BU1660" t="s">
        <v>111</v>
      </c>
      <c r="BV1660" t="s">
        <v>111</v>
      </c>
      <c r="BW1660" t="s">
        <v>111</v>
      </c>
      <c r="BX1660" t="s">
        <v>111</v>
      </c>
      <c r="BY1660" t="s">
        <v>111</v>
      </c>
      <c r="BZ1660" t="s">
        <v>111</v>
      </c>
      <c r="CA1660" t="s">
        <v>111</v>
      </c>
      <c r="CB1660" t="s">
        <v>111</v>
      </c>
      <c r="CC1660" t="s">
        <v>111</v>
      </c>
      <c r="CD1660" t="s">
        <v>111</v>
      </c>
      <c r="CE1660" t="s">
        <v>111</v>
      </c>
      <c r="CF1660" t="s">
        <v>111</v>
      </c>
      <c r="CG1660" t="s">
        <v>111</v>
      </c>
      <c r="CH1660" t="s">
        <v>111</v>
      </c>
      <c r="CI1660" t="s">
        <v>111</v>
      </c>
      <c r="CJ1660" t="s">
        <v>111</v>
      </c>
      <c r="CK1660" t="s">
        <v>111</v>
      </c>
      <c r="CL1660" t="s">
        <v>111</v>
      </c>
      <c r="CM1660">
        <v>450</v>
      </c>
      <c r="CN1660" t="s">
        <v>113</v>
      </c>
      <c r="CO1660" t="s">
        <v>111</v>
      </c>
      <c r="CP1660" t="s">
        <v>111</v>
      </c>
      <c r="CQ1660">
        <v>0</v>
      </c>
      <c r="CR1660">
        <v>4000</v>
      </c>
      <c r="CS1660">
        <v>100</v>
      </c>
      <c r="CT1660" s="1" t="s">
        <v>4512</v>
      </c>
      <c r="CU1660">
        <v>0</v>
      </c>
      <c r="CV1660" t="s">
        <v>111</v>
      </c>
      <c r="CX1660" t="s">
        <v>111</v>
      </c>
      <c r="CY1660">
        <v>0</v>
      </c>
      <c r="CZ1660" t="s">
        <v>111</v>
      </c>
      <c r="DA1660" t="s">
        <v>111</v>
      </c>
      <c r="DB1660" t="s">
        <v>111</v>
      </c>
      <c r="DC1660" t="s">
        <v>111</v>
      </c>
    </row>
    <row r="1661" spans="1:107">
      <c r="A1661">
        <v>1760</v>
      </c>
      <c r="B1661" t="s">
        <v>107</v>
      </c>
      <c r="C1661" t="s">
        <v>454</v>
      </c>
      <c r="D1661" t="s">
        <v>4621</v>
      </c>
      <c r="E1661" t="s">
        <v>4622</v>
      </c>
      <c r="F1661" t="s">
        <v>1071</v>
      </c>
      <c r="G1661" t="s">
        <v>24</v>
      </c>
      <c r="H1661">
        <v>1.5</v>
      </c>
      <c r="I1661">
        <v>30</v>
      </c>
      <c r="J1661">
        <v>0</v>
      </c>
      <c r="K1661">
        <v>0</v>
      </c>
      <c r="L1661" t="s">
        <v>111</v>
      </c>
      <c r="M1661" t="s">
        <v>138</v>
      </c>
      <c r="N1661">
        <v>0</v>
      </c>
      <c r="O1661">
        <v>0</v>
      </c>
      <c r="P1661" t="s">
        <v>111</v>
      </c>
      <c r="Q1661">
        <v>34.200000000000003</v>
      </c>
      <c r="R1661">
        <v>0</v>
      </c>
      <c r="S1661">
        <v>0</v>
      </c>
      <c r="T1661">
        <v>5</v>
      </c>
      <c r="U1661" t="s">
        <v>111</v>
      </c>
      <c r="V1661">
        <v>0</v>
      </c>
      <c r="W1661">
        <v>0</v>
      </c>
      <c r="X1661">
        <v>0</v>
      </c>
      <c r="Y1661">
        <v>25</v>
      </c>
      <c r="Z1661" t="s">
        <v>111</v>
      </c>
      <c r="AA1661">
        <v>0</v>
      </c>
      <c r="AB1661" t="s">
        <v>111</v>
      </c>
      <c r="AC1661">
        <v>0</v>
      </c>
      <c r="AD1661" t="s">
        <v>111</v>
      </c>
      <c r="AE1661">
        <v>0</v>
      </c>
      <c r="AF1661">
        <v>0</v>
      </c>
      <c r="AG1661" t="s">
        <v>111</v>
      </c>
      <c r="AH1661" t="s">
        <v>111</v>
      </c>
      <c r="AI1661" t="s">
        <v>111</v>
      </c>
      <c r="AJ1661" t="s">
        <v>111</v>
      </c>
      <c r="AK1661" t="s">
        <v>111</v>
      </c>
      <c r="AL1661" t="s">
        <v>111</v>
      </c>
      <c r="AM1661">
        <v>0</v>
      </c>
      <c r="AN1661">
        <v>0</v>
      </c>
      <c r="AO1661">
        <v>0</v>
      </c>
      <c r="AP1661" t="s">
        <v>111</v>
      </c>
      <c r="AQ1661" t="s">
        <v>111</v>
      </c>
      <c r="AR1661" t="s">
        <v>111</v>
      </c>
      <c r="AS1661" t="s">
        <v>111</v>
      </c>
      <c r="AT1661" t="s">
        <v>111</v>
      </c>
      <c r="AU1661" t="s">
        <v>111</v>
      </c>
      <c r="AV1661" t="s">
        <v>111</v>
      </c>
      <c r="AW1661" t="s">
        <v>111</v>
      </c>
      <c r="AX1661" t="s">
        <v>111</v>
      </c>
      <c r="AY1661" t="s">
        <v>111</v>
      </c>
      <c r="AZ1661" t="s">
        <v>111</v>
      </c>
      <c r="BA1661" t="s">
        <v>111</v>
      </c>
      <c r="BB1661" t="s">
        <v>111</v>
      </c>
      <c r="BC1661" t="s">
        <v>111</v>
      </c>
      <c r="BD1661" t="s">
        <v>111</v>
      </c>
      <c r="BE1661" t="s">
        <v>111</v>
      </c>
      <c r="BF1661" t="s">
        <v>111</v>
      </c>
      <c r="BG1661" t="s">
        <v>111</v>
      </c>
      <c r="BH1661" t="s">
        <v>111</v>
      </c>
      <c r="BI1661" t="s">
        <v>111</v>
      </c>
      <c r="BJ1661" t="s">
        <v>111</v>
      </c>
      <c r="BK1661" t="s">
        <v>111</v>
      </c>
      <c r="BL1661" t="s">
        <v>111</v>
      </c>
      <c r="BM1661" t="s">
        <v>111</v>
      </c>
      <c r="BN1661" t="s">
        <v>111</v>
      </c>
      <c r="BO1661" t="s">
        <v>111</v>
      </c>
      <c r="BP1661" t="s">
        <v>111</v>
      </c>
      <c r="BQ1661" t="s">
        <v>111</v>
      </c>
      <c r="BR1661" t="s">
        <v>111</v>
      </c>
      <c r="BS1661" t="s">
        <v>111</v>
      </c>
      <c r="BT1661" t="s">
        <v>111</v>
      </c>
      <c r="BU1661" t="s">
        <v>111</v>
      </c>
      <c r="BV1661" t="s">
        <v>111</v>
      </c>
      <c r="BW1661" t="s">
        <v>111</v>
      </c>
      <c r="BX1661" t="s">
        <v>111</v>
      </c>
      <c r="BY1661" t="s">
        <v>111</v>
      </c>
      <c r="BZ1661" t="s">
        <v>111</v>
      </c>
      <c r="CA1661" t="s">
        <v>111</v>
      </c>
      <c r="CB1661" t="s">
        <v>111</v>
      </c>
      <c r="CC1661" t="s">
        <v>111</v>
      </c>
      <c r="CD1661" t="s">
        <v>111</v>
      </c>
      <c r="CE1661" t="s">
        <v>111</v>
      </c>
      <c r="CF1661" t="s">
        <v>111</v>
      </c>
      <c r="CG1661" t="s">
        <v>111</v>
      </c>
      <c r="CH1661" t="s">
        <v>111</v>
      </c>
      <c r="CI1661" t="s">
        <v>111</v>
      </c>
      <c r="CJ1661" t="s">
        <v>111</v>
      </c>
      <c r="CK1661" t="s">
        <v>111</v>
      </c>
      <c r="CL1661" t="s">
        <v>111</v>
      </c>
      <c r="CM1661" t="s">
        <v>198</v>
      </c>
      <c r="CN1661" t="s">
        <v>113</v>
      </c>
      <c r="CO1661" t="s">
        <v>111</v>
      </c>
      <c r="CP1661" t="e">
        <f>-MUESTRA</f>
        <v>#NAME?</v>
      </c>
      <c r="CQ1661">
        <v>70</v>
      </c>
      <c r="CR1661">
        <v>200</v>
      </c>
      <c r="CS1661">
        <v>5000</v>
      </c>
      <c r="CT1661" t="s">
        <v>111</v>
      </c>
      <c r="CU1661">
        <v>0</v>
      </c>
      <c r="CV1661" t="s">
        <v>111</v>
      </c>
      <c r="CX1661" t="s">
        <v>111</v>
      </c>
      <c r="CY1661">
        <v>0</v>
      </c>
      <c r="CZ1661" t="s">
        <v>111</v>
      </c>
      <c r="DA1661" t="s">
        <v>111</v>
      </c>
      <c r="DB1661" t="s">
        <v>111</v>
      </c>
      <c r="DC1661" t="s">
        <v>111</v>
      </c>
    </row>
    <row r="1662" spans="1:107">
      <c r="A1662">
        <v>1758</v>
      </c>
      <c r="B1662" t="s">
        <v>107</v>
      </c>
      <c r="C1662" t="s">
        <v>4623</v>
      </c>
      <c r="D1662" t="s">
        <v>4624</v>
      </c>
      <c r="E1662" t="s">
        <v>4625</v>
      </c>
      <c r="F1662" t="s">
        <v>1071</v>
      </c>
      <c r="G1662" t="s">
        <v>24</v>
      </c>
      <c r="H1662">
        <v>1.3</v>
      </c>
      <c r="I1662">
        <v>35</v>
      </c>
      <c r="J1662">
        <v>0</v>
      </c>
      <c r="K1662">
        <v>0</v>
      </c>
      <c r="L1662" t="s">
        <v>112</v>
      </c>
      <c r="M1662" t="s">
        <v>111</v>
      </c>
      <c r="N1662">
        <v>0</v>
      </c>
      <c r="O1662">
        <v>0</v>
      </c>
      <c r="P1662" t="s">
        <v>138</v>
      </c>
      <c r="Q1662">
        <v>40</v>
      </c>
      <c r="R1662">
        <v>0</v>
      </c>
      <c r="S1662">
        <v>0</v>
      </c>
      <c r="T1662">
        <v>6</v>
      </c>
      <c r="U1662" t="s">
        <v>111</v>
      </c>
      <c r="V1662">
        <v>0</v>
      </c>
      <c r="W1662">
        <v>0</v>
      </c>
      <c r="X1662">
        <v>0</v>
      </c>
      <c r="Y1662">
        <v>25</v>
      </c>
      <c r="Z1662" t="s">
        <v>111</v>
      </c>
      <c r="AA1662">
        <v>0</v>
      </c>
      <c r="AB1662" t="s">
        <v>111</v>
      </c>
      <c r="AC1662">
        <v>0</v>
      </c>
      <c r="AD1662" t="s">
        <v>111</v>
      </c>
      <c r="AE1662">
        <v>0</v>
      </c>
      <c r="AF1662">
        <v>0</v>
      </c>
      <c r="AG1662" t="s">
        <v>111</v>
      </c>
      <c r="AH1662" t="s">
        <v>111</v>
      </c>
      <c r="AI1662" t="s">
        <v>111</v>
      </c>
      <c r="AJ1662" t="s">
        <v>111</v>
      </c>
      <c r="AK1662" t="s">
        <v>111</v>
      </c>
      <c r="AL1662" t="s">
        <v>111</v>
      </c>
      <c r="AM1662">
        <v>0</v>
      </c>
      <c r="AN1662">
        <v>0</v>
      </c>
      <c r="AO1662">
        <v>0</v>
      </c>
      <c r="AP1662" t="s">
        <v>111</v>
      </c>
      <c r="AQ1662" t="s">
        <v>111</v>
      </c>
      <c r="AR1662" t="s">
        <v>111</v>
      </c>
      <c r="AS1662" t="s">
        <v>111</v>
      </c>
      <c r="AT1662" t="s">
        <v>111</v>
      </c>
      <c r="AU1662" t="s">
        <v>111</v>
      </c>
      <c r="AV1662" t="s">
        <v>111</v>
      </c>
      <c r="AW1662" t="s">
        <v>111</v>
      </c>
      <c r="AX1662" t="s">
        <v>111</v>
      </c>
      <c r="AY1662" t="s">
        <v>111</v>
      </c>
      <c r="AZ1662" t="s">
        <v>111</v>
      </c>
      <c r="BA1662" t="s">
        <v>111</v>
      </c>
      <c r="BB1662" t="s">
        <v>111</v>
      </c>
      <c r="BC1662" t="s">
        <v>111</v>
      </c>
      <c r="BD1662" t="s">
        <v>111</v>
      </c>
      <c r="BE1662" t="s">
        <v>111</v>
      </c>
      <c r="BF1662" t="s">
        <v>111</v>
      </c>
      <c r="BG1662" t="s">
        <v>111</v>
      </c>
      <c r="BH1662" t="s">
        <v>111</v>
      </c>
      <c r="BI1662" t="s">
        <v>111</v>
      </c>
      <c r="BJ1662" t="s">
        <v>111</v>
      </c>
      <c r="BK1662" t="s">
        <v>111</v>
      </c>
      <c r="BL1662" t="s">
        <v>111</v>
      </c>
      <c r="BM1662" t="s">
        <v>111</v>
      </c>
      <c r="BN1662" t="s">
        <v>111</v>
      </c>
      <c r="BO1662" t="s">
        <v>111</v>
      </c>
      <c r="BP1662" t="s">
        <v>111</v>
      </c>
      <c r="BQ1662" t="s">
        <v>111</v>
      </c>
      <c r="BR1662" t="s">
        <v>111</v>
      </c>
      <c r="BS1662" t="s">
        <v>111</v>
      </c>
      <c r="BT1662" t="s">
        <v>111</v>
      </c>
      <c r="BU1662" t="s">
        <v>111</v>
      </c>
      <c r="BV1662" t="s">
        <v>111</v>
      </c>
      <c r="BW1662" t="s">
        <v>111</v>
      </c>
      <c r="BX1662" t="s">
        <v>111</v>
      </c>
      <c r="BY1662" t="s">
        <v>111</v>
      </c>
      <c r="BZ1662" t="s">
        <v>111</v>
      </c>
      <c r="CA1662" t="s">
        <v>111</v>
      </c>
      <c r="CB1662" t="s">
        <v>111</v>
      </c>
      <c r="CC1662" t="s">
        <v>111</v>
      </c>
      <c r="CD1662" t="s">
        <v>111</v>
      </c>
      <c r="CE1662" t="s">
        <v>111</v>
      </c>
      <c r="CF1662" t="s">
        <v>111</v>
      </c>
      <c r="CG1662" t="s">
        <v>111</v>
      </c>
      <c r="CH1662" t="s">
        <v>111</v>
      </c>
      <c r="CI1662" t="s">
        <v>111</v>
      </c>
      <c r="CJ1662" t="s">
        <v>111</v>
      </c>
      <c r="CK1662" t="s">
        <v>111</v>
      </c>
      <c r="CL1662" t="s">
        <v>111</v>
      </c>
      <c r="CM1662">
        <v>450</v>
      </c>
      <c r="CN1662" t="s">
        <v>113</v>
      </c>
      <c r="CO1662" t="s">
        <v>111</v>
      </c>
      <c r="CP1662" t="s">
        <v>111</v>
      </c>
      <c r="CQ1662">
        <v>0</v>
      </c>
      <c r="CR1662">
        <v>5000</v>
      </c>
      <c r="CS1662">
        <v>100</v>
      </c>
      <c r="CT1662" s="1" t="s">
        <v>4626</v>
      </c>
      <c r="CU1662">
        <v>0</v>
      </c>
      <c r="CV1662" t="s">
        <v>111</v>
      </c>
      <c r="CX1662" t="s">
        <v>111</v>
      </c>
      <c r="CY1662">
        <v>0</v>
      </c>
      <c r="CZ1662" t="s">
        <v>111</v>
      </c>
      <c r="DA1662" t="s">
        <v>111</v>
      </c>
      <c r="DB1662" t="s">
        <v>111</v>
      </c>
      <c r="DC1662" t="s">
        <v>111</v>
      </c>
    </row>
    <row r="1663" spans="1:107">
      <c r="A1663">
        <v>1753</v>
      </c>
      <c r="B1663" t="s">
        <v>107</v>
      </c>
      <c r="C1663" s="2">
        <v>91226680</v>
      </c>
      <c r="D1663" t="s">
        <v>4627</v>
      </c>
      <c r="E1663" t="s">
        <v>4628</v>
      </c>
      <c r="F1663" t="s">
        <v>4420</v>
      </c>
      <c r="G1663" t="s">
        <v>24</v>
      </c>
      <c r="H1663">
        <v>1.9</v>
      </c>
      <c r="I1663">
        <v>20</v>
      </c>
      <c r="J1663">
        <v>0</v>
      </c>
      <c r="K1663">
        <v>0</v>
      </c>
      <c r="L1663" t="s">
        <v>178</v>
      </c>
      <c r="M1663" t="s">
        <v>111</v>
      </c>
      <c r="N1663">
        <v>0</v>
      </c>
      <c r="O1663">
        <v>0</v>
      </c>
      <c r="P1663" t="s">
        <v>111</v>
      </c>
      <c r="Q1663">
        <v>25</v>
      </c>
      <c r="R1663">
        <v>0</v>
      </c>
      <c r="S1663">
        <v>0</v>
      </c>
      <c r="T1663">
        <v>0</v>
      </c>
      <c r="U1663" s="1" t="s">
        <v>4629</v>
      </c>
      <c r="V1663">
        <v>0</v>
      </c>
      <c r="W1663">
        <v>0</v>
      </c>
      <c r="X1663">
        <v>0</v>
      </c>
      <c r="Y1663">
        <v>25</v>
      </c>
      <c r="Z1663" t="s">
        <v>111</v>
      </c>
      <c r="AA1663">
        <v>0</v>
      </c>
      <c r="AB1663" t="s">
        <v>111</v>
      </c>
      <c r="AC1663">
        <v>0</v>
      </c>
      <c r="AD1663" t="s">
        <v>111</v>
      </c>
      <c r="AE1663">
        <v>0</v>
      </c>
      <c r="AF1663">
        <v>0</v>
      </c>
      <c r="AG1663" t="s">
        <v>111</v>
      </c>
      <c r="AH1663" t="s">
        <v>111</v>
      </c>
      <c r="AI1663" t="s">
        <v>111</v>
      </c>
      <c r="AJ1663" t="s">
        <v>111</v>
      </c>
      <c r="AK1663" t="s">
        <v>111</v>
      </c>
      <c r="AL1663" t="s">
        <v>111</v>
      </c>
      <c r="AM1663">
        <v>0</v>
      </c>
      <c r="AN1663">
        <v>0</v>
      </c>
      <c r="AO1663">
        <v>0</v>
      </c>
      <c r="AP1663" t="s">
        <v>111</v>
      </c>
      <c r="AQ1663" t="s">
        <v>111</v>
      </c>
      <c r="AR1663" t="s">
        <v>111</v>
      </c>
      <c r="AS1663" t="s">
        <v>111</v>
      </c>
      <c r="AT1663" t="s">
        <v>111</v>
      </c>
      <c r="AU1663" t="s">
        <v>111</v>
      </c>
      <c r="AV1663" t="s">
        <v>111</v>
      </c>
      <c r="AW1663" t="s">
        <v>111</v>
      </c>
      <c r="AX1663" t="s">
        <v>111</v>
      </c>
      <c r="AY1663" t="s">
        <v>111</v>
      </c>
      <c r="AZ1663" t="s">
        <v>111</v>
      </c>
      <c r="BA1663" t="s">
        <v>111</v>
      </c>
      <c r="BB1663" t="s">
        <v>111</v>
      </c>
      <c r="BC1663" t="s">
        <v>111</v>
      </c>
      <c r="BD1663" t="s">
        <v>111</v>
      </c>
      <c r="BE1663" t="s">
        <v>111</v>
      </c>
      <c r="BF1663" t="s">
        <v>111</v>
      </c>
      <c r="BG1663" t="s">
        <v>111</v>
      </c>
      <c r="BH1663" t="s">
        <v>111</v>
      </c>
      <c r="BI1663" t="s">
        <v>111</v>
      </c>
      <c r="BJ1663" t="s">
        <v>111</v>
      </c>
      <c r="BK1663" t="s">
        <v>111</v>
      </c>
      <c r="BL1663" t="s">
        <v>111</v>
      </c>
      <c r="BM1663" t="s">
        <v>111</v>
      </c>
      <c r="BN1663" t="s">
        <v>111</v>
      </c>
      <c r="BO1663" t="s">
        <v>111</v>
      </c>
      <c r="BP1663" t="s">
        <v>111</v>
      </c>
      <c r="BQ1663" t="s">
        <v>111</v>
      </c>
      <c r="BR1663" t="s">
        <v>111</v>
      </c>
      <c r="BS1663" t="s">
        <v>111</v>
      </c>
      <c r="BT1663" t="s">
        <v>111</v>
      </c>
      <c r="BU1663" t="s">
        <v>111</v>
      </c>
      <c r="BV1663" t="s">
        <v>111</v>
      </c>
      <c r="BW1663" t="s">
        <v>111</v>
      </c>
      <c r="BX1663" t="s">
        <v>111</v>
      </c>
      <c r="BY1663" t="s">
        <v>111</v>
      </c>
      <c r="BZ1663" t="s">
        <v>111</v>
      </c>
      <c r="CA1663" t="s">
        <v>111</v>
      </c>
      <c r="CB1663" t="s">
        <v>111</v>
      </c>
      <c r="CC1663" t="s">
        <v>111</v>
      </c>
      <c r="CD1663" t="s">
        <v>111</v>
      </c>
      <c r="CE1663" t="s">
        <v>111</v>
      </c>
      <c r="CF1663" t="s">
        <v>111</v>
      </c>
      <c r="CG1663" t="s">
        <v>111</v>
      </c>
      <c r="CH1663" t="s">
        <v>111</v>
      </c>
      <c r="CI1663" t="s">
        <v>111</v>
      </c>
      <c r="CJ1663" t="s">
        <v>111</v>
      </c>
      <c r="CK1663" t="s">
        <v>111</v>
      </c>
      <c r="CL1663" t="s">
        <v>111</v>
      </c>
      <c r="CM1663" t="s">
        <v>111</v>
      </c>
      <c r="CN1663" t="s">
        <v>111</v>
      </c>
      <c r="CO1663" t="s">
        <v>111</v>
      </c>
      <c r="CP1663" t="s">
        <v>111</v>
      </c>
      <c r="CQ1663">
        <v>0</v>
      </c>
      <c r="CR1663">
        <v>0</v>
      </c>
      <c r="CS1663">
        <v>0</v>
      </c>
      <c r="CT1663" t="s">
        <v>111</v>
      </c>
      <c r="CU1663">
        <v>0</v>
      </c>
      <c r="CV1663" t="s">
        <v>111</v>
      </c>
      <c r="CX1663" t="s">
        <v>111</v>
      </c>
      <c r="CY1663">
        <v>0</v>
      </c>
      <c r="CZ1663" t="s">
        <v>111</v>
      </c>
      <c r="DA1663" t="s">
        <v>111</v>
      </c>
      <c r="DB1663" t="s">
        <v>111</v>
      </c>
      <c r="DC1663" t="s">
        <v>111</v>
      </c>
    </row>
    <row r="1664" spans="1:107">
      <c r="A1664">
        <v>1746</v>
      </c>
      <c r="B1664" t="s">
        <v>107</v>
      </c>
      <c r="C1664" t="s">
        <v>454</v>
      </c>
      <c r="D1664" t="s">
        <v>4630</v>
      </c>
      <c r="E1664" t="s">
        <v>4631</v>
      </c>
      <c r="F1664" t="s">
        <v>1651</v>
      </c>
      <c r="G1664" t="s">
        <v>24</v>
      </c>
      <c r="H1664">
        <v>1.7</v>
      </c>
      <c r="I1664">
        <v>40</v>
      </c>
      <c r="J1664">
        <v>0</v>
      </c>
      <c r="K1664">
        <v>0</v>
      </c>
      <c r="L1664" t="s">
        <v>112</v>
      </c>
      <c r="M1664" t="s">
        <v>118</v>
      </c>
      <c r="N1664">
        <v>40</v>
      </c>
      <c r="O1664">
        <v>1</v>
      </c>
      <c r="P1664" t="s">
        <v>138</v>
      </c>
      <c r="Q1664">
        <v>37.6</v>
      </c>
      <c r="R1664">
        <v>0</v>
      </c>
      <c r="S1664">
        <v>0</v>
      </c>
      <c r="T1664">
        <v>5</v>
      </c>
      <c r="U1664" t="s">
        <v>168</v>
      </c>
      <c r="V1664">
        <v>0</v>
      </c>
      <c r="W1664">
        <v>0</v>
      </c>
      <c r="X1664">
        <v>0</v>
      </c>
      <c r="Y1664">
        <v>250</v>
      </c>
      <c r="Z1664" t="s">
        <v>111</v>
      </c>
      <c r="AA1664">
        <v>0</v>
      </c>
      <c r="AB1664" t="s">
        <v>111</v>
      </c>
      <c r="AC1664">
        <v>0</v>
      </c>
      <c r="AD1664" t="s">
        <v>416</v>
      </c>
      <c r="AE1664">
        <v>0</v>
      </c>
      <c r="AF1664">
        <v>0</v>
      </c>
      <c r="AG1664" t="s">
        <v>111</v>
      </c>
      <c r="AH1664" t="s">
        <v>111</v>
      </c>
      <c r="AI1664" t="s">
        <v>111</v>
      </c>
      <c r="AJ1664" t="s">
        <v>111</v>
      </c>
      <c r="AK1664" t="s">
        <v>111</v>
      </c>
      <c r="AL1664" t="s">
        <v>111</v>
      </c>
      <c r="AM1664">
        <v>0</v>
      </c>
      <c r="AN1664">
        <v>0</v>
      </c>
      <c r="AO1664">
        <v>0</v>
      </c>
      <c r="AP1664" t="s">
        <v>111</v>
      </c>
      <c r="AQ1664" t="s">
        <v>111</v>
      </c>
      <c r="AR1664" t="s">
        <v>111</v>
      </c>
      <c r="AS1664" t="s">
        <v>111</v>
      </c>
      <c r="AT1664" t="s">
        <v>111</v>
      </c>
      <c r="AU1664" t="s">
        <v>111</v>
      </c>
      <c r="AV1664" t="s">
        <v>111</v>
      </c>
      <c r="AW1664" t="s">
        <v>111</v>
      </c>
      <c r="AX1664" t="s">
        <v>111</v>
      </c>
      <c r="AY1664" t="s">
        <v>111</v>
      </c>
      <c r="AZ1664" t="s">
        <v>111</v>
      </c>
      <c r="BA1664" t="s">
        <v>111</v>
      </c>
      <c r="BB1664" t="s">
        <v>111</v>
      </c>
      <c r="BC1664" t="s">
        <v>111</v>
      </c>
      <c r="BD1664" t="s">
        <v>111</v>
      </c>
      <c r="BE1664" t="s">
        <v>111</v>
      </c>
      <c r="BF1664" t="s">
        <v>111</v>
      </c>
      <c r="BG1664" t="s">
        <v>111</v>
      </c>
      <c r="BH1664" t="s">
        <v>111</v>
      </c>
      <c r="BI1664" t="s">
        <v>111</v>
      </c>
      <c r="BJ1664" t="s">
        <v>111</v>
      </c>
      <c r="BK1664" t="s">
        <v>111</v>
      </c>
      <c r="BL1664" t="s">
        <v>111</v>
      </c>
      <c r="BM1664" t="s">
        <v>111</v>
      </c>
      <c r="BN1664" t="s">
        <v>111</v>
      </c>
      <c r="BO1664" t="s">
        <v>111</v>
      </c>
      <c r="BP1664" t="s">
        <v>111</v>
      </c>
      <c r="BQ1664" t="s">
        <v>111</v>
      </c>
      <c r="BR1664" t="s">
        <v>111</v>
      </c>
      <c r="BS1664" t="s">
        <v>111</v>
      </c>
      <c r="BT1664" t="s">
        <v>111</v>
      </c>
      <c r="BU1664" t="s">
        <v>111</v>
      </c>
      <c r="BV1664" t="s">
        <v>111</v>
      </c>
      <c r="BW1664" t="s">
        <v>111</v>
      </c>
      <c r="BX1664" t="s">
        <v>111</v>
      </c>
      <c r="BY1664" t="s">
        <v>111</v>
      </c>
      <c r="BZ1664" t="s">
        <v>111</v>
      </c>
      <c r="CA1664" t="s">
        <v>111</v>
      </c>
      <c r="CB1664" t="s">
        <v>111</v>
      </c>
      <c r="CC1664" t="s">
        <v>111</v>
      </c>
      <c r="CD1664" t="s">
        <v>111</v>
      </c>
      <c r="CE1664" t="s">
        <v>111</v>
      </c>
      <c r="CF1664" t="s">
        <v>111</v>
      </c>
      <c r="CG1664" t="s">
        <v>111</v>
      </c>
      <c r="CH1664" t="s">
        <v>111</v>
      </c>
      <c r="CI1664" t="s">
        <v>111</v>
      </c>
      <c r="CJ1664" t="s">
        <v>111</v>
      </c>
      <c r="CK1664" t="s">
        <v>111</v>
      </c>
      <c r="CL1664" t="s">
        <v>111</v>
      </c>
      <c r="CM1664" t="s">
        <v>135</v>
      </c>
      <c r="CN1664" t="s">
        <v>113</v>
      </c>
      <c r="CO1664" t="s">
        <v>111</v>
      </c>
      <c r="CP1664" t="s">
        <v>1836</v>
      </c>
      <c r="CQ1664">
        <v>78</v>
      </c>
      <c r="CR1664">
        <v>3000</v>
      </c>
      <c r="CS1664">
        <v>200</v>
      </c>
      <c r="CT1664" t="s">
        <v>111</v>
      </c>
      <c r="CU1664">
        <v>0</v>
      </c>
      <c r="CV1664" t="s">
        <v>111</v>
      </c>
      <c r="CX1664" t="s">
        <v>111</v>
      </c>
      <c r="CY1664">
        <v>0</v>
      </c>
      <c r="CZ1664" t="s">
        <v>111</v>
      </c>
      <c r="DA1664" t="s">
        <v>111</v>
      </c>
      <c r="DB1664" t="s">
        <v>111</v>
      </c>
      <c r="DC1664" t="s">
        <v>111</v>
      </c>
    </row>
    <row r="1665" spans="1:107">
      <c r="A1665">
        <v>1743</v>
      </c>
      <c r="B1665" t="s">
        <v>107</v>
      </c>
      <c r="C1665" s="2">
        <v>91226680</v>
      </c>
      <c r="D1665" t="s">
        <v>4632</v>
      </c>
      <c r="E1665" t="s">
        <v>4633</v>
      </c>
      <c r="F1665" t="s">
        <v>110</v>
      </c>
      <c r="G1665" t="s">
        <v>24</v>
      </c>
      <c r="H1665">
        <v>0.8</v>
      </c>
      <c r="I1665">
        <v>30</v>
      </c>
      <c r="J1665">
        <v>0</v>
      </c>
      <c r="K1665">
        <v>0</v>
      </c>
      <c r="L1665" t="s">
        <v>111</v>
      </c>
      <c r="M1665" t="s">
        <v>138</v>
      </c>
      <c r="N1665">
        <v>0</v>
      </c>
      <c r="O1665">
        <v>0</v>
      </c>
      <c r="P1665" t="s">
        <v>111</v>
      </c>
      <c r="Q1665">
        <v>40</v>
      </c>
      <c r="R1665">
        <v>0</v>
      </c>
      <c r="S1665">
        <v>0</v>
      </c>
      <c r="T1665">
        <v>0</v>
      </c>
      <c r="U1665" t="e">
        <f>-DESTINO: ALMACEN</f>
        <v>#NAME?</v>
      </c>
      <c r="V1665">
        <v>0</v>
      </c>
      <c r="W1665">
        <v>0</v>
      </c>
      <c r="X1665">
        <v>0</v>
      </c>
      <c r="Y1665">
        <v>25</v>
      </c>
      <c r="Z1665" t="s">
        <v>111</v>
      </c>
      <c r="AA1665">
        <v>0</v>
      </c>
      <c r="AB1665" t="s">
        <v>111</v>
      </c>
      <c r="AC1665">
        <v>0</v>
      </c>
      <c r="AD1665" t="s">
        <v>111</v>
      </c>
      <c r="AE1665">
        <v>0</v>
      </c>
      <c r="AF1665">
        <v>0</v>
      </c>
      <c r="AG1665" t="s">
        <v>111</v>
      </c>
      <c r="AH1665" t="s">
        <v>111</v>
      </c>
      <c r="AI1665" t="s">
        <v>111</v>
      </c>
      <c r="AJ1665" t="s">
        <v>111</v>
      </c>
      <c r="AK1665" t="s">
        <v>111</v>
      </c>
      <c r="AL1665" t="s">
        <v>111</v>
      </c>
      <c r="AM1665">
        <v>0</v>
      </c>
      <c r="AN1665">
        <v>0</v>
      </c>
      <c r="AO1665">
        <v>0</v>
      </c>
      <c r="AP1665" t="s">
        <v>111</v>
      </c>
      <c r="AQ1665" t="s">
        <v>111</v>
      </c>
      <c r="AR1665" t="s">
        <v>111</v>
      </c>
      <c r="AS1665" t="s">
        <v>111</v>
      </c>
      <c r="AT1665" t="s">
        <v>111</v>
      </c>
      <c r="AU1665" t="s">
        <v>111</v>
      </c>
      <c r="AV1665" t="s">
        <v>111</v>
      </c>
      <c r="AW1665" t="s">
        <v>111</v>
      </c>
      <c r="AX1665" t="s">
        <v>111</v>
      </c>
      <c r="AY1665" t="s">
        <v>111</v>
      </c>
      <c r="AZ1665" t="s">
        <v>111</v>
      </c>
      <c r="BA1665" t="s">
        <v>111</v>
      </c>
      <c r="BB1665" t="s">
        <v>111</v>
      </c>
      <c r="BC1665" t="s">
        <v>111</v>
      </c>
      <c r="BD1665" t="s">
        <v>111</v>
      </c>
      <c r="BE1665" t="s">
        <v>111</v>
      </c>
      <c r="BF1665" t="s">
        <v>111</v>
      </c>
      <c r="BG1665" t="s">
        <v>111</v>
      </c>
      <c r="BH1665" t="s">
        <v>111</v>
      </c>
      <c r="BI1665" t="s">
        <v>111</v>
      </c>
      <c r="BJ1665" t="s">
        <v>111</v>
      </c>
      <c r="BK1665" t="s">
        <v>111</v>
      </c>
      <c r="BL1665" t="s">
        <v>111</v>
      </c>
      <c r="BM1665" t="s">
        <v>111</v>
      </c>
      <c r="BN1665" t="s">
        <v>111</v>
      </c>
      <c r="BO1665" t="s">
        <v>111</v>
      </c>
      <c r="BP1665" t="s">
        <v>111</v>
      </c>
      <c r="BQ1665" t="s">
        <v>111</v>
      </c>
      <c r="BR1665" t="s">
        <v>111</v>
      </c>
      <c r="BS1665" t="s">
        <v>111</v>
      </c>
      <c r="BT1665" t="s">
        <v>111</v>
      </c>
      <c r="BU1665" t="s">
        <v>111</v>
      </c>
      <c r="BV1665" t="s">
        <v>111</v>
      </c>
      <c r="BW1665" t="s">
        <v>111</v>
      </c>
      <c r="BX1665" t="s">
        <v>111</v>
      </c>
      <c r="BY1665" t="s">
        <v>111</v>
      </c>
      <c r="BZ1665" t="s">
        <v>111</v>
      </c>
      <c r="CA1665" t="s">
        <v>111</v>
      </c>
      <c r="CB1665" t="s">
        <v>111</v>
      </c>
      <c r="CC1665" t="s">
        <v>111</v>
      </c>
      <c r="CD1665" t="s">
        <v>111</v>
      </c>
      <c r="CE1665" t="s">
        <v>111</v>
      </c>
      <c r="CF1665" t="s">
        <v>111</v>
      </c>
      <c r="CG1665" t="s">
        <v>111</v>
      </c>
      <c r="CH1665" t="s">
        <v>111</v>
      </c>
      <c r="CI1665" t="s">
        <v>111</v>
      </c>
      <c r="CJ1665" t="s">
        <v>111</v>
      </c>
      <c r="CK1665" t="s">
        <v>111</v>
      </c>
      <c r="CL1665" t="s">
        <v>111</v>
      </c>
      <c r="CM1665" t="s">
        <v>111</v>
      </c>
      <c r="CN1665" t="s">
        <v>111</v>
      </c>
      <c r="CO1665" t="s">
        <v>111</v>
      </c>
      <c r="CP1665" t="s">
        <v>111</v>
      </c>
      <c r="CQ1665">
        <v>0</v>
      </c>
      <c r="CR1665">
        <v>0</v>
      </c>
      <c r="CS1665">
        <v>0</v>
      </c>
      <c r="CT1665" t="s">
        <v>111</v>
      </c>
      <c r="CU1665">
        <v>0</v>
      </c>
      <c r="CV1665" t="s">
        <v>111</v>
      </c>
      <c r="CX1665" t="s">
        <v>111</v>
      </c>
      <c r="CY1665">
        <v>0</v>
      </c>
      <c r="CZ1665" t="s">
        <v>111</v>
      </c>
      <c r="DA1665" t="s">
        <v>111</v>
      </c>
      <c r="DB1665" t="s">
        <v>111</v>
      </c>
      <c r="DC1665" t="s">
        <v>111</v>
      </c>
    </row>
    <row r="1666" spans="1:107">
      <c r="A1666">
        <v>1742</v>
      </c>
      <c r="B1666" t="s">
        <v>107</v>
      </c>
      <c r="C1666" s="2">
        <v>91226680</v>
      </c>
      <c r="D1666" t="s">
        <v>4560</v>
      </c>
      <c r="E1666" t="s">
        <v>4634</v>
      </c>
      <c r="F1666" t="s">
        <v>110</v>
      </c>
      <c r="G1666" t="s">
        <v>24</v>
      </c>
      <c r="H1666">
        <v>2</v>
      </c>
      <c r="I1666">
        <v>30</v>
      </c>
      <c r="J1666">
        <v>0</v>
      </c>
      <c r="K1666">
        <v>0</v>
      </c>
      <c r="L1666" t="s">
        <v>112</v>
      </c>
      <c r="M1666" t="s">
        <v>138</v>
      </c>
      <c r="N1666">
        <v>0</v>
      </c>
      <c r="O1666">
        <v>0</v>
      </c>
      <c r="P1666" t="s">
        <v>111</v>
      </c>
      <c r="Q1666">
        <v>40</v>
      </c>
      <c r="R1666">
        <v>0</v>
      </c>
      <c r="S1666">
        <v>0</v>
      </c>
      <c r="T1666">
        <v>0</v>
      </c>
      <c r="U1666" t="s">
        <v>1147</v>
      </c>
      <c r="V1666">
        <v>0</v>
      </c>
      <c r="W1666">
        <v>0</v>
      </c>
      <c r="X1666">
        <v>0</v>
      </c>
      <c r="Y1666">
        <v>25</v>
      </c>
      <c r="Z1666" t="s">
        <v>111</v>
      </c>
      <c r="AA1666">
        <v>0</v>
      </c>
      <c r="AB1666" t="s">
        <v>111</v>
      </c>
      <c r="AC1666">
        <v>0</v>
      </c>
      <c r="AD1666" t="s">
        <v>111</v>
      </c>
      <c r="AE1666">
        <v>0</v>
      </c>
      <c r="AF1666">
        <v>0</v>
      </c>
      <c r="AG1666" t="s">
        <v>111</v>
      </c>
      <c r="AH1666" t="s">
        <v>111</v>
      </c>
      <c r="AI1666" t="s">
        <v>111</v>
      </c>
      <c r="AJ1666" t="s">
        <v>111</v>
      </c>
      <c r="AK1666" t="s">
        <v>111</v>
      </c>
      <c r="AL1666" t="s">
        <v>111</v>
      </c>
      <c r="AM1666">
        <v>0</v>
      </c>
      <c r="AN1666">
        <v>0</v>
      </c>
      <c r="AO1666">
        <v>0</v>
      </c>
      <c r="AP1666" t="s">
        <v>111</v>
      </c>
      <c r="AQ1666" t="s">
        <v>111</v>
      </c>
      <c r="AR1666" t="s">
        <v>111</v>
      </c>
      <c r="AS1666" t="s">
        <v>111</v>
      </c>
      <c r="AT1666" t="s">
        <v>111</v>
      </c>
      <c r="AU1666" t="s">
        <v>111</v>
      </c>
      <c r="AV1666" t="s">
        <v>111</v>
      </c>
      <c r="AW1666" t="s">
        <v>111</v>
      </c>
      <c r="AX1666" t="s">
        <v>111</v>
      </c>
      <c r="AY1666" t="s">
        <v>111</v>
      </c>
      <c r="AZ1666" t="s">
        <v>111</v>
      </c>
      <c r="BA1666" t="s">
        <v>111</v>
      </c>
      <c r="BB1666" t="s">
        <v>111</v>
      </c>
      <c r="BC1666" t="s">
        <v>111</v>
      </c>
      <c r="BD1666" t="s">
        <v>111</v>
      </c>
      <c r="BE1666" t="s">
        <v>111</v>
      </c>
      <c r="BF1666" t="s">
        <v>111</v>
      </c>
      <c r="BG1666" t="s">
        <v>111</v>
      </c>
      <c r="BH1666" t="s">
        <v>111</v>
      </c>
      <c r="BI1666" t="s">
        <v>111</v>
      </c>
      <c r="BJ1666" t="s">
        <v>111</v>
      </c>
      <c r="BK1666" t="s">
        <v>111</v>
      </c>
      <c r="BL1666" t="s">
        <v>111</v>
      </c>
      <c r="BM1666" t="s">
        <v>111</v>
      </c>
      <c r="BN1666" t="s">
        <v>111</v>
      </c>
      <c r="BO1666" t="s">
        <v>111</v>
      </c>
      <c r="BP1666" t="s">
        <v>111</v>
      </c>
      <c r="BQ1666" t="s">
        <v>111</v>
      </c>
      <c r="BR1666" t="s">
        <v>111</v>
      </c>
      <c r="BS1666" t="s">
        <v>111</v>
      </c>
      <c r="BT1666" t="s">
        <v>111</v>
      </c>
      <c r="BU1666" t="s">
        <v>111</v>
      </c>
      <c r="BV1666" t="s">
        <v>111</v>
      </c>
      <c r="BW1666" t="s">
        <v>111</v>
      </c>
      <c r="BX1666" t="s">
        <v>111</v>
      </c>
      <c r="BY1666" t="s">
        <v>111</v>
      </c>
      <c r="BZ1666" t="s">
        <v>111</v>
      </c>
      <c r="CA1666" t="s">
        <v>111</v>
      </c>
      <c r="CB1666" t="s">
        <v>111</v>
      </c>
      <c r="CC1666" t="s">
        <v>111</v>
      </c>
      <c r="CD1666" t="s">
        <v>111</v>
      </c>
      <c r="CE1666" t="s">
        <v>111</v>
      </c>
      <c r="CF1666" t="s">
        <v>111</v>
      </c>
      <c r="CG1666" t="s">
        <v>111</v>
      </c>
      <c r="CH1666" t="s">
        <v>111</v>
      </c>
      <c r="CI1666" t="s">
        <v>111</v>
      </c>
      <c r="CJ1666" t="s">
        <v>111</v>
      </c>
      <c r="CK1666" t="s">
        <v>111</v>
      </c>
      <c r="CL1666" t="s">
        <v>111</v>
      </c>
      <c r="CM1666" t="s">
        <v>111</v>
      </c>
      <c r="CN1666" t="s">
        <v>111</v>
      </c>
      <c r="CO1666" t="s">
        <v>111</v>
      </c>
      <c r="CP1666" t="s">
        <v>111</v>
      </c>
      <c r="CQ1666">
        <v>0</v>
      </c>
      <c r="CR1666">
        <v>0</v>
      </c>
      <c r="CS1666">
        <v>0</v>
      </c>
      <c r="CT1666" t="s">
        <v>111</v>
      </c>
      <c r="CU1666">
        <v>0</v>
      </c>
      <c r="CV1666" t="s">
        <v>111</v>
      </c>
      <c r="CX1666" t="s">
        <v>111</v>
      </c>
      <c r="CY1666">
        <v>0</v>
      </c>
      <c r="CZ1666" t="s">
        <v>111</v>
      </c>
      <c r="DA1666" t="s">
        <v>111</v>
      </c>
      <c r="DB1666" t="s">
        <v>111</v>
      </c>
      <c r="DC1666" t="s">
        <v>111</v>
      </c>
    </row>
    <row r="1667" spans="1:107">
      <c r="A1667">
        <v>1793</v>
      </c>
      <c r="B1667" t="s">
        <v>107</v>
      </c>
      <c r="C1667" t="s">
        <v>4635</v>
      </c>
      <c r="D1667" t="s">
        <v>4636</v>
      </c>
      <c r="E1667" t="s">
        <v>4637</v>
      </c>
      <c r="F1667" t="s">
        <v>1651</v>
      </c>
      <c r="G1667" t="s">
        <v>24</v>
      </c>
      <c r="H1667">
        <v>1</v>
      </c>
      <c r="I1667">
        <v>25</v>
      </c>
      <c r="J1667">
        <v>0</v>
      </c>
      <c r="K1667">
        <v>0</v>
      </c>
      <c r="L1667" t="s">
        <v>117</v>
      </c>
      <c r="M1667" t="s">
        <v>118</v>
      </c>
      <c r="N1667">
        <v>39</v>
      </c>
      <c r="O1667">
        <v>1</v>
      </c>
      <c r="P1667" t="s">
        <v>138</v>
      </c>
      <c r="Q1667">
        <v>30</v>
      </c>
      <c r="R1667">
        <v>0</v>
      </c>
      <c r="S1667">
        <v>0</v>
      </c>
      <c r="T1667">
        <v>10</v>
      </c>
      <c r="U1667" t="s">
        <v>4638</v>
      </c>
      <c r="V1667">
        <v>0</v>
      </c>
      <c r="W1667">
        <v>0</v>
      </c>
      <c r="X1667">
        <v>0</v>
      </c>
      <c r="Y1667">
        <v>25</v>
      </c>
      <c r="Z1667" t="s">
        <v>111</v>
      </c>
      <c r="AA1667">
        <v>0</v>
      </c>
      <c r="AB1667" t="s">
        <v>111</v>
      </c>
      <c r="AC1667">
        <v>0</v>
      </c>
      <c r="AD1667" t="s">
        <v>416</v>
      </c>
      <c r="AE1667">
        <v>0</v>
      </c>
      <c r="AF1667">
        <v>0</v>
      </c>
      <c r="AG1667" t="s">
        <v>111</v>
      </c>
      <c r="AH1667" t="s">
        <v>111</v>
      </c>
      <c r="AI1667" t="s">
        <v>111</v>
      </c>
      <c r="AJ1667" t="s">
        <v>111</v>
      </c>
      <c r="AK1667" t="s">
        <v>111</v>
      </c>
      <c r="AL1667" t="s">
        <v>111</v>
      </c>
      <c r="AM1667">
        <v>0</v>
      </c>
      <c r="AN1667">
        <v>0</v>
      </c>
      <c r="AO1667">
        <v>0</v>
      </c>
      <c r="AP1667" t="s">
        <v>111</v>
      </c>
      <c r="AQ1667" t="s">
        <v>111</v>
      </c>
      <c r="AR1667" t="s">
        <v>111</v>
      </c>
      <c r="AS1667" t="s">
        <v>111</v>
      </c>
      <c r="AT1667" t="s">
        <v>111</v>
      </c>
      <c r="AU1667" t="s">
        <v>111</v>
      </c>
      <c r="AV1667" t="s">
        <v>111</v>
      </c>
      <c r="AW1667" t="s">
        <v>111</v>
      </c>
      <c r="AX1667" t="s">
        <v>111</v>
      </c>
      <c r="AY1667" t="s">
        <v>111</v>
      </c>
      <c r="AZ1667" t="s">
        <v>111</v>
      </c>
      <c r="BA1667" t="s">
        <v>111</v>
      </c>
      <c r="BB1667" t="s">
        <v>111</v>
      </c>
      <c r="BC1667" t="s">
        <v>111</v>
      </c>
      <c r="BD1667" t="s">
        <v>111</v>
      </c>
      <c r="BE1667" t="s">
        <v>111</v>
      </c>
      <c r="BF1667" t="s">
        <v>111</v>
      </c>
      <c r="BG1667" t="s">
        <v>111</v>
      </c>
      <c r="BH1667" t="s">
        <v>111</v>
      </c>
      <c r="BI1667" t="s">
        <v>111</v>
      </c>
      <c r="BJ1667" t="s">
        <v>111</v>
      </c>
      <c r="BK1667" t="s">
        <v>111</v>
      </c>
      <c r="BL1667" t="s">
        <v>111</v>
      </c>
      <c r="BM1667" t="s">
        <v>111</v>
      </c>
      <c r="BN1667" t="s">
        <v>111</v>
      </c>
      <c r="BO1667" t="s">
        <v>111</v>
      </c>
      <c r="BP1667" t="s">
        <v>111</v>
      </c>
      <c r="BQ1667" t="s">
        <v>111</v>
      </c>
      <c r="BR1667" t="s">
        <v>111</v>
      </c>
      <c r="BS1667" t="s">
        <v>111</v>
      </c>
      <c r="BT1667" t="s">
        <v>111</v>
      </c>
      <c r="BU1667" t="s">
        <v>111</v>
      </c>
      <c r="BV1667" t="s">
        <v>111</v>
      </c>
      <c r="BW1667" t="s">
        <v>111</v>
      </c>
      <c r="BX1667" t="s">
        <v>111</v>
      </c>
      <c r="BY1667" t="s">
        <v>111</v>
      </c>
      <c r="BZ1667" t="s">
        <v>111</v>
      </c>
      <c r="CA1667" t="s">
        <v>111</v>
      </c>
      <c r="CB1667" t="s">
        <v>111</v>
      </c>
      <c r="CC1667" t="s">
        <v>111</v>
      </c>
      <c r="CD1667" t="s">
        <v>111</v>
      </c>
      <c r="CE1667" t="s">
        <v>111</v>
      </c>
      <c r="CF1667" t="s">
        <v>111</v>
      </c>
      <c r="CG1667" t="s">
        <v>111</v>
      </c>
      <c r="CH1667" t="s">
        <v>111</v>
      </c>
      <c r="CI1667" t="s">
        <v>111</v>
      </c>
      <c r="CJ1667" t="s">
        <v>111</v>
      </c>
      <c r="CK1667" t="s">
        <v>111</v>
      </c>
      <c r="CL1667" t="s">
        <v>111</v>
      </c>
      <c r="CM1667" t="s">
        <v>198</v>
      </c>
      <c r="CN1667" t="s">
        <v>113</v>
      </c>
      <c r="CO1667" t="s">
        <v>111</v>
      </c>
      <c r="CP1667" t="s">
        <v>111</v>
      </c>
      <c r="CQ1667">
        <v>0</v>
      </c>
      <c r="CR1667">
        <v>0</v>
      </c>
      <c r="CS1667">
        <v>0</v>
      </c>
      <c r="CT1667" t="e">
        <f>-ALMACEN</f>
        <v>#NAME?</v>
      </c>
      <c r="CU1667">
        <v>0</v>
      </c>
      <c r="CV1667" t="s">
        <v>111</v>
      </c>
      <c r="CX1667" t="s">
        <v>111</v>
      </c>
      <c r="CY1667">
        <v>0</v>
      </c>
      <c r="CZ1667" t="s">
        <v>111</v>
      </c>
      <c r="DA1667" t="s">
        <v>111</v>
      </c>
      <c r="DB1667" t="s">
        <v>111</v>
      </c>
      <c r="DC1667" t="s">
        <v>111</v>
      </c>
    </row>
    <row r="1668" spans="1:107">
      <c r="A1668">
        <v>1788</v>
      </c>
      <c r="B1668" t="s">
        <v>107</v>
      </c>
      <c r="C1668" t="s">
        <v>987</v>
      </c>
      <c r="D1668" t="s">
        <v>3684</v>
      </c>
      <c r="E1668" t="s">
        <v>4639</v>
      </c>
      <c r="F1668" t="s">
        <v>1651</v>
      </c>
      <c r="G1668" t="s">
        <v>24</v>
      </c>
      <c r="H1668">
        <v>1.5</v>
      </c>
      <c r="I1668">
        <v>35</v>
      </c>
      <c r="J1668">
        <v>0</v>
      </c>
      <c r="K1668">
        <v>0</v>
      </c>
      <c r="L1668" t="s">
        <v>112</v>
      </c>
      <c r="M1668" t="s">
        <v>118</v>
      </c>
      <c r="N1668">
        <v>39</v>
      </c>
      <c r="O1668">
        <v>2</v>
      </c>
      <c r="P1668" t="s">
        <v>138</v>
      </c>
      <c r="Q1668">
        <v>38.299999999999997</v>
      </c>
      <c r="R1668">
        <v>0</v>
      </c>
      <c r="S1668">
        <v>0</v>
      </c>
      <c r="T1668">
        <v>5</v>
      </c>
      <c r="U1668" s="1" t="s">
        <v>4640</v>
      </c>
      <c r="V1668">
        <v>0</v>
      </c>
      <c r="W1668">
        <v>0</v>
      </c>
      <c r="X1668">
        <v>0</v>
      </c>
      <c r="Y1668">
        <v>25</v>
      </c>
      <c r="Z1668" t="s">
        <v>111</v>
      </c>
      <c r="AA1668">
        <v>0</v>
      </c>
      <c r="AB1668" t="s">
        <v>3954</v>
      </c>
      <c r="AC1668">
        <v>3</v>
      </c>
      <c r="AD1668" t="s">
        <v>416</v>
      </c>
      <c r="AE1668">
        <v>0</v>
      </c>
      <c r="AF1668">
        <v>0</v>
      </c>
      <c r="AG1668" t="s">
        <v>111</v>
      </c>
      <c r="AH1668" t="s">
        <v>111</v>
      </c>
      <c r="AI1668" t="s">
        <v>111</v>
      </c>
      <c r="AJ1668" t="s">
        <v>111</v>
      </c>
      <c r="AK1668" t="s">
        <v>111</v>
      </c>
      <c r="AL1668" t="s">
        <v>111</v>
      </c>
      <c r="AM1668">
        <v>0</v>
      </c>
      <c r="AN1668">
        <v>0</v>
      </c>
      <c r="AO1668">
        <v>0</v>
      </c>
      <c r="AP1668" t="s">
        <v>111</v>
      </c>
      <c r="AQ1668" t="s">
        <v>111</v>
      </c>
      <c r="AR1668" t="s">
        <v>111</v>
      </c>
      <c r="AS1668" t="s">
        <v>111</v>
      </c>
      <c r="AT1668" t="s">
        <v>111</v>
      </c>
      <c r="AU1668" t="s">
        <v>111</v>
      </c>
      <c r="AV1668" t="s">
        <v>111</v>
      </c>
      <c r="AW1668" t="s">
        <v>111</v>
      </c>
      <c r="AX1668" t="s">
        <v>111</v>
      </c>
      <c r="AY1668" t="s">
        <v>111</v>
      </c>
      <c r="AZ1668" t="s">
        <v>111</v>
      </c>
      <c r="BA1668" t="s">
        <v>111</v>
      </c>
      <c r="BB1668" t="s">
        <v>111</v>
      </c>
      <c r="BC1668" t="s">
        <v>111</v>
      </c>
      <c r="BD1668" t="s">
        <v>111</v>
      </c>
      <c r="BE1668" t="s">
        <v>111</v>
      </c>
      <c r="BF1668" t="s">
        <v>111</v>
      </c>
      <c r="BG1668" t="s">
        <v>111</v>
      </c>
      <c r="BH1668" t="s">
        <v>111</v>
      </c>
      <c r="BI1668" t="s">
        <v>111</v>
      </c>
      <c r="BJ1668" t="s">
        <v>111</v>
      </c>
      <c r="BK1668" t="s">
        <v>111</v>
      </c>
      <c r="BL1668" t="s">
        <v>111</v>
      </c>
      <c r="BM1668" t="s">
        <v>111</v>
      </c>
      <c r="BN1668" t="s">
        <v>111</v>
      </c>
      <c r="BO1668" t="s">
        <v>111</v>
      </c>
      <c r="BP1668" t="s">
        <v>111</v>
      </c>
      <c r="BQ1668" t="s">
        <v>111</v>
      </c>
      <c r="BR1668" t="s">
        <v>111</v>
      </c>
      <c r="BS1668" t="s">
        <v>111</v>
      </c>
      <c r="BT1668" t="s">
        <v>111</v>
      </c>
      <c r="BU1668" t="s">
        <v>111</v>
      </c>
      <c r="BV1668" t="s">
        <v>111</v>
      </c>
      <c r="BW1668" t="s">
        <v>111</v>
      </c>
      <c r="BX1668" t="s">
        <v>111</v>
      </c>
      <c r="BY1668" t="s">
        <v>111</v>
      </c>
      <c r="BZ1668" t="s">
        <v>111</v>
      </c>
      <c r="CA1668" t="s">
        <v>111</v>
      </c>
      <c r="CB1668" t="s">
        <v>111</v>
      </c>
      <c r="CC1668" t="s">
        <v>111</v>
      </c>
      <c r="CD1668" t="s">
        <v>111</v>
      </c>
      <c r="CE1668" t="s">
        <v>111</v>
      </c>
      <c r="CF1668" t="s">
        <v>111</v>
      </c>
      <c r="CG1668" t="s">
        <v>111</v>
      </c>
      <c r="CH1668" t="s">
        <v>111</v>
      </c>
      <c r="CI1668" t="s">
        <v>111</v>
      </c>
      <c r="CJ1668" t="s">
        <v>111</v>
      </c>
      <c r="CK1668" t="s">
        <v>111</v>
      </c>
      <c r="CL1668" t="s">
        <v>111</v>
      </c>
      <c r="CM1668" t="s">
        <v>198</v>
      </c>
      <c r="CN1668" t="s">
        <v>113</v>
      </c>
      <c r="CO1668" t="s">
        <v>111</v>
      </c>
      <c r="CP1668" t="s">
        <v>111</v>
      </c>
      <c r="CQ1668">
        <v>0</v>
      </c>
      <c r="CR1668">
        <v>6000</v>
      </c>
      <c r="CS1668">
        <v>250</v>
      </c>
      <c r="CT1668" t="e">
        <f>-ALMACEN</f>
        <v>#NAME?</v>
      </c>
      <c r="CU1668">
        <v>0</v>
      </c>
      <c r="CV1668" t="s">
        <v>111</v>
      </c>
      <c r="CX1668" t="s">
        <v>111</v>
      </c>
      <c r="CY1668">
        <v>0</v>
      </c>
      <c r="CZ1668" t="s">
        <v>111</v>
      </c>
      <c r="DA1668" t="s">
        <v>111</v>
      </c>
      <c r="DB1668" t="s">
        <v>111</v>
      </c>
      <c r="DC1668" t="s">
        <v>111</v>
      </c>
    </row>
    <row r="1669" spans="1:107">
      <c r="A1669">
        <v>1773</v>
      </c>
      <c r="B1669" t="s">
        <v>107</v>
      </c>
      <c r="C1669" t="s">
        <v>454</v>
      </c>
      <c r="D1669" t="s">
        <v>4641</v>
      </c>
      <c r="E1669" t="s">
        <v>4642</v>
      </c>
      <c r="F1669" t="s">
        <v>1651</v>
      </c>
      <c r="G1669" t="s">
        <v>24</v>
      </c>
      <c r="H1669">
        <v>1.9</v>
      </c>
      <c r="I1669">
        <v>40</v>
      </c>
      <c r="J1669">
        <v>0</v>
      </c>
      <c r="K1669">
        <v>0</v>
      </c>
      <c r="L1669" t="s">
        <v>112</v>
      </c>
      <c r="M1669" t="s">
        <v>118</v>
      </c>
      <c r="N1669">
        <v>39</v>
      </c>
      <c r="O1669">
        <v>2</v>
      </c>
      <c r="P1669" t="s">
        <v>138</v>
      </c>
      <c r="Q1669">
        <v>36.200000000000003</v>
      </c>
      <c r="R1669">
        <v>0</v>
      </c>
      <c r="S1669">
        <v>0</v>
      </c>
      <c r="T1669">
        <v>5</v>
      </c>
      <c r="U1669" s="1" t="s">
        <v>4643</v>
      </c>
      <c r="V1669">
        <v>0</v>
      </c>
      <c r="W1669">
        <v>0</v>
      </c>
      <c r="X1669">
        <v>0</v>
      </c>
      <c r="Y1669">
        <v>25</v>
      </c>
      <c r="Z1669" t="s">
        <v>111</v>
      </c>
      <c r="AA1669">
        <v>0</v>
      </c>
      <c r="AB1669" t="s">
        <v>111</v>
      </c>
      <c r="AC1669">
        <v>0</v>
      </c>
      <c r="AD1669" t="s">
        <v>416</v>
      </c>
      <c r="AE1669">
        <v>0</v>
      </c>
      <c r="AF1669">
        <v>0</v>
      </c>
      <c r="AG1669" t="s">
        <v>111</v>
      </c>
      <c r="AH1669" t="s">
        <v>111</v>
      </c>
      <c r="AI1669" t="s">
        <v>111</v>
      </c>
      <c r="AJ1669" t="s">
        <v>111</v>
      </c>
      <c r="AK1669" t="s">
        <v>111</v>
      </c>
      <c r="AL1669" t="s">
        <v>111</v>
      </c>
      <c r="AM1669">
        <v>0</v>
      </c>
      <c r="AN1669">
        <v>0</v>
      </c>
      <c r="AO1669">
        <v>0</v>
      </c>
      <c r="AP1669" t="s">
        <v>111</v>
      </c>
      <c r="AQ1669" t="s">
        <v>111</v>
      </c>
      <c r="AR1669" t="s">
        <v>111</v>
      </c>
      <c r="AS1669" t="s">
        <v>111</v>
      </c>
      <c r="AT1669" t="s">
        <v>111</v>
      </c>
      <c r="AU1669" t="s">
        <v>111</v>
      </c>
      <c r="AV1669" t="s">
        <v>111</v>
      </c>
      <c r="AW1669" t="s">
        <v>111</v>
      </c>
      <c r="AX1669" t="s">
        <v>111</v>
      </c>
      <c r="AY1669" t="s">
        <v>111</v>
      </c>
      <c r="AZ1669" t="s">
        <v>111</v>
      </c>
      <c r="BA1669" t="s">
        <v>111</v>
      </c>
      <c r="BB1669" t="s">
        <v>111</v>
      </c>
      <c r="BC1669" t="s">
        <v>111</v>
      </c>
      <c r="BD1669" t="s">
        <v>111</v>
      </c>
      <c r="BE1669" t="s">
        <v>111</v>
      </c>
      <c r="BF1669" t="s">
        <v>111</v>
      </c>
      <c r="BG1669" t="s">
        <v>111</v>
      </c>
      <c r="BH1669" t="s">
        <v>111</v>
      </c>
      <c r="BI1669" t="s">
        <v>111</v>
      </c>
      <c r="BJ1669" t="s">
        <v>111</v>
      </c>
      <c r="BK1669" t="s">
        <v>111</v>
      </c>
      <c r="BL1669" t="s">
        <v>111</v>
      </c>
      <c r="BM1669" t="s">
        <v>111</v>
      </c>
      <c r="BN1669" t="s">
        <v>111</v>
      </c>
      <c r="BO1669" t="s">
        <v>111</v>
      </c>
      <c r="BP1669" t="s">
        <v>111</v>
      </c>
      <c r="BQ1669" t="s">
        <v>111</v>
      </c>
      <c r="BR1669" t="s">
        <v>111</v>
      </c>
      <c r="BS1669" t="s">
        <v>111</v>
      </c>
      <c r="BT1669" t="s">
        <v>111</v>
      </c>
      <c r="BU1669" t="s">
        <v>111</v>
      </c>
      <c r="BV1669" t="s">
        <v>111</v>
      </c>
      <c r="BW1669" t="s">
        <v>111</v>
      </c>
      <c r="BX1669" t="s">
        <v>111</v>
      </c>
      <c r="BY1669" t="s">
        <v>111</v>
      </c>
      <c r="BZ1669" t="s">
        <v>111</v>
      </c>
      <c r="CA1669" t="s">
        <v>111</v>
      </c>
      <c r="CB1669" t="s">
        <v>111</v>
      </c>
      <c r="CC1669" t="s">
        <v>111</v>
      </c>
      <c r="CD1669" t="s">
        <v>111</v>
      </c>
      <c r="CE1669" t="s">
        <v>111</v>
      </c>
      <c r="CF1669" t="s">
        <v>111</v>
      </c>
      <c r="CG1669" t="s">
        <v>111</v>
      </c>
      <c r="CH1669" t="s">
        <v>111</v>
      </c>
      <c r="CI1669" t="s">
        <v>111</v>
      </c>
      <c r="CJ1669" t="s">
        <v>111</v>
      </c>
      <c r="CK1669" t="s">
        <v>111</v>
      </c>
      <c r="CL1669" t="e">
        <f>-DESTINO SELLADO</f>
        <v>#NAME?</v>
      </c>
      <c r="CM1669">
        <v>450</v>
      </c>
      <c r="CN1669" t="s">
        <v>113</v>
      </c>
      <c r="CO1669" t="s">
        <v>111</v>
      </c>
      <c r="CP1669" t="s">
        <v>563</v>
      </c>
      <c r="CQ1669">
        <v>57</v>
      </c>
      <c r="CR1669">
        <v>3000</v>
      </c>
      <c r="CS1669">
        <v>200</v>
      </c>
      <c r="CT1669" s="1" t="s">
        <v>4644</v>
      </c>
      <c r="CU1669">
        <v>0</v>
      </c>
      <c r="CV1669" t="s">
        <v>111</v>
      </c>
      <c r="CX1669" t="s">
        <v>111</v>
      </c>
      <c r="CY1669">
        <v>0</v>
      </c>
      <c r="CZ1669" t="s">
        <v>111</v>
      </c>
      <c r="DA1669" t="s">
        <v>111</v>
      </c>
      <c r="DB1669" t="s">
        <v>111</v>
      </c>
      <c r="DC1669" t="s">
        <v>111</v>
      </c>
    </row>
    <row r="1670" spans="1:107">
      <c r="A1670">
        <v>1772</v>
      </c>
      <c r="B1670" t="s">
        <v>107</v>
      </c>
      <c r="C1670" t="s">
        <v>454</v>
      </c>
      <c r="D1670" t="s">
        <v>4645</v>
      </c>
      <c r="E1670" t="s">
        <v>4646</v>
      </c>
      <c r="F1670" t="s">
        <v>1651</v>
      </c>
      <c r="G1670" t="s">
        <v>24</v>
      </c>
      <c r="H1670">
        <v>1.4</v>
      </c>
      <c r="I1670">
        <v>13</v>
      </c>
      <c r="J1670">
        <v>2</v>
      </c>
      <c r="K1670">
        <v>0</v>
      </c>
      <c r="L1670" t="s">
        <v>178</v>
      </c>
      <c r="M1670" t="s">
        <v>118</v>
      </c>
      <c r="N1670">
        <v>39</v>
      </c>
      <c r="O1670">
        <v>2</v>
      </c>
      <c r="P1670" t="s">
        <v>138</v>
      </c>
      <c r="Q1670">
        <v>130</v>
      </c>
      <c r="R1670">
        <v>0</v>
      </c>
      <c r="S1670">
        <v>0</v>
      </c>
      <c r="T1670">
        <v>5</v>
      </c>
      <c r="U1670" s="1" t="s">
        <v>4647</v>
      </c>
      <c r="V1670">
        <v>0</v>
      </c>
      <c r="W1670">
        <v>0</v>
      </c>
      <c r="X1670">
        <v>0</v>
      </c>
      <c r="Y1670">
        <v>25</v>
      </c>
      <c r="Z1670" t="s">
        <v>111</v>
      </c>
      <c r="AA1670">
        <v>0</v>
      </c>
      <c r="AB1670" t="s">
        <v>111</v>
      </c>
      <c r="AC1670">
        <v>0</v>
      </c>
      <c r="AD1670" t="s">
        <v>416</v>
      </c>
      <c r="AE1670">
        <v>0</v>
      </c>
      <c r="AF1670">
        <v>0</v>
      </c>
      <c r="AG1670" t="s">
        <v>111</v>
      </c>
      <c r="AH1670" t="s">
        <v>111</v>
      </c>
      <c r="AI1670" t="s">
        <v>111</v>
      </c>
      <c r="AJ1670" t="s">
        <v>111</v>
      </c>
      <c r="AK1670" t="s">
        <v>111</v>
      </c>
      <c r="AL1670" t="s">
        <v>111</v>
      </c>
      <c r="AM1670">
        <v>0</v>
      </c>
      <c r="AN1670">
        <v>0</v>
      </c>
      <c r="AO1670">
        <v>0</v>
      </c>
      <c r="AP1670" t="s">
        <v>111</v>
      </c>
      <c r="AQ1670" t="s">
        <v>111</v>
      </c>
      <c r="AR1670" t="s">
        <v>111</v>
      </c>
      <c r="AS1670" t="s">
        <v>111</v>
      </c>
      <c r="AT1670" t="s">
        <v>111</v>
      </c>
      <c r="AU1670" t="s">
        <v>111</v>
      </c>
      <c r="AV1670" t="s">
        <v>111</v>
      </c>
      <c r="AW1670" t="s">
        <v>111</v>
      </c>
      <c r="AX1670" t="s">
        <v>111</v>
      </c>
      <c r="AY1670" t="s">
        <v>111</v>
      </c>
      <c r="AZ1670" t="s">
        <v>111</v>
      </c>
      <c r="BA1670" t="s">
        <v>111</v>
      </c>
      <c r="BB1670" t="s">
        <v>111</v>
      </c>
      <c r="BC1670" t="s">
        <v>111</v>
      </c>
      <c r="BD1670" t="s">
        <v>111</v>
      </c>
      <c r="BE1670" t="s">
        <v>111</v>
      </c>
      <c r="BF1670" t="s">
        <v>111</v>
      </c>
      <c r="BG1670" t="s">
        <v>111</v>
      </c>
      <c r="BH1670" t="s">
        <v>111</v>
      </c>
      <c r="BI1670" t="s">
        <v>111</v>
      </c>
      <c r="BJ1670" t="s">
        <v>111</v>
      </c>
      <c r="BK1670" t="s">
        <v>111</v>
      </c>
      <c r="BL1670" t="s">
        <v>111</v>
      </c>
      <c r="BM1670" t="s">
        <v>111</v>
      </c>
      <c r="BN1670" t="s">
        <v>111</v>
      </c>
      <c r="BO1670" t="s">
        <v>111</v>
      </c>
      <c r="BP1670" t="s">
        <v>111</v>
      </c>
      <c r="BQ1670" t="s">
        <v>111</v>
      </c>
      <c r="BR1670" t="s">
        <v>111</v>
      </c>
      <c r="BS1670" t="s">
        <v>111</v>
      </c>
      <c r="BT1670" t="s">
        <v>111</v>
      </c>
      <c r="BU1670" t="s">
        <v>111</v>
      </c>
      <c r="BV1670" t="s">
        <v>111</v>
      </c>
      <c r="BW1670" t="s">
        <v>111</v>
      </c>
      <c r="BX1670" t="s">
        <v>111</v>
      </c>
      <c r="BY1670" t="s">
        <v>111</v>
      </c>
      <c r="BZ1670" t="s">
        <v>111</v>
      </c>
      <c r="CA1670" t="s">
        <v>111</v>
      </c>
      <c r="CB1670" t="s">
        <v>111</v>
      </c>
      <c r="CC1670" t="s">
        <v>111</v>
      </c>
      <c r="CD1670" t="s">
        <v>111</v>
      </c>
      <c r="CE1670" t="s">
        <v>111</v>
      </c>
      <c r="CF1670" t="s">
        <v>111</v>
      </c>
      <c r="CG1670" t="s">
        <v>111</v>
      </c>
      <c r="CH1670" t="s">
        <v>111</v>
      </c>
      <c r="CI1670" t="s">
        <v>111</v>
      </c>
      <c r="CJ1670" t="s">
        <v>111</v>
      </c>
      <c r="CK1670" t="s">
        <v>111</v>
      </c>
      <c r="CL1670" t="s">
        <v>111</v>
      </c>
      <c r="CM1670">
        <v>450</v>
      </c>
      <c r="CN1670" t="s">
        <v>113</v>
      </c>
      <c r="CO1670" t="s">
        <v>111</v>
      </c>
      <c r="CP1670" t="s">
        <v>563</v>
      </c>
      <c r="CQ1670">
        <v>0</v>
      </c>
      <c r="CR1670">
        <v>15000</v>
      </c>
      <c r="CS1670">
        <v>200</v>
      </c>
      <c r="CT1670" s="1" t="s">
        <v>4644</v>
      </c>
      <c r="CU1670">
        <v>0</v>
      </c>
      <c r="CV1670" t="s">
        <v>111</v>
      </c>
      <c r="CX1670" t="s">
        <v>111</v>
      </c>
      <c r="CY1670">
        <v>0</v>
      </c>
      <c r="CZ1670" t="s">
        <v>111</v>
      </c>
      <c r="DA1670" t="s">
        <v>111</v>
      </c>
      <c r="DB1670" t="s">
        <v>111</v>
      </c>
      <c r="DC1670" t="s">
        <v>111</v>
      </c>
    </row>
    <row r="1671" spans="1:107">
      <c r="A1671">
        <v>1731</v>
      </c>
      <c r="B1671" t="s">
        <v>107</v>
      </c>
      <c r="C1671" t="s">
        <v>3783</v>
      </c>
      <c r="D1671" t="s">
        <v>3960</v>
      </c>
      <c r="E1671" t="s">
        <v>4648</v>
      </c>
      <c r="F1671" t="s">
        <v>1260</v>
      </c>
      <c r="G1671" t="s">
        <v>24</v>
      </c>
      <c r="H1671">
        <v>1.9</v>
      </c>
      <c r="I1671">
        <v>40</v>
      </c>
      <c r="J1671">
        <v>0</v>
      </c>
      <c r="K1671">
        <v>0</v>
      </c>
      <c r="L1671" t="s">
        <v>117</v>
      </c>
      <c r="M1671" t="s">
        <v>118</v>
      </c>
      <c r="N1671">
        <v>40</v>
      </c>
      <c r="O1671">
        <v>1</v>
      </c>
      <c r="P1671" t="s">
        <v>111</v>
      </c>
      <c r="Q1671">
        <v>46.5</v>
      </c>
      <c r="R1671">
        <v>0</v>
      </c>
      <c r="S1671">
        <v>0</v>
      </c>
      <c r="T1671">
        <v>5</v>
      </c>
      <c r="U1671" s="1" t="s">
        <v>662</v>
      </c>
      <c r="V1671">
        <v>0</v>
      </c>
      <c r="W1671">
        <v>0</v>
      </c>
      <c r="X1671">
        <v>0</v>
      </c>
      <c r="Y1671">
        <v>25</v>
      </c>
      <c r="Z1671" t="s">
        <v>111</v>
      </c>
      <c r="AA1671">
        <v>0</v>
      </c>
      <c r="AB1671" t="s">
        <v>111</v>
      </c>
      <c r="AC1671">
        <v>0</v>
      </c>
      <c r="AD1671" t="s">
        <v>416</v>
      </c>
      <c r="AE1671">
        <v>0</v>
      </c>
      <c r="AF1671">
        <v>0</v>
      </c>
      <c r="AG1671" t="s">
        <v>111</v>
      </c>
      <c r="AH1671" t="s">
        <v>113</v>
      </c>
      <c r="AI1671" t="s">
        <v>111</v>
      </c>
      <c r="AJ1671" t="s">
        <v>111</v>
      </c>
      <c r="AK1671" t="s">
        <v>111</v>
      </c>
      <c r="AL1671" t="s">
        <v>111</v>
      </c>
      <c r="AM1671">
        <v>0</v>
      </c>
      <c r="AN1671">
        <v>0</v>
      </c>
      <c r="AO1671">
        <v>0</v>
      </c>
      <c r="AP1671" t="s">
        <v>111</v>
      </c>
      <c r="AQ1671" t="s">
        <v>111</v>
      </c>
      <c r="AR1671" t="s">
        <v>111</v>
      </c>
      <c r="AS1671" t="s">
        <v>111</v>
      </c>
      <c r="AT1671" t="s">
        <v>111</v>
      </c>
      <c r="AU1671" t="s">
        <v>111</v>
      </c>
      <c r="AV1671" t="s">
        <v>111</v>
      </c>
      <c r="AW1671" t="s">
        <v>111</v>
      </c>
      <c r="AX1671" t="s">
        <v>111</v>
      </c>
      <c r="AY1671" t="s">
        <v>111</v>
      </c>
      <c r="AZ1671" t="s">
        <v>111</v>
      </c>
      <c r="BA1671" t="s">
        <v>111</v>
      </c>
      <c r="BB1671" t="s">
        <v>111</v>
      </c>
      <c r="BC1671" t="s">
        <v>111</v>
      </c>
      <c r="BD1671" t="s">
        <v>111</v>
      </c>
      <c r="BE1671" t="s">
        <v>111</v>
      </c>
      <c r="BF1671" t="s">
        <v>111</v>
      </c>
      <c r="BG1671" t="s">
        <v>111</v>
      </c>
      <c r="BH1671" t="s">
        <v>111</v>
      </c>
      <c r="BI1671" t="s">
        <v>111</v>
      </c>
      <c r="BJ1671" t="s">
        <v>111</v>
      </c>
      <c r="BK1671" t="s">
        <v>111</v>
      </c>
      <c r="BL1671" t="s">
        <v>111</v>
      </c>
      <c r="BM1671" t="s">
        <v>111</v>
      </c>
      <c r="BN1671" t="s">
        <v>111</v>
      </c>
      <c r="BO1671" t="s">
        <v>111</v>
      </c>
      <c r="BP1671" t="s">
        <v>111</v>
      </c>
      <c r="BQ1671" t="s">
        <v>111</v>
      </c>
      <c r="BR1671" t="s">
        <v>111</v>
      </c>
      <c r="BS1671" t="s">
        <v>111</v>
      </c>
      <c r="BT1671" t="s">
        <v>111</v>
      </c>
      <c r="BU1671" t="s">
        <v>111</v>
      </c>
      <c r="BV1671" t="s">
        <v>111</v>
      </c>
      <c r="BW1671" t="s">
        <v>111</v>
      </c>
      <c r="BX1671" t="s">
        <v>111</v>
      </c>
      <c r="BY1671" t="s">
        <v>111</v>
      </c>
      <c r="BZ1671" t="s">
        <v>111</v>
      </c>
      <c r="CA1671" t="s">
        <v>111</v>
      </c>
      <c r="CB1671" t="s">
        <v>111</v>
      </c>
      <c r="CC1671" t="s">
        <v>111</v>
      </c>
      <c r="CD1671" t="s">
        <v>111</v>
      </c>
      <c r="CE1671" t="s">
        <v>111</v>
      </c>
      <c r="CF1671" t="s">
        <v>111</v>
      </c>
      <c r="CG1671" t="s">
        <v>111</v>
      </c>
      <c r="CH1671" t="s">
        <v>111</v>
      </c>
      <c r="CI1671" t="s">
        <v>111</v>
      </c>
      <c r="CJ1671" t="s">
        <v>111</v>
      </c>
      <c r="CK1671" t="s">
        <v>111</v>
      </c>
      <c r="CL1671" t="s">
        <v>111</v>
      </c>
      <c r="CM1671">
        <v>450</v>
      </c>
      <c r="CN1671" t="s">
        <v>113</v>
      </c>
      <c r="CO1671" t="s">
        <v>111</v>
      </c>
      <c r="CP1671" t="s">
        <v>111</v>
      </c>
      <c r="CQ1671">
        <v>0</v>
      </c>
      <c r="CR1671">
        <v>26000</v>
      </c>
      <c r="CS1671">
        <v>26000</v>
      </c>
      <c r="CT1671" t="e">
        <f>-ALMACEN</f>
        <v>#NAME?</v>
      </c>
      <c r="CU1671">
        <v>0</v>
      </c>
      <c r="CV1671" t="s">
        <v>111</v>
      </c>
      <c r="CX1671" t="s">
        <v>111</v>
      </c>
      <c r="CY1671">
        <v>0</v>
      </c>
      <c r="CZ1671" t="s">
        <v>111</v>
      </c>
      <c r="DA1671" t="s">
        <v>111</v>
      </c>
      <c r="DB1671" t="s">
        <v>111</v>
      </c>
      <c r="DC1671" t="s">
        <v>111</v>
      </c>
    </row>
    <row r="1672" spans="1:107">
      <c r="A1672">
        <v>1730</v>
      </c>
      <c r="B1672" t="s">
        <v>107</v>
      </c>
      <c r="C1672" t="s">
        <v>3783</v>
      </c>
      <c r="D1672" t="s">
        <v>3960</v>
      </c>
      <c r="E1672" t="s">
        <v>4649</v>
      </c>
      <c r="F1672" t="s">
        <v>1260</v>
      </c>
      <c r="G1672" t="s">
        <v>24</v>
      </c>
      <c r="H1672">
        <v>1.9</v>
      </c>
      <c r="I1672">
        <v>40</v>
      </c>
      <c r="J1672">
        <v>0</v>
      </c>
      <c r="K1672">
        <v>0</v>
      </c>
      <c r="L1672" t="s">
        <v>117</v>
      </c>
      <c r="M1672" t="s">
        <v>118</v>
      </c>
      <c r="N1672">
        <v>40</v>
      </c>
      <c r="O1672">
        <v>1</v>
      </c>
      <c r="P1672" t="s">
        <v>111</v>
      </c>
      <c r="Q1672">
        <v>27.9</v>
      </c>
      <c r="R1672">
        <v>0</v>
      </c>
      <c r="S1672">
        <v>0</v>
      </c>
      <c r="T1672">
        <v>5</v>
      </c>
      <c r="U1672" s="1" t="s">
        <v>784</v>
      </c>
      <c r="V1672">
        <v>0</v>
      </c>
      <c r="W1672">
        <v>0</v>
      </c>
      <c r="X1672">
        <v>0</v>
      </c>
      <c r="Y1672">
        <v>25</v>
      </c>
      <c r="Z1672" t="s">
        <v>111</v>
      </c>
      <c r="AA1672">
        <v>0</v>
      </c>
      <c r="AB1672" t="s">
        <v>111</v>
      </c>
      <c r="AC1672">
        <v>0</v>
      </c>
      <c r="AD1672" t="s">
        <v>416</v>
      </c>
      <c r="AE1672">
        <v>0</v>
      </c>
      <c r="AF1672">
        <v>0</v>
      </c>
      <c r="AG1672" t="s">
        <v>111</v>
      </c>
      <c r="AH1672" t="s">
        <v>113</v>
      </c>
      <c r="AI1672" t="s">
        <v>111</v>
      </c>
      <c r="AJ1672" t="s">
        <v>111</v>
      </c>
      <c r="AK1672" t="s">
        <v>111</v>
      </c>
      <c r="AL1672" t="s">
        <v>111</v>
      </c>
      <c r="AM1672">
        <v>0</v>
      </c>
      <c r="AN1672">
        <v>0</v>
      </c>
      <c r="AO1672">
        <v>0</v>
      </c>
      <c r="AP1672" t="s">
        <v>111</v>
      </c>
      <c r="AQ1672" t="s">
        <v>111</v>
      </c>
      <c r="AR1672" t="s">
        <v>111</v>
      </c>
      <c r="AS1672" t="s">
        <v>111</v>
      </c>
      <c r="AT1672" t="s">
        <v>111</v>
      </c>
      <c r="AU1672" t="s">
        <v>111</v>
      </c>
      <c r="AV1672" t="s">
        <v>111</v>
      </c>
      <c r="AW1672" t="s">
        <v>111</v>
      </c>
      <c r="AX1672" t="s">
        <v>111</v>
      </c>
      <c r="AY1672" t="s">
        <v>111</v>
      </c>
      <c r="AZ1672" t="s">
        <v>111</v>
      </c>
      <c r="BA1672" t="s">
        <v>111</v>
      </c>
      <c r="BB1672" t="s">
        <v>111</v>
      </c>
      <c r="BC1672" t="s">
        <v>111</v>
      </c>
      <c r="BD1672" t="s">
        <v>111</v>
      </c>
      <c r="BE1672" t="s">
        <v>111</v>
      </c>
      <c r="BF1672" t="s">
        <v>111</v>
      </c>
      <c r="BG1672" t="s">
        <v>111</v>
      </c>
      <c r="BH1672" t="s">
        <v>111</v>
      </c>
      <c r="BI1672" t="s">
        <v>111</v>
      </c>
      <c r="BJ1672" t="s">
        <v>111</v>
      </c>
      <c r="BK1672" t="s">
        <v>111</v>
      </c>
      <c r="BL1672" t="s">
        <v>111</v>
      </c>
      <c r="BM1672" t="s">
        <v>111</v>
      </c>
      <c r="BN1672" t="s">
        <v>111</v>
      </c>
      <c r="BO1672" t="s">
        <v>111</v>
      </c>
      <c r="BP1672" t="s">
        <v>111</v>
      </c>
      <c r="BQ1672" t="s">
        <v>111</v>
      </c>
      <c r="BR1672" t="s">
        <v>111</v>
      </c>
      <c r="BS1672" t="s">
        <v>111</v>
      </c>
      <c r="BT1672" t="s">
        <v>111</v>
      </c>
      <c r="BU1672" t="s">
        <v>111</v>
      </c>
      <c r="BV1672" t="s">
        <v>111</v>
      </c>
      <c r="BW1672" t="s">
        <v>111</v>
      </c>
      <c r="BX1672" t="s">
        <v>111</v>
      </c>
      <c r="BY1672" t="s">
        <v>111</v>
      </c>
      <c r="BZ1672" t="s">
        <v>111</v>
      </c>
      <c r="CA1672" t="s">
        <v>111</v>
      </c>
      <c r="CB1672" t="s">
        <v>111</v>
      </c>
      <c r="CC1672" t="s">
        <v>111</v>
      </c>
      <c r="CD1672" t="s">
        <v>111</v>
      </c>
      <c r="CE1672" t="s">
        <v>111</v>
      </c>
      <c r="CF1672" t="s">
        <v>111</v>
      </c>
      <c r="CG1672" t="s">
        <v>111</v>
      </c>
      <c r="CH1672" t="s">
        <v>111</v>
      </c>
      <c r="CI1672" t="s">
        <v>111</v>
      </c>
      <c r="CJ1672" t="s">
        <v>111</v>
      </c>
      <c r="CK1672" t="s">
        <v>111</v>
      </c>
      <c r="CL1672" t="s">
        <v>111</v>
      </c>
      <c r="CM1672">
        <v>450</v>
      </c>
      <c r="CN1672" t="s">
        <v>113</v>
      </c>
      <c r="CO1672" t="s">
        <v>111</v>
      </c>
      <c r="CP1672" t="s">
        <v>111</v>
      </c>
      <c r="CQ1672">
        <v>0</v>
      </c>
      <c r="CR1672">
        <v>26000</v>
      </c>
      <c r="CS1672">
        <v>26000</v>
      </c>
      <c r="CT1672" t="e">
        <f>-ALMACEN</f>
        <v>#NAME?</v>
      </c>
      <c r="CU1672">
        <v>0</v>
      </c>
      <c r="CV1672" t="s">
        <v>111</v>
      </c>
      <c r="CX1672" t="s">
        <v>111</v>
      </c>
      <c r="CY1672">
        <v>0</v>
      </c>
      <c r="CZ1672" t="s">
        <v>111</v>
      </c>
      <c r="DA1672" t="s">
        <v>111</v>
      </c>
      <c r="DB1672" t="s">
        <v>111</v>
      </c>
      <c r="DC1672" t="s">
        <v>111</v>
      </c>
    </row>
    <row r="1673" spans="1:107">
      <c r="A1673">
        <v>1856</v>
      </c>
      <c r="B1673" t="s">
        <v>107</v>
      </c>
      <c r="C1673" t="s">
        <v>226</v>
      </c>
      <c r="D1673" t="s">
        <v>4570</v>
      </c>
      <c r="E1673" t="s">
        <v>4650</v>
      </c>
      <c r="F1673" t="s">
        <v>1071</v>
      </c>
      <c r="G1673" t="s">
        <v>24</v>
      </c>
      <c r="H1673">
        <v>1.4</v>
      </c>
      <c r="I1673">
        <v>50</v>
      </c>
      <c r="J1673">
        <v>0</v>
      </c>
      <c r="K1673">
        <v>0</v>
      </c>
      <c r="L1673" t="s">
        <v>112</v>
      </c>
      <c r="M1673" t="s">
        <v>111</v>
      </c>
      <c r="N1673">
        <v>0</v>
      </c>
      <c r="O1673">
        <v>0</v>
      </c>
      <c r="P1673" t="s">
        <v>111</v>
      </c>
      <c r="Q1673">
        <v>45</v>
      </c>
      <c r="R1673">
        <v>0</v>
      </c>
      <c r="S1673">
        <v>0</v>
      </c>
      <c r="T1673">
        <v>5</v>
      </c>
      <c r="U1673" t="e">
        <f>-SELLADO</f>
        <v>#NAME?</v>
      </c>
      <c r="V1673">
        <v>0</v>
      </c>
      <c r="W1673">
        <v>0</v>
      </c>
      <c r="X1673">
        <v>0</v>
      </c>
      <c r="Y1673">
        <v>250</v>
      </c>
      <c r="Z1673" t="s">
        <v>111</v>
      </c>
      <c r="AA1673">
        <v>0</v>
      </c>
      <c r="AB1673" t="s">
        <v>111</v>
      </c>
      <c r="AC1673">
        <v>0</v>
      </c>
      <c r="AD1673" t="s">
        <v>111</v>
      </c>
      <c r="AE1673">
        <v>0</v>
      </c>
      <c r="AF1673">
        <v>0</v>
      </c>
      <c r="AG1673" t="s">
        <v>111</v>
      </c>
      <c r="AH1673" t="s">
        <v>111</v>
      </c>
      <c r="AI1673" t="s">
        <v>111</v>
      </c>
      <c r="AJ1673" t="s">
        <v>111</v>
      </c>
      <c r="AK1673" t="s">
        <v>111</v>
      </c>
      <c r="AL1673" t="s">
        <v>111</v>
      </c>
      <c r="AM1673">
        <v>0</v>
      </c>
      <c r="AN1673">
        <v>0</v>
      </c>
      <c r="AO1673">
        <v>0</v>
      </c>
      <c r="AP1673" t="s">
        <v>111</v>
      </c>
      <c r="AQ1673" t="s">
        <v>111</v>
      </c>
      <c r="AR1673" t="s">
        <v>111</v>
      </c>
      <c r="AS1673" t="s">
        <v>111</v>
      </c>
      <c r="AT1673" t="s">
        <v>111</v>
      </c>
      <c r="AU1673" t="s">
        <v>111</v>
      </c>
      <c r="AV1673" t="s">
        <v>111</v>
      </c>
      <c r="AW1673" t="s">
        <v>111</v>
      </c>
      <c r="AX1673" t="s">
        <v>111</v>
      </c>
      <c r="AY1673" t="s">
        <v>111</v>
      </c>
      <c r="AZ1673" t="s">
        <v>111</v>
      </c>
      <c r="BA1673" t="s">
        <v>111</v>
      </c>
      <c r="BB1673" t="s">
        <v>111</v>
      </c>
      <c r="BC1673" t="s">
        <v>111</v>
      </c>
      <c r="BD1673" t="s">
        <v>111</v>
      </c>
      <c r="BE1673" t="s">
        <v>111</v>
      </c>
      <c r="BF1673" t="s">
        <v>111</v>
      </c>
      <c r="BG1673" t="s">
        <v>111</v>
      </c>
      <c r="BH1673" t="s">
        <v>111</v>
      </c>
      <c r="BI1673" t="s">
        <v>111</v>
      </c>
      <c r="BJ1673" t="s">
        <v>111</v>
      </c>
      <c r="BK1673" t="s">
        <v>111</v>
      </c>
      <c r="BL1673" t="s">
        <v>111</v>
      </c>
      <c r="BM1673" t="s">
        <v>111</v>
      </c>
      <c r="BN1673" t="s">
        <v>111</v>
      </c>
      <c r="BO1673" t="s">
        <v>111</v>
      </c>
      <c r="BP1673" t="s">
        <v>111</v>
      </c>
      <c r="BQ1673" t="s">
        <v>111</v>
      </c>
      <c r="BR1673" t="s">
        <v>111</v>
      </c>
      <c r="BS1673" t="s">
        <v>111</v>
      </c>
      <c r="BT1673" t="s">
        <v>111</v>
      </c>
      <c r="BU1673" t="s">
        <v>111</v>
      </c>
      <c r="BV1673" t="s">
        <v>111</v>
      </c>
      <c r="BW1673" t="s">
        <v>111</v>
      </c>
      <c r="BX1673" t="s">
        <v>111</v>
      </c>
      <c r="BY1673" t="s">
        <v>111</v>
      </c>
      <c r="BZ1673" t="s">
        <v>111</v>
      </c>
      <c r="CA1673" t="s">
        <v>111</v>
      </c>
      <c r="CB1673" t="s">
        <v>111</v>
      </c>
      <c r="CC1673" t="s">
        <v>111</v>
      </c>
      <c r="CD1673" t="s">
        <v>111</v>
      </c>
      <c r="CE1673" t="s">
        <v>111</v>
      </c>
      <c r="CF1673" t="s">
        <v>111</v>
      </c>
      <c r="CG1673" t="s">
        <v>111</v>
      </c>
      <c r="CH1673" t="s">
        <v>111</v>
      </c>
      <c r="CI1673" t="s">
        <v>111</v>
      </c>
      <c r="CJ1673" t="s">
        <v>111</v>
      </c>
      <c r="CK1673" t="s">
        <v>111</v>
      </c>
      <c r="CL1673" t="s">
        <v>111</v>
      </c>
      <c r="CM1673" t="s">
        <v>135</v>
      </c>
      <c r="CN1673" t="s">
        <v>113</v>
      </c>
      <c r="CO1673" t="s">
        <v>111</v>
      </c>
      <c r="CP1673" t="s">
        <v>111</v>
      </c>
      <c r="CQ1673">
        <v>0</v>
      </c>
      <c r="CR1673">
        <v>4000</v>
      </c>
      <c r="CS1673">
        <v>200</v>
      </c>
      <c r="CT1673" s="1" t="s">
        <v>4651</v>
      </c>
      <c r="CU1673">
        <v>0</v>
      </c>
      <c r="CV1673" t="s">
        <v>111</v>
      </c>
      <c r="CX1673" t="s">
        <v>111</v>
      </c>
      <c r="CY1673">
        <v>0</v>
      </c>
      <c r="CZ1673" t="s">
        <v>111</v>
      </c>
      <c r="DA1673" t="s">
        <v>111</v>
      </c>
      <c r="DB1673" t="s">
        <v>111</v>
      </c>
      <c r="DC1673" t="s">
        <v>111</v>
      </c>
    </row>
    <row r="1674" spans="1:107">
      <c r="A1674">
        <v>1726</v>
      </c>
      <c r="B1674" t="s">
        <v>107</v>
      </c>
      <c r="C1674" t="s">
        <v>4623</v>
      </c>
      <c r="D1674" t="s">
        <v>4369</v>
      </c>
      <c r="E1674" t="s">
        <v>4370</v>
      </c>
      <c r="F1674" t="s">
        <v>1071</v>
      </c>
      <c r="G1674" t="s">
        <v>24</v>
      </c>
      <c r="H1674">
        <v>1.3</v>
      </c>
      <c r="I1674">
        <v>35</v>
      </c>
      <c r="J1674">
        <v>0</v>
      </c>
      <c r="K1674">
        <v>0</v>
      </c>
      <c r="L1674" t="s">
        <v>112</v>
      </c>
      <c r="M1674" t="s">
        <v>111</v>
      </c>
      <c r="N1674">
        <v>0</v>
      </c>
      <c r="O1674">
        <v>0</v>
      </c>
      <c r="P1674" t="s">
        <v>111</v>
      </c>
      <c r="Q1674">
        <v>33.4</v>
      </c>
      <c r="R1674">
        <v>0</v>
      </c>
      <c r="S1674">
        <v>0</v>
      </c>
      <c r="T1674">
        <v>5</v>
      </c>
      <c r="U1674" t="e">
        <f>-SELLADO</f>
        <v>#NAME?</v>
      </c>
      <c r="V1674">
        <v>0</v>
      </c>
      <c r="W1674">
        <v>0</v>
      </c>
      <c r="X1674">
        <v>0</v>
      </c>
      <c r="Y1674">
        <v>25</v>
      </c>
      <c r="Z1674" t="s">
        <v>111</v>
      </c>
      <c r="AA1674">
        <v>0</v>
      </c>
      <c r="AB1674" t="s">
        <v>111</v>
      </c>
      <c r="AC1674">
        <v>0</v>
      </c>
      <c r="AD1674" t="s">
        <v>111</v>
      </c>
      <c r="AE1674">
        <v>0</v>
      </c>
      <c r="AF1674">
        <v>0</v>
      </c>
      <c r="AG1674" t="s">
        <v>111</v>
      </c>
      <c r="AH1674" t="s">
        <v>111</v>
      </c>
      <c r="AI1674" t="s">
        <v>111</v>
      </c>
      <c r="AJ1674" t="s">
        <v>111</v>
      </c>
      <c r="AK1674" t="s">
        <v>111</v>
      </c>
      <c r="AL1674" t="s">
        <v>111</v>
      </c>
      <c r="AM1674">
        <v>0</v>
      </c>
      <c r="AN1674">
        <v>0</v>
      </c>
      <c r="AO1674">
        <v>0</v>
      </c>
      <c r="AP1674" t="s">
        <v>111</v>
      </c>
      <c r="AQ1674" t="s">
        <v>111</v>
      </c>
      <c r="AR1674" t="s">
        <v>111</v>
      </c>
      <c r="AS1674" t="s">
        <v>111</v>
      </c>
      <c r="AT1674" t="s">
        <v>111</v>
      </c>
      <c r="AU1674" t="s">
        <v>111</v>
      </c>
      <c r="AV1674" t="s">
        <v>111</v>
      </c>
      <c r="AW1674" t="s">
        <v>111</v>
      </c>
      <c r="AX1674" t="s">
        <v>111</v>
      </c>
      <c r="AY1674" t="s">
        <v>111</v>
      </c>
      <c r="AZ1674" t="s">
        <v>111</v>
      </c>
      <c r="BA1674" t="s">
        <v>111</v>
      </c>
      <c r="BB1674" t="s">
        <v>111</v>
      </c>
      <c r="BC1674" t="s">
        <v>111</v>
      </c>
      <c r="BD1674" t="s">
        <v>111</v>
      </c>
      <c r="BE1674" t="s">
        <v>111</v>
      </c>
      <c r="BF1674" t="s">
        <v>111</v>
      </c>
      <c r="BG1674" t="s">
        <v>111</v>
      </c>
      <c r="BH1674" t="s">
        <v>111</v>
      </c>
      <c r="BI1674" t="s">
        <v>111</v>
      </c>
      <c r="BJ1674" t="s">
        <v>111</v>
      </c>
      <c r="BK1674" t="s">
        <v>111</v>
      </c>
      <c r="BL1674" t="s">
        <v>111</v>
      </c>
      <c r="BM1674" t="s">
        <v>111</v>
      </c>
      <c r="BN1674" t="s">
        <v>111</v>
      </c>
      <c r="BO1674" t="s">
        <v>111</v>
      </c>
      <c r="BP1674" t="s">
        <v>111</v>
      </c>
      <c r="BQ1674" t="s">
        <v>111</v>
      </c>
      <c r="BR1674" t="s">
        <v>111</v>
      </c>
      <c r="BS1674" t="s">
        <v>111</v>
      </c>
      <c r="BT1674" t="s">
        <v>111</v>
      </c>
      <c r="BU1674" t="s">
        <v>111</v>
      </c>
      <c r="BV1674" t="s">
        <v>111</v>
      </c>
      <c r="BW1674" t="s">
        <v>111</v>
      </c>
      <c r="BX1674" t="s">
        <v>111</v>
      </c>
      <c r="BY1674" t="s">
        <v>111</v>
      </c>
      <c r="BZ1674" t="s">
        <v>111</v>
      </c>
      <c r="CA1674" t="s">
        <v>111</v>
      </c>
      <c r="CB1674" t="s">
        <v>111</v>
      </c>
      <c r="CC1674" t="s">
        <v>111</v>
      </c>
      <c r="CD1674" t="s">
        <v>111</v>
      </c>
      <c r="CE1674" t="s">
        <v>111</v>
      </c>
      <c r="CF1674" t="s">
        <v>111</v>
      </c>
      <c r="CG1674" t="s">
        <v>111</v>
      </c>
      <c r="CH1674" t="s">
        <v>111</v>
      </c>
      <c r="CI1674" t="s">
        <v>111</v>
      </c>
      <c r="CJ1674" t="s">
        <v>111</v>
      </c>
      <c r="CK1674" t="s">
        <v>111</v>
      </c>
      <c r="CL1674" t="s">
        <v>111</v>
      </c>
      <c r="CM1674">
        <v>450</v>
      </c>
      <c r="CN1674" t="s">
        <v>113</v>
      </c>
      <c r="CO1674" t="s">
        <v>111</v>
      </c>
      <c r="CP1674" t="s">
        <v>111</v>
      </c>
      <c r="CQ1674">
        <v>0</v>
      </c>
      <c r="CR1674">
        <v>5000</v>
      </c>
      <c r="CS1674">
        <v>100</v>
      </c>
      <c r="CT1674" s="1" t="s">
        <v>4652</v>
      </c>
      <c r="CU1674">
        <v>0</v>
      </c>
      <c r="CV1674" t="s">
        <v>111</v>
      </c>
      <c r="CX1674" t="s">
        <v>111</v>
      </c>
      <c r="CY1674">
        <v>0</v>
      </c>
      <c r="CZ1674" t="s">
        <v>111</v>
      </c>
      <c r="DA1674" t="s">
        <v>111</v>
      </c>
      <c r="DB1674" t="s">
        <v>111</v>
      </c>
      <c r="DC1674" t="s">
        <v>111</v>
      </c>
    </row>
    <row r="1675" spans="1:107">
      <c r="A1675">
        <v>1768</v>
      </c>
      <c r="B1675" t="s">
        <v>107</v>
      </c>
      <c r="C1675" t="s">
        <v>454</v>
      </c>
      <c r="D1675" t="s">
        <v>4653</v>
      </c>
      <c r="E1675" t="s">
        <v>4654</v>
      </c>
      <c r="F1675" t="s">
        <v>1651</v>
      </c>
      <c r="G1675" t="s">
        <v>24</v>
      </c>
      <c r="H1675">
        <v>1.4</v>
      </c>
      <c r="I1675">
        <v>30</v>
      </c>
      <c r="J1675">
        <v>0</v>
      </c>
      <c r="K1675">
        <v>0</v>
      </c>
      <c r="L1675" t="s">
        <v>112</v>
      </c>
      <c r="M1675" t="s">
        <v>118</v>
      </c>
      <c r="N1675">
        <v>40</v>
      </c>
      <c r="O1675">
        <v>2</v>
      </c>
      <c r="P1675" t="s">
        <v>138</v>
      </c>
      <c r="Q1675">
        <v>34.200000000000003</v>
      </c>
      <c r="R1675">
        <v>0</v>
      </c>
      <c r="S1675">
        <v>0</v>
      </c>
      <c r="T1675">
        <v>5</v>
      </c>
      <c r="U1675" t="e">
        <f>-DESTINO DARMA</f>
        <v>#NAME?</v>
      </c>
      <c r="V1675">
        <v>0</v>
      </c>
      <c r="W1675">
        <v>0</v>
      </c>
      <c r="X1675">
        <v>0</v>
      </c>
      <c r="Y1675">
        <v>25</v>
      </c>
      <c r="Z1675" t="s">
        <v>111</v>
      </c>
      <c r="AA1675">
        <v>0</v>
      </c>
      <c r="AB1675" t="s">
        <v>111</v>
      </c>
      <c r="AC1675">
        <v>0</v>
      </c>
      <c r="AD1675" t="s">
        <v>416</v>
      </c>
      <c r="AE1675">
        <v>0</v>
      </c>
      <c r="AF1675">
        <v>0</v>
      </c>
      <c r="AG1675" t="s">
        <v>111</v>
      </c>
      <c r="AH1675" t="s">
        <v>111</v>
      </c>
      <c r="AI1675" t="s">
        <v>111</v>
      </c>
      <c r="AJ1675" t="s">
        <v>111</v>
      </c>
      <c r="AK1675" t="s">
        <v>111</v>
      </c>
      <c r="AL1675" t="s">
        <v>111</v>
      </c>
      <c r="AM1675">
        <v>0</v>
      </c>
      <c r="AN1675">
        <v>0</v>
      </c>
      <c r="AO1675">
        <v>0</v>
      </c>
      <c r="AP1675" t="s">
        <v>111</v>
      </c>
      <c r="AQ1675" t="s">
        <v>111</v>
      </c>
      <c r="AR1675" t="s">
        <v>111</v>
      </c>
      <c r="AS1675" t="s">
        <v>111</v>
      </c>
      <c r="AT1675" t="s">
        <v>111</v>
      </c>
      <c r="AU1675" t="s">
        <v>111</v>
      </c>
      <c r="AV1675" t="s">
        <v>111</v>
      </c>
      <c r="AW1675" t="s">
        <v>111</v>
      </c>
      <c r="AX1675" t="s">
        <v>111</v>
      </c>
      <c r="AY1675" t="s">
        <v>111</v>
      </c>
      <c r="AZ1675" t="s">
        <v>111</v>
      </c>
      <c r="BA1675" t="s">
        <v>111</v>
      </c>
      <c r="BB1675" t="s">
        <v>111</v>
      </c>
      <c r="BC1675" t="s">
        <v>111</v>
      </c>
      <c r="BD1675" t="s">
        <v>111</v>
      </c>
      <c r="BE1675" t="s">
        <v>111</v>
      </c>
      <c r="BF1675" t="s">
        <v>111</v>
      </c>
      <c r="BG1675" t="s">
        <v>111</v>
      </c>
      <c r="BH1675" t="s">
        <v>111</v>
      </c>
      <c r="BI1675" t="s">
        <v>111</v>
      </c>
      <c r="BJ1675" t="s">
        <v>111</v>
      </c>
      <c r="BK1675" t="s">
        <v>111</v>
      </c>
      <c r="BL1675" t="s">
        <v>111</v>
      </c>
      <c r="BM1675" t="s">
        <v>111</v>
      </c>
      <c r="BN1675" t="s">
        <v>111</v>
      </c>
      <c r="BO1675" t="s">
        <v>111</v>
      </c>
      <c r="BP1675" t="s">
        <v>111</v>
      </c>
      <c r="BQ1675" t="s">
        <v>111</v>
      </c>
      <c r="BR1675" t="s">
        <v>111</v>
      </c>
      <c r="BS1675" t="s">
        <v>111</v>
      </c>
      <c r="BT1675" t="s">
        <v>111</v>
      </c>
      <c r="BU1675" t="s">
        <v>111</v>
      </c>
      <c r="BV1675" t="s">
        <v>111</v>
      </c>
      <c r="BW1675" t="s">
        <v>111</v>
      </c>
      <c r="BX1675" t="s">
        <v>111</v>
      </c>
      <c r="BY1675" t="s">
        <v>111</v>
      </c>
      <c r="BZ1675" t="s">
        <v>111</v>
      </c>
      <c r="CA1675" t="s">
        <v>111</v>
      </c>
      <c r="CB1675" t="s">
        <v>111</v>
      </c>
      <c r="CC1675" t="s">
        <v>111</v>
      </c>
      <c r="CD1675" t="s">
        <v>111</v>
      </c>
      <c r="CE1675" t="s">
        <v>111</v>
      </c>
      <c r="CF1675" t="s">
        <v>111</v>
      </c>
      <c r="CG1675" t="s">
        <v>111</v>
      </c>
      <c r="CH1675" t="s">
        <v>111</v>
      </c>
      <c r="CI1675" t="s">
        <v>111</v>
      </c>
      <c r="CJ1675" t="s">
        <v>111</v>
      </c>
      <c r="CK1675" t="s">
        <v>111</v>
      </c>
      <c r="CL1675" t="s">
        <v>111</v>
      </c>
      <c r="CM1675" t="s">
        <v>135</v>
      </c>
      <c r="CN1675" t="s">
        <v>113</v>
      </c>
      <c r="CO1675" t="s">
        <v>111</v>
      </c>
      <c r="CP1675" t="s">
        <v>563</v>
      </c>
      <c r="CQ1675">
        <v>70</v>
      </c>
      <c r="CR1675">
        <v>5000</v>
      </c>
      <c r="CS1675">
        <v>100</v>
      </c>
      <c r="CT1675" t="e">
        <f>-DESTINO ALMACEN</f>
        <v>#NAME?</v>
      </c>
      <c r="CU1675">
        <v>0</v>
      </c>
      <c r="CV1675" t="s">
        <v>111</v>
      </c>
      <c r="CX1675" t="s">
        <v>111</v>
      </c>
      <c r="CY1675">
        <v>0</v>
      </c>
      <c r="CZ1675" t="s">
        <v>111</v>
      </c>
      <c r="DA1675" t="s">
        <v>111</v>
      </c>
      <c r="DB1675" t="s">
        <v>111</v>
      </c>
      <c r="DC1675" t="s">
        <v>111</v>
      </c>
    </row>
    <row r="1676" spans="1:107">
      <c r="A1676">
        <v>1724</v>
      </c>
      <c r="B1676" t="s">
        <v>107</v>
      </c>
      <c r="C1676" t="s">
        <v>428</v>
      </c>
      <c r="D1676" t="s">
        <v>4655</v>
      </c>
      <c r="E1676" t="s">
        <v>4656</v>
      </c>
      <c r="F1676" t="s">
        <v>1071</v>
      </c>
      <c r="G1676" t="s">
        <v>24</v>
      </c>
      <c r="H1676">
        <v>1</v>
      </c>
      <c r="I1676">
        <v>40</v>
      </c>
      <c r="J1676">
        <v>0</v>
      </c>
      <c r="K1676">
        <v>0</v>
      </c>
      <c r="L1676" t="s">
        <v>112</v>
      </c>
      <c r="M1676" t="s">
        <v>111</v>
      </c>
      <c r="N1676">
        <v>0</v>
      </c>
      <c r="O1676">
        <v>0</v>
      </c>
      <c r="P1676" t="s">
        <v>111</v>
      </c>
      <c r="Q1676">
        <v>10</v>
      </c>
      <c r="R1676">
        <v>0</v>
      </c>
      <c r="S1676">
        <v>0</v>
      </c>
      <c r="T1676">
        <v>5</v>
      </c>
      <c r="U1676" t="s">
        <v>4657</v>
      </c>
      <c r="V1676">
        <v>0</v>
      </c>
      <c r="W1676">
        <v>0</v>
      </c>
      <c r="X1676">
        <v>0</v>
      </c>
      <c r="Y1676">
        <v>25</v>
      </c>
      <c r="Z1676" t="s">
        <v>111</v>
      </c>
      <c r="AA1676">
        <v>0</v>
      </c>
      <c r="AB1676" t="s">
        <v>111</v>
      </c>
      <c r="AC1676">
        <v>0</v>
      </c>
      <c r="AD1676" t="s">
        <v>111</v>
      </c>
      <c r="AE1676">
        <v>0</v>
      </c>
      <c r="AF1676">
        <v>0</v>
      </c>
      <c r="AG1676" t="s">
        <v>111</v>
      </c>
      <c r="AH1676" t="s">
        <v>111</v>
      </c>
      <c r="AI1676" t="s">
        <v>111</v>
      </c>
      <c r="AJ1676" t="s">
        <v>111</v>
      </c>
      <c r="AK1676" t="s">
        <v>111</v>
      </c>
      <c r="AL1676" t="s">
        <v>111</v>
      </c>
      <c r="AM1676">
        <v>0</v>
      </c>
      <c r="AN1676">
        <v>0</v>
      </c>
      <c r="AO1676">
        <v>0</v>
      </c>
      <c r="AP1676" t="s">
        <v>111</v>
      </c>
      <c r="AQ1676" t="s">
        <v>111</v>
      </c>
      <c r="AR1676" t="s">
        <v>111</v>
      </c>
      <c r="AS1676" t="s">
        <v>111</v>
      </c>
      <c r="AT1676" t="s">
        <v>111</v>
      </c>
      <c r="AU1676" t="s">
        <v>111</v>
      </c>
      <c r="AV1676" t="s">
        <v>111</v>
      </c>
      <c r="AW1676" t="s">
        <v>111</v>
      </c>
      <c r="AX1676" t="s">
        <v>111</v>
      </c>
      <c r="AY1676" t="s">
        <v>111</v>
      </c>
      <c r="AZ1676" t="s">
        <v>111</v>
      </c>
      <c r="BA1676" t="s">
        <v>111</v>
      </c>
      <c r="BB1676" t="s">
        <v>111</v>
      </c>
      <c r="BC1676" t="s">
        <v>111</v>
      </c>
      <c r="BD1676" t="s">
        <v>111</v>
      </c>
      <c r="BE1676" t="s">
        <v>111</v>
      </c>
      <c r="BF1676" t="s">
        <v>111</v>
      </c>
      <c r="BG1676" t="s">
        <v>111</v>
      </c>
      <c r="BH1676" t="s">
        <v>111</v>
      </c>
      <c r="BI1676" t="s">
        <v>111</v>
      </c>
      <c r="BJ1676" t="s">
        <v>111</v>
      </c>
      <c r="BK1676" t="s">
        <v>111</v>
      </c>
      <c r="BL1676" t="s">
        <v>111</v>
      </c>
      <c r="BM1676" t="s">
        <v>111</v>
      </c>
      <c r="BN1676" t="s">
        <v>111</v>
      </c>
      <c r="BO1676" t="s">
        <v>111</v>
      </c>
      <c r="BP1676" t="s">
        <v>111</v>
      </c>
      <c r="BQ1676" t="s">
        <v>111</v>
      </c>
      <c r="BR1676" t="s">
        <v>111</v>
      </c>
      <c r="BS1676" t="s">
        <v>111</v>
      </c>
      <c r="BT1676" t="s">
        <v>111</v>
      </c>
      <c r="BU1676" t="s">
        <v>111</v>
      </c>
      <c r="BV1676" t="s">
        <v>111</v>
      </c>
      <c r="BW1676" t="s">
        <v>111</v>
      </c>
      <c r="BX1676" t="s">
        <v>111</v>
      </c>
      <c r="BY1676" t="s">
        <v>111</v>
      </c>
      <c r="BZ1676" t="s">
        <v>111</v>
      </c>
      <c r="CA1676" t="s">
        <v>111</v>
      </c>
      <c r="CB1676" t="s">
        <v>111</v>
      </c>
      <c r="CC1676" t="s">
        <v>111</v>
      </c>
      <c r="CD1676" t="s">
        <v>111</v>
      </c>
      <c r="CE1676" t="s">
        <v>111</v>
      </c>
      <c r="CF1676" t="s">
        <v>111</v>
      </c>
      <c r="CG1676" t="s">
        <v>111</v>
      </c>
      <c r="CH1676" t="s">
        <v>111</v>
      </c>
      <c r="CI1676" t="s">
        <v>111</v>
      </c>
      <c r="CJ1676" t="s">
        <v>111</v>
      </c>
      <c r="CK1676" t="s">
        <v>111</v>
      </c>
      <c r="CL1676" t="s">
        <v>111</v>
      </c>
      <c r="CM1676" t="s">
        <v>135</v>
      </c>
      <c r="CN1676" t="s">
        <v>113</v>
      </c>
      <c r="CO1676" t="s">
        <v>111</v>
      </c>
      <c r="CP1676" t="s">
        <v>111</v>
      </c>
      <c r="CQ1676">
        <v>0</v>
      </c>
      <c r="CR1676">
        <v>2000</v>
      </c>
      <c r="CS1676">
        <v>200</v>
      </c>
      <c r="CT1676" t="s">
        <v>964</v>
      </c>
      <c r="CU1676">
        <v>0</v>
      </c>
      <c r="CV1676" t="s">
        <v>111</v>
      </c>
      <c r="CX1676" t="s">
        <v>111</v>
      </c>
      <c r="CY1676">
        <v>0</v>
      </c>
      <c r="CZ1676" t="s">
        <v>111</v>
      </c>
      <c r="DA1676" t="s">
        <v>111</v>
      </c>
      <c r="DB1676" t="s">
        <v>111</v>
      </c>
      <c r="DC1676" t="s">
        <v>111</v>
      </c>
    </row>
    <row r="1677" spans="1:107">
      <c r="A1677">
        <v>1719</v>
      </c>
      <c r="B1677" t="s">
        <v>107</v>
      </c>
      <c r="C1677" t="s">
        <v>801</v>
      </c>
      <c r="D1677" t="s">
        <v>4658</v>
      </c>
      <c r="E1677" t="s">
        <v>4659</v>
      </c>
      <c r="F1677" t="s">
        <v>1651</v>
      </c>
      <c r="G1677" t="s">
        <v>24</v>
      </c>
      <c r="H1677">
        <v>1.9</v>
      </c>
      <c r="I1677">
        <v>40</v>
      </c>
      <c r="J1677">
        <v>0</v>
      </c>
      <c r="K1677">
        <v>0</v>
      </c>
      <c r="L1677" t="s">
        <v>112</v>
      </c>
      <c r="M1677" t="s">
        <v>118</v>
      </c>
      <c r="N1677">
        <v>39</v>
      </c>
      <c r="O1677">
        <v>2</v>
      </c>
      <c r="P1677" t="s">
        <v>111</v>
      </c>
      <c r="Q1677">
        <v>40</v>
      </c>
      <c r="R1677">
        <v>0</v>
      </c>
      <c r="S1677">
        <v>0</v>
      </c>
      <c r="T1677">
        <v>8</v>
      </c>
      <c r="U1677" s="1" t="s">
        <v>662</v>
      </c>
      <c r="V1677">
        <v>0</v>
      </c>
      <c r="W1677">
        <v>0</v>
      </c>
      <c r="X1677">
        <v>0</v>
      </c>
      <c r="Y1677">
        <v>25</v>
      </c>
      <c r="Z1677" t="s">
        <v>111</v>
      </c>
      <c r="AA1677">
        <v>0</v>
      </c>
      <c r="AB1677" t="s">
        <v>111</v>
      </c>
      <c r="AC1677">
        <v>0</v>
      </c>
      <c r="AD1677" t="s">
        <v>416</v>
      </c>
      <c r="AE1677">
        <v>0</v>
      </c>
      <c r="AF1677">
        <v>0</v>
      </c>
      <c r="AG1677" t="s">
        <v>111</v>
      </c>
      <c r="AH1677" t="s">
        <v>113</v>
      </c>
      <c r="AI1677" t="s">
        <v>111</v>
      </c>
      <c r="AJ1677" t="s">
        <v>111</v>
      </c>
      <c r="AK1677" t="s">
        <v>111</v>
      </c>
      <c r="AL1677" t="s">
        <v>111</v>
      </c>
      <c r="AM1677">
        <v>0</v>
      </c>
      <c r="AN1677">
        <v>0</v>
      </c>
      <c r="AO1677">
        <v>0</v>
      </c>
      <c r="AP1677" t="s">
        <v>111</v>
      </c>
      <c r="AQ1677" t="s">
        <v>111</v>
      </c>
      <c r="AR1677" t="s">
        <v>111</v>
      </c>
      <c r="AS1677" t="s">
        <v>111</v>
      </c>
      <c r="AT1677" t="s">
        <v>111</v>
      </c>
      <c r="AU1677" t="s">
        <v>111</v>
      </c>
      <c r="AV1677" t="s">
        <v>111</v>
      </c>
      <c r="AW1677" t="s">
        <v>111</v>
      </c>
      <c r="AX1677" t="s">
        <v>111</v>
      </c>
      <c r="AY1677" t="s">
        <v>111</v>
      </c>
      <c r="AZ1677" t="s">
        <v>111</v>
      </c>
      <c r="BA1677" t="s">
        <v>111</v>
      </c>
      <c r="BB1677" t="s">
        <v>111</v>
      </c>
      <c r="BC1677" t="s">
        <v>111</v>
      </c>
      <c r="BD1677" t="s">
        <v>111</v>
      </c>
      <c r="BE1677" t="s">
        <v>111</v>
      </c>
      <c r="BF1677" t="s">
        <v>111</v>
      </c>
      <c r="BG1677" t="s">
        <v>111</v>
      </c>
      <c r="BH1677" t="s">
        <v>111</v>
      </c>
      <c r="BI1677" t="s">
        <v>111</v>
      </c>
      <c r="BJ1677" t="s">
        <v>111</v>
      </c>
      <c r="BK1677" t="s">
        <v>111</v>
      </c>
      <c r="BL1677" t="s">
        <v>111</v>
      </c>
      <c r="BM1677" t="s">
        <v>111</v>
      </c>
      <c r="BN1677" t="s">
        <v>111</v>
      </c>
      <c r="BO1677" t="s">
        <v>111</v>
      </c>
      <c r="BP1677" t="s">
        <v>111</v>
      </c>
      <c r="BQ1677" t="s">
        <v>111</v>
      </c>
      <c r="BR1677" t="s">
        <v>111</v>
      </c>
      <c r="BS1677" t="s">
        <v>111</v>
      </c>
      <c r="BT1677" t="s">
        <v>111</v>
      </c>
      <c r="BU1677" t="s">
        <v>111</v>
      </c>
      <c r="BV1677" t="s">
        <v>111</v>
      </c>
      <c r="BW1677" t="s">
        <v>111</v>
      </c>
      <c r="BX1677" t="s">
        <v>111</v>
      </c>
      <c r="BY1677" t="s">
        <v>111</v>
      </c>
      <c r="BZ1677" t="s">
        <v>111</v>
      </c>
      <c r="CA1677" t="s">
        <v>111</v>
      </c>
      <c r="CB1677" t="s">
        <v>111</v>
      </c>
      <c r="CC1677" t="s">
        <v>111</v>
      </c>
      <c r="CD1677" t="s">
        <v>111</v>
      </c>
      <c r="CE1677" t="s">
        <v>111</v>
      </c>
      <c r="CF1677" t="s">
        <v>111</v>
      </c>
      <c r="CG1677" t="s">
        <v>111</v>
      </c>
      <c r="CH1677" t="s">
        <v>111</v>
      </c>
      <c r="CI1677" t="s">
        <v>111</v>
      </c>
      <c r="CJ1677" t="s">
        <v>111</v>
      </c>
      <c r="CK1677" t="s">
        <v>111</v>
      </c>
      <c r="CL1677" t="s">
        <v>111</v>
      </c>
      <c r="CM1677" t="s">
        <v>135</v>
      </c>
      <c r="CN1677" t="s">
        <v>113</v>
      </c>
      <c r="CO1677" t="s">
        <v>637</v>
      </c>
      <c r="CP1677" t="s">
        <v>1971</v>
      </c>
      <c r="CQ1677">
        <v>0</v>
      </c>
      <c r="CR1677">
        <v>4000</v>
      </c>
      <c r="CS1677">
        <v>200</v>
      </c>
      <c r="CT1677" s="1" t="s">
        <v>4660</v>
      </c>
      <c r="CU1677">
        <v>0</v>
      </c>
      <c r="CV1677" t="s">
        <v>111</v>
      </c>
      <c r="CX1677" t="s">
        <v>111</v>
      </c>
      <c r="CY1677">
        <v>0</v>
      </c>
      <c r="CZ1677" t="s">
        <v>111</v>
      </c>
      <c r="DA1677" t="s">
        <v>111</v>
      </c>
      <c r="DB1677" t="s">
        <v>111</v>
      </c>
      <c r="DC1677" t="s">
        <v>111</v>
      </c>
    </row>
    <row r="1678" spans="1:107">
      <c r="A1678">
        <v>1714</v>
      </c>
      <c r="B1678" t="s">
        <v>107</v>
      </c>
      <c r="C1678" s="2">
        <v>1020396785</v>
      </c>
      <c r="D1678" t="s">
        <v>4661</v>
      </c>
      <c r="E1678" t="s">
        <v>4662</v>
      </c>
      <c r="F1678" t="s">
        <v>1071</v>
      </c>
      <c r="G1678" t="s">
        <v>24</v>
      </c>
      <c r="H1678">
        <v>3</v>
      </c>
      <c r="I1678">
        <v>40</v>
      </c>
      <c r="J1678">
        <v>0</v>
      </c>
      <c r="K1678">
        <v>0</v>
      </c>
      <c r="L1678" t="s">
        <v>112</v>
      </c>
      <c r="M1678" t="s">
        <v>111</v>
      </c>
      <c r="N1678">
        <v>0</v>
      </c>
      <c r="O1678">
        <v>0</v>
      </c>
      <c r="P1678" t="s">
        <v>111</v>
      </c>
      <c r="Q1678">
        <v>21.3</v>
      </c>
      <c r="R1678">
        <v>0</v>
      </c>
      <c r="S1678">
        <v>0</v>
      </c>
      <c r="T1678">
        <v>5</v>
      </c>
      <c r="U1678" s="1" t="s">
        <v>851</v>
      </c>
      <c r="V1678">
        <v>0</v>
      </c>
      <c r="W1678">
        <v>0</v>
      </c>
      <c r="X1678">
        <v>0</v>
      </c>
      <c r="Y1678">
        <v>25</v>
      </c>
      <c r="Z1678" t="s">
        <v>111</v>
      </c>
      <c r="AA1678">
        <v>0</v>
      </c>
      <c r="AB1678" t="s">
        <v>111</v>
      </c>
      <c r="AC1678">
        <v>0</v>
      </c>
      <c r="AD1678" t="s">
        <v>111</v>
      </c>
      <c r="AE1678">
        <v>0</v>
      </c>
      <c r="AF1678">
        <v>0</v>
      </c>
      <c r="AG1678" t="s">
        <v>111</v>
      </c>
      <c r="AH1678" t="s">
        <v>111</v>
      </c>
      <c r="AI1678" t="s">
        <v>111</v>
      </c>
      <c r="AJ1678" t="s">
        <v>111</v>
      </c>
      <c r="AK1678" t="s">
        <v>111</v>
      </c>
      <c r="AL1678" t="s">
        <v>111</v>
      </c>
      <c r="AM1678">
        <v>0</v>
      </c>
      <c r="AN1678">
        <v>0</v>
      </c>
      <c r="AO1678">
        <v>0</v>
      </c>
      <c r="AP1678" t="s">
        <v>111</v>
      </c>
      <c r="AQ1678" t="s">
        <v>111</v>
      </c>
      <c r="AR1678" t="s">
        <v>111</v>
      </c>
      <c r="AS1678" t="s">
        <v>111</v>
      </c>
      <c r="AT1678" t="s">
        <v>111</v>
      </c>
      <c r="AU1678" t="s">
        <v>111</v>
      </c>
      <c r="AV1678" t="s">
        <v>111</v>
      </c>
      <c r="AW1678" t="s">
        <v>111</v>
      </c>
      <c r="AX1678" t="s">
        <v>111</v>
      </c>
      <c r="AY1678" t="s">
        <v>111</v>
      </c>
      <c r="AZ1678" t="s">
        <v>111</v>
      </c>
      <c r="BA1678" t="s">
        <v>111</v>
      </c>
      <c r="BB1678" t="s">
        <v>111</v>
      </c>
      <c r="BC1678" t="s">
        <v>111</v>
      </c>
      <c r="BD1678" t="s">
        <v>111</v>
      </c>
      <c r="BE1678" t="s">
        <v>111</v>
      </c>
      <c r="BF1678" t="s">
        <v>111</v>
      </c>
      <c r="BG1678" t="s">
        <v>111</v>
      </c>
      <c r="BH1678" t="s">
        <v>111</v>
      </c>
      <c r="BI1678" t="s">
        <v>111</v>
      </c>
      <c r="BJ1678" t="s">
        <v>111</v>
      </c>
      <c r="BK1678" t="s">
        <v>111</v>
      </c>
      <c r="BL1678" t="s">
        <v>111</v>
      </c>
      <c r="BM1678" t="s">
        <v>111</v>
      </c>
      <c r="BN1678" t="s">
        <v>111</v>
      </c>
      <c r="BO1678" t="s">
        <v>111</v>
      </c>
      <c r="BP1678" t="s">
        <v>111</v>
      </c>
      <c r="BQ1678" t="s">
        <v>111</v>
      </c>
      <c r="BR1678" t="s">
        <v>111</v>
      </c>
      <c r="BS1678" t="s">
        <v>111</v>
      </c>
      <c r="BT1678" t="s">
        <v>111</v>
      </c>
      <c r="BU1678" t="s">
        <v>111</v>
      </c>
      <c r="BV1678" t="s">
        <v>111</v>
      </c>
      <c r="BW1678" t="s">
        <v>111</v>
      </c>
      <c r="BX1678" t="s">
        <v>111</v>
      </c>
      <c r="BY1678" t="s">
        <v>111</v>
      </c>
      <c r="BZ1678" t="s">
        <v>111</v>
      </c>
      <c r="CA1678" t="s">
        <v>111</v>
      </c>
      <c r="CB1678" t="s">
        <v>111</v>
      </c>
      <c r="CC1678" t="s">
        <v>111</v>
      </c>
      <c r="CD1678" t="s">
        <v>111</v>
      </c>
      <c r="CE1678" t="s">
        <v>111</v>
      </c>
      <c r="CF1678" t="s">
        <v>111</v>
      </c>
      <c r="CG1678" t="s">
        <v>111</v>
      </c>
      <c r="CH1678" t="s">
        <v>111</v>
      </c>
      <c r="CI1678" t="s">
        <v>111</v>
      </c>
      <c r="CJ1678" t="s">
        <v>111</v>
      </c>
      <c r="CK1678" t="s">
        <v>111</v>
      </c>
      <c r="CL1678" t="s">
        <v>111</v>
      </c>
      <c r="CM1678" t="s">
        <v>438</v>
      </c>
      <c r="CN1678" t="s">
        <v>113</v>
      </c>
      <c r="CO1678" t="s">
        <v>111</v>
      </c>
      <c r="CP1678" t="s">
        <v>111</v>
      </c>
      <c r="CQ1678">
        <v>0</v>
      </c>
      <c r="CR1678">
        <v>5000</v>
      </c>
      <c r="CS1678">
        <v>100</v>
      </c>
      <c r="CT1678" t="e">
        <f>-ALMACEN</f>
        <v>#NAME?</v>
      </c>
      <c r="CU1678">
        <v>0</v>
      </c>
      <c r="CV1678" t="s">
        <v>111</v>
      </c>
      <c r="CX1678" t="s">
        <v>111</v>
      </c>
      <c r="CY1678">
        <v>0</v>
      </c>
      <c r="CZ1678" t="s">
        <v>111</v>
      </c>
      <c r="DA1678" t="s">
        <v>111</v>
      </c>
      <c r="DB1678" t="s">
        <v>111</v>
      </c>
      <c r="DC1678" t="s">
        <v>111</v>
      </c>
    </row>
    <row r="1679" spans="1:107">
      <c r="A1679">
        <v>1713</v>
      </c>
      <c r="B1679" t="s">
        <v>107</v>
      </c>
      <c r="C1679" t="s">
        <v>226</v>
      </c>
      <c r="D1679" t="s">
        <v>3898</v>
      </c>
      <c r="E1679" t="s">
        <v>4663</v>
      </c>
      <c r="F1679" t="s">
        <v>1071</v>
      </c>
      <c r="G1679" t="s">
        <v>24</v>
      </c>
      <c r="H1679">
        <v>0.9</v>
      </c>
      <c r="I1679">
        <v>50</v>
      </c>
      <c r="J1679">
        <v>0</v>
      </c>
      <c r="K1679">
        <v>0</v>
      </c>
      <c r="L1679" t="s">
        <v>112</v>
      </c>
      <c r="M1679" t="s">
        <v>111</v>
      </c>
      <c r="N1679">
        <v>0</v>
      </c>
      <c r="O1679">
        <v>0</v>
      </c>
      <c r="P1679" t="s">
        <v>111</v>
      </c>
      <c r="Q1679">
        <v>36.700000000000003</v>
      </c>
      <c r="R1679">
        <v>0</v>
      </c>
      <c r="S1679">
        <v>0</v>
      </c>
      <c r="T1679">
        <v>5</v>
      </c>
      <c r="U1679" t="e">
        <f>-SELLADO</f>
        <v>#NAME?</v>
      </c>
      <c r="V1679">
        <v>0</v>
      </c>
      <c r="W1679">
        <v>0</v>
      </c>
      <c r="X1679">
        <v>0</v>
      </c>
      <c r="Y1679">
        <v>25</v>
      </c>
      <c r="Z1679" t="s">
        <v>111</v>
      </c>
      <c r="AA1679">
        <v>0</v>
      </c>
      <c r="AB1679" t="s">
        <v>4055</v>
      </c>
      <c r="AC1679">
        <v>0.3</v>
      </c>
      <c r="AD1679" t="s">
        <v>111</v>
      </c>
      <c r="AE1679">
        <v>0</v>
      </c>
      <c r="AF1679">
        <v>0</v>
      </c>
      <c r="AG1679" t="s">
        <v>111</v>
      </c>
      <c r="AH1679" t="s">
        <v>111</v>
      </c>
      <c r="AI1679" t="s">
        <v>111</v>
      </c>
      <c r="AJ1679" t="s">
        <v>111</v>
      </c>
      <c r="AK1679" t="s">
        <v>111</v>
      </c>
      <c r="AL1679" t="s">
        <v>111</v>
      </c>
      <c r="AM1679">
        <v>0</v>
      </c>
      <c r="AN1679">
        <v>0</v>
      </c>
      <c r="AO1679">
        <v>0</v>
      </c>
      <c r="AP1679" t="s">
        <v>111</v>
      </c>
      <c r="AQ1679" t="s">
        <v>111</v>
      </c>
      <c r="AR1679" t="s">
        <v>111</v>
      </c>
      <c r="AS1679" t="s">
        <v>111</v>
      </c>
      <c r="AT1679" t="s">
        <v>111</v>
      </c>
      <c r="AU1679" t="s">
        <v>111</v>
      </c>
      <c r="AV1679" t="s">
        <v>111</v>
      </c>
      <c r="AW1679" t="s">
        <v>111</v>
      </c>
      <c r="AX1679" t="s">
        <v>111</v>
      </c>
      <c r="AY1679" t="s">
        <v>111</v>
      </c>
      <c r="AZ1679" t="s">
        <v>111</v>
      </c>
      <c r="BA1679" t="s">
        <v>111</v>
      </c>
      <c r="BB1679" t="s">
        <v>111</v>
      </c>
      <c r="BC1679" t="s">
        <v>111</v>
      </c>
      <c r="BD1679" t="s">
        <v>111</v>
      </c>
      <c r="BE1679" t="s">
        <v>111</v>
      </c>
      <c r="BF1679" t="s">
        <v>111</v>
      </c>
      <c r="BG1679" t="s">
        <v>111</v>
      </c>
      <c r="BH1679" t="s">
        <v>111</v>
      </c>
      <c r="BI1679" t="s">
        <v>111</v>
      </c>
      <c r="BJ1679" t="s">
        <v>111</v>
      </c>
      <c r="BK1679" t="s">
        <v>111</v>
      </c>
      <c r="BL1679" t="s">
        <v>111</v>
      </c>
      <c r="BM1679" t="s">
        <v>111</v>
      </c>
      <c r="BN1679" t="s">
        <v>111</v>
      </c>
      <c r="BO1679" t="s">
        <v>111</v>
      </c>
      <c r="BP1679" t="s">
        <v>111</v>
      </c>
      <c r="BQ1679" t="s">
        <v>111</v>
      </c>
      <c r="BR1679" t="s">
        <v>111</v>
      </c>
      <c r="BS1679" t="s">
        <v>111</v>
      </c>
      <c r="BT1679" t="s">
        <v>111</v>
      </c>
      <c r="BU1679" t="s">
        <v>111</v>
      </c>
      <c r="BV1679" t="s">
        <v>111</v>
      </c>
      <c r="BW1679" t="s">
        <v>111</v>
      </c>
      <c r="BX1679" t="s">
        <v>111</v>
      </c>
      <c r="BY1679" t="s">
        <v>111</v>
      </c>
      <c r="BZ1679" t="s">
        <v>111</v>
      </c>
      <c r="CA1679" t="s">
        <v>111</v>
      </c>
      <c r="CB1679" t="s">
        <v>111</v>
      </c>
      <c r="CC1679" t="s">
        <v>111</v>
      </c>
      <c r="CD1679" t="s">
        <v>111</v>
      </c>
      <c r="CE1679" t="s">
        <v>111</v>
      </c>
      <c r="CF1679" t="s">
        <v>111</v>
      </c>
      <c r="CG1679" t="s">
        <v>111</v>
      </c>
      <c r="CH1679" t="s">
        <v>111</v>
      </c>
      <c r="CI1679" t="s">
        <v>111</v>
      </c>
      <c r="CJ1679" t="s">
        <v>111</v>
      </c>
      <c r="CK1679" t="s">
        <v>111</v>
      </c>
      <c r="CL1679" t="s">
        <v>111</v>
      </c>
      <c r="CM1679" t="s">
        <v>438</v>
      </c>
      <c r="CN1679" t="s">
        <v>113</v>
      </c>
      <c r="CO1679" t="s">
        <v>111</v>
      </c>
      <c r="CP1679" t="s">
        <v>111</v>
      </c>
      <c r="CQ1679">
        <v>0</v>
      </c>
      <c r="CR1679">
        <v>3000</v>
      </c>
      <c r="CS1679">
        <v>200</v>
      </c>
      <c r="CT1679" t="e">
        <f>-ALMACEN</f>
        <v>#NAME?</v>
      </c>
      <c r="CU1679">
        <v>0</v>
      </c>
      <c r="CV1679" t="s">
        <v>111</v>
      </c>
      <c r="CX1679" t="s">
        <v>111</v>
      </c>
      <c r="CY1679">
        <v>0</v>
      </c>
      <c r="CZ1679" t="s">
        <v>111</v>
      </c>
      <c r="DA1679" t="s">
        <v>111</v>
      </c>
      <c r="DB1679" t="s">
        <v>111</v>
      </c>
      <c r="DC1679" t="s">
        <v>111</v>
      </c>
    </row>
    <row r="1680" spans="1:107">
      <c r="A1680">
        <v>1712</v>
      </c>
      <c r="B1680" t="s">
        <v>107</v>
      </c>
      <c r="C1680" t="s">
        <v>773</v>
      </c>
      <c r="D1680" t="s">
        <v>4664</v>
      </c>
      <c r="E1680" t="s">
        <v>4665</v>
      </c>
      <c r="F1680" t="s">
        <v>1071</v>
      </c>
      <c r="G1680" t="s">
        <v>24</v>
      </c>
      <c r="H1680">
        <v>2.8</v>
      </c>
      <c r="I1680">
        <v>38</v>
      </c>
      <c r="J1680">
        <v>0</v>
      </c>
      <c r="K1680">
        <v>0</v>
      </c>
      <c r="L1680" t="s">
        <v>112</v>
      </c>
      <c r="M1680" t="s">
        <v>138</v>
      </c>
      <c r="N1680">
        <v>0</v>
      </c>
      <c r="O1680">
        <v>0</v>
      </c>
      <c r="P1680" t="s">
        <v>111</v>
      </c>
      <c r="Q1680">
        <v>6.2</v>
      </c>
      <c r="R1680">
        <v>0</v>
      </c>
      <c r="S1680">
        <v>0</v>
      </c>
      <c r="T1680">
        <v>5</v>
      </c>
      <c r="U1680" t="e">
        <f>-SELLADO</f>
        <v>#NAME?</v>
      </c>
      <c r="V1680">
        <v>0</v>
      </c>
      <c r="W1680">
        <v>0</v>
      </c>
      <c r="X1680">
        <v>0</v>
      </c>
      <c r="Y1680">
        <v>25</v>
      </c>
      <c r="Z1680" t="s">
        <v>111</v>
      </c>
      <c r="AA1680">
        <v>0</v>
      </c>
      <c r="AB1680" t="s">
        <v>111</v>
      </c>
      <c r="AC1680">
        <v>0</v>
      </c>
      <c r="AD1680" t="s">
        <v>111</v>
      </c>
      <c r="AE1680">
        <v>0</v>
      </c>
      <c r="AF1680">
        <v>0</v>
      </c>
      <c r="AG1680" t="s">
        <v>111</v>
      </c>
      <c r="AH1680" t="s">
        <v>111</v>
      </c>
      <c r="AI1680" t="s">
        <v>111</v>
      </c>
      <c r="AJ1680" t="s">
        <v>111</v>
      </c>
      <c r="AK1680" t="s">
        <v>111</v>
      </c>
      <c r="AL1680" t="s">
        <v>111</v>
      </c>
      <c r="AM1680">
        <v>0</v>
      </c>
      <c r="AN1680">
        <v>0</v>
      </c>
      <c r="AO1680">
        <v>0</v>
      </c>
      <c r="AP1680" t="s">
        <v>111</v>
      </c>
      <c r="AQ1680" t="s">
        <v>111</v>
      </c>
      <c r="AR1680" t="s">
        <v>111</v>
      </c>
      <c r="AS1680" t="s">
        <v>111</v>
      </c>
      <c r="AT1680" t="s">
        <v>111</v>
      </c>
      <c r="AU1680" t="s">
        <v>111</v>
      </c>
      <c r="AV1680" t="s">
        <v>111</v>
      </c>
      <c r="AW1680" t="s">
        <v>111</v>
      </c>
      <c r="AX1680" t="s">
        <v>111</v>
      </c>
      <c r="AY1680" t="s">
        <v>111</v>
      </c>
      <c r="AZ1680" t="s">
        <v>111</v>
      </c>
      <c r="BA1680" t="s">
        <v>111</v>
      </c>
      <c r="BB1680" t="s">
        <v>111</v>
      </c>
      <c r="BC1680" t="s">
        <v>111</v>
      </c>
      <c r="BD1680" t="s">
        <v>111</v>
      </c>
      <c r="BE1680" t="s">
        <v>111</v>
      </c>
      <c r="BF1680" t="s">
        <v>111</v>
      </c>
      <c r="BG1680" t="s">
        <v>111</v>
      </c>
      <c r="BH1680" t="s">
        <v>111</v>
      </c>
      <c r="BI1680" t="s">
        <v>111</v>
      </c>
      <c r="BJ1680" t="s">
        <v>111</v>
      </c>
      <c r="BK1680" t="s">
        <v>111</v>
      </c>
      <c r="BL1680" t="s">
        <v>111</v>
      </c>
      <c r="BM1680" t="s">
        <v>111</v>
      </c>
      <c r="BN1680" t="s">
        <v>111</v>
      </c>
      <c r="BO1680" t="s">
        <v>111</v>
      </c>
      <c r="BP1680" t="s">
        <v>111</v>
      </c>
      <c r="BQ1680" t="s">
        <v>111</v>
      </c>
      <c r="BR1680" t="s">
        <v>111</v>
      </c>
      <c r="BS1680" t="s">
        <v>111</v>
      </c>
      <c r="BT1680" t="s">
        <v>111</v>
      </c>
      <c r="BU1680" t="s">
        <v>111</v>
      </c>
      <c r="BV1680" t="s">
        <v>111</v>
      </c>
      <c r="BW1680" t="s">
        <v>111</v>
      </c>
      <c r="BX1680" t="s">
        <v>111</v>
      </c>
      <c r="BY1680" t="s">
        <v>111</v>
      </c>
      <c r="BZ1680" t="s">
        <v>111</v>
      </c>
      <c r="CA1680" t="s">
        <v>111</v>
      </c>
      <c r="CB1680" t="s">
        <v>111</v>
      </c>
      <c r="CC1680" t="s">
        <v>111</v>
      </c>
      <c r="CD1680" t="s">
        <v>111</v>
      </c>
      <c r="CE1680" t="s">
        <v>111</v>
      </c>
      <c r="CF1680" t="s">
        <v>111</v>
      </c>
      <c r="CG1680" t="s">
        <v>111</v>
      </c>
      <c r="CH1680" t="s">
        <v>111</v>
      </c>
      <c r="CI1680" t="s">
        <v>111</v>
      </c>
      <c r="CJ1680" t="s">
        <v>111</v>
      </c>
      <c r="CK1680" t="s">
        <v>111</v>
      </c>
      <c r="CL1680" t="s">
        <v>111</v>
      </c>
      <c r="CM1680" t="s">
        <v>135</v>
      </c>
      <c r="CN1680" t="s">
        <v>113</v>
      </c>
      <c r="CO1680" t="s">
        <v>4182</v>
      </c>
      <c r="CP1680" t="s">
        <v>111</v>
      </c>
      <c r="CQ1680">
        <v>0</v>
      </c>
      <c r="CR1680">
        <v>400</v>
      </c>
      <c r="CS1680">
        <v>200</v>
      </c>
      <c r="CT1680" s="1" t="s">
        <v>4666</v>
      </c>
      <c r="CU1680">
        <v>0</v>
      </c>
      <c r="CV1680" t="s">
        <v>111</v>
      </c>
      <c r="CX1680" t="s">
        <v>111</v>
      </c>
      <c r="CY1680">
        <v>0</v>
      </c>
      <c r="CZ1680" t="s">
        <v>111</v>
      </c>
      <c r="DA1680" t="s">
        <v>111</v>
      </c>
      <c r="DB1680" t="s">
        <v>111</v>
      </c>
      <c r="DC1680" t="s">
        <v>111</v>
      </c>
    </row>
    <row r="1681" spans="1:107">
      <c r="A1681">
        <v>1698</v>
      </c>
      <c r="B1681" t="s">
        <v>107</v>
      </c>
      <c r="C1681" t="s">
        <v>3783</v>
      </c>
      <c r="D1681" t="s">
        <v>4194</v>
      </c>
      <c r="E1681" t="s">
        <v>4667</v>
      </c>
      <c r="F1681" t="s">
        <v>1260</v>
      </c>
      <c r="G1681" t="s">
        <v>24</v>
      </c>
      <c r="H1681">
        <v>1.9</v>
      </c>
      <c r="I1681">
        <v>40</v>
      </c>
      <c r="J1681">
        <v>0</v>
      </c>
      <c r="K1681">
        <v>0</v>
      </c>
      <c r="L1681" t="s">
        <v>117</v>
      </c>
      <c r="M1681" t="s">
        <v>118</v>
      </c>
      <c r="N1681">
        <v>39</v>
      </c>
      <c r="O1681">
        <v>1</v>
      </c>
      <c r="P1681" t="s">
        <v>111</v>
      </c>
      <c r="Q1681">
        <v>34.9</v>
      </c>
      <c r="R1681">
        <v>0</v>
      </c>
      <c r="S1681">
        <v>0</v>
      </c>
      <c r="T1681">
        <v>5</v>
      </c>
      <c r="U1681" t="e">
        <f>-IMPRESION DARMA</f>
        <v>#NAME?</v>
      </c>
      <c r="V1681">
        <v>0</v>
      </c>
      <c r="W1681">
        <v>0</v>
      </c>
      <c r="X1681">
        <v>0</v>
      </c>
      <c r="Y1681">
        <v>25</v>
      </c>
      <c r="Z1681" t="s">
        <v>111</v>
      </c>
      <c r="AA1681">
        <v>0</v>
      </c>
      <c r="AB1681" t="s">
        <v>111</v>
      </c>
      <c r="AC1681">
        <v>0</v>
      </c>
      <c r="AD1681" t="s">
        <v>416</v>
      </c>
      <c r="AE1681">
        <v>0</v>
      </c>
      <c r="AF1681">
        <v>0</v>
      </c>
      <c r="AG1681" t="s">
        <v>111</v>
      </c>
      <c r="AH1681" t="s">
        <v>113</v>
      </c>
      <c r="AI1681" t="s">
        <v>111</v>
      </c>
      <c r="AJ1681" t="s">
        <v>111</v>
      </c>
      <c r="AK1681" t="s">
        <v>111</v>
      </c>
      <c r="AL1681" t="s">
        <v>111</v>
      </c>
      <c r="AM1681">
        <v>0</v>
      </c>
      <c r="AN1681">
        <v>0</v>
      </c>
      <c r="AO1681">
        <v>0</v>
      </c>
      <c r="AP1681" t="s">
        <v>111</v>
      </c>
      <c r="AQ1681" t="s">
        <v>111</v>
      </c>
      <c r="AR1681" t="s">
        <v>111</v>
      </c>
      <c r="AS1681" t="s">
        <v>111</v>
      </c>
      <c r="AT1681" t="s">
        <v>111</v>
      </c>
      <c r="AU1681" t="s">
        <v>111</v>
      </c>
      <c r="AV1681" t="s">
        <v>111</v>
      </c>
      <c r="AW1681" t="s">
        <v>111</v>
      </c>
      <c r="AX1681" t="s">
        <v>111</v>
      </c>
      <c r="AY1681" t="s">
        <v>111</v>
      </c>
      <c r="AZ1681" t="s">
        <v>111</v>
      </c>
      <c r="BA1681" t="s">
        <v>111</v>
      </c>
      <c r="BB1681" t="s">
        <v>111</v>
      </c>
      <c r="BC1681" t="s">
        <v>111</v>
      </c>
      <c r="BD1681" t="s">
        <v>111</v>
      </c>
      <c r="BE1681" t="s">
        <v>111</v>
      </c>
      <c r="BF1681" t="s">
        <v>111</v>
      </c>
      <c r="BG1681" t="s">
        <v>111</v>
      </c>
      <c r="BH1681" t="s">
        <v>111</v>
      </c>
      <c r="BI1681" t="s">
        <v>111</v>
      </c>
      <c r="BJ1681" t="s">
        <v>111</v>
      </c>
      <c r="BK1681" t="s">
        <v>111</v>
      </c>
      <c r="BL1681" t="s">
        <v>111</v>
      </c>
      <c r="BM1681" t="s">
        <v>111</v>
      </c>
      <c r="BN1681" t="s">
        <v>111</v>
      </c>
      <c r="BO1681" t="s">
        <v>111</v>
      </c>
      <c r="BP1681" t="s">
        <v>111</v>
      </c>
      <c r="BQ1681" t="s">
        <v>111</v>
      </c>
      <c r="BR1681" t="s">
        <v>111</v>
      </c>
      <c r="BS1681" t="s">
        <v>111</v>
      </c>
      <c r="BT1681" t="s">
        <v>111</v>
      </c>
      <c r="BU1681" t="s">
        <v>111</v>
      </c>
      <c r="BV1681" t="s">
        <v>111</v>
      </c>
      <c r="BW1681" t="s">
        <v>111</v>
      </c>
      <c r="BX1681" t="s">
        <v>111</v>
      </c>
      <c r="BY1681" t="s">
        <v>111</v>
      </c>
      <c r="BZ1681" t="s">
        <v>111</v>
      </c>
      <c r="CA1681" t="s">
        <v>111</v>
      </c>
      <c r="CB1681" t="s">
        <v>111</v>
      </c>
      <c r="CC1681" t="s">
        <v>111</v>
      </c>
      <c r="CD1681" t="s">
        <v>111</v>
      </c>
      <c r="CE1681" t="s">
        <v>111</v>
      </c>
      <c r="CF1681" t="s">
        <v>111</v>
      </c>
      <c r="CG1681" t="s">
        <v>111</v>
      </c>
      <c r="CH1681" t="s">
        <v>111</v>
      </c>
      <c r="CI1681" t="s">
        <v>111</v>
      </c>
      <c r="CJ1681" t="s">
        <v>111</v>
      </c>
      <c r="CK1681" t="s">
        <v>111</v>
      </c>
      <c r="CL1681" t="s">
        <v>111</v>
      </c>
      <c r="CM1681" t="s">
        <v>135</v>
      </c>
      <c r="CN1681" t="s">
        <v>113</v>
      </c>
      <c r="CO1681" t="s">
        <v>111</v>
      </c>
      <c r="CP1681" t="s">
        <v>111</v>
      </c>
      <c r="CQ1681">
        <v>0</v>
      </c>
      <c r="CR1681">
        <v>0</v>
      </c>
      <c r="CS1681">
        <v>0</v>
      </c>
      <c r="CT1681" t="e">
        <f>-ALMACEN</f>
        <v>#NAME?</v>
      </c>
      <c r="CU1681">
        <v>0</v>
      </c>
      <c r="CV1681" t="s">
        <v>111</v>
      </c>
      <c r="CX1681" t="s">
        <v>111</v>
      </c>
      <c r="CY1681">
        <v>0</v>
      </c>
      <c r="CZ1681" t="s">
        <v>111</v>
      </c>
      <c r="DA1681" t="s">
        <v>111</v>
      </c>
      <c r="DB1681" t="s">
        <v>111</v>
      </c>
      <c r="DC1681" t="s">
        <v>111</v>
      </c>
    </row>
    <row r="1682" spans="1:107">
      <c r="A1682">
        <v>1680</v>
      </c>
      <c r="B1682" t="s">
        <v>107</v>
      </c>
      <c r="C1682" t="s">
        <v>428</v>
      </c>
      <c r="D1682" t="s">
        <v>4668</v>
      </c>
      <c r="E1682" t="s">
        <v>4669</v>
      </c>
      <c r="F1682" t="s">
        <v>1651</v>
      </c>
      <c r="G1682" t="s">
        <v>24</v>
      </c>
      <c r="H1682">
        <v>2.8</v>
      </c>
      <c r="I1682">
        <v>50</v>
      </c>
      <c r="J1682">
        <v>0</v>
      </c>
      <c r="K1682">
        <v>0</v>
      </c>
      <c r="L1682" t="s">
        <v>117</v>
      </c>
      <c r="M1682" t="s">
        <v>118</v>
      </c>
      <c r="N1682">
        <v>40</v>
      </c>
      <c r="O1682">
        <v>1</v>
      </c>
      <c r="P1682" t="s">
        <v>111</v>
      </c>
      <c r="Q1682">
        <v>47.1</v>
      </c>
      <c r="R1682">
        <v>0</v>
      </c>
      <c r="S1682">
        <v>0</v>
      </c>
      <c r="T1682">
        <v>5</v>
      </c>
      <c r="U1682" s="1" t="s">
        <v>4670</v>
      </c>
      <c r="V1682">
        <v>0</v>
      </c>
      <c r="W1682">
        <v>0</v>
      </c>
      <c r="X1682">
        <v>0</v>
      </c>
      <c r="Y1682">
        <v>25</v>
      </c>
      <c r="Z1682" t="s">
        <v>111</v>
      </c>
      <c r="AA1682">
        <v>0</v>
      </c>
      <c r="AB1682" t="s">
        <v>3954</v>
      </c>
      <c r="AC1682">
        <v>2.5</v>
      </c>
      <c r="AD1682" t="s">
        <v>493</v>
      </c>
      <c r="AE1682">
        <v>0</v>
      </c>
      <c r="AF1682">
        <v>0</v>
      </c>
      <c r="AG1682" t="s">
        <v>111</v>
      </c>
      <c r="AH1682" t="s">
        <v>113</v>
      </c>
      <c r="AI1682" t="s">
        <v>111</v>
      </c>
      <c r="AJ1682" t="s">
        <v>111</v>
      </c>
      <c r="AK1682" t="s">
        <v>111</v>
      </c>
      <c r="AL1682" t="s">
        <v>111</v>
      </c>
      <c r="AM1682">
        <v>0</v>
      </c>
      <c r="AN1682">
        <v>0</v>
      </c>
      <c r="AO1682">
        <v>0</v>
      </c>
      <c r="AP1682" t="s">
        <v>111</v>
      </c>
      <c r="AQ1682" t="s">
        <v>111</v>
      </c>
      <c r="AR1682" t="s">
        <v>111</v>
      </c>
      <c r="AS1682" t="s">
        <v>111</v>
      </c>
      <c r="AT1682" t="s">
        <v>111</v>
      </c>
      <c r="AU1682" t="s">
        <v>111</v>
      </c>
      <c r="AV1682" t="s">
        <v>111</v>
      </c>
      <c r="AW1682" t="s">
        <v>111</v>
      </c>
      <c r="AX1682" t="s">
        <v>111</v>
      </c>
      <c r="AY1682" t="s">
        <v>111</v>
      </c>
      <c r="AZ1682" t="s">
        <v>111</v>
      </c>
      <c r="BA1682" t="s">
        <v>111</v>
      </c>
      <c r="BB1682" t="s">
        <v>111</v>
      </c>
      <c r="BC1682" t="s">
        <v>111</v>
      </c>
      <c r="BD1682" t="s">
        <v>111</v>
      </c>
      <c r="BE1682" t="s">
        <v>111</v>
      </c>
      <c r="BF1682" t="s">
        <v>111</v>
      </c>
      <c r="BG1682" t="s">
        <v>111</v>
      </c>
      <c r="BH1682" t="s">
        <v>111</v>
      </c>
      <c r="BI1682" t="s">
        <v>111</v>
      </c>
      <c r="BJ1682" t="s">
        <v>111</v>
      </c>
      <c r="BK1682" t="s">
        <v>111</v>
      </c>
      <c r="BL1682" t="s">
        <v>111</v>
      </c>
      <c r="BM1682" t="s">
        <v>111</v>
      </c>
      <c r="BN1682" t="s">
        <v>111</v>
      </c>
      <c r="BO1682" t="s">
        <v>111</v>
      </c>
      <c r="BP1682" t="s">
        <v>111</v>
      </c>
      <c r="BQ1682" t="s">
        <v>111</v>
      </c>
      <c r="BR1682" t="s">
        <v>111</v>
      </c>
      <c r="BS1682" t="s">
        <v>111</v>
      </c>
      <c r="BT1682" t="s">
        <v>111</v>
      </c>
      <c r="BU1682" t="s">
        <v>111</v>
      </c>
      <c r="BV1682" t="s">
        <v>111</v>
      </c>
      <c r="BW1682" t="s">
        <v>111</v>
      </c>
      <c r="BX1682" t="s">
        <v>111</v>
      </c>
      <c r="BY1682" t="s">
        <v>111</v>
      </c>
      <c r="BZ1682" t="s">
        <v>111</v>
      </c>
      <c r="CA1682" t="s">
        <v>111</v>
      </c>
      <c r="CB1682" t="s">
        <v>111</v>
      </c>
      <c r="CC1682" t="s">
        <v>111</v>
      </c>
      <c r="CD1682" t="s">
        <v>111</v>
      </c>
      <c r="CE1682" t="s">
        <v>111</v>
      </c>
      <c r="CF1682" t="s">
        <v>111</v>
      </c>
      <c r="CG1682" t="s">
        <v>111</v>
      </c>
      <c r="CH1682" t="s">
        <v>111</v>
      </c>
      <c r="CI1682" t="s">
        <v>111</v>
      </c>
      <c r="CJ1682" t="s">
        <v>111</v>
      </c>
      <c r="CK1682" t="s">
        <v>111</v>
      </c>
      <c r="CL1682" t="s">
        <v>111</v>
      </c>
      <c r="CM1682" t="s">
        <v>135</v>
      </c>
      <c r="CN1682" t="s">
        <v>113</v>
      </c>
      <c r="CO1682" t="s">
        <v>111</v>
      </c>
      <c r="CP1682" t="s">
        <v>111</v>
      </c>
      <c r="CQ1682">
        <v>0</v>
      </c>
      <c r="CR1682">
        <v>3000</v>
      </c>
      <c r="CS1682">
        <v>200</v>
      </c>
      <c r="CT1682" s="1" t="s">
        <v>4671</v>
      </c>
      <c r="CU1682">
        <v>0</v>
      </c>
      <c r="CV1682" t="s">
        <v>111</v>
      </c>
      <c r="CX1682" t="s">
        <v>111</v>
      </c>
      <c r="CY1682">
        <v>0</v>
      </c>
      <c r="CZ1682" t="s">
        <v>111</v>
      </c>
      <c r="DA1682" t="s">
        <v>111</v>
      </c>
      <c r="DB1682" t="e">
        <f>-EXTERNO</f>
        <v>#NAME?</v>
      </c>
      <c r="DC1682" t="e">
        <f>-PEGAR GANCHO</f>
        <v>#NAME?</v>
      </c>
    </row>
    <row r="1683" spans="1:107">
      <c r="A1683">
        <v>1656</v>
      </c>
      <c r="B1683" t="s">
        <v>107</v>
      </c>
      <c r="C1683" t="s">
        <v>4147</v>
      </c>
      <c r="D1683" t="s">
        <v>4672</v>
      </c>
      <c r="E1683" t="s">
        <v>4673</v>
      </c>
      <c r="F1683" t="s">
        <v>1071</v>
      </c>
      <c r="G1683" t="s">
        <v>24</v>
      </c>
      <c r="H1683">
        <v>2.2000000000000002</v>
      </c>
      <c r="I1683">
        <v>28</v>
      </c>
      <c r="J1683">
        <v>0</v>
      </c>
      <c r="K1683">
        <v>0</v>
      </c>
      <c r="L1683" t="s">
        <v>112</v>
      </c>
      <c r="M1683" t="s">
        <v>111</v>
      </c>
      <c r="N1683">
        <v>0</v>
      </c>
      <c r="O1683">
        <v>0</v>
      </c>
      <c r="P1683" t="s">
        <v>111</v>
      </c>
      <c r="Q1683">
        <v>31.7</v>
      </c>
      <c r="R1683">
        <v>0</v>
      </c>
      <c r="S1683">
        <v>0</v>
      </c>
      <c r="T1683">
        <v>5</v>
      </c>
      <c r="U1683" s="1" t="s">
        <v>132</v>
      </c>
      <c r="V1683">
        <v>0</v>
      </c>
      <c r="W1683">
        <v>0</v>
      </c>
      <c r="X1683">
        <v>0</v>
      </c>
      <c r="Y1683">
        <v>25</v>
      </c>
      <c r="Z1683" t="s">
        <v>111</v>
      </c>
      <c r="AA1683">
        <v>0</v>
      </c>
      <c r="AB1683" t="s">
        <v>111</v>
      </c>
      <c r="AC1683">
        <v>0</v>
      </c>
      <c r="AD1683" t="s">
        <v>111</v>
      </c>
      <c r="AE1683">
        <v>0</v>
      </c>
      <c r="AF1683">
        <v>0</v>
      </c>
      <c r="AG1683" t="s">
        <v>111</v>
      </c>
      <c r="AH1683" t="s">
        <v>111</v>
      </c>
      <c r="AI1683" t="s">
        <v>111</v>
      </c>
      <c r="AJ1683" t="s">
        <v>111</v>
      </c>
      <c r="AK1683" t="s">
        <v>111</v>
      </c>
      <c r="AL1683" t="s">
        <v>111</v>
      </c>
      <c r="AM1683">
        <v>0</v>
      </c>
      <c r="AN1683">
        <v>0</v>
      </c>
      <c r="AO1683">
        <v>0</v>
      </c>
      <c r="AP1683" t="s">
        <v>111</v>
      </c>
      <c r="AQ1683" t="s">
        <v>111</v>
      </c>
      <c r="AR1683" t="s">
        <v>111</v>
      </c>
      <c r="AS1683" t="s">
        <v>111</v>
      </c>
      <c r="AT1683" t="s">
        <v>111</v>
      </c>
      <c r="AU1683" t="s">
        <v>111</v>
      </c>
      <c r="AV1683" t="s">
        <v>111</v>
      </c>
      <c r="AW1683" t="s">
        <v>111</v>
      </c>
      <c r="AX1683" t="s">
        <v>111</v>
      </c>
      <c r="AY1683" t="s">
        <v>111</v>
      </c>
      <c r="AZ1683" t="s">
        <v>111</v>
      </c>
      <c r="BA1683" t="s">
        <v>111</v>
      </c>
      <c r="BB1683" t="s">
        <v>111</v>
      </c>
      <c r="BC1683" t="s">
        <v>111</v>
      </c>
      <c r="BD1683" t="s">
        <v>111</v>
      </c>
      <c r="BE1683" t="s">
        <v>111</v>
      </c>
      <c r="BF1683" t="s">
        <v>111</v>
      </c>
      <c r="BG1683" t="s">
        <v>111</v>
      </c>
      <c r="BH1683" t="s">
        <v>111</v>
      </c>
      <c r="BI1683" t="s">
        <v>111</v>
      </c>
      <c r="BJ1683" t="s">
        <v>111</v>
      </c>
      <c r="BK1683" t="s">
        <v>111</v>
      </c>
      <c r="BL1683" t="s">
        <v>111</v>
      </c>
      <c r="BM1683" t="s">
        <v>111</v>
      </c>
      <c r="BN1683" t="s">
        <v>111</v>
      </c>
      <c r="BO1683" t="s">
        <v>111</v>
      </c>
      <c r="BP1683" t="s">
        <v>111</v>
      </c>
      <c r="BQ1683" t="s">
        <v>111</v>
      </c>
      <c r="BR1683" t="s">
        <v>111</v>
      </c>
      <c r="BS1683" t="s">
        <v>111</v>
      </c>
      <c r="BT1683" t="s">
        <v>111</v>
      </c>
      <c r="BU1683" t="s">
        <v>111</v>
      </c>
      <c r="BV1683" t="s">
        <v>111</v>
      </c>
      <c r="BW1683" t="s">
        <v>111</v>
      </c>
      <c r="BX1683" t="s">
        <v>111</v>
      </c>
      <c r="BY1683" t="s">
        <v>111</v>
      </c>
      <c r="BZ1683" t="s">
        <v>111</v>
      </c>
      <c r="CA1683" t="s">
        <v>111</v>
      </c>
      <c r="CB1683" t="s">
        <v>111</v>
      </c>
      <c r="CC1683" t="s">
        <v>111</v>
      </c>
      <c r="CD1683" t="s">
        <v>111</v>
      </c>
      <c r="CE1683" t="s">
        <v>111</v>
      </c>
      <c r="CF1683" t="s">
        <v>111</v>
      </c>
      <c r="CG1683" t="s">
        <v>111</v>
      </c>
      <c r="CH1683" t="s">
        <v>111</v>
      </c>
      <c r="CI1683" t="s">
        <v>111</v>
      </c>
      <c r="CJ1683" t="s">
        <v>111</v>
      </c>
      <c r="CK1683" t="s">
        <v>111</v>
      </c>
      <c r="CL1683" t="s">
        <v>111</v>
      </c>
      <c r="CM1683">
        <v>450</v>
      </c>
      <c r="CN1683" t="s">
        <v>113</v>
      </c>
      <c r="CO1683" t="s">
        <v>111</v>
      </c>
      <c r="CP1683" t="s">
        <v>111</v>
      </c>
      <c r="CQ1683">
        <v>0</v>
      </c>
      <c r="CR1683">
        <v>6000</v>
      </c>
      <c r="CS1683">
        <v>200</v>
      </c>
      <c r="CT1683" t="e">
        <f>-ALMACEN</f>
        <v>#NAME?</v>
      </c>
      <c r="CU1683">
        <v>0</v>
      </c>
      <c r="CV1683" t="s">
        <v>111</v>
      </c>
      <c r="CX1683" t="s">
        <v>111</v>
      </c>
      <c r="CY1683">
        <v>0</v>
      </c>
      <c r="CZ1683" t="s">
        <v>111</v>
      </c>
      <c r="DA1683" t="s">
        <v>111</v>
      </c>
      <c r="DB1683" t="s">
        <v>111</v>
      </c>
      <c r="DC1683" t="s">
        <v>111</v>
      </c>
    </row>
    <row r="1684" spans="1:107">
      <c r="A1684">
        <v>1654</v>
      </c>
      <c r="B1684" t="s">
        <v>107</v>
      </c>
      <c r="C1684" t="s">
        <v>4214</v>
      </c>
      <c r="D1684" t="s">
        <v>4674</v>
      </c>
      <c r="E1684" t="s">
        <v>4675</v>
      </c>
      <c r="F1684" t="s">
        <v>110</v>
      </c>
      <c r="G1684" t="s">
        <v>24</v>
      </c>
      <c r="H1684">
        <v>2</v>
      </c>
      <c r="I1684">
        <v>35</v>
      </c>
      <c r="J1684">
        <v>0</v>
      </c>
      <c r="K1684">
        <v>0</v>
      </c>
      <c r="L1684" t="s">
        <v>112</v>
      </c>
      <c r="M1684" t="s">
        <v>118</v>
      </c>
      <c r="N1684">
        <v>39</v>
      </c>
      <c r="O1684">
        <v>2</v>
      </c>
      <c r="P1684" t="s">
        <v>111</v>
      </c>
      <c r="Q1684">
        <v>32.6</v>
      </c>
      <c r="R1684">
        <v>0</v>
      </c>
      <c r="S1684">
        <v>0</v>
      </c>
      <c r="T1684">
        <v>0</v>
      </c>
      <c r="U1684" s="1" t="s">
        <v>4676</v>
      </c>
      <c r="V1684">
        <v>0</v>
      </c>
      <c r="W1684">
        <v>0</v>
      </c>
      <c r="X1684">
        <v>0</v>
      </c>
      <c r="Y1684">
        <v>25</v>
      </c>
      <c r="Z1684" t="s">
        <v>111</v>
      </c>
      <c r="AA1684">
        <v>0</v>
      </c>
      <c r="AB1684" t="s">
        <v>111</v>
      </c>
      <c r="AC1684">
        <v>0</v>
      </c>
      <c r="AD1684" t="s">
        <v>4677</v>
      </c>
      <c r="AE1684">
        <v>0</v>
      </c>
      <c r="AF1684">
        <v>0</v>
      </c>
      <c r="AG1684" t="s">
        <v>111</v>
      </c>
      <c r="AH1684" t="s">
        <v>111</v>
      </c>
      <c r="AI1684" t="s">
        <v>111</v>
      </c>
      <c r="AJ1684" t="s">
        <v>111</v>
      </c>
      <c r="AK1684" t="s">
        <v>111</v>
      </c>
      <c r="AL1684" t="s">
        <v>111</v>
      </c>
      <c r="AM1684">
        <v>0</v>
      </c>
      <c r="AN1684">
        <v>0</v>
      </c>
      <c r="AO1684">
        <v>0</v>
      </c>
      <c r="AP1684" t="s">
        <v>111</v>
      </c>
      <c r="AQ1684" t="s">
        <v>111</v>
      </c>
      <c r="AR1684" t="s">
        <v>111</v>
      </c>
      <c r="AS1684" t="s">
        <v>111</v>
      </c>
      <c r="AT1684" t="s">
        <v>111</v>
      </c>
      <c r="AU1684" t="s">
        <v>111</v>
      </c>
      <c r="AV1684" t="s">
        <v>111</v>
      </c>
      <c r="AW1684" t="s">
        <v>111</v>
      </c>
      <c r="AX1684" t="s">
        <v>111</v>
      </c>
      <c r="AY1684" t="s">
        <v>111</v>
      </c>
      <c r="AZ1684" t="s">
        <v>111</v>
      </c>
      <c r="BA1684" t="s">
        <v>111</v>
      </c>
      <c r="BB1684" t="s">
        <v>111</v>
      </c>
      <c r="BC1684" t="s">
        <v>111</v>
      </c>
      <c r="BD1684" t="s">
        <v>111</v>
      </c>
      <c r="BE1684" t="s">
        <v>111</v>
      </c>
      <c r="BF1684" t="s">
        <v>111</v>
      </c>
      <c r="BG1684" t="s">
        <v>111</v>
      </c>
      <c r="BH1684" t="s">
        <v>111</v>
      </c>
      <c r="BI1684" t="s">
        <v>111</v>
      </c>
      <c r="BJ1684" t="s">
        <v>111</v>
      </c>
      <c r="BK1684" t="s">
        <v>111</v>
      </c>
      <c r="BL1684" t="s">
        <v>111</v>
      </c>
      <c r="BM1684" t="s">
        <v>111</v>
      </c>
      <c r="BN1684" t="s">
        <v>111</v>
      </c>
      <c r="BO1684" t="s">
        <v>111</v>
      </c>
      <c r="BP1684" t="s">
        <v>111</v>
      </c>
      <c r="BQ1684" t="s">
        <v>111</v>
      </c>
      <c r="BR1684" t="s">
        <v>111</v>
      </c>
      <c r="BS1684" t="s">
        <v>111</v>
      </c>
      <c r="BT1684" t="s">
        <v>111</v>
      </c>
      <c r="BU1684" t="s">
        <v>111</v>
      </c>
      <c r="BV1684" t="s">
        <v>111</v>
      </c>
      <c r="BW1684" t="s">
        <v>111</v>
      </c>
      <c r="BX1684" t="s">
        <v>111</v>
      </c>
      <c r="BY1684" t="s">
        <v>111</v>
      </c>
      <c r="BZ1684" t="s">
        <v>111</v>
      </c>
      <c r="CA1684" t="s">
        <v>111</v>
      </c>
      <c r="CB1684" t="s">
        <v>111</v>
      </c>
      <c r="CC1684" t="s">
        <v>111</v>
      </c>
      <c r="CD1684" t="s">
        <v>111</v>
      </c>
      <c r="CE1684" t="s">
        <v>111</v>
      </c>
      <c r="CF1684" t="s">
        <v>111</v>
      </c>
      <c r="CG1684" t="s">
        <v>111</v>
      </c>
      <c r="CH1684" t="s">
        <v>111</v>
      </c>
      <c r="CI1684" t="s">
        <v>111</v>
      </c>
      <c r="CJ1684" t="s">
        <v>111</v>
      </c>
      <c r="CK1684" t="s">
        <v>111</v>
      </c>
      <c r="CL1684" t="s">
        <v>111</v>
      </c>
      <c r="CM1684" t="s">
        <v>111</v>
      </c>
      <c r="CN1684" t="s">
        <v>111</v>
      </c>
      <c r="CO1684" t="s">
        <v>111</v>
      </c>
      <c r="CP1684" t="s">
        <v>111</v>
      </c>
      <c r="CQ1684">
        <v>0</v>
      </c>
      <c r="CR1684">
        <v>0</v>
      </c>
      <c r="CS1684">
        <v>0</v>
      </c>
      <c r="CT1684" t="s">
        <v>111</v>
      </c>
      <c r="CU1684">
        <v>0</v>
      </c>
      <c r="CV1684" t="s">
        <v>111</v>
      </c>
      <c r="CX1684" t="s">
        <v>111</v>
      </c>
      <c r="CY1684">
        <v>0</v>
      </c>
      <c r="CZ1684" t="s">
        <v>111</v>
      </c>
      <c r="DA1684" t="s">
        <v>111</v>
      </c>
      <c r="DB1684" t="s">
        <v>111</v>
      </c>
      <c r="DC1684" t="s">
        <v>111</v>
      </c>
    </row>
    <row r="1685" spans="1:107">
      <c r="A1685">
        <v>1699</v>
      </c>
      <c r="B1685" t="s">
        <v>107</v>
      </c>
      <c r="C1685" t="s">
        <v>3783</v>
      </c>
      <c r="D1685" t="s">
        <v>3960</v>
      </c>
      <c r="E1685" t="s">
        <v>4678</v>
      </c>
      <c r="F1685" t="s">
        <v>1260</v>
      </c>
      <c r="G1685" t="s">
        <v>24</v>
      </c>
      <c r="H1685">
        <v>1.9</v>
      </c>
      <c r="I1685">
        <v>40</v>
      </c>
      <c r="J1685">
        <v>0</v>
      </c>
      <c r="K1685">
        <v>0</v>
      </c>
      <c r="L1685" t="s">
        <v>117</v>
      </c>
      <c r="M1685" t="s">
        <v>118</v>
      </c>
      <c r="N1685">
        <v>39</v>
      </c>
      <c r="O1685">
        <v>1</v>
      </c>
      <c r="P1685" t="s">
        <v>111</v>
      </c>
      <c r="Q1685">
        <v>28.7</v>
      </c>
      <c r="R1685">
        <v>0</v>
      </c>
      <c r="S1685">
        <v>0</v>
      </c>
      <c r="T1685">
        <v>5</v>
      </c>
      <c r="U1685" t="e">
        <f>-IMPRESIOOON DARMA</f>
        <v>#NAME?</v>
      </c>
      <c r="V1685">
        <v>0</v>
      </c>
      <c r="W1685">
        <v>0</v>
      </c>
      <c r="X1685">
        <v>0</v>
      </c>
      <c r="Y1685">
        <v>25</v>
      </c>
      <c r="Z1685" t="s">
        <v>111</v>
      </c>
      <c r="AA1685">
        <v>0</v>
      </c>
      <c r="AB1685" t="s">
        <v>111</v>
      </c>
      <c r="AC1685">
        <v>0</v>
      </c>
      <c r="AD1685" t="s">
        <v>416</v>
      </c>
      <c r="AE1685">
        <v>0</v>
      </c>
      <c r="AF1685">
        <v>0</v>
      </c>
      <c r="AG1685" t="s">
        <v>111</v>
      </c>
      <c r="AH1685" t="s">
        <v>111</v>
      </c>
      <c r="AI1685" t="s">
        <v>111</v>
      </c>
      <c r="AJ1685" t="s">
        <v>111</v>
      </c>
      <c r="AK1685" t="s">
        <v>111</v>
      </c>
      <c r="AL1685" t="s">
        <v>111</v>
      </c>
      <c r="AM1685">
        <v>0</v>
      </c>
      <c r="AN1685">
        <v>0</v>
      </c>
      <c r="AO1685">
        <v>0</v>
      </c>
      <c r="AP1685" t="s">
        <v>111</v>
      </c>
      <c r="AQ1685" t="s">
        <v>111</v>
      </c>
      <c r="AR1685" t="s">
        <v>111</v>
      </c>
      <c r="AS1685" t="s">
        <v>111</v>
      </c>
      <c r="AT1685" t="s">
        <v>111</v>
      </c>
      <c r="AU1685" t="s">
        <v>111</v>
      </c>
      <c r="AV1685" t="s">
        <v>111</v>
      </c>
      <c r="AW1685" t="s">
        <v>111</v>
      </c>
      <c r="AX1685" t="s">
        <v>111</v>
      </c>
      <c r="AY1685" t="s">
        <v>111</v>
      </c>
      <c r="AZ1685" t="s">
        <v>111</v>
      </c>
      <c r="BA1685" t="s">
        <v>111</v>
      </c>
      <c r="BB1685" t="s">
        <v>111</v>
      </c>
      <c r="BC1685" t="s">
        <v>111</v>
      </c>
      <c r="BD1685" t="s">
        <v>111</v>
      </c>
      <c r="BE1685" t="s">
        <v>111</v>
      </c>
      <c r="BF1685" t="s">
        <v>111</v>
      </c>
      <c r="BG1685" t="s">
        <v>111</v>
      </c>
      <c r="BH1685" t="s">
        <v>111</v>
      </c>
      <c r="BI1685" t="s">
        <v>111</v>
      </c>
      <c r="BJ1685" t="s">
        <v>111</v>
      </c>
      <c r="BK1685" t="s">
        <v>111</v>
      </c>
      <c r="BL1685" t="s">
        <v>111</v>
      </c>
      <c r="BM1685" t="s">
        <v>111</v>
      </c>
      <c r="BN1685" t="s">
        <v>111</v>
      </c>
      <c r="BO1685" t="s">
        <v>111</v>
      </c>
      <c r="BP1685" t="s">
        <v>111</v>
      </c>
      <c r="BQ1685" t="s">
        <v>111</v>
      </c>
      <c r="BR1685" t="s">
        <v>111</v>
      </c>
      <c r="BS1685" t="s">
        <v>111</v>
      </c>
      <c r="BT1685" t="s">
        <v>111</v>
      </c>
      <c r="BU1685" t="s">
        <v>111</v>
      </c>
      <c r="BV1685" t="s">
        <v>111</v>
      </c>
      <c r="BW1685" t="s">
        <v>111</v>
      </c>
      <c r="BX1685" t="s">
        <v>111</v>
      </c>
      <c r="BY1685" t="s">
        <v>111</v>
      </c>
      <c r="BZ1685" t="s">
        <v>111</v>
      </c>
      <c r="CA1685" t="s">
        <v>111</v>
      </c>
      <c r="CB1685" t="s">
        <v>111</v>
      </c>
      <c r="CC1685" t="s">
        <v>111</v>
      </c>
      <c r="CD1685" t="s">
        <v>111</v>
      </c>
      <c r="CE1685" t="s">
        <v>111</v>
      </c>
      <c r="CF1685" t="s">
        <v>111</v>
      </c>
      <c r="CG1685" t="s">
        <v>111</v>
      </c>
      <c r="CH1685" t="s">
        <v>111</v>
      </c>
      <c r="CI1685" t="s">
        <v>111</v>
      </c>
      <c r="CJ1685" t="s">
        <v>111</v>
      </c>
      <c r="CK1685" t="s">
        <v>111</v>
      </c>
      <c r="CL1685" t="s">
        <v>111</v>
      </c>
      <c r="CM1685">
        <v>450</v>
      </c>
      <c r="CN1685" t="s">
        <v>113</v>
      </c>
      <c r="CO1685" t="s">
        <v>111</v>
      </c>
      <c r="CP1685" t="s">
        <v>111</v>
      </c>
      <c r="CQ1685">
        <v>0</v>
      </c>
      <c r="CR1685">
        <v>26000</v>
      </c>
      <c r="CS1685">
        <v>26000</v>
      </c>
      <c r="CT1685" t="e">
        <f>-ALMACEN</f>
        <v>#NAME?</v>
      </c>
      <c r="CU1685">
        <v>0</v>
      </c>
      <c r="CV1685" t="s">
        <v>111</v>
      </c>
      <c r="CX1685" t="s">
        <v>111</v>
      </c>
      <c r="CY1685">
        <v>0</v>
      </c>
      <c r="CZ1685" t="s">
        <v>111</v>
      </c>
      <c r="DA1685" t="s">
        <v>111</v>
      </c>
      <c r="DB1685" t="s">
        <v>111</v>
      </c>
      <c r="DC1685" t="s">
        <v>111</v>
      </c>
    </row>
    <row r="1686" spans="1:107">
      <c r="A1686">
        <v>1693</v>
      </c>
      <c r="B1686" t="s">
        <v>107</v>
      </c>
      <c r="C1686" t="s">
        <v>1643</v>
      </c>
      <c r="D1686" t="s">
        <v>4170</v>
      </c>
      <c r="E1686" t="s">
        <v>4679</v>
      </c>
      <c r="F1686" t="s">
        <v>2211</v>
      </c>
      <c r="G1686" t="s">
        <v>24</v>
      </c>
      <c r="H1686">
        <v>1.8</v>
      </c>
      <c r="I1686">
        <v>30</v>
      </c>
      <c r="J1686">
        <v>0</v>
      </c>
      <c r="K1686">
        <v>0</v>
      </c>
      <c r="L1686" t="s">
        <v>2508</v>
      </c>
      <c r="M1686" t="s">
        <v>111</v>
      </c>
      <c r="N1686">
        <v>0</v>
      </c>
      <c r="O1686">
        <v>0</v>
      </c>
      <c r="P1686" t="s">
        <v>111</v>
      </c>
      <c r="Q1686">
        <v>33.299999999999997</v>
      </c>
      <c r="R1686">
        <v>0</v>
      </c>
      <c r="S1686">
        <v>0</v>
      </c>
      <c r="T1686">
        <v>0</v>
      </c>
      <c r="U1686" s="1" t="s">
        <v>4680</v>
      </c>
      <c r="V1686">
        <v>0</v>
      </c>
      <c r="W1686">
        <v>0</v>
      </c>
      <c r="X1686">
        <v>0</v>
      </c>
      <c r="Y1686">
        <v>25</v>
      </c>
      <c r="Z1686" t="s">
        <v>111</v>
      </c>
      <c r="AA1686">
        <v>0</v>
      </c>
      <c r="AB1686" t="s">
        <v>4055</v>
      </c>
      <c r="AC1686">
        <v>0.3</v>
      </c>
      <c r="AD1686" t="s">
        <v>111</v>
      </c>
      <c r="AE1686">
        <v>0</v>
      </c>
      <c r="AF1686">
        <v>0</v>
      </c>
      <c r="AG1686" t="s">
        <v>111</v>
      </c>
      <c r="AH1686" t="s">
        <v>111</v>
      </c>
      <c r="AI1686" t="s">
        <v>111</v>
      </c>
      <c r="AJ1686" t="s">
        <v>111</v>
      </c>
      <c r="AK1686" t="s">
        <v>111</v>
      </c>
      <c r="AL1686" t="s">
        <v>111</v>
      </c>
      <c r="AM1686">
        <v>0</v>
      </c>
      <c r="AN1686">
        <v>0</v>
      </c>
      <c r="AO1686">
        <v>0</v>
      </c>
      <c r="AP1686" t="s">
        <v>111</v>
      </c>
      <c r="AQ1686" t="s">
        <v>111</v>
      </c>
      <c r="AR1686" t="s">
        <v>111</v>
      </c>
      <c r="AS1686" t="s">
        <v>111</v>
      </c>
      <c r="AT1686" t="s">
        <v>111</v>
      </c>
      <c r="AU1686" t="s">
        <v>111</v>
      </c>
      <c r="AV1686" t="s">
        <v>111</v>
      </c>
      <c r="AW1686" t="s">
        <v>111</v>
      </c>
      <c r="AX1686" t="s">
        <v>111</v>
      </c>
      <c r="AY1686" t="s">
        <v>111</v>
      </c>
      <c r="AZ1686" t="s">
        <v>111</v>
      </c>
      <c r="BA1686" t="s">
        <v>111</v>
      </c>
      <c r="BB1686" t="s">
        <v>111</v>
      </c>
      <c r="BC1686" t="s">
        <v>111</v>
      </c>
      <c r="BD1686" t="s">
        <v>111</v>
      </c>
      <c r="BE1686" t="s">
        <v>111</v>
      </c>
      <c r="BF1686" t="s">
        <v>111</v>
      </c>
      <c r="BG1686" t="s">
        <v>111</v>
      </c>
      <c r="BH1686" t="s">
        <v>111</v>
      </c>
      <c r="BI1686" t="s">
        <v>111</v>
      </c>
      <c r="BJ1686" t="s">
        <v>111</v>
      </c>
      <c r="BK1686" t="s">
        <v>111</v>
      </c>
      <c r="BL1686" t="s">
        <v>111</v>
      </c>
      <c r="BM1686" t="s">
        <v>111</v>
      </c>
      <c r="BN1686" t="s">
        <v>111</v>
      </c>
      <c r="BO1686" t="s">
        <v>111</v>
      </c>
      <c r="BP1686" t="s">
        <v>111</v>
      </c>
      <c r="BQ1686" t="s">
        <v>111</v>
      </c>
      <c r="BR1686" t="s">
        <v>111</v>
      </c>
      <c r="BS1686" t="s">
        <v>111</v>
      </c>
      <c r="BT1686" t="s">
        <v>111</v>
      </c>
      <c r="BU1686" t="s">
        <v>111</v>
      </c>
      <c r="BV1686" t="s">
        <v>111</v>
      </c>
      <c r="BW1686" t="s">
        <v>111</v>
      </c>
      <c r="BX1686" t="s">
        <v>111</v>
      </c>
      <c r="BY1686" t="s">
        <v>111</v>
      </c>
      <c r="BZ1686" t="s">
        <v>111</v>
      </c>
      <c r="CA1686" t="s">
        <v>111</v>
      </c>
      <c r="CB1686" t="s">
        <v>111</v>
      </c>
      <c r="CC1686" t="s">
        <v>111</v>
      </c>
      <c r="CD1686" t="s">
        <v>111</v>
      </c>
      <c r="CE1686" t="s">
        <v>111</v>
      </c>
      <c r="CF1686" t="s">
        <v>111</v>
      </c>
      <c r="CG1686" t="s">
        <v>111</v>
      </c>
      <c r="CH1686" t="s">
        <v>111</v>
      </c>
      <c r="CI1686" t="s">
        <v>111</v>
      </c>
      <c r="CJ1686" t="s">
        <v>111</v>
      </c>
      <c r="CK1686" t="s">
        <v>111</v>
      </c>
      <c r="CL1686" t="s">
        <v>111</v>
      </c>
      <c r="CM1686" t="s">
        <v>111</v>
      </c>
      <c r="CN1686" t="s">
        <v>111</v>
      </c>
      <c r="CO1686" t="s">
        <v>111</v>
      </c>
      <c r="CP1686" t="s">
        <v>111</v>
      </c>
      <c r="CQ1686">
        <v>0</v>
      </c>
      <c r="CR1686">
        <v>0</v>
      </c>
      <c r="CS1686">
        <v>0</v>
      </c>
      <c r="CT1686" t="s">
        <v>111</v>
      </c>
      <c r="CU1686">
        <v>0</v>
      </c>
      <c r="CV1686" t="s">
        <v>111</v>
      </c>
      <c r="CX1686" t="s">
        <v>111</v>
      </c>
      <c r="CY1686">
        <v>0</v>
      </c>
      <c r="CZ1686" t="s">
        <v>111</v>
      </c>
      <c r="DA1686" t="s">
        <v>111</v>
      </c>
      <c r="DB1686" t="s">
        <v>111</v>
      </c>
      <c r="DC1686" t="s">
        <v>111</v>
      </c>
    </row>
    <row r="1687" spans="1:107">
      <c r="A1687">
        <v>1691</v>
      </c>
      <c r="B1687" t="s">
        <v>107</v>
      </c>
      <c r="C1687" t="s">
        <v>3703</v>
      </c>
      <c r="D1687" t="s">
        <v>4681</v>
      </c>
      <c r="E1687" t="s">
        <v>4682</v>
      </c>
      <c r="F1687" t="s">
        <v>1651</v>
      </c>
      <c r="G1687" t="s">
        <v>24</v>
      </c>
      <c r="H1687">
        <v>1.4</v>
      </c>
      <c r="I1687">
        <v>30</v>
      </c>
      <c r="J1687">
        <v>0</v>
      </c>
      <c r="K1687">
        <v>0</v>
      </c>
      <c r="L1687" t="s">
        <v>112</v>
      </c>
      <c r="M1687" t="s">
        <v>118</v>
      </c>
      <c r="N1687">
        <v>40</v>
      </c>
      <c r="O1687">
        <v>2</v>
      </c>
      <c r="P1687" t="s">
        <v>111</v>
      </c>
      <c r="Q1687">
        <v>36.6</v>
      </c>
      <c r="R1687">
        <v>0</v>
      </c>
      <c r="S1687">
        <v>0</v>
      </c>
      <c r="T1687">
        <v>5</v>
      </c>
      <c r="U1687" s="1" t="s">
        <v>662</v>
      </c>
      <c r="V1687">
        <v>0</v>
      </c>
      <c r="W1687">
        <v>0</v>
      </c>
      <c r="X1687">
        <v>0</v>
      </c>
      <c r="Y1687">
        <v>25</v>
      </c>
      <c r="Z1687" t="s">
        <v>111</v>
      </c>
      <c r="AA1687">
        <v>0</v>
      </c>
      <c r="AB1687" t="s">
        <v>111</v>
      </c>
      <c r="AC1687">
        <v>0</v>
      </c>
      <c r="AD1687" t="s">
        <v>416</v>
      </c>
      <c r="AE1687">
        <v>0</v>
      </c>
      <c r="AF1687">
        <v>0</v>
      </c>
      <c r="AG1687" t="s">
        <v>111</v>
      </c>
      <c r="AH1687" t="s">
        <v>113</v>
      </c>
      <c r="AI1687" t="s">
        <v>111</v>
      </c>
      <c r="AJ1687" t="s">
        <v>111</v>
      </c>
      <c r="AK1687" t="s">
        <v>111</v>
      </c>
      <c r="AL1687" t="s">
        <v>111</v>
      </c>
      <c r="AM1687">
        <v>0</v>
      </c>
      <c r="AN1687">
        <v>0</v>
      </c>
      <c r="AO1687">
        <v>0</v>
      </c>
      <c r="AP1687" t="s">
        <v>111</v>
      </c>
      <c r="AQ1687" t="s">
        <v>111</v>
      </c>
      <c r="AR1687" t="s">
        <v>111</v>
      </c>
      <c r="AS1687" t="s">
        <v>111</v>
      </c>
      <c r="AT1687" t="s">
        <v>111</v>
      </c>
      <c r="AU1687" t="s">
        <v>111</v>
      </c>
      <c r="AV1687" t="s">
        <v>111</v>
      </c>
      <c r="AW1687" t="s">
        <v>111</v>
      </c>
      <c r="AX1687" t="s">
        <v>111</v>
      </c>
      <c r="AY1687" t="s">
        <v>111</v>
      </c>
      <c r="AZ1687" t="s">
        <v>111</v>
      </c>
      <c r="BA1687" t="s">
        <v>111</v>
      </c>
      <c r="BB1687" t="s">
        <v>111</v>
      </c>
      <c r="BC1687" t="s">
        <v>111</v>
      </c>
      <c r="BD1687" t="s">
        <v>111</v>
      </c>
      <c r="BE1687" t="s">
        <v>111</v>
      </c>
      <c r="BF1687" t="s">
        <v>111</v>
      </c>
      <c r="BG1687" t="s">
        <v>111</v>
      </c>
      <c r="BH1687" t="s">
        <v>111</v>
      </c>
      <c r="BI1687" t="s">
        <v>111</v>
      </c>
      <c r="BJ1687" t="s">
        <v>111</v>
      </c>
      <c r="BK1687" t="s">
        <v>111</v>
      </c>
      <c r="BL1687" t="s">
        <v>111</v>
      </c>
      <c r="BM1687" t="s">
        <v>111</v>
      </c>
      <c r="BN1687" t="s">
        <v>111</v>
      </c>
      <c r="BO1687" t="s">
        <v>111</v>
      </c>
      <c r="BP1687" t="s">
        <v>111</v>
      </c>
      <c r="BQ1687" t="s">
        <v>111</v>
      </c>
      <c r="BR1687" t="s">
        <v>111</v>
      </c>
      <c r="BS1687" t="s">
        <v>111</v>
      </c>
      <c r="BT1687" t="s">
        <v>111</v>
      </c>
      <c r="BU1687" t="s">
        <v>111</v>
      </c>
      <c r="BV1687" t="s">
        <v>111</v>
      </c>
      <c r="BW1687" t="s">
        <v>111</v>
      </c>
      <c r="BX1687" t="s">
        <v>111</v>
      </c>
      <c r="BY1687" t="s">
        <v>111</v>
      </c>
      <c r="BZ1687" t="s">
        <v>111</v>
      </c>
      <c r="CA1687" t="s">
        <v>111</v>
      </c>
      <c r="CB1687" t="s">
        <v>111</v>
      </c>
      <c r="CC1687" t="s">
        <v>111</v>
      </c>
      <c r="CD1687" t="s">
        <v>111</v>
      </c>
      <c r="CE1687" t="s">
        <v>111</v>
      </c>
      <c r="CF1687" t="s">
        <v>111</v>
      </c>
      <c r="CG1687" t="s">
        <v>111</v>
      </c>
      <c r="CH1687" t="s">
        <v>111</v>
      </c>
      <c r="CI1687" t="s">
        <v>111</v>
      </c>
      <c r="CJ1687" t="s">
        <v>111</v>
      </c>
      <c r="CK1687" t="s">
        <v>111</v>
      </c>
      <c r="CL1687" t="s">
        <v>111</v>
      </c>
      <c r="CM1687" t="s">
        <v>438</v>
      </c>
      <c r="CN1687" t="s">
        <v>113</v>
      </c>
      <c r="CO1687" t="s">
        <v>111</v>
      </c>
      <c r="CP1687" t="s">
        <v>111</v>
      </c>
      <c r="CQ1687">
        <v>0</v>
      </c>
      <c r="CR1687">
        <v>6000</v>
      </c>
      <c r="CS1687">
        <v>200</v>
      </c>
      <c r="CT1687" t="e">
        <f>-ALMACEN</f>
        <v>#NAME?</v>
      </c>
      <c r="CU1687">
        <v>0</v>
      </c>
      <c r="CV1687" t="s">
        <v>111</v>
      </c>
      <c r="CX1687" t="s">
        <v>111</v>
      </c>
      <c r="CY1687">
        <v>0</v>
      </c>
      <c r="CZ1687" t="s">
        <v>111</v>
      </c>
      <c r="DA1687" t="s">
        <v>111</v>
      </c>
      <c r="DB1687" t="s">
        <v>111</v>
      </c>
      <c r="DC1687" t="s">
        <v>111</v>
      </c>
    </row>
    <row r="1688" spans="1:107">
      <c r="A1688">
        <v>1668</v>
      </c>
      <c r="B1688" t="s">
        <v>107</v>
      </c>
      <c r="C1688" t="s">
        <v>4589</v>
      </c>
      <c r="D1688" t="s">
        <v>4683</v>
      </c>
      <c r="E1688" t="s">
        <v>4684</v>
      </c>
      <c r="F1688" t="s">
        <v>1651</v>
      </c>
      <c r="G1688" t="s">
        <v>24</v>
      </c>
      <c r="H1688">
        <v>1.4</v>
      </c>
      <c r="I1688">
        <v>40</v>
      </c>
      <c r="J1688">
        <v>0</v>
      </c>
      <c r="K1688">
        <v>0</v>
      </c>
      <c r="L1688" t="s">
        <v>117</v>
      </c>
      <c r="M1688" t="s">
        <v>118</v>
      </c>
      <c r="N1688">
        <v>40</v>
      </c>
      <c r="O1688">
        <v>1</v>
      </c>
      <c r="P1688" t="s">
        <v>111</v>
      </c>
      <c r="Q1688">
        <v>40</v>
      </c>
      <c r="R1688">
        <v>0</v>
      </c>
      <c r="S1688">
        <v>0</v>
      </c>
      <c r="T1688">
        <v>10</v>
      </c>
      <c r="U1688" s="1" t="s">
        <v>662</v>
      </c>
      <c r="V1688">
        <v>0</v>
      </c>
      <c r="W1688">
        <v>0</v>
      </c>
      <c r="X1688">
        <v>0</v>
      </c>
      <c r="Y1688">
        <v>25</v>
      </c>
      <c r="Z1688" t="s">
        <v>111</v>
      </c>
      <c r="AA1688">
        <v>0</v>
      </c>
      <c r="AB1688" t="s">
        <v>111</v>
      </c>
      <c r="AC1688">
        <v>0</v>
      </c>
      <c r="AD1688" t="s">
        <v>416</v>
      </c>
      <c r="AE1688">
        <v>0</v>
      </c>
      <c r="AF1688">
        <v>0</v>
      </c>
      <c r="AG1688" t="s">
        <v>111</v>
      </c>
      <c r="AH1688" t="s">
        <v>113</v>
      </c>
      <c r="AI1688" t="s">
        <v>111</v>
      </c>
      <c r="AJ1688" t="s">
        <v>111</v>
      </c>
      <c r="AK1688" t="s">
        <v>111</v>
      </c>
      <c r="AL1688" t="s">
        <v>111</v>
      </c>
      <c r="AM1688">
        <v>0</v>
      </c>
      <c r="AN1688">
        <v>0</v>
      </c>
      <c r="AO1688">
        <v>0</v>
      </c>
      <c r="AP1688" t="s">
        <v>111</v>
      </c>
      <c r="AQ1688" t="s">
        <v>111</v>
      </c>
      <c r="AR1688" t="s">
        <v>111</v>
      </c>
      <c r="AS1688" t="s">
        <v>111</v>
      </c>
      <c r="AT1688" t="s">
        <v>111</v>
      </c>
      <c r="AU1688" t="s">
        <v>111</v>
      </c>
      <c r="AV1688" t="s">
        <v>111</v>
      </c>
      <c r="AW1688" t="s">
        <v>111</v>
      </c>
      <c r="AX1688" t="s">
        <v>111</v>
      </c>
      <c r="AY1688" t="s">
        <v>111</v>
      </c>
      <c r="AZ1688" t="s">
        <v>111</v>
      </c>
      <c r="BA1688" t="s">
        <v>111</v>
      </c>
      <c r="BB1688" t="s">
        <v>111</v>
      </c>
      <c r="BC1688" t="s">
        <v>111</v>
      </c>
      <c r="BD1688" t="s">
        <v>111</v>
      </c>
      <c r="BE1688" t="s">
        <v>111</v>
      </c>
      <c r="BF1688" t="s">
        <v>111</v>
      </c>
      <c r="BG1688" t="s">
        <v>111</v>
      </c>
      <c r="BH1688" t="s">
        <v>111</v>
      </c>
      <c r="BI1688" t="s">
        <v>111</v>
      </c>
      <c r="BJ1688" t="s">
        <v>111</v>
      </c>
      <c r="BK1688" t="s">
        <v>111</v>
      </c>
      <c r="BL1688" t="s">
        <v>111</v>
      </c>
      <c r="BM1688" t="s">
        <v>111</v>
      </c>
      <c r="BN1688" t="s">
        <v>111</v>
      </c>
      <c r="BO1688" t="s">
        <v>111</v>
      </c>
      <c r="BP1688" t="s">
        <v>111</v>
      </c>
      <c r="BQ1688" t="s">
        <v>111</v>
      </c>
      <c r="BR1688" t="s">
        <v>111</v>
      </c>
      <c r="BS1688" t="s">
        <v>111</v>
      </c>
      <c r="BT1688" t="s">
        <v>111</v>
      </c>
      <c r="BU1688" t="s">
        <v>111</v>
      </c>
      <c r="BV1688" t="s">
        <v>111</v>
      </c>
      <c r="BW1688" t="s">
        <v>111</v>
      </c>
      <c r="BX1688" t="s">
        <v>111</v>
      </c>
      <c r="BY1688" t="s">
        <v>111</v>
      </c>
      <c r="BZ1688" t="s">
        <v>111</v>
      </c>
      <c r="CA1688" t="s">
        <v>111</v>
      </c>
      <c r="CB1688" t="s">
        <v>111</v>
      </c>
      <c r="CC1688" t="s">
        <v>111</v>
      </c>
      <c r="CD1688" t="s">
        <v>111</v>
      </c>
      <c r="CE1688" t="s">
        <v>111</v>
      </c>
      <c r="CF1688" t="s">
        <v>111</v>
      </c>
      <c r="CG1688" t="s">
        <v>111</v>
      </c>
      <c r="CH1688" t="s">
        <v>111</v>
      </c>
      <c r="CI1688" t="s">
        <v>111</v>
      </c>
      <c r="CJ1688" t="s">
        <v>111</v>
      </c>
      <c r="CK1688" t="s">
        <v>111</v>
      </c>
      <c r="CL1688" t="s">
        <v>111</v>
      </c>
      <c r="CM1688" t="s">
        <v>135</v>
      </c>
      <c r="CN1688" t="s">
        <v>113</v>
      </c>
      <c r="CO1688" t="s">
        <v>111</v>
      </c>
      <c r="CP1688" t="s">
        <v>111</v>
      </c>
      <c r="CQ1688">
        <v>0</v>
      </c>
      <c r="CR1688">
        <v>5000</v>
      </c>
      <c r="CS1688">
        <v>100</v>
      </c>
      <c r="CT1688" t="e">
        <f>-ALMACEN</f>
        <v>#NAME?</v>
      </c>
      <c r="CU1688">
        <v>0</v>
      </c>
      <c r="CV1688" t="s">
        <v>111</v>
      </c>
      <c r="CX1688" t="s">
        <v>111</v>
      </c>
      <c r="CY1688">
        <v>0</v>
      </c>
      <c r="CZ1688" t="s">
        <v>111</v>
      </c>
      <c r="DA1688" t="s">
        <v>111</v>
      </c>
      <c r="DB1688" t="e">
        <f>-EXTERNO</f>
        <v>#NAME?</v>
      </c>
      <c r="DC1688" t="e">
        <f>-PEGAR GANCHOS</f>
        <v>#NAME?</v>
      </c>
    </row>
    <row r="1689" spans="1:107">
      <c r="A1689">
        <v>1727</v>
      </c>
      <c r="B1689" t="s">
        <v>107</v>
      </c>
      <c r="C1689" t="s">
        <v>773</v>
      </c>
      <c r="D1689" t="s">
        <v>4685</v>
      </c>
      <c r="E1689" t="s">
        <v>4686</v>
      </c>
      <c r="F1689" t="s">
        <v>1071</v>
      </c>
      <c r="G1689" t="s">
        <v>24</v>
      </c>
      <c r="H1689">
        <v>2.7</v>
      </c>
      <c r="I1689">
        <v>42</v>
      </c>
      <c r="J1689">
        <v>0</v>
      </c>
      <c r="K1689">
        <v>0</v>
      </c>
      <c r="L1689" t="s">
        <v>112</v>
      </c>
      <c r="M1689" t="s">
        <v>111</v>
      </c>
      <c r="N1689">
        <v>0</v>
      </c>
      <c r="O1689">
        <v>0</v>
      </c>
      <c r="P1689" t="s">
        <v>111</v>
      </c>
      <c r="Q1689">
        <v>20</v>
      </c>
      <c r="R1689">
        <v>0</v>
      </c>
      <c r="S1689">
        <v>0</v>
      </c>
      <c r="T1689">
        <v>5</v>
      </c>
      <c r="U1689" t="e">
        <f>-SELLADO</f>
        <v>#NAME?</v>
      </c>
      <c r="V1689">
        <v>0</v>
      </c>
      <c r="W1689">
        <v>0</v>
      </c>
      <c r="X1689">
        <v>0</v>
      </c>
      <c r="Y1689">
        <v>25</v>
      </c>
      <c r="Z1689" t="s">
        <v>111</v>
      </c>
      <c r="AA1689">
        <v>0</v>
      </c>
      <c r="AB1689" t="s">
        <v>111</v>
      </c>
      <c r="AC1689">
        <v>0</v>
      </c>
      <c r="AD1689" t="s">
        <v>111</v>
      </c>
      <c r="AE1689">
        <v>0</v>
      </c>
      <c r="AF1689">
        <v>0</v>
      </c>
      <c r="AG1689" t="s">
        <v>111</v>
      </c>
      <c r="AH1689" t="s">
        <v>111</v>
      </c>
      <c r="AI1689" t="s">
        <v>111</v>
      </c>
      <c r="AJ1689" t="s">
        <v>111</v>
      </c>
      <c r="AK1689" t="s">
        <v>111</v>
      </c>
      <c r="AL1689" t="s">
        <v>111</v>
      </c>
      <c r="AM1689">
        <v>0</v>
      </c>
      <c r="AN1689">
        <v>0</v>
      </c>
      <c r="AO1689">
        <v>0</v>
      </c>
      <c r="AP1689" t="s">
        <v>111</v>
      </c>
      <c r="AQ1689" t="s">
        <v>111</v>
      </c>
      <c r="AR1689" t="s">
        <v>111</v>
      </c>
      <c r="AS1689" t="s">
        <v>111</v>
      </c>
      <c r="AT1689" t="s">
        <v>111</v>
      </c>
      <c r="AU1689" t="s">
        <v>111</v>
      </c>
      <c r="AV1689" t="s">
        <v>111</v>
      </c>
      <c r="AW1689" t="s">
        <v>111</v>
      </c>
      <c r="AX1689" t="s">
        <v>111</v>
      </c>
      <c r="AY1689" t="s">
        <v>111</v>
      </c>
      <c r="AZ1689" t="s">
        <v>111</v>
      </c>
      <c r="BA1689" t="s">
        <v>111</v>
      </c>
      <c r="BB1689" t="s">
        <v>111</v>
      </c>
      <c r="BC1689" t="s">
        <v>111</v>
      </c>
      <c r="BD1689" t="s">
        <v>111</v>
      </c>
      <c r="BE1689" t="s">
        <v>111</v>
      </c>
      <c r="BF1689" t="s">
        <v>111</v>
      </c>
      <c r="BG1689" t="s">
        <v>111</v>
      </c>
      <c r="BH1689" t="s">
        <v>111</v>
      </c>
      <c r="BI1689" t="s">
        <v>111</v>
      </c>
      <c r="BJ1689" t="s">
        <v>111</v>
      </c>
      <c r="BK1689" t="s">
        <v>111</v>
      </c>
      <c r="BL1689" t="s">
        <v>111</v>
      </c>
      <c r="BM1689" t="s">
        <v>111</v>
      </c>
      <c r="BN1689" t="s">
        <v>111</v>
      </c>
      <c r="BO1689" t="s">
        <v>111</v>
      </c>
      <c r="BP1689" t="s">
        <v>111</v>
      </c>
      <c r="BQ1689" t="s">
        <v>111</v>
      </c>
      <c r="BR1689" t="s">
        <v>111</v>
      </c>
      <c r="BS1689" t="s">
        <v>111</v>
      </c>
      <c r="BT1689" t="s">
        <v>111</v>
      </c>
      <c r="BU1689" t="s">
        <v>111</v>
      </c>
      <c r="BV1689" t="s">
        <v>111</v>
      </c>
      <c r="BW1689" t="s">
        <v>111</v>
      </c>
      <c r="BX1689" t="s">
        <v>111</v>
      </c>
      <c r="BY1689" t="s">
        <v>111</v>
      </c>
      <c r="BZ1689" t="s">
        <v>111</v>
      </c>
      <c r="CA1689" t="s">
        <v>111</v>
      </c>
      <c r="CB1689" t="s">
        <v>111</v>
      </c>
      <c r="CC1689" t="s">
        <v>111</v>
      </c>
      <c r="CD1689" t="s">
        <v>111</v>
      </c>
      <c r="CE1689" t="s">
        <v>111</v>
      </c>
      <c r="CF1689" t="s">
        <v>111</v>
      </c>
      <c r="CG1689" t="s">
        <v>111</v>
      </c>
      <c r="CH1689" t="s">
        <v>111</v>
      </c>
      <c r="CI1689" t="s">
        <v>111</v>
      </c>
      <c r="CJ1689" t="s">
        <v>111</v>
      </c>
      <c r="CK1689" t="s">
        <v>111</v>
      </c>
      <c r="CL1689" t="s">
        <v>111</v>
      </c>
      <c r="CM1689" t="s">
        <v>135</v>
      </c>
      <c r="CN1689" t="s">
        <v>113</v>
      </c>
      <c r="CO1689" t="s">
        <v>4182</v>
      </c>
      <c r="CP1689" t="s">
        <v>111</v>
      </c>
      <c r="CQ1689">
        <v>0</v>
      </c>
      <c r="CR1689">
        <v>1000</v>
      </c>
      <c r="CS1689">
        <v>100</v>
      </c>
      <c r="CT1689" s="1" t="s">
        <v>4687</v>
      </c>
      <c r="CU1689">
        <v>0</v>
      </c>
      <c r="CV1689" t="s">
        <v>111</v>
      </c>
      <c r="CX1689" t="s">
        <v>111</v>
      </c>
      <c r="CY1689">
        <v>0</v>
      </c>
      <c r="CZ1689" t="s">
        <v>111</v>
      </c>
      <c r="DA1689" t="s">
        <v>111</v>
      </c>
      <c r="DB1689" t="s">
        <v>111</v>
      </c>
      <c r="DC1689" t="s">
        <v>111</v>
      </c>
    </row>
    <row r="1690" spans="1:107">
      <c r="A1690">
        <v>1809</v>
      </c>
      <c r="B1690" t="s">
        <v>107</v>
      </c>
      <c r="C1690" t="s">
        <v>3783</v>
      </c>
      <c r="D1690" t="s">
        <v>3960</v>
      </c>
      <c r="E1690" t="s">
        <v>4688</v>
      </c>
      <c r="F1690" t="s">
        <v>1260</v>
      </c>
      <c r="G1690" t="s">
        <v>24</v>
      </c>
      <c r="H1690">
        <v>1.9</v>
      </c>
      <c r="I1690">
        <v>40</v>
      </c>
      <c r="J1690">
        <v>0</v>
      </c>
      <c r="K1690">
        <v>0</v>
      </c>
      <c r="L1690" t="s">
        <v>117</v>
      </c>
      <c r="M1690" t="s">
        <v>118</v>
      </c>
      <c r="N1690">
        <v>39</v>
      </c>
      <c r="O1690">
        <v>1</v>
      </c>
      <c r="P1690" t="s">
        <v>111</v>
      </c>
      <c r="Q1690">
        <v>44.2</v>
      </c>
      <c r="R1690">
        <v>0</v>
      </c>
      <c r="S1690">
        <v>0</v>
      </c>
      <c r="T1690">
        <v>5</v>
      </c>
      <c r="U1690" s="1" t="s">
        <v>662</v>
      </c>
      <c r="V1690">
        <v>0</v>
      </c>
      <c r="W1690">
        <v>0</v>
      </c>
      <c r="X1690">
        <v>0</v>
      </c>
      <c r="Y1690">
        <v>25</v>
      </c>
      <c r="Z1690" t="s">
        <v>111</v>
      </c>
      <c r="AA1690">
        <v>0</v>
      </c>
      <c r="AB1690" t="s">
        <v>111</v>
      </c>
      <c r="AC1690">
        <v>0</v>
      </c>
      <c r="AD1690" t="s">
        <v>416</v>
      </c>
      <c r="AE1690">
        <v>0</v>
      </c>
      <c r="AF1690">
        <v>0</v>
      </c>
      <c r="AG1690" t="s">
        <v>111</v>
      </c>
      <c r="AH1690" t="s">
        <v>113</v>
      </c>
      <c r="AI1690" t="s">
        <v>111</v>
      </c>
      <c r="AJ1690" t="s">
        <v>111</v>
      </c>
      <c r="AK1690" t="s">
        <v>111</v>
      </c>
      <c r="AL1690" t="s">
        <v>111</v>
      </c>
      <c r="AM1690">
        <v>0</v>
      </c>
      <c r="AN1690">
        <v>0</v>
      </c>
      <c r="AO1690">
        <v>0</v>
      </c>
      <c r="AP1690" t="s">
        <v>111</v>
      </c>
      <c r="AQ1690" t="s">
        <v>111</v>
      </c>
      <c r="AR1690" t="s">
        <v>111</v>
      </c>
      <c r="AS1690" t="s">
        <v>111</v>
      </c>
      <c r="AT1690" t="s">
        <v>111</v>
      </c>
      <c r="AU1690" t="s">
        <v>111</v>
      </c>
      <c r="AV1690" t="s">
        <v>111</v>
      </c>
      <c r="AW1690" t="s">
        <v>111</v>
      </c>
      <c r="AX1690" t="s">
        <v>111</v>
      </c>
      <c r="AY1690" t="s">
        <v>111</v>
      </c>
      <c r="AZ1690" t="s">
        <v>111</v>
      </c>
      <c r="BA1690" t="s">
        <v>111</v>
      </c>
      <c r="BB1690" t="s">
        <v>111</v>
      </c>
      <c r="BC1690" t="s">
        <v>111</v>
      </c>
      <c r="BD1690" t="s">
        <v>111</v>
      </c>
      <c r="BE1690" t="s">
        <v>111</v>
      </c>
      <c r="BF1690" t="s">
        <v>111</v>
      </c>
      <c r="BG1690" t="s">
        <v>111</v>
      </c>
      <c r="BH1690" t="s">
        <v>111</v>
      </c>
      <c r="BI1690" t="s">
        <v>111</v>
      </c>
      <c r="BJ1690" t="s">
        <v>111</v>
      </c>
      <c r="BK1690" t="s">
        <v>111</v>
      </c>
      <c r="BL1690" t="s">
        <v>111</v>
      </c>
      <c r="BM1690" t="s">
        <v>111</v>
      </c>
      <c r="BN1690" t="s">
        <v>111</v>
      </c>
      <c r="BO1690" t="s">
        <v>111</v>
      </c>
      <c r="BP1690" t="s">
        <v>111</v>
      </c>
      <c r="BQ1690" t="s">
        <v>111</v>
      </c>
      <c r="BR1690" t="s">
        <v>111</v>
      </c>
      <c r="BS1690" t="s">
        <v>111</v>
      </c>
      <c r="BT1690" t="s">
        <v>111</v>
      </c>
      <c r="BU1690" t="s">
        <v>111</v>
      </c>
      <c r="BV1690" t="s">
        <v>111</v>
      </c>
      <c r="BW1690" t="s">
        <v>111</v>
      </c>
      <c r="BX1690" t="s">
        <v>111</v>
      </c>
      <c r="BY1690" t="s">
        <v>111</v>
      </c>
      <c r="BZ1690" t="s">
        <v>111</v>
      </c>
      <c r="CA1690" t="s">
        <v>111</v>
      </c>
      <c r="CB1690" t="s">
        <v>111</v>
      </c>
      <c r="CC1690" t="s">
        <v>111</v>
      </c>
      <c r="CD1690" t="s">
        <v>111</v>
      </c>
      <c r="CE1690" t="s">
        <v>111</v>
      </c>
      <c r="CF1690" t="s">
        <v>111</v>
      </c>
      <c r="CG1690" t="s">
        <v>111</v>
      </c>
      <c r="CH1690" t="s">
        <v>111</v>
      </c>
      <c r="CI1690" t="s">
        <v>111</v>
      </c>
      <c r="CJ1690" t="s">
        <v>111</v>
      </c>
      <c r="CK1690" t="s">
        <v>111</v>
      </c>
      <c r="CL1690" t="s">
        <v>111</v>
      </c>
      <c r="CM1690" t="s">
        <v>135</v>
      </c>
      <c r="CN1690" t="s">
        <v>113</v>
      </c>
      <c r="CO1690" t="s">
        <v>111</v>
      </c>
      <c r="CP1690" t="s">
        <v>111</v>
      </c>
      <c r="CQ1690">
        <v>0</v>
      </c>
      <c r="CR1690">
        <v>26000</v>
      </c>
      <c r="CS1690">
        <v>26000</v>
      </c>
      <c r="CT1690" t="e">
        <f>-ALMACEN</f>
        <v>#NAME?</v>
      </c>
      <c r="CU1690">
        <v>0</v>
      </c>
      <c r="CV1690" t="s">
        <v>111</v>
      </c>
      <c r="CX1690" t="s">
        <v>111</v>
      </c>
      <c r="CY1690">
        <v>0</v>
      </c>
      <c r="CZ1690" t="s">
        <v>111</v>
      </c>
      <c r="DA1690" t="s">
        <v>111</v>
      </c>
      <c r="DB1690" t="s">
        <v>111</v>
      </c>
      <c r="DC1690" t="s">
        <v>111</v>
      </c>
    </row>
    <row r="1691" spans="1:107">
      <c r="A1691">
        <v>1847</v>
      </c>
      <c r="B1691" t="s">
        <v>107</v>
      </c>
      <c r="C1691" t="s">
        <v>3783</v>
      </c>
      <c r="D1691" t="s">
        <v>3960</v>
      </c>
      <c r="E1691" t="s">
        <v>4689</v>
      </c>
      <c r="F1691" t="s">
        <v>1260</v>
      </c>
      <c r="G1691" t="s">
        <v>24</v>
      </c>
      <c r="H1691">
        <v>1.9</v>
      </c>
      <c r="I1691">
        <v>40</v>
      </c>
      <c r="J1691">
        <v>0</v>
      </c>
      <c r="K1691">
        <v>0</v>
      </c>
      <c r="L1691" t="s">
        <v>117</v>
      </c>
      <c r="M1691" t="s">
        <v>118</v>
      </c>
      <c r="N1691">
        <v>40</v>
      </c>
      <c r="O1691">
        <v>1</v>
      </c>
      <c r="P1691" t="s">
        <v>111</v>
      </c>
      <c r="Q1691">
        <v>42</v>
      </c>
      <c r="R1691">
        <v>0</v>
      </c>
      <c r="S1691">
        <v>0</v>
      </c>
      <c r="T1691">
        <v>5</v>
      </c>
      <c r="U1691" s="1" t="s">
        <v>4690</v>
      </c>
      <c r="V1691">
        <v>0</v>
      </c>
      <c r="W1691">
        <v>0</v>
      </c>
      <c r="X1691">
        <v>0</v>
      </c>
      <c r="Y1691">
        <v>25</v>
      </c>
      <c r="Z1691" t="s">
        <v>111</v>
      </c>
      <c r="AA1691">
        <v>0</v>
      </c>
      <c r="AB1691" t="s">
        <v>111</v>
      </c>
      <c r="AC1691">
        <v>0</v>
      </c>
      <c r="AD1691" t="s">
        <v>416</v>
      </c>
      <c r="AE1691">
        <v>0</v>
      </c>
      <c r="AF1691">
        <v>0</v>
      </c>
      <c r="AG1691" t="s">
        <v>111</v>
      </c>
      <c r="AH1691" t="s">
        <v>113</v>
      </c>
      <c r="AI1691" t="s">
        <v>111</v>
      </c>
      <c r="AJ1691" t="s">
        <v>111</v>
      </c>
      <c r="AK1691" t="s">
        <v>111</v>
      </c>
      <c r="AL1691" t="s">
        <v>111</v>
      </c>
      <c r="AM1691">
        <v>0</v>
      </c>
      <c r="AN1691">
        <v>0</v>
      </c>
      <c r="AO1691">
        <v>0</v>
      </c>
      <c r="AP1691" t="s">
        <v>111</v>
      </c>
      <c r="AQ1691" t="s">
        <v>111</v>
      </c>
      <c r="AR1691" t="s">
        <v>111</v>
      </c>
      <c r="AS1691" t="s">
        <v>111</v>
      </c>
      <c r="AT1691" t="s">
        <v>111</v>
      </c>
      <c r="AU1691" t="s">
        <v>111</v>
      </c>
      <c r="AV1691" t="s">
        <v>111</v>
      </c>
      <c r="AW1691" t="s">
        <v>111</v>
      </c>
      <c r="AX1691" t="s">
        <v>111</v>
      </c>
      <c r="AY1691" t="s">
        <v>111</v>
      </c>
      <c r="AZ1691" t="s">
        <v>111</v>
      </c>
      <c r="BA1691" t="s">
        <v>111</v>
      </c>
      <c r="BB1691" t="s">
        <v>111</v>
      </c>
      <c r="BC1691" t="s">
        <v>111</v>
      </c>
      <c r="BD1691" t="s">
        <v>111</v>
      </c>
      <c r="BE1691" t="s">
        <v>111</v>
      </c>
      <c r="BF1691" t="s">
        <v>111</v>
      </c>
      <c r="BG1691" t="s">
        <v>111</v>
      </c>
      <c r="BH1691" t="s">
        <v>111</v>
      </c>
      <c r="BI1691" t="s">
        <v>111</v>
      </c>
      <c r="BJ1691" t="s">
        <v>111</v>
      </c>
      <c r="BK1691" t="s">
        <v>111</v>
      </c>
      <c r="BL1691" t="s">
        <v>111</v>
      </c>
      <c r="BM1691" t="s">
        <v>111</v>
      </c>
      <c r="BN1691" t="s">
        <v>111</v>
      </c>
      <c r="BO1691" t="s">
        <v>111</v>
      </c>
      <c r="BP1691" t="s">
        <v>111</v>
      </c>
      <c r="BQ1691" t="s">
        <v>111</v>
      </c>
      <c r="BR1691" t="s">
        <v>111</v>
      </c>
      <c r="BS1691" t="s">
        <v>111</v>
      </c>
      <c r="BT1691" t="s">
        <v>111</v>
      </c>
      <c r="BU1691" t="s">
        <v>111</v>
      </c>
      <c r="BV1691" t="s">
        <v>111</v>
      </c>
      <c r="BW1691" t="s">
        <v>111</v>
      </c>
      <c r="BX1691" t="s">
        <v>111</v>
      </c>
      <c r="BY1691" t="s">
        <v>111</v>
      </c>
      <c r="BZ1691" t="s">
        <v>111</v>
      </c>
      <c r="CA1691" t="s">
        <v>111</v>
      </c>
      <c r="CB1691" t="s">
        <v>111</v>
      </c>
      <c r="CC1691" t="s">
        <v>111</v>
      </c>
      <c r="CD1691" t="s">
        <v>111</v>
      </c>
      <c r="CE1691" t="s">
        <v>111</v>
      </c>
      <c r="CF1691" t="s">
        <v>111</v>
      </c>
      <c r="CG1691" t="s">
        <v>111</v>
      </c>
      <c r="CH1691" t="s">
        <v>111</v>
      </c>
      <c r="CI1691" t="s">
        <v>111</v>
      </c>
      <c r="CJ1691" t="s">
        <v>111</v>
      </c>
      <c r="CK1691" t="s">
        <v>111</v>
      </c>
      <c r="CL1691" t="s">
        <v>111</v>
      </c>
      <c r="CM1691" t="s">
        <v>135</v>
      </c>
      <c r="CN1691" t="s">
        <v>113</v>
      </c>
      <c r="CO1691" t="s">
        <v>637</v>
      </c>
      <c r="CP1691" t="s">
        <v>111</v>
      </c>
      <c r="CQ1691">
        <v>0</v>
      </c>
      <c r="CR1691">
        <v>26000</v>
      </c>
      <c r="CS1691">
        <v>26000</v>
      </c>
      <c r="CT1691" t="e">
        <f>-ALMACEN</f>
        <v>#NAME?</v>
      </c>
      <c r="CU1691">
        <v>0</v>
      </c>
      <c r="CV1691" t="s">
        <v>111</v>
      </c>
      <c r="CX1691" t="s">
        <v>111</v>
      </c>
      <c r="CY1691">
        <v>0</v>
      </c>
      <c r="CZ1691" t="s">
        <v>111</v>
      </c>
      <c r="DA1691" t="s">
        <v>111</v>
      </c>
      <c r="DB1691" t="s">
        <v>111</v>
      </c>
      <c r="DC1691" t="s">
        <v>111</v>
      </c>
    </row>
    <row r="1692" spans="1:107">
      <c r="A1692">
        <v>1846</v>
      </c>
      <c r="B1692" t="s">
        <v>107</v>
      </c>
      <c r="C1692" t="s">
        <v>3783</v>
      </c>
      <c r="D1692" t="s">
        <v>3960</v>
      </c>
      <c r="E1692" t="s">
        <v>4691</v>
      </c>
      <c r="F1692" t="s">
        <v>1260</v>
      </c>
      <c r="G1692" t="s">
        <v>24</v>
      </c>
      <c r="H1692">
        <v>1.9</v>
      </c>
      <c r="I1692">
        <v>40</v>
      </c>
      <c r="J1692">
        <v>0</v>
      </c>
      <c r="K1692">
        <v>0</v>
      </c>
      <c r="L1692" t="s">
        <v>117</v>
      </c>
      <c r="M1692" t="s">
        <v>118</v>
      </c>
      <c r="N1692">
        <v>400</v>
      </c>
      <c r="O1692">
        <v>1</v>
      </c>
      <c r="P1692" t="s">
        <v>111</v>
      </c>
      <c r="Q1692">
        <v>44.2</v>
      </c>
      <c r="R1692">
        <v>0</v>
      </c>
      <c r="S1692">
        <v>0</v>
      </c>
      <c r="T1692">
        <v>5</v>
      </c>
      <c r="U1692" s="1" t="s">
        <v>662</v>
      </c>
      <c r="V1692">
        <v>0</v>
      </c>
      <c r="W1692">
        <v>0</v>
      </c>
      <c r="X1692">
        <v>0</v>
      </c>
      <c r="Y1692">
        <v>250</v>
      </c>
      <c r="Z1692" t="s">
        <v>111</v>
      </c>
      <c r="AA1692">
        <v>0</v>
      </c>
      <c r="AB1692" t="s">
        <v>111</v>
      </c>
      <c r="AC1692">
        <v>0</v>
      </c>
      <c r="AD1692" t="s">
        <v>416</v>
      </c>
      <c r="AE1692">
        <v>0</v>
      </c>
      <c r="AF1692">
        <v>0</v>
      </c>
      <c r="AG1692" t="s">
        <v>111</v>
      </c>
      <c r="AH1692" t="s">
        <v>113</v>
      </c>
      <c r="AI1692" t="s">
        <v>111</v>
      </c>
      <c r="AJ1692" t="s">
        <v>111</v>
      </c>
      <c r="AK1692" t="s">
        <v>111</v>
      </c>
      <c r="AL1692" t="s">
        <v>111</v>
      </c>
      <c r="AM1692">
        <v>0</v>
      </c>
      <c r="AN1692">
        <v>0</v>
      </c>
      <c r="AO1692">
        <v>0</v>
      </c>
      <c r="AP1692" t="s">
        <v>111</v>
      </c>
      <c r="AQ1692" t="s">
        <v>111</v>
      </c>
      <c r="AR1692" t="s">
        <v>111</v>
      </c>
      <c r="AS1692" t="s">
        <v>111</v>
      </c>
      <c r="AT1692" t="s">
        <v>111</v>
      </c>
      <c r="AU1692" t="s">
        <v>111</v>
      </c>
      <c r="AV1692" t="s">
        <v>111</v>
      </c>
      <c r="AW1692" t="s">
        <v>111</v>
      </c>
      <c r="AX1692" t="s">
        <v>111</v>
      </c>
      <c r="AY1692" t="s">
        <v>111</v>
      </c>
      <c r="AZ1692" t="s">
        <v>111</v>
      </c>
      <c r="BA1692" t="s">
        <v>111</v>
      </c>
      <c r="BB1692" t="s">
        <v>111</v>
      </c>
      <c r="BC1692" t="s">
        <v>111</v>
      </c>
      <c r="BD1692" t="s">
        <v>111</v>
      </c>
      <c r="BE1692" t="s">
        <v>111</v>
      </c>
      <c r="BF1692" t="s">
        <v>111</v>
      </c>
      <c r="BG1692" t="s">
        <v>111</v>
      </c>
      <c r="BH1692" t="s">
        <v>111</v>
      </c>
      <c r="BI1692" t="s">
        <v>111</v>
      </c>
      <c r="BJ1692" t="s">
        <v>111</v>
      </c>
      <c r="BK1692" t="s">
        <v>111</v>
      </c>
      <c r="BL1692" t="s">
        <v>111</v>
      </c>
      <c r="BM1692" t="s">
        <v>111</v>
      </c>
      <c r="BN1692" t="s">
        <v>111</v>
      </c>
      <c r="BO1692" t="s">
        <v>111</v>
      </c>
      <c r="BP1692" t="s">
        <v>111</v>
      </c>
      <c r="BQ1692" t="s">
        <v>111</v>
      </c>
      <c r="BR1692" t="s">
        <v>111</v>
      </c>
      <c r="BS1692" t="s">
        <v>111</v>
      </c>
      <c r="BT1692" t="s">
        <v>111</v>
      </c>
      <c r="BU1692" t="s">
        <v>111</v>
      </c>
      <c r="BV1692" t="s">
        <v>111</v>
      </c>
      <c r="BW1692" t="s">
        <v>111</v>
      </c>
      <c r="BX1692" t="s">
        <v>111</v>
      </c>
      <c r="BY1692" t="s">
        <v>111</v>
      </c>
      <c r="BZ1692" t="s">
        <v>111</v>
      </c>
      <c r="CA1692" t="s">
        <v>111</v>
      </c>
      <c r="CB1692" t="s">
        <v>111</v>
      </c>
      <c r="CC1692" t="s">
        <v>111</v>
      </c>
      <c r="CD1692" t="s">
        <v>111</v>
      </c>
      <c r="CE1692" t="s">
        <v>111</v>
      </c>
      <c r="CF1692" t="s">
        <v>111</v>
      </c>
      <c r="CG1692" t="s">
        <v>111</v>
      </c>
      <c r="CH1692" t="s">
        <v>111</v>
      </c>
      <c r="CI1692" t="s">
        <v>111</v>
      </c>
      <c r="CJ1692" t="s">
        <v>111</v>
      </c>
      <c r="CK1692" t="s">
        <v>111</v>
      </c>
      <c r="CL1692" t="s">
        <v>111</v>
      </c>
      <c r="CM1692">
        <v>450</v>
      </c>
      <c r="CN1692" t="s">
        <v>113</v>
      </c>
      <c r="CO1692" t="s">
        <v>111</v>
      </c>
      <c r="CP1692" t="s">
        <v>111</v>
      </c>
      <c r="CQ1692">
        <v>0</v>
      </c>
      <c r="CR1692">
        <v>26000</v>
      </c>
      <c r="CS1692">
        <v>26000</v>
      </c>
      <c r="CT1692" t="e">
        <f>-ALMACEN</f>
        <v>#NAME?</v>
      </c>
      <c r="CU1692">
        <v>0</v>
      </c>
      <c r="CV1692" t="s">
        <v>111</v>
      </c>
      <c r="CX1692" t="s">
        <v>111</v>
      </c>
      <c r="CY1692">
        <v>0</v>
      </c>
      <c r="CZ1692" t="s">
        <v>111</v>
      </c>
      <c r="DA1692" t="s">
        <v>111</v>
      </c>
      <c r="DB1692" t="s">
        <v>111</v>
      </c>
      <c r="DC1692" t="s">
        <v>111</v>
      </c>
    </row>
    <row r="1693" spans="1:107">
      <c r="A1693">
        <v>1844</v>
      </c>
      <c r="B1693" t="s">
        <v>107</v>
      </c>
      <c r="C1693" t="s">
        <v>119</v>
      </c>
      <c r="D1693" t="s">
        <v>4692</v>
      </c>
      <c r="E1693" t="s">
        <v>4693</v>
      </c>
      <c r="F1693" t="s">
        <v>2211</v>
      </c>
      <c r="G1693" t="s">
        <v>24</v>
      </c>
      <c r="H1693">
        <v>1.8</v>
      </c>
      <c r="I1693">
        <v>45</v>
      </c>
      <c r="J1693">
        <v>0</v>
      </c>
      <c r="K1693">
        <v>0</v>
      </c>
      <c r="L1693" t="s">
        <v>117</v>
      </c>
      <c r="M1693" t="s">
        <v>118</v>
      </c>
      <c r="N1693">
        <v>40</v>
      </c>
      <c r="O1693">
        <v>1</v>
      </c>
      <c r="P1693" t="s">
        <v>111</v>
      </c>
      <c r="Q1693">
        <v>37.5</v>
      </c>
      <c r="R1693">
        <v>0</v>
      </c>
      <c r="S1693">
        <v>0</v>
      </c>
      <c r="T1693">
        <v>0</v>
      </c>
      <c r="U1693" s="1" t="s">
        <v>4694</v>
      </c>
      <c r="V1693">
        <v>0</v>
      </c>
      <c r="W1693">
        <v>0</v>
      </c>
      <c r="X1693">
        <v>0</v>
      </c>
      <c r="Y1693">
        <v>250</v>
      </c>
      <c r="Z1693" t="s">
        <v>111</v>
      </c>
      <c r="AA1693">
        <v>0</v>
      </c>
      <c r="AB1693" t="s">
        <v>111</v>
      </c>
      <c r="AC1693">
        <v>0</v>
      </c>
      <c r="AD1693" t="s">
        <v>111</v>
      </c>
      <c r="AE1693">
        <v>0</v>
      </c>
      <c r="AF1693">
        <v>0</v>
      </c>
      <c r="AG1693" t="s">
        <v>111</v>
      </c>
      <c r="AH1693" t="s">
        <v>111</v>
      </c>
      <c r="AI1693" t="s">
        <v>111</v>
      </c>
      <c r="AJ1693" t="s">
        <v>111</v>
      </c>
      <c r="AK1693" t="s">
        <v>111</v>
      </c>
      <c r="AL1693" t="s">
        <v>111</v>
      </c>
      <c r="AM1693">
        <v>0</v>
      </c>
      <c r="AN1693">
        <v>0</v>
      </c>
      <c r="AO1693">
        <v>0</v>
      </c>
      <c r="AP1693" t="s">
        <v>111</v>
      </c>
      <c r="AQ1693" t="s">
        <v>111</v>
      </c>
      <c r="AR1693" t="s">
        <v>111</v>
      </c>
      <c r="AS1693" t="s">
        <v>111</v>
      </c>
      <c r="AT1693" t="s">
        <v>111</v>
      </c>
      <c r="AU1693" t="s">
        <v>111</v>
      </c>
      <c r="AV1693" t="s">
        <v>111</v>
      </c>
      <c r="AW1693" t="s">
        <v>111</v>
      </c>
      <c r="AX1693" t="s">
        <v>111</v>
      </c>
      <c r="AY1693" t="s">
        <v>111</v>
      </c>
      <c r="AZ1693" t="s">
        <v>111</v>
      </c>
      <c r="BA1693" t="s">
        <v>111</v>
      </c>
      <c r="BB1693" t="s">
        <v>111</v>
      </c>
      <c r="BC1693" t="s">
        <v>111</v>
      </c>
      <c r="BD1693" t="s">
        <v>111</v>
      </c>
      <c r="BE1693" t="s">
        <v>111</v>
      </c>
      <c r="BF1693" t="s">
        <v>111</v>
      </c>
      <c r="BG1693" t="s">
        <v>111</v>
      </c>
      <c r="BH1693" t="s">
        <v>111</v>
      </c>
      <c r="BI1693" t="s">
        <v>111</v>
      </c>
      <c r="BJ1693" t="s">
        <v>111</v>
      </c>
      <c r="BK1693" t="s">
        <v>111</v>
      </c>
      <c r="BL1693" t="s">
        <v>111</v>
      </c>
      <c r="BM1693" t="s">
        <v>111</v>
      </c>
      <c r="BN1693" t="s">
        <v>111</v>
      </c>
      <c r="BO1693" t="s">
        <v>111</v>
      </c>
      <c r="BP1693" t="s">
        <v>111</v>
      </c>
      <c r="BQ1693" t="s">
        <v>111</v>
      </c>
      <c r="BR1693" t="s">
        <v>111</v>
      </c>
      <c r="BS1693" t="s">
        <v>111</v>
      </c>
      <c r="BT1693" t="s">
        <v>111</v>
      </c>
      <c r="BU1693" t="s">
        <v>111</v>
      </c>
      <c r="BV1693" t="s">
        <v>111</v>
      </c>
      <c r="BW1693" t="s">
        <v>111</v>
      </c>
      <c r="BX1693" t="s">
        <v>111</v>
      </c>
      <c r="BY1693" t="s">
        <v>111</v>
      </c>
      <c r="BZ1693" t="s">
        <v>111</v>
      </c>
      <c r="CA1693" t="s">
        <v>111</v>
      </c>
      <c r="CB1693" t="s">
        <v>111</v>
      </c>
      <c r="CC1693" t="s">
        <v>111</v>
      </c>
      <c r="CD1693" t="s">
        <v>111</v>
      </c>
      <c r="CE1693" t="s">
        <v>111</v>
      </c>
      <c r="CF1693" t="s">
        <v>111</v>
      </c>
      <c r="CG1693" t="s">
        <v>111</v>
      </c>
      <c r="CH1693" t="s">
        <v>111</v>
      </c>
      <c r="CI1693" t="s">
        <v>111</v>
      </c>
      <c r="CJ1693" t="s">
        <v>111</v>
      </c>
      <c r="CK1693" t="s">
        <v>111</v>
      </c>
      <c r="CL1693" t="s">
        <v>111</v>
      </c>
      <c r="CM1693" t="s">
        <v>111</v>
      </c>
      <c r="CN1693" t="s">
        <v>111</v>
      </c>
      <c r="CO1693" t="s">
        <v>111</v>
      </c>
      <c r="CP1693" t="s">
        <v>111</v>
      </c>
      <c r="CQ1693">
        <v>0</v>
      </c>
      <c r="CR1693">
        <v>0</v>
      </c>
      <c r="CS1693">
        <v>0</v>
      </c>
      <c r="CT1693" t="s">
        <v>111</v>
      </c>
      <c r="CU1693">
        <v>0</v>
      </c>
      <c r="CV1693" t="s">
        <v>111</v>
      </c>
      <c r="CX1693" t="s">
        <v>111</v>
      </c>
      <c r="CY1693">
        <v>0</v>
      </c>
      <c r="CZ1693" t="s">
        <v>111</v>
      </c>
      <c r="DA1693" t="s">
        <v>111</v>
      </c>
      <c r="DB1693" t="s">
        <v>111</v>
      </c>
      <c r="DC1693" t="s">
        <v>111</v>
      </c>
    </row>
    <row r="1694" spans="1:107">
      <c r="A1694">
        <v>1859</v>
      </c>
      <c r="B1694" t="s">
        <v>107</v>
      </c>
      <c r="C1694" t="s">
        <v>154</v>
      </c>
      <c r="D1694" t="s">
        <v>4695</v>
      </c>
      <c r="E1694" t="s">
        <v>4696</v>
      </c>
      <c r="F1694" t="s">
        <v>1071</v>
      </c>
      <c r="G1694" t="s">
        <v>24</v>
      </c>
      <c r="H1694">
        <v>1.9</v>
      </c>
      <c r="I1694">
        <v>20</v>
      </c>
      <c r="J1694">
        <v>0</v>
      </c>
      <c r="K1694">
        <v>0</v>
      </c>
      <c r="L1694" t="s">
        <v>178</v>
      </c>
      <c r="M1694" t="s">
        <v>111</v>
      </c>
      <c r="N1694">
        <v>0</v>
      </c>
      <c r="O1694">
        <v>0</v>
      </c>
      <c r="P1694" t="s">
        <v>111</v>
      </c>
      <c r="Q1694">
        <v>18.100000000000001</v>
      </c>
      <c r="R1694">
        <v>0</v>
      </c>
      <c r="S1694">
        <v>0</v>
      </c>
      <c r="T1694">
        <v>5</v>
      </c>
      <c r="U1694" t="e">
        <f>-SELLADO</f>
        <v>#NAME?</v>
      </c>
      <c r="V1694">
        <v>0</v>
      </c>
      <c r="W1694">
        <v>0</v>
      </c>
      <c r="X1694">
        <v>0</v>
      </c>
      <c r="Y1694">
        <v>25</v>
      </c>
      <c r="Z1694" t="s">
        <v>111</v>
      </c>
      <c r="AA1694">
        <v>0</v>
      </c>
      <c r="AB1694" t="s">
        <v>111</v>
      </c>
      <c r="AC1694">
        <v>0</v>
      </c>
      <c r="AD1694" t="s">
        <v>111</v>
      </c>
      <c r="AE1694">
        <v>0</v>
      </c>
      <c r="AF1694">
        <v>0</v>
      </c>
      <c r="AG1694" t="s">
        <v>111</v>
      </c>
      <c r="AH1694" t="s">
        <v>111</v>
      </c>
      <c r="AI1694" t="s">
        <v>111</v>
      </c>
      <c r="AJ1694" t="s">
        <v>111</v>
      </c>
      <c r="AK1694" t="s">
        <v>111</v>
      </c>
      <c r="AL1694" t="s">
        <v>111</v>
      </c>
      <c r="AM1694">
        <v>0</v>
      </c>
      <c r="AN1694">
        <v>0</v>
      </c>
      <c r="AO1694">
        <v>0</v>
      </c>
      <c r="AP1694" t="s">
        <v>111</v>
      </c>
      <c r="AQ1694" t="s">
        <v>111</v>
      </c>
      <c r="AR1694" t="s">
        <v>111</v>
      </c>
      <c r="AS1694" t="s">
        <v>111</v>
      </c>
      <c r="AT1694" t="s">
        <v>111</v>
      </c>
      <c r="AU1694" t="s">
        <v>111</v>
      </c>
      <c r="AV1694" t="s">
        <v>111</v>
      </c>
      <c r="AW1694" t="s">
        <v>111</v>
      </c>
      <c r="AX1694" t="s">
        <v>111</v>
      </c>
      <c r="AY1694" t="s">
        <v>111</v>
      </c>
      <c r="AZ1694" t="s">
        <v>111</v>
      </c>
      <c r="BA1694" t="s">
        <v>111</v>
      </c>
      <c r="BB1694" t="s">
        <v>111</v>
      </c>
      <c r="BC1694" t="s">
        <v>111</v>
      </c>
      <c r="BD1694" t="s">
        <v>111</v>
      </c>
      <c r="BE1694" t="s">
        <v>111</v>
      </c>
      <c r="BF1694" t="s">
        <v>111</v>
      </c>
      <c r="BG1694" t="s">
        <v>111</v>
      </c>
      <c r="BH1694" t="s">
        <v>111</v>
      </c>
      <c r="BI1694" t="s">
        <v>111</v>
      </c>
      <c r="BJ1694" t="s">
        <v>111</v>
      </c>
      <c r="BK1694" t="s">
        <v>111</v>
      </c>
      <c r="BL1694" t="s">
        <v>111</v>
      </c>
      <c r="BM1694" t="s">
        <v>111</v>
      </c>
      <c r="BN1694" t="s">
        <v>111</v>
      </c>
      <c r="BO1694" t="s">
        <v>111</v>
      </c>
      <c r="BP1694" t="s">
        <v>111</v>
      </c>
      <c r="BQ1694" t="s">
        <v>111</v>
      </c>
      <c r="BR1694" t="s">
        <v>111</v>
      </c>
      <c r="BS1694" t="s">
        <v>111</v>
      </c>
      <c r="BT1694" t="s">
        <v>111</v>
      </c>
      <c r="BU1694" t="s">
        <v>111</v>
      </c>
      <c r="BV1694" t="s">
        <v>111</v>
      </c>
      <c r="BW1694" t="s">
        <v>111</v>
      </c>
      <c r="BX1694" t="s">
        <v>111</v>
      </c>
      <c r="BY1694" t="s">
        <v>111</v>
      </c>
      <c r="BZ1694" t="s">
        <v>111</v>
      </c>
      <c r="CA1694" t="s">
        <v>111</v>
      </c>
      <c r="CB1694" t="s">
        <v>111</v>
      </c>
      <c r="CC1694" t="s">
        <v>111</v>
      </c>
      <c r="CD1694" t="s">
        <v>111</v>
      </c>
      <c r="CE1694" t="s">
        <v>111</v>
      </c>
      <c r="CF1694" t="s">
        <v>111</v>
      </c>
      <c r="CG1694" t="s">
        <v>111</v>
      </c>
      <c r="CH1694" t="s">
        <v>111</v>
      </c>
      <c r="CI1694" t="s">
        <v>111</v>
      </c>
      <c r="CJ1694" t="s">
        <v>111</v>
      </c>
      <c r="CK1694" t="s">
        <v>111</v>
      </c>
      <c r="CL1694" t="s">
        <v>111</v>
      </c>
      <c r="CM1694">
        <v>450</v>
      </c>
      <c r="CN1694" t="s">
        <v>113</v>
      </c>
      <c r="CO1694" t="s">
        <v>111</v>
      </c>
      <c r="CP1694" t="s">
        <v>111</v>
      </c>
      <c r="CQ1694">
        <v>0</v>
      </c>
      <c r="CR1694">
        <v>15000</v>
      </c>
      <c r="CS1694">
        <v>200</v>
      </c>
      <c r="CT1694" t="e">
        <f>-ALMACEN</f>
        <v>#NAME?</v>
      </c>
      <c r="CU1694">
        <v>0</v>
      </c>
      <c r="CV1694" t="s">
        <v>111</v>
      </c>
      <c r="CX1694" t="s">
        <v>111</v>
      </c>
      <c r="CY1694">
        <v>0</v>
      </c>
      <c r="CZ1694" t="s">
        <v>111</v>
      </c>
      <c r="DA1694" t="s">
        <v>111</v>
      </c>
      <c r="DB1694" t="s">
        <v>111</v>
      </c>
      <c r="DC1694" t="s">
        <v>111</v>
      </c>
    </row>
    <row r="1695" spans="1:107">
      <c r="A1695">
        <v>1840</v>
      </c>
      <c r="B1695" t="s">
        <v>107</v>
      </c>
      <c r="C1695" t="s">
        <v>2386</v>
      </c>
      <c r="D1695" t="s">
        <v>2387</v>
      </c>
      <c r="E1695" t="s">
        <v>4697</v>
      </c>
      <c r="F1695" t="s">
        <v>1651</v>
      </c>
      <c r="G1695" t="s">
        <v>24</v>
      </c>
      <c r="H1695">
        <v>1.9</v>
      </c>
      <c r="I1695">
        <v>35</v>
      </c>
      <c r="J1695">
        <v>0</v>
      </c>
      <c r="K1695">
        <v>0</v>
      </c>
      <c r="L1695" t="s">
        <v>112</v>
      </c>
      <c r="M1695" t="s">
        <v>118</v>
      </c>
      <c r="N1695">
        <v>39</v>
      </c>
      <c r="O1695">
        <v>2</v>
      </c>
      <c r="P1695" t="s">
        <v>111</v>
      </c>
      <c r="Q1695">
        <v>24.1</v>
      </c>
      <c r="R1695">
        <v>0</v>
      </c>
      <c r="S1695">
        <v>0</v>
      </c>
      <c r="T1695">
        <v>5</v>
      </c>
      <c r="U1695" s="1" t="s">
        <v>662</v>
      </c>
      <c r="V1695">
        <v>0</v>
      </c>
      <c r="W1695">
        <v>0</v>
      </c>
      <c r="X1695">
        <v>0</v>
      </c>
      <c r="Y1695">
        <v>25</v>
      </c>
      <c r="Z1695" t="s">
        <v>111</v>
      </c>
      <c r="AA1695">
        <v>0</v>
      </c>
      <c r="AB1695" t="s">
        <v>111</v>
      </c>
      <c r="AC1695">
        <v>0</v>
      </c>
      <c r="AD1695" t="s">
        <v>416</v>
      </c>
      <c r="AE1695">
        <v>0</v>
      </c>
      <c r="AF1695">
        <v>0</v>
      </c>
      <c r="AG1695" t="s">
        <v>111</v>
      </c>
      <c r="AH1695" t="s">
        <v>113</v>
      </c>
      <c r="AI1695" t="s">
        <v>111</v>
      </c>
      <c r="AJ1695" t="s">
        <v>111</v>
      </c>
      <c r="AK1695" t="s">
        <v>111</v>
      </c>
      <c r="AL1695" t="s">
        <v>111</v>
      </c>
      <c r="AM1695">
        <v>0</v>
      </c>
      <c r="AN1695">
        <v>0</v>
      </c>
      <c r="AO1695">
        <v>0</v>
      </c>
      <c r="AP1695" t="s">
        <v>111</v>
      </c>
      <c r="AQ1695" t="s">
        <v>111</v>
      </c>
      <c r="AR1695" t="s">
        <v>111</v>
      </c>
      <c r="AS1695" t="s">
        <v>111</v>
      </c>
      <c r="AT1695" t="s">
        <v>111</v>
      </c>
      <c r="AU1695" t="s">
        <v>111</v>
      </c>
      <c r="AV1695" t="s">
        <v>111</v>
      </c>
      <c r="AW1695" t="s">
        <v>111</v>
      </c>
      <c r="AX1695" t="s">
        <v>111</v>
      </c>
      <c r="AY1695" t="s">
        <v>111</v>
      </c>
      <c r="AZ1695" t="s">
        <v>111</v>
      </c>
      <c r="BA1695" t="s">
        <v>111</v>
      </c>
      <c r="BB1695" t="s">
        <v>111</v>
      </c>
      <c r="BC1695" t="s">
        <v>111</v>
      </c>
      <c r="BD1695" t="s">
        <v>111</v>
      </c>
      <c r="BE1695" t="s">
        <v>111</v>
      </c>
      <c r="BF1695" t="s">
        <v>111</v>
      </c>
      <c r="BG1695" t="s">
        <v>111</v>
      </c>
      <c r="BH1695" t="s">
        <v>111</v>
      </c>
      <c r="BI1695" t="s">
        <v>111</v>
      </c>
      <c r="BJ1695" t="s">
        <v>111</v>
      </c>
      <c r="BK1695" t="s">
        <v>111</v>
      </c>
      <c r="BL1695" t="s">
        <v>111</v>
      </c>
      <c r="BM1695" t="s">
        <v>111</v>
      </c>
      <c r="BN1695" t="s">
        <v>111</v>
      </c>
      <c r="BO1695" t="s">
        <v>111</v>
      </c>
      <c r="BP1695" t="s">
        <v>111</v>
      </c>
      <c r="BQ1695" t="s">
        <v>111</v>
      </c>
      <c r="BR1695" t="s">
        <v>111</v>
      </c>
      <c r="BS1695" t="s">
        <v>111</v>
      </c>
      <c r="BT1695" t="s">
        <v>111</v>
      </c>
      <c r="BU1695" t="s">
        <v>111</v>
      </c>
      <c r="BV1695" t="s">
        <v>111</v>
      </c>
      <c r="BW1695" t="s">
        <v>111</v>
      </c>
      <c r="BX1695" t="s">
        <v>111</v>
      </c>
      <c r="BY1695" t="s">
        <v>111</v>
      </c>
      <c r="BZ1695" t="s">
        <v>111</v>
      </c>
      <c r="CA1695" t="s">
        <v>111</v>
      </c>
      <c r="CB1695" t="s">
        <v>111</v>
      </c>
      <c r="CC1695" t="s">
        <v>111</v>
      </c>
      <c r="CD1695" t="s">
        <v>111</v>
      </c>
      <c r="CE1695" t="s">
        <v>111</v>
      </c>
      <c r="CF1695" t="s">
        <v>111</v>
      </c>
      <c r="CG1695" t="s">
        <v>111</v>
      </c>
      <c r="CH1695" t="s">
        <v>111</v>
      </c>
      <c r="CI1695" t="s">
        <v>111</v>
      </c>
      <c r="CJ1695" t="s">
        <v>111</v>
      </c>
      <c r="CK1695" t="s">
        <v>111</v>
      </c>
      <c r="CL1695" t="s">
        <v>111</v>
      </c>
      <c r="CM1695" t="s">
        <v>135</v>
      </c>
      <c r="CN1695" t="s">
        <v>113</v>
      </c>
      <c r="CO1695" t="s">
        <v>2070</v>
      </c>
      <c r="CP1695" t="s">
        <v>111</v>
      </c>
      <c r="CQ1695">
        <v>0</v>
      </c>
      <c r="CR1695">
        <v>5000</v>
      </c>
      <c r="CS1695">
        <v>200</v>
      </c>
      <c r="CT1695" t="e">
        <f>-ALMACEN</f>
        <v>#NAME?</v>
      </c>
      <c r="CU1695">
        <v>0</v>
      </c>
      <c r="CV1695" t="s">
        <v>111</v>
      </c>
      <c r="CX1695" t="s">
        <v>111</v>
      </c>
      <c r="CY1695">
        <v>0</v>
      </c>
      <c r="CZ1695" t="s">
        <v>111</v>
      </c>
      <c r="DA1695" t="s">
        <v>111</v>
      </c>
      <c r="DB1695" t="s">
        <v>111</v>
      </c>
      <c r="DC1695" t="s">
        <v>111</v>
      </c>
    </row>
    <row r="1696" spans="1:107">
      <c r="A1696">
        <v>1839</v>
      </c>
      <c r="B1696" t="s">
        <v>107</v>
      </c>
      <c r="C1696" t="s">
        <v>2386</v>
      </c>
      <c r="D1696" t="s">
        <v>2387</v>
      </c>
      <c r="E1696" t="s">
        <v>4698</v>
      </c>
      <c r="F1696" t="s">
        <v>1651</v>
      </c>
      <c r="G1696" t="s">
        <v>24</v>
      </c>
      <c r="H1696">
        <v>1.9</v>
      </c>
      <c r="I1696">
        <v>35</v>
      </c>
      <c r="J1696">
        <v>0</v>
      </c>
      <c r="K1696">
        <v>0</v>
      </c>
      <c r="L1696" t="s">
        <v>112</v>
      </c>
      <c r="M1696" t="s">
        <v>118</v>
      </c>
      <c r="N1696">
        <v>39</v>
      </c>
      <c r="O1696">
        <v>2</v>
      </c>
      <c r="P1696" t="s">
        <v>111</v>
      </c>
      <c r="Q1696">
        <v>41.4</v>
      </c>
      <c r="R1696">
        <v>0</v>
      </c>
      <c r="S1696">
        <v>0</v>
      </c>
      <c r="T1696">
        <v>5</v>
      </c>
      <c r="U1696" t="e">
        <f>-IMPRESIONDARMA</f>
        <v>#NAME?</v>
      </c>
      <c r="V1696">
        <v>0</v>
      </c>
      <c r="W1696">
        <v>0</v>
      </c>
      <c r="X1696">
        <v>0</v>
      </c>
      <c r="Y1696">
        <v>25</v>
      </c>
      <c r="Z1696" t="s">
        <v>111</v>
      </c>
      <c r="AA1696">
        <v>0</v>
      </c>
      <c r="AB1696" t="s">
        <v>111</v>
      </c>
      <c r="AC1696">
        <v>0</v>
      </c>
      <c r="AD1696" t="s">
        <v>416</v>
      </c>
      <c r="AE1696">
        <v>0</v>
      </c>
      <c r="AF1696">
        <v>0</v>
      </c>
      <c r="AG1696" t="s">
        <v>111</v>
      </c>
      <c r="AH1696" t="s">
        <v>113</v>
      </c>
      <c r="AI1696" t="s">
        <v>111</v>
      </c>
      <c r="AJ1696" t="s">
        <v>111</v>
      </c>
      <c r="AK1696" t="s">
        <v>111</v>
      </c>
      <c r="AL1696" t="s">
        <v>111</v>
      </c>
      <c r="AM1696">
        <v>0</v>
      </c>
      <c r="AN1696">
        <v>0</v>
      </c>
      <c r="AO1696">
        <v>0</v>
      </c>
      <c r="AP1696" t="s">
        <v>111</v>
      </c>
      <c r="AQ1696" t="s">
        <v>111</v>
      </c>
      <c r="AR1696" t="s">
        <v>111</v>
      </c>
      <c r="AS1696" t="s">
        <v>111</v>
      </c>
      <c r="AT1696" t="s">
        <v>111</v>
      </c>
      <c r="AU1696" t="s">
        <v>111</v>
      </c>
      <c r="AV1696" t="s">
        <v>111</v>
      </c>
      <c r="AW1696" t="s">
        <v>111</v>
      </c>
      <c r="AX1696" t="s">
        <v>111</v>
      </c>
      <c r="AY1696" t="s">
        <v>111</v>
      </c>
      <c r="AZ1696" t="s">
        <v>111</v>
      </c>
      <c r="BA1696" t="s">
        <v>111</v>
      </c>
      <c r="BB1696" t="s">
        <v>111</v>
      </c>
      <c r="BC1696" t="s">
        <v>111</v>
      </c>
      <c r="BD1696" t="s">
        <v>111</v>
      </c>
      <c r="BE1696" t="s">
        <v>111</v>
      </c>
      <c r="BF1696" t="s">
        <v>111</v>
      </c>
      <c r="BG1696" t="s">
        <v>111</v>
      </c>
      <c r="BH1696" t="s">
        <v>111</v>
      </c>
      <c r="BI1696" t="s">
        <v>111</v>
      </c>
      <c r="BJ1696" t="s">
        <v>111</v>
      </c>
      <c r="BK1696" t="s">
        <v>111</v>
      </c>
      <c r="BL1696" t="s">
        <v>111</v>
      </c>
      <c r="BM1696" t="s">
        <v>111</v>
      </c>
      <c r="BN1696" t="s">
        <v>111</v>
      </c>
      <c r="BO1696" t="s">
        <v>111</v>
      </c>
      <c r="BP1696" t="s">
        <v>111</v>
      </c>
      <c r="BQ1696" t="s">
        <v>111</v>
      </c>
      <c r="BR1696" t="s">
        <v>111</v>
      </c>
      <c r="BS1696" t="s">
        <v>111</v>
      </c>
      <c r="BT1696" t="s">
        <v>111</v>
      </c>
      <c r="BU1696" t="s">
        <v>111</v>
      </c>
      <c r="BV1696" t="s">
        <v>111</v>
      </c>
      <c r="BW1696" t="s">
        <v>111</v>
      </c>
      <c r="BX1696" t="s">
        <v>111</v>
      </c>
      <c r="BY1696" t="s">
        <v>111</v>
      </c>
      <c r="BZ1696" t="s">
        <v>111</v>
      </c>
      <c r="CA1696" t="s">
        <v>111</v>
      </c>
      <c r="CB1696" t="s">
        <v>111</v>
      </c>
      <c r="CC1696" t="s">
        <v>111</v>
      </c>
      <c r="CD1696" t="s">
        <v>111</v>
      </c>
      <c r="CE1696" t="s">
        <v>111</v>
      </c>
      <c r="CF1696" t="s">
        <v>111</v>
      </c>
      <c r="CG1696" t="s">
        <v>111</v>
      </c>
      <c r="CH1696" t="s">
        <v>111</v>
      </c>
      <c r="CI1696" t="s">
        <v>111</v>
      </c>
      <c r="CJ1696" t="s">
        <v>111</v>
      </c>
      <c r="CK1696" t="s">
        <v>111</v>
      </c>
      <c r="CL1696" t="s">
        <v>111</v>
      </c>
      <c r="CM1696" t="s">
        <v>135</v>
      </c>
      <c r="CN1696" t="s">
        <v>113</v>
      </c>
      <c r="CO1696" t="s">
        <v>2070</v>
      </c>
      <c r="CP1696" t="s">
        <v>111</v>
      </c>
      <c r="CQ1696">
        <v>0</v>
      </c>
      <c r="CR1696">
        <v>5000</v>
      </c>
      <c r="CS1696">
        <v>200</v>
      </c>
      <c r="CT1696" t="e">
        <f>-ALMACEN</f>
        <v>#NAME?</v>
      </c>
      <c r="CU1696">
        <v>0</v>
      </c>
      <c r="CV1696" t="s">
        <v>111</v>
      </c>
      <c r="CX1696" t="s">
        <v>111</v>
      </c>
      <c r="CY1696">
        <v>0</v>
      </c>
      <c r="CZ1696" t="s">
        <v>111</v>
      </c>
      <c r="DA1696" t="s">
        <v>111</v>
      </c>
      <c r="DB1696" t="s">
        <v>111</v>
      </c>
      <c r="DC1696" t="s">
        <v>111</v>
      </c>
    </row>
    <row r="1697" spans="1:107">
      <c r="A1697">
        <v>1838</v>
      </c>
      <c r="B1697" t="s">
        <v>107</v>
      </c>
      <c r="C1697" t="s">
        <v>2386</v>
      </c>
      <c r="D1697" t="s">
        <v>2387</v>
      </c>
      <c r="E1697" t="s">
        <v>4699</v>
      </c>
      <c r="F1697" t="s">
        <v>1651</v>
      </c>
      <c r="G1697" t="s">
        <v>24</v>
      </c>
      <c r="H1697">
        <v>1.9</v>
      </c>
      <c r="I1697">
        <v>35</v>
      </c>
      <c r="J1697">
        <v>0</v>
      </c>
      <c r="K1697">
        <v>0</v>
      </c>
      <c r="L1697" t="s">
        <v>112</v>
      </c>
      <c r="M1697" t="s">
        <v>118</v>
      </c>
      <c r="N1697">
        <v>0</v>
      </c>
      <c r="O1697">
        <v>2</v>
      </c>
      <c r="P1697" t="s">
        <v>111</v>
      </c>
      <c r="Q1697">
        <v>41.6</v>
      </c>
      <c r="R1697">
        <v>0</v>
      </c>
      <c r="S1697">
        <v>0</v>
      </c>
      <c r="T1697">
        <v>5</v>
      </c>
      <c r="U1697" t="e">
        <f>-IMPRESION DARMA</f>
        <v>#NAME?</v>
      </c>
      <c r="V1697">
        <v>0</v>
      </c>
      <c r="W1697">
        <v>0</v>
      </c>
      <c r="X1697">
        <v>0</v>
      </c>
      <c r="Y1697">
        <v>250</v>
      </c>
      <c r="Z1697" t="s">
        <v>111</v>
      </c>
      <c r="AA1697">
        <v>0</v>
      </c>
      <c r="AB1697" t="s">
        <v>111</v>
      </c>
      <c r="AC1697">
        <v>0</v>
      </c>
      <c r="AD1697" t="s">
        <v>416</v>
      </c>
      <c r="AE1697">
        <v>0</v>
      </c>
      <c r="AF1697">
        <v>0</v>
      </c>
      <c r="AG1697" t="s">
        <v>111</v>
      </c>
      <c r="AH1697" t="s">
        <v>113</v>
      </c>
      <c r="AI1697" t="s">
        <v>111</v>
      </c>
      <c r="AJ1697" t="s">
        <v>111</v>
      </c>
      <c r="AK1697" t="s">
        <v>111</v>
      </c>
      <c r="AL1697" t="s">
        <v>111</v>
      </c>
      <c r="AM1697">
        <v>0</v>
      </c>
      <c r="AN1697">
        <v>0</v>
      </c>
      <c r="AO1697">
        <v>0</v>
      </c>
      <c r="AP1697" t="s">
        <v>111</v>
      </c>
      <c r="AQ1697" t="s">
        <v>111</v>
      </c>
      <c r="AR1697" t="s">
        <v>111</v>
      </c>
      <c r="AS1697" t="s">
        <v>111</v>
      </c>
      <c r="AT1697" t="s">
        <v>111</v>
      </c>
      <c r="AU1697" t="s">
        <v>111</v>
      </c>
      <c r="AV1697" t="s">
        <v>111</v>
      </c>
      <c r="AW1697" t="s">
        <v>111</v>
      </c>
      <c r="AX1697" t="s">
        <v>111</v>
      </c>
      <c r="AY1697" t="s">
        <v>111</v>
      </c>
      <c r="AZ1697" t="s">
        <v>111</v>
      </c>
      <c r="BA1697" t="s">
        <v>111</v>
      </c>
      <c r="BB1697" t="s">
        <v>111</v>
      </c>
      <c r="BC1697" t="s">
        <v>111</v>
      </c>
      <c r="BD1697" t="s">
        <v>111</v>
      </c>
      <c r="BE1697" t="s">
        <v>111</v>
      </c>
      <c r="BF1697" t="s">
        <v>111</v>
      </c>
      <c r="BG1697" t="s">
        <v>111</v>
      </c>
      <c r="BH1697" t="s">
        <v>111</v>
      </c>
      <c r="BI1697" t="s">
        <v>111</v>
      </c>
      <c r="BJ1697" t="s">
        <v>111</v>
      </c>
      <c r="BK1697" t="s">
        <v>111</v>
      </c>
      <c r="BL1697" t="s">
        <v>111</v>
      </c>
      <c r="BM1697" t="s">
        <v>111</v>
      </c>
      <c r="BN1697" t="s">
        <v>111</v>
      </c>
      <c r="BO1697" t="s">
        <v>111</v>
      </c>
      <c r="BP1697" t="s">
        <v>111</v>
      </c>
      <c r="BQ1697" t="s">
        <v>111</v>
      </c>
      <c r="BR1697" t="s">
        <v>111</v>
      </c>
      <c r="BS1697" t="s">
        <v>111</v>
      </c>
      <c r="BT1697" t="s">
        <v>111</v>
      </c>
      <c r="BU1697" t="s">
        <v>111</v>
      </c>
      <c r="BV1697" t="s">
        <v>111</v>
      </c>
      <c r="BW1697" t="s">
        <v>111</v>
      </c>
      <c r="BX1697" t="s">
        <v>111</v>
      </c>
      <c r="BY1697" t="s">
        <v>111</v>
      </c>
      <c r="BZ1697" t="s">
        <v>111</v>
      </c>
      <c r="CA1697" t="s">
        <v>111</v>
      </c>
      <c r="CB1697" t="s">
        <v>111</v>
      </c>
      <c r="CC1697" t="s">
        <v>111</v>
      </c>
      <c r="CD1697" t="s">
        <v>111</v>
      </c>
      <c r="CE1697" t="s">
        <v>111</v>
      </c>
      <c r="CF1697" t="s">
        <v>111</v>
      </c>
      <c r="CG1697" t="s">
        <v>111</v>
      </c>
      <c r="CH1697" t="s">
        <v>111</v>
      </c>
      <c r="CI1697" t="s">
        <v>111</v>
      </c>
      <c r="CJ1697" t="s">
        <v>111</v>
      </c>
      <c r="CK1697" t="s">
        <v>111</v>
      </c>
      <c r="CL1697" t="s">
        <v>111</v>
      </c>
      <c r="CM1697" t="s">
        <v>135</v>
      </c>
      <c r="CN1697" t="s">
        <v>113</v>
      </c>
      <c r="CO1697" t="s">
        <v>2070</v>
      </c>
      <c r="CP1697" t="s">
        <v>111</v>
      </c>
      <c r="CQ1697">
        <v>0</v>
      </c>
      <c r="CR1697">
        <v>5000</v>
      </c>
      <c r="CS1697">
        <v>200</v>
      </c>
      <c r="CT1697" t="e">
        <f>-ALAMCEN</f>
        <v>#NAME?</v>
      </c>
      <c r="CU1697">
        <v>0</v>
      </c>
      <c r="CV1697" t="s">
        <v>111</v>
      </c>
      <c r="CX1697" t="s">
        <v>111</v>
      </c>
      <c r="CY1697">
        <v>0</v>
      </c>
      <c r="CZ1697" t="s">
        <v>111</v>
      </c>
      <c r="DA1697" t="s">
        <v>111</v>
      </c>
      <c r="DB1697" t="s">
        <v>111</v>
      </c>
      <c r="DC1697" t="s">
        <v>111</v>
      </c>
    </row>
    <row r="1698" spans="1:107">
      <c r="A1698">
        <v>1837</v>
      </c>
      <c r="B1698" t="s">
        <v>107</v>
      </c>
      <c r="C1698" t="s">
        <v>928</v>
      </c>
      <c r="D1698" t="s">
        <v>4478</v>
      </c>
      <c r="E1698" t="s">
        <v>4700</v>
      </c>
      <c r="F1698" t="s">
        <v>1651</v>
      </c>
      <c r="G1698" t="s">
        <v>24</v>
      </c>
      <c r="H1698">
        <v>0.9</v>
      </c>
      <c r="I1698">
        <v>34</v>
      </c>
      <c r="J1698">
        <v>0</v>
      </c>
      <c r="K1698">
        <v>0</v>
      </c>
      <c r="L1698" t="s">
        <v>112</v>
      </c>
      <c r="M1698" t="s">
        <v>118</v>
      </c>
      <c r="N1698">
        <v>40</v>
      </c>
      <c r="O1698">
        <v>1</v>
      </c>
      <c r="P1698" t="s">
        <v>111</v>
      </c>
      <c r="Q1698">
        <v>35</v>
      </c>
      <c r="R1698">
        <v>0</v>
      </c>
      <c r="S1698">
        <v>0</v>
      </c>
      <c r="T1698">
        <v>5</v>
      </c>
      <c r="U1698" t="e">
        <f>-DEMES</f>
        <v>#NAME?</v>
      </c>
      <c r="V1698">
        <v>0</v>
      </c>
      <c r="W1698">
        <v>0</v>
      </c>
      <c r="X1698">
        <v>0</v>
      </c>
      <c r="Y1698">
        <v>25</v>
      </c>
      <c r="Z1698" t="s">
        <v>111</v>
      </c>
      <c r="AA1698">
        <v>0</v>
      </c>
      <c r="AB1698" t="s">
        <v>4055</v>
      </c>
      <c r="AC1698">
        <v>0.3</v>
      </c>
      <c r="AD1698" t="s">
        <v>493</v>
      </c>
      <c r="AE1698">
        <v>0</v>
      </c>
      <c r="AF1698">
        <v>0</v>
      </c>
      <c r="AG1698" t="s">
        <v>111</v>
      </c>
      <c r="AH1698" t="s">
        <v>113</v>
      </c>
      <c r="AI1698" t="s">
        <v>111</v>
      </c>
      <c r="AJ1698" t="s">
        <v>111</v>
      </c>
      <c r="AK1698" t="s">
        <v>111</v>
      </c>
      <c r="AL1698" t="s">
        <v>111</v>
      </c>
      <c r="AM1698">
        <v>0</v>
      </c>
      <c r="AN1698">
        <v>0</v>
      </c>
      <c r="AO1698">
        <v>0</v>
      </c>
      <c r="AP1698" t="s">
        <v>111</v>
      </c>
      <c r="AQ1698" t="s">
        <v>111</v>
      </c>
      <c r="AR1698" t="s">
        <v>111</v>
      </c>
      <c r="AS1698" t="s">
        <v>111</v>
      </c>
      <c r="AT1698" t="s">
        <v>111</v>
      </c>
      <c r="AU1698" t="s">
        <v>111</v>
      </c>
      <c r="AV1698" t="s">
        <v>111</v>
      </c>
      <c r="AW1698" t="s">
        <v>111</v>
      </c>
      <c r="AX1698" t="s">
        <v>111</v>
      </c>
      <c r="AY1698" t="s">
        <v>111</v>
      </c>
      <c r="AZ1698" t="s">
        <v>111</v>
      </c>
      <c r="BA1698" t="s">
        <v>111</v>
      </c>
      <c r="BB1698" t="s">
        <v>111</v>
      </c>
      <c r="BC1698" t="s">
        <v>111</v>
      </c>
      <c r="BD1698" t="s">
        <v>111</v>
      </c>
      <c r="BE1698" t="s">
        <v>111</v>
      </c>
      <c r="BF1698" t="s">
        <v>111</v>
      </c>
      <c r="BG1698" t="s">
        <v>111</v>
      </c>
      <c r="BH1698" t="s">
        <v>111</v>
      </c>
      <c r="BI1698" t="s">
        <v>111</v>
      </c>
      <c r="BJ1698" t="s">
        <v>111</v>
      </c>
      <c r="BK1698" t="s">
        <v>111</v>
      </c>
      <c r="BL1698" t="s">
        <v>111</v>
      </c>
      <c r="BM1698" t="s">
        <v>111</v>
      </c>
      <c r="BN1698" t="s">
        <v>111</v>
      </c>
      <c r="BO1698" t="s">
        <v>111</v>
      </c>
      <c r="BP1698" t="s">
        <v>111</v>
      </c>
      <c r="BQ1698" t="s">
        <v>111</v>
      </c>
      <c r="BR1698" t="s">
        <v>111</v>
      </c>
      <c r="BS1698" t="s">
        <v>111</v>
      </c>
      <c r="BT1698" t="s">
        <v>111</v>
      </c>
      <c r="BU1698" t="s">
        <v>111</v>
      </c>
      <c r="BV1698" t="s">
        <v>111</v>
      </c>
      <c r="BW1698" t="s">
        <v>111</v>
      </c>
      <c r="BX1698" t="s">
        <v>111</v>
      </c>
      <c r="BY1698" t="s">
        <v>111</v>
      </c>
      <c r="BZ1698" t="s">
        <v>111</v>
      </c>
      <c r="CA1698" t="s">
        <v>111</v>
      </c>
      <c r="CB1698" t="s">
        <v>111</v>
      </c>
      <c r="CC1698" t="s">
        <v>111</v>
      </c>
      <c r="CD1698" t="s">
        <v>111</v>
      </c>
      <c r="CE1698" t="s">
        <v>111</v>
      </c>
      <c r="CF1698" t="s">
        <v>111</v>
      </c>
      <c r="CG1698" t="s">
        <v>111</v>
      </c>
      <c r="CH1698" t="s">
        <v>111</v>
      </c>
      <c r="CI1698" t="s">
        <v>111</v>
      </c>
      <c r="CJ1698" t="s">
        <v>111</v>
      </c>
      <c r="CK1698" t="s">
        <v>111</v>
      </c>
      <c r="CL1698" t="s">
        <v>111</v>
      </c>
      <c r="CM1698" t="s">
        <v>438</v>
      </c>
      <c r="CN1698" t="s">
        <v>113</v>
      </c>
      <c r="CO1698" t="s">
        <v>637</v>
      </c>
      <c r="CP1698" t="s">
        <v>111</v>
      </c>
      <c r="CQ1698">
        <v>0</v>
      </c>
      <c r="CR1698">
        <v>5000</v>
      </c>
      <c r="CS1698">
        <v>100</v>
      </c>
      <c r="CT1698" s="1" t="s">
        <v>4701</v>
      </c>
      <c r="CU1698">
        <v>0</v>
      </c>
      <c r="CV1698" t="s">
        <v>111</v>
      </c>
      <c r="CX1698" t="s">
        <v>111</v>
      </c>
      <c r="CY1698">
        <v>0</v>
      </c>
      <c r="CZ1698" t="s">
        <v>111</v>
      </c>
      <c r="DA1698" t="s">
        <v>111</v>
      </c>
      <c r="DB1698" t="s">
        <v>111</v>
      </c>
      <c r="DC1698" t="s">
        <v>111</v>
      </c>
    </row>
    <row r="1699" spans="1:107">
      <c r="A1699">
        <v>1833</v>
      </c>
      <c r="B1699" t="s">
        <v>107</v>
      </c>
      <c r="C1699" t="s">
        <v>1068</v>
      </c>
      <c r="D1699" t="s">
        <v>4702</v>
      </c>
      <c r="E1699" t="s">
        <v>4703</v>
      </c>
      <c r="F1699" t="s">
        <v>1071</v>
      </c>
      <c r="G1699" t="s">
        <v>24</v>
      </c>
      <c r="H1699">
        <v>2.8</v>
      </c>
      <c r="I1699">
        <v>38</v>
      </c>
      <c r="J1699">
        <v>0</v>
      </c>
      <c r="K1699">
        <v>0</v>
      </c>
      <c r="L1699" t="s">
        <v>112</v>
      </c>
      <c r="M1699" t="s">
        <v>111</v>
      </c>
      <c r="N1699">
        <v>0</v>
      </c>
      <c r="O1699">
        <v>0</v>
      </c>
      <c r="P1699" t="s">
        <v>111</v>
      </c>
      <c r="Q1699">
        <v>39.1</v>
      </c>
      <c r="R1699">
        <v>0</v>
      </c>
      <c r="S1699">
        <v>0</v>
      </c>
      <c r="T1699">
        <v>5</v>
      </c>
      <c r="U1699" t="e">
        <f>-SELLADO</f>
        <v>#NAME?</v>
      </c>
      <c r="V1699">
        <v>0</v>
      </c>
      <c r="W1699">
        <v>0</v>
      </c>
      <c r="X1699">
        <v>0</v>
      </c>
      <c r="Y1699">
        <v>250</v>
      </c>
      <c r="Z1699" t="s">
        <v>111</v>
      </c>
      <c r="AA1699">
        <v>0</v>
      </c>
      <c r="AB1699" t="s">
        <v>111</v>
      </c>
      <c r="AC1699">
        <v>0</v>
      </c>
      <c r="AD1699" t="s">
        <v>111</v>
      </c>
      <c r="AE1699">
        <v>0</v>
      </c>
      <c r="AF1699">
        <v>0</v>
      </c>
      <c r="AG1699" t="s">
        <v>111</v>
      </c>
      <c r="AH1699" t="s">
        <v>111</v>
      </c>
      <c r="AI1699" t="s">
        <v>111</v>
      </c>
      <c r="AJ1699" t="s">
        <v>111</v>
      </c>
      <c r="AK1699" t="s">
        <v>111</v>
      </c>
      <c r="AL1699" t="s">
        <v>111</v>
      </c>
      <c r="AM1699">
        <v>0</v>
      </c>
      <c r="AN1699">
        <v>0</v>
      </c>
      <c r="AO1699">
        <v>0</v>
      </c>
      <c r="AP1699" t="s">
        <v>111</v>
      </c>
      <c r="AQ1699" t="s">
        <v>111</v>
      </c>
      <c r="AR1699" t="s">
        <v>111</v>
      </c>
      <c r="AS1699" t="s">
        <v>111</v>
      </c>
      <c r="AT1699" t="s">
        <v>111</v>
      </c>
      <c r="AU1699" t="s">
        <v>111</v>
      </c>
      <c r="AV1699" t="s">
        <v>111</v>
      </c>
      <c r="AW1699" t="s">
        <v>111</v>
      </c>
      <c r="AX1699" t="s">
        <v>111</v>
      </c>
      <c r="AY1699" t="s">
        <v>111</v>
      </c>
      <c r="AZ1699" t="s">
        <v>111</v>
      </c>
      <c r="BA1699" t="s">
        <v>111</v>
      </c>
      <c r="BB1699" t="s">
        <v>111</v>
      </c>
      <c r="BC1699" t="s">
        <v>111</v>
      </c>
      <c r="BD1699" t="s">
        <v>111</v>
      </c>
      <c r="BE1699" t="s">
        <v>111</v>
      </c>
      <c r="BF1699" t="s">
        <v>111</v>
      </c>
      <c r="BG1699" t="s">
        <v>111</v>
      </c>
      <c r="BH1699" t="s">
        <v>111</v>
      </c>
      <c r="BI1699" t="s">
        <v>111</v>
      </c>
      <c r="BJ1699" t="s">
        <v>111</v>
      </c>
      <c r="BK1699" t="s">
        <v>111</v>
      </c>
      <c r="BL1699" t="s">
        <v>111</v>
      </c>
      <c r="BM1699" t="s">
        <v>111</v>
      </c>
      <c r="BN1699" t="s">
        <v>111</v>
      </c>
      <c r="BO1699" t="s">
        <v>111</v>
      </c>
      <c r="BP1699" t="s">
        <v>111</v>
      </c>
      <c r="BQ1699" t="s">
        <v>111</v>
      </c>
      <c r="BR1699" t="s">
        <v>111</v>
      </c>
      <c r="BS1699" t="s">
        <v>111</v>
      </c>
      <c r="BT1699" t="s">
        <v>111</v>
      </c>
      <c r="BU1699" t="s">
        <v>111</v>
      </c>
      <c r="BV1699" t="s">
        <v>111</v>
      </c>
      <c r="BW1699" t="s">
        <v>111</v>
      </c>
      <c r="BX1699" t="s">
        <v>111</v>
      </c>
      <c r="BY1699" t="s">
        <v>111</v>
      </c>
      <c r="BZ1699" t="s">
        <v>111</v>
      </c>
      <c r="CA1699" t="s">
        <v>111</v>
      </c>
      <c r="CB1699" t="s">
        <v>111</v>
      </c>
      <c r="CC1699" t="s">
        <v>111</v>
      </c>
      <c r="CD1699" t="s">
        <v>111</v>
      </c>
      <c r="CE1699" t="s">
        <v>111</v>
      </c>
      <c r="CF1699" t="s">
        <v>111</v>
      </c>
      <c r="CG1699" t="s">
        <v>111</v>
      </c>
      <c r="CH1699" t="s">
        <v>111</v>
      </c>
      <c r="CI1699" t="s">
        <v>111</v>
      </c>
      <c r="CJ1699" t="s">
        <v>111</v>
      </c>
      <c r="CK1699" t="s">
        <v>111</v>
      </c>
      <c r="CL1699" t="s">
        <v>111</v>
      </c>
      <c r="CM1699" t="s">
        <v>135</v>
      </c>
      <c r="CN1699" t="s">
        <v>113</v>
      </c>
      <c r="CO1699" t="e">
        <f>-CINTA DO/FAZ</f>
        <v>#NAME?</v>
      </c>
      <c r="CP1699" t="s">
        <v>111</v>
      </c>
      <c r="CQ1699">
        <v>0</v>
      </c>
      <c r="CR1699">
        <v>2000</v>
      </c>
      <c r="CS1699">
        <v>50</v>
      </c>
      <c r="CT1699" t="e">
        <f>-BIEN EMPACADO PARA TROQUELAR</f>
        <v>#NAME?</v>
      </c>
      <c r="CU1699">
        <v>0</v>
      </c>
      <c r="CV1699" t="s">
        <v>111</v>
      </c>
      <c r="CX1699" t="s">
        <v>111</v>
      </c>
      <c r="CY1699">
        <v>0</v>
      </c>
      <c r="CZ1699" t="s">
        <v>111</v>
      </c>
      <c r="DA1699" t="s">
        <v>111</v>
      </c>
      <c r="DB1699" t="e">
        <f>-INTERNO</f>
        <v>#NAME?</v>
      </c>
      <c r="DC1699" t="e">
        <f>-TROQUEL TIPO SOBRE</f>
        <v>#NAME?</v>
      </c>
    </row>
    <row r="1700" spans="1:107">
      <c r="A1700">
        <v>1831</v>
      </c>
      <c r="B1700" t="s">
        <v>107</v>
      </c>
      <c r="C1700" t="s">
        <v>3783</v>
      </c>
      <c r="D1700" t="s">
        <v>4194</v>
      </c>
      <c r="E1700" t="s">
        <v>4704</v>
      </c>
      <c r="F1700" t="s">
        <v>1260</v>
      </c>
      <c r="G1700" t="s">
        <v>24</v>
      </c>
      <c r="H1700">
        <v>1.9</v>
      </c>
      <c r="I1700">
        <v>40</v>
      </c>
      <c r="J1700">
        <v>0</v>
      </c>
      <c r="K1700">
        <v>0</v>
      </c>
      <c r="L1700" t="s">
        <v>117</v>
      </c>
      <c r="M1700" t="s">
        <v>118</v>
      </c>
      <c r="N1700">
        <v>0</v>
      </c>
      <c r="O1700">
        <v>1</v>
      </c>
      <c r="P1700" t="s">
        <v>111</v>
      </c>
      <c r="Q1700">
        <v>34.9</v>
      </c>
      <c r="R1700">
        <v>0</v>
      </c>
      <c r="S1700">
        <v>0</v>
      </c>
      <c r="T1700">
        <v>5</v>
      </c>
      <c r="U1700" t="e">
        <f>-DARMA</f>
        <v>#NAME?</v>
      </c>
      <c r="V1700">
        <v>0</v>
      </c>
      <c r="W1700">
        <v>0</v>
      </c>
      <c r="X1700">
        <v>0</v>
      </c>
      <c r="Y1700">
        <v>25</v>
      </c>
      <c r="Z1700" t="s">
        <v>111</v>
      </c>
      <c r="AA1700">
        <v>0</v>
      </c>
      <c r="AB1700" t="s">
        <v>111</v>
      </c>
      <c r="AC1700">
        <v>0</v>
      </c>
      <c r="AD1700" t="s">
        <v>416</v>
      </c>
      <c r="AE1700">
        <v>0</v>
      </c>
      <c r="AF1700">
        <v>0</v>
      </c>
      <c r="AG1700" t="s">
        <v>111</v>
      </c>
      <c r="AH1700" t="s">
        <v>113</v>
      </c>
      <c r="AI1700" t="s">
        <v>111</v>
      </c>
      <c r="AJ1700" t="s">
        <v>111</v>
      </c>
      <c r="AK1700" t="s">
        <v>111</v>
      </c>
      <c r="AL1700" t="s">
        <v>111</v>
      </c>
      <c r="AM1700">
        <v>0</v>
      </c>
      <c r="AN1700">
        <v>0</v>
      </c>
      <c r="AO1700">
        <v>0</v>
      </c>
      <c r="AP1700" t="s">
        <v>111</v>
      </c>
      <c r="AQ1700" t="s">
        <v>111</v>
      </c>
      <c r="AR1700" t="s">
        <v>111</v>
      </c>
      <c r="AS1700" t="s">
        <v>111</v>
      </c>
      <c r="AT1700" t="s">
        <v>111</v>
      </c>
      <c r="AU1700" t="s">
        <v>111</v>
      </c>
      <c r="AV1700" t="s">
        <v>111</v>
      </c>
      <c r="AW1700" t="s">
        <v>111</v>
      </c>
      <c r="AX1700" t="s">
        <v>111</v>
      </c>
      <c r="AY1700" t="s">
        <v>111</v>
      </c>
      <c r="AZ1700" t="s">
        <v>111</v>
      </c>
      <c r="BA1700" t="s">
        <v>111</v>
      </c>
      <c r="BB1700" t="s">
        <v>111</v>
      </c>
      <c r="BC1700" t="s">
        <v>111</v>
      </c>
      <c r="BD1700" t="s">
        <v>111</v>
      </c>
      <c r="BE1700" t="s">
        <v>111</v>
      </c>
      <c r="BF1700" t="s">
        <v>111</v>
      </c>
      <c r="BG1700" t="s">
        <v>111</v>
      </c>
      <c r="BH1700" t="s">
        <v>111</v>
      </c>
      <c r="BI1700" t="s">
        <v>111</v>
      </c>
      <c r="BJ1700" t="s">
        <v>111</v>
      </c>
      <c r="BK1700" t="s">
        <v>111</v>
      </c>
      <c r="BL1700" t="s">
        <v>111</v>
      </c>
      <c r="BM1700" t="s">
        <v>111</v>
      </c>
      <c r="BN1700" t="s">
        <v>111</v>
      </c>
      <c r="BO1700" t="s">
        <v>111</v>
      </c>
      <c r="BP1700" t="s">
        <v>111</v>
      </c>
      <c r="BQ1700" t="s">
        <v>111</v>
      </c>
      <c r="BR1700" t="s">
        <v>111</v>
      </c>
      <c r="BS1700" t="s">
        <v>111</v>
      </c>
      <c r="BT1700" t="s">
        <v>111</v>
      </c>
      <c r="BU1700" t="s">
        <v>111</v>
      </c>
      <c r="BV1700" t="s">
        <v>111</v>
      </c>
      <c r="BW1700" t="s">
        <v>111</v>
      </c>
      <c r="BX1700" t="s">
        <v>111</v>
      </c>
      <c r="BY1700" t="s">
        <v>111</v>
      </c>
      <c r="BZ1700" t="s">
        <v>111</v>
      </c>
      <c r="CA1700" t="s">
        <v>111</v>
      </c>
      <c r="CB1700" t="s">
        <v>111</v>
      </c>
      <c r="CC1700" t="s">
        <v>111</v>
      </c>
      <c r="CD1700" t="s">
        <v>111</v>
      </c>
      <c r="CE1700" t="s">
        <v>111</v>
      </c>
      <c r="CF1700" t="s">
        <v>111</v>
      </c>
      <c r="CG1700" t="s">
        <v>111</v>
      </c>
      <c r="CH1700" t="s">
        <v>111</v>
      </c>
      <c r="CI1700" t="s">
        <v>111</v>
      </c>
      <c r="CJ1700" t="s">
        <v>111</v>
      </c>
      <c r="CK1700" t="s">
        <v>111</v>
      </c>
      <c r="CL1700" t="s">
        <v>111</v>
      </c>
      <c r="CM1700" t="s">
        <v>135</v>
      </c>
      <c r="CN1700" t="s">
        <v>113</v>
      </c>
      <c r="CO1700" t="s">
        <v>637</v>
      </c>
      <c r="CP1700" t="s">
        <v>111</v>
      </c>
      <c r="CQ1700">
        <v>0</v>
      </c>
      <c r="CR1700">
        <v>14000</v>
      </c>
      <c r="CS1700">
        <v>14000</v>
      </c>
      <c r="CT1700" t="e">
        <f>-ALMACEN</f>
        <v>#NAME?</v>
      </c>
      <c r="CU1700">
        <v>0</v>
      </c>
      <c r="CV1700" t="s">
        <v>111</v>
      </c>
      <c r="CX1700" t="s">
        <v>111</v>
      </c>
      <c r="CY1700">
        <v>0</v>
      </c>
      <c r="CZ1700" t="s">
        <v>111</v>
      </c>
      <c r="DA1700" t="s">
        <v>111</v>
      </c>
      <c r="DB1700" t="s">
        <v>111</v>
      </c>
      <c r="DC1700" t="s">
        <v>111</v>
      </c>
    </row>
    <row r="1701" spans="1:107">
      <c r="A1701">
        <v>1830</v>
      </c>
      <c r="B1701" t="s">
        <v>107</v>
      </c>
      <c r="C1701" t="s">
        <v>1643</v>
      </c>
      <c r="D1701" t="s">
        <v>4705</v>
      </c>
      <c r="E1701" t="s">
        <v>4706</v>
      </c>
      <c r="F1701" t="s">
        <v>2211</v>
      </c>
      <c r="G1701" t="s">
        <v>24</v>
      </c>
      <c r="H1701">
        <v>4</v>
      </c>
      <c r="I1701">
        <v>50</v>
      </c>
      <c r="J1701">
        <v>0</v>
      </c>
      <c r="K1701">
        <v>0</v>
      </c>
      <c r="L1701" t="s">
        <v>117</v>
      </c>
      <c r="M1701" t="s">
        <v>111</v>
      </c>
      <c r="N1701">
        <v>0</v>
      </c>
      <c r="O1701">
        <v>0</v>
      </c>
      <c r="P1701" t="s">
        <v>111</v>
      </c>
      <c r="Q1701">
        <v>50</v>
      </c>
      <c r="R1701">
        <v>0</v>
      </c>
      <c r="S1701">
        <v>0</v>
      </c>
      <c r="T1701">
        <v>0</v>
      </c>
      <c r="U1701" t="e">
        <f>-REFILADO</f>
        <v>#NAME?</v>
      </c>
      <c r="V1701">
        <v>0</v>
      </c>
      <c r="W1701">
        <v>0</v>
      </c>
      <c r="X1701">
        <v>0</v>
      </c>
      <c r="Y1701">
        <v>25</v>
      </c>
      <c r="Z1701" t="s">
        <v>111</v>
      </c>
      <c r="AA1701">
        <v>0</v>
      </c>
      <c r="AB1701" t="s">
        <v>111</v>
      </c>
      <c r="AC1701">
        <v>0</v>
      </c>
      <c r="AD1701" t="s">
        <v>111</v>
      </c>
      <c r="AE1701">
        <v>0</v>
      </c>
      <c r="AF1701">
        <v>0</v>
      </c>
      <c r="AG1701" t="s">
        <v>111</v>
      </c>
      <c r="AH1701" t="s">
        <v>111</v>
      </c>
      <c r="AI1701" t="s">
        <v>111</v>
      </c>
      <c r="AJ1701" t="s">
        <v>111</v>
      </c>
      <c r="AK1701" t="s">
        <v>111</v>
      </c>
      <c r="AL1701" t="s">
        <v>111</v>
      </c>
      <c r="AM1701">
        <v>0</v>
      </c>
      <c r="AN1701">
        <v>0</v>
      </c>
      <c r="AO1701">
        <v>0</v>
      </c>
      <c r="AP1701" t="s">
        <v>111</v>
      </c>
      <c r="AQ1701" t="s">
        <v>111</v>
      </c>
      <c r="AR1701" t="s">
        <v>111</v>
      </c>
      <c r="AS1701" t="s">
        <v>111</v>
      </c>
      <c r="AT1701" t="s">
        <v>111</v>
      </c>
      <c r="AU1701" t="s">
        <v>111</v>
      </c>
      <c r="AV1701" t="s">
        <v>111</v>
      </c>
      <c r="AW1701" t="s">
        <v>111</v>
      </c>
      <c r="AX1701" t="s">
        <v>111</v>
      </c>
      <c r="AY1701" t="s">
        <v>111</v>
      </c>
      <c r="AZ1701" t="s">
        <v>111</v>
      </c>
      <c r="BA1701" t="s">
        <v>111</v>
      </c>
      <c r="BB1701" t="s">
        <v>111</v>
      </c>
      <c r="BC1701" t="s">
        <v>111</v>
      </c>
      <c r="BD1701" t="s">
        <v>111</v>
      </c>
      <c r="BE1701" t="s">
        <v>111</v>
      </c>
      <c r="BF1701" t="s">
        <v>111</v>
      </c>
      <c r="BG1701" t="s">
        <v>111</v>
      </c>
      <c r="BH1701" t="s">
        <v>111</v>
      </c>
      <c r="BI1701" t="s">
        <v>111</v>
      </c>
      <c r="BJ1701" t="s">
        <v>111</v>
      </c>
      <c r="BK1701" t="s">
        <v>111</v>
      </c>
      <c r="BL1701" t="s">
        <v>111</v>
      </c>
      <c r="BM1701" t="s">
        <v>111</v>
      </c>
      <c r="BN1701" t="s">
        <v>111</v>
      </c>
      <c r="BO1701" t="s">
        <v>111</v>
      </c>
      <c r="BP1701" t="s">
        <v>111</v>
      </c>
      <c r="BQ1701" t="s">
        <v>111</v>
      </c>
      <c r="BR1701" t="s">
        <v>111</v>
      </c>
      <c r="BS1701" t="s">
        <v>111</v>
      </c>
      <c r="BT1701" t="s">
        <v>111</v>
      </c>
      <c r="BU1701" t="s">
        <v>111</v>
      </c>
      <c r="BV1701" t="s">
        <v>111</v>
      </c>
      <c r="BW1701" t="s">
        <v>111</v>
      </c>
      <c r="BX1701" t="s">
        <v>111</v>
      </c>
      <c r="BY1701" t="s">
        <v>111</v>
      </c>
      <c r="BZ1701" t="s">
        <v>111</v>
      </c>
      <c r="CA1701" t="s">
        <v>111</v>
      </c>
      <c r="CB1701" t="s">
        <v>111</v>
      </c>
      <c r="CC1701" t="s">
        <v>111</v>
      </c>
      <c r="CD1701" t="s">
        <v>111</v>
      </c>
      <c r="CE1701" t="s">
        <v>111</v>
      </c>
      <c r="CF1701" t="s">
        <v>111</v>
      </c>
      <c r="CG1701" t="s">
        <v>111</v>
      </c>
      <c r="CH1701" t="s">
        <v>111</v>
      </c>
      <c r="CI1701" t="s">
        <v>111</v>
      </c>
      <c r="CJ1701" t="s">
        <v>111</v>
      </c>
      <c r="CK1701" t="s">
        <v>111</v>
      </c>
      <c r="CL1701" t="s">
        <v>111</v>
      </c>
      <c r="CM1701" t="s">
        <v>111</v>
      </c>
      <c r="CN1701" t="s">
        <v>111</v>
      </c>
      <c r="CO1701" t="s">
        <v>111</v>
      </c>
      <c r="CP1701" t="s">
        <v>111</v>
      </c>
      <c r="CQ1701">
        <v>0</v>
      </c>
      <c r="CR1701">
        <v>0</v>
      </c>
      <c r="CS1701">
        <v>0</v>
      </c>
      <c r="CT1701" t="s">
        <v>111</v>
      </c>
      <c r="CU1701">
        <v>25</v>
      </c>
      <c r="CV1701" t="s">
        <v>111</v>
      </c>
      <c r="CX1701" t="s">
        <v>111</v>
      </c>
      <c r="CY1701">
        <v>25</v>
      </c>
      <c r="CZ1701" t="s">
        <v>117</v>
      </c>
      <c r="DA1701" t="e">
        <f>-ALMACEN</f>
        <v>#NAME?</v>
      </c>
      <c r="DB1701" t="s">
        <v>111</v>
      </c>
      <c r="DC1701" t="s">
        <v>111</v>
      </c>
    </row>
    <row r="1702" spans="1:107">
      <c r="A1702">
        <v>1822</v>
      </c>
      <c r="B1702" t="s">
        <v>107</v>
      </c>
      <c r="C1702" t="s">
        <v>928</v>
      </c>
      <c r="D1702" t="s">
        <v>4707</v>
      </c>
      <c r="E1702" t="s">
        <v>4708</v>
      </c>
      <c r="F1702" t="s">
        <v>1651</v>
      </c>
      <c r="G1702" t="s">
        <v>24</v>
      </c>
      <c r="H1702">
        <v>1</v>
      </c>
      <c r="I1702">
        <v>44</v>
      </c>
      <c r="J1702">
        <v>0</v>
      </c>
      <c r="K1702">
        <v>0</v>
      </c>
      <c r="L1702" t="s">
        <v>112</v>
      </c>
      <c r="M1702" t="s">
        <v>118</v>
      </c>
      <c r="N1702">
        <v>40</v>
      </c>
      <c r="O1702">
        <v>1</v>
      </c>
      <c r="P1702" t="s">
        <v>111</v>
      </c>
      <c r="Q1702">
        <v>40</v>
      </c>
      <c r="R1702">
        <v>0</v>
      </c>
      <c r="S1702">
        <v>0</v>
      </c>
      <c r="T1702">
        <v>8</v>
      </c>
      <c r="U1702" s="1" t="s">
        <v>662</v>
      </c>
      <c r="V1702">
        <v>0</v>
      </c>
      <c r="W1702">
        <v>0</v>
      </c>
      <c r="X1702">
        <v>0</v>
      </c>
      <c r="Y1702">
        <v>250</v>
      </c>
      <c r="Z1702" t="s">
        <v>111</v>
      </c>
      <c r="AA1702">
        <v>0</v>
      </c>
      <c r="AB1702" t="s">
        <v>111</v>
      </c>
      <c r="AC1702">
        <v>0</v>
      </c>
      <c r="AD1702" t="s">
        <v>416</v>
      </c>
      <c r="AE1702">
        <v>0</v>
      </c>
      <c r="AF1702">
        <v>0</v>
      </c>
      <c r="AG1702" t="s">
        <v>111</v>
      </c>
      <c r="AH1702" t="s">
        <v>113</v>
      </c>
      <c r="AI1702" t="s">
        <v>111</v>
      </c>
      <c r="AJ1702" t="s">
        <v>111</v>
      </c>
      <c r="AK1702" t="s">
        <v>111</v>
      </c>
      <c r="AL1702" t="s">
        <v>111</v>
      </c>
      <c r="AM1702">
        <v>0</v>
      </c>
      <c r="AN1702">
        <v>0</v>
      </c>
      <c r="AO1702">
        <v>0</v>
      </c>
      <c r="AP1702" t="s">
        <v>111</v>
      </c>
      <c r="AQ1702" t="s">
        <v>111</v>
      </c>
      <c r="AR1702" t="s">
        <v>111</v>
      </c>
      <c r="AS1702" t="s">
        <v>111</v>
      </c>
      <c r="AT1702" t="s">
        <v>111</v>
      </c>
      <c r="AU1702" t="s">
        <v>111</v>
      </c>
      <c r="AV1702" t="s">
        <v>111</v>
      </c>
      <c r="AW1702" t="s">
        <v>111</v>
      </c>
      <c r="AX1702" t="s">
        <v>111</v>
      </c>
      <c r="AY1702" t="s">
        <v>111</v>
      </c>
      <c r="AZ1702" t="s">
        <v>111</v>
      </c>
      <c r="BA1702" t="s">
        <v>111</v>
      </c>
      <c r="BB1702" t="s">
        <v>111</v>
      </c>
      <c r="BC1702" t="s">
        <v>111</v>
      </c>
      <c r="BD1702" t="s">
        <v>111</v>
      </c>
      <c r="BE1702" t="s">
        <v>111</v>
      </c>
      <c r="BF1702" t="s">
        <v>111</v>
      </c>
      <c r="BG1702" t="s">
        <v>111</v>
      </c>
      <c r="BH1702" t="s">
        <v>111</v>
      </c>
      <c r="BI1702" t="s">
        <v>111</v>
      </c>
      <c r="BJ1702" t="s">
        <v>111</v>
      </c>
      <c r="BK1702" t="s">
        <v>111</v>
      </c>
      <c r="BL1702" t="s">
        <v>111</v>
      </c>
      <c r="BM1702" t="s">
        <v>111</v>
      </c>
      <c r="BN1702" t="s">
        <v>111</v>
      </c>
      <c r="BO1702" t="s">
        <v>111</v>
      </c>
      <c r="BP1702" t="s">
        <v>111</v>
      </c>
      <c r="BQ1702" t="s">
        <v>111</v>
      </c>
      <c r="BR1702" t="s">
        <v>111</v>
      </c>
      <c r="BS1702" t="s">
        <v>111</v>
      </c>
      <c r="BT1702" t="s">
        <v>111</v>
      </c>
      <c r="BU1702" t="s">
        <v>111</v>
      </c>
      <c r="BV1702" t="s">
        <v>111</v>
      </c>
      <c r="BW1702" t="s">
        <v>111</v>
      </c>
      <c r="BX1702" t="s">
        <v>111</v>
      </c>
      <c r="BY1702" t="s">
        <v>111</v>
      </c>
      <c r="BZ1702" t="s">
        <v>111</v>
      </c>
      <c r="CA1702" t="s">
        <v>111</v>
      </c>
      <c r="CB1702" t="s">
        <v>111</v>
      </c>
      <c r="CC1702" t="s">
        <v>111</v>
      </c>
      <c r="CD1702" t="s">
        <v>111</v>
      </c>
      <c r="CE1702" t="s">
        <v>111</v>
      </c>
      <c r="CF1702" t="s">
        <v>111</v>
      </c>
      <c r="CG1702" t="s">
        <v>111</v>
      </c>
      <c r="CH1702" t="s">
        <v>111</v>
      </c>
      <c r="CI1702" t="s">
        <v>111</v>
      </c>
      <c r="CJ1702" t="s">
        <v>111</v>
      </c>
      <c r="CK1702" t="s">
        <v>111</v>
      </c>
      <c r="CL1702" t="s">
        <v>111</v>
      </c>
      <c r="CM1702" t="s">
        <v>438</v>
      </c>
      <c r="CN1702" t="s">
        <v>113</v>
      </c>
      <c r="CO1702" t="s">
        <v>637</v>
      </c>
      <c r="CP1702" t="s">
        <v>111</v>
      </c>
      <c r="CQ1702">
        <v>0</v>
      </c>
      <c r="CR1702">
        <v>5000</v>
      </c>
      <c r="CS1702">
        <v>100</v>
      </c>
      <c r="CT1702" s="1" t="s">
        <v>4709</v>
      </c>
      <c r="CU1702">
        <v>0</v>
      </c>
      <c r="CV1702" t="s">
        <v>111</v>
      </c>
      <c r="CX1702" t="s">
        <v>111</v>
      </c>
      <c r="CY1702">
        <v>0</v>
      </c>
      <c r="CZ1702" t="s">
        <v>111</v>
      </c>
      <c r="DA1702" t="s">
        <v>111</v>
      </c>
      <c r="DB1702" t="s">
        <v>111</v>
      </c>
      <c r="DC1702" t="s">
        <v>111</v>
      </c>
    </row>
    <row r="1703" spans="1:107">
      <c r="A1703">
        <v>1819</v>
      </c>
      <c r="B1703" t="s">
        <v>107</v>
      </c>
      <c r="C1703" t="s">
        <v>2274</v>
      </c>
      <c r="D1703" t="s">
        <v>4710</v>
      </c>
      <c r="E1703" t="s">
        <v>4711</v>
      </c>
      <c r="F1703" t="s">
        <v>1071</v>
      </c>
      <c r="G1703" t="s">
        <v>24</v>
      </c>
      <c r="H1703">
        <v>1.4</v>
      </c>
      <c r="I1703">
        <v>48</v>
      </c>
      <c r="J1703">
        <v>0</v>
      </c>
      <c r="K1703">
        <v>0</v>
      </c>
      <c r="L1703" t="s">
        <v>112</v>
      </c>
      <c r="M1703" t="s">
        <v>111</v>
      </c>
      <c r="N1703">
        <v>0</v>
      </c>
      <c r="O1703">
        <v>0</v>
      </c>
      <c r="P1703" t="s">
        <v>111</v>
      </c>
      <c r="Q1703">
        <v>29.7</v>
      </c>
      <c r="R1703">
        <v>0</v>
      </c>
      <c r="S1703">
        <v>0</v>
      </c>
      <c r="T1703">
        <v>5</v>
      </c>
      <c r="U1703" t="e">
        <f>-SELLADO</f>
        <v>#NAME?</v>
      </c>
      <c r="V1703">
        <v>0</v>
      </c>
      <c r="W1703">
        <v>0</v>
      </c>
      <c r="X1703">
        <v>0</v>
      </c>
      <c r="Y1703">
        <v>25</v>
      </c>
      <c r="Z1703" t="s">
        <v>111</v>
      </c>
      <c r="AA1703">
        <v>0</v>
      </c>
      <c r="AB1703" t="s">
        <v>111</v>
      </c>
      <c r="AC1703">
        <v>0</v>
      </c>
      <c r="AD1703" t="s">
        <v>111</v>
      </c>
      <c r="AE1703">
        <v>0</v>
      </c>
      <c r="AF1703">
        <v>0</v>
      </c>
      <c r="AG1703" t="s">
        <v>111</v>
      </c>
      <c r="AH1703" t="s">
        <v>111</v>
      </c>
      <c r="AI1703" t="s">
        <v>111</v>
      </c>
      <c r="AJ1703" t="s">
        <v>111</v>
      </c>
      <c r="AK1703" t="s">
        <v>111</v>
      </c>
      <c r="AL1703" t="s">
        <v>111</v>
      </c>
      <c r="AM1703">
        <v>0</v>
      </c>
      <c r="AN1703">
        <v>0</v>
      </c>
      <c r="AO1703">
        <v>0</v>
      </c>
      <c r="AP1703" t="s">
        <v>111</v>
      </c>
      <c r="AQ1703" t="s">
        <v>111</v>
      </c>
      <c r="AR1703" t="s">
        <v>111</v>
      </c>
      <c r="AS1703" t="s">
        <v>111</v>
      </c>
      <c r="AT1703" t="s">
        <v>111</v>
      </c>
      <c r="AU1703" t="s">
        <v>111</v>
      </c>
      <c r="AV1703" t="s">
        <v>111</v>
      </c>
      <c r="AW1703" t="s">
        <v>111</v>
      </c>
      <c r="AX1703" t="s">
        <v>111</v>
      </c>
      <c r="AY1703" t="s">
        <v>111</v>
      </c>
      <c r="AZ1703" t="s">
        <v>111</v>
      </c>
      <c r="BA1703" t="s">
        <v>111</v>
      </c>
      <c r="BB1703" t="s">
        <v>111</v>
      </c>
      <c r="BC1703" t="s">
        <v>111</v>
      </c>
      <c r="BD1703" t="s">
        <v>111</v>
      </c>
      <c r="BE1703" t="s">
        <v>111</v>
      </c>
      <c r="BF1703" t="s">
        <v>111</v>
      </c>
      <c r="BG1703" t="s">
        <v>111</v>
      </c>
      <c r="BH1703" t="s">
        <v>111</v>
      </c>
      <c r="BI1703" t="s">
        <v>111</v>
      </c>
      <c r="BJ1703" t="s">
        <v>111</v>
      </c>
      <c r="BK1703" t="s">
        <v>111</v>
      </c>
      <c r="BL1703" t="s">
        <v>111</v>
      </c>
      <c r="BM1703" t="s">
        <v>111</v>
      </c>
      <c r="BN1703" t="s">
        <v>111</v>
      </c>
      <c r="BO1703" t="s">
        <v>111</v>
      </c>
      <c r="BP1703" t="s">
        <v>111</v>
      </c>
      <c r="BQ1703" t="s">
        <v>111</v>
      </c>
      <c r="BR1703" t="s">
        <v>111</v>
      </c>
      <c r="BS1703" t="s">
        <v>111</v>
      </c>
      <c r="BT1703" t="s">
        <v>111</v>
      </c>
      <c r="BU1703" t="s">
        <v>111</v>
      </c>
      <c r="BV1703" t="s">
        <v>111</v>
      </c>
      <c r="BW1703" t="s">
        <v>111</v>
      </c>
      <c r="BX1703" t="s">
        <v>111</v>
      </c>
      <c r="BY1703" t="s">
        <v>111</v>
      </c>
      <c r="BZ1703" t="s">
        <v>111</v>
      </c>
      <c r="CA1703" t="s">
        <v>111</v>
      </c>
      <c r="CB1703" t="s">
        <v>111</v>
      </c>
      <c r="CC1703" t="s">
        <v>111</v>
      </c>
      <c r="CD1703" t="s">
        <v>111</v>
      </c>
      <c r="CE1703" t="s">
        <v>111</v>
      </c>
      <c r="CF1703" t="s">
        <v>111</v>
      </c>
      <c r="CG1703" t="s">
        <v>111</v>
      </c>
      <c r="CH1703" t="s">
        <v>111</v>
      </c>
      <c r="CI1703" t="s">
        <v>111</v>
      </c>
      <c r="CJ1703" t="s">
        <v>111</v>
      </c>
      <c r="CK1703" t="s">
        <v>111</v>
      </c>
      <c r="CL1703" t="s">
        <v>111</v>
      </c>
      <c r="CM1703" t="s">
        <v>438</v>
      </c>
      <c r="CN1703" t="s">
        <v>113</v>
      </c>
      <c r="CO1703" t="s">
        <v>111</v>
      </c>
      <c r="CP1703" t="s">
        <v>111</v>
      </c>
      <c r="CQ1703">
        <v>0</v>
      </c>
      <c r="CR1703">
        <v>2000</v>
      </c>
      <c r="CS1703">
        <v>200</v>
      </c>
      <c r="CT1703" s="1" t="s">
        <v>4512</v>
      </c>
      <c r="CU1703">
        <v>0</v>
      </c>
      <c r="CV1703" t="s">
        <v>111</v>
      </c>
      <c r="CX1703" t="s">
        <v>111</v>
      </c>
      <c r="CY1703">
        <v>0</v>
      </c>
      <c r="CZ1703" t="s">
        <v>111</v>
      </c>
      <c r="DA1703" t="s">
        <v>111</v>
      </c>
      <c r="DB1703" t="s">
        <v>111</v>
      </c>
      <c r="DC1703" t="s">
        <v>111</v>
      </c>
    </row>
    <row r="1704" spans="1:107">
      <c r="A1704">
        <v>1765</v>
      </c>
      <c r="B1704" t="s">
        <v>107</v>
      </c>
      <c r="C1704" t="s">
        <v>3783</v>
      </c>
      <c r="D1704" t="s">
        <v>3960</v>
      </c>
      <c r="E1704" t="s">
        <v>4712</v>
      </c>
      <c r="F1704" t="s">
        <v>1260</v>
      </c>
      <c r="G1704" t="s">
        <v>24</v>
      </c>
      <c r="H1704">
        <v>1.9</v>
      </c>
      <c r="I1704">
        <v>40</v>
      </c>
      <c r="J1704">
        <v>0</v>
      </c>
      <c r="K1704">
        <v>0</v>
      </c>
      <c r="L1704" t="s">
        <v>117</v>
      </c>
      <c r="M1704" t="s">
        <v>118</v>
      </c>
      <c r="N1704">
        <v>40</v>
      </c>
      <c r="O1704">
        <v>1</v>
      </c>
      <c r="P1704" t="s">
        <v>118</v>
      </c>
      <c r="Q1704">
        <v>27.9</v>
      </c>
      <c r="R1704">
        <v>0</v>
      </c>
      <c r="S1704">
        <v>0</v>
      </c>
      <c r="T1704">
        <v>5</v>
      </c>
      <c r="U1704" t="e">
        <f>-DESTINO DARMA</f>
        <v>#NAME?</v>
      </c>
      <c r="V1704">
        <v>0</v>
      </c>
      <c r="W1704">
        <v>0</v>
      </c>
      <c r="X1704">
        <v>0</v>
      </c>
      <c r="Y1704">
        <v>25</v>
      </c>
      <c r="Z1704" t="s">
        <v>111</v>
      </c>
      <c r="AA1704">
        <v>0</v>
      </c>
      <c r="AB1704" t="s">
        <v>111</v>
      </c>
      <c r="AC1704">
        <v>0</v>
      </c>
      <c r="AD1704" t="s">
        <v>416</v>
      </c>
      <c r="AE1704">
        <v>0</v>
      </c>
      <c r="AF1704">
        <v>0</v>
      </c>
      <c r="AG1704" t="s">
        <v>111</v>
      </c>
      <c r="AH1704" t="s">
        <v>111</v>
      </c>
      <c r="AI1704" t="s">
        <v>111</v>
      </c>
      <c r="AJ1704" t="s">
        <v>111</v>
      </c>
      <c r="AK1704" t="s">
        <v>111</v>
      </c>
      <c r="AL1704" t="s">
        <v>111</v>
      </c>
      <c r="AM1704">
        <v>0</v>
      </c>
      <c r="AN1704">
        <v>0</v>
      </c>
      <c r="AO1704">
        <v>0</v>
      </c>
      <c r="AP1704" t="s">
        <v>111</v>
      </c>
      <c r="AQ1704" t="s">
        <v>111</v>
      </c>
      <c r="AR1704" t="s">
        <v>111</v>
      </c>
      <c r="AS1704" t="s">
        <v>111</v>
      </c>
      <c r="AT1704" t="s">
        <v>111</v>
      </c>
      <c r="AU1704" t="s">
        <v>111</v>
      </c>
      <c r="AV1704" t="s">
        <v>111</v>
      </c>
      <c r="AW1704" t="s">
        <v>111</v>
      </c>
      <c r="AX1704" t="s">
        <v>111</v>
      </c>
      <c r="AY1704" t="s">
        <v>111</v>
      </c>
      <c r="AZ1704" t="s">
        <v>111</v>
      </c>
      <c r="BA1704" t="s">
        <v>111</v>
      </c>
      <c r="BB1704" t="s">
        <v>111</v>
      </c>
      <c r="BC1704" t="s">
        <v>111</v>
      </c>
      <c r="BD1704" t="s">
        <v>111</v>
      </c>
      <c r="BE1704" t="s">
        <v>111</v>
      </c>
      <c r="BF1704" t="s">
        <v>111</v>
      </c>
      <c r="BG1704" t="s">
        <v>111</v>
      </c>
      <c r="BH1704" t="s">
        <v>111</v>
      </c>
      <c r="BI1704" t="s">
        <v>111</v>
      </c>
      <c r="BJ1704" t="s">
        <v>111</v>
      </c>
      <c r="BK1704" t="s">
        <v>111</v>
      </c>
      <c r="BL1704" t="s">
        <v>111</v>
      </c>
      <c r="BM1704" t="s">
        <v>111</v>
      </c>
      <c r="BN1704" t="s">
        <v>111</v>
      </c>
      <c r="BO1704" t="s">
        <v>111</v>
      </c>
      <c r="BP1704" t="s">
        <v>111</v>
      </c>
      <c r="BQ1704" t="s">
        <v>111</v>
      </c>
      <c r="BR1704" t="s">
        <v>111</v>
      </c>
      <c r="BS1704" t="s">
        <v>111</v>
      </c>
      <c r="BT1704" t="s">
        <v>111</v>
      </c>
      <c r="BU1704" t="s">
        <v>111</v>
      </c>
      <c r="BV1704" t="s">
        <v>111</v>
      </c>
      <c r="BW1704" t="s">
        <v>111</v>
      </c>
      <c r="BX1704" t="s">
        <v>111</v>
      </c>
      <c r="BY1704" t="s">
        <v>111</v>
      </c>
      <c r="BZ1704" t="s">
        <v>111</v>
      </c>
      <c r="CA1704" t="s">
        <v>111</v>
      </c>
      <c r="CB1704" t="s">
        <v>111</v>
      </c>
      <c r="CC1704" t="s">
        <v>111</v>
      </c>
      <c r="CD1704" t="s">
        <v>111</v>
      </c>
      <c r="CE1704" t="s">
        <v>111</v>
      </c>
      <c r="CF1704" t="s">
        <v>111</v>
      </c>
      <c r="CG1704" t="s">
        <v>111</v>
      </c>
      <c r="CH1704" t="s">
        <v>111</v>
      </c>
      <c r="CI1704" t="s">
        <v>111</v>
      </c>
      <c r="CJ1704" t="s">
        <v>111</v>
      </c>
      <c r="CK1704" t="s">
        <v>111</v>
      </c>
      <c r="CL1704" t="s">
        <v>111</v>
      </c>
      <c r="CM1704">
        <v>450</v>
      </c>
      <c r="CN1704" t="s">
        <v>113</v>
      </c>
      <c r="CO1704" t="s">
        <v>111</v>
      </c>
      <c r="CP1704" t="s">
        <v>111</v>
      </c>
      <c r="CQ1704">
        <v>0</v>
      </c>
      <c r="CR1704">
        <v>26000</v>
      </c>
      <c r="CS1704">
        <v>26000</v>
      </c>
      <c r="CT1704" t="e">
        <f>-ALMACEN</f>
        <v>#NAME?</v>
      </c>
      <c r="CU1704">
        <v>0</v>
      </c>
      <c r="CV1704" t="s">
        <v>111</v>
      </c>
      <c r="CX1704" t="s">
        <v>111</v>
      </c>
      <c r="CY1704">
        <v>0</v>
      </c>
      <c r="CZ1704" t="s">
        <v>111</v>
      </c>
      <c r="DA1704" t="s">
        <v>111</v>
      </c>
      <c r="DB1704" t="s">
        <v>111</v>
      </c>
      <c r="DC1704" t="s">
        <v>111</v>
      </c>
    </row>
    <row r="1705" spans="1:107">
      <c r="A1705">
        <v>1780</v>
      </c>
      <c r="B1705" t="s">
        <v>107</v>
      </c>
      <c r="C1705" t="s">
        <v>1643</v>
      </c>
      <c r="D1705" t="s">
        <v>4713</v>
      </c>
      <c r="E1705" t="s">
        <v>4714</v>
      </c>
      <c r="F1705" t="s">
        <v>2211</v>
      </c>
      <c r="G1705" t="s">
        <v>24</v>
      </c>
      <c r="H1705">
        <v>1</v>
      </c>
      <c r="I1705">
        <v>28</v>
      </c>
      <c r="J1705">
        <v>0</v>
      </c>
      <c r="K1705">
        <v>0</v>
      </c>
      <c r="L1705" t="s">
        <v>117</v>
      </c>
      <c r="M1705" t="s">
        <v>138</v>
      </c>
      <c r="N1705">
        <v>0</v>
      </c>
      <c r="O1705">
        <v>0</v>
      </c>
      <c r="P1705" t="s">
        <v>138</v>
      </c>
      <c r="Q1705">
        <v>30</v>
      </c>
      <c r="R1705">
        <v>0</v>
      </c>
      <c r="S1705">
        <v>0</v>
      </c>
      <c r="T1705">
        <v>0</v>
      </c>
      <c r="U1705" t="e">
        <f>-DESTINO ALMACEN</f>
        <v>#NAME?</v>
      </c>
      <c r="V1705">
        <v>0</v>
      </c>
      <c r="W1705">
        <v>0</v>
      </c>
      <c r="X1705">
        <v>0</v>
      </c>
      <c r="Y1705">
        <v>25</v>
      </c>
      <c r="Z1705" t="s">
        <v>111</v>
      </c>
      <c r="AA1705">
        <v>0</v>
      </c>
      <c r="AB1705" t="s">
        <v>111</v>
      </c>
      <c r="AC1705">
        <v>0</v>
      </c>
      <c r="AD1705" t="s">
        <v>111</v>
      </c>
      <c r="AE1705">
        <v>0</v>
      </c>
      <c r="AF1705">
        <v>0</v>
      </c>
      <c r="AG1705" t="s">
        <v>111</v>
      </c>
      <c r="AH1705" t="s">
        <v>111</v>
      </c>
      <c r="AI1705" t="s">
        <v>111</v>
      </c>
      <c r="AJ1705" t="s">
        <v>111</v>
      </c>
      <c r="AK1705" t="s">
        <v>111</v>
      </c>
      <c r="AL1705" t="s">
        <v>111</v>
      </c>
      <c r="AM1705">
        <v>0</v>
      </c>
      <c r="AN1705">
        <v>0</v>
      </c>
      <c r="AO1705">
        <v>0</v>
      </c>
      <c r="AP1705" t="s">
        <v>111</v>
      </c>
      <c r="AQ1705" t="s">
        <v>111</v>
      </c>
      <c r="AR1705" t="s">
        <v>111</v>
      </c>
      <c r="AS1705" t="s">
        <v>111</v>
      </c>
      <c r="AT1705" t="s">
        <v>111</v>
      </c>
      <c r="AU1705" t="s">
        <v>111</v>
      </c>
      <c r="AV1705" t="s">
        <v>111</v>
      </c>
      <c r="AW1705" t="s">
        <v>111</v>
      </c>
      <c r="AX1705" t="s">
        <v>111</v>
      </c>
      <c r="AY1705" t="s">
        <v>111</v>
      </c>
      <c r="AZ1705" t="s">
        <v>111</v>
      </c>
      <c r="BA1705" t="s">
        <v>111</v>
      </c>
      <c r="BB1705" t="s">
        <v>111</v>
      </c>
      <c r="BC1705" t="s">
        <v>111</v>
      </c>
      <c r="BD1705" t="s">
        <v>111</v>
      </c>
      <c r="BE1705" t="s">
        <v>111</v>
      </c>
      <c r="BF1705" t="s">
        <v>111</v>
      </c>
      <c r="BG1705" t="s">
        <v>111</v>
      </c>
      <c r="BH1705" t="s">
        <v>111</v>
      </c>
      <c r="BI1705" t="s">
        <v>111</v>
      </c>
      <c r="BJ1705" t="s">
        <v>111</v>
      </c>
      <c r="BK1705" t="s">
        <v>111</v>
      </c>
      <c r="BL1705" t="s">
        <v>111</v>
      </c>
      <c r="BM1705" t="s">
        <v>111</v>
      </c>
      <c r="BN1705" t="s">
        <v>111</v>
      </c>
      <c r="BO1705" t="s">
        <v>111</v>
      </c>
      <c r="BP1705" t="s">
        <v>111</v>
      </c>
      <c r="BQ1705" t="s">
        <v>111</v>
      </c>
      <c r="BR1705" t="s">
        <v>111</v>
      </c>
      <c r="BS1705" t="s">
        <v>111</v>
      </c>
      <c r="BT1705" t="s">
        <v>111</v>
      </c>
      <c r="BU1705" t="s">
        <v>111</v>
      </c>
      <c r="BV1705" t="s">
        <v>111</v>
      </c>
      <c r="BW1705" t="s">
        <v>111</v>
      </c>
      <c r="BX1705" t="s">
        <v>111</v>
      </c>
      <c r="BY1705" t="s">
        <v>111</v>
      </c>
      <c r="BZ1705" t="s">
        <v>111</v>
      </c>
      <c r="CA1705" t="s">
        <v>111</v>
      </c>
      <c r="CB1705" t="s">
        <v>111</v>
      </c>
      <c r="CC1705" t="s">
        <v>111</v>
      </c>
      <c r="CD1705" t="s">
        <v>111</v>
      </c>
      <c r="CE1705" t="s">
        <v>111</v>
      </c>
      <c r="CF1705" t="s">
        <v>111</v>
      </c>
      <c r="CG1705" t="s">
        <v>111</v>
      </c>
      <c r="CH1705" t="s">
        <v>111</v>
      </c>
      <c r="CI1705" t="s">
        <v>111</v>
      </c>
      <c r="CJ1705" t="s">
        <v>111</v>
      </c>
      <c r="CK1705" t="s">
        <v>111</v>
      </c>
      <c r="CL1705" t="s">
        <v>111</v>
      </c>
      <c r="CM1705" t="s">
        <v>111</v>
      </c>
      <c r="CN1705" t="s">
        <v>111</v>
      </c>
      <c r="CO1705" t="s">
        <v>111</v>
      </c>
      <c r="CP1705" t="s">
        <v>111</v>
      </c>
      <c r="CQ1705">
        <v>0</v>
      </c>
      <c r="CR1705">
        <v>0</v>
      </c>
      <c r="CS1705">
        <v>0</v>
      </c>
      <c r="CT1705" t="s">
        <v>111</v>
      </c>
      <c r="CU1705">
        <v>0</v>
      </c>
      <c r="CV1705" t="s">
        <v>111</v>
      </c>
      <c r="CX1705" t="s">
        <v>111</v>
      </c>
      <c r="CY1705">
        <v>0</v>
      </c>
      <c r="CZ1705" t="s">
        <v>111</v>
      </c>
      <c r="DA1705" t="s">
        <v>111</v>
      </c>
      <c r="DB1705" t="s">
        <v>111</v>
      </c>
      <c r="DC1705" t="s">
        <v>111</v>
      </c>
    </row>
    <row r="1706" spans="1:107">
      <c r="A1706">
        <v>1282</v>
      </c>
      <c r="B1706" t="s">
        <v>107</v>
      </c>
      <c r="C1706" t="s">
        <v>154</v>
      </c>
      <c r="D1706" t="s">
        <v>4715</v>
      </c>
      <c r="E1706" t="s">
        <v>4716</v>
      </c>
      <c r="F1706" t="s">
        <v>1071</v>
      </c>
      <c r="G1706" t="s">
        <v>24</v>
      </c>
      <c r="H1706">
        <v>1.9</v>
      </c>
      <c r="I1706">
        <v>40</v>
      </c>
      <c r="J1706">
        <v>0</v>
      </c>
      <c r="K1706">
        <v>0</v>
      </c>
      <c r="L1706" t="s">
        <v>112</v>
      </c>
      <c r="M1706" t="s">
        <v>111</v>
      </c>
      <c r="N1706">
        <v>0</v>
      </c>
      <c r="O1706">
        <v>0</v>
      </c>
      <c r="P1706" t="s">
        <v>111</v>
      </c>
      <c r="Q1706">
        <v>39.1</v>
      </c>
      <c r="R1706">
        <v>0</v>
      </c>
      <c r="S1706">
        <v>0</v>
      </c>
      <c r="T1706">
        <v>5</v>
      </c>
      <c r="U1706" s="1" t="s">
        <v>4717</v>
      </c>
      <c r="V1706">
        <v>0</v>
      </c>
      <c r="W1706">
        <v>0</v>
      </c>
      <c r="X1706">
        <v>0</v>
      </c>
      <c r="Y1706">
        <v>25</v>
      </c>
      <c r="Z1706" t="s">
        <v>111</v>
      </c>
      <c r="AA1706">
        <v>0</v>
      </c>
      <c r="AB1706" t="s">
        <v>111</v>
      </c>
      <c r="AC1706">
        <v>0</v>
      </c>
      <c r="AD1706" t="s">
        <v>111</v>
      </c>
      <c r="AE1706">
        <v>0</v>
      </c>
      <c r="AF1706">
        <v>0</v>
      </c>
      <c r="AG1706" t="s">
        <v>111</v>
      </c>
      <c r="AH1706" t="s">
        <v>111</v>
      </c>
      <c r="AI1706" t="s">
        <v>111</v>
      </c>
      <c r="AJ1706" t="s">
        <v>111</v>
      </c>
      <c r="AK1706" t="s">
        <v>111</v>
      </c>
      <c r="AL1706" t="s">
        <v>111</v>
      </c>
      <c r="AM1706">
        <v>0</v>
      </c>
      <c r="AN1706">
        <v>0</v>
      </c>
      <c r="AO1706">
        <v>0</v>
      </c>
      <c r="AP1706" t="s">
        <v>111</v>
      </c>
      <c r="AQ1706" t="s">
        <v>111</v>
      </c>
      <c r="AR1706" t="s">
        <v>111</v>
      </c>
      <c r="AS1706" t="s">
        <v>111</v>
      </c>
      <c r="AT1706" t="s">
        <v>111</v>
      </c>
      <c r="AU1706" t="s">
        <v>111</v>
      </c>
      <c r="AV1706" t="s">
        <v>111</v>
      </c>
      <c r="AW1706" t="s">
        <v>111</v>
      </c>
      <c r="AX1706" t="s">
        <v>111</v>
      </c>
      <c r="AY1706" t="s">
        <v>111</v>
      </c>
      <c r="AZ1706" t="s">
        <v>111</v>
      </c>
      <c r="BA1706" t="s">
        <v>111</v>
      </c>
      <c r="BB1706" t="s">
        <v>111</v>
      </c>
      <c r="BC1706" t="s">
        <v>111</v>
      </c>
      <c r="BD1706" t="s">
        <v>111</v>
      </c>
      <c r="BE1706" t="s">
        <v>111</v>
      </c>
      <c r="BF1706" t="s">
        <v>111</v>
      </c>
      <c r="BG1706" t="s">
        <v>111</v>
      </c>
      <c r="BH1706" t="s">
        <v>111</v>
      </c>
      <c r="BI1706" t="s">
        <v>111</v>
      </c>
      <c r="BJ1706" t="s">
        <v>111</v>
      </c>
      <c r="BK1706" t="s">
        <v>111</v>
      </c>
      <c r="BL1706" t="s">
        <v>111</v>
      </c>
      <c r="BM1706" t="s">
        <v>111</v>
      </c>
      <c r="BN1706" t="s">
        <v>111</v>
      </c>
      <c r="BO1706" t="s">
        <v>111</v>
      </c>
      <c r="BP1706" t="s">
        <v>111</v>
      </c>
      <c r="BQ1706" t="s">
        <v>111</v>
      </c>
      <c r="BR1706" t="s">
        <v>111</v>
      </c>
      <c r="BS1706" t="s">
        <v>111</v>
      </c>
      <c r="BT1706" t="s">
        <v>111</v>
      </c>
      <c r="BU1706" t="s">
        <v>111</v>
      </c>
      <c r="BV1706" t="s">
        <v>111</v>
      </c>
      <c r="BW1706" t="s">
        <v>111</v>
      </c>
      <c r="BX1706" t="s">
        <v>111</v>
      </c>
      <c r="BY1706" t="s">
        <v>111</v>
      </c>
      <c r="BZ1706" t="s">
        <v>111</v>
      </c>
      <c r="CA1706" t="s">
        <v>111</v>
      </c>
      <c r="CB1706" t="s">
        <v>111</v>
      </c>
      <c r="CC1706" t="s">
        <v>111</v>
      </c>
      <c r="CD1706" t="s">
        <v>111</v>
      </c>
      <c r="CE1706" t="s">
        <v>111</v>
      </c>
      <c r="CF1706" t="s">
        <v>111</v>
      </c>
      <c r="CG1706" t="s">
        <v>111</v>
      </c>
      <c r="CH1706" t="s">
        <v>111</v>
      </c>
      <c r="CI1706" t="s">
        <v>111</v>
      </c>
      <c r="CJ1706" t="s">
        <v>111</v>
      </c>
      <c r="CK1706" t="s">
        <v>111</v>
      </c>
      <c r="CL1706" t="s">
        <v>111</v>
      </c>
      <c r="CM1706">
        <v>450</v>
      </c>
      <c r="CN1706" t="s">
        <v>113</v>
      </c>
      <c r="CO1706" t="s">
        <v>111</v>
      </c>
      <c r="CP1706" t="s">
        <v>111</v>
      </c>
      <c r="CQ1706">
        <v>0</v>
      </c>
      <c r="CR1706">
        <v>10000</v>
      </c>
      <c r="CS1706">
        <v>500</v>
      </c>
      <c r="CT1706" t="e">
        <f>-ALMACEN</f>
        <v>#NAME?</v>
      </c>
      <c r="CU1706">
        <v>0</v>
      </c>
      <c r="CV1706" t="s">
        <v>111</v>
      </c>
      <c r="CW1706" t="s">
        <v>111</v>
      </c>
      <c r="CX1706" t="s">
        <v>111</v>
      </c>
      <c r="CY1706">
        <v>0</v>
      </c>
      <c r="CZ1706" t="s">
        <v>111</v>
      </c>
      <c r="DA1706" t="s">
        <v>111</v>
      </c>
      <c r="DB1706" t="s">
        <v>111</v>
      </c>
      <c r="DC1706" t="s">
        <v>111</v>
      </c>
    </row>
    <row r="1707" spans="1:107">
      <c r="A1707">
        <v>1769</v>
      </c>
      <c r="B1707" t="s">
        <v>107</v>
      </c>
      <c r="C1707" t="s">
        <v>454</v>
      </c>
      <c r="D1707" t="s">
        <v>4718</v>
      </c>
      <c r="E1707" t="s">
        <v>4719</v>
      </c>
      <c r="F1707" t="s">
        <v>1651</v>
      </c>
      <c r="G1707" t="s">
        <v>24</v>
      </c>
      <c r="H1707">
        <v>1.4</v>
      </c>
      <c r="I1707">
        <v>20</v>
      </c>
      <c r="J1707">
        <v>2</v>
      </c>
      <c r="K1707">
        <v>0</v>
      </c>
      <c r="L1707" t="s">
        <v>178</v>
      </c>
      <c r="M1707" t="s">
        <v>118</v>
      </c>
      <c r="N1707">
        <v>40</v>
      </c>
      <c r="O1707">
        <v>2</v>
      </c>
      <c r="P1707" t="s">
        <v>138</v>
      </c>
      <c r="Q1707">
        <v>18.3</v>
      </c>
      <c r="R1707">
        <v>0</v>
      </c>
      <c r="S1707">
        <v>0</v>
      </c>
      <c r="T1707">
        <v>5</v>
      </c>
      <c r="U1707" s="1" t="s">
        <v>4720</v>
      </c>
      <c r="V1707">
        <v>0</v>
      </c>
      <c r="W1707">
        <v>0</v>
      </c>
      <c r="X1707">
        <v>0</v>
      </c>
      <c r="Y1707">
        <v>25</v>
      </c>
      <c r="Z1707" t="s">
        <v>111</v>
      </c>
      <c r="AA1707">
        <v>0</v>
      </c>
      <c r="AB1707" t="s">
        <v>111</v>
      </c>
      <c r="AC1707">
        <v>0</v>
      </c>
      <c r="AD1707" t="s">
        <v>1520</v>
      </c>
      <c r="AE1707">
        <v>0</v>
      </c>
      <c r="AF1707">
        <v>0</v>
      </c>
      <c r="AG1707" t="s">
        <v>111</v>
      </c>
      <c r="AH1707" t="s">
        <v>111</v>
      </c>
      <c r="AI1707" t="s">
        <v>111</v>
      </c>
      <c r="AJ1707" t="s">
        <v>111</v>
      </c>
      <c r="AK1707" t="s">
        <v>111</v>
      </c>
      <c r="AL1707" t="s">
        <v>111</v>
      </c>
      <c r="AM1707">
        <v>0</v>
      </c>
      <c r="AN1707">
        <v>0</v>
      </c>
      <c r="AO1707">
        <v>0</v>
      </c>
      <c r="AP1707" t="s">
        <v>111</v>
      </c>
      <c r="AQ1707" t="s">
        <v>111</v>
      </c>
      <c r="AR1707" t="s">
        <v>111</v>
      </c>
      <c r="AS1707" t="s">
        <v>111</v>
      </c>
      <c r="AT1707" t="s">
        <v>111</v>
      </c>
      <c r="AU1707" t="s">
        <v>111</v>
      </c>
      <c r="AV1707" t="s">
        <v>111</v>
      </c>
      <c r="AW1707" t="s">
        <v>111</v>
      </c>
      <c r="AX1707" t="s">
        <v>111</v>
      </c>
      <c r="AY1707" t="s">
        <v>111</v>
      </c>
      <c r="AZ1707" t="s">
        <v>111</v>
      </c>
      <c r="BA1707" t="s">
        <v>111</v>
      </c>
      <c r="BB1707" t="s">
        <v>111</v>
      </c>
      <c r="BC1707" t="s">
        <v>111</v>
      </c>
      <c r="BD1707" t="s">
        <v>111</v>
      </c>
      <c r="BE1707" t="s">
        <v>111</v>
      </c>
      <c r="BF1707" t="s">
        <v>111</v>
      </c>
      <c r="BG1707" t="s">
        <v>111</v>
      </c>
      <c r="BH1707" t="s">
        <v>111</v>
      </c>
      <c r="BI1707" t="s">
        <v>111</v>
      </c>
      <c r="BJ1707" t="s">
        <v>111</v>
      </c>
      <c r="BK1707" t="s">
        <v>111</v>
      </c>
      <c r="BL1707" t="s">
        <v>111</v>
      </c>
      <c r="BM1707" t="s">
        <v>111</v>
      </c>
      <c r="BN1707" t="s">
        <v>111</v>
      </c>
      <c r="BO1707" t="s">
        <v>111</v>
      </c>
      <c r="BP1707" t="s">
        <v>111</v>
      </c>
      <c r="BQ1707" t="s">
        <v>111</v>
      </c>
      <c r="BR1707" t="s">
        <v>111</v>
      </c>
      <c r="BS1707" t="s">
        <v>111</v>
      </c>
      <c r="BT1707" t="s">
        <v>111</v>
      </c>
      <c r="BU1707" t="s">
        <v>111</v>
      </c>
      <c r="BV1707" t="s">
        <v>111</v>
      </c>
      <c r="BW1707" t="s">
        <v>111</v>
      </c>
      <c r="BX1707" t="s">
        <v>111</v>
      </c>
      <c r="BY1707" t="s">
        <v>111</v>
      </c>
      <c r="BZ1707" t="s">
        <v>111</v>
      </c>
      <c r="CA1707" t="s">
        <v>111</v>
      </c>
      <c r="CB1707" t="s">
        <v>111</v>
      </c>
      <c r="CC1707" t="s">
        <v>111</v>
      </c>
      <c r="CD1707" t="s">
        <v>111</v>
      </c>
      <c r="CE1707" t="s">
        <v>111</v>
      </c>
      <c r="CF1707" t="s">
        <v>111</v>
      </c>
      <c r="CG1707" t="s">
        <v>111</v>
      </c>
      <c r="CH1707" t="s">
        <v>111</v>
      </c>
      <c r="CI1707" t="s">
        <v>111</v>
      </c>
      <c r="CJ1707" t="s">
        <v>111</v>
      </c>
      <c r="CK1707" t="s">
        <v>111</v>
      </c>
      <c r="CL1707" t="s">
        <v>111</v>
      </c>
      <c r="CM1707">
        <v>450</v>
      </c>
      <c r="CN1707" t="s">
        <v>113</v>
      </c>
      <c r="CO1707" t="s">
        <v>111</v>
      </c>
      <c r="CP1707" t="s">
        <v>1971</v>
      </c>
      <c r="CQ1707">
        <v>75</v>
      </c>
      <c r="CR1707">
        <v>10000</v>
      </c>
      <c r="CS1707">
        <v>200</v>
      </c>
      <c r="CT1707" s="1" t="s">
        <v>4721</v>
      </c>
      <c r="CU1707">
        <v>0</v>
      </c>
      <c r="CV1707" t="s">
        <v>111</v>
      </c>
      <c r="CX1707" t="s">
        <v>111</v>
      </c>
      <c r="CY1707">
        <v>0</v>
      </c>
      <c r="CZ1707" t="s">
        <v>111</v>
      </c>
      <c r="DA1707" t="s">
        <v>111</v>
      </c>
      <c r="DB1707" t="s">
        <v>111</v>
      </c>
      <c r="DC1707" t="s">
        <v>111</v>
      </c>
    </row>
    <row r="1708" spans="1:107">
      <c r="A1708">
        <v>1770</v>
      </c>
      <c r="B1708" t="s">
        <v>107</v>
      </c>
      <c r="C1708" t="s">
        <v>454</v>
      </c>
      <c r="D1708" t="s">
        <v>4630</v>
      </c>
      <c r="E1708" t="s">
        <v>4722</v>
      </c>
      <c r="F1708" t="s">
        <v>1651</v>
      </c>
      <c r="G1708" t="s">
        <v>24</v>
      </c>
      <c r="H1708">
        <v>1.7</v>
      </c>
      <c r="I1708">
        <v>40</v>
      </c>
      <c r="J1708">
        <v>0</v>
      </c>
      <c r="K1708">
        <v>0</v>
      </c>
      <c r="L1708" t="s">
        <v>112</v>
      </c>
      <c r="M1708" t="s">
        <v>118</v>
      </c>
      <c r="N1708">
        <v>40</v>
      </c>
      <c r="O1708">
        <v>2</v>
      </c>
      <c r="P1708" t="s">
        <v>138</v>
      </c>
      <c r="Q1708">
        <v>37.6</v>
      </c>
      <c r="R1708">
        <v>0</v>
      </c>
      <c r="S1708">
        <v>0</v>
      </c>
      <c r="T1708">
        <v>5</v>
      </c>
      <c r="U1708" t="e">
        <f>-IMPRESION DARMA</f>
        <v>#NAME?</v>
      </c>
      <c r="V1708">
        <v>0</v>
      </c>
      <c r="W1708">
        <v>0</v>
      </c>
      <c r="X1708">
        <v>0</v>
      </c>
      <c r="Y1708">
        <v>25</v>
      </c>
      <c r="Z1708" t="s">
        <v>111</v>
      </c>
      <c r="AA1708">
        <v>0</v>
      </c>
      <c r="AB1708" t="s">
        <v>111</v>
      </c>
      <c r="AC1708">
        <v>0</v>
      </c>
      <c r="AD1708" t="s">
        <v>416</v>
      </c>
      <c r="AE1708">
        <v>0</v>
      </c>
      <c r="AF1708">
        <v>0</v>
      </c>
      <c r="AG1708" t="s">
        <v>111</v>
      </c>
      <c r="AH1708" t="s">
        <v>111</v>
      </c>
      <c r="AI1708" t="s">
        <v>111</v>
      </c>
      <c r="AJ1708" t="s">
        <v>111</v>
      </c>
      <c r="AK1708" t="s">
        <v>111</v>
      </c>
      <c r="AL1708" t="s">
        <v>111</v>
      </c>
      <c r="AM1708">
        <v>0</v>
      </c>
      <c r="AN1708">
        <v>0</v>
      </c>
      <c r="AO1708">
        <v>0</v>
      </c>
      <c r="AP1708" t="s">
        <v>111</v>
      </c>
      <c r="AQ1708" t="s">
        <v>111</v>
      </c>
      <c r="AR1708" t="s">
        <v>111</v>
      </c>
      <c r="AS1708" t="s">
        <v>111</v>
      </c>
      <c r="AT1708" t="s">
        <v>111</v>
      </c>
      <c r="AU1708" t="s">
        <v>111</v>
      </c>
      <c r="AV1708" t="s">
        <v>111</v>
      </c>
      <c r="AW1708" t="s">
        <v>111</v>
      </c>
      <c r="AX1708" t="s">
        <v>111</v>
      </c>
      <c r="AY1708" t="s">
        <v>111</v>
      </c>
      <c r="AZ1708" t="s">
        <v>111</v>
      </c>
      <c r="BA1708" t="s">
        <v>111</v>
      </c>
      <c r="BB1708" t="s">
        <v>111</v>
      </c>
      <c r="BC1708" t="s">
        <v>111</v>
      </c>
      <c r="BD1708" t="s">
        <v>111</v>
      </c>
      <c r="BE1708" t="s">
        <v>111</v>
      </c>
      <c r="BF1708" t="s">
        <v>111</v>
      </c>
      <c r="BG1708" t="s">
        <v>111</v>
      </c>
      <c r="BH1708" t="s">
        <v>111</v>
      </c>
      <c r="BI1708" t="s">
        <v>111</v>
      </c>
      <c r="BJ1708" t="s">
        <v>111</v>
      </c>
      <c r="BK1708" t="s">
        <v>111</v>
      </c>
      <c r="BL1708" t="s">
        <v>111</v>
      </c>
      <c r="BM1708" t="s">
        <v>111</v>
      </c>
      <c r="BN1708" t="s">
        <v>111</v>
      </c>
      <c r="BO1708" t="s">
        <v>111</v>
      </c>
      <c r="BP1708" t="s">
        <v>111</v>
      </c>
      <c r="BQ1708" t="s">
        <v>111</v>
      </c>
      <c r="BR1708" t="s">
        <v>111</v>
      </c>
      <c r="BS1708" t="s">
        <v>111</v>
      </c>
      <c r="BT1708" t="s">
        <v>111</v>
      </c>
      <c r="BU1708" t="s">
        <v>111</v>
      </c>
      <c r="BV1708" t="s">
        <v>111</v>
      </c>
      <c r="BW1708" t="s">
        <v>111</v>
      </c>
      <c r="BX1708" t="s">
        <v>111</v>
      </c>
      <c r="BY1708" t="s">
        <v>111</v>
      </c>
      <c r="BZ1708" t="s">
        <v>111</v>
      </c>
      <c r="CA1708" t="s">
        <v>111</v>
      </c>
      <c r="CB1708" t="s">
        <v>111</v>
      </c>
      <c r="CC1708" t="s">
        <v>111</v>
      </c>
      <c r="CD1708" t="s">
        <v>111</v>
      </c>
      <c r="CE1708" t="s">
        <v>111</v>
      </c>
      <c r="CF1708" t="s">
        <v>111</v>
      </c>
      <c r="CG1708" t="s">
        <v>111</v>
      </c>
      <c r="CH1708" t="s">
        <v>111</v>
      </c>
      <c r="CI1708" t="s">
        <v>111</v>
      </c>
      <c r="CJ1708" t="s">
        <v>111</v>
      </c>
      <c r="CK1708" t="s">
        <v>111</v>
      </c>
      <c r="CL1708" t="s">
        <v>111</v>
      </c>
      <c r="CM1708" t="s">
        <v>135</v>
      </c>
      <c r="CN1708" t="s">
        <v>113</v>
      </c>
      <c r="CO1708" t="s">
        <v>111</v>
      </c>
      <c r="CP1708" t="s">
        <v>563</v>
      </c>
      <c r="CQ1708">
        <v>78</v>
      </c>
      <c r="CR1708">
        <v>3000</v>
      </c>
      <c r="CS1708">
        <v>100</v>
      </c>
      <c r="CT1708" t="e">
        <f>-DESTINO ALMACEN</f>
        <v>#NAME?</v>
      </c>
      <c r="CU1708">
        <v>0</v>
      </c>
      <c r="CV1708" t="s">
        <v>111</v>
      </c>
      <c r="CX1708" t="s">
        <v>111</v>
      </c>
      <c r="CY1708">
        <v>0</v>
      </c>
      <c r="CZ1708" t="s">
        <v>111</v>
      </c>
      <c r="DA1708" t="s">
        <v>111</v>
      </c>
      <c r="DB1708" t="s">
        <v>111</v>
      </c>
      <c r="DC1708" t="s">
        <v>111</v>
      </c>
    </row>
    <row r="1709" spans="1:107">
      <c r="A1709">
        <v>1771</v>
      </c>
      <c r="B1709" t="s">
        <v>107</v>
      </c>
      <c r="C1709" t="s">
        <v>454</v>
      </c>
      <c r="D1709" t="s">
        <v>4653</v>
      </c>
      <c r="E1709" t="s">
        <v>4723</v>
      </c>
      <c r="F1709" t="s">
        <v>1651</v>
      </c>
      <c r="G1709" t="s">
        <v>24</v>
      </c>
      <c r="H1709">
        <v>1.4</v>
      </c>
      <c r="I1709">
        <v>30</v>
      </c>
      <c r="J1709">
        <v>0</v>
      </c>
      <c r="K1709">
        <v>0</v>
      </c>
      <c r="L1709" t="s">
        <v>112</v>
      </c>
      <c r="M1709" t="s">
        <v>118</v>
      </c>
      <c r="N1709">
        <v>39</v>
      </c>
      <c r="O1709">
        <v>2</v>
      </c>
      <c r="P1709" t="s">
        <v>138</v>
      </c>
      <c r="Q1709">
        <v>34.299999999999997</v>
      </c>
      <c r="R1709">
        <v>0</v>
      </c>
      <c r="S1709">
        <v>0</v>
      </c>
      <c r="T1709">
        <v>5</v>
      </c>
      <c r="U1709" s="1" t="s">
        <v>4724</v>
      </c>
      <c r="V1709">
        <v>0</v>
      </c>
      <c r="W1709">
        <v>0</v>
      </c>
      <c r="X1709">
        <v>0</v>
      </c>
      <c r="Y1709">
        <v>25</v>
      </c>
      <c r="Z1709" t="s">
        <v>111</v>
      </c>
      <c r="AA1709">
        <v>0</v>
      </c>
      <c r="AB1709" t="s">
        <v>111</v>
      </c>
      <c r="AC1709">
        <v>0</v>
      </c>
      <c r="AD1709" t="s">
        <v>416</v>
      </c>
      <c r="AE1709">
        <v>0</v>
      </c>
      <c r="AF1709">
        <v>0</v>
      </c>
      <c r="AG1709" t="s">
        <v>111</v>
      </c>
      <c r="AH1709" t="s">
        <v>111</v>
      </c>
      <c r="AI1709" t="s">
        <v>111</v>
      </c>
      <c r="AJ1709" t="s">
        <v>111</v>
      </c>
      <c r="AK1709" t="s">
        <v>111</v>
      </c>
      <c r="AL1709" t="s">
        <v>111</v>
      </c>
      <c r="AM1709">
        <v>0</v>
      </c>
      <c r="AN1709">
        <v>0</v>
      </c>
      <c r="AO1709">
        <v>0</v>
      </c>
      <c r="AP1709" t="s">
        <v>111</v>
      </c>
      <c r="AQ1709" t="s">
        <v>111</v>
      </c>
      <c r="AR1709" t="s">
        <v>111</v>
      </c>
      <c r="AS1709" t="s">
        <v>111</v>
      </c>
      <c r="AT1709" t="s">
        <v>111</v>
      </c>
      <c r="AU1709" t="s">
        <v>111</v>
      </c>
      <c r="AV1709" t="s">
        <v>111</v>
      </c>
      <c r="AW1709" t="s">
        <v>111</v>
      </c>
      <c r="AX1709" t="s">
        <v>111</v>
      </c>
      <c r="AY1709" t="s">
        <v>111</v>
      </c>
      <c r="AZ1709" t="s">
        <v>111</v>
      </c>
      <c r="BA1709" t="s">
        <v>111</v>
      </c>
      <c r="BB1709" t="s">
        <v>111</v>
      </c>
      <c r="BC1709" t="s">
        <v>111</v>
      </c>
      <c r="BD1709" t="s">
        <v>111</v>
      </c>
      <c r="BE1709" t="s">
        <v>111</v>
      </c>
      <c r="BF1709" t="s">
        <v>111</v>
      </c>
      <c r="BG1709" t="s">
        <v>111</v>
      </c>
      <c r="BH1709" t="s">
        <v>111</v>
      </c>
      <c r="BI1709" t="s">
        <v>111</v>
      </c>
      <c r="BJ1709" t="s">
        <v>111</v>
      </c>
      <c r="BK1709" t="s">
        <v>111</v>
      </c>
      <c r="BL1709" t="s">
        <v>111</v>
      </c>
      <c r="BM1709" t="s">
        <v>111</v>
      </c>
      <c r="BN1709" t="s">
        <v>111</v>
      </c>
      <c r="BO1709" t="s">
        <v>111</v>
      </c>
      <c r="BP1709" t="s">
        <v>111</v>
      </c>
      <c r="BQ1709" t="s">
        <v>111</v>
      </c>
      <c r="BR1709" t="s">
        <v>111</v>
      </c>
      <c r="BS1709" t="s">
        <v>111</v>
      </c>
      <c r="BT1709" t="s">
        <v>111</v>
      </c>
      <c r="BU1709" t="s">
        <v>111</v>
      </c>
      <c r="BV1709" t="s">
        <v>111</v>
      </c>
      <c r="BW1709" t="s">
        <v>111</v>
      </c>
      <c r="BX1709" t="s">
        <v>111</v>
      </c>
      <c r="BY1709" t="s">
        <v>111</v>
      </c>
      <c r="BZ1709" t="s">
        <v>111</v>
      </c>
      <c r="CA1709" t="s">
        <v>111</v>
      </c>
      <c r="CB1709" t="s">
        <v>111</v>
      </c>
      <c r="CC1709" t="s">
        <v>111</v>
      </c>
      <c r="CD1709" t="s">
        <v>111</v>
      </c>
      <c r="CE1709" t="s">
        <v>111</v>
      </c>
      <c r="CF1709" t="s">
        <v>111</v>
      </c>
      <c r="CG1709" t="s">
        <v>111</v>
      </c>
      <c r="CH1709" t="s">
        <v>111</v>
      </c>
      <c r="CI1709" t="s">
        <v>111</v>
      </c>
      <c r="CJ1709" t="s">
        <v>111</v>
      </c>
      <c r="CK1709" t="s">
        <v>111</v>
      </c>
      <c r="CL1709" t="s">
        <v>111</v>
      </c>
      <c r="CM1709" t="s">
        <v>198</v>
      </c>
      <c r="CN1709" t="s">
        <v>113</v>
      </c>
      <c r="CO1709" t="s">
        <v>111</v>
      </c>
      <c r="CP1709" t="s">
        <v>563</v>
      </c>
      <c r="CQ1709">
        <v>80</v>
      </c>
      <c r="CR1709">
        <v>5000</v>
      </c>
      <c r="CS1709">
        <v>100</v>
      </c>
      <c r="CT1709" t="e">
        <f>-DESTINO ALMACEN</f>
        <v>#NAME?</v>
      </c>
      <c r="CU1709">
        <v>0</v>
      </c>
      <c r="CV1709" t="s">
        <v>111</v>
      </c>
      <c r="CX1709" t="s">
        <v>111</v>
      </c>
      <c r="CY1709">
        <v>0</v>
      </c>
      <c r="CZ1709" t="s">
        <v>111</v>
      </c>
      <c r="DA1709" t="s">
        <v>111</v>
      </c>
      <c r="DB1709" t="s">
        <v>111</v>
      </c>
      <c r="DC1709" t="s">
        <v>111</v>
      </c>
    </row>
    <row r="1710" spans="1:107">
      <c r="A1710">
        <v>1777</v>
      </c>
      <c r="B1710" t="s">
        <v>107</v>
      </c>
      <c r="C1710" t="s">
        <v>119</v>
      </c>
      <c r="D1710" t="s">
        <v>4532</v>
      </c>
      <c r="E1710" t="s">
        <v>4725</v>
      </c>
      <c r="F1710" t="s">
        <v>110</v>
      </c>
      <c r="G1710" t="s">
        <v>24</v>
      </c>
      <c r="H1710">
        <v>0.9</v>
      </c>
      <c r="I1710">
        <v>35</v>
      </c>
      <c r="J1710">
        <v>0</v>
      </c>
      <c r="K1710">
        <v>0</v>
      </c>
      <c r="L1710" t="s">
        <v>112</v>
      </c>
      <c r="M1710" t="s">
        <v>138</v>
      </c>
      <c r="N1710">
        <v>0</v>
      </c>
      <c r="O1710">
        <v>0</v>
      </c>
      <c r="P1710" t="s">
        <v>138</v>
      </c>
      <c r="Q1710">
        <v>33.5</v>
      </c>
      <c r="R1710">
        <v>0</v>
      </c>
      <c r="S1710">
        <v>0</v>
      </c>
      <c r="T1710">
        <v>1</v>
      </c>
      <c r="U1710" t="s">
        <v>111</v>
      </c>
      <c r="V1710">
        <v>0</v>
      </c>
      <c r="W1710">
        <v>0</v>
      </c>
      <c r="X1710">
        <v>0</v>
      </c>
      <c r="Y1710">
        <v>25</v>
      </c>
      <c r="Z1710" t="s">
        <v>111</v>
      </c>
      <c r="AA1710">
        <v>0</v>
      </c>
      <c r="AB1710" t="s">
        <v>111</v>
      </c>
      <c r="AC1710">
        <v>0</v>
      </c>
      <c r="AD1710" t="s">
        <v>111</v>
      </c>
      <c r="AE1710">
        <v>0</v>
      </c>
      <c r="AF1710">
        <v>0</v>
      </c>
      <c r="AG1710" t="s">
        <v>111</v>
      </c>
      <c r="AH1710" t="s">
        <v>111</v>
      </c>
      <c r="AI1710" t="s">
        <v>111</v>
      </c>
      <c r="AJ1710" t="s">
        <v>111</v>
      </c>
      <c r="AK1710" t="s">
        <v>111</v>
      </c>
      <c r="AL1710" t="s">
        <v>111</v>
      </c>
      <c r="AM1710">
        <v>0</v>
      </c>
      <c r="AN1710">
        <v>0</v>
      </c>
      <c r="AO1710">
        <v>0</v>
      </c>
      <c r="AP1710" t="s">
        <v>111</v>
      </c>
      <c r="AQ1710" t="s">
        <v>111</v>
      </c>
      <c r="AR1710" t="s">
        <v>111</v>
      </c>
      <c r="AS1710" t="s">
        <v>111</v>
      </c>
      <c r="AT1710" t="s">
        <v>111</v>
      </c>
      <c r="AU1710" t="s">
        <v>111</v>
      </c>
      <c r="AV1710" t="s">
        <v>111</v>
      </c>
      <c r="AW1710" t="s">
        <v>111</v>
      </c>
      <c r="AX1710" t="s">
        <v>111</v>
      </c>
      <c r="AY1710" t="s">
        <v>111</v>
      </c>
      <c r="AZ1710" t="s">
        <v>111</v>
      </c>
      <c r="BA1710" t="s">
        <v>111</v>
      </c>
      <c r="BB1710" t="s">
        <v>111</v>
      </c>
      <c r="BC1710" t="s">
        <v>111</v>
      </c>
      <c r="BD1710" t="s">
        <v>111</v>
      </c>
      <c r="BE1710" t="s">
        <v>111</v>
      </c>
      <c r="BF1710" t="s">
        <v>111</v>
      </c>
      <c r="BG1710" t="s">
        <v>111</v>
      </c>
      <c r="BH1710" t="s">
        <v>111</v>
      </c>
      <c r="BI1710" t="s">
        <v>111</v>
      </c>
      <c r="BJ1710" t="s">
        <v>111</v>
      </c>
      <c r="BK1710" t="s">
        <v>111</v>
      </c>
      <c r="BL1710" t="s">
        <v>111</v>
      </c>
      <c r="BM1710" t="s">
        <v>111</v>
      </c>
      <c r="BN1710" t="s">
        <v>111</v>
      </c>
      <c r="BO1710" t="s">
        <v>111</v>
      </c>
      <c r="BP1710" t="s">
        <v>111</v>
      </c>
      <c r="BQ1710" t="s">
        <v>111</v>
      </c>
      <c r="BR1710" t="s">
        <v>111</v>
      </c>
      <c r="BS1710" t="s">
        <v>111</v>
      </c>
      <c r="BT1710" t="s">
        <v>111</v>
      </c>
      <c r="BU1710" t="s">
        <v>111</v>
      </c>
      <c r="BV1710" t="s">
        <v>111</v>
      </c>
      <c r="BW1710" t="s">
        <v>111</v>
      </c>
      <c r="BX1710" t="s">
        <v>111</v>
      </c>
      <c r="BY1710" t="s">
        <v>111</v>
      </c>
      <c r="BZ1710" t="s">
        <v>111</v>
      </c>
      <c r="CA1710" t="s">
        <v>111</v>
      </c>
      <c r="CB1710" t="s">
        <v>111</v>
      </c>
      <c r="CC1710" t="s">
        <v>111</v>
      </c>
      <c r="CD1710" t="s">
        <v>111</v>
      </c>
      <c r="CE1710" t="s">
        <v>111</v>
      </c>
      <c r="CF1710" t="s">
        <v>111</v>
      </c>
      <c r="CG1710" t="s">
        <v>111</v>
      </c>
      <c r="CH1710" t="s">
        <v>111</v>
      </c>
      <c r="CI1710" t="s">
        <v>111</v>
      </c>
      <c r="CJ1710" t="s">
        <v>111</v>
      </c>
      <c r="CK1710" t="s">
        <v>111</v>
      </c>
      <c r="CL1710" t="s">
        <v>111</v>
      </c>
      <c r="CM1710" t="s">
        <v>111</v>
      </c>
      <c r="CN1710" t="s">
        <v>111</v>
      </c>
      <c r="CO1710" t="s">
        <v>111</v>
      </c>
      <c r="CP1710" t="s">
        <v>111</v>
      </c>
      <c r="CQ1710">
        <v>0</v>
      </c>
      <c r="CR1710">
        <v>0</v>
      </c>
      <c r="CS1710">
        <v>0</v>
      </c>
      <c r="CT1710" t="s">
        <v>111</v>
      </c>
      <c r="CU1710">
        <v>0</v>
      </c>
      <c r="CV1710" t="s">
        <v>111</v>
      </c>
      <c r="CX1710" t="s">
        <v>111</v>
      </c>
      <c r="CY1710">
        <v>0</v>
      </c>
      <c r="CZ1710" t="s">
        <v>111</v>
      </c>
      <c r="DA1710" t="s">
        <v>111</v>
      </c>
      <c r="DB1710" t="s">
        <v>111</v>
      </c>
      <c r="DC1710" t="s">
        <v>111</v>
      </c>
    </row>
    <row r="1711" spans="1:107">
      <c r="A1711">
        <v>1818</v>
      </c>
      <c r="B1711" t="s">
        <v>107</v>
      </c>
      <c r="C1711" t="s">
        <v>2274</v>
      </c>
      <c r="D1711" t="s">
        <v>4726</v>
      </c>
      <c r="E1711" t="s">
        <v>4727</v>
      </c>
      <c r="F1711" t="s">
        <v>1071</v>
      </c>
      <c r="G1711" t="s">
        <v>24</v>
      </c>
      <c r="H1711">
        <v>1.4</v>
      </c>
      <c r="I1711">
        <v>45</v>
      </c>
      <c r="J1711">
        <v>0</v>
      </c>
      <c r="K1711">
        <v>0</v>
      </c>
      <c r="L1711" t="s">
        <v>112</v>
      </c>
      <c r="M1711" t="s">
        <v>111</v>
      </c>
      <c r="N1711">
        <v>0</v>
      </c>
      <c r="O1711">
        <v>0</v>
      </c>
      <c r="P1711" t="s">
        <v>111</v>
      </c>
      <c r="Q1711">
        <v>41.1</v>
      </c>
      <c r="R1711">
        <v>0</v>
      </c>
      <c r="S1711">
        <v>0</v>
      </c>
      <c r="T1711">
        <v>5</v>
      </c>
      <c r="U1711" t="e">
        <f>-SELLADO</f>
        <v>#NAME?</v>
      </c>
      <c r="V1711">
        <v>0</v>
      </c>
      <c r="W1711">
        <v>0</v>
      </c>
      <c r="X1711">
        <v>0</v>
      </c>
      <c r="Y1711">
        <v>25</v>
      </c>
      <c r="Z1711" t="s">
        <v>111</v>
      </c>
      <c r="AA1711">
        <v>0</v>
      </c>
      <c r="AB1711" t="s">
        <v>111</v>
      </c>
      <c r="AC1711">
        <v>0</v>
      </c>
      <c r="AD1711" t="s">
        <v>111</v>
      </c>
      <c r="AE1711">
        <v>0</v>
      </c>
      <c r="AF1711">
        <v>0</v>
      </c>
      <c r="AG1711" t="s">
        <v>111</v>
      </c>
      <c r="AH1711" t="s">
        <v>111</v>
      </c>
      <c r="AI1711" t="s">
        <v>111</v>
      </c>
      <c r="AJ1711" t="s">
        <v>111</v>
      </c>
      <c r="AK1711" t="s">
        <v>111</v>
      </c>
      <c r="AL1711" t="s">
        <v>111</v>
      </c>
      <c r="AM1711">
        <v>0</v>
      </c>
      <c r="AN1711">
        <v>0</v>
      </c>
      <c r="AO1711">
        <v>0</v>
      </c>
      <c r="AP1711" t="s">
        <v>111</v>
      </c>
      <c r="AQ1711" t="s">
        <v>111</v>
      </c>
      <c r="AR1711" t="s">
        <v>111</v>
      </c>
      <c r="AS1711" t="s">
        <v>111</v>
      </c>
      <c r="AT1711" t="s">
        <v>111</v>
      </c>
      <c r="AU1711" t="s">
        <v>111</v>
      </c>
      <c r="AV1711" t="s">
        <v>111</v>
      </c>
      <c r="AW1711" t="s">
        <v>111</v>
      </c>
      <c r="AX1711" t="s">
        <v>111</v>
      </c>
      <c r="AY1711" t="s">
        <v>111</v>
      </c>
      <c r="AZ1711" t="s">
        <v>111</v>
      </c>
      <c r="BA1711" t="s">
        <v>111</v>
      </c>
      <c r="BB1711" t="s">
        <v>111</v>
      </c>
      <c r="BC1711" t="s">
        <v>111</v>
      </c>
      <c r="BD1711" t="s">
        <v>111</v>
      </c>
      <c r="BE1711" t="s">
        <v>111</v>
      </c>
      <c r="BF1711" t="s">
        <v>111</v>
      </c>
      <c r="BG1711" t="s">
        <v>111</v>
      </c>
      <c r="BH1711" t="s">
        <v>111</v>
      </c>
      <c r="BI1711" t="s">
        <v>111</v>
      </c>
      <c r="BJ1711" t="s">
        <v>111</v>
      </c>
      <c r="BK1711" t="s">
        <v>111</v>
      </c>
      <c r="BL1711" t="s">
        <v>111</v>
      </c>
      <c r="BM1711" t="s">
        <v>111</v>
      </c>
      <c r="BN1711" t="s">
        <v>111</v>
      </c>
      <c r="BO1711" t="s">
        <v>111</v>
      </c>
      <c r="BP1711" t="s">
        <v>111</v>
      </c>
      <c r="BQ1711" t="s">
        <v>111</v>
      </c>
      <c r="BR1711" t="s">
        <v>111</v>
      </c>
      <c r="BS1711" t="s">
        <v>111</v>
      </c>
      <c r="BT1711" t="s">
        <v>111</v>
      </c>
      <c r="BU1711" t="s">
        <v>111</v>
      </c>
      <c r="BV1711" t="s">
        <v>111</v>
      </c>
      <c r="BW1711" t="s">
        <v>111</v>
      </c>
      <c r="BX1711" t="s">
        <v>111</v>
      </c>
      <c r="BY1711" t="s">
        <v>111</v>
      </c>
      <c r="BZ1711" t="s">
        <v>111</v>
      </c>
      <c r="CA1711" t="s">
        <v>111</v>
      </c>
      <c r="CB1711" t="s">
        <v>111</v>
      </c>
      <c r="CC1711" t="s">
        <v>111</v>
      </c>
      <c r="CD1711" t="s">
        <v>111</v>
      </c>
      <c r="CE1711" t="s">
        <v>111</v>
      </c>
      <c r="CF1711" t="s">
        <v>111</v>
      </c>
      <c r="CG1711" t="s">
        <v>111</v>
      </c>
      <c r="CH1711" t="s">
        <v>111</v>
      </c>
      <c r="CI1711" t="s">
        <v>111</v>
      </c>
      <c r="CJ1711" t="s">
        <v>111</v>
      </c>
      <c r="CK1711" t="s">
        <v>111</v>
      </c>
      <c r="CL1711" t="s">
        <v>111</v>
      </c>
      <c r="CM1711" t="s">
        <v>438</v>
      </c>
      <c r="CN1711" t="s">
        <v>113</v>
      </c>
      <c r="CO1711" t="s">
        <v>111</v>
      </c>
      <c r="CP1711" t="s">
        <v>111</v>
      </c>
      <c r="CQ1711">
        <v>0</v>
      </c>
      <c r="CR1711">
        <v>2000</v>
      </c>
      <c r="CS1711">
        <v>200</v>
      </c>
      <c r="CT1711" s="1" t="s">
        <v>4512</v>
      </c>
      <c r="CU1711">
        <v>0</v>
      </c>
      <c r="CV1711" t="s">
        <v>111</v>
      </c>
      <c r="CX1711" t="s">
        <v>111</v>
      </c>
      <c r="CY1711">
        <v>0</v>
      </c>
      <c r="CZ1711" t="s">
        <v>111</v>
      </c>
      <c r="DA1711" t="s">
        <v>111</v>
      </c>
      <c r="DB1711" t="s">
        <v>111</v>
      </c>
      <c r="DC1711" t="s">
        <v>111</v>
      </c>
    </row>
    <row r="1712" spans="1:107">
      <c r="A1712">
        <v>1779</v>
      </c>
      <c r="B1712" t="s">
        <v>107</v>
      </c>
      <c r="C1712" t="s">
        <v>1643</v>
      </c>
      <c r="D1712" t="s">
        <v>4174</v>
      </c>
      <c r="E1712" t="s">
        <v>4728</v>
      </c>
      <c r="F1712" t="s">
        <v>2211</v>
      </c>
      <c r="G1712" t="s">
        <v>24</v>
      </c>
      <c r="H1712">
        <v>1.1000000000000001</v>
      </c>
      <c r="I1712">
        <v>28</v>
      </c>
      <c r="J1712">
        <v>0</v>
      </c>
      <c r="K1712">
        <v>0</v>
      </c>
      <c r="L1712" t="s">
        <v>117</v>
      </c>
      <c r="M1712" t="s">
        <v>138</v>
      </c>
      <c r="N1712">
        <v>0</v>
      </c>
      <c r="O1712">
        <v>0</v>
      </c>
      <c r="P1712" t="s">
        <v>138</v>
      </c>
      <c r="Q1712">
        <v>30</v>
      </c>
      <c r="R1712">
        <v>0</v>
      </c>
      <c r="S1712">
        <v>0</v>
      </c>
      <c r="T1712">
        <v>0</v>
      </c>
      <c r="U1712" t="e">
        <f>-DESTINO ALMACEN</f>
        <v>#NAME?</v>
      </c>
      <c r="V1712">
        <v>0</v>
      </c>
      <c r="W1712">
        <v>0</v>
      </c>
      <c r="X1712">
        <v>0</v>
      </c>
      <c r="Y1712">
        <v>25</v>
      </c>
      <c r="Z1712" t="s">
        <v>111</v>
      </c>
      <c r="AA1712">
        <v>0</v>
      </c>
      <c r="AB1712" t="s">
        <v>111</v>
      </c>
      <c r="AC1712">
        <v>0</v>
      </c>
      <c r="AD1712" t="s">
        <v>111</v>
      </c>
      <c r="AE1712">
        <v>0</v>
      </c>
      <c r="AF1712">
        <v>0</v>
      </c>
      <c r="AG1712" t="s">
        <v>111</v>
      </c>
      <c r="AH1712" t="s">
        <v>111</v>
      </c>
      <c r="AI1712" t="s">
        <v>111</v>
      </c>
      <c r="AJ1712" t="s">
        <v>111</v>
      </c>
      <c r="AK1712" t="s">
        <v>111</v>
      </c>
      <c r="AL1712" t="s">
        <v>111</v>
      </c>
      <c r="AM1712">
        <v>0</v>
      </c>
      <c r="AN1712">
        <v>0</v>
      </c>
      <c r="AO1712">
        <v>0</v>
      </c>
      <c r="AP1712" t="s">
        <v>111</v>
      </c>
      <c r="AQ1712" t="s">
        <v>111</v>
      </c>
      <c r="AR1712" t="s">
        <v>111</v>
      </c>
      <c r="AS1712" t="s">
        <v>111</v>
      </c>
      <c r="AT1712" t="s">
        <v>111</v>
      </c>
      <c r="AU1712" t="s">
        <v>111</v>
      </c>
      <c r="AV1712" t="s">
        <v>111</v>
      </c>
      <c r="AW1712" t="s">
        <v>111</v>
      </c>
      <c r="AX1712" t="s">
        <v>111</v>
      </c>
      <c r="AY1712" t="s">
        <v>111</v>
      </c>
      <c r="AZ1712" t="s">
        <v>111</v>
      </c>
      <c r="BA1712" t="s">
        <v>111</v>
      </c>
      <c r="BB1712" t="s">
        <v>111</v>
      </c>
      <c r="BC1712" t="s">
        <v>111</v>
      </c>
      <c r="BD1712" t="s">
        <v>111</v>
      </c>
      <c r="BE1712" t="s">
        <v>111</v>
      </c>
      <c r="BF1712" t="s">
        <v>111</v>
      </c>
      <c r="BG1712" t="s">
        <v>111</v>
      </c>
      <c r="BH1712" t="s">
        <v>111</v>
      </c>
      <c r="BI1712" t="s">
        <v>111</v>
      </c>
      <c r="BJ1712" t="s">
        <v>111</v>
      </c>
      <c r="BK1712" t="s">
        <v>111</v>
      </c>
      <c r="BL1712" t="s">
        <v>111</v>
      </c>
      <c r="BM1712" t="s">
        <v>111</v>
      </c>
      <c r="BN1712" t="s">
        <v>111</v>
      </c>
      <c r="BO1712" t="s">
        <v>111</v>
      </c>
      <c r="BP1712" t="s">
        <v>111</v>
      </c>
      <c r="BQ1712" t="s">
        <v>111</v>
      </c>
      <c r="BR1712" t="s">
        <v>111</v>
      </c>
      <c r="BS1712" t="s">
        <v>111</v>
      </c>
      <c r="BT1712" t="s">
        <v>111</v>
      </c>
      <c r="BU1712" t="s">
        <v>111</v>
      </c>
      <c r="BV1712" t="s">
        <v>111</v>
      </c>
      <c r="BW1712" t="s">
        <v>111</v>
      </c>
      <c r="BX1712" t="s">
        <v>111</v>
      </c>
      <c r="BY1712" t="s">
        <v>111</v>
      </c>
      <c r="BZ1712" t="s">
        <v>111</v>
      </c>
      <c r="CA1712" t="s">
        <v>111</v>
      </c>
      <c r="CB1712" t="s">
        <v>111</v>
      </c>
      <c r="CC1712" t="s">
        <v>111</v>
      </c>
      <c r="CD1712" t="s">
        <v>111</v>
      </c>
      <c r="CE1712" t="s">
        <v>111</v>
      </c>
      <c r="CF1712" t="s">
        <v>111</v>
      </c>
      <c r="CG1712" t="s">
        <v>111</v>
      </c>
      <c r="CH1712" t="s">
        <v>111</v>
      </c>
      <c r="CI1712" t="s">
        <v>111</v>
      </c>
      <c r="CJ1712" t="s">
        <v>111</v>
      </c>
      <c r="CK1712" t="s">
        <v>111</v>
      </c>
      <c r="CL1712" t="s">
        <v>111</v>
      </c>
      <c r="CM1712" t="s">
        <v>111</v>
      </c>
      <c r="CN1712" t="s">
        <v>111</v>
      </c>
      <c r="CO1712" t="s">
        <v>111</v>
      </c>
      <c r="CP1712" t="s">
        <v>111</v>
      </c>
      <c r="CQ1712">
        <v>0</v>
      </c>
      <c r="CR1712">
        <v>0</v>
      </c>
      <c r="CS1712">
        <v>0</v>
      </c>
      <c r="CT1712" t="s">
        <v>111</v>
      </c>
      <c r="CU1712">
        <v>0</v>
      </c>
      <c r="CV1712" t="s">
        <v>111</v>
      </c>
      <c r="CX1712" t="s">
        <v>111</v>
      </c>
      <c r="CY1712">
        <v>0</v>
      </c>
      <c r="CZ1712" t="s">
        <v>111</v>
      </c>
      <c r="DA1712" t="s">
        <v>111</v>
      </c>
      <c r="DB1712" t="s">
        <v>111</v>
      </c>
      <c r="DC1712" t="s">
        <v>111</v>
      </c>
    </row>
    <row r="1713" spans="1:107">
      <c r="A1713">
        <v>1810</v>
      </c>
      <c r="B1713" t="s">
        <v>107</v>
      </c>
      <c r="C1713" t="s">
        <v>3783</v>
      </c>
      <c r="D1713" t="s">
        <v>4729</v>
      </c>
      <c r="E1713" t="s">
        <v>4730</v>
      </c>
      <c r="F1713" t="s">
        <v>2211</v>
      </c>
      <c r="G1713" t="s">
        <v>24</v>
      </c>
      <c r="H1713">
        <v>1.9</v>
      </c>
      <c r="I1713">
        <v>40</v>
      </c>
      <c r="J1713">
        <v>0</v>
      </c>
      <c r="K1713">
        <v>0</v>
      </c>
      <c r="L1713" t="s">
        <v>117</v>
      </c>
      <c r="M1713" t="s">
        <v>118</v>
      </c>
      <c r="N1713">
        <v>39</v>
      </c>
      <c r="O1713">
        <v>1</v>
      </c>
      <c r="P1713" t="s">
        <v>111</v>
      </c>
      <c r="Q1713">
        <v>42.1</v>
      </c>
      <c r="R1713">
        <v>0</v>
      </c>
      <c r="S1713">
        <v>0</v>
      </c>
      <c r="T1713">
        <v>5</v>
      </c>
      <c r="U1713" s="1" t="s">
        <v>851</v>
      </c>
      <c r="V1713">
        <v>0</v>
      </c>
      <c r="W1713">
        <v>0</v>
      </c>
      <c r="X1713">
        <v>0</v>
      </c>
      <c r="Y1713">
        <v>25</v>
      </c>
      <c r="Z1713" t="s">
        <v>111</v>
      </c>
      <c r="AA1713">
        <v>0</v>
      </c>
      <c r="AB1713" t="s">
        <v>111</v>
      </c>
      <c r="AC1713">
        <v>0</v>
      </c>
      <c r="AD1713" t="s">
        <v>111</v>
      </c>
      <c r="AE1713">
        <v>0</v>
      </c>
      <c r="AF1713">
        <v>0</v>
      </c>
      <c r="AG1713" t="s">
        <v>111</v>
      </c>
      <c r="AH1713" t="s">
        <v>111</v>
      </c>
      <c r="AI1713" t="s">
        <v>111</v>
      </c>
      <c r="AJ1713" t="s">
        <v>111</v>
      </c>
      <c r="AK1713" t="s">
        <v>111</v>
      </c>
      <c r="AL1713" t="s">
        <v>111</v>
      </c>
      <c r="AM1713">
        <v>0</v>
      </c>
      <c r="AN1713">
        <v>0</v>
      </c>
      <c r="AO1713">
        <v>0</v>
      </c>
      <c r="AP1713" t="s">
        <v>111</v>
      </c>
      <c r="AQ1713" t="s">
        <v>111</v>
      </c>
      <c r="AR1713" t="s">
        <v>111</v>
      </c>
      <c r="AS1713" t="s">
        <v>111</v>
      </c>
      <c r="AT1713" t="s">
        <v>111</v>
      </c>
      <c r="AU1713" t="s">
        <v>111</v>
      </c>
      <c r="AV1713" t="s">
        <v>111</v>
      </c>
      <c r="AW1713" t="s">
        <v>111</v>
      </c>
      <c r="AX1713" t="s">
        <v>111</v>
      </c>
      <c r="AY1713" t="s">
        <v>111</v>
      </c>
      <c r="AZ1713" t="s">
        <v>111</v>
      </c>
      <c r="BA1713" t="s">
        <v>111</v>
      </c>
      <c r="BB1713" t="s">
        <v>111</v>
      </c>
      <c r="BC1713" t="s">
        <v>111</v>
      </c>
      <c r="BD1713" t="s">
        <v>111</v>
      </c>
      <c r="BE1713" t="s">
        <v>111</v>
      </c>
      <c r="BF1713" t="s">
        <v>111</v>
      </c>
      <c r="BG1713" t="s">
        <v>111</v>
      </c>
      <c r="BH1713" t="s">
        <v>111</v>
      </c>
      <c r="BI1713" t="s">
        <v>111</v>
      </c>
      <c r="BJ1713" t="s">
        <v>111</v>
      </c>
      <c r="BK1713" t="s">
        <v>111</v>
      </c>
      <c r="BL1713" t="s">
        <v>111</v>
      </c>
      <c r="BM1713" t="s">
        <v>111</v>
      </c>
      <c r="BN1713" t="s">
        <v>111</v>
      </c>
      <c r="BO1713" t="s">
        <v>111</v>
      </c>
      <c r="BP1713" t="s">
        <v>111</v>
      </c>
      <c r="BQ1713" t="s">
        <v>111</v>
      </c>
      <c r="BR1713" t="s">
        <v>111</v>
      </c>
      <c r="BS1713" t="s">
        <v>111</v>
      </c>
      <c r="BT1713" t="s">
        <v>111</v>
      </c>
      <c r="BU1713" t="s">
        <v>111</v>
      </c>
      <c r="BV1713" t="s">
        <v>111</v>
      </c>
      <c r="BW1713" t="s">
        <v>111</v>
      </c>
      <c r="BX1713" t="s">
        <v>111</v>
      </c>
      <c r="BY1713" t="s">
        <v>111</v>
      </c>
      <c r="BZ1713" t="s">
        <v>111</v>
      </c>
      <c r="CA1713" t="s">
        <v>111</v>
      </c>
      <c r="CB1713" t="s">
        <v>111</v>
      </c>
      <c r="CC1713" t="s">
        <v>111</v>
      </c>
      <c r="CD1713" t="s">
        <v>111</v>
      </c>
      <c r="CE1713" t="s">
        <v>111</v>
      </c>
      <c r="CF1713" t="s">
        <v>111</v>
      </c>
      <c r="CG1713" t="s">
        <v>111</v>
      </c>
      <c r="CH1713" t="s">
        <v>111</v>
      </c>
      <c r="CI1713" t="s">
        <v>111</v>
      </c>
      <c r="CJ1713" t="s">
        <v>111</v>
      </c>
      <c r="CK1713" t="s">
        <v>111</v>
      </c>
      <c r="CL1713" t="s">
        <v>111</v>
      </c>
      <c r="CM1713">
        <v>450</v>
      </c>
      <c r="CN1713" t="s">
        <v>113</v>
      </c>
      <c r="CO1713" t="s">
        <v>111</v>
      </c>
      <c r="CP1713" t="s">
        <v>111</v>
      </c>
      <c r="CQ1713">
        <v>0</v>
      </c>
      <c r="CR1713">
        <v>26000</v>
      </c>
      <c r="CS1713">
        <v>26000</v>
      </c>
      <c r="CT1713" t="e">
        <f>-ALMACEN</f>
        <v>#NAME?</v>
      </c>
      <c r="CU1713">
        <v>0</v>
      </c>
      <c r="CV1713" t="s">
        <v>111</v>
      </c>
      <c r="CX1713" t="s">
        <v>111</v>
      </c>
      <c r="CY1713">
        <v>0</v>
      </c>
      <c r="CZ1713" t="s">
        <v>111</v>
      </c>
      <c r="DA1713" t="s">
        <v>111</v>
      </c>
      <c r="DB1713" t="s">
        <v>111</v>
      </c>
      <c r="DC1713" t="s">
        <v>111</v>
      </c>
    </row>
    <row r="1714" spans="1:107">
      <c r="A1714">
        <v>1799</v>
      </c>
      <c r="B1714" t="s">
        <v>107</v>
      </c>
      <c r="C1714" t="s">
        <v>1643</v>
      </c>
      <c r="D1714" t="s">
        <v>4705</v>
      </c>
      <c r="E1714" t="s">
        <v>4731</v>
      </c>
      <c r="F1714" t="s">
        <v>2211</v>
      </c>
      <c r="G1714" t="s">
        <v>24</v>
      </c>
      <c r="H1714">
        <v>4</v>
      </c>
      <c r="I1714">
        <v>25</v>
      </c>
      <c r="J1714">
        <v>0</v>
      </c>
      <c r="K1714">
        <v>0</v>
      </c>
      <c r="L1714" t="s">
        <v>117</v>
      </c>
      <c r="M1714" t="s">
        <v>111</v>
      </c>
      <c r="N1714">
        <v>0</v>
      </c>
      <c r="O1714">
        <v>0</v>
      </c>
      <c r="P1714" t="s">
        <v>111</v>
      </c>
      <c r="Q1714">
        <v>15</v>
      </c>
      <c r="R1714">
        <v>0</v>
      </c>
      <c r="S1714">
        <v>0</v>
      </c>
      <c r="T1714">
        <v>0</v>
      </c>
      <c r="U1714" s="1" t="s">
        <v>4732</v>
      </c>
      <c r="V1714">
        <v>0</v>
      </c>
      <c r="W1714">
        <v>0</v>
      </c>
      <c r="X1714">
        <v>0</v>
      </c>
      <c r="Y1714">
        <v>25</v>
      </c>
      <c r="Z1714" t="s">
        <v>111</v>
      </c>
      <c r="AA1714">
        <v>0</v>
      </c>
      <c r="AB1714" t="s">
        <v>4055</v>
      </c>
      <c r="AC1714">
        <v>0.3</v>
      </c>
      <c r="AD1714" t="s">
        <v>111</v>
      </c>
      <c r="AE1714">
        <v>0</v>
      </c>
      <c r="AF1714">
        <v>0</v>
      </c>
      <c r="AG1714" t="s">
        <v>111</v>
      </c>
      <c r="AH1714" t="s">
        <v>111</v>
      </c>
      <c r="AI1714" t="s">
        <v>111</v>
      </c>
      <c r="AJ1714" t="s">
        <v>111</v>
      </c>
      <c r="AK1714" t="s">
        <v>111</v>
      </c>
      <c r="AL1714" t="s">
        <v>111</v>
      </c>
      <c r="AM1714">
        <v>0</v>
      </c>
      <c r="AN1714">
        <v>0</v>
      </c>
      <c r="AO1714">
        <v>0</v>
      </c>
      <c r="AP1714" t="s">
        <v>111</v>
      </c>
      <c r="AQ1714" t="s">
        <v>111</v>
      </c>
      <c r="AR1714" t="s">
        <v>111</v>
      </c>
      <c r="AS1714" t="s">
        <v>111</v>
      </c>
      <c r="AT1714" t="s">
        <v>111</v>
      </c>
      <c r="AU1714" t="s">
        <v>111</v>
      </c>
      <c r="AV1714" t="s">
        <v>111</v>
      </c>
      <c r="AW1714" t="s">
        <v>111</v>
      </c>
      <c r="AX1714" t="s">
        <v>111</v>
      </c>
      <c r="AY1714" t="s">
        <v>111</v>
      </c>
      <c r="AZ1714" t="s">
        <v>111</v>
      </c>
      <c r="BA1714" t="s">
        <v>111</v>
      </c>
      <c r="BB1714" t="s">
        <v>111</v>
      </c>
      <c r="BC1714" t="s">
        <v>111</v>
      </c>
      <c r="BD1714" t="s">
        <v>111</v>
      </c>
      <c r="BE1714" t="s">
        <v>111</v>
      </c>
      <c r="BF1714" t="s">
        <v>111</v>
      </c>
      <c r="BG1714" t="s">
        <v>111</v>
      </c>
      <c r="BH1714" t="s">
        <v>111</v>
      </c>
      <c r="BI1714" t="s">
        <v>111</v>
      </c>
      <c r="BJ1714" t="s">
        <v>111</v>
      </c>
      <c r="BK1714" t="s">
        <v>111</v>
      </c>
      <c r="BL1714" t="s">
        <v>111</v>
      </c>
      <c r="BM1714" t="s">
        <v>111</v>
      </c>
      <c r="BN1714" t="s">
        <v>111</v>
      </c>
      <c r="BO1714" t="s">
        <v>111</v>
      </c>
      <c r="BP1714" t="s">
        <v>111</v>
      </c>
      <c r="BQ1714" t="s">
        <v>111</v>
      </c>
      <c r="BR1714" t="s">
        <v>111</v>
      </c>
      <c r="BS1714" t="s">
        <v>111</v>
      </c>
      <c r="BT1714" t="s">
        <v>111</v>
      </c>
      <c r="BU1714" t="s">
        <v>111</v>
      </c>
      <c r="BV1714" t="s">
        <v>111</v>
      </c>
      <c r="BW1714" t="s">
        <v>111</v>
      </c>
      <c r="BX1714" t="s">
        <v>111</v>
      </c>
      <c r="BY1714" t="s">
        <v>111</v>
      </c>
      <c r="BZ1714" t="s">
        <v>111</v>
      </c>
      <c r="CA1714" t="s">
        <v>111</v>
      </c>
      <c r="CB1714" t="s">
        <v>111</v>
      </c>
      <c r="CC1714" t="s">
        <v>111</v>
      </c>
      <c r="CD1714" t="s">
        <v>111</v>
      </c>
      <c r="CE1714" t="s">
        <v>111</v>
      </c>
      <c r="CF1714" t="s">
        <v>111</v>
      </c>
      <c r="CG1714" t="s">
        <v>111</v>
      </c>
      <c r="CH1714" t="s">
        <v>111</v>
      </c>
      <c r="CI1714" t="s">
        <v>111</v>
      </c>
      <c r="CJ1714" t="s">
        <v>111</v>
      </c>
      <c r="CK1714" t="s">
        <v>111</v>
      </c>
      <c r="CL1714" t="s">
        <v>111</v>
      </c>
      <c r="CM1714" t="s">
        <v>111</v>
      </c>
      <c r="CN1714" t="s">
        <v>111</v>
      </c>
      <c r="CO1714" t="s">
        <v>111</v>
      </c>
      <c r="CP1714" t="s">
        <v>111</v>
      </c>
      <c r="CQ1714">
        <v>0</v>
      </c>
      <c r="CR1714">
        <v>0</v>
      </c>
      <c r="CS1714">
        <v>0</v>
      </c>
      <c r="CT1714" t="s">
        <v>111</v>
      </c>
      <c r="CU1714">
        <v>0</v>
      </c>
      <c r="CV1714" t="s">
        <v>111</v>
      </c>
      <c r="CX1714" t="s">
        <v>111</v>
      </c>
      <c r="CY1714">
        <v>0</v>
      </c>
      <c r="CZ1714" t="s">
        <v>111</v>
      </c>
      <c r="DA1714" t="s">
        <v>111</v>
      </c>
      <c r="DB1714" t="s">
        <v>111</v>
      </c>
      <c r="DC1714" t="s">
        <v>111</v>
      </c>
    </row>
    <row r="1715" spans="1:107">
      <c r="A1715">
        <v>1800</v>
      </c>
      <c r="B1715" t="s">
        <v>107</v>
      </c>
      <c r="C1715" t="s">
        <v>1643</v>
      </c>
      <c r="D1715" t="s">
        <v>4733</v>
      </c>
      <c r="E1715" t="s">
        <v>4734</v>
      </c>
      <c r="F1715" t="s">
        <v>2211</v>
      </c>
      <c r="G1715" t="s">
        <v>24</v>
      </c>
      <c r="H1715">
        <v>1</v>
      </c>
      <c r="I1715">
        <v>30</v>
      </c>
      <c r="J1715">
        <v>0</v>
      </c>
      <c r="K1715">
        <v>0</v>
      </c>
      <c r="L1715" t="s">
        <v>4438</v>
      </c>
      <c r="M1715" t="s">
        <v>111</v>
      </c>
      <c r="N1715">
        <v>0</v>
      </c>
      <c r="O1715">
        <v>0</v>
      </c>
      <c r="P1715" t="s">
        <v>111</v>
      </c>
      <c r="Q1715">
        <v>30</v>
      </c>
      <c r="R1715">
        <v>0</v>
      </c>
      <c r="S1715">
        <v>0</v>
      </c>
      <c r="T1715">
        <v>0</v>
      </c>
      <c r="U1715" s="1" t="s">
        <v>4735</v>
      </c>
      <c r="V1715">
        <v>0</v>
      </c>
      <c r="W1715">
        <v>0</v>
      </c>
      <c r="X1715">
        <v>0</v>
      </c>
      <c r="Y1715">
        <v>25</v>
      </c>
      <c r="Z1715" t="s">
        <v>111</v>
      </c>
      <c r="AA1715">
        <v>0</v>
      </c>
      <c r="AB1715" t="s">
        <v>4055</v>
      </c>
      <c r="AC1715">
        <v>0.3</v>
      </c>
      <c r="AD1715" t="s">
        <v>111</v>
      </c>
      <c r="AE1715">
        <v>0</v>
      </c>
      <c r="AF1715">
        <v>0</v>
      </c>
      <c r="AG1715" t="s">
        <v>111</v>
      </c>
      <c r="AH1715" t="s">
        <v>111</v>
      </c>
      <c r="AI1715" t="s">
        <v>111</v>
      </c>
      <c r="AJ1715" t="s">
        <v>111</v>
      </c>
      <c r="AK1715" t="s">
        <v>111</v>
      </c>
      <c r="AL1715" t="s">
        <v>111</v>
      </c>
      <c r="AM1715">
        <v>0</v>
      </c>
      <c r="AN1715">
        <v>0</v>
      </c>
      <c r="AO1715">
        <v>0</v>
      </c>
      <c r="AP1715" t="s">
        <v>111</v>
      </c>
      <c r="AQ1715" t="s">
        <v>111</v>
      </c>
      <c r="AR1715" t="s">
        <v>111</v>
      </c>
      <c r="AS1715" t="s">
        <v>111</v>
      </c>
      <c r="AT1715" t="s">
        <v>111</v>
      </c>
      <c r="AU1715" t="s">
        <v>111</v>
      </c>
      <c r="AV1715" t="s">
        <v>111</v>
      </c>
      <c r="AW1715" t="s">
        <v>111</v>
      </c>
      <c r="AX1715" t="s">
        <v>111</v>
      </c>
      <c r="AY1715" t="s">
        <v>111</v>
      </c>
      <c r="AZ1715" t="s">
        <v>111</v>
      </c>
      <c r="BA1715" t="s">
        <v>111</v>
      </c>
      <c r="BB1715" t="s">
        <v>111</v>
      </c>
      <c r="BC1715" t="s">
        <v>111</v>
      </c>
      <c r="BD1715" t="s">
        <v>111</v>
      </c>
      <c r="BE1715" t="s">
        <v>111</v>
      </c>
      <c r="BF1715" t="s">
        <v>111</v>
      </c>
      <c r="BG1715" t="s">
        <v>111</v>
      </c>
      <c r="BH1715" t="s">
        <v>111</v>
      </c>
      <c r="BI1715" t="s">
        <v>111</v>
      </c>
      <c r="BJ1715" t="s">
        <v>111</v>
      </c>
      <c r="BK1715" t="s">
        <v>111</v>
      </c>
      <c r="BL1715" t="s">
        <v>111</v>
      </c>
      <c r="BM1715" t="s">
        <v>111</v>
      </c>
      <c r="BN1715" t="s">
        <v>111</v>
      </c>
      <c r="BO1715" t="s">
        <v>111</v>
      </c>
      <c r="BP1715" t="s">
        <v>111</v>
      </c>
      <c r="BQ1715" t="s">
        <v>111</v>
      </c>
      <c r="BR1715" t="s">
        <v>111</v>
      </c>
      <c r="BS1715" t="s">
        <v>111</v>
      </c>
      <c r="BT1715" t="s">
        <v>111</v>
      </c>
      <c r="BU1715" t="s">
        <v>111</v>
      </c>
      <c r="BV1715" t="s">
        <v>111</v>
      </c>
      <c r="BW1715" t="s">
        <v>111</v>
      </c>
      <c r="BX1715" t="s">
        <v>111</v>
      </c>
      <c r="BY1715" t="s">
        <v>111</v>
      </c>
      <c r="BZ1715" t="s">
        <v>111</v>
      </c>
      <c r="CA1715" t="s">
        <v>111</v>
      </c>
      <c r="CB1715" t="s">
        <v>111</v>
      </c>
      <c r="CC1715" t="s">
        <v>111</v>
      </c>
      <c r="CD1715" t="s">
        <v>111</v>
      </c>
      <c r="CE1715" t="s">
        <v>111</v>
      </c>
      <c r="CF1715" t="s">
        <v>111</v>
      </c>
      <c r="CG1715" t="s">
        <v>111</v>
      </c>
      <c r="CH1715" t="s">
        <v>111</v>
      </c>
      <c r="CI1715" t="s">
        <v>111</v>
      </c>
      <c r="CJ1715" t="s">
        <v>111</v>
      </c>
      <c r="CK1715" t="s">
        <v>111</v>
      </c>
      <c r="CL1715" t="s">
        <v>111</v>
      </c>
      <c r="CM1715" t="s">
        <v>111</v>
      </c>
      <c r="CN1715" t="s">
        <v>111</v>
      </c>
      <c r="CO1715" t="s">
        <v>111</v>
      </c>
      <c r="CP1715" t="s">
        <v>111</v>
      </c>
      <c r="CQ1715">
        <v>0</v>
      </c>
      <c r="CR1715">
        <v>0</v>
      </c>
      <c r="CS1715">
        <v>0</v>
      </c>
      <c r="CT1715" t="s">
        <v>111</v>
      </c>
      <c r="CU1715">
        <v>0</v>
      </c>
      <c r="CV1715" t="s">
        <v>111</v>
      </c>
      <c r="CX1715" t="s">
        <v>111</v>
      </c>
      <c r="CY1715">
        <v>0</v>
      </c>
      <c r="CZ1715" t="s">
        <v>111</v>
      </c>
      <c r="DA1715" t="s">
        <v>111</v>
      </c>
      <c r="DB1715" t="s">
        <v>111</v>
      </c>
      <c r="DC1715" t="s">
        <v>111</v>
      </c>
    </row>
    <row r="1716" spans="1:107">
      <c r="A1716">
        <v>1816</v>
      </c>
      <c r="B1716" t="s">
        <v>107</v>
      </c>
      <c r="C1716" t="s">
        <v>2274</v>
      </c>
      <c r="D1716" t="s">
        <v>4736</v>
      </c>
      <c r="E1716" t="s">
        <v>4737</v>
      </c>
      <c r="F1716" t="s">
        <v>1071</v>
      </c>
      <c r="G1716" t="s">
        <v>24</v>
      </c>
      <c r="H1716">
        <v>1.4</v>
      </c>
      <c r="I1716">
        <v>40</v>
      </c>
      <c r="J1716">
        <v>0</v>
      </c>
      <c r="K1716">
        <v>0</v>
      </c>
      <c r="L1716" t="s">
        <v>112</v>
      </c>
      <c r="M1716" t="s">
        <v>138</v>
      </c>
      <c r="N1716">
        <v>0</v>
      </c>
      <c r="O1716">
        <v>0</v>
      </c>
      <c r="P1716" t="s">
        <v>111</v>
      </c>
      <c r="Q1716">
        <v>37.1</v>
      </c>
      <c r="R1716">
        <v>0</v>
      </c>
      <c r="S1716">
        <v>0</v>
      </c>
      <c r="T1716">
        <v>5</v>
      </c>
      <c r="U1716" t="e">
        <f>-SELLADO</f>
        <v>#NAME?</v>
      </c>
      <c r="V1716">
        <v>0</v>
      </c>
      <c r="W1716">
        <v>0</v>
      </c>
      <c r="X1716">
        <v>0</v>
      </c>
      <c r="Y1716">
        <v>25</v>
      </c>
      <c r="Z1716" t="s">
        <v>111</v>
      </c>
      <c r="AA1716">
        <v>0</v>
      </c>
      <c r="AB1716" t="s">
        <v>111</v>
      </c>
      <c r="AC1716">
        <v>0</v>
      </c>
      <c r="AD1716" t="s">
        <v>111</v>
      </c>
      <c r="AE1716">
        <v>0</v>
      </c>
      <c r="AF1716">
        <v>0</v>
      </c>
      <c r="AG1716" t="s">
        <v>111</v>
      </c>
      <c r="AH1716" t="s">
        <v>111</v>
      </c>
      <c r="AI1716" t="s">
        <v>111</v>
      </c>
      <c r="AJ1716" t="s">
        <v>111</v>
      </c>
      <c r="AK1716" t="s">
        <v>111</v>
      </c>
      <c r="AL1716" t="s">
        <v>111</v>
      </c>
      <c r="AM1716">
        <v>0</v>
      </c>
      <c r="AN1716">
        <v>0</v>
      </c>
      <c r="AO1716">
        <v>0</v>
      </c>
      <c r="AP1716" t="s">
        <v>111</v>
      </c>
      <c r="AQ1716" t="s">
        <v>111</v>
      </c>
      <c r="AR1716" t="s">
        <v>111</v>
      </c>
      <c r="AS1716" t="s">
        <v>111</v>
      </c>
      <c r="AT1716" t="s">
        <v>111</v>
      </c>
      <c r="AU1716" t="s">
        <v>111</v>
      </c>
      <c r="AV1716" t="s">
        <v>111</v>
      </c>
      <c r="AW1716" t="s">
        <v>111</v>
      </c>
      <c r="AX1716" t="s">
        <v>111</v>
      </c>
      <c r="AY1716" t="s">
        <v>111</v>
      </c>
      <c r="AZ1716" t="s">
        <v>111</v>
      </c>
      <c r="BA1716" t="s">
        <v>111</v>
      </c>
      <c r="BB1716" t="s">
        <v>111</v>
      </c>
      <c r="BC1716" t="s">
        <v>111</v>
      </c>
      <c r="BD1716" t="s">
        <v>111</v>
      </c>
      <c r="BE1716" t="s">
        <v>111</v>
      </c>
      <c r="BF1716" t="s">
        <v>111</v>
      </c>
      <c r="BG1716" t="s">
        <v>111</v>
      </c>
      <c r="BH1716" t="s">
        <v>111</v>
      </c>
      <c r="BI1716" t="s">
        <v>111</v>
      </c>
      <c r="BJ1716" t="s">
        <v>111</v>
      </c>
      <c r="BK1716" t="s">
        <v>111</v>
      </c>
      <c r="BL1716" t="s">
        <v>111</v>
      </c>
      <c r="BM1716" t="s">
        <v>111</v>
      </c>
      <c r="BN1716" t="s">
        <v>111</v>
      </c>
      <c r="BO1716" t="s">
        <v>111</v>
      </c>
      <c r="BP1716" t="s">
        <v>111</v>
      </c>
      <c r="BQ1716" t="s">
        <v>111</v>
      </c>
      <c r="BR1716" t="s">
        <v>111</v>
      </c>
      <c r="BS1716" t="s">
        <v>111</v>
      </c>
      <c r="BT1716" t="s">
        <v>111</v>
      </c>
      <c r="BU1716" t="s">
        <v>111</v>
      </c>
      <c r="BV1716" t="s">
        <v>111</v>
      </c>
      <c r="BW1716" t="s">
        <v>111</v>
      </c>
      <c r="BX1716" t="s">
        <v>111</v>
      </c>
      <c r="BY1716" t="s">
        <v>111</v>
      </c>
      <c r="BZ1716" t="s">
        <v>111</v>
      </c>
      <c r="CA1716" t="s">
        <v>111</v>
      </c>
      <c r="CB1716" t="s">
        <v>111</v>
      </c>
      <c r="CC1716" t="s">
        <v>111</v>
      </c>
      <c r="CD1716" t="s">
        <v>111</v>
      </c>
      <c r="CE1716" t="s">
        <v>111</v>
      </c>
      <c r="CF1716" t="s">
        <v>111</v>
      </c>
      <c r="CG1716" t="s">
        <v>111</v>
      </c>
      <c r="CH1716" t="s">
        <v>111</v>
      </c>
      <c r="CI1716" t="s">
        <v>111</v>
      </c>
      <c r="CJ1716" t="s">
        <v>111</v>
      </c>
      <c r="CK1716" t="s">
        <v>111</v>
      </c>
      <c r="CL1716" t="s">
        <v>111</v>
      </c>
      <c r="CM1716" t="s">
        <v>135</v>
      </c>
      <c r="CN1716" t="s">
        <v>113</v>
      </c>
      <c r="CO1716" t="s">
        <v>111</v>
      </c>
      <c r="CP1716" t="s">
        <v>111</v>
      </c>
      <c r="CQ1716">
        <v>0</v>
      </c>
      <c r="CR1716">
        <v>3000</v>
      </c>
      <c r="CS1716">
        <v>200</v>
      </c>
      <c r="CT1716" t="e">
        <f>-ALMACEN</f>
        <v>#NAME?</v>
      </c>
      <c r="CU1716">
        <v>0</v>
      </c>
      <c r="CV1716" t="s">
        <v>111</v>
      </c>
      <c r="CX1716" t="s">
        <v>111</v>
      </c>
      <c r="CY1716">
        <v>0</v>
      </c>
      <c r="CZ1716" t="s">
        <v>111</v>
      </c>
      <c r="DA1716" t="s">
        <v>111</v>
      </c>
      <c r="DB1716" t="s">
        <v>111</v>
      </c>
      <c r="DC1716" t="s">
        <v>111</v>
      </c>
    </row>
    <row r="1717" spans="1:107">
      <c r="A1717">
        <v>1827</v>
      </c>
      <c r="B1717" t="s">
        <v>107</v>
      </c>
      <c r="C1717" t="s">
        <v>4635</v>
      </c>
      <c r="D1717" t="s">
        <v>4636</v>
      </c>
      <c r="E1717" t="s">
        <v>4738</v>
      </c>
      <c r="F1717" t="s">
        <v>1651</v>
      </c>
      <c r="G1717" t="s">
        <v>24</v>
      </c>
      <c r="H1717">
        <v>1</v>
      </c>
      <c r="I1717">
        <v>25</v>
      </c>
      <c r="J1717">
        <v>0</v>
      </c>
      <c r="K1717">
        <v>0</v>
      </c>
      <c r="L1717" t="s">
        <v>117</v>
      </c>
      <c r="M1717" t="s">
        <v>118</v>
      </c>
      <c r="N1717">
        <v>39</v>
      </c>
      <c r="O1717">
        <v>1</v>
      </c>
      <c r="P1717" t="s">
        <v>111</v>
      </c>
      <c r="Q1717">
        <v>20</v>
      </c>
      <c r="R1717">
        <v>0</v>
      </c>
      <c r="S1717">
        <v>0</v>
      </c>
      <c r="T1717">
        <v>5</v>
      </c>
      <c r="U1717" t="e">
        <f>-IMPRESION DARMA</f>
        <v>#NAME?</v>
      </c>
      <c r="V1717">
        <v>0</v>
      </c>
      <c r="W1717">
        <v>0</v>
      </c>
      <c r="X1717">
        <v>0</v>
      </c>
      <c r="Y1717">
        <v>25</v>
      </c>
      <c r="Z1717" t="s">
        <v>111</v>
      </c>
      <c r="AA1717">
        <v>0</v>
      </c>
      <c r="AB1717" t="s">
        <v>111</v>
      </c>
      <c r="AC1717">
        <v>0</v>
      </c>
      <c r="AD1717" t="s">
        <v>416</v>
      </c>
      <c r="AE1717">
        <v>0</v>
      </c>
      <c r="AF1717">
        <v>0</v>
      </c>
      <c r="AG1717" t="s">
        <v>111</v>
      </c>
      <c r="AH1717" t="s">
        <v>113</v>
      </c>
      <c r="AI1717" t="s">
        <v>111</v>
      </c>
      <c r="AJ1717" t="s">
        <v>111</v>
      </c>
      <c r="AK1717" t="s">
        <v>111</v>
      </c>
      <c r="AL1717" t="s">
        <v>111</v>
      </c>
      <c r="AM1717">
        <v>0</v>
      </c>
      <c r="AN1717">
        <v>0</v>
      </c>
      <c r="AO1717">
        <v>0</v>
      </c>
      <c r="AP1717" t="s">
        <v>111</v>
      </c>
      <c r="AQ1717" t="s">
        <v>111</v>
      </c>
      <c r="AR1717" t="s">
        <v>111</v>
      </c>
      <c r="AS1717" t="s">
        <v>111</v>
      </c>
      <c r="AT1717" t="s">
        <v>111</v>
      </c>
      <c r="AU1717" t="s">
        <v>111</v>
      </c>
      <c r="AV1717" t="s">
        <v>111</v>
      </c>
      <c r="AW1717" t="s">
        <v>111</v>
      </c>
      <c r="AX1717" t="s">
        <v>111</v>
      </c>
      <c r="AY1717" t="s">
        <v>111</v>
      </c>
      <c r="AZ1717" t="s">
        <v>111</v>
      </c>
      <c r="BA1717" t="s">
        <v>111</v>
      </c>
      <c r="BB1717" t="s">
        <v>111</v>
      </c>
      <c r="BC1717" t="s">
        <v>111</v>
      </c>
      <c r="BD1717" t="s">
        <v>111</v>
      </c>
      <c r="BE1717" t="s">
        <v>111</v>
      </c>
      <c r="BF1717" t="s">
        <v>111</v>
      </c>
      <c r="BG1717" t="s">
        <v>111</v>
      </c>
      <c r="BH1717" t="s">
        <v>111</v>
      </c>
      <c r="BI1717" t="s">
        <v>111</v>
      </c>
      <c r="BJ1717" t="s">
        <v>111</v>
      </c>
      <c r="BK1717" t="s">
        <v>111</v>
      </c>
      <c r="BL1717" t="s">
        <v>111</v>
      </c>
      <c r="BM1717" t="s">
        <v>111</v>
      </c>
      <c r="BN1717" t="s">
        <v>111</v>
      </c>
      <c r="BO1717" t="s">
        <v>111</v>
      </c>
      <c r="BP1717" t="s">
        <v>111</v>
      </c>
      <c r="BQ1717" t="s">
        <v>111</v>
      </c>
      <c r="BR1717" t="s">
        <v>111</v>
      </c>
      <c r="BS1717" t="s">
        <v>111</v>
      </c>
      <c r="BT1717" t="s">
        <v>111</v>
      </c>
      <c r="BU1717" t="s">
        <v>111</v>
      </c>
      <c r="BV1717" t="s">
        <v>111</v>
      </c>
      <c r="BW1717" t="s">
        <v>111</v>
      </c>
      <c r="BX1717" t="s">
        <v>111</v>
      </c>
      <c r="BY1717" t="s">
        <v>111</v>
      </c>
      <c r="BZ1717" t="s">
        <v>111</v>
      </c>
      <c r="CA1717" t="s">
        <v>111</v>
      </c>
      <c r="CB1717" t="s">
        <v>111</v>
      </c>
      <c r="CC1717" t="s">
        <v>111</v>
      </c>
      <c r="CD1717" t="s">
        <v>111</v>
      </c>
      <c r="CE1717" t="s">
        <v>111</v>
      </c>
      <c r="CF1717" t="s">
        <v>111</v>
      </c>
      <c r="CG1717" t="s">
        <v>111</v>
      </c>
      <c r="CH1717" t="s">
        <v>111</v>
      </c>
      <c r="CI1717" t="s">
        <v>111</v>
      </c>
      <c r="CJ1717" t="s">
        <v>111</v>
      </c>
      <c r="CK1717" t="s">
        <v>111</v>
      </c>
      <c r="CL1717" t="s">
        <v>111</v>
      </c>
      <c r="CM1717">
        <v>450</v>
      </c>
      <c r="CN1717" t="s">
        <v>113</v>
      </c>
      <c r="CO1717" t="s">
        <v>111</v>
      </c>
      <c r="CP1717" t="s">
        <v>111</v>
      </c>
      <c r="CQ1717">
        <v>0</v>
      </c>
      <c r="CR1717">
        <v>15000</v>
      </c>
      <c r="CS1717">
        <v>500</v>
      </c>
      <c r="CT1717" t="e">
        <f>-ALMACEN</f>
        <v>#NAME?</v>
      </c>
      <c r="CU1717">
        <v>0</v>
      </c>
      <c r="CV1717" t="s">
        <v>111</v>
      </c>
      <c r="CX1717" t="s">
        <v>111</v>
      </c>
      <c r="CY1717">
        <v>0</v>
      </c>
      <c r="CZ1717" t="s">
        <v>111</v>
      </c>
      <c r="DA1717" t="s">
        <v>111</v>
      </c>
      <c r="DB1717" t="s">
        <v>111</v>
      </c>
      <c r="DC1717" t="s">
        <v>111</v>
      </c>
    </row>
    <row r="1718" spans="1:107">
      <c r="A1718">
        <v>1828</v>
      </c>
      <c r="B1718" t="s">
        <v>107</v>
      </c>
      <c r="C1718" t="s">
        <v>362</v>
      </c>
      <c r="D1718" t="s">
        <v>4739</v>
      </c>
      <c r="E1718" t="s">
        <v>4740</v>
      </c>
      <c r="F1718" t="s">
        <v>1071</v>
      </c>
      <c r="G1718" t="s">
        <v>24</v>
      </c>
      <c r="H1718">
        <v>1.4</v>
      </c>
      <c r="I1718">
        <v>35</v>
      </c>
      <c r="J1718">
        <v>0</v>
      </c>
      <c r="K1718">
        <v>0</v>
      </c>
      <c r="L1718" t="s">
        <v>112</v>
      </c>
      <c r="M1718" t="s">
        <v>111</v>
      </c>
      <c r="N1718">
        <v>0</v>
      </c>
      <c r="O1718">
        <v>0</v>
      </c>
      <c r="P1718" t="s">
        <v>111</v>
      </c>
      <c r="Q1718">
        <v>30</v>
      </c>
      <c r="R1718">
        <v>0</v>
      </c>
      <c r="S1718">
        <v>0</v>
      </c>
      <c r="T1718">
        <v>5</v>
      </c>
      <c r="U1718" t="e">
        <f>-SELLADO</f>
        <v>#NAME?</v>
      </c>
      <c r="V1718">
        <v>0</v>
      </c>
      <c r="W1718">
        <v>0</v>
      </c>
      <c r="X1718">
        <v>0</v>
      </c>
      <c r="Y1718">
        <v>25</v>
      </c>
      <c r="Z1718" t="s">
        <v>111</v>
      </c>
      <c r="AA1718">
        <v>0</v>
      </c>
      <c r="AB1718" t="s">
        <v>111</v>
      </c>
      <c r="AC1718">
        <v>0</v>
      </c>
      <c r="AD1718" t="s">
        <v>111</v>
      </c>
      <c r="AE1718">
        <v>0</v>
      </c>
      <c r="AF1718">
        <v>0</v>
      </c>
      <c r="AG1718" t="s">
        <v>111</v>
      </c>
      <c r="AH1718" t="s">
        <v>111</v>
      </c>
      <c r="AI1718" t="s">
        <v>111</v>
      </c>
      <c r="AJ1718" t="s">
        <v>111</v>
      </c>
      <c r="AK1718" t="s">
        <v>111</v>
      </c>
      <c r="AL1718" t="s">
        <v>111</v>
      </c>
      <c r="AM1718">
        <v>0</v>
      </c>
      <c r="AN1718">
        <v>0</v>
      </c>
      <c r="AO1718">
        <v>0</v>
      </c>
      <c r="AP1718" t="s">
        <v>111</v>
      </c>
      <c r="AQ1718" t="s">
        <v>111</v>
      </c>
      <c r="AR1718" t="s">
        <v>111</v>
      </c>
      <c r="AS1718" t="s">
        <v>111</v>
      </c>
      <c r="AT1718" t="s">
        <v>111</v>
      </c>
      <c r="AU1718" t="s">
        <v>111</v>
      </c>
      <c r="AV1718" t="s">
        <v>111</v>
      </c>
      <c r="AW1718" t="s">
        <v>111</v>
      </c>
      <c r="AX1718" t="s">
        <v>111</v>
      </c>
      <c r="AY1718" t="s">
        <v>111</v>
      </c>
      <c r="AZ1718" t="s">
        <v>111</v>
      </c>
      <c r="BA1718" t="s">
        <v>111</v>
      </c>
      <c r="BB1718" t="s">
        <v>111</v>
      </c>
      <c r="BC1718" t="s">
        <v>111</v>
      </c>
      <c r="BD1718" t="s">
        <v>111</v>
      </c>
      <c r="BE1718" t="s">
        <v>111</v>
      </c>
      <c r="BF1718" t="s">
        <v>111</v>
      </c>
      <c r="BG1718" t="s">
        <v>111</v>
      </c>
      <c r="BH1718" t="s">
        <v>111</v>
      </c>
      <c r="BI1718" t="s">
        <v>111</v>
      </c>
      <c r="BJ1718" t="s">
        <v>111</v>
      </c>
      <c r="BK1718" t="s">
        <v>111</v>
      </c>
      <c r="BL1718" t="s">
        <v>111</v>
      </c>
      <c r="BM1718" t="s">
        <v>111</v>
      </c>
      <c r="BN1718" t="s">
        <v>111</v>
      </c>
      <c r="BO1718" t="s">
        <v>111</v>
      </c>
      <c r="BP1718" t="s">
        <v>111</v>
      </c>
      <c r="BQ1718" t="s">
        <v>111</v>
      </c>
      <c r="BR1718" t="s">
        <v>111</v>
      </c>
      <c r="BS1718" t="s">
        <v>111</v>
      </c>
      <c r="BT1718" t="s">
        <v>111</v>
      </c>
      <c r="BU1718" t="s">
        <v>111</v>
      </c>
      <c r="BV1718" t="s">
        <v>111</v>
      </c>
      <c r="BW1718" t="s">
        <v>111</v>
      </c>
      <c r="BX1718" t="s">
        <v>111</v>
      </c>
      <c r="BY1718" t="s">
        <v>111</v>
      </c>
      <c r="BZ1718" t="s">
        <v>111</v>
      </c>
      <c r="CA1718" t="s">
        <v>111</v>
      </c>
      <c r="CB1718" t="s">
        <v>111</v>
      </c>
      <c r="CC1718" t="s">
        <v>111</v>
      </c>
      <c r="CD1718" t="s">
        <v>111</v>
      </c>
      <c r="CE1718" t="s">
        <v>111</v>
      </c>
      <c r="CF1718" t="s">
        <v>111</v>
      </c>
      <c r="CG1718" t="s">
        <v>111</v>
      </c>
      <c r="CH1718" t="s">
        <v>111</v>
      </c>
      <c r="CI1718" t="s">
        <v>111</v>
      </c>
      <c r="CJ1718" t="s">
        <v>111</v>
      </c>
      <c r="CK1718" t="s">
        <v>111</v>
      </c>
      <c r="CL1718" t="s">
        <v>111</v>
      </c>
      <c r="CM1718">
        <v>450</v>
      </c>
      <c r="CN1718" t="s">
        <v>113</v>
      </c>
      <c r="CO1718" t="s">
        <v>111</v>
      </c>
      <c r="CP1718" t="s">
        <v>111</v>
      </c>
      <c r="CQ1718">
        <v>0</v>
      </c>
      <c r="CR1718">
        <v>50000</v>
      </c>
      <c r="CS1718">
        <v>200</v>
      </c>
      <c r="CT1718" t="e">
        <f>-ALMACEN</f>
        <v>#NAME?</v>
      </c>
      <c r="CU1718">
        <v>0</v>
      </c>
      <c r="CV1718" t="s">
        <v>111</v>
      </c>
      <c r="CX1718" t="s">
        <v>111</v>
      </c>
      <c r="CY1718">
        <v>0</v>
      </c>
      <c r="CZ1718" t="s">
        <v>111</v>
      </c>
      <c r="DA1718" t="s">
        <v>111</v>
      </c>
      <c r="DB1718" t="s">
        <v>111</v>
      </c>
      <c r="DC1718" t="s">
        <v>111</v>
      </c>
    </row>
    <row r="1719" spans="1:107">
      <c r="A1719">
        <v>1766</v>
      </c>
      <c r="B1719" t="s">
        <v>107</v>
      </c>
      <c r="C1719" t="s">
        <v>3783</v>
      </c>
      <c r="D1719" t="s">
        <v>3960</v>
      </c>
      <c r="E1719" t="s">
        <v>4741</v>
      </c>
      <c r="F1719" t="s">
        <v>1260</v>
      </c>
      <c r="G1719" t="s">
        <v>24</v>
      </c>
      <c r="H1719">
        <v>1.9</v>
      </c>
      <c r="I1719">
        <v>40</v>
      </c>
      <c r="J1719">
        <v>0</v>
      </c>
      <c r="K1719">
        <v>0</v>
      </c>
      <c r="L1719" t="s">
        <v>117</v>
      </c>
      <c r="M1719" t="s">
        <v>118</v>
      </c>
      <c r="N1719">
        <v>40</v>
      </c>
      <c r="O1719">
        <v>1</v>
      </c>
      <c r="P1719" t="s">
        <v>118</v>
      </c>
      <c r="Q1719">
        <v>46.5</v>
      </c>
      <c r="R1719">
        <v>0</v>
      </c>
      <c r="S1719">
        <v>0</v>
      </c>
      <c r="T1719">
        <v>5</v>
      </c>
      <c r="U1719" t="e">
        <f>-IMPRESION DARMA</f>
        <v>#NAME?</v>
      </c>
      <c r="V1719">
        <v>0</v>
      </c>
      <c r="W1719">
        <v>0</v>
      </c>
      <c r="X1719">
        <v>0</v>
      </c>
      <c r="Y1719">
        <v>25</v>
      </c>
      <c r="Z1719" t="s">
        <v>111</v>
      </c>
      <c r="AA1719">
        <v>0</v>
      </c>
      <c r="AB1719" t="s">
        <v>111</v>
      </c>
      <c r="AC1719">
        <v>0</v>
      </c>
      <c r="AD1719" t="s">
        <v>416</v>
      </c>
      <c r="AE1719">
        <v>0</v>
      </c>
      <c r="AF1719">
        <v>0</v>
      </c>
      <c r="AG1719" t="s">
        <v>111</v>
      </c>
      <c r="AH1719" t="s">
        <v>111</v>
      </c>
      <c r="AI1719" t="s">
        <v>111</v>
      </c>
      <c r="AJ1719" t="s">
        <v>111</v>
      </c>
      <c r="AK1719" t="s">
        <v>111</v>
      </c>
      <c r="AL1719" t="s">
        <v>111</v>
      </c>
      <c r="AM1719">
        <v>0</v>
      </c>
      <c r="AN1719">
        <v>0</v>
      </c>
      <c r="AO1719">
        <v>0</v>
      </c>
      <c r="AP1719" t="s">
        <v>111</v>
      </c>
      <c r="AQ1719" t="s">
        <v>111</v>
      </c>
      <c r="AR1719" t="s">
        <v>111</v>
      </c>
      <c r="AS1719" t="s">
        <v>111</v>
      </c>
      <c r="AT1719" t="s">
        <v>111</v>
      </c>
      <c r="AU1719" t="s">
        <v>111</v>
      </c>
      <c r="AV1719" t="s">
        <v>111</v>
      </c>
      <c r="AW1719" t="s">
        <v>111</v>
      </c>
      <c r="AX1719" t="s">
        <v>111</v>
      </c>
      <c r="AY1719" t="s">
        <v>111</v>
      </c>
      <c r="AZ1719" t="s">
        <v>111</v>
      </c>
      <c r="BA1719" t="s">
        <v>111</v>
      </c>
      <c r="BB1719" t="s">
        <v>111</v>
      </c>
      <c r="BC1719" t="s">
        <v>111</v>
      </c>
      <c r="BD1719" t="s">
        <v>111</v>
      </c>
      <c r="BE1719" t="s">
        <v>111</v>
      </c>
      <c r="BF1719" t="s">
        <v>111</v>
      </c>
      <c r="BG1719" t="s">
        <v>111</v>
      </c>
      <c r="BH1719" t="s">
        <v>111</v>
      </c>
      <c r="BI1719" t="s">
        <v>111</v>
      </c>
      <c r="BJ1719" t="s">
        <v>111</v>
      </c>
      <c r="BK1719" t="s">
        <v>111</v>
      </c>
      <c r="BL1719" t="s">
        <v>111</v>
      </c>
      <c r="BM1719" t="s">
        <v>111</v>
      </c>
      <c r="BN1719" t="s">
        <v>111</v>
      </c>
      <c r="BO1719" t="s">
        <v>111</v>
      </c>
      <c r="BP1719" t="s">
        <v>111</v>
      </c>
      <c r="BQ1719" t="s">
        <v>111</v>
      </c>
      <c r="BR1719" t="s">
        <v>111</v>
      </c>
      <c r="BS1719" t="s">
        <v>111</v>
      </c>
      <c r="BT1719" t="s">
        <v>111</v>
      </c>
      <c r="BU1719" t="s">
        <v>111</v>
      </c>
      <c r="BV1719" t="s">
        <v>111</v>
      </c>
      <c r="BW1719" t="s">
        <v>111</v>
      </c>
      <c r="BX1719" t="s">
        <v>111</v>
      </c>
      <c r="BY1719" t="s">
        <v>111</v>
      </c>
      <c r="BZ1719" t="s">
        <v>111</v>
      </c>
      <c r="CA1719" t="s">
        <v>111</v>
      </c>
      <c r="CB1719" t="s">
        <v>111</v>
      </c>
      <c r="CC1719" t="s">
        <v>111</v>
      </c>
      <c r="CD1719" t="s">
        <v>111</v>
      </c>
      <c r="CE1719" t="s">
        <v>111</v>
      </c>
      <c r="CF1719" t="s">
        <v>111</v>
      </c>
      <c r="CG1719" t="s">
        <v>111</v>
      </c>
      <c r="CH1719" t="s">
        <v>111</v>
      </c>
      <c r="CI1719" t="s">
        <v>111</v>
      </c>
      <c r="CJ1719" t="s">
        <v>111</v>
      </c>
      <c r="CK1719" t="s">
        <v>111</v>
      </c>
      <c r="CL1719" t="s">
        <v>111</v>
      </c>
      <c r="CM1719">
        <v>450</v>
      </c>
      <c r="CN1719" t="s">
        <v>113</v>
      </c>
      <c r="CO1719" t="s">
        <v>111</v>
      </c>
      <c r="CP1719" t="s">
        <v>111</v>
      </c>
      <c r="CQ1719">
        <v>0</v>
      </c>
      <c r="CR1719">
        <v>26000</v>
      </c>
      <c r="CS1719">
        <v>26000</v>
      </c>
      <c r="CT1719" t="e">
        <f>-ALMACEN</f>
        <v>#NAME?</v>
      </c>
      <c r="CU1719">
        <v>0</v>
      </c>
      <c r="CV1719" t="s">
        <v>111</v>
      </c>
      <c r="CX1719" t="s">
        <v>111</v>
      </c>
      <c r="CY1719">
        <v>0</v>
      </c>
      <c r="CZ1719" t="s">
        <v>111</v>
      </c>
      <c r="DA1719" t="s">
        <v>111</v>
      </c>
      <c r="DB1719" t="s">
        <v>111</v>
      </c>
      <c r="DC1719" t="s">
        <v>111</v>
      </c>
    </row>
    <row r="1720" spans="1:107">
      <c r="A1720">
        <v>1778</v>
      </c>
      <c r="B1720" t="s">
        <v>107</v>
      </c>
      <c r="C1720" t="s">
        <v>180</v>
      </c>
      <c r="D1720" t="s">
        <v>4232</v>
      </c>
      <c r="E1720" t="s">
        <v>4742</v>
      </c>
      <c r="F1720" t="s">
        <v>1651</v>
      </c>
      <c r="G1720" t="s">
        <v>24</v>
      </c>
      <c r="H1720">
        <v>2.4</v>
      </c>
      <c r="I1720">
        <v>50</v>
      </c>
      <c r="J1720">
        <v>0</v>
      </c>
      <c r="K1720">
        <v>0</v>
      </c>
      <c r="L1720" t="s">
        <v>117</v>
      </c>
      <c r="M1720" t="s">
        <v>118</v>
      </c>
      <c r="N1720">
        <v>39</v>
      </c>
      <c r="O1720">
        <v>1</v>
      </c>
      <c r="P1720" t="s">
        <v>138</v>
      </c>
      <c r="Q1720">
        <v>41.1</v>
      </c>
      <c r="R1720">
        <v>0</v>
      </c>
      <c r="S1720">
        <v>0</v>
      </c>
      <c r="T1720">
        <v>5</v>
      </c>
      <c r="U1720" s="1" t="s">
        <v>4743</v>
      </c>
      <c r="V1720">
        <v>0</v>
      </c>
      <c r="W1720">
        <v>0</v>
      </c>
      <c r="X1720">
        <v>0</v>
      </c>
      <c r="Y1720">
        <v>25</v>
      </c>
      <c r="Z1720" t="s">
        <v>111</v>
      </c>
      <c r="AA1720">
        <v>0</v>
      </c>
      <c r="AB1720" t="s">
        <v>3954</v>
      </c>
      <c r="AC1720">
        <v>3</v>
      </c>
      <c r="AD1720" t="s">
        <v>416</v>
      </c>
      <c r="AE1720">
        <v>0</v>
      </c>
      <c r="AF1720">
        <v>0</v>
      </c>
      <c r="AG1720" t="s">
        <v>111</v>
      </c>
      <c r="AH1720" t="s">
        <v>113</v>
      </c>
      <c r="AI1720" t="s">
        <v>111</v>
      </c>
      <c r="AJ1720" t="s">
        <v>111</v>
      </c>
      <c r="AK1720" t="s">
        <v>111</v>
      </c>
      <c r="AL1720" t="s">
        <v>111</v>
      </c>
      <c r="AM1720">
        <v>0</v>
      </c>
      <c r="AN1720">
        <v>0</v>
      </c>
      <c r="AO1720">
        <v>0</v>
      </c>
      <c r="AP1720" t="s">
        <v>111</v>
      </c>
      <c r="AQ1720" t="s">
        <v>111</v>
      </c>
      <c r="AR1720" t="s">
        <v>111</v>
      </c>
      <c r="AS1720" t="s">
        <v>111</v>
      </c>
      <c r="AT1720" t="s">
        <v>111</v>
      </c>
      <c r="AU1720" t="s">
        <v>111</v>
      </c>
      <c r="AV1720" t="s">
        <v>111</v>
      </c>
      <c r="AW1720" t="s">
        <v>111</v>
      </c>
      <c r="AX1720" t="s">
        <v>111</v>
      </c>
      <c r="AY1720" t="s">
        <v>111</v>
      </c>
      <c r="AZ1720" t="s">
        <v>111</v>
      </c>
      <c r="BA1720" t="s">
        <v>111</v>
      </c>
      <c r="BB1720" t="s">
        <v>111</v>
      </c>
      <c r="BC1720" t="s">
        <v>111</v>
      </c>
      <c r="BD1720" t="s">
        <v>111</v>
      </c>
      <c r="BE1720" t="s">
        <v>111</v>
      </c>
      <c r="BF1720" t="s">
        <v>111</v>
      </c>
      <c r="BG1720" t="s">
        <v>111</v>
      </c>
      <c r="BH1720" t="s">
        <v>111</v>
      </c>
      <c r="BI1720" t="s">
        <v>111</v>
      </c>
      <c r="BJ1720" t="s">
        <v>111</v>
      </c>
      <c r="BK1720" t="s">
        <v>111</v>
      </c>
      <c r="BL1720" t="s">
        <v>111</v>
      </c>
      <c r="BM1720" t="s">
        <v>111</v>
      </c>
      <c r="BN1720" t="s">
        <v>111</v>
      </c>
      <c r="BO1720" t="s">
        <v>111</v>
      </c>
      <c r="BP1720" t="s">
        <v>111</v>
      </c>
      <c r="BQ1720" t="s">
        <v>111</v>
      </c>
      <c r="BR1720" t="s">
        <v>111</v>
      </c>
      <c r="BS1720" t="s">
        <v>111</v>
      </c>
      <c r="BT1720" t="s">
        <v>111</v>
      </c>
      <c r="BU1720" t="s">
        <v>111</v>
      </c>
      <c r="BV1720" t="s">
        <v>111</v>
      </c>
      <c r="BW1720" t="s">
        <v>111</v>
      </c>
      <c r="BX1720" t="s">
        <v>111</v>
      </c>
      <c r="BY1720" t="s">
        <v>111</v>
      </c>
      <c r="BZ1720" t="s">
        <v>111</v>
      </c>
      <c r="CA1720" t="s">
        <v>111</v>
      </c>
      <c r="CB1720" t="s">
        <v>111</v>
      </c>
      <c r="CC1720" t="s">
        <v>111</v>
      </c>
      <c r="CD1720" t="s">
        <v>111</v>
      </c>
      <c r="CE1720" t="s">
        <v>111</v>
      </c>
      <c r="CF1720" t="s">
        <v>111</v>
      </c>
      <c r="CG1720" t="s">
        <v>111</v>
      </c>
      <c r="CH1720" t="s">
        <v>111</v>
      </c>
      <c r="CI1720" t="s">
        <v>111</v>
      </c>
      <c r="CJ1720" t="s">
        <v>111</v>
      </c>
      <c r="CK1720" t="s">
        <v>111</v>
      </c>
      <c r="CL1720" t="s">
        <v>111</v>
      </c>
      <c r="CM1720" t="s">
        <v>135</v>
      </c>
      <c r="CN1720" t="s">
        <v>113</v>
      </c>
      <c r="CO1720" t="s">
        <v>111</v>
      </c>
      <c r="CP1720" t="s">
        <v>1971</v>
      </c>
      <c r="CQ1720">
        <v>0</v>
      </c>
      <c r="CR1720">
        <v>3000</v>
      </c>
      <c r="CS1720">
        <v>100</v>
      </c>
      <c r="CT1720" t="e">
        <f>-MANUALES</f>
        <v>#NAME?</v>
      </c>
      <c r="CU1720">
        <v>0</v>
      </c>
      <c r="CV1720" t="s">
        <v>111</v>
      </c>
      <c r="CX1720" t="s">
        <v>111</v>
      </c>
      <c r="CY1720">
        <v>0</v>
      </c>
      <c r="CZ1720" t="s">
        <v>111</v>
      </c>
      <c r="DA1720" t="s">
        <v>111</v>
      </c>
      <c r="DB1720" t="e">
        <f>-EXTERNO</f>
        <v>#NAME?</v>
      </c>
      <c r="DC1720" t="e">
        <f>-PEGAR GANCHO</f>
        <v>#NAME?</v>
      </c>
    </row>
    <row r="1721" spans="1:107">
      <c r="A1721">
        <v>772</v>
      </c>
      <c r="B1721" t="s">
        <v>107</v>
      </c>
      <c r="C1721" t="s">
        <v>272</v>
      </c>
      <c r="D1721" t="s">
        <v>4744</v>
      </c>
      <c r="E1721" t="s">
        <v>4745</v>
      </c>
      <c r="F1721" t="s">
        <v>1651</v>
      </c>
      <c r="G1721" t="s">
        <v>24</v>
      </c>
      <c r="H1721">
        <v>0.8</v>
      </c>
      <c r="I1721">
        <v>38</v>
      </c>
      <c r="J1721">
        <v>0</v>
      </c>
      <c r="K1721">
        <v>0</v>
      </c>
      <c r="L1721" t="s">
        <v>112</v>
      </c>
      <c r="M1721" t="s">
        <v>118</v>
      </c>
      <c r="N1721">
        <v>40</v>
      </c>
      <c r="O1721">
        <v>1</v>
      </c>
      <c r="P1721" t="s">
        <v>138</v>
      </c>
      <c r="Q1721">
        <v>35</v>
      </c>
      <c r="R1721">
        <v>0</v>
      </c>
      <c r="S1721">
        <v>0</v>
      </c>
      <c r="T1721">
        <v>0</v>
      </c>
      <c r="U1721" s="1" t="s">
        <v>4746</v>
      </c>
      <c r="V1721">
        <v>0</v>
      </c>
      <c r="W1721">
        <v>0</v>
      </c>
      <c r="X1721">
        <v>0</v>
      </c>
      <c r="Y1721">
        <v>25</v>
      </c>
      <c r="Z1721" t="s">
        <v>111</v>
      </c>
      <c r="AA1721">
        <v>0</v>
      </c>
      <c r="AB1721">
        <v>0</v>
      </c>
      <c r="AC1721">
        <v>0</v>
      </c>
      <c r="AD1721" t="s">
        <v>416</v>
      </c>
      <c r="AE1721">
        <v>3</v>
      </c>
      <c r="AF1721">
        <v>1</v>
      </c>
      <c r="AG1721">
        <v>26</v>
      </c>
      <c r="AH1721" t="s">
        <v>113</v>
      </c>
      <c r="AI1721">
        <v>26</v>
      </c>
      <c r="AJ1721" t="s">
        <v>111</v>
      </c>
      <c r="AK1721" t="s">
        <v>111</v>
      </c>
      <c r="AL1721" t="s">
        <v>111</v>
      </c>
      <c r="AM1721">
        <v>0</v>
      </c>
      <c r="AN1721">
        <v>0</v>
      </c>
      <c r="AO1721">
        <v>0</v>
      </c>
      <c r="AP1721" t="s">
        <v>1431</v>
      </c>
      <c r="AQ1721" t="s">
        <v>111</v>
      </c>
      <c r="AR1721" t="s">
        <v>111</v>
      </c>
      <c r="AS1721" t="s">
        <v>111</v>
      </c>
      <c r="AT1721" t="s">
        <v>1235</v>
      </c>
      <c r="AU1721" t="s">
        <v>111</v>
      </c>
      <c r="AV1721" t="s">
        <v>111</v>
      </c>
      <c r="AW1721" t="s">
        <v>111</v>
      </c>
      <c r="AX1721" t="s">
        <v>259</v>
      </c>
      <c r="AY1721" t="s">
        <v>111</v>
      </c>
      <c r="AZ1721" t="s">
        <v>111</v>
      </c>
      <c r="BA1721" t="s">
        <v>111</v>
      </c>
      <c r="BB1721" t="s">
        <v>111</v>
      </c>
      <c r="BC1721" t="s">
        <v>111</v>
      </c>
      <c r="BD1721" t="s">
        <v>111</v>
      </c>
      <c r="BE1721" t="s">
        <v>111</v>
      </c>
      <c r="BF1721" t="s">
        <v>111</v>
      </c>
      <c r="BG1721" t="s">
        <v>111</v>
      </c>
      <c r="BH1721" t="s">
        <v>111</v>
      </c>
      <c r="BI1721" t="s">
        <v>111</v>
      </c>
      <c r="BJ1721" t="s">
        <v>111</v>
      </c>
      <c r="BK1721" t="s">
        <v>111</v>
      </c>
      <c r="BL1721" t="s">
        <v>111</v>
      </c>
      <c r="BM1721" t="s">
        <v>111</v>
      </c>
      <c r="BN1721" t="s">
        <v>111</v>
      </c>
      <c r="BO1721" t="s">
        <v>111</v>
      </c>
      <c r="BP1721" t="s">
        <v>111</v>
      </c>
      <c r="BQ1721" t="s">
        <v>111</v>
      </c>
      <c r="BR1721" t="s">
        <v>111</v>
      </c>
      <c r="BS1721" t="s">
        <v>111</v>
      </c>
      <c r="BT1721" t="s">
        <v>111</v>
      </c>
      <c r="BU1721" t="s">
        <v>111</v>
      </c>
      <c r="BV1721" t="s">
        <v>111</v>
      </c>
      <c r="BW1721" t="s">
        <v>111</v>
      </c>
      <c r="BX1721" t="s">
        <v>111</v>
      </c>
      <c r="BY1721" t="s">
        <v>111</v>
      </c>
      <c r="BZ1721" t="s">
        <v>111</v>
      </c>
      <c r="CA1721" t="s">
        <v>111</v>
      </c>
      <c r="CB1721" t="s">
        <v>111</v>
      </c>
      <c r="CC1721" t="s">
        <v>111</v>
      </c>
      <c r="CD1721" t="s">
        <v>111</v>
      </c>
      <c r="CE1721" t="s">
        <v>111</v>
      </c>
      <c r="CF1721" t="s">
        <v>111</v>
      </c>
      <c r="CG1721" t="s">
        <v>111</v>
      </c>
      <c r="CH1721" t="s">
        <v>111</v>
      </c>
      <c r="CI1721" t="s">
        <v>111</v>
      </c>
      <c r="CJ1721" t="s">
        <v>111</v>
      </c>
      <c r="CK1721" t="s">
        <v>111</v>
      </c>
      <c r="CL1721" t="e">
        <f>-DESTINO SELLADO</f>
        <v>#NAME?</v>
      </c>
      <c r="CM1721" t="s">
        <v>198</v>
      </c>
      <c r="CN1721" t="s">
        <v>113</v>
      </c>
      <c r="CO1721" t="s">
        <v>111</v>
      </c>
      <c r="CP1721" t="s">
        <v>433</v>
      </c>
      <c r="CQ1721">
        <v>0</v>
      </c>
      <c r="CR1721">
        <v>4000</v>
      </c>
      <c r="CS1721">
        <v>200</v>
      </c>
      <c r="CT1721" s="1" t="s">
        <v>4747</v>
      </c>
      <c r="CU1721">
        <v>0</v>
      </c>
      <c r="CV1721" t="s">
        <v>111</v>
      </c>
      <c r="CW1721" t="s">
        <v>111</v>
      </c>
      <c r="CX1721" t="s">
        <v>111</v>
      </c>
      <c r="CY1721">
        <v>0</v>
      </c>
      <c r="CZ1721" t="s">
        <v>111</v>
      </c>
      <c r="DA1721" t="s">
        <v>111</v>
      </c>
      <c r="DB1721" t="s">
        <v>111</v>
      </c>
      <c r="DC1721" t="s">
        <v>111</v>
      </c>
    </row>
    <row r="1722" spans="1:107">
      <c r="A1722">
        <v>826</v>
      </c>
      <c r="B1722" t="s">
        <v>107</v>
      </c>
      <c r="C1722" t="s">
        <v>466</v>
      </c>
      <c r="D1722" t="s">
        <v>4748</v>
      </c>
      <c r="E1722" t="s">
        <v>4749</v>
      </c>
      <c r="F1722" t="s">
        <v>3682</v>
      </c>
      <c r="G1722" t="s">
        <v>24</v>
      </c>
      <c r="H1722">
        <v>1.5</v>
      </c>
      <c r="I1722">
        <v>40</v>
      </c>
      <c r="J1722">
        <v>0</v>
      </c>
      <c r="K1722">
        <v>0</v>
      </c>
      <c r="L1722" t="s">
        <v>112</v>
      </c>
      <c r="M1722" t="s">
        <v>138</v>
      </c>
      <c r="N1722">
        <v>0</v>
      </c>
      <c r="O1722">
        <v>0</v>
      </c>
      <c r="P1722" t="s">
        <v>138</v>
      </c>
      <c r="Q1722">
        <v>44.5</v>
      </c>
      <c r="R1722">
        <v>0</v>
      </c>
      <c r="S1722">
        <v>0</v>
      </c>
      <c r="T1722">
        <v>0</v>
      </c>
      <c r="U1722" t="s">
        <v>4750</v>
      </c>
      <c r="V1722">
        <v>0</v>
      </c>
      <c r="W1722">
        <v>0</v>
      </c>
      <c r="X1722">
        <v>0</v>
      </c>
      <c r="Y1722">
        <v>25</v>
      </c>
      <c r="Z1722" t="s">
        <v>111</v>
      </c>
      <c r="AA1722">
        <v>0</v>
      </c>
      <c r="AB1722" t="s">
        <v>111</v>
      </c>
      <c r="AC1722">
        <v>0</v>
      </c>
      <c r="AD1722" t="s">
        <v>111</v>
      </c>
      <c r="AE1722">
        <v>0</v>
      </c>
      <c r="AF1722">
        <v>0</v>
      </c>
      <c r="AG1722" t="s">
        <v>111</v>
      </c>
      <c r="AH1722" t="s">
        <v>111</v>
      </c>
      <c r="AI1722" t="s">
        <v>111</v>
      </c>
      <c r="AJ1722" t="s">
        <v>111</v>
      </c>
      <c r="AK1722" t="s">
        <v>111</v>
      </c>
      <c r="AL1722" t="s">
        <v>111</v>
      </c>
      <c r="AM1722">
        <v>0</v>
      </c>
      <c r="AN1722">
        <v>0</v>
      </c>
      <c r="AO1722">
        <v>0</v>
      </c>
      <c r="AP1722" t="s">
        <v>111</v>
      </c>
      <c r="AQ1722" t="s">
        <v>111</v>
      </c>
      <c r="AR1722" t="s">
        <v>111</v>
      </c>
      <c r="AS1722" t="s">
        <v>111</v>
      </c>
      <c r="AT1722" t="s">
        <v>111</v>
      </c>
      <c r="AU1722" t="s">
        <v>111</v>
      </c>
      <c r="AV1722" t="s">
        <v>111</v>
      </c>
      <c r="AW1722" t="s">
        <v>111</v>
      </c>
      <c r="AX1722" t="s">
        <v>111</v>
      </c>
      <c r="AY1722" t="s">
        <v>111</v>
      </c>
      <c r="AZ1722" t="s">
        <v>111</v>
      </c>
      <c r="BA1722" t="s">
        <v>111</v>
      </c>
      <c r="BB1722" t="s">
        <v>111</v>
      </c>
      <c r="BC1722" t="s">
        <v>111</v>
      </c>
      <c r="BD1722" t="s">
        <v>111</v>
      </c>
      <c r="BE1722" t="s">
        <v>111</v>
      </c>
      <c r="BF1722" t="s">
        <v>111</v>
      </c>
      <c r="BG1722" t="s">
        <v>111</v>
      </c>
      <c r="BH1722" t="s">
        <v>111</v>
      </c>
      <c r="BI1722" t="s">
        <v>111</v>
      </c>
      <c r="BJ1722" t="s">
        <v>111</v>
      </c>
      <c r="BK1722" t="s">
        <v>111</v>
      </c>
      <c r="BL1722" t="s">
        <v>111</v>
      </c>
      <c r="BM1722" t="s">
        <v>111</v>
      </c>
      <c r="BN1722" t="s">
        <v>111</v>
      </c>
      <c r="BO1722" t="s">
        <v>111</v>
      </c>
      <c r="BP1722" t="s">
        <v>111</v>
      </c>
      <c r="BQ1722" t="s">
        <v>111</v>
      </c>
      <c r="BR1722" t="s">
        <v>111</v>
      </c>
      <c r="BS1722" t="s">
        <v>111</v>
      </c>
      <c r="BT1722" t="s">
        <v>111</v>
      </c>
      <c r="BU1722" t="s">
        <v>111</v>
      </c>
      <c r="BV1722" t="s">
        <v>111</v>
      </c>
      <c r="BW1722" t="s">
        <v>111</v>
      </c>
      <c r="BX1722" t="s">
        <v>111</v>
      </c>
      <c r="BY1722" t="s">
        <v>111</v>
      </c>
      <c r="BZ1722" t="s">
        <v>111</v>
      </c>
      <c r="CA1722" t="s">
        <v>111</v>
      </c>
      <c r="CB1722" t="s">
        <v>111</v>
      </c>
      <c r="CC1722" t="s">
        <v>111</v>
      </c>
      <c r="CD1722" t="s">
        <v>111</v>
      </c>
      <c r="CE1722" t="s">
        <v>111</v>
      </c>
      <c r="CF1722" t="s">
        <v>111</v>
      </c>
      <c r="CG1722" t="s">
        <v>111</v>
      </c>
      <c r="CH1722" t="s">
        <v>111</v>
      </c>
      <c r="CI1722" t="s">
        <v>111</v>
      </c>
      <c r="CJ1722" t="s">
        <v>111</v>
      </c>
      <c r="CK1722" t="s">
        <v>111</v>
      </c>
      <c r="CL1722" t="s">
        <v>111</v>
      </c>
      <c r="CM1722" t="s">
        <v>198</v>
      </c>
      <c r="CN1722" t="s">
        <v>113</v>
      </c>
      <c r="CO1722" t="s">
        <v>885</v>
      </c>
      <c r="CP1722" t="s">
        <v>111</v>
      </c>
      <c r="CQ1722">
        <v>0</v>
      </c>
      <c r="CR1722">
        <v>1400</v>
      </c>
      <c r="CS1722">
        <v>200</v>
      </c>
      <c r="CT1722" t="s">
        <v>153</v>
      </c>
      <c r="CU1722">
        <v>0</v>
      </c>
      <c r="CV1722" t="s">
        <v>111</v>
      </c>
      <c r="CW1722" t="s">
        <v>111</v>
      </c>
      <c r="CX1722" t="s">
        <v>111</v>
      </c>
      <c r="CY1722">
        <v>0</v>
      </c>
      <c r="CZ1722" t="s">
        <v>111</v>
      </c>
      <c r="DA1722" t="s">
        <v>111</v>
      </c>
      <c r="DB1722" t="s">
        <v>204</v>
      </c>
      <c r="DC1722" t="s">
        <v>111</v>
      </c>
    </row>
    <row r="1723" spans="1:107">
      <c r="A1723">
        <v>823</v>
      </c>
      <c r="B1723" t="s">
        <v>107</v>
      </c>
      <c r="C1723" t="s">
        <v>471</v>
      </c>
      <c r="D1723" t="s">
        <v>4039</v>
      </c>
      <c r="E1723" t="s">
        <v>4040</v>
      </c>
      <c r="F1723" t="s">
        <v>110</v>
      </c>
      <c r="G1723" t="s">
        <v>24</v>
      </c>
      <c r="H1723">
        <v>1.5</v>
      </c>
      <c r="I1723">
        <v>30</v>
      </c>
      <c r="J1723">
        <v>0</v>
      </c>
      <c r="K1723">
        <v>0</v>
      </c>
      <c r="L1723" t="s">
        <v>112</v>
      </c>
      <c r="M1723" t="s">
        <v>138</v>
      </c>
      <c r="N1723">
        <v>0</v>
      </c>
      <c r="O1723">
        <v>0</v>
      </c>
      <c r="P1723" t="s">
        <v>138</v>
      </c>
      <c r="Q1723">
        <v>35</v>
      </c>
      <c r="R1723">
        <v>0</v>
      </c>
      <c r="S1723">
        <v>0</v>
      </c>
      <c r="T1723">
        <v>0</v>
      </c>
      <c r="U1723" s="1" t="s">
        <v>4751</v>
      </c>
      <c r="V1723">
        <v>0</v>
      </c>
      <c r="W1723">
        <v>0</v>
      </c>
      <c r="X1723">
        <v>0</v>
      </c>
      <c r="Y1723">
        <v>25</v>
      </c>
      <c r="Z1723" t="s">
        <v>111</v>
      </c>
      <c r="AA1723">
        <v>0</v>
      </c>
      <c r="AB1723" t="s">
        <v>111</v>
      </c>
      <c r="AC1723">
        <v>0</v>
      </c>
      <c r="AD1723" t="s">
        <v>111</v>
      </c>
      <c r="AE1723">
        <v>0</v>
      </c>
      <c r="AF1723">
        <v>0</v>
      </c>
      <c r="AG1723" t="s">
        <v>111</v>
      </c>
      <c r="AH1723" t="s">
        <v>111</v>
      </c>
      <c r="AI1723" t="s">
        <v>111</v>
      </c>
      <c r="AJ1723" t="s">
        <v>111</v>
      </c>
      <c r="AK1723" t="s">
        <v>111</v>
      </c>
      <c r="AL1723" t="s">
        <v>111</v>
      </c>
      <c r="AM1723">
        <v>0</v>
      </c>
      <c r="AN1723">
        <v>0</v>
      </c>
      <c r="AO1723">
        <v>0</v>
      </c>
      <c r="AP1723" t="s">
        <v>111</v>
      </c>
      <c r="AQ1723" t="s">
        <v>111</v>
      </c>
      <c r="AR1723" t="s">
        <v>111</v>
      </c>
      <c r="AS1723" t="s">
        <v>111</v>
      </c>
      <c r="AT1723" t="s">
        <v>111</v>
      </c>
      <c r="AU1723" t="s">
        <v>111</v>
      </c>
      <c r="AV1723" t="s">
        <v>111</v>
      </c>
      <c r="AW1723" t="s">
        <v>111</v>
      </c>
      <c r="AX1723" t="s">
        <v>111</v>
      </c>
      <c r="AY1723" t="s">
        <v>111</v>
      </c>
      <c r="AZ1723" t="s">
        <v>111</v>
      </c>
      <c r="BA1723" t="s">
        <v>111</v>
      </c>
      <c r="BB1723" t="s">
        <v>111</v>
      </c>
      <c r="BC1723" t="s">
        <v>111</v>
      </c>
      <c r="BD1723" t="s">
        <v>111</v>
      </c>
      <c r="BE1723" t="s">
        <v>111</v>
      </c>
      <c r="BF1723" t="s">
        <v>111</v>
      </c>
      <c r="BG1723" t="s">
        <v>111</v>
      </c>
      <c r="BH1723" t="s">
        <v>111</v>
      </c>
      <c r="BI1723" t="s">
        <v>111</v>
      </c>
      <c r="BJ1723" t="s">
        <v>111</v>
      </c>
      <c r="BK1723" t="s">
        <v>111</v>
      </c>
      <c r="BL1723" t="s">
        <v>111</v>
      </c>
      <c r="BM1723" t="s">
        <v>111</v>
      </c>
      <c r="BN1723" t="s">
        <v>111</v>
      </c>
      <c r="BO1723" t="s">
        <v>111</v>
      </c>
      <c r="BP1723" t="s">
        <v>111</v>
      </c>
      <c r="BQ1723" t="s">
        <v>111</v>
      </c>
      <c r="BR1723" t="s">
        <v>111</v>
      </c>
      <c r="BS1723" t="s">
        <v>111</v>
      </c>
      <c r="BT1723" t="s">
        <v>111</v>
      </c>
      <c r="BU1723" t="s">
        <v>111</v>
      </c>
      <c r="BV1723" t="s">
        <v>111</v>
      </c>
      <c r="BW1723" t="s">
        <v>111</v>
      </c>
      <c r="BX1723" t="s">
        <v>111</v>
      </c>
      <c r="BY1723" t="s">
        <v>111</v>
      </c>
      <c r="BZ1723" t="s">
        <v>111</v>
      </c>
      <c r="CA1723" t="s">
        <v>111</v>
      </c>
      <c r="CB1723" t="s">
        <v>111</v>
      </c>
      <c r="CC1723" t="s">
        <v>111</v>
      </c>
      <c r="CD1723" t="s">
        <v>111</v>
      </c>
      <c r="CE1723" t="s">
        <v>111</v>
      </c>
      <c r="CF1723" t="s">
        <v>111</v>
      </c>
      <c r="CG1723" t="s">
        <v>111</v>
      </c>
      <c r="CH1723" t="s">
        <v>111</v>
      </c>
      <c r="CI1723" t="s">
        <v>111</v>
      </c>
      <c r="CJ1723" t="s">
        <v>111</v>
      </c>
      <c r="CK1723" t="s">
        <v>111</v>
      </c>
      <c r="CL1723" t="s">
        <v>111</v>
      </c>
      <c r="CM1723" t="s">
        <v>111</v>
      </c>
      <c r="CN1723" t="s">
        <v>111</v>
      </c>
      <c r="CO1723" t="s">
        <v>111</v>
      </c>
      <c r="CP1723" t="s">
        <v>111</v>
      </c>
      <c r="CQ1723">
        <v>0</v>
      </c>
      <c r="CR1723">
        <v>0</v>
      </c>
      <c r="CS1723">
        <v>0</v>
      </c>
      <c r="CT1723" t="s">
        <v>111</v>
      </c>
      <c r="CU1723">
        <v>0</v>
      </c>
      <c r="CV1723" t="s">
        <v>111</v>
      </c>
      <c r="CW1723" t="s">
        <v>111</v>
      </c>
      <c r="CX1723" t="s">
        <v>111</v>
      </c>
      <c r="CY1723">
        <v>0</v>
      </c>
      <c r="CZ1723" t="s">
        <v>111</v>
      </c>
      <c r="DA1723" t="s">
        <v>111</v>
      </c>
      <c r="DB1723" t="s">
        <v>111</v>
      </c>
      <c r="DC1723" t="s">
        <v>111</v>
      </c>
    </row>
    <row r="1724" spans="1:107">
      <c r="A1724">
        <v>807</v>
      </c>
      <c r="B1724" t="s">
        <v>107</v>
      </c>
      <c r="C1724" t="s">
        <v>4165</v>
      </c>
      <c r="D1724" t="s">
        <v>3806</v>
      </c>
      <c r="E1724" t="s">
        <v>3807</v>
      </c>
      <c r="F1724" t="s">
        <v>110</v>
      </c>
      <c r="G1724" t="s">
        <v>24</v>
      </c>
      <c r="H1724">
        <v>1.4</v>
      </c>
      <c r="I1724">
        <v>40</v>
      </c>
      <c r="J1724">
        <v>0</v>
      </c>
      <c r="K1724">
        <v>0</v>
      </c>
      <c r="L1724" t="s">
        <v>112</v>
      </c>
      <c r="M1724" t="s">
        <v>118</v>
      </c>
      <c r="N1724">
        <v>40</v>
      </c>
      <c r="O1724">
        <v>1</v>
      </c>
      <c r="P1724" t="s">
        <v>138</v>
      </c>
      <c r="Q1724">
        <v>32.6</v>
      </c>
      <c r="R1724">
        <v>0</v>
      </c>
      <c r="S1724">
        <v>0</v>
      </c>
      <c r="T1724">
        <v>0</v>
      </c>
      <c r="U1724" s="1" t="s">
        <v>4752</v>
      </c>
      <c r="V1724">
        <v>0</v>
      </c>
      <c r="W1724">
        <v>0</v>
      </c>
      <c r="X1724">
        <v>0</v>
      </c>
      <c r="Y1724">
        <v>25</v>
      </c>
      <c r="Z1724" t="s">
        <v>111</v>
      </c>
      <c r="AA1724">
        <v>0</v>
      </c>
      <c r="AB1724" t="s">
        <v>111</v>
      </c>
      <c r="AC1724">
        <v>0</v>
      </c>
      <c r="AD1724" t="s">
        <v>111</v>
      </c>
      <c r="AE1724">
        <v>0</v>
      </c>
      <c r="AF1724">
        <v>0</v>
      </c>
      <c r="AG1724" t="s">
        <v>111</v>
      </c>
      <c r="AH1724" t="s">
        <v>111</v>
      </c>
      <c r="AI1724" t="s">
        <v>111</v>
      </c>
      <c r="AJ1724" t="s">
        <v>111</v>
      </c>
      <c r="AK1724" t="s">
        <v>111</v>
      </c>
      <c r="AL1724" t="s">
        <v>111</v>
      </c>
      <c r="AM1724">
        <v>0</v>
      </c>
      <c r="AN1724">
        <v>0</v>
      </c>
      <c r="AO1724">
        <v>0</v>
      </c>
      <c r="AP1724" t="s">
        <v>111</v>
      </c>
      <c r="AQ1724" t="s">
        <v>111</v>
      </c>
      <c r="AR1724" t="s">
        <v>111</v>
      </c>
      <c r="AS1724" t="s">
        <v>111</v>
      </c>
      <c r="AT1724" t="s">
        <v>111</v>
      </c>
      <c r="AU1724" t="s">
        <v>111</v>
      </c>
      <c r="AV1724" t="s">
        <v>111</v>
      </c>
      <c r="AW1724" t="s">
        <v>111</v>
      </c>
      <c r="AX1724" t="s">
        <v>111</v>
      </c>
      <c r="AY1724" t="s">
        <v>111</v>
      </c>
      <c r="AZ1724" t="s">
        <v>111</v>
      </c>
      <c r="BA1724" t="s">
        <v>111</v>
      </c>
      <c r="BB1724" t="s">
        <v>111</v>
      </c>
      <c r="BC1724" t="s">
        <v>111</v>
      </c>
      <c r="BD1724" t="s">
        <v>111</v>
      </c>
      <c r="BE1724" t="s">
        <v>111</v>
      </c>
      <c r="BF1724" t="s">
        <v>111</v>
      </c>
      <c r="BG1724" t="s">
        <v>111</v>
      </c>
      <c r="BH1724" t="s">
        <v>111</v>
      </c>
      <c r="BI1724" t="s">
        <v>111</v>
      </c>
      <c r="BJ1724" t="s">
        <v>111</v>
      </c>
      <c r="BK1724" t="s">
        <v>111</v>
      </c>
      <c r="BL1724" t="s">
        <v>111</v>
      </c>
      <c r="BM1724" t="s">
        <v>111</v>
      </c>
      <c r="BN1724" t="s">
        <v>111</v>
      </c>
      <c r="BO1724" t="s">
        <v>111</v>
      </c>
      <c r="BP1724" t="s">
        <v>111</v>
      </c>
      <c r="BQ1724" t="s">
        <v>111</v>
      </c>
      <c r="BR1724" t="s">
        <v>111</v>
      </c>
      <c r="BS1724" t="s">
        <v>111</v>
      </c>
      <c r="BT1724" t="s">
        <v>111</v>
      </c>
      <c r="BU1724" t="s">
        <v>111</v>
      </c>
      <c r="BV1724" t="s">
        <v>111</v>
      </c>
      <c r="BW1724" t="s">
        <v>111</v>
      </c>
      <c r="BX1724" t="s">
        <v>111</v>
      </c>
      <c r="BY1724" t="s">
        <v>111</v>
      </c>
      <c r="BZ1724" t="s">
        <v>111</v>
      </c>
      <c r="CA1724" t="s">
        <v>111</v>
      </c>
      <c r="CB1724" t="s">
        <v>111</v>
      </c>
      <c r="CC1724" t="s">
        <v>111</v>
      </c>
      <c r="CD1724" t="s">
        <v>111</v>
      </c>
      <c r="CE1724" t="s">
        <v>111</v>
      </c>
      <c r="CF1724" t="s">
        <v>111</v>
      </c>
      <c r="CG1724" t="s">
        <v>111</v>
      </c>
      <c r="CH1724" t="s">
        <v>111</v>
      </c>
      <c r="CI1724" t="s">
        <v>111</v>
      </c>
      <c r="CJ1724" t="s">
        <v>111</v>
      </c>
      <c r="CK1724" t="s">
        <v>111</v>
      </c>
      <c r="CL1724" t="s">
        <v>111</v>
      </c>
      <c r="CM1724" t="s">
        <v>111</v>
      </c>
      <c r="CN1724" t="s">
        <v>111</v>
      </c>
      <c r="CO1724" t="s">
        <v>111</v>
      </c>
      <c r="CP1724" t="s">
        <v>111</v>
      </c>
      <c r="CQ1724">
        <v>0</v>
      </c>
      <c r="CR1724">
        <v>0</v>
      </c>
      <c r="CS1724">
        <v>0</v>
      </c>
      <c r="CT1724" t="s">
        <v>111</v>
      </c>
      <c r="CU1724">
        <v>0</v>
      </c>
      <c r="CV1724" t="s">
        <v>111</v>
      </c>
      <c r="CW1724" t="s">
        <v>111</v>
      </c>
      <c r="CX1724" t="s">
        <v>111</v>
      </c>
      <c r="CY1724">
        <v>0</v>
      </c>
      <c r="CZ1724" t="s">
        <v>111</v>
      </c>
      <c r="DA1724" t="s">
        <v>111</v>
      </c>
      <c r="DB1724" t="s">
        <v>111</v>
      </c>
      <c r="DC1724" t="s">
        <v>111</v>
      </c>
    </row>
    <row r="1725" spans="1:107">
      <c r="A1725">
        <v>800</v>
      </c>
      <c r="B1725" t="s">
        <v>107</v>
      </c>
      <c r="C1725" t="s">
        <v>536</v>
      </c>
      <c r="D1725" t="s">
        <v>4753</v>
      </c>
      <c r="E1725" t="s">
        <v>4754</v>
      </c>
      <c r="F1725" t="s">
        <v>1071</v>
      </c>
      <c r="G1725" t="s">
        <v>24</v>
      </c>
      <c r="H1725">
        <v>1.3</v>
      </c>
      <c r="I1725">
        <v>28</v>
      </c>
      <c r="J1725">
        <v>0</v>
      </c>
      <c r="K1725">
        <v>0</v>
      </c>
      <c r="L1725" t="s">
        <v>112</v>
      </c>
      <c r="M1725" t="s">
        <v>138</v>
      </c>
      <c r="N1725">
        <v>0</v>
      </c>
      <c r="O1725">
        <v>0</v>
      </c>
      <c r="P1725" t="s">
        <v>138</v>
      </c>
      <c r="Q1725">
        <v>30</v>
      </c>
      <c r="R1725">
        <v>0</v>
      </c>
      <c r="S1725">
        <v>0</v>
      </c>
      <c r="T1725">
        <v>5</v>
      </c>
      <c r="U1725" t="s">
        <v>153</v>
      </c>
      <c r="V1725">
        <v>0</v>
      </c>
      <c r="W1725">
        <v>0</v>
      </c>
      <c r="X1725">
        <v>0</v>
      </c>
      <c r="Y1725">
        <v>25</v>
      </c>
      <c r="Z1725" t="s">
        <v>111</v>
      </c>
      <c r="AA1725">
        <v>0</v>
      </c>
      <c r="AB1725" t="s">
        <v>111</v>
      </c>
      <c r="AC1725">
        <v>0</v>
      </c>
      <c r="AD1725" t="s">
        <v>111</v>
      </c>
      <c r="AE1725">
        <v>0</v>
      </c>
      <c r="AF1725">
        <v>0</v>
      </c>
      <c r="AG1725" t="s">
        <v>111</v>
      </c>
      <c r="AH1725" t="s">
        <v>111</v>
      </c>
      <c r="AI1725" t="s">
        <v>111</v>
      </c>
      <c r="AJ1725" t="s">
        <v>111</v>
      </c>
      <c r="AK1725" t="s">
        <v>111</v>
      </c>
      <c r="AL1725" t="s">
        <v>111</v>
      </c>
      <c r="AM1725">
        <v>0</v>
      </c>
      <c r="AN1725">
        <v>0</v>
      </c>
      <c r="AO1725">
        <v>0</v>
      </c>
      <c r="AP1725" t="s">
        <v>111</v>
      </c>
      <c r="AQ1725" t="s">
        <v>111</v>
      </c>
      <c r="AR1725" t="s">
        <v>111</v>
      </c>
      <c r="AS1725" t="s">
        <v>111</v>
      </c>
      <c r="AT1725" t="s">
        <v>111</v>
      </c>
      <c r="AU1725" t="s">
        <v>111</v>
      </c>
      <c r="AV1725" t="s">
        <v>111</v>
      </c>
      <c r="AW1725" t="s">
        <v>111</v>
      </c>
      <c r="AX1725" t="s">
        <v>111</v>
      </c>
      <c r="AY1725" t="s">
        <v>111</v>
      </c>
      <c r="AZ1725" t="s">
        <v>111</v>
      </c>
      <c r="BA1725" t="s">
        <v>111</v>
      </c>
      <c r="BB1725" t="s">
        <v>111</v>
      </c>
      <c r="BC1725" t="s">
        <v>111</v>
      </c>
      <c r="BD1725" t="s">
        <v>111</v>
      </c>
      <c r="BE1725" t="s">
        <v>111</v>
      </c>
      <c r="BF1725" t="s">
        <v>111</v>
      </c>
      <c r="BG1725" t="s">
        <v>111</v>
      </c>
      <c r="BH1725" t="s">
        <v>111</v>
      </c>
      <c r="BI1725" t="s">
        <v>111</v>
      </c>
      <c r="BJ1725" t="s">
        <v>111</v>
      </c>
      <c r="BK1725" t="s">
        <v>111</v>
      </c>
      <c r="BL1725" t="s">
        <v>111</v>
      </c>
      <c r="BM1725" t="s">
        <v>111</v>
      </c>
      <c r="BN1725" t="s">
        <v>111</v>
      </c>
      <c r="BO1725" t="s">
        <v>111</v>
      </c>
      <c r="BP1725" t="s">
        <v>111</v>
      </c>
      <c r="BQ1725" t="s">
        <v>111</v>
      </c>
      <c r="BR1725" t="s">
        <v>111</v>
      </c>
      <c r="BS1725" t="s">
        <v>111</v>
      </c>
      <c r="BT1725" t="s">
        <v>111</v>
      </c>
      <c r="BU1725" t="s">
        <v>111</v>
      </c>
      <c r="BV1725" t="s">
        <v>111</v>
      </c>
      <c r="BW1725" t="s">
        <v>111</v>
      </c>
      <c r="BX1725" t="s">
        <v>111</v>
      </c>
      <c r="BY1725" t="s">
        <v>111</v>
      </c>
      <c r="BZ1725" t="s">
        <v>111</v>
      </c>
      <c r="CA1725" t="s">
        <v>111</v>
      </c>
      <c r="CB1725" t="s">
        <v>111</v>
      </c>
      <c r="CC1725" t="s">
        <v>111</v>
      </c>
      <c r="CD1725" t="s">
        <v>111</v>
      </c>
      <c r="CE1725" t="s">
        <v>111</v>
      </c>
      <c r="CF1725" t="s">
        <v>111</v>
      </c>
      <c r="CG1725" t="s">
        <v>111</v>
      </c>
      <c r="CH1725" t="s">
        <v>111</v>
      </c>
      <c r="CI1725" t="s">
        <v>111</v>
      </c>
      <c r="CJ1725" t="s">
        <v>111</v>
      </c>
      <c r="CK1725" t="s">
        <v>111</v>
      </c>
      <c r="CL1725" t="s">
        <v>111</v>
      </c>
      <c r="CM1725" t="s">
        <v>360</v>
      </c>
      <c r="CN1725" t="s">
        <v>113</v>
      </c>
      <c r="CO1725" t="s">
        <v>4191</v>
      </c>
      <c r="CP1725" t="s">
        <v>111</v>
      </c>
      <c r="CQ1725">
        <v>0</v>
      </c>
      <c r="CR1725">
        <v>10000</v>
      </c>
      <c r="CS1725">
        <v>200</v>
      </c>
      <c r="CT1725" s="1" t="s">
        <v>4755</v>
      </c>
      <c r="CU1725">
        <v>0</v>
      </c>
      <c r="CV1725" t="s">
        <v>111</v>
      </c>
      <c r="CW1725" t="s">
        <v>111</v>
      </c>
      <c r="CX1725" t="s">
        <v>111</v>
      </c>
      <c r="CY1725">
        <v>0</v>
      </c>
      <c r="CZ1725" t="s">
        <v>111</v>
      </c>
      <c r="DA1725" t="s">
        <v>111</v>
      </c>
      <c r="DB1725" t="s">
        <v>111</v>
      </c>
      <c r="DC1725" t="s">
        <v>111</v>
      </c>
    </row>
    <row r="1726" spans="1:107">
      <c r="A1726">
        <v>806</v>
      </c>
      <c r="B1726" t="s">
        <v>107</v>
      </c>
      <c r="C1726" t="s">
        <v>4293</v>
      </c>
      <c r="D1726" t="s">
        <v>4756</v>
      </c>
      <c r="E1726" t="s">
        <v>4757</v>
      </c>
      <c r="F1726" t="s">
        <v>1651</v>
      </c>
      <c r="G1726" t="s">
        <v>24</v>
      </c>
      <c r="H1726">
        <v>1.3</v>
      </c>
      <c r="I1726">
        <v>40</v>
      </c>
      <c r="J1726">
        <v>0</v>
      </c>
      <c r="K1726">
        <v>0</v>
      </c>
      <c r="L1726" t="s">
        <v>112</v>
      </c>
      <c r="M1726" t="s">
        <v>118</v>
      </c>
      <c r="N1726">
        <v>39</v>
      </c>
      <c r="O1726">
        <v>2</v>
      </c>
      <c r="P1726" t="s">
        <v>138</v>
      </c>
      <c r="Q1726">
        <v>35</v>
      </c>
      <c r="R1726">
        <v>0</v>
      </c>
      <c r="S1726">
        <v>0</v>
      </c>
      <c r="T1726">
        <v>0</v>
      </c>
      <c r="U1726" s="1" t="s">
        <v>4758</v>
      </c>
      <c r="V1726">
        <v>0</v>
      </c>
      <c r="W1726">
        <v>0</v>
      </c>
      <c r="X1726">
        <v>0</v>
      </c>
      <c r="Y1726">
        <v>25</v>
      </c>
      <c r="Z1726" t="s">
        <v>111</v>
      </c>
      <c r="AA1726">
        <v>0</v>
      </c>
      <c r="AB1726" t="s">
        <v>111</v>
      </c>
      <c r="AC1726">
        <v>0</v>
      </c>
      <c r="AD1726" t="s">
        <v>416</v>
      </c>
      <c r="AE1726">
        <v>4</v>
      </c>
      <c r="AF1726">
        <v>2</v>
      </c>
      <c r="AG1726">
        <v>36</v>
      </c>
      <c r="AH1726" t="s">
        <v>113</v>
      </c>
      <c r="AI1726">
        <v>36</v>
      </c>
      <c r="AJ1726" t="s">
        <v>111</v>
      </c>
      <c r="AK1726" t="s">
        <v>111</v>
      </c>
      <c r="AL1726" t="s">
        <v>111</v>
      </c>
      <c r="AM1726">
        <v>0</v>
      </c>
      <c r="AN1726">
        <v>0</v>
      </c>
      <c r="AO1726">
        <v>0</v>
      </c>
      <c r="AP1726" t="s">
        <v>288</v>
      </c>
      <c r="AQ1726" t="s">
        <v>111</v>
      </c>
      <c r="AR1726" t="s">
        <v>111</v>
      </c>
      <c r="AS1726" t="s">
        <v>111</v>
      </c>
      <c r="AT1726" t="s">
        <v>2204</v>
      </c>
      <c r="AU1726" t="s">
        <v>111</v>
      </c>
      <c r="AV1726" t="s">
        <v>111</v>
      </c>
      <c r="AW1726" t="s">
        <v>111</v>
      </c>
      <c r="AX1726" t="s">
        <v>188</v>
      </c>
      <c r="AY1726" t="s">
        <v>111</v>
      </c>
      <c r="AZ1726" t="s">
        <v>111</v>
      </c>
      <c r="BA1726" t="s">
        <v>111</v>
      </c>
      <c r="BB1726" t="s">
        <v>271</v>
      </c>
      <c r="BC1726" t="s">
        <v>111</v>
      </c>
      <c r="BD1726" t="s">
        <v>111</v>
      </c>
      <c r="BE1726" t="s">
        <v>111</v>
      </c>
      <c r="BF1726" t="s">
        <v>111</v>
      </c>
      <c r="BG1726" t="s">
        <v>111</v>
      </c>
      <c r="BH1726" t="s">
        <v>111</v>
      </c>
      <c r="BI1726" t="s">
        <v>111</v>
      </c>
      <c r="BJ1726" t="s">
        <v>111</v>
      </c>
      <c r="BK1726" t="s">
        <v>111</v>
      </c>
      <c r="BL1726" t="s">
        <v>111</v>
      </c>
      <c r="BM1726" t="s">
        <v>111</v>
      </c>
      <c r="BN1726" t="s">
        <v>288</v>
      </c>
      <c r="BO1726" t="s">
        <v>111</v>
      </c>
      <c r="BP1726" t="s">
        <v>111</v>
      </c>
      <c r="BQ1726" t="s">
        <v>111</v>
      </c>
      <c r="BR1726" t="s">
        <v>184</v>
      </c>
      <c r="BS1726" t="s">
        <v>111</v>
      </c>
      <c r="BT1726" t="s">
        <v>111</v>
      </c>
      <c r="BU1726" t="s">
        <v>111</v>
      </c>
      <c r="BV1726" t="s">
        <v>188</v>
      </c>
      <c r="BW1726" t="s">
        <v>111</v>
      </c>
      <c r="BX1726" t="s">
        <v>111</v>
      </c>
      <c r="BY1726" t="s">
        <v>111</v>
      </c>
      <c r="BZ1726" t="s">
        <v>271</v>
      </c>
      <c r="CA1726" t="s">
        <v>111</v>
      </c>
      <c r="CB1726" t="s">
        <v>111</v>
      </c>
      <c r="CC1726" t="s">
        <v>111</v>
      </c>
      <c r="CD1726" t="s">
        <v>111</v>
      </c>
      <c r="CE1726" t="s">
        <v>111</v>
      </c>
      <c r="CF1726" t="s">
        <v>111</v>
      </c>
      <c r="CG1726" t="s">
        <v>111</v>
      </c>
      <c r="CH1726" t="s">
        <v>111</v>
      </c>
      <c r="CI1726" t="s">
        <v>111</v>
      </c>
      <c r="CJ1726" t="s">
        <v>111</v>
      </c>
      <c r="CK1726" t="s">
        <v>111</v>
      </c>
      <c r="CL1726" t="e">
        <f>-DESTINO SELLADO</f>
        <v>#NAME?</v>
      </c>
      <c r="CM1726" t="s">
        <v>198</v>
      </c>
      <c r="CN1726" t="s">
        <v>113</v>
      </c>
      <c r="CO1726" t="s">
        <v>111</v>
      </c>
      <c r="CP1726" t="s">
        <v>433</v>
      </c>
      <c r="CQ1726">
        <v>60</v>
      </c>
      <c r="CR1726">
        <v>4000</v>
      </c>
      <c r="CS1726">
        <v>200</v>
      </c>
      <c r="CT1726" s="1" t="s">
        <v>1428</v>
      </c>
      <c r="CU1726">
        <v>0</v>
      </c>
      <c r="CV1726" t="s">
        <v>111</v>
      </c>
      <c r="CW1726" t="s">
        <v>111</v>
      </c>
      <c r="CX1726" t="s">
        <v>111</v>
      </c>
      <c r="CY1726">
        <v>0</v>
      </c>
      <c r="CZ1726" t="s">
        <v>111</v>
      </c>
      <c r="DA1726" t="s">
        <v>111</v>
      </c>
      <c r="DB1726" t="s">
        <v>111</v>
      </c>
      <c r="DC1726" t="s">
        <v>111</v>
      </c>
    </row>
    <row r="1727" spans="1:107">
      <c r="A1727">
        <v>794</v>
      </c>
      <c r="B1727" t="s">
        <v>107</v>
      </c>
      <c r="C1727" t="s">
        <v>4165</v>
      </c>
      <c r="D1727" t="s">
        <v>4486</v>
      </c>
      <c r="E1727" t="s">
        <v>4487</v>
      </c>
      <c r="F1727" t="s">
        <v>110</v>
      </c>
      <c r="G1727" t="s">
        <v>24</v>
      </c>
      <c r="H1727">
        <v>1.8</v>
      </c>
      <c r="I1727">
        <v>45</v>
      </c>
      <c r="J1727">
        <v>0</v>
      </c>
      <c r="K1727">
        <v>0</v>
      </c>
      <c r="L1727" t="s">
        <v>112</v>
      </c>
      <c r="M1727" t="s">
        <v>118</v>
      </c>
      <c r="N1727">
        <v>40</v>
      </c>
      <c r="O1727">
        <v>1</v>
      </c>
      <c r="P1727" t="s">
        <v>138</v>
      </c>
      <c r="Q1727">
        <v>40</v>
      </c>
      <c r="R1727">
        <v>0</v>
      </c>
      <c r="S1727">
        <v>0</v>
      </c>
      <c r="T1727">
        <v>0</v>
      </c>
      <c r="U1727" s="1" t="s">
        <v>4759</v>
      </c>
      <c r="V1727">
        <v>0</v>
      </c>
      <c r="W1727">
        <v>0</v>
      </c>
      <c r="X1727">
        <v>0</v>
      </c>
      <c r="Y1727">
        <v>25</v>
      </c>
      <c r="Z1727" t="s">
        <v>111</v>
      </c>
      <c r="AA1727">
        <v>0</v>
      </c>
      <c r="AB1727" t="s">
        <v>111</v>
      </c>
      <c r="AC1727">
        <v>0</v>
      </c>
      <c r="AD1727" t="s">
        <v>111</v>
      </c>
      <c r="AE1727">
        <v>0</v>
      </c>
      <c r="AF1727">
        <v>0</v>
      </c>
      <c r="AG1727" t="s">
        <v>111</v>
      </c>
      <c r="AH1727" t="s">
        <v>111</v>
      </c>
      <c r="AI1727" t="s">
        <v>111</v>
      </c>
      <c r="AJ1727" t="s">
        <v>111</v>
      </c>
      <c r="AK1727" t="s">
        <v>111</v>
      </c>
      <c r="AL1727" t="s">
        <v>111</v>
      </c>
      <c r="AM1727">
        <v>0</v>
      </c>
      <c r="AN1727">
        <v>0</v>
      </c>
      <c r="AO1727">
        <v>0</v>
      </c>
      <c r="AP1727" t="s">
        <v>111</v>
      </c>
      <c r="AQ1727" t="s">
        <v>111</v>
      </c>
      <c r="AR1727" t="s">
        <v>111</v>
      </c>
      <c r="AS1727" t="s">
        <v>111</v>
      </c>
      <c r="AT1727" t="s">
        <v>111</v>
      </c>
      <c r="AU1727" t="s">
        <v>111</v>
      </c>
      <c r="AV1727" t="s">
        <v>111</v>
      </c>
      <c r="AW1727" t="s">
        <v>111</v>
      </c>
      <c r="AX1727" t="s">
        <v>111</v>
      </c>
      <c r="AY1727" t="s">
        <v>111</v>
      </c>
      <c r="AZ1727" t="s">
        <v>111</v>
      </c>
      <c r="BA1727" t="s">
        <v>111</v>
      </c>
      <c r="BB1727" t="s">
        <v>111</v>
      </c>
      <c r="BC1727" t="s">
        <v>111</v>
      </c>
      <c r="BD1727" t="s">
        <v>111</v>
      </c>
      <c r="BE1727" t="s">
        <v>111</v>
      </c>
      <c r="BF1727" t="s">
        <v>111</v>
      </c>
      <c r="BG1727" t="s">
        <v>111</v>
      </c>
      <c r="BH1727" t="s">
        <v>111</v>
      </c>
      <c r="BI1727" t="s">
        <v>111</v>
      </c>
      <c r="BJ1727" t="s">
        <v>111</v>
      </c>
      <c r="BK1727" t="s">
        <v>111</v>
      </c>
      <c r="BL1727" t="s">
        <v>111</v>
      </c>
      <c r="BM1727" t="s">
        <v>111</v>
      </c>
      <c r="BN1727" t="s">
        <v>111</v>
      </c>
      <c r="BO1727" t="s">
        <v>111</v>
      </c>
      <c r="BP1727" t="s">
        <v>111</v>
      </c>
      <c r="BQ1727" t="s">
        <v>111</v>
      </c>
      <c r="BR1727" t="s">
        <v>111</v>
      </c>
      <c r="BS1727" t="s">
        <v>111</v>
      </c>
      <c r="BT1727" t="s">
        <v>111</v>
      </c>
      <c r="BU1727" t="s">
        <v>111</v>
      </c>
      <c r="BV1727" t="s">
        <v>111</v>
      </c>
      <c r="BW1727" t="s">
        <v>111</v>
      </c>
      <c r="BX1727" t="s">
        <v>111</v>
      </c>
      <c r="BY1727" t="s">
        <v>111</v>
      </c>
      <c r="BZ1727" t="s">
        <v>111</v>
      </c>
      <c r="CA1727" t="s">
        <v>111</v>
      </c>
      <c r="CB1727" t="s">
        <v>111</v>
      </c>
      <c r="CC1727" t="s">
        <v>111</v>
      </c>
      <c r="CD1727" t="s">
        <v>111</v>
      </c>
      <c r="CE1727" t="s">
        <v>111</v>
      </c>
      <c r="CF1727" t="s">
        <v>111</v>
      </c>
      <c r="CG1727" t="s">
        <v>111</v>
      </c>
      <c r="CH1727" t="s">
        <v>111</v>
      </c>
      <c r="CI1727" t="s">
        <v>111</v>
      </c>
      <c r="CJ1727" t="s">
        <v>111</v>
      </c>
      <c r="CK1727" t="s">
        <v>111</v>
      </c>
      <c r="CL1727" t="s">
        <v>111</v>
      </c>
      <c r="CM1727" t="s">
        <v>111</v>
      </c>
      <c r="CN1727" t="s">
        <v>111</v>
      </c>
      <c r="CO1727" t="s">
        <v>111</v>
      </c>
      <c r="CP1727" t="s">
        <v>111</v>
      </c>
      <c r="CQ1727">
        <v>0</v>
      </c>
      <c r="CR1727">
        <v>0</v>
      </c>
      <c r="CS1727">
        <v>0</v>
      </c>
      <c r="CT1727" t="s">
        <v>111</v>
      </c>
      <c r="CU1727">
        <v>0</v>
      </c>
      <c r="CV1727" t="s">
        <v>111</v>
      </c>
      <c r="CW1727" t="s">
        <v>111</v>
      </c>
      <c r="CX1727" t="s">
        <v>111</v>
      </c>
      <c r="CY1727">
        <v>0</v>
      </c>
      <c r="CZ1727" t="s">
        <v>111</v>
      </c>
      <c r="DA1727" t="s">
        <v>111</v>
      </c>
      <c r="DB1727" t="s">
        <v>111</v>
      </c>
      <c r="DC1727" t="s">
        <v>111</v>
      </c>
    </row>
    <row r="1728" spans="1:107">
      <c r="A1728">
        <v>793</v>
      </c>
      <c r="B1728" t="s">
        <v>107</v>
      </c>
      <c r="C1728" t="s">
        <v>4165</v>
      </c>
      <c r="D1728" t="s">
        <v>4760</v>
      </c>
      <c r="E1728" t="s">
        <v>4761</v>
      </c>
      <c r="F1728" t="s">
        <v>110</v>
      </c>
      <c r="G1728" t="s">
        <v>24</v>
      </c>
      <c r="H1728">
        <v>2.2999999999999998</v>
      </c>
      <c r="I1728">
        <v>40</v>
      </c>
      <c r="J1728">
        <v>0</v>
      </c>
      <c r="K1728">
        <v>0</v>
      </c>
      <c r="L1728" t="s">
        <v>112</v>
      </c>
      <c r="M1728" t="s">
        <v>118</v>
      </c>
      <c r="N1728">
        <v>40</v>
      </c>
      <c r="O1728">
        <v>1</v>
      </c>
      <c r="P1728" t="s">
        <v>138</v>
      </c>
      <c r="Q1728">
        <v>30</v>
      </c>
      <c r="R1728">
        <v>0</v>
      </c>
      <c r="S1728">
        <v>0</v>
      </c>
      <c r="T1728">
        <v>0</v>
      </c>
      <c r="U1728" s="1" t="s">
        <v>4762</v>
      </c>
      <c r="V1728">
        <v>0</v>
      </c>
      <c r="W1728">
        <v>0</v>
      </c>
      <c r="X1728">
        <v>0</v>
      </c>
      <c r="Y1728">
        <v>25</v>
      </c>
      <c r="Z1728" t="s">
        <v>111</v>
      </c>
      <c r="AA1728">
        <v>0</v>
      </c>
      <c r="AB1728" t="s">
        <v>111</v>
      </c>
      <c r="AC1728">
        <v>0</v>
      </c>
      <c r="AD1728" t="s">
        <v>111</v>
      </c>
      <c r="AE1728">
        <v>0</v>
      </c>
      <c r="AF1728">
        <v>0</v>
      </c>
      <c r="AG1728" t="s">
        <v>111</v>
      </c>
      <c r="AH1728" t="s">
        <v>111</v>
      </c>
      <c r="AI1728" t="s">
        <v>111</v>
      </c>
      <c r="AJ1728" t="s">
        <v>111</v>
      </c>
      <c r="AK1728" t="s">
        <v>111</v>
      </c>
      <c r="AL1728" t="s">
        <v>111</v>
      </c>
      <c r="AM1728">
        <v>0</v>
      </c>
      <c r="AN1728">
        <v>0</v>
      </c>
      <c r="AO1728">
        <v>0</v>
      </c>
      <c r="AP1728" t="s">
        <v>111</v>
      </c>
      <c r="AQ1728" t="s">
        <v>111</v>
      </c>
      <c r="AR1728" t="s">
        <v>111</v>
      </c>
      <c r="AS1728" t="s">
        <v>111</v>
      </c>
      <c r="AT1728" t="s">
        <v>111</v>
      </c>
      <c r="AU1728" t="s">
        <v>111</v>
      </c>
      <c r="AV1728" t="s">
        <v>111</v>
      </c>
      <c r="AW1728" t="s">
        <v>111</v>
      </c>
      <c r="AX1728" t="s">
        <v>111</v>
      </c>
      <c r="AY1728" t="s">
        <v>111</v>
      </c>
      <c r="AZ1728" t="s">
        <v>111</v>
      </c>
      <c r="BA1728" t="s">
        <v>111</v>
      </c>
      <c r="BB1728" t="s">
        <v>111</v>
      </c>
      <c r="BC1728" t="s">
        <v>111</v>
      </c>
      <c r="BD1728" t="s">
        <v>111</v>
      </c>
      <c r="BE1728" t="s">
        <v>111</v>
      </c>
      <c r="BF1728" t="s">
        <v>111</v>
      </c>
      <c r="BG1728" t="s">
        <v>111</v>
      </c>
      <c r="BH1728" t="s">
        <v>111</v>
      </c>
      <c r="BI1728" t="s">
        <v>111</v>
      </c>
      <c r="BJ1728" t="s">
        <v>111</v>
      </c>
      <c r="BK1728" t="s">
        <v>111</v>
      </c>
      <c r="BL1728" t="s">
        <v>111</v>
      </c>
      <c r="BM1728" t="s">
        <v>111</v>
      </c>
      <c r="BN1728" t="s">
        <v>111</v>
      </c>
      <c r="BO1728" t="s">
        <v>111</v>
      </c>
      <c r="BP1728" t="s">
        <v>111</v>
      </c>
      <c r="BQ1728" t="s">
        <v>111</v>
      </c>
      <c r="BR1728" t="s">
        <v>111</v>
      </c>
      <c r="BS1728" t="s">
        <v>111</v>
      </c>
      <c r="BT1728" t="s">
        <v>111</v>
      </c>
      <c r="BU1728" t="s">
        <v>111</v>
      </c>
      <c r="BV1728" t="s">
        <v>111</v>
      </c>
      <c r="BW1728" t="s">
        <v>111</v>
      </c>
      <c r="BX1728" t="s">
        <v>111</v>
      </c>
      <c r="BY1728" t="s">
        <v>111</v>
      </c>
      <c r="BZ1728" t="s">
        <v>111</v>
      </c>
      <c r="CA1728" t="s">
        <v>111</v>
      </c>
      <c r="CB1728" t="s">
        <v>111</v>
      </c>
      <c r="CC1728" t="s">
        <v>111</v>
      </c>
      <c r="CD1728" t="s">
        <v>111</v>
      </c>
      <c r="CE1728" t="s">
        <v>111</v>
      </c>
      <c r="CF1728" t="s">
        <v>111</v>
      </c>
      <c r="CG1728" t="s">
        <v>111</v>
      </c>
      <c r="CH1728" t="s">
        <v>111</v>
      </c>
      <c r="CI1728" t="s">
        <v>111</v>
      </c>
      <c r="CJ1728" t="s">
        <v>111</v>
      </c>
      <c r="CK1728" t="s">
        <v>111</v>
      </c>
      <c r="CL1728" t="s">
        <v>111</v>
      </c>
      <c r="CM1728" t="s">
        <v>111</v>
      </c>
      <c r="CN1728" t="s">
        <v>111</v>
      </c>
      <c r="CO1728" t="s">
        <v>111</v>
      </c>
      <c r="CP1728" t="s">
        <v>111</v>
      </c>
      <c r="CQ1728">
        <v>0</v>
      </c>
      <c r="CR1728">
        <v>0</v>
      </c>
      <c r="CS1728">
        <v>0</v>
      </c>
      <c r="CT1728" t="s">
        <v>111</v>
      </c>
      <c r="CU1728">
        <v>0</v>
      </c>
      <c r="CV1728" t="s">
        <v>111</v>
      </c>
      <c r="CW1728" t="s">
        <v>111</v>
      </c>
      <c r="CX1728" t="s">
        <v>111</v>
      </c>
      <c r="CY1728">
        <v>0</v>
      </c>
      <c r="CZ1728" t="s">
        <v>111</v>
      </c>
      <c r="DA1728" t="s">
        <v>111</v>
      </c>
      <c r="DB1728" t="s">
        <v>111</v>
      </c>
      <c r="DC1728" t="s">
        <v>111</v>
      </c>
    </row>
    <row r="1729" spans="1:107">
      <c r="A1729">
        <v>791</v>
      </c>
      <c r="B1729" t="s">
        <v>107</v>
      </c>
      <c r="C1729" t="s">
        <v>4214</v>
      </c>
      <c r="D1729" t="s">
        <v>4342</v>
      </c>
      <c r="E1729" t="s">
        <v>4763</v>
      </c>
      <c r="F1729" t="s">
        <v>110</v>
      </c>
      <c r="G1729" t="s">
        <v>24</v>
      </c>
      <c r="H1729">
        <v>0.9</v>
      </c>
      <c r="I1729">
        <v>28</v>
      </c>
      <c r="J1729">
        <v>0</v>
      </c>
      <c r="K1729">
        <v>0</v>
      </c>
      <c r="L1729" t="s">
        <v>112</v>
      </c>
      <c r="M1729" t="s">
        <v>138</v>
      </c>
      <c r="N1729">
        <v>0</v>
      </c>
      <c r="O1729">
        <v>0</v>
      </c>
      <c r="P1729" t="s">
        <v>138</v>
      </c>
      <c r="Q1729">
        <v>30</v>
      </c>
      <c r="R1729">
        <v>0</v>
      </c>
      <c r="S1729">
        <v>0</v>
      </c>
      <c r="T1729">
        <v>0</v>
      </c>
      <c r="U1729" s="1" t="s">
        <v>4764</v>
      </c>
      <c r="V1729">
        <v>0</v>
      </c>
      <c r="W1729">
        <v>0</v>
      </c>
      <c r="X1729">
        <v>0</v>
      </c>
      <c r="Y1729">
        <v>25</v>
      </c>
      <c r="Z1729" t="s">
        <v>111</v>
      </c>
      <c r="AA1729">
        <v>0</v>
      </c>
      <c r="AB1729" t="s">
        <v>111</v>
      </c>
      <c r="AC1729">
        <v>0</v>
      </c>
      <c r="AD1729" t="s">
        <v>111</v>
      </c>
      <c r="AE1729">
        <v>0</v>
      </c>
      <c r="AF1729">
        <v>0</v>
      </c>
      <c r="AG1729" t="s">
        <v>111</v>
      </c>
      <c r="AH1729" t="s">
        <v>111</v>
      </c>
      <c r="AI1729" t="s">
        <v>111</v>
      </c>
      <c r="AJ1729" t="s">
        <v>111</v>
      </c>
      <c r="AK1729" t="s">
        <v>111</v>
      </c>
      <c r="AL1729" t="s">
        <v>111</v>
      </c>
      <c r="AM1729">
        <v>0</v>
      </c>
      <c r="AN1729">
        <v>0</v>
      </c>
      <c r="AO1729">
        <v>0</v>
      </c>
      <c r="AP1729" t="s">
        <v>111</v>
      </c>
      <c r="AQ1729" t="s">
        <v>111</v>
      </c>
      <c r="AR1729" t="s">
        <v>111</v>
      </c>
      <c r="AS1729" t="s">
        <v>111</v>
      </c>
      <c r="AT1729" t="s">
        <v>111</v>
      </c>
      <c r="AU1729" t="s">
        <v>111</v>
      </c>
      <c r="AV1729" t="s">
        <v>111</v>
      </c>
      <c r="AW1729" t="s">
        <v>111</v>
      </c>
      <c r="AX1729" t="s">
        <v>111</v>
      </c>
      <c r="AY1729" t="s">
        <v>111</v>
      </c>
      <c r="AZ1729" t="s">
        <v>111</v>
      </c>
      <c r="BA1729" t="s">
        <v>111</v>
      </c>
      <c r="BB1729" t="s">
        <v>111</v>
      </c>
      <c r="BC1729" t="s">
        <v>111</v>
      </c>
      <c r="BD1729" t="s">
        <v>111</v>
      </c>
      <c r="BE1729" t="s">
        <v>111</v>
      </c>
      <c r="BF1729" t="s">
        <v>111</v>
      </c>
      <c r="BG1729" t="s">
        <v>111</v>
      </c>
      <c r="BH1729" t="s">
        <v>111</v>
      </c>
      <c r="BI1729" t="s">
        <v>111</v>
      </c>
      <c r="BJ1729" t="s">
        <v>111</v>
      </c>
      <c r="BK1729" t="s">
        <v>111</v>
      </c>
      <c r="BL1729" t="s">
        <v>111</v>
      </c>
      <c r="BM1729" t="s">
        <v>111</v>
      </c>
      <c r="BN1729" t="s">
        <v>111</v>
      </c>
      <c r="BO1729" t="s">
        <v>111</v>
      </c>
      <c r="BP1729" t="s">
        <v>111</v>
      </c>
      <c r="BQ1729" t="s">
        <v>111</v>
      </c>
      <c r="BR1729" t="s">
        <v>111</v>
      </c>
      <c r="BS1729" t="s">
        <v>111</v>
      </c>
      <c r="BT1729" t="s">
        <v>111</v>
      </c>
      <c r="BU1729" t="s">
        <v>111</v>
      </c>
      <c r="BV1729" t="s">
        <v>111</v>
      </c>
      <c r="BW1729" t="s">
        <v>111</v>
      </c>
      <c r="BX1729" t="s">
        <v>111</v>
      </c>
      <c r="BY1729" t="s">
        <v>111</v>
      </c>
      <c r="BZ1729" t="s">
        <v>111</v>
      </c>
      <c r="CA1729" t="s">
        <v>111</v>
      </c>
      <c r="CB1729" t="s">
        <v>111</v>
      </c>
      <c r="CC1729" t="s">
        <v>111</v>
      </c>
      <c r="CD1729" t="s">
        <v>111</v>
      </c>
      <c r="CE1729" t="s">
        <v>111</v>
      </c>
      <c r="CF1729" t="s">
        <v>111</v>
      </c>
      <c r="CG1729" t="s">
        <v>111</v>
      </c>
      <c r="CH1729" t="s">
        <v>111</v>
      </c>
      <c r="CI1729" t="s">
        <v>111</v>
      </c>
      <c r="CJ1729" t="s">
        <v>111</v>
      </c>
      <c r="CK1729" t="s">
        <v>111</v>
      </c>
      <c r="CL1729" t="s">
        <v>111</v>
      </c>
      <c r="CM1729" t="s">
        <v>111</v>
      </c>
      <c r="CN1729" t="s">
        <v>111</v>
      </c>
      <c r="CO1729" t="s">
        <v>111</v>
      </c>
      <c r="CP1729" t="s">
        <v>111</v>
      </c>
      <c r="CQ1729">
        <v>0</v>
      </c>
      <c r="CR1729">
        <v>0</v>
      </c>
      <c r="CS1729">
        <v>0</v>
      </c>
      <c r="CT1729" t="s">
        <v>111</v>
      </c>
      <c r="CU1729">
        <v>0</v>
      </c>
      <c r="CV1729" t="s">
        <v>111</v>
      </c>
      <c r="CW1729" t="s">
        <v>111</v>
      </c>
      <c r="CX1729" t="s">
        <v>111</v>
      </c>
      <c r="CY1729">
        <v>0</v>
      </c>
      <c r="CZ1729" t="s">
        <v>111</v>
      </c>
      <c r="DA1729" t="s">
        <v>111</v>
      </c>
      <c r="DB1729" t="s">
        <v>111</v>
      </c>
      <c r="DC1729" t="s">
        <v>111</v>
      </c>
    </row>
    <row r="1730" spans="1:107">
      <c r="A1730">
        <v>787</v>
      </c>
      <c r="B1730" t="s">
        <v>107</v>
      </c>
      <c r="C1730" t="s">
        <v>454</v>
      </c>
      <c r="D1730" t="s">
        <v>4765</v>
      </c>
      <c r="E1730" t="s">
        <v>4766</v>
      </c>
      <c r="F1730" t="s">
        <v>1071</v>
      </c>
      <c r="G1730" t="s">
        <v>24</v>
      </c>
      <c r="H1730">
        <v>1.5</v>
      </c>
      <c r="I1730">
        <v>13</v>
      </c>
      <c r="J1730">
        <v>2</v>
      </c>
      <c r="K1730">
        <v>0</v>
      </c>
      <c r="L1730" t="s">
        <v>112</v>
      </c>
      <c r="M1730" t="s">
        <v>138</v>
      </c>
      <c r="N1730">
        <v>0</v>
      </c>
      <c r="O1730">
        <v>0</v>
      </c>
      <c r="P1730" t="s">
        <v>138</v>
      </c>
      <c r="Q1730">
        <v>5</v>
      </c>
      <c r="R1730">
        <v>0</v>
      </c>
      <c r="S1730">
        <v>0</v>
      </c>
      <c r="T1730">
        <v>0</v>
      </c>
      <c r="U1730" s="1" t="s">
        <v>4767</v>
      </c>
      <c r="V1730">
        <v>0</v>
      </c>
      <c r="W1730">
        <v>0</v>
      </c>
      <c r="X1730">
        <v>0</v>
      </c>
      <c r="Y1730">
        <v>25</v>
      </c>
      <c r="Z1730" t="s">
        <v>111</v>
      </c>
      <c r="AA1730">
        <v>0</v>
      </c>
      <c r="AB1730" t="s">
        <v>111</v>
      </c>
      <c r="AC1730">
        <v>0</v>
      </c>
      <c r="AD1730" t="s">
        <v>111</v>
      </c>
      <c r="AE1730">
        <v>0</v>
      </c>
      <c r="AF1730">
        <v>0</v>
      </c>
      <c r="AG1730" t="s">
        <v>111</v>
      </c>
      <c r="AH1730" t="s">
        <v>111</v>
      </c>
      <c r="AI1730" t="s">
        <v>111</v>
      </c>
      <c r="AJ1730" t="s">
        <v>111</v>
      </c>
      <c r="AK1730" t="s">
        <v>111</v>
      </c>
      <c r="AL1730" t="s">
        <v>111</v>
      </c>
      <c r="AM1730">
        <v>0</v>
      </c>
      <c r="AN1730">
        <v>0</v>
      </c>
      <c r="AO1730">
        <v>0</v>
      </c>
      <c r="AP1730" t="s">
        <v>111</v>
      </c>
      <c r="AQ1730" t="s">
        <v>111</v>
      </c>
      <c r="AR1730" t="s">
        <v>111</v>
      </c>
      <c r="AS1730" t="s">
        <v>111</v>
      </c>
      <c r="AT1730" t="s">
        <v>111</v>
      </c>
      <c r="AU1730" t="s">
        <v>111</v>
      </c>
      <c r="AV1730" t="s">
        <v>111</v>
      </c>
      <c r="AW1730" t="s">
        <v>111</v>
      </c>
      <c r="AX1730" t="s">
        <v>111</v>
      </c>
      <c r="AY1730" t="s">
        <v>111</v>
      </c>
      <c r="AZ1730" t="s">
        <v>111</v>
      </c>
      <c r="BA1730" t="s">
        <v>111</v>
      </c>
      <c r="BB1730" t="s">
        <v>111</v>
      </c>
      <c r="BC1730" t="s">
        <v>111</v>
      </c>
      <c r="BD1730" t="s">
        <v>111</v>
      </c>
      <c r="BE1730" t="s">
        <v>111</v>
      </c>
      <c r="BF1730" t="s">
        <v>111</v>
      </c>
      <c r="BG1730" t="s">
        <v>111</v>
      </c>
      <c r="BH1730" t="s">
        <v>111</v>
      </c>
      <c r="BI1730" t="s">
        <v>111</v>
      </c>
      <c r="BJ1730" t="s">
        <v>111</v>
      </c>
      <c r="BK1730" t="s">
        <v>111</v>
      </c>
      <c r="BL1730" t="s">
        <v>111</v>
      </c>
      <c r="BM1730" t="s">
        <v>111</v>
      </c>
      <c r="BN1730" t="s">
        <v>111</v>
      </c>
      <c r="BO1730" t="s">
        <v>111</v>
      </c>
      <c r="BP1730" t="s">
        <v>111</v>
      </c>
      <c r="BQ1730" t="s">
        <v>111</v>
      </c>
      <c r="BR1730" t="s">
        <v>111</v>
      </c>
      <c r="BS1730" t="s">
        <v>111</v>
      </c>
      <c r="BT1730" t="s">
        <v>111</v>
      </c>
      <c r="BU1730" t="s">
        <v>111</v>
      </c>
      <c r="BV1730" t="s">
        <v>111</v>
      </c>
      <c r="BW1730" t="s">
        <v>111</v>
      </c>
      <c r="BX1730" t="s">
        <v>111</v>
      </c>
      <c r="BY1730" t="s">
        <v>111</v>
      </c>
      <c r="BZ1730" t="s">
        <v>111</v>
      </c>
      <c r="CA1730" t="s">
        <v>111</v>
      </c>
      <c r="CB1730" t="s">
        <v>111</v>
      </c>
      <c r="CC1730" t="s">
        <v>111</v>
      </c>
      <c r="CD1730" t="s">
        <v>111</v>
      </c>
      <c r="CE1730" t="s">
        <v>111</v>
      </c>
      <c r="CF1730" t="s">
        <v>111</v>
      </c>
      <c r="CG1730" t="s">
        <v>111</v>
      </c>
      <c r="CH1730" t="s">
        <v>111</v>
      </c>
      <c r="CI1730" t="s">
        <v>111</v>
      </c>
      <c r="CJ1730" t="s">
        <v>111</v>
      </c>
      <c r="CK1730" t="s">
        <v>111</v>
      </c>
      <c r="CL1730" t="s">
        <v>111</v>
      </c>
      <c r="CM1730" t="s">
        <v>135</v>
      </c>
      <c r="CN1730" t="s">
        <v>113</v>
      </c>
      <c r="CO1730" t="s">
        <v>111</v>
      </c>
      <c r="CP1730" t="s">
        <v>111</v>
      </c>
      <c r="CQ1730">
        <v>0</v>
      </c>
      <c r="CR1730">
        <v>4000</v>
      </c>
      <c r="CS1730">
        <v>200</v>
      </c>
      <c r="CT1730" s="1" t="s">
        <v>4768</v>
      </c>
      <c r="CU1730">
        <v>0</v>
      </c>
      <c r="CV1730" t="s">
        <v>111</v>
      </c>
      <c r="CW1730" t="s">
        <v>111</v>
      </c>
      <c r="CX1730" t="s">
        <v>111</v>
      </c>
      <c r="CY1730">
        <v>0</v>
      </c>
      <c r="CZ1730" t="s">
        <v>111</v>
      </c>
      <c r="DA1730" t="s">
        <v>111</v>
      </c>
      <c r="DB1730" t="s">
        <v>111</v>
      </c>
      <c r="DC1730" t="s">
        <v>111</v>
      </c>
    </row>
    <row r="1731" spans="1:107">
      <c r="A1731">
        <v>783</v>
      </c>
      <c r="B1731" t="s">
        <v>107</v>
      </c>
      <c r="C1731" s="2">
        <v>70164428</v>
      </c>
      <c r="D1731" t="s">
        <v>3979</v>
      </c>
      <c r="E1731" t="s">
        <v>3980</v>
      </c>
      <c r="F1731" t="s">
        <v>1071</v>
      </c>
      <c r="G1731" t="s">
        <v>24</v>
      </c>
      <c r="H1731">
        <v>1.5</v>
      </c>
      <c r="I1731">
        <v>44</v>
      </c>
      <c r="J1731">
        <v>0</v>
      </c>
      <c r="K1731">
        <v>0</v>
      </c>
      <c r="L1731" t="s">
        <v>112</v>
      </c>
      <c r="M1731" t="s">
        <v>118</v>
      </c>
      <c r="N1731">
        <v>40</v>
      </c>
      <c r="O1731">
        <v>1</v>
      </c>
      <c r="P1731" t="s">
        <v>138</v>
      </c>
      <c r="Q1731">
        <v>40</v>
      </c>
      <c r="R1731">
        <v>0</v>
      </c>
      <c r="S1731">
        <v>0</v>
      </c>
      <c r="T1731">
        <v>0</v>
      </c>
      <c r="U1731" s="1" t="s">
        <v>4769</v>
      </c>
      <c r="V1731">
        <v>0</v>
      </c>
      <c r="W1731">
        <v>0</v>
      </c>
      <c r="X1731">
        <v>0</v>
      </c>
      <c r="Y1731">
        <v>25</v>
      </c>
      <c r="Z1731" t="s">
        <v>111</v>
      </c>
      <c r="AA1731">
        <v>0</v>
      </c>
      <c r="AB1731" t="s">
        <v>111</v>
      </c>
      <c r="AC1731">
        <v>0</v>
      </c>
      <c r="AD1731" t="s">
        <v>111</v>
      </c>
      <c r="AE1731">
        <v>0</v>
      </c>
      <c r="AF1731">
        <v>0</v>
      </c>
      <c r="AG1731" t="s">
        <v>111</v>
      </c>
      <c r="AH1731" t="s">
        <v>111</v>
      </c>
      <c r="AI1731" t="s">
        <v>111</v>
      </c>
      <c r="AJ1731" t="s">
        <v>111</v>
      </c>
      <c r="AK1731" t="s">
        <v>111</v>
      </c>
      <c r="AL1731" t="s">
        <v>111</v>
      </c>
      <c r="AM1731">
        <v>0</v>
      </c>
      <c r="AN1731">
        <v>0</v>
      </c>
      <c r="AO1731">
        <v>0</v>
      </c>
      <c r="AP1731" t="s">
        <v>111</v>
      </c>
      <c r="AQ1731" t="s">
        <v>111</v>
      </c>
      <c r="AR1731" t="s">
        <v>111</v>
      </c>
      <c r="AS1731" t="s">
        <v>111</v>
      </c>
      <c r="AT1731" t="s">
        <v>111</v>
      </c>
      <c r="AU1731" t="s">
        <v>111</v>
      </c>
      <c r="AV1731" t="s">
        <v>111</v>
      </c>
      <c r="AW1731" t="s">
        <v>111</v>
      </c>
      <c r="AX1731" t="s">
        <v>111</v>
      </c>
      <c r="AY1731" t="s">
        <v>111</v>
      </c>
      <c r="AZ1731" t="s">
        <v>111</v>
      </c>
      <c r="BA1731" t="s">
        <v>111</v>
      </c>
      <c r="BB1731" t="s">
        <v>111</v>
      </c>
      <c r="BC1731" t="s">
        <v>111</v>
      </c>
      <c r="BD1731" t="s">
        <v>111</v>
      </c>
      <c r="BE1731" t="s">
        <v>111</v>
      </c>
      <c r="BF1731" t="s">
        <v>111</v>
      </c>
      <c r="BG1731" t="s">
        <v>111</v>
      </c>
      <c r="BH1731" t="s">
        <v>111</v>
      </c>
      <c r="BI1731" t="s">
        <v>111</v>
      </c>
      <c r="BJ1731" t="s">
        <v>111</v>
      </c>
      <c r="BK1731" t="s">
        <v>111</v>
      </c>
      <c r="BL1731" t="s">
        <v>111</v>
      </c>
      <c r="BM1731" t="s">
        <v>111</v>
      </c>
      <c r="BN1731" t="s">
        <v>111</v>
      </c>
      <c r="BO1731" t="s">
        <v>111</v>
      </c>
      <c r="BP1731" t="s">
        <v>111</v>
      </c>
      <c r="BQ1731" t="s">
        <v>111</v>
      </c>
      <c r="BR1731" t="s">
        <v>111</v>
      </c>
      <c r="BS1731" t="s">
        <v>111</v>
      </c>
      <c r="BT1731" t="s">
        <v>111</v>
      </c>
      <c r="BU1731" t="s">
        <v>111</v>
      </c>
      <c r="BV1731" t="s">
        <v>111</v>
      </c>
      <c r="BW1731" t="s">
        <v>111</v>
      </c>
      <c r="BX1731" t="s">
        <v>111</v>
      </c>
      <c r="BY1731" t="s">
        <v>111</v>
      </c>
      <c r="BZ1731" t="s">
        <v>111</v>
      </c>
      <c r="CA1731" t="s">
        <v>111</v>
      </c>
      <c r="CB1731" t="s">
        <v>111</v>
      </c>
      <c r="CC1731" t="s">
        <v>111</v>
      </c>
      <c r="CD1731" t="s">
        <v>111</v>
      </c>
      <c r="CE1731" t="s">
        <v>111</v>
      </c>
      <c r="CF1731" t="s">
        <v>111</v>
      </c>
      <c r="CG1731" t="s">
        <v>111</v>
      </c>
      <c r="CH1731" t="s">
        <v>111</v>
      </c>
      <c r="CI1731" t="s">
        <v>111</v>
      </c>
      <c r="CJ1731" t="s">
        <v>111</v>
      </c>
      <c r="CK1731" t="s">
        <v>111</v>
      </c>
      <c r="CL1731" t="s">
        <v>111</v>
      </c>
      <c r="CM1731" t="s">
        <v>198</v>
      </c>
      <c r="CN1731" t="s">
        <v>113</v>
      </c>
      <c r="CO1731" t="s">
        <v>111</v>
      </c>
      <c r="CP1731" t="s">
        <v>111</v>
      </c>
      <c r="CQ1731">
        <v>0</v>
      </c>
      <c r="CR1731">
        <v>2000</v>
      </c>
      <c r="CS1731">
        <v>200</v>
      </c>
      <c r="CT1731" s="1" t="s">
        <v>344</v>
      </c>
      <c r="CU1731">
        <v>0</v>
      </c>
      <c r="CV1731" t="s">
        <v>111</v>
      </c>
      <c r="CW1731" t="s">
        <v>111</v>
      </c>
      <c r="CX1731" t="s">
        <v>111</v>
      </c>
      <c r="CY1731">
        <v>0</v>
      </c>
      <c r="CZ1731" t="s">
        <v>111</v>
      </c>
      <c r="DA1731" t="s">
        <v>111</v>
      </c>
      <c r="DB1731" t="s">
        <v>111</v>
      </c>
      <c r="DC1731" t="s">
        <v>111</v>
      </c>
    </row>
    <row r="1732" spans="1:107">
      <c r="A1732">
        <v>776</v>
      </c>
      <c r="B1732" t="s">
        <v>107</v>
      </c>
      <c r="C1732" t="s">
        <v>272</v>
      </c>
      <c r="D1732" t="s">
        <v>4770</v>
      </c>
      <c r="E1732" t="s">
        <v>4771</v>
      </c>
      <c r="F1732" t="s">
        <v>1651</v>
      </c>
      <c r="G1732" t="s">
        <v>24</v>
      </c>
      <c r="H1732">
        <v>0.8</v>
      </c>
      <c r="I1732">
        <v>35</v>
      </c>
      <c r="J1732">
        <v>0</v>
      </c>
      <c r="K1732">
        <v>0</v>
      </c>
      <c r="L1732" t="s">
        <v>112</v>
      </c>
      <c r="M1732" t="s">
        <v>118</v>
      </c>
      <c r="N1732">
        <v>40</v>
      </c>
      <c r="O1732">
        <v>1</v>
      </c>
      <c r="P1732" t="s">
        <v>138</v>
      </c>
      <c r="Q1732">
        <v>35</v>
      </c>
      <c r="R1732">
        <v>0</v>
      </c>
      <c r="S1732">
        <v>0</v>
      </c>
      <c r="T1732">
        <v>0</v>
      </c>
      <c r="U1732" s="1" t="s">
        <v>4772</v>
      </c>
      <c r="V1732">
        <v>0</v>
      </c>
      <c r="W1732">
        <v>0</v>
      </c>
      <c r="X1732">
        <v>0</v>
      </c>
      <c r="Y1732">
        <v>25</v>
      </c>
      <c r="Z1732" t="s">
        <v>111</v>
      </c>
      <c r="AA1732">
        <v>0</v>
      </c>
      <c r="AB1732" t="s">
        <v>111</v>
      </c>
      <c r="AC1732">
        <v>0</v>
      </c>
      <c r="AD1732" t="s">
        <v>416</v>
      </c>
      <c r="AE1732">
        <v>3</v>
      </c>
      <c r="AF1732">
        <v>1</v>
      </c>
      <c r="AG1732">
        <v>17</v>
      </c>
      <c r="AH1732" t="s">
        <v>113</v>
      </c>
      <c r="AI1732">
        <v>35</v>
      </c>
      <c r="AJ1732" t="s">
        <v>111</v>
      </c>
      <c r="AK1732" t="s">
        <v>111</v>
      </c>
      <c r="AL1732" t="s">
        <v>111</v>
      </c>
      <c r="AM1732">
        <v>0</v>
      </c>
      <c r="AN1732">
        <v>0</v>
      </c>
      <c r="AO1732">
        <v>0</v>
      </c>
      <c r="AP1732" t="s">
        <v>679</v>
      </c>
      <c r="AQ1732" t="s">
        <v>111</v>
      </c>
      <c r="AR1732" t="s">
        <v>111</v>
      </c>
      <c r="AS1732" t="s">
        <v>111</v>
      </c>
      <c r="AT1732" t="s">
        <v>1235</v>
      </c>
      <c r="AU1732" t="s">
        <v>111</v>
      </c>
      <c r="AV1732" t="s">
        <v>111</v>
      </c>
      <c r="AW1732" t="s">
        <v>111</v>
      </c>
      <c r="AX1732" t="s">
        <v>259</v>
      </c>
      <c r="AY1732" t="s">
        <v>111</v>
      </c>
      <c r="AZ1732" t="s">
        <v>111</v>
      </c>
      <c r="BA1732" t="s">
        <v>111</v>
      </c>
      <c r="BB1732" t="s">
        <v>111</v>
      </c>
      <c r="BC1732" t="s">
        <v>111</v>
      </c>
      <c r="BD1732" t="s">
        <v>111</v>
      </c>
      <c r="BE1732" t="s">
        <v>111</v>
      </c>
      <c r="BF1732" t="s">
        <v>111</v>
      </c>
      <c r="BG1732" t="s">
        <v>111</v>
      </c>
      <c r="BH1732" t="s">
        <v>111</v>
      </c>
      <c r="BI1732" t="s">
        <v>111</v>
      </c>
      <c r="BJ1732" t="s">
        <v>111</v>
      </c>
      <c r="BK1732" t="s">
        <v>111</v>
      </c>
      <c r="BL1732" t="s">
        <v>111</v>
      </c>
      <c r="BM1732" t="s">
        <v>111</v>
      </c>
      <c r="BN1732" t="s">
        <v>111</v>
      </c>
      <c r="BO1732" t="s">
        <v>111</v>
      </c>
      <c r="BP1732" t="s">
        <v>111</v>
      </c>
      <c r="BQ1732" t="s">
        <v>111</v>
      </c>
      <c r="BR1732" t="s">
        <v>111</v>
      </c>
      <c r="BS1732" t="s">
        <v>111</v>
      </c>
      <c r="BT1732" t="s">
        <v>111</v>
      </c>
      <c r="BU1732" t="s">
        <v>111</v>
      </c>
      <c r="BV1732" t="s">
        <v>111</v>
      </c>
      <c r="BW1732" t="s">
        <v>111</v>
      </c>
      <c r="BX1732" t="s">
        <v>111</v>
      </c>
      <c r="BY1732" t="s">
        <v>111</v>
      </c>
      <c r="BZ1732" t="s">
        <v>111</v>
      </c>
      <c r="CA1732" t="s">
        <v>111</v>
      </c>
      <c r="CB1732" t="s">
        <v>111</v>
      </c>
      <c r="CC1732" t="s">
        <v>111</v>
      </c>
      <c r="CD1732" t="s">
        <v>111</v>
      </c>
      <c r="CE1732" t="s">
        <v>111</v>
      </c>
      <c r="CF1732" t="s">
        <v>111</v>
      </c>
      <c r="CG1732" t="s">
        <v>111</v>
      </c>
      <c r="CH1732" t="s">
        <v>111</v>
      </c>
      <c r="CI1732" t="s">
        <v>111</v>
      </c>
      <c r="CJ1732" t="s">
        <v>111</v>
      </c>
      <c r="CK1732" t="s">
        <v>111</v>
      </c>
      <c r="CL1732" t="s">
        <v>296</v>
      </c>
      <c r="CM1732" t="s">
        <v>198</v>
      </c>
      <c r="CN1732" t="s">
        <v>113</v>
      </c>
      <c r="CO1732" t="s">
        <v>111</v>
      </c>
      <c r="CP1732" t="s">
        <v>433</v>
      </c>
      <c r="CQ1732">
        <v>0</v>
      </c>
      <c r="CR1732">
        <v>10000</v>
      </c>
      <c r="CS1732">
        <v>500</v>
      </c>
      <c r="CT1732" s="1" t="s">
        <v>3820</v>
      </c>
      <c r="CU1732">
        <v>0</v>
      </c>
      <c r="CV1732" t="s">
        <v>111</v>
      </c>
      <c r="CW1732" t="s">
        <v>111</v>
      </c>
      <c r="CX1732" t="s">
        <v>111</v>
      </c>
      <c r="CY1732">
        <v>0</v>
      </c>
      <c r="CZ1732" t="s">
        <v>111</v>
      </c>
      <c r="DA1732" t="s">
        <v>111</v>
      </c>
      <c r="DB1732" t="s">
        <v>111</v>
      </c>
      <c r="DC1732" t="s">
        <v>111</v>
      </c>
    </row>
    <row r="1733" spans="1:107">
      <c r="A1733">
        <v>775</v>
      </c>
      <c r="B1733" t="s">
        <v>107</v>
      </c>
      <c r="C1733" t="s">
        <v>4773</v>
      </c>
      <c r="D1733" t="s">
        <v>4774</v>
      </c>
      <c r="E1733" t="s">
        <v>4775</v>
      </c>
      <c r="F1733" t="s">
        <v>1071</v>
      </c>
      <c r="G1733" t="s">
        <v>24</v>
      </c>
      <c r="H1733">
        <v>1.7</v>
      </c>
      <c r="I1733">
        <v>44</v>
      </c>
      <c r="J1733">
        <v>0</v>
      </c>
      <c r="K1733">
        <v>0</v>
      </c>
      <c r="L1733" t="s">
        <v>112</v>
      </c>
      <c r="M1733" t="s">
        <v>138</v>
      </c>
      <c r="N1733">
        <v>0</v>
      </c>
      <c r="O1733">
        <v>0</v>
      </c>
      <c r="P1733" t="s">
        <v>138</v>
      </c>
      <c r="Q1733">
        <v>35</v>
      </c>
      <c r="R1733">
        <v>0</v>
      </c>
      <c r="S1733">
        <v>0</v>
      </c>
      <c r="T1733">
        <v>0</v>
      </c>
      <c r="U1733" s="1" t="s">
        <v>4776</v>
      </c>
      <c r="V1733">
        <v>0</v>
      </c>
      <c r="W1733">
        <v>0</v>
      </c>
      <c r="X1733">
        <v>0</v>
      </c>
      <c r="Y1733">
        <v>25</v>
      </c>
      <c r="Z1733" t="s">
        <v>111</v>
      </c>
      <c r="AA1733">
        <v>0</v>
      </c>
      <c r="AB1733" t="s">
        <v>111</v>
      </c>
      <c r="AC1733">
        <v>0</v>
      </c>
      <c r="AD1733" t="s">
        <v>111</v>
      </c>
      <c r="AE1733">
        <v>0</v>
      </c>
      <c r="AF1733">
        <v>0</v>
      </c>
      <c r="AG1733" t="s">
        <v>111</v>
      </c>
      <c r="AH1733" t="s">
        <v>111</v>
      </c>
      <c r="AI1733" t="s">
        <v>111</v>
      </c>
      <c r="AJ1733" t="s">
        <v>111</v>
      </c>
      <c r="AK1733" t="s">
        <v>111</v>
      </c>
      <c r="AL1733" t="s">
        <v>111</v>
      </c>
      <c r="AM1733">
        <v>0</v>
      </c>
      <c r="AN1733">
        <v>0</v>
      </c>
      <c r="AO1733">
        <v>0</v>
      </c>
      <c r="AP1733" t="s">
        <v>111</v>
      </c>
      <c r="AQ1733" t="s">
        <v>111</v>
      </c>
      <c r="AR1733" t="s">
        <v>111</v>
      </c>
      <c r="AS1733" t="s">
        <v>111</v>
      </c>
      <c r="AT1733" t="s">
        <v>111</v>
      </c>
      <c r="AU1733" t="s">
        <v>111</v>
      </c>
      <c r="AV1733" t="s">
        <v>111</v>
      </c>
      <c r="AW1733" t="s">
        <v>111</v>
      </c>
      <c r="AX1733" t="s">
        <v>111</v>
      </c>
      <c r="AY1733" t="s">
        <v>111</v>
      </c>
      <c r="AZ1733" t="s">
        <v>111</v>
      </c>
      <c r="BA1733" t="s">
        <v>111</v>
      </c>
      <c r="BB1733" t="s">
        <v>111</v>
      </c>
      <c r="BC1733" t="s">
        <v>111</v>
      </c>
      <c r="BD1733" t="s">
        <v>111</v>
      </c>
      <c r="BE1733" t="s">
        <v>111</v>
      </c>
      <c r="BF1733" t="s">
        <v>111</v>
      </c>
      <c r="BG1733" t="s">
        <v>111</v>
      </c>
      <c r="BH1733" t="s">
        <v>111</v>
      </c>
      <c r="BI1733" t="s">
        <v>111</v>
      </c>
      <c r="BJ1733" t="s">
        <v>111</v>
      </c>
      <c r="BK1733" t="s">
        <v>111</v>
      </c>
      <c r="BL1733" t="s">
        <v>111</v>
      </c>
      <c r="BM1733" t="s">
        <v>111</v>
      </c>
      <c r="BN1733" t="s">
        <v>111</v>
      </c>
      <c r="BO1733" t="s">
        <v>111</v>
      </c>
      <c r="BP1733" t="s">
        <v>111</v>
      </c>
      <c r="BQ1733" t="s">
        <v>111</v>
      </c>
      <c r="BR1733" t="s">
        <v>111</v>
      </c>
      <c r="BS1733" t="s">
        <v>111</v>
      </c>
      <c r="BT1733" t="s">
        <v>111</v>
      </c>
      <c r="BU1733" t="s">
        <v>111</v>
      </c>
      <c r="BV1733" t="s">
        <v>111</v>
      </c>
      <c r="BW1733" t="s">
        <v>111</v>
      </c>
      <c r="BX1733" t="s">
        <v>111</v>
      </c>
      <c r="BY1733" t="s">
        <v>111</v>
      </c>
      <c r="BZ1733" t="s">
        <v>111</v>
      </c>
      <c r="CA1733" t="s">
        <v>111</v>
      </c>
      <c r="CB1733" t="s">
        <v>111</v>
      </c>
      <c r="CC1733" t="s">
        <v>111</v>
      </c>
      <c r="CD1733" t="s">
        <v>111</v>
      </c>
      <c r="CE1733" t="s">
        <v>111</v>
      </c>
      <c r="CF1733" t="s">
        <v>111</v>
      </c>
      <c r="CG1733" t="s">
        <v>111</v>
      </c>
      <c r="CH1733" t="s">
        <v>111</v>
      </c>
      <c r="CI1733" t="s">
        <v>111</v>
      </c>
      <c r="CJ1733" t="s">
        <v>111</v>
      </c>
      <c r="CK1733" t="s">
        <v>111</v>
      </c>
      <c r="CL1733" t="s">
        <v>111</v>
      </c>
      <c r="CM1733" t="s">
        <v>135</v>
      </c>
      <c r="CN1733" t="s">
        <v>113</v>
      </c>
      <c r="CO1733" t="s">
        <v>111</v>
      </c>
      <c r="CP1733" t="s">
        <v>111</v>
      </c>
      <c r="CQ1733">
        <v>0</v>
      </c>
      <c r="CR1733">
        <v>3000</v>
      </c>
      <c r="CS1733">
        <v>100</v>
      </c>
      <c r="CT1733" s="1" t="s">
        <v>4777</v>
      </c>
      <c r="CU1733">
        <v>0</v>
      </c>
      <c r="CV1733" t="s">
        <v>111</v>
      </c>
      <c r="CW1733" t="s">
        <v>111</v>
      </c>
      <c r="CX1733" t="s">
        <v>111</v>
      </c>
      <c r="CY1733">
        <v>0</v>
      </c>
      <c r="CZ1733" t="s">
        <v>111</v>
      </c>
      <c r="DA1733" t="s">
        <v>111</v>
      </c>
      <c r="DB1733" t="s">
        <v>111</v>
      </c>
      <c r="DC1733" t="s">
        <v>111</v>
      </c>
    </row>
    <row r="1734" spans="1:107">
      <c r="A1734">
        <v>774</v>
      </c>
      <c r="B1734" t="s">
        <v>107</v>
      </c>
      <c r="C1734" t="s">
        <v>4214</v>
      </c>
      <c r="D1734" t="s">
        <v>4255</v>
      </c>
      <c r="E1734" t="s">
        <v>4778</v>
      </c>
      <c r="F1734" t="s">
        <v>110</v>
      </c>
      <c r="G1734" t="s">
        <v>24</v>
      </c>
      <c r="H1734">
        <v>1.9</v>
      </c>
      <c r="I1734">
        <v>40</v>
      </c>
      <c r="J1734">
        <v>0</v>
      </c>
      <c r="K1734">
        <v>0</v>
      </c>
      <c r="L1734" t="s">
        <v>112</v>
      </c>
      <c r="M1734" t="s">
        <v>138</v>
      </c>
      <c r="N1734">
        <v>0</v>
      </c>
      <c r="O1734">
        <v>0</v>
      </c>
      <c r="P1734" t="s">
        <v>138</v>
      </c>
      <c r="Q1734">
        <v>25</v>
      </c>
      <c r="R1734">
        <v>0</v>
      </c>
      <c r="S1734">
        <v>0</v>
      </c>
      <c r="T1734">
        <v>0</v>
      </c>
      <c r="U1734" s="1" t="s">
        <v>4779</v>
      </c>
      <c r="V1734">
        <v>0</v>
      </c>
      <c r="W1734">
        <v>0</v>
      </c>
      <c r="X1734">
        <v>0</v>
      </c>
      <c r="Y1734">
        <v>25</v>
      </c>
      <c r="Z1734" t="s">
        <v>111</v>
      </c>
      <c r="AA1734">
        <v>0</v>
      </c>
      <c r="AB1734" t="s">
        <v>111</v>
      </c>
      <c r="AC1734">
        <v>0</v>
      </c>
      <c r="AD1734" t="s">
        <v>111</v>
      </c>
      <c r="AE1734">
        <v>0</v>
      </c>
      <c r="AF1734">
        <v>0</v>
      </c>
      <c r="AG1734" t="s">
        <v>111</v>
      </c>
      <c r="AH1734" t="s">
        <v>111</v>
      </c>
      <c r="AI1734" t="s">
        <v>111</v>
      </c>
      <c r="AJ1734" t="s">
        <v>111</v>
      </c>
      <c r="AK1734" t="s">
        <v>111</v>
      </c>
      <c r="AL1734" t="s">
        <v>111</v>
      </c>
      <c r="AM1734">
        <v>0</v>
      </c>
      <c r="AN1734">
        <v>0</v>
      </c>
      <c r="AO1734">
        <v>0</v>
      </c>
      <c r="AP1734" t="s">
        <v>111</v>
      </c>
      <c r="AQ1734" t="s">
        <v>111</v>
      </c>
      <c r="AR1734" t="s">
        <v>111</v>
      </c>
      <c r="AS1734" t="s">
        <v>111</v>
      </c>
      <c r="AT1734" t="s">
        <v>111</v>
      </c>
      <c r="AU1734" t="s">
        <v>111</v>
      </c>
      <c r="AV1734" t="s">
        <v>111</v>
      </c>
      <c r="AW1734" t="s">
        <v>111</v>
      </c>
      <c r="AX1734" t="s">
        <v>111</v>
      </c>
      <c r="AY1734" t="s">
        <v>111</v>
      </c>
      <c r="AZ1734" t="s">
        <v>111</v>
      </c>
      <c r="BA1734" t="s">
        <v>111</v>
      </c>
      <c r="BB1734" t="s">
        <v>111</v>
      </c>
      <c r="BC1734" t="s">
        <v>111</v>
      </c>
      <c r="BD1734" t="s">
        <v>111</v>
      </c>
      <c r="BE1734" t="s">
        <v>111</v>
      </c>
      <c r="BF1734" t="s">
        <v>111</v>
      </c>
      <c r="BG1734" t="s">
        <v>111</v>
      </c>
      <c r="BH1734" t="s">
        <v>111</v>
      </c>
      <c r="BI1734" t="s">
        <v>111</v>
      </c>
      <c r="BJ1734" t="s">
        <v>111</v>
      </c>
      <c r="BK1734" t="s">
        <v>111</v>
      </c>
      <c r="BL1734" t="s">
        <v>111</v>
      </c>
      <c r="BM1734" t="s">
        <v>111</v>
      </c>
      <c r="BN1734" t="s">
        <v>111</v>
      </c>
      <c r="BO1734" t="s">
        <v>111</v>
      </c>
      <c r="BP1734" t="s">
        <v>111</v>
      </c>
      <c r="BQ1734" t="s">
        <v>111</v>
      </c>
      <c r="BR1734" t="s">
        <v>111</v>
      </c>
      <c r="BS1734" t="s">
        <v>111</v>
      </c>
      <c r="BT1734" t="s">
        <v>111</v>
      </c>
      <c r="BU1734" t="s">
        <v>111</v>
      </c>
      <c r="BV1734" t="s">
        <v>111</v>
      </c>
      <c r="BW1734" t="s">
        <v>111</v>
      </c>
      <c r="BX1734" t="s">
        <v>111</v>
      </c>
      <c r="BY1734" t="s">
        <v>111</v>
      </c>
      <c r="BZ1734" t="s">
        <v>111</v>
      </c>
      <c r="CA1734" t="s">
        <v>111</v>
      </c>
      <c r="CB1734" t="s">
        <v>111</v>
      </c>
      <c r="CC1734" t="s">
        <v>111</v>
      </c>
      <c r="CD1734" t="s">
        <v>111</v>
      </c>
      <c r="CE1734" t="s">
        <v>111</v>
      </c>
      <c r="CF1734" t="s">
        <v>111</v>
      </c>
      <c r="CG1734" t="s">
        <v>111</v>
      </c>
      <c r="CH1734" t="s">
        <v>111</v>
      </c>
      <c r="CI1734" t="s">
        <v>111</v>
      </c>
      <c r="CJ1734" t="s">
        <v>111</v>
      </c>
      <c r="CK1734" t="s">
        <v>111</v>
      </c>
      <c r="CL1734" t="s">
        <v>111</v>
      </c>
      <c r="CM1734" t="s">
        <v>111</v>
      </c>
      <c r="CN1734" t="s">
        <v>111</v>
      </c>
      <c r="CO1734" t="s">
        <v>111</v>
      </c>
      <c r="CP1734" t="s">
        <v>111</v>
      </c>
      <c r="CQ1734">
        <v>0</v>
      </c>
      <c r="CR1734">
        <v>0</v>
      </c>
      <c r="CS1734">
        <v>0</v>
      </c>
      <c r="CT1734" t="s">
        <v>111</v>
      </c>
      <c r="CU1734">
        <v>0</v>
      </c>
      <c r="CV1734" t="s">
        <v>111</v>
      </c>
      <c r="CW1734" t="s">
        <v>111</v>
      </c>
      <c r="CX1734" t="s">
        <v>111</v>
      </c>
      <c r="CY1734">
        <v>0</v>
      </c>
      <c r="CZ1734" t="s">
        <v>111</v>
      </c>
      <c r="DA1734" t="s">
        <v>111</v>
      </c>
      <c r="DB1734" t="s">
        <v>111</v>
      </c>
      <c r="DC1734" t="s">
        <v>111</v>
      </c>
    </row>
    <row r="1735" spans="1:107">
      <c r="A1735">
        <v>711</v>
      </c>
      <c r="B1735" t="s">
        <v>107</v>
      </c>
      <c r="C1735" t="s">
        <v>1643</v>
      </c>
      <c r="D1735" t="s">
        <v>4052</v>
      </c>
      <c r="E1735" t="s">
        <v>4780</v>
      </c>
      <c r="F1735" t="s">
        <v>2211</v>
      </c>
      <c r="G1735" t="s">
        <v>24</v>
      </c>
      <c r="H1735">
        <v>1</v>
      </c>
      <c r="I1735">
        <v>28</v>
      </c>
      <c r="J1735">
        <v>0</v>
      </c>
      <c r="K1735">
        <v>0</v>
      </c>
      <c r="L1735" t="s">
        <v>2054</v>
      </c>
      <c r="M1735" t="s">
        <v>138</v>
      </c>
      <c r="N1735">
        <v>0</v>
      </c>
      <c r="O1735">
        <v>0</v>
      </c>
      <c r="P1735" t="s">
        <v>138</v>
      </c>
      <c r="Q1735">
        <v>30</v>
      </c>
      <c r="R1735">
        <v>0</v>
      </c>
      <c r="S1735">
        <v>0</v>
      </c>
      <c r="T1735">
        <v>0</v>
      </c>
      <c r="U1735" s="1" t="s">
        <v>4781</v>
      </c>
      <c r="V1735">
        <v>0</v>
      </c>
      <c r="W1735">
        <v>0</v>
      </c>
      <c r="X1735">
        <v>0</v>
      </c>
      <c r="Y1735">
        <v>25</v>
      </c>
      <c r="Z1735" t="s">
        <v>111</v>
      </c>
      <c r="AA1735">
        <v>0</v>
      </c>
      <c r="AB1735" t="s">
        <v>4782</v>
      </c>
      <c r="AC1735">
        <v>0</v>
      </c>
      <c r="AD1735" t="s">
        <v>111</v>
      </c>
      <c r="AE1735">
        <v>0</v>
      </c>
      <c r="AF1735">
        <v>0</v>
      </c>
      <c r="AG1735" t="s">
        <v>111</v>
      </c>
      <c r="AH1735" t="s">
        <v>111</v>
      </c>
      <c r="AI1735" t="s">
        <v>111</v>
      </c>
      <c r="AJ1735" t="s">
        <v>111</v>
      </c>
      <c r="AK1735" t="s">
        <v>111</v>
      </c>
      <c r="AL1735" t="s">
        <v>111</v>
      </c>
      <c r="AM1735">
        <v>0</v>
      </c>
      <c r="AN1735">
        <v>0</v>
      </c>
      <c r="AO1735">
        <v>0</v>
      </c>
      <c r="AP1735" t="s">
        <v>111</v>
      </c>
      <c r="AQ1735" t="s">
        <v>111</v>
      </c>
      <c r="AR1735" t="s">
        <v>111</v>
      </c>
      <c r="AS1735" t="s">
        <v>111</v>
      </c>
      <c r="AT1735" t="s">
        <v>111</v>
      </c>
      <c r="AU1735" t="s">
        <v>111</v>
      </c>
      <c r="AV1735" t="s">
        <v>111</v>
      </c>
      <c r="AW1735" t="s">
        <v>111</v>
      </c>
      <c r="AX1735" t="s">
        <v>111</v>
      </c>
      <c r="AY1735" t="s">
        <v>111</v>
      </c>
      <c r="AZ1735" t="s">
        <v>111</v>
      </c>
      <c r="BA1735" t="s">
        <v>111</v>
      </c>
      <c r="BB1735" t="s">
        <v>111</v>
      </c>
      <c r="BC1735" t="s">
        <v>111</v>
      </c>
      <c r="BD1735" t="s">
        <v>111</v>
      </c>
      <c r="BE1735" t="s">
        <v>111</v>
      </c>
      <c r="BF1735" t="s">
        <v>111</v>
      </c>
      <c r="BG1735" t="s">
        <v>111</v>
      </c>
      <c r="BH1735" t="s">
        <v>111</v>
      </c>
      <c r="BI1735" t="s">
        <v>111</v>
      </c>
      <c r="BJ1735" t="s">
        <v>111</v>
      </c>
      <c r="BK1735" t="s">
        <v>111</v>
      </c>
      <c r="BL1735" t="s">
        <v>111</v>
      </c>
      <c r="BM1735" t="s">
        <v>111</v>
      </c>
      <c r="BN1735" t="s">
        <v>111</v>
      </c>
      <c r="BO1735" t="s">
        <v>111</v>
      </c>
      <c r="BP1735" t="s">
        <v>111</v>
      </c>
      <c r="BQ1735" t="s">
        <v>111</v>
      </c>
      <c r="BR1735" t="s">
        <v>111</v>
      </c>
      <c r="BS1735" t="s">
        <v>111</v>
      </c>
      <c r="BT1735" t="s">
        <v>111</v>
      </c>
      <c r="BU1735" t="s">
        <v>111</v>
      </c>
      <c r="BV1735" t="s">
        <v>111</v>
      </c>
      <c r="BW1735" t="s">
        <v>111</v>
      </c>
      <c r="BX1735" t="s">
        <v>111</v>
      </c>
      <c r="BY1735" t="s">
        <v>111</v>
      </c>
      <c r="BZ1735" t="s">
        <v>111</v>
      </c>
      <c r="CA1735" t="s">
        <v>111</v>
      </c>
      <c r="CB1735" t="s">
        <v>111</v>
      </c>
      <c r="CC1735" t="s">
        <v>111</v>
      </c>
      <c r="CD1735" t="s">
        <v>111</v>
      </c>
      <c r="CE1735" t="s">
        <v>111</v>
      </c>
      <c r="CF1735" t="s">
        <v>111</v>
      </c>
      <c r="CG1735" t="s">
        <v>111</v>
      </c>
      <c r="CH1735" t="s">
        <v>111</v>
      </c>
      <c r="CI1735" t="s">
        <v>111</v>
      </c>
      <c r="CJ1735" t="s">
        <v>111</v>
      </c>
      <c r="CK1735" t="s">
        <v>111</v>
      </c>
      <c r="CL1735" t="s">
        <v>111</v>
      </c>
      <c r="CM1735" t="s">
        <v>111</v>
      </c>
      <c r="CN1735" t="s">
        <v>111</v>
      </c>
      <c r="CO1735" t="s">
        <v>111</v>
      </c>
      <c r="CP1735" t="s">
        <v>111</v>
      </c>
      <c r="CQ1735">
        <v>0</v>
      </c>
      <c r="CR1735">
        <v>0</v>
      </c>
      <c r="CS1735">
        <v>0</v>
      </c>
      <c r="CT1735" t="s">
        <v>111</v>
      </c>
      <c r="CU1735">
        <v>0</v>
      </c>
      <c r="CV1735" t="s">
        <v>111</v>
      </c>
      <c r="CW1735" t="s">
        <v>111</v>
      </c>
      <c r="CX1735" t="s">
        <v>111</v>
      </c>
      <c r="CY1735">
        <v>0</v>
      </c>
      <c r="CZ1735" t="s">
        <v>111</v>
      </c>
      <c r="DA1735" t="s">
        <v>111</v>
      </c>
      <c r="DB1735" t="s">
        <v>111</v>
      </c>
      <c r="DC1735" t="s">
        <v>111</v>
      </c>
    </row>
    <row r="1736" spans="1:107">
      <c r="A1736">
        <v>778</v>
      </c>
      <c r="B1736" t="s">
        <v>107</v>
      </c>
      <c r="C1736" t="s">
        <v>793</v>
      </c>
      <c r="D1736" t="s">
        <v>4783</v>
      </c>
      <c r="E1736" t="s">
        <v>4784</v>
      </c>
      <c r="F1736" t="s">
        <v>110</v>
      </c>
      <c r="G1736" t="s">
        <v>24</v>
      </c>
      <c r="H1736">
        <v>1.4</v>
      </c>
      <c r="I1736">
        <v>40</v>
      </c>
      <c r="J1736">
        <v>0</v>
      </c>
      <c r="K1736">
        <v>0</v>
      </c>
      <c r="L1736" t="s">
        <v>112</v>
      </c>
      <c r="M1736" t="s">
        <v>118</v>
      </c>
      <c r="N1736">
        <v>40</v>
      </c>
      <c r="O1736">
        <v>1</v>
      </c>
      <c r="P1736" t="s">
        <v>138</v>
      </c>
      <c r="Q1736">
        <v>40</v>
      </c>
      <c r="R1736">
        <v>0</v>
      </c>
      <c r="S1736">
        <v>0</v>
      </c>
      <c r="T1736">
        <v>0</v>
      </c>
      <c r="U1736" t="s">
        <v>4785</v>
      </c>
      <c r="V1736">
        <v>0</v>
      </c>
      <c r="W1736">
        <v>0</v>
      </c>
      <c r="X1736">
        <v>0</v>
      </c>
      <c r="Y1736">
        <v>25</v>
      </c>
      <c r="Z1736" t="s">
        <v>111</v>
      </c>
      <c r="AA1736">
        <v>0</v>
      </c>
      <c r="AB1736" t="s">
        <v>111</v>
      </c>
      <c r="AC1736">
        <v>0</v>
      </c>
      <c r="AD1736" t="s">
        <v>111</v>
      </c>
      <c r="AE1736">
        <v>0</v>
      </c>
      <c r="AF1736">
        <v>0</v>
      </c>
      <c r="AG1736" t="s">
        <v>111</v>
      </c>
      <c r="AH1736" t="s">
        <v>111</v>
      </c>
      <c r="AI1736" t="s">
        <v>111</v>
      </c>
      <c r="AJ1736" t="s">
        <v>111</v>
      </c>
      <c r="AK1736" t="s">
        <v>111</v>
      </c>
      <c r="AL1736" t="s">
        <v>111</v>
      </c>
      <c r="AM1736">
        <v>0</v>
      </c>
      <c r="AN1736">
        <v>0</v>
      </c>
      <c r="AO1736">
        <v>0</v>
      </c>
      <c r="AP1736" t="s">
        <v>111</v>
      </c>
      <c r="AQ1736" t="s">
        <v>111</v>
      </c>
      <c r="AR1736" t="s">
        <v>111</v>
      </c>
      <c r="AS1736" t="s">
        <v>111</v>
      </c>
      <c r="AT1736" t="s">
        <v>111</v>
      </c>
      <c r="AU1736" t="s">
        <v>111</v>
      </c>
      <c r="AV1736" t="s">
        <v>111</v>
      </c>
      <c r="AW1736" t="s">
        <v>111</v>
      </c>
      <c r="AX1736" t="s">
        <v>111</v>
      </c>
      <c r="AY1736" t="s">
        <v>111</v>
      </c>
      <c r="AZ1736" t="s">
        <v>111</v>
      </c>
      <c r="BA1736" t="s">
        <v>111</v>
      </c>
      <c r="BB1736" t="s">
        <v>111</v>
      </c>
      <c r="BC1736" t="s">
        <v>111</v>
      </c>
      <c r="BD1736" t="s">
        <v>111</v>
      </c>
      <c r="BE1736" t="s">
        <v>111</v>
      </c>
      <c r="BF1736" t="s">
        <v>111</v>
      </c>
      <c r="BG1736" t="s">
        <v>111</v>
      </c>
      <c r="BH1736" t="s">
        <v>111</v>
      </c>
      <c r="BI1736" t="s">
        <v>111</v>
      </c>
      <c r="BJ1736" t="s">
        <v>111</v>
      </c>
      <c r="BK1736" t="s">
        <v>111</v>
      </c>
      <c r="BL1736" t="s">
        <v>111</v>
      </c>
      <c r="BM1736" t="s">
        <v>111</v>
      </c>
      <c r="BN1736" t="s">
        <v>111</v>
      </c>
      <c r="BO1736" t="s">
        <v>111</v>
      </c>
      <c r="BP1736" t="s">
        <v>111</v>
      </c>
      <c r="BQ1736" t="s">
        <v>111</v>
      </c>
      <c r="BR1736" t="s">
        <v>111</v>
      </c>
      <c r="BS1736" t="s">
        <v>111</v>
      </c>
      <c r="BT1736" t="s">
        <v>111</v>
      </c>
      <c r="BU1736" t="s">
        <v>111</v>
      </c>
      <c r="BV1736" t="s">
        <v>111</v>
      </c>
      <c r="BW1736" t="s">
        <v>111</v>
      </c>
      <c r="BX1736" t="s">
        <v>111</v>
      </c>
      <c r="BY1736" t="s">
        <v>111</v>
      </c>
      <c r="BZ1736" t="s">
        <v>111</v>
      </c>
      <c r="CA1736" t="s">
        <v>111</v>
      </c>
      <c r="CB1736" t="s">
        <v>111</v>
      </c>
      <c r="CC1736" t="s">
        <v>111</v>
      </c>
      <c r="CD1736" t="s">
        <v>111</v>
      </c>
      <c r="CE1736" t="s">
        <v>111</v>
      </c>
      <c r="CF1736" t="s">
        <v>111</v>
      </c>
      <c r="CG1736" t="s">
        <v>111</v>
      </c>
      <c r="CH1736" t="s">
        <v>111</v>
      </c>
      <c r="CI1736" t="s">
        <v>111</v>
      </c>
      <c r="CJ1736" t="s">
        <v>111</v>
      </c>
      <c r="CK1736" t="s">
        <v>111</v>
      </c>
      <c r="CL1736" t="s">
        <v>111</v>
      </c>
      <c r="CM1736" t="s">
        <v>111</v>
      </c>
      <c r="CN1736" t="s">
        <v>111</v>
      </c>
      <c r="CO1736" t="s">
        <v>111</v>
      </c>
      <c r="CP1736" t="s">
        <v>111</v>
      </c>
      <c r="CQ1736">
        <v>0</v>
      </c>
      <c r="CR1736">
        <v>0</v>
      </c>
      <c r="CS1736">
        <v>0</v>
      </c>
      <c r="CT1736" t="s">
        <v>111</v>
      </c>
      <c r="CU1736">
        <v>0</v>
      </c>
      <c r="CV1736" t="s">
        <v>111</v>
      </c>
      <c r="CW1736" t="s">
        <v>111</v>
      </c>
      <c r="CX1736" t="s">
        <v>111</v>
      </c>
      <c r="CY1736">
        <v>0</v>
      </c>
      <c r="CZ1736" t="s">
        <v>111</v>
      </c>
      <c r="DA1736" t="s">
        <v>111</v>
      </c>
      <c r="DB1736" t="s">
        <v>111</v>
      </c>
      <c r="DC1736" t="s">
        <v>111</v>
      </c>
    </row>
    <row r="1737" spans="1:107">
      <c r="A1737">
        <v>898</v>
      </c>
      <c r="B1737" t="s">
        <v>107</v>
      </c>
      <c r="C1737" t="s">
        <v>3783</v>
      </c>
      <c r="D1737" t="s">
        <v>3960</v>
      </c>
      <c r="E1737" t="s">
        <v>4786</v>
      </c>
      <c r="F1737" t="s">
        <v>1260</v>
      </c>
      <c r="G1737" t="s">
        <v>24</v>
      </c>
      <c r="H1737">
        <v>1.9</v>
      </c>
      <c r="I1737">
        <v>40</v>
      </c>
      <c r="J1737">
        <v>0</v>
      </c>
      <c r="K1737">
        <v>0</v>
      </c>
      <c r="L1737" t="s">
        <v>117</v>
      </c>
      <c r="M1737" t="s">
        <v>118</v>
      </c>
      <c r="N1737">
        <v>39</v>
      </c>
      <c r="O1737">
        <v>0</v>
      </c>
      <c r="P1737" t="s">
        <v>118</v>
      </c>
      <c r="Q1737">
        <v>30</v>
      </c>
      <c r="R1737">
        <v>0</v>
      </c>
      <c r="S1737">
        <v>0</v>
      </c>
      <c r="T1737">
        <v>0</v>
      </c>
      <c r="U1737" s="1" t="s">
        <v>4787</v>
      </c>
      <c r="V1737">
        <v>0</v>
      </c>
      <c r="W1737">
        <v>0</v>
      </c>
      <c r="X1737">
        <v>0</v>
      </c>
      <c r="Y1737">
        <v>250</v>
      </c>
      <c r="Z1737" t="s">
        <v>111</v>
      </c>
      <c r="AA1737">
        <v>0</v>
      </c>
      <c r="AB1737" t="s">
        <v>111</v>
      </c>
      <c r="AC1737">
        <v>0</v>
      </c>
      <c r="AD1737" t="s">
        <v>416</v>
      </c>
      <c r="AE1737">
        <v>30</v>
      </c>
      <c r="AF1737">
        <v>1</v>
      </c>
      <c r="AG1737" t="s">
        <v>4788</v>
      </c>
      <c r="AH1737" t="s">
        <v>113</v>
      </c>
      <c r="AI1737" t="s">
        <v>4789</v>
      </c>
      <c r="AJ1737" t="s">
        <v>111</v>
      </c>
      <c r="AK1737" t="s">
        <v>111</v>
      </c>
      <c r="AL1737" t="s">
        <v>111</v>
      </c>
      <c r="AM1737">
        <v>0</v>
      </c>
      <c r="AN1737">
        <v>0</v>
      </c>
      <c r="AO1737">
        <v>0</v>
      </c>
      <c r="AP1737" t="s">
        <v>288</v>
      </c>
      <c r="AQ1737" t="s">
        <v>111</v>
      </c>
      <c r="AR1737" t="s">
        <v>111</v>
      </c>
      <c r="AS1737" t="s">
        <v>111</v>
      </c>
      <c r="AT1737" t="s">
        <v>259</v>
      </c>
      <c r="AU1737" t="s">
        <v>111</v>
      </c>
      <c r="AV1737" t="s">
        <v>111</v>
      </c>
      <c r="AW1737" t="s">
        <v>111</v>
      </c>
      <c r="AX1737" t="s">
        <v>147</v>
      </c>
      <c r="AY1737" t="s">
        <v>111</v>
      </c>
      <c r="AZ1737" t="s">
        <v>111</v>
      </c>
      <c r="BA1737" t="s">
        <v>111</v>
      </c>
      <c r="BB1737" t="s">
        <v>111</v>
      </c>
      <c r="BC1737" t="s">
        <v>111</v>
      </c>
      <c r="BD1737" t="s">
        <v>111</v>
      </c>
      <c r="BE1737" t="s">
        <v>111</v>
      </c>
      <c r="BF1737" t="s">
        <v>111</v>
      </c>
      <c r="BG1737" t="s">
        <v>111</v>
      </c>
      <c r="BH1737" t="s">
        <v>111</v>
      </c>
      <c r="BI1737" t="s">
        <v>111</v>
      </c>
      <c r="BJ1737" t="s">
        <v>111</v>
      </c>
      <c r="BK1737" t="s">
        <v>111</v>
      </c>
      <c r="BL1737" t="s">
        <v>111</v>
      </c>
      <c r="BM1737" t="s">
        <v>111</v>
      </c>
      <c r="BN1737" t="s">
        <v>111</v>
      </c>
      <c r="BO1737" t="s">
        <v>111</v>
      </c>
      <c r="BP1737" t="s">
        <v>111</v>
      </c>
      <c r="BQ1737" t="s">
        <v>111</v>
      </c>
      <c r="BR1737" t="s">
        <v>111</v>
      </c>
      <c r="BS1737" t="s">
        <v>111</v>
      </c>
      <c r="BT1737" t="s">
        <v>111</v>
      </c>
      <c r="BU1737" t="s">
        <v>111</v>
      </c>
      <c r="BV1737" t="s">
        <v>111</v>
      </c>
      <c r="BW1737" t="s">
        <v>111</v>
      </c>
      <c r="BX1737" t="s">
        <v>111</v>
      </c>
      <c r="BY1737" t="s">
        <v>111</v>
      </c>
      <c r="BZ1737" t="s">
        <v>111</v>
      </c>
      <c r="CA1737" t="s">
        <v>111</v>
      </c>
      <c r="CB1737" t="s">
        <v>111</v>
      </c>
      <c r="CC1737" t="s">
        <v>111</v>
      </c>
      <c r="CD1737" t="s">
        <v>111</v>
      </c>
      <c r="CE1737" t="s">
        <v>111</v>
      </c>
      <c r="CF1737" t="s">
        <v>111</v>
      </c>
      <c r="CG1737" t="s">
        <v>111</v>
      </c>
      <c r="CH1737" t="s">
        <v>111</v>
      </c>
      <c r="CI1737" t="s">
        <v>111</v>
      </c>
      <c r="CJ1737" t="s">
        <v>111</v>
      </c>
      <c r="CK1737" t="s">
        <v>111</v>
      </c>
      <c r="CL1737" t="e">
        <f>-DESTINO SELLADO</f>
        <v>#NAME?</v>
      </c>
      <c r="CM1737" t="s">
        <v>135</v>
      </c>
      <c r="CN1737" t="s">
        <v>113</v>
      </c>
      <c r="CO1737" t="s">
        <v>637</v>
      </c>
      <c r="CP1737" t="e">
        <f>-MUESTRA</f>
        <v>#NAME?</v>
      </c>
      <c r="CQ1737">
        <v>0</v>
      </c>
      <c r="CR1737">
        <v>26000</v>
      </c>
      <c r="CS1737">
        <v>0</v>
      </c>
      <c r="CT1737" t="s">
        <v>394</v>
      </c>
      <c r="CU1737">
        <v>0</v>
      </c>
      <c r="CV1737" t="s">
        <v>111</v>
      </c>
      <c r="CW1737" t="s">
        <v>111</v>
      </c>
      <c r="CX1737" t="s">
        <v>111</v>
      </c>
      <c r="CY1737">
        <v>0</v>
      </c>
      <c r="CZ1737" t="s">
        <v>111</v>
      </c>
      <c r="DA1737" t="s">
        <v>111</v>
      </c>
      <c r="DB1737" t="s">
        <v>111</v>
      </c>
      <c r="DC1737" t="s">
        <v>111</v>
      </c>
    </row>
    <row r="1738" spans="1:107">
      <c r="A1738">
        <v>731</v>
      </c>
      <c r="B1738" t="s">
        <v>107</v>
      </c>
      <c r="C1738" t="s">
        <v>454</v>
      </c>
      <c r="D1738" t="s">
        <v>4790</v>
      </c>
      <c r="E1738" t="s">
        <v>4791</v>
      </c>
      <c r="F1738" t="s">
        <v>1071</v>
      </c>
      <c r="G1738" t="s">
        <v>24</v>
      </c>
      <c r="H1738">
        <v>1.9</v>
      </c>
      <c r="I1738">
        <v>40</v>
      </c>
      <c r="J1738">
        <v>0</v>
      </c>
      <c r="K1738">
        <v>0</v>
      </c>
      <c r="L1738" t="s">
        <v>112</v>
      </c>
      <c r="M1738" t="s">
        <v>138</v>
      </c>
      <c r="N1738">
        <v>0</v>
      </c>
      <c r="O1738">
        <v>0</v>
      </c>
      <c r="P1738" t="s">
        <v>138</v>
      </c>
      <c r="Q1738">
        <v>40</v>
      </c>
      <c r="R1738">
        <v>0</v>
      </c>
      <c r="S1738">
        <v>0</v>
      </c>
      <c r="T1738">
        <v>0</v>
      </c>
      <c r="U1738" s="1" t="s">
        <v>4792</v>
      </c>
      <c r="V1738">
        <v>0</v>
      </c>
      <c r="W1738">
        <v>0</v>
      </c>
      <c r="X1738">
        <v>0</v>
      </c>
      <c r="Y1738">
        <v>25</v>
      </c>
      <c r="Z1738" t="s">
        <v>111</v>
      </c>
      <c r="AA1738">
        <v>0</v>
      </c>
      <c r="AB1738" t="s">
        <v>111</v>
      </c>
      <c r="AC1738">
        <v>0</v>
      </c>
      <c r="AD1738" t="s">
        <v>111</v>
      </c>
      <c r="AE1738">
        <v>0</v>
      </c>
      <c r="AF1738">
        <v>0</v>
      </c>
      <c r="AG1738" t="s">
        <v>111</v>
      </c>
      <c r="AH1738" t="s">
        <v>111</v>
      </c>
      <c r="AI1738" t="s">
        <v>111</v>
      </c>
      <c r="AJ1738" t="s">
        <v>111</v>
      </c>
      <c r="AK1738" t="s">
        <v>111</v>
      </c>
      <c r="AL1738" t="s">
        <v>111</v>
      </c>
      <c r="AM1738">
        <v>0</v>
      </c>
      <c r="AN1738">
        <v>0</v>
      </c>
      <c r="AO1738">
        <v>0</v>
      </c>
      <c r="AP1738" t="s">
        <v>111</v>
      </c>
      <c r="AQ1738" t="s">
        <v>111</v>
      </c>
      <c r="AR1738" t="s">
        <v>111</v>
      </c>
      <c r="AS1738" t="s">
        <v>111</v>
      </c>
      <c r="AT1738" t="s">
        <v>111</v>
      </c>
      <c r="AU1738" t="s">
        <v>111</v>
      </c>
      <c r="AV1738" t="s">
        <v>111</v>
      </c>
      <c r="AW1738" t="s">
        <v>111</v>
      </c>
      <c r="AX1738" t="s">
        <v>111</v>
      </c>
      <c r="AY1738" t="s">
        <v>111</v>
      </c>
      <c r="AZ1738" t="s">
        <v>111</v>
      </c>
      <c r="BA1738" t="s">
        <v>111</v>
      </c>
      <c r="BB1738" t="s">
        <v>111</v>
      </c>
      <c r="BC1738" t="s">
        <v>111</v>
      </c>
      <c r="BD1738" t="s">
        <v>111</v>
      </c>
      <c r="BE1738" t="s">
        <v>111</v>
      </c>
      <c r="BF1738" t="s">
        <v>111</v>
      </c>
      <c r="BG1738" t="s">
        <v>111</v>
      </c>
      <c r="BH1738" t="s">
        <v>111</v>
      </c>
      <c r="BI1738" t="s">
        <v>111</v>
      </c>
      <c r="BJ1738" t="s">
        <v>111</v>
      </c>
      <c r="BK1738" t="s">
        <v>111</v>
      </c>
      <c r="BL1738" t="s">
        <v>111</v>
      </c>
      <c r="BM1738" t="s">
        <v>111</v>
      </c>
      <c r="BN1738" t="s">
        <v>111</v>
      </c>
      <c r="BO1738" t="s">
        <v>111</v>
      </c>
      <c r="BP1738" t="s">
        <v>111</v>
      </c>
      <c r="BQ1738" t="s">
        <v>111</v>
      </c>
      <c r="BR1738" t="s">
        <v>111</v>
      </c>
      <c r="BS1738" t="s">
        <v>111</v>
      </c>
      <c r="BT1738" t="s">
        <v>111</v>
      </c>
      <c r="BU1738" t="s">
        <v>111</v>
      </c>
      <c r="BV1738" t="s">
        <v>111</v>
      </c>
      <c r="BW1738" t="s">
        <v>111</v>
      </c>
      <c r="BX1738" t="s">
        <v>111</v>
      </c>
      <c r="BY1738" t="s">
        <v>111</v>
      </c>
      <c r="BZ1738" t="s">
        <v>111</v>
      </c>
      <c r="CA1738" t="s">
        <v>111</v>
      </c>
      <c r="CB1738" t="s">
        <v>111</v>
      </c>
      <c r="CC1738" t="s">
        <v>111</v>
      </c>
      <c r="CD1738" t="s">
        <v>111</v>
      </c>
      <c r="CE1738" t="s">
        <v>111</v>
      </c>
      <c r="CF1738" t="s">
        <v>111</v>
      </c>
      <c r="CG1738" t="s">
        <v>111</v>
      </c>
      <c r="CH1738" t="s">
        <v>111</v>
      </c>
      <c r="CI1738" t="s">
        <v>111</v>
      </c>
      <c r="CJ1738" t="s">
        <v>111</v>
      </c>
      <c r="CK1738" t="s">
        <v>111</v>
      </c>
      <c r="CL1738" t="s">
        <v>111</v>
      </c>
      <c r="CM1738" t="s">
        <v>198</v>
      </c>
      <c r="CN1738" t="s">
        <v>113</v>
      </c>
      <c r="CO1738" t="s">
        <v>111</v>
      </c>
      <c r="CP1738" t="s">
        <v>111</v>
      </c>
      <c r="CQ1738">
        <v>0</v>
      </c>
      <c r="CR1738">
        <v>2000</v>
      </c>
      <c r="CS1738">
        <v>100</v>
      </c>
      <c r="CT1738" t="s">
        <v>153</v>
      </c>
      <c r="CU1738">
        <v>0</v>
      </c>
      <c r="CV1738" t="s">
        <v>111</v>
      </c>
      <c r="CW1738" t="s">
        <v>111</v>
      </c>
      <c r="CX1738" t="s">
        <v>111</v>
      </c>
      <c r="CY1738">
        <v>0</v>
      </c>
      <c r="CZ1738" t="s">
        <v>111</v>
      </c>
      <c r="DA1738" t="s">
        <v>111</v>
      </c>
      <c r="DB1738" t="s">
        <v>111</v>
      </c>
      <c r="DC1738" t="s">
        <v>111</v>
      </c>
    </row>
    <row r="1739" spans="1:107">
      <c r="A1739">
        <v>732</v>
      </c>
      <c r="B1739" t="s">
        <v>107</v>
      </c>
      <c r="C1739" t="s">
        <v>4793</v>
      </c>
      <c r="D1739" t="s">
        <v>4794</v>
      </c>
      <c r="E1739" t="s">
        <v>4795</v>
      </c>
      <c r="F1739" t="s">
        <v>110</v>
      </c>
      <c r="G1739" t="s">
        <v>24</v>
      </c>
      <c r="H1739">
        <v>1.25</v>
      </c>
      <c r="I1739">
        <v>25</v>
      </c>
      <c r="J1739">
        <v>0</v>
      </c>
      <c r="K1739">
        <v>0</v>
      </c>
      <c r="L1739" t="s">
        <v>112</v>
      </c>
      <c r="M1739" t="s">
        <v>118</v>
      </c>
      <c r="N1739">
        <v>38</v>
      </c>
      <c r="O1739">
        <v>2</v>
      </c>
      <c r="P1739" t="s">
        <v>138</v>
      </c>
      <c r="Q1739">
        <v>30</v>
      </c>
      <c r="R1739">
        <v>0</v>
      </c>
      <c r="S1739">
        <v>0</v>
      </c>
      <c r="T1739">
        <v>0</v>
      </c>
      <c r="U1739" s="1" t="s">
        <v>4796</v>
      </c>
      <c r="V1739">
        <v>0</v>
      </c>
      <c r="W1739">
        <v>0</v>
      </c>
      <c r="X1739">
        <v>0</v>
      </c>
      <c r="Y1739">
        <v>25</v>
      </c>
      <c r="Z1739" t="s">
        <v>111</v>
      </c>
      <c r="AA1739">
        <v>0</v>
      </c>
      <c r="AB1739" t="s">
        <v>111</v>
      </c>
      <c r="AC1739">
        <v>0</v>
      </c>
      <c r="AD1739" t="s">
        <v>111</v>
      </c>
      <c r="AE1739">
        <v>0</v>
      </c>
      <c r="AF1739">
        <v>0</v>
      </c>
      <c r="AG1739" t="s">
        <v>111</v>
      </c>
      <c r="AH1739" t="s">
        <v>111</v>
      </c>
      <c r="AI1739" t="s">
        <v>111</v>
      </c>
      <c r="AJ1739" t="s">
        <v>111</v>
      </c>
      <c r="AK1739" t="s">
        <v>111</v>
      </c>
      <c r="AL1739" t="s">
        <v>111</v>
      </c>
      <c r="AM1739">
        <v>0</v>
      </c>
      <c r="AN1739">
        <v>0</v>
      </c>
      <c r="AO1739">
        <v>0</v>
      </c>
      <c r="AP1739" t="s">
        <v>111</v>
      </c>
      <c r="AQ1739" t="s">
        <v>111</v>
      </c>
      <c r="AR1739" t="s">
        <v>111</v>
      </c>
      <c r="AS1739" t="s">
        <v>111</v>
      </c>
      <c r="AT1739" t="s">
        <v>111</v>
      </c>
      <c r="AU1739" t="s">
        <v>111</v>
      </c>
      <c r="AV1739" t="s">
        <v>111</v>
      </c>
      <c r="AW1739" t="s">
        <v>111</v>
      </c>
      <c r="AX1739" t="s">
        <v>111</v>
      </c>
      <c r="AY1739" t="s">
        <v>111</v>
      </c>
      <c r="AZ1739" t="s">
        <v>111</v>
      </c>
      <c r="BA1739" t="s">
        <v>111</v>
      </c>
      <c r="BB1739" t="s">
        <v>111</v>
      </c>
      <c r="BC1739" t="s">
        <v>111</v>
      </c>
      <c r="BD1739" t="s">
        <v>111</v>
      </c>
      <c r="BE1739" t="s">
        <v>111</v>
      </c>
      <c r="BF1739" t="s">
        <v>111</v>
      </c>
      <c r="BG1739" t="s">
        <v>111</v>
      </c>
      <c r="BH1739" t="s">
        <v>111</v>
      </c>
      <c r="BI1739" t="s">
        <v>111</v>
      </c>
      <c r="BJ1739" t="s">
        <v>111</v>
      </c>
      <c r="BK1739" t="s">
        <v>111</v>
      </c>
      <c r="BL1739" t="s">
        <v>111</v>
      </c>
      <c r="BM1739" t="s">
        <v>111</v>
      </c>
      <c r="BN1739" t="s">
        <v>111</v>
      </c>
      <c r="BO1739" t="s">
        <v>111</v>
      </c>
      <c r="BP1739" t="s">
        <v>111</v>
      </c>
      <c r="BQ1739" t="s">
        <v>111</v>
      </c>
      <c r="BR1739" t="s">
        <v>111</v>
      </c>
      <c r="BS1739" t="s">
        <v>111</v>
      </c>
      <c r="BT1739" t="s">
        <v>111</v>
      </c>
      <c r="BU1739" t="s">
        <v>111</v>
      </c>
      <c r="BV1739" t="s">
        <v>111</v>
      </c>
      <c r="BW1739" t="s">
        <v>111</v>
      </c>
      <c r="BX1739" t="s">
        <v>111</v>
      </c>
      <c r="BY1739" t="s">
        <v>111</v>
      </c>
      <c r="BZ1739" t="s">
        <v>111</v>
      </c>
      <c r="CA1739" t="s">
        <v>111</v>
      </c>
      <c r="CB1739" t="s">
        <v>111</v>
      </c>
      <c r="CC1739" t="s">
        <v>111</v>
      </c>
      <c r="CD1739" t="s">
        <v>111</v>
      </c>
      <c r="CE1739" t="s">
        <v>111</v>
      </c>
      <c r="CF1739" t="s">
        <v>111</v>
      </c>
      <c r="CG1739" t="s">
        <v>111</v>
      </c>
      <c r="CH1739" t="s">
        <v>111</v>
      </c>
      <c r="CI1739" t="s">
        <v>111</v>
      </c>
      <c r="CJ1739" t="s">
        <v>111</v>
      </c>
      <c r="CK1739" t="s">
        <v>111</v>
      </c>
      <c r="CL1739" t="s">
        <v>111</v>
      </c>
      <c r="CM1739" t="s">
        <v>111</v>
      </c>
      <c r="CN1739" t="s">
        <v>111</v>
      </c>
      <c r="CO1739" t="s">
        <v>111</v>
      </c>
      <c r="CP1739" t="s">
        <v>111</v>
      </c>
      <c r="CQ1739">
        <v>0</v>
      </c>
      <c r="CR1739">
        <v>0</v>
      </c>
      <c r="CS1739">
        <v>0</v>
      </c>
      <c r="CT1739" t="s">
        <v>111</v>
      </c>
      <c r="CU1739">
        <v>0</v>
      </c>
      <c r="CV1739" t="s">
        <v>111</v>
      </c>
      <c r="CW1739" t="s">
        <v>111</v>
      </c>
      <c r="CX1739" t="s">
        <v>111</v>
      </c>
      <c r="CY1739">
        <v>0</v>
      </c>
      <c r="CZ1739" t="s">
        <v>111</v>
      </c>
      <c r="DA1739" t="s">
        <v>111</v>
      </c>
      <c r="DB1739" t="s">
        <v>111</v>
      </c>
      <c r="DC1739" t="s">
        <v>111</v>
      </c>
    </row>
    <row r="1740" spans="1:107">
      <c r="A1740">
        <v>752</v>
      </c>
      <c r="B1740" t="s">
        <v>107</v>
      </c>
      <c r="C1740" t="s">
        <v>4797</v>
      </c>
      <c r="D1740" t="s">
        <v>4798</v>
      </c>
      <c r="E1740" t="s">
        <v>4799</v>
      </c>
      <c r="F1740" t="s">
        <v>3682</v>
      </c>
      <c r="G1740" t="s">
        <v>24</v>
      </c>
      <c r="H1740">
        <v>1.4</v>
      </c>
      <c r="I1740">
        <v>38</v>
      </c>
      <c r="J1740">
        <v>0</v>
      </c>
      <c r="K1740">
        <v>0</v>
      </c>
      <c r="L1740" t="s">
        <v>112</v>
      </c>
      <c r="M1740" t="s">
        <v>138</v>
      </c>
      <c r="N1740">
        <v>0</v>
      </c>
      <c r="O1740">
        <v>0</v>
      </c>
      <c r="P1740" t="s">
        <v>138</v>
      </c>
      <c r="Q1740">
        <v>35.299999999999997</v>
      </c>
      <c r="R1740">
        <v>0</v>
      </c>
      <c r="S1740">
        <v>0</v>
      </c>
      <c r="T1740">
        <v>5</v>
      </c>
      <c r="U1740" s="1" t="s">
        <v>4800</v>
      </c>
      <c r="V1740">
        <v>0</v>
      </c>
      <c r="W1740">
        <v>0</v>
      </c>
      <c r="X1740">
        <v>0</v>
      </c>
      <c r="Y1740">
        <v>25</v>
      </c>
      <c r="Z1740" t="s">
        <v>111</v>
      </c>
      <c r="AA1740">
        <v>25</v>
      </c>
      <c r="AB1740" t="s">
        <v>4801</v>
      </c>
      <c r="AC1740">
        <v>0</v>
      </c>
      <c r="AD1740" t="s">
        <v>111</v>
      </c>
      <c r="AE1740">
        <v>0</v>
      </c>
      <c r="AF1740">
        <v>0</v>
      </c>
      <c r="AG1740" t="s">
        <v>4802</v>
      </c>
      <c r="AH1740" t="s">
        <v>111</v>
      </c>
      <c r="AI1740" t="s">
        <v>111</v>
      </c>
      <c r="AJ1740" t="s">
        <v>111</v>
      </c>
      <c r="AK1740" t="s">
        <v>111</v>
      </c>
      <c r="AL1740" t="s">
        <v>111</v>
      </c>
      <c r="AM1740">
        <v>0</v>
      </c>
      <c r="AN1740">
        <v>0</v>
      </c>
      <c r="AO1740">
        <v>0</v>
      </c>
      <c r="AP1740" t="s">
        <v>111</v>
      </c>
      <c r="AQ1740" t="s">
        <v>111</v>
      </c>
      <c r="AR1740" t="s">
        <v>111</v>
      </c>
      <c r="AS1740" t="s">
        <v>111</v>
      </c>
      <c r="AT1740" t="s">
        <v>111</v>
      </c>
      <c r="AU1740" t="s">
        <v>111</v>
      </c>
      <c r="AV1740" t="s">
        <v>111</v>
      </c>
      <c r="AW1740" t="s">
        <v>111</v>
      </c>
      <c r="AX1740" t="s">
        <v>111</v>
      </c>
      <c r="AY1740" t="s">
        <v>111</v>
      </c>
      <c r="AZ1740" t="s">
        <v>111</v>
      </c>
      <c r="BA1740" t="s">
        <v>111</v>
      </c>
      <c r="BB1740" t="s">
        <v>111</v>
      </c>
      <c r="BC1740" t="s">
        <v>111</v>
      </c>
      <c r="BD1740" t="s">
        <v>111</v>
      </c>
      <c r="BE1740" t="s">
        <v>111</v>
      </c>
      <c r="BF1740" t="s">
        <v>111</v>
      </c>
      <c r="BG1740" t="s">
        <v>111</v>
      </c>
      <c r="BH1740" t="s">
        <v>111</v>
      </c>
      <c r="BI1740" t="s">
        <v>111</v>
      </c>
      <c r="BJ1740" t="s">
        <v>111</v>
      </c>
      <c r="BK1740" t="s">
        <v>111</v>
      </c>
      <c r="BL1740" t="s">
        <v>111</v>
      </c>
      <c r="BM1740" t="s">
        <v>111</v>
      </c>
      <c r="BN1740" t="s">
        <v>111</v>
      </c>
      <c r="BO1740" t="s">
        <v>111</v>
      </c>
      <c r="BP1740" t="s">
        <v>111</v>
      </c>
      <c r="BQ1740" t="s">
        <v>111</v>
      </c>
      <c r="BR1740" t="s">
        <v>111</v>
      </c>
      <c r="BS1740" t="s">
        <v>111</v>
      </c>
      <c r="BT1740" t="s">
        <v>111</v>
      </c>
      <c r="BU1740" t="s">
        <v>111</v>
      </c>
      <c r="BV1740" t="s">
        <v>111</v>
      </c>
      <c r="BW1740" t="s">
        <v>111</v>
      </c>
      <c r="BX1740" t="s">
        <v>111</v>
      </c>
      <c r="BY1740" t="s">
        <v>111</v>
      </c>
      <c r="BZ1740" t="s">
        <v>111</v>
      </c>
      <c r="CA1740" t="s">
        <v>111</v>
      </c>
      <c r="CB1740" t="s">
        <v>111</v>
      </c>
      <c r="CC1740" t="s">
        <v>111</v>
      </c>
      <c r="CD1740" t="s">
        <v>111</v>
      </c>
      <c r="CE1740" t="s">
        <v>111</v>
      </c>
      <c r="CF1740" t="s">
        <v>111</v>
      </c>
      <c r="CG1740" t="s">
        <v>111</v>
      </c>
      <c r="CH1740" t="s">
        <v>111</v>
      </c>
      <c r="CI1740" t="s">
        <v>111</v>
      </c>
      <c r="CJ1740" t="s">
        <v>111</v>
      </c>
      <c r="CK1740" t="s">
        <v>111</v>
      </c>
      <c r="CL1740" t="s">
        <v>111</v>
      </c>
      <c r="CM1740" t="s">
        <v>198</v>
      </c>
      <c r="CN1740" t="s">
        <v>113</v>
      </c>
      <c r="CO1740" t="s">
        <v>885</v>
      </c>
      <c r="CP1740" t="s">
        <v>111</v>
      </c>
      <c r="CQ1740">
        <v>67</v>
      </c>
      <c r="CR1740">
        <v>2000</v>
      </c>
      <c r="CS1740">
        <v>200</v>
      </c>
      <c r="CT1740" s="1" t="s">
        <v>4803</v>
      </c>
      <c r="CU1740">
        <v>0</v>
      </c>
      <c r="CV1740" t="s">
        <v>111</v>
      </c>
      <c r="CW1740" t="s">
        <v>111</v>
      </c>
      <c r="CX1740" t="s">
        <v>111</v>
      </c>
      <c r="CY1740">
        <v>0</v>
      </c>
      <c r="CZ1740" t="s">
        <v>111</v>
      </c>
      <c r="DA1740" t="s">
        <v>111</v>
      </c>
      <c r="DB1740" t="s">
        <v>111</v>
      </c>
      <c r="DC1740" t="s">
        <v>111</v>
      </c>
    </row>
    <row r="1741" spans="1:107">
      <c r="A1741">
        <v>753</v>
      </c>
      <c r="B1741" t="s">
        <v>107</v>
      </c>
      <c r="C1741" t="s">
        <v>4206</v>
      </c>
      <c r="D1741" t="s">
        <v>4804</v>
      </c>
      <c r="E1741" t="s">
        <v>4805</v>
      </c>
      <c r="F1741" t="s">
        <v>1071</v>
      </c>
      <c r="G1741" t="s">
        <v>24</v>
      </c>
      <c r="H1741">
        <v>0.9</v>
      </c>
      <c r="I1741">
        <v>35</v>
      </c>
      <c r="J1741">
        <v>0</v>
      </c>
      <c r="K1741">
        <v>0</v>
      </c>
      <c r="L1741" t="s">
        <v>112</v>
      </c>
      <c r="M1741" t="s">
        <v>138</v>
      </c>
      <c r="N1741">
        <v>0</v>
      </c>
      <c r="O1741">
        <v>0</v>
      </c>
      <c r="P1741" t="s">
        <v>138</v>
      </c>
      <c r="Q1741">
        <v>34</v>
      </c>
      <c r="R1741">
        <v>0</v>
      </c>
      <c r="S1741">
        <v>0</v>
      </c>
      <c r="T1741">
        <v>5</v>
      </c>
      <c r="U1741" s="1" t="s">
        <v>4806</v>
      </c>
      <c r="V1741">
        <v>0</v>
      </c>
      <c r="W1741">
        <v>0</v>
      </c>
      <c r="X1741">
        <v>0</v>
      </c>
      <c r="Y1741">
        <v>25</v>
      </c>
      <c r="Z1741" t="s">
        <v>111</v>
      </c>
      <c r="AA1741">
        <v>0</v>
      </c>
      <c r="AB1741" t="s">
        <v>4055</v>
      </c>
      <c r="AC1741">
        <v>0.3</v>
      </c>
      <c r="AD1741" t="s">
        <v>111</v>
      </c>
      <c r="AE1741">
        <v>0</v>
      </c>
      <c r="AF1741">
        <v>0</v>
      </c>
      <c r="AG1741" t="s">
        <v>111</v>
      </c>
      <c r="AH1741" t="s">
        <v>111</v>
      </c>
      <c r="AI1741" t="s">
        <v>111</v>
      </c>
      <c r="AJ1741" t="s">
        <v>111</v>
      </c>
      <c r="AK1741" t="s">
        <v>111</v>
      </c>
      <c r="AL1741" t="s">
        <v>111</v>
      </c>
      <c r="AM1741">
        <v>0</v>
      </c>
      <c r="AN1741">
        <v>0</v>
      </c>
      <c r="AO1741">
        <v>0</v>
      </c>
      <c r="AP1741" t="s">
        <v>111</v>
      </c>
      <c r="AQ1741" t="s">
        <v>111</v>
      </c>
      <c r="AR1741" t="s">
        <v>111</v>
      </c>
      <c r="AS1741" t="s">
        <v>111</v>
      </c>
      <c r="AT1741" t="s">
        <v>111</v>
      </c>
      <c r="AU1741" t="s">
        <v>111</v>
      </c>
      <c r="AV1741" t="s">
        <v>111</v>
      </c>
      <c r="AW1741" t="s">
        <v>111</v>
      </c>
      <c r="AX1741" t="s">
        <v>111</v>
      </c>
      <c r="AY1741" t="s">
        <v>111</v>
      </c>
      <c r="AZ1741" t="s">
        <v>111</v>
      </c>
      <c r="BA1741" t="s">
        <v>111</v>
      </c>
      <c r="BB1741" t="s">
        <v>111</v>
      </c>
      <c r="BC1741" t="s">
        <v>111</v>
      </c>
      <c r="BD1741" t="s">
        <v>111</v>
      </c>
      <c r="BE1741" t="s">
        <v>111</v>
      </c>
      <c r="BF1741" t="s">
        <v>111</v>
      </c>
      <c r="BG1741" t="s">
        <v>111</v>
      </c>
      <c r="BH1741" t="s">
        <v>111</v>
      </c>
      <c r="BI1741" t="s">
        <v>111</v>
      </c>
      <c r="BJ1741" t="s">
        <v>111</v>
      </c>
      <c r="BK1741" t="s">
        <v>111</v>
      </c>
      <c r="BL1741" t="s">
        <v>111</v>
      </c>
      <c r="BM1741" t="s">
        <v>111</v>
      </c>
      <c r="BN1741" t="s">
        <v>111</v>
      </c>
      <c r="BO1741" t="s">
        <v>111</v>
      </c>
      <c r="BP1741" t="s">
        <v>111</v>
      </c>
      <c r="BQ1741" t="s">
        <v>111</v>
      </c>
      <c r="BR1741" t="s">
        <v>111</v>
      </c>
      <c r="BS1741" t="s">
        <v>111</v>
      </c>
      <c r="BT1741" t="s">
        <v>111</v>
      </c>
      <c r="BU1741" t="s">
        <v>111</v>
      </c>
      <c r="BV1741" t="s">
        <v>111</v>
      </c>
      <c r="BW1741" t="s">
        <v>111</v>
      </c>
      <c r="BX1741" t="s">
        <v>111</v>
      </c>
      <c r="BY1741" t="s">
        <v>111</v>
      </c>
      <c r="BZ1741" t="s">
        <v>111</v>
      </c>
      <c r="CA1741" t="s">
        <v>111</v>
      </c>
      <c r="CB1741" t="s">
        <v>111</v>
      </c>
      <c r="CC1741" t="s">
        <v>111</v>
      </c>
      <c r="CD1741" t="s">
        <v>111</v>
      </c>
      <c r="CE1741" t="s">
        <v>111</v>
      </c>
      <c r="CF1741" t="s">
        <v>111</v>
      </c>
      <c r="CG1741" t="s">
        <v>111</v>
      </c>
      <c r="CH1741" t="s">
        <v>111</v>
      </c>
      <c r="CI1741" t="s">
        <v>111</v>
      </c>
      <c r="CJ1741" t="s">
        <v>111</v>
      </c>
      <c r="CK1741" t="s">
        <v>111</v>
      </c>
      <c r="CL1741" t="s">
        <v>111</v>
      </c>
      <c r="CM1741" t="s">
        <v>438</v>
      </c>
      <c r="CN1741" t="s">
        <v>113</v>
      </c>
      <c r="CO1741" t="s">
        <v>111</v>
      </c>
      <c r="CP1741" t="s">
        <v>111</v>
      </c>
      <c r="CQ1741">
        <v>0</v>
      </c>
      <c r="CR1741">
        <v>6000</v>
      </c>
      <c r="CS1741">
        <v>100</v>
      </c>
      <c r="CT1741" s="1" t="s">
        <v>4807</v>
      </c>
      <c r="CU1741">
        <v>0</v>
      </c>
      <c r="CV1741" t="s">
        <v>111</v>
      </c>
      <c r="CW1741" t="s">
        <v>111</v>
      </c>
      <c r="CX1741" t="s">
        <v>111</v>
      </c>
      <c r="CY1741">
        <v>0</v>
      </c>
      <c r="CZ1741" t="s">
        <v>111</v>
      </c>
      <c r="DA1741" t="s">
        <v>111</v>
      </c>
      <c r="DB1741" t="s">
        <v>111</v>
      </c>
      <c r="DC1741" t="s">
        <v>111</v>
      </c>
    </row>
    <row r="1742" spans="1:107">
      <c r="A1742">
        <v>748</v>
      </c>
      <c r="B1742" t="s">
        <v>107</v>
      </c>
      <c r="C1742" t="s">
        <v>4793</v>
      </c>
      <c r="D1742" t="s">
        <v>4808</v>
      </c>
      <c r="E1742" t="s">
        <v>4809</v>
      </c>
      <c r="F1742" t="s">
        <v>110</v>
      </c>
      <c r="G1742" t="s">
        <v>24</v>
      </c>
      <c r="H1742">
        <v>1</v>
      </c>
      <c r="I1742">
        <v>25</v>
      </c>
      <c r="J1742">
        <v>0</v>
      </c>
      <c r="K1742">
        <v>0</v>
      </c>
      <c r="L1742" t="s">
        <v>112</v>
      </c>
      <c r="M1742" t="s">
        <v>118</v>
      </c>
      <c r="N1742">
        <v>39</v>
      </c>
      <c r="O1742">
        <v>2</v>
      </c>
      <c r="P1742" t="s">
        <v>138</v>
      </c>
      <c r="Q1742">
        <v>25</v>
      </c>
      <c r="R1742">
        <v>0</v>
      </c>
      <c r="S1742">
        <v>0</v>
      </c>
      <c r="T1742">
        <v>0</v>
      </c>
      <c r="U1742" s="1" t="s">
        <v>4810</v>
      </c>
      <c r="V1742">
        <v>0</v>
      </c>
      <c r="W1742">
        <v>0</v>
      </c>
      <c r="X1742">
        <v>0</v>
      </c>
      <c r="Y1742">
        <v>25</v>
      </c>
      <c r="Z1742" t="s">
        <v>111</v>
      </c>
      <c r="AA1742">
        <v>0</v>
      </c>
      <c r="AB1742" t="s">
        <v>111</v>
      </c>
      <c r="AC1742">
        <v>0</v>
      </c>
      <c r="AD1742" t="s">
        <v>111</v>
      </c>
      <c r="AE1742">
        <v>0</v>
      </c>
      <c r="AF1742">
        <v>0</v>
      </c>
      <c r="AG1742" t="s">
        <v>111</v>
      </c>
      <c r="AH1742" t="s">
        <v>111</v>
      </c>
      <c r="AI1742" t="s">
        <v>111</v>
      </c>
      <c r="AJ1742" t="s">
        <v>111</v>
      </c>
      <c r="AK1742" t="s">
        <v>111</v>
      </c>
      <c r="AL1742" t="s">
        <v>111</v>
      </c>
      <c r="AM1742">
        <v>0</v>
      </c>
      <c r="AN1742">
        <v>0</v>
      </c>
      <c r="AO1742">
        <v>0</v>
      </c>
      <c r="AP1742" t="s">
        <v>111</v>
      </c>
      <c r="AQ1742" t="s">
        <v>111</v>
      </c>
      <c r="AR1742" t="s">
        <v>111</v>
      </c>
      <c r="AS1742" t="s">
        <v>111</v>
      </c>
      <c r="AT1742" t="s">
        <v>111</v>
      </c>
      <c r="AU1742" t="s">
        <v>111</v>
      </c>
      <c r="AV1742" t="s">
        <v>111</v>
      </c>
      <c r="AW1742" t="s">
        <v>111</v>
      </c>
      <c r="AX1742" t="s">
        <v>111</v>
      </c>
      <c r="AY1742" t="s">
        <v>111</v>
      </c>
      <c r="AZ1742" t="s">
        <v>111</v>
      </c>
      <c r="BA1742" t="s">
        <v>111</v>
      </c>
      <c r="BB1742" t="s">
        <v>111</v>
      </c>
      <c r="BC1742" t="s">
        <v>111</v>
      </c>
      <c r="BD1742" t="s">
        <v>111</v>
      </c>
      <c r="BE1742" t="s">
        <v>111</v>
      </c>
      <c r="BF1742" t="s">
        <v>111</v>
      </c>
      <c r="BG1742" t="s">
        <v>111</v>
      </c>
      <c r="BH1742" t="s">
        <v>111</v>
      </c>
      <c r="BI1742" t="s">
        <v>111</v>
      </c>
      <c r="BJ1742" t="s">
        <v>111</v>
      </c>
      <c r="BK1742" t="s">
        <v>111</v>
      </c>
      <c r="BL1742" t="s">
        <v>111</v>
      </c>
      <c r="BM1742" t="s">
        <v>111</v>
      </c>
      <c r="BN1742" t="s">
        <v>111</v>
      </c>
      <c r="BO1742" t="s">
        <v>111</v>
      </c>
      <c r="BP1742" t="s">
        <v>111</v>
      </c>
      <c r="BQ1742" t="s">
        <v>111</v>
      </c>
      <c r="BR1742" t="s">
        <v>111</v>
      </c>
      <c r="BS1742" t="s">
        <v>111</v>
      </c>
      <c r="BT1742" t="s">
        <v>111</v>
      </c>
      <c r="BU1742" t="s">
        <v>111</v>
      </c>
      <c r="BV1742" t="s">
        <v>111</v>
      </c>
      <c r="BW1742" t="s">
        <v>111</v>
      </c>
      <c r="BX1742" t="s">
        <v>111</v>
      </c>
      <c r="BY1742" t="s">
        <v>111</v>
      </c>
      <c r="BZ1742" t="s">
        <v>111</v>
      </c>
      <c r="CA1742" t="s">
        <v>111</v>
      </c>
      <c r="CB1742" t="s">
        <v>111</v>
      </c>
      <c r="CC1742" t="s">
        <v>111</v>
      </c>
      <c r="CD1742" t="s">
        <v>111</v>
      </c>
      <c r="CE1742" t="s">
        <v>111</v>
      </c>
      <c r="CF1742" t="s">
        <v>111</v>
      </c>
      <c r="CG1742" t="s">
        <v>111</v>
      </c>
      <c r="CH1742" t="s">
        <v>111</v>
      </c>
      <c r="CI1742" t="s">
        <v>111</v>
      </c>
      <c r="CJ1742" t="s">
        <v>111</v>
      </c>
      <c r="CK1742" t="s">
        <v>111</v>
      </c>
      <c r="CL1742" t="s">
        <v>111</v>
      </c>
      <c r="CM1742" t="s">
        <v>111</v>
      </c>
      <c r="CN1742" t="s">
        <v>111</v>
      </c>
      <c r="CO1742" t="s">
        <v>111</v>
      </c>
      <c r="CP1742" t="s">
        <v>111</v>
      </c>
      <c r="CQ1742">
        <v>0</v>
      </c>
      <c r="CR1742">
        <v>0</v>
      </c>
      <c r="CS1742">
        <v>0</v>
      </c>
      <c r="CT1742" t="s">
        <v>111</v>
      </c>
      <c r="CU1742">
        <v>0</v>
      </c>
      <c r="CV1742" t="s">
        <v>111</v>
      </c>
      <c r="CW1742" t="s">
        <v>111</v>
      </c>
      <c r="CX1742" t="s">
        <v>111</v>
      </c>
      <c r="CY1742">
        <v>0</v>
      </c>
      <c r="CZ1742" t="s">
        <v>111</v>
      </c>
      <c r="DA1742" t="s">
        <v>111</v>
      </c>
      <c r="DB1742" t="s">
        <v>111</v>
      </c>
      <c r="DC1742" t="s">
        <v>111</v>
      </c>
    </row>
    <row r="1743" spans="1:107">
      <c r="A1743">
        <v>777</v>
      </c>
      <c r="B1743" t="s">
        <v>107</v>
      </c>
      <c r="C1743" t="s">
        <v>272</v>
      </c>
      <c r="D1743" t="s">
        <v>4811</v>
      </c>
      <c r="E1743" t="s">
        <v>4812</v>
      </c>
      <c r="F1743" t="s">
        <v>1651</v>
      </c>
      <c r="G1743" t="s">
        <v>24</v>
      </c>
      <c r="H1743">
        <v>0.8</v>
      </c>
      <c r="I1743">
        <v>33</v>
      </c>
      <c r="J1743">
        <v>0</v>
      </c>
      <c r="K1743">
        <v>0</v>
      </c>
      <c r="L1743" t="s">
        <v>112</v>
      </c>
      <c r="M1743" t="s">
        <v>118</v>
      </c>
      <c r="N1743">
        <v>40</v>
      </c>
      <c r="O1743">
        <v>1</v>
      </c>
      <c r="P1743" t="s">
        <v>138</v>
      </c>
      <c r="Q1743">
        <v>35</v>
      </c>
      <c r="R1743">
        <v>0</v>
      </c>
      <c r="S1743">
        <v>0</v>
      </c>
      <c r="T1743">
        <v>0</v>
      </c>
      <c r="U1743" s="1" t="s">
        <v>4813</v>
      </c>
      <c r="V1743">
        <v>0</v>
      </c>
      <c r="W1743">
        <v>0</v>
      </c>
      <c r="X1743">
        <v>0</v>
      </c>
      <c r="Y1743">
        <v>25</v>
      </c>
      <c r="Z1743" t="s">
        <v>111</v>
      </c>
      <c r="AA1743">
        <v>0</v>
      </c>
      <c r="AB1743" t="s">
        <v>111</v>
      </c>
      <c r="AC1743">
        <v>0</v>
      </c>
      <c r="AD1743" t="s">
        <v>416</v>
      </c>
      <c r="AE1743">
        <v>3</v>
      </c>
      <c r="AF1743">
        <v>1</v>
      </c>
      <c r="AG1743">
        <v>14</v>
      </c>
      <c r="AH1743" t="s">
        <v>113</v>
      </c>
      <c r="AI1743">
        <v>29</v>
      </c>
      <c r="AJ1743" t="s">
        <v>111</v>
      </c>
      <c r="AK1743" t="s">
        <v>111</v>
      </c>
      <c r="AL1743" t="s">
        <v>111</v>
      </c>
      <c r="AM1743">
        <v>0</v>
      </c>
      <c r="AN1743">
        <v>0</v>
      </c>
      <c r="AO1743">
        <v>0</v>
      </c>
      <c r="AP1743" t="s">
        <v>679</v>
      </c>
      <c r="AQ1743" t="s">
        <v>111</v>
      </c>
      <c r="AR1743" t="s">
        <v>111</v>
      </c>
      <c r="AS1743" t="s">
        <v>111</v>
      </c>
      <c r="AT1743" t="s">
        <v>1235</v>
      </c>
      <c r="AU1743" t="s">
        <v>111</v>
      </c>
      <c r="AV1743" t="s">
        <v>111</v>
      </c>
      <c r="AW1743" t="s">
        <v>111</v>
      </c>
      <c r="AX1743" t="s">
        <v>259</v>
      </c>
      <c r="AY1743" t="s">
        <v>111</v>
      </c>
      <c r="AZ1743" t="s">
        <v>111</v>
      </c>
      <c r="BA1743" t="s">
        <v>111</v>
      </c>
      <c r="BB1743" t="s">
        <v>111</v>
      </c>
      <c r="BC1743" t="s">
        <v>111</v>
      </c>
      <c r="BD1743" t="s">
        <v>111</v>
      </c>
      <c r="BE1743" t="s">
        <v>111</v>
      </c>
      <c r="BF1743" t="s">
        <v>111</v>
      </c>
      <c r="BG1743" t="s">
        <v>111</v>
      </c>
      <c r="BH1743" t="s">
        <v>111</v>
      </c>
      <c r="BI1743" t="s">
        <v>111</v>
      </c>
      <c r="BJ1743" t="s">
        <v>111</v>
      </c>
      <c r="BK1743" t="s">
        <v>111</v>
      </c>
      <c r="BL1743" t="s">
        <v>111</v>
      </c>
      <c r="BM1743" t="s">
        <v>111</v>
      </c>
      <c r="BN1743" t="s">
        <v>111</v>
      </c>
      <c r="BO1743" t="s">
        <v>111</v>
      </c>
      <c r="BP1743" t="s">
        <v>111</v>
      </c>
      <c r="BQ1743" t="s">
        <v>111</v>
      </c>
      <c r="BR1743" t="s">
        <v>111</v>
      </c>
      <c r="BS1743" t="s">
        <v>111</v>
      </c>
      <c r="BT1743" t="s">
        <v>111</v>
      </c>
      <c r="BU1743" t="s">
        <v>111</v>
      </c>
      <c r="BV1743" t="s">
        <v>111</v>
      </c>
      <c r="BW1743" t="s">
        <v>111</v>
      </c>
      <c r="BX1743" t="s">
        <v>111</v>
      </c>
      <c r="BY1743" t="s">
        <v>111</v>
      </c>
      <c r="BZ1743" t="s">
        <v>111</v>
      </c>
      <c r="CA1743" t="s">
        <v>111</v>
      </c>
      <c r="CB1743" t="s">
        <v>111</v>
      </c>
      <c r="CC1743" t="s">
        <v>111</v>
      </c>
      <c r="CD1743" t="s">
        <v>111</v>
      </c>
      <c r="CE1743" t="s">
        <v>111</v>
      </c>
      <c r="CF1743" t="s">
        <v>111</v>
      </c>
      <c r="CG1743" t="s">
        <v>111</v>
      </c>
      <c r="CH1743" t="s">
        <v>111</v>
      </c>
      <c r="CI1743" t="s">
        <v>111</v>
      </c>
      <c r="CJ1743" t="s">
        <v>111</v>
      </c>
      <c r="CK1743" t="s">
        <v>111</v>
      </c>
      <c r="CL1743" t="e">
        <f>-DESTINO SELLADO</f>
        <v>#NAME?</v>
      </c>
      <c r="CM1743" t="s">
        <v>198</v>
      </c>
      <c r="CN1743" t="s">
        <v>113</v>
      </c>
      <c r="CO1743" t="s">
        <v>111</v>
      </c>
      <c r="CP1743" t="s">
        <v>433</v>
      </c>
      <c r="CQ1743">
        <v>0</v>
      </c>
      <c r="CR1743">
        <v>10000</v>
      </c>
      <c r="CS1743">
        <v>500</v>
      </c>
      <c r="CT1743" s="1" t="s">
        <v>3820</v>
      </c>
      <c r="CU1743">
        <v>0</v>
      </c>
      <c r="CV1743" t="s">
        <v>111</v>
      </c>
      <c r="CW1743" t="s">
        <v>111</v>
      </c>
      <c r="CX1743" t="s">
        <v>111</v>
      </c>
      <c r="CY1743">
        <v>0</v>
      </c>
      <c r="CZ1743" t="s">
        <v>111</v>
      </c>
      <c r="DA1743" t="s">
        <v>111</v>
      </c>
      <c r="DB1743" t="s">
        <v>111</v>
      </c>
      <c r="DC1743" t="s">
        <v>111</v>
      </c>
    </row>
    <row r="1744" spans="1:107">
      <c r="A1744">
        <v>751</v>
      </c>
      <c r="B1744" t="s">
        <v>107</v>
      </c>
      <c r="C1744" t="s">
        <v>454</v>
      </c>
      <c r="D1744" t="s">
        <v>4653</v>
      </c>
      <c r="E1744" t="s">
        <v>4814</v>
      </c>
      <c r="F1744" t="s">
        <v>1651</v>
      </c>
      <c r="G1744" t="s">
        <v>24</v>
      </c>
      <c r="H1744">
        <v>1.4</v>
      </c>
      <c r="I1744">
        <v>30</v>
      </c>
      <c r="J1744">
        <v>0</v>
      </c>
      <c r="K1744">
        <v>0</v>
      </c>
      <c r="L1744" t="s">
        <v>112</v>
      </c>
      <c r="M1744" t="s">
        <v>118</v>
      </c>
      <c r="N1744">
        <v>39</v>
      </c>
      <c r="O1744">
        <v>1</v>
      </c>
      <c r="P1744" t="s">
        <v>138</v>
      </c>
      <c r="Q1744">
        <v>34.299999999999997</v>
      </c>
      <c r="R1744">
        <v>0</v>
      </c>
      <c r="S1744">
        <v>0</v>
      </c>
      <c r="T1744">
        <v>5</v>
      </c>
      <c r="U1744" s="1" t="s">
        <v>4815</v>
      </c>
      <c r="V1744">
        <v>0</v>
      </c>
      <c r="W1744">
        <v>0</v>
      </c>
      <c r="X1744">
        <v>0</v>
      </c>
      <c r="Y1744">
        <v>25</v>
      </c>
      <c r="Z1744" t="s">
        <v>111</v>
      </c>
      <c r="AA1744">
        <v>0</v>
      </c>
      <c r="AB1744" t="s">
        <v>111</v>
      </c>
      <c r="AC1744">
        <v>0</v>
      </c>
      <c r="AD1744" t="s">
        <v>416</v>
      </c>
      <c r="AE1744">
        <v>1</v>
      </c>
      <c r="AF1744">
        <v>1</v>
      </c>
      <c r="AG1744" t="s">
        <v>2731</v>
      </c>
      <c r="AH1744" t="s">
        <v>113</v>
      </c>
      <c r="AI1744">
        <v>25</v>
      </c>
      <c r="AJ1744" t="s">
        <v>111</v>
      </c>
      <c r="AK1744" t="s">
        <v>111</v>
      </c>
      <c r="AL1744" t="s">
        <v>111</v>
      </c>
      <c r="AM1744">
        <v>0</v>
      </c>
      <c r="AN1744">
        <v>0</v>
      </c>
      <c r="AO1744">
        <v>0</v>
      </c>
      <c r="AP1744" t="s">
        <v>3075</v>
      </c>
      <c r="AQ1744" t="s">
        <v>433</v>
      </c>
      <c r="AR1744" t="s">
        <v>111</v>
      </c>
      <c r="AS1744" t="s">
        <v>111</v>
      </c>
      <c r="AT1744" t="s">
        <v>111</v>
      </c>
      <c r="AU1744" t="s">
        <v>111</v>
      </c>
      <c r="AV1744" t="s">
        <v>111</v>
      </c>
      <c r="AW1744" t="s">
        <v>111</v>
      </c>
      <c r="AX1744" t="s">
        <v>111</v>
      </c>
      <c r="AY1744" t="s">
        <v>111</v>
      </c>
      <c r="AZ1744" t="s">
        <v>111</v>
      </c>
      <c r="BA1744" t="s">
        <v>111</v>
      </c>
      <c r="BB1744" t="s">
        <v>111</v>
      </c>
      <c r="BC1744" t="s">
        <v>111</v>
      </c>
      <c r="BD1744" t="s">
        <v>111</v>
      </c>
      <c r="BE1744" t="s">
        <v>111</v>
      </c>
      <c r="BF1744" t="s">
        <v>111</v>
      </c>
      <c r="BG1744" t="s">
        <v>111</v>
      </c>
      <c r="BH1744" t="s">
        <v>111</v>
      </c>
      <c r="BI1744" t="s">
        <v>111</v>
      </c>
      <c r="BJ1744" t="s">
        <v>111</v>
      </c>
      <c r="BK1744" t="s">
        <v>111</v>
      </c>
      <c r="BL1744" t="s">
        <v>111</v>
      </c>
      <c r="BM1744" t="s">
        <v>111</v>
      </c>
      <c r="BN1744" t="s">
        <v>111</v>
      </c>
      <c r="BO1744" t="s">
        <v>111</v>
      </c>
      <c r="BP1744" t="s">
        <v>111</v>
      </c>
      <c r="BQ1744" t="s">
        <v>111</v>
      </c>
      <c r="BR1744" t="s">
        <v>111</v>
      </c>
      <c r="BS1744" t="s">
        <v>111</v>
      </c>
      <c r="BT1744" t="s">
        <v>111</v>
      </c>
      <c r="BU1744" t="s">
        <v>111</v>
      </c>
      <c r="BV1744" t="s">
        <v>111</v>
      </c>
      <c r="BW1744" t="s">
        <v>111</v>
      </c>
      <c r="BX1744" t="s">
        <v>111</v>
      </c>
      <c r="BY1744" t="s">
        <v>111</v>
      </c>
      <c r="BZ1744" t="s">
        <v>111</v>
      </c>
      <c r="CA1744" t="s">
        <v>111</v>
      </c>
      <c r="CB1744" t="s">
        <v>111</v>
      </c>
      <c r="CC1744" t="s">
        <v>111</v>
      </c>
      <c r="CD1744" t="s">
        <v>111</v>
      </c>
      <c r="CE1744" t="s">
        <v>111</v>
      </c>
      <c r="CF1744" t="s">
        <v>111</v>
      </c>
      <c r="CG1744" t="s">
        <v>111</v>
      </c>
      <c r="CH1744" t="s">
        <v>111</v>
      </c>
      <c r="CI1744" t="s">
        <v>111</v>
      </c>
      <c r="CJ1744" t="s">
        <v>111</v>
      </c>
      <c r="CK1744" t="s">
        <v>111</v>
      </c>
      <c r="CL1744" t="e">
        <f>-DESTINO SELLADO</f>
        <v>#NAME?</v>
      </c>
      <c r="CM1744" t="s">
        <v>198</v>
      </c>
      <c r="CN1744" t="s">
        <v>113</v>
      </c>
      <c r="CO1744" t="s">
        <v>111</v>
      </c>
      <c r="CP1744" t="s">
        <v>1166</v>
      </c>
      <c r="CQ1744">
        <v>78</v>
      </c>
      <c r="CR1744">
        <v>6000</v>
      </c>
      <c r="CS1744">
        <v>200</v>
      </c>
      <c r="CT1744" s="1" t="s">
        <v>4816</v>
      </c>
      <c r="CU1744">
        <v>0</v>
      </c>
      <c r="CV1744" t="s">
        <v>111</v>
      </c>
      <c r="CW1744" t="s">
        <v>111</v>
      </c>
      <c r="CX1744" t="s">
        <v>111</v>
      </c>
      <c r="CY1744">
        <v>0</v>
      </c>
      <c r="CZ1744" t="s">
        <v>111</v>
      </c>
      <c r="DA1744" t="s">
        <v>111</v>
      </c>
      <c r="DB1744" t="s">
        <v>111</v>
      </c>
      <c r="DC1744" t="s">
        <v>111</v>
      </c>
    </row>
    <row r="1745" spans="1:107">
      <c r="A1745">
        <v>801</v>
      </c>
      <c r="B1745" t="s">
        <v>107</v>
      </c>
      <c r="C1745" t="s">
        <v>1643</v>
      </c>
      <c r="D1745" t="s">
        <v>3704</v>
      </c>
      <c r="E1745" t="s">
        <v>4817</v>
      </c>
      <c r="F1745" t="s">
        <v>2211</v>
      </c>
      <c r="G1745" t="s">
        <v>24</v>
      </c>
      <c r="H1745">
        <v>1.1000000000000001</v>
      </c>
      <c r="I1745">
        <v>40</v>
      </c>
      <c r="J1745">
        <v>0</v>
      </c>
      <c r="K1745">
        <v>0</v>
      </c>
      <c r="L1745" t="s">
        <v>2494</v>
      </c>
      <c r="M1745" t="s">
        <v>138</v>
      </c>
      <c r="N1745">
        <v>0</v>
      </c>
      <c r="O1745">
        <v>0</v>
      </c>
      <c r="P1745" t="s">
        <v>138</v>
      </c>
      <c r="Q1745">
        <v>40</v>
      </c>
      <c r="R1745">
        <v>0</v>
      </c>
      <c r="S1745">
        <v>0</v>
      </c>
      <c r="T1745">
        <v>0</v>
      </c>
      <c r="U1745" s="1" t="s">
        <v>4818</v>
      </c>
      <c r="V1745">
        <v>0</v>
      </c>
      <c r="W1745">
        <v>0</v>
      </c>
      <c r="X1745">
        <v>0</v>
      </c>
      <c r="Y1745">
        <v>25</v>
      </c>
      <c r="Z1745" t="s">
        <v>111</v>
      </c>
      <c r="AA1745">
        <v>0</v>
      </c>
      <c r="AB1745" t="s">
        <v>4819</v>
      </c>
      <c r="AC1745">
        <v>0</v>
      </c>
      <c r="AD1745" t="s">
        <v>111</v>
      </c>
      <c r="AE1745">
        <v>0</v>
      </c>
      <c r="AF1745">
        <v>0</v>
      </c>
      <c r="AG1745" t="s">
        <v>111</v>
      </c>
      <c r="AH1745" t="s">
        <v>111</v>
      </c>
      <c r="AI1745" t="s">
        <v>111</v>
      </c>
      <c r="AJ1745" t="s">
        <v>111</v>
      </c>
      <c r="AK1745" t="s">
        <v>111</v>
      </c>
      <c r="AL1745" t="s">
        <v>111</v>
      </c>
      <c r="AM1745">
        <v>0</v>
      </c>
      <c r="AN1745">
        <v>0</v>
      </c>
      <c r="AO1745">
        <v>0</v>
      </c>
      <c r="AP1745" t="s">
        <v>111</v>
      </c>
      <c r="AQ1745" t="s">
        <v>111</v>
      </c>
      <c r="AR1745" t="s">
        <v>111</v>
      </c>
      <c r="AS1745" t="s">
        <v>111</v>
      </c>
      <c r="AT1745" t="s">
        <v>111</v>
      </c>
      <c r="AU1745" t="s">
        <v>111</v>
      </c>
      <c r="AV1745" t="s">
        <v>111</v>
      </c>
      <c r="AW1745" t="s">
        <v>111</v>
      </c>
      <c r="AX1745" t="s">
        <v>111</v>
      </c>
      <c r="AY1745" t="s">
        <v>111</v>
      </c>
      <c r="AZ1745" t="s">
        <v>111</v>
      </c>
      <c r="BA1745" t="s">
        <v>111</v>
      </c>
      <c r="BB1745" t="s">
        <v>111</v>
      </c>
      <c r="BC1745" t="s">
        <v>111</v>
      </c>
      <c r="BD1745" t="s">
        <v>111</v>
      </c>
      <c r="BE1745" t="s">
        <v>111</v>
      </c>
      <c r="BF1745" t="s">
        <v>111</v>
      </c>
      <c r="BG1745" t="s">
        <v>111</v>
      </c>
      <c r="BH1745" t="s">
        <v>111</v>
      </c>
      <c r="BI1745" t="s">
        <v>111</v>
      </c>
      <c r="BJ1745" t="s">
        <v>111</v>
      </c>
      <c r="BK1745" t="s">
        <v>111</v>
      </c>
      <c r="BL1745" t="s">
        <v>111</v>
      </c>
      <c r="BM1745" t="s">
        <v>111</v>
      </c>
      <c r="BN1745" t="s">
        <v>111</v>
      </c>
      <c r="BO1745" t="s">
        <v>111</v>
      </c>
      <c r="BP1745" t="s">
        <v>111</v>
      </c>
      <c r="BQ1745" t="s">
        <v>111</v>
      </c>
      <c r="BR1745" t="s">
        <v>111</v>
      </c>
      <c r="BS1745" t="s">
        <v>111</v>
      </c>
      <c r="BT1745" t="s">
        <v>111</v>
      </c>
      <c r="BU1745" t="s">
        <v>111</v>
      </c>
      <c r="BV1745" t="s">
        <v>111</v>
      </c>
      <c r="BW1745" t="s">
        <v>111</v>
      </c>
      <c r="BX1745" t="s">
        <v>111</v>
      </c>
      <c r="BY1745" t="s">
        <v>111</v>
      </c>
      <c r="BZ1745" t="s">
        <v>111</v>
      </c>
      <c r="CA1745" t="s">
        <v>111</v>
      </c>
      <c r="CB1745" t="s">
        <v>111</v>
      </c>
      <c r="CC1745" t="s">
        <v>111</v>
      </c>
      <c r="CD1745" t="s">
        <v>111</v>
      </c>
      <c r="CE1745" t="s">
        <v>111</v>
      </c>
      <c r="CF1745" t="s">
        <v>111</v>
      </c>
      <c r="CG1745" t="s">
        <v>111</v>
      </c>
      <c r="CH1745" t="s">
        <v>111</v>
      </c>
      <c r="CI1745" t="s">
        <v>111</v>
      </c>
      <c r="CJ1745" t="s">
        <v>111</v>
      </c>
      <c r="CK1745" t="s">
        <v>111</v>
      </c>
      <c r="CL1745" t="s">
        <v>111</v>
      </c>
      <c r="CM1745" t="s">
        <v>111</v>
      </c>
      <c r="CN1745" t="s">
        <v>111</v>
      </c>
      <c r="CO1745" t="s">
        <v>111</v>
      </c>
      <c r="CP1745" t="s">
        <v>111</v>
      </c>
      <c r="CQ1745">
        <v>0</v>
      </c>
      <c r="CR1745">
        <v>0</v>
      </c>
      <c r="CS1745">
        <v>0</v>
      </c>
      <c r="CT1745" t="s">
        <v>111</v>
      </c>
      <c r="CU1745">
        <v>0</v>
      </c>
      <c r="CV1745" t="s">
        <v>111</v>
      </c>
      <c r="CW1745" t="s">
        <v>111</v>
      </c>
      <c r="CX1745" t="s">
        <v>111</v>
      </c>
      <c r="CY1745">
        <v>0</v>
      </c>
      <c r="CZ1745" t="s">
        <v>111</v>
      </c>
      <c r="DA1745" t="s">
        <v>111</v>
      </c>
      <c r="DB1745" t="s">
        <v>111</v>
      </c>
      <c r="DC1745" t="s">
        <v>111</v>
      </c>
    </row>
    <row r="1746" spans="1:107">
      <c r="A1746">
        <v>802</v>
      </c>
      <c r="B1746" t="s">
        <v>107</v>
      </c>
      <c r="C1746" t="s">
        <v>454</v>
      </c>
      <c r="D1746" t="s">
        <v>4718</v>
      </c>
      <c r="E1746" t="s">
        <v>4820</v>
      </c>
      <c r="F1746" t="s">
        <v>1651</v>
      </c>
      <c r="G1746" t="s">
        <v>24</v>
      </c>
      <c r="H1746">
        <v>1.4</v>
      </c>
      <c r="I1746">
        <v>20</v>
      </c>
      <c r="J1746">
        <v>2</v>
      </c>
      <c r="K1746">
        <v>0</v>
      </c>
      <c r="L1746" t="s">
        <v>178</v>
      </c>
      <c r="M1746" t="s">
        <v>118</v>
      </c>
      <c r="N1746">
        <v>40</v>
      </c>
      <c r="O1746">
        <v>1</v>
      </c>
      <c r="P1746" t="s">
        <v>138</v>
      </c>
      <c r="Q1746">
        <v>18.3</v>
      </c>
      <c r="R1746">
        <v>0</v>
      </c>
      <c r="S1746">
        <v>0</v>
      </c>
      <c r="T1746">
        <v>5</v>
      </c>
      <c r="U1746" s="1" t="s">
        <v>4821</v>
      </c>
      <c r="V1746">
        <v>0</v>
      </c>
      <c r="W1746">
        <v>0</v>
      </c>
      <c r="X1746">
        <v>0</v>
      </c>
      <c r="Y1746">
        <v>25</v>
      </c>
      <c r="Z1746" t="s">
        <v>111</v>
      </c>
      <c r="AA1746">
        <v>0</v>
      </c>
      <c r="AB1746" t="s">
        <v>111</v>
      </c>
      <c r="AC1746">
        <v>0</v>
      </c>
      <c r="AD1746" t="s">
        <v>416</v>
      </c>
      <c r="AE1746">
        <v>1</v>
      </c>
      <c r="AF1746">
        <v>1</v>
      </c>
      <c r="AG1746">
        <v>18</v>
      </c>
      <c r="AH1746" t="s">
        <v>113</v>
      </c>
      <c r="AI1746">
        <v>36</v>
      </c>
      <c r="AJ1746" t="s">
        <v>111</v>
      </c>
      <c r="AK1746" t="s">
        <v>111</v>
      </c>
      <c r="AL1746" t="s">
        <v>111</v>
      </c>
      <c r="AM1746">
        <v>0</v>
      </c>
      <c r="AN1746">
        <v>0</v>
      </c>
      <c r="AO1746">
        <v>0</v>
      </c>
      <c r="AP1746" t="s">
        <v>3075</v>
      </c>
      <c r="AQ1746" t="s">
        <v>111</v>
      </c>
      <c r="AR1746" t="s">
        <v>111</v>
      </c>
      <c r="AS1746" t="s">
        <v>111</v>
      </c>
      <c r="AT1746" t="s">
        <v>111</v>
      </c>
      <c r="AU1746" t="s">
        <v>111</v>
      </c>
      <c r="AV1746" t="s">
        <v>111</v>
      </c>
      <c r="AW1746" t="s">
        <v>111</v>
      </c>
      <c r="AX1746" t="s">
        <v>111</v>
      </c>
      <c r="AY1746" t="s">
        <v>111</v>
      </c>
      <c r="AZ1746" t="s">
        <v>111</v>
      </c>
      <c r="BA1746" t="s">
        <v>111</v>
      </c>
      <c r="BB1746" t="s">
        <v>111</v>
      </c>
      <c r="BC1746" t="s">
        <v>111</v>
      </c>
      <c r="BD1746" t="s">
        <v>111</v>
      </c>
      <c r="BE1746" t="s">
        <v>111</v>
      </c>
      <c r="BF1746" t="s">
        <v>111</v>
      </c>
      <c r="BG1746" t="s">
        <v>111</v>
      </c>
      <c r="BH1746" t="s">
        <v>111</v>
      </c>
      <c r="BI1746" t="s">
        <v>111</v>
      </c>
      <c r="BJ1746" t="s">
        <v>111</v>
      </c>
      <c r="BK1746" t="s">
        <v>111</v>
      </c>
      <c r="BL1746" t="s">
        <v>111</v>
      </c>
      <c r="BM1746" t="s">
        <v>111</v>
      </c>
      <c r="BN1746" t="s">
        <v>3075</v>
      </c>
      <c r="BO1746" t="s">
        <v>111</v>
      </c>
      <c r="BP1746" t="s">
        <v>111</v>
      </c>
      <c r="BQ1746" t="s">
        <v>111</v>
      </c>
      <c r="BR1746" t="s">
        <v>111</v>
      </c>
      <c r="BS1746" t="s">
        <v>111</v>
      </c>
      <c r="BT1746" t="s">
        <v>111</v>
      </c>
      <c r="BU1746" t="s">
        <v>111</v>
      </c>
      <c r="BV1746" t="s">
        <v>111</v>
      </c>
      <c r="BW1746" t="s">
        <v>111</v>
      </c>
      <c r="BX1746" t="s">
        <v>111</v>
      </c>
      <c r="BY1746" t="s">
        <v>111</v>
      </c>
      <c r="BZ1746" t="s">
        <v>111</v>
      </c>
      <c r="CA1746" t="s">
        <v>111</v>
      </c>
      <c r="CB1746" t="s">
        <v>111</v>
      </c>
      <c r="CC1746" t="s">
        <v>111</v>
      </c>
      <c r="CD1746" t="s">
        <v>111</v>
      </c>
      <c r="CE1746" t="s">
        <v>111</v>
      </c>
      <c r="CF1746" t="s">
        <v>111</v>
      </c>
      <c r="CG1746" t="s">
        <v>111</v>
      </c>
      <c r="CH1746" t="s">
        <v>111</v>
      </c>
      <c r="CI1746" t="s">
        <v>111</v>
      </c>
      <c r="CJ1746" t="s">
        <v>111</v>
      </c>
      <c r="CK1746" t="s">
        <v>111</v>
      </c>
      <c r="CL1746" t="s">
        <v>153</v>
      </c>
      <c r="CM1746">
        <v>450</v>
      </c>
      <c r="CN1746" t="s">
        <v>113</v>
      </c>
      <c r="CO1746" t="s">
        <v>111</v>
      </c>
      <c r="CP1746" t="s">
        <v>433</v>
      </c>
      <c r="CQ1746">
        <v>75</v>
      </c>
      <c r="CR1746">
        <v>10000</v>
      </c>
      <c r="CS1746">
        <v>200</v>
      </c>
      <c r="CT1746" s="1" t="s">
        <v>4822</v>
      </c>
      <c r="CU1746">
        <v>0</v>
      </c>
      <c r="CV1746" t="s">
        <v>111</v>
      </c>
      <c r="CW1746" t="s">
        <v>111</v>
      </c>
      <c r="CX1746" t="s">
        <v>111</v>
      </c>
      <c r="CY1746">
        <v>0</v>
      </c>
      <c r="CZ1746" t="s">
        <v>111</v>
      </c>
      <c r="DA1746" t="s">
        <v>111</v>
      </c>
      <c r="DB1746" t="s">
        <v>111</v>
      </c>
      <c r="DC1746" t="s">
        <v>111</v>
      </c>
    </row>
    <row r="1747" spans="1:107">
      <c r="A1747">
        <v>738</v>
      </c>
      <c r="B1747" t="s">
        <v>107</v>
      </c>
      <c r="C1747" t="s">
        <v>4165</v>
      </c>
      <c r="D1747" t="s">
        <v>4783</v>
      </c>
      <c r="E1747" t="s">
        <v>4823</v>
      </c>
      <c r="F1747" t="s">
        <v>110</v>
      </c>
      <c r="G1747" t="s">
        <v>24</v>
      </c>
      <c r="H1747">
        <v>1.4</v>
      </c>
      <c r="I1747">
        <v>40</v>
      </c>
      <c r="J1747">
        <v>0</v>
      </c>
      <c r="K1747">
        <v>0</v>
      </c>
      <c r="L1747" t="s">
        <v>112</v>
      </c>
      <c r="M1747" t="s">
        <v>118</v>
      </c>
      <c r="N1747">
        <v>40</v>
      </c>
      <c r="O1747">
        <v>1</v>
      </c>
      <c r="P1747" t="s">
        <v>138</v>
      </c>
      <c r="Q1747">
        <v>32.6</v>
      </c>
      <c r="R1747">
        <v>0</v>
      </c>
      <c r="S1747">
        <v>0</v>
      </c>
      <c r="T1747">
        <v>0</v>
      </c>
      <c r="U1747" s="1" t="s">
        <v>4824</v>
      </c>
      <c r="V1747">
        <v>0</v>
      </c>
      <c r="W1747">
        <v>0</v>
      </c>
      <c r="X1747">
        <v>0</v>
      </c>
      <c r="Y1747">
        <v>25</v>
      </c>
      <c r="Z1747" t="s">
        <v>111</v>
      </c>
      <c r="AA1747">
        <v>0</v>
      </c>
      <c r="AB1747" t="s">
        <v>111</v>
      </c>
      <c r="AC1747">
        <v>0</v>
      </c>
      <c r="AD1747" t="s">
        <v>111</v>
      </c>
      <c r="AE1747">
        <v>0</v>
      </c>
      <c r="AF1747">
        <v>0</v>
      </c>
      <c r="AG1747" t="s">
        <v>111</v>
      </c>
      <c r="AH1747" t="s">
        <v>111</v>
      </c>
      <c r="AI1747" t="s">
        <v>111</v>
      </c>
      <c r="AJ1747" t="s">
        <v>111</v>
      </c>
      <c r="AK1747" t="s">
        <v>111</v>
      </c>
      <c r="AL1747" t="s">
        <v>111</v>
      </c>
      <c r="AM1747">
        <v>0</v>
      </c>
      <c r="AN1747">
        <v>0</v>
      </c>
      <c r="AO1747">
        <v>0</v>
      </c>
      <c r="AP1747" t="s">
        <v>111</v>
      </c>
      <c r="AQ1747" t="s">
        <v>111</v>
      </c>
      <c r="AR1747" t="s">
        <v>111</v>
      </c>
      <c r="AS1747" t="s">
        <v>111</v>
      </c>
      <c r="AT1747" t="s">
        <v>111</v>
      </c>
      <c r="AU1747" t="s">
        <v>111</v>
      </c>
      <c r="AV1747" t="s">
        <v>111</v>
      </c>
      <c r="AW1747" t="s">
        <v>111</v>
      </c>
      <c r="AX1747" t="s">
        <v>111</v>
      </c>
      <c r="AY1747" t="s">
        <v>111</v>
      </c>
      <c r="AZ1747" t="s">
        <v>111</v>
      </c>
      <c r="BA1747" t="s">
        <v>111</v>
      </c>
      <c r="BB1747" t="s">
        <v>111</v>
      </c>
      <c r="BC1747" t="s">
        <v>111</v>
      </c>
      <c r="BD1747" t="s">
        <v>111</v>
      </c>
      <c r="BE1747" t="s">
        <v>111</v>
      </c>
      <c r="BF1747" t="s">
        <v>111</v>
      </c>
      <c r="BG1747" t="s">
        <v>111</v>
      </c>
      <c r="BH1747" t="s">
        <v>111</v>
      </c>
      <c r="BI1747" t="s">
        <v>111</v>
      </c>
      <c r="BJ1747" t="s">
        <v>111</v>
      </c>
      <c r="BK1747" t="s">
        <v>111</v>
      </c>
      <c r="BL1747" t="s">
        <v>111</v>
      </c>
      <c r="BM1747" t="s">
        <v>111</v>
      </c>
      <c r="BN1747" t="s">
        <v>111</v>
      </c>
      <c r="BO1747" t="s">
        <v>111</v>
      </c>
      <c r="BP1747" t="s">
        <v>111</v>
      </c>
      <c r="BQ1747" t="s">
        <v>111</v>
      </c>
      <c r="BR1747" t="s">
        <v>111</v>
      </c>
      <c r="BS1747" t="s">
        <v>111</v>
      </c>
      <c r="BT1747" t="s">
        <v>111</v>
      </c>
      <c r="BU1747" t="s">
        <v>111</v>
      </c>
      <c r="BV1747" t="s">
        <v>111</v>
      </c>
      <c r="BW1747" t="s">
        <v>111</v>
      </c>
      <c r="BX1747" t="s">
        <v>111</v>
      </c>
      <c r="BY1747" t="s">
        <v>111</v>
      </c>
      <c r="BZ1747" t="s">
        <v>111</v>
      </c>
      <c r="CA1747" t="s">
        <v>111</v>
      </c>
      <c r="CB1747" t="s">
        <v>111</v>
      </c>
      <c r="CC1747" t="s">
        <v>111</v>
      </c>
      <c r="CD1747" t="s">
        <v>111</v>
      </c>
      <c r="CE1747" t="s">
        <v>111</v>
      </c>
      <c r="CF1747" t="s">
        <v>111</v>
      </c>
      <c r="CG1747" t="s">
        <v>111</v>
      </c>
      <c r="CH1747" t="s">
        <v>111</v>
      </c>
      <c r="CI1747" t="s">
        <v>111</v>
      </c>
      <c r="CJ1747" t="s">
        <v>111</v>
      </c>
      <c r="CK1747" t="s">
        <v>111</v>
      </c>
      <c r="CL1747" t="s">
        <v>111</v>
      </c>
      <c r="CM1747" t="s">
        <v>111</v>
      </c>
      <c r="CN1747" t="s">
        <v>111</v>
      </c>
      <c r="CO1747" t="s">
        <v>111</v>
      </c>
      <c r="CP1747" t="s">
        <v>111</v>
      </c>
      <c r="CQ1747">
        <v>0</v>
      </c>
      <c r="CR1747">
        <v>0</v>
      </c>
      <c r="CS1747">
        <v>0</v>
      </c>
      <c r="CT1747" t="s">
        <v>111</v>
      </c>
      <c r="CU1747">
        <v>0</v>
      </c>
      <c r="CV1747" t="s">
        <v>111</v>
      </c>
      <c r="CW1747" t="s">
        <v>111</v>
      </c>
      <c r="CX1747" t="s">
        <v>111</v>
      </c>
      <c r="CY1747">
        <v>0</v>
      </c>
      <c r="CZ1747" t="s">
        <v>111</v>
      </c>
      <c r="DA1747" t="s">
        <v>111</v>
      </c>
      <c r="DB1747" t="s">
        <v>111</v>
      </c>
      <c r="DC1747" t="s">
        <v>111</v>
      </c>
    </row>
    <row r="1748" spans="1:107">
      <c r="A1748">
        <v>770</v>
      </c>
      <c r="B1748" t="s">
        <v>107</v>
      </c>
      <c r="C1748" t="s">
        <v>801</v>
      </c>
      <c r="D1748" t="s">
        <v>4825</v>
      </c>
      <c r="E1748" t="s">
        <v>4222</v>
      </c>
      <c r="F1748" t="s">
        <v>1071</v>
      </c>
      <c r="G1748" t="s">
        <v>24</v>
      </c>
      <c r="H1748">
        <v>1.5</v>
      </c>
      <c r="I1748">
        <v>33</v>
      </c>
      <c r="J1748">
        <v>0</v>
      </c>
      <c r="K1748">
        <v>0</v>
      </c>
      <c r="L1748" t="s">
        <v>112</v>
      </c>
      <c r="M1748" t="s">
        <v>138</v>
      </c>
      <c r="N1748">
        <v>0</v>
      </c>
      <c r="O1748">
        <v>0</v>
      </c>
      <c r="P1748" t="s">
        <v>138</v>
      </c>
      <c r="Q1748">
        <v>35</v>
      </c>
      <c r="R1748">
        <v>0</v>
      </c>
      <c r="S1748">
        <v>0</v>
      </c>
      <c r="T1748">
        <v>0</v>
      </c>
      <c r="U1748" s="1" t="s">
        <v>4826</v>
      </c>
      <c r="V1748">
        <v>0</v>
      </c>
      <c r="W1748">
        <v>0</v>
      </c>
      <c r="X1748">
        <v>0</v>
      </c>
      <c r="Y1748">
        <v>25</v>
      </c>
      <c r="Z1748" t="s">
        <v>111</v>
      </c>
      <c r="AA1748">
        <v>0</v>
      </c>
      <c r="AB1748" t="s">
        <v>111</v>
      </c>
      <c r="AC1748">
        <v>0</v>
      </c>
      <c r="AD1748" t="s">
        <v>111</v>
      </c>
      <c r="AE1748">
        <v>0</v>
      </c>
      <c r="AF1748">
        <v>0</v>
      </c>
      <c r="AG1748" t="s">
        <v>111</v>
      </c>
      <c r="AH1748" t="s">
        <v>111</v>
      </c>
      <c r="AI1748" t="s">
        <v>111</v>
      </c>
      <c r="AJ1748" t="s">
        <v>111</v>
      </c>
      <c r="AK1748" t="s">
        <v>111</v>
      </c>
      <c r="AL1748" t="s">
        <v>111</v>
      </c>
      <c r="AM1748">
        <v>0</v>
      </c>
      <c r="AN1748">
        <v>0</v>
      </c>
      <c r="AO1748">
        <v>0</v>
      </c>
      <c r="AP1748" t="s">
        <v>111</v>
      </c>
      <c r="AQ1748" t="s">
        <v>111</v>
      </c>
      <c r="AR1748" t="s">
        <v>111</v>
      </c>
      <c r="AS1748" t="s">
        <v>111</v>
      </c>
      <c r="AT1748" t="s">
        <v>111</v>
      </c>
      <c r="AU1748" t="s">
        <v>111</v>
      </c>
      <c r="AV1748" t="s">
        <v>111</v>
      </c>
      <c r="AW1748" t="s">
        <v>111</v>
      </c>
      <c r="AX1748" t="s">
        <v>111</v>
      </c>
      <c r="AY1748" t="s">
        <v>111</v>
      </c>
      <c r="AZ1748" t="s">
        <v>111</v>
      </c>
      <c r="BA1748" t="s">
        <v>111</v>
      </c>
      <c r="BB1748" t="s">
        <v>111</v>
      </c>
      <c r="BC1748" t="s">
        <v>111</v>
      </c>
      <c r="BD1748" t="s">
        <v>111</v>
      </c>
      <c r="BE1748" t="s">
        <v>111</v>
      </c>
      <c r="BF1748" t="s">
        <v>111</v>
      </c>
      <c r="BG1748" t="s">
        <v>111</v>
      </c>
      <c r="BH1748" t="s">
        <v>111</v>
      </c>
      <c r="BI1748" t="s">
        <v>111</v>
      </c>
      <c r="BJ1748" t="s">
        <v>111</v>
      </c>
      <c r="BK1748" t="s">
        <v>111</v>
      </c>
      <c r="BL1748" t="s">
        <v>111</v>
      </c>
      <c r="BM1748" t="s">
        <v>111</v>
      </c>
      <c r="BN1748" t="s">
        <v>111</v>
      </c>
      <c r="BO1748" t="s">
        <v>111</v>
      </c>
      <c r="BP1748" t="s">
        <v>111</v>
      </c>
      <c r="BQ1748" t="s">
        <v>111</v>
      </c>
      <c r="BR1748" t="s">
        <v>111</v>
      </c>
      <c r="BS1748" t="s">
        <v>111</v>
      </c>
      <c r="BT1748" t="s">
        <v>111</v>
      </c>
      <c r="BU1748" t="s">
        <v>111</v>
      </c>
      <c r="BV1748" t="s">
        <v>111</v>
      </c>
      <c r="BW1748" t="s">
        <v>111</v>
      </c>
      <c r="BX1748" t="s">
        <v>111</v>
      </c>
      <c r="BY1748" t="s">
        <v>111</v>
      </c>
      <c r="BZ1748" t="s">
        <v>111</v>
      </c>
      <c r="CA1748" t="s">
        <v>111</v>
      </c>
      <c r="CB1748" t="s">
        <v>111</v>
      </c>
      <c r="CC1748" t="s">
        <v>111</v>
      </c>
      <c r="CD1748" t="s">
        <v>111</v>
      </c>
      <c r="CE1748" t="s">
        <v>111</v>
      </c>
      <c r="CF1748" t="s">
        <v>111</v>
      </c>
      <c r="CG1748" t="s">
        <v>111</v>
      </c>
      <c r="CH1748" t="s">
        <v>111</v>
      </c>
      <c r="CI1748" t="s">
        <v>111</v>
      </c>
      <c r="CJ1748" t="s">
        <v>111</v>
      </c>
      <c r="CK1748" t="s">
        <v>111</v>
      </c>
      <c r="CL1748" t="s">
        <v>111</v>
      </c>
      <c r="CM1748" t="s">
        <v>135</v>
      </c>
      <c r="CN1748" t="s">
        <v>113</v>
      </c>
      <c r="CO1748" t="s">
        <v>111</v>
      </c>
      <c r="CP1748" t="s">
        <v>111</v>
      </c>
      <c r="CQ1748">
        <v>0</v>
      </c>
      <c r="CR1748">
        <v>4000</v>
      </c>
      <c r="CS1748">
        <v>200</v>
      </c>
      <c r="CT1748" s="1" t="s">
        <v>4827</v>
      </c>
      <c r="CU1748">
        <v>0</v>
      </c>
      <c r="CV1748" t="s">
        <v>111</v>
      </c>
      <c r="CW1748" t="s">
        <v>111</v>
      </c>
      <c r="CX1748" t="s">
        <v>111</v>
      </c>
      <c r="CY1748">
        <v>0</v>
      </c>
      <c r="CZ1748" t="s">
        <v>111</v>
      </c>
      <c r="DA1748" t="s">
        <v>111</v>
      </c>
      <c r="DB1748" t="s">
        <v>111</v>
      </c>
      <c r="DC1748" t="s">
        <v>111</v>
      </c>
    </row>
    <row r="1749" spans="1:107">
      <c r="A1749">
        <v>771</v>
      </c>
      <c r="B1749" t="s">
        <v>107</v>
      </c>
      <c r="C1749" t="s">
        <v>4828</v>
      </c>
      <c r="D1749" t="s">
        <v>212</v>
      </c>
      <c r="E1749" t="s">
        <v>4184</v>
      </c>
      <c r="F1749" t="s">
        <v>110</v>
      </c>
      <c r="G1749" t="s">
        <v>24</v>
      </c>
      <c r="H1749">
        <v>1.3</v>
      </c>
      <c r="I1749">
        <v>45</v>
      </c>
      <c r="J1749">
        <v>0</v>
      </c>
      <c r="K1749">
        <v>0</v>
      </c>
      <c r="L1749" t="s">
        <v>112</v>
      </c>
      <c r="M1749" t="s">
        <v>138</v>
      </c>
      <c r="N1749">
        <v>0</v>
      </c>
      <c r="O1749">
        <v>0</v>
      </c>
      <c r="P1749" t="s">
        <v>138</v>
      </c>
      <c r="Q1749">
        <v>30</v>
      </c>
      <c r="R1749">
        <v>0</v>
      </c>
      <c r="S1749">
        <v>0</v>
      </c>
      <c r="T1749">
        <v>0</v>
      </c>
      <c r="U1749" s="1" t="s">
        <v>4829</v>
      </c>
      <c r="V1749">
        <v>0</v>
      </c>
      <c r="W1749">
        <v>0</v>
      </c>
      <c r="X1749">
        <v>0</v>
      </c>
      <c r="Y1749">
        <v>25</v>
      </c>
      <c r="Z1749" t="s">
        <v>111</v>
      </c>
      <c r="AA1749">
        <v>0</v>
      </c>
      <c r="AB1749" t="s">
        <v>111</v>
      </c>
      <c r="AC1749">
        <v>0</v>
      </c>
      <c r="AD1749" t="s">
        <v>111</v>
      </c>
      <c r="AE1749">
        <v>0</v>
      </c>
      <c r="AF1749">
        <v>0</v>
      </c>
      <c r="AG1749" t="s">
        <v>111</v>
      </c>
      <c r="AH1749" t="s">
        <v>111</v>
      </c>
      <c r="AI1749" t="s">
        <v>111</v>
      </c>
      <c r="AJ1749" t="s">
        <v>111</v>
      </c>
      <c r="AK1749" t="s">
        <v>111</v>
      </c>
      <c r="AL1749" t="s">
        <v>111</v>
      </c>
      <c r="AM1749">
        <v>0</v>
      </c>
      <c r="AN1749">
        <v>0</v>
      </c>
      <c r="AO1749">
        <v>0</v>
      </c>
      <c r="AP1749" t="s">
        <v>111</v>
      </c>
      <c r="AQ1749" t="s">
        <v>111</v>
      </c>
      <c r="AR1749" t="s">
        <v>111</v>
      </c>
      <c r="AS1749" t="s">
        <v>111</v>
      </c>
      <c r="AT1749" t="s">
        <v>111</v>
      </c>
      <c r="AU1749" t="s">
        <v>111</v>
      </c>
      <c r="AV1749" t="s">
        <v>111</v>
      </c>
      <c r="AW1749" t="s">
        <v>111</v>
      </c>
      <c r="AX1749" t="s">
        <v>111</v>
      </c>
      <c r="AY1749" t="s">
        <v>111</v>
      </c>
      <c r="AZ1749" t="s">
        <v>111</v>
      </c>
      <c r="BA1749" t="s">
        <v>111</v>
      </c>
      <c r="BB1749" t="s">
        <v>111</v>
      </c>
      <c r="BC1749" t="s">
        <v>111</v>
      </c>
      <c r="BD1749" t="s">
        <v>111</v>
      </c>
      <c r="BE1749" t="s">
        <v>111</v>
      </c>
      <c r="BF1749" t="s">
        <v>111</v>
      </c>
      <c r="BG1749" t="s">
        <v>111</v>
      </c>
      <c r="BH1749" t="s">
        <v>111</v>
      </c>
      <c r="BI1749" t="s">
        <v>111</v>
      </c>
      <c r="BJ1749" t="s">
        <v>111</v>
      </c>
      <c r="BK1749" t="s">
        <v>111</v>
      </c>
      <c r="BL1749" t="s">
        <v>111</v>
      </c>
      <c r="BM1749" t="s">
        <v>111</v>
      </c>
      <c r="BN1749" t="s">
        <v>111</v>
      </c>
      <c r="BO1749" t="s">
        <v>111</v>
      </c>
      <c r="BP1749" t="s">
        <v>111</v>
      </c>
      <c r="BQ1749" t="s">
        <v>111</v>
      </c>
      <c r="BR1749" t="s">
        <v>111</v>
      </c>
      <c r="BS1749" t="s">
        <v>111</v>
      </c>
      <c r="BT1749" t="s">
        <v>111</v>
      </c>
      <c r="BU1749" t="s">
        <v>111</v>
      </c>
      <c r="BV1749" t="s">
        <v>111</v>
      </c>
      <c r="BW1749" t="s">
        <v>111</v>
      </c>
      <c r="BX1749" t="s">
        <v>111</v>
      </c>
      <c r="BY1749" t="s">
        <v>111</v>
      </c>
      <c r="BZ1749" t="s">
        <v>111</v>
      </c>
      <c r="CA1749" t="s">
        <v>111</v>
      </c>
      <c r="CB1749" t="s">
        <v>111</v>
      </c>
      <c r="CC1749" t="s">
        <v>111</v>
      </c>
      <c r="CD1749" t="s">
        <v>111</v>
      </c>
      <c r="CE1749" t="s">
        <v>111</v>
      </c>
      <c r="CF1749" t="s">
        <v>111</v>
      </c>
      <c r="CG1749" t="s">
        <v>111</v>
      </c>
      <c r="CH1749" t="s">
        <v>111</v>
      </c>
      <c r="CI1749" t="s">
        <v>111</v>
      </c>
      <c r="CJ1749" t="s">
        <v>111</v>
      </c>
      <c r="CK1749" t="s">
        <v>111</v>
      </c>
      <c r="CL1749" t="s">
        <v>111</v>
      </c>
      <c r="CM1749" t="s">
        <v>111</v>
      </c>
      <c r="CN1749" t="s">
        <v>111</v>
      </c>
      <c r="CO1749" t="s">
        <v>111</v>
      </c>
      <c r="CP1749" t="s">
        <v>111</v>
      </c>
      <c r="CQ1749">
        <v>0</v>
      </c>
      <c r="CR1749">
        <v>0</v>
      </c>
      <c r="CS1749">
        <v>0</v>
      </c>
      <c r="CT1749" t="s">
        <v>111</v>
      </c>
      <c r="CU1749">
        <v>0</v>
      </c>
      <c r="CV1749" t="s">
        <v>111</v>
      </c>
      <c r="CW1749" t="s">
        <v>111</v>
      </c>
      <c r="CX1749" t="s">
        <v>111</v>
      </c>
      <c r="CY1749">
        <v>0</v>
      </c>
      <c r="CZ1749" t="s">
        <v>111</v>
      </c>
      <c r="DA1749" t="s">
        <v>111</v>
      </c>
      <c r="DB1749" t="s">
        <v>111</v>
      </c>
      <c r="DC1749" t="s">
        <v>111</v>
      </c>
    </row>
    <row r="1750" spans="1:107">
      <c r="A1750">
        <v>833</v>
      </c>
      <c r="B1750" t="s">
        <v>107</v>
      </c>
      <c r="C1750" s="2">
        <v>2773709</v>
      </c>
      <c r="D1750" t="s">
        <v>3951</v>
      </c>
      <c r="E1750" t="s">
        <v>4830</v>
      </c>
      <c r="F1750" t="s">
        <v>1651</v>
      </c>
      <c r="G1750" t="s">
        <v>24</v>
      </c>
      <c r="H1750">
        <v>1.5</v>
      </c>
      <c r="I1750">
        <v>35</v>
      </c>
      <c r="J1750">
        <v>0</v>
      </c>
      <c r="K1750">
        <v>0</v>
      </c>
      <c r="L1750" t="s">
        <v>112</v>
      </c>
      <c r="M1750" t="s">
        <v>118</v>
      </c>
      <c r="N1750">
        <v>38</v>
      </c>
      <c r="O1750">
        <v>2</v>
      </c>
      <c r="P1750" t="s">
        <v>138</v>
      </c>
      <c r="Q1750">
        <v>24.3</v>
      </c>
      <c r="R1750">
        <v>0</v>
      </c>
      <c r="S1750">
        <v>0</v>
      </c>
      <c r="T1750">
        <v>0</v>
      </c>
      <c r="U1750" s="1" t="s">
        <v>4831</v>
      </c>
      <c r="V1750">
        <v>0</v>
      </c>
      <c r="W1750">
        <v>0</v>
      </c>
      <c r="X1750">
        <v>0</v>
      </c>
      <c r="Y1750">
        <v>250</v>
      </c>
      <c r="Z1750" t="s">
        <v>111</v>
      </c>
      <c r="AA1750">
        <v>0</v>
      </c>
      <c r="AB1750" t="s">
        <v>111</v>
      </c>
      <c r="AC1750">
        <v>0</v>
      </c>
      <c r="AD1750" t="s">
        <v>416</v>
      </c>
      <c r="AE1750">
        <v>3</v>
      </c>
      <c r="AF1750">
        <v>2</v>
      </c>
      <c r="AG1750" t="s">
        <v>1430</v>
      </c>
      <c r="AH1750" t="s">
        <v>113</v>
      </c>
      <c r="AI1750" t="s">
        <v>1263</v>
      </c>
      <c r="AJ1750" t="s">
        <v>111</v>
      </c>
      <c r="AK1750" t="s">
        <v>111</v>
      </c>
      <c r="AL1750" t="s">
        <v>111</v>
      </c>
      <c r="AM1750">
        <v>0</v>
      </c>
      <c r="AN1750">
        <v>0</v>
      </c>
      <c r="AO1750">
        <v>0</v>
      </c>
      <c r="AP1750" t="s">
        <v>111</v>
      </c>
      <c r="AQ1750" t="s">
        <v>111</v>
      </c>
      <c r="AR1750" t="s">
        <v>111</v>
      </c>
      <c r="AS1750" t="s">
        <v>111</v>
      </c>
      <c r="AT1750" t="s">
        <v>111</v>
      </c>
      <c r="AU1750" t="s">
        <v>111</v>
      </c>
      <c r="AV1750" t="s">
        <v>111</v>
      </c>
      <c r="AW1750" t="s">
        <v>111</v>
      </c>
      <c r="AX1750" t="s">
        <v>111</v>
      </c>
      <c r="AY1750" t="s">
        <v>111</v>
      </c>
      <c r="AZ1750" t="s">
        <v>111</v>
      </c>
      <c r="BA1750" t="s">
        <v>111</v>
      </c>
      <c r="BB1750" t="s">
        <v>111</v>
      </c>
      <c r="BC1750" t="s">
        <v>111</v>
      </c>
      <c r="BD1750" t="s">
        <v>111</v>
      </c>
      <c r="BE1750" t="s">
        <v>111</v>
      </c>
      <c r="BF1750" t="s">
        <v>111</v>
      </c>
      <c r="BG1750" t="s">
        <v>111</v>
      </c>
      <c r="BH1750" t="s">
        <v>111</v>
      </c>
      <c r="BI1750" t="s">
        <v>111</v>
      </c>
      <c r="BJ1750" t="s">
        <v>111</v>
      </c>
      <c r="BK1750" t="s">
        <v>111</v>
      </c>
      <c r="BL1750" t="s">
        <v>111</v>
      </c>
      <c r="BM1750" t="s">
        <v>111</v>
      </c>
      <c r="BN1750" t="s">
        <v>111</v>
      </c>
      <c r="BO1750" t="s">
        <v>111</v>
      </c>
      <c r="BP1750" t="s">
        <v>111</v>
      </c>
      <c r="BQ1750" t="s">
        <v>111</v>
      </c>
      <c r="BR1750" t="s">
        <v>111</v>
      </c>
      <c r="BS1750" t="s">
        <v>111</v>
      </c>
      <c r="BT1750" t="s">
        <v>111</v>
      </c>
      <c r="BU1750" t="s">
        <v>111</v>
      </c>
      <c r="BV1750" t="s">
        <v>111</v>
      </c>
      <c r="BW1750" t="s">
        <v>111</v>
      </c>
      <c r="BX1750" t="s">
        <v>111</v>
      </c>
      <c r="BY1750" t="s">
        <v>111</v>
      </c>
      <c r="BZ1750" t="s">
        <v>111</v>
      </c>
      <c r="CA1750" t="s">
        <v>111</v>
      </c>
      <c r="CB1750" t="s">
        <v>111</v>
      </c>
      <c r="CC1750" t="s">
        <v>111</v>
      </c>
      <c r="CD1750" t="s">
        <v>111</v>
      </c>
      <c r="CE1750" t="s">
        <v>111</v>
      </c>
      <c r="CF1750" t="s">
        <v>111</v>
      </c>
      <c r="CG1750" t="s">
        <v>111</v>
      </c>
      <c r="CH1750" t="s">
        <v>111</v>
      </c>
      <c r="CI1750" t="s">
        <v>111</v>
      </c>
      <c r="CJ1750" t="s">
        <v>111</v>
      </c>
      <c r="CK1750" t="s">
        <v>111</v>
      </c>
      <c r="CL1750" t="e">
        <f>-DESTINO SELLADO</f>
        <v>#NAME?</v>
      </c>
      <c r="CM1750" t="s">
        <v>198</v>
      </c>
      <c r="CN1750" t="s">
        <v>113</v>
      </c>
      <c r="CO1750" t="s">
        <v>111</v>
      </c>
      <c r="CP1750" t="s">
        <v>111</v>
      </c>
      <c r="CQ1750">
        <v>0</v>
      </c>
      <c r="CR1750">
        <v>5000</v>
      </c>
      <c r="CS1750">
        <v>200</v>
      </c>
      <c r="CT1750" s="1" t="s">
        <v>4832</v>
      </c>
      <c r="CU1750">
        <v>0</v>
      </c>
      <c r="CV1750" t="s">
        <v>111</v>
      </c>
      <c r="CW1750" t="s">
        <v>111</v>
      </c>
      <c r="CX1750" t="s">
        <v>111</v>
      </c>
      <c r="CY1750">
        <v>0</v>
      </c>
      <c r="CZ1750" t="s">
        <v>111</v>
      </c>
      <c r="DA1750" t="s">
        <v>111</v>
      </c>
      <c r="DB1750" t="s">
        <v>111</v>
      </c>
      <c r="DC1750" t="s">
        <v>111</v>
      </c>
    </row>
    <row r="1751" spans="1:107">
      <c r="A1751">
        <v>754</v>
      </c>
      <c r="B1751" t="s">
        <v>107</v>
      </c>
      <c r="C1751" t="s">
        <v>4206</v>
      </c>
      <c r="D1751" t="s">
        <v>4833</v>
      </c>
      <c r="E1751" t="s">
        <v>4834</v>
      </c>
      <c r="F1751" t="s">
        <v>1071</v>
      </c>
      <c r="G1751" t="s">
        <v>24</v>
      </c>
      <c r="H1751">
        <v>1</v>
      </c>
      <c r="I1751">
        <v>40</v>
      </c>
      <c r="J1751">
        <v>0</v>
      </c>
      <c r="K1751">
        <v>0</v>
      </c>
      <c r="L1751" t="s">
        <v>112</v>
      </c>
      <c r="M1751" t="s">
        <v>138</v>
      </c>
      <c r="N1751">
        <v>0</v>
      </c>
      <c r="O1751">
        <v>0</v>
      </c>
      <c r="P1751" t="s">
        <v>138</v>
      </c>
      <c r="Q1751">
        <v>35.200000000000003</v>
      </c>
      <c r="R1751">
        <v>0</v>
      </c>
      <c r="S1751">
        <v>0</v>
      </c>
      <c r="T1751">
        <v>0</v>
      </c>
      <c r="U1751" s="1" t="s">
        <v>4835</v>
      </c>
      <c r="V1751">
        <v>0</v>
      </c>
      <c r="W1751">
        <v>0</v>
      </c>
      <c r="X1751">
        <v>0</v>
      </c>
      <c r="Y1751">
        <v>25</v>
      </c>
      <c r="Z1751" t="s">
        <v>111</v>
      </c>
      <c r="AA1751">
        <v>0</v>
      </c>
      <c r="AB1751" t="s">
        <v>111</v>
      </c>
      <c r="AC1751">
        <v>0</v>
      </c>
      <c r="AD1751" t="s">
        <v>111</v>
      </c>
      <c r="AE1751">
        <v>0</v>
      </c>
      <c r="AF1751">
        <v>0</v>
      </c>
      <c r="AG1751" t="s">
        <v>111</v>
      </c>
      <c r="AH1751" t="s">
        <v>111</v>
      </c>
      <c r="AI1751" t="s">
        <v>111</v>
      </c>
      <c r="AJ1751" t="s">
        <v>111</v>
      </c>
      <c r="AK1751" t="s">
        <v>111</v>
      </c>
      <c r="AL1751" t="s">
        <v>111</v>
      </c>
      <c r="AM1751">
        <v>0</v>
      </c>
      <c r="AN1751">
        <v>0</v>
      </c>
      <c r="AO1751">
        <v>0</v>
      </c>
      <c r="AP1751" t="s">
        <v>111</v>
      </c>
      <c r="AQ1751" t="s">
        <v>111</v>
      </c>
      <c r="AR1751" t="s">
        <v>111</v>
      </c>
      <c r="AS1751" t="s">
        <v>111</v>
      </c>
      <c r="AT1751" t="s">
        <v>111</v>
      </c>
      <c r="AU1751" t="s">
        <v>111</v>
      </c>
      <c r="AV1751" t="s">
        <v>111</v>
      </c>
      <c r="AW1751" t="s">
        <v>111</v>
      </c>
      <c r="AX1751" t="s">
        <v>111</v>
      </c>
      <c r="AY1751" t="s">
        <v>111</v>
      </c>
      <c r="AZ1751" t="s">
        <v>111</v>
      </c>
      <c r="BA1751" t="s">
        <v>111</v>
      </c>
      <c r="BB1751" t="s">
        <v>111</v>
      </c>
      <c r="BC1751" t="s">
        <v>111</v>
      </c>
      <c r="BD1751" t="s">
        <v>111</v>
      </c>
      <c r="BE1751" t="s">
        <v>111</v>
      </c>
      <c r="BF1751" t="s">
        <v>111</v>
      </c>
      <c r="BG1751" t="s">
        <v>111</v>
      </c>
      <c r="BH1751" t="s">
        <v>111</v>
      </c>
      <c r="BI1751" t="s">
        <v>111</v>
      </c>
      <c r="BJ1751" t="s">
        <v>111</v>
      </c>
      <c r="BK1751" t="s">
        <v>111</v>
      </c>
      <c r="BL1751" t="s">
        <v>111</v>
      </c>
      <c r="BM1751" t="s">
        <v>111</v>
      </c>
      <c r="BN1751" t="s">
        <v>111</v>
      </c>
      <c r="BO1751" t="s">
        <v>111</v>
      </c>
      <c r="BP1751" t="s">
        <v>111</v>
      </c>
      <c r="BQ1751" t="s">
        <v>111</v>
      </c>
      <c r="BR1751" t="s">
        <v>111</v>
      </c>
      <c r="BS1751" t="s">
        <v>111</v>
      </c>
      <c r="BT1751" t="s">
        <v>111</v>
      </c>
      <c r="BU1751" t="s">
        <v>111</v>
      </c>
      <c r="BV1751" t="s">
        <v>111</v>
      </c>
      <c r="BW1751" t="s">
        <v>111</v>
      </c>
      <c r="BX1751" t="s">
        <v>111</v>
      </c>
      <c r="BY1751" t="s">
        <v>111</v>
      </c>
      <c r="BZ1751" t="s">
        <v>111</v>
      </c>
      <c r="CA1751" t="s">
        <v>111</v>
      </c>
      <c r="CB1751" t="s">
        <v>111</v>
      </c>
      <c r="CC1751" t="s">
        <v>111</v>
      </c>
      <c r="CD1751" t="s">
        <v>111</v>
      </c>
      <c r="CE1751" t="s">
        <v>111</v>
      </c>
      <c r="CF1751" t="s">
        <v>111</v>
      </c>
      <c r="CG1751" t="s">
        <v>111</v>
      </c>
      <c r="CH1751" t="s">
        <v>111</v>
      </c>
      <c r="CI1751" t="s">
        <v>111</v>
      </c>
      <c r="CJ1751" t="s">
        <v>111</v>
      </c>
      <c r="CK1751" t="s">
        <v>111</v>
      </c>
      <c r="CL1751" t="s">
        <v>111</v>
      </c>
      <c r="CM1751" t="s">
        <v>438</v>
      </c>
      <c r="CN1751" t="s">
        <v>113</v>
      </c>
      <c r="CO1751" t="s">
        <v>111</v>
      </c>
      <c r="CP1751" t="s">
        <v>111</v>
      </c>
      <c r="CQ1751">
        <v>0</v>
      </c>
      <c r="CR1751">
        <v>6000</v>
      </c>
      <c r="CS1751">
        <v>100</v>
      </c>
      <c r="CT1751" s="1" t="s">
        <v>4836</v>
      </c>
      <c r="CU1751">
        <v>0</v>
      </c>
      <c r="CV1751" t="s">
        <v>111</v>
      </c>
      <c r="CW1751" t="s">
        <v>111</v>
      </c>
      <c r="CX1751" t="s">
        <v>111</v>
      </c>
      <c r="CY1751">
        <v>0</v>
      </c>
      <c r="CZ1751" t="s">
        <v>111</v>
      </c>
      <c r="DA1751" t="s">
        <v>111</v>
      </c>
      <c r="DB1751" t="s">
        <v>111</v>
      </c>
      <c r="DC1751" t="s">
        <v>111</v>
      </c>
    </row>
    <row r="1752" spans="1:107">
      <c r="A1752">
        <v>883</v>
      </c>
      <c r="B1752" t="s">
        <v>107</v>
      </c>
      <c r="C1752" t="s">
        <v>428</v>
      </c>
      <c r="D1752" t="s">
        <v>4837</v>
      </c>
      <c r="E1752" t="s">
        <v>4838</v>
      </c>
      <c r="F1752" t="s">
        <v>1071</v>
      </c>
      <c r="G1752" t="s">
        <v>24</v>
      </c>
      <c r="H1752">
        <v>1</v>
      </c>
      <c r="I1752">
        <v>35</v>
      </c>
      <c r="J1752">
        <v>0</v>
      </c>
      <c r="K1752">
        <v>0</v>
      </c>
      <c r="L1752" t="s">
        <v>112</v>
      </c>
      <c r="M1752" t="s">
        <v>138</v>
      </c>
      <c r="N1752">
        <v>0</v>
      </c>
      <c r="O1752">
        <v>0</v>
      </c>
      <c r="P1752" t="s">
        <v>138</v>
      </c>
      <c r="Q1752">
        <v>4</v>
      </c>
      <c r="R1752">
        <v>0</v>
      </c>
      <c r="S1752">
        <v>0</v>
      </c>
      <c r="T1752">
        <v>0</v>
      </c>
      <c r="U1752" s="1" t="s">
        <v>4839</v>
      </c>
      <c r="V1752">
        <v>0</v>
      </c>
      <c r="W1752">
        <v>25</v>
      </c>
      <c r="X1752">
        <v>0</v>
      </c>
      <c r="Y1752">
        <v>0</v>
      </c>
      <c r="Z1752" t="s">
        <v>111</v>
      </c>
      <c r="AA1752">
        <v>0</v>
      </c>
      <c r="AB1752" t="s">
        <v>111</v>
      </c>
      <c r="AC1752">
        <v>0</v>
      </c>
      <c r="AD1752" t="s">
        <v>111</v>
      </c>
      <c r="AE1752">
        <v>0</v>
      </c>
      <c r="AF1752">
        <v>0</v>
      </c>
      <c r="AG1752" t="s">
        <v>111</v>
      </c>
      <c r="AH1752" t="s">
        <v>111</v>
      </c>
      <c r="AI1752" t="s">
        <v>111</v>
      </c>
      <c r="AJ1752" t="s">
        <v>111</v>
      </c>
      <c r="AK1752" t="s">
        <v>111</v>
      </c>
      <c r="AL1752" t="s">
        <v>111</v>
      </c>
      <c r="AM1752">
        <v>0</v>
      </c>
      <c r="AN1752">
        <v>0</v>
      </c>
      <c r="AO1752">
        <v>0</v>
      </c>
      <c r="AP1752" t="s">
        <v>111</v>
      </c>
      <c r="AQ1752" t="s">
        <v>111</v>
      </c>
      <c r="AR1752" t="s">
        <v>111</v>
      </c>
      <c r="AS1752" t="s">
        <v>111</v>
      </c>
      <c r="AT1752" t="s">
        <v>111</v>
      </c>
      <c r="AU1752" t="s">
        <v>111</v>
      </c>
      <c r="AV1752" t="s">
        <v>111</v>
      </c>
      <c r="AW1752" t="s">
        <v>111</v>
      </c>
      <c r="AX1752" t="s">
        <v>111</v>
      </c>
      <c r="AY1752" t="s">
        <v>111</v>
      </c>
      <c r="AZ1752" t="s">
        <v>111</v>
      </c>
      <c r="BA1752" t="s">
        <v>111</v>
      </c>
      <c r="BB1752" t="s">
        <v>111</v>
      </c>
      <c r="BC1752" t="s">
        <v>111</v>
      </c>
      <c r="BD1752" t="s">
        <v>111</v>
      </c>
      <c r="BE1752" t="s">
        <v>111</v>
      </c>
      <c r="BF1752" t="s">
        <v>111</v>
      </c>
      <c r="BG1752" t="s">
        <v>111</v>
      </c>
      <c r="BH1752" t="s">
        <v>111</v>
      </c>
      <c r="BI1752" t="s">
        <v>111</v>
      </c>
      <c r="BJ1752" t="s">
        <v>111</v>
      </c>
      <c r="BK1752" t="s">
        <v>111</v>
      </c>
      <c r="BL1752" t="s">
        <v>111</v>
      </c>
      <c r="BM1752" t="s">
        <v>111</v>
      </c>
      <c r="BN1752" t="s">
        <v>111</v>
      </c>
      <c r="BO1752" t="s">
        <v>111</v>
      </c>
      <c r="BP1752" t="s">
        <v>111</v>
      </c>
      <c r="BQ1752" t="s">
        <v>111</v>
      </c>
      <c r="BR1752" t="s">
        <v>111</v>
      </c>
      <c r="BS1752" t="s">
        <v>111</v>
      </c>
      <c r="BT1752" t="s">
        <v>111</v>
      </c>
      <c r="BU1752" t="s">
        <v>111</v>
      </c>
      <c r="BV1752" t="s">
        <v>111</v>
      </c>
      <c r="BW1752" t="s">
        <v>111</v>
      </c>
      <c r="BX1752" t="s">
        <v>111</v>
      </c>
      <c r="BY1752" t="s">
        <v>111</v>
      </c>
      <c r="BZ1752" t="s">
        <v>111</v>
      </c>
      <c r="CA1752" t="s">
        <v>111</v>
      </c>
      <c r="CB1752" t="s">
        <v>111</v>
      </c>
      <c r="CC1752" t="s">
        <v>111</v>
      </c>
      <c r="CD1752" t="s">
        <v>111</v>
      </c>
      <c r="CE1752" t="s">
        <v>111</v>
      </c>
      <c r="CF1752" t="s">
        <v>111</v>
      </c>
      <c r="CG1752" t="s">
        <v>111</v>
      </c>
      <c r="CH1752" t="s">
        <v>111</v>
      </c>
      <c r="CI1752" t="s">
        <v>111</v>
      </c>
      <c r="CJ1752" t="s">
        <v>111</v>
      </c>
      <c r="CK1752" t="s">
        <v>111</v>
      </c>
      <c r="CL1752" t="s">
        <v>111</v>
      </c>
      <c r="CM1752" t="s">
        <v>135</v>
      </c>
      <c r="CN1752" t="s">
        <v>113</v>
      </c>
      <c r="CO1752" t="s">
        <v>111</v>
      </c>
      <c r="CP1752" t="s">
        <v>111</v>
      </c>
      <c r="CQ1752">
        <v>0</v>
      </c>
      <c r="CR1752">
        <v>1000</v>
      </c>
      <c r="CS1752">
        <v>250</v>
      </c>
      <c r="CT1752" t="s">
        <v>394</v>
      </c>
      <c r="CU1752">
        <v>0</v>
      </c>
      <c r="CV1752" t="s">
        <v>111</v>
      </c>
      <c r="CW1752" t="s">
        <v>111</v>
      </c>
      <c r="CX1752" t="s">
        <v>111</v>
      </c>
      <c r="CY1752">
        <v>0</v>
      </c>
      <c r="CZ1752" t="s">
        <v>111</v>
      </c>
      <c r="DA1752" t="s">
        <v>111</v>
      </c>
      <c r="DB1752" t="s">
        <v>111</v>
      </c>
      <c r="DC1752" t="s">
        <v>111</v>
      </c>
    </row>
    <row r="1753" spans="1:107">
      <c r="A1753">
        <v>827</v>
      </c>
      <c r="B1753" t="s">
        <v>107</v>
      </c>
      <c r="C1753" t="s">
        <v>466</v>
      </c>
      <c r="D1753" t="s">
        <v>4840</v>
      </c>
      <c r="E1753" t="s">
        <v>4841</v>
      </c>
      <c r="F1753" t="s">
        <v>3682</v>
      </c>
      <c r="G1753" t="s">
        <v>24</v>
      </c>
      <c r="H1753">
        <v>1.5</v>
      </c>
      <c r="I1753">
        <v>40</v>
      </c>
      <c r="J1753">
        <v>0</v>
      </c>
      <c r="K1753">
        <v>0</v>
      </c>
      <c r="L1753" t="s">
        <v>112</v>
      </c>
      <c r="M1753" t="s">
        <v>138</v>
      </c>
      <c r="N1753">
        <v>0</v>
      </c>
      <c r="O1753">
        <v>0</v>
      </c>
      <c r="P1753" t="s">
        <v>138</v>
      </c>
      <c r="Q1753">
        <v>45</v>
      </c>
      <c r="R1753">
        <v>0</v>
      </c>
      <c r="S1753">
        <v>0</v>
      </c>
      <c r="T1753">
        <v>0</v>
      </c>
      <c r="U1753" s="1" t="s">
        <v>4842</v>
      </c>
      <c r="V1753">
        <v>0</v>
      </c>
      <c r="W1753">
        <v>0</v>
      </c>
      <c r="X1753">
        <v>0</v>
      </c>
      <c r="Y1753">
        <v>25</v>
      </c>
      <c r="Z1753" t="s">
        <v>111</v>
      </c>
      <c r="AA1753">
        <v>0</v>
      </c>
      <c r="AB1753" t="s">
        <v>111</v>
      </c>
      <c r="AC1753">
        <v>0</v>
      </c>
      <c r="AD1753" t="s">
        <v>111</v>
      </c>
      <c r="AE1753">
        <v>0</v>
      </c>
      <c r="AF1753">
        <v>0</v>
      </c>
      <c r="AG1753" t="s">
        <v>111</v>
      </c>
      <c r="AH1753" t="s">
        <v>111</v>
      </c>
      <c r="AI1753" t="s">
        <v>111</v>
      </c>
      <c r="AJ1753" t="s">
        <v>111</v>
      </c>
      <c r="AK1753" t="s">
        <v>111</v>
      </c>
      <c r="AL1753" t="s">
        <v>111</v>
      </c>
      <c r="AM1753">
        <v>0</v>
      </c>
      <c r="AN1753">
        <v>0</v>
      </c>
      <c r="AO1753">
        <v>0</v>
      </c>
      <c r="AP1753" t="s">
        <v>111</v>
      </c>
      <c r="AQ1753" t="s">
        <v>111</v>
      </c>
      <c r="AR1753" t="s">
        <v>111</v>
      </c>
      <c r="AS1753" t="s">
        <v>111</v>
      </c>
      <c r="AT1753" t="s">
        <v>111</v>
      </c>
      <c r="AU1753" t="s">
        <v>111</v>
      </c>
      <c r="AV1753" t="s">
        <v>111</v>
      </c>
      <c r="AW1753" t="s">
        <v>111</v>
      </c>
      <c r="AX1753" t="s">
        <v>111</v>
      </c>
      <c r="AY1753" t="s">
        <v>111</v>
      </c>
      <c r="AZ1753" t="s">
        <v>111</v>
      </c>
      <c r="BA1753" t="s">
        <v>111</v>
      </c>
      <c r="BB1753" t="s">
        <v>111</v>
      </c>
      <c r="BC1753" t="s">
        <v>111</v>
      </c>
      <c r="BD1753" t="s">
        <v>111</v>
      </c>
      <c r="BE1753" t="s">
        <v>111</v>
      </c>
      <c r="BF1753" t="s">
        <v>111</v>
      </c>
      <c r="BG1753" t="s">
        <v>111</v>
      </c>
      <c r="BH1753" t="s">
        <v>111</v>
      </c>
      <c r="BI1753" t="s">
        <v>111</v>
      </c>
      <c r="BJ1753" t="s">
        <v>111</v>
      </c>
      <c r="BK1753" t="s">
        <v>111</v>
      </c>
      <c r="BL1753" t="s">
        <v>111</v>
      </c>
      <c r="BM1753" t="s">
        <v>111</v>
      </c>
      <c r="BN1753" t="s">
        <v>111</v>
      </c>
      <c r="BO1753" t="s">
        <v>111</v>
      </c>
      <c r="BP1753" t="s">
        <v>111</v>
      </c>
      <c r="BQ1753" t="s">
        <v>111</v>
      </c>
      <c r="BR1753" t="s">
        <v>111</v>
      </c>
      <c r="BS1753" t="s">
        <v>111</v>
      </c>
      <c r="BT1753" t="s">
        <v>111</v>
      </c>
      <c r="BU1753" t="s">
        <v>111</v>
      </c>
      <c r="BV1753" t="s">
        <v>111</v>
      </c>
      <c r="BW1753" t="s">
        <v>111</v>
      </c>
      <c r="BX1753" t="s">
        <v>111</v>
      </c>
      <c r="BY1753" t="s">
        <v>111</v>
      </c>
      <c r="BZ1753" t="s">
        <v>111</v>
      </c>
      <c r="CA1753" t="s">
        <v>111</v>
      </c>
      <c r="CB1753" t="s">
        <v>111</v>
      </c>
      <c r="CC1753" t="s">
        <v>111</v>
      </c>
      <c r="CD1753" t="s">
        <v>111</v>
      </c>
      <c r="CE1753" t="s">
        <v>111</v>
      </c>
      <c r="CF1753" t="s">
        <v>111</v>
      </c>
      <c r="CG1753" t="s">
        <v>111</v>
      </c>
      <c r="CH1753" t="s">
        <v>111</v>
      </c>
      <c r="CI1753" t="s">
        <v>111</v>
      </c>
      <c r="CJ1753" t="s">
        <v>111</v>
      </c>
      <c r="CK1753" t="s">
        <v>111</v>
      </c>
      <c r="CL1753" t="s">
        <v>111</v>
      </c>
      <c r="CM1753" t="s">
        <v>127</v>
      </c>
      <c r="CN1753" t="s">
        <v>128</v>
      </c>
      <c r="CO1753" t="s">
        <v>111</v>
      </c>
      <c r="CP1753" t="s">
        <v>111</v>
      </c>
      <c r="CQ1753">
        <v>0</v>
      </c>
      <c r="CR1753">
        <v>1500</v>
      </c>
      <c r="CS1753">
        <v>1000</v>
      </c>
      <c r="CT1753" s="1" t="s">
        <v>1099</v>
      </c>
      <c r="CU1753">
        <v>0</v>
      </c>
      <c r="CV1753" t="s">
        <v>111</v>
      </c>
      <c r="CW1753" t="s">
        <v>111</v>
      </c>
      <c r="CX1753" t="s">
        <v>111</v>
      </c>
      <c r="CY1753">
        <v>0</v>
      </c>
      <c r="CZ1753" t="s">
        <v>111</v>
      </c>
      <c r="DA1753" t="s">
        <v>111</v>
      </c>
      <c r="DB1753" t="s">
        <v>204</v>
      </c>
      <c r="DC1753" t="e">
        <f>-CUBREVESTIDO</f>
        <v>#NAME?</v>
      </c>
    </row>
    <row r="1754" spans="1:107">
      <c r="A1754">
        <v>860</v>
      </c>
      <c r="B1754" t="s">
        <v>107</v>
      </c>
      <c r="C1754" t="s">
        <v>421</v>
      </c>
      <c r="D1754" t="s">
        <v>4843</v>
      </c>
      <c r="E1754" t="s">
        <v>4844</v>
      </c>
      <c r="F1754" t="s">
        <v>1651</v>
      </c>
      <c r="G1754" t="s">
        <v>24</v>
      </c>
      <c r="H1754">
        <v>1.4</v>
      </c>
      <c r="I1754">
        <v>30</v>
      </c>
      <c r="J1754">
        <v>0</v>
      </c>
      <c r="K1754">
        <v>0</v>
      </c>
      <c r="L1754" t="s">
        <v>112</v>
      </c>
      <c r="M1754" t="s">
        <v>118</v>
      </c>
      <c r="N1754">
        <v>39</v>
      </c>
      <c r="O1754">
        <v>1</v>
      </c>
      <c r="P1754" t="s">
        <v>138</v>
      </c>
      <c r="Q1754">
        <v>35</v>
      </c>
      <c r="R1754">
        <v>0</v>
      </c>
      <c r="S1754">
        <v>0</v>
      </c>
      <c r="T1754">
        <v>0</v>
      </c>
      <c r="U1754" s="1" t="s">
        <v>4845</v>
      </c>
      <c r="V1754">
        <v>0</v>
      </c>
      <c r="W1754">
        <v>0</v>
      </c>
      <c r="X1754">
        <v>0</v>
      </c>
      <c r="Y1754">
        <v>25</v>
      </c>
      <c r="Z1754" t="s">
        <v>111</v>
      </c>
      <c r="AA1754">
        <v>0</v>
      </c>
      <c r="AB1754" t="s">
        <v>111</v>
      </c>
      <c r="AC1754">
        <v>0</v>
      </c>
      <c r="AD1754" t="s">
        <v>416</v>
      </c>
      <c r="AE1754">
        <v>1</v>
      </c>
      <c r="AF1754">
        <v>1</v>
      </c>
      <c r="AG1754" t="s">
        <v>2931</v>
      </c>
      <c r="AH1754" t="s">
        <v>113</v>
      </c>
      <c r="AI1754" t="s">
        <v>1103</v>
      </c>
      <c r="AJ1754" t="s">
        <v>111</v>
      </c>
      <c r="AK1754" t="s">
        <v>111</v>
      </c>
      <c r="AL1754" t="s">
        <v>111</v>
      </c>
      <c r="AM1754">
        <v>0</v>
      </c>
      <c r="AN1754">
        <v>0</v>
      </c>
      <c r="AO1754">
        <v>0</v>
      </c>
      <c r="AP1754" t="s">
        <v>1091</v>
      </c>
      <c r="AQ1754" t="s">
        <v>111</v>
      </c>
      <c r="AR1754" t="s">
        <v>111</v>
      </c>
      <c r="AS1754" t="s">
        <v>111</v>
      </c>
      <c r="AT1754" t="s">
        <v>111</v>
      </c>
      <c r="AU1754" t="s">
        <v>111</v>
      </c>
      <c r="AV1754" t="s">
        <v>111</v>
      </c>
      <c r="AW1754" t="s">
        <v>111</v>
      </c>
      <c r="AX1754" t="s">
        <v>111</v>
      </c>
      <c r="AY1754" t="s">
        <v>111</v>
      </c>
      <c r="AZ1754" t="s">
        <v>111</v>
      </c>
      <c r="BA1754" t="s">
        <v>111</v>
      </c>
      <c r="BB1754" t="s">
        <v>111</v>
      </c>
      <c r="BC1754" t="s">
        <v>111</v>
      </c>
      <c r="BD1754" t="s">
        <v>111</v>
      </c>
      <c r="BE1754" t="s">
        <v>111</v>
      </c>
      <c r="BF1754" t="s">
        <v>111</v>
      </c>
      <c r="BG1754" t="s">
        <v>111</v>
      </c>
      <c r="BH1754" t="s">
        <v>111</v>
      </c>
      <c r="BI1754" t="s">
        <v>111</v>
      </c>
      <c r="BJ1754" t="s">
        <v>111</v>
      </c>
      <c r="BK1754" t="s">
        <v>111</v>
      </c>
      <c r="BL1754" t="s">
        <v>111</v>
      </c>
      <c r="BM1754" t="s">
        <v>111</v>
      </c>
      <c r="BN1754" t="s">
        <v>111</v>
      </c>
      <c r="BO1754" t="s">
        <v>111</v>
      </c>
      <c r="BP1754" t="s">
        <v>111</v>
      </c>
      <c r="BQ1754" t="s">
        <v>111</v>
      </c>
      <c r="BR1754" t="s">
        <v>111</v>
      </c>
      <c r="BS1754" t="s">
        <v>111</v>
      </c>
      <c r="BT1754" t="s">
        <v>111</v>
      </c>
      <c r="BU1754" t="s">
        <v>111</v>
      </c>
      <c r="BV1754" t="s">
        <v>111</v>
      </c>
      <c r="BW1754" t="s">
        <v>111</v>
      </c>
      <c r="BX1754" t="s">
        <v>111</v>
      </c>
      <c r="BY1754" t="s">
        <v>111</v>
      </c>
      <c r="BZ1754" t="s">
        <v>111</v>
      </c>
      <c r="CA1754" t="s">
        <v>111</v>
      </c>
      <c r="CB1754" t="s">
        <v>111</v>
      </c>
      <c r="CC1754" t="s">
        <v>111</v>
      </c>
      <c r="CD1754" t="s">
        <v>111</v>
      </c>
      <c r="CE1754" t="s">
        <v>111</v>
      </c>
      <c r="CF1754" t="s">
        <v>111</v>
      </c>
      <c r="CG1754" t="s">
        <v>111</v>
      </c>
      <c r="CH1754" t="s">
        <v>111</v>
      </c>
      <c r="CI1754" t="s">
        <v>111</v>
      </c>
      <c r="CJ1754" t="s">
        <v>111</v>
      </c>
      <c r="CK1754" t="s">
        <v>111</v>
      </c>
      <c r="CL1754" t="e">
        <f>-DESTINO SELLADO</f>
        <v>#NAME?</v>
      </c>
      <c r="CM1754" t="s">
        <v>198</v>
      </c>
      <c r="CN1754" t="s">
        <v>113</v>
      </c>
      <c r="CO1754" t="s">
        <v>111</v>
      </c>
      <c r="CP1754" t="s">
        <v>1166</v>
      </c>
      <c r="CQ1754">
        <v>0</v>
      </c>
      <c r="CR1754">
        <v>4000</v>
      </c>
      <c r="CS1754">
        <v>200</v>
      </c>
      <c r="CT1754" s="1" t="s">
        <v>1104</v>
      </c>
      <c r="CU1754">
        <v>0</v>
      </c>
      <c r="CV1754" t="s">
        <v>111</v>
      </c>
      <c r="CW1754" t="s">
        <v>111</v>
      </c>
      <c r="CX1754" t="s">
        <v>111</v>
      </c>
      <c r="CY1754">
        <v>0</v>
      </c>
      <c r="CZ1754" t="s">
        <v>111</v>
      </c>
      <c r="DA1754" t="s">
        <v>111</v>
      </c>
      <c r="DB1754" t="s">
        <v>111</v>
      </c>
      <c r="DC1754" t="s">
        <v>111</v>
      </c>
    </row>
    <row r="1755" spans="1:107">
      <c r="A1755">
        <v>870</v>
      </c>
      <c r="B1755" t="s">
        <v>107</v>
      </c>
      <c r="C1755" t="s">
        <v>226</v>
      </c>
      <c r="D1755" t="s">
        <v>2122</v>
      </c>
      <c r="E1755" t="s">
        <v>4105</v>
      </c>
      <c r="F1755" t="s">
        <v>1071</v>
      </c>
      <c r="G1755" t="s">
        <v>24</v>
      </c>
      <c r="H1755">
        <v>0.9</v>
      </c>
      <c r="I1755">
        <v>56</v>
      </c>
      <c r="J1755">
        <v>0</v>
      </c>
      <c r="K1755">
        <v>0</v>
      </c>
      <c r="L1755" t="s">
        <v>112</v>
      </c>
      <c r="M1755" t="s">
        <v>138</v>
      </c>
      <c r="N1755">
        <v>0</v>
      </c>
      <c r="O1755">
        <v>0</v>
      </c>
      <c r="P1755" t="s">
        <v>138</v>
      </c>
      <c r="Q1755">
        <v>43.1</v>
      </c>
      <c r="R1755">
        <v>0</v>
      </c>
      <c r="S1755">
        <v>0</v>
      </c>
      <c r="T1755">
        <v>5</v>
      </c>
      <c r="U1755" s="1" t="s">
        <v>4846</v>
      </c>
      <c r="V1755">
        <v>0</v>
      </c>
      <c r="W1755">
        <v>0</v>
      </c>
      <c r="X1755">
        <v>0</v>
      </c>
      <c r="Y1755">
        <v>250</v>
      </c>
      <c r="Z1755" t="s">
        <v>111</v>
      </c>
      <c r="AA1755">
        <v>0</v>
      </c>
      <c r="AB1755" t="s">
        <v>111</v>
      </c>
      <c r="AC1755">
        <v>0</v>
      </c>
      <c r="AD1755" t="s">
        <v>111</v>
      </c>
      <c r="AE1755">
        <v>0</v>
      </c>
      <c r="AF1755">
        <v>0</v>
      </c>
      <c r="AG1755" t="s">
        <v>111</v>
      </c>
      <c r="AH1755" t="s">
        <v>111</v>
      </c>
      <c r="AI1755" t="s">
        <v>111</v>
      </c>
      <c r="AJ1755" t="s">
        <v>111</v>
      </c>
      <c r="AK1755" t="s">
        <v>111</v>
      </c>
      <c r="AL1755" t="s">
        <v>111</v>
      </c>
      <c r="AM1755">
        <v>0</v>
      </c>
      <c r="AN1755">
        <v>0</v>
      </c>
      <c r="AO1755">
        <v>0</v>
      </c>
      <c r="AP1755" t="s">
        <v>111</v>
      </c>
      <c r="AQ1755" t="s">
        <v>111</v>
      </c>
      <c r="AR1755" t="s">
        <v>111</v>
      </c>
      <c r="AS1755" t="s">
        <v>111</v>
      </c>
      <c r="AT1755" t="s">
        <v>111</v>
      </c>
      <c r="AU1755" t="s">
        <v>111</v>
      </c>
      <c r="AV1755" t="s">
        <v>111</v>
      </c>
      <c r="AW1755" t="s">
        <v>111</v>
      </c>
      <c r="AX1755" t="s">
        <v>111</v>
      </c>
      <c r="AY1755" t="s">
        <v>111</v>
      </c>
      <c r="AZ1755" t="s">
        <v>111</v>
      </c>
      <c r="BA1755" t="s">
        <v>111</v>
      </c>
      <c r="BB1755" t="s">
        <v>111</v>
      </c>
      <c r="BC1755" t="s">
        <v>111</v>
      </c>
      <c r="BD1755" t="s">
        <v>111</v>
      </c>
      <c r="BE1755" t="s">
        <v>111</v>
      </c>
      <c r="BF1755" t="s">
        <v>111</v>
      </c>
      <c r="BG1755" t="s">
        <v>111</v>
      </c>
      <c r="BH1755" t="s">
        <v>111</v>
      </c>
      <c r="BI1755" t="s">
        <v>111</v>
      </c>
      <c r="BJ1755" t="s">
        <v>111</v>
      </c>
      <c r="BK1755" t="s">
        <v>111</v>
      </c>
      <c r="BL1755" t="s">
        <v>111</v>
      </c>
      <c r="BM1755" t="s">
        <v>111</v>
      </c>
      <c r="BN1755" t="s">
        <v>111</v>
      </c>
      <c r="BO1755" t="s">
        <v>111</v>
      </c>
      <c r="BP1755" t="s">
        <v>111</v>
      </c>
      <c r="BQ1755" t="s">
        <v>111</v>
      </c>
      <c r="BR1755" t="s">
        <v>111</v>
      </c>
      <c r="BS1755" t="s">
        <v>111</v>
      </c>
      <c r="BT1755" t="s">
        <v>111</v>
      </c>
      <c r="BU1755" t="s">
        <v>111</v>
      </c>
      <c r="BV1755" t="s">
        <v>111</v>
      </c>
      <c r="BW1755" t="s">
        <v>111</v>
      </c>
      <c r="BX1755" t="s">
        <v>111</v>
      </c>
      <c r="BY1755" t="s">
        <v>111</v>
      </c>
      <c r="BZ1755" t="s">
        <v>111</v>
      </c>
      <c r="CA1755" t="s">
        <v>111</v>
      </c>
      <c r="CB1755" t="s">
        <v>111</v>
      </c>
      <c r="CC1755" t="s">
        <v>111</v>
      </c>
      <c r="CD1755" t="s">
        <v>111</v>
      </c>
      <c r="CE1755" t="s">
        <v>111</v>
      </c>
      <c r="CF1755" t="s">
        <v>111</v>
      </c>
      <c r="CG1755" t="s">
        <v>111</v>
      </c>
      <c r="CH1755" t="s">
        <v>111</v>
      </c>
      <c r="CI1755" t="s">
        <v>111</v>
      </c>
      <c r="CJ1755" t="s">
        <v>111</v>
      </c>
      <c r="CK1755" t="s">
        <v>111</v>
      </c>
      <c r="CL1755" t="s">
        <v>111</v>
      </c>
      <c r="CM1755" t="s">
        <v>198</v>
      </c>
      <c r="CN1755" t="s">
        <v>113</v>
      </c>
      <c r="CO1755" t="s">
        <v>111</v>
      </c>
      <c r="CP1755" t="s">
        <v>111</v>
      </c>
      <c r="CQ1755">
        <v>85</v>
      </c>
      <c r="CR1755">
        <v>4000</v>
      </c>
      <c r="CS1755">
        <v>200</v>
      </c>
      <c r="CT1755" s="1" t="s">
        <v>4847</v>
      </c>
      <c r="CU1755">
        <v>0</v>
      </c>
      <c r="CV1755" t="s">
        <v>111</v>
      </c>
      <c r="CW1755" t="s">
        <v>111</v>
      </c>
      <c r="CX1755" t="s">
        <v>111</v>
      </c>
      <c r="CY1755">
        <v>0</v>
      </c>
      <c r="CZ1755" t="s">
        <v>111</v>
      </c>
      <c r="DA1755" t="s">
        <v>111</v>
      </c>
      <c r="DB1755" t="s">
        <v>111</v>
      </c>
      <c r="DC1755" t="s">
        <v>111</v>
      </c>
    </row>
    <row r="1756" spans="1:107">
      <c r="A1756">
        <v>937</v>
      </c>
      <c r="B1756" t="s">
        <v>107</v>
      </c>
      <c r="C1756" t="s">
        <v>4848</v>
      </c>
      <c r="D1756" t="s">
        <v>4849</v>
      </c>
      <c r="E1756" t="s">
        <v>4850</v>
      </c>
      <c r="F1756" t="s">
        <v>1651</v>
      </c>
      <c r="G1756" t="s">
        <v>24</v>
      </c>
      <c r="H1756">
        <v>1.25</v>
      </c>
      <c r="I1756">
        <v>30</v>
      </c>
      <c r="J1756">
        <v>0</v>
      </c>
      <c r="K1756">
        <v>0</v>
      </c>
      <c r="L1756" t="s">
        <v>112</v>
      </c>
      <c r="M1756" t="s">
        <v>118</v>
      </c>
      <c r="N1756">
        <v>38</v>
      </c>
      <c r="O1756">
        <v>2</v>
      </c>
      <c r="P1756" t="s">
        <v>111</v>
      </c>
      <c r="Q1756">
        <v>36.299999999999997</v>
      </c>
      <c r="R1756">
        <v>0</v>
      </c>
      <c r="S1756">
        <v>0</v>
      </c>
      <c r="T1756">
        <v>0</v>
      </c>
      <c r="U1756" t="s">
        <v>501</v>
      </c>
      <c r="V1756">
        <v>0</v>
      </c>
      <c r="W1756">
        <v>0</v>
      </c>
      <c r="X1756">
        <v>0</v>
      </c>
      <c r="Y1756">
        <v>25</v>
      </c>
      <c r="Z1756" t="s">
        <v>111</v>
      </c>
      <c r="AA1756">
        <v>0</v>
      </c>
      <c r="AB1756" t="s">
        <v>111</v>
      </c>
      <c r="AC1756">
        <v>0</v>
      </c>
      <c r="AD1756" t="s">
        <v>416</v>
      </c>
      <c r="AE1756">
        <v>4</v>
      </c>
      <c r="AF1756">
        <v>2</v>
      </c>
      <c r="AG1756" t="s">
        <v>2785</v>
      </c>
      <c r="AH1756" t="s">
        <v>113</v>
      </c>
      <c r="AI1756" t="s">
        <v>2786</v>
      </c>
      <c r="AJ1756" t="s">
        <v>111</v>
      </c>
      <c r="AK1756" t="s">
        <v>111</v>
      </c>
      <c r="AL1756" t="s">
        <v>111</v>
      </c>
      <c r="AM1756">
        <v>0</v>
      </c>
      <c r="AN1756">
        <v>0</v>
      </c>
      <c r="AO1756">
        <v>0</v>
      </c>
      <c r="AP1756" t="s">
        <v>288</v>
      </c>
      <c r="AQ1756" t="s">
        <v>111</v>
      </c>
      <c r="AR1756" t="s">
        <v>111</v>
      </c>
      <c r="AS1756" t="s">
        <v>111</v>
      </c>
      <c r="AT1756" t="s">
        <v>184</v>
      </c>
      <c r="AU1756" t="s">
        <v>111</v>
      </c>
      <c r="AV1756" t="s">
        <v>111</v>
      </c>
      <c r="AW1756" t="s">
        <v>111</v>
      </c>
      <c r="AX1756" t="s">
        <v>188</v>
      </c>
      <c r="AY1756" t="s">
        <v>111</v>
      </c>
      <c r="AZ1756" t="s">
        <v>111</v>
      </c>
      <c r="BA1756" t="s">
        <v>111</v>
      </c>
      <c r="BB1756" t="s">
        <v>271</v>
      </c>
      <c r="BC1756" t="s">
        <v>111</v>
      </c>
      <c r="BD1756" t="s">
        <v>111</v>
      </c>
      <c r="BE1756" t="s">
        <v>111</v>
      </c>
      <c r="BF1756" t="s">
        <v>111</v>
      </c>
      <c r="BG1756" t="s">
        <v>111</v>
      </c>
      <c r="BH1756" t="s">
        <v>111</v>
      </c>
      <c r="BI1756" t="s">
        <v>111</v>
      </c>
      <c r="BJ1756" t="s">
        <v>111</v>
      </c>
      <c r="BK1756" t="s">
        <v>111</v>
      </c>
      <c r="BL1756" t="s">
        <v>111</v>
      </c>
      <c r="BM1756" t="s">
        <v>111</v>
      </c>
      <c r="BN1756" t="s">
        <v>288</v>
      </c>
      <c r="BO1756" t="s">
        <v>111</v>
      </c>
      <c r="BP1756" t="s">
        <v>111</v>
      </c>
      <c r="BQ1756" t="s">
        <v>111</v>
      </c>
      <c r="BR1756" t="s">
        <v>111</v>
      </c>
      <c r="BS1756" t="s">
        <v>111</v>
      </c>
      <c r="BT1756" t="s">
        <v>111</v>
      </c>
      <c r="BU1756" t="s">
        <v>111</v>
      </c>
      <c r="BV1756" t="s">
        <v>111</v>
      </c>
      <c r="BW1756" t="s">
        <v>111</v>
      </c>
      <c r="BX1756" t="s">
        <v>111</v>
      </c>
      <c r="BY1756" t="s">
        <v>111</v>
      </c>
      <c r="BZ1756" t="s">
        <v>111</v>
      </c>
      <c r="CA1756" t="s">
        <v>111</v>
      </c>
      <c r="CB1756" t="s">
        <v>111</v>
      </c>
      <c r="CC1756" t="s">
        <v>111</v>
      </c>
      <c r="CD1756" t="s">
        <v>111</v>
      </c>
      <c r="CE1756" t="s">
        <v>111</v>
      </c>
      <c r="CF1756" t="s">
        <v>111</v>
      </c>
      <c r="CG1756" t="s">
        <v>111</v>
      </c>
      <c r="CH1756" t="s">
        <v>111</v>
      </c>
      <c r="CI1756" t="s">
        <v>111</v>
      </c>
      <c r="CJ1756" t="s">
        <v>111</v>
      </c>
      <c r="CK1756" t="s">
        <v>111</v>
      </c>
      <c r="CL1756" t="e">
        <f>-DESTINO SELLADO</f>
        <v>#NAME?</v>
      </c>
      <c r="CM1756" t="s">
        <v>198</v>
      </c>
      <c r="CN1756" t="s">
        <v>113</v>
      </c>
      <c r="CO1756" t="s">
        <v>111</v>
      </c>
      <c r="CP1756" t="e">
        <f>-MUESTRA</f>
        <v>#NAME?</v>
      </c>
      <c r="CQ1756">
        <v>82</v>
      </c>
      <c r="CR1756">
        <v>6000</v>
      </c>
      <c r="CS1756">
        <v>200</v>
      </c>
      <c r="CT1756" t="e">
        <f>-DEJAR MUESTRAS</f>
        <v>#NAME?</v>
      </c>
      <c r="CU1756">
        <v>0</v>
      </c>
      <c r="CV1756" t="s">
        <v>111</v>
      </c>
      <c r="CW1756" t="s">
        <v>111</v>
      </c>
      <c r="CX1756" t="s">
        <v>111</v>
      </c>
      <c r="CY1756">
        <v>0</v>
      </c>
      <c r="CZ1756" t="s">
        <v>111</v>
      </c>
      <c r="DA1756" t="s">
        <v>111</v>
      </c>
      <c r="DB1756" t="s">
        <v>111</v>
      </c>
      <c r="DC1756" t="s">
        <v>111</v>
      </c>
    </row>
    <row r="1757" spans="1:107">
      <c r="A1757">
        <v>939</v>
      </c>
      <c r="B1757" t="s">
        <v>107</v>
      </c>
      <c r="C1757" t="s">
        <v>3783</v>
      </c>
      <c r="D1757" t="s">
        <v>3960</v>
      </c>
      <c r="E1757" t="s">
        <v>4851</v>
      </c>
      <c r="F1757" t="s">
        <v>1260</v>
      </c>
      <c r="G1757" t="s">
        <v>24</v>
      </c>
      <c r="H1757">
        <v>1.9</v>
      </c>
      <c r="I1757">
        <v>40</v>
      </c>
      <c r="J1757">
        <v>0</v>
      </c>
      <c r="K1757">
        <v>0</v>
      </c>
      <c r="L1757" t="s">
        <v>117</v>
      </c>
      <c r="M1757" t="s">
        <v>118</v>
      </c>
      <c r="N1757">
        <v>39</v>
      </c>
      <c r="O1757">
        <v>1</v>
      </c>
      <c r="P1757" t="s">
        <v>111</v>
      </c>
      <c r="Q1757">
        <v>30</v>
      </c>
      <c r="R1757">
        <v>0</v>
      </c>
      <c r="S1757">
        <v>0</v>
      </c>
      <c r="T1757">
        <v>0</v>
      </c>
      <c r="U1757" s="1" t="s">
        <v>4852</v>
      </c>
      <c r="V1757">
        <v>0</v>
      </c>
      <c r="W1757">
        <v>0</v>
      </c>
      <c r="X1757">
        <v>0</v>
      </c>
      <c r="Y1757">
        <v>25</v>
      </c>
      <c r="Z1757" t="s">
        <v>111</v>
      </c>
      <c r="AA1757">
        <v>0</v>
      </c>
      <c r="AB1757" t="s">
        <v>111</v>
      </c>
      <c r="AC1757">
        <v>0</v>
      </c>
      <c r="AD1757" t="s">
        <v>416</v>
      </c>
      <c r="AE1757">
        <v>3</v>
      </c>
      <c r="AF1757">
        <v>1</v>
      </c>
      <c r="AG1757" t="s">
        <v>4788</v>
      </c>
      <c r="AH1757" t="s">
        <v>113</v>
      </c>
      <c r="AI1757" t="s">
        <v>4789</v>
      </c>
      <c r="AJ1757" t="s">
        <v>111</v>
      </c>
      <c r="AK1757" t="s">
        <v>111</v>
      </c>
      <c r="AL1757" t="s">
        <v>111</v>
      </c>
      <c r="AM1757">
        <v>0</v>
      </c>
      <c r="AN1757">
        <v>0</v>
      </c>
      <c r="AO1757">
        <v>0</v>
      </c>
      <c r="AP1757" t="s">
        <v>288</v>
      </c>
      <c r="AQ1757" t="s">
        <v>111</v>
      </c>
      <c r="AR1757" t="s">
        <v>111</v>
      </c>
      <c r="AS1757" t="s">
        <v>111</v>
      </c>
      <c r="AT1757" t="s">
        <v>147</v>
      </c>
      <c r="AU1757" t="s">
        <v>111</v>
      </c>
      <c r="AV1757" t="s">
        <v>111</v>
      </c>
      <c r="AW1757" t="s">
        <v>111</v>
      </c>
      <c r="AX1757" t="s">
        <v>259</v>
      </c>
      <c r="AY1757" t="s">
        <v>111</v>
      </c>
      <c r="AZ1757" t="s">
        <v>111</v>
      </c>
      <c r="BA1757" t="s">
        <v>111</v>
      </c>
      <c r="BB1757" t="s">
        <v>111</v>
      </c>
      <c r="BC1757" t="s">
        <v>111</v>
      </c>
      <c r="BD1757" t="s">
        <v>111</v>
      </c>
      <c r="BE1757" t="s">
        <v>111</v>
      </c>
      <c r="BF1757" t="s">
        <v>111</v>
      </c>
      <c r="BG1757" t="s">
        <v>111</v>
      </c>
      <c r="BH1757" t="s">
        <v>111</v>
      </c>
      <c r="BI1757" t="s">
        <v>111</v>
      </c>
      <c r="BJ1757" t="s">
        <v>111</v>
      </c>
      <c r="BK1757" t="s">
        <v>111</v>
      </c>
      <c r="BL1757" t="s">
        <v>111</v>
      </c>
      <c r="BM1757" t="s">
        <v>111</v>
      </c>
      <c r="BN1757" t="s">
        <v>111</v>
      </c>
      <c r="BO1757" t="s">
        <v>111</v>
      </c>
      <c r="BP1757" t="s">
        <v>111</v>
      </c>
      <c r="BQ1757" t="s">
        <v>111</v>
      </c>
      <c r="BR1757" t="s">
        <v>111</v>
      </c>
      <c r="BS1757" t="s">
        <v>111</v>
      </c>
      <c r="BT1757" t="s">
        <v>111</v>
      </c>
      <c r="BU1757" t="s">
        <v>111</v>
      </c>
      <c r="BV1757" t="s">
        <v>111</v>
      </c>
      <c r="BW1757" t="s">
        <v>111</v>
      </c>
      <c r="BX1757" t="s">
        <v>111</v>
      </c>
      <c r="BY1757" t="s">
        <v>111</v>
      </c>
      <c r="BZ1757" t="s">
        <v>111</v>
      </c>
      <c r="CA1757" t="s">
        <v>111</v>
      </c>
      <c r="CB1757" t="s">
        <v>111</v>
      </c>
      <c r="CC1757" t="s">
        <v>111</v>
      </c>
      <c r="CD1757" t="s">
        <v>111</v>
      </c>
      <c r="CE1757" t="s">
        <v>111</v>
      </c>
      <c r="CF1757" t="s">
        <v>111</v>
      </c>
      <c r="CG1757" t="s">
        <v>111</v>
      </c>
      <c r="CH1757" t="s">
        <v>111</v>
      </c>
      <c r="CI1757" t="s">
        <v>111</v>
      </c>
      <c r="CJ1757" t="s">
        <v>111</v>
      </c>
      <c r="CK1757" t="s">
        <v>111</v>
      </c>
      <c r="CL1757" t="s">
        <v>111</v>
      </c>
      <c r="CM1757" t="s">
        <v>135</v>
      </c>
      <c r="CN1757" t="s">
        <v>113</v>
      </c>
      <c r="CO1757" t="s">
        <v>111</v>
      </c>
      <c r="CP1757" t="s">
        <v>111</v>
      </c>
      <c r="CQ1757">
        <v>0</v>
      </c>
      <c r="CR1757">
        <v>26000</v>
      </c>
      <c r="CS1757">
        <v>26000</v>
      </c>
      <c r="CT1757" t="s">
        <v>394</v>
      </c>
      <c r="CU1757">
        <v>0</v>
      </c>
      <c r="CV1757" t="s">
        <v>111</v>
      </c>
      <c r="CW1757" t="s">
        <v>111</v>
      </c>
      <c r="CX1757" t="s">
        <v>111</v>
      </c>
      <c r="CY1757">
        <v>0</v>
      </c>
      <c r="CZ1757" t="s">
        <v>111</v>
      </c>
      <c r="DA1757" t="s">
        <v>111</v>
      </c>
      <c r="DB1757" t="s">
        <v>111</v>
      </c>
      <c r="DC1757" t="s">
        <v>111</v>
      </c>
    </row>
    <row r="1758" spans="1:107">
      <c r="A1758">
        <v>911</v>
      </c>
      <c r="B1758" t="s">
        <v>107</v>
      </c>
      <c r="C1758" t="s">
        <v>827</v>
      </c>
      <c r="D1758" t="s">
        <v>1694</v>
      </c>
      <c r="E1758" t="s">
        <v>4853</v>
      </c>
      <c r="F1758" t="s">
        <v>1651</v>
      </c>
      <c r="G1758" t="s">
        <v>24</v>
      </c>
      <c r="H1758">
        <v>1.4</v>
      </c>
      <c r="I1758">
        <v>45</v>
      </c>
      <c r="J1758">
        <v>0</v>
      </c>
      <c r="K1758">
        <v>0</v>
      </c>
      <c r="L1758" t="s">
        <v>112</v>
      </c>
      <c r="M1758" t="s">
        <v>118</v>
      </c>
      <c r="N1758">
        <v>39</v>
      </c>
      <c r="O1758">
        <v>2</v>
      </c>
      <c r="P1758" t="s">
        <v>111</v>
      </c>
      <c r="Q1758">
        <v>40.799999999999997</v>
      </c>
      <c r="R1758">
        <v>0</v>
      </c>
      <c r="S1758">
        <v>0</v>
      </c>
      <c r="T1758">
        <v>10</v>
      </c>
      <c r="U1758" s="1" t="s">
        <v>4854</v>
      </c>
      <c r="V1758">
        <v>0</v>
      </c>
      <c r="W1758">
        <v>0</v>
      </c>
      <c r="X1758">
        <v>0</v>
      </c>
      <c r="Y1758">
        <v>250</v>
      </c>
      <c r="Z1758" t="s">
        <v>111</v>
      </c>
      <c r="AA1758">
        <v>0</v>
      </c>
      <c r="AB1758" t="s">
        <v>3954</v>
      </c>
      <c r="AC1758">
        <v>3</v>
      </c>
      <c r="AD1758" t="s">
        <v>427</v>
      </c>
      <c r="AE1758">
        <v>5</v>
      </c>
      <c r="AF1758">
        <v>2</v>
      </c>
      <c r="AG1758" t="s">
        <v>1532</v>
      </c>
      <c r="AH1758" t="s">
        <v>113</v>
      </c>
      <c r="AI1758" t="s">
        <v>1098</v>
      </c>
      <c r="AJ1758" t="s">
        <v>111</v>
      </c>
      <c r="AK1758" t="s">
        <v>111</v>
      </c>
      <c r="AL1758" t="s">
        <v>111</v>
      </c>
      <c r="AM1758">
        <v>0</v>
      </c>
      <c r="AN1758">
        <v>0</v>
      </c>
      <c r="AO1758">
        <v>0</v>
      </c>
      <c r="AP1758" t="s">
        <v>288</v>
      </c>
      <c r="AQ1758" t="s">
        <v>111</v>
      </c>
      <c r="AR1758" t="s">
        <v>111</v>
      </c>
      <c r="AS1758" t="s">
        <v>111</v>
      </c>
      <c r="AT1758" t="s">
        <v>259</v>
      </c>
      <c r="AU1758" t="s">
        <v>111</v>
      </c>
      <c r="AV1758" t="s">
        <v>111</v>
      </c>
      <c r="AW1758" t="s">
        <v>111</v>
      </c>
      <c r="AX1758" t="s">
        <v>2204</v>
      </c>
      <c r="AY1758" t="s">
        <v>111</v>
      </c>
      <c r="AZ1758" t="s">
        <v>111</v>
      </c>
      <c r="BA1758" t="s">
        <v>111</v>
      </c>
      <c r="BB1758" t="s">
        <v>188</v>
      </c>
      <c r="BC1758" t="s">
        <v>111</v>
      </c>
      <c r="BD1758" t="s">
        <v>111</v>
      </c>
      <c r="BE1758" t="s">
        <v>111</v>
      </c>
      <c r="BF1758" t="s">
        <v>772</v>
      </c>
      <c r="BG1758" t="s">
        <v>111</v>
      </c>
      <c r="BH1758" t="s">
        <v>111</v>
      </c>
      <c r="BI1758" t="s">
        <v>111</v>
      </c>
      <c r="BJ1758" t="s">
        <v>111</v>
      </c>
      <c r="BK1758" t="s">
        <v>111</v>
      </c>
      <c r="BL1758" t="s">
        <v>111</v>
      </c>
      <c r="BM1758" t="s">
        <v>111</v>
      </c>
      <c r="BN1758" t="s">
        <v>111</v>
      </c>
      <c r="BO1758" t="s">
        <v>111</v>
      </c>
      <c r="BP1758" t="s">
        <v>111</v>
      </c>
      <c r="BQ1758" t="s">
        <v>111</v>
      </c>
      <c r="BR1758" t="s">
        <v>111</v>
      </c>
      <c r="BS1758" t="s">
        <v>111</v>
      </c>
      <c r="BT1758" t="s">
        <v>111</v>
      </c>
      <c r="BU1758" t="s">
        <v>111</v>
      </c>
      <c r="BV1758" t="s">
        <v>111</v>
      </c>
      <c r="BW1758" t="s">
        <v>111</v>
      </c>
      <c r="BX1758" t="s">
        <v>111</v>
      </c>
      <c r="BY1758" t="s">
        <v>111</v>
      </c>
      <c r="BZ1758" t="s">
        <v>111</v>
      </c>
      <c r="CA1758" t="s">
        <v>111</v>
      </c>
      <c r="CB1758" t="s">
        <v>111</v>
      </c>
      <c r="CC1758" t="s">
        <v>111</v>
      </c>
      <c r="CD1758" t="s">
        <v>111</v>
      </c>
      <c r="CE1758" t="s">
        <v>111</v>
      </c>
      <c r="CF1758" t="s">
        <v>111</v>
      </c>
      <c r="CG1758" t="s">
        <v>111</v>
      </c>
      <c r="CH1758" t="s">
        <v>111</v>
      </c>
      <c r="CI1758" t="s">
        <v>111</v>
      </c>
      <c r="CJ1758" t="s">
        <v>111</v>
      </c>
      <c r="CK1758" t="s">
        <v>111</v>
      </c>
      <c r="CL1758" t="e">
        <f>-DESTINO SELLADO</f>
        <v>#NAME?</v>
      </c>
      <c r="CM1758" t="s">
        <v>198</v>
      </c>
      <c r="CN1758" t="s">
        <v>113</v>
      </c>
      <c r="CO1758" t="s">
        <v>111</v>
      </c>
      <c r="CP1758" t="e">
        <f>-MUESTRA</f>
        <v>#NAME?</v>
      </c>
      <c r="CQ1758">
        <v>76</v>
      </c>
      <c r="CR1758">
        <v>4000</v>
      </c>
      <c r="CS1758">
        <v>200</v>
      </c>
      <c r="CT1758" s="1" t="s">
        <v>1104</v>
      </c>
      <c r="CU1758">
        <v>0</v>
      </c>
      <c r="CV1758" t="s">
        <v>111</v>
      </c>
      <c r="CW1758" t="s">
        <v>111</v>
      </c>
      <c r="CX1758" t="s">
        <v>111</v>
      </c>
      <c r="CY1758">
        <v>0</v>
      </c>
      <c r="CZ1758" t="s">
        <v>111</v>
      </c>
      <c r="DA1758" t="s">
        <v>111</v>
      </c>
      <c r="DB1758" t="s">
        <v>111</v>
      </c>
      <c r="DC1758" t="s">
        <v>111</v>
      </c>
    </row>
    <row r="1759" spans="1:107">
      <c r="A1759">
        <v>879</v>
      </c>
      <c r="B1759" t="s">
        <v>107</v>
      </c>
      <c r="C1759" t="s">
        <v>4293</v>
      </c>
      <c r="D1759" t="s">
        <v>4855</v>
      </c>
      <c r="E1759" t="s">
        <v>4856</v>
      </c>
      <c r="F1759" t="s">
        <v>1651</v>
      </c>
      <c r="G1759" t="s">
        <v>24</v>
      </c>
      <c r="H1759">
        <v>1.5</v>
      </c>
      <c r="I1759">
        <v>50</v>
      </c>
      <c r="J1759">
        <v>0</v>
      </c>
      <c r="K1759">
        <v>0</v>
      </c>
      <c r="L1759" t="s">
        <v>112</v>
      </c>
      <c r="M1759" t="s">
        <v>118</v>
      </c>
      <c r="N1759">
        <v>39</v>
      </c>
      <c r="O1759">
        <v>2</v>
      </c>
      <c r="P1759" t="s">
        <v>138</v>
      </c>
      <c r="Q1759">
        <v>40</v>
      </c>
      <c r="R1759">
        <v>0</v>
      </c>
      <c r="S1759">
        <v>0</v>
      </c>
      <c r="T1759">
        <v>0</v>
      </c>
      <c r="U1759" s="1" t="s">
        <v>4857</v>
      </c>
      <c r="V1759">
        <v>0</v>
      </c>
      <c r="W1759">
        <v>0</v>
      </c>
      <c r="X1759">
        <v>0</v>
      </c>
      <c r="Y1759">
        <v>25</v>
      </c>
      <c r="Z1759" t="s">
        <v>111</v>
      </c>
      <c r="AA1759">
        <v>0</v>
      </c>
      <c r="AB1759" t="s">
        <v>111</v>
      </c>
      <c r="AC1759">
        <v>0</v>
      </c>
      <c r="AD1759" t="s">
        <v>416</v>
      </c>
      <c r="AE1759">
        <v>5</v>
      </c>
      <c r="AF1759">
        <v>1</v>
      </c>
      <c r="AG1759" t="s">
        <v>4858</v>
      </c>
      <c r="AH1759" t="s">
        <v>113</v>
      </c>
      <c r="AI1759" t="s">
        <v>1680</v>
      </c>
      <c r="AJ1759" t="s">
        <v>111</v>
      </c>
      <c r="AK1759" t="s">
        <v>111</v>
      </c>
      <c r="AL1759" t="s">
        <v>111</v>
      </c>
      <c r="AM1759">
        <v>0</v>
      </c>
      <c r="AN1759">
        <v>0</v>
      </c>
      <c r="AO1759">
        <v>0</v>
      </c>
      <c r="AP1759" t="s">
        <v>288</v>
      </c>
      <c r="AQ1759" t="s">
        <v>111</v>
      </c>
      <c r="AR1759" t="s">
        <v>111</v>
      </c>
      <c r="AS1759" t="s">
        <v>111</v>
      </c>
      <c r="AT1759" t="s">
        <v>184</v>
      </c>
      <c r="AU1759" t="s">
        <v>111</v>
      </c>
      <c r="AV1759" t="s">
        <v>111</v>
      </c>
      <c r="AW1759" t="s">
        <v>111</v>
      </c>
      <c r="AX1759" t="s">
        <v>271</v>
      </c>
      <c r="AY1759" t="s">
        <v>111</v>
      </c>
      <c r="AZ1759" t="s">
        <v>111</v>
      </c>
      <c r="BA1759" t="s">
        <v>111</v>
      </c>
      <c r="BB1759" t="s">
        <v>2363</v>
      </c>
      <c r="BC1759" t="s">
        <v>111</v>
      </c>
      <c r="BD1759" t="s">
        <v>111</v>
      </c>
      <c r="BE1759" t="s">
        <v>111</v>
      </c>
      <c r="BF1759" t="s">
        <v>259</v>
      </c>
      <c r="BG1759" t="s">
        <v>111</v>
      </c>
      <c r="BH1759" t="s">
        <v>111</v>
      </c>
      <c r="BI1759" t="s">
        <v>111</v>
      </c>
      <c r="BJ1759" t="s">
        <v>111</v>
      </c>
      <c r="BK1759" t="s">
        <v>111</v>
      </c>
      <c r="BL1759" t="s">
        <v>111</v>
      </c>
      <c r="BM1759" t="s">
        <v>111</v>
      </c>
      <c r="BN1759" t="s">
        <v>111</v>
      </c>
      <c r="BO1759" t="s">
        <v>111</v>
      </c>
      <c r="BP1759" t="s">
        <v>111</v>
      </c>
      <c r="BQ1759" t="s">
        <v>111</v>
      </c>
      <c r="BR1759" t="s">
        <v>111</v>
      </c>
      <c r="BS1759" t="s">
        <v>111</v>
      </c>
      <c r="BT1759" t="s">
        <v>111</v>
      </c>
      <c r="BU1759" t="s">
        <v>111</v>
      </c>
      <c r="BV1759" t="s">
        <v>111</v>
      </c>
      <c r="BW1759" t="s">
        <v>111</v>
      </c>
      <c r="BX1759" t="s">
        <v>111</v>
      </c>
      <c r="BY1759" t="s">
        <v>111</v>
      </c>
      <c r="BZ1759" t="s">
        <v>111</v>
      </c>
      <c r="CA1759" t="s">
        <v>111</v>
      </c>
      <c r="CB1759" t="s">
        <v>111</v>
      </c>
      <c r="CC1759" t="s">
        <v>111</v>
      </c>
      <c r="CD1759" t="s">
        <v>111</v>
      </c>
      <c r="CE1759" t="s">
        <v>111</v>
      </c>
      <c r="CF1759" t="s">
        <v>111</v>
      </c>
      <c r="CG1759" t="s">
        <v>111</v>
      </c>
      <c r="CH1759" t="s">
        <v>111</v>
      </c>
      <c r="CI1759" t="s">
        <v>111</v>
      </c>
      <c r="CJ1759" t="s">
        <v>111</v>
      </c>
      <c r="CK1759" t="s">
        <v>111</v>
      </c>
      <c r="CL1759" t="e">
        <f>-DESTINO SELLADO</f>
        <v>#NAME?</v>
      </c>
      <c r="CM1759" t="s">
        <v>198</v>
      </c>
      <c r="CN1759" t="s">
        <v>113</v>
      </c>
      <c r="CO1759" t="s">
        <v>111</v>
      </c>
      <c r="CP1759" t="e">
        <f>-MUESTRA</f>
        <v>#NAME?</v>
      </c>
      <c r="CQ1759">
        <v>0</v>
      </c>
      <c r="CR1759">
        <v>4000</v>
      </c>
      <c r="CS1759">
        <v>200</v>
      </c>
      <c r="CT1759" s="1" t="s">
        <v>4859</v>
      </c>
      <c r="CU1759">
        <v>0</v>
      </c>
      <c r="CV1759" t="s">
        <v>111</v>
      </c>
      <c r="CW1759" t="s">
        <v>111</v>
      </c>
      <c r="CX1759" t="s">
        <v>111</v>
      </c>
      <c r="CY1759">
        <v>0</v>
      </c>
      <c r="CZ1759" t="s">
        <v>111</v>
      </c>
      <c r="DA1759" t="s">
        <v>111</v>
      </c>
      <c r="DB1759" t="s">
        <v>111</v>
      </c>
      <c r="DC1759" t="s">
        <v>111</v>
      </c>
    </row>
    <row r="1760" spans="1:107">
      <c r="A1760">
        <v>855</v>
      </c>
      <c r="B1760" t="s">
        <v>107</v>
      </c>
      <c r="C1760" t="s">
        <v>454</v>
      </c>
      <c r="D1760" t="s">
        <v>4645</v>
      </c>
      <c r="E1760" t="s">
        <v>4860</v>
      </c>
      <c r="F1760" t="s">
        <v>1651</v>
      </c>
      <c r="G1760" t="s">
        <v>24</v>
      </c>
      <c r="H1760">
        <v>1.5</v>
      </c>
      <c r="I1760">
        <v>13</v>
      </c>
      <c r="J1760">
        <v>2</v>
      </c>
      <c r="K1760">
        <v>0</v>
      </c>
      <c r="L1760" t="s">
        <v>178</v>
      </c>
      <c r="M1760" t="s">
        <v>118</v>
      </c>
      <c r="N1760">
        <v>0</v>
      </c>
      <c r="O1760">
        <v>1</v>
      </c>
      <c r="P1760" t="s">
        <v>138</v>
      </c>
      <c r="Q1760">
        <v>13</v>
      </c>
      <c r="R1760">
        <v>0</v>
      </c>
      <c r="S1760">
        <v>0</v>
      </c>
      <c r="T1760">
        <v>5</v>
      </c>
      <c r="U1760" s="1" t="s">
        <v>4861</v>
      </c>
      <c r="V1760">
        <v>0</v>
      </c>
      <c r="W1760">
        <v>0</v>
      </c>
      <c r="X1760">
        <v>0</v>
      </c>
      <c r="Y1760">
        <v>25</v>
      </c>
      <c r="Z1760" t="s">
        <v>111</v>
      </c>
      <c r="AA1760">
        <v>0</v>
      </c>
      <c r="AB1760" t="s">
        <v>111</v>
      </c>
      <c r="AC1760">
        <v>0</v>
      </c>
      <c r="AD1760" t="s">
        <v>416</v>
      </c>
      <c r="AE1760">
        <v>1</v>
      </c>
      <c r="AF1760">
        <v>1</v>
      </c>
      <c r="AG1760" t="s">
        <v>4862</v>
      </c>
      <c r="AH1760" t="s">
        <v>113</v>
      </c>
      <c r="AI1760" t="s">
        <v>4863</v>
      </c>
      <c r="AJ1760" t="s">
        <v>111</v>
      </c>
      <c r="AK1760" t="s">
        <v>111</v>
      </c>
      <c r="AL1760" t="s">
        <v>111</v>
      </c>
      <c r="AM1760">
        <v>0</v>
      </c>
      <c r="AN1760">
        <v>0</v>
      </c>
      <c r="AO1760">
        <v>0</v>
      </c>
      <c r="AP1760" t="s">
        <v>3075</v>
      </c>
      <c r="AQ1760" t="s">
        <v>111</v>
      </c>
      <c r="AR1760" t="s">
        <v>111</v>
      </c>
      <c r="AS1760" t="s">
        <v>111</v>
      </c>
      <c r="AT1760" t="s">
        <v>111</v>
      </c>
      <c r="AU1760" t="s">
        <v>111</v>
      </c>
      <c r="AV1760" t="s">
        <v>111</v>
      </c>
      <c r="AW1760" t="s">
        <v>111</v>
      </c>
      <c r="AX1760" t="s">
        <v>111</v>
      </c>
      <c r="AY1760" t="s">
        <v>111</v>
      </c>
      <c r="AZ1760" t="s">
        <v>111</v>
      </c>
      <c r="BA1760" t="s">
        <v>111</v>
      </c>
      <c r="BB1760" t="s">
        <v>111</v>
      </c>
      <c r="BC1760" t="s">
        <v>111</v>
      </c>
      <c r="BD1760" t="s">
        <v>111</v>
      </c>
      <c r="BE1760" t="s">
        <v>111</v>
      </c>
      <c r="BF1760" t="s">
        <v>111</v>
      </c>
      <c r="BG1760" t="s">
        <v>111</v>
      </c>
      <c r="BH1760" t="s">
        <v>111</v>
      </c>
      <c r="BI1760" t="s">
        <v>111</v>
      </c>
      <c r="BJ1760" t="s">
        <v>111</v>
      </c>
      <c r="BK1760" t="s">
        <v>111</v>
      </c>
      <c r="BL1760" t="s">
        <v>111</v>
      </c>
      <c r="BM1760" t="s">
        <v>111</v>
      </c>
      <c r="BN1760" t="s">
        <v>111</v>
      </c>
      <c r="BO1760" t="s">
        <v>111</v>
      </c>
      <c r="BP1760" t="s">
        <v>111</v>
      </c>
      <c r="BQ1760" t="s">
        <v>111</v>
      </c>
      <c r="BR1760" t="s">
        <v>111</v>
      </c>
      <c r="BS1760" t="s">
        <v>111</v>
      </c>
      <c r="BT1760" t="s">
        <v>111</v>
      </c>
      <c r="BU1760" t="s">
        <v>111</v>
      </c>
      <c r="BV1760" t="s">
        <v>111</v>
      </c>
      <c r="BW1760" t="s">
        <v>111</v>
      </c>
      <c r="BX1760" t="s">
        <v>111</v>
      </c>
      <c r="BY1760" t="s">
        <v>111</v>
      </c>
      <c r="BZ1760" t="s">
        <v>111</v>
      </c>
      <c r="CA1760" t="s">
        <v>111</v>
      </c>
      <c r="CB1760" t="s">
        <v>111</v>
      </c>
      <c r="CC1760" t="s">
        <v>111</v>
      </c>
      <c r="CD1760" t="s">
        <v>111</v>
      </c>
      <c r="CE1760" t="s">
        <v>111</v>
      </c>
      <c r="CF1760" t="s">
        <v>111</v>
      </c>
      <c r="CG1760" t="s">
        <v>111</v>
      </c>
      <c r="CH1760" t="s">
        <v>111</v>
      </c>
      <c r="CI1760" t="s">
        <v>111</v>
      </c>
      <c r="CJ1760" t="s">
        <v>111</v>
      </c>
      <c r="CK1760" t="s">
        <v>111</v>
      </c>
      <c r="CL1760" s="1" t="s">
        <v>494</v>
      </c>
      <c r="CM1760">
        <v>450</v>
      </c>
      <c r="CN1760" t="s">
        <v>113</v>
      </c>
      <c r="CO1760" t="s">
        <v>111</v>
      </c>
      <c r="CP1760" t="s">
        <v>1166</v>
      </c>
      <c r="CQ1760">
        <v>0</v>
      </c>
      <c r="CR1760">
        <v>15000</v>
      </c>
      <c r="CS1760">
        <v>200</v>
      </c>
      <c r="CT1760" s="1" t="s">
        <v>4864</v>
      </c>
      <c r="CU1760">
        <v>0</v>
      </c>
      <c r="CV1760" t="s">
        <v>111</v>
      </c>
      <c r="CW1760" t="s">
        <v>111</v>
      </c>
      <c r="CX1760" t="s">
        <v>111</v>
      </c>
      <c r="CY1760">
        <v>0</v>
      </c>
      <c r="CZ1760" t="s">
        <v>111</v>
      </c>
      <c r="DA1760" t="s">
        <v>111</v>
      </c>
      <c r="DB1760" t="s">
        <v>111</v>
      </c>
      <c r="DC1760" t="s">
        <v>111</v>
      </c>
    </row>
    <row r="1761" spans="1:107">
      <c r="A1761">
        <v>886</v>
      </c>
      <c r="B1761" t="s">
        <v>107</v>
      </c>
      <c r="C1761" t="s">
        <v>1800</v>
      </c>
      <c r="D1761" t="s">
        <v>4865</v>
      </c>
      <c r="E1761" t="s">
        <v>4866</v>
      </c>
      <c r="F1761" t="s">
        <v>4867</v>
      </c>
      <c r="G1761" t="s">
        <v>24</v>
      </c>
      <c r="H1761">
        <v>1.5</v>
      </c>
      <c r="I1761">
        <v>45</v>
      </c>
      <c r="J1761">
        <v>0</v>
      </c>
      <c r="K1761">
        <v>0</v>
      </c>
      <c r="L1761" t="s">
        <v>117</v>
      </c>
      <c r="M1761" t="s">
        <v>118</v>
      </c>
      <c r="N1761">
        <v>39</v>
      </c>
      <c r="O1761">
        <v>1</v>
      </c>
      <c r="P1761" t="s">
        <v>138</v>
      </c>
      <c r="Q1761">
        <v>42</v>
      </c>
      <c r="R1761">
        <v>0</v>
      </c>
      <c r="S1761">
        <v>0</v>
      </c>
      <c r="T1761">
        <v>5</v>
      </c>
      <c r="U1761" s="1" t="s">
        <v>4868</v>
      </c>
      <c r="V1761">
        <v>0</v>
      </c>
      <c r="W1761">
        <v>0</v>
      </c>
      <c r="X1761">
        <v>0</v>
      </c>
      <c r="Y1761">
        <v>25</v>
      </c>
      <c r="Z1761" t="s">
        <v>111</v>
      </c>
      <c r="AA1761">
        <v>0</v>
      </c>
      <c r="AB1761" t="s">
        <v>111</v>
      </c>
      <c r="AC1761">
        <v>0</v>
      </c>
      <c r="AD1761" t="s">
        <v>416</v>
      </c>
      <c r="AE1761">
        <v>1</v>
      </c>
      <c r="AF1761">
        <v>1</v>
      </c>
      <c r="AG1761" t="s">
        <v>4869</v>
      </c>
      <c r="AH1761" t="s">
        <v>128</v>
      </c>
      <c r="AI1761" t="s">
        <v>111</v>
      </c>
      <c r="AJ1761" t="s">
        <v>111</v>
      </c>
      <c r="AK1761" t="s">
        <v>111</v>
      </c>
      <c r="AL1761" t="s">
        <v>111</v>
      </c>
      <c r="AM1761">
        <v>0</v>
      </c>
      <c r="AN1761">
        <v>0</v>
      </c>
      <c r="AO1761">
        <v>0</v>
      </c>
      <c r="AP1761" t="s">
        <v>111</v>
      </c>
      <c r="AQ1761" t="s">
        <v>111</v>
      </c>
      <c r="AR1761" t="s">
        <v>111</v>
      </c>
      <c r="AS1761" t="s">
        <v>111</v>
      </c>
      <c r="AT1761" t="s">
        <v>111</v>
      </c>
      <c r="AU1761" t="s">
        <v>111</v>
      </c>
      <c r="AV1761" t="s">
        <v>111</v>
      </c>
      <c r="AW1761" t="s">
        <v>111</v>
      </c>
      <c r="AX1761" t="s">
        <v>111</v>
      </c>
      <c r="AY1761" t="s">
        <v>111</v>
      </c>
      <c r="AZ1761" t="s">
        <v>111</v>
      </c>
      <c r="BA1761" t="s">
        <v>111</v>
      </c>
      <c r="BB1761" t="s">
        <v>111</v>
      </c>
      <c r="BC1761" t="s">
        <v>111</v>
      </c>
      <c r="BD1761" t="s">
        <v>111</v>
      </c>
      <c r="BE1761" t="s">
        <v>111</v>
      </c>
      <c r="BF1761" t="s">
        <v>111</v>
      </c>
      <c r="BG1761" t="s">
        <v>111</v>
      </c>
      <c r="BH1761" t="s">
        <v>111</v>
      </c>
      <c r="BI1761" t="s">
        <v>111</v>
      </c>
      <c r="BJ1761" t="s">
        <v>111</v>
      </c>
      <c r="BK1761" t="s">
        <v>111</v>
      </c>
      <c r="BL1761" t="s">
        <v>111</v>
      </c>
      <c r="BM1761" t="s">
        <v>111</v>
      </c>
      <c r="BN1761" t="s">
        <v>111</v>
      </c>
      <c r="BO1761" t="s">
        <v>111</v>
      </c>
      <c r="BP1761" t="s">
        <v>111</v>
      </c>
      <c r="BQ1761" t="s">
        <v>111</v>
      </c>
      <c r="BR1761" t="s">
        <v>111</v>
      </c>
      <c r="BS1761" t="s">
        <v>111</v>
      </c>
      <c r="BT1761" t="s">
        <v>111</v>
      </c>
      <c r="BU1761" t="s">
        <v>111</v>
      </c>
      <c r="BV1761" t="s">
        <v>111</v>
      </c>
      <c r="BW1761" t="s">
        <v>111</v>
      </c>
      <c r="BX1761" t="s">
        <v>111</v>
      </c>
      <c r="BY1761" t="s">
        <v>111</v>
      </c>
      <c r="BZ1761" t="s">
        <v>111</v>
      </c>
      <c r="CA1761" t="s">
        <v>111</v>
      </c>
      <c r="CB1761" t="s">
        <v>111</v>
      </c>
      <c r="CC1761" t="s">
        <v>111</v>
      </c>
      <c r="CD1761" t="s">
        <v>111</v>
      </c>
      <c r="CE1761" t="s">
        <v>111</v>
      </c>
      <c r="CF1761" t="s">
        <v>111</v>
      </c>
      <c r="CG1761" t="s">
        <v>111</v>
      </c>
      <c r="CH1761" t="s">
        <v>111</v>
      </c>
      <c r="CI1761" t="s">
        <v>111</v>
      </c>
      <c r="CJ1761" t="s">
        <v>111</v>
      </c>
      <c r="CK1761" t="s">
        <v>111</v>
      </c>
      <c r="CL1761" t="e">
        <f>-DESTINO ALMACEN</f>
        <v>#NAME?</v>
      </c>
      <c r="CM1761" t="s">
        <v>111</v>
      </c>
      <c r="CN1761" t="s">
        <v>111</v>
      </c>
      <c r="CO1761" t="s">
        <v>111</v>
      </c>
      <c r="CP1761" t="s">
        <v>111</v>
      </c>
      <c r="CQ1761">
        <v>0</v>
      </c>
      <c r="CR1761">
        <v>0</v>
      </c>
      <c r="CS1761">
        <v>0</v>
      </c>
      <c r="CT1761" t="s">
        <v>111</v>
      </c>
      <c r="CU1761">
        <v>22.5</v>
      </c>
      <c r="CV1761" t="s">
        <v>3644</v>
      </c>
      <c r="CW1761" t="s">
        <v>4870</v>
      </c>
      <c r="CX1761">
        <v>2</v>
      </c>
      <c r="CY1761">
        <v>20</v>
      </c>
      <c r="CZ1761" t="s">
        <v>117</v>
      </c>
      <c r="DA1761" s="1" t="s">
        <v>4871</v>
      </c>
      <c r="DB1761" t="s">
        <v>111</v>
      </c>
      <c r="DC1761" t="s">
        <v>111</v>
      </c>
    </row>
    <row r="1762" spans="1:107">
      <c r="A1762">
        <v>887</v>
      </c>
      <c r="B1762" t="s">
        <v>107</v>
      </c>
      <c r="C1762" t="s">
        <v>827</v>
      </c>
      <c r="D1762" t="s">
        <v>4872</v>
      </c>
      <c r="E1762" t="s">
        <v>4873</v>
      </c>
      <c r="F1762" t="s">
        <v>1071</v>
      </c>
      <c r="G1762" t="s">
        <v>24</v>
      </c>
      <c r="H1762">
        <v>1.45</v>
      </c>
      <c r="I1762">
        <v>45</v>
      </c>
      <c r="J1762">
        <v>0</v>
      </c>
      <c r="K1762">
        <v>0</v>
      </c>
      <c r="L1762" t="s">
        <v>112</v>
      </c>
      <c r="M1762" t="s">
        <v>138</v>
      </c>
      <c r="N1762">
        <v>0</v>
      </c>
      <c r="O1762">
        <v>0</v>
      </c>
      <c r="P1762" t="s">
        <v>138</v>
      </c>
      <c r="Q1762">
        <v>46</v>
      </c>
      <c r="R1762">
        <v>0</v>
      </c>
      <c r="S1762">
        <v>0</v>
      </c>
      <c r="T1762">
        <v>0</v>
      </c>
      <c r="U1762" s="1" t="s">
        <v>4874</v>
      </c>
      <c r="V1762">
        <v>0</v>
      </c>
      <c r="W1762">
        <v>0</v>
      </c>
      <c r="X1762">
        <v>0</v>
      </c>
      <c r="Y1762">
        <v>25</v>
      </c>
      <c r="Z1762" t="s">
        <v>111</v>
      </c>
      <c r="AA1762">
        <v>0</v>
      </c>
      <c r="AB1762" t="s">
        <v>111</v>
      </c>
      <c r="AC1762">
        <v>0</v>
      </c>
      <c r="AD1762" t="s">
        <v>111</v>
      </c>
      <c r="AE1762">
        <v>0</v>
      </c>
      <c r="AF1762">
        <v>0</v>
      </c>
      <c r="AG1762" t="s">
        <v>111</v>
      </c>
      <c r="AH1762" t="s">
        <v>111</v>
      </c>
      <c r="AI1762" t="s">
        <v>111</v>
      </c>
      <c r="AJ1762" t="s">
        <v>111</v>
      </c>
      <c r="AK1762" t="s">
        <v>111</v>
      </c>
      <c r="AL1762" t="s">
        <v>111</v>
      </c>
      <c r="AM1762">
        <v>0</v>
      </c>
      <c r="AN1762">
        <v>0</v>
      </c>
      <c r="AO1762">
        <v>0</v>
      </c>
      <c r="AP1762" t="s">
        <v>111</v>
      </c>
      <c r="AQ1762" t="s">
        <v>111</v>
      </c>
      <c r="AR1762" t="s">
        <v>111</v>
      </c>
      <c r="AS1762" t="s">
        <v>111</v>
      </c>
      <c r="AT1762" t="s">
        <v>111</v>
      </c>
      <c r="AU1762" t="s">
        <v>111</v>
      </c>
      <c r="AV1762" t="s">
        <v>111</v>
      </c>
      <c r="AW1762" t="s">
        <v>111</v>
      </c>
      <c r="AX1762" t="s">
        <v>111</v>
      </c>
      <c r="AY1762" t="s">
        <v>111</v>
      </c>
      <c r="AZ1762" t="s">
        <v>111</v>
      </c>
      <c r="BA1762" t="s">
        <v>111</v>
      </c>
      <c r="BB1762" t="s">
        <v>111</v>
      </c>
      <c r="BC1762" t="s">
        <v>111</v>
      </c>
      <c r="BD1762" t="s">
        <v>111</v>
      </c>
      <c r="BE1762" t="s">
        <v>111</v>
      </c>
      <c r="BF1762" t="s">
        <v>111</v>
      </c>
      <c r="BG1762" t="s">
        <v>111</v>
      </c>
      <c r="BH1762" t="s">
        <v>111</v>
      </c>
      <c r="BI1762" t="s">
        <v>111</v>
      </c>
      <c r="BJ1762" t="s">
        <v>111</v>
      </c>
      <c r="BK1762" t="s">
        <v>111</v>
      </c>
      <c r="BL1762" t="s">
        <v>111</v>
      </c>
      <c r="BM1762" t="s">
        <v>111</v>
      </c>
      <c r="BN1762" t="s">
        <v>111</v>
      </c>
      <c r="BO1762" t="s">
        <v>111</v>
      </c>
      <c r="BP1762" t="s">
        <v>111</v>
      </c>
      <c r="BQ1762" t="s">
        <v>111</v>
      </c>
      <c r="BR1762" t="s">
        <v>111</v>
      </c>
      <c r="BS1762" t="s">
        <v>111</v>
      </c>
      <c r="BT1762" t="s">
        <v>111</v>
      </c>
      <c r="BU1762" t="s">
        <v>111</v>
      </c>
      <c r="BV1762" t="s">
        <v>111</v>
      </c>
      <c r="BW1762" t="s">
        <v>111</v>
      </c>
      <c r="BX1762" t="s">
        <v>111</v>
      </c>
      <c r="BY1762" t="s">
        <v>111</v>
      </c>
      <c r="BZ1762" t="s">
        <v>111</v>
      </c>
      <c r="CA1762" t="s">
        <v>111</v>
      </c>
      <c r="CB1762" t="s">
        <v>111</v>
      </c>
      <c r="CC1762" t="s">
        <v>111</v>
      </c>
      <c r="CD1762" t="s">
        <v>111</v>
      </c>
      <c r="CE1762" t="s">
        <v>111</v>
      </c>
      <c r="CF1762" t="s">
        <v>111</v>
      </c>
      <c r="CG1762" t="s">
        <v>111</v>
      </c>
      <c r="CH1762" t="s">
        <v>111</v>
      </c>
      <c r="CI1762" t="s">
        <v>111</v>
      </c>
      <c r="CJ1762" t="s">
        <v>111</v>
      </c>
      <c r="CK1762" t="s">
        <v>111</v>
      </c>
      <c r="CL1762" t="s">
        <v>111</v>
      </c>
      <c r="CM1762" t="s">
        <v>198</v>
      </c>
      <c r="CN1762" t="s">
        <v>113</v>
      </c>
      <c r="CO1762" t="s">
        <v>111</v>
      </c>
      <c r="CP1762" t="s">
        <v>111</v>
      </c>
      <c r="CQ1762">
        <v>0</v>
      </c>
      <c r="CR1762">
        <v>4000</v>
      </c>
      <c r="CS1762">
        <v>200</v>
      </c>
      <c r="CT1762" t="s">
        <v>394</v>
      </c>
      <c r="CU1762">
        <v>0</v>
      </c>
      <c r="CV1762" t="s">
        <v>111</v>
      </c>
      <c r="CW1762" t="s">
        <v>111</v>
      </c>
      <c r="CX1762" t="s">
        <v>111</v>
      </c>
      <c r="CY1762">
        <v>0</v>
      </c>
      <c r="CZ1762" t="s">
        <v>111</v>
      </c>
      <c r="DA1762" t="s">
        <v>111</v>
      </c>
      <c r="DB1762" t="s">
        <v>111</v>
      </c>
      <c r="DC1762" t="s">
        <v>111</v>
      </c>
    </row>
    <row r="1763" spans="1:107">
      <c r="A1763">
        <v>1285</v>
      </c>
      <c r="B1763" t="s">
        <v>107</v>
      </c>
      <c r="C1763" t="s">
        <v>4324</v>
      </c>
      <c r="D1763" t="s">
        <v>212</v>
      </c>
      <c r="E1763" t="s">
        <v>4875</v>
      </c>
      <c r="F1763" t="s">
        <v>110</v>
      </c>
      <c r="G1763" t="s">
        <v>24</v>
      </c>
      <c r="H1763">
        <v>1.3</v>
      </c>
      <c r="I1763">
        <v>45</v>
      </c>
      <c r="J1763">
        <v>0</v>
      </c>
      <c r="K1763">
        <v>0</v>
      </c>
      <c r="L1763" t="s">
        <v>112</v>
      </c>
      <c r="M1763" t="s">
        <v>118</v>
      </c>
      <c r="N1763">
        <v>39</v>
      </c>
      <c r="O1763">
        <v>2</v>
      </c>
      <c r="P1763" t="s">
        <v>111</v>
      </c>
      <c r="Q1763">
        <v>33.299999999999997</v>
      </c>
      <c r="R1763">
        <v>0</v>
      </c>
      <c r="S1763">
        <v>0</v>
      </c>
      <c r="T1763">
        <v>0</v>
      </c>
      <c r="U1763" s="1" t="s">
        <v>4876</v>
      </c>
      <c r="V1763">
        <v>0</v>
      </c>
      <c r="W1763">
        <v>0</v>
      </c>
      <c r="X1763">
        <v>0</v>
      </c>
      <c r="Y1763">
        <v>25</v>
      </c>
      <c r="Z1763" t="s">
        <v>111</v>
      </c>
      <c r="AA1763">
        <v>0</v>
      </c>
      <c r="AB1763" t="s">
        <v>111</v>
      </c>
      <c r="AC1763">
        <v>0</v>
      </c>
      <c r="AD1763" t="s">
        <v>111</v>
      </c>
      <c r="AE1763">
        <v>0</v>
      </c>
      <c r="AF1763">
        <v>0</v>
      </c>
      <c r="AG1763" t="s">
        <v>111</v>
      </c>
      <c r="AH1763" t="s">
        <v>111</v>
      </c>
      <c r="AI1763" t="s">
        <v>111</v>
      </c>
      <c r="AJ1763" t="s">
        <v>111</v>
      </c>
      <c r="AK1763" t="s">
        <v>111</v>
      </c>
      <c r="AL1763" t="s">
        <v>111</v>
      </c>
      <c r="AM1763">
        <v>0</v>
      </c>
      <c r="AN1763">
        <v>0</v>
      </c>
      <c r="AO1763">
        <v>0</v>
      </c>
      <c r="AP1763" t="s">
        <v>111</v>
      </c>
      <c r="AQ1763" t="s">
        <v>111</v>
      </c>
      <c r="AR1763" t="s">
        <v>111</v>
      </c>
      <c r="AS1763" t="s">
        <v>111</v>
      </c>
      <c r="AT1763" t="s">
        <v>111</v>
      </c>
      <c r="AU1763" t="s">
        <v>111</v>
      </c>
      <c r="AV1763" t="s">
        <v>111</v>
      </c>
      <c r="AW1763" t="s">
        <v>111</v>
      </c>
      <c r="AX1763" t="s">
        <v>111</v>
      </c>
      <c r="AY1763" t="s">
        <v>111</v>
      </c>
      <c r="AZ1763" t="s">
        <v>111</v>
      </c>
      <c r="BA1763" t="s">
        <v>111</v>
      </c>
      <c r="BB1763" t="s">
        <v>111</v>
      </c>
      <c r="BC1763" t="s">
        <v>111</v>
      </c>
      <c r="BD1763" t="s">
        <v>111</v>
      </c>
      <c r="BE1763" t="s">
        <v>111</v>
      </c>
      <c r="BF1763" t="s">
        <v>111</v>
      </c>
      <c r="BG1763" t="s">
        <v>111</v>
      </c>
      <c r="BH1763" t="s">
        <v>111</v>
      </c>
      <c r="BI1763" t="s">
        <v>111</v>
      </c>
      <c r="BJ1763" t="s">
        <v>111</v>
      </c>
      <c r="BK1763" t="s">
        <v>111</v>
      </c>
      <c r="BL1763" t="s">
        <v>111</v>
      </c>
      <c r="BM1763" t="s">
        <v>111</v>
      </c>
      <c r="BN1763" t="s">
        <v>111</v>
      </c>
      <c r="BO1763" t="s">
        <v>111</v>
      </c>
      <c r="BP1763" t="s">
        <v>111</v>
      </c>
      <c r="BQ1763" t="s">
        <v>111</v>
      </c>
      <c r="BR1763" t="s">
        <v>111</v>
      </c>
      <c r="BS1763" t="s">
        <v>111</v>
      </c>
      <c r="BT1763" t="s">
        <v>111</v>
      </c>
      <c r="BU1763" t="s">
        <v>111</v>
      </c>
      <c r="BV1763" t="s">
        <v>111</v>
      </c>
      <c r="BW1763" t="s">
        <v>111</v>
      </c>
      <c r="BX1763" t="s">
        <v>111</v>
      </c>
      <c r="BY1763" t="s">
        <v>111</v>
      </c>
      <c r="BZ1763" t="s">
        <v>111</v>
      </c>
      <c r="CA1763" t="s">
        <v>111</v>
      </c>
      <c r="CB1763" t="s">
        <v>111</v>
      </c>
      <c r="CC1763" t="s">
        <v>111</v>
      </c>
      <c r="CD1763" t="s">
        <v>111</v>
      </c>
      <c r="CE1763" t="s">
        <v>111</v>
      </c>
      <c r="CF1763" t="s">
        <v>111</v>
      </c>
      <c r="CG1763" t="s">
        <v>111</v>
      </c>
      <c r="CH1763" t="s">
        <v>111</v>
      </c>
      <c r="CI1763" t="s">
        <v>111</v>
      </c>
      <c r="CJ1763" t="s">
        <v>111</v>
      </c>
      <c r="CK1763" t="s">
        <v>111</v>
      </c>
      <c r="CL1763" t="s">
        <v>111</v>
      </c>
      <c r="CM1763" t="s">
        <v>111</v>
      </c>
      <c r="CN1763" t="s">
        <v>111</v>
      </c>
      <c r="CO1763" t="s">
        <v>111</v>
      </c>
      <c r="CP1763" t="s">
        <v>111</v>
      </c>
      <c r="CQ1763">
        <v>0</v>
      </c>
      <c r="CR1763">
        <v>0</v>
      </c>
      <c r="CS1763">
        <v>0</v>
      </c>
      <c r="CT1763" t="s">
        <v>111</v>
      </c>
      <c r="CU1763">
        <v>0</v>
      </c>
      <c r="CV1763" t="s">
        <v>111</v>
      </c>
      <c r="CW1763" t="s">
        <v>111</v>
      </c>
      <c r="CX1763" t="s">
        <v>111</v>
      </c>
      <c r="CY1763">
        <v>0</v>
      </c>
      <c r="CZ1763" t="s">
        <v>111</v>
      </c>
      <c r="DA1763" t="s">
        <v>111</v>
      </c>
      <c r="DB1763" t="s">
        <v>111</v>
      </c>
      <c r="DC1763" t="s">
        <v>111</v>
      </c>
    </row>
    <row r="1764" spans="1:107">
      <c r="A1764">
        <v>951</v>
      </c>
      <c r="B1764" t="s">
        <v>107</v>
      </c>
      <c r="C1764" t="s">
        <v>277</v>
      </c>
      <c r="D1764" t="s">
        <v>4877</v>
      </c>
      <c r="E1764" t="s">
        <v>4878</v>
      </c>
      <c r="F1764" t="s">
        <v>110</v>
      </c>
      <c r="G1764" t="s">
        <v>24</v>
      </c>
      <c r="H1764">
        <v>2.5</v>
      </c>
      <c r="I1764">
        <v>35</v>
      </c>
      <c r="J1764">
        <v>0</v>
      </c>
      <c r="K1764">
        <v>0</v>
      </c>
      <c r="L1764" t="s">
        <v>112</v>
      </c>
      <c r="M1764" t="s">
        <v>111</v>
      </c>
      <c r="N1764">
        <v>0</v>
      </c>
      <c r="O1764">
        <v>0</v>
      </c>
      <c r="P1764" t="s">
        <v>111</v>
      </c>
      <c r="Q1764">
        <v>40</v>
      </c>
      <c r="R1764">
        <v>0</v>
      </c>
      <c r="S1764">
        <v>0</v>
      </c>
      <c r="T1764">
        <v>0</v>
      </c>
      <c r="U1764" t="s">
        <v>4879</v>
      </c>
      <c r="V1764">
        <v>0</v>
      </c>
      <c r="W1764">
        <v>0</v>
      </c>
      <c r="X1764">
        <v>0</v>
      </c>
      <c r="Y1764">
        <v>25</v>
      </c>
      <c r="Z1764" t="s">
        <v>111</v>
      </c>
      <c r="AA1764">
        <v>0</v>
      </c>
      <c r="AB1764" t="s">
        <v>111</v>
      </c>
      <c r="AC1764">
        <v>0</v>
      </c>
      <c r="AD1764" t="s">
        <v>111</v>
      </c>
      <c r="AE1764">
        <v>0</v>
      </c>
      <c r="AF1764">
        <v>0</v>
      </c>
      <c r="AG1764" t="s">
        <v>111</v>
      </c>
      <c r="AH1764" t="s">
        <v>111</v>
      </c>
      <c r="AI1764" t="s">
        <v>111</v>
      </c>
      <c r="AJ1764" t="s">
        <v>111</v>
      </c>
      <c r="AK1764" t="s">
        <v>111</v>
      </c>
      <c r="AL1764" t="s">
        <v>111</v>
      </c>
      <c r="AM1764">
        <v>0</v>
      </c>
      <c r="AN1764">
        <v>0</v>
      </c>
      <c r="AO1764">
        <v>0</v>
      </c>
      <c r="AP1764" t="s">
        <v>111</v>
      </c>
      <c r="AQ1764" t="s">
        <v>111</v>
      </c>
      <c r="AR1764" t="s">
        <v>111</v>
      </c>
      <c r="AS1764" t="s">
        <v>111</v>
      </c>
      <c r="AT1764" t="s">
        <v>111</v>
      </c>
      <c r="AU1764" t="s">
        <v>111</v>
      </c>
      <c r="AV1764" t="s">
        <v>111</v>
      </c>
      <c r="AW1764" t="s">
        <v>111</v>
      </c>
      <c r="AX1764" t="s">
        <v>111</v>
      </c>
      <c r="AY1764" t="s">
        <v>111</v>
      </c>
      <c r="AZ1764" t="s">
        <v>111</v>
      </c>
      <c r="BA1764" t="s">
        <v>111</v>
      </c>
      <c r="BB1764" t="s">
        <v>111</v>
      </c>
      <c r="BC1764" t="s">
        <v>111</v>
      </c>
      <c r="BD1764" t="s">
        <v>111</v>
      </c>
      <c r="BE1764" t="s">
        <v>111</v>
      </c>
      <c r="BF1764" t="s">
        <v>111</v>
      </c>
      <c r="BG1764" t="s">
        <v>111</v>
      </c>
      <c r="BH1764" t="s">
        <v>111</v>
      </c>
      <c r="BI1764" t="s">
        <v>111</v>
      </c>
      <c r="BJ1764" t="s">
        <v>111</v>
      </c>
      <c r="BK1764" t="s">
        <v>111</v>
      </c>
      <c r="BL1764" t="s">
        <v>111</v>
      </c>
      <c r="BM1764" t="s">
        <v>111</v>
      </c>
      <c r="BN1764" t="s">
        <v>111</v>
      </c>
      <c r="BO1764" t="s">
        <v>111</v>
      </c>
      <c r="BP1764" t="s">
        <v>111</v>
      </c>
      <c r="BQ1764" t="s">
        <v>111</v>
      </c>
      <c r="BR1764" t="s">
        <v>111</v>
      </c>
      <c r="BS1764" t="s">
        <v>111</v>
      </c>
      <c r="BT1764" t="s">
        <v>111</v>
      </c>
      <c r="BU1764" t="s">
        <v>111</v>
      </c>
      <c r="BV1764" t="s">
        <v>111</v>
      </c>
      <c r="BW1764" t="s">
        <v>111</v>
      </c>
      <c r="BX1764" t="s">
        <v>111</v>
      </c>
      <c r="BY1764" t="s">
        <v>111</v>
      </c>
      <c r="BZ1764" t="s">
        <v>111</v>
      </c>
      <c r="CA1764" t="s">
        <v>111</v>
      </c>
      <c r="CB1764" t="s">
        <v>111</v>
      </c>
      <c r="CC1764" t="s">
        <v>111</v>
      </c>
      <c r="CD1764" t="s">
        <v>111</v>
      </c>
      <c r="CE1764" t="s">
        <v>111</v>
      </c>
      <c r="CF1764" t="s">
        <v>111</v>
      </c>
      <c r="CG1764" t="s">
        <v>111</v>
      </c>
      <c r="CH1764" t="s">
        <v>111</v>
      </c>
      <c r="CI1764" t="s">
        <v>111</v>
      </c>
      <c r="CJ1764" t="s">
        <v>111</v>
      </c>
      <c r="CK1764" t="s">
        <v>111</v>
      </c>
      <c r="CL1764" t="s">
        <v>111</v>
      </c>
      <c r="CM1764" t="s">
        <v>111</v>
      </c>
      <c r="CN1764" t="s">
        <v>111</v>
      </c>
      <c r="CO1764" t="s">
        <v>111</v>
      </c>
      <c r="CP1764" t="s">
        <v>111</v>
      </c>
      <c r="CQ1764">
        <v>0</v>
      </c>
      <c r="CR1764">
        <v>0</v>
      </c>
      <c r="CS1764">
        <v>0</v>
      </c>
      <c r="CT1764" t="s">
        <v>111</v>
      </c>
      <c r="CU1764">
        <v>0</v>
      </c>
      <c r="CV1764" t="s">
        <v>111</v>
      </c>
      <c r="CW1764" t="s">
        <v>111</v>
      </c>
      <c r="CX1764" t="s">
        <v>111</v>
      </c>
      <c r="CY1764">
        <v>0</v>
      </c>
      <c r="CZ1764" t="s">
        <v>111</v>
      </c>
      <c r="DA1764" t="s">
        <v>111</v>
      </c>
      <c r="DB1764" t="s">
        <v>111</v>
      </c>
      <c r="DC1764" t="s">
        <v>111</v>
      </c>
    </row>
    <row r="1765" spans="1:107">
      <c r="A1765">
        <v>1262</v>
      </c>
      <c r="B1765" t="s">
        <v>107</v>
      </c>
      <c r="C1765" t="s">
        <v>827</v>
      </c>
      <c r="D1765" t="s">
        <v>4880</v>
      </c>
      <c r="E1765" t="s">
        <v>4881</v>
      </c>
      <c r="F1765" t="s">
        <v>1651</v>
      </c>
      <c r="G1765" t="s">
        <v>24</v>
      </c>
      <c r="H1765">
        <v>1.4</v>
      </c>
      <c r="I1765">
        <v>42</v>
      </c>
      <c r="J1765">
        <v>0</v>
      </c>
      <c r="K1765">
        <v>0</v>
      </c>
      <c r="L1765" t="s">
        <v>112</v>
      </c>
      <c r="M1765" t="s">
        <v>138</v>
      </c>
      <c r="N1765">
        <v>39</v>
      </c>
      <c r="O1765">
        <v>2</v>
      </c>
      <c r="P1765" t="s">
        <v>111</v>
      </c>
      <c r="Q1765">
        <v>42.1</v>
      </c>
      <c r="R1765">
        <v>0</v>
      </c>
      <c r="S1765">
        <v>0</v>
      </c>
      <c r="T1765">
        <v>5</v>
      </c>
      <c r="U1765" s="1" t="s">
        <v>4882</v>
      </c>
      <c r="V1765">
        <v>0</v>
      </c>
      <c r="W1765">
        <v>0</v>
      </c>
      <c r="X1765">
        <v>0</v>
      </c>
      <c r="Y1765">
        <v>25</v>
      </c>
      <c r="Z1765" t="s">
        <v>111</v>
      </c>
      <c r="AA1765">
        <v>0</v>
      </c>
      <c r="AB1765" t="s">
        <v>111</v>
      </c>
      <c r="AC1765">
        <v>0</v>
      </c>
      <c r="AD1765" t="s">
        <v>427</v>
      </c>
      <c r="AE1765">
        <v>0</v>
      </c>
      <c r="AF1765">
        <v>0</v>
      </c>
      <c r="AG1765" t="s">
        <v>111</v>
      </c>
      <c r="AH1765" t="s">
        <v>113</v>
      </c>
      <c r="AI1765" t="s">
        <v>111</v>
      </c>
      <c r="AJ1765" t="s">
        <v>111</v>
      </c>
      <c r="AK1765" t="s">
        <v>111</v>
      </c>
      <c r="AL1765" t="s">
        <v>111</v>
      </c>
      <c r="AM1765">
        <v>0</v>
      </c>
      <c r="AN1765">
        <v>0</v>
      </c>
      <c r="AO1765">
        <v>0</v>
      </c>
      <c r="AP1765" t="s">
        <v>111</v>
      </c>
      <c r="AQ1765" t="s">
        <v>111</v>
      </c>
      <c r="AR1765" t="s">
        <v>111</v>
      </c>
      <c r="AS1765" t="s">
        <v>111</v>
      </c>
      <c r="AT1765" t="s">
        <v>111</v>
      </c>
      <c r="AU1765" t="s">
        <v>111</v>
      </c>
      <c r="AV1765" t="s">
        <v>111</v>
      </c>
      <c r="AW1765" t="s">
        <v>111</v>
      </c>
      <c r="AX1765" t="s">
        <v>111</v>
      </c>
      <c r="AY1765" t="s">
        <v>111</v>
      </c>
      <c r="AZ1765" t="s">
        <v>111</v>
      </c>
      <c r="BA1765" t="s">
        <v>111</v>
      </c>
      <c r="BB1765" t="s">
        <v>111</v>
      </c>
      <c r="BC1765" t="s">
        <v>111</v>
      </c>
      <c r="BD1765" t="s">
        <v>111</v>
      </c>
      <c r="BE1765" t="s">
        <v>111</v>
      </c>
      <c r="BF1765" t="s">
        <v>111</v>
      </c>
      <c r="BG1765" t="s">
        <v>111</v>
      </c>
      <c r="BH1765" t="s">
        <v>111</v>
      </c>
      <c r="BI1765" t="s">
        <v>111</v>
      </c>
      <c r="BJ1765" t="s">
        <v>111</v>
      </c>
      <c r="BK1765" t="s">
        <v>111</v>
      </c>
      <c r="BL1765" t="s">
        <v>111</v>
      </c>
      <c r="BM1765" t="s">
        <v>111</v>
      </c>
      <c r="BN1765" t="s">
        <v>111</v>
      </c>
      <c r="BO1765" t="s">
        <v>111</v>
      </c>
      <c r="BP1765" t="s">
        <v>111</v>
      </c>
      <c r="BQ1765" t="s">
        <v>111</v>
      </c>
      <c r="BR1765" t="s">
        <v>111</v>
      </c>
      <c r="BS1765" t="s">
        <v>111</v>
      </c>
      <c r="BT1765" t="s">
        <v>111</v>
      </c>
      <c r="BU1765" t="s">
        <v>111</v>
      </c>
      <c r="BV1765" t="s">
        <v>111</v>
      </c>
      <c r="BW1765" t="s">
        <v>111</v>
      </c>
      <c r="BX1765" t="s">
        <v>111</v>
      </c>
      <c r="BY1765" t="s">
        <v>111</v>
      </c>
      <c r="BZ1765" t="s">
        <v>111</v>
      </c>
      <c r="CA1765" t="s">
        <v>111</v>
      </c>
      <c r="CB1765" t="s">
        <v>111</v>
      </c>
      <c r="CC1765" t="s">
        <v>111</v>
      </c>
      <c r="CD1765" t="s">
        <v>111</v>
      </c>
      <c r="CE1765" t="s">
        <v>111</v>
      </c>
      <c r="CF1765" t="s">
        <v>111</v>
      </c>
      <c r="CG1765" t="s">
        <v>111</v>
      </c>
      <c r="CH1765" t="s">
        <v>111</v>
      </c>
      <c r="CI1765" t="s">
        <v>111</v>
      </c>
      <c r="CJ1765" t="s">
        <v>111</v>
      </c>
      <c r="CK1765" t="s">
        <v>111</v>
      </c>
      <c r="CL1765" t="e">
        <f>-SELLADO</f>
        <v>#NAME?</v>
      </c>
      <c r="CM1765" t="s">
        <v>360</v>
      </c>
      <c r="CN1765" t="s">
        <v>113</v>
      </c>
      <c r="CO1765" t="s">
        <v>111</v>
      </c>
      <c r="CP1765" t="e">
        <f>-MUESTRA</f>
        <v>#NAME?</v>
      </c>
      <c r="CQ1765">
        <v>76</v>
      </c>
      <c r="CR1765">
        <v>3000</v>
      </c>
      <c r="CS1765">
        <v>200</v>
      </c>
      <c r="CT1765" t="e">
        <f>-ALMACEN</f>
        <v>#NAME?</v>
      </c>
      <c r="CU1765">
        <v>0</v>
      </c>
      <c r="CV1765" t="s">
        <v>111</v>
      </c>
      <c r="CW1765" t="s">
        <v>111</v>
      </c>
      <c r="CX1765" t="s">
        <v>111</v>
      </c>
      <c r="CY1765">
        <v>0</v>
      </c>
      <c r="CZ1765" t="s">
        <v>111</v>
      </c>
      <c r="DA1765" t="s">
        <v>111</v>
      </c>
      <c r="DB1765" t="s">
        <v>111</v>
      </c>
      <c r="DC1765" t="s">
        <v>111</v>
      </c>
    </row>
    <row r="1766" spans="1:107">
      <c r="A1766">
        <v>959</v>
      </c>
      <c r="B1766" t="s">
        <v>107</v>
      </c>
      <c r="C1766" t="s">
        <v>4206</v>
      </c>
      <c r="D1766" t="s">
        <v>4883</v>
      </c>
      <c r="E1766" t="s">
        <v>4884</v>
      </c>
      <c r="F1766" t="s">
        <v>1071</v>
      </c>
      <c r="G1766" t="s">
        <v>24</v>
      </c>
      <c r="H1766">
        <v>1</v>
      </c>
      <c r="I1766">
        <v>25</v>
      </c>
      <c r="J1766">
        <v>0</v>
      </c>
      <c r="K1766">
        <v>0</v>
      </c>
      <c r="L1766" t="s">
        <v>112</v>
      </c>
      <c r="M1766" t="s">
        <v>111</v>
      </c>
      <c r="N1766">
        <v>0</v>
      </c>
      <c r="O1766">
        <v>0</v>
      </c>
      <c r="P1766" t="s">
        <v>111</v>
      </c>
      <c r="Q1766">
        <v>30.5</v>
      </c>
      <c r="R1766">
        <v>0</v>
      </c>
      <c r="S1766">
        <v>0</v>
      </c>
      <c r="T1766">
        <v>5</v>
      </c>
      <c r="U1766" t="e">
        <f>-DESTINO SELLADO</f>
        <v>#NAME?</v>
      </c>
      <c r="V1766">
        <v>0</v>
      </c>
      <c r="W1766">
        <v>0</v>
      </c>
      <c r="X1766">
        <v>0</v>
      </c>
      <c r="Y1766">
        <v>25</v>
      </c>
      <c r="Z1766" t="s">
        <v>111</v>
      </c>
      <c r="AA1766">
        <v>0</v>
      </c>
      <c r="AB1766" t="s">
        <v>4055</v>
      </c>
      <c r="AC1766">
        <v>0.3</v>
      </c>
      <c r="AD1766" t="s">
        <v>111</v>
      </c>
      <c r="AE1766">
        <v>0</v>
      </c>
      <c r="AF1766">
        <v>0</v>
      </c>
      <c r="AG1766" t="s">
        <v>111</v>
      </c>
      <c r="AH1766" t="s">
        <v>111</v>
      </c>
      <c r="AI1766" t="s">
        <v>111</v>
      </c>
      <c r="AJ1766" t="s">
        <v>111</v>
      </c>
      <c r="AK1766" t="s">
        <v>111</v>
      </c>
      <c r="AL1766" t="s">
        <v>111</v>
      </c>
      <c r="AM1766">
        <v>0</v>
      </c>
      <c r="AN1766">
        <v>0</v>
      </c>
      <c r="AO1766">
        <v>0</v>
      </c>
      <c r="AP1766" t="s">
        <v>111</v>
      </c>
      <c r="AQ1766" t="s">
        <v>111</v>
      </c>
      <c r="AR1766" t="s">
        <v>111</v>
      </c>
      <c r="AS1766" t="s">
        <v>111</v>
      </c>
      <c r="AT1766" t="s">
        <v>111</v>
      </c>
      <c r="AU1766" t="s">
        <v>111</v>
      </c>
      <c r="AV1766" t="s">
        <v>111</v>
      </c>
      <c r="AW1766" t="s">
        <v>111</v>
      </c>
      <c r="AX1766" t="s">
        <v>111</v>
      </c>
      <c r="AY1766" t="s">
        <v>111</v>
      </c>
      <c r="AZ1766" t="s">
        <v>111</v>
      </c>
      <c r="BA1766" t="s">
        <v>111</v>
      </c>
      <c r="BB1766" t="s">
        <v>111</v>
      </c>
      <c r="BC1766" t="s">
        <v>111</v>
      </c>
      <c r="BD1766" t="s">
        <v>111</v>
      </c>
      <c r="BE1766" t="s">
        <v>111</v>
      </c>
      <c r="BF1766" t="s">
        <v>111</v>
      </c>
      <c r="BG1766" t="s">
        <v>111</v>
      </c>
      <c r="BH1766" t="s">
        <v>111</v>
      </c>
      <c r="BI1766" t="s">
        <v>111</v>
      </c>
      <c r="BJ1766" t="s">
        <v>111</v>
      </c>
      <c r="BK1766" t="s">
        <v>111</v>
      </c>
      <c r="BL1766" t="s">
        <v>111</v>
      </c>
      <c r="BM1766" t="s">
        <v>111</v>
      </c>
      <c r="BN1766" t="s">
        <v>111</v>
      </c>
      <c r="BO1766" t="s">
        <v>111</v>
      </c>
      <c r="BP1766" t="s">
        <v>111</v>
      </c>
      <c r="BQ1766" t="s">
        <v>111</v>
      </c>
      <c r="BR1766" t="s">
        <v>111</v>
      </c>
      <c r="BS1766" t="s">
        <v>111</v>
      </c>
      <c r="BT1766" t="s">
        <v>111</v>
      </c>
      <c r="BU1766" t="s">
        <v>111</v>
      </c>
      <c r="BV1766" t="s">
        <v>111</v>
      </c>
      <c r="BW1766" t="s">
        <v>111</v>
      </c>
      <c r="BX1766" t="s">
        <v>111</v>
      </c>
      <c r="BY1766" t="s">
        <v>111</v>
      </c>
      <c r="BZ1766" t="s">
        <v>111</v>
      </c>
      <c r="CA1766" t="s">
        <v>111</v>
      </c>
      <c r="CB1766" t="s">
        <v>111</v>
      </c>
      <c r="CC1766" t="s">
        <v>111</v>
      </c>
      <c r="CD1766" t="s">
        <v>111</v>
      </c>
      <c r="CE1766" t="s">
        <v>111</v>
      </c>
      <c r="CF1766" t="s">
        <v>111</v>
      </c>
      <c r="CG1766" t="s">
        <v>111</v>
      </c>
      <c r="CH1766" t="s">
        <v>111</v>
      </c>
      <c r="CI1766" t="s">
        <v>111</v>
      </c>
      <c r="CJ1766" t="s">
        <v>111</v>
      </c>
      <c r="CK1766" t="s">
        <v>111</v>
      </c>
      <c r="CL1766" t="s">
        <v>111</v>
      </c>
      <c r="CM1766">
        <v>450</v>
      </c>
      <c r="CN1766" t="s">
        <v>113</v>
      </c>
      <c r="CO1766" t="s">
        <v>111</v>
      </c>
      <c r="CP1766" t="s">
        <v>111</v>
      </c>
      <c r="CQ1766">
        <v>0</v>
      </c>
      <c r="CR1766">
        <v>0</v>
      </c>
      <c r="CS1766">
        <v>0</v>
      </c>
      <c r="CT1766" s="1" t="s">
        <v>4885</v>
      </c>
      <c r="CU1766">
        <v>0</v>
      </c>
      <c r="CV1766" t="s">
        <v>111</v>
      </c>
      <c r="CW1766" t="s">
        <v>111</v>
      </c>
      <c r="CX1766" t="s">
        <v>111</v>
      </c>
      <c r="CY1766">
        <v>0</v>
      </c>
      <c r="CZ1766" t="s">
        <v>111</v>
      </c>
      <c r="DA1766" t="s">
        <v>111</v>
      </c>
      <c r="DB1766" t="s">
        <v>111</v>
      </c>
      <c r="DC1766" t="s">
        <v>111</v>
      </c>
    </row>
    <row r="1767" spans="1:107">
      <c r="A1767">
        <v>878</v>
      </c>
      <c r="B1767" t="s">
        <v>107</v>
      </c>
      <c r="C1767" t="s">
        <v>4293</v>
      </c>
      <c r="D1767" t="s">
        <v>4855</v>
      </c>
      <c r="E1767" t="s">
        <v>4886</v>
      </c>
      <c r="F1767" t="s">
        <v>1651</v>
      </c>
      <c r="G1767" t="s">
        <v>24</v>
      </c>
      <c r="H1767">
        <v>1.5</v>
      </c>
      <c r="I1767">
        <v>50</v>
      </c>
      <c r="J1767">
        <v>0</v>
      </c>
      <c r="K1767">
        <v>0</v>
      </c>
      <c r="L1767" t="s">
        <v>112</v>
      </c>
      <c r="M1767" t="s">
        <v>118</v>
      </c>
      <c r="N1767">
        <v>39</v>
      </c>
      <c r="O1767">
        <v>2</v>
      </c>
      <c r="P1767" t="s">
        <v>138</v>
      </c>
      <c r="Q1767">
        <v>40</v>
      </c>
      <c r="R1767">
        <v>0</v>
      </c>
      <c r="S1767">
        <v>0</v>
      </c>
      <c r="T1767">
        <v>5</v>
      </c>
      <c r="U1767" s="1" t="s">
        <v>4887</v>
      </c>
      <c r="V1767">
        <v>0</v>
      </c>
      <c r="W1767">
        <v>0</v>
      </c>
      <c r="X1767">
        <v>0</v>
      </c>
      <c r="Y1767">
        <v>25</v>
      </c>
      <c r="Z1767" t="s">
        <v>111</v>
      </c>
      <c r="AA1767">
        <v>0</v>
      </c>
      <c r="AB1767" t="s">
        <v>111</v>
      </c>
      <c r="AC1767">
        <v>0</v>
      </c>
      <c r="AD1767" t="s">
        <v>416</v>
      </c>
      <c r="AE1767">
        <v>5</v>
      </c>
      <c r="AF1767">
        <v>2</v>
      </c>
      <c r="AG1767" t="s">
        <v>4858</v>
      </c>
      <c r="AH1767" t="s">
        <v>113</v>
      </c>
      <c r="AI1767" t="s">
        <v>1680</v>
      </c>
      <c r="AJ1767" t="s">
        <v>111</v>
      </c>
      <c r="AK1767" t="s">
        <v>111</v>
      </c>
      <c r="AL1767" t="s">
        <v>111</v>
      </c>
      <c r="AM1767">
        <v>0</v>
      </c>
      <c r="AN1767">
        <v>0</v>
      </c>
      <c r="AO1767">
        <v>0</v>
      </c>
      <c r="AP1767" t="s">
        <v>679</v>
      </c>
      <c r="AQ1767" t="s">
        <v>111</v>
      </c>
      <c r="AR1767" t="s">
        <v>111</v>
      </c>
      <c r="AS1767" t="s">
        <v>111</v>
      </c>
      <c r="AT1767" t="s">
        <v>184</v>
      </c>
      <c r="AU1767" t="s">
        <v>111</v>
      </c>
      <c r="AV1767" t="s">
        <v>111</v>
      </c>
      <c r="AW1767" t="s">
        <v>111</v>
      </c>
      <c r="AX1767" t="s">
        <v>271</v>
      </c>
      <c r="AY1767" t="s">
        <v>111</v>
      </c>
      <c r="AZ1767" t="s">
        <v>111</v>
      </c>
      <c r="BA1767" t="s">
        <v>111</v>
      </c>
      <c r="BB1767" t="s">
        <v>2363</v>
      </c>
      <c r="BC1767" t="s">
        <v>111</v>
      </c>
      <c r="BD1767" t="s">
        <v>111</v>
      </c>
      <c r="BE1767" t="s">
        <v>111</v>
      </c>
      <c r="BF1767" t="s">
        <v>259</v>
      </c>
      <c r="BG1767" t="s">
        <v>111</v>
      </c>
      <c r="BH1767" t="s">
        <v>111</v>
      </c>
      <c r="BI1767" t="s">
        <v>111</v>
      </c>
      <c r="BJ1767" t="s">
        <v>111</v>
      </c>
      <c r="BK1767" t="s">
        <v>111</v>
      </c>
      <c r="BL1767" t="s">
        <v>111</v>
      </c>
      <c r="BM1767" t="s">
        <v>111</v>
      </c>
      <c r="BN1767" t="s">
        <v>111</v>
      </c>
      <c r="BO1767" t="s">
        <v>111</v>
      </c>
      <c r="BP1767" t="s">
        <v>111</v>
      </c>
      <c r="BQ1767" t="s">
        <v>111</v>
      </c>
      <c r="BR1767" t="s">
        <v>111</v>
      </c>
      <c r="BS1767" t="s">
        <v>111</v>
      </c>
      <c r="BT1767" t="s">
        <v>111</v>
      </c>
      <c r="BU1767" t="s">
        <v>111</v>
      </c>
      <c r="BV1767" t="s">
        <v>111</v>
      </c>
      <c r="BW1767" t="s">
        <v>111</v>
      </c>
      <c r="BX1767" t="s">
        <v>111</v>
      </c>
      <c r="BY1767" t="s">
        <v>111</v>
      </c>
      <c r="BZ1767" t="s">
        <v>111</v>
      </c>
      <c r="CA1767" t="s">
        <v>111</v>
      </c>
      <c r="CB1767" t="s">
        <v>111</v>
      </c>
      <c r="CC1767" t="s">
        <v>111</v>
      </c>
      <c r="CD1767" t="s">
        <v>111</v>
      </c>
      <c r="CE1767" t="s">
        <v>111</v>
      </c>
      <c r="CF1767" t="s">
        <v>111</v>
      </c>
      <c r="CG1767" t="s">
        <v>111</v>
      </c>
      <c r="CH1767" t="s">
        <v>111</v>
      </c>
      <c r="CI1767" t="s">
        <v>111</v>
      </c>
      <c r="CJ1767" t="s">
        <v>111</v>
      </c>
      <c r="CK1767" t="s">
        <v>111</v>
      </c>
      <c r="CL1767" t="e">
        <f>-DESTINO SELLADO</f>
        <v>#NAME?</v>
      </c>
      <c r="CM1767" t="s">
        <v>198</v>
      </c>
      <c r="CN1767" t="s">
        <v>113</v>
      </c>
      <c r="CO1767" t="s">
        <v>111</v>
      </c>
      <c r="CP1767" t="e">
        <f>-MUESTRA</f>
        <v>#NAME?</v>
      </c>
      <c r="CQ1767">
        <v>0</v>
      </c>
      <c r="CR1767">
        <v>4000</v>
      </c>
      <c r="CS1767">
        <v>200</v>
      </c>
      <c r="CT1767" s="1" t="s">
        <v>4888</v>
      </c>
      <c r="CU1767">
        <v>0</v>
      </c>
      <c r="CV1767" t="s">
        <v>111</v>
      </c>
      <c r="CW1767" t="s">
        <v>111</v>
      </c>
      <c r="CX1767" t="s">
        <v>111</v>
      </c>
      <c r="CY1767">
        <v>0</v>
      </c>
      <c r="CZ1767" t="s">
        <v>111</v>
      </c>
      <c r="DA1767" t="s">
        <v>111</v>
      </c>
      <c r="DB1767" t="s">
        <v>111</v>
      </c>
      <c r="DC1767" t="s">
        <v>111</v>
      </c>
    </row>
    <row r="1768" spans="1:107">
      <c r="A1768">
        <v>831</v>
      </c>
      <c r="B1768" t="s">
        <v>107</v>
      </c>
      <c r="C1768" t="s">
        <v>3783</v>
      </c>
      <c r="D1768" t="s">
        <v>3960</v>
      </c>
      <c r="E1768" t="s">
        <v>4889</v>
      </c>
      <c r="F1768" t="s">
        <v>1260</v>
      </c>
      <c r="G1768" t="s">
        <v>24</v>
      </c>
      <c r="H1768">
        <v>1.9</v>
      </c>
      <c r="I1768">
        <v>40</v>
      </c>
      <c r="J1768">
        <v>0</v>
      </c>
      <c r="K1768">
        <v>0</v>
      </c>
      <c r="L1768" t="s">
        <v>117</v>
      </c>
      <c r="M1768" t="s">
        <v>118</v>
      </c>
      <c r="N1768">
        <v>40</v>
      </c>
      <c r="O1768">
        <v>1</v>
      </c>
      <c r="P1768" t="s">
        <v>138</v>
      </c>
      <c r="Q1768">
        <v>27.5</v>
      </c>
      <c r="R1768">
        <v>0</v>
      </c>
      <c r="S1768">
        <v>0</v>
      </c>
      <c r="T1768">
        <v>0</v>
      </c>
      <c r="U1768" s="1" t="s">
        <v>4890</v>
      </c>
      <c r="V1768">
        <v>0</v>
      </c>
      <c r="W1768">
        <v>0</v>
      </c>
      <c r="X1768">
        <v>0</v>
      </c>
      <c r="Y1768">
        <v>25</v>
      </c>
      <c r="Z1768" t="s">
        <v>111</v>
      </c>
      <c r="AA1768">
        <v>0</v>
      </c>
      <c r="AB1768" t="s">
        <v>111</v>
      </c>
      <c r="AC1768">
        <v>0</v>
      </c>
      <c r="AD1768" t="s">
        <v>416</v>
      </c>
      <c r="AE1768">
        <v>4</v>
      </c>
      <c r="AF1768">
        <v>1</v>
      </c>
      <c r="AG1768" t="s">
        <v>4117</v>
      </c>
      <c r="AH1768" t="s">
        <v>113</v>
      </c>
      <c r="AI1768">
        <v>30</v>
      </c>
      <c r="AJ1768" t="s">
        <v>111</v>
      </c>
      <c r="AK1768" t="s">
        <v>111</v>
      </c>
      <c r="AL1768" t="s">
        <v>111</v>
      </c>
      <c r="AM1768">
        <v>0</v>
      </c>
      <c r="AN1768">
        <v>0</v>
      </c>
      <c r="AO1768">
        <v>0</v>
      </c>
      <c r="AP1768" t="s">
        <v>288</v>
      </c>
      <c r="AQ1768" t="s">
        <v>111</v>
      </c>
      <c r="AR1768" t="s">
        <v>111</v>
      </c>
      <c r="AS1768" t="s">
        <v>111</v>
      </c>
      <c r="AT1768" t="s">
        <v>188</v>
      </c>
      <c r="AU1768" t="s">
        <v>111</v>
      </c>
      <c r="AV1768" t="s">
        <v>111</v>
      </c>
      <c r="AW1768" t="s">
        <v>111</v>
      </c>
      <c r="AX1768" t="s">
        <v>1493</v>
      </c>
      <c r="AY1768" t="s">
        <v>111</v>
      </c>
      <c r="AZ1768" t="s">
        <v>111</v>
      </c>
      <c r="BA1768" t="s">
        <v>111</v>
      </c>
      <c r="BB1768" t="s">
        <v>259</v>
      </c>
      <c r="BC1768" t="s">
        <v>111</v>
      </c>
      <c r="BD1768" t="s">
        <v>111</v>
      </c>
      <c r="BE1768" t="s">
        <v>111</v>
      </c>
      <c r="BF1768" t="s">
        <v>111</v>
      </c>
      <c r="BG1768" t="s">
        <v>111</v>
      </c>
      <c r="BH1768" t="s">
        <v>111</v>
      </c>
      <c r="BI1768" t="s">
        <v>111</v>
      </c>
      <c r="BJ1768" t="s">
        <v>111</v>
      </c>
      <c r="BK1768" t="s">
        <v>111</v>
      </c>
      <c r="BL1768" t="s">
        <v>111</v>
      </c>
      <c r="BM1768" t="s">
        <v>111</v>
      </c>
      <c r="BN1768" t="s">
        <v>111</v>
      </c>
      <c r="BO1768" t="s">
        <v>111</v>
      </c>
      <c r="BP1768" t="s">
        <v>111</v>
      </c>
      <c r="BQ1768" t="s">
        <v>111</v>
      </c>
      <c r="BR1768" t="s">
        <v>111</v>
      </c>
      <c r="BS1768" t="s">
        <v>111</v>
      </c>
      <c r="BT1768" t="s">
        <v>111</v>
      </c>
      <c r="BU1768" t="s">
        <v>111</v>
      </c>
      <c r="BV1768" t="s">
        <v>111</v>
      </c>
      <c r="BW1768" t="s">
        <v>111</v>
      </c>
      <c r="BX1768" t="s">
        <v>111</v>
      </c>
      <c r="BY1768" t="s">
        <v>111</v>
      </c>
      <c r="BZ1768" t="s">
        <v>111</v>
      </c>
      <c r="CA1768" t="s">
        <v>111</v>
      </c>
      <c r="CB1768" t="s">
        <v>111</v>
      </c>
      <c r="CC1768" t="s">
        <v>111</v>
      </c>
      <c r="CD1768" t="s">
        <v>111</v>
      </c>
      <c r="CE1768" t="s">
        <v>111</v>
      </c>
      <c r="CF1768" t="s">
        <v>111</v>
      </c>
      <c r="CG1768" t="s">
        <v>111</v>
      </c>
      <c r="CH1768" t="s">
        <v>111</v>
      </c>
      <c r="CI1768" t="s">
        <v>111</v>
      </c>
      <c r="CJ1768" t="s">
        <v>111</v>
      </c>
      <c r="CK1768" t="s">
        <v>111</v>
      </c>
      <c r="CL1768" t="e">
        <f>-DESTINO SELLADO</f>
        <v>#NAME?</v>
      </c>
      <c r="CM1768" t="s">
        <v>198</v>
      </c>
      <c r="CN1768" t="s">
        <v>113</v>
      </c>
      <c r="CO1768" t="s">
        <v>111</v>
      </c>
      <c r="CP1768" t="s">
        <v>433</v>
      </c>
      <c r="CQ1768">
        <v>0</v>
      </c>
      <c r="CR1768">
        <v>26000</v>
      </c>
      <c r="CS1768">
        <v>26000</v>
      </c>
      <c r="CT1768" t="s">
        <v>168</v>
      </c>
      <c r="CU1768">
        <v>0</v>
      </c>
      <c r="CV1768" t="s">
        <v>111</v>
      </c>
      <c r="CW1768" t="s">
        <v>111</v>
      </c>
      <c r="CX1768" t="s">
        <v>111</v>
      </c>
      <c r="CY1768">
        <v>0</v>
      </c>
      <c r="CZ1768" t="s">
        <v>111</v>
      </c>
      <c r="DA1768" t="s">
        <v>111</v>
      </c>
      <c r="DB1768" t="s">
        <v>111</v>
      </c>
      <c r="DC1768" t="s">
        <v>111</v>
      </c>
    </row>
    <row r="1769" spans="1:107">
      <c r="A1769">
        <v>710</v>
      </c>
      <c r="B1769" t="s">
        <v>107</v>
      </c>
      <c r="C1769" t="s">
        <v>1643</v>
      </c>
      <c r="D1769" t="s">
        <v>4052</v>
      </c>
      <c r="E1769" t="s">
        <v>4780</v>
      </c>
      <c r="F1769" t="s">
        <v>2211</v>
      </c>
      <c r="G1769" t="s">
        <v>24</v>
      </c>
      <c r="H1769">
        <v>1</v>
      </c>
      <c r="I1769">
        <v>28</v>
      </c>
      <c r="J1769">
        <v>0</v>
      </c>
      <c r="K1769">
        <v>0</v>
      </c>
      <c r="L1769" t="s">
        <v>2494</v>
      </c>
      <c r="M1769" t="s">
        <v>138</v>
      </c>
      <c r="N1769">
        <v>0</v>
      </c>
      <c r="O1769">
        <v>0</v>
      </c>
      <c r="P1769" t="s">
        <v>138</v>
      </c>
      <c r="Q1769">
        <v>30</v>
      </c>
      <c r="R1769">
        <v>0</v>
      </c>
      <c r="S1769">
        <v>0</v>
      </c>
      <c r="T1769">
        <v>0</v>
      </c>
      <c r="U1769" s="1" t="s">
        <v>4891</v>
      </c>
      <c r="V1769">
        <v>0</v>
      </c>
      <c r="W1769">
        <v>0</v>
      </c>
      <c r="X1769">
        <v>0</v>
      </c>
      <c r="Y1769">
        <v>25</v>
      </c>
      <c r="Z1769" t="s">
        <v>111</v>
      </c>
      <c r="AA1769">
        <v>0</v>
      </c>
      <c r="AB1769" t="s">
        <v>111</v>
      </c>
      <c r="AC1769">
        <v>0</v>
      </c>
      <c r="AD1769" t="s">
        <v>111</v>
      </c>
      <c r="AE1769">
        <v>0</v>
      </c>
      <c r="AF1769">
        <v>0</v>
      </c>
      <c r="AG1769" t="s">
        <v>111</v>
      </c>
      <c r="AH1769" t="s">
        <v>111</v>
      </c>
      <c r="AI1769" t="s">
        <v>111</v>
      </c>
      <c r="AJ1769" t="s">
        <v>111</v>
      </c>
      <c r="AK1769" t="s">
        <v>111</v>
      </c>
      <c r="AL1769" t="s">
        <v>111</v>
      </c>
      <c r="AM1769">
        <v>0</v>
      </c>
      <c r="AN1769">
        <v>0</v>
      </c>
      <c r="AO1769">
        <v>0</v>
      </c>
      <c r="AP1769" t="s">
        <v>111</v>
      </c>
      <c r="AQ1769" t="s">
        <v>111</v>
      </c>
      <c r="AR1769" t="s">
        <v>111</v>
      </c>
      <c r="AS1769" t="s">
        <v>111</v>
      </c>
      <c r="AT1769" t="s">
        <v>111</v>
      </c>
      <c r="AU1769" t="s">
        <v>111</v>
      </c>
      <c r="AV1769" t="s">
        <v>111</v>
      </c>
      <c r="AW1769" t="s">
        <v>111</v>
      </c>
      <c r="AX1769" t="s">
        <v>111</v>
      </c>
      <c r="AY1769" t="s">
        <v>111</v>
      </c>
      <c r="AZ1769" t="s">
        <v>111</v>
      </c>
      <c r="BA1769" t="s">
        <v>111</v>
      </c>
      <c r="BB1769" t="s">
        <v>111</v>
      </c>
      <c r="BC1769" t="s">
        <v>111</v>
      </c>
      <c r="BD1769" t="s">
        <v>111</v>
      </c>
      <c r="BE1769" t="s">
        <v>111</v>
      </c>
      <c r="BF1769" t="s">
        <v>111</v>
      </c>
      <c r="BG1769" t="s">
        <v>111</v>
      </c>
      <c r="BH1769" t="s">
        <v>111</v>
      </c>
      <c r="BI1769" t="s">
        <v>111</v>
      </c>
      <c r="BJ1769" t="s">
        <v>111</v>
      </c>
      <c r="BK1769" t="s">
        <v>111</v>
      </c>
      <c r="BL1769" t="s">
        <v>111</v>
      </c>
      <c r="BM1769" t="s">
        <v>111</v>
      </c>
      <c r="BN1769" t="s">
        <v>111</v>
      </c>
      <c r="BO1769" t="s">
        <v>111</v>
      </c>
      <c r="BP1769" t="s">
        <v>111</v>
      </c>
      <c r="BQ1769" t="s">
        <v>111</v>
      </c>
      <c r="BR1769" t="s">
        <v>111</v>
      </c>
      <c r="BS1769" t="s">
        <v>111</v>
      </c>
      <c r="BT1769" t="s">
        <v>111</v>
      </c>
      <c r="BU1769" t="s">
        <v>111</v>
      </c>
      <c r="BV1769" t="s">
        <v>111</v>
      </c>
      <c r="BW1769" t="s">
        <v>111</v>
      </c>
      <c r="BX1769" t="s">
        <v>111</v>
      </c>
      <c r="BY1769" t="s">
        <v>111</v>
      </c>
      <c r="BZ1769" t="s">
        <v>111</v>
      </c>
      <c r="CA1769" t="s">
        <v>111</v>
      </c>
      <c r="CB1769" t="s">
        <v>111</v>
      </c>
      <c r="CC1769" t="s">
        <v>111</v>
      </c>
      <c r="CD1769" t="s">
        <v>111</v>
      </c>
      <c r="CE1769" t="s">
        <v>111</v>
      </c>
      <c r="CF1769" t="s">
        <v>111</v>
      </c>
      <c r="CG1769" t="s">
        <v>111</v>
      </c>
      <c r="CH1769" t="s">
        <v>111</v>
      </c>
      <c r="CI1769" t="s">
        <v>111</v>
      </c>
      <c r="CJ1769" t="s">
        <v>111</v>
      </c>
      <c r="CK1769" t="s">
        <v>111</v>
      </c>
      <c r="CL1769" t="s">
        <v>111</v>
      </c>
      <c r="CM1769" t="s">
        <v>111</v>
      </c>
      <c r="CN1769" t="s">
        <v>111</v>
      </c>
      <c r="CO1769" t="s">
        <v>111</v>
      </c>
      <c r="CP1769" t="s">
        <v>111</v>
      </c>
      <c r="CQ1769">
        <v>0</v>
      </c>
      <c r="CR1769">
        <v>0</v>
      </c>
      <c r="CS1769">
        <v>0</v>
      </c>
      <c r="CT1769" t="s">
        <v>111</v>
      </c>
      <c r="CU1769">
        <v>0</v>
      </c>
      <c r="CV1769" t="s">
        <v>111</v>
      </c>
      <c r="CW1769" t="s">
        <v>111</v>
      </c>
      <c r="CX1769" t="s">
        <v>111</v>
      </c>
      <c r="CY1769">
        <v>0</v>
      </c>
      <c r="CZ1769" t="s">
        <v>111</v>
      </c>
      <c r="DA1769" t="s">
        <v>111</v>
      </c>
      <c r="DB1769" t="s">
        <v>111</v>
      </c>
      <c r="DC1769" t="s">
        <v>111</v>
      </c>
    </row>
    <row r="1770" spans="1:107">
      <c r="A1770">
        <v>834</v>
      </c>
      <c r="B1770" t="s">
        <v>107</v>
      </c>
      <c r="C1770" t="s">
        <v>4892</v>
      </c>
      <c r="D1770" t="s">
        <v>3812</v>
      </c>
      <c r="E1770" t="s">
        <v>3813</v>
      </c>
      <c r="F1770" t="s">
        <v>110</v>
      </c>
      <c r="G1770" t="s">
        <v>24</v>
      </c>
      <c r="H1770">
        <v>1.6</v>
      </c>
      <c r="I1770">
        <v>35</v>
      </c>
      <c r="J1770">
        <v>0</v>
      </c>
      <c r="K1770">
        <v>0</v>
      </c>
      <c r="L1770" t="s">
        <v>112</v>
      </c>
      <c r="M1770" t="s">
        <v>118</v>
      </c>
      <c r="N1770">
        <v>40</v>
      </c>
      <c r="O1770">
        <v>1</v>
      </c>
      <c r="P1770" t="s">
        <v>138</v>
      </c>
      <c r="Q1770">
        <v>40</v>
      </c>
      <c r="R1770">
        <v>0</v>
      </c>
      <c r="S1770">
        <v>0</v>
      </c>
      <c r="T1770">
        <v>0</v>
      </c>
      <c r="U1770" s="1" t="s">
        <v>4893</v>
      </c>
      <c r="V1770">
        <v>0</v>
      </c>
      <c r="W1770">
        <v>0</v>
      </c>
      <c r="X1770">
        <v>0</v>
      </c>
      <c r="Y1770">
        <v>25</v>
      </c>
      <c r="Z1770" t="s">
        <v>111</v>
      </c>
      <c r="AA1770">
        <v>0</v>
      </c>
      <c r="AB1770" t="s">
        <v>111</v>
      </c>
      <c r="AC1770">
        <v>0</v>
      </c>
      <c r="AD1770" t="s">
        <v>111</v>
      </c>
      <c r="AE1770">
        <v>0</v>
      </c>
      <c r="AF1770">
        <v>0</v>
      </c>
      <c r="AG1770" t="s">
        <v>111</v>
      </c>
      <c r="AH1770" t="s">
        <v>111</v>
      </c>
      <c r="AI1770" t="s">
        <v>111</v>
      </c>
      <c r="AJ1770" t="s">
        <v>111</v>
      </c>
      <c r="AK1770" t="s">
        <v>111</v>
      </c>
      <c r="AL1770" t="s">
        <v>111</v>
      </c>
      <c r="AM1770">
        <v>0</v>
      </c>
      <c r="AN1770">
        <v>0</v>
      </c>
      <c r="AO1770">
        <v>0</v>
      </c>
      <c r="AP1770" t="s">
        <v>111</v>
      </c>
      <c r="AQ1770" t="s">
        <v>111</v>
      </c>
      <c r="AR1770" t="s">
        <v>111</v>
      </c>
      <c r="AS1770" t="s">
        <v>111</v>
      </c>
      <c r="AT1770" t="s">
        <v>111</v>
      </c>
      <c r="AU1770" t="s">
        <v>111</v>
      </c>
      <c r="AV1770" t="s">
        <v>111</v>
      </c>
      <c r="AW1770" t="s">
        <v>111</v>
      </c>
      <c r="AX1770" t="s">
        <v>111</v>
      </c>
      <c r="AY1770" t="s">
        <v>111</v>
      </c>
      <c r="AZ1770" t="s">
        <v>111</v>
      </c>
      <c r="BA1770" t="s">
        <v>111</v>
      </c>
      <c r="BB1770" t="s">
        <v>111</v>
      </c>
      <c r="BC1770" t="s">
        <v>111</v>
      </c>
      <c r="BD1770" t="s">
        <v>111</v>
      </c>
      <c r="BE1770" t="s">
        <v>111</v>
      </c>
      <c r="BF1770" t="s">
        <v>111</v>
      </c>
      <c r="BG1770" t="s">
        <v>111</v>
      </c>
      <c r="BH1770" t="s">
        <v>111</v>
      </c>
      <c r="BI1770" t="s">
        <v>111</v>
      </c>
      <c r="BJ1770" t="s">
        <v>111</v>
      </c>
      <c r="BK1770" t="s">
        <v>111</v>
      </c>
      <c r="BL1770" t="s">
        <v>111</v>
      </c>
      <c r="BM1770" t="s">
        <v>111</v>
      </c>
      <c r="BN1770" t="s">
        <v>111</v>
      </c>
      <c r="BO1770" t="s">
        <v>111</v>
      </c>
      <c r="BP1770" t="s">
        <v>111</v>
      </c>
      <c r="BQ1770" t="s">
        <v>111</v>
      </c>
      <c r="BR1770" t="s">
        <v>111</v>
      </c>
      <c r="BS1770" t="s">
        <v>111</v>
      </c>
      <c r="BT1770" t="s">
        <v>111</v>
      </c>
      <c r="BU1770" t="s">
        <v>111</v>
      </c>
      <c r="BV1770" t="s">
        <v>111</v>
      </c>
      <c r="BW1770" t="s">
        <v>111</v>
      </c>
      <c r="BX1770" t="s">
        <v>111</v>
      </c>
      <c r="BY1770" t="s">
        <v>111</v>
      </c>
      <c r="BZ1770" t="s">
        <v>111</v>
      </c>
      <c r="CA1770" t="s">
        <v>111</v>
      </c>
      <c r="CB1770" t="s">
        <v>111</v>
      </c>
      <c r="CC1770" t="s">
        <v>111</v>
      </c>
      <c r="CD1770" t="s">
        <v>111</v>
      </c>
      <c r="CE1770" t="s">
        <v>111</v>
      </c>
      <c r="CF1770" t="s">
        <v>111</v>
      </c>
      <c r="CG1770" t="s">
        <v>111</v>
      </c>
      <c r="CH1770" t="s">
        <v>111</v>
      </c>
      <c r="CI1770" t="s">
        <v>111</v>
      </c>
      <c r="CJ1770" t="s">
        <v>111</v>
      </c>
      <c r="CK1770" t="s">
        <v>111</v>
      </c>
      <c r="CL1770" t="s">
        <v>111</v>
      </c>
      <c r="CM1770" t="s">
        <v>111</v>
      </c>
      <c r="CN1770" t="s">
        <v>111</v>
      </c>
      <c r="CO1770" t="s">
        <v>111</v>
      </c>
      <c r="CP1770" t="s">
        <v>111</v>
      </c>
      <c r="CQ1770">
        <v>0</v>
      </c>
      <c r="CR1770">
        <v>0</v>
      </c>
      <c r="CS1770">
        <v>0</v>
      </c>
      <c r="CT1770" t="s">
        <v>111</v>
      </c>
      <c r="CU1770">
        <v>0</v>
      </c>
      <c r="CV1770" t="s">
        <v>111</v>
      </c>
      <c r="CW1770" t="s">
        <v>111</v>
      </c>
      <c r="CX1770" t="s">
        <v>111</v>
      </c>
      <c r="CY1770">
        <v>0</v>
      </c>
      <c r="CZ1770" t="s">
        <v>111</v>
      </c>
      <c r="DA1770" t="s">
        <v>111</v>
      </c>
      <c r="DB1770" t="s">
        <v>111</v>
      </c>
      <c r="DC1770" t="s">
        <v>111</v>
      </c>
    </row>
    <row r="1771" spans="1:107">
      <c r="A1771">
        <v>835</v>
      </c>
      <c r="B1771" t="s">
        <v>107</v>
      </c>
      <c r="C1771" t="s">
        <v>4892</v>
      </c>
      <c r="D1771" t="s">
        <v>4674</v>
      </c>
      <c r="E1771" t="s">
        <v>4894</v>
      </c>
      <c r="F1771" t="s">
        <v>110</v>
      </c>
      <c r="G1771" t="s">
        <v>24</v>
      </c>
      <c r="H1771">
        <v>2</v>
      </c>
      <c r="I1771">
        <v>35</v>
      </c>
      <c r="J1771">
        <v>0</v>
      </c>
      <c r="K1771">
        <v>0</v>
      </c>
      <c r="L1771" t="s">
        <v>112</v>
      </c>
      <c r="M1771" t="s">
        <v>118</v>
      </c>
      <c r="N1771">
        <v>40</v>
      </c>
      <c r="O1771">
        <v>1</v>
      </c>
      <c r="P1771" t="s">
        <v>138</v>
      </c>
      <c r="Q1771">
        <v>40</v>
      </c>
      <c r="R1771">
        <v>0</v>
      </c>
      <c r="S1771">
        <v>0</v>
      </c>
      <c r="T1771">
        <v>0</v>
      </c>
      <c r="U1771" s="1" t="s">
        <v>4895</v>
      </c>
      <c r="V1771">
        <v>0</v>
      </c>
      <c r="W1771">
        <v>0</v>
      </c>
      <c r="X1771">
        <v>0</v>
      </c>
      <c r="Y1771">
        <v>25</v>
      </c>
      <c r="Z1771" t="s">
        <v>111</v>
      </c>
      <c r="AA1771">
        <v>0</v>
      </c>
      <c r="AB1771" t="s">
        <v>111</v>
      </c>
      <c r="AC1771">
        <v>0</v>
      </c>
      <c r="AD1771" t="s">
        <v>111</v>
      </c>
      <c r="AE1771">
        <v>0</v>
      </c>
      <c r="AF1771">
        <v>0</v>
      </c>
      <c r="AG1771" t="s">
        <v>111</v>
      </c>
      <c r="AH1771" t="s">
        <v>111</v>
      </c>
      <c r="AI1771" t="s">
        <v>111</v>
      </c>
      <c r="AJ1771" t="s">
        <v>111</v>
      </c>
      <c r="AK1771" t="s">
        <v>111</v>
      </c>
      <c r="AL1771" t="s">
        <v>111</v>
      </c>
      <c r="AM1771">
        <v>0</v>
      </c>
      <c r="AN1771">
        <v>0</v>
      </c>
      <c r="AO1771">
        <v>0</v>
      </c>
      <c r="AP1771" t="s">
        <v>111</v>
      </c>
      <c r="AQ1771" t="s">
        <v>111</v>
      </c>
      <c r="AR1771" t="s">
        <v>111</v>
      </c>
      <c r="AS1771" t="s">
        <v>111</v>
      </c>
      <c r="AT1771" t="s">
        <v>111</v>
      </c>
      <c r="AU1771" t="s">
        <v>111</v>
      </c>
      <c r="AV1771" t="s">
        <v>111</v>
      </c>
      <c r="AW1771" t="s">
        <v>111</v>
      </c>
      <c r="AX1771" t="s">
        <v>111</v>
      </c>
      <c r="AY1771" t="s">
        <v>111</v>
      </c>
      <c r="AZ1771" t="s">
        <v>111</v>
      </c>
      <c r="BA1771" t="s">
        <v>111</v>
      </c>
      <c r="BB1771" t="s">
        <v>111</v>
      </c>
      <c r="BC1771" t="s">
        <v>111</v>
      </c>
      <c r="BD1771" t="s">
        <v>111</v>
      </c>
      <c r="BE1771" t="s">
        <v>111</v>
      </c>
      <c r="BF1771" t="s">
        <v>111</v>
      </c>
      <c r="BG1771" t="s">
        <v>111</v>
      </c>
      <c r="BH1771" t="s">
        <v>111</v>
      </c>
      <c r="BI1771" t="s">
        <v>111</v>
      </c>
      <c r="BJ1771" t="s">
        <v>111</v>
      </c>
      <c r="BK1771" t="s">
        <v>111</v>
      </c>
      <c r="BL1771" t="s">
        <v>111</v>
      </c>
      <c r="BM1771" t="s">
        <v>111</v>
      </c>
      <c r="BN1771" t="s">
        <v>111</v>
      </c>
      <c r="BO1771" t="s">
        <v>111</v>
      </c>
      <c r="BP1771" t="s">
        <v>111</v>
      </c>
      <c r="BQ1771" t="s">
        <v>111</v>
      </c>
      <c r="BR1771" t="s">
        <v>111</v>
      </c>
      <c r="BS1771" t="s">
        <v>111</v>
      </c>
      <c r="BT1771" t="s">
        <v>111</v>
      </c>
      <c r="BU1771" t="s">
        <v>111</v>
      </c>
      <c r="BV1771" t="s">
        <v>111</v>
      </c>
      <c r="BW1771" t="s">
        <v>111</v>
      </c>
      <c r="BX1771" t="s">
        <v>111</v>
      </c>
      <c r="BY1771" t="s">
        <v>111</v>
      </c>
      <c r="BZ1771" t="s">
        <v>111</v>
      </c>
      <c r="CA1771" t="s">
        <v>111</v>
      </c>
      <c r="CB1771" t="s">
        <v>111</v>
      </c>
      <c r="CC1771" t="s">
        <v>111</v>
      </c>
      <c r="CD1771" t="s">
        <v>111</v>
      </c>
      <c r="CE1771" t="s">
        <v>111</v>
      </c>
      <c r="CF1771" t="s">
        <v>111</v>
      </c>
      <c r="CG1771" t="s">
        <v>111</v>
      </c>
      <c r="CH1771" t="s">
        <v>111</v>
      </c>
      <c r="CI1771" t="s">
        <v>111</v>
      </c>
      <c r="CJ1771" t="s">
        <v>111</v>
      </c>
      <c r="CK1771" t="s">
        <v>111</v>
      </c>
      <c r="CL1771" t="s">
        <v>111</v>
      </c>
      <c r="CM1771" t="s">
        <v>111</v>
      </c>
      <c r="CN1771" t="s">
        <v>111</v>
      </c>
      <c r="CO1771" t="s">
        <v>111</v>
      </c>
      <c r="CP1771" t="s">
        <v>111</v>
      </c>
      <c r="CQ1771">
        <v>0</v>
      </c>
      <c r="CR1771">
        <v>0</v>
      </c>
      <c r="CS1771">
        <v>0</v>
      </c>
      <c r="CT1771" t="s">
        <v>111</v>
      </c>
      <c r="CU1771">
        <v>0</v>
      </c>
      <c r="CV1771" t="s">
        <v>111</v>
      </c>
      <c r="CW1771" t="s">
        <v>111</v>
      </c>
      <c r="CX1771" t="s">
        <v>111</v>
      </c>
      <c r="CY1771">
        <v>0</v>
      </c>
      <c r="CZ1771" t="s">
        <v>111</v>
      </c>
      <c r="DA1771" t="s">
        <v>111</v>
      </c>
      <c r="DB1771" t="s">
        <v>111</v>
      </c>
      <c r="DC1771" t="s">
        <v>111</v>
      </c>
    </row>
    <row r="1772" spans="1:107">
      <c r="A1772">
        <v>810</v>
      </c>
      <c r="B1772" t="s">
        <v>107</v>
      </c>
      <c r="C1772" t="s">
        <v>1068</v>
      </c>
      <c r="D1772" t="s">
        <v>4896</v>
      </c>
      <c r="E1772" t="s">
        <v>4897</v>
      </c>
      <c r="F1772" t="s">
        <v>1651</v>
      </c>
      <c r="G1772" t="s">
        <v>24</v>
      </c>
      <c r="H1772">
        <v>2.8</v>
      </c>
      <c r="I1772">
        <v>38</v>
      </c>
      <c r="J1772">
        <v>0</v>
      </c>
      <c r="K1772">
        <v>0</v>
      </c>
      <c r="L1772" t="s">
        <v>112</v>
      </c>
      <c r="M1772" t="s">
        <v>118</v>
      </c>
      <c r="N1772">
        <v>40</v>
      </c>
      <c r="O1772">
        <v>1</v>
      </c>
      <c r="P1772" t="s">
        <v>138</v>
      </c>
      <c r="Q1772">
        <v>37.799999999999997</v>
      </c>
      <c r="R1772">
        <v>0</v>
      </c>
      <c r="S1772">
        <v>0</v>
      </c>
      <c r="T1772">
        <v>5</v>
      </c>
      <c r="U1772" s="1" t="s">
        <v>4898</v>
      </c>
      <c r="V1772">
        <v>0</v>
      </c>
      <c r="W1772">
        <v>0</v>
      </c>
      <c r="X1772">
        <v>0</v>
      </c>
      <c r="Y1772">
        <v>25</v>
      </c>
      <c r="Z1772" t="s">
        <v>111</v>
      </c>
      <c r="AA1772">
        <v>0</v>
      </c>
      <c r="AB1772" t="s">
        <v>111</v>
      </c>
      <c r="AC1772">
        <v>0</v>
      </c>
      <c r="AD1772" t="s">
        <v>416</v>
      </c>
      <c r="AE1772">
        <v>1</v>
      </c>
      <c r="AF1772">
        <v>1</v>
      </c>
      <c r="AG1772">
        <v>30</v>
      </c>
      <c r="AH1772" t="s">
        <v>113</v>
      </c>
      <c r="AI1772">
        <v>30</v>
      </c>
      <c r="AJ1772" t="s">
        <v>111</v>
      </c>
      <c r="AK1772" t="s">
        <v>111</v>
      </c>
      <c r="AL1772" t="s">
        <v>111</v>
      </c>
      <c r="AM1772">
        <v>0</v>
      </c>
      <c r="AN1772">
        <v>0</v>
      </c>
      <c r="AO1772">
        <v>0</v>
      </c>
      <c r="AP1772" t="s">
        <v>259</v>
      </c>
      <c r="AQ1772" t="s">
        <v>111</v>
      </c>
      <c r="AR1772" t="s">
        <v>111</v>
      </c>
      <c r="AS1772" t="s">
        <v>111</v>
      </c>
      <c r="AT1772" t="s">
        <v>111</v>
      </c>
      <c r="AU1772" t="s">
        <v>111</v>
      </c>
      <c r="AV1772" t="s">
        <v>111</v>
      </c>
      <c r="AW1772" t="s">
        <v>111</v>
      </c>
      <c r="AX1772" t="s">
        <v>111</v>
      </c>
      <c r="AY1772" t="s">
        <v>111</v>
      </c>
      <c r="AZ1772" t="s">
        <v>111</v>
      </c>
      <c r="BA1772" t="s">
        <v>111</v>
      </c>
      <c r="BB1772" t="s">
        <v>111</v>
      </c>
      <c r="BC1772" t="s">
        <v>111</v>
      </c>
      <c r="BD1772" t="s">
        <v>111</v>
      </c>
      <c r="BE1772" t="s">
        <v>111</v>
      </c>
      <c r="BF1772" t="s">
        <v>111</v>
      </c>
      <c r="BG1772" t="s">
        <v>111</v>
      </c>
      <c r="BH1772" t="s">
        <v>111</v>
      </c>
      <c r="BI1772" t="s">
        <v>111</v>
      </c>
      <c r="BJ1772" t="s">
        <v>111</v>
      </c>
      <c r="BK1772" t="s">
        <v>111</v>
      </c>
      <c r="BL1772" t="s">
        <v>111</v>
      </c>
      <c r="BM1772" t="s">
        <v>111</v>
      </c>
      <c r="BN1772" t="s">
        <v>111</v>
      </c>
      <c r="BO1772" t="s">
        <v>111</v>
      </c>
      <c r="BP1772" t="s">
        <v>111</v>
      </c>
      <c r="BQ1772" t="s">
        <v>111</v>
      </c>
      <c r="BR1772" t="s">
        <v>111</v>
      </c>
      <c r="BS1772" t="s">
        <v>111</v>
      </c>
      <c r="BT1772" t="s">
        <v>111</v>
      </c>
      <c r="BU1772" t="s">
        <v>111</v>
      </c>
      <c r="BV1772" t="s">
        <v>111</v>
      </c>
      <c r="BW1772" t="s">
        <v>111</v>
      </c>
      <c r="BX1772" t="s">
        <v>111</v>
      </c>
      <c r="BY1772" t="s">
        <v>111</v>
      </c>
      <c r="BZ1772" t="s">
        <v>111</v>
      </c>
      <c r="CA1772" t="s">
        <v>111</v>
      </c>
      <c r="CB1772" t="s">
        <v>111</v>
      </c>
      <c r="CC1772" t="s">
        <v>111</v>
      </c>
      <c r="CD1772" t="s">
        <v>111</v>
      </c>
      <c r="CE1772" t="s">
        <v>111</v>
      </c>
      <c r="CF1772" t="s">
        <v>111</v>
      </c>
      <c r="CG1772" t="s">
        <v>111</v>
      </c>
      <c r="CH1772" t="s">
        <v>111</v>
      </c>
      <c r="CI1772" t="s">
        <v>111</v>
      </c>
      <c r="CJ1772" t="s">
        <v>111</v>
      </c>
      <c r="CK1772" t="s">
        <v>111</v>
      </c>
      <c r="CL1772" t="e">
        <f>-DESTINO: SELLADO</f>
        <v>#NAME?</v>
      </c>
      <c r="CM1772" t="s">
        <v>198</v>
      </c>
      <c r="CN1772" t="s">
        <v>113</v>
      </c>
      <c r="CO1772" t="s">
        <v>111</v>
      </c>
      <c r="CP1772" t="e">
        <f>-MUESTRA</f>
        <v>#NAME?</v>
      </c>
      <c r="CQ1772">
        <v>44</v>
      </c>
      <c r="CR1772">
        <v>2000</v>
      </c>
      <c r="CS1772">
        <v>50</v>
      </c>
      <c r="CT1772" s="1" t="s">
        <v>4899</v>
      </c>
      <c r="CU1772">
        <v>0</v>
      </c>
      <c r="CV1772" t="s">
        <v>111</v>
      </c>
      <c r="CW1772" t="s">
        <v>111</v>
      </c>
      <c r="CX1772" t="s">
        <v>111</v>
      </c>
      <c r="CY1772">
        <v>0</v>
      </c>
      <c r="CZ1772" t="s">
        <v>111</v>
      </c>
      <c r="DA1772" t="s">
        <v>111</v>
      </c>
      <c r="DB1772" t="s">
        <v>204</v>
      </c>
      <c r="DC1772" s="1" t="s">
        <v>4900</v>
      </c>
    </row>
    <row r="1773" spans="1:107">
      <c r="A1773">
        <v>811</v>
      </c>
      <c r="B1773" t="s">
        <v>107</v>
      </c>
      <c r="C1773" t="s">
        <v>4293</v>
      </c>
      <c r="D1773" t="s">
        <v>4901</v>
      </c>
      <c r="E1773" t="s">
        <v>4105</v>
      </c>
      <c r="F1773" t="s">
        <v>1651</v>
      </c>
      <c r="G1773" t="s">
        <v>24</v>
      </c>
      <c r="H1773">
        <v>1.2</v>
      </c>
      <c r="I1773">
        <v>50</v>
      </c>
      <c r="J1773">
        <v>0</v>
      </c>
      <c r="K1773">
        <v>0</v>
      </c>
      <c r="L1773" t="s">
        <v>112</v>
      </c>
      <c r="M1773" t="s">
        <v>118</v>
      </c>
      <c r="N1773">
        <v>40</v>
      </c>
      <c r="O1773">
        <v>2</v>
      </c>
      <c r="P1773" t="s">
        <v>138</v>
      </c>
      <c r="Q1773">
        <v>40</v>
      </c>
      <c r="R1773">
        <v>0</v>
      </c>
      <c r="S1773">
        <v>0</v>
      </c>
      <c r="T1773">
        <v>5</v>
      </c>
      <c r="U1773" s="1" t="s">
        <v>4902</v>
      </c>
      <c r="V1773">
        <v>0</v>
      </c>
      <c r="W1773">
        <v>0</v>
      </c>
      <c r="X1773">
        <v>0</v>
      </c>
      <c r="Y1773">
        <v>25</v>
      </c>
      <c r="Z1773" t="s">
        <v>111</v>
      </c>
      <c r="AA1773">
        <v>0</v>
      </c>
      <c r="AB1773" t="s">
        <v>111</v>
      </c>
      <c r="AC1773">
        <v>0</v>
      </c>
      <c r="AD1773" t="s">
        <v>416</v>
      </c>
      <c r="AE1773">
        <v>2</v>
      </c>
      <c r="AF1773">
        <v>2</v>
      </c>
      <c r="AG1773">
        <v>32</v>
      </c>
      <c r="AH1773" t="s">
        <v>113</v>
      </c>
      <c r="AI1773">
        <v>32</v>
      </c>
      <c r="AJ1773" t="s">
        <v>111</v>
      </c>
      <c r="AK1773" t="s">
        <v>111</v>
      </c>
      <c r="AL1773" t="s">
        <v>111</v>
      </c>
      <c r="AM1773">
        <v>0</v>
      </c>
      <c r="AN1773">
        <v>0</v>
      </c>
      <c r="AO1773">
        <v>0</v>
      </c>
      <c r="AP1773" t="s">
        <v>288</v>
      </c>
      <c r="AQ1773" t="s">
        <v>111</v>
      </c>
      <c r="AR1773" t="s">
        <v>111</v>
      </c>
      <c r="AS1773" t="s">
        <v>111</v>
      </c>
      <c r="AT1773" t="s">
        <v>184</v>
      </c>
      <c r="AU1773" t="s">
        <v>111</v>
      </c>
      <c r="AV1773" t="s">
        <v>111</v>
      </c>
      <c r="AW1773" t="s">
        <v>111</v>
      </c>
      <c r="AX1773" t="s">
        <v>188</v>
      </c>
      <c r="AY1773" t="s">
        <v>111</v>
      </c>
      <c r="AZ1773" t="s">
        <v>111</v>
      </c>
      <c r="BA1773" t="s">
        <v>111</v>
      </c>
      <c r="BB1773" t="s">
        <v>271</v>
      </c>
      <c r="BC1773" t="s">
        <v>111</v>
      </c>
      <c r="BD1773" t="s">
        <v>111</v>
      </c>
      <c r="BE1773" t="s">
        <v>111</v>
      </c>
      <c r="BF1773" t="s">
        <v>111</v>
      </c>
      <c r="BG1773" t="s">
        <v>111</v>
      </c>
      <c r="BH1773" t="s">
        <v>111</v>
      </c>
      <c r="BI1773" t="s">
        <v>111</v>
      </c>
      <c r="BJ1773" t="s">
        <v>111</v>
      </c>
      <c r="BK1773" t="s">
        <v>111</v>
      </c>
      <c r="BL1773" t="s">
        <v>111</v>
      </c>
      <c r="BM1773" t="s">
        <v>111</v>
      </c>
      <c r="BN1773" t="s">
        <v>288</v>
      </c>
      <c r="BO1773" t="s">
        <v>111</v>
      </c>
      <c r="BP1773" t="s">
        <v>111</v>
      </c>
      <c r="BQ1773" t="s">
        <v>111</v>
      </c>
      <c r="BR1773" t="s">
        <v>188</v>
      </c>
      <c r="BS1773" t="s">
        <v>111</v>
      </c>
      <c r="BT1773" t="s">
        <v>111</v>
      </c>
      <c r="BU1773" t="s">
        <v>111</v>
      </c>
      <c r="BV1773" t="s">
        <v>111</v>
      </c>
      <c r="BW1773" t="s">
        <v>111</v>
      </c>
      <c r="BX1773" t="s">
        <v>111</v>
      </c>
      <c r="BY1773" t="s">
        <v>111</v>
      </c>
      <c r="BZ1773" t="s">
        <v>111</v>
      </c>
      <c r="CA1773" t="s">
        <v>111</v>
      </c>
      <c r="CB1773" t="s">
        <v>111</v>
      </c>
      <c r="CC1773" t="s">
        <v>111</v>
      </c>
      <c r="CD1773" t="s">
        <v>111</v>
      </c>
      <c r="CE1773" t="s">
        <v>111</v>
      </c>
      <c r="CF1773" t="s">
        <v>111</v>
      </c>
      <c r="CG1773" t="s">
        <v>111</v>
      </c>
      <c r="CH1773" t="s">
        <v>111</v>
      </c>
      <c r="CI1773" t="s">
        <v>111</v>
      </c>
      <c r="CJ1773" t="s">
        <v>111</v>
      </c>
      <c r="CK1773" t="s">
        <v>111</v>
      </c>
      <c r="CL1773" t="e">
        <f>-DESTINO SELLADO</f>
        <v>#NAME?</v>
      </c>
      <c r="CM1773" t="s">
        <v>198</v>
      </c>
      <c r="CN1773" t="s">
        <v>113</v>
      </c>
      <c r="CO1773" t="s">
        <v>111</v>
      </c>
      <c r="CP1773" t="e">
        <f>-MUESTRA</f>
        <v>#NAME?</v>
      </c>
      <c r="CQ1773">
        <v>0</v>
      </c>
      <c r="CR1773">
        <v>3000</v>
      </c>
      <c r="CS1773">
        <v>200</v>
      </c>
      <c r="CT1773" t="s">
        <v>111</v>
      </c>
      <c r="CU1773">
        <v>0</v>
      </c>
      <c r="CV1773" t="s">
        <v>111</v>
      </c>
      <c r="CW1773" t="s">
        <v>111</v>
      </c>
      <c r="CX1773" t="s">
        <v>111</v>
      </c>
      <c r="CY1773">
        <v>0</v>
      </c>
      <c r="CZ1773" t="s">
        <v>111</v>
      </c>
      <c r="DA1773" t="s">
        <v>111</v>
      </c>
      <c r="DB1773" t="s">
        <v>111</v>
      </c>
      <c r="DC1773" t="s">
        <v>111</v>
      </c>
    </row>
    <row r="1774" spans="1:107">
      <c r="A1774">
        <v>859</v>
      </c>
      <c r="B1774" t="s">
        <v>107</v>
      </c>
      <c r="C1774" t="s">
        <v>3703</v>
      </c>
      <c r="D1774" t="s">
        <v>4351</v>
      </c>
      <c r="E1774" t="s">
        <v>4903</v>
      </c>
      <c r="F1774" t="s">
        <v>1651</v>
      </c>
      <c r="G1774" t="s">
        <v>24</v>
      </c>
      <c r="H1774">
        <v>1.45</v>
      </c>
      <c r="I1774">
        <v>50</v>
      </c>
      <c r="J1774">
        <v>0</v>
      </c>
      <c r="K1774">
        <v>0</v>
      </c>
      <c r="L1774" t="s">
        <v>117</v>
      </c>
      <c r="M1774" t="s">
        <v>118</v>
      </c>
      <c r="N1774">
        <v>39</v>
      </c>
      <c r="O1774">
        <v>1</v>
      </c>
      <c r="P1774" t="s">
        <v>138</v>
      </c>
      <c r="Q1774">
        <v>39</v>
      </c>
      <c r="R1774">
        <v>0</v>
      </c>
      <c r="S1774">
        <v>0</v>
      </c>
      <c r="T1774">
        <v>0</v>
      </c>
      <c r="U1774" s="1" t="s">
        <v>4904</v>
      </c>
      <c r="V1774">
        <v>0</v>
      </c>
      <c r="W1774">
        <v>0</v>
      </c>
      <c r="X1774">
        <v>0</v>
      </c>
      <c r="Y1774">
        <v>25</v>
      </c>
      <c r="Z1774" t="s">
        <v>111</v>
      </c>
      <c r="AA1774">
        <v>0</v>
      </c>
      <c r="AB1774" t="s">
        <v>111</v>
      </c>
      <c r="AC1774">
        <v>0</v>
      </c>
      <c r="AD1774" t="s">
        <v>416</v>
      </c>
      <c r="AE1774">
        <v>4</v>
      </c>
      <c r="AF1774">
        <v>1</v>
      </c>
      <c r="AG1774">
        <v>20</v>
      </c>
      <c r="AH1774" t="s">
        <v>113</v>
      </c>
      <c r="AI1774" t="s">
        <v>4905</v>
      </c>
      <c r="AJ1774" t="s">
        <v>111</v>
      </c>
      <c r="AK1774" t="s">
        <v>111</v>
      </c>
      <c r="AL1774" t="s">
        <v>111</v>
      </c>
      <c r="AM1774">
        <v>0</v>
      </c>
      <c r="AN1774">
        <v>0</v>
      </c>
      <c r="AO1774">
        <v>0</v>
      </c>
      <c r="AP1774" t="s">
        <v>288</v>
      </c>
      <c r="AQ1774" t="s">
        <v>111</v>
      </c>
      <c r="AR1774" t="s">
        <v>111</v>
      </c>
      <c r="AS1774" t="s">
        <v>111</v>
      </c>
      <c r="AT1774" t="s">
        <v>184</v>
      </c>
      <c r="AU1774" t="s">
        <v>111</v>
      </c>
      <c r="AV1774" t="s">
        <v>111</v>
      </c>
      <c r="AW1774" t="s">
        <v>111</v>
      </c>
      <c r="AX1774" t="s">
        <v>188</v>
      </c>
      <c r="AY1774" t="s">
        <v>111</v>
      </c>
      <c r="AZ1774" t="s">
        <v>111</v>
      </c>
      <c r="BA1774" t="s">
        <v>111</v>
      </c>
      <c r="BB1774" t="s">
        <v>271</v>
      </c>
      <c r="BC1774" t="s">
        <v>111</v>
      </c>
      <c r="BD1774" t="s">
        <v>111</v>
      </c>
      <c r="BE1774" t="s">
        <v>111</v>
      </c>
      <c r="BF1774" t="s">
        <v>111</v>
      </c>
      <c r="BG1774" t="s">
        <v>111</v>
      </c>
      <c r="BH1774" t="s">
        <v>111</v>
      </c>
      <c r="BI1774" t="s">
        <v>111</v>
      </c>
      <c r="BJ1774" t="s">
        <v>111</v>
      </c>
      <c r="BK1774" t="s">
        <v>111</v>
      </c>
      <c r="BL1774" t="s">
        <v>111</v>
      </c>
      <c r="BM1774" t="s">
        <v>111</v>
      </c>
      <c r="BN1774" t="s">
        <v>111</v>
      </c>
      <c r="BO1774" t="s">
        <v>111</v>
      </c>
      <c r="BP1774" t="s">
        <v>111</v>
      </c>
      <c r="BQ1774" t="s">
        <v>111</v>
      </c>
      <c r="BR1774" t="s">
        <v>111</v>
      </c>
      <c r="BS1774" t="s">
        <v>111</v>
      </c>
      <c r="BT1774" t="s">
        <v>111</v>
      </c>
      <c r="BU1774" t="s">
        <v>111</v>
      </c>
      <c r="BV1774" t="s">
        <v>111</v>
      </c>
      <c r="BW1774" t="s">
        <v>111</v>
      </c>
      <c r="BX1774" t="s">
        <v>111</v>
      </c>
      <c r="BY1774" t="s">
        <v>111</v>
      </c>
      <c r="BZ1774" t="s">
        <v>111</v>
      </c>
      <c r="CA1774" t="s">
        <v>111</v>
      </c>
      <c r="CB1774" t="s">
        <v>111</v>
      </c>
      <c r="CC1774" t="s">
        <v>111</v>
      </c>
      <c r="CD1774" t="s">
        <v>111</v>
      </c>
      <c r="CE1774" t="s">
        <v>111</v>
      </c>
      <c r="CF1774" t="s">
        <v>111</v>
      </c>
      <c r="CG1774" t="s">
        <v>111</v>
      </c>
      <c r="CH1774" t="s">
        <v>111</v>
      </c>
      <c r="CI1774" t="s">
        <v>111</v>
      </c>
      <c r="CJ1774" t="s">
        <v>111</v>
      </c>
      <c r="CK1774" t="s">
        <v>111</v>
      </c>
      <c r="CL1774" t="e">
        <f>-DESTINO SELLADO</f>
        <v>#NAME?</v>
      </c>
      <c r="CM1774" t="s">
        <v>198</v>
      </c>
      <c r="CN1774" t="s">
        <v>113</v>
      </c>
      <c r="CO1774" t="s">
        <v>111</v>
      </c>
      <c r="CP1774" t="s">
        <v>1166</v>
      </c>
      <c r="CQ1774">
        <v>78</v>
      </c>
      <c r="CR1774">
        <v>8000</v>
      </c>
      <c r="CS1774">
        <v>200</v>
      </c>
      <c r="CT1774" s="1" t="s">
        <v>4906</v>
      </c>
      <c r="CU1774">
        <v>0</v>
      </c>
      <c r="CV1774" t="s">
        <v>111</v>
      </c>
      <c r="CW1774" t="s">
        <v>111</v>
      </c>
      <c r="CX1774" t="s">
        <v>111</v>
      </c>
      <c r="CY1774">
        <v>0</v>
      </c>
      <c r="CZ1774" t="s">
        <v>111</v>
      </c>
      <c r="DA1774" t="s">
        <v>111</v>
      </c>
      <c r="DB1774" t="s">
        <v>111</v>
      </c>
      <c r="DC1774" t="s">
        <v>111</v>
      </c>
    </row>
    <row r="1775" spans="1:107">
      <c r="A1775">
        <v>830</v>
      </c>
      <c r="B1775" t="s">
        <v>107</v>
      </c>
      <c r="C1775" t="s">
        <v>3783</v>
      </c>
      <c r="D1775" t="s">
        <v>3960</v>
      </c>
      <c r="E1775" t="s">
        <v>4907</v>
      </c>
      <c r="F1775" t="s">
        <v>1260</v>
      </c>
      <c r="G1775" t="s">
        <v>24</v>
      </c>
      <c r="H1775">
        <v>1.9</v>
      </c>
      <c r="I1775">
        <v>400</v>
      </c>
      <c r="J1775">
        <v>0</v>
      </c>
      <c r="K1775">
        <v>0</v>
      </c>
      <c r="L1775" t="s">
        <v>117</v>
      </c>
      <c r="M1775" t="s">
        <v>118</v>
      </c>
      <c r="N1775">
        <v>40</v>
      </c>
      <c r="O1775">
        <v>1</v>
      </c>
      <c r="P1775" t="s">
        <v>138</v>
      </c>
      <c r="Q1775">
        <v>27.5</v>
      </c>
      <c r="R1775">
        <v>0</v>
      </c>
      <c r="S1775">
        <v>0</v>
      </c>
      <c r="T1775">
        <v>0</v>
      </c>
      <c r="U1775" s="1" t="s">
        <v>4908</v>
      </c>
      <c r="V1775">
        <v>0</v>
      </c>
      <c r="W1775">
        <v>0</v>
      </c>
      <c r="X1775">
        <v>0</v>
      </c>
      <c r="Y1775">
        <v>25</v>
      </c>
      <c r="Z1775" t="s">
        <v>111</v>
      </c>
      <c r="AA1775">
        <v>0</v>
      </c>
      <c r="AB1775" t="s">
        <v>111</v>
      </c>
      <c r="AC1775">
        <v>0</v>
      </c>
      <c r="AD1775" t="s">
        <v>416</v>
      </c>
      <c r="AE1775">
        <v>3</v>
      </c>
      <c r="AF1775">
        <v>1</v>
      </c>
      <c r="AG1775" t="s">
        <v>4117</v>
      </c>
      <c r="AH1775" t="s">
        <v>113</v>
      </c>
      <c r="AI1775">
        <v>30</v>
      </c>
      <c r="AJ1775" t="s">
        <v>111</v>
      </c>
      <c r="AK1775" t="s">
        <v>111</v>
      </c>
      <c r="AL1775" t="s">
        <v>111</v>
      </c>
      <c r="AM1775">
        <v>0</v>
      </c>
      <c r="AN1775">
        <v>0</v>
      </c>
      <c r="AO1775">
        <v>0</v>
      </c>
      <c r="AP1775" t="s">
        <v>288</v>
      </c>
      <c r="AQ1775" t="s">
        <v>111</v>
      </c>
      <c r="AR1775" t="s">
        <v>111</v>
      </c>
      <c r="AS1775" t="s">
        <v>111</v>
      </c>
      <c r="AT1775" t="s">
        <v>259</v>
      </c>
      <c r="AU1775" t="s">
        <v>111</v>
      </c>
      <c r="AV1775" t="s">
        <v>111</v>
      </c>
      <c r="AW1775" t="s">
        <v>111</v>
      </c>
      <c r="AX1775" t="s">
        <v>147</v>
      </c>
      <c r="AY1775" t="s">
        <v>111</v>
      </c>
      <c r="AZ1775" t="s">
        <v>111</v>
      </c>
      <c r="BA1775" t="s">
        <v>111</v>
      </c>
      <c r="BB1775" t="s">
        <v>111</v>
      </c>
      <c r="BC1775" t="s">
        <v>111</v>
      </c>
      <c r="BD1775" t="s">
        <v>111</v>
      </c>
      <c r="BE1775" t="s">
        <v>111</v>
      </c>
      <c r="BF1775" t="s">
        <v>111</v>
      </c>
      <c r="BG1775" t="s">
        <v>111</v>
      </c>
      <c r="BH1775" t="s">
        <v>111</v>
      </c>
      <c r="BI1775" t="s">
        <v>111</v>
      </c>
      <c r="BJ1775" t="s">
        <v>111</v>
      </c>
      <c r="BK1775" t="s">
        <v>111</v>
      </c>
      <c r="BL1775" t="s">
        <v>111</v>
      </c>
      <c r="BM1775" t="s">
        <v>111</v>
      </c>
      <c r="BN1775" t="s">
        <v>111</v>
      </c>
      <c r="BO1775" t="s">
        <v>111</v>
      </c>
      <c r="BP1775" t="s">
        <v>111</v>
      </c>
      <c r="BQ1775" t="s">
        <v>111</v>
      </c>
      <c r="BR1775" t="s">
        <v>111</v>
      </c>
      <c r="BS1775" t="s">
        <v>111</v>
      </c>
      <c r="BT1775" t="s">
        <v>111</v>
      </c>
      <c r="BU1775" t="s">
        <v>111</v>
      </c>
      <c r="BV1775" t="s">
        <v>111</v>
      </c>
      <c r="BW1775" t="s">
        <v>111</v>
      </c>
      <c r="BX1775" t="s">
        <v>111</v>
      </c>
      <c r="BY1775" t="s">
        <v>111</v>
      </c>
      <c r="BZ1775" t="s">
        <v>111</v>
      </c>
      <c r="CA1775" t="s">
        <v>111</v>
      </c>
      <c r="CB1775" t="s">
        <v>111</v>
      </c>
      <c r="CC1775" t="s">
        <v>111</v>
      </c>
      <c r="CD1775" t="s">
        <v>111</v>
      </c>
      <c r="CE1775" t="s">
        <v>111</v>
      </c>
      <c r="CF1775" t="s">
        <v>111</v>
      </c>
      <c r="CG1775" t="s">
        <v>111</v>
      </c>
      <c r="CH1775" t="s">
        <v>111</v>
      </c>
      <c r="CI1775" t="s">
        <v>111</v>
      </c>
      <c r="CJ1775" t="s">
        <v>111</v>
      </c>
      <c r="CK1775" t="s">
        <v>111</v>
      </c>
      <c r="CL1775" t="e">
        <f>-DESTINO SELLADO</f>
        <v>#NAME?</v>
      </c>
      <c r="CM1775" t="s">
        <v>198</v>
      </c>
      <c r="CN1775" t="s">
        <v>113</v>
      </c>
      <c r="CO1775" t="s">
        <v>111</v>
      </c>
      <c r="CP1775" t="s">
        <v>1166</v>
      </c>
      <c r="CQ1775">
        <v>0</v>
      </c>
      <c r="CR1775">
        <v>26000</v>
      </c>
      <c r="CS1775">
        <v>26000</v>
      </c>
      <c r="CT1775" t="e">
        <f>-DESTINO ALMACEN</f>
        <v>#NAME?</v>
      </c>
      <c r="CU1775">
        <v>0</v>
      </c>
      <c r="CV1775" t="s">
        <v>111</v>
      </c>
      <c r="CW1775" t="s">
        <v>111</v>
      </c>
      <c r="CX1775" t="s">
        <v>111</v>
      </c>
      <c r="CY1775">
        <v>0</v>
      </c>
      <c r="CZ1775" t="s">
        <v>111</v>
      </c>
      <c r="DA1775" t="s">
        <v>111</v>
      </c>
      <c r="DB1775" t="s">
        <v>111</v>
      </c>
      <c r="DC1775" t="s">
        <v>111</v>
      </c>
    </row>
    <row r="1776" spans="1:107">
      <c r="A1776">
        <v>828</v>
      </c>
      <c r="B1776" t="s">
        <v>107</v>
      </c>
      <c r="C1776" t="s">
        <v>536</v>
      </c>
      <c r="D1776" t="s">
        <v>4909</v>
      </c>
      <c r="E1776" t="s">
        <v>4910</v>
      </c>
      <c r="F1776" t="s">
        <v>3682</v>
      </c>
      <c r="G1776" t="s">
        <v>24</v>
      </c>
      <c r="H1776">
        <v>1.3</v>
      </c>
      <c r="I1776">
        <v>30</v>
      </c>
      <c r="J1776">
        <v>0</v>
      </c>
      <c r="K1776">
        <v>0</v>
      </c>
      <c r="L1776" t="s">
        <v>112</v>
      </c>
      <c r="M1776" t="s">
        <v>138</v>
      </c>
      <c r="N1776">
        <v>0</v>
      </c>
      <c r="O1776">
        <v>0</v>
      </c>
      <c r="P1776" t="s">
        <v>138</v>
      </c>
      <c r="Q1776">
        <v>32.200000000000003</v>
      </c>
      <c r="R1776">
        <v>0</v>
      </c>
      <c r="S1776">
        <v>0</v>
      </c>
      <c r="T1776">
        <v>5</v>
      </c>
      <c r="U1776" s="1" t="s">
        <v>4911</v>
      </c>
      <c r="V1776">
        <v>0</v>
      </c>
      <c r="W1776">
        <v>0</v>
      </c>
      <c r="X1776">
        <v>0</v>
      </c>
      <c r="Y1776">
        <v>25</v>
      </c>
      <c r="Z1776" t="s">
        <v>111</v>
      </c>
      <c r="AA1776">
        <v>0</v>
      </c>
      <c r="AB1776" t="s">
        <v>111</v>
      </c>
      <c r="AC1776">
        <v>0</v>
      </c>
      <c r="AD1776" t="s">
        <v>111</v>
      </c>
      <c r="AE1776">
        <v>0</v>
      </c>
      <c r="AF1776">
        <v>0</v>
      </c>
      <c r="AG1776" t="s">
        <v>111</v>
      </c>
      <c r="AH1776" t="s">
        <v>111</v>
      </c>
      <c r="AI1776" t="s">
        <v>111</v>
      </c>
      <c r="AJ1776" t="s">
        <v>111</v>
      </c>
      <c r="AK1776" t="s">
        <v>111</v>
      </c>
      <c r="AL1776" t="s">
        <v>111</v>
      </c>
      <c r="AM1776">
        <v>0</v>
      </c>
      <c r="AN1776">
        <v>0</v>
      </c>
      <c r="AO1776">
        <v>0</v>
      </c>
      <c r="AP1776" t="s">
        <v>111</v>
      </c>
      <c r="AQ1776" t="s">
        <v>111</v>
      </c>
      <c r="AR1776" t="s">
        <v>111</v>
      </c>
      <c r="AS1776" t="s">
        <v>111</v>
      </c>
      <c r="AT1776" t="s">
        <v>111</v>
      </c>
      <c r="AU1776" t="s">
        <v>111</v>
      </c>
      <c r="AV1776" t="s">
        <v>111</v>
      </c>
      <c r="AW1776" t="s">
        <v>111</v>
      </c>
      <c r="AX1776" t="s">
        <v>111</v>
      </c>
      <c r="AY1776" t="s">
        <v>111</v>
      </c>
      <c r="AZ1776" t="s">
        <v>111</v>
      </c>
      <c r="BA1776" t="s">
        <v>111</v>
      </c>
      <c r="BB1776" t="s">
        <v>111</v>
      </c>
      <c r="BC1776" t="s">
        <v>111</v>
      </c>
      <c r="BD1776" t="s">
        <v>111</v>
      </c>
      <c r="BE1776" t="s">
        <v>111</v>
      </c>
      <c r="BF1776" t="s">
        <v>111</v>
      </c>
      <c r="BG1776" t="s">
        <v>111</v>
      </c>
      <c r="BH1776" t="s">
        <v>111</v>
      </c>
      <c r="BI1776" t="s">
        <v>111</v>
      </c>
      <c r="BJ1776" t="s">
        <v>111</v>
      </c>
      <c r="BK1776" t="s">
        <v>111</v>
      </c>
      <c r="BL1776" t="s">
        <v>111</v>
      </c>
      <c r="BM1776" t="s">
        <v>111</v>
      </c>
      <c r="BN1776" t="s">
        <v>111</v>
      </c>
      <c r="BO1776" t="s">
        <v>111</v>
      </c>
      <c r="BP1776" t="s">
        <v>111</v>
      </c>
      <c r="BQ1776" t="s">
        <v>111</v>
      </c>
      <c r="BR1776" t="s">
        <v>111</v>
      </c>
      <c r="BS1776" t="s">
        <v>111</v>
      </c>
      <c r="BT1776" t="s">
        <v>111</v>
      </c>
      <c r="BU1776" t="s">
        <v>111</v>
      </c>
      <c r="BV1776" t="s">
        <v>111</v>
      </c>
      <c r="BW1776" t="s">
        <v>111</v>
      </c>
      <c r="BX1776" t="s">
        <v>111</v>
      </c>
      <c r="BY1776" t="s">
        <v>111</v>
      </c>
      <c r="BZ1776" t="s">
        <v>111</v>
      </c>
      <c r="CA1776" t="s">
        <v>111</v>
      </c>
      <c r="CB1776" t="s">
        <v>111</v>
      </c>
      <c r="CC1776" t="s">
        <v>111</v>
      </c>
      <c r="CD1776" t="s">
        <v>111</v>
      </c>
      <c r="CE1776" t="s">
        <v>111</v>
      </c>
      <c r="CF1776" t="s">
        <v>111</v>
      </c>
      <c r="CG1776" t="s">
        <v>111</v>
      </c>
      <c r="CH1776" t="s">
        <v>111</v>
      </c>
      <c r="CI1776" t="s">
        <v>111</v>
      </c>
      <c r="CJ1776" t="s">
        <v>111</v>
      </c>
      <c r="CK1776" t="s">
        <v>111</v>
      </c>
      <c r="CL1776" t="s">
        <v>111</v>
      </c>
      <c r="CM1776" t="s">
        <v>127</v>
      </c>
      <c r="CN1776" t="s">
        <v>128</v>
      </c>
      <c r="CO1776" t="s">
        <v>111</v>
      </c>
      <c r="CP1776" t="s">
        <v>111</v>
      </c>
      <c r="CQ1776">
        <v>0</v>
      </c>
      <c r="CR1776">
        <v>1500</v>
      </c>
      <c r="CS1776">
        <v>100</v>
      </c>
      <c r="CT1776" t="s">
        <v>280</v>
      </c>
      <c r="CU1776">
        <v>0</v>
      </c>
      <c r="CV1776" t="s">
        <v>111</v>
      </c>
      <c r="CW1776" t="s">
        <v>111</v>
      </c>
      <c r="CX1776" t="s">
        <v>111</v>
      </c>
      <c r="CY1776">
        <v>0</v>
      </c>
      <c r="CZ1776" t="s">
        <v>111</v>
      </c>
      <c r="DA1776" t="s">
        <v>111</v>
      </c>
      <c r="DB1776" t="s">
        <v>204</v>
      </c>
      <c r="DC1776" t="s">
        <v>3387</v>
      </c>
    </row>
    <row r="1777" spans="1:107">
      <c r="A1777">
        <v>825</v>
      </c>
      <c r="B1777" t="s">
        <v>107</v>
      </c>
      <c r="C1777" t="s">
        <v>4206</v>
      </c>
      <c r="D1777" t="s">
        <v>4912</v>
      </c>
      <c r="E1777" t="s">
        <v>4913</v>
      </c>
      <c r="F1777" t="s">
        <v>1071</v>
      </c>
      <c r="G1777" t="s">
        <v>24</v>
      </c>
      <c r="H1777">
        <v>2.5</v>
      </c>
      <c r="I1777">
        <v>50</v>
      </c>
      <c r="J1777">
        <v>0</v>
      </c>
      <c r="K1777">
        <v>0</v>
      </c>
      <c r="L1777" t="s">
        <v>112</v>
      </c>
      <c r="M1777" t="s">
        <v>138</v>
      </c>
      <c r="N1777">
        <v>0</v>
      </c>
      <c r="O1777">
        <v>0</v>
      </c>
      <c r="P1777" t="s">
        <v>138</v>
      </c>
      <c r="Q1777">
        <v>35</v>
      </c>
      <c r="R1777">
        <v>0</v>
      </c>
      <c r="S1777">
        <v>0</v>
      </c>
      <c r="T1777">
        <v>0</v>
      </c>
      <c r="U1777" s="1" t="s">
        <v>4914</v>
      </c>
      <c r="V1777">
        <v>0</v>
      </c>
      <c r="W1777">
        <v>0</v>
      </c>
      <c r="X1777">
        <v>0</v>
      </c>
      <c r="Y1777">
        <v>25</v>
      </c>
      <c r="Z1777" t="s">
        <v>111</v>
      </c>
      <c r="AA1777">
        <v>0</v>
      </c>
      <c r="AB1777" t="s">
        <v>111</v>
      </c>
      <c r="AC1777">
        <v>0</v>
      </c>
      <c r="AD1777" t="s">
        <v>111</v>
      </c>
      <c r="AE1777">
        <v>0</v>
      </c>
      <c r="AF1777">
        <v>0</v>
      </c>
      <c r="AG1777" t="s">
        <v>111</v>
      </c>
      <c r="AH1777" t="s">
        <v>111</v>
      </c>
      <c r="AI1777" t="s">
        <v>111</v>
      </c>
      <c r="AJ1777" t="s">
        <v>111</v>
      </c>
      <c r="AK1777" t="s">
        <v>111</v>
      </c>
      <c r="AL1777" t="s">
        <v>111</v>
      </c>
      <c r="AM1777">
        <v>0</v>
      </c>
      <c r="AN1777">
        <v>0</v>
      </c>
      <c r="AO1777">
        <v>0</v>
      </c>
      <c r="AP1777" t="s">
        <v>111</v>
      </c>
      <c r="AQ1777" t="s">
        <v>111</v>
      </c>
      <c r="AR1777" t="s">
        <v>111</v>
      </c>
      <c r="AS1777" t="s">
        <v>111</v>
      </c>
      <c r="AT1777" t="s">
        <v>111</v>
      </c>
      <c r="AU1777" t="s">
        <v>111</v>
      </c>
      <c r="AV1777" t="s">
        <v>111</v>
      </c>
      <c r="AW1777" t="s">
        <v>111</v>
      </c>
      <c r="AX1777" t="s">
        <v>111</v>
      </c>
      <c r="AY1777" t="s">
        <v>111</v>
      </c>
      <c r="AZ1777" t="s">
        <v>111</v>
      </c>
      <c r="BA1777" t="s">
        <v>111</v>
      </c>
      <c r="BB1777" t="s">
        <v>111</v>
      </c>
      <c r="BC1777" t="s">
        <v>111</v>
      </c>
      <c r="BD1777" t="s">
        <v>111</v>
      </c>
      <c r="BE1777" t="s">
        <v>111</v>
      </c>
      <c r="BF1777" t="s">
        <v>111</v>
      </c>
      <c r="BG1777" t="s">
        <v>111</v>
      </c>
      <c r="BH1777" t="s">
        <v>111</v>
      </c>
      <c r="BI1777" t="s">
        <v>111</v>
      </c>
      <c r="BJ1777" t="s">
        <v>111</v>
      </c>
      <c r="BK1777" t="s">
        <v>111</v>
      </c>
      <c r="BL1777" t="s">
        <v>111</v>
      </c>
      <c r="BM1777" t="s">
        <v>111</v>
      </c>
      <c r="BN1777" t="s">
        <v>111</v>
      </c>
      <c r="BO1777" t="s">
        <v>111</v>
      </c>
      <c r="BP1777" t="s">
        <v>111</v>
      </c>
      <c r="BQ1777" t="s">
        <v>111</v>
      </c>
      <c r="BR1777" t="s">
        <v>111</v>
      </c>
      <c r="BS1777" t="s">
        <v>111</v>
      </c>
      <c r="BT1777" t="s">
        <v>111</v>
      </c>
      <c r="BU1777" t="s">
        <v>111</v>
      </c>
      <c r="BV1777" t="s">
        <v>111</v>
      </c>
      <c r="BW1777" t="s">
        <v>111</v>
      </c>
      <c r="BX1777" t="s">
        <v>111</v>
      </c>
      <c r="BY1777" t="s">
        <v>111</v>
      </c>
      <c r="BZ1777" t="s">
        <v>111</v>
      </c>
      <c r="CA1777" t="s">
        <v>111</v>
      </c>
      <c r="CB1777" t="s">
        <v>111</v>
      </c>
      <c r="CC1777" t="s">
        <v>111</v>
      </c>
      <c r="CD1777" t="s">
        <v>111</v>
      </c>
      <c r="CE1777" t="s">
        <v>111</v>
      </c>
      <c r="CF1777" t="s">
        <v>111</v>
      </c>
      <c r="CG1777" t="s">
        <v>111</v>
      </c>
      <c r="CH1777" t="s">
        <v>111</v>
      </c>
      <c r="CI1777" t="s">
        <v>111</v>
      </c>
      <c r="CJ1777" t="s">
        <v>111</v>
      </c>
      <c r="CK1777" t="s">
        <v>111</v>
      </c>
      <c r="CL1777" t="s">
        <v>111</v>
      </c>
      <c r="CM1777" t="s">
        <v>198</v>
      </c>
      <c r="CN1777" t="s">
        <v>113</v>
      </c>
      <c r="CO1777" t="s">
        <v>111</v>
      </c>
      <c r="CP1777" t="s">
        <v>111</v>
      </c>
      <c r="CQ1777">
        <v>60</v>
      </c>
      <c r="CR1777">
        <v>4000</v>
      </c>
      <c r="CS1777">
        <v>100</v>
      </c>
      <c r="CT1777" s="1" t="s">
        <v>4915</v>
      </c>
      <c r="CU1777">
        <v>0</v>
      </c>
      <c r="CV1777" t="s">
        <v>111</v>
      </c>
      <c r="CW1777" t="s">
        <v>111</v>
      </c>
      <c r="CX1777" t="s">
        <v>111</v>
      </c>
      <c r="CY1777">
        <v>0</v>
      </c>
      <c r="CZ1777" t="s">
        <v>111</v>
      </c>
      <c r="DA1777" t="s">
        <v>111</v>
      </c>
      <c r="DB1777" t="s">
        <v>111</v>
      </c>
      <c r="DC1777" t="s">
        <v>111</v>
      </c>
    </row>
    <row r="1778" spans="1:107">
      <c r="A1778">
        <v>856</v>
      </c>
      <c r="B1778" t="s">
        <v>107</v>
      </c>
      <c r="C1778" t="s">
        <v>454</v>
      </c>
      <c r="D1778" t="s">
        <v>4641</v>
      </c>
      <c r="E1778" t="s">
        <v>4916</v>
      </c>
      <c r="F1778" t="s">
        <v>1651</v>
      </c>
      <c r="G1778" t="s">
        <v>24</v>
      </c>
      <c r="H1778">
        <v>1.9</v>
      </c>
      <c r="I1778">
        <v>40</v>
      </c>
      <c r="J1778">
        <v>0</v>
      </c>
      <c r="K1778">
        <v>0</v>
      </c>
      <c r="L1778" t="s">
        <v>112</v>
      </c>
      <c r="M1778" t="s">
        <v>118</v>
      </c>
      <c r="N1778">
        <v>39</v>
      </c>
      <c r="O1778">
        <v>1</v>
      </c>
      <c r="P1778" t="s">
        <v>138</v>
      </c>
      <c r="Q1778">
        <v>36.200000000000003</v>
      </c>
      <c r="R1778">
        <v>0</v>
      </c>
      <c r="S1778">
        <v>0</v>
      </c>
      <c r="T1778">
        <v>0</v>
      </c>
      <c r="U1778" s="1" t="s">
        <v>4917</v>
      </c>
      <c r="V1778">
        <v>0</v>
      </c>
      <c r="W1778">
        <v>0</v>
      </c>
      <c r="X1778">
        <v>0</v>
      </c>
      <c r="Y1778">
        <v>25</v>
      </c>
      <c r="Z1778" t="s">
        <v>111</v>
      </c>
      <c r="AA1778">
        <v>0</v>
      </c>
      <c r="AB1778" t="s">
        <v>111</v>
      </c>
      <c r="AC1778">
        <v>0</v>
      </c>
      <c r="AD1778" t="s">
        <v>416</v>
      </c>
      <c r="AE1778">
        <v>1</v>
      </c>
      <c r="AF1778">
        <v>1</v>
      </c>
      <c r="AG1778" t="s">
        <v>1532</v>
      </c>
      <c r="AH1778" t="s">
        <v>113</v>
      </c>
      <c r="AI1778" t="s">
        <v>1098</v>
      </c>
      <c r="AJ1778" t="s">
        <v>111</v>
      </c>
      <c r="AK1778" t="s">
        <v>111</v>
      </c>
      <c r="AL1778" t="s">
        <v>111</v>
      </c>
      <c r="AM1778">
        <v>0</v>
      </c>
      <c r="AN1778">
        <v>0</v>
      </c>
      <c r="AO1778">
        <v>0</v>
      </c>
      <c r="AP1778" t="s">
        <v>3075</v>
      </c>
      <c r="AQ1778" t="s">
        <v>111</v>
      </c>
      <c r="AR1778" t="s">
        <v>111</v>
      </c>
      <c r="AS1778" t="s">
        <v>111</v>
      </c>
      <c r="AT1778" t="s">
        <v>111</v>
      </c>
      <c r="AU1778" t="s">
        <v>111</v>
      </c>
      <c r="AV1778" t="s">
        <v>111</v>
      </c>
      <c r="AW1778" t="s">
        <v>111</v>
      </c>
      <c r="AX1778" t="s">
        <v>111</v>
      </c>
      <c r="AY1778" t="s">
        <v>111</v>
      </c>
      <c r="AZ1778" t="s">
        <v>111</v>
      </c>
      <c r="BA1778" t="s">
        <v>111</v>
      </c>
      <c r="BB1778" t="s">
        <v>111</v>
      </c>
      <c r="BC1778" t="s">
        <v>111</v>
      </c>
      <c r="BD1778" t="s">
        <v>111</v>
      </c>
      <c r="BE1778" t="s">
        <v>111</v>
      </c>
      <c r="BF1778" t="s">
        <v>111</v>
      </c>
      <c r="BG1778" t="s">
        <v>111</v>
      </c>
      <c r="BH1778" t="s">
        <v>111</v>
      </c>
      <c r="BI1778" t="s">
        <v>111</v>
      </c>
      <c r="BJ1778" t="s">
        <v>111</v>
      </c>
      <c r="BK1778" t="s">
        <v>111</v>
      </c>
      <c r="BL1778" t="s">
        <v>111</v>
      </c>
      <c r="BM1778" t="s">
        <v>111</v>
      </c>
      <c r="BN1778" t="s">
        <v>111</v>
      </c>
      <c r="BO1778" t="s">
        <v>111</v>
      </c>
      <c r="BP1778" t="s">
        <v>111</v>
      </c>
      <c r="BQ1778" t="s">
        <v>111</v>
      </c>
      <c r="BR1778" t="s">
        <v>111</v>
      </c>
      <c r="BS1778" t="s">
        <v>111</v>
      </c>
      <c r="BT1778" t="s">
        <v>111</v>
      </c>
      <c r="BU1778" t="s">
        <v>111</v>
      </c>
      <c r="BV1778" t="s">
        <v>111</v>
      </c>
      <c r="BW1778" t="s">
        <v>111</v>
      </c>
      <c r="BX1778" t="s">
        <v>111</v>
      </c>
      <c r="BY1778" t="s">
        <v>111</v>
      </c>
      <c r="BZ1778" t="s">
        <v>111</v>
      </c>
      <c r="CA1778" t="s">
        <v>111</v>
      </c>
      <c r="CB1778" t="s">
        <v>111</v>
      </c>
      <c r="CC1778" t="s">
        <v>111</v>
      </c>
      <c r="CD1778" t="s">
        <v>111</v>
      </c>
      <c r="CE1778" t="s">
        <v>111</v>
      </c>
      <c r="CF1778" t="s">
        <v>111</v>
      </c>
      <c r="CG1778" t="s">
        <v>111</v>
      </c>
      <c r="CH1778" t="s">
        <v>111</v>
      </c>
      <c r="CI1778" t="s">
        <v>111</v>
      </c>
      <c r="CJ1778" t="s">
        <v>111</v>
      </c>
      <c r="CK1778" t="s">
        <v>111</v>
      </c>
      <c r="CL1778" t="e">
        <f>-DESTINO SELLADO</f>
        <v>#NAME?</v>
      </c>
      <c r="CM1778" t="s">
        <v>135</v>
      </c>
      <c r="CN1778" t="s">
        <v>113</v>
      </c>
      <c r="CO1778" t="s">
        <v>111</v>
      </c>
      <c r="CP1778" t="s">
        <v>1166</v>
      </c>
      <c r="CQ1778">
        <v>68</v>
      </c>
      <c r="CR1778">
        <v>4000</v>
      </c>
      <c r="CS1778">
        <v>200</v>
      </c>
      <c r="CT1778" s="1" t="s">
        <v>4918</v>
      </c>
      <c r="CU1778">
        <v>0</v>
      </c>
      <c r="CV1778" t="s">
        <v>111</v>
      </c>
      <c r="CW1778" t="s">
        <v>111</v>
      </c>
      <c r="CX1778" t="s">
        <v>111</v>
      </c>
      <c r="CY1778">
        <v>0</v>
      </c>
      <c r="CZ1778" t="s">
        <v>111</v>
      </c>
      <c r="DA1778" t="s">
        <v>111</v>
      </c>
      <c r="DB1778" t="s">
        <v>111</v>
      </c>
      <c r="DC1778" t="s">
        <v>111</v>
      </c>
    </row>
    <row r="1779" spans="1:107">
      <c r="A1779">
        <v>844</v>
      </c>
      <c r="B1779" t="s">
        <v>107</v>
      </c>
      <c r="C1779" t="s">
        <v>768</v>
      </c>
      <c r="D1779" t="s">
        <v>4071</v>
      </c>
      <c r="E1779" t="s">
        <v>4919</v>
      </c>
      <c r="F1779" t="s">
        <v>1651</v>
      </c>
      <c r="G1779" t="s">
        <v>24</v>
      </c>
      <c r="H1779">
        <v>1.45</v>
      </c>
      <c r="I1779">
        <v>40</v>
      </c>
      <c r="J1779">
        <v>0</v>
      </c>
      <c r="K1779">
        <v>0</v>
      </c>
      <c r="L1779" t="s">
        <v>112</v>
      </c>
      <c r="M1779" t="s">
        <v>118</v>
      </c>
      <c r="N1779">
        <v>38</v>
      </c>
      <c r="O1779">
        <v>2</v>
      </c>
      <c r="P1779" t="s">
        <v>138</v>
      </c>
      <c r="Q1779">
        <v>45.3</v>
      </c>
      <c r="R1779">
        <v>0</v>
      </c>
      <c r="S1779">
        <v>0</v>
      </c>
      <c r="T1779">
        <v>0</v>
      </c>
      <c r="U1779" s="1" t="s">
        <v>4920</v>
      </c>
      <c r="V1779">
        <v>0</v>
      </c>
      <c r="W1779">
        <v>0</v>
      </c>
      <c r="X1779">
        <v>0</v>
      </c>
      <c r="Y1779">
        <v>25</v>
      </c>
      <c r="Z1779" t="s">
        <v>111</v>
      </c>
      <c r="AA1779">
        <v>0</v>
      </c>
      <c r="AB1779" t="s">
        <v>111</v>
      </c>
      <c r="AC1779">
        <v>0</v>
      </c>
      <c r="AD1779" t="s">
        <v>416</v>
      </c>
      <c r="AE1779">
        <v>3</v>
      </c>
      <c r="AF1779">
        <v>2</v>
      </c>
      <c r="AG1779" t="s">
        <v>2918</v>
      </c>
      <c r="AH1779" t="s">
        <v>113</v>
      </c>
      <c r="AI1779">
        <v>32</v>
      </c>
      <c r="AJ1779" t="s">
        <v>111</v>
      </c>
      <c r="AK1779" t="s">
        <v>111</v>
      </c>
      <c r="AL1779" t="s">
        <v>111</v>
      </c>
      <c r="AM1779">
        <v>0</v>
      </c>
      <c r="AN1779">
        <v>0</v>
      </c>
      <c r="AO1779">
        <v>0</v>
      </c>
      <c r="AP1779" t="s">
        <v>288</v>
      </c>
      <c r="AQ1779" t="s">
        <v>111</v>
      </c>
      <c r="AR1779" t="s">
        <v>111</v>
      </c>
      <c r="AS1779" t="s">
        <v>111</v>
      </c>
      <c r="AT1779" t="s">
        <v>772</v>
      </c>
      <c r="AU1779" t="s">
        <v>111</v>
      </c>
      <c r="AV1779" t="s">
        <v>111</v>
      </c>
      <c r="AW1779" t="s">
        <v>111</v>
      </c>
      <c r="AX1779" t="s">
        <v>366</v>
      </c>
      <c r="AY1779" t="s">
        <v>111</v>
      </c>
      <c r="AZ1779" t="s">
        <v>111</v>
      </c>
      <c r="BA1779" t="s">
        <v>111</v>
      </c>
      <c r="BB1779" t="s">
        <v>111</v>
      </c>
      <c r="BC1779" t="s">
        <v>111</v>
      </c>
      <c r="BD1779" t="s">
        <v>111</v>
      </c>
      <c r="BE1779" t="s">
        <v>111</v>
      </c>
      <c r="BF1779" t="s">
        <v>111</v>
      </c>
      <c r="BG1779" t="s">
        <v>111</v>
      </c>
      <c r="BH1779" t="s">
        <v>111</v>
      </c>
      <c r="BI1779" t="s">
        <v>111</v>
      </c>
      <c r="BJ1779" t="s">
        <v>111</v>
      </c>
      <c r="BK1779" t="s">
        <v>111</v>
      </c>
      <c r="BL1779" t="s">
        <v>111</v>
      </c>
      <c r="BM1779" t="s">
        <v>111</v>
      </c>
      <c r="BN1779" t="s">
        <v>111</v>
      </c>
      <c r="BO1779" t="s">
        <v>111</v>
      </c>
      <c r="BP1779" t="s">
        <v>111</v>
      </c>
      <c r="BQ1779" t="s">
        <v>111</v>
      </c>
      <c r="BR1779" t="s">
        <v>111</v>
      </c>
      <c r="BS1779" t="s">
        <v>111</v>
      </c>
      <c r="BT1779" t="s">
        <v>111</v>
      </c>
      <c r="BU1779" t="s">
        <v>111</v>
      </c>
      <c r="BV1779" t="s">
        <v>111</v>
      </c>
      <c r="BW1779" t="s">
        <v>111</v>
      </c>
      <c r="BX1779" t="s">
        <v>111</v>
      </c>
      <c r="BY1779" t="s">
        <v>111</v>
      </c>
      <c r="BZ1779" t="s">
        <v>111</v>
      </c>
      <c r="CA1779" t="s">
        <v>111</v>
      </c>
      <c r="CB1779" t="s">
        <v>111</v>
      </c>
      <c r="CC1779" t="s">
        <v>111</v>
      </c>
      <c r="CD1779" t="s">
        <v>111</v>
      </c>
      <c r="CE1779" t="s">
        <v>111</v>
      </c>
      <c r="CF1779" t="s">
        <v>111</v>
      </c>
      <c r="CG1779" t="s">
        <v>111</v>
      </c>
      <c r="CH1779" t="s">
        <v>111</v>
      </c>
      <c r="CI1779" t="s">
        <v>111</v>
      </c>
      <c r="CJ1779" t="s">
        <v>111</v>
      </c>
      <c r="CK1779" t="s">
        <v>111</v>
      </c>
      <c r="CL1779" t="e">
        <f>-DESTINO SELLADO</f>
        <v>#NAME?</v>
      </c>
      <c r="CM1779" t="s">
        <v>198</v>
      </c>
      <c r="CN1779" t="s">
        <v>113</v>
      </c>
      <c r="CO1779" t="s">
        <v>4191</v>
      </c>
      <c r="CP1779" t="e">
        <f>-MUESTRA</f>
        <v>#NAME?</v>
      </c>
      <c r="CQ1779">
        <v>68</v>
      </c>
      <c r="CR1779">
        <v>4000</v>
      </c>
      <c r="CS1779">
        <v>200</v>
      </c>
      <c r="CT1779" s="1" t="s">
        <v>4921</v>
      </c>
      <c r="CU1779">
        <v>0</v>
      </c>
      <c r="CV1779" t="s">
        <v>111</v>
      </c>
      <c r="CW1779" t="s">
        <v>111</v>
      </c>
      <c r="CX1779" t="s">
        <v>111</v>
      </c>
      <c r="CY1779">
        <v>0</v>
      </c>
      <c r="CZ1779" t="s">
        <v>111</v>
      </c>
      <c r="DA1779" t="s">
        <v>111</v>
      </c>
      <c r="DB1779" t="s">
        <v>111</v>
      </c>
      <c r="DC1779" t="s">
        <v>111</v>
      </c>
    </row>
    <row r="1780" spans="1:107">
      <c r="A1780">
        <v>845</v>
      </c>
      <c r="B1780" t="s">
        <v>107</v>
      </c>
      <c r="C1780" t="s">
        <v>362</v>
      </c>
      <c r="D1780" t="s">
        <v>4280</v>
      </c>
      <c r="E1780" t="s">
        <v>4922</v>
      </c>
      <c r="F1780" t="s">
        <v>1651</v>
      </c>
      <c r="G1780" t="s">
        <v>3869</v>
      </c>
      <c r="H1780">
        <v>1.8</v>
      </c>
      <c r="I1780">
        <v>48</v>
      </c>
      <c r="J1780">
        <v>0</v>
      </c>
      <c r="K1780">
        <v>0</v>
      </c>
      <c r="L1780" t="s">
        <v>112</v>
      </c>
      <c r="M1780" t="s">
        <v>118</v>
      </c>
      <c r="N1780">
        <v>40</v>
      </c>
      <c r="O1780">
        <v>1</v>
      </c>
      <c r="P1780" t="s">
        <v>138</v>
      </c>
      <c r="Q1780">
        <v>30</v>
      </c>
      <c r="R1780">
        <v>0</v>
      </c>
      <c r="S1780">
        <v>0</v>
      </c>
      <c r="T1780">
        <v>0</v>
      </c>
      <c r="U1780" s="1" t="s">
        <v>4923</v>
      </c>
      <c r="V1780">
        <v>0</v>
      </c>
      <c r="W1780">
        <v>0</v>
      </c>
      <c r="X1780">
        <v>0</v>
      </c>
      <c r="Y1780">
        <v>25</v>
      </c>
      <c r="Z1780" t="s">
        <v>111</v>
      </c>
      <c r="AA1780">
        <v>0</v>
      </c>
      <c r="AB1780" t="s">
        <v>111</v>
      </c>
      <c r="AC1780">
        <v>0</v>
      </c>
      <c r="AD1780" t="s">
        <v>416</v>
      </c>
      <c r="AE1780">
        <v>20</v>
      </c>
      <c r="AF1780">
        <v>1</v>
      </c>
      <c r="AG1780" t="s">
        <v>2918</v>
      </c>
      <c r="AH1780" t="s">
        <v>113</v>
      </c>
      <c r="AI1780" t="s">
        <v>2918</v>
      </c>
      <c r="AJ1780" t="s">
        <v>111</v>
      </c>
      <c r="AK1780" t="s">
        <v>111</v>
      </c>
      <c r="AL1780" t="s">
        <v>111</v>
      </c>
      <c r="AM1780">
        <v>0</v>
      </c>
      <c r="AN1780">
        <v>0</v>
      </c>
      <c r="AO1780">
        <v>0</v>
      </c>
      <c r="AP1780" t="s">
        <v>1310</v>
      </c>
      <c r="AQ1780" t="s">
        <v>111</v>
      </c>
      <c r="AR1780" t="s">
        <v>111</v>
      </c>
      <c r="AS1780" t="s">
        <v>111</v>
      </c>
      <c r="AT1780" t="s">
        <v>4924</v>
      </c>
      <c r="AU1780" t="s">
        <v>111</v>
      </c>
      <c r="AV1780" t="s">
        <v>111</v>
      </c>
      <c r="AW1780" t="s">
        <v>111</v>
      </c>
      <c r="AX1780" t="s">
        <v>111</v>
      </c>
      <c r="AY1780" t="s">
        <v>111</v>
      </c>
      <c r="AZ1780" t="s">
        <v>111</v>
      </c>
      <c r="BA1780" t="s">
        <v>111</v>
      </c>
      <c r="BB1780" t="s">
        <v>111</v>
      </c>
      <c r="BC1780" t="s">
        <v>111</v>
      </c>
      <c r="BD1780" t="s">
        <v>111</v>
      </c>
      <c r="BE1780" t="s">
        <v>111</v>
      </c>
      <c r="BF1780" t="s">
        <v>111</v>
      </c>
      <c r="BG1780" t="s">
        <v>111</v>
      </c>
      <c r="BH1780" t="s">
        <v>111</v>
      </c>
      <c r="BI1780" t="s">
        <v>111</v>
      </c>
      <c r="BJ1780" t="s">
        <v>111</v>
      </c>
      <c r="BK1780" t="s">
        <v>111</v>
      </c>
      <c r="BL1780" t="s">
        <v>111</v>
      </c>
      <c r="BM1780" t="s">
        <v>111</v>
      </c>
      <c r="BN1780" t="s">
        <v>111</v>
      </c>
      <c r="BO1780" t="s">
        <v>111</v>
      </c>
      <c r="BP1780" t="s">
        <v>111</v>
      </c>
      <c r="BQ1780" t="s">
        <v>111</v>
      </c>
      <c r="BR1780" t="s">
        <v>111</v>
      </c>
      <c r="BS1780" t="s">
        <v>111</v>
      </c>
      <c r="BT1780" t="s">
        <v>111</v>
      </c>
      <c r="BU1780" t="s">
        <v>111</v>
      </c>
      <c r="BV1780" t="s">
        <v>111</v>
      </c>
      <c r="BW1780" t="s">
        <v>111</v>
      </c>
      <c r="BX1780" t="s">
        <v>111</v>
      </c>
      <c r="BY1780" t="s">
        <v>111</v>
      </c>
      <c r="BZ1780" t="s">
        <v>111</v>
      </c>
      <c r="CA1780" t="s">
        <v>111</v>
      </c>
      <c r="CB1780" t="s">
        <v>111</v>
      </c>
      <c r="CC1780" t="s">
        <v>111</v>
      </c>
      <c r="CD1780" t="s">
        <v>111</v>
      </c>
      <c r="CE1780" t="s">
        <v>111</v>
      </c>
      <c r="CF1780" t="s">
        <v>111</v>
      </c>
      <c r="CG1780" t="s">
        <v>111</v>
      </c>
      <c r="CH1780" t="s">
        <v>111</v>
      </c>
      <c r="CI1780" t="s">
        <v>111</v>
      </c>
      <c r="CJ1780" t="s">
        <v>111</v>
      </c>
      <c r="CK1780" t="s">
        <v>111</v>
      </c>
      <c r="CL1780" t="e">
        <f>-DESTINO SELLADO</f>
        <v>#NAME?</v>
      </c>
      <c r="CM1780" t="s">
        <v>198</v>
      </c>
      <c r="CN1780" t="s">
        <v>113</v>
      </c>
      <c r="CO1780" t="s">
        <v>111</v>
      </c>
      <c r="CP1780" t="s">
        <v>1166</v>
      </c>
      <c r="CQ1780">
        <v>0</v>
      </c>
      <c r="CR1780">
        <v>2000</v>
      </c>
      <c r="CS1780">
        <v>200</v>
      </c>
      <c r="CT1780" s="1" t="s">
        <v>4925</v>
      </c>
      <c r="CU1780">
        <v>0</v>
      </c>
      <c r="CV1780" t="s">
        <v>111</v>
      </c>
      <c r="CW1780" t="s">
        <v>111</v>
      </c>
      <c r="CX1780" t="s">
        <v>111</v>
      </c>
      <c r="CY1780">
        <v>0</v>
      </c>
      <c r="CZ1780" t="s">
        <v>111</v>
      </c>
      <c r="DA1780" t="s">
        <v>111</v>
      </c>
      <c r="DB1780" t="s">
        <v>111</v>
      </c>
      <c r="DC1780" t="s">
        <v>111</v>
      </c>
    </row>
    <row r="1781" spans="1:107">
      <c r="A1781">
        <v>846</v>
      </c>
      <c r="B1781" t="s">
        <v>107</v>
      </c>
      <c r="C1781" t="s">
        <v>362</v>
      </c>
      <c r="D1781" t="s">
        <v>4280</v>
      </c>
      <c r="E1781" t="s">
        <v>4926</v>
      </c>
      <c r="F1781" t="s">
        <v>1651</v>
      </c>
      <c r="G1781" t="s">
        <v>24</v>
      </c>
      <c r="H1781">
        <v>1.8</v>
      </c>
      <c r="I1781">
        <v>48</v>
      </c>
      <c r="J1781">
        <v>0</v>
      </c>
      <c r="K1781">
        <v>0</v>
      </c>
      <c r="L1781" t="s">
        <v>112</v>
      </c>
      <c r="M1781" t="s">
        <v>118</v>
      </c>
      <c r="N1781">
        <v>40</v>
      </c>
      <c r="O1781">
        <v>1</v>
      </c>
      <c r="P1781" t="s">
        <v>138</v>
      </c>
      <c r="Q1781">
        <v>45</v>
      </c>
      <c r="R1781">
        <v>0</v>
      </c>
      <c r="S1781">
        <v>0</v>
      </c>
      <c r="T1781">
        <v>0</v>
      </c>
      <c r="U1781" s="1" t="s">
        <v>4927</v>
      </c>
      <c r="V1781">
        <v>0</v>
      </c>
      <c r="W1781">
        <v>0</v>
      </c>
      <c r="X1781">
        <v>0</v>
      </c>
      <c r="Y1781">
        <v>25</v>
      </c>
      <c r="Z1781" t="s">
        <v>111</v>
      </c>
      <c r="AA1781">
        <v>0</v>
      </c>
      <c r="AB1781" t="s">
        <v>111</v>
      </c>
      <c r="AC1781">
        <v>0</v>
      </c>
      <c r="AD1781" t="s">
        <v>416</v>
      </c>
      <c r="AE1781">
        <v>20</v>
      </c>
      <c r="AF1781">
        <v>1</v>
      </c>
      <c r="AG1781" t="s">
        <v>2918</v>
      </c>
      <c r="AH1781" t="s">
        <v>113</v>
      </c>
      <c r="AI1781" t="s">
        <v>2918</v>
      </c>
      <c r="AJ1781" t="s">
        <v>111</v>
      </c>
      <c r="AK1781" t="s">
        <v>111</v>
      </c>
      <c r="AL1781" t="s">
        <v>111</v>
      </c>
      <c r="AM1781">
        <v>0</v>
      </c>
      <c r="AN1781">
        <v>0</v>
      </c>
      <c r="AO1781">
        <v>0</v>
      </c>
      <c r="AP1781" t="s">
        <v>3041</v>
      </c>
      <c r="AQ1781" t="s">
        <v>111</v>
      </c>
      <c r="AR1781" t="s">
        <v>111</v>
      </c>
      <c r="AS1781" t="s">
        <v>111</v>
      </c>
      <c r="AT1781" t="s">
        <v>271</v>
      </c>
      <c r="AU1781" t="s">
        <v>111</v>
      </c>
      <c r="AV1781" t="s">
        <v>111</v>
      </c>
      <c r="AW1781" t="s">
        <v>111</v>
      </c>
      <c r="AX1781" t="s">
        <v>111</v>
      </c>
      <c r="AY1781" t="s">
        <v>111</v>
      </c>
      <c r="AZ1781" t="s">
        <v>111</v>
      </c>
      <c r="BA1781" t="s">
        <v>111</v>
      </c>
      <c r="BB1781" t="s">
        <v>111</v>
      </c>
      <c r="BC1781" t="s">
        <v>111</v>
      </c>
      <c r="BD1781" t="s">
        <v>111</v>
      </c>
      <c r="BE1781" t="s">
        <v>111</v>
      </c>
      <c r="BF1781" t="s">
        <v>111</v>
      </c>
      <c r="BG1781" t="s">
        <v>111</v>
      </c>
      <c r="BH1781" t="s">
        <v>111</v>
      </c>
      <c r="BI1781" t="s">
        <v>111</v>
      </c>
      <c r="BJ1781" t="s">
        <v>111</v>
      </c>
      <c r="BK1781" t="s">
        <v>111</v>
      </c>
      <c r="BL1781" t="s">
        <v>111</v>
      </c>
      <c r="BM1781" t="s">
        <v>111</v>
      </c>
      <c r="BN1781" t="s">
        <v>111</v>
      </c>
      <c r="BO1781" t="s">
        <v>111</v>
      </c>
      <c r="BP1781" t="s">
        <v>111</v>
      </c>
      <c r="BQ1781" t="s">
        <v>111</v>
      </c>
      <c r="BR1781" t="s">
        <v>111</v>
      </c>
      <c r="BS1781" t="s">
        <v>111</v>
      </c>
      <c r="BT1781" t="s">
        <v>111</v>
      </c>
      <c r="BU1781" t="s">
        <v>111</v>
      </c>
      <c r="BV1781" t="s">
        <v>111</v>
      </c>
      <c r="BW1781" t="s">
        <v>111</v>
      </c>
      <c r="BX1781" t="s">
        <v>111</v>
      </c>
      <c r="BY1781" t="s">
        <v>111</v>
      </c>
      <c r="BZ1781" t="s">
        <v>111</v>
      </c>
      <c r="CA1781" t="s">
        <v>111</v>
      </c>
      <c r="CB1781" t="s">
        <v>111</v>
      </c>
      <c r="CC1781" t="s">
        <v>111</v>
      </c>
      <c r="CD1781" t="s">
        <v>111</v>
      </c>
      <c r="CE1781" t="s">
        <v>111</v>
      </c>
      <c r="CF1781" t="s">
        <v>111</v>
      </c>
      <c r="CG1781" t="s">
        <v>111</v>
      </c>
      <c r="CH1781" t="s">
        <v>111</v>
      </c>
      <c r="CI1781" t="s">
        <v>111</v>
      </c>
      <c r="CJ1781" t="s">
        <v>111</v>
      </c>
      <c r="CK1781" t="s">
        <v>111</v>
      </c>
      <c r="CL1781" t="e">
        <f>-DESTINO SELLADO</f>
        <v>#NAME?</v>
      </c>
      <c r="CM1781" t="s">
        <v>198</v>
      </c>
      <c r="CN1781" t="s">
        <v>113</v>
      </c>
      <c r="CO1781" t="s">
        <v>111</v>
      </c>
      <c r="CP1781" t="s">
        <v>1836</v>
      </c>
      <c r="CQ1781">
        <v>0</v>
      </c>
      <c r="CR1781">
        <v>2000</v>
      </c>
      <c r="CS1781">
        <v>200</v>
      </c>
      <c r="CT1781" s="1" t="s">
        <v>4928</v>
      </c>
      <c r="CU1781">
        <v>0</v>
      </c>
      <c r="CV1781" t="s">
        <v>111</v>
      </c>
      <c r="CW1781" t="s">
        <v>111</v>
      </c>
      <c r="CX1781" t="s">
        <v>111</v>
      </c>
      <c r="CY1781">
        <v>0</v>
      </c>
      <c r="CZ1781" t="s">
        <v>111</v>
      </c>
      <c r="DA1781" t="s">
        <v>111</v>
      </c>
      <c r="DB1781" t="s">
        <v>111</v>
      </c>
      <c r="DC1781" t="s">
        <v>111</v>
      </c>
    </row>
    <row r="1782" spans="1:107">
      <c r="A1782">
        <v>854</v>
      </c>
      <c r="B1782" t="s">
        <v>107</v>
      </c>
      <c r="C1782" t="s">
        <v>1068</v>
      </c>
      <c r="D1782" t="s">
        <v>4929</v>
      </c>
      <c r="E1782" t="s">
        <v>4930</v>
      </c>
      <c r="F1782" t="s">
        <v>1651</v>
      </c>
      <c r="G1782" t="s">
        <v>24</v>
      </c>
      <c r="H1782">
        <v>2.8</v>
      </c>
      <c r="I1782">
        <v>33</v>
      </c>
      <c r="J1782">
        <v>0</v>
      </c>
      <c r="K1782">
        <v>0</v>
      </c>
      <c r="L1782" t="s">
        <v>112</v>
      </c>
      <c r="M1782" t="s">
        <v>118</v>
      </c>
      <c r="N1782">
        <v>39</v>
      </c>
      <c r="O1782">
        <v>1</v>
      </c>
      <c r="P1782" t="s">
        <v>138</v>
      </c>
      <c r="Q1782">
        <v>30.5</v>
      </c>
      <c r="R1782">
        <v>0</v>
      </c>
      <c r="S1782">
        <v>0</v>
      </c>
      <c r="T1782">
        <v>5</v>
      </c>
      <c r="U1782" t="s">
        <v>1384</v>
      </c>
      <c r="V1782">
        <v>0</v>
      </c>
      <c r="W1782">
        <v>0</v>
      </c>
      <c r="X1782">
        <v>0</v>
      </c>
      <c r="Y1782">
        <v>25</v>
      </c>
      <c r="Z1782" t="s">
        <v>111</v>
      </c>
      <c r="AA1782">
        <v>0</v>
      </c>
      <c r="AB1782" t="s">
        <v>3954</v>
      </c>
      <c r="AC1782">
        <v>3</v>
      </c>
      <c r="AD1782" t="s">
        <v>416</v>
      </c>
      <c r="AE1782">
        <v>1</v>
      </c>
      <c r="AF1782">
        <v>1</v>
      </c>
      <c r="AG1782">
        <v>27</v>
      </c>
      <c r="AH1782" t="s">
        <v>113</v>
      </c>
      <c r="AI1782" t="s">
        <v>4863</v>
      </c>
      <c r="AJ1782" t="s">
        <v>111</v>
      </c>
      <c r="AK1782" t="s">
        <v>111</v>
      </c>
      <c r="AL1782" t="s">
        <v>111</v>
      </c>
      <c r="AM1782">
        <v>0</v>
      </c>
      <c r="AN1782">
        <v>0</v>
      </c>
      <c r="AO1782">
        <v>0</v>
      </c>
      <c r="AP1782" t="s">
        <v>259</v>
      </c>
      <c r="AQ1782" t="s">
        <v>111</v>
      </c>
      <c r="AR1782" t="s">
        <v>111</v>
      </c>
      <c r="AS1782" t="s">
        <v>111</v>
      </c>
      <c r="AT1782" t="s">
        <v>111</v>
      </c>
      <c r="AU1782" t="s">
        <v>111</v>
      </c>
      <c r="AV1782" t="s">
        <v>111</v>
      </c>
      <c r="AW1782" t="s">
        <v>111</v>
      </c>
      <c r="AX1782" t="s">
        <v>111</v>
      </c>
      <c r="AY1782" t="s">
        <v>111</v>
      </c>
      <c r="AZ1782" t="s">
        <v>111</v>
      </c>
      <c r="BA1782" t="s">
        <v>111</v>
      </c>
      <c r="BB1782" t="s">
        <v>111</v>
      </c>
      <c r="BC1782" t="s">
        <v>111</v>
      </c>
      <c r="BD1782" t="s">
        <v>111</v>
      </c>
      <c r="BE1782" t="s">
        <v>111</v>
      </c>
      <c r="BF1782" t="s">
        <v>111</v>
      </c>
      <c r="BG1782" t="s">
        <v>111</v>
      </c>
      <c r="BH1782" t="s">
        <v>111</v>
      </c>
      <c r="BI1782" t="s">
        <v>111</v>
      </c>
      <c r="BJ1782" t="s">
        <v>111</v>
      </c>
      <c r="BK1782" t="s">
        <v>111</v>
      </c>
      <c r="BL1782" t="s">
        <v>111</v>
      </c>
      <c r="BM1782" t="s">
        <v>111</v>
      </c>
      <c r="BN1782" t="s">
        <v>259</v>
      </c>
      <c r="BO1782" t="s">
        <v>111</v>
      </c>
      <c r="BP1782" t="s">
        <v>111</v>
      </c>
      <c r="BQ1782" t="s">
        <v>111</v>
      </c>
      <c r="BR1782" t="s">
        <v>111</v>
      </c>
      <c r="BS1782" t="s">
        <v>111</v>
      </c>
      <c r="BT1782" t="s">
        <v>111</v>
      </c>
      <c r="BU1782" t="s">
        <v>111</v>
      </c>
      <c r="BV1782" t="s">
        <v>111</v>
      </c>
      <c r="BW1782" t="s">
        <v>111</v>
      </c>
      <c r="BX1782" t="s">
        <v>111</v>
      </c>
      <c r="BY1782" t="s">
        <v>111</v>
      </c>
      <c r="BZ1782" t="s">
        <v>111</v>
      </c>
      <c r="CA1782" t="s">
        <v>111</v>
      </c>
      <c r="CB1782" t="s">
        <v>111</v>
      </c>
      <c r="CC1782" t="s">
        <v>111</v>
      </c>
      <c r="CD1782" t="s">
        <v>111</v>
      </c>
      <c r="CE1782" t="s">
        <v>111</v>
      </c>
      <c r="CF1782" t="s">
        <v>111</v>
      </c>
      <c r="CG1782" t="s">
        <v>111</v>
      </c>
      <c r="CH1782" t="s">
        <v>111</v>
      </c>
      <c r="CI1782" t="s">
        <v>111</v>
      </c>
      <c r="CJ1782" t="s">
        <v>111</v>
      </c>
      <c r="CK1782" t="s">
        <v>111</v>
      </c>
      <c r="CL1782" t="e">
        <f>-DESTINO SELLADO</f>
        <v>#NAME?</v>
      </c>
      <c r="CM1782" t="s">
        <v>198</v>
      </c>
      <c r="CN1782" t="s">
        <v>113</v>
      </c>
      <c r="CO1782" t="s">
        <v>4931</v>
      </c>
      <c r="CP1782" t="s">
        <v>111</v>
      </c>
      <c r="CQ1782">
        <v>44</v>
      </c>
      <c r="CR1782">
        <v>2000</v>
      </c>
      <c r="CS1782">
        <v>50</v>
      </c>
      <c r="CT1782" s="1" t="s">
        <v>4932</v>
      </c>
      <c r="CU1782">
        <v>0</v>
      </c>
      <c r="CV1782" t="s">
        <v>111</v>
      </c>
      <c r="CW1782" t="s">
        <v>111</v>
      </c>
      <c r="CX1782" t="s">
        <v>111</v>
      </c>
      <c r="CY1782">
        <v>0</v>
      </c>
      <c r="CZ1782" t="s">
        <v>111</v>
      </c>
      <c r="DA1782" t="s">
        <v>111</v>
      </c>
      <c r="DB1782" t="e">
        <f>-INTERNO</f>
        <v>#NAME?</v>
      </c>
      <c r="DC1782" t="e">
        <f>-TROQUEL TIPO SOBRE</f>
        <v>#NAME?</v>
      </c>
    </row>
    <row r="1783" spans="1:107">
      <c r="A1783">
        <v>829</v>
      </c>
      <c r="B1783" t="s">
        <v>107</v>
      </c>
      <c r="C1783" t="s">
        <v>1643</v>
      </c>
      <c r="D1783" t="s">
        <v>4933</v>
      </c>
      <c r="E1783" t="s">
        <v>4934</v>
      </c>
      <c r="F1783" t="s">
        <v>2211</v>
      </c>
      <c r="G1783" t="s">
        <v>24</v>
      </c>
      <c r="H1783">
        <v>2</v>
      </c>
      <c r="I1783">
        <v>50</v>
      </c>
      <c r="J1783">
        <v>0</v>
      </c>
      <c r="K1783">
        <v>0</v>
      </c>
      <c r="L1783" t="s">
        <v>2054</v>
      </c>
      <c r="M1783" t="s">
        <v>138</v>
      </c>
      <c r="N1783">
        <v>0</v>
      </c>
      <c r="O1783">
        <v>0</v>
      </c>
      <c r="P1783" t="s">
        <v>138</v>
      </c>
      <c r="Q1783">
        <v>40</v>
      </c>
      <c r="R1783">
        <v>0</v>
      </c>
      <c r="S1783">
        <v>0</v>
      </c>
      <c r="T1783">
        <v>0</v>
      </c>
      <c r="U1783" s="1" t="s">
        <v>4935</v>
      </c>
      <c r="V1783">
        <v>0</v>
      </c>
      <c r="W1783">
        <v>0</v>
      </c>
      <c r="X1783">
        <v>0</v>
      </c>
      <c r="Y1783">
        <v>25</v>
      </c>
      <c r="Z1783" t="s">
        <v>111</v>
      </c>
      <c r="AA1783">
        <v>0</v>
      </c>
      <c r="AB1783" t="s">
        <v>111</v>
      </c>
      <c r="AC1783">
        <v>0</v>
      </c>
      <c r="AD1783" t="s">
        <v>111</v>
      </c>
      <c r="AE1783">
        <v>0</v>
      </c>
      <c r="AF1783">
        <v>0</v>
      </c>
      <c r="AG1783" t="s">
        <v>111</v>
      </c>
      <c r="AH1783" t="s">
        <v>111</v>
      </c>
      <c r="AI1783" t="s">
        <v>111</v>
      </c>
      <c r="AJ1783" t="s">
        <v>111</v>
      </c>
      <c r="AK1783" t="s">
        <v>111</v>
      </c>
      <c r="AL1783" t="s">
        <v>111</v>
      </c>
      <c r="AM1783">
        <v>0</v>
      </c>
      <c r="AN1783">
        <v>0</v>
      </c>
      <c r="AO1783">
        <v>0</v>
      </c>
      <c r="AP1783" t="s">
        <v>111</v>
      </c>
      <c r="AQ1783" t="s">
        <v>111</v>
      </c>
      <c r="AR1783" t="s">
        <v>111</v>
      </c>
      <c r="AS1783" t="s">
        <v>111</v>
      </c>
      <c r="AT1783" t="s">
        <v>111</v>
      </c>
      <c r="AU1783" t="s">
        <v>111</v>
      </c>
      <c r="AV1783" t="s">
        <v>111</v>
      </c>
      <c r="AW1783" t="s">
        <v>111</v>
      </c>
      <c r="AX1783" t="s">
        <v>111</v>
      </c>
      <c r="AY1783" t="s">
        <v>111</v>
      </c>
      <c r="AZ1783" t="s">
        <v>111</v>
      </c>
      <c r="BA1783" t="s">
        <v>111</v>
      </c>
      <c r="BB1783" t="s">
        <v>111</v>
      </c>
      <c r="BC1783" t="s">
        <v>111</v>
      </c>
      <c r="BD1783" t="s">
        <v>111</v>
      </c>
      <c r="BE1783" t="s">
        <v>111</v>
      </c>
      <c r="BF1783" t="s">
        <v>111</v>
      </c>
      <c r="BG1783" t="s">
        <v>111</v>
      </c>
      <c r="BH1783" t="s">
        <v>111</v>
      </c>
      <c r="BI1783" t="s">
        <v>111</v>
      </c>
      <c r="BJ1783" t="s">
        <v>111</v>
      </c>
      <c r="BK1783" t="s">
        <v>111</v>
      </c>
      <c r="BL1783" t="s">
        <v>111</v>
      </c>
      <c r="BM1783" t="s">
        <v>111</v>
      </c>
      <c r="BN1783" t="s">
        <v>111</v>
      </c>
      <c r="BO1783" t="s">
        <v>111</v>
      </c>
      <c r="BP1783" t="s">
        <v>111</v>
      </c>
      <c r="BQ1783" t="s">
        <v>111</v>
      </c>
      <c r="BR1783" t="s">
        <v>111</v>
      </c>
      <c r="BS1783" t="s">
        <v>111</v>
      </c>
      <c r="BT1783" t="s">
        <v>111</v>
      </c>
      <c r="BU1783" t="s">
        <v>111</v>
      </c>
      <c r="BV1783" t="s">
        <v>111</v>
      </c>
      <c r="BW1783" t="s">
        <v>111</v>
      </c>
      <c r="BX1783" t="s">
        <v>111</v>
      </c>
      <c r="BY1783" t="s">
        <v>111</v>
      </c>
      <c r="BZ1783" t="s">
        <v>111</v>
      </c>
      <c r="CA1783" t="s">
        <v>111</v>
      </c>
      <c r="CB1783" t="s">
        <v>111</v>
      </c>
      <c r="CC1783" t="s">
        <v>111</v>
      </c>
      <c r="CD1783" t="s">
        <v>111</v>
      </c>
      <c r="CE1783" t="s">
        <v>111</v>
      </c>
      <c r="CF1783" t="s">
        <v>111</v>
      </c>
      <c r="CG1783" t="s">
        <v>111</v>
      </c>
      <c r="CH1783" t="s">
        <v>111</v>
      </c>
      <c r="CI1783" t="s">
        <v>111</v>
      </c>
      <c r="CJ1783" t="s">
        <v>111</v>
      </c>
      <c r="CK1783" t="s">
        <v>111</v>
      </c>
      <c r="CL1783" t="s">
        <v>111</v>
      </c>
      <c r="CM1783" t="s">
        <v>111</v>
      </c>
      <c r="CN1783" t="s">
        <v>111</v>
      </c>
      <c r="CO1783" t="s">
        <v>111</v>
      </c>
      <c r="CP1783" t="s">
        <v>111</v>
      </c>
      <c r="CQ1783">
        <v>0</v>
      </c>
      <c r="CR1783">
        <v>0</v>
      </c>
      <c r="CS1783">
        <v>0</v>
      </c>
      <c r="CT1783" t="s">
        <v>111</v>
      </c>
      <c r="CU1783">
        <v>0</v>
      </c>
      <c r="CV1783" t="s">
        <v>111</v>
      </c>
      <c r="CW1783" t="s">
        <v>111</v>
      </c>
      <c r="CX1783" t="s">
        <v>111</v>
      </c>
      <c r="CY1783">
        <v>0</v>
      </c>
      <c r="CZ1783" t="s">
        <v>111</v>
      </c>
      <c r="DA1783" t="s">
        <v>111</v>
      </c>
      <c r="DB1783" t="s">
        <v>111</v>
      </c>
      <c r="DC1783" t="s">
        <v>111</v>
      </c>
    </row>
    <row r="1784" spans="1:107">
      <c r="A1784">
        <v>559</v>
      </c>
      <c r="B1784" t="s">
        <v>107</v>
      </c>
      <c r="C1784" t="s">
        <v>1800</v>
      </c>
      <c r="D1784" t="s">
        <v>4936</v>
      </c>
      <c r="E1784" t="s">
        <v>4937</v>
      </c>
      <c r="F1784" t="s">
        <v>4867</v>
      </c>
      <c r="G1784" t="s">
        <v>24</v>
      </c>
      <c r="H1784">
        <v>1.5</v>
      </c>
      <c r="I1784">
        <v>30</v>
      </c>
      <c r="J1784">
        <v>0</v>
      </c>
      <c r="K1784">
        <v>0</v>
      </c>
      <c r="L1784" t="s">
        <v>117</v>
      </c>
      <c r="M1784" t="s">
        <v>118</v>
      </c>
      <c r="N1784">
        <v>40</v>
      </c>
      <c r="O1784">
        <v>1</v>
      </c>
      <c r="P1784" t="s">
        <v>138</v>
      </c>
      <c r="Q1784">
        <v>40</v>
      </c>
      <c r="R1784">
        <v>0</v>
      </c>
      <c r="S1784">
        <v>0</v>
      </c>
      <c r="T1784">
        <v>0</v>
      </c>
      <c r="U1784" s="1" t="s">
        <v>4938</v>
      </c>
      <c r="V1784">
        <v>0</v>
      </c>
      <c r="W1784">
        <v>0</v>
      </c>
      <c r="X1784">
        <v>0</v>
      </c>
      <c r="Y1784">
        <v>25</v>
      </c>
      <c r="Z1784" t="s">
        <v>111</v>
      </c>
      <c r="AA1784">
        <v>0</v>
      </c>
      <c r="AB1784" t="s">
        <v>111</v>
      </c>
      <c r="AC1784">
        <v>0</v>
      </c>
      <c r="AD1784" t="s">
        <v>416</v>
      </c>
      <c r="AE1784">
        <v>1</v>
      </c>
      <c r="AF1784">
        <v>1</v>
      </c>
      <c r="AG1784" t="s">
        <v>4869</v>
      </c>
      <c r="AH1784" t="s">
        <v>128</v>
      </c>
      <c r="AI1784" t="s">
        <v>111</v>
      </c>
      <c r="AJ1784" t="s">
        <v>111</v>
      </c>
      <c r="AK1784" t="s">
        <v>111</v>
      </c>
      <c r="AL1784" t="s">
        <v>111</v>
      </c>
      <c r="AM1784">
        <v>0</v>
      </c>
      <c r="AN1784">
        <v>0</v>
      </c>
      <c r="AO1784">
        <v>0</v>
      </c>
      <c r="AP1784" t="s">
        <v>271</v>
      </c>
      <c r="AQ1784" t="s">
        <v>111</v>
      </c>
      <c r="AR1784" t="s">
        <v>111</v>
      </c>
      <c r="AS1784" t="s">
        <v>111</v>
      </c>
      <c r="AT1784" t="s">
        <v>111</v>
      </c>
      <c r="AU1784" t="s">
        <v>111</v>
      </c>
      <c r="AV1784" t="s">
        <v>111</v>
      </c>
      <c r="AW1784" t="s">
        <v>111</v>
      </c>
      <c r="AX1784" t="s">
        <v>111</v>
      </c>
      <c r="AY1784" t="s">
        <v>111</v>
      </c>
      <c r="AZ1784" t="s">
        <v>111</v>
      </c>
      <c r="BA1784" t="s">
        <v>111</v>
      </c>
      <c r="BB1784" t="s">
        <v>111</v>
      </c>
      <c r="BC1784" t="s">
        <v>111</v>
      </c>
      <c r="BD1784" t="s">
        <v>111</v>
      </c>
      <c r="BE1784" t="s">
        <v>111</v>
      </c>
      <c r="BF1784" t="s">
        <v>111</v>
      </c>
      <c r="BG1784" t="s">
        <v>111</v>
      </c>
      <c r="BH1784" t="s">
        <v>111</v>
      </c>
      <c r="BI1784" t="s">
        <v>111</v>
      </c>
      <c r="BJ1784" t="s">
        <v>111</v>
      </c>
      <c r="BK1784" t="s">
        <v>111</v>
      </c>
      <c r="BL1784" t="s">
        <v>111</v>
      </c>
      <c r="BM1784" t="s">
        <v>111</v>
      </c>
      <c r="BN1784" t="s">
        <v>111</v>
      </c>
      <c r="BO1784" t="s">
        <v>111</v>
      </c>
      <c r="BP1784" t="s">
        <v>111</v>
      </c>
      <c r="BQ1784" t="s">
        <v>111</v>
      </c>
      <c r="BR1784" t="s">
        <v>111</v>
      </c>
      <c r="BS1784" t="s">
        <v>111</v>
      </c>
      <c r="BT1784" t="s">
        <v>111</v>
      </c>
      <c r="BU1784" t="s">
        <v>111</v>
      </c>
      <c r="BV1784" t="s">
        <v>111</v>
      </c>
      <c r="BW1784" t="s">
        <v>111</v>
      </c>
      <c r="BX1784" t="s">
        <v>111</v>
      </c>
      <c r="BY1784" t="s">
        <v>111</v>
      </c>
      <c r="BZ1784" t="s">
        <v>111</v>
      </c>
      <c r="CA1784" t="s">
        <v>111</v>
      </c>
      <c r="CB1784" t="s">
        <v>111</v>
      </c>
      <c r="CC1784" t="s">
        <v>111</v>
      </c>
      <c r="CD1784" t="s">
        <v>111</v>
      </c>
      <c r="CE1784" t="s">
        <v>111</v>
      </c>
      <c r="CF1784" t="s">
        <v>111</v>
      </c>
      <c r="CG1784" t="s">
        <v>111</v>
      </c>
      <c r="CH1784" t="s">
        <v>111</v>
      </c>
      <c r="CI1784" t="s">
        <v>111</v>
      </c>
      <c r="CJ1784" t="s">
        <v>111</v>
      </c>
      <c r="CK1784" t="s">
        <v>111</v>
      </c>
      <c r="CL1784" t="e">
        <f>-DESTINO ALMACEN</f>
        <v>#NAME?</v>
      </c>
      <c r="CM1784" t="s">
        <v>111</v>
      </c>
      <c r="CN1784" t="s">
        <v>111</v>
      </c>
      <c r="CO1784" t="s">
        <v>111</v>
      </c>
      <c r="CP1784" t="s">
        <v>111</v>
      </c>
      <c r="CQ1784">
        <v>0</v>
      </c>
      <c r="CR1784">
        <v>0</v>
      </c>
      <c r="CS1784">
        <v>0</v>
      </c>
      <c r="CT1784" t="s">
        <v>111</v>
      </c>
      <c r="CU1784">
        <v>30</v>
      </c>
      <c r="CV1784" t="e">
        <f>-CENTRADA</f>
        <v>#NAME?</v>
      </c>
      <c r="CW1784" t="s">
        <v>111</v>
      </c>
      <c r="CX1784" t="s">
        <v>111</v>
      </c>
      <c r="CY1784">
        <v>20</v>
      </c>
      <c r="CZ1784" t="s">
        <v>117</v>
      </c>
      <c r="DA1784" t="s">
        <v>4939</v>
      </c>
      <c r="DB1784" t="s">
        <v>111</v>
      </c>
      <c r="DC1784" t="s">
        <v>111</v>
      </c>
    </row>
    <row r="1785" spans="1:107">
      <c r="A1785">
        <v>664</v>
      </c>
      <c r="B1785" t="s">
        <v>162</v>
      </c>
      <c r="C1785" t="s">
        <v>454</v>
      </c>
      <c r="D1785" t="s">
        <v>4432</v>
      </c>
      <c r="E1785" t="s">
        <v>4940</v>
      </c>
      <c r="F1785" t="s">
        <v>1651</v>
      </c>
      <c r="G1785" t="s">
        <v>24</v>
      </c>
      <c r="H1785">
        <v>1.9</v>
      </c>
      <c r="I1785">
        <v>40</v>
      </c>
      <c r="J1785">
        <v>0</v>
      </c>
      <c r="K1785">
        <v>0</v>
      </c>
      <c r="L1785" t="s">
        <v>112</v>
      </c>
      <c r="M1785" t="s">
        <v>118</v>
      </c>
      <c r="N1785">
        <v>40</v>
      </c>
      <c r="O1785">
        <v>1</v>
      </c>
      <c r="P1785" t="s">
        <v>138</v>
      </c>
      <c r="Q1785">
        <v>37.700000000000003</v>
      </c>
      <c r="R1785">
        <v>0</v>
      </c>
      <c r="S1785">
        <v>0</v>
      </c>
      <c r="T1785">
        <v>5</v>
      </c>
      <c r="U1785" t="s">
        <v>1353</v>
      </c>
      <c r="V1785">
        <v>0</v>
      </c>
      <c r="W1785">
        <v>0</v>
      </c>
      <c r="X1785">
        <v>0</v>
      </c>
      <c r="Y1785">
        <v>25</v>
      </c>
      <c r="Z1785" t="s">
        <v>111</v>
      </c>
      <c r="AA1785">
        <v>0</v>
      </c>
      <c r="AB1785" t="s">
        <v>111</v>
      </c>
      <c r="AC1785">
        <v>0</v>
      </c>
      <c r="AD1785" t="s">
        <v>416</v>
      </c>
      <c r="AE1785">
        <v>1</v>
      </c>
      <c r="AF1785">
        <v>1</v>
      </c>
      <c r="AG1785">
        <v>30</v>
      </c>
      <c r="AH1785" t="s">
        <v>111</v>
      </c>
      <c r="AI1785">
        <v>30</v>
      </c>
      <c r="AJ1785" t="s">
        <v>111</v>
      </c>
      <c r="AK1785" t="s">
        <v>111</v>
      </c>
      <c r="AL1785" t="s">
        <v>111</v>
      </c>
      <c r="AM1785">
        <v>0</v>
      </c>
      <c r="AN1785">
        <v>0</v>
      </c>
      <c r="AO1785">
        <v>0</v>
      </c>
      <c r="AP1785" t="s">
        <v>2774</v>
      </c>
      <c r="AQ1785" t="s">
        <v>111</v>
      </c>
      <c r="AR1785" t="s">
        <v>111</v>
      </c>
      <c r="AS1785" t="s">
        <v>111</v>
      </c>
      <c r="AT1785" t="s">
        <v>111</v>
      </c>
      <c r="AU1785" t="s">
        <v>111</v>
      </c>
      <c r="AV1785" t="s">
        <v>111</v>
      </c>
      <c r="AW1785" t="s">
        <v>111</v>
      </c>
      <c r="AX1785" t="s">
        <v>111</v>
      </c>
      <c r="AY1785" t="s">
        <v>111</v>
      </c>
      <c r="AZ1785" t="s">
        <v>111</v>
      </c>
      <c r="BA1785" t="s">
        <v>111</v>
      </c>
      <c r="BB1785" t="s">
        <v>111</v>
      </c>
      <c r="BC1785" t="s">
        <v>111</v>
      </c>
      <c r="BD1785" t="s">
        <v>111</v>
      </c>
      <c r="BE1785" t="s">
        <v>111</v>
      </c>
      <c r="BF1785" t="s">
        <v>111</v>
      </c>
      <c r="BG1785" t="s">
        <v>111</v>
      </c>
      <c r="BH1785" t="s">
        <v>111</v>
      </c>
      <c r="BI1785" t="s">
        <v>111</v>
      </c>
      <c r="BJ1785" t="s">
        <v>111</v>
      </c>
      <c r="BK1785" t="s">
        <v>111</v>
      </c>
      <c r="BL1785" t="s">
        <v>111</v>
      </c>
      <c r="BM1785" t="s">
        <v>111</v>
      </c>
      <c r="BN1785" t="s">
        <v>111</v>
      </c>
      <c r="BO1785" t="s">
        <v>111</v>
      </c>
      <c r="BP1785" t="s">
        <v>111</v>
      </c>
      <c r="BQ1785" t="s">
        <v>111</v>
      </c>
      <c r="BR1785" t="s">
        <v>111</v>
      </c>
      <c r="BS1785" t="s">
        <v>111</v>
      </c>
      <c r="BT1785" t="s">
        <v>111</v>
      </c>
      <c r="BU1785" t="s">
        <v>111</v>
      </c>
      <c r="BV1785" t="s">
        <v>111</v>
      </c>
      <c r="BW1785" t="s">
        <v>111</v>
      </c>
      <c r="BX1785" t="s">
        <v>111</v>
      </c>
      <c r="BY1785" t="s">
        <v>111</v>
      </c>
      <c r="BZ1785" t="s">
        <v>111</v>
      </c>
      <c r="CA1785" t="s">
        <v>111</v>
      </c>
      <c r="CB1785" t="s">
        <v>111</v>
      </c>
      <c r="CC1785" t="s">
        <v>111</v>
      </c>
      <c r="CD1785" t="s">
        <v>111</v>
      </c>
      <c r="CE1785" t="s">
        <v>111</v>
      </c>
      <c r="CF1785" t="s">
        <v>111</v>
      </c>
      <c r="CG1785" t="s">
        <v>111</v>
      </c>
      <c r="CH1785" t="s">
        <v>111</v>
      </c>
      <c r="CI1785" t="s">
        <v>111</v>
      </c>
      <c r="CJ1785" t="s">
        <v>111</v>
      </c>
      <c r="CK1785" t="s">
        <v>111</v>
      </c>
      <c r="CL1785" t="s">
        <v>153</v>
      </c>
      <c r="CM1785" t="s">
        <v>198</v>
      </c>
      <c r="CN1785" t="s">
        <v>113</v>
      </c>
      <c r="CO1785" t="s">
        <v>111</v>
      </c>
      <c r="CP1785" t="s">
        <v>1971</v>
      </c>
      <c r="CQ1785">
        <v>76</v>
      </c>
      <c r="CR1785">
        <v>3000</v>
      </c>
      <c r="CS1785">
        <v>200</v>
      </c>
      <c r="CT1785" s="1" t="s">
        <v>4941</v>
      </c>
      <c r="CU1785">
        <v>0</v>
      </c>
      <c r="CV1785" t="s">
        <v>111</v>
      </c>
      <c r="CW1785" t="s">
        <v>111</v>
      </c>
      <c r="CX1785" t="s">
        <v>111</v>
      </c>
      <c r="CY1785">
        <v>0</v>
      </c>
      <c r="CZ1785" t="s">
        <v>111</v>
      </c>
      <c r="DA1785" t="s">
        <v>111</v>
      </c>
      <c r="DB1785" t="s">
        <v>111</v>
      </c>
      <c r="DC1785" t="s">
        <v>111</v>
      </c>
    </row>
    <row r="1786" spans="1:107">
      <c r="A1786">
        <v>655</v>
      </c>
      <c r="B1786" t="s">
        <v>162</v>
      </c>
      <c r="C1786" t="s">
        <v>4942</v>
      </c>
      <c r="D1786" t="s">
        <v>4943</v>
      </c>
      <c r="E1786" t="s">
        <v>4944</v>
      </c>
      <c r="F1786" t="s">
        <v>1651</v>
      </c>
      <c r="G1786" t="s">
        <v>24</v>
      </c>
      <c r="H1786">
        <v>1.2</v>
      </c>
      <c r="I1786">
        <v>35</v>
      </c>
      <c r="J1786">
        <v>0</v>
      </c>
      <c r="K1786">
        <v>0</v>
      </c>
      <c r="L1786" t="s">
        <v>112</v>
      </c>
      <c r="M1786" t="s">
        <v>118</v>
      </c>
      <c r="N1786">
        <v>40</v>
      </c>
      <c r="O1786">
        <v>2</v>
      </c>
      <c r="P1786" t="s">
        <v>138</v>
      </c>
      <c r="Q1786">
        <v>35</v>
      </c>
      <c r="R1786">
        <v>0</v>
      </c>
      <c r="S1786">
        <v>0</v>
      </c>
      <c r="T1786">
        <v>0</v>
      </c>
      <c r="U1786" t="s">
        <v>1353</v>
      </c>
      <c r="V1786">
        <v>0</v>
      </c>
      <c r="W1786">
        <v>0</v>
      </c>
      <c r="X1786">
        <v>0</v>
      </c>
      <c r="Y1786">
        <v>25</v>
      </c>
      <c r="Z1786" t="s">
        <v>111</v>
      </c>
      <c r="AA1786">
        <v>0</v>
      </c>
      <c r="AB1786" t="s">
        <v>111</v>
      </c>
      <c r="AC1786">
        <v>0</v>
      </c>
      <c r="AD1786" t="s">
        <v>416</v>
      </c>
      <c r="AE1786">
        <v>2</v>
      </c>
      <c r="AF1786">
        <v>2</v>
      </c>
      <c r="AG1786">
        <v>18</v>
      </c>
      <c r="AH1786" t="s">
        <v>111</v>
      </c>
      <c r="AI1786">
        <v>36</v>
      </c>
      <c r="AJ1786" t="s">
        <v>111</v>
      </c>
      <c r="AK1786" t="s">
        <v>111</v>
      </c>
      <c r="AL1786" t="s">
        <v>111</v>
      </c>
      <c r="AM1786">
        <v>0</v>
      </c>
      <c r="AN1786">
        <v>0</v>
      </c>
      <c r="AO1786">
        <v>0</v>
      </c>
      <c r="AP1786" t="s">
        <v>184</v>
      </c>
      <c r="AQ1786" t="s">
        <v>111</v>
      </c>
      <c r="AR1786" t="s">
        <v>111</v>
      </c>
      <c r="AS1786" t="s">
        <v>111</v>
      </c>
      <c r="AT1786" t="s">
        <v>271</v>
      </c>
      <c r="AU1786" t="s">
        <v>111</v>
      </c>
      <c r="AV1786" t="s">
        <v>111</v>
      </c>
      <c r="AW1786" t="s">
        <v>111</v>
      </c>
      <c r="AX1786" t="s">
        <v>111</v>
      </c>
      <c r="AY1786" t="s">
        <v>111</v>
      </c>
      <c r="AZ1786" t="s">
        <v>111</v>
      </c>
      <c r="BA1786" t="s">
        <v>111</v>
      </c>
      <c r="BB1786" t="s">
        <v>111</v>
      </c>
      <c r="BC1786" t="s">
        <v>111</v>
      </c>
      <c r="BD1786" t="s">
        <v>111</v>
      </c>
      <c r="BE1786" t="s">
        <v>111</v>
      </c>
      <c r="BF1786" t="s">
        <v>111</v>
      </c>
      <c r="BG1786" t="s">
        <v>111</v>
      </c>
      <c r="BH1786" t="s">
        <v>111</v>
      </c>
      <c r="BI1786" t="s">
        <v>111</v>
      </c>
      <c r="BJ1786" t="s">
        <v>111</v>
      </c>
      <c r="BK1786" t="s">
        <v>111</v>
      </c>
      <c r="BL1786" t="s">
        <v>111</v>
      </c>
      <c r="BM1786" t="s">
        <v>111</v>
      </c>
      <c r="BN1786" t="s">
        <v>111</v>
      </c>
      <c r="BO1786" t="s">
        <v>111</v>
      </c>
      <c r="BP1786" t="s">
        <v>111</v>
      </c>
      <c r="BQ1786" t="s">
        <v>111</v>
      </c>
      <c r="BR1786" t="s">
        <v>111</v>
      </c>
      <c r="BS1786" t="s">
        <v>111</v>
      </c>
      <c r="BT1786" t="s">
        <v>111</v>
      </c>
      <c r="BU1786" t="s">
        <v>111</v>
      </c>
      <c r="BV1786" t="s">
        <v>111</v>
      </c>
      <c r="BW1786" t="s">
        <v>111</v>
      </c>
      <c r="BX1786" t="s">
        <v>111</v>
      </c>
      <c r="BY1786" t="s">
        <v>111</v>
      </c>
      <c r="BZ1786" t="s">
        <v>111</v>
      </c>
      <c r="CA1786" t="s">
        <v>111</v>
      </c>
      <c r="CB1786" t="s">
        <v>111</v>
      </c>
      <c r="CC1786" t="s">
        <v>111</v>
      </c>
      <c r="CD1786" t="s">
        <v>111</v>
      </c>
      <c r="CE1786" t="s">
        <v>111</v>
      </c>
      <c r="CF1786" t="s">
        <v>111</v>
      </c>
      <c r="CG1786" t="s">
        <v>111</v>
      </c>
      <c r="CH1786" t="s">
        <v>111</v>
      </c>
      <c r="CI1786" t="s">
        <v>111</v>
      </c>
      <c r="CJ1786" t="s">
        <v>111</v>
      </c>
      <c r="CK1786" t="s">
        <v>111</v>
      </c>
      <c r="CL1786" t="s">
        <v>153</v>
      </c>
      <c r="CM1786" t="s">
        <v>198</v>
      </c>
      <c r="CN1786" t="s">
        <v>113</v>
      </c>
      <c r="CO1786" t="s">
        <v>111</v>
      </c>
      <c r="CP1786" t="s">
        <v>433</v>
      </c>
      <c r="CQ1786">
        <v>0</v>
      </c>
      <c r="CR1786">
        <v>6000</v>
      </c>
      <c r="CS1786">
        <v>200</v>
      </c>
      <c r="CT1786" s="1" t="s">
        <v>3180</v>
      </c>
      <c r="CU1786">
        <v>0</v>
      </c>
      <c r="CV1786" t="s">
        <v>111</v>
      </c>
      <c r="CW1786" t="s">
        <v>111</v>
      </c>
      <c r="CX1786" t="s">
        <v>111</v>
      </c>
      <c r="CY1786">
        <v>0</v>
      </c>
      <c r="CZ1786" t="s">
        <v>111</v>
      </c>
      <c r="DA1786" t="s">
        <v>111</v>
      </c>
      <c r="DB1786" t="s">
        <v>111</v>
      </c>
      <c r="DC1786" t="s">
        <v>111</v>
      </c>
    </row>
    <row r="1787" spans="1:107">
      <c r="A1787">
        <v>637</v>
      </c>
      <c r="B1787" t="s">
        <v>162</v>
      </c>
      <c r="C1787" t="s">
        <v>827</v>
      </c>
      <c r="D1787" t="s">
        <v>1694</v>
      </c>
      <c r="E1787" t="s">
        <v>4945</v>
      </c>
      <c r="F1787" t="s">
        <v>1651</v>
      </c>
      <c r="G1787" t="s">
        <v>24</v>
      </c>
      <c r="H1787">
        <v>1.4</v>
      </c>
      <c r="I1787">
        <v>45</v>
      </c>
      <c r="J1787">
        <v>0</v>
      </c>
      <c r="K1787">
        <v>0</v>
      </c>
      <c r="L1787" t="s">
        <v>112</v>
      </c>
      <c r="M1787" t="s">
        <v>118</v>
      </c>
      <c r="N1787">
        <v>40</v>
      </c>
      <c r="O1787">
        <v>2</v>
      </c>
      <c r="P1787" t="s">
        <v>138</v>
      </c>
      <c r="Q1787">
        <v>39</v>
      </c>
      <c r="R1787">
        <v>0</v>
      </c>
      <c r="S1787">
        <v>0</v>
      </c>
      <c r="T1787">
        <v>0</v>
      </c>
      <c r="U1787" t="s">
        <v>1353</v>
      </c>
      <c r="V1787">
        <v>0</v>
      </c>
      <c r="W1787">
        <v>0</v>
      </c>
      <c r="X1787">
        <v>0</v>
      </c>
      <c r="Y1787">
        <v>25</v>
      </c>
      <c r="Z1787" t="s">
        <v>111</v>
      </c>
      <c r="AA1787">
        <v>0</v>
      </c>
      <c r="AB1787" t="s">
        <v>111</v>
      </c>
      <c r="AC1787">
        <v>0</v>
      </c>
      <c r="AD1787" t="s">
        <v>416</v>
      </c>
      <c r="AE1787">
        <v>3</v>
      </c>
      <c r="AF1787">
        <v>2</v>
      </c>
      <c r="AG1787">
        <v>20</v>
      </c>
      <c r="AH1787" t="s">
        <v>113</v>
      </c>
      <c r="AI1787">
        <v>40</v>
      </c>
      <c r="AJ1787" t="s">
        <v>111</v>
      </c>
      <c r="AK1787" t="s">
        <v>111</v>
      </c>
      <c r="AL1787" t="s">
        <v>111</v>
      </c>
      <c r="AM1787">
        <v>0</v>
      </c>
      <c r="AN1787">
        <v>0</v>
      </c>
      <c r="AO1787">
        <v>0</v>
      </c>
      <c r="AP1787" t="s">
        <v>679</v>
      </c>
      <c r="AQ1787" t="s">
        <v>111</v>
      </c>
      <c r="AR1787" t="s">
        <v>111</v>
      </c>
      <c r="AS1787" t="s">
        <v>111</v>
      </c>
      <c r="AT1787" t="s">
        <v>271</v>
      </c>
      <c r="AU1787" t="s">
        <v>111</v>
      </c>
      <c r="AV1787" t="s">
        <v>111</v>
      </c>
      <c r="AW1787" t="s">
        <v>111</v>
      </c>
      <c r="AX1787" t="s">
        <v>3853</v>
      </c>
      <c r="AY1787" t="s">
        <v>111</v>
      </c>
      <c r="AZ1787" t="s">
        <v>111</v>
      </c>
      <c r="BA1787" t="s">
        <v>111</v>
      </c>
      <c r="BB1787" t="s">
        <v>111</v>
      </c>
      <c r="BC1787" t="s">
        <v>111</v>
      </c>
      <c r="BD1787" t="s">
        <v>111</v>
      </c>
      <c r="BE1787" t="s">
        <v>111</v>
      </c>
      <c r="BF1787" t="s">
        <v>111</v>
      </c>
      <c r="BG1787" t="s">
        <v>111</v>
      </c>
      <c r="BH1787" t="s">
        <v>111</v>
      </c>
      <c r="BI1787" t="s">
        <v>111</v>
      </c>
      <c r="BJ1787" t="s">
        <v>111</v>
      </c>
      <c r="BK1787" t="s">
        <v>111</v>
      </c>
      <c r="BL1787" t="s">
        <v>111</v>
      </c>
      <c r="BM1787" t="s">
        <v>111</v>
      </c>
      <c r="BN1787" t="s">
        <v>271</v>
      </c>
      <c r="BO1787" t="s">
        <v>111</v>
      </c>
      <c r="BP1787" t="s">
        <v>111</v>
      </c>
      <c r="BQ1787" t="s">
        <v>111</v>
      </c>
      <c r="BR1787" t="s">
        <v>259</v>
      </c>
      <c r="BS1787" t="s">
        <v>111</v>
      </c>
      <c r="BT1787" t="s">
        <v>111</v>
      </c>
      <c r="BU1787" t="s">
        <v>111</v>
      </c>
      <c r="BV1787" t="s">
        <v>111</v>
      </c>
      <c r="BW1787" t="s">
        <v>111</v>
      </c>
      <c r="BX1787" t="s">
        <v>111</v>
      </c>
      <c r="BY1787" t="s">
        <v>111</v>
      </c>
      <c r="BZ1787" t="s">
        <v>111</v>
      </c>
      <c r="CA1787" t="s">
        <v>111</v>
      </c>
      <c r="CB1787" t="s">
        <v>111</v>
      </c>
      <c r="CC1787" t="s">
        <v>111</v>
      </c>
      <c r="CD1787" t="s">
        <v>111</v>
      </c>
      <c r="CE1787" t="s">
        <v>111</v>
      </c>
      <c r="CF1787" t="s">
        <v>111</v>
      </c>
      <c r="CG1787" t="s">
        <v>111</v>
      </c>
      <c r="CH1787" t="s">
        <v>111</v>
      </c>
      <c r="CI1787" t="s">
        <v>111</v>
      </c>
      <c r="CJ1787" t="s">
        <v>111</v>
      </c>
      <c r="CK1787" t="s">
        <v>111</v>
      </c>
      <c r="CL1787" t="s">
        <v>153</v>
      </c>
      <c r="CM1787" t="s">
        <v>198</v>
      </c>
      <c r="CN1787" t="s">
        <v>113</v>
      </c>
      <c r="CO1787" t="s">
        <v>111</v>
      </c>
      <c r="CP1787" t="s">
        <v>433</v>
      </c>
      <c r="CQ1787">
        <v>81</v>
      </c>
      <c r="CR1787">
        <v>4000</v>
      </c>
      <c r="CS1787">
        <v>2000</v>
      </c>
      <c r="CT1787" s="1" t="s">
        <v>3180</v>
      </c>
      <c r="CU1787">
        <v>0</v>
      </c>
      <c r="CV1787" t="s">
        <v>111</v>
      </c>
      <c r="CW1787" t="s">
        <v>111</v>
      </c>
      <c r="CX1787" t="s">
        <v>111</v>
      </c>
      <c r="CY1787">
        <v>0</v>
      </c>
      <c r="CZ1787" t="s">
        <v>111</v>
      </c>
      <c r="DA1787" t="s">
        <v>111</v>
      </c>
      <c r="DB1787" t="s">
        <v>111</v>
      </c>
      <c r="DC1787" t="s">
        <v>111</v>
      </c>
    </row>
    <row r="1788" spans="1:107">
      <c r="A1788">
        <v>633</v>
      </c>
      <c r="B1788" t="s">
        <v>162</v>
      </c>
      <c r="C1788" t="s">
        <v>4133</v>
      </c>
      <c r="D1788" t="s">
        <v>4946</v>
      </c>
      <c r="E1788" t="s">
        <v>4947</v>
      </c>
      <c r="F1788" t="s">
        <v>1651</v>
      </c>
      <c r="G1788" t="s">
        <v>24</v>
      </c>
      <c r="H1788">
        <v>1.4</v>
      </c>
      <c r="I1788">
        <v>42</v>
      </c>
      <c r="J1788">
        <v>0</v>
      </c>
      <c r="K1788">
        <v>0</v>
      </c>
      <c r="L1788" t="s">
        <v>112</v>
      </c>
      <c r="M1788" t="s">
        <v>118</v>
      </c>
      <c r="N1788">
        <v>40</v>
      </c>
      <c r="O1788">
        <v>2</v>
      </c>
      <c r="P1788" t="s">
        <v>138</v>
      </c>
      <c r="Q1788">
        <v>30</v>
      </c>
      <c r="R1788">
        <v>0</v>
      </c>
      <c r="S1788">
        <v>0</v>
      </c>
      <c r="T1788">
        <v>0</v>
      </c>
      <c r="U1788" t="s">
        <v>1353</v>
      </c>
      <c r="V1788">
        <v>0</v>
      </c>
      <c r="W1788">
        <v>0</v>
      </c>
      <c r="X1788">
        <v>0</v>
      </c>
      <c r="Y1788">
        <v>25</v>
      </c>
      <c r="Z1788" t="s">
        <v>111</v>
      </c>
      <c r="AA1788">
        <v>0</v>
      </c>
      <c r="AB1788" t="s">
        <v>111</v>
      </c>
      <c r="AC1788">
        <v>0</v>
      </c>
      <c r="AD1788" t="s">
        <v>416</v>
      </c>
      <c r="AE1788">
        <v>4</v>
      </c>
      <c r="AF1788">
        <v>2</v>
      </c>
      <c r="AG1788">
        <v>32</v>
      </c>
      <c r="AH1788" t="s">
        <v>111</v>
      </c>
      <c r="AI1788">
        <v>32</v>
      </c>
      <c r="AJ1788" t="s">
        <v>111</v>
      </c>
      <c r="AK1788" t="s">
        <v>111</v>
      </c>
      <c r="AL1788" t="s">
        <v>111</v>
      </c>
      <c r="AM1788">
        <v>0</v>
      </c>
      <c r="AN1788">
        <v>0</v>
      </c>
      <c r="AO1788">
        <v>0</v>
      </c>
      <c r="AP1788" t="s">
        <v>259</v>
      </c>
      <c r="AQ1788" t="s">
        <v>111</v>
      </c>
      <c r="AR1788" t="s">
        <v>111</v>
      </c>
      <c r="AS1788" t="s">
        <v>111</v>
      </c>
      <c r="AT1788" t="s">
        <v>271</v>
      </c>
      <c r="AU1788" t="s">
        <v>111</v>
      </c>
      <c r="AV1788" t="s">
        <v>111</v>
      </c>
      <c r="AW1788" t="s">
        <v>111</v>
      </c>
      <c r="AX1788" t="s">
        <v>1924</v>
      </c>
      <c r="AY1788" t="s">
        <v>111</v>
      </c>
      <c r="AZ1788" t="s">
        <v>111</v>
      </c>
      <c r="BA1788" t="s">
        <v>111</v>
      </c>
      <c r="BB1788" t="s">
        <v>111</v>
      </c>
      <c r="BC1788" t="s">
        <v>111</v>
      </c>
      <c r="BD1788" t="s">
        <v>111</v>
      </c>
      <c r="BE1788" t="s">
        <v>111</v>
      </c>
      <c r="BF1788" t="s">
        <v>111</v>
      </c>
      <c r="BG1788" t="s">
        <v>111</v>
      </c>
      <c r="BH1788" t="s">
        <v>111</v>
      </c>
      <c r="BI1788" t="s">
        <v>111</v>
      </c>
      <c r="BJ1788" t="s">
        <v>111</v>
      </c>
      <c r="BK1788" t="s">
        <v>111</v>
      </c>
      <c r="BL1788" t="s">
        <v>111</v>
      </c>
      <c r="BM1788" t="s">
        <v>111</v>
      </c>
      <c r="BN1788" t="s">
        <v>111</v>
      </c>
      <c r="BO1788" t="s">
        <v>111</v>
      </c>
      <c r="BP1788" t="s">
        <v>111</v>
      </c>
      <c r="BQ1788" t="s">
        <v>111</v>
      </c>
      <c r="BR1788" t="s">
        <v>111</v>
      </c>
      <c r="BS1788" t="s">
        <v>111</v>
      </c>
      <c r="BT1788" t="s">
        <v>111</v>
      </c>
      <c r="BU1788" t="s">
        <v>111</v>
      </c>
      <c r="BV1788" t="s">
        <v>111</v>
      </c>
      <c r="BW1788" t="s">
        <v>111</v>
      </c>
      <c r="BX1788" t="s">
        <v>111</v>
      </c>
      <c r="BY1788" t="s">
        <v>111</v>
      </c>
      <c r="BZ1788" t="s">
        <v>111</v>
      </c>
      <c r="CA1788" t="s">
        <v>111</v>
      </c>
      <c r="CB1788" t="s">
        <v>111</v>
      </c>
      <c r="CC1788" t="s">
        <v>111</v>
      </c>
      <c r="CD1788" t="s">
        <v>111</v>
      </c>
      <c r="CE1788" t="s">
        <v>111</v>
      </c>
      <c r="CF1788" t="s">
        <v>111</v>
      </c>
      <c r="CG1788" t="s">
        <v>111</v>
      </c>
      <c r="CH1788" t="s">
        <v>111</v>
      </c>
      <c r="CI1788" t="s">
        <v>111</v>
      </c>
      <c r="CJ1788" t="s">
        <v>111</v>
      </c>
      <c r="CK1788" t="s">
        <v>111</v>
      </c>
      <c r="CL1788" t="s">
        <v>153</v>
      </c>
      <c r="CM1788" t="s">
        <v>198</v>
      </c>
      <c r="CN1788" t="s">
        <v>113</v>
      </c>
      <c r="CO1788" t="s">
        <v>222</v>
      </c>
      <c r="CP1788" t="s">
        <v>433</v>
      </c>
      <c r="CQ1788">
        <v>0</v>
      </c>
      <c r="CR1788">
        <v>0</v>
      </c>
      <c r="CS1788">
        <v>0</v>
      </c>
      <c r="CT1788" s="1" t="s">
        <v>4948</v>
      </c>
      <c r="CU1788">
        <v>0</v>
      </c>
      <c r="CV1788" t="s">
        <v>111</v>
      </c>
      <c r="CW1788" t="s">
        <v>111</v>
      </c>
      <c r="CX1788" t="s">
        <v>111</v>
      </c>
      <c r="CY1788">
        <v>0</v>
      </c>
      <c r="CZ1788" t="s">
        <v>111</v>
      </c>
      <c r="DA1788" t="s">
        <v>111</v>
      </c>
      <c r="DB1788" t="s">
        <v>111</v>
      </c>
      <c r="DC1788" t="s">
        <v>111</v>
      </c>
    </row>
    <row r="1789" spans="1:107">
      <c r="A1789">
        <v>591</v>
      </c>
      <c r="B1789" t="s">
        <v>162</v>
      </c>
      <c r="C1789" t="s">
        <v>827</v>
      </c>
      <c r="D1789" t="s">
        <v>4949</v>
      </c>
      <c r="E1789" t="s">
        <v>4950</v>
      </c>
      <c r="F1789" t="s">
        <v>1651</v>
      </c>
      <c r="G1789" t="s">
        <v>24</v>
      </c>
      <c r="H1789">
        <v>1.4</v>
      </c>
      <c r="I1789">
        <v>44</v>
      </c>
      <c r="J1789">
        <v>0</v>
      </c>
      <c r="K1789">
        <v>0</v>
      </c>
      <c r="L1789" t="s">
        <v>112</v>
      </c>
      <c r="M1789" t="s">
        <v>118</v>
      </c>
      <c r="N1789">
        <v>40</v>
      </c>
      <c r="O1789">
        <v>2</v>
      </c>
      <c r="P1789" t="s">
        <v>138</v>
      </c>
      <c r="Q1789">
        <v>40</v>
      </c>
      <c r="R1789">
        <v>0</v>
      </c>
      <c r="S1789">
        <v>0</v>
      </c>
      <c r="T1789">
        <v>0</v>
      </c>
      <c r="U1789" t="s">
        <v>2685</v>
      </c>
      <c r="V1789">
        <v>0</v>
      </c>
      <c r="W1789">
        <v>0</v>
      </c>
      <c r="X1789">
        <v>0</v>
      </c>
      <c r="Y1789">
        <v>25</v>
      </c>
      <c r="Z1789" t="s">
        <v>111</v>
      </c>
      <c r="AA1789">
        <v>0</v>
      </c>
      <c r="AB1789" t="s">
        <v>111</v>
      </c>
      <c r="AC1789">
        <v>0</v>
      </c>
      <c r="AD1789" t="s">
        <v>427</v>
      </c>
      <c r="AE1789">
        <v>5</v>
      </c>
      <c r="AF1789">
        <v>2</v>
      </c>
      <c r="AG1789">
        <v>20</v>
      </c>
      <c r="AH1789" t="s">
        <v>111</v>
      </c>
      <c r="AI1789">
        <v>40</v>
      </c>
      <c r="AJ1789" t="s">
        <v>111</v>
      </c>
      <c r="AK1789" t="s">
        <v>111</v>
      </c>
      <c r="AL1789" t="s">
        <v>111</v>
      </c>
      <c r="AM1789">
        <v>0</v>
      </c>
      <c r="AN1789">
        <v>0</v>
      </c>
      <c r="AO1789">
        <v>0</v>
      </c>
      <c r="AP1789" t="s">
        <v>259</v>
      </c>
      <c r="AQ1789" t="s">
        <v>111</v>
      </c>
      <c r="AR1789" t="s">
        <v>111</v>
      </c>
      <c r="AS1789" t="s">
        <v>111</v>
      </c>
      <c r="AT1789" t="s">
        <v>288</v>
      </c>
      <c r="AU1789" t="s">
        <v>111</v>
      </c>
      <c r="AV1789" t="s">
        <v>111</v>
      </c>
      <c r="AW1789" t="s">
        <v>111</v>
      </c>
      <c r="AX1789" t="s">
        <v>184</v>
      </c>
      <c r="AY1789" t="s">
        <v>111</v>
      </c>
      <c r="AZ1789" t="s">
        <v>111</v>
      </c>
      <c r="BA1789" t="s">
        <v>111</v>
      </c>
      <c r="BB1789" t="s">
        <v>772</v>
      </c>
      <c r="BC1789" t="s">
        <v>111</v>
      </c>
      <c r="BD1789" t="s">
        <v>111</v>
      </c>
      <c r="BE1789" t="s">
        <v>111</v>
      </c>
      <c r="BF1789" t="s">
        <v>188</v>
      </c>
      <c r="BG1789" t="s">
        <v>111</v>
      </c>
      <c r="BH1789" t="s">
        <v>111</v>
      </c>
      <c r="BI1789" t="s">
        <v>111</v>
      </c>
      <c r="BJ1789" t="s">
        <v>111</v>
      </c>
      <c r="BK1789" t="s">
        <v>111</v>
      </c>
      <c r="BL1789" t="s">
        <v>111</v>
      </c>
      <c r="BM1789" t="s">
        <v>111</v>
      </c>
      <c r="BN1789" t="s">
        <v>111</v>
      </c>
      <c r="BO1789" t="s">
        <v>111</v>
      </c>
      <c r="BP1789" t="s">
        <v>111</v>
      </c>
      <c r="BQ1789" t="s">
        <v>111</v>
      </c>
      <c r="BR1789" t="s">
        <v>111</v>
      </c>
      <c r="BS1789" t="s">
        <v>111</v>
      </c>
      <c r="BT1789" t="s">
        <v>111</v>
      </c>
      <c r="BU1789" t="s">
        <v>111</v>
      </c>
      <c r="BV1789" t="s">
        <v>111</v>
      </c>
      <c r="BW1789" t="s">
        <v>111</v>
      </c>
      <c r="BX1789" t="s">
        <v>111</v>
      </c>
      <c r="BY1789" t="s">
        <v>111</v>
      </c>
      <c r="BZ1789" t="s">
        <v>111</v>
      </c>
      <c r="CA1789" t="s">
        <v>111</v>
      </c>
      <c r="CB1789" t="s">
        <v>111</v>
      </c>
      <c r="CC1789" t="s">
        <v>111</v>
      </c>
      <c r="CD1789" t="s">
        <v>111</v>
      </c>
      <c r="CE1789" t="s">
        <v>111</v>
      </c>
      <c r="CF1789" t="s">
        <v>111</v>
      </c>
      <c r="CG1789" t="s">
        <v>111</v>
      </c>
      <c r="CH1789" t="s">
        <v>111</v>
      </c>
      <c r="CI1789" t="s">
        <v>111</v>
      </c>
      <c r="CJ1789" t="s">
        <v>111</v>
      </c>
      <c r="CK1789" t="s">
        <v>111</v>
      </c>
      <c r="CL1789" t="s">
        <v>153</v>
      </c>
      <c r="CM1789" t="s">
        <v>198</v>
      </c>
      <c r="CN1789" t="s">
        <v>113</v>
      </c>
      <c r="CO1789" t="s">
        <v>111</v>
      </c>
      <c r="CP1789" t="s">
        <v>433</v>
      </c>
      <c r="CQ1789">
        <v>0</v>
      </c>
      <c r="CR1789">
        <v>0</v>
      </c>
      <c r="CS1789">
        <v>0</v>
      </c>
      <c r="CT1789" t="s">
        <v>168</v>
      </c>
      <c r="CU1789">
        <v>0</v>
      </c>
      <c r="CV1789" t="s">
        <v>111</v>
      </c>
      <c r="CW1789" t="s">
        <v>111</v>
      </c>
      <c r="CX1789" t="s">
        <v>111</v>
      </c>
      <c r="CY1789">
        <v>0</v>
      </c>
      <c r="CZ1789" t="s">
        <v>111</v>
      </c>
      <c r="DA1789" t="s">
        <v>111</v>
      </c>
      <c r="DB1789" t="s">
        <v>111</v>
      </c>
      <c r="DC1789" t="s">
        <v>111</v>
      </c>
    </row>
    <row r="1790" spans="1:107">
      <c r="A1790">
        <v>588</v>
      </c>
      <c r="B1790" t="s">
        <v>162</v>
      </c>
      <c r="C1790" s="2">
        <v>71742228</v>
      </c>
      <c r="D1790" t="s">
        <v>4951</v>
      </c>
      <c r="E1790" t="s">
        <v>4952</v>
      </c>
      <c r="F1790" t="s">
        <v>1651</v>
      </c>
      <c r="G1790" t="s">
        <v>24</v>
      </c>
      <c r="H1790">
        <v>1.9</v>
      </c>
      <c r="I1790">
        <v>48</v>
      </c>
      <c r="J1790">
        <v>0</v>
      </c>
      <c r="K1790">
        <v>0</v>
      </c>
      <c r="L1790" t="s">
        <v>112</v>
      </c>
      <c r="M1790" t="s">
        <v>118</v>
      </c>
      <c r="N1790">
        <v>39</v>
      </c>
      <c r="O1790">
        <v>1</v>
      </c>
      <c r="P1790" t="s">
        <v>138</v>
      </c>
      <c r="Q1790">
        <v>40</v>
      </c>
      <c r="R1790">
        <v>0</v>
      </c>
      <c r="S1790">
        <v>0</v>
      </c>
      <c r="T1790">
        <v>0</v>
      </c>
      <c r="U1790" t="s">
        <v>1353</v>
      </c>
      <c r="V1790">
        <v>0</v>
      </c>
      <c r="W1790">
        <v>0</v>
      </c>
      <c r="X1790">
        <v>0</v>
      </c>
      <c r="Y1790">
        <v>25</v>
      </c>
      <c r="Z1790" t="s">
        <v>111</v>
      </c>
      <c r="AA1790">
        <v>0</v>
      </c>
      <c r="AB1790" t="s">
        <v>111</v>
      </c>
      <c r="AC1790">
        <v>0</v>
      </c>
      <c r="AD1790" t="s">
        <v>416</v>
      </c>
      <c r="AE1790">
        <v>3</v>
      </c>
      <c r="AF1790">
        <v>1</v>
      </c>
      <c r="AG1790">
        <v>32</v>
      </c>
      <c r="AH1790" t="s">
        <v>111</v>
      </c>
      <c r="AI1790">
        <v>32</v>
      </c>
      <c r="AJ1790" t="s">
        <v>111</v>
      </c>
      <c r="AK1790" t="s">
        <v>111</v>
      </c>
      <c r="AL1790" t="s">
        <v>111</v>
      </c>
      <c r="AM1790">
        <v>0</v>
      </c>
      <c r="AN1790">
        <v>0</v>
      </c>
      <c r="AO1790">
        <v>0</v>
      </c>
      <c r="AP1790" t="s">
        <v>188</v>
      </c>
      <c r="AQ1790" t="s">
        <v>111</v>
      </c>
      <c r="AR1790" t="s">
        <v>111</v>
      </c>
      <c r="AS1790" t="s">
        <v>111</v>
      </c>
      <c r="AT1790" t="s">
        <v>259</v>
      </c>
      <c r="AU1790" t="s">
        <v>111</v>
      </c>
      <c r="AV1790" t="s">
        <v>111</v>
      </c>
      <c r="AW1790" t="s">
        <v>111</v>
      </c>
      <c r="AX1790" t="s">
        <v>1924</v>
      </c>
      <c r="AY1790" t="s">
        <v>111</v>
      </c>
      <c r="AZ1790" t="s">
        <v>111</v>
      </c>
      <c r="BA1790" t="s">
        <v>111</v>
      </c>
      <c r="BB1790" t="s">
        <v>111</v>
      </c>
      <c r="BC1790" t="s">
        <v>111</v>
      </c>
      <c r="BD1790" t="s">
        <v>111</v>
      </c>
      <c r="BE1790" t="s">
        <v>111</v>
      </c>
      <c r="BF1790" t="s">
        <v>111</v>
      </c>
      <c r="BG1790" t="s">
        <v>111</v>
      </c>
      <c r="BH1790" t="s">
        <v>111</v>
      </c>
      <c r="BI1790" t="s">
        <v>111</v>
      </c>
      <c r="BJ1790" t="s">
        <v>111</v>
      </c>
      <c r="BK1790" t="s">
        <v>111</v>
      </c>
      <c r="BL1790" t="s">
        <v>111</v>
      </c>
      <c r="BM1790" t="s">
        <v>111</v>
      </c>
      <c r="BN1790" t="s">
        <v>111</v>
      </c>
      <c r="BO1790" t="s">
        <v>111</v>
      </c>
      <c r="BP1790" t="s">
        <v>111</v>
      </c>
      <c r="BQ1790" t="s">
        <v>111</v>
      </c>
      <c r="BR1790" t="s">
        <v>111</v>
      </c>
      <c r="BS1790" t="s">
        <v>111</v>
      </c>
      <c r="BT1790" t="s">
        <v>111</v>
      </c>
      <c r="BU1790" t="s">
        <v>111</v>
      </c>
      <c r="BV1790" t="s">
        <v>111</v>
      </c>
      <c r="BW1790" t="s">
        <v>111</v>
      </c>
      <c r="BX1790" t="s">
        <v>111</v>
      </c>
      <c r="BY1790" t="s">
        <v>111</v>
      </c>
      <c r="BZ1790" t="s">
        <v>111</v>
      </c>
      <c r="CA1790" t="s">
        <v>111</v>
      </c>
      <c r="CB1790" t="s">
        <v>111</v>
      </c>
      <c r="CC1790" t="s">
        <v>111</v>
      </c>
      <c r="CD1790" t="s">
        <v>111</v>
      </c>
      <c r="CE1790" t="s">
        <v>111</v>
      </c>
      <c r="CF1790" t="s">
        <v>111</v>
      </c>
      <c r="CG1790" t="s">
        <v>111</v>
      </c>
      <c r="CH1790" t="s">
        <v>111</v>
      </c>
      <c r="CI1790" t="s">
        <v>111</v>
      </c>
      <c r="CJ1790" t="s">
        <v>111</v>
      </c>
      <c r="CK1790" t="s">
        <v>111</v>
      </c>
      <c r="CL1790" t="s">
        <v>153</v>
      </c>
      <c r="CM1790" t="s">
        <v>198</v>
      </c>
      <c r="CN1790" t="s">
        <v>113</v>
      </c>
      <c r="CO1790" t="s">
        <v>111</v>
      </c>
      <c r="CP1790" t="s">
        <v>433</v>
      </c>
      <c r="CQ1790">
        <v>62</v>
      </c>
      <c r="CR1790">
        <v>2000</v>
      </c>
      <c r="CS1790">
        <v>200</v>
      </c>
      <c r="CT1790" t="s">
        <v>168</v>
      </c>
      <c r="CU1790">
        <v>0</v>
      </c>
      <c r="CV1790" t="s">
        <v>111</v>
      </c>
      <c r="CW1790" t="s">
        <v>111</v>
      </c>
      <c r="CX1790" t="s">
        <v>111</v>
      </c>
      <c r="CY1790">
        <v>0</v>
      </c>
      <c r="CZ1790" t="s">
        <v>111</v>
      </c>
      <c r="DA1790" t="s">
        <v>111</v>
      </c>
      <c r="DB1790" t="s">
        <v>111</v>
      </c>
      <c r="DC1790" t="s">
        <v>111</v>
      </c>
    </row>
    <row r="1791" spans="1:107">
      <c r="A1791">
        <v>580</v>
      </c>
      <c r="B1791" t="s">
        <v>162</v>
      </c>
      <c r="C1791" t="s">
        <v>827</v>
      </c>
      <c r="D1791" t="s">
        <v>4953</v>
      </c>
      <c r="E1791" t="s">
        <v>4954</v>
      </c>
      <c r="F1791" t="s">
        <v>1651</v>
      </c>
      <c r="G1791" t="s">
        <v>24</v>
      </c>
      <c r="H1791">
        <v>1.4</v>
      </c>
      <c r="I1791">
        <v>55</v>
      </c>
      <c r="J1791">
        <v>0</v>
      </c>
      <c r="K1791">
        <v>0</v>
      </c>
      <c r="L1791" t="s">
        <v>117</v>
      </c>
      <c r="M1791" t="s">
        <v>118</v>
      </c>
      <c r="N1791">
        <v>39</v>
      </c>
      <c r="O1791">
        <v>1</v>
      </c>
      <c r="P1791" t="s">
        <v>138</v>
      </c>
      <c r="Q1791">
        <v>40</v>
      </c>
      <c r="R1791">
        <v>0</v>
      </c>
      <c r="S1791">
        <v>0</v>
      </c>
      <c r="T1791">
        <v>0</v>
      </c>
      <c r="U1791" t="s">
        <v>1353</v>
      </c>
      <c r="V1791">
        <v>0</v>
      </c>
      <c r="W1791">
        <v>0</v>
      </c>
      <c r="X1791">
        <v>0</v>
      </c>
      <c r="Y1791">
        <v>25</v>
      </c>
      <c r="Z1791" t="s">
        <v>111</v>
      </c>
      <c r="AA1791">
        <v>0</v>
      </c>
      <c r="AB1791" t="s">
        <v>111</v>
      </c>
      <c r="AC1791">
        <v>0</v>
      </c>
      <c r="AD1791" t="s">
        <v>416</v>
      </c>
      <c r="AE1791">
        <v>5</v>
      </c>
      <c r="AF1791">
        <v>2</v>
      </c>
      <c r="AG1791">
        <v>23</v>
      </c>
      <c r="AH1791" t="s">
        <v>113</v>
      </c>
      <c r="AI1791">
        <v>48</v>
      </c>
      <c r="AJ1791" t="s">
        <v>111</v>
      </c>
      <c r="AK1791" t="s">
        <v>111</v>
      </c>
      <c r="AL1791" t="s">
        <v>111</v>
      </c>
      <c r="AM1791">
        <v>0</v>
      </c>
      <c r="AN1791">
        <v>0</v>
      </c>
      <c r="AO1791">
        <v>0</v>
      </c>
      <c r="AP1791" t="s">
        <v>111</v>
      </c>
      <c r="AQ1791" t="s">
        <v>111</v>
      </c>
      <c r="AR1791" t="s">
        <v>111</v>
      </c>
      <c r="AS1791" t="s">
        <v>111</v>
      </c>
      <c r="AT1791" t="s">
        <v>111</v>
      </c>
      <c r="AU1791" t="s">
        <v>111</v>
      </c>
      <c r="AV1791" t="s">
        <v>111</v>
      </c>
      <c r="AW1791" t="s">
        <v>111</v>
      </c>
      <c r="AX1791" t="s">
        <v>111</v>
      </c>
      <c r="AY1791" t="s">
        <v>111</v>
      </c>
      <c r="AZ1791" t="s">
        <v>111</v>
      </c>
      <c r="BA1791" t="s">
        <v>111</v>
      </c>
      <c r="BB1791" t="s">
        <v>111</v>
      </c>
      <c r="BC1791" t="s">
        <v>111</v>
      </c>
      <c r="BD1791" t="s">
        <v>111</v>
      </c>
      <c r="BE1791" t="s">
        <v>111</v>
      </c>
      <c r="BF1791" t="s">
        <v>111</v>
      </c>
      <c r="BG1791" t="s">
        <v>111</v>
      </c>
      <c r="BH1791" t="s">
        <v>111</v>
      </c>
      <c r="BI1791" t="s">
        <v>111</v>
      </c>
      <c r="BJ1791" t="s">
        <v>111</v>
      </c>
      <c r="BK1791" t="s">
        <v>111</v>
      </c>
      <c r="BL1791" t="s">
        <v>111</v>
      </c>
      <c r="BM1791" t="s">
        <v>111</v>
      </c>
      <c r="BN1791" t="s">
        <v>111</v>
      </c>
      <c r="BO1791" t="s">
        <v>111</v>
      </c>
      <c r="BP1791" t="s">
        <v>111</v>
      </c>
      <c r="BQ1791" t="s">
        <v>111</v>
      </c>
      <c r="BR1791" t="s">
        <v>111</v>
      </c>
      <c r="BS1791" t="s">
        <v>111</v>
      </c>
      <c r="BT1791" t="s">
        <v>111</v>
      </c>
      <c r="BU1791" t="s">
        <v>111</v>
      </c>
      <c r="BV1791" t="s">
        <v>111</v>
      </c>
      <c r="BW1791" t="s">
        <v>111</v>
      </c>
      <c r="BX1791" t="s">
        <v>111</v>
      </c>
      <c r="BY1791" t="s">
        <v>111</v>
      </c>
      <c r="BZ1791" t="s">
        <v>111</v>
      </c>
      <c r="CA1791" t="s">
        <v>111</v>
      </c>
      <c r="CB1791" t="s">
        <v>111</v>
      </c>
      <c r="CC1791" t="s">
        <v>111</v>
      </c>
      <c r="CD1791" t="s">
        <v>111</v>
      </c>
      <c r="CE1791" t="s">
        <v>111</v>
      </c>
      <c r="CF1791" t="s">
        <v>111</v>
      </c>
      <c r="CG1791" t="s">
        <v>111</v>
      </c>
      <c r="CH1791" t="s">
        <v>111</v>
      </c>
      <c r="CI1791" t="s">
        <v>111</v>
      </c>
      <c r="CJ1791" t="s">
        <v>111</v>
      </c>
      <c r="CK1791" t="s">
        <v>111</v>
      </c>
      <c r="CL1791" t="s">
        <v>153</v>
      </c>
      <c r="CM1791" t="s">
        <v>198</v>
      </c>
      <c r="CN1791" t="s">
        <v>113</v>
      </c>
      <c r="CO1791" t="s">
        <v>111</v>
      </c>
      <c r="CP1791" t="s">
        <v>433</v>
      </c>
      <c r="CQ1791">
        <v>78</v>
      </c>
      <c r="CR1791">
        <v>6000</v>
      </c>
      <c r="CS1791">
        <v>200</v>
      </c>
      <c r="CT1791" t="s">
        <v>168</v>
      </c>
      <c r="CU1791">
        <v>0</v>
      </c>
      <c r="CV1791" t="s">
        <v>111</v>
      </c>
      <c r="CW1791" t="s">
        <v>111</v>
      </c>
      <c r="CX1791" t="s">
        <v>111</v>
      </c>
      <c r="CY1791">
        <v>0</v>
      </c>
      <c r="CZ1791" t="s">
        <v>111</v>
      </c>
      <c r="DA1791" t="s">
        <v>111</v>
      </c>
      <c r="DB1791" t="s">
        <v>111</v>
      </c>
      <c r="DC1791" t="s">
        <v>111</v>
      </c>
    </row>
    <row r="1792" spans="1:107">
      <c r="A1792">
        <v>579</v>
      </c>
      <c r="B1792" t="s">
        <v>162</v>
      </c>
      <c r="C1792" t="s">
        <v>827</v>
      </c>
      <c r="D1792" t="s">
        <v>4953</v>
      </c>
      <c r="E1792" t="s">
        <v>4955</v>
      </c>
      <c r="F1792" t="s">
        <v>1651</v>
      </c>
      <c r="G1792" t="s">
        <v>24</v>
      </c>
      <c r="H1792">
        <v>1.4</v>
      </c>
      <c r="I1792">
        <v>55</v>
      </c>
      <c r="J1792">
        <v>0</v>
      </c>
      <c r="K1792">
        <v>0</v>
      </c>
      <c r="L1792" t="s">
        <v>117</v>
      </c>
      <c r="M1792" t="s">
        <v>118</v>
      </c>
      <c r="N1792">
        <v>40</v>
      </c>
      <c r="O1792">
        <v>1</v>
      </c>
      <c r="P1792" t="s">
        <v>138</v>
      </c>
      <c r="Q1792">
        <v>30</v>
      </c>
      <c r="R1792">
        <v>0</v>
      </c>
      <c r="S1792">
        <v>0</v>
      </c>
      <c r="T1792">
        <v>0</v>
      </c>
      <c r="U1792" t="s">
        <v>1353</v>
      </c>
      <c r="V1792">
        <v>0</v>
      </c>
      <c r="W1792">
        <v>0</v>
      </c>
      <c r="X1792">
        <v>0</v>
      </c>
      <c r="Y1792">
        <v>25</v>
      </c>
      <c r="Z1792" t="s">
        <v>111</v>
      </c>
      <c r="AA1792">
        <v>0</v>
      </c>
      <c r="AB1792" t="s">
        <v>111</v>
      </c>
      <c r="AC1792">
        <v>0</v>
      </c>
      <c r="AD1792" t="s">
        <v>416</v>
      </c>
      <c r="AE1792">
        <v>5</v>
      </c>
      <c r="AF1792">
        <v>2</v>
      </c>
      <c r="AG1792">
        <v>23</v>
      </c>
      <c r="AH1792" t="s">
        <v>111</v>
      </c>
      <c r="AI1792">
        <v>48</v>
      </c>
      <c r="AJ1792" t="s">
        <v>111</v>
      </c>
      <c r="AK1792" t="s">
        <v>111</v>
      </c>
      <c r="AL1792" t="s">
        <v>111</v>
      </c>
      <c r="AM1792">
        <v>0</v>
      </c>
      <c r="AN1792">
        <v>0</v>
      </c>
      <c r="AO1792">
        <v>0</v>
      </c>
      <c r="AP1792" t="s">
        <v>111</v>
      </c>
      <c r="AQ1792" t="s">
        <v>111</v>
      </c>
      <c r="AR1792" t="s">
        <v>111</v>
      </c>
      <c r="AS1792" t="s">
        <v>111</v>
      </c>
      <c r="AT1792" t="s">
        <v>111</v>
      </c>
      <c r="AU1792" t="s">
        <v>111</v>
      </c>
      <c r="AV1792" t="s">
        <v>111</v>
      </c>
      <c r="AW1792" t="s">
        <v>111</v>
      </c>
      <c r="AX1792" t="s">
        <v>111</v>
      </c>
      <c r="AY1792" t="s">
        <v>111</v>
      </c>
      <c r="AZ1792" t="s">
        <v>111</v>
      </c>
      <c r="BA1792" t="s">
        <v>111</v>
      </c>
      <c r="BB1792" t="s">
        <v>111</v>
      </c>
      <c r="BC1792" t="s">
        <v>111</v>
      </c>
      <c r="BD1792" t="s">
        <v>111</v>
      </c>
      <c r="BE1792" t="s">
        <v>111</v>
      </c>
      <c r="BF1792" t="s">
        <v>111</v>
      </c>
      <c r="BG1792" t="s">
        <v>111</v>
      </c>
      <c r="BH1792" t="s">
        <v>111</v>
      </c>
      <c r="BI1792" t="s">
        <v>111</v>
      </c>
      <c r="BJ1792" t="s">
        <v>111</v>
      </c>
      <c r="BK1792" t="s">
        <v>111</v>
      </c>
      <c r="BL1792" t="s">
        <v>111</v>
      </c>
      <c r="BM1792" t="s">
        <v>111</v>
      </c>
      <c r="BN1792" t="s">
        <v>111</v>
      </c>
      <c r="BO1792" t="s">
        <v>111</v>
      </c>
      <c r="BP1792" t="s">
        <v>111</v>
      </c>
      <c r="BQ1792" t="s">
        <v>111</v>
      </c>
      <c r="BR1792" t="s">
        <v>111</v>
      </c>
      <c r="BS1792" t="s">
        <v>111</v>
      </c>
      <c r="BT1792" t="s">
        <v>111</v>
      </c>
      <c r="BU1792" t="s">
        <v>111</v>
      </c>
      <c r="BV1792" t="s">
        <v>111</v>
      </c>
      <c r="BW1792" t="s">
        <v>111</v>
      </c>
      <c r="BX1792" t="s">
        <v>111</v>
      </c>
      <c r="BY1792" t="s">
        <v>111</v>
      </c>
      <c r="BZ1792" t="s">
        <v>111</v>
      </c>
      <c r="CA1792" t="s">
        <v>111</v>
      </c>
      <c r="CB1792" t="s">
        <v>111</v>
      </c>
      <c r="CC1792" t="s">
        <v>111</v>
      </c>
      <c r="CD1792" t="s">
        <v>111</v>
      </c>
      <c r="CE1792" t="s">
        <v>111</v>
      </c>
      <c r="CF1792" t="s">
        <v>111</v>
      </c>
      <c r="CG1792" t="s">
        <v>111</v>
      </c>
      <c r="CH1792" t="s">
        <v>111</v>
      </c>
      <c r="CI1792" t="s">
        <v>111</v>
      </c>
      <c r="CJ1792" t="s">
        <v>111</v>
      </c>
      <c r="CK1792" t="s">
        <v>111</v>
      </c>
      <c r="CL1792" t="s">
        <v>153</v>
      </c>
      <c r="CM1792" t="s">
        <v>198</v>
      </c>
      <c r="CN1792" t="s">
        <v>113</v>
      </c>
      <c r="CO1792" t="s">
        <v>111</v>
      </c>
      <c r="CP1792" t="s">
        <v>433</v>
      </c>
      <c r="CQ1792">
        <v>78</v>
      </c>
      <c r="CR1792">
        <v>6000</v>
      </c>
      <c r="CS1792">
        <v>200</v>
      </c>
      <c r="CT1792" t="s">
        <v>168</v>
      </c>
      <c r="CU1792">
        <v>0</v>
      </c>
      <c r="CV1792" t="s">
        <v>111</v>
      </c>
      <c r="CW1792" t="s">
        <v>111</v>
      </c>
      <c r="CX1792" t="s">
        <v>111</v>
      </c>
      <c r="CY1792">
        <v>0</v>
      </c>
      <c r="CZ1792" t="s">
        <v>111</v>
      </c>
      <c r="DA1792" t="s">
        <v>111</v>
      </c>
      <c r="DB1792" t="s">
        <v>111</v>
      </c>
      <c r="DC1792" t="s">
        <v>111</v>
      </c>
    </row>
    <row r="1793" spans="1:107">
      <c r="A1793">
        <v>575</v>
      </c>
      <c r="B1793" t="s">
        <v>162</v>
      </c>
      <c r="C1793" t="s">
        <v>1643</v>
      </c>
      <c r="D1793" t="s">
        <v>4387</v>
      </c>
      <c r="E1793" t="s">
        <v>4956</v>
      </c>
      <c r="F1793" t="s">
        <v>2211</v>
      </c>
      <c r="G1793" t="s">
        <v>24</v>
      </c>
      <c r="H1793">
        <v>1</v>
      </c>
      <c r="I1793">
        <v>27.5</v>
      </c>
      <c r="J1793">
        <v>0</v>
      </c>
      <c r="K1793">
        <v>0</v>
      </c>
      <c r="L1793" t="s">
        <v>117</v>
      </c>
      <c r="M1793" t="s">
        <v>138</v>
      </c>
      <c r="N1793">
        <v>0</v>
      </c>
      <c r="O1793">
        <v>0</v>
      </c>
      <c r="P1793" t="s">
        <v>138</v>
      </c>
      <c r="Q1793">
        <v>30</v>
      </c>
      <c r="R1793">
        <v>0</v>
      </c>
      <c r="S1793">
        <v>0</v>
      </c>
      <c r="T1793">
        <v>0</v>
      </c>
      <c r="U1793" s="1" t="s">
        <v>4957</v>
      </c>
      <c r="V1793">
        <v>0</v>
      </c>
      <c r="W1793">
        <v>0</v>
      </c>
      <c r="X1793">
        <v>0</v>
      </c>
      <c r="Y1793">
        <v>25</v>
      </c>
      <c r="Z1793" t="s">
        <v>111</v>
      </c>
      <c r="AA1793">
        <v>0</v>
      </c>
      <c r="AB1793" t="s">
        <v>111</v>
      </c>
      <c r="AC1793">
        <v>0</v>
      </c>
      <c r="AD1793" t="s">
        <v>111</v>
      </c>
      <c r="AE1793">
        <v>0</v>
      </c>
      <c r="AF1793">
        <v>0</v>
      </c>
      <c r="AG1793" t="s">
        <v>111</v>
      </c>
      <c r="AH1793" t="s">
        <v>111</v>
      </c>
      <c r="AI1793" t="s">
        <v>111</v>
      </c>
      <c r="AJ1793" t="s">
        <v>111</v>
      </c>
      <c r="AK1793" t="s">
        <v>111</v>
      </c>
      <c r="AL1793" t="s">
        <v>111</v>
      </c>
      <c r="AM1793">
        <v>0</v>
      </c>
      <c r="AN1793">
        <v>0</v>
      </c>
      <c r="AO1793">
        <v>0</v>
      </c>
      <c r="AP1793" t="s">
        <v>111</v>
      </c>
      <c r="AQ1793" t="s">
        <v>111</v>
      </c>
      <c r="AR1793" t="s">
        <v>111</v>
      </c>
      <c r="AS1793" t="s">
        <v>111</v>
      </c>
      <c r="AT1793" t="s">
        <v>111</v>
      </c>
      <c r="AU1793" t="s">
        <v>111</v>
      </c>
      <c r="AV1793" t="s">
        <v>111</v>
      </c>
      <c r="AW1793" t="s">
        <v>111</v>
      </c>
      <c r="AX1793" t="s">
        <v>111</v>
      </c>
      <c r="AY1793" t="s">
        <v>111</v>
      </c>
      <c r="AZ1793" t="s">
        <v>111</v>
      </c>
      <c r="BA1793" t="s">
        <v>111</v>
      </c>
      <c r="BB1793" t="s">
        <v>111</v>
      </c>
      <c r="BC1793" t="s">
        <v>111</v>
      </c>
      <c r="BD1793" t="s">
        <v>111</v>
      </c>
      <c r="BE1793" t="s">
        <v>111</v>
      </c>
      <c r="BF1793" t="s">
        <v>111</v>
      </c>
      <c r="BG1793" t="s">
        <v>111</v>
      </c>
      <c r="BH1793" t="s">
        <v>111</v>
      </c>
      <c r="BI1793" t="s">
        <v>111</v>
      </c>
      <c r="BJ1793" t="s">
        <v>111</v>
      </c>
      <c r="BK1793" t="s">
        <v>111</v>
      </c>
      <c r="BL1793" t="s">
        <v>111</v>
      </c>
      <c r="BM1793" t="s">
        <v>111</v>
      </c>
      <c r="BN1793" t="s">
        <v>111</v>
      </c>
      <c r="BO1793" t="s">
        <v>111</v>
      </c>
      <c r="BP1793" t="s">
        <v>111</v>
      </c>
      <c r="BQ1793" t="s">
        <v>111</v>
      </c>
      <c r="BR1793" t="s">
        <v>111</v>
      </c>
      <c r="BS1793" t="s">
        <v>111</v>
      </c>
      <c r="BT1793" t="s">
        <v>111</v>
      </c>
      <c r="BU1793" t="s">
        <v>111</v>
      </c>
      <c r="BV1793" t="s">
        <v>111</v>
      </c>
      <c r="BW1793" t="s">
        <v>111</v>
      </c>
      <c r="BX1793" t="s">
        <v>111</v>
      </c>
      <c r="BY1793" t="s">
        <v>111</v>
      </c>
      <c r="BZ1793" t="s">
        <v>111</v>
      </c>
      <c r="CA1793" t="s">
        <v>111</v>
      </c>
      <c r="CB1793" t="s">
        <v>111</v>
      </c>
      <c r="CC1793" t="s">
        <v>111</v>
      </c>
      <c r="CD1793" t="s">
        <v>111</v>
      </c>
      <c r="CE1793" t="s">
        <v>111</v>
      </c>
      <c r="CF1793" t="s">
        <v>111</v>
      </c>
      <c r="CG1793" t="s">
        <v>111</v>
      </c>
      <c r="CH1793" t="s">
        <v>111</v>
      </c>
      <c r="CI1793" t="s">
        <v>111</v>
      </c>
      <c r="CJ1793" t="s">
        <v>111</v>
      </c>
      <c r="CK1793" t="s">
        <v>111</v>
      </c>
      <c r="CL1793" t="s">
        <v>111</v>
      </c>
      <c r="CM1793" t="s">
        <v>111</v>
      </c>
      <c r="CN1793" t="s">
        <v>111</v>
      </c>
      <c r="CO1793" t="s">
        <v>111</v>
      </c>
      <c r="CP1793" t="s">
        <v>111</v>
      </c>
      <c r="CQ1793">
        <v>0</v>
      </c>
      <c r="CR1793">
        <v>0</v>
      </c>
      <c r="CS1793">
        <v>0</v>
      </c>
      <c r="CT1793" t="s">
        <v>111</v>
      </c>
      <c r="CU1793">
        <v>0</v>
      </c>
      <c r="CV1793" t="s">
        <v>111</v>
      </c>
      <c r="CW1793" t="s">
        <v>111</v>
      </c>
      <c r="CX1793" t="s">
        <v>111</v>
      </c>
      <c r="CY1793">
        <v>0</v>
      </c>
      <c r="CZ1793" t="s">
        <v>111</v>
      </c>
      <c r="DA1793" t="s">
        <v>111</v>
      </c>
      <c r="DB1793" t="s">
        <v>111</v>
      </c>
      <c r="DC1793" t="s">
        <v>111</v>
      </c>
    </row>
    <row r="1794" spans="1:107">
      <c r="A1794">
        <v>574</v>
      </c>
      <c r="B1794" t="s">
        <v>162</v>
      </c>
      <c r="C1794" t="s">
        <v>1068</v>
      </c>
      <c r="D1794" t="s">
        <v>4958</v>
      </c>
      <c r="E1794" t="s">
        <v>4959</v>
      </c>
      <c r="F1794" t="s">
        <v>1071</v>
      </c>
      <c r="G1794" t="s">
        <v>24</v>
      </c>
      <c r="H1794">
        <v>1.4</v>
      </c>
      <c r="I1794">
        <v>35</v>
      </c>
      <c r="J1794">
        <v>0</v>
      </c>
      <c r="K1794">
        <v>0</v>
      </c>
      <c r="L1794" t="s">
        <v>112</v>
      </c>
      <c r="M1794" t="s">
        <v>138</v>
      </c>
      <c r="N1794">
        <v>0</v>
      </c>
      <c r="O1794">
        <v>0</v>
      </c>
      <c r="P1794" t="s">
        <v>138</v>
      </c>
      <c r="Q1794">
        <v>32</v>
      </c>
      <c r="R1794">
        <v>0</v>
      </c>
      <c r="S1794">
        <v>0</v>
      </c>
      <c r="T1794">
        <v>3</v>
      </c>
      <c r="U1794" s="1" t="s">
        <v>4960</v>
      </c>
      <c r="V1794">
        <v>0</v>
      </c>
      <c r="W1794">
        <v>0</v>
      </c>
      <c r="X1794">
        <v>0</v>
      </c>
      <c r="Y1794">
        <v>25</v>
      </c>
      <c r="Z1794" t="s">
        <v>111</v>
      </c>
      <c r="AA1794">
        <v>0</v>
      </c>
      <c r="AB1794" t="s">
        <v>111</v>
      </c>
      <c r="AC1794">
        <v>0</v>
      </c>
      <c r="AD1794" t="s">
        <v>111</v>
      </c>
      <c r="AE1794">
        <v>0</v>
      </c>
      <c r="AF1794">
        <v>0</v>
      </c>
      <c r="AG1794" t="s">
        <v>111</v>
      </c>
      <c r="AH1794" t="s">
        <v>111</v>
      </c>
      <c r="AI1794" t="s">
        <v>111</v>
      </c>
      <c r="AJ1794" t="s">
        <v>111</v>
      </c>
      <c r="AK1794" t="s">
        <v>111</v>
      </c>
      <c r="AL1794" t="s">
        <v>111</v>
      </c>
      <c r="AM1794">
        <v>0</v>
      </c>
      <c r="AN1794">
        <v>0</v>
      </c>
      <c r="AO1794">
        <v>0</v>
      </c>
      <c r="AP1794" t="s">
        <v>111</v>
      </c>
      <c r="AQ1794" t="s">
        <v>111</v>
      </c>
      <c r="AR1794" t="s">
        <v>111</v>
      </c>
      <c r="AS1794" t="s">
        <v>111</v>
      </c>
      <c r="AT1794" t="s">
        <v>111</v>
      </c>
      <c r="AU1794" t="s">
        <v>111</v>
      </c>
      <c r="AV1794" t="s">
        <v>111</v>
      </c>
      <c r="AW1794" t="s">
        <v>111</v>
      </c>
      <c r="AX1794" t="s">
        <v>111</v>
      </c>
      <c r="AY1794" t="s">
        <v>111</v>
      </c>
      <c r="AZ1794" t="s">
        <v>111</v>
      </c>
      <c r="BA1794" t="s">
        <v>111</v>
      </c>
      <c r="BB1794" t="s">
        <v>111</v>
      </c>
      <c r="BC1794" t="s">
        <v>111</v>
      </c>
      <c r="BD1794" t="s">
        <v>111</v>
      </c>
      <c r="BE1794" t="s">
        <v>111</v>
      </c>
      <c r="BF1794" t="s">
        <v>111</v>
      </c>
      <c r="BG1794" t="s">
        <v>111</v>
      </c>
      <c r="BH1794" t="s">
        <v>111</v>
      </c>
      <c r="BI1794" t="s">
        <v>111</v>
      </c>
      <c r="BJ1794" t="s">
        <v>111</v>
      </c>
      <c r="BK1794" t="s">
        <v>111</v>
      </c>
      <c r="BL1794" t="s">
        <v>111</v>
      </c>
      <c r="BM1794" t="s">
        <v>111</v>
      </c>
      <c r="BN1794" t="s">
        <v>111</v>
      </c>
      <c r="BO1794" t="s">
        <v>111</v>
      </c>
      <c r="BP1794" t="s">
        <v>111</v>
      </c>
      <c r="BQ1794" t="s">
        <v>111</v>
      </c>
      <c r="BR1794" t="s">
        <v>111</v>
      </c>
      <c r="BS1794" t="s">
        <v>111</v>
      </c>
      <c r="BT1794" t="s">
        <v>111</v>
      </c>
      <c r="BU1794" t="s">
        <v>111</v>
      </c>
      <c r="BV1794" t="s">
        <v>111</v>
      </c>
      <c r="BW1794" t="s">
        <v>111</v>
      </c>
      <c r="BX1794" t="s">
        <v>111</v>
      </c>
      <c r="BY1794" t="s">
        <v>111</v>
      </c>
      <c r="BZ1794" t="s">
        <v>111</v>
      </c>
      <c r="CA1794" t="s">
        <v>111</v>
      </c>
      <c r="CB1794" t="s">
        <v>111</v>
      </c>
      <c r="CC1794" t="s">
        <v>111</v>
      </c>
      <c r="CD1794" t="s">
        <v>111</v>
      </c>
      <c r="CE1794" t="s">
        <v>111</v>
      </c>
      <c r="CF1794" t="s">
        <v>111</v>
      </c>
      <c r="CG1794" t="s">
        <v>111</v>
      </c>
      <c r="CH1794" t="s">
        <v>111</v>
      </c>
      <c r="CI1794" t="s">
        <v>111</v>
      </c>
      <c r="CJ1794" t="s">
        <v>111</v>
      </c>
      <c r="CK1794" t="s">
        <v>111</v>
      </c>
      <c r="CL1794" t="s">
        <v>111</v>
      </c>
      <c r="CM1794" t="s">
        <v>198</v>
      </c>
      <c r="CN1794" t="s">
        <v>113</v>
      </c>
      <c r="CO1794" t="s">
        <v>111</v>
      </c>
      <c r="CP1794" t="s">
        <v>111</v>
      </c>
      <c r="CQ1794">
        <v>75</v>
      </c>
      <c r="CR1794">
        <v>6000</v>
      </c>
      <c r="CS1794">
        <v>200</v>
      </c>
      <c r="CT1794" t="s">
        <v>168</v>
      </c>
      <c r="CU1794">
        <v>0</v>
      </c>
      <c r="CV1794" t="s">
        <v>111</v>
      </c>
      <c r="CW1794" t="s">
        <v>111</v>
      </c>
      <c r="CX1794" t="s">
        <v>111</v>
      </c>
      <c r="CY1794">
        <v>0</v>
      </c>
      <c r="CZ1794" t="s">
        <v>111</v>
      </c>
      <c r="DA1794" t="s">
        <v>111</v>
      </c>
      <c r="DB1794" t="s">
        <v>111</v>
      </c>
      <c r="DC1794" t="s">
        <v>111</v>
      </c>
    </row>
    <row r="1795" spans="1:107">
      <c r="A1795">
        <v>573</v>
      </c>
      <c r="B1795" t="s">
        <v>162</v>
      </c>
      <c r="C1795" t="s">
        <v>2695</v>
      </c>
      <c r="D1795" t="s">
        <v>4933</v>
      </c>
      <c r="E1795" t="s">
        <v>4934</v>
      </c>
      <c r="F1795" t="s">
        <v>2211</v>
      </c>
      <c r="G1795" t="s">
        <v>24</v>
      </c>
      <c r="H1795">
        <v>2</v>
      </c>
      <c r="I1795">
        <v>50</v>
      </c>
      <c r="J1795">
        <v>0</v>
      </c>
      <c r="K1795">
        <v>0</v>
      </c>
      <c r="L1795" t="s">
        <v>117</v>
      </c>
      <c r="M1795" t="s">
        <v>118</v>
      </c>
      <c r="N1795">
        <v>39</v>
      </c>
      <c r="O1795">
        <v>1</v>
      </c>
      <c r="P1795" t="s">
        <v>138</v>
      </c>
      <c r="Q1795">
        <v>40</v>
      </c>
      <c r="R1795">
        <v>0</v>
      </c>
      <c r="S1795">
        <v>0</v>
      </c>
      <c r="T1795">
        <v>0</v>
      </c>
      <c r="U1795" s="1" t="s">
        <v>4961</v>
      </c>
      <c r="V1795">
        <v>0</v>
      </c>
      <c r="W1795">
        <v>0</v>
      </c>
      <c r="X1795">
        <v>1</v>
      </c>
      <c r="Y1795">
        <v>0</v>
      </c>
      <c r="Z1795" t="s">
        <v>111</v>
      </c>
      <c r="AA1795">
        <v>0</v>
      </c>
      <c r="AB1795" t="s">
        <v>111</v>
      </c>
      <c r="AC1795">
        <v>0</v>
      </c>
      <c r="AD1795" t="s">
        <v>111</v>
      </c>
      <c r="AE1795">
        <v>0</v>
      </c>
      <c r="AF1795">
        <v>0</v>
      </c>
      <c r="AG1795" t="s">
        <v>111</v>
      </c>
      <c r="AH1795" t="s">
        <v>111</v>
      </c>
      <c r="AI1795" t="s">
        <v>111</v>
      </c>
      <c r="AJ1795" t="s">
        <v>111</v>
      </c>
      <c r="AK1795" t="s">
        <v>111</v>
      </c>
      <c r="AL1795" t="s">
        <v>111</v>
      </c>
      <c r="AM1795">
        <v>0</v>
      </c>
      <c r="AN1795">
        <v>0</v>
      </c>
      <c r="AO1795">
        <v>0</v>
      </c>
      <c r="AP1795" t="s">
        <v>111</v>
      </c>
      <c r="AQ1795" t="s">
        <v>111</v>
      </c>
      <c r="AR1795" t="s">
        <v>111</v>
      </c>
      <c r="AS1795" t="s">
        <v>111</v>
      </c>
      <c r="AT1795" t="s">
        <v>111</v>
      </c>
      <c r="AU1795" t="s">
        <v>111</v>
      </c>
      <c r="AV1795" t="s">
        <v>111</v>
      </c>
      <c r="AW1795" t="s">
        <v>111</v>
      </c>
      <c r="AX1795" t="s">
        <v>111</v>
      </c>
      <c r="AY1795" t="s">
        <v>111</v>
      </c>
      <c r="AZ1795" t="s">
        <v>111</v>
      </c>
      <c r="BA1795" t="s">
        <v>111</v>
      </c>
      <c r="BB1795" t="s">
        <v>111</v>
      </c>
      <c r="BC1795" t="s">
        <v>111</v>
      </c>
      <c r="BD1795" t="s">
        <v>111</v>
      </c>
      <c r="BE1795" t="s">
        <v>111</v>
      </c>
      <c r="BF1795" t="s">
        <v>111</v>
      </c>
      <c r="BG1795" t="s">
        <v>111</v>
      </c>
      <c r="BH1795" t="s">
        <v>111</v>
      </c>
      <c r="BI1795" t="s">
        <v>111</v>
      </c>
      <c r="BJ1795" t="s">
        <v>111</v>
      </c>
      <c r="BK1795" t="s">
        <v>111</v>
      </c>
      <c r="BL1795" t="s">
        <v>111</v>
      </c>
      <c r="BM1795" t="s">
        <v>111</v>
      </c>
      <c r="BN1795" t="s">
        <v>111</v>
      </c>
      <c r="BO1795" t="s">
        <v>111</v>
      </c>
      <c r="BP1795" t="s">
        <v>111</v>
      </c>
      <c r="BQ1795" t="s">
        <v>111</v>
      </c>
      <c r="BR1795" t="s">
        <v>111</v>
      </c>
      <c r="BS1795" t="s">
        <v>111</v>
      </c>
      <c r="BT1795" t="s">
        <v>111</v>
      </c>
      <c r="BU1795" t="s">
        <v>111</v>
      </c>
      <c r="BV1795" t="s">
        <v>111</v>
      </c>
      <c r="BW1795" t="s">
        <v>111</v>
      </c>
      <c r="BX1795" t="s">
        <v>111</v>
      </c>
      <c r="BY1795" t="s">
        <v>111</v>
      </c>
      <c r="BZ1795" t="s">
        <v>111</v>
      </c>
      <c r="CA1795" t="s">
        <v>111</v>
      </c>
      <c r="CB1795" t="s">
        <v>111</v>
      </c>
      <c r="CC1795" t="s">
        <v>111</v>
      </c>
      <c r="CD1795" t="s">
        <v>111</v>
      </c>
      <c r="CE1795" t="s">
        <v>111</v>
      </c>
      <c r="CF1795" t="s">
        <v>111</v>
      </c>
      <c r="CG1795" t="s">
        <v>111</v>
      </c>
      <c r="CH1795" t="s">
        <v>111</v>
      </c>
      <c r="CI1795" t="s">
        <v>111</v>
      </c>
      <c r="CJ1795" t="s">
        <v>111</v>
      </c>
      <c r="CK1795" t="s">
        <v>111</v>
      </c>
      <c r="CL1795" t="s">
        <v>111</v>
      </c>
      <c r="CM1795" t="s">
        <v>111</v>
      </c>
      <c r="CN1795" t="s">
        <v>111</v>
      </c>
      <c r="CO1795" t="s">
        <v>111</v>
      </c>
      <c r="CP1795" t="s">
        <v>111</v>
      </c>
      <c r="CQ1795">
        <v>0</v>
      </c>
      <c r="CR1795">
        <v>0</v>
      </c>
      <c r="CS1795">
        <v>0</v>
      </c>
      <c r="CT1795" t="s">
        <v>111</v>
      </c>
      <c r="CU1795">
        <v>0</v>
      </c>
      <c r="CV1795" t="s">
        <v>111</v>
      </c>
      <c r="CW1795" t="s">
        <v>111</v>
      </c>
      <c r="CX1795" t="s">
        <v>111</v>
      </c>
      <c r="CY1795">
        <v>0</v>
      </c>
      <c r="CZ1795" t="s">
        <v>111</v>
      </c>
      <c r="DA1795" t="s">
        <v>111</v>
      </c>
      <c r="DB1795" t="s">
        <v>111</v>
      </c>
      <c r="DC1795" t="s">
        <v>111</v>
      </c>
    </row>
    <row r="1796" spans="1:107">
      <c r="A1796">
        <v>572</v>
      </c>
      <c r="B1796" t="s">
        <v>162</v>
      </c>
      <c r="C1796" t="s">
        <v>3925</v>
      </c>
      <c r="D1796" t="s">
        <v>4089</v>
      </c>
      <c r="E1796" t="s">
        <v>4962</v>
      </c>
      <c r="F1796" t="s">
        <v>110</v>
      </c>
      <c r="G1796" t="s">
        <v>24</v>
      </c>
      <c r="H1796">
        <v>0.85</v>
      </c>
      <c r="I1796">
        <v>40</v>
      </c>
      <c r="J1796">
        <v>0</v>
      </c>
      <c r="K1796">
        <v>0</v>
      </c>
      <c r="L1796" t="s">
        <v>112</v>
      </c>
      <c r="M1796" t="s">
        <v>138</v>
      </c>
      <c r="N1796">
        <v>0</v>
      </c>
      <c r="O1796">
        <v>0</v>
      </c>
      <c r="P1796" t="s">
        <v>138</v>
      </c>
      <c r="Q1796">
        <v>40</v>
      </c>
      <c r="R1796">
        <v>0</v>
      </c>
      <c r="S1796">
        <v>0</v>
      </c>
      <c r="T1796">
        <v>0</v>
      </c>
      <c r="U1796" t="s">
        <v>168</v>
      </c>
      <c r="V1796">
        <v>0</v>
      </c>
      <c r="W1796">
        <v>0</v>
      </c>
      <c r="X1796">
        <v>0</v>
      </c>
      <c r="Y1796">
        <v>25</v>
      </c>
      <c r="Z1796" t="s">
        <v>111</v>
      </c>
      <c r="AA1796">
        <v>0</v>
      </c>
      <c r="AB1796" t="s">
        <v>111</v>
      </c>
      <c r="AC1796">
        <v>0</v>
      </c>
      <c r="AD1796" t="s">
        <v>111</v>
      </c>
      <c r="AE1796">
        <v>0</v>
      </c>
      <c r="AF1796">
        <v>0</v>
      </c>
      <c r="AG1796" t="s">
        <v>111</v>
      </c>
      <c r="AH1796" t="s">
        <v>111</v>
      </c>
      <c r="AI1796" t="s">
        <v>111</v>
      </c>
      <c r="AJ1796" t="s">
        <v>111</v>
      </c>
      <c r="AK1796" t="s">
        <v>111</v>
      </c>
      <c r="AL1796" t="s">
        <v>111</v>
      </c>
      <c r="AM1796">
        <v>0</v>
      </c>
      <c r="AN1796">
        <v>0</v>
      </c>
      <c r="AO1796">
        <v>0</v>
      </c>
      <c r="AP1796" t="s">
        <v>111</v>
      </c>
      <c r="AQ1796" t="s">
        <v>111</v>
      </c>
      <c r="AR1796" t="s">
        <v>111</v>
      </c>
      <c r="AS1796" t="s">
        <v>111</v>
      </c>
      <c r="AT1796" t="s">
        <v>111</v>
      </c>
      <c r="AU1796" t="s">
        <v>111</v>
      </c>
      <c r="AV1796" t="s">
        <v>111</v>
      </c>
      <c r="AW1796" t="s">
        <v>111</v>
      </c>
      <c r="AX1796" t="s">
        <v>111</v>
      </c>
      <c r="AY1796" t="s">
        <v>111</v>
      </c>
      <c r="AZ1796" t="s">
        <v>111</v>
      </c>
      <c r="BA1796" t="s">
        <v>111</v>
      </c>
      <c r="BB1796" t="s">
        <v>111</v>
      </c>
      <c r="BC1796" t="s">
        <v>111</v>
      </c>
      <c r="BD1796" t="s">
        <v>111</v>
      </c>
      <c r="BE1796" t="s">
        <v>111</v>
      </c>
      <c r="BF1796" t="s">
        <v>111</v>
      </c>
      <c r="BG1796" t="s">
        <v>111</v>
      </c>
      <c r="BH1796" t="s">
        <v>111</v>
      </c>
      <c r="BI1796" t="s">
        <v>111</v>
      </c>
      <c r="BJ1796" t="s">
        <v>111</v>
      </c>
      <c r="BK1796" t="s">
        <v>111</v>
      </c>
      <c r="BL1796" t="s">
        <v>111</v>
      </c>
      <c r="BM1796" t="s">
        <v>111</v>
      </c>
      <c r="BN1796" t="s">
        <v>111</v>
      </c>
      <c r="BO1796" t="s">
        <v>111</v>
      </c>
      <c r="BP1796" t="s">
        <v>111</v>
      </c>
      <c r="BQ1796" t="s">
        <v>111</v>
      </c>
      <c r="BR1796" t="s">
        <v>111</v>
      </c>
      <c r="BS1796" t="s">
        <v>111</v>
      </c>
      <c r="BT1796" t="s">
        <v>111</v>
      </c>
      <c r="BU1796" t="s">
        <v>111</v>
      </c>
      <c r="BV1796" t="s">
        <v>111</v>
      </c>
      <c r="BW1796" t="s">
        <v>111</v>
      </c>
      <c r="BX1796" t="s">
        <v>111</v>
      </c>
      <c r="BY1796" t="s">
        <v>111</v>
      </c>
      <c r="BZ1796" t="s">
        <v>111</v>
      </c>
      <c r="CA1796" t="s">
        <v>111</v>
      </c>
      <c r="CB1796" t="s">
        <v>111</v>
      </c>
      <c r="CC1796" t="s">
        <v>111</v>
      </c>
      <c r="CD1796" t="s">
        <v>111</v>
      </c>
      <c r="CE1796" t="s">
        <v>111</v>
      </c>
      <c r="CF1796" t="s">
        <v>111</v>
      </c>
      <c r="CG1796" t="s">
        <v>111</v>
      </c>
      <c r="CH1796" t="s">
        <v>111</v>
      </c>
      <c r="CI1796" t="s">
        <v>111</v>
      </c>
      <c r="CJ1796" t="s">
        <v>111</v>
      </c>
      <c r="CK1796" t="s">
        <v>111</v>
      </c>
      <c r="CL1796" t="s">
        <v>111</v>
      </c>
      <c r="CM1796" t="s">
        <v>111</v>
      </c>
      <c r="CN1796" t="s">
        <v>111</v>
      </c>
      <c r="CO1796" t="s">
        <v>111</v>
      </c>
      <c r="CP1796" t="s">
        <v>111</v>
      </c>
      <c r="CQ1796">
        <v>0</v>
      </c>
      <c r="CR1796">
        <v>0</v>
      </c>
      <c r="CS1796">
        <v>0</v>
      </c>
      <c r="CT1796" t="s">
        <v>111</v>
      </c>
      <c r="CU1796">
        <v>0</v>
      </c>
      <c r="CV1796" t="s">
        <v>111</v>
      </c>
      <c r="CW1796" t="s">
        <v>111</v>
      </c>
      <c r="CX1796" t="s">
        <v>111</v>
      </c>
      <c r="CY1796">
        <v>0</v>
      </c>
      <c r="CZ1796" t="s">
        <v>111</v>
      </c>
      <c r="DA1796" t="s">
        <v>111</v>
      </c>
      <c r="DB1796" t="s">
        <v>111</v>
      </c>
      <c r="DC1796" t="s">
        <v>111</v>
      </c>
    </row>
    <row r="1797" spans="1:107">
      <c r="A1797">
        <v>571</v>
      </c>
      <c r="B1797" t="s">
        <v>162</v>
      </c>
      <c r="C1797" s="2">
        <v>1020396785</v>
      </c>
      <c r="D1797" t="s">
        <v>4461</v>
      </c>
      <c r="E1797" t="s">
        <v>4963</v>
      </c>
      <c r="F1797" t="s">
        <v>1651</v>
      </c>
      <c r="G1797" t="s">
        <v>24</v>
      </c>
      <c r="H1797">
        <v>2.4</v>
      </c>
      <c r="I1797">
        <v>40</v>
      </c>
      <c r="J1797">
        <v>0</v>
      </c>
      <c r="K1797">
        <v>0</v>
      </c>
      <c r="L1797" t="s">
        <v>117</v>
      </c>
      <c r="M1797" t="s">
        <v>118</v>
      </c>
      <c r="N1797">
        <v>40</v>
      </c>
      <c r="O1797">
        <v>1</v>
      </c>
      <c r="P1797" t="s">
        <v>138</v>
      </c>
      <c r="Q1797">
        <v>30</v>
      </c>
      <c r="R1797">
        <v>0</v>
      </c>
      <c r="S1797">
        <v>0</v>
      </c>
      <c r="T1797">
        <v>0</v>
      </c>
      <c r="U1797" t="s">
        <v>1353</v>
      </c>
      <c r="V1797">
        <v>0</v>
      </c>
      <c r="W1797">
        <v>0</v>
      </c>
      <c r="X1797">
        <v>0</v>
      </c>
      <c r="Y1797">
        <v>25</v>
      </c>
      <c r="Z1797" t="s">
        <v>111</v>
      </c>
      <c r="AA1797">
        <v>0</v>
      </c>
      <c r="AB1797" t="s">
        <v>111</v>
      </c>
      <c r="AC1797">
        <v>0</v>
      </c>
      <c r="AD1797" t="s">
        <v>416</v>
      </c>
      <c r="AE1797">
        <v>4</v>
      </c>
      <c r="AF1797">
        <v>2</v>
      </c>
      <c r="AG1797" t="s">
        <v>2560</v>
      </c>
      <c r="AH1797" t="s">
        <v>111</v>
      </c>
      <c r="AI1797">
        <v>35</v>
      </c>
      <c r="AJ1797" t="s">
        <v>111</v>
      </c>
      <c r="AK1797" t="s">
        <v>111</v>
      </c>
      <c r="AL1797" t="s">
        <v>111</v>
      </c>
      <c r="AM1797">
        <v>0</v>
      </c>
      <c r="AN1797">
        <v>0</v>
      </c>
      <c r="AO1797">
        <v>0</v>
      </c>
      <c r="AP1797" t="s">
        <v>271</v>
      </c>
      <c r="AQ1797" t="s">
        <v>111</v>
      </c>
      <c r="AR1797" t="s">
        <v>111</v>
      </c>
      <c r="AS1797" t="s">
        <v>111</v>
      </c>
      <c r="AT1797" t="s">
        <v>259</v>
      </c>
      <c r="AU1797" t="s">
        <v>111</v>
      </c>
      <c r="AV1797" t="s">
        <v>111</v>
      </c>
      <c r="AW1797" t="s">
        <v>111</v>
      </c>
      <c r="AX1797" t="s">
        <v>288</v>
      </c>
      <c r="AY1797" t="s">
        <v>111</v>
      </c>
      <c r="AZ1797" t="s">
        <v>111</v>
      </c>
      <c r="BA1797" t="s">
        <v>111</v>
      </c>
      <c r="BB1797" t="s">
        <v>188</v>
      </c>
      <c r="BC1797" t="s">
        <v>111</v>
      </c>
      <c r="BD1797" t="s">
        <v>111</v>
      </c>
      <c r="BE1797" t="s">
        <v>111</v>
      </c>
      <c r="BF1797" t="s">
        <v>1924</v>
      </c>
      <c r="BG1797" t="s">
        <v>111</v>
      </c>
      <c r="BH1797" t="s">
        <v>111</v>
      </c>
      <c r="BI1797" t="s">
        <v>111</v>
      </c>
      <c r="BJ1797" t="s">
        <v>111</v>
      </c>
      <c r="BK1797" t="s">
        <v>111</v>
      </c>
      <c r="BL1797" t="s">
        <v>111</v>
      </c>
      <c r="BM1797" t="s">
        <v>111</v>
      </c>
      <c r="BN1797" t="s">
        <v>111</v>
      </c>
      <c r="BO1797" t="s">
        <v>111</v>
      </c>
      <c r="BP1797" t="s">
        <v>111</v>
      </c>
      <c r="BQ1797" t="s">
        <v>111</v>
      </c>
      <c r="BR1797" t="s">
        <v>111</v>
      </c>
      <c r="BS1797" t="s">
        <v>111</v>
      </c>
      <c r="BT1797" t="s">
        <v>111</v>
      </c>
      <c r="BU1797" t="s">
        <v>111</v>
      </c>
      <c r="BV1797" t="s">
        <v>111</v>
      </c>
      <c r="BW1797" t="s">
        <v>111</v>
      </c>
      <c r="BX1797" t="s">
        <v>111</v>
      </c>
      <c r="BY1797" t="s">
        <v>111</v>
      </c>
      <c r="BZ1797" t="s">
        <v>111</v>
      </c>
      <c r="CA1797" t="s">
        <v>111</v>
      </c>
      <c r="CB1797" t="s">
        <v>111</v>
      </c>
      <c r="CC1797" t="s">
        <v>111</v>
      </c>
      <c r="CD1797" t="s">
        <v>111</v>
      </c>
      <c r="CE1797" t="s">
        <v>111</v>
      </c>
      <c r="CF1797" t="s">
        <v>111</v>
      </c>
      <c r="CG1797" t="s">
        <v>111</v>
      </c>
      <c r="CH1797" t="s">
        <v>111</v>
      </c>
      <c r="CI1797" t="s">
        <v>111</v>
      </c>
      <c r="CJ1797" t="s">
        <v>111</v>
      </c>
      <c r="CK1797" t="s">
        <v>111</v>
      </c>
      <c r="CL1797" t="s">
        <v>153</v>
      </c>
      <c r="CM1797" t="s">
        <v>198</v>
      </c>
      <c r="CN1797" t="s">
        <v>113</v>
      </c>
      <c r="CO1797" t="s">
        <v>111</v>
      </c>
      <c r="CP1797" t="s">
        <v>433</v>
      </c>
      <c r="CQ1797">
        <v>0</v>
      </c>
      <c r="CR1797">
        <v>0</v>
      </c>
      <c r="CS1797">
        <v>0</v>
      </c>
      <c r="CT1797" t="s">
        <v>168</v>
      </c>
      <c r="CU1797">
        <v>0</v>
      </c>
      <c r="CV1797" t="s">
        <v>111</v>
      </c>
      <c r="CW1797" t="s">
        <v>111</v>
      </c>
      <c r="CX1797" t="s">
        <v>111</v>
      </c>
      <c r="CY1797">
        <v>0</v>
      </c>
      <c r="CZ1797" t="s">
        <v>111</v>
      </c>
      <c r="DA1797" t="s">
        <v>111</v>
      </c>
      <c r="DB1797" t="s">
        <v>111</v>
      </c>
      <c r="DC1797" t="s">
        <v>111</v>
      </c>
    </row>
    <row r="1798" spans="1:107">
      <c r="A1798">
        <v>729</v>
      </c>
      <c r="B1798" t="s">
        <v>107</v>
      </c>
      <c r="C1798" t="s">
        <v>174</v>
      </c>
      <c r="D1798" t="s">
        <v>4096</v>
      </c>
      <c r="E1798" t="s">
        <v>4964</v>
      </c>
      <c r="F1798" t="s">
        <v>1071</v>
      </c>
      <c r="G1798" t="s">
        <v>24</v>
      </c>
      <c r="H1798">
        <v>1.9</v>
      </c>
      <c r="I1798">
        <v>35</v>
      </c>
      <c r="J1798">
        <v>0</v>
      </c>
      <c r="K1798">
        <v>0</v>
      </c>
      <c r="L1798" t="s">
        <v>112</v>
      </c>
      <c r="M1798" t="s">
        <v>138</v>
      </c>
      <c r="N1798">
        <v>0</v>
      </c>
      <c r="O1798">
        <v>0</v>
      </c>
      <c r="P1798" t="s">
        <v>138</v>
      </c>
      <c r="Q1798">
        <v>36</v>
      </c>
      <c r="R1798">
        <v>0</v>
      </c>
      <c r="S1798">
        <v>0</v>
      </c>
      <c r="T1798">
        <v>0</v>
      </c>
      <c r="U1798" s="1" t="s">
        <v>4965</v>
      </c>
      <c r="V1798">
        <v>0</v>
      </c>
      <c r="W1798">
        <v>0</v>
      </c>
      <c r="X1798">
        <v>0</v>
      </c>
      <c r="Y1798">
        <v>25</v>
      </c>
      <c r="Z1798" t="s">
        <v>111</v>
      </c>
      <c r="AA1798">
        <v>0</v>
      </c>
      <c r="AB1798" t="s">
        <v>111</v>
      </c>
      <c r="AC1798">
        <v>0</v>
      </c>
      <c r="AD1798" t="s">
        <v>111</v>
      </c>
      <c r="AE1798">
        <v>0</v>
      </c>
      <c r="AF1798">
        <v>0</v>
      </c>
      <c r="AG1798" t="s">
        <v>111</v>
      </c>
      <c r="AH1798" t="s">
        <v>111</v>
      </c>
      <c r="AI1798" t="s">
        <v>111</v>
      </c>
      <c r="AJ1798" t="s">
        <v>111</v>
      </c>
      <c r="AK1798" t="s">
        <v>111</v>
      </c>
      <c r="AL1798" t="s">
        <v>111</v>
      </c>
      <c r="AM1798">
        <v>0</v>
      </c>
      <c r="AN1798">
        <v>0</v>
      </c>
      <c r="AO1798">
        <v>0</v>
      </c>
      <c r="AP1798" t="s">
        <v>111</v>
      </c>
      <c r="AQ1798" t="s">
        <v>111</v>
      </c>
      <c r="AR1798" t="s">
        <v>111</v>
      </c>
      <c r="AS1798" t="s">
        <v>111</v>
      </c>
      <c r="AT1798" t="s">
        <v>111</v>
      </c>
      <c r="AU1798" t="s">
        <v>111</v>
      </c>
      <c r="AV1798" t="s">
        <v>111</v>
      </c>
      <c r="AW1798" t="s">
        <v>111</v>
      </c>
      <c r="AX1798" t="s">
        <v>111</v>
      </c>
      <c r="AY1798" t="s">
        <v>111</v>
      </c>
      <c r="AZ1798" t="s">
        <v>111</v>
      </c>
      <c r="BA1798" t="s">
        <v>111</v>
      </c>
      <c r="BB1798" t="s">
        <v>111</v>
      </c>
      <c r="BC1798" t="s">
        <v>111</v>
      </c>
      <c r="BD1798" t="s">
        <v>111</v>
      </c>
      <c r="BE1798" t="s">
        <v>111</v>
      </c>
      <c r="BF1798" t="s">
        <v>111</v>
      </c>
      <c r="BG1798" t="s">
        <v>111</v>
      </c>
      <c r="BH1798" t="s">
        <v>111</v>
      </c>
      <c r="BI1798" t="s">
        <v>111</v>
      </c>
      <c r="BJ1798" t="s">
        <v>111</v>
      </c>
      <c r="BK1798" t="s">
        <v>111</v>
      </c>
      <c r="BL1798" t="s">
        <v>111</v>
      </c>
      <c r="BM1798" t="s">
        <v>111</v>
      </c>
      <c r="BN1798" t="s">
        <v>111</v>
      </c>
      <c r="BO1798" t="s">
        <v>111</v>
      </c>
      <c r="BP1798" t="s">
        <v>111</v>
      </c>
      <c r="BQ1798" t="s">
        <v>111</v>
      </c>
      <c r="BR1798" t="s">
        <v>111</v>
      </c>
      <c r="BS1798" t="s">
        <v>111</v>
      </c>
      <c r="BT1798" t="s">
        <v>111</v>
      </c>
      <c r="BU1798" t="s">
        <v>111</v>
      </c>
      <c r="BV1798" t="s">
        <v>111</v>
      </c>
      <c r="BW1798" t="s">
        <v>111</v>
      </c>
      <c r="BX1798" t="s">
        <v>111</v>
      </c>
      <c r="BY1798" t="s">
        <v>111</v>
      </c>
      <c r="BZ1798" t="s">
        <v>111</v>
      </c>
      <c r="CA1798" t="s">
        <v>111</v>
      </c>
      <c r="CB1798" t="s">
        <v>111</v>
      </c>
      <c r="CC1798" t="s">
        <v>111</v>
      </c>
      <c r="CD1798" t="s">
        <v>111</v>
      </c>
      <c r="CE1798" t="s">
        <v>111</v>
      </c>
      <c r="CF1798" t="s">
        <v>111</v>
      </c>
      <c r="CG1798" t="s">
        <v>111</v>
      </c>
      <c r="CH1798" t="s">
        <v>111</v>
      </c>
      <c r="CI1798" t="s">
        <v>111</v>
      </c>
      <c r="CJ1798" t="s">
        <v>111</v>
      </c>
      <c r="CK1798" t="s">
        <v>111</v>
      </c>
      <c r="CL1798" t="s">
        <v>111</v>
      </c>
      <c r="CM1798">
        <v>450</v>
      </c>
      <c r="CN1798" t="s">
        <v>113</v>
      </c>
      <c r="CO1798" t="s">
        <v>111</v>
      </c>
      <c r="CP1798" t="s">
        <v>111</v>
      </c>
      <c r="CQ1798">
        <v>0</v>
      </c>
      <c r="CR1798">
        <v>5000</v>
      </c>
      <c r="CS1798">
        <v>200</v>
      </c>
      <c r="CT1798" s="1" t="s">
        <v>4966</v>
      </c>
      <c r="CU1798">
        <v>0</v>
      </c>
      <c r="CV1798" t="s">
        <v>111</v>
      </c>
      <c r="CW1798" t="s">
        <v>111</v>
      </c>
      <c r="CX1798" t="s">
        <v>111</v>
      </c>
      <c r="CY1798">
        <v>0</v>
      </c>
      <c r="CZ1798" t="s">
        <v>111</v>
      </c>
      <c r="DA1798" t="s">
        <v>111</v>
      </c>
      <c r="DB1798" t="s">
        <v>111</v>
      </c>
      <c r="DC1798" t="s">
        <v>111</v>
      </c>
    </row>
    <row r="1799" spans="1:107">
      <c r="A1799">
        <v>550</v>
      </c>
      <c r="B1799" t="s">
        <v>162</v>
      </c>
      <c r="C1799" t="s">
        <v>454</v>
      </c>
      <c r="D1799" t="s">
        <v>4967</v>
      </c>
      <c r="E1799" t="s">
        <v>4968</v>
      </c>
      <c r="F1799" t="s">
        <v>1651</v>
      </c>
      <c r="G1799" t="s">
        <v>24</v>
      </c>
      <c r="H1799">
        <v>2.2000000000000002</v>
      </c>
      <c r="I1799">
        <v>40</v>
      </c>
      <c r="J1799">
        <v>0</v>
      </c>
      <c r="K1799">
        <v>0</v>
      </c>
      <c r="L1799" t="s">
        <v>112</v>
      </c>
      <c r="M1799" t="s">
        <v>118</v>
      </c>
      <c r="N1799">
        <v>40</v>
      </c>
      <c r="O1799">
        <v>1</v>
      </c>
      <c r="P1799" t="s">
        <v>138</v>
      </c>
      <c r="Q1799">
        <v>40</v>
      </c>
      <c r="R1799">
        <v>0</v>
      </c>
      <c r="S1799">
        <v>0</v>
      </c>
      <c r="T1799">
        <v>0</v>
      </c>
      <c r="U1799" t="s">
        <v>1353</v>
      </c>
      <c r="V1799">
        <v>0</v>
      </c>
      <c r="W1799">
        <v>0</v>
      </c>
      <c r="X1799">
        <v>0</v>
      </c>
      <c r="Y1799">
        <v>25</v>
      </c>
      <c r="Z1799" t="s">
        <v>111</v>
      </c>
      <c r="AA1799">
        <v>0</v>
      </c>
      <c r="AB1799" t="s">
        <v>111</v>
      </c>
      <c r="AC1799">
        <v>0</v>
      </c>
      <c r="AD1799" t="s">
        <v>416</v>
      </c>
      <c r="AE1799">
        <v>1</v>
      </c>
      <c r="AF1799">
        <v>1</v>
      </c>
      <c r="AG1799">
        <v>30</v>
      </c>
      <c r="AH1799" t="s">
        <v>111</v>
      </c>
      <c r="AI1799">
        <v>30</v>
      </c>
      <c r="AJ1799" t="s">
        <v>111</v>
      </c>
      <c r="AK1799" t="s">
        <v>111</v>
      </c>
      <c r="AL1799" t="s">
        <v>111</v>
      </c>
      <c r="AM1799">
        <v>0</v>
      </c>
      <c r="AN1799">
        <v>0</v>
      </c>
      <c r="AO1799">
        <v>0</v>
      </c>
      <c r="AP1799" t="s">
        <v>188</v>
      </c>
      <c r="AQ1799" t="s">
        <v>111</v>
      </c>
      <c r="AR1799" t="s">
        <v>111</v>
      </c>
      <c r="AS1799" t="s">
        <v>111</v>
      </c>
      <c r="AT1799" t="s">
        <v>111</v>
      </c>
      <c r="AU1799" t="s">
        <v>111</v>
      </c>
      <c r="AV1799" t="s">
        <v>111</v>
      </c>
      <c r="AW1799" t="s">
        <v>111</v>
      </c>
      <c r="AX1799" t="s">
        <v>111</v>
      </c>
      <c r="AY1799" t="s">
        <v>111</v>
      </c>
      <c r="AZ1799" t="s">
        <v>111</v>
      </c>
      <c r="BA1799" t="s">
        <v>111</v>
      </c>
      <c r="BB1799" t="s">
        <v>111</v>
      </c>
      <c r="BC1799" t="s">
        <v>111</v>
      </c>
      <c r="BD1799" t="s">
        <v>111</v>
      </c>
      <c r="BE1799" t="s">
        <v>111</v>
      </c>
      <c r="BF1799" t="s">
        <v>111</v>
      </c>
      <c r="BG1799" t="s">
        <v>111</v>
      </c>
      <c r="BH1799" t="s">
        <v>111</v>
      </c>
      <c r="BI1799" t="s">
        <v>111</v>
      </c>
      <c r="BJ1799" t="s">
        <v>111</v>
      </c>
      <c r="BK1799" t="s">
        <v>111</v>
      </c>
      <c r="BL1799" t="s">
        <v>111</v>
      </c>
      <c r="BM1799" t="s">
        <v>111</v>
      </c>
      <c r="BN1799" t="s">
        <v>111</v>
      </c>
      <c r="BO1799" t="s">
        <v>111</v>
      </c>
      <c r="BP1799" t="s">
        <v>111</v>
      </c>
      <c r="BQ1799" t="s">
        <v>111</v>
      </c>
      <c r="BR1799" t="s">
        <v>111</v>
      </c>
      <c r="BS1799" t="s">
        <v>111</v>
      </c>
      <c r="BT1799" t="s">
        <v>111</v>
      </c>
      <c r="BU1799" t="s">
        <v>111</v>
      </c>
      <c r="BV1799" t="s">
        <v>111</v>
      </c>
      <c r="BW1799" t="s">
        <v>111</v>
      </c>
      <c r="BX1799" t="s">
        <v>111</v>
      </c>
      <c r="BY1799" t="s">
        <v>111</v>
      </c>
      <c r="BZ1799" t="s">
        <v>111</v>
      </c>
      <c r="CA1799" t="s">
        <v>111</v>
      </c>
      <c r="CB1799" t="s">
        <v>111</v>
      </c>
      <c r="CC1799" t="s">
        <v>111</v>
      </c>
      <c r="CD1799" t="s">
        <v>111</v>
      </c>
      <c r="CE1799" t="s">
        <v>111</v>
      </c>
      <c r="CF1799" t="s">
        <v>111</v>
      </c>
      <c r="CG1799" t="s">
        <v>111</v>
      </c>
      <c r="CH1799" t="s">
        <v>111</v>
      </c>
      <c r="CI1799" t="s">
        <v>111</v>
      </c>
      <c r="CJ1799" t="s">
        <v>111</v>
      </c>
      <c r="CK1799" t="s">
        <v>111</v>
      </c>
      <c r="CL1799" t="s">
        <v>153</v>
      </c>
      <c r="CM1799" t="s">
        <v>198</v>
      </c>
      <c r="CN1799" t="s">
        <v>113</v>
      </c>
      <c r="CO1799" t="s">
        <v>111</v>
      </c>
      <c r="CP1799" t="s">
        <v>433</v>
      </c>
      <c r="CQ1799">
        <v>0</v>
      </c>
      <c r="CR1799">
        <v>0</v>
      </c>
      <c r="CS1799">
        <v>0</v>
      </c>
      <c r="CT1799" t="s">
        <v>168</v>
      </c>
      <c r="CU1799">
        <v>0</v>
      </c>
      <c r="CV1799" t="s">
        <v>111</v>
      </c>
      <c r="CW1799" t="s">
        <v>111</v>
      </c>
      <c r="CX1799" t="s">
        <v>111</v>
      </c>
      <c r="CY1799">
        <v>0</v>
      </c>
      <c r="CZ1799" t="s">
        <v>111</v>
      </c>
      <c r="DA1799" t="s">
        <v>111</v>
      </c>
      <c r="DB1799" t="s">
        <v>111</v>
      </c>
      <c r="DC1799" t="s">
        <v>111</v>
      </c>
    </row>
    <row r="1800" spans="1:107">
      <c r="A1800">
        <v>537</v>
      </c>
      <c r="B1800" t="s">
        <v>162</v>
      </c>
      <c r="C1800" t="s">
        <v>1643</v>
      </c>
      <c r="D1800" t="s">
        <v>3977</v>
      </c>
      <c r="E1800" t="s">
        <v>3978</v>
      </c>
      <c r="F1800" t="s">
        <v>2211</v>
      </c>
      <c r="G1800" t="s">
        <v>24</v>
      </c>
      <c r="H1800">
        <v>1.2</v>
      </c>
      <c r="I1800">
        <v>50</v>
      </c>
      <c r="J1800">
        <v>0</v>
      </c>
      <c r="K1800">
        <v>0</v>
      </c>
      <c r="L1800" t="s">
        <v>117</v>
      </c>
      <c r="M1800" t="s">
        <v>138</v>
      </c>
      <c r="N1800">
        <v>0</v>
      </c>
      <c r="O1800">
        <v>0</v>
      </c>
      <c r="P1800" t="s">
        <v>138</v>
      </c>
      <c r="Q1800">
        <v>35</v>
      </c>
      <c r="R1800">
        <v>0</v>
      </c>
      <c r="S1800">
        <v>0</v>
      </c>
      <c r="T1800">
        <v>0</v>
      </c>
      <c r="U1800" s="1" t="s">
        <v>4969</v>
      </c>
      <c r="V1800">
        <v>0</v>
      </c>
      <c r="W1800">
        <v>0</v>
      </c>
      <c r="X1800">
        <v>0</v>
      </c>
      <c r="Y1800">
        <v>25</v>
      </c>
      <c r="Z1800" t="s">
        <v>111</v>
      </c>
      <c r="AA1800">
        <v>0</v>
      </c>
      <c r="AB1800" t="s">
        <v>111</v>
      </c>
      <c r="AC1800">
        <v>0</v>
      </c>
      <c r="AD1800" t="s">
        <v>111</v>
      </c>
      <c r="AE1800">
        <v>0</v>
      </c>
      <c r="AF1800">
        <v>0</v>
      </c>
      <c r="AG1800" t="s">
        <v>111</v>
      </c>
      <c r="AH1800" t="s">
        <v>111</v>
      </c>
      <c r="AI1800" t="s">
        <v>111</v>
      </c>
      <c r="AJ1800" t="s">
        <v>111</v>
      </c>
      <c r="AK1800" t="s">
        <v>111</v>
      </c>
      <c r="AL1800" t="s">
        <v>111</v>
      </c>
      <c r="AM1800">
        <v>0</v>
      </c>
      <c r="AN1800">
        <v>0</v>
      </c>
      <c r="AO1800">
        <v>0</v>
      </c>
      <c r="AP1800" t="s">
        <v>111</v>
      </c>
      <c r="AQ1800" t="s">
        <v>111</v>
      </c>
      <c r="AR1800" t="s">
        <v>111</v>
      </c>
      <c r="AS1800" t="s">
        <v>111</v>
      </c>
      <c r="AT1800" t="s">
        <v>111</v>
      </c>
      <c r="AU1800" t="s">
        <v>111</v>
      </c>
      <c r="AV1800" t="s">
        <v>111</v>
      </c>
      <c r="AW1800" t="s">
        <v>111</v>
      </c>
      <c r="AX1800" t="s">
        <v>111</v>
      </c>
      <c r="AY1800" t="s">
        <v>111</v>
      </c>
      <c r="AZ1800" t="s">
        <v>111</v>
      </c>
      <c r="BA1800" t="s">
        <v>111</v>
      </c>
      <c r="BB1800" t="s">
        <v>111</v>
      </c>
      <c r="BC1800" t="s">
        <v>111</v>
      </c>
      <c r="BD1800" t="s">
        <v>111</v>
      </c>
      <c r="BE1800" t="s">
        <v>111</v>
      </c>
      <c r="BF1800" t="s">
        <v>111</v>
      </c>
      <c r="BG1800" t="s">
        <v>111</v>
      </c>
      <c r="BH1800" t="s">
        <v>111</v>
      </c>
      <c r="BI1800" t="s">
        <v>111</v>
      </c>
      <c r="BJ1800" t="s">
        <v>111</v>
      </c>
      <c r="BK1800" t="s">
        <v>111</v>
      </c>
      <c r="BL1800" t="s">
        <v>111</v>
      </c>
      <c r="BM1800" t="s">
        <v>111</v>
      </c>
      <c r="BN1800" t="s">
        <v>111</v>
      </c>
      <c r="BO1800" t="s">
        <v>111</v>
      </c>
      <c r="BP1800" t="s">
        <v>111</v>
      </c>
      <c r="BQ1800" t="s">
        <v>111</v>
      </c>
      <c r="BR1800" t="s">
        <v>111</v>
      </c>
      <c r="BS1800" t="s">
        <v>111</v>
      </c>
      <c r="BT1800" t="s">
        <v>111</v>
      </c>
      <c r="BU1800" t="s">
        <v>111</v>
      </c>
      <c r="BV1800" t="s">
        <v>111</v>
      </c>
      <c r="BW1800" t="s">
        <v>111</v>
      </c>
      <c r="BX1800" t="s">
        <v>111</v>
      </c>
      <c r="BY1800" t="s">
        <v>111</v>
      </c>
      <c r="BZ1800" t="s">
        <v>111</v>
      </c>
      <c r="CA1800" t="s">
        <v>111</v>
      </c>
      <c r="CB1800" t="s">
        <v>111</v>
      </c>
      <c r="CC1800" t="s">
        <v>111</v>
      </c>
      <c r="CD1800" t="s">
        <v>111</v>
      </c>
      <c r="CE1800" t="s">
        <v>111</v>
      </c>
      <c r="CF1800" t="s">
        <v>111</v>
      </c>
      <c r="CG1800" t="s">
        <v>111</v>
      </c>
      <c r="CH1800" t="s">
        <v>111</v>
      </c>
      <c r="CI1800" t="s">
        <v>111</v>
      </c>
      <c r="CJ1800" t="s">
        <v>111</v>
      </c>
      <c r="CK1800" t="s">
        <v>111</v>
      </c>
      <c r="CL1800" t="s">
        <v>111</v>
      </c>
      <c r="CM1800" t="s">
        <v>111</v>
      </c>
      <c r="CN1800" t="s">
        <v>111</v>
      </c>
      <c r="CO1800" t="s">
        <v>111</v>
      </c>
      <c r="CP1800" t="s">
        <v>111</v>
      </c>
      <c r="CQ1800">
        <v>0</v>
      </c>
      <c r="CR1800">
        <v>0</v>
      </c>
      <c r="CS1800">
        <v>0</v>
      </c>
      <c r="CT1800" t="s">
        <v>111</v>
      </c>
      <c r="CU1800">
        <v>0</v>
      </c>
      <c r="CV1800" t="s">
        <v>111</v>
      </c>
      <c r="CW1800" t="s">
        <v>111</v>
      </c>
      <c r="CX1800" t="s">
        <v>111</v>
      </c>
      <c r="CY1800">
        <v>0</v>
      </c>
      <c r="CZ1800" t="s">
        <v>111</v>
      </c>
      <c r="DA1800" t="s">
        <v>111</v>
      </c>
      <c r="DB1800" t="s">
        <v>111</v>
      </c>
      <c r="DC1800" t="s">
        <v>111</v>
      </c>
    </row>
    <row r="1801" spans="1:107">
      <c r="A1801">
        <v>538</v>
      </c>
      <c r="B1801" t="s">
        <v>162</v>
      </c>
      <c r="C1801" t="s">
        <v>1643</v>
      </c>
      <c r="D1801" t="s">
        <v>4118</v>
      </c>
      <c r="E1801" t="s">
        <v>4970</v>
      </c>
      <c r="F1801" t="s">
        <v>2211</v>
      </c>
      <c r="G1801" t="s">
        <v>24</v>
      </c>
      <c r="H1801">
        <v>1.1499999999999999</v>
      </c>
      <c r="I1801">
        <v>35</v>
      </c>
      <c r="J1801">
        <v>0</v>
      </c>
      <c r="K1801">
        <v>0</v>
      </c>
      <c r="L1801" t="s">
        <v>117</v>
      </c>
      <c r="M1801" t="s">
        <v>138</v>
      </c>
      <c r="N1801">
        <v>0</v>
      </c>
      <c r="O1801">
        <v>0</v>
      </c>
      <c r="P1801" t="s">
        <v>138</v>
      </c>
      <c r="Q1801">
        <v>35</v>
      </c>
      <c r="R1801">
        <v>0</v>
      </c>
      <c r="S1801">
        <v>0</v>
      </c>
      <c r="T1801">
        <v>0</v>
      </c>
      <c r="U1801" s="1" t="s">
        <v>4971</v>
      </c>
      <c r="V1801">
        <v>0</v>
      </c>
      <c r="W1801">
        <v>0</v>
      </c>
      <c r="X1801">
        <v>0</v>
      </c>
      <c r="Y1801">
        <v>25</v>
      </c>
      <c r="Z1801" t="s">
        <v>111</v>
      </c>
      <c r="AA1801">
        <v>0</v>
      </c>
      <c r="AB1801" t="s">
        <v>111</v>
      </c>
      <c r="AC1801">
        <v>0</v>
      </c>
      <c r="AD1801" t="s">
        <v>111</v>
      </c>
      <c r="AE1801">
        <v>0</v>
      </c>
      <c r="AF1801">
        <v>0</v>
      </c>
      <c r="AG1801" t="s">
        <v>111</v>
      </c>
      <c r="AH1801" t="s">
        <v>111</v>
      </c>
      <c r="AI1801" t="s">
        <v>111</v>
      </c>
      <c r="AJ1801" t="s">
        <v>111</v>
      </c>
      <c r="AK1801" t="s">
        <v>111</v>
      </c>
      <c r="AL1801" t="s">
        <v>111</v>
      </c>
      <c r="AM1801">
        <v>0</v>
      </c>
      <c r="AN1801">
        <v>0</v>
      </c>
      <c r="AO1801">
        <v>0</v>
      </c>
      <c r="AP1801" t="s">
        <v>111</v>
      </c>
      <c r="AQ1801" t="s">
        <v>111</v>
      </c>
      <c r="AR1801" t="s">
        <v>111</v>
      </c>
      <c r="AS1801" t="s">
        <v>111</v>
      </c>
      <c r="AT1801" t="s">
        <v>111</v>
      </c>
      <c r="AU1801" t="s">
        <v>111</v>
      </c>
      <c r="AV1801" t="s">
        <v>111</v>
      </c>
      <c r="AW1801" t="s">
        <v>111</v>
      </c>
      <c r="AX1801" t="s">
        <v>111</v>
      </c>
      <c r="AY1801" t="s">
        <v>111</v>
      </c>
      <c r="AZ1801" t="s">
        <v>111</v>
      </c>
      <c r="BA1801" t="s">
        <v>111</v>
      </c>
      <c r="BB1801" t="s">
        <v>111</v>
      </c>
      <c r="BC1801" t="s">
        <v>111</v>
      </c>
      <c r="BD1801" t="s">
        <v>111</v>
      </c>
      <c r="BE1801" t="s">
        <v>111</v>
      </c>
      <c r="BF1801" t="s">
        <v>111</v>
      </c>
      <c r="BG1801" t="s">
        <v>111</v>
      </c>
      <c r="BH1801" t="s">
        <v>111</v>
      </c>
      <c r="BI1801" t="s">
        <v>111</v>
      </c>
      <c r="BJ1801" t="s">
        <v>111</v>
      </c>
      <c r="BK1801" t="s">
        <v>111</v>
      </c>
      <c r="BL1801" t="s">
        <v>111</v>
      </c>
      <c r="BM1801" t="s">
        <v>111</v>
      </c>
      <c r="BN1801" t="s">
        <v>111</v>
      </c>
      <c r="BO1801" t="s">
        <v>111</v>
      </c>
      <c r="BP1801" t="s">
        <v>111</v>
      </c>
      <c r="BQ1801" t="s">
        <v>111</v>
      </c>
      <c r="BR1801" t="s">
        <v>111</v>
      </c>
      <c r="BS1801" t="s">
        <v>111</v>
      </c>
      <c r="BT1801" t="s">
        <v>111</v>
      </c>
      <c r="BU1801" t="s">
        <v>111</v>
      </c>
      <c r="BV1801" t="s">
        <v>111</v>
      </c>
      <c r="BW1801" t="s">
        <v>111</v>
      </c>
      <c r="BX1801" t="s">
        <v>111</v>
      </c>
      <c r="BY1801" t="s">
        <v>111</v>
      </c>
      <c r="BZ1801" t="s">
        <v>111</v>
      </c>
      <c r="CA1801" t="s">
        <v>111</v>
      </c>
      <c r="CB1801" t="s">
        <v>111</v>
      </c>
      <c r="CC1801" t="s">
        <v>111</v>
      </c>
      <c r="CD1801" t="s">
        <v>111</v>
      </c>
      <c r="CE1801" t="s">
        <v>111</v>
      </c>
      <c r="CF1801" t="s">
        <v>111</v>
      </c>
      <c r="CG1801" t="s">
        <v>111</v>
      </c>
      <c r="CH1801" t="s">
        <v>111</v>
      </c>
      <c r="CI1801" t="s">
        <v>111</v>
      </c>
      <c r="CJ1801" t="s">
        <v>111</v>
      </c>
      <c r="CK1801" t="s">
        <v>111</v>
      </c>
      <c r="CL1801" t="s">
        <v>111</v>
      </c>
      <c r="CM1801" t="s">
        <v>111</v>
      </c>
      <c r="CN1801" t="s">
        <v>111</v>
      </c>
      <c r="CO1801" t="s">
        <v>111</v>
      </c>
      <c r="CP1801" t="s">
        <v>111</v>
      </c>
      <c r="CQ1801">
        <v>0</v>
      </c>
      <c r="CR1801">
        <v>0</v>
      </c>
      <c r="CS1801">
        <v>0</v>
      </c>
      <c r="CT1801" t="s">
        <v>111</v>
      </c>
      <c r="CU1801">
        <v>0</v>
      </c>
      <c r="CV1801" t="s">
        <v>111</v>
      </c>
      <c r="CW1801" t="s">
        <v>111</v>
      </c>
      <c r="CX1801" t="s">
        <v>111</v>
      </c>
      <c r="CY1801">
        <v>0</v>
      </c>
      <c r="CZ1801" t="s">
        <v>111</v>
      </c>
      <c r="DA1801" t="s">
        <v>111</v>
      </c>
      <c r="DB1801" t="s">
        <v>111</v>
      </c>
      <c r="DC1801" t="s">
        <v>111</v>
      </c>
    </row>
    <row r="1802" spans="1:107">
      <c r="A1802">
        <v>539</v>
      </c>
      <c r="B1802" t="s">
        <v>162</v>
      </c>
      <c r="C1802" s="2">
        <v>1020396785</v>
      </c>
      <c r="D1802" t="s">
        <v>4972</v>
      </c>
      <c r="E1802" t="s">
        <v>4973</v>
      </c>
      <c r="F1802" t="s">
        <v>1651</v>
      </c>
      <c r="G1802" t="s">
        <v>24</v>
      </c>
      <c r="H1802">
        <v>2.4</v>
      </c>
      <c r="I1802">
        <v>30</v>
      </c>
      <c r="J1802">
        <v>0</v>
      </c>
      <c r="K1802">
        <v>0</v>
      </c>
      <c r="L1802" t="s">
        <v>112</v>
      </c>
      <c r="M1802" t="s">
        <v>118</v>
      </c>
      <c r="N1802">
        <v>40</v>
      </c>
      <c r="O1802">
        <v>2</v>
      </c>
      <c r="P1802" t="s">
        <v>138</v>
      </c>
      <c r="Q1802">
        <v>34</v>
      </c>
      <c r="R1802">
        <v>0</v>
      </c>
      <c r="S1802">
        <v>0</v>
      </c>
      <c r="T1802">
        <v>5</v>
      </c>
      <c r="U1802" t="s">
        <v>1353</v>
      </c>
      <c r="V1802">
        <v>0</v>
      </c>
      <c r="W1802">
        <v>0</v>
      </c>
      <c r="X1802">
        <v>0</v>
      </c>
      <c r="Y1802">
        <v>25</v>
      </c>
      <c r="Z1802" t="s">
        <v>111</v>
      </c>
      <c r="AA1802">
        <v>0</v>
      </c>
      <c r="AB1802" t="s">
        <v>111</v>
      </c>
      <c r="AC1802">
        <v>0</v>
      </c>
      <c r="AD1802" t="s">
        <v>416</v>
      </c>
      <c r="AE1802">
        <v>4</v>
      </c>
      <c r="AF1802">
        <v>2</v>
      </c>
      <c r="AG1802">
        <v>17</v>
      </c>
      <c r="AH1802" t="s">
        <v>111</v>
      </c>
      <c r="AI1802">
        <v>35</v>
      </c>
      <c r="AJ1802" t="s">
        <v>111</v>
      </c>
      <c r="AK1802" t="s">
        <v>111</v>
      </c>
      <c r="AL1802" t="s">
        <v>111</v>
      </c>
      <c r="AM1802">
        <v>0</v>
      </c>
      <c r="AN1802">
        <v>0</v>
      </c>
      <c r="AO1802">
        <v>0</v>
      </c>
      <c r="AP1802" t="s">
        <v>259</v>
      </c>
      <c r="AQ1802" t="s">
        <v>111</v>
      </c>
      <c r="AR1802" t="s">
        <v>111</v>
      </c>
      <c r="AS1802" t="s">
        <v>111</v>
      </c>
      <c r="AT1802" t="s">
        <v>2363</v>
      </c>
      <c r="AU1802" t="s">
        <v>111</v>
      </c>
      <c r="AV1802" t="s">
        <v>111</v>
      </c>
      <c r="AW1802" t="s">
        <v>111</v>
      </c>
      <c r="AX1802" t="s">
        <v>1235</v>
      </c>
      <c r="AY1802" t="s">
        <v>111</v>
      </c>
      <c r="AZ1802" t="s">
        <v>111</v>
      </c>
      <c r="BA1802" t="s">
        <v>111</v>
      </c>
      <c r="BB1802" t="s">
        <v>188</v>
      </c>
      <c r="BC1802" t="s">
        <v>111</v>
      </c>
      <c r="BD1802" t="s">
        <v>111</v>
      </c>
      <c r="BE1802" t="s">
        <v>111</v>
      </c>
      <c r="BF1802" t="s">
        <v>288</v>
      </c>
      <c r="BG1802" t="s">
        <v>111</v>
      </c>
      <c r="BH1802" t="s">
        <v>111</v>
      </c>
      <c r="BI1802" t="s">
        <v>111</v>
      </c>
      <c r="BJ1802" t="s">
        <v>111</v>
      </c>
      <c r="BK1802" t="s">
        <v>111</v>
      </c>
      <c r="BL1802" t="s">
        <v>111</v>
      </c>
      <c r="BM1802" t="s">
        <v>111</v>
      </c>
      <c r="BN1802" t="s">
        <v>111</v>
      </c>
      <c r="BO1802" t="s">
        <v>111</v>
      </c>
      <c r="BP1802" t="s">
        <v>111</v>
      </c>
      <c r="BQ1802" t="s">
        <v>111</v>
      </c>
      <c r="BR1802" t="s">
        <v>111</v>
      </c>
      <c r="BS1802" t="s">
        <v>111</v>
      </c>
      <c r="BT1802" t="s">
        <v>111</v>
      </c>
      <c r="BU1802" t="s">
        <v>111</v>
      </c>
      <c r="BV1802" t="s">
        <v>111</v>
      </c>
      <c r="BW1802" t="s">
        <v>111</v>
      </c>
      <c r="BX1802" t="s">
        <v>111</v>
      </c>
      <c r="BY1802" t="s">
        <v>111</v>
      </c>
      <c r="BZ1802" t="s">
        <v>111</v>
      </c>
      <c r="CA1802" t="s">
        <v>111</v>
      </c>
      <c r="CB1802" t="s">
        <v>111</v>
      </c>
      <c r="CC1802" t="s">
        <v>111</v>
      </c>
      <c r="CD1802" t="s">
        <v>111</v>
      </c>
      <c r="CE1802" t="s">
        <v>111</v>
      </c>
      <c r="CF1802" t="s">
        <v>111</v>
      </c>
      <c r="CG1802" t="s">
        <v>111</v>
      </c>
      <c r="CH1802" t="s">
        <v>111</v>
      </c>
      <c r="CI1802" t="s">
        <v>111</v>
      </c>
      <c r="CJ1802" t="s">
        <v>111</v>
      </c>
      <c r="CK1802" t="s">
        <v>111</v>
      </c>
      <c r="CL1802" t="s">
        <v>153</v>
      </c>
      <c r="CM1802" t="s">
        <v>198</v>
      </c>
      <c r="CN1802" t="s">
        <v>113</v>
      </c>
      <c r="CO1802" t="s">
        <v>111</v>
      </c>
      <c r="CP1802" t="s">
        <v>433</v>
      </c>
      <c r="CQ1802">
        <v>0</v>
      </c>
      <c r="CR1802">
        <v>5000</v>
      </c>
      <c r="CS1802">
        <v>200</v>
      </c>
      <c r="CT1802" s="1" t="s">
        <v>4974</v>
      </c>
      <c r="CU1802">
        <v>0</v>
      </c>
      <c r="CV1802" t="s">
        <v>111</v>
      </c>
      <c r="CW1802" t="s">
        <v>111</v>
      </c>
      <c r="CX1802" t="s">
        <v>111</v>
      </c>
      <c r="CY1802">
        <v>0</v>
      </c>
      <c r="CZ1802" t="s">
        <v>111</v>
      </c>
      <c r="DA1802" t="s">
        <v>111</v>
      </c>
      <c r="DB1802" t="s">
        <v>111</v>
      </c>
      <c r="DC1802" t="s">
        <v>111</v>
      </c>
    </row>
    <row r="1803" spans="1:107">
      <c r="A1803">
        <v>540</v>
      </c>
      <c r="B1803" t="s">
        <v>162</v>
      </c>
      <c r="C1803" t="s">
        <v>4975</v>
      </c>
      <c r="D1803" t="s">
        <v>3960</v>
      </c>
      <c r="E1803" t="s">
        <v>4976</v>
      </c>
      <c r="F1803" t="s">
        <v>1260</v>
      </c>
      <c r="G1803" t="s">
        <v>24</v>
      </c>
      <c r="H1803">
        <v>2</v>
      </c>
      <c r="I1803">
        <v>40</v>
      </c>
      <c r="J1803">
        <v>0</v>
      </c>
      <c r="K1803">
        <v>0</v>
      </c>
      <c r="L1803" t="s">
        <v>117</v>
      </c>
      <c r="M1803" t="s">
        <v>118</v>
      </c>
      <c r="N1803">
        <v>40</v>
      </c>
      <c r="O1803">
        <v>1</v>
      </c>
      <c r="P1803" t="s">
        <v>138</v>
      </c>
      <c r="Q1803">
        <v>35</v>
      </c>
      <c r="R1803">
        <v>0</v>
      </c>
      <c r="S1803">
        <v>0</v>
      </c>
      <c r="T1803">
        <v>0</v>
      </c>
      <c r="U1803" t="s">
        <v>1353</v>
      </c>
      <c r="V1803">
        <v>0</v>
      </c>
      <c r="W1803">
        <v>0</v>
      </c>
      <c r="X1803">
        <v>0</v>
      </c>
      <c r="Y1803">
        <v>25</v>
      </c>
      <c r="Z1803" t="s">
        <v>111</v>
      </c>
      <c r="AA1803">
        <v>0</v>
      </c>
      <c r="AB1803" t="s">
        <v>111</v>
      </c>
      <c r="AC1803">
        <v>0</v>
      </c>
      <c r="AD1803" t="s">
        <v>416</v>
      </c>
      <c r="AE1803">
        <v>3</v>
      </c>
      <c r="AF1803">
        <v>1</v>
      </c>
      <c r="AG1803" t="s">
        <v>4117</v>
      </c>
      <c r="AH1803" t="s">
        <v>111</v>
      </c>
      <c r="AI1803">
        <v>30</v>
      </c>
      <c r="AJ1803" t="s">
        <v>111</v>
      </c>
      <c r="AK1803" t="s">
        <v>111</v>
      </c>
      <c r="AL1803" t="s">
        <v>111</v>
      </c>
      <c r="AM1803">
        <v>0</v>
      </c>
      <c r="AN1803">
        <v>0</v>
      </c>
      <c r="AO1803">
        <v>0</v>
      </c>
      <c r="AP1803" t="s">
        <v>147</v>
      </c>
      <c r="AQ1803" t="s">
        <v>111</v>
      </c>
      <c r="AR1803" t="s">
        <v>111</v>
      </c>
      <c r="AS1803" t="s">
        <v>111</v>
      </c>
      <c r="AT1803" t="s">
        <v>772</v>
      </c>
      <c r="AU1803" t="s">
        <v>111</v>
      </c>
      <c r="AV1803" t="s">
        <v>111</v>
      </c>
      <c r="AW1803" t="s">
        <v>111</v>
      </c>
      <c r="AX1803" t="s">
        <v>288</v>
      </c>
      <c r="AY1803" t="s">
        <v>111</v>
      </c>
      <c r="AZ1803" t="s">
        <v>111</v>
      </c>
      <c r="BA1803" t="s">
        <v>111</v>
      </c>
      <c r="BB1803" t="s">
        <v>111</v>
      </c>
      <c r="BC1803" t="s">
        <v>111</v>
      </c>
      <c r="BD1803" t="s">
        <v>111</v>
      </c>
      <c r="BE1803" t="s">
        <v>111</v>
      </c>
      <c r="BF1803" t="s">
        <v>111</v>
      </c>
      <c r="BG1803" t="s">
        <v>111</v>
      </c>
      <c r="BH1803" t="s">
        <v>111</v>
      </c>
      <c r="BI1803" t="s">
        <v>111</v>
      </c>
      <c r="BJ1803" t="s">
        <v>111</v>
      </c>
      <c r="BK1803" t="s">
        <v>111</v>
      </c>
      <c r="BL1803" t="s">
        <v>111</v>
      </c>
      <c r="BM1803" t="s">
        <v>111</v>
      </c>
      <c r="BN1803" t="s">
        <v>111</v>
      </c>
      <c r="BO1803" t="s">
        <v>111</v>
      </c>
      <c r="BP1803" t="s">
        <v>111</v>
      </c>
      <c r="BQ1803" t="s">
        <v>111</v>
      </c>
      <c r="BR1803" t="s">
        <v>111</v>
      </c>
      <c r="BS1803" t="s">
        <v>111</v>
      </c>
      <c r="BT1803" t="s">
        <v>111</v>
      </c>
      <c r="BU1803" t="s">
        <v>111</v>
      </c>
      <c r="BV1803" t="s">
        <v>111</v>
      </c>
      <c r="BW1803" t="s">
        <v>111</v>
      </c>
      <c r="BX1803" t="s">
        <v>111</v>
      </c>
      <c r="BY1803" t="s">
        <v>111</v>
      </c>
      <c r="BZ1803" t="s">
        <v>111</v>
      </c>
      <c r="CA1803" t="s">
        <v>111</v>
      </c>
      <c r="CB1803" t="s">
        <v>111</v>
      </c>
      <c r="CC1803" t="s">
        <v>111</v>
      </c>
      <c r="CD1803" t="s">
        <v>111</v>
      </c>
      <c r="CE1803" t="s">
        <v>111</v>
      </c>
      <c r="CF1803" t="s">
        <v>111</v>
      </c>
      <c r="CG1803" t="s">
        <v>111</v>
      </c>
      <c r="CH1803" t="s">
        <v>111</v>
      </c>
      <c r="CI1803" t="s">
        <v>111</v>
      </c>
      <c r="CJ1803" t="s">
        <v>111</v>
      </c>
      <c r="CK1803" t="s">
        <v>111</v>
      </c>
      <c r="CL1803" t="s">
        <v>153</v>
      </c>
      <c r="CM1803">
        <v>450</v>
      </c>
      <c r="CN1803" t="s">
        <v>113</v>
      </c>
      <c r="CO1803" t="s">
        <v>111</v>
      </c>
      <c r="CP1803" t="s">
        <v>433</v>
      </c>
      <c r="CQ1803">
        <v>0</v>
      </c>
      <c r="CR1803">
        <v>0</v>
      </c>
      <c r="CS1803">
        <v>0</v>
      </c>
      <c r="CT1803" t="s">
        <v>168</v>
      </c>
      <c r="CU1803">
        <v>0</v>
      </c>
      <c r="CV1803" t="s">
        <v>111</v>
      </c>
      <c r="CW1803" t="s">
        <v>111</v>
      </c>
      <c r="CX1803" t="s">
        <v>111</v>
      </c>
      <c r="CY1803">
        <v>0</v>
      </c>
      <c r="CZ1803" t="s">
        <v>111</v>
      </c>
      <c r="DA1803" t="s">
        <v>111</v>
      </c>
      <c r="DB1803" t="s">
        <v>111</v>
      </c>
      <c r="DC1803" t="s">
        <v>111</v>
      </c>
    </row>
    <row r="1804" spans="1:107">
      <c r="A1804">
        <v>544</v>
      </c>
      <c r="B1804" t="s">
        <v>162</v>
      </c>
      <c r="C1804" t="s">
        <v>4133</v>
      </c>
      <c r="D1804" t="s">
        <v>4977</v>
      </c>
      <c r="E1804" t="s">
        <v>4978</v>
      </c>
      <c r="F1804" t="s">
        <v>1071</v>
      </c>
      <c r="G1804" t="s">
        <v>24</v>
      </c>
      <c r="H1804">
        <v>1</v>
      </c>
      <c r="I1804">
        <v>45</v>
      </c>
      <c r="J1804">
        <v>0</v>
      </c>
      <c r="K1804">
        <v>0</v>
      </c>
      <c r="L1804" t="s">
        <v>112</v>
      </c>
      <c r="M1804" t="s">
        <v>138</v>
      </c>
      <c r="N1804">
        <v>0</v>
      </c>
      <c r="O1804">
        <v>0</v>
      </c>
      <c r="P1804" t="s">
        <v>138</v>
      </c>
      <c r="Q1804">
        <v>40</v>
      </c>
      <c r="R1804">
        <v>0</v>
      </c>
      <c r="S1804">
        <v>0</v>
      </c>
      <c r="T1804">
        <v>0</v>
      </c>
      <c r="U1804" t="s">
        <v>168</v>
      </c>
      <c r="V1804">
        <v>0</v>
      </c>
      <c r="W1804">
        <v>0</v>
      </c>
      <c r="X1804">
        <v>0</v>
      </c>
      <c r="Y1804">
        <v>25</v>
      </c>
      <c r="Z1804" t="s">
        <v>111</v>
      </c>
      <c r="AA1804">
        <v>0</v>
      </c>
      <c r="AB1804" t="s">
        <v>111</v>
      </c>
      <c r="AC1804">
        <v>0</v>
      </c>
      <c r="AD1804" t="s">
        <v>111</v>
      </c>
      <c r="AE1804">
        <v>0</v>
      </c>
      <c r="AF1804">
        <v>0</v>
      </c>
      <c r="AG1804" t="s">
        <v>111</v>
      </c>
      <c r="AH1804" t="s">
        <v>111</v>
      </c>
      <c r="AI1804" t="s">
        <v>111</v>
      </c>
      <c r="AJ1804" t="s">
        <v>111</v>
      </c>
      <c r="AK1804" t="s">
        <v>111</v>
      </c>
      <c r="AL1804" t="s">
        <v>111</v>
      </c>
      <c r="AM1804">
        <v>0</v>
      </c>
      <c r="AN1804">
        <v>0</v>
      </c>
      <c r="AO1804">
        <v>0</v>
      </c>
      <c r="AP1804" t="s">
        <v>111</v>
      </c>
      <c r="AQ1804" t="s">
        <v>111</v>
      </c>
      <c r="AR1804" t="s">
        <v>111</v>
      </c>
      <c r="AS1804" t="s">
        <v>111</v>
      </c>
      <c r="AT1804" t="s">
        <v>111</v>
      </c>
      <c r="AU1804" t="s">
        <v>111</v>
      </c>
      <c r="AV1804" t="s">
        <v>111</v>
      </c>
      <c r="AW1804" t="s">
        <v>111</v>
      </c>
      <c r="AX1804" t="s">
        <v>111</v>
      </c>
      <c r="AY1804" t="s">
        <v>111</v>
      </c>
      <c r="AZ1804" t="s">
        <v>111</v>
      </c>
      <c r="BA1804" t="s">
        <v>111</v>
      </c>
      <c r="BB1804" t="s">
        <v>111</v>
      </c>
      <c r="BC1804" t="s">
        <v>111</v>
      </c>
      <c r="BD1804" t="s">
        <v>111</v>
      </c>
      <c r="BE1804" t="s">
        <v>111</v>
      </c>
      <c r="BF1804" t="s">
        <v>111</v>
      </c>
      <c r="BG1804" t="s">
        <v>111</v>
      </c>
      <c r="BH1804" t="s">
        <v>111</v>
      </c>
      <c r="BI1804" t="s">
        <v>111</v>
      </c>
      <c r="BJ1804" t="s">
        <v>111</v>
      </c>
      <c r="BK1804" t="s">
        <v>111</v>
      </c>
      <c r="BL1804" t="s">
        <v>111</v>
      </c>
      <c r="BM1804" t="s">
        <v>111</v>
      </c>
      <c r="BN1804" t="s">
        <v>111</v>
      </c>
      <c r="BO1804" t="s">
        <v>111</v>
      </c>
      <c r="BP1804" t="s">
        <v>111</v>
      </c>
      <c r="BQ1804" t="s">
        <v>111</v>
      </c>
      <c r="BR1804" t="s">
        <v>111</v>
      </c>
      <c r="BS1804" t="s">
        <v>111</v>
      </c>
      <c r="BT1804" t="s">
        <v>111</v>
      </c>
      <c r="BU1804" t="s">
        <v>111</v>
      </c>
      <c r="BV1804" t="s">
        <v>111</v>
      </c>
      <c r="BW1804" t="s">
        <v>111</v>
      </c>
      <c r="BX1804" t="s">
        <v>111</v>
      </c>
      <c r="BY1804" t="s">
        <v>111</v>
      </c>
      <c r="BZ1804" t="s">
        <v>111</v>
      </c>
      <c r="CA1804" t="s">
        <v>111</v>
      </c>
      <c r="CB1804" t="s">
        <v>111</v>
      </c>
      <c r="CC1804" t="s">
        <v>111</v>
      </c>
      <c r="CD1804" t="s">
        <v>111</v>
      </c>
      <c r="CE1804" t="s">
        <v>111</v>
      </c>
      <c r="CF1804" t="s">
        <v>111</v>
      </c>
      <c r="CG1804" t="s">
        <v>111</v>
      </c>
      <c r="CH1804" t="s">
        <v>111</v>
      </c>
      <c r="CI1804" t="s">
        <v>111</v>
      </c>
      <c r="CJ1804" t="s">
        <v>111</v>
      </c>
      <c r="CK1804" t="s">
        <v>111</v>
      </c>
      <c r="CL1804" t="s">
        <v>111</v>
      </c>
      <c r="CM1804" t="s">
        <v>198</v>
      </c>
      <c r="CN1804" t="s">
        <v>111</v>
      </c>
      <c r="CO1804" t="s">
        <v>111</v>
      </c>
      <c r="CP1804" t="s">
        <v>111</v>
      </c>
      <c r="CQ1804">
        <v>0</v>
      </c>
      <c r="CR1804">
        <v>0</v>
      </c>
      <c r="CS1804">
        <v>0</v>
      </c>
      <c r="CT1804" t="s">
        <v>168</v>
      </c>
      <c r="CU1804">
        <v>0</v>
      </c>
      <c r="CV1804" t="s">
        <v>111</v>
      </c>
      <c r="CW1804" t="s">
        <v>111</v>
      </c>
      <c r="CX1804" t="s">
        <v>111</v>
      </c>
      <c r="CY1804">
        <v>0</v>
      </c>
      <c r="CZ1804" t="s">
        <v>111</v>
      </c>
      <c r="DA1804" t="s">
        <v>111</v>
      </c>
      <c r="DB1804" t="s">
        <v>111</v>
      </c>
      <c r="DC1804" t="s">
        <v>111</v>
      </c>
    </row>
    <row r="1805" spans="1:107">
      <c r="A1805">
        <v>561</v>
      </c>
      <c r="B1805" t="s">
        <v>162</v>
      </c>
      <c r="C1805" t="s">
        <v>1800</v>
      </c>
      <c r="D1805" t="s">
        <v>4979</v>
      </c>
      <c r="E1805" t="s">
        <v>4980</v>
      </c>
      <c r="F1805" t="s">
        <v>110</v>
      </c>
      <c r="G1805" t="s">
        <v>24</v>
      </c>
      <c r="H1805">
        <v>2</v>
      </c>
      <c r="I1805">
        <v>33</v>
      </c>
      <c r="J1805">
        <v>0</v>
      </c>
      <c r="K1805">
        <v>0</v>
      </c>
      <c r="L1805" t="s">
        <v>117</v>
      </c>
      <c r="M1805" t="s">
        <v>138</v>
      </c>
      <c r="N1805">
        <v>0</v>
      </c>
      <c r="O1805">
        <v>0</v>
      </c>
      <c r="P1805" t="s">
        <v>138</v>
      </c>
      <c r="Q1805">
        <v>20</v>
      </c>
      <c r="R1805">
        <v>0</v>
      </c>
      <c r="S1805">
        <v>0</v>
      </c>
      <c r="T1805">
        <v>0</v>
      </c>
      <c r="U1805" s="1" t="s">
        <v>4981</v>
      </c>
      <c r="V1805">
        <v>0</v>
      </c>
      <c r="W1805">
        <v>0</v>
      </c>
      <c r="X1805">
        <v>0</v>
      </c>
      <c r="Y1805">
        <v>25</v>
      </c>
      <c r="Z1805" t="s">
        <v>111</v>
      </c>
      <c r="AA1805">
        <v>0</v>
      </c>
      <c r="AB1805" t="s">
        <v>111</v>
      </c>
      <c r="AC1805">
        <v>0</v>
      </c>
      <c r="AD1805" t="s">
        <v>111</v>
      </c>
      <c r="AE1805">
        <v>0</v>
      </c>
      <c r="AF1805">
        <v>0</v>
      </c>
      <c r="AG1805" t="s">
        <v>111</v>
      </c>
      <c r="AH1805" t="s">
        <v>111</v>
      </c>
      <c r="AI1805" t="s">
        <v>111</v>
      </c>
      <c r="AJ1805" t="s">
        <v>111</v>
      </c>
      <c r="AK1805" t="s">
        <v>111</v>
      </c>
      <c r="AL1805" t="s">
        <v>111</v>
      </c>
      <c r="AM1805">
        <v>0</v>
      </c>
      <c r="AN1805">
        <v>0</v>
      </c>
      <c r="AO1805">
        <v>0</v>
      </c>
      <c r="AP1805" t="s">
        <v>111</v>
      </c>
      <c r="AQ1805" t="s">
        <v>111</v>
      </c>
      <c r="AR1805" t="s">
        <v>111</v>
      </c>
      <c r="AS1805" t="s">
        <v>111</v>
      </c>
      <c r="AT1805" t="s">
        <v>111</v>
      </c>
      <c r="AU1805" t="s">
        <v>111</v>
      </c>
      <c r="AV1805" t="s">
        <v>111</v>
      </c>
      <c r="AW1805" t="s">
        <v>111</v>
      </c>
      <c r="AX1805" t="s">
        <v>111</v>
      </c>
      <c r="AY1805" t="s">
        <v>111</v>
      </c>
      <c r="AZ1805" t="s">
        <v>111</v>
      </c>
      <c r="BA1805" t="s">
        <v>111</v>
      </c>
      <c r="BB1805" t="s">
        <v>111</v>
      </c>
      <c r="BC1805" t="s">
        <v>111</v>
      </c>
      <c r="BD1805" t="s">
        <v>111</v>
      </c>
      <c r="BE1805" t="s">
        <v>111</v>
      </c>
      <c r="BF1805" t="s">
        <v>111</v>
      </c>
      <c r="BG1805" t="s">
        <v>111</v>
      </c>
      <c r="BH1805" t="s">
        <v>111</v>
      </c>
      <c r="BI1805" t="s">
        <v>111</v>
      </c>
      <c r="BJ1805" t="s">
        <v>111</v>
      </c>
      <c r="BK1805" t="s">
        <v>111</v>
      </c>
      <c r="BL1805" t="s">
        <v>111</v>
      </c>
      <c r="BM1805" t="s">
        <v>111</v>
      </c>
      <c r="BN1805" t="s">
        <v>111</v>
      </c>
      <c r="BO1805" t="s">
        <v>111</v>
      </c>
      <c r="BP1805" t="s">
        <v>111</v>
      </c>
      <c r="BQ1805" t="s">
        <v>111</v>
      </c>
      <c r="BR1805" t="s">
        <v>111</v>
      </c>
      <c r="BS1805" t="s">
        <v>111</v>
      </c>
      <c r="BT1805" t="s">
        <v>111</v>
      </c>
      <c r="BU1805" t="s">
        <v>111</v>
      </c>
      <c r="BV1805" t="s">
        <v>111</v>
      </c>
      <c r="BW1805" t="s">
        <v>111</v>
      </c>
      <c r="BX1805" t="s">
        <v>111</v>
      </c>
      <c r="BY1805" t="s">
        <v>111</v>
      </c>
      <c r="BZ1805" t="s">
        <v>111</v>
      </c>
      <c r="CA1805" t="s">
        <v>111</v>
      </c>
      <c r="CB1805" t="s">
        <v>111</v>
      </c>
      <c r="CC1805" t="s">
        <v>111</v>
      </c>
      <c r="CD1805" t="s">
        <v>111</v>
      </c>
      <c r="CE1805" t="s">
        <v>111</v>
      </c>
      <c r="CF1805" t="s">
        <v>111</v>
      </c>
      <c r="CG1805" t="s">
        <v>111</v>
      </c>
      <c r="CH1805" t="s">
        <v>111</v>
      </c>
      <c r="CI1805" t="s">
        <v>111</v>
      </c>
      <c r="CJ1805" t="s">
        <v>111</v>
      </c>
      <c r="CK1805" t="s">
        <v>111</v>
      </c>
      <c r="CL1805" t="s">
        <v>111</v>
      </c>
      <c r="CM1805" t="s">
        <v>111</v>
      </c>
      <c r="CN1805" t="s">
        <v>111</v>
      </c>
      <c r="CO1805" t="s">
        <v>111</v>
      </c>
      <c r="CP1805" t="s">
        <v>111</v>
      </c>
      <c r="CQ1805">
        <v>0</v>
      </c>
      <c r="CR1805">
        <v>0</v>
      </c>
      <c r="CS1805">
        <v>0</v>
      </c>
      <c r="CT1805" t="s">
        <v>111</v>
      </c>
      <c r="CU1805">
        <v>0</v>
      </c>
      <c r="CV1805" t="s">
        <v>111</v>
      </c>
      <c r="CW1805" t="s">
        <v>111</v>
      </c>
      <c r="CX1805" t="s">
        <v>111</v>
      </c>
      <c r="CY1805">
        <v>0</v>
      </c>
      <c r="CZ1805" t="s">
        <v>111</v>
      </c>
      <c r="DA1805" t="s">
        <v>111</v>
      </c>
      <c r="DB1805" t="s">
        <v>111</v>
      </c>
      <c r="DC1805" t="s">
        <v>111</v>
      </c>
    </row>
    <row r="1806" spans="1:107">
      <c r="A1806">
        <v>546</v>
      </c>
      <c r="B1806" t="s">
        <v>162</v>
      </c>
      <c r="C1806" s="2">
        <v>93385719</v>
      </c>
      <c r="D1806" t="s">
        <v>4843</v>
      </c>
      <c r="E1806" t="s">
        <v>4844</v>
      </c>
      <c r="F1806" t="s">
        <v>1651</v>
      </c>
      <c r="G1806" t="s">
        <v>24</v>
      </c>
      <c r="H1806">
        <v>1.5</v>
      </c>
      <c r="I1806">
        <v>30</v>
      </c>
      <c r="J1806">
        <v>0</v>
      </c>
      <c r="K1806">
        <v>0</v>
      </c>
      <c r="L1806" t="s">
        <v>112</v>
      </c>
      <c r="M1806" t="s">
        <v>118</v>
      </c>
      <c r="N1806">
        <v>40</v>
      </c>
      <c r="O1806">
        <v>1</v>
      </c>
      <c r="P1806" t="s">
        <v>138</v>
      </c>
      <c r="Q1806">
        <v>30</v>
      </c>
      <c r="R1806">
        <v>0</v>
      </c>
      <c r="S1806">
        <v>0</v>
      </c>
      <c r="T1806">
        <v>0</v>
      </c>
      <c r="U1806" t="s">
        <v>1353</v>
      </c>
      <c r="V1806">
        <v>0</v>
      </c>
      <c r="W1806">
        <v>0</v>
      </c>
      <c r="X1806">
        <v>0</v>
      </c>
      <c r="Y1806">
        <v>25</v>
      </c>
      <c r="Z1806" t="s">
        <v>111</v>
      </c>
      <c r="AA1806">
        <v>0</v>
      </c>
      <c r="AB1806" t="s">
        <v>111</v>
      </c>
      <c r="AC1806">
        <v>0</v>
      </c>
      <c r="AD1806" t="s">
        <v>416</v>
      </c>
      <c r="AE1806">
        <v>1</v>
      </c>
      <c r="AF1806">
        <v>1</v>
      </c>
      <c r="AG1806">
        <v>25</v>
      </c>
      <c r="AH1806" t="s">
        <v>111</v>
      </c>
      <c r="AI1806">
        <v>50</v>
      </c>
      <c r="AJ1806" t="s">
        <v>111</v>
      </c>
      <c r="AK1806" t="s">
        <v>111</v>
      </c>
      <c r="AL1806" t="s">
        <v>111</v>
      </c>
      <c r="AM1806">
        <v>0</v>
      </c>
      <c r="AN1806">
        <v>0</v>
      </c>
      <c r="AO1806">
        <v>0</v>
      </c>
      <c r="AP1806" t="s">
        <v>1091</v>
      </c>
      <c r="AQ1806" t="s">
        <v>111</v>
      </c>
      <c r="AR1806" t="s">
        <v>111</v>
      </c>
      <c r="AS1806" t="s">
        <v>111</v>
      </c>
      <c r="AT1806" t="s">
        <v>111</v>
      </c>
      <c r="AU1806" t="s">
        <v>111</v>
      </c>
      <c r="AV1806" t="s">
        <v>111</v>
      </c>
      <c r="AW1806" t="s">
        <v>111</v>
      </c>
      <c r="AX1806" t="s">
        <v>111</v>
      </c>
      <c r="AY1806" t="s">
        <v>111</v>
      </c>
      <c r="AZ1806" t="s">
        <v>111</v>
      </c>
      <c r="BA1806" t="s">
        <v>111</v>
      </c>
      <c r="BB1806" t="s">
        <v>111</v>
      </c>
      <c r="BC1806" t="s">
        <v>111</v>
      </c>
      <c r="BD1806" t="s">
        <v>111</v>
      </c>
      <c r="BE1806" t="s">
        <v>111</v>
      </c>
      <c r="BF1806" t="s">
        <v>111</v>
      </c>
      <c r="BG1806" t="s">
        <v>111</v>
      </c>
      <c r="BH1806" t="s">
        <v>111</v>
      </c>
      <c r="BI1806" t="s">
        <v>111</v>
      </c>
      <c r="BJ1806" t="s">
        <v>111</v>
      </c>
      <c r="BK1806" t="s">
        <v>111</v>
      </c>
      <c r="BL1806" t="s">
        <v>111</v>
      </c>
      <c r="BM1806" t="s">
        <v>111</v>
      </c>
      <c r="BN1806" t="s">
        <v>111</v>
      </c>
      <c r="BO1806" t="s">
        <v>111</v>
      </c>
      <c r="BP1806" t="s">
        <v>111</v>
      </c>
      <c r="BQ1806" t="s">
        <v>111</v>
      </c>
      <c r="BR1806" t="s">
        <v>111</v>
      </c>
      <c r="BS1806" t="s">
        <v>111</v>
      </c>
      <c r="BT1806" t="s">
        <v>111</v>
      </c>
      <c r="BU1806" t="s">
        <v>111</v>
      </c>
      <c r="BV1806" t="s">
        <v>111</v>
      </c>
      <c r="BW1806" t="s">
        <v>111</v>
      </c>
      <c r="BX1806" t="s">
        <v>111</v>
      </c>
      <c r="BY1806" t="s">
        <v>111</v>
      </c>
      <c r="BZ1806" t="s">
        <v>111</v>
      </c>
      <c r="CA1806" t="s">
        <v>111</v>
      </c>
      <c r="CB1806" t="s">
        <v>111</v>
      </c>
      <c r="CC1806" t="s">
        <v>111</v>
      </c>
      <c r="CD1806" t="s">
        <v>111</v>
      </c>
      <c r="CE1806" t="s">
        <v>111</v>
      </c>
      <c r="CF1806" t="s">
        <v>111</v>
      </c>
      <c r="CG1806" t="s">
        <v>111</v>
      </c>
      <c r="CH1806" t="s">
        <v>111</v>
      </c>
      <c r="CI1806" t="s">
        <v>111</v>
      </c>
      <c r="CJ1806" t="s">
        <v>111</v>
      </c>
      <c r="CK1806" t="s">
        <v>111</v>
      </c>
      <c r="CL1806" t="s">
        <v>153</v>
      </c>
      <c r="CM1806" t="s">
        <v>198</v>
      </c>
      <c r="CN1806" t="s">
        <v>113</v>
      </c>
      <c r="CO1806" t="s">
        <v>111</v>
      </c>
      <c r="CP1806" t="s">
        <v>111</v>
      </c>
      <c r="CQ1806">
        <v>0</v>
      </c>
      <c r="CR1806">
        <v>0</v>
      </c>
      <c r="CS1806">
        <v>0</v>
      </c>
      <c r="CT1806" t="s">
        <v>168</v>
      </c>
      <c r="CU1806">
        <v>0</v>
      </c>
      <c r="CV1806" t="s">
        <v>111</v>
      </c>
      <c r="CW1806" t="s">
        <v>111</v>
      </c>
      <c r="CX1806" t="s">
        <v>111</v>
      </c>
      <c r="CY1806">
        <v>0</v>
      </c>
      <c r="CZ1806" t="s">
        <v>111</v>
      </c>
      <c r="DA1806" t="s">
        <v>111</v>
      </c>
      <c r="DB1806" t="s">
        <v>111</v>
      </c>
      <c r="DC1806" t="s">
        <v>111</v>
      </c>
    </row>
    <row r="1807" spans="1:107">
      <c r="A1807">
        <v>560</v>
      </c>
      <c r="B1807" t="s">
        <v>162</v>
      </c>
      <c r="C1807" t="s">
        <v>1800</v>
      </c>
      <c r="D1807" t="s">
        <v>4982</v>
      </c>
      <c r="E1807" t="s">
        <v>4983</v>
      </c>
      <c r="F1807" t="s">
        <v>110</v>
      </c>
      <c r="G1807" t="s">
        <v>24</v>
      </c>
      <c r="H1807">
        <v>1.5</v>
      </c>
      <c r="I1807">
        <v>46</v>
      </c>
      <c r="J1807">
        <v>0</v>
      </c>
      <c r="K1807">
        <v>0</v>
      </c>
      <c r="L1807" t="s">
        <v>117</v>
      </c>
      <c r="M1807" t="s">
        <v>138</v>
      </c>
      <c r="N1807">
        <v>0</v>
      </c>
      <c r="O1807">
        <v>0</v>
      </c>
      <c r="P1807" t="s">
        <v>138</v>
      </c>
      <c r="Q1807">
        <v>20</v>
      </c>
      <c r="R1807">
        <v>0</v>
      </c>
      <c r="S1807">
        <v>0</v>
      </c>
      <c r="T1807">
        <v>0</v>
      </c>
      <c r="U1807" s="1" t="s">
        <v>4984</v>
      </c>
      <c r="V1807">
        <v>0</v>
      </c>
      <c r="W1807">
        <v>0</v>
      </c>
      <c r="X1807">
        <v>0</v>
      </c>
      <c r="Y1807">
        <v>25</v>
      </c>
      <c r="Z1807" t="s">
        <v>111</v>
      </c>
      <c r="AA1807">
        <v>0</v>
      </c>
      <c r="AB1807" t="s">
        <v>111</v>
      </c>
      <c r="AC1807">
        <v>0</v>
      </c>
      <c r="AD1807" t="s">
        <v>111</v>
      </c>
      <c r="AE1807">
        <v>0</v>
      </c>
      <c r="AF1807">
        <v>0</v>
      </c>
      <c r="AG1807" t="s">
        <v>111</v>
      </c>
      <c r="AH1807" t="s">
        <v>111</v>
      </c>
      <c r="AI1807" t="s">
        <v>111</v>
      </c>
      <c r="AJ1807" t="s">
        <v>111</v>
      </c>
      <c r="AK1807" t="s">
        <v>111</v>
      </c>
      <c r="AL1807" t="s">
        <v>111</v>
      </c>
      <c r="AM1807">
        <v>0</v>
      </c>
      <c r="AN1807">
        <v>0</v>
      </c>
      <c r="AO1807">
        <v>0</v>
      </c>
      <c r="AP1807" t="s">
        <v>111</v>
      </c>
      <c r="AQ1807" t="s">
        <v>111</v>
      </c>
      <c r="AR1807" t="s">
        <v>111</v>
      </c>
      <c r="AS1807" t="s">
        <v>111</v>
      </c>
      <c r="AT1807" t="s">
        <v>111</v>
      </c>
      <c r="AU1807" t="s">
        <v>111</v>
      </c>
      <c r="AV1807" t="s">
        <v>111</v>
      </c>
      <c r="AW1807" t="s">
        <v>111</v>
      </c>
      <c r="AX1807" t="s">
        <v>111</v>
      </c>
      <c r="AY1807" t="s">
        <v>111</v>
      </c>
      <c r="AZ1807" t="s">
        <v>111</v>
      </c>
      <c r="BA1807" t="s">
        <v>111</v>
      </c>
      <c r="BB1807" t="s">
        <v>111</v>
      </c>
      <c r="BC1807" t="s">
        <v>111</v>
      </c>
      <c r="BD1807" t="s">
        <v>111</v>
      </c>
      <c r="BE1807" t="s">
        <v>111</v>
      </c>
      <c r="BF1807" t="s">
        <v>111</v>
      </c>
      <c r="BG1807" t="s">
        <v>111</v>
      </c>
      <c r="BH1807" t="s">
        <v>111</v>
      </c>
      <c r="BI1807" t="s">
        <v>111</v>
      </c>
      <c r="BJ1807" t="s">
        <v>111</v>
      </c>
      <c r="BK1807" t="s">
        <v>111</v>
      </c>
      <c r="BL1807" t="s">
        <v>111</v>
      </c>
      <c r="BM1807" t="s">
        <v>111</v>
      </c>
      <c r="BN1807" t="s">
        <v>111</v>
      </c>
      <c r="BO1807" t="s">
        <v>111</v>
      </c>
      <c r="BP1807" t="s">
        <v>111</v>
      </c>
      <c r="BQ1807" t="s">
        <v>111</v>
      </c>
      <c r="BR1807" t="s">
        <v>111</v>
      </c>
      <c r="BS1807" t="s">
        <v>111</v>
      </c>
      <c r="BT1807" t="s">
        <v>111</v>
      </c>
      <c r="BU1807" t="s">
        <v>111</v>
      </c>
      <c r="BV1807" t="s">
        <v>111</v>
      </c>
      <c r="BW1807" t="s">
        <v>111</v>
      </c>
      <c r="BX1807" t="s">
        <v>111</v>
      </c>
      <c r="BY1807" t="s">
        <v>111</v>
      </c>
      <c r="BZ1807" t="s">
        <v>111</v>
      </c>
      <c r="CA1807" t="s">
        <v>111</v>
      </c>
      <c r="CB1807" t="s">
        <v>111</v>
      </c>
      <c r="CC1807" t="s">
        <v>111</v>
      </c>
      <c r="CD1807" t="s">
        <v>111</v>
      </c>
      <c r="CE1807" t="s">
        <v>111</v>
      </c>
      <c r="CF1807" t="s">
        <v>111</v>
      </c>
      <c r="CG1807" t="s">
        <v>111</v>
      </c>
      <c r="CH1807" t="s">
        <v>111</v>
      </c>
      <c r="CI1807" t="s">
        <v>111</v>
      </c>
      <c r="CJ1807" t="s">
        <v>111</v>
      </c>
      <c r="CK1807" t="s">
        <v>111</v>
      </c>
      <c r="CL1807" t="s">
        <v>111</v>
      </c>
      <c r="CM1807" t="s">
        <v>111</v>
      </c>
      <c r="CN1807" t="s">
        <v>111</v>
      </c>
      <c r="CO1807" t="s">
        <v>111</v>
      </c>
      <c r="CP1807" t="s">
        <v>111</v>
      </c>
      <c r="CQ1807">
        <v>0</v>
      </c>
      <c r="CR1807">
        <v>0</v>
      </c>
      <c r="CS1807">
        <v>0</v>
      </c>
      <c r="CT1807" t="s">
        <v>111</v>
      </c>
      <c r="CU1807">
        <v>0</v>
      </c>
      <c r="CV1807" t="s">
        <v>111</v>
      </c>
      <c r="CW1807" t="s">
        <v>111</v>
      </c>
      <c r="CX1807" t="s">
        <v>111</v>
      </c>
      <c r="CY1807">
        <v>0</v>
      </c>
      <c r="CZ1807" t="s">
        <v>111</v>
      </c>
      <c r="DA1807" t="s">
        <v>111</v>
      </c>
      <c r="DB1807" t="s">
        <v>111</v>
      </c>
      <c r="DC1807" t="s">
        <v>111</v>
      </c>
    </row>
    <row r="1808" spans="1:107">
      <c r="A1808">
        <v>553</v>
      </c>
      <c r="B1808" t="s">
        <v>162</v>
      </c>
      <c r="C1808" t="s">
        <v>4985</v>
      </c>
      <c r="D1808" t="s">
        <v>4321</v>
      </c>
      <c r="E1808" t="s">
        <v>4986</v>
      </c>
      <c r="F1808" t="s">
        <v>2211</v>
      </c>
      <c r="G1808" t="s">
        <v>24</v>
      </c>
      <c r="H1808">
        <v>1.1000000000000001</v>
      </c>
      <c r="I1808">
        <v>50</v>
      </c>
      <c r="J1808">
        <v>0</v>
      </c>
      <c r="K1808">
        <v>0</v>
      </c>
      <c r="L1808" t="s">
        <v>117</v>
      </c>
      <c r="M1808" t="s">
        <v>138</v>
      </c>
      <c r="N1808">
        <v>0</v>
      </c>
      <c r="O1808">
        <v>0</v>
      </c>
      <c r="P1808" t="s">
        <v>138</v>
      </c>
      <c r="Q1808">
        <v>35</v>
      </c>
      <c r="R1808">
        <v>0</v>
      </c>
      <c r="S1808">
        <v>0</v>
      </c>
      <c r="T1808">
        <v>0</v>
      </c>
      <c r="U1808" s="1" t="s">
        <v>4987</v>
      </c>
      <c r="V1808">
        <v>0</v>
      </c>
      <c r="W1808">
        <v>0</v>
      </c>
      <c r="X1808">
        <v>0</v>
      </c>
      <c r="Y1808">
        <v>25</v>
      </c>
      <c r="Z1808" t="s">
        <v>111</v>
      </c>
      <c r="AA1808">
        <v>0</v>
      </c>
      <c r="AB1808" t="s">
        <v>111</v>
      </c>
      <c r="AC1808">
        <v>0</v>
      </c>
      <c r="AD1808" t="s">
        <v>111</v>
      </c>
      <c r="AE1808">
        <v>0</v>
      </c>
      <c r="AF1808">
        <v>0</v>
      </c>
      <c r="AG1808" t="s">
        <v>111</v>
      </c>
      <c r="AH1808" t="s">
        <v>111</v>
      </c>
      <c r="AI1808" t="s">
        <v>111</v>
      </c>
      <c r="AJ1808" t="s">
        <v>111</v>
      </c>
      <c r="AK1808" t="s">
        <v>111</v>
      </c>
      <c r="AL1808" t="s">
        <v>111</v>
      </c>
      <c r="AM1808">
        <v>0</v>
      </c>
      <c r="AN1808">
        <v>0</v>
      </c>
      <c r="AO1808">
        <v>0</v>
      </c>
      <c r="AP1808" t="s">
        <v>111</v>
      </c>
      <c r="AQ1808" t="s">
        <v>111</v>
      </c>
      <c r="AR1808" t="s">
        <v>111</v>
      </c>
      <c r="AS1808" t="s">
        <v>111</v>
      </c>
      <c r="AT1808" t="s">
        <v>111</v>
      </c>
      <c r="AU1808" t="s">
        <v>111</v>
      </c>
      <c r="AV1808" t="s">
        <v>111</v>
      </c>
      <c r="AW1808" t="s">
        <v>111</v>
      </c>
      <c r="AX1808" t="s">
        <v>111</v>
      </c>
      <c r="AY1808" t="s">
        <v>111</v>
      </c>
      <c r="AZ1808" t="s">
        <v>111</v>
      </c>
      <c r="BA1808" t="s">
        <v>111</v>
      </c>
      <c r="BB1808" t="s">
        <v>111</v>
      </c>
      <c r="BC1808" t="s">
        <v>111</v>
      </c>
      <c r="BD1808" t="s">
        <v>111</v>
      </c>
      <c r="BE1808" t="s">
        <v>111</v>
      </c>
      <c r="BF1808" t="s">
        <v>111</v>
      </c>
      <c r="BG1808" t="s">
        <v>111</v>
      </c>
      <c r="BH1808" t="s">
        <v>111</v>
      </c>
      <c r="BI1808" t="s">
        <v>111</v>
      </c>
      <c r="BJ1808" t="s">
        <v>111</v>
      </c>
      <c r="BK1808" t="s">
        <v>111</v>
      </c>
      <c r="BL1808" t="s">
        <v>111</v>
      </c>
      <c r="BM1808" t="s">
        <v>111</v>
      </c>
      <c r="BN1808" t="s">
        <v>111</v>
      </c>
      <c r="BO1808" t="s">
        <v>111</v>
      </c>
      <c r="BP1808" t="s">
        <v>111</v>
      </c>
      <c r="BQ1808" t="s">
        <v>111</v>
      </c>
      <c r="BR1808" t="s">
        <v>111</v>
      </c>
      <c r="BS1808" t="s">
        <v>111</v>
      </c>
      <c r="BT1808" t="s">
        <v>111</v>
      </c>
      <c r="BU1808" t="s">
        <v>111</v>
      </c>
      <c r="BV1808" t="s">
        <v>111</v>
      </c>
      <c r="BW1808" t="s">
        <v>111</v>
      </c>
      <c r="BX1808" t="s">
        <v>111</v>
      </c>
      <c r="BY1808" t="s">
        <v>111</v>
      </c>
      <c r="BZ1808" t="s">
        <v>111</v>
      </c>
      <c r="CA1808" t="s">
        <v>111</v>
      </c>
      <c r="CB1808" t="s">
        <v>111</v>
      </c>
      <c r="CC1808" t="s">
        <v>111</v>
      </c>
      <c r="CD1808" t="s">
        <v>111</v>
      </c>
      <c r="CE1808" t="s">
        <v>111</v>
      </c>
      <c r="CF1808" t="s">
        <v>111</v>
      </c>
      <c r="CG1808" t="s">
        <v>111</v>
      </c>
      <c r="CH1808" t="s">
        <v>111</v>
      </c>
      <c r="CI1808" t="s">
        <v>111</v>
      </c>
      <c r="CJ1808" t="s">
        <v>111</v>
      </c>
      <c r="CK1808" t="s">
        <v>111</v>
      </c>
      <c r="CL1808" t="s">
        <v>111</v>
      </c>
      <c r="CM1808" t="s">
        <v>111</v>
      </c>
      <c r="CN1808" t="s">
        <v>111</v>
      </c>
      <c r="CO1808" t="s">
        <v>111</v>
      </c>
      <c r="CP1808" t="s">
        <v>111</v>
      </c>
      <c r="CQ1808">
        <v>0</v>
      </c>
      <c r="CR1808">
        <v>0</v>
      </c>
      <c r="CS1808">
        <v>0</v>
      </c>
      <c r="CT1808" t="s">
        <v>111</v>
      </c>
      <c r="CU1808">
        <v>0</v>
      </c>
      <c r="CV1808" t="s">
        <v>111</v>
      </c>
      <c r="CW1808" t="s">
        <v>111</v>
      </c>
      <c r="CX1808" t="s">
        <v>111</v>
      </c>
      <c r="CY1808">
        <v>0</v>
      </c>
      <c r="CZ1808" t="s">
        <v>111</v>
      </c>
      <c r="DA1808" t="s">
        <v>111</v>
      </c>
      <c r="DB1808" t="s">
        <v>111</v>
      </c>
      <c r="DC1808" t="s">
        <v>111</v>
      </c>
    </row>
    <row r="1809" spans="1:107">
      <c r="A1809">
        <v>554</v>
      </c>
      <c r="B1809" t="s">
        <v>162</v>
      </c>
      <c r="C1809" t="s">
        <v>4985</v>
      </c>
      <c r="D1809" t="s">
        <v>4988</v>
      </c>
      <c r="E1809" t="s">
        <v>4989</v>
      </c>
      <c r="F1809" t="s">
        <v>2211</v>
      </c>
      <c r="G1809" t="s">
        <v>24</v>
      </c>
      <c r="H1809">
        <v>1</v>
      </c>
      <c r="I1809">
        <v>40</v>
      </c>
      <c r="J1809">
        <v>0</v>
      </c>
      <c r="K1809">
        <v>0</v>
      </c>
      <c r="L1809" t="s">
        <v>117</v>
      </c>
      <c r="M1809" t="s">
        <v>138</v>
      </c>
      <c r="N1809">
        <v>0</v>
      </c>
      <c r="O1809">
        <v>0</v>
      </c>
      <c r="P1809" t="s">
        <v>138</v>
      </c>
      <c r="Q1809">
        <v>35</v>
      </c>
      <c r="R1809">
        <v>0</v>
      </c>
      <c r="S1809">
        <v>0</v>
      </c>
      <c r="T1809">
        <v>0</v>
      </c>
      <c r="U1809" s="1" t="s">
        <v>4990</v>
      </c>
      <c r="V1809">
        <v>0</v>
      </c>
      <c r="W1809">
        <v>0</v>
      </c>
      <c r="X1809">
        <v>0</v>
      </c>
      <c r="Y1809">
        <v>25</v>
      </c>
      <c r="Z1809" t="s">
        <v>111</v>
      </c>
      <c r="AA1809">
        <v>0</v>
      </c>
      <c r="AB1809" t="s">
        <v>111</v>
      </c>
      <c r="AC1809">
        <v>0</v>
      </c>
      <c r="AD1809" t="s">
        <v>111</v>
      </c>
      <c r="AE1809">
        <v>0</v>
      </c>
      <c r="AF1809">
        <v>0</v>
      </c>
      <c r="AG1809" t="s">
        <v>111</v>
      </c>
      <c r="AH1809" t="s">
        <v>111</v>
      </c>
      <c r="AI1809" t="s">
        <v>111</v>
      </c>
      <c r="AJ1809" t="s">
        <v>111</v>
      </c>
      <c r="AK1809" t="s">
        <v>111</v>
      </c>
      <c r="AL1809" t="s">
        <v>111</v>
      </c>
      <c r="AM1809">
        <v>0</v>
      </c>
      <c r="AN1809">
        <v>0</v>
      </c>
      <c r="AO1809">
        <v>0</v>
      </c>
      <c r="AP1809" t="s">
        <v>111</v>
      </c>
      <c r="AQ1809" t="s">
        <v>111</v>
      </c>
      <c r="AR1809" t="s">
        <v>111</v>
      </c>
      <c r="AS1809" t="s">
        <v>111</v>
      </c>
      <c r="AT1809" t="s">
        <v>111</v>
      </c>
      <c r="AU1809" t="s">
        <v>111</v>
      </c>
      <c r="AV1809" t="s">
        <v>111</v>
      </c>
      <c r="AW1809" t="s">
        <v>111</v>
      </c>
      <c r="AX1809" t="s">
        <v>111</v>
      </c>
      <c r="AY1809" t="s">
        <v>111</v>
      </c>
      <c r="AZ1809" t="s">
        <v>111</v>
      </c>
      <c r="BA1809" t="s">
        <v>111</v>
      </c>
      <c r="BB1809" t="s">
        <v>111</v>
      </c>
      <c r="BC1809" t="s">
        <v>111</v>
      </c>
      <c r="BD1809" t="s">
        <v>111</v>
      </c>
      <c r="BE1809" t="s">
        <v>111</v>
      </c>
      <c r="BF1809" t="s">
        <v>111</v>
      </c>
      <c r="BG1809" t="s">
        <v>111</v>
      </c>
      <c r="BH1809" t="s">
        <v>111</v>
      </c>
      <c r="BI1809" t="s">
        <v>111</v>
      </c>
      <c r="BJ1809" t="s">
        <v>111</v>
      </c>
      <c r="BK1809" t="s">
        <v>111</v>
      </c>
      <c r="BL1809" t="s">
        <v>111</v>
      </c>
      <c r="BM1809" t="s">
        <v>111</v>
      </c>
      <c r="BN1809" t="s">
        <v>111</v>
      </c>
      <c r="BO1809" t="s">
        <v>111</v>
      </c>
      <c r="BP1809" t="s">
        <v>111</v>
      </c>
      <c r="BQ1809" t="s">
        <v>111</v>
      </c>
      <c r="BR1809" t="s">
        <v>111</v>
      </c>
      <c r="BS1809" t="s">
        <v>111</v>
      </c>
      <c r="BT1809" t="s">
        <v>111</v>
      </c>
      <c r="BU1809" t="s">
        <v>111</v>
      </c>
      <c r="BV1809" t="s">
        <v>111</v>
      </c>
      <c r="BW1809" t="s">
        <v>111</v>
      </c>
      <c r="BX1809" t="s">
        <v>111</v>
      </c>
      <c r="BY1809" t="s">
        <v>111</v>
      </c>
      <c r="BZ1809" t="s">
        <v>111</v>
      </c>
      <c r="CA1809" t="s">
        <v>111</v>
      </c>
      <c r="CB1809" t="s">
        <v>111</v>
      </c>
      <c r="CC1809" t="s">
        <v>111</v>
      </c>
      <c r="CD1809" t="s">
        <v>111</v>
      </c>
      <c r="CE1809" t="s">
        <v>111</v>
      </c>
      <c r="CF1809" t="s">
        <v>111</v>
      </c>
      <c r="CG1809" t="s">
        <v>111</v>
      </c>
      <c r="CH1809" t="s">
        <v>111</v>
      </c>
      <c r="CI1809" t="s">
        <v>111</v>
      </c>
      <c r="CJ1809" t="s">
        <v>111</v>
      </c>
      <c r="CK1809" t="s">
        <v>111</v>
      </c>
      <c r="CL1809" t="s">
        <v>111</v>
      </c>
      <c r="CM1809" t="s">
        <v>111</v>
      </c>
      <c r="CN1809" t="s">
        <v>111</v>
      </c>
      <c r="CO1809" t="s">
        <v>111</v>
      </c>
      <c r="CP1809" t="s">
        <v>111</v>
      </c>
      <c r="CQ1809">
        <v>0</v>
      </c>
      <c r="CR1809">
        <v>0</v>
      </c>
      <c r="CS1809">
        <v>0</v>
      </c>
      <c r="CT1809" t="s">
        <v>111</v>
      </c>
      <c r="CU1809">
        <v>0</v>
      </c>
      <c r="CV1809" t="s">
        <v>111</v>
      </c>
      <c r="CW1809" t="s">
        <v>111</v>
      </c>
      <c r="CX1809" t="s">
        <v>111</v>
      </c>
      <c r="CY1809">
        <v>0</v>
      </c>
      <c r="CZ1809" t="s">
        <v>111</v>
      </c>
      <c r="DA1809" t="s">
        <v>111</v>
      </c>
      <c r="DB1809" t="s">
        <v>111</v>
      </c>
      <c r="DC1809" t="s">
        <v>111</v>
      </c>
    </row>
    <row r="1810" spans="1:107">
      <c r="A1810">
        <v>555</v>
      </c>
      <c r="B1810" t="s">
        <v>162</v>
      </c>
      <c r="C1810" t="s">
        <v>1643</v>
      </c>
      <c r="D1810" t="s">
        <v>3908</v>
      </c>
      <c r="E1810" t="s">
        <v>4991</v>
      </c>
      <c r="F1810" t="s">
        <v>2211</v>
      </c>
      <c r="G1810" t="s">
        <v>24</v>
      </c>
      <c r="H1810">
        <v>1.2</v>
      </c>
      <c r="I1810">
        <v>25</v>
      </c>
      <c r="J1810">
        <v>0</v>
      </c>
      <c r="K1810">
        <v>0</v>
      </c>
      <c r="L1810" t="s">
        <v>4992</v>
      </c>
      <c r="M1810" t="s">
        <v>138</v>
      </c>
      <c r="N1810">
        <v>0</v>
      </c>
      <c r="O1810">
        <v>0</v>
      </c>
      <c r="P1810" t="s">
        <v>138</v>
      </c>
      <c r="Q1810">
        <v>30</v>
      </c>
      <c r="R1810">
        <v>0</v>
      </c>
      <c r="S1810">
        <v>0</v>
      </c>
      <c r="T1810">
        <v>0</v>
      </c>
      <c r="U1810" s="1" t="s">
        <v>4993</v>
      </c>
      <c r="V1810">
        <v>0</v>
      </c>
      <c r="W1810">
        <v>0</v>
      </c>
      <c r="X1810">
        <v>0</v>
      </c>
      <c r="Y1810">
        <v>25</v>
      </c>
      <c r="Z1810" t="s">
        <v>111</v>
      </c>
      <c r="AA1810">
        <v>0</v>
      </c>
      <c r="AB1810" t="s">
        <v>111</v>
      </c>
      <c r="AC1810">
        <v>0</v>
      </c>
      <c r="AD1810" t="s">
        <v>111</v>
      </c>
      <c r="AE1810">
        <v>0</v>
      </c>
      <c r="AF1810">
        <v>0</v>
      </c>
      <c r="AG1810" t="s">
        <v>111</v>
      </c>
      <c r="AH1810" t="s">
        <v>111</v>
      </c>
      <c r="AI1810" t="s">
        <v>111</v>
      </c>
      <c r="AJ1810" t="s">
        <v>111</v>
      </c>
      <c r="AK1810" t="s">
        <v>111</v>
      </c>
      <c r="AL1810" t="s">
        <v>111</v>
      </c>
      <c r="AM1810">
        <v>0</v>
      </c>
      <c r="AN1810">
        <v>0</v>
      </c>
      <c r="AO1810">
        <v>0</v>
      </c>
      <c r="AP1810" t="s">
        <v>111</v>
      </c>
      <c r="AQ1810" t="s">
        <v>111</v>
      </c>
      <c r="AR1810" t="s">
        <v>111</v>
      </c>
      <c r="AS1810" t="s">
        <v>111</v>
      </c>
      <c r="AT1810" t="s">
        <v>111</v>
      </c>
      <c r="AU1810" t="s">
        <v>111</v>
      </c>
      <c r="AV1810" t="s">
        <v>111</v>
      </c>
      <c r="AW1810" t="s">
        <v>111</v>
      </c>
      <c r="AX1810" t="s">
        <v>111</v>
      </c>
      <c r="AY1810" t="s">
        <v>111</v>
      </c>
      <c r="AZ1810" t="s">
        <v>111</v>
      </c>
      <c r="BA1810" t="s">
        <v>111</v>
      </c>
      <c r="BB1810" t="s">
        <v>111</v>
      </c>
      <c r="BC1810" t="s">
        <v>111</v>
      </c>
      <c r="BD1810" t="s">
        <v>111</v>
      </c>
      <c r="BE1810" t="s">
        <v>111</v>
      </c>
      <c r="BF1810" t="s">
        <v>111</v>
      </c>
      <c r="BG1810" t="s">
        <v>111</v>
      </c>
      <c r="BH1810" t="s">
        <v>111</v>
      </c>
      <c r="BI1810" t="s">
        <v>111</v>
      </c>
      <c r="BJ1810" t="s">
        <v>111</v>
      </c>
      <c r="BK1810" t="s">
        <v>111</v>
      </c>
      <c r="BL1810" t="s">
        <v>111</v>
      </c>
      <c r="BM1810" t="s">
        <v>111</v>
      </c>
      <c r="BN1810" t="s">
        <v>111</v>
      </c>
      <c r="BO1810" t="s">
        <v>111</v>
      </c>
      <c r="BP1810" t="s">
        <v>111</v>
      </c>
      <c r="BQ1810" t="s">
        <v>111</v>
      </c>
      <c r="BR1810" t="s">
        <v>111</v>
      </c>
      <c r="BS1810" t="s">
        <v>111</v>
      </c>
      <c r="BT1810" t="s">
        <v>111</v>
      </c>
      <c r="BU1810" t="s">
        <v>111</v>
      </c>
      <c r="BV1810" t="s">
        <v>111</v>
      </c>
      <c r="BW1810" t="s">
        <v>111</v>
      </c>
      <c r="BX1810" t="s">
        <v>111</v>
      </c>
      <c r="BY1810" t="s">
        <v>111</v>
      </c>
      <c r="BZ1810" t="s">
        <v>111</v>
      </c>
      <c r="CA1810" t="s">
        <v>111</v>
      </c>
      <c r="CB1810" t="s">
        <v>111</v>
      </c>
      <c r="CC1810" t="s">
        <v>111</v>
      </c>
      <c r="CD1810" t="s">
        <v>111</v>
      </c>
      <c r="CE1810" t="s">
        <v>111</v>
      </c>
      <c r="CF1810" t="s">
        <v>111</v>
      </c>
      <c r="CG1810" t="s">
        <v>111</v>
      </c>
      <c r="CH1810" t="s">
        <v>111</v>
      </c>
      <c r="CI1810" t="s">
        <v>111</v>
      </c>
      <c r="CJ1810" t="s">
        <v>111</v>
      </c>
      <c r="CK1810" t="s">
        <v>111</v>
      </c>
      <c r="CL1810" t="s">
        <v>111</v>
      </c>
      <c r="CM1810" t="s">
        <v>111</v>
      </c>
      <c r="CN1810" t="s">
        <v>111</v>
      </c>
      <c r="CO1810" t="s">
        <v>111</v>
      </c>
      <c r="CP1810" t="s">
        <v>111</v>
      </c>
      <c r="CQ1810">
        <v>0</v>
      </c>
      <c r="CR1810">
        <v>0</v>
      </c>
      <c r="CS1810">
        <v>0</v>
      </c>
      <c r="CT1810" t="s">
        <v>111</v>
      </c>
      <c r="CU1810">
        <v>0</v>
      </c>
      <c r="CV1810" t="s">
        <v>111</v>
      </c>
      <c r="CW1810" t="s">
        <v>111</v>
      </c>
      <c r="CX1810" t="s">
        <v>111</v>
      </c>
      <c r="CY1810">
        <v>0</v>
      </c>
      <c r="CZ1810" t="s">
        <v>111</v>
      </c>
      <c r="DA1810" t="s">
        <v>111</v>
      </c>
      <c r="DB1810" t="s">
        <v>111</v>
      </c>
      <c r="DC1810" t="s">
        <v>111</v>
      </c>
    </row>
    <row r="1811" spans="1:107">
      <c r="A1811">
        <v>556</v>
      </c>
      <c r="B1811" t="s">
        <v>162</v>
      </c>
      <c r="C1811" t="s">
        <v>1643</v>
      </c>
      <c r="D1811" t="s">
        <v>4994</v>
      </c>
      <c r="E1811" t="s">
        <v>4995</v>
      </c>
      <c r="F1811" t="s">
        <v>2211</v>
      </c>
      <c r="G1811" t="s">
        <v>24</v>
      </c>
      <c r="H1811">
        <v>1.1499999999999999</v>
      </c>
      <c r="I1811">
        <v>50</v>
      </c>
      <c r="J1811">
        <v>0</v>
      </c>
      <c r="K1811">
        <v>0</v>
      </c>
      <c r="L1811" t="s">
        <v>117</v>
      </c>
      <c r="M1811" t="s">
        <v>138</v>
      </c>
      <c r="N1811">
        <v>0</v>
      </c>
      <c r="O1811">
        <v>0</v>
      </c>
      <c r="P1811" t="s">
        <v>138</v>
      </c>
      <c r="Q1811">
        <v>35</v>
      </c>
      <c r="R1811">
        <v>0</v>
      </c>
      <c r="S1811">
        <v>0</v>
      </c>
      <c r="T1811">
        <v>0</v>
      </c>
      <c r="U1811" s="1" t="s">
        <v>4060</v>
      </c>
      <c r="V1811">
        <v>0</v>
      </c>
      <c r="W1811">
        <v>0</v>
      </c>
      <c r="X1811">
        <v>0</v>
      </c>
      <c r="Y1811">
        <v>25</v>
      </c>
      <c r="Z1811" t="s">
        <v>111</v>
      </c>
      <c r="AA1811">
        <v>0</v>
      </c>
      <c r="AB1811" t="s">
        <v>111</v>
      </c>
      <c r="AC1811">
        <v>0</v>
      </c>
      <c r="AD1811" t="s">
        <v>111</v>
      </c>
      <c r="AE1811">
        <v>0</v>
      </c>
      <c r="AF1811">
        <v>0</v>
      </c>
      <c r="AG1811" t="s">
        <v>111</v>
      </c>
      <c r="AH1811" t="s">
        <v>111</v>
      </c>
      <c r="AI1811" t="s">
        <v>111</v>
      </c>
      <c r="AJ1811" t="s">
        <v>111</v>
      </c>
      <c r="AK1811" t="s">
        <v>111</v>
      </c>
      <c r="AL1811" t="s">
        <v>111</v>
      </c>
      <c r="AM1811">
        <v>0</v>
      </c>
      <c r="AN1811">
        <v>0</v>
      </c>
      <c r="AO1811">
        <v>0</v>
      </c>
      <c r="AP1811" t="s">
        <v>111</v>
      </c>
      <c r="AQ1811" t="s">
        <v>111</v>
      </c>
      <c r="AR1811" t="s">
        <v>111</v>
      </c>
      <c r="AS1811" t="s">
        <v>111</v>
      </c>
      <c r="AT1811" t="s">
        <v>111</v>
      </c>
      <c r="AU1811" t="s">
        <v>111</v>
      </c>
      <c r="AV1811" t="s">
        <v>111</v>
      </c>
      <c r="AW1811" t="s">
        <v>111</v>
      </c>
      <c r="AX1811" t="s">
        <v>111</v>
      </c>
      <c r="AY1811" t="s">
        <v>111</v>
      </c>
      <c r="AZ1811" t="s">
        <v>111</v>
      </c>
      <c r="BA1811" t="s">
        <v>111</v>
      </c>
      <c r="BB1811" t="s">
        <v>111</v>
      </c>
      <c r="BC1811" t="s">
        <v>111</v>
      </c>
      <c r="BD1811" t="s">
        <v>111</v>
      </c>
      <c r="BE1811" t="s">
        <v>111</v>
      </c>
      <c r="BF1811" t="s">
        <v>111</v>
      </c>
      <c r="BG1811" t="s">
        <v>111</v>
      </c>
      <c r="BH1811" t="s">
        <v>111</v>
      </c>
      <c r="BI1811" t="s">
        <v>111</v>
      </c>
      <c r="BJ1811" t="s">
        <v>111</v>
      </c>
      <c r="BK1811" t="s">
        <v>111</v>
      </c>
      <c r="BL1811" t="s">
        <v>111</v>
      </c>
      <c r="BM1811" t="s">
        <v>111</v>
      </c>
      <c r="BN1811" t="s">
        <v>111</v>
      </c>
      <c r="BO1811" t="s">
        <v>111</v>
      </c>
      <c r="BP1811" t="s">
        <v>111</v>
      </c>
      <c r="BQ1811" t="s">
        <v>111</v>
      </c>
      <c r="BR1811" t="s">
        <v>111</v>
      </c>
      <c r="BS1811" t="s">
        <v>111</v>
      </c>
      <c r="BT1811" t="s">
        <v>111</v>
      </c>
      <c r="BU1811" t="s">
        <v>111</v>
      </c>
      <c r="BV1811" t="s">
        <v>111</v>
      </c>
      <c r="BW1811" t="s">
        <v>111</v>
      </c>
      <c r="BX1811" t="s">
        <v>111</v>
      </c>
      <c r="BY1811" t="s">
        <v>111</v>
      </c>
      <c r="BZ1811" t="s">
        <v>111</v>
      </c>
      <c r="CA1811" t="s">
        <v>111</v>
      </c>
      <c r="CB1811" t="s">
        <v>111</v>
      </c>
      <c r="CC1811" t="s">
        <v>111</v>
      </c>
      <c r="CD1811" t="s">
        <v>111</v>
      </c>
      <c r="CE1811" t="s">
        <v>111</v>
      </c>
      <c r="CF1811" t="s">
        <v>111</v>
      </c>
      <c r="CG1811" t="s">
        <v>111</v>
      </c>
      <c r="CH1811" t="s">
        <v>111</v>
      </c>
      <c r="CI1811" t="s">
        <v>111</v>
      </c>
      <c r="CJ1811" t="s">
        <v>111</v>
      </c>
      <c r="CK1811" t="s">
        <v>111</v>
      </c>
      <c r="CL1811" t="s">
        <v>111</v>
      </c>
      <c r="CM1811" t="s">
        <v>111</v>
      </c>
      <c r="CN1811" t="s">
        <v>111</v>
      </c>
      <c r="CO1811" t="s">
        <v>111</v>
      </c>
      <c r="CP1811" t="s">
        <v>111</v>
      </c>
      <c r="CQ1811">
        <v>0</v>
      </c>
      <c r="CR1811">
        <v>0</v>
      </c>
      <c r="CS1811">
        <v>0</v>
      </c>
      <c r="CT1811" t="s">
        <v>111</v>
      </c>
      <c r="CU1811">
        <v>0</v>
      </c>
      <c r="CV1811" t="s">
        <v>111</v>
      </c>
      <c r="CW1811" t="s">
        <v>111</v>
      </c>
      <c r="CX1811" t="s">
        <v>111</v>
      </c>
      <c r="CY1811">
        <v>0</v>
      </c>
      <c r="CZ1811" t="s">
        <v>111</v>
      </c>
      <c r="DA1811" t="s">
        <v>111</v>
      </c>
      <c r="DB1811" t="s">
        <v>111</v>
      </c>
      <c r="DC1811" t="s">
        <v>111</v>
      </c>
    </row>
    <row r="1812" spans="1:107">
      <c r="A1812">
        <v>557</v>
      </c>
      <c r="B1812" t="s">
        <v>162</v>
      </c>
      <c r="C1812" t="s">
        <v>1338</v>
      </c>
      <c r="D1812" t="s">
        <v>4094</v>
      </c>
      <c r="E1812" t="s">
        <v>4095</v>
      </c>
      <c r="F1812" t="s">
        <v>1651</v>
      </c>
      <c r="G1812" t="s">
        <v>24</v>
      </c>
      <c r="H1812">
        <v>1.2</v>
      </c>
      <c r="I1812">
        <v>50</v>
      </c>
      <c r="J1812">
        <v>0</v>
      </c>
      <c r="K1812">
        <v>0</v>
      </c>
      <c r="L1812" t="s">
        <v>112</v>
      </c>
      <c r="M1812" t="s">
        <v>118</v>
      </c>
      <c r="N1812">
        <v>40</v>
      </c>
      <c r="O1812">
        <v>1</v>
      </c>
      <c r="P1812" t="s">
        <v>138</v>
      </c>
      <c r="Q1812">
        <v>40</v>
      </c>
      <c r="R1812">
        <v>0</v>
      </c>
      <c r="S1812">
        <v>0</v>
      </c>
      <c r="T1812">
        <v>0</v>
      </c>
      <c r="U1812" t="s">
        <v>1353</v>
      </c>
      <c r="V1812">
        <v>0</v>
      </c>
      <c r="W1812">
        <v>0</v>
      </c>
      <c r="X1812">
        <v>0</v>
      </c>
      <c r="Y1812">
        <v>25</v>
      </c>
      <c r="Z1812" t="s">
        <v>111</v>
      </c>
      <c r="AA1812">
        <v>0</v>
      </c>
      <c r="AB1812" t="s">
        <v>111</v>
      </c>
      <c r="AC1812">
        <v>0</v>
      </c>
      <c r="AD1812" t="s">
        <v>416</v>
      </c>
      <c r="AE1812">
        <v>4</v>
      </c>
      <c r="AF1812">
        <v>1</v>
      </c>
      <c r="AG1812">
        <v>40</v>
      </c>
      <c r="AH1812" t="s">
        <v>111</v>
      </c>
      <c r="AI1812">
        <v>40</v>
      </c>
      <c r="AJ1812" t="s">
        <v>111</v>
      </c>
      <c r="AK1812" t="s">
        <v>111</v>
      </c>
      <c r="AL1812" t="s">
        <v>111</v>
      </c>
      <c r="AM1812">
        <v>0</v>
      </c>
      <c r="AN1812">
        <v>0</v>
      </c>
      <c r="AO1812">
        <v>0</v>
      </c>
      <c r="AP1812" t="s">
        <v>111</v>
      </c>
      <c r="AQ1812" t="s">
        <v>111</v>
      </c>
      <c r="AR1812" t="s">
        <v>111</v>
      </c>
      <c r="AS1812" t="s">
        <v>111</v>
      </c>
      <c r="AT1812" t="s">
        <v>111</v>
      </c>
      <c r="AU1812" t="s">
        <v>111</v>
      </c>
      <c r="AV1812" t="s">
        <v>111</v>
      </c>
      <c r="AW1812" t="s">
        <v>111</v>
      </c>
      <c r="AX1812" t="s">
        <v>111</v>
      </c>
      <c r="AY1812" t="s">
        <v>111</v>
      </c>
      <c r="AZ1812" t="s">
        <v>111</v>
      </c>
      <c r="BA1812" t="s">
        <v>111</v>
      </c>
      <c r="BB1812" t="s">
        <v>111</v>
      </c>
      <c r="BC1812" t="s">
        <v>111</v>
      </c>
      <c r="BD1812" t="s">
        <v>111</v>
      </c>
      <c r="BE1812" t="s">
        <v>111</v>
      </c>
      <c r="BF1812" t="s">
        <v>111</v>
      </c>
      <c r="BG1812" t="s">
        <v>111</v>
      </c>
      <c r="BH1812" t="s">
        <v>111</v>
      </c>
      <c r="BI1812" t="s">
        <v>111</v>
      </c>
      <c r="BJ1812" t="s">
        <v>111</v>
      </c>
      <c r="BK1812" t="s">
        <v>111</v>
      </c>
      <c r="BL1812" t="s">
        <v>111</v>
      </c>
      <c r="BM1812" t="s">
        <v>111</v>
      </c>
      <c r="BN1812" t="s">
        <v>111</v>
      </c>
      <c r="BO1812" t="s">
        <v>111</v>
      </c>
      <c r="BP1812" t="s">
        <v>111</v>
      </c>
      <c r="BQ1812" t="s">
        <v>111</v>
      </c>
      <c r="BR1812" t="s">
        <v>111</v>
      </c>
      <c r="BS1812" t="s">
        <v>111</v>
      </c>
      <c r="BT1812" t="s">
        <v>111</v>
      </c>
      <c r="BU1812" t="s">
        <v>111</v>
      </c>
      <c r="BV1812" t="s">
        <v>111</v>
      </c>
      <c r="BW1812" t="s">
        <v>111</v>
      </c>
      <c r="BX1812" t="s">
        <v>111</v>
      </c>
      <c r="BY1812" t="s">
        <v>111</v>
      </c>
      <c r="BZ1812" t="s">
        <v>111</v>
      </c>
      <c r="CA1812" t="s">
        <v>111</v>
      </c>
      <c r="CB1812" t="s">
        <v>111</v>
      </c>
      <c r="CC1812" t="s">
        <v>111</v>
      </c>
      <c r="CD1812" t="s">
        <v>111</v>
      </c>
      <c r="CE1812" t="s">
        <v>111</v>
      </c>
      <c r="CF1812" t="s">
        <v>111</v>
      </c>
      <c r="CG1812" t="s">
        <v>111</v>
      </c>
      <c r="CH1812" t="s">
        <v>111</v>
      </c>
      <c r="CI1812" t="s">
        <v>111</v>
      </c>
      <c r="CJ1812" t="s">
        <v>111</v>
      </c>
      <c r="CK1812" t="s">
        <v>111</v>
      </c>
      <c r="CL1812" t="s">
        <v>153</v>
      </c>
      <c r="CM1812" t="s">
        <v>198</v>
      </c>
      <c r="CN1812" t="s">
        <v>113</v>
      </c>
      <c r="CO1812" t="s">
        <v>111</v>
      </c>
      <c r="CP1812" t="s">
        <v>433</v>
      </c>
      <c r="CQ1812">
        <v>65</v>
      </c>
      <c r="CR1812">
        <v>2000</v>
      </c>
      <c r="CS1812">
        <v>200</v>
      </c>
      <c r="CT1812" t="s">
        <v>168</v>
      </c>
      <c r="CU1812">
        <v>0</v>
      </c>
      <c r="CV1812" t="s">
        <v>111</v>
      </c>
      <c r="CW1812" t="s">
        <v>111</v>
      </c>
      <c r="CX1812" t="s">
        <v>111</v>
      </c>
      <c r="CY1812">
        <v>0</v>
      </c>
      <c r="CZ1812" t="s">
        <v>111</v>
      </c>
      <c r="DA1812" t="s">
        <v>111</v>
      </c>
      <c r="DB1812" t="s">
        <v>111</v>
      </c>
      <c r="DC1812" t="s">
        <v>111</v>
      </c>
    </row>
    <row r="1813" spans="1:107">
      <c r="A1813">
        <v>950</v>
      </c>
      <c r="B1813" t="s">
        <v>107</v>
      </c>
      <c r="C1813" t="s">
        <v>4165</v>
      </c>
      <c r="D1813" t="s">
        <v>4996</v>
      </c>
      <c r="E1813" t="s">
        <v>4997</v>
      </c>
      <c r="F1813" t="s">
        <v>110</v>
      </c>
      <c r="G1813" t="s">
        <v>24</v>
      </c>
      <c r="H1813">
        <v>1.8</v>
      </c>
      <c r="I1813">
        <v>40</v>
      </c>
      <c r="J1813">
        <v>0</v>
      </c>
      <c r="K1813">
        <v>0</v>
      </c>
      <c r="L1813" t="s">
        <v>112</v>
      </c>
      <c r="M1813" t="s">
        <v>118</v>
      </c>
      <c r="N1813">
        <v>39</v>
      </c>
      <c r="O1813">
        <v>1</v>
      </c>
      <c r="P1813" t="s">
        <v>111</v>
      </c>
      <c r="Q1813">
        <v>34</v>
      </c>
      <c r="R1813">
        <v>0</v>
      </c>
      <c r="S1813">
        <v>0</v>
      </c>
      <c r="T1813">
        <v>0</v>
      </c>
      <c r="U1813" s="1" t="s">
        <v>4998</v>
      </c>
      <c r="V1813">
        <v>0</v>
      </c>
      <c r="W1813">
        <v>0</v>
      </c>
      <c r="X1813">
        <v>0</v>
      </c>
      <c r="Y1813">
        <v>250</v>
      </c>
      <c r="Z1813" t="s">
        <v>111</v>
      </c>
      <c r="AA1813">
        <v>0</v>
      </c>
      <c r="AB1813" t="s">
        <v>111</v>
      </c>
      <c r="AC1813">
        <v>0</v>
      </c>
      <c r="AD1813" t="s">
        <v>111</v>
      </c>
      <c r="AE1813">
        <v>0</v>
      </c>
      <c r="AF1813">
        <v>0</v>
      </c>
      <c r="AG1813" t="s">
        <v>111</v>
      </c>
      <c r="AH1813" t="s">
        <v>111</v>
      </c>
      <c r="AI1813" t="s">
        <v>111</v>
      </c>
      <c r="AJ1813" t="s">
        <v>111</v>
      </c>
      <c r="AK1813" t="s">
        <v>111</v>
      </c>
      <c r="AL1813" t="s">
        <v>111</v>
      </c>
      <c r="AM1813">
        <v>0</v>
      </c>
      <c r="AN1813">
        <v>0</v>
      </c>
      <c r="AO1813">
        <v>0</v>
      </c>
      <c r="AP1813" t="s">
        <v>111</v>
      </c>
      <c r="AQ1813" t="s">
        <v>111</v>
      </c>
      <c r="AR1813" t="s">
        <v>111</v>
      </c>
      <c r="AS1813" t="s">
        <v>111</v>
      </c>
      <c r="AT1813" t="s">
        <v>111</v>
      </c>
      <c r="AU1813" t="s">
        <v>111</v>
      </c>
      <c r="AV1813" t="s">
        <v>111</v>
      </c>
      <c r="AW1813" t="s">
        <v>111</v>
      </c>
      <c r="AX1813" t="s">
        <v>111</v>
      </c>
      <c r="AY1813" t="s">
        <v>111</v>
      </c>
      <c r="AZ1813" t="s">
        <v>111</v>
      </c>
      <c r="BA1813" t="s">
        <v>111</v>
      </c>
      <c r="BB1813" t="s">
        <v>111</v>
      </c>
      <c r="BC1813" t="s">
        <v>111</v>
      </c>
      <c r="BD1813" t="s">
        <v>111</v>
      </c>
      <c r="BE1813" t="s">
        <v>111</v>
      </c>
      <c r="BF1813" t="s">
        <v>111</v>
      </c>
      <c r="BG1813" t="s">
        <v>111</v>
      </c>
      <c r="BH1813" t="s">
        <v>111</v>
      </c>
      <c r="BI1813" t="s">
        <v>111</v>
      </c>
      <c r="BJ1813" t="s">
        <v>111</v>
      </c>
      <c r="BK1813" t="s">
        <v>111</v>
      </c>
      <c r="BL1813" t="s">
        <v>111</v>
      </c>
      <c r="BM1813" t="s">
        <v>111</v>
      </c>
      <c r="BN1813" t="s">
        <v>111</v>
      </c>
      <c r="BO1813" t="s">
        <v>111</v>
      </c>
      <c r="BP1813" t="s">
        <v>111</v>
      </c>
      <c r="BQ1813" t="s">
        <v>111</v>
      </c>
      <c r="BR1813" t="s">
        <v>111</v>
      </c>
      <c r="BS1813" t="s">
        <v>111</v>
      </c>
      <c r="BT1813" t="s">
        <v>111</v>
      </c>
      <c r="BU1813" t="s">
        <v>111</v>
      </c>
      <c r="BV1813" t="s">
        <v>111</v>
      </c>
      <c r="BW1813" t="s">
        <v>111</v>
      </c>
      <c r="BX1813" t="s">
        <v>111</v>
      </c>
      <c r="BY1813" t="s">
        <v>111</v>
      </c>
      <c r="BZ1813" t="s">
        <v>111</v>
      </c>
      <c r="CA1813" t="s">
        <v>111</v>
      </c>
      <c r="CB1813" t="s">
        <v>111</v>
      </c>
      <c r="CC1813" t="s">
        <v>111</v>
      </c>
      <c r="CD1813" t="s">
        <v>111</v>
      </c>
      <c r="CE1813" t="s">
        <v>111</v>
      </c>
      <c r="CF1813" t="s">
        <v>111</v>
      </c>
      <c r="CG1813" t="s">
        <v>111</v>
      </c>
      <c r="CH1813" t="s">
        <v>111</v>
      </c>
      <c r="CI1813" t="s">
        <v>111</v>
      </c>
      <c r="CJ1813" t="s">
        <v>111</v>
      </c>
      <c r="CK1813" t="s">
        <v>111</v>
      </c>
      <c r="CL1813" t="s">
        <v>111</v>
      </c>
      <c r="CM1813" t="s">
        <v>111</v>
      </c>
      <c r="CN1813" t="s">
        <v>111</v>
      </c>
      <c r="CO1813" t="s">
        <v>111</v>
      </c>
      <c r="CP1813" t="s">
        <v>111</v>
      </c>
      <c r="CQ1813">
        <v>0</v>
      </c>
      <c r="CR1813">
        <v>0</v>
      </c>
      <c r="CS1813">
        <v>0</v>
      </c>
      <c r="CT1813" t="s">
        <v>111</v>
      </c>
      <c r="CU1813">
        <v>0</v>
      </c>
      <c r="CV1813" t="s">
        <v>111</v>
      </c>
      <c r="CW1813" t="s">
        <v>111</v>
      </c>
      <c r="CX1813" t="s">
        <v>111</v>
      </c>
      <c r="CY1813">
        <v>0</v>
      </c>
      <c r="CZ1813" t="s">
        <v>111</v>
      </c>
      <c r="DA1813" t="s">
        <v>111</v>
      </c>
      <c r="DB1813" t="s">
        <v>111</v>
      </c>
      <c r="DC1813" t="s">
        <v>111</v>
      </c>
    </row>
    <row r="1814" spans="1:107">
      <c r="A1814">
        <v>545</v>
      </c>
      <c r="B1814" t="s">
        <v>162</v>
      </c>
      <c r="C1814" t="s">
        <v>4999</v>
      </c>
      <c r="D1814" t="s">
        <v>4369</v>
      </c>
      <c r="E1814" t="s">
        <v>5000</v>
      </c>
      <c r="F1814" t="s">
        <v>1071</v>
      </c>
      <c r="G1814" t="s">
        <v>24</v>
      </c>
      <c r="H1814">
        <v>1.3</v>
      </c>
      <c r="I1814">
        <v>35</v>
      </c>
      <c r="J1814">
        <v>0</v>
      </c>
      <c r="K1814">
        <v>0</v>
      </c>
      <c r="L1814" t="s">
        <v>112</v>
      </c>
      <c r="M1814" t="s">
        <v>138</v>
      </c>
      <c r="N1814">
        <v>0</v>
      </c>
      <c r="O1814">
        <v>0</v>
      </c>
      <c r="P1814" t="s">
        <v>138</v>
      </c>
      <c r="Q1814">
        <v>30</v>
      </c>
      <c r="R1814">
        <v>0</v>
      </c>
      <c r="S1814">
        <v>0</v>
      </c>
      <c r="T1814">
        <v>0</v>
      </c>
      <c r="U1814" t="s">
        <v>153</v>
      </c>
      <c r="V1814">
        <v>0</v>
      </c>
      <c r="W1814">
        <v>0</v>
      </c>
      <c r="X1814">
        <v>0</v>
      </c>
      <c r="Y1814">
        <v>25</v>
      </c>
      <c r="Z1814" t="s">
        <v>111</v>
      </c>
      <c r="AA1814">
        <v>0</v>
      </c>
      <c r="AB1814" t="s">
        <v>111</v>
      </c>
      <c r="AC1814">
        <v>0</v>
      </c>
      <c r="AD1814" t="s">
        <v>111</v>
      </c>
      <c r="AE1814">
        <v>0</v>
      </c>
      <c r="AF1814">
        <v>0</v>
      </c>
      <c r="AG1814" t="s">
        <v>111</v>
      </c>
      <c r="AH1814" t="s">
        <v>111</v>
      </c>
      <c r="AI1814" t="s">
        <v>111</v>
      </c>
      <c r="AJ1814" t="s">
        <v>111</v>
      </c>
      <c r="AK1814" t="s">
        <v>111</v>
      </c>
      <c r="AL1814" t="s">
        <v>111</v>
      </c>
      <c r="AM1814">
        <v>0</v>
      </c>
      <c r="AN1814">
        <v>0</v>
      </c>
      <c r="AO1814">
        <v>0</v>
      </c>
      <c r="AP1814" t="s">
        <v>111</v>
      </c>
      <c r="AQ1814" t="s">
        <v>111</v>
      </c>
      <c r="AR1814" t="s">
        <v>111</v>
      </c>
      <c r="AS1814" t="s">
        <v>111</v>
      </c>
      <c r="AT1814" t="s">
        <v>111</v>
      </c>
      <c r="AU1814" t="s">
        <v>111</v>
      </c>
      <c r="AV1814" t="s">
        <v>111</v>
      </c>
      <c r="AW1814" t="s">
        <v>111</v>
      </c>
      <c r="AX1814" t="s">
        <v>111</v>
      </c>
      <c r="AY1814" t="s">
        <v>111</v>
      </c>
      <c r="AZ1814" t="s">
        <v>111</v>
      </c>
      <c r="BA1814" t="s">
        <v>111</v>
      </c>
      <c r="BB1814" t="s">
        <v>111</v>
      </c>
      <c r="BC1814" t="s">
        <v>111</v>
      </c>
      <c r="BD1814" t="s">
        <v>111</v>
      </c>
      <c r="BE1814" t="s">
        <v>111</v>
      </c>
      <c r="BF1814" t="s">
        <v>111</v>
      </c>
      <c r="BG1814" t="s">
        <v>111</v>
      </c>
      <c r="BH1814" t="s">
        <v>111</v>
      </c>
      <c r="BI1814" t="s">
        <v>111</v>
      </c>
      <c r="BJ1814" t="s">
        <v>111</v>
      </c>
      <c r="BK1814" t="s">
        <v>111</v>
      </c>
      <c r="BL1814" t="s">
        <v>111</v>
      </c>
      <c r="BM1814" t="s">
        <v>111</v>
      </c>
      <c r="BN1814" t="s">
        <v>111</v>
      </c>
      <c r="BO1814" t="s">
        <v>111</v>
      </c>
      <c r="BP1814" t="s">
        <v>111</v>
      </c>
      <c r="BQ1814" t="s">
        <v>111</v>
      </c>
      <c r="BR1814" t="s">
        <v>111</v>
      </c>
      <c r="BS1814" t="s">
        <v>111</v>
      </c>
      <c r="BT1814" t="s">
        <v>111</v>
      </c>
      <c r="BU1814" t="s">
        <v>111</v>
      </c>
      <c r="BV1814" t="s">
        <v>111</v>
      </c>
      <c r="BW1814" t="s">
        <v>111</v>
      </c>
      <c r="BX1814" t="s">
        <v>111</v>
      </c>
      <c r="BY1814" t="s">
        <v>111</v>
      </c>
      <c r="BZ1814" t="s">
        <v>111</v>
      </c>
      <c r="CA1814" t="s">
        <v>111</v>
      </c>
      <c r="CB1814" t="s">
        <v>111</v>
      </c>
      <c r="CC1814" t="s">
        <v>111</v>
      </c>
      <c r="CD1814" t="s">
        <v>111</v>
      </c>
      <c r="CE1814" t="s">
        <v>111</v>
      </c>
      <c r="CF1814" t="s">
        <v>111</v>
      </c>
      <c r="CG1814" t="s">
        <v>111</v>
      </c>
      <c r="CH1814" t="s">
        <v>111</v>
      </c>
      <c r="CI1814" t="s">
        <v>111</v>
      </c>
      <c r="CJ1814" t="s">
        <v>111</v>
      </c>
      <c r="CK1814" t="s">
        <v>111</v>
      </c>
      <c r="CL1814" t="s">
        <v>111</v>
      </c>
      <c r="CM1814" t="s">
        <v>198</v>
      </c>
      <c r="CN1814" t="s">
        <v>113</v>
      </c>
      <c r="CO1814" t="s">
        <v>111</v>
      </c>
      <c r="CP1814" t="s">
        <v>111</v>
      </c>
      <c r="CQ1814">
        <v>0</v>
      </c>
      <c r="CR1814">
        <v>0</v>
      </c>
      <c r="CS1814">
        <v>0</v>
      </c>
      <c r="CT1814" t="s">
        <v>168</v>
      </c>
      <c r="CU1814">
        <v>0</v>
      </c>
      <c r="CV1814" t="s">
        <v>111</v>
      </c>
      <c r="CW1814" t="s">
        <v>111</v>
      </c>
      <c r="CX1814" t="s">
        <v>111</v>
      </c>
      <c r="CY1814">
        <v>0</v>
      </c>
      <c r="CZ1814" t="s">
        <v>111</v>
      </c>
      <c r="DA1814" t="s">
        <v>111</v>
      </c>
      <c r="DB1814" t="s">
        <v>111</v>
      </c>
      <c r="DC1814" t="s">
        <v>111</v>
      </c>
    </row>
    <row r="1815" spans="1:107">
      <c r="A1815">
        <v>719</v>
      </c>
      <c r="B1815" t="s">
        <v>107</v>
      </c>
      <c r="C1815" t="s">
        <v>1643</v>
      </c>
      <c r="D1815" t="s">
        <v>4988</v>
      </c>
      <c r="E1815" t="s">
        <v>5001</v>
      </c>
      <c r="F1815" t="s">
        <v>2211</v>
      </c>
      <c r="G1815" t="s">
        <v>24</v>
      </c>
      <c r="H1815">
        <v>1</v>
      </c>
      <c r="I1815">
        <v>40</v>
      </c>
      <c r="J1815">
        <v>0</v>
      </c>
      <c r="K1815">
        <v>0</v>
      </c>
      <c r="L1815" t="s">
        <v>4438</v>
      </c>
      <c r="M1815" t="s">
        <v>138</v>
      </c>
      <c r="N1815">
        <v>0</v>
      </c>
      <c r="O1815">
        <v>0</v>
      </c>
      <c r="P1815" t="s">
        <v>138</v>
      </c>
      <c r="Q1815">
        <v>35</v>
      </c>
      <c r="R1815">
        <v>0</v>
      </c>
      <c r="S1815">
        <v>0</v>
      </c>
      <c r="T1815">
        <v>0</v>
      </c>
      <c r="U1815" s="1" t="s">
        <v>5002</v>
      </c>
      <c r="V1815">
        <v>0</v>
      </c>
      <c r="W1815">
        <v>0</v>
      </c>
      <c r="X1815">
        <v>0</v>
      </c>
      <c r="Y1815">
        <v>25</v>
      </c>
      <c r="Z1815" t="s">
        <v>111</v>
      </c>
      <c r="AA1815">
        <v>0</v>
      </c>
      <c r="AB1815" t="s">
        <v>5003</v>
      </c>
      <c r="AC1815">
        <v>0</v>
      </c>
      <c r="AD1815" t="s">
        <v>111</v>
      </c>
      <c r="AE1815">
        <v>0</v>
      </c>
      <c r="AF1815">
        <v>0</v>
      </c>
      <c r="AG1815" t="s">
        <v>111</v>
      </c>
      <c r="AH1815" t="s">
        <v>111</v>
      </c>
      <c r="AI1815" t="s">
        <v>111</v>
      </c>
      <c r="AJ1815" t="s">
        <v>111</v>
      </c>
      <c r="AK1815" t="s">
        <v>111</v>
      </c>
      <c r="AL1815" t="s">
        <v>111</v>
      </c>
      <c r="AM1815">
        <v>0</v>
      </c>
      <c r="AN1815">
        <v>0</v>
      </c>
      <c r="AO1815">
        <v>0</v>
      </c>
      <c r="AP1815" t="s">
        <v>111</v>
      </c>
      <c r="AQ1815" t="s">
        <v>111</v>
      </c>
      <c r="AR1815" t="s">
        <v>111</v>
      </c>
      <c r="AS1815" t="s">
        <v>111</v>
      </c>
      <c r="AT1815" t="s">
        <v>111</v>
      </c>
      <c r="AU1815" t="s">
        <v>111</v>
      </c>
      <c r="AV1815" t="s">
        <v>111</v>
      </c>
      <c r="AW1815" t="s">
        <v>111</v>
      </c>
      <c r="AX1815" t="s">
        <v>111</v>
      </c>
      <c r="AY1815" t="s">
        <v>111</v>
      </c>
      <c r="AZ1815" t="s">
        <v>111</v>
      </c>
      <c r="BA1815" t="s">
        <v>111</v>
      </c>
      <c r="BB1815" t="s">
        <v>111</v>
      </c>
      <c r="BC1815" t="s">
        <v>111</v>
      </c>
      <c r="BD1815" t="s">
        <v>111</v>
      </c>
      <c r="BE1815" t="s">
        <v>111</v>
      </c>
      <c r="BF1815" t="s">
        <v>111</v>
      </c>
      <c r="BG1815" t="s">
        <v>111</v>
      </c>
      <c r="BH1815" t="s">
        <v>111</v>
      </c>
      <c r="BI1815" t="s">
        <v>111</v>
      </c>
      <c r="BJ1815" t="s">
        <v>111</v>
      </c>
      <c r="BK1815" t="s">
        <v>111</v>
      </c>
      <c r="BL1815" t="s">
        <v>111</v>
      </c>
      <c r="BM1815" t="s">
        <v>111</v>
      </c>
      <c r="BN1815" t="s">
        <v>111</v>
      </c>
      <c r="BO1815" t="s">
        <v>111</v>
      </c>
      <c r="BP1815" t="s">
        <v>111</v>
      </c>
      <c r="BQ1815" t="s">
        <v>111</v>
      </c>
      <c r="BR1815" t="s">
        <v>111</v>
      </c>
      <c r="BS1815" t="s">
        <v>111</v>
      </c>
      <c r="BT1815" t="s">
        <v>111</v>
      </c>
      <c r="BU1815" t="s">
        <v>111</v>
      </c>
      <c r="BV1815" t="s">
        <v>111</v>
      </c>
      <c r="BW1815" t="s">
        <v>111</v>
      </c>
      <c r="BX1815" t="s">
        <v>111</v>
      </c>
      <c r="BY1815" t="s">
        <v>111</v>
      </c>
      <c r="BZ1815" t="s">
        <v>111</v>
      </c>
      <c r="CA1815" t="s">
        <v>111</v>
      </c>
      <c r="CB1815" t="s">
        <v>111</v>
      </c>
      <c r="CC1815" t="s">
        <v>111</v>
      </c>
      <c r="CD1815" t="s">
        <v>111</v>
      </c>
      <c r="CE1815" t="s">
        <v>111</v>
      </c>
      <c r="CF1815" t="s">
        <v>111</v>
      </c>
      <c r="CG1815" t="s">
        <v>111</v>
      </c>
      <c r="CH1815" t="s">
        <v>111</v>
      </c>
      <c r="CI1815" t="s">
        <v>111</v>
      </c>
      <c r="CJ1815" t="s">
        <v>111</v>
      </c>
      <c r="CK1815" t="s">
        <v>111</v>
      </c>
      <c r="CL1815" t="s">
        <v>111</v>
      </c>
      <c r="CM1815" t="s">
        <v>111</v>
      </c>
      <c r="CN1815" t="s">
        <v>111</v>
      </c>
      <c r="CO1815" t="s">
        <v>111</v>
      </c>
      <c r="CP1815" t="s">
        <v>111</v>
      </c>
      <c r="CQ1815">
        <v>0</v>
      </c>
      <c r="CR1815">
        <v>0</v>
      </c>
      <c r="CS1815">
        <v>0</v>
      </c>
      <c r="CT1815" t="s">
        <v>111</v>
      </c>
      <c r="CU1815">
        <v>0</v>
      </c>
      <c r="CV1815" t="s">
        <v>111</v>
      </c>
      <c r="CW1815" t="s">
        <v>111</v>
      </c>
      <c r="CX1815" t="s">
        <v>111</v>
      </c>
      <c r="CY1815">
        <v>0</v>
      </c>
      <c r="CZ1815" t="s">
        <v>111</v>
      </c>
      <c r="DA1815" t="s">
        <v>111</v>
      </c>
      <c r="DB1815" t="s">
        <v>111</v>
      </c>
      <c r="DC1815" t="s">
        <v>111</v>
      </c>
    </row>
    <row r="1816" spans="1:107">
      <c r="A1816">
        <v>667</v>
      </c>
      <c r="B1816" t="s">
        <v>162</v>
      </c>
      <c r="C1816" s="2">
        <v>71742228</v>
      </c>
      <c r="D1816" t="s">
        <v>5004</v>
      </c>
      <c r="E1816" t="s">
        <v>5005</v>
      </c>
      <c r="F1816" t="s">
        <v>1651</v>
      </c>
      <c r="G1816" t="s">
        <v>24</v>
      </c>
      <c r="H1816">
        <v>1.9</v>
      </c>
      <c r="I1816">
        <v>38</v>
      </c>
      <c r="J1816">
        <v>0</v>
      </c>
      <c r="K1816">
        <v>0</v>
      </c>
      <c r="L1816" t="s">
        <v>112</v>
      </c>
      <c r="M1816" t="s">
        <v>118</v>
      </c>
      <c r="N1816">
        <v>40</v>
      </c>
      <c r="O1816">
        <v>1</v>
      </c>
      <c r="P1816" t="s">
        <v>138</v>
      </c>
      <c r="Q1816">
        <v>30</v>
      </c>
      <c r="R1816">
        <v>0</v>
      </c>
      <c r="S1816">
        <v>0</v>
      </c>
      <c r="T1816">
        <v>0</v>
      </c>
      <c r="U1816" t="s">
        <v>1353</v>
      </c>
      <c r="V1816">
        <v>0</v>
      </c>
      <c r="W1816">
        <v>0</v>
      </c>
      <c r="X1816">
        <v>0</v>
      </c>
      <c r="Y1816">
        <v>25</v>
      </c>
      <c r="Z1816" t="s">
        <v>111</v>
      </c>
      <c r="AA1816">
        <v>0</v>
      </c>
      <c r="AB1816" t="s">
        <v>111</v>
      </c>
      <c r="AC1816">
        <v>0</v>
      </c>
      <c r="AD1816" t="s">
        <v>416</v>
      </c>
      <c r="AE1816">
        <v>3</v>
      </c>
      <c r="AF1816">
        <v>1</v>
      </c>
      <c r="AG1816">
        <v>32</v>
      </c>
      <c r="AH1816" t="s">
        <v>111</v>
      </c>
      <c r="AI1816">
        <v>32</v>
      </c>
      <c r="AJ1816" t="s">
        <v>111</v>
      </c>
      <c r="AK1816" t="s">
        <v>111</v>
      </c>
      <c r="AL1816" t="s">
        <v>111</v>
      </c>
      <c r="AM1816">
        <v>0</v>
      </c>
      <c r="AN1816">
        <v>0</v>
      </c>
      <c r="AO1816">
        <v>0</v>
      </c>
      <c r="AP1816" t="s">
        <v>111</v>
      </c>
      <c r="AQ1816" t="s">
        <v>111</v>
      </c>
      <c r="AR1816" t="s">
        <v>111</v>
      </c>
      <c r="AS1816" t="s">
        <v>111</v>
      </c>
      <c r="AT1816" t="s">
        <v>111</v>
      </c>
      <c r="AU1816" t="s">
        <v>111</v>
      </c>
      <c r="AV1816" t="s">
        <v>111</v>
      </c>
      <c r="AW1816" t="s">
        <v>111</v>
      </c>
      <c r="AX1816" t="s">
        <v>111</v>
      </c>
      <c r="AY1816" t="s">
        <v>111</v>
      </c>
      <c r="AZ1816" t="s">
        <v>111</v>
      </c>
      <c r="BA1816" t="s">
        <v>111</v>
      </c>
      <c r="BB1816" t="s">
        <v>111</v>
      </c>
      <c r="BC1816" t="s">
        <v>111</v>
      </c>
      <c r="BD1816" t="s">
        <v>111</v>
      </c>
      <c r="BE1816" t="s">
        <v>111</v>
      </c>
      <c r="BF1816" t="s">
        <v>111</v>
      </c>
      <c r="BG1816" t="s">
        <v>111</v>
      </c>
      <c r="BH1816" t="s">
        <v>111</v>
      </c>
      <c r="BI1816" t="s">
        <v>111</v>
      </c>
      <c r="BJ1816" t="s">
        <v>111</v>
      </c>
      <c r="BK1816" t="s">
        <v>111</v>
      </c>
      <c r="BL1816" t="s">
        <v>111</v>
      </c>
      <c r="BM1816" t="s">
        <v>111</v>
      </c>
      <c r="BN1816" t="s">
        <v>111</v>
      </c>
      <c r="BO1816" t="s">
        <v>111</v>
      </c>
      <c r="BP1816" t="s">
        <v>111</v>
      </c>
      <c r="BQ1816" t="s">
        <v>111</v>
      </c>
      <c r="BR1816" t="s">
        <v>111</v>
      </c>
      <c r="BS1816" t="s">
        <v>111</v>
      </c>
      <c r="BT1816" t="s">
        <v>111</v>
      </c>
      <c r="BU1816" t="s">
        <v>111</v>
      </c>
      <c r="BV1816" t="s">
        <v>111</v>
      </c>
      <c r="BW1816" t="s">
        <v>111</v>
      </c>
      <c r="BX1816" t="s">
        <v>111</v>
      </c>
      <c r="BY1816" t="s">
        <v>111</v>
      </c>
      <c r="BZ1816" t="s">
        <v>111</v>
      </c>
      <c r="CA1816" t="s">
        <v>111</v>
      </c>
      <c r="CB1816" t="s">
        <v>111</v>
      </c>
      <c r="CC1816" t="s">
        <v>111</v>
      </c>
      <c r="CD1816" t="s">
        <v>111</v>
      </c>
      <c r="CE1816" t="s">
        <v>111</v>
      </c>
      <c r="CF1816" t="s">
        <v>111</v>
      </c>
      <c r="CG1816" t="s">
        <v>111</v>
      </c>
      <c r="CH1816" t="s">
        <v>111</v>
      </c>
      <c r="CI1816" t="s">
        <v>111</v>
      </c>
      <c r="CJ1816" t="s">
        <v>111</v>
      </c>
      <c r="CK1816" t="s">
        <v>111</v>
      </c>
      <c r="CL1816" t="s">
        <v>153</v>
      </c>
      <c r="CM1816" t="s">
        <v>198</v>
      </c>
      <c r="CN1816" t="s">
        <v>113</v>
      </c>
      <c r="CO1816" t="s">
        <v>111</v>
      </c>
      <c r="CP1816" t="s">
        <v>433</v>
      </c>
      <c r="CQ1816">
        <v>0</v>
      </c>
      <c r="CR1816">
        <v>0</v>
      </c>
      <c r="CS1816">
        <v>0</v>
      </c>
      <c r="CT1816" t="s">
        <v>168</v>
      </c>
      <c r="CU1816">
        <v>0</v>
      </c>
      <c r="CV1816" t="s">
        <v>111</v>
      </c>
      <c r="CW1816" t="s">
        <v>111</v>
      </c>
      <c r="CX1816" t="s">
        <v>111</v>
      </c>
      <c r="CY1816">
        <v>0</v>
      </c>
      <c r="CZ1816" t="s">
        <v>111</v>
      </c>
      <c r="DA1816" t="s">
        <v>111</v>
      </c>
      <c r="DB1816" t="s">
        <v>111</v>
      </c>
      <c r="DC1816" t="s">
        <v>111</v>
      </c>
    </row>
    <row r="1817" spans="1:107">
      <c r="A1817">
        <v>704</v>
      </c>
      <c r="B1817" t="s">
        <v>107</v>
      </c>
      <c r="C1817" t="s">
        <v>928</v>
      </c>
      <c r="D1817" t="s">
        <v>4478</v>
      </c>
      <c r="E1817" t="s">
        <v>4528</v>
      </c>
      <c r="F1817" t="s">
        <v>1651</v>
      </c>
      <c r="G1817" t="s">
        <v>24</v>
      </c>
      <c r="H1817">
        <v>1</v>
      </c>
      <c r="I1817">
        <v>34</v>
      </c>
      <c r="J1817">
        <v>0</v>
      </c>
      <c r="K1817">
        <v>0</v>
      </c>
      <c r="L1817" t="s">
        <v>112</v>
      </c>
      <c r="M1817" t="s">
        <v>118</v>
      </c>
      <c r="N1817">
        <v>0</v>
      </c>
      <c r="O1817">
        <v>1</v>
      </c>
      <c r="P1817" t="s">
        <v>138</v>
      </c>
      <c r="Q1817">
        <v>35.700000000000003</v>
      </c>
      <c r="R1817">
        <v>0</v>
      </c>
      <c r="S1817">
        <v>0</v>
      </c>
      <c r="T1817">
        <v>8</v>
      </c>
      <c r="U1817" s="1" t="s">
        <v>5006</v>
      </c>
      <c r="V1817">
        <v>0</v>
      </c>
      <c r="W1817">
        <v>0</v>
      </c>
      <c r="X1817">
        <v>0</v>
      </c>
      <c r="Y1817">
        <v>25</v>
      </c>
      <c r="Z1817" t="s">
        <v>111</v>
      </c>
      <c r="AA1817">
        <v>0</v>
      </c>
      <c r="AB1817" t="s">
        <v>5007</v>
      </c>
      <c r="AC1817">
        <v>0.3</v>
      </c>
      <c r="AD1817" t="s">
        <v>493</v>
      </c>
      <c r="AE1817">
        <v>3</v>
      </c>
      <c r="AF1817">
        <v>1</v>
      </c>
      <c r="AG1817">
        <v>-25</v>
      </c>
      <c r="AH1817" t="s">
        <v>113</v>
      </c>
      <c r="AI1817">
        <v>-51</v>
      </c>
      <c r="AJ1817" t="s">
        <v>111</v>
      </c>
      <c r="AK1817" t="s">
        <v>111</v>
      </c>
      <c r="AL1817" t="s">
        <v>111</v>
      </c>
      <c r="AM1817">
        <v>0</v>
      </c>
      <c r="AN1817">
        <v>0</v>
      </c>
      <c r="AO1817">
        <v>0</v>
      </c>
      <c r="AP1817" t="s">
        <v>288</v>
      </c>
      <c r="AQ1817" t="s">
        <v>111</v>
      </c>
      <c r="AR1817" t="s">
        <v>111</v>
      </c>
      <c r="AS1817" t="s">
        <v>111</v>
      </c>
      <c r="AT1817" t="s">
        <v>5008</v>
      </c>
      <c r="AU1817" t="s">
        <v>111</v>
      </c>
      <c r="AV1817" t="s">
        <v>111</v>
      </c>
      <c r="AW1817" t="s">
        <v>111</v>
      </c>
      <c r="AX1817" t="s">
        <v>111</v>
      </c>
      <c r="AY1817" t="s">
        <v>111</v>
      </c>
      <c r="AZ1817" t="s">
        <v>111</v>
      </c>
      <c r="BA1817" t="s">
        <v>111</v>
      </c>
      <c r="BB1817" t="s">
        <v>111</v>
      </c>
      <c r="BC1817" t="s">
        <v>111</v>
      </c>
      <c r="BD1817" t="s">
        <v>111</v>
      </c>
      <c r="BE1817" t="s">
        <v>111</v>
      </c>
      <c r="BF1817" t="s">
        <v>111</v>
      </c>
      <c r="BG1817" t="s">
        <v>111</v>
      </c>
      <c r="BH1817" t="s">
        <v>111</v>
      </c>
      <c r="BI1817" t="s">
        <v>111</v>
      </c>
      <c r="BJ1817" t="s">
        <v>111</v>
      </c>
      <c r="BK1817" t="s">
        <v>111</v>
      </c>
      <c r="BL1817" t="s">
        <v>111</v>
      </c>
      <c r="BM1817" t="s">
        <v>111</v>
      </c>
      <c r="BN1817" t="s">
        <v>111</v>
      </c>
      <c r="BO1817" t="s">
        <v>111</v>
      </c>
      <c r="BP1817" t="s">
        <v>111</v>
      </c>
      <c r="BQ1817" t="s">
        <v>111</v>
      </c>
      <c r="BR1817" t="s">
        <v>111</v>
      </c>
      <c r="BS1817" t="s">
        <v>111</v>
      </c>
      <c r="BT1817" t="s">
        <v>111</v>
      </c>
      <c r="BU1817" t="s">
        <v>111</v>
      </c>
      <c r="BV1817" t="s">
        <v>111</v>
      </c>
      <c r="BW1817" t="s">
        <v>111</v>
      </c>
      <c r="BX1817" t="s">
        <v>111</v>
      </c>
      <c r="BY1817" t="s">
        <v>111</v>
      </c>
      <c r="BZ1817" t="s">
        <v>111</v>
      </c>
      <c r="CA1817" t="s">
        <v>111</v>
      </c>
      <c r="CB1817" t="s">
        <v>111</v>
      </c>
      <c r="CC1817" t="s">
        <v>111</v>
      </c>
      <c r="CD1817" t="s">
        <v>111</v>
      </c>
      <c r="CE1817" t="s">
        <v>111</v>
      </c>
      <c r="CF1817" t="s">
        <v>111</v>
      </c>
      <c r="CG1817" t="s">
        <v>111</v>
      </c>
      <c r="CH1817" t="s">
        <v>111</v>
      </c>
      <c r="CI1817" t="s">
        <v>111</v>
      </c>
      <c r="CJ1817" t="s">
        <v>111</v>
      </c>
      <c r="CK1817" t="s">
        <v>111</v>
      </c>
      <c r="CL1817" t="e">
        <f>-DESTINO SELLADO</f>
        <v>#NAME?</v>
      </c>
      <c r="CM1817" t="s">
        <v>438</v>
      </c>
      <c r="CN1817" t="s">
        <v>113</v>
      </c>
      <c r="CO1817" t="s">
        <v>111</v>
      </c>
      <c r="CP1817" t="e">
        <f>-MUESTRA</f>
        <v>#NAME?</v>
      </c>
      <c r="CQ1817">
        <v>98</v>
      </c>
      <c r="CR1817">
        <v>5000</v>
      </c>
      <c r="CS1817">
        <v>100</v>
      </c>
      <c r="CT1817" s="1" t="s">
        <v>5009</v>
      </c>
      <c r="CU1817">
        <v>0</v>
      </c>
      <c r="CV1817" t="s">
        <v>111</v>
      </c>
      <c r="CW1817" t="s">
        <v>111</v>
      </c>
      <c r="CX1817" t="s">
        <v>111</v>
      </c>
      <c r="CY1817">
        <v>0</v>
      </c>
      <c r="CZ1817" t="s">
        <v>111</v>
      </c>
      <c r="DA1817" t="s">
        <v>111</v>
      </c>
      <c r="DB1817" t="s">
        <v>111</v>
      </c>
      <c r="DC1817" t="s">
        <v>111</v>
      </c>
    </row>
    <row r="1818" spans="1:107">
      <c r="A1818">
        <v>708</v>
      </c>
      <c r="B1818" t="s">
        <v>107</v>
      </c>
      <c r="C1818" t="s">
        <v>1643</v>
      </c>
      <c r="D1818" t="s">
        <v>4321</v>
      </c>
      <c r="E1818" t="s">
        <v>5010</v>
      </c>
      <c r="F1818" t="s">
        <v>2211</v>
      </c>
      <c r="G1818" t="s">
        <v>24</v>
      </c>
      <c r="H1818">
        <v>1.1000000000000001</v>
      </c>
      <c r="I1818">
        <v>50</v>
      </c>
      <c r="J1818">
        <v>0</v>
      </c>
      <c r="K1818">
        <v>0</v>
      </c>
      <c r="L1818" t="s">
        <v>2054</v>
      </c>
      <c r="M1818" t="s">
        <v>138</v>
      </c>
      <c r="N1818">
        <v>0</v>
      </c>
      <c r="O1818">
        <v>0</v>
      </c>
      <c r="P1818" t="s">
        <v>138</v>
      </c>
      <c r="Q1818">
        <v>40</v>
      </c>
      <c r="R1818">
        <v>0</v>
      </c>
      <c r="S1818">
        <v>0</v>
      </c>
      <c r="T1818">
        <v>0</v>
      </c>
      <c r="U1818" s="1" t="s">
        <v>5011</v>
      </c>
      <c r="V1818">
        <v>0</v>
      </c>
      <c r="W1818">
        <v>0</v>
      </c>
      <c r="X1818">
        <v>0</v>
      </c>
      <c r="Y1818">
        <v>25</v>
      </c>
      <c r="Z1818" t="s">
        <v>111</v>
      </c>
      <c r="AA1818">
        <v>0</v>
      </c>
      <c r="AB1818" t="s">
        <v>4244</v>
      </c>
      <c r="AC1818">
        <v>300</v>
      </c>
      <c r="AD1818" t="s">
        <v>111</v>
      </c>
      <c r="AE1818">
        <v>0</v>
      </c>
      <c r="AF1818">
        <v>0</v>
      </c>
      <c r="AG1818" t="s">
        <v>111</v>
      </c>
      <c r="AH1818" t="s">
        <v>111</v>
      </c>
      <c r="AI1818" t="s">
        <v>111</v>
      </c>
      <c r="AJ1818" t="s">
        <v>111</v>
      </c>
      <c r="AK1818" t="s">
        <v>111</v>
      </c>
      <c r="AL1818" t="s">
        <v>111</v>
      </c>
      <c r="AM1818">
        <v>0</v>
      </c>
      <c r="AN1818">
        <v>0</v>
      </c>
      <c r="AO1818">
        <v>0</v>
      </c>
      <c r="AP1818" t="s">
        <v>111</v>
      </c>
      <c r="AQ1818" t="s">
        <v>111</v>
      </c>
      <c r="AR1818" t="s">
        <v>111</v>
      </c>
      <c r="AS1818" t="s">
        <v>111</v>
      </c>
      <c r="AT1818" t="s">
        <v>111</v>
      </c>
      <c r="AU1818" t="s">
        <v>111</v>
      </c>
      <c r="AV1818" t="s">
        <v>111</v>
      </c>
      <c r="AW1818" t="s">
        <v>111</v>
      </c>
      <c r="AX1818" t="s">
        <v>111</v>
      </c>
      <c r="AY1818" t="s">
        <v>111</v>
      </c>
      <c r="AZ1818" t="s">
        <v>111</v>
      </c>
      <c r="BA1818" t="s">
        <v>111</v>
      </c>
      <c r="BB1818" t="s">
        <v>111</v>
      </c>
      <c r="BC1818" t="s">
        <v>111</v>
      </c>
      <c r="BD1818" t="s">
        <v>111</v>
      </c>
      <c r="BE1818" t="s">
        <v>111</v>
      </c>
      <c r="BF1818" t="s">
        <v>111</v>
      </c>
      <c r="BG1818" t="s">
        <v>111</v>
      </c>
      <c r="BH1818" t="s">
        <v>111</v>
      </c>
      <c r="BI1818" t="s">
        <v>111</v>
      </c>
      <c r="BJ1818" t="s">
        <v>111</v>
      </c>
      <c r="BK1818" t="s">
        <v>111</v>
      </c>
      <c r="BL1818" t="s">
        <v>111</v>
      </c>
      <c r="BM1818" t="s">
        <v>111</v>
      </c>
      <c r="BN1818" t="s">
        <v>111</v>
      </c>
      <c r="BO1818" t="s">
        <v>111</v>
      </c>
      <c r="BP1818" t="s">
        <v>111</v>
      </c>
      <c r="BQ1818" t="s">
        <v>111</v>
      </c>
      <c r="BR1818" t="s">
        <v>111</v>
      </c>
      <c r="BS1818" t="s">
        <v>111</v>
      </c>
      <c r="BT1818" t="s">
        <v>111</v>
      </c>
      <c r="BU1818" t="s">
        <v>111</v>
      </c>
      <c r="BV1818" t="s">
        <v>111</v>
      </c>
      <c r="BW1818" t="s">
        <v>111</v>
      </c>
      <c r="BX1818" t="s">
        <v>111</v>
      </c>
      <c r="BY1818" t="s">
        <v>111</v>
      </c>
      <c r="BZ1818" t="s">
        <v>111</v>
      </c>
      <c r="CA1818" t="s">
        <v>111</v>
      </c>
      <c r="CB1818" t="s">
        <v>111</v>
      </c>
      <c r="CC1818" t="s">
        <v>111</v>
      </c>
      <c r="CD1818" t="s">
        <v>111</v>
      </c>
      <c r="CE1818" t="s">
        <v>111</v>
      </c>
      <c r="CF1818" t="s">
        <v>111</v>
      </c>
      <c r="CG1818" t="s">
        <v>111</v>
      </c>
      <c r="CH1818" t="s">
        <v>111</v>
      </c>
      <c r="CI1818" t="s">
        <v>111</v>
      </c>
      <c r="CJ1818" t="s">
        <v>111</v>
      </c>
      <c r="CK1818" t="s">
        <v>111</v>
      </c>
      <c r="CL1818" t="s">
        <v>111</v>
      </c>
      <c r="CM1818" t="s">
        <v>111</v>
      </c>
      <c r="CN1818" t="s">
        <v>111</v>
      </c>
      <c r="CO1818" t="s">
        <v>111</v>
      </c>
      <c r="CP1818" t="s">
        <v>111</v>
      </c>
      <c r="CQ1818">
        <v>0</v>
      </c>
      <c r="CR1818">
        <v>0</v>
      </c>
      <c r="CS1818">
        <v>0</v>
      </c>
      <c r="CT1818" t="s">
        <v>111</v>
      </c>
      <c r="CU1818">
        <v>0</v>
      </c>
      <c r="CV1818" t="s">
        <v>111</v>
      </c>
      <c r="CW1818" t="s">
        <v>111</v>
      </c>
      <c r="CX1818" t="s">
        <v>111</v>
      </c>
      <c r="CY1818">
        <v>0</v>
      </c>
      <c r="CZ1818" t="s">
        <v>111</v>
      </c>
      <c r="DA1818" t="s">
        <v>111</v>
      </c>
      <c r="DB1818" t="s">
        <v>111</v>
      </c>
      <c r="DC1818" t="s">
        <v>111</v>
      </c>
    </row>
    <row r="1819" spans="1:107">
      <c r="A1819">
        <v>709</v>
      </c>
      <c r="B1819" t="s">
        <v>107</v>
      </c>
      <c r="C1819" t="s">
        <v>1643</v>
      </c>
      <c r="D1819" t="s">
        <v>4058</v>
      </c>
      <c r="E1819" t="s">
        <v>5012</v>
      </c>
      <c r="F1819" t="s">
        <v>2211</v>
      </c>
      <c r="G1819" t="s">
        <v>24</v>
      </c>
      <c r="H1819">
        <v>1.3</v>
      </c>
      <c r="I1819">
        <v>30</v>
      </c>
      <c r="J1819">
        <v>0</v>
      </c>
      <c r="K1819">
        <v>0</v>
      </c>
      <c r="L1819" t="s">
        <v>2054</v>
      </c>
      <c r="M1819" t="s">
        <v>138</v>
      </c>
      <c r="N1819">
        <v>0</v>
      </c>
      <c r="O1819">
        <v>0</v>
      </c>
      <c r="P1819" t="s">
        <v>138</v>
      </c>
      <c r="Q1819">
        <v>30</v>
      </c>
      <c r="R1819">
        <v>0</v>
      </c>
      <c r="S1819">
        <v>0</v>
      </c>
      <c r="T1819">
        <v>0</v>
      </c>
      <c r="U1819" s="1" t="s">
        <v>5013</v>
      </c>
      <c r="V1819">
        <v>0</v>
      </c>
      <c r="W1819">
        <v>0</v>
      </c>
      <c r="X1819">
        <v>0</v>
      </c>
      <c r="Y1819">
        <v>25</v>
      </c>
      <c r="Z1819" t="s">
        <v>111</v>
      </c>
      <c r="AA1819">
        <v>0</v>
      </c>
      <c r="AB1819" t="s">
        <v>111</v>
      </c>
      <c r="AC1819">
        <v>0</v>
      </c>
      <c r="AD1819" t="s">
        <v>111</v>
      </c>
      <c r="AE1819">
        <v>0</v>
      </c>
      <c r="AF1819">
        <v>0</v>
      </c>
      <c r="AG1819" t="s">
        <v>111</v>
      </c>
      <c r="AH1819" t="s">
        <v>111</v>
      </c>
      <c r="AI1819" t="s">
        <v>111</v>
      </c>
      <c r="AJ1819" t="s">
        <v>111</v>
      </c>
      <c r="AK1819" t="s">
        <v>111</v>
      </c>
      <c r="AL1819" t="s">
        <v>111</v>
      </c>
      <c r="AM1819">
        <v>0</v>
      </c>
      <c r="AN1819">
        <v>0</v>
      </c>
      <c r="AO1819">
        <v>0</v>
      </c>
      <c r="AP1819" t="s">
        <v>111</v>
      </c>
      <c r="AQ1819" t="s">
        <v>111</v>
      </c>
      <c r="AR1819" t="s">
        <v>111</v>
      </c>
      <c r="AS1819" t="s">
        <v>111</v>
      </c>
      <c r="AT1819" t="s">
        <v>111</v>
      </c>
      <c r="AU1819" t="s">
        <v>111</v>
      </c>
      <c r="AV1819" t="s">
        <v>111</v>
      </c>
      <c r="AW1819" t="s">
        <v>111</v>
      </c>
      <c r="AX1819" t="s">
        <v>111</v>
      </c>
      <c r="AY1819" t="s">
        <v>111</v>
      </c>
      <c r="AZ1819" t="s">
        <v>111</v>
      </c>
      <c r="BA1819" t="s">
        <v>111</v>
      </c>
      <c r="BB1819" t="s">
        <v>111</v>
      </c>
      <c r="BC1819" t="s">
        <v>111</v>
      </c>
      <c r="BD1819" t="s">
        <v>111</v>
      </c>
      <c r="BE1819" t="s">
        <v>111</v>
      </c>
      <c r="BF1819" t="s">
        <v>111</v>
      </c>
      <c r="BG1819" t="s">
        <v>111</v>
      </c>
      <c r="BH1819" t="s">
        <v>111</v>
      </c>
      <c r="BI1819" t="s">
        <v>111</v>
      </c>
      <c r="BJ1819" t="s">
        <v>111</v>
      </c>
      <c r="BK1819" t="s">
        <v>111</v>
      </c>
      <c r="BL1819" t="s">
        <v>111</v>
      </c>
      <c r="BM1819" t="s">
        <v>111</v>
      </c>
      <c r="BN1819" t="s">
        <v>111</v>
      </c>
      <c r="BO1819" t="s">
        <v>111</v>
      </c>
      <c r="BP1819" t="s">
        <v>111</v>
      </c>
      <c r="BQ1819" t="s">
        <v>111</v>
      </c>
      <c r="BR1819" t="s">
        <v>111</v>
      </c>
      <c r="BS1819" t="s">
        <v>111</v>
      </c>
      <c r="BT1819" t="s">
        <v>111</v>
      </c>
      <c r="BU1819" t="s">
        <v>111</v>
      </c>
      <c r="BV1819" t="s">
        <v>111</v>
      </c>
      <c r="BW1819" t="s">
        <v>111</v>
      </c>
      <c r="BX1819" t="s">
        <v>111</v>
      </c>
      <c r="BY1819" t="s">
        <v>111</v>
      </c>
      <c r="BZ1819" t="s">
        <v>111</v>
      </c>
      <c r="CA1819" t="s">
        <v>111</v>
      </c>
      <c r="CB1819" t="s">
        <v>111</v>
      </c>
      <c r="CC1819" t="s">
        <v>111</v>
      </c>
      <c r="CD1819" t="s">
        <v>111</v>
      </c>
      <c r="CE1819" t="s">
        <v>111</v>
      </c>
      <c r="CF1819" t="s">
        <v>111</v>
      </c>
      <c r="CG1819" t="s">
        <v>111</v>
      </c>
      <c r="CH1819" t="s">
        <v>111</v>
      </c>
      <c r="CI1819" t="s">
        <v>111</v>
      </c>
      <c r="CJ1819" t="s">
        <v>111</v>
      </c>
      <c r="CK1819" t="s">
        <v>111</v>
      </c>
      <c r="CL1819" t="s">
        <v>111</v>
      </c>
      <c r="CM1819" t="s">
        <v>111</v>
      </c>
      <c r="CN1819" t="s">
        <v>111</v>
      </c>
      <c r="CO1819" t="s">
        <v>111</v>
      </c>
      <c r="CP1819" t="s">
        <v>111</v>
      </c>
      <c r="CQ1819">
        <v>0</v>
      </c>
      <c r="CR1819">
        <v>0</v>
      </c>
      <c r="CS1819">
        <v>0</v>
      </c>
      <c r="CT1819" t="s">
        <v>111</v>
      </c>
      <c r="CU1819">
        <v>0</v>
      </c>
      <c r="CV1819" t="s">
        <v>111</v>
      </c>
      <c r="CW1819" t="s">
        <v>111</v>
      </c>
      <c r="CX1819" t="s">
        <v>111</v>
      </c>
      <c r="CY1819">
        <v>0</v>
      </c>
      <c r="CZ1819" t="s">
        <v>111</v>
      </c>
      <c r="DA1819" t="s">
        <v>111</v>
      </c>
      <c r="DB1819" t="s">
        <v>111</v>
      </c>
      <c r="DC1819" t="s">
        <v>111</v>
      </c>
    </row>
    <row r="1820" spans="1:107">
      <c r="A1820">
        <v>712</v>
      </c>
      <c r="B1820" t="s">
        <v>107</v>
      </c>
      <c r="C1820" t="s">
        <v>4793</v>
      </c>
      <c r="D1820" t="s">
        <v>5014</v>
      </c>
      <c r="E1820" t="s">
        <v>5015</v>
      </c>
      <c r="F1820" t="s">
        <v>110</v>
      </c>
      <c r="G1820" t="s">
        <v>24</v>
      </c>
      <c r="H1820">
        <v>1</v>
      </c>
      <c r="I1820">
        <v>28</v>
      </c>
      <c r="J1820">
        <v>0</v>
      </c>
      <c r="K1820">
        <v>0</v>
      </c>
      <c r="L1820" t="s">
        <v>112</v>
      </c>
      <c r="M1820" t="s">
        <v>118</v>
      </c>
      <c r="N1820">
        <v>38</v>
      </c>
      <c r="O1820">
        <v>2</v>
      </c>
      <c r="P1820" t="s">
        <v>138</v>
      </c>
      <c r="Q1820">
        <v>25</v>
      </c>
      <c r="R1820">
        <v>0</v>
      </c>
      <c r="S1820">
        <v>0</v>
      </c>
      <c r="T1820">
        <v>0</v>
      </c>
      <c r="U1820" t="s">
        <v>5016</v>
      </c>
      <c r="V1820">
        <v>0</v>
      </c>
      <c r="W1820">
        <v>0</v>
      </c>
      <c r="X1820">
        <v>0</v>
      </c>
      <c r="Y1820">
        <v>25</v>
      </c>
      <c r="Z1820" t="s">
        <v>111</v>
      </c>
      <c r="AA1820">
        <v>0</v>
      </c>
      <c r="AB1820" t="s">
        <v>111</v>
      </c>
      <c r="AC1820">
        <v>0</v>
      </c>
      <c r="AD1820" t="s">
        <v>111</v>
      </c>
      <c r="AE1820">
        <v>0</v>
      </c>
      <c r="AF1820">
        <v>0</v>
      </c>
      <c r="AG1820" t="s">
        <v>111</v>
      </c>
      <c r="AH1820" t="s">
        <v>111</v>
      </c>
      <c r="AI1820" t="s">
        <v>111</v>
      </c>
      <c r="AJ1820" t="s">
        <v>111</v>
      </c>
      <c r="AK1820" t="s">
        <v>111</v>
      </c>
      <c r="AL1820" t="s">
        <v>111</v>
      </c>
      <c r="AM1820">
        <v>0</v>
      </c>
      <c r="AN1820">
        <v>0</v>
      </c>
      <c r="AO1820">
        <v>0</v>
      </c>
      <c r="AP1820" t="s">
        <v>111</v>
      </c>
      <c r="AQ1820" t="s">
        <v>111</v>
      </c>
      <c r="AR1820" t="s">
        <v>111</v>
      </c>
      <c r="AS1820" t="s">
        <v>111</v>
      </c>
      <c r="AT1820" t="s">
        <v>111</v>
      </c>
      <c r="AU1820" t="s">
        <v>111</v>
      </c>
      <c r="AV1820" t="s">
        <v>111</v>
      </c>
      <c r="AW1820" t="s">
        <v>111</v>
      </c>
      <c r="AX1820" t="s">
        <v>111</v>
      </c>
      <c r="AY1820" t="s">
        <v>111</v>
      </c>
      <c r="AZ1820" t="s">
        <v>111</v>
      </c>
      <c r="BA1820" t="s">
        <v>111</v>
      </c>
      <c r="BB1820" t="s">
        <v>111</v>
      </c>
      <c r="BC1820" t="s">
        <v>111</v>
      </c>
      <c r="BD1820" t="s">
        <v>111</v>
      </c>
      <c r="BE1820" t="s">
        <v>111</v>
      </c>
      <c r="BF1820" t="s">
        <v>111</v>
      </c>
      <c r="BG1820" t="s">
        <v>111</v>
      </c>
      <c r="BH1820" t="s">
        <v>111</v>
      </c>
      <c r="BI1820" t="s">
        <v>111</v>
      </c>
      <c r="BJ1820" t="s">
        <v>111</v>
      </c>
      <c r="BK1820" t="s">
        <v>111</v>
      </c>
      <c r="BL1820" t="s">
        <v>111</v>
      </c>
      <c r="BM1820" t="s">
        <v>111</v>
      </c>
      <c r="BN1820" t="s">
        <v>111</v>
      </c>
      <c r="BO1820" t="s">
        <v>111</v>
      </c>
      <c r="BP1820" t="s">
        <v>111</v>
      </c>
      <c r="BQ1820" t="s">
        <v>111</v>
      </c>
      <c r="BR1820" t="s">
        <v>111</v>
      </c>
      <c r="BS1820" t="s">
        <v>111</v>
      </c>
      <c r="BT1820" t="s">
        <v>111</v>
      </c>
      <c r="BU1820" t="s">
        <v>111</v>
      </c>
      <c r="BV1820" t="s">
        <v>111</v>
      </c>
      <c r="BW1820" t="s">
        <v>111</v>
      </c>
      <c r="BX1820" t="s">
        <v>111</v>
      </c>
      <c r="BY1820" t="s">
        <v>111</v>
      </c>
      <c r="BZ1820" t="s">
        <v>111</v>
      </c>
      <c r="CA1820" t="s">
        <v>111</v>
      </c>
      <c r="CB1820" t="s">
        <v>111</v>
      </c>
      <c r="CC1820" t="s">
        <v>111</v>
      </c>
      <c r="CD1820" t="s">
        <v>111</v>
      </c>
      <c r="CE1820" t="s">
        <v>111</v>
      </c>
      <c r="CF1820" t="s">
        <v>111</v>
      </c>
      <c r="CG1820" t="s">
        <v>111</v>
      </c>
      <c r="CH1820" t="s">
        <v>111</v>
      </c>
      <c r="CI1820" t="s">
        <v>111</v>
      </c>
      <c r="CJ1820" t="s">
        <v>111</v>
      </c>
      <c r="CK1820" t="s">
        <v>111</v>
      </c>
      <c r="CL1820" t="s">
        <v>111</v>
      </c>
      <c r="CM1820" t="s">
        <v>111</v>
      </c>
      <c r="CN1820" t="s">
        <v>111</v>
      </c>
      <c r="CO1820" t="s">
        <v>111</v>
      </c>
      <c r="CP1820" t="s">
        <v>111</v>
      </c>
      <c r="CQ1820">
        <v>0</v>
      </c>
      <c r="CR1820">
        <v>0</v>
      </c>
      <c r="CS1820">
        <v>0</v>
      </c>
      <c r="CT1820" t="s">
        <v>111</v>
      </c>
      <c r="CU1820">
        <v>0</v>
      </c>
      <c r="CV1820" t="s">
        <v>111</v>
      </c>
      <c r="CW1820" t="s">
        <v>111</v>
      </c>
      <c r="CX1820" t="s">
        <v>111</v>
      </c>
      <c r="CY1820">
        <v>0</v>
      </c>
      <c r="CZ1820" t="s">
        <v>111</v>
      </c>
      <c r="DA1820" t="s">
        <v>111</v>
      </c>
      <c r="DB1820" t="s">
        <v>111</v>
      </c>
      <c r="DC1820" t="s">
        <v>111</v>
      </c>
    </row>
    <row r="1821" spans="1:107">
      <c r="A1821">
        <v>695</v>
      </c>
      <c r="B1821" t="s">
        <v>162</v>
      </c>
      <c r="C1821" t="s">
        <v>4999</v>
      </c>
      <c r="D1821" t="s">
        <v>4753</v>
      </c>
      <c r="E1821" t="s">
        <v>4754</v>
      </c>
      <c r="F1821" t="s">
        <v>1071</v>
      </c>
      <c r="G1821" t="s">
        <v>24</v>
      </c>
      <c r="H1821">
        <v>1.3</v>
      </c>
      <c r="I1821">
        <v>28</v>
      </c>
      <c r="J1821">
        <v>0</v>
      </c>
      <c r="K1821">
        <v>0</v>
      </c>
      <c r="L1821" t="s">
        <v>112</v>
      </c>
      <c r="M1821" t="s">
        <v>138</v>
      </c>
      <c r="N1821">
        <v>0</v>
      </c>
      <c r="O1821">
        <v>0</v>
      </c>
      <c r="P1821" t="s">
        <v>138</v>
      </c>
      <c r="Q1821">
        <v>30</v>
      </c>
      <c r="R1821">
        <v>0</v>
      </c>
      <c r="S1821">
        <v>0</v>
      </c>
      <c r="T1821">
        <v>0</v>
      </c>
      <c r="U1821" s="1" t="s">
        <v>2873</v>
      </c>
      <c r="V1821">
        <v>0</v>
      </c>
      <c r="W1821">
        <v>0</v>
      </c>
      <c r="X1821">
        <v>0</v>
      </c>
      <c r="Y1821">
        <v>25</v>
      </c>
      <c r="Z1821" t="s">
        <v>111</v>
      </c>
      <c r="AA1821">
        <v>0</v>
      </c>
      <c r="AB1821" t="s">
        <v>111</v>
      </c>
      <c r="AC1821">
        <v>0</v>
      </c>
      <c r="AD1821" t="s">
        <v>111</v>
      </c>
      <c r="AE1821">
        <v>0</v>
      </c>
      <c r="AF1821">
        <v>0</v>
      </c>
      <c r="AG1821" t="s">
        <v>111</v>
      </c>
      <c r="AH1821" t="s">
        <v>111</v>
      </c>
      <c r="AI1821" t="s">
        <v>111</v>
      </c>
      <c r="AJ1821" t="s">
        <v>111</v>
      </c>
      <c r="AK1821" t="s">
        <v>111</v>
      </c>
      <c r="AL1821" t="s">
        <v>111</v>
      </c>
      <c r="AM1821">
        <v>0</v>
      </c>
      <c r="AN1821">
        <v>0</v>
      </c>
      <c r="AO1821">
        <v>0</v>
      </c>
      <c r="AP1821" t="s">
        <v>111</v>
      </c>
      <c r="AQ1821" t="s">
        <v>111</v>
      </c>
      <c r="AR1821" t="s">
        <v>111</v>
      </c>
      <c r="AS1821" t="s">
        <v>111</v>
      </c>
      <c r="AT1821" t="s">
        <v>111</v>
      </c>
      <c r="AU1821" t="s">
        <v>111</v>
      </c>
      <c r="AV1821" t="s">
        <v>111</v>
      </c>
      <c r="AW1821" t="s">
        <v>111</v>
      </c>
      <c r="AX1821" t="s">
        <v>111</v>
      </c>
      <c r="AY1821" t="s">
        <v>111</v>
      </c>
      <c r="AZ1821" t="s">
        <v>111</v>
      </c>
      <c r="BA1821" t="s">
        <v>111</v>
      </c>
      <c r="BB1821" t="s">
        <v>111</v>
      </c>
      <c r="BC1821" t="s">
        <v>111</v>
      </c>
      <c r="BD1821" t="s">
        <v>111</v>
      </c>
      <c r="BE1821" t="s">
        <v>111</v>
      </c>
      <c r="BF1821" t="s">
        <v>111</v>
      </c>
      <c r="BG1821" t="s">
        <v>111</v>
      </c>
      <c r="BH1821" t="s">
        <v>111</v>
      </c>
      <c r="BI1821" t="s">
        <v>111</v>
      </c>
      <c r="BJ1821" t="s">
        <v>111</v>
      </c>
      <c r="BK1821" t="s">
        <v>111</v>
      </c>
      <c r="BL1821" t="s">
        <v>111</v>
      </c>
      <c r="BM1821" t="s">
        <v>111</v>
      </c>
      <c r="BN1821" t="s">
        <v>111</v>
      </c>
      <c r="BO1821" t="s">
        <v>111</v>
      </c>
      <c r="BP1821" t="s">
        <v>111</v>
      </c>
      <c r="BQ1821" t="s">
        <v>111</v>
      </c>
      <c r="BR1821" t="s">
        <v>111</v>
      </c>
      <c r="BS1821" t="s">
        <v>111</v>
      </c>
      <c r="BT1821" t="s">
        <v>111</v>
      </c>
      <c r="BU1821" t="s">
        <v>111</v>
      </c>
      <c r="BV1821" t="s">
        <v>111</v>
      </c>
      <c r="BW1821" t="s">
        <v>111</v>
      </c>
      <c r="BX1821" t="s">
        <v>111</v>
      </c>
      <c r="BY1821" t="s">
        <v>111</v>
      </c>
      <c r="BZ1821" t="s">
        <v>111</v>
      </c>
      <c r="CA1821" t="s">
        <v>111</v>
      </c>
      <c r="CB1821" t="s">
        <v>111</v>
      </c>
      <c r="CC1821" t="s">
        <v>111</v>
      </c>
      <c r="CD1821" t="s">
        <v>111</v>
      </c>
      <c r="CE1821" t="s">
        <v>111</v>
      </c>
      <c r="CF1821" t="s">
        <v>111</v>
      </c>
      <c r="CG1821" t="s">
        <v>111</v>
      </c>
      <c r="CH1821" t="s">
        <v>111</v>
      </c>
      <c r="CI1821" t="s">
        <v>111</v>
      </c>
      <c r="CJ1821" t="s">
        <v>111</v>
      </c>
      <c r="CK1821" t="s">
        <v>111</v>
      </c>
      <c r="CL1821" t="s">
        <v>111</v>
      </c>
      <c r="CM1821" t="s">
        <v>198</v>
      </c>
      <c r="CN1821" t="s">
        <v>113</v>
      </c>
      <c r="CO1821" t="s">
        <v>111</v>
      </c>
      <c r="CP1821" t="s">
        <v>111</v>
      </c>
      <c r="CQ1821">
        <v>0</v>
      </c>
      <c r="CR1821">
        <v>0</v>
      </c>
      <c r="CS1821">
        <v>0</v>
      </c>
      <c r="CT1821" s="1" t="s">
        <v>5017</v>
      </c>
      <c r="CU1821">
        <v>0</v>
      </c>
      <c r="CV1821" t="s">
        <v>111</v>
      </c>
      <c r="CW1821" t="s">
        <v>111</v>
      </c>
      <c r="CX1821" t="s">
        <v>111</v>
      </c>
      <c r="CY1821">
        <v>0</v>
      </c>
      <c r="CZ1821" t="s">
        <v>111</v>
      </c>
      <c r="DA1821" t="s">
        <v>111</v>
      </c>
      <c r="DB1821" t="s">
        <v>111</v>
      </c>
      <c r="DC1821" t="s">
        <v>111</v>
      </c>
    </row>
    <row r="1822" spans="1:107">
      <c r="A1822">
        <v>716</v>
      </c>
      <c r="B1822" t="s">
        <v>107</v>
      </c>
      <c r="C1822" t="s">
        <v>272</v>
      </c>
      <c r="D1822" t="s">
        <v>5018</v>
      </c>
      <c r="E1822" t="s">
        <v>5019</v>
      </c>
      <c r="F1822" t="s">
        <v>1651</v>
      </c>
      <c r="G1822" t="s">
        <v>24</v>
      </c>
      <c r="H1822">
        <v>0.8</v>
      </c>
      <c r="I1822">
        <v>33</v>
      </c>
      <c r="J1822">
        <v>0</v>
      </c>
      <c r="K1822">
        <v>0</v>
      </c>
      <c r="L1822" t="s">
        <v>112</v>
      </c>
      <c r="M1822" t="s">
        <v>118</v>
      </c>
      <c r="N1822">
        <v>39</v>
      </c>
      <c r="O1822">
        <v>1</v>
      </c>
      <c r="P1822" t="s">
        <v>138</v>
      </c>
      <c r="Q1822">
        <v>37</v>
      </c>
      <c r="R1822">
        <v>0</v>
      </c>
      <c r="S1822">
        <v>0</v>
      </c>
      <c r="T1822">
        <v>0</v>
      </c>
      <c r="U1822" s="1" t="s">
        <v>5020</v>
      </c>
      <c r="V1822">
        <v>0</v>
      </c>
      <c r="W1822">
        <v>0</v>
      </c>
      <c r="X1822">
        <v>0</v>
      </c>
      <c r="Y1822">
        <v>25</v>
      </c>
      <c r="Z1822" t="s">
        <v>111</v>
      </c>
      <c r="AA1822">
        <v>0</v>
      </c>
      <c r="AB1822" t="s">
        <v>5021</v>
      </c>
      <c r="AC1822">
        <v>300</v>
      </c>
      <c r="AD1822" t="s">
        <v>416</v>
      </c>
      <c r="AE1822">
        <v>2</v>
      </c>
      <c r="AF1822">
        <v>1</v>
      </c>
      <c r="AG1822">
        <v>14</v>
      </c>
      <c r="AH1822" t="s">
        <v>113</v>
      </c>
      <c r="AI1822">
        <v>29</v>
      </c>
      <c r="AJ1822" t="s">
        <v>111</v>
      </c>
      <c r="AK1822" t="s">
        <v>111</v>
      </c>
      <c r="AL1822" t="s">
        <v>111</v>
      </c>
      <c r="AM1822">
        <v>0</v>
      </c>
      <c r="AN1822">
        <v>0</v>
      </c>
      <c r="AO1822">
        <v>0</v>
      </c>
      <c r="AP1822" t="s">
        <v>679</v>
      </c>
      <c r="AQ1822" t="s">
        <v>111</v>
      </c>
      <c r="AR1822" t="s">
        <v>111</v>
      </c>
      <c r="AS1822" t="s">
        <v>111</v>
      </c>
      <c r="AT1822" t="s">
        <v>271</v>
      </c>
      <c r="AU1822" t="s">
        <v>111</v>
      </c>
      <c r="AV1822" t="s">
        <v>111</v>
      </c>
      <c r="AW1822" t="s">
        <v>111</v>
      </c>
      <c r="AX1822" t="s">
        <v>111</v>
      </c>
      <c r="AY1822" t="s">
        <v>111</v>
      </c>
      <c r="AZ1822" t="s">
        <v>111</v>
      </c>
      <c r="BA1822" t="s">
        <v>111</v>
      </c>
      <c r="BB1822" t="s">
        <v>111</v>
      </c>
      <c r="BC1822" t="s">
        <v>111</v>
      </c>
      <c r="BD1822" t="s">
        <v>111</v>
      </c>
      <c r="BE1822" t="s">
        <v>111</v>
      </c>
      <c r="BF1822" t="s">
        <v>111</v>
      </c>
      <c r="BG1822" t="s">
        <v>111</v>
      </c>
      <c r="BH1822" t="s">
        <v>111</v>
      </c>
      <c r="BI1822" t="s">
        <v>111</v>
      </c>
      <c r="BJ1822" t="s">
        <v>111</v>
      </c>
      <c r="BK1822" t="s">
        <v>111</v>
      </c>
      <c r="BL1822" t="s">
        <v>111</v>
      </c>
      <c r="BM1822" t="s">
        <v>111</v>
      </c>
      <c r="BN1822" t="s">
        <v>111</v>
      </c>
      <c r="BO1822" t="s">
        <v>111</v>
      </c>
      <c r="BP1822" t="s">
        <v>111</v>
      </c>
      <c r="BQ1822" t="s">
        <v>111</v>
      </c>
      <c r="BR1822" t="s">
        <v>111</v>
      </c>
      <c r="BS1822" t="s">
        <v>111</v>
      </c>
      <c r="BT1822" t="s">
        <v>111</v>
      </c>
      <c r="BU1822" t="s">
        <v>111</v>
      </c>
      <c r="BV1822" t="s">
        <v>111</v>
      </c>
      <c r="BW1822" t="s">
        <v>111</v>
      </c>
      <c r="BX1822" t="s">
        <v>111</v>
      </c>
      <c r="BY1822" t="s">
        <v>111</v>
      </c>
      <c r="BZ1822" t="s">
        <v>111</v>
      </c>
      <c r="CA1822" t="s">
        <v>111</v>
      </c>
      <c r="CB1822" t="s">
        <v>111</v>
      </c>
      <c r="CC1822" t="s">
        <v>111</v>
      </c>
      <c r="CD1822" t="s">
        <v>111</v>
      </c>
      <c r="CE1822" t="s">
        <v>111</v>
      </c>
      <c r="CF1822" t="s">
        <v>111</v>
      </c>
      <c r="CG1822" t="s">
        <v>111</v>
      </c>
      <c r="CH1822" t="s">
        <v>111</v>
      </c>
      <c r="CI1822" t="s">
        <v>111</v>
      </c>
      <c r="CJ1822" t="s">
        <v>111</v>
      </c>
      <c r="CK1822" t="s">
        <v>111</v>
      </c>
      <c r="CL1822" t="e">
        <f>- DESTINO SELLADO</f>
        <v>#NAME?</v>
      </c>
      <c r="CM1822">
        <v>450</v>
      </c>
      <c r="CN1822" t="s">
        <v>113</v>
      </c>
      <c r="CO1822" t="s">
        <v>111</v>
      </c>
      <c r="CP1822" t="s">
        <v>111</v>
      </c>
      <c r="CQ1822">
        <v>0</v>
      </c>
      <c r="CR1822">
        <v>12000</v>
      </c>
      <c r="CS1822">
        <v>500</v>
      </c>
      <c r="CT1822" s="1" t="s">
        <v>5022</v>
      </c>
      <c r="CU1822">
        <v>0</v>
      </c>
      <c r="CV1822" t="s">
        <v>111</v>
      </c>
      <c r="CW1822" t="s">
        <v>111</v>
      </c>
      <c r="CX1822" t="s">
        <v>111</v>
      </c>
      <c r="CY1822">
        <v>0</v>
      </c>
      <c r="CZ1822" t="s">
        <v>111</v>
      </c>
      <c r="DA1822" t="s">
        <v>111</v>
      </c>
      <c r="DB1822" t="s">
        <v>111</v>
      </c>
      <c r="DC1822" t="s">
        <v>111</v>
      </c>
    </row>
    <row r="1823" spans="1:107">
      <c r="A1823">
        <v>694</v>
      </c>
      <c r="B1823" t="s">
        <v>162</v>
      </c>
      <c r="C1823" t="s">
        <v>801</v>
      </c>
      <c r="D1823" t="s">
        <v>5023</v>
      </c>
      <c r="E1823" t="s">
        <v>5024</v>
      </c>
      <c r="F1823" t="s">
        <v>1071</v>
      </c>
      <c r="G1823" t="s">
        <v>24</v>
      </c>
      <c r="H1823">
        <v>1.6</v>
      </c>
      <c r="I1823">
        <v>33</v>
      </c>
      <c r="J1823">
        <v>0</v>
      </c>
      <c r="K1823">
        <v>0</v>
      </c>
      <c r="L1823" t="s">
        <v>112</v>
      </c>
      <c r="M1823" t="s">
        <v>138</v>
      </c>
      <c r="N1823">
        <v>0</v>
      </c>
      <c r="O1823">
        <v>0</v>
      </c>
      <c r="P1823" t="s">
        <v>138</v>
      </c>
      <c r="Q1823">
        <v>33.700000000000003</v>
      </c>
      <c r="R1823">
        <v>0</v>
      </c>
      <c r="S1823">
        <v>0</v>
      </c>
      <c r="T1823">
        <v>0</v>
      </c>
      <c r="U1823" t="s">
        <v>153</v>
      </c>
      <c r="V1823">
        <v>0</v>
      </c>
      <c r="W1823">
        <v>0</v>
      </c>
      <c r="X1823">
        <v>0</v>
      </c>
      <c r="Y1823">
        <v>25</v>
      </c>
      <c r="Z1823" t="s">
        <v>111</v>
      </c>
      <c r="AA1823">
        <v>0</v>
      </c>
      <c r="AB1823" t="s">
        <v>111</v>
      </c>
      <c r="AC1823">
        <v>0</v>
      </c>
      <c r="AD1823" t="s">
        <v>111</v>
      </c>
      <c r="AE1823">
        <v>0</v>
      </c>
      <c r="AF1823">
        <v>0</v>
      </c>
      <c r="AG1823" t="s">
        <v>111</v>
      </c>
      <c r="AH1823" t="s">
        <v>111</v>
      </c>
      <c r="AI1823" t="s">
        <v>111</v>
      </c>
      <c r="AJ1823" t="s">
        <v>111</v>
      </c>
      <c r="AK1823" t="s">
        <v>111</v>
      </c>
      <c r="AL1823" t="s">
        <v>111</v>
      </c>
      <c r="AM1823">
        <v>0</v>
      </c>
      <c r="AN1823">
        <v>0</v>
      </c>
      <c r="AO1823">
        <v>0</v>
      </c>
      <c r="AP1823" t="s">
        <v>111</v>
      </c>
      <c r="AQ1823" t="s">
        <v>111</v>
      </c>
      <c r="AR1823" t="s">
        <v>111</v>
      </c>
      <c r="AS1823" t="s">
        <v>111</v>
      </c>
      <c r="AT1823" t="s">
        <v>111</v>
      </c>
      <c r="AU1823" t="s">
        <v>111</v>
      </c>
      <c r="AV1823" t="s">
        <v>111</v>
      </c>
      <c r="AW1823" t="s">
        <v>111</v>
      </c>
      <c r="AX1823" t="s">
        <v>111</v>
      </c>
      <c r="AY1823" t="s">
        <v>111</v>
      </c>
      <c r="AZ1823" t="s">
        <v>111</v>
      </c>
      <c r="BA1823" t="s">
        <v>111</v>
      </c>
      <c r="BB1823" t="s">
        <v>111</v>
      </c>
      <c r="BC1823" t="s">
        <v>111</v>
      </c>
      <c r="BD1823" t="s">
        <v>111</v>
      </c>
      <c r="BE1823" t="s">
        <v>111</v>
      </c>
      <c r="BF1823" t="s">
        <v>111</v>
      </c>
      <c r="BG1823" t="s">
        <v>111</v>
      </c>
      <c r="BH1823" t="s">
        <v>111</v>
      </c>
      <c r="BI1823" t="s">
        <v>111</v>
      </c>
      <c r="BJ1823" t="s">
        <v>111</v>
      </c>
      <c r="BK1823" t="s">
        <v>111</v>
      </c>
      <c r="BL1823" t="s">
        <v>111</v>
      </c>
      <c r="BM1823" t="s">
        <v>111</v>
      </c>
      <c r="BN1823" t="s">
        <v>111</v>
      </c>
      <c r="BO1823" t="s">
        <v>111</v>
      </c>
      <c r="BP1823" t="s">
        <v>111</v>
      </c>
      <c r="BQ1823" t="s">
        <v>111</v>
      </c>
      <c r="BR1823" t="s">
        <v>111</v>
      </c>
      <c r="BS1823" t="s">
        <v>111</v>
      </c>
      <c r="BT1823" t="s">
        <v>111</v>
      </c>
      <c r="BU1823" t="s">
        <v>111</v>
      </c>
      <c r="BV1823" t="s">
        <v>111</v>
      </c>
      <c r="BW1823" t="s">
        <v>111</v>
      </c>
      <c r="BX1823" t="s">
        <v>111</v>
      </c>
      <c r="BY1823" t="s">
        <v>111</v>
      </c>
      <c r="BZ1823" t="s">
        <v>111</v>
      </c>
      <c r="CA1823" t="s">
        <v>111</v>
      </c>
      <c r="CB1823" t="s">
        <v>111</v>
      </c>
      <c r="CC1823" t="s">
        <v>111</v>
      </c>
      <c r="CD1823" t="s">
        <v>111</v>
      </c>
      <c r="CE1823" t="s">
        <v>111</v>
      </c>
      <c r="CF1823" t="s">
        <v>111</v>
      </c>
      <c r="CG1823" t="s">
        <v>111</v>
      </c>
      <c r="CH1823" t="s">
        <v>111</v>
      </c>
      <c r="CI1823" t="s">
        <v>111</v>
      </c>
      <c r="CJ1823" t="s">
        <v>111</v>
      </c>
      <c r="CK1823" t="s">
        <v>111</v>
      </c>
      <c r="CL1823" t="s">
        <v>111</v>
      </c>
      <c r="CM1823" t="s">
        <v>198</v>
      </c>
      <c r="CN1823" t="s">
        <v>113</v>
      </c>
      <c r="CO1823" t="s">
        <v>111</v>
      </c>
      <c r="CP1823" t="s">
        <v>111</v>
      </c>
      <c r="CQ1823">
        <v>50</v>
      </c>
      <c r="CR1823">
        <v>4000</v>
      </c>
      <c r="CS1823">
        <v>100</v>
      </c>
      <c r="CT1823" s="1" t="s">
        <v>5017</v>
      </c>
      <c r="CU1823">
        <v>0</v>
      </c>
      <c r="CV1823" t="s">
        <v>111</v>
      </c>
      <c r="CW1823" t="s">
        <v>111</v>
      </c>
      <c r="CX1823" t="s">
        <v>111</v>
      </c>
      <c r="CY1823">
        <v>0</v>
      </c>
      <c r="CZ1823" t="s">
        <v>111</v>
      </c>
      <c r="DA1823" t="s">
        <v>111</v>
      </c>
      <c r="DB1823" t="s">
        <v>111</v>
      </c>
      <c r="DC1823" t="s">
        <v>111</v>
      </c>
    </row>
    <row r="1824" spans="1:107">
      <c r="A1824">
        <v>723</v>
      </c>
      <c r="B1824" t="s">
        <v>107</v>
      </c>
      <c r="C1824" t="s">
        <v>4165</v>
      </c>
      <c r="D1824" t="s">
        <v>3870</v>
      </c>
      <c r="E1824" t="s">
        <v>3871</v>
      </c>
      <c r="F1824" t="s">
        <v>110</v>
      </c>
      <c r="G1824" t="s">
        <v>24</v>
      </c>
      <c r="H1824">
        <v>1.7</v>
      </c>
      <c r="I1824">
        <v>35</v>
      </c>
      <c r="J1824">
        <v>0</v>
      </c>
      <c r="K1824">
        <v>0</v>
      </c>
      <c r="L1824" t="s">
        <v>112</v>
      </c>
      <c r="M1824" t="s">
        <v>118</v>
      </c>
      <c r="N1824">
        <v>39</v>
      </c>
      <c r="O1824">
        <v>1</v>
      </c>
      <c r="P1824" t="s">
        <v>138</v>
      </c>
      <c r="Q1824">
        <v>35</v>
      </c>
      <c r="R1824">
        <v>0</v>
      </c>
      <c r="S1824">
        <v>0</v>
      </c>
      <c r="T1824">
        <v>0</v>
      </c>
      <c r="U1824" s="1" t="s">
        <v>5025</v>
      </c>
      <c r="V1824">
        <v>0</v>
      </c>
      <c r="W1824">
        <v>0</v>
      </c>
      <c r="X1824">
        <v>0</v>
      </c>
      <c r="Y1824">
        <v>25</v>
      </c>
      <c r="Z1824" t="s">
        <v>111</v>
      </c>
      <c r="AA1824">
        <v>0</v>
      </c>
      <c r="AB1824" t="s">
        <v>111</v>
      </c>
      <c r="AC1824">
        <v>0</v>
      </c>
      <c r="AD1824" t="s">
        <v>111</v>
      </c>
      <c r="AE1824">
        <v>0</v>
      </c>
      <c r="AF1824">
        <v>0</v>
      </c>
      <c r="AG1824" t="s">
        <v>111</v>
      </c>
      <c r="AH1824" t="s">
        <v>111</v>
      </c>
      <c r="AI1824" t="s">
        <v>111</v>
      </c>
      <c r="AJ1824" t="s">
        <v>111</v>
      </c>
      <c r="AK1824" t="s">
        <v>111</v>
      </c>
      <c r="AL1824" t="s">
        <v>111</v>
      </c>
      <c r="AM1824">
        <v>0</v>
      </c>
      <c r="AN1824">
        <v>0</v>
      </c>
      <c r="AO1824">
        <v>0</v>
      </c>
      <c r="AP1824" t="s">
        <v>111</v>
      </c>
      <c r="AQ1824" t="s">
        <v>111</v>
      </c>
      <c r="AR1824" t="s">
        <v>111</v>
      </c>
      <c r="AS1824" t="s">
        <v>111</v>
      </c>
      <c r="AT1824" t="s">
        <v>111</v>
      </c>
      <c r="AU1824" t="s">
        <v>111</v>
      </c>
      <c r="AV1824" t="s">
        <v>111</v>
      </c>
      <c r="AW1824" t="s">
        <v>111</v>
      </c>
      <c r="AX1824" t="s">
        <v>111</v>
      </c>
      <c r="AY1824" t="s">
        <v>111</v>
      </c>
      <c r="AZ1824" t="s">
        <v>111</v>
      </c>
      <c r="BA1824" t="s">
        <v>111</v>
      </c>
      <c r="BB1824" t="s">
        <v>111</v>
      </c>
      <c r="BC1824" t="s">
        <v>111</v>
      </c>
      <c r="BD1824" t="s">
        <v>111</v>
      </c>
      <c r="BE1824" t="s">
        <v>111</v>
      </c>
      <c r="BF1824" t="s">
        <v>111</v>
      </c>
      <c r="BG1824" t="s">
        <v>111</v>
      </c>
      <c r="BH1824" t="s">
        <v>111</v>
      </c>
      <c r="BI1824" t="s">
        <v>111</v>
      </c>
      <c r="BJ1824" t="s">
        <v>111</v>
      </c>
      <c r="BK1824" t="s">
        <v>111</v>
      </c>
      <c r="BL1824" t="s">
        <v>111</v>
      </c>
      <c r="BM1824" t="s">
        <v>111</v>
      </c>
      <c r="BN1824" t="s">
        <v>111</v>
      </c>
      <c r="BO1824" t="s">
        <v>111</v>
      </c>
      <c r="BP1824" t="s">
        <v>111</v>
      </c>
      <c r="BQ1824" t="s">
        <v>111</v>
      </c>
      <c r="BR1824" t="s">
        <v>111</v>
      </c>
      <c r="BS1824" t="s">
        <v>111</v>
      </c>
      <c r="BT1824" t="s">
        <v>111</v>
      </c>
      <c r="BU1824" t="s">
        <v>111</v>
      </c>
      <c r="BV1824" t="s">
        <v>111</v>
      </c>
      <c r="BW1824" t="s">
        <v>111</v>
      </c>
      <c r="BX1824" t="s">
        <v>111</v>
      </c>
      <c r="BY1824" t="s">
        <v>111</v>
      </c>
      <c r="BZ1824" t="s">
        <v>111</v>
      </c>
      <c r="CA1824" t="s">
        <v>111</v>
      </c>
      <c r="CB1824" t="s">
        <v>111</v>
      </c>
      <c r="CC1824" t="s">
        <v>111</v>
      </c>
      <c r="CD1824" t="s">
        <v>111</v>
      </c>
      <c r="CE1824" t="s">
        <v>111</v>
      </c>
      <c r="CF1824" t="s">
        <v>111</v>
      </c>
      <c r="CG1824" t="s">
        <v>111</v>
      </c>
      <c r="CH1824" t="s">
        <v>111</v>
      </c>
      <c r="CI1824" t="s">
        <v>111</v>
      </c>
      <c r="CJ1824" t="s">
        <v>111</v>
      </c>
      <c r="CK1824" t="s">
        <v>111</v>
      </c>
      <c r="CL1824" t="s">
        <v>111</v>
      </c>
      <c r="CM1824" t="s">
        <v>111</v>
      </c>
      <c r="CN1824" t="s">
        <v>111</v>
      </c>
      <c r="CO1824" t="s">
        <v>111</v>
      </c>
      <c r="CP1824" t="s">
        <v>111</v>
      </c>
      <c r="CQ1824">
        <v>0</v>
      </c>
      <c r="CR1824">
        <v>0</v>
      </c>
      <c r="CS1824">
        <v>0</v>
      </c>
      <c r="CT1824" t="s">
        <v>111</v>
      </c>
      <c r="CU1824">
        <v>0</v>
      </c>
      <c r="CV1824" t="s">
        <v>111</v>
      </c>
      <c r="CW1824" t="s">
        <v>111</v>
      </c>
      <c r="CX1824" t="s">
        <v>111</v>
      </c>
      <c r="CY1824">
        <v>0</v>
      </c>
      <c r="CZ1824" t="s">
        <v>111</v>
      </c>
      <c r="DA1824" t="s">
        <v>111</v>
      </c>
      <c r="DB1824" t="s">
        <v>111</v>
      </c>
      <c r="DC1824" t="s">
        <v>111</v>
      </c>
    </row>
    <row r="1825" spans="1:107">
      <c r="A1825">
        <v>725</v>
      </c>
      <c r="B1825" t="s">
        <v>107</v>
      </c>
      <c r="C1825" t="s">
        <v>4165</v>
      </c>
      <c r="D1825" t="s">
        <v>5026</v>
      </c>
      <c r="E1825" t="s">
        <v>5027</v>
      </c>
      <c r="F1825" t="s">
        <v>110</v>
      </c>
      <c r="G1825" t="s">
        <v>24</v>
      </c>
      <c r="H1825">
        <v>1.9</v>
      </c>
      <c r="I1825">
        <v>45</v>
      </c>
      <c r="J1825">
        <v>0</v>
      </c>
      <c r="K1825">
        <v>0</v>
      </c>
      <c r="L1825" t="s">
        <v>112</v>
      </c>
      <c r="M1825" t="s">
        <v>118</v>
      </c>
      <c r="N1825">
        <v>39</v>
      </c>
      <c r="O1825">
        <v>1</v>
      </c>
      <c r="P1825" t="s">
        <v>111</v>
      </c>
      <c r="Q1825">
        <v>36</v>
      </c>
      <c r="R1825">
        <v>0</v>
      </c>
      <c r="S1825">
        <v>0</v>
      </c>
      <c r="T1825">
        <v>0</v>
      </c>
      <c r="U1825" s="1" t="s">
        <v>5028</v>
      </c>
      <c r="V1825">
        <v>0</v>
      </c>
      <c r="W1825">
        <v>0</v>
      </c>
      <c r="X1825">
        <v>0</v>
      </c>
      <c r="Y1825">
        <v>25</v>
      </c>
      <c r="Z1825" t="s">
        <v>111</v>
      </c>
      <c r="AA1825">
        <v>0</v>
      </c>
      <c r="AB1825" t="s">
        <v>111</v>
      </c>
      <c r="AC1825">
        <v>0</v>
      </c>
      <c r="AD1825" t="s">
        <v>111</v>
      </c>
      <c r="AE1825">
        <v>0</v>
      </c>
      <c r="AF1825">
        <v>0</v>
      </c>
      <c r="AG1825" t="s">
        <v>111</v>
      </c>
      <c r="AH1825" t="s">
        <v>111</v>
      </c>
      <c r="AI1825" t="s">
        <v>111</v>
      </c>
      <c r="AJ1825" t="s">
        <v>111</v>
      </c>
      <c r="AK1825" t="s">
        <v>111</v>
      </c>
      <c r="AL1825" t="s">
        <v>111</v>
      </c>
      <c r="AM1825">
        <v>0</v>
      </c>
      <c r="AN1825">
        <v>0</v>
      </c>
      <c r="AO1825">
        <v>0</v>
      </c>
      <c r="AP1825" t="s">
        <v>111</v>
      </c>
      <c r="AQ1825" t="s">
        <v>111</v>
      </c>
      <c r="AR1825" t="s">
        <v>111</v>
      </c>
      <c r="AS1825" t="s">
        <v>111</v>
      </c>
      <c r="AT1825" t="s">
        <v>111</v>
      </c>
      <c r="AU1825" t="s">
        <v>111</v>
      </c>
      <c r="AV1825" t="s">
        <v>111</v>
      </c>
      <c r="AW1825" t="s">
        <v>111</v>
      </c>
      <c r="AX1825" t="s">
        <v>111</v>
      </c>
      <c r="AY1825" t="s">
        <v>111</v>
      </c>
      <c r="AZ1825" t="s">
        <v>111</v>
      </c>
      <c r="BA1825" t="s">
        <v>111</v>
      </c>
      <c r="BB1825" t="s">
        <v>111</v>
      </c>
      <c r="BC1825" t="s">
        <v>111</v>
      </c>
      <c r="BD1825" t="s">
        <v>111</v>
      </c>
      <c r="BE1825" t="s">
        <v>111</v>
      </c>
      <c r="BF1825" t="s">
        <v>111</v>
      </c>
      <c r="BG1825" t="s">
        <v>111</v>
      </c>
      <c r="BH1825" t="s">
        <v>111</v>
      </c>
      <c r="BI1825" t="s">
        <v>111</v>
      </c>
      <c r="BJ1825" t="s">
        <v>111</v>
      </c>
      <c r="BK1825" t="s">
        <v>111</v>
      </c>
      <c r="BL1825" t="s">
        <v>111</v>
      </c>
      <c r="BM1825" t="s">
        <v>111</v>
      </c>
      <c r="BN1825" t="s">
        <v>111</v>
      </c>
      <c r="BO1825" t="s">
        <v>111</v>
      </c>
      <c r="BP1825" t="s">
        <v>111</v>
      </c>
      <c r="BQ1825" t="s">
        <v>111</v>
      </c>
      <c r="BR1825" t="s">
        <v>111</v>
      </c>
      <c r="BS1825" t="s">
        <v>111</v>
      </c>
      <c r="BT1825" t="s">
        <v>111</v>
      </c>
      <c r="BU1825" t="s">
        <v>111</v>
      </c>
      <c r="BV1825" t="s">
        <v>111</v>
      </c>
      <c r="BW1825" t="s">
        <v>111</v>
      </c>
      <c r="BX1825" t="s">
        <v>111</v>
      </c>
      <c r="BY1825" t="s">
        <v>111</v>
      </c>
      <c r="BZ1825" t="s">
        <v>111</v>
      </c>
      <c r="CA1825" t="s">
        <v>111</v>
      </c>
      <c r="CB1825" t="s">
        <v>111</v>
      </c>
      <c r="CC1825" t="s">
        <v>111</v>
      </c>
      <c r="CD1825" t="s">
        <v>111</v>
      </c>
      <c r="CE1825" t="s">
        <v>111</v>
      </c>
      <c r="CF1825" t="s">
        <v>111</v>
      </c>
      <c r="CG1825" t="s">
        <v>111</v>
      </c>
      <c r="CH1825" t="s">
        <v>111</v>
      </c>
      <c r="CI1825" t="s">
        <v>111</v>
      </c>
      <c r="CJ1825" t="s">
        <v>111</v>
      </c>
      <c r="CK1825" t="s">
        <v>111</v>
      </c>
      <c r="CL1825" t="s">
        <v>111</v>
      </c>
      <c r="CM1825" t="s">
        <v>111</v>
      </c>
      <c r="CN1825" t="s">
        <v>111</v>
      </c>
      <c r="CO1825" t="s">
        <v>111</v>
      </c>
      <c r="CP1825" t="s">
        <v>111</v>
      </c>
      <c r="CQ1825">
        <v>0</v>
      </c>
      <c r="CR1825">
        <v>0</v>
      </c>
      <c r="CS1825">
        <v>0</v>
      </c>
      <c r="CT1825" t="s">
        <v>111</v>
      </c>
      <c r="CU1825">
        <v>0</v>
      </c>
      <c r="CV1825" t="s">
        <v>111</v>
      </c>
      <c r="CW1825" t="s">
        <v>111</v>
      </c>
      <c r="CX1825" t="s">
        <v>111</v>
      </c>
      <c r="CY1825">
        <v>0</v>
      </c>
      <c r="CZ1825" t="s">
        <v>111</v>
      </c>
      <c r="DA1825" t="s">
        <v>111</v>
      </c>
      <c r="DB1825" t="s">
        <v>111</v>
      </c>
      <c r="DC1825" t="s">
        <v>111</v>
      </c>
    </row>
    <row r="1826" spans="1:107">
      <c r="A1826">
        <v>726</v>
      </c>
      <c r="B1826" t="s">
        <v>107</v>
      </c>
      <c r="C1826" t="s">
        <v>362</v>
      </c>
      <c r="D1826" t="s">
        <v>5029</v>
      </c>
      <c r="E1826" t="s">
        <v>5030</v>
      </c>
      <c r="F1826" t="s">
        <v>1651</v>
      </c>
      <c r="G1826" t="s">
        <v>24</v>
      </c>
      <c r="H1826">
        <v>1.3</v>
      </c>
      <c r="I1826">
        <v>38</v>
      </c>
      <c r="J1826">
        <v>0</v>
      </c>
      <c r="K1826">
        <v>0</v>
      </c>
      <c r="L1826" t="s">
        <v>112</v>
      </c>
      <c r="M1826" t="s">
        <v>118</v>
      </c>
      <c r="N1826">
        <v>39</v>
      </c>
      <c r="O1826">
        <v>2</v>
      </c>
      <c r="P1826" t="s">
        <v>138</v>
      </c>
      <c r="Q1826">
        <v>35</v>
      </c>
      <c r="R1826">
        <v>0</v>
      </c>
      <c r="S1826">
        <v>0</v>
      </c>
      <c r="T1826">
        <v>0</v>
      </c>
      <c r="U1826" s="1" t="s">
        <v>5031</v>
      </c>
      <c r="V1826">
        <v>0</v>
      </c>
      <c r="W1826">
        <v>0</v>
      </c>
      <c r="X1826">
        <v>0</v>
      </c>
      <c r="Y1826">
        <v>25</v>
      </c>
      <c r="Z1826" t="s">
        <v>111</v>
      </c>
      <c r="AA1826">
        <v>0</v>
      </c>
      <c r="AB1826" t="s">
        <v>111</v>
      </c>
      <c r="AC1826">
        <v>0</v>
      </c>
      <c r="AD1826" t="s">
        <v>416</v>
      </c>
      <c r="AE1826">
        <v>2</v>
      </c>
      <c r="AF1826">
        <v>2</v>
      </c>
      <c r="AG1826">
        <v>30</v>
      </c>
      <c r="AH1826" t="s">
        <v>113</v>
      </c>
      <c r="AI1826">
        <v>30</v>
      </c>
      <c r="AJ1826" t="s">
        <v>111</v>
      </c>
      <c r="AK1826" t="s">
        <v>111</v>
      </c>
      <c r="AL1826" t="s">
        <v>111</v>
      </c>
      <c r="AM1826">
        <v>0</v>
      </c>
      <c r="AN1826">
        <v>0</v>
      </c>
      <c r="AO1826">
        <v>0</v>
      </c>
      <c r="AP1826" t="s">
        <v>271</v>
      </c>
      <c r="AQ1826" t="s">
        <v>111</v>
      </c>
      <c r="AR1826" t="s">
        <v>111</v>
      </c>
      <c r="AS1826" t="s">
        <v>111</v>
      </c>
      <c r="AT1826" t="s">
        <v>1091</v>
      </c>
      <c r="AU1826" t="s">
        <v>111</v>
      </c>
      <c r="AV1826" t="s">
        <v>111</v>
      </c>
      <c r="AW1826" t="s">
        <v>111</v>
      </c>
      <c r="AX1826" t="s">
        <v>111</v>
      </c>
      <c r="AY1826" t="s">
        <v>111</v>
      </c>
      <c r="AZ1826" t="s">
        <v>111</v>
      </c>
      <c r="BA1826" t="s">
        <v>111</v>
      </c>
      <c r="BB1826" t="s">
        <v>111</v>
      </c>
      <c r="BC1826" t="s">
        <v>111</v>
      </c>
      <c r="BD1826" t="s">
        <v>111</v>
      </c>
      <c r="BE1826" t="s">
        <v>111</v>
      </c>
      <c r="BF1826" t="s">
        <v>111</v>
      </c>
      <c r="BG1826" t="s">
        <v>111</v>
      </c>
      <c r="BH1826" t="s">
        <v>111</v>
      </c>
      <c r="BI1826" t="s">
        <v>111</v>
      </c>
      <c r="BJ1826" t="s">
        <v>111</v>
      </c>
      <c r="BK1826" t="s">
        <v>111</v>
      </c>
      <c r="BL1826" t="s">
        <v>111</v>
      </c>
      <c r="BM1826" t="s">
        <v>111</v>
      </c>
      <c r="BN1826" t="s">
        <v>271</v>
      </c>
      <c r="BO1826" t="s">
        <v>111</v>
      </c>
      <c r="BP1826" t="s">
        <v>111</v>
      </c>
      <c r="BQ1826" t="s">
        <v>111</v>
      </c>
      <c r="BR1826" t="s">
        <v>1091</v>
      </c>
      <c r="BS1826" t="s">
        <v>111</v>
      </c>
      <c r="BT1826" t="s">
        <v>111</v>
      </c>
      <c r="BU1826" t="s">
        <v>111</v>
      </c>
      <c r="BV1826" t="s">
        <v>111</v>
      </c>
      <c r="BW1826" t="s">
        <v>111</v>
      </c>
      <c r="BX1826" t="s">
        <v>111</v>
      </c>
      <c r="BY1826" t="s">
        <v>111</v>
      </c>
      <c r="BZ1826" t="s">
        <v>111</v>
      </c>
      <c r="CA1826" t="s">
        <v>111</v>
      </c>
      <c r="CB1826" t="s">
        <v>111</v>
      </c>
      <c r="CC1826" t="s">
        <v>111</v>
      </c>
      <c r="CD1826" t="s">
        <v>111</v>
      </c>
      <c r="CE1826" t="s">
        <v>111</v>
      </c>
      <c r="CF1826" t="s">
        <v>111</v>
      </c>
      <c r="CG1826" t="s">
        <v>111</v>
      </c>
      <c r="CH1826" t="s">
        <v>111</v>
      </c>
      <c r="CI1826" t="s">
        <v>111</v>
      </c>
      <c r="CJ1826" t="s">
        <v>111</v>
      </c>
      <c r="CK1826" t="s">
        <v>111</v>
      </c>
      <c r="CL1826" t="e">
        <f>-DESTINO SELLADO</f>
        <v>#NAME?</v>
      </c>
      <c r="CM1826" t="s">
        <v>198</v>
      </c>
      <c r="CN1826" t="s">
        <v>113</v>
      </c>
      <c r="CO1826" t="s">
        <v>111</v>
      </c>
      <c r="CP1826" t="s">
        <v>111</v>
      </c>
      <c r="CQ1826">
        <v>0</v>
      </c>
      <c r="CR1826">
        <v>3000</v>
      </c>
      <c r="CS1826">
        <v>200</v>
      </c>
      <c r="CT1826" s="1" t="s">
        <v>5032</v>
      </c>
      <c r="CU1826">
        <v>0</v>
      </c>
      <c r="CV1826" t="s">
        <v>111</v>
      </c>
      <c r="CW1826" t="s">
        <v>111</v>
      </c>
      <c r="CX1826" t="s">
        <v>111</v>
      </c>
      <c r="CY1826">
        <v>0</v>
      </c>
      <c r="CZ1826" t="s">
        <v>111</v>
      </c>
      <c r="DA1826" t="s">
        <v>111</v>
      </c>
      <c r="DB1826" t="s">
        <v>111</v>
      </c>
      <c r="DC1826" t="s">
        <v>111</v>
      </c>
    </row>
    <row r="1827" spans="1:107">
      <c r="A1827">
        <v>728</v>
      </c>
      <c r="B1827" t="s">
        <v>107</v>
      </c>
      <c r="C1827" t="s">
        <v>421</v>
      </c>
      <c r="D1827" t="s">
        <v>3991</v>
      </c>
      <c r="E1827" t="s">
        <v>3992</v>
      </c>
      <c r="F1827" t="s">
        <v>1651</v>
      </c>
      <c r="G1827" t="s">
        <v>24</v>
      </c>
      <c r="H1827">
        <v>1.4</v>
      </c>
      <c r="I1827">
        <v>38</v>
      </c>
      <c r="J1827">
        <v>0</v>
      </c>
      <c r="K1827">
        <v>0</v>
      </c>
      <c r="L1827" t="s">
        <v>112</v>
      </c>
      <c r="M1827" t="s">
        <v>118</v>
      </c>
      <c r="N1827">
        <v>40</v>
      </c>
      <c r="O1827">
        <v>1</v>
      </c>
      <c r="P1827" t="s">
        <v>138</v>
      </c>
      <c r="Q1827">
        <v>39.200000000000003</v>
      </c>
      <c r="R1827">
        <v>0</v>
      </c>
      <c r="S1827">
        <v>0</v>
      </c>
      <c r="T1827">
        <v>0</v>
      </c>
      <c r="U1827" s="1" t="s">
        <v>5033</v>
      </c>
      <c r="V1827">
        <v>0</v>
      </c>
      <c r="W1827">
        <v>0</v>
      </c>
      <c r="X1827">
        <v>0</v>
      </c>
      <c r="Y1827">
        <v>25</v>
      </c>
      <c r="Z1827" t="s">
        <v>111</v>
      </c>
      <c r="AA1827">
        <v>0</v>
      </c>
      <c r="AB1827" t="s">
        <v>111</v>
      </c>
      <c r="AC1827">
        <v>0</v>
      </c>
      <c r="AD1827" t="s">
        <v>416</v>
      </c>
      <c r="AE1827">
        <v>1</v>
      </c>
      <c r="AF1827">
        <v>1</v>
      </c>
      <c r="AG1827">
        <v>30</v>
      </c>
      <c r="AH1827" t="s">
        <v>113</v>
      </c>
      <c r="AI1827">
        <v>30</v>
      </c>
      <c r="AJ1827" t="s">
        <v>111</v>
      </c>
      <c r="AK1827" t="s">
        <v>111</v>
      </c>
      <c r="AL1827" t="s">
        <v>111</v>
      </c>
      <c r="AM1827">
        <v>0</v>
      </c>
      <c r="AN1827">
        <v>0</v>
      </c>
      <c r="AO1827">
        <v>0</v>
      </c>
      <c r="AP1827" t="s">
        <v>1091</v>
      </c>
      <c r="AQ1827" t="s">
        <v>111</v>
      </c>
      <c r="AR1827" t="s">
        <v>111</v>
      </c>
      <c r="AS1827" t="s">
        <v>111</v>
      </c>
      <c r="AT1827" t="s">
        <v>111</v>
      </c>
      <c r="AU1827" t="s">
        <v>111</v>
      </c>
      <c r="AV1827" t="s">
        <v>111</v>
      </c>
      <c r="AW1827" t="s">
        <v>111</v>
      </c>
      <c r="AX1827" t="s">
        <v>111</v>
      </c>
      <c r="AY1827" t="s">
        <v>111</v>
      </c>
      <c r="AZ1827" t="s">
        <v>111</v>
      </c>
      <c r="BA1827" t="s">
        <v>111</v>
      </c>
      <c r="BB1827" t="s">
        <v>111</v>
      </c>
      <c r="BC1827" t="s">
        <v>111</v>
      </c>
      <c r="BD1827" t="s">
        <v>111</v>
      </c>
      <c r="BE1827" t="s">
        <v>111</v>
      </c>
      <c r="BF1827" t="s">
        <v>111</v>
      </c>
      <c r="BG1827" t="s">
        <v>111</v>
      </c>
      <c r="BH1827" t="s">
        <v>111</v>
      </c>
      <c r="BI1827" t="s">
        <v>111</v>
      </c>
      <c r="BJ1827" t="s">
        <v>111</v>
      </c>
      <c r="BK1827" t="s">
        <v>111</v>
      </c>
      <c r="BL1827" t="s">
        <v>111</v>
      </c>
      <c r="BM1827" t="s">
        <v>111</v>
      </c>
      <c r="BN1827" t="s">
        <v>111</v>
      </c>
      <c r="BO1827" t="s">
        <v>111</v>
      </c>
      <c r="BP1827" t="s">
        <v>111</v>
      </c>
      <c r="BQ1827" t="s">
        <v>111</v>
      </c>
      <c r="BR1827" t="s">
        <v>111</v>
      </c>
      <c r="BS1827" t="s">
        <v>111</v>
      </c>
      <c r="BT1827" t="s">
        <v>111</v>
      </c>
      <c r="BU1827" t="s">
        <v>111</v>
      </c>
      <c r="BV1827" t="s">
        <v>111</v>
      </c>
      <c r="BW1827" t="s">
        <v>111</v>
      </c>
      <c r="BX1827" t="s">
        <v>111</v>
      </c>
      <c r="BY1827" t="s">
        <v>111</v>
      </c>
      <c r="BZ1827" t="s">
        <v>111</v>
      </c>
      <c r="CA1827" t="s">
        <v>111</v>
      </c>
      <c r="CB1827" t="s">
        <v>111</v>
      </c>
      <c r="CC1827" t="s">
        <v>111</v>
      </c>
      <c r="CD1827" t="s">
        <v>111</v>
      </c>
      <c r="CE1827" t="s">
        <v>111</v>
      </c>
      <c r="CF1827" t="s">
        <v>111</v>
      </c>
      <c r="CG1827" t="s">
        <v>111</v>
      </c>
      <c r="CH1827" t="s">
        <v>111</v>
      </c>
      <c r="CI1827" t="s">
        <v>111</v>
      </c>
      <c r="CJ1827" t="s">
        <v>111</v>
      </c>
      <c r="CK1827" t="s">
        <v>111</v>
      </c>
      <c r="CL1827" t="s">
        <v>153</v>
      </c>
      <c r="CM1827" t="s">
        <v>198</v>
      </c>
      <c r="CN1827" t="s">
        <v>113</v>
      </c>
      <c r="CO1827" t="s">
        <v>111</v>
      </c>
      <c r="CP1827" t="s">
        <v>5034</v>
      </c>
      <c r="CQ1827">
        <v>65</v>
      </c>
      <c r="CR1827">
        <v>3000</v>
      </c>
      <c r="CS1827">
        <v>200</v>
      </c>
      <c r="CT1827" s="1" t="s">
        <v>5035</v>
      </c>
      <c r="CU1827">
        <v>0</v>
      </c>
      <c r="CV1827" t="s">
        <v>111</v>
      </c>
      <c r="CW1827" t="s">
        <v>111</v>
      </c>
      <c r="CX1827" t="s">
        <v>111</v>
      </c>
      <c r="CY1827">
        <v>0</v>
      </c>
      <c r="CZ1827" t="s">
        <v>111</v>
      </c>
      <c r="DA1827" t="s">
        <v>111</v>
      </c>
      <c r="DB1827" t="s">
        <v>111</v>
      </c>
      <c r="DC1827" t="s">
        <v>111</v>
      </c>
    </row>
    <row r="1828" spans="1:107">
      <c r="A1828">
        <v>755</v>
      </c>
      <c r="B1828" t="s">
        <v>107</v>
      </c>
      <c r="C1828" t="s">
        <v>2996</v>
      </c>
      <c r="D1828" t="s">
        <v>5036</v>
      </c>
      <c r="E1828" t="s">
        <v>5037</v>
      </c>
      <c r="F1828" t="s">
        <v>1071</v>
      </c>
      <c r="G1828" t="s">
        <v>24</v>
      </c>
      <c r="H1828">
        <v>2.4</v>
      </c>
      <c r="I1828">
        <v>35</v>
      </c>
      <c r="J1828">
        <v>0</v>
      </c>
      <c r="K1828">
        <v>0</v>
      </c>
      <c r="L1828" t="s">
        <v>112</v>
      </c>
      <c r="M1828" t="s">
        <v>138</v>
      </c>
      <c r="N1828">
        <v>0</v>
      </c>
      <c r="O1828">
        <v>0</v>
      </c>
      <c r="P1828" t="s">
        <v>138</v>
      </c>
      <c r="Q1828">
        <v>40</v>
      </c>
      <c r="R1828">
        <v>0</v>
      </c>
      <c r="S1828">
        <v>0</v>
      </c>
      <c r="T1828">
        <v>0</v>
      </c>
      <c r="U1828" s="1" t="s">
        <v>4835</v>
      </c>
      <c r="V1828">
        <v>0</v>
      </c>
      <c r="W1828">
        <v>0</v>
      </c>
      <c r="X1828">
        <v>0</v>
      </c>
      <c r="Y1828">
        <v>25</v>
      </c>
      <c r="Z1828" t="s">
        <v>111</v>
      </c>
      <c r="AA1828">
        <v>0</v>
      </c>
      <c r="AB1828" t="s">
        <v>111</v>
      </c>
      <c r="AC1828">
        <v>0</v>
      </c>
      <c r="AD1828" t="s">
        <v>111</v>
      </c>
      <c r="AE1828">
        <v>0</v>
      </c>
      <c r="AF1828">
        <v>0</v>
      </c>
      <c r="AG1828" t="s">
        <v>111</v>
      </c>
      <c r="AH1828" t="s">
        <v>111</v>
      </c>
      <c r="AI1828" t="s">
        <v>111</v>
      </c>
      <c r="AJ1828" t="s">
        <v>111</v>
      </c>
      <c r="AK1828" t="s">
        <v>111</v>
      </c>
      <c r="AL1828" t="s">
        <v>111</v>
      </c>
      <c r="AM1828">
        <v>0</v>
      </c>
      <c r="AN1828">
        <v>0</v>
      </c>
      <c r="AO1828">
        <v>0</v>
      </c>
      <c r="AP1828" t="s">
        <v>111</v>
      </c>
      <c r="AQ1828" t="s">
        <v>111</v>
      </c>
      <c r="AR1828" t="s">
        <v>111</v>
      </c>
      <c r="AS1828" t="s">
        <v>111</v>
      </c>
      <c r="AT1828" t="s">
        <v>111</v>
      </c>
      <c r="AU1828" t="s">
        <v>111</v>
      </c>
      <c r="AV1828" t="s">
        <v>111</v>
      </c>
      <c r="AW1828" t="s">
        <v>111</v>
      </c>
      <c r="AX1828" t="s">
        <v>111</v>
      </c>
      <c r="AY1828" t="s">
        <v>111</v>
      </c>
      <c r="AZ1828" t="s">
        <v>111</v>
      </c>
      <c r="BA1828" t="s">
        <v>111</v>
      </c>
      <c r="BB1828" t="s">
        <v>111</v>
      </c>
      <c r="BC1828" t="s">
        <v>111</v>
      </c>
      <c r="BD1828" t="s">
        <v>111</v>
      </c>
      <c r="BE1828" t="s">
        <v>111</v>
      </c>
      <c r="BF1828" t="s">
        <v>111</v>
      </c>
      <c r="BG1828" t="s">
        <v>111</v>
      </c>
      <c r="BH1828" t="s">
        <v>111</v>
      </c>
      <c r="BI1828" t="s">
        <v>111</v>
      </c>
      <c r="BJ1828" t="s">
        <v>111</v>
      </c>
      <c r="BK1828" t="s">
        <v>111</v>
      </c>
      <c r="BL1828" t="s">
        <v>111</v>
      </c>
      <c r="BM1828" t="s">
        <v>111</v>
      </c>
      <c r="BN1828" t="s">
        <v>111</v>
      </c>
      <c r="BO1828" t="s">
        <v>111</v>
      </c>
      <c r="BP1828" t="s">
        <v>111</v>
      </c>
      <c r="BQ1828" t="s">
        <v>111</v>
      </c>
      <c r="BR1828" t="s">
        <v>111</v>
      </c>
      <c r="BS1828" t="s">
        <v>111</v>
      </c>
      <c r="BT1828" t="s">
        <v>111</v>
      </c>
      <c r="BU1828" t="s">
        <v>111</v>
      </c>
      <c r="BV1828" t="s">
        <v>111</v>
      </c>
      <c r="BW1828" t="s">
        <v>111</v>
      </c>
      <c r="BX1828" t="s">
        <v>111</v>
      </c>
      <c r="BY1828" t="s">
        <v>111</v>
      </c>
      <c r="BZ1828" t="s">
        <v>111</v>
      </c>
      <c r="CA1828" t="s">
        <v>111</v>
      </c>
      <c r="CB1828" t="s">
        <v>111</v>
      </c>
      <c r="CC1828" t="s">
        <v>111</v>
      </c>
      <c r="CD1828" t="s">
        <v>111</v>
      </c>
      <c r="CE1828" t="s">
        <v>111</v>
      </c>
      <c r="CF1828" t="s">
        <v>111</v>
      </c>
      <c r="CG1828" t="s">
        <v>111</v>
      </c>
      <c r="CH1828" t="s">
        <v>111</v>
      </c>
      <c r="CI1828" t="s">
        <v>111</v>
      </c>
      <c r="CJ1828" t="s">
        <v>111</v>
      </c>
      <c r="CK1828" t="s">
        <v>111</v>
      </c>
      <c r="CL1828" t="s">
        <v>111</v>
      </c>
      <c r="CM1828" t="s">
        <v>135</v>
      </c>
      <c r="CN1828" t="s">
        <v>113</v>
      </c>
      <c r="CO1828" t="s">
        <v>111</v>
      </c>
      <c r="CP1828" t="s">
        <v>111</v>
      </c>
      <c r="CQ1828">
        <v>0</v>
      </c>
      <c r="CR1828">
        <v>2500</v>
      </c>
      <c r="CS1828">
        <v>100</v>
      </c>
      <c r="CT1828" s="1" t="s">
        <v>5038</v>
      </c>
      <c r="CU1828">
        <v>0</v>
      </c>
      <c r="CV1828" t="s">
        <v>111</v>
      </c>
      <c r="CW1828" t="s">
        <v>111</v>
      </c>
      <c r="CX1828" t="s">
        <v>111</v>
      </c>
      <c r="CY1828">
        <v>0</v>
      </c>
      <c r="CZ1828" t="s">
        <v>111</v>
      </c>
      <c r="DA1828" t="s">
        <v>111</v>
      </c>
      <c r="DB1828" t="s">
        <v>111</v>
      </c>
      <c r="DC1828" t="s">
        <v>111</v>
      </c>
    </row>
    <row r="1829" spans="1:107">
      <c r="A1829">
        <v>757</v>
      </c>
      <c r="B1829" t="s">
        <v>107</v>
      </c>
      <c r="C1829" t="s">
        <v>4165</v>
      </c>
      <c r="D1829" t="s">
        <v>5039</v>
      </c>
      <c r="E1829" t="s">
        <v>5040</v>
      </c>
      <c r="F1829" t="s">
        <v>110</v>
      </c>
      <c r="G1829" t="s">
        <v>24</v>
      </c>
      <c r="H1829">
        <v>1.4</v>
      </c>
      <c r="I1829">
        <v>50</v>
      </c>
      <c r="J1829">
        <v>0</v>
      </c>
      <c r="K1829">
        <v>0</v>
      </c>
      <c r="L1829" t="s">
        <v>112</v>
      </c>
      <c r="M1829" t="s">
        <v>118</v>
      </c>
      <c r="N1829">
        <v>39</v>
      </c>
      <c r="O1829">
        <v>1</v>
      </c>
      <c r="P1829" t="s">
        <v>138</v>
      </c>
      <c r="Q1829">
        <v>40</v>
      </c>
      <c r="R1829">
        <v>0</v>
      </c>
      <c r="S1829">
        <v>0</v>
      </c>
      <c r="T1829">
        <v>0</v>
      </c>
      <c r="U1829" s="1" t="s">
        <v>5041</v>
      </c>
      <c r="V1829">
        <v>0</v>
      </c>
      <c r="W1829">
        <v>0</v>
      </c>
      <c r="X1829">
        <v>0</v>
      </c>
      <c r="Y1829">
        <v>25</v>
      </c>
      <c r="Z1829" t="s">
        <v>111</v>
      </c>
      <c r="AA1829">
        <v>0</v>
      </c>
      <c r="AB1829" t="s">
        <v>111</v>
      </c>
      <c r="AC1829">
        <v>0</v>
      </c>
      <c r="AD1829" t="s">
        <v>111</v>
      </c>
      <c r="AE1829">
        <v>0</v>
      </c>
      <c r="AF1829">
        <v>0</v>
      </c>
      <c r="AG1829" t="s">
        <v>111</v>
      </c>
      <c r="AH1829" t="s">
        <v>111</v>
      </c>
      <c r="AI1829" t="s">
        <v>111</v>
      </c>
      <c r="AJ1829" t="s">
        <v>111</v>
      </c>
      <c r="AK1829" t="s">
        <v>111</v>
      </c>
      <c r="AL1829" t="s">
        <v>111</v>
      </c>
      <c r="AM1829">
        <v>0</v>
      </c>
      <c r="AN1829">
        <v>0</v>
      </c>
      <c r="AO1829">
        <v>0</v>
      </c>
      <c r="AP1829" t="s">
        <v>111</v>
      </c>
      <c r="AQ1829" t="s">
        <v>111</v>
      </c>
      <c r="AR1829" t="s">
        <v>111</v>
      </c>
      <c r="AS1829" t="s">
        <v>111</v>
      </c>
      <c r="AT1829" t="s">
        <v>111</v>
      </c>
      <c r="AU1829" t="s">
        <v>111</v>
      </c>
      <c r="AV1829" t="s">
        <v>111</v>
      </c>
      <c r="AW1829" t="s">
        <v>111</v>
      </c>
      <c r="AX1829" t="s">
        <v>111</v>
      </c>
      <c r="AY1829" t="s">
        <v>111</v>
      </c>
      <c r="AZ1829" t="s">
        <v>111</v>
      </c>
      <c r="BA1829" t="s">
        <v>111</v>
      </c>
      <c r="BB1829" t="s">
        <v>111</v>
      </c>
      <c r="BC1829" t="s">
        <v>111</v>
      </c>
      <c r="BD1829" t="s">
        <v>111</v>
      </c>
      <c r="BE1829" t="s">
        <v>111</v>
      </c>
      <c r="BF1829" t="s">
        <v>111</v>
      </c>
      <c r="BG1829" t="s">
        <v>111</v>
      </c>
      <c r="BH1829" t="s">
        <v>111</v>
      </c>
      <c r="BI1829" t="s">
        <v>111</v>
      </c>
      <c r="BJ1829" t="s">
        <v>111</v>
      </c>
      <c r="BK1829" t="s">
        <v>111</v>
      </c>
      <c r="BL1829" t="s">
        <v>111</v>
      </c>
      <c r="BM1829" t="s">
        <v>111</v>
      </c>
      <c r="BN1829" t="s">
        <v>111</v>
      </c>
      <c r="BO1829" t="s">
        <v>111</v>
      </c>
      <c r="BP1829" t="s">
        <v>111</v>
      </c>
      <c r="BQ1829" t="s">
        <v>111</v>
      </c>
      <c r="BR1829" t="s">
        <v>111</v>
      </c>
      <c r="BS1829" t="s">
        <v>111</v>
      </c>
      <c r="BT1829" t="s">
        <v>111</v>
      </c>
      <c r="BU1829" t="s">
        <v>111</v>
      </c>
      <c r="BV1829" t="s">
        <v>111</v>
      </c>
      <c r="BW1829" t="s">
        <v>111</v>
      </c>
      <c r="BX1829" t="s">
        <v>111</v>
      </c>
      <c r="BY1829" t="s">
        <v>111</v>
      </c>
      <c r="BZ1829" t="s">
        <v>111</v>
      </c>
      <c r="CA1829" t="s">
        <v>111</v>
      </c>
      <c r="CB1829" t="s">
        <v>111</v>
      </c>
      <c r="CC1829" t="s">
        <v>111</v>
      </c>
      <c r="CD1829" t="s">
        <v>111</v>
      </c>
      <c r="CE1829" t="s">
        <v>111</v>
      </c>
      <c r="CF1829" t="s">
        <v>111</v>
      </c>
      <c r="CG1829" t="s">
        <v>111</v>
      </c>
      <c r="CH1829" t="s">
        <v>111</v>
      </c>
      <c r="CI1829" t="s">
        <v>111</v>
      </c>
      <c r="CJ1829" t="s">
        <v>111</v>
      </c>
      <c r="CK1829" t="s">
        <v>111</v>
      </c>
      <c r="CL1829" t="s">
        <v>111</v>
      </c>
      <c r="CM1829" t="s">
        <v>111</v>
      </c>
      <c r="CN1829" t="s">
        <v>111</v>
      </c>
      <c r="CO1829" t="s">
        <v>111</v>
      </c>
      <c r="CP1829" t="s">
        <v>111</v>
      </c>
      <c r="CQ1829">
        <v>0</v>
      </c>
      <c r="CR1829">
        <v>0</v>
      </c>
      <c r="CS1829">
        <v>0</v>
      </c>
      <c r="CT1829" t="s">
        <v>111</v>
      </c>
      <c r="CU1829">
        <v>0</v>
      </c>
      <c r="CV1829" t="s">
        <v>111</v>
      </c>
      <c r="CW1829" t="s">
        <v>111</v>
      </c>
      <c r="CX1829" t="s">
        <v>111</v>
      </c>
      <c r="CY1829">
        <v>0</v>
      </c>
      <c r="CZ1829" t="s">
        <v>111</v>
      </c>
      <c r="DA1829" t="s">
        <v>111</v>
      </c>
      <c r="DB1829" t="s">
        <v>111</v>
      </c>
      <c r="DC1829" t="s">
        <v>111</v>
      </c>
    </row>
    <row r="1830" spans="1:107">
      <c r="A1830">
        <v>713</v>
      </c>
      <c r="B1830" t="s">
        <v>107</v>
      </c>
      <c r="C1830" t="s">
        <v>4793</v>
      </c>
      <c r="D1830" t="s">
        <v>4031</v>
      </c>
      <c r="E1830" t="s">
        <v>4032</v>
      </c>
      <c r="F1830" t="s">
        <v>110</v>
      </c>
      <c r="G1830" t="s">
        <v>24</v>
      </c>
      <c r="H1830">
        <v>1</v>
      </c>
      <c r="I1830">
        <v>25</v>
      </c>
      <c r="J1830">
        <v>0</v>
      </c>
      <c r="K1830">
        <v>0</v>
      </c>
      <c r="L1830" t="s">
        <v>112</v>
      </c>
      <c r="M1830" t="s">
        <v>118</v>
      </c>
      <c r="N1830">
        <v>38</v>
      </c>
      <c r="O1830">
        <v>2</v>
      </c>
      <c r="P1830" t="s">
        <v>138</v>
      </c>
      <c r="Q1830">
        <v>25</v>
      </c>
      <c r="R1830">
        <v>0</v>
      </c>
      <c r="S1830">
        <v>0</v>
      </c>
      <c r="T1830">
        <v>0</v>
      </c>
      <c r="U1830" t="s">
        <v>5042</v>
      </c>
      <c r="V1830">
        <v>0</v>
      </c>
      <c r="W1830">
        <v>0</v>
      </c>
      <c r="X1830">
        <v>0</v>
      </c>
      <c r="Y1830">
        <v>25</v>
      </c>
      <c r="Z1830" t="s">
        <v>111</v>
      </c>
      <c r="AA1830">
        <v>0</v>
      </c>
      <c r="AB1830" t="s">
        <v>111</v>
      </c>
      <c r="AC1830">
        <v>0</v>
      </c>
      <c r="AD1830" t="s">
        <v>111</v>
      </c>
      <c r="AE1830">
        <v>0</v>
      </c>
      <c r="AF1830">
        <v>0</v>
      </c>
      <c r="AG1830" t="s">
        <v>111</v>
      </c>
      <c r="AH1830" t="s">
        <v>111</v>
      </c>
      <c r="AI1830" t="s">
        <v>111</v>
      </c>
      <c r="AJ1830" t="s">
        <v>111</v>
      </c>
      <c r="AK1830" t="s">
        <v>111</v>
      </c>
      <c r="AL1830" t="s">
        <v>111</v>
      </c>
      <c r="AM1830">
        <v>0</v>
      </c>
      <c r="AN1830">
        <v>0</v>
      </c>
      <c r="AO1830">
        <v>0</v>
      </c>
      <c r="AP1830" t="s">
        <v>111</v>
      </c>
      <c r="AQ1830" t="s">
        <v>111</v>
      </c>
      <c r="AR1830" t="s">
        <v>111</v>
      </c>
      <c r="AS1830" t="s">
        <v>111</v>
      </c>
      <c r="AT1830" t="s">
        <v>111</v>
      </c>
      <c r="AU1830" t="s">
        <v>111</v>
      </c>
      <c r="AV1830" t="s">
        <v>111</v>
      </c>
      <c r="AW1830" t="s">
        <v>111</v>
      </c>
      <c r="AX1830" t="s">
        <v>111</v>
      </c>
      <c r="AY1830" t="s">
        <v>111</v>
      </c>
      <c r="AZ1830" t="s">
        <v>111</v>
      </c>
      <c r="BA1830" t="s">
        <v>111</v>
      </c>
      <c r="BB1830" t="s">
        <v>111</v>
      </c>
      <c r="BC1830" t="s">
        <v>111</v>
      </c>
      <c r="BD1830" t="s">
        <v>111</v>
      </c>
      <c r="BE1830" t="s">
        <v>111</v>
      </c>
      <c r="BF1830" t="s">
        <v>111</v>
      </c>
      <c r="BG1830" t="s">
        <v>111</v>
      </c>
      <c r="BH1830" t="s">
        <v>111</v>
      </c>
      <c r="BI1830" t="s">
        <v>111</v>
      </c>
      <c r="BJ1830" t="s">
        <v>111</v>
      </c>
      <c r="BK1830" t="s">
        <v>111</v>
      </c>
      <c r="BL1830" t="s">
        <v>111</v>
      </c>
      <c r="BM1830" t="s">
        <v>111</v>
      </c>
      <c r="BN1830" t="s">
        <v>111</v>
      </c>
      <c r="BO1830" t="s">
        <v>111</v>
      </c>
      <c r="BP1830" t="s">
        <v>111</v>
      </c>
      <c r="BQ1830" t="s">
        <v>111</v>
      </c>
      <c r="BR1830" t="s">
        <v>111</v>
      </c>
      <c r="BS1830" t="s">
        <v>111</v>
      </c>
      <c r="BT1830" t="s">
        <v>111</v>
      </c>
      <c r="BU1830" t="s">
        <v>111</v>
      </c>
      <c r="BV1830" t="s">
        <v>111</v>
      </c>
      <c r="BW1830" t="s">
        <v>111</v>
      </c>
      <c r="BX1830" t="s">
        <v>111</v>
      </c>
      <c r="BY1830" t="s">
        <v>111</v>
      </c>
      <c r="BZ1830" t="s">
        <v>111</v>
      </c>
      <c r="CA1830" t="s">
        <v>111</v>
      </c>
      <c r="CB1830" t="s">
        <v>111</v>
      </c>
      <c r="CC1830" t="s">
        <v>111</v>
      </c>
      <c r="CD1830" t="s">
        <v>111</v>
      </c>
      <c r="CE1830" t="s">
        <v>111</v>
      </c>
      <c r="CF1830" t="s">
        <v>111</v>
      </c>
      <c r="CG1830" t="s">
        <v>111</v>
      </c>
      <c r="CH1830" t="s">
        <v>111</v>
      </c>
      <c r="CI1830" t="s">
        <v>111</v>
      </c>
      <c r="CJ1830" t="s">
        <v>111</v>
      </c>
      <c r="CK1830" t="s">
        <v>111</v>
      </c>
      <c r="CL1830" t="s">
        <v>111</v>
      </c>
      <c r="CM1830" t="s">
        <v>111</v>
      </c>
      <c r="CN1830" t="s">
        <v>111</v>
      </c>
      <c r="CO1830" t="s">
        <v>111</v>
      </c>
      <c r="CP1830" t="s">
        <v>111</v>
      </c>
      <c r="CQ1830">
        <v>0</v>
      </c>
      <c r="CR1830">
        <v>0</v>
      </c>
      <c r="CS1830">
        <v>0</v>
      </c>
      <c r="CT1830" t="s">
        <v>111</v>
      </c>
      <c r="CU1830">
        <v>0</v>
      </c>
      <c r="CV1830" t="s">
        <v>111</v>
      </c>
      <c r="CW1830" t="s">
        <v>111</v>
      </c>
      <c r="CX1830" t="s">
        <v>111</v>
      </c>
      <c r="CY1830">
        <v>0</v>
      </c>
      <c r="CZ1830" t="s">
        <v>111</v>
      </c>
      <c r="DA1830" t="s">
        <v>111</v>
      </c>
      <c r="DB1830" t="s">
        <v>111</v>
      </c>
      <c r="DC1830" t="s">
        <v>111</v>
      </c>
    </row>
    <row r="1831" spans="1:107">
      <c r="A1831">
        <v>674</v>
      </c>
      <c r="B1831" t="s">
        <v>162</v>
      </c>
      <c r="C1831" t="s">
        <v>1257</v>
      </c>
      <c r="D1831" t="s">
        <v>4194</v>
      </c>
      <c r="E1831" t="s">
        <v>5043</v>
      </c>
      <c r="F1831" t="s">
        <v>1260</v>
      </c>
      <c r="G1831" t="s">
        <v>24</v>
      </c>
      <c r="H1831">
        <v>2</v>
      </c>
      <c r="I1831">
        <v>40</v>
      </c>
      <c r="J1831">
        <v>0</v>
      </c>
      <c r="K1831">
        <v>0</v>
      </c>
      <c r="L1831" t="s">
        <v>117</v>
      </c>
      <c r="M1831" t="s">
        <v>118</v>
      </c>
      <c r="N1831">
        <v>40</v>
      </c>
      <c r="O1831">
        <v>1</v>
      </c>
      <c r="P1831" t="s">
        <v>138</v>
      </c>
      <c r="Q1831">
        <v>30</v>
      </c>
      <c r="R1831">
        <v>0</v>
      </c>
      <c r="S1831">
        <v>0</v>
      </c>
      <c r="T1831">
        <v>0</v>
      </c>
      <c r="U1831" t="s">
        <v>1353</v>
      </c>
      <c r="V1831">
        <v>0</v>
      </c>
      <c r="W1831">
        <v>0</v>
      </c>
      <c r="X1831">
        <v>0</v>
      </c>
      <c r="Y1831">
        <v>25</v>
      </c>
      <c r="Z1831" t="s">
        <v>111</v>
      </c>
      <c r="AA1831">
        <v>0</v>
      </c>
      <c r="AB1831" t="s">
        <v>111</v>
      </c>
      <c r="AC1831">
        <v>0</v>
      </c>
      <c r="AD1831" t="s">
        <v>416</v>
      </c>
      <c r="AE1831">
        <v>3</v>
      </c>
      <c r="AF1831">
        <v>1</v>
      </c>
      <c r="AG1831">
        <v>20</v>
      </c>
      <c r="AH1831" t="s">
        <v>111</v>
      </c>
      <c r="AI1831">
        <v>40</v>
      </c>
      <c r="AJ1831" t="s">
        <v>111</v>
      </c>
      <c r="AK1831" t="s">
        <v>111</v>
      </c>
      <c r="AL1831" t="s">
        <v>111</v>
      </c>
      <c r="AM1831">
        <v>0</v>
      </c>
      <c r="AN1831">
        <v>0</v>
      </c>
      <c r="AO1831">
        <v>0</v>
      </c>
      <c r="AP1831" t="s">
        <v>772</v>
      </c>
      <c r="AQ1831" t="s">
        <v>111</v>
      </c>
      <c r="AR1831" t="s">
        <v>111</v>
      </c>
      <c r="AS1831" t="s">
        <v>111</v>
      </c>
      <c r="AT1831" t="s">
        <v>259</v>
      </c>
      <c r="AU1831" t="s">
        <v>111</v>
      </c>
      <c r="AV1831" t="s">
        <v>111</v>
      </c>
      <c r="AW1831" t="s">
        <v>111</v>
      </c>
      <c r="AX1831" t="s">
        <v>288</v>
      </c>
      <c r="AY1831" t="s">
        <v>111</v>
      </c>
      <c r="AZ1831" t="s">
        <v>111</v>
      </c>
      <c r="BA1831" t="s">
        <v>111</v>
      </c>
      <c r="BB1831" t="s">
        <v>111</v>
      </c>
      <c r="BC1831" t="s">
        <v>111</v>
      </c>
      <c r="BD1831" t="s">
        <v>111</v>
      </c>
      <c r="BE1831" t="s">
        <v>111</v>
      </c>
      <c r="BF1831" t="s">
        <v>111</v>
      </c>
      <c r="BG1831" t="s">
        <v>111</v>
      </c>
      <c r="BH1831" t="s">
        <v>111</v>
      </c>
      <c r="BI1831" t="s">
        <v>111</v>
      </c>
      <c r="BJ1831" t="s">
        <v>111</v>
      </c>
      <c r="BK1831" t="s">
        <v>111</v>
      </c>
      <c r="BL1831" t="s">
        <v>111</v>
      </c>
      <c r="BM1831" t="s">
        <v>111</v>
      </c>
      <c r="BN1831" t="s">
        <v>111</v>
      </c>
      <c r="BO1831" t="s">
        <v>111</v>
      </c>
      <c r="BP1831" t="s">
        <v>111</v>
      </c>
      <c r="BQ1831" t="s">
        <v>111</v>
      </c>
      <c r="BR1831" t="s">
        <v>111</v>
      </c>
      <c r="BS1831" t="s">
        <v>111</v>
      </c>
      <c r="BT1831" t="s">
        <v>111</v>
      </c>
      <c r="BU1831" t="s">
        <v>111</v>
      </c>
      <c r="BV1831" t="s">
        <v>111</v>
      </c>
      <c r="BW1831" t="s">
        <v>111</v>
      </c>
      <c r="BX1831" t="s">
        <v>111</v>
      </c>
      <c r="BY1831" t="s">
        <v>111</v>
      </c>
      <c r="BZ1831" t="s">
        <v>111</v>
      </c>
      <c r="CA1831" t="s">
        <v>111</v>
      </c>
      <c r="CB1831" t="s">
        <v>111</v>
      </c>
      <c r="CC1831" t="s">
        <v>111</v>
      </c>
      <c r="CD1831" t="s">
        <v>111</v>
      </c>
      <c r="CE1831" t="s">
        <v>111</v>
      </c>
      <c r="CF1831" t="s">
        <v>111</v>
      </c>
      <c r="CG1831" t="s">
        <v>111</v>
      </c>
      <c r="CH1831" t="s">
        <v>111</v>
      </c>
      <c r="CI1831" t="s">
        <v>111</v>
      </c>
      <c r="CJ1831" t="s">
        <v>111</v>
      </c>
      <c r="CK1831" t="s">
        <v>111</v>
      </c>
      <c r="CL1831" t="s">
        <v>153</v>
      </c>
      <c r="CM1831" t="s">
        <v>198</v>
      </c>
      <c r="CN1831" t="s">
        <v>113</v>
      </c>
      <c r="CO1831" t="s">
        <v>111</v>
      </c>
      <c r="CP1831" t="s">
        <v>433</v>
      </c>
      <c r="CQ1831">
        <v>70</v>
      </c>
      <c r="CR1831">
        <v>0</v>
      </c>
      <c r="CS1831">
        <v>0</v>
      </c>
      <c r="CT1831" t="s">
        <v>168</v>
      </c>
      <c r="CU1831">
        <v>0</v>
      </c>
      <c r="CV1831" t="s">
        <v>111</v>
      </c>
      <c r="CW1831" t="s">
        <v>111</v>
      </c>
      <c r="CX1831" t="s">
        <v>111</v>
      </c>
      <c r="CY1831">
        <v>0</v>
      </c>
      <c r="CZ1831" t="s">
        <v>111</v>
      </c>
      <c r="DA1831" t="s">
        <v>111</v>
      </c>
      <c r="DB1831" t="s">
        <v>111</v>
      </c>
      <c r="DC1831" t="s">
        <v>111</v>
      </c>
    </row>
    <row r="1832" spans="1:107">
      <c r="A1832">
        <v>958</v>
      </c>
      <c r="B1832" t="s">
        <v>107</v>
      </c>
      <c r="C1832" t="s">
        <v>4206</v>
      </c>
      <c r="D1832" t="s">
        <v>5044</v>
      </c>
      <c r="E1832" t="s">
        <v>5045</v>
      </c>
      <c r="F1832" t="s">
        <v>1071</v>
      </c>
      <c r="G1832" t="s">
        <v>24</v>
      </c>
      <c r="H1832">
        <v>1</v>
      </c>
      <c r="I1832">
        <v>45</v>
      </c>
      <c r="J1832">
        <v>0</v>
      </c>
      <c r="K1832">
        <v>0</v>
      </c>
      <c r="L1832" t="s">
        <v>112</v>
      </c>
      <c r="M1832" t="s">
        <v>111</v>
      </c>
      <c r="N1832">
        <v>0</v>
      </c>
      <c r="O1832">
        <v>0</v>
      </c>
      <c r="P1832" t="s">
        <v>111</v>
      </c>
      <c r="Q1832">
        <v>35</v>
      </c>
      <c r="R1832">
        <v>0</v>
      </c>
      <c r="S1832">
        <v>0</v>
      </c>
      <c r="T1832">
        <v>0</v>
      </c>
      <c r="U1832" t="s">
        <v>296</v>
      </c>
      <c r="V1832">
        <v>0</v>
      </c>
      <c r="W1832">
        <v>0</v>
      </c>
      <c r="X1832">
        <v>0</v>
      </c>
      <c r="Y1832">
        <v>250</v>
      </c>
      <c r="Z1832" t="s">
        <v>111</v>
      </c>
      <c r="AA1832">
        <v>0</v>
      </c>
      <c r="AB1832" t="s">
        <v>111</v>
      </c>
      <c r="AC1832">
        <v>0</v>
      </c>
      <c r="AD1832" t="s">
        <v>111</v>
      </c>
      <c r="AE1832">
        <v>0</v>
      </c>
      <c r="AF1832">
        <v>0</v>
      </c>
      <c r="AG1832" t="s">
        <v>111</v>
      </c>
      <c r="AH1832" t="s">
        <v>111</v>
      </c>
      <c r="AI1832" t="s">
        <v>111</v>
      </c>
      <c r="AJ1832" t="s">
        <v>111</v>
      </c>
      <c r="AK1832" t="s">
        <v>111</v>
      </c>
      <c r="AL1832" t="s">
        <v>111</v>
      </c>
      <c r="AM1832">
        <v>0</v>
      </c>
      <c r="AN1832">
        <v>0</v>
      </c>
      <c r="AO1832">
        <v>0</v>
      </c>
      <c r="AP1832" t="s">
        <v>111</v>
      </c>
      <c r="AQ1832" t="s">
        <v>111</v>
      </c>
      <c r="AR1832" t="s">
        <v>111</v>
      </c>
      <c r="AS1832" t="s">
        <v>111</v>
      </c>
      <c r="AT1832" t="s">
        <v>111</v>
      </c>
      <c r="AU1832" t="s">
        <v>111</v>
      </c>
      <c r="AV1832" t="s">
        <v>111</v>
      </c>
      <c r="AW1832" t="s">
        <v>111</v>
      </c>
      <c r="AX1832" t="s">
        <v>111</v>
      </c>
      <c r="AY1832" t="s">
        <v>111</v>
      </c>
      <c r="AZ1832" t="s">
        <v>111</v>
      </c>
      <c r="BA1832" t="s">
        <v>111</v>
      </c>
      <c r="BB1832" t="s">
        <v>111</v>
      </c>
      <c r="BC1832" t="s">
        <v>111</v>
      </c>
      <c r="BD1832" t="s">
        <v>111</v>
      </c>
      <c r="BE1832" t="s">
        <v>111</v>
      </c>
      <c r="BF1832" t="s">
        <v>111</v>
      </c>
      <c r="BG1832" t="s">
        <v>111</v>
      </c>
      <c r="BH1832" t="s">
        <v>111</v>
      </c>
      <c r="BI1832" t="s">
        <v>111</v>
      </c>
      <c r="BJ1832" t="s">
        <v>111</v>
      </c>
      <c r="BK1832" t="s">
        <v>111</v>
      </c>
      <c r="BL1832" t="s">
        <v>111</v>
      </c>
      <c r="BM1832" t="s">
        <v>111</v>
      </c>
      <c r="BN1832" t="s">
        <v>111</v>
      </c>
      <c r="BO1832" t="s">
        <v>111</v>
      </c>
      <c r="BP1832" t="s">
        <v>111</v>
      </c>
      <c r="BQ1832" t="s">
        <v>111</v>
      </c>
      <c r="BR1832" t="s">
        <v>111</v>
      </c>
      <c r="BS1832" t="s">
        <v>111</v>
      </c>
      <c r="BT1832" t="s">
        <v>111</v>
      </c>
      <c r="BU1832" t="s">
        <v>111</v>
      </c>
      <c r="BV1832" t="s">
        <v>111</v>
      </c>
      <c r="BW1832" t="s">
        <v>111</v>
      </c>
      <c r="BX1832" t="s">
        <v>111</v>
      </c>
      <c r="BY1832" t="s">
        <v>111</v>
      </c>
      <c r="BZ1832" t="s">
        <v>111</v>
      </c>
      <c r="CA1832" t="s">
        <v>111</v>
      </c>
      <c r="CB1832" t="s">
        <v>111</v>
      </c>
      <c r="CC1832" t="s">
        <v>111</v>
      </c>
      <c r="CD1832" t="s">
        <v>111</v>
      </c>
      <c r="CE1832" t="s">
        <v>111</v>
      </c>
      <c r="CF1832" t="s">
        <v>111</v>
      </c>
      <c r="CG1832" t="s">
        <v>111</v>
      </c>
      <c r="CH1832" t="s">
        <v>111</v>
      </c>
      <c r="CI1832" t="s">
        <v>111</v>
      </c>
      <c r="CJ1832" t="s">
        <v>111</v>
      </c>
      <c r="CK1832" t="s">
        <v>111</v>
      </c>
      <c r="CL1832" t="s">
        <v>111</v>
      </c>
      <c r="CM1832" t="s">
        <v>198</v>
      </c>
      <c r="CN1832" t="s">
        <v>113</v>
      </c>
      <c r="CO1832" t="s">
        <v>111</v>
      </c>
      <c r="CP1832" t="s">
        <v>111</v>
      </c>
      <c r="CQ1832">
        <v>78</v>
      </c>
      <c r="CR1832">
        <v>6000</v>
      </c>
      <c r="CS1832">
        <v>100</v>
      </c>
      <c r="CT1832" s="1" t="s">
        <v>5046</v>
      </c>
      <c r="CU1832">
        <v>0</v>
      </c>
      <c r="CV1832" t="s">
        <v>111</v>
      </c>
      <c r="CW1832" t="s">
        <v>111</v>
      </c>
      <c r="CX1832" t="s">
        <v>111</v>
      </c>
      <c r="CY1832">
        <v>0</v>
      </c>
      <c r="CZ1832" t="s">
        <v>111</v>
      </c>
      <c r="DA1832" t="s">
        <v>111</v>
      </c>
      <c r="DB1832" t="s">
        <v>111</v>
      </c>
      <c r="DC1832" t="s">
        <v>111</v>
      </c>
    </row>
    <row r="1833" spans="1:107">
      <c r="A1833">
        <v>960</v>
      </c>
      <c r="B1833" t="s">
        <v>107</v>
      </c>
      <c r="C1833" t="s">
        <v>4206</v>
      </c>
      <c r="D1833" t="s">
        <v>5047</v>
      </c>
      <c r="E1833" t="s">
        <v>5048</v>
      </c>
      <c r="F1833" t="s">
        <v>1071</v>
      </c>
      <c r="G1833" t="s">
        <v>24</v>
      </c>
      <c r="H1833">
        <v>1</v>
      </c>
      <c r="I1833">
        <v>50</v>
      </c>
      <c r="J1833">
        <v>0</v>
      </c>
      <c r="K1833">
        <v>0</v>
      </c>
      <c r="L1833" t="s">
        <v>112</v>
      </c>
      <c r="M1833" t="s">
        <v>111</v>
      </c>
      <c r="N1833">
        <v>0</v>
      </c>
      <c r="O1833">
        <v>0</v>
      </c>
      <c r="P1833" t="s">
        <v>111</v>
      </c>
      <c r="Q1833">
        <v>40</v>
      </c>
      <c r="R1833">
        <v>0</v>
      </c>
      <c r="S1833">
        <v>0</v>
      </c>
      <c r="T1833">
        <v>5</v>
      </c>
      <c r="U1833" t="s">
        <v>296</v>
      </c>
      <c r="V1833">
        <v>0</v>
      </c>
      <c r="W1833">
        <v>0</v>
      </c>
      <c r="X1833">
        <v>0</v>
      </c>
      <c r="Y1833">
        <v>250</v>
      </c>
      <c r="Z1833" t="s">
        <v>111</v>
      </c>
      <c r="AA1833">
        <v>0</v>
      </c>
      <c r="AB1833">
        <v>0</v>
      </c>
      <c r="AC1833">
        <v>0</v>
      </c>
      <c r="AD1833" t="s">
        <v>111</v>
      </c>
      <c r="AE1833">
        <v>0</v>
      </c>
      <c r="AF1833">
        <v>0</v>
      </c>
      <c r="AG1833" t="s">
        <v>111</v>
      </c>
      <c r="AH1833" t="s">
        <v>111</v>
      </c>
      <c r="AI1833" t="s">
        <v>111</v>
      </c>
      <c r="AJ1833" t="s">
        <v>111</v>
      </c>
      <c r="AK1833" t="s">
        <v>111</v>
      </c>
      <c r="AL1833" t="s">
        <v>111</v>
      </c>
      <c r="AM1833">
        <v>0</v>
      </c>
      <c r="AN1833">
        <v>0</v>
      </c>
      <c r="AO1833">
        <v>0</v>
      </c>
      <c r="AP1833" t="s">
        <v>111</v>
      </c>
      <c r="AQ1833" t="s">
        <v>111</v>
      </c>
      <c r="AR1833" t="s">
        <v>111</v>
      </c>
      <c r="AS1833" t="s">
        <v>111</v>
      </c>
      <c r="AT1833" t="s">
        <v>111</v>
      </c>
      <c r="AU1833" t="s">
        <v>111</v>
      </c>
      <c r="AV1833" t="s">
        <v>111</v>
      </c>
      <c r="AW1833" t="s">
        <v>111</v>
      </c>
      <c r="AX1833" t="s">
        <v>111</v>
      </c>
      <c r="AY1833" t="s">
        <v>111</v>
      </c>
      <c r="AZ1833" t="s">
        <v>111</v>
      </c>
      <c r="BA1833" t="s">
        <v>111</v>
      </c>
      <c r="BB1833" t="s">
        <v>111</v>
      </c>
      <c r="BC1833" t="s">
        <v>111</v>
      </c>
      <c r="BD1833" t="s">
        <v>111</v>
      </c>
      <c r="BE1833" t="s">
        <v>111</v>
      </c>
      <c r="BF1833" t="s">
        <v>111</v>
      </c>
      <c r="BG1833" t="s">
        <v>111</v>
      </c>
      <c r="BH1833" t="s">
        <v>111</v>
      </c>
      <c r="BI1833" t="s">
        <v>111</v>
      </c>
      <c r="BJ1833" t="s">
        <v>111</v>
      </c>
      <c r="BK1833" t="s">
        <v>111</v>
      </c>
      <c r="BL1833" t="s">
        <v>111</v>
      </c>
      <c r="BM1833" t="s">
        <v>111</v>
      </c>
      <c r="BN1833" t="s">
        <v>111</v>
      </c>
      <c r="BO1833" t="s">
        <v>111</v>
      </c>
      <c r="BP1833" t="s">
        <v>111</v>
      </c>
      <c r="BQ1833" t="s">
        <v>111</v>
      </c>
      <c r="BR1833" t="s">
        <v>111</v>
      </c>
      <c r="BS1833" t="s">
        <v>111</v>
      </c>
      <c r="BT1833" t="s">
        <v>111</v>
      </c>
      <c r="BU1833" t="s">
        <v>111</v>
      </c>
      <c r="BV1833" t="s">
        <v>111</v>
      </c>
      <c r="BW1833" t="s">
        <v>111</v>
      </c>
      <c r="BX1833" t="s">
        <v>111</v>
      </c>
      <c r="BY1833" t="s">
        <v>111</v>
      </c>
      <c r="BZ1833" t="s">
        <v>111</v>
      </c>
      <c r="CA1833" t="s">
        <v>111</v>
      </c>
      <c r="CB1833" t="s">
        <v>111</v>
      </c>
      <c r="CC1833" t="s">
        <v>111</v>
      </c>
      <c r="CD1833" t="s">
        <v>111</v>
      </c>
      <c r="CE1833" t="s">
        <v>111</v>
      </c>
      <c r="CF1833" t="s">
        <v>111</v>
      </c>
      <c r="CG1833" t="s">
        <v>111</v>
      </c>
      <c r="CH1833" t="s">
        <v>111</v>
      </c>
      <c r="CI1833" t="s">
        <v>111</v>
      </c>
      <c r="CJ1833" t="s">
        <v>111</v>
      </c>
      <c r="CK1833" t="s">
        <v>111</v>
      </c>
      <c r="CL1833" t="s">
        <v>111</v>
      </c>
      <c r="CM1833" t="s">
        <v>198</v>
      </c>
      <c r="CN1833" t="s">
        <v>113</v>
      </c>
      <c r="CO1833" t="s">
        <v>111</v>
      </c>
      <c r="CP1833" t="s">
        <v>111</v>
      </c>
      <c r="CQ1833">
        <v>0</v>
      </c>
      <c r="CR1833">
        <v>6000</v>
      </c>
      <c r="CS1833">
        <v>100</v>
      </c>
      <c r="CT1833" s="1" t="s">
        <v>5049</v>
      </c>
      <c r="CU1833">
        <v>0</v>
      </c>
      <c r="CV1833" t="s">
        <v>111</v>
      </c>
      <c r="CW1833" t="s">
        <v>111</v>
      </c>
      <c r="CX1833" t="s">
        <v>111</v>
      </c>
      <c r="CY1833">
        <v>0</v>
      </c>
      <c r="CZ1833" t="s">
        <v>111</v>
      </c>
      <c r="DA1833" t="s">
        <v>111</v>
      </c>
      <c r="DB1833" t="s">
        <v>111</v>
      </c>
      <c r="DC1833" t="s">
        <v>111</v>
      </c>
    </row>
    <row r="1834" spans="1:107">
      <c r="A1834">
        <v>961</v>
      </c>
      <c r="B1834" t="s">
        <v>107</v>
      </c>
      <c r="C1834" t="s">
        <v>154</v>
      </c>
      <c r="D1834" t="s">
        <v>5050</v>
      </c>
      <c r="E1834" t="s">
        <v>5051</v>
      </c>
      <c r="F1834" t="s">
        <v>1071</v>
      </c>
      <c r="G1834" t="s">
        <v>24</v>
      </c>
      <c r="H1834">
        <v>2</v>
      </c>
      <c r="I1834">
        <v>20</v>
      </c>
      <c r="J1834">
        <v>0</v>
      </c>
      <c r="K1834">
        <v>0</v>
      </c>
      <c r="L1834" t="s">
        <v>112</v>
      </c>
      <c r="M1834" t="s">
        <v>111</v>
      </c>
      <c r="N1834">
        <v>0</v>
      </c>
      <c r="O1834">
        <v>0</v>
      </c>
      <c r="P1834" t="s">
        <v>111</v>
      </c>
      <c r="Q1834">
        <v>19</v>
      </c>
      <c r="R1834">
        <v>0</v>
      </c>
      <c r="S1834">
        <v>0</v>
      </c>
      <c r="T1834">
        <v>5</v>
      </c>
      <c r="U1834" t="s">
        <v>296</v>
      </c>
      <c r="V1834">
        <v>0</v>
      </c>
      <c r="W1834">
        <v>0</v>
      </c>
      <c r="X1834">
        <v>0</v>
      </c>
      <c r="Y1834">
        <v>25</v>
      </c>
      <c r="Z1834" t="s">
        <v>111</v>
      </c>
      <c r="AA1834">
        <v>0</v>
      </c>
      <c r="AB1834" t="s">
        <v>4530</v>
      </c>
      <c r="AC1834">
        <v>0.3</v>
      </c>
      <c r="AD1834" t="s">
        <v>111</v>
      </c>
      <c r="AE1834">
        <v>0</v>
      </c>
      <c r="AF1834">
        <v>0</v>
      </c>
      <c r="AG1834" t="s">
        <v>111</v>
      </c>
      <c r="AH1834" t="s">
        <v>111</v>
      </c>
      <c r="AI1834" t="s">
        <v>111</v>
      </c>
      <c r="AJ1834" t="s">
        <v>111</v>
      </c>
      <c r="AK1834" t="s">
        <v>111</v>
      </c>
      <c r="AL1834" t="s">
        <v>111</v>
      </c>
      <c r="AM1834">
        <v>0</v>
      </c>
      <c r="AN1834">
        <v>0</v>
      </c>
      <c r="AO1834">
        <v>0</v>
      </c>
      <c r="AP1834" t="s">
        <v>111</v>
      </c>
      <c r="AQ1834" t="s">
        <v>111</v>
      </c>
      <c r="AR1834" t="s">
        <v>111</v>
      </c>
      <c r="AS1834" t="s">
        <v>111</v>
      </c>
      <c r="AT1834" t="s">
        <v>111</v>
      </c>
      <c r="AU1834" t="s">
        <v>111</v>
      </c>
      <c r="AV1834" t="s">
        <v>111</v>
      </c>
      <c r="AW1834" t="s">
        <v>111</v>
      </c>
      <c r="AX1834" t="s">
        <v>111</v>
      </c>
      <c r="AY1834" t="s">
        <v>111</v>
      </c>
      <c r="AZ1834" t="s">
        <v>111</v>
      </c>
      <c r="BA1834" t="s">
        <v>111</v>
      </c>
      <c r="BB1834" t="s">
        <v>111</v>
      </c>
      <c r="BC1834" t="s">
        <v>111</v>
      </c>
      <c r="BD1834" t="s">
        <v>111</v>
      </c>
      <c r="BE1834" t="s">
        <v>111</v>
      </c>
      <c r="BF1834" t="s">
        <v>111</v>
      </c>
      <c r="BG1834" t="s">
        <v>111</v>
      </c>
      <c r="BH1834" t="s">
        <v>111</v>
      </c>
      <c r="BI1834" t="s">
        <v>111</v>
      </c>
      <c r="BJ1834" t="s">
        <v>111</v>
      </c>
      <c r="BK1834" t="s">
        <v>111</v>
      </c>
      <c r="BL1834" t="s">
        <v>111</v>
      </c>
      <c r="BM1834" t="s">
        <v>111</v>
      </c>
      <c r="BN1834" t="s">
        <v>111</v>
      </c>
      <c r="BO1834" t="s">
        <v>111</v>
      </c>
      <c r="BP1834" t="s">
        <v>111</v>
      </c>
      <c r="BQ1834" t="s">
        <v>111</v>
      </c>
      <c r="BR1834" t="s">
        <v>111</v>
      </c>
      <c r="BS1834" t="s">
        <v>111</v>
      </c>
      <c r="BT1834" t="s">
        <v>111</v>
      </c>
      <c r="BU1834" t="s">
        <v>111</v>
      </c>
      <c r="BV1834" t="s">
        <v>111</v>
      </c>
      <c r="BW1834" t="s">
        <v>111</v>
      </c>
      <c r="BX1834" t="s">
        <v>111</v>
      </c>
      <c r="BY1834" t="s">
        <v>111</v>
      </c>
      <c r="BZ1834" t="s">
        <v>111</v>
      </c>
      <c r="CA1834" t="s">
        <v>111</v>
      </c>
      <c r="CB1834" t="s">
        <v>111</v>
      </c>
      <c r="CC1834" t="s">
        <v>111</v>
      </c>
      <c r="CD1834" t="s">
        <v>111</v>
      </c>
      <c r="CE1834" t="s">
        <v>111</v>
      </c>
      <c r="CF1834" t="s">
        <v>111</v>
      </c>
      <c r="CG1834" t="s">
        <v>111</v>
      </c>
      <c r="CH1834" t="s">
        <v>111</v>
      </c>
      <c r="CI1834" t="s">
        <v>111</v>
      </c>
      <c r="CJ1834" t="s">
        <v>111</v>
      </c>
      <c r="CK1834" t="s">
        <v>111</v>
      </c>
      <c r="CL1834" t="s">
        <v>111</v>
      </c>
      <c r="CM1834">
        <v>450</v>
      </c>
      <c r="CN1834" t="s">
        <v>113</v>
      </c>
      <c r="CO1834" t="s">
        <v>111</v>
      </c>
      <c r="CP1834" t="s">
        <v>111</v>
      </c>
      <c r="CQ1834">
        <v>0</v>
      </c>
      <c r="CR1834">
        <v>30000</v>
      </c>
      <c r="CS1834">
        <v>1000</v>
      </c>
      <c r="CT1834" t="s">
        <v>394</v>
      </c>
      <c r="CU1834">
        <v>0</v>
      </c>
      <c r="CV1834" t="s">
        <v>111</v>
      </c>
      <c r="CW1834" t="s">
        <v>111</v>
      </c>
      <c r="CX1834" t="s">
        <v>111</v>
      </c>
      <c r="CY1834">
        <v>0</v>
      </c>
      <c r="CZ1834" t="s">
        <v>111</v>
      </c>
      <c r="DA1834" t="s">
        <v>111</v>
      </c>
      <c r="DB1834" t="s">
        <v>111</v>
      </c>
      <c r="DC1834" t="s">
        <v>111</v>
      </c>
    </row>
    <row r="1835" spans="1:107">
      <c r="A1835">
        <v>978</v>
      </c>
      <c r="B1835" t="s">
        <v>107</v>
      </c>
      <c r="C1835" t="s">
        <v>4324</v>
      </c>
      <c r="D1835" t="s">
        <v>4151</v>
      </c>
      <c r="E1835" t="s">
        <v>4152</v>
      </c>
      <c r="F1835" t="s">
        <v>2211</v>
      </c>
      <c r="G1835" t="s">
        <v>24</v>
      </c>
      <c r="H1835">
        <v>1.4</v>
      </c>
      <c r="I1835">
        <v>40</v>
      </c>
      <c r="J1835">
        <v>0</v>
      </c>
      <c r="K1835">
        <v>0</v>
      </c>
      <c r="L1835" t="s">
        <v>117</v>
      </c>
      <c r="M1835" t="s">
        <v>118</v>
      </c>
      <c r="N1835">
        <v>40</v>
      </c>
      <c r="O1835">
        <v>1</v>
      </c>
      <c r="P1835" t="s">
        <v>118</v>
      </c>
      <c r="Q1835">
        <v>33.299999999999997</v>
      </c>
      <c r="R1835">
        <v>0</v>
      </c>
      <c r="S1835">
        <v>0</v>
      </c>
      <c r="T1835">
        <v>0</v>
      </c>
      <c r="U1835" s="1" t="s">
        <v>5052</v>
      </c>
      <c r="V1835">
        <v>0</v>
      </c>
      <c r="W1835">
        <v>0</v>
      </c>
      <c r="X1835">
        <v>0</v>
      </c>
      <c r="Y1835">
        <v>25</v>
      </c>
      <c r="Z1835" t="s">
        <v>111</v>
      </c>
      <c r="AA1835">
        <v>0</v>
      </c>
      <c r="AB1835" t="s">
        <v>111</v>
      </c>
      <c r="AC1835">
        <v>0</v>
      </c>
      <c r="AD1835" t="s">
        <v>111</v>
      </c>
      <c r="AE1835">
        <v>0</v>
      </c>
      <c r="AF1835">
        <v>0</v>
      </c>
      <c r="AG1835" t="s">
        <v>111</v>
      </c>
      <c r="AH1835" t="s">
        <v>111</v>
      </c>
      <c r="AI1835" t="s">
        <v>111</v>
      </c>
      <c r="AJ1835" t="s">
        <v>111</v>
      </c>
      <c r="AK1835" t="s">
        <v>111</v>
      </c>
      <c r="AL1835" t="s">
        <v>111</v>
      </c>
      <c r="AM1835">
        <v>0</v>
      </c>
      <c r="AN1835">
        <v>0</v>
      </c>
      <c r="AO1835">
        <v>0</v>
      </c>
      <c r="AP1835" t="s">
        <v>111</v>
      </c>
      <c r="AQ1835" t="s">
        <v>111</v>
      </c>
      <c r="AR1835" t="s">
        <v>111</v>
      </c>
      <c r="AS1835" t="s">
        <v>111</v>
      </c>
      <c r="AT1835" t="s">
        <v>111</v>
      </c>
      <c r="AU1835" t="s">
        <v>111</v>
      </c>
      <c r="AV1835" t="s">
        <v>111</v>
      </c>
      <c r="AW1835" t="s">
        <v>111</v>
      </c>
      <c r="AX1835" t="s">
        <v>111</v>
      </c>
      <c r="AY1835" t="s">
        <v>111</v>
      </c>
      <c r="AZ1835" t="s">
        <v>111</v>
      </c>
      <c r="BA1835" t="s">
        <v>111</v>
      </c>
      <c r="BB1835" t="s">
        <v>111</v>
      </c>
      <c r="BC1835" t="s">
        <v>111</v>
      </c>
      <c r="BD1835" t="s">
        <v>111</v>
      </c>
      <c r="BE1835" t="s">
        <v>111</v>
      </c>
      <c r="BF1835" t="s">
        <v>111</v>
      </c>
      <c r="BG1835" t="s">
        <v>111</v>
      </c>
      <c r="BH1835" t="s">
        <v>111</v>
      </c>
      <c r="BI1835" t="s">
        <v>111</v>
      </c>
      <c r="BJ1835" t="s">
        <v>111</v>
      </c>
      <c r="BK1835" t="s">
        <v>111</v>
      </c>
      <c r="BL1835" t="s">
        <v>111</v>
      </c>
      <c r="BM1835" t="s">
        <v>111</v>
      </c>
      <c r="BN1835" t="s">
        <v>111</v>
      </c>
      <c r="BO1835" t="s">
        <v>111</v>
      </c>
      <c r="BP1835" t="s">
        <v>111</v>
      </c>
      <c r="BQ1835" t="s">
        <v>111</v>
      </c>
      <c r="BR1835" t="s">
        <v>111</v>
      </c>
      <c r="BS1835" t="s">
        <v>111</v>
      </c>
      <c r="BT1835" t="s">
        <v>111</v>
      </c>
      <c r="BU1835" t="s">
        <v>111</v>
      </c>
      <c r="BV1835" t="s">
        <v>111</v>
      </c>
      <c r="BW1835" t="s">
        <v>111</v>
      </c>
      <c r="BX1835" t="s">
        <v>111</v>
      </c>
      <c r="BY1835" t="s">
        <v>111</v>
      </c>
      <c r="BZ1835" t="s">
        <v>111</v>
      </c>
      <c r="CA1835" t="s">
        <v>111</v>
      </c>
      <c r="CB1835" t="s">
        <v>111</v>
      </c>
      <c r="CC1835" t="s">
        <v>111</v>
      </c>
      <c r="CD1835" t="s">
        <v>111</v>
      </c>
      <c r="CE1835" t="s">
        <v>111</v>
      </c>
      <c r="CF1835" t="s">
        <v>111</v>
      </c>
      <c r="CG1835" t="s">
        <v>111</v>
      </c>
      <c r="CH1835" t="s">
        <v>111</v>
      </c>
      <c r="CI1835" t="s">
        <v>111</v>
      </c>
      <c r="CJ1835" t="s">
        <v>111</v>
      </c>
      <c r="CK1835" t="s">
        <v>111</v>
      </c>
      <c r="CL1835" t="s">
        <v>111</v>
      </c>
      <c r="CM1835" t="s">
        <v>111</v>
      </c>
      <c r="CN1835" t="s">
        <v>111</v>
      </c>
      <c r="CO1835" t="s">
        <v>111</v>
      </c>
      <c r="CP1835" t="s">
        <v>111</v>
      </c>
      <c r="CQ1835">
        <v>0</v>
      </c>
      <c r="CR1835">
        <v>0</v>
      </c>
      <c r="CS1835">
        <v>0</v>
      </c>
      <c r="CT1835" t="s">
        <v>111</v>
      </c>
      <c r="CU1835">
        <v>0</v>
      </c>
      <c r="CV1835" t="s">
        <v>111</v>
      </c>
      <c r="CW1835" t="s">
        <v>111</v>
      </c>
      <c r="CX1835" t="s">
        <v>111</v>
      </c>
      <c r="CY1835">
        <v>0</v>
      </c>
      <c r="CZ1835" t="s">
        <v>111</v>
      </c>
      <c r="DA1835" t="s">
        <v>111</v>
      </c>
      <c r="DB1835" t="s">
        <v>111</v>
      </c>
      <c r="DC1835" t="s">
        <v>111</v>
      </c>
    </row>
    <row r="1836" spans="1:107">
      <c r="A1836">
        <v>979</v>
      </c>
      <c r="B1836" t="s">
        <v>107</v>
      </c>
      <c r="C1836" t="s">
        <v>5053</v>
      </c>
      <c r="D1836" t="s">
        <v>5054</v>
      </c>
      <c r="E1836" t="s">
        <v>5055</v>
      </c>
      <c r="F1836" t="s">
        <v>1071</v>
      </c>
      <c r="G1836" t="s">
        <v>24</v>
      </c>
      <c r="H1836">
        <v>1.5</v>
      </c>
      <c r="I1836">
        <v>33</v>
      </c>
      <c r="J1836">
        <v>0</v>
      </c>
      <c r="K1836">
        <v>0</v>
      </c>
      <c r="L1836" t="s">
        <v>112</v>
      </c>
      <c r="M1836" t="s">
        <v>111</v>
      </c>
      <c r="N1836">
        <v>0</v>
      </c>
      <c r="O1836">
        <v>0</v>
      </c>
      <c r="P1836" t="s">
        <v>138</v>
      </c>
      <c r="Q1836">
        <v>26.6</v>
      </c>
      <c r="R1836">
        <v>0</v>
      </c>
      <c r="S1836">
        <v>0</v>
      </c>
      <c r="T1836">
        <v>5</v>
      </c>
      <c r="U1836" s="1" t="s">
        <v>5056</v>
      </c>
      <c r="V1836">
        <v>0</v>
      </c>
      <c r="W1836">
        <v>0</v>
      </c>
      <c r="X1836">
        <v>0</v>
      </c>
      <c r="Y1836">
        <v>25</v>
      </c>
      <c r="Z1836" t="s">
        <v>111</v>
      </c>
      <c r="AA1836">
        <v>0</v>
      </c>
      <c r="AB1836" t="s">
        <v>4055</v>
      </c>
      <c r="AC1836">
        <v>0.3</v>
      </c>
      <c r="AD1836" t="s">
        <v>111</v>
      </c>
      <c r="AE1836">
        <v>0</v>
      </c>
      <c r="AF1836">
        <v>0</v>
      </c>
      <c r="AG1836" t="s">
        <v>111</v>
      </c>
      <c r="AH1836" t="s">
        <v>111</v>
      </c>
      <c r="AI1836" t="s">
        <v>111</v>
      </c>
      <c r="AJ1836" t="s">
        <v>111</v>
      </c>
      <c r="AK1836" t="s">
        <v>111</v>
      </c>
      <c r="AL1836" t="s">
        <v>111</v>
      </c>
      <c r="AM1836">
        <v>0</v>
      </c>
      <c r="AN1836">
        <v>0</v>
      </c>
      <c r="AO1836">
        <v>0</v>
      </c>
      <c r="AP1836" t="s">
        <v>111</v>
      </c>
      <c r="AQ1836" t="s">
        <v>111</v>
      </c>
      <c r="AR1836" t="s">
        <v>111</v>
      </c>
      <c r="AS1836" t="s">
        <v>111</v>
      </c>
      <c r="AT1836" t="s">
        <v>111</v>
      </c>
      <c r="AU1836" t="s">
        <v>111</v>
      </c>
      <c r="AV1836" t="s">
        <v>111</v>
      </c>
      <c r="AW1836" t="s">
        <v>111</v>
      </c>
      <c r="AX1836" t="s">
        <v>111</v>
      </c>
      <c r="AY1836" t="s">
        <v>111</v>
      </c>
      <c r="AZ1836" t="s">
        <v>111</v>
      </c>
      <c r="BA1836" t="s">
        <v>111</v>
      </c>
      <c r="BB1836" t="s">
        <v>111</v>
      </c>
      <c r="BC1836" t="s">
        <v>111</v>
      </c>
      <c r="BD1836" t="s">
        <v>111</v>
      </c>
      <c r="BE1836" t="s">
        <v>111</v>
      </c>
      <c r="BF1836" t="s">
        <v>111</v>
      </c>
      <c r="BG1836" t="s">
        <v>111</v>
      </c>
      <c r="BH1836" t="s">
        <v>111</v>
      </c>
      <c r="BI1836" t="s">
        <v>111</v>
      </c>
      <c r="BJ1836" t="s">
        <v>111</v>
      </c>
      <c r="BK1836" t="s">
        <v>111</v>
      </c>
      <c r="BL1836" t="s">
        <v>111</v>
      </c>
      <c r="BM1836" t="s">
        <v>111</v>
      </c>
      <c r="BN1836" t="s">
        <v>111</v>
      </c>
      <c r="BO1836" t="s">
        <v>111</v>
      </c>
      <c r="BP1836" t="s">
        <v>111</v>
      </c>
      <c r="BQ1836" t="s">
        <v>111</v>
      </c>
      <c r="BR1836" t="s">
        <v>111</v>
      </c>
      <c r="BS1836" t="s">
        <v>111</v>
      </c>
      <c r="BT1836" t="s">
        <v>111</v>
      </c>
      <c r="BU1836" t="s">
        <v>111</v>
      </c>
      <c r="BV1836" t="s">
        <v>111</v>
      </c>
      <c r="BW1836" t="s">
        <v>111</v>
      </c>
      <c r="BX1836" t="s">
        <v>111</v>
      </c>
      <c r="BY1836" t="s">
        <v>111</v>
      </c>
      <c r="BZ1836" t="s">
        <v>111</v>
      </c>
      <c r="CA1836" t="s">
        <v>111</v>
      </c>
      <c r="CB1836" t="s">
        <v>111</v>
      </c>
      <c r="CC1836" t="s">
        <v>111</v>
      </c>
      <c r="CD1836" t="s">
        <v>111</v>
      </c>
      <c r="CE1836" t="s">
        <v>111</v>
      </c>
      <c r="CF1836" t="s">
        <v>111</v>
      </c>
      <c r="CG1836" t="s">
        <v>111</v>
      </c>
      <c r="CH1836" t="s">
        <v>111</v>
      </c>
      <c r="CI1836" t="s">
        <v>111</v>
      </c>
      <c r="CJ1836" t="s">
        <v>111</v>
      </c>
      <c r="CK1836" t="s">
        <v>111</v>
      </c>
      <c r="CL1836" t="s">
        <v>111</v>
      </c>
      <c r="CM1836">
        <v>450</v>
      </c>
      <c r="CN1836" t="s">
        <v>113</v>
      </c>
      <c r="CO1836" t="s">
        <v>111</v>
      </c>
      <c r="CP1836" t="s">
        <v>111</v>
      </c>
      <c r="CQ1836">
        <v>0</v>
      </c>
      <c r="CR1836">
        <v>30000</v>
      </c>
      <c r="CS1836">
        <v>1000</v>
      </c>
      <c r="CT1836" t="s">
        <v>296</v>
      </c>
      <c r="CU1836">
        <v>0</v>
      </c>
      <c r="CV1836" t="s">
        <v>111</v>
      </c>
      <c r="CW1836" t="s">
        <v>111</v>
      </c>
      <c r="CX1836" t="s">
        <v>111</v>
      </c>
      <c r="CY1836">
        <v>0</v>
      </c>
      <c r="CZ1836" t="s">
        <v>111</v>
      </c>
      <c r="DA1836" t="s">
        <v>111</v>
      </c>
      <c r="DB1836" t="s">
        <v>111</v>
      </c>
      <c r="DC1836" t="s">
        <v>111</v>
      </c>
    </row>
    <row r="1837" spans="1:107">
      <c r="A1837">
        <v>698</v>
      </c>
      <c r="B1837" t="s">
        <v>162</v>
      </c>
      <c r="C1837" t="s">
        <v>928</v>
      </c>
      <c r="D1837" t="s">
        <v>4478</v>
      </c>
      <c r="E1837" t="s">
        <v>5057</v>
      </c>
      <c r="F1837" t="s">
        <v>1651</v>
      </c>
      <c r="G1837" t="s">
        <v>24</v>
      </c>
      <c r="H1837">
        <v>1.1000000000000001</v>
      </c>
      <c r="I1837">
        <v>35</v>
      </c>
      <c r="J1837">
        <v>0</v>
      </c>
      <c r="K1837">
        <v>0</v>
      </c>
      <c r="L1837" t="s">
        <v>112</v>
      </c>
      <c r="M1837" t="s">
        <v>118</v>
      </c>
      <c r="N1837">
        <v>39</v>
      </c>
      <c r="O1837">
        <v>1</v>
      </c>
      <c r="P1837" t="s">
        <v>138</v>
      </c>
      <c r="Q1837">
        <v>30</v>
      </c>
      <c r="R1837">
        <v>0</v>
      </c>
      <c r="S1837">
        <v>0</v>
      </c>
      <c r="T1837">
        <v>0</v>
      </c>
      <c r="U1837" t="s">
        <v>2685</v>
      </c>
      <c r="V1837">
        <v>0</v>
      </c>
      <c r="W1837">
        <v>0</v>
      </c>
      <c r="X1837">
        <v>0</v>
      </c>
      <c r="Y1837">
        <v>25</v>
      </c>
      <c r="Z1837" t="s">
        <v>111</v>
      </c>
      <c r="AA1837">
        <v>0</v>
      </c>
      <c r="AB1837" t="s">
        <v>111</v>
      </c>
      <c r="AC1837">
        <v>0</v>
      </c>
      <c r="AD1837" t="s">
        <v>427</v>
      </c>
      <c r="AE1837">
        <v>5</v>
      </c>
      <c r="AF1837">
        <v>1</v>
      </c>
      <c r="AG1837">
        <v>25</v>
      </c>
      <c r="AH1837" t="s">
        <v>111</v>
      </c>
      <c r="AI1837">
        <v>50</v>
      </c>
      <c r="AJ1837" t="s">
        <v>111</v>
      </c>
      <c r="AK1837" t="s">
        <v>111</v>
      </c>
      <c r="AL1837" t="s">
        <v>111</v>
      </c>
      <c r="AM1837">
        <v>0</v>
      </c>
      <c r="AN1837">
        <v>0</v>
      </c>
      <c r="AO1837">
        <v>0</v>
      </c>
      <c r="AP1837" t="s">
        <v>111</v>
      </c>
      <c r="AQ1837" t="s">
        <v>111</v>
      </c>
      <c r="AR1837" t="s">
        <v>111</v>
      </c>
      <c r="AS1837" t="s">
        <v>111</v>
      </c>
      <c r="AT1837" t="s">
        <v>111</v>
      </c>
      <c r="AU1837" t="s">
        <v>111</v>
      </c>
      <c r="AV1837" t="s">
        <v>111</v>
      </c>
      <c r="AW1837" t="s">
        <v>111</v>
      </c>
      <c r="AX1837" t="s">
        <v>111</v>
      </c>
      <c r="AY1837" t="s">
        <v>111</v>
      </c>
      <c r="AZ1837" t="s">
        <v>111</v>
      </c>
      <c r="BA1837" t="s">
        <v>111</v>
      </c>
      <c r="BB1837" t="s">
        <v>111</v>
      </c>
      <c r="BC1837" t="s">
        <v>111</v>
      </c>
      <c r="BD1837" t="s">
        <v>111</v>
      </c>
      <c r="BE1837" t="s">
        <v>111</v>
      </c>
      <c r="BF1837" t="s">
        <v>111</v>
      </c>
      <c r="BG1837" t="s">
        <v>111</v>
      </c>
      <c r="BH1837" t="s">
        <v>111</v>
      </c>
      <c r="BI1837" t="s">
        <v>111</v>
      </c>
      <c r="BJ1837" t="s">
        <v>111</v>
      </c>
      <c r="BK1837" t="s">
        <v>111</v>
      </c>
      <c r="BL1837" t="s">
        <v>111</v>
      </c>
      <c r="BM1837" t="s">
        <v>111</v>
      </c>
      <c r="BN1837" t="s">
        <v>111</v>
      </c>
      <c r="BO1837" t="s">
        <v>111</v>
      </c>
      <c r="BP1837" t="s">
        <v>111</v>
      </c>
      <c r="BQ1837" t="s">
        <v>111</v>
      </c>
      <c r="BR1837" t="s">
        <v>111</v>
      </c>
      <c r="BS1837" t="s">
        <v>111</v>
      </c>
      <c r="BT1837" t="s">
        <v>111</v>
      </c>
      <c r="BU1837" t="s">
        <v>111</v>
      </c>
      <c r="BV1837" t="s">
        <v>111</v>
      </c>
      <c r="BW1837" t="s">
        <v>111</v>
      </c>
      <c r="BX1837" t="s">
        <v>111</v>
      </c>
      <c r="BY1837" t="s">
        <v>111</v>
      </c>
      <c r="BZ1837" t="s">
        <v>111</v>
      </c>
      <c r="CA1837" t="s">
        <v>111</v>
      </c>
      <c r="CB1837" t="s">
        <v>111</v>
      </c>
      <c r="CC1837" t="s">
        <v>111</v>
      </c>
      <c r="CD1837" t="s">
        <v>111</v>
      </c>
      <c r="CE1837" t="s">
        <v>111</v>
      </c>
      <c r="CF1837" t="s">
        <v>111</v>
      </c>
      <c r="CG1837" t="s">
        <v>111</v>
      </c>
      <c r="CH1837" t="s">
        <v>111</v>
      </c>
      <c r="CI1837" t="s">
        <v>111</v>
      </c>
      <c r="CJ1837" t="s">
        <v>111</v>
      </c>
      <c r="CK1837" t="s">
        <v>111</v>
      </c>
      <c r="CL1837" t="s">
        <v>153</v>
      </c>
      <c r="CM1837" t="s">
        <v>198</v>
      </c>
      <c r="CN1837" t="s">
        <v>113</v>
      </c>
      <c r="CO1837" t="s">
        <v>637</v>
      </c>
      <c r="CP1837" t="s">
        <v>433</v>
      </c>
      <c r="CQ1837">
        <v>0</v>
      </c>
      <c r="CR1837">
        <v>0</v>
      </c>
      <c r="CS1837">
        <v>250</v>
      </c>
      <c r="CT1837" t="s">
        <v>168</v>
      </c>
      <c r="CU1837">
        <v>0</v>
      </c>
      <c r="CV1837" t="s">
        <v>111</v>
      </c>
      <c r="CW1837" t="s">
        <v>111</v>
      </c>
      <c r="CX1837" t="s">
        <v>111</v>
      </c>
      <c r="CY1837">
        <v>0</v>
      </c>
      <c r="CZ1837" t="s">
        <v>111</v>
      </c>
      <c r="DA1837" t="s">
        <v>111</v>
      </c>
      <c r="DB1837" t="s">
        <v>111</v>
      </c>
      <c r="DC1837" t="s">
        <v>111</v>
      </c>
    </row>
    <row r="1838" spans="1:107">
      <c r="A1838">
        <v>981</v>
      </c>
      <c r="B1838" t="s">
        <v>107</v>
      </c>
      <c r="C1838" t="s">
        <v>154</v>
      </c>
      <c r="D1838" t="s">
        <v>5058</v>
      </c>
      <c r="E1838" t="s">
        <v>5059</v>
      </c>
      <c r="F1838" t="s">
        <v>1071</v>
      </c>
      <c r="G1838" t="s">
        <v>24</v>
      </c>
      <c r="H1838">
        <v>1.9</v>
      </c>
      <c r="I1838">
        <v>28</v>
      </c>
      <c r="J1838">
        <v>0</v>
      </c>
      <c r="K1838">
        <v>0</v>
      </c>
      <c r="L1838" t="s">
        <v>112</v>
      </c>
      <c r="M1838" t="s">
        <v>111</v>
      </c>
      <c r="N1838">
        <v>0</v>
      </c>
      <c r="O1838">
        <v>0</v>
      </c>
      <c r="P1838" t="s">
        <v>138</v>
      </c>
      <c r="Q1838">
        <v>25</v>
      </c>
      <c r="R1838">
        <v>0</v>
      </c>
      <c r="S1838">
        <v>0</v>
      </c>
      <c r="T1838">
        <v>5</v>
      </c>
      <c r="U1838" t="s">
        <v>296</v>
      </c>
      <c r="V1838">
        <v>0</v>
      </c>
      <c r="W1838">
        <v>0</v>
      </c>
      <c r="X1838">
        <v>0</v>
      </c>
      <c r="Y1838">
        <v>25</v>
      </c>
      <c r="Z1838" t="s">
        <v>111</v>
      </c>
      <c r="AA1838">
        <v>0</v>
      </c>
      <c r="AB1838" t="s">
        <v>111</v>
      </c>
      <c r="AC1838">
        <v>0</v>
      </c>
      <c r="AD1838" t="s">
        <v>111</v>
      </c>
      <c r="AE1838">
        <v>0</v>
      </c>
      <c r="AF1838">
        <v>0</v>
      </c>
      <c r="AG1838" t="s">
        <v>111</v>
      </c>
      <c r="AH1838" t="s">
        <v>111</v>
      </c>
      <c r="AI1838" t="s">
        <v>111</v>
      </c>
      <c r="AJ1838" t="s">
        <v>111</v>
      </c>
      <c r="AK1838" t="s">
        <v>111</v>
      </c>
      <c r="AL1838" t="s">
        <v>111</v>
      </c>
      <c r="AM1838">
        <v>0</v>
      </c>
      <c r="AN1838">
        <v>0</v>
      </c>
      <c r="AO1838">
        <v>0</v>
      </c>
      <c r="AP1838" t="s">
        <v>111</v>
      </c>
      <c r="AQ1838" t="s">
        <v>111</v>
      </c>
      <c r="AR1838" t="s">
        <v>111</v>
      </c>
      <c r="AS1838" t="s">
        <v>111</v>
      </c>
      <c r="AT1838" t="s">
        <v>111</v>
      </c>
      <c r="AU1838" t="s">
        <v>111</v>
      </c>
      <c r="AV1838" t="s">
        <v>111</v>
      </c>
      <c r="AW1838" t="s">
        <v>111</v>
      </c>
      <c r="AX1838" t="s">
        <v>111</v>
      </c>
      <c r="AY1838" t="s">
        <v>111</v>
      </c>
      <c r="AZ1838" t="s">
        <v>111</v>
      </c>
      <c r="BA1838" t="s">
        <v>111</v>
      </c>
      <c r="BB1838" t="s">
        <v>111</v>
      </c>
      <c r="BC1838" t="s">
        <v>111</v>
      </c>
      <c r="BD1838" t="s">
        <v>111</v>
      </c>
      <c r="BE1838" t="s">
        <v>111</v>
      </c>
      <c r="BF1838" t="s">
        <v>111</v>
      </c>
      <c r="BG1838" t="s">
        <v>111</v>
      </c>
      <c r="BH1838" t="s">
        <v>111</v>
      </c>
      <c r="BI1838" t="s">
        <v>111</v>
      </c>
      <c r="BJ1838" t="s">
        <v>111</v>
      </c>
      <c r="BK1838" t="s">
        <v>111</v>
      </c>
      <c r="BL1838" t="s">
        <v>111</v>
      </c>
      <c r="BM1838" t="s">
        <v>111</v>
      </c>
      <c r="BN1838" t="s">
        <v>111</v>
      </c>
      <c r="BO1838" t="s">
        <v>111</v>
      </c>
      <c r="BP1838" t="s">
        <v>111</v>
      </c>
      <c r="BQ1838" t="s">
        <v>111</v>
      </c>
      <c r="BR1838" t="s">
        <v>111</v>
      </c>
      <c r="BS1838" t="s">
        <v>111</v>
      </c>
      <c r="BT1838" t="s">
        <v>111</v>
      </c>
      <c r="BU1838" t="s">
        <v>111</v>
      </c>
      <c r="BV1838" t="s">
        <v>111</v>
      </c>
      <c r="BW1838" t="s">
        <v>111</v>
      </c>
      <c r="BX1838" t="s">
        <v>111</v>
      </c>
      <c r="BY1838" t="s">
        <v>111</v>
      </c>
      <c r="BZ1838" t="s">
        <v>111</v>
      </c>
      <c r="CA1838" t="s">
        <v>111</v>
      </c>
      <c r="CB1838" t="s">
        <v>111</v>
      </c>
      <c r="CC1838" t="s">
        <v>111</v>
      </c>
      <c r="CD1838" t="s">
        <v>111</v>
      </c>
      <c r="CE1838" t="s">
        <v>111</v>
      </c>
      <c r="CF1838" t="s">
        <v>111</v>
      </c>
      <c r="CG1838" t="s">
        <v>111</v>
      </c>
      <c r="CH1838" t="s">
        <v>111</v>
      </c>
      <c r="CI1838" t="s">
        <v>111</v>
      </c>
      <c r="CJ1838" t="s">
        <v>111</v>
      </c>
      <c r="CK1838" t="s">
        <v>111</v>
      </c>
      <c r="CL1838" t="s">
        <v>111</v>
      </c>
      <c r="CM1838">
        <v>450</v>
      </c>
      <c r="CN1838" t="s">
        <v>113</v>
      </c>
      <c r="CO1838" t="s">
        <v>111</v>
      </c>
      <c r="CP1838" t="s">
        <v>111</v>
      </c>
      <c r="CQ1838">
        <v>0</v>
      </c>
      <c r="CR1838">
        <v>15000</v>
      </c>
      <c r="CS1838">
        <v>1000</v>
      </c>
      <c r="CT1838" t="s">
        <v>5060</v>
      </c>
      <c r="CU1838">
        <v>0</v>
      </c>
      <c r="CV1838" t="s">
        <v>111</v>
      </c>
      <c r="CW1838" t="s">
        <v>111</v>
      </c>
      <c r="CX1838" t="s">
        <v>111</v>
      </c>
      <c r="CY1838">
        <v>0</v>
      </c>
      <c r="CZ1838" t="s">
        <v>111</v>
      </c>
      <c r="DA1838" t="s">
        <v>111</v>
      </c>
      <c r="DB1838" t="s">
        <v>111</v>
      </c>
      <c r="DC1838" t="s">
        <v>111</v>
      </c>
    </row>
    <row r="1839" spans="1:107">
      <c r="A1839">
        <v>946</v>
      </c>
      <c r="B1839" t="s">
        <v>107</v>
      </c>
      <c r="C1839" t="s">
        <v>1106</v>
      </c>
      <c r="D1839" t="s">
        <v>5061</v>
      </c>
      <c r="E1839" t="s">
        <v>5062</v>
      </c>
      <c r="F1839" t="s">
        <v>1071</v>
      </c>
      <c r="G1839" t="s">
        <v>24</v>
      </c>
      <c r="H1839">
        <v>0.8</v>
      </c>
      <c r="I1839">
        <v>30</v>
      </c>
      <c r="J1839">
        <v>0</v>
      </c>
      <c r="K1839">
        <v>0</v>
      </c>
      <c r="L1839" t="s">
        <v>112</v>
      </c>
      <c r="M1839" t="s">
        <v>111</v>
      </c>
      <c r="N1839">
        <v>0</v>
      </c>
      <c r="O1839">
        <v>0</v>
      </c>
      <c r="P1839" t="s">
        <v>138</v>
      </c>
      <c r="Q1839">
        <v>31.3</v>
      </c>
      <c r="R1839">
        <v>0</v>
      </c>
      <c r="S1839">
        <v>0</v>
      </c>
      <c r="T1839">
        <v>3</v>
      </c>
      <c r="U1839" s="1" t="s">
        <v>1392</v>
      </c>
      <c r="V1839">
        <v>0</v>
      </c>
      <c r="W1839">
        <v>0</v>
      </c>
      <c r="X1839">
        <v>0</v>
      </c>
      <c r="Y1839">
        <v>25</v>
      </c>
      <c r="Z1839" t="s">
        <v>111</v>
      </c>
      <c r="AA1839">
        <v>0</v>
      </c>
      <c r="AB1839" t="s">
        <v>111</v>
      </c>
      <c r="AC1839">
        <v>0</v>
      </c>
      <c r="AD1839" t="s">
        <v>111</v>
      </c>
      <c r="AE1839">
        <v>0</v>
      </c>
      <c r="AF1839">
        <v>0</v>
      </c>
      <c r="AG1839" t="s">
        <v>111</v>
      </c>
      <c r="AH1839" t="s">
        <v>111</v>
      </c>
      <c r="AI1839" t="s">
        <v>111</v>
      </c>
      <c r="AJ1839" t="s">
        <v>111</v>
      </c>
      <c r="AK1839" t="s">
        <v>111</v>
      </c>
      <c r="AL1839" t="s">
        <v>111</v>
      </c>
      <c r="AM1839">
        <v>0</v>
      </c>
      <c r="AN1839">
        <v>0</v>
      </c>
      <c r="AO1839">
        <v>0</v>
      </c>
      <c r="AP1839" t="s">
        <v>111</v>
      </c>
      <c r="AQ1839" t="s">
        <v>111</v>
      </c>
      <c r="AR1839" t="s">
        <v>111</v>
      </c>
      <c r="AS1839" t="s">
        <v>111</v>
      </c>
      <c r="AT1839" t="s">
        <v>111</v>
      </c>
      <c r="AU1839" t="s">
        <v>111</v>
      </c>
      <c r="AV1839" t="s">
        <v>111</v>
      </c>
      <c r="AW1839" t="s">
        <v>111</v>
      </c>
      <c r="AX1839" t="s">
        <v>111</v>
      </c>
      <c r="AY1839" t="s">
        <v>111</v>
      </c>
      <c r="AZ1839" t="s">
        <v>111</v>
      </c>
      <c r="BA1839" t="s">
        <v>111</v>
      </c>
      <c r="BB1839" t="s">
        <v>111</v>
      </c>
      <c r="BC1839" t="s">
        <v>111</v>
      </c>
      <c r="BD1839" t="s">
        <v>111</v>
      </c>
      <c r="BE1839" t="s">
        <v>111</v>
      </c>
      <c r="BF1839" t="s">
        <v>111</v>
      </c>
      <c r="BG1839" t="s">
        <v>111</v>
      </c>
      <c r="BH1839" t="s">
        <v>111</v>
      </c>
      <c r="BI1839" t="s">
        <v>111</v>
      </c>
      <c r="BJ1839" t="s">
        <v>111</v>
      </c>
      <c r="BK1839" t="s">
        <v>111</v>
      </c>
      <c r="BL1839" t="s">
        <v>111</v>
      </c>
      <c r="BM1839" t="s">
        <v>111</v>
      </c>
      <c r="BN1839" t="s">
        <v>111</v>
      </c>
      <c r="BO1839" t="s">
        <v>111</v>
      </c>
      <c r="BP1839" t="s">
        <v>111</v>
      </c>
      <c r="BQ1839" t="s">
        <v>111</v>
      </c>
      <c r="BR1839" t="s">
        <v>111</v>
      </c>
      <c r="BS1839" t="s">
        <v>111</v>
      </c>
      <c r="BT1839" t="s">
        <v>111</v>
      </c>
      <c r="BU1839" t="s">
        <v>111</v>
      </c>
      <c r="BV1839" t="s">
        <v>111</v>
      </c>
      <c r="BW1839" t="s">
        <v>111</v>
      </c>
      <c r="BX1839" t="s">
        <v>111</v>
      </c>
      <c r="BY1839" t="s">
        <v>111</v>
      </c>
      <c r="BZ1839" t="s">
        <v>111</v>
      </c>
      <c r="CA1839" t="s">
        <v>111</v>
      </c>
      <c r="CB1839" t="s">
        <v>111</v>
      </c>
      <c r="CC1839" t="s">
        <v>111</v>
      </c>
      <c r="CD1839" t="s">
        <v>111</v>
      </c>
      <c r="CE1839" t="s">
        <v>111</v>
      </c>
      <c r="CF1839" t="s">
        <v>111</v>
      </c>
      <c r="CG1839" t="s">
        <v>111</v>
      </c>
      <c r="CH1839" t="s">
        <v>111</v>
      </c>
      <c r="CI1839" t="s">
        <v>111</v>
      </c>
      <c r="CJ1839" t="s">
        <v>111</v>
      </c>
      <c r="CK1839" t="s">
        <v>111</v>
      </c>
      <c r="CL1839" t="s">
        <v>111</v>
      </c>
      <c r="CM1839">
        <v>450</v>
      </c>
      <c r="CN1839" t="s">
        <v>113</v>
      </c>
      <c r="CO1839" t="s">
        <v>111</v>
      </c>
      <c r="CP1839" t="s">
        <v>111</v>
      </c>
      <c r="CQ1839">
        <v>100</v>
      </c>
      <c r="CR1839">
        <v>10000</v>
      </c>
      <c r="CS1839">
        <v>200</v>
      </c>
      <c r="CT1839" t="s">
        <v>394</v>
      </c>
      <c r="CU1839">
        <v>0</v>
      </c>
      <c r="CV1839" t="s">
        <v>111</v>
      </c>
      <c r="CW1839" t="s">
        <v>111</v>
      </c>
      <c r="CX1839" t="s">
        <v>111</v>
      </c>
      <c r="CY1839">
        <v>0</v>
      </c>
      <c r="CZ1839" t="s">
        <v>111</v>
      </c>
      <c r="DA1839" t="s">
        <v>111</v>
      </c>
      <c r="DB1839" t="s">
        <v>111</v>
      </c>
      <c r="DC1839" t="s">
        <v>111</v>
      </c>
    </row>
    <row r="1840" spans="1:107">
      <c r="A1840">
        <v>676</v>
      </c>
      <c r="B1840" t="s">
        <v>162</v>
      </c>
      <c r="C1840" t="s">
        <v>421</v>
      </c>
      <c r="D1840" t="s">
        <v>3889</v>
      </c>
      <c r="E1840" t="s">
        <v>3890</v>
      </c>
      <c r="F1840" t="s">
        <v>1651</v>
      </c>
      <c r="G1840" t="s">
        <v>24</v>
      </c>
      <c r="H1840">
        <v>1.5</v>
      </c>
      <c r="I1840">
        <v>42</v>
      </c>
      <c r="J1840">
        <v>0</v>
      </c>
      <c r="K1840">
        <v>0</v>
      </c>
      <c r="L1840" t="s">
        <v>112</v>
      </c>
      <c r="M1840" t="s">
        <v>118</v>
      </c>
      <c r="N1840">
        <v>40</v>
      </c>
      <c r="O1840">
        <v>1</v>
      </c>
      <c r="P1840" t="s">
        <v>138</v>
      </c>
      <c r="Q1840">
        <v>30</v>
      </c>
      <c r="R1840">
        <v>0</v>
      </c>
      <c r="S1840">
        <v>0</v>
      </c>
      <c r="T1840">
        <v>0</v>
      </c>
      <c r="U1840" t="s">
        <v>1353</v>
      </c>
      <c r="V1840">
        <v>0</v>
      </c>
      <c r="W1840">
        <v>0</v>
      </c>
      <c r="X1840">
        <v>0</v>
      </c>
      <c r="Y1840">
        <v>25</v>
      </c>
      <c r="Z1840" t="s">
        <v>111</v>
      </c>
      <c r="AA1840">
        <v>0</v>
      </c>
      <c r="AB1840" t="s">
        <v>111</v>
      </c>
      <c r="AC1840">
        <v>0</v>
      </c>
      <c r="AD1840" t="s">
        <v>416</v>
      </c>
      <c r="AE1840">
        <v>1</v>
      </c>
      <c r="AF1840">
        <v>1</v>
      </c>
      <c r="AG1840" t="s">
        <v>3891</v>
      </c>
      <c r="AH1840" t="s">
        <v>111</v>
      </c>
      <c r="AI1840">
        <v>35</v>
      </c>
      <c r="AJ1840" t="s">
        <v>111</v>
      </c>
      <c r="AK1840" t="s">
        <v>111</v>
      </c>
      <c r="AL1840" t="s">
        <v>111</v>
      </c>
      <c r="AM1840">
        <v>0</v>
      </c>
      <c r="AN1840">
        <v>0</v>
      </c>
      <c r="AO1840">
        <v>0</v>
      </c>
      <c r="AP1840" t="s">
        <v>111</v>
      </c>
      <c r="AQ1840" t="s">
        <v>111</v>
      </c>
      <c r="AR1840" t="s">
        <v>111</v>
      </c>
      <c r="AS1840" t="s">
        <v>111</v>
      </c>
      <c r="AT1840" t="s">
        <v>111</v>
      </c>
      <c r="AU1840" t="s">
        <v>111</v>
      </c>
      <c r="AV1840" t="s">
        <v>111</v>
      </c>
      <c r="AW1840" t="s">
        <v>111</v>
      </c>
      <c r="AX1840" t="s">
        <v>111</v>
      </c>
      <c r="AY1840" t="s">
        <v>111</v>
      </c>
      <c r="AZ1840" t="s">
        <v>111</v>
      </c>
      <c r="BA1840" t="s">
        <v>111</v>
      </c>
      <c r="BB1840" t="s">
        <v>111</v>
      </c>
      <c r="BC1840" t="s">
        <v>111</v>
      </c>
      <c r="BD1840" t="s">
        <v>111</v>
      </c>
      <c r="BE1840" t="s">
        <v>111</v>
      </c>
      <c r="BF1840" t="s">
        <v>111</v>
      </c>
      <c r="BG1840" t="s">
        <v>111</v>
      </c>
      <c r="BH1840" t="s">
        <v>111</v>
      </c>
      <c r="BI1840" t="s">
        <v>111</v>
      </c>
      <c r="BJ1840" t="s">
        <v>111</v>
      </c>
      <c r="BK1840" t="s">
        <v>111</v>
      </c>
      <c r="BL1840" t="s">
        <v>111</v>
      </c>
      <c r="BM1840" t="s">
        <v>111</v>
      </c>
      <c r="BN1840" t="s">
        <v>111</v>
      </c>
      <c r="BO1840" t="s">
        <v>111</v>
      </c>
      <c r="BP1840" t="s">
        <v>111</v>
      </c>
      <c r="BQ1840" t="s">
        <v>111</v>
      </c>
      <c r="BR1840" t="s">
        <v>111</v>
      </c>
      <c r="BS1840" t="s">
        <v>111</v>
      </c>
      <c r="BT1840" t="s">
        <v>111</v>
      </c>
      <c r="BU1840" t="s">
        <v>111</v>
      </c>
      <c r="BV1840" t="s">
        <v>111</v>
      </c>
      <c r="BW1840" t="s">
        <v>111</v>
      </c>
      <c r="BX1840" t="s">
        <v>111</v>
      </c>
      <c r="BY1840" t="s">
        <v>111</v>
      </c>
      <c r="BZ1840" t="s">
        <v>111</v>
      </c>
      <c r="CA1840" t="s">
        <v>111</v>
      </c>
      <c r="CB1840" t="s">
        <v>111</v>
      </c>
      <c r="CC1840" t="s">
        <v>111</v>
      </c>
      <c r="CD1840" t="s">
        <v>111</v>
      </c>
      <c r="CE1840" t="s">
        <v>111</v>
      </c>
      <c r="CF1840" t="s">
        <v>111</v>
      </c>
      <c r="CG1840" t="s">
        <v>111</v>
      </c>
      <c r="CH1840" t="s">
        <v>111</v>
      </c>
      <c r="CI1840" t="s">
        <v>111</v>
      </c>
      <c r="CJ1840" t="s">
        <v>111</v>
      </c>
      <c r="CK1840" t="s">
        <v>111</v>
      </c>
      <c r="CL1840" t="s">
        <v>153</v>
      </c>
      <c r="CM1840" t="s">
        <v>198</v>
      </c>
      <c r="CN1840" t="s">
        <v>113</v>
      </c>
      <c r="CO1840" t="s">
        <v>111</v>
      </c>
      <c r="CP1840" t="s">
        <v>433</v>
      </c>
      <c r="CQ1840">
        <v>0</v>
      </c>
      <c r="CR1840">
        <v>2400</v>
      </c>
      <c r="CS1840">
        <v>200</v>
      </c>
      <c r="CT1840" s="1" t="s">
        <v>5063</v>
      </c>
      <c r="CU1840">
        <v>0</v>
      </c>
      <c r="CV1840" t="s">
        <v>111</v>
      </c>
      <c r="CW1840" t="s">
        <v>111</v>
      </c>
      <c r="CX1840" t="s">
        <v>111</v>
      </c>
      <c r="CY1840">
        <v>0</v>
      </c>
      <c r="CZ1840" t="s">
        <v>111</v>
      </c>
      <c r="DA1840" t="s">
        <v>111</v>
      </c>
      <c r="DB1840" t="s">
        <v>111</v>
      </c>
      <c r="DC1840" t="s">
        <v>111</v>
      </c>
    </row>
    <row r="1841" spans="1:107">
      <c r="A1841">
        <v>679</v>
      </c>
      <c r="B1841" t="s">
        <v>162</v>
      </c>
      <c r="C1841" t="s">
        <v>1257</v>
      </c>
      <c r="D1841" t="s">
        <v>4407</v>
      </c>
      <c r="E1841" t="s">
        <v>5064</v>
      </c>
      <c r="F1841" t="s">
        <v>1260</v>
      </c>
      <c r="G1841" t="s">
        <v>24</v>
      </c>
      <c r="H1841">
        <v>2</v>
      </c>
      <c r="I1841">
        <v>40</v>
      </c>
      <c r="J1841">
        <v>0</v>
      </c>
      <c r="K1841">
        <v>0</v>
      </c>
      <c r="L1841" t="s">
        <v>117</v>
      </c>
      <c r="M1841" t="s">
        <v>118</v>
      </c>
      <c r="N1841">
        <v>40</v>
      </c>
      <c r="O1841">
        <v>1</v>
      </c>
      <c r="P1841" t="s">
        <v>138</v>
      </c>
      <c r="Q1841">
        <v>30</v>
      </c>
      <c r="R1841">
        <v>0</v>
      </c>
      <c r="S1841">
        <v>0</v>
      </c>
      <c r="T1841">
        <v>0</v>
      </c>
      <c r="U1841" t="s">
        <v>1353</v>
      </c>
      <c r="V1841">
        <v>0</v>
      </c>
      <c r="W1841">
        <v>0</v>
      </c>
      <c r="X1841">
        <v>0</v>
      </c>
      <c r="Y1841">
        <v>25</v>
      </c>
      <c r="Z1841" t="s">
        <v>111</v>
      </c>
      <c r="AA1841">
        <v>0</v>
      </c>
      <c r="AB1841" t="s">
        <v>111</v>
      </c>
      <c r="AC1841">
        <v>0</v>
      </c>
      <c r="AD1841" t="s">
        <v>416</v>
      </c>
      <c r="AE1841">
        <v>4</v>
      </c>
      <c r="AF1841">
        <v>1</v>
      </c>
      <c r="AG1841" t="s">
        <v>5065</v>
      </c>
      <c r="AH1841" t="s">
        <v>111</v>
      </c>
      <c r="AI1841">
        <v>30</v>
      </c>
      <c r="AJ1841" t="s">
        <v>111</v>
      </c>
      <c r="AK1841" t="s">
        <v>111</v>
      </c>
      <c r="AL1841" t="s">
        <v>111</v>
      </c>
      <c r="AM1841">
        <v>0</v>
      </c>
      <c r="AN1841">
        <v>0</v>
      </c>
      <c r="AO1841">
        <v>0</v>
      </c>
      <c r="AP1841" t="s">
        <v>111</v>
      </c>
      <c r="AQ1841" t="s">
        <v>111</v>
      </c>
      <c r="AR1841" t="s">
        <v>111</v>
      </c>
      <c r="AS1841" t="s">
        <v>111</v>
      </c>
      <c r="AT1841" t="s">
        <v>111</v>
      </c>
      <c r="AU1841" t="s">
        <v>111</v>
      </c>
      <c r="AV1841" t="s">
        <v>111</v>
      </c>
      <c r="AW1841" t="s">
        <v>111</v>
      </c>
      <c r="AX1841" t="s">
        <v>111</v>
      </c>
      <c r="AY1841" t="s">
        <v>111</v>
      </c>
      <c r="AZ1841" t="s">
        <v>111</v>
      </c>
      <c r="BA1841" t="s">
        <v>111</v>
      </c>
      <c r="BB1841" t="s">
        <v>111</v>
      </c>
      <c r="BC1841" t="s">
        <v>111</v>
      </c>
      <c r="BD1841" t="s">
        <v>111</v>
      </c>
      <c r="BE1841" t="s">
        <v>111</v>
      </c>
      <c r="BF1841" t="s">
        <v>111</v>
      </c>
      <c r="BG1841" t="s">
        <v>111</v>
      </c>
      <c r="BH1841" t="s">
        <v>111</v>
      </c>
      <c r="BI1841" t="s">
        <v>111</v>
      </c>
      <c r="BJ1841" t="s">
        <v>111</v>
      </c>
      <c r="BK1841" t="s">
        <v>111</v>
      </c>
      <c r="BL1841" t="s">
        <v>111</v>
      </c>
      <c r="BM1841" t="s">
        <v>111</v>
      </c>
      <c r="BN1841" t="s">
        <v>111</v>
      </c>
      <c r="BO1841" t="s">
        <v>111</v>
      </c>
      <c r="BP1841" t="s">
        <v>111</v>
      </c>
      <c r="BQ1841" t="s">
        <v>111</v>
      </c>
      <c r="BR1841" t="s">
        <v>111</v>
      </c>
      <c r="BS1841" t="s">
        <v>111</v>
      </c>
      <c r="BT1841" t="s">
        <v>111</v>
      </c>
      <c r="BU1841" t="s">
        <v>111</v>
      </c>
      <c r="BV1841" t="s">
        <v>111</v>
      </c>
      <c r="BW1841" t="s">
        <v>111</v>
      </c>
      <c r="BX1841" t="s">
        <v>111</v>
      </c>
      <c r="BY1841" t="s">
        <v>111</v>
      </c>
      <c r="BZ1841" t="s">
        <v>111</v>
      </c>
      <c r="CA1841" t="s">
        <v>111</v>
      </c>
      <c r="CB1841" t="s">
        <v>111</v>
      </c>
      <c r="CC1841" t="s">
        <v>111</v>
      </c>
      <c r="CD1841" t="s">
        <v>111</v>
      </c>
      <c r="CE1841" t="s">
        <v>111</v>
      </c>
      <c r="CF1841" t="s">
        <v>111</v>
      </c>
      <c r="CG1841" t="s">
        <v>111</v>
      </c>
      <c r="CH1841" t="s">
        <v>111</v>
      </c>
      <c r="CI1841" t="s">
        <v>111</v>
      </c>
      <c r="CJ1841" t="s">
        <v>111</v>
      </c>
      <c r="CK1841" t="s">
        <v>111</v>
      </c>
      <c r="CL1841" t="s">
        <v>153</v>
      </c>
      <c r="CM1841">
        <v>450</v>
      </c>
      <c r="CN1841" t="s">
        <v>113</v>
      </c>
      <c r="CO1841" t="s">
        <v>111</v>
      </c>
      <c r="CP1841" t="s">
        <v>433</v>
      </c>
      <c r="CQ1841">
        <v>0</v>
      </c>
      <c r="CR1841">
        <v>0</v>
      </c>
      <c r="CS1841">
        <v>0</v>
      </c>
      <c r="CT1841" t="s">
        <v>168</v>
      </c>
      <c r="CU1841">
        <v>0</v>
      </c>
      <c r="CV1841" t="s">
        <v>111</v>
      </c>
      <c r="CW1841" t="s">
        <v>111</v>
      </c>
      <c r="CX1841" t="s">
        <v>111</v>
      </c>
      <c r="CY1841">
        <v>0</v>
      </c>
      <c r="CZ1841" t="s">
        <v>111</v>
      </c>
      <c r="DA1841" t="s">
        <v>111</v>
      </c>
      <c r="DB1841" t="s">
        <v>111</v>
      </c>
      <c r="DC1841" t="s">
        <v>111</v>
      </c>
    </row>
    <row r="1842" spans="1:107">
      <c r="A1842">
        <v>681</v>
      </c>
      <c r="B1842" t="s">
        <v>162</v>
      </c>
      <c r="C1842" t="s">
        <v>454</v>
      </c>
      <c r="D1842" t="s">
        <v>5066</v>
      </c>
      <c r="E1842" t="s">
        <v>5067</v>
      </c>
      <c r="F1842" t="s">
        <v>1071</v>
      </c>
      <c r="G1842" t="s">
        <v>24</v>
      </c>
      <c r="H1842">
        <v>1.9</v>
      </c>
      <c r="I1842">
        <v>40</v>
      </c>
      <c r="J1842">
        <v>0</v>
      </c>
      <c r="K1842">
        <v>0</v>
      </c>
      <c r="L1842" t="s">
        <v>112</v>
      </c>
      <c r="M1842" t="s">
        <v>138</v>
      </c>
      <c r="N1842">
        <v>0</v>
      </c>
      <c r="O1842">
        <v>0</v>
      </c>
      <c r="P1842" t="s">
        <v>138</v>
      </c>
      <c r="Q1842">
        <v>43.1</v>
      </c>
      <c r="R1842">
        <v>0</v>
      </c>
      <c r="S1842">
        <v>0</v>
      </c>
      <c r="T1842">
        <v>5</v>
      </c>
      <c r="U1842" s="1" t="s">
        <v>5068</v>
      </c>
      <c r="V1842">
        <v>0</v>
      </c>
      <c r="W1842">
        <v>0</v>
      </c>
      <c r="X1842">
        <v>0</v>
      </c>
      <c r="Y1842">
        <v>25</v>
      </c>
      <c r="Z1842" t="s">
        <v>111</v>
      </c>
      <c r="AA1842">
        <v>0</v>
      </c>
      <c r="AB1842" t="s">
        <v>111</v>
      </c>
      <c r="AC1842">
        <v>0</v>
      </c>
      <c r="AD1842" t="s">
        <v>111</v>
      </c>
      <c r="AE1842">
        <v>0</v>
      </c>
      <c r="AF1842">
        <v>0</v>
      </c>
      <c r="AG1842" t="s">
        <v>111</v>
      </c>
      <c r="AH1842" t="s">
        <v>111</v>
      </c>
      <c r="AI1842" t="s">
        <v>111</v>
      </c>
      <c r="AJ1842" t="s">
        <v>111</v>
      </c>
      <c r="AK1842" t="s">
        <v>111</v>
      </c>
      <c r="AL1842" t="s">
        <v>111</v>
      </c>
      <c r="AM1842">
        <v>0</v>
      </c>
      <c r="AN1842">
        <v>0</v>
      </c>
      <c r="AO1842">
        <v>0</v>
      </c>
      <c r="AP1842" t="s">
        <v>111</v>
      </c>
      <c r="AQ1842" t="s">
        <v>111</v>
      </c>
      <c r="AR1842" t="s">
        <v>111</v>
      </c>
      <c r="AS1842" t="s">
        <v>111</v>
      </c>
      <c r="AT1842" t="s">
        <v>111</v>
      </c>
      <c r="AU1842" t="s">
        <v>111</v>
      </c>
      <c r="AV1842" t="s">
        <v>111</v>
      </c>
      <c r="AW1842" t="s">
        <v>111</v>
      </c>
      <c r="AX1842" t="s">
        <v>111</v>
      </c>
      <c r="AY1842" t="s">
        <v>111</v>
      </c>
      <c r="AZ1842" t="s">
        <v>111</v>
      </c>
      <c r="BA1842" t="s">
        <v>111</v>
      </c>
      <c r="BB1842" t="s">
        <v>111</v>
      </c>
      <c r="BC1842" t="s">
        <v>111</v>
      </c>
      <c r="BD1842" t="s">
        <v>111</v>
      </c>
      <c r="BE1842" t="s">
        <v>111</v>
      </c>
      <c r="BF1842" t="s">
        <v>111</v>
      </c>
      <c r="BG1842" t="s">
        <v>111</v>
      </c>
      <c r="BH1842" t="s">
        <v>111</v>
      </c>
      <c r="BI1842" t="s">
        <v>111</v>
      </c>
      <c r="BJ1842" t="s">
        <v>111</v>
      </c>
      <c r="BK1842" t="s">
        <v>111</v>
      </c>
      <c r="BL1842" t="s">
        <v>111</v>
      </c>
      <c r="BM1842" t="s">
        <v>111</v>
      </c>
      <c r="BN1842" t="s">
        <v>111</v>
      </c>
      <c r="BO1842" t="s">
        <v>111</v>
      </c>
      <c r="BP1842" t="s">
        <v>111</v>
      </c>
      <c r="BQ1842" t="s">
        <v>111</v>
      </c>
      <c r="BR1842" t="s">
        <v>111</v>
      </c>
      <c r="BS1842" t="s">
        <v>111</v>
      </c>
      <c r="BT1842" t="s">
        <v>111</v>
      </c>
      <c r="BU1842" t="s">
        <v>111</v>
      </c>
      <c r="BV1842" t="s">
        <v>111</v>
      </c>
      <c r="BW1842" t="s">
        <v>111</v>
      </c>
      <c r="BX1842" t="s">
        <v>111</v>
      </c>
      <c r="BY1842" t="s">
        <v>111</v>
      </c>
      <c r="BZ1842" t="s">
        <v>111</v>
      </c>
      <c r="CA1842" t="s">
        <v>111</v>
      </c>
      <c r="CB1842" t="s">
        <v>111</v>
      </c>
      <c r="CC1842" t="s">
        <v>111</v>
      </c>
      <c r="CD1842" t="s">
        <v>111</v>
      </c>
      <c r="CE1842" t="s">
        <v>111</v>
      </c>
      <c r="CF1842" t="s">
        <v>111</v>
      </c>
      <c r="CG1842" t="s">
        <v>111</v>
      </c>
      <c r="CH1842" t="s">
        <v>111</v>
      </c>
      <c r="CI1842" t="s">
        <v>111</v>
      </c>
      <c r="CJ1842" t="s">
        <v>111</v>
      </c>
      <c r="CK1842" t="s">
        <v>111</v>
      </c>
      <c r="CL1842" t="s">
        <v>111</v>
      </c>
      <c r="CM1842" t="s">
        <v>198</v>
      </c>
      <c r="CN1842" t="s">
        <v>113</v>
      </c>
      <c r="CO1842" t="s">
        <v>111</v>
      </c>
      <c r="CP1842" t="s">
        <v>111</v>
      </c>
      <c r="CQ1842">
        <v>48</v>
      </c>
      <c r="CR1842">
        <v>4000</v>
      </c>
      <c r="CS1842">
        <v>200</v>
      </c>
      <c r="CT1842" s="1" t="s">
        <v>5069</v>
      </c>
      <c r="CU1842">
        <v>0</v>
      </c>
      <c r="CV1842" t="s">
        <v>111</v>
      </c>
      <c r="CW1842" t="s">
        <v>111</v>
      </c>
      <c r="CX1842" t="s">
        <v>111</v>
      </c>
      <c r="CY1842">
        <v>0</v>
      </c>
      <c r="CZ1842" t="s">
        <v>111</v>
      </c>
      <c r="DA1842" t="s">
        <v>111</v>
      </c>
      <c r="DB1842" t="s">
        <v>111</v>
      </c>
      <c r="DC1842" t="s">
        <v>111</v>
      </c>
    </row>
    <row r="1843" spans="1:107">
      <c r="A1843">
        <v>682</v>
      </c>
      <c r="B1843" t="s">
        <v>107</v>
      </c>
      <c r="C1843" t="s">
        <v>454</v>
      </c>
      <c r="D1843" t="s">
        <v>5070</v>
      </c>
      <c r="E1843" t="s">
        <v>5071</v>
      </c>
      <c r="F1843" t="s">
        <v>1071</v>
      </c>
      <c r="G1843" t="s">
        <v>24</v>
      </c>
      <c r="H1843">
        <v>1.5</v>
      </c>
      <c r="I1843">
        <v>20</v>
      </c>
      <c r="J1843">
        <v>2</v>
      </c>
      <c r="K1843">
        <v>0</v>
      </c>
      <c r="L1843" t="s">
        <v>112</v>
      </c>
      <c r="M1843" t="s">
        <v>138</v>
      </c>
      <c r="N1843">
        <v>0</v>
      </c>
      <c r="O1843">
        <v>0</v>
      </c>
      <c r="P1843" t="s">
        <v>118</v>
      </c>
      <c r="Q1843">
        <v>14.5</v>
      </c>
      <c r="R1843">
        <v>0</v>
      </c>
      <c r="S1843">
        <v>0</v>
      </c>
      <c r="T1843">
        <v>0</v>
      </c>
      <c r="U1843" s="1" t="s">
        <v>5072</v>
      </c>
      <c r="V1843">
        <v>0</v>
      </c>
      <c r="W1843">
        <v>0</v>
      </c>
      <c r="X1843">
        <v>0</v>
      </c>
      <c r="Y1843">
        <v>25</v>
      </c>
      <c r="Z1843" t="s">
        <v>111</v>
      </c>
      <c r="AA1843">
        <v>0</v>
      </c>
      <c r="AB1843" t="s">
        <v>111</v>
      </c>
      <c r="AC1843">
        <v>0</v>
      </c>
      <c r="AD1843" t="s">
        <v>111</v>
      </c>
      <c r="AE1843">
        <v>0</v>
      </c>
      <c r="AF1843">
        <v>0</v>
      </c>
      <c r="AG1843" t="s">
        <v>111</v>
      </c>
      <c r="AH1843" t="s">
        <v>111</v>
      </c>
      <c r="AI1843" t="s">
        <v>111</v>
      </c>
      <c r="AJ1843" t="s">
        <v>111</v>
      </c>
      <c r="AK1843" t="s">
        <v>111</v>
      </c>
      <c r="AL1843" t="s">
        <v>111</v>
      </c>
      <c r="AM1843">
        <v>0</v>
      </c>
      <c r="AN1843">
        <v>0</v>
      </c>
      <c r="AO1843">
        <v>0</v>
      </c>
      <c r="AP1843" t="s">
        <v>111</v>
      </c>
      <c r="AQ1843" t="s">
        <v>111</v>
      </c>
      <c r="AR1843" t="s">
        <v>111</v>
      </c>
      <c r="AS1843" t="s">
        <v>111</v>
      </c>
      <c r="AT1843" t="s">
        <v>111</v>
      </c>
      <c r="AU1843" t="s">
        <v>111</v>
      </c>
      <c r="AV1843" t="s">
        <v>111</v>
      </c>
      <c r="AW1843" t="s">
        <v>111</v>
      </c>
      <c r="AX1843" t="s">
        <v>111</v>
      </c>
      <c r="AY1843" t="s">
        <v>111</v>
      </c>
      <c r="AZ1843" t="s">
        <v>111</v>
      </c>
      <c r="BA1843" t="s">
        <v>111</v>
      </c>
      <c r="BB1843" t="s">
        <v>111</v>
      </c>
      <c r="BC1843" t="s">
        <v>111</v>
      </c>
      <c r="BD1843" t="s">
        <v>111</v>
      </c>
      <c r="BE1843" t="s">
        <v>111</v>
      </c>
      <c r="BF1843" t="s">
        <v>111</v>
      </c>
      <c r="BG1843" t="s">
        <v>111</v>
      </c>
      <c r="BH1843" t="s">
        <v>111</v>
      </c>
      <c r="BI1843" t="s">
        <v>111</v>
      </c>
      <c r="BJ1843" t="s">
        <v>111</v>
      </c>
      <c r="BK1843" t="s">
        <v>111</v>
      </c>
      <c r="BL1843" t="s">
        <v>111</v>
      </c>
      <c r="BM1843" t="s">
        <v>111</v>
      </c>
      <c r="BN1843" t="s">
        <v>111</v>
      </c>
      <c r="BO1843" t="s">
        <v>111</v>
      </c>
      <c r="BP1843" t="s">
        <v>111</v>
      </c>
      <c r="BQ1843" t="s">
        <v>111</v>
      </c>
      <c r="BR1843" t="s">
        <v>111</v>
      </c>
      <c r="BS1843" t="s">
        <v>111</v>
      </c>
      <c r="BT1843" t="s">
        <v>111</v>
      </c>
      <c r="BU1843" t="s">
        <v>111</v>
      </c>
      <c r="BV1843" t="s">
        <v>111</v>
      </c>
      <c r="BW1843" t="s">
        <v>111</v>
      </c>
      <c r="BX1843" t="s">
        <v>111</v>
      </c>
      <c r="BY1843" t="s">
        <v>111</v>
      </c>
      <c r="BZ1843" t="s">
        <v>111</v>
      </c>
      <c r="CA1843" t="s">
        <v>111</v>
      </c>
      <c r="CB1843" t="s">
        <v>111</v>
      </c>
      <c r="CC1843" t="s">
        <v>111</v>
      </c>
      <c r="CD1843" t="s">
        <v>111</v>
      </c>
      <c r="CE1843" t="s">
        <v>111</v>
      </c>
      <c r="CF1843" t="s">
        <v>111</v>
      </c>
      <c r="CG1843" t="s">
        <v>111</v>
      </c>
      <c r="CH1843" t="s">
        <v>111</v>
      </c>
      <c r="CI1843" t="s">
        <v>111</v>
      </c>
      <c r="CJ1843" t="s">
        <v>111</v>
      </c>
      <c r="CK1843" t="s">
        <v>111</v>
      </c>
      <c r="CL1843" t="s">
        <v>111</v>
      </c>
      <c r="CM1843" t="s">
        <v>198</v>
      </c>
      <c r="CN1843" t="s">
        <v>113</v>
      </c>
      <c r="CO1843" t="s">
        <v>111</v>
      </c>
      <c r="CP1843" t="s">
        <v>111</v>
      </c>
      <c r="CQ1843">
        <v>0</v>
      </c>
      <c r="CR1843">
        <v>6000</v>
      </c>
      <c r="CS1843">
        <v>200</v>
      </c>
      <c r="CT1843" s="1" t="s">
        <v>5073</v>
      </c>
      <c r="CU1843">
        <v>0</v>
      </c>
      <c r="CV1843" t="s">
        <v>111</v>
      </c>
      <c r="CW1843" t="s">
        <v>111</v>
      </c>
      <c r="CX1843" t="s">
        <v>111</v>
      </c>
      <c r="CY1843">
        <v>0</v>
      </c>
      <c r="CZ1843" t="s">
        <v>111</v>
      </c>
      <c r="DA1843" t="s">
        <v>111</v>
      </c>
      <c r="DB1843" t="s">
        <v>111</v>
      </c>
      <c r="DC1843" t="s">
        <v>111</v>
      </c>
    </row>
    <row r="1844" spans="1:107">
      <c r="A1844">
        <v>689</v>
      </c>
      <c r="B1844" t="s">
        <v>162</v>
      </c>
      <c r="C1844" t="s">
        <v>827</v>
      </c>
      <c r="D1844" t="s">
        <v>5074</v>
      </c>
      <c r="E1844" t="s">
        <v>5075</v>
      </c>
      <c r="F1844" t="s">
        <v>1651</v>
      </c>
      <c r="G1844" t="s">
        <v>24</v>
      </c>
      <c r="H1844">
        <v>1.4</v>
      </c>
      <c r="I1844">
        <v>48</v>
      </c>
      <c r="J1844">
        <v>0</v>
      </c>
      <c r="K1844">
        <v>0</v>
      </c>
      <c r="L1844" t="s">
        <v>112</v>
      </c>
      <c r="M1844" t="s">
        <v>118</v>
      </c>
      <c r="N1844">
        <v>40</v>
      </c>
      <c r="O1844">
        <v>2</v>
      </c>
      <c r="P1844" t="s">
        <v>138</v>
      </c>
      <c r="Q1844">
        <v>40</v>
      </c>
      <c r="R1844">
        <v>0</v>
      </c>
      <c r="S1844">
        <v>0</v>
      </c>
      <c r="T1844">
        <v>0</v>
      </c>
      <c r="U1844" t="s">
        <v>2685</v>
      </c>
      <c r="V1844">
        <v>0</v>
      </c>
      <c r="W1844">
        <v>0</v>
      </c>
      <c r="X1844">
        <v>0</v>
      </c>
      <c r="Y1844">
        <v>25</v>
      </c>
      <c r="Z1844" t="s">
        <v>111</v>
      </c>
      <c r="AA1844">
        <v>0</v>
      </c>
      <c r="AB1844" t="s">
        <v>111</v>
      </c>
      <c r="AC1844">
        <v>0</v>
      </c>
      <c r="AD1844" t="s">
        <v>427</v>
      </c>
      <c r="AE1844">
        <v>5</v>
      </c>
      <c r="AF1844">
        <v>2</v>
      </c>
      <c r="AG1844">
        <v>22</v>
      </c>
      <c r="AH1844" t="s">
        <v>111</v>
      </c>
      <c r="AI1844">
        <v>45</v>
      </c>
      <c r="AJ1844" t="s">
        <v>111</v>
      </c>
      <c r="AK1844" t="s">
        <v>111</v>
      </c>
      <c r="AL1844" t="s">
        <v>111</v>
      </c>
      <c r="AM1844">
        <v>0</v>
      </c>
      <c r="AN1844">
        <v>0</v>
      </c>
      <c r="AO1844">
        <v>0</v>
      </c>
      <c r="AP1844" t="s">
        <v>259</v>
      </c>
      <c r="AQ1844" t="s">
        <v>111</v>
      </c>
      <c r="AR1844" t="s">
        <v>111</v>
      </c>
      <c r="AS1844" t="s">
        <v>111</v>
      </c>
      <c r="AT1844" t="s">
        <v>288</v>
      </c>
      <c r="AU1844" t="s">
        <v>111</v>
      </c>
      <c r="AV1844" t="s">
        <v>111</v>
      </c>
      <c r="AW1844" t="s">
        <v>111</v>
      </c>
      <c r="AX1844" t="s">
        <v>184</v>
      </c>
      <c r="AY1844" t="s">
        <v>111</v>
      </c>
      <c r="AZ1844" t="s">
        <v>111</v>
      </c>
      <c r="BA1844" t="s">
        <v>111</v>
      </c>
      <c r="BB1844" t="s">
        <v>772</v>
      </c>
      <c r="BC1844" t="s">
        <v>111</v>
      </c>
      <c r="BD1844" t="s">
        <v>111</v>
      </c>
      <c r="BE1844" t="s">
        <v>111</v>
      </c>
      <c r="BF1844" t="s">
        <v>188</v>
      </c>
      <c r="BG1844" t="s">
        <v>111</v>
      </c>
      <c r="BH1844" t="s">
        <v>111</v>
      </c>
      <c r="BI1844" t="s">
        <v>111</v>
      </c>
      <c r="BJ1844" t="s">
        <v>111</v>
      </c>
      <c r="BK1844" t="s">
        <v>111</v>
      </c>
      <c r="BL1844" t="s">
        <v>111</v>
      </c>
      <c r="BM1844" t="s">
        <v>111</v>
      </c>
      <c r="BN1844" t="s">
        <v>111</v>
      </c>
      <c r="BO1844" t="s">
        <v>111</v>
      </c>
      <c r="BP1844" t="s">
        <v>111</v>
      </c>
      <c r="BQ1844" t="s">
        <v>111</v>
      </c>
      <c r="BR1844" t="s">
        <v>111</v>
      </c>
      <c r="BS1844" t="s">
        <v>111</v>
      </c>
      <c r="BT1844" t="s">
        <v>111</v>
      </c>
      <c r="BU1844" t="s">
        <v>111</v>
      </c>
      <c r="BV1844" t="s">
        <v>111</v>
      </c>
      <c r="BW1844" t="s">
        <v>111</v>
      </c>
      <c r="BX1844" t="s">
        <v>111</v>
      </c>
      <c r="BY1844" t="s">
        <v>111</v>
      </c>
      <c r="BZ1844" t="s">
        <v>111</v>
      </c>
      <c r="CA1844" t="s">
        <v>111</v>
      </c>
      <c r="CB1844" t="s">
        <v>111</v>
      </c>
      <c r="CC1844" t="s">
        <v>111</v>
      </c>
      <c r="CD1844" t="s">
        <v>111</v>
      </c>
      <c r="CE1844" t="s">
        <v>111</v>
      </c>
      <c r="CF1844" t="s">
        <v>111</v>
      </c>
      <c r="CG1844" t="s">
        <v>111</v>
      </c>
      <c r="CH1844" t="s">
        <v>111</v>
      </c>
      <c r="CI1844" t="s">
        <v>111</v>
      </c>
      <c r="CJ1844" t="s">
        <v>111</v>
      </c>
      <c r="CK1844" t="s">
        <v>111</v>
      </c>
      <c r="CL1844" t="s">
        <v>153</v>
      </c>
      <c r="CM1844" t="s">
        <v>198</v>
      </c>
      <c r="CN1844" t="s">
        <v>113</v>
      </c>
      <c r="CO1844" t="s">
        <v>111</v>
      </c>
      <c r="CP1844" t="s">
        <v>433</v>
      </c>
      <c r="CQ1844">
        <v>0</v>
      </c>
      <c r="CR1844">
        <v>0</v>
      </c>
      <c r="CS1844">
        <v>0</v>
      </c>
      <c r="CT1844" t="s">
        <v>168</v>
      </c>
      <c r="CU1844">
        <v>0</v>
      </c>
      <c r="CV1844" t="s">
        <v>111</v>
      </c>
      <c r="CW1844" t="s">
        <v>111</v>
      </c>
      <c r="CX1844" t="s">
        <v>111</v>
      </c>
      <c r="CY1844">
        <v>0</v>
      </c>
      <c r="CZ1844" t="s">
        <v>111</v>
      </c>
      <c r="DA1844" t="s">
        <v>111</v>
      </c>
      <c r="DB1844" t="s">
        <v>111</v>
      </c>
      <c r="DC1844" t="s">
        <v>111</v>
      </c>
    </row>
    <row r="1845" spans="1:107">
      <c r="A1845">
        <v>690</v>
      </c>
      <c r="B1845" t="s">
        <v>162</v>
      </c>
      <c r="C1845" t="s">
        <v>454</v>
      </c>
      <c r="D1845" t="s">
        <v>4790</v>
      </c>
      <c r="E1845" t="s">
        <v>4791</v>
      </c>
      <c r="F1845" t="s">
        <v>1071</v>
      </c>
      <c r="G1845" t="s">
        <v>24</v>
      </c>
      <c r="H1845">
        <v>1.9</v>
      </c>
      <c r="I1845">
        <v>40</v>
      </c>
      <c r="J1845">
        <v>0</v>
      </c>
      <c r="K1845">
        <v>0</v>
      </c>
      <c r="L1845" t="s">
        <v>112</v>
      </c>
      <c r="M1845" t="s">
        <v>138</v>
      </c>
      <c r="N1845">
        <v>0</v>
      </c>
      <c r="O1845">
        <v>0</v>
      </c>
      <c r="P1845" t="s">
        <v>138</v>
      </c>
      <c r="Q1845">
        <v>30</v>
      </c>
      <c r="R1845">
        <v>0</v>
      </c>
      <c r="S1845">
        <v>0</v>
      </c>
      <c r="T1845">
        <v>0</v>
      </c>
      <c r="U1845" s="1" t="s">
        <v>5076</v>
      </c>
      <c r="V1845">
        <v>0</v>
      </c>
      <c r="W1845">
        <v>0</v>
      </c>
      <c r="X1845">
        <v>0</v>
      </c>
      <c r="Y1845">
        <v>25</v>
      </c>
      <c r="Z1845" t="s">
        <v>111</v>
      </c>
      <c r="AA1845">
        <v>0</v>
      </c>
      <c r="AB1845" t="s">
        <v>111</v>
      </c>
      <c r="AC1845">
        <v>0</v>
      </c>
      <c r="AD1845" t="s">
        <v>111</v>
      </c>
      <c r="AE1845">
        <v>0</v>
      </c>
      <c r="AF1845">
        <v>0</v>
      </c>
      <c r="AG1845" t="s">
        <v>111</v>
      </c>
      <c r="AH1845" t="s">
        <v>111</v>
      </c>
      <c r="AI1845" t="s">
        <v>111</v>
      </c>
      <c r="AJ1845" t="s">
        <v>111</v>
      </c>
      <c r="AK1845" t="s">
        <v>111</v>
      </c>
      <c r="AL1845" t="s">
        <v>111</v>
      </c>
      <c r="AM1845">
        <v>0</v>
      </c>
      <c r="AN1845">
        <v>0</v>
      </c>
      <c r="AO1845">
        <v>0</v>
      </c>
      <c r="AP1845" t="s">
        <v>111</v>
      </c>
      <c r="AQ1845" t="s">
        <v>111</v>
      </c>
      <c r="AR1845" t="s">
        <v>111</v>
      </c>
      <c r="AS1845" t="s">
        <v>111</v>
      </c>
      <c r="AT1845" t="s">
        <v>111</v>
      </c>
      <c r="AU1845" t="s">
        <v>111</v>
      </c>
      <c r="AV1845" t="s">
        <v>111</v>
      </c>
      <c r="AW1845" t="s">
        <v>111</v>
      </c>
      <c r="AX1845" t="s">
        <v>111</v>
      </c>
      <c r="AY1845" t="s">
        <v>111</v>
      </c>
      <c r="AZ1845" t="s">
        <v>111</v>
      </c>
      <c r="BA1845" t="s">
        <v>111</v>
      </c>
      <c r="BB1845" t="s">
        <v>111</v>
      </c>
      <c r="BC1845" t="s">
        <v>111</v>
      </c>
      <c r="BD1845" t="s">
        <v>111</v>
      </c>
      <c r="BE1845" t="s">
        <v>111</v>
      </c>
      <c r="BF1845" t="s">
        <v>111</v>
      </c>
      <c r="BG1845" t="s">
        <v>111</v>
      </c>
      <c r="BH1845" t="s">
        <v>111</v>
      </c>
      <c r="BI1845" t="s">
        <v>111</v>
      </c>
      <c r="BJ1845" t="s">
        <v>111</v>
      </c>
      <c r="BK1845" t="s">
        <v>111</v>
      </c>
      <c r="BL1845" t="s">
        <v>111</v>
      </c>
      <c r="BM1845" t="s">
        <v>111</v>
      </c>
      <c r="BN1845" t="s">
        <v>111</v>
      </c>
      <c r="BO1845" t="s">
        <v>111</v>
      </c>
      <c r="BP1845" t="s">
        <v>111</v>
      </c>
      <c r="BQ1845" t="s">
        <v>111</v>
      </c>
      <c r="BR1845" t="s">
        <v>111</v>
      </c>
      <c r="BS1845" t="s">
        <v>111</v>
      </c>
      <c r="BT1845" t="s">
        <v>111</v>
      </c>
      <c r="BU1845" t="s">
        <v>111</v>
      </c>
      <c r="BV1845" t="s">
        <v>111</v>
      </c>
      <c r="BW1845" t="s">
        <v>111</v>
      </c>
      <c r="BX1845" t="s">
        <v>111</v>
      </c>
      <c r="BY1845" t="s">
        <v>111</v>
      </c>
      <c r="BZ1845" t="s">
        <v>111</v>
      </c>
      <c r="CA1845" t="s">
        <v>111</v>
      </c>
      <c r="CB1845" t="s">
        <v>111</v>
      </c>
      <c r="CC1845" t="s">
        <v>111</v>
      </c>
      <c r="CD1845" t="s">
        <v>111</v>
      </c>
      <c r="CE1845" t="s">
        <v>111</v>
      </c>
      <c r="CF1845" t="s">
        <v>111</v>
      </c>
      <c r="CG1845" t="s">
        <v>111</v>
      </c>
      <c r="CH1845" t="s">
        <v>111</v>
      </c>
      <c r="CI1845" t="s">
        <v>111</v>
      </c>
      <c r="CJ1845" t="s">
        <v>111</v>
      </c>
      <c r="CK1845" t="s">
        <v>111</v>
      </c>
      <c r="CL1845" t="s">
        <v>111</v>
      </c>
      <c r="CM1845" t="s">
        <v>198</v>
      </c>
      <c r="CN1845" t="s">
        <v>113</v>
      </c>
      <c r="CO1845" t="s">
        <v>111</v>
      </c>
      <c r="CP1845" t="s">
        <v>111</v>
      </c>
      <c r="CQ1845">
        <v>0</v>
      </c>
      <c r="CR1845">
        <v>2000</v>
      </c>
      <c r="CS1845">
        <v>100</v>
      </c>
      <c r="CT1845" t="s">
        <v>168</v>
      </c>
      <c r="CU1845">
        <v>0</v>
      </c>
      <c r="CV1845" t="s">
        <v>111</v>
      </c>
      <c r="CW1845" t="s">
        <v>111</v>
      </c>
      <c r="CX1845" t="s">
        <v>111</v>
      </c>
      <c r="CY1845">
        <v>0</v>
      </c>
      <c r="CZ1845" t="s">
        <v>111</v>
      </c>
      <c r="DA1845" t="s">
        <v>111</v>
      </c>
      <c r="DB1845" t="s">
        <v>111</v>
      </c>
      <c r="DC1845" t="s">
        <v>111</v>
      </c>
    </row>
    <row r="1846" spans="1:107">
      <c r="A1846">
        <v>980</v>
      </c>
      <c r="B1846" t="s">
        <v>107</v>
      </c>
      <c r="C1846" t="s">
        <v>108</v>
      </c>
      <c r="D1846" t="s">
        <v>3962</v>
      </c>
      <c r="E1846" t="s">
        <v>5077</v>
      </c>
      <c r="F1846" t="s">
        <v>1071</v>
      </c>
      <c r="G1846" t="s">
        <v>24</v>
      </c>
      <c r="H1846">
        <v>1.3</v>
      </c>
      <c r="I1846">
        <v>30</v>
      </c>
      <c r="J1846">
        <v>0</v>
      </c>
      <c r="K1846">
        <v>0</v>
      </c>
      <c r="L1846" t="s">
        <v>112</v>
      </c>
      <c r="M1846" t="s">
        <v>111</v>
      </c>
      <c r="N1846">
        <v>0</v>
      </c>
      <c r="O1846">
        <v>0</v>
      </c>
      <c r="P1846" t="s">
        <v>138</v>
      </c>
      <c r="Q1846">
        <v>28.6</v>
      </c>
      <c r="R1846">
        <v>0</v>
      </c>
      <c r="S1846">
        <v>0</v>
      </c>
      <c r="T1846">
        <v>5</v>
      </c>
      <c r="U1846" t="s">
        <v>5078</v>
      </c>
      <c r="V1846">
        <v>0</v>
      </c>
      <c r="W1846">
        <v>0</v>
      </c>
      <c r="X1846">
        <v>0</v>
      </c>
      <c r="Y1846">
        <v>25</v>
      </c>
      <c r="Z1846" t="s">
        <v>111</v>
      </c>
      <c r="AA1846">
        <v>0</v>
      </c>
      <c r="AB1846" t="s">
        <v>111</v>
      </c>
      <c r="AC1846">
        <v>0</v>
      </c>
      <c r="AD1846" t="s">
        <v>111</v>
      </c>
      <c r="AE1846">
        <v>0</v>
      </c>
      <c r="AF1846">
        <v>0</v>
      </c>
      <c r="AG1846" t="s">
        <v>111</v>
      </c>
      <c r="AH1846" t="s">
        <v>111</v>
      </c>
      <c r="AI1846" t="s">
        <v>111</v>
      </c>
      <c r="AJ1846" t="s">
        <v>111</v>
      </c>
      <c r="AK1846" t="s">
        <v>111</v>
      </c>
      <c r="AL1846" t="s">
        <v>111</v>
      </c>
      <c r="AM1846">
        <v>0</v>
      </c>
      <c r="AN1846">
        <v>0</v>
      </c>
      <c r="AO1846">
        <v>0</v>
      </c>
      <c r="AP1846" t="s">
        <v>111</v>
      </c>
      <c r="AQ1846" t="s">
        <v>111</v>
      </c>
      <c r="AR1846" t="s">
        <v>111</v>
      </c>
      <c r="AS1846" t="s">
        <v>111</v>
      </c>
      <c r="AT1846" t="s">
        <v>111</v>
      </c>
      <c r="AU1846" t="s">
        <v>111</v>
      </c>
      <c r="AV1846" t="s">
        <v>111</v>
      </c>
      <c r="AW1846" t="s">
        <v>111</v>
      </c>
      <c r="AX1846" t="s">
        <v>111</v>
      </c>
      <c r="AY1846" t="s">
        <v>111</v>
      </c>
      <c r="AZ1846" t="s">
        <v>111</v>
      </c>
      <c r="BA1846" t="s">
        <v>111</v>
      </c>
      <c r="BB1846" t="s">
        <v>111</v>
      </c>
      <c r="BC1846" t="s">
        <v>111</v>
      </c>
      <c r="BD1846" t="s">
        <v>111</v>
      </c>
      <c r="BE1846" t="s">
        <v>111</v>
      </c>
      <c r="BF1846" t="s">
        <v>111</v>
      </c>
      <c r="BG1846" t="s">
        <v>111</v>
      </c>
      <c r="BH1846" t="s">
        <v>111</v>
      </c>
      <c r="BI1846" t="s">
        <v>111</v>
      </c>
      <c r="BJ1846" t="s">
        <v>111</v>
      </c>
      <c r="BK1846" t="s">
        <v>111</v>
      </c>
      <c r="BL1846" t="s">
        <v>111</v>
      </c>
      <c r="BM1846" t="s">
        <v>111</v>
      </c>
      <c r="BN1846" t="s">
        <v>111</v>
      </c>
      <c r="BO1846" t="s">
        <v>111</v>
      </c>
      <c r="BP1846" t="s">
        <v>111</v>
      </c>
      <c r="BQ1846" t="s">
        <v>111</v>
      </c>
      <c r="BR1846" t="s">
        <v>111</v>
      </c>
      <c r="BS1846" t="s">
        <v>111</v>
      </c>
      <c r="BT1846" t="s">
        <v>111</v>
      </c>
      <c r="BU1846" t="s">
        <v>111</v>
      </c>
      <c r="BV1846" t="s">
        <v>111</v>
      </c>
      <c r="BW1846" t="s">
        <v>111</v>
      </c>
      <c r="BX1846" t="s">
        <v>111</v>
      </c>
      <c r="BY1846" t="s">
        <v>111</v>
      </c>
      <c r="BZ1846" t="s">
        <v>111</v>
      </c>
      <c r="CA1846" t="s">
        <v>111</v>
      </c>
      <c r="CB1846" t="s">
        <v>111</v>
      </c>
      <c r="CC1846" t="s">
        <v>111</v>
      </c>
      <c r="CD1846" t="s">
        <v>111</v>
      </c>
      <c r="CE1846" t="s">
        <v>111</v>
      </c>
      <c r="CF1846" t="s">
        <v>111</v>
      </c>
      <c r="CG1846" t="s">
        <v>111</v>
      </c>
      <c r="CH1846" t="s">
        <v>111</v>
      </c>
      <c r="CI1846" t="s">
        <v>111</v>
      </c>
      <c r="CJ1846" t="s">
        <v>111</v>
      </c>
      <c r="CK1846" t="s">
        <v>111</v>
      </c>
      <c r="CL1846" t="s">
        <v>111</v>
      </c>
      <c r="CM1846" t="s">
        <v>198</v>
      </c>
      <c r="CN1846" t="s">
        <v>113</v>
      </c>
      <c r="CO1846" t="s">
        <v>111</v>
      </c>
      <c r="CP1846" t="s">
        <v>111</v>
      </c>
      <c r="CQ1846">
        <v>0</v>
      </c>
      <c r="CR1846">
        <v>2000</v>
      </c>
      <c r="CS1846">
        <v>200</v>
      </c>
      <c r="CT1846" s="1" t="s">
        <v>5079</v>
      </c>
      <c r="CU1846">
        <v>0</v>
      </c>
      <c r="CV1846" t="s">
        <v>111</v>
      </c>
      <c r="CW1846" t="s">
        <v>111</v>
      </c>
      <c r="CX1846" t="s">
        <v>111</v>
      </c>
      <c r="CY1846">
        <v>0</v>
      </c>
      <c r="CZ1846" t="s">
        <v>111</v>
      </c>
      <c r="DA1846" t="s">
        <v>111</v>
      </c>
      <c r="DB1846" t="s">
        <v>111</v>
      </c>
      <c r="DC1846" t="s">
        <v>111</v>
      </c>
    </row>
    <row r="1847" spans="1:107">
      <c r="A1847">
        <v>1139</v>
      </c>
      <c r="B1847" t="s">
        <v>107</v>
      </c>
      <c r="C1847" t="s">
        <v>1068</v>
      </c>
      <c r="D1847" t="s">
        <v>5080</v>
      </c>
      <c r="E1847" t="s">
        <v>5081</v>
      </c>
      <c r="F1847" t="s">
        <v>1651</v>
      </c>
      <c r="G1847" t="s">
        <v>24</v>
      </c>
      <c r="H1847">
        <v>2.8</v>
      </c>
      <c r="I1847">
        <v>45</v>
      </c>
      <c r="J1847">
        <v>0</v>
      </c>
      <c r="K1847">
        <v>0</v>
      </c>
      <c r="L1847" t="s">
        <v>112</v>
      </c>
      <c r="M1847" t="s">
        <v>118</v>
      </c>
      <c r="N1847">
        <v>40</v>
      </c>
      <c r="O1847">
        <v>1</v>
      </c>
      <c r="P1847" t="s">
        <v>118</v>
      </c>
      <c r="Q1847">
        <v>41.7</v>
      </c>
      <c r="R1847">
        <v>0</v>
      </c>
      <c r="S1847">
        <v>0</v>
      </c>
      <c r="T1847">
        <v>4</v>
      </c>
      <c r="U1847" t="s">
        <v>501</v>
      </c>
      <c r="V1847">
        <v>0</v>
      </c>
      <c r="W1847">
        <v>0</v>
      </c>
      <c r="X1847">
        <v>0</v>
      </c>
      <c r="Y1847">
        <v>25</v>
      </c>
      <c r="Z1847" t="s">
        <v>111</v>
      </c>
      <c r="AA1847">
        <v>0</v>
      </c>
      <c r="AB1847" t="s">
        <v>111</v>
      </c>
      <c r="AC1847">
        <v>0</v>
      </c>
      <c r="AD1847" t="s">
        <v>416</v>
      </c>
      <c r="AE1847">
        <v>0</v>
      </c>
      <c r="AF1847">
        <v>0</v>
      </c>
      <c r="AG1847" t="s">
        <v>111</v>
      </c>
      <c r="AH1847" t="s">
        <v>111</v>
      </c>
      <c r="AI1847" t="s">
        <v>111</v>
      </c>
      <c r="AJ1847" t="s">
        <v>111</v>
      </c>
      <c r="AK1847" t="s">
        <v>111</v>
      </c>
      <c r="AL1847" t="s">
        <v>111</v>
      </c>
      <c r="AM1847">
        <v>0</v>
      </c>
      <c r="AN1847">
        <v>0</v>
      </c>
      <c r="AO1847">
        <v>0</v>
      </c>
      <c r="AP1847" t="s">
        <v>111</v>
      </c>
      <c r="AQ1847" t="s">
        <v>111</v>
      </c>
      <c r="AR1847" t="s">
        <v>111</v>
      </c>
      <c r="AS1847" t="s">
        <v>111</v>
      </c>
      <c r="AT1847" t="s">
        <v>111</v>
      </c>
      <c r="AU1847" t="s">
        <v>111</v>
      </c>
      <c r="AV1847" t="s">
        <v>111</v>
      </c>
      <c r="AW1847" t="s">
        <v>111</v>
      </c>
      <c r="AX1847" t="s">
        <v>111</v>
      </c>
      <c r="AY1847" t="s">
        <v>111</v>
      </c>
      <c r="AZ1847" t="s">
        <v>111</v>
      </c>
      <c r="BA1847" t="s">
        <v>111</v>
      </c>
      <c r="BB1847" t="s">
        <v>111</v>
      </c>
      <c r="BC1847" t="s">
        <v>111</v>
      </c>
      <c r="BD1847" t="s">
        <v>111</v>
      </c>
      <c r="BE1847" t="s">
        <v>111</v>
      </c>
      <c r="BF1847" t="s">
        <v>111</v>
      </c>
      <c r="BG1847" t="s">
        <v>111</v>
      </c>
      <c r="BH1847" t="s">
        <v>111</v>
      </c>
      <c r="BI1847" t="s">
        <v>111</v>
      </c>
      <c r="BJ1847" t="s">
        <v>111</v>
      </c>
      <c r="BK1847" t="s">
        <v>111</v>
      </c>
      <c r="BL1847" t="s">
        <v>111</v>
      </c>
      <c r="BM1847" t="s">
        <v>111</v>
      </c>
      <c r="BN1847" t="s">
        <v>111</v>
      </c>
      <c r="BO1847" t="s">
        <v>111</v>
      </c>
      <c r="BP1847" t="s">
        <v>111</v>
      </c>
      <c r="BQ1847" t="s">
        <v>111</v>
      </c>
      <c r="BR1847" t="s">
        <v>111</v>
      </c>
      <c r="BS1847" t="s">
        <v>111</v>
      </c>
      <c r="BT1847" t="s">
        <v>111</v>
      </c>
      <c r="BU1847" t="s">
        <v>111</v>
      </c>
      <c r="BV1847" t="s">
        <v>111</v>
      </c>
      <c r="BW1847" t="s">
        <v>111</v>
      </c>
      <c r="BX1847" t="s">
        <v>111</v>
      </c>
      <c r="BY1847" t="s">
        <v>111</v>
      </c>
      <c r="BZ1847" t="s">
        <v>111</v>
      </c>
      <c r="CA1847" t="s">
        <v>111</v>
      </c>
      <c r="CB1847" t="s">
        <v>111</v>
      </c>
      <c r="CC1847" t="s">
        <v>111</v>
      </c>
      <c r="CD1847" t="s">
        <v>111</v>
      </c>
      <c r="CE1847" t="s">
        <v>111</v>
      </c>
      <c r="CF1847" t="s">
        <v>111</v>
      </c>
      <c r="CG1847" t="s">
        <v>111</v>
      </c>
      <c r="CH1847" t="s">
        <v>111</v>
      </c>
      <c r="CI1847" t="s">
        <v>111</v>
      </c>
      <c r="CJ1847" t="s">
        <v>111</v>
      </c>
      <c r="CK1847" t="s">
        <v>111</v>
      </c>
      <c r="CL1847" t="e">
        <f>-DESTINO SELLADO</f>
        <v>#NAME?</v>
      </c>
      <c r="CM1847" t="s">
        <v>135</v>
      </c>
      <c r="CN1847" t="s">
        <v>113</v>
      </c>
      <c r="CO1847" t="s">
        <v>4282</v>
      </c>
      <c r="CP1847" t="s">
        <v>111</v>
      </c>
      <c r="CQ1847">
        <v>0</v>
      </c>
      <c r="CR1847">
        <v>2000</v>
      </c>
      <c r="CS1847">
        <v>50</v>
      </c>
      <c r="CT1847" t="s">
        <v>1188</v>
      </c>
      <c r="CU1847">
        <v>0</v>
      </c>
      <c r="CV1847" t="s">
        <v>111</v>
      </c>
      <c r="CW1847" t="s">
        <v>111</v>
      </c>
      <c r="CX1847" t="s">
        <v>111</v>
      </c>
      <c r="CY1847">
        <v>0</v>
      </c>
      <c r="CZ1847" t="s">
        <v>111</v>
      </c>
      <c r="DA1847" t="s">
        <v>111</v>
      </c>
      <c r="DB1847" t="e">
        <f>-INTERNO</f>
        <v>#NAME?</v>
      </c>
      <c r="DC1847" t="s">
        <v>5082</v>
      </c>
    </row>
    <row r="1848" spans="1:107">
      <c r="A1848">
        <v>1186</v>
      </c>
      <c r="B1848" t="s">
        <v>107</v>
      </c>
      <c r="C1848" t="s">
        <v>768</v>
      </c>
      <c r="D1848" t="s">
        <v>4071</v>
      </c>
      <c r="E1848" t="s">
        <v>5083</v>
      </c>
      <c r="F1848" t="s">
        <v>1651</v>
      </c>
      <c r="G1848" t="s">
        <v>24</v>
      </c>
      <c r="H1848">
        <v>1.4</v>
      </c>
      <c r="I1848">
        <v>40</v>
      </c>
      <c r="J1848">
        <v>0</v>
      </c>
      <c r="K1848">
        <v>0</v>
      </c>
      <c r="L1848" t="s">
        <v>112</v>
      </c>
      <c r="M1848" t="s">
        <v>118</v>
      </c>
      <c r="N1848">
        <v>39</v>
      </c>
      <c r="O1848">
        <v>2</v>
      </c>
      <c r="P1848" t="s">
        <v>138</v>
      </c>
      <c r="Q1848">
        <v>43.7</v>
      </c>
      <c r="R1848">
        <v>0</v>
      </c>
      <c r="S1848">
        <v>0</v>
      </c>
      <c r="T1848">
        <v>5</v>
      </c>
      <c r="U1848" s="1" t="s">
        <v>5084</v>
      </c>
      <c r="V1848">
        <v>0</v>
      </c>
      <c r="W1848">
        <v>0</v>
      </c>
      <c r="X1848">
        <v>0</v>
      </c>
      <c r="Y1848">
        <v>25</v>
      </c>
      <c r="Z1848" t="s">
        <v>111</v>
      </c>
      <c r="AA1848">
        <v>0</v>
      </c>
      <c r="AB1848" t="s">
        <v>111</v>
      </c>
      <c r="AC1848">
        <v>0</v>
      </c>
      <c r="AD1848" t="s">
        <v>416</v>
      </c>
      <c r="AE1848">
        <v>0</v>
      </c>
      <c r="AF1848">
        <v>0</v>
      </c>
      <c r="AG1848" t="s">
        <v>111</v>
      </c>
      <c r="AH1848" t="s">
        <v>113</v>
      </c>
      <c r="AI1848" t="s">
        <v>111</v>
      </c>
      <c r="AJ1848" t="s">
        <v>111</v>
      </c>
      <c r="AK1848" t="s">
        <v>111</v>
      </c>
      <c r="AL1848" t="s">
        <v>111</v>
      </c>
      <c r="AM1848">
        <v>0</v>
      </c>
      <c r="AN1848">
        <v>0</v>
      </c>
      <c r="AO1848">
        <v>0</v>
      </c>
      <c r="AP1848" t="s">
        <v>111</v>
      </c>
      <c r="AQ1848" t="s">
        <v>111</v>
      </c>
      <c r="AR1848" t="s">
        <v>111</v>
      </c>
      <c r="AS1848" t="s">
        <v>111</v>
      </c>
      <c r="AT1848" t="s">
        <v>111</v>
      </c>
      <c r="AU1848" t="s">
        <v>111</v>
      </c>
      <c r="AV1848" t="s">
        <v>111</v>
      </c>
      <c r="AW1848" t="s">
        <v>111</v>
      </c>
      <c r="AX1848" t="s">
        <v>111</v>
      </c>
      <c r="AY1848" t="s">
        <v>111</v>
      </c>
      <c r="AZ1848" t="s">
        <v>111</v>
      </c>
      <c r="BA1848" t="s">
        <v>111</v>
      </c>
      <c r="BB1848" t="s">
        <v>111</v>
      </c>
      <c r="BC1848" t="s">
        <v>111</v>
      </c>
      <c r="BD1848" t="s">
        <v>111</v>
      </c>
      <c r="BE1848" t="s">
        <v>111</v>
      </c>
      <c r="BF1848" t="s">
        <v>111</v>
      </c>
      <c r="BG1848" t="s">
        <v>111</v>
      </c>
      <c r="BH1848" t="s">
        <v>111</v>
      </c>
      <c r="BI1848" t="s">
        <v>111</v>
      </c>
      <c r="BJ1848" t="s">
        <v>111</v>
      </c>
      <c r="BK1848" t="s">
        <v>111</v>
      </c>
      <c r="BL1848" t="s">
        <v>111</v>
      </c>
      <c r="BM1848" t="s">
        <v>111</v>
      </c>
      <c r="BN1848" t="s">
        <v>111</v>
      </c>
      <c r="BO1848" t="s">
        <v>111</v>
      </c>
      <c r="BP1848" t="s">
        <v>111</v>
      </c>
      <c r="BQ1848" t="s">
        <v>111</v>
      </c>
      <c r="BR1848" t="s">
        <v>111</v>
      </c>
      <c r="BS1848" t="s">
        <v>111</v>
      </c>
      <c r="BT1848" t="s">
        <v>111</v>
      </c>
      <c r="BU1848" t="s">
        <v>111</v>
      </c>
      <c r="BV1848" t="s">
        <v>111</v>
      </c>
      <c r="BW1848" t="s">
        <v>111</v>
      </c>
      <c r="BX1848" t="s">
        <v>111</v>
      </c>
      <c r="BY1848" t="s">
        <v>111</v>
      </c>
      <c r="BZ1848" t="s">
        <v>111</v>
      </c>
      <c r="CA1848" t="s">
        <v>111</v>
      </c>
      <c r="CB1848" t="s">
        <v>111</v>
      </c>
      <c r="CC1848" t="s">
        <v>111</v>
      </c>
      <c r="CD1848" t="s">
        <v>111</v>
      </c>
      <c r="CE1848" t="s">
        <v>111</v>
      </c>
      <c r="CF1848" t="s">
        <v>111</v>
      </c>
      <c r="CG1848" t="s">
        <v>111</v>
      </c>
      <c r="CH1848" t="s">
        <v>111</v>
      </c>
      <c r="CI1848" t="s">
        <v>111</v>
      </c>
      <c r="CJ1848" t="s">
        <v>111</v>
      </c>
      <c r="CK1848" t="s">
        <v>111</v>
      </c>
      <c r="CL1848" t="s">
        <v>111</v>
      </c>
      <c r="CM1848" t="s">
        <v>360</v>
      </c>
      <c r="CN1848" t="s">
        <v>113</v>
      </c>
      <c r="CO1848" t="s">
        <v>5085</v>
      </c>
      <c r="CP1848" t="e">
        <f>-MUESTRA</f>
        <v>#NAME?</v>
      </c>
      <c r="CQ1848">
        <v>68</v>
      </c>
      <c r="CR1848">
        <v>4000</v>
      </c>
      <c r="CS1848">
        <v>2000</v>
      </c>
      <c r="CT1848" t="s">
        <v>5086</v>
      </c>
      <c r="CU1848">
        <v>0</v>
      </c>
      <c r="CV1848" t="s">
        <v>111</v>
      </c>
      <c r="CW1848" t="s">
        <v>111</v>
      </c>
      <c r="CX1848" t="s">
        <v>111</v>
      </c>
      <c r="CY1848">
        <v>0</v>
      </c>
      <c r="CZ1848" t="s">
        <v>111</v>
      </c>
      <c r="DA1848" t="s">
        <v>111</v>
      </c>
      <c r="DB1848" t="s">
        <v>111</v>
      </c>
      <c r="DC1848" t="s">
        <v>111</v>
      </c>
    </row>
    <row r="1849" spans="1:107">
      <c r="A1849">
        <v>1185</v>
      </c>
      <c r="B1849" t="s">
        <v>107</v>
      </c>
      <c r="C1849" t="s">
        <v>3783</v>
      </c>
      <c r="D1849" t="s">
        <v>3960</v>
      </c>
      <c r="E1849" t="s">
        <v>5087</v>
      </c>
      <c r="F1849" t="s">
        <v>1260</v>
      </c>
      <c r="G1849" t="s">
        <v>24</v>
      </c>
      <c r="H1849">
        <v>1.9</v>
      </c>
      <c r="I1849">
        <v>40</v>
      </c>
      <c r="J1849">
        <v>0</v>
      </c>
      <c r="K1849">
        <v>0</v>
      </c>
      <c r="L1849" t="s">
        <v>117</v>
      </c>
      <c r="M1849" t="s">
        <v>118</v>
      </c>
      <c r="N1849">
        <v>40</v>
      </c>
      <c r="O1849">
        <v>1</v>
      </c>
      <c r="P1849" t="s">
        <v>111</v>
      </c>
      <c r="Q1849">
        <v>44.2</v>
      </c>
      <c r="R1849">
        <v>0</v>
      </c>
      <c r="S1849">
        <v>0</v>
      </c>
      <c r="T1849">
        <v>5</v>
      </c>
      <c r="U1849" t="s">
        <v>1511</v>
      </c>
      <c r="V1849">
        <v>0</v>
      </c>
      <c r="W1849">
        <v>0</v>
      </c>
      <c r="X1849">
        <v>0</v>
      </c>
      <c r="Y1849">
        <v>25</v>
      </c>
      <c r="Z1849" t="s">
        <v>111</v>
      </c>
      <c r="AA1849">
        <v>0</v>
      </c>
      <c r="AB1849" t="s">
        <v>111</v>
      </c>
      <c r="AC1849">
        <v>0</v>
      </c>
      <c r="AD1849" t="s">
        <v>416</v>
      </c>
      <c r="AE1849">
        <v>0</v>
      </c>
      <c r="AF1849">
        <v>0</v>
      </c>
      <c r="AG1849" t="s">
        <v>111</v>
      </c>
      <c r="AH1849" t="s">
        <v>113</v>
      </c>
      <c r="AI1849" t="s">
        <v>111</v>
      </c>
      <c r="AJ1849" t="s">
        <v>111</v>
      </c>
      <c r="AK1849" t="s">
        <v>111</v>
      </c>
      <c r="AL1849" t="s">
        <v>111</v>
      </c>
      <c r="AM1849">
        <v>0</v>
      </c>
      <c r="AN1849">
        <v>0</v>
      </c>
      <c r="AO1849">
        <v>0</v>
      </c>
      <c r="AP1849" t="s">
        <v>111</v>
      </c>
      <c r="AQ1849" t="s">
        <v>111</v>
      </c>
      <c r="AR1849" t="s">
        <v>111</v>
      </c>
      <c r="AS1849" t="s">
        <v>111</v>
      </c>
      <c r="AT1849" t="s">
        <v>111</v>
      </c>
      <c r="AU1849" t="s">
        <v>111</v>
      </c>
      <c r="AV1849" t="s">
        <v>111</v>
      </c>
      <c r="AW1849" t="s">
        <v>111</v>
      </c>
      <c r="AX1849" t="s">
        <v>111</v>
      </c>
      <c r="AY1849" t="s">
        <v>111</v>
      </c>
      <c r="AZ1849" t="s">
        <v>111</v>
      </c>
      <c r="BA1849" t="s">
        <v>111</v>
      </c>
      <c r="BB1849" t="s">
        <v>111</v>
      </c>
      <c r="BC1849" t="s">
        <v>111</v>
      </c>
      <c r="BD1849" t="s">
        <v>111</v>
      </c>
      <c r="BE1849" t="s">
        <v>111</v>
      </c>
      <c r="BF1849" t="s">
        <v>111</v>
      </c>
      <c r="BG1849" t="s">
        <v>111</v>
      </c>
      <c r="BH1849" t="s">
        <v>111</v>
      </c>
      <c r="BI1849" t="s">
        <v>111</v>
      </c>
      <c r="BJ1849" t="s">
        <v>111</v>
      </c>
      <c r="BK1849" t="s">
        <v>111</v>
      </c>
      <c r="BL1849" t="s">
        <v>111</v>
      </c>
      <c r="BM1849" t="s">
        <v>111</v>
      </c>
      <c r="BN1849" t="s">
        <v>111</v>
      </c>
      <c r="BO1849" t="s">
        <v>111</v>
      </c>
      <c r="BP1849" t="s">
        <v>111</v>
      </c>
      <c r="BQ1849" t="s">
        <v>111</v>
      </c>
      <c r="BR1849" t="s">
        <v>111</v>
      </c>
      <c r="BS1849" t="s">
        <v>111</v>
      </c>
      <c r="BT1849" t="s">
        <v>111</v>
      </c>
      <c r="BU1849" t="s">
        <v>111</v>
      </c>
      <c r="BV1849" t="s">
        <v>111</v>
      </c>
      <c r="BW1849" t="s">
        <v>111</v>
      </c>
      <c r="BX1849" t="s">
        <v>111</v>
      </c>
      <c r="BY1849" t="s">
        <v>111</v>
      </c>
      <c r="BZ1849" t="s">
        <v>111</v>
      </c>
      <c r="CA1849" t="s">
        <v>111</v>
      </c>
      <c r="CB1849" t="s">
        <v>111</v>
      </c>
      <c r="CC1849" t="s">
        <v>111</v>
      </c>
      <c r="CD1849" t="s">
        <v>111</v>
      </c>
      <c r="CE1849" t="s">
        <v>111</v>
      </c>
      <c r="CF1849" t="s">
        <v>111</v>
      </c>
      <c r="CG1849" t="s">
        <v>111</v>
      </c>
      <c r="CH1849" t="s">
        <v>111</v>
      </c>
      <c r="CI1849" t="s">
        <v>111</v>
      </c>
      <c r="CJ1849" t="s">
        <v>111</v>
      </c>
      <c r="CK1849" t="s">
        <v>111</v>
      </c>
      <c r="CL1849" t="s">
        <v>111</v>
      </c>
      <c r="CM1849" t="s">
        <v>135</v>
      </c>
      <c r="CN1849" t="s">
        <v>113</v>
      </c>
      <c r="CO1849" t="s">
        <v>111</v>
      </c>
      <c r="CP1849" t="s">
        <v>111</v>
      </c>
      <c r="CQ1849">
        <v>0</v>
      </c>
      <c r="CR1849">
        <v>26000</v>
      </c>
      <c r="CS1849">
        <v>26000</v>
      </c>
      <c r="CT1849" t="s">
        <v>394</v>
      </c>
      <c r="CU1849">
        <v>0</v>
      </c>
      <c r="CV1849" t="s">
        <v>111</v>
      </c>
      <c r="CW1849" t="s">
        <v>111</v>
      </c>
      <c r="CX1849" t="s">
        <v>111</v>
      </c>
      <c r="CY1849">
        <v>0</v>
      </c>
      <c r="CZ1849" t="s">
        <v>111</v>
      </c>
      <c r="DA1849" t="s">
        <v>111</v>
      </c>
      <c r="DB1849" t="s">
        <v>111</v>
      </c>
      <c r="DC1849" t="s">
        <v>111</v>
      </c>
    </row>
    <row r="1850" spans="1:107">
      <c r="A1850">
        <v>1172</v>
      </c>
      <c r="B1850" t="s">
        <v>107</v>
      </c>
      <c r="C1850" t="s">
        <v>4324</v>
      </c>
      <c r="D1850" t="s">
        <v>5088</v>
      </c>
      <c r="E1850" t="s">
        <v>5089</v>
      </c>
      <c r="F1850" t="s">
        <v>110</v>
      </c>
      <c r="G1850" t="s">
        <v>24</v>
      </c>
      <c r="H1850">
        <v>1.25</v>
      </c>
      <c r="I1850">
        <v>0</v>
      </c>
      <c r="J1850">
        <v>0</v>
      </c>
      <c r="K1850">
        <v>0</v>
      </c>
      <c r="L1850" t="s">
        <v>112</v>
      </c>
      <c r="M1850" t="s">
        <v>111</v>
      </c>
      <c r="N1850">
        <v>0</v>
      </c>
      <c r="O1850">
        <v>0</v>
      </c>
      <c r="P1850" t="s">
        <v>111</v>
      </c>
      <c r="Q1850">
        <v>33.299999999999997</v>
      </c>
      <c r="R1850">
        <v>0</v>
      </c>
      <c r="S1850">
        <v>0</v>
      </c>
      <c r="T1850">
        <v>0</v>
      </c>
      <c r="U1850" t="e">
        <f>-DESTINO ALMACEN</f>
        <v>#NAME?</v>
      </c>
      <c r="V1850">
        <v>0</v>
      </c>
      <c r="W1850">
        <v>0</v>
      </c>
      <c r="X1850">
        <v>0</v>
      </c>
      <c r="Y1850">
        <v>25</v>
      </c>
      <c r="Z1850" t="s">
        <v>111</v>
      </c>
      <c r="AA1850">
        <v>0</v>
      </c>
      <c r="AB1850" t="s">
        <v>111</v>
      </c>
      <c r="AC1850">
        <v>0</v>
      </c>
      <c r="AD1850" t="s">
        <v>111</v>
      </c>
      <c r="AE1850">
        <v>0</v>
      </c>
      <c r="AF1850">
        <v>0</v>
      </c>
      <c r="AG1850" t="s">
        <v>111</v>
      </c>
      <c r="AH1850" t="s">
        <v>111</v>
      </c>
      <c r="AI1850" t="s">
        <v>111</v>
      </c>
      <c r="AJ1850" t="s">
        <v>111</v>
      </c>
      <c r="AK1850" t="s">
        <v>111</v>
      </c>
      <c r="AL1850" t="s">
        <v>111</v>
      </c>
      <c r="AM1850">
        <v>0</v>
      </c>
      <c r="AN1850">
        <v>0</v>
      </c>
      <c r="AO1850">
        <v>0</v>
      </c>
      <c r="AP1850" t="s">
        <v>111</v>
      </c>
      <c r="AQ1850" t="s">
        <v>111</v>
      </c>
      <c r="AR1850" t="s">
        <v>111</v>
      </c>
      <c r="AS1850" t="s">
        <v>111</v>
      </c>
      <c r="AT1850" t="s">
        <v>111</v>
      </c>
      <c r="AU1850" t="s">
        <v>111</v>
      </c>
      <c r="AV1850" t="s">
        <v>111</v>
      </c>
      <c r="AW1850" t="s">
        <v>111</v>
      </c>
      <c r="AX1850" t="s">
        <v>111</v>
      </c>
      <c r="AY1850" t="s">
        <v>111</v>
      </c>
      <c r="AZ1850" t="s">
        <v>111</v>
      </c>
      <c r="BA1850" t="s">
        <v>111</v>
      </c>
      <c r="BB1850" t="s">
        <v>111</v>
      </c>
      <c r="BC1850" t="s">
        <v>111</v>
      </c>
      <c r="BD1850" t="s">
        <v>111</v>
      </c>
      <c r="BE1850" t="s">
        <v>111</v>
      </c>
      <c r="BF1850" t="s">
        <v>111</v>
      </c>
      <c r="BG1850" t="s">
        <v>111</v>
      </c>
      <c r="BH1850" t="s">
        <v>111</v>
      </c>
      <c r="BI1850" t="s">
        <v>111</v>
      </c>
      <c r="BJ1850" t="s">
        <v>111</v>
      </c>
      <c r="BK1850" t="s">
        <v>111</v>
      </c>
      <c r="BL1850" t="s">
        <v>111</v>
      </c>
      <c r="BM1850" t="s">
        <v>111</v>
      </c>
      <c r="BN1850" t="s">
        <v>111</v>
      </c>
      <c r="BO1850" t="s">
        <v>111</v>
      </c>
      <c r="BP1850" t="s">
        <v>111</v>
      </c>
      <c r="BQ1850" t="s">
        <v>111</v>
      </c>
      <c r="BR1850" t="s">
        <v>111</v>
      </c>
      <c r="BS1850" t="s">
        <v>111</v>
      </c>
      <c r="BT1850" t="s">
        <v>111</v>
      </c>
      <c r="BU1850" t="s">
        <v>111</v>
      </c>
      <c r="BV1850" t="s">
        <v>111</v>
      </c>
      <c r="BW1850" t="s">
        <v>111</v>
      </c>
      <c r="BX1850" t="s">
        <v>111</v>
      </c>
      <c r="BY1850" t="s">
        <v>111</v>
      </c>
      <c r="BZ1850" t="s">
        <v>111</v>
      </c>
      <c r="CA1850" t="s">
        <v>111</v>
      </c>
      <c r="CB1850" t="s">
        <v>111</v>
      </c>
      <c r="CC1850" t="s">
        <v>111</v>
      </c>
      <c r="CD1850" t="s">
        <v>111</v>
      </c>
      <c r="CE1850" t="s">
        <v>111</v>
      </c>
      <c r="CF1850" t="s">
        <v>111</v>
      </c>
      <c r="CG1850" t="s">
        <v>111</v>
      </c>
      <c r="CH1850" t="s">
        <v>111</v>
      </c>
      <c r="CI1850" t="s">
        <v>111</v>
      </c>
      <c r="CJ1850" t="s">
        <v>111</v>
      </c>
      <c r="CK1850" t="s">
        <v>111</v>
      </c>
      <c r="CL1850" t="s">
        <v>111</v>
      </c>
      <c r="CM1850" t="s">
        <v>111</v>
      </c>
      <c r="CN1850" t="s">
        <v>111</v>
      </c>
      <c r="CO1850" t="s">
        <v>111</v>
      </c>
      <c r="CP1850" t="s">
        <v>111</v>
      </c>
      <c r="CQ1850">
        <v>0</v>
      </c>
      <c r="CR1850">
        <v>0</v>
      </c>
      <c r="CS1850">
        <v>0</v>
      </c>
      <c r="CT1850" t="s">
        <v>111</v>
      </c>
      <c r="CU1850">
        <v>0</v>
      </c>
      <c r="CV1850" t="s">
        <v>111</v>
      </c>
      <c r="CW1850" t="s">
        <v>111</v>
      </c>
      <c r="CX1850" t="s">
        <v>111</v>
      </c>
      <c r="CY1850">
        <v>0</v>
      </c>
      <c r="CZ1850" t="s">
        <v>111</v>
      </c>
      <c r="DA1850" t="s">
        <v>111</v>
      </c>
      <c r="DB1850" t="s">
        <v>111</v>
      </c>
      <c r="DC1850" t="s">
        <v>111</v>
      </c>
    </row>
    <row r="1851" spans="1:107">
      <c r="A1851">
        <v>1171</v>
      </c>
      <c r="B1851" t="s">
        <v>107</v>
      </c>
      <c r="C1851" t="s">
        <v>536</v>
      </c>
      <c r="D1851" t="s">
        <v>5090</v>
      </c>
      <c r="E1851" t="s">
        <v>5091</v>
      </c>
      <c r="F1851" t="s">
        <v>1071</v>
      </c>
      <c r="G1851" t="s">
        <v>24</v>
      </c>
      <c r="H1851">
        <v>1.3</v>
      </c>
      <c r="I1851">
        <v>30</v>
      </c>
      <c r="J1851">
        <v>0</v>
      </c>
      <c r="K1851">
        <v>0</v>
      </c>
      <c r="L1851" t="s">
        <v>112</v>
      </c>
      <c r="M1851" t="s">
        <v>111</v>
      </c>
      <c r="N1851">
        <v>0</v>
      </c>
      <c r="O1851">
        <v>0</v>
      </c>
      <c r="P1851" t="s">
        <v>111</v>
      </c>
      <c r="Q1851">
        <v>23.9</v>
      </c>
      <c r="R1851">
        <v>0</v>
      </c>
      <c r="S1851">
        <v>0</v>
      </c>
      <c r="T1851">
        <v>5</v>
      </c>
      <c r="U1851" t="s">
        <v>153</v>
      </c>
      <c r="V1851">
        <v>0</v>
      </c>
      <c r="W1851">
        <v>0</v>
      </c>
      <c r="X1851">
        <v>0</v>
      </c>
      <c r="Y1851">
        <v>25</v>
      </c>
      <c r="Z1851" t="s">
        <v>111</v>
      </c>
      <c r="AA1851">
        <v>0</v>
      </c>
      <c r="AB1851" t="s">
        <v>111</v>
      </c>
      <c r="AC1851">
        <v>0</v>
      </c>
      <c r="AD1851" t="s">
        <v>111</v>
      </c>
      <c r="AE1851">
        <v>0</v>
      </c>
      <c r="AF1851">
        <v>0</v>
      </c>
      <c r="AG1851" t="s">
        <v>111</v>
      </c>
      <c r="AH1851" t="s">
        <v>111</v>
      </c>
      <c r="AI1851" t="s">
        <v>111</v>
      </c>
      <c r="AJ1851" t="s">
        <v>111</v>
      </c>
      <c r="AK1851" t="s">
        <v>111</v>
      </c>
      <c r="AL1851" t="s">
        <v>111</v>
      </c>
      <c r="AM1851">
        <v>0</v>
      </c>
      <c r="AN1851">
        <v>0</v>
      </c>
      <c r="AO1851">
        <v>0</v>
      </c>
      <c r="AP1851" t="s">
        <v>111</v>
      </c>
      <c r="AQ1851" t="s">
        <v>111</v>
      </c>
      <c r="AR1851" t="s">
        <v>111</v>
      </c>
      <c r="AS1851" t="s">
        <v>111</v>
      </c>
      <c r="AT1851" t="s">
        <v>111</v>
      </c>
      <c r="AU1851" t="s">
        <v>111</v>
      </c>
      <c r="AV1851" t="s">
        <v>111</v>
      </c>
      <c r="AW1851" t="s">
        <v>111</v>
      </c>
      <c r="AX1851" t="s">
        <v>111</v>
      </c>
      <c r="AY1851" t="s">
        <v>111</v>
      </c>
      <c r="AZ1851" t="s">
        <v>111</v>
      </c>
      <c r="BA1851" t="s">
        <v>111</v>
      </c>
      <c r="BB1851" t="s">
        <v>111</v>
      </c>
      <c r="BC1851" t="s">
        <v>111</v>
      </c>
      <c r="BD1851" t="s">
        <v>111</v>
      </c>
      <c r="BE1851" t="s">
        <v>111</v>
      </c>
      <c r="BF1851" t="s">
        <v>111</v>
      </c>
      <c r="BG1851" t="s">
        <v>111</v>
      </c>
      <c r="BH1851" t="s">
        <v>111</v>
      </c>
      <c r="BI1851" t="s">
        <v>111</v>
      </c>
      <c r="BJ1851" t="s">
        <v>111</v>
      </c>
      <c r="BK1851" t="s">
        <v>111</v>
      </c>
      <c r="BL1851" t="s">
        <v>111</v>
      </c>
      <c r="BM1851" t="s">
        <v>111</v>
      </c>
      <c r="BN1851" t="s">
        <v>111</v>
      </c>
      <c r="BO1851" t="s">
        <v>111</v>
      </c>
      <c r="BP1851" t="s">
        <v>111</v>
      </c>
      <c r="BQ1851" t="s">
        <v>111</v>
      </c>
      <c r="BR1851" t="s">
        <v>111</v>
      </c>
      <c r="BS1851" t="s">
        <v>111</v>
      </c>
      <c r="BT1851" t="s">
        <v>111</v>
      </c>
      <c r="BU1851" t="s">
        <v>111</v>
      </c>
      <c r="BV1851" t="s">
        <v>111</v>
      </c>
      <c r="BW1851" t="s">
        <v>111</v>
      </c>
      <c r="BX1851" t="s">
        <v>111</v>
      </c>
      <c r="BY1851" t="s">
        <v>111</v>
      </c>
      <c r="BZ1851" t="s">
        <v>111</v>
      </c>
      <c r="CA1851" t="s">
        <v>111</v>
      </c>
      <c r="CB1851" t="s">
        <v>111</v>
      </c>
      <c r="CC1851" t="s">
        <v>111</v>
      </c>
      <c r="CD1851" t="s">
        <v>111</v>
      </c>
      <c r="CE1851" t="s">
        <v>111</v>
      </c>
      <c r="CF1851" t="s">
        <v>111</v>
      </c>
      <c r="CG1851" t="s">
        <v>111</v>
      </c>
      <c r="CH1851" t="s">
        <v>111</v>
      </c>
      <c r="CI1851" t="s">
        <v>111</v>
      </c>
      <c r="CJ1851" t="s">
        <v>111</v>
      </c>
      <c r="CK1851" t="s">
        <v>111</v>
      </c>
      <c r="CL1851" t="s">
        <v>111</v>
      </c>
      <c r="CM1851" t="s">
        <v>135</v>
      </c>
      <c r="CN1851" t="s">
        <v>113</v>
      </c>
      <c r="CO1851" t="s">
        <v>637</v>
      </c>
      <c r="CP1851" t="s">
        <v>111</v>
      </c>
      <c r="CQ1851">
        <v>0</v>
      </c>
      <c r="CR1851">
        <v>2000</v>
      </c>
      <c r="CS1851">
        <v>200</v>
      </c>
      <c r="CT1851" s="1" t="s">
        <v>2919</v>
      </c>
      <c r="CU1851">
        <v>0</v>
      </c>
      <c r="CV1851" t="s">
        <v>111</v>
      </c>
      <c r="CW1851" t="s">
        <v>111</v>
      </c>
      <c r="CX1851" t="s">
        <v>111</v>
      </c>
      <c r="CY1851">
        <v>0</v>
      </c>
      <c r="CZ1851" t="s">
        <v>111</v>
      </c>
      <c r="DA1851" t="s">
        <v>111</v>
      </c>
      <c r="DB1851" t="s">
        <v>111</v>
      </c>
      <c r="DC1851" t="s">
        <v>111</v>
      </c>
    </row>
    <row r="1852" spans="1:107">
      <c r="A1852">
        <v>1159</v>
      </c>
      <c r="B1852" t="s">
        <v>107</v>
      </c>
      <c r="C1852" t="s">
        <v>4214</v>
      </c>
      <c r="D1852" t="s">
        <v>4555</v>
      </c>
      <c r="E1852" t="s">
        <v>5092</v>
      </c>
      <c r="F1852" t="s">
        <v>110</v>
      </c>
      <c r="G1852" t="s">
        <v>24</v>
      </c>
      <c r="H1852">
        <v>1.3</v>
      </c>
      <c r="I1852">
        <v>55</v>
      </c>
      <c r="J1852">
        <v>0</v>
      </c>
      <c r="K1852">
        <v>0</v>
      </c>
      <c r="L1852" t="s">
        <v>112</v>
      </c>
      <c r="M1852" t="s">
        <v>118</v>
      </c>
      <c r="N1852">
        <v>40</v>
      </c>
      <c r="O1852">
        <v>2</v>
      </c>
      <c r="P1852" t="s">
        <v>111</v>
      </c>
      <c r="Q1852">
        <v>45</v>
      </c>
      <c r="R1852">
        <v>0</v>
      </c>
      <c r="S1852">
        <v>0</v>
      </c>
      <c r="T1852">
        <v>0</v>
      </c>
      <c r="U1852" s="1" t="s">
        <v>5093</v>
      </c>
      <c r="V1852">
        <v>0</v>
      </c>
      <c r="W1852">
        <v>0</v>
      </c>
      <c r="X1852">
        <v>0</v>
      </c>
      <c r="Y1852">
        <v>25</v>
      </c>
      <c r="Z1852" t="s">
        <v>111</v>
      </c>
      <c r="AA1852">
        <v>0</v>
      </c>
      <c r="AB1852" t="s">
        <v>111</v>
      </c>
      <c r="AC1852">
        <v>0</v>
      </c>
      <c r="AD1852" t="s">
        <v>111</v>
      </c>
      <c r="AE1852">
        <v>0</v>
      </c>
      <c r="AF1852">
        <v>0</v>
      </c>
      <c r="AG1852" t="s">
        <v>111</v>
      </c>
      <c r="AH1852" t="s">
        <v>111</v>
      </c>
      <c r="AI1852" t="s">
        <v>111</v>
      </c>
      <c r="AJ1852" t="s">
        <v>111</v>
      </c>
      <c r="AK1852" t="s">
        <v>111</v>
      </c>
      <c r="AL1852" t="s">
        <v>111</v>
      </c>
      <c r="AM1852">
        <v>0</v>
      </c>
      <c r="AN1852">
        <v>0</v>
      </c>
      <c r="AO1852">
        <v>0</v>
      </c>
      <c r="AP1852" t="s">
        <v>111</v>
      </c>
      <c r="AQ1852" t="s">
        <v>111</v>
      </c>
      <c r="AR1852" t="s">
        <v>111</v>
      </c>
      <c r="AS1852" t="s">
        <v>111</v>
      </c>
      <c r="AT1852" t="s">
        <v>111</v>
      </c>
      <c r="AU1852" t="s">
        <v>111</v>
      </c>
      <c r="AV1852" t="s">
        <v>111</v>
      </c>
      <c r="AW1852" t="s">
        <v>111</v>
      </c>
      <c r="AX1852" t="s">
        <v>111</v>
      </c>
      <c r="AY1852" t="s">
        <v>111</v>
      </c>
      <c r="AZ1852" t="s">
        <v>111</v>
      </c>
      <c r="BA1852" t="s">
        <v>111</v>
      </c>
      <c r="BB1852" t="s">
        <v>111</v>
      </c>
      <c r="BC1852" t="s">
        <v>111</v>
      </c>
      <c r="BD1852" t="s">
        <v>111</v>
      </c>
      <c r="BE1852" t="s">
        <v>111</v>
      </c>
      <c r="BF1852" t="s">
        <v>111</v>
      </c>
      <c r="BG1852" t="s">
        <v>111</v>
      </c>
      <c r="BH1852" t="s">
        <v>111</v>
      </c>
      <c r="BI1852" t="s">
        <v>111</v>
      </c>
      <c r="BJ1852" t="s">
        <v>111</v>
      </c>
      <c r="BK1852" t="s">
        <v>111</v>
      </c>
      <c r="BL1852" t="s">
        <v>111</v>
      </c>
      <c r="BM1852" t="s">
        <v>111</v>
      </c>
      <c r="BN1852" t="s">
        <v>111</v>
      </c>
      <c r="BO1852" t="s">
        <v>111</v>
      </c>
      <c r="BP1852" t="s">
        <v>111</v>
      </c>
      <c r="BQ1852" t="s">
        <v>111</v>
      </c>
      <c r="BR1852" t="s">
        <v>111</v>
      </c>
      <c r="BS1852" t="s">
        <v>111</v>
      </c>
      <c r="BT1852" t="s">
        <v>111</v>
      </c>
      <c r="BU1852" t="s">
        <v>111</v>
      </c>
      <c r="BV1852" t="s">
        <v>111</v>
      </c>
      <c r="BW1852" t="s">
        <v>111</v>
      </c>
      <c r="BX1852" t="s">
        <v>111</v>
      </c>
      <c r="BY1852" t="s">
        <v>111</v>
      </c>
      <c r="BZ1852" t="s">
        <v>111</v>
      </c>
      <c r="CA1852" t="s">
        <v>111</v>
      </c>
      <c r="CB1852" t="s">
        <v>111</v>
      </c>
      <c r="CC1852" t="s">
        <v>111</v>
      </c>
      <c r="CD1852" t="s">
        <v>111</v>
      </c>
      <c r="CE1852" t="s">
        <v>111</v>
      </c>
      <c r="CF1852" t="s">
        <v>111</v>
      </c>
      <c r="CG1852" t="s">
        <v>111</v>
      </c>
      <c r="CH1852" t="s">
        <v>111</v>
      </c>
      <c r="CI1852" t="s">
        <v>111</v>
      </c>
      <c r="CJ1852" t="s">
        <v>111</v>
      </c>
      <c r="CK1852" t="s">
        <v>111</v>
      </c>
      <c r="CL1852" t="s">
        <v>111</v>
      </c>
      <c r="CM1852" t="s">
        <v>111</v>
      </c>
      <c r="CN1852" t="s">
        <v>111</v>
      </c>
      <c r="CO1852" t="s">
        <v>111</v>
      </c>
      <c r="CP1852" t="s">
        <v>111</v>
      </c>
      <c r="CQ1852">
        <v>0</v>
      </c>
      <c r="CR1852">
        <v>0</v>
      </c>
      <c r="CS1852">
        <v>0</v>
      </c>
      <c r="CT1852" t="s">
        <v>111</v>
      </c>
      <c r="CU1852">
        <v>0</v>
      </c>
      <c r="CV1852" t="s">
        <v>111</v>
      </c>
      <c r="CW1852" t="s">
        <v>111</v>
      </c>
      <c r="CX1852" t="s">
        <v>111</v>
      </c>
      <c r="CY1852">
        <v>0</v>
      </c>
      <c r="CZ1852" t="s">
        <v>111</v>
      </c>
      <c r="DA1852" t="s">
        <v>111</v>
      </c>
      <c r="DB1852" t="s">
        <v>111</v>
      </c>
      <c r="DC1852" t="s">
        <v>111</v>
      </c>
    </row>
    <row r="1853" spans="1:107">
      <c r="A1853">
        <v>1158</v>
      </c>
      <c r="B1853" t="s">
        <v>107</v>
      </c>
      <c r="C1853" t="s">
        <v>4214</v>
      </c>
      <c r="D1853" t="s">
        <v>5094</v>
      </c>
      <c r="E1853" t="s">
        <v>5095</v>
      </c>
      <c r="F1853" t="s">
        <v>110</v>
      </c>
      <c r="G1853" t="s">
        <v>24</v>
      </c>
      <c r="H1853">
        <v>2.9</v>
      </c>
      <c r="I1853">
        <v>55</v>
      </c>
      <c r="J1853">
        <v>0</v>
      </c>
      <c r="K1853">
        <v>0</v>
      </c>
      <c r="L1853" t="s">
        <v>112</v>
      </c>
      <c r="M1853" t="s">
        <v>118</v>
      </c>
      <c r="N1853">
        <v>40</v>
      </c>
      <c r="O1853">
        <v>2</v>
      </c>
      <c r="P1853" t="s">
        <v>138</v>
      </c>
      <c r="Q1853">
        <v>50</v>
      </c>
      <c r="R1853">
        <v>0</v>
      </c>
      <c r="S1853">
        <v>0</v>
      </c>
      <c r="T1853">
        <v>0</v>
      </c>
      <c r="U1853" s="1" t="s">
        <v>5096</v>
      </c>
      <c r="V1853">
        <v>0</v>
      </c>
      <c r="W1853">
        <v>0</v>
      </c>
      <c r="X1853">
        <v>0</v>
      </c>
      <c r="Y1853">
        <v>25</v>
      </c>
      <c r="Z1853" t="s">
        <v>111</v>
      </c>
      <c r="AA1853">
        <v>0</v>
      </c>
      <c r="AB1853" t="s">
        <v>111</v>
      </c>
      <c r="AC1853">
        <v>0</v>
      </c>
      <c r="AD1853" t="s">
        <v>111</v>
      </c>
      <c r="AE1853">
        <v>0</v>
      </c>
      <c r="AF1853">
        <v>0</v>
      </c>
      <c r="AG1853" t="s">
        <v>111</v>
      </c>
      <c r="AH1853" t="s">
        <v>111</v>
      </c>
      <c r="AI1853" t="s">
        <v>111</v>
      </c>
      <c r="AJ1853" t="s">
        <v>111</v>
      </c>
      <c r="AK1853" t="s">
        <v>111</v>
      </c>
      <c r="AL1853" t="s">
        <v>111</v>
      </c>
      <c r="AM1853">
        <v>0</v>
      </c>
      <c r="AN1853">
        <v>0</v>
      </c>
      <c r="AO1853">
        <v>0</v>
      </c>
      <c r="AP1853" t="s">
        <v>111</v>
      </c>
      <c r="AQ1853" t="s">
        <v>111</v>
      </c>
      <c r="AR1853" t="s">
        <v>111</v>
      </c>
      <c r="AS1853" t="s">
        <v>111</v>
      </c>
      <c r="AT1853" t="s">
        <v>111</v>
      </c>
      <c r="AU1853" t="s">
        <v>111</v>
      </c>
      <c r="AV1853" t="s">
        <v>111</v>
      </c>
      <c r="AW1853" t="s">
        <v>111</v>
      </c>
      <c r="AX1853" t="s">
        <v>111</v>
      </c>
      <c r="AY1853" t="s">
        <v>111</v>
      </c>
      <c r="AZ1853" t="s">
        <v>111</v>
      </c>
      <c r="BA1853" t="s">
        <v>111</v>
      </c>
      <c r="BB1853" t="s">
        <v>111</v>
      </c>
      <c r="BC1853" t="s">
        <v>111</v>
      </c>
      <c r="BD1853" t="s">
        <v>111</v>
      </c>
      <c r="BE1853" t="s">
        <v>111</v>
      </c>
      <c r="BF1853" t="s">
        <v>111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<v>111</v>
      </c>
      <c r="BL1853" t="s">
        <v>111</v>
      </c>
      <c r="BM1853" t="s">
        <v>111</v>
      </c>
      <c r="BN1853" t="s">
        <v>111</v>
      </c>
      <c r="BO1853" t="s">
        <v>111</v>
      </c>
      <c r="BP1853" t="s">
        <v>111</v>
      </c>
      <c r="BQ1853" t="s">
        <v>111</v>
      </c>
      <c r="BR1853" t="s">
        <v>111</v>
      </c>
      <c r="BS1853" t="s">
        <v>111</v>
      </c>
      <c r="BT1853" t="s">
        <v>111</v>
      </c>
      <c r="BU1853" t="s">
        <v>111</v>
      </c>
      <c r="BV1853" t="s">
        <v>111</v>
      </c>
      <c r="BW1853" t="s">
        <v>111</v>
      </c>
      <c r="BX1853" t="s">
        <v>111</v>
      </c>
      <c r="BY1853" t="s">
        <v>111</v>
      </c>
      <c r="BZ1853" t="s">
        <v>111</v>
      </c>
      <c r="CA1853" t="s">
        <v>111</v>
      </c>
      <c r="CB1853" t="s">
        <v>111</v>
      </c>
      <c r="CC1853" t="s">
        <v>111</v>
      </c>
      <c r="CD1853" t="s">
        <v>111</v>
      </c>
      <c r="CE1853" t="s">
        <v>111</v>
      </c>
      <c r="CF1853" t="s">
        <v>111</v>
      </c>
      <c r="CG1853" t="s">
        <v>111</v>
      </c>
      <c r="CH1853" t="s">
        <v>111</v>
      </c>
      <c r="CI1853" t="s">
        <v>111</v>
      </c>
      <c r="CJ1853" t="s">
        <v>111</v>
      </c>
      <c r="CK1853" t="s">
        <v>111</v>
      </c>
      <c r="CL1853" t="s">
        <v>111</v>
      </c>
      <c r="CM1853" t="s">
        <v>111</v>
      </c>
      <c r="CN1853" t="s">
        <v>111</v>
      </c>
      <c r="CO1853" t="s">
        <v>111</v>
      </c>
      <c r="CP1853" t="s">
        <v>111</v>
      </c>
      <c r="CQ1853">
        <v>0</v>
      </c>
      <c r="CR1853">
        <v>0</v>
      </c>
      <c r="CS1853">
        <v>0</v>
      </c>
      <c r="CT1853" t="s">
        <v>111</v>
      </c>
      <c r="CU1853">
        <v>0</v>
      </c>
      <c r="CV1853" t="s">
        <v>111</v>
      </c>
      <c r="CW1853" t="s">
        <v>111</v>
      </c>
      <c r="CX1853" t="s">
        <v>111</v>
      </c>
      <c r="CY1853">
        <v>0</v>
      </c>
      <c r="CZ1853" t="s">
        <v>111</v>
      </c>
      <c r="DA1853" t="s">
        <v>111</v>
      </c>
      <c r="DB1853" t="s">
        <v>111</v>
      </c>
      <c r="DC1853" t="s">
        <v>111</v>
      </c>
    </row>
    <row r="1854" spans="1:107">
      <c r="A1854">
        <v>1149</v>
      </c>
      <c r="B1854" t="s">
        <v>107</v>
      </c>
      <c r="C1854" t="s">
        <v>3783</v>
      </c>
      <c r="D1854" t="s">
        <v>3960</v>
      </c>
      <c r="E1854" t="s">
        <v>5097</v>
      </c>
      <c r="F1854" t="s">
        <v>1260</v>
      </c>
      <c r="G1854" t="s">
        <v>24</v>
      </c>
      <c r="H1854">
        <v>1.9</v>
      </c>
      <c r="I1854">
        <v>40</v>
      </c>
      <c r="J1854">
        <v>0</v>
      </c>
      <c r="K1854">
        <v>0</v>
      </c>
      <c r="L1854" t="s">
        <v>117</v>
      </c>
      <c r="M1854" t="s">
        <v>118</v>
      </c>
      <c r="N1854">
        <v>40</v>
      </c>
      <c r="O1854">
        <v>1</v>
      </c>
      <c r="P1854" t="s">
        <v>138</v>
      </c>
      <c r="Q1854">
        <v>44.2</v>
      </c>
      <c r="R1854">
        <v>0</v>
      </c>
      <c r="S1854">
        <v>0</v>
      </c>
      <c r="T1854">
        <v>5</v>
      </c>
      <c r="U1854" t="s">
        <v>5098</v>
      </c>
      <c r="V1854">
        <v>0</v>
      </c>
      <c r="W1854">
        <v>0</v>
      </c>
      <c r="X1854">
        <v>0</v>
      </c>
      <c r="Y1854">
        <v>25</v>
      </c>
      <c r="Z1854" t="s">
        <v>111</v>
      </c>
      <c r="AA1854">
        <v>0</v>
      </c>
      <c r="AB1854" t="s">
        <v>111</v>
      </c>
      <c r="AC1854">
        <v>0</v>
      </c>
      <c r="AD1854" t="s">
        <v>416</v>
      </c>
      <c r="AE1854">
        <v>0</v>
      </c>
      <c r="AF1854">
        <v>0</v>
      </c>
      <c r="AG1854" t="s">
        <v>111</v>
      </c>
      <c r="AH1854" t="s">
        <v>113</v>
      </c>
      <c r="AI1854" t="s">
        <v>111</v>
      </c>
      <c r="AJ1854" t="s">
        <v>111</v>
      </c>
      <c r="AK1854" t="s">
        <v>111</v>
      </c>
      <c r="AL1854" t="s">
        <v>111</v>
      </c>
      <c r="AM1854">
        <v>0</v>
      </c>
      <c r="AN1854">
        <v>0</v>
      </c>
      <c r="AO1854">
        <v>0</v>
      </c>
      <c r="AP1854" t="s">
        <v>111</v>
      </c>
      <c r="AQ1854" t="s">
        <v>111</v>
      </c>
      <c r="AR1854" t="s">
        <v>111</v>
      </c>
      <c r="AS1854" t="s">
        <v>111</v>
      </c>
      <c r="AT1854" t="s">
        <v>111</v>
      </c>
      <c r="AU1854" t="s">
        <v>111</v>
      </c>
      <c r="AV1854" t="s">
        <v>111</v>
      </c>
      <c r="AW1854" t="s">
        <v>111</v>
      </c>
      <c r="AX1854" t="s">
        <v>111</v>
      </c>
      <c r="AY1854" t="s">
        <v>111</v>
      </c>
      <c r="AZ1854" t="s">
        <v>111</v>
      </c>
      <c r="BA1854" t="s">
        <v>111</v>
      </c>
      <c r="BB1854" t="s">
        <v>111</v>
      </c>
      <c r="BC1854" t="s">
        <v>111</v>
      </c>
      <c r="BD1854" t="s">
        <v>111</v>
      </c>
      <c r="BE1854" t="s">
        <v>111</v>
      </c>
      <c r="BF1854" t="s">
        <v>111</v>
      </c>
      <c r="BG1854" t="s">
        <v>111</v>
      </c>
      <c r="BH1854" t="s">
        <v>111</v>
      </c>
      <c r="BI1854" t="s">
        <v>111</v>
      </c>
      <c r="BJ1854" t="s">
        <v>111</v>
      </c>
      <c r="BK1854" t="s">
        <v>111</v>
      </c>
      <c r="BL1854" t="s">
        <v>111</v>
      </c>
      <c r="BM1854" t="s">
        <v>111</v>
      </c>
      <c r="BN1854" t="s">
        <v>111</v>
      </c>
      <c r="BO1854" t="s">
        <v>111</v>
      </c>
      <c r="BP1854" t="s">
        <v>111</v>
      </c>
      <c r="BQ1854" t="s">
        <v>111</v>
      </c>
      <c r="BR1854" t="s">
        <v>111</v>
      </c>
      <c r="BS1854" t="s">
        <v>111</v>
      </c>
      <c r="BT1854" t="s">
        <v>111</v>
      </c>
      <c r="BU1854" t="s">
        <v>111</v>
      </c>
      <c r="BV1854" t="s">
        <v>111</v>
      </c>
      <c r="BW1854" t="s">
        <v>111</v>
      </c>
      <c r="BX1854" t="s">
        <v>111</v>
      </c>
      <c r="BY1854" t="s">
        <v>111</v>
      </c>
      <c r="BZ1854" t="s">
        <v>111</v>
      </c>
      <c r="CA1854" t="s">
        <v>111</v>
      </c>
      <c r="CB1854" t="s">
        <v>111</v>
      </c>
      <c r="CC1854" t="s">
        <v>111</v>
      </c>
      <c r="CD1854" t="s">
        <v>111</v>
      </c>
      <c r="CE1854" t="s">
        <v>111</v>
      </c>
      <c r="CF1854" t="s">
        <v>111</v>
      </c>
      <c r="CG1854" t="s">
        <v>111</v>
      </c>
      <c r="CH1854" t="s">
        <v>111</v>
      </c>
      <c r="CI1854" t="s">
        <v>111</v>
      </c>
      <c r="CJ1854" t="s">
        <v>111</v>
      </c>
      <c r="CK1854" t="s">
        <v>111</v>
      </c>
      <c r="CL1854" t="e">
        <f>-DESTINO SELLADO</f>
        <v>#NAME?</v>
      </c>
      <c r="CM1854" t="s">
        <v>135</v>
      </c>
      <c r="CN1854" t="s">
        <v>113</v>
      </c>
      <c r="CO1854" t="s">
        <v>111</v>
      </c>
      <c r="CP1854" t="e">
        <f>-MUESTRA</f>
        <v>#NAME?</v>
      </c>
      <c r="CQ1854">
        <v>0</v>
      </c>
      <c r="CR1854">
        <v>26000</v>
      </c>
      <c r="CS1854">
        <v>26000</v>
      </c>
      <c r="CT1854" t="s">
        <v>5099</v>
      </c>
      <c r="CU1854">
        <v>0</v>
      </c>
      <c r="CV1854" t="s">
        <v>111</v>
      </c>
      <c r="CW1854" t="s">
        <v>111</v>
      </c>
      <c r="CX1854" t="s">
        <v>111</v>
      </c>
      <c r="CY1854">
        <v>0</v>
      </c>
      <c r="CZ1854" t="s">
        <v>111</v>
      </c>
      <c r="DA1854" t="s">
        <v>111</v>
      </c>
      <c r="DB1854" t="s">
        <v>111</v>
      </c>
      <c r="DC1854" t="s">
        <v>111</v>
      </c>
    </row>
    <row r="1855" spans="1:107">
      <c r="A1855">
        <v>1148</v>
      </c>
      <c r="B1855" t="s">
        <v>107</v>
      </c>
      <c r="C1855" t="s">
        <v>3783</v>
      </c>
      <c r="D1855" t="s">
        <v>3960</v>
      </c>
      <c r="E1855" t="s">
        <v>5100</v>
      </c>
      <c r="F1855" t="s">
        <v>1260</v>
      </c>
      <c r="G1855" t="s">
        <v>24</v>
      </c>
      <c r="H1855">
        <v>1.9</v>
      </c>
      <c r="I1855">
        <v>40</v>
      </c>
      <c r="J1855">
        <v>0</v>
      </c>
      <c r="K1855">
        <v>0</v>
      </c>
      <c r="L1855" t="s">
        <v>117</v>
      </c>
      <c r="M1855" t="s">
        <v>118</v>
      </c>
      <c r="N1855">
        <v>40</v>
      </c>
      <c r="O1855">
        <v>1</v>
      </c>
      <c r="P1855" t="s">
        <v>138</v>
      </c>
      <c r="Q1855">
        <v>44.2</v>
      </c>
      <c r="R1855">
        <v>0</v>
      </c>
      <c r="S1855">
        <v>0</v>
      </c>
      <c r="T1855">
        <v>5</v>
      </c>
      <c r="U1855" t="s">
        <v>501</v>
      </c>
      <c r="V1855">
        <v>0</v>
      </c>
      <c r="W1855">
        <v>0</v>
      </c>
      <c r="X1855">
        <v>0</v>
      </c>
      <c r="Y1855">
        <v>25</v>
      </c>
      <c r="Z1855" t="s">
        <v>111</v>
      </c>
      <c r="AA1855">
        <v>0</v>
      </c>
      <c r="AB1855" t="s">
        <v>111</v>
      </c>
      <c r="AC1855">
        <v>0</v>
      </c>
      <c r="AD1855" t="s">
        <v>416</v>
      </c>
      <c r="AE1855">
        <v>0</v>
      </c>
      <c r="AF1855">
        <v>0</v>
      </c>
      <c r="AG1855" t="s">
        <v>111</v>
      </c>
      <c r="AH1855" t="s">
        <v>113</v>
      </c>
      <c r="AI1855" t="s">
        <v>111</v>
      </c>
      <c r="AJ1855" t="s">
        <v>111</v>
      </c>
      <c r="AK1855" t="s">
        <v>111</v>
      </c>
      <c r="AL1855" t="s">
        <v>111</v>
      </c>
      <c r="AM1855">
        <v>0</v>
      </c>
      <c r="AN1855">
        <v>0</v>
      </c>
      <c r="AO1855">
        <v>0</v>
      </c>
      <c r="AP1855" t="s">
        <v>111</v>
      </c>
      <c r="AQ1855" t="s">
        <v>111</v>
      </c>
      <c r="AR1855" t="s">
        <v>111</v>
      </c>
      <c r="AS1855" t="s">
        <v>111</v>
      </c>
      <c r="AT1855" t="s">
        <v>111</v>
      </c>
      <c r="AU1855" t="s">
        <v>111</v>
      </c>
      <c r="AV1855" t="s">
        <v>111</v>
      </c>
      <c r="AW1855" t="s">
        <v>111</v>
      </c>
      <c r="AX1855" t="s">
        <v>111</v>
      </c>
      <c r="AY1855" t="s">
        <v>111</v>
      </c>
      <c r="AZ1855" t="s">
        <v>111</v>
      </c>
      <c r="BA1855" t="s">
        <v>111</v>
      </c>
      <c r="BB1855" t="s">
        <v>111</v>
      </c>
      <c r="BC1855" t="s">
        <v>111</v>
      </c>
      <c r="BD1855" t="s">
        <v>111</v>
      </c>
      <c r="BE1855" t="s">
        <v>111</v>
      </c>
      <c r="BF1855" t="s">
        <v>111</v>
      </c>
      <c r="BG1855" t="s">
        <v>111</v>
      </c>
      <c r="BH1855" t="s">
        <v>111</v>
      </c>
      <c r="BI1855" t="s">
        <v>111</v>
      </c>
      <c r="BJ1855" t="s">
        <v>111</v>
      </c>
      <c r="BK1855" t="s">
        <v>111</v>
      </c>
      <c r="BL1855" t="s">
        <v>111</v>
      </c>
      <c r="BM1855" t="s">
        <v>111</v>
      </c>
      <c r="BN1855" t="s">
        <v>111</v>
      </c>
      <c r="BO1855" t="s">
        <v>111</v>
      </c>
      <c r="BP1855" t="s">
        <v>111</v>
      </c>
      <c r="BQ1855" t="s">
        <v>111</v>
      </c>
      <c r="BR1855" t="s">
        <v>111</v>
      </c>
      <c r="BS1855" t="s">
        <v>111</v>
      </c>
      <c r="BT1855" t="s">
        <v>111</v>
      </c>
      <c r="BU1855" t="s">
        <v>111</v>
      </c>
      <c r="BV1855" t="s">
        <v>111</v>
      </c>
      <c r="BW1855" t="s">
        <v>111</v>
      </c>
      <c r="BX1855" t="s">
        <v>111</v>
      </c>
      <c r="BY1855" t="s">
        <v>111</v>
      </c>
      <c r="BZ1855" t="s">
        <v>111</v>
      </c>
      <c r="CA1855" t="s">
        <v>111</v>
      </c>
      <c r="CB1855" t="s">
        <v>111</v>
      </c>
      <c r="CC1855" t="s">
        <v>111</v>
      </c>
      <c r="CD1855" t="s">
        <v>111</v>
      </c>
      <c r="CE1855" t="s">
        <v>111</v>
      </c>
      <c r="CF1855" t="s">
        <v>111</v>
      </c>
      <c r="CG1855" t="s">
        <v>111</v>
      </c>
      <c r="CH1855" t="s">
        <v>111</v>
      </c>
      <c r="CI1855" t="s">
        <v>111</v>
      </c>
      <c r="CJ1855" t="s">
        <v>111</v>
      </c>
      <c r="CK1855" t="s">
        <v>111</v>
      </c>
      <c r="CL1855" t="e">
        <f>-DESTINO SELLADO</f>
        <v>#NAME?</v>
      </c>
      <c r="CM1855" t="s">
        <v>135</v>
      </c>
      <c r="CN1855" t="s">
        <v>113</v>
      </c>
      <c r="CO1855" t="s">
        <v>111</v>
      </c>
      <c r="CP1855" t="e">
        <f>-MUESTRA</f>
        <v>#NAME?</v>
      </c>
      <c r="CQ1855">
        <v>0</v>
      </c>
      <c r="CR1855">
        <v>26000</v>
      </c>
      <c r="CS1855">
        <v>26000</v>
      </c>
      <c r="CT1855" t="s">
        <v>5101</v>
      </c>
      <c r="CU1855">
        <v>0</v>
      </c>
      <c r="CV1855" t="s">
        <v>111</v>
      </c>
      <c r="CW1855" t="s">
        <v>111</v>
      </c>
      <c r="CX1855" t="s">
        <v>111</v>
      </c>
      <c r="CY1855">
        <v>0</v>
      </c>
      <c r="CZ1855" t="s">
        <v>111</v>
      </c>
      <c r="DA1855" t="s">
        <v>111</v>
      </c>
      <c r="DB1855" t="s">
        <v>111</v>
      </c>
      <c r="DC1855" t="s">
        <v>111</v>
      </c>
    </row>
    <row r="1856" spans="1:107">
      <c r="A1856">
        <v>1147</v>
      </c>
      <c r="B1856" t="s">
        <v>107</v>
      </c>
      <c r="C1856" t="s">
        <v>4293</v>
      </c>
      <c r="D1856" t="s">
        <v>4901</v>
      </c>
      <c r="E1856" t="s">
        <v>5102</v>
      </c>
      <c r="F1856" t="s">
        <v>1651</v>
      </c>
      <c r="G1856" t="s">
        <v>24</v>
      </c>
      <c r="H1856">
        <v>1.2</v>
      </c>
      <c r="I1856">
        <v>50</v>
      </c>
      <c r="J1856">
        <v>0</v>
      </c>
      <c r="K1856">
        <v>0</v>
      </c>
      <c r="L1856" t="s">
        <v>112</v>
      </c>
      <c r="M1856" t="s">
        <v>118</v>
      </c>
      <c r="N1856">
        <v>40</v>
      </c>
      <c r="O1856">
        <v>2</v>
      </c>
      <c r="P1856" t="s">
        <v>138</v>
      </c>
      <c r="Q1856">
        <v>39</v>
      </c>
      <c r="R1856">
        <v>0</v>
      </c>
      <c r="S1856">
        <v>0</v>
      </c>
      <c r="T1856">
        <v>5</v>
      </c>
      <c r="U1856" s="1" t="s">
        <v>5103</v>
      </c>
      <c r="V1856">
        <v>0</v>
      </c>
      <c r="W1856">
        <v>0</v>
      </c>
      <c r="X1856">
        <v>0</v>
      </c>
      <c r="Y1856">
        <v>25</v>
      </c>
      <c r="Z1856" t="s">
        <v>111</v>
      </c>
      <c r="AA1856">
        <v>0</v>
      </c>
      <c r="AB1856" t="s">
        <v>111</v>
      </c>
      <c r="AC1856">
        <v>0</v>
      </c>
      <c r="AD1856" t="s">
        <v>416</v>
      </c>
      <c r="AE1856">
        <v>0</v>
      </c>
      <c r="AF1856">
        <v>0</v>
      </c>
      <c r="AG1856" t="s">
        <v>111</v>
      </c>
      <c r="AH1856" t="s">
        <v>113</v>
      </c>
      <c r="AI1856" t="s">
        <v>111</v>
      </c>
      <c r="AJ1856" t="s">
        <v>111</v>
      </c>
      <c r="AK1856" t="s">
        <v>111</v>
      </c>
      <c r="AL1856" t="s">
        <v>111</v>
      </c>
      <c r="AM1856">
        <v>0</v>
      </c>
      <c r="AN1856">
        <v>0</v>
      </c>
      <c r="AO1856">
        <v>0</v>
      </c>
      <c r="AP1856" t="s">
        <v>111</v>
      </c>
      <c r="AQ1856" t="s">
        <v>111</v>
      </c>
      <c r="AR1856" t="s">
        <v>111</v>
      </c>
      <c r="AS1856" t="s">
        <v>111</v>
      </c>
      <c r="AT1856" t="s">
        <v>111</v>
      </c>
      <c r="AU1856" t="s">
        <v>111</v>
      </c>
      <c r="AV1856" t="s">
        <v>111</v>
      </c>
      <c r="AW1856" t="s">
        <v>111</v>
      </c>
      <c r="AX1856" t="s">
        <v>111</v>
      </c>
      <c r="AY1856" t="s">
        <v>111</v>
      </c>
      <c r="AZ1856" t="s">
        <v>111</v>
      </c>
      <c r="BA1856" t="s">
        <v>111</v>
      </c>
      <c r="BB1856" t="s">
        <v>111</v>
      </c>
      <c r="BC1856" t="s">
        <v>111</v>
      </c>
      <c r="BD1856" t="s">
        <v>111</v>
      </c>
      <c r="BE1856" t="s">
        <v>111</v>
      </c>
      <c r="BF1856" t="s">
        <v>111</v>
      </c>
      <c r="BG1856" t="s">
        <v>111</v>
      </c>
      <c r="BH1856" t="s">
        <v>111</v>
      </c>
      <c r="BI1856" t="s">
        <v>111</v>
      </c>
      <c r="BJ1856" t="s">
        <v>111</v>
      </c>
      <c r="BK1856" t="s">
        <v>111</v>
      </c>
      <c r="BL1856" t="s">
        <v>111</v>
      </c>
      <c r="BM1856" t="s">
        <v>111</v>
      </c>
      <c r="BN1856" t="s">
        <v>111</v>
      </c>
      <c r="BO1856" t="s">
        <v>111</v>
      </c>
      <c r="BP1856" t="s">
        <v>111</v>
      </c>
      <c r="BQ1856" t="s">
        <v>111</v>
      </c>
      <c r="BR1856" t="s">
        <v>111</v>
      </c>
      <c r="BS1856" t="s">
        <v>111</v>
      </c>
      <c r="BT1856" t="s">
        <v>111</v>
      </c>
      <c r="BU1856" t="s">
        <v>111</v>
      </c>
      <c r="BV1856" t="s">
        <v>111</v>
      </c>
      <c r="BW1856" t="s">
        <v>111</v>
      </c>
      <c r="BX1856" t="s">
        <v>111</v>
      </c>
      <c r="BY1856" t="s">
        <v>111</v>
      </c>
      <c r="BZ1856" t="s">
        <v>111</v>
      </c>
      <c r="CA1856" t="s">
        <v>111</v>
      </c>
      <c r="CB1856" t="s">
        <v>111</v>
      </c>
      <c r="CC1856" t="s">
        <v>111</v>
      </c>
      <c r="CD1856" t="s">
        <v>111</v>
      </c>
      <c r="CE1856" t="s">
        <v>111</v>
      </c>
      <c r="CF1856" t="s">
        <v>111</v>
      </c>
      <c r="CG1856" t="s">
        <v>111</v>
      </c>
      <c r="CH1856" t="s">
        <v>111</v>
      </c>
      <c r="CI1856" t="s">
        <v>111</v>
      </c>
      <c r="CJ1856" t="s">
        <v>111</v>
      </c>
      <c r="CK1856" t="s">
        <v>111</v>
      </c>
      <c r="CL1856" t="e">
        <f>-DESTINO SELLADO</f>
        <v>#NAME?</v>
      </c>
      <c r="CM1856" t="s">
        <v>438</v>
      </c>
      <c r="CN1856" t="s">
        <v>113</v>
      </c>
      <c r="CO1856" t="s">
        <v>111</v>
      </c>
      <c r="CP1856" t="e">
        <f>-MUESTRA</f>
        <v>#NAME?</v>
      </c>
      <c r="CQ1856">
        <v>0</v>
      </c>
      <c r="CR1856">
        <v>3000</v>
      </c>
      <c r="CS1856">
        <v>2000</v>
      </c>
      <c r="CT1856" t="s">
        <v>394</v>
      </c>
      <c r="CU1856">
        <v>0</v>
      </c>
      <c r="CV1856" t="s">
        <v>111</v>
      </c>
      <c r="CW1856" t="s">
        <v>111</v>
      </c>
      <c r="CX1856" t="s">
        <v>111</v>
      </c>
      <c r="CY1856">
        <v>0</v>
      </c>
      <c r="CZ1856" t="s">
        <v>111</v>
      </c>
      <c r="DA1856" t="s">
        <v>111</v>
      </c>
      <c r="DB1856" t="s">
        <v>111</v>
      </c>
      <c r="DC1856" t="s">
        <v>111</v>
      </c>
    </row>
    <row r="1857" spans="1:107">
      <c r="A1857">
        <v>1153</v>
      </c>
      <c r="B1857" t="s">
        <v>107</v>
      </c>
      <c r="C1857" t="s">
        <v>4165</v>
      </c>
      <c r="D1857" t="s">
        <v>4166</v>
      </c>
      <c r="E1857" t="s">
        <v>5104</v>
      </c>
      <c r="F1857" t="s">
        <v>110</v>
      </c>
      <c r="G1857" t="s">
        <v>24</v>
      </c>
      <c r="H1857">
        <v>1.4</v>
      </c>
      <c r="I1857">
        <v>35</v>
      </c>
      <c r="J1857">
        <v>0</v>
      </c>
      <c r="K1857">
        <v>0</v>
      </c>
      <c r="L1857" t="s">
        <v>112</v>
      </c>
      <c r="M1857" t="s">
        <v>118</v>
      </c>
      <c r="N1857">
        <v>40</v>
      </c>
      <c r="O1857">
        <v>1</v>
      </c>
      <c r="P1857" t="s">
        <v>111</v>
      </c>
      <c r="Q1857">
        <v>30</v>
      </c>
      <c r="R1857">
        <v>0</v>
      </c>
      <c r="S1857">
        <v>0</v>
      </c>
      <c r="T1857">
        <v>0</v>
      </c>
      <c r="U1857" s="1" t="s">
        <v>5105</v>
      </c>
      <c r="V1857">
        <v>0</v>
      </c>
      <c r="W1857">
        <v>0</v>
      </c>
      <c r="X1857">
        <v>0</v>
      </c>
      <c r="Y1857">
        <v>25</v>
      </c>
      <c r="Z1857" t="s">
        <v>111</v>
      </c>
      <c r="AA1857">
        <v>0</v>
      </c>
      <c r="AB1857" t="s">
        <v>111</v>
      </c>
      <c r="AC1857">
        <v>0</v>
      </c>
      <c r="AD1857" t="s">
        <v>111</v>
      </c>
      <c r="AE1857">
        <v>0</v>
      </c>
      <c r="AF1857">
        <v>0</v>
      </c>
      <c r="AG1857" t="s">
        <v>111</v>
      </c>
      <c r="AH1857" t="s">
        <v>111</v>
      </c>
      <c r="AI1857" t="s">
        <v>111</v>
      </c>
      <c r="AJ1857" t="s">
        <v>111</v>
      </c>
      <c r="AK1857" t="s">
        <v>111</v>
      </c>
      <c r="AL1857" t="s">
        <v>111</v>
      </c>
      <c r="AM1857">
        <v>0</v>
      </c>
      <c r="AN1857">
        <v>0</v>
      </c>
      <c r="AO1857">
        <v>0</v>
      </c>
      <c r="AP1857" t="s">
        <v>111</v>
      </c>
      <c r="AQ1857" t="s">
        <v>111</v>
      </c>
      <c r="AR1857" t="s">
        <v>111</v>
      </c>
      <c r="AS1857" t="s">
        <v>111</v>
      </c>
      <c r="AT1857" t="s">
        <v>111</v>
      </c>
      <c r="AU1857" t="s">
        <v>111</v>
      </c>
      <c r="AV1857" t="s">
        <v>111</v>
      </c>
      <c r="AW1857" t="s">
        <v>111</v>
      </c>
      <c r="AX1857" t="s">
        <v>111</v>
      </c>
      <c r="AY1857" t="s">
        <v>111</v>
      </c>
      <c r="AZ1857" t="s">
        <v>111</v>
      </c>
      <c r="BA1857" t="s">
        <v>111</v>
      </c>
      <c r="BB1857" t="s">
        <v>111</v>
      </c>
      <c r="BC1857" t="s">
        <v>111</v>
      </c>
      <c r="BD1857" t="s">
        <v>111</v>
      </c>
      <c r="BE1857" t="s">
        <v>111</v>
      </c>
      <c r="BF1857" t="s">
        <v>111</v>
      </c>
      <c r="BG1857" t="s">
        <v>111</v>
      </c>
      <c r="BH1857" t="s">
        <v>111</v>
      </c>
      <c r="BI1857" t="s">
        <v>111</v>
      </c>
      <c r="BJ1857" t="s">
        <v>111</v>
      </c>
      <c r="BK1857" t="s">
        <v>111</v>
      </c>
      <c r="BL1857" t="s">
        <v>111</v>
      </c>
      <c r="BM1857" t="s">
        <v>111</v>
      </c>
      <c r="BN1857" t="s">
        <v>111</v>
      </c>
      <c r="BO1857" t="s">
        <v>111</v>
      </c>
      <c r="BP1857" t="s">
        <v>111</v>
      </c>
      <c r="BQ1857" t="s">
        <v>111</v>
      </c>
      <c r="BR1857" t="s">
        <v>111</v>
      </c>
      <c r="BS1857" t="s">
        <v>111</v>
      </c>
      <c r="BT1857" t="s">
        <v>111</v>
      </c>
      <c r="BU1857" t="s">
        <v>111</v>
      </c>
      <c r="BV1857" t="s">
        <v>111</v>
      </c>
      <c r="BW1857" t="s">
        <v>111</v>
      </c>
      <c r="BX1857" t="s">
        <v>111</v>
      </c>
      <c r="BY1857" t="s">
        <v>111</v>
      </c>
      <c r="BZ1857" t="s">
        <v>111</v>
      </c>
      <c r="CA1857" t="s">
        <v>111</v>
      </c>
      <c r="CB1857" t="s">
        <v>111</v>
      </c>
      <c r="CC1857" t="s">
        <v>111</v>
      </c>
      <c r="CD1857" t="s">
        <v>111</v>
      </c>
      <c r="CE1857" t="s">
        <v>111</v>
      </c>
      <c r="CF1857" t="s">
        <v>111</v>
      </c>
      <c r="CG1857" t="s">
        <v>111</v>
      </c>
      <c r="CH1857" t="s">
        <v>111</v>
      </c>
      <c r="CI1857" t="s">
        <v>111</v>
      </c>
      <c r="CJ1857" t="s">
        <v>111</v>
      </c>
      <c r="CK1857" t="s">
        <v>111</v>
      </c>
      <c r="CL1857" t="s">
        <v>111</v>
      </c>
      <c r="CM1857" t="s">
        <v>111</v>
      </c>
      <c r="CN1857" t="s">
        <v>111</v>
      </c>
      <c r="CO1857" t="s">
        <v>111</v>
      </c>
      <c r="CP1857" t="s">
        <v>111</v>
      </c>
      <c r="CQ1857">
        <v>0</v>
      </c>
      <c r="CR1857">
        <v>0</v>
      </c>
      <c r="CS1857">
        <v>0</v>
      </c>
      <c r="CT1857" t="s">
        <v>111</v>
      </c>
      <c r="CU1857">
        <v>0</v>
      </c>
      <c r="CV1857" t="s">
        <v>111</v>
      </c>
      <c r="CW1857" t="s">
        <v>111</v>
      </c>
      <c r="CX1857" t="s">
        <v>111</v>
      </c>
      <c r="CY1857">
        <v>0</v>
      </c>
      <c r="CZ1857" t="s">
        <v>111</v>
      </c>
      <c r="DA1857" t="s">
        <v>111</v>
      </c>
      <c r="DB1857" t="s">
        <v>111</v>
      </c>
      <c r="DC1857" t="s">
        <v>111</v>
      </c>
    </row>
    <row r="1858" spans="1:107">
      <c r="A1858">
        <v>1152</v>
      </c>
      <c r="B1858" t="s">
        <v>107</v>
      </c>
      <c r="C1858" t="s">
        <v>5106</v>
      </c>
      <c r="D1858" t="s">
        <v>5107</v>
      </c>
      <c r="E1858" t="s">
        <v>5108</v>
      </c>
      <c r="F1858" t="s">
        <v>1651</v>
      </c>
      <c r="G1858" t="s">
        <v>24</v>
      </c>
      <c r="H1858">
        <v>1.5</v>
      </c>
      <c r="I1858">
        <v>30</v>
      </c>
      <c r="J1858">
        <v>0</v>
      </c>
      <c r="K1858">
        <v>0</v>
      </c>
      <c r="L1858" t="s">
        <v>112</v>
      </c>
      <c r="M1858" t="s">
        <v>118</v>
      </c>
      <c r="N1858">
        <v>40</v>
      </c>
      <c r="O1858">
        <v>1</v>
      </c>
      <c r="P1858" t="s">
        <v>111</v>
      </c>
      <c r="Q1858">
        <v>32.6</v>
      </c>
      <c r="R1858">
        <v>0</v>
      </c>
      <c r="S1858">
        <v>0</v>
      </c>
      <c r="T1858">
        <v>5</v>
      </c>
      <c r="U1858" t="s">
        <v>501</v>
      </c>
      <c r="V1858">
        <v>0</v>
      </c>
      <c r="W1858">
        <v>0</v>
      </c>
      <c r="X1858">
        <v>0</v>
      </c>
      <c r="Y1858">
        <v>25</v>
      </c>
      <c r="Z1858" t="s">
        <v>111</v>
      </c>
      <c r="AA1858">
        <v>0</v>
      </c>
      <c r="AB1858" t="s">
        <v>111</v>
      </c>
      <c r="AC1858">
        <v>0</v>
      </c>
      <c r="AD1858" t="s">
        <v>416</v>
      </c>
      <c r="AE1858">
        <v>0</v>
      </c>
      <c r="AF1858">
        <v>0</v>
      </c>
      <c r="AG1858" t="s">
        <v>111</v>
      </c>
      <c r="AH1858" t="s">
        <v>113</v>
      </c>
      <c r="AI1858" t="s">
        <v>111</v>
      </c>
      <c r="AJ1858" t="s">
        <v>111</v>
      </c>
      <c r="AK1858" t="s">
        <v>111</v>
      </c>
      <c r="AL1858" t="s">
        <v>111</v>
      </c>
      <c r="AM1858">
        <v>0</v>
      </c>
      <c r="AN1858">
        <v>0</v>
      </c>
      <c r="AO1858">
        <v>0</v>
      </c>
      <c r="AP1858" t="s">
        <v>111</v>
      </c>
      <c r="AQ1858" t="s">
        <v>111</v>
      </c>
      <c r="AR1858" t="s">
        <v>111</v>
      </c>
      <c r="AS1858" t="s">
        <v>111</v>
      </c>
      <c r="AT1858" t="s">
        <v>111</v>
      </c>
      <c r="AU1858" t="s">
        <v>111</v>
      </c>
      <c r="AV1858" t="s">
        <v>111</v>
      </c>
      <c r="AW1858" t="s">
        <v>111</v>
      </c>
      <c r="AX1858" t="s">
        <v>111</v>
      </c>
      <c r="AY1858" t="s">
        <v>111</v>
      </c>
      <c r="AZ1858" t="s">
        <v>111</v>
      </c>
      <c r="BA1858" t="s">
        <v>111</v>
      </c>
      <c r="BB1858" t="s">
        <v>111</v>
      </c>
      <c r="BC1858" t="s">
        <v>111</v>
      </c>
      <c r="BD1858" t="s">
        <v>111</v>
      </c>
      <c r="BE1858" t="s">
        <v>111</v>
      </c>
      <c r="BF1858" t="s">
        <v>111</v>
      </c>
      <c r="BG1858" t="s">
        <v>111</v>
      </c>
      <c r="BH1858" t="s">
        <v>111</v>
      </c>
      <c r="BI1858" t="s">
        <v>111</v>
      </c>
      <c r="BJ1858" t="s">
        <v>111</v>
      </c>
      <c r="BK1858" t="s">
        <v>111</v>
      </c>
      <c r="BL1858" t="s">
        <v>111</v>
      </c>
      <c r="BM1858" t="s">
        <v>111</v>
      </c>
      <c r="BN1858" t="s">
        <v>111</v>
      </c>
      <c r="BO1858" t="s">
        <v>111</v>
      </c>
      <c r="BP1858" t="s">
        <v>111</v>
      </c>
      <c r="BQ1858" t="s">
        <v>111</v>
      </c>
      <c r="BR1858" t="s">
        <v>111</v>
      </c>
      <c r="BS1858" t="s">
        <v>111</v>
      </c>
      <c r="BT1858" t="s">
        <v>111</v>
      </c>
      <c r="BU1858" t="s">
        <v>111</v>
      </c>
      <c r="BV1858" t="s">
        <v>111</v>
      </c>
      <c r="BW1858" t="s">
        <v>111</v>
      </c>
      <c r="BX1858" t="s">
        <v>111</v>
      </c>
      <c r="BY1858" t="s">
        <v>111</v>
      </c>
      <c r="BZ1858" t="s">
        <v>111</v>
      </c>
      <c r="CA1858" t="s">
        <v>111</v>
      </c>
      <c r="CB1858" t="s">
        <v>111</v>
      </c>
      <c r="CC1858" t="s">
        <v>111</v>
      </c>
      <c r="CD1858" t="s">
        <v>111</v>
      </c>
      <c r="CE1858" t="s">
        <v>111</v>
      </c>
      <c r="CF1858" t="s">
        <v>111</v>
      </c>
      <c r="CG1858" t="s">
        <v>111</v>
      </c>
      <c r="CH1858" t="s">
        <v>111</v>
      </c>
      <c r="CI1858" t="s">
        <v>111</v>
      </c>
      <c r="CJ1858" t="s">
        <v>111</v>
      </c>
      <c r="CK1858" t="s">
        <v>111</v>
      </c>
      <c r="CL1858" t="e">
        <f>-DESTNIN SELLADO</f>
        <v>#NAME?</v>
      </c>
      <c r="CM1858">
        <v>450</v>
      </c>
      <c r="CN1858" t="s">
        <v>113</v>
      </c>
      <c r="CO1858" t="s">
        <v>111</v>
      </c>
      <c r="CP1858" t="e">
        <f>-MUESTRA</f>
        <v>#NAME?</v>
      </c>
      <c r="CQ1858">
        <v>0</v>
      </c>
      <c r="CR1858">
        <v>15000</v>
      </c>
      <c r="CS1858">
        <v>500</v>
      </c>
      <c r="CT1858" t="s">
        <v>394</v>
      </c>
      <c r="CU1858">
        <v>0</v>
      </c>
      <c r="CV1858" t="s">
        <v>111</v>
      </c>
      <c r="CW1858" t="s">
        <v>111</v>
      </c>
      <c r="CX1858" t="s">
        <v>111</v>
      </c>
      <c r="CY1858">
        <v>0</v>
      </c>
      <c r="CZ1858" t="s">
        <v>111</v>
      </c>
      <c r="DA1858" t="s">
        <v>111</v>
      </c>
      <c r="DB1858" t="s">
        <v>111</v>
      </c>
      <c r="DC1858" t="s">
        <v>111</v>
      </c>
    </row>
    <row r="1859" spans="1:107">
      <c r="A1859">
        <v>1146</v>
      </c>
      <c r="B1859" t="s">
        <v>107</v>
      </c>
      <c r="C1859" t="s">
        <v>4293</v>
      </c>
      <c r="D1859" t="s">
        <v>4901</v>
      </c>
      <c r="E1859" t="s">
        <v>5109</v>
      </c>
      <c r="F1859" t="s">
        <v>1651</v>
      </c>
      <c r="G1859" t="s">
        <v>24</v>
      </c>
      <c r="H1859">
        <v>1.2</v>
      </c>
      <c r="I1859">
        <v>50</v>
      </c>
      <c r="J1859">
        <v>0</v>
      </c>
      <c r="K1859">
        <v>0</v>
      </c>
      <c r="L1859" t="s">
        <v>112</v>
      </c>
      <c r="M1859" t="s">
        <v>118</v>
      </c>
      <c r="N1859">
        <v>40</v>
      </c>
      <c r="O1859">
        <v>2</v>
      </c>
      <c r="P1859" t="s">
        <v>138</v>
      </c>
      <c r="Q1859">
        <v>39</v>
      </c>
      <c r="R1859">
        <v>0</v>
      </c>
      <c r="S1859">
        <v>0</v>
      </c>
      <c r="T1859">
        <v>5</v>
      </c>
      <c r="U1859" t="s">
        <v>501</v>
      </c>
      <c r="V1859">
        <v>0</v>
      </c>
      <c r="W1859">
        <v>0</v>
      </c>
      <c r="X1859">
        <v>0</v>
      </c>
      <c r="Y1859">
        <v>25</v>
      </c>
      <c r="Z1859" t="s">
        <v>111</v>
      </c>
      <c r="AA1859">
        <v>0</v>
      </c>
      <c r="AB1859" t="s">
        <v>111</v>
      </c>
      <c r="AC1859">
        <v>0</v>
      </c>
      <c r="AD1859" t="s">
        <v>416</v>
      </c>
      <c r="AE1859">
        <v>0</v>
      </c>
      <c r="AF1859">
        <v>0</v>
      </c>
      <c r="AG1859" t="s">
        <v>111</v>
      </c>
      <c r="AH1859" t="s">
        <v>113</v>
      </c>
      <c r="AI1859" t="s">
        <v>111</v>
      </c>
      <c r="AJ1859" t="s">
        <v>111</v>
      </c>
      <c r="AK1859" t="s">
        <v>111</v>
      </c>
      <c r="AL1859" t="s">
        <v>111</v>
      </c>
      <c r="AM1859">
        <v>0</v>
      </c>
      <c r="AN1859">
        <v>0</v>
      </c>
      <c r="AO1859">
        <v>0</v>
      </c>
      <c r="AP1859" t="s">
        <v>111</v>
      </c>
      <c r="AQ1859" t="s">
        <v>111</v>
      </c>
      <c r="AR1859" t="s">
        <v>111</v>
      </c>
      <c r="AS1859" t="s">
        <v>111</v>
      </c>
      <c r="AT1859" t="s">
        <v>111</v>
      </c>
      <c r="AU1859" t="s">
        <v>111</v>
      </c>
      <c r="AV1859" t="s">
        <v>111</v>
      </c>
      <c r="AW1859" t="s">
        <v>111</v>
      </c>
      <c r="AX1859" t="s">
        <v>111</v>
      </c>
      <c r="AY1859" t="s">
        <v>111</v>
      </c>
      <c r="AZ1859" t="s">
        <v>111</v>
      </c>
      <c r="BA1859" t="s">
        <v>111</v>
      </c>
      <c r="BB1859" t="s">
        <v>111</v>
      </c>
      <c r="BC1859" t="s">
        <v>111</v>
      </c>
      <c r="BD1859" t="s">
        <v>111</v>
      </c>
      <c r="BE1859" t="s">
        <v>111</v>
      </c>
      <c r="BF1859" t="s">
        <v>111</v>
      </c>
      <c r="BG1859" t="s">
        <v>111</v>
      </c>
      <c r="BH1859" t="s">
        <v>111</v>
      </c>
      <c r="BI1859" t="s">
        <v>111</v>
      </c>
      <c r="BJ1859" t="s">
        <v>111</v>
      </c>
      <c r="BK1859" t="s">
        <v>111</v>
      </c>
      <c r="BL1859" t="s">
        <v>111</v>
      </c>
      <c r="BM1859" t="s">
        <v>111</v>
      </c>
      <c r="BN1859" t="s">
        <v>111</v>
      </c>
      <c r="BO1859" t="s">
        <v>111</v>
      </c>
      <c r="BP1859" t="s">
        <v>111</v>
      </c>
      <c r="BQ1859" t="s">
        <v>111</v>
      </c>
      <c r="BR1859" t="s">
        <v>111</v>
      </c>
      <c r="BS1859" t="s">
        <v>111</v>
      </c>
      <c r="BT1859" t="s">
        <v>111</v>
      </c>
      <c r="BU1859" t="s">
        <v>111</v>
      </c>
      <c r="BV1859" t="s">
        <v>111</v>
      </c>
      <c r="BW1859" t="s">
        <v>111</v>
      </c>
      <c r="BX1859" t="s">
        <v>111</v>
      </c>
      <c r="BY1859" t="s">
        <v>111</v>
      </c>
      <c r="BZ1859" t="s">
        <v>111</v>
      </c>
      <c r="CA1859" t="s">
        <v>111</v>
      </c>
      <c r="CB1859" t="s">
        <v>111</v>
      </c>
      <c r="CC1859" t="s">
        <v>111</v>
      </c>
      <c r="CD1859" t="s">
        <v>111</v>
      </c>
      <c r="CE1859" t="s">
        <v>111</v>
      </c>
      <c r="CF1859" t="s">
        <v>111</v>
      </c>
      <c r="CG1859" t="s">
        <v>111</v>
      </c>
      <c r="CH1859" t="s">
        <v>111</v>
      </c>
      <c r="CI1859" t="s">
        <v>111</v>
      </c>
      <c r="CJ1859" t="s">
        <v>111</v>
      </c>
      <c r="CK1859" t="s">
        <v>111</v>
      </c>
      <c r="CL1859" t="e">
        <f>-DESTINO SELLADO</f>
        <v>#NAME?</v>
      </c>
      <c r="CM1859" t="s">
        <v>438</v>
      </c>
      <c r="CN1859" t="s">
        <v>113</v>
      </c>
      <c r="CO1859" t="s">
        <v>111</v>
      </c>
      <c r="CP1859" t="e">
        <f>-MUESTRA</f>
        <v>#NAME?</v>
      </c>
      <c r="CQ1859">
        <v>0</v>
      </c>
      <c r="CR1859">
        <v>3000</v>
      </c>
      <c r="CS1859">
        <v>200</v>
      </c>
      <c r="CT1859" t="s">
        <v>394</v>
      </c>
      <c r="CU1859">
        <v>0</v>
      </c>
      <c r="CV1859" t="s">
        <v>111</v>
      </c>
      <c r="CW1859" t="s">
        <v>111</v>
      </c>
      <c r="CX1859" t="s">
        <v>111</v>
      </c>
      <c r="CY1859">
        <v>0</v>
      </c>
      <c r="CZ1859" t="s">
        <v>111</v>
      </c>
      <c r="DA1859" t="s">
        <v>111</v>
      </c>
      <c r="DB1859" t="s">
        <v>111</v>
      </c>
      <c r="DC1859" t="s">
        <v>111</v>
      </c>
    </row>
    <row r="1860" spans="1:107">
      <c r="A1860">
        <v>1111</v>
      </c>
      <c r="B1860" t="s">
        <v>107</v>
      </c>
      <c r="C1860" t="s">
        <v>4165</v>
      </c>
      <c r="D1860" t="s">
        <v>4783</v>
      </c>
      <c r="E1860" t="s">
        <v>5110</v>
      </c>
      <c r="F1860" t="s">
        <v>110</v>
      </c>
      <c r="G1860" t="s">
        <v>24</v>
      </c>
      <c r="H1860">
        <v>1.4</v>
      </c>
      <c r="I1860">
        <v>40</v>
      </c>
      <c r="J1860">
        <v>0</v>
      </c>
      <c r="K1860">
        <v>0</v>
      </c>
      <c r="L1860" t="s">
        <v>112</v>
      </c>
      <c r="M1860" t="s">
        <v>118</v>
      </c>
      <c r="N1860">
        <v>40</v>
      </c>
      <c r="O1860">
        <v>1</v>
      </c>
      <c r="P1860" t="s">
        <v>118</v>
      </c>
      <c r="Q1860">
        <v>41.6</v>
      </c>
      <c r="R1860">
        <v>0</v>
      </c>
      <c r="S1860">
        <v>0</v>
      </c>
      <c r="T1860">
        <v>0</v>
      </c>
      <c r="U1860" s="1" t="s">
        <v>5111</v>
      </c>
      <c r="V1860">
        <v>0</v>
      </c>
      <c r="W1860">
        <v>0</v>
      </c>
      <c r="X1860">
        <v>0</v>
      </c>
      <c r="Y1860">
        <v>25</v>
      </c>
      <c r="Z1860" t="s">
        <v>111</v>
      </c>
      <c r="AA1860">
        <v>0</v>
      </c>
      <c r="AB1860" t="s">
        <v>111</v>
      </c>
      <c r="AC1860">
        <v>0</v>
      </c>
      <c r="AD1860" t="s">
        <v>111</v>
      </c>
      <c r="AE1860">
        <v>0</v>
      </c>
      <c r="AF1860">
        <v>0</v>
      </c>
      <c r="AG1860" t="s">
        <v>111</v>
      </c>
      <c r="AH1860" t="s">
        <v>111</v>
      </c>
      <c r="AI1860" t="s">
        <v>111</v>
      </c>
      <c r="AJ1860" t="s">
        <v>111</v>
      </c>
      <c r="AK1860" t="s">
        <v>111</v>
      </c>
      <c r="AL1860" t="s">
        <v>111</v>
      </c>
      <c r="AM1860">
        <v>0</v>
      </c>
      <c r="AN1860">
        <v>0</v>
      </c>
      <c r="AO1860">
        <v>0</v>
      </c>
      <c r="AP1860" t="s">
        <v>111</v>
      </c>
      <c r="AQ1860" t="s">
        <v>111</v>
      </c>
      <c r="AR1860" t="s">
        <v>111</v>
      </c>
      <c r="AS1860" t="s">
        <v>111</v>
      </c>
      <c r="AT1860" t="s">
        <v>111</v>
      </c>
      <c r="AU1860" t="s">
        <v>111</v>
      </c>
      <c r="AV1860" t="s">
        <v>111</v>
      </c>
      <c r="AW1860" t="s">
        <v>111</v>
      </c>
      <c r="AX1860" t="s">
        <v>111</v>
      </c>
      <c r="AY1860" t="s">
        <v>111</v>
      </c>
      <c r="AZ1860" t="s">
        <v>111</v>
      </c>
      <c r="BA1860" t="s">
        <v>111</v>
      </c>
      <c r="BB1860" t="s">
        <v>111</v>
      </c>
      <c r="BC1860" t="s">
        <v>111</v>
      </c>
      <c r="BD1860" t="s">
        <v>111</v>
      </c>
      <c r="BE1860" t="s">
        <v>111</v>
      </c>
      <c r="BF1860" t="s">
        <v>111</v>
      </c>
      <c r="BG1860" t="s">
        <v>111</v>
      </c>
      <c r="BH1860" t="s">
        <v>111</v>
      </c>
      <c r="BI1860" t="s">
        <v>111</v>
      </c>
      <c r="BJ1860" t="s">
        <v>111</v>
      </c>
      <c r="BK1860" t="s">
        <v>111</v>
      </c>
      <c r="BL1860" t="s">
        <v>111</v>
      </c>
      <c r="BM1860" t="s">
        <v>111</v>
      </c>
      <c r="BN1860" t="s">
        <v>111</v>
      </c>
      <c r="BO1860" t="s">
        <v>111</v>
      </c>
      <c r="BP1860" t="s">
        <v>111</v>
      </c>
      <c r="BQ1860" t="s">
        <v>111</v>
      </c>
      <c r="BR1860" t="s">
        <v>111</v>
      </c>
      <c r="BS1860" t="s">
        <v>111</v>
      </c>
      <c r="BT1860" t="s">
        <v>111</v>
      </c>
      <c r="BU1860" t="s">
        <v>111</v>
      </c>
      <c r="BV1860" t="s">
        <v>111</v>
      </c>
      <c r="BW1860" t="s">
        <v>111</v>
      </c>
      <c r="BX1860" t="s">
        <v>111</v>
      </c>
      <c r="BY1860" t="s">
        <v>111</v>
      </c>
      <c r="BZ1860" t="s">
        <v>111</v>
      </c>
      <c r="CA1860" t="s">
        <v>111</v>
      </c>
      <c r="CB1860" t="s">
        <v>111</v>
      </c>
      <c r="CC1860" t="s">
        <v>111</v>
      </c>
      <c r="CD1860" t="s">
        <v>111</v>
      </c>
      <c r="CE1860" t="s">
        <v>111</v>
      </c>
      <c r="CF1860" t="s">
        <v>111</v>
      </c>
      <c r="CG1860" t="s">
        <v>111</v>
      </c>
      <c r="CH1860" t="s">
        <v>111</v>
      </c>
      <c r="CI1860" t="s">
        <v>111</v>
      </c>
      <c r="CJ1860" t="s">
        <v>111</v>
      </c>
      <c r="CK1860" t="s">
        <v>111</v>
      </c>
      <c r="CL1860" t="s">
        <v>111</v>
      </c>
      <c r="CM1860" t="s">
        <v>111</v>
      </c>
      <c r="CN1860" t="s">
        <v>111</v>
      </c>
      <c r="CO1860" t="s">
        <v>111</v>
      </c>
      <c r="CP1860" t="s">
        <v>111</v>
      </c>
      <c r="CQ1860">
        <v>0</v>
      </c>
      <c r="CR1860">
        <v>0</v>
      </c>
      <c r="CS1860">
        <v>0</v>
      </c>
      <c r="CT1860" t="s">
        <v>111</v>
      </c>
      <c r="CU1860">
        <v>0</v>
      </c>
      <c r="CV1860" t="s">
        <v>111</v>
      </c>
      <c r="CW1860" t="s">
        <v>111</v>
      </c>
      <c r="CX1860" t="s">
        <v>111</v>
      </c>
      <c r="CY1860">
        <v>0</v>
      </c>
      <c r="CZ1860" t="s">
        <v>111</v>
      </c>
      <c r="DA1860" t="s">
        <v>111</v>
      </c>
      <c r="DB1860" t="s">
        <v>111</v>
      </c>
      <c r="DC1860" t="s">
        <v>111</v>
      </c>
    </row>
    <row r="1861" spans="1:107">
      <c r="A1861">
        <v>1140</v>
      </c>
      <c r="B1861" t="s">
        <v>107</v>
      </c>
      <c r="C1861" t="s">
        <v>5112</v>
      </c>
      <c r="D1861" t="s">
        <v>3704</v>
      </c>
      <c r="E1861" t="s">
        <v>4817</v>
      </c>
      <c r="F1861" t="s">
        <v>2211</v>
      </c>
      <c r="G1861" t="s">
        <v>24</v>
      </c>
      <c r="H1861">
        <v>1.1000000000000001</v>
      </c>
      <c r="I1861">
        <v>40</v>
      </c>
      <c r="J1861">
        <v>0</v>
      </c>
      <c r="K1861">
        <v>0</v>
      </c>
      <c r="L1861" t="s">
        <v>117</v>
      </c>
      <c r="M1861" t="s">
        <v>118</v>
      </c>
      <c r="N1861">
        <v>40</v>
      </c>
      <c r="O1861">
        <v>1</v>
      </c>
      <c r="P1861" t="s">
        <v>138</v>
      </c>
      <c r="Q1861">
        <v>25</v>
      </c>
      <c r="R1861">
        <v>0</v>
      </c>
      <c r="S1861">
        <v>0</v>
      </c>
      <c r="T1861">
        <v>0</v>
      </c>
      <c r="U1861" s="1" t="s">
        <v>5113</v>
      </c>
      <c r="V1861">
        <v>0</v>
      </c>
      <c r="W1861">
        <v>0</v>
      </c>
      <c r="X1861">
        <v>0</v>
      </c>
      <c r="Y1861">
        <v>25</v>
      </c>
      <c r="Z1861" t="s">
        <v>111</v>
      </c>
      <c r="AA1861">
        <v>0</v>
      </c>
      <c r="AB1861" t="s">
        <v>111</v>
      </c>
      <c r="AC1861">
        <v>0</v>
      </c>
      <c r="AD1861" t="s">
        <v>111</v>
      </c>
      <c r="AE1861">
        <v>0</v>
      </c>
      <c r="AF1861">
        <v>0</v>
      </c>
      <c r="AG1861" t="s">
        <v>111</v>
      </c>
      <c r="AH1861" t="s">
        <v>111</v>
      </c>
      <c r="AI1861" t="s">
        <v>111</v>
      </c>
      <c r="AJ1861" t="s">
        <v>111</v>
      </c>
      <c r="AK1861" t="s">
        <v>111</v>
      </c>
      <c r="AL1861" t="s">
        <v>111</v>
      </c>
      <c r="AM1861">
        <v>0</v>
      </c>
      <c r="AN1861">
        <v>0</v>
      </c>
      <c r="AO1861">
        <v>0</v>
      </c>
      <c r="AP1861" t="s">
        <v>111</v>
      </c>
      <c r="AQ1861" t="s">
        <v>111</v>
      </c>
      <c r="AR1861" t="s">
        <v>111</v>
      </c>
      <c r="AS1861" t="s">
        <v>111</v>
      </c>
      <c r="AT1861" t="s">
        <v>111</v>
      </c>
      <c r="AU1861" t="s">
        <v>111</v>
      </c>
      <c r="AV1861" t="s">
        <v>111</v>
      </c>
      <c r="AW1861" t="s">
        <v>111</v>
      </c>
      <c r="AX1861" t="s">
        <v>111</v>
      </c>
      <c r="AY1861" t="s">
        <v>111</v>
      </c>
      <c r="AZ1861" t="s">
        <v>111</v>
      </c>
      <c r="BA1861" t="s">
        <v>111</v>
      </c>
      <c r="BB1861" t="s">
        <v>111</v>
      </c>
      <c r="BC1861" t="s">
        <v>111</v>
      </c>
      <c r="BD1861" t="s">
        <v>111</v>
      </c>
      <c r="BE1861" t="s">
        <v>111</v>
      </c>
      <c r="BF1861" t="s">
        <v>111</v>
      </c>
      <c r="BG1861" t="s">
        <v>111</v>
      </c>
      <c r="BH1861" t="s">
        <v>111</v>
      </c>
      <c r="BI1861" t="s">
        <v>111</v>
      </c>
      <c r="BJ1861" t="s">
        <v>111</v>
      </c>
      <c r="BK1861" t="s">
        <v>111</v>
      </c>
      <c r="BL1861" t="s">
        <v>111</v>
      </c>
      <c r="BM1861" t="s">
        <v>111</v>
      </c>
      <c r="BN1861" t="s">
        <v>111</v>
      </c>
      <c r="BO1861" t="s">
        <v>111</v>
      </c>
      <c r="BP1861" t="s">
        <v>111</v>
      </c>
      <c r="BQ1861" t="s">
        <v>111</v>
      </c>
      <c r="BR1861" t="s">
        <v>111</v>
      </c>
      <c r="BS1861" t="s">
        <v>111</v>
      </c>
      <c r="BT1861" t="s">
        <v>111</v>
      </c>
      <c r="BU1861" t="s">
        <v>111</v>
      </c>
      <c r="BV1861" t="s">
        <v>111</v>
      </c>
      <c r="BW1861" t="s">
        <v>111</v>
      </c>
      <c r="BX1861" t="s">
        <v>111</v>
      </c>
      <c r="BY1861" t="s">
        <v>111</v>
      </c>
      <c r="BZ1861" t="s">
        <v>111</v>
      </c>
      <c r="CA1861" t="s">
        <v>111</v>
      </c>
      <c r="CB1861" t="s">
        <v>111</v>
      </c>
      <c r="CC1861" t="s">
        <v>111</v>
      </c>
      <c r="CD1861" t="s">
        <v>111</v>
      </c>
      <c r="CE1861" t="s">
        <v>111</v>
      </c>
      <c r="CF1861" t="s">
        <v>111</v>
      </c>
      <c r="CG1861" t="s">
        <v>111</v>
      </c>
      <c r="CH1861" t="s">
        <v>111</v>
      </c>
      <c r="CI1861" t="s">
        <v>111</v>
      </c>
      <c r="CJ1861" t="s">
        <v>111</v>
      </c>
      <c r="CK1861" t="s">
        <v>111</v>
      </c>
      <c r="CL1861" t="s">
        <v>111</v>
      </c>
      <c r="CM1861" t="s">
        <v>111</v>
      </c>
      <c r="CN1861" t="s">
        <v>111</v>
      </c>
      <c r="CO1861" t="s">
        <v>111</v>
      </c>
      <c r="CP1861" t="s">
        <v>111</v>
      </c>
      <c r="CQ1861">
        <v>0</v>
      </c>
      <c r="CR1861">
        <v>0</v>
      </c>
      <c r="CS1861">
        <v>0</v>
      </c>
      <c r="CT1861" t="s">
        <v>111</v>
      </c>
      <c r="CU1861">
        <v>0</v>
      </c>
      <c r="CV1861" t="s">
        <v>111</v>
      </c>
      <c r="CW1861" t="s">
        <v>111</v>
      </c>
      <c r="CX1861" t="s">
        <v>111</v>
      </c>
      <c r="CY1861">
        <v>0</v>
      </c>
      <c r="CZ1861" t="s">
        <v>111</v>
      </c>
      <c r="DA1861" t="s">
        <v>111</v>
      </c>
      <c r="DB1861" t="s">
        <v>111</v>
      </c>
      <c r="DC1861" t="s">
        <v>111</v>
      </c>
    </row>
    <row r="1862" spans="1:107">
      <c r="A1862">
        <v>1178</v>
      </c>
      <c r="B1862" t="s">
        <v>107</v>
      </c>
      <c r="C1862" s="2">
        <v>8275881</v>
      </c>
      <c r="D1862" t="s">
        <v>4783</v>
      </c>
      <c r="E1862" t="s">
        <v>4823</v>
      </c>
      <c r="F1862" t="s">
        <v>110</v>
      </c>
      <c r="G1862" t="s">
        <v>24</v>
      </c>
      <c r="H1862">
        <v>1.4</v>
      </c>
      <c r="I1862">
        <v>40</v>
      </c>
      <c r="J1862">
        <v>0</v>
      </c>
      <c r="K1862">
        <v>0</v>
      </c>
      <c r="L1862" t="s">
        <v>112</v>
      </c>
      <c r="M1862" t="s">
        <v>118</v>
      </c>
      <c r="N1862">
        <v>0</v>
      </c>
      <c r="O1862">
        <v>2</v>
      </c>
      <c r="P1862" t="s">
        <v>138</v>
      </c>
      <c r="Q1862">
        <v>30</v>
      </c>
      <c r="R1862">
        <v>0</v>
      </c>
      <c r="S1862">
        <v>0</v>
      </c>
      <c r="T1862">
        <v>0</v>
      </c>
      <c r="U1862" s="1" t="s">
        <v>5114</v>
      </c>
      <c r="V1862">
        <v>0</v>
      </c>
      <c r="W1862">
        <v>0</v>
      </c>
      <c r="X1862">
        <v>0</v>
      </c>
      <c r="Y1862">
        <v>25</v>
      </c>
      <c r="Z1862" t="s">
        <v>111</v>
      </c>
      <c r="AA1862">
        <v>0</v>
      </c>
      <c r="AB1862" t="s">
        <v>111</v>
      </c>
      <c r="AC1862">
        <v>0</v>
      </c>
      <c r="AD1862" t="s">
        <v>111</v>
      </c>
      <c r="AE1862">
        <v>0</v>
      </c>
      <c r="AF1862">
        <v>0</v>
      </c>
      <c r="AG1862" t="s">
        <v>111</v>
      </c>
      <c r="AH1862" t="s">
        <v>111</v>
      </c>
      <c r="AI1862" t="s">
        <v>111</v>
      </c>
      <c r="AJ1862" t="s">
        <v>111</v>
      </c>
      <c r="AK1862" t="s">
        <v>111</v>
      </c>
      <c r="AL1862" t="s">
        <v>111</v>
      </c>
      <c r="AM1862">
        <v>0</v>
      </c>
      <c r="AN1862">
        <v>0</v>
      </c>
      <c r="AO1862">
        <v>0</v>
      </c>
      <c r="AP1862" t="s">
        <v>111</v>
      </c>
      <c r="AQ1862" t="s">
        <v>111</v>
      </c>
      <c r="AR1862" t="s">
        <v>111</v>
      </c>
      <c r="AS1862" t="s">
        <v>111</v>
      </c>
      <c r="AT1862" t="s">
        <v>111</v>
      </c>
      <c r="AU1862" t="s">
        <v>111</v>
      </c>
      <c r="AV1862" t="s">
        <v>111</v>
      </c>
      <c r="AW1862" t="s">
        <v>111</v>
      </c>
      <c r="AX1862" t="s">
        <v>111</v>
      </c>
      <c r="AY1862" t="s">
        <v>111</v>
      </c>
      <c r="AZ1862" t="s">
        <v>111</v>
      </c>
      <c r="BA1862" t="s">
        <v>111</v>
      </c>
      <c r="BB1862" t="s">
        <v>111</v>
      </c>
      <c r="BC1862" t="s">
        <v>111</v>
      </c>
      <c r="BD1862" t="s">
        <v>111</v>
      </c>
      <c r="BE1862" t="s">
        <v>111</v>
      </c>
      <c r="BF1862" t="s">
        <v>111</v>
      </c>
      <c r="BG1862" t="s">
        <v>111</v>
      </c>
      <c r="BH1862" t="s">
        <v>111</v>
      </c>
      <c r="BI1862" t="s">
        <v>111</v>
      </c>
      <c r="BJ1862" t="s">
        <v>111</v>
      </c>
      <c r="BK1862" t="s">
        <v>111</v>
      </c>
      <c r="BL1862" t="s">
        <v>111</v>
      </c>
      <c r="BM1862" t="s">
        <v>111</v>
      </c>
      <c r="BN1862" t="s">
        <v>111</v>
      </c>
      <c r="BO1862" t="s">
        <v>111</v>
      </c>
      <c r="BP1862" t="s">
        <v>111</v>
      </c>
      <c r="BQ1862" t="s">
        <v>111</v>
      </c>
      <c r="BR1862" t="s">
        <v>111</v>
      </c>
      <c r="BS1862" t="s">
        <v>111</v>
      </c>
      <c r="BT1862" t="s">
        <v>111</v>
      </c>
      <c r="BU1862" t="s">
        <v>111</v>
      </c>
      <c r="BV1862" t="s">
        <v>111</v>
      </c>
      <c r="BW1862" t="s">
        <v>111</v>
      </c>
      <c r="BX1862" t="s">
        <v>111</v>
      </c>
      <c r="BY1862" t="s">
        <v>111</v>
      </c>
      <c r="BZ1862" t="s">
        <v>111</v>
      </c>
      <c r="CA1862" t="s">
        <v>111</v>
      </c>
      <c r="CB1862" t="s">
        <v>111</v>
      </c>
      <c r="CC1862" t="s">
        <v>111</v>
      </c>
      <c r="CD1862" t="s">
        <v>111</v>
      </c>
      <c r="CE1862" t="s">
        <v>111</v>
      </c>
      <c r="CF1862" t="s">
        <v>111</v>
      </c>
      <c r="CG1862" t="s">
        <v>111</v>
      </c>
      <c r="CH1862" t="s">
        <v>111</v>
      </c>
      <c r="CI1862" t="s">
        <v>111</v>
      </c>
      <c r="CJ1862" t="s">
        <v>111</v>
      </c>
      <c r="CK1862" t="s">
        <v>111</v>
      </c>
      <c r="CL1862" t="s">
        <v>111</v>
      </c>
      <c r="CM1862" t="s">
        <v>111</v>
      </c>
      <c r="CN1862" t="s">
        <v>111</v>
      </c>
      <c r="CO1862" t="s">
        <v>111</v>
      </c>
      <c r="CP1862" t="s">
        <v>111</v>
      </c>
      <c r="CQ1862">
        <v>0</v>
      </c>
      <c r="CR1862">
        <v>0</v>
      </c>
      <c r="CS1862">
        <v>0</v>
      </c>
      <c r="CT1862" t="s">
        <v>111</v>
      </c>
      <c r="CU1862">
        <v>0</v>
      </c>
      <c r="CV1862" t="s">
        <v>111</v>
      </c>
      <c r="CW1862" t="s">
        <v>111</v>
      </c>
      <c r="CX1862" t="s">
        <v>111</v>
      </c>
      <c r="CY1862">
        <v>0</v>
      </c>
      <c r="CZ1862" t="s">
        <v>111</v>
      </c>
      <c r="DA1862" t="s">
        <v>111</v>
      </c>
      <c r="DB1862" t="s">
        <v>111</v>
      </c>
      <c r="DC1862" t="s">
        <v>111</v>
      </c>
    </row>
    <row r="1863" spans="1:107">
      <c r="A1863">
        <v>1135</v>
      </c>
      <c r="B1863" t="s">
        <v>107</v>
      </c>
      <c r="C1863" t="s">
        <v>277</v>
      </c>
      <c r="D1863" t="s">
        <v>5115</v>
      </c>
      <c r="E1863" t="s">
        <v>5116</v>
      </c>
      <c r="F1863" t="s">
        <v>157</v>
      </c>
      <c r="G1863" t="s">
        <v>24</v>
      </c>
      <c r="H1863">
        <v>2</v>
      </c>
      <c r="I1863">
        <v>46</v>
      </c>
      <c r="J1863">
        <v>0</v>
      </c>
      <c r="K1863">
        <v>0</v>
      </c>
      <c r="L1863" t="s">
        <v>117</v>
      </c>
      <c r="M1863" t="s">
        <v>118</v>
      </c>
      <c r="N1863">
        <v>40</v>
      </c>
      <c r="O1863">
        <v>1</v>
      </c>
      <c r="P1863" t="s">
        <v>138</v>
      </c>
      <c r="Q1863">
        <v>33.299999999999997</v>
      </c>
      <c r="R1863">
        <v>0</v>
      </c>
      <c r="S1863">
        <v>0</v>
      </c>
      <c r="T1863">
        <v>0</v>
      </c>
      <c r="U1863" s="1" t="s">
        <v>5117</v>
      </c>
      <c r="V1863">
        <v>0</v>
      </c>
      <c r="W1863">
        <v>0</v>
      </c>
      <c r="X1863">
        <v>0</v>
      </c>
      <c r="Y1863">
        <v>25</v>
      </c>
      <c r="Z1863" t="s">
        <v>111</v>
      </c>
      <c r="AA1863">
        <v>0</v>
      </c>
      <c r="AB1863" t="s">
        <v>111</v>
      </c>
      <c r="AC1863">
        <v>0</v>
      </c>
      <c r="AD1863" t="s">
        <v>111</v>
      </c>
      <c r="AE1863">
        <v>0</v>
      </c>
      <c r="AF1863">
        <v>0</v>
      </c>
      <c r="AG1863" t="s">
        <v>111</v>
      </c>
      <c r="AH1863" t="s">
        <v>111</v>
      </c>
      <c r="AI1863" t="s">
        <v>111</v>
      </c>
      <c r="AJ1863" t="s">
        <v>111</v>
      </c>
      <c r="AK1863" t="s">
        <v>111</v>
      </c>
      <c r="AL1863" t="s">
        <v>111</v>
      </c>
      <c r="AM1863">
        <v>0</v>
      </c>
      <c r="AN1863">
        <v>0</v>
      </c>
      <c r="AO1863">
        <v>0</v>
      </c>
      <c r="AP1863" t="s">
        <v>111</v>
      </c>
      <c r="AQ1863" t="s">
        <v>111</v>
      </c>
      <c r="AR1863" t="s">
        <v>111</v>
      </c>
      <c r="AS1863" t="s">
        <v>111</v>
      </c>
      <c r="AT1863" t="s">
        <v>111</v>
      </c>
      <c r="AU1863" t="s">
        <v>111</v>
      </c>
      <c r="AV1863" t="s">
        <v>111</v>
      </c>
      <c r="AW1863" t="s">
        <v>111</v>
      </c>
      <c r="AX1863" t="s">
        <v>111</v>
      </c>
      <c r="AY1863" t="s">
        <v>111</v>
      </c>
      <c r="AZ1863" t="s">
        <v>111</v>
      </c>
      <c r="BA1863" t="s">
        <v>111</v>
      </c>
      <c r="BB1863" t="s">
        <v>111</v>
      </c>
      <c r="BC1863" t="s">
        <v>111</v>
      </c>
      <c r="BD1863" t="s">
        <v>111</v>
      </c>
      <c r="BE1863" t="s">
        <v>111</v>
      </c>
      <c r="BF1863" t="s">
        <v>111</v>
      </c>
      <c r="BG1863" t="s">
        <v>111</v>
      </c>
      <c r="BH1863" t="s">
        <v>111</v>
      </c>
      <c r="BI1863" t="s">
        <v>111</v>
      </c>
      <c r="BJ1863" t="s">
        <v>111</v>
      </c>
      <c r="BK1863" t="s">
        <v>111</v>
      </c>
      <c r="BL1863" t="s">
        <v>111</v>
      </c>
      <c r="BM1863" t="s">
        <v>111</v>
      </c>
      <c r="BN1863" t="s">
        <v>111</v>
      </c>
      <c r="BO1863" t="s">
        <v>111</v>
      </c>
      <c r="BP1863" t="s">
        <v>111</v>
      </c>
      <c r="BQ1863" t="s">
        <v>111</v>
      </c>
      <c r="BR1863" t="s">
        <v>111</v>
      </c>
      <c r="BS1863" t="s">
        <v>111</v>
      </c>
      <c r="BT1863" t="s">
        <v>111</v>
      </c>
      <c r="BU1863" t="s">
        <v>111</v>
      </c>
      <c r="BV1863" t="s">
        <v>111</v>
      </c>
      <c r="BW1863" t="s">
        <v>111</v>
      </c>
      <c r="BX1863" t="s">
        <v>111</v>
      </c>
      <c r="BY1863" t="s">
        <v>111</v>
      </c>
      <c r="BZ1863" t="s">
        <v>111</v>
      </c>
      <c r="CA1863" t="s">
        <v>111</v>
      </c>
      <c r="CB1863" t="s">
        <v>111</v>
      </c>
      <c r="CC1863" t="s">
        <v>111</v>
      </c>
      <c r="CD1863" t="s">
        <v>111</v>
      </c>
      <c r="CE1863" t="s">
        <v>111</v>
      </c>
      <c r="CF1863" t="s">
        <v>111</v>
      </c>
      <c r="CG1863" t="s">
        <v>111</v>
      </c>
      <c r="CH1863" t="s">
        <v>111</v>
      </c>
      <c r="CI1863" t="s">
        <v>111</v>
      </c>
      <c r="CJ1863" t="s">
        <v>111</v>
      </c>
      <c r="CK1863" t="s">
        <v>111</v>
      </c>
      <c r="CL1863" t="s">
        <v>111</v>
      </c>
      <c r="CM1863" t="s">
        <v>135</v>
      </c>
      <c r="CN1863" t="s">
        <v>128</v>
      </c>
      <c r="CO1863" t="s">
        <v>111</v>
      </c>
      <c r="CP1863" t="s">
        <v>111</v>
      </c>
      <c r="CQ1863">
        <v>0</v>
      </c>
      <c r="CR1863">
        <v>0</v>
      </c>
      <c r="CS1863">
        <v>0</v>
      </c>
      <c r="CT1863" t="e">
        <f>-DESTINO ALMACEN</f>
        <v>#NAME?</v>
      </c>
      <c r="CU1863">
        <v>0</v>
      </c>
      <c r="CV1863" t="s">
        <v>111</v>
      </c>
      <c r="CW1863" t="s">
        <v>111</v>
      </c>
      <c r="CX1863" t="s">
        <v>111</v>
      </c>
      <c r="CY1863">
        <v>0</v>
      </c>
      <c r="CZ1863" t="s">
        <v>111</v>
      </c>
      <c r="DA1863" t="s">
        <v>111</v>
      </c>
      <c r="DB1863" t="s">
        <v>111</v>
      </c>
      <c r="DC1863" t="s">
        <v>111</v>
      </c>
    </row>
    <row r="1864" spans="1:107">
      <c r="A1864">
        <v>1129</v>
      </c>
      <c r="B1864" t="s">
        <v>107</v>
      </c>
      <c r="C1864" t="s">
        <v>855</v>
      </c>
      <c r="D1864" t="s">
        <v>3972</v>
      </c>
      <c r="E1864" t="s">
        <v>974</v>
      </c>
      <c r="F1864" t="s">
        <v>1071</v>
      </c>
      <c r="G1864" t="s">
        <v>24</v>
      </c>
      <c r="H1864">
        <v>1.2</v>
      </c>
      <c r="I1864">
        <v>30</v>
      </c>
      <c r="J1864">
        <v>1.2</v>
      </c>
      <c r="K1864">
        <v>0</v>
      </c>
      <c r="L1864" t="s">
        <v>112</v>
      </c>
      <c r="M1864" t="s">
        <v>111</v>
      </c>
      <c r="N1864">
        <v>0</v>
      </c>
      <c r="O1864">
        <v>0</v>
      </c>
      <c r="P1864" t="s">
        <v>111</v>
      </c>
      <c r="Q1864">
        <v>40.6</v>
      </c>
      <c r="R1864">
        <v>0</v>
      </c>
      <c r="S1864">
        <v>0</v>
      </c>
      <c r="T1864">
        <v>5</v>
      </c>
      <c r="U1864" t="s">
        <v>296</v>
      </c>
      <c r="V1864">
        <v>0</v>
      </c>
      <c r="W1864">
        <v>0</v>
      </c>
      <c r="X1864">
        <v>0</v>
      </c>
      <c r="Y1864">
        <v>25</v>
      </c>
      <c r="Z1864" t="s">
        <v>111</v>
      </c>
      <c r="AA1864">
        <v>0</v>
      </c>
      <c r="AB1864" t="s">
        <v>111</v>
      </c>
      <c r="AC1864">
        <v>0</v>
      </c>
      <c r="AD1864" t="s">
        <v>111</v>
      </c>
      <c r="AE1864">
        <v>0</v>
      </c>
      <c r="AF1864">
        <v>0</v>
      </c>
      <c r="AG1864" t="s">
        <v>111</v>
      </c>
      <c r="AH1864" t="s">
        <v>111</v>
      </c>
      <c r="AI1864" t="s">
        <v>111</v>
      </c>
      <c r="AJ1864" t="s">
        <v>111</v>
      </c>
      <c r="AK1864" t="s">
        <v>111</v>
      </c>
      <c r="AL1864" t="s">
        <v>111</v>
      </c>
      <c r="AM1864">
        <v>0</v>
      </c>
      <c r="AN1864">
        <v>0</v>
      </c>
      <c r="AO1864">
        <v>0</v>
      </c>
      <c r="AP1864" t="s">
        <v>111</v>
      </c>
      <c r="AQ1864" t="s">
        <v>111</v>
      </c>
      <c r="AR1864" t="s">
        <v>111</v>
      </c>
      <c r="AS1864" t="s">
        <v>111</v>
      </c>
      <c r="AT1864" t="s">
        <v>111</v>
      </c>
      <c r="AU1864" t="s">
        <v>111</v>
      </c>
      <c r="AV1864" t="s">
        <v>111</v>
      </c>
      <c r="AW1864" t="s">
        <v>111</v>
      </c>
      <c r="AX1864" t="s">
        <v>111</v>
      </c>
      <c r="AY1864" t="s">
        <v>111</v>
      </c>
      <c r="AZ1864" t="s">
        <v>111</v>
      </c>
      <c r="BA1864" t="s">
        <v>111</v>
      </c>
      <c r="BB1864" t="s">
        <v>111</v>
      </c>
      <c r="BC1864" t="s">
        <v>111</v>
      </c>
      <c r="BD1864" t="s">
        <v>111</v>
      </c>
      <c r="BE1864" t="s">
        <v>111</v>
      </c>
      <c r="BF1864" t="s">
        <v>111</v>
      </c>
      <c r="BG1864" t="s">
        <v>111</v>
      </c>
      <c r="BH1864" t="s">
        <v>111</v>
      </c>
      <c r="BI1864" t="s">
        <v>111</v>
      </c>
      <c r="BJ1864" t="s">
        <v>111</v>
      </c>
      <c r="BK1864" t="s">
        <v>111</v>
      </c>
      <c r="BL1864" t="s">
        <v>111</v>
      </c>
      <c r="BM1864" t="s">
        <v>111</v>
      </c>
      <c r="BN1864" t="s">
        <v>111</v>
      </c>
      <c r="BO1864" t="s">
        <v>111</v>
      </c>
      <c r="BP1864" t="s">
        <v>111</v>
      </c>
      <c r="BQ1864" t="s">
        <v>111</v>
      </c>
      <c r="BR1864" t="s">
        <v>111</v>
      </c>
      <c r="BS1864" t="s">
        <v>111</v>
      </c>
      <c r="BT1864" t="s">
        <v>111</v>
      </c>
      <c r="BU1864" t="s">
        <v>111</v>
      </c>
      <c r="BV1864" t="s">
        <v>111</v>
      </c>
      <c r="BW1864" t="s">
        <v>111</v>
      </c>
      <c r="BX1864" t="s">
        <v>111</v>
      </c>
      <c r="BY1864" t="s">
        <v>111</v>
      </c>
      <c r="BZ1864" t="s">
        <v>111</v>
      </c>
      <c r="CA1864" t="s">
        <v>111</v>
      </c>
      <c r="CB1864" t="s">
        <v>111</v>
      </c>
      <c r="CC1864" t="s">
        <v>111</v>
      </c>
      <c r="CD1864" t="s">
        <v>111</v>
      </c>
      <c r="CE1864" t="s">
        <v>111</v>
      </c>
      <c r="CF1864" t="s">
        <v>111</v>
      </c>
      <c r="CG1864" t="s">
        <v>111</v>
      </c>
      <c r="CH1864" t="s">
        <v>111</v>
      </c>
      <c r="CI1864" t="s">
        <v>111</v>
      </c>
      <c r="CJ1864" t="s">
        <v>111</v>
      </c>
      <c r="CK1864" t="s">
        <v>111</v>
      </c>
      <c r="CL1864" t="s">
        <v>111</v>
      </c>
      <c r="CM1864" t="s">
        <v>438</v>
      </c>
      <c r="CN1864" t="s">
        <v>113</v>
      </c>
      <c r="CO1864" t="s">
        <v>111</v>
      </c>
      <c r="CP1864" t="s">
        <v>111</v>
      </c>
      <c r="CQ1864">
        <v>0</v>
      </c>
      <c r="CR1864">
        <v>8000</v>
      </c>
      <c r="CS1864">
        <v>200</v>
      </c>
      <c r="CT1864" t="s">
        <v>394</v>
      </c>
      <c r="CU1864">
        <v>0</v>
      </c>
      <c r="CV1864" t="s">
        <v>111</v>
      </c>
      <c r="CW1864" t="s">
        <v>111</v>
      </c>
      <c r="CX1864" t="s">
        <v>111</v>
      </c>
      <c r="CY1864">
        <v>0</v>
      </c>
      <c r="CZ1864" t="s">
        <v>111</v>
      </c>
      <c r="DA1864" t="s">
        <v>111</v>
      </c>
      <c r="DB1864" t="s">
        <v>111</v>
      </c>
      <c r="DC1864" t="s">
        <v>111</v>
      </c>
    </row>
    <row r="1865" spans="1:107">
      <c r="A1865">
        <v>1114</v>
      </c>
      <c r="B1865" t="s">
        <v>107</v>
      </c>
      <c r="C1865" t="s">
        <v>4165</v>
      </c>
      <c r="D1865" t="s">
        <v>5039</v>
      </c>
      <c r="E1865" t="s">
        <v>5118</v>
      </c>
      <c r="F1865" t="s">
        <v>110</v>
      </c>
      <c r="G1865" t="s">
        <v>24</v>
      </c>
      <c r="H1865">
        <v>1.4</v>
      </c>
      <c r="I1865">
        <v>50</v>
      </c>
      <c r="J1865">
        <v>0</v>
      </c>
      <c r="K1865">
        <v>0</v>
      </c>
      <c r="L1865" t="s">
        <v>112</v>
      </c>
      <c r="M1865" t="s">
        <v>118</v>
      </c>
      <c r="N1865">
        <v>40</v>
      </c>
      <c r="O1865">
        <v>1</v>
      </c>
      <c r="P1865" t="s">
        <v>138</v>
      </c>
      <c r="Q1865">
        <v>41.1</v>
      </c>
      <c r="R1865">
        <v>0</v>
      </c>
      <c r="S1865">
        <v>0</v>
      </c>
      <c r="T1865">
        <v>0</v>
      </c>
      <c r="U1865" s="1" t="s">
        <v>5119</v>
      </c>
      <c r="V1865">
        <v>0</v>
      </c>
      <c r="W1865">
        <v>0</v>
      </c>
      <c r="X1865">
        <v>0</v>
      </c>
      <c r="Y1865">
        <v>25</v>
      </c>
      <c r="Z1865" t="s">
        <v>111</v>
      </c>
      <c r="AA1865">
        <v>0</v>
      </c>
      <c r="AB1865" t="s">
        <v>111</v>
      </c>
      <c r="AC1865">
        <v>0</v>
      </c>
      <c r="AD1865" t="s">
        <v>111</v>
      </c>
      <c r="AE1865">
        <v>0</v>
      </c>
      <c r="AF1865">
        <v>0</v>
      </c>
      <c r="AG1865" t="s">
        <v>111</v>
      </c>
      <c r="AH1865" t="s">
        <v>111</v>
      </c>
      <c r="AI1865" t="s">
        <v>111</v>
      </c>
      <c r="AJ1865" t="s">
        <v>111</v>
      </c>
      <c r="AK1865" t="s">
        <v>111</v>
      </c>
      <c r="AL1865" t="s">
        <v>111</v>
      </c>
      <c r="AM1865">
        <v>0</v>
      </c>
      <c r="AN1865">
        <v>0</v>
      </c>
      <c r="AO1865">
        <v>0</v>
      </c>
      <c r="AP1865" t="s">
        <v>111</v>
      </c>
      <c r="AQ1865" t="s">
        <v>111</v>
      </c>
      <c r="AR1865" t="s">
        <v>111</v>
      </c>
      <c r="AS1865" t="s">
        <v>111</v>
      </c>
      <c r="AT1865" t="s">
        <v>111</v>
      </c>
      <c r="AU1865" t="s">
        <v>111</v>
      </c>
      <c r="AV1865" t="s">
        <v>111</v>
      </c>
      <c r="AW1865" t="s">
        <v>111</v>
      </c>
      <c r="AX1865" t="s">
        <v>111</v>
      </c>
      <c r="AY1865" t="s">
        <v>111</v>
      </c>
      <c r="AZ1865" t="s">
        <v>111</v>
      </c>
      <c r="BA1865" t="s">
        <v>111</v>
      </c>
      <c r="BB1865" t="s">
        <v>111</v>
      </c>
      <c r="BC1865" t="s">
        <v>111</v>
      </c>
      <c r="BD1865" t="s">
        <v>111</v>
      </c>
      <c r="BE1865" t="s">
        <v>111</v>
      </c>
      <c r="BF1865" t="s">
        <v>111</v>
      </c>
      <c r="BG1865" t="s">
        <v>111</v>
      </c>
      <c r="BH1865" t="s">
        <v>111</v>
      </c>
      <c r="BI1865" t="s">
        <v>111</v>
      </c>
      <c r="BJ1865" t="s">
        <v>111</v>
      </c>
      <c r="BK1865" t="s">
        <v>111</v>
      </c>
      <c r="BL1865" t="s">
        <v>111</v>
      </c>
      <c r="BM1865" t="s">
        <v>111</v>
      </c>
      <c r="BN1865" t="s">
        <v>111</v>
      </c>
      <c r="BO1865" t="s">
        <v>111</v>
      </c>
      <c r="BP1865" t="s">
        <v>111</v>
      </c>
      <c r="BQ1865" t="s">
        <v>111</v>
      </c>
      <c r="BR1865" t="s">
        <v>111</v>
      </c>
      <c r="BS1865" t="s">
        <v>111</v>
      </c>
      <c r="BT1865" t="s">
        <v>111</v>
      </c>
      <c r="BU1865" t="s">
        <v>111</v>
      </c>
      <c r="BV1865" t="s">
        <v>111</v>
      </c>
      <c r="BW1865" t="s">
        <v>111</v>
      </c>
      <c r="BX1865" t="s">
        <v>111</v>
      </c>
      <c r="BY1865" t="s">
        <v>111</v>
      </c>
      <c r="BZ1865" t="s">
        <v>111</v>
      </c>
      <c r="CA1865" t="s">
        <v>111</v>
      </c>
      <c r="CB1865" t="s">
        <v>111</v>
      </c>
      <c r="CC1865" t="s">
        <v>111</v>
      </c>
      <c r="CD1865" t="s">
        <v>111</v>
      </c>
      <c r="CE1865" t="s">
        <v>111</v>
      </c>
      <c r="CF1865" t="s">
        <v>111</v>
      </c>
      <c r="CG1865" t="s">
        <v>111</v>
      </c>
      <c r="CH1865" t="s">
        <v>111</v>
      </c>
      <c r="CI1865" t="s">
        <v>111</v>
      </c>
      <c r="CJ1865" t="s">
        <v>111</v>
      </c>
      <c r="CK1865" t="s">
        <v>111</v>
      </c>
      <c r="CL1865" t="s">
        <v>111</v>
      </c>
      <c r="CM1865" t="s">
        <v>111</v>
      </c>
      <c r="CN1865" t="s">
        <v>111</v>
      </c>
      <c r="CO1865" t="s">
        <v>111</v>
      </c>
      <c r="CP1865" t="s">
        <v>111</v>
      </c>
      <c r="CQ1865">
        <v>0</v>
      </c>
      <c r="CR1865">
        <v>0</v>
      </c>
      <c r="CS1865">
        <v>0</v>
      </c>
      <c r="CT1865" t="s">
        <v>111</v>
      </c>
      <c r="CU1865">
        <v>0</v>
      </c>
      <c r="CV1865" t="s">
        <v>111</v>
      </c>
      <c r="CW1865" t="s">
        <v>111</v>
      </c>
      <c r="CX1865" t="s">
        <v>111</v>
      </c>
      <c r="CY1865">
        <v>0</v>
      </c>
      <c r="CZ1865" t="s">
        <v>111</v>
      </c>
      <c r="DA1865" t="s">
        <v>111</v>
      </c>
      <c r="DB1865" t="s">
        <v>111</v>
      </c>
      <c r="DC1865" t="s">
        <v>111</v>
      </c>
    </row>
    <row r="1866" spans="1:107">
      <c r="A1866">
        <v>1113</v>
      </c>
      <c r="B1866" t="s">
        <v>107</v>
      </c>
      <c r="C1866" t="s">
        <v>4165</v>
      </c>
      <c r="D1866" t="s">
        <v>5120</v>
      </c>
      <c r="E1866" t="s">
        <v>5121</v>
      </c>
      <c r="F1866" t="s">
        <v>110</v>
      </c>
      <c r="G1866" t="s">
        <v>24</v>
      </c>
      <c r="H1866">
        <v>1.2</v>
      </c>
      <c r="I1866">
        <v>42</v>
      </c>
      <c r="J1866">
        <v>0</v>
      </c>
      <c r="K1866">
        <v>0</v>
      </c>
      <c r="L1866" t="s">
        <v>112</v>
      </c>
      <c r="M1866" t="s">
        <v>118</v>
      </c>
      <c r="N1866">
        <v>40</v>
      </c>
      <c r="O1866">
        <v>1</v>
      </c>
      <c r="P1866" t="s">
        <v>138</v>
      </c>
      <c r="Q1866">
        <v>40</v>
      </c>
      <c r="R1866">
        <v>0</v>
      </c>
      <c r="S1866">
        <v>0</v>
      </c>
      <c r="T1866">
        <v>0</v>
      </c>
      <c r="U1866" s="1" t="s">
        <v>5122</v>
      </c>
      <c r="V1866">
        <v>0</v>
      </c>
      <c r="W1866">
        <v>0</v>
      </c>
      <c r="X1866">
        <v>0</v>
      </c>
      <c r="Y1866">
        <v>25</v>
      </c>
      <c r="Z1866" t="s">
        <v>111</v>
      </c>
      <c r="AA1866">
        <v>0</v>
      </c>
      <c r="AB1866" t="s">
        <v>111</v>
      </c>
      <c r="AC1866">
        <v>0</v>
      </c>
      <c r="AD1866" t="s">
        <v>111</v>
      </c>
      <c r="AE1866">
        <v>0</v>
      </c>
      <c r="AF1866">
        <v>0</v>
      </c>
      <c r="AG1866" t="s">
        <v>111</v>
      </c>
      <c r="AH1866" t="s">
        <v>111</v>
      </c>
      <c r="AI1866" t="s">
        <v>111</v>
      </c>
      <c r="AJ1866" t="s">
        <v>111</v>
      </c>
      <c r="AK1866" t="s">
        <v>111</v>
      </c>
      <c r="AL1866" t="s">
        <v>111</v>
      </c>
      <c r="AM1866">
        <v>0</v>
      </c>
      <c r="AN1866">
        <v>0</v>
      </c>
      <c r="AO1866">
        <v>0</v>
      </c>
      <c r="AP1866" t="s">
        <v>111</v>
      </c>
      <c r="AQ1866" t="s">
        <v>111</v>
      </c>
      <c r="AR1866" t="s">
        <v>111</v>
      </c>
      <c r="AS1866" t="s">
        <v>111</v>
      </c>
      <c r="AT1866" t="s">
        <v>111</v>
      </c>
      <c r="AU1866" t="s">
        <v>111</v>
      </c>
      <c r="AV1866" t="s">
        <v>111</v>
      </c>
      <c r="AW1866" t="s">
        <v>111</v>
      </c>
      <c r="AX1866" t="s">
        <v>111</v>
      </c>
      <c r="AY1866" t="s">
        <v>111</v>
      </c>
      <c r="AZ1866" t="s">
        <v>111</v>
      </c>
      <c r="BA1866" t="s">
        <v>111</v>
      </c>
      <c r="BB1866" t="s">
        <v>111</v>
      </c>
      <c r="BC1866" t="s">
        <v>111</v>
      </c>
      <c r="BD1866" t="s">
        <v>111</v>
      </c>
      <c r="BE1866" t="s">
        <v>111</v>
      </c>
      <c r="BF1866" t="s">
        <v>111</v>
      </c>
      <c r="BG1866" t="s">
        <v>111</v>
      </c>
      <c r="BH1866" t="s">
        <v>111</v>
      </c>
      <c r="BI1866" t="s">
        <v>111</v>
      </c>
      <c r="BJ1866" t="s">
        <v>111</v>
      </c>
      <c r="BK1866" t="s">
        <v>111</v>
      </c>
      <c r="BL1866" t="s">
        <v>111</v>
      </c>
      <c r="BM1866" t="s">
        <v>111</v>
      </c>
      <c r="BN1866" t="s">
        <v>111</v>
      </c>
      <c r="BO1866" t="s">
        <v>111</v>
      </c>
      <c r="BP1866" t="s">
        <v>111</v>
      </c>
      <c r="BQ1866" t="s">
        <v>111</v>
      </c>
      <c r="BR1866" t="s">
        <v>111</v>
      </c>
      <c r="BS1866" t="s">
        <v>111</v>
      </c>
      <c r="BT1866" t="s">
        <v>111</v>
      </c>
      <c r="BU1866" t="s">
        <v>111</v>
      </c>
      <c r="BV1866" t="s">
        <v>111</v>
      </c>
      <c r="BW1866" t="s">
        <v>111</v>
      </c>
      <c r="BX1866" t="s">
        <v>111</v>
      </c>
      <c r="BY1866" t="s">
        <v>111</v>
      </c>
      <c r="BZ1866" t="s">
        <v>111</v>
      </c>
      <c r="CA1866" t="s">
        <v>111</v>
      </c>
      <c r="CB1866" t="s">
        <v>111</v>
      </c>
      <c r="CC1866" t="s">
        <v>111</v>
      </c>
      <c r="CD1866" t="s">
        <v>111</v>
      </c>
      <c r="CE1866" t="s">
        <v>111</v>
      </c>
      <c r="CF1866" t="s">
        <v>111</v>
      </c>
      <c r="CG1866" t="s">
        <v>111</v>
      </c>
      <c r="CH1866" t="s">
        <v>111</v>
      </c>
      <c r="CI1866" t="s">
        <v>111</v>
      </c>
      <c r="CJ1866" t="s">
        <v>111</v>
      </c>
      <c r="CK1866" t="s">
        <v>111</v>
      </c>
      <c r="CL1866" t="s">
        <v>111</v>
      </c>
      <c r="CM1866" t="s">
        <v>111</v>
      </c>
      <c r="CN1866" t="s">
        <v>111</v>
      </c>
      <c r="CO1866" t="s">
        <v>111</v>
      </c>
      <c r="CP1866" t="s">
        <v>111</v>
      </c>
      <c r="CQ1866">
        <v>0</v>
      </c>
      <c r="CR1866">
        <v>0</v>
      </c>
      <c r="CS1866">
        <v>0</v>
      </c>
      <c r="CT1866" t="s">
        <v>111</v>
      </c>
      <c r="CU1866">
        <v>0</v>
      </c>
      <c r="CV1866" t="s">
        <v>111</v>
      </c>
      <c r="CW1866" t="s">
        <v>111</v>
      </c>
      <c r="CX1866" t="s">
        <v>111</v>
      </c>
      <c r="CY1866">
        <v>0</v>
      </c>
      <c r="CZ1866" t="s">
        <v>111</v>
      </c>
      <c r="DA1866" t="s">
        <v>111</v>
      </c>
      <c r="DB1866" t="s">
        <v>111</v>
      </c>
      <c r="DC1866" t="s">
        <v>111</v>
      </c>
    </row>
    <row r="1867" spans="1:107">
      <c r="A1867">
        <v>1112</v>
      </c>
      <c r="B1867" t="s">
        <v>107</v>
      </c>
      <c r="C1867" t="s">
        <v>4165</v>
      </c>
      <c r="D1867" t="s">
        <v>4760</v>
      </c>
      <c r="E1867" t="s">
        <v>5123</v>
      </c>
      <c r="F1867" t="s">
        <v>110</v>
      </c>
      <c r="G1867" t="s">
        <v>24</v>
      </c>
      <c r="H1867">
        <v>2.2999999999999998</v>
      </c>
      <c r="I1867">
        <v>40</v>
      </c>
      <c r="J1867">
        <v>0</v>
      </c>
      <c r="K1867">
        <v>0</v>
      </c>
      <c r="L1867" t="s">
        <v>112</v>
      </c>
      <c r="M1867" t="s">
        <v>118</v>
      </c>
      <c r="N1867">
        <v>40</v>
      </c>
      <c r="O1867">
        <v>1</v>
      </c>
      <c r="P1867" t="s">
        <v>138</v>
      </c>
      <c r="Q1867">
        <v>34.299999999999997</v>
      </c>
      <c r="R1867">
        <v>0</v>
      </c>
      <c r="S1867">
        <v>0</v>
      </c>
      <c r="T1867">
        <v>0</v>
      </c>
      <c r="U1867" s="1" t="s">
        <v>5124</v>
      </c>
      <c r="V1867">
        <v>0</v>
      </c>
      <c r="W1867">
        <v>0</v>
      </c>
      <c r="X1867">
        <v>0</v>
      </c>
      <c r="Y1867">
        <v>250</v>
      </c>
      <c r="Z1867" t="s">
        <v>111</v>
      </c>
      <c r="AA1867">
        <v>0</v>
      </c>
      <c r="AB1867" t="s">
        <v>111</v>
      </c>
      <c r="AC1867">
        <v>0</v>
      </c>
      <c r="AD1867" t="s">
        <v>111</v>
      </c>
      <c r="AE1867">
        <v>0</v>
      </c>
      <c r="AF1867">
        <v>0</v>
      </c>
      <c r="AG1867" t="s">
        <v>111</v>
      </c>
      <c r="AH1867" t="s">
        <v>111</v>
      </c>
      <c r="AI1867" t="s">
        <v>111</v>
      </c>
      <c r="AJ1867" t="s">
        <v>111</v>
      </c>
      <c r="AK1867" t="s">
        <v>111</v>
      </c>
      <c r="AL1867" t="s">
        <v>111</v>
      </c>
      <c r="AM1867">
        <v>0</v>
      </c>
      <c r="AN1867">
        <v>0</v>
      </c>
      <c r="AO1867">
        <v>0</v>
      </c>
      <c r="AP1867" t="s">
        <v>111</v>
      </c>
      <c r="AQ1867" t="s">
        <v>111</v>
      </c>
      <c r="AR1867" t="s">
        <v>111</v>
      </c>
      <c r="AS1867" t="s">
        <v>111</v>
      </c>
      <c r="AT1867" t="s">
        <v>111</v>
      </c>
      <c r="AU1867" t="s">
        <v>111</v>
      </c>
      <c r="AV1867" t="s">
        <v>111</v>
      </c>
      <c r="AW1867" t="s">
        <v>111</v>
      </c>
      <c r="AX1867" t="s">
        <v>111</v>
      </c>
      <c r="AY1867" t="s">
        <v>111</v>
      </c>
      <c r="AZ1867" t="s">
        <v>111</v>
      </c>
      <c r="BA1867" t="s">
        <v>111</v>
      </c>
      <c r="BB1867" t="s">
        <v>111</v>
      </c>
      <c r="BC1867" t="s">
        <v>111</v>
      </c>
      <c r="BD1867" t="s">
        <v>111</v>
      </c>
      <c r="BE1867" t="s">
        <v>111</v>
      </c>
      <c r="BF1867" t="s">
        <v>111</v>
      </c>
      <c r="BG1867" t="s">
        <v>111</v>
      </c>
      <c r="BH1867" t="s">
        <v>111</v>
      </c>
      <c r="BI1867" t="s">
        <v>111</v>
      </c>
      <c r="BJ1867" t="s">
        <v>111</v>
      </c>
      <c r="BK1867" t="s">
        <v>111</v>
      </c>
      <c r="BL1867" t="s">
        <v>111</v>
      </c>
      <c r="BM1867" t="s">
        <v>111</v>
      </c>
      <c r="BN1867" t="s">
        <v>111</v>
      </c>
      <c r="BO1867" t="s">
        <v>111</v>
      </c>
      <c r="BP1867" t="s">
        <v>111</v>
      </c>
      <c r="BQ1867" t="s">
        <v>111</v>
      </c>
      <c r="BR1867" t="s">
        <v>111</v>
      </c>
      <c r="BS1867" t="s">
        <v>111</v>
      </c>
      <c r="BT1867" t="s">
        <v>111</v>
      </c>
      <c r="BU1867" t="s">
        <v>111</v>
      </c>
      <c r="BV1867" t="s">
        <v>111</v>
      </c>
      <c r="BW1867" t="s">
        <v>111</v>
      </c>
      <c r="BX1867" t="s">
        <v>111</v>
      </c>
      <c r="BY1867" t="s">
        <v>111</v>
      </c>
      <c r="BZ1867" t="s">
        <v>111</v>
      </c>
      <c r="CA1867" t="s">
        <v>111</v>
      </c>
      <c r="CB1867" t="s">
        <v>111</v>
      </c>
      <c r="CC1867" t="s">
        <v>111</v>
      </c>
      <c r="CD1867" t="s">
        <v>111</v>
      </c>
      <c r="CE1867" t="s">
        <v>111</v>
      </c>
      <c r="CF1867" t="s">
        <v>111</v>
      </c>
      <c r="CG1867" t="s">
        <v>111</v>
      </c>
      <c r="CH1867" t="s">
        <v>111</v>
      </c>
      <c r="CI1867" t="s">
        <v>111</v>
      </c>
      <c r="CJ1867" t="s">
        <v>111</v>
      </c>
      <c r="CK1867" t="s">
        <v>111</v>
      </c>
      <c r="CL1867" t="s">
        <v>111</v>
      </c>
      <c r="CM1867" t="s">
        <v>111</v>
      </c>
      <c r="CN1867" t="s">
        <v>111</v>
      </c>
      <c r="CO1867" t="s">
        <v>111</v>
      </c>
      <c r="CP1867" t="s">
        <v>111</v>
      </c>
      <c r="CQ1867">
        <v>0</v>
      </c>
      <c r="CR1867">
        <v>0</v>
      </c>
      <c r="CS1867">
        <v>0</v>
      </c>
      <c r="CT1867" t="s">
        <v>111</v>
      </c>
      <c r="CU1867">
        <v>0</v>
      </c>
      <c r="CV1867" t="s">
        <v>111</v>
      </c>
      <c r="CW1867" t="s">
        <v>111</v>
      </c>
      <c r="CX1867" t="s">
        <v>111</v>
      </c>
      <c r="CY1867">
        <v>0</v>
      </c>
      <c r="CZ1867" t="s">
        <v>111</v>
      </c>
      <c r="DA1867" t="s">
        <v>111</v>
      </c>
      <c r="DB1867" t="s">
        <v>111</v>
      </c>
      <c r="DC1867" t="s">
        <v>111</v>
      </c>
    </row>
    <row r="1868" spans="1:107">
      <c r="A1868">
        <v>1100</v>
      </c>
      <c r="B1868" t="s">
        <v>107</v>
      </c>
      <c r="C1868" t="s">
        <v>3783</v>
      </c>
      <c r="D1868" t="s">
        <v>3960</v>
      </c>
      <c r="E1868" t="s">
        <v>5125</v>
      </c>
      <c r="F1868" t="s">
        <v>1260</v>
      </c>
      <c r="G1868" t="s">
        <v>24</v>
      </c>
      <c r="H1868">
        <v>1.9</v>
      </c>
      <c r="I1868">
        <v>40</v>
      </c>
      <c r="J1868">
        <v>0</v>
      </c>
      <c r="K1868">
        <v>0</v>
      </c>
      <c r="L1868" t="s">
        <v>117</v>
      </c>
      <c r="M1868" t="s">
        <v>118</v>
      </c>
      <c r="N1868">
        <v>40</v>
      </c>
      <c r="O1868">
        <v>1</v>
      </c>
      <c r="P1868" t="s">
        <v>138</v>
      </c>
      <c r="Q1868">
        <v>46.5</v>
      </c>
      <c r="R1868">
        <v>0</v>
      </c>
      <c r="S1868">
        <v>0</v>
      </c>
      <c r="T1868">
        <v>5</v>
      </c>
      <c r="U1868" t="s">
        <v>501</v>
      </c>
      <c r="V1868">
        <v>0</v>
      </c>
      <c r="W1868">
        <v>0</v>
      </c>
      <c r="X1868">
        <v>0</v>
      </c>
      <c r="Y1868">
        <v>25</v>
      </c>
      <c r="Z1868" t="s">
        <v>111</v>
      </c>
      <c r="AA1868">
        <v>0</v>
      </c>
      <c r="AB1868" t="s">
        <v>111</v>
      </c>
      <c r="AC1868">
        <v>0</v>
      </c>
      <c r="AD1868" t="s">
        <v>416</v>
      </c>
      <c r="AE1868">
        <v>0</v>
      </c>
      <c r="AF1868">
        <v>0</v>
      </c>
      <c r="AG1868" t="s">
        <v>111</v>
      </c>
      <c r="AH1868" t="s">
        <v>111</v>
      </c>
      <c r="AI1868" t="s">
        <v>111</v>
      </c>
      <c r="AJ1868" t="s">
        <v>111</v>
      </c>
      <c r="AK1868" t="s">
        <v>111</v>
      </c>
      <c r="AL1868" t="s">
        <v>111</v>
      </c>
      <c r="AM1868">
        <v>0</v>
      </c>
      <c r="AN1868">
        <v>0</v>
      </c>
      <c r="AO1868">
        <v>0</v>
      </c>
      <c r="AP1868" t="s">
        <v>111</v>
      </c>
      <c r="AQ1868" t="s">
        <v>111</v>
      </c>
      <c r="AR1868" t="s">
        <v>111</v>
      </c>
      <c r="AS1868" t="s">
        <v>111</v>
      </c>
      <c r="AT1868" t="s">
        <v>111</v>
      </c>
      <c r="AU1868" t="s">
        <v>111</v>
      </c>
      <c r="AV1868" t="s">
        <v>111</v>
      </c>
      <c r="AW1868" t="s">
        <v>111</v>
      </c>
      <c r="AX1868" t="s">
        <v>111</v>
      </c>
      <c r="AY1868" t="s">
        <v>111</v>
      </c>
      <c r="AZ1868" t="s">
        <v>111</v>
      </c>
      <c r="BA1868" t="s">
        <v>111</v>
      </c>
      <c r="BB1868" t="s">
        <v>111</v>
      </c>
      <c r="BC1868" t="s">
        <v>111</v>
      </c>
      <c r="BD1868" t="s">
        <v>111</v>
      </c>
      <c r="BE1868" t="s">
        <v>111</v>
      </c>
      <c r="BF1868" t="s">
        <v>111</v>
      </c>
      <c r="BG1868" t="s">
        <v>111</v>
      </c>
      <c r="BH1868" t="s">
        <v>111</v>
      </c>
      <c r="BI1868" t="s">
        <v>111</v>
      </c>
      <c r="BJ1868" t="s">
        <v>111</v>
      </c>
      <c r="BK1868" t="s">
        <v>111</v>
      </c>
      <c r="BL1868" t="s">
        <v>111</v>
      </c>
      <c r="BM1868" t="s">
        <v>111</v>
      </c>
      <c r="BN1868" t="s">
        <v>111</v>
      </c>
      <c r="BO1868" t="s">
        <v>111</v>
      </c>
      <c r="BP1868" t="s">
        <v>111</v>
      </c>
      <c r="BQ1868" t="s">
        <v>111</v>
      </c>
      <c r="BR1868" t="s">
        <v>111</v>
      </c>
      <c r="BS1868" t="s">
        <v>111</v>
      </c>
      <c r="BT1868" t="s">
        <v>111</v>
      </c>
      <c r="BU1868" t="s">
        <v>111</v>
      </c>
      <c r="BV1868" t="s">
        <v>111</v>
      </c>
      <c r="BW1868" t="s">
        <v>111</v>
      </c>
      <c r="BX1868" t="s">
        <v>111</v>
      </c>
      <c r="BY1868" t="s">
        <v>111</v>
      </c>
      <c r="BZ1868" t="s">
        <v>111</v>
      </c>
      <c r="CA1868" t="s">
        <v>111</v>
      </c>
      <c r="CB1868" t="s">
        <v>111</v>
      </c>
      <c r="CC1868" t="s">
        <v>111</v>
      </c>
      <c r="CD1868" t="s">
        <v>111</v>
      </c>
      <c r="CE1868" t="s">
        <v>111</v>
      </c>
      <c r="CF1868" t="s">
        <v>111</v>
      </c>
      <c r="CG1868" t="s">
        <v>111</v>
      </c>
      <c r="CH1868" t="s">
        <v>111</v>
      </c>
      <c r="CI1868" t="s">
        <v>111</v>
      </c>
      <c r="CJ1868" t="s">
        <v>111</v>
      </c>
      <c r="CK1868" t="s">
        <v>111</v>
      </c>
      <c r="CL1868" t="e">
        <f>-DESTINO SELLADO</f>
        <v>#NAME?</v>
      </c>
      <c r="CM1868" t="s">
        <v>135</v>
      </c>
      <c r="CN1868" t="s">
        <v>113</v>
      </c>
      <c r="CO1868" t="s">
        <v>111</v>
      </c>
      <c r="CP1868" t="s">
        <v>111</v>
      </c>
      <c r="CQ1868">
        <v>0</v>
      </c>
      <c r="CR1868">
        <v>26000</v>
      </c>
      <c r="CS1868">
        <v>26000</v>
      </c>
      <c r="CT1868" t="s">
        <v>3484</v>
      </c>
      <c r="CU1868">
        <v>0</v>
      </c>
      <c r="CV1868" t="s">
        <v>111</v>
      </c>
      <c r="CW1868" t="s">
        <v>111</v>
      </c>
      <c r="CX1868" t="s">
        <v>111</v>
      </c>
      <c r="CY1868">
        <v>0</v>
      </c>
      <c r="CZ1868" t="s">
        <v>111</v>
      </c>
      <c r="DA1868" t="s">
        <v>111</v>
      </c>
      <c r="DB1868" t="s">
        <v>111</v>
      </c>
      <c r="DC1868" t="s">
        <v>111</v>
      </c>
    </row>
    <row r="1869" spans="1:107">
      <c r="A1869">
        <v>1098</v>
      </c>
      <c r="B1869" t="s">
        <v>107</v>
      </c>
      <c r="C1869" t="s">
        <v>1567</v>
      </c>
      <c r="D1869" t="s">
        <v>4376</v>
      </c>
      <c r="E1869" t="s">
        <v>4377</v>
      </c>
      <c r="F1869" t="s">
        <v>3682</v>
      </c>
      <c r="G1869" t="s">
        <v>24</v>
      </c>
      <c r="H1869">
        <v>1.3</v>
      </c>
      <c r="I1869">
        <v>40</v>
      </c>
      <c r="J1869">
        <v>0</v>
      </c>
      <c r="K1869">
        <v>0</v>
      </c>
      <c r="L1869" t="s">
        <v>112</v>
      </c>
      <c r="M1869" t="s">
        <v>138</v>
      </c>
      <c r="N1869">
        <v>0</v>
      </c>
      <c r="O1869">
        <v>0</v>
      </c>
      <c r="P1869" t="s">
        <v>138</v>
      </c>
      <c r="Q1869">
        <v>48</v>
      </c>
      <c r="R1869">
        <v>0</v>
      </c>
      <c r="S1869">
        <v>0</v>
      </c>
      <c r="T1869">
        <v>5</v>
      </c>
      <c r="U1869" t="s">
        <v>296</v>
      </c>
      <c r="V1869">
        <v>0</v>
      </c>
      <c r="W1869">
        <v>0</v>
      </c>
      <c r="X1869">
        <v>0</v>
      </c>
      <c r="Y1869">
        <v>25</v>
      </c>
      <c r="Z1869" t="s">
        <v>111</v>
      </c>
      <c r="AA1869">
        <v>0</v>
      </c>
      <c r="AB1869" t="s">
        <v>5126</v>
      </c>
      <c r="AC1869">
        <v>300</v>
      </c>
      <c r="AD1869" t="s">
        <v>111</v>
      </c>
      <c r="AE1869">
        <v>0</v>
      </c>
      <c r="AF1869">
        <v>0</v>
      </c>
      <c r="AG1869" t="s">
        <v>111</v>
      </c>
      <c r="AH1869" t="s">
        <v>111</v>
      </c>
      <c r="AI1869" t="s">
        <v>111</v>
      </c>
      <c r="AJ1869" t="s">
        <v>111</v>
      </c>
      <c r="AK1869" t="s">
        <v>111</v>
      </c>
      <c r="AL1869" t="s">
        <v>111</v>
      </c>
      <c r="AM1869">
        <v>0</v>
      </c>
      <c r="AN1869">
        <v>0</v>
      </c>
      <c r="AO1869">
        <v>0</v>
      </c>
      <c r="AP1869" t="s">
        <v>111</v>
      </c>
      <c r="AQ1869" t="s">
        <v>111</v>
      </c>
      <c r="AR1869" t="s">
        <v>111</v>
      </c>
      <c r="AS1869" t="s">
        <v>111</v>
      </c>
      <c r="AT1869" t="s">
        <v>111</v>
      </c>
      <c r="AU1869" t="s">
        <v>111</v>
      </c>
      <c r="AV1869" t="s">
        <v>111</v>
      </c>
      <c r="AW1869" t="s">
        <v>111</v>
      </c>
      <c r="AX1869" t="s">
        <v>111</v>
      </c>
      <c r="AY1869" t="s">
        <v>111</v>
      </c>
      <c r="AZ1869" t="s">
        <v>111</v>
      </c>
      <c r="BA1869" t="s">
        <v>111</v>
      </c>
      <c r="BB1869" t="s">
        <v>111</v>
      </c>
      <c r="BC1869" t="s">
        <v>111</v>
      </c>
      <c r="BD1869" t="s">
        <v>111</v>
      </c>
      <c r="BE1869" t="s">
        <v>111</v>
      </c>
      <c r="BF1869" t="s">
        <v>111</v>
      </c>
      <c r="BG1869" t="s">
        <v>111</v>
      </c>
      <c r="BH1869" t="s">
        <v>111</v>
      </c>
      <c r="BI1869" t="s">
        <v>111</v>
      </c>
      <c r="BJ1869" t="s">
        <v>111</v>
      </c>
      <c r="BK1869" t="s">
        <v>111</v>
      </c>
      <c r="BL1869" t="s">
        <v>111</v>
      </c>
      <c r="BM1869" t="s">
        <v>111</v>
      </c>
      <c r="BN1869" t="s">
        <v>111</v>
      </c>
      <c r="BO1869" t="s">
        <v>111</v>
      </c>
      <c r="BP1869" t="s">
        <v>111</v>
      </c>
      <c r="BQ1869" t="s">
        <v>111</v>
      </c>
      <c r="BR1869" t="s">
        <v>111</v>
      </c>
      <c r="BS1869" t="s">
        <v>111</v>
      </c>
      <c r="BT1869" t="s">
        <v>111</v>
      </c>
      <c r="BU1869" t="s">
        <v>111</v>
      </c>
      <c r="BV1869" t="s">
        <v>111</v>
      </c>
      <c r="BW1869" t="s">
        <v>111</v>
      </c>
      <c r="BX1869" t="s">
        <v>111</v>
      </c>
      <c r="BY1869" t="s">
        <v>111</v>
      </c>
      <c r="BZ1869" t="s">
        <v>111</v>
      </c>
      <c r="CA1869" t="s">
        <v>111</v>
      </c>
      <c r="CB1869" t="s">
        <v>111</v>
      </c>
      <c r="CC1869" t="s">
        <v>111</v>
      </c>
      <c r="CD1869" t="s">
        <v>111</v>
      </c>
      <c r="CE1869" t="s">
        <v>111</v>
      </c>
      <c r="CF1869" t="s">
        <v>111</v>
      </c>
      <c r="CG1869" t="s">
        <v>111</v>
      </c>
      <c r="CH1869" t="s">
        <v>111</v>
      </c>
      <c r="CI1869" t="s">
        <v>111</v>
      </c>
      <c r="CJ1869" t="s">
        <v>111</v>
      </c>
      <c r="CK1869" t="s">
        <v>111</v>
      </c>
      <c r="CL1869" t="s">
        <v>111</v>
      </c>
      <c r="CM1869" t="s">
        <v>135</v>
      </c>
      <c r="CN1869" t="s">
        <v>113</v>
      </c>
      <c r="CO1869" t="s">
        <v>885</v>
      </c>
      <c r="CP1869" t="s">
        <v>111</v>
      </c>
      <c r="CQ1869">
        <v>0</v>
      </c>
      <c r="CR1869">
        <v>0</v>
      </c>
      <c r="CS1869">
        <v>100</v>
      </c>
      <c r="CT1869" s="1" t="s">
        <v>5127</v>
      </c>
      <c r="CU1869">
        <v>0</v>
      </c>
      <c r="CV1869" t="s">
        <v>111</v>
      </c>
      <c r="CW1869" t="s">
        <v>111</v>
      </c>
      <c r="CX1869" t="s">
        <v>111</v>
      </c>
      <c r="CY1869">
        <v>0</v>
      </c>
      <c r="CZ1869" t="s">
        <v>111</v>
      </c>
      <c r="DA1869" t="s">
        <v>111</v>
      </c>
      <c r="DB1869" t="s">
        <v>111</v>
      </c>
      <c r="DC1869" t="s">
        <v>111</v>
      </c>
    </row>
    <row r="1870" spans="1:107">
      <c r="A1870">
        <v>1128</v>
      </c>
      <c r="B1870" t="s">
        <v>107</v>
      </c>
      <c r="C1870" t="s">
        <v>4324</v>
      </c>
      <c r="D1870" t="s">
        <v>4783</v>
      </c>
      <c r="E1870" t="s">
        <v>4823</v>
      </c>
      <c r="F1870" t="s">
        <v>110</v>
      </c>
      <c r="G1870" t="s">
        <v>24</v>
      </c>
      <c r="H1870">
        <v>1.4</v>
      </c>
      <c r="I1870">
        <v>50</v>
      </c>
      <c r="J1870">
        <v>0</v>
      </c>
      <c r="K1870">
        <v>0</v>
      </c>
      <c r="L1870" t="s">
        <v>112</v>
      </c>
      <c r="M1870" t="s">
        <v>118</v>
      </c>
      <c r="N1870">
        <v>40</v>
      </c>
      <c r="O1870">
        <v>2</v>
      </c>
      <c r="P1870" t="s">
        <v>138</v>
      </c>
      <c r="Q1870">
        <v>25</v>
      </c>
      <c r="R1870">
        <v>0</v>
      </c>
      <c r="S1870">
        <v>0</v>
      </c>
      <c r="T1870">
        <v>0</v>
      </c>
      <c r="U1870" s="1" t="s">
        <v>5128</v>
      </c>
      <c r="V1870">
        <v>0</v>
      </c>
      <c r="W1870">
        <v>0</v>
      </c>
      <c r="X1870">
        <v>0</v>
      </c>
      <c r="Y1870">
        <v>25</v>
      </c>
      <c r="Z1870" t="s">
        <v>111</v>
      </c>
      <c r="AA1870">
        <v>0</v>
      </c>
      <c r="AB1870" t="s">
        <v>111</v>
      </c>
      <c r="AC1870">
        <v>0</v>
      </c>
      <c r="AD1870" t="s">
        <v>111</v>
      </c>
      <c r="AE1870">
        <v>0</v>
      </c>
      <c r="AF1870">
        <v>0</v>
      </c>
      <c r="AG1870" t="s">
        <v>111</v>
      </c>
      <c r="AH1870" t="s">
        <v>111</v>
      </c>
      <c r="AI1870" t="s">
        <v>111</v>
      </c>
      <c r="AJ1870" t="s">
        <v>111</v>
      </c>
      <c r="AK1870" t="s">
        <v>111</v>
      </c>
      <c r="AL1870" t="s">
        <v>111</v>
      </c>
      <c r="AM1870">
        <v>0</v>
      </c>
      <c r="AN1870">
        <v>0</v>
      </c>
      <c r="AO1870">
        <v>0</v>
      </c>
      <c r="AP1870" t="s">
        <v>111</v>
      </c>
      <c r="AQ1870" t="s">
        <v>111</v>
      </c>
      <c r="AR1870" t="s">
        <v>111</v>
      </c>
      <c r="AS1870" t="s">
        <v>111</v>
      </c>
      <c r="AT1870" t="s">
        <v>111</v>
      </c>
      <c r="AU1870" t="s">
        <v>111</v>
      </c>
      <c r="AV1870" t="s">
        <v>111</v>
      </c>
      <c r="AW1870" t="s">
        <v>111</v>
      </c>
      <c r="AX1870" t="s">
        <v>111</v>
      </c>
      <c r="AY1870" t="s">
        <v>111</v>
      </c>
      <c r="AZ1870" t="s">
        <v>111</v>
      </c>
      <c r="BA1870" t="s">
        <v>111</v>
      </c>
      <c r="BB1870" t="s">
        <v>111</v>
      </c>
      <c r="BC1870" t="s">
        <v>111</v>
      </c>
      <c r="BD1870" t="s">
        <v>111</v>
      </c>
      <c r="BE1870" t="s">
        <v>111</v>
      </c>
      <c r="BF1870" t="s">
        <v>111</v>
      </c>
      <c r="BG1870" t="s">
        <v>111</v>
      </c>
      <c r="BH1870" t="s">
        <v>111</v>
      </c>
      <c r="BI1870" t="s">
        <v>111</v>
      </c>
      <c r="BJ1870" t="s">
        <v>111</v>
      </c>
      <c r="BK1870" t="s">
        <v>111</v>
      </c>
      <c r="BL1870" t="s">
        <v>111</v>
      </c>
      <c r="BM1870" t="s">
        <v>111</v>
      </c>
      <c r="BN1870" t="s">
        <v>111</v>
      </c>
      <c r="BO1870" t="s">
        <v>111</v>
      </c>
      <c r="BP1870" t="s">
        <v>111</v>
      </c>
      <c r="BQ1870" t="s">
        <v>111</v>
      </c>
      <c r="BR1870" t="s">
        <v>111</v>
      </c>
      <c r="BS1870" t="s">
        <v>111</v>
      </c>
      <c r="BT1870" t="s">
        <v>111</v>
      </c>
      <c r="BU1870" t="s">
        <v>111</v>
      </c>
      <c r="BV1870" t="s">
        <v>111</v>
      </c>
      <c r="BW1870" t="s">
        <v>111</v>
      </c>
      <c r="BX1870" t="s">
        <v>111</v>
      </c>
      <c r="BY1870" t="s">
        <v>111</v>
      </c>
      <c r="BZ1870" t="s">
        <v>111</v>
      </c>
      <c r="CA1870" t="s">
        <v>111</v>
      </c>
      <c r="CB1870" t="s">
        <v>111</v>
      </c>
      <c r="CC1870" t="s">
        <v>111</v>
      </c>
      <c r="CD1870" t="s">
        <v>111</v>
      </c>
      <c r="CE1870" t="s">
        <v>111</v>
      </c>
      <c r="CF1870" t="s">
        <v>111</v>
      </c>
      <c r="CG1870" t="s">
        <v>111</v>
      </c>
      <c r="CH1870" t="s">
        <v>111</v>
      </c>
      <c r="CI1870" t="s">
        <v>111</v>
      </c>
      <c r="CJ1870" t="s">
        <v>111</v>
      </c>
      <c r="CK1870" t="s">
        <v>111</v>
      </c>
      <c r="CL1870" t="s">
        <v>111</v>
      </c>
      <c r="CM1870" t="s">
        <v>111</v>
      </c>
      <c r="CN1870" t="s">
        <v>111</v>
      </c>
      <c r="CO1870" t="s">
        <v>111</v>
      </c>
      <c r="CP1870" t="s">
        <v>111</v>
      </c>
      <c r="CQ1870">
        <v>0</v>
      </c>
      <c r="CR1870">
        <v>0</v>
      </c>
      <c r="CS1870">
        <v>0</v>
      </c>
      <c r="CT1870" t="s">
        <v>111</v>
      </c>
      <c r="CU1870">
        <v>0</v>
      </c>
      <c r="CV1870" t="s">
        <v>111</v>
      </c>
      <c r="CW1870" t="s">
        <v>111</v>
      </c>
      <c r="CX1870" t="s">
        <v>111</v>
      </c>
      <c r="CY1870">
        <v>0</v>
      </c>
      <c r="CZ1870" t="s">
        <v>111</v>
      </c>
      <c r="DA1870" t="s">
        <v>111</v>
      </c>
      <c r="DB1870" t="s">
        <v>111</v>
      </c>
      <c r="DC1870" t="s">
        <v>111</v>
      </c>
    </row>
    <row r="1871" spans="1:107">
      <c r="A1871">
        <v>910</v>
      </c>
      <c r="B1871" t="s">
        <v>107</v>
      </c>
      <c r="C1871" t="s">
        <v>4206</v>
      </c>
      <c r="D1871" t="s">
        <v>5129</v>
      </c>
      <c r="E1871" t="s">
        <v>5130</v>
      </c>
      <c r="F1871" t="s">
        <v>1071</v>
      </c>
      <c r="G1871" t="s">
        <v>24</v>
      </c>
      <c r="H1871">
        <v>0.9</v>
      </c>
      <c r="I1871">
        <v>40</v>
      </c>
      <c r="J1871">
        <v>0</v>
      </c>
      <c r="K1871">
        <v>0</v>
      </c>
      <c r="L1871" t="s">
        <v>112</v>
      </c>
      <c r="M1871" t="s">
        <v>138</v>
      </c>
      <c r="N1871">
        <v>0</v>
      </c>
      <c r="O1871">
        <v>0</v>
      </c>
      <c r="P1871" t="s">
        <v>111</v>
      </c>
      <c r="Q1871">
        <v>27.5</v>
      </c>
      <c r="R1871">
        <v>0</v>
      </c>
      <c r="S1871">
        <v>0</v>
      </c>
      <c r="T1871">
        <v>5</v>
      </c>
      <c r="U1871" s="1" t="s">
        <v>1392</v>
      </c>
      <c r="V1871">
        <v>0</v>
      </c>
      <c r="W1871">
        <v>0</v>
      </c>
      <c r="X1871">
        <v>0</v>
      </c>
      <c r="Y1871">
        <v>25</v>
      </c>
      <c r="Z1871" t="s">
        <v>111</v>
      </c>
      <c r="AA1871">
        <v>0</v>
      </c>
      <c r="AB1871" t="s">
        <v>4055</v>
      </c>
      <c r="AC1871">
        <v>300</v>
      </c>
      <c r="AD1871" t="s">
        <v>111</v>
      </c>
      <c r="AE1871">
        <v>0</v>
      </c>
      <c r="AF1871">
        <v>0</v>
      </c>
      <c r="AG1871" t="s">
        <v>111</v>
      </c>
      <c r="AH1871" t="s">
        <v>111</v>
      </c>
      <c r="AI1871" t="s">
        <v>111</v>
      </c>
      <c r="AJ1871" t="s">
        <v>111</v>
      </c>
      <c r="AK1871" t="s">
        <v>111</v>
      </c>
      <c r="AL1871" t="s">
        <v>111</v>
      </c>
      <c r="AM1871">
        <v>0</v>
      </c>
      <c r="AN1871">
        <v>0</v>
      </c>
      <c r="AO1871">
        <v>0</v>
      </c>
      <c r="AP1871" t="s">
        <v>111</v>
      </c>
      <c r="AQ1871" t="s">
        <v>111</v>
      </c>
      <c r="AR1871" t="s">
        <v>111</v>
      </c>
      <c r="AS1871" t="s">
        <v>111</v>
      </c>
      <c r="AT1871" t="s">
        <v>111</v>
      </c>
      <c r="AU1871" t="s">
        <v>111</v>
      </c>
      <c r="AV1871" t="s">
        <v>111</v>
      </c>
      <c r="AW1871" t="s">
        <v>111</v>
      </c>
      <c r="AX1871" t="s">
        <v>111</v>
      </c>
      <c r="AY1871" t="s">
        <v>111</v>
      </c>
      <c r="AZ1871" t="s">
        <v>111</v>
      </c>
      <c r="BA1871" t="s">
        <v>111</v>
      </c>
      <c r="BB1871" t="s">
        <v>111</v>
      </c>
      <c r="BC1871" t="s">
        <v>111</v>
      </c>
      <c r="BD1871" t="s">
        <v>111</v>
      </c>
      <c r="BE1871" t="s">
        <v>111</v>
      </c>
      <c r="BF1871" t="s">
        <v>111</v>
      </c>
      <c r="BG1871" t="s">
        <v>111</v>
      </c>
      <c r="BH1871" t="s">
        <v>111</v>
      </c>
      <c r="BI1871" t="s">
        <v>111</v>
      </c>
      <c r="BJ1871" t="s">
        <v>111</v>
      </c>
      <c r="BK1871" t="s">
        <v>111</v>
      </c>
      <c r="BL1871" t="s">
        <v>111</v>
      </c>
      <c r="BM1871" t="s">
        <v>111</v>
      </c>
      <c r="BN1871" t="s">
        <v>111</v>
      </c>
      <c r="BO1871" t="s">
        <v>111</v>
      </c>
      <c r="BP1871" t="s">
        <v>111</v>
      </c>
      <c r="BQ1871" t="s">
        <v>111</v>
      </c>
      <c r="BR1871" t="s">
        <v>111</v>
      </c>
      <c r="BS1871" t="s">
        <v>111</v>
      </c>
      <c r="BT1871" t="s">
        <v>111</v>
      </c>
      <c r="BU1871" t="s">
        <v>111</v>
      </c>
      <c r="BV1871" t="s">
        <v>111</v>
      </c>
      <c r="BW1871" t="s">
        <v>111</v>
      </c>
      <c r="BX1871" t="s">
        <v>111</v>
      </c>
      <c r="BY1871" t="s">
        <v>111</v>
      </c>
      <c r="BZ1871" t="s">
        <v>111</v>
      </c>
      <c r="CA1871" t="s">
        <v>111</v>
      </c>
      <c r="CB1871" t="s">
        <v>111</v>
      </c>
      <c r="CC1871" t="s">
        <v>111</v>
      </c>
      <c r="CD1871" t="s">
        <v>111</v>
      </c>
      <c r="CE1871" t="s">
        <v>111</v>
      </c>
      <c r="CF1871" t="s">
        <v>111</v>
      </c>
      <c r="CG1871" t="s">
        <v>111</v>
      </c>
      <c r="CH1871" t="s">
        <v>111</v>
      </c>
      <c r="CI1871" t="s">
        <v>111</v>
      </c>
      <c r="CJ1871" t="s">
        <v>111</v>
      </c>
      <c r="CK1871" t="s">
        <v>111</v>
      </c>
      <c r="CL1871" t="s">
        <v>111</v>
      </c>
      <c r="CM1871" t="s">
        <v>198</v>
      </c>
      <c r="CN1871" t="s">
        <v>113</v>
      </c>
      <c r="CO1871" t="s">
        <v>111</v>
      </c>
      <c r="CP1871" t="s">
        <v>111</v>
      </c>
      <c r="CQ1871">
        <v>65</v>
      </c>
      <c r="CR1871">
        <v>6000</v>
      </c>
      <c r="CS1871">
        <v>100</v>
      </c>
      <c r="CT1871" s="1" t="s">
        <v>5131</v>
      </c>
      <c r="CU1871">
        <v>0</v>
      </c>
      <c r="CV1871" t="s">
        <v>111</v>
      </c>
      <c r="CW1871" t="s">
        <v>111</v>
      </c>
      <c r="CX1871" t="s">
        <v>111</v>
      </c>
      <c r="CY1871">
        <v>0</v>
      </c>
      <c r="CZ1871" t="s">
        <v>111</v>
      </c>
      <c r="DA1871" t="s">
        <v>111</v>
      </c>
      <c r="DB1871" t="s">
        <v>111</v>
      </c>
      <c r="DC1871" t="s">
        <v>111</v>
      </c>
    </row>
    <row r="1872" spans="1:107">
      <c r="A1872">
        <v>1126</v>
      </c>
      <c r="B1872" t="s">
        <v>107</v>
      </c>
      <c r="C1872" t="s">
        <v>4324</v>
      </c>
      <c r="D1872" t="s">
        <v>4166</v>
      </c>
      <c r="E1872" t="s">
        <v>5104</v>
      </c>
      <c r="F1872" t="s">
        <v>110</v>
      </c>
      <c r="G1872" t="s">
        <v>24</v>
      </c>
      <c r="H1872">
        <v>1.4</v>
      </c>
      <c r="I1872">
        <v>35</v>
      </c>
      <c r="J1872">
        <v>0</v>
      </c>
      <c r="K1872">
        <v>0</v>
      </c>
      <c r="L1872" t="s">
        <v>112</v>
      </c>
      <c r="M1872" t="s">
        <v>118</v>
      </c>
      <c r="N1872">
        <v>40</v>
      </c>
      <c r="O1872">
        <v>2</v>
      </c>
      <c r="P1872" t="s">
        <v>111</v>
      </c>
      <c r="Q1872">
        <v>25</v>
      </c>
      <c r="R1872">
        <v>0</v>
      </c>
      <c r="S1872">
        <v>0</v>
      </c>
      <c r="T1872">
        <v>0</v>
      </c>
      <c r="U1872" s="1" t="s">
        <v>5132</v>
      </c>
      <c r="V1872">
        <v>0</v>
      </c>
      <c r="W1872">
        <v>0</v>
      </c>
      <c r="X1872">
        <v>0</v>
      </c>
      <c r="Y1872">
        <v>25</v>
      </c>
      <c r="Z1872" t="s">
        <v>111</v>
      </c>
      <c r="AA1872">
        <v>0</v>
      </c>
      <c r="AB1872" t="s">
        <v>111</v>
      </c>
      <c r="AC1872">
        <v>0</v>
      </c>
      <c r="AD1872" t="s">
        <v>111</v>
      </c>
      <c r="AE1872">
        <v>0</v>
      </c>
      <c r="AF1872">
        <v>0</v>
      </c>
      <c r="AG1872" t="s">
        <v>111</v>
      </c>
      <c r="AH1872" t="s">
        <v>111</v>
      </c>
      <c r="AI1872" t="s">
        <v>111</v>
      </c>
      <c r="AJ1872" t="s">
        <v>111</v>
      </c>
      <c r="AK1872" t="s">
        <v>111</v>
      </c>
      <c r="AL1872" t="s">
        <v>111</v>
      </c>
      <c r="AM1872">
        <v>0</v>
      </c>
      <c r="AN1872">
        <v>0</v>
      </c>
      <c r="AO1872">
        <v>0</v>
      </c>
      <c r="AP1872" t="s">
        <v>111</v>
      </c>
      <c r="AQ1872" t="s">
        <v>111</v>
      </c>
      <c r="AR1872" t="s">
        <v>111</v>
      </c>
      <c r="AS1872" t="s">
        <v>111</v>
      </c>
      <c r="AT1872" t="s">
        <v>111</v>
      </c>
      <c r="AU1872" t="s">
        <v>111</v>
      </c>
      <c r="AV1872" t="s">
        <v>111</v>
      </c>
      <c r="AW1872" t="s">
        <v>111</v>
      </c>
      <c r="AX1872" t="s">
        <v>111</v>
      </c>
      <c r="AY1872" t="s">
        <v>111</v>
      </c>
      <c r="AZ1872" t="s">
        <v>111</v>
      </c>
      <c r="BA1872" t="s">
        <v>111</v>
      </c>
      <c r="BB1872" t="s">
        <v>111</v>
      </c>
      <c r="BC1872" t="s">
        <v>111</v>
      </c>
      <c r="BD1872" t="s">
        <v>111</v>
      </c>
      <c r="BE1872" t="s">
        <v>111</v>
      </c>
      <c r="BF1872" t="s">
        <v>111</v>
      </c>
      <c r="BG1872" t="s">
        <v>111</v>
      </c>
      <c r="BH1872" t="s">
        <v>111</v>
      </c>
      <c r="BI1872" t="s">
        <v>111</v>
      </c>
      <c r="BJ1872" t="s">
        <v>111</v>
      </c>
      <c r="BK1872" t="s">
        <v>111</v>
      </c>
      <c r="BL1872" t="s">
        <v>111</v>
      </c>
      <c r="BM1872" t="s">
        <v>111</v>
      </c>
      <c r="BN1872" t="s">
        <v>111</v>
      </c>
      <c r="BO1872" t="s">
        <v>111</v>
      </c>
      <c r="BP1872" t="s">
        <v>111</v>
      </c>
      <c r="BQ1872" t="s">
        <v>111</v>
      </c>
      <c r="BR1872" t="s">
        <v>111</v>
      </c>
      <c r="BS1872" t="s">
        <v>111</v>
      </c>
      <c r="BT1872" t="s">
        <v>111</v>
      </c>
      <c r="BU1872" t="s">
        <v>111</v>
      </c>
      <c r="BV1872" t="s">
        <v>111</v>
      </c>
      <c r="BW1872" t="s">
        <v>111</v>
      </c>
      <c r="BX1872" t="s">
        <v>111</v>
      </c>
      <c r="BY1872" t="s">
        <v>111</v>
      </c>
      <c r="BZ1872" t="s">
        <v>111</v>
      </c>
      <c r="CA1872" t="s">
        <v>111</v>
      </c>
      <c r="CB1872" t="s">
        <v>111</v>
      </c>
      <c r="CC1872" t="s">
        <v>111</v>
      </c>
      <c r="CD1872" t="s">
        <v>111</v>
      </c>
      <c r="CE1872" t="s">
        <v>111</v>
      </c>
      <c r="CF1872" t="s">
        <v>111</v>
      </c>
      <c r="CG1872" t="s">
        <v>111</v>
      </c>
      <c r="CH1872" t="s">
        <v>111</v>
      </c>
      <c r="CI1872" t="s">
        <v>111</v>
      </c>
      <c r="CJ1872" t="s">
        <v>111</v>
      </c>
      <c r="CK1872" t="s">
        <v>111</v>
      </c>
      <c r="CL1872" t="s">
        <v>111</v>
      </c>
      <c r="CM1872" t="s">
        <v>111</v>
      </c>
      <c r="CN1872" t="s">
        <v>111</v>
      </c>
      <c r="CO1872" t="s">
        <v>111</v>
      </c>
      <c r="CP1872" t="s">
        <v>111</v>
      </c>
      <c r="CQ1872">
        <v>0</v>
      </c>
      <c r="CR1872">
        <v>0</v>
      </c>
      <c r="CS1872">
        <v>0</v>
      </c>
      <c r="CT1872" t="s">
        <v>111</v>
      </c>
      <c r="CU1872">
        <v>0</v>
      </c>
      <c r="CV1872" t="s">
        <v>111</v>
      </c>
      <c r="CW1872" t="s">
        <v>111</v>
      </c>
      <c r="CX1872" t="s">
        <v>111</v>
      </c>
      <c r="CY1872">
        <v>0</v>
      </c>
      <c r="CZ1872" t="s">
        <v>111</v>
      </c>
      <c r="DA1872" t="s">
        <v>111</v>
      </c>
      <c r="DB1872" t="s">
        <v>111</v>
      </c>
      <c r="DC1872" t="s">
        <v>111</v>
      </c>
    </row>
    <row r="1873" spans="1:107">
      <c r="A1873">
        <v>912</v>
      </c>
      <c r="B1873" t="s">
        <v>107</v>
      </c>
      <c r="C1873" t="s">
        <v>536</v>
      </c>
      <c r="D1873" t="s">
        <v>5133</v>
      </c>
      <c r="E1873" t="s">
        <v>5134</v>
      </c>
      <c r="F1873" t="s">
        <v>1651</v>
      </c>
      <c r="G1873" t="s">
        <v>24</v>
      </c>
      <c r="H1873">
        <v>2.4</v>
      </c>
      <c r="I1873">
        <v>56</v>
      </c>
      <c r="J1873">
        <v>0</v>
      </c>
      <c r="K1873">
        <v>0</v>
      </c>
      <c r="L1873" t="s">
        <v>112</v>
      </c>
      <c r="M1873" t="s">
        <v>118</v>
      </c>
      <c r="N1873">
        <v>39</v>
      </c>
      <c r="O1873">
        <v>2</v>
      </c>
      <c r="P1873" t="s">
        <v>111</v>
      </c>
      <c r="Q1873">
        <v>20</v>
      </c>
      <c r="R1873">
        <v>0</v>
      </c>
      <c r="S1873">
        <v>0</v>
      </c>
      <c r="T1873">
        <v>10</v>
      </c>
      <c r="U1873" s="1" t="s">
        <v>5135</v>
      </c>
      <c r="V1873">
        <v>0</v>
      </c>
      <c r="W1873">
        <v>0</v>
      </c>
      <c r="X1873">
        <v>0</v>
      </c>
      <c r="Y1873">
        <v>250</v>
      </c>
      <c r="Z1873" t="s">
        <v>111</v>
      </c>
      <c r="AA1873">
        <v>0</v>
      </c>
      <c r="AB1873" t="s">
        <v>5136</v>
      </c>
      <c r="AC1873">
        <v>3</v>
      </c>
      <c r="AD1873" t="s">
        <v>416</v>
      </c>
      <c r="AE1873">
        <v>2</v>
      </c>
      <c r="AF1873">
        <v>1</v>
      </c>
      <c r="AG1873" t="s">
        <v>1118</v>
      </c>
      <c r="AH1873" t="s">
        <v>113</v>
      </c>
      <c r="AI1873" t="s">
        <v>1118</v>
      </c>
      <c r="AJ1873" t="s">
        <v>111</v>
      </c>
      <c r="AK1873" t="s">
        <v>111</v>
      </c>
      <c r="AL1873" t="s">
        <v>111</v>
      </c>
      <c r="AM1873">
        <v>0</v>
      </c>
      <c r="AN1873">
        <v>0</v>
      </c>
      <c r="AO1873">
        <v>0</v>
      </c>
      <c r="AP1873" t="s">
        <v>1310</v>
      </c>
      <c r="AQ1873" t="s">
        <v>111</v>
      </c>
      <c r="AR1873" t="s">
        <v>111</v>
      </c>
      <c r="AS1873" t="s">
        <v>111</v>
      </c>
      <c r="AT1873" t="s">
        <v>1091</v>
      </c>
      <c r="AU1873" t="s">
        <v>111</v>
      </c>
      <c r="AV1873" t="s">
        <v>111</v>
      </c>
      <c r="AW1873" t="s">
        <v>111</v>
      </c>
      <c r="AX1873" t="s">
        <v>111</v>
      </c>
      <c r="AY1873" t="s">
        <v>111</v>
      </c>
      <c r="AZ1873" t="s">
        <v>111</v>
      </c>
      <c r="BA1873" t="s">
        <v>111</v>
      </c>
      <c r="BB1873" t="s">
        <v>111</v>
      </c>
      <c r="BC1873" t="s">
        <v>111</v>
      </c>
      <c r="BD1873" t="s">
        <v>111</v>
      </c>
      <c r="BE1873" t="s">
        <v>111</v>
      </c>
      <c r="BF1873" t="s">
        <v>111</v>
      </c>
      <c r="BG1873" t="s">
        <v>111</v>
      </c>
      <c r="BH1873" t="s">
        <v>111</v>
      </c>
      <c r="BI1873" t="s">
        <v>111</v>
      </c>
      <c r="BJ1873" t="s">
        <v>111</v>
      </c>
      <c r="BK1873" t="s">
        <v>111</v>
      </c>
      <c r="BL1873" t="s">
        <v>111</v>
      </c>
      <c r="BM1873" t="s">
        <v>111</v>
      </c>
      <c r="BN1873" t="s">
        <v>111</v>
      </c>
      <c r="BO1873" t="s">
        <v>111</v>
      </c>
      <c r="BP1873" t="s">
        <v>111</v>
      </c>
      <c r="BQ1873" t="s">
        <v>111</v>
      </c>
      <c r="BR1873" t="s">
        <v>111</v>
      </c>
      <c r="BS1873" t="s">
        <v>111</v>
      </c>
      <c r="BT1873" t="s">
        <v>111</v>
      </c>
      <c r="BU1873" t="s">
        <v>111</v>
      </c>
      <c r="BV1873" t="s">
        <v>111</v>
      </c>
      <c r="BW1873" t="s">
        <v>111</v>
      </c>
      <c r="BX1873" t="s">
        <v>111</v>
      </c>
      <c r="BY1873" t="s">
        <v>111</v>
      </c>
      <c r="BZ1873" t="s">
        <v>111</v>
      </c>
      <c r="CA1873" t="s">
        <v>111</v>
      </c>
      <c r="CB1873" t="s">
        <v>111</v>
      </c>
      <c r="CC1873" t="s">
        <v>111</v>
      </c>
      <c r="CD1873" t="s">
        <v>111</v>
      </c>
      <c r="CE1873" t="s">
        <v>111</v>
      </c>
      <c r="CF1873" t="s">
        <v>111</v>
      </c>
      <c r="CG1873" t="s">
        <v>111</v>
      </c>
      <c r="CH1873" t="s">
        <v>111</v>
      </c>
      <c r="CI1873" t="s">
        <v>111</v>
      </c>
      <c r="CJ1873" t="s">
        <v>111</v>
      </c>
      <c r="CK1873" t="s">
        <v>111</v>
      </c>
      <c r="CL1873" t="e">
        <f>-DESTINO SELLADO</f>
        <v>#NAME?</v>
      </c>
      <c r="CM1873" t="s">
        <v>198</v>
      </c>
      <c r="CN1873" t="s">
        <v>113</v>
      </c>
      <c r="CO1873" t="s">
        <v>111</v>
      </c>
      <c r="CP1873" t="s">
        <v>111</v>
      </c>
      <c r="CQ1873">
        <v>0</v>
      </c>
      <c r="CR1873">
        <v>5000</v>
      </c>
      <c r="CS1873">
        <v>100</v>
      </c>
      <c r="CT1873" s="1" t="s">
        <v>5137</v>
      </c>
      <c r="CU1873">
        <v>0</v>
      </c>
      <c r="CV1873" t="s">
        <v>111</v>
      </c>
      <c r="CW1873" t="s">
        <v>111</v>
      </c>
      <c r="CX1873" t="s">
        <v>111</v>
      </c>
      <c r="CY1873">
        <v>0</v>
      </c>
      <c r="CZ1873" t="s">
        <v>111</v>
      </c>
      <c r="DA1873" t="s">
        <v>111</v>
      </c>
      <c r="DB1873" t="s">
        <v>240</v>
      </c>
      <c r="DC1873" t="s">
        <v>5138</v>
      </c>
    </row>
    <row r="1874" spans="1:107">
      <c r="A1874">
        <v>1124</v>
      </c>
      <c r="B1874" t="s">
        <v>107</v>
      </c>
      <c r="C1874" t="s">
        <v>4324</v>
      </c>
      <c r="D1874" t="s">
        <v>5139</v>
      </c>
      <c r="E1874" t="s">
        <v>5140</v>
      </c>
      <c r="F1874" t="s">
        <v>1071</v>
      </c>
      <c r="G1874" t="s">
        <v>24</v>
      </c>
      <c r="H1874">
        <v>2</v>
      </c>
      <c r="I1874">
        <v>20.5</v>
      </c>
      <c r="J1874">
        <v>2</v>
      </c>
      <c r="K1874">
        <v>0</v>
      </c>
      <c r="L1874" t="s">
        <v>178</v>
      </c>
      <c r="M1874" t="s">
        <v>111</v>
      </c>
      <c r="N1874">
        <v>0</v>
      </c>
      <c r="O1874">
        <v>0</v>
      </c>
      <c r="P1874" t="s">
        <v>111</v>
      </c>
      <c r="Q1874">
        <v>17.2</v>
      </c>
      <c r="R1874">
        <v>0</v>
      </c>
      <c r="S1874">
        <v>0</v>
      </c>
      <c r="T1874">
        <v>5</v>
      </c>
      <c r="U1874" s="1" t="s">
        <v>5141</v>
      </c>
      <c r="V1874">
        <v>0</v>
      </c>
      <c r="W1874">
        <v>0</v>
      </c>
      <c r="X1874">
        <v>0</v>
      </c>
      <c r="Y1874">
        <v>25</v>
      </c>
      <c r="Z1874" t="s">
        <v>111</v>
      </c>
      <c r="AA1874">
        <v>0</v>
      </c>
      <c r="AB1874" t="s">
        <v>111</v>
      </c>
      <c r="AC1874">
        <v>0</v>
      </c>
      <c r="AD1874" t="s">
        <v>111</v>
      </c>
      <c r="AE1874">
        <v>0</v>
      </c>
      <c r="AF1874">
        <v>0</v>
      </c>
      <c r="AG1874" t="s">
        <v>111</v>
      </c>
      <c r="AH1874" t="s">
        <v>111</v>
      </c>
      <c r="AI1874" t="s">
        <v>111</v>
      </c>
      <c r="AJ1874" t="s">
        <v>111</v>
      </c>
      <c r="AK1874" t="s">
        <v>111</v>
      </c>
      <c r="AL1874" t="s">
        <v>111</v>
      </c>
      <c r="AM1874">
        <v>0</v>
      </c>
      <c r="AN1874">
        <v>0</v>
      </c>
      <c r="AO1874">
        <v>0</v>
      </c>
      <c r="AP1874" t="s">
        <v>111</v>
      </c>
      <c r="AQ1874" t="s">
        <v>111</v>
      </c>
      <c r="AR1874" t="s">
        <v>111</v>
      </c>
      <c r="AS1874" t="s">
        <v>111</v>
      </c>
      <c r="AT1874" t="s">
        <v>111</v>
      </c>
      <c r="AU1874" t="s">
        <v>111</v>
      </c>
      <c r="AV1874" t="s">
        <v>111</v>
      </c>
      <c r="AW1874" t="s">
        <v>111</v>
      </c>
      <c r="AX1874" t="s">
        <v>111</v>
      </c>
      <c r="AY1874" t="s">
        <v>111</v>
      </c>
      <c r="AZ1874" t="s">
        <v>111</v>
      </c>
      <c r="BA1874" t="s">
        <v>111</v>
      </c>
      <c r="BB1874" t="s">
        <v>111</v>
      </c>
      <c r="BC1874" t="s">
        <v>111</v>
      </c>
      <c r="BD1874" t="s">
        <v>111</v>
      </c>
      <c r="BE1874" t="s">
        <v>111</v>
      </c>
      <c r="BF1874" t="s">
        <v>111</v>
      </c>
      <c r="BG1874" t="s">
        <v>111</v>
      </c>
      <c r="BH1874" t="s">
        <v>111</v>
      </c>
      <c r="BI1874" t="s">
        <v>111</v>
      </c>
      <c r="BJ1874" t="s">
        <v>111</v>
      </c>
      <c r="BK1874" t="s">
        <v>111</v>
      </c>
      <c r="BL1874" t="s">
        <v>111</v>
      </c>
      <c r="BM1874" t="s">
        <v>111</v>
      </c>
      <c r="BN1874" t="s">
        <v>111</v>
      </c>
      <c r="BO1874" t="s">
        <v>111</v>
      </c>
      <c r="BP1874" t="s">
        <v>111</v>
      </c>
      <c r="BQ1874" t="s">
        <v>111</v>
      </c>
      <c r="BR1874" t="s">
        <v>111</v>
      </c>
      <c r="BS1874" t="s">
        <v>111</v>
      </c>
      <c r="BT1874" t="s">
        <v>111</v>
      </c>
      <c r="BU1874" t="s">
        <v>111</v>
      </c>
      <c r="BV1874" t="s">
        <v>111</v>
      </c>
      <c r="BW1874" t="s">
        <v>111</v>
      </c>
      <c r="BX1874" t="s">
        <v>111</v>
      </c>
      <c r="BY1874" t="s">
        <v>111</v>
      </c>
      <c r="BZ1874" t="s">
        <v>111</v>
      </c>
      <c r="CA1874" t="s">
        <v>111</v>
      </c>
      <c r="CB1874" t="s">
        <v>111</v>
      </c>
      <c r="CC1874" t="s">
        <v>111</v>
      </c>
      <c r="CD1874" t="s">
        <v>111</v>
      </c>
      <c r="CE1874" t="s">
        <v>111</v>
      </c>
      <c r="CF1874" t="s">
        <v>111</v>
      </c>
      <c r="CG1874" t="s">
        <v>111</v>
      </c>
      <c r="CH1874" t="s">
        <v>111</v>
      </c>
      <c r="CI1874" t="s">
        <v>111</v>
      </c>
      <c r="CJ1874" t="s">
        <v>111</v>
      </c>
      <c r="CK1874" t="s">
        <v>111</v>
      </c>
      <c r="CL1874" t="s">
        <v>111</v>
      </c>
      <c r="CM1874">
        <v>450</v>
      </c>
      <c r="CN1874" t="s">
        <v>113</v>
      </c>
      <c r="CO1874" t="s">
        <v>5142</v>
      </c>
      <c r="CP1874" t="s">
        <v>111</v>
      </c>
      <c r="CQ1874">
        <v>0</v>
      </c>
      <c r="CR1874">
        <v>5000</v>
      </c>
      <c r="CS1874">
        <v>200</v>
      </c>
      <c r="CT1874" t="s">
        <v>394</v>
      </c>
      <c r="CU1874">
        <v>0</v>
      </c>
      <c r="CV1874" t="s">
        <v>111</v>
      </c>
      <c r="CW1874" t="s">
        <v>111</v>
      </c>
      <c r="CX1874" t="s">
        <v>111</v>
      </c>
      <c r="CY1874">
        <v>0</v>
      </c>
      <c r="CZ1874" t="s">
        <v>111</v>
      </c>
      <c r="DA1874" t="s">
        <v>111</v>
      </c>
      <c r="DB1874" t="s">
        <v>111</v>
      </c>
      <c r="DC1874" t="s">
        <v>111</v>
      </c>
    </row>
    <row r="1875" spans="1:107">
      <c r="A1875">
        <v>1123</v>
      </c>
      <c r="B1875" t="s">
        <v>107</v>
      </c>
      <c r="C1875" t="s">
        <v>4165</v>
      </c>
      <c r="D1875" t="s">
        <v>5143</v>
      </c>
      <c r="E1875" t="s">
        <v>5144</v>
      </c>
      <c r="F1875" t="s">
        <v>110</v>
      </c>
      <c r="G1875" t="s">
        <v>24</v>
      </c>
      <c r="H1875">
        <v>0.95</v>
      </c>
      <c r="I1875">
        <v>30</v>
      </c>
      <c r="J1875">
        <v>0</v>
      </c>
      <c r="K1875">
        <v>0</v>
      </c>
      <c r="L1875" t="s">
        <v>112</v>
      </c>
      <c r="M1875" t="s">
        <v>118</v>
      </c>
      <c r="N1875">
        <v>40</v>
      </c>
      <c r="O1875">
        <v>1</v>
      </c>
      <c r="P1875" t="s">
        <v>138</v>
      </c>
      <c r="Q1875">
        <v>32.6</v>
      </c>
      <c r="R1875">
        <v>0</v>
      </c>
      <c r="S1875">
        <v>0</v>
      </c>
      <c r="T1875">
        <v>0</v>
      </c>
      <c r="U1875" s="1" t="s">
        <v>5145</v>
      </c>
      <c r="V1875">
        <v>0</v>
      </c>
      <c r="W1875">
        <v>0</v>
      </c>
      <c r="X1875">
        <v>0</v>
      </c>
      <c r="Y1875">
        <v>250</v>
      </c>
      <c r="Z1875" t="s">
        <v>111</v>
      </c>
      <c r="AA1875">
        <v>0</v>
      </c>
      <c r="AB1875" t="s">
        <v>111</v>
      </c>
      <c r="AC1875">
        <v>0</v>
      </c>
      <c r="AD1875" t="s">
        <v>111</v>
      </c>
      <c r="AE1875">
        <v>0</v>
      </c>
      <c r="AF1875">
        <v>0</v>
      </c>
      <c r="AG1875" t="s">
        <v>111</v>
      </c>
      <c r="AH1875" t="s">
        <v>111</v>
      </c>
      <c r="AI1875" t="s">
        <v>111</v>
      </c>
      <c r="AJ1875" t="s">
        <v>111</v>
      </c>
      <c r="AK1875" t="s">
        <v>111</v>
      </c>
      <c r="AL1875" t="s">
        <v>111</v>
      </c>
      <c r="AM1875">
        <v>0</v>
      </c>
      <c r="AN1875">
        <v>0</v>
      </c>
      <c r="AO1875">
        <v>0</v>
      </c>
      <c r="AP1875" t="s">
        <v>111</v>
      </c>
      <c r="AQ1875" t="s">
        <v>111</v>
      </c>
      <c r="AR1875" t="s">
        <v>111</v>
      </c>
      <c r="AS1875" t="s">
        <v>111</v>
      </c>
      <c r="AT1875" t="s">
        <v>111</v>
      </c>
      <c r="AU1875" t="s">
        <v>111</v>
      </c>
      <c r="AV1875" t="s">
        <v>111</v>
      </c>
      <c r="AW1875" t="s">
        <v>111</v>
      </c>
      <c r="AX1875" t="s">
        <v>111</v>
      </c>
      <c r="AY1875" t="s">
        <v>111</v>
      </c>
      <c r="AZ1875" t="s">
        <v>111</v>
      </c>
      <c r="BA1875" t="s">
        <v>111</v>
      </c>
      <c r="BB1875" t="s">
        <v>111</v>
      </c>
      <c r="BC1875" t="s">
        <v>111</v>
      </c>
      <c r="BD1875" t="s">
        <v>111</v>
      </c>
      <c r="BE1875" t="s">
        <v>111</v>
      </c>
      <c r="BF1875" t="s">
        <v>111</v>
      </c>
      <c r="BG1875" t="s">
        <v>111</v>
      </c>
      <c r="BH1875" t="s">
        <v>111</v>
      </c>
      <c r="BI1875" t="s">
        <v>111</v>
      </c>
      <c r="BJ1875" t="s">
        <v>111</v>
      </c>
      <c r="BK1875" t="s">
        <v>111</v>
      </c>
      <c r="BL1875" t="s">
        <v>111</v>
      </c>
      <c r="BM1875" t="s">
        <v>111</v>
      </c>
      <c r="BN1875" t="s">
        <v>111</v>
      </c>
      <c r="BO1875" t="s">
        <v>111</v>
      </c>
      <c r="BP1875" t="s">
        <v>111</v>
      </c>
      <c r="BQ1875" t="s">
        <v>111</v>
      </c>
      <c r="BR1875" t="s">
        <v>111</v>
      </c>
      <c r="BS1875" t="s">
        <v>111</v>
      </c>
      <c r="BT1875" t="s">
        <v>111</v>
      </c>
      <c r="BU1875" t="s">
        <v>111</v>
      </c>
      <c r="BV1875" t="s">
        <v>111</v>
      </c>
      <c r="BW1875" t="s">
        <v>111</v>
      </c>
      <c r="BX1875" t="s">
        <v>111</v>
      </c>
      <c r="BY1875" t="s">
        <v>111</v>
      </c>
      <c r="BZ1875" t="s">
        <v>111</v>
      </c>
      <c r="CA1875" t="s">
        <v>111</v>
      </c>
      <c r="CB1875" t="s">
        <v>111</v>
      </c>
      <c r="CC1875" t="s">
        <v>111</v>
      </c>
      <c r="CD1875" t="s">
        <v>111</v>
      </c>
      <c r="CE1875" t="s">
        <v>111</v>
      </c>
      <c r="CF1875" t="s">
        <v>111</v>
      </c>
      <c r="CG1875" t="s">
        <v>111</v>
      </c>
      <c r="CH1875" t="s">
        <v>111</v>
      </c>
      <c r="CI1875" t="s">
        <v>111</v>
      </c>
      <c r="CJ1875" t="s">
        <v>111</v>
      </c>
      <c r="CK1875" t="s">
        <v>111</v>
      </c>
      <c r="CL1875" t="s">
        <v>111</v>
      </c>
      <c r="CM1875" t="s">
        <v>111</v>
      </c>
      <c r="CN1875" t="s">
        <v>111</v>
      </c>
      <c r="CO1875" t="s">
        <v>111</v>
      </c>
      <c r="CP1875" t="s">
        <v>111</v>
      </c>
      <c r="CQ1875">
        <v>0</v>
      </c>
      <c r="CR1875">
        <v>0</v>
      </c>
      <c r="CS1875">
        <v>0</v>
      </c>
      <c r="CT1875" t="s">
        <v>111</v>
      </c>
      <c r="CU1875">
        <v>0</v>
      </c>
      <c r="CV1875" t="s">
        <v>111</v>
      </c>
      <c r="CW1875" t="s">
        <v>111</v>
      </c>
      <c r="CX1875" t="s">
        <v>111</v>
      </c>
      <c r="CY1875">
        <v>0</v>
      </c>
      <c r="CZ1875" t="s">
        <v>111</v>
      </c>
      <c r="DA1875" t="s">
        <v>111</v>
      </c>
      <c r="DB1875" t="s">
        <v>111</v>
      </c>
      <c r="DC1875" t="s">
        <v>111</v>
      </c>
    </row>
    <row r="1876" spans="1:107">
      <c r="A1876">
        <v>1141</v>
      </c>
      <c r="B1876" t="s">
        <v>107</v>
      </c>
      <c r="C1876" t="s">
        <v>4206</v>
      </c>
      <c r="D1876" t="s">
        <v>5146</v>
      </c>
      <c r="E1876" t="s">
        <v>5147</v>
      </c>
      <c r="F1876" t="s">
        <v>1071</v>
      </c>
      <c r="G1876" t="s">
        <v>24</v>
      </c>
      <c r="H1876">
        <v>1</v>
      </c>
      <c r="I1876">
        <v>45</v>
      </c>
      <c r="J1876">
        <v>0</v>
      </c>
      <c r="K1876">
        <v>0</v>
      </c>
      <c r="L1876" t="s">
        <v>112</v>
      </c>
      <c r="M1876" t="s">
        <v>138</v>
      </c>
      <c r="N1876">
        <v>0</v>
      </c>
      <c r="O1876">
        <v>0</v>
      </c>
      <c r="P1876" t="s">
        <v>111</v>
      </c>
      <c r="Q1876">
        <v>31</v>
      </c>
      <c r="R1876">
        <v>0</v>
      </c>
      <c r="S1876">
        <v>0</v>
      </c>
      <c r="T1876">
        <v>5</v>
      </c>
      <c r="U1876" t="s">
        <v>296</v>
      </c>
      <c r="V1876">
        <v>0</v>
      </c>
      <c r="W1876">
        <v>0</v>
      </c>
      <c r="X1876">
        <v>0</v>
      </c>
      <c r="Y1876">
        <v>25</v>
      </c>
      <c r="Z1876" t="s">
        <v>111</v>
      </c>
      <c r="AA1876">
        <v>0</v>
      </c>
      <c r="AB1876" t="s">
        <v>111</v>
      </c>
      <c r="AC1876">
        <v>0</v>
      </c>
      <c r="AD1876" t="s">
        <v>111</v>
      </c>
      <c r="AE1876">
        <v>0</v>
      </c>
      <c r="AF1876">
        <v>0</v>
      </c>
      <c r="AG1876" t="s">
        <v>111</v>
      </c>
      <c r="AH1876" t="s">
        <v>111</v>
      </c>
      <c r="AI1876" t="s">
        <v>111</v>
      </c>
      <c r="AJ1876" t="s">
        <v>111</v>
      </c>
      <c r="AK1876" t="s">
        <v>111</v>
      </c>
      <c r="AL1876" t="s">
        <v>111</v>
      </c>
      <c r="AM1876">
        <v>0</v>
      </c>
      <c r="AN1876">
        <v>0</v>
      </c>
      <c r="AO1876">
        <v>0</v>
      </c>
      <c r="AP1876" t="s">
        <v>111</v>
      </c>
      <c r="AQ1876" t="s">
        <v>111</v>
      </c>
      <c r="AR1876" t="s">
        <v>111</v>
      </c>
      <c r="AS1876" t="s">
        <v>111</v>
      </c>
      <c r="AT1876" t="s">
        <v>111</v>
      </c>
      <c r="AU1876" t="s">
        <v>111</v>
      </c>
      <c r="AV1876" t="s">
        <v>111</v>
      </c>
      <c r="AW1876" t="s">
        <v>111</v>
      </c>
      <c r="AX1876" t="s">
        <v>111</v>
      </c>
      <c r="AY1876" t="s">
        <v>111</v>
      </c>
      <c r="AZ1876" t="s">
        <v>111</v>
      </c>
      <c r="BA1876" t="s">
        <v>111</v>
      </c>
      <c r="BB1876" t="s">
        <v>111</v>
      </c>
      <c r="BC1876" t="s">
        <v>111</v>
      </c>
      <c r="BD1876" t="s">
        <v>111</v>
      </c>
      <c r="BE1876" t="s">
        <v>111</v>
      </c>
      <c r="BF1876" t="s">
        <v>111</v>
      </c>
      <c r="BG1876" t="s">
        <v>111</v>
      </c>
      <c r="BH1876" t="s">
        <v>111</v>
      </c>
      <c r="BI1876" t="s">
        <v>111</v>
      </c>
      <c r="BJ1876" t="s">
        <v>111</v>
      </c>
      <c r="BK1876" t="s">
        <v>111</v>
      </c>
      <c r="BL1876" t="s">
        <v>111</v>
      </c>
      <c r="BM1876" t="s">
        <v>111</v>
      </c>
      <c r="BN1876" t="s">
        <v>111</v>
      </c>
      <c r="BO1876" t="s">
        <v>111</v>
      </c>
      <c r="BP1876" t="s">
        <v>111</v>
      </c>
      <c r="BQ1876" t="s">
        <v>111</v>
      </c>
      <c r="BR1876" t="s">
        <v>111</v>
      </c>
      <c r="BS1876" t="s">
        <v>111</v>
      </c>
      <c r="BT1876" t="s">
        <v>111</v>
      </c>
      <c r="BU1876" t="s">
        <v>111</v>
      </c>
      <c r="BV1876" t="s">
        <v>111</v>
      </c>
      <c r="BW1876" t="s">
        <v>111</v>
      </c>
      <c r="BX1876" t="s">
        <v>111</v>
      </c>
      <c r="BY1876" t="s">
        <v>111</v>
      </c>
      <c r="BZ1876" t="s">
        <v>111</v>
      </c>
      <c r="CA1876" t="s">
        <v>111</v>
      </c>
      <c r="CB1876" t="s">
        <v>111</v>
      </c>
      <c r="CC1876" t="s">
        <v>111</v>
      </c>
      <c r="CD1876" t="s">
        <v>111</v>
      </c>
      <c r="CE1876" t="s">
        <v>111</v>
      </c>
      <c r="CF1876" t="s">
        <v>111</v>
      </c>
      <c r="CG1876" t="s">
        <v>111</v>
      </c>
      <c r="CH1876" t="s">
        <v>111</v>
      </c>
      <c r="CI1876" t="s">
        <v>111</v>
      </c>
      <c r="CJ1876" t="s">
        <v>111</v>
      </c>
      <c r="CK1876" t="s">
        <v>111</v>
      </c>
      <c r="CL1876" t="s">
        <v>111</v>
      </c>
      <c r="CM1876" t="s">
        <v>135</v>
      </c>
      <c r="CN1876" t="s">
        <v>113</v>
      </c>
      <c r="CO1876" t="s">
        <v>111</v>
      </c>
      <c r="CP1876" t="s">
        <v>111</v>
      </c>
      <c r="CQ1876">
        <v>0</v>
      </c>
      <c r="CR1876">
        <v>6000</v>
      </c>
      <c r="CS1876">
        <v>100</v>
      </c>
      <c r="CT1876" s="1" t="s">
        <v>5148</v>
      </c>
      <c r="CU1876">
        <v>0</v>
      </c>
      <c r="CV1876" t="s">
        <v>111</v>
      </c>
      <c r="CW1876" t="s">
        <v>111</v>
      </c>
      <c r="CX1876" t="s">
        <v>111</v>
      </c>
      <c r="CY1876">
        <v>0</v>
      </c>
      <c r="CZ1876" t="s">
        <v>111</v>
      </c>
      <c r="DA1876" t="s">
        <v>111</v>
      </c>
      <c r="DB1876" t="s">
        <v>111</v>
      </c>
      <c r="DC1876" t="s">
        <v>111</v>
      </c>
    </row>
    <row r="1877" spans="1:107">
      <c r="A1877">
        <v>1233</v>
      </c>
      <c r="B1877" t="s">
        <v>107</v>
      </c>
      <c r="C1877" t="s">
        <v>5149</v>
      </c>
      <c r="D1877" t="s">
        <v>5150</v>
      </c>
      <c r="E1877" t="s">
        <v>5151</v>
      </c>
      <c r="F1877" t="s">
        <v>2211</v>
      </c>
      <c r="G1877" t="s">
        <v>24</v>
      </c>
      <c r="H1877">
        <v>1.9</v>
      </c>
      <c r="I1877">
        <v>55</v>
      </c>
      <c r="J1877">
        <v>0</v>
      </c>
      <c r="K1877">
        <v>0</v>
      </c>
      <c r="L1877" t="s">
        <v>117</v>
      </c>
      <c r="M1877" t="s">
        <v>118</v>
      </c>
      <c r="N1877">
        <v>40</v>
      </c>
      <c r="O1877">
        <v>1</v>
      </c>
      <c r="P1877" t="s">
        <v>138</v>
      </c>
      <c r="Q1877">
        <v>32.6</v>
      </c>
      <c r="R1877">
        <v>0</v>
      </c>
      <c r="S1877">
        <v>0</v>
      </c>
      <c r="T1877">
        <v>0</v>
      </c>
      <c r="U1877" s="1" t="s">
        <v>5152</v>
      </c>
      <c r="V1877">
        <v>0</v>
      </c>
      <c r="W1877">
        <v>0</v>
      </c>
      <c r="X1877">
        <v>0</v>
      </c>
      <c r="Y1877">
        <v>25</v>
      </c>
      <c r="Z1877" t="s">
        <v>111</v>
      </c>
      <c r="AA1877">
        <v>0</v>
      </c>
      <c r="AB1877" t="s">
        <v>111</v>
      </c>
      <c r="AC1877">
        <v>0</v>
      </c>
      <c r="AD1877" t="s">
        <v>111</v>
      </c>
      <c r="AE1877">
        <v>0</v>
      </c>
      <c r="AF1877">
        <v>0</v>
      </c>
      <c r="AG1877" t="s">
        <v>111</v>
      </c>
      <c r="AH1877" t="s">
        <v>111</v>
      </c>
      <c r="AI1877" t="s">
        <v>111</v>
      </c>
      <c r="AJ1877" t="s">
        <v>111</v>
      </c>
      <c r="AK1877" t="s">
        <v>111</v>
      </c>
      <c r="AL1877" t="s">
        <v>111</v>
      </c>
      <c r="AM1877">
        <v>0</v>
      </c>
      <c r="AN1877">
        <v>0</v>
      </c>
      <c r="AO1877">
        <v>0</v>
      </c>
      <c r="AP1877" t="s">
        <v>111</v>
      </c>
      <c r="AQ1877" t="s">
        <v>111</v>
      </c>
      <c r="AR1877" t="s">
        <v>111</v>
      </c>
      <c r="AS1877" t="s">
        <v>111</v>
      </c>
      <c r="AT1877" t="s">
        <v>111</v>
      </c>
      <c r="AU1877" t="s">
        <v>111</v>
      </c>
      <c r="AV1877" t="s">
        <v>111</v>
      </c>
      <c r="AW1877" t="s">
        <v>111</v>
      </c>
      <c r="AX1877" t="s">
        <v>111</v>
      </c>
      <c r="AY1877" t="s">
        <v>111</v>
      </c>
      <c r="AZ1877" t="s">
        <v>111</v>
      </c>
      <c r="BA1877" t="s">
        <v>111</v>
      </c>
      <c r="BB1877" t="s">
        <v>111</v>
      </c>
      <c r="BC1877" t="s">
        <v>111</v>
      </c>
      <c r="BD1877" t="s">
        <v>111</v>
      </c>
      <c r="BE1877" t="s">
        <v>111</v>
      </c>
      <c r="BF1877" t="s">
        <v>111</v>
      </c>
      <c r="BG1877" t="s">
        <v>111</v>
      </c>
      <c r="BH1877" t="s">
        <v>111</v>
      </c>
      <c r="BI1877" t="s">
        <v>111</v>
      </c>
      <c r="BJ1877" t="s">
        <v>111</v>
      </c>
      <c r="BK1877" t="s">
        <v>111</v>
      </c>
      <c r="BL1877" t="s">
        <v>111</v>
      </c>
      <c r="BM1877" t="s">
        <v>111</v>
      </c>
      <c r="BN1877" t="s">
        <v>111</v>
      </c>
      <c r="BO1877" t="s">
        <v>111</v>
      </c>
      <c r="BP1877" t="s">
        <v>111</v>
      </c>
      <c r="BQ1877" t="s">
        <v>111</v>
      </c>
      <c r="BR1877" t="s">
        <v>111</v>
      </c>
      <c r="BS1877" t="s">
        <v>111</v>
      </c>
      <c r="BT1877" t="s">
        <v>111</v>
      </c>
      <c r="BU1877" t="s">
        <v>111</v>
      </c>
      <c r="BV1877" t="s">
        <v>111</v>
      </c>
      <c r="BW1877" t="s">
        <v>111</v>
      </c>
      <c r="BX1877" t="s">
        <v>111</v>
      </c>
      <c r="BY1877" t="s">
        <v>111</v>
      </c>
      <c r="BZ1877" t="s">
        <v>111</v>
      </c>
      <c r="CA1877" t="s">
        <v>111</v>
      </c>
      <c r="CB1877" t="s">
        <v>111</v>
      </c>
      <c r="CC1877" t="s">
        <v>111</v>
      </c>
      <c r="CD1877" t="s">
        <v>111</v>
      </c>
      <c r="CE1877" t="s">
        <v>111</v>
      </c>
      <c r="CF1877" t="s">
        <v>111</v>
      </c>
      <c r="CG1877" t="s">
        <v>111</v>
      </c>
      <c r="CH1877" t="s">
        <v>111</v>
      </c>
      <c r="CI1877" t="s">
        <v>111</v>
      </c>
      <c r="CJ1877" t="s">
        <v>111</v>
      </c>
      <c r="CK1877" t="s">
        <v>111</v>
      </c>
      <c r="CL1877" t="s">
        <v>111</v>
      </c>
      <c r="CM1877" t="s">
        <v>111</v>
      </c>
      <c r="CN1877" t="s">
        <v>111</v>
      </c>
      <c r="CO1877" t="s">
        <v>111</v>
      </c>
      <c r="CP1877" t="s">
        <v>111</v>
      </c>
      <c r="CQ1877">
        <v>0</v>
      </c>
      <c r="CR1877">
        <v>0</v>
      </c>
      <c r="CS1877">
        <v>0</v>
      </c>
      <c r="CT1877" t="s">
        <v>111</v>
      </c>
      <c r="CU1877">
        <v>0</v>
      </c>
      <c r="CV1877" t="s">
        <v>111</v>
      </c>
      <c r="CW1877" t="s">
        <v>111</v>
      </c>
      <c r="CX1877" t="s">
        <v>111</v>
      </c>
      <c r="CY1877">
        <v>0</v>
      </c>
      <c r="CZ1877" t="s">
        <v>111</v>
      </c>
      <c r="DA1877" t="s">
        <v>111</v>
      </c>
      <c r="DB1877" t="s">
        <v>111</v>
      </c>
      <c r="DC1877" t="s">
        <v>111</v>
      </c>
    </row>
    <row r="1878" spans="1:107">
      <c r="A1878">
        <v>1261</v>
      </c>
      <c r="B1878" t="s">
        <v>107</v>
      </c>
      <c r="C1878" t="s">
        <v>827</v>
      </c>
      <c r="D1878" t="s">
        <v>4330</v>
      </c>
      <c r="E1878" t="s">
        <v>5153</v>
      </c>
      <c r="F1878" t="s">
        <v>1651</v>
      </c>
      <c r="G1878" t="s">
        <v>24</v>
      </c>
      <c r="H1878">
        <v>1.4</v>
      </c>
      <c r="I1878">
        <v>48</v>
      </c>
      <c r="J1878">
        <v>0</v>
      </c>
      <c r="K1878">
        <v>0</v>
      </c>
      <c r="L1878" t="s">
        <v>112</v>
      </c>
      <c r="M1878" t="s">
        <v>118</v>
      </c>
      <c r="N1878">
        <v>39</v>
      </c>
      <c r="O1878">
        <v>2</v>
      </c>
      <c r="P1878" t="s">
        <v>111</v>
      </c>
      <c r="Q1878">
        <v>42.2</v>
      </c>
      <c r="R1878">
        <v>0</v>
      </c>
      <c r="S1878">
        <v>0</v>
      </c>
      <c r="T1878">
        <v>5</v>
      </c>
      <c r="U1878" s="1" t="s">
        <v>5154</v>
      </c>
      <c r="V1878">
        <v>0</v>
      </c>
      <c r="W1878">
        <v>0</v>
      </c>
      <c r="X1878">
        <v>0</v>
      </c>
      <c r="Y1878">
        <v>25</v>
      </c>
      <c r="Z1878" t="s">
        <v>111</v>
      </c>
      <c r="AA1878">
        <v>0</v>
      </c>
      <c r="AB1878" t="s">
        <v>111</v>
      </c>
      <c r="AC1878">
        <v>0</v>
      </c>
      <c r="AD1878" t="s">
        <v>427</v>
      </c>
      <c r="AE1878">
        <v>0</v>
      </c>
      <c r="AF1878">
        <v>0</v>
      </c>
      <c r="AG1878" t="s">
        <v>111</v>
      </c>
      <c r="AH1878" t="s">
        <v>113</v>
      </c>
      <c r="AI1878" t="s">
        <v>111</v>
      </c>
      <c r="AJ1878" t="s">
        <v>111</v>
      </c>
      <c r="AK1878" t="s">
        <v>111</v>
      </c>
      <c r="AL1878" t="s">
        <v>111</v>
      </c>
      <c r="AM1878">
        <v>0</v>
      </c>
      <c r="AN1878">
        <v>0</v>
      </c>
      <c r="AO1878">
        <v>0</v>
      </c>
      <c r="AP1878" t="s">
        <v>111</v>
      </c>
      <c r="AQ1878" t="s">
        <v>111</v>
      </c>
      <c r="AR1878" t="s">
        <v>111</v>
      </c>
      <c r="AS1878" t="s">
        <v>111</v>
      </c>
      <c r="AT1878" t="s">
        <v>111</v>
      </c>
      <c r="AU1878" t="s">
        <v>111</v>
      </c>
      <c r="AV1878" t="s">
        <v>111</v>
      </c>
      <c r="AW1878" t="s">
        <v>111</v>
      </c>
      <c r="AX1878" t="s">
        <v>111</v>
      </c>
      <c r="AY1878" t="s">
        <v>111</v>
      </c>
      <c r="AZ1878" t="s">
        <v>111</v>
      </c>
      <c r="BA1878" t="s">
        <v>111</v>
      </c>
      <c r="BB1878" t="s">
        <v>111</v>
      </c>
      <c r="BC1878" t="s">
        <v>111</v>
      </c>
      <c r="BD1878" t="s">
        <v>111</v>
      </c>
      <c r="BE1878" t="s">
        <v>111</v>
      </c>
      <c r="BF1878" t="s">
        <v>111</v>
      </c>
      <c r="BG1878" t="s">
        <v>111</v>
      </c>
      <c r="BH1878" t="s">
        <v>111</v>
      </c>
      <c r="BI1878" t="s">
        <v>111</v>
      </c>
      <c r="BJ1878" t="s">
        <v>111</v>
      </c>
      <c r="BK1878" t="s">
        <v>111</v>
      </c>
      <c r="BL1878" t="s">
        <v>111</v>
      </c>
      <c r="BM1878" t="s">
        <v>111</v>
      </c>
      <c r="BN1878" t="s">
        <v>111</v>
      </c>
      <c r="BO1878" t="s">
        <v>111</v>
      </c>
      <c r="BP1878" t="s">
        <v>111</v>
      </c>
      <c r="BQ1878" t="s">
        <v>111</v>
      </c>
      <c r="BR1878" t="s">
        <v>111</v>
      </c>
      <c r="BS1878" t="s">
        <v>111</v>
      </c>
      <c r="BT1878" t="s">
        <v>111</v>
      </c>
      <c r="BU1878" t="s">
        <v>111</v>
      </c>
      <c r="BV1878" t="s">
        <v>111</v>
      </c>
      <c r="BW1878" t="s">
        <v>111</v>
      </c>
      <c r="BX1878" t="s">
        <v>111</v>
      </c>
      <c r="BY1878" t="s">
        <v>111</v>
      </c>
      <c r="BZ1878" t="s">
        <v>111</v>
      </c>
      <c r="CA1878" t="s">
        <v>111</v>
      </c>
      <c r="CB1878" t="s">
        <v>111</v>
      </c>
      <c r="CC1878" t="s">
        <v>111</v>
      </c>
      <c r="CD1878" t="s">
        <v>111</v>
      </c>
      <c r="CE1878" t="s">
        <v>111</v>
      </c>
      <c r="CF1878" t="s">
        <v>111</v>
      </c>
      <c r="CG1878" t="s">
        <v>111</v>
      </c>
      <c r="CH1878" t="s">
        <v>111</v>
      </c>
      <c r="CI1878" t="s">
        <v>111</v>
      </c>
      <c r="CJ1878" t="s">
        <v>111</v>
      </c>
      <c r="CK1878" t="s">
        <v>111</v>
      </c>
      <c r="CL1878" t="e">
        <f>-DESTINO SELLADO</f>
        <v>#NAME?</v>
      </c>
      <c r="CM1878" t="s">
        <v>135</v>
      </c>
      <c r="CN1878" t="s">
        <v>113</v>
      </c>
      <c r="CO1878" t="s">
        <v>111</v>
      </c>
      <c r="CP1878" t="e">
        <f>-MUESTRA</f>
        <v>#NAME?</v>
      </c>
      <c r="CQ1878">
        <v>0</v>
      </c>
      <c r="CR1878">
        <v>3000</v>
      </c>
      <c r="CS1878">
        <v>200</v>
      </c>
      <c r="CT1878" t="e">
        <f>-ALMACEN</f>
        <v>#NAME?</v>
      </c>
      <c r="CU1878">
        <v>0</v>
      </c>
      <c r="CV1878" t="s">
        <v>111</v>
      </c>
      <c r="CW1878" t="s">
        <v>111</v>
      </c>
      <c r="CX1878" t="s">
        <v>111</v>
      </c>
      <c r="CY1878">
        <v>0</v>
      </c>
      <c r="CZ1878" t="s">
        <v>111</v>
      </c>
      <c r="DA1878" t="s">
        <v>111</v>
      </c>
      <c r="DB1878" t="s">
        <v>111</v>
      </c>
      <c r="DC1878" t="s">
        <v>111</v>
      </c>
    </row>
    <row r="1879" spans="1:107">
      <c r="A1879">
        <v>1258</v>
      </c>
      <c r="B1879" t="s">
        <v>107</v>
      </c>
      <c r="C1879" t="s">
        <v>4206</v>
      </c>
      <c r="D1879" t="s">
        <v>5155</v>
      </c>
      <c r="E1879" t="s">
        <v>5156</v>
      </c>
      <c r="F1879" t="s">
        <v>1071</v>
      </c>
      <c r="G1879" t="s">
        <v>24</v>
      </c>
      <c r="H1879">
        <v>1</v>
      </c>
      <c r="I1879">
        <v>50</v>
      </c>
      <c r="J1879">
        <v>0</v>
      </c>
      <c r="K1879">
        <v>0</v>
      </c>
      <c r="L1879" t="s">
        <v>112</v>
      </c>
      <c r="M1879" t="s">
        <v>111</v>
      </c>
      <c r="N1879">
        <v>0</v>
      </c>
      <c r="O1879">
        <v>0</v>
      </c>
      <c r="P1879" t="s">
        <v>111</v>
      </c>
      <c r="Q1879">
        <v>25.7</v>
      </c>
      <c r="R1879">
        <v>0</v>
      </c>
      <c r="S1879">
        <v>0</v>
      </c>
      <c r="T1879">
        <v>5</v>
      </c>
      <c r="U1879" s="1" t="s">
        <v>5157</v>
      </c>
      <c r="V1879">
        <v>0</v>
      </c>
      <c r="W1879">
        <v>0</v>
      </c>
      <c r="X1879">
        <v>0</v>
      </c>
      <c r="Y1879">
        <v>25</v>
      </c>
      <c r="Z1879" t="s">
        <v>111</v>
      </c>
      <c r="AA1879">
        <v>0</v>
      </c>
      <c r="AB1879" t="s">
        <v>111</v>
      </c>
      <c r="AC1879">
        <v>0</v>
      </c>
      <c r="AD1879" t="s">
        <v>111</v>
      </c>
      <c r="AE1879">
        <v>0</v>
      </c>
      <c r="AF1879">
        <v>0</v>
      </c>
      <c r="AG1879" t="s">
        <v>111</v>
      </c>
      <c r="AH1879" t="s">
        <v>111</v>
      </c>
      <c r="AI1879" t="s">
        <v>111</v>
      </c>
      <c r="AJ1879" t="s">
        <v>111</v>
      </c>
      <c r="AK1879" t="s">
        <v>111</v>
      </c>
      <c r="AL1879" t="s">
        <v>111</v>
      </c>
      <c r="AM1879">
        <v>0</v>
      </c>
      <c r="AN1879">
        <v>0</v>
      </c>
      <c r="AO1879">
        <v>0</v>
      </c>
      <c r="AP1879" t="s">
        <v>111</v>
      </c>
      <c r="AQ1879" t="s">
        <v>111</v>
      </c>
      <c r="AR1879" t="s">
        <v>111</v>
      </c>
      <c r="AS1879" t="s">
        <v>111</v>
      </c>
      <c r="AT1879" t="s">
        <v>111</v>
      </c>
      <c r="AU1879" t="s">
        <v>111</v>
      </c>
      <c r="AV1879" t="s">
        <v>111</v>
      </c>
      <c r="AW1879" t="s">
        <v>111</v>
      </c>
      <c r="AX1879" t="s">
        <v>111</v>
      </c>
      <c r="AY1879" t="s">
        <v>111</v>
      </c>
      <c r="AZ1879" t="s">
        <v>111</v>
      </c>
      <c r="BA1879" t="s">
        <v>111</v>
      </c>
      <c r="BB1879" t="s">
        <v>111</v>
      </c>
      <c r="BC1879" t="s">
        <v>111</v>
      </c>
      <c r="BD1879" t="s">
        <v>111</v>
      </c>
      <c r="BE1879" t="s">
        <v>111</v>
      </c>
      <c r="BF1879" t="s">
        <v>111</v>
      </c>
      <c r="BG1879" t="s">
        <v>111</v>
      </c>
      <c r="BH1879" t="s">
        <v>111</v>
      </c>
      <c r="BI1879" t="s">
        <v>111</v>
      </c>
      <c r="BJ1879" t="s">
        <v>111</v>
      </c>
      <c r="BK1879" t="s">
        <v>111</v>
      </c>
      <c r="BL1879" t="s">
        <v>111</v>
      </c>
      <c r="BM1879" t="s">
        <v>111</v>
      </c>
      <c r="BN1879" t="s">
        <v>111</v>
      </c>
      <c r="BO1879" t="s">
        <v>111</v>
      </c>
      <c r="BP1879" t="s">
        <v>111</v>
      </c>
      <c r="BQ1879" t="s">
        <v>111</v>
      </c>
      <c r="BR1879" t="s">
        <v>111</v>
      </c>
      <c r="BS1879" t="s">
        <v>111</v>
      </c>
      <c r="BT1879" t="s">
        <v>111</v>
      </c>
      <c r="BU1879" t="s">
        <v>111</v>
      </c>
      <c r="BV1879" t="s">
        <v>111</v>
      </c>
      <c r="BW1879" t="s">
        <v>111</v>
      </c>
      <c r="BX1879" t="s">
        <v>111</v>
      </c>
      <c r="BY1879" t="s">
        <v>111</v>
      </c>
      <c r="BZ1879" t="s">
        <v>111</v>
      </c>
      <c r="CA1879" t="s">
        <v>111</v>
      </c>
      <c r="CB1879" t="s">
        <v>111</v>
      </c>
      <c r="CC1879" t="s">
        <v>111</v>
      </c>
      <c r="CD1879" t="s">
        <v>111</v>
      </c>
      <c r="CE1879" t="s">
        <v>111</v>
      </c>
      <c r="CF1879" t="s">
        <v>111</v>
      </c>
      <c r="CG1879" t="s">
        <v>111</v>
      </c>
      <c r="CH1879" t="s">
        <v>111</v>
      </c>
      <c r="CI1879" t="s">
        <v>111</v>
      </c>
      <c r="CJ1879" t="s">
        <v>111</v>
      </c>
      <c r="CK1879" t="s">
        <v>111</v>
      </c>
      <c r="CL1879" t="s">
        <v>111</v>
      </c>
      <c r="CM1879" t="s">
        <v>438</v>
      </c>
      <c r="CN1879" t="s">
        <v>113</v>
      </c>
      <c r="CO1879" t="s">
        <v>111</v>
      </c>
      <c r="CP1879" t="s">
        <v>111</v>
      </c>
      <c r="CQ1879">
        <v>75</v>
      </c>
      <c r="CR1879">
        <v>6000</v>
      </c>
      <c r="CS1879">
        <v>100</v>
      </c>
      <c r="CT1879" s="1" t="s">
        <v>5158</v>
      </c>
      <c r="CU1879">
        <v>0</v>
      </c>
      <c r="CV1879" t="s">
        <v>111</v>
      </c>
      <c r="CW1879" t="s">
        <v>111</v>
      </c>
      <c r="CX1879" t="s">
        <v>111</v>
      </c>
      <c r="CY1879">
        <v>0</v>
      </c>
      <c r="CZ1879" t="s">
        <v>111</v>
      </c>
      <c r="DA1879" t="s">
        <v>111</v>
      </c>
      <c r="DB1879" t="s">
        <v>111</v>
      </c>
      <c r="DC1879" t="s">
        <v>111</v>
      </c>
    </row>
    <row r="1880" spans="1:107">
      <c r="A1880">
        <v>1257</v>
      </c>
      <c r="B1880" t="s">
        <v>107</v>
      </c>
      <c r="C1880" t="s">
        <v>108</v>
      </c>
      <c r="D1880" t="s">
        <v>212</v>
      </c>
      <c r="E1880" t="s">
        <v>5159</v>
      </c>
      <c r="F1880" t="s">
        <v>110</v>
      </c>
      <c r="G1880" t="s">
        <v>24</v>
      </c>
      <c r="H1880">
        <v>1.3</v>
      </c>
      <c r="I1880">
        <v>45</v>
      </c>
      <c r="J1880">
        <v>0</v>
      </c>
      <c r="K1880">
        <v>0</v>
      </c>
      <c r="L1880" t="s">
        <v>112</v>
      </c>
      <c r="M1880" t="s">
        <v>138</v>
      </c>
      <c r="N1880">
        <v>0</v>
      </c>
      <c r="O1880">
        <v>0</v>
      </c>
      <c r="P1880" t="s">
        <v>111</v>
      </c>
      <c r="Q1880">
        <v>35</v>
      </c>
      <c r="R1880">
        <v>0</v>
      </c>
      <c r="S1880">
        <v>0</v>
      </c>
      <c r="T1880">
        <v>0</v>
      </c>
      <c r="U1880" s="1" t="s">
        <v>132</v>
      </c>
      <c r="V1880">
        <v>0</v>
      </c>
      <c r="W1880">
        <v>0</v>
      </c>
      <c r="X1880">
        <v>0</v>
      </c>
      <c r="Y1880">
        <v>25</v>
      </c>
      <c r="Z1880" t="s">
        <v>111</v>
      </c>
      <c r="AA1880">
        <v>0</v>
      </c>
      <c r="AB1880" t="s">
        <v>111</v>
      </c>
      <c r="AC1880">
        <v>0</v>
      </c>
      <c r="AD1880" t="s">
        <v>111</v>
      </c>
      <c r="AE1880">
        <v>0</v>
      </c>
      <c r="AF1880">
        <v>0</v>
      </c>
      <c r="AG1880" t="s">
        <v>111</v>
      </c>
      <c r="AH1880" t="s">
        <v>111</v>
      </c>
      <c r="AI1880" t="s">
        <v>111</v>
      </c>
      <c r="AJ1880" t="s">
        <v>111</v>
      </c>
      <c r="AK1880" t="s">
        <v>111</v>
      </c>
      <c r="AL1880" t="s">
        <v>111</v>
      </c>
      <c r="AM1880">
        <v>0</v>
      </c>
      <c r="AN1880">
        <v>0</v>
      </c>
      <c r="AO1880">
        <v>0</v>
      </c>
      <c r="AP1880" t="s">
        <v>111</v>
      </c>
      <c r="AQ1880" t="s">
        <v>111</v>
      </c>
      <c r="AR1880" t="s">
        <v>111</v>
      </c>
      <c r="AS1880" t="s">
        <v>111</v>
      </c>
      <c r="AT1880" t="s">
        <v>111</v>
      </c>
      <c r="AU1880" t="s">
        <v>111</v>
      </c>
      <c r="AV1880" t="s">
        <v>111</v>
      </c>
      <c r="AW1880" t="s">
        <v>111</v>
      </c>
      <c r="AX1880" t="s">
        <v>111</v>
      </c>
      <c r="AY1880" t="s">
        <v>111</v>
      </c>
      <c r="AZ1880" t="s">
        <v>111</v>
      </c>
      <c r="BA1880" t="s">
        <v>111</v>
      </c>
      <c r="BB1880" t="s">
        <v>111</v>
      </c>
      <c r="BC1880" t="s">
        <v>111</v>
      </c>
      <c r="BD1880" t="s">
        <v>111</v>
      </c>
      <c r="BE1880" t="s">
        <v>111</v>
      </c>
      <c r="BF1880" t="s">
        <v>111</v>
      </c>
      <c r="BG1880" t="s">
        <v>111</v>
      </c>
      <c r="BH1880" t="s">
        <v>111</v>
      </c>
      <c r="BI1880" t="s">
        <v>111</v>
      </c>
      <c r="BJ1880" t="s">
        <v>111</v>
      </c>
      <c r="BK1880" t="s">
        <v>111</v>
      </c>
      <c r="BL1880" t="s">
        <v>111</v>
      </c>
      <c r="BM1880" t="s">
        <v>111</v>
      </c>
      <c r="BN1880" t="s">
        <v>111</v>
      </c>
      <c r="BO1880" t="s">
        <v>111</v>
      </c>
      <c r="BP1880" t="s">
        <v>111</v>
      </c>
      <c r="BQ1880" t="s">
        <v>111</v>
      </c>
      <c r="BR1880" t="s">
        <v>111</v>
      </c>
      <c r="BS1880" t="s">
        <v>111</v>
      </c>
      <c r="BT1880" t="s">
        <v>111</v>
      </c>
      <c r="BU1880" t="s">
        <v>111</v>
      </c>
      <c r="BV1880" t="s">
        <v>111</v>
      </c>
      <c r="BW1880" t="s">
        <v>111</v>
      </c>
      <c r="BX1880" t="s">
        <v>111</v>
      </c>
      <c r="BY1880" t="s">
        <v>111</v>
      </c>
      <c r="BZ1880" t="s">
        <v>111</v>
      </c>
      <c r="CA1880" t="s">
        <v>111</v>
      </c>
      <c r="CB1880" t="s">
        <v>111</v>
      </c>
      <c r="CC1880" t="s">
        <v>111</v>
      </c>
      <c r="CD1880" t="s">
        <v>111</v>
      </c>
      <c r="CE1880" t="s">
        <v>111</v>
      </c>
      <c r="CF1880" t="s">
        <v>111</v>
      </c>
      <c r="CG1880" t="s">
        <v>111</v>
      </c>
      <c r="CH1880" t="s">
        <v>111</v>
      </c>
      <c r="CI1880" t="s">
        <v>111</v>
      </c>
      <c r="CJ1880" t="s">
        <v>111</v>
      </c>
      <c r="CK1880" t="s">
        <v>111</v>
      </c>
      <c r="CL1880" t="s">
        <v>111</v>
      </c>
      <c r="CM1880" t="s">
        <v>438</v>
      </c>
      <c r="CN1880" t="s">
        <v>113</v>
      </c>
      <c r="CO1880" t="s">
        <v>111</v>
      </c>
      <c r="CP1880" t="s">
        <v>111</v>
      </c>
      <c r="CQ1880">
        <v>0</v>
      </c>
      <c r="CR1880">
        <v>3000</v>
      </c>
      <c r="CS1880">
        <v>200</v>
      </c>
      <c r="CT1880" s="1" t="s">
        <v>5160</v>
      </c>
      <c r="CU1880">
        <v>0</v>
      </c>
      <c r="CV1880" t="s">
        <v>111</v>
      </c>
      <c r="CW1880" t="s">
        <v>111</v>
      </c>
      <c r="CX1880" t="s">
        <v>111</v>
      </c>
      <c r="CY1880">
        <v>0</v>
      </c>
      <c r="CZ1880" t="s">
        <v>111</v>
      </c>
      <c r="DA1880" t="s">
        <v>111</v>
      </c>
      <c r="DB1880" t="s">
        <v>111</v>
      </c>
      <c r="DC1880" t="s">
        <v>111</v>
      </c>
    </row>
    <row r="1881" spans="1:107">
      <c r="A1881">
        <v>1289</v>
      </c>
      <c r="B1881" t="s">
        <v>107</v>
      </c>
      <c r="C1881" t="s">
        <v>4324</v>
      </c>
      <c r="D1881" t="s">
        <v>4039</v>
      </c>
      <c r="E1881" t="s">
        <v>5161</v>
      </c>
      <c r="F1881" t="s">
        <v>110</v>
      </c>
      <c r="G1881" t="s">
        <v>24</v>
      </c>
      <c r="H1881">
        <v>1.5</v>
      </c>
      <c r="I1881">
        <v>30</v>
      </c>
      <c r="J1881">
        <v>0</v>
      </c>
      <c r="K1881">
        <v>0</v>
      </c>
      <c r="L1881" t="s">
        <v>112</v>
      </c>
      <c r="M1881" t="s">
        <v>118</v>
      </c>
      <c r="N1881">
        <v>39</v>
      </c>
      <c r="O1881">
        <v>2</v>
      </c>
      <c r="P1881" t="s">
        <v>111</v>
      </c>
      <c r="Q1881">
        <v>32.6</v>
      </c>
      <c r="R1881">
        <v>0</v>
      </c>
      <c r="S1881">
        <v>0</v>
      </c>
      <c r="T1881">
        <v>0</v>
      </c>
      <c r="U1881" s="1" t="s">
        <v>5162</v>
      </c>
      <c r="V1881">
        <v>0</v>
      </c>
      <c r="W1881">
        <v>0</v>
      </c>
      <c r="X1881">
        <v>0</v>
      </c>
      <c r="Y1881">
        <v>25</v>
      </c>
      <c r="Z1881" t="s">
        <v>111</v>
      </c>
      <c r="AA1881">
        <v>0</v>
      </c>
      <c r="AB1881" t="s">
        <v>111</v>
      </c>
      <c r="AC1881">
        <v>0</v>
      </c>
      <c r="AD1881" t="s">
        <v>111</v>
      </c>
      <c r="AE1881">
        <v>0</v>
      </c>
      <c r="AF1881">
        <v>0</v>
      </c>
      <c r="AG1881" t="s">
        <v>111</v>
      </c>
      <c r="AH1881" t="s">
        <v>111</v>
      </c>
      <c r="AI1881" t="s">
        <v>111</v>
      </c>
      <c r="AJ1881" t="s">
        <v>111</v>
      </c>
      <c r="AK1881" t="s">
        <v>111</v>
      </c>
      <c r="AL1881" t="s">
        <v>111</v>
      </c>
      <c r="AM1881">
        <v>0</v>
      </c>
      <c r="AN1881">
        <v>0</v>
      </c>
      <c r="AO1881">
        <v>0</v>
      </c>
      <c r="AP1881" t="s">
        <v>111</v>
      </c>
      <c r="AQ1881" t="s">
        <v>111</v>
      </c>
      <c r="AR1881" t="s">
        <v>111</v>
      </c>
      <c r="AS1881" t="s">
        <v>111</v>
      </c>
      <c r="AT1881" t="s">
        <v>111</v>
      </c>
      <c r="AU1881" t="s">
        <v>111</v>
      </c>
      <c r="AV1881" t="s">
        <v>111</v>
      </c>
      <c r="AW1881" t="s">
        <v>111</v>
      </c>
      <c r="AX1881" t="s">
        <v>111</v>
      </c>
      <c r="AY1881" t="s">
        <v>111</v>
      </c>
      <c r="AZ1881" t="s">
        <v>111</v>
      </c>
      <c r="BA1881" t="s">
        <v>111</v>
      </c>
      <c r="BB1881" t="s">
        <v>111</v>
      </c>
      <c r="BC1881" t="s">
        <v>111</v>
      </c>
      <c r="BD1881" t="s">
        <v>111</v>
      </c>
      <c r="BE1881" t="s">
        <v>111</v>
      </c>
      <c r="BF1881" t="s">
        <v>111</v>
      </c>
      <c r="BG1881" t="s">
        <v>111</v>
      </c>
      <c r="BH1881" t="s">
        <v>111</v>
      </c>
      <c r="BI1881" t="s">
        <v>111</v>
      </c>
      <c r="BJ1881" t="s">
        <v>111</v>
      </c>
      <c r="BK1881" t="s">
        <v>111</v>
      </c>
      <c r="BL1881" t="s">
        <v>111</v>
      </c>
      <c r="BM1881" t="s">
        <v>111</v>
      </c>
      <c r="BN1881" t="s">
        <v>111</v>
      </c>
      <c r="BO1881" t="s">
        <v>111</v>
      </c>
      <c r="BP1881" t="s">
        <v>111</v>
      </c>
      <c r="BQ1881" t="s">
        <v>111</v>
      </c>
      <c r="BR1881" t="s">
        <v>111</v>
      </c>
      <c r="BS1881" t="s">
        <v>111</v>
      </c>
      <c r="BT1881" t="s">
        <v>111</v>
      </c>
      <c r="BU1881" t="s">
        <v>111</v>
      </c>
      <c r="BV1881" t="s">
        <v>111</v>
      </c>
      <c r="BW1881" t="s">
        <v>111</v>
      </c>
      <c r="BX1881" t="s">
        <v>111</v>
      </c>
      <c r="BY1881" t="s">
        <v>111</v>
      </c>
      <c r="BZ1881" t="s">
        <v>111</v>
      </c>
      <c r="CA1881" t="s">
        <v>111</v>
      </c>
      <c r="CB1881" t="s">
        <v>111</v>
      </c>
      <c r="CC1881" t="s">
        <v>111</v>
      </c>
      <c r="CD1881" t="s">
        <v>111</v>
      </c>
      <c r="CE1881" t="s">
        <v>111</v>
      </c>
      <c r="CF1881" t="s">
        <v>111</v>
      </c>
      <c r="CG1881" t="s">
        <v>111</v>
      </c>
      <c r="CH1881" t="s">
        <v>111</v>
      </c>
      <c r="CI1881" t="s">
        <v>111</v>
      </c>
      <c r="CJ1881" t="s">
        <v>111</v>
      </c>
      <c r="CK1881" t="s">
        <v>111</v>
      </c>
      <c r="CL1881" t="s">
        <v>111</v>
      </c>
      <c r="CM1881" t="s">
        <v>111</v>
      </c>
      <c r="CN1881" t="s">
        <v>111</v>
      </c>
      <c r="CO1881" t="s">
        <v>111</v>
      </c>
      <c r="CP1881" t="s">
        <v>111</v>
      </c>
      <c r="CQ1881">
        <v>0</v>
      </c>
      <c r="CR1881">
        <v>0</v>
      </c>
      <c r="CS1881">
        <v>0</v>
      </c>
      <c r="CT1881" t="s">
        <v>111</v>
      </c>
      <c r="CU1881">
        <v>0</v>
      </c>
      <c r="CV1881" t="s">
        <v>111</v>
      </c>
      <c r="CW1881" t="s">
        <v>111</v>
      </c>
      <c r="CX1881" t="s">
        <v>111</v>
      </c>
      <c r="CY1881">
        <v>0</v>
      </c>
      <c r="CZ1881" t="s">
        <v>111</v>
      </c>
      <c r="DA1881" t="s">
        <v>111</v>
      </c>
      <c r="DB1881" t="s">
        <v>111</v>
      </c>
      <c r="DC1881" t="s">
        <v>111</v>
      </c>
    </row>
    <row r="1882" spans="1:107">
      <c r="A1882">
        <v>1288</v>
      </c>
      <c r="B1882" t="s">
        <v>107</v>
      </c>
      <c r="C1882" t="s">
        <v>4324</v>
      </c>
      <c r="D1882" t="s">
        <v>5163</v>
      </c>
      <c r="E1882" t="s">
        <v>5164</v>
      </c>
      <c r="F1882" t="s">
        <v>2211</v>
      </c>
      <c r="G1882" t="s">
        <v>24</v>
      </c>
      <c r="H1882">
        <v>2.8</v>
      </c>
      <c r="I1882">
        <v>45</v>
      </c>
      <c r="J1882">
        <v>0</v>
      </c>
      <c r="K1882">
        <v>0</v>
      </c>
      <c r="L1882" t="s">
        <v>117</v>
      </c>
      <c r="M1882" t="s">
        <v>118</v>
      </c>
      <c r="N1882">
        <v>40</v>
      </c>
      <c r="O1882">
        <v>1</v>
      </c>
      <c r="P1882" t="s">
        <v>111</v>
      </c>
      <c r="Q1882">
        <v>45.7</v>
      </c>
      <c r="R1882">
        <v>0</v>
      </c>
      <c r="S1882">
        <v>0</v>
      </c>
      <c r="T1882">
        <v>0</v>
      </c>
      <c r="U1882" s="1" t="s">
        <v>5165</v>
      </c>
      <c r="V1882">
        <v>0</v>
      </c>
      <c r="W1882">
        <v>0</v>
      </c>
      <c r="X1882">
        <v>0</v>
      </c>
      <c r="Y1882">
        <v>25</v>
      </c>
      <c r="Z1882" t="s">
        <v>111</v>
      </c>
      <c r="AA1882">
        <v>0</v>
      </c>
      <c r="AB1882" t="s">
        <v>111</v>
      </c>
      <c r="AC1882">
        <v>0</v>
      </c>
      <c r="AD1882" t="s">
        <v>111</v>
      </c>
      <c r="AE1882">
        <v>0</v>
      </c>
      <c r="AF1882">
        <v>0</v>
      </c>
      <c r="AG1882" t="s">
        <v>111</v>
      </c>
      <c r="AH1882" t="s">
        <v>111</v>
      </c>
      <c r="AI1882" t="s">
        <v>111</v>
      </c>
      <c r="AJ1882" t="s">
        <v>111</v>
      </c>
      <c r="AK1882" t="s">
        <v>111</v>
      </c>
      <c r="AL1882" t="s">
        <v>111</v>
      </c>
      <c r="AM1882">
        <v>0</v>
      </c>
      <c r="AN1882">
        <v>0</v>
      </c>
      <c r="AO1882">
        <v>0</v>
      </c>
      <c r="AP1882" t="s">
        <v>111</v>
      </c>
      <c r="AQ1882" t="s">
        <v>111</v>
      </c>
      <c r="AR1882" t="s">
        <v>111</v>
      </c>
      <c r="AS1882" t="s">
        <v>111</v>
      </c>
      <c r="AT1882" t="s">
        <v>111</v>
      </c>
      <c r="AU1882" t="s">
        <v>111</v>
      </c>
      <c r="AV1882" t="s">
        <v>111</v>
      </c>
      <c r="AW1882" t="s">
        <v>111</v>
      </c>
      <c r="AX1882" t="s">
        <v>111</v>
      </c>
      <c r="AY1882" t="s">
        <v>111</v>
      </c>
      <c r="AZ1882" t="s">
        <v>111</v>
      </c>
      <c r="BA1882" t="s">
        <v>111</v>
      </c>
      <c r="BB1882" t="s">
        <v>111</v>
      </c>
      <c r="BC1882" t="s">
        <v>111</v>
      </c>
      <c r="BD1882" t="s">
        <v>111</v>
      </c>
      <c r="BE1882" t="s">
        <v>111</v>
      </c>
      <c r="BF1882" t="s">
        <v>111</v>
      </c>
      <c r="BG1882" t="s">
        <v>111</v>
      </c>
      <c r="BH1882" t="s">
        <v>111</v>
      </c>
      <c r="BI1882" t="s">
        <v>111</v>
      </c>
      <c r="BJ1882" t="s">
        <v>111</v>
      </c>
      <c r="BK1882" t="s">
        <v>111</v>
      </c>
      <c r="BL1882" t="s">
        <v>111</v>
      </c>
      <c r="BM1882" t="s">
        <v>111</v>
      </c>
      <c r="BN1882" t="s">
        <v>111</v>
      </c>
      <c r="BO1882" t="s">
        <v>111</v>
      </c>
      <c r="BP1882" t="s">
        <v>111</v>
      </c>
      <c r="BQ1882" t="s">
        <v>111</v>
      </c>
      <c r="BR1882" t="s">
        <v>111</v>
      </c>
      <c r="BS1882" t="s">
        <v>111</v>
      </c>
      <c r="BT1882" t="s">
        <v>111</v>
      </c>
      <c r="BU1882" t="s">
        <v>111</v>
      </c>
      <c r="BV1882" t="s">
        <v>111</v>
      </c>
      <c r="BW1882" t="s">
        <v>111</v>
      </c>
      <c r="BX1882" t="s">
        <v>111</v>
      </c>
      <c r="BY1882" t="s">
        <v>111</v>
      </c>
      <c r="BZ1882" t="s">
        <v>111</v>
      </c>
      <c r="CA1882" t="s">
        <v>111</v>
      </c>
      <c r="CB1882" t="s">
        <v>111</v>
      </c>
      <c r="CC1882" t="s">
        <v>111</v>
      </c>
      <c r="CD1882" t="s">
        <v>111</v>
      </c>
      <c r="CE1882" t="s">
        <v>111</v>
      </c>
      <c r="CF1882" t="s">
        <v>111</v>
      </c>
      <c r="CG1882" t="s">
        <v>111</v>
      </c>
      <c r="CH1882" t="s">
        <v>111</v>
      </c>
      <c r="CI1882" t="s">
        <v>111</v>
      </c>
      <c r="CJ1882" t="s">
        <v>111</v>
      </c>
      <c r="CK1882" t="s">
        <v>111</v>
      </c>
      <c r="CL1882" t="s">
        <v>111</v>
      </c>
      <c r="CM1882" t="s">
        <v>111</v>
      </c>
      <c r="CN1882" t="s">
        <v>111</v>
      </c>
      <c r="CO1882" t="s">
        <v>111</v>
      </c>
      <c r="CP1882" t="s">
        <v>111</v>
      </c>
      <c r="CQ1882">
        <v>0</v>
      </c>
      <c r="CR1882">
        <v>0</v>
      </c>
      <c r="CS1882">
        <v>0</v>
      </c>
      <c r="CT1882" t="s">
        <v>111</v>
      </c>
      <c r="CU1882">
        <v>0</v>
      </c>
      <c r="CV1882" t="s">
        <v>111</v>
      </c>
      <c r="CW1882" t="s">
        <v>111</v>
      </c>
      <c r="CX1882" t="s">
        <v>111</v>
      </c>
      <c r="CY1882">
        <v>0</v>
      </c>
      <c r="CZ1882" t="s">
        <v>111</v>
      </c>
      <c r="DA1882" t="s">
        <v>111</v>
      </c>
      <c r="DB1882" t="s">
        <v>111</v>
      </c>
      <c r="DC1882" t="s">
        <v>111</v>
      </c>
    </row>
    <row r="1883" spans="1:107">
      <c r="A1883">
        <v>1287</v>
      </c>
      <c r="B1883" t="s">
        <v>107</v>
      </c>
      <c r="C1883" t="s">
        <v>4324</v>
      </c>
      <c r="D1883" t="s">
        <v>4371</v>
      </c>
      <c r="E1883" t="s">
        <v>5166</v>
      </c>
      <c r="F1883" t="s">
        <v>110</v>
      </c>
      <c r="G1883" t="s">
        <v>24</v>
      </c>
      <c r="H1883">
        <v>1.4</v>
      </c>
      <c r="I1883">
        <v>33</v>
      </c>
      <c r="J1883">
        <v>0</v>
      </c>
      <c r="K1883">
        <v>0</v>
      </c>
      <c r="L1883" t="s">
        <v>112</v>
      </c>
      <c r="M1883" t="s">
        <v>118</v>
      </c>
      <c r="N1883">
        <v>39</v>
      </c>
      <c r="O1883">
        <v>2</v>
      </c>
      <c r="P1883" t="s">
        <v>118</v>
      </c>
      <c r="Q1883">
        <v>36.700000000000003</v>
      </c>
      <c r="R1883">
        <v>0</v>
      </c>
      <c r="S1883">
        <v>0</v>
      </c>
      <c r="T1883">
        <v>0</v>
      </c>
      <c r="U1883" s="1" t="s">
        <v>5167</v>
      </c>
      <c r="V1883">
        <v>0</v>
      </c>
      <c r="W1883">
        <v>0</v>
      </c>
      <c r="X1883">
        <v>0</v>
      </c>
      <c r="Y1883">
        <v>25</v>
      </c>
      <c r="Z1883" t="s">
        <v>111</v>
      </c>
      <c r="AA1883">
        <v>0</v>
      </c>
      <c r="AB1883" t="s">
        <v>111</v>
      </c>
      <c r="AC1883">
        <v>0</v>
      </c>
      <c r="AD1883" t="s">
        <v>111</v>
      </c>
      <c r="AE1883">
        <v>0</v>
      </c>
      <c r="AF1883">
        <v>0</v>
      </c>
      <c r="AG1883" t="s">
        <v>111</v>
      </c>
      <c r="AH1883" t="s">
        <v>111</v>
      </c>
      <c r="AI1883" t="s">
        <v>111</v>
      </c>
      <c r="AJ1883" t="s">
        <v>111</v>
      </c>
      <c r="AK1883" t="s">
        <v>111</v>
      </c>
      <c r="AL1883" t="s">
        <v>111</v>
      </c>
      <c r="AM1883">
        <v>0</v>
      </c>
      <c r="AN1883">
        <v>0</v>
      </c>
      <c r="AO1883">
        <v>0</v>
      </c>
      <c r="AP1883" t="s">
        <v>111</v>
      </c>
      <c r="AQ1883" t="s">
        <v>111</v>
      </c>
      <c r="AR1883" t="s">
        <v>111</v>
      </c>
      <c r="AS1883" t="s">
        <v>111</v>
      </c>
      <c r="AT1883" t="s">
        <v>111</v>
      </c>
      <c r="AU1883" t="s">
        <v>111</v>
      </c>
      <c r="AV1883" t="s">
        <v>111</v>
      </c>
      <c r="AW1883" t="s">
        <v>111</v>
      </c>
      <c r="AX1883" t="s">
        <v>111</v>
      </c>
      <c r="AY1883" t="s">
        <v>111</v>
      </c>
      <c r="AZ1883" t="s">
        <v>111</v>
      </c>
      <c r="BA1883" t="s">
        <v>111</v>
      </c>
      <c r="BB1883" t="s">
        <v>111</v>
      </c>
      <c r="BC1883" t="s">
        <v>111</v>
      </c>
      <c r="BD1883" t="s">
        <v>111</v>
      </c>
      <c r="BE1883" t="s">
        <v>111</v>
      </c>
      <c r="BF1883" t="s">
        <v>111</v>
      </c>
      <c r="BG1883" t="s">
        <v>111</v>
      </c>
      <c r="BH1883" t="s">
        <v>111</v>
      </c>
      <c r="BI1883" t="s">
        <v>111</v>
      </c>
      <c r="BJ1883" t="s">
        <v>111</v>
      </c>
      <c r="BK1883" t="s">
        <v>111</v>
      </c>
      <c r="BL1883" t="s">
        <v>111</v>
      </c>
      <c r="BM1883" t="s">
        <v>111</v>
      </c>
      <c r="BN1883" t="s">
        <v>111</v>
      </c>
      <c r="BO1883" t="s">
        <v>111</v>
      </c>
      <c r="BP1883" t="s">
        <v>111</v>
      </c>
      <c r="BQ1883" t="s">
        <v>111</v>
      </c>
      <c r="BR1883" t="s">
        <v>111</v>
      </c>
      <c r="BS1883" t="s">
        <v>111</v>
      </c>
      <c r="BT1883" t="s">
        <v>111</v>
      </c>
      <c r="BU1883" t="s">
        <v>111</v>
      </c>
      <c r="BV1883" t="s">
        <v>111</v>
      </c>
      <c r="BW1883" t="s">
        <v>111</v>
      </c>
      <c r="BX1883" t="s">
        <v>111</v>
      </c>
      <c r="BY1883" t="s">
        <v>111</v>
      </c>
      <c r="BZ1883" t="s">
        <v>111</v>
      </c>
      <c r="CA1883" t="s">
        <v>111</v>
      </c>
      <c r="CB1883" t="s">
        <v>111</v>
      </c>
      <c r="CC1883" t="s">
        <v>111</v>
      </c>
      <c r="CD1883" t="s">
        <v>111</v>
      </c>
      <c r="CE1883" t="s">
        <v>111</v>
      </c>
      <c r="CF1883" t="s">
        <v>111</v>
      </c>
      <c r="CG1883" t="s">
        <v>111</v>
      </c>
      <c r="CH1883" t="s">
        <v>111</v>
      </c>
      <c r="CI1883" t="s">
        <v>111</v>
      </c>
      <c r="CJ1883" t="s">
        <v>111</v>
      </c>
      <c r="CK1883" t="s">
        <v>111</v>
      </c>
      <c r="CL1883" t="s">
        <v>111</v>
      </c>
      <c r="CM1883" t="s">
        <v>111</v>
      </c>
      <c r="CN1883" t="s">
        <v>111</v>
      </c>
      <c r="CO1883" t="s">
        <v>111</v>
      </c>
      <c r="CP1883" t="s">
        <v>111</v>
      </c>
      <c r="CQ1883">
        <v>0</v>
      </c>
      <c r="CR1883">
        <v>0</v>
      </c>
      <c r="CS1883">
        <v>0</v>
      </c>
      <c r="CT1883" t="s">
        <v>111</v>
      </c>
      <c r="CU1883">
        <v>0</v>
      </c>
      <c r="CV1883" t="s">
        <v>111</v>
      </c>
      <c r="CW1883" t="s">
        <v>111</v>
      </c>
      <c r="CX1883" t="s">
        <v>111</v>
      </c>
      <c r="CY1883">
        <v>0</v>
      </c>
      <c r="CZ1883" t="s">
        <v>111</v>
      </c>
      <c r="DA1883" t="s">
        <v>111</v>
      </c>
      <c r="DB1883" t="s">
        <v>111</v>
      </c>
      <c r="DC1883" t="s">
        <v>111</v>
      </c>
    </row>
    <row r="1884" spans="1:107">
      <c r="A1884">
        <v>1253</v>
      </c>
      <c r="B1884" t="s">
        <v>107</v>
      </c>
      <c r="C1884" t="s">
        <v>1338</v>
      </c>
      <c r="D1884" t="s">
        <v>5168</v>
      </c>
      <c r="E1884" t="s">
        <v>5169</v>
      </c>
      <c r="F1884" t="s">
        <v>1651</v>
      </c>
      <c r="G1884" t="s">
        <v>24</v>
      </c>
      <c r="H1884">
        <v>1.4</v>
      </c>
      <c r="I1884">
        <v>35</v>
      </c>
      <c r="J1884">
        <v>0</v>
      </c>
      <c r="K1884">
        <v>0</v>
      </c>
      <c r="L1884" t="s">
        <v>112</v>
      </c>
      <c r="M1884" t="s">
        <v>118</v>
      </c>
      <c r="N1884">
        <v>39</v>
      </c>
      <c r="O1884">
        <v>2</v>
      </c>
      <c r="P1884" t="s">
        <v>111</v>
      </c>
      <c r="Q1884">
        <v>25</v>
      </c>
      <c r="R1884">
        <v>0</v>
      </c>
      <c r="S1884">
        <v>0</v>
      </c>
      <c r="T1884">
        <v>5</v>
      </c>
      <c r="U1884" s="1" t="s">
        <v>5170</v>
      </c>
      <c r="V1884">
        <v>0</v>
      </c>
      <c r="W1884">
        <v>0</v>
      </c>
      <c r="X1884">
        <v>0</v>
      </c>
      <c r="Y1884">
        <v>25</v>
      </c>
      <c r="Z1884" t="s">
        <v>111</v>
      </c>
      <c r="AA1884">
        <v>0</v>
      </c>
      <c r="AB1884" t="s">
        <v>3954</v>
      </c>
      <c r="AC1884">
        <v>3</v>
      </c>
      <c r="AD1884" t="s">
        <v>416</v>
      </c>
      <c r="AE1884">
        <v>0</v>
      </c>
      <c r="AF1884">
        <v>0</v>
      </c>
      <c r="AG1884" t="s">
        <v>111</v>
      </c>
      <c r="AH1884" t="s">
        <v>113</v>
      </c>
      <c r="AI1884" t="s">
        <v>111</v>
      </c>
      <c r="AJ1884" t="s">
        <v>111</v>
      </c>
      <c r="AK1884" t="s">
        <v>111</v>
      </c>
      <c r="AL1884" t="s">
        <v>111</v>
      </c>
      <c r="AM1884">
        <v>0</v>
      </c>
      <c r="AN1884">
        <v>0</v>
      </c>
      <c r="AO1884">
        <v>0</v>
      </c>
      <c r="AP1884" t="s">
        <v>111</v>
      </c>
      <c r="AQ1884" t="s">
        <v>111</v>
      </c>
      <c r="AR1884" t="s">
        <v>111</v>
      </c>
      <c r="AS1884" t="s">
        <v>111</v>
      </c>
      <c r="AT1884" t="s">
        <v>111</v>
      </c>
      <c r="AU1884" t="s">
        <v>111</v>
      </c>
      <c r="AV1884" t="s">
        <v>111</v>
      </c>
      <c r="AW1884" t="s">
        <v>111</v>
      </c>
      <c r="AX1884" t="s">
        <v>111</v>
      </c>
      <c r="AY1884" t="s">
        <v>111</v>
      </c>
      <c r="AZ1884" t="s">
        <v>111</v>
      </c>
      <c r="BA1884" t="s">
        <v>111</v>
      </c>
      <c r="BB1884" t="s">
        <v>111</v>
      </c>
      <c r="BC1884" t="s">
        <v>111</v>
      </c>
      <c r="BD1884" t="s">
        <v>111</v>
      </c>
      <c r="BE1884" t="s">
        <v>111</v>
      </c>
      <c r="BF1884" t="s">
        <v>111</v>
      </c>
      <c r="BG1884" t="s">
        <v>111</v>
      </c>
      <c r="BH1884" t="s">
        <v>111</v>
      </c>
      <c r="BI1884" t="s">
        <v>111</v>
      </c>
      <c r="BJ1884" t="s">
        <v>111</v>
      </c>
      <c r="BK1884" t="s">
        <v>111</v>
      </c>
      <c r="BL1884" t="s">
        <v>111</v>
      </c>
      <c r="BM1884" t="s">
        <v>111</v>
      </c>
      <c r="BN1884" t="s">
        <v>111</v>
      </c>
      <c r="BO1884" t="s">
        <v>111</v>
      </c>
      <c r="BP1884" t="s">
        <v>111</v>
      </c>
      <c r="BQ1884" t="s">
        <v>111</v>
      </c>
      <c r="BR1884" t="s">
        <v>111</v>
      </c>
      <c r="BS1884" t="s">
        <v>111</v>
      </c>
      <c r="BT1884" t="s">
        <v>111</v>
      </c>
      <c r="BU1884" t="s">
        <v>111</v>
      </c>
      <c r="BV1884" t="s">
        <v>111</v>
      </c>
      <c r="BW1884" t="s">
        <v>111</v>
      </c>
      <c r="BX1884" t="s">
        <v>111</v>
      </c>
      <c r="BY1884" t="s">
        <v>111</v>
      </c>
      <c r="BZ1884" t="s">
        <v>111</v>
      </c>
      <c r="CA1884" t="s">
        <v>111</v>
      </c>
      <c r="CB1884" t="s">
        <v>111</v>
      </c>
      <c r="CC1884" t="s">
        <v>111</v>
      </c>
      <c r="CD1884" t="s">
        <v>111</v>
      </c>
      <c r="CE1884" t="s">
        <v>111</v>
      </c>
      <c r="CF1884" t="s">
        <v>111</v>
      </c>
      <c r="CG1884" t="s">
        <v>111</v>
      </c>
      <c r="CH1884" t="s">
        <v>111</v>
      </c>
      <c r="CI1884" t="s">
        <v>111</v>
      </c>
      <c r="CJ1884" t="s">
        <v>111</v>
      </c>
      <c r="CK1884" t="s">
        <v>111</v>
      </c>
      <c r="CL1884" t="s">
        <v>111</v>
      </c>
      <c r="CM1884" t="s">
        <v>135</v>
      </c>
      <c r="CN1884" t="s">
        <v>113</v>
      </c>
      <c r="CO1884" t="s">
        <v>111</v>
      </c>
      <c r="CP1884" t="s">
        <v>563</v>
      </c>
      <c r="CQ1884">
        <v>88</v>
      </c>
      <c r="CR1884">
        <v>5000</v>
      </c>
      <c r="CS1884">
        <v>200</v>
      </c>
      <c r="CT1884" t="e">
        <f>-DESTINO ALMACEN</f>
        <v>#NAME?</v>
      </c>
      <c r="CU1884">
        <v>0</v>
      </c>
      <c r="CV1884" t="s">
        <v>111</v>
      </c>
      <c r="CW1884" t="s">
        <v>111</v>
      </c>
      <c r="CX1884" t="s">
        <v>111</v>
      </c>
      <c r="CY1884">
        <v>0</v>
      </c>
      <c r="CZ1884" t="s">
        <v>111</v>
      </c>
      <c r="DA1884" t="s">
        <v>111</v>
      </c>
      <c r="DB1884" t="s">
        <v>111</v>
      </c>
      <c r="DC1884" t="s">
        <v>111</v>
      </c>
    </row>
    <row r="1885" spans="1:107">
      <c r="A1885">
        <v>1252</v>
      </c>
      <c r="B1885" t="s">
        <v>107</v>
      </c>
      <c r="C1885" t="s">
        <v>1338</v>
      </c>
      <c r="D1885" t="s">
        <v>5168</v>
      </c>
      <c r="E1885" t="s">
        <v>5171</v>
      </c>
      <c r="F1885" t="s">
        <v>1651</v>
      </c>
      <c r="G1885" t="s">
        <v>24</v>
      </c>
      <c r="H1885">
        <v>1.4</v>
      </c>
      <c r="I1885">
        <v>35</v>
      </c>
      <c r="J1885">
        <v>0</v>
      </c>
      <c r="K1885">
        <v>0</v>
      </c>
      <c r="L1885" t="s">
        <v>112</v>
      </c>
      <c r="M1885" t="s">
        <v>118</v>
      </c>
      <c r="N1885">
        <v>39</v>
      </c>
      <c r="O1885">
        <v>2</v>
      </c>
      <c r="P1885" t="s">
        <v>111</v>
      </c>
      <c r="Q1885">
        <v>25</v>
      </c>
      <c r="R1885">
        <v>0</v>
      </c>
      <c r="S1885">
        <v>0</v>
      </c>
      <c r="T1885">
        <v>5</v>
      </c>
      <c r="U1885" s="1" t="s">
        <v>5172</v>
      </c>
      <c r="V1885">
        <v>0</v>
      </c>
      <c r="W1885">
        <v>0</v>
      </c>
      <c r="X1885">
        <v>0</v>
      </c>
      <c r="Y1885">
        <v>25</v>
      </c>
      <c r="Z1885" t="s">
        <v>111</v>
      </c>
      <c r="AA1885">
        <v>0</v>
      </c>
      <c r="AB1885" t="s">
        <v>3954</v>
      </c>
      <c r="AC1885">
        <v>3</v>
      </c>
      <c r="AD1885" t="s">
        <v>416</v>
      </c>
      <c r="AE1885">
        <v>0</v>
      </c>
      <c r="AF1885">
        <v>0</v>
      </c>
      <c r="AG1885" t="s">
        <v>111</v>
      </c>
      <c r="AH1885" t="s">
        <v>113</v>
      </c>
      <c r="AI1885" t="s">
        <v>111</v>
      </c>
      <c r="AJ1885" t="s">
        <v>111</v>
      </c>
      <c r="AK1885" t="s">
        <v>111</v>
      </c>
      <c r="AL1885" t="s">
        <v>111</v>
      </c>
      <c r="AM1885">
        <v>0</v>
      </c>
      <c r="AN1885">
        <v>0</v>
      </c>
      <c r="AO1885">
        <v>0</v>
      </c>
      <c r="AP1885" t="s">
        <v>111</v>
      </c>
      <c r="AQ1885" t="s">
        <v>111</v>
      </c>
      <c r="AR1885" t="s">
        <v>111</v>
      </c>
      <c r="AS1885" t="s">
        <v>111</v>
      </c>
      <c r="AT1885" t="s">
        <v>111</v>
      </c>
      <c r="AU1885" t="s">
        <v>111</v>
      </c>
      <c r="AV1885" t="s">
        <v>111</v>
      </c>
      <c r="AW1885" t="s">
        <v>111</v>
      </c>
      <c r="AX1885" t="s">
        <v>111</v>
      </c>
      <c r="AY1885" t="s">
        <v>111</v>
      </c>
      <c r="AZ1885" t="s">
        <v>111</v>
      </c>
      <c r="BA1885" t="s">
        <v>111</v>
      </c>
      <c r="BB1885" t="s">
        <v>111</v>
      </c>
      <c r="BC1885" t="s">
        <v>111</v>
      </c>
      <c r="BD1885" t="s">
        <v>111</v>
      </c>
      <c r="BE1885" t="s">
        <v>111</v>
      </c>
      <c r="BF1885" t="s">
        <v>111</v>
      </c>
      <c r="BG1885" t="s">
        <v>111</v>
      </c>
      <c r="BH1885" t="s">
        <v>111</v>
      </c>
      <c r="BI1885" t="s">
        <v>111</v>
      </c>
      <c r="BJ1885" t="s">
        <v>111</v>
      </c>
      <c r="BK1885" t="s">
        <v>111</v>
      </c>
      <c r="BL1885" t="s">
        <v>111</v>
      </c>
      <c r="BM1885" t="s">
        <v>111</v>
      </c>
      <c r="BN1885" t="s">
        <v>111</v>
      </c>
      <c r="BO1885" t="s">
        <v>111</v>
      </c>
      <c r="BP1885" t="s">
        <v>111</v>
      </c>
      <c r="BQ1885" t="s">
        <v>111</v>
      </c>
      <c r="BR1885" t="s">
        <v>111</v>
      </c>
      <c r="BS1885" t="s">
        <v>111</v>
      </c>
      <c r="BT1885" t="s">
        <v>111</v>
      </c>
      <c r="BU1885" t="s">
        <v>111</v>
      </c>
      <c r="BV1885" t="s">
        <v>111</v>
      </c>
      <c r="BW1885" t="s">
        <v>111</v>
      </c>
      <c r="BX1885" t="s">
        <v>111</v>
      </c>
      <c r="BY1885" t="s">
        <v>111</v>
      </c>
      <c r="BZ1885" t="s">
        <v>111</v>
      </c>
      <c r="CA1885" t="s">
        <v>111</v>
      </c>
      <c r="CB1885" t="s">
        <v>111</v>
      </c>
      <c r="CC1885" t="s">
        <v>111</v>
      </c>
      <c r="CD1885" t="s">
        <v>111</v>
      </c>
      <c r="CE1885" t="s">
        <v>111</v>
      </c>
      <c r="CF1885" t="s">
        <v>111</v>
      </c>
      <c r="CG1885" t="s">
        <v>111</v>
      </c>
      <c r="CH1885" t="s">
        <v>111</v>
      </c>
      <c r="CI1885" t="s">
        <v>111</v>
      </c>
      <c r="CJ1885" t="s">
        <v>111</v>
      </c>
      <c r="CK1885" t="s">
        <v>111</v>
      </c>
      <c r="CL1885" t="s">
        <v>111</v>
      </c>
      <c r="CM1885" t="s">
        <v>135</v>
      </c>
      <c r="CN1885" t="s">
        <v>113</v>
      </c>
      <c r="CO1885" t="s">
        <v>111</v>
      </c>
      <c r="CP1885" t="s">
        <v>563</v>
      </c>
      <c r="CQ1885">
        <v>88</v>
      </c>
      <c r="CR1885">
        <v>5000</v>
      </c>
      <c r="CS1885">
        <v>200</v>
      </c>
      <c r="CT1885" t="e">
        <f>-DESTINO ALMACEN</f>
        <v>#NAME?</v>
      </c>
      <c r="CU1885">
        <v>0</v>
      </c>
      <c r="CV1885" t="s">
        <v>111</v>
      </c>
      <c r="CW1885" t="s">
        <v>111</v>
      </c>
      <c r="CX1885" t="s">
        <v>111</v>
      </c>
      <c r="CY1885">
        <v>0</v>
      </c>
      <c r="CZ1885" t="s">
        <v>111</v>
      </c>
      <c r="DA1885" t="s">
        <v>111</v>
      </c>
      <c r="DB1885" t="s">
        <v>111</v>
      </c>
      <c r="DC1885" t="s">
        <v>111</v>
      </c>
    </row>
    <row r="1886" spans="1:107">
      <c r="A1886">
        <v>1249</v>
      </c>
      <c r="B1886" t="s">
        <v>107</v>
      </c>
      <c r="C1886" t="s">
        <v>3783</v>
      </c>
      <c r="D1886" t="s">
        <v>3960</v>
      </c>
      <c r="E1886" t="s">
        <v>5173</v>
      </c>
      <c r="F1886" t="s">
        <v>1260</v>
      </c>
      <c r="G1886" t="s">
        <v>24</v>
      </c>
      <c r="H1886">
        <v>1.9</v>
      </c>
      <c r="I1886">
        <v>40</v>
      </c>
      <c r="J1886">
        <v>0</v>
      </c>
      <c r="K1886">
        <v>0</v>
      </c>
      <c r="L1886" t="s">
        <v>117</v>
      </c>
      <c r="M1886" t="s">
        <v>118</v>
      </c>
      <c r="N1886">
        <v>40</v>
      </c>
      <c r="O1886">
        <v>1</v>
      </c>
      <c r="P1886" t="s">
        <v>138</v>
      </c>
      <c r="Q1886">
        <v>44</v>
      </c>
      <c r="R1886">
        <v>0</v>
      </c>
      <c r="S1886">
        <v>0</v>
      </c>
      <c r="T1886">
        <v>5</v>
      </c>
      <c r="U1886" s="1" t="s">
        <v>784</v>
      </c>
      <c r="V1886">
        <v>0</v>
      </c>
      <c r="W1886">
        <v>0</v>
      </c>
      <c r="X1886">
        <v>0</v>
      </c>
      <c r="Y1886">
        <v>25</v>
      </c>
      <c r="Z1886" t="s">
        <v>111</v>
      </c>
      <c r="AA1886">
        <v>0</v>
      </c>
      <c r="AB1886" t="s">
        <v>111</v>
      </c>
      <c r="AC1886">
        <v>0</v>
      </c>
      <c r="AD1886" t="s">
        <v>416</v>
      </c>
      <c r="AE1886">
        <v>0</v>
      </c>
      <c r="AF1886">
        <v>0</v>
      </c>
      <c r="AG1886" t="s">
        <v>111</v>
      </c>
      <c r="AH1886" t="s">
        <v>113</v>
      </c>
      <c r="AI1886" t="s">
        <v>111</v>
      </c>
      <c r="AJ1886" t="s">
        <v>111</v>
      </c>
      <c r="AK1886" t="s">
        <v>111</v>
      </c>
      <c r="AL1886" t="s">
        <v>111</v>
      </c>
      <c r="AM1886">
        <v>0</v>
      </c>
      <c r="AN1886">
        <v>0</v>
      </c>
      <c r="AO1886">
        <v>0</v>
      </c>
      <c r="AP1886" t="s">
        <v>111</v>
      </c>
      <c r="AQ1886" t="s">
        <v>111</v>
      </c>
      <c r="AR1886" t="s">
        <v>111</v>
      </c>
      <c r="AS1886" t="s">
        <v>111</v>
      </c>
      <c r="AT1886" t="s">
        <v>111</v>
      </c>
      <c r="AU1886" t="s">
        <v>111</v>
      </c>
      <c r="AV1886" t="s">
        <v>111</v>
      </c>
      <c r="AW1886" t="s">
        <v>111</v>
      </c>
      <c r="AX1886" t="s">
        <v>111</v>
      </c>
      <c r="AY1886" t="s">
        <v>111</v>
      </c>
      <c r="AZ1886" t="s">
        <v>111</v>
      </c>
      <c r="BA1886" t="s">
        <v>111</v>
      </c>
      <c r="BB1886" t="s">
        <v>111</v>
      </c>
      <c r="BC1886" t="s">
        <v>111</v>
      </c>
      <c r="BD1886" t="s">
        <v>111</v>
      </c>
      <c r="BE1886" t="s">
        <v>111</v>
      </c>
      <c r="BF1886" t="s">
        <v>111</v>
      </c>
      <c r="BG1886" t="s">
        <v>111</v>
      </c>
      <c r="BH1886" t="s">
        <v>111</v>
      </c>
      <c r="BI1886" t="s">
        <v>111</v>
      </c>
      <c r="BJ1886" t="s">
        <v>111</v>
      </c>
      <c r="BK1886" t="s">
        <v>111</v>
      </c>
      <c r="BL1886" t="s">
        <v>111</v>
      </c>
      <c r="BM1886" t="s">
        <v>111</v>
      </c>
      <c r="BN1886" t="s">
        <v>111</v>
      </c>
      <c r="BO1886" t="s">
        <v>111</v>
      </c>
      <c r="BP1886" t="s">
        <v>111</v>
      </c>
      <c r="BQ1886" t="s">
        <v>111</v>
      </c>
      <c r="BR1886" t="s">
        <v>111</v>
      </c>
      <c r="BS1886" t="s">
        <v>111</v>
      </c>
      <c r="BT1886" t="s">
        <v>111</v>
      </c>
      <c r="BU1886" t="s">
        <v>111</v>
      </c>
      <c r="BV1886" t="s">
        <v>111</v>
      </c>
      <c r="BW1886" t="s">
        <v>111</v>
      </c>
      <c r="BX1886" t="s">
        <v>111</v>
      </c>
      <c r="BY1886" t="s">
        <v>111</v>
      </c>
      <c r="BZ1886" t="s">
        <v>111</v>
      </c>
      <c r="CA1886" t="s">
        <v>111</v>
      </c>
      <c r="CB1886" t="s">
        <v>111</v>
      </c>
      <c r="CC1886" t="s">
        <v>111</v>
      </c>
      <c r="CD1886" t="s">
        <v>111</v>
      </c>
      <c r="CE1886" t="s">
        <v>111</v>
      </c>
      <c r="CF1886" t="s">
        <v>111</v>
      </c>
      <c r="CG1886" t="s">
        <v>111</v>
      </c>
      <c r="CH1886" t="s">
        <v>111</v>
      </c>
      <c r="CI1886" t="s">
        <v>111</v>
      </c>
      <c r="CJ1886" t="s">
        <v>111</v>
      </c>
      <c r="CK1886" t="s">
        <v>111</v>
      </c>
      <c r="CL1886" t="s">
        <v>111</v>
      </c>
      <c r="CM1886" t="s">
        <v>135</v>
      </c>
      <c r="CN1886" t="s">
        <v>113</v>
      </c>
      <c r="CO1886" t="s">
        <v>111</v>
      </c>
      <c r="CP1886" t="s">
        <v>111</v>
      </c>
      <c r="CQ1886">
        <v>0</v>
      </c>
      <c r="CR1886">
        <v>26000</v>
      </c>
      <c r="CS1886">
        <v>26000</v>
      </c>
      <c r="CT1886" t="e">
        <f>-DESTINO ALMACEN</f>
        <v>#NAME?</v>
      </c>
      <c r="CU1886">
        <v>0</v>
      </c>
      <c r="CV1886" t="s">
        <v>111</v>
      </c>
      <c r="CW1886" t="s">
        <v>111</v>
      </c>
      <c r="CX1886" t="s">
        <v>111</v>
      </c>
      <c r="CY1886">
        <v>0</v>
      </c>
      <c r="CZ1886" t="s">
        <v>111</v>
      </c>
      <c r="DA1886" t="s">
        <v>111</v>
      </c>
      <c r="DB1886" t="s">
        <v>111</v>
      </c>
      <c r="DC1886" t="s">
        <v>111</v>
      </c>
    </row>
    <row r="1887" spans="1:107">
      <c r="A1887">
        <v>1248</v>
      </c>
      <c r="B1887" t="s">
        <v>107</v>
      </c>
      <c r="C1887" t="s">
        <v>3783</v>
      </c>
      <c r="D1887" t="s">
        <v>3960</v>
      </c>
      <c r="E1887" t="s">
        <v>5174</v>
      </c>
      <c r="F1887" t="s">
        <v>1260</v>
      </c>
      <c r="G1887" t="s">
        <v>24</v>
      </c>
      <c r="H1887">
        <v>1.9</v>
      </c>
      <c r="I1887">
        <v>40</v>
      </c>
      <c r="J1887">
        <v>0</v>
      </c>
      <c r="K1887">
        <v>0</v>
      </c>
      <c r="L1887" t="s">
        <v>117</v>
      </c>
      <c r="M1887" t="s">
        <v>118</v>
      </c>
      <c r="N1887">
        <v>40</v>
      </c>
      <c r="O1887">
        <v>1</v>
      </c>
      <c r="P1887" t="s">
        <v>111</v>
      </c>
      <c r="Q1887">
        <v>44</v>
      </c>
      <c r="R1887">
        <v>0</v>
      </c>
      <c r="S1887">
        <v>0</v>
      </c>
      <c r="T1887">
        <v>5</v>
      </c>
      <c r="U1887" s="1" t="s">
        <v>784</v>
      </c>
      <c r="V1887">
        <v>0</v>
      </c>
      <c r="W1887">
        <v>0</v>
      </c>
      <c r="X1887">
        <v>0</v>
      </c>
      <c r="Y1887">
        <v>25</v>
      </c>
      <c r="Z1887" t="s">
        <v>111</v>
      </c>
      <c r="AA1887">
        <v>0</v>
      </c>
      <c r="AB1887" t="s">
        <v>111</v>
      </c>
      <c r="AC1887">
        <v>0</v>
      </c>
      <c r="AD1887" t="s">
        <v>416</v>
      </c>
      <c r="AE1887">
        <v>0</v>
      </c>
      <c r="AF1887">
        <v>0</v>
      </c>
      <c r="AG1887" t="s">
        <v>111</v>
      </c>
      <c r="AH1887" t="s">
        <v>113</v>
      </c>
      <c r="AI1887" t="s">
        <v>111</v>
      </c>
      <c r="AJ1887" t="s">
        <v>111</v>
      </c>
      <c r="AK1887" t="s">
        <v>111</v>
      </c>
      <c r="AL1887" t="s">
        <v>111</v>
      </c>
      <c r="AM1887">
        <v>0</v>
      </c>
      <c r="AN1887">
        <v>0</v>
      </c>
      <c r="AO1887">
        <v>0</v>
      </c>
      <c r="AP1887" t="s">
        <v>111</v>
      </c>
      <c r="AQ1887" t="s">
        <v>111</v>
      </c>
      <c r="AR1887" t="s">
        <v>111</v>
      </c>
      <c r="AS1887" t="s">
        <v>111</v>
      </c>
      <c r="AT1887" t="s">
        <v>111</v>
      </c>
      <c r="AU1887" t="s">
        <v>111</v>
      </c>
      <c r="AV1887" t="s">
        <v>111</v>
      </c>
      <c r="AW1887" t="s">
        <v>111</v>
      </c>
      <c r="AX1887" t="s">
        <v>111</v>
      </c>
      <c r="AY1887" t="s">
        <v>111</v>
      </c>
      <c r="AZ1887" t="s">
        <v>111</v>
      </c>
      <c r="BA1887" t="s">
        <v>111</v>
      </c>
      <c r="BB1887" t="s">
        <v>111</v>
      </c>
      <c r="BC1887" t="s">
        <v>111</v>
      </c>
      <c r="BD1887" t="s">
        <v>111</v>
      </c>
      <c r="BE1887" t="s">
        <v>111</v>
      </c>
      <c r="BF1887" t="s">
        <v>111</v>
      </c>
      <c r="BG1887" t="s">
        <v>111</v>
      </c>
      <c r="BH1887" t="s">
        <v>111</v>
      </c>
      <c r="BI1887" t="s">
        <v>111</v>
      </c>
      <c r="BJ1887" t="s">
        <v>111</v>
      </c>
      <c r="BK1887" t="s">
        <v>111</v>
      </c>
      <c r="BL1887" t="s">
        <v>111</v>
      </c>
      <c r="BM1887" t="s">
        <v>111</v>
      </c>
      <c r="BN1887" t="s">
        <v>111</v>
      </c>
      <c r="BO1887" t="s">
        <v>111</v>
      </c>
      <c r="BP1887" t="s">
        <v>111</v>
      </c>
      <c r="BQ1887" t="s">
        <v>111</v>
      </c>
      <c r="BR1887" t="s">
        <v>111</v>
      </c>
      <c r="BS1887" t="s">
        <v>111</v>
      </c>
      <c r="BT1887" t="s">
        <v>111</v>
      </c>
      <c r="BU1887" t="s">
        <v>111</v>
      </c>
      <c r="BV1887" t="s">
        <v>111</v>
      </c>
      <c r="BW1887" t="s">
        <v>111</v>
      </c>
      <c r="BX1887" t="s">
        <v>111</v>
      </c>
      <c r="BY1887" t="s">
        <v>111</v>
      </c>
      <c r="BZ1887" t="s">
        <v>111</v>
      </c>
      <c r="CA1887" t="s">
        <v>111</v>
      </c>
      <c r="CB1887" t="s">
        <v>111</v>
      </c>
      <c r="CC1887" t="s">
        <v>111</v>
      </c>
      <c r="CD1887" t="s">
        <v>111</v>
      </c>
      <c r="CE1887" t="s">
        <v>111</v>
      </c>
      <c r="CF1887" t="s">
        <v>111</v>
      </c>
      <c r="CG1887" t="s">
        <v>111</v>
      </c>
      <c r="CH1887" t="s">
        <v>111</v>
      </c>
      <c r="CI1887" t="s">
        <v>111</v>
      </c>
      <c r="CJ1887" t="s">
        <v>111</v>
      </c>
      <c r="CK1887" t="s">
        <v>111</v>
      </c>
      <c r="CL1887" t="s">
        <v>111</v>
      </c>
      <c r="CM1887" t="s">
        <v>135</v>
      </c>
      <c r="CN1887" t="s">
        <v>113</v>
      </c>
      <c r="CO1887" t="s">
        <v>111</v>
      </c>
      <c r="CP1887" t="s">
        <v>111</v>
      </c>
      <c r="CQ1887">
        <v>0</v>
      </c>
      <c r="CR1887">
        <v>26000</v>
      </c>
      <c r="CS1887">
        <v>26000</v>
      </c>
      <c r="CT1887" t="e">
        <f>-DESTUNO ALMACEN</f>
        <v>#NAME?</v>
      </c>
      <c r="CU1887">
        <v>0</v>
      </c>
      <c r="CV1887" t="s">
        <v>111</v>
      </c>
      <c r="CW1887" t="s">
        <v>111</v>
      </c>
      <c r="CX1887" t="s">
        <v>111</v>
      </c>
      <c r="CY1887">
        <v>0</v>
      </c>
      <c r="CZ1887" t="s">
        <v>111</v>
      </c>
      <c r="DA1887" t="s">
        <v>111</v>
      </c>
      <c r="DB1887" t="s">
        <v>111</v>
      </c>
      <c r="DC1887" t="s">
        <v>111</v>
      </c>
    </row>
    <row r="1888" spans="1:107">
      <c r="A1888">
        <v>1240</v>
      </c>
      <c r="B1888" t="s">
        <v>107</v>
      </c>
      <c r="C1888" t="s">
        <v>960</v>
      </c>
      <c r="D1888" t="s">
        <v>5175</v>
      </c>
      <c r="E1888" t="s">
        <v>923</v>
      </c>
      <c r="F1888" t="s">
        <v>125</v>
      </c>
      <c r="G1888" t="s">
        <v>24</v>
      </c>
      <c r="H1888">
        <v>0.6</v>
      </c>
      <c r="I1888">
        <v>61</v>
      </c>
      <c r="J1888">
        <v>0</v>
      </c>
      <c r="K1888">
        <v>0</v>
      </c>
      <c r="L1888" t="s">
        <v>112</v>
      </c>
      <c r="M1888" t="s">
        <v>118</v>
      </c>
      <c r="N1888">
        <v>0</v>
      </c>
      <c r="O1888">
        <v>0</v>
      </c>
      <c r="P1888" t="s">
        <v>138</v>
      </c>
      <c r="Q1888">
        <v>42.5</v>
      </c>
      <c r="R1888">
        <v>0</v>
      </c>
      <c r="S1888">
        <v>0</v>
      </c>
      <c r="T1888">
        <v>5</v>
      </c>
      <c r="U1888" t="e">
        <f>-DESTNO SELLADO</f>
        <v>#NAME?</v>
      </c>
      <c r="V1888">
        <v>25</v>
      </c>
      <c r="W1888">
        <v>0</v>
      </c>
      <c r="X1888">
        <v>5</v>
      </c>
      <c r="Y1888">
        <v>0</v>
      </c>
      <c r="Z1888" t="s">
        <v>111</v>
      </c>
      <c r="AA1888">
        <v>0</v>
      </c>
      <c r="AB1888" t="s">
        <v>111</v>
      </c>
      <c r="AC1888">
        <v>0</v>
      </c>
      <c r="AD1888" t="s">
        <v>111</v>
      </c>
      <c r="AE1888">
        <v>0</v>
      </c>
      <c r="AF1888">
        <v>0</v>
      </c>
      <c r="AG1888" t="s">
        <v>111</v>
      </c>
      <c r="AH1888" t="s">
        <v>111</v>
      </c>
      <c r="AI1888" t="s">
        <v>111</v>
      </c>
      <c r="AJ1888" t="s">
        <v>111</v>
      </c>
      <c r="AK1888" t="s">
        <v>111</v>
      </c>
      <c r="AL1888" t="s">
        <v>111</v>
      </c>
      <c r="AM1888">
        <v>0</v>
      </c>
      <c r="AN1888">
        <v>0</v>
      </c>
      <c r="AO1888">
        <v>0</v>
      </c>
      <c r="AP1888" t="s">
        <v>111</v>
      </c>
      <c r="AQ1888" t="s">
        <v>111</v>
      </c>
      <c r="AR1888" t="s">
        <v>111</v>
      </c>
      <c r="AS1888" t="s">
        <v>111</v>
      </c>
      <c r="AT1888" t="s">
        <v>111</v>
      </c>
      <c r="AU1888" t="s">
        <v>111</v>
      </c>
      <c r="AV1888" t="s">
        <v>111</v>
      </c>
      <c r="AW1888" t="s">
        <v>111</v>
      </c>
      <c r="AX1888" t="s">
        <v>111</v>
      </c>
      <c r="AY1888" t="s">
        <v>111</v>
      </c>
      <c r="AZ1888" t="s">
        <v>111</v>
      </c>
      <c r="BA1888" t="s">
        <v>111</v>
      </c>
      <c r="BB1888" t="s">
        <v>111</v>
      </c>
      <c r="BC1888" t="s">
        <v>111</v>
      </c>
      <c r="BD1888" t="s">
        <v>111</v>
      </c>
      <c r="BE1888" t="s">
        <v>111</v>
      </c>
      <c r="BF1888" t="s">
        <v>111</v>
      </c>
      <c r="BG1888" t="s">
        <v>111</v>
      </c>
      <c r="BH1888" t="s">
        <v>111</v>
      </c>
      <c r="BI1888" t="s">
        <v>111</v>
      </c>
      <c r="BJ1888" t="s">
        <v>111</v>
      </c>
      <c r="BK1888" t="s">
        <v>111</v>
      </c>
      <c r="BL1888" t="s">
        <v>111</v>
      </c>
      <c r="BM1888" t="s">
        <v>111</v>
      </c>
      <c r="BN1888" t="s">
        <v>111</v>
      </c>
      <c r="BO1888" t="s">
        <v>111</v>
      </c>
      <c r="BP1888" t="s">
        <v>111</v>
      </c>
      <c r="BQ1888" t="s">
        <v>111</v>
      </c>
      <c r="BR1888" t="s">
        <v>111</v>
      </c>
      <c r="BS1888" t="s">
        <v>111</v>
      </c>
      <c r="BT1888" t="s">
        <v>111</v>
      </c>
      <c r="BU1888" t="s">
        <v>111</v>
      </c>
      <c r="BV1888" t="s">
        <v>111</v>
      </c>
      <c r="BW1888" t="s">
        <v>111</v>
      </c>
      <c r="BX1888" t="s">
        <v>111</v>
      </c>
      <c r="BY1888" t="s">
        <v>111</v>
      </c>
      <c r="BZ1888" t="s">
        <v>111</v>
      </c>
      <c r="CA1888" t="s">
        <v>111</v>
      </c>
      <c r="CB1888" t="s">
        <v>111</v>
      </c>
      <c r="CC1888" t="s">
        <v>111</v>
      </c>
      <c r="CD1888" t="s">
        <v>111</v>
      </c>
      <c r="CE1888" t="s">
        <v>111</v>
      </c>
      <c r="CF1888" t="s">
        <v>111</v>
      </c>
      <c r="CG1888" t="s">
        <v>111</v>
      </c>
      <c r="CH1888" t="s">
        <v>111</v>
      </c>
      <c r="CI1888" t="s">
        <v>111</v>
      </c>
      <c r="CJ1888" t="s">
        <v>111</v>
      </c>
      <c r="CK1888" t="s">
        <v>111</v>
      </c>
      <c r="CL1888" t="s">
        <v>111</v>
      </c>
      <c r="CM1888" t="s">
        <v>127</v>
      </c>
      <c r="CN1888" t="s">
        <v>128</v>
      </c>
      <c r="CO1888" t="s">
        <v>111</v>
      </c>
      <c r="CP1888" t="s">
        <v>111</v>
      </c>
      <c r="CQ1888">
        <v>0</v>
      </c>
      <c r="CR1888">
        <v>1500</v>
      </c>
      <c r="CS1888">
        <v>100</v>
      </c>
      <c r="CT1888" t="e">
        <f>-DESTINO ALMACEN</f>
        <v>#NAME?</v>
      </c>
      <c r="CU1888">
        <v>0</v>
      </c>
      <c r="CV1888" t="s">
        <v>111</v>
      </c>
      <c r="CW1888" t="s">
        <v>111</v>
      </c>
      <c r="CX1888" t="s">
        <v>111</v>
      </c>
      <c r="CY1888">
        <v>0</v>
      </c>
      <c r="CZ1888" t="s">
        <v>111</v>
      </c>
      <c r="DA1888" t="s">
        <v>111</v>
      </c>
      <c r="DB1888" t="s">
        <v>111</v>
      </c>
      <c r="DC1888" t="s">
        <v>111</v>
      </c>
    </row>
    <row r="1889" spans="1:107">
      <c r="A1889">
        <v>1239</v>
      </c>
      <c r="B1889" t="s">
        <v>107</v>
      </c>
      <c r="C1889" t="s">
        <v>4386</v>
      </c>
      <c r="D1889" t="s">
        <v>5176</v>
      </c>
      <c r="E1889" t="s">
        <v>5177</v>
      </c>
      <c r="F1889" t="s">
        <v>2211</v>
      </c>
      <c r="G1889" t="s">
        <v>24</v>
      </c>
      <c r="H1889">
        <v>1</v>
      </c>
      <c r="I1889">
        <v>25</v>
      </c>
      <c r="J1889">
        <v>0</v>
      </c>
      <c r="K1889">
        <v>0</v>
      </c>
      <c r="L1889" t="s">
        <v>5178</v>
      </c>
      <c r="M1889" t="s">
        <v>138</v>
      </c>
      <c r="N1889">
        <v>0</v>
      </c>
      <c r="O1889">
        <v>0</v>
      </c>
      <c r="P1889" t="s">
        <v>118</v>
      </c>
      <c r="Q1889">
        <v>50</v>
      </c>
      <c r="R1889">
        <v>0</v>
      </c>
      <c r="S1889">
        <v>0</v>
      </c>
      <c r="T1889">
        <v>0</v>
      </c>
      <c r="U1889" s="1" t="s">
        <v>5179</v>
      </c>
      <c r="V1889">
        <v>0</v>
      </c>
      <c r="W1889">
        <v>0</v>
      </c>
      <c r="X1889">
        <v>0</v>
      </c>
      <c r="Y1889">
        <v>25</v>
      </c>
      <c r="Z1889" t="s">
        <v>111</v>
      </c>
      <c r="AA1889">
        <v>0</v>
      </c>
      <c r="AB1889" t="s">
        <v>4244</v>
      </c>
      <c r="AC1889">
        <v>0.3</v>
      </c>
      <c r="AD1889" t="s">
        <v>111</v>
      </c>
      <c r="AE1889">
        <v>0</v>
      </c>
      <c r="AF1889">
        <v>0</v>
      </c>
      <c r="AG1889" t="s">
        <v>111</v>
      </c>
      <c r="AH1889" t="s">
        <v>111</v>
      </c>
      <c r="AI1889" t="s">
        <v>111</v>
      </c>
      <c r="AJ1889" t="s">
        <v>111</v>
      </c>
      <c r="AK1889" t="s">
        <v>111</v>
      </c>
      <c r="AL1889" t="s">
        <v>111</v>
      </c>
      <c r="AM1889">
        <v>0</v>
      </c>
      <c r="AN1889">
        <v>0</v>
      </c>
      <c r="AO1889">
        <v>0</v>
      </c>
      <c r="AP1889" t="s">
        <v>111</v>
      </c>
      <c r="AQ1889" t="s">
        <v>111</v>
      </c>
      <c r="AR1889" t="s">
        <v>111</v>
      </c>
      <c r="AS1889" t="s">
        <v>111</v>
      </c>
      <c r="AT1889" t="s">
        <v>111</v>
      </c>
      <c r="AU1889" t="s">
        <v>111</v>
      </c>
      <c r="AV1889" t="s">
        <v>111</v>
      </c>
      <c r="AW1889" t="s">
        <v>111</v>
      </c>
      <c r="AX1889" t="s">
        <v>111</v>
      </c>
      <c r="AY1889" t="s">
        <v>111</v>
      </c>
      <c r="AZ1889" t="s">
        <v>111</v>
      </c>
      <c r="BA1889" t="s">
        <v>111</v>
      </c>
      <c r="BB1889" t="s">
        <v>111</v>
      </c>
      <c r="BC1889" t="s">
        <v>111</v>
      </c>
      <c r="BD1889" t="s">
        <v>111</v>
      </c>
      <c r="BE1889" t="s">
        <v>111</v>
      </c>
      <c r="BF1889" t="s">
        <v>111</v>
      </c>
      <c r="BG1889" t="s">
        <v>111</v>
      </c>
      <c r="BH1889" t="s">
        <v>111</v>
      </c>
      <c r="BI1889" t="s">
        <v>111</v>
      </c>
      <c r="BJ1889" t="s">
        <v>111</v>
      </c>
      <c r="BK1889" t="s">
        <v>111</v>
      </c>
      <c r="BL1889" t="s">
        <v>111</v>
      </c>
      <c r="BM1889" t="s">
        <v>111</v>
      </c>
      <c r="BN1889" t="s">
        <v>111</v>
      </c>
      <c r="BO1889" t="s">
        <v>111</v>
      </c>
      <c r="BP1889" t="s">
        <v>111</v>
      </c>
      <c r="BQ1889" t="s">
        <v>111</v>
      </c>
      <c r="BR1889" t="s">
        <v>111</v>
      </c>
      <c r="BS1889" t="s">
        <v>111</v>
      </c>
      <c r="BT1889" t="s">
        <v>111</v>
      </c>
      <c r="BU1889" t="s">
        <v>111</v>
      </c>
      <c r="BV1889" t="s">
        <v>111</v>
      </c>
      <c r="BW1889" t="s">
        <v>111</v>
      </c>
      <c r="BX1889" t="s">
        <v>111</v>
      </c>
      <c r="BY1889" t="s">
        <v>111</v>
      </c>
      <c r="BZ1889" t="s">
        <v>111</v>
      </c>
      <c r="CA1889" t="s">
        <v>111</v>
      </c>
      <c r="CB1889" t="s">
        <v>111</v>
      </c>
      <c r="CC1889" t="s">
        <v>111</v>
      </c>
      <c r="CD1889" t="s">
        <v>111</v>
      </c>
      <c r="CE1889" t="s">
        <v>111</v>
      </c>
      <c r="CF1889" t="s">
        <v>111</v>
      </c>
      <c r="CG1889" t="s">
        <v>111</v>
      </c>
      <c r="CH1889" t="s">
        <v>111</v>
      </c>
      <c r="CI1889" t="s">
        <v>111</v>
      </c>
      <c r="CJ1889" t="s">
        <v>111</v>
      </c>
      <c r="CK1889" t="s">
        <v>111</v>
      </c>
      <c r="CL1889" t="s">
        <v>111</v>
      </c>
      <c r="CM1889" t="s">
        <v>111</v>
      </c>
      <c r="CN1889" t="s">
        <v>111</v>
      </c>
      <c r="CO1889" t="s">
        <v>111</v>
      </c>
      <c r="CP1889" t="s">
        <v>111</v>
      </c>
      <c r="CQ1889">
        <v>0</v>
      </c>
      <c r="CR1889">
        <v>0</v>
      </c>
      <c r="CS1889">
        <v>0</v>
      </c>
      <c r="CT1889" t="s">
        <v>111</v>
      </c>
      <c r="CU1889">
        <v>25</v>
      </c>
      <c r="CV1889" t="s">
        <v>111</v>
      </c>
      <c r="CW1889" t="s">
        <v>111</v>
      </c>
      <c r="CX1889" t="s">
        <v>111</v>
      </c>
      <c r="CY1889">
        <v>25</v>
      </c>
      <c r="CZ1889" t="s">
        <v>112</v>
      </c>
      <c r="DA1889" t="e">
        <f>-ROLLOS BIEN EMPACADOS</f>
        <v>#NAME?</v>
      </c>
      <c r="DB1889" t="s">
        <v>111</v>
      </c>
      <c r="DC1889" t="s">
        <v>111</v>
      </c>
    </row>
    <row r="1890" spans="1:107">
      <c r="A1890">
        <v>1222</v>
      </c>
      <c r="B1890" t="s">
        <v>107</v>
      </c>
      <c r="C1890" t="s">
        <v>827</v>
      </c>
      <c r="D1890" t="s">
        <v>5074</v>
      </c>
      <c r="E1890" t="s">
        <v>5180</v>
      </c>
      <c r="F1890" t="s">
        <v>1651</v>
      </c>
      <c r="G1890" t="s">
        <v>24</v>
      </c>
      <c r="H1890">
        <v>1.4</v>
      </c>
      <c r="I1890">
        <v>48</v>
      </c>
      <c r="J1890">
        <v>0</v>
      </c>
      <c r="K1890">
        <v>0</v>
      </c>
      <c r="L1890" t="s">
        <v>112</v>
      </c>
      <c r="M1890" t="s">
        <v>118</v>
      </c>
      <c r="N1890">
        <v>40</v>
      </c>
      <c r="O1890">
        <v>2</v>
      </c>
      <c r="P1890" t="s">
        <v>138</v>
      </c>
      <c r="Q1890">
        <v>39.5</v>
      </c>
      <c r="R1890">
        <v>0</v>
      </c>
      <c r="S1890">
        <v>0</v>
      </c>
      <c r="T1890">
        <v>5</v>
      </c>
      <c r="U1890" s="1" t="s">
        <v>5181</v>
      </c>
      <c r="V1890">
        <v>0</v>
      </c>
      <c r="W1890">
        <v>0</v>
      </c>
      <c r="X1890">
        <v>0</v>
      </c>
      <c r="Y1890">
        <v>25</v>
      </c>
      <c r="Z1890" t="s">
        <v>111</v>
      </c>
      <c r="AA1890">
        <v>0</v>
      </c>
      <c r="AB1890" t="s">
        <v>3954</v>
      </c>
      <c r="AC1890">
        <v>3</v>
      </c>
      <c r="AD1890" t="s">
        <v>416</v>
      </c>
      <c r="AE1890">
        <v>0</v>
      </c>
      <c r="AF1890">
        <v>0</v>
      </c>
      <c r="AG1890" t="s">
        <v>111</v>
      </c>
      <c r="AH1890" t="s">
        <v>113</v>
      </c>
      <c r="AI1890" t="s">
        <v>111</v>
      </c>
      <c r="AJ1890" t="s">
        <v>111</v>
      </c>
      <c r="AK1890" t="s">
        <v>111</v>
      </c>
      <c r="AL1890" t="s">
        <v>111</v>
      </c>
      <c r="AM1890">
        <v>0</v>
      </c>
      <c r="AN1890">
        <v>0</v>
      </c>
      <c r="AO1890">
        <v>0</v>
      </c>
      <c r="AP1890" t="s">
        <v>111</v>
      </c>
      <c r="AQ1890" t="s">
        <v>111</v>
      </c>
      <c r="AR1890" t="s">
        <v>111</v>
      </c>
      <c r="AS1890" t="s">
        <v>111</v>
      </c>
      <c r="AT1890" t="s">
        <v>111</v>
      </c>
      <c r="AU1890" t="s">
        <v>111</v>
      </c>
      <c r="AV1890" t="s">
        <v>111</v>
      </c>
      <c r="AW1890" t="s">
        <v>111</v>
      </c>
      <c r="AX1890" t="s">
        <v>111</v>
      </c>
      <c r="AY1890" t="s">
        <v>111</v>
      </c>
      <c r="AZ1890" t="s">
        <v>111</v>
      </c>
      <c r="BA1890" t="s">
        <v>111</v>
      </c>
      <c r="BB1890" t="s">
        <v>111</v>
      </c>
      <c r="BC1890" t="s">
        <v>111</v>
      </c>
      <c r="BD1890" t="s">
        <v>111</v>
      </c>
      <c r="BE1890" t="s">
        <v>111</v>
      </c>
      <c r="BF1890" t="s">
        <v>111</v>
      </c>
      <c r="BG1890" t="s">
        <v>111</v>
      </c>
      <c r="BH1890" t="s">
        <v>111</v>
      </c>
      <c r="BI1890" t="s">
        <v>111</v>
      </c>
      <c r="BJ1890" t="s">
        <v>111</v>
      </c>
      <c r="BK1890" t="s">
        <v>111</v>
      </c>
      <c r="BL1890" t="s">
        <v>111</v>
      </c>
      <c r="BM1890" t="s">
        <v>111</v>
      </c>
      <c r="BN1890" t="s">
        <v>111</v>
      </c>
      <c r="BO1890" t="s">
        <v>111</v>
      </c>
      <c r="BP1890" t="s">
        <v>111</v>
      </c>
      <c r="BQ1890" t="s">
        <v>111</v>
      </c>
      <c r="BR1890" t="s">
        <v>111</v>
      </c>
      <c r="BS1890" t="s">
        <v>111</v>
      </c>
      <c r="BT1890" t="s">
        <v>111</v>
      </c>
      <c r="BU1890" t="s">
        <v>111</v>
      </c>
      <c r="BV1890" t="s">
        <v>111</v>
      </c>
      <c r="BW1890" t="s">
        <v>111</v>
      </c>
      <c r="BX1890" t="s">
        <v>111</v>
      </c>
      <c r="BY1890" t="s">
        <v>111</v>
      </c>
      <c r="BZ1890" t="s">
        <v>111</v>
      </c>
      <c r="CA1890" t="s">
        <v>111</v>
      </c>
      <c r="CB1890" t="s">
        <v>111</v>
      </c>
      <c r="CC1890" t="s">
        <v>111</v>
      </c>
      <c r="CD1890" t="s">
        <v>111</v>
      </c>
      <c r="CE1890" t="s">
        <v>111</v>
      </c>
      <c r="CF1890" t="s">
        <v>111</v>
      </c>
      <c r="CG1890" t="s">
        <v>111</v>
      </c>
      <c r="CH1890" t="s">
        <v>111</v>
      </c>
      <c r="CI1890" t="s">
        <v>111</v>
      </c>
      <c r="CJ1890" t="s">
        <v>111</v>
      </c>
      <c r="CK1890" t="s">
        <v>111</v>
      </c>
      <c r="CL1890" t="s">
        <v>111</v>
      </c>
      <c r="CM1890" t="s">
        <v>135</v>
      </c>
      <c r="CN1890" t="s">
        <v>113</v>
      </c>
      <c r="CO1890" t="s">
        <v>111</v>
      </c>
      <c r="CP1890" t="s">
        <v>111</v>
      </c>
      <c r="CQ1890">
        <v>86</v>
      </c>
      <c r="CR1890">
        <v>4000</v>
      </c>
      <c r="CS1890">
        <v>200</v>
      </c>
      <c r="CT1890" t="e">
        <f>-DESTINO ALMACEN</f>
        <v>#NAME?</v>
      </c>
      <c r="CU1890">
        <v>0</v>
      </c>
      <c r="CV1890" t="s">
        <v>111</v>
      </c>
      <c r="CW1890" t="s">
        <v>111</v>
      </c>
      <c r="CX1890" t="s">
        <v>111</v>
      </c>
      <c r="CY1890">
        <v>0</v>
      </c>
      <c r="CZ1890" t="s">
        <v>111</v>
      </c>
      <c r="DA1890" t="s">
        <v>111</v>
      </c>
      <c r="DB1890" t="s">
        <v>111</v>
      </c>
      <c r="DC1890" t="s">
        <v>111</v>
      </c>
    </row>
    <row r="1891" spans="1:107">
      <c r="A1891">
        <v>1187</v>
      </c>
      <c r="B1891" t="s">
        <v>107</v>
      </c>
      <c r="C1891" t="s">
        <v>4324</v>
      </c>
      <c r="D1891" t="s">
        <v>4562</v>
      </c>
      <c r="E1891" t="s">
        <v>4563</v>
      </c>
      <c r="F1891" t="s">
        <v>2211</v>
      </c>
      <c r="G1891" t="s">
        <v>24</v>
      </c>
      <c r="H1891">
        <v>2.7</v>
      </c>
      <c r="I1891">
        <v>45</v>
      </c>
      <c r="J1891">
        <v>0</v>
      </c>
      <c r="K1891">
        <v>0</v>
      </c>
      <c r="L1891" t="s">
        <v>117</v>
      </c>
      <c r="M1891" t="s">
        <v>118</v>
      </c>
      <c r="N1891">
        <v>40</v>
      </c>
      <c r="O1891">
        <v>1</v>
      </c>
      <c r="P1891" t="s">
        <v>111</v>
      </c>
      <c r="Q1891">
        <v>41.6</v>
      </c>
      <c r="R1891">
        <v>0</v>
      </c>
      <c r="S1891">
        <v>0</v>
      </c>
      <c r="T1891">
        <v>0</v>
      </c>
      <c r="U1891" s="1" t="s">
        <v>5182</v>
      </c>
      <c r="V1891">
        <v>0</v>
      </c>
      <c r="W1891">
        <v>0</v>
      </c>
      <c r="X1891">
        <v>0</v>
      </c>
      <c r="Y1891">
        <v>25</v>
      </c>
      <c r="Z1891" t="s">
        <v>111</v>
      </c>
      <c r="AA1891">
        <v>0</v>
      </c>
      <c r="AB1891" t="s">
        <v>111</v>
      </c>
      <c r="AC1891">
        <v>0</v>
      </c>
      <c r="AD1891" t="s">
        <v>111</v>
      </c>
      <c r="AE1891">
        <v>0</v>
      </c>
      <c r="AF1891">
        <v>0</v>
      </c>
      <c r="AG1891" t="s">
        <v>111</v>
      </c>
      <c r="AH1891" t="s">
        <v>111</v>
      </c>
      <c r="AI1891" t="s">
        <v>111</v>
      </c>
      <c r="AJ1891" t="s">
        <v>111</v>
      </c>
      <c r="AK1891" t="s">
        <v>111</v>
      </c>
      <c r="AL1891" t="s">
        <v>111</v>
      </c>
      <c r="AM1891">
        <v>0</v>
      </c>
      <c r="AN1891">
        <v>0</v>
      </c>
      <c r="AO1891">
        <v>0</v>
      </c>
      <c r="AP1891" t="s">
        <v>111</v>
      </c>
      <c r="AQ1891" t="s">
        <v>111</v>
      </c>
      <c r="AR1891" t="s">
        <v>111</v>
      </c>
      <c r="AS1891" t="s">
        <v>111</v>
      </c>
      <c r="AT1891" t="s">
        <v>111</v>
      </c>
      <c r="AU1891" t="s">
        <v>111</v>
      </c>
      <c r="AV1891" t="s">
        <v>111</v>
      </c>
      <c r="AW1891" t="s">
        <v>111</v>
      </c>
      <c r="AX1891" t="s">
        <v>111</v>
      </c>
      <c r="AY1891" t="s">
        <v>111</v>
      </c>
      <c r="AZ1891" t="s">
        <v>111</v>
      </c>
      <c r="BA1891" t="s">
        <v>111</v>
      </c>
      <c r="BB1891" t="s">
        <v>111</v>
      </c>
      <c r="BC1891" t="s">
        <v>111</v>
      </c>
      <c r="BD1891" t="s">
        <v>111</v>
      </c>
      <c r="BE1891" t="s">
        <v>111</v>
      </c>
      <c r="BF1891" t="s">
        <v>111</v>
      </c>
      <c r="BG1891" t="s">
        <v>111</v>
      </c>
      <c r="BH1891" t="s">
        <v>111</v>
      </c>
      <c r="BI1891" t="s">
        <v>111</v>
      </c>
      <c r="BJ1891" t="s">
        <v>111</v>
      </c>
      <c r="BK1891" t="s">
        <v>111</v>
      </c>
      <c r="BL1891" t="s">
        <v>111</v>
      </c>
      <c r="BM1891" t="s">
        <v>111</v>
      </c>
      <c r="BN1891" t="s">
        <v>111</v>
      </c>
      <c r="BO1891" t="s">
        <v>111</v>
      </c>
      <c r="BP1891" t="s">
        <v>111</v>
      </c>
      <c r="BQ1891" t="s">
        <v>111</v>
      </c>
      <c r="BR1891" t="s">
        <v>111</v>
      </c>
      <c r="BS1891" t="s">
        <v>111</v>
      </c>
      <c r="BT1891" t="s">
        <v>111</v>
      </c>
      <c r="BU1891" t="s">
        <v>111</v>
      </c>
      <c r="BV1891" t="s">
        <v>111</v>
      </c>
      <c r="BW1891" t="s">
        <v>111</v>
      </c>
      <c r="BX1891" t="s">
        <v>111</v>
      </c>
      <c r="BY1891" t="s">
        <v>111</v>
      </c>
      <c r="BZ1891" t="s">
        <v>111</v>
      </c>
      <c r="CA1891" t="s">
        <v>111</v>
      </c>
      <c r="CB1891" t="s">
        <v>111</v>
      </c>
      <c r="CC1891" t="s">
        <v>111</v>
      </c>
      <c r="CD1891" t="s">
        <v>111</v>
      </c>
      <c r="CE1891" t="s">
        <v>111</v>
      </c>
      <c r="CF1891" t="s">
        <v>111</v>
      </c>
      <c r="CG1891" t="s">
        <v>111</v>
      </c>
      <c r="CH1891" t="s">
        <v>111</v>
      </c>
      <c r="CI1891" t="s">
        <v>111</v>
      </c>
      <c r="CJ1891" t="s">
        <v>111</v>
      </c>
      <c r="CK1891" t="s">
        <v>111</v>
      </c>
      <c r="CL1891" t="s">
        <v>111</v>
      </c>
      <c r="CM1891" t="s">
        <v>111</v>
      </c>
      <c r="CN1891" t="s">
        <v>111</v>
      </c>
      <c r="CO1891" t="s">
        <v>111</v>
      </c>
      <c r="CP1891" t="s">
        <v>111</v>
      </c>
      <c r="CQ1891">
        <v>0</v>
      </c>
      <c r="CR1891">
        <v>0</v>
      </c>
      <c r="CS1891">
        <v>0</v>
      </c>
      <c r="CT1891" t="s">
        <v>111</v>
      </c>
      <c r="CU1891">
        <v>0</v>
      </c>
      <c r="CV1891" t="s">
        <v>111</v>
      </c>
      <c r="CW1891" t="s">
        <v>111</v>
      </c>
      <c r="CX1891" t="s">
        <v>111</v>
      </c>
      <c r="CY1891">
        <v>0</v>
      </c>
      <c r="CZ1891" t="s">
        <v>111</v>
      </c>
      <c r="DA1891" t="s">
        <v>111</v>
      </c>
      <c r="DB1891" t="s">
        <v>111</v>
      </c>
      <c r="DC1891" t="s">
        <v>111</v>
      </c>
    </row>
    <row r="1892" spans="1:107">
      <c r="A1892">
        <v>1228</v>
      </c>
      <c r="B1892" t="s">
        <v>107</v>
      </c>
      <c r="C1892" t="s">
        <v>108</v>
      </c>
      <c r="D1892" t="s">
        <v>5183</v>
      </c>
      <c r="E1892" t="s">
        <v>5184</v>
      </c>
      <c r="F1892" t="s">
        <v>4420</v>
      </c>
      <c r="G1892" t="s">
        <v>24</v>
      </c>
      <c r="H1892">
        <v>1.4</v>
      </c>
      <c r="I1892">
        <v>300</v>
      </c>
      <c r="J1892">
        <v>0</v>
      </c>
      <c r="K1892">
        <v>0</v>
      </c>
      <c r="L1892" t="s">
        <v>112</v>
      </c>
      <c r="M1892" t="s">
        <v>111</v>
      </c>
      <c r="N1892">
        <v>0</v>
      </c>
      <c r="O1892">
        <v>0</v>
      </c>
      <c r="P1892" t="s">
        <v>111</v>
      </c>
      <c r="Q1892">
        <v>33.299999999999997</v>
      </c>
      <c r="R1892">
        <v>0</v>
      </c>
      <c r="S1892">
        <v>0</v>
      </c>
      <c r="T1892">
        <v>0</v>
      </c>
      <c r="U1892" t="e">
        <f>-DESTINO SELLADO</f>
        <v>#NAME?</v>
      </c>
      <c r="V1892">
        <v>0</v>
      </c>
      <c r="W1892">
        <v>0</v>
      </c>
      <c r="X1892">
        <v>0</v>
      </c>
      <c r="Y1892">
        <v>25</v>
      </c>
      <c r="Z1892" t="s">
        <v>111</v>
      </c>
      <c r="AA1892">
        <v>0</v>
      </c>
      <c r="AB1892" t="s">
        <v>111</v>
      </c>
      <c r="AC1892">
        <v>0</v>
      </c>
      <c r="AD1892" t="s">
        <v>111</v>
      </c>
      <c r="AE1892">
        <v>0</v>
      </c>
      <c r="AF1892">
        <v>0</v>
      </c>
      <c r="AG1892" t="s">
        <v>111</v>
      </c>
      <c r="AH1892" t="s">
        <v>111</v>
      </c>
      <c r="AI1892" t="s">
        <v>111</v>
      </c>
      <c r="AJ1892" t="s">
        <v>111</v>
      </c>
      <c r="AK1892" t="s">
        <v>111</v>
      </c>
      <c r="AL1892" t="s">
        <v>111</v>
      </c>
      <c r="AM1892">
        <v>0</v>
      </c>
      <c r="AN1892">
        <v>0</v>
      </c>
      <c r="AO1892">
        <v>0</v>
      </c>
      <c r="AP1892" t="s">
        <v>111</v>
      </c>
      <c r="AQ1892" t="s">
        <v>111</v>
      </c>
      <c r="AR1892" t="s">
        <v>111</v>
      </c>
      <c r="AS1892" t="s">
        <v>111</v>
      </c>
      <c r="AT1892" t="s">
        <v>111</v>
      </c>
      <c r="AU1892" t="s">
        <v>111</v>
      </c>
      <c r="AV1892" t="s">
        <v>111</v>
      </c>
      <c r="AW1892" t="s">
        <v>111</v>
      </c>
      <c r="AX1892" t="s">
        <v>111</v>
      </c>
      <c r="AY1892" t="s">
        <v>111</v>
      </c>
      <c r="AZ1892" t="s">
        <v>111</v>
      </c>
      <c r="BA1892" t="s">
        <v>111</v>
      </c>
      <c r="BB1892" t="s">
        <v>111</v>
      </c>
      <c r="BC1892" t="s">
        <v>111</v>
      </c>
      <c r="BD1892" t="s">
        <v>111</v>
      </c>
      <c r="BE1892" t="s">
        <v>111</v>
      </c>
      <c r="BF1892" t="s">
        <v>111</v>
      </c>
      <c r="BG1892" t="s">
        <v>111</v>
      </c>
      <c r="BH1892" t="s">
        <v>111</v>
      </c>
      <c r="BI1892" t="s">
        <v>111</v>
      </c>
      <c r="BJ1892" t="s">
        <v>111</v>
      </c>
      <c r="BK1892" t="s">
        <v>111</v>
      </c>
      <c r="BL1892" t="s">
        <v>111</v>
      </c>
      <c r="BM1892" t="s">
        <v>111</v>
      </c>
      <c r="BN1892" t="s">
        <v>111</v>
      </c>
      <c r="BO1892" t="s">
        <v>111</v>
      </c>
      <c r="BP1892" t="s">
        <v>111</v>
      </c>
      <c r="BQ1892" t="s">
        <v>111</v>
      </c>
      <c r="BR1892" t="s">
        <v>111</v>
      </c>
      <c r="BS1892" t="s">
        <v>111</v>
      </c>
      <c r="BT1892" t="s">
        <v>111</v>
      </c>
      <c r="BU1892" t="s">
        <v>111</v>
      </c>
      <c r="BV1892" t="s">
        <v>111</v>
      </c>
      <c r="BW1892" t="s">
        <v>111</v>
      </c>
      <c r="BX1892" t="s">
        <v>111</v>
      </c>
      <c r="BY1892" t="s">
        <v>111</v>
      </c>
      <c r="BZ1892" t="s">
        <v>111</v>
      </c>
      <c r="CA1892" t="s">
        <v>111</v>
      </c>
      <c r="CB1892" t="s">
        <v>111</v>
      </c>
      <c r="CC1892" t="s">
        <v>111</v>
      </c>
      <c r="CD1892" t="s">
        <v>111</v>
      </c>
      <c r="CE1892" t="s">
        <v>111</v>
      </c>
      <c r="CF1892" t="s">
        <v>111</v>
      </c>
      <c r="CG1892" t="s">
        <v>111</v>
      </c>
      <c r="CH1892" t="s">
        <v>111</v>
      </c>
      <c r="CI1892" t="s">
        <v>111</v>
      </c>
      <c r="CJ1892" t="s">
        <v>111</v>
      </c>
      <c r="CK1892" t="s">
        <v>111</v>
      </c>
      <c r="CL1892" t="s">
        <v>111</v>
      </c>
      <c r="CM1892" t="s">
        <v>438</v>
      </c>
      <c r="CN1892" t="s">
        <v>113</v>
      </c>
      <c r="CO1892" t="s">
        <v>111</v>
      </c>
      <c r="CP1892" t="s">
        <v>111</v>
      </c>
      <c r="CQ1892">
        <v>0</v>
      </c>
      <c r="CR1892">
        <v>5000</v>
      </c>
      <c r="CS1892">
        <v>200</v>
      </c>
      <c r="CT1892" s="1" t="s">
        <v>5185</v>
      </c>
      <c r="CU1892">
        <v>0</v>
      </c>
      <c r="CV1892" t="s">
        <v>111</v>
      </c>
      <c r="CW1892" t="s">
        <v>111</v>
      </c>
      <c r="CX1892" t="s">
        <v>111</v>
      </c>
      <c r="CY1892">
        <v>0</v>
      </c>
      <c r="CZ1892" t="s">
        <v>111</v>
      </c>
      <c r="DA1892" t="s">
        <v>111</v>
      </c>
      <c r="DB1892" t="s">
        <v>111</v>
      </c>
      <c r="DC1892" t="s">
        <v>111</v>
      </c>
    </row>
    <row r="1893" spans="1:107">
      <c r="A1893">
        <v>1125</v>
      </c>
      <c r="B1893" t="s">
        <v>107</v>
      </c>
      <c r="C1893" t="s">
        <v>4324</v>
      </c>
      <c r="D1893" t="s">
        <v>5039</v>
      </c>
      <c r="E1893" t="s">
        <v>5040</v>
      </c>
      <c r="F1893" t="s">
        <v>110</v>
      </c>
      <c r="G1893" t="s">
        <v>24</v>
      </c>
      <c r="H1893">
        <v>1.4</v>
      </c>
      <c r="I1893">
        <v>50</v>
      </c>
      <c r="J1893">
        <v>0</v>
      </c>
      <c r="K1893">
        <v>0</v>
      </c>
      <c r="L1893" t="s">
        <v>112</v>
      </c>
      <c r="M1893" t="s">
        <v>118</v>
      </c>
      <c r="N1893">
        <v>40</v>
      </c>
      <c r="O1893">
        <v>2</v>
      </c>
      <c r="P1893" t="s">
        <v>111</v>
      </c>
      <c r="Q1893">
        <v>50</v>
      </c>
      <c r="R1893">
        <v>0</v>
      </c>
      <c r="S1893">
        <v>0</v>
      </c>
      <c r="T1893">
        <v>0</v>
      </c>
      <c r="U1893" s="1" t="s">
        <v>5186</v>
      </c>
      <c r="V1893">
        <v>0</v>
      </c>
      <c r="W1893">
        <v>0</v>
      </c>
      <c r="X1893">
        <v>0</v>
      </c>
      <c r="Y1893">
        <v>25</v>
      </c>
      <c r="Z1893" t="s">
        <v>111</v>
      </c>
      <c r="AA1893">
        <v>0</v>
      </c>
      <c r="AB1893" t="s">
        <v>111</v>
      </c>
      <c r="AC1893">
        <v>0</v>
      </c>
      <c r="AD1893" t="s">
        <v>111</v>
      </c>
      <c r="AE1893">
        <v>0</v>
      </c>
      <c r="AF1893">
        <v>0</v>
      </c>
      <c r="AG1893" t="s">
        <v>111</v>
      </c>
      <c r="AH1893" t="s">
        <v>111</v>
      </c>
      <c r="AI1893" t="s">
        <v>111</v>
      </c>
      <c r="AJ1893" t="s">
        <v>111</v>
      </c>
      <c r="AK1893" t="s">
        <v>111</v>
      </c>
      <c r="AL1893" t="s">
        <v>111</v>
      </c>
      <c r="AM1893">
        <v>0</v>
      </c>
      <c r="AN1893">
        <v>0</v>
      </c>
      <c r="AO1893">
        <v>0</v>
      </c>
      <c r="AP1893" t="s">
        <v>111</v>
      </c>
      <c r="AQ1893" t="s">
        <v>111</v>
      </c>
      <c r="AR1893" t="s">
        <v>111</v>
      </c>
      <c r="AS1893" t="s">
        <v>111</v>
      </c>
      <c r="AT1893" t="s">
        <v>111</v>
      </c>
      <c r="AU1893" t="s">
        <v>111</v>
      </c>
      <c r="AV1893" t="s">
        <v>111</v>
      </c>
      <c r="AW1893" t="s">
        <v>111</v>
      </c>
      <c r="AX1893" t="s">
        <v>111</v>
      </c>
      <c r="AY1893" t="s">
        <v>111</v>
      </c>
      <c r="AZ1893" t="s">
        <v>111</v>
      </c>
      <c r="BA1893" t="s">
        <v>111</v>
      </c>
      <c r="BB1893" t="s">
        <v>111</v>
      </c>
      <c r="BC1893" t="s">
        <v>111</v>
      </c>
      <c r="BD1893" t="s">
        <v>111</v>
      </c>
      <c r="BE1893" t="s">
        <v>111</v>
      </c>
      <c r="BF1893" t="s">
        <v>111</v>
      </c>
      <c r="BG1893" t="s">
        <v>111</v>
      </c>
      <c r="BH1893" t="s">
        <v>111</v>
      </c>
      <c r="BI1893" t="s">
        <v>111</v>
      </c>
      <c r="BJ1893" t="s">
        <v>111</v>
      </c>
      <c r="BK1893" t="s">
        <v>111</v>
      </c>
      <c r="BL1893" t="s">
        <v>111</v>
      </c>
      <c r="BM1893" t="s">
        <v>111</v>
      </c>
      <c r="BN1893" t="s">
        <v>111</v>
      </c>
      <c r="BO1893" t="s">
        <v>111</v>
      </c>
      <c r="BP1893" t="s">
        <v>111</v>
      </c>
      <c r="BQ1893" t="s">
        <v>111</v>
      </c>
      <c r="BR1893" t="s">
        <v>111</v>
      </c>
      <c r="BS1893" t="s">
        <v>111</v>
      </c>
      <c r="BT1893" t="s">
        <v>111</v>
      </c>
      <c r="BU1893" t="s">
        <v>111</v>
      </c>
      <c r="BV1893" t="s">
        <v>111</v>
      </c>
      <c r="BW1893" t="s">
        <v>111</v>
      </c>
      <c r="BX1893" t="s">
        <v>111</v>
      </c>
      <c r="BY1893" t="s">
        <v>111</v>
      </c>
      <c r="BZ1893" t="s">
        <v>111</v>
      </c>
      <c r="CA1893" t="s">
        <v>111</v>
      </c>
      <c r="CB1893" t="s">
        <v>111</v>
      </c>
      <c r="CC1893" t="s">
        <v>111</v>
      </c>
      <c r="CD1893" t="s">
        <v>111</v>
      </c>
      <c r="CE1893" t="s">
        <v>111</v>
      </c>
      <c r="CF1893" t="s">
        <v>111</v>
      </c>
      <c r="CG1893" t="s">
        <v>111</v>
      </c>
      <c r="CH1893" t="s">
        <v>111</v>
      </c>
      <c r="CI1893" t="s">
        <v>111</v>
      </c>
      <c r="CJ1893" t="s">
        <v>111</v>
      </c>
      <c r="CK1893" t="s">
        <v>111</v>
      </c>
      <c r="CL1893" t="s">
        <v>111</v>
      </c>
      <c r="CM1893" t="s">
        <v>111</v>
      </c>
      <c r="CN1893" t="s">
        <v>111</v>
      </c>
      <c r="CO1893" t="s">
        <v>111</v>
      </c>
      <c r="CP1893" t="s">
        <v>111</v>
      </c>
      <c r="CQ1893">
        <v>0</v>
      </c>
      <c r="CR1893">
        <v>0</v>
      </c>
      <c r="CS1893">
        <v>0</v>
      </c>
      <c r="CT1893" t="s">
        <v>111</v>
      </c>
      <c r="CU1893">
        <v>0</v>
      </c>
      <c r="CV1893" t="s">
        <v>111</v>
      </c>
      <c r="CW1893" t="s">
        <v>111</v>
      </c>
      <c r="CX1893" t="s">
        <v>111</v>
      </c>
      <c r="CY1893">
        <v>0</v>
      </c>
      <c r="CZ1893" t="s">
        <v>111</v>
      </c>
      <c r="DA1893" t="s">
        <v>111</v>
      </c>
      <c r="DB1893" t="s">
        <v>111</v>
      </c>
      <c r="DC1893" t="s">
        <v>111</v>
      </c>
    </row>
    <row r="1894" spans="1:107">
      <c r="A1894">
        <v>1174</v>
      </c>
      <c r="B1894" t="s">
        <v>107</v>
      </c>
      <c r="C1894" t="s">
        <v>1602</v>
      </c>
      <c r="D1894" t="s">
        <v>5187</v>
      </c>
      <c r="E1894" t="s">
        <v>5188</v>
      </c>
      <c r="F1894" t="s">
        <v>1071</v>
      </c>
      <c r="G1894" t="s">
        <v>24</v>
      </c>
      <c r="H1894">
        <v>1</v>
      </c>
      <c r="I1894">
        <v>45</v>
      </c>
      <c r="J1894">
        <v>0</v>
      </c>
      <c r="K1894">
        <v>0</v>
      </c>
      <c r="L1894" t="s">
        <v>112</v>
      </c>
      <c r="M1894" t="s">
        <v>111</v>
      </c>
      <c r="N1894">
        <v>0</v>
      </c>
      <c r="O1894">
        <v>0</v>
      </c>
      <c r="P1894" t="s">
        <v>111</v>
      </c>
      <c r="Q1894">
        <v>33.299999999999997</v>
      </c>
      <c r="R1894">
        <v>0</v>
      </c>
      <c r="S1894">
        <v>0</v>
      </c>
      <c r="T1894">
        <v>5</v>
      </c>
      <c r="U1894" t="s">
        <v>5189</v>
      </c>
      <c r="V1894">
        <v>0</v>
      </c>
      <c r="W1894">
        <v>0</v>
      </c>
      <c r="X1894">
        <v>0</v>
      </c>
      <c r="Y1894">
        <v>25</v>
      </c>
      <c r="Z1894" t="s">
        <v>111</v>
      </c>
      <c r="AA1894">
        <v>0</v>
      </c>
      <c r="AB1894" t="s">
        <v>111</v>
      </c>
      <c r="AC1894">
        <v>0</v>
      </c>
      <c r="AD1894" t="s">
        <v>111</v>
      </c>
      <c r="AE1894">
        <v>0</v>
      </c>
      <c r="AF1894">
        <v>0</v>
      </c>
      <c r="AG1894" t="s">
        <v>111</v>
      </c>
      <c r="AH1894" t="s">
        <v>111</v>
      </c>
      <c r="AI1894" t="s">
        <v>111</v>
      </c>
      <c r="AJ1894" t="s">
        <v>111</v>
      </c>
      <c r="AK1894" t="s">
        <v>111</v>
      </c>
      <c r="AL1894" t="s">
        <v>111</v>
      </c>
      <c r="AM1894">
        <v>0</v>
      </c>
      <c r="AN1894">
        <v>0</v>
      </c>
      <c r="AO1894">
        <v>0</v>
      </c>
      <c r="AP1894" t="s">
        <v>111</v>
      </c>
      <c r="AQ1894" t="s">
        <v>111</v>
      </c>
      <c r="AR1894" t="s">
        <v>111</v>
      </c>
      <c r="AS1894" t="s">
        <v>111</v>
      </c>
      <c r="AT1894" t="s">
        <v>111</v>
      </c>
      <c r="AU1894" t="s">
        <v>111</v>
      </c>
      <c r="AV1894" t="s">
        <v>111</v>
      </c>
      <c r="AW1894" t="s">
        <v>111</v>
      </c>
      <c r="AX1894" t="s">
        <v>111</v>
      </c>
      <c r="AY1894" t="s">
        <v>111</v>
      </c>
      <c r="AZ1894" t="s">
        <v>111</v>
      </c>
      <c r="BA1894" t="s">
        <v>111</v>
      </c>
      <c r="BB1894" t="s">
        <v>111</v>
      </c>
      <c r="BC1894" t="s">
        <v>111</v>
      </c>
      <c r="BD1894" t="s">
        <v>111</v>
      </c>
      <c r="BE1894" t="s">
        <v>111</v>
      </c>
      <c r="BF1894" t="s">
        <v>111</v>
      </c>
      <c r="BG1894" t="s">
        <v>111</v>
      </c>
      <c r="BH1894" t="s">
        <v>111</v>
      </c>
      <c r="BI1894" t="s">
        <v>111</v>
      </c>
      <c r="BJ1894" t="s">
        <v>111</v>
      </c>
      <c r="BK1894" t="s">
        <v>111</v>
      </c>
      <c r="BL1894" t="s">
        <v>111</v>
      </c>
      <c r="BM1894" t="s">
        <v>111</v>
      </c>
      <c r="BN1894" t="s">
        <v>111</v>
      </c>
      <c r="BO1894" t="s">
        <v>111</v>
      </c>
      <c r="BP1894" t="s">
        <v>111</v>
      </c>
      <c r="BQ1894" t="s">
        <v>111</v>
      </c>
      <c r="BR1894" t="s">
        <v>111</v>
      </c>
      <c r="BS1894" t="s">
        <v>111</v>
      </c>
      <c r="BT1894" t="s">
        <v>111</v>
      </c>
      <c r="BU1894" t="s">
        <v>111</v>
      </c>
      <c r="BV1894" t="s">
        <v>111</v>
      </c>
      <c r="BW1894" t="s">
        <v>111</v>
      </c>
      <c r="BX1894" t="s">
        <v>111</v>
      </c>
      <c r="BY1894" t="s">
        <v>111</v>
      </c>
      <c r="BZ1894" t="s">
        <v>111</v>
      </c>
      <c r="CA1894" t="s">
        <v>111</v>
      </c>
      <c r="CB1894" t="s">
        <v>111</v>
      </c>
      <c r="CC1894" t="s">
        <v>111</v>
      </c>
      <c r="CD1894" t="s">
        <v>111</v>
      </c>
      <c r="CE1894" t="s">
        <v>111</v>
      </c>
      <c r="CF1894" t="s">
        <v>111</v>
      </c>
      <c r="CG1894" t="s">
        <v>111</v>
      </c>
      <c r="CH1894" t="s">
        <v>111</v>
      </c>
      <c r="CI1894" t="s">
        <v>111</v>
      </c>
      <c r="CJ1894" t="s">
        <v>111</v>
      </c>
      <c r="CK1894" t="s">
        <v>111</v>
      </c>
      <c r="CL1894" t="s">
        <v>111</v>
      </c>
      <c r="CM1894" t="s">
        <v>135</v>
      </c>
      <c r="CN1894" t="s">
        <v>113</v>
      </c>
      <c r="CO1894" t="s">
        <v>111</v>
      </c>
      <c r="CP1894" t="s">
        <v>111</v>
      </c>
      <c r="CQ1894">
        <v>75</v>
      </c>
      <c r="CR1894">
        <v>4000</v>
      </c>
      <c r="CS1894">
        <v>200</v>
      </c>
      <c r="CT1894" t="s">
        <v>5190</v>
      </c>
      <c r="CU1894">
        <v>0</v>
      </c>
      <c r="CV1894" t="s">
        <v>111</v>
      </c>
      <c r="CW1894" t="s">
        <v>111</v>
      </c>
      <c r="CX1894" t="s">
        <v>111</v>
      </c>
      <c r="CY1894">
        <v>0</v>
      </c>
      <c r="CZ1894" t="s">
        <v>111</v>
      </c>
      <c r="DA1894" t="s">
        <v>111</v>
      </c>
      <c r="DB1894" t="s">
        <v>111</v>
      </c>
      <c r="DC1894" t="s">
        <v>111</v>
      </c>
    </row>
    <row r="1895" spans="1:107">
      <c r="A1895">
        <v>1175</v>
      </c>
      <c r="B1895" t="s">
        <v>107</v>
      </c>
      <c r="C1895" t="s">
        <v>1602</v>
      </c>
      <c r="D1895" t="s">
        <v>5191</v>
      </c>
      <c r="E1895" t="s">
        <v>5192</v>
      </c>
      <c r="F1895" t="s">
        <v>1071</v>
      </c>
      <c r="G1895" t="s">
        <v>24</v>
      </c>
      <c r="H1895">
        <v>1.5</v>
      </c>
      <c r="I1895">
        <v>40</v>
      </c>
      <c r="J1895">
        <v>0</v>
      </c>
      <c r="K1895">
        <v>0</v>
      </c>
      <c r="L1895" t="s">
        <v>112</v>
      </c>
      <c r="M1895" t="s">
        <v>111</v>
      </c>
      <c r="N1895">
        <v>0</v>
      </c>
      <c r="O1895">
        <v>0</v>
      </c>
      <c r="P1895" t="s">
        <v>111</v>
      </c>
      <c r="Q1895">
        <v>37.6</v>
      </c>
      <c r="R1895">
        <v>0</v>
      </c>
      <c r="S1895">
        <v>0</v>
      </c>
      <c r="T1895">
        <v>5</v>
      </c>
      <c r="U1895" t="s">
        <v>296</v>
      </c>
      <c r="V1895">
        <v>0</v>
      </c>
      <c r="W1895">
        <v>0</v>
      </c>
      <c r="X1895">
        <v>0</v>
      </c>
      <c r="Y1895">
        <v>25</v>
      </c>
      <c r="Z1895" t="s">
        <v>111</v>
      </c>
      <c r="AA1895">
        <v>0</v>
      </c>
      <c r="AB1895" t="s">
        <v>111</v>
      </c>
      <c r="AC1895">
        <v>0</v>
      </c>
      <c r="AD1895" t="s">
        <v>111</v>
      </c>
      <c r="AE1895">
        <v>0</v>
      </c>
      <c r="AF1895">
        <v>0</v>
      </c>
      <c r="AG1895" t="s">
        <v>111</v>
      </c>
      <c r="AH1895" t="s">
        <v>111</v>
      </c>
      <c r="AI1895" t="s">
        <v>111</v>
      </c>
      <c r="AJ1895" t="s">
        <v>111</v>
      </c>
      <c r="AK1895" t="s">
        <v>111</v>
      </c>
      <c r="AL1895" t="s">
        <v>111</v>
      </c>
      <c r="AM1895">
        <v>0</v>
      </c>
      <c r="AN1895">
        <v>0</v>
      </c>
      <c r="AO1895">
        <v>0</v>
      </c>
      <c r="AP1895" t="s">
        <v>111</v>
      </c>
      <c r="AQ1895" t="s">
        <v>111</v>
      </c>
      <c r="AR1895" t="s">
        <v>111</v>
      </c>
      <c r="AS1895" t="s">
        <v>111</v>
      </c>
      <c r="AT1895" t="s">
        <v>111</v>
      </c>
      <c r="AU1895" t="s">
        <v>111</v>
      </c>
      <c r="AV1895" t="s">
        <v>111</v>
      </c>
      <c r="AW1895" t="s">
        <v>111</v>
      </c>
      <c r="AX1895" t="s">
        <v>111</v>
      </c>
      <c r="AY1895" t="s">
        <v>111</v>
      </c>
      <c r="AZ1895" t="s">
        <v>111</v>
      </c>
      <c r="BA1895" t="s">
        <v>111</v>
      </c>
      <c r="BB1895" t="s">
        <v>111</v>
      </c>
      <c r="BC1895" t="s">
        <v>111</v>
      </c>
      <c r="BD1895" t="s">
        <v>111</v>
      </c>
      <c r="BE1895" t="s">
        <v>111</v>
      </c>
      <c r="BF1895" t="s">
        <v>111</v>
      </c>
      <c r="BG1895" t="s">
        <v>111</v>
      </c>
      <c r="BH1895" t="s">
        <v>111</v>
      </c>
      <c r="BI1895" t="s">
        <v>111</v>
      </c>
      <c r="BJ1895" t="s">
        <v>111</v>
      </c>
      <c r="BK1895" t="s">
        <v>111</v>
      </c>
      <c r="BL1895" t="s">
        <v>111</v>
      </c>
      <c r="BM1895" t="s">
        <v>111</v>
      </c>
      <c r="BN1895" t="s">
        <v>111</v>
      </c>
      <c r="BO1895" t="s">
        <v>111</v>
      </c>
      <c r="BP1895" t="s">
        <v>111</v>
      </c>
      <c r="BQ1895" t="s">
        <v>111</v>
      </c>
      <c r="BR1895" t="s">
        <v>111</v>
      </c>
      <c r="BS1895" t="s">
        <v>111</v>
      </c>
      <c r="BT1895" t="s">
        <v>111</v>
      </c>
      <c r="BU1895" t="s">
        <v>111</v>
      </c>
      <c r="BV1895" t="s">
        <v>111</v>
      </c>
      <c r="BW1895" t="s">
        <v>111</v>
      </c>
      <c r="BX1895" t="s">
        <v>111</v>
      </c>
      <c r="BY1895" t="s">
        <v>111</v>
      </c>
      <c r="BZ1895" t="s">
        <v>111</v>
      </c>
      <c r="CA1895" t="s">
        <v>111</v>
      </c>
      <c r="CB1895" t="s">
        <v>111</v>
      </c>
      <c r="CC1895" t="s">
        <v>111</v>
      </c>
      <c r="CD1895" t="s">
        <v>111</v>
      </c>
      <c r="CE1895" t="s">
        <v>111</v>
      </c>
      <c r="CF1895" t="s">
        <v>111</v>
      </c>
      <c r="CG1895" t="s">
        <v>111</v>
      </c>
      <c r="CH1895" t="s">
        <v>111</v>
      </c>
      <c r="CI1895" t="s">
        <v>111</v>
      </c>
      <c r="CJ1895" t="s">
        <v>111</v>
      </c>
      <c r="CK1895" t="s">
        <v>111</v>
      </c>
      <c r="CL1895" t="s">
        <v>111</v>
      </c>
      <c r="CM1895" t="s">
        <v>135</v>
      </c>
      <c r="CN1895" t="s">
        <v>113</v>
      </c>
      <c r="CO1895" t="s">
        <v>111</v>
      </c>
      <c r="CP1895" t="s">
        <v>111</v>
      </c>
      <c r="CQ1895">
        <v>52</v>
      </c>
      <c r="CR1895">
        <v>4000</v>
      </c>
      <c r="CS1895">
        <v>200</v>
      </c>
      <c r="CT1895" t="s">
        <v>394</v>
      </c>
      <c r="CU1895">
        <v>0</v>
      </c>
      <c r="CV1895" t="s">
        <v>111</v>
      </c>
      <c r="CW1895" t="s">
        <v>111</v>
      </c>
      <c r="CX1895" t="s">
        <v>111</v>
      </c>
      <c r="CY1895">
        <v>0</v>
      </c>
      <c r="CZ1895" t="s">
        <v>111</v>
      </c>
      <c r="DA1895" t="s">
        <v>111</v>
      </c>
      <c r="DB1895" t="s">
        <v>111</v>
      </c>
      <c r="DC1895" t="s">
        <v>111</v>
      </c>
    </row>
    <row r="1896" spans="1:107">
      <c r="A1896">
        <v>1183</v>
      </c>
      <c r="B1896" t="s">
        <v>107</v>
      </c>
      <c r="C1896" t="s">
        <v>1257</v>
      </c>
      <c r="D1896" t="s">
        <v>4407</v>
      </c>
      <c r="E1896" t="s">
        <v>5193</v>
      </c>
      <c r="F1896" t="s">
        <v>1260</v>
      </c>
      <c r="G1896" t="s">
        <v>24</v>
      </c>
      <c r="H1896">
        <v>2</v>
      </c>
      <c r="I1896">
        <v>40</v>
      </c>
      <c r="J1896">
        <v>0</v>
      </c>
      <c r="K1896">
        <v>0</v>
      </c>
      <c r="L1896" t="s">
        <v>117</v>
      </c>
      <c r="M1896" t="s">
        <v>118</v>
      </c>
      <c r="N1896">
        <v>40</v>
      </c>
      <c r="O1896">
        <v>1</v>
      </c>
      <c r="P1896" t="s">
        <v>111</v>
      </c>
      <c r="Q1896">
        <v>33.299999999999997</v>
      </c>
      <c r="R1896">
        <v>0</v>
      </c>
      <c r="S1896">
        <v>0</v>
      </c>
      <c r="T1896">
        <v>0</v>
      </c>
      <c r="U1896" t="s">
        <v>296</v>
      </c>
      <c r="V1896">
        <v>0</v>
      </c>
      <c r="W1896">
        <v>0</v>
      </c>
      <c r="X1896">
        <v>0</v>
      </c>
      <c r="Y1896">
        <v>25</v>
      </c>
      <c r="Z1896" t="s">
        <v>111</v>
      </c>
      <c r="AA1896">
        <v>0</v>
      </c>
      <c r="AB1896" t="s">
        <v>111</v>
      </c>
      <c r="AC1896">
        <v>0</v>
      </c>
      <c r="AD1896" t="s">
        <v>416</v>
      </c>
      <c r="AE1896">
        <v>0</v>
      </c>
      <c r="AF1896">
        <v>0</v>
      </c>
      <c r="AG1896" t="s">
        <v>111</v>
      </c>
      <c r="AH1896" t="s">
        <v>113</v>
      </c>
      <c r="AI1896" t="s">
        <v>111</v>
      </c>
      <c r="AJ1896" t="s">
        <v>111</v>
      </c>
      <c r="AK1896" t="s">
        <v>111</v>
      </c>
      <c r="AL1896" t="s">
        <v>111</v>
      </c>
      <c r="AM1896">
        <v>0</v>
      </c>
      <c r="AN1896">
        <v>0</v>
      </c>
      <c r="AO1896">
        <v>0</v>
      </c>
      <c r="AP1896" t="s">
        <v>111</v>
      </c>
      <c r="AQ1896" t="s">
        <v>111</v>
      </c>
      <c r="AR1896" t="s">
        <v>111</v>
      </c>
      <c r="AS1896" t="s">
        <v>111</v>
      </c>
      <c r="AT1896" t="s">
        <v>111</v>
      </c>
      <c r="AU1896" t="s">
        <v>111</v>
      </c>
      <c r="AV1896" t="s">
        <v>111</v>
      </c>
      <c r="AW1896" t="s">
        <v>111</v>
      </c>
      <c r="AX1896" t="s">
        <v>111</v>
      </c>
      <c r="AY1896" t="s">
        <v>111</v>
      </c>
      <c r="AZ1896" t="s">
        <v>111</v>
      </c>
      <c r="BA1896" t="s">
        <v>111</v>
      </c>
      <c r="BB1896" t="s">
        <v>111</v>
      </c>
      <c r="BC1896" t="s">
        <v>111</v>
      </c>
      <c r="BD1896" t="s">
        <v>111</v>
      </c>
      <c r="BE1896" t="s">
        <v>111</v>
      </c>
      <c r="BF1896" t="s">
        <v>111</v>
      </c>
      <c r="BG1896" t="s">
        <v>111</v>
      </c>
      <c r="BH1896" t="s">
        <v>111</v>
      </c>
      <c r="BI1896" t="s">
        <v>111</v>
      </c>
      <c r="BJ1896" t="s">
        <v>111</v>
      </c>
      <c r="BK1896" t="s">
        <v>111</v>
      </c>
      <c r="BL1896" t="s">
        <v>111</v>
      </c>
      <c r="BM1896" t="s">
        <v>111</v>
      </c>
      <c r="BN1896" t="s">
        <v>111</v>
      </c>
      <c r="BO1896" t="s">
        <v>111</v>
      </c>
      <c r="BP1896" t="s">
        <v>111</v>
      </c>
      <c r="BQ1896" t="s">
        <v>111</v>
      </c>
      <c r="BR1896" t="s">
        <v>111</v>
      </c>
      <c r="BS1896" t="s">
        <v>111</v>
      </c>
      <c r="BT1896" t="s">
        <v>111</v>
      </c>
      <c r="BU1896" t="s">
        <v>111</v>
      </c>
      <c r="BV1896" t="s">
        <v>111</v>
      </c>
      <c r="BW1896" t="s">
        <v>111</v>
      </c>
      <c r="BX1896" t="s">
        <v>111</v>
      </c>
      <c r="BY1896" t="s">
        <v>111</v>
      </c>
      <c r="BZ1896" t="s">
        <v>111</v>
      </c>
      <c r="CA1896" t="s">
        <v>111</v>
      </c>
      <c r="CB1896" t="s">
        <v>111</v>
      </c>
      <c r="CC1896" t="s">
        <v>111</v>
      </c>
      <c r="CD1896" t="s">
        <v>111</v>
      </c>
      <c r="CE1896" t="s">
        <v>111</v>
      </c>
      <c r="CF1896" t="s">
        <v>111</v>
      </c>
      <c r="CG1896" t="s">
        <v>111</v>
      </c>
      <c r="CH1896" t="s">
        <v>111</v>
      </c>
      <c r="CI1896" t="s">
        <v>111</v>
      </c>
      <c r="CJ1896" t="s">
        <v>111</v>
      </c>
      <c r="CK1896" t="s">
        <v>111</v>
      </c>
      <c r="CL1896" t="s">
        <v>111</v>
      </c>
      <c r="CM1896" t="s">
        <v>135</v>
      </c>
      <c r="CN1896" t="s">
        <v>113</v>
      </c>
      <c r="CO1896" t="s">
        <v>111</v>
      </c>
      <c r="CP1896" t="e">
        <f>-MUESTRA</f>
        <v>#NAME?</v>
      </c>
      <c r="CQ1896">
        <v>118</v>
      </c>
      <c r="CR1896">
        <v>6000</v>
      </c>
      <c r="CS1896">
        <v>500</v>
      </c>
      <c r="CT1896" s="1" t="s">
        <v>344</v>
      </c>
      <c r="CU1896">
        <v>0</v>
      </c>
      <c r="CV1896" t="s">
        <v>111</v>
      </c>
      <c r="CW1896" t="s">
        <v>111</v>
      </c>
      <c r="CX1896" t="s">
        <v>111</v>
      </c>
      <c r="CY1896">
        <v>0</v>
      </c>
      <c r="CZ1896" t="s">
        <v>111</v>
      </c>
      <c r="DA1896" t="s">
        <v>111</v>
      </c>
      <c r="DB1896" t="s">
        <v>111</v>
      </c>
      <c r="DC1896" t="s">
        <v>111</v>
      </c>
    </row>
    <row r="1897" spans="1:107">
      <c r="A1897">
        <v>1208</v>
      </c>
      <c r="B1897" t="s">
        <v>162</v>
      </c>
      <c r="C1897" t="s">
        <v>4214</v>
      </c>
      <c r="D1897" t="s">
        <v>212</v>
      </c>
      <c r="E1897" t="s">
        <v>5194</v>
      </c>
      <c r="F1897" t="s">
        <v>110</v>
      </c>
      <c r="G1897" t="s">
        <v>24</v>
      </c>
      <c r="H1897">
        <v>1.3</v>
      </c>
      <c r="I1897">
        <v>45</v>
      </c>
      <c r="J1897">
        <v>0</v>
      </c>
      <c r="K1897">
        <v>0</v>
      </c>
      <c r="L1897" t="s">
        <v>112</v>
      </c>
      <c r="M1897" t="s">
        <v>111</v>
      </c>
      <c r="N1897">
        <v>0</v>
      </c>
      <c r="O1897">
        <v>0</v>
      </c>
      <c r="P1897" t="s">
        <v>111</v>
      </c>
      <c r="Q1897">
        <v>32.6</v>
      </c>
      <c r="R1897">
        <v>0</v>
      </c>
      <c r="S1897">
        <v>0</v>
      </c>
      <c r="T1897">
        <v>0</v>
      </c>
      <c r="U1897" s="1" t="s">
        <v>5195</v>
      </c>
      <c r="V1897">
        <v>0</v>
      </c>
      <c r="W1897">
        <v>0</v>
      </c>
      <c r="X1897">
        <v>0</v>
      </c>
      <c r="Y1897">
        <v>25</v>
      </c>
      <c r="Z1897" t="s">
        <v>111</v>
      </c>
      <c r="AA1897">
        <v>0</v>
      </c>
      <c r="AB1897" t="s">
        <v>111</v>
      </c>
      <c r="AC1897">
        <v>0</v>
      </c>
      <c r="AD1897" t="s">
        <v>111</v>
      </c>
      <c r="AE1897">
        <v>0</v>
      </c>
      <c r="AF1897">
        <v>0</v>
      </c>
      <c r="AG1897" t="s">
        <v>111</v>
      </c>
      <c r="AH1897" t="s">
        <v>111</v>
      </c>
      <c r="AI1897" t="s">
        <v>111</v>
      </c>
      <c r="AJ1897" t="s">
        <v>111</v>
      </c>
      <c r="AK1897" t="s">
        <v>111</v>
      </c>
      <c r="AL1897" t="s">
        <v>111</v>
      </c>
      <c r="AM1897">
        <v>0</v>
      </c>
      <c r="AN1897">
        <v>0</v>
      </c>
      <c r="AO1897">
        <v>0</v>
      </c>
      <c r="AP1897" t="s">
        <v>111</v>
      </c>
      <c r="AQ1897" t="s">
        <v>111</v>
      </c>
      <c r="AR1897" t="s">
        <v>111</v>
      </c>
      <c r="AS1897" t="s">
        <v>111</v>
      </c>
      <c r="AT1897" t="s">
        <v>111</v>
      </c>
      <c r="AU1897" t="s">
        <v>111</v>
      </c>
      <c r="AV1897" t="s">
        <v>111</v>
      </c>
      <c r="AW1897" t="s">
        <v>111</v>
      </c>
      <c r="AX1897" t="s">
        <v>111</v>
      </c>
      <c r="AY1897" t="s">
        <v>111</v>
      </c>
      <c r="AZ1897" t="s">
        <v>111</v>
      </c>
      <c r="BA1897" t="s">
        <v>111</v>
      </c>
      <c r="BB1897" t="s">
        <v>111</v>
      </c>
      <c r="BC1897" t="s">
        <v>111</v>
      </c>
      <c r="BD1897" t="s">
        <v>111</v>
      </c>
      <c r="BE1897" t="s">
        <v>111</v>
      </c>
      <c r="BF1897" t="s">
        <v>111</v>
      </c>
      <c r="BG1897" t="s">
        <v>111</v>
      </c>
      <c r="BH1897" t="s">
        <v>111</v>
      </c>
      <c r="BI1897" t="s">
        <v>111</v>
      </c>
      <c r="BJ1897" t="s">
        <v>111</v>
      </c>
      <c r="BK1897" t="s">
        <v>111</v>
      </c>
      <c r="BL1897" t="s">
        <v>111</v>
      </c>
      <c r="BM1897" t="s">
        <v>111</v>
      </c>
      <c r="BN1897" t="s">
        <v>111</v>
      </c>
      <c r="BO1897" t="s">
        <v>111</v>
      </c>
      <c r="BP1897" t="s">
        <v>111</v>
      </c>
      <c r="BQ1897" t="s">
        <v>111</v>
      </c>
      <c r="BR1897" t="s">
        <v>111</v>
      </c>
      <c r="BS1897" t="s">
        <v>111</v>
      </c>
      <c r="BT1897" t="s">
        <v>111</v>
      </c>
      <c r="BU1897" t="s">
        <v>111</v>
      </c>
      <c r="BV1897" t="s">
        <v>111</v>
      </c>
      <c r="BW1897" t="s">
        <v>111</v>
      </c>
      <c r="BX1897" t="s">
        <v>111</v>
      </c>
      <c r="BY1897" t="s">
        <v>111</v>
      </c>
      <c r="BZ1897" t="s">
        <v>111</v>
      </c>
      <c r="CA1897" t="s">
        <v>111</v>
      </c>
      <c r="CB1897" t="s">
        <v>111</v>
      </c>
      <c r="CC1897" t="s">
        <v>111</v>
      </c>
      <c r="CD1897" t="s">
        <v>111</v>
      </c>
      <c r="CE1897" t="s">
        <v>111</v>
      </c>
      <c r="CF1897" t="s">
        <v>111</v>
      </c>
      <c r="CG1897" t="s">
        <v>111</v>
      </c>
      <c r="CH1897" t="s">
        <v>111</v>
      </c>
      <c r="CI1897" t="s">
        <v>111</v>
      </c>
      <c r="CJ1897" t="s">
        <v>111</v>
      </c>
      <c r="CK1897" t="s">
        <v>111</v>
      </c>
      <c r="CL1897" t="s">
        <v>111</v>
      </c>
      <c r="CM1897" t="s">
        <v>111</v>
      </c>
      <c r="CN1897" t="s">
        <v>111</v>
      </c>
      <c r="CO1897" t="s">
        <v>111</v>
      </c>
      <c r="CP1897" t="s">
        <v>111</v>
      </c>
      <c r="CQ1897">
        <v>0</v>
      </c>
      <c r="CR1897">
        <v>0</v>
      </c>
      <c r="CS1897">
        <v>0</v>
      </c>
      <c r="CT1897" t="s">
        <v>111</v>
      </c>
      <c r="CU1897">
        <v>0</v>
      </c>
      <c r="CV1897" t="s">
        <v>111</v>
      </c>
      <c r="CW1897" t="s">
        <v>111</v>
      </c>
      <c r="CX1897" t="s">
        <v>111</v>
      </c>
      <c r="CY1897">
        <v>0</v>
      </c>
      <c r="CZ1897" t="s">
        <v>111</v>
      </c>
      <c r="DA1897" t="s">
        <v>111</v>
      </c>
      <c r="DB1897" t="s">
        <v>111</v>
      </c>
      <c r="DC1897" t="s">
        <v>111</v>
      </c>
    </row>
    <row r="1898" spans="1:107">
      <c r="A1898">
        <v>1220</v>
      </c>
      <c r="B1898" t="s">
        <v>107</v>
      </c>
      <c r="C1898" t="s">
        <v>793</v>
      </c>
      <c r="D1898" t="s">
        <v>4166</v>
      </c>
      <c r="E1898" t="s">
        <v>4167</v>
      </c>
      <c r="F1898" t="s">
        <v>110</v>
      </c>
      <c r="G1898" t="s">
        <v>24</v>
      </c>
      <c r="H1898">
        <v>1.4</v>
      </c>
      <c r="I1898">
        <v>35</v>
      </c>
      <c r="J1898">
        <v>0</v>
      </c>
      <c r="K1898">
        <v>0</v>
      </c>
      <c r="L1898" t="s">
        <v>112</v>
      </c>
      <c r="M1898" t="s">
        <v>118</v>
      </c>
      <c r="N1898">
        <v>39</v>
      </c>
      <c r="O1898">
        <v>2</v>
      </c>
      <c r="P1898" t="s">
        <v>111</v>
      </c>
      <c r="Q1898">
        <v>40</v>
      </c>
      <c r="R1898">
        <v>0</v>
      </c>
      <c r="S1898">
        <v>0</v>
      </c>
      <c r="T1898">
        <v>0</v>
      </c>
      <c r="U1898" t="e">
        <f>-DESTINO ALMACEN</f>
        <v>#NAME?</v>
      </c>
      <c r="V1898">
        <v>0</v>
      </c>
      <c r="W1898">
        <v>0</v>
      </c>
      <c r="X1898">
        <v>0</v>
      </c>
      <c r="Y1898">
        <v>25</v>
      </c>
      <c r="Z1898" t="s">
        <v>111</v>
      </c>
      <c r="AA1898">
        <v>0</v>
      </c>
      <c r="AB1898" t="s">
        <v>111</v>
      </c>
      <c r="AC1898">
        <v>0</v>
      </c>
      <c r="AD1898" t="s">
        <v>111</v>
      </c>
      <c r="AE1898">
        <v>0</v>
      </c>
      <c r="AF1898">
        <v>0</v>
      </c>
      <c r="AG1898" t="s">
        <v>111</v>
      </c>
      <c r="AH1898" t="s">
        <v>111</v>
      </c>
      <c r="AI1898" t="s">
        <v>111</v>
      </c>
      <c r="AJ1898" t="s">
        <v>111</v>
      </c>
      <c r="AK1898" t="s">
        <v>111</v>
      </c>
      <c r="AL1898" t="s">
        <v>111</v>
      </c>
      <c r="AM1898">
        <v>0</v>
      </c>
      <c r="AN1898">
        <v>0</v>
      </c>
      <c r="AO1898">
        <v>0</v>
      </c>
      <c r="AP1898" t="s">
        <v>111</v>
      </c>
      <c r="AQ1898" t="s">
        <v>111</v>
      </c>
      <c r="AR1898" t="s">
        <v>111</v>
      </c>
      <c r="AS1898" t="s">
        <v>111</v>
      </c>
      <c r="AT1898" t="s">
        <v>111</v>
      </c>
      <c r="AU1898" t="s">
        <v>111</v>
      </c>
      <c r="AV1898" t="s">
        <v>111</v>
      </c>
      <c r="AW1898" t="s">
        <v>111</v>
      </c>
      <c r="AX1898" t="s">
        <v>111</v>
      </c>
      <c r="AY1898" t="s">
        <v>111</v>
      </c>
      <c r="AZ1898" t="s">
        <v>111</v>
      </c>
      <c r="BA1898" t="s">
        <v>111</v>
      </c>
      <c r="BB1898" t="s">
        <v>111</v>
      </c>
      <c r="BC1898" t="s">
        <v>111</v>
      </c>
      <c r="BD1898" t="s">
        <v>111</v>
      </c>
      <c r="BE1898" t="s">
        <v>111</v>
      </c>
      <c r="BF1898" t="s">
        <v>111</v>
      </c>
      <c r="BG1898" t="s">
        <v>111</v>
      </c>
      <c r="BH1898" t="s">
        <v>111</v>
      </c>
      <c r="BI1898" t="s">
        <v>111</v>
      </c>
      <c r="BJ1898" t="s">
        <v>111</v>
      </c>
      <c r="BK1898" t="s">
        <v>111</v>
      </c>
      <c r="BL1898" t="s">
        <v>111</v>
      </c>
      <c r="BM1898" t="s">
        <v>111</v>
      </c>
      <c r="BN1898" t="s">
        <v>111</v>
      </c>
      <c r="BO1898" t="s">
        <v>111</v>
      </c>
      <c r="BP1898" t="s">
        <v>111</v>
      </c>
      <c r="BQ1898" t="s">
        <v>111</v>
      </c>
      <c r="BR1898" t="s">
        <v>111</v>
      </c>
      <c r="BS1898" t="s">
        <v>111</v>
      </c>
      <c r="BT1898" t="s">
        <v>111</v>
      </c>
      <c r="BU1898" t="s">
        <v>111</v>
      </c>
      <c r="BV1898" t="s">
        <v>111</v>
      </c>
      <c r="BW1898" t="s">
        <v>111</v>
      </c>
      <c r="BX1898" t="s">
        <v>111</v>
      </c>
      <c r="BY1898" t="s">
        <v>111</v>
      </c>
      <c r="BZ1898" t="s">
        <v>111</v>
      </c>
      <c r="CA1898" t="s">
        <v>111</v>
      </c>
      <c r="CB1898" t="s">
        <v>111</v>
      </c>
      <c r="CC1898" t="s">
        <v>111</v>
      </c>
      <c r="CD1898" t="s">
        <v>111</v>
      </c>
      <c r="CE1898" t="s">
        <v>111</v>
      </c>
      <c r="CF1898" t="s">
        <v>111</v>
      </c>
      <c r="CG1898" t="s">
        <v>111</v>
      </c>
      <c r="CH1898" t="s">
        <v>111</v>
      </c>
      <c r="CI1898" t="s">
        <v>111</v>
      </c>
      <c r="CJ1898" t="s">
        <v>111</v>
      </c>
      <c r="CK1898" t="s">
        <v>111</v>
      </c>
      <c r="CL1898" t="s">
        <v>111</v>
      </c>
      <c r="CM1898" t="s">
        <v>111</v>
      </c>
      <c r="CN1898" t="s">
        <v>111</v>
      </c>
      <c r="CO1898" t="s">
        <v>111</v>
      </c>
      <c r="CP1898" t="s">
        <v>111</v>
      </c>
      <c r="CQ1898">
        <v>0</v>
      </c>
      <c r="CR1898">
        <v>0</v>
      </c>
      <c r="CS1898">
        <v>0</v>
      </c>
      <c r="CT1898" t="s">
        <v>111</v>
      </c>
      <c r="CU1898">
        <v>0</v>
      </c>
      <c r="CV1898" t="s">
        <v>111</v>
      </c>
      <c r="CW1898" t="s">
        <v>111</v>
      </c>
      <c r="CX1898" t="s">
        <v>111</v>
      </c>
      <c r="CY1898">
        <v>0</v>
      </c>
      <c r="CZ1898" t="s">
        <v>111</v>
      </c>
      <c r="DA1898" t="s">
        <v>111</v>
      </c>
      <c r="DB1898" t="s">
        <v>111</v>
      </c>
      <c r="DC1898" t="s">
        <v>111</v>
      </c>
    </row>
    <row r="1899" spans="1:107">
      <c r="A1899">
        <v>1225</v>
      </c>
      <c r="B1899" t="s">
        <v>107</v>
      </c>
      <c r="C1899" t="s">
        <v>4214</v>
      </c>
      <c r="D1899" t="s">
        <v>5094</v>
      </c>
      <c r="E1899" t="s">
        <v>5196</v>
      </c>
      <c r="F1899" t="s">
        <v>110</v>
      </c>
      <c r="G1899" t="s">
        <v>24</v>
      </c>
      <c r="H1899">
        <v>2.9</v>
      </c>
      <c r="I1899">
        <v>55</v>
      </c>
      <c r="J1899">
        <v>0</v>
      </c>
      <c r="K1899">
        <v>0</v>
      </c>
      <c r="L1899" t="s">
        <v>112</v>
      </c>
      <c r="M1899" t="s">
        <v>118</v>
      </c>
      <c r="N1899">
        <v>39</v>
      </c>
      <c r="O1899">
        <v>2</v>
      </c>
      <c r="P1899" t="s">
        <v>138</v>
      </c>
      <c r="Q1899">
        <v>49</v>
      </c>
      <c r="R1899">
        <v>0</v>
      </c>
      <c r="S1899">
        <v>0</v>
      </c>
      <c r="T1899">
        <v>0</v>
      </c>
      <c r="U1899" s="1" t="s">
        <v>5197</v>
      </c>
      <c r="V1899">
        <v>0</v>
      </c>
      <c r="W1899">
        <v>0</v>
      </c>
      <c r="X1899">
        <v>0</v>
      </c>
      <c r="Y1899">
        <v>25</v>
      </c>
      <c r="Z1899" t="s">
        <v>111</v>
      </c>
      <c r="AA1899">
        <v>0</v>
      </c>
      <c r="AB1899" t="s">
        <v>111</v>
      </c>
      <c r="AC1899">
        <v>0</v>
      </c>
      <c r="AD1899" t="s">
        <v>111</v>
      </c>
      <c r="AE1899">
        <v>0</v>
      </c>
      <c r="AF1899">
        <v>0</v>
      </c>
      <c r="AG1899" t="s">
        <v>111</v>
      </c>
      <c r="AH1899" t="s">
        <v>111</v>
      </c>
      <c r="AI1899" t="s">
        <v>111</v>
      </c>
      <c r="AJ1899" t="s">
        <v>111</v>
      </c>
      <c r="AK1899" t="s">
        <v>111</v>
      </c>
      <c r="AL1899" t="s">
        <v>111</v>
      </c>
      <c r="AM1899">
        <v>0</v>
      </c>
      <c r="AN1899">
        <v>0</v>
      </c>
      <c r="AO1899">
        <v>0</v>
      </c>
      <c r="AP1899" t="s">
        <v>111</v>
      </c>
      <c r="AQ1899" t="s">
        <v>111</v>
      </c>
      <c r="AR1899" t="s">
        <v>111</v>
      </c>
      <c r="AS1899" t="s">
        <v>111</v>
      </c>
      <c r="AT1899" t="s">
        <v>111</v>
      </c>
      <c r="AU1899" t="s">
        <v>111</v>
      </c>
      <c r="AV1899" t="s">
        <v>111</v>
      </c>
      <c r="AW1899" t="s">
        <v>111</v>
      </c>
      <c r="AX1899" t="s">
        <v>111</v>
      </c>
      <c r="AY1899" t="s">
        <v>111</v>
      </c>
      <c r="AZ1899" t="s">
        <v>111</v>
      </c>
      <c r="BA1899" t="s">
        <v>111</v>
      </c>
      <c r="BB1899" t="s">
        <v>111</v>
      </c>
      <c r="BC1899" t="s">
        <v>111</v>
      </c>
      <c r="BD1899" t="s">
        <v>111</v>
      </c>
      <c r="BE1899" t="s">
        <v>111</v>
      </c>
      <c r="BF1899" t="s">
        <v>111</v>
      </c>
      <c r="BG1899" t="s">
        <v>111</v>
      </c>
      <c r="BH1899" t="s">
        <v>111</v>
      </c>
      <c r="BI1899" t="s">
        <v>111</v>
      </c>
      <c r="BJ1899" t="s">
        <v>111</v>
      </c>
      <c r="BK1899" t="s">
        <v>111</v>
      </c>
      <c r="BL1899" t="s">
        <v>111</v>
      </c>
      <c r="BM1899" t="s">
        <v>111</v>
      </c>
      <c r="BN1899" t="s">
        <v>111</v>
      </c>
      <c r="BO1899" t="s">
        <v>111</v>
      </c>
      <c r="BP1899" t="s">
        <v>111</v>
      </c>
      <c r="BQ1899" t="s">
        <v>111</v>
      </c>
      <c r="BR1899" t="s">
        <v>111</v>
      </c>
      <c r="BS1899" t="s">
        <v>111</v>
      </c>
      <c r="BT1899" t="s">
        <v>111</v>
      </c>
      <c r="BU1899" t="s">
        <v>111</v>
      </c>
      <c r="BV1899" t="s">
        <v>111</v>
      </c>
      <c r="BW1899" t="s">
        <v>111</v>
      </c>
      <c r="BX1899" t="s">
        <v>111</v>
      </c>
      <c r="BY1899" t="s">
        <v>111</v>
      </c>
      <c r="BZ1899" t="s">
        <v>111</v>
      </c>
      <c r="CA1899" t="s">
        <v>111</v>
      </c>
      <c r="CB1899" t="s">
        <v>111</v>
      </c>
      <c r="CC1899" t="s">
        <v>111</v>
      </c>
      <c r="CD1899" t="s">
        <v>111</v>
      </c>
      <c r="CE1899" t="s">
        <v>111</v>
      </c>
      <c r="CF1899" t="s">
        <v>111</v>
      </c>
      <c r="CG1899" t="s">
        <v>111</v>
      </c>
      <c r="CH1899" t="s">
        <v>111</v>
      </c>
      <c r="CI1899" t="s">
        <v>111</v>
      </c>
      <c r="CJ1899" t="s">
        <v>111</v>
      </c>
      <c r="CK1899" t="s">
        <v>111</v>
      </c>
      <c r="CL1899" t="s">
        <v>111</v>
      </c>
      <c r="CM1899" t="s">
        <v>111</v>
      </c>
      <c r="CN1899" t="s">
        <v>111</v>
      </c>
      <c r="CO1899" t="s">
        <v>111</v>
      </c>
      <c r="CP1899" t="s">
        <v>111</v>
      </c>
      <c r="CQ1899">
        <v>0</v>
      </c>
      <c r="CR1899">
        <v>0</v>
      </c>
      <c r="CS1899">
        <v>0</v>
      </c>
      <c r="CT1899" t="s">
        <v>111</v>
      </c>
      <c r="CU1899">
        <v>0</v>
      </c>
      <c r="CV1899" t="s">
        <v>111</v>
      </c>
      <c r="CW1899" t="s">
        <v>111</v>
      </c>
      <c r="CX1899" t="s">
        <v>111</v>
      </c>
      <c r="CY1899">
        <v>0</v>
      </c>
      <c r="CZ1899" t="s">
        <v>111</v>
      </c>
      <c r="DA1899" t="s">
        <v>111</v>
      </c>
      <c r="DB1899" t="s">
        <v>111</v>
      </c>
      <c r="DC1899" t="s">
        <v>111</v>
      </c>
    </row>
    <row r="1900" spans="1:107">
      <c r="A1900">
        <v>1237</v>
      </c>
      <c r="B1900" t="s">
        <v>107</v>
      </c>
      <c r="C1900" t="s">
        <v>3783</v>
      </c>
      <c r="D1900" t="s">
        <v>3960</v>
      </c>
      <c r="E1900" t="s">
        <v>5198</v>
      </c>
      <c r="F1900" t="s">
        <v>1260</v>
      </c>
      <c r="G1900" t="s">
        <v>24</v>
      </c>
      <c r="H1900">
        <v>1.9</v>
      </c>
      <c r="I1900">
        <v>40</v>
      </c>
      <c r="J1900">
        <v>0</v>
      </c>
      <c r="K1900">
        <v>0</v>
      </c>
      <c r="L1900" t="s">
        <v>117</v>
      </c>
      <c r="M1900" t="s">
        <v>118</v>
      </c>
      <c r="N1900">
        <v>40</v>
      </c>
      <c r="O1900">
        <v>1</v>
      </c>
      <c r="P1900" t="s">
        <v>111</v>
      </c>
      <c r="Q1900">
        <v>45</v>
      </c>
      <c r="R1900">
        <v>0</v>
      </c>
      <c r="S1900">
        <v>0</v>
      </c>
      <c r="T1900">
        <v>5</v>
      </c>
      <c r="U1900" s="1" t="s">
        <v>5199</v>
      </c>
      <c r="V1900">
        <v>0</v>
      </c>
      <c r="W1900">
        <v>0</v>
      </c>
      <c r="X1900">
        <v>0</v>
      </c>
      <c r="Y1900">
        <v>25</v>
      </c>
      <c r="Z1900" t="s">
        <v>111</v>
      </c>
      <c r="AA1900">
        <v>0</v>
      </c>
      <c r="AB1900" t="s">
        <v>111</v>
      </c>
      <c r="AC1900">
        <v>0</v>
      </c>
      <c r="AD1900" t="s">
        <v>416</v>
      </c>
      <c r="AE1900">
        <v>0</v>
      </c>
      <c r="AF1900">
        <v>0</v>
      </c>
      <c r="AG1900" t="s">
        <v>111</v>
      </c>
      <c r="AH1900" t="s">
        <v>113</v>
      </c>
      <c r="AI1900" t="s">
        <v>111</v>
      </c>
      <c r="AJ1900" t="s">
        <v>111</v>
      </c>
      <c r="AK1900" t="s">
        <v>111</v>
      </c>
      <c r="AL1900" t="s">
        <v>111</v>
      </c>
      <c r="AM1900">
        <v>0</v>
      </c>
      <c r="AN1900">
        <v>0</v>
      </c>
      <c r="AO1900">
        <v>0</v>
      </c>
      <c r="AP1900" t="s">
        <v>111</v>
      </c>
      <c r="AQ1900" t="s">
        <v>111</v>
      </c>
      <c r="AR1900" t="s">
        <v>111</v>
      </c>
      <c r="AS1900" t="s">
        <v>111</v>
      </c>
      <c r="AT1900" t="s">
        <v>111</v>
      </c>
      <c r="AU1900" t="s">
        <v>111</v>
      </c>
      <c r="AV1900" t="s">
        <v>111</v>
      </c>
      <c r="AW1900" t="s">
        <v>111</v>
      </c>
      <c r="AX1900" t="s">
        <v>111</v>
      </c>
      <c r="AY1900" t="s">
        <v>111</v>
      </c>
      <c r="AZ1900" t="s">
        <v>111</v>
      </c>
      <c r="BA1900" t="s">
        <v>111</v>
      </c>
      <c r="BB1900" t="s">
        <v>111</v>
      </c>
      <c r="BC1900" t="s">
        <v>111</v>
      </c>
      <c r="BD1900" t="s">
        <v>111</v>
      </c>
      <c r="BE1900" t="s">
        <v>111</v>
      </c>
      <c r="BF1900" t="s">
        <v>111</v>
      </c>
      <c r="BG1900" t="s">
        <v>111</v>
      </c>
      <c r="BH1900" t="s">
        <v>111</v>
      </c>
      <c r="BI1900" t="s">
        <v>111</v>
      </c>
      <c r="BJ1900" t="s">
        <v>111</v>
      </c>
      <c r="BK1900" t="s">
        <v>111</v>
      </c>
      <c r="BL1900" t="s">
        <v>111</v>
      </c>
      <c r="BM1900" t="s">
        <v>111</v>
      </c>
      <c r="BN1900" t="s">
        <v>111</v>
      </c>
      <c r="BO1900" t="s">
        <v>111</v>
      </c>
      <c r="BP1900" t="s">
        <v>111</v>
      </c>
      <c r="BQ1900" t="s">
        <v>111</v>
      </c>
      <c r="BR1900" t="s">
        <v>111</v>
      </c>
      <c r="BS1900" t="s">
        <v>111</v>
      </c>
      <c r="BT1900" t="s">
        <v>111</v>
      </c>
      <c r="BU1900" t="s">
        <v>111</v>
      </c>
      <c r="BV1900" t="s">
        <v>111</v>
      </c>
      <c r="BW1900" t="s">
        <v>111</v>
      </c>
      <c r="BX1900" t="s">
        <v>111</v>
      </c>
      <c r="BY1900" t="s">
        <v>111</v>
      </c>
      <c r="BZ1900" t="s">
        <v>111</v>
      </c>
      <c r="CA1900" t="s">
        <v>111</v>
      </c>
      <c r="CB1900" t="s">
        <v>111</v>
      </c>
      <c r="CC1900" t="s">
        <v>111</v>
      </c>
      <c r="CD1900" t="s">
        <v>111</v>
      </c>
      <c r="CE1900" t="s">
        <v>111</v>
      </c>
      <c r="CF1900" t="s">
        <v>111</v>
      </c>
      <c r="CG1900" t="s">
        <v>111</v>
      </c>
      <c r="CH1900" t="s">
        <v>111</v>
      </c>
      <c r="CI1900" t="s">
        <v>111</v>
      </c>
      <c r="CJ1900" t="s">
        <v>111</v>
      </c>
      <c r="CK1900" t="s">
        <v>111</v>
      </c>
      <c r="CL1900" t="s">
        <v>111</v>
      </c>
      <c r="CM1900" t="s">
        <v>135</v>
      </c>
      <c r="CN1900" t="s">
        <v>113</v>
      </c>
      <c r="CO1900" t="s">
        <v>111</v>
      </c>
      <c r="CP1900" t="s">
        <v>111</v>
      </c>
      <c r="CQ1900">
        <v>124</v>
      </c>
      <c r="CR1900">
        <v>26000</v>
      </c>
      <c r="CS1900">
        <v>26000</v>
      </c>
      <c r="CT1900" t="e">
        <f>-DESTNO ALMACEN</f>
        <v>#NAME?</v>
      </c>
      <c r="CU1900">
        <v>0</v>
      </c>
      <c r="CV1900" t="s">
        <v>111</v>
      </c>
      <c r="CW1900" t="s">
        <v>111</v>
      </c>
      <c r="CX1900" t="s">
        <v>111</v>
      </c>
      <c r="CY1900">
        <v>0</v>
      </c>
      <c r="CZ1900" t="s">
        <v>111</v>
      </c>
      <c r="DA1900" t="s">
        <v>111</v>
      </c>
      <c r="DB1900" t="s">
        <v>111</v>
      </c>
      <c r="DC1900" t="s">
        <v>111</v>
      </c>
    </row>
    <row r="1901" spans="1:107">
      <c r="A1901">
        <v>1197</v>
      </c>
      <c r="B1901" t="s">
        <v>107</v>
      </c>
      <c r="C1901" t="s">
        <v>3783</v>
      </c>
      <c r="D1901" t="s">
        <v>3960</v>
      </c>
      <c r="E1901" t="s">
        <v>5200</v>
      </c>
      <c r="F1901" t="s">
        <v>1260</v>
      </c>
      <c r="G1901" t="s">
        <v>24</v>
      </c>
      <c r="H1901">
        <v>1.9</v>
      </c>
      <c r="I1901">
        <v>40</v>
      </c>
      <c r="J1901">
        <v>0</v>
      </c>
      <c r="K1901">
        <v>0</v>
      </c>
      <c r="L1901" t="s">
        <v>117</v>
      </c>
      <c r="M1901" t="s">
        <v>118</v>
      </c>
      <c r="N1901">
        <v>40</v>
      </c>
      <c r="O1901">
        <v>1</v>
      </c>
      <c r="P1901" t="s">
        <v>111</v>
      </c>
      <c r="Q1901">
        <v>46.5</v>
      </c>
      <c r="R1901">
        <v>0</v>
      </c>
      <c r="S1901">
        <v>0</v>
      </c>
      <c r="T1901">
        <v>5</v>
      </c>
      <c r="U1901" t="s">
        <v>501</v>
      </c>
      <c r="V1901">
        <v>0</v>
      </c>
      <c r="W1901">
        <v>0</v>
      </c>
      <c r="X1901">
        <v>0</v>
      </c>
      <c r="Y1901">
        <v>25</v>
      </c>
      <c r="Z1901" t="s">
        <v>111</v>
      </c>
      <c r="AA1901">
        <v>0</v>
      </c>
      <c r="AB1901" t="s">
        <v>111</v>
      </c>
      <c r="AC1901">
        <v>0</v>
      </c>
      <c r="AD1901" t="s">
        <v>416</v>
      </c>
      <c r="AE1901">
        <v>0</v>
      </c>
      <c r="AF1901">
        <v>1</v>
      </c>
      <c r="AG1901" t="s">
        <v>111</v>
      </c>
      <c r="AH1901" t="s">
        <v>113</v>
      </c>
      <c r="AI1901" t="s">
        <v>111</v>
      </c>
      <c r="AJ1901" t="s">
        <v>111</v>
      </c>
      <c r="AK1901" t="s">
        <v>111</v>
      </c>
      <c r="AL1901" t="s">
        <v>111</v>
      </c>
      <c r="AM1901">
        <v>0</v>
      </c>
      <c r="AN1901">
        <v>0</v>
      </c>
      <c r="AO1901">
        <v>0</v>
      </c>
      <c r="AP1901" t="s">
        <v>111</v>
      </c>
      <c r="AQ1901" t="s">
        <v>111</v>
      </c>
      <c r="AR1901" t="s">
        <v>111</v>
      </c>
      <c r="AS1901" t="s">
        <v>111</v>
      </c>
      <c r="AT1901" t="s">
        <v>111</v>
      </c>
      <c r="AU1901" t="s">
        <v>111</v>
      </c>
      <c r="AV1901" t="s">
        <v>111</v>
      </c>
      <c r="AW1901" t="s">
        <v>111</v>
      </c>
      <c r="AX1901" t="s">
        <v>111</v>
      </c>
      <c r="AY1901" t="s">
        <v>111</v>
      </c>
      <c r="AZ1901" t="s">
        <v>111</v>
      </c>
      <c r="BA1901" t="s">
        <v>111</v>
      </c>
      <c r="BB1901" t="s">
        <v>111</v>
      </c>
      <c r="BC1901" t="s">
        <v>111</v>
      </c>
      <c r="BD1901" t="s">
        <v>111</v>
      </c>
      <c r="BE1901" t="s">
        <v>111</v>
      </c>
      <c r="BF1901" t="s">
        <v>111</v>
      </c>
      <c r="BG1901" t="s">
        <v>111</v>
      </c>
      <c r="BH1901" t="s">
        <v>111</v>
      </c>
      <c r="BI1901" t="s">
        <v>111</v>
      </c>
      <c r="BJ1901" t="s">
        <v>111</v>
      </c>
      <c r="BK1901" t="s">
        <v>111</v>
      </c>
      <c r="BL1901" t="s">
        <v>111</v>
      </c>
      <c r="BM1901" t="s">
        <v>111</v>
      </c>
      <c r="BN1901" t="s">
        <v>111</v>
      </c>
      <c r="BO1901" t="s">
        <v>111</v>
      </c>
      <c r="BP1901" t="s">
        <v>111</v>
      </c>
      <c r="BQ1901" t="s">
        <v>111</v>
      </c>
      <c r="BR1901" t="s">
        <v>111</v>
      </c>
      <c r="BS1901" t="s">
        <v>111</v>
      </c>
      <c r="BT1901" t="s">
        <v>111</v>
      </c>
      <c r="BU1901" t="s">
        <v>111</v>
      </c>
      <c r="BV1901" t="s">
        <v>111</v>
      </c>
      <c r="BW1901" t="s">
        <v>111</v>
      </c>
      <c r="BX1901" t="s">
        <v>111</v>
      </c>
      <c r="BY1901" t="s">
        <v>111</v>
      </c>
      <c r="BZ1901" t="s">
        <v>111</v>
      </c>
      <c r="CA1901" t="s">
        <v>111</v>
      </c>
      <c r="CB1901" t="s">
        <v>111</v>
      </c>
      <c r="CC1901" t="s">
        <v>111</v>
      </c>
      <c r="CD1901" t="s">
        <v>111</v>
      </c>
      <c r="CE1901" t="s">
        <v>111</v>
      </c>
      <c r="CF1901" t="s">
        <v>111</v>
      </c>
      <c r="CG1901" t="s">
        <v>111</v>
      </c>
      <c r="CH1901" t="s">
        <v>111</v>
      </c>
      <c r="CI1901" t="s">
        <v>111</v>
      </c>
      <c r="CJ1901" t="s">
        <v>111</v>
      </c>
      <c r="CK1901" t="s">
        <v>111</v>
      </c>
      <c r="CL1901" t="e">
        <f>-DESTINO SELLADO</f>
        <v>#NAME?</v>
      </c>
      <c r="CM1901" t="s">
        <v>135</v>
      </c>
      <c r="CN1901" t="s">
        <v>113</v>
      </c>
      <c r="CO1901" t="s">
        <v>111</v>
      </c>
      <c r="CP1901" t="s">
        <v>111</v>
      </c>
      <c r="CQ1901">
        <v>0</v>
      </c>
      <c r="CR1901">
        <v>26000</v>
      </c>
      <c r="CS1901">
        <v>26000</v>
      </c>
      <c r="CT1901" t="s">
        <v>394</v>
      </c>
      <c r="CU1901">
        <v>0</v>
      </c>
      <c r="CV1901" t="s">
        <v>111</v>
      </c>
      <c r="CW1901" t="s">
        <v>111</v>
      </c>
      <c r="CX1901" t="s">
        <v>111</v>
      </c>
      <c r="CY1901">
        <v>0</v>
      </c>
      <c r="CZ1901" t="s">
        <v>111</v>
      </c>
      <c r="DA1901" t="s">
        <v>111</v>
      </c>
      <c r="DB1901" t="s">
        <v>111</v>
      </c>
      <c r="DC1901" t="s">
        <v>111</v>
      </c>
    </row>
    <row r="1902" spans="1:107">
      <c r="A1902">
        <v>1205</v>
      </c>
      <c r="B1902" t="s">
        <v>107</v>
      </c>
      <c r="C1902" t="s">
        <v>3783</v>
      </c>
      <c r="D1902" t="s">
        <v>4194</v>
      </c>
      <c r="E1902" t="s">
        <v>5201</v>
      </c>
      <c r="F1902" t="s">
        <v>1260</v>
      </c>
      <c r="G1902" t="s">
        <v>24</v>
      </c>
      <c r="H1902">
        <v>1.9</v>
      </c>
      <c r="I1902">
        <v>40</v>
      </c>
      <c r="J1902">
        <v>0</v>
      </c>
      <c r="K1902">
        <v>0</v>
      </c>
      <c r="L1902" t="s">
        <v>117</v>
      </c>
      <c r="M1902" t="s">
        <v>118</v>
      </c>
      <c r="N1902">
        <v>39</v>
      </c>
      <c r="O1902">
        <v>1</v>
      </c>
      <c r="P1902" t="s">
        <v>111</v>
      </c>
      <c r="Q1902">
        <v>37.200000000000003</v>
      </c>
      <c r="R1902">
        <v>0</v>
      </c>
      <c r="S1902">
        <v>0</v>
      </c>
      <c r="T1902">
        <v>5</v>
      </c>
      <c r="U1902" t="s">
        <v>1511</v>
      </c>
      <c r="V1902">
        <v>0</v>
      </c>
      <c r="W1902">
        <v>0</v>
      </c>
      <c r="X1902">
        <v>0</v>
      </c>
      <c r="Y1902">
        <v>25</v>
      </c>
      <c r="Z1902" t="s">
        <v>111</v>
      </c>
      <c r="AA1902">
        <v>0</v>
      </c>
      <c r="AB1902" t="s">
        <v>111</v>
      </c>
      <c r="AC1902">
        <v>0</v>
      </c>
      <c r="AD1902" t="s">
        <v>416</v>
      </c>
      <c r="AE1902">
        <v>0</v>
      </c>
      <c r="AF1902">
        <v>0</v>
      </c>
      <c r="AG1902" t="s">
        <v>111</v>
      </c>
      <c r="AH1902" t="s">
        <v>113</v>
      </c>
      <c r="AI1902" t="s">
        <v>111</v>
      </c>
      <c r="AJ1902" t="s">
        <v>111</v>
      </c>
      <c r="AK1902" t="s">
        <v>111</v>
      </c>
      <c r="AL1902" t="s">
        <v>111</v>
      </c>
      <c r="AM1902">
        <v>0</v>
      </c>
      <c r="AN1902">
        <v>0</v>
      </c>
      <c r="AO1902">
        <v>0</v>
      </c>
      <c r="AP1902" t="s">
        <v>111</v>
      </c>
      <c r="AQ1902" t="s">
        <v>111</v>
      </c>
      <c r="AR1902" t="s">
        <v>111</v>
      </c>
      <c r="AS1902" t="s">
        <v>111</v>
      </c>
      <c r="AT1902" t="s">
        <v>111</v>
      </c>
      <c r="AU1902" t="s">
        <v>111</v>
      </c>
      <c r="AV1902" t="s">
        <v>111</v>
      </c>
      <c r="AW1902" t="s">
        <v>111</v>
      </c>
      <c r="AX1902" t="s">
        <v>111</v>
      </c>
      <c r="AY1902" t="s">
        <v>111</v>
      </c>
      <c r="AZ1902" t="s">
        <v>111</v>
      </c>
      <c r="BA1902" t="s">
        <v>111</v>
      </c>
      <c r="BB1902" t="s">
        <v>111</v>
      </c>
      <c r="BC1902" t="s">
        <v>111</v>
      </c>
      <c r="BD1902" t="s">
        <v>111</v>
      </c>
      <c r="BE1902" t="s">
        <v>111</v>
      </c>
      <c r="BF1902" t="s">
        <v>111</v>
      </c>
      <c r="BG1902" t="s">
        <v>111</v>
      </c>
      <c r="BH1902" t="s">
        <v>111</v>
      </c>
      <c r="BI1902" t="s">
        <v>111</v>
      </c>
      <c r="BJ1902" t="s">
        <v>111</v>
      </c>
      <c r="BK1902" t="s">
        <v>111</v>
      </c>
      <c r="BL1902" t="s">
        <v>111</v>
      </c>
      <c r="BM1902" t="s">
        <v>111</v>
      </c>
      <c r="BN1902" t="s">
        <v>111</v>
      </c>
      <c r="BO1902" t="s">
        <v>111</v>
      </c>
      <c r="BP1902" t="s">
        <v>111</v>
      </c>
      <c r="BQ1902" t="s">
        <v>111</v>
      </c>
      <c r="BR1902" t="s">
        <v>111</v>
      </c>
      <c r="BS1902" t="s">
        <v>111</v>
      </c>
      <c r="BT1902" t="s">
        <v>111</v>
      </c>
      <c r="BU1902" t="s">
        <v>111</v>
      </c>
      <c r="BV1902" t="s">
        <v>111</v>
      </c>
      <c r="BW1902" t="s">
        <v>111</v>
      </c>
      <c r="BX1902" t="s">
        <v>111</v>
      </c>
      <c r="BY1902" t="s">
        <v>111</v>
      </c>
      <c r="BZ1902" t="s">
        <v>111</v>
      </c>
      <c r="CA1902" t="s">
        <v>111</v>
      </c>
      <c r="CB1902" t="s">
        <v>111</v>
      </c>
      <c r="CC1902" t="s">
        <v>111</v>
      </c>
      <c r="CD1902" t="s">
        <v>111</v>
      </c>
      <c r="CE1902" t="s">
        <v>111</v>
      </c>
      <c r="CF1902" t="s">
        <v>111</v>
      </c>
      <c r="CG1902" t="s">
        <v>111</v>
      </c>
      <c r="CH1902" t="s">
        <v>111</v>
      </c>
      <c r="CI1902" t="s">
        <v>111</v>
      </c>
      <c r="CJ1902" t="s">
        <v>111</v>
      </c>
      <c r="CK1902" t="s">
        <v>111</v>
      </c>
      <c r="CL1902" t="e">
        <f>-DESTINO DELLADO</f>
        <v>#NAME?</v>
      </c>
      <c r="CM1902" t="s">
        <v>135</v>
      </c>
      <c r="CN1902" t="s">
        <v>113</v>
      </c>
      <c r="CO1902" t="s">
        <v>637</v>
      </c>
      <c r="CP1902" t="s">
        <v>563</v>
      </c>
      <c r="CQ1902">
        <v>0</v>
      </c>
      <c r="CR1902">
        <v>0</v>
      </c>
      <c r="CS1902">
        <v>50</v>
      </c>
      <c r="CT1902" s="1" t="s">
        <v>5202</v>
      </c>
      <c r="CU1902">
        <v>0</v>
      </c>
      <c r="CV1902" t="s">
        <v>111</v>
      </c>
      <c r="CW1902" t="s">
        <v>111</v>
      </c>
      <c r="CX1902" t="s">
        <v>111</v>
      </c>
      <c r="CY1902">
        <v>0</v>
      </c>
      <c r="CZ1902" t="s">
        <v>111</v>
      </c>
      <c r="DA1902" t="s">
        <v>111</v>
      </c>
      <c r="DB1902" t="s">
        <v>111</v>
      </c>
      <c r="DC1902" t="s">
        <v>111</v>
      </c>
    </row>
    <row r="1903" spans="1:107">
      <c r="A1903">
        <v>1206</v>
      </c>
      <c r="B1903" t="s">
        <v>107</v>
      </c>
      <c r="C1903" t="s">
        <v>3783</v>
      </c>
      <c r="D1903" t="s">
        <v>3960</v>
      </c>
      <c r="E1903" t="s">
        <v>5203</v>
      </c>
      <c r="F1903" t="s">
        <v>1260</v>
      </c>
      <c r="G1903" t="s">
        <v>24</v>
      </c>
      <c r="H1903">
        <v>1.9</v>
      </c>
      <c r="I1903">
        <v>40</v>
      </c>
      <c r="J1903">
        <v>0</v>
      </c>
      <c r="K1903">
        <v>0</v>
      </c>
      <c r="L1903" t="s">
        <v>117</v>
      </c>
      <c r="M1903" t="s">
        <v>118</v>
      </c>
      <c r="N1903">
        <v>40</v>
      </c>
      <c r="O1903">
        <v>1</v>
      </c>
      <c r="P1903" t="s">
        <v>111</v>
      </c>
      <c r="Q1903">
        <v>53</v>
      </c>
      <c r="R1903">
        <v>0</v>
      </c>
      <c r="S1903">
        <v>0</v>
      </c>
      <c r="T1903">
        <v>5</v>
      </c>
      <c r="U1903" t="s">
        <v>5204</v>
      </c>
      <c r="V1903">
        <v>0</v>
      </c>
      <c r="W1903">
        <v>0</v>
      </c>
      <c r="X1903">
        <v>0</v>
      </c>
      <c r="Y1903">
        <v>25</v>
      </c>
      <c r="Z1903" t="s">
        <v>111</v>
      </c>
      <c r="AA1903">
        <v>0</v>
      </c>
      <c r="AB1903" t="s">
        <v>111</v>
      </c>
      <c r="AC1903">
        <v>0</v>
      </c>
      <c r="AD1903" t="s">
        <v>416</v>
      </c>
      <c r="AE1903">
        <v>0</v>
      </c>
      <c r="AF1903">
        <v>0</v>
      </c>
      <c r="AG1903" t="s">
        <v>111</v>
      </c>
      <c r="AH1903" t="s">
        <v>128</v>
      </c>
      <c r="AI1903" t="s">
        <v>111</v>
      </c>
      <c r="AJ1903" t="s">
        <v>111</v>
      </c>
      <c r="AK1903" t="s">
        <v>111</v>
      </c>
      <c r="AL1903" t="s">
        <v>111</v>
      </c>
      <c r="AM1903">
        <v>0</v>
      </c>
      <c r="AN1903">
        <v>0</v>
      </c>
      <c r="AO1903">
        <v>0</v>
      </c>
      <c r="AP1903" t="s">
        <v>111</v>
      </c>
      <c r="AQ1903" t="s">
        <v>111</v>
      </c>
      <c r="AR1903" t="s">
        <v>111</v>
      </c>
      <c r="AS1903" t="s">
        <v>111</v>
      </c>
      <c r="AT1903" t="s">
        <v>111</v>
      </c>
      <c r="AU1903" t="s">
        <v>111</v>
      </c>
      <c r="AV1903" t="s">
        <v>111</v>
      </c>
      <c r="AW1903" t="s">
        <v>111</v>
      </c>
      <c r="AX1903" t="s">
        <v>111</v>
      </c>
      <c r="AY1903" t="s">
        <v>111</v>
      </c>
      <c r="AZ1903" t="s">
        <v>111</v>
      </c>
      <c r="BA1903" t="s">
        <v>111</v>
      </c>
      <c r="BB1903" t="s">
        <v>111</v>
      </c>
      <c r="BC1903" t="s">
        <v>111</v>
      </c>
      <c r="BD1903" t="s">
        <v>111</v>
      </c>
      <c r="BE1903" t="s">
        <v>111</v>
      </c>
      <c r="BF1903" t="s">
        <v>111</v>
      </c>
      <c r="BG1903" t="s">
        <v>111</v>
      </c>
      <c r="BH1903" t="s">
        <v>111</v>
      </c>
      <c r="BI1903" t="s">
        <v>111</v>
      </c>
      <c r="BJ1903" t="s">
        <v>111</v>
      </c>
      <c r="BK1903" t="s">
        <v>111</v>
      </c>
      <c r="BL1903" t="s">
        <v>111</v>
      </c>
      <c r="BM1903" t="s">
        <v>111</v>
      </c>
      <c r="BN1903" t="s">
        <v>111</v>
      </c>
      <c r="BO1903" t="s">
        <v>111</v>
      </c>
      <c r="BP1903" t="s">
        <v>111</v>
      </c>
      <c r="BQ1903" t="s">
        <v>111</v>
      </c>
      <c r="BR1903" t="s">
        <v>111</v>
      </c>
      <c r="BS1903" t="s">
        <v>111</v>
      </c>
      <c r="BT1903" t="s">
        <v>111</v>
      </c>
      <c r="BU1903" t="s">
        <v>111</v>
      </c>
      <c r="BV1903" t="s">
        <v>111</v>
      </c>
      <c r="BW1903" t="s">
        <v>111</v>
      </c>
      <c r="BX1903" t="s">
        <v>111</v>
      </c>
      <c r="BY1903" t="s">
        <v>111</v>
      </c>
      <c r="BZ1903" t="s">
        <v>111</v>
      </c>
      <c r="CA1903" t="s">
        <v>111</v>
      </c>
      <c r="CB1903" t="s">
        <v>111</v>
      </c>
      <c r="CC1903" t="s">
        <v>111</v>
      </c>
      <c r="CD1903" t="s">
        <v>111</v>
      </c>
      <c r="CE1903" t="s">
        <v>111</v>
      </c>
      <c r="CF1903" t="s">
        <v>111</v>
      </c>
      <c r="CG1903" t="s">
        <v>111</v>
      </c>
      <c r="CH1903" t="s">
        <v>111</v>
      </c>
      <c r="CI1903" t="s">
        <v>111</v>
      </c>
      <c r="CJ1903" t="s">
        <v>111</v>
      </c>
      <c r="CK1903" t="s">
        <v>111</v>
      </c>
      <c r="CL1903" t="e">
        <f>-DESTINO SELLADO</f>
        <v>#NAME?</v>
      </c>
      <c r="CM1903" t="s">
        <v>135</v>
      </c>
      <c r="CN1903" t="s">
        <v>113</v>
      </c>
      <c r="CO1903" t="s">
        <v>111</v>
      </c>
      <c r="CP1903" t="s">
        <v>111</v>
      </c>
      <c r="CQ1903">
        <v>115</v>
      </c>
      <c r="CR1903">
        <v>26000</v>
      </c>
      <c r="CS1903">
        <v>26000</v>
      </c>
      <c r="CT1903" t="s">
        <v>5205</v>
      </c>
      <c r="CU1903">
        <v>0</v>
      </c>
      <c r="CV1903" t="s">
        <v>111</v>
      </c>
      <c r="CW1903" t="s">
        <v>111</v>
      </c>
      <c r="CX1903" t="s">
        <v>111</v>
      </c>
      <c r="CY1903">
        <v>0</v>
      </c>
      <c r="CZ1903" t="s">
        <v>111</v>
      </c>
      <c r="DA1903" t="s">
        <v>111</v>
      </c>
      <c r="DB1903" t="s">
        <v>111</v>
      </c>
      <c r="DC1903" t="s">
        <v>111</v>
      </c>
    </row>
    <row r="1904" spans="1:107">
      <c r="A1904">
        <v>1207</v>
      </c>
      <c r="B1904" t="s">
        <v>107</v>
      </c>
      <c r="C1904" t="s">
        <v>4214</v>
      </c>
      <c r="D1904" t="s">
        <v>5206</v>
      </c>
      <c r="E1904" t="s">
        <v>5207</v>
      </c>
      <c r="F1904" t="s">
        <v>110</v>
      </c>
      <c r="G1904" t="s">
        <v>24</v>
      </c>
      <c r="H1904">
        <v>2</v>
      </c>
      <c r="I1904">
        <v>45</v>
      </c>
      <c r="J1904">
        <v>0</v>
      </c>
      <c r="K1904">
        <v>0</v>
      </c>
      <c r="L1904" t="s">
        <v>112</v>
      </c>
      <c r="M1904" t="s">
        <v>138</v>
      </c>
      <c r="N1904">
        <v>0</v>
      </c>
      <c r="O1904">
        <v>0</v>
      </c>
      <c r="P1904" t="s">
        <v>111</v>
      </c>
      <c r="Q1904">
        <v>25</v>
      </c>
      <c r="R1904">
        <v>0</v>
      </c>
      <c r="S1904">
        <v>0</v>
      </c>
      <c r="T1904">
        <v>0</v>
      </c>
      <c r="U1904" s="1" t="s">
        <v>5208</v>
      </c>
      <c r="V1904">
        <v>0</v>
      </c>
      <c r="W1904">
        <v>0</v>
      </c>
      <c r="X1904">
        <v>0</v>
      </c>
      <c r="Y1904">
        <v>25</v>
      </c>
      <c r="Z1904" t="s">
        <v>111</v>
      </c>
      <c r="AA1904">
        <v>0</v>
      </c>
      <c r="AB1904" t="s">
        <v>111</v>
      </c>
      <c r="AC1904">
        <v>0</v>
      </c>
      <c r="AD1904" t="s">
        <v>111</v>
      </c>
      <c r="AE1904">
        <v>0</v>
      </c>
      <c r="AF1904">
        <v>0</v>
      </c>
      <c r="AG1904" t="s">
        <v>111</v>
      </c>
      <c r="AH1904" t="s">
        <v>111</v>
      </c>
      <c r="AI1904" t="s">
        <v>111</v>
      </c>
      <c r="AJ1904" t="s">
        <v>111</v>
      </c>
      <c r="AK1904" t="s">
        <v>111</v>
      </c>
      <c r="AL1904" t="s">
        <v>111</v>
      </c>
      <c r="AM1904">
        <v>0</v>
      </c>
      <c r="AN1904">
        <v>0</v>
      </c>
      <c r="AO1904">
        <v>0</v>
      </c>
      <c r="AP1904" t="s">
        <v>111</v>
      </c>
      <c r="AQ1904" t="s">
        <v>111</v>
      </c>
      <c r="AR1904" t="s">
        <v>111</v>
      </c>
      <c r="AS1904" t="s">
        <v>111</v>
      </c>
      <c r="AT1904" t="s">
        <v>111</v>
      </c>
      <c r="AU1904" t="s">
        <v>111</v>
      </c>
      <c r="AV1904" t="s">
        <v>111</v>
      </c>
      <c r="AW1904" t="s">
        <v>111</v>
      </c>
      <c r="AX1904" t="s">
        <v>111</v>
      </c>
      <c r="AY1904" t="s">
        <v>111</v>
      </c>
      <c r="AZ1904" t="s">
        <v>111</v>
      </c>
      <c r="BA1904" t="s">
        <v>111</v>
      </c>
      <c r="BB1904" t="s">
        <v>111</v>
      </c>
      <c r="BC1904" t="s">
        <v>111</v>
      </c>
      <c r="BD1904" t="s">
        <v>111</v>
      </c>
      <c r="BE1904" t="s">
        <v>111</v>
      </c>
      <c r="BF1904" t="s">
        <v>111</v>
      </c>
      <c r="BG1904" t="s">
        <v>111</v>
      </c>
      <c r="BH1904" t="s">
        <v>111</v>
      </c>
      <c r="BI1904" t="s">
        <v>111</v>
      </c>
      <c r="BJ1904" t="s">
        <v>111</v>
      </c>
      <c r="BK1904" t="s">
        <v>111</v>
      </c>
      <c r="BL1904" t="s">
        <v>111</v>
      </c>
      <c r="BM1904" t="s">
        <v>111</v>
      </c>
      <c r="BN1904" t="s">
        <v>111</v>
      </c>
      <c r="BO1904" t="s">
        <v>111</v>
      </c>
      <c r="BP1904" t="s">
        <v>111</v>
      </c>
      <c r="BQ1904" t="s">
        <v>111</v>
      </c>
      <c r="BR1904" t="s">
        <v>111</v>
      </c>
      <c r="BS1904" t="s">
        <v>111</v>
      </c>
      <c r="BT1904" t="s">
        <v>111</v>
      </c>
      <c r="BU1904" t="s">
        <v>111</v>
      </c>
      <c r="BV1904" t="s">
        <v>111</v>
      </c>
      <c r="BW1904" t="s">
        <v>111</v>
      </c>
      <c r="BX1904" t="s">
        <v>111</v>
      </c>
      <c r="BY1904" t="s">
        <v>111</v>
      </c>
      <c r="BZ1904" t="s">
        <v>111</v>
      </c>
      <c r="CA1904" t="s">
        <v>111</v>
      </c>
      <c r="CB1904" t="s">
        <v>111</v>
      </c>
      <c r="CC1904" t="s">
        <v>111</v>
      </c>
      <c r="CD1904" t="s">
        <v>111</v>
      </c>
      <c r="CE1904" t="s">
        <v>111</v>
      </c>
      <c r="CF1904" t="s">
        <v>111</v>
      </c>
      <c r="CG1904" t="s">
        <v>111</v>
      </c>
      <c r="CH1904" t="s">
        <v>111</v>
      </c>
      <c r="CI1904" t="s">
        <v>111</v>
      </c>
      <c r="CJ1904" t="s">
        <v>111</v>
      </c>
      <c r="CK1904" t="s">
        <v>111</v>
      </c>
      <c r="CL1904" t="s">
        <v>111</v>
      </c>
      <c r="CM1904" t="s">
        <v>111</v>
      </c>
      <c r="CN1904" t="s">
        <v>111</v>
      </c>
      <c r="CO1904" t="s">
        <v>111</v>
      </c>
      <c r="CP1904" t="s">
        <v>111</v>
      </c>
      <c r="CQ1904">
        <v>0</v>
      </c>
      <c r="CR1904">
        <v>0</v>
      </c>
      <c r="CS1904">
        <v>0</v>
      </c>
      <c r="CT1904" t="s">
        <v>111</v>
      </c>
      <c r="CU1904">
        <v>0</v>
      </c>
      <c r="CV1904" t="s">
        <v>111</v>
      </c>
      <c r="CW1904" t="s">
        <v>111</v>
      </c>
      <c r="CX1904" t="s">
        <v>111</v>
      </c>
      <c r="CY1904">
        <v>0</v>
      </c>
      <c r="CZ1904" t="s">
        <v>111</v>
      </c>
      <c r="DA1904" t="s">
        <v>111</v>
      </c>
      <c r="DB1904" t="s">
        <v>111</v>
      </c>
      <c r="DC1904" t="s">
        <v>111</v>
      </c>
    </row>
    <row r="1905" spans="1:107">
      <c r="A1905">
        <v>1232</v>
      </c>
      <c r="B1905" t="s">
        <v>107</v>
      </c>
      <c r="C1905" t="s">
        <v>5149</v>
      </c>
      <c r="D1905" t="s">
        <v>5209</v>
      </c>
      <c r="E1905" t="s">
        <v>5210</v>
      </c>
      <c r="F1905" t="s">
        <v>110</v>
      </c>
      <c r="G1905" t="s">
        <v>24</v>
      </c>
      <c r="H1905">
        <v>1</v>
      </c>
      <c r="I1905">
        <v>55</v>
      </c>
      <c r="J1905">
        <v>0</v>
      </c>
      <c r="K1905">
        <v>0</v>
      </c>
      <c r="L1905" t="s">
        <v>112</v>
      </c>
      <c r="M1905" t="s">
        <v>118</v>
      </c>
      <c r="N1905">
        <v>40</v>
      </c>
      <c r="O1905">
        <v>1</v>
      </c>
      <c r="P1905" t="s">
        <v>138</v>
      </c>
      <c r="Q1905">
        <v>31.3</v>
      </c>
      <c r="R1905">
        <v>0</v>
      </c>
      <c r="S1905">
        <v>0</v>
      </c>
      <c r="T1905">
        <v>0</v>
      </c>
      <c r="U1905" s="1" t="s">
        <v>5211</v>
      </c>
      <c r="V1905">
        <v>0</v>
      </c>
      <c r="W1905">
        <v>0</v>
      </c>
      <c r="X1905">
        <v>0</v>
      </c>
      <c r="Y1905">
        <v>25</v>
      </c>
      <c r="Z1905" t="s">
        <v>111</v>
      </c>
      <c r="AA1905">
        <v>0</v>
      </c>
      <c r="AB1905" t="s">
        <v>111</v>
      </c>
      <c r="AC1905">
        <v>0</v>
      </c>
      <c r="AD1905" t="s">
        <v>111</v>
      </c>
      <c r="AE1905">
        <v>0</v>
      </c>
      <c r="AF1905">
        <v>0</v>
      </c>
      <c r="AG1905" t="s">
        <v>111</v>
      </c>
      <c r="AH1905" t="s">
        <v>111</v>
      </c>
      <c r="AI1905" t="s">
        <v>111</v>
      </c>
      <c r="AJ1905" t="s">
        <v>111</v>
      </c>
      <c r="AK1905" t="s">
        <v>111</v>
      </c>
      <c r="AL1905" t="s">
        <v>111</v>
      </c>
      <c r="AM1905">
        <v>0</v>
      </c>
      <c r="AN1905">
        <v>0</v>
      </c>
      <c r="AO1905">
        <v>0</v>
      </c>
      <c r="AP1905" t="s">
        <v>111</v>
      </c>
      <c r="AQ1905" t="s">
        <v>111</v>
      </c>
      <c r="AR1905" t="s">
        <v>111</v>
      </c>
      <c r="AS1905" t="s">
        <v>111</v>
      </c>
      <c r="AT1905" t="s">
        <v>111</v>
      </c>
      <c r="AU1905" t="s">
        <v>111</v>
      </c>
      <c r="AV1905" t="s">
        <v>111</v>
      </c>
      <c r="AW1905" t="s">
        <v>111</v>
      </c>
      <c r="AX1905" t="s">
        <v>111</v>
      </c>
      <c r="AY1905" t="s">
        <v>111</v>
      </c>
      <c r="AZ1905" t="s">
        <v>111</v>
      </c>
      <c r="BA1905" t="s">
        <v>111</v>
      </c>
      <c r="BB1905" t="s">
        <v>111</v>
      </c>
      <c r="BC1905" t="s">
        <v>111</v>
      </c>
      <c r="BD1905" t="s">
        <v>111</v>
      </c>
      <c r="BE1905" t="s">
        <v>111</v>
      </c>
      <c r="BF1905" t="s">
        <v>111</v>
      </c>
      <c r="BG1905" t="s">
        <v>111</v>
      </c>
      <c r="BH1905" t="s">
        <v>111</v>
      </c>
      <c r="BI1905" t="s">
        <v>111</v>
      </c>
      <c r="BJ1905" t="s">
        <v>111</v>
      </c>
      <c r="BK1905" t="s">
        <v>111</v>
      </c>
      <c r="BL1905" t="s">
        <v>111</v>
      </c>
      <c r="BM1905" t="s">
        <v>111</v>
      </c>
      <c r="BN1905" t="s">
        <v>111</v>
      </c>
      <c r="BO1905" t="s">
        <v>111</v>
      </c>
      <c r="BP1905" t="s">
        <v>111</v>
      </c>
      <c r="BQ1905" t="s">
        <v>111</v>
      </c>
      <c r="BR1905" t="s">
        <v>111</v>
      </c>
      <c r="BS1905" t="s">
        <v>111</v>
      </c>
      <c r="BT1905" t="s">
        <v>111</v>
      </c>
      <c r="BU1905" t="s">
        <v>111</v>
      </c>
      <c r="BV1905" t="s">
        <v>111</v>
      </c>
      <c r="BW1905" t="s">
        <v>111</v>
      </c>
      <c r="BX1905" t="s">
        <v>111</v>
      </c>
      <c r="BY1905" t="s">
        <v>111</v>
      </c>
      <c r="BZ1905" t="s">
        <v>111</v>
      </c>
      <c r="CA1905" t="s">
        <v>111</v>
      </c>
      <c r="CB1905" t="s">
        <v>111</v>
      </c>
      <c r="CC1905" t="s">
        <v>111</v>
      </c>
      <c r="CD1905" t="s">
        <v>111</v>
      </c>
      <c r="CE1905" t="s">
        <v>111</v>
      </c>
      <c r="CF1905" t="s">
        <v>111</v>
      </c>
      <c r="CG1905" t="s">
        <v>111</v>
      </c>
      <c r="CH1905" t="s">
        <v>111</v>
      </c>
      <c r="CI1905" t="s">
        <v>111</v>
      </c>
      <c r="CJ1905" t="s">
        <v>111</v>
      </c>
      <c r="CK1905" t="s">
        <v>111</v>
      </c>
      <c r="CL1905" t="s">
        <v>111</v>
      </c>
      <c r="CM1905" t="s">
        <v>111</v>
      </c>
      <c r="CN1905" t="s">
        <v>111</v>
      </c>
      <c r="CO1905" t="s">
        <v>111</v>
      </c>
      <c r="CP1905" t="s">
        <v>111</v>
      </c>
      <c r="CQ1905">
        <v>0</v>
      </c>
      <c r="CR1905">
        <v>0</v>
      </c>
      <c r="CS1905">
        <v>0</v>
      </c>
      <c r="CT1905" t="s">
        <v>111</v>
      </c>
      <c r="CU1905">
        <v>0</v>
      </c>
      <c r="CV1905" t="s">
        <v>111</v>
      </c>
      <c r="CW1905" t="s">
        <v>111</v>
      </c>
      <c r="CX1905" t="s">
        <v>111</v>
      </c>
      <c r="CY1905">
        <v>0</v>
      </c>
      <c r="CZ1905" t="s">
        <v>111</v>
      </c>
      <c r="DA1905" t="s">
        <v>111</v>
      </c>
      <c r="DB1905" t="s">
        <v>111</v>
      </c>
      <c r="DC1905" t="s">
        <v>111</v>
      </c>
    </row>
    <row r="1906" spans="1:107">
      <c r="A1906">
        <v>1164</v>
      </c>
      <c r="B1906" t="s">
        <v>107</v>
      </c>
      <c r="C1906" t="s">
        <v>4214</v>
      </c>
      <c r="D1906" t="s">
        <v>5212</v>
      </c>
      <c r="E1906" t="s">
        <v>5213</v>
      </c>
      <c r="F1906" t="s">
        <v>110</v>
      </c>
      <c r="G1906" t="s">
        <v>24</v>
      </c>
      <c r="H1906">
        <v>1.7</v>
      </c>
      <c r="I1906">
        <v>38</v>
      </c>
      <c r="J1906">
        <v>0</v>
      </c>
      <c r="K1906">
        <v>0</v>
      </c>
      <c r="L1906" t="s">
        <v>112</v>
      </c>
      <c r="M1906" t="s">
        <v>118</v>
      </c>
      <c r="N1906">
        <v>40</v>
      </c>
      <c r="O1906">
        <v>2</v>
      </c>
      <c r="P1906" t="s">
        <v>138</v>
      </c>
      <c r="Q1906">
        <v>40</v>
      </c>
      <c r="R1906">
        <v>0</v>
      </c>
      <c r="S1906">
        <v>0</v>
      </c>
      <c r="T1906">
        <v>0</v>
      </c>
      <c r="U1906" s="1" t="s">
        <v>5214</v>
      </c>
      <c r="V1906">
        <v>0</v>
      </c>
      <c r="W1906">
        <v>0</v>
      </c>
      <c r="X1906">
        <v>0</v>
      </c>
      <c r="Y1906">
        <v>25</v>
      </c>
      <c r="Z1906" t="s">
        <v>111</v>
      </c>
      <c r="AA1906">
        <v>0</v>
      </c>
      <c r="AB1906" t="s">
        <v>111</v>
      </c>
      <c r="AC1906">
        <v>0</v>
      </c>
      <c r="AD1906" t="s">
        <v>111</v>
      </c>
      <c r="AE1906">
        <v>0</v>
      </c>
      <c r="AF1906">
        <v>0</v>
      </c>
      <c r="AG1906" t="s">
        <v>111</v>
      </c>
      <c r="AH1906" t="s">
        <v>111</v>
      </c>
      <c r="AI1906" t="s">
        <v>111</v>
      </c>
      <c r="AJ1906" t="s">
        <v>111</v>
      </c>
      <c r="AK1906" t="s">
        <v>111</v>
      </c>
      <c r="AL1906" t="s">
        <v>111</v>
      </c>
      <c r="AM1906">
        <v>0</v>
      </c>
      <c r="AN1906">
        <v>0</v>
      </c>
      <c r="AO1906">
        <v>0</v>
      </c>
      <c r="AP1906" t="s">
        <v>111</v>
      </c>
      <c r="AQ1906" t="s">
        <v>111</v>
      </c>
      <c r="AR1906" t="s">
        <v>111</v>
      </c>
      <c r="AS1906" t="s">
        <v>111</v>
      </c>
      <c r="AT1906" t="s">
        <v>111</v>
      </c>
      <c r="AU1906" t="s">
        <v>111</v>
      </c>
      <c r="AV1906" t="s">
        <v>111</v>
      </c>
      <c r="AW1906" t="s">
        <v>111</v>
      </c>
      <c r="AX1906" t="s">
        <v>111</v>
      </c>
      <c r="AY1906" t="s">
        <v>111</v>
      </c>
      <c r="AZ1906" t="s">
        <v>111</v>
      </c>
      <c r="BA1906" t="s">
        <v>111</v>
      </c>
      <c r="BB1906" t="s">
        <v>111</v>
      </c>
      <c r="BC1906" t="s">
        <v>111</v>
      </c>
      <c r="BD1906" t="s">
        <v>111</v>
      </c>
      <c r="BE1906" t="s">
        <v>111</v>
      </c>
      <c r="BF1906" t="s">
        <v>111</v>
      </c>
      <c r="BG1906" t="s">
        <v>111</v>
      </c>
      <c r="BH1906" t="s">
        <v>111</v>
      </c>
      <c r="BI1906" t="s">
        <v>111</v>
      </c>
      <c r="BJ1906" t="s">
        <v>111</v>
      </c>
      <c r="BK1906" t="s">
        <v>111</v>
      </c>
      <c r="BL1906" t="s">
        <v>111</v>
      </c>
      <c r="BM1906" t="s">
        <v>111</v>
      </c>
      <c r="BN1906" t="s">
        <v>111</v>
      </c>
      <c r="BO1906" t="s">
        <v>111</v>
      </c>
      <c r="BP1906" t="s">
        <v>111</v>
      </c>
      <c r="BQ1906" t="s">
        <v>111</v>
      </c>
      <c r="BR1906" t="s">
        <v>111</v>
      </c>
      <c r="BS1906" t="s">
        <v>111</v>
      </c>
      <c r="BT1906" t="s">
        <v>111</v>
      </c>
      <c r="BU1906" t="s">
        <v>111</v>
      </c>
      <c r="BV1906" t="s">
        <v>111</v>
      </c>
      <c r="BW1906" t="s">
        <v>111</v>
      </c>
      <c r="BX1906" t="s">
        <v>111</v>
      </c>
      <c r="BY1906" t="s">
        <v>111</v>
      </c>
      <c r="BZ1906" t="s">
        <v>111</v>
      </c>
      <c r="CA1906" t="s">
        <v>111</v>
      </c>
      <c r="CB1906" t="s">
        <v>111</v>
      </c>
      <c r="CC1906" t="s">
        <v>111</v>
      </c>
      <c r="CD1906" t="s">
        <v>111</v>
      </c>
      <c r="CE1906" t="s">
        <v>111</v>
      </c>
      <c r="CF1906" t="s">
        <v>111</v>
      </c>
      <c r="CG1906" t="s">
        <v>111</v>
      </c>
      <c r="CH1906" t="s">
        <v>111</v>
      </c>
      <c r="CI1906" t="s">
        <v>111</v>
      </c>
      <c r="CJ1906" t="s">
        <v>111</v>
      </c>
      <c r="CK1906" t="s">
        <v>111</v>
      </c>
      <c r="CL1906" t="s">
        <v>111</v>
      </c>
      <c r="CM1906" t="s">
        <v>111</v>
      </c>
      <c r="CN1906" t="s">
        <v>111</v>
      </c>
      <c r="CO1906" t="s">
        <v>111</v>
      </c>
      <c r="CP1906" t="s">
        <v>111</v>
      </c>
      <c r="CQ1906">
        <v>0</v>
      </c>
      <c r="CR1906">
        <v>0</v>
      </c>
      <c r="CS1906">
        <v>0</v>
      </c>
      <c r="CT1906" t="s">
        <v>111</v>
      </c>
      <c r="CU1906">
        <v>0</v>
      </c>
      <c r="CV1906" t="s">
        <v>111</v>
      </c>
      <c r="CW1906" t="s">
        <v>111</v>
      </c>
      <c r="CX1906" t="s">
        <v>111</v>
      </c>
      <c r="CY1906">
        <v>0</v>
      </c>
      <c r="CZ1906" t="s">
        <v>111</v>
      </c>
      <c r="DA1906" t="s">
        <v>111</v>
      </c>
      <c r="DB1906" t="s">
        <v>111</v>
      </c>
      <c r="DC1906" t="s">
        <v>111</v>
      </c>
    </row>
    <row r="1907" spans="1:107">
      <c r="A1907">
        <v>1212</v>
      </c>
      <c r="B1907" t="s">
        <v>107</v>
      </c>
      <c r="C1907" t="s">
        <v>549</v>
      </c>
      <c r="D1907" t="s">
        <v>5215</v>
      </c>
      <c r="E1907" t="s">
        <v>5216</v>
      </c>
      <c r="F1907" t="s">
        <v>1071</v>
      </c>
      <c r="G1907" t="s">
        <v>24</v>
      </c>
      <c r="H1907">
        <v>1.5</v>
      </c>
      <c r="I1907">
        <v>13</v>
      </c>
      <c r="J1907">
        <v>2.5</v>
      </c>
      <c r="K1907">
        <v>0</v>
      </c>
      <c r="L1907" t="s">
        <v>112</v>
      </c>
      <c r="M1907" t="s">
        <v>111</v>
      </c>
      <c r="N1907">
        <v>0</v>
      </c>
      <c r="O1907">
        <v>0</v>
      </c>
      <c r="P1907" t="s">
        <v>111</v>
      </c>
      <c r="Q1907">
        <v>7</v>
      </c>
      <c r="R1907">
        <v>0</v>
      </c>
      <c r="S1907">
        <v>0</v>
      </c>
      <c r="T1907">
        <v>5</v>
      </c>
      <c r="U1907" s="1" t="s">
        <v>5217</v>
      </c>
      <c r="V1907">
        <v>0</v>
      </c>
      <c r="W1907">
        <v>0</v>
      </c>
      <c r="X1907">
        <v>0</v>
      </c>
      <c r="Y1907">
        <v>25</v>
      </c>
      <c r="Z1907" t="s">
        <v>111</v>
      </c>
      <c r="AA1907">
        <v>0</v>
      </c>
      <c r="AB1907" t="s">
        <v>111</v>
      </c>
      <c r="AC1907">
        <v>0</v>
      </c>
      <c r="AD1907" t="s">
        <v>111</v>
      </c>
      <c r="AE1907">
        <v>0</v>
      </c>
      <c r="AF1907">
        <v>0</v>
      </c>
      <c r="AG1907" t="s">
        <v>111</v>
      </c>
      <c r="AH1907" t="s">
        <v>111</v>
      </c>
      <c r="AI1907" t="s">
        <v>111</v>
      </c>
      <c r="AJ1907" t="s">
        <v>111</v>
      </c>
      <c r="AK1907" t="s">
        <v>111</v>
      </c>
      <c r="AL1907" t="s">
        <v>111</v>
      </c>
      <c r="AM1907">
        <v>0</v>
      </c>
      <c r="AN1907">
        <v>0</v>
      </c>
      <c r="AO1907">
        <v>0</v>
      </c>
      <c r="AP1907" t="s">
        <v>111</v>
      </c>
      <c r="AQ1907" t="s">
        <v>111</v>
      </c>
      <c r="AR1907" t="s">
        <v>111</v>
      </c>
      <c r="AS1907" t="s">
        <v>111</v>
      </c>
      <c r="AT1907" t="s">
        <v>111</v>
      </c>
      <c r="AU1907" t="s">
        <v>111</v>
      </c>
      <c r="AV1907" t="s">
        <v>111</v>
      </c>
      <c r="AW1907" t="s">
        <v>111</v>
      </c>
      <c r="AX1907" t="s">
        <v>111</v>
      </c>
      <c r="AY1907" t="s">
        <v>111</v>
      </c>
      <c r="AZ1907" t="s">
        <v>111</v>
      </c>
      <c r="BA1907" t="s">
        <v>111</v>
      </c>
      <c r="BB1907" t="s">
        <v>111</v>
      </c>
      <c r="BC1907" t="s">
        <v>111</v>
      </c>
      <c r="BD1907" t="s">
        <v>111</v>
      </c>
      <c r="BE1907" t="s">
        <v>111</v>
      </c>
      <c r="BF1907" t="s">
        <v>111</v>
      </c>
      <c r="BG1907" t="s">
        <v>111</v>
      </c>
      <c r="BH1907" t="s">
        <v>111</v>
      </c>
      <c r="BI1907" t="s">
        <v>111</v>
      </c>
      <c r="BJ1907" t="s">
        <v>111</v>
      </c>
      <c r="BK1907" t="s">
        <v>111</v>
      </c>
      <c r="BL1907" t="s">
        <v>111</v>
      </c>
      <c r="BM1907" t="s">
        <v>111</v>
      </c>
      <c r="BN1907" t="s">
        <v>111</v>
      </c>
      <c r="BO1907" t="s">
        <v>111</v>
      </c>
      <c r="BP1907" t="s">
        <v>111</v>
      </c>
      <c r="BQ1907" t="s">
        <v>111</v>
      </c>
      <c r="BR1907" t="s">
        <v>111</v>
      </c>
      <c r="BS1907" t="s">
        <v>111</v>
      </c>
      <c r="BT1907" t="s">
        <v>111</v>
      </c>
      <c r="BU1907" t="s">
        <v>111</v>
      </c>
      <c r="BV1907" t="s">
        <v>111</v>
      </c>
      <c r="BW1907" t="s">
        <v>111</v>
      </c>
      <c r="BX1907" t="s">
        <v>111</v>
      </c>
      <c r="BY1907" t="s">
        <v>111</v>
      </c>
      <c r="BZ1907" t="s">
        <v>111</v>
      </c>
      <c r="CA1907" t="s">
        <v>111</v>
      </c>
      <c r="CB1907" t="s">
        <v>111</v>
      </c>
      <c r="CC1907" t="s">
        <v>111</v>
      </c>
      <c r="CD1907" t="s">
        <v>111</v>
      </c>
      <c r="CE1907" t="s">
        <v>111</v>
      </c>
      <c r="CF1907" t="s">
        <v>111</v>
      </c>
      <c r="CG1907" t="s">
        <v>111</v>
      </c>
      <c r="CH1907" t="s">
        <v>111</v>
      </c>
      <c r="CI1907" t="s">
        <v>111</v>
      </c>
      <c r="CJ1907" t="s">
        <v>111</v>
      </c>
      <c r="CK1907" t="s">
        <v>111</v>
      </c>
      <c r="CL1907" t="s">
        <v>111</v>
      </c>
      <c r="CM1907">
        <v>450</v>
      </c>
      <c r="CN1907" t="s">
        <v>113</v>
      </c>
      <c r="CO1907" t="s">
        <v>111</v>
      </c>
      <c r="CP1907" t="s">
        <v>111</v>
      </c>
      <c r="CQ1907">
        <v>0</v>
      </c>
      <c r="CR1907">
        <v>10000</v>
      </c>
      <c r="CS1907">
        <v>500</v>
      </c>
      <c r="CT1907" t="s">
        <v>5218</v>
      </c>
      <c r="CU1907">
        <v>0</v>
      </c>
      <c r="CV1907" t="s">
        <v>111</v>
      </c>
      <c r="CW1907" t="s">
        <v>111</v>
      </c>
      <c r="CX1907" t="s">
        <v>111</v>
      </c>
      <c r="CY1907">
        <v>0</v>
      </c>
      <c r="CZ1907" t="s">
        <v>111</v>
      </c>
      <c r="DA1907" t="s">
        <v>111</v>
      </c>
      <c r="DB1907" t="s">
        <v>111</v>
      </c>
      <c r="DC1907" t="s">
        <v>111</v>
      </c>
    </row>
    <row r="1908" spans="1:107">
      <c r="A1908">
        <v>970</v>
      </c>
      <c r="B1908" t="s">
        <v>107</v>
      </c>
      <c r="C1908" t="s">
        <v>4293</v>
      </c>
      <c r="D1908" t="s">
        <v>5219</v>
      </c>
      <c r="E1908" t="s">
        <v>5220</v>
      </c>
      <c r="F1908" t="s">
        <v>1651</v>
      </c>
      <c r="G1908" t="s">
        <v>24</v>
      </c>
      <c r="H1908">
        <v>1.5</v>
      </c>
      <c r="I1908">
        <v>50</v>
      </c>
      <c r="J1908">
        <v>0</v>
      </c>
      <c r="K1908">
        <v>0</v>
      </c>
      <c r="L1908" t="s">
        <v>112</v>
      </c>
      <c r="M1908" t="s">
        <v>118</v>
      </c>
      <c r="N1908">
        <v>40</v>
      </c>
      <c r="O1908">
        <v>2</v>
      </c>
      <c r="P1908" t="s">
        <v>111</v>
      </c>
      <c r="Q1908">
        <v>41.3</v>
      </c>
      <c r="R1908">
        <v>0</v>
      </c>
      <c r="S1908">
        <v>0</v>
      </c>
      <c r="T1908">
        <v>5</v>
      </c>
      <c r="U1908" s="1" t="s">
        <v>3626</v>
      </c>
      <c r="V1908">
        <v>0</v>
      </c>
      <c r="W1908">
        <v>0</v>
      </c>
      <c r="X1908">
        <v>0</v>
      </c>
      <c r="Y1908">
        <v>25</v>
      </c>
      <c r="Z1908" t="s">
        <v>111</v>
      </c>
      <c r="AA1908">
        <v>0</v>
      </c>
      <c r="AB1908" t="s">
        <v>111</v>
      </c>
      <c r="AC1908">
        <v>0</v>
      </c>
      <c r="AD1908" t="s">
        <v>427</v>
      </c>
      <c r="AE1908">
        <v>5</v>
      </c>
      <c r="AF1908">
        <v>2</v>
      </c>
      <c r="AG1908" t="s">
        <v>111</v>
      </c>
      <c r="AH1908" t="s">
        <v>113</v>
      </c>
      <c r="AI1908" t="s">
        <v>111</v>
      </c>
      <c r="AJ1908" t="s">
        <v>111</v>
      </c>
      <c r="AK1908" t="s">
        <v>111</v>
      </c>
      <c r="AL1908" t="s">
        <v>111</v>
      </c>
      <c r="AM1908">
        <v>0</v>
      </c>
      <c r="AN1908">
        <v>0</v>
      </c>
      <c r="AO1908">
        <v>0</v>
      </c>
      <c r="AP1908" t="s">
        <v>111</v>
      </c>
      <c r="AQ1908" t="s">
        <v>111</v>
      </c>
      <c r="AR1908" t="s">
        <v>111</v>
      </c>
      <c r="AS1908" t="s">
        <v>111</v>
      </c>
      <c r="AT1908" t="s">
        <v>111</v>
      </c>
      <c r="AU1908" t="s">
        <v>111</v>
      </c>
      <c r="AV1908" t="s">
        <v>111</v>
      </c>
      <c r="AW1908" t="s">
        <v>111</v>
      </c>
      <c r="AX1908" t="s">
        <v>111</v>
      </c>
      <c r="AY1908" t="s">
        <v>111</v>
      </c>
      <c r="AZ1908" t="s">
        <v>111</v>
      </c>
      <c r="BA1908" t="s">
        <v>111</v>
      </c>
      <c r="BB1908" t="s">
        <v>111</v>
      </c>
      <c r="BC1908" t="s">
        <v>111</v>
      </c>
      <c r="BD1908" t="s">
        <v>111</v>
      </c>
      <c r="BE1908" t="s">
        <v>111</v>
      </c>
      <c r="BF1908" t="s">
        <v>111</v>
      </c>
      <c r="BG1908" t="s">
        <v>111</v>
      </c>
      <c r="BH1908" t="s">
        <v>111</v>
      </c>
      <c r="BI1908" t="s">
        <v>111</v>
      </c>
      <c r="BJ1908" t="s">
        <v>111</v>
      </c>
      <c r="BK1908" t="s">
        <v>111</v>
      </c>
      <c r="BL1908" t="s">
        <v>111</v>
      </c>
      <c r="BM1908" t="s">
        <v>111</v>
      </c>
      <c r="BN1908" t="s">
        <v>111</v>
      </c>
      <c r="BO1908" t="s">
        <v>111</v>
      </c>
      <c r="BP1908" t="s">
        <v>111</v>
      </c>
      <c r="BQ1908" t="s">
        <v>111</v>
      </c>
      <c r="BR1908" t="s">
        <v>111</v>
      </c>
      <c r="BS1908" t="s">
        <v>111</v>
      </c>
      <c r="BT1908" t="s">
        <v>111</v>
      </c>
      <c r="BU1908" t="s">
        <v>111</v>
      </c>
      <c r="BV1908" t="s">
        <v>111</v>
      </c>
      <c r="BW1908" t="s">
        <v>111</v>
      </c>
      <c r="BX1908" t="s">
        <v>111</v>
      </c>
      <c r="BY1908" t="s">
        <v>111</v>
      </c>
      <c r="BZ1908" t="s">
        <v>111</v>
      </c>
      <c r="CA1908" t="s">
        <v>111</v>
      </c>
      <c r="CB1908" t="s">
        <v>111</v>
      </c>
      <c r="CC1908" t="s">
        <v>111</v>
      </c>
      <c r="CD1908" t="s">
        <v>111</v>
      </c>
      <c r="CE1908" t="s">
        <v>111</v>
      </c>
      <c r="CF1908" t="s">
        <v>111</v>
      </c>
      <c r="CG1908" t="s">
        <v>111</v>
      </c>
      <c r="CH1908" t="s">
        <v>111</v>
      </c>
      <c r="CI1908" t="s">
        <v>111</v>
      </c>
      <c r="CJ1908" t="s">
        <v>111</v>
      </c>
      <c r="CK1908" t="s">
        <v>111</v>
      </c>
      <c r="CL1908" t="s">
        <v>111</v>
      </c>
      <c r="CM1908" t="s">
        <v>135</v>
      </c>
      <c r="CN1908" t="s">
        <v>113</v>
      </c>
      <c r="CO1908" t="s">
        <v>111</v>
      </c>
      <c r="CP1908" t="s">
        <v>563</v>
      </c>
      <c r="CQ1908">
        <v>0</v>
      </c>
      <c r="CR1908">
        <v>4000</v>
      </c>
      <c r="CS1908">
        <v>200</v>
      </c>
      <c r="CT1908" s="1" t="s">
        <v>5221</v>
      </c>
      <c r="CU1908">
        <v>0</v>
      </c>
      <c r="CV1908" t="s">
        <v>111</v>
      </c>
      <c r="CW1908" t="s">
        <v>111</v>
      </c>
      <c r="CX1908" t="s">
        <v>111</v>
      </c>
      <c r="CY1908">
        <v>0</v>
      </c>
      <c r="CZ1908" t="s">
        <v>111</v>
      </c>
      <c r="DA1908" t="s">
        <v>111</v>
      </c>
      <c r="DB1908" t="s">
        <v>111</v>
      </c>
      <c r="DC1908" t="s">
        <v>111</v>
      </c>
    </row>
    <row r="1909" spans="1:107">
      <c r="A1909">
        <v>1024</v>
      </c>
      <c r="B1909" t="s">
        <v>107</v>
      </c>
      <c r="C1909" t="s">
        <v>719</v>
      </c>
      <c r="D1909" t="s">
        <v>3958</v>
      </c>
      <c r="E1909" t="s">
        <v>5222</v>
      </c>
      <c r="F1909" t="s">
        <v>1651</v>
      </c>
      <c r="G1909" t="s">
        <v>24</v>
      </c>
      <c r="H1909">
        <v>2.4</v>
      </c>
      <c r="I1909">
        <v>38</v>
      </c>
      <c r="J1909">
        <v>0</v>
      </c>
      <c r="K1909">
        <v>0</v>
      </c>
      <c r="L1909" t="s">
        <v>112</v>
      </c>
      <c r="M1909" t="s">
        <v>118</v>
      </c>
      <c r="N1909">
        <v>40</v>
      </c>
      <c r="O1909">
        <v>2</v>
      </c>
      <c r="P1909" t="s">
        <v>138</v>
      </c>
      <c r="Q1909">
        <v>40.5</v>
      </c>
      <c r="R1909">
        <v>0</v>
      </c>
      <c r="S1909">
        <v>0</v>
      </c>
      <c r="T1909">
        <v>10</v>
      </c>
      <c r="U1909" t="s">
        <v>501</v>
      </c>
      <c r="V1909">
        <v>0</v>
      </c>
      <c r="W1909">
        <v>0</v>
      </c>
      <c r="X1909">
        <v>0</v>
      </c>
      <c r="Y1909">
        <v>25</v>
      </c>
      <c r="Z1909" t="s">
        <v>111</v>
      </c>
      <c r="AA1909">
        <v>0</v>
      </c>
      <c r="AB1909" t="s">
        <v>111</v>
      </c>
      <c r="AC1909">
        <v>0</v>
      </c>
      <c r="AD1909" t="s">
        <v>416</v>
      </c>
      <c r="AE1909">
        <v>0</v>
      </c>
      <c r="AF1909">
        <v>0</v>
      </c>
      <c r="AG1909" t="s">
        <v>111</v>
      </c>
      <c r="AH1909" t="s">
        <v>111</v>
      </c>
      <c r="AI1909" t="s">
        <v>111</v>
      </c>
      <c r="AJ1909" t="s">
        <v>111</v>
      </c>
      <c r="AK1909" t="s">
        <v>111</v>
      </c>
      <c r="AL1909" t="s">
        <v>111</v>
      </c>
      <c r="AM1909">
        <v>0</v>
      </c>
      <c r="AN1909">
        <v>0</v>
      </c>
      <c r="AO1909">
        <v>0</v>
      </c>
      <c r="AP1909" t="s">
        <v>111</v>
      </c>
      <c r="AQ1909" t="s">
        <v>111</v>
      </c>
      <c r="AR1909" t="s">
        <v>111</v>
      </c>
      <c r="AS1909" t="s">
        <v>111</v>
      </c>
      <c r="AT1909" t="s">
        <v>111</v>
      </c>
      <c r="AU1909" t="s">
        <v>111</v>
      </c>
      <c r="AV1909" t="s">
        <v>111</v>
      </c>
      <c r="AW1909" t="s">
        <v>111</v>
      </c>
      <c r="AX1909" t="s">
        <v>111</v>
      </c>
      <c r="AY1909" t="s">
        <v>111</v>
      </c>
      <c r="AZ1909" t="s">
        <v>111</v>
      </c>
      <c r="BA1909" t="s">
        <v>111</v>
      </c>
      <c r="BB1909" t="s">
        <v>111</v>
      </c>
      <c r="BC1909" t="s">
        <v>111</v>
      </c>
      <c r="BD1909" t="s">
        <v>111</v>
      </c>
      <c r="BE1909" t="s">
        <v>111</v>
      </c>
      <c r="BF1909" t="s">
        <v>111</v>
      </c>
      <c r="BG1909" t="s">
        <v>111</v>
      </c>
      <c r="BH1909" t="s">
        <v>111</v>
      </c>
      <c r="BI1909" t="s">
        <v>111</v>
      </c>
      <c r="BJ1909" t="s">
        <v>111</v>
      </c>
      <c r="BK1909" t="s">
        <v>111</v>
      </c>
      <c r="BL1909" t="s">
        <v>111</v>
      </c>
      <c r="BM1909" t="s">
        <v>111</v>
      </c>
      <c r="BN1909" t="s">
        <v>111</v>
      </c>
      <c r="BO1909" t="s">
        <v>111</v>
      </c>
      <c r="BP1909" t="s">
        <v>111</v>
      </c>
      <c r="BQ1909" t="s">
        <v>111</v>
      </c>
      <c r="BR1909" t="s">
        <v>111</v>
      </c>
      <c r="BS1909" t="s">
        <v>111</v>
      </c>
      <c r="BT1909" t="s">
        <v>111</v>
      </c>
      <c r="BU1909" t="s">
        <v>111</v>
      </c>
      <c r="BV1909" t="s">
        <v>111</v>
      </c>
      <c r="BW1909" t="s">
        <v>111</v>
      </c>
      <c r="BX1909" t="s">
        <v>111</v>
      </c>
      <c r="BY1909" t="s">
        <v>111</v>
      </c>
      <c r="BZ1909" t="s">
        <v>111</v>
      </c>
      <c r="CA1909" t="s">
        <v>111</v>
      </c>
      <c r="CB1909" t="s">
        <v>111</v>
      </c>
      <c r="CC1909" t="s">
        <v>111</v>
      </c>
      <c r="CD1909" t="s">
        <v>111</v>
      </c>
      <c r="CE1909" t="s">
        <v>111</v>
      </c>
      <c r="CF1909" t="s">
        <v>111</v>
      </c>
      <c r="CG1909" t="s">
        <v>111</v>
      </c>
      <c r="CH1909" t="s">
        <v>111</v>
      </c>
      <c r="CI1909" t="s">
        <v>111</v>
      </c>
      <c r="CJ1909" t="s">
        <v>111</v>
      </c>
      <c r="CK1909" t="s">
        <v>111</v>
      </c>
      <c r="CL1909" t="e">
        <f>-DESTINO ALMACEN</f>
        <v>#NAME?</v>
      </c>
      <c r="CM1909" t="s">
        <v>135</v>
      </c>
      <c r="CN1909" t="s">
        <v>113</v>
      </c>
      <c r="CO1909" t="s">
        <v>111</v>
      </c>
      <c r="CP1909" t="e">
        <f>-MUESTRA</f>
        <v>#NAME?</v>
      </c>
      <c r="CQ1909">
        <v>55</v>
      </c>
      <c r="CR1909">
        <v>3000</v>
      </c>
      <c r="CS1909">
        <v>200</v>
      </c>
      <c r="CT1909" s="1" t="s">
        <v>1104</v>
      </c>
      <c r="CU1909">
        <v>0</v>
      </c>
      <c r="CV1909" t="s">
        <v>111</v>
      </c>
      <c r="CW1909" t="s">
        <v>111</v>
      </c>
      <c r="CX1909" t="s">
        <v>111</v>
      </c>
      <c r="CY1909">
        <v>0</v>
      </c>
      <c r="CZ1909" t="s">
        <v>111</v>
      </c>
      <c r="DA1909" t="s">
        <v>111</v>
      </c>
      <c r="DB1909" t="s">
        <v>111</v>
      </c>
      <c r="DC1909" t="s">
        <v>111</v>
      </c>
    </row>
    <row r="1910" spans="1:107">
      <c r="A1910">
        <v>1008</v>
      </c>
      <c r="B1910" t="s">
        <v>107</v>
      </c>
      <c r="C1910" s="2">
        <v>71742228</v>
      </c>
      <c r="D1910" t="s">
        <v>5223</v>
      </c>
      <c r="E1910" t="s">
        <v>5224</v>
      </c>
      <c r="F1910" t="s">
        <v>1651</v>
      </c>
      <c r="G1910" t="s">
        <v>24</v>
      </c>
      <c r="H1910">
        <v>1.9</v>
      </c>
      <c r="I1910">
        <v>42</v>
      </c>
      <c r="J1910">
        <v>0</v>
      </c>
      <c r="K1910">
        <v>0</v>
      </c>
      <c r="L1910" t="s">
        <v>112</v>
      </c>
      <c r="M1910" t="s">
        <v>118</v>
      </c>
      <c r="N1910">
        <v>40</v>
      </c>
      <c r="O1910">
        <v>1</v>
      </c>
      <c r="P1910" t="s">
        <v>138</v>
      </c>
      <c r="Q1910">
        <v>45.5</v>
      </c>
      <c r="R1910">
        <v>0</v>
      </c>
      <c r="S1910">
        <v>0</v>
      </c>
      <c r="T1910">
        <v>5</v>
      </c>
      <c r="U1910" t="s">
        <v>501</v>
      </c>
      <c r="V1910">
        <v>0</v>
      </c>
      <c r="W1910">
        <v>0</v>
      </c>
      <c r="X1910">
        <v>0</v>
      </c>
      <c r="Y1910">
        <v>25</v>
      </c>
      <c r="Z1910" t="s">
        <v>111</v>
      </c>
      <c r="AA1910">
        <v>0</v>
      </c>
      <c r="AB1910" t="s">
        <v>111</v>
      </c>
      <c r="AC1910">
        <v>0</v>
      </c>
      <c r="AD1910" t="s">
        <v>416</v>
      </c>
      <c r="AE1910">
        <v>2</v>
      </c>
      <c r="AF1910">
        <v>1</v>
      </c>
      <c r="AG1910" t="s">
        <v>4789</v>
      </c>
      <c r="AH1910" t="s">
        <v>113</v>
      </c>
      <c r="AI1910" t="s">
        <v>4789</v>
      </c>
      <c r="AJ1910" t="s">
        <v>111</v>
      </c>
      <c r="AK1910" t="s">
        <v>111</v>
      </c>
      <c r="AL1910" t="s">
        <v>111</v>
      </c>
      <c r="AM1910">
        <v>0</v>
      </c>
      <c r="AN1910">
        <v>0</v>
      </c>
      <c r="AO1910">
        <v>0</v>
      </c>
      <c r="AP1910" t="s">
        <v>111</v>
      </c>
      <c r="AQ1910" t="s">
        <v>111</v>
      </c>
      <c r="AR1910" t="s">
        <v>111</v>
      </c>
      <c r="AS1910" t="s">
        <v>111</v>
      </c>
      <c r="AT1910" t="s">
        <v>111</v>
      </c>
      <c r="AU1910" t="s">
        <v>111</v>
      </c>
      <c r="AV1910" t="s">
        <v>111</v>
      </c>
      <c r="AW1910" t="s">
        <v>111</v>
      </c>
      <c r="AX1910" t="s">
        <v>111</v>
      </c>
      <c r="AY1910" t="s">
        <v>111</v>
      </c>
      <c r="AZ1910" t="s">
        <v>111</v>
      </c>
      <c r="BA1910" t="s">
        <v>111</v>
      </c>
      <c r="BB1910" t="s">
        <v>111</v>
      </c>
      <c r="BC1910" t="s">
        <v>111</v>
      </c>
      <c r="BD1910" t="s">
        <v>111</v>
      </c>
      <c r="BE1910" t="s">
        <v>111</v>
      </c>
      <c r="BF1910" t="s">
        <v>111</v>
      </c>
      <c r="BG1910" t="s">
        <v>111</v>
      </c>
      <c r="BH1910" t="s">
        <v>111</v>
      </c>
      <c r="BI1910" t="s">
        <v>111</v>
      </c>
      <c r="BJ1910" t="s">
        <v>111</v>
      </c>
      <c r="BK1910" t="s">
        <v>111</v>
      </c>
      <c r="BL1910" t="s">
        <v>111</v>
      </c>
      <c r="BM1910" t="s">
        <v>111</v>
      </c>
      <c r="BN1910" t="s">
        <v>111</v>
      </c>
      <c r="BO1910" t="s">
        <v>111</v>
      </c>
      <c r="BP1910" t="s">
        <v>111</v>
      </c>
      <c r="BQ1910" t="s">
        <v>111</v>
      </c>
      <c r="BR1910" t="s">
        <v>111</v>
      </c>
      <c r="BS1910" t="s">
        <v>111</v>
      </c>
      <c r="BT1910" t="s">
        <v>111</v>
      </c>
      <c r="BU1910" t="s">
        <v>111</v>
      </c>
      <c r="BV1910" t="s">
        <v>111</v>
      </c>
      <c r="BW1910" t="s">
        <v>111</v>
      </c>
      <c r="BX1910" t="s">
        <v>111</v>
      </c>
      <c r="BY1910" t="s">
        <v>111</v>
      </c>
      <c r="BZ1910" t="s">
        <v>111</v>
      </c>
      <c r="CA1910" t="s">
        <v>111</v>
      </c>
      <c r="CB1910" t="s">
        <v>111</v>
      </c>
      <c r="CC1910" t="s">
        <v>111</v>
      </c>
      <c r="CD1910" t="s">
        <v>111</v>
      </c>
      <c r="CE1910" t="s">
        <v>111</v>
      </c>
      <c r="CF1910" t="s">
        <v>111</v>
      </c>
      <c r="CG1910" t="s">
        <v>111</v>
      </c>
      <c r="CH1910" t="s">
        <v>111</v>
      </c>
      <c r="CI1910" t="s">
        <v>111</v>
      </c>
      <c r="CJ1910" t="s">
        <v>111</v>
      </c>
      <c r="CK1910" t="s">
        <v>111</v>
      </c>
      <c r="CL1910" t="e">
        <f>-DESTINO SELLADO</f>
        <v>#NAME?</v>
      </c>
      <c r="CM1910" t="s">
        <v>135</v>
      </c>
      <c r="CN1910" t="s">
        <v>113</v>
      </c>
      <c r="CO1910" t="s">
        <v>111</v>
      </c>
      <c r="CP1910" t="s">
        <v>433</v>
      </c>
      <c r="CQ1910">
        <v>0</v>
      </c>
      <c r="CR1910">
        <v>2500</v>
      </c>
      <c r="CS1910">
        <v>100</v>
      </c>
      <c r="CT1910" s="1" t="s">
        <v>5225</v>
      </c>
      <c r="CU1910">
        <v>0</v>
      </c>
      <c r="CV1910" t="s">
        <v>111</v>
      </c>
      <c r="CW1910" t="s">
        <v>111</v>
      </c>
      <c r="CX1910" t="s">
        <v>111</v>
      </c>
      <c r="CY1910">
        <v>0</v>
      </c>
      <c r="CZ1910" t="s">
        <v>111</v>
      </c>
      <c r="DA1910" t="s">
        <v>111</v>
      </c>
      <c r="DB1910" t="s">
        <v>111</v>
      </c>
      <c r="DC1910" t="s">
        <v>111</v>
      </c>
    </row>
    <row r="1911" spans="1:107">
      <c r="A1911">
        <v>1002</v>
      </c>
      <c r="B1911" t="s">
        <v>107</v>
      </c>
      <c r="C1911" t="s">
        <v>336</v>
      </c>
      <c r="D1911" t="s">
        <v>5226</v>
      </c>
      <c r="E1911" t="s">
        <v>5227</v>
      </c>
      <c r="F1911" t="s">
        <v>561</v>
      </c>
      <c r="G1911" t="s">
        <v>24</v>
      </c>
      <c r="H1911">
        <v>2</v>
      </c>
      <c r="I1911">
        <v>50</v>
      </c>
      <c r="J1911">
        <v>0</v>
      </c>
      <c r="K1911">
        <v>0</v>
      </c>
      <c r="L1911" t="s">
        <v>112</v>
      </c>
      <c r="M1911" t="s">
        <v>118</v>
      </c>
      <c r="N1911">
        <v>39</v>
      </c>
      <c r="O1911">
        <v>2</v>
      </c>
      <c r="P1911" t="s">
        <v>138</v>
      </c>
      <c r="Q1911">
        <v>35.5</v>
      </c>
      <c r="R1911">
        <v>0</v>
      </c>
      <c r="S1911">
        <v>0</v>
      </c>
      <c r="T1911">
        <v>5</v>
      </c>
      <c r="U1911" t="s">
        <v>1511</v>
      </c>
      <c r="V1911">
        <v>250</v>
      </c>
      <c r="W1911">
        <v>0</v>
      </c>
      <c r="X1911">
        <v>6</v>
      </c>
      <c r="Y1911">
        <v>0</v>
      </c>
      <c r="Z1911" t="s">
        <v>111</v>
      </c>
      <c r="AA1911">
        <v>0</v>
      </c>
      <c r="AB1911" t="s">
        <v>111</v>
      </c>
      <c r="AC1911">
        <v>0</v>
      </c>
      <c r="AD1911" t="s">
        <v>416</v>
      </c>
      <c r="AE1911">
        <v>2</v>
      </c>
      <c r="AF1911">
        <v>2</v>
      </c>
      <c r="AG1911" t="s">
        <v>5228</v>
      </c>
      <c r="AH1911" t="s">
        <v>128</v>
      </c>
      <c r="AI1911" t="s">
        <v>5229</v>
      </c>
      <c r="AJ1911" t="s">
        <v>111</v>
      </c>
      <c r="AK1911" t="s">
        <v>111</v>
      </c>
      <c r="AL1911" t="s">
        <v>111</v>
      </c>
      <c r="AM1911">
        <v>0</v>
      </c>
      <c r="AN1911">
        <v>0</v>
      </c>
      <c r="AO1911">
        <v>0</v>
      </c>
      <c r="AP1911" t="s">
        <v>111</v>
      </c>
      <c r="AQ1911" t="s">
        <v>111</v>
      </c>
      <c r="AR1911" t="s">
        <v>111</v>
      </c>
      <c r="AS1911" t="s">
        <v>111</v>
      </c>
      <c r="AT1911" t="s">
        <v>111</v>
      </c>
      <c r="AU1911" t="s">
        <v>111</v>
      </c>
      <c r="AV1911" t="s">
        <v>111</v>
      </c>
      <c r="AW1911" t="s">
        <v>111</v>
      </c>
      <c r="AX1911" t="s">
        <v>111</v>
      </c>
      <c r="AY1911" t="s">
        <v>111</v>
      </c>
      <c r="AZ1911" t="s">
        <v>111</v>
      </c>
      <c r="BA1911" t="s">
        <v>111</v>
      </c>
      <c r="BB1911" t="s">
        <v>111</v>
      </c>
      <c r="BC1911" t="s">
        <v>111</v>
      </c>
      <c r="BD1911" t="s">
        <v>111</v>
      </c>
      <c r="BE1911" t="s">
        <v>111</v>
      </c>
      <c r="BF1911" t="s">
        <v>111</v>
      </c>
      <c r="BG1911" t="s">
        <v>111</v>
      </c>
      <c r="BH1911" t="s">
        <v>111</v>
      </c>
      <c r="BI1911" t="s">
        <v>111</v>
      </c>
      <c r="BJ1911" t="s">
        <v>111</v>
      </c>
      <c r="BK1911" t="s">
        <v>111</v>
      </c>
      <c r="BL1911" t="s">
        <v>111</v>
      </c>
      <c r="BM1911" t="s">
        <v>111</v>
      </c>
      <c r="BN1911" t="s">
        <v>111</v>
      </c>
      <c r="BO1911" t="s">
        <v>111</v>
      </c>
      <c r="BP1911" t="s">
        <v>111</v>
      </c>
      <c r="BQ1911" t="s">
        <v>111</v>
      </c>
      <c r="BR1911" t="s">
        <v>111</v>
      </c>
      <c r="BS1911" t="s">
        <v>111</v>
      </c>
      <c r="BT1911" t="s">
        <v>111</v>
      </c>
      <c r="BU1911" t="s">
        <v>111</v>
      </c>
      <c r="BV1911" t="s">
        <v>111</v>
      </c>
      <c r="BW1911" t="s">
        <v>111</v>
      </c>
      <c r="BX1911" t="s">
        <v>111</v>
      </c>
      <c r="BY1911" t="s">
        <v>111</v>
      </c>
      <c r="BZ1911" t="s">
        <v>111</v>
      </c>
      <c r="CA1911" t="s">
        <v>111</v>
      </c>
      <c r="CB1911" t="s">
        <v>111</v>
      </c>
      <c r="CC1911" t="s">
        <v>111</v>
      </c>
      <c r="CD1911" t="s">
        <v>111</v>
      </c>
      <c r="CE1911" t="s">
        <v>111</v>
      </c>
      <c r="CF1911" t="s">
        <v>111</v>
      </c>
      <c r="CG1911" t="s">
        <v>111</v>
      </c>
      <c r="CH1911" t="s">
        <v>111</v>
      </c>
      <c r="CI1911" t="s">
        <v>111</v>
      </c>
      <c r="CJ1911" t="s">
        <v>111</v>
      </c>
      <c r="CK1911" t="s">
        <v>111</v>
      </c>
      <c r="CL1911" t="e">
        <f>-DESTINO SELLADO</f>
        <v>#NAME?</v>
      </c>
      <c r="CM1911" t="s">
        <v>135</v>
      </c>
      <c r="CN1911" t="s">
        <v>128</v>
      </c>
      <c r="CO1911" t="s">
        <v>111</v>
      </c>
      <c r="CP1911" t="e">
        <f>-MUESTRA</f>
        <v>#NAME?</v>
      </c>
      <c r="CQ1911">
        <v>0</v>
      </c>
      <c r="CR1911">
        <v>500</v>
      </c>
      <c r="CS1911">
        <v>25</v>
      </c>
      <c r="CT1911" s="1" t="s">
        <v>5230</v>
      </c>
      <c r="CU1911">
        <v>0</v>
      </c>
      <c r="CV1911" t="s">
        <v>111</v>
      </c>
      <c r="CW1911" t="s">
        <v>111</v>
      </c>
      <c r="CX1911" t="s">
        <v>111</v>
      </c>
      <c r="CY1911">
        <v>0</v>
      </c>
      <c r="CZ1911" t="s">
        <v>111</v>
      </c>
      <c r="DA1911" t="s">
        <v>111</v>
      </c>
      <c r="DB1911" t="s">
        <v>111</v>
      </c>
      <c r="DC1911" t="s">
        <v>111</v>
      </c>
    </row>
    <row r="1912" spans="1:107">
      <c r="A1912">
        <v>1110</v>
      </c>
      <c r="B1912" t="s">
        <v>107</v>
      </c>
      <c r="C1912" t="s">
        <v>3783</v>
      </c>
      <c r="D1912" t="s">
        <v>3960</v>
      </c>
      <c r="E1912" t="s">
        <v>5231</v>
      </c>
      <c r="F1912" t="s">
        <v>1260</v>
      </c>
      <c r="G1912" t="s">
        <v>24</v>
      </c>
      <c r="H1912">
        <v>1.9</v>
      </c>
      <c r="I1912">
        <v>40</v>
      </c>
      <c r="J1912">
        <v>0</v>
      </c>
      <c r="K1912">
        <v>0</v>
      </c>
      <c r="L1912" t="s">
        <v>117</v>
      </c>
      <c r="M1912" t="s">
        <v>118</v>
      </c>
      <c r="N1912">
        <v>40</v>
      </c>
      <c r="O1912">
        <v>1</v>
      </c>
      <c r="P1912" t="s">
        <v>138</v>
      </c>
      <c r="Q1912">
        <v>46.5</v>
      </c>
      <c r="R1912">
        <v>0</v>
      </c>
      <c r="S1912">
        <v>0</v>
      </c>
      <c r="T1912">
        <v>5</v>
      </c>
      <c r="U1912" t="s">
        <v>501</v>
      </c>
      <c r="V1912">
        <v>0</v>
      </c>
      <c r="W1912">
        <v>0</v>
      </c>
      <c r="X1912">
        <v>0</v>
      </c>
      <c r="Y1912">
        <v>250</v>
      </c>
      <c r="Z1912" t="s">
        <v>111</v>
      </c>
      <c r="AA1912">
        <v>0</v>
      </c>
      <c r="AB1912" t="s">
        <v>111</v>
      </c>
      <c r="AC1912">
        <v>0</v>
      </c>
      <c r="AD1912" t="s">
        <v>416</v>
      </c>
      <c r="AE1912">
        <v>0</v>
      </c>
      <c r="AF1912">
        <v>0</v>
      </c>
      <c r="AG1912" t="s">
        <v>111</v>
      </c>
      <c r="AH1912" t="s">
        <v>111</v>
      </c>
      <c r="AI1912" t="s">
        <v>111</v>
      </c>
      <c r="AJ1912" t="s">
        <v>111</v>
      </c>
      <c r="AK1912" t="s">
        <v>111</v>
      </c>
      <c r="AL1912" t="s">
        <v>111</v>
      </c>
      <c r="AM1912">
        <v>0</v>
      </c>
      <c r="AN1912">
        <v>0</v>
      </c>
      <c r="AO1912">
        <v>0</v>
      </c>
      <c r="AP1912" t="s">
        <v>111</v>
      </c>
      <c r="AQ1912" t="s">
        <v>111</v>
      </c>
      <c r="AR1912" t="s">
        <v>111</v>
      </c>
      <c r="AS1912" t="s">
        <v>111</v>
      </c>
      <c r="AT1912" t="s">
        <v>111</v>
      </c>
      <c r="AU1912" t="s">
        <v>111</v>
      </c>
      <c r="AV1912" t="s">
        <v>111</v>
      </c>
      <c r="AW1912" t="s">
        <v>111</v>
      </c>
      <c r="AX1912" t="s">
        <v>111</v>
      </c>
      <c r="AY1912" t="s">
        <v>111</v>
      </c>
      <c r="AZ1912" t="s">
        <v>111</v>
      </c>
      <c r="BA1912" t="s">
        <v>111</v>
      </c>
      <c r="BB1912" t="s">
        <v>111</v>
      </c>
      <c r="BC1912" t="s">
        <v>111</v>
      </c>
      <c r="BD1912" t="s">
        <v>111</v>
      </c>
      <c r="BE1912" t="s">
        <v>111</v>
      </c>
      <c r="BF1912" t="s">
        <v>111</v>
      </c>
      <c r="BG1912" t="s">
        <v>111</v>
      </c>
      <c r="BH1912" t="s">
        <v>111</v>
      </c>
      <c r="BI1912" t="s">
        <v>111</v>
      </c>
      <c r="BJ1912" t="s">
        <v>111</v>
      </c>
      <c r="BK1912" t="s">
        <v>111</v>
      </c>
      <c r="BL1912" t="s">
        <v>111</v>
      </c>
      <c r="BM1912" t="s">
        <v>111</v>
      </c>
      <c r="BN1912" t="s">
        <v>111</v>
      </c>
      <c r="BO1912" t="s">
        <v>111</v>
      </c>
      <c r="BP1912" t="s">
        <v>111</v>
      </c>
      <c r="BQ1912" t="s">
        <v>111</v>
      </c>
      <c r="BR1912" t="s">
        <v>111</v>
      </c>
      <c r="BS1912" t="s">
        <v>111</v>
      </c>
      <c r="BT1912" t="s">
        <v>111</v>
      </c>
      <c r="BU1912" t="s">
        <v>111</v>
      </c>
      <c r="BV1912" t="s">
        <v>111</v>
      </c>
      <c r="BW1912" t="s">
        <v>111</v>
      </c>
      <c r="BX1912" t="s">
        <v>111</v>
      </c>
      <c r="BY1912" t="s">
        <v>111</v>
      </c>
      <c r="BZ1912" t="s">
        <v>111</v>
      </c>
      <c r="CA1912" t="s">
        <v>111</v>
      </c>
      <c r="CB1912" t="s">
        <v>111</v>
      </c>
      <c r="CC1912" t="s">
        <v>111</v>
      </c>
      <c r="CD1912" t="s">
        <v>111</v>
      </c>
      <c r="CE1912" t="s">
        <v>111</v>
      </c>
      <c r="CF1912" t="s">
        <v>111</v>
      </c>
      <c r="CG1912" t="s">
        <v>111</v>
      </c>
      <c r="CH1912" t="s">
        <v>111</v>
      </c>
      <c r="CI1912" t="s">
        <v>111</v>
      </c>
      <c r="CJ1912" t="s">
        <v>111</v>
      </c>
      <c r="CK1912" t="s">
        <v>111</v>
      </c>
      <c r="CL1912" t="e">
        <f>-DESTINO SELLADO</f>
        <v>#NAME?</v>
      </c>
      <c r="CM1912" t="s">
        <v>135</v>
      </c>
      <c r="CN1912" t="s">
        <v>113</v>
      </c>
      <c r="CO1912" t="s">
        <v>111</v>
      </c>
      <c r="CP1912" t="s">
        <v>111</v>
      </c>
      <c r="CQ1912">
        <v>0</v>
      </c>
      <c r="CR1912">
        <v>26000</v>
      </c>
      <c r="CS1912">
        <v>26000</v>
      </c>
      <c r="CT1912" t="s">
        <v>394</v>
      </c>
      <c r="CU1912">
        <v>0</v>
      </c>
      <c r="CV1912" t="s">
        <v>111</v>
      </c>
      <c r="CW1912" t="s">
        <v>111</v>
      </c>
      <c r="CX1912" t="s">
        <v>111</v>
      </c>
      <c r="CY1912">
        <v>0</v>
      </c>
      <c r="CZ1912" t="s">
        <v>111</v>
      </c>
      <c r="DA1912" t="s">
        <v>111</v>
      </c>
      <c r="DB1912" t="s">
        <v>111</v>
      </c>
      <c r="DC1912" t="s">
        <v>111</v>
      </c>
    </row>
    <row r="1913" spans="1:107">
      <c r="A1913">
        <v>999</v>
      </c>
      <c r="B1913" t="s">
        <v>107</v>
      </c>
      <c r="C1913" t="s">
        <v>421</v>
      </c>
      <c r="D1913" t="s">
        <v>5232</v>
      </c>
      <c r="E1913" t="s">
        <v>5233</v>
      </c>
      <c r="F1913" t="s">
        <v>1071</v>
      </c>
      <c r="G1913" t="s">
        <v>24</v>
      </c>
      <c r="H1913">
        <v>1.4</v>
      </c>
      <c r="I1913">
        <v>33</v>
      </c>
      <c r="J1913">
        <v>0</v>
      </c>
      <c r="K1913">
        <v>0</v>
      </c>
      <c r="L1913" t="s">
        <v>112</v>
      </c>
      <c r="M1913" t="s">
        <v>138</v>
      </c>
      <c r="N1913">
        <v>0</v>
      </c>
      <c r="O1913">
        <v>0</v>
      </c>
      <c r="P1913" t="s">
        <v>138</v>
      </c>
      <c r="Q1913">
        <v>33</v>
      </c>
      <c r="R1913">
        <v>0</v>
      </c>
      <c r="S1913">
        <v>0</v>
      </c>
      <c r="T1913">
        <v>5</v>
      </c>
      <c r="U1913" t="s">
        <v>296</v>
      </c>
      <c r="V1913">
        <v>0</v>
      </c>
      <c r="W1913">
        <v>0</v>
      </c>
      <c r="X1913">
        <v>0</v>
      </c>
      <c r="Y1913">
        <v>25</v>
      </c>
      <c r="Z1913" t="s">
        <v>111</v>
      </c>
      <c r="AA1913">
        <v>0</v>
      </c>
      <c r="AB1913" t="s">
        <v>111</v>
      </c>
      <c r="AC1913">
        <v>0</v>
      </c>
      <c r="AD1913" t="s">
        <v>111</v>
      </c>
      <c r="AE1913">
        <v>0</v>
      </c>
      <c r="AF1913">
        <v>0</v>
      </c>
      <c r="AG1913" t="s">
        <v>111</v>
      </c>
      <c r="AH1913" t="s">
        <v>111</v>
      </c>
      <c r="AI1913" t="s">
        <v>111</v>
      </c>
      <c r="AJ1913" t="s">
        <v>111</v>
      </c>
      <c r="AK1913" t="s">
        <v>111</v>
      </c>
      <c r="AL1913" t="s">
        <v>111</v>
      </c>
      <c r="AM1913">
        <v>0</v>
      </c>
      <c r="AN1913">
        <v>0</v>
      </c>
      <c r="AO1913">
        <v>0</v>
      </c>
      <c r="AP1913" t="s">
        <v>111</v>
      </c>
      <c r="AQ1913" t="s">
        <v>111</v>
      </c>
      <c r="AR1913" t="s">
        <v>111</v>
      </c>
      <c r="AS1913" t="s">
        <v>111</v>
      </c>
      <c r="AT1913" t="s">
        <v>111</v>
      </c>
      <c r="AU1913" t="s">
        <v>111</v>
      </c>
      <c r="AV1913" t="s">
        <v>111</v>
      </c>
      <c r="AW1913" t="s">
        <v>111</v>
      </c>
      <c r="AX1913" t="s">
        <v>111</v>
      </c>
      <c r="AY1913" t="s">
        <v>111</v>
      </c>
      <c r="AZ1913" t="s">
        <v>111</v>
      </c>
      <c r="BA1913" t="s">
        <v>111</v>
      </c>
      <c r="BB1913" t="s">
        <v>111</v>
      </c>
      <c r="BC1913" t="s">
        <v>111</v>
      </c>
      <c r="BD1913" t="s">
        <v>111</v>
      </c>
      <c r="BE1913" t="s">
        <v>111</v>
      </c>
      <c r="BF1913" t="s">
        <v>111</v>
      </c>
      <c r="BG1913" t="s">
        <v>111</v>
      </c>
      <c r="BH1913" t="s">
        <v>111</v>
      </c>
      <c r="BI1913" t="s">
        <v>111</v>
      </c>
      <c r="BJ1913" t="s">
        <v>111</v>
      </c>
      <c r="BK1913" t="s">
        <v>111</v>
      </c>
      <c r="BL1913" t="s">
        <v>111</v>
      </c>
      <c r="BM1913" t="s">
        <v>111</v>
      </c>
      <c r="BN1913" t="s">
        <v>111</v>
      </c>
      <c r="BO1913" t="s">
        <v>111</v>
      </c>
      <c r="BP1913" t="s">
        <v>111</v>
      </c>
      <c r="BQ1913" t="s">
        <v>111</v>
      </c>
      <c r="BR1913" t="s">
        <v>111</v>
      </c>
      <c r="BS1913" t="s">
        <v>111</v>
      </c>
      <c r="BT1913" t="s">
        <v>111</v>
      </c>
      <c r="BU1913" t="s">
        <v>111</v>
      </c>
      <c r="BV1913" t="s">
        <v>111</v>
      </c>
      <c r="BW1913" t="s">
        <v>111</v>
      </c>
      <c r="BX1913" t="s">
        <v>111</v>
      </c>
      <c r="BY1913" t="s">
        <v>111</v>
      </c>
      <c r="BZ1913" t="s">
        <v>111</v>
      </c>
      <c r="CA1913" t="s">
        <v>111</v>
      </c>
      <c r="CB1913" t="s">
        <v>111</v>
      </c>
      <c r="CC1913" t="s">
        <v>111</v>
      </c>
      <c r="CD1913" t="s">
        <v>111</v>
      </c>
      <c r="CE1913" t="s">
        <v>111</v>
      </c>
      <c r="CF1913" t="s">
        <v>111</v>
      </c>
      <c r="CG1913" t="s">
        <v>111</v>
      </c>
      <c r="CH1913" t="s">
        <v>111</v>
      </c>
      <c r="CI1913" t="s">
        <v>111</v>
      </c>
      <c r="CJ1913" t="s">
        <v>111</v>
      </c>
      <c r="CK1913" t="s">
        <v>111</v>
      </c>
      <c r="CL1913" t="s">
        <v>111</v>
      </c>
      <c r="CM1913" t="s">
        <v>135</v>
      </c>
      <c r="CN1913" t="s">
        <v>113</v>
      </c>
      <c r="CO1913" t="s">
        <v>111</v>
      </c>
      <c r="CP1913" t="s">
        <v>111</v>
      </c>
      <c r="CQ1913">
        <v>75</v>
      </c>
      <c r="CR1913">
        <v>5000</v>
      </c>
      <c r="CS1913">
        <v>200</v>
      </c>
      <c r="CT1913" s="1" t="s">
        <v>344</v>
      </c>
      <c r="CU1913">
        <v>0</v>
      </c>
      <c r="CV1913" t="s">
        <v>111</v>
      </c>
      <c r="CW1913" t="s">
        <v>111</v>
      </c>
      <c r="CX1913" t="s">
        <v>111</v>
      </c>
      <c r="CY1913">
        <v>0</v>
      </c>
      <c r="CZ1913" t="s">
        <v>111</v>
      </c>
      <c r="DA1913" t="s">
        <v>111</v>
      </c>
      <c r="DB1913" t="s">
        <v>111</v>
      </c>
      <c r="DC1913" t="s">
        <v>111</v>
      </c>
    </row>
    <row r="1914" spans="1:107">
      <c r="A1914">
        <v>1127</v>
      </c>
      <c r="B1914" t="s">
        <v>107</v>
      </c>
      <c r="C1914" t="s">
        <v>4324</v>
      </c>
      <c r="D1914" t="s">
        <v>4486</v>
      </c>
      <c r="E1914" t="s">
        <v>4487</v>
      </c>
      <c r="F1914" t="s">
        <v>110</v>
      </c>
      <c r="G1914" t="s">
        <v>24</v>
      </c>
      <c r="H1914">
        <v>1.8</v>
      </c>
      <c r="I1914">
        <v>45</v>
      </c>
      <c r="J1914">
        <v>0</v>
      </c>
      <c r="K1914">
        <v>0</v>
      </c>
      <c r="L1914" t="s">
        <v>112</v>
      </c>
      <c r="M1914" t="s">
        <v>111</v>
      </c>
      <c r="N1914">
        <v>0</v>
      </c>
      <c r="O1914">
        <v>0</v>
      </c>
      <c r="P1914" t="s">
        <v>111</v>
      </c>
      <c r="Q1914">
        <v>50</v>
      </c>
      <c r="R1914">
        <v>0</v>
      </c>
      <c r="S1914">
        <v>0</v>
      </c>
      <c r="T1914">
        <v>25</v>
      </c>
      <c r="U1914" s="1" t="s">
        <v>5234</v>
      </c>
      <c r="V1914">
        <v>0</v>
      </c>
      <c r="W1914">
        <v>0</v>
      </c>
      <c r="X1914">
        <v>0</v>
      </c>
      <c r="Y1914">
        <v>25</v>
      </c>
      <c r="Z1914" t="s">
        <v>111</v>
      </c>
      <c r="AA1914">
        <v>0</v>
      </c>
      <c r="AB1914" t="s">
        <v>111</v>
      </c>
      <c r="AC1914">
        <v>0</v>
      </c>
      <c r="AD1914" t="s">
        <v>111</v>
      </c>
      <c r="AE1914">
        <v>0</v>
      </c>
      <c r="AF1914">
        <v>0</v>
      </c>
      <c r="AG1914" t="s">
        <v>111</v>
      </c>
      <c r="AH1914" t="s">
        <v>111</v>
      </c>
      <c r="AI1914" t="s">
        <v>111</v>
      </c>
      <c r="AJ1914" t="s">
        <v>111</v>
      </c>
      <c r="AK1914" t="s">
        <v>111</v>
      </c>
      <c r="AL1914" t="s">
        <v>111</v>
      </c>
      <c r="AM1914">
        <v>0</v>
      </c>
      <c r="AN1914">
        <v>0</v>
      </c>
      <c r="AO1914">
        <v>0</v>
      </c>
      <c r="AP1914" t="s">
        <v>111</v>
      </c>
      <c r="AQ1914" t="s">
        <v>111</v>
      </c>
      <c r="AR1914" t="s">
        <v>111</v>
      </c>
      <c r="AS1914" t="s">
        <v>111</v>
      </c>
      <c r="AT1914" t="s">
        <v>111</v>
      </c>
      <c r="AU1914" t="s">
        <v>111</v>
      </c>
      <c r="AV1914" t="s">
        <v>111</v>
      </c>
      <c r="AW1914" t="s">
        <v>111</v>
      </c>
      <c r="AX1914" t="s">
        <v>111</v>
      </c>
      <c r="AY1914" t="s">
        <v>111</v>
      </c>
      <c r="AZ1914" t="s">
        <v>111</v>
      </c>
      <c r="BA1914" t="s">
        <v>111</v>
      </c>
      <c r="BB1914" t="s">
        <v>111</v>
      </c>
      <c r="BC1914" t="s">
        <v>111</v>
      </c>
      <c r="BD1914" t="s">
        <v>111</v>
      </c>
      <c r="BE1914" t="s">
        <v>111</v>
      </c>
      <c r="BF1914" t="s">
        <v>111</v>
      </c>
      <c r="BG1914" t="s">
        <v>111</v>
      </c>
      <c r="BH1914" t="s">
        <v>111</v>
      </c>
      <c r="BI1914" t="s">
        <v>111</v>
      </c>
      <c r="BJ1914" t="s">
        <v>111</v>
      </c>
      <c r="BK1914" t="s">
        <v>111</v>
      </c>
      <c r="BL1914" t="s">
        <v>111</v>
      </c>
      <c r="BM1914" t="s">
        <v>111</v>
      </c>
      <c r="BN1914" t="s">
        <v>111</v>
      </c>
      <c r="BO1914" t="s">
        <v>111</v>
      </c>
      <c r="BP1914" t="s">
        <v>111</v>
      </c>
      <c r="BQ1914" t="s">
        <v>111</v>
      </c>
      <c r="BR1914" t="s">
        <v>111</v>
      </c>
      <c r="BS1914" t="s">
        <v>111</v>
      </c>
      <c r="BT1914" t="s">
        <v>111</v>
      </c>
      <c r="BU1914" t="s">
        <v>111</v>
      </c>
      <c r="BV1914" t="s">
        <v>111</v>
      </c>
      <c r="BW1914" t="s">
        <v>111</v>
      </c>
      <c r="BX1914" t="s">
        <v>111</v>
      </c>
      <c r="BY1914" t="s">
        <v>111</v>
      </c>
      <c r="BZ1914" t="s">
        <v>111</v>
      </c>
      <c r="CA1914" t="s">
        <v>111</v>
      </c>
      <c r="CB1914" t="s">
        <v>111</v>
      </c>
      <c r="CC1914" t="s">
        <v>111</v>
      </c>
      <c r="CD1914" t="s">
        <v>111</v>
      </c>
      <c r="CE1914" t="s">
        <v>111</v>
      </c>
      <c r="CF1914" t="s">
        <v>111</v>
      </c>
      <c r="CG1914" t="s">
        <v>111</v>
      </c>
      <c r="CH1914" t="s">
        <v>111</v>
      </c>
      <c r="CI1914" t="s">
        <v>111</v>
      </c>
      <c r="CJ1914" t="s">
        <v>111</v>
      </c>
      <c r="CK1914" t="s">
        <v>111</v>
      </c>
      <c r="CL1914" t="s">
        <v>111</v>
      </c>
      <c r="CM1914" t="s">
        <v>111</v>
      </c>
      <c r="CN1914" t="s">
        <v>111</v>
      </c>
      <c r="CO1914" t="s">
        <v>111</v>
      </c>
      <c r="CP1914" t="s">
        <v>111</v>
      </c>
      <c r="CQ1914">
        <v>0</v>
      </c>
      <c r="CR1914">
        <v>0</v>
      </c>
      <c r="CS1914">
        <v>0</v>
      </c>
      <c r="CT1914" t="s">
        <v>111</v>
      </c>
      <c r="CU1914">
        <v>0</v>
      </c>
      <c r="CV1914" t="s">
        <v>111</v>
      </c>
      <c r="CW1914" t="s">
        <v>111</v>
      </c>
      <c r="CX1914" t="s">
        <v>111</v>
      </c>
      <c r="CY1914">
        <v>0</v>
      </c>
      <c r="CZ1914" t="s">
        <v>111</v>
      </c>
      <c r="DA1914" t="s">
        <v>111</v>
      </c>
      <c r="DB1914" t="s">
        <v>111</v>
      </c>
      <c r="DC1914" t="s">
        <v>111</v>
      </c>
    </row>
    <row r="1915" spans="1:107">
      <c r="A1915">
        <v>997</v>
      </c>
      <c r="B1915" t="s">
        <v>107</v>
      </c>
      <c r="C1915" t="s">
        <v>421</v>
      </c>
      <c r="D1915" t="s">
        <v>5235</v>
      </c>
      <c r="E1915" t="s">
        <v>5236</v>
      </c>
      <c r="F1915" t="s">
        <v>1071</v>
      </c>
      <c r="G1915" t="s">
        <v>24</v>
      </c>
      <c r="H1915">
        <v>1.4</v>
      </c>
      <c r="I1915">
        <v>42</v>
      </c>
      <c r="J1915">
        <v>0</v>
      </c>
      <c r="K1915">
        <v>0</v>
      </c>
      <c r="L1915" t="s">
        <v>112</v>
      </c>
      <c r="M1915" t="s">
        <v>138</v>
      </c>
      <c r="N1915">
        <v>0</v>
      </c>
      <c r="O1915">
        <v>0</v>
      </c>
      <c r="P1915" t="s">
        <v>138</v>
      </c>
      <c r="Q1915">
        <v>33.200000000000003</v>
      </c>
      <c r="R1915">
        <v>0</v>
      </c>
      <c r="S1915">
        <v>0</v>
      </c>
      <c r="T1915">
        <v>5</v>
      </c>
      <c r="U1915" s="1" t="s">
        <v>5237</v>
      </c>
      <c r="V1915">
        <v>0</v>
      </c>
      <c r="W1915">
        <v>0</v>
      </c>
      <c r="X1915">
        <v>0</v>
      </c>
      <c r="Y1915">
        <v>250</v>
      </c>
      <c r="Z1915" t="s">
        <v>111</v>
      </c>
      <c r="AA1915">
        <v>0</v>
      </c>
      <c r="AB1915" t="s">
        <v>111</v>
      </c>
      <c r="AC1915">
        <v>0</v>
      </c>
      <c r="AD1915" t="s">
        <v>111</v>
      </c>
      <c r="AE1915">
        <v>0</v>
      </c>
      <c r="AF1915">
        <v>0</v>
      </c>
      <c r="AG1915" t="s">
        <v>111</v>
      </c>
      <c r="AH1915" t="s">
        <v>111</v>
      </c>
      <c r="AI1915" t="s">
        <v>111</v>
      </c>
      <c r="AJ1915" t="s">
        <v>111</v>
      </c>
      <c r="AK1915" t="s">
        <v>111</v>
      </c>
      <c r="AL1915" t="s">
        <v>111</v>
      </c>
      <c r="AM1915">
        <v>0</v>
      </c>
      <c r="AN1915">
        <v>0</v>
      </c>
      <c r="AO1915">
        <v>0</v>
      </c>
      <c r="AP1915" t="s">
        <v>111</v>
      </c>
      <c r="AQ1915" t="s">
        <v>111</v>
      </c>
      <c r="AR1915" t="s">
        <v>111</v>
      </c>
      <c r="AS1915" t="s">
        <v>111</v>
      </c>
      <c r="AT1915" t="s">
        <v>111</v>
      </c>
      <c r="AU1915" t="s">
        <v>111</v>
      </c>
      <c r="AV1915" t="s">
        <v>111</v>
      </c>
      <c r="AW1915" t="s">
        <v>111</v>
      </c>
      <c r="AX1915" t="s">
        <v>111</v>
      </c>
      <c r="AY1915" t="s">
        <v>111</v>
      </c>
      <c r="AZ1915" t="s">
        <v>111</v>
      </c>
      <c r="BA1915" t="s">
        <v>111</v>
      </c>
      <c r="BB1915" t="s">
        <v>111</v>
      </c>
      <c r="BC1915" t="s">
        <v>111</v>
      </c>
      <c r="BD1915" t="s">
        <v>111</v>
      </c>
      <c r="BE1915" t="s">
        <v>111</v>
      </c>
      <c r="BF1915" t="s">
        <v>111</v>
      </c>
      <c r="BG1915" t="s">
        <v>111</v>
      </c>
      <c r="BH1915" t="s">
        <v>111</v>
      </c>
      <c r="BI1915" t="s">
        <v>111</v>
      </c>
      <c r="BJ1915" t="s">
        <v>111</v>
      </c>
      <c r="BK1915" t="s">
        <v>111</v>
      </c>
      <c r="BL1915" t="s">
        <v>111</v>
      </c>
      <c r="BM1915" t="s">
        <v>111</v>
      </c>
      <c r="BN1915" t="s">
        <v>111</v>
      </c>
      <c r="BO1915" t="s">
        <v>111</v>
      </c>
      <c r="BP1915" t="s">
        <v>111</v>
      </c>
      <c r="BQ1915" t="s">
        <v>111</v>
      </c>
      <c r="BR1915" t="s">
        <v>111</v>
      </c>
      <c r="BS1915" t="s">
        <v>111</v>
      </c>
      <c r="BT1915" t="s">
        <v>111</v>
      </c>
      <c r="BU1915" t="s">
        <v>111</v>
      </c>
      <c r="BV1915" t="s">
        <v>111</v>
      </c>
      <c r="BW1915" t="s">
        <v>111</v>
      </c>
      <c r="BX1915" t="s">
        <v>111</v>
      </c>
      <c r="BY1915" t="s">
        <v>111</v>
      </c>
      <c r="BZ1915" t="s">
        <v>111</v>
      </c>
      <c r="CA1915" t="s">
        <v>111</v>
      </c>
      <c r="CB1915" t="s">
        <v>111</v>
      </c>
      <c r="CC1915" t="s">
        <v>111</v>
      </c>
      <c r="CD1915" t="s">
        <v>111</v>
      </c>
      <c r="CE1915" t="s">
        <v>111</v>
      </c>
      <c r="CF1915" t="s">
        <v>111</v>
      </c>
      <c r="CG1915" t="s">
        <v>111</v>
      </c>
      <c r="CH1915" t="s">
        <v>111</v>
      </c>
      <c r="CI1915" t="s">
        <v>111</v>
      </c>
      <c r="CJ1915" t="s">
        <v>111</v>
      </c>
      <c r="CK1915" t="s">
        <v>111</v>
      </c>
      <c r="CL1915" t="s">
        <v>111</v>
      </c>
      <c r="CM1915" t="s">
        <v>135</v>
      </c>
      <c r="CN1915" t="s">
        <v>113</v>
      </c>
      <c r="CO1915" t="s">
        <v>111</v>
      </c>
      <c r="CP1915" t="s">
        <v>111</v>
      </c>
      <c r="CQ1915">
        <v>70</v>
      </c>
      <c r="CR1915">
        <v>3500</v>
      </c>
      <c r="CS1915">
        <v>250</v>
      </c>
      <c r="CT1915" s="1" t="s">
        <v>1392</v>
      </c>
      <c r="CU1915">
        <v>0</v>
      </c>
      <c r="CV1915" t="s">
        <v>111</v>
      </c>
      <c r="CW1915" t="s">
        <v>111</v>
      </c>
      <c r="CX1915" t="s">
        <v>111</v>
      </c>
      <c r="CY1915">
        <v>0</v>
      </c>
      <c r="CZ1915" t="s">
        <v>111</v>
      </c>
      <c r="DA1915" t="s">
        <v>111</v>
      </c>
      <c r="DB1915" t="s">
        <v>111</v>
      </c>
      <c r="DC1915" t="s">
        <v>111</v>
      </c>
    </row>
    <row r="1916" spans="1:107">
      <c r="A1916">
        <v>996</v>
      </c>
      <c r="B1916" t="s">
        <v>107</v>
      </c>
      <c r="C1916" t="s">
        <v>3783</v>
      </c>
      <c r="D1916" t="s">
        <v>3960</v>
      </c>
      <c r="E1916" t="s">
        <v>5238</v>
      </c>
      <c r="F1916" t="s">
        <v>1260</v>
      </c>
      <c r="G1916" t="s">
        <v>24</v>
      </c>
      <c r="H1916">
        <v>1.9</v>
      </c>
      <c r="I1916">
        <v>40</v>
      </c>
      <c r="J1916">
        <v>0</v>
      </c>
      <c r="K1916">
        <v>0</v>
      </c>
      <c r="L1916" t="s">
        <v>117</v>
      </c>
      <c r="M1916" t="s">
        <v>118</v>
      </c>
      <c r="N1916">
        <v>40</v>
      </c>
      <c r="O1916">
        <v>1</v>
      </c>
      <c r="P1916" t="s">
        <v>138</v>
      </c>
      <c r="Q1916">
        <v>25</v>
      </c>
      <c r="R1916">
        <v>0</v>
      </c>
      <c r="S1916">
        <v>0</v>
      </c>
      <c r="T1916">
        <v>3</v>
      </c>
      <c r="U1916" t="s">
        <v>501</v>
      </c>
      <c r="V1916">
        <v>0</v>
      </c>
      <c r="W1916">
        <v>0</v>
      </c>
      <c r="X1916">
        <v>0</v>
      </c>
      <c r="Y1916">
        <v>25</v>
      </c>
      <c r="Z1916" t="s">
        <v>111</v>
      </c>
      <c r="AA1916">
        <v>0</v>
      </c>
      <c r="AB1916" t="s">
        <v>111</v>
      </c>
      <c r="AC1916">
        <v>0</v>
      </c>
      <c r="AD1916" t="s">
        <v>416</v>
      </c>
      <c r="AE1916">
        <v>0</v>
      </c>
      <c r="AF1916">
        <v>0</v>
      </c>
      <c r="AG1916" t="s">
        <v>111</v>
      </c>
      <c r="AH1916" t="s">
        <v>111</v>
      </c>
      <c r="AI1916" t="s">
        <v>111</v>
      </c>
      <c r="AJ1916" t="s">
        <v>111</v>
      </c>
      <c r="AK1916" t="s">
        <v>111</v>
      </c>
      <c r="AL1916" t="s">
        <v>111</v>
      </c>
      <c r="AM1916">
        <v>0</v>
      </c>
      <c r="AN1916">
        <v>0</v>
      </c>
      <c r="AO1916">
        <v>0</v>
      </c>
      <c r="AP1916" t="s">
        <v>111</v>
      </c>
      <c r="AQ1916" t="s">
        <v>111</v>
      </c>
      <c r="AR1916" t="s">
        <v>111</v>
      </c>
      <c r="AS1916" t="s">
        <v>111</v>
      </c>
      <c r="AT1916" t="s">
        <v>111</v>
      </c>
      <c r="AU1916" t="s">
        <v>111</v>
      </c>
      <c r="AV1916" t="s">
        <v>111</v>
      </c>
      <c r="AW1916" t="s">
        <v>111</v>
      </c>
      <c r="AX1916" t="s">
        <v>111</v>
      </c>
      <c r="AY1916" t="s">
        <v>111</v>
      </c>
      <c r="AZ1916" t="s">
        <v>111</v>
      </c>
      <c r="BA1916" t="s">
        <v>111</v>
      </c>
      <c r="BB1916" t="s">
        <v>111</v>
      </c>
      <c r="BC1916" t="s">
        <v>111</v>
      </c>
      <c r="BD1916" t="s">
        <v>111</v>
      </c>
      <c r="BE1916" t="s">
        <v>111</v>
      </c>
      <c r="BF1916" t="s">
        <v>111</v>
      </c>
      <c r="BG1916" t="s">
        <v>111</v>
      </c>
      <c r="BH1916" t="s">
        <v>111</v>
      </c>
      <c r="BI1916" t="s">
        <v>111</v>
      </c>
      <c r="BJ1916" t="s">
        <v>111</v>
      </c>
      <c r="BK1916" t="s">
        <v>111</v>
      </c>
      <c r="BL1916" t="s">
        <v>111</v>
      </c>
      <c r="BM1916" t="s">
        <v>111</v>
      </c>
      <c r="BN1916" t="s">
        <v>111</v>
      </c>
      <c r="BO1916" t="s">
        <v>111</v>
      </c>
      <c r="BP1916" t="s">
        <v>111</v>
      </c>
      <c r="BQ1916" t="s">
        <v>111</v>
      </c>
      <c r="BR1916" t="s">
        <v>111</v>
      </c>
      <c r="BS1916" t="s">
        <v>111</v>
      </c>
      <c r="BT1916" t="s">
        <v>111</v>
      </c>
      <c r="BU1916" t="s">
        <v>111</v>
      </c>
      <c r="BV1916" t="s">
        <v>111</v>
      </c>
      <c r="BW1916" t="s">
        <v>111</v>
      </c>
      <c r="BX1916" t="s">
        <v>111</v>
      </c>
      <c r="BY1916" t="s">
        <v>111</v>
      </c>
      <c r="BZ1916" t="s">
        <v>111</v>
      </c>
      <c r="CA1916" t="s">
        <v>111</v>
      </c>
      <c r="CB1916" t="s">
        <v>111</v>
      </c>
      <c r="CC1916" t="s">
        <v>111</v>
      </c>
      <c r="CD1916" t="s">
        <v>111</v>
      </c>
      <c r="CE1916" t="s">
        <v>111</v>
      </c>
      <c r="CF1916" t="s">
        <v>111</v>
      </c>
      <c r="CG1916" t="s">
        <v>111</v>
      </c>
      <c r="CH1916" t="s">
        <v>111</v>
      </c>
      <c r="CI1916" t="s">
        <v>111</v>
      </c>
      <c r="CJ1916" t="s">
        <v>111</v>
      </c>
      <c r="CK1916" t="s">
        <v>111</v>
      </c>
      <c r="CL1916" t="e">
        <f>-DESTINO SELLADO</f>
        <v>#NAME?</v>
      </c>
      <c r="CM1916" t="s">
        <v>135</v>
      </c>
      <c r="CN1916" t="s">
        <v>113</v>
      </c>
      <c r="CO1916" t="s">
        <v>111</v>
      </c>
      <c r="CP1916" t="e">
        <f>-MUESTRA</f>
        <v>#NAME?</v>
      </c>
      <c r="CQ1916">
        <v>0</v>
      </c>
      <c r="CR1916">
        <v>26000</v>
      </c>
      <c r="CS1916">
        <v>26000</v>
      </c>
      <c r="CT1916" t="s">
        <v>394</v>
      </c>
      <c r="CU1916">
        <v>0</v>
      </c>
      <c r="CV1916" t="s">
        <v>111</v>
      </c>
      <c r="CW1916" t="s">
        <v>111</v>
      </c>
      <c r="CX1916" t="s">
        <v>111</v>
      </c>
      <c r="CY1916">
        <v>0</v>
      </c>
      <c r="CZ1916" t="s">
        <v>111</v>
      </c>
      <c r="DA1916" t="s">
        <v>111</v>
      </c>
      <c r="DB1916" t="s">
        <v>111</v>
      </c>
      <c r="DC1916" t="s">
        <v>111</v>
      </c>
    </row>
    <row r="1917" spans="1:107">
      <c r="A1917">
        <v>995</v>
      </c>
      <c r="B1917" t="s">
        <v>107</v>
      </c>
      <c r="C1917" t="s">
        <v>3783</v>
      </c>
      <c r="D1917" t="s">
        <v>3960</v>
      </c>
      <c r="E1917" t="s">
        <v>5239</v>
      </c>
      <c r="F1917" t="s">
        <v>1260</v>
      </c>
      <c r="G1917" t="s">
        <v>24</v>
      </c>
      <c r="H1917">
        <v>1.9</v>
      </c>
      <c r="I1917">
        <v>40</v>
      </c>
      <c r="J1917">
        <v>0</v>
      </c>
      <c r="K1917">
        <v>0</v>
      </c>
      <c r="L1917" t="s">
        <v>117</v>
      </c>
      <c r="M1917" t="s">
        <v>118</v>
      </c>
      <c r="N1917">
        <v>40</v>
      </c>
      <c r="O1917">
        <v>1</v>
      </c>
      <c r="P1917" t="s">
        <v>138</v>
      </c>
      <c r="Q1917">
        <v>30</v>
      </c>
      <c r="R1917">
        <v>0</v>
      </c>
      <c r="S1917">
        <v>0</v>
      </c>
      <c r="T1917">
        <v>3</v>
      </c>
      <c r="U1917" t="s">
        <v>501</v>
      </c>
      <c r="V1917">
        <v>0</v>
      </c>
      <c r="W1917">
        <v>0</v>
      </c>
      <c r="X1917">
        <v>0</v>
      </c>
      <c r="Y1917">
        <v>250</v>
      </c>
      <c r="Z1917" t="s">
        <v>111</v>
      </c>
      <c r="AA1917">
        <v>0</v>
      </c>
      <c r="AB1917" t="s">
        <v>111</v>
      </c>
      <c r="AC1917">
        <v>0</v>
      </c>
      <c r="AD1917" t="s">
        <v>416</v>
      </c>
      <c r="AE1917">
        <v>0</v>
      </c>
      <c r="AF1917">
        <v>0</v>
      </c>
      <c r="AG1917" t="s">
        <v>111</v>
      </c>
      <c r="AH1917" t="s">
        <v>111</v>
      </c>
      <c r="AI1917" t="s">
        <v>111</v>
      </c>
      <c r="AJ1917" t="s">
        <v>111</v>
      </c>
      <c r="AK1917" t="s">
        <v>111</v>
      </c>
      <c r="AL1917" t="s">
        <v>111</v>
      </c>
      <c r="AM1917">
        <v>0</v>
      </c>
      <c r="AN1917">
        <v>0</v>
      </c>
      <c r="AO1917">
        <v>0</v>
      </c>
      <c r="AP1917" t="s">
        <v>111</v>
      </c>
      <c r="AQ1917" t="s">
        <v>111</v>
      </c>
      <c r="AR1917" t="s">
        <v>111</v>
      </c>
      <c r="AS1917" t="s">
        <v>111</v>
      </c>
      <c r="AT1917" t="s">
        <v>111</v>
      </c>
      <c r="AU1917" t="s">
        <v>111</v>
      </c>
      <c r="AV1917" t="s">
        <v>111</v>
      </c>
      <c r="AW1917" t="s">
        <v>111</v>
      </c>
      <c r="AX1917" t="s">
        <v>111</v>
      </c>
      <c r="AY1917" t="s">
        <v>111</v>
      </c>
      <c r="AZ1917" t="s">
        <v>111</v>
      </c>
      <c r="BA1917" t="s">
        <v>111</v>
      </c>
      <c r="BB1917" t="s">
        <v>111</v>
      </c>
      <c r="BC1917" t="s">
        <v>111</v>
      </c>
      <c r="BD1917" t="s">
        <v>111</v>
      </c>
      <c r="BE1917" t="s">
        <v>111</v>
      </c>
      <c r="BF1917" t="s">
        <v>111</v>
      </c>
      <c r="BG1917" t="s">
        <v>111</v>
      </c>
      <c r="BH1917" t="s">
        <v>111</v>
      </c>
      <c r="BI1917" t="s">
        <v>111</v>
      </c>
      <c r="BJ1917" t="s">
        <v>111</v>
      </c>
      <c r="BK1917" t="s">
        <v>111</v>
      </c>
      <c r="BL1917" t="s">
        <v>111</v>
      </c>
      <c r="BM1917" t="s">
        <v>111</v>
      </c>
      <c r="BN1917" t="s">
        <v>111</v>
      </c>
      <c r="BO1917" t="s">
        <v>111</v>
      </c>
      <c r="BP1917" t="s">
        <v>111</v>
      </c>
      <c r="BQ1917" t="s">
        <v>111</v>
      </c>
      <c r="BR1917" t="s">
        <v>111</v>
      </c>
      <c r="BS1917" t="s">
        <v>111</v>
      </c>
      <c r="BT1917" t="s">
        <v>111</v>
      </c>
      <c r="BU1917" t="s">
        <v>111</v>
      </c>
      <c r="BV1917" t="s">
        <v>111</v>
      </c>
      <c r="BW1917" t="s">
        <v>111</v>
      </c>
      <c r="BX1917" t="s">
        <v>111</v>
      </c>
      <c r="BY1917" t="s">
        <v>111</v>
      </c>
      <c r="BZ1917" t="s">
        <v>111</v>
      </c>
      <c r="CA1917" t="s">
        <v>111</v>
      </c>
      <c r="CB1917" t="s">
        <v>111</v>
      </c>
      <c r="CC1917" t="s">
        <v>111</v>
      </c>
      <c r="CD1917" t="s">
        <v>111</v>
      </c>
      <c r="CE1917" t="s">
        <v>111</v>
      </c>
      <c r="CF1917" t="s">
        <v>111</v>
      </c>
      <c r="CG1917" t="s">
        <v>111</v>
      </c>
      <c r="CH1917" t="s">
        <v>111</v>
      </c>
      <c r="CI1917" t="s">
        <v>111</v>
      </c>
      <c r="CJ1917" t="s">
        <v>111</v>
      </c>
      <c r="CK1917" t="s">
        <v>111</v>
      </c>
      <c r="CL1917" t="s">
        <v>111</v>
      </c>
      <c r="CM1917" t="s">
        <v>135</v>
      </c>
      <c r="CN1917" t="s">
        <v>113</v>
      </c>
      <c r="CO1917" t="s">
        <v>111</v>
      </c>
      <c r="CP1917" t="e">
        <f>-MUESTRA</f>
        <v>#NAME?</v>
      </c>
      <c r="CQ1917">
        <v>0</v>
      </c>
      <c r="CR1917">
        <v>26000</v>
      </c>
      <c r="CS1917">
        <v>26000</v>
      </c>
      <c r="CT1917" t="s">
        <v>394</v>
      </c>
      <c r="CU1917">
        <v>0</v>
      </c>
      <c r="CV1917" t="s">
        <v>111</v>
      </c>
      <c r="CW1917" t="s">
        <v>111</v>
      </c>
      <c r="CX1917" t="s">
        <v>111</v>
      </c>
      <c r="CY1917">
        <v>0</v>
      </c>
      <c r="CZ1917" t="s">
        <v>111</v>
      </c>
      <c r="DA1917" t="s">
        <v>111</v>
      </c>
      <c r="DB1917" t="s">
        <v>111</v>
      </c>
      <c r="DC1917" t="s">
        <v>111</v>
      </c>
    </row>
    <row r="1918" spans="1:107">
      <c r="A1918">
        <v>994</v>
      </c>
      <c r="B1918" t="s">
        <v>107</v>
      </c>
      <c r="C1918" s="2">
        <v>71742228</v>
      </c>
      <c r="D1918" t="s">
        <v>5240</v>
      </c>
      <c r="E1918" t="s">
        <v>5241</v>
      </c>
      <c r="F1918" t="s">
        <v>1651</v>
      </c>
      <c r="G1918" t="s">
        <v>24</v>
      </c>
      <c r="H1918">
        <v>1.85</v>
      </c>
      <c r="I1918">
        <v>55</v>
      </c>
      <c r="J1918">
        <v>0</v>
      </c>
      <c r="K1918">
        <v>0</v>
      </c>
      <c r="L1918" t="s">
        <v>112</v>
      </c>
      <c r="M1918" t="s">
        <v>118</v>
      </c>
      <c r="N1918">
        <v>40</v>
      </c>
      <c r="O1918">
        <v>1</v>
      </c>
      <c r="P1918" t="s">
        <v>138</v>
      </c>
      <c r="Q1918">
        <v>34.200000000000003</v>
      </c>
      <c r="R1918">
        <v>0</v>
      </c>
      <c r="S1918">
        <v>0</v>
      </c>
      <c r="T1918">
        <v>3</v>
      </c>
      <c r="U1918" t="s">
        <v>5204</v>
      </c>
      <c r="V1918">
        <v>0</v>
      </c>
      <c r="W1918">
        <v>0</v>
      </c>
      <c r="X1918">
        <v>0</v>
      </c>
      <c r="Y1918">
        <v>25</v>
      </c>
      <c r="Z1918" t="s">
        <v>111</v>
      </c>
      <c r="AA1918">
        <v>0</v>
      </c>
      <c r="AB1918" t="s">
        <v>111</v>
      </c>
      <c r="AC1918">
        <v>0</v>
      </c>
      <c r="AD1918" t="s">
        <v>416</v>
      </c>
      <c r="AE1918">
        <v>0</v>
      </c>
      <c r="AF1918">
        <v>0</v>
      </c>
      <c r="AG1918" t="s">
        <v>111</v>
      </c>
      <c r="AH1918" t="s">
        <v>111</v>
      </c>
      <c r="AI1918" t="s">
        <v>111</v>
      </c>
      <c r="AJ1918" t="s">
        <v>111</v>
      </c>
      <c r="AK1918" t="s">
        <v>111</v>
      </c>
      <c r="AL1918" t="s">
        <v>111</v>
      </c>
      <c r="AM1918">
        <v>0</v>
      </c>
      <c r="AN1918">
        <v>0</v>
      </c>
      <c r="AO1918">
        <v>0</v>
      </c>
      <c r="AP1918" t="s">
        <v>111</v>
      </c>
      <c r="AQ1918" t="s">
        <v>111</v>
      </c>
      <c r="AR1918" t="s">
        <v>111</v>
      </c>
      <c r="AS1918" t="s">
        <v>111</v>
      </c>
      <c r="AT1918" t="s">
        <v>111</v>
      </c>
      <c r="AU1918" t="s">
        <v>111</v>
      </c>
      <c r="AV1918" t="s">
        <v>111</v>
      </c>
      <c r="AW1918" t="s">
        <v>111</v>
      </c>
      <c r="AX1918" t="s">
        <v>111</v>
      </c>
      <c r="AY1918" t="s">
        <v>111</v>
      </c>
      <c r="AZ1918" t="s">
        <v>111</v>
      </c>
      <c r="BA1918" t="s">
        <v>111</v>
      </c>
      <c r="BB1918" t="s">
        <v>111</v>
      </c>
      <c r="BC1918" t="s">
        <v>111</v>
      </c>
      <c r="BD1918" t="s">
        <v>111</v>
      </c>
      <c r="BE1918" t="s">
        <v>111</v>
      </c>
      <c r="BF1918" t="s">
        <v>111</v>
      </c>
      <c r="BG1918" t="s">
        <v>111</v>
      </c>
      <c r="BH1918" t="s">
        <v>111</v>
      </c>
      <c r="BI1918" t="s">
        <v>111</v>
      </c>
      <c r="BJ1918" t="s">
        <v>111</v>
      </c>
      <c r="BK1918" t="s">
        <v>111</v>
      </c>
      <c r="BL1918" t="s">
        <v>111</v>
      </c>
      <c r="BM1918" t="s">
        <v>111</v>
      </c>
      <c r="BN1918" t="s">
        <v>111</v>
      </c>
      <c r="BO1918" t="s">
        <v>111</v>
      </c>
      <c r="BP1918" t="s">
        <v>111</v>
      </c>
      <c r="BQ1918" t="s">
        <v>111</v>
      </c>
      <c r="BR1918" t="s">
        <v>111</v>
      </c>
      <c r="BS1918" t="s">
        <v>111</v>
      </c>
      <c r="BT1918" t="s">
        <v>111</v>
      </c>
      <c r="BU1918" t="s">
        <v>111</v>
      </c>
      <c r="BV1918" t="s">
        <v>111</v>
      </c>
      <c r="BW1918" t="s">
        <v>111</v>
      </c>
      <c r="BX1918" t="s">
        <v>111</v>
      </c>
      <c r="BY1918" t="s">
        <v>111</v>
      </c>
      <c r="BZ1918" t="s">
        <v>111</v>
      </c>
      <c r="CA1918" t="s">
        <v>111</v>
      </c>
      <c r="CB1918" t="s">
        <v>111</v>
      </c>
      <c r="CC1918" t="s">
        <v>111</v>
      </c>
      <c r="CD1918" t="s">
        <v>111</v>
      </c>
      <c r="CE1918" t="s">
        <v>111</v>
      </c>
      <c r="CF1918" t="s">
        <v>111</v>
      </c>
      <c r="CG1918" t="s">
        <v>111</v>
      </c>
      <c r="CH1918" t="s">
        <v>111</v>
      </c>
      <c r="CI1918" t="s">
        <v>111</v>
      </c>
      <c r="CJ1918" t="s">
        <v>111</v>
      </c>
      <c r="CK1918" t="s">
        <v>111</v>
      </c>
      <c r="CL1918" t="e">
        <f>-DESTINO SELLADO</f>
        <v>#NAME?</v>
      </c>
      <c r="CM1918" t="s">
        <v>198</v>
      </c>
      <c r="CN1918" t="s">
        <v>113</v>
      </c>
      <c r="CO1918" t="s">
        <v>111</v>
      </c>
      <c r="CP1918" t="e">
        <f>-MUESTRA</f>
        <v>#NAME?</v>
      </c>
      <c r="CQ1918">
        <v>0</v>
      </c>
      <c r="CR1918">
        <v>1500</v>
      </c>
      <c r="CS1918">
        <v>100</v>
      </c>
      <c r="CT1918" s="1" t="s">
        <v>1104</v>
      </c>
      <c r="CU1918">
        <v>0</v>
      </c>
      <c r="CV1918" t="s">
        <v>111</v>
      </c>
      <c r="CW1918" t="s">
        <v>111</v>
      </c>
      <c r="CX1918" t="s">
        <v>111</v>
      </c>
      <c r="CY1918">
        <v>0</v>
      </c>
      <c r="CZ1918" t="s">
        <v>111</v>
      </c>
      <c r="DA1918" t="s">
        <v>111</v>
      </c>
      <c r="DB1918" t="s">
        <v>111</v>
      </c>
      <c r="DC1918" t="s">
        <v>111</v>
      </c>
    </row>
    <row r="1919" spans="1:107">
      <c r="A1919">
        <v>993</v>
      </c>
      <c r="B1919" t="s">
        <v>107</v>
      </c>
      <c r="C1919" t="s">
        <v>421</v>
      </c>
      <c r="D1919" t="s">
        <v>5242</v>
      </c>
      <c r="E1919" t="s">
        <v>5243</v>
      </c>
      <c r="F1919" t="s">
        <v>1071</v>
      </c>
      <c r="G1919" t="s">
        <v>24</v>
      </c>
      <c r="H1919">
        <v>1.4</v>
      </c>
      <c r="I1919">
        <v>38</v>
      </c>
      <c r="J1919">
        <v>0</v>
      </c>
      <c r="K1919">
        <v>0</v>
      </c>
      <c r="L1919" t="s">
        <v>112</v>
      </c>
      <c r="M1919" t="s">
        <v>138</v>
      </c>
      <c r="N1919">
        <v>0</v>
      </c>
      <c r="O1919">
        <v>0</v>
      </c>
      <c r="P1919" t="s">
        <v>138</v>
      </c>
      <c r="Q1919">
        <v>40</v>
      </c>
      <c r="R1919">
        <v>0</v>
      </c>
      <c r="S1919">
        <v>0</v>
      </c>
      <c r="T1919">
        <v>5</v>
      </c>
      <c r="U1919" s="1" t="s">
        <v>5244</v>
      </c>
      <c r="V1919">
        <v>0</v>
      </c>
      <c r="W1919">
        <v>0</v>
      </c>
      <c r="X1919">
        <v>0</v>
      </c>
      <c r="Y1919">
        <v>25</v>
      </c>
      <c r="Z1919" t="s">
        <v>111</v>
      </c>
      <c r="AA1919">
        <v>0</v>
      </c>
      <c r="AB1919" t="s">
        <v>111</v>
      </c>
      <c r="AC1919">
        <v>0</v>
      </c>
      <c r="AD1919" t="s">
        <v>111</v>
      </c>
      <c r="AE1919">
        <v>0</v>
      </c>
      <c r="AF1919">
        <v>0</v>
      </c>
      <c r="AG1919" t="s">
        <v>111</v>
      </c>
      <c r="AH1919" t="s">
        <v>111</v>
      </c>
      <c r="AI1919" t="s">
        <v>111</v>
      </c>
      <c r="AJ1919" t="s">
        <v>111</v>
      </c>
      <c r="AK1919" t="s">
        <v>111</v>
      </c>
      <c r="AL1919" t="s">
        <v>111</v>
      </c>
      <c r="AM1919">
        <v>0</v>
      </c>
      <c r="AN1919">
        <v>0</v>
      </c>
      <c r="AO1919">
        <v>0</v>
      </c>
      <c r="AP1919" t="s">
        <v>111</v>
      </c>
      <c r="AQ1919" t="s">
        <v>111</v>
      </c>
      <c r="AR1919" t="s">
        <v>111</v>
      </c>
      <c r="AS1919" t="s">
        <v>111</v>
      </c>
      <c r="AT1919" t="s">
        <v>111</v>
      </c>
      <c r="AU1919" t="s">
        <v>111</v>
      </c>
      <c r="AV1919" t="s">
        <v>111</v>
      </c>
      <c r="AW1919" t="s">
        <v>111</v>
      </c>
      <c r="AX1919" t="s">
        <v>111</v>
      </c>
      <c r="AY1919" t="s">
        <v>111</v>
      </c>
      <c r="AZ1919" t="s">
        <v>111</v>
      </c>
      <c r="BA1919" t="s">
        <v>111</v>
      </c>
      <c r="BB1919" t="s">
        <v>111</v>
      </c>
      <c r="BC1919" t="s">
        <v>111</v>
      </c>
      <c r="BD1919" t="s">
        <v>111</v>
      </c>
      <c r="BE1919" t="s">
        <v>111</v>
      </c>
      <c r="BF1919" t="s">
        <v>111</v>
      </c>
      <c r="BG1919" t="s">
        <v>111</v>
      </c>
      <c r="BH1919" t="s">
        <v>111</v>
      </c>
      <c r="BI1919" t="s">
        <v>111</v>
      </c>
      <c r="BJ1919" t="s">
        <v>111</v>
      </c>
      <c r="BK1919" t="s">
        <v>111</v>
      </c>
      <c r="BL1919" t="s">
        <v>111</v>
      </c>
      <c r="BM1919" t="s">
        <v>111</v>
      </c>
      <c r="BN1919" t="s">
        <v>111</v>
      </c>
      <c r="BO1919" t="s">
        <v>111</v>
      </c>
      <c r="BP1919" t="s">
        <v>111</v>
      </c>
      <c r="BQ1919" t="s">
        <v>111</v>
      </c>
      <c r="BR1919" t="s">
        <v>111</v>
      </c>
      <c r="BS1919" t="s">
        <v>111</v>
      </c>
      <c r="BT1919" t="s">
        <v>111</v>
      </c>
      <c r="BU1919" t="s">
        <v>111</v>
      </c>
      <c r="BV1919" t="s">
        <v>111</v>
      </c>
      <c r="BW1919" t="s">
        <v>111</v>
      </c>
      <c r="BX1919" t="s">
        <v>111</v>
      </c>
      <c r="BY1919" t="s">
        <v>111</v>
      </c>
      <c r="BZ1919" t="s">
        <v>111</v>
      </c>
      <c r="CA1919" t="s">
        <v>111</v>
      </c>
      <c r="CB1919" t="s">
        <v>111</v>
      </c>
      <c r="CC1919" t="s">
        <v>111</v>
      </c>
      <c r="CD1919" t="s">
        <v>111</v>
      </c>
      <c r="CE1919" t="s">
        <v>111</v>
      </c>
      <c r="CF1919" t="s">
        <v>111</v>
      </c>
      <c r="CG1919" t="s">
        <v>111</v>
      </c>
      <c r="CH1919" t="s">
        <v>111</v>
      </c>
      <c r="CI1919" t="s">
        <v>111</v>
      </c>
      <c r="CJ1919" t="s">
        <v>111</v>
      </c>
      <c r="CK1919" t="s">
        <v>111</v>
      </c>
      <c r="CL1919" t="s">
        <v>111</v>
      </c>
      <c r="CM1919" t="s">
        <v>198</v>
      </c>
      <c r="CN1919" t="s">
        <v>113</v>
      </c>
      <c r="CO1919" t="s">
        <v>111</v>
      </c>
      <c r="CP1919" t="s">
        <v>111</v>
      </c>
      <c r="CQ1919">
        <v>70</v>
      </c>
      <c r="CR1919">
        <v>4000</v>
      </c>
      <c r="CS1919">
        <v>200</v>
      </c>
      <c r="CT1919" s="1" t="s">
        <v>344</v>
      </c>
      <c r="CU1919">
        <v>0</v>
      </c>
      <c r="CV1919" t="s">
        <v>111</v>
      </c>
      <c r="CW1919" t="s">
        <v>111</v>
      </c>
      <c r="CX1919" t="s">
        <v>111</v>
      </c>
      <c r="CY1919">
        <v>0</v>
      </c>
      <c r="CZ1919" t="s">
        <v>111</v>
      </c>
      <c r="DA1919" t="s">
        <v>111</v>
      </c>
      <c r="DB1919" t="s">
        <v>111</v>
      </c>
      <c r="DC1919" t="s">
        <v>111</v>
      </c>
    </row>
    <row r="1920" spans="1:107">
      <c r="A1920">
        <v>989</v>
      </c>
      <c r="B1920" t="s">
        <v>162</v>
      </c>
      <c r="C1920" t="s">
        <v>4324</v>
      </c>
      <c r="D1920" t="s">
        <v>5245</v>
      </c>
      <c r="E1920" t="s">
        <v>5246</v>
      </c>
      <c r="F1920" t="s">
        <v>110</v>
      </c>
      <c r="G1920" t="s">
        <v>24</v>
      </c>
      <c r="H1920">
        <v>2.4</v>
      </c>
      <c r="I1920">
        <v>45</v>
      </c>
      <c r="J1920">
        <v>0</v>
      </c>
      <c r="K1920">
        <v>0</v>
      </c>
      <c r="L1920" t="s">
        <v>112</v>
      </c>
      <c r="M1920" t="s">
        <v>118</v>
      </c>
      <c r="N1920">
        <v>40</v>
      </c>
      <c r="O1920">
        <v>2</v>
      </c>
      <c r="P1920" t="s">
        <v>138</v>
      </c>
      <c r="Q1920">
        <v>50</v>
      </c>
      <c r="R1920">
        <v>0</v>
      </c>
      <c r="S1920">
        <v>0</v>
      </c>
      <c r="T1920">
        <v>0</v>
      </c>
      <c r="U1920" t="s">
        <v>168</v>
      </c>
      <c r="V1920">
        <v>0</v>
      </c>
      <c r="W1920">
        <v>0</v>
      </c>
      <c r="X1920">
        <v>0</v>
      </c>
      <c r="Y1920">
        <v>25</v>
      </c>
      <c r="Z1920" t="s">
        <v>111</v>
      </c>
      <c r="AA1920">
        <v>0</v>
      </c>
      <c r="AB1920" t="s">
        <v>111</v>
      </c>
      <c r="AC1920">
        <v>0</v>
      </c>
      <c r="AD1920" t="s">
        <v>111</v>
      </c>
      <c r="AE1920">
        <v>0</v>
      </c>
      <c r="AF1920">
        <v>0</v>
      </c>
      <c r="AG1920" t="s">
        <v>111</v>
      </c>
      <c r="AH1920" t="s">
        <v>111</v>
      </c>
      <c r="AI1920" t="s">
        <v>111</v>
      </c>
      <c r="AJ1920" t="s">
        <v>111</v>
      </c>
      <c r="AK1920" t="s">
        <v>111</v>
      </c>
      <c r="AL1920" t="s">
        <v>111</v>
      </c>
      <c r="AM1920">
        <v>0</v>
      </c>
      <c r="AN1920">
        <v>0</v>
      </c>
      <c r="AO1920">
        <v>0</v>
      </c>
      <c r="AP1920" t="s">
        <v>111</v>
      </c>
      <c r="AQ1920" t="s">
        <v>111</v>
      </c>
      <c r="AR1920" t="s">
        <v>111</v>
      </c>
      <c r="AS1920" t="s">
        <v>111</v>
      </c>
      <c r="AT1920" t="s">
        <v>111</v>
      </c>
      <c r="AU1920" t="s">
        <v>111</v>
      </c>
      <c r="AV1920" t="s">
        <v>111</v>
      </c>
      <c r="AW1920" t="s">
        <v>111</v>
      </c>
      <c r="AX1920" t="s">
        <v>111</v>
      </c>
      <c r="AY1920" t="s">
        <v>111</v>
      </c>
      <c r="AZ1920" t="s">
        <v>111</v>
      </c>
      <c r="BA1920" t="s">
        <v>111</v>
      </c>
      <c r="BB1920" t="s">
        <v>111</v>
      </c>
      <c r="BC1920" t="s">
        <v>111</v>
      </c>
      <c r="BD1920" t="s">
        <v>111</v>
      </c>
      <c r="BE1920" t="s">
        <v>111</v>
      </c>
      <c r="BF1920" t="s">
        <v>111</v>
      </c>
      <c r="BG1920" t="s">
        <v>111</v>
      </c>
      <c r="BH1920" t="s">
        <v>111</v>
      </c>
      <c r="BI1920" t="s">
        <v>111</v>
      </c>
      <c r="BJ1920" t="s">
        <v>111</v>
      </c>
      <c r="BK1920" t="s">
        <v>111</v>
      </c>
      <c r="BL1920" t="s">
        <v>111</v>
      </c>
      <c r="BM1920" t="s">
        <v>111</v>
      </c>
      <c r="BN1920" t="s">
        <v>111</v>
      </c>
      <c r="BO1920" t="s">
        <v>111</v>
      </c>
      <c r="BP1920" t="s">
        <v>111</v>
      </c>
      <c r="BQ1920" t="s">
        <v>111</v>
      </c>
      <c r="BR1920" t="s">
        <v>111</v>
      </c>
      <c r="BS1920" t="s">
        <v>111</v>
      </c>
      <c r="BT1920" t="s">
        <v>111</v>
      </c>
      <c r="BU1920" t="s">
        <v>111</v>
      </c>
      <c r="BV1920" t="s">
        <v>111</v>
      </c>
      <c r="BW1920" t="s">
        <v>111</v>
      </c>
      <c r="BX1920" t="s">
        <v>111</v>
      </c>
      <c r="BY1920" t="s">
        <v>111</v>
      </c>
      <c r="BZ1920" t="s">
        <v>111</v>
      </c>
      <c r="CA1920" t="s">
        <v>111</v>
      </c>
      <c r="CB1920" t="s">
        <v>111</v>
      </c>
      <c r="CC1920" t="s">
        <v>111</v>
      </c>
      <c r="CD1920" t="s">
        <v>111</v>
      </c>
      <c r="CE1920" t="s">
        <v>111</v>
      </c>
      <c r="CF1920" t="s">
        <v>111</v>
      </c>
      <c r="CG1920" t="s">
        <v>111</v>
      </c>
      <c r="CH1920" t="s">
        <v>111</v>
      </c>
      <c r="CI1920" t="s">
        <v>111</v>
      </c>
      <c r="CJ1920" t="s">
        <v>111</v>
      </c>
      <c r="CK1920" t="s">
        <v>111</v>
      </c>
      <c r="CL1920" t="s">
        <v>111</v>
      </c>
      <c r="CM1920" t="s">
        <v>111</v>
      </c>
      <c r="CN1920" t="s">
        <v>111</v>
      </c>
      <c r="CO1920" t="s">
        <v>111</v>
      </c>
      <c r="CP1920" t="s">
        <v>111</v>
      </c>
      <c r="CQ1920">
        <v>0</v>
      </c>
      <c r="CR1920">
        <v>0</v>
      </c>
      <c r="CS1920">
        <v>0</v>
      </c>
      <c r="CT1920" t="s">
        <v>111</v>
      </c>
      <c r="CU1920">
        <v>0</v>
      </c>
      <c r="CV1920" t="s">
        <v>111</v>
      </c>
      <c r="CW1920" t="s">
        <v>111</v>
      </c>
      <c r="CX1920" t="s">
        <v>111</v>
      </c>
      <c r="CY1920">
        <v>0</v>
      </c>
      <c r="CZ1920" t="s">
        <v>111</v>
      </c>
      <c r="DA1920" t="s">
        <v>111</v>
      </c>
      <c r="DB1920" t="s">
        <v>111</v>
      </c>
      <c r="DC1920" t="s">
        <v>111</v>
      </c>
    </row>
    <row r="1921" spans="1:107">
      <c r="A1921">
        <v>1035</v>
      </c>
      <c r="B1921" t="s">
        <v>107</v>
      </c>
      <c r="C1921" t="s">
        <v>3608</v>
      </c>
      <c r="D1921" t="s">
        <v>4268</v>
      </c>
      <c r="E1921" t="s">
        <v>5247</v>
      </c>
      <c r="F1921" t="s">
        <v>110</v>
      </c>
      <c r="G1921" t="s">
        <v>24</v>
      </c>
      <c r="H1921">
        <v>2</v>
      </c>
      <c r="I1921">
        <v>25</v>
      </c>
      <c r="J1921">
        <v>0</v>
      </c>
      <c r="K1921">
        <v>0</v>
      </c>
      <c r="L1921" t="s">
        <v>112</v>
      </c>
      <c r="M1921" t="s">
        <v>138</v>
      </c>
      <c r="N1921">
        <v>0</v>
      </c>
      <c r="O1921">
        <v>0</v>
      </c>
      <c r="P1921" t="s">
        <v>138</v>
      </c>
      <c r="Q1921">
        <v>25</v>
      </c>
      <c r="R1921">
        <v>0</v>
      </c>
      <c r="S1921">
        <v>0</v>
      </c>
      <c r="T1921">
        <v>0</v>
      </c>
      <c r="U1921" s="1" t="s">
        <v>5248</v>
      </c>
      <c r="V1921">
        <v>0</v>
      </c>
      <c r="W1921">
        <v>0</v>
      </c>
      <c r="X1921">
        <v>0</v>
      </c>
      <c r="Y1921">
        <v>25</v>
      </c>
      <c r="Z1921" t="s">
        <v>111</v>
      </c>
      <c r="AA1921">
        <v>0</v>
      </c>
      <c r="AB1921" t="s">
        <v>111</v>
      </c>
      <c r="AC1921">
        <v>0</v>
      </c>
      <c r="AD1921" t="s">
        <v>111</v>
      </c>
      <c r="AE1921">
        <v>0</v>
      </c>
      <c r="AF1921">
        <v>0</v>
      </c>
      <c r="AG1921" t="s">
        <v>111</v>
      </c>
      <c r="AH1921" t="s">
        <v>111</v>
      </c>
      <c r="AI1921" t="s">
        <v>111</v>
      </c>
      <c r="AJ1921" t="s">
        <v>111</v>
      </c>
      <c r="AK1921" t="s">
        <v>111</v>
      </c>
      <c r="AL1921" t="s">
        <v>111</v>
      </c>
      <c r="AM1921">
        <v>0</v>
      </c>
      <c r="AN1921">
        <v>0</v>
      </c>
      <c r="AO1921">
        <v>0</v>
      </c>
      <c r="AP1921" t="s">
        <v>111</v>
      </c>
      <c r="AQ1921" t="s">
        <v>111</v>
      </c>
      <c r="AR1921" t="s">
        <v>111</v>
      </c>
      <c r="AS1921" t="s">
        <v>111</v>
      </c>
      <c r="AT1921" t="s">
        <v>111</v>
      </c>
      <c r="AU1921" t="s">
        <v>111</v>
      </c>
      <c r="AV1921" t="s">
        <v>111</v>
      </c>
      <c r="AW1921" t="s">
        <v>111</v>
      </c>
      <c r="AX1921" t="s">
        <v>111</v>
      </c>
      <c r="AY1921" t="s">
        <v>111</v>
      </c>
      <c r="AZ1921" t="s">
        <v>111</v>
      </c>
      <c r="BA1921" t="s">
        <v>111</v>
      </c>
      <c r="BB1921" t="s">
        <v>111</v>
      </c>
      <c r="BC1921" t="s">
        <v>111</v>
      </c>
      <c r="BD1921" t="s">
        <v>111</v>
      </c>
      <c r="BE1921" t="s">
        <v>111</v>
      </c>
      <c r="BF1921" t="s">
        <v>111</v>
      </c>
      <c r="BG1921" t="s">
        <v>111</v>
      </c>
      <c r="BH1921" t="s">
        <v>111</v>
      </c>
      <c r="BI1921" t="s">
        <v>111</v>
      </c>
      <c r="BJ1921" t="s">
        <v>111</v>
      </c>
      <c r="BK1921" t="s">
        <v>111</v>
      </c>
      <c r="BL1921" t="s">
        <v>111</v>
      </c>
      <c r="BM1921" t="s">
        <v>111</v>
      </c>
      <c r="BN1921" t="s">
        <v>111</v>
      </c>
      <c r="BO1921" t="s">
        <v>111</v>
      </c>
      <c r="BP1921" t="s">
        <v>111</v>
      </c>
      <c r="BQ1921" t="s">
        <v>111</v>
      </c>
      <c r="BR1921" t="s">
        <v>111</v>
      </c>
      <c r="BS1921" t="s">
        <v>111</v>
      </c>
      <c r="BT1921" t="s">
        <v>111</v>
      </c>
      <c r="BU1921" t="s">
        <v>111</v>
      </c>
      <c r="BV1921" t="s">
        <v>111</v>
      </c>
      <c r="BW1921" t="s">
        <v>111</v>
      </c>
      <c r="BX1921" t="s">
        <v>111</v>
      </c>
      <c r="BY1921" t="s">
        <v>111</v>
      </c>
      <c r="BZ1921" t="s">
        <v>111</v>
      </c>
      <c r="CA1921" t="s">
        <v>111</v>
      </c>
      <c r="CB1921" t="s">
        <v>111</v>
      </c>
      <c r="CC1921" t="s">
        <v>111</v>
      </c>
      <c r="CD1921" t="s">
        <v>111</v>
      </c>
      <c r="CE1921" t="s">
        <v>111</v>
      </c>
      <c r="CF1921" t="s">
        <v>111</v>
      </c>
      <c r="CG1921" t="s">
        <v>111</v>
      </c>
      <c r="CH1921" t="s">
        <v>111</v>
      </c>
      <c r="CI1921" t="s">
        <v>111</v>
      </c>
      <c r="CJ1921" t="s">
        <v>111</v>
      </c>
      <c r="CK1921" t="s">
        <v>111</v>
      </c>
      <c r="CL1921" t="s">
        <v>111</v>
      </c>
      <c r="CM1921" t="s">
        <v>111</v>
      </c>
      <c r="CN1921" t="s">
        <v>111</v>
      </c>
      <c r="CO1921" t="s">
        <v>111</v>
      </c>
      <c r="CP1921" t="s">
        <v>111</v>
      </c>
      <c r="CQ1921">
        <v>0</v>
      </c>
      <c r="CR1921">
        <v>0</v>
      </c>
      <c r="CS1921">
        <v>0</v>
      </c>
      <c r="CT1921" t="s">
        <v>111</v>
      </c>
      <c r="CU1921">
        <v>0</v>
      </c>
      <c r="CV1921" t="s">
        <v>111</v>
      </c>
      <c r="CW1921" t="s">
        <v>111</v>
      </c>
      <c r="CX1921" t="s">
        <v>111</v>
      </c>
      <c r="CY1921">
        <v>0</v>
      </c>
      <c r="CZ1921" t="s">
        <v>111</v>
      </c>
      <c r="DA1921" t="s">
        <v>111</v>
      </c>
      <c r="DB1921" t="s">
        <v>111</v>
      </c>
      <c r="DC1921" t="s">
        <v>111</v>
      </c>
    </row>
    <row r="1922" spans="1:107">
      <c r="A1922">
        <v>982</v>
      </c>
      <c r="B1922" t="s">
        <v>107</v>
      </c>
      <c r="C1922" t="s">
        <v>154</v>
      </c>
      <c r="D1922" t="s">
        <v>4297</v>
      </c>
      <c r="E1922" t="s">
        <v>5249</v>
      </c>
      <c r="F1922" t="s">
        <v>1071</v>
      </c>
      <c r="G1922" t="s">
        <v>24</v>
      </c>
      <c r="H1922">
        <v>2</v>
      </c>
      <c r="I1922">
        <v>25</v>
      </c>
      <c r="J1922">
        <v>0</v>
      </c>
      <c r="K1922">
        <v>0</v>
      </c>
      <c r="L1922" t="s">
        <v>112</v>
      </c>
      <c r="M1922" t="s">
        <v>111</v>
      </c>
      <c r="N1922">
        <v>0</v>
      </c>
      <c r="O1922">
        <v>0</v>
      </c>
      <c r="P1922" t="s">
        <v>138</v>
      </c>
      <c r="Q1922">
        <v>22</v>
      </c>
      <c r="R1922">
        <v>0</v>
      </c>
      <c r="S1922">
        <v>0</v>
      </c>
      <c r="T1922">
        <v>5</v>
      </c>
      <c r="U1922" t="s">
        <v>5078</v>
      </c>
      <c r="V1922">
        <v>0</v>
      </c>
      <c r="W1922">
        <v>0</v>
      </c>
      <c r="X1922">
        <v>0</v>
      </c>
      <c r="Y1922">
        <v>25</v>
      </c>
      <c r="Z1922" t="s">
        <v>111</v>
      </c>
      <c r="AA1922">
        <v>0</v>
      </c>
      <c r="AB1922" t="s">
        <v>111</v>
      </c>
      <c r="AC1922">
        <v>0</v>
      </c>
      <c r="AD1922" t="s">
        <v>111</v>
      </c>
      <c r="AE1922">
        <v>0</v>
      </c>
      <c r="AF1922">
        <v>0</v>
      </c>
      <c r="AG1922" t="s">
        <v>111</v>
      </c>
      <c r="AH1922" t="s">
        <v>111</v>
      </c>
      <c r="AI1922" t="s">
        <v>111</v>
      </c>
      <c r="AJ1922" t="s">
        <v>111</v>
      </c>
      <c r="AK1922" t="s">
        <v>111</v>
      </c>
      <c r="AL1922" t="s">
        <v>111</v>
      </c>
      <c r="AM1922">
        <v>0</v>
      </c>
      <c r="AN1922">
        <v>0</v>
      </c>
      <c r="AO1922">
        <v>0</v>
      </c>
      <c r="AP1922" t="s">
        <v>111</v>
      </c>
      <c r="AQ1922" t="s">
        <v>111</v>
      </c>
      <c r="AR1922" t="s">
        <v>111</v>
      </c>
      <c r="AS1922" t="s">
        <v>111</v>
      </c>
      <c r="AT1922" t="s">
        <v>111</v>
      </c>
      <c r="AU1922" t="s">
        <v>111</v>
      </c>
      <c r="AV1922" t="s">
        <v>111</v>
      </c>
      <c r="AW1922" t="s">
        <v>111</v>
      </c>
      <c r="AX1922" t="s">
        <v>111</v>
      </c>
      <c r="AY1922" t="s">
        <v>111</v>
      </c>
      <c r="AZ1922" t="s">
        <v>111</v>
      </c>
      <c r="BA1922" t="s">
        <v>111</v>
      </c>
      <c r="BB1922" t="s">
        <v>111</v>
      </c>
      <c r="BC1922" t="s">
        <v>111</v>
      </c>
      <c r="BD1922" t="s">
        <v>111</v>
      </c>
      <c r="BE1922" t="s">
        <v>111</v>
      </c>
      <c r="BF1922" t="s">
        <v>111</v>
      </c>
      <c r="BG1922" t="s">
        <v>111</v>
      </c>
      <c r="BH1922" t="s">
        <v>111</v>
      </c>
      <c r="BI1922" t="s">
        <v>111</v>
      </c>
      <c r="BJ1922" t="s">
        <v>111</v>
      </c>
      <c r="BK1922" t="s">
        <v>111</v>
      </c>
      <c r="BL1922" t="s">
        <v>111</v>
      </c>
      <c r="BM1922" t="s">
        <v>111</v>
      </c>
      <c r="BN1922" t="s">
        <v>111</v>
      </c>
      <c r="BO1922" t="s">
        <v>111</v>
      </c>
      <c r="BP1922" t="s">
        <v>111</v>
      </c>
      <c r="BQ1922" t="s">
        <v>111</v>
      </c>
      <c r="BR1922" t="s">
        <v>111</v>
      </c>
      <c r="BS1922" t="s">
        <v>111</v>
      </c>
      <c r="BT1922" t="s">
        <v>111</v>
      </c>
      <c r="BU1922" t="s">
        <v>111</v>
      </c>
      <c r="BV1922" t="s">
        <v>111</v>
      </c>
      <c r="BW1922" t="s">
        <v>111</v>
      </c>
      <c r="BX1922" t="s">
        <v>111</v>
      </c>
      <c r="BY1922" t="s">
        <v>111</v>
      </c>
      <c r="BZ1922" t="s">
        <v>111</v>
      </c>
      <c r="CA1922" t="s">
        <v>111</v>
      </c>
      <c r="CB1922" t="s">
        <v>111</v>
      </c>
      <c r="CC1922" t="s">
        <v>111</v>
      </c>
      <c r="CD1922" t="s">
        <v>111</v>
      </c>
      <c r="CE1922" t="s">
        <v>111</v>
      </c>
      <c r="CF1922" t="s">
        <v>111</v>
      </c>
      <c r="CG1922" t="s">
        <v>111</v>
      </c>
      <c r="CH1922" t="s">
        <v>111</v>
      </c>
      <c r="CI1922" t="s">
        <v>111</v>
      </c>
      <c r="CJ1922" t="s">
        <v>111</v>
      </c>
      <c r="CK1922" t="s">
        <v>111</v>
      </c>
      <c r="CL1922" t="s">
        <v>111</v>
      </c>
      <c r="CM1922" t="s">
        <v>198</v>
      </c>
      <c r="CN1922" t="s">
        <v>113</v>
      </c>
      <c r="CO1922" t="s">
        <v>111</v>
      </c>
      <c r="CP1922" t="s">
        <v>111</v>
      </c>
      <c r="CQ1922">
        <v>0</v>
      </c>
      <c r="CR1922">
        <v>20000</v>
      </c>
      <c r="CS1922">
        <v>500</v>
      </c>
      <c r="CT1922" t="s">
        <v>394</v>
      </c>
      <c r="CU1922">
        <v>0</v>
      </c>
      <c r="CV1922" t="s">
        <v>111</v>
      </c>
      <c r="CW1922" t="s">
        <v>111</v>
      </c>
      <c r="CX1922" t="s">
        <v>111</v>
      </c>
      <c r="CY1922">
        <v>0</v>
      </c>
      <c r="CZ1922" t="s">
        <v>111</v>
      </c>
      <c r="DA1922" t="s">
        <v>111</v>
      </c>
      <c r="DB1922" t="s">
        <v>111</v>
      </c>
      <c r="DC1922" t="s">
        <v>111</v>
      </c>
    </row>
    <row r="1923" spans="1:107">
      <c r="A1923">
        <v>1000</v>
      </c>
      <c r="B1923" t="s">
        <v>107</v>
      </c>
      <c r="C1923" t="s">
        <v>4165</v>
      </c>
      <c r="D1923" t="s">
        <v>4783</v>
      </c>
      <c r="E1923" t="s">
        <v>4784</v>
      </c>
      <c r="F1923" t="s">
        <v>110</v>
      </c>
      <c r="G1923" t="s">
        <v>24</v>
      </c>
      <c r="H1923">
        <v>1.4</v>
      </c>
      <c r="I1923">
        <v>40</v>
      </c>
      <c r="J1923">
        <v>0</v>
      </c>
      <c r="K1923">
        <v>0</v>
      </c>
      <c r="L1923" t="s">
        <v>112</v>
      </c>
      <c r="M1923" t="s">
        <v>118</v>
      </c>
      <c r="N1923">
        <v>0</v>
      </c>
      <c r="O1923">
        <v>1</v>
      </c>
      <c r="P1923" t="s">
        <v>138</v>
      </c>
      <c r="Q1923">
        <v>41.6</v>
      </c>
      <c r="R1923">
        <v>0</v>
      </c>
      <c r="S1923">
        <v>0</v>
      </c>
      <c r="T1923">
        <v>0</v>
      </c>
      <c r="U1923" t="s">
        <v>394</v>
      </c>
      <c r="V1923">
        <v>0</v>
      </c>
      <c r="W1923">
        <v>0</v>
      </c>
      <c r="X1923">
        <v>0</v>
      </c>
      <c r="Y1923">
        <v>25</v>
      </c>
      <c r="Z1923" t="s">
        <v>111</v>
      </c>
      <c r="AA1923">
        <v>0</v>
      </c>
      <c r="AB1923" t="s">
        <v>111</v>
      </c>
      <c r="AC1923">
        <v>0</v>
      </c>
      <c r="AD1923" t="s">
        <v>111</v>
      </c>
      <c r="AE1923">
        <v>0</v>
      </c>
      <c r="AF1923">
        <v>0</v>
      </c>
      <c r="AG1923" t="s">
        <v>111</v>
      </c>
      <c r="AH1923" t="s">
        <v>111</v>
      </c>
      <c r="AI1923" t="s">
        <v>111</v>
      </c>
      <c r="AJ1923" t="s">
        <v>111</v>
      </c>
      <c r="AK1923" t="s">
        <v>111</v>
      </c>
      <c r="AL1923" t="s">
        <v>111</v>
      </c>
      <c r="AM1923">
        <v>0</v>
      </c>
      <c r="AN1923">
        <v>0</v>
      </c>
      <c r="AO1923">
        <v>0</v>
      </c>
      <c r="AP1923" t="s">
        <v>111</v>
      </c>
      <c r="AQ1923" t="s">
        <v>111</v>
      </c>
      <c r="AR1923" t="s">
        <v>111</v>
      </c>
      <c r="AS1923" t="s">
        <v>111</v>
      </c>
      <c r="AT1923" t="s">
        <v>111</v>
      </c>
      <c r="AU1923" t="s">
        <v>111</v>
      </c>
      <c r="AV1923" t="s">
        <v>111</v>
      </c>
      <c r="AW1923" t="s">
        <v>111</v>
      </c>
      <c r="AX1923" t="s">
        <v>111</v>
      </c>
      <c r="AY1923" t="s">
        <v>111</v>
      </c>
      <c r="AZ1923" t="s">
        <v>111</v>
      </c>
      <c r="BA1923" t="s">
        <v>111</v>
      </c>
      <c r="BB1923" t="s">
        <v>111</v>
      </c>
      <c r="BC1923" t="s">
        <v>111</v>
      </c>
      <c r="BD1923" t="s">
        <v>111</v>
      </c>
      <c r="BE1923" t="s">
        <v>111</v>
      </c>
      <c r="BF1923" t="s">
        <v>111</v>
      </c>
      <c r="BG1923" t="s">
        <v>111</v>
      </c>
      <c r="BH1923" t="s">
        <v>111</v>
      </c>
      <c r="BI1923" t="s">
        <v>111</v>
      </c>
      <c r="BJ1923" t="s">
        <v>111</v>
      </c>
      <c r="BK1923" t="s">
        <v>111</v>
      </c>
      <c r="BL1923" t="s">
        <v>111</v>
      </c>
      <c r="BM1923" t="s">
        <v>111</v>
      </c>
      <c r="BN1923" t="s">
        <v>111</v>
      </c>
      <c r="BO1923" t="s">
        <v>111</v>
      </c>
      <c r="BP1923" t="s">
        <v>111</v>
      </c>
      <c r="BQ1923" t="s">
        <v>111</v>
      </c>
      <c r="BR1923" t="s">
        <v>111</v>
      </c>
      <c r="BS1923" t="s">
        <v>111</v>
      </c>
      <c r="BT1923" t="s">
        <v>111</v>
      </c>
      <c r="BU1923" t="s">
        <v>111</v>
      </c>
      <c r="BV1923" t="s">
        <v>111</v>
      </c>
      <c r="BW1923" t="s">
        <v>111</v>
      </c>
      <c r="BX1923" t="s">
        <v>111</v>
      </c>
      <c r="BY1923" t="s">
        <v>111</v>
      </c>
      <c r="BZ1923" t="s">
        <v>111</v>
      </c>
      <c r="CA1923" t="s">
        <v>111</v>
      </c>
      <c r="CB1923" t="s">
        <v>111</v>
      </c>
      <c r="CC1923" t="s">
        <v>111</v>
      </c>
      <c r="CD1923" t="s">
        <v>111</v>
      </c>
      <c r="CE1923" t="s">
        <v>111</v>
      </c>
      <c r="CF1923" t="s">
        <v>111</v>
      </c>
      <c r="CG1923" t="s">
        <v>111</v>
      </c>
      <c r="CH1923" t="s">
        <v>111</v>
      </c>
      <c r="CI1923" t="s">
        <v>111</v>
      </c>
      <c r="CJ1923" t="s">
        <v>111</v>
      </c>
      <c r="CK1923" t="s">
        <v>111</v>
      </c>
      <c r="CL1923" t="s">
        <v>111</v>
      </c>
      <c r="CM1923" t="s">
        <v>111</v>
      </c>
      <c r="CN1923" t="s">
        <v>111</v>
      </c>
      <c r="CO1923" t="s">
        <v>111</v>
      </c>
      <c r="CP1923" t="s">
        <v>111</v>
      </c>
      <c r="CQ1923">
        <v>0</v>
      </c>
      <c r="CR1923">
        <v>0</v>
      </c>
      <c r="CS1923">
        <v>0</v>
      </c>
      <c r="CT1923" t="s">
        <v>111</v>
      </c>
      <c r="CU1923">
        <v>0</v>
      </c>
      <c r="CV1923" t="s">
        <v>111</v>
      </c>
      <c r="CW1923" t="s">
        <v>111</v>
      </c>
      <c r="CX1923" t="s">
        <v>111</v>
      </c>
      <c r="CY1923">
        <v>0</v>
      </c>
      <c r="CZ1923" t="s">
        <v>111</v>
      </c>
      <c r="DA1923" t="s">
        <v>111</v>
      </c>
      <c r="DB1923" t="s">
        <v>111</v>
      </c>
      <c r="DC1923" t="s">
        <v>111</v>
      </c>
    </row>
    <row r="1924" spans="1:107">
      <c r="A1924">
        <v>977</v>
      </c>
      <c r="B1924" t="s">
        <v>107</v>
      </c>
      <c r="C1924" t="s">
        <v>4324</v>
      </c>
      <c r="D1924" t="s">
        <v>5250</v>
      </c>
      <c r="E1924" t="s">
        <v>5251</v>
      </c>
      <c r="F1924" t="s">
        <v>2211</v>
      </c>
      <c r="G1924" t="s">
        <v>24</v>
      </c>
      <c r="H1924">
        <v>1.4</v>
      </c>
      <c r="I1924">
        <v>46</v>
      </c>
      <c r="J1924">
        <v>0</v>
      </c>
      <c r="K1924">
        <v>0</v>
      </c>
      <c r="L1924" t="s">
        <v>117</v>
      </c>
      <c r="M1924" t="s">
        <v>118</v>
      </c>
      <c r="N1924">
        <v>400</v>
      </c>
      <c r="O1924">
        <v>1</v>
      </c>
      <c r="P1924" t="s">
        <v>138</v>
      </c>
      <c r="Q1924">
        <v>20</v>
      </c>
      <c r="R1924">
        <v>0</v>
      </c>
      <c r="S1924">
        <v>0</v>
      </c>
      <c r="T1924">
        <v>0</v>
      </c>
      <c r="U1924" s="1" t="s">
        <v>5252</v>
      </c>
      <c r="V1924">
        <v>0</v>
      </c>
      <c r="W1924">
        <v>0</v>
      </c>
      <c r="X1924">
        <v>0</v>
      </c>
      <c r="Y1924">
        <v>25</v>
      </c>
      <c r="Z1924" t="s">
        <v>111</v>
      </c>
      <c r="AA1924">
        <v>0</v>
      </c>
      <c r="AB1924" t="s">
        <v>111</v>
      </c>
      <c r="AC1924">
        <v>0</v>
      </c>
      <c r="AD1924" t="s">
        <v>111</v>
      </c>
      <c r="AE1924">
        <v>0</v>
      </c>
      <c r="AF1924">
        <v>0</v>
      </c>
      <c r="AG1924" t="s">
        <v>111</v>
      </c>
      <c r="AH1924" t="s">
        <v>111</v>
      </c>
      <c r="AI1924" t="s">
        <v>111</v>
      </c>
      <c r="AJ1924" t="s">
        <v>111</v>
      </c>
      <c r="AK1924" t="s">
        <v>111</v>
      </c>
      <c r="AL1924" t="s">
        <v>111</v>
      </c>
      <c r="AM1924">
        <v>0</v>
      </c>
      <c r="AN1924">
        <v>0</v>
      </c>
      <c r="AO1924">
        <v>0</v>
      </c>
      <c r="AP1924" t="s">
        <v>111</v>
      </c>
      <c r="AQ1924" t="s">
        <v>111</v>
      </c>
      <c r="AR1924" t="s">
        <v>111</v>
      </c>
      <c r="AS1924" t="s">
        <v>111</v>
      </c>
      <c r="AT1924" t="s">
        <v>111</v>
      </c>
      <c r="AU1924" t="s">
        <v>111</v>
      </c>
      <c r="AV1924" t="s">
        <v>111</v>
      </c>
      <c r="AW1924" t="s">
        <v>111</v>
      </c>
      <c r="AX1924" t="s">
        <v>111</v>
      </c>
      <c r="AY1924" t="s">
        <v>111</v>
      </c>
      <c r="AZ1924" t="s">
        <v>111</v>
      </c>
      <c r="BA1924" t="s">
        <v>111</v>
      </c>
      <c r="BB1924" t="s">
        <v>111</v>
      </c>
      <c r="BC1924" t="s">
        <v>111</v>
      </c>
      <c r="BD1924" t="s">
        <v>111</v>
      </c>
      <c r="BE1924" t="s">
        <v>111</v>
      </c>
      <c r="BF1924" t="s">
        <v>111</v>
      </c>
      <c r="BG1924" t="s">
        <v>111</v>
      </c>
      <c r="BH1924" t="s">
        <v>111</v>
      </c>
      <c r="BI1924" t="s">
        <v>111</v>
      </c>
      <c r="BJ1924" t="s">
        <v>111</v>
      </c>
      <c r="BK1924" t="s">
        <v>111</v>
      </c>
      <c r="BL1924" t="s">
        <v>111</v>
      </c>
      <c r="BM1924" t="s">
        <v>111</v>
      </c>
      <c r="BN1924" t="s">
        <v>111</v>
      </c>
      <c r="BO1924" t="s">
        <v>111</v>
      </c>
      <c r="BP1924" t="s">
        <v>111</v>
      </c>
      <c r="BQ1924" t="s">
        <v>111</v>
      </c>
      <c r="BR1924" t="s">
        <v>111</v>
      </c>
      <c r="BS1924" t="s">
        <v>111</v>
      </c>
      <c r="BT1924" t="s">
        <v>111</v>
      </c>
      <c r="BU1924" t="s">
        <v>111</v>
      </c>
      <c r="BV1924" t="s">
        <v>111</v>
      </c>
      <c r="BW1924" t="s">
        <v>111</v>
      </c>
      <c r="BX1924" t="s">
        <v>111</v>
      </c>
      <c r="BY1924" t="s">
        <v>111</v>
      </c>
      <c r="BZ1924" t="s">
        <v>111</v>
      </c>
      <c r="CA1924" t="s">
        <v>111</v>
      </c>
      <c r="CB1924" t="s">
        <v>111</v>
      </c>
      <c r="CC1924" t="s">
        <v>111</v>
      </c>
      <c r="CD1924" t="s">
        <v>111</v>
      </c>
      <c r="CE1924" t="s">
        <v>111</v>
      </c>
      <c r="CF1924" t="s">
        <v>111</v>
      </c>
      <c r="CG1924" t="s">
        <v>111</v>
      </c>
      <c r="CH1924" t="s">
        <v>111</v>
      </c>
      <c r="CI1924" t="s">
        <v>111</v>
      </c>
      <c r="CJ1924" t="s">
        <v>111</v>
      </c>
      <c r="CK1924" t="s">
        <v>111</v>
      </c>
      <c r="CL1924" t="s">
        <v>111</v>
      </c>
      <c r="CM1924" t="s">
        <v>111</v>
      </c>
      <c r="CN1924" t="s">
        <v>111</v>
      </c>
      <c r="CO1924" t="s">
        <v>111</v>
      </c>
      <c r="CP1924" t="s">
        <v>111</v>
      </c>
      <c r="CQ1924">
        <v>0</v>
      </c>
      <c r="CR1924">
        <v>0</v>
      </c>
      <c r="CS1924">
        <v>0</v>
      </c>
      <c r="CT1924" t="s">
        <v>111</v>
      </c>
      <c r="CU1924">
        <v>0</v>
      </c>
      <c r="CV1924" t="s">
        <v>111</v>
      </c>
      <c r="CW1924" t="s">
        <v>111</v>
      </c>
      <c r="CX1924" t="s">
        <v>111</v>
      </c>
      <c r="CY1924">
        <v>0</v>
      </c>
      <c r="CZ1924" t="s">
        <v>111</v>
      </c>
      <c r="DA1924" t="s">
        <v>111</v>
      </c>
      <c r="DB1924" t="s">
        <v>111</v>
      </c>
      <c r="DC1924" t="s">
        <v>111</v>
      </c>
    </row>
    <row r="1925" spans="1:107">
      <c r="A1925">
        <v>975</v>
      </c>
      <c r="B1925" t="s">
        <v>107</v>
      </c>
      <c r="C1925" t="s">
        <v>4324</v>
      </c>
      <c r="D1925" t="s">
        <v>5253</v>
      </c>
      <c r="E1925" t="s">
        <v>5254</v>
      </c>
      <c r="F1925" t="s">
        <v>2211</v>
      </c>
      <c r="G1925" t="s">
        <v>24</v>
      </c>
      <c r="H1925">
        <v>2.8</v>
      </c>
      <c r="I1925">
        <v>46</v>
      </c>
      <c r="J1925">
        <v>0</v>
      </c>
      <c r="K1925">
        <v>0</v>
      </c>
      <c r="L1925" t="s">
        <v>117</v>
      </c>
      <c r="M1925" t="s">
        <v>118</v>
      </c>
      <c r="N1925">
        <v>40</v>
      </c>
      <c r="O1925">
        <v>1</v>
      </c>
      <c r="P1925" t="s">
        <v>138</v>
      </c>
      <c r="Q1925">
        <v>37.5</v>
      </c>
      <c r="R1925">
        <v>0</v>
      </c>
      <c r="S1925">
        <v>0</v>
      </c>
      <c r="T1925">
        <v>0</v>
      </c>
      <c r="U1925" s="1" t="s">
        <v>5255</v>
      </c>
      <c r="V1925">
        <v>0</v>
      </c>
      <c r="W1925">
        <v>0</v>
      </c>
      <c r="X1925">
        <v>0</v>
      </c>
      <c r="Y1925">
        <v>25</v>
      </c>
      <c r="Z1925" t="s">
        <v>111</v>
      </c>
      <c r="AA1925">
        <v>0</v>
      </c>
      <c r="AB1925" t="s">
        <v>111</v>
      </c>
      <c r="AC1925">
        <v>0</v>
      </c>
      <c r="AD1925" t="s">
        <v>111</v>
      </c>
      <c r="AE1925">
        <v>0</v>
      </c>
      <c r="AF1925">
        <v>0</v>
      </c>
      <c r="AG1925" t="s">
        <v>111</v>
      </c>
      <c r="AH1925" t="s">
        <v>111</v>
      </c>
      <c r="AI1925" t="s">
        <v>111</v>
      </c>
      <c r="AJ1925" t="s">
        <v>111</v>
      </c>
      <c r="AK1925" t="s">
        <v>111</v>
      </c>
      <c r="AL1925" t="s">
        <v>111</v>
      </c>
      <c r="AM1925">
        <v>0</v>
      </c>
      <c r="AN1925">
        <v>0</v>
      </c>
      <c r="AO1925">
        <v>0</v>
      </c>
      <c r="AP1925" t="s">
        <v>111</v>
      </c>
      <c r="AQ1925" t="s">
        <v>111</v>
      </c>
      <c r="AR1925" t="s">
        <v>111</v>
      </c>
      <c r="AS1925" t="s">
        <v>111</v>
      </c>
      <c r="AT1925" t="s">
        <v>111</v>
      </c>
      <c r="AU1925" t="s">
        <v>111</v>
      </c>
      <c r="AV1925" t="s">
        <v>111</v>
      </c>
      <c r="AW1925" t="s">
        <v>111</v>
      </c>
      <c r="AX1925" t="s">
        <v>111</v>
      </c>
      <c r="AY1925" t="s">
        <v>111</v>
      </c>
      <c r="AZ1925" t="s">
        <v>111</v>
      </c>
      <c r="BA1925" t="s">
        <v>111</v>
      </c>
      <c r="BB1925" t="s">
        <v>111</v>
      </c>
      <c r="BC1925" t="s">
        <v>111</v>
      </c>
      <c r="BD1925" t="s">
        <v>111</v>
      </c>
      <c r="BE1925" t="s">
        <v>111</v>
      </c>
      <c r="BF1925" t="s">
        <v>111</v>
      </c>
      <c r="BG1925" t="s">
        <v>111</v>
      </c>
      <c r="BH1925" t="s">
        <v>111</v>
      </c>
      <c r="BI1925" t="s">
        <v>111</v>
      </c>
      <c r="BJ1925" t="s">
        <v>111</v>
      </c>
      <c r="BK1925" t="s">
        <v>111</v>
      </c>
      <c r="BL1925" t="s">
        <v>111</v>
      </c>
      <c r="BM1925" t="s">
        <v>111</v>
      </c>
      <c r="BN1925" t="s">
        <v>111</v>
      </c>
      <c r="BO1925" t="s">
        <v>111</v>
      </c>
      <c r="BP1925" t="s">
        <v>111</v>
      </c>
      <c r="BQ1925" t="s">
        <v>111</v>
      </c>
      <c r="BR1925" t="s">
        <v>111</v>
      </c>
      <c r="BS1925" t="s">
        <v>111</v>
      </c>
      <c r="BT1925" t="s">
        <v>111</v>
      </c>
      <c r="BU1925" t="s">
        <v>111</v>
      </c>
      <c r="BV1925" t="s">
        <v>111</v>
      </c>
      <c r="BW1925" t="s">
        <v>111</v>
      </c>
      <c r="BX1925" t="s">
        <v>111</v>
      </c>
      <c r="BY1925" t="s">
        <v>111</v>
      </c>
      <c r="BZ1925" t="s">
        <v>111</v>
      </c>
      <c r="CA1925" t="s">
        <v>111</v>
      </c>
      <c r="CB1925" t="s">
        <v>111</v>
      </c>
      <c r="CC1925" t="s">
        <v>111</v>
      </c>
      <c r="CD1925" t="s">
        <v>111</v>
      </c>
      <c r="CE1925" t="s">
        <v>111</v>
      </c>
      <c r="CF1925" t="s">
        <v>111</v>
      </c>
      <c r="CG1925" t="s">
        <v>111</v>
      </c>
      <c r="CH1925" t="s">
        <v>111</v>
      </c>
      <c r="CI1925" t="s">
        <v>111</v>
      </c>
      <c r="CJ1925" t="s">
        <v>111</v>
      </c>
      <c r="CK1925" t="s">
        <v>111</v>
      </c>
      <c r="CL1925" t="s">
        <v>111</v>
      </c>
      <c r="CM1925" t="s">
        <v>111</v>
      </c>
      <c r="CN1925" t="s">
        <v>111</v>
      </c>
      <c r="CO1925" t="s">
        <v>111</v>
      </c>
      <c r="CP1925" t="s">
        <v>111</v>
      </c>
      <c r="CQ1925">
        <v>0</v>
      </c>
      <c r="CR1925">
        <v>0</v>
      </c>
      <c r="CS1925">
        <v>0</v>
      </c>
      <c r="CT1925" t="s">
        <v>111</v>
      </c>
      <c r="CU1925">
        <v>0</v>
      </c>
      <c r="CV1925" t="s">
        <v>111</v>
      </c>
      <c r="CW1925" t="s">
        <v>111</v>
      </c>
      <c r="CX1925" t="s">
        <v>111</v>
      </c>
      <c r="CY1925">
        <v>0</v>
      </c>
      <c r="CZ1925" t="s">
        <v>111</v>
      </c>
      <c r="DA1925" t="s">
        <v>111</v>
      </c>
      <c r="DB1925" t="s">
        <v>111</v>
      </c>
      <c r="DC1925" t="s">
        <v>111</v>
      </c>
    </row>
    <row r="1926" spans="1:107">
      <c r="A1926">
        <v>974</v>
      </c>
      <c r="B1926" t="s">
        <v>107</v>
      </c>
      <c r="C1926" t="s">
        <v>827</v>
      </c>
      <c r="D1926" t="s">
        <v>1694</v>
      </c>
      <c r="E1926" t="s">
        <v>5256</v>
      </c>
      <c r="F1926" t="s">
        <v>1651</v>
      </c>
      <c r="G1926" t="s">
        <v>24</v>
      </c>
      <c r="H1926">
        <v>1.5</v>
      </c>
      <c r="I1926">
        <v>45</v>
      </c>
      <c r="J1926">
        <v>0</v>
      </c>
      <c r="K1926">
        <v>0</v>
      </c>
      <c r="L1926" t="s">
        <v>112</v>
      </c>
      <c r="M1926" t="s">
        <v>118</v>
      </c>
      <c r="N1926">
        <v>40</v>
      </c>
      <c r="O1926">
        <v>2</v>
      </c>
      <c r="P1926" t="s">
        <v>138</v>
      </c>
      <c r="Q1926">
        <v>46.2</v>
      </c>
      <c r="R1926">
        <v>0</v>
      </c>
      <c r="S1926">
        <v>0</v>
      </c>
      <c r="T1926">
        <v>0</v>
      </c>
      <c r="U1926" t="s">
        <v>5257</v>
      </c>
      <c r="V1926">
        <v>0</v>
      </c>
      <c r="W1926">
        <v>0</v>
      </c>
      <c r="X1926">
        <v>0</v>
      </c>
      <c r="Y1926">
        <v>25</v>
      </c>
      <c r="Z1926" t="s">
        <v>111</v>
      </c>
      <c r="AA1926">
        <v>0</v>
      </c>
      <c r="AB1926" t="s">
        <v>111</v>
      </c>
      <c r="AC1926">
        <v>0</v>
      </c>
      <c r="AD1926" t="s">
        <v>427</v>
      </c>
      <c r="AE1926">
        <v>0</v>
      </c>
      <c r="AF1926">
        <v>0</v>
      </c>
      <c r="AG1926" t="s">
        <v>111</v>
      </c>
      <c r="AH1926" t="s">
        <v>111</v>
      </c>
      <c r="AI1926" t="s">
        <v>111</v>
      </c>
      <c r="AJ1926" t="s">
        <v>111</v>
      </c>
      <c r="AK1926" t="s">
        <v>111</v>
      </c>
      <c r="AL1926" t="s">
        <v>111</v>
      </c>
      <c r="AM1926">
        <v>0</v>
      </c>
      <c r="AN1926">
        <v>0</v>
      </c>
      <c r="AO1926">
        <v>0</v>
      </c>
      <c r="AP1926" t="s">
        <v>111</v>
      </c>
      <c r="AQ1926" t="s">
        <v>111</v>
      </c>
      <c r="AR1926" t="s">
        <v>111</v>
      </c>
      <c r="AS1926" t="s">
        <v>111</v>
      </c>
      <c r="AT1926" t="s">
        <v>111</v>
      </c>
      <c r="AU1926" t="s">
        <v>111</v>
      </c>
      <c r="AV1926" t="s">
        <v>111</v>
      </c>
      <c r="AW1926" t="s">
        <v>111</v>
      </c>
      <c r="AX1926" t="s">
        <v>111</v>
      </c>
      <c r="AY1926" t="s">
        <v>111</v>
      </c>
      <c r="AZ1926" t="s">
        <v>111</v>
      </c>
      <c r="BA1926" t="s">
        <v>111</v>
      </c>
      <c r="BB1926" t="s">
        <v>111</v>
      </c>
      <c r="BC1926" t="s">
        <v>111</v>
      </c>
      <c r="BD1926" t="s">
        <v>111</v>
      </c>
      <c r="BE1926" t="s">
        <v>111</v>
      </c>
      <c r="BF1926" t="s">
        <v>111</v>
      </c>
      <c r="BG1926" t="s">
        <v>111</v>
      </c>
      <c r="BH1926" t="s">
        <v>111</v>
      </c>
      <c r="BI1926" t="s">
        <v>111</v>
      </c>
      <c r="BJ1926" t="s">
        <v>111</v>
      </c>
      <c r="BK1926" t="s">
        <v>111</v>
      </c>
      <c r="BL1926" t="s">
        <v>111</v>
      </c>
      <c r="BM1926" t="s">
        <v>111</v>
      </c>
      <c r="BN1926" t="s">
        <v>111</v>
      </c>
      <c r="BO1926" t="s">
        <v>111</v>
      </c>
      <c r="BP1926" t="s">
        <v>111</v>
      </c>
      <c r="BQ1926" t="s">
        <v>111</v>
      </c>
      <c r="BR1926" t="s">
        <v>111</v>
      </c>
      <c r="BS1926" t="s">
        <v>111</v>
      </c>
      <c r="BT1926" t="s">
        <v>111</v>
      </c>
      <c r="BU1926" t="s">
        <v>111</v>
      </c>
      <c r="BV1926" t="s">
        <v>111</v>
      </c>
      <c r="BW1926" t="s">
        <v>111</v>
      </c>
      <c r="BX1926" t="s">
        <v>111</v>
      </c>
      <c r="BY1926" t="s">
        <v>111</v>
      </c>
      <c r="BZ1926" t="s">
        <v>111</v>
      </c>
      <c r="CA1926" t="s">
        <v>111</v>
      </c>
      <c r="CB1926" t="s">
        <v>111</v>
      </c>
      <c r="CC1926" t="s">
        <v>111</v>
      </c>
      <c r="CD1926" t="s">
        <v>111</v>
      </c>
      <c r="CE1926" t="s">
        <v>111</v>
      </c>
      <c r="CF1926" t="s">
        <v>111</v>
      </c>
      <c r="CG1926" t="s">
        <v>111</v>
      </c>
      <c r="CH1926" t="s">
        <v>111</v>
      </c>
      <c r="CI1926" t="s">
        <v>111</v>
      </c>
      <c r="CJ1926" t="s">
        <v>111</v>
      </c>
      <c r="CK1926" t="s">
        <v>111</v>
      </c>
      <c r="CL1926" t="s">
        <v>111</v>
      </c>
      <c r="CM1926" t="s">
        <v>135</v>
      </c>
      <c r="CN1926" t="s">
        <v>113</v>
      </c>
      <c r="CO1926" t="s">
        <v>111</v>
      </c>
      <c r="CP1926" t="s">
        <v>563</v>
      </c>
      <c r="CQ1926">
        <v>0</v>
      </c>
      <c r="CR1926">
        <v>4000</v>
      </c>
      <c r="CS1926">
        <v>2000</v>
      </c>
      <c r="CT1926" s="1" t="s">
        <v>1104</v>
      </c>
      <c r="CU1926">
        <v>0</v>
      </c>
      <c r="CV1926" t="s">
        <v>111</v>
      </c>
      <c r="CW1926" t="s">
        <v>111</v>
      </c>
      <c r="CX1926" t="s">
        <v>111</v>
      </c>
      <c r="CY1926">
        <v>0</v>
      </c>
      <c r="CZ1926" t="s">
        <v>111</v>
      </c>
      <c r="DA1926" t="s">
        <v>111</v>
      </c>
      <c r="DB1926" t="s">
        <v>111</v>
      </c>
      <c r="DC1926" t="s">
        <v>111</v>
      </c>
    </row>
    <row r="1927" spans="1:107">
      <c r="A1927">
        <v>967</v>
      </c>
      <c r="B1927" t="s">
        <v>107</v>
      </c>
      <c r="C1927" t="s">
        <v>4324</v>
      </c>
      <c r="D1927" t="s">
        <v>5258</v>
      </c>
      <c r="E1927" t="s">
        <v>5259</v>
      </c>
      <c r="F1927" t="s">
        <v>2211</v>
      </c>
      <c r="G1927" t="s">
        <v>24</v>
      </c>
      <c r="H1927">
        <v>1.4</v>
      </c>
      <c r="I1927">
        <v>56</v>
      </c>
      <c r="J1927">
        <v>0</v>
      </c>
      <c r="K1927">
        <v>0</v>
      </c>
      <c r="L1927" t="s">
        <v>117</v>
      </c>
      <c r="M1927" t="s">
        <v>118</v>
      </c>
      <c r="N1927">
        <v>40</v>
      </c>
      <c r="O1927">
        <v>1</v>
      </c>
      <c r="P1927" t="s">
        <v>111</v>
      </c>
      <c r="Q1927">
        <v>30</v>
      </c>
      <c r="R1927">
        <v>0</v>
      </c>
      <c r="S1927">
        <v>0</v>
      </c>
      <c r="T1927">
        <v>0</v>
      </c>
      <c r="U1927" s="1" t="s">
        <v>5260</v>
      </c>
      <c r="V1927">
        <v>0</v>
      </c>
      <c r="W1927">
        <v>0</v>
      </c>
      <c r="X1927">
        <v>0</v>
      </c>
      <c r="Y1927">
        <v>25</v>
      </c>
      <c r="Z1927" t="s">
        <v>111</v>
      </c>
      <c r="AA1927">
        <v>0</v>
      </c>
      <c r="AB1927" t="s">
        <v>111</v>
      </c>
      <c r="AC1927">
        <v>0</v>
      </c>
      <c r="AD1927" t="s">
        <v>111</v>
      </c>
      <c r="AE1927">
        <v>0</v>
      </c>
      <c r="AF1927">
        <v>0</v>
      </c>
      <c r="AG1927" t="s">
        <v>111</v>
      </c>
      <c r="AH1927" t="s">
        <v>111</v>
      </c>
      <c r="AI1927" t="s">
        <v>111</v>
      </c>
      <c r="AJ1927" t="s">
        <v>111</v>
      </c>
      <c r="AK1927" t="s">
        <v>111</v>
      </c>
      <c r="AL1927" t="s">
        <v>111</v>
      </c>
      <c r="AM1927">
        <v>0</v>
      </c>
      <c r="AN1927">
        <v>0</v>
      </c>
      <c r="AO1927">
        <v>0</v>
      </c>
      <c r="AP1927" t="s">
        <v>111</v>
      </c>
      <c r="AQ1927" t="s">
        <v>111</v>
      </c>
      <c r="AR1927" t="s">
        <v>111</v>
      </c>
      <c r="AS1927" t="s">
        <v>111</v>
      </c>
      <c r="AT1927" t="s">
        <v>111</v>
      </c>
      <c r="AU1927" t="s">
        <v>111</v>
      </c>
      <c r="AV1927" t="s">
        <v>111</v>
      </c>
      <c r="AW1927" t="s">
        <v>111</v>
      </c>
      <c r="AX1927" t="s">
        <v>111</v>
      </c>
      <c r="AY1927" t="s">
        <v>111</v>
      </c>
      <c r="AZ1927" t="s">
        <v>111</v>
      </c>
      <c r="BA1927" t="s">
        <v>111</v>
      </c>
      <c r="BB1927" t="s">
        <v>111</v>
      </c>
      <c r="BC1927" t="s">
        <v>111</v>
      </c>
      <c r="BD1927" t="s">
        <v>111</v>
      </c>
      <c r="BE1927" t="s">
        <v>111</v>
      </c>
      <c r="BF1927" t="s">
        <v>111</v>
      </c>
      <c r="BG1927" t="s">
        <v>111</v>
      </c>
      <c r="BH1927" t="s">
        <v>111</v>
      </c>
      <c r="BI1927" t="s">
        <v>111</v>
      </c>
      <c r="BJ1927" t="s">
        <v>111</v>
      </c>
      <c r="BK1927" t="s">
        <v>111</v>
      </c>
      <c r="BL1927" t="s">
        <v>111</v>
      </c>
      <c r="BM1927" t="s">
        <v>111</v>
      </c>
      <c r="BN1927" t="s">
        <v>111</v>
      </c>
      <c r="BO1927" t="s">
        <v>111</v>
      </c>
      <c r="BP1927" t="s">
        <v>111</v>
      </c>
      <c r="BQ1927" t="s">
        <v>111</v>
      </c>
      <c r="BR1927" t="s">
        <v>111</v>
      </c>
      <c r="BS1927" t="s">
        <v>111</v>
      </c>
      <c r="BT1927" t="s">
        <v>111</v>
      </c>
      <c r="BU1927" t="s">
        <v>111</v>
      </c>
      <c r="BV1927" t="s">
        <v>111</v>
      </c>
      <c r="BW1927" t="s">
        <v>111</v>
      </c>
      <c r="BX1927" t="s">
        <v>111</v>
      </c>
      <c r="BY1927" t="s">
        <v>111</v>
      </c>
      <c r="BZ1927" t="s">
        <v>111</v>
      </c>
      <c r="CA1927" t="s">
        <v>111</v>
      </c>
      <c r="CB1927" t="s">
        <v>111</v>
      </c>
      <c r="CC1927" t="s">
        <v>111</v>
      </c>
      <c r="CD1927" t="s">
        <v>111</v>
      </c>
      <c r="CE1927" t="s">
        <v>111</v>
      </c>
      <c r="CF1927" t="s">
        <v>111</v>
      </c>
      <c r="CG1927" t="s">
        <v>111</v>
      </c>
      <c r="CH1927" t="s">
        <v>111</v>
      </c>
      <c r="CI1927" t="s">
        <v>111</v>
      </c>
      <c r="CJ1927" t="s">
        <v>111</v>
      </c>
      <c r="CK1927" t="s">
        <v>111</v>
      </c>
      <c r="CL1927" t="s">
        <v>111</v>
      </c>
      <c r="CM1927" t="s">
        <v>111</v>
      </c>
      <c r="CN1927" t="s">
        <v>111</v>
      </c>
      <c r="CO1927" t="s">
        <v>111</v>
      </c>
      <c r="CP1927" t="s">
        <v>111</v>
      </c>
      <c r="CQ1927">
        <v>0</v>
      </c>
      <c r="CR1927">
        <v>0</v>
      </c>
      <c r="CS1927">
        <v>0</v>
      </c>
      <c r="CT1927" t="s">
        <v>111</v>
      </c>
      <c r="CU1927">
        <v>0</v>
      </c>
      <c r="CV1927" t="s">
        <v>111</v>
      </c>
      <c r="CW1927" t="s">
        <v>111</v>
      </c>
      <c r="CX1927" t="s">
        <v>111</v>
      </c>
      <c r="CY1927">
        <v>0</v>
      </c>
      <c r="CZ1927" t="s">
        <v>111</v>
      </c>
      <c r="DA1927" t="s">
        <v>111</v>
      </c>
      <c r="DB1927" t="s">
        <v>111</v>
      </c>
      <c r="DC1927" t="s">
        <v>111</v>
      </c>
    </row>
    <row r="1928" spans="1:107">
      <c r="A1928">
        <v>965</v>
      </c>
      <c r="B1928" t="s">
        <v>107</v>
      </c>
      <c r="C1928" t="s">
        <v>5261</v>
      </c>
      <c r="D1928" t="s">
        <v>5262</v>
      </c>
      <c r="E1928" t="s">
        <v>5263</v>
      </c>
      <c r="F1928" t="s">
        <v>2211</v>
      </c>
      <c r="G1928" t="s">
        <v>24</v>
      </c>
      <c r="H1928">
        <v>2.5</v>
      </c>
      <c r="I1928">
        <v>50</v>
      </c>
      <c r="J1928">
        <v>0</v>
      </c>
      <c r="K1928">
        <v>0</v>
      </c>
      <c r="L1928" t="s">
        <v>117</v>
      </c>
      <c r="M1928" t="s">
        <v>111</v>
      </c>
      <c r="N1928">
        <v>0</v>
      </c>
      <c r="O1928">
        <v>0</v>
      </c>
      <c r="P1928" t="s">
        <v>138</v>
      </c>
      <c r="Q1928">
        <v>50</v>
      </c>
      <c r="R1928">
        <v>0</v>
      </c>
      <c r="S1928">
        <v>0</v>
      </c>
      <c r="T1928">
        <v>0</v>
      </c>
      <c r="U1928" s="1" t="s">
        <v>5264</v>
      </c>
      <c r="V1928">
        <v>0</v>
      </c>
      <c r="W1928">
        <v>0</v>
      </c>
      <c r="X1928">
        <v>0</v>
      </c>
      <c r="Y1928">
        <v>25</v>
      </c>
      <c r="Z1928" t="s">
        <v>111</v>
      </c>
      <c r="AA1928">
        <v>0</v>
      </c>
      <c r="AB1928" t="s">
        <v>111</v>
      </c>
      <c r="AC1928">
        <v>0</v>
      </c>
      <c r="AD1928" t="s">
        <v>111</v>
      </c>
      <c r="AE1928">
        <v>0</v>
      </c>
      <c r="AF1928">
        <v>0</v>
      </c>
      <c r="AG1928" t="s">
        <v>111</v>
      </c>
      <c r="AH1928" t="s">
        <v>111</v>
      </c>
      <c r="AI1928" t="s">
        <v>111</v>
      </c>
      <c r="AJ1928" t="s">
        <v>111</v>
      </c>
      <c r="AK1928" t="s">
        <v>111</v>
      </c>
      <c r="AL1928" t="s">
        <v>111</v>
      </c>
      <c r="AM1928">
        <v>0</v>
      </c>
      <c r="AN1928">
        <v>0</v>
      </c>
      <c r="AO1928">
        <v>0</v>
      </c>
      <c r="AP1928" t="s">
        <v>111</v>
      </c>
      <c r="AQ1928" t="s">
        <v>111</v>
      </c>
      <c r="AR1928" t="s">
        <v>111</v>
      </c>
      <c r="AS1928" t="s">
        <v>111</v>
      </c>
      <c r="AT1928" t="s">
        <v>111</v>
      </c>
      <c r="AU1928" t="s">
        <v>111</v>
      </c>
      <c r="AV1928" t="s">
        <v>111</v>
      </c>
      <c r="AW1928" t="s">
        <v>111</v>
      </c>
      <c r="AX1928" t="s">
        <v>111</v>
      </c>
      <c r="AY1928" t="s">
        <v>111</v>
      </c>
      <c r="AZ1928" t="s">
        <v>111</v>
      </c>
      <c r="BA1928" t="s">
        <v>111</v>
      </c>
      <c r="BB1928" t="s">
        <v>111</v>
      </c>
      <c r="BC1928" t="s">
        <v>111</v>
      </c>
      <c r="BD1928" t="s">
        <v>111</v>
      </c>
      <c r="BE1928" t="s">
        <v>111</v>
      </c>
      <c r="BF1928" t="s">
        <v>111</v>
      </c>
      <c r="BG1928" t="s">
        <v>111</v>
      </c>
      <c r="BH1928" t="s">
        <v>111</v>
      </c>
      <c r="BI1928" t="s">
        <v>111</v>
      </c>
      <c r="BJ1928" t="s">
        <v>111</v>
      </c>
      <c r="BK1928" t="s">
        <v>111</v>
      </c>
      <c r="BL1928" t="s">
        <v>111</v>
      </c>
      <c r="BM1928" t="s">
        <v>111</v>
      </c>
      <c r="BN1928" t="s">
        <v>111</v>
      </c>
      <c r="BO1928" t="s">
        <v>111</v>
      </c>
      <c r="BP1928" t="s">
        <v>111</v>
      </c>
      <c r="BQ1928" t="s">
        <v>111</v>
      </c>
      <c r="BR1928" t="s">
        <v>111</v>
      </c>
      <c r="BS1928" t="s">
        <v>111</v>
      </c>
      <c r="BT1928" t="s">
        <v>111</v>
      </c>
      <c r="BU1928" t="s">
        <v>111</v>
      </c>
      <c r="BV1928" t="s">
        <v>111</v>
      </c>
      <c r="BW1928" t="s">
        <v>111</v>
      </c>
      <c r="BX1928" t="s">
        <v>111</v>
      </c>
      <c r="BY1928" t="s">
        <v>111</v>
      </c>
      <c r="BZ1928" t="s">
        <v>111</v>
      </c>
      <c r="CA1928" t="s">
        <v>111</v>
      </c>
      <c r="CB1928" t="s">
        <v>111</v>
      </c>
      <c r="CC1928" t="s">
        <v>111</v>
      </c>
      <c r="CD1928" t="s">
        <v>111</v>
      </c>
      <c r="CE1928" t="s">
        <v>111</v>
      </c>
      <c r="CF1928" t="s">
        <v>111</v>
      </c>
      <c r="CG1928" t="s">
        <v>111</v>
      </c>
      <c r="CH1928" t="s">
        <v>111</v>
      </c>
      <c r="CI1928" t="s">
        <v>111</v>
      </c>
      <c r="CJ1928" t="s">
        <v>111</v>
      </c>
      <c r="CK1928" t="s">
        <v>111</v>
      </c>
      <c r="CL1928" t="s">
        <v>111</v>
      </c>
      <c r="CM1928" t="s">
        <v>111</v>
      </c>
      <c r="CN1928" t="s">
        <v>111</v>
      </c>
      <c r="CO1928" t="s">
        <v>111</v>
      </c>
      <c r="CP1928" t="s">
        <v>111</v>
      </c>
      <c r="CQ1928">
        <v>0</v>
      </c>
      <c r="CR1928">
        <v>0</v>
      </c>
      <c r="CS1928">
        <v>0</v>
      </c>
      <c r="CT1928" t="s">
        <v>111</v>
      </c>
      <c r="CU1928">
        <v>0</v>
      </c>
      <c r="CV1928" t="s">
        <v>111</v>
      </c>
      <c r="CW1928" t="s">
        <v>111</v>
      </c>
      <c r="CX1928" t="s">
        <v>111</v>
      </c>
      <c r="CY1928">
        <v>0</v>
      </c>
      <c r="CZ1928" t="s">
        <v>111</v>
      </c>
      <c r="DA1928" t="s">
        <v>111</v>
      </c>
      <c r="DB1928" t="s">
        <v>111</v>
      </c>
      <c r="DC1928" t="s">
        <v>111</v>
      </c>
    </row>
    <row r="1929" spans="1:107">
      <c r="A1929">
        <v>926</v>
      </c>
      <c r="B1929" t="s">
        <v>107</v>
      </c>
      <c r="C1929" s="2">
        <v>3436738</v>
      </c>
      <c r="D1929" t="s">
        <v>1694</v>
      </c>
      <c r="E1929" t="s">
        <v>5265</v>
      </c>
      <c r="F1929" t="s">
        <v>1651</v>
      </c>
      <c r="G1929" t="s">
        <v>24</v>
      </c>
      <c r="H1929">
        <v>1.5</v>
      </c>
      <c r="I1929">
        <v>45</v>
      </c>
      <c r="J1929">
        <v>0</v>
      </c>
      <c r="K1929">
        <v>0</v>
      </c>
      <c r="L1929" t="s">
        <v>112</v>
      </c>
      <c r="M1929" t="s">
        <v>118</v>
      </c>
      <c r="N1929">
        <v>39</v>
      </c>
      <c r="O1929">
        <v>2</v>
      </c>
      <c r="P1929" t="s">
        <v>111</v>
      </c>
      <c r="Q1929">
        <v>27.5</v>
      </c>
      <c r="R1929">
        <v>0</v>
      </c>
      <c r="S1929">
        <v>0</v>
      </c>
      <c r="T1929">
        <v>0</v>
      </c>
      <c r="U1929" s="1" t="s">
        <v>525</v>
      </c>
      <c r="V1929">
        <v>0</v>
      </c>
      <c r="W1929">
        <v>0</v>
      </c>
      <c r="X1929">
        <v>0</v>
      </c>
      <c r="Y1929">
        <v>25</v>
      </c>
      <c r="Z1929" t="s">
        <v>111</v>
      </c>
      <c r="AA1929">
        <v>0</v>
      </c>
      <c r="AB1929" t="s">
        <v>111</v>
      </c>
      <c r="AC1929">
        <v>0</v>
      </c>
      <c r="AD1929" t="s">
        <v>416</v>
      </c>
      <c r="AE1929">
        <v>4</v>
      </c>
      <c r="AF1929">
        <v>2</v>
      </c>
      <c r="AG1929" t="s">
        <v>1696</v>
      </c>
      <c r="AH1929" t="s">
        <v>113</v>
      </c>
      <c r="AI1929" t="s">
        <v>5266</v>
      </c>
      <c r="AJ1929" t="s">
        <v>111</v>
      </c>
      <c r="AK1929" t="s">
        <v>111</v>
      </c>
      <c r="AL1929" t="s">
        <v>111</v>
      </c>
      <c r="AM1929">
        <v>0</v>
      </c>
      <c r="AN1929">
        <v>0</v>
      </c>
      <c r="AO1929">
        <v>0</v>
      </c>
      <c r="AP1929" t="s">
        <v>111</v>
      </c>
      <c r="AQ1929" t="s">
        <v>111</v>
      </c>
      <c r="AR1929" t="s">
        <v>111</v>
      </c>
      <c r="AS1929" t="s">
        <v>111</v>
      </c>
      <c r="AT1929" t="s">
        <v>111</v>
      </c>
      <c r="AU1929" t="s">
        <v>111</v>
      </c>
      <c r="AV1929" t="s">
        <v>111</v>
      </c>
      <c r="AW1929" t="s">
        <v>111</v>
      </c>
      <c r="AX1929" t="s">
        <v>111</v>
      </c>
      <c r="AY1929" t="s">
        <v>111</v>
      </c>
      <c r="AZ1929" t="s">
        <v>111</v>
      </c>
      <c r="BA1929" t="s">
        <v>111</v>
      </c>
      <c r="BB1929" t="s">
        <v>111</v>
      </c>
      <c r="BC1929" t="s">
        <v>111</v>
      </c>
      <c r="BD1929" t="s">
        <v>111</v>
      </c>
      <c r="BE1929" t="s">
        <v>111</v>
      </c>
      <c r="BF1929" t="s">
        <v>111</v>
      </c>
      <c r="BG1929" t="s">
        <v>111</v>
      </c>
      <c r="BH1929" t="s">
        <v>111</v>
      </c>
      <c r="BI1929" t="s">
        <v>111</v>
      </c>
      <c r="BJ1929" t="s">
        <v>111</v>
      </c>
      <c r="BK1929" t="s">
        <v>111</v>
      </c>
      <c r="BL1929" t="s">
        <v>111</v>
      </c>
      <c r="BM1929" t="s">
        <v>111</v>
      </c>
      <c r="BN1929" t="s">
        <v>111</v>
      </c>
      <c r="BO1929" t="s">
        <v>111</v>
      </c>
      <c r="BP1929" t="s">
        <v>111</v>
      </c>
      <c r="BQ1929" t="s">
        <v>111</v>
      </c>
      <c r="BR1929" t="s">
        <v>111</v>
      </c>
      <c r="BS1929" t="s">
        <v>111</v>
      </c>
      <c r="BT1929" t="s">
        <v>111</v>
      </c>
      <c r="BU1929" t="s">
        <v>111</v>
      </c>
      <c r="BV1929" t="s">
        <v>111</v>
      </c>
      <c r="BW1929" t="s">
        <v>111</v>
      </c>
      <c r="BX1929" t="s">
        <v>111</v>
      </c>
      <c r="BY1929" t="s">
        <v>111</v>
      </c>
      <c r="BZ1929" t="s">
        <v>111</v>
      </c>
      <c r="CA1929" t="s">
        <v>111</v>
      </c>
      <c r="CB1929" t="s">
        <v>111</v>
      </c>
      <c r="CC1929" t="s">
        <v>111</v>
      </c>
      <c r="CD1929" t="s">
        <v>111</v>
      </c>
      <c r="CE1929" t="s">
        <v>111</v>
      </c>
      <c r="CF1929" t="s">
        <v>111</v>
      </c>
      <c r="CG1929" t="s">
        <v>111</v>
      </c>
      <c r="CH1929" t="s">
        <v>111</v>
      </c>
      <c r="CI1929" t="s">
        <v>111</v>
      </c>
      <c r="CJ1929" t="s">
        <v>111</v>
      </c>
      <c r="CK1929" t="s">
        <v>111</v>
      </c>
      <c r="CL1929" t="e">
        <f>-DESTINO SELLADO</f>
        <v>#NAME?</v>
      </c>
      <c r="CM1929" t="s">
        <v>198</v>
      </c>
      <c r="CN1929" t="s">
        <v>113</v>
      </c>
      <c r="CO1929" t="s">
        <v>111</v>
      </c>
      <c r="CP1929" t="e">
        <f>-MUESTRA</f>
        <v>#NAME?</v>
      </c>
      <c r="CQ1929">
        <v>66</v>
      </c>
      <c r="CR1929">
        <v>4000</v>
      </c>
      <c r="CS1929">
        <v>200</v>
      </c>
      <c r="CT1929" s="1" t="s">
        <v>1104</v>
      </c>
      <c r="CU1929">
        <v>0</v>
      </c>
      <c r="CV1929" t="s">
        <v>111</v>
      </c>
      <c r="CW1929" t="s">
        <v>111</v>
      </c>
      <c r="CX1929" t="s">
        <v>111</v>
      </c>
      <c r="CY1929">
        <v>0</v>
      </c>
      <c r="CZ1929" t="s">
        <v>111</v>
      </c>
      <c r="DA1929" t="s">
        <v>111</v>
      </c>
      <c r="DB1929" t="s">
        <v>111</v>
      </c>
      <c r="DC1929" t="s">
        <v>111</v>
      </c>
    </row>
    <row r="1930" spans="1:107">
      <c r="A1930">
        <v>920</v>
      </c>
      <c r="B1930" t="s">
        <v>107</v>
      </c>
      <c r="C1930" t="s">
        <v>4324</v>
      </c>
      <c r="D1930" t="s">
        <v>5267</v>
      </c>
      <c r="E1930" t="s">
        <v>5268</v>
      </c>
      <c r="F1930" t="s">
        <v>2211</v>
      </c>
      <c r="G1930" t="s">
        <v>24</v>
      </c>
      <c r="H1930">
        <v>1.4</v>
      </c>
      <c r="I1930">
        <v>50</v>
      </c>
      <c r="J1930">
        <v>0</v>
      </c>
      <c r="K1930">
        <v>0</v>
      </c>
      <c r="L1930" t="s">
        <v>117</v>
      </c>
      <c r="M1930" t="s">
        <v>118</v>
      </c>
      <c r="N1930">
        <v>40</v>
      </c>
      <c r="O1930">
        <v>1</v>
      </c>
      <c r="P1930" t="s">
        <v>111</v>
      </c>
      <c r="Q1930">
        <v>50</v>
      </c>
      <c r="R1930">
        <v>0</v>
      </c>
      <c r="S1930">
        <v>0</v>
      </c>
      <c r="T1930">
        <v>0</v>
      </c>
      <c r="U1930" s="1" t="s">
        <v>5269</v>
      </c>
      <c r="V1930">
        <v>0</v>
      </c>
      <c r="W1930">
        <v>0</v>
      </c>
      <c r="X1930">
        <v>0</v>
      </c>
      <c r="Y1930">
        <v>25</v>
      </c>
      <c r="Z1930" t="s">
        <v>111</v>
      </c>
      <c r="AA1930">
        <v>0</v>
      </c>
      <c r="AB1930" t="s">
        <v>111</v>
      </c>
      <c r="AC1930">
        <v>0</v>
      </c>
      <c r="AD1930" t="s">
        <v>111</v>
      </c>
      <c r="AE1930">
        <v>0</v>
      </c>
      <c r="AF1930">
        <v>0</v>
      </c>
      <c r="AG1930" t="s">
        <v>111</v>
      </c>
      <c r="AH1930" t="s">
        <v>111</v>
      </c>
      <c r="AI1930" t="s">
        <v>111</v>
      </c>
      <c r="AJ1930" t="s">
        <v>111</v>
      </c>
      <c r="AK1930" t="s">
        <v>111</v>
      </c>
      <c r="AL1930" t="s">
        <v>111</v>
      </c>
      <c r="AM1930">
        <v>0</v>
      </c>
      <c r="AN1930">
        <v>0</v>
      </c>
      <c r="AO1930">
        <v>0</v>
      </c>
      <c r="AP1930" t="s">
        <v>111</v>
      </c>
      <c r="AQ1930" t="s">
        <v>111</v>
      </c>
      <c r="AR1930" t="s">
        <v>111</v>
      </c>
      <c r="AS1930" t="s">
        <v>111</v>
      </c>
      <c r="AT1930" t="s">
        <v>111</v>
      </c>
      <c r="AU1930" t="s">
        <v>111</v>
      </c>
      <c r="AV1930" t="s">
        <v>111</v>
      </c>
      <c r="AW1930" t="s">
        <v>111</v>
      </c>
      <c r="AX1930" t="s">
        <v>111</v>
      </c>
      <c r="AY1930" t="s">
        <v>111</v>
      </c>
      <c r="AZ1930" t="s">
        <v>111</v>
      </c>
      <c r="BA1930" t="s">
        <v>111</v>
      </c>
      <c r="BB1930" t="s">
        <v>111</v>
      </c>
      <c r="BC1930" t="s">
        <v>111</v>
      </c>
      <c r="BD1930" t="s">
        <v>111</v>
      </c>
      <c r="BE1930" t="s">
        <v>111</v>
      </c>
      <c r="BF1930" t="s">
        <v>111</v>
      </c>
      <c r="BG1930" t="s">
        <v>111</v>
      </c>
      <c r="BH1930" t="s">
        <v>111</v>
      </c>
      <c r="BI1930" t="s">
        <v>111</v>
      </c>
      <c r="BJ1930" t="s">
        <v>111</v>
      </c>
      <c r="BK1930" t="s">
        <v>111</v>
      </c>
      <c r="BL1930" t="s">
        <v>111</v>
      </c>
      <c r="BM1930" t="s">
        <v>111</v>
      </c>
      <c r="BN1930" t="s">
        <v>111</v>
      </c>
      <c r="BO1930" t="s">
        <v>111</v>
      </c>
      <c r="BP1930" t="s">
        <v>111</v>
      </c>
      <c r="BQ1930" t="s">
        <v>111</v>
      </c>
      <c r="BR1930" t="s">
        <v>111</v>
      </c>
      <c r="BS1930" t="s">
        <v>111</v>
      </c>
      <c r="BT1930" t="s">
        <v>111</v>
      </c>
      <c r="BU1930" t="s">
        <v>111</v>
      </c>
      <c r="BV1930" t="s">
        <v>111</v>
      </c>
      <c r="BW1930" t="s">
        <v>111</v>
      </c>
      <c r="BX1930" t="s">
        <v>111</v>
      </c>
      <c r="BY1930" t="s">
        <v>111</v>
      </c>
      <c r="BZ1930" t="s">
        <v>111</v>
      </c>
      <c r="CA1930" t="s">
        <v>111</v>
      </c>
      <c r="CB1930" t="s">
        <v>111</v>
      </c>
      <c r="CC1930" t="s">
        <v>111</v>
      </c>
      <c r="CD1930" t="s">
        <v>111</v>
      </c>
      <c r="CE1930" t="s">
        <v>111</v>
      </c>
      <c r="CF1930" t="s">
        <v>111</v>
      </c>
      <c r="CG1930" t="s">
        <v>111</v>
      </c>
      <c r="CH1930" t="s">
        <v>111</v>
      </c>
      <c r="CI1930" t="s">
        <v>111</v>
      </c>
      <c r="CJ1930" t="s">
        <v>111</v>
      </c>
      <c r="CK1930" t="s">
        <v>111</v>
      </c>
      <c r="CL1930" t="s">
        <v>111</v>
      </c>
      <c r="CM1930" t="s">
        <v>111</v>
      </c>
      <c r="CN1930" t="s">
        <v>111</v>
      </c>
      <c r="CO1930" t="s">
        <v>111</v>
      </c>
      <c r="CP1930" t="s">
        <v>111</v>
      </c>
      <c r="CQ1930">
        <v>0</v>
      </c>
      <c r="CR1930">
        <v>0</v>
      </c>
      <c r="CS1930">
        <v>0</v>
      </c>
      <c r="CT1930" t="s">
        <v>111</v>
      </c>
      <c r="CU1930">
        <v>0</v>
      </c>
      <c r="CV1930" t="s">
        <v>111</v>
      </c>
      <c r="CW1930" t="s">
        <v>111</v>
      </c>
      <c r="CX1930" t="s">
        <v>111</v>
      </c>
      <c r="CY1930">
        <v>0</v>
      </c>
      <c r="CZ1930" t="s">
        <v>111</v>
      </c>
      <c r="DA1930" t="s">
        <v>111</v>
      </c>
      <c r="DB1930" t="s">
        <v>111</v>
      </c>
      <c r="DC1930" t="s">
        <v>111</v>
      </c>
    </row>
    <row r="1931" spans="1:107">
      <c r="A1931">
        <v>919</v>
      </c>
      <c r="B1931" t="s">
        <v>107</v>
      </c>
      <c r="C1931" t="s">
        <v>4324</v>
      </c>
      <c r="D1931" t="s">
        <v>3778</v>
      </c>
      <c r="E1931" t="s">
        <v>3779</v>
      </c>
      <c r="F1931" t="s">
        <v>2211</v>
      </c>
      <c r="G1931" t="s">
        <v>24</v>
      </c>
      <c r="H1931">
        <v>1.4</v>
      </c>
      <c r="I1931">
        <v>45</v>
      </c>
      <c r="J1931">
        <v>0</v>
      </c>
      <c r="K1931">
        <v>0</v>
      </c>
      <c r="L1931" t="s">
        <v>117</v>
      </c>
      <c r="M1931" t="s">
        <v>118</v>
      </c>
      <c r="N1931">
        <v>40</v>
      </c>
      <c r="O1931">
        <v>1</v>
      </c>
      <c r="P1931" t="s">
        <v>118</v>
      </c>
      <c r="Q1931">
        <v>40</v>
      </c>
      <c r="R1931">
        <v>0</v>
      </c>
      <c r="S1931">
        <v>0</v>
      </c>
      <c r="T1931">
        <v>0</v>
      </c>
      <c r="U1931" s="1" t="s">
        <v>5270</v>
      </c>
      <c r="V1931">
        <v>0</v>
      </c>
      <c r="W1931">
        <v>0</v>
      </c>
      <c r="X1931">
        <v>0</v>
      </c>
      <c r="Y1931">
        <v>25</v>
      </c>
      <c r="Z1931" t="s">
        <v>111</v>
      </c>
      <c r="AA1931">
        <v>0</v>
      </c>
      <c r="AB1931" t="s">
        <v>111</v>
      </c>
      <c r="AC1931">
        <v>0</v>
      </c>
      <c r="AD1931" t="s">
        <v>111</v>
      </c>
      <c r="AE1931">
        <v>0</v>
      </c>
      <c r="AF1931">
        <v>0</v>
      </c>
      <c r="AG1931" t="s">
        <v>111</v>
      </c>
      <c r="AH1931" t="s">
        <v>111</v>
      </c>
      <c r="AI1931" t="s">
        <v>111</v>
      </c>
      <c r="AJ1931" t="s">
        <v>111</v>
      </c>
      <c r="AK1931" t="s">
        <v>111</v>
      </c>
      <c r="AL1931" t="s">
        <v>111</v>
      </c>
      <c r="AM1931">
        <v>0</v>
      </c>
      <c r="AN1931">
        <v>0</v>
      </c>
      <c r="AO1931">
        <v>0</v>
      </c>
      <c r="AP1931" t="s">
        <v>111</v>
      </c>
      <c r="AQ1931" t="s">
        <v>111</v>
      </c>
      <c r="AR1931" t="s">
        <v>111</v>
      </c>
      <c r="AS1931" t="s">
        <v>111</v>
      </c>
      <c r="AT1931" t="s">
        <v>111</v>
      </c>
      <c r="AU1931" t="s">
        <v>111</v>
      </c>
      <c r="AV1931" t="s">
        <v>111</v>
      </c>
      <c r="AW1931" t="s">
        <v>111</v>
      </c>
      <c r="AX1931" t="s">
        <v>111</v>
      </c>
      <c r="AY1931" t="s">
        <v>111</v>
      </c>
      <c r="AZ1931" t="s">
        <v>111</v>
      </c>
      <c r="BA1931" t="s">
        <v>111</v>
      </c>
      <c r="BB1931" t="s">
        <v>111</v>
      </c>
      <c r="BC1931" t="s">
        <v>111</v>
      </c>
      <c r="BD1931" t="s">
        <v>111</v>
      </c>
      <c r="BE1931" t="s">
        <v>111</v>
      </c>
      <c r="BF1931" t="s">
        <v>111</v>
      </c>
      <c r="BG1931" t="s">
        <v>111</v>
      </c>
      <c r="BH1931" t="s">
        <v>111</v>
      </c>
      <c r="BI1931" t="s">
        <v>111</v>
      </c>
      <c r="BJ1931" t="s">
        <v>111</v>
      </c>
      <c r="BK1931" t="s">
        <v>111</v>
      </c>
      <c r="BL1931" t="s">
        <v>111</v>
      </c>
      <c r="BM1931" t="s">
        <v>111</v>
      </c>
      <c r="BN1931" t="s">
        <v>111</v>
      </c>
      <c r="BO1931" t="s">
        <v>111</v>
      </c>
      <c r="BP1931" t="s">
        <v>111</v>
      </c>
      <c r="BQ1931" t="s">
        <v>111</v>
      </c>
      <c r="BR1931" t="s">
        <v>111</v>
      </c>
      <c r="BS1931" t="s">
        <v>111</v>
      </c>
      <c r="BT1931" t="s">
        <v>111</v>
      </c>
      <c r="BU1931" t="s">
        <v>111</v>
      </c>
      <c r="BV1931" t="s">
        <v>111</v>
      </c>
      <c r="BW1931" t="s">
        <v>111</v>
      </c>
      <c r="BX1931" t="s">
        <v>111</v>
      </c>
      <c r="BY1931" t="s">
        <v>111</v>
      </c>
      <c r="BZ1931" t="s">
        <v>111</v>
      </c>
      <c r="CA1931" t="s">
        <v>111</v>
      </c>
      <c r="CB1931" t="s">
        <v>111</v>
      </c>
      <c r="CC1931" t="s">
        <v>111</v>
      </c>
      <c r="CD1931" t="s">
        <v>111</v>
      </c>
      <c r="CE1931" t="s">
        <v>111</v>
      </c>
      <c r="CF1931" t="s">
        <v>111</v>
      </c>
      <c r="CG1931" t="s">
        <v>111</v>
      </c>
      <c r="CH1931" t="s">
        <v>111</v>
      </c>
      <c r="CI1931" t="s">
        <v>111</v>
      </c>
      <c r="CJ1931" t="s">
        <v>111</v>
      </c>
      <c r="CK1931" t="s">
        <v>111</v>
      </c>
      <c r="CL1931" t="s">
        <v>111</v>
      </c>
      <c r="CM1931" t="s">
        <v>111</v>
      </c>
      <c r="CN1931" t="s">
        <v>111</v>
      </c>
      <c r="CO1931" t="s">
        <v>111</v>
      </c>
      <c r="CP1931" t="s">
        <v>111</v>
      </c>
      <c r="CQ1931">
        <v>0</v>
      </c>
      <c r="CR1931">
        <v>0</v>
      </c>
      <c r="CS1931">
        <v>0</v>
      </c>
      <c r="CT1931" t="s">
        <v>111</v>
      </c>
      <c r="CU1931">
        <v>0</v>
      </c>
      <c r="CV1931" t="s">
        <v>111</v>
      </c>
      <c r="CW1931" t="s">
        <v>111</v>
      </c>
      <c r="CX1931" t="s">
        <v>111</v>
      </c>
      <c r="CY1931">
        <v>0</v>
      </c>
      <c r="CZ1931" t="s">
        <v>111</v>
      </c>
      <c r="DA1931" t="s">
        <v>111</v>
      </c>
      <c r="DB1931" t="s">
        <v>111</v>
      </c>
      <c r="DC1931" t="s">
        <v>111</v>
      </c>
    </row>
    <row r="1932" spans="1:107">
      <c r="A1932">
        <v>925</v>
      </c>
      <c r="B1932" t="s">
        <v>107</v>
      </c>
      <c r="C1932" t="s">
        <v>1800</v>
      </c>
      <c r="D1932" t="s">
        <v>5271</v>
      </c>
      <c r="E1932" t="s">
        <v>5272</v>
      </c>
      <c r="F1932" t="s">
        <v>4867</v>
      </c>
      <c r="G1932" t="s">
        <v>24</v>
      </c>
      <c r="H1932">
        <v>2</v>
      </c>
      <c r="I1932">
        <v>33</v>
      </c>
      <c r="J1932">
        <v>0</v>
      </c>
      <c r="K1932">
        <v>0</v>
      </c>
      <c r="L1932" t="s">
        <v>117</v>
      </c>
      <c r="M1932" t="s">
        <v>118</v>
      </c>
      <c r="N1932">
        <v>39</v>
      </c>
      <c r="O1932">
        <v>1</v>
      </c>
      <c r="P1932" t="s">
        <v>111</v>
      </c>
      <c r="Q1932">
        <v>42</v>
      </c>
      <c r="R1932">
        <v>0</v>
      </c>
      <c r="S1932">
        <v>0</v>
      </c>
      <c r="T1932">
        <v>2</v>
      </c>
      <c r="U1932" s="1" t="s">
        <v>5273</v>
      </c>
      <c r="V1932">
        <v>0</v>
      </c>
      <c r="W1932">
        <v>0</v>
      </c>
      <c r="X1932">
        <v>0</v>
      </c>
      <c r="Y1932">
        <v>25</v>
      </c>
      <c r="Z1932" t="s">
        <v>111</v>
      </c>
      <c r="AA1932">
        <v>0</v>
      </c>
      <c r="AB1932" t="s">
        <v>111</v>
      </c>
      <c r="AC1932">
        <v>0</v>
      </c>
      <c r="AD1932" t="s">
        <v>416</v>
      </c>
      <c r="AE1932">
        <v>1</v>
      </c>
      <c r="AF1932">
        <v>1</v>
      </c>
      <c r="AG1932" t="s">
        <v>4869</v>
      </c>
      <c r="AH1932" t="s">
        <v>128</v>
      </c>
      <c r="AI1932" t="s">
        <v>111</v>
      </c>
      <c r="AJ1932" t="s">
        <v>111</v>
      </c>
      <c r="AK1932" t="s">
        <v>111</v>
      </c>
      <c r="AL1932" t="s">
        <v>111</v>
      </c>
      <c r="AM1932">
        <v>0</v>
      </c>
      <c r="AN1932">
        <v>0</v>
      </c>
      <c r="AO1932">
        <v>0</v>
      </c>
      <c r="AP1932" t="s">
        <v>271</v>
      </c>
      <c r="AQ1932" t="s">
        <v>111</v>
      </c>
      <c r="AR1932" t="s">
        <v>111</v>
      </c>
      <c r="AS1932" t="s">
        <v>111</v>
      </c>
      <c r="AT1932" t="s">
        <v>111</v>
      </c>
      <c r="AU1932" t="s">
        <v>111</v>
      </c>
      <c r="AV1932" t="s">
        <v>111</v>
      </c>
      <c r="AW1932" t="s">
        <v>111</v>
      </c>
      <c r="AX1932" t="s">
        <v>111</v>
      </c>
      <c r="AY1932" t="s">
        <v>111</v>
      </c>
      <c r="AZ1932" t="s">
        <v>111</v>
      </c>
      <c r="BA1932" t="s">
        <v>111</v>
      </c>
      <c r="BB1932" t="s">
        <v>111</v>
      </c>
      <c r="BC1932" t="s">
        <v>111</v>
      </c>
      <c r="BD1932" t="s">
        <v>111</v>
      </c>
      <c r="BE1932" t="s">
        <v>111</v>
      </c>
      <c r="BF1932" t="s">
        <v>111</v>
      </c>
      <c r="BG1932" t="s">
        <v>111</v>
      </c>
      <c r="BH1932" t="s">
        <v>111</v>
      </c>
      <c r="BI1932" t="s">
        <v>111</v>
      </c>
      <c r="BJ1932" t="s">
        <v>111</v>
      </c>
      <c r="BK1932" t="s">
        <v>111</v>
      </c>
      <c r="BL1932" t="s">
        <v>111</v>
      </c>
      <c r="BM1932" t="s">
        <v>111</v>
      </c>
      <c r="BN1932" t="s">
        <v>271</v>
      </c>
      <c r="BO1932" t="s">
        <v>111</v>
      </c>
      <c r="BP1932" t="s">
        <v>111</v>
      </c>
      <c r="BQ1932" t="s">
        <v>111</v>
      </c>
      <c r="BR1932" t="s">
        <v>111</v>
      </c>
      <c r="BS1932" t="s">
        <v>111</v>
      </c>
      <c r="BT1932" t="s">
        <v>111</v>
      </c>
      <c r="BU1932" t="s">
        <v>111</v>
      </c>
      <c r="BV1932" t="s">
        <v>111</v>
      </c>
      <c r="BW1932" t="s">
        <v>111</v>
      </c>
      <c r="BX1932" t="s">
        <v>111</v>
      </c>
      <c r="BY1932" t="s">
        <v>111</v>
      </c>
      <c r="BZ1932" t="s">
        <v>111</v>
      </c>
      <c r="CA1932" t="s">
        <v>111</v>
      </c>
      <c r="CB1932" t="s">
        <v>111</v>
      </c>
      <c r="CC1932" t="s">
        <v>111</v>
      </c>
      <c r="CD1932" t="s">
        <v>111</v>
      </c>
      <c r="CE1932" t="s">
        <v>111</v>
      </c>
      <c r="CF1932" t="s">
        <v>111</v>
      </c>
      <c r="CG1932" t="s">
        <v>111</v>
      </c>
      <c r="CH1932" t="s">
        <v>111</v>
      </c>
      <c r="CI1932" t="s">
        <v>111</v>
      </c>
      <c r="CJ1932" t="s">
        <v>111</v>
      </c>
      <c r="CK1932" t="s">
        <v>111</v>
      </c>
      <c r="CL1932" t="e">
        <f>-DESTINO ALMACEN</f>
        <v>#NAME?</v>
      </c>
      <c r="CM1932" t="s">
        <v>111</v>
      </c>
      <c r="CN1932" t="s">
        <v>111</v>
      </c>
      <c r="CO1932" t="s">
        <v>111</v>
      </c>
      <c r="CP1932" t="s">
        <v>111</v>
      </c>
      <c r="CQ1932">
        <v>0</v>
      </c>
      <c r="CR1932">
        <v>0</v>
      </c>
      <c r="CS1932">
        <v>0</v>
      </c>
      <c r="CT1932" t="s">
        <v>111</v>
      </c>
      <c r="CU1932">
        <v>33</v>
      </c>
      <c r="CV1932" t="e">
        <f>-CENTRADA</f>
        <v>#NAME?</v>
      </c>
      <c r="CW1932" t="s">
        <v>111</v>
      </c>
      <c r="CX1932">
        <v>-1</v>
      </c>
      <c r="CY1932">
        <v>20</v>
      </c>
      <c r="CZ1932" t="s">
        <v>117</v>
      </c>
      <c r="DA1932" t="e">
        <f>-EMPACAR DE  A UN ROLLO EN PE GRUESO</f>
        <v>#NAME?</v>
      </c>
      <c r="DB1932" t="s">
        <v>111</v>
      </c>
      <c r="DC1932" t="s">
        <v>111</v>
      </c>
    </row>
    <row r="1933" spans="1:107">
      <c r="A1933">
        <v>923</v>
      </c>
      <c r="B1933" t="s">
        <v>1314</v>
      </c>
      <c r="C1933" t="s">
        <v>827</v>
      </c>
      <c r="D1933" t="s">
        <v>5274</v>
      </c>
      <c r="E1933" t="s">
        <v>5275</v>
      </c>
      <c r="F1933" t="s">
        <v>1071</v>
      </c>
      <c r="G1933" t="s">
        <v>24</v>
      </c>
      <c r="H1933">
        <v>1.1000000000000001</v>
      </c>
      <c r="I1933">
        <v>50</v>
      </c>
      <c r="J1933">
        <v>0</v>
      </c>
      <c r="K1933">
        <v>0</v>
      </c>
      <c r="L1933" t="s">
        <v>112</v>
      </c>
      <c r="M1933" t="s">
        <v>138</v>
      </c>
      <c r="N1933">
        <v>0</v>
      </c>
      <c r="O1933">
        <v>0</v>
      </c>
      <c r="P1933" t="s">
        <v>111</v>
      </c>
      <c r="Q1933">
        <v>24.6</v>
      </c>
      <c r="R1933">
        <v>0</v>
      </c>
      <c r="S1933">
        <v>0</v>
      </c>
      <c r="T1933">
        <v>0</v>
      </c>
      <c r="U1933" t="s">
        <v>5276</v>
      </c>
      <c r="V1933">
        <v>0</v>
      </c>
      <c r="W1933">
        <v>0</v>
      </c>
      <c r="X1933">
        <v>0</v>
      </c>
      <c r="Y1933">
        <v>25</v>
      </c>
      <c r="Z1933" t="s">
        <v>111</v>
      </c>
      <c r="AA1933">
        <v>0</v>
      </c>
      <c r="AB1933" t="s">
        <v>111</v>
      </c>
      <c r="AC1933">
        <v>0</v>
      </c>
      <c r="AD1933" t="s">
        <v>111</v>
      </c>
      <c r="AE1933">
        <v>0</v>
      </c>
      <c r="AF1933">
        <v>0</v>
      </c>
      <c r="AG1933" t="s">
        <v>111</v>
      </c>
      <c r="AH1933" t="s">
        <v>111</v>
      </c>
      <c r="AI1933" t="s">
        <v>111</v>
      </c>
      <c r="AJ1933" t="s">
        <v>111</v>
      </c>
      <c r="AK1933" t="s">
        <v>111</v>
      </c>
      <c r="AL1933" t="s">
        <v>111</v>
      </c>
      <c r="AM1933">
        <v>0</v>
      </c>
      <c r="AN1933">
        <v>0</v>
      </c>
      <c r="AO1933">
        <v>0</v>
      </c>
      <c r="AP1933" t="s">
        <v>111</v>
      </c>
      <c r="AQ1933" t="s">
        <v>111</v>
      </c>
      <c r="AR1933" t="s">
        <v>111</v>
      </c>
      <c r="AS1933" t="s">
        <v>111</v>
      </c>
      <c r="AT1933" t="s">
        <v>111</v>
      </c>
      <c r="AU1933" t="s">
        <v>111</v>
      </c>
      <c r="AV1933" t="s">
        <v>111</v>
      </c>
      <c r="AW1933" t="s">
        <v>111</v>
      </c>
      <c r="AX1933" t="s">
        <v>111</v>
      </c>
      <c r="AY1933" t="s">
        <v>111</v>
      </c>
      <c r="AZ1933" t="s">
        <v>111</v>
      </c>
      <c r="BA1933" t="s">
        <v>111</v>
      </c>
      <c r="BB1933" t="s">
        <v>111</v>
      </c>
      <c r="BC1933" t="s">
        <v>111</v>
      </c>
      <c r="BD1933" t="s">
        <v>111</v>
      </c>
      <c r="BE1933" t="s">
        <v>111</v>
      </c>
      <c r="BF1933" t="s">
        <v>111</v>
      </c>
      <c r="BG1933" t="s">
        <v>111</v>
      </c>
      <c r="BH1933" t="s">
        <v>111</v>
      </c>
      <c r="BI1933" t="s">
        <v>111</v>
      </c>
      <c r="BJ1933" t="s">
        <v>111</v>
      </c>
      <c r="BK1933" t="s">
        <v>111</v>
      </c>
      <c r="BL1933" t="s">
        <v>111</v>
      </c>
      <c r="BM1933" t="s">
        <v>111</v>
      </c>
      <c r="BN1933" t="s">
        <v>111</v>
      </c>
      <c r="BO1933" t="s">
        <v>111</v>
      </c>
      <c r="BP1933" t="s">
        <v>111</v>
      </c>
      <c r="BQ1933" t="s">
        <v>111</v>
      </c>
      <c r="BR1933" t="s">
        <v>111</v>
      </c>
      <c r="BS1933" t="s">
        <v>111</v>
      </c>
      <c r="BT1933" t="s">
        <v>111</v>
      </c>
      <c r="BU1933" t="s">
        <v>111</v>
      </c>
      <c r="BV1933" t="s">
        <v>111</v>
      </c>
      <c r="BW1933" t="s">
        <v>111</v>
      </c>
      <c r="BX1933" t="s">
        <v>111</v>
      </c>
      <c r="BY1933" t="s">
        <v>111</v>
      </c>
      <c r="BZ1933" t="s">
        <v>111</v>
      </c>
      <c r="CA1933" t="s">
        <v>111</v>
      </c>
      <c r="CB1933" t="s">
        <v>111</v>
      </c>
      <c r="CC1933" t="s">
        <v>111</v>
      </c>
      <c r="CD1933" t="s">
        <v>111</v>
      </c>
      <c r="CE1933" t="s">
        <v>111</v>
      </c>
      <c r="CF1933" t="s">
        <v>111</v>
      </c>
      <c r="CG1933" t="s">
        <v>111</v>
      </c>
      <c r="CH1933" t="s">
        <v>111</v>
      </c>
      <c r="CI1933" t="s">
        <v>111</v>
      </c>
      <c r="CJ1933" t="s">
        <v>111</v>
      </c>
      <c r="CK1933" t="s">
        <v>111</v>
      </c>
      <c r="CL1933" t="s">
        <v>111</v>
      </c>
      <c r="CM1933" t="s">
        <v>198</v>
      </c>
      <c r="CN1933" t="s">
        <v>113</v>
      </c>
      <c r="CO1933" t="s">
        <v>111</v>
      </c>
      <c r="CP1933" t="s">
        <v>111</v>
      </c>
      <c r="CQ1933">
        <v>68</v>
      </c>
      <c r="CR1933">
        <v>3000</v>
      </c>
      <c r="CS1933">
        <v>200</v>
      </c>
      <c r="CT1933" t="s">
        <v>296</v>
      </c>
      <c r="CU1933">
        <v>0</v>
      </c>
      <c r="CV1933" t="s">
        <v>111</v>
      </c>
      <c r="CW1933" t="s">
        <v>111</v>
      </c>
      <c r="CX1933" t="s">
        <v>111</v>
      </c>
      <c r="CY1933">
        <v>0</v>
      </c>
      <c r="CZ1933" t="s">
        <v>111</v>
      </c>
      <c r="DA1933" t="s">
        <v>111</v>
      </c>
      <c r="DB1933" t="s">
        <v>111</v>
      </c>
      <c r="DC1933" t="s">
        <v>111</v>
      </c>
    </row>
    <row r="1934" spans="1:107">
      <c r="A1934">
        <v>922</v>
      </c>
      <c r="B1934" t="s">
        <v>107</v>
      </c>
      <c r="C1934" t="s">
        <v>4324</v>
      </c>
      <c r="D1934" t="s">
        <v>3970</v>
      </c>
      <c r="E1934" t="s">
        <v>3971</v>
      </c>
      <c r="F1934" t="s">
        <v>110</v>
      </c>
      <c r="G1934" t="s">
        <v>24</v>
      </c>
      <c r="H1934">
        <v>1</v>
      </c>
      <c r="I1934">
        <v>40</v>
      </c>
      <c r="J1934">
        <v>0</v>
      </c>
      <c r="K1934">
        <v>0</v>
      </c>
      <c r="L1934" t="s">
        <v>112</v>
      </c>
      <c r="M1934" t="s">
        <v>118</v>
      </c>
      <c r="N1934">
        <v>40</v>
      </c>
      <c r="O1934">
        <v>2</v>
      </c>
      <c r="P1934" t="s">
        <v>111</v>
      </c>
      <c r="Q1934">
        <v>37.5</v>
      </c>
      <c r="R1934">
        <v>0</v>
      </c>
      <c r="S1934">
        <v>0</v>
      </c>
      <c r="T1934">
        <v>0</v>
      </c>
      <c r="U1934" t="s">
        <v>5277</v>
      </c>
      <c r="V1934">
        <v>0</v>
      </c>
      <c r="W1934">
        <v>0</v>
      </c>
      <c r="X1934">
        <v>0</v>
      </c>
      <c r="Y1934">
        <v>25</v>
      </c>
      <c r="Z1934" t="s">
        <v>111</v>
      </c>
      <c r="AA1934">
        <v>0</v>
      </c>
      <c r="AB1934" t="s">
        <v>111</v>
      </c>
      <c r="AC1934">
        <v>0</v>
      </c>
      <c r="AD1934" t="s">
        <v>111</v>
      </c>
      <c r="AE1934">
        <v>0</v>
      </c>
      <c r="AF1934">
        <v>0</v>
      </c>
      <c r="AG1934" t="s">
        <v>111</v>
      </c>
      <c r="AH1934" t="s">
        <v>111</v>
      </c>
      <c r="AI1934" t="s">
        <v>111</v>
      </c>
      <c r="AJ1934" t="s">
        <v>111</v>
      </c>
      <c r="AK1934" t="s">
        <v>111</v>
      </c>
      <c r="AL1934" t="s">
        <v>111</v>
      </c>
      <c r="AM1934">
        <v>0</v>
      </c>
      <c r="AN1934">
        <v>0</v>
      </c>
      <c r="AO1934">
        <v>0</v>
      </c>
      <c r="AP1934" t="s">
        <v>111</v>
      </c>
      <c r="AQ1934" t="s">
        <v>111</v>
      </c>
      <c r="AR1934" t="s">
        <v>111</v>
      </c>
      <c r="AS1934" t="s">
        <v>111</v>
      </c>
      <c r="AT1934" t="s">
        <v>111</v>
      </c>
      <c r="AU1934" t="s">
        <v>111</v>
      </c>
      <c r="AV1934" t="s">
        <v>111</v>
      </c>
      <c r="AW1934" t="s">
        <v>111</v>
      </c>
      <c r="AX1934" t="s">
        <v>111</v>
      </c>
      <c r="AY1934" t="s">
        <v>111</v>
      </c>
      <c r="AZ1934" t="s">
        <v>111</v>
      </c>
      <c r="BA1934" t="s">
        <v>111</v>
      </c>
      <c r="BB1934" t="s">
        <v>111</v>
      </c>
      <c r="BC1934" t="s">
        <v>111</v>
      </c>
      <c r="BD1934" t="s">
        <v>111</v>
      </c>
      <c r="BE1934" t="s">
        <v>111</v>
      </c>
      <c r="BF1934" t="s">
        <v>111</v>
      </c>
      <c r="BG1934" t="s">
        <v>111</v>
      </c>
      <c r="BH1934" t="s">
        <v>111</v>
      </c>
      <c r="BI1934" t="s">
        <v>111</v>
      </c>
      <c r="BJ1934" t="s">
        <v>111</v>
      </c>
      <c r="BK1934" t="s">
        <v>111</v>
      </c>
      <c r="BL1934" t="s">
        <v>111</v>
      </c>
      <c r="BM1934" t="s">
        <v>111</v>
      </c>
      <c r="BN1934" t="s">
        <v>111</v>
      </c>
      <c r="BO1934" t="s">
        <v>111</v>
      </c>
      <c r="BP1934" t="s">
        <v>111</v>
      </c>
      <c r="BQ1934" t="s">
        <v>111</v>
      </c>
      <c r="BR1934" t="s">
        <v>111</v>
      </c>
      <c r="BS1934" t="s">
        <v>111</v>
      </c>
      <c r="BT1934" t="s">
        <v>111</v>
      </c>
      <c r="BU1934" t="s">
        <v>111</v>
      </c>
      <c r="BV1934" t="s">
        <v>111</v>
      </c>
      <c r="BW1934" t="s">
        <v>111</v>
      </c>
      <c r="BX1934" t="s">
        <v>111</v>
      </c>
      <c r="BY1934" t="s">
        <v>111</v>
      </c>
      <c r="BZ1934" t="s">
        <v>111</v>
      </c>
      <c r="CA1934" t="s">
        <v>111</v>
      </c>
      <c r="CB1934" t="s">
        <v>111</v>
      </c>
      <c r="CC1934" t="s">
        <v>111</v>
      </c>
      <c r="CD1934" t="s">
        <v>111</v>
      </c>
      <c r="CE1934" t="s">
        <v>111</v>
      </c>
      <c r="CF1934" t="s">
        <v>111</v>
      </c>
      <c r="CG1934" t="s">
        <v>111</v>
      </c>
      <c r="CH1934" t="s">
        <v>111</v>
      </c>
      <c r="CI1934" t="s">
        <v>111</v>
      </c>
      <c r="CJ1934" t="s">
        <v>111</v>
      </c>
      <c r="CK1934" t="s">
        <v>111</v>
      </c>
      <c r="CL1934" t="s">
        <v>111</v>
      </c>
      <c r="CM1934" t="s">
        <v>111</v>
      </c>
      <c r="CN1934" t="s">
        <v>111</v>
      </c>
      <c r="CO1934" t="s">
        <v>111</v>
      </c>
      <c r="CP1934" t="s">
        <v>111</v>
      </c>
      <c r="CQ1934">
        <v>0</v>
      </c>
      <c r="CR1934">
        <v>0</v>
      </c>
      <c r="CS1934">
        <v>0</v>
      </c>
      <c r="CT1934" t="s">
        <v>111</v>
      </c>
      <c r="CU1934">
        <v>0</v>
      </c>
      <c r="CV1934" t="s">
        <v>111</v>
      </c>
      <c r="CW1934" t="s">
        <v>111</v>
      </c>
      <c r="CX1934" t="s">
        <v>111</v>
      </c>
      <c r="CY1934">
        <v>0</v>
      </c>
      <c r="CZ1934" t="s">
        <v>111</v>
      </c>
      <c r="DA1934" t="s">
        <v>111</v>
      </c>
      <c r="DB1934" t="s">
        <v>111</v>
      </c>
      <c r="DC1934" t="s">
        <v>111</v>
      </c>
    </row>
    <row r="1935" spans="1:107">
      <c r="A1935">
        <v>921</v>
      </c>
      <c r="B1935" t="s">
        <v>107</v>
      </c>
      <c r="C1935" t="s">
        <v>108</v>
      </c>
      <c r="D1935" t="s">
        <v>5278</v>
      </c>
      <c r="E1935" t="s">
        <v>5279</v>
      </c>
      <c r="F1935" t="s">
        <v>4420</v>
      </c>
      <c r="G1935" t="s">
        <v>24</v>
      </c>
      <c r="H1935">
        <v>1.3</v>
      </c>
      <c r="I1935">
        <v>46</v>
      </c>
      <c r="J1935">
        <v>0</v>
      </c>
      <c r="K1935">
        <v>0</v>
      </c>
      <c r="L1935" t="s">
        <v>178</v>
      </c>
      <c r="M1935" t="s">
        <v>138</v>
      </c>
      <c r="N1935">
        <v>0</v>
      </c>
      <c r="O1935">
        <v>0</v>
      </c>
      <c r="P1935" t="s">
        <v>138</v>
      </c>
      <c r="Q1935">
        <v>37.5</v>
      </c>
      <c r="R1935">
        <v>0</v>
      </c>
      <c r="S1935">
        <v>0</v>
      </c>
      <c r="T1935">
        <v>0</v>
      </c>
      <c r="U1935" t="s">
        <v>394</v>
      </c>
      <c r="V1935">
        <v>0</v>
      </c>
      <c r="W1935">
        <v>0</v>
      </c>
      <c r="X1935">
        <v>0</v>
      </c>
      <c r="Y1935">
        <v>25</v>
      </c>
      <c r="Z1935" t="s">
        <v>111</v>
      </c>
      <c r="AA1935">
        <v>0</v>
      </c>
      <c r="AB1935" t="s">
        <v>111</v>
      </c>
      <c r="AC1935">
        <v>0</v>
      </c>
      <c r="AD1935" t="s">
        <v>111</v>
      </c>
      <c r="AE1935">
        <v>0</v>
      </c>
      <c r="AF1935">
        <v>0</v>
      </c>
      <c r="AG1935" t="s">
        <v>111</v>
      </c>
      <c r="AH1935" t="s">
        <v>111</v>
      </c>
      <c r="AI1935" t="s">
        <v>111</v>
      </c>
      <c r="AJ1935" t="s">
        <v>111</v>
      </c>
      <c r="AK1935" t="s">
        <v>111</v>
      </c>
      <c r="AL1935" t="s">
        <v>111</v>
      </c>
      <c r="AM1935">
        <v>0</v>
      </c>
      <c r="AN1935">
        <v>0</v>
      </c>
      <c r="AO1935">
        <v>0</v>
      </c>
      <c r="AP1935" t="s">
        <v>111</v>
      </c>
      <c r="AQ1935" t="s">
        <v>111</v>
      </c>
      <c r="AR1935" t="s">
        <v>111</v>
      </c>
      <c r="AS1935" t="s">
        <v>111</v>
      </c>
      <c r="AT1935" t="s">
        <v>111</v>
      </c>
      <c r="AU1935" t="s">
        <v>111</v>
      </c>
      <c r="AV1935" t="s">
        <v>111</v>
      </c>
      <c r="AW1935" t="s">
        <v>111</v>
      </c>
      <c r="AX1935" t="s">
        <v>111</v>
      </c>
      <c r="AY1935" t="s">
        <v>111</v>
      </c>
      <c r="AZ1935" t="s">
        <v>111</v>
      </c>
      <c r="BA1935" t="s">
        <v>111</v>
      </c>
      <c r="BB1935" t="s">
        <v>111</v>
      </c>
      <c r="BC1935" t="s">
        <v>111</v>
      </c>
      <c r="BD1935" t="s">
        <v>111</v>
      </c>
      <c r="BE1935" t="s">
        <v>111</v>
      </c>
      <c r="BF1935" t="s">
        <v>111</v>
      </c>
      <c r="BG1935" t="s">
        <v>111</v>
      </c>
      <c r="BH1935" t="s">
        <v>111</v>
      </c>
      <c r="BI1935" t="s">
        <v>111</v>
      </c>
      <c r="BJ1935" t="s">
        <v>111</v>
      </c>
      <c r="BK1935" t="s">
        <v>111</v>
      </c>
      <c r="BL1935" t="s">
        <v>111</v>
      </c>
      <c r="BM1935" t="s">
        <v>111</v>
      </c>
      <c r="BN1935" t="s">
        <v>111</v>
      </c>
      <c r="BO1935" t="s">
        <v>111</v>
      </c>
      <c r="BP1935" t="s">
        <v>111</v>
      </c>
      <c r="BQ1935" t="s">
        <v>111</v>
      </c>
      <c r="BR1935" t="s">
        <v>111</v>
      </c>
      <c r="BS1935" t="s">
        <v>111</v>
      </c>
      <c r="BT1935" t="s">
        <v>111</v>
      </c>
      <c r="BU1935" t="s">
        <v>111</v>
      </c>
      <c r="BV1935" t="s">
        <v>111</v>
      </c>
      <c r="BW1935" t="s">
        <v>111</v>
      </c>
      <c r="BX1935" t="s">
        <v>111</v>
      </c>
      <c r="BY1935" t="s">
        <v>111</v>
      </c>
      <c r="BZ1935" t="s">
        <v>111</v>
      </c>
      <c r="CA1935" t="s">
        <v>111</v>
      </c>
      <c r="CB1935" t="s">
        <v>111</v>
      </c>
      <c r="CC1935" t="s">
        <v>111</v>
      </c>
      <c r="CD1935" t="s">
        <v>111</v>
      </c>
      <c r="CE1935" t="s">
        <v>111</v>
      </c>
      <c r="CF1935" t="s">
        <v>111</v>
      </c>
      <c r="CG1935" t="s">
        <v>111</v>
      </c>
      <c r="CH1935" t="s">
        <v>111</v>
      </c>
      <c r="CI1935" t="s">
        <v>111</v>
      </c>
      <c r="CJ1935" t="s">
        <v>111</v>
      </c>
      <c r="CK1935" t="s">
        <v>111</v>
      </c>
      <c r="CL1935" t="s">
        <v>111</v>
      </c>
      <c r="CM1935" t="s">
        <v>111</v>
      </c>
      <c r="CN1935" t="s">
        <v>111</v>
      </c>
      <c r="CO1935" t="s">
        <v>111</v>
      </c>
      <c r="CP1935" t="s">
        <v>111</v>
      </c>
      <c r="CQ1935">
        <v>0</v>
      </c>
      <c r="CR1935">
        <v>0</v>
      </c>
      <c r="CS1935">
        <v>0</v>
      </c>
      <c r="CT1935" t="s">
        <v>111</v>
      </c>
      <c r="CU1935">
        <v>0</v>
      </c>
      <c r="CV1935" t="s">
        <v>111</v>
      </c>
      <c r="CW1935" t="s">
        <v>111</v>
      </c>
      <c r="CX1935" t="s">
        <v>111</v>
      </c>
      <c r="CY1935">
        <v>0</v>
      </c>
      <c r="CZ1935" t="s">
        <v>111</v>
      </c>
      <c r="DA1935" t="s">
        <v>111</v>
      </c>
      <c r="DB1935" t="s">
        <v>111</v>
      </c>
      <c r="DC1935" t="s">
        <v>111</v>
      </c>
    </row>
    <row r="1936" spans="1:107">
      <c r="A1936">
        <v>913</v>
      </c>
      <c r="B1936" t="s">
        <v>107</v>
      </c>
      <c r="C1936" t="s">
        <v>536</v>
      </c>
      <c r="D1936" t="s">
        <v>5133</v>
      </c>
      <c r="E1936" t="s">
        <v>5280</v>
      </c>
      <c r="F1936" t="s">
        <v>1651</v>
      </c>
      <c r="G1936" t="s">
        <v>24</v>
      </c>
      <c r="H1936">
        <v>2.4</v>
      </c>
      <c r="I1936">
        <v>56</v>
      </c>
      <c r="J1936">
        <v>0</v>
      </c>
      <c r="K1936">
        <v>0</v>
      </c>
      <c r="L1936" t="s">
        <v>117</v>
      </c>
      <c r="M1936" t="s">
        <v>118</v>
      </c>
      <c r="N1936">
        <v>39</v>
      </c>
      <c r="O1936">
        <v>1</v>
      </c>
      <c r="P1936" t="s">
        <v>138</v>
      </c>
      <c r="Q1936">
        <v>31</v>
      </c>
      <c r="R1936">
        <v>0</v>
      </c>
      <c r="S1936">
        <v>0</v>
      </c>
      <c r="T1936">
        <v>10</v>
      </c>
      <c r="U1936" s="1" t="s">
        <v>5281</v>
      </c>
      <c r="V1936">
        <v>0</v>
      </c>
      <c r="W1936">
        <v>0</v>
      </c>
      <c r="X1936">
        <v>0</v>
      </c>
      <c r="Y1936">
        <v>25</v>
      </c>
      <c r="Z1936" t="s">
        <v>111</v>
      </c>
      <c r="AA1936">
        <v>0</v>
      </c>
      <c r="AB1936" t="s">
        <v>3954</v>
      </c>
      <c r="AC1936">
        <v>3</v>
      </c>
      <c r="AD1936" t="s">
        <v>416</v>
      </c>
      <c r="AE1936">
        <v>2</v>
      </c>
      <c r="AF1936">
        <v>1</v>
      </c>
      <c r="AG1936" t="s">
        <v>1118</v>
      </c>
      <c r="AH1936" t="s">
        <v>113</v>
      </c>
      <c r="AI1936" t="s">
        <v>1118</v>
      </c>
      <c r="AJ1936" t="s">
        <v>111</v>
      </c>
      <c r="AK1936" t="s">
        <v>111</v>
      </c>
      <c r="AL1936" t="s">
        <v>111</v>
      </c>
      <c r="AM1936">
        <v>0</v>
      </c>
      <c r="AN1936">
        <v>0</v>
      </c>
      <c r="AO1936">
        <v>0</v>
      </c>
      <c r="AP1936" t="s">
        <v>1310</v>
      </c>
      <c r="AQ1936" t="s">
        <v>111</v>
      </c>
      <c r="AR1936" t="s">
        <v>111</v>
      </c>
      <c r="AS1936" t="s">
        <v>111</v>
      </c>
      <c r="AT1936" t="s">
        <v>1091</v>
      </c>
      <c r="AU1936" t="s">
        <v>111</v>
      </c>
      <c r="AV1936" t="s">
        <v>111</v>
      </c>
      <c r="AW1936" t="s">
        <v>111</v>
      </c>
      <c r="AX1936" t="s">
        <v>111</v>
      </c>
      <c r="AY1936" t="s">
        <v>111</v>
      </c>
      <c r="AZ1936" t="s">
        <v>111</v>
      </c>
      <c r="BA1936" t="s">
        <v>111</v>
      </c>
      <c r="BB1936" t="s">
        <v>111</v>
      </c>
      <c r="BC1936" t="s">
        <v>111</v>
      </c>
      <c r="BD1936" t="s">
        <v>111</v>
      </c>
      <c r="BE1936" t="s">
        <v>111</v>
      </c>
      <c r="BF1936" t="s">
        <v>111</v>
      </c>
      <c r="BG1936" t="s">
        <v>111</v>
      </c>
      <c r="BH1936" t="s">
        <v>111</v>
      </c>
      <c r="BI1936" t="s">
        <v>111</v>
      </c>
      <c r="BJ1936" t="s">
        <v>111</v>
      </c>
      <c r="BK1936" t="s">
        <v>111</v>
      </c>
      <c r="BL1936" t="s">
        <v>111</v>
      </c>
      <c r="BM1936" t="s">
        <v>111</v>
      </c>
      <c r="BN1936" t="s">
        <v>111</v>
      </c>
      <c r="BO1936" t="s">
        <v>111</v>
      </c>
      <c r="BP1936" t="s">
        <v>111</v>
      </c>
      <c r="BQ1936" t="s">
        <v>111</v>
      </c>
      <c r="BR1936" t="s">
        <v>111</v>
      </c>
      <c r="BS1936" t="s">
        <v>111</v>
      </c>
      <c r="BT1936" t="s">
        <v>111</v>
      </c>
      <c r="BU1936" t="s">
        <v>111</v>
      </c>
      <c r="BV1936" t="s">
        <v>111</v>
      </c>
      <c r="BW1936" t="s">
        <v>111</v>
      </c>
      <c r="BX1936" t="s">
        <v>111</v>
      </c>
      <c r="BY1936" t="s">
        <v>111</v>
      </c>
      <c r="BZ1936" t="s">
        <v>111</v>
      </c>
      <c r="CA1936" t="s">
        <v>111</v>
      </c>
      <c r="CB1936" t="s">
        <v>111</v>
      </c>
      <c r="CC1936" t="s">
        <v>111</v>
      </c>
      <c r="CD1936" t="s">
        <v>111</v>
      </c>
      <c r="CE1936" t="s">
        <v>111</v>
      </c>
      <c r="CF1936" t="s">
        <v>111</v>
      </c>
      <c r="CG1936" t="s">
        <v>111</v>
      </c>
      <c r="CH1936" t="s">
        <v>111</v>
      </c>
      <c r="CI1936" t="s">
        <v>111</v>
      </c>
      <c r="CJ1936" t="s">
        <v>111</v>
      </c>
      <c r="CK1936" t="s">
        <v>111</v>
      </c>
      <c r="CL1936" t="s">
        <v>111</v>
      </c>
      <c r="CM1936" t="s">
        <v>198</v>
      </c>
      <c r="CN1936" t="s">
        <v>113</v>
      </c>
      <c r="CO1936" t="s">
        <v>111</v>
      </c>
      <c r="CP1936" t="e">
        <f>-MUESTRA</f>
        <v>#NAME?</v>
      </c>
      <c r="CQ1936">
        <v>0</v>
      </c>
      <c r="CR1936">
        <v>5000</v>
      </c>
      <c r="CS1936">
        <v>100</v>
      </c>
      <c r="CT1936" s="1" t="s">
        <v>5282</v>
      </c>
      <c r="CU1936">
        <v>0</v>
      </c>
      <c r="CV1936" t="s">
        <v>111</v>
      </c>
      <c r="CW1936" t="s">
        <v>111</v>
      </c>
      <c r="CX1936" t="s">
        <v>111</v>
      </c>
      <c r="CY1936">
        <v>0</v>
      </c>
      <c r="CZ1936" t="s">
        <v>111</v>
      </c>
      <c r="DA1936" t="s">
        <v>111</v>
      </c>
      <c r="DB1936" t="s">
        <v>204</v>
      </c>
      <c r="DC1936" t="e">
        <f>-PEGADADE GANCHOS</f>
        <v>#NAME?</v>
      </c>
    </row>
    <row r="1937" spans="1:107">
      <c r="A1937">
        <v>987</v>
      </c>
      <c r="B1937" t="s">
        <v>107</v>
      </c>
      <c r="C1937" t="s">
        <v>4324</v>
      </c>
      <c r="D1937" t="s">
        <v>5283</v>
      </c>
      <c r="E1937" t="s">
        <v>5284</v>
      </c>
      <c r="F1937" t="s">
        <v>2211</v>
      </c>
      <c r="G1937" t="s">
        <v>24</v>
      </c>
      <c r="H1937">
        <v>1.9</v>
      </c>
      <c r="I1937">
        <v>40</v>
      </c>
      <c r="J1937">
        <v>0</v>
      </c>
      <c r="K1937">
        <v>0</v>
      </c>
      <c r="L1937" t="s">
        <v>117</v>
      </c>
      <c r="M1937" t="s">
        <v>111</v>
      </c>
      <c r="N1937">
        <v>40</v>
      </c>
      <c r="O1937">
        <v>1</v>
      </c>
      <c r="P1937" t="s">
        <v>138</v>
      </c>
      <c r="Q1937">
        <v>25</v>
      </c>
      <c r="R1937">
        <v>0</v>
      </c>
      <c r="S1937">
        <v>0</v>
      </c>
      <c r="T1937">
        <v>0</v>
      </c>
      <c r="U1937" s="1" t="s">
        <v>5285</v>
      </c>
      <c r="V1937">
        <v>0</v>
      </c>
      <c r="W1937">
        <v>0</v>
      </c>
      <c r="X1937">
        <v>0</v>
      </c>
      <c r="Y1937">
        <v>250</v>
      </c>
      <c r="Z1937" t="s">
        <v>111</v>
      </c>
      <c r="AA1937">
        <v>0</v>
      </c>
      <c r="AB1937" t="s">
        <v>111</v>
      </c>
      <c r="AC1937">
        <v>0</v>
      </c>
      <c r="AD1937" t="s">
        <v>111</v>
      </c>
      <c r="AE1937">
        <v>0</v>
      </c>
      <c r="AF1937">
        <v>0</v>
      </c>
      <c r="AG1937" t="s">
        <v>111</v>
      </c>
      <c r="AH1937" t="s">
        <v>111</v>
      </c>
      <c r="AI1937" t="s">
        <v>111</v>
      </c>
      <c r="AJ1937" t="s">
        <v>111</v>
      </c>
      <c r="AK1937" t="s">
        <v>111</v>
      </c>
      <c r="AL1937" t="s">
        <v>111</v>
      </c>
      <c r="AM1937">
        <v>0</v>
      </c>
      <c r="AN1937">
        <v>0</v>
      </c>
      <c r="AO1937">
        <v>0</v>
      </c>
      <c r="AP1937" t="s">
        <v>111</v>
      </c>
      <c r="AQ1937" t="s">
        <v>111</v>
      </c>
      <c r="AR1937" t="s">
        <v>111</v>
      </c>
      <c r="AS1937" t="s">
        <v>111</v>
      </c>
      <c r="AT1937" t="s">
        <v>111</v>
      </c>
      <c r="AU1937" t="s">
        <v>111</v>
      </c>
      <c r="AV1937" t="s">
        <v>111</v>
      </c>
      <c r="AW1937" t="s">
        <v>111</v>
      </c>
      <c r="AX1937" t="s">
        <v>111</v>
      </c>
      <c r="AY1937" t="s">
        <v>111</v>
      </c>
      <c r="AZ1937" t="s">
        <v>111</v>
      </c>
      <c r="BA1937" t="s">
        <v>111</v>
      </c>
      <c r="BB1937" t="s">
        <v>111</v>
      </c>
      <c r="BC1937" t="s">
        <v>111</v>
      </c>
      <c r="BD1937" t="s">
        <v>111</v>
      </c>
      <c r="BE1937" t="s">
        <v>111</v>
      </c>
      <c r="BF1937" t="s">
        <v>111</v>
      </c>
      <c r="BG1937" t="s">
        <v>111</v>
      </c>
      <c r="BH1937" t="s">
        <v>111</v>
      </c>
      <c r="BI1937" t="s">
        <v>111</v>
      </c>
      <c r="BJ1937" t="s">
        <v>111</v>
      </c>
      <c r="BK1937" t="s">
        <v>111</v>
      </c>
      <c r="BL1937" t="s">
        <v>111</v>
      </c>
      <c r="BM1937" t="s">
        <v>111</v>
      </c>
      <c r="BN1937" t="s">
        <v>111</v>
      </c>
      <c r="BO1937" t="s">
        <v>111</v>
      </c>
      <c r="BP1937" t="s">
        <v>111</v>
      </c>
      <c r="BQ1937" t="s">
        <v>111</v>
      </c>
      <c r="BR1937" t="s">
        <v>111</v>
      </c>
      <c r="BS1937" t="s">
        <v>111</v>
      </c>
      <c r="BT1937" t="s">
        <v>111</v>
      </c>
      <c r="BU1937" t="s">
        <v>111</v>
      </c>
      <c r="BV1937" t="s">
        <v>111</v>
      </c>
      <c r="BW1937" t="s">
        <v>111</v>
      </c>
      <c r="BX1937" t="s">
        <v>111</v>
      </c>
      <c r="BY1937" t="s">
        <v>111</v>
      </c>
      <c r="BZ1937" t="s">
        <v>111</v>
      </c>
      <c r="CA1937" t="s">
        <v>111</v>
      </c>
      <c r="CB1937" t="s">
        <v>111</v>
      </c>
      <c r="CC1937" t="s">
        <v>111</v>
      </c>
      <c r="CD1937" t="s">
        <v>111</v>
      </c>
      <c r="CE1937" t="s">
        <v>111</v>
      </c>
      <c r="CF1937" t="s">
        <v>111</v>
      </c>
      <c r="CG1937" t="s">
        <v>111</v>
      </c>
      <c r="CH1937" t="s">
        <v>111</v>
      </c>
      <c r="CI1937" t="s">
        <v>111</v>
      </c>
      <c r="CJ1937" t="s">
        <v>111</v>
      </c>
      <c r="CK1937" t="s">
        <v>111</v>
      </c>
      <c r="CL1937" t="s">
        <v>111</v>
      </c>
      <c r="CM1937" t="s">
        <v>111</v>
      </c>
      <c r="CN1937" t="s">
        <v>111</v>
      </c>
      <c r="CO1937" t="s">
        <v>111</v>
      </c>
      <c r="CP1937" t="s">
        <v>111</v>
      </c>
      <c r="CQ1937">
        <v>0</v>
      </c>
      <c r="CR1937">
        <v>0</v>
      </c>
      <c r="CS1937">
        <v>0</v>
      </c>
      <c r="CT1937" t="s">
        <v>111</v>
      </c>
      <c r="CU1937">
        <v>0</v>
      </c>
      <c r="CV1937" t="s">
        <v>111</v>
      </c>
      <c r="CW1937" t="s">
        <v>111</v>
      </c>
      <c r="CX1937" t="s">
        <v>111</v>
      </c>
      <c r="CY1937">
        <v>0</v>
      </c>
      <c r="CZ1937" t="s">
        <v>111</v>
      </c>
      <c r="DA1937" t="s">
        <v>111</v>
      </c>
      <c r="DB1937" t="s">
        <v>111</v>
      </c>
      <c r="DC1937" t="s">
        <v>111</v>
      </c>
    </row>
    <row r="1938" spans="1:107">
      <c r="A1938">
        <v>1031</v>
      </c>
      <c r="B1938" t="s">
        <v>107</v>
      </c>
      <c r="C1938" t="s">
        <v>277</v>
      </c>
      <c r="D1938" t="s">
        <v>5183</v>
      </c>
      <c r="E1938" t="s">
        <v>5286</v>
      </c>
      <c r="F1938" t="s">
        <v>4420</v>
      </c>
      <c r="G1938" t="s">
        <v>24</v>
      </c>
      <c r="H1938">
        <v>1.4</v>
      </c>
      <c r="I1938">
        <v>30</v>
      </c>
      <c r="J1938">
        <v>0</v>
      </c>
      <c r="K1938">
        <v>0</v>
      </c>
      <c r="L1938" t="s">
        <v>178</v>
      </c>
      <c r="M1938" t="s">
        <v>111</v>
      </c>
      <c r="N1938">
        <v>0</v>
      </c>
      <c r="O1938">
        <v>0</v>
      </c>
      <c r="P1938" t="s">
        <v>138</v>
      </c>
      <c r="Q1938">
        <v>30</v>
      </c>
      <c r="R1938">
        <v>0</v>
      </c>
      <c r="S1938">
        <v>0</v>
      </c>
      <c r="T1938">
        <v>0</v>
      </c>
      <c r="U1938" s="1" t="s">
        <v>5287</v>
      </c>
      <c r="V1938">
        <v>0</v>
      </c>
      <c r="W1938">
        <v>0</v>
      </c>
      <c r="X1938">
        <v>0</v>
      </c>
      <c r="Y1938">
        <v>25</v>
      </c>
      <c r="Z1938" t="s">
        <v>111</v>
      </c>
      <c r="AA1938">
        <v>0</v>
      </c>
      <c r="AB1938" t="s">
        <v>111</v>
      </c>
      <c r="AC1938">
        <v>0</v>
      </c>
      <c r="AD1938" t="s">
        <v>111</v>
      </c>
      <c r="AE1938">
        <v>0</v>
      </c>
      <c r="AF1938">
        <v>0</v>
      </c>
      <c r="AG1938" t="s">
        <v>111</v>
      </c>
      <c r="AH1938" t="s">
        <v>111</v>
      </c>
      <c r="AI1938" t="s">
        <v>111</v>
      </c>
      <c r="AJ1938" t="s">
        <v>111</v>
      </c>
      <c r="AK1938" t="s">
        <v>111</v>
      </c>
      <c r="AL1938" t="s">
        <v>111</v>
      </c>
      <c r="AM1938">
        <v>0</v>
      </c>
      <c r="AN1938">
        <v>0</v>
      </c>
      <c r="AO1938">
        <v>0</v>
      </c>
      <c r="AP1938" t="s">
        <v>111</v>
      </c>
      <c r="AQ1938" t="s">
        <v>111</v>
      </c>
      <c r="AR1938" t="s">
        <v>111</v>
      </c>
      <c r="AS1938" t="s">
        <v>111</v>
      </c>
      <c r="AT1938" t="s">
        <v>111</v>
      </c>
      <c r="AU1938" t="s">
        <v>111</v>
      </c>
      <c r="AV1938" t="s">
        <v>111</v>
      </c>
      <c r="AW1938" t="s">
        <v>111</v>
      </c>
      <c r="AX1938" t="s">
        <v>111</v>
      </c>
      <c r="AY1938" t="s">
        <v>111</v>
      </c>
      <c r="AZ1938" t="s">
        <v>111</v>
      </c>
      <c r="BA1938" t="s">
        <v>111</v>
      </c>
      <c r="BB1938" t="s">
        <v>111</v>
      </c>
      <c r="BC1938" t="s">
        <v>111</v>
      </c>
      <c r="BD1938" t="s">
        <v>111</v>
      </c>
      <c r="BE1938" t="s">
        <v>111</v>
      </c>
      <c r="BF1938" t="s">
        <v>111</v>
      </c>
      <c r="BG1938" t="s">
        <v>111</v>
      </c>
      <c r="BH1938" t="s">
        <v>111</v>
      </c>
      <c r="BI1938" t="s">
        <v>111</v>
      </c>
      <c r="BJ1938" t="s">
        <v>111</v>
      </c>
      <c r="BK1938" t="s">
        <v>111</v>
      </c>
      <c r="BL1938" t="s">
        <v>111</v>
      </c>
      <c r="BM1938" t="s">
        <v>111</v>
      </c>
      <c r="BN1938" t="s">
        <v>111</v>
      </c>
      <c r="BO1938" t="s">
        <v>111</v>
      </c>
      <c r="BP1938" t="s">
        <v>111</v>
      </c>
      <c r="BQ1938" t="s">
        <v>111</v>
      </c>
      <c r="BR1938" t="s">
        <v>111</v>
      </c>
      <c r="BS1938" t="s">
        <v>111</v>
      </c>
      <c r="BT1938" t="s">
        <v>111</v>
      </c>
      <c r="BU1938" t="s">
        <v>111</v>
      </c>
      <c r="BV1938" t="s">
        <v>111</v>
      </c>
      <c r="BW1938" t="s">
        <v>111</v>
      </c>
      <c r="BX1938" t="s">
        <v>111</v>
      </c>
      <c r="BY1938" t="s">
        <v>111</v>
      </c>
      <c r="BZ1938" t="s">
        <v>111</v>
      </c>
      <c r="CA1938" t="s">
        <v>111</v>
      </c>
      <c r="CB1938" t="s">
        <v>111</v>
      </c>
      <c r="CC1938" t="s">
        <v>111</v>
      </c>
      <c r="CD1938" t="s">
        <v>111</v>
      </c>
      <c r="CE1938" t="s">
        <v>111</v>
      </c>
      <c r="CF1938" t="s">
        <v>111</v>
      </c>
      <c r="CG1938" t="s">
        <v>111</v>
      </c>
      <c r="CH1938" t="s">
        <v>111</v>
      </c>
      <c r="CI1938" t="s">
        <v>111</v>
      </c>
      <c r="CJ1938" t="s">
        <v>111</v>
      </c>
      <c r="CK1938" t="s">
        <v>111</v>
      </c>
      <c r="CL1938" t="s">
        <v>111</v>
      </c>
      <c r="CM1938" t="s">
        <v>111</v>
      </c>
      <c r="CN1938" t="s">
        <v>111</v>
      </c>
      <c r="CO1938" t="s">
        <v>111</v>
      </c>
      <c r="CP1938" t="s">
        <v>111</v>
      </c>
      <c r="CQ1938">
        <v>0</v>
      </c>
      <c r="CR1938">
        <v>0</v>
      </c>
      <c r="CS1938">
        <v>0</v>
      </c>
      <c r="CT1938" t="s">
        <v>111</v>
      </c>
      <c r="CU1938">
        <v>0</v>
      </c>
      <c r="CV1938" t="s">
        <v>111</v>
      </c>
      <c r="CW1938" t="s">
        <v>111</v>
      </c>
      <c r="CX1938" t="s">
        <v>111</v>
      </c>
      <c r="CY1938">
        <v>0</v>
      </c>
      <c r="CZ1938" t="s">
        <v>111</v>
      </c>
      <c r="DA1938" t="s">
        <v>111</v>
      </c>
      <c r="DB1938" t="s">
        <v>111</v>
      </c>
      <c r="DC1938" t="s">
        <v>111</v>
      </c>
    </row>
    <row r="1939" spans="1:107">
      <c r="A1939">
        <v>1054</v>
      </c>
      <c r="B1939" t="s">
        <v>107</v>
      </c>
      <c r="C1939" t="s">
        <v>4206</v>
      </c>
      <c r="D1939" t="s">
        <v>5288</v>
      </c>
      <c r="E1939" t="s">
        <v>5289</v>
      </c>
      <c r="F1939" t="s">
        <v>1071</v>
      </c>
      <c r="G1939" t="s">
        <v>24</v>
      </c>
      <c r="H1939">
        <v>1</v>
      </c>
      <c r="I1939">
        <v>35</v>
      </c>
      <c r="J1939">
        <v>0</v>
      </c>
      <c r="K1939">
        <v>0</v>
      </c>
      <c r="L1939" t="s">
        <v>112</v>
      </c>
      <c r="M1939" t="s">
        <v>111</v>
      </c>
      <c r="N1939">
        <v>0</v>
      </c>
      <c r="O1939">
        <v>0</v>
      </c>
      <c r="P1939" t="s">
        <v>138</v>
      </c>
      <c r="Q1939">
        <v>40</v>
      </c>
      <c r="R1939">
        <v>0</v>
      </c>
      <c r="S1939">
        <v>0</v>
      </c>
      <c r="T1939">
        <v>5</v>
      </c>
      <c r="U1939" s="1" t="s">
        <v>1392</v>
      </c>
      <c r="V1939">
        <v>0</v>
      </c>
      <c r="W1939">
        <v>0</v>
      </c>
      <c r="X1939">
        <v>0</v>
      </c>
      <c r="Y1939">
        <v>25</v>
      </c>
      <c r="Z1939" t="s">
        <v>111</v>
      </c>
      <c r="AA1939">
        <v>0</v>
      </c>
      <c r="AB1939" t="s">
        <v>4055</v>
      </c>
      <c r="AC1939">
        <v>0.3</v>
      </c>
      <c r="AD1939" t="s">
        <v>111</v>
      </c>
      <c r="AE1939">
        <v>0</v>
      </c>
      <c r="AF1939">
        <v>0</v>
      </c>
      <c r="AG1939" t="s">
        <v>111</v>
      </c>
      <c r="AH1939" t="s">
        <v>111</v>
      </c>
      <c r="AI1939" t="s">
        <v>111</v>
      </c>
      <c r="AJ1939" t="s">
        <v>111</v>
      </c>
      <c r="AK1939" t="s">
        <v>111</v>
      </c>
      <c r="AL1939" t="s">
        <v>111</v>
      </c>
      <c r="AM1939">
        <v>0</v>
      </c>
      <c r="AN1939">
        <v>0</v>
      </c>
      <c r="AO1939">
        <v>0</v>
      </c>
      <c r="AP1939" t="s">
        <v>111</v>
      </c>
      <c r="AQ1939" t="s">
        <v>111</v>
      </c>
      <c r="AR1939" t="s">
        <v>111</v>
      </c>
      <c r="AS1939" t="s">
        <v>111</v>
      </c>
      <c r="AT1939" t="s">
        <v>111</v>
      </c>
      <c r="AU1939" t="s">
        <v>111</v>
      </c>
      <c r="AV1939" t="s">
        <v>111</v>
      </c>
      <c r="AW1939" t="s">
        <v>111</v>
      </c>
      <c r="AX1939" t="s">
        <v>111</v>
      </c>
      <c r="AY1939" t="s">
        <v>111</v>
      </c>
      <c r="AZ1939" t="s">
        <v>111</v>
      </c>
      <c r="BA1939" t="s">
        <v>111</v>
      </c>
      <c r="BB1939" t="s">
        <v>111</v>
      </c>
      <c r="BC1939" t="s">
        <v>111</v>
      </c>
      <c r="BD1939" t="s">
        <v>111</v>
      </c>
      <c r="BE1939" t="s">
        <v>111</v>
      </c>
      <c r="BF1939" t="s">
        <v>111</v>
      </c>
      <c r="BG1939" t="s">
        <v>111</v>
      </c>
      <c r="BH1939" t="s">
        <v>111</v>
      </c>
      <c r="BI1939" t="s">
        <v>111</v>
      </c>
      <c r="BJ1939" t="s">
        <v>111</v>
      </c>
      <c r="BK1939" t="s">
        <v>111</v>
      </c>
      <c r="BL1939" t="s">
        <v>111</v>
      </c>
      <c r="BM1939" t="s">
        <v>111</v>
      </c>
      <c r="BN1939" t="s">
        <v>111</v>
      </c>
      <c r="BO1939" t="s">
        <v>111</v>
      </c>
      <c r="BP1939" t="s">
        <v>111</v>
      </c>
      <c r="BQ1939" t="s">
        <v>111</v>
      </c>
      <c r="BR1939" t="s">
        <v>111</v>
      </c>
      <c r="BS1939" t="s">
        <v>111</v>
      </c>
      <c r="BT1939" t="s">
        <v>111</v>
      </c>
      <c r="BU1939" t="s">
        <v>111</v>
      </c>
      <c r="BV1939" t="s">
        <v>111</v>
      </c>
      <c r="BW1939" t="s">
        <v>111</v>
      </c>
      <c r="BX1939" t="s">
        <v>111</v>
      </c>
      <c r="BY1939" t="s">
        <v>111</v>
      </c>
      <c r="BZ1939" t="s">
        <v>111</v>
      </c>
      <c r="CA1939" t="s">
        <v>111</v>
      </c>
      <c r="CB1939" t="s">
        <v>111</v>
      </c>
      <c r="CC1939" t="s">
        <v>111</v>
      </c>
      <c r="CD1939" t="s">
        <v>111</v>
      </c>
      <c r="CE1939" t="s">
        <v>111</v>
      </c>
      <c r="CF1939" t="s">
        <v>111</v>
      </c>
      <c r="CG1939" t="s">
        <v>111</v>
      </c>
      <c r="CH1939" t="s">
        <v>111</v>
      </c>
      <c r="CI1939" t="s">
        <v>111</v>
      </c>
      <c r="CJ1939" t="s">
        <v>111</v>
      </c>
      <c r="CK1939" t="s">
        <v>111</v>
      </c>
      <c r="CL1939" t="s">
        <v>111</v>
      </c>
      <c r="CM1939">
        <v>450</v>
      </c>
      <c r="CN1939" t="s">
        <v>113</v>
      </c>
      <c r="CO1939" t="s">
        <v>111</v>
      </c>
      <c r="CP1939" t="s">
        <v>111</v>
      </c>
      <c r="CQ1939">
        <v>0</v>
      </c>
      <c r="CR1939">
        <v>10000</v>
      </c>
      <c r="CS1939">
        <v>1000</v>
      </c>
      <c r="CT1939" s="1" t="s">
        <v>5290</v>
      </c>
      <c r="CU1939">
        <v>0</v>
      </c>
      <c r="CV1939" t="s">
        <v>111</v>
      </c>
      <c r="CW1939" t="s">
        <v>111</v>
      </c>
      <c r="CX1939" t="s">
        <v>111</v>
      </c>
      <c r="CY1939">
        <v>0</v>
      </c>
      <c r="CZ1939" t="s">
        <v>111</v>
      </c>
      <c r="DA1939" t="s">
        <v>111</v>
      </c>
      <c r="DB1939" t="s">
        <v>111</v>
      </c>
      <c r="DC1939" t="s">
        <v>111</v>
      </c>
    </row>
    <row r="1940" spans="1:107">
      <c r="A1940">
        <v>1072</v>
      </c>
      <c r="B1940" t="s">
        <v>107</v>
      </c>
      <c r="C1940" s="2">
        <v>3436738</v>
      </c>
      <c r="D1940" t="s">
        <v>5291</v>
      </c>
      <c r="E1940" t="s">
        <v>3805</v>
      </c>
      <c r="F1940" t="s">
        <v>1651</v>
      </c>
      <c r="G1940" t="s">
        <v>24</v>
      </c>
      <c r="H1940">
        <v>1.25</v>
      </c>
      <c r="I1940">
        <v>50</v>
      </c>
      <c r="J1940">
        <v>0</v>
      </c>
      <c r="K1940">
        <v>0</v>
      </c>
      <c r="L1940" t="s">
        <v>112</v>
      </c>
      <c r="M1940" t="s">
        <v>118</v>
      </c>
      <c r="N1940">
        <v>40</v>
      </c>
      <c r="O1940">
        <v>1</v>
      </c>
      <c r="P1940" t="s">
        <v>138</v>
      </c>
      <c r="Q1940">
        <v>34.700000000000003</v>
      </c>
      <c r="R1940">
        <v>0</v>
      </c>
      <c r="S1940">
        <v>0</v>
      </c>
      <c r="T1940">
        <v>5</v>
      </c>
      <c r="U1940" t="s">
        <v>5292</v>
      </c>
      <c r="V1940">
        <v>0</v>
      </c>
      <c r="W1940">
        <v>0</v>
      </c>
      <c r="X1940">
        <v>0</v>
      </c>
      <c r="Y1940">
        <v>25</v>
      </c>
      <c r="Z1940" t="s">
        <v>111</v>
      </c>
      <c r="AA1940">
        <v>0</v>
      </c>
      <c r="AB1940" t="s">
        <v>111</v>
      </c>
      <c r="AC1940">
        <v>0</v>
      </c>
      <c r="AD1940" t="s">
        <v>1347</v>
      </c>
      <c r="AE1940">
        <v>0</v>
      </c>
      <c r="AF1940">
        <v>0</v>
      </c>
      <c r="AG1940" t="s">
        <v>111</v>
      </c>
      <c r="AH1940" t="s">
        <v>111</v>
      </c>
      <c r="AI1940" t="s">
        <v>111</v>
      </c>
      <c r="AJ1940" t="s">
        <v>111</v>
      </c>
      <c r="AK1940" t="s">
        <v>111</v>
      </c>
      <c r="AL1940" t="s">
        <v>111</v>
      </c>
      <c r="AM1940">
        <v>0</v>
      </c>
      <c r="AN1940">
        <v>0</v>
      </c>
      <c r="AO1940">
        <v>0</v>
      </c>
      <c r="AP1940" t="s">
        <v>111</v>
      </c>
      <c r="AQ1940" t="s">
        <v>111</v>
      </c>
      <c r="AR1940" t="s">
        <v>111</v>
      </c>
      <c r="AS1940" t="s">
        <v>111</v>
      </c>
      <c r="AT1940" t="s">
        <v>111</v>
      </c>
      <c r="AU1940" t="s">
        <v>111</v>
      </c>
      <c r="AV1940" t="s">
        <v>111</v>
      </c>
      <c r="AW1940" t="s">
        <v>111</v>
      </c>
      <c r="AX1940" t="s">
        <v>111</v>
      </c>
      <c r="AY1940" t="s">
        <v>111</v>
      </c>
      <c r="AZ1940" t="s">
        <v>111</v>
      </c>
      <c r="BA1940" t="s">
        <v>111</v>
      </c>
      <c r="BB1940" t="s">
        <v>111</v>
      </c>
      <c r="BC1940" t="s">
        <v>111</v>
      </c>
      <c r="BD1940" t="s">
        <v>111</v>
      </c>
      <c r="BE1940" t="s">
        <v>111</v>
      </c>
      <c r="BF1940" t="s">
        <v>111</v>
      </c>
      <c r="BG1940" t="s">
        <v>111</v>
      </c>
      <c r="BH1940" t="s">
        <v>111</v>
      </c>
      <c r="BI1940" t="s">
        <v>111</v>
      </c>
      <c r="BJ1940" t="s">
        <v>111</v>
      </c>
      <c r="BK1940" t="s">
        <v>111</v>
      </c>
      <c r="BL1940" t="s">
        <v>111</v>
      </c>
      <c r="BM1940" t="s">
        <v>111</v>
      </c>
      <c r="BN1940" t="s">
        <v>111</v>
      </c>
      <c r="BO1940" t="s">
        <v>111</v>
      </c>
      <c r="BP1940" t="s">
        <v>111</v>
      </c>
      <c r="BQ1940" t="s">
        <v>111</v>
      </c>
      <c r="BR1940" t="s">
        <v>111</v>
      </c>
      <c r="BS1940" t="s">
        <v>111</v>
      </c>
      <c r="BT1940" t="s">
        <v>111</v>
      </c>
      <c r="BU1940" t="s">
        <v>111</v>
      </c>
      <c r="BV1940" t="s">
        <v>111</v>
      </c>
      <c r="BW1940" t="s">
        <v>111</v>
      </c>
      <c r="BX1940" t="s">
        <v>111</v>
      </c>
      <c r="BY1940" t="s">
        <v>111</v>
      </c>
      <c r="BZ1940" t="s">
        <v>111</v>
      </c>
      <c r="CA1940" t="s">
        <v>111</v>
      </c>
      <c r="CB1940" t="s">
        <v>111</v>
      </c>
      <c r="CC1940" t="s">
        <v>111</v>
      </c>
      <c r="CD1940" t="s">
        <v>111</v>
      </c>
      <c r="CE1940" t="s">
        <v>111</v>
      </c>
      <c r="CF1940" t="s">
        <v>111</v>
      </c>
      <c r="CG1940" t="s">
        <v>111</v>
      </c>
      <c r="CH1940" t="s">
        <v>111</v>
      </c>
      <c r="CI1940" t="s">
        <v>111</v>
      </c>
      <c r="CJ1940" t="s">
        <v>111</v>
      </c>
      <c r="CK1940" t="s">
        <v>111</v>
      </c>
      <c r="CL1940" t="e">
        <f>-DESTINO SELLADO</f>
        <v>#NAME?</v>
      </c>
      <c r="CM1940" t="s">
        <v>135</v>
      </c>
      <c r="CN1940" t="s">
        <v>113</v>
      </c>
      <c r="CO1940" t="s">
        <v>111</v>
      </c>
      <c r="CP1940" t="e">
        <f>-MUESTRA</f>
        <v>#NAME?</v>
      </c>
      <c r="CQ1940">
        <v>0</v>
      </c>
      <c r="CR1940">
        <v>2000</v>
      </c>
      <c r="CS1940">
        <v>200</v>
      </c>
      <c r="CT1940" t="s">
        <v>394</v>
      </c>
      <c r="CU1940">
        <v>0</v>
      </c>
      <c r="CV1940" t="s">
        <v>111</v>
      </c>
      <c r="CW1940" t="s">
        <v>111</v>
      </c>
      <c r="CX1940" t="s">
        <v>111</v>
      </c>
      <c r="CY1940">
        <v>0</v>
      </c>
      <c r="CZ1940" t="s">
        <v>111</v>
      </c>
      <c r="DA1940" t="s">
        <v>111</v>
      </c>
      <c r="DB1940" t="s">
        <v>111</v>
      </c>
      <c r="DC1940" t="s">
        <v>111</v>
      </c>
    </row>
    <row r="1941" spans="1:107">
      <c r="A1941">
        <v>1073</v>
      </c>
      <c r="B1941" t="s">
        <v>107</v>
      </c>
      <c r="C1941" t="s">
        <v>454</v>
      </c>
      <c r="D1941" t="s">
        <v>4653</v>
      </c>
      <c r="E1941" t="s">
        <v>5293</v>
      </c>
      <c r="F1941" t="s">
        <v>1651</v>
      </c>
      <c r="G1941" t="s">
        <v>24</v>
      </c>
      <c r="H1941">
        <v>1.4</v>
      </c>
      <c r="I1941">
        <v>30</v>
      </c>
      <c r="J1941">
        <v>0</v>
      </c>
      <c r="K1941">
        <v>0</v>
      </c>
      <c r="L1941" t="s">
        <v>112</v>
      </c>
      <c r="M1941" t="s">
        <v>118</v>
      </c>
      <c r="N1941">
        <v>40</v>
      </c>
      <c r="O1941">
        <v>1</v>
      </c>
      <c r="P1941" t="s">
        <v>138</v>
      </c>
      <c r="Q1941">
        <v>34.200000000000003</v>
      </c>
      <c r="R1941">
        <v>0</v>
      </c>
      <c r="S1941">
        <v>0</v>
      </c>
      <c r="T1941">
        <v>5</v>
      </c>
      <c r="U1941" s="1" t="s">
        <v>525</v>
      </c>
      <c r="V1941">
        <v>0</v>
      </c>
      <c r="W1941">
        <v>0</v>
      </c>
      <c r="X1941">
        <v>0</v>
      </c>
      <c r="Y1941">
        <v>25</v>
      </c>
      <c r="Z1941" t="s">
        <v>111</v>
      </c>
      <c r="AA1941">
        <v>0</v>
      </c>
      <c r="AB1941" t="s">
        <v>111</v>
      </c>
      <c r="AC1941">
        <v>0</v>
      </c>
      <c r="AD1941" t="s">
        <v>416</v>
      </c>
      <c r="AE1941">
        <v>0</v>
      </c>
      <c r="AF1941">
        <v>0</v>
      </c>
      <c r="AG1941" t="s">
        <v>111</v>
      </c>
      <c r="AH1941" t="s">
        <v>111</v>
      </c>
      <c r="AI1941" t="s">
        <v>111</v>
      </c>
      <c r="AJ1941" t="s">
        <v>111</v>
      </c>
      <c r="AK1941" t="s">
        <v>111</v>
      </c>
      <c r="AL1941" t="s">
        <v>111</v>
      </c>
      <c r="AM1941">
        <v>0</v>
      </c>
      <c r="AN1941">
        <v>0</v>
      </c>
      <c r="AO1941">
        <v>0</v>
      </c>
      <c r="AP1941" t="s">
        <v>111</v>
      </c>
      <c r="AQ1941" t="s">
        <v>111</v>
      </c>
      <c r="AR1941" t="s">
        <v>111</v>
      </c>
      <c r="AS1941" t="s">
        <v>111</v>
      </c>
      <c r="AT1941" t="s">
        <v>111</v>
      </c>
      <c r="AU1941" t="s">
        <v>111</v>
      </c>
      <c r="AV1941" t="s">
        <v>111</v>
      </c>
      <c r="AW1941" t="s">
        <v>111</v>
      </c>
      <c r="AX1941" t="s">
        <v>111</v>
      </c>
      <c r="AY1941" t="s">
        <v>111</v>
      </c>
      <c r="AZ1941" t="s">
        <v>111</v>
      </c>
      <c r="BA1941" t="s">
        <v>111</v>
      </c>
      <c r="BB1941" t="s">
        <v>111</v>
      </c>
      <c r="BC1941" t="s">
        <v>111</v>
      </c>
      <c r="BD1941" t="s">
        <v>111</v>
      </c>
      <c r="BE1941" t="s">
        <v>111</v>
      </c>
      <c r="BF1941" t="s">
        <v>111</v>
      </c>
      <c r="BG1941" t="s">
        <v>111</v>
      </c>
      <c r="BH1941" t="s">
        <v>111</v>
      </c>
      <c r="BI1941" t="s">
        <v>111</v>
      </c>
      <c r="BJ1941" t="s">
        <v>111</v>
      </c>
      <c r="BK1941" t="s">
        <v>111</v>
      </c>
      <c r="BL1941" t="s">
        <v>111</v>
      </c>
      <c r="BM1941" t="s">
        <v>111</v>
      </c>
      <c r="BN1941" t="s">
        <v>111</v>
      </c>
      <c r="BO1941" t="s">
        <v>111</v>
      </c>
      <c r="BP1941" t="s">
        <v>111</v>
      </c>
      <c r="BQ1941" t="s">
        <v>111</v>
      </c>
      <c r="BR1941" t="s">
        <v>111</v>
      </c>
      <c r="BS1941" t="s">
        <v>111</v>
      </c>
      <c r="BT1941" t="s">
        <v>111</v>
      </c>
      <c r="BU1941" t="s">
        <v>111</v>
      </c>
      <c r="BV1941" t="s">
        <v>111</v>
      </c>
      <c r="BW1941" t="s">
        <v>111</v>
      </c>
      <c r="BX1941" t="s">
        <v>111</v>
      </c>
      <c r="BY1941" t="s">
        <v>111</v>
      </c>
      <c r="BZ1941" t="s">
        <v>111</v>
      </c>
      <c r="CA1941" t="s">
        <v>111</v>
      </c>
      <c r="CB1941" t="s">
        <v>111</v>
      </c>
      <c r="CC1941" t="s">
        <v>111</v>
      </c>
      <c r="CD1941" t="s">
        <v>111</v>
      </c>
      <c r="CE1941" t="s">
        <v>111</v>
      </c>
      <c r="CF1941" t="s">
        <v>111</v>
      </c>
      <c r="CG1941" t="s">
        <v>111</v>
      </c>
      <c r="CH1941" t="s">
        <v>111</v>
      </c>
      <c r="CI1941" t="s">
        <v>111</v>
      </c>
      <c r="CJ1941" t="s">
        <v>111</v>
      </c>
      <c r="CK1941" t="s">
        <v>111</v>
      </c>
      <c r="CL1941" t="s">
        <v>296</v>
      </c>
      <c r="CM1941" t="s">
        <v>135</v>
      </c>
      <c r="CN1941" t="s">
        <v>113</v>
      </c>
      <c r="CO1941" t="s">
        <v>111</v>
      </c>
      <c r="CP1941" t="e">
        <f>-MUESTRA</f>
        <v>#NAME?</v>
      </c>
      <c r="CQ1941">
        <v>70</v>
      </c>
      <c r="CR1941">
        <v>5000</v>
      </c>
      <c r="CS1941">
        <v>200</v>
      </c>
      <c r="CT1941" t="s">
        <v>168</v>
      </c>
      <c r="CU1941">
        <v>0</v>
      </c>
      <c r="CV1941" t="s">
        <v>111</v>
      </c>
      <c r="CW1941" t="s">
        <v>111</v>
      </c>
      <c r="CX1941" t="s">
        <v>111</v>
      </c>
      <c r="CY1941">
        <v>0</v>
      </c>
      <c r="CZ1941" t="s">
        <v>111</v>
      </c>
      <c r="DA1941" t="s">
        <v>111</v>
      </c>
      <c r="DB1941" t="s">
        <v>111</v>
      </c>
      <c r="DC1941" t="s">
        <v>111</v>
      </c>
    </row>
    <row r="1942" spans="1:107">
      <c r="A1942">
        <v>998</v>
      </c>
      <c r="B1942" t="s">
        <v>107</v>
      </c>
      <c r="C1942" t="s">
        <v>421</v>
      </c>
      <c r="D1942" t="s">
        <v>5294</v>
      </c>
      <c r="E1942" t="s">
        <v>5295</v>
      </c>
      <c r="F1942" t="s">
        <v>1071</v>
      </c>
      <c r="G1942" t="s">
        <v>24</v>
      </c>
      <c r="H1942">
        <v>1.4</v>
      </c>
      <c r="I1942">
        <v>35</v>
      </c>
      <c r="J1942">
        <v>0</v>
      </c>
      <c r="K1942">
        <v>0</v>
      </c>
      <c r="L1942" t="s">
        <v>112</v>
      </c>
      <c r="M1942" t="s">
        <v>138</v>
      </c>
      <c r="N1942">
        <v>0</v>
      </c>
      <c r="O1942">
        <v>0</v>
      </c>
      <c r="P1942" t="s">
        <v>138</v>
      </c>
      <c r="Q1942">
        <v>33</v>
      </c>
      <c r="R1942">
        <v>0</v>
      </c>
      <c r="S1942">
        <v>0</v>
      </c>
      <c r="T1942">
        <v>5</v>
      </c>
      <c r="U1942" s="1" t="s">
        <v>1392</v>
      </c>
      <c r="V1942">
        <v>0</v>
      </c>
      <c r="W1942">
        <v>0</v>
      </c>
      <c r="X1942">
        <v>0</v>
      </c>
      <c r="Y1942">
        <v>25</v>
      </c>
      <c r="Z1942" t="s">
        <v>111</v>
      </c>
      <c r="AA1942">
        <v>0</v>
      </c>
      <c r="AB1942" t="s">
        <v>111</v>
      </c>
      <c r="AC1942">
        <v>0</v>
      </c>
      <c r="AD1942" t="s">
        <v>111</v>
      </c>
      <c r="AE1942">
        <v>0</v>
      </c>
      <c r="AF1942">
        <v>0</v>
      </c>
      <c r="AG1942" t="s">
        <v>111</v>
      </c>
      <c r="AH1942" t="s">
        <v>111</v>
      </c>
      <c r="AI1942" t="s">
        <v>111</v>
      </c>
      <c r="AJ1942" t="s">
        <v>111</v>
      </c>
      <c r="AK1942" t="s">
        <v>111</v>
      </c>
      <c r="AL1942" t="s">
        <v>111</v>
      </c>
      <c r="AM1942">
        <v>0</v>
      </c>
      <c r="AN1942">
        <v>0</v>
      </c>
      <c r="AO1942">
        <v>0</v>
      </c>
      <c r="AP1942" t="s">
        <v>111</v>
      </c>
      <c r="AQ1942" t="s">
        <v>111</v>
      </c>
      <c r="AR1942" t="s">
        <v>111</v>
      </c>
      <c r="AS1942" t="s">
        <v>111</v>
      </c>
      <c r="AT1942" t="s">
        <v>111</v>
      </c>
      <c r="AU1942" t="s">
        <v>111</v>
      </c>
      <c r="AV1942" t="s">
        <v>111</v>
      </c>
      <c r="AW1942" t="s">
        <v>111</v>
      </c>
      <c r="AX1942" t="s">
        <v>111</v>
      </c>
      <c r="AY1942" t="s">
        <v>111</v>
      </c>
      <c r="AZ1942" t="s">
        <v>111</v>
      </c>
      <c r="BA1942" t="s">
        <v>111</v>
      </c>
      <c r="BB1942" t="s">
        <v>111</v>
      </c>
      <c r="BC1942" t="s">
        <v>111</v>
      </c>
      <c r="BD1942" t="s">
        <v>111</v>
      </c>
      <c r="BE1942" t="s">
        <v>111</v>
      </c>
      <c r="BF1942" t="s">
        <v>111</v>
      </c>
      <c r="BG1942" t="s">
        <v>111</v>
      </c>
      <c r="BH1942" t="s">
        <v>111</v>
      </c>
      <c r="BI1942" t="s">
        <v>111</v>
      </c>
      <c r="BJ1942" t="s">
        <v>111</v>
      </c>
      <c r="BK1942" t="s">
        <v>111</v>
      </c>
      <c r="BL1942" t="s">
        <v>111</v>
      </c>
      <c r="BM1942" t="s">
        <v>111</v>
      </c>
      <c r="BN1942" t="s">
        <v>111</v>
      </c>
      <c r="BO1942" t="s">
        <v>111</v>
      </c>
      <c r="BP1942" t="s">
        <v>111</v>
      </c>
      <c r="BQ1942" t="s">
        <v>111</v>
      </c>
      <c r="BR1942" t="s">
        <v>111</v>
      </c>
      <c r="BS1942" t="s">
        <v>111</v>
      </c>
      <c r="BT1942" t="s">
        <v>111</v>
      </c>
      <c r="BU1942" t="s">
        <v>111</v>
      </c>
      <c r="BV1942" t="s">
        <v>111</v>
      </c>
      <c r="BW1942" t="s">
        <v>111</v>
      </c>
      <c r="BX1942" t="s">
        <v>111</v>
      </c>
      <c r="BY1942" t="s">
        <v>111</v>
      </c>
      <c r="BZ1942" t="s">
        <v>111</v>
      </c>
      <c r="CA1942" t="s">
        <v>111</v>
      </c>
      <c r="CB1942" t="s">
        <v>111</v>
      </c>
      <c r="CC1942" t="s">
        <v>111</v>
      </c>
      <c r="CD1942" t="s">
        <v>111</v>
      </c>
      <c r="CE1942" t="s">
        <v>111</v>
      </c>
      <c r="CF1942" t="s">
        <v>111</v>
      </c>
      <c r="CG1942" t="s">
        <v>111</v>
      </c>
      <c r="CH1942" t="s">
        <v>111</v>
      </c>
      <c r="CI1942" t="s">
        <v>111</v>
      </c>
      <c r="CJ1942" t="s">
        <v>111</v>
      </c>
      <c r="CK1942" t="s">
        <v>111</v>
      </c>
      <c r="CL1942" t="s">
        <v>111</v>
      </c>
      <c r="CM1942" t="s">
        <v>135</v>
      </c>
      <c r="CN1942" t="s">
        <v>113</v>
      </c>
      <c r="CO1942" t="s">
        <v>111</v>
      </c>
      <c r="CP1942" t="s">
        <v>111</v>
      </c>
      <c r="CQ1942">
        <v>75</v>
      </c>
      <c r="CR1942">
        <v>4000</v>
      </c>
      <c r="CS1942">
        <v>200</v>
      </c>
      <c r="CT1942" t="e">
        <f>-ALMACEN</f>
        <v>#NAME?</v>
      </c>
      <c r="CU1942">
        <v>0</v>
      </c>
      <c r="CV1942" t="s">
        <v>111</v>
      </c>
      <c r="CW1942" t="s">
        <v>111</v>
      </c>
      <c r="CX1942" t="s">
        <v>111</v>
      </c>
      <c r="CY1942">
        <v>0</v>
      </c>
      <c r="CZ1942" t="s">
        <v>111</v>
      </c>
      <c r="DA1942" t="s">
        <v>111</v>
      </c>
      <c r="DB1942" t="s">
        <v>111</v>
      </c>
      <c r="DC1942" t="s">
        <v>111</v>
      </c>
    </row>
    <row r="1943" spans="1:107">
      <c r="A1943">
        <v>1037</v>
      </c>
      <c r="B1943" t="s">
        <v>107</v>
      </c>
      <c r="C1943" t="s">
        <v>3608</v>
      </c>
      <c r="D1943" t="s">
        <v>4418</v>
      </c>
      <c r="E1943" t="s">
        <v>5296</v>
      </c>
      <c r="F1943" t="s">
        <v>4420</v>
      </c>
      <c r="G1943" t="s">
        <v>24</v>
      </c>
      <c r="H1943">
        <v>2</v>
      </c>
      <c r="I1943">
        <v>20</v>
      </c>
      <c r="J1943">
        <v>0</v>
      </c>
      <c r="K1943">
        <v>0</v>
      </c>
      <c r="L1943" t="s">
        <v>178</v>
      </c>
      <c r="M1943" t="s">
        <v>111</v>
      </c>
      <c r="N1943">
        <v>0</v>
      </c>
      <c r="O1943">
        <v>0</v>
      </c>
      <c r="P1943" t="s">
        <v>138</v>
      </c>
      <c r="Q1943">
        <v>25</v>
      </c>
      <c r="R1943">
        <v>0</v>
      </c>
      <c r="S1943">
        <v>0</v>
      </c>
      <c r="T1943">
        <v>0</v>
      </c>
      <c r="U1943" s="1" t="s">
        <v>5297</v>
      </c>
      <c r="V1943">
        <v>0</v>
      </c>
      <c r="W1943">
        <v>0</v>
      </c>
      <c r="X1943">
        <v>0</v>
      </c>
      <c r="Y1943">
        <v>25</v>
      </c>
      <c r="Z1943" t="s">
        <v>111</v>
      </c>
      <c r="AA1943">
        <v>0</v>
      </c>
      <c r="AB1943" t="s">
        <v>111</v>
      </c>
      <c r="AC1943">
        <v>0</v>
      </c>
      <c r="AD1943" t="s">
        <v>111</v>
      </c>
      <c r="AE1943">
        <v>0</v>
      </c>
      <c r="AF1943">
        <v>0</v>
      </c>
      <c r="AG1943" t="s">
        <v>111</v>
      </c>
      <c r="AH1943" t="s">
        <v>111</v>
      </c>
      <c r="AI1943" t="s">
        <v>111</v>
      </c>
      <c r="AJ1943" t="s">
        <v>111</v>
      </c>
      <c r="AK1943" t="s">
        <v>111</v>
      </c>
      <c r="AL1943" t="s">
        <v>111</v>
      </c>
      <c r="AM1943">
        <v>0</v>
      </c>
      <c r="AN1943">
        <v>0</v>
      </c>
      <c r="AO1943">
        <v>0</v>
      </c>
      <c r="AP1943" t="s">
        <v>111</v>
      </c>
      <c r="AQ1943" t="s">
        <v>111</v>
      </c>
      <c r="AR1943" t="s">
        <v>111</v>
      </c>
      <c r="AS1943" t="s">
        <v>111</v>
      </c>
      <c r="AT1943" t="s">
        <v>111</v>
      </c>
      <c r="AU1943" t="s">
        <v>111</v>
      </c>
      <c r="AV1943" t="s">
        <v>111</v>
      </c>
      <c r="AW1943" t="s">
        <v>111</v>
      </c>
      <c r="AX1943" t="s">
        <v>111</v>
      </c>
      <c r="AY1943" t="s">
        <v>111</v>
      </c>
      <c r="AZ1943" t="s">
        <v>111</v>
      </c>
      <c r="BA1943" t="s">
        <v>111</v>
      </c>
      <c r="BB1943" t="s">
        <v>111</v>
      </c>
      <c r="BC1943" t="s">
        <v>111</v>
      </c>
      <c r="BD1943" t="s">
        <v>111</v>
      </c>
      <c r="BE1943" t="s">
        <v>111</v>
      </c>
      <c r="BF1943" t="s">
        <v>111</v>
      </c>
      <c r="BG1943" t="s">
        <v>111</v>
      </c>
      <c r="BH1943" t="s">
        <v>111</v>
      </c>
      <c r="BI1943" t="s">
        <v>111</v>
      </c>
      <c r="BJ1943" t="s">
        <v>111</v>
      </c>
      <c r="BK1943" t="s">
        <v>111</v>
      </c>
      <c r="BL1943" t="s">
        <v>111</v>
      </c>
      <c r="BM1943" t="s">
        <v>111</v>
      </c>
      <c r="BN1943" t="s">
        <v>111</v>
      </c>
      <c r="BO1943" t="s">
        <v>111</v>
      </c>
      <c r="BP1943" t="s">
        <v>111</v>
      </c>
      <c r="BQ1943" t="s">
        <v>111</v>
      </c>
      <c r="BR1943" t="s">
        <v>111</v>
      </c>
      <c r="BS1943" t="s">
        <v>111</v>
      </c>
      <c r="BT1943" t="s">
        <v>111</v>
      </c>
      <c r="BU1943" t="s">
        <v>111</v>
      </c>
      <c r="BV1943" t="s">
        <v>111</v>
      </c>
      <c r="BW1943" t="s">
        <v>111</v>
      </c>
      <c r="BX1943" t="s">
        <v>111</v>
      </c>
      <c r="BY1943" t="s">
        <v>111</v>
      </c>
      <c r="BZ1943" t="s">
        <v>111</v>
      </c>
      <c r="CA1943" t="s">
        <v>111</v>
      </c>
      <c r="CB1943" t="s">
        <v>111</v>
      </c>
      <c r="CC1943" t="s">
        <v>111</v>
      </c>
      <c r="CD1943" t="s">
        <v>111</v>
      </c>
      <c r="CE1943" t="s">
        <v>111</v>
      </c>
      <c r="CF1943" t="s">
        <v>111</v>
      </c>
      <c r="CG1943" t="s">
        <v>111</v>
      </c>
      <c r="CH1943" t="s">
        <v>111</v>
      </c>
      <c r="CI1943" t="s">
        <v>111</v>
      </c>
      <c r="CJ1943" t="s">
        <v>111</v>
      </c>
      <c r="CK1943" t="s">
        <v>111</v>
      </c>
      <c r="CL1943" t="s">
        <v>111</v>
      </c>
      <c r="CM1943" t="s">
        <v>111</v>
      </c>
      <c r="CN1943" t="s">
        <v>111</v>
      </c>
      <c r="CO1943" t="s">
        <v>111</v>
      </c>
      <c r="CP1943" t="s">
        <v>111</v>
      </c>
      <c r="CQ1943">
        <v>0</v>
      </c>
      <c r="CR1943">
        <v>0</v>
      </c>
      <c r="CS1943">
        <v>0</v>
      </c>
      <c r="CT1943" t="s">
        <v>111</v>
      </c>
      <c r="CU1943">
        <v>0</v>
      </c>
      <c r="CV1943" t="s">
        <v>111</v>
      </c>
      <c r="CW1943" t="s">
        <v>111</v>
      </c>
      <c r="CX1943" t="s">
        <v>111</v>
      </c>
      <c r="CY1943">
        <v>0</v>
      </c>
      <c r="CZ1943" t="s">
        <v>111</v>
      </c>
      <c r="DA1943" t="s">
        <v>111</v>
      </c>
      <c r="DB1943" t="s">
        <v>111</v>
      </c>
      <c r="DC1943" t="s">
        <v>111</v>
      </c>
    </row>
    <row r="1944" spans="1:107">
      <c r="A1944">
        <v>1048</v>
      </c>
      <c r="B1944" t="s">
        <v>107</v>
      </c>
      <c r="C1944" t="s">
        <v>4199</v>
      </c>
      <c r="D1944" t="s">
        <v>4416</v>
      </c>
      <c r="E1944" t="s">
        <v>5298</v>
      </c>
      <c r="F1944" t="s">
        <v>1651</v>
      </c>
      <c r="G1944" t="s">
        <v>24</v>
      </c>
      <c r="H1944">
        <v>1.5</v>
      </c>
      <c r="I1944">
        <v>35</v>
      </c>
      <c r="J1944">
        <v>0</v>
      </c>
      <c r="K1944">
        <v>0</v>
      </c>
      <c r="L1944" t="s">
        <v>112</v>
      </c>
      <c r="M1944" t="s">
        <v>118</v>
      </c>
      <c r="N1944">
        <v>40</v>
      </c>
      <c r="O1944">
        <v>1</v>
      </c>
      <c r="P1944" t="s">
        <v>138</v>
      </c>
      <c r="Q1944">
        <v>32.5</v>
      </c>
      <c r="R1944">
        <v>0</v>
      </c>
      <c r="S1944">
        <v>0</v>
      </c>
      <c r="T1944">
        <v>5</v>
      </c>
      <c r="U1944" t="s">
        <v>501</v>
      </c>
      <c r="V1944">
        <v>0</v>
      </c>
      <c r="W1944">
        <v>0</v>
      </c>
      <c r="X1944">
        <v>0</v>
      </c>
      <c r="Y1944">
        <v>25</v>
      </c>
      <c r="Z1944" t="s">
        <v>111</v>
      </c>
      <c r="AA1944">
        <v>0</v>
      </c>
      <c r="AB1944" t="s">
        <v>111</v>
      </c>
      <c r="AC1944">
        <v>0</v>
      </c>
      <c r="AD1944" t="s">
        <v>416</v>
      </c>
      <c r="AE1944">
        <v>0</v>
      </c>
      <c r="AF1944">
        <v>0</v>
      </c>
      <c r="AG1944" t="s">
        <v>111</v>
      </c>
      <c r="AH1944" t="s">
        <v>111</v>
      </c>
      <c r="AI1944" t="s">
        <v>111</v>
      </c>
      <c r="AJ1944" t="s">
        <v>111</v>
      </c>
      <c r="AK1944" t="s">
        <v>111</v>
      </c>
      <c r="AL1944" t="s">
        <v>111</v>
      </c>
      <c r="AM1944">
        <v>0</v>
      </c>
      <c r="AN1944">
        <v>0</v>
      </c>
      <c r="AO1944">
        <v>0</v>
      </c>
      <c r="AP1944" t="s">
        <v>111</v>
      </c>
      <c r="AQ1944" t="s">
        <v>111</v>
      </c>
      <c r="AR1944" t="s">
        <v>111</v>
      </c>
      <c r="AS1944" t="s">
        <v>111</v>
      </c>
      <c r="AT1944" t="s">
        <v>111</v>
      </c>
      <c r="AU1944" t="s">
        <v>111</v>
      </c>
      <c r="AV1944" t="s">
        <v>111</v>
      </c>
      <c r="AW1944" t="s">
        <v>111</v>
      </c>
      <c r="AX1944" t="s">
        <v>111</v>
      </c>
      <c r="AY1944" t="s">
        <v>111</v>
      </c>
      <c r="AZ1944" t="s">
        <v>111</v>
      </c>
      <c r="BA1944" t="s">
        <v>111</v>
      </c>
      <c r="BB1944" t="s">
        <v>111</v>
      </c>
      <c r="BC1944" t="s">
        <v>111</v>
      </c>
      <c r="BD1944" t="s">
        <v>111</v>
      </c>
      <c r="BE1944" t="s">
        <v>111</v>
      </c>
      <c r="BF1944" t="s">
        <v>111</v>
      </c>
      <c r="BG1944" t="s">
        <v>111</v>
      </c>
      <c r="BH1944" t="s">
        <v>111</v>
      </c>
      <c r="BI1944" t="s">
        <v>111</v>
      </c>
      <c r="BJ1944" t="s">
        <v>111</v>
      </c>
      <c r="BK1944" t="s">
        <v>111</v>
      </c>
      <c r="BL1944" t="s">
        <v>111</v>
      </c>
      <c r="BM1944" t="s">
        <v>111</v>
      </c>
      <c r="BN1944" t="s">
        <v>111</v>
      </c>
      <c r="BO1944" t="s">
        <v>111</v>
      </c>
      <c r="BP1944" t="s">
        <v>111</v>
      </c>
      <c r="BQ1944" t="s">
        <v>111</v>
      </c>
      <c r="BR1944" t="s">
        <v>111</v>
      </c>
      <c r="BS1944" t="s">
        <v>111</v>
      </c>
      <c r="BT1944" t="s">
        <v>111</v>
      </c>
      <c r="BU1944" t="s">
        <v>111</v>
      </c>
      <c r="BV1944" t="s">
        <v>111</v>
      </c>
      <c r="BW1944" t="s">
        <v>111</v>
      </c>
      <c r="BX1944" t="s">
        <v>111</v>
      </c>
      <c r="BY1944" t="s">
        <v>111</v>
      </c>
      <c r="BZ1944" t="s">
        <v>111</v>
      </c>
      <c r="CA1944" t="s">
        <v>111</v>
      </c>
      <c r="CB1944" t="s">
        <v>111</v>
      </c>
      <c r="CC1944" t="s">
        <v>111</v>
      </c>
      <c r="CD1944" t="s">
        <v>111</v>
      </c>
      <c r="CE1944" t="s">
        <v>111</v>
      </c>
      <c r="CF1944" t="s">
        <v>111</v>
      </c>
      <c r="CG1944" t="s">
        <v>111</v>
      </c>
      <c r="CH1944" t="s">
        <v>111</v>
      </c>
      <c r="CI1944" t="s">
        <v>111</v>
      </c>
      <c r="CJ1944" t="s">
        <v>111</v>
      </c>
      <c r="CK1944" t="s">
        <v>111</v>
      </c>
      <c r="CL1944" t="e">
        <f>-SELLADO</f>
        <v>#NAME?</v>
      </c>
      <c r="CM1944" t="s">
        <v>135</v>
      </c>
      <c r="CN1944" t="s">
        <v>113</v>
      </c>
      <c r="CO1944" t="s">
        <v>111</v>
      </c>
      <c r="CP1944" t="s">
        <v>111</v>
      </c>
      <c r="CQ1944">
        <v>0</v>
      </c>
      <c r="CR1944">
        <v>4000</v>
      </c>
      <c r="CS1944">
        <v>100</v>
      </c>
      <c r="CT1944" t="s">
        <v>394</v>
      </c>
      <c r="CU1944">
        <v>0</v>
      </c>
      <c r="CV1944" t="s">
        <v>111</v>
      </c>
      <c r="CW1944" t="s">
        <v>111</v>
      </c>
      <c r="CX1944" t="s">
        <v>111</v>
      </c>
      <c r="CY1944">
        <v>0</v>
      </c>
      <c r="CZ1944" t="s">
        <v>111</v>
      </c>
      <c r="DA1944" t="s">
        <v>111</v>
      </c>
      <c r="DB1944" t="s">
        <v>111</v>
      </c>
      <c r="DC1944" t="s">
        <v>111</v>
      </c>
    </row>
    <row r="1945" spans="1:107">
      <c r="A1945">
        <v>1047</v>
      </c>
      <c r="B1945" t="s">
        <v>107</v>
      </c>
      <c r="C1945" t="s">
        <v>154</v>
      </c>
      <c r="D1945" t="s">
        <v>5299</v>
      </c>
      <c r="E1945" t="s">
        <v>5300</v>
      </c>
      <c r="F1945" t="s">
        <v>1071</v>
      </c>
      <c r="G1945" t="s">
        <v>24</v>
      </c>
      <c r="H1945">
        <v>1.9</v>
      </c>
      <c r="I1945">
        <v>30</v>
      </c>
      <c r="J1945">
        <v>0</v>
      </c>
      <c r="K1945">
        <v>0</v>
      </c>
      <c r="L1945" t="s">
        <v>112</v>
      </c>
      <c r="M1945" t="s">
        <v>111</v>
      </c>
      <c r="N1945">
        <v>0</v>
      </c>
      <c r="O1945">
        <v>0</v>
      </c>
      <c r="P1945" t="s">
        <v>138</v>
      </c>
      <c r="Q1945">
        <v>30</v>
      </c>
      <c r="R1945">
        <v>0</v>
      </c>
      <c r="S1945">
        <v>0</v>
      </c>
      <c r="T1945">
        <v>5</v>
      </c>
      <c r="U1945" s="1" t="s">
        <v>1392</v>
      </c>
      <c r="V1945">
        <v>0</v>
      </c>
      <c r="W1945">
        <v>0</v>
      </c>
      <c r="X1945">
        <v>0</v>
      </c>
      <c r="Y1945">
        <v>25</v>
      </c>
      <c r="Z1945" t="s">
        <v>111</v>
      </c>
      <c r="AA1945">
        <v>0</v>
      </c>
      <c r="AB1945" t="s">
        <v>111</v>
      </c>
      <c r="AC1945">
        <v>0</v>
      </c>
      <c r="AD1945" t="s">
        <v>111</v>
      </c>
      <c r="AE1945">
        <v>0</v>
      </c>
      <c r="AF1945">
        <v>0</v>
      </c>
      <c r="AG1945" t="s">
        <v>111</v>
      </c>
      <c r="AH1945" t="s">
        <v>111</v>
      </c>
      <c r="AI1945" t="s">
        <v>111</v>
      </c>
      <c r="AJ1945" t="s">
        <v>111</v>
      </c>
      <c r="AK1945" t="s">
        <v>111</v>
      </c>
      <c r="AL1945" t="s">
        <v>111</v>
      </c>
      <c r="AM1945">
        <v>0</v>
      </c>
      <c r="AN1945">
        <v>0</v>
      </c>
      <c r="AO1945">
        <v>0</v>
      </c>
      <c r="AP1945" t="s">
        <v>111</v>
      </c>
      <c r="AQ1945" t="s">
        <v>111</v>
      </c>
      <c r="AR1945" t="s">
        <v>111</v>
      </c>
      <c r="AS1945" t="s">
        <v>111</v>
      </c>
      <c r="AT1945" t="s">
        <v>111</v>
      </c>
      <c r="AU1945" t="s">
        <v>111</v>
      </c>
      <c r="AV1945" t="s">
        <v>111</v>
      </c>
      <c r="AW1945" t="s">
        <v>111</v>
      </c>
      <c r="AX1945" t="s">
        <v>111</v>
      </c>
      <c r="AY1945" t="s">
        <v>111</v>
      </c>
      <c r="AZ1945" t="s">
        <v>111</v>
      </c>
      <c r="BA1945" t="s">
        <v>111</v>
      </c>
      <c r="BB1945" t="s">
        <v>111</v>
      </c>
      <c r="BC1945" t="s">
        <v>111</v>
      </c>
      <c r="BD1945" t="s">
        <v>111</v>
      </c>
      <c r="BE1945" t="s">
        <v>111</v>
      </c>
      <c r="BF1945" t="s">
        <v>111</v>
      </c>
      <c r="BG1945" t="s">
        <v>111</v>
      </c>
      <c r="BH1945" t="s">
        <v>111</v>
      </c>
      <c r="BI1945" t="s">
        <v>111</v>
      </c>
      <c r="BJ1945" t="s">
        <v>111</v>
      </c>
      <c r="BK1945" t="s">
        <v>111</v>
      </c>
      <c r="BL1945" t="s">
        <v>111</v>
      </c>
      <c r="BM1945" t="s">
        <v>111</v>
      </c>
      <c r="BN1945" t="s">
        <v>111</v>
      </c>
      <c r="BO1945" t="s">
        <v>111</v>
      </c>
      <c r="BP1945" t="s">
        <v>111</v>
      </c>
      <c r="BQ1945" t="s">
        <v>111</v>
      </c>
      <c r="BR1945" t="s">
        <v>111</v>
      </c>
      <c r="BS1945" t="s">
        <v>111</v>
      </c>
      <c r="BT1945" t="s">
        <v>111</v>
      </c>
      <c r="BU1945" t="s">
        <v>111</v>
      </c>
      <c r="BV1945" t="s">
        <v>111</v>
      </c>
      <c r="BW1945" t="s">
        <v>111</v>
      </c>
      <c r="BX1945" t="s">
        <v>111</v>
      </c>
      <c r="BY1945" t="s">
        <v>111</v>
      </c>
      <c r="BZ1945" t="s">
        <v>111</v>
      </c>
      <c r="CA1945" t="s">
        <v>111</v>
      </c>
      <c r="CB1945" t="s">
        <v>111</v>
      </c>
      <c r="CC1945" t="s">
        <v>111</v>
      </c>
      <c r="CD1945" t="s">
        <v>111</v>
      </c>
      <c r="CE1945" t="s">
        <v>111</v>
      </c>
      <c r="CF1945" t="s">
        <v>111</v>
      </c>
      <c r="CG1945" t="s">
        <v>111</v>
      </c>
      <c r="CH1945" t="s">
        <v>111</v>
      </c>
      <c r="CI1945" t="s">
        <v>111</v>
      </c>
      <c r="CJ1945" t="s">
        <v>111</v>
      </c>
      <c r="CK1945" t="s">
        <v>111</v>
      </c>
      <c r="CL1945" t="s">
        <v>111</v>
      </c>
      <c r="CM1945">
        <v>450</v>
      </c>
      <c r="CN1945" t="s">
        <v>113</v>
      </c>
      <c r="CO1945" t="s">
        <v>111</v>
      </c>
      <c r="CP1945" t="s">
        <v>111</v>
      </c>
      <c r="CQ1945">
        <v>0</v>
      </c>
      <c r="CR1945">
        <v>10000</v>
      </c>
      <c r="CS1945">
        <v>1000</v>
      </c>
      <c r="CT1945" t="s">
        <v>394</v>
      </c>
      <c r="CU1945">
        <v>0</v>
      </c>
      <c r="CV1945" t="s">
        <v>111</v>
      </c>
      <c r="CW1945" t="s">
        <v>111</v>
      </c>
      <c r="CX1945" t="s">
        <v>111</v>
      </c>
      <c r="CY1945">
        <v>0</v>
      </c>
      <c r="CZ1945" t="s">
        <v>111</v>
      </c>
      <c r="DA1945" t="s">
        <v>111</v>
      </c>
      <c r="DB1945" t="s">
        <v>111</v>
      </c>
      <c r="DC1945" t="s">
        <v>111</v>
      </c>
    </row>
    <row r="1946" spans="1:107">
      <c r="A1946">
        <v>1045</v>
      </c>
      <c r="B1946" t="s">
        <v>107</v>
      </c>
      <c r="C1946" t="s">
        <v>4206</v>
      </c>
      <c r="D1946" t="s">
        <v>5061</v>
      </c>
      <c r="E1946" t="s">
        <v>5301</v>
      </c>
      <c r="F1946" t="s">
        <v>1071</v>
      </c>
      <c r="G1946" t="s">
        <v>24</v>
      </c>
      <c r="H1946">
        <v>1</v>
      </c>
      <c r="I1946">
        <v>30</v>
      </c>
      <c r="J1946">
        <v>0</v>
      </c>
      <c r="K1946">
        <v>0</v>
      </c>
      <c r="L1946" t="s">
        <v>112</v>
      </c>
      <c r="M1946" t="s">
        <v>111</v>
      </c>
      <c r="N1946">
        <v>0</v>
      </c>
      <c r="O1946">
        <v>0</v>
      </c>
      <c r="P1946" t="s">
        <v>138</v>
      </c>
      <c r="Q1946">
        <v>36.200000000000003</v>
      </c>
      <c r="R1946">
        <v>0</v>
      </c>
      <c r="S1946">
        <v>0</v>
      </c>
      <c r="T1946">
        <v>3</v>
      </c>
      <c r="U1946" t="s">
        <v>296</v>
      </c>
      <c r="V1946">
        <v>0</v>
      </c>
      <c r="W1946">
        <v>0</v>
      </c>
      <c r="X1946">
        <v>0</v>
      </c>
      <c r="Y1946">
        <v>25</v>
      </c>
      <c r="Z1946" t="s">
        <v>111</v>
      </c>
      <c r="AA1946">
        <v>0</v>
      </c>
      <c r="AB1946" t="s">
        <v>111</v>
      </c>
      <c r="AC1946">
        <v>0</v>
      </c>
      <c r="AD1946" t="s">
        <v>111</v>
      </c>
      <c r="AE1946">
        <v>0</v>
      </c>
      <c r="AF1946">
        <v>0</v>
      </c>
      <c r="AG1946" t="s">
        <v>111</v>
      </c>
      <c r="AH1946" t="s">
        <v>111</v>
      </c>
      <c r="AI1946" t="s">
        <v>111</v>
      </c>
      <c r="AJ1946" t="s">
        <v>111</v>
      </c>
      <c r="AK1946" t="s">
        <v>111</v>
      </c>
      <c r="AL1946" t="s">
        <v>111</v>
      </c>
      <c r="AM1946">
        <v>0</v>
      </c>
      <c r="AN1946">
        <v>0</v>
      </c>
      <c r="AO1946">
        <v>0</v>
      </c>
      <c r="AP1946" t="s">
        <v>111</v>
      </c>
      <c r="AQ1946" t="s">
        <v>111</v>
      </c>
      <c r="AR1946" t="s">
        <v>111</v>
      </c>
      <c r="AS1946" t="s">
        <v>111</v>
      </c>
      <c r="AT1946" t="s">
        <v>111</v>
      </c>
      <c r="AU1946" t="s">
        <v>111</v>
      </c>
      <c r="AV1946" t="s">
        <v>111</v>
      </c>
      <c r="AW1946" t="s">
        <v>111</v>
      </c>
      <c r="AX1946" t="s">
        <v>111</v>
      </c>
      <c r="AY1946" t="s">
        <v>111</v>
      </c>
      <c r="AZ1946" t="s">
        <v>111</v>
      </c>
      <c r="BA1946" t="s">
        <v>111</v>
      </c>
      <c r="BB1946" t="s">
        <v>111</v>
      </c>
      <c r="BC1946" t="s">
        <v>111</v>
      </c>
      <c r="BD1946" t="s">
        <v>111</v>
      </c>
      <c r="BE1946" t="s">
        <v>111</v>
      </c>
      <c r="BF1946" t="s">
        <v>111</v>
      </c>
      <c r="BG1946" t="s">
        <v>111</v>
      </c>
      <c r="BH1946" t="s">
        <v>111</v>
      </c>
      <c r="BI1946" t="s">
        <v>111</v>
      </c>
      <c r="BJ1946" t="s">
        <v>111</v>
      </c>
      <c r="BK1946" t="s">
        <v>111</v>
      </c>
      <c r="BL1946" t="s">
        <v>111</v>
      </c>
      <c r="BM1946" t="s">
        <v>111</v>
      </c>
      <c r="BN1946" t="s">
        <v>111</v>
      </c>
      <c r="BO1946" t="s">
        <v>111</v>
      </c>
      <c r="BP1946" t="s">
        <v>111</v>
      </c>
      <c r="BQ1946" t="s">
        <v>111</v>
      </c>
      <c r="BR1946" t="s">
        <v>111</v>
      </c>
      <c r="BS1946" t="s">
        <v>111</v>
      </c>
      <c r="BT1946" t="s">
        <v>111</v>
      </c>
      <c r="BU1946" t="s">
        <v>111</v>
      </c>
      <c r="BV1946" t="s">
        <v>111</v>
      </c>
      <c r="BW1946" t="s">
        <v>111</v>
      </c>
      <c r="BX1946" t="s">
        <v>111</v>
      </c>
      <c r="BY1946" t="s">
        <v>111</v>
      </c>
      <c r="BZ1946" t="s">
        <v>111</v>
      </c>
      <c r="CA1946" t="s">
        <v>111</v>
      </c>
      <c r="CB1946" t="s">
        <v>111</v>
      </c>
      <c r="CC1946" t="s">
        <v>111</v>
      </c>
      <c r="CD1946" t="s">
        <v>111</v>
      </c>
      <c r="CE1946" t="s">
        <v>111</v>
      </c>
      <c r="CF1946" t="s">
        <v>111</v>
      </c>
      <c r="CG1946" t="s">
        <v>111</v>
      </c>
      <c r="CH1946" t="s">
        <v>111</v>
      </c>
      <c r="CI1946" t="s">
        <v>111</v>
      </c>
      <c r="CJ1946" t="s">
        <v>111</v>
      </c>
      <c r="CK1946" t="s">
        <v>111</v>
      </c>
      <c r="CL1946" t="s">
        <v>111</v>
      </c>
      <c r="CM1946" t="s">
        <v>438</v>
      </c>
      <c r="CN1946" t="s">
        <v>113</v>
      </c>
      <c r="CO1946" t="s">
        <v>111</v>
      </c>
      <c r="CP1946" t="s">
        <v>111</v>
      </c>
      <c r="CQ1946">
        <v>0</v>
      </c>
      <c r="CR1946">
        <v>6000</v>
      </c>
      <c r="CS1946">
        <v>100</v>
      </c>
      <c r="CT1946" s="1" t="s">
        <v>4885</v>
      </c>
      <c r="CU1946">
        <v>0</v>
      </c>
      <c r="CV1946" t="s">
        <v>111</v>
      </c>
      <c r="CW1946" t="s">
        <v>111</v>
      </c>
      <c r="CX1946" t="s">
        <v>111</v>
      </c>
      <c r="CY1946">
        <v>0</v>
      </c>
      <c r="CZ1946" t="s">
        <v>111</v>
      </c>
      <c r="DA1946" t="s">
        <v>111</v>
      </c>
      <c r="DB1946" t="s">
        <v>111</v>
      </c>
      <c r="DC1946" t="s">
        <v>111</v>
      </c>
    </row>
    <row r="1947" spans="1:107">
      <c r="A1947">
        <v>1061</v>
      </c>
      <c r="B1947" t="s">
        <v>107</v>
      </c>
      <c r="C1947" t="s">
        <v>4206</v>
      </c>
      <c r="D1947" t="s">
        <v>5302</v>
      </c>
      <c r="E1947" t="s">
        <v>5303</v>
      </c>
      <c r="F1947" t="s">
        <v>1071</v>
      </c>
      <c r="G1947" t="s">
        <v>24</v>
      </c>
      <c r="H1947">
        <v>1</v>
      </c>
      <c r="I1947">
        <v>25</v>
      </c>
      <c r="J1947">
        <v>0</v>
      </c>
      <c r="K1947">
        <v>0</v>
      </c>
      <c r="L1947" t="s">
        <v>112</v>
      </c>
      <c r="M1947" t="s">
        <v>111</v>
      </c>
      <c r="N1947">
        <v>0</v>
      </c>
      <c r="O1947">
        <v>0</v>
      </c>
      <c r="P1947" t="s">
        <v>138</v>
      </c>
      <c r="Q1947">
        <v>25</v>
      </c>
      <c r="R1947">
        <v>0</v>
      </c>
      <c r="S1947">
        <v>0</v>
      </c>
      <c r="T1947">
        <v>5</v>
      </c>
      <c r="U1947" t="s">
        <v>296</v>
      </c>
      <c r="V1947">
        <v>0</v>
      </c>
      <c r="W1947">
        <v>0</v>
      </c>
      <c r="X1947">
        <v>0</v>
      </c>
      <c r="Y1947">
        <v>25</v>
      </c>
      <c r="Z1947" t="s">
        <v>111</v>
      </c>
      <c r="AA1947">
        <v>0</v>
      </c>
      <c r="AB1947" t="s">
        <v>111</v>
      </c>
      <c r="AC1947">
        <v>0</v>
      </c>
      <c r="AD1947" t="s">
        <v>111</v>
      </c>
      <c r="AE1947">
        <v>0</v>
      </c>
      <c r="AF1947">
        <v>0</v>
      </c>
      <c r="AG1947" t="s">
        <v>111</v>
      </c>
      <c r="AH1947" t="s">
        <v>111</v>
      </c>
      <c r="AI1947" t="s">
        <v>111</v>
      </c>
      <c r="AJ1947" t="s">
        <v>111</v>
      </c>
      <c r="AK1947" t="s">
        <v>111</v>
      </c>
      <c r="AL1947" t="s">
        <v>111</v>
      </c>
      <c r="AM1947">
        <v>0</v>
      </c>
      <c r="AN1947">
        <v>0</v>
      </c>
      <c r="AO1947">
        <v>0</v>
      </c>
      <c r="AP1947" t="s">
        <v>111</v>
      </c>
      <c r="AQ1947" t="s">
        <v>111</v>
      </c>
      <c r="AR1947" t="s">
        <v>111</v>
      </c>
      <c r="AS1947" t="s">
        <v>111</v>
      </c>
      <c r="AT1947" t="s">
        <v>111</v>
      </c>
      <c r="AU1947" t="s">
        <v>111</v>
      </c>
      <c r="AV1947" t="s">
        <v>111</v>
      </c>
      <c r="AW1947" t="s">
        <v>111</v>
      </c>
      <c r="AX1947" t="s">
        <v>111</v>
      </c>
      <c r="AY1947" t="s">
        <v>111</v>
      </c>
      <c r="AZ1947" t="s">
        <v>111</v>
      </c>
      <c r="BA1947" t="s">
        <v>111</v>
      </c>
      <c r="BB1947" t="s">
        <v>111</v>
      </c>
      <c r="BC1947" t="s">
        <v>111</v>
      </c>
      <c r="BD1947" t="s">
        <v>111</v>
      </c>
      <c r="BE1947" t="s">
        <v>111</v>
      </c>
      <c r="BF1947" t="s">
        <v>111</v>
      </c>
      <c r="BG1947" t="s">
        <v>111</v>
      </c>
      <c r="BH1947" t="s">
        <v>111</v>
      </c>
      <c r="BI1947" t="s">
        <v>111</v>
      </c>
      <c r="BJ1947" t="s">
        <v>111</v>
      </c>
      <c r="BK1947" t="s">
        <v>111</v>
      </c>
      <c r="BL1947" t="s">
        <v>111</v>
      </c>
      <c r="BM1947" t="s">
        <v>111</v>
      </c>
      <c r="BN1947" t="s">
        <v>111</v>
      </c>
      <c r="BO1947" t="s">
        <v>111</v>
      </c>
      <c r="BP1947" t="s">
        <v>111</v>
      </c>
      <c r="BQ1947" t="s">
        <v>111</v>
      </c>
      <c r="BR1947" t="s">
        <v>111</v>
      </c>
      <c r="BS1947" t="s">
        <v>111</v>
      </c>
      <c r="BT1947" t="s">
        <v>111</v>
      </c>
      <c r="BU1947" t="s">
        <v>111</v>
      </c>
      <c r="BV1947" t="s">
        <v>111</v>
      </c>
      <c r="BW1947" t="s">
        <v>111</v>
      </c>
      <c r="BX1947" t="s">
        <v>111</v>
      </c>
      <c r="BY1947" t="s">
        <v>111</v>
      </c>
      <c r="BZ1947" t="s">
        <v>111</v>
      </c>
      <c r="CA1947" t="s">
        <v>111</v>
      </c>
      <c r="CB1947" t="s">
        <v>111</v>
      </c>
      <c r="CC1947" t="s">
        <v>111</v>
      </c>
      <c r="CD1947" t="s">
        <v>111</v>
      </c>
      <c r="CE1947" t="s">
        <v>111</v>
      </c>
      <c r="CF1947" t="s">
        <v>111</v>
      </c>
      <c r="CG1947" t="s">
        <v>111</v>
      </c>
      <c r="CH1947" t="s">
        <v>111</v>
      </c>
      <c r="CI1947" t="s">
        <v>111</v>
      </c>
      <c r="CJ1947" t="s">
        <v>111</v>
      </c>
      <c r="CK1947" t="s">
        <v>111</v>
      </c>
      <c r="CL1947" t="s">
        <v>111</v>
      </c>
      <c r="CM1947">
        <v>450</v>
      </c>
      <c r="CN1947" t="s">
        <v>113</v>
      </c>
      <c r="CO1947" t="s">
        <v>111</v>
      </c>
      <c r="CP1947" t="s">
        <v>111</v>
      </c>
      <c r="CQ1947">
        <v>0</v>
      </c>
      <c r="CR1947">
        <v>6000</v>
      </c>
      <c r="CS1947">
        <v>100</v>
      </c>
      <c r="CT1947" t="s">
        <v>5304</v>
      </c>
      <c r="CU1947">
        <v>0</v>
      </c>
      <c r="CV1947" t="s">
        <v>111</v>
      </c>
      <c r="CW1947" t="s">
        <v>111</v>
      </c>
      <c r="CX1947" t="s">
        <v>111</v>
      </c>
      <c r="CY1947">
        <v>0</v>
      </c>
      <c r="CZ1947" t="s">
        <v>111</v>
      </c>
      <c r="DA1947" t="s">
        <v>111</v>
      </c>
      <c r="DB1947" t="s">
        <v>111</v>
      </c>
      <c r="DC1947" t="s">
        <v>111</v>
      </c>
    </row>
    <row r="1948" spans="1:107">
      <c r="A1948">
        <v>1058</v>
      </c>
      <c r="B1948" t="s">
        <v>107</v>
      </c>
      <c r="C1948" t="s">
        <v>3783</v>
      </c>
      <c r="D1948" t="s">
        <v>3960</v>
      </c>
      <c r="E1948" t="s">
        <v>5305</v>
      </c>
      <c r="F1948" t="s">
        <v>1260</v>
      </c>
      <c r="G1948" t="s">
        <v>24</v>
      </c>
      <c r="H1948">
        <v>1.9</v>
      </c>
      <c r="I1948">
        <v>40</v>
      </c>
      <c r="J1948">
        <v>0</v>
      </c>
      <c r="K1948">
        <v>0</v>
      </c>
      <c r="L1948" t="s">
        <v>117</v>
      </c>
      <c r="M1948" t="s">
        <v>118</v>
      </c>
      <c r="N1948">
        <v>40</v>
      </c>
      <c r="O1948">
        <v>2</v>
      </c>
      <c r="P1948" t="s">
        <v>138</v>
      </c>
      <c r="Q1948">
        <v>23.7</v>
      </c>
      <c r="R1948">
        <v>0</v>
      </c>
      <c r="S1948">
        <v>0</v>
      </c>
      <c r="T1948">
        <v>5</v>
      </c>
      <c r="U1948" s="1" t="s">
        <v>525</v>
      </c>
      <c r="V1948">
        <v>0</v>
      </c>
      <c r="W1948">
        <v>0</v>
      </c>
      <c r="X1948">
        <v>0</v>
      </c>
      <c r="Y1948">
        <v>25</v>
      </c>
      <c r="Z1948" t="s">
        <v>111</v>
      </c>
      <c r="AA1948">
        <v>0</v>
      </c>
      <c r="AB1948" t="s">
        <v>111</v>
      </c>
      <c r="AC1948">
        <v>0</v>
      </c>
      <c r="AD1948" t="s">
        <v>416</v>
      </c>
      <c r="AE1948">
        <v>0</v>
      </c>
      <c r="AF1948">
        <v>0</v>
      </c>
      <c r="AG1948" t="s">
        <v>111</v>
      </c>
      <c r="AH1948" t="s">
        <v>111</v>
      </c>
      <c r="AI1948" t="s">
        <v>111</v>
      </c>
      <c r="AJ1948" t="s">
        <v>111</v>
      </c>
      <c r="AK1948" t="s">
        <v>111</v>
      </c>
      <c r="AL1948" t="s">
        <v>111</v>
      </c>
      <c r="AM1948">
        <v>0</v>
      </c>
      <c r="AN1948">
        <v>0</v>
      </c>
      <c r="AO1948">
        <v>0</v>
      </c>
      <c r="AP1948" t="s">
        <v>111</v>
      </c>
      <c r="AQ1948" t="s">
        <v>111</v>
      </c>
      <c r="AR1948" t="s">
        <v>111</v>
      </c>
      <c r="AS1948" t="s">
        <v>111</v>
      </c>
      <c r="AT1948" t="s">
        <v>111</v>
      </c>
      <c r="AU1948" t="s">
        <v>111</v>
      </c>
      <c r="AV1948" t="s">
        <v>111</v>
      </c>
      <c r="AW1948" t="s">
        <v>111</v>
      </c>
      <c r="AX1948" t="s">
        <v>111</v>
      </c>
      <c r="AY1948" t="s">
        <v>111</v>
      </c>
      <c r="AZ1948" t="s">
        <v>111</v>
      </c>
      <c r="BA1948" t="s">
        <v>111</v>
      </c>
      <c r="BB1948" t="s">
        <v>111</v>
      </c>
      <c r="BC1948" t="s">
        <v>111</v>
      </c>
      <c r="BD1948" t="s">
        <v>111</v>
      </c>
      <c r="BE1948" t="s">
        <v>111</v>
      </c>
      <c r="BF1948" t="s">
        <v>111</v>
      </c>
      <c r="BG1948" t="s">
        <v>111</v>
      </c>
      <c r="BH1948" t="s">
        <v>111</v>
      </c>
      <c r="BI1948" t="s">
        <v>111</v>
      </c>
      <c r="BJ1948" t="s">
        <v>111</v>
      </c>
      <c r="BK1948" t="s">
        <v>111</v>
      </c>
      <c r="BL1948" t="s">
        <v>111</v>
      </c>
      <c r="BM1948" t="s">
        <v>111</v>
      </c>
      <c r="BN1948" t="s">
        <v>111</v>
      </c>
      <c r="BO1948" t="s">
        <v>111</v>
      </c>
      <c r="BP1948" t="s">
        <v>111</v>
      </c>
      <c r="BQ1948" t="s">
        <v>111</v>
      </c>
      <c r="BR1948" t="s">
        <v>111</v>
      </c>
      <c r="BS1948" t="s">
        <v>111</v>
      </c>
      <c r="BT1948" t="s">
        <v>111</v>
      </c>
      <c r="BU1948" t="s">
        <v>111</v>
      </c>
      <c r="BV1948" t="s">
        <v>111</v>
      </c>
      <c r="BW1948" t="s">
        <v>111</v>
      </c>
      <c r="BX1948" t="s">
        <v>111</v>
      </c>
      <c r="BY1948" t="s">
        <v>111</v>
      </c>
      <c r="BZ1948" t="s">
        <v>111</v>
      </c>
      <c r="CA1948" t="s">
        <v>111</v>
      </c>
      <c r="CB1948" t="s">
        <v>111</v>
      </c>
      <c r="CC1948" t="s">
        <v>111</v>
      </c>
      <c r="CD1948" t="s">
        <v>111</v>
      </c>
      <c r="CE1948" t="s">
        <v>111</v>
      </c>
      <c r="CF1948" t="s">
        <v>111</v>
      </c>
      <c r="CG1948" t="s">
        <v>111</v>
      </c>
      <c r="CH1948" t="s">
        <v>111</v>
      </c>
      <c r="CI1948" t="s">
        <v>111</v>
      </c>
      <c r="CJ1948" t="s">
        <v>111</v>
      </c>
      <c r="CK1948" t="s">
        <v>111</v>
      </c>
      <c r="CL1948" t="e">
        <f>-DESTINO SELLADO</f>
        <v>#NAME?</v>
      </c>
      <c r="CM1948" t="s">
        <v>135</v>
      </c>
      <c r="CN1948" t="s">
        <v>113</v>
      </c>
      <c r="CO1948" t="s">
        <v>111</v>
      </c>
      <c r="CP1948" t="s">
        <v>111</v>
      </c>
      <c r="CQ1948">
        <v>0</v>
      </c>
      <c r="CR1948">
        <v>26000</v>
      </c>
      <c r="CS1948">
        <v>26000</v>
      </c>
      <c r="CT1948" t="s">
        <v>540</v>
      </c>
      <c r="CU1948">
        <v>0</v>
      </c>
      <c r="CV1948" t="s">
        <v>111</v>
      </c>
      <c r="CW1948" t="s">
        <v>111</v>
      </c>
      <c r="CX1948" t="s">
        <v>111</v>
      </c>
      <c r="CY1948">
        <v>0</v>
      </c>
      <c r="CZ1948" t="s">
        <v>111</v>
      </c>
      <c r="DA1948" t="s">
        <v>111</v>
      </c>
      <c r="DB1948" t="s">
        <v>111</v>
      </c>
      <c r="DC1948" t="s">
        <v>111</v>
      </c>
    </row>
    <row r="1949" spans="1:107">
      <c r="A1949">
        <v>1075</v>
      </c>
      <c r="B1949" t="s">
        <v>107</v>
      </c>
      <c r="C1949" t="s">
        <v>277</v>
      </c>
      <c r="D1949" t="s">
        <v>5306</v>
      </c>
      <c r="E1949" t="s">
        <v>5307</v>
      </c>
      <c r="F1949" t="s">
        <v>4420</v>
      </c>
      <c r="G1949" t="s">
        <v>24</v>
      </c>
      <c r="H1949">
        <v>2.5</v>
      </c>
      <c r="I1949">
        <v>35</v>
      </c>
      <c r="J1949">
        <v>0</v>
      </c>
      <c r="K1949">
        <v>0</v>
      </c>
      <c r="L1949" t="s">
        <v>112</v>
      </c>
      <c r="M1949" t="s">
        <v>138</v>
      </c>
      <c r="N1949">
        <v>0</v>
      </c>
      <c r="O1949">
        <v>0</v>
      </c>
      <c r="P1949" t="s">
        <v>138</v>
      </c>
      <c r="Q1949">
        <v>35</v>
      </c>
      <c r="R1949">
        <v>0</v>
      </c>
      <c r="S1949">
        <v>0</v>
      </c>
      <c r="T1949">
        <v>0</v>
      </c>
      <c r="U1949" t="s">
        <v>394</v>
      </c>
      <c r="V1949">
        <v>0</v>
      </c>
      <c r="W1949">
        <v>0</v>
      </c>
      <c r="X1949">
        <v>0</v>
      </c>
      <c r="Y1949">
        <v>25</v>
      </c>
      <c r="Z1949" t="s">
        <v>111</v>
      </c>
      <c r="AA1949">
        <v>0</v>
      </c>
      <c r="AB1949" t="s">
        <v>111</v>
      </c>
      <c r="AC1949">
        <v>0</v>
      </c>
      <c r="AD1949" t="s">
        <v>111</v>
      </c>
      <c r="AE1949">
        <v>0</v>
      </c>
      <c r="AF1949">
        <v>0</v>
      </c>
      <c r="AG1949" t="s">
        <v>111</v>
      </c>
      <c r="AH1949" t="s">
        <v>111</v>
      </c>
      <c r="AI1949" t="s">
        <v>111</v>
      </c>
      <c r="AJ1949" t="s">
        <v>111</v>
      </c>
      <c r="AK1949" t="s">
        <v>111</v>
      </c>
      <c r="AL1949" t="s">
        <v>111</v>
      </c>
      <c r="AM1949">
        <v>0</v>
      </c>
      <c r="AN1949">
        <v>0</v>
      </c>
      <c r="AO1949">
        <v>0</v>
      </c>
      <c r="AP1949" t="s">
        <v>111</v>
      </c>
      <c r="AQ1949" t="s">
        <v>111</v>
      </c>
      <c r="AR1949" t="s">
        <v>111</v>
      </c>
      <c r="AS1949" t="s">
        <v>111</v>
      </c>
      <c r="AT1949" t="s">
        <v>111</v>
      </c>
      <c r="AU1949" t="s">
        <v>111</v>
      </c>
      <c r="AV1949" t="s">
        <v>111</v>
      </c>
      <c r="AW1949" t="s">
        <v>111</v>
      </c>
      <c r="AX1949" t="s">
        <v>111</v>
      </c>
      <c r="AY1949" t="s">
        <v>111</v>
      </c>
      <c r="AZ1949" t="s">
        <v>111</v>
      </c>
      <c r="BA1949" t="s">
        <v>111</v>
      </c>
      <c r="BB1949" t="s">
        <v>111</v>
      </c>
      <c r="BC1949" t="s">
        <v>111</v>
      </c>
      <c r="BD1949" t="s">
        <v>111</v>
      </c>
      <c r="BE1949" t="s">
        <v>111</v>
      </c>
      <c r="BF1949" t="s">
        <v>111</v>
      </c>
      <c r="BG1949" t="s">
        <v>111</v>
      </c>
      <c r="BH1949" t="s">
        <v>111</v>
      </c>
      <c r="BI1949" t="s">
        <v>111</v>
      </c>
      <c r="BJ1949" t="s">
        <v>111</v>
      </c>
      <c r="BK1949" t="s">
        <v>111</v>
      </c>
      <c r="BL1949" t="s">
        <v>111</v>
      </c>
      <c r="BM1949" t="s">
        <v>111</v>
      </c>
      <c r="BN1949" t="s">
        <v>111</v>
      </c>
      <c r="BO1949" t="s">
        <v>111</v>
      </c>
      <c r="BP1949" t="s">
        <v>111</v>
      </c>
      <c r="BQ1949" t="s">
        <v>111</v>
      </c>
      <c r="BR1949" t="s">
        <v>111</v>
      </c>
      <c r="BS1949" t="s">
        <v>111</v>
      </c>
      <c r="BT1949" t="s">
        <v>111</v>
      </c>
      <c r="BU1949" t="s">
        <v>111</v>
      </c>
      <c r="BV1949" t="s">
        <v>111</v>
      </c>
      <c r="BW1949" t="s">
        <v>111</v>
      </c>
      <c r="BX1949" t="s">
        <v>111</v>
      </c>
      <c r="BY1949" t="s">
        <v>111</v>
      </c>
      <c r="BZ1949" t="s">
        <v>111</v>
      </c>
      <c r="CA1949" t="s">
        <v>111</v>
      </c>
      <c r="CB1949" t="s">
        <v>111</v>
      </c>
      <c r="CC1949" t="s">
        <v>111</v>
      </c>
      <c r="CD1949" t="s">
        <v>111</v>
      </c>
      <c r="CE1949" t="s">
        <v>111</v>
      </c>
      <c r="CF1949" t="s">
        <v>111</v>
      </c>
      <c r="CG1949" t="s">
        <v>111</v>
      </c>
      <c r="CH1949" t="s">
        <v>111</v>
      </c>
      <c r="CI1949" t="s">
        <v>111</v>
      </c>
      <c r="CJ1949" t="s">
        <v>111</v>
      </c>
      <c r="CK1949" t="s">
        <v>111</v>
      </c>
      <c r="CL1949" t="s">
        <v>111</v>
      </c>
      <c r="CM1949" t="s">
        <v>111</v>
      </c>
      <c r="CN1949" t="s">
        <v>111</v>
      </c>
      <c r="CO1949" t="s">
        <v>111</v>
      </c>
      <c r="CP1949" t="s">
        <v>111</v>
      </c>
      <c r="CQ1949">
        <v>0</v>
      </c>
      <c r="CR1949">
        <v>0</v>
      </c>
      <c r="CS1949">
        <v>0</v>
      </c>
      <c r="CT1949" t="s">
        <v>111</v>
      </c>
      <c r="CU1949">
        <v>0</v>
      </c>
      <c r="CV1949" t="s">
        <v>111</v>
      </c>
      <c r="CW1949" t="s">
        <v>111</v>
      </c>
      <c r="CX1949" t="s">
        <v>111</v>
      </c>
      <c r="CY1949">
        <v>0</v>
      </c>
      <c r="CZ1949" t="s">
        <v>111</v>
      </c>
      <c r="DA1949" t="s">
        <v>111</v>
      </c>
      <c r="DB1949" t="s">
        <v>111</v>
      </c>
      <c r="DC1949" t="s">
        <v>111</v>
      </c>
    </row>
    <row r="1950" spans="1:107">
      <c r="A1950">
        <v>1096</v>
      </c>
      <c r="B1950" t="s">
        <v>107</v>
      </c>
      <c r="C1950" t="s">
        <v>471</v>
      </c>
      <c r="D1950" t="s">
        <v>4353</v>
      </c>
      <c r="E1950" t="s">
        <v>5308</v>
      </c>
      <c r="F1950" t="s">
        <v>110</v>
      </c>
      <c r="G1950" t="s">
        <v>24</v>
      </c>
      <c r="H1950">
        <v>1.5</v>
      </c>
      <c r="I1950">
        <v>38</v>
      </c>
      <c r="J1950">
        <v>0</v>
      </c>
      <c r="K1950">
        <v>0</v>
      </c>
      <c r="L1950" t="s">
        <v>112</v>
      </c>
      <c r="M1950" t="s">
        <v>138</v>
      </c>
      <c r="N1950">
        <v>0</v>
      </c>
      <c r="O1950">
        <v>0</v>
      </c>
      <c r="P1950" t="s">
        <v>138</v>
      </c>
      <c r="Q1950">
        <v>40</v>
      </c>
      <c r="R1950">
        <v>0</v>
      </c>
      <c r="S1950">
        <v>0</v>
      </c>
      <c r="T1950">
        <v>0</v>
      </c>
      <c r="U1950" t="s">
        <v>5309</v>
      </c>
      <c r="V1950">
        <v>0</v>
      </c>
      <c r="W1950">
        <v>0</v>
      </c>
      <c r="X1950">
        <v>0</v>
      </c>
      <c r="Y1950">
        <v>25</v>
      </c>
      <c r="Z1950" t="s">
        <v>111</v>
      </c>
      <c r="AA1950">
        <v>0</v>
      </c>
      <c r="AB1950" t="s">
        <v>111</v>
      </c>
      <c r="AC1950">
        <v>0</v>
      </c>
      <c r="AD1950" t="s">
        <v>111</v>
      </c>
      <c r="AE1950">
        <v>0</v>
      </c>
      <c r="AF1950">
        <v>0</v>
      </c>
      <c r="AG1950" t="s">
        <v>111</v>
      </c>
      <c r="AH1950" t="s">
        <v>111</v>
      </c>
      <c r="AI1950" t="s">
        <v>111</v>
      </c>
      <c r="AJ1950" t="s">
        <v>111</v>
      </c>
      <c r="AK1950" t="s">
        <v>111</v>
      </c>
      <c r="AL1950" t="s">
        <v>111</v>
      </c>
      <c r="AM1950">
        <v>0</v>
      </c>
      <c r="AN1950">
        <v>0</v>
      </c>
      <c r="AO1950">
        <v>0</v>
      </c>
      <c r="AP1950" t="s">
        <v>111</v>
      </c>
      <c r="AQ1950" t="s">
        <v>111</v>
      </c>
      <c r="AR1950" t="s">
        <v>111</v>
      </c>
      <c r="AS1950" t="s">
        <v>111</v>
      </c>
      <c r="AT1950" t="s">
        <v>111</v>
      </c>
      <c r="AU1950" t="s">
        <v>111</v>
      </c>
      <c r="AV1950" t="s">
        <v>111</v>
      </c>
      <c r="AW1950" t="s">
        <v>111</v>
      </c>
      <c r="AX1950" t="s">
        <v>111</v>
      </c>
      <c r="AY1950" t="s">
        <v>111</v>
      </c>
      <c r="AZ1950" t="s">
        <v>111</v>
      </c>
      <c r="BA1950" t="s">
        <v>111</v>
      </c>
      <c r="BB1950" t="s">
        <v>111</v>
      </c>
      <c r="BC1950" t="s">
        <v>111</v>
      </c>
      <c r="BD1950" t="s">
        <v>111</v>
      </c>
      <c r="BE1950" t="s">
        <v>111</v>
      </c>
      <c r="BF1950" t="s">
        <v>111</v>
      </c>
      <c r="BG1950" t="s">
        <v>111</v>
      </c>
      <c r="BH1950" t="s">
        <v>111</v>
      </c>
      <c r="BI1950" t="s">
        <v>111</v>
      </c>
      <c r="BJ1950" t="s">
        <v>111</v>
      </c>
      <c r="BK1950" t="s">
        <v>111</v>
      </c>
      <c r="BL1950" t="s">
        <v>111</v>
      </c>
      <c r="BM1950" t="s">
        <v>111</v>
      </c>
      <c r="BN1950" t="s">
        <v>111</v>
      </c>
      <c r="BO1950" t="s">
        <v>111</v>
      </c>
      <c r="BP1950" t="s">
        <v>111</v>
      </c>
      <c r="BQ1950" t="s">
        <v>111</v>
      </c>
      <c r="BR1950" t="s">
        <v>111</v>
      </c>
      <c r="BS1950" t="s">
        <v>111</v>
      </c>
      <c r="BT1950" t="s">
        <v>111</v>
      </c>
      <c r="BU1950" t="s">
        <v>111</v>
      </c>
      <c r="BV1950" t="s">
        <v>111</v>
      </c>
      <c r="BW1950" t="s">
        <v>111</v>
      </c>
      <c r="BX1950" t="s">
        <v>111</v>
      </c>
      <c r="BY1950" t="s">
        <v>111</v>
      </c>
      <c r="BZ1950" t="s">
        <v>111</v>
      </c>
      <c r="CA1950" t="s">
        <v>111</v>
      </c>
      <c r="CB1950" t="s">
        <v>111</v>
      </c>
      <c r="CC1950" t="s">
        <v>111</v>
      </c>
      <c r="CD1950" t="s">
        <v>111</v>
      </c>
      <c r="CE1950" t="s">
        <v>111</v>
      </c>
      <c r="CF1950" t="s">
        <v>111</v>
      </c>
      <c r="CG1950" t="s">
        <v>111</v>
      </c>
      <c r="CH1950" t="s">
        <v>111</v>
      </c>
      <c r="CI1950" t="s">
        <v>111</v>
      </c>
      <c r="CJ1950" t="s">
        <v>111</v>
      </c>
      <c r="CK1950" t="s">
        <v>111</v>
      </c>
      <c r="CL1950" t="s">
        <v>111</v>
      </c>
      <c r="CM1950" t="s">
        <v>111</v>
      </c>
      <c r="CN1950" t="s">
        <v>111</v>
      </c>
      <c r="CO1950" t="s">
        <v>111</v>
      </c>
      <c r="CP1950" t="s">
        <v>111</v>
      </c>
      <c r="CQ1950">
        <v>0</v>
      </c>
      <c r="CR1950">
        <v>0</v>
      </c>
      <c r="CS1950">
        <v>0</v>
      </c>
      <c r="CT1950" t="s">
        <v>111</v>
      </c>
      <c r="CU1950">
        <v>0</v>
      </c>
      <c r="CV1950" t="s">
        <v>111</v>
      </c>
      <c r="CW1950" t="s">
        <v>111</v>
      </c>
      <c r="CX1950" t="s">
        <v>111</v>
      </c>
      <c r="CY1950">
        <v>0</v>
      </c>
      <c r="CZ1950" t="s">
        <v>111</v>
      </c>
      <c r="DA1950" t="s">
        <v>111</v>
      </c>
      <c r="DB1950" t="s">
        <v>111</v>
      </c>
      <c r="DC1950" t="s">
        <v>111</v>
      </c>
    </row>
    <row r="1951" spans="1:107">
      <c r="A1951">
        <v>1023</v>
      </c>
      <c r="B1951" t="s">
        <v>107</v>
      </c>
      <c r="C1951" t="s">
        <v>719</v>
      </c>
      <c r="D1951" t="s">
        <v>4020</v>
      </c>
      <c r="E1951" t="s">
        <v>5310</v>
      </c>
      <c r="F1951" t="s">
        <v>1651</v>
      </c>
      <c r="G1951" t="s">
        <v>24</v>
      </c>
      <c r="H1951">
        <v>2.4</v>
      </c>
      <c r="I1951">
        <v>48</v>
      </c>
      <c r="J1951">
        <v>0</v>
      </c>
      <c r="K1951">
        <v>0</v>
      </c>
      <c r="L1951" t="s">
        <v>112</v>
      </c>
      <c r="M1951" t="s">
        <v>118</v>
      </c>
      <c r="N1951">
        <v>0</v>
      </c>
      <c r="O1951">
        <v>2</v>
      </c>
      <c r="P1951" t="s">
        <v>138</v>
      </c>
      <c r="Q1951">
        <v>37</v>
      </c>
      <c r="R1951">
        <v>0</v>
      </c>
      <c r="S1951">
        <v>0</v>
      </c>
      <c r="T1951">
        <v>10</v>
      </c>
      <c r="U1951" t="s">
        <v>501</v>
      </c>
      <c r="V1951">
        <v>0</v>
      </c>
      <c r="W1951">
        <v>0</v>
      </c>
      <c r="X1951">
        <v>0</v>
      </c>
      <c r="Y1951">
        <v>250</v>
      </c>
      <c r="Z1951" t="s">
        <v>111</v>
      </c>
      <c r="AA1951">
        <v>0</v>
      </c>
      <c r="AB1951" t="s">
        <v>111</v>
      </c>
      <c r="AC1951">
        <v>0</v>
      </c>
      <c r="AD1951" t="s">
        <v>416</v>
      </c>
      <c r="AE1951">
        <v>0</v>
      </c>
      <c r="AF1951">
        <v>0</v>
      </c>
      <c r="AG1951" t="s">
        <v>111</v>
      </c>
      <c r="AH1951" t="s">
        <v>111</v>
      </c>
      <c r="AI1951" t="s">
        <v>111</v>
      </c>
      <c r="AJ1951" t="s">
        <v>111</v>
      </c>
      <c r="AK1951" t="s">
        <v>111</v>
      </c>
      <c r="AL1951" t="s">
        <v>111</v>
      </c>
      <c r="AM1951">
        <v>0</v>
      </c>
      <c r="AN1951">
        <v>0</v>
      </c>
      <c r="AO1951">
        <v>0</v>
      </c>
      <c r="AP1951" t="s">
        <v>111</v>
      </c>
      <c r="AQ1951" t="s">
        <v>111</v>
      </c>
      <c r="AR1951" t="s">
        <v>111</v>
      </c>
      <c r="AS1951" t="s">
        <v>111</v>
      </c>
      <c r="AT1951" t="s">
        <v>111</v>
      </c>
      <c r="AU1951" t="s">
        <v>111</v>
      </c>
      <c r="AV1951" t="s">
        <v>111</v>
      </c>
      <c r="AW1951" t="s">
        <v>111</v>
      </c>
      <c r="AX1951" t="s">
        <v>111</v>
      </c>
      <c r="AY1951" t="s">
        <v>111</v>
      </c>
      <c r="AZ1951" t="s">
        <v>111</v>
      </c>
      <c r="BA1951" t="s">
        <v>111</v>
      </c>
      <c r="BB1951" t="s">
        <v>111</v>
      </c>
      <c r="BC1951" t="s">
        <v>111</v>
      </c>
      <c r="BD1951" t="s">
        <v>111</v>
      </c>
      <c r="BE1951" t="s">
        <v>111</v>
      </c>
      <c r="BF1951" t="s">
        <v>111</v>
      </c>
      <c r="BG1951" t="s">
        <v>111</v>
      </c>
      <c r="BH1951" t="s">
        <v>111</v>
      </c>
      <c r="BI1951" t="s">
        <v>111</v>
      </c>
      <c r="BJ1951" t="s">
        <v>111</v>
      </c>
      <c r="BK1951" t="s">
        <v>111</v>
      </c>
      <c r="BL1951" t="s">
        <v>111</v>
      </c>
      <c r="BM1951" t="s">
        <v>111</v>
      </c>
      <c r="BN1951" t="s">
        <v>111</v>
      </c>
      <c r="BO1951" t="s">
        <v>111</v>
      </c>
      <c r="BP1951" t="s">
        <v>111</v>
      </c>
      <c r="BQ1951" t="s">
        <v>111</v>
      </c>
      <c r="BR1951" t="s">
        <v>111</v>
      </c>
      <c r="BS1951" t="s">
        <v>111</v>
      </c>
      <c r="BT1951" t="s">
        <v>111</v>
      </c>
      <c r="BU1951" t="s">
        <v>111</v>
      </c>
      <c r="BV1951" t="s">
        <v>111</v>
      </c>
      <c r="BW1951" t="s">
        <v>111</v>
      </c>
      <c r="BX1951" t="s">
        <v>111</v>
      </c>
      <c r="BY1951" t="s">
        <v>111</v>
      </c>
      <c r="BZ1951" t="s">
        <v>111</v>
      </c>
      <c r="CA1951" t="s">
        <v>111</v>
      </c>
      <c r="CB1951" t="s">
        <v>111</v>
      </c>
      <c r="CC1951" t="s">
        <v>111</v>
      </c>
      <c r="CD1951" t="s">
        <v>111</v>
      </c>
      <c r="CE1951" t="s">
        <v>111</v>
      </c>
      <c r="CF1951" t="s">
        <v>111</v>
      </c>
      <c r="CG1951" t="s">
        <v>111</v>
      </c>
      <c r="CH1951" t="s">
        <v>111</v>
      </c>
      <c r="CI1951" t="s">
        <v>111</v>
      </c>
      <c r="CJ1951" t="s">
        <v>111</v>
      </c>
      <c r="CK1951" t="s">
        <v>111</v>
      </c>
      <c r="CL1951" s="1" t="s">
        <v>494</v>
      </c>
      <c r="CM1951" t="s">
        <v>135</v>
      </c>
      <c r="CN1951" t="s">
        <v>113</v>
      </c>
      <c r="CO1951" t="s">
        <v>111</v>
      </c>
      <c r="CP1951" t="e">
        <f>-MUESTRA</f>
        <v>#NAME?</v>
      </c>
      <c r="CQ1951">
        <v>42</v>
      </c>
      <c r="CR1951">
        <v>1500</v>
      </c>
      <c r="CS1951">
        <v>150</v>
      </c>
      <c r="CT1951" s="1" t="s">
        <v>1104</v>
      </c>
      <c r="CU1951">
        <v>0</v>
      </c>
      <c r="CV1951" t="s">
        <v>111</v>
      </c>
      <c r="CW1951" t="s">
        <v>111</v>
      </c>
      <c r="CX1951" t="s">
        <v>111</v>
      </c>
      <c r="CY1951">
        <v>0</v>
      </c>
      <c r="CZ1951" t="s">
        <v>111</v>
      </c>
      <c r="DA1951" t="s">
        <v>111</v>
      </c>
      <c r="DB1951" t="s">
        <v>111</v>
      </c>
      <c r="DC1951" t="s">
        <v>111</v>
      </c>
    </row>
    <row r="1952" spans="1:107">
      <c r="A1952">
        <v>1022</v>
      </c>
      <c r="B1952" t="s">
        <v>107</v>
      </c>
      <c r="C1952" t="s">
        <v>773</v>
      </c>
      <c r="D1952" t="s">
        <v>5311</v>
      </c>
      <c r="E1952" t="s">
        <v>5312</v>
      </c>
      <c r="F1952" t="s">
        <v>110</v>
      </c>
      <c r="G1952" t="s">
        <v>24</v>
      </c>
      <c r="H1952">
        <v>1.5</v>
      </c>
      <c r="I1952">
        <v>50</v>
      </c>
      <c r="J1952">
        <v>0</v>
      </c>
      <c r="K1952">
        <v>0</v>
      </c>
      <c r="L1952" t="s">
        <v>112</v>
      </c>
      <c r="M1952" t="s">
        <v>111</v>
      </c>
      <c r="N1952">
        <v>0</v>
      </c>
      <c r="O1952">
        <v>0</v>
      </c>
      <c r="P1952" t="s">
        <v>138</v>
      </c>
      <c r="Q1952">
        <v>25</v>
      </c>
      <c r="R1952">
        <v>0</v>
      </c>
      <c r="S1952">
        <v>0</v>
      </c>
      <c r="T1952">
        <v>0</v>
      </c>
      <c r="U1952" t="s">
        <v>394</v>
      </c>
      <c r="V1952">
        <v>0</v>
      </c>
      <c r="W1952">
        <v>0</v>
      </c>
      <c r="X1952">
        <v>0</v>
      </c>
      <c r="Y1952">
        <v>25</v>
      </c>
      <c r="Z1952" t="s">
        <v>111</v>
      </c>
      <c r="AA1952">
        <v>0</v>
      </c>
      <c r="AB1952" t="s">
        <v>111</v>
      </c>
      <c r="AC1952">
        <v>0</v>
      </c>
      <c r="AD1952" t="s">
        <v>111</v>
      </c>
      <c r="AE1952">
        <v>0</v>
      </c>
      <c r="AF1952">
        <v>0</v>
      </c>
      <c r="AG1952" t="s">
        <v>111</v>
      </c>
      <c r="AH1952" t="s">
        <v>111</v>
      </c>
      <c r="AI1952" t="s">
        <v>111</v>
      </c>
      <c r="AJ1952" t="s">
        <v>111</v>
      </c>
      <c r="AK1952" t="s">
        <v>111</v>
      </c>
      <c r="AL1952" t="s">
        <v>111</v>
      </c>
      <c r="AM1952">
        <v>0</v>
      </c>
      <c r="AN1952">
        <v>0</v>
      </c>
      <c r="AO1952">
        <v>0</v>
      </c>
      <c r="AP1952" t="s">
        <v>111</v>
      </c>
      <c r="AQ1952" t="s">
        <v>111</v>
      </c>
      <c r="AR1952" t="s">
        <v>111</v>
      </c>
      <c r="AS1952" t="s">
        <v>111</v>
      </c>
      <c r="AT1952" t="s">
        <v>111</v>
      </c>
      <c r="AU1952" t="s">
        <v>111</v>
      </c>
      <c r="AV1952" t="s">
        <v>111</v>
      </c>
      <c r="AW1952" t="s">
        <v>111</v>
      </c>
      <c r="AX1952" t="s">
        <v>111</v>
      </c>
      <c r="AY1952" t="s">
        <v>111</v>
      </c>
      <c r="AZ1952" t="s">
        <v>111</v>
      </c>
      <c r="BA1952" t="s">
        <v>111</v>
      </c>
      <c r="BB1952" t="s">
        <v>111</v>
      </c>
      <c r="BC1952" t="s">
        <v>111</v>
      </c>
      <c r="BD1952" t="s">
        <v>111</v>
      </c>
      <c r="BE1952" t="s">
        <v>111</v>
      </c>
      <c r="BF1952" t="s">
        <v>111</v>
      </c>
      <c r="BG1952" t="s">
        <v>111</v>
      </c>
      <c r="BH1952" t="s">
        <v>111</v>
      </c>
      <c r="BI1952" t="s">
        <v>111</v>
      </c>
      <c r="BJ1952" t="s">
        <v>111</v>
      </c>
      <c r="BK1952" t="s">
        <v>111</v>
      </c>
      <c r="BL1952" t="s">
        <v>111</v>
      </c>
      <c r="BM1952" t="s">
        <v>111</v>
      </c>
      <c r="BN1952" t="s">
        <v>111</v>
      </c>
      <c r="BO1952" t="s">
        <v>111</v>
      </c>
      <c r="BP1952" t="s">
        <v>111</v>
      </c>
      <c r="BQ1952" t="s">
        <v>111</v>
      </c>
      <c r="BR1952" t="s">
        <v>111</v>
      </c>
      <c r="BS1952" t="s">
        <v>111</v>
      </c>
      <c r="BT1952" t="s">
        <v>111</v>
      </c>
      <c r="BU1952" t="s">
        <v>111</v>
      </c>
      <c r="BV1952" t="s">
        <v>111</v>
      </c>
      <c r="BW1952" t="s">
        <v>111</v>
      </c>
      <c r="BX1952" t="s">
        <v>111</v>
      </c>
      <c r="BY1952" t="s">
        <v>111</v>
      </c>
      <c r="BZ1952" t="s">
        <v>111</v>
      </c>
      <c r="CA1952" t="s">
        <v>111</v>
      </c>
      <c r="CB1952" t="s">
        <v>111</v>
      </c>
      <c r="CC1952" t="s">
        <v>111</v>
      </c>
      <c r="CD1952" t="s">
        <v>111</v>
      </c>
      <c r="CE1952" t="s">
        <v>111</v>
      </c>
      <c r="CF1952" t="s">
        <v>111</v>
      </c>
      <c r="CG1952" t="s">
        <v>111</v>
      </c>
      <c r="CH1952" t="s">
        <v>111</v>
      </c>
      <c r="CI1952" t="s">
        <v>111</v>
      </c>
      <c r="CJ1952" t="s">
        <v>111</v>
      </c>
      <c r="CK1952" t="s">
        <v>111</v>
      </c>
      <c r="CL1952" t="s">
        <v>111</v>
      </c>
      <c r="CM1952" t="s">
        <v>111</v>
      </c>
      <c r="CN1952" t="s">
        <v>111</v>
      </c>
      <c r="CO1952" t="s">
        <v>111</v>
      </c>
      <c r="CP1952" t="s">
        <v>111</v>
      </c>
      <c r="CQ1952">
        <v>0</v>
      </c>
      <c r="CR1952">
        <v>0</v>
      </c>
      <c r="CS1952">
        <v>0</v>
      </c>
      <c r="CT1952" t="s">
        <v>111</v>
      </c>
      <c r="CU1952">
        <v>0</v>
      </c>
      <c r="CV1952" t="s">
        <v>111</v>
      </c>
      <c r="CW1952" t="s">
        <v>111</v>
      </c>
      <c r="CX1952" t="s">
        <v>111</v>
      </c>
      <c r="CY1952">
        <v>0</v>
      </c>
      <c r="CZ1952" t="s">
        <v>111</v>
      </c>
      <c r="DA1952" t="s">
        <v>111</v>
      </c>
      <c r="DB1952" t="s">
        <v>111</v>
      </c>
      <c r="DC1952" t="s">
        <v>111</v>
      </c>
    </row>
    <row r="1953" spans="1:107">
      <c r="A1953">
        <v>1086</v>
      </c>
      <c r="B1953" t="s">
        <v>107</v>
      </c>
      <c r="C1953" t="s">
        <v>1567</v>
      </c>
      <c r="D1953" t="s">
        <v>4340</v>
      </c>
      <c r="E1953" t="s">
        <v>4341</v>
      </c>
      <c r="F1953" t="s">
        <v>3682</v>
      </c>
      <c r="G1953" t="s">
        <v>24</v>
      </c>
      <c r="H1953">
        <v>1.3</v>
      </c>
      <c r="I1953">
        <v>40</v>
      </c>
      <c r="J1953">
        <v>0</v>
      </c>
      <c r="K1953">
        <v>0</v>
      </c>
      <c r="L1953" t="s">
        <v>112</v>
      </c>
      <c r="M1953" t="s">
        <v>111</v>
      </c>
      <c r="N1953">
        <v>0</v>
      </c>
      <c r="O1953">
        <v>0</v>
      </c>
      <c r="P1953" t="s">
        <v>138</v>
      </c>
      <c r="Q1953">
        <v>42</v>
      </c>
      <c r="R1953">
        <v>0</v>
      </c>
      <c r="S1953">
        <v>0</v>
      </c>
      <c r="T1953">
        <v>5</v>
      </c>
      <c r="U1953" t="s">
        <v>296</v>
      </c>
      <c r="V1953">
        <v>0</v>
      </c>
      <c r="W1953">
        <v>0</v>
      </c>
      <c r="X1953">
        <v>0</v>
      </c>
      <c r="Y1953">
        <v>250</v>
      </c>
      <c r="Z1953" t="s">
        <v>111</v>
      </c>
      <c r="AA1953">
        <v>0</v>
      </c>
      <c r="AB1953" t="s">
        <v>5126</v>
      </c>
      <c r="AC1953">
        <v>300</v>
      </c>
      <c r="AD1953" t="s">
        <v>111</v>
      </c>
      <c r="AE1953">
        <v>0</v>
      </c>
      <c r="AF1953">
        <v>0</v>
      </c>
      <c r="AG1953" t="s">
        <v>111</v>
      </c>
      <c r="AH1953" t="s">
        <v>111</v>
      </c>
      <c r="AI1953" t="s">
        <v>111</v>
      </c>
      <c r="AJ1953" t="s">
        <v>111</v>
      </c>
      <c r="AK1953" t="s">
        <v>111</v>
      </c>
      <c r="AL1953" t="s">
        <v>111</v>
      </c>
      <c r="AM1953">
        <v>0</v>
      </c>
      <c r="AN1953">
        <v>0</v>
      </c>
      <c r="AO1953">
        <v>0</v>
      </c>
      <c r="AP1953" t="s">
        <v>111</v>
      </c>
      <c r="AQ1953" t="s">
        <v>111</v>
      </c>
      <c r="AR1953" t="s">
        <v>111</v>
      </c>
      <c r="AS1953" t="s">
        <v>111</v>
      </c>
      <c r="AT1953" t="s">
        <v>111</v>
      </c>
      <c r="AU1953" t="s">
        <v>111</v>
      </c>
      <c r="AV1953" t="s">
        <v>111</v>
      </c>
      <c r="AW1953" t="s">
        <v>111</v>
      </c>
      <c r="AX1953" t="s">
        <v>111</v>
      </c>
      <c r="AY1953" t="s">
        <v>111</v>
      </c>
      <c r="AZ1953" t="s">
        <v>111</v>
      </c>
      <c r="BA1953" t="s">
        <v>111</v>
      </c>
      <c r="BB1953" t="s">
        <v>111</v>
      </c>
      <c r="BC1953" t="s">
        <v>111</v>
      </c>
      <c r="BD1953" t="s">
        <v>111</v>
      </c>
      <c r="BE1953" t="s">
        <v>111</v>
      </c>
      <c r="BF1953" t="s">
        <v>111</v>
      </c>
      <c r="BG1953" t="s">
        <v>111</v>
      </c>
      <c r="BH1953" t="s">
        <v>111</v>
      </c>
      <c r="BI1953" t="s">
        <v>111</v>
      </c>
      <c r="BJ1953" t="s">
        <v>111</v>
      </c>
      <c r="BK1953" t="s">
        <v>111</v>
      </c>
      <c r="BL1953" t="s">
        <v>111</v>
      </c>
      <c r="BM1953" t="s">
        <v>111</v>
      </c>
      <c r="BN1953" t="s">
        <v>111</v>
      </c>
      <c r="BO1953" t="s">
        <v>111</v>
      </c>
      <c r="BP1953" t="s">
        <v>111</v>
      </c>
      <c r="BQ1953" t="s">
        <v>111</v>
      </c>
      <c r="BR1953" t="s">
        <v>111</v>
      </c>
      <c r="BS1953" t="s">
        <v>111</v>
      </c>
      <c r="BT1953" t="s">
        <v>111</v>
      </c>
      <c r="BU1953" t="s">
        <v>111</v>
      </c>
      <c r="BV1953" t="s">
        <v>111</v>
      </c>
      <c r="BW1953" t="s">
        <v>111</v>
      </c>
      <c r="BX1953" t="s">
        <v>111</v>
      </c>
      <c r="BY1953" t="s">
        <v>111</v>
      </c>
      <c r="BZ1953" t="s">
        <v>111</v>
      </c>
      <c r="CA1953" t="s">
        <v>111</v>
      </c>
      <c r="CB1953" t="s">
        <v>111</v>
      </c>
      <c r="CC1953" t="s">
        <v>111</v>
      </c>
      <c r="CD1953" t="s">
        <v>111</v>
      </c>
      <c r="CE1953" t="s">
        <v>111</v>
      </c>
      <c r="CF1953" t="s">
        <v>111</v>
      </c>
      <c r="CG1953" t="s">
        <v>111</v>
      </c>
      <c r="CH1953" t="s">
        <v>111</v>
      </c>
      <c r="CI1953" t="s">
        <v>111</v>
      </c>
      <c r="CJ1953" t="s">
        <v>111</v>
      </c>
      <c r="CK1953" t="s">
        <v>111</v>
      </c>
      <c r="CL1953" t="s">
        <v>111</v>
      </c>
      <c r="CM1953" t="s">
        <v>135</v>
      </c>
      <c r="CN1953" t="s">
        <v>113</v>
      </c>
      <c r="CO1953" t="s">
        <v>885</v>
      </c>
      <c r="CP1953" t="s">
        <v>111</v>
      </c>
      <c r="CQ1953">
        <v>53</v>
      </c>
      <c r="CR1953">
        <v>0</v>
      </c>
      <c r="CS1953">
        <v>200</v>
      </c>
      <c r="CT1953" s="1" t="s">
        <v>5313</v>
      </c>
      <c r="CU1953">
        <v>0</v>
      </c>
      <c r="CV1953" t="s">
        <v>111</v>
      </c>
      <c r="CW1953" t="s">
        <v>111</v>
      </c>
      <c r="CX1953" t="s">
        <v>111</v>
      </c>
      <c r="CY1953">
        <v>0</v>
      </c>
      <c r="CZ1953" t="s">
        <v>111</v>
      </c>
      <c r="DA1953" t="s">
        <v>111</v>
      </c>
      <c r="DB1953" t="s">
        <v>111</v>
      </c>
      <c r="DC1953" t="s">
        <v>111</v>
      </c>
    </row>
    <row r="1954" spans="1:107">
      <c r="A1954">
        <v>2093</v>
      </c>
      <c r="B1954" t="s">
        <v>376</v>
      </c>
      <c r="C1954" t="s">
        <v>3783</v>
      </c>
      <c r="D1954" t="s">
        <v>4194</v>
      </c>
      <c r="E1954" t="s">
        <v>5314</v>
      </c>
      <c r="F1954" t="s">
        <v>1260</v>
      </c>
      <c r="G1954" t="s">
        <v>24</v>
      </c>
      <c r="H1954">
        <v>1.9</v>
      </c>
      <c r="I1954">
        <v>40</v>
      </c>
      <c r="J1954">
        <v>0</v>
      </c>
      <c r="K1954">
        <v>0</v>
      </c>
      <c r="L1954" t="s">
        <v>117</v>
      </c>
      <c r="M1954" t="s">
        <v>118</v>
      </c>
      <c r="N1954">
        <v>40</v>
      </c>
      <c r="O1954">
        <v>1</v>
      </c>
      <c r="P1954" t="s">
        <v>111</v>
      </c>
      <c r="Q1954">
        <v>35</v>
      </c>
      <c r="R1954">
        <v>0</v>
      </c>
      <c r="S1954">
        <v>0</v>
      </c>
      <c r="T1954">
        <v>5</v>
      </c>
      <c r="U1954" s="1" t="s">
        <v>2746</v>
      </c>
      <c r="V1954">
        <v>0</v>
      </c>
      <c r="W1954">
        <v>0</v>
      </c>
      <c r="X1954">
        <v>0</v>
      </c>
      <c r="Y1954">
        <v>25</v>
      </c>
      <c r="Z1954" t="s">
        <v>111</v>
      </c>
      <c r="AA1954">
        <v>0</v>
      </c>
      <c r="AB1954" t="s">
        <v>111</v>
      </c>
      <c r="AC1954">
        <v>0</v>
      </c>
      <c r="AD1954" t="s">
        <v>416</v>
      </c>
      <c r="AE1954">
        <v>0</v>
      </c>
      <c r="AF1954">
        <v>0</v>
      </c>
      <c r="AG1954" t="s">
        <v>111</v>
      </c>
      <c r="AH1954" t="s">
        <v>111</v>
      </c>
      <c r="AI1954" t="s">
        <v>111</v>
      </c>
      <c r="AJ1954" t="s">
        <v>111</v>
      </c>
      <c r="AK1954" t="s">
        <v>111</v>
      </c>
      <c r="AL1954" t="s">
        <v>111</v>
      </c>
      <c r="AM1954">
        <v>0</v>
      </c>
      <c r="AN1954">
        <v>0</v>
      </c>
      <c r="AO1954">
        <v>0</v>
      </c>
      <c r="AP1954" t="s">
        <v>111</v>
      </c>
      <c r="AQ1954" t="s">
        <v>111</v>
      </c>
      <c r="AR1954" t="s">
        <v>111</v>
      </c>
      <c r="AS1954" t="s">
        <v>111</v>
      </c>
      <c r="AT1954" t="s">
        <v>111</v>
      </c>
      <c r="AU1954" t="s">
        <v>111</v>
      </c>
      <c r="AV1954" t="s">
        <v>111</v>
      </c>
      <c r="AW1954" t="s">
        <v>111</v>
      </c>
      <c r="AX1954" t="s">
        <v>111</v>
      </c>
      <c r="AY1954" t="s">
        <v>111</v>
      </c>
      <c r="AZ1954" t="s">
        <v>111</v>
      </c>
      <c r="BA1954" t="s">
        <v>111</v>
      </c>
      <c r="BB1954" t="s">
        <v>111</v>
      </c>
      <c r="BC1954" t="s">
        <v>111</v>
      </c>
      <c r="BD1954" t="s">
        <v>111</v>
      </c>
      <c r="BE1954" t="s">
        <v>111</v>
      </c>
      <c r="BF1954" t="s">
        <v>111</v>
      </c>
      <c r="BG1954" t="s">
        <v>111</v>
      </c>
      <c r="BH1954" t="s">
        <v>111</v>
      </c>
      <c r="BI1954" t="s">
        <v>111</v>
      </c>
      <c r="BJ1954" t="s">
        <v>111</v>
      </c>
      <c r="BK1954" t="s">
        <v>111</v>
      </c>
      <c r="BL1954" t="s">
        <v>111</v>
      </c>
      <c r="BM1954" t="s">
        <v>111</v>
      </c>
      <c r="BN1954" t="s">
        <v>111</v>
      </c>
      <c r="BO1954" t="s">
        <v>111</v>
      </c>
      <c r="BP1954" t="s">
        <v>111</v>
      </c>
      <c r="BQ1954" t="s">
        <v>111</v>
      </c>
      <c r="BR1954" t="s">
        <v>111</v>
      </c>
      <c r="BS1954" t="s">
        <v>111</v>
      </c>
      <c r="BT1954" t="s">
        <v>111</v>
      </c>
      <c r="BU1954" t="s">
        <v>111</v>
      </c>
      <c r="BV1954" t="s">
        <v>111</v>
      </c>
      <c r="BW1954" t="s">
        <v>111</v>
      </c>
      <c r="BX1954" t="s">
        <v>111</v>
      </c>
      <c r="BY1954" t="s">
        <v>111</v>
      </c>
      <c r="BZ1954" t="s">
        <v>111</v>
      </c>
      <c r="CA1954" t="s">
        <v>111</v>
      </c>
      <c r="CB1954" t="s">
        <v>111</v>
      </c>
      <c r="CC1954" t="s">
        <v>111</v>
      </c>
      <c r="CD1954" t="s">
        <v>111</v>
      </c>
      <c r="CE1954" t="s">
        <v>111</v>
      </c>
      <c r="CF1954" t="s">
        <v>111</v>
      </c>
      <c r="CG1954" t="s">
        <v>111</v>
      </c>
      <c r="CH1954" t="s">
        <v>111</v>
      </c>
      <c r="CI1954" t="s">
        <v>111</v>
      </c>
      <c r="CJ1954" t="s">
        <v>111</v>
      </c>
      <c r="CK1954" t="s">
        <v>111</v>
      </c>
      <c r="CL1954" t="s">
        <v>111</v>
      </c>
      <c r="CM1954" t="s">
        <v>135</v>
      </c>
      <c r="CN1954" t="s">
        <v>113</v>
      </c>
      <c r="CO1954" t="s">
        <v>637</v>
      </c>
      <c r="CP1954" t="s">
        <v>111</v>
      </c>
      <c r="CQ1954">
        <v>0</v>
      </c>
      <c r="CR1954">
        <v>14000</v>
      </c>
      <c r="CS1954">
        <v>2600</v>
      </c>
      <c r="CT1954" t="e">
        <f>- DESTINO ALMACEN</f>
        <v>#NAME?</v>
      </c>
      <c r="CU1954">
        <v>0</v>
      </c>
      <c r="CV1954" t="s">
        <v>111</v>
      </c>
      <c r="CX1954" t="s">
        <v>111</v>
      </c>
      <c r="CY1954">
        <v>0</v>
      </c>
      <c r="CZ1954" t="s">
        <v>111</v>
      </c>
      <c r="DA1954" t="s">
        <v>111</v>
      </c>
      <c r="DB1954" t="s">
        <v>111</v>
      </c>
      <c r="DC1954" t="s">
        <v>111</v>
      </c>
    </row>
    <row r="1955" spans="1:107">
      <c r="A1955">
        <v>1014</v>
      </c>
      <c r="B1955" t="s">
        <v>107</v>
      </c>
      <c r="C1955" t="s">
        <v>4165</v>
      </c>
      <c r="D1955" t="s">
        <v>3806</v>
      </c>
      <c r="E1955" t="s">
        <v>5315</v>
      </c>
      <c r="F1955" t="s">
        <v>110</v>
      </c>
      <c r="G1955" t="s">
        <v>24</v>
      </c>
      <c r="H1955">
        <v>1.3</v>
      </c>
      <c r="I1955">
        <v>40</v>
      </c>
      <c r="J1955">
        <v>0</v>
      </c>
      <c r="K1955">
        <v>0</v>
      </c>
      <c r="L1955" t="s">
        <v>112</v>
      </c>
      <c r="M1955" t="s">
        <v>118</v>
      </c>
      <c r="N1955">
        <v>40</v>
      </c>
      <c r="O1955">
        <v>1</v>
      </c>
      <c r="P1955" t="s">
        <v>138</v>
      </c>
      <c r="Q1955">
        <v>48</v>
      </c>
      <c r="R1955">
        <v>0</v>
      </c>
      <c r="S1955">
        <v>0</v>
      </c>
      <c r="T1955">
        <v>0</v>
      </c>
      <c r="U1955" s="1" t="s">
        <v>4998</v>
      </c>
      <c r="V1955">
        <v>0</v>
      </c>
      <c r="W1955">
        <v>0</v>
      </c>
      <c r="X1955">
        <v>0</v>
      </c>
      <c r="Y1955">
        <v>25</v>
      </c>
      <c r="Z1955" t="s">
        <v>111</v>
      </c>
      <c r="AA1955">
        <v>0</v>
      </c>
      <c r="AB1955" t="s">
        <v>111</v>
      </c>
      <c r="AC1955">
        <v>0</v>
      </c>
      <c r="AD1955" t="s">
        <v>111</v>
      </c>
      <c r="AE1955">
        <v>0</v>
      </c>
      <c r="AF1955">
        <v>0</v>
      </c>
      <c r="AG1955" t="s">
        <v>111</v>
      </c>
      <c r="AH1955" t="s">
        <v>111</v>
      </c>
      <c r="AI1955" t="s">
        <v>111</v>
      </c>
      <c r="AJ1955" t="s">
        <v>111</v>
      </c>
      <c r="AK1955" t="s">
        <v>111</v>
      </c>
      <c r="AL1955" t="s">
        <v>111</v>
      </c>
      <c r="AM1955">
        <v>0</v>
      </c>
      <c r="AN1955">
        <v>0</v>
      </c>
      <c r="AO1955">
        <v>0</v>
      </c>
      <c r="AP1955" t="s">
        <v>111</v>
      </c>
      <c r="AQ1955" t="s">
        <v>111</v>
      </c>
      <c r="AR1955" t="s">
        <v>111</v>
      </c>
      <c r="AS1955" t="s">
        <v>111</v>
      </c>
      <c r="AT1955" t="s">
        <v>111</v>
      </c>
      <c r="AU1955" t="s">
        <v>111</v>
      </c>
      <c r="AV1955" t="s">
        <v>111</v>
      </c>
      <c r="AW1955" t="s">
        <v>111</v>
      </c>
      <c r="AX1955" t="s">
        <v>111</v>
      </c>
      <c r="AY1955" t="s">
        <v>111</v>
      </c>
      <c r="AZ1955" t="s">
        <v>111</v>
      </c>
      <c r="BA1955" t="s">
        <v>111</v>
      </c>
      <c r="BB1955" t="s">
        <v>111</v>
      </c>
      <c r="BC1955" t="s">
        <v>111</v>
      </c>
      <c r="BD1955" t="s">
        <v>111</v>
      </c>
      <c r="BE1955" t="s">
        <v>111</v>
      </c>
      <c r="BF1955" t="s">
        <v>111</v>
      </c>
      <c r="BG1955" t="s">
        <v>111</v>
      </c>
      <c r="BH1955" t="s">
        <v>111</v>
      </c>
      <c r="BI1955" t="s">
        <v>111</v>
      </c>
      <c r="BJ1955" t="s">
        <v>111</v>
      </c>
      <c r="BK1955" t="s">
        <v>111</v>
      </c>
      <c r="BL1955" t="s">
        <v>111</v>
      </c>
      <c r="BM1955" t="s">
        <v>111</v>
      </c>
      <c r="BN1955" t="s">
        <v>111</v>
      </c>
      <c r="BO1955" t="s">
        <v>111</v>
      </c>
      <c r="BP1955" t="s">
        <v>111</v>
      </c>
      <c r="BQ1955" t="s">
        <v>111</v>
      </c>
      <c r="BR1955" t="s">
        <v>111</v>
      </c>
      <c r="BS1955" t="s">
        <v>111</v>
      </c>
      <c r="BT1955" t="s">
        <v>111</v>
      </c>
      <c r="BU1955" t="s">
        <v>111</v>
      </c>
      <c r="BV1955" t="s">
        <v>111</v>
      </c>
      <c r="BW1955" t="s">
        <v>111</v>
      </c>
      <c r="BX1955" t="s">
        <v>111</v>
      </c>
      <c r="BY1955" t="s">
        <v>111</v>
      </c>
      <c r="BZ1955" t="s">
        <v>111</v>
      </c>
      <c r="CA1955" t="s">
        <v>111</v>
      </c>
      <c r="CB1955" t="s">
        <v>111</v>
      </c>
      <c r="CC1955" t="s">
        <v>111</v>
      </c>
      <c r="CD1955" t="s">
        <v>111</v>
      </c>
      <c r="CE1955" t="s">
        <v>111</v>
      </c>
      <c r="CF1955" t="s">
        <v>111</v>
      </c>
      <c r="CG1955" t="s">
        <v>111</v>
      </c>
      <c r="CH1955" t="s">
        <v>111</v>
      </c>
      <c r="CI1955" t="s">
        <v>111</v>
      </c>
      <c r="CJ1955" t="s">
        <v>111</v>
      </c>
      <c r="CK1955" t="s">
        <v>111</v>
      </c>
      <c r="CL1955" t="s">
        <v>111</v>
      </c>
      <c r="CM1955" t="s">
        <v>111</v>
      </c>
      <c r="CN1955" t="s">
        <v>111</v>
      </c>
      <c r="CO1955" t="s">
        <v>111</v>
      </c>
      <c r="CP1955" t="s">
        <v>111</v>
      </c>
      <c r="CQ1955">
        <v>0</v>
      </c>
      <c r="CR1955">
        <v>0</v>
      </c>
      <c r="CS1955">
        <v>0</v>
      </c>
      <c r="CT1955" t="s">
        <v>111</v>
      </c>
      <c r="CU1955">
        <v>0</v>
      </c>
      <c r="CV1955" t="s">
        <v>111</v>
      </c>
      <c r="CW1955" t="s">
        <v>111</v>
      </c>
      <c r="CX1955" t="s">
        <v>111</v>
      </c>
      <c r="CY1955">
        <v>0</v>
      </c>
      <c r="CZ1955" t="s">
        <v>111</v>
      </c>
      <c r="DA1955" t="s">
        <v>111</v>
      </c>
      <c r="DB1955" t="s">
        <v>111</v>
      </c>
      <c r="DC1955" t="s">
        <v>111</v>
      </c>
    </row>
    <row r="1956" spans="1:107">
      <c r="A1956">
        <v>1028</v>
      </c>
      <c r="B1956" t="s">
        <v>107</v>
      </c>
      <c r="C1956" t="s">
        <v>144</v>
      </c>
      <c r="D1956" t="s">
        <v>5316</v>
      </c>
      <c r="E1956" t="s">
        <v>5317</v>
      </c>
      <c r="F1956" t="s">
        <v>1071</v>
      </c>
      <c r="G1956" t="s">
        <v>24</v>
      </c>
      <c r="H1956">
        <v>1</v>
      </c>
      <c r="I1956">
        <v>35</v>
      </c>
      <c r="J1956">
        <v>0</v>
      </c>
      <c r="K1956">
        <v>0</v>
      </c>
      <c r="L1956" t="s">
        <v>112</v>
      </c>
      <c r="M1956" t="s">
        <v>138</v>
      </c>
      <c r="N1956">
        <v>0</v>
      </c>
      <c r="O1956">
        <v>0</v>
      </c>
      <c r="P1956" t="s">
        <v>138</v>
      </c>
      <c r="Q1956">
        <v>30</v>
      </c>
      <c r="R1956">
        <v>0</v>
      </c>
      <c r="S1956">
        <v>0</v>
      </c>
      <c r="T1956">
        <v>2</v>
      </c>
      <c r="U1956" t="s">
        <v>296</v>
      </c>
      <c r="V1956">
        <v>0</v>
      </c>
      <c r="W1956">
        <v>0</v>
      </c>
      <c r="X1956">
        <v>0</v>
      </c>
      <c r="Y1956">
        <v>250</v>
      </c>
      <c r="Z1956" t="s">
        <v>111</v>
      </c>
      <c r="AA1956">
        <v>0</v>
      </c>
      <c r="AB1956" t="s">
        <v>111</v>
      </c>
      <c r="AC1956">
        <v>0</v>
      </c>
      <c r="AD1956" t="s">
        <v>111</v>
      </c>
      <c r="AE1956">
        <v>0</v>
      </c>
      <c r="AF1956">
        <v>0</v>
      </c>
      <c r="AG1956" t="s">
        <v>111</v>
      </c>
      <c r="AH1956" t="s">
        <v>111</v>
      </c>
      <c r="AI1956" t="s">
        <v>111</v>
      </c>
      <c r="AJ1956" t="s">
        <v>111</v>
      </c>
      <c r="AK1956" t="s">
        <v>111</v>
      </c>
      <c r="AL1956" t="s">
        <v>111</v>
      </c>
      <c r="AM1956">
        <v>0</v>
      </c>
      <c r="AN1956">
        <v>0</v>
      </c>
      <c r="AO1956">
        <v>0</v>
      </c>
      <c r="AP1956" t="s">
        <v>111</v>
      </c>
      <c r="AQ1956" t="s">
        <v>111</v>
      </c>
      <c r="AR1956" t="s">
        <v>111</v>
      </c>
      <c r="AS1956" t="s">
        <v>111</v>
      </c>
      <c r="AT1956" t="s">
        <v>111</v>
      </c>
      <c r="AU1956" t="s">
        <v>111</v>
      </c>
      <c r="AV1956" t="s">
        <v>111</v>
      </c>
      <c r="AW1956" t="s">
        <v>111</v>
      </c>
      <c r="AX1956" t="s">
        <v>111</v>
      </c>
      <c r="AY1956" t="s">
        <v>111</v>
      </c>
      <c r="AZ1956" t="s">
        <v>111</v>
      </c>
      <c r="BA1956" t="s">
        <v>111</v>
      </c>
      <c r="BB1956" t="s">
        <v>111</v>
      </c>
      <c r="BC1956" t="s">
        <v>111</v>
      </c>
      <c r="BD1956" t="s">
        <v>111</v>
      </c>
      <c r="BE1956" t="s">
        <v>111</v>
      </c>
      <c r="BF1956" t="s">
        <v>111</v>
      </c>
      <c r="BG1956" t="s">
        <v>111</v>
      </c>
      <c r="BH1956" t="s">
        <v>111</v>
      </c>
      <c r="BI1956" t="s">
        <v>111</v>
      </c>
      <c r="BJ1956" t="s">
        <v>111</v>
      </c>
      <c r="BK1956" t="s">
        <v>111</v>
      </c>
      <c r="BL1956" t="s">
        <v>111</v>
      </c>
      <c r="BM1956" t="s">
        <v>111</v>
      </c>
      <c r="BN1956" t="s">
        <v>111</v>
      </c>
      <c r="BO1956" t="s">
        <v>111</v>
      </c>
      <c r="BP1956" t="s">
        <v>111</v>
      </c>
      <c r="BQ1956" t="s">
        <v>111</v>
      </c>
      <c r="BR1956" t="s">
        <v>111</v>
      </c>
      <c r="BS1956" t="s">
        <v>111</v>
      </c>
      <c r="BT1956" t="s">
        <v>111</v>
      </c>
      <c r="BU1956" t="s">
        <v>111</v>
      </c>
      <c r="BV1956" t="s">
        <v>111</v>
      </c>
      <c r="BW1956" t="s">
        <v>111</v>
      </c>
      <c r="BX1956" t="s">
        <v>111</v>
      </c>
      <c r="BY1956" t="s">
        <v>111</v>
      </c>
      <c r="BZ1956" t="s">
        <v>111</v>
      </c>
      <c r="CA1956" t="s">
        <v>111</v>
      </c>
      <c r="CB1956" t="s">
        <v>111</v>
      </c>
      <c r="CC1956" t="s">
        <v>111</v>
      </c>
      <c r="CD1956" t="s">
        <v>111</v>
      </c>
      <c r="CE1956" t="s">
        <v>111</v>
      </c>
      <c r="CF1956" t="s">
        <v>111</v>
      </c>
      <c r="CG1956" t="s">
        <v>111</v>
      </c>
      <c r="CH1956" t="s">
        <v>111</v>
      </c>
      <c r="CI1956" t="s">
        <v>111</v>
      </c>
      <c r="CJ1956" t="s">
        <v>111</v>
      </c>
      <c r="CK1956" t="s">
        <v>111</v>
      </c>
      <c r="CL1956" t="s">
        <v>111</v>
      </c>
      <c r="CM1956" t="s">
        <v>135</v>
      </c>
      <c r="CN1956" t="s">
        <v>113</v>
      </c>
      <c r="CO1956" t="s">
        <v>111</v>
      </c>
      <c r="CP1956" t="s">
        <v>111</v>
      </c>
      <c r="CQ1956">
        <v>0</v>
      </c>
      <c r="CR1956">
        <v>4000</v>
      </c>
      <c r="CS1956">
        <v>250</v>
      </c>
      <c r="CT1956" s="1" t="s">
        <v>5318</v>
      </c>
      <c r="CU1956">
        <v>0</v>
      </c>
      <c r="CV1956" t="s">
        <v>111</v>
      </c>
      <c r="CW1956" t="s">
        <v>111</v>
      </c>
      <c r="CX1956" t="s">
        <v>111</v>
      </c>
      <c r="CY1956">
        <v>0</v>
      </c>
      <c r="CZ1956" t="s">
        <v>111</v>
      </c>
      <c r="DA1956" t="s">
        <v>111</v>
      </c>
      <c r="DB1956" t="s">
        <v>111</v>
      </c>
      <c r="DC1956" t="s">
        <v>111</v>
      </c>
    </row>
    <row r="1957" spans="1:107">
      <c r="A1957">
        <v>1018</v>
      </c>
      <c r="B1957" t="s">
        <v>107</v>
      </c>
      <c r="C1957" t="s">
        <v>4324</v>
      </c>
      <c r="D1957" t="s">
        <v>5319</v>
      </c>
      <c r="E1957" t="s">
        <v>5320</v>
      </c>
      <c r="F1957" t="s">
        <v>110</v>
      </c>
      <c r="G1957" t="s">
        <v>24</v>
      </c>
      <c r="H1957">
        <v>1.85</v>
      </c>
      <c r="I1957">
        <v>50</v>
      </c>
      <c r="J1957">
        <v>0</v>
      </c>
      <c r="K1957">
        <v>0</v>
      </c>
      <c r="L1957" t="s">
        <v>112</v>
      </c>
      <c r="M1957" t="s">
        <v>138</v>
      </c>
      <c r="N1957">
        <v>0</v>
      </c>
      <c r="O1957">
        <v>0</v>
      </c>
      <c r="P1957" t="s">
        <v>111</v>
      </c>
      <c r="Q1957">
        <v>40</v>
      </c>
      <c r="R1957">
        <v>0</v>
      </c>
      <c r="S1957">
        <v>0</v>
      </c>
      <c r="T1957">
        <v>0</v>
      </c>
      <c r="U1957" t="s">
        <v>394</v>
      </c>
      <c r="V1957">
        <v>0</v>
      </c>
      <c r="W1957">
        <v>0</v>
      </c>
      <c r="X1957">
        <v>0</v>
      </c>
      <c r="Y1957">
        <v>25</v>
      </c>
      <c r="Z1957" t="s">
        <v>111</v>
      </c>
      <c r="AA1957">
        <v>0</v>
      </c>
      <c r="AB1957" t="s">
        <v>111</v>
      </c>
      <c r="AC1957">
        <v>0</v>
      </c>
      <c r="AD1957" t="s">
        <v>111</v>
      </c>
      <c r="AE1957">
        <v>0</v>
      </c>
      <c r="AF1957">
        <v>0</v>
      </c>
      <c r="AG1957" t="s">
        <v>111</v>
      </c>
      <c r="AH1957" t="s">
        <v>111</v>
      </c>
      <c r="AI1957" t="s">
        <v>111</v>
      </c>
      <c r="AJ1957" t="s">
        <v>111</v>
      </c>
      <c r="AK1957" t="s">
        <v>111</v>
      </c>
      <c r="AL1957" t="s">
        <v>111</v>
      </c>
      <c r="AM1957">
        <v>0</v>
      </c>
      <c r="AN1957">
        <v>0</v>
      </c>
      <c r="AO1957">
        <v>0</v>
      </c>
      <c r="AP1957" t="s">
        <v>111</v>
      </c>
      <c r="AQ1957" t="s">
        <v>111</v>
      </c>
      <c r="AR1957" t="s">
        <v>111</v>
      </c>
      <c r="AS1957" t="s">
        <v>111</v>
      </c>
      <c r="AT1957" t="s">
        <v>111</v>
      </c>
      <c r="AU1957" t="s">
        <v>111</v>
      </c>
      <c r="AV1957" t="s">
        <v>111</v>
      </c>
      <c r="AW1957" t="s">
        <v>111</v>
      </c>
      <c r="AX1957" t="s">
        <v>111</v>
      </c>
      <c r="AY1957" t="s">
        <v>111</v>
      </c>
      <c r="AZ1957" t="s">
        <v>111</v>
      </c>
      <c r="BA1957" t="s">
        <v>111</v>
      </c>
      <c r="BB1957" t="s">
        <v>111</v>
      </c>
      <c r="BC1957" t="s">
        <v>111</v>
      </c>
      <c r="BD1957" t="s">
        <v>111</v>
      </c>
      <c r="BE1957" t="s">
        <v>111</v>
      </c>
      <c r="BF1957" t="s">
        <v>111</v>
      </c>
      <c r="BG1957" t="s">
        <v>111</v>
      </c>
      <c r="BH1957" t="s">
        <v>111</v>
      </c>
      <c r="BI1957" t="s">
        <v>111</v>
      </c>
      <c r="BJ1957" t="s">
        <v>111</v>
      </c>
      <c r="BK1957" t="s">
        <v>111</v>
      </c>
      <c r="BL1957" t="s">
        <v>111</v>
      </c>
      <c r="BM1957" t="s">
        <v>111</v>
      </c>
      <c r="BN1957" t="s">
        <v>111</v>
      </c>
      <c r="BO1957" t="s">
        <v>111</v>
      </c>
      <c r="BP1957" t="s">
        <v>111</v>
      </c>
      <c r="BQ1957" t="s">
        <v>111</v>
      </c>
      <c r="BR1957" t="s">
        <v>111</v>
      </c>
      <c r="BS1957" t="s">
        <v>111</v>
      </c>
      <c r="BT1957" t="s">
        <v>111</v>
      </c>
      <c r="BU1957" t="s">
        <v>111</v>
      </c>
      <c r="BV1957" t="s">
        <v>111</v>
      </c>
      <c r="BW1957" t="s">
        <v>111</v>
      </c>
      <c r="BX1957" t="s">
        <v>111</v>
      </c>
      <c r="BY1957" t="s">
        <v>111</v>
      </c>
      <c r="BZ1957" t="s">
        <v>111</v>
      </c>
      <c r="CA1957" t="s">
        <v>111</v>
      </c>
      <c r="CB1957" t="s">
        <v>111</v>
      </c>
      <c r="CC1957" t="s">
        <v>111</v>
      </c>
      <c r="CD1957" t="s">
        <v>111</v>
      </c>
      <c r="CE1957" t="s">
        <v>111</v>
      </c>
      <c r="CF1957" t="s">
        <v>111</v>
      </c>
      <c r="CG1957" t="s">
        <v>111</v>
      </c>
      <c r="CH1957" t="s">
        <v>111</v>
      </c>
      <c r="CI1957" t="s">
        <v>111</v>
      </c>
      <c r="CJ1957" t="s">
        <v>111</v>
      </c>
      <c r="CK1957" t="s">
        <v>111</v>
      </c>
      <c r="CL1957" t="s">
        <v>111</v>
      </c>
      <c r="CM1957" t="s">
        <v>111</v>
      </c>
      <c r="CN1957" t="s">
        <v>111</v>
      </c>
      <c r="CO1957" t="s">
        <v>111</v>
      </c>
      <c r="CP1957" t="s">
        <v>111</v>
      </c>
      <c r="CQ1957">
        <v>0</v>
      </c>
      <c r="CR1957">
        <v>0</v>
      </c>
      <c r="CS1957">
        <v>0</v>
      </c>
      <c r="CT1957" t="s">
        <v>111</v>
      </c>
      <c r="CU1957">
        <v>0</v>
      </c>
      <c r="CV1957" t="s">
        <v>111</v>
      </c>
      <c r="CW1957" t="s">
        <v>111</v>
      </c>
      <c r="CX1957" t="s">
        <v>111</v>
      </c>
      <c r="CY1957">
        <v>0</v>
      </c>
      <c r="CZ1957" t="s">
        <v>111</v>
      </c>
      <c r="DA1957" t="s">
        <v>111</v>
      </c>
      <c r="DB1957" t="s">
        <v>111</v>
      </c>
      <c r="DC1957" t="s">
        <v>111</v>
      </c>
    </row>
    <row r="1958" spans="1:107">
      <c r="A1958">
        <v>1016</v>
      </c>
      <c r="B1958" t="s">
        <v>107</v>
      </c>
      <c r="C1958" t="s">
        <v>405</v>
      </c>
      <c r="D1958" t="s">
        <v>5321</v>
      </c>
      <c r="E1958" t="s">
        <v>5322</v>
      </c>
      <c r="F1958" t="s">
        <v>110</v>
      </c>
      <c r="G1958" t="s">
        <v>24</v>
      </c>
      <c r="H1958">
        <v>0.9</v>
      </c>
      <c r="I1958">
        <v>52.2</v>
      </c>
      <c r="J1958">
        <v>0</v>
      </c>
      <c r="K1958">
        <v>0</v>
      </c>
      <c r="L1958" t="s">
        <v>112</v>
      </c>
      <c r="M1958" t="s">
        <v>138</v>
      </c>
      <c r="N1958">
        <v>0</v>
      </c>
      <c r="O1958">
        <v>0</v>
      </c>
      <c r="P1958" t="s">
        <v>138</v>
      </c>
      <c r="Q1958">
        <v>52.5</v>
      </c>
      <c r="R1958">
        <v>0</v>
      </c>
      <c r="S1958">
        <v>0</v>
      </c>
      <c r="T1958">
        <v>0</v>
      </c>
      <c r="U1958" s="1" t="s">
        <v>5323</v>
      </c>
      <c r="V1958">
        <v>0</v>
      </c>
      <c r="W1958">
        <v>25</v>
      </c>
      <c r="X1958">
        <v>5</v>
      </c>
      <c r="Y1958">
        <v>0</v>
      </c>
      <c r="Z1958" t="s">
        <v>111</v>
      </c>
      <c r="AA1958">
        <v>0</v>
      </c>
      <c r="AB1958" t="s">
        <v>111</v>
      </c>
      <c r="AC1958">
        <v>0</v>
      </c>
      <c r="AD1958" t="s">
        <v>111</v>
      </c>
      <c r="AE1958">
        <v>0</v>
      </c>
      <c r="AF1958">
        <v>0</v>
      </c>
      <c r="AG1958" t="s">
        <v>111</v>
      </c>
      <c r="AH1958" t="s">
        <v>111</v>
      </c>
      <c r="AI1958" t="s">
        <v>111</v>
      </c>
      <c r="AJ1958" t="s">
        <v>111</v>
      </c>
      <c r="AK1958" t="s">
        <v>111</v>
      </c>
      <c r="AL1958" t="s">
        <v>111</v>
      </c>
      <c r="AM1958">
        <v>0</v>
      </c>
      <c r="AN1958">
        <v>0</v>
      </c>
      <c r="AO1958">
        <v>0</v>
      </c>
      <c r="AP1958" t="s">
        <v>111</v>
      </c>
      <c r="AQ1958" t="s">
        <v>111</v>
      </c>
      <c r="AR1958" t="s">
        <v>111</v>
      </c>
      <c r="AS1958" t="s">
        <v>111</v>
      </c>
      <c r="AT1958" t="s">
        <v>111</v>
      </c>
      <c r="AU1958" t="s">
        <v>111</v>
      </c>
      <c r="AV1958" t="s">
        <v>111</v>
      </c>
      <c r="AW1958" t="s">
        <v>111</v>
      </c>
      <c r="AX1958" t="s">
        <v>111</v>
      </c>
      <c r="AY1958" t="s">
        <v>111</v>
      </c>
      <c r="AZ1958" t="s">
        <v>111</v>
      </c>
      <c r="BA1958" t="s">
        <v>111</v>
      </c>
      <c r="BB1958" t="s">
        <v>111</v>
      </c>
      <c r="BC1958" t="s">
        <v>111</v>
      </c>
      <c r="BD1958" t="s">
        <v>111</v>
      </c>
      <c r="BE1958" t="s">
        <v>111</v>
      </c>
      <c r="BF1958" t="s">
        <v>111</v>
      </c>
      <c r="BG1958" t="s">
        <v>111</v>
      </c>
      <c r="BH1958" t="s">
        <v>111</v>
      </c>
      <c r="BI1958" t="s">
        <v>111</v>
      </c>
      <c r="BJ1958" t="s">
        <v>111</v>
      </c>
      <c r="BK1958" t="s">
        <v>111</v>
      </c>
      <c r="BL1958" t="s">
        <v>111</v>
      </c>
      <c r="BM1958" t="s">
        <v>111</v>
      </c>
      <c r="BN1958" t="s">
        <v>111</v>
      </c>
      <c r="BO1958" t="s">
        <v>111</v>
      </c>
      <c r="BP1958" t="s">
        <v>111</v>
      </c>
      <c r="BQ1958" t="s">
        <v>111</v>
      </c>
      <c r="BR1958" t="s">
        <v>111</v>
      </c>
      <c r="BS1958" t="s">
        <v>111</v>
      </c>
      <c r="BT1958" t="s">
        <v>111</v>
      </c>
      <c r="BU1958" t="s">
        <v>111</v>
      </c>
      <c r="BV1958" t="s">
        <v>111</v>
      </c>
      <c r="BW1958" t="s">
        <v>111</v>
      </c>
      <c r="BX1958" t="s">
        <v>111</v>
      </c>
      <c r="BY1958" t="s">
        <v>111</v>
      </c>
      <c r="BZ1958" t="s">
        <v>111</v>
      </c>
      <c r="CA1958" t="s">
        <v>111</v>
      </c>
      <c r="CB1958" t="s">
        <v>111</v>
      </c>
      <c r="CC1958" t="s">
        <v>111</v>
      </c>
      <c r="CD1958" t="s">
        <v>111</v>
      </c>
      <c r="CE1958" t="s">
        <v>111</v>
      </c>
      <c r="CF1958" t="s">
        <v>111</v>
      </c>
      <c r="CG1958" t="s">
        <v>111</v>
      </c>
      <c r="CH1958" t="s">
        <v>111</v>
      </c>
      <c r="CI1958" t="s">
        <v>111</v>
      </c>
      <c r="CJ1958" t="s">
        <v>111</v>
      </c>
      <c r="CK1958" t="s">
        <v>111</v>
      </c>
      <c r="CL1958" t="s">
        <v>111</v>
      </c>
      <c r="CM1958" t="s">
        <v>111</v>
      </c>
      <c r="CN1958" t="s">
        <v>111</v>
      </c>
      <c r="CO1958" t="s">
        <v>111</v>
      </c>
      <c r="CP1958" t="s">
        <v>111</v>
      </c>
      <c r="CQ1958">
        <v>0</v>
      </c>
      <c r="CR1958">
        <v>0</v>
      </c>
      <c r="CS1958">
        <v>0</v>
      </c>
      <c r="CT1958" t="s">
        <v>111</v>
      </c>
      <c r="CU1958">
        <v>0</v>
      </c>
      <c r="CV1958" t="s">
        <v>111</v>
      </c>
      <c r="CW1958" t="s">
        <v>111</v>
      </c>
      <c r="CX1958" t="s">
        <v>111</v>
      </c>
      <c r="CY1958">
        <v>0</v>
      </c>
      <c r="CZ1958" t="s">
        <v>111</v>
      </c>
      <c r="DA1958" t="s">
        <v>111</v>
      </c>
      <c r="DB1958" t="s">
        <v>111</v>
      </c>
      <c r="DC1958" t="s">
        <v>111</v>
      </c>
    </row>
    <row r="1959" spans="1:107">
      <c r="A1959">
        <v>1039</v>
      </c>
      <c r="B1959" t="s">
        <v>107</v>
      </c>
      <c r="C1959" t="s">
        <v>3608</v>
      </c>
      <c r="D1959" t="s">
        <v>5324</v>
      </c>
      <c r="E1959" t="s">
        <v>5325</v>
      </c>
      <c r="F1959" t="s">
        <v>110</v>
      </c>
      <c r="G1959" t="s">
        <v>24</v>
      </c>
      <c r="H1959">
        <v>1</v>
      </c>
      <c r="I1959">
        <v>35</v>
      </c>
      <c r="J1959">
        <v>0</v>
      </c>
      <c r="K1959">
        <v>0</v>
      </c>
      <c r="L1959" t="s">
        <v>178</v>
      </c>
      <c r="M1959" t="s">
        <v>138</v>
      </c>
      <c r="N1959">
        <v>0</v>
      </c>
      <c r="O1959">
        <v>0</v>
      </c>
      <c r="P1959" t="s">
        <v>138</v>
      </c>
      <c r="Q1959">
        <v>32</v>
      </c>
      <c r="R1959">
        <v>0</v>
      </c>
      <c r="S1959">
        <v>0</v>
      </c>
      <c r="T1959">
        <v>0</v>
      </c>
      <c r="U1959" s="1" t="s">
        <v>5326</v>
      </c>
      <c r="V1959">
        <v>0</v>
      </c>
      <c r="W1959">
        <v>0</v>
      </c>
      <c r="X1959">
        <v>0</v>
      </c>
      <c r="Y1959">
        <v>25</v>
      </c>
      <c r="Z1959" t="s">
        <v>111</v>
      </c>
      <c r="AA1959">
        <v>0</v>
      </c>
      <c r="AB1959" t="s">
        <v>111</v>
      </c>
      <c r="AC1959">
        <v>0</v>
      </c>
      <c r="AD1959" t="s">
        <v>111</v>
      </c>
      <c r="AE1959">
        <v>0</v>
      </c>
      <c r="AF1959">
        <v>0</v>
      </c>
      <c r="AG1959" t="s">
        <v>111</v>
      </c>
      <c r="AH1959" t="s">
        <v>111</v>
      </c>
      <c r="AI1959" t="s">
        <v>111</v>
      </c>
      <c r="AJ1959" t="s">
        <v>111</v>
      </c>
      <c r="AK1959" t="s">
        <v>111</v>
      </c>
      <c r="AL1959" t="s">
        <v>111</v>
      </c>
      <c r="AM1959">
        <v>0</v>
      </c>
      <c r="AN1959">
        <v>0</v>
      </c>
      <c r="AO1959">
        <v>0</v>
      </c>
      <c r="AP1959" t="s">
        <v>111</v>
      </c>
      <c r="AQ1959" t="s">
        <v>111</v>
      </c>
      <c r="AR1959" t="s">
        <v>111</v>
      </c>
      <c r="AS1959" t="s">
        <v>111</v>
      </c>
      <c r="AT1959" t="s">
        <v>111</v>
      </c>
      <c r="AU1959" t="s">
        <v>111</v>
      </c>
      <c r="AV1959" t="s">
        <v>111</v>
      </c>
      <c r="AW1959" t="s">
        <v>111</v>
      </c>
      <c r="AX1959" t="s">
        <v>111</v>
      </c>
      <c r="AY1959" t="s">
        <v>111</v>
      </c>
      <c r="AZ1959" t="s">
        <v>111</v>
      </c>
      <c r="BA1959" t="s">
        <v>111</v>
      </c>
      <c r="BB1959" t="s">
        <v>111</v>
      </c>
      <c r="BC1959" t="s">
        <v>111</v>
      </c>
      <c r="BD1959" t="s">
        <v>111</v>
      </c>
      <c r="BE1959" t="s">
        <v>111</v>
      </c>
      <c r="BF1959" t="s">
        <v>111</v>
      </c>
      <c r="BG1959" t="s">
        <v>111</v>
      </c>
      <c r="BH1959" t="s">
        <v>111</v>
      </c>
      <c r="BI1959" t="s">
        <v>111</v>
      </c>
      <c r="BJ1959" t="s">
        <v>111</v>
      </c>
      <c r="BK1959" t="s">
        <v>111</v>
      </c>
      <c r="BL1959" t="s">
        <v>111</v>
      </c>
      <c r="BM1959" t="s">
        <v>111</v>
      </c>
      <c r="BN1959" t="s">
        <v>111</v>
      </c>
      <c r="BO1959" t="s">
        <v>111</v>
      </c>
      <c r="BP1959" t="s">
        <v>111</v>
      </c>
      <c r="BQ1959" t="s">
        <v>111</v>
      </c>
      <c r="BR1959" t="s">
        <v>111</v>
      </c>
      <c r="BS1959" t="s">
        <v>111</v>
      </c>
      <c r="BT1959" t="s">
        <v>111</v>
      </c>
      <c r="BU1959" t="s">
        <v>111</v>
      </c>
      <c r="BV1959" t="s">
        <v>111</v>
      </c>
      <c r="BW1959" t="s">
        <v>111</v>
      </c>
      <c r="BX1959" t="s">
        <v>111</v>
      </c>
      <c r="BY1959" t="s">
        <v>111</v>
      </c>
      <c r="BZ1959" t="s">
        <v>111</v>
      </c>
      <c r="CA1959" t="s">
        <v>111</v>
      </c>
      <c r="CB1959" t="s">
        <v>111</v>
      </c>
      <c r="CC1959" t="s">
        <v>111</v>
      </c>
      <c r="CD1959" t="s">
        <v>111</v>
      </c>
      <c r="CE1959" t="s">
        <v>111</v>
      </c>
      <c r="CF1959" t="s">
        <v>111</v>
      </c>
      <c r="CG1959" t="s">
        <v>111</v>
      </c>
      <c r="CH1959" t="s">
        <v>111</v>
      </c>
      <c r="CI1959" t="s">
        <v>111</v>
      </c>
      <c r="CJ1959" t="s">
        <v>111</v>
      </c>
      <c r="CK1959" t="s">
        <v>111</v>
      </c>
      <c r="CL1959" t="s">
        <v>111</v>
      </c>
      <c r="CM1959" t="s">
        <v>111</v>
      </c>
      <c r="CN1959" t="s">
        <v>111</v>
      </c>
      <c r="CO1959" t="s">
        <v>111</v>
      </c>
      <c r="CP1959" t="s">
        <v>111</v>
      </c>
      <c r="CQ1959">
        <v>0</v>
      </c>
      <c r="CR1959">
        <v>0</v>
      </c>
      <c r="CS1959">
        <v>0</v>
      </c>
      <c r="CT1959" t="s">
        <v>111</v>
      </c>
      <c r="CU1959">
        <v>0</v>
      </c>
      <c r="CV1959" t="s">
        <v>111</v>
      </c>
      <c r="CW1959" t="s">
        <v>111</v>
      </c>
      <c r="CX1959" t="s">
        <v>111</v>
      </c>
      <c r="CY1959">
        <v>0</v>
      </c>
      <c r="CZ1959" t="s">
        <v>111</v>
      </c>
      <c r="DA1959" t="s">
        <v>111</v>
      </c>
      <c r="DB1959" t="s">
        <v>111</v>
      </c>
      <c r="DC1959" t="s">
        <v>111</v>
      </c>
    </row>
    <row r="1960" spans="1:107">
      <c r="A1960">
        <v>1038</v>
      </c>
      <c r="B1960" t="s">
        <v>107</v>
      </c>
      <c r="C1960" t="s">
        <v>3608</v>
      </c>
      <c r="D1960" t="s">
        <v>5327</v>
      </c>
      <c r="E1960" t="s">
        <v>5328</v>
      </c>
      <c r="F1960" t="s">
        <v>4420</v>
      </c>
      <c r="G1960" t="s">
        <v>24</v>
      </c>
      <c r="H1960">
        <v>2</v>
      </c>
      <c r="I1960">
        <v>27</v>
      </c>
      <c r="J1960">
        <v>0</v>
      </c>
      <c r="K1960">
        <v>0</v>
      </c>
      <c r="L1960" t="s">
        <v>178</v>
      </c>
      <c r="M1960" t="s">
        <v>111</v>
      </c>
      <c r="N1960">
        <v>0</v>
      </c>
      <c r="O1960">
        <v>0</v>
      </c>
      <c r="P1960" t="s">
        <v>138</v>
      </c>
      <c r="Q1960">
        <v>25</v>
      </c>
      <c r="R1960">
        <v>0</v>
      </c>
      <c r="S1960">
        <v>0</v>
      </c>
      <c r="T1960">
        <v>0</v>
      </c>
      <c r="U1960" s="1" t="s">
        <v>5329</v>
      </c>
      <c r="V1960">
        <v>0</v>
      </c>
      <c r="W1960">
        <v>0</v>
      </c>
      <c r="X1960">
        <v>0</v>
      </c>
      <c r="Y1960">
        <v>25</v>
      </c>
      <c r="Z1960" t="s">
        <v>111</v>
      </c>
      <c r="AA1960">
        <v>0</v>
      </c>
      <c r="AB1960" t="s">
        <v>111</v>
      </c>
      <c r="AC1960">
        <v>0</v>
      </c>
      <c r="AD1960" t="s">
        <v>111</v>
      </c>
      <c r="AE1960">
        <v>0</v>
      </c>
      <c r="AF1960">
        <v>0</v>
      </c>
      <c r="AG1960" t="s">
        <v>111</v>
      </c>
      <c r="AH1960" t="s">
        <v>111</v>
      </c>
      <c r="AI1960" t="s">
        <v>111</v>
      </c>
      <c r="AJ1960" t="s">
        <v>111</v>
      </c>
      <c r="AK1960" t="s">
        <v>111</v>
      </c>
      <c r="AL1960" t="s">
        <v>111</v>
      </c>
      <c r="AM1960">
        <v>0</v>
      </c>
      <c r="AN1960">
        <v>0</v>
      </c>
      <c r="AO1960">
        <v>0</v>
      </c>
      <c r="AP1960" t="s">
        <v>111</v>
      </c>
      <c r="AQ1960" t="s">
        <v>111</v>
      </c>
      <c r="AR1960" t="s">
        <v>111</v>
      </c>
      <c r="AS1960" t="s">
        <v>111</v>
      </c>
      <c r="AT1960" t="s">
        <v>111</v>
      </c>
      <c r="AU1960" t="s">
        <v>111</v>
      </c>
      <c r="AV1960" t="s">
        <v>111</v>
      </c>
      <c r="AW1960" t="s">
        <v>111</v>
      </c>
      <c r="AX1960" t="s">
        <v>111</v>
      </c>
      <c r="AY1960" t="s">
        <v>111</v>
      </c>
      <c r="AZ1960" t="s">
        <v>111</v>
      </c>
      <c r="BA1960" t="s">
        <v>111</v>
      </c>
      <c r="BB1960" t="s">
        <v>111</v>
      </c>
      <c r="BC1960" t="s">
        <v>111</v>
      </c>
      <c r="BD1960" t="s">
        <v>111</v>
      </c>
      <c r="BE1960" t="s">
        <v>111</v>
      </c>
      <c r="BF1960" t="s">
        <v>111</v>
      </c>
      <c r="BG1960" t="s">
        <v>111</v>
      </c>
      <c r="BH1960" t="s">
        <v>111</v>
      </c>
      <c r="BI1960" t="s">
        <v>111</v>
      </c>
      <c r="BJ1960" t="s">
        <v>111</v>
      </c>
      <c r="BK1960" t="s">
        <v>111</v>
      </c>
      <c r="BL1960" t="s">
        <v>111</v>
      </c>
      <c r="BM1960" t="s">
        <v>111</v>
      </c>
      <c r="BN1960" t="s">
        <v>111</v>
      </c>
      <c r="BO1960" t="s">
        <v>111</v>
      </c>
      <c r="BP1960" t="s">
        <v>111</v>
      </c>
      <c r="BQ1960" t="s">
        <v>111</v>
      </c>
      <c r="BR1960" t="s">
        <v>111</v>
      </c>
      <c r="BS1960" t="s">
        <v>111</v>
      </c>
      <c r="BT1960" t="s">
        <v>111</v>
      </c>
      <c r="BU1960" t="s">
        <v>111</v>
      </c>
      <c r="BV1960" t="s">
        <v>111</v>
      </c>
      <c r="BW1960" t="s">
        <v>111</v>
      </c>
      <c r="BX1960" t="s">
        <v>111</v>
      </c>
      <c r="BY1960" t="s">
        <v>111</v>
      </c>
      <c r="BZ1960" t="s">
        <v>111</v>
      </c>
      <c r="CA1960" t="s">
        <v>111</v>
      </c>
      <c r="CB1960" t="s">
        <v>111</v>
      </c>
      <c r="CC1960" t="s">
        <v>111</v>
      </c>
      <c r="CD1960" t="s">
        <v>111</v>
      </c>
      <c r="CE1960" t="s">
        <v>111</v>
      </c>
      <c r="CF1960" t="s">
        <v>111</v>
      </c>
      <c r="CG1960" t="s">
        <v>111</v>
      </c>
      <c r="CH1960" t="s">
        <v>111</v>
      </c>
      <c r="CI1960" t="s">
        <v>111</v>
      </c>
      <c r="CJ1960" t="s">
        <v>111</v>
      </c>
      <c r="CK1960" t="s">
        <v>111</v>
      </c>
      <c r="CL1960" t="s">
        <v>111</v>
      </c>
      <c r="CM1960" t="s">
        <v>111</v>
      </c>
      <c r="CN1960" t="s">
        <v>111</v>
      </c>
      <c r="CO1960" t="s">
        <v>111</v>
      </c>
      <c r="CP1960" t="s">
        <v>111</v>
      </c>
      <c r="CQ1960">
        <v>0</v>
      </c>
      <c r="CR1960">
        <v>0</v>
      </c>
      <c r="CS1960">
        <v>0</v>
      </c>
      <c r="CT1960" t="s">
        <v>111</v>
      </c>
      <c r="CU1960">
        <v>0</v>
      </c>
      <c r="CV1960" t="s">
        <v>111</v>
      </c>
      <c r="CW1960" t="s">
        <v>111</v>
      </c>
      <c r="CX1960" t="s">
        <v>111</v>
      </c>
      <c r="CY1960">
        <v>0</v>
      </c>
      <c r="CZ1960" t="s">
        <v>111</v>
      </c>
      <c r="DA1960" t="s">
        <v>111</v>
      </c>
      <c r="DB1960" t="s">
        <v>111</v>
      </c>
      <c r="DC1960" t="s">
        <v>111</v>
      </c>
    </row>
    <row r="1961" spans="1:107">
      <c r="A1961">
        <v>1056</v>
      </c>
      <c r="B1961" t="s">
        <v>107</v>
      </c>
      <c r="C1961" t="s">
        <v>4386</v>
      </c>
      <c r="D1961" t="s">
        <v>4387</v>
      </c>
      <c r="E1961" t="s">
        <v>5330</v>
      </c>
      <c r="F1961" t="s">
        <v>2211</v>
      </c>
      <c r="G1961" t="s">
        <v>24</v>
      </c>
      <c r="H1961">
        <v>1</v>
      </c>
      <c r="I1961">
        <v>28</v>
      </c>
      <c r="J1961">
        <v>0</v>
      </c>
      <c r="K1961">
        <v>0</v>
      </c>
      <c r="L1961" t="s">
        <v>5331</v>
      </c>
      <c r="M1961" t="s">
        <v>138</v>
      </c>
      <c r="N1961">
        <v>0</v>
      </c>
      <c r="O1961">
        <v>0</v>
      </c>
      <c r="P1961" t="s">
        <v>138</v>
      </c>
      <c r="Q1961">
        <v>31.2</v>
      </c>
      <c r="R1961">
        <v>0</v>
      </c>
      <c r="S1961">
        <v>0</v>
      </c>
      <c r="T1961">
        <v>0</v>
      </c>
      <c r="U1961" s="1" t="s">
        <v>5332</v>
      </c>
      <c r="V1961">
        <v>0</v>
      </c>
      <c r="W1961">
        <v>0</v>
      </c>
      <c r="X1961">
        <v>0</v>
      </c>
      <c r="Y1961">
        <v>25</v>
      </c>
      <c r="Z1961" t="s">
        <v>111</v>
      </c>
      <c r="AA1961">
        <v>0</v>
      </c>
      <c r="AB1961" t="s">
        <v>5333</v>
      </c>
      <c r="AC1961">
        <v>0.3</v>
      </c>
      <c r="AD1961" t="s">
        <v>111</v>
      </c>
      <c r="AE1961">
        <v>0</v>
      </c>
      <c r="AF1961">
        <v>0</v>
      </c>
      <c r="AG1961" t="s">
        <v>111</v>
      </c>
      <c r="AH1961" t="s">
        <v>111</v>
      </c>
      <c r="AI1961" t="s">
        <v>111</v>
      </c>
      <c r="AJ1961" t="s">
        <v>111</v>
      </c>
      <c r="AK1961" t="s">
        <v>111</v>
      </c>
      <c r="AL1961" t="s">
        <v>111</v>
      </c>
      <c r="AM1961">
        <v>0</v>
      </c>
      <c r="AN1961">
        <v>0</v>
      </c>
      <c r="AO1961">
        <v>0</v>
      </c>
      <c r="AP1961" t="s">
        <v>111</v>
      </c>
      <c r="AQ1961" t="s">
        <v>111</v>
      </c>
      <c r="AR1961" t="s">
        <v>111</v>
      </c>
      <c r="AS1961" t="s">
        <v>111</v>
      </c>
      <c r="AT1961" t="s">
        <v>111</v>
      </c>
      <c r="AU1961" t="s">
        <v>111</v>
      </c>
      <c r="AV1961" t="s">
        <v>111</v>
      </c>
      <c r="AW1961" t="s">
        <v>111</v>
      </c>
      <c r="AX1961" t="s">
        <v>111</v>
      </c>
      <c r="AY1961" t="s">
        <v>111</v>
      </c>
      <c r="AZ1961" t="s">
        <v>111</v>
      </c>
      <c r="BA1961" t="s">
        <v>111</v>
      </c>
      <c r="BB1961" t="s">
        <v>111</v>
      </c>
      <c r="BC1961" t="s">
        <v>111</v>
      </c>
      <c r="BD1961" t="s">
        <v>111</v>
      </c>
      <c r="BE1961" t="s">
        <v>111</v>
      </c>
      <c r="BF1961" t="s">
        <v>111</v>
      </c>
      <c r="BG1961" t="s">
        <v>111</v>
      </c>
      <c r="BH1961" t="s">
        <v>111</v>
      </c>
      <c r="BI1961" t="s">
        <v>111</v>
      </c>
      <c r="BJ1961" t="s">
        <v>111</v>
      </c>
      <c r="BK1961" t="s">
        <v>111</v>
      </c>
      <c r="BL1961" t="s">
        <v>111</v>
      </c>
      <c r="BM1961" t="s">
        <v>111</v>
      </c>
      <c r="BN1961" t="s">
        <v>111</v>
      </c>
      <c r="BO1961" t="s">
        <v>111</v>
      </c>
      <c r="BP1961" t="s">
        <v>111</v>
      </c>
      <c r="BQ1961" t="s">
        <v>111</v>
      </c>
      <c r="BR1961" t="s">
        <v>111</v>
      </c>
      <c r="BS1961" t="s">
        <v>111</v>
      </c>
      <c r="BT1961" t="s">
        <v>111</v>
      </c>
      <c r="BU1961" t="s">
        <v>111</v>
      </c>
      <c r="BV1961" t="s">
        <v>111</v>
      </c>
      <c r="BW1961" t="s">
        <v>111</v>
      </c>
      <c r="BX1961" t="s">
        <v>111</v>
      </c>
      <c r="BY1961" t="s">
        <v>111</v>
      </c>
      <c r="BZ1961" t="s">
        <v>111</v>
      </c>
      <c r="CA1961" t="s">
        <v>111</v>
      </c>
      <c r="CB1961" t="s">
        <v>111</v>
      </c>
      <c r="CC1961" t="s">
        <v>111</v>
      </c>
      <c r="CD1961" t="s">
        <v>111</v>
      </c>
      <c r="CE1961" t="s">
        <v>111</v>
      </c>
      <c r="CF1961" t="s">
        <v>111</v>
      </c>
      <c r="CG1961" t="s">
        <v>111</v>
      </c>
      <c r="CH1961" t="s">
        <v>111</v>
      </c>
      <c r="CI1961" t="s">
        <v>111</v>
      </c>
      <c r="CJ1961" t="s">
        <v>111</v>
      </c>
      <c r="CK1961" t="s">
        <v>111</v>
      </c>
      <c r="CL1961" t="s">
        <v>111</v>
      </c>
      <c r="CM1961" t="s">
        <v>111</v>
      </c>
      <c r="CN1961" t="s">
        <v>111</v>
      </c>
      <c r="CO1961" t="s">
        <v>111</v>
      </c>
      <c r="CP1961" t="s">
        <v>111</v>
      </c>
      <c r="CQ1961">
        <v>0</v>
      </c>
      <c r="CR1961">
        <v>0</v>
      </c>
      <c r="CS1961">
        <v>0</v>
      </c>
      <c r="CT1961" t="s">
        <v>111</v>
      </c>
      <c r="CU1961">
        <v>0</v>
      </c>
      <c r="CV1961" t="s">
        <v>111</v>
      </c>
      <c r="CW1961" t="s">
        <v>111</v>
      </c>
      <c r="CX1961" t="s">
        <v>111</v>
      </c>
      <c r="CY1961">
        <v>0</v>
      </c>
      <c r="CZ1961" t="s">
        <v>111</v>
      </c>
      <c r="DA1961" t="s">
        <v>111</v>
      </c>
      <c r="DB1961" t="s">
        <v>111</v>
      </c>
      <c r="DC1961" t="s">
        <v>111</v>
      </c>
    </row>
    <row r="1962" spans="1:107">
      <c r="A1962">
        <v>1605</v>
      </c>
      <c r="B1962" t="s">
        <v>107</v>
      </c>
      <c r="C1962" t="s">
        <v>1896</v>
      </c>
      <c r="D1962" t="s">
        <v>5334</v>
      </c>
      <c r="E1962" t="s">
        <v>5335</v>
      </c>
      <c r="F1962" t="s">
        <v>287</v>
      </c>
      <c r="G1962" t="s">
        <v>558</v>
      </c>
      <c r="H1962">
        <v>200</v>
      </c>
      <c r="I1962">
        <v>34</v>
      </c>
      <c r="J1962">
        <v>0</v>
      </c>
      <c r="K1962">
        <v>0</v>
      </c>
      <c r="L1962" t="s">
        <v>112</v>
      </c>
      <c r="M1962" t="s">
        <v>111</v>
      </c>
      <c r="N1962">
        <v>0</v>
      </c>
      <c r="O1962">
        <v>0</v>
      </c>
      <c r="P1962" t="s">
        <v>111</v>
      </c>
      <c r="Q1962">
        <v>20</v>
      </c>
      <c r="R1962">
        <v>0</v>
      </c>
      <c r="S1962">
        <v>0</v>
      </c>
      <c r="T1962">
        <v>0</v>
      </c>
      <c r="U1962" t="e">
        <f>-ALMACEN</f>
        <v>#NAME?</v>
      </c>
      <c r="V1962">
        <v>25</v>
      </c>
      <c r="W1962">
        <v>0</v>
      </c>
      <c r="X1962">
        <v>0</v>
      </c>
      <c r="Y1962">
        <v>0</v>
      </c>
      <c r="Z1962" t="s">
        <v>288</v>
      </c>
      <c r="AA1962">
        <v>1.5</v>
      </c>
      <c r="AB1962" t="s">
        <v>111</v>
      </c>
      <c r="AC1962">
        <v>0</v>
      </c>
      <c r="AD1962" t="s">
        <v>111</v>
      </c>
      <c r="AE1962">
        <v>0</v>
      </c>
      <c r="AF1962">
        <v>0</v>
      </c>
      <c r="AG1962" t="s">
        <v>111</v>
      </c>
      <c r="AH1962" t="s">
        <v>111</v>
      </c>
      <c r="AI1962" t="s">
        <v>111</v>
      </c>
      <c r="AJ1962" t="s">
        <v>111</v>
      </c>
      <c r="AK1962" t="s">
        <v>111</v>
      </c>
      <c r="AL1962" t="s">
        <v>111</v>
      </c>
      <c r="AM1962">
        <v>0</v>
      </c>
      <c r="AN1962">
        <v>0</v>
      </c>
      <c r="AO1962">
        <v>0</v>
      </c>
      <c r="AP1962" t="s">
        <v>111</v>
      </c>
      <c r="AQ1962" t="s">
        <v>111</v>
      </c>
      <c r="AR1962" t="s">
        <v>111</v>
      </c>
      <c r="AS1962" t="s">
        <v>111</v>
      </c>
      <c r="AT1962" t="s">
        <v>111</v>
      </c>
      <c r="AU1962" t="s">
        <v>111</v>
      </c>
      <c r="AV1962" t="s">
        <v>111</v>
      </c>
      <c r="AW1962" t="s">
        <v>111</v>
      </c>
      <c r="AX1962" t="s">
        <v>111</v>
      </c>
      <c r="AY1962" t="s">
        <v>111</v>
      </c>
      <c r="AZ1962" t="s">
        <v>111</v>
      </c>
      <c r="BA1962" t="s">
        <v>111</v>
      </c>
      <c r="BB1962" t="s">
        <v>111</v>
      </c>
      <c r="BC1962" t="s">
        <v>111</v>
      </c>
      <c r="BD1962" t="s">
        <v>111</v>
      </c>
      <c r="BE1962" t="s">
        <v>111</v>
      </c>
      <c r="BF1962" t="s">
        <v>111</v>
      </c>
      <c r="BG1962" t="s">
        <v>111</v>
      </c>
      <c r="BH1962" t="s">
        <v>111</v>
      </c>
      <c r="BI1962" t="s">
        <v>111</v>
      </c>
      <c r="BJ1962" t="s">
        <v>111</v>
      </c>
      <c r="BK1962" t="s">
        <v>111</v>
      </c>
      <c r="BL1962" t="s">
        <v>111</v>
      </c>
      <c r="BM1962" t="s">
        <v>111</v>
      </c>
      <c r="BN1962" t="s">
        <v>111</v>
      </c>
      <c r="BO1962" t="s">
        <v>111</v>
      </c>
      <c r="BP1962" t="s">
        <v>111</v>
      </c>
      <c r="BQ1962" t="s">
        <v>111</v>
      </c>
      <c r="BR1962" t="s">
        <v>111</v>
      </c>
      <c r="BS1962" t="s">
        <v>111</v>
      </c>
      <c r="BT1962" t="s">
        <v>111</v>
      </c>
      <c r="BU1962" t="s">
        <v>111</v>
      </c>
      <c r="BV1962" t="s">
        <v>111</v>
      </c>
      <c r="BW1962" t="s">
        <v>111</v>
      </c>
      <c r="BX1962" t="s">
        <v>111</v>
      </c>
      <c r="BY1962" t="s">
        <v>111</v>
      </c>
      <c r="BZ1962" t="s">
        <v>111</v>
      </c>
      <c r="CA1962" t="s">
        <v>111</v>
      </c>
      <c r="CB1962" t="s">
        <v>111</v>
      </c>
      <c r="CC1962" t="s">
        <v>111</v>
      </c>
      <c r="CD1962" t="s">
        <v>111</v>
      </c>
      <c r="CE1962" t="s">
        <v>111</v>
      </c>
      <c r="CF1962" t="s">
        <v>111</v>
      </c>
      <c r="CG1962" t="s">
        <v>111</v>
      </c>
      <c r="CH1962" t="s">
        <v>111</v>
      </c>
      <c r="CI1962" t="s">
        <v>111</v>
      </c>
      <c r="CJ1962" t="s">
        <v>111</v>
      </c>
      <c r="CK1962" t="s">
        <v>111</v>
      </c>
      <c r="CL1962" t="s">
        <v>111</v>
      </c>
      <c r="CM1962" t="s">
        <v>558</v>
      </c>
      <c r="CN1962" t="s">
        <v>113</v>
      </c>
      <c r="CO1962" t="s">
        <v>367</v>
      </c>
      <c r="CP1962" t="s">
        <v>111</v>
      </c>
      <c r="CQ1962">
        <v>0</v>
      </c>
      <c r="CR1962">
        <v>1500</v>
      </c>
      <c r="CS1962">
        <v>100</v>
      </c>
      <c r="CT1962" t="e">
        <f>-ALAMCEN</f>
        <v>#NAME?</v>
      </c>
      <c r="CU1962">
        <v>0</v>
      </c>
      <c r="CV1962" t="s">
        <v>111</v>
      </c>
      <c r="CW1962" t="s">
        <v>111</v>
      </c>
      <c r="CX1962" t="s">
        <v>111</v>
      </c>
      <c r="CY1962">
        <v>0</v>
      </c>
      <c r="CZ1962" t="s">
        <v>111</v>
      </c>
      <c r="DA1962" t="s">
        <v>111</v>
      </c>
      <c r="DB1962" t="s">
        <v>111</v>
      </c>
      <c r="DC1962" t="s">
        <v>111</v>
      </c>
    </row>
    <row r="1963" spans="1:107">
      <c r="A1963">
        <v>1984</v>
      </c>
      <c r="B1963" t="s">
        <v>107</v>
      </c>
      <c r="C1963" t="s">
        <v>3631</v>
      </c>
      <c r="D1963" t="s">
        <v>5336</v>
      </c>
      <c r="E1963" t="s">
        <v>5337</v>
      </c>
      <c r="F1963" t="s">
        <v>370</v>
      </c>
      <c r="G1963" t="s">
        <v>558</v>
      </c>
      <c r="H1963">
        <v>2.5</v>
      </c>
      <c r="I1963">
        <v>44</v>
      </c>
      <c r="J1963">
        <v>0</v>
      </c>
      <c r="K1963">
        <v>0</v>
      </c>
      <c r="L1963" t="s">
        <v>112</v>
      </c>
      <c r="M1963" t="s">
        <v>118</v>
      </c>
      <c r="N1963">
        <v>0</v>
      </c>
      <c r="O1963">
        <v>1</v>
      </c>
      <c r="P1963" t="s">
        <v>111</v>
      </c>
      <c r="Q1963">
        <v>20</v>
      </c>
      <c r="R1963">
        <v>0</v>
      </c>
      <c r="S1963">
        <v>0</v>
      </c>
      <c r="T1963">
        <v>0</v>
      </c>
      <c r="U1963" s="1" t="s">
        <v>5338</v>
      </c>
      <c r="V1963">
        <v>25</v>
      </c>
      <c r="W1963">
        <v>0</v>
      </c>
      <c r="X1963">
        <v>5</v>
      </c>
      <c r="Y1963">
        <v>0</v>
      </c>
      <c r="Z1963" t="s">
        <v>111</v>
      </c>
      <c r="AA1963">
        <v>0</v>
      </c>
      <c r="AB1963" t="s">
        <v>111</v>
      </c>
      <c r="AC1963">
        <v>0</v>
      </c>
      <c r="AD1963" t="s">
        <v>558</v>
      </c>
      <c r="AE1963">
        <v>0</v>
      </c>
      <c r="AF1963">
        <v>0</v>
      </c>
      <c r="AG1963" t="s">
        <v>111</v>
      </c>
      <c r="AH1963" t="s">
        <v>111</v>
      </c>
      <c r="AI1963" t="s">
        <v>111</v>
      </c>
      <c r="AJ1963" t="s">
        <v>111</v>
      </c>
      <c r="AK1963" t="s">
        <v>111</v>
      </c>
      <c r="AL1963" t="s">
        <v>111</v>
      </c>
      <c r="AM1963">
        <v>0</v>
      </c>
      <c r="AN1963">
        <v>0</v>
      </c>
      <c r="AO1963">
        <v>0</v>
      </c>
      <c r="AP1963" t="s">
        <v>111</v>
      </c>
      <c r="AQ1963" t="s">
        <v>111</v>
      </c>
      <c r="AR1963" t="s">
        <v>111</v>
      </c>
      <c r="AS1963" t="s">
        <v>111</v>
      </c>
      <c r="AT1963" t="s">
        <v>111</v>
      </c>
      <c r="AU1963" t="s">
        <v>111</v>
      </c>
      <c r="AV1963" t="s">
        <v>111</v>
      </c>
      <c r="AW1963" t="s">
        <v>111</v>
      </c>
      <c r="AX1963" t="s">
        <v>111</v>
      </c>
      <c r="AY1963" t="s">
        <v>111</v>
      </c>
      <c r="AZ1963" t="s">
        <v>111</v>
      </c>
      <c r="BA1963" t="s">
        <v>111</v>
      </c>
      <c r="BB1963" t="s">
        <v>111</v>
      </c>
      <c r="BC1963" t="s">
        <v>111</v>
      </c>
      <c r="BD1963" t="s">
        <v>111</v>
      </c>
      <c r="BE1963" t="s">
        <v>111</v>
      </c>
      <c r="BF1963" t="s">
        <v>111</v>
      </c>
      <c r="BG1963" t="s">
        <v>111</v>
      </c>
      <c r="BH1963" t="s">
        <v>111</v>
      </c>
      <c r="BI1963" t="s">
        <v>111</v>
      </c>
      <c r="BJ1963" t="s">
        <v>111</v>
      </c>
      <c r="BK1963" t="s">
        <v>111</v>
      </c>
      <c r="BL1963" t="s">
        <v>111</v>
      </c>
      <c r="BM1963" t="s">
        <v>111</v>
      </c>
      <c r="BN1963" t="s">
        <v>111</v>
      </c>
      <c r="BO1963" t="s">
        <v>111</v>
      </c>
      <c r="BP1963" t="s">
        <v>111</v>
      </c>
      <c r="BQ1963" t="s">
        <v>111</v>
      </c>
      <c r="BR1963" t="s">
        <v>111</v>
      </c>
      <c r="BS1963" t="s">
        <v>111</v>
      </c>
      <c r="BT1963" t="s">
        <v>111</v>
      </c>
      <c r="BU1963" t="s">
        <v>111</v>
      </c>
      <c r="BV1963" t="s">
        <v>111</v>
      </c>
      <c r="BW1963" t="s">
        <v>111</v>
      </c>
      <c r="BX1963" t="s">
        <v>111</v>
      </c>
      <c r="BY1963" t="s">
        <v>111</v>
      </c>
      <c r="BZ1963" t="s">
        <v>111</v>
      </c>
      <c r="CA1963" t="s">
        <v>111</v>
      </c>
      <c r="CB1963" t="s">
        <v>111</v>
      </c>
      <c r="CC1963" t="s">
        <v>111</v>
      </c>
      <c r="CD1963" t="s">
        <v>111</v>
      </c>
      <c r="CE1963" t="s">
        <v>111</v>
      </c>
      <c r="CF1963" t="s">
        <v>111</v>
      </c>
      <c r="CG1963" t="s">
        <v>111</v>
      </c>
      <c r="CH1963" t="s">
        <v>111</v>
      </c>
      <c r="CI1963" t="s">
        <v>111</v>
      </c>
      <c r="CJ1963" t="s">
        <v>111</v>
      </c>
      <c r="CK1963" t="s">
        <v>111</v>
      </c>
      <c r="CL1963" t="s">
        <v>111</v>
      </c>
      <c r="CM1963" t="s">
        <v>558</v>
      </c>
      <c r="CN1963" t="s">
        <v>113</v>
      </c>
      <c r="CO1963" t="s">
        <v>111</v>
      </c>
      <c r="CP1963" t="s">
        <v>111</v>
      </c>
      <c r="CQ1963">
        <v>0</v>
      </c>
      <c r="CR1963">
        <v>600</v>
      </c>
      <c r="CS1963">
        <v>600</v>
      </c>
      <c r="CT1963" t="e">
        <f>-ALMMACEN</f>
        <v>#NAME?</v>
      </c>
      <c r="CU1963">
        <v>0</v>
      </c>
      <c r="CV1963" t="s">
        <v>111</v>
      </c>
      <c r="CX1963" t="s">
        <v>111</v>
      </c>
      <c r="CY1963">
        <v>0</v>
      </c>
      <c r="CZ1963" t="s">
        <v>111</v>
      </c>
      <c r="DA1963" t="s">
        <v>111</v>
      </c>
      <c r="DB1963" t="s">
        <v>111</v>
      </c>
      <c r="DC1963" t="s">
        <v>111</v>
      </c>
    </row>
    <row r="1964" spans="1:107">
      <c r="A1964">
        <v>1606</v>
      </c>
      <c r="B1964" t="s">
        <v>107</v>
      </c>
      <c r="C1964" t="s">
        <v>1896</v>
      </c>
      <c r="D1964" t="s">
        <v>5339</v>
      </c>
      <c r="E1964" t="s">
        <v>5340</v>
      </c>
      <c r="F1964" t="s">
        <v>287</v>
      </c>
      <c r="G1964" t="s">
        <v>558</v>
      </c>
      <c r="H1964">
        <v>2</v>
      </c>
      <c r="I1964">
        <v>44</v>
      </c>
      <c r="J1964">
        <v>0</v>
      </c>
      <c r="K1964">
        <v>0</v>
      </c>
      <c r="L1964" t="s">
        <v>112</v>
      </c>
      <c r="M1964" t="s">
        <v>111</v>
      </c>
      <c r="N1964">
        <v>0</v>
      </c>
      <c r="O1964">
        <v>0</v>
      </c>
      <c r="P1964" t="s">
        <v>111</v>
      </c>
      <c r="Q1964">
        <v>20</v>
      </c>
      <c r="R1964">
        <v>0</v>
      </c>
      <c r="S1964">
        <v>0</v>
      </c>
      <c r="T1964">
        <v>0</v>
      </c>
      <c r="U1964" t="e">
        <f>-ALAMCEN</f>
        <v>#NAME?</v>
      </c>
      <c r="V1964">
        <v>15</v>
      </c>
      <c r="W1964">
        <v>0</v>
      </c>
      <c r="X1964">
        <v>0</v>
      </c>
      <c r="Y1964">
        <v>0</v>
      </c>
      <c r="Z1964" t="s">
        <v>288</v>
      </c>
      <c r="AA1964">
        <v>2</v>
      </c>
      <c r="AB1964" t="s">
        <v>2038</v>
      </c>
      <c r="AC1964">
        <v>0</v>
      </c>
      <c r="AD1964" t="s">
        <v>111</v>
      </c>
      <c r="AE1964">
        <v>0</v>
      </c>
      <c r="AF1964">
        <v>0</v>
      </c>
      <c r="AG1964" t="s">
        <v>111</v>
      </c>
      <c r="AH1964" t="s">
        <v>111</v>
      </c>
      <c r="AI1964" t="s">
        <v>111</v>
      </c>
      <c r="AJ1964" t="s">
        <v>111</v>
      </c>
      <c r="AK1964" t="s">
        <v>111</v>
      </c>
      <c r="AL1964" t="s">
        <v>111</v>
      </c>
      <c r="AM1964">
        <v>0</v>
      </c>
      <c r="AN1964">
        <v>0</v>
      </c>
      <c r="AO1964">
        <v>0</v>
      </c>
      <c r="AP1964" t="s">
        <v>111</v>
      </c>
      <c r="AQ1964" t="s">
        <v>111</v>
      </c>
      <c r="AR1964" t="s">
        <v>111</v>
      </c>
      <c r="AS1964" t="s">
        <v>111</v>
      </c>
      <c r="AT1964" t="s">
        <v>111</v>
      </c>
      <c r="AU1964" t="s">
        <v>111</v>
      </c>
      <c r="AV1964" t="s">
        <v>111</v>
      </c>
      <c r="AW1964" t="s">
        <v>111</v>
      </c>
      <c r="AX1964" t="s">
        <v>111</v>
      </c>
      <c r="AY1964" t="s">
        <v>111</v>
      </c>
      <c r="AZ1964" t="s">
        <v>111</v>
      </c>
      <c r="BA1964" t="s">
        <v>111</v>
      </c>
      <c r="BB1964" t="s">
        <v>111</v>
      </c>
      <c r="BC1964" t="s">
        <v>111</v>
      </c>
      <c r="BD1964" t="s">
        <v>111</v>
      </c>
      <c r="BE1964" t="s">
        <v>111</v>
      </c>
      <c r="BF1964" t="s">
        <v>111</v>
      </c>
      <c r="BG1964" t="s">
        <v>111</v>
      </c>
      <c r="BH1964" t="s">
        <v>111</v>
      </c>
      <c r="BI1964" t="s">
        <v>111</v>
      </c>
      <c r="BJ1964" t="s">
        <v>111</v>
      </c>
      <c r="BK1964" t="s">
        <v>111</v>
      </c>
      <c r="BL1964" t="s">
        <v>111</v>
      </c>
      <c r="BM1964" t="s">
        <v>111</v>
      </c>
      <c r="BN1964" t="s">
        <v>111</v>
      </c>
      <c r="BO1964" t="s">
        <v>111</v>
      </c>
      <c r="BP1964" t="s">
        <v>111</v>
      </c>
      <c r="BQ1964" t="s">
        <v>111</v>
      </c>
      <c r="BR1964" t="s">
        <v>111</v>
      </c>
      <c r="BS1964" t="s">
        <v>111</v>
      </c>
      <c r="BT1964" t="s">
        <v>111</v>
      </c>
      <c r="BU1964" t="s">
        <v>111</v>
      </c>
      <c r="BV1964" t="s">
        <v>111</v>
      </c>
      <c r="BW1964" t="s">
        <v>111</v>
      </c>
      <c r="BX1964" t="s">
        <v>111</v>
      </c>
      <c r="BY1964" t="s">
        <v>111</v>
      </c>
      <c r="BZ1964" t="s">
        <v>111</v>
      </c>
      <c r="CA1964" t="s">
        <v>111</v>
      </c>
      <c r="CB1964" t="s">
        <v>111</v>
      </c>
      <c r="CC1964" t="s">
        <v>111</v>
      </c>
      <c r="CD1964" t="s">
        <v>111</v>
      </c>
      <c r="CE1964" t="s">
        <v>111</v>
      </c>
      <c r="CF1964" t="s">
        <v>111</v>
      </c>
      <c r="CG1964" t="s">
        <v>111</v>
      </c>
      <c r="CH1964" t="s">
        <v>111</v>
      </c>
      <c r="CI1964" t="s">
        <v>111</v>
      </c>
      <c r="CJ1964" t="s">
        <v>111</v>
      </c>
      <c r="CK1964" t="s">
        <v>111</v>
      </c>
      <c r="CL1964" t="s">
        <v>111</v>
      </c>
      <c r="CM1964" t="s">
        <v>558</v>
      </c>
      <c r="CN1964" t="s">
        <v>113</v>
      </c>
      <c r="CO1964" t="s">
        <v>367</v>
      </c>
      <c r="CP1964" t="s">
        <v>111</v>
      </c>
      <c r="CQ1964">
        <v>0</v>
      </c>
      <c r="CR1964">
        <v>200</v>
      </c>
      <c r="CS1964">
        <v>50</v>
      </c>
      <c r="CT1964" t="e">
        <f>-ALMACEN</f>
        <v>#NAME?</v>
      </c>
      <c r="CU1964">
        <v>0</v>
      </c>
      <c r="CV1964" t="s">
        <v>111</v>
      </c>
      <c r="CW1964" t="s">
        <v>111</v>
      </c>
      <c r="CX1964" t="s">
        <v>111</v>
      </c>
      <c r="CY1964">
        <v>0</v>
      </c>
      <c r="CZ1964" t="s">
        <v>111</v>
      </c>
      <c r="DA1964" t="s">
        <v>111</v>
      </c>
      <c r="DB1964" t="s">
        <v>111</v>
      </c>
      <c r="DC1964" t="s">
        <v>111</v>
      </c>
    </row>
    <row r="1965" spans="1:107">
      <c r="A1965">
        <v>1678</v>
      </c>
      <c r="B1965" t="s">
        <v>107</v>
      </c>
      <c r="C1965" t="s">
        <v>681</v>
      </c>
      <c r="D1965" t="s">
        <v>5341</v>
      </c>
      <c r="E1965" t="s">
        <v>5342</v>
      </c>
      <c r="F1965" t="s">
        <v>684</v>
      </c>
      <c r="G1965" t="s">
        <v>5343</v>
      </c>
      <c r="H1965">
        <v>0.5</v>
      </c>
      <c r="I1965">
        <v>35</v>
      </c>
      <c r="J1965">
        <v>0</v>
      </c>
      <c r="K1965">
        <v>0</v>
      </c>
      <c r="L1965" t="s">
        <v>112</v>
      </c>
      <c r="M1965" t="s">
        <v>138</v>
      </c>
      <c r="N1965">
        <v>0</v>
      </c>
      <c r="O1965">
        <v>0</v>
      </c>
      <c r="P1965" t="s">
        <v>111</v>
      </c>
      <c r="Q1965">
        <v>35</v>
      </c>
      <c r="R1965">
        <v>0</v>
      </c>
      <c r="S1965">
        <v>0</v>
      </c>
      <c r="T1965">
        <v>5</v>
      </c>
      <c r="U1965" t="e">
        <f>-SELLADO</f>
        <v>#NAME?</v>
      </c>
      <c r="V1965">
        <v>25</v>
      </c>
      <c r="W1965">
        <v>0</v>
      </c>
      <c r="X1965">
        <v>5</v>
      </c>
      <c r="Y1965">
        <v>0</v>
      </c>
      <c r="Z1965" t="s">
        <v>111</v>
      </c>
      <c r="AA1965">
        <v>0</v>
      </c>
      <c r="AB1965" t="s">
        <v>111</v>
      </c>
      <c r="AC1965">
        <v>0</v>
      </c>
      <c r="AD1965" t="s">
        <v>111</v>
      </c>
      <c r="AE1965">
        <v>0</v>
      </c>
      <c r="AF1965">
        <v>0</v>
      </c>
      <c r="AG1965" t="s">
        <v>111</v>
      </c>
      <c r="AH1965" t="s">
        <v>111</v>
      </c>
      <c r="AI1965" t="s">
        <v>111</v>
      </c>
      <c r="AJ1965" t="s">
        <v>111</v>
      </c>
      <c r="AK1965" t="s">
        <v>111</v>
      </c>
      <c r="AL1965" t="s">
        <v>111</v>
      </c>
      <c r="AM1965">
        <v>0</v>
      </c>
      <c r="AN1965">
        <v>0</v>
      </c>
      <c r="AO1965">
        <v>0</v>
      </c>
      <c r="AP1965" t="s">
        <v>111</v>
      </c>
      <c r="AQ1965" t="s">
        <v>111</v>
      </c>
      <c r="AR1965" t="s">
        <v>111</v>
      </c>
      <c r="AS1965" t="s">
        <v>111</v>
      </c>
      <c r="AT1965" t="s">
        <v>111</v>
      </c>
      <c r="AU1965" t="s">
        <v>111</v>
      </c>
      <c r="AV1965" t="s">
        <v>111</v>
      </c>
      <c r="AW1965" t="s">
        <v>111</v>
      </c>
      <c r="AX1965" t="s">
        <v>111</v>
      </c>
      <c r="AY1965" t="s">
        <v>111</v>
      </c>
      <c r="AZ1965" t="s">
        <v>111</v>
      </c>
      <c r="BA1965" t="s">
        <v>111</v>
      </c>
      <c r="BB1965" t="s">
        <v>111</v>
      </c>
      <c r="BC1965" t="s">
        <v>111</v>
      </c>
      <c r="BD1965" t="s">
        <v>111</v>
      </c>
      <c r="BE1965" t="s">
        <v>111</v>
      </c>
      <c r="BF1965" t="s">
        <v>111</v>
      </c>
      <c r="BG1965" t="s">
        <v>111</v>
      </c>
      <c r="BH1965" t="s">
        <v>111</v>
      </c>
      <c r="BI1965" t="s">
        <v>111</v>
      </c>
      <c r="BJ1965" t="s">
        <v>111</v>
      </c>
      <c r="BK1965" t="s">
        <v>111</v>
      </c>
      <c r="BL1965" t="s">
        <v>111</v>
      </c>
      <c r="BM1965" t="s">
        <v>111</v>
      </c>
      <c r="BN1965" t="s">
        <v>111</v>
      </c>
      <c r="BO1965" t="s">
        <v>111</v>
      </c>
      <c r="BP1965" t="s">
        <v>111</v>
      </c>
      <c r="BQ1965" t="s">
        <v>111</v>
      </c>
      <c r="BR1965" t="s">
        <v>111</v>
      </c>
      <c r="BS1965" t="s">
        <v>111</v>
      </c>
      <c r="BT1965" t="s">
        <v>111</v>
      </c>
      <c r="BU1965" t="s">
        <v>111</v>
      </c>
      <c r="BV1965" t="s">
        <v>111</v>
      </c>
      <c r="BW1965" t="s">
        <v>111</v>
      </c>
      <c r="BX1965" t="s">
        <v>111</v>
      </c>
      <c r="BY1965" t="s">
        <v>111</v>
      </c>
      <c r="BZ1965" t="s">
        <v>111</v>
      </c>
      <c r="CA1965" t="s">
        <v>111</v>
      </c>
      <c r="CB1965" t="s">
        <v>111</v>
      </c>
      <c r="CC1965" t="s">
        <v>111</v>
      </c>
      <c r="CD1965" t="s">
        <v>111</v>
      </c>
      <c r="CE1965" t="s">
        <v>111</v>
      </c>
      <c r="CF1965" t="s">
        <v>111</v>
      </c>
      <c r="CG1965" t="s">
        <v>111</v>
      </c>
      <c r="CH1965" t="s">
        <v>111</v>
      </c>
      <c r="CI1965" t="s">
        <v>111</v>
      </c>
      <c r="CJ1965" t="s">
        <v>111</v>
      </c>
      <c r="CK1965" t="s">
        <v>111</v>
      </c>
      <c r="CL1965" t="s">
        <v>111</v>
      </c>
      <c r="CM1965" t="s">
        <v>111</v>
      </c>
      <c r="CN1965" t="s">
        <v>111</v>
      </c>
      <c r="CO1965" t="s">
        <v>111</v>
      </c>
      <c r="CP1965" t="s">
        <v>111</v>
      </c>
      <c r="CQ1965">
        <v>0</v>
      </c>
      <c r="CR1965">
        <v>0</v>
      </c>
      <c r="CS1965">
        <v>0</v>
      </c>
      <c r="CT1965" t="s">
        <v>111</v>
      </c>
      <c r="CU1965">
        <v>0</v>
      </c>
      <c r="CV1965" t="s">
        <v>111</v>
      </c>
      <c r="CX1965" t="s">
        <v>111</v>
      </c>
      <c r="CY1965">
        <v>0</v>
      </c>
      <c r="CZ1965" t="s">
        <v>111</v>
      </c>
      <c r="DA1965" t="s">
        <v>111</v>
      </c>
      <c r="DB1965" t="e">
        <f>-INTERNO</f>
        <v>#NAME?</v>
      </c>
      <c r="DC1965" s="1" t="s">
        <v>5344</v>
      </c>
    </row>
    <row r="1966" spans="1:107">
      <c r="A1966">
        <v>14</v>
      </c>
      <c r="B1966" t="s">
        <v>162</v>
      </c>
      <c r="C1966" t="s">
        <v>351</v>
      </c>
      <c r="D1966" t="s">
        <v>5345</v>
      </c>
      <c r="E1966" t="s">
        <v>5346</v>
      </c>
      <c r="F1966" t="s">
        <v>125</v>
      </c>
      <c r="G1966" t="s">
        <v>5343</v>
      </c>
      <c r="H1966">
        <v>1</v>
      </c>
      <c r="I1966">
        <v>40</v>
      </c>
      <c r="J1966">
        <v>0</v>
      </c>
      <c r="K1966">
        <v>0</v>
      </c>
      <c r="L1966" t="s">
        <v>112</v>
      </c>
      <c r="M1966" t="s">
        <v>138</v>
      </c>
      <c r="N1966">
        <v>0</v>
      </c>
      <c r="O1966">
        <v>0</v>
      </c>
      <c r="P1966" t="s">
        <v>138</v>
      </c>
      <c r="Q1966">
        <v>30</v>
      </c>
      <c r="R1966">
        <v>0</v>
      </c>
      <c r="S1966">
        <v>0</v>
      </c>
      <c r="T1966">
        <v>0</v>
      </c>
      <c r="U1966" s="1" t="s">
        <v>5347</v>
      </c>
      <c r="V1966">
        <v>0</v>
      </c>
      <c r="W1966">
        <v>25</v>
      </c>
      <c r="X1966">
        <v>6</v>
      </c>
      <c r="Y1966">
        <v>0</v>
      </c>
      <c r="Z1966" t="s">
        <v>111</v>
      </c>
      <c r="AA1966">
        <v>0</v>
      </c>
      <c r="AB1966" t="s">
        <v>111</v>
      </c>
      <c r="AC1966">
        <v>0</v>
      </c>
      <c r="AD1966" t="s">
        <v>111</v>
      </c>
      <c r="AE1966">
        <v>0</v>
      </c>
      <c r="AF1966">
        <v>0</v>
      </c>
      <c r="AG1966" t="s">
        <v>111</v>
      </c>
      <c r="AH1966" t="s">
        <v>111</v>
      </c>
      <c r="AI1966" t="s">
        <v>111</v>
      </c>
      <c r="AJ1966" t="s">
        <v>111</v>
      </c>
      <c r="AK1966" t="s">
        <v>111</v>
      </c>
      <c r="AL1966" t="s">
        <v>111</v>
      </c>
      <c r="AM1966">
        <v>0</v>
      </c>
      <c r="AN1966">
        <v>0</v>
      </c>
      <c r="AO1966">
        <v>0</v>
      </c>
      <c r="AP1966" t="s">
        <v>111</v>
      </c>
      <c r="AQ1966" t="s">
        <v>111</v>
      </c>
      <c r="AR1966" t="s">
        <v>111</v>
      </c>
      <c r="AS1966" t="s">
        <v>111</v>
      </c>
      <c r="AT1966" t="s">
        <v>111</v>
      </c>
      <c r="AU1966" t="s">
        <v>111</v>
      </c>
      <c r="AV1966" t="s">
        <v>111</v>
      </c>
      <c r="AW1966" t="s">
        <v>111</v>
      </c>
      <c r="AX1966" t="s">
        <v>111</v>
      </c>
      <c r="AY1966" t="s">
        <v>111</v>
      </c>
      <c r="AZ1966" t="s">
        <v>111</v>
      </c>
      <c r="BA1966" t="s">
        <v>111</v>
      </c>
      <c r="BB1966" t="s">
        <v>111</v>
      </c>
      <c r="BC1966" t="s">
        <v>111</v>
      </c>
      <c r="BD1966" t="s">
        <v>111</v>
      </c>
      <c r="BE1966" t="s">
        <v>111</v>
      </c>
      <c r="BF1966" t="s">
        <v>111</v>
      </c>
      <c r="BG1966" t="s">
        <v>111</v>
      </c>
      <c r="BH1966" t="s">
        <v>111</v>
      </c>
      <c r="BI1966" t="s">
        <v>111</v>
      </c>
      <c r="BJ1966" t="s">
        <v>111</v>
      </c>
      <c r="BK1966" t="s">
        <v>111</v>
      </c>
      <c r="BL1966" t="s">
        <v>111</v>
      </c>
      <c r="BM1966" t="s">
        <v>111</v>
      </c>
      <c r="BN1966" t="s">
        <v>111</v>
      </c>
      <c r="BO1966" t="s">
        <v>111</v>
      </c>
      <c r="BP1966" t="s">
        <v>111</v>
      </c>
      <c r="BQ1966" t="s">
        <v>111</v>
      </c>
      <c r="BR1966" t="s">
        <v>111</v>
      </c>
      <c r="BS1966" t="s">
        <v>111</v>
      </c>
      <c r="BT1966" t="s">
        <v>111</v>
      </c>
      <c r="BU1966" t="s">
        <v>111</v>
      </c>
      <c r="BV1966" t="s">
        <v>111</v>
      </c>
      <c r="BW1966" t="s">
        <v>111</v>
      </c>
      <c r="BX1966" t="s">
        <v>111</v>
      </c>
      <c r="BY1966" t="s">
        <v>111</v>
      </c>
      <c r="BZ1966" t="s">
        <v>111</v>
      </c>
      <c r="CA1966" t="s">
        <v>111</v>
      </c>
      <c r="CB1966" t="s">
        <v>111</v>
      </c>
      <c r="CC1966" t="s">
        <v>111</v>
      </c>
      <c r="CD1966" t="s">
        <v>111</v>
      </c>
      <c r="CE1966" t="s">
        <v>111</v>
      </c>
      <c r="CF1966" t="s">
        <v>111</v>
      </c>
      <c r="CG1966" t="s">
        <v>111</v>
      </c>
      <c r="CH1966" t="s">
        <v>111</v>
      </c>
      <c r="CI1966" t="s">
        <v>111</v>
      </c>
      <c r="CJ1966" t="s">
        <v>111</v>
      </c>
      <c r="CK1966" t="s">
        <v>111</v>
      </c>
      <c r="CL1966" t="s">
        <v>111</v>
      </c>
      <c r="CM1966" t="s">
        <v>5348</v>
      </c>
      <c r="CN1966" t="s">
        <v>128</v>
      </c>
      <c r="CO1966" t="s">
        <v>111</v>
      </c>
      <c r="CP1966" t="s">
        <v>111</v>
      </c>
      <c r="CQ1966">
        <v>0</v>
      </c>
      <c r="CR1966">
        <v>1500</v>
      </c>
      <c r="CS1966">
        <v>100</v>
      </c>
      <c r="CT1966" t="s">
        <v>168</v>
      </c>
      <c r="CU1966">
        <v>0</v>
      </c>
      <c r="CV1966" t="s">
        <v>111</v>
      </c>
      <c r="CW1966" t="s">
        <v>111</v>
      </c>
      <c r="CX1966" t="s">
        <v>111</v>
      </c>
      <c r="CY1966">
        <v>0</v>
      </c>
      <c r="CZ1966" t="s">
        <v>111</v>
      </c>
      <c r="DA1966" t="s">
        <v>111</v>
      </c>
      <c r="DB1966" t="s">
        <v>111</v>
      </c>
      <c r="DC1966" t="s">
        <v>111</v>
      </c>
    </row>
    <row r="1967" spans="1:107">
      <c r="A1967">
        <v>1882</v>
      </c>
      <c r="B1967" t="s">
        <v>107</v>
      </c>
      <c r="C1967" t="s">
        <v>362</v>
      </c>
      <c r="D1967" t="s">
        <v>5349</v>
      </c>
      <c r="E1967" t="s">
        <v>5350</v>
      </c>
      <c r="F1967" t="s">
        <v>287</v>
      </c>
      <c r="G1967" t="s">
        <v>5343</v>
      </c>
      <c r="H1967">
        <v>2.2000000000000002</v>
      </c>
      <c r="I1967">
        <v>37</v>
      </c>
      <c r="J1967">
        <v>7</v>
      </c>
      <c r="K1967">
        <v>6</v>
      </c>
      <c r="L1967" t="s">
        <v>117</v>
      </c>
      <c r="M1967" t="s">
        <v>138</v>
      </c>
      <c r="N1967">
        <v>0</v>
      </c>
      <c r="O1967">
        <v>0</v>
      </c>
      <c r="P1967" t="s">
        <v>111</v>
      </c>
      <c r="Q1967">
        <v>35</v>
      </c>
      <c r="R1967">
        <v>0</v>
      </c>
      <c r="S1967">
        <v>0</v>
      </c>
      <c r="T1967">
        <v>5</v>
      </c>
      <c r="U1967" t="e">
        <f>-SELLADO</f>
        <v>#NAME?</v>
      </c>
      <c r="V1967">
        <v>25</v>
      </c>
      <c r="W1967">
        <v>0</v>
      </c>
      <c r="X1967">
        <v>8</v>
      </c>
      <c r="Y1967">
        <v>0</v>
      </c>
      <c r="Z1967" t="s">
        <v>288</v>
      </c>
      <c r="AA1967">
        <v>1200</v>
      </c>
      <c r="AB1967" t="s">
        <v>111</v>
      </c>
      <c r="AC1967">
        <v>0</v>
      </c>
      <c r="AD1967" t="s">
        <v>111</v>
      </c>
      <c r="AE1967">
        <v>0</v>
      </c>
      <c r="AF1967">
        <v>0</v>
      </c>
      <c r="AG1967" t="s">
        <v>111</v>
      </c>
      <c r="AH1967" t="s">
        <v>111</v>
      </c>
      <c r="AI1967" t="s">
        <v>111</v>
      </c>
      <c r="AJ1967" t="s">
        <v>111</v>
      </c>
      <c r="AK1967" t="s">
        <v>111</v>
      </c>
      <c r="AL1967" t="s">
        <v>111</v>
      </c>
      <c r="AM1967">
        <v>0</v>
      </c>
      <c r="AN1967">
        <v>0</v>
      </c>
      <c r="AO1967">
        <v>0</v>
      </c>
      <c r="AP1967" t="s">
        <v>111</v>
      </c>
      <c r="AQ1967" t="s">
        <v>111</v>
      </c>
      <c r="AR1967" t="s">
        <v>111</v>
      </c>
      <c r="AS1967" t="s">
        <v>111</v>
      </c>
      <c r="AT1967" t="s">
        <v>111</v>
      </c>
      <c r="AU1967" t="s">
        <v>111</v>
      </c>
      <c r="AV1967" t="s">
        <v>111</v>
      </c>
      <c r="AW1967" t="s">
        <v>111</v>
      </c>
      <c r="AX1967" t="s">
        <v>111</v>
      </c>
      <c r="AY1967" t="s">
        <v>111</v>
      </c>
      <c r="AZ1967" t="s">
        <v>111</v>
      </c>
      <c r="BA1967" t="s">
        <v>111</v>
      </c>
      <c r="BB1967" t="s">
        <v>111</v>
      </c>
      <c r="BC1967" t="s">
        <v>111</v>
      </c>
      <c r="BD1967" t="s">
        <v>111</v>
      </c>
      <c r="BE1967" t="s">
        <v>111</v>
      </c>
      <c r="BF1967" t="s">
        <v>111</v>
      </c>
      <c r="BG1967" t="s">
        <v>111</v>
      </c>
      <c r="BH1967" t="s">
        <v>111</v>
      </c>
      <c r="BI1967" t="s">
        <v>111</v>
      </c>
      <c r="BJ1967" t="s">
        <v>111</v>
      </c>
      <c r="BK1967" t="s">
        <v>111</v>
      </c>
      <c r="BL1967" t="s">
        <v>111</v>
      </c>
      <c r="BM1967" t="s">
        <v>111</v>
      </c>
      <c r="BN1967" t="s">
        <v>111</v>
      </c>
      <c r="BO1967" t="s">
        <v>111</v>
      </c>
      <c r="BP1967" t="s">
        <v>111</v>
      </c>
      <c r="BQ1967" t="s">
        <v>111</v>
      </c>
      <c r="BR1967" t="s">
        <v>111</v>
      </c>
      <c r="BS1967" t="s">
        <v>111</v>
      </c>
      <c r="BT1967" t="s">
        <v>111</v>
      </c>
      <c r="BU1967" t="s">
        <v>111</v>
      </c>
      <c r="BV1967" t="s">
        <v>111</v>
      </c>
      <c r="BW1967" t="s">
        <v>111</v>
      </c>
      <c r="BX1967" t="s">
        <v>111</v>
      </c>
      <c r="BY1967" t="s">
        <v>111</v>
      </c>
      <c r="BZ1967" t="s">
        <v>111</v>
      </c>
      <c r="CA1967" t="s">
        <v>111</v>
      </c>
      <c r="CB1967" t="s">
        <v>111</v>
      </c>
      <c r="CC1967" t="s">
        <v>111</v>
      </c>
      <c r="CD1967" t="s">
        <v>111</v>
      </c>
      <c r="CE1967" t="s">
        <v>111</v>
      </c>
      <c r="CF1967" t="s">
        <v>111</v>
      </c>
      <c r="CG1967" t="s">
        <v>111</v>
      </c>
      <c r="CH1967" t="s">
        <v>111</v>
      </c>
      <c r="CI1967" t="s">
        <v>111</v>
      </c>
      <c r="CJ1967" t="s">
        <v>111</v>
      </c>
      <c r="CK1967" t="s">
        <v>111</v>
      </c>
      <c r="CL1967" t="s">
        <v>111</v>
      </c>
      <c r="CM1967" t="s">
        <v>360</v>
      </c>
      <c r="CN1967" t="s">
        <v>113</v>
      </c>
      <c r="CO1967" t="s">
        <v>111</v>
      </c>
      <c r="CP1967" t="s">
        <v>111</v>
      </c>
      <c r="CQ1967">
        <v>0</v>
      </c>
      <c r="CR1967">
        <v>2000</v>
      </c>
      <c r="CS1967">
        <v>100</v>
      </c>
      <c r="CT1967" s="1" t="s">
        <v>5351</v>
      </c>
      <c r="CU1967">
        <v>0</v>
      </c>
      <c r="CV1967" t="s">
        <v>111</v>
      </c>
      <c r="CX1967" t="s">
        <v>111</v>
      </c>
      <c r="CY1967">
        <v>0</v>
      </c>
      <c r="CZ1967" t="s">
        <v>111</v>
      </c>
      <c r="DA1967" t="s">
        <v>111</v>
      </c>
      <c r="DB1967" t="s">
        <v>111</v>
      </c>
      <c r="DC1967" t="s">
        <v>111</v>
      </c>
    </row>
    <row r="1968" spans="1:107">
      <c r="A1968">
        <v>1894</v>
      </c>
      <c r="B1968" t="s">
        <v>107</v>
      </c>
      <c r="C1968" t="s">
        <v>362</v>
      </c>
      <c r="D1968" t="s">
        <v>5352</v>
      </c>
      <c r="E1968" t="s">
        <v>5353</v>
      </c>
      <c r="F1968" t="s">
        <v>287</v>
      </c>
      <c r="G1968" t="s">
        <v>5343</v>
      </c>
      <c r="H1968">
        <v>2.2000000000000002</v>
      </c>
      <c r="I1968">
        <v>45</v>
      </c>
      <c r="J1968">
        <v>7</v>
      </c>
      <c r="K1968">
        <v>6</v>
      </c>
      <c r="L1968" t="s">
        <v>112</v>
      </c>
      <c r="M1968" t="s">
        <v>118</v>
      </c>
      <c r="N1968">
        <v>0</v>
      </c>
      <c r="O1968">
        <v>2</v>
      </c>
      <c r="P1968" t="s">
        <v>111</v>
      </c>
      <c r="Q1968">
        <v>20</v>
      </c>
      <c r="R1968">
        <v>0</v>
      </c>
      <c r="S1968">
        <v>0</v>
      </c>
      <c r="T1968">
        <v>0</v>
      </c>
      <c r="U1968" t="e">
        <f>-SELLADO</f>
        <v>#NAME?</v>
      </c>
      <c r="V1968">
        <v>25</v>
      </c>
      <c r="W1968">
        <v>0</v>
      </c>
      <c r="X1968">
        <v>8</v>
      </c>
      <c r="Y1968">
        <v>0</v>
      </c>
      <c r="Z1968" t="s">
        <v>288</v>
      </c>
      <c r="AA1968">
        <v>1.5</v>
      </c>
      <c r="AB1968" t="s">
        <v>111</v>
      </c>
      <c r="AC1968">
        <v>0</v>
      </c>
      <c r="AD1968" t="s">
        <v>111</v>
      </c>
      <c r="AE1968">
        <v>0</v>
      </c>
      <c r="AF1968">
        <v>0</v>
      </c>
      <c r="AG1968" t="s">
        <v>111</v>
      </c>
      <c r="AH1968" t="s">
        <v>111</v>
      </c>
      <c r="AI1968" t="s">
        <v>111</v>
      </c>
      <c r="AJ1968" t="s">
        <v>111</v>
      </c>
      <c r="AK1968" t="s">
        <v>111</v>
      </c>
      <c r="AL1968" t="s">
        <v>111</v>
      </c>
      <c r="AM1968">
        <v>0</v>
      </c>
      <c r="AN1968">
        <v>0</v>
      </c>
      <c r="AO1968">
        <v>0</v>
      </c>
      <c r="AP1968" t="s">
        <v>111</v>
      </c>
      <c r="AQ1968" t="s">
        <v>111</v>
      </c>
      <c r="AR1968" t="s">
        <v>111</v>
      </c>
      <c r="AS1968" t="s">
        <v>111</v>
      </c>
      <c r="AT1968" t="s">
        <v>111</v>
      </c>
      <c r="AU1968" t="s">
        <v>111</v>
      </c>
      <c r="AV1968" t="s">
        <v>111</v>
      </c>
      <c r="AW1968" t="s">
        <v>111</v>
      </c>
      <c r="AX1968" t="s">
        <v>111</v>
      </c>
      <c r="AY1968" t="s">
        <v>111</v>
      </c>
      <c r="AZ1968" t="s">
        <v>111</v>
      </c>
      <c r="BA1968" t="s">
        <v>111</v>
      </c>
      <c r="BB1968" t="s">
        <v>111</v>
      </c>
      <c r="BC1968" t="s">
        <v>111</v>
      </c>
      <c r="BD1968" t="s">
        <v>111</v>
      </c>
      <c r="BE1968" t="s">
        <v>111</v>
      </c>
      <c r="BF1968" t="s">
        <v>111</v>
      </c>
      <c r="BG1968" t="s">
        <v>111</v>
      </c>
      <c r="BH1968" t="s">
        <v>111</v>
      </c>
      <c r="BI1968" t="s">
        <v>111</v>
      </c>
      <c r="BJ1968" t="s">
        <v>111</v>
      </c>
      <c r="BK1968" t="s">
        <v>111</v>
      </c>
      <c r="BL1968" t="s">
        <v>111</v>
      </c>
      <c r="BM1968" t="s">
        <v>111</v>
      </c>
      <c r="BN1968" t="s">
        <v>111</v>
      </c>
      <c r="BO1968" t="s">
        <v>111</v>
      </c>
      <c r="BP1968" t="s">
        <v>111</v>
      </c>
      <c r="BQ1968" t="s">
        <v>111</v>
      </c>
      <c r="BR1968" t="s">
        <v>111</v>
      </c>
      <c r="BS1968" t="s">
        <v>111</v>
      </c>
      <c r="BT1968" t="s">
        <v>111</v>
      </c>
      <c r="BU1968" t="s">
        <v>111</v>
      </c>
      <c r="BV1968" t="s">
        <v>111</v>
      </c>
      <c r="BW1968" t="s">
        <v>111</v>
      </c>
      <c r="BX1968" t="s">
        <v>111</v>
      </c>
      <c r="BY1968" t="s">
        <v>111</v>
      </c>
      <c r="BZ1968" t="s">
        <v>111</v>
      </c>
      <c r="CA1968" t="s">
        <v>111</v>
      </c>
      <c r="CB1968" t="s">
        <v>111</v>
      </c>
      <c r="CC1968" t="s">
        <v>111</v>
      </c>
      <c r="CD1968" t="s">
        <v>111</v>
      </c>
      <c r="CE1968" t="s">
        <v>111</v>
      </c>
      <c r="CF1968" t="s">
        <v>111</v>
      </c>
      <c r="CG1968" t="s">
        <v>111</v>
      </c>
      <c r="CH1968" t="s">
        <v>111</v>
      </c>
      <c r="CI1968" t="s">
        <v>111</v>
      </c>
      <c r="CJ1968" t="s">
        <v>111</v>
      </c>
      <c r="CK1968" t="s">
        <v>111</v>
      </c>
      <c r="CL1968" t="s">
        <v>111</v>
      </c>
      <c r="CM1968" t="s">
        <v>360</v>
      </c>
      <c r="CN1968" t="s">
        <v>113</v>
      </c>
      <c r="CO1968" t="s">
        <v>111</v>
      </c>
      <c r="CP1968" t="s">
        <v>111</v>
      </c>
      <c r="CQ1968">
        <v>0</v>
      </c>
      <c r="CR1968">
        <v>0</v>
      </c>
      <c r="CS1968">
        <v>100</v>
      </c>
      <c r="CT1968" s="1" t="s">
        <v>5354</v>
      </c>
      <c r="CU1968">
        <v>0</v>
      </c>
      <c r="CV1968" t="s">
        <v>111</v>
      </c>
      <c r="CX1968" t="s">
        <v>111</v>
      </c>
      <c r="CY1968">
        <v>0</v>
      </c>
      <c r="CZ1968" t="s">
        <v>111</v>
      </c>
      <c r="DA1968" t="s">
        <v>111</v>
      </c>
      <c r="DB1968" t="s">
        <v>111</v>
      </c>
      <c r="DC1968" t="s">
        <v>111</v>
      </c>
    </row>
    <row r="1969" spans="1:107">
      <c r="A1969">
        <v>1895</v>
      </c>
      <c r="B1969" t="s">
        <v>107</v>
      </c>
      <c r="C1969" t="s">
        <v>362</v>
      </c>
      <c r="D1969" t="s">
        <v>5355</v>
      </c>
      <c r="E1969" t="s">
        <v>5356</v>
      </c>
      <c r="F1969" t="s">
        <v>287</v>
      </c>
      <c r="G1969" t="s">
        <v>5343</v>
      </c>
      <c r="H1969">
        <v>2.2000000000000002</v>
      </c>
      <c r="I1969">
        <v>45</v>
      </c>
      <c r="J1969">
        <v>7</v>
      </c>
      <c r="K1969">
        <v>6</v>
      </c>
      <c r="L1969" t="s">
        <v>112</v>
      </c>
      <c r="M1969" t="s">
        <v>118</v>
      </c>
      <c r="N1969">
        <v>0</v>
      </c>
      <c r="O1969">
        <v>2</v>
      </c>
      <c r="P1969" t="s">
        <v>111</v>
      </c>
      <c r="Q1969">
        <v>200</v>
      </c>
      <c r="R1969">
        <v>0</v>
      </c>
      <c r="S1969">
        <v>0</v>
      </c>
      <c r="T1969">
        <v>5</v>
      </c>
      <c r="U1969" t="e">
        <f>-SELLADO</f>
        <v>#NAME?</v>
      </c>
      <c r="V1969">
        <v>25</v>
      </c>
      <c r="W1969">
        <v>0</v>
      </c>
      <c r="X1969">
        <v>8</v>
      </c>
      <c r="Y1969">
        <v>0</v>
      </c>
      <c r="Z1969" t="s">
        <v>5357</v>
      </c>
      <c r="AA1969">
        <v>1.5</v>
      </c>
      <c r="AB1969" t="s">
        <v>111</v>
      </c>
      <c r="AC1969">
        <v>0</v>
      </c>
      <c r="AD1969" t="s">
        <v>111</v>
      </c>
      <c r="AE1969">
        <v>0</v>
      </c>
      <c r="AF1969">
        <v>0</v>
      </c>
      <c r="AG1969" t="s">
        <v>111</v>
      </c>
      <c r="AH1969" t="s">
        <v>111</v>
      </c>
      <c r="AI1969" t="s">
        <v>111</v>
      </c>
      <c r="AJ1969" t="s">
        <v>111</v>
      </c>
      <c r="AK1969" t="s">
        <v>111</v>
      </c>
      <c r="AL1969" t="s">
        <v>111</v>
      </c>
      <c r="AM1969">
        <v>0</v>
      </c>
      <c r="AN1969">
        <v>0</v>
      </c>
      <c r="AO1969">
        <v>0</v>
      </c>
      <c r="AP1969" t="s">
        <v>111</v>
      </c>
      <c r="AQ1969" t="s">
        <v>111</v>
      </c>
      <c r="AR1969" t="s">
        <v>111</v>
      </c>
      <c r="AS1969" t="s">
        <v>111</v>
      </c>
      <c r="AT1969" t="s">
        <v>111</v>
      </c>
      <c r="AU1969" t="s">
        <v>111</v>
      </c>
      <c r="AV1969" t="s">
        <v>111</v>
      </c>
      <c r="AW1969" t="s">
        <v>111</v>
      </c>
      <c r="AX1969" t="s">
        <v>111</v>
      </c>
      <c r="AY1969" t="s">
        <v>111</v>
      </c>
      <c r="AZ1969" t="s">
        <v>111</v>
      </c>
      <c r="BA1969" t="s">
        <v>111</v>
      </c>
      <c r="BB1969" t="s">
        <v>111</v>
      </c>
      <c r="BC1969" t="s">
        <v>111</v>
      </c>
      <c r="BD1969" t="s">
        <v>111</v>
      </c>
      <c r="BE1969" t="s">
        <v>111</v>
      </c>
      <c r="BF1969" t="s">
        <v>111</v>
      </c>
      <c r="BG1969" t="s">
        <v>111</v>
      </c>
      <c r="BH1969" t="s">
        <v>111</v>
      </c>
      <c r="BI1969" t="s">
        <v>111</v>
      </c>
      <c r="BJ1969" t="s">
        <v>111</v>
      </c>
      <c r="BK1969" t="s">
        <v>111</v>
      </c>
      <c r="BL1969" t="s">
        <v>111</v>
      </c>
      <c r="BM1969" t="s">
        <v>111</v>
      </c>
      <c r="BN1969" t="s">
        <v>111</v>
      </c>
      <c r="BO1969" t="s">
        <v>111</v>
      </c>
      <c r="BP1969" t="s">
        <v>111</v>
      </c>
      <c r="BQ1969" t="s">
        <v>111</v>
      </c>
      <c r="BR1969" t="s">
        <v>111</v>
      </c>
      <c r="BS1969" t="s">
        <v>111</v>
      </c>
      <c r="BT1969" t="s">
        <v>111</v>
      </c>
      <c r="BU1969" t="s">
        <v>111</v>
      </c>
      <c r="BV1969" t="s">
        <v>111</v>
      </c>
      <c r="BW1969" t="s">
        <v>111</v>
      </c>
      <c r="BX1969" t="s">
        <v>111</v>
      </c>
      <c r="BY1969" t="s">
        <v>111</v>
      </c>
      <c r="BZ1969" t="s">
        <v>111</v>
      </c>
      <c r="CA1969" t="s">
        <v>111</v>
      </c>
      <c r="CB1969" t="s">
        <v>111</v>
      </c>
      <c r="CC1969" t="s">
        <v>111</v>
      </c>
      <c r="CD1969" t="s">
        <v>111</v>
      </c>
      <c r="CE1969" t="s">
        <v>111</v>
      </c>
      <c r="CF1969" t="s">
        <v>111</v>
      </c>
      <c r="CG1969" t="s">
        <v>111</v>
      </c>
      <c r="CH1969" t="s">
        <v>111</v>
      </c>
      <c r="CI1969" t="s">
        <v>111</v>
      </c>
      <c r="CJ1969" t="s">
        <v>111</v>
      </c>
      <c r="CK1969" t="s">
        <v>111</v>
      </c>
      <c r="CL1969" t="s">
        <v>111</v>
      </c>
      <c r="CM1969" t="s">
        <v>360</v>
      </c>
      <c r="CN1969" t="s">
        <v>113</v>
      </c>
      <c r="CO1969" t="s">
        <v>111</v>
      </c>
      <c r="CP1969" t="s">
        <v>111</v>
      </c>
      <c r="CQ1969">
        <v>0</v>
      </c>
      <c r="CR1969">
        <v>0</v>
      </c>
      <c r="CS1969">
        <v>100</v>
      </c>
      <c r="CT1969" s="1" t="s">
        <v>5358</v>
      </c>
      <c r="CU1969">
        <v>0</v>
      </c>
      <c r="CV1969" t="s">
        <v>111</v>
      </c>
      <c r="CX1969" t="s">
        <v>111</v>
      </c>
      <c r="CY1969">
        <v>0</v>
      </c>
      <c r="CZ1969" t="s">
        <v>111</v>
      </c>
      <c r="DA1969" t="s">
        <v>111</v>
      </c>
      <c r="DB1969" t="s">
        <v>111</v>
      </c>
      <c r="DC1969" t="s">
        <v>111</v>
      </c>
    </row>
    <row r="1970" spans="1:107">
      <c r="A1970">
        <v>2029</v>
      </c>
      <c r="B1970" t="s">
        <v>376</v>
      </c>
      <c r="C1970" t="s">
        <v>3564</v>
      </c>
      <c r="D1970" t="s">
        <v>5359</v>
      </c>
      <c r="E1970" t="s">
        <v>5360</v>
      </c>
      <c r="F1970" t="s">
        <v>3567</v>
      </c>
      <c r="G1970" t="s">
        <v>5343</v>
      </c>
      <c r="H1970">
        <v>1</v>
      </c>
      <c r="I1970">
        <v>25</v>
      </c>
      <c r="J1970">
        <v>0</v>
      </c>
      <c r="K1970">
        <v>0</v>
      </c>
      <c r="L1970" t="s">
        <v>117</v>
      </c>
      <c r="M1970" t="s">
        <v>111</v>
      </c>
      <c r="N1970">
        <v>0</v>
      </c>
      <c r="O1970">
        <v>0</v>
      </c>
      <c r="P1970" t="s">
        <v>111</v>
      </c>
      <c r="Q1970">
        <v>50</v>
      </c>
      <c r="R1970">
        <v>0</v>
      </c>
      <c r="S1970">
        <v>0</v>
      </c>
      <c r="T1970">
        <v>5</v>
      </c>
      <c r="U1970" s="1" t="s">
        <v>5361</v>
      </c>
      <c r="V1970">
        <v>0</v>
      </c>
      <c r="W1970">
        <v>0</v>
      </c>
      <c r="X1970">
        <v>0</v>
      </c>
      <c r="Y1970">
        <v>25</v>
      </c>
      <c r="Z1970" t="s">
        <v>111</v>
      </c>
      <c r="AA1970">
        <v>0</v>
      </c>
      <c r="AB1970" t="s">
        <v>111</v>
      </c>
      <c r="AC1970">
        <v>0</v>
      </c>
      <c r="AD1970" t="s">
        <v>111</v>
      </c>
      <c r="AE1970">
        <v>0</v>
      </c>
      <c r="AF1970">
        <v>0</v>
      </c>
      <c r="AG1970" t="s">
        <v>111</v>
      </c>
      <c r="AH1970" t="s">
        <v>111</v>
      </c>
      <c r="AI1970" t="s">
        <v>111</v>
      </c>
      <c r="AJ1970" t="s">
        <v>111</v>
      </c>
      <c r="AK1970" t="s">
        <v>111</v>
      </c>
      <c r="AL1970" t="s">
        <v>111</v>
      </c>
      <c r="AM1970">
        <v>0</v>
      </c>
      <c r="AN1970">
        <v>0</v>
      </c>
      <c r="AO1970">
        <v>0</v>
      </c>
      <c r="AP1970" t="s">
        <v>111</v>
      </c>
      <c r="AQ1970" t="s">
        <v>111</v>
      </c>
      <c r="AR1970" t="s">
        <v>111</v>
      </c>
      <c r="AS1970" t="s">
        <v>111</v>
      </c>
      <c r="AT1970" t="s">
        <v>111</v>
      </c>
      <c r="AU1970" t="s">
        <v>111</v>
      </c>
      <c r="AV1970" t="s">
        <v>111</v>
      </c>
      <c r="AW1970" t="s">
        <v>111</v>
      </c>
      <c r="AX1970" t="s">
        <v>111</v>
      </c>
      <c r="AY1970" t="s">
        <v>111</v>
      </c>
      <c r="AZ1970" t="s">
        <v>111</v>
      </c>
      <c r="BA1970" t="s">
        <v>111</v>
      </c>
      <c r="BB1970" t="s">
        <v>111</v>
      </c>
      <c r="BC1970" t="s">
        <v>111</v>
      </c>
      <c r="BD1970" t="s">
        <v>111</v>
      </c>
      <c r="BE1970" t="s">
        <v>111</v>
      </c>
      <c r="BF1970" t="s">
        <v>111</v>
      </c>
      <c r="BG1970" t="s">
        <v>111</v>
      </c>
      <c r="BH1970" t="s">
        <v>111</v>
      </c>
      <c r="BI1970" t="s">
        <v>111</v>
      </c>
      <c r="BJ1970" t="s">
        <v>111</v>
      </c>
      <c r="BK1970" t="s">
        <v>111</v>
      </c>
      <c r="BL1970" t="s">
        <v>111</v>
      </c>
      <c r="BM1970" t="s">
        <v>111</v>
      </c>
      <c r="BN1970" t="s">
        <v>111</v>
      </c>
      <c r="BO1970" t="s">
        <v>111</v>
      </c>
      <c r="BP1970" t="s">
        <v>111</v>
      </c>
      <c r="BQ1970" t="s">
        <v>111</v>
      </c>
      <c r="BR1970" t="s">
        <v>111</v>
      </c>
      <c r="BS1970" t="s">
        <v>111</v>
      </c>
      <c r="BT1970" t="s">
        <v>111</v>
      </c>
      <c r="BU1970" t="s">
        <v>111</v>
      </c>
      <c r="BV1970" t="s">
        <v>111</v>
      </c>
      <c r="BW1970" t="s">
        <v>111</v>
      </c>
      <c r="BX1970" t="s">
        <v>111</v>
      </c>
      <c r="BY1970" t="s">
        <v>111</v>
      </c>
      <c r="BZ1970" t="s">
        <v>111</v>
      </c>
      <c r="CA1970" t="s">
        <v>111</v>
      </c>
      <c r="CB1970" t="s">
        <v>111</v>
      </c>
      <c r="CC1970" t="s">
        <v>111</v>
      </c>
      <c r="CD1970" t="s">
        <v>111</v>
      </c>
      <c r="CE1970" t="s">
        <v>111</v>
      </c>
      <c r="CF1970" t="s">
        <v>111</v>
      </c>
      <c r="CG1970" t="s">
        <v>111</v>
      </c>
      <c r="CH1970" t="s">
        <v>111</v>
      </c>
      <c r="CI1970" t="s">
        <v>111</v>
      </c>
      <c r="CJ1970" t="s">
        <v>111</v>
      </c>
      <c r="CK1970" t="s">
        <v>111</v>
      </c>
      <c r="CL1970" t="s">
        <v>111</v>
      </c>
      <c r="CM1970" t="s">
        <v>111</v>
      </c>
      <c r="CN1970" t="s">
        <v>111</v>
      </c>
      <c r="CO1970" t="s">
        <v>111</v>
      </c>
      <c r="CP1970" t="s">
        <v>111</v>
      </c>
      <c r="CQ1970">
        <v>0</v>
      </c>
      <c r="CR1970">
        <v>0</v>
      </c>
      <c r="CS1970">
        <v>0</v>
      </c>
      <c r="CT1970" t="s">
        <v>111</v>
      </c>
      <c r="CU1970">
        <v>25</v>
      </c>
      <c r="CV1970" t="s">
        <v>111</v>
      </c>
      <c r="CX1970" t="s">
        <v>111</v>
      </c>
      <c r="CY1970">
        <v>10</v>
      </c>
      <c r="CZ1970" t="s">
        <v>117</v>
      </c>
      <c r="DA1970" s="1" t="s">
        <v>5362</v>
      </c>
      <c r="DB1970" t="s">
        <v>111</v>
      </c>
      <c r="DC1970" t="s">
        <v>111</v>
      </c>
    </row>
    <row r="1971" spans="1:107">
      <c r="A1971">
        <v>1099</v>
      </c>
      <c r="B1971" t="s">
        <v>107</v>
      </c>
      <c r="C1971" t="s">
        <v>328</v>
      </c>
      <c r="D1971" t="s">
        <v>5363</v>
      </c>
      <c r="E1971" t="s">
        <v>5364</v>
      </c>
      <c r="F1971" t="s">
        <v>192</v>
      </c>
      <c r="G1971" t="s">
        <v>5343</v>
      </c>
      <c r="H1971">
        <v>1</v>
      </c>
      <c r="I1971">
        <v>48</v>
      </c>
      <c r="J1971">
        <v>0</v>
      </c>
      <c r="K1971">
        <v>0</v>
      </c>
      <c r="L1971" t="s">
        <v>112</v>
      </c>
      <c r="M1971" t="s">
        <v>111</v>
      </c>
      <c r="N1971">
        <v>0</v>
      </c>
      <c r="O1971">
        <v>0</v>
      </c>
      <c r="P1971" t="s">
        <v>138</v>
      </c>
      <c r="Q1971">
        <v>10</v>
      </c>
      <c r="R1971">
        <v>0</v>
      </c>
      <c r="S1971">
        <v>0</v>
      </c>
      <c r="T1971">
        <v>5</v>
      </c>
      <c r="U1971" t="e">
        <f>-DESTINO SELLADO</f>
        <v>#NAME?</v>
      </c>
      <c r="V1971">
        <v>0</v>
      </c>
      <c r="W1971">
        <v>0</v>
      </c>
      <c r="X1971">
        <v>10</v>
      </c>
      <c r="Y1971">
        <v>0</v>
      </c>
      <c r="Z1971" t="s">
        <v>111</v>
      </c>
      <c r="AA1971">
        <v>0</v>
      </c>
      <c r="AB1971" t="s">
        <v>111</v>
      </c>
      <c r="AC1971">
        <v>0</v>
      </c>
      <c r="AD1971" t="s">
        <v>111</v>
      </c>
      <c r="AE1971">
        <v>0</v>
      </c>
      <c r="AF1971">
        <v>0</v>
      </c>
      <c r="AG1971" t="s">
        <v>111</v>
      </c>
      <c r="AH1971" t="s">
        <v>111</v>
      </c>
      <c r="AI1971" t="s">
        <v>111</v>
      </c>
      <c r="AJ1971" t="s">
        <v>111</v>
      </c>
      <c r="AK1971" t="s">
        <v>111</v>
      </c>
      <c r="AL1971" t="s">
        <v>111</v>
      </c>
      <c r="AM1971">
        <v>0</v>
      </c>
      <c r="AN1971">
        <v>0</v>
      </c>
      <c r="AO1971">
        <v>0</v>
      </c>
      <c r="AP1971" t="s">
        <v>111</v>
      </c>
      <c r="AQ1971" t="s">
        <v>111</v>
      </c>
      <c r="AR1971" t="s">
        <v>111</v>
      </c>
      <c r="AS1971" t="s">
        <v>111</v>
      </c>
      <c r="AT1971" t="s">
        <v>111</v>
      </c>
      <c r="AU1971" t="s">
        <v>111</v>
      </c>
      <c r="AV1971" t="s">
        <v>111</v>
      </c>
      <c r="AW1971" t="s">
        <v>111</v>
      </c>
      <c r="AX1971" t="s">
        <v>111</v>
      </c>
      <c r="AY1971" t="s">
        <v>111</v>
      </c>
      <c r="AZ1971" t="s">
        <v>111</v>
      </c>
      <c r="BA1971" t="s">
        <v>111</v>
      </c>
      <c r="BB1971" t="s">
        <v>111</v>
      </c>
      <c r="BC1971" t="s">
        <v>111</v>
      </c>
      <c r="BD1971" t="s">
        <v>111</v>
      </c>
      <c r="BE1971" t="s">
        <v>111</v>
      </c>
      <c r="BF1971" t="s">
        <v>111</v>
      </c>
      <c r="BG1971" t="s">
        <v>111</v>
      </c>
      <c r="BH1971" t="s">
        <v>111</v>
      </c>
      <c r="BI1971" t="s">
        <v>111</v>
      </c>
      <c r="BJ1971" t="s">
        <v>111</v>
      </c>
      <c r="BK1971" t="s">
        <v>111</v>
      </c>
      <c r="BL1971" t="s">
        <v>111</v>
      </c>
      <c r="BM1971" t="s">
        <v>111</v>
      </c>
      <c r="BN1971" t="s">
        <v>111</v>
      </c>
      <c r="BO1971" t="s">
        <v>111</v>
      </c>
      <c r="BP1971" t="s">
        <v>111</v>
      </c>
      <c r="BQ1971" t="s">
        <v>111</v>
      </c>
      <c r="BR1971" t="s">
        <v>111</v>
      </c>
      <c r="BS1971" t="s">
        <v>111</v>
      </c>
      <c r="BT1971" t="s">
        <v>111</v>
      </c>
      <c r="BU1971" t="s">
        <v>111</v>
      </c>
      <c r="BV1971" t="s">
        <v>111</v>
      </c>
      <c r="BW1971" t="s">
        <v>111</v>
      </c>
      <c r="BX1971" t="s">
        <v>111</v>
      </c>
      <c r="BY1971" t="s">
        <v>111</v>
      </c>
      <c r="BZ1971" t="s">
        <v>111</v>
      </c>
      <c r="CA1971" t="s">
        <v>111</v>
      </c>
      <c r="CB1971" t="s">
        <v>111</v>
      </c>
      <c r="CC1971" t="s">
        <v>111</v>
      </c>
      <c r="CD1971" t="s">
        <v>111</v>
      </c>
      <c r="CE1971" t="s">
        <v>111</v>
      </c>
      <c r="CF1971" t="s">
        <v>111</v>
      </c>
      <c r="CG1971" t="s">
        <v>111</v>
      </c>
      <c r="CH1971" t="s">
        <v>111</v>
      </c>
      <c r="CI1971" t="s">
        <v>111</v>
      </c>
      <c r="CJ1971" t="s">
        <v>111</v>
      </c>
      <c r="CK1971" t="s">
        <v>111</v>
      </c>
      <c r="CL1971" t="s">
        <v>111</v>
      </c>
      <c r="CM1971" t="s">
        <v>438</v>
      </c>
      <c r="CN1971" t="s">
        <v>113</v>
      </c>
      <c r="CO1971" t="s">
        <v>111</v>
      </c>
      <c r="CP1971" t="s">
        <v>111</v>
      </c>
      <c r="CQ1971">
        <v>0</v>
      </c>
      <c r="CR1971">
        <v>2000</v>
      </c>
      <c r="CS1971">
        <v>200</v>
      </c>
      <c r="CT1971" s="1" t="s">
        <v>5365</v>
      </c>
      <c r="CU1971">
        <v>0</v>
      </c>
      <c r="CV1971" t="s">
        <v>111</v>
      </c>
      <c r="CW1971" t="s">
        <v>111</v>
      </c>
      <c r="CX1971" t="s">
        <v>111</v>
      </c>
      <c r="CY1971">
        <v>0</v>
      </c>
      <c r="CZ1971" t="s">
        <v>111</v>
      </c>
      <c r="DA1971" t="s">
        <v>111</v>
      </c>
      <c r="DB1971" t="s">
        <v>111</v>
      </c>
      <c r="DC1971" t="s">
        <v>111</v>
      </c>
    </row>
    <row r="1972" spans="1:107">
      <c r="A1972">
        <v>1341</v>
      </c>
      <c r="B1972" t="s">
        <v>107</v>
      </c>
      <c r="C1972" t="s">
        <v>108</v>
      </c>
      <c r="D1972" t="s">
        <v>5366</v>
      </c>
      <c r="E1972" t="s">
        <v>5367</v>
      </c>
      <c r="F1972" t="s">
        <v>110</v>
      </c>
      <c r="G1972" t="s">
        <v>5343</v>
      </c>
      <c r="H1972">
        <v>1.4</v>
      </c>
      <c r="I1972">
        <v>45</v>
      </c>
      <c r="J1972">
        <v>0</v>
      </c>
      <c r="K1972">
        <v>0</v>
      </c>
      <c r="L1972" t="s">
        <v>112</v>
      </c>
      <c r="M1972" t="s">
        <v>111</v>
      </c>
      <c r="N1972">
        <v>0</v>
      </c>
      <c r="O1972">
        <v>0</v>
      </c>
      <c r="P1972" t="s">
        <v>111</v>
      </c>
      <c r="Q1972">
        <v>20</v>
      </c>
      <c r="R1972">
        <v>0</v>
      </c>
      <c r="S1972">
        <v>0</v>
      </c>
      <c r="T1972">
        <v>0</v>
      </c>
      <c r="U1972" t="e">
        <f>-SELLADO</f>
        <v>#NAME?</v>
      </c>
      <c r="V1972">
        <v>0</v>
      </c>
      <c r="W1972">
        <v>0</v>
      </c>
      <c r="X1972">
        <v>0</v>
      </c>
      <c r="Y1972">
        <v>25</v>
      </c>
      <c r="Z1972" t="s">
        <v>111</v>
      </c>
      <c r="AA1972">
        <v>0</v>
      </c>
      <c r="AB1972" t="s">
        <v>111</v>
      </c>
      <c r="AC1972">
        <v>0</v>
      </c>
      <c r="AD1972" t="s">
        <v>111</v>
      </c>
      <c r="AE1972">
        <v>0</v>
      </c>
      <c r="AF1972">
        <v>0</v>
      </c>
      <c r="AG1972" t="s">
        <v>111</v>
      </c>
      <c r="AH1972" t="s">
        <v>111</v>
      </c>
      <c r="AI1972" t="s">
        <v>111</v>
      </c>
      <c r="AJ1972" t="s">
        <v>111</v>
      </c>
      <c r="AK1972" t="s">
        <v>111</v>
      </c>
      <c r="AL1972" t="s">
        <v>111</v>
      </c>
      <c r="AM1972">
        <v>0</v>
      </c>
      <c r="AN1972">
        <v>0</v>
      </c>
      <c r="AO1972">
        <v>0</v>
      </c>
      <c r="AP1972" t="s">
        <v>111</v>
      </c>
      <c r="AQ1972" t="s">
        <v>111</v>
      </c>
      <c r="AR1972" t="s">
        <v>111</v>
      </c>
      <c r="AS1972" t="s">
        <v>111</v>
      </c>
      <c r="AT1972" t="s">
        <v>111</v>
      </c>
      <c r="AU1972" t="s">
        <v>111</v>
      </c>
      <c r="AV1972" t="s">
        <v>111</v>
      </c>
      <c r="AW1972" t="s">
        <v>111</v>
      </c>
      <c r="AX1972" t="s">
        <v>111</v>
      </c>
      <c r="AY1972" t="s">
        <v>111</v>
      </c>
      <c r="AZ1972" t="s">
        <v>111</v>
      </c>
      <c r="BA1972" t="s">
        <v>111</v>
      </c>
      <c r="BB1972" t="s">
        <v>111</v>
      </c>
      <c r="BC1972" t="s">
        <v>111</v>
      </c>
      <c r="BD1972" t="s">
        <v>111</v>
      </c>
      <c r="BE1972" t="s">
        <v>111</v>
      </c>
      <c r="BF1972" t="s">
        <v>111</v>
      </c>
      <c r="BG1972" t="s">
        <v>111</v>
      </c>
      <c r="BH1972" t="s">
        <v>111</v>
      </c>
      <c r="BI1972" t="s">
        <v>111</v>
      </c>
      <c r="BJ1972" t="s">
        <v>111</v>
      </c>
      <c r="BK1972" t="s">
        <v>111</v>
      </c>
      <c r="BL1972" t="s">
        <v>111</v>
      </c>
      <c r="BM1972" t="s">
        <v>111</v>
      </c>
      <c r="BN1972" t="s">
        <v>111</v>
      </c>
      <c r="BO1972" t="s">
        <v>111</v>
      </c>
      <c r="BP1972" t="s">
        <v>111</v>
      </c>
      <c r="BQ1972" t="s">
        <v>111</v>
      </c>
      <c r="BR1972" t="s">
        <v>111</v>
      </c>
      <c r="BS1972" t="s">
        <v>111</v>
      </c>
      <c r="BT1972" t="s">
        <v>111</v>
      </c>
      <c r="BU1972" t="s">
        <v>111</v>
      </c>
      <c r="BV1972" t="s">
        <v>111</v>
      </c>
      <c r="BW1972" t="s">
        <v>111</v>
      </c>
      <c r="BX1972" t="s">
        <v>111</v>
      </c>
      <c r="BY1972" t="s">
        <v>111</v>
      </c>
      <c r="BZ1972" t="s">
        <v>111</v>
      </c>
      <c r="CA1972" t="s">
        <v>111</v>
      </c>
      <c r="CB1972" t="s">
        <v>111</v>
      </c>
      <c r="CC1972" t="s">
        <v>111</v>
      </c>
      <c r="CD1972" t="s">
        <v>111</v>
      </c>
      <c r="CE1972" t="s">
        <v>111</v>
      </c>
      <c r="CF1972" t="s">
        <v>111</v>
      </c>
      <c r="CG1972" t="s">
        <v>111</v>
      </c>
      <c r="CH1972" t="s">
        <v>111</v>
      </c>
      <c r="CI1972" t="s">
        <v>111</v>
      </c>
      <c r="CJ1972" t="s">
        <v>111</v>
      </c>
      <c r="CK1972" t="s">
        <v>111</v>
      </c>
      <c r="CL1972" t="s">
        <v>111</v>
      </c>
      <c r="CM1972" t="s">
        <v>438</v>
      </c>
      <c r="CN1972" t="s">
        <v>113</v>
      </c>
      <c r="CO1972" t="s">
        <v>111</v>
      </c>
      <c r="CP1972" t="s">
        <v>111</v>
      </c>
      <c r="CQ1972">
        <v>0</v>
      </c>
      <c r="CR1972">
        <v>4000</v>
      </c>
      <c r="CS1972">
        <v>100</v>
      </c>
      <c r="CT1972" s="1" t="s">
        <v>5368</v>
      </c>
      <c r="CU1972">
        <v>0</v>
      </c>
      <c r="CV1972" t="s">
        <v>111</v>
      </c>
      <c r="CW1972" t="s">
        <v>111</v>
      </c>
      <c r="CX1972" t="s">
        <v>111</v>
      </c>
      <c r="CY1972">
        <v>0</v>
      </c>
      <c r="CZ1972" t="s">
        <v>111</v>
      </c>
      <c r="DA1972" t="s">
        <v>111</v>
      </c>
      <c r="DB1972" t="s">
        <v>111</v>
      </c>
      <c r="DC1972" t="s">
        <v>111</v>
      </c>
    </row>
    <row r="1973" spans="1:107">
      <c r="A1973">
        <v>48</v>
      </c>
      <c r="B1973" t="s">
        <v>162</v>
      </c>
      <c r="C1973" t="s">
        <v>5369</v>
      </c>
      <c r="D1973" t="s">
        <v>5370</v>
      </c>
      <c r="E1973" t="s">
        <v>5371</v>
      </c>
      <c r="F1973" t="s">
        <v>125</v>
      </c>
      <c r="G1973" t="s">
        <v>5343</v>
      </c>
      <c r="H1973">
        <v>0.5</v>
      </c>
      <c r="I1973">
        <v>50</v>
      </c>
      <c r="J1973">
        <v>0</v>
      </c>
      <c r="K1973">
        <v>0</v>
      </c>
      <c r="L1973" t="s">
        <v>112</v>
      </c>
      <c r="M1973" t="s">
        <v>138</v>
      </c>
      <c r="N1973">
        <v>0</v>
      </c>
      <c r="O1973">
        <v>0</v>
      </c>
      <c r="P1973" t="s">
        <v>138</v>
      </c>
      <c r="Q1973">
        <v>5</v>
      </c>
      <c r="R1973">
        <v>0</v>
      </c>
      <c r="S1973">
        <v>0</v>
      </c>
      <c r="T1973">
        <v>0</v>
      </c>
      <c r="U1973" t="s">
        <v>203</v>
      </c>
      <c r="V1973">
        <v>0</v>
      </c>
      <c r="W1973">
        <v>0</v>
      </c>
      <c r="X1973">
        <v>1</v>
      </c>
      <c r="Y1973">
        <v>0</v>
      </c>
      <c r="Z1973" t="s">
        <v>111</v>
      </c>
      <c r="AA1973">
        <v>0</v>
      </c>
      <c r="AB1973" t="s">
        <v>111</v>
      </c>
      <c r="AC1973">
        <v>0</v>
      </c>
      <c r="AD1973" t="s">
        <v>111</v>
      </c>
      <c r="AE1973">
        <v>0</v>
      </c>
      <c r="AF1973">
        <v>0</v>
      </c>
      <c r="AG1973" t="s">
        <v>111</v>
      </c>
      <c r="AH1973" t="s">
        <v>111</v>
      </c>
      <c r="AI1973" t="s">
        <v>111</v>
      </c>
      <c r="AJ1973" t="s">
        <v>111</v>
      </c>
      <c r="AK1973" t="s">
        <v>111</v>
      </c>
      <c r="AL1973" t="s">
        <v>111</v>
      </c>
      <c r="AM1973">
        <v>0</v>
      </c>
      <c r="AN1973">
        <v>0</v>
      </c>
      <c r="AO1973">
        <v>0</v>
      </c>
      <c r="AP1973" t="s">
        <v>111</v>
      </c>
      <c r="AQ1973" t="s">
        <v>111</v>
      </c>
      <c r="AR1973" t="s">
        <v>111</v>
      </c>
      <c r="AS1973" t="s">
        <v>111</v>
      </c>
      <c r="AT1973" t="s">
        <v>111</v>
      </c>
      <c r="AU1973" t="s">
        <v>111</v>
      </c>
      <c r="AV1973" t="s">
        <v>111</v>
      </c>
      <c r="AW1973" t="s">
        <v>111</v>
      </c>
      <c r="AX1973" t="s">
        <v>111</v>
      </c>
      <c r="AY1973" t="s">
        <v>111</v>
      </c>
      <c r="AZ1973" t="s">
        <v>111</v>
      </c>
      <c r="BA1973" t="s">
        <v>111</v>
      </c>
      <c r="BB1973" t="s">
        <v>111</v>
      </c>
      <c r="BC1973" t="s">
        <v>111</v>
      </c>
      <c r="BD1973" t="s">
        <v>111</v>
      </c>
      <c r="BE1973" t="s">
        <v>111</v>
      </c>
      <c r="BF1973" t="s">
        <v>111</v>
      </c>
      <c r="BG1973" t="s">
        <v>111</v>
      </c>
      <c r="BH1973" t="s">
        <v>111</v>
      </c>
      <c r="BI1973" t="s">
        <v>111</v>
      </c>
      <c r="BJ1973" t="s">
        <v>111</v>
      </c>
      <c r="BK1973" t="s">
        <v>111</v>
      </c>
      <c r="BL1973" t="s">
        <v>111</v>
      </c>
      <c r="BM1973" t="s">
        <v>111</v>
      </c>
      <c r="BN1973" t="s">
        <v>111</v>
      </c>
      <c r="BO1973" t="s">
        <v>111</v>
      </c>
      <c r="BP1973" t="s">
        <v>111</v>
      </c>
      <c r="BQ1973" t="s">
        <v>111</v>
      </c>
      <c r="BR1973" t="s">
        <v>111</v>
      </c>
      <c r="BS1973" t="s">
        <v>111</v>
      </c>
      <c r="BT1973" t="s">
        <v>111</v>
      </c>
      <c r="BU1973" t="s">
        <v>111</v>
      </c>
      <c r="BV1973" t="s">
        <v>111</v>
      </c>
      <c r="BW1973" t="s">
        <v>111</v>
      </c>
      <c r="BX1973" t="s">
        <v>111</v>
      </c>
      <c r="BY1973" t="s">
        <v>111</v>
      </c>
      <c r="BZ1973" t="s">
        <v>111</v>
      </c>
      <c r="CA1973" t="s">
        <v>111</v>
      </c>
      <c r="CB1973" t="s">
        <v>111</v>
      </c>
      <c r="CC1973" t="s">
        <v>111</v>
      </c>
      <c r="CD1973" t="s">
        <v>111</v>
      </c>
      <c r="CE1973" t="s">
        <v>111</v>
      </c>
      <c r="CF1973" t="s">
        <v>111</v>
      </c>
      <c r="CG1973" t="s">
        <v>111</v>
      </c>
      <c r="CH1973" t="s">
        <v>111</v>
      </c>
      <c r="CI1973" t="s">
        <v>111</v>
      </c>
      <c r="CJ1973" t="s">
        <v>111</v>
      </c>
      <c r="CK1973" t="s">
        <v>111</v>
      </c>
      <c r="CL1973" t="s">
        <v>111</v>
      </c>
      <c r="CM1973" t="s">
        <v>111</v>
      </c>
      <c r="CN1973" t="s">
        <v>111</v>
      </c>
      <c r="CO1973" t="s">
        <v>111</v>
      </c>
      <c r="CP1973" t="s">
        <v>111</v>
      </c>
      <c r="CQ1973">
        <v>0</v>
      </c>
      <c r="CR1973">
        <v>0</v>
      </c>
      <c r="CS1973">
        <v>0</v>
      </c>
      <c r="CT1973" t="s">
        <v>111</v>
      </c>
      <c r="CU1973">
        <v>0</v>
      </c>
      <c r="CV1973" t="s">
        <v>111</v>
      </c>
      <c r="CW1973" t="s">
        <v>111</v>
      </c>
      <c r="CX1973" t="s">
        <v>111</v>
      </c>
      <c r="CY1973">
        <v>0</v>
      </c>
      <c r="CZ1973" t="s">
        <v>111</v>
      </c>
      <c r="DA1973" t="s">
        <v>111</v>
      </c>
      <c r="DB1973" t="s">
        <v>204</v>
      </c>
      <c r="DC1973" s="1" t="s">
        <v>3032</v>
      </c>
    </row>
    <row r="1974" spans="1:107">
      <c r="A1974">
        <v>1342</v>
      </c>
      <c r="B1974" t="s">
        <v>107</v>
      </c>
      <c r="C1974" t="s">
        <v>267</v>
      </c>
      <c r="D1974" t="s">
        <v>5372</v>
      </c>
      <c r="E1974" t="s">
        <v>5373</v>
      </c>
      <c r="F1974" t="s">
        <v>125</v>
      </c>
      <c r="G1974" t="s">
        <v>5343</v>
      </c>
      <c r="H1974">
        <v>1</v>
      </c>
      <c r="I1974">
        <v>25</v>
      </c>
      <c r="J1974">
        <v>0</v>
      </c>
      <c r="K1974">
        <v>0</v>
      </c>
      <c r="L1974" t="s">
        <v>112</v>
      </c>
      <c r="M1974" t="s">
        <v>111</v>
      </c>
      <c r="N1974">
        <v>0</v>
      </c>
      <c r="O1974">
        <v>0</v>
      </c>
      <c r="P1974" t="s">
        <v>111</v>
      </c>
      <c r="Q1974">
        <v>20</v>
      </c>
      <c r="R1974">
        <v>0</v>
      </c>
      <c r="S1974">
        <v>0</v>
      </c>
      <c r="T1974">
        <v>0</v>
      </c>
      <c r="U1974" t="e">
        <f>-SELLADO</f>
        <v>#NAME?</v>
      </c>
      <c r="V1974">
        <v>25</v>
      </c>
      <c r="W1974">
        <v>0</v>
      </c>
      <c r="X1974">
        <v>6</v>
      </c>
      <c r="Y1974">
        <v>0</v>
      </c>
      <c r="Z1974" t="s">
        <v>111</v>
      </c>
      <c r="AA1974">
        <v>0</v>
      </c>
      <c r="AB1974" t="s">
        <v>111</v>
      </c>
      <c r="AC1974">
        <v>0</v>
      </c>
      <c r="AD1974" t="s">
        <v>111</v>
      </c>
      <c r="AE1974">
        <v>0</v>
      </c>
      <c r="AF1974">
        <v>0</v>
      </c>
      <c r="AG1974" t="s">
        <v>111</v>
      </c>
      <c r="AH1974" t="s">
        <v>111</v>
      </c>
      <c r="AI1974" t="s">
        <v>111</v>
      </c>
      <c r="AJ1974" t="s">
        <v>111</v>
      </c>
      <c r="AK1974" t="s">
        <v>111</v>
      </c>
      <c r="AL1974" t="s">
        <v>111</v>
      </c>
      <c r="AM1974">
        <v>0</v>
      </c>
      <c r="AN1974">
        <v>0</v>
      </c>
      <c r="AO1974">
        <v>0</v>
      </c>
      <c r="AP1974" t="s">
        <v>111</v>
      </c>
      <c r="AQ1974" t="s">
        <v>111</v>
      </c>
      <c r="AR1974" t="s">
        <v>111</v>
      </c>
      <c r="AS1974" t="s">
        <v>111</v>
      </c>
      <c r="AT1974" t="s">
        <v>111</v>
      </c>
      <c r="AU1974" t="s">
        <v>111</v>
      </c>
      <c r="AV1974" t="s">
        <v>111</v>
      </c>
      <c r="AW1974" t="s">
        <v>111</v>
      </c>
      <c r="AX1974" t="s">
        <v>111</v>
      </c>
      <c r="AY1974" t="s">
        <v>111</v>
      </c>
      <c r="AZ1974" t="s">
        <v>111</v>
      </c>
      <c r="BA1974" t="s">
        <v>111</v>
      </c>
      <c r="BB1974" t="s">
        <v>111</v>
      </c>
      <c r="BC1974" t="s">
        <v>111</v>
      </c>
      <c r="BD1974" t="s">
        <v>111</v>
      </c>
      <c r="BE1974" t="s">
        <v>111</v>
      </c>
      <c r="BF1974" t="s">
        <v>111</v>
      </c>
      <c r="BG1974" t="s">
        <v>111</v>
      </c>
      <c r="BH1974" t="s">
        <v>111</v>
      </c>
      <c r="BI1974" t="s">
        <v>111</v>
      </c>
      <c r="BJ1974" t="s">
        <v>111</v>
      </c>
      <c r="BK1974" t="s">
        <v>111</v>
      </c>
      <c r="BL1974" t="s">
        <v>111</v>
      </c>
      <c r="BM1974" t="s">
        <v>111</v>
      </c>
      <c r="BN1974" t="s">
        <v>111</v>
      </c>
      <c r="BO1974" t="s">
        <v>111</v>
      </c>
      <c r="BP1974" t="s">
        <v>111</v>
      </c>
      <c r="BQ1974" t="s">
        <v>111</v>
      </c>
      <c r="BR1974" t="s">
        <v>111</v>
      </c>
      <c r="BS1974" t="s">
        <v>111</v>
      </c>
      <c r="BT1974" t="s">
        <v>111</v>
      </c>
      <c r="BU1974" t="s">
        <v>111</v>
      </c>
      <c r="BV1974" t="s">
        <v>111</v>
      </c>
      <c r="BW1974" t="s">
        <v>111</v>
      </c>
      <c r="BX1974" t="s">
        <v>111</v>
      </c>
      <c r="BY1974" t="s">
        <v>111</v>
      </c>
      <c r="BZ1974" t="s">
        <v>111</v>
      </c>
      <c r="CA1974" t="s">
        <v>111</v>
      </c>
      <c r="CB1974" t="s">
        <v>111</v>
      </c>
      <c r="CC1974" t="s">
        <v>111</v>
      </c>
      <c r="CD1974" t="s">
        <v>111</v>
      </c>
      <c r="CE1974" t="s">
        <v>111</v>
      </c>
      <c r="CF1974" t="s">
        <v>111</v>
      </c>
      <c r="CG1974" t="s">
        <v>111</v>
      </c>
      <c r="CH1974" t="s">
        <v>111</v>
      </c>
      <c r="CI1974" t="s">
        <v>111</v>
      </c>
      <c r="CJ1974" t="s">
        <v>111</v>
      </c>
      <c r="CK1974" t="s">
        <v>111</v>
      </c>
      <c r="CL1974" t="s">
        <v>111</v>
      </c>
      <c r="CM1974">
        <v>450</v>
      </c>
      <c r="CN1974" t="s">
        <v>111</v>
      </c>
      <c r="CO1974" t="s">
        <v>111</v>
      </c>
      <c r="CP1974" t="s">
        <v>111</v>
      </c>
      <c r="CQ1974">
        <v>0</v>
      </c>
      <c r="CR1974">
        <v>5000</v>
      </c>
      <c r="CS1974">
        <v>500</v>
      </c>
      <c r="CT1974" t="e">
        <f>-ALMACEN</f>
        <v>#NAME?</v>
      </c>
      <c r="CU1974">
        <v>0</v>
      </c>
      <c r="CV1974" t="s">
        <v>111</v>
      </c>
      <c r="CW1974" t="s">
        <v>111</v>
      </c>
      <c r="CX1974" t="s">
        <v>111</v>
      </c>
      <c r="CY1974">
        <v>0</v>
      </c>
      <c r="CZ1974" t="s">
        <v>111</v>
      </c>
      <c r="DA1974" t="s">
        <v>111</v>
      </c>
      <c r="DB1974" t="s">
        <v>111</v>
      </c>
      <c r="DC1974" t="s">
        <v>111</v>
      </c>
    </row>
    <row r="1975" spans="1:107">
      <c r="A1975">
        <v>49</v>
      </c>
      <c r="B1975" t="s">
        <v>162</v>
      </c>
      <c r="C1975" t="s">
        <v>5369</v>
      </c>
      <c r="D1975" t="s">
        <v>5374</v>
      </c>
      <c r="E1975" t="s">
        <v>5375</v>
      </c>
      <c r="F1975" t="s">
        <v>125</v>
      </c>
      <c r="G1975" t="s">
        <v>5343</v>
      </c>
      <c r="H1975">
        <v>0.5</v>
      </c>
      <c r="I1975">
        <v>50</v>
      </c>
      <c r="J1975">
        <v>0</v>
      </c>
      <c r="K1975">
        <v>0</v>
      </c>
      <c r="L1975" t="s">
        <v>112</v>
      </c>
      <c r="M1975" t="s">
        <v>138</v>
      </c>
      <c r="N1975">
        <v>0</v>
      </c>
      <c r="O1975">
        <v>0</v>
      </c>
      <c r="P1975" t="s">
        <v>138</v>
      </c>
      <c r="Q1975">
        <v>5</v>
      </c>
      <c r="R1975">
        <v>0</v>
      </c>
      <c r="S1975">
        <v>0</v>
      </c>
      <c r="T1975">
        <v>0</v>
      </c>
      <c r="U1975" t="s">
        <v>203</v>
      </c>
      <c r="V1975">
        <v>0</v>
      </c>
      <c r="W1975">
        <v>0</v>
      </c>
      <c r="X1975">
        <v>1</v>
      </c>
      <c r="Y1975">
        <v>0</v>
      </c>
      <c r="Z1975" t="s">
        <v>111</v>
      </c>
      <c r="AA1975">
        <v>0</v>
      </c>
      <c r="AB1975" t="s">
        <v>111</v>
      </c>
      <c r="AC1975">
        <v>0</v>
      </c>
      <c r="AD1975" t="s">
        <v>111</v>
      </c>
      <c r="AE1975">
        <v>0</v>
      </c>
      <c r="AF1975">
        <v>0</v>
      </c>
      <c r="AG1975" t="s">
        <v>111</v>
      </c>
      <c r="AH1975" t="s">
        <v>111</v>
      </c>
      <c r="AI1975" t="s">
        <v>111</v>
      </c>
      <c r="AJ1975" t="s">
        <v>111</v>
      </c>
      <c r="AK1975" t="s">
        <v>111</v>
      </c>
      <c r="AL1975" t="s">
        <v>111</v>
      </c>
      <c r="AM1975">
        <v>0</v>
      </c>
      <c r="AN1975">
        <v>0</v>
      </c>
      <c r="AO1975">
        <v>0</v>
      </c>
      <c r="AP1975" t="s">
        <v>111</v>
      </c>
      <c r="AQ1975" t="s">
        <v>111</v>
      </c>
      <c r="AR1975" t="s">
        <v>111</v>
      </c>
      <c r="AS1975" t="s">
        <v>111</v>
      </c>
      <c r="AT1975" t="s">
        <v>111</v>
      </c>
      <c r="AU1975" t="s">
        <v>111</v>
      </c>
      <c r="AV1975" t="s">
        <v>111</v>
      </c>
      <c r="AW1975" t="s">
        <v>111</v>
      </c>
      <c r="AX1975" t="s">
        <v>111</v>
      </c>
      <c r="AY1975" t="s">
        <v>111</v>
      </c>
      <c r="AZ1975" t="s">
        <v>111</v>
      </c>
      <c r="BA1975" t="s">
        <v>111</v>
      </c>
      <c r="BB1975" t="s">
        <v>111</v>
      </c>
      <c r="BC1975" t="s">
        <v>111</v>
      </c>
      <c r="BD1975" t="s">
        <v>111</v>
      </c>
      <c r="BE1975" t="s">
        <v>111</v>
      </c>
      <c r="BF1975" t="s">
        <v>111</v>
      </c>
      <c r="BG1975" t="s">
        <v>111</v>
      </c>
      <c r="BH1975" t="s">
        <v>111</v>
      </c>
      <c r="BI1975" t="s">
        <v>111</v>
      </c>
      <c r="BJ1975" t="s">
        <v>111</v>
      </c>
      <c r="BK1975" t="s">
        <v>111</v>
      </c>
      <c r="BL1975" t="s">
        <v>111</v>
      </c>
      <c r="BM1975" t="s">
        <v>111</v>
      </c>
      <c r="BN1975" t="s">
        <v>111</v>
      </c>
      <c r="BO1975" t="s">
        <v>111</v>
      </c>
      <c r="BP1975" t="s">
        <v>111</v>
      </c>
      <c r="BQ1975" t="s">
        <v>111</v>
      </c>
      <c r="BR1975" t="s">
        <v>111</v>
      </c>
      <c r="BS1975" t="s">
        <v>111</v>
      </c>
      <c r="BT1975" t="s">
        <v>111</v>
      </c>
      <c r="BU1975" t="s">
        <v>111</v>
      </c>
      <c r="BV1975" t="s">
        <v>111</v>
      </c>
      <c r="BW1975" t="s">
        <v>111</v>
      </c>
      <c r="BX1975" t="s">
        <v>111</v>
      </c>
      <c r="BY1975" t="s">
        <v>111</v>
      </c>
      <c r="BZ1975" t="s">
        <v>111</v>
      </c>
      <c r="CA1975" t="s">
        <v>111</v>
      </c>
      <c r="CB1975" t="s">
        <v>111</v>
      </c>
      <c r="CC1975" t="s">
        <v>111</v>
      </c>
      <c r="CD1975" t="s">
        <v>111</v>
      </c>
      <c r="CE1975" t="s">
        <v>111</v>
      </c>
      <c r="CF1975" t="s">
        <v>111</v>
      </c>
      <c r="CG1975" t="s">
        <v>111</v>
      </c>
      <c r="CH1975" t="s">
        <v>111</v>
      </c>
      <c r="CI1975" t="s">
        <v>111</v>
      </c>
      <c r="CJ1975" t="s">
        <v>111</v>
      </c>
      <c r="CK1975" t="s">
        <v>111</v>
      </c>
      <c r="CL1975" t="s">
        <v>111</v>
      </c>
      <c r="CM1975" t="s">
        <v>111</v>
      </c>
      <c r="CN1975" t="s">
        <v>111</v>
      </c>
      <c r="CO1975" t="s">
        <v>111</v>
      </c>
      <c r="CP1975" t="s">
        <v>111</v>
      </c>
      <c r="CQ1975">
        <v>0</v>
      </c>
      <c r="CR1975">
        <v>0</v>
      </c>
      <c r="CS1975">
        <v>0</v>
      </c>
      <c r="CT1975" t="s">
        <v>111</v>
      </c>
      <c r="CU1975">
        <v>0</v>
      </c>
      <c r="CV1975" t="s">
        <v>111</v>
      </c>
      <c r="CW1975" t="s">
        <v>111</v>
      </c>
      <c r="CX1975" t="s">
        <v>111</v>
      </c>
      <c r="CY1975">
        <v>0</v>
      </c>
      <c r="CZ1975" t="s">
        <v>111</v>
      </c>
      <c r="DA1975" t="s">
        <v>111</v>
      </c>
      <c r="DB1975" t="s">
        <v>204</v>
      </c>
      <c r="DC1975" s="1" t="s">
        <v>3032</v>
      </c>
    </row>
    <row r="1976" spans="1:107">
      <c r="A1976">
        <v>781</v>
      </c>
      <c r="B1976" t="s">
        <v>107</v>
      </c>
      <c r="C1976" t="s">
        <v>351</v>
      </c>
      <c r="D1976" t="s">
        <v>5345</v>
      </c>
      <c r="E1976" t="s">
        <v>5376</v>
      </c>
      <c r="F1976" t="s">
        <v>125</v>
      </c>
      <c r="G1976" t="s">
        <v>5343</v>
      </c>
      <c r="H1976">
        <v>1</v>
      </c>
      <c r="I1976">
        <v>40</v>
      </c>
      <c r="J1976">
        <v>0</v>
      </c>
      <c r="K1976">
        <v>0</v>
      </c>
      <c r="L1976" t="s">
        <v>112</v>
      </c>
      <c r="M1976" t="s">
        <v>138</v>
      </c>
      <c r="N1976">
        <v>0</v>
      </c>
      <c r="O1976">
        <v>0</v>
      </c>
      <c r="P1976" t="s">
        <v>138</v>
      </c>
      <c r="Q1976">
        <v>25</v>
      </c>
      <c r="R1976">
        <v>0</v>
      </c>
      <c r="S1976">
        <v>0</v>
      </c>
      <c r="T1976">
        <v>0</v>
      </c>
      <c r="U1976" t="e">
        <f>-DESTINO SELLADO</f>
        <v>#NAME?</v>
      </c>
      <c r="V1976">
        <v>0</v>
      </c>
      <c r="W1976">
        <v>0</v>
      </c>
      <c r="X1976">
        <v>1</v>
      </c>
      <c r="Y1976">
        <v>0</v>
      </c>
      <c r="Z1976" t="s">
        <v>111</v>
      </c>
      <c r="AA1976">
        <v>0</v>
      </c>
      <c r="AB1976" t="s">
        <v>111</v>
      </c>
      <c r="AC1976">
        <v>0</v>
      </c>
      <c r="AD1976" t="s">
        <v>111</v>
      </c>
      <c r="AE1976">
        <v>0</v>
      </c>
      <c r="AF1976">
        <v>0</v>
      </c>
      <c r="AG1976" t="s">
        <v>111</v>
      </c>
      <c r="AH1976" t="s">
        <v>111</v>
      </c>
      <c r="AI1976" t="s">
        <v>111</v>
      </c>
      <c r="AJ1976" t="s">
        <v>111</v>
      </c>
      <c r="AK1976" t="s">
        <v>111</v>
      </c>
      <c r="AL1976" t="s">
        <v>111</v>
      </c>
      <c r="AM1976">
        <v>0</v>
      </c>
      <c r="AN1976">
        <v>0</v>
      </c>
      <c r="AO1976">
        <v>0</v>
      </c>
      <c r="AP1976" t="s">
        <v>111</v>
      </c>
      <c r="AQ1976" t="s">
        <v>111</v>
      </c>
      <c r="AR1976" t="s">
        <v>111</v>
      </c>
      <c r="AS1976" t="s">
        <v>111</v>
      </c>
      <c r="AT1976" t="s">
        <v>111</v>
      </c>
      <c r="AU1976" t="s">
        <v>111</v>
      </c>
      <c r="AV1976" t="s">
        <v>111</v>
      </c>
      <c r="AW1976" t="s">
        <v>111</v>
      </c>
      <c r="AX1976" t="s">
        <v>111</v>
      </c>
      <c r="AY1976" t="s">
        <v>111</v>
      </c>
      <c r="AZ1976" t="s">
        <v>111</v>
      </c>
      <c r="BA1976" t="s">
        <v>111</v>
      </c>
      <c r="BB1976" t="s">
        <v>111</v>
      </c>
      <c r="BC1976" t="s">
        <v>111</v>
      </c>
      <c r="BD1976" t="s">
        <v>111</v>
      </c>
      <c r="BE1976" t="s">
        <v>111</v>
      </c>
      <c r="BF1976" t="s">
        <v>111</v>
      </c>
      <c r="BG1976" t="s">
        <v>111</v>
      </c>
      <c r="BH1976" t="s">
        <v>111</v>
      </c>
      <c r="BI1976" t="s">
        <v>111</v>
      </c>
      <c r="BJ1976" t="s">
        <v>111</v>
      </c>
      <c r="BK1976" t="s">
        <v>111</v>
      </c>
      <c r="BL1976" t="s">
        <v>111</v>
      </c>
      <c r="BM1976" t="s">
        <v>111</v>
      </c>
      <c r="BN1976" t="s">
        <v>111</v>
      </c>
      <c r="BO1976" t="s">
        <v>111</v>
      </c>
      <c r="BP1976" t="s">
        <v>111</v>
      </c>
      <c r="BQ1976" t="s">
        <v>111</v>
      </c>
      <c r="BR1976" t="s">
        <v>111</v>
      </c>
      <c r="BS1976" t="s">
        <v>111</v>
      </c>
      <c r="BT1976" t="s">
        <v>111</v>
      </c>
      <c r="BU1976" t="s">
        <v>111</v>
      </c>
      <c r="BV1976" t="s">
        <v>111</v>
      </c>
      <c r="BW1976" t="s">
        <v>111</v>
      </c>
      <c r="BX1976" t="s">
        <v>111</v>
      </c>
      <c r="BY1976" t="s">
        <v>111</v>
      </c>
      <c r="BZ1976" t="s">
        <v>111</v>
      </c>
      <c r="CA1976" t="s">
        <v>111</v>
      </c>
      <c r="CB1976" t="s">
        <v>111</v>
      </c>
      <c r="CC1976" t="s">
        <v>111</v>
      </c>
      <c r="CD1976" t="s">
        <v>111</v>
      </c>
      <c r="CE1976" t="s">
        <v>111</v>
      </c>
      <c r="CF1976" t="s">
        <v>111</v>
      </c>
      <c r="CG1976" t="s">
        <v>111</v>
      </c>
      <c r="CH1976" t="s">
        <v>111</v>
      </c>
      <c r="CI1976" t="s">
        <v>111</v>
      </c>
      <c r="CJ1976" t="s">
        <v>111</v>
      </c>
      <c r="CK1976" t="s">
        <v>111</v>
      </c>
      <c r="CL1976" t="s">
        <v>111</v>
      </c>
      <c r="CM1976" t="s">
        <v>127</v>
      </c>
      <c r="CN1976" t="s">
        <v>128</v>
      </c>
      <c r="CO1976" t="s">
        <v>111</v>
      </c>
      <c r="CP1976" t="s">
        <v>111</v>
      </c>
      <c r="CQ1976">
        <v>0</v>
      </c>
      <c r="CR1976">
        <v>1500</v>
      </c>
      <c r="CS1976">
        <v>100</v>
      </c>
      <c r="CT1976" t="e">
        <f>-DESTINO ALMACEN</f>
        <v>#NAME?</v>
      </c>
      <c r="CU1976">
        <v>0</v>
      </c>
      <c r="CV1976" t="s">
        <v>111</v>
      </c>
      <c r="CW1976" t="s">
        <v>111</v>
      </c>
      <c r="CX1976" t="s">
        <v>111</v>
      </c>
      <c r="CY1976">
        <v>0</v>
      </c>
      <c r="CZ1976" t="s">
        <v>111</v>
      </c>
      <c r="DA1976" t="s">
        <v>111</v>
      </c>
      <c r="DB1976" t="s">
        <v>111</v>
      </c>
      <c r="DC1976" t="s">
        <v>111</v>
      </c>
    </row>
    <row r="1977" spans="1:107">
      <c r="A1977">
        <v>1021</v>
      </c>
      <c r="B1977" t="s">
        <v>107</v>
      </c>
      <c r="C1977" t="s">
        <v>773</v>
      </c>
      <c r="D1977" t="s">
        <v>4310</v>
      </c>
      <c r="E1977" t="s">
        <v>5377</v>
      </c>
      <c r="F1977" t="s">
        <v>110</v>
      </c>
      <c r="G1977" t="s">
        <v>5343</v>
      </c>
      <c r="H1977">
        <v>1.5</v>
      </c>
      <c r="I1977">
        <v>50</v>
      </c>
      <c r="J1977">
        <v>0</v>
      </c>
      <c r="K1977">
        <v>0</v>
      </c>
      <c r="L1977" t="s">
        <v>112</v>
      </c>
      <c r="M1977" t="s">
        <v>111</v>
      </c>
      <c r="N1977">
        <v>0</v>
      </c>
      <c r="O1977">
        <v>0</v>
      </c>
      <c r="P1977" t="s">
        <v>118</v>
      </c>
      <c r="Q1977">
        <v>6.5</v>
      </c>
      <c r="R1977">
        <v>0</v>
      </c>
      <c r="S1977">
        <v>0</v>
      </c>
      <c r="T1977">
        <v>0</v>
      </c>
      <c r="U1977" s="1" t="s">
        <v>344</v>
      </c>
      <c r="V1977">
        <v>0</v>
      </c>
      <c r="W1977">
        <v>0</v>
      </c>
      <c r="X1977">
        <v>0</v>
      </c>
      <c r="Y1977">
        <v>25</v>
      </c>
      <c r="Z1977">
        <v>0</v>
      </c>
      <c r="AA1977">
        <v>0</v>
      </c>
      <c r="AB1977" t="s">
        <v>111</v>
      </c>
      <c r="AC1977">
        <v>0</v>
      </c>
      <c r="AD1977" t="s">
        <v>111</v>
      </c>
      <c r="AE1977">
        <v>0</v>
      </c>
      <c r="AF1977">
        <v>0</v>
      </c>
      <c r="AG1977" t="s">
        <v>111</v>
      </c>
      <c r="AH1977" t="s">
        <v>111</v>
      </c>
      <c r="AI1977" t="s">
        <v>111</v>
      </c>
      <c r="AJ1977" t="s">
        <v>111</v>
      </c>
      <c r="AK1977" t="s">
        <v>111</v>
      </c>
      <c r="AL1977" t="s">
        <v>111</v>
      </c>
      <c r="AM1977">
        <v>0</v>
      </c>
      <c r="AN1977">
        <v>0</v>
      </c>
      <c r="AO1977">
        <v>0</v>
      </c>
      <c r="AP1977" t="s">
        <v>111</v>
      </c>
      <c r="AQ1977" t="s">
        <v>111</v>
      </c>
      <c r="AR1977" t="s">
        <v>111</v>
      </c>
      <c r="AS1977" t="s">
        <v>111</v>
      </c>
      <c r="AT1977" t="s">
        <v>111</v>
      </c>
      <c r="AU1977" t="s">
        <v>111</v>
      </c>
      <c r="AV1977" t="s">
        <v>111</v>
      </c>
      <c r="AW1977" t="s">
        <v>111</v>
      </c>
      <c r="AX1977" t="s">
        <v>111</v>
      </c>
      <c r="AY1977" t="s">
        <v>111</v>
      </c>
      <c r="AZ1977" t="s">
        <v>111</v>
      </c>
      <c r="BA1977" t="s">
        <v>111</v>
      </c>
      <c r="BB1977" t="s">
        <v>111</v>
      </c>
      <c r="BC1977" t="s">
        <v>111</v>
      </c>
      <c r="BD1977" t="s">
        <v>111</v>
      </c>
      <c r="BE1977" t="s">
        <v>111</v>
      </c>
      <c r="BF1977" t="s">
        <v>111</v>
      </c>
      <c r="BG1977" t="s">
        <v>111</v>
      </c>
      <c r="BH1977" t="s">
        <v>111</v>
      </c>
      <c r="BI1977" t="s">
        <v>111</v>
      </c>
      <c r="BJ1977" t="s">
        <v>111</v>
      </c>
      <c r="BK1977" t="s">
        <v>111</v>
      </c>
      <c r="BL1977" t="s">
        <v>111</v>
      </c>
      <c r="BM1977" t="s">
        <v>111</v>
      </c>
      <c r="BN1977" t="s">
        <v>111</v>
      </c>
      <c r="BO1977" t="s">
        <v>111</v>
      </c>
      <c r="BP1977" t="s">
        <v>111</v>
      </c>
      <c r="BQ1977" t="s">
        <v>111</v>
      </c>
      <c r="BR1977" t="s">
        <v>111</v>
      </c>
      <c r="BS1977" t="s">
        <v>111</v>
      </c>
      <c r="BT1977" t="s">
        <v>111</v>
      </c>
      <c r="BU1977" t="s">
        <v>111</v>
      </c>
      <c r="BV1977" t="s">
        <v>111</v>
      </c>
      <c r="BW1977" t="s">
        <v>111</v>
      </c>
      <c r="BX1977" t="s">
        <v>111</v>
      </c>
      <c r="BY1977" t="s">
        <v>111</v>
      </c>
      <c r="BZ1977" t="s">
        <v>111</v>
      </c>
      <c r="CA1977" t="s">
        <v>111</v>
      </c>
      <c r="CB1977" t="s">
        <v>111</v>
      </c>
      <c r="CC1977" t="s">
        <v>111</v>
      </c>
      <c r="CD1977" t="s">
        <v>111</v>
      </c>
      <c r="CE1977" t="s">
        <v>111</v>
      </c>
      <c r="CF1977" t="s">
        <v>111</v>
      </c>
      <c r="CG1977" t="s">
        <v>111</v>
      </c>
      <c r="CH1977" t="s">
        <v>111</v>
      </c>
      <c r="CI1977" t="s">
        <v>111</v>
      </c>
      <c r="CJ1977" t="s">
        <v>111</v>
      </c>
      <c r="CK1977" t="s">
        <v>111</v>
      </c>
      <c r="CL1977" t="s">
        <v>111</v>
      </c>
      <c r="CM1977" t="s">
        <v>111</v>
      </c>
      <c r="CN1977" t="s">
        <v>111</v>
      </c>
      <c r="CO1977" t="s">
        <v>111</v>
      </c>
      <c r="CP1977" t="s">
        <v>111</v>
      </c>
      <c r="CQ1977">
        <v>0</v>
      </c>
      <c r="CR1977">
        <v>0</v>
      </c>
      <c r="CS1977">
        <v>0</v>
      </c>
      <c r="CT1977" t="s">
        <v>111</v>
      </c>
      <c r="CU1977">
        <v>0</v>
      </c>
      <c r="CV1977" t="s">
        <v>111</v>
      </c>
      <c r="CW1977" t="s">
        <v>111</v>
      </c>
      <c r="CX1977" t="s">
        <v>111</v>
      </c>
      <c r="CY1977">
        <v>0</v>
      </c>
      <c r="CZ1977" t="s">
        <v>111</v>
      </c>
      <c r="DA1977" t="s">
        <v>111</v>
      </c>
      <c r="DB1977" t="s">
        <v>111</v>
      </c>
      <c r="DC1977" t="s">
        <v>111</v>
      </c>
    </row>
    <row r="1978" spans="1:107">
      <c r="A1978">
        <v>2022</v>
      </c>
      <c r="B1978" t="s">
        <v>376</v>
      </c>
      <c r="C1978" t="s">
        <v>3564</v>
      </c>
      <c r="D1978" t="s">
        <v>5378</v>
      </c>
      <c r="E1978" t="s">
        <v>5379</v>
      </c>
      <c r="F1978" t="s">
        <v>3567</v>
      </c>
      <c r="G1978" t="s">
        <v>5343</v>
      </c>
      <c r="H1978">
        <v>1</v>
      </c>
      <c r="I1978">
        <v>32</v>
      </c>
      <c r="J1978">
        <v>0</v>
      </c>
      <c r="K1978">
        <v>0</v>
      </c>
      <c r="L1978" t="s">
        <v>111</v>
      </c>
      <c r="M1978" t="s">
        <v>111</v>
      </c>
      <c r="N1978">
        <v>0</v>
      </c>
      <c r="O1978">
        <v>0</v>
      </c>
      <c r="P1978" t="s">
        <v>111</v>
      </c>
      <c r="Q1978">
        <v>10</v>
      </c>
      <c r="R1978">
        <v>0</v>
      </c>
      <c r="S1978">
        <v>0</v>
      </c>
      <c r="T1978">
        <v>0</v>
      </c>
      <c r="U1978" s="1" t="s">
        <v>5380</v>
      </c>
      <c r="V1978">
        <v>0</v>
      </c>
      <c r="W1978">
        <v>0</v>
      </c>
      <c r="X1978">
        <v>0</v>
      </c>
      <c r="Y1978">
        <v>25</v>
      </c>
      <c r="Z1978" t="s">
        <v>111</v>
      </c>
      <c r="AA1978">
        <v>0</v>
      </c>
      <c r="AB1978" t="s">
        <v>111</v>
      </c>
      <c r="AC1978">
        <v>0</v>
      </c>
      <c r="AD1978" t="s">
        <v>111</v>
      </c>
      <c r="AE1978">
        <v>0</v>
      </c>
      <c r="AF1978">
        <v>0</v>
      </c>
      <c r="AG1978" t="s">
        <v>111</v>
      </c>
      <c r="AH1978" t="s">
        <v>111</v>
      </c>
      <c r="AI1978" t="s">
        <v>111</v>
      </c>
      <c r="AJ1978" t="s">
        <v>111</v>
      </c>
      <c r="AK1978" t="s">
        <v>111</v>
      </c>
      <c r="AL1978" t="s">
        <v>111</v>
      </c>
      <c r="AM1978">
        <v>0</v>
      </c>
      <c r="AN1978">
        <v>0</v>
      </c>
      <c r="AO1978">
        <v>0</v>
      </c>
      <c r="AP1978" t="s">
        <v>111</v>
      </c>
      <c r="AQ1978" t="s">
        <v>111</v>
      </c>
      <c r="AR1978" t="s">
        <v>111</v>
      </c>
      <c r="AS1978" t="s">
        <v>111</v>
      </c>
      <c r="AT1978" t="s">
        <v>111</v>
      </c>
      <c r="AU1978" t="s">
        <v>111</v>
      </c>
      <c r="AV1978" t="s">
        <v>111</v>
      </c>
      <c r="AW1978" t="s">
        <v>111</v>
      </c>
      <c r="AX1978" t="s">
        <v>111</v>
      </c>
      <c r="AY1978" t="s">
        <v>111</v>
      </c>
      <c r="AZ1978" t="s">
        <v>111</v>
      </c>
      <c r="BA1978" t="s">
        <v>111</v>
      </c>
      <c r="BB1978" t="s">
        <v>111</v>
      </c>
      <c r="BC1978" t="s">
        <v>111</v>
      </c>
      <c r="BD1978" t="s">
        <v>111</v>
      </c>
      <c r="BE1978" t="s">
        <v>111</v>
      </c>
      <c r="BF1978" t="s">
        <v>111</v>
      </c>
      <c r="BG1978" t="s">
        <v>111</v>
      </c>
      <c r="BH1978" t="s">
        <v>111</v>
      </c>
      <c r="BI1978" t="s">
        <v>111</v>
      </c>
      <c r="BJ1978" t="s">
        <v>111</v>
      </c>
      <c r="BK1978" t="s">
        <v>111</v>
      </c>
      <c r="BL1978" t="s">
        <v>111</v>
      </c>
      <c r="BM1978" t="s">
        <v>111</v>
      </c>
      <c r="BN1978" t="s">
        <v>111</v>
      </c>
      <c r="BO1978" t="s">
        <v>111</v>
      </c>
      <c r="BP1978" t="s">
        <v>111</v>
      </c>
      <c r="BQ1978" t="s">
        <v>111</v>
      </c>
      <c r="BR1978" t="s">
        <v>111</v>
      </c>
      <c r="BS1978" t="s">
        <v>111</v>
      </c>
      <c r="BT1978" t="s">
        <v>111</v>
      </c>
      <c r="BU1978" t="s">
        <v>111</v>
      </c>
      <c r="BV1978" t="s">
        <v>111</v>
      </c>
      <c r="BW1978" t="s">
        <v>111</v>
      </c>
      <c r="BX1978" t="s">
        <v>111</v>
      </c>
      <c r="BY1978" t="s">
        <v>111</v>
      </c>
      <c r="BZ1978" t="s">
        <v>111</v>
      </c>
      <c r="CA1978" t="s">
        <v>111</v>
      </c>
      <c r="CB1978" t="s">
        <v>111</v>
      </c>
      <c r="CC1978" t="s">
        <v>111</v>
      </c>
      <c r="CD1978" t="s">
        <v>111</v>
      </c>
      <c r="CE1978" t="s">
        <v>111</v>
      </c>
      <c r="CF1978" t="s">
        <v>111</v>
      </c>
      <c r="CG1978" t="s">
        <v>111</v>
      </c>
      <c r="CH1978" t="s">
        <v>111</v>
      </c>
      <c r="CI1978" t="s">
        <v>111</v>
      </c>
      <c r="CJ1978" t="s">
        <v>111</v>
      </c>
      <c r="CK1978" t="s">
        <v>111</v>
      </c>
      <c r="CL1978" t="s">
        <v>111</v>
      </c>
      <c r="CM1978" t="s">
        <v>111</v>
      </c>
      <c r="CN1978" t="s">
        <v>111</v>
      </c>
      <c r="CO1978" t="s">
        <v>111</v>
      </c>
      <c r="CP1978" t="s">
        <v>111</v>
      </c>
      <c r="CQ1978">
        <v>0</v>
      </c>
      <c r="CR1978">
        <v>0</v>
      </c>
      <c r="CS1978">
        <v>0</v>
      </c>
      <c r="CT1978" t="s">
        <v>111</v>
      </c>
      <c r="CU1978">
        <v>32</v>
      </c>
      <c r="CV1978" t="s">
        <v>111</v>
      </c>
      <c r="CX1978" t="s">
        <v>111</v>
      </c>
      <c r="CY1978">
        <v>10</v>
      </c>
      <c r="CZ1978" t="s">
        <v>117</v>
      </c>
      <c r="DA1978" t="e">
        <f>-ROLLO BIEN EMPACADO</f>
        <v>#NAME?</v>
      </c>
      <c r="DB1978" t="s">
        <v>111</v>
      </c>
      <c r="DC1978" t="s">
        <v>111</v>
      </c>
    </row>
  </sheetData>
  <autoFilter ref="A1:DC197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2011-07-08T19:47:41Z</dcterms:created>
  <dcterms:modified xsi:type="dcterms:W3CDTF">2011-07-08T19:53:27Z</dcterms:modified>
</cp:coreProperties>
</file>